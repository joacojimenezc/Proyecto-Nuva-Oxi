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en\OneDrive\Escritorio\Proyecto-Nuva-Oxi\2 venta sell out\"/>
    </mc:Choice>
  </mc:AlternateContent>
  <xr:revisionPtr revIDLastSave="0" documentId="8_{9FAC7217-A44F-4BB7-943C-07C36C92F5FE}" xr6:coauthVersionLast="47" xr6:coauthVersionMax="47" xr10:uidLastSave="{00000000-0000-0000-0000-000000000000}"/>
  <bookViews>
    <workbookView xWindow="3300" yWindow="3300" windowWidth="8120" windowHeight="6000" xr2:uid="{F4E10CC4-CEB9-49F7-9D62-5FE71C80073C}"/>
  </bookViews>
  <sheets>
    <sheet name="SELL_OUT" sheetId="1" r:id="rId1"/>
    <sheet name="RESUMEN" sheetId="4" r:id="rId2"/>
    <sheet name="carga_clientes" sheetId="3" r:id="rId3"/>
    <sheet name="carga_cencosud" sheetId="2" r:id="rId4"/>
  </sheets>
  <definedNames>
    <definedName name="DatosExternos_1" localSheetId="3">carga_cencosud!$A$1:$F$3</definedName>
    <definedName name="DatosExternos_1" localSheetId="2">carga_clientes!$A$1:$F$3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4" l="1"/>
  <c r="B3" i="4"/>
  <c r="B7" i="1"/>
  <c r="B6" i="1"/>
  <c r="B5" i="1"/>
  <c r="B4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E7174-63C5-4DD3-8B43-B3DCCA318829}" keepAlive="1" name="Conexión" type="5" refreshedVersion="8" saveData="1">
    <dbPr connection="Provider=Microsoft.Mashup.OleDb.1;Data Source=$Workbook$;Location=qCargasCencosud;Extended Properties=&quot;&quot;" command="SELECT * FROM [qCargasCencosud]"/>
  </connection>
  <connection id="2" xr16:uid="{B3B0EC14-E423-45CD-A383-50EC089409B8}" keepAlive="1" name="Conexión1" type="5" refreshedVersion="8" saveData="1">
    <dbPr connection="Provider=Microsoft.Mashup.OleDb.1;Data Source=$Workbook$;Location=qReportesClientes;Extended Properties=&quot;&quot;" command="SELECT * FROM [qReportesClientes]"/>
  </connection>
</connections>
</file>

<file path=xl/sharedStrings.xml><?xml version="1.0" encoding="utf-8"?>
<sst xmlns="http://schemas.openxmlformats.org/spreadsheetml/2006/main" count="76" uniqueCount="40">
  <si>
    <t>Fecha</t>
  </si>
  <si>
    <t>Semana_ISO</t>
  </si>
  <si>
    <t>ID_Cliente</t>
  </si>
  <si>
    <t>ID_PDV</t>
  </si>
  <si>
    <t>SKU</t>
  </si>
  <si>
    <t>Uds_Vendidas</t>
  </si>
  <si>
    <t>PVP_Salida</t>
  </si>
  <si>
    <t>Fuente</t>
  </si>
  <si>
    <t>Stock_Observado</t>
  </si>
  <si>
    <t>Resp</t>
  </si>
  <si>
    <t>Notas</t>
  </si>
  <si>
    <t>CL-DEL</t>
  </si>
  <si>
    <t>D001</t>
  </si>
  <si>
    <t>SKU-CAC-U</t>
  </si>
  <si>
    <t>Reporte Cliente</t>
  </si>
  <si>
    <t>Ana Barra</t>
  </si>
  <si>
    <t>migrado borrador</t>
  </si>
  <si>
    <t>D002</t>
  </si>
  <si>
    <t>SKU-MAN-U</t>
  </si>
  <si>
    <t>CL-PIR</t>
  </si>
  <si>
    <t>P001</t>
  </si>
  <si>
    <t>SKU-CAC-4</t>
  </si>
  <si>
    <t>Conteo Visita</t>
  </si>
  <si>
    <t>Jose Ignacio</t>
  </si>
  <si>
    <t>CL-RITZ</t>
  </si>
  <si>
    <t>H001</t>
  </si>
  <si>
    <t>SKU-MAN-4</t>
  </si>
  <si>
    <t>CL-CEN</t>
  </si>
  <si>
    <t>J001</t>
  </si>
  <si>
    <t>SKU-FRU-4</t>
  </si>
  <si>
    <t>Portal Cencosud</t>
  </si>
  <si>
    <t>CL-ALN</t>
  </si>
  <si>
    <t>AN01</t>
  </si>
  <si>
    <t>SKU-FRU-U</t>
  </si>
  <si>
    <t>dummy demo</t>
  </si>
  <si>
    <t>RESUMEN SELL-OUT</t>
  </si>
  <si>
    <t>Total Uds Sell-Out (manual)</t>
  </si>
  <si>
    <t>Registros manuales</t>
  </si>
  <si>
    <t>Nota</t>
  </si>
  <si>
    <t>Sell-out por PDV/mes y rotacion vs sell-in se cruzan en CONSOLIDADO.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</si>
</sst>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2C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numFmt numFmtId="164" formatCode="dd\/mm\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2" xr16:uid="{8221B7F7-7CF1-4A79-A193-A506E10CCAEE}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Fecha"/>
      <queryTableField id="2" name="ID_PDV"/>
      <queryTableField id="3" name="SKU"/>
      <queryTableField id="4" name="Uds_Vendidas"/>
      <queryTableField id="5" name="PVP_Salida"/>
      <queryTableField id="6" name="Fuente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" xr16:uid="{298AC3AA-35BE-4F96-92AF-8BA634DB94B0}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Fecha"/>
      <queryTableField id="2" name="ID_PDV"/>
      <queryTableField id="3" name="SKU"/>
      <queryTableField id="4" name="Uds_Vendidas"/>
      <queryTableField id="5" name="PVP_Salida"/>
      <queryTableField id="6" name="Fuente"/>
    </queryTableFields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2338C-C7D7-4C98-9CA6-6679B453E0CE}" name="tblSellOut" displayName="tblSellOut" ref="A1:K7" totalsRowShown="0" headerRowDxfId="0">
  <autoFilter ref="A1:K7" xr:uid="{E752338C-C7D7-4C98-9CA6-6679B453E0CE}"/>
  <tableColumns count="11">
    <tableColumn id="1" xr3:uid="{52983C0C-733D-4CF2-9240-B2CA0D088CB1}" name="Fecha" dataDxfId="1"/>
    <tableColumn id="2" xr3:uid="{C5EA0792-FCE7-459D-BE45-A483CD293E28}" name="Semana_ISO">
      <calculatedColumnFormula>_xlfn.ISOWEEKNUM(A2)</calculatedColumnFormula>
    </tableColumn>
    <tableColumn id="3" xr3:uid="{90ECC083-BF11-40DB-B887-46ED3EF1BF86}" name="ID_Cliente"/>
    <tableColumn id="4" xr3:uid="{262DB397-00C8-41D0-A65E-8A5C176278E6}" name="ID_PDV"/>
    <tableColumn id="5" xr3:uid="{5478ACB9-FDD5-4677-9DBD-46E44FEBC4B3}" name="SKU"/>
    <tableColumn id="6" xr3:uid="{6A19D6D7-7F18-47BE-B0E2-CA78C8CB7325}" name="Uds_Vendidas"/>
    <tableColumn id="7" xr3:uid="{3F9101D4-450E-4E16-A6BA-C0FBC3EFE93D}" name="PVP_Salida"/>
    <tableColumn id="8" xr3:uid="{57229A37-A16E-476E-BF05-A10BCAD19B62}" name="Fuente"/>
    <tableColumn id="9" xr3:uid="{8FEB796F-1438-4BEA-B8BA-AF2D9B78E2BB}" name="Stock_Observado"/>
    <tableColumn id="10" xr3:uid="{7796FD52-EF66-4691-BD79-6B2E0BFD40A1}" name="Resp"/>
    <tableColumn id="11" xr3:uid="{E548AEBA-86E3-4955-B0FA-3513BB1A1DFF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7A1D-AD35-4892-8289-ABD055EB756C}">
  <dimension ref="A1:K7"/>
  <sheetViews>
    <sheetView tabSelected="1" workbookViewId="0"/>
  </sheetViews>
  <sheetFormatPr baseColWidth="10" defaultRowHeight="14.5" x14ac:dyDescent="0.35"/>
  <cols>
    <col min="1" max="1" width="10.453125" bestFit="1" customWidth="1"/>
    <col min="2" max="2" width="15.90625" bestFit="1" customWidth="1"/>
    <col min="3" max="3" width="14.08984375" bestFit="1" customWidth="1"/>
    <col min="4" max="4" width="11.453125" bestFit="1" customWidth="1"/>
    <col min="5" max="5" width="10.453125" bestFit="1" customWidth="1"/>
    <col min="6" max="6" width="17.26953125" bestFit="1" customWidth="1"/>
    <col min="7" max="7" width="14.7265625" bestFit="1" customWidth="1"/>
    <col min="8" max="8" width="14.1796875" bestFit="1" customWidth="1"/>
    <col min="9" max="9" width="19.81640625" bestFit="1" customWidth="1"/>
    <col min="10" max="10" width="10.54296875" bestFit="1" customWidth="1"/>
    <col min="11" max="11" width="14.63281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46037</v>
      </c>
      <c r="B2">
        <f>_xlfn.ISOWEEKNUM(A2)</f>
        <v>3</v>
      </c>
      <c r="C2" t="s">
        <v>11</v>
      </c>
      <c r="D2" t="s">
        <v>12</v>
      </c>
      <c r="E2" t="s">
        <v>13</v>
      </c>
      <c r="F2">
        <v>10</v>
      </c>
      <c r="G2">
        <v>1900</v>
      </c>
      <c r="H2" t="s">
        <v>14</v>
      </c>
      <c r="I2">
        <v>5</v>
      </c>
      <c r="J2" t="s">
        <v>15</v>
      </c>
      <c r="K2" t="s">
        <v>16</v>
      </c>
    </row>
    <row r="3" spans="1:11" x14ac:dyDescent="0.35">
      <c r="A3" s="3">
        <v>46037</v>
      </c>
      <c r="B3">
        <f>_xlfn.ISOWEEKNUM(A3)</f>
        <v>3</v>
      </c>
      <c r="C3" t="s">
        <v>11</v>
      </c>
      <c r="D3" t="s">
        <v>17</v>
      </c>
      <c r="E3" t="s">
        <v>18</v>
      </c>
      <c r="F3">
        <v>6</v>
      </c>
      <c r="G3">
        <v>1900</v>
      </c>
      <c r="H3" t="s">
        <v>14</v>
      </c>
      <c r="I3">
        <v>4</v>
      </c>
      <c r="J3" t="s">
        <v>15</v>
      </c>
      <c r="K3" t="s">
        <v>16</v>
      </c>
    </row>
    <row r="4" spans="1:11" x14ac:dyDescent="0.35">
      <c r="A4" s="3">
        <v>46037</v>
      </c>
      <c r="B4">
        <f>_xlfn.ISOWEEKNUM(A4)</f>
        <v>3</v>
      </c>
      <c r="C4" t="s">
        <v>19</v>
      </c>
      <c r="D4" t="s">
        <v>20</v>
      </c>
      <c r="E4" t="s">
        <v>21</v>
      </c>
      <c r="F4">
        <v>4</v>
      </c>
      <c r="G4">
        <v>5900</v>
      </c>
      <c r="H4" t="s">
        <v>22</v>
      </c>
      <c r="I4">
        <v>1</v>
      </c>
      <c r="J4" t="s">
        <v>23</v>
      </c>
      <c r="K4" t="s">
        <v>16</v>
      </c>
    </row>
    <row r="5" spans="1:11" x14ac:dyDescent="0.35">
      <c r="A5" s="3">
        <v>46037</v>
      </c>
      <c r="B5">
        <f>_xlfn.ISOWEEKNUM(A5)</f>
        <v>3</v>
      </c>
      <c r="C5" t="s">
        <v>24</v>
      </c>
      <c r="D5" t="s">
        <v>25</v>
      </c>
      <c r="E5" t="s">
        <v>26</v>
      </c>
      <c r="F5">
        <v>8</v>
      </c>
      <c r="G5">
        <v>5900</v>
      </c>
      <c r="H5" t="s">
        <v>14</v>
      </c>
      <c r="I5">
        <v>0</v>
      </c>
      <c r="J5" t="s">
        <v>23</v>
      </c>
      <c r="K5" t="s">
        <v>16</v>
      </c>
    </row>
    <row r="6" spans="1:11" x14ac:dyDescent="0.35">
      <c r="A6" s="3">
        <v>46037</v>
      </c>
      <c r="B6">
        <f>_xlfn.ISOWEEKNUM(A6)</f>
        <v>3</v>
      </c>
      <c r="C6" t="s">
        <v>27</v>
      </c>
      <c r="D6" t="s">
        <v>28</v>
      </c>
      <c r="E6" t="s">
        <v>29</v>
      </c>
      <c r="F6">
        <v>5</v>
      </c>
      <c r="G6">
        <v>5900</v>
      </c>
      <c r="H6" t="s">
        <v>30</v>
      </c>
      <c r="I6">
        <v>45</v>
      </c>
      <c r="J6" t="s">
        <v>23</v>
      </c>
      <c r="K6" t="s">
        <v>16</v>
      </c>
    </row>
    <row r="7" spans="1:11" x14ac:dyDescent="0.35">
      <c r="A7" s="3">
        <v>46242</v>
      </c>
      <c r="B7">
        <f>_xlfn.ISOWEEKNUM(A7)</f>
        <v>32</v>
      </c>
      <c r="C7" t="s">
        <v>31</v>
      </c>
      <c r="D7" t="s">
        <v>32</v>
      </c>
      <c r="E7" t="s">
        <v>33</v>
      </c>
      <c r="F7">
        <v>7</v>
      </c>
      <c r="G7">
        <v>1900</v>
      </c>
      <c r="H7" t="s">
        <v>22</v>
      </c>
      <c r="I7">
        <v>3</v>
      </c>
      <c r="J7" t="s">
        <v>23</v>
      </c>
      <c r="K7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E1FE-EF65-4260-BE20-4AD58194A3A2}">
  <dimension ref="A1:B5"/>
  <sheetViews>
    <sheetView workbookViewId="0"/>
  </sheetViews>
  <sheetFormatPr baseColWidth="10" defaultRowHeight="14.5" x14ac:dyDescent="0.35"/>
  <cols>
    <col min="1" max="1" width="23.08984375" bestFit="1" customWidth="1"/>
    <col min="2" max="2" width="58.36328125" bestFit="1" customWidth="1"/>
  </cols>
  <sheetData>
    <row r="1" spans="1:2" ht="18.5" x14ac:dyDescent="0.45">
      <c r="A1" s="4" t="s">
        <v>35</v>
      </c>
    </row>
    <row r="3" spans="1:2" x14ac:dyDescent="0.35">
      <c r="A3" t="s">
        <v>36</v>
      </c>
      <c r="B3">
        <f>SUM(tblSellOut[Uds_Vendidas])</f>
        <v>40</v>
      </c>
    </row>
    <row r="4" spans="1:2" x14ac:dyDescent="0.35">
      <c r="A4" t="s">
        <v>37</v>
      </c>
      <c r="B4">
        <f>COUNTA(tblSellOut[ID_PDV])</f>
        <v>6</v>
      </c>
    </row>
    <row r="5" spans="1:2" x14ac:dyDescent="0.35">
      <c r="A5" t="s">
        <v>38</v>
      </c>
      <c r="B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8EED-5D40-4491-84F0-577573692043}">
  <dimension ref="A1:F3"/>
  <sheetViews>
    <sheetView workbookViewId="0"/>
  </sheetViews>
  <sheetFormatPr baseColWidth="10" defaultRowHeight="14.5" x14ac:dyDescent="0.35"/>
  <cols>
    <col min="1" max="1" width="5.90625" bestFit="1" customWidth="1"/>
    <col min="2" max="2" width="6.90625" bestFit="1" customWidth="1"/>
    <col min="3" max="3" width="10.453125" bestFit="1" customWidth="1"/>
    <col min="4" max="4" width="12.7265625" bestFit="1" customWidth="1"/>
    <col min="5" max="5" width="10.1796875" bestFit="1" customWidth="1"/>
    <col min="6" max="6" width="13.36328125" bestFit="1" customWidth="1"/>
  </cols>
  <sheetData>
    <row r="1" spans="1:6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>
        <v>46244</v>
      </c>
      <c r="B2" t="s">
        <v>12</v>
      </c>
      <c r="C2" t="s">
        <v>13</v>
      </c>
      <c r="D2">
        <v>4</v>
      </c>
      <c r="E2">
        <v>1900</v>
      </c>
      <c r="F2" t="s">
        <v>14</v>
      </c>
    </row>
    <row r="3" spans="1:6" x14ac:dyDescent="0.35">
      <c r="A3">
        <v>46244</v>
      </c>
      <c r="B3" t="s">
        <v>17</v>
      </c>
      <c r="C3" t="s">
        <v>18</v>
      </c>
      <c r="D3">
        <v>3</v>
      </c>
      <c r="E3">
        <v>1900</v>
      </c>
      <c r="F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8E9A-0AB3-40C3-B4FF-F7570BAB4316}">
  <dimension ref="A1:F3"/>
  <sheetViews>
    <sheetView workbookViewId="0"/>
  </sheetViews>
  <sheetFormatPr baseColWidth="10" defaultRowHeight="14.5" x14ac:dyDescent="0.35"/>
  <cols>
    <col min="1" max="1" width="5.90625" bestFit="1" customWidth="1"/>
    <col min="2" max="2" width="6.90625" bestFit="1" customWidth="1"/>
    <col min="3" max="3" width="9.7265625" bestFit="1" customWidth="1"/>
    <col min="4" max="4" width="12.7265625" bestFit="1" customWidth="1"/>
    <col min="5" max="5" width="10.1796875" bestFit="1" customWidth="1"/>
    <col min="6" max="6" width="14.1796875" bestFit="1" customWidth="1"/>
  </cols>
  <sheetData>
    <row r="1" spans="1:6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>
        <v>46246</v>
      </c>
      <c r="B2" t="s">
        <v>28</v>
      </c>
      <c r="C2" t="s">
        <v>29</v>
      </c>
      <c r="D2">
        <v>5</v>
      </c>
      <c r="E2">
        <v>5900</v>
      </c>
      <c r="F2" t="s">
        <v>30</v>
      </c>
    </row>
    <row r="3" spans="1:6" x14ac:dyDescent="0.35">
      <c r="A3">
        <v>46253</v>
      </c>
      <c r="B3" t="s">
        <v>28</v>
      </c>
      <c r="C3" t="s">
        <v>29</v>
      </c>
      <c r="D3">
        <v>7</v>
      </c>
      <c r="E3">
        <v>5900</v>
      </c>
      <c r="F3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7910FD-78EF-4B68-9A53-2C4ECA705B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SELL_OUT</vt:lpstr>
      <vt:lpstr>RESUMEN</vt:lpstr>
      <vt:lpstr>carga_clientes</vt:lpstr>
      <vt:lpstr>carga_cencosud</vt:lpstr>
      <vt:lpstr>carga_cencosud!DatosExternos_1</vt:lpstr>
      <vt:lpstr>carga_clientes!DatosExternos_1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Jimenez Anguita</dc:creator>
  <cp:lastModifiedBy>Patricio Jimenez Anguita</cp:lastModifiedBy>
  <dcterms:created xsi:type="dcterms:W3CDTF">2026-07-06T19:10:08Z</dcterms:created>
  <dcterms:modified xsi:type="dcterms:W3CDTF">2026-07-06T19:10:19Z</dcterms:modified>
</cp:coreProperties>
</file>