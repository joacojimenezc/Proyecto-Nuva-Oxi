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4 finanzas\"/>
    </mc:Choice>
  </mc:AlternateContent>
  <xr:revisionPtr revIDLastSave="0" documentId="8_{492B6A77-6688-493F-9B79-6892A645E976}" xr6:coauthVersionLast="47" xr6:coauthVersionMax="47" xr10:uidLastSave="{00000000-0000-0000-0000-000000000000}"/>
  <bookViews>
    <workbookView xWindow="-110" yWindow="-110" windowWidth="19420" windowHeight="10300" xr2:uid="{1C4791A6-488B-405A-8EF3-D4279AF9D13B}"/>
  </bookViews>
  <sheets>
    <sheet name="ESTADO_RESULTADOS" sheetId="3" r:id="rId1"/>
    <sheet name="BALANCE" sheetId="5" r:id="rId2"/>
    <sheet name="FLUJO_CAJA" sheetId="4" r:id="rId3"/>
    <sheet name="datos_ventas" sheetId="2" r:id="rId4"/>
  </sheets>
  <definedNames>
    <definedName name="DatosExternos_1" localSheetId="3">datos_ventas!$A$1:$D$7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5" l="1"/>
  <c r="A12" i="5"/>
  <c r="B11" i="5"/>
  <c r="B7" i="5"/>
  <c r="A7" i="5"/>
  <c r="B5" i="5"/>
  <c r="B4" i="5"/>
  <c r="B9" i="4"/>
  <c r="A9" i="4"/>
  <c r="B8" i="4"/>
  <c r="A8" i="4"/>
  <c r="B7" i="4"/>
  <c r="B6" i="4"/>
  <c r="B5" i="4"/>
  <c r="B4" i="4"/>
  <c r="B17" i="3"/>
  <c r="B16" i="3"/>
  <c r="A16" i="3"/>
  <c r="B14" i="3"/>
  <c r="A14" i="3"/>
  <c r="B7" i="3"/>
  <c r="B6" i="3"/>
  <c r="A6" i="3"/>
  <c r="B5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D2467-024F-403F-99C6-B7FE3C2AD563}" keepAlive="1" name="Conexión" type="5" refreshedVersion="8" saveData="1">
    <dbPr connection="Provider=Microsoft.Mashup.OleDb.1;Data Source=$Workbook$;Location=qVentas;Extended Properties=&quot;&quot;" command="SELECT * FROM [qVentas]"/>
  </connection>
</connections>
</file>

<file path=xl/sharedStrings.xml><?xml version="1.0" encoding="utf-8"?>
<sst xmlns="http://schemas.openxmlformats.org/spreadsheetml/2006/main" count="35" uniqueCount="31">
  <si>
    <t>Venta_Neta</t>
  </si>
  <si>
    <t>Costo_Total</t>
  </si>
  <si>
    <t>Margen</t>
  </si>
  <si>
    <t>Estado_Factura</t>
  </si>
  <si>
    <t>Pagada</t>
  </si>
  <si>
    <t>Emitida</t>
  </si>
  <si>
    <t>ESTADO DE RESULTADOS - Piloto Ago-Oct 2026 (NUVA OXI)</t>
  </si>
  <si>
    <t>Alimentado por el sell-in del CRM (Datos &gt; Actualizar todo). Gastos = supuestos editables (azul).</t>
  </si>
  <si>
    <t>Ingresos por ventas (neto)</t>
  </si>
  <si>
    <t>(-) Costo de ventas</t>
  </si>
  <si>
    <t xml:space="preserve">   % Margen bruto</t>
  </si>
  <si>
    <t>Gastos operativos</t>
  </si>
  <si>
    <t>(-) Marketing / POP</t>
  </si>
  <si>
    <t>(-) Logistica / despacho</t>
  </si>
  <si>
    <t>(-) Comercial / ruta</t>
  </si>
  <si>
    <t>(-) Administracion</t>
  </si>
  <si>
    <t xml:space="preserve">   % sobre ventas</t>
  </si>
  <si>
    <t>FLUJO DE CAJA - Piloto (NUVA OXI)</t>
  </si>
  <si>
    <t>Cobros (facturas Pagadas)</t>
  </si>
  <si>
    <t>(+) CxC por cobrar (Emitidas)</t>
  </si>
  <si>
    <t>(-) Pago costo de ventas</t>
  </si>
  <si>
    <t>(-) Pago gastos operativos</t>
  </si>
  <si>
    <t>Nota: Jumbo paga a 30 dias; HoReCa contado. CxC Emitida = caja en riesgo hasta cobro.</t>
  </si>
  <si>
    <t>BALANCE SIMPLIFICADO (NUVA OXI)</t>
  </si>
  <si>
    <t>ACTIVOS</t>
  </si>
  <si>
    <t>Caja (flujo cobrado)</t>
  </si>
  <si>
    <t>Cuentas por cobrar (CxC)</t>
  </si>
  <si>
    <t>Inventario valorizado (supuesto)</t>
  </si>
  <si>
    <t>PASIVOS + PATRIMONIO</t>
  </si>
  <si>
    <t>Proveedores por pagar (supuesto)</t>
  </si>
  <si>
    <t>Patrimonio / resultado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</si>
</sst>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F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9" fontId="0" fillId="0" borderId="0" xfId="0" applyNumberFormat="1"/>
    <xf numFmtId="164" fontId="0" fillId="0" borderId="0" xfId="0" applyNumberFormat="1"/>
    <xf numFmtId="164" fontId="2" fillId="2" borderId="0" xfId="0" applyNumberFormat="1" applyFont="1" applyFill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789C5551-2E00-47D5-B1D2-DAB1213AED7D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Venta_Neta"/>
      <queryTableField id="2" name="Costo_Total"/>
      <queryTableField id="3" name="Margen"/>
      <queryTableField id="4" name="Estado_Factura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451C-73B4-46FE-B7A4-307F2F25A680}">
  <dimension ref="A1:B17"/>
  <sheetViews>
    <sheetView tabSelected="1" workbookViewId="0"/>
  </sheetViews>
  <sheetFormatPr baseColWidth="10" defaultRowHeight="14.5" x14ac:dyDescent="0.35"/>
  <cols>
    <col min="1" max="1" width="78.6328125" bestFit="1" customWidth="1"/>
    <col min="2" max="2" width="9" bestFit="1" customWidth="1"/>
  </cols>
  <sheetData>
    <row r="1" spans="1:2" ht="18.5" x14ac:dyDescent="0.45">
      <c r="A1" s="2" t="s">
        <v>6</v>
      </c>
    </row>
    <row r="2" spans="1:2" x14ac:dyDescent="0.35">
      <c r="A2" s="3" t="s">
        <v>7</v>
      </c>
    </row>
    <row r="4" spans="1:2" x14ac:dyDescent="0.35">
      <c r="A4" t="s">
        <v>8</v>
      </c>
      <c r="B4" s="6">
        <f>SUM(datos_ventas!A:A)</f>
        <v>358656</v>
      </c>
    </row>
    <row r="5" spans="1:2" x14ac:dyDescent="0.35">
      <c r="A5" t="s">
        <v>9</v>
      </c>
      <c r="B5" s="6">
        <f>-SUM(datos_ventas!B:B)</f>
        <v>-70250</v>
      </c>
    </row>
    <row r="6" spans="1:2" x14ac:dyDescent="0.35">
      <c r="A6" s="4" t="e">
        <f xml:space="preserve"> Margen bruto</f>
        <v>#NAME?</v>
      </c>
      <c r="B6" s="7">
        <f>B4+B5</f>
        <v>288406</v>
      </c>
    </row>
    <row r="7" spans="1:2" x14ac:dyDescent="0.35">
      <c r="A7" t="s">
        <v>10</v>
      </c>
      <c r="B7" s="5">
        <f>IFERROR(B6/B4,0)</f>
        <v>0.80412986259814423</v>
      </c>
    </row>
    <row r="8" spans="1:2" x14ac:dyDescent="0.35">
      <c r="B8" s="6"/>
    </row>
    <row r="9" spans="1:2" x14ac:dyDescent="0.35">
      <c r="A9" s="1" t="s">
        <v>11</v>
      </c>
      <c r="B9" s="6"/>
    </row>
    <row r="10" spans="1:2" x14ac:dyDescent="0.35">
      <c r="A10" t="s">
        <v>12</v>
      </c>
      <c r="B10" s="8">
        <v>-120000</v>
      </c>
    </row>
    <row r="11" spans="1:2" x14ac:dyDescent="0.35">
      <c r="A11" t="s">
        <v>13</v>
      </c>
      <c r="B11" s="8">
        <v>-45000</v>
      </c>
    </row>
    <row r="12" spans="1:2" x14ac:dyDescent="0.35">
      <c r="A12" t="s">
        <v>14</v>
      </c>
      <c r="B12" s="8">
        <v>-80000</v>
      </c>
    </row>
    <row r="13" spans="1:2" x14ac:dyDescent="0.35">
      <c r="A13" t="s">
        <v>15</v>
      </c>
      <c r="B13" s="8">
        <v>-30000</v>
      </c>
    </row>
    <row r="14" spans="1:2" x14ac:dyDescent="0.35">
      <c r="A14" s="4" t="e">
        <f xml:space="preserve"> Total gastos operativos</f>
        <v>#NAME?</v>
      </c>
      <c r="B14" s="7">
        <f>SUM(B10:B13)</f>
        <v>-275000</v>
      </c>
    </row>
    <row r="15" spans="1:2" x14ac:dyDescent="0.35">
      <c r="B15" s="6"/>
    </row>
    <row r="16" spans="1:2" x14ac:dyDescent="0.35">
      <c r="A16" s="4" t="e">
        <f xml:space="preserve"> RESULTADO OPERATIVO</f>
        <v>#NAME?</v>
      </c>
      <c r="B16" s="7">
        <f>B6+B14</f>
        <v>13406</v>
      </c>
    </row>
    <row r="17" spans="1:2" x14ac:dyDescent="0.35">
      <c r="A17" t="s">
        <v>16</v>
      </c>
      <c r="B17" s="5">
        <f>IFERROR(B16/B4,0)</f>
        <v>3.7378435046395431E-2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EFD5-7890-4BE6-8E3E-8A9310983DCD}">
  <dimension ref="A1:B12"/>
  <sheetViews>
    <sheetView workbookViewId="0"/>
  </sheetViews>
  <sheetFormatPr baseColWidth="10" defaultRowHeight="14.5" x14ac:dyDescent="0.35"/>
  <cols>
    <col min="1" max="1" width="39.453125" bestFit="1" customWidth="1"/>
    <col min="2" max="2" width="9" bestFit="1" customWidth="1"/>
  </cols>
  <sheetData>
    <row r="1" spans="1:2" ht="18.5" x14ac:dyDescent="0.45">
      <c r="A1" s="2" t="s">
        <v>23</v>
      </c>
    </row>
    <row r="3" spans="1:2" x14ac:dyDescent="0.35">
      <c r="A3" s="1" t="s">
        <v>24</v>
      </c>
    </row>
    <row r="4" spans="1:2" x14ac:dyDescent="0.35">
      <c r="A4" t="s">
        <v>25</v>
      </c>
      <c r="B4" s="6">
        <f>FLUJO_CAJA!B9</f>
        <v>-288527</v>
      </c>
    </row>
    <row r="5" spans="1:2" x14ac:dyDescent="0.35">
      <c r="A5" t="s">
        <v>26</v>
      </c>
      <c r="B5" s="6">
        <f>SUMIF(datos_ventas!D:D,"Emitida",datos_ventas!A:A)</f>
        <v>301933</v>
      </c>
    </row>
    <row r="6" spans="1:2" x14ac:dyDescent="0.35">
      <c r="A6" t="s">
        <v>27</v>
      </c>
      <c r="B6" s="8">
        <v>150000</v>
      </c>
    </row>
    <row r="7" spans="1:2" x14ac:dyDescent="0.35">
      <c r="A7" s="1" t="e">
        <f xml:space="preserve"> Total ACTIVOS</f>
        <v>#NAME?</v>
      </c>
      <c r="B7" s="9">
        <f>SUM(B4:B6)</f>
        <v>163406</v>
      </c>
    </row>
    <row r="8" spans="1:2" x14ac:dyDescent="0.35">
      <c r="B8" s="6"/>
    </row>
    <row r="9" spans="1:2" x14ac:dyDescent="0.35">
      <c r="A9" s="1" t="s">
        <v>28</v>
      </c>
      <c r="B9" s="6"/>
    </row>
    <row r="10" spans="1:2" x14ac:dyDescent="0.35">
      <c r="A10" t="s">
        <v>29</v>
      </c>
      <c r="B10" s="8">
        <v>60000</v>
      </c>
    </row>
    <row r="11" spans="1:2" x14ac:dyDescent="0.35">
      <c r="A11" t="s">
        <v>30</v>
      </c>
      <c r="B11" s="6">
        <f>B7-B10</f>
        <v>103406</v>
      </c>
    </row>
    <row r="12" spans="1:2" x14ac:dyDescent="0.35">
      <c r="A12" s="1" t="e">
        <f xml:space="preserve"> Total PASIVO+PATRIMONIO</f>
        <v>#NAME?</v>
      </c>
      <c r="B12" s="9">
        <f>B10+B11</f>
        <v>163406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2957-3A26-42C5-B261-A4229F027F64}">
  <dimension ref="A1:B11"/>
  <sheetViews>
    <sheetView workbookViewId="0"/>
  </sheetViews>
  <sheetFormatPr baseColWidth="10" defaultRowHeight="14.5" x14ac:dyDescent="0.35"/>
  <cols>
    <col min="1" max="1" width="72.453125" bestFit="1" customWidth="1"/>
    <col min="2" max="2" width="9" bestFit="1" customWidth="1"/>
  </cols>
  <sheetData>
    <row r="1" spans="1:2" ht="18.5" x14ac:dyDescent="0.45">
      <c r="A1" s="2" t="s">
        <v>17</v>
      </c>
    </row>
    <row r="4" spans="1:2" x14ac:dyDescent="0.35">
      <c r="A4" t="s">
        <v>18</v>
      </c>
      <c r="B4" s="6">
        <f>SUMIF(datos_ventas!D:D,"Pagada",datos_ventas!A:A)</f>
        <v>56723</v>
      </c>
    </row>
    <row r="5" spans="1:2" x14ac:dyDescent="0.35">
      <c r="A5" t="s">
        <v>19</v>
      </c>
      <c r="B5" s="6">
        <f>SUMIF(datos_ventas!D:D,"Emitida",datos_ventas!A:A)</f>
        <v>301933</v>
      </c>
    </row>
    <row r="6" spans="1:2" x14ac:dyDescent="0.35">
      <c r="A6" t="s">
        <v>20</v>
      </c>
      <c r="B6" s="6">
        <f>-SUM(datos_ventas!B:B)</f>
        <v>-70250</v>
      </c>
    </row>
    <row r="7" spans="1:2" x14ac:dyDescent="0.35">
      <c r="A7" t="s">
        <v>21</v>
      </c>
      <c r="B7" s="6">
        <f>ESTADO_RESULTADOS!B14</f>
        <v>-275000</v>
      </c>
    </row>
    <row r="8" spans="1:2" x14ac:dyDescent="0.35">
      <c r="A8" s="4" t="e">
        <f xml:space="preserve"> Flujo neto (si se cobra todo)</f>
        <v>#NAME?</v>
      </c>
      <c r="B8" s="7">
        <f>B4+B5+B6+B7</f>
        <v>13406</v>
      </c>
    </row>
    <row r="9" spans="1:2" x14ac:dyDescent="0.35">
      <c r="A9" s="4" t="e">
        <f xml:space="preserve"> Flujo neto de CAJA HOY (solo Pagadas)</f>
        <v>#NAME?</v>
      </c>
      <c r="B9" s="7">
        <f>B4+B6+B7</f>
        <v>-288527</v>
      </c>
    </row>
    <row r="11" spans="1:2" x14ac:dyDescent="0.35">
      <c r="A11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75CE-F344-41E6-91CF-5D4034D8B81F}">
  <dimension ref="A1:D7"/>
  <sheetViews>
    <sheetView workbookViewId="0"/>
  </sheetViews>
  <sheetFormatPr baseColWidth="10" defaultRowHeight="14.5" x14ac:dyDescent="0.35"/>
  <cols>
    <col min="1" max="1" width="10.36328125" bestFit="1" customWidth="1"/>
    <col min="2" max="2" width="10.54296875" bestFit="1" customWidth="1"/>
    <col min="3" max="3" width="6.90625" bestFit="1" customWidth="1"/>
    <col min="4" max="4" width="13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19160</v>
      </c>
      <c r="B2">
        <v>3000</v>
      </c>
      <c r="C2">
        <v>16160</v>
      </c>
      <c r="D2" t="s">
        <v>4</v>
      </c>
    </row>
    <row r="3" spans="1:4" x14ac:dyDescent="0.35">
      <c r="A3">
        <v>12773</v>
      </c>
      <c r="B3">
        <v>2000</v>
      </c>
      <c r="C3">
        <v>10773</v>
      </c>
      <c r="D3" t="s">
        <v>4</v>
      </c>
    </row>
    <row r="4" spans="1:4" x14ac:dyDescent="0.35">
      <c r="A4">
        <v>14370</v>
      </c>
      <c r="B4">
        <v>2250</v>
      </c>
      <c r="C4">
        <v>12120</v>
      </c>
      <c r="D4" t="s">
        <v>5</v>
      </c>
    </row>
    <row r="5" spans="1:4" x14ac:dyDescent="0.35">
      <c r="A5">
        <v>24790</v>
      </c>
      <c r="B5">
        <v>5000</v>
      </c>
      <c r="C5">
        <v>19790</v>
      </c>
      <c r="D5" t="s">
        <v>4</v>
      </c>
    </row>
    <row r="6" spans="1:4" x14ac:dyDescent="0.35">
      <c r="A6">
        <v>39664</v>
      </c>
      <c r="B6">
        <v>8000</v>
      </c>
      <c r="C6">
        <v>31664</v>
      </c>
      <c r="D6" t="s">
        <v>5</v>
      </c>
    </row>
    <row r="7" spans="1:4" x14ac:dyDescent="0.35">
      <c r="A7">
        <v>247899</v>
      </c>
      <c r="B7">
        <v>50000</v>
      </c>
      <c r="C7">
        <v>197899</v>
      </c>
      <c r="D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4E005-283C-4544-8385-F7DD8180F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ESTADO_RESULTADOS</vt:lpstr>
      <vt:lpstr>BALANCE</vt:lpstr>
      <vt:lpstr>FLUJO_CAJA</vt:lpstr>
      <vt:lpstr>datos_ventas</vt:lpstr>
      <vt:lpstr>datos_ventas!DatosExternos_1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2026-07-06T19:27:40Z</dcterms:created>
  <dcterms:modified xsi:type="dcterms:W3CDTF">2026-07-06T19:27:43Z</dcterms:modified>
</cp:coreProperties>
</file>