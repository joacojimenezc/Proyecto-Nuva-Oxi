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175" windowWidth="29040" windowHeight="15720" tabRatio="600" firstSheet="0" activeTab="3" autoFilterDateGrouping="1"/>
  </bookViews>
  <sheets>
    <sheet name="Inicio" sheetId="1" state="visible" r:id="rId1"/>
    <sheet name="Guia_Ana" sheetId="2" state="visible" r:id="rId2"/>
    <sheet name="Dashboard" sheetId="3" state="visible" r:id="rId3"/>
    <sheet name="Resumen" sheetId="4" state="visible" r:id="rId4"/>
    <sheet name="Plan_Inventario" sheetId="5" state="visible" r:id="rId5"/>
    <sheet name="Cobertura" sheetId="6" state="visible" r:id="rId6"/>
    <sheet name="Clientes_PDV" sheetId="7" state="visible" r:id="rId7"/>
    <sheet name="Ventas_SellIn" sheetId="8" state="visible" r:id="rId8"/>
    <sheet name="Margen_Frontal" sheetId="9" state="visible" r:id="rId9"/>
    <sheet name="SellOut_Jumbo" sheetId="10" state="visible" r:id="rId10"/>
    <sheet name="Stock_PDV" sheetId="11" state="visible" r:id="rId11"/>
    <sheet name="Maestro_SKU" sheetId="12" state="visible" r:id="rId12"/>
  </sheets>
  <definedNames>
    <definedName name="lst_Canal">Inicio!$E$5:$E$13</definedName>
    <definedName name="lst_StatusPago">Inicio!$F$5:$F$9</definedName>
    <definedName name="lst_EstadoCliente">Inicio!$G$5:$G$8</definedName>
    <definedName name="lst_Frecuencia">Inicio!$K$5:$K$7</definedName>
    <definedName name="rng_PDV">Clientes_PDV!$A$2:$A$250</definedName>
    <definedName name="rng_SKU">Maestro_SKU!$A$2:$A$500</definedName>
    <definedName name="cfg_IVA">Inicio!$B$13</definedName>
    <definedName name="cfg_VentaRecienteDias">Inicio!$B$14</definedName>
    <definedName name="cfg_VentaBaja">Inicio!$B$15</definedName>
    <definedName name="cfg_StockCritico">Inicio!$B$16</definedName>
    <definedName name="cfg_StockObservar">Inicio!$B$17</definedName>
    <definedName name="cfg_MontoPendiente">Inicio!$B$18</definedName>
    <definedName name="cfg_DiasVencer">Inicio!$B$19</definedName>
    <definedName name="cfg_AnioResumen">Resumen!$B$3</definedName>
    <definedName name="cfg_DiasCobertura">Inicio!$B$29</definedName>
    <definedName name="cfg_PctSeguridad">Inicio!$B$30</definedName>
    <definedName name="cfg_VentanaDemanda">Inicio!$B$31</definedName>
    <definedName name="cfg_VentaAlta">Inicio!$B$34</definedName>
    <definedName name="_xlnm._FilterDatabase" localSheetId="4" hidden="1">'Plan_Inventario'!$A$1:$I$81</definedName>
    <definedName name="_xlnm._FilterDatabase" localSheetId="5" hidden="1">'Cobertura'!$A$1:$S$250</definedName>
    <definedName name="_xlnm._FilterDatabase" localSheetId="6" hidden="1">'Clientes_PDV'!$A$1:$J$250</definedName>
    <definedName name="_xlnm._FilterDatabase" localSheetId="7" hidden="1">'Ventas_SellIn'!$A$1:$Y$800</definedName>
    <definedName name="_xlnm._FilterDatabase" localSheetId="8" hidden="1">'Margen_Frontal'!$A$1:$G$101</definedName>
    <definedName name="_xlnm._FilterDatabase" localSheetId="9" hidden="1">'SellOut_Jumbo'!$A$1:$N$800</definedName>
    <definedName name="_xlnm._FilterDatabase" localSheetId="10" hidden="1">'Stock_PDV'!$A$1:$K$800</definedName>
    <definedName name="_xlnm._FilterDatabase" localSheetId="11" hidden="1">'Maestro_SKU'!$A$1:$P$80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dd\-mm\-yyyy"/>
    <numFmt numFmtId="166" formatCode="0.0%"/>
    <numFmt numFmtId="167" formatCode="DD-MM-YYYY"/>
  </numFmts>
  <fonts count="16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5B2245"/>
      <sz val="11"/>
    </font>
    <font>
      <name val="Calibri"/>
      <b val="1"/>
      <color rgb="FFFFFFFF"/>
      <sz val="11"/>
    </font>
    <font>
      <name val="Calibri"/>
      <color rgb="FF2F2F2F"/>
      <sz val="10"/>
    </font>
    <font>
      <name val="Calibri"/>
      <i val="1"/>
      <color rgb="FF5B2245"/>
      <sz val="11"/>
    </font>
    <font>
      <name val="Calibri"/>
      <i val="1"/>
      <color rgb="FF666666"/>
      <sz val="11"/>
    </font>
    <font>
      <name val="Calibri"/>
      <i val="1"/>
      <color rgb="FF666666"/>
      <sz val="10"/>
    </font>
    <font>
      <b val="1"/>
      <color rgb="FF0563C1"/>
      <u val="single"/>
    </font>
    <font>
      <b val="1"/>
      <color rgb="FFFFFFFF"/>
    </font>
    <font>
      <b val="1"/>
      <color rgb="FF5B2245"/>
      <sz val="14"/>
    </font>
    <font>
      <b val="1"/>
    </font>
    <font>
      <i val="1"/>
      <color rgb="FF808080"/>
      <sz val="9"/>
    </font>
    <font>
      <b val="1"/>
      <color rgb="FF5B2245"/>
    </font>
    <font>
      <color rgb="FF808080"/>
      <sz val="10"/>
    </font>
    <font>
      <color rgb="FF0563C1"/>
      <u val="single"/>
    </font>
  </fonts>
  <fills count="11">
    <fill>
      <patternFill/>
    </fill>
    <fill>
      <patternFill patternType="gray125"/>
    </fill>
    <fill>
      <patternFill patternType="solid">
        <fgColor rgb="FF5B2245"/>
      </patternFill>
    </fill>
    <fill>
      <patternFill patternType="solid">
        <fgColor rgb="FFEADCE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8F1F5"/>
      </patternFill>
    </fill>
    <fill>
      <patternFill patternType="solid">
        <fgColor rgb="FFF7E9B0"/>
      </patternFill>
    </fill>
    <fill>
      <patternFill patternType="solid">
        <fgColor rgb="FFEDEDED"/>
      </patternFill>
    </fill>
    <fill>
      <patternFill patternType="solid">
        <fgColor rgb="FF7A3B6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9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" fontId="7" fillId="5" borderId="2" applyAlignment="1" pivotButton="0" quotePrefix="0" xfId="0">
      <alignment vertical="center" wrapText="1"/>
    </xf>
    <xf numFmtId="164" fontId="7" fillId="5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65" fontId="0" fillId="4" borderId="2" applyAlignment="1" pivotButton="0" quotePrefix="0" xfId="0">
      <alignment vertical="center" wrapText="1"/>
    </xf>
    <xf numFmtId="165" fontId="4" fillId="4" borderId="2" applyAlignment="1" pivotButton="0" quotePrefix="0" xfId="0">
      <alignment vertical="center" wrapText="1"/>
    </xf>
    <xf numFmtId="3" fontId="4" fillId="4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164" fontId="0" fillId="4" borderId="2" applyAlignment="1" pivotButton="0" quotePrefix="0" xfId="0">
      <alignment vertical="center" wrapText="1"/>
    </xf>
    <xf numFmtId="166" fontId="0" fillId="4" borderId="2" applyAlignment="1" pivotButton="0" quotePrefix="0" xfId="0">
      <alignment vertical="center" wrapText="1"/>
    </xf>
    <xf numFmtId="164" fontId="6" fillId="5" borderId="2" applyAlignment="1" pivotButton="0" quotePrefix="0" xfId="0">
      <alignment vertical="center" wrapText="1"/>
    </xf>
    <xf numFmtId="166" fontId="6" fillId="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 wrapText="1"/>
    </xf>
    <xf numFmtId="1" fontId="0" fillId="4" borderId="2" applyAlignment="1" pivotButton="0" quotePrefix="0" xfId="0">
      <alignment vertical="center" wrapText="1"/>
    </xf>
    <xf numFmtId="1" fontId="6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5" fillId="7" borderId="0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9" fontId="4" fillId="8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164" fontId="4" fillId="8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0" pivotButton="0" quotePrefix="0" xfId="0"/>
    <xf numFmtId="0" fontId="7" fillId="9" borderId="2" applyAlignment="1" pivotButton="0" quotePrefix="0" xfId="0">
      <alignment vertical="center" wrapText="1"/>
    </xf>
    <xf numFmtId="165" fontId="7" fillId="9" borderId="2" applyAlignment="1" pivotButton="0" quotePrefix="0" xfId="0">
      <alignment vertical="center" wrapText="1"/>
    </xf>
    <xf numFmtId="1" fontId="7" fillId="9" borderId="2" applyAlignment="1" pivotButton="0" quotePrefix="0" xfId="0">
      <alignment vertical="center" wrapText="1"/>
    </xf>
    <xf numFmtId="164" fontId="7" fillId="9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165" fontId="0" fillId="8" borderId="2" applyAlignment="1" pivotButton="0" quotePrefix="0" xfId="0">
      <alignment vertical="center" wrapText="1"/>
    </xf>
    <xf numFmtId="165" fontId="4" fillId="8" borderId="2" applyAlignment="1" pivotButton="0" quotePrefix="0" xfId="0">
      <alignment vertical="center" wrapText="1"/>
    </xf>
    <xf numFmtId="3" fontId="4" fillId="8" borderId="2" applyAlignment="1" pivotButton="0" quotePrefix="0" xfId="0">
      <alignment vertical="center" wrapText="1"/>
    </xf>
    <xf numFmtId="166" fontId="0" fillId="4" borderId="2" applyAlignment="1" pivotButton="0" quotePrefix="0" xfId="0">
      <alignment vertical="center" wrapText="1"/>
    </xf>
    <xf numFmtId="166" fontId="6" fillId="5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1" fontId="0" fillId="8" borderId="2" applyAlignment="1" pivotButton="0" quotePrefix="0" xfId="0">
      <alignment vertical="center" wrapText="1"/>
    </xf>
    <xf numFmtId="164" fontId="0" fillId="8" borderId="2" applyAlignment="1" pivotButton="0" quotePrefix="0" xfId="0">
      <alignment vertical="center" wrapText="1"/>
    </xf>
    <xf numFmtId="0" fontId="6" fillId="9" borderId="2" applyAlignment="1" pivotButton="0" quotePrefix="0" xfId="0">
      <alignment vertical="center" wrapText="1"/>
    </xf>
    <xf numFmtId="1" fontId="6" fillId="9" borderId="2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0" fontId="11" fillId="8" borderId="0" pivotButton="0" quotePrefix="0" xfId="0"/>
    <xf numFmtId="0" fontId="9" fillId="10" borderId="0" pivotButton="0" quotePrefix="0" xfId="0"/>
    <xf numFmtId="0" fontId="9" fillId="2" borderId="0" applyAlignment="1" pivotButton="0" quotePrefix="0" xfId="0">
      <alignment horizontal="center" vertical="center"/>
    </xf>
    <xf numFmtId="0" fontId="0" fillId="9" borderId="0" pivotButton="0" quotePrefix="0" xfId="0"/>
    <xf numFmtId="0" fontId="12" fillId="0" borderId="0" pivotButton="0" quotePrefix="0" xfId="0"/>
    <xf numFmtId="0" fontId="15" fillId="0" borderId="2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9" fontId="11" fillId="8" borderId="0" pivotButton="0" quotePrefix="0" xfId="0"/>
    <xf numFmtId="0" fontId="0" fillId="8" borderId="0" pivotButton="0" quotePrefix="0" xfId="0"/>
    <xf numFmtId="0" fontId="13" fillId="0" borderId="2" applyAlignment="1" pivotButton="0" quotePrefix="0" xfId="0">
      <alignment vertical="center" wrapText="1"/>
    </xf>
    <xf numFmtId="167" fontId="0" fillId="8" borderId="0" pivotButton="0" quotePrefix="0" xfId="0"/>
    <xf numFmtId="0" fontId="9" fillId="2" borderId="0" applyAlignment="1" pivotButton="0" quotePrefix="0" xfId="0">
      <alignment horizontal="center"/>
    </xf>
    <xf numFmtId="167" fontId="0" fillId="8" borderId="0" pivotButton="0" quotePrefix="0" xfId="0"/>
  </cellXfs>
  <cellStyles count="1">
    <cellStyle name="Normal" xfId="0" builtinId="0"/>
  </cellStyles>
  <dxfs count="14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7C1C1"/>
        </patternFill>
      </fill>
    </dxf>
    <dxf>
      <fill>
        <patternFill patternType="solid">
          <fgColor rgb="FFFAE3A0"/>
        </patternFill>
      </fill>
    </dxf>
    <dxf>
      <fill>
        <patternFill patternType="solid">
          <fgColor rgb="FFC6E7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Nuva Oxi</author>
  </authors>
  <commentList>
    <comment ref="A1" authorId="0" shapeId="0">
      <text>
        <t>Tablero de solo lectura: se calcula solo. Editar datos en las hojas de entrada.</t>
      </text>
    </comment>
  </commentList>
</comments>
</file>

<file path=xl/comments/comment2.xml><?xml version="1.0" encoding="utf-8"?>
<comments xmlns="http://schemas.openxmlformats.org/spreadsheetml/2006/main">
  <authors>
    <author>Nuva Oxi</author>
  </authors>
  <commentList>
    <comment ref="A1" authorId="0" shapeId="0">
      <text>
        <t>Hoja de solo lectura: se calcula sola.
Filtra el detalle en Ventas_SellIn por Año/Mes/Día o en Cobertura por Canal/Cliente/PDV.</t>
      </text>
    </comment>
    <comment ref="B3" authorId="0" shapeId="0">
      <text>
        <t>Cambia el año y la tabla 'Venta por mes' se recalcula sola.</t>
      </text>
    </comment>
    <comment ref="B34" authorId="0" shapeId="0">
      <text>
        <t>Escribe fecha inicial y final y todo el bloque se recalcula
para ese período (venta, unidades, facturas, deuda y canales).</t>
      </text>
    </comment>
  </commentList>
</comments>
</file>

<file path=xl/comments/comment3.xml><?xml version="1.0" encoding="utf-8"?>
<comments xmlns="http://schemas.openxmlformats.org/spreadsheetml/2006/main">
  <authors>
    <author>Nuva Oxi</author>
  </authors>
  <commentList>
    <comment ref="A1" authorId="0" shapeId="0">
      <text>
        <t>Escribe SOLO la columna 'Bodega (unid.)' en amarillo. Todo lo demás se calcula solo.
Se planifica sobre sell-in. Estado Reponer = falta stock; OK = suficiente.
Cambia días de cobertura y % seguridad en la hoja Inicio.</t>
      </text>
    </comment>
    <comment ref="C1" authorId="0" shapeId="0">
      <text>
        <t>Barras equivalentes vendidas (sell-in) en la ventana de demanda
(días definidos en Inicio B31, normalmente 30).</t>
      </text>
    </comment>
    <comment ref="E1" authorId="0" shapeId="0">
      <text>
        <t>Cuánto deberías tener en bodega:
venta por día × días de cobertura × (1 + % seguridad).
Los tres números se editan en Inicio (B29, B30, B31).</t>
      </text>
    </comment>
    <comment ref="F1" authorId="0" shapeId="0">
      <text>
        <t>ÚNICA columna que escribes en esta hoja (amarilla):
tu stock de bodega en UNIDADES tal como las cuentas.
Se convierte a barras automáticamente.</t>
      </text>
    </comment>
    <comment ref="H1" authorId="0" shapeId="0">
      <text>
        <t>Cuánto te falta para llegar al stock objetivo (en barras).
Si es 0, no necesitas reponer.</t>
      </text>
    </comment>
    <comment ref="I1" authorId="0" shapeId="0">
      <text>
        <t>Semáforo:
• Reponer (rojo) = tienes menos del 60% del objetivo.
• Ajustado (amarillo) = entre 60% y 100%.
• OK (verde) = objetivo cubierto.
• Falta bodega = aún no ingresas tu stock en la columna amarilla.</t>
      </text>
    </comment>
  </commentList>
</comments>
</file>

<file path=xl/comments/comment4.xml><?xml version="1.0" encoding="utf-8"?>
<comments xmlns="http://schemas.openxmlformats.org/spreadsheetml/2006/main">
  <authors>
    <author>Nuva Oxi</author>
  </authors>
  <commentList>
    <comment ref="A1" authorId="0" shapeId="0">
      <text>
        <t>Hoja de SOLO LECTURA: se llena sola desde Clientes_PDV, Ventas_SellIn y Stock_PDV.
Cada fila de aquí corresponde a la misma fila de Clientes_PDV (mismo PDV_ID).
El lunes: filtra Prioridad = Alta y esa es tu ruta.</t>
      </text>
    </comment>
    <comment ref="H1" authorId="0" shapeId="0">
      <text>
        <t>Estado visita:
• Vigente = visitado dentro de su frecuencia.
• Atrasado = pasaron más días que la frecuencia (ej: semanal y van 8+).
• Sin visita = no tiene fecha de última visita.
Se configura en Inicio (días por frecuencia).</t>
      </text>
    </comment>
    <comment ref="K1" authorId="0" shapeId="0">
      <text>
        <t>Estado venta (últimos 30 días de sell-in):
• Venta OK = sobre el umbral.
• Venta baja = vendió, pero bajo el monto mínimo (Inicio B15).
• Sin venta = cero facturación en el período.</t>
      </text>
    </comment>
    <comment ref="N1" authorId="0" shapeId="0">
      <text>
        <t>Estado pago:
• Sin deuda = no debe nada.
• Pendiente menor = debe poco.
• Pendiente relevante = debe más que el monto de Inicio B18 (cobrar primero).</t>
      </text>
    </comment>
    <comment ref="P1" authorId="0" shapeId="0">
      <text>
        <t>Estado stock en la sala (barras equivalentes):
• Crítico = casi sin producto, reponer ya.
• Observar = queda poco.
• OK = suficiente.
Umbrales en Inicio B16 y B17.</t>
      </text>
    </comment>
    <comment ref="Q1" authorId="0" shapeId="0">
      <text>
        <t>Prioridad para el lunes (se calcula sola):
• Alta = visita atrasada, sin venta, deuda relevante o stock crítico.
• Media = venta baja, deuda menor o stock en observación.
• Baja = todo en orden.</t>
      </text>
    </comment>
    <comment ref="R1" authorId="0" shapeId="0">
      <text>
        <t>Qué hacer con este PDV según su prioridad:
Gestionar esta semana / Hacer seguimiento / Mantener.</t>
      </text>
    </comment>
    <comment ref="S1" authorId="0" shapeId="0">
      <text>
        <t>Rotación = qué tan rápido vende este PDV (venta neta 30 días):
• Alta = vende sobre el monto de Inicio B34 → se le puede vender más.
• Media = entre ambos montos.
• Baja = bajo el umbral de venta baja → ojo con mandarle más producto.
• Sin venta = no ha facturado en 30 días.</t>
      </text>
    </comment>
  </commentList>
</comments>
</file>

<file path=xl/comments/comment5.xml><?xml version="1.0" encoding="utf-8"?>
<comments xmlns="http://schemas.openxmlformats.org/spreadsheetml/2006/main">
  <authors>
    <author>Nuva Oxi</author>
  </authors>
  <commentList>
    <comment ref="A1" authorId="0" shapeId="0">
      <text>
        <t>Código único de cada punto de venta: PDV-001, PDV-002...
Sigue el correlativo y NO lo repitas ni lo cambies después:
es el hilo que conecta todas las hojas.</t>
      </text>
    </comment>
    <comment ref="H1" authorId="0" shapeId="0">
      <text>
        <t>Actualiza esta fecha cada vez que visites el punto de venta.
Con ella se calcula si la visita está vigente o atrasada.</t>
      </text>
    </comment>
  </commentList>
</comments>
</file>

<file path=xl/comments/comment6.xml><?xml version="1.0" encoding="utf-8"?>
<comments xmlns="http://schemas.openxmlformats.org/spreadsheetml/2006/main">
  <authors>
    <author>Nuva Oxi</author>
  </authors>
  <commentList>
    <comment ref="A1" authorId="0" shapeId="0">
      <text>
        <t>Escribe SOLO en las celdas amarillas. Las grises se calculan solas.</t>
      </text>
    </comment>
    <comment ref="K1" authorId="0" shapeId="0">
      <text>
        <t>Precio NETO facturado por unidad (sin IVA).
NO usar el PVP de la sala: aquí va lo que tú facturas.</t>
      </text>
    </comment>
    <comment ref="Q1" authorId="0" shapeId="0">
      <text>
        <t>Lo que el cliente ya pagó de esta factura (bruto).
El monto pendiente (columna R) se calcula solo.</t>
      </text>
    </comment>
    <comment ref="U1" authorId="0" shapeId="0">
      <text>
        <t>Año, Mes, Día y Periodo se calculan solos desde la fecha.
Sirven para filtrar: ej. Mes = 7 muestra solo julio.
Periodo agrupa por mes (2026-07).</t>
      </text>
    </comment>
    <comment ref="Y1" authorId="0" shapeId="0">
      <text>
        <t>Cantidad convertida a barras (unidad común del archivo).
La usa Plan_Inventario para calcular la demanda.</t>
      </text>
    </comment>
  </commentList>
</comments>
</file>

<file path=xl/comments/comment7.xml><?xml version="1.0" encoding="utf-8"?>
<comments xmlns="http://schemas.openxmlformats.org/spreadsheetml/2006/main">
  <authors>
    <author>ChatGPT</author>
  </authors>
  <commentList>
    <comment ref="D5" authorId="0" shapeId="0">
      <text>
        <t>PVP bruto pensado: precio al consumidor final con IVA. Ejemplo unidad $1.990 o estuche $5.990.</t>
      </text>
    </comment>
    <comment ref="E5" authorId="0" shapeId="0">
      <text>
        <t>Margen frontal objetivo del cliente. Fórmula conceptual: (PVP neto - precio neto cliente) / PVP neto.</t>
      </text>
    </comment>
    <comment ref="G5" authorId="0" shapeId="0">
      <text>
        <t>Precio neto sugerido a facturar al cliente para que logre el margen frontal objetivo.</t>
      </text>
    </comment>
    <comment ref="E61" authorId="0" shapeId="0">
      <text>
        <t>Precio neto que tú decides ofrecer/facturar. Aquí no se usa PVP ni margen para calcularlo.</t>
      </text>
    </comment>
  </commentList>
</comments>
</file>

<file path=xl/comments/comment8.xml><?xml version="1.0" encoding="utf-8"?>
<comments xmlns="http://schemas.openxmlformats.org/spreadsheetml/2006/main">
  <authors>
    <author>Nuva Oxi</author>
  </authors>
  <commentList>
    <comment ref="A1" authorId="0" shapeId="0">
      <text>
        <t>Aquí se pegan las exportaciones de Cencosud/Jumbo cuando existan.
Sell-out = lo que la sala vendió al consumidor final.
Sirve para validar rotación, no para planificar inventario (eso usa sell-in).</t>
      </text>
    </comment>
  </commentList>
</comments>
</file>

<file path=xl/comments/comment9.xml><?xml version="1.0" encoding="utf-8"?>
<comments xmlns="http://schemas.openxmlformats.org/spreadsheetml/2006/main">
  <authors>
    <author>Nuva Oxi</author>
  </authors>
  <commentList>
    <comment ref="A1" authorId="0" shapeId="0">
      <text>
        <t>Escribe SOLO en las celdas amarillas. Las grises se calculan solas.</t>
      </text>
    </comment>
    <comment ref="G1" authorId="0" shapeId="0">
      <text>
        <t>Lo que contaste en la sala, en las unidades del SKU
(unidades, estuches o cajas, según el SKU).</t>
      </text>
    </comment>
    <comment ref="H1" authorId="0" shapeId="0">
      <text>
        <t>Conversión automática a barras para comparar
todos los formatos con la misma vara.</t>
      </text>
    </comment>
  </commentList>
</comments>
</file>

<file path=xl/comments/comment10.xml><?xml version="1.0" encoding="utf-8"?>
<comments xmlns="http://schemas.openxmlformats.org/spreadsheetml/2006/main">
  <authors>
    <author>ChatGPT</author>
  </authors>
  <commentList>
    <comment ref="A1" authorId="0" shapeId="0">
      <text>
        <t>Maestro de SKU. No tiene precios. El precio neto real se carga en Ventas_SellIn; el PVP/margen se simula en Margen_Frontal.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Guia_Ana!A1" TargetMode="External" Id="rId1" /><Relationship Type="http://schemas.openxmlformats.org/officeDocument/2006/relationships/hyperlink" Target="#Dashboard!A1" TargetMode="External" Id="rId2" /><Relationship Type="http://schemas.openxmlformats.org/officeDocument/2006/relationships/hyperlink" Target="#Cobertura!A1" TargetMode="External" Id="rId3" /><Relationship Type="http://schemas.openxmlformats.org/officeDocument/2006/relationships/hyperlink" Target="#Clientes_PDV!A1" TargetMode="External" Id="rId4" /><Relationship Type="http://schemas.openxmlformats.org/officeDocument/2006/relationships/hyperlink" Target="#Ventas_SellIn!A1" TargetMode="External" Id="rId5" /><Relationship Type="http://schemas.openxmlformats.org/officeDocument/2006/relationships/hyperlink" Target="#Margen_Frontal!A1" TargetMode="External" Id="rId6" /><Relationship Type="http://schemas.openxmlformats.org/officeDocument/2006/relationships/hyperlink" Target="#SellOut_Jumbo!A1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Inicio!A28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hyperlink" Target="#Inicio!A11" TargetMode="Externa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5B2245"/>
    <outlinePr summaryBelow="1" summaryRight="1"/>
    <pageSetUpPr/>
  </sheetPr>
  <dimension ref="A1:K36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8.7265625" defaultRowHeight="14.5"/>
  <cols>
    <col width="18" customWidth="1" style="36" min="1" max="1"/>
    <col width="26.36328125" customWidth="1" style="36" min="2" max="2"/>
    <col width="42" customWidth="1" style="36" min="3" max="3"/>
    <col width="3" customWidth="1" style="36" min="4" max="4"/>
    <col width="18" customWidth="1" style="36" min="5" max="6"/>
    <col width="16" customWidth="1" style="36" min="7" max="7"/>
    <col width="18" customWidth="1" style="36" min="8" max="8"/>
    <col width="14" customWidth="1" style="36" min="9" max="9"/>
    <col width="16" customWidth="1" style="36" min="10" max="10"/>
    <col width="14" customWidth="1" style="36" min="11" max="11"/>
  </cols>
  <sheetData>
    <row r="1" ht="28" customHeight="1" s="36">
      <c r="A1" s="37" t="inlineStr">
        <is>
          <t>NUVA OXI | Control comercial simple</t>
        </is>
      </c>
    </row>
    <row r="2" ht="20" customHeight="1" s="36">
      <c r="A2" s="47" t="inlineStr">
        <is>
          <t>GUÍA — cómo funciona, se edita, se alimenta y crece  (clic aquí)</t>
        </is>
      </c>
    </row>
    <row r="3" ht="20" customHeight="1" s="36">
      <c r="A3" s="35" t="inlineStr">
        <is>
          <t>Cómo se usa en simple</t>
        </is>
      </c>
      <c r="E3" s="34" t="inlineStr">
        <is>
          <t>Listas editables para desplegables</t>
        </is>
      </c>
      <c r="F3" s="32" t="n"/>
      <c r="G3" s="32" t="n"/>
      <c r="H3" s="32" t="n"/>
      <c r="I3" s="32" t="n"/>
      <c r="J3" s="32" t="n"/>
      <c r="K3" s="33" t="n"/>
    </row>
    <row r="4" ht="24" customHeight="1" s="36">
      <c r="A4" s="41" t="n">
        <v>1</v>
      </c>
      <c r="B4" s="70" t="inlineStr">
        <is>
          <t>Dashboard: mirar cada lunes qué está en rojo o prioridad alta.</t>
        </is>
      </c>
      <c r="C4" s="41" t="n"/>
      <c r="D4" s="41" t="n"/>
      <c r="E4" s="2" t="inlineStr">
        <is>
          <t>Canal</t>
        </is>
      </c>
      <c r="F4" s="2" t="inlineStr">
        <is>
          <t>Status pago</t>
        </is>
      </c>
      <c r="G4" s="2" t="inlineStr">
        <is>
          <t>Estado cliente</t>
        </is>
      </c>
      <c r="H4" s="2" t="inlineStr">
        <is>
          <t>Condición pago</t>
        </is>
      </c>
      <c r="I4" s="2" t="inlineStr">
        <is>
          <t>Prioridad</t>
        </is>
      </c>
      <c r="J4" s="2" t="inlineStr">
        <is>
          <t>Estado stock</t>
        </is>
      </c>
      <c r="K4" s="2" t="inlineStr">
        <is>
          <t>Frecuencia</t>
        </is>
      </c>
    </row>
    <row r="5" ht="24" customHeight="1" s="36">
      <c r="A5" s="41" t="n">
        <v>2</v>
      </c>
      <c r="B5" s="70" t="inlineStr">
        <is>
          <t>Cobertura: revisar el detalle por punto de venta, visita, venta, pago y stock.</t>
        </is>
      </c>
      <c r="C5" s="41" t="n"/>
      <c r="D5" s="41" t="n"/>
      <c r="E5" s="3" t="inlineStr">
        <is>
          <t>Retail</t>
        </is>
      </c>
      <c r="F5" s="3" t="inlineStr">
        <is>
          <t>Pendiente</t>
        </is>
      </c>
      <c r="G5" s="3" t="inlineStr">
        <is>
          <t>Activo</t>
        </is>
      </c>
      <c r="H5" s="3" t="inlineStr">
        <is>
          <t>Contado</t>
        </is>
      </c>
      <c r="I5" s="3" t="inlineStr">
        <is>
          <t>Alta</t>
        </is>
      </c>
      <c r="J5" s="3" t="inlineStr">
        <is>
          <t>Crítico</t>
        </is>
      </c>
      <c r="K5" s="3" t="inlineStr">
        <is>
          <t>Semanal</t>
        </is>
      </c>
    </row>
    <row r="6" ht="24" customHeight="1" s="36">
      <c r="A6" s="41" t="n">
        <v>3</v>
      </c>
      <c r="B6" s="70" t="inlineStr">
        <is>
          <t>Clientes_PDV: agregar nuevos clientes o salas. Esa hoja alimenta Cobertura.</t>
        </is>
      </c>
      <c r="C6" s="41" t="n"/>
      <c r="D6" s="41" t="n"/>
      <c r="E6" s="3" t="inlineStr">
        <is>
          <t>Conveniencia</t>
        </is>
      </c>
      <c r="F6" s="3" t="inlineStr">
        <is>
          <t>Pagada</t>
        </is>
      </c>
      <c r="G6" s="3" t="inlineStr">
        <is>
          <t>Pausado</t>
        </is>
      </c>
      <c r="H6" s="3" t="inlineStr">
        <is>
          <t>Crédito 15 días</t>
        </is>
      </c>
      <c r="I6" s="3" t="inlineStr">
        <is>
          <t>Media</t>
        </is>
      </c>
      <c r="J6" s="3" t="inlineStr">
        <is>
          <t>Observar</t>
        </is>
      </c>
      <c r="K6" s="3" t="inlineStr">
        <is>
          <t>Quincenal</t>
        </is>
      </c>
    </row>
    <row r="7" ht="24" customHeight="1" s="36">
      <c r="A7" s="41" t="n">
        <v>4</v>
      </c>
      <c r="B7" s="70" t="inlineStr">
        <is>
          <t>Ventas_SellIn: ingresar facturas reales. No usar PVP; solo precio neto facturado.</t>
        </is>
      </c>
      <c r="C7" s="41" t="n"/>
      <c r="D7" s="41" t="n"/>
      <c r="E7" s="3" t="inlineStr">
        <is>
          <t>Farmacias</t>
        </is>
      </c>
      <c r="F7" s="3" t="inlineStr">
        <is>
          <t>Parcial</t>
        </is>
      </c>
      <c r="G7" s="3" t="inlineStr">
        <is>
          <t>Prospecto</t>
        </is>
      </c>
      <c r="H7" s="3" t="inlineStr">
        <is>
          <t>Crédito 30 días</t>
        </is>
      </c>
      <c r="I7" s="3" t="inlineStr">
        <is>
          <t>Baja</t>
        </is>
      </c>
      <c r="J7" s="3" t="inlineStr">
        <is>
          <t>OK</t>
        </is>
      </c>
      <c r="K7" s="3" t="inlineStr">
        <is>
          <t>Mensual</t>
        </is>
      </c>
    </row>
    <row r="8" ht="24" customHeight="1" s="36">
      <c r="A8" s="41" t="n">
        <v>5</v>
      </c>
      <c r="B8" s="70" t="inlineStr">
        <is>
          <t>Margen_Frontal: simular precio/margen aparte, sin afectar ventas ni cobertura.</t>
        </is>
      </c>
      <c r="C8" s="41" t="n"/>
      <c r="D8" s="41" t="n"/>
      <c r="E8" s="3" t="inlineStr">
        <is>
          <t>Especializadas</t>
        </is>
      </c>
      <c r="F8" s="3" t="inlineStr">
        <is>
          <t>Vencida</t>
        </is>
      </c>
      <c r="G8" s="3" t="inlineStr">
        <is>
          <t>Inactivo</t>
        </is>
      </c>
      <c r="H8" s="3" t="inlineStr">
        <is>
          <t>Crédito 45 días</t>
        </is>
      </c>
      <c r="I8" s="41" t="n"/>
      <c r="J8" s="41" t="n"/>
      <c r="K8" s="41" t="n"/>
    </row>
    <row r="9" ht="24" customHeight="1" s="36">
      <c r="A9" s="41" t="n">
        <v>6</v>
      </c>
      <c r="B9" s="70" t="inlineStr">
        <is>
          <t>SellOut_Jumbo: pegar exportaciones futuras de Cencosud/Jumbo cuando existan.</t>
        </is>
      </c>
      <c r="C9" s="41" t="n"/>
      <c r="D9" s="41" t="n"/>
      <c r="E9" s="3" t="inlineStr">
        <is>
          <t>HORECA</t>
        </is>
      </c>
      <c r="F9" s="3" t="inlineStr">
        <is>
          <t>Nota crédito</t>
        </is>
      </c>
      <c r="G9" s="41" t="n"/>
      <c r="H9" s="3" t="inlineStr">
        <is>
          <t>Crédito 60 días</t>
        </is>
      </c>
      <c r="I9" s="41" t="n"/>
      <c r="J9" s="41" t="n"/>
      <c r="K9" s="41" t="n"/>
    </row>
    <row r="10" ht="20" customHeight="1" s="36">
      <c r="A10" s="41" t="n"/>
      <c r="B10" s="41" t="n"/>
      <c r="C10" s="41" t="n"/>
      <c r="D10" s="41" t="n"/>
      <c r="E10" s="3" t="inlineStr">
        <is>
          <t>Tradicional</t>
        </is>
      </c>
      <c r="F10" s="41" t="n"/>
      <c r="G10" s="41" t="n"/>
      <c r="H10" s="41" t="n"/>
      <c r="I10" s="41" t="n"/>
      <c r="J10" s="41" t="n"/>
      <c r="K10" s="41" t="n"/>
    </row>
    <row r="11" ht="20" customHeight="1" s="36">
      <c r="A11" s="31" t="inlineStr">
        <is>
          <t>Condiciones editables</t>
        </is>
      </c>
      <c r="B11" s="32" t="n"/>
      <c r="C11" s="33" t="n"/>
      <c r="D11" s="41" t="n"/>
      <c r="E11" s="3" t="inlineStr">
        <is>
          <t>Ecommerce</t>
        </is>
      </c>
      <c r="F11" s="41" t="n"/>
      <c r="G11" s="41" t="n"/>
      <c r="H11" s="41" t="n"/>
      <c r="I11" s="41" t="n"/>
      <c r="J11" s="41" t="n"/>
      <c r="K11" s="41" t="n"/>
    </row>
    <row r="12" ht="28" customHeight="1" s="36">
      <c r="A12" s="2" t="inlineStr">
        <is>
          <t>Condición</t>
        </is>
      </c>
      <c r="B12" s="2" t="inlineStr">
        <is>
          <t>Valor editable</t>
        </is>
      </c>
      <c r="C12" s="2" t="inlineStr">
        <is>
          <t>Qué significa</t>
        </is>
      </c>
      <c r="D12" s="41" t="n"/>
      <c r="E12" s="3" t="inlineStr">
        <is>
          <t>Corporativo</t>
        </is>
      </c>
      <c r="F12" s="41" t="n"/>
      <c r="G12" s="41" t="n"/>
      <c r="H12" s="41" t="n"/>
      <c r="I12" s="41" t="n"/>
      <c r="J12" s="41" t="n"/>
      <c r="K12" s="41" t="n"/>
    </row>
    <row r="13" ht="20" customHeight="1" s="36">
      <c r="A13" s="41" t="inlineStr">
        <is>
          <t>IVA</t>
        </is>
      </c>
      <c r="B13" s="42" t="n">
        <v>0.19</v>
      </c>
      <c r="C13" s="41" t="inlineStr">
        <is>
          <t>Se usa para pasar neto a bruto y viceversa.</t>
        </is>
      </c>
      <c r="D13" s="41" t="n"/>
      <c r="E13" s="3" t="inlineStr">
        <is>
          <t>Distribuidor</t>
        </is>
      </c>
      <c r="F13" s="41" t="n"/>
      <c r="G13" s="41" t="n"/>
      <c r="H13" s="41" t="n"/>
      <c r="I13" s="41" t="n"/>
      <c r="J13" s="41" t="n"/>
      <c r="K13" s="41" t="n"/>
    </row>
    <row r="14" ht="20" customHeight="1" s="36">
      <c r="A14" s="41" t="inlineStr">
        <is>
          <t>Venta reciente últimos días</t>
        </is>
      </c>
      <c r="B14" s="43" t="n">
        <v>30</v>
      </c>
      <c r="C14" s="41" t="inlineStr">
        <is>
          <t>Período usado en cobertura y dashboard.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</row>
    <row r="15" ht="20" customHeight="1" s="36">
      <c r="A15" s="41" t="inlineStr">
        <is>
          <t>Venta baja si es menor a</t>
        </is>
      </c>
      <c r="B15" s="44" t="n">
        <v>50000</v>
      </c>
      <c r="C15" s="41" t="inlineStr">
        <is>
          <t>Si venta neta 30d queda bajo este monto, se marca baja.</t>
        </is>
      </c>
      <c r="D15" s="41" t="n"/>
      <c r="E15" s="31" t="inlineStr">
        <is>
          <t>Leyenda</t>
        </is>
      </c>
      <c r="F15" s="41" t="n"/>
      <c r="G15" s="41" t="n"/>
      <c r="H15" s="41" t="n"/>
      <c r="I15" s="41" t="n"/>
      <c r="J15" s="41" t="n"/>
      <c r="K15" s="41" t="n"/>
    </row>
    <row r="16" ht="20" customHeight="1" s="36">
      <c r="A16" s="41" t="inlineStr">
        <is>
          <t>Stock crítico PDV barras</t>
        </is>
      </c>
      <c r="B16" s="43" t="n">
        <v>8</v>
      </c>
      <c r="C16" s="41" t="inlineStr">
        <is>
          <t>Barras equivalentes en sala bajo este nivel = crítico.</t>
        </is>
      </c>
      <c r="D16" s="41" t="n"/>
      <c r="E16" s="3" t="inlineStr">
        <is>
          <t>Amarillo</t>
        </is>
      </c>
      <c r="F16" s="41" t="inlineStr">
        <is>
          <t>Dato editable</t>
        </is>
      </c>
      <c r="G16" s="41" t="n"/>
      <c r="H16" s="41" t="n"/>
      <c r="I16" s="41" t="n"/>
      <c r="J16" s="41" t="n"/>
      <c r="K16" s="41" t="n"/>
    </row>
    <row r="17" ht="20" customHeight="1" s="36">
      <c r="A17" s="41" t="inlineStr">
        <is>
          <t>Stock en observación PDV barras</t>
        </is>
      </c>
      <c r="B17" s="43" t="n">
        <v>20</v>
      </c>
      <c r="C17" s="41" t="inlineStr">
        <is>
          <t>Barras equivalentes en sala bajo este nivel = observar.</t>
        </is>
      </c>
      <c r="D17" s="41" t="n"/>
      <c r="E17" s="7" t="inlineStr">
        <is>
          <t>Gris</t>
        </is>
      </c>
      <c r="F17" s="41" t="inlineStr">
        <is>
          <t>Fórmula; no tocar</t>
        </is>
      </c>
      <c r="G17" s="41" t="n"/>
      <c r="H17" s="41" t="n"/>
      <c r="I17" s="41" t="n"/>
      <c r="J17" s="41" t="n"/>
      <c r="K17" s="41" t="n"/>
    </row>
    <row r="18" ht="20" customHeight="1" s="36">
      <c r="A18" s="41" t="inlineStr">
        <is>
          <t>Monto pendiente relevante</t>
        </is>
      </c>
      <c r="B18" s="44" t="n">
        <v>100000</v>
      </c>
      <c r="C18" s="41" t="inlineStr">
        <is>
          <t>Deuda sobre este monto eleva prioridad.</t>
        </is>
      </c>
      <c r="D18" s="41" t="n"/>
      <c r="E18" s="2" t="inlineStr">
        <is>
          <t>Morado</t>
        </is>
      </c>
      <c r="F18" s="41" t="inlineStr">
        <is>
          <t>Título/encabezado</t>
        </is>
      </c>
      <c r="G18" s="41" t="n"/>
      <c r="H18" s="41" t="n"/>
      <c r="I18" s="41" t="n"/>
      <c r="J18" s="41" t="n"/>
      <c r="K18" s="41" t="n"/>
    </row>
    <row r="19" ht="20" customHeight="1" s="36">
      <c r="A19" s="41" t="inlineStr">
        <is>
          <t>Factura próxima a vencer días</t>
        </is>
      </c>
      <c r="B19" s="43" t="n">
        <v>7</v>
      </c>
      <c r="C19" s="41" t="inlineStr">
        <is>
          <t>Días hacia adelante para marcar próxima a vencer.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</row>
    <row r="20" ht="20" customHeight="1" s="36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</row>
    <row r="21" ht="20" customHeight="1" s="36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</row>
    <row r="22" ht="20" customHeight="1" s="36">
      <c r="A22" s="31" t="inlineStr">
        <is>
          <t>Frecuencia de visita</t>
        </is>
      </c>
      <c r="B22" s="32" t="n"/>
      <c r="C22" s="33" t="n"/>
      <c r="D22" s="41" t="n"/>
      <c r="E22" s="41" t="n"/>
      <c r="F22" s="41" t="n"/>
      <c r="G22" s="41" t="n"/>
      <c r="H22" s="41" t="n"/>
      <c r="I22" s="41" t="n"/>
      <c r="J22" s="41" t="n"/>
      <c r="K22" s="41" t="n"/>
    </row>
    <row r="23" ht="28" customHeight="1" s="36">
      <c r="A23" s="2" t="inlineStr">
        <is>
          <t>Frecuencia</t>
        </is>
      </c>
      <c r="B23" s="2" t="inlineStr">
        <is>
          <t>Días máximos</t>
        </is>
      </c>
      <c r="C23" s="2" t="inlineStr">
        <is>
          <t>Regla</t>
        </is>
      </c>
      <c r="D23" s="41" t="n"/>
      <c r="E23" s="41" t="n"/>
      <c r="F23" s="41" t="n"/>
      <c r="G23" s="41" t="n"/>
      <c r="H23" s="41" t="n"/>
      <c r="I23" s="41" t="n"/>
      <c r="J23" s="41" t="n"/>
      <c r="K23" s="41" t="n"/>
    </row>
    <row r="24" ht="20" customHeight="1" s="36">
      <c r="A24" s="41" t="inlineStr">
        <is>
          <t>Semanal</t>
        </is>
      </c>
      <c r="B24" s="43" t="n">
        <v>7</v>
      </c>
      <c r="C24" s="41" t="inlineStr">
        <is>
          <t>Atrasado desde 8 días</t>
        </is>
      </c>
      <c r="D24" s="41" t="n"/>
      <c r="E24" s="41" t="n"/>
      <c r="F24" s="41" t="n"/>
      <c r="G24" s="41" t="n"/>
      <c r="H24" s="41" t="n"/>
      <c r="I24" s="41" t="n"/>
      <c r="J24" s="41" t="n"/>
      <c r="K24" s="41" t="n"/>
    </row>
    <row r="25" ht="20" customHeight="1" s="36">
      <c r="A25" s="41" t="inlineStr">
        <is>
          <t>Quincenal</t>
        </is>
      </c>
      <c r="B25" s="43" t="n">
        <v>15</v>
      </c>
      <c r="C25" s="41" t="inlineStr">
        <is>
          <t>Atrasado desde 16 días</t>
        </is>
      </c>
      <c r="D25" s="41" t="n"/>
      <c r="E25" s="41" t="n"/>
      <c r="F25" s="41" t="n"/>
      <c r="G25" s="41" t="n"/>
      <c r="H25" s="41" t="n"/>
      <c r="I25" s="41" t="n"/>
      <c r="J25" s="41" t="n"/>
      <c r="K25" s="41" t="n"/>
    </row>
    <row r="26" ht="20" customHeight="1" s="36">
      <c r="A26" s="41" t="inlineStr">
        <is>
          <t>Mensual</t>
        </is>
      </c>
      <c r="B26" s="43" t="n">
        <v>30</v>
      </c>
      <c r="C26" s="41" t="inlineStr">
        <is>
          <t>Atrasado desde 31 días</t>
        </is>
      </c>
      <c r="D26" s="41" t="n"/>
      <c r="E26" s="41" t="n"/>
      <c r="F26" s="41" t="n"/>
      <c r="G26" s="41" t="n"/>
      <c r="H26" s="41" t="n"/>
      <c r="I26" s="41" t="n"/>
      <c r="J26" s="41" t="n"/>
      <c r="K26" s="41" t="n"/>
    </row>
    <row r="27" ht="20" customHeight="1" s="36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</row>
    <row r="28">
      <c r="A28" s="71" t="inlineStr">
        <is>
          <t>Parámetros de inventario (editable)</t>
        </is>
      </c>
    </row>
    <row r="29">
      <c r="A29" t="inlineStr">
        <is>
          <t>Días de cobertura objetivo</t>
        </is>
      </c>
      <c r="B29" s="65" t="n">
        <v>30</v>
      </c>
      <c r="C29" s="72" t="inlineStr">
        <is>
          <t>Cuántos días de venta quieres tener en stock</t>
        </is>
      </c>
    </row>
    <row r="30">
      <c r="A30" t="inlineStr">
        <is>
          <t>% stock de seguridad</t>
        </is>
      </c>
      <c r="B30" s="73" t="n">
        <v>0.2</v>
      </c>
      <c r="C30" s="72" t="inlineStr">
        <is>
          <t>Colchón sobre el objetivo ante quiebres</t>
        </is>
      </c>
    </row>
    <row r="31">
      <c r="A31" t="inlineStr">
        <is>
          <t>Ventana de demanda (días)</t>
        </is>
      </c>
      <c r="B31" s="65" t="n">
        <v>30</v>
      </c>
      <c r="C31" s="72" t="inlineStr">
        <is>
          <t>Período de sell-in para el promedio (30/60/90)</t>
        </is>
      </c>
    </row>
    <row r="33">
      <c r="A33" s="71" t="inlineStr">
        <is>
          <t>Reglas de rotación (editable)</t>
        </is>
      </c>
    </row>
    <row r="34">
      <c r="A34" t="inlineStr">
        <is>
          <t>Rotación ALTA: venta 30d ≥</t>
        </is>
      </c>
      <c r="B34" s="65" t="n">
        <v>150000</v>
      </c>
      <c r="C34" s="72" t="inlineStr">
        <is>
          <t>Sobre este monto, el PDV rota bien</t>
        </is>
      </c>
    </row>
    <row r="35">
      <c r="A35" t="inlineStr">
        <is>
          <t>Rotación BAJA: venta 30d &lt;</t>
        </is>
      </c>
      <c r="B35" s="68">
        <f>B15</f>
        <v/>
      </c>
      <c r="C35" s="72" t="inlineStr">
        <is>
          <t>Usa el mismo umbral de 'Venta baja' (B15)</t>
        </is>
      </c>
    </row>
    <row r="36">
      <c r="A36" t="inlineStr">
        <is>
          <t>Rotación MEDIA:</t>
        </is>
      </c>
      <c r="B36" s="68" t="inlineStr">
        <is>
          <t>entre ambos</t>
        </is>
      </c>
      <c r="C36" s="72" t="inlineStr">
        <is>
          <t>Entre el monto de BAJA y el de ALTA</t>
        </is>
      </c>
    </row>
  </sheetData>
  <mergeCells count="5">
    <mergeCell ref="A11:C11"/>
    <mergeCell ref="E3:K3"/>
    <mergeCell ref="A3:D3"/>
    <mergeCell ref="A22:C22"/>
    <mergeCell ref="A1:H1"/>
  </mergeCells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2245"/>
    <outlinePr summaryBelow="1" summaryRight="1"/>
    <pageSetUpPr/>
  </sheetPr>
  <dimension ref="A1:H38"/>
  <sheetViews>
    <sheetView workbookViewId="0">
      <selection activeCell="A1" sqref="A1"/>
    </sheetView>
  </sheetViews>
  <sheetFormatPr baseColWidth="10" defaultColWidth="8.7265625" defaultRowHeight="14.5"/>
  <cols>
    <col width="4" customWidth="1" style="36" min="1" max="1"/>
    <col width="22" customWidth="1" style="36" min="2" max="2"/>
    <col width="18" customWidth="1" style="36" min="3" max="8"/>
  </cols>
  <sheetData>
    <row r="1" ht="28" customHeight="1" s="36">
      <c r="A1" s="37" t="inlineStr">
        <is>
          <t>Guía rápida para Ana | Cómo leer y cargar el archivo</t>
        </is>
      </c>
    </row>
    <row r="2" ht="20" customHeight="1" s="36"/>
    <row r="3" ht="20" customHeight="1" s="36">
      <c r="A3" s="34" t="inlineStr">
        <is>
          <t>Objetivo del archivo</t>
        </is>
      </c>
      <c r="B3" s="32" t="n"/>
      <c r="C3" s="32" t="n"/>
      <c r="D3" s="32" t="n"/>
      <c r="E3" s="32" t="n"/>
      <c r="F3" s="32" t="n"/>
      <c r="G3" s="32" t="n"/>
      <c r="H3" s="33" t="n"/>
    </row>
    <row r="4" ht="40" customHeight="1" s="36">
      <c r="A4" s="41" t="inlineStr">
        <is>
          <t>Ayudar a decidir cada lunes qué puntos de venta visitar, cuáles están vendiendo, cuáles tienen facturas pendientes y dónde falta stock. No busca reemplazar ERP ni contabilidad.</t>
        </is>
      </c>
      <c r="B4" s="32" t="n"/>
      <c r="C4" s="32" t="n"/>
      <c r="D4" s="32" t="n"/>
      <c r="E4" s="32" t="n"/>
      <c r="F4" s="32" t="n"/>
      <c r="G4" s="32" t="n"/>
      <c r="H4" s="33" t="n"/>
    </row>
    <row r="5" ht="20" customHeight="1" s="36">
      <c r="A5" s="41" t="n"/>
      <c r="B5" s="41" t="n"/>
      <c r="C5" s="41" t="n"/>
      <c r="D5" s="41" t="n"/>
      <c r="E5" s="41" t="n"/>
      <c r="F5" s="41" t="n"/>
      <c r="G5" s="41" t="n"/>
      <c r="H5" s="41" t="n"/>
    </row>
    <row r="6" ht="20" customHeight="1" s="36">
      <c r="A6" s="31" t="inlineStr">
        <is>
          <t>Qué mirar primero</t>
        </is>
      </c>
      <c r="B6" s="32" t="n"/>
      <c r="C6" s="32" t="n"/>
      <c r="D6" s="32" t="n"/>
      <c r="E6" s="32" t="n"/>
      <c r="F6" s="32" t="n"/>
      <c r="G6" s="32" t="n"/>
      <c r="H6" s="33" t="n"/>
    </row>
    <row r="7" ht="24" customHeight="1" s="36">
      <c r="A7" s="41" t="inlineStr">
        <is>
          <t>•</t>
        </is>
      </c>
      <c r="B7" s="41" t="inlineStr">
        <is>
          <t>1. Abrir Dashboard y revisar prioridad alta.</t>
        </is>
      </c>
      <c r="C7" s="32" t="n"/>
      <c r="D7" s="32" t="n"/>
      <c r="E7" s="32" t="n"/>
      <c r="F7" s="32" t="n"/>
      <c r="G7" s="32" t="n"/>
      <c r="H7" s="33" t="n"/>
    </row>
    <row r="8" ht="24" customHeight="1" s="36">
      <c r="A8" s="41" t="inlineStr">
        <is>
          <t>•</t>
        </is>
      </c>
      <c r="B8" s="41" t="inlineStr">
        <is>
          <t>2. Ir a Cobertura para ver la razón: visita atrasada, sin venta, deuda o stock crítico.</t>
        </is>
      </c>
      <c r="C8" s="32" t="n"/>
      <c r="D8" s="32" t="n"/>
      <c r="E8" s="32" t="n"/>
      <c r="F8" s="32" t="n"/>
      <c r="G8" s="32" t="n"/>
      <c r="H8" s="33" t="n"/>
    </row>
    <row r="9" ht="24" customHeight="1" s="36">
      <c r="A9" s="41" t="inlineStr">
        <is>
          <t>•</t>
        </is>
      </c>
      <c r="B9" s="41" t="inlineStr">
        <is>
          <t>3. Filtrar por Canal o Cliente si se saldrá a terreno por zona/cuenta.</t>
        </is>
      </c>
      <c r="C9" s="32" t="n"/>
      <c r="D9" s="32" t="n"/>
      <c r="E9" s="32" t="n"/>
      <c r="F9" s="32" t="n"/>
      <c r="G9" s="32" t="n"/>
      <c r="H9" s="33" t="n"/>
    </row>
    <row r="10" ht="20" customHeight="1" s="36">
      <c r="A10" s="41" t="n"/>
      <c r="B10" s="41" t="n"/>
      <c r="C10" s="41" t="n"/>
      <c r="D10" s="41" t="n"/>
      <c r="E10" s="41" t="n"/>
      <c r="F10" s="41" t="n"/>
      <c r="G10" s="41" t="n"/>
      <c r="H10" s="41" t="n"/>
    </row>
    <row r="11" ht="20" customHeight="1" s="36">
      <c r="A11" s="31" t="inlineStr">
        <is>
          <t>Dónde cargar información</t>
        </is>
      </c>
      <c r="B11" s="32" t="n"/>
      <c r="C11" s="32" t="n"/>
      <c r="D11" s="32" t="n"/>
      <c r="E11" s="32" t="n"/>
      <c r="F11" s="32" t="n"/>
      <c r="G11" s="32" t="n"/>
      <c r="H11" s="33" t="n"/>
    </row>
    <row r="12" ht="24" customHeight="1" s="36">
      <c r="A12" s="41" t="inlineStr">
        <is>
          <t>•</t>
        </is>
      </c>
      <c r="B12" s="41" t="inlineStr">
        <is>
          <t>Clientes nuevos o nuevas salas: Clientes_PDV.</t>
        </is>
      </c>
      <c r="C12" s="32" t="n"/>
      <c r="D12" s="32" t="n"/>
      <c r="E12" s="32" t="n"/>
      <c r="F12" s="32" t="n"/>
      <c r="G12" s="32" t="n"/>
      <c r="H12" s="33" t="n"/>
    </row>
    <row r="13" ht="24" customHeight="1" s="36">
      <c r="A13" s="41" t="inlineStr">
        <is>
          <t>•</t>
        </is>
      </c>
      <c r="B13" s="41" t="inlineStr">
        <is>
          <t>Facturas/sell-in: Ventas_SellIn. Ingresar fecha, factura, PDV_ID, SKU, cantidad, precio neto facturado y status de pago.</t>
        </is>
      </c>
      <c r="C13" s="32" t="n"/>
      <c r="D13" s="32" t="n"/>
      <c r="E13" s="32" t="n"/>
      <c r="F13" s="32" t="n"/>
      <c r="G13" s="32" t="n"/>
      <c r="H13" s="33" t="n"/>
    </row>
    <row r="14" ht="24" customHeight="1" s="36">
      <c r="A14" s="41" t="inlineStr">
        <is>
          <t>•</t>
        </is>
      </c>
      <c r="B14" s="41" t="inlineStr">
        <is>
          <t>Stock observado en terreno: Stock_PDV.</t>
        </is>
      </c>
      <c r="C14" s="32" t="n"/>
      <c r="D14" s="32" t="n"/>
      <c r="E14" s="32" t="n"/>
      <c r="F14" s="32" t="n"/>
      <c r="G14" s="32" t="n"/>
      <c r="H14" s="33" t="n"/>
    </row>
    <row r="15" ht="24" customHeight="1" s="36">
      <c r="A15" s="41" t="inlineStr">
        <is>
          <t>•</t>
        </is>
      </c>
      <c r="B15" s="41" t="inlineStr">
        <is>
          <t>Sell-out de Jumbo/Cencosud: SellOut_Jumbo, cuando exista exportación.</t>
        </is>
      </c>
      <c r="C15" s="32" t="n"/>
      <c r="D15" s="32" t="n"/>
      <c r="E15" s="32" t="n"/>
      <c r="F15" s="32" t="n"/>
      <c r="G15" s="32" t="n"/>
      <c r="H15" s="33" t="n"/>
    </row>
    <row r="16" ht="24" customHeight="1" s="36">
      <c r="A16" s="41" t="inlineStr">
        <is>
          <t>•</t>
        </is>
      </c>
      <c r="B16" s="41" t="inlineStr">
        <is>
          <t>Simulación de precio y margen: Margen_Frontal.</t>
        </is>
      </c>
      <c r="C16" s="32" t="n"/>
      <c r="D16" s="32" t="n"/>
      <c r="E16" s="32" t="n"/>
      <c r="F16" s="32" t="n"/>
      <c r="G16" s="32" t="n"/>
      <c r="H16" s="33" t="n"/>
    </row>
    <row r="17" ht="20" customHeight="1" s="36">
      <c r="A17" s="41" t="n"/>
      <c r="B17" s="41" t="n"/>
      <c r="C17" s="41" t="n"/>
      <c r="D17" s="41" t="n"/>
      <c r="E17" s="41" t="n"/>
      <c r="F17" s="41" t="n"/>
      <c r="G17" s="41" t="n"/>
      <c r="H17" s="41" t="n"/>
    </row>
    <row r="18" ht="20" customHeight="1" s="36">
      <c r="A18" s="31" t="inlineStr">
        <is>
          <t>Regla de colores</t>
        </is>
      </c>
      <c r="B18" s="32" t="n"/>
      <c r="C18" s="32" t="n"/>
      <c r="D18" s="32" t="n"/>
      <c r="E18" s="32" t="n"/>
      <c r="F18" s="32" t="n"/>
      <c r="G18" s="32" t="n"/>
      <c r="H18" s="33" t="n"/>
    </row>
    <row r="19" ht="24" customHeight="1" s="36">
      <c r="A19" s="41" t="inlineStr">
        <is>
          <t>•</t>
        </is>
      </c>
      <c r="B19" s="41" t="inlineStr">
        <is>
          <t>Amarillo = se puede editar.</t>
        </is>
      </c>
      <c r="C19" s="32" t="n"/>
      <c r="D19" s="32" t="n"/>
      <c r="E19" s="32" t="n"/>
      <c r="F19" s="32" t="n"/>
      <c r="G19" s="32" t="n"/>
      <c r="H19" s="33" t="n"/>
    </row>
    <row r="20" ht="24" customHeight="1" s="36">
      <c r="A20" s="41" t="inlineStr">
        <is>
          <t>•</t>
        </is>
      </c>
      <c r="B20" s="41" t="inlineStr">
        <is>
          <t>Gris = fórmula, mejor no tocar.</t>
        </is>
      </c>
      <c r="C20" s="32" t="n"/>
      <c r="D20" s="32" t="n"/>
      <c r="E20" s="32" t="n"/>
      <c r="F20" s="32" t="n"/>
      <c r="G20" s="32" t="n"/>
      <c r="H20" s="33" t="n"/>
    </row>
    <row r="21" ht="24" customHeight="1" s="36">
      <c r="A21" s="41" t="inlineStr">
        <is>
          <t>•</t>
        </is>
      </c>
      <c r="B21" s="41" t="inlineStr">
        <is>
          <t>Morado = encabezado o título.</t>
        </is>
      </c>
      <c r="C21" s="32" t="n"/>
      <c r="D21" s="32" t="n"/>
      <c r="E21" s="32" t="n"/>
      <c r="F21" s="32" t="n"/>
      <c r="G21" s="32" t="n"/>
      <c r="H21" s="33" t="n"/>
    </row>
    <row r="22" ht="24" customHeight="1" s="36">
      <c r="A22" s="41" t="inlineStr">
        <is>
          <t>•</t>
        </is>
      </c>
      <c r="B22" s="41" t="inlineStr">
        <is>
          <t>Si algo sale raro, revisar primero si falta PDV_ID, SKU o fecha.</t>
        </is>
      </c>
      <c r="C22" s="32" t="n"/>
      <c r="D22" s="32" t="n"/>
      <c r="E22" s="32" t="n"/>
      <c r="F22" s="32" t="n"/>
      <c r="G22" s="32" t="n"/>
      <c r="H22" s="33" t="n"/>
    </row>
    <row r="23" ht="20" customHeight="1" s="36">
      <c r="A23" s="41" t="n"/>
      <c r="B23" s="41" t="n"/>
      <c r="C23" s="41" t="n"/>
      <c r="D23" s="41" t="n"/>
      <c r="E23" s="41" t="n"/>
      <c r="F23" s="41" t="n"/>
      <c r="G23" s="41" t="n"/>
      <c r="H23" s="41" t="n"/>
    </row>
    <row r="24" ht="20" customHeight="1" s="36">
      <c r="A24" s="31" t="inlineStr">
        <is>
          <t>Conceptos simples</t>
        </is>
      </c>
      <c r="B24" s="32" t="n"/>
      <c r="C24" s="32" t="n"/>
      <c r="D24" s="32" t="n"/>
      <c r="E24" s="32" t="n"/>
      <c r="F24" s="32" t="n"/>
      <c r="G24" s="32" t="n"/>
      <c r="H24" s="33" t="n"/>
    </row>
    <row r="25" ht="24" customHeight="1" s="36">
      <c r="A25" s="41" t="inlineStr">
        <is>
          <t>•</t>
        </is>
      </c>
      <c r="B25" s="41" t="inlineStr">
        <is>
          <t>Sell-in: venta facturada al cliente o punto de venta.</t>
        </is>
      </c>
      <c r="C25" s="32" t="n"/>
      <c r="D25" s="32" t="n"/>
      <c r="E25" s="32" t="n"/>
      <c r="F25" s="32" t="n"/>
      <c r="G25" s="32" t="n"/>
      <c r="H25" s="33" t="n"/>
    </row>
    <row r="26" ht="24" customHeight="1" s="36">
      <c r="A26" s="41" t="inlineStr">
        <is>
          <t>•</t>
        </is>
      </c>
      <c r="B26" s="41" t="inlineStr">
        <is>
          <t>Sell-out: venta desde la sala hacia consumidor final, cuando el retailer la informe.</t>
        </is>
      </c>
      <c r="C26" s="32" t="n"/>
      <c r="D26" s="32" t="n"/>
      <c r="E26" s="32" t="n"/>
      <c r="F26" s="32" t="n"/>
      <c r="G26" s="32" t="n"/>
      <c r="H26" s="33" t="n"/>
    </row>
    <row r="27" ht="24" customHeight="1" s="36">
      <c r="A27" s="41" t="inlineStr">
        <is>
          <t>•</t>
        </is>
      </c>
      <c r="B27" s="41" t="inlineStr">
        <is>
          <t>Margen frontal: margen que el cliente obtiene entre el PVP neto y el precio neto que le facturamos.</t>
        </is>
      </c>
      <c r="C27" s="32" t="n"/>
      <c r="D27" s="32" t="n"/>
      <c r="E27" s="32" t="n"/>
      <c r="F27" s="32" t="n"/>
      <c r="G27" s="32" t="n"/>
      <c r="H27" s="33" t="n"/>
    </row>
    <row r="28" ht="24" customHeight="1" s="36">
      <c r="A28" s="41" t="inlineStr">
        <is>
          <t>•</t>
        </is>
      </c>
      <c r="B28" s="41" t="inlineStr">
        <is>
          <t>Barras equivalentes: convierte unidades, estuches y cajas master a barras para comparar stock y venta.</t>
        </is>
      </c>
      <c r="C28" s="32" t="n"/>
      <c r="D28" s="32" t="n"/>
      <c r="E28" s="32" t="n"/>
      <c r="F28" s="32" t="n"/>
      <c r="G28" s="32" t="n"/>
      <c r="H28" s="33" t="n"/>
    </row>
    <row r="29" ht="20" customHeight="1" s="36">
      <c r="A29" s="41" t="n"/>
      <c r="B29" s="41" t="n"/>
      <c r="C29" s="41" t="n"/>
      <c r="D29" s="41" t="n"/>
      <c r="E29" s="41" t="n"/>
      <c r="F29" s="41" t="n"/>
      <c r="G29" s="41" t="n"/>
      <c r="H29" s="41" t="n"/>
    </row>
    <row r="30" ht="20" customHeight="1" s="36">
      <c r="A30" s="75" t="inlineStr">
        <is>
          <t>Cómo se edita, se alimenta y crece</t>
        </is>
      </c>
      <c r="B30" s="41" t="n"/>
      <c r="C30" s="41" t="n"/>
      <c r="D30" s="41" t="n"/>
      <c r="E30" s="41" t="n"/>
      <c r="F30" s="41" t="n"/>
      <c r="G30" s="41" t="n"/>
      <c r="H30" s="41" t="n"/>
    </row>
    <row r="31">
      <c r="A31" t="inlineStr">
        <is>
          <t>1.</t>
        </is>
      </c>
      <c r="B31" t="inlineStr">
        <is>
          <t>Editar: solo celdas AMARILLAS. Las grises son fórmulas (se calculan solas).</t>
        </is>
      </c>
    </row>
    <row r="32">
      <c r="A32" t="inlineStr">
        <is>
          <t>2.</t>
        </is>
      </c>
      <c r="B32" t="inlineStr">
        <is>
          <t>Alimentar ventas: Ventas_SellIn, una fila por factura (usa los desplegables).</t>
        </is>
      </c>
    </row>
    <row r="33">
      <c r="A33" t="inlineStr">
        <is>
          <t>3.</t>
        </is>
      </c>
      <c r="B33" t="inlineStr">
        <is>
          <t>Terreno: registra visitas y stock de sala en Clientes_PDV y Stock_PDV.</t>
        </is>
      </c>
    </row>
    <row r="34">
      <c r="A34" t="inlineStr">
        <is>
          <t>4.</t>
        </is>
      </c>
      <c r="B34" t="inlineStr">
        <is>
          <t>Producto nuevo: agrégalo en Maestro_SKU; aparece solo en el plan y en las listas.</t>
        </is>
      </c>
    </row>
    <row r="35">
      <c r="A35" t="inlineStr">
        <is>
          <t>5.</t>
        </is>
      </c>
      <c r="B35" t="inlineStr">
        <is>
          <t>Cliente/sala nueva: agrégala en Clientes_PDV; aparece sola en Cobertura.</t>
        </is>
      </c>
    </row>
    <row r="36">
      <c r="A36" t="inlineStr">
        <is>
          <t>6.</t>
        </is>
      </c>
      <c r="B36" t="inlineStr">
        <is>
          <t>Inventario: escribe tu bodega en Plan_Inventario; te dice cuánto reponer.</t>
        </is>
      </c>
    </row>
    <row r="37">
      <c r="A37" t="inlineStr">
        <is>
          <t>7.</t>
        </is>
      </c>
      <c r="B37" t="inlineStr">
        <is>
          <t>Ajustes: cambia umbrales (venta, stock, cobertura, rotación) en Inicio, sin tocar fórmulas.</t>
        </is>
      </c>
    </row>
    <row r="38">
      <c r="A38" t="inlineStr">
        <is>
          <t>8.</t>
        </is>
      </c>
      <c r="B38" t="inlineStr">
        <is>
          <t>Crece hasta: 250 clientes/PDV y 800 facturas. Para más, se estiran los rangos.</t>
        </is>
      </c>
    </row>
  </sheetData>
  <mergeCells count="23">
    <mergeCell ref="B9:H9"/>
    <mergeCell ref="A24:H24"/>
    <mergeCell ref="A11:H11"/>
    <mergeCell ref="B15:H15"/>
    <mergeCell ref="A1:H1"/>
    <mergeCell ref="B20:H20"/>
    <mergeCell ref="A6:H6"/>
    <mergeCell ref="B26:H26"/>
    <mergeCell ref="B16:H16"/>
    <mergeCell ref="B7:H7"/>
    <mergeCell ref="B25:H25"/>
    <mergeCell ref="A18:H18"/>
    <mergeCell ref="B22:H22"/>
    <mergeCell ref="A3:H3"/>
    <mergeCell ref="B27:H27"/>
    <mergeCell ref="B21:H21"/>
    <mergeCell ref="B12:H12"/>
    <mergeCell ref="A4:H4"/>
    <mergeCell ref="B8:H8"/>
    <mergeCell ref="B14:H14"/>
    <mergeCell ref="B13:H13"/>
    <mergeCell ref="B19:H19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A3B61"/>
    <outlinePr summaryBelow="1" summaryRight="1"/>
    <pageSetUpPr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36" min="1" max="1"/>
    <col width="16" customWidth="1" style="36" min="2" max="2"/>
    <col width="15" customWidth="1" style="36" min="3" max="3"/>
    <col width="18" customWidth="1" style="36" min="4" max="6"/>
    <col width="15" customWidth="1" style="36" min="7" max="7"/>
    <col width="13" customWidth="1" style="36" min="8" max="8"/>
  </cols>
  <sheetData>
    <row r="1" ht="28" customHeight="1" s="36">
      <c r="A1" s="37" t="inlineStr">
        <is>
          <t>Dashboard semanal | Revisión lunes</t>
        </is>
      </c>
    </row>
    <row r="2" ht="20" customHeight="1" s="36"/>
    <row r="3" ht="20" customHeight="1" s="36">
      <c r="A3" s="2" t="inlineStr">
        <is>
          <t>Indicador</t>
        </is>
      </c>
      <c r="B3" s="2" t="inlineStr">
        <is>
          <t>Valor</t>
        </is>
      </c>
      <c r="C3" s="41" t="n"/>
      <c r="D3" s="2" t="inlineStr">
        <is>
          <t>Condiciones activas</t>
        </is>
      </c>
      <c r="E3" s="2" t="inlineStr">
        <is>
          <t>Valor</t>
        </is>
      </c>
      <c r="F3" s="41" t="n"/>
      <c r="G3" s="41" t="n"/>
      <c r="H3" s="41" t="n"/>
    </row>
    <row r="4" ht="20" customHeight="1" s="36">
      <c r="A4" s="41" t="inlineStr">
        <is>
          <t>Fecha control</t>
        </is>
      </c>
      <c r="B4" s="45">
        <f>TODAY()</f>
        <v/>
      </c>
      <c r="C4" s="41" t="n"/>
      <c r="D4" s="41" t="inlineStr">
        <is>
          <t>Venta reciente días</t>
        </is>
      </c>
      <c r="E4" s="41">
        <f>Inicio!B14</f>
        <v/>
      </c>
      <c r="F4" s="41" t="n"/>
      <c r="G4" s="41" t="n"/>
      <c r="H4" s="41" t="n"/>
    </row>
    <row r="5" ht="20" customHeight="1" s="36">
      <c r="A5" s="41" t="inlineStr">
        <is>
          <t>PDV activos</t>
        </is>
      </c>
      <c r="B5" s="41">
        <f>COUNTIF(Clientes_PDV!$I$2:$I$250,"Activo")</f>
        <v/>
      </c>
      <c r="C5" s="41" t="n"/>
      <c r="D5" s="41" t="inlineStr">
        <is>
          <t>Venta baja menor a</t>
        </is>
      </c>
      <c r="E5" s="9">
        <f>Inicio!B15</f>
        <v/>
      </c>
      <c r="F5" s="41" t="n"/>
      <c r="G5" s="41" t="n"/>
      <c r="H5" s="41" t="n"/>
    </row>
    <row r="6" ht="20" customHeight="1" s="36">
      <c r="A6" s="41" t="inlineStr">
        <is>
          <t>PDV prioridad alta</t>
        </is>
      </c>
      <c r="B6" s="41">
        <f>COUNTIF(Cobertura!$Q$2:$Q$250,"Alta")</f>
        <v/>
      </c>
      <c r="C6" s="41" t="n"/>
      <c r="D6" s="41" t="inlineStr">
        <is>
          <t>Semanal días</t>
        </is>
      </c>
      <c r="E6" s="41">
        <f>Inicio!B24</f>
        <v/>
      </c>
      <c r="F6" s="41" t="n"/>
      <c r="G6" s="41" t="n"/>
      <c r="H6" s="41" t="n"/>
    </row>
    <row r="7" ht="20" customHeight="1" s="36">
      <c r="A7" s="41" t="inlineStr">
        <is>
          <t>Venta sell-in 30d neta</t>
        </is>
      </c>
      <c r="B7" s="9">
        <f>SUM(Cobertura!$I$2:$I$250)</f>
        <v/>
      </c>
      <c r="C7" s="41" t="n"/>
      <c r="D7" s="41" t="inlineStr">
        <is>
          <t>Quincenal días</t>
        </is>
      </c>
      <c r="E7" s="41">
        <f>Inicio!B25</f>
        <v/>
      </c>
      <c r="F7" s="41" t="n"/>
      <c r="G7" s="41" t="n"/>
      <c r="H7" s="41" t="n"/>
    </row>
    <row r="8" ht="20" customHeight="1" s="36">
      <c r="A8" s="41" t="inlineStr">
        <is>
          <t>Monto pendiente</t>
        </is>
      </c>
      <c r="B8" s="9">
        <f>SUM(Cobertura!$M$2:$M$250)</f>
        <v/>
      </c>
      <c r="C8" s="41" t="n"/>
      <c r="D8" s="41" t="inlineStr">
        <is>
          <t>Mensual días</t>
        </is>
      </c>
      <c r="E8" s="41">
        <f>Inicio!B26</f>
        <v/>
      </c>
      <c r="F8" s="41" t="n"/>
      <c r="G8" s="41" t="n"/>
      <c r="H8" s="41" t="n"/>
    </row>
    <row r="9" ht="20" customHeight="1" s="36">
      <c r="A9" s="41" t="inlineStr">
        <is>
          <t>PDV stock crítico</t>
        </is>
      </c>
      <c r="B9" s="41">
        <f>COUNTIF(Cobertura!$P$2:$P$250,"Crítico")</f>
        <v/>
      </c>
      <c r="C9" s="41" t="n"/>
      <c r="D9" s="41" t="inlineStr">
        <is>
          <t>Factura próxima a vencer</t>
        </is>
      </c>
      <c r="E9" s="41">
        <f>Inicio!B19</f>
        <v/>
      </c>
      <c r="F9" s="41" t="n"/>
      <c r="G9" s="41" t="n"/>
      <c r="H9" s="41" t="n"/>
    </row>
    <row r="10" ht="20" customHeight="1" s="36">
      <c r="A10" s="41" t="n"/>
      <c r="B10" s="41" t="n"/>
      <c r="C10" s="41" t="n"/>
      <c r="D10" s="41" t="n"/>
      <c r="E10" s="41" t="n"/>
      <c r="F10" s="41" t="n"/>
      <c r="G10" s="41" t="n"/>
      <c r="H10" s="41" t="n"/>
    </row>
    <row r="11" ht="20" customHeight="1" s="36">
      <c r="A11" s="46" t="inlineStr">
        <is>
          <t>⚙ Ir a Configuración (hoja Inicio)</t>
        </is>
      </c>
      <c r="B11" s="41" t="n"/>
      <c r="C11" s="41" t="n"/>
      <c r="D11" s="41" t="n"/>
      <c r="E11" s="41" t="n"/>
      <c r="F11" s="41" t="n"/>
      <c r="G11" s="41" t="n"/>
      <c r="H11" s="41" t="n"/>
    </row>
    <row r="12" ht="20" customHeight="1" s="36">
      <c r="A12" s="31" t="inlineStr">
        <is>
          <t>Lista de gestión sugerida (filtrar en Cobertura si necesitas detalle)</t>
        </is>
      </c>
      <c r="B12" s="32" t="n"/>
      <c r="C12" s="32" t="n"/>
      <c r="D12" s="32" t="n"/>
      <c r="E12" s="32" t="n"/>
      <c r="F12" s="32" t="n"/>
      <c r="G12" s="32" t="n"/>
      <c r="H12" s="33" t="n"/>
    </row>
    <row r="13" ht="28" customHeight="1" s="36">
      <c r="A13" s="2" t="inlineStr">
        <is>
          <t>PDV</t>
        </is>
      </c>
      <c r="B13" s="2" t="inlineStr">
        <is>
          <t>Cliente</t>
        </is>
      </c>
      <c r="C13" s="2" t="inlineStr">
        <is>
          <t>Canal</t>
        </is>
      </c>
      <c r="D13" s="2" t="inlineStr">
        <is>
          <t>Estado visita</t>
        </is>
      </c>
      <c r="E13" s="2" t="inlineStr">
        <is>
          <t>Estado venta</t>
        </is>
      </c>
      <c r="F13" s="2" t="inlineStr">
        <is>
          <t>Estado pago</t>
        </is>
      </c>
      <c r="G13" s="2" t="inlineStr">
        <is>
          <t>Estado stock</t>
        </is>
      </c>
      <c r="H13" s="2" t="inlineStr">
        <is>
          <t>Prioridad</t>
        </is>
      </c>
    </row>
    <row r="14" ht="20" customHeight="1" s="36">
      <c r="A14" s="41">
        <f>Cobertura!D2</f>
        <v/>
      </c>
      <c r="B14" s="41">
        <f>Cobertura!B2</f>
        <v/>
      </c>
      <c r="C14" s="41">
        <f>Cobertura!C2</f>
        <v/>
      </c>
      <c r="D14" s="41">
        <f>Cobertura!H2</f>
        <v/>
      </c>
      <c r="E14" s="41">
        <f>Cobertura!K2</f>
        <v/>
      </c>
      <c r="F14" s="41">
        <f>Cobertura!N2</f>
        <v/>
      </c>
      <c r="G14" s="41">
        <f>Cobertura!P2</f>
        <v/>
      </c>
      <c r="H14" s="41">
        <f>Cobertura!Q2</f>
        <v/>
      </c>
    </row>
    <row r="15" ht="20" customHeight="1" s="36">
      <c r="A15" s="41">
        <f>Cobertura!D3</f>
        <v/>
      </c>
      <c r="B15" s="41">
        <f>Cobertura!B3</f>
        <v/>
      </c>
      <c r="C15" s="41">
        <f>Cobertura!C3</f>
        <v/>
      </c>
      <c r="D15" s="41">
        <f>Cobertura!H3</f>
        <v/>
      </c>
      <c r="E15" s="41">
        <f>Cobertura!K3</f>
        <v/>
      </c>
      <c r="F15" s="41">
        <f>Cobertura!N3</f>
        <v/>
      </c>
      <c r="G15" s="41">
        <f>Cobertura!P3</f>
        <v/>
      </c>
      <c r="H15" s="41">
        <f>Cobertura!Q3</f>
        <v/>
      </c>
    </row>
    <row r="16" ht="20" customHeight="1" s="36">
      <c r="A16" s="41">
        <f>Cobertura!D4</f>
        <v/>
      </c>
      <c r="B16" s="41">
        <f>Cobertura!B4</f>
        <v/>
      </c>
      <c r="C16" s="41">
        <f>Cobertura!C4</f>
        <v/>
      </c>
      <c r="D16" s="41">
        <f>Cobertura!H4</f>
        <v/>
      </c>
      <c r="E16" s="41">
        <f>Cobertura!K4</f>
        <v/>
      </c>
      <c r="F16" s="41">
        <f>Cobertura!N4</f>
        <v/>
      </c>
      <c r="G16" s="41">
        <f>Cobertura!P4</f>
        <v/>
      </c>
      <c r="H16" s="41">
        <f>Cobertura!Q4</f>
        <v/>
      </c>
    </row>
    <row r="17" ht="20" customHeight="1" s="36">
      <c r="A17" s="41">
        <f>Cobertura!D5</f>
        <v/>
      </c>
      <c r="B17" s="41">
        <f>Cobertura!B5</f>
        <v/>
      </c>
      <c r="C17" s="41">
        <f>Cobertura!C5</f>
        <v/>
      </c>
      <c r="D17" s="41">
        <f>Cobertura!H5</f>
        <v/>
      </c>
      <c r="E17" s="41">
        <f>Cobertura!K5</f>
        <v/>
      </c>
      <c r="F17" s="41">
        <f>Cobertura!N5</f>
        <v/>
      </c>
      <c r="G17" s="41">
        <f>Cobertura!P5</f>
        <v/>
      </c>
      <c r="H17" s="41">
        <f>Cobertura!Q5</f>
        <v/>
      </c>
    </row>
    <row r="18" ht="20" customHeight="1" s="36">
      <c r="A18" s="41">
        <f>Cobertura!D6</f>
        <v/>
      </c>
      <c r="B18" s="41">
        <f>Cobertura!B6</f>
        <v/>
      </c>
      <c r="C18" s="41">
        <f>Cobertura!C6</f>
        <v/>
      </c>
      <c r="D18" s="41">
        <f>Cobertura!H6</f>
        <v/>
      </c>
      <c r="E18" s="41">
        <f>Cobertura!K6</f>
        <v/>
      </c>
      <c r="F18" s="41">
        <f>Cobertura!N6</f>
        <v/>
      </c>
      <c r="G18" s="41">
        <f>Cobertura!P6</f>
        <v/>
      </c>
      <c r="H18" s="41">
        <f>Cobertura!Q6</f>
        <v/>
      </c>
    </row>
    <row r="19" ht="20" customHeight="1" s="36">
      <c r="A19" s="41">
        <f>Cobertura!D7</f>
        <v/>
      </c>
      <c r="B19" s="41">
        <f>Cobertura!B7</f>
        <v/>
      </c>
      <c r="C19" s="41">
        <f>Cobertura!C7</f>
        <v/>
      </c>
      <c r="D19" s="41">
        <f>Cobertura!H7</f>
        <v/>
      </c>
      <c r="E19" s="41">
        <f>Cobertura!K7</f>
        <v/>
      </c>
      <c r="F19" s="41">
        <f>Cobertura!N7</f>
        <v/>
      </c>
      <c r="G19" s="41">
        <f>Cobertura!P7</f>
        <v/>
      </c>
      <c r="H19" s="41">
        <f>Cobertura!Q7</f>
        <v/>
      </c>
    </row>
    <row r="20" ht="20" customHeight="1" s="36">
      <c r="A20" s="41">
        <f>Cobertura!D8</f>
        <v/>
      </c>
      <c r="B20" s="41">
        <f>Cobertura!B8</f>
        <v/>
      </c>
      <c r="C20" s="41">
        <f>Cobertura!C8</f>
        <v/>
      </c>
      <c r="D20" s="41">
        <f>Cobertura!H8</f>
        <v/>
      </c>
      <c r="E20" s="41">
        <f>Cobertura!K8</f>
        <v/>
      </c>
      <c r="F20" s="41">
        <f>Cobertura!N8</f>
        <v/>
      </c>
      <c r="G20" s="41">
        <f>Cobertura!P8</f>
        <v/>
      </c>
      <c r="H20" s="41">
        <f>Cobertura!Q8</f>
        <v/>
      </c>
    </row>
    <row r="21" ht="20" customHeight="1" s="36">
      <c r="A21" s="41">
        <f>Cobertura!D9</f>
        <v/>
      </c>
      <c r="B21" s="41">
        <f>Cobertura!B9</f>
        <v/>
      </c>
      <c r="C21" s="41">
        <f>Cobertura!C9</f>
        <v/>
      </c>
      <c r="D21" s="41">
        <f>Cobertura!H9</f>
        <v/>
      </c>
      <c r="E21" s="41">
        <f>Cobertura!K9</f>
        <v/>
      </c>
      <c r="F21" s="41">
        <f>Cobertura!N9</f>
        <v/>
      </c>
      <c r="G21" s="41">
        <f>Cobertura!P9</f>
        <v/>
      </c>
      <c r="H21" s="41">
        <f>Cobertura!Q9</f>
        <v/>
      </c>
    </row>
    <row r="22" ht="20" customHeight="1" s="36">
      <c r="A22" s="41">
        <f>Cobertura!D10</f>
        <v/>
      </c>
      <c r="B22" s="41">
        <f>Cobertura!B10</f>
        <v/>
      </c>
      <c r="C22" s="41">
        <f>Cobertura!C10</f>
        <v/>
      </c>
      <c r="D22" s="41">
        <f>Cobertura!H10</f>
        <v/>
      </c>
      <c r="E22" s="41">
        <f>Cobertura!K10</f>
        <v/>
      </c>
      <c r="F22" s="41">
        <f>Cobertura!N10</f>
        <v/>
      </c>
      <c r="G22" s="41">
        <f>Cobertura!P10</f>
        <v/>
      </c>
      <c r="H22" s="41">
        <f>Cobertura!Q10</f>
        <v/>
      </c>
    </row>
    <row r="23" ht="20" customHeight="1" s="36">
      <c r="A23" s="41">
        <f>Cobertura!D11</f>
        <v/>
      </c>
      <c r="B23" s="41">
        <f>Cobertura!B11</f>
        <v/>
      </c>
      <c r="C23" s="41">
        <f>Cobertura!C11</f>
        <v/>
      </c>
      <c r="D23" s="41">
        <f>Cobertura!H11</f>
        <v/>
      </c>
      <c r="E23" s="41">
        <f>Cobertura!K11</f>
        <v/>
      </c>
      <c r="F23" s="41">
        <f>Cobertura!N11</f>
        <v/>
      </c>
      <c r="G23" s="41">
        <f>Cobertura!P11</f>
        <v/>
      </c>
      <c r="H23" s="41">
        <f>Cobertura!Q11</f>
        <v/>
      </c>
    </row>
    <row r="24" ht="20" customHeight="1" s="36">
      <c r="A24" s="41">
        <f>Cobertura!D12</f>
        <v/>
      </c>
      <c r="B24" s="41">
        <f>Cobertura!B12</f>
        <v/>
      </c>
      <c r="C24" s="41">
        <f>Cobertura!C12</f>
        <v/>
      </c>
      <c r="D24" s="41">
        <f>Cobertura!H12</f>
        <v/>
      </c>
      <c r="E24" s="41">
        <f>Cobertura!K12</f>
        <v/>
      </c>
      <c r="F24" s="41">
        <f>Cobertura!N12</f>
        <v/>
      </c>
      <c r="G24" s="41">
        <f>Cobertura!P12</f>
        <v/>
      </c>
      <c r="H24" s="41">
        <f>Cobertura!Q12</f>
        <v/>
      </c>
    </row>
    <row r="25" ht="20" customHeight="1" s="36">
      <c r="A25" s="41">
        <f>Cobertura!D13</f>
        <v/>
      </c>
      <c r="B25" s="41">
        <f>Cobertura!B13</f>
        <v/>
      </c>
      <c r="C25" s="41">
        <f>Cobertura!C13</f>
        <v/>
      </c>
      <c r="D25" s="41">
        <f>Cobertura!H13</f>
        <v/>
      </c>
      <c r="E25" s="41">
        <f>Cobertura!K13</f>
        <v/>
      </c>
      <c r="F25" s="41">
        <f>Cobertura!N13</f>
        <v/>
      </c>
      <c r="G25" s="41">
        <f>Cobertura!P13</f>
        <v/>
      </c>
      <c r="H25" s="41">
        <f>Cobertura!Q13</f>
        <v/>
      </c>
    </row>
    <row r="26" ht="20" customHeight="1" s="36">
      <c r="A26" s="41" t="n"/>
      <c r="B26" s="41" t="n"/>
      <c r="C26" s="41" t="n"/>
      <c r="D26" s="41" t="n"/>
      <c r="E26" s="41" t="n"/>
      <c r="F26" s="41" t="n"/>
      <c r="G26" s="41" t="n"/>
      <c r="H26" s="41" t="n"/>
    </row>
  </sheetData>
  <mergeCells count="2">
    <mergeCell ref="A12:H12"/>
    <mergeCell ref="A1:H1"/>
  </mergeCells>
  <conditionalFormatting sqref="H14:H25">
    <cfRule type="expression" priority="1" dxfId="2">
      <formula>H14="Alta"</formula>
    </cfRule>
    <cfRule type="expression" priority="2" dxfId="1">
      <formula>H14="Media"</formula>
    </cfRule>
  </conditionalFormatting>
  <hyperlinks>
    <hyperlink xmlns:r="http://schemas.openxmlformats.org/officeDocument/2006/relationships" ref="A1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7A3B61"/>
    <outlinePr summaryBelow="1" summaryRight="1"/>
    <pageSetUpPr/>
  </sheetPr>
  <dimension ref="A1:G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6" min="1" max="1"/>
    <col width="14" customWidth="1" style="36" min="2" max="2"/>
    <col width="14" customWidth="1" style="36" min="3" max="3"/>
    <col width="14" customWidth="1" style="36" min="4" max="4"/>
    <col width="14" customWidth="1" style="36" min="5" max="5"/>
    <col width="14" customWidth="1" style="36" min="6" max="6"/>
    <col width="14" customWidth="1" style="36" min="7" max="7"/>
  </cols>
  <sheetData>
    <row r="1">
      <c r="A1" s="63" t="inlineStr">
        <is>
          <t>RESUMEN | Nuva Oxi</t>
        </is>
      </c>
    </row>
    <row r="3">
      <c r="A3" s="64" t="inlineStr">
        <is>
          <t>Año de análisis:</t>
        </is>
      </c>
      <c r="B3" s="65" t="n">
        <v>2026</v>
      </c>
      <c r="D3" s="47" t="inlineStr">
        <is>
          <t>⚙ Configuración</t>
        </is>
      </c>
    </row>
    <row r="5">
      <c r="A5" s="66" t="inlineStr">
        <is>
          <t>Seguimiento — terreno vs escritorio</t>
        </is>
      </c>
      <c r="D5" s="66" t="inlineStr">
        <is>
          <t>Venta por mes (año en B3)</t>
        </is>
      </c>
    </row>
    <row r="6">
      <c r="A6" s="67" t="inlineStr">
        <is>
          <t>Indicador</t>
        </is>
      </c>
      <c r="B6" s="67" t="inlineStr">
        <is>
          <t>Valor</t>
        </is>
      </c>
      <c r="D6" s="67" t="inlineStr">
        <is>
          <t>Periodo</t>
        </is>
      </c>
      <c r="E6" s="67" t="inlineStr">
        <is>
          <t>Venta neta</t>
        </is>
      </c>
      <c r="F6" s="67" t="inlineStr">
        <is>
          <t>Unidades</t>
        </is>
      </c>
      <c r="G6" s="67" t="inlineStr">
        <is>
          <t>Monto pend.</t>
        </is>
      </c>
    </row>
    <row r="7">
      <c r="A7" t="inlineStr">
        <is>
          <t>PDV activos</t>
        </is>
      </c>
      <c r="B7" s="68">
        <f>COUNTIF(Clientes_PDV!$I$2:$I$250,"Activo")</f>
        <v/>
      </c>
      <c r="D7" s="68">
        <f>$B$3&amp;"-"&amp;TEXT(1,"00")</f>
        <v/>
      </c>
      <c r="E7" s="68">
        <f>SUMIFS(Ventas_SellIn!$L$2:$L$800,Ventas_SellIn!$X$2:$X$800,$D7)</f>
        <v/>
      </c>
      <c r="F7" s="68">
        <f>SUMIFS(Ventas_SellIn!$J$2:$J$800,Ventas_SellIn!$X$2:$X$800,$D7)</f>
        <v/>
      </c>
      <c r="G7" s="68">
        <f>SUMIFS(Ventas_SellIn!$R$2:$R$800,Ventas_SellIn!$X$2:$X$800,$D7)</f>
        <v/>
      </c>
    </row>
    <row r="8">
      <c r="A8" t="inlineStr">
        <is>
          <t>Visita vigente</t>
        </is>
      </c>
      <c r="B8" s="68">
        <f>COUNTIF(Cobertura!$H$2:$H$250,"Vigente")</f>
        <v/>
      </c>
      <c r="D8" s="68">
        <f>$B$3&amp;"-"&amp;TEXT(2,"00")</f>
        <v/>
      </c>
      <c r="E8" s="68">
        <f>SUMIFS(Ventas_SellIn!$L$2:$L$800,Ventas_SellIn!$X$2:$X$800,$D8)</f>
        <v/>
      </c>
      <c r="F8" s="68">
        <f>SUMIFS(Ventas_SellIn!$J$2:$J$800,Ventas_SellIn!$X$2:$X$800,$D8)</f>
        <v/>
      </c>
      <c r="G8" s="68">
        <f>SUMIFS(Ventas_SellIn!$R$2:$R$800,Ventas_SellIn!$X$2:$X$800,$D8)</f>
        <v/>
      </c>
    </row>
    <row r="9">
      <c r="A9" t="inlineStr">
        <is>
          <t>Visita atrasada</t>
        </is>
      </c>
      <c r="B9" s="68">
        <f>COUNTIF(Cobertura!$H$2:$H$250,"Atrasado")</f>
        <v/>
      </c>
      <c r="D9" s="68">
        <f>$B$3&amp;"-"&amp;TEXT(3,"00")</f>
        <v/>
      </c>
      <c r="E9" s="68">
        <f>SUMIFS(Ventas_SellIn!$L$2:$L$800,Ventas_SellIn!$X$2:$X$800,$D9)</f>
        <v/>
      </c>
      <c r="F9" s="68">
        <f>SUMIFS(Ventas_SellIn!$J$2:$J$800,Ventas_SellIn!$X$2:$X$800,$D9)</f>
        <v/>
      </c>
      <c r="G9" s="68">
        <f>SUMIFS(Ventas_SellIn!$R$2:$R$800,Ventas_SellIn!$X$2:$X$800,$D9)</f>
        <v/>
      </c>
    </row>
    <row r="10">
      <c r="A10" t="inlineStr">
        <is>
          <t>Sin visita</t>
        </is>
      </c>
      <c r="B10" s="68">
        <f>COUNTIF(Cobertura!$H$2:$H$250,"Sin visita")</f>
        <v/>
      </c>
      <c r="D10" s="68">
        <f>$B$3&amp;"-"&amp;TEXT(4,"00")</f>
        <v/>
      </c>
      <c r="E10" s="68">
        <f>SUMIFS(Ventas_SellIn!$L$2:$L$800,Ventas_SellIn!$X$2:$X$800,$D10)</f>
        <v/>
      </c>
      <c r="F10" s="68">
        <f>SUMIFS(Ventas_SellIn!$J$2:$J$800,Ventas_SellIn!$X$2:$X$800,$D10)</f>
        <v/>
      </c>
      <c r="G10" s="68">
        <f>SUMIFS(Ventas_SellIn!$R$2:$R$800,Ventas_SellIn!$X$2:$X$800,$D10)</f>
        <v/>
      </c>
    </row>
    <row r="11">
      <c r="A11" t="inlineStr">
        <is>
          <t>PDV con venta OK</t>
        </is>
      </c>
      <c r="B11" s="68">
        <f>COUNTIF(Cobertura!$K$2:$K$250,"Venta OK")</f>
        <v/>
      </c>
      <c r="D11" s="68">
        <f>$B$3&amp;"-"&amp;TEXT(5,"00")</f>
        <v/>
      </c>
      <c r="E11" s="68">
        <f>SUMIFS(Ventas_SellIn!$L$2:$L$800,Ventas_SellIn!$X$2:$X$800,$D11)</f>
        <v/>
      </c>
      <c r="F11" s="68">
        <f>SUMIFS(Ventas_SellIn!$J$2:$J$800,Ventas_SellIn!$X$2:$X$800,$D11)</f>
        <v/>
      </c>
      <c r="G11" s="68">
        <f>SUMIFS(Ventas_SellIn!$R$2:$R$800,Ventas_SellIn!$X$2:$X$800,$D11)</f>
        <v/>
      </c>
    </row>
    <row r="12">
      <c r="A12" t="inlineStr">
        <is>
          <t>PDV venta baja</t>
        </is>
      </c>
      <c r="B12" s="68">
        <f>COUNTIF(Cobertura!$K$2:$K$250,"Venta baja")</f>
        <v/>
      </c>
      <c r="D12" s="68">
        <f>$B$3&amp;"-"&amp;TEXT(6,"00")</f>
        <v/>
      </c>
      <c r="E12" s="68">
        <f>SUMIFS(Ventas_SellIn!$L$2:$L$800,Ventas_SellIn!$X$2:$X$800,$D12)</f>
        <v/>
      </c>
      <c r="F12" s="68">
        <f>SUMIFS(Ventas_SellIn!$J$2:$J$800,Ventas_SellIn!$X$2:$X$800,$D12)</f>
        <v/>
      </c>
      <c r="G12" s="68">
        <f>SUMIFS(Ventas_SellIn!$R$2:$R$800,Ventas_SellIn!$X$2:$X$800,$D12)</f>
        <v/>
      </c>
    </row>
    <row r="13">
      <c r="A13" t="inlineStr">
        <is>
          <t>PDV sin venta</t>
        </is>
      </c>
      <c r="B13" s="68">
        <f>COUNTIF(Cobertura!$K$2:$K$250,"Sin venta")</f>
        <v/>
      </c>
      <c r="D13" s="68">
        <f>$B$3&amp;"-"&amp;TEXT(7,"00")</f>
        <v/>
      </c>
      <c r="E13" s="68">
        <f>SUMIFS(Ventas_SellIn!$L$2:$L$800,Ventas_SellIn!$X$2:$X$800,$D13)</f>
        <v/>
      </c>
      <c r="F13" s="68">
        <f>SUMIFS(Ventas_SellIn!$J$2:$J$800,Ventas_SellIn!$X$2:$X$800,$D13)</f>
        <v/>
      </c>
      <c r="G13" s="68">
        <f>SUMIFS(Ventas_SellIn!$R$2:$R$800,Ventas_SellIn!$X$2:$X$800,$D13)</f>
        <v/>
      </c>
    </row>
    <row r="14">
      <c r="A14" t="inlineStr">
        <is>
          <t>Prioridad Alta (lunes)</t>
        </is>
      </c>
      <c r="B14" s="68">
        <f>COUNTIF(Cobertura!$Q$2:$Q$250,"Alta")</f>
        <v/>
      </c>
      <c r="D14" s="68">
        <f>$B$3&amp;"-"&amp;TEXT(8,"00")</f>
        <v/>
      </c>
      <c r="E14" s="68">
        <f>SUMIFS(Ventas_SellIn!$L$2:$L$800,Ventas_SellIn!$X$2:$X$800,$D14)</f>
        <v/>
      </c>
      <c r="F14" s="68">
        <f>SUMIFS(Ventas_SellIn!$J$2:$J$800,Ventas_SellIn!$X$2:$X$800,$D14)</f>
        <v/>
      </c>
      <c r="G14" s="68">
        <f>SUMIFS(Ventas_SellIn!$R$2:$R$800,Ventas_SellIn!$X$2:$X$800,$D14)</f>
        <v/>
      </c>
    </row>
    <row r="15">
      <c r="A15" t="inlineStr">
        <is>
          <t>Monto pendiente total</t>
        </is>
      </c>
      <c r="B15" s="68">
        <f>SUM(Cobertura!$M$2:$M$250)</f>
        <v/>
      </c>
      <c r="D15" s="68">
        <f>$B$3&amp;"-"&amp;TEXT(9,"00")</f>
        <v/>
      </c>
      <c r="E15" s="68">
        <f>SUMIFS(Ventas_SellIn!$L$2:$L$800,Ventas_SellIn!$X$2:$X$800,$D15)</f>
        <v/>
      </c>
      <c r="F15" s="68">
        <f>SUMIFS(Ventas_SellIn!$J$2:$J$800,Ventas_SellIn!$X$2:$X$800,$D15)</f>
        <v/>
      </c>
      <c r="G15" s="68">
        <f>SUMIFS(Ventas_SellIn!$R$2:$R$800,Ventas_SellIn!$X$2:$X$800,$D15)</f>
        <v/>
      </c>
    </row>
    <row r="16">
      <c r="D16" s="68">
        <f>$B$3&amp;"-"&amp;TEXT(10,"00")</f>
        <v/>
      </c>
      <c r="E16" s="68">
        <f>SUMIFS(Ventas_SellIn!$L$2:$L$800,Ventas_SellIn!$X$2:$X$800,$D16)</f>
        <v/>
      </c>
      <c r="F16" s="68">
        <f>SUMIFS(Ventas_SellIn!$J$2:$J$800,Ventas_SellIn!$X$2:$X$800,$D16)</f>
        <v/>
      </c>
      <c r="G16" s="68">
        <f>SUMIFS(Ventas_SellIn!$R$2:$R$800,Ventas_SellIn!$X$2:$X$800,$D16)</f>
        <v/>
      </c>
    </row>
    <row r="17">
      <c r="D17" s="68">
        <f>$B$3&amp;"-"&amp;TEXT(11,"00")</f>
        <v/>
      </c>
      <c r="E17" s="68">
        <f>SUMIFS(Ventas_SellIn!$L$2:$L$800,Ventas_SellIn!$X$2:$X$800,$D17)</f>
        <v/>
      </c>
      <c r="F17" s="68">
        <f>SUMIFS(Ventas_SellIn!$J$2:$J$800,Ventas_SellIn!$X$2:$X$800,$D17)</f>
        <v/>
      </c>
      <c r="G17" s="68">
        <f>SUMIFS(Ventas_SellIn!$R$2:$R$800,Ventas_SellIn!$X$2:$X$800,$D17)</f>
        <v/>
      </c>
    </row>
    <row r="18">
      <c r="D18" s="68">
        <f>$B$3&amp;"-"&amp;TEXT(12,"00")</f>
        <v/>
      </c>
      <c r="E18" s="68">
        <f>SUMIFS(Ventas_SellIn!$L$2:$L$800,Ventas_SellIn!$X$2:$X$800,$D18)</f>
        <v/>
      </c>
      <c r="F18" s="68">
        <f>SUMIFS(Ventas_SellIn!$J$2:$J$800,Ventas_SellIn!$X$2:$X$800,$D18)</f>
        <v/>
      </c>
      <c r="G18" s="68">
        <f>SUMIFS(Ventas_SellIn!$R$2:$R$800,Ventas_SellIn!$X$2:$X$800,$D18)</f>
        <v/>
      </c>
    </row>
    <row r="19">
      <c r="A19" s="69" t="inlineStr">
        <is>
          <t>Nota: se llena solo desde Ventas_SellIn y Cobertura. Cambia el año en B3.</t>
        </is>
      </c>
      <c r="D19" s="64" t="inlineStr">
        <is>
          <t>TOTAL</t>
        </is>
      </c>
      <c r="E19" s="64">
        <f>SUM(E7:E18)</f>
        <v/>
      </c>
      <c r="F19" s="64">
        <f>SUM(F7:F18)</f>
        <v/>
      </c>
      <c r="G19" s="64">
        <f>SUM(G7:G18)</f>
        <v/>
      </c>
    </row>
    <row r="21">
      <c r="A21" s="66" t="inlineStr">
        <is>
          <t>Venta por canal</t>
        </is>
      </c>
    </row>
    <row r="22">
      <c r="A22" s="67" t="inlineStr">
        <is>
          <t>Canal</t>
        </is>
      </c>
      <c r="B22" s="67" t="inlineStr">
        <is>
          <t>Venta neta</t>
        </is>
      </c>
      <c r="C22" s="67" t="inlineStr">
        <is>
          <t>Unidades</t>
        </is>
      </c>
    </row>
    <row r="23">
      <c r="A23" s="68">
        <f>Inicio!$E$5</f>
        <v/>
      </c>
      <c r="B23" s="68">
        <f>IF($A23="","",SUMIFS(Ventas_SellIn!$L$2:$L$800,Ventas_SellIn!$F$2:$F$800,$A23))</f>
        <v/>
      </c>
      <c r="C23" s="68">
        <f>IF($A23="","",SUMIFS(Ventas_SellIn!$J$2:$J$800,Ventas_SellIn!$F$2:$F$800,$A23))</f>
        <v/>
      </c>
    </row>
    <row r="24">
      <c r="A24" s="68">
        <f>Inicio!$E$6</f>
        <v/>
      </c>
      <c r="B24" s="68">
        <f>IF($A24="","",SUMIFS(Ventas_SellIn!$L$2:$L$800,Ventas_SellIn!$F$2:$F$800,$A24))</f>
        <v/>
      </c>
      <c r="C24" s="68">
        <f>IF($A24="","",SUMIFS(Ventas_SellIn!$J$2:$J$800,Ventas_SellIn!$F$2:$F$800,$A24))</f>
        <v/>
      </c>
    </row>
    <row r="25">
      <c r="A25" s="68">
        <f>Inicio!$E$7</f>
        <v/>
      </c>
      <c r="B25" s="68">
        <f>IF($A25="","",SUMIFS(Ventas_SellIn!$L$2:$L$800,Ventas_SellIn!$F$2:$F$800,$A25))</f>
        <v/>
      </c>
      <c r="C25" s="68">
        <f>IF($A25="","",SUMIFS(Ventas_SellIn!$J$2:$J$800,Ventas_SellIn!$F$2:$F$800,$A25))</f>
        <v/>
      </c>
    </row>
    <row r="26">
      <c r="A26" s="68">
        <f>Inicio!$E$8</f>
        <v/>
      </c>
      <c r="B26" s="68">
        <f>IF($A26="","",SUMIFS(Ventas_SellIn!$L$2:$L$800,Ventas_SellIn!$F$2:$F$800,$A26))</f>
        <v/>
      </c>
      <c r="C26" s="68">
        <f>IF($A26="","",SUMIFS(Ventas_SellIn!$J$2:$J$800,Ventas_SellIn!$F$2:$F$800,$A26))</f>
        <v/>
      </c>
    </row>
    <row r="27">
      <c r="A27" s="68">
        <f>Inicio!$E$9</f>
        <v/>
      </c>
      <c r="B27" s="68">
        <f>IF($A27="","",SUMIFS(Ventas_SellIn!$L$2:$L$800,Ventas_SellIn!$F$2:$F$800,$A27))</f>
        <v/>
      </c>
      <c r="C27" s="68">
        <f>IF($A27="","",SUMIFS(Ventas_SellIn!$J$2:$J$800,Ventas_SellIn!$F$2:$F$800,$A27))</f>
        <v/>
      </c>
    </row>
    <row r="28">
      <c r="A28" s="68">
        <f>Inicio!$E$10</f>
        <v/>
      </c>
      <c r="B28" s="68">
        <f>IF($A28="","",SUMIFS(Ventas_SellIn!$L$2:$L$800,Ventas_SellIn!$F$2:$F$800,$A28))</f>
        <v/>
      </c>
      <c r="C28" s="68">
        <f>IF($A28="","",SUMIFS(Ventas_SellIn!$J$2:$J$800,Ventas_SellIn!$F$2:$F$800,$A28))</f>
        <v/>
      </c>
    </row>
    <row r="29">
      <c r="A29" s="68">
        <f>Inicio!$E$11</f>
        <v/>
      </c>
      <c r="B29" s="68">
        <f>IF($A29="","",SUMIFS(Ventas_SellIn!$L$2:$L$800,Ventas_SellIn!$F$2:$F$800,$A29))</f>
        <v/>
      </c>
      <c r="C29" s="68">
        <f>IF($A29="","",SUMIFS(Ventas_SellIn!$J$2:$J$800,Ventas_SellIn!$F$2:$F$800,$A29))</f>
        <v/>
      </c>
    </row>
    <row r="30">
      <c r="A30" s="68">
        <f>Inicio!$E$12</f>
        <v/>
      </c>
      <c r="B30" s="68">
        <f>IF($A30="","",SUMIFS(Ventas_SellIn!$L$2:$L$800,Ventas_SellIn!$F$2:$F$800,$A30))</f>
        <v/>
      </c>
      <c r="C30" s="68">
        <f>IF($A30="","",SUMIFS(Ventas_SellIn!$J$2:$J$800,Ventas_SellIn!$F$2:$F$800,$A30))</f>
        <v/>
      </c>
    </row>
    <row r="31">
      <c r="A31" s="68">
        <f>Inicio!$E$13</f>
        <v/>
      </c>
      <c r="B31" s="68">
        <f>IF($A31="","",SUMIFS(Ventas_SellIn!$L$2:$L$800,Ventas_SellIn!$F$2:$F$800,$A31))</f>
        <v/>
      </c>
      <c r="C31" s="68">
        <f>IF($A31="","",SUMIFS(Ventas_SellIn!$J$2:$J$800,Ventas_SellIn!$F$2:$F$800,$A31))</f>
        <v/>
      </c>
    </row>
    <row r="32">
      <c r="A32" s="69" t="inlineStr">
        <is>
          <t>Tip: en Ventas_SellIn filtra la columna Fecha → Filtros de fecha → Entre… para ver el detalle.</t>
        </is>
      </c>
    </row>
    <row r="33">
      <c r="A33" s="66" t="inlineStr">
        <is>
          <t>Reporte de ventas por rango de fechas</t>
        </is>
      </c>
    </row>
    <row r="34">
      <c r="A34" s="64" t="inlineStr">
        <is>
          <t>Desde:</t>
        </is>
      </c>
      <c r="B34" s="78" t="n">
        <v>46023</v>
      </c>
      <c r="C34" s="64" t="inlineStr">
        <is>
          <t>Hasta:</t>
        </is>
      </c>
      <c r="D34" s="78" t="n">
        <v>46387</v>
      </c>
    </row>
    <row r="35">
      <c r="A35" s="77" t="inlineStr">
        <is>
          <t>Métrica</t>
        </is>
      </c>
      <c r="B35" s="77" t="inlineStr">
        <is>
          <t>Valor</t>
        </is>
      </c>
    </row>
    <row r="36">
      <c r="A36" t="inlineStr">
        <is>
          <t>Venta neta (rango)</t>
        </is>
      </c>
      <c r="B36" s="68">
        <f>SUMIFS(Ventas_SellIn!$L$2:$L$800,Ventas_SellIn!$B$2:$B$800,"&gt;="&amp;$B$34,Ventas_SellIn!$B$2:$B$800,"&lt;="&amp;$D$34)</f>
        <v/>
      </c>
    </row>
    <row r="37">
      <c r="A37" t="inlineStr">
        <is>
          <t>Unidades (rango)</t>
        </is>
      </c>
      <c r="B37" s="68">
        <f>SUMIFS(Ventas_SellIn!$J$2:$J$800,Ventas_SellIn!$B$2:$B$800,"&gt;="&amp;$B$34,Ventas_SellIn!$B$2:$B$800,"&lt;="&amp;$D$34)</f>
        <v/>
      </c>
    </row>
    <row r="38">
      <c r="A38" t="inlineStr">
        <is>
          <t>N° facturas/líneas</t>
        </is>
      </c>
      <c r="B38" s="68">
        <f>COUNTIFS(Ventas_SellIn!$B$2:$B$800,"&gt;="&amp;$B$34,Ventas_SellIn!$B$2:$B$800,"&lt;="&amp;$D$34,Ventas_SellIn!$A$2:$A$800,"&lt;&gt;")</f>
        <v/>
      </c>
    </row>
    <row r="39">
      <c r="A39" t="inlineStr">
        <is>
          <t>Monto pendiente (rango)</t>
        </is>
      </c>
      <c r="B39" s="68">
        <f>SUMIFS(Ventas_SellIn!$R$2:$R$800,Ventas_SellIn!$B$2:$B$800,"&gt;="&amp;$B$34,Ventas_SellIn!$B$2:$B$800,"&lt;="&amp;$D$34)</f>
        <v/>
      </c>
    </row>
    <row r="41">
      <c r="A41" s="66" t="inlineStr">
        <is>
          <t>Venta por canal en el rango</t>
        </is>
      </c>
    </row>
    <row r="42">
      <c r="A42" s="77" t="inlineStr">
        <is>
          <t>Canal</t>
        </is>
      </c>
      <c r="B42" s="77" t="inlineStr">
        <is>
          <t>Venta neta</t>
        </is>
      </c>
      <c r="C42" s="77" t="inlineStr">
        <is>
          <t>Unidades</t>
        </is>
      </c>
    </row>
    <row r="43">
      <c r="A43" s="68">
        <f>Inicio!$E$5</f>
        <v/>
      </c>
      <c r="B43" s="68">
        <f>IF($A43="","",SUMIFS(Ventas_SellIn!$L$2:$L$800,Ventas_SellIn!$F$2:$F$800,$A43,Ventas_SellIn!$B$2:$B$800,"&gt;="&amp;$B$34,Ventas_SellIn!$B$2:$B$800,"&lt;="&amp;$D$34))</f>
        <v/>
      </c>
      <c r="C43" s="68">
        <f>IF($A43="","",SUMIFS(Ventas_SellIn!$J$2:$J$800,Ventas_SellIn!$F$2:$F$800,$A43,Ventas_SellIn!$B$2:$B$800,"&gt;="&amp;$B$34,Ventas_SellIn!$B$2:$B$800,"&lt;="&amp;$D$34))</f>
        <v/>
      </c>
    </row>
    <row r="44">
      <c r="A44" s="68">
        <f>Inicio!$E$6</f>
        <v/>
      </c>
      <c r="B44" s="68">
        <f>IF($A44="","",SUMIFS(Ventas_SellIn!$L$2:$L$800,Ventas_SellIn!$F$2:$F$800,$A44,Ventas_SellIn!$B$2:$B$800,"&gt;="&amp;$B$34,Ventas_SellIn!$B$2:$B$800,"&lt;="&amp;$D$34))</f>
        <v/>
      </c>
      <c r="C44" s="68">
        <f>IF($A44="","",SUMIFS(Ventas_SellIn!$J$2:$J$800,Ventas_SellIn!$F$2:$F$800,$A44,Ventas_SellIn!$B$2:$B$800,"&gt;="&amp;$B$34,Ventas_SellIn!$B$2:$B$800,"&lt;="&amp;$D$34))</f>
        <v/>
      </c>
    </row>
    <row r="45">
      <c r="A45" s="68">
        <f>Inicio!$E$7</f>
        <v/>
      </c>
      <c r="B45" s="68">
        <f>IF($A45="","",SUMIFS(Ventas_SellIn!$L$2:$L$800,Ventas_SellIn!$F$2:$F$800,$A45,Ventas_SellIn!$B$2:$B$800,"&gt;="&amp;$B$34,Ventas_SellIn!$B$2:$B$800,"&lt;="&amp;$D$34))</f>
        <v/>
      </c>
      <c r="C45" s="68">
        <f>IF($A45="","",SUMIFS(Ventas_SellIn!$J$2:$J$800,Ventas_SellIn!$F$2:$F$800,$A45,Ventas_SellIn!$B$2:$B$800,"&gt;="&amp;$B$34,Ventas_SellIn!$B$2:$B$800,"&lt;="&amp;$D$34))</f>
        <v/>
      </c>
    </row>
    <row r="46">
      <c r="A46" s="68">
        <f>Inicio!$E$8</f>
        <v/>
      </c>
      <c r="B46" s="68">
        <f>IF($A46="","",SUMIFS(Ventas_SellIn!$L$2:$L$800,Ventas_SellIn!$F$2:$F$800,$A46,Ventas_SellIn!$B$2:$B$800,"&gt;="&amp;$B$34,Ventas_SellIn!$B$2:$B$800,"&lt;="&amp;$D$34))</f>
        <v/>
      </c>
      <c r="C46" s="68">
        <f>IF($A46="","",SUMIFS(Ventas_SellIn!$J$2:$J$800,Ventas_SellIn!$F$2:$F$800,$A46,Ventas_SellIn!$B$2:$B$800,"&gt;="&amp;$B$34,Ventas_SellIn!$B$2:$B$800,"&lt;="&amp;$D$34))</f>
        <v/>
      </c>
    </row>
    <row r="47">
      <c r="A47" s="68">
        <f>Inicio!$E$9</f>
        <v/>
      </c>
      <c r="B47" s="68">
        <f>IF($A47="","",SUMIFS(Ventas_SellIn!$L$2:$L$800,Ventas_SellIn!$F$2:$F$800,$A47,Ventas_SellIn!$B$2:$B$800,"&gt;="&amp;$B$34,Ventas_SellIn!$B$2:$B$800,"&lt;="&amp;$D$34))</f>
        <v/>
      </c>
      <c r="C47" s="68">
        <f>IF($A47="","",SUMIFS(Ventas_SellIn!$J$2:$J$800,Ventas_SellIn!$F$2:$F$800,$A47,Ventas_SellIn!$B$2:$B$800,"&gt;="&amp;$B$34,Ventas_SellIn!$B$2:$B$800,"&lt;="&amp;$D$34))</f>
        <v/>
      </c>
    </row>
    <row r="48">
      <c r="A48" s="68">
        <f>Inicio!$E$10</f>
        <v/>
      </c>
      <c r="B48" s="68">
        <f>IF($A48="","",SUMIFS(Ventas_SellIn!$L$2:$L$800,Ventas_SellIn!$F$2:$F$800,$A48,Ventas_SellIn!$B$2:$B$800,"&gt;="&amp;$B$34,Ventas_SellIn!$B$2:$B$800,"&lt;="&amp;$D$34))</f>
        <v/>
      </c>
      <c r="C48" s="68">
        <f>IF($A48="","",SUMIFS(Ventas_SellIn!$J$2:$J$800,Ventas_SellIn!$F$2:$F$800,$A48,Ventas_SellIn!$B$2:$B$800,"&gt;="&amp;$B$34,Ventas_SellIn!$B$2:$B$800,"&lt;="&amp;$D$34))</f>
        <v/>
      </c>
    </row>
    <row r="49">
      <c r="A49" s="68">
        <f>Inicio!$E$11</f>
        <v/>
      </c>
      <c r="B49" s="68">
        <f>IF($A49="","",SUMIFS(Ventas_SellIn!$L$2:$L$800,Ventas_SellIn!$F$2:$F$800,$A49,Ventas_SellIn!$B$2:$B$800,"&gt;="&amp;$B$34,Ventas_SellIn!$B$2:$B$800,"&lt;="&amp;$D$34))</f>
        <v/>
      </c>
      <c r="C49" s="68">
        <f>IF($A49="","",SUMIFS(Ventas_SellIn!$J$2:$J$800,Ventas_SellIn!$F$2:$F$800,$A49,Ventas_SellIn!$B$2:$B$800,"&gt;="&amp;$B$34,Ventas_SellIn!$B$2:$B$800,"&lt;="&amp;$D$34))</f>
        <v/>
      </c>
    </row>
    <row r="50">
      <c r="A50" s="68">
        <f>Inicio!$E$12</f>
        <v/>
      </c>
      <c r="B50" s="68">
        <f>IF($A50="","",SUMIFS(Ventas_SellIn!$L$2:$L$800,Ventas_SellIn!$F$2:$F$800,$A50,Ventas_SellIn!$B$2:$B$800,"&gt;="&amp;$B$34,Ventas_SellIn!$B$2:$B$800,"&lt;="&amp;$D$34))</f>
        <v/>
      </c>
      <c r="C50" s="68">
        <f>IF($A50="","",SUMIFS(Ventas_SellIn!$J$2:$J$800,Ventas_SellIn!$F$2:$F$800,$A50,Ventas_SellIn!$B$2:$B$800,"&gt;="&amp;$B$34,Ventas_SellIn!$B$2:$B$800,"&lt;="&amp;$D$34))</f>
        <v/>
      </c>
    </row>
    <row r="51">
      <c r="A51" s="68">
        <f>Inicio!$E$13</f>
        <v/>
      </c>
      <c r="B51" s="68">
        <f>IF($A51="","",SUMIFS(Ventas_SellIn!$L$2:$L$800,Ventas_SellIn!$F$2:$F$800,$A51,Ventas_SellIn!$B$2:$B$800,"&gt;="&amp;$B$34,Ventas_SellIn!$B$2:$B$800,"&lt;="&amp;$D$34))</f>
        <v/>
      </c>
      <c r="C51" s="68">
        <f>IF($A51="","",SUMIFS(Ventas_SellIn!$J$2:$J$800,Ventas_SellIn!$F$2:$F$800,$A51,Ventas_SellIn!$B$2:$B$800,"&gt;="&amp;$B$34,Ventas_SellIn!$B$2:$B$800,"&lt;="&amp;$D$34))</f>
        <v/>
      </c>
    </row>
  </sheetData>
  <mergeCells count="5">
    <mergeCell ref="A41:C41"/>
    <mergeCell ref="A33:C33"/>
    <mergeCell ref="A5:B5"/>
    <mergeCell ref="A21:C21"/>
    <mergeCell ref="D5:G5"/>
  </mergeCells>
  <hyperlinks>
    <hyperlink xmlns:r="http://schemas.openxmlformats.org/officeDocument/2006/relationships" ref="D3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A3B61"/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6" min="1" max="1"/>
    <col hidden="1" outlineLevel="1" width="26" customWidth="1" style="36" min="2" max="2"/>
    <col width="14" customWidth="1" style="36" min="3" max="3"/>
    <col hidden="1" outlineLevel="1" width="11" customWidth="1" style="36" min="4" max="4"/>
    <col width="14" customWidth="1" style="36" min="5" max="5"/>
    <col width="14" customWidth="1" style="36" min="6" max="6"/>
    <col hidden="1" outlineLevel="1" width="13" customWidth="1" style="36" min="7" max="7"/>
    <col width="15" customWidth="1" style="36" min="8" max="8"/>
    <col width="14" customWidth="1" style="36" min="9" max="9"/>
  </cols>
  <sheetData>
    <row r="1">
      <c r="A1" s="67" t="inlineStr">
        <is>
          <t>Producto (SKU)</t>
        </is>
      </c>
      <c r="B1" s="67" t="inlineStr">
        <is>
          <t>Descripción</t>
        </is>
      </c>
      <c r="C1" s="67" t="inlineStr">
        <is>
          <t>Sell-in ventana</t>
        </is>
      </c>
      <c r="D1" s="67" t="inlineStr">
        <is>
          <t>Venta/día</t>
        </is>
      </c>
      <c r="E1" s="67" t="inlineStr">
        <is>
          <t>Stock objetivo</t>
        </is>
      </c>
      <c r="F1" s="67" t="inlineStr">
        <is>
          <t>Bodega (unid.)</t>
        </is>
      </c>
      <c r="G1" s="67" t="inlineStr">
        <is>
          <t>Bodega barras</t>
        </is>
      </c>
      <c r="H1" s="67" t="inlineStr">
        <is>
          <t>Reponer (barras)</t>
        </is>
      </c>
      <c r="I1" s="67" t="inlineStr">
        <is>
          <t>Estado</t>
        </is>
      </c>
      <c r="K1" s="47" t="inlineStr">
        <is>
          <t>⚙ Configuración</t>
        </is>
      </c>
    </row>
    <row r="2">
      <c r="A2" s="68">
        <f>IF(Maestro_SKU!A2="","",Maestro_SKU!A2)</f>
        <v/>
      </c>
      <c r="B2" s="68">
        <f>IF(A2="","",IFERROR(VLOOKUP(A2,Maestro_SKU!$A$2:$P$500,2,FALSE),""))</f>
        <v/>
      </c>
      <c r="C2" s="68">
        <f>IF(A2="","",SUMIFS(Ventas_SellIn!$Y$2:$Y$800,Ventas_SellIn!$H$2:$H$800,A2,Ventas_SellIn!$B$2:$B$800,"&gt;="&amp;TODAY()-cfg_VentanaDemanda))</f>
        <v/>
      </c>
      <c r="D2" s="68">
        <f>IF(A2="","",C2/cfg_VentanaDemanda)</f>
        <v/>
      </c>
      <c r="E2" s="68">
        <f>IF(A2="","",ROUND(D2*cfg_DiasCobertura*(1+cfg_PctSeguridad),0))</f>
        <v/>
      </c>
      <c r="F2" s="74" t="n"/>
      <c r="G2" s="68">
        <f>IF(A2="","",IF(F2="",0,F2*IFERROR(VLOOKUP(A2,Maestro_SKU!$A$2:$P$500,12,FALSE),1)))</f>
        <v/>
      </c>
      <c r="H2" s="68">
        <f>IF(A2="","",MAX(E2-G2,0))</f>
        <v/>
      </c>
      <c r="I2" s="68">
        <f>IF(A2="","",IF(F2="","Falta bodega",IF(G2&gt;=E2,"OK",IF(G2&gt;=E2*0.6,"Ajustado","Reponer"))))</f>
        <v/>
      </c>
    </row>
    <row r="3">
      <c r="A3" s="68">
        <f>IF(Maestro_SKU!A3="","",Maestro_SKU!A3)</f>
        <v/>
      </c>
      <c r="B3" s="68">
        <f>IF(A3="","",IFERROR(VLOOKUP(A3,Maestro_SKU!$A$2:$P$500,2,FALSE),""))</f>
        <v/>
      </c>
      <c r="C3" s="68">
        <f>IF(A3="","",SUMIFS(Ventas_SellIn!$Y$2:$Y$800,Ventas_SellIn!$H$2:$H$800,A3,Ventas_SellIn!$B$2:$B$800,"&gt;="&amp;TODAY()-cfg_VentanaDemanda))</f>
        <v/>
      </c>
      <c r="D3" s="68">
        <f>IF(A3="","",C3/cfg_VentanaDemanda)</f>
        <v/>
      </c>
      <c r="E3" s="68">
        <f>IF(A3="","",ROUND(D3*cfg_DiasCobertura*(1+cfg_PctSeguridad),0))</f>
        <v/>
      </c>
      <c r="F3" s="74" t="n"/>
      <c r="G3" s="68">
        <f>IF(A3="","",IF(F3="",0,F3*IFERROR(VLOOKUP(A3,Maestro_SKU!$A$2:$P$500,12,FALSE),1)))</f>
        <v/>
      </c>
      <c r="H3" s="68">
        <f>IF(A3="","",MAX(E3-G3,0))</f>
        <v/>
      </c>
      <c r="I3" s="68">
        <f>IF(A3="","",IF(F3="","Falta bodega",IF(G3&gt;=E3,"OK",IF(G3&gt;=E3*0.6,"Ajustado","Reponer"))))</f>
        <v/>
      </c>
    </row>
    <row r="4">
      <c r="A4" s="68">
        <f>IF(Maestro_SKU!A4="","",Maestro_SKU!A4)</f>
        <v/>
      </c>
      <c r="B4" s="68">
        <f>IF(A4="","",IFERROR(VLOOKUP(A4,Maestro_SKU!$A$2:$P$500,2,FALSE),""))</f>
        <v/>
      </c>
      <c r="C4" s="68">
        <f>IF(A4="","",SUMIFS(Ventas_SellIn!$Y$2:$Y$800,Ventas_SellIn!$H$2:$H$800,A4,Ventas_SellIn!$B$2:$B$800,"&gt;="&amp;TODAY()-cfg_VentanaDemanda))</f>
        <v/>
      </c>
      <c r="D4" s="68">
        <f>IF(A4="","",C4/cfg_VentanaDemanda)</f>
        <v/>
      </c>
      <c r="E4" s="68">
        <f>IF(A4="","",ROUND(D4*cfg_DiasCobertura*(1+cfg_PctSeguridad),0))</f>
        <v/>
      </c>
      <c r="F4" s="74" t="n"/>
      <c r="G4" s="68">
        <f>IF(A4="","",IF(F4="",0,F4*IFERROR(VLOOKUP(A4,Maestro_SKU!$A$2:$P$500,12,FALSE),1)))</f>
        <v/>
      </c>
      <c r="H4" s="68">
        <f>IF(A4="","",MAX(E4-G4,0))</f>
        <v/>
      </c>
      <c r="I4" s="68">
        <f>IF(A4="","",IF(F4="","Falta bodega",IF(G4&gt;=E4,"OK",IF(G4&gt;=E4*0.6,"Ajustado","Reponer"))))</f>
        <v/>
      </c>
    </row>
    <row r="5">
      <c r="A5" s="68">
        <f>IF(Maestro_SKU!A5="","",Maestro_SKU!A5)</f>
        <v/>
      </c>
      <c r="B5" s="68">
        <f>IF(A5="","",IFERROR(VLOOKUP(A5,Maestro_SKU!$A$2:$P$500,2,FALSE),""))</f>
        <v/>
      </c>
      <c r="C5" s="68">
        <f>IF(A5="","",SUMIFS(Ventas_SellIn!$Y$2:$Y$800,Ventas_SellIn!$H$2:$H$800,A5,Ventas_SellIn!$B$2:$B$800,"&gt;="&amp;TODAY()-cfg_VentanaDemanda))</f>
        <v/>
      </c>
      <c r="D5" s="68">
        <f>IF(A5="","",C5/cfg_VentanaDemanda)</f>
        <v/>
      </c>
      <c r="E5" s="68">
        <f>IF(A5="","",ROUND(D5*cfg_DiasCobertura*(1+cfg_PctSeguridad),0))</f>
        <v/>
      </c>
      <c r="F5" s="74" t="n"/>
      <c r="G5" s="68">
        <f>IF(A5="","",IF(F5="",0,F5*IFERROR(VLOOKUP(A5,Maestro_SKU!$A$2:$P$500,12,FALSE),1)))</f>
        <v/>
      </c>
      <c r="H5" s="68">
        <f>IF(A5="","",MAX(E5-G5,0))</f>
        <v/>
      </c>
      <c r="I5" s="68">
        <f>IF(A5="","",IF(F5="","Falta bodega",IF(G5&gt;=E5,"OK",IF(G5&gt;=E5*0.6,"Ajustado","Reponer"))))</f>
        <v/>
      </c>
    </row>
    <row r="6">
      <c r="A6" s="68">
        <f>IF(Maestro_SKU!A6="","",Maestro_SKU!A6)</f>
        <v/>
      </c>
      <c r="B6" s="68">
        <f>IF(A6="","",IFERROR(VLOOKUP(A6,Maestro_SKU!$A$2:$P$500,2,FALSE),""))</f>
        <v/>
      </c>
      <c r="C6" s="68">
        <f>IF(A6="","",SUMIFS(Ventas_SellIn!$Y$2:$Y$800,Ventas_SellIn!$H$2:$H$800,A6,Ventas_SellIn!$B$2:$B$800,"&gt;="&amp;TODAY()-cfg_VentanaDemanda))</f>
        <v/>
      </c>
      <c r="D6" s="68">
        <f>IF(A6="","",C6/cfg_VentanaDemanda)</f>
        <v/>
      </c>
      <c r="E6" s="68">
        <f>IF(A6="","",ROUND(D6*cfg_DiasCobertura*(1+cfg_PctSeguridad),0))</f>
        <v/>
      </c>
      <c r="F6" s="74" t="n"/>
      <c r="G6" s="68">
        <f>IF(A6="","",IF(F6="",0,F6*IFERROR(VLOOKUP(A6,Maestro_SKU!$A$2:$P$500,12,FALSE),1)))</f>
        <v/>
      </c>
      <c r="H6" s="68">
        <f>IF(A6="","",MAX(E6-G6,0))</f>
        <v/>
      </c>
      <c r="I6" s="68">
        <f>IF(A6="","",IF(F6="","Falta bodega",IF(G6&gt;=E6,"OK",IF(G6&gt;=E6*0.6,"Ajustado","Reponer"))))</f>
        <v/>
      </c>
    </row>
    <row r="7">
      <c r="A7" s="68">
        <f>IF(Maestro_SKU!A7="","",Maestro_SKU!A7)</f>
        <v/>
      </c>
      <c r="B7" s="68">
        <f>IF(A7="","",IFERROR(VLOOKUP(A7,Maestro_SKU!$A$2:$P$500,2,FALSE),""))</f>
        <v/>
      </c>
      <c r="C7" s="68">
        <f>IF(A7="","",SUMIFS(Ventas_SellIn!$Y$2:$Y$800,Ventas_SellIn!$H$2:$H$800,A7,Ventas_SellIn!$B$2:$B$800,"&gt;="&amp;TODAY()-cfg_VentanaDemanda))</f>
        <v/>
      </c>
      <c r="D7" s="68">
        <f>IF(A7="","",C7/cfg_VentanaDemanda)</f>
        <v/>
      </c>
      <c r="E7" s="68">
        <f>IF(A7="","",ROUND(D7*cfg_DiasCobertura*(1+cfg_PctSeguridad),0))</f>
        <v/>
      </c>
      <c r="F7" s="74" t="n"/>
      <c r="G7" s="68">
        <f>IF(A7="","",IF(F7="",0,F7*IFERROR(VLOOKUP(A7,Maestro_SKU!$A$2:$P$500,12,FALSE),1)))</f>
        <v/>
      </c>
      <c r="H7" s="68">
        <f>IF(A7="","",MAX(E7-G7,0))</f>
        <v/>
      </c>
      <c r="I7" s="68">
        <f>IF(A7="","",IF(F7="","Falta bodega",IF(G7&gt;=E7,"OK",IF(G7&gt;=E7*0.6,"Ajustado","Reponer"))))</f>
        <v/>
      </c>
    </row>
    <row r="8">
      <c r="A8" s="68">
        <f>IF(Maestro_SKU!A8="","",Maestro_SKU!A8)</f>
        <v/>
      </c>
      <c r="B8" s="68">
        <f>IF(A8="","",IFERROR(VLOOKUP(A8,Maestro_SKU!$A$2:$P$500,2,FALSE),""))</f>
        <v/>
      </c>
      <c r="C8" s="68">
        <f>IF(A8="","",SUMIFS(Ventas_SellIn!$Y$2:$Y$800,Ventas_SellIn!$H$2:$H$800,A8,Ventas_SellIn!$B$2:$B$800,"&gt;="&amp;TODAY()-cfg_VentanaDemanda))</f>
        <v/>
      </c>
      <c r="D8" s="68">
        <f>IF(A8="","",C8/cfg_VentanaDemanda)</f>
        <v/>
      </c>
      <c r="E8" s="68">
        <f>IF(A8="","",ROUND(D8*cfg_DiasCobertura*(1+cfg_PctSeguridad),0))</f>
        <v/>
      </c>
      <c r="F8" s="74" t="n"/>
      <c r="G8" s="68">
        <f>IF(A8="","",IF(F8="",0,F8*IFERROR(VLOOKUP(A8,Maestro_SKU!$A$2:$P$500,12,FALSE),1)))</f>
        <v/>
      </c>
      <c r="H8" s="68">
        <f>IF(A8="","",MAX(E8-G8,0))</f>
        <v/>
      </c>
      <c r="I8" s="68">
        <f>IF(A8="","",IF(F8="","Falta bodega",IF(G8&gt;=E8,"OK",IF(G8&gt;=E8*0.6,"Ajustado","Reponer"))))</f>
        <v/>
      </c>
    </row>
    <row r="9">
      <c r="A9" s="68">
        <f>IF(Maestro_SKU!A9="","",Maestro_SKU!A9)</f>
        <v/>
      </c>
      <c r="B9" s="68">
        <f>IF(A9="","",IFERROR(VLOOKUP(A9,Maestro_SKU!$A$2:$P$500,2,FALSE),""))</f>
        <v/>
      </c>
      <c r="C9" s="68">
        <f>IF(A9="","",SUMIFS(Ventas_SellIn!$Y$2:$Y$800,Ventas_SellIn!$H$2:$H$800,A9,Ventas_SellIn!$B$2:$B$800,"&gt;="&amp;TODAY()-cfg_VentanaDemanda))</f>
        <v/>
      </c>
      <c r="D9" s="68">
        <f>IF(A9="","",C9/cfg_VentanaDemanda)</f>
        <v/>
      </c>
      <c r="E9" s="68">
        <f>IF(A9="","",ROUND(D9*cfg_DiasCobertura*(1+cfg_PctSeguridad),0))</f>
        <v/>
      </c>
      <c r="F9" s="74" t="n"/>
      <c r="G9" s="68">
        <f>IF(A9="","",IF(F9="",0,F9*IFERROR(VLOOKUP(A9,Maestro_SKU!$A$2:$P$500,12,FALSE),1)))</f>
        <v/>
      </c>
      <c r="H9" s="68">
        <f>IF(A9="","",MAX(E9-G9,0))</f>
        <v/>
      </c>
      <c r="I9" s="68">
        <f>IF(A9="","",IF(F9="","Falta bodega",IF(G9&gt;=E9,"OK",IF(G9&gt;=E9*0.6,"Ajustado","Reponer"))))</f>
        <v/>
      </c>
    </row>
    <row r="10">
      <c r="A10" s="68">
        <f>IF(Maestro_SKU!A10="","",Maestro_SKU!A10)</f>
        <v/>
      </c>
      <c r="B10" s="68">
        <f>IF(A10="","",IFERROR(VLOOKUP(A10,Maestro_SKU!$A$2:$P$500,2,FALSE),""))</f>
        <v/>
      </c>
      <c r="C10" s="68">
        <f>IF(A10="","",SUMIFS(Ventas_SellIn!$Y$2:$Y$800,Ventas_SellIn!$H$2:$H$800,A10,Ventas_SellIn!$B$2:$B$800,"&gt;="&amp;TODAY()-cfg_VentanaDemanda))</f>
        <v/>
      </c>
      <c r="D10" s="68">
        <f>IF(A10="","",C10/cfg_VentanaDemanda)</f>
        <v/>
      </c>
      <c r="E10" s="68">
        <f>IF(A10="","",ROUND(D10*cfg_DiasCobertura*(1+cfg_PctSeguridad),0))</f>
        <v/>
      </c>
      <c r="F10" s="74" t="n"/>
      <c r="G10" s="68">
        <f>IF(A10="","",IF(F10="",0,F10*IFERROR(VLOOKUP(A10,Maestro_SKU!$A$2:$P$500,12,FALSE),1)))</f>
        <v/>
      </c>
      <c r="H10" s="68">
        <f>IF(A10="","",MAX(E10-G10,0))</f>
        <v/>
      </c>
      <c r="I10" s="68">
        <f>IF(A10="","",IF(F10="","Falta bodega",IF(G10&gt;=E10,"OK",IF(G10&gt;=E10*0.6,"Ajustado","Reponer"))))</f>
        <v/>
      </c>
    </row>
    <row r="11">
      <c r="A11" s="68">
        <f>IF(Maestro_SKU!A11="","",Maestro_SKU!A11)</f>
        <v/>
      </c>
      <c r="B11" s="68">
        <f>IF(A11="","",IFERROR(VLOOKUP(A11,Maestro_SKU!$A$2:$P$500,2,FALSE),""))</f>
        <v/>
      </c>
      <c r="C11" s="68">
        <f>IF(A11="","",SUMIFS(Ventas_SellIn!$Y$2:$Y$800,Ventas_SellIn!$H$2:$H$800,A11,Ventas_SellIn!$B$2:$B$800,"&gt;="&amp;TODAY()-cfg_VentanaDemanda))</f>
        <v/>
      </c>
      <c r="D11" s="68">
        <f>IF(A11="","",C11/cfg_VentanaDemanda)</f>
        <v/>
      </c>
      <c r="E11" s="68">
        <f>IF(A11="","",ROUND(D11*cfg_DiasCobertura*(1+cfg_PctSeguridad),0))</f>
        <v/>
      </c>
      <c r="F11" s="74" t="n"/>
      <c r="G11" s="68">
        <f>IF(A11="","",IF(F11="",0,F11*IFERROR(VLOOKUP(A11,Maestro_SKU!$A$2:$P$500,12,FALSE),1)))</f>
        <v/>
      </c>
      <c r="H11" s="68">
        <f>IF(A11="","",MAX(E11-G11,0))</f>
        <v/>
      </c>
      <c r="I11" s="68">
        <f>IF(A11="","",IF(F11="","Falta bodega",IF(G11&gt;=E11,"OK",IF(G11&gt;=E11*0.6,"Ajustado","Reponer"))))</f>
        <v/>
      </c>
    </row>
    <row r="12">
      <c r="A12" s="68">
        <f>IF(Maestro_SKU!A12="","",Maestro_SKU!A12)</f>
        <v/>
      </c>
      <c r="B12" s="68">
        <f>IF(A12="","",IFERROR(VLOOKUP(A12,Maestro_SKU!$A$2:$P$500,2,FALSE),""))</f>
        <v/>
      </c>
      <c r="C12" s="68">
        <f>IF(A12="","",SUMIFS(Ventas_SellIn!$Y$2:$Y$800,Ventas_SellIn!$H$2:$H$800,A12,Ventas_SellIn!$B$2:$B$800,"&gt;="&amp;TODAY()-cfg_VentanaDemanda))</f>
        <v/>
      </c>
      <c r="D12" s="68">
        <f>IF(A12="","",C12/cfg_VentanaDemanda)</f>
        <v/>
      </c>
      <c r="E12" s="68">
        <f>IF(A12="","",ROUND(D12*cfg_DiasCobertura*(1+cfg_PctSeguridad),0))</f>
        <v/>
      </c>
      <c r="F12" s="74" t="n"/>
      <c r="G12" s="68">
        <f>IF(A12="","",IF(F12="",0,F12*IFERROR(VLOOKUP(A12,Maestro_SKU!$A$2:$P$500,12,FALSE),1)))</f>
        <v/>
      </c>
      <c r="H12" s="68">
        <f>IF(A12="","",MAX(E12-G12,0))</f>
        <v/>
      </c>
      <c r="I12" s="68">
        <f>IF(A12="","",IF(F12="","Falta bodega",IF(G12&gt;=E12,"OK",IF(G12&gt;=E12*0.6,"Ajustado","Reponer"))))</f>
        <v/>
      </c>
    </row>
    <row r="13">
      <c r="A13" s="68">
        <f>IF(Maestro_SKU!A13="","",Maestro_SKU!A13)</f>
        <v/>
      </c>
      <c r="B13" s="68">
        <f>IF(A13="","",IFERROR(VLOOKUP(A13,Maestro_SKU!$A$2:$P$500,2,FALSE),""))</f>
        <v/>
      </c>
      <c r="C13" s="68">
        <f>IF(A13="","",SUMIFS(Ventas_SellIn!$Y$2:$Y$800,Ventas_SellIn!$H$2:$H$800,A13,Ventas_SellIn!$B$2:$B$800,"&gt;="&amp;TODAY()-cfg_VentanaDemanda))</f>
        <v/>
      </c>
      <c r="D13" s="68">
        <f>IF(A13="","",C13/cfg_VentanaDemanda)</f>
        <v/>
      </c>
      <c r="E13" s="68">
        <f>IF(A13="","",ROUND(D13*cfg_DiasCobertura*(1+cfg_PctSeguridad),0))</f>
        <v/>
      </c>
      <c r="F13" s="74" t="n"/>
      <c r="G13" s="68">
        <f>IF(A13="","",IF(F13="",0,F13*IFERROR(VLOOKUP(A13,Maestro_SKU!$A$2:$P$500,12,FALSE),1)))</f>
        <v/>
      </c>
      <c r="H13" s="68">
        <f>IF(A13="","",MAX(E13-G13,0))</f>
        <v/>
      </c>
      <c r="I13" s="68">
        <f>IF(A13="","",IF(F13="","Falta bodega",IF(G13&gt;=E13,"OK",IF(G13&gt;=E13*0.6,"Ajustado","Reponer"))))</f>
        <v/>
      </c>
    </row>
    <row r="14">
      <c r="A14" s="68">
        <f>IF(Maestro_SKU!A14="","",Maestro_SKU!A14)</f>
        <v/>
      </c>
      <c r="B14" s="68">
        <f>IF(A14="","",IFERROR(VLOOKUP(A14,Maestro_SKU!$A$2:$P$500,2,FALSE),""))</f>
        <v/>
      </c>
      <c r="C14" s="68">
        <f>IF(A14="","",SUMIFS(Ventas_SellIn!$Y$2:$Y$800,Ventas_SellIn!$H$2:$H$800,A14,Ventas_SellIn!$B$2:$B$800,"&gt;="&amp;TODAY()-cfg_VentanaDemanda))</f>
        <v/>
      </c>
      <c r="D14" s="68">
        <f>IF(A14="","",C14/cfg_VentanaDemanda)</f>
        <v/>
      </c>
      <c r="E14" s="68">
        <f>IF(A14="","",ROUND(D14*cfg_DiasCobertura*(1+cfg_PctSeguridad),0))</f>
        <v/>
      </c>
      <c r="F14" s="74" t="n"/>
      <c r="G14" s="68">
        <f>IF(A14="","",IF(F14="",0,F14*IFERROR(VLOOKUP(A14,Maestro_SKU!$A$2:$P$500,12,FALSE),1)))</f>
        <v/>
      </c>
      <c r="H14" s="68">
        <f>IF(A14="","",MAX(E14-G14,0))</f>
        <v/>
      </c>
      <c r="I14" s="68">
        <f>IF(A14="","",IF(F14="","Falta bodega",IF(G14&gt;=E14,"OK",IF(G14&gt;=E14*0.6,"Ajustado","Reponer"))))</f>
        <v/>
      </c>
    </row>
    <row r="15">
      <c r="A15" s="68">
        <f>IF(Maestro_SKU!A15="","",Maestro_SKU!A15)</f>
        <v/>
      </c>
      <c r="B15" s="68">
        <f>IF(A15="","",IFERROR(VLOOKUP(A15,Maestro_SKU!$A$2:$P$500,2,FALSE),""))</f>
        <v/>
      </c>
      <c r="C15" s="68">
        <f>IF(A15="","",SUMIFS(Ventas_SellIn!$Y$2:$Y$800,Ventas_SellIn!$H$2:$H$800,A15,Ventas_SellIn!$B$2:$B$800,"&gt;="&amp;TODAY()-cfg_VentanaDemanda))</f>
        <v/>
      </c>
      <c r="D15" s="68">
        <f>IF(A15="","",C15/cfg_VentanaDemanda)</f>
        <v/>
      </c>
      <c r="E15" s="68">
        <f>IF(A15="","",ROUND(D15*cfg_DiasCobertura*(1+cfg_PctSeguridad),0))</f>
        <v/>
      </c>
      <c r="F15" s="74" t="n"/>
      <c r="G15" s="68">
        <f>IF(A15="","",IF(F15="",0,F15*IFERROR(VLOOKUP(A15,Maestro_SKU!$A$2:$P$500,12,FALSE),1)))</f>
        <v/>
      </c>
      <c r="H15" s="68">
        <f>IF(A15="","",MAX(E15-G15,0))</f>
        <v/>
      </c>
      <c r="I15" s="68">
        <f>IF(A15="","",IF(F15="","Falta bodega",IF(G15&gt;=E15,"OK",IF(G15&gt;=E15*0.6,"Ajustado","Reponer"))))</f>
        <v/>
      </c>
    </row>
    <row r="16">
      <c r="A16" s="68">
        <f>IF(Maestro_SKU!A16="","",Maestro_SKU!A16)</f>
        <v/>
      </c>
      <c r="B16" s="68">
        <f>IF(A16="","",IFERROR(VLOOKUP(A16,Maestro_SKU!$A$2:$P$500,2,FALSE),""))</f>
        <v/>
      </c>
      <c r="C16" s="68">
        <f>IF(A16="","",SUMIFS(Ventas_SellIn!$Y$2:$Y$800,Ventas_SellIn!$H$2:$H$800,A16,Ventas_SellIn!$B$2:$B$800,"&gt;="&amp;TODAY()-cfg_VentanaDemanda))</f>
        <v/>
      </c>
      <c r="D16" s="68">
        <f>IF(A16="","",C16/cfg_VentanaDemanda)</f>
        <v/>
      </c>
      <c r="E16" s="68">
        <f>IF(A16="","",ROUND(D16*cfg_DiasCobertura*(1+cfg_PctSeguridad),0))</f>
        <v/>
      </c>
      <c r="F16" s="74" t="n"/>
      <c r="G16" s="68">
        <f>IF(A16="","",IF(F16="",0,F16*IFERROR(VLOOKUP(A16,Maestro_SKU!$A$2:$P$500,12,FALSE),1)))</f>
        <v/>
      </c>
      <c r="H16" s="68">
        <f>IF(A16="","",MAX(E16-G16,0))</f>
        <v/>
      </c>
      <c r="I16" s="68">
        <f>IF(A16="","",IF(F16="","Falta bodega",IF(G16&gt;=E16,"OK",IF(G16&gt;=E16*0.6,"Ajustado","Reponer"))))</f>
        <v/>
      </c>
    </row>
    <row r="17">
      <c r="A17" s="68">
        <f>IF(Maestro_SKU!A17="","",Maestro_SKU!A17)</f>
        <v/>
      </c>
      <c r="B17" s="68">
        <f>IF(A17="","",IFERROR(VLOOKUP(A17,Maestro_SKU!$A$2:$P$500,2,FALSE),""))</f>
        <v/>
      </c>
      <c r="C17" s="68">
        <f>IF(A17="","",SUMIFS(Ventas_SellIn!$Y$2:$Y$800,Ventas_SellIn!$H$2:$H$800,A17,Ventas_SellIn!$B$2:$B$800,"&gt;="&amp;TODAY()-cfg_VentanaDemanda))</f>
        <v/>
      </c>
      <c r="D17" s="68">
        <f>IF(A17="","",C17/cfg_VentanaDemanda)</f>
        <v/>
      </c>
      <c r="E17" s="68">
        <f>IF(A17="","",ROUND(D17*cfg_DiasCobertura*(1+cfg_PctSeguridad),0))</f>
        <v/>
      </c>
      <c r="F17" s="74" t="n"/>
      <c r="G17" s="68">
        <f>IF(A17="","",IF(F17="",0,F17*IFERROR(VLOOKUP(A17,Maestro_SKU!$A$2:$P$500,12,FALSE),1)))</f>
        <v/>
      </c>
      <c r="H17" s="68">
        <f>IF(A17="","",MAX(E17-G17,0))</f>
        <v/>
      </c>
      <c r="I17" s="68">
        <f>IF(A17="","",IF(F17="","Falta bodega",IF(G17&gt;=E17,"OK",IF(G17&gt;=E17*0.6,"Ajustado","Reponer"))))</f>
        <v/>
      </c>
    </row>
    <row r="18">
      <c r="A18" s="68">
        <f>IF(Maestro_SKU!A18="","",Maestro_SKU!A18)</f>
        <v/>
      </c>
      <c r="B18" s="68">
        <f>IF(A18="","",IFERROR(VLOOKUP(A18,Maestro_SKU!$A$2:$P$500,2,FALSE),""))</f>
        <v/>
      </c>
      <c r="C18" s="68">
        <f>IF(A18="","",SUMIFS(Ventas_SellIn!$Y$2:$Y$800,Ventas_SellIn!$H$2:$H$800,A18,Ventas_SellIn!$B$2:$B$800,"&gt;="&amp;TODAY()-cfg_VentanaDemanda))</f>
        <v/>
      </c>
      <c r="D18" s="68">
        <f>IF(A18="","",C18/cfg_VentanaDemanda)</f>
        <v/>
      </c>
      <c r="E18" s="68">
        <f>IF(A18="","",ROUND(D18*cfg_DiasCobertura*(1+cfg_PctSeguridad),0))</f>
        <v/>
      </c>
      <c r="F18" s="74" t="n"/>
      <c r="G18" s="68">
        <f>IF(A18="","",IF(F18="",0,F18*IFERROR(VLOOKUP(A18,Maestro_SKU!$A$2:$P$500,12,FALSE),1)))</f>
        <v/>
      </c>
      <c r="H18" s="68">
        <f>IF(A18="","",MAX(E18-G18,0))</f>
        <v/>
      </c>
      <c r="I18" s="68">
        <f>IF(A18="","",IF(F18="","Falta bodega",IF(G18&gt;=E18,"OK",IF(G18&gt;=E18*0.6,"Ajustado","Reponer"))))</f>
        <v/>
      </c>
    </row>
    <row r="19">
      <c r="A19" s="68">
        <f>IF(Maestro_SKU!A19="","",Maestro_SKU!A19)</f>
        <v/>
      </c>
      <c r="B19" s="68">
        <f>IF(A19="","",IFERROR(VLOOKUP(A19,Maestro_SKU!$A$2:$P$500,2,FALSE),""))</f>
        <v/>
      </c>
      <c r="C19" s="68">
        <f>IF(A19="","",SUMIFS(Ventas_SellIn!$Y$2:$Y$800,Ventas_SellIn!$H$2:$H$800,A19,Ventas_SellIn!$B$2:$B$800,"&gt;="&amp;TODAY()-cfg_VentanaDemanda))</f>
        <v/>
      </c>
      <c r="D19" s="68">
        <f>IF(A19="","",C19/cfg_VentanaDemanda)</f>
        <v/>
      </c>
      <c r="E19" s="68">
        <f>IF(A19="","",ROUND(D19*cfg_DiasCobertura*(1+cfg_PctSeguridad),0))</f>
        <v/>
      </c>
      <c r="F19" s="74" t="n"/>
      <c r="G19" s="68">
        <f>IF(A19="","",IF(F19="",0,F19*IFERROR(VLOOKUP(A19,Maestro_SKU!$A$2:$P$500,12,FALSE),1)))</f>
        <v/>
      </c>
      <c r="H19" s="68">
        <f>IF(A19="","",MAX(E19-G19,0))</f>
        <v/>
      </c>
      <c r="I19" s="68">
        <f>IF(A19="","",IF(F19="","Falta bodega",IF(G19&gt;=E19,"OK",IF(G19&gt;=E19*0.6,"Ajustado","Reponer"))))</f>
        <v/>
      </c>
    </row>
    <row r="20">
      <c r="A20" s="68">
        <f>IF(Maestro_SKU!A20="","",Maestro_SKU!A20)</f>
        <v/>
      </c>
      <c r="B20" s="68">
        <f>IF(A20="","",IFERROR(VLOOKUP(A20,Maestro_SKU!$A$2:$P$500,2,FALSE),""))</f>
        <v/>
      </c>
      <c r="C20" s="68">
        <f>IF(A20="","",SUMIFS(Ventas_SellIn!$Y$2:$Y$800,Ventas_SellIn!$H$2:$H$800,A20,Ventas_SellIn!$B$2:$B$800,"&gt;="&amp;TODAY()-cfg_VentanaDemanda))</f>
        <v/>
      </c>
      <c r="D20" s="68">
        <f>IF(A20="","",C20/cfg_VentanaDemanda)</f>
        <v/>
      </c>
      <c r="E20" s="68">
        <f>IF(A20="","",ROUND(D20*cfg_DiasCobertura*(1+cfg_PctSeguridad),0))</f>
        <v/>
      </c>
      <c r="F20" s="74" t="n"/>
      <c r="G20" s="68">
        <f>IF(A20="","",IF(F20="",0,F20*IFERROR(VLOOKUP(A20,Maestro_SKU!$A$2:$P$500,12,FALSE),1)))</f>
        <v/>
      </c>
      <c r="H20" s="68">
        <f>IF(A20="","",MAX(E20-G20,0))</f>
        <v/>
      </c>
      <c r="I20" s="68">
        <f>IF(A20="","",IF(F20="","Falta bodega",IF(G20&gt;=E20,"OK",IF(G20&gt;=E20*0.6,"Ajustado","Reponer"))))</f>
        <v/>
      </c>
    </row>
    <row r="21">
      <c r="A21" s="68">
        <f>IF(Maestro_SKU!A21="","",Maestro_SKU!A21)</f>
        <v/>
      </c>
      <c r="B21" s="68">
        <f>IF(A21="","",IFERROR(VLOOKUP(A21,Maestro_SKU!$A$2:$P$500,2,FALSE),""))</f>
        <v/>
      </c>
      <c r="C21" s="68">
        <f>IF(A21="","",SUMIFS(Ventas_SellIn!$Y$2:$Y$800,Ventas_SellIn!$H$2:$H$800,A21,Ventas_SellIn!$B$2:$B$800,"&gt;="&amp;TODAY()-cfg_VentanaDemanda))</f>
        <v/>
      </c>
      <c r="D21" s="68">
        <f>IF(A21="","",C21/cfg_VentanaDemanda)</f>
        <v/>
      </c>
      <c r="E21" s="68">
        <f>IF(A21="","",ROUND(D21*cfg_DiasCobertura*(1+cfg_PctSeguridad),0))</f>
        <v/>
      </c>
      <c r="F21" s="74" t="n"/>
      <c r="G21" s="68">
        <f>IF(A21="","",IF(F21="",0,F21*IFERROR(VLOOKUP(A21,Maestro_SKU!$A$2:$P$500,12,FALSE),1)))</f>
        <v/>
      </c>
      <c r="H21" s="68">
        <f>IF(A21="","",MAX(E21-G21,0))</f>
        <v/>
      </c>
      <c r="I21" s="68">
        <f>IF(A21="","",IF(F21="","Falta bodega",IF(G21&gt;=E21,"OK",IF(G21&gt;=E21*0.6,"Ajustado","Reponer"))))</f>
        <v/>
      </c>
    </row>
    <row r="22">
      <c r="A22" s="68">
        <f>IF(Maestro_SKU!A22="","",Maestro_SKU!A22)</f>
        <v/>
      </c>
      <c r="B22" s="68">
        <f>IF(A22="","",IFERROR(VLOOKUP(A22,Maestro_SKU!$A$2:$P$500,2,FALSE),""))</f>
        <v/>
      </c>
      <c r="C22" s="68">
        <f>IF(A22="","",SUMIFS(Ventas_SellIn!$Y$2:$Y$800,Ventas_SellIn!$H$2:$H$800,A22,Ventas_SellIn!$B$2:$B$800,"&gt;="&amp;TODAY()-cfg_VentanaDemanda))</f>
        <v/>
      </c>
      <c r="D22" s="68">
        <f>IF(A22="","",C22/cfg_VentanaDemanda)</f>
        <v/>
      </c>
      <c r="E22" s="68">
        <f>IF(A22="","",ROUND(D22*cfg_DiasCobertura*(1+cfg_PctSeguridad),0))</f>
        <v/>
      </c>
      <c r="F22" s="74" t="n"/>
      <c r="G22" s="68">
        <f>IF(A22="","",IF(F22="",0,F22*IFERROR(VLOOKUP(A22,Maestro_SKU!$A$2:$P$500,12,FALSE),1)))</f>
        <v/>
      </c>
      <c r="H22" s="68">
        <f>IF(A22="","",MAX(E22-G22,0))</f>
        <v/>
      </c>
      <c r="I22" s="68">
        <f>IF(A22="","",IF(F22="","Falta bodega",IF(G22&gt;=E22,"OK",IF(G22&gt;=E22*0.6,"Ajustado","Reponer"))))</f>
        <v/>
      </c>
    </row>
    <row r="23">
      <c r="A23" s="68">
        <f>IF(Maestro_SKU!A23="","",Maestro_SKU!A23)</f>
        <v/>
      </c>
      <c r="B23" s="68">
        <f>IF(A23="","",IFERROR(VLOOKUP(A23,Maestro_SKU!$A$2:$P$500,2,FALSE),""))</f>
        <v/>
      </c>
      <c r="C23" s="68">
        <f>IF(A23="","",SUMIFS(Ventas_SellIn!$Y$2:$Y$800,Ventas_SellIn!$H$2:$H$800,A23,Ventas_SellIn!$B$2:$B$800,"&gt;="&amp;TODAY()-cfg_VentanaDemanda))</f>
        <v/>
      </c>
      <c r="D23" s="68">
        <f>IF(A23="","",C23/cfg_VentanaDemanda)</f>
        <v/>
      </c>
      <c r="E23" s="68">
        <f>IF(A23="","",ROUND(D23*cfg_DiasCobertura*(1+cfg_PctSeguridad),0))</f>
        <v/>
      </c>
      <c r="F23" s="74" t="n"/>
      <c r="G23" s="68">
        <f>IF(A23="","",IF(F23="",0,F23*IFERROR(VLOOKUP(A23,Maestro_SKU!$A$2:$P$500,12,FALSE),1)))</f>
        <v/>
      </c>
      <c r="H23" s="68">
        <f>IF(A23="","",MAX(E23-G23,0))</f>
        <v/>
      </c>
      <c r="I23" s="68">
        <f>IF(A23="","",IF(F23="","Falta bodega",IF(G23&gt;=E23,"OK",IF(G23&gt;=E23*0.6,"Ajustado","Reponer"))))</f>
        <v/>
      </c>
    </row>
    <row r="24">
      <c r="A24" s="68">
        <f>IF(Maestro_SKU!A24="","",Maestro_SKU!A24)</f>
        <v/>
      </c>
      <c r="B24" s="68">
        <f>IF(A24="","",IFERROR(VLOOKUP(A24,Maestro_SKU!$A$2:$P$500,2,FALSE),""))</f>
        <v/>
      </c>
      <c r="C24" s="68">
        <f>IF(A24="","",SUMIFS(Ventas_SellIn!$Y$2:$Y$800,Ventas_SellIn!$H$2:$H$800,A24,Ventas_SellIn!$B$2:$B$800,"&gt;="&amp;TODAY()-cfg_VentanaDemanda))</f>
        <v/>
      </c>
      <c r="D24" s="68">
        <f>IF(A24="","",C24/cfg_VentanaDemanda)</f>
        <v/>
      </c>
      <c r="E24" s="68">
        <f>IF(A24="","",ROUND(D24*cfg_DiasCobertura*(1+cfg_PctSeguridad),0))</f>
        <v/>
      </c>
      <c r="F24" s="74" t="n"/>
      <c r="G24" s="68">
        <f>IF(A24="","",IF(F24="",0,F24*IFERROR(VLOOKUP(A24,Maestro_SKU!$A$2:$P$500,12,FALSE),1)))</f>
        <v/>
      </c>
      <c r="H24" s="68">
        <f>IF(A24="","",MAX(E24-G24,0))</f>
        <v/>
      </c>
      <c r="I24" s="68">
        <f>IF(A24="","",IF(F24="","Falta bodega",IF(G24&gt;=E24,"OK",IF(G24&gt;=E24*0.6,"Ajustado","Reponer"))))</f>
        <v/>
      </c>
    </row>
    <row r="25">
      <c r="A25" s="68">
        <f>IF(Maestro_SKU!A25="","",Maestro_SKU!A25)</f>
        <v/>
      </c>
      <c r="B25" s="68">
        <f>IF(A25="","",IFERROR(VLOOKUP(A25,Maestro_SKU!$A$2:$P$500,2,FALSE),""))</f>
        <v/>
      </c>
      <c r="C25" s="68">
        <f>IF(A25="","",SUMIFS(Ventas_SellIn!$Y$2:$Y$800,Ventas_SellIn!$H$2:$H$800,A25,Ventas_SellIn!$B$2:$B$800,"&gt;="&amp;TODAY()-cfg_VentanaDemanda))</f>
        <v/>
      </c>
      <c r="D25" s="68">
        <f>IF(A25="","",C25/cfg_VentanaDemanda)</f>
        <v/>
      </c>
      <c r="E25" s="68">
        <f>IF(A25="","",ROUND(D25*cfg_DiasCobertura*(1+cfg_PctSeguridad),0))</f>
        <v/>
      </c>
      <c r="F25" s="74" t="n"/>
      <c r="G25" s="68">
        <f>IF(A25="","",IF(F25="",0,F25*IFERROR(VLOOKUP(A25,Maestro_SKU!$A$2:$P$500,12,FALSE),1)))</f>
        <v/>
      </c>
      <c r="H25" s="68">
        <f>IF(A25="","",MAX(E25-G25,0))</f>
        <v/>
      </c>
      <c r="I25" s="68">
        <f>IF(A25="","",IF(F25="","Falta bodega",IF(G25&gt;=E25,"OK",IF(G25&gt;=E25*0.6,"Ajustado","Reponer"))))</f>
        <v/>
      </c>
    </row>
    <row r="26">
      <c r="A26" s="68">
        <f>IF(Maestro_SKU!A26="","",Maestro_SKU!A26)</f>
        <v/>
      </c>
      <c r="B26" s="68">
        <f>IF(A26="","",IFERROR(VLOOKUP(A26,Maestro_SKU!$A$2:$P$500,2,FALSE),""))</f>
        <v/>
      </c>
      <c r="C26" s="68">
        <f>IF(A26="","",SUMIFS(Ventas_SellIn!$Y$2:$Y$800,Ventas_SellIn!$H$2:$H$800,A26,Ventas_SellIn!$B$2:$B$800,"&gt;="&amp;TODAY()-cfg_VentanaDemanda))</f>
        <v/>
      </c>
      <c r="D26" s="68">
        <f>IF(A26="","",C26/cfg_VentanaDemanda)</f>
        <v/>
      </c>
      <c r="E26" s="68">
        <f>IF(A26="","",ROUND(D26*cfg_DiasCobertura*(1+cfg_PctSeguridad),0))</f>
        <v/>
      </c>
      <c r="F26" s="74" t="n"/>
      <c r="G26" s="68">
        <f>IF(A26="","",IF(F26="",0,F26*IFERROR(VLOOKUP(A26,Maestro_SKU!$A$2:$P$500,12,FALSE),1)))</f>
        <v/>
      </c>
      <c r="H26" s="68">
        <f>IF(A26="","",MAX(E26-G26,0))</f>
        <v/>
      </c>
      <c r="I26" s="68">
        <f>IF(A26="","",IF(F26="","Falta bodega",IF(G26&gt;=E26,"OK",IF(G26&gt;=E26*0.6,"Ajustado","Reponer"))))</f>
        <v/>
      </c>
    </row>
    <row r="27">
      <c r="A27" s="68">
        <f>IF(Maestro_SKU!A27="","",Maestro_SKU!A27)</f>
        <v/>
      </c>
      <c r="B27" s="68">
        <f>IF(A27="","",IFERROR(VLOOKUP(A27,Maestro_SKU!$A$2:$P$500,2,FALSE),""))</f>
        <v/>
      </c>
      <c r="C27" s="68">
        <f>IF(A27="","",SUMIFS(Ventas_SellIn!$Y$2:$Y$800,Ventas_SellIn!$H$2:$H$800,A27,Ventas_SellIn!$B$2:$B$800,"&gt;="&amp;TODAY()-cfg_VentanaDemanda))</f>
        <v/>
      </c>
      <c r="D27" s="68">
        <f>IF(A27="","",C27/cfg_VentanaDemanda)</f>
        <v/>
      </c>
      <c r="E27" s="68">
        <f>IF(A27="","",ROUND(D27*cfg_DiasCobertura*(1+cfg_PctSeguridad),0))</f>
        <v/>
      </c>
      <c r="F27" s="74" t="n"/>
      <c r="G27" s="68">
        <f>IF(A27="","",IF(F27="",0,F27*IFERROR(VLOOKUP(A27,Maestro_SKU!$A$2:$P$500,12,FALSE),1)))</f>
        <v/>
      </c>
      <c r="H27" s="68">
        <f>IF(A27="","",MAX(E27-G27,0))</f>
        <v/>
      </c>
      <c r="I27" s="68">
        <f>IF(A27="","",IF(F27="","Falta bodega",IF(G27&gt;=E27,"OK",IF(G27&gt;=E27*0.6,"Ajustado","Reponer"))))</f>
        <v/>
      </c>
    </row>
    <row r="28">
      <c r="A28" s="68">
        <f>IF(Maestro_SKU!A28="","",Maestro_SKU!A28)</f>
        <v/>
      </c>
      <c r="B28" s="68">
        <f>IF(A28="","",IFERROR(VLOOKUP(A28,Maestro_SKU!$A$2:$P$500,2,FALSE),""))</f>
        <v/>
      </c>
      <c r="C28" s="68">
        <f>IF(A28="","",SUMIFS(Ventas_SellIn!$Y$2:$Y$800,Ventas_SellIn!$H$2:$H$800,A28,Ventas_SellIn!$B$2:$B$800,"&gt;="&amp;TODAY()-cfg_VentanaDemanda))</f>
        <v/>
      </c>
      <c r="D28" s="68">
        <f>IF(A28="","",C28/cfg_VentanaDemanda)</f>
        <v/>
      </c>
      <c r="E28" s="68">
        <f>IF(A28="","",ROUND(D28*cfg_DiasCobertura*(1+cfg_PctSeguridad),0))</f>
        <v/>
      </c>
      <c r="F28" s="74" t="n"/>
      <c r="G28" s="68">
        <f>IF(A28="","",IF(F28="",0,F28*IFERROR(VLOOKUP(A28,Maestro_SKU!$A$2:$P$500,12,FALSE),1)))</f>
        <v/>
      </c>
      <c r="H28" s="68">
        <f>IF(A28="","",MAX(E28-G28,0))</f>
        <v/>
      </c>
      <c r="I28" s="68">
        <f>IF(A28="","",IF(F28="","Falta bodega",IF(G28&gt;=E28,"OK",IF(G28&gt;=E28*0.6,"Ajustado","Reponer"))))</f>
        <v/>
      </c>
    </row>
    <row r="29">
      <c r="A29" s="68">
        <f>IF(Maestro_SKU!A29="","",Maestro_SKU!A29)</f>
        <v/>
      </c>
      <c r="B29" s="68">
        <f>IF(A29="","",IFERROR(VLOOKUP(A29,Maestro_SKU!$A$2:$P$500,2,FALSE),""))</f>
        <v/>
      </c>
      <c r="C29" s="68">
        <f>IF(A29="","",SUMIFS(Ventas_SellIn!$Y$2:$Y$800,Ventas_SellIn!$H$2:$H$800,A29,Ventas_SellIn!$B$2:$B$800,"&gt;="&amp;TODAY()-cfg_VentanaDemanda))</f>
        <v/>
      </c>
      <c r="D29" s="68">
        <f>IF(A29="","",C29/cfg_VentanaDemanda)</f>
        <v/>
      </c>
      <c r="E29" s="68">
        <f>IF(A29="","",ROUND(D29*cfg_DiasCobertura*(1+cfg_PctSeguridad),0))</f>
        <v/>
      </c>
      <c r="F29" s="74" t="n"/>
      <c r="G29" s="68">
        <f>IF(A29="","",IF(F29="",0,F29*IFERROR(VLOOKUP(A29,Maestro_SKU!$A$2:$P$500,12,FALSE),1)))</f>
        <v/>
      </c>
      <c r="H29" s="68">
        <f>IF(A29="","",MAX(E29-G29,0))</f>
        <v/>
      </c>
      <c r="I29" s="68">
        <f>IF(A29="","",IF(F29="","Falta bodega",IF(G29&gt;=E29,"OK",IF(G29&gt;=E29*0.6,"Ajustado","Reponer"))))</f>
        <v/>
      </c>
    </row>
    <row r="30">
      <c r="A30" s="68">
        <f>IF(Maestro_SKU!A30="","",Maestro_SKU!A30)</f>
        <v/>
      </c>
      <c r="B30" s="68">
        <f>IF(A30="","",IFERROR(VLOOKUP(A30,Maestro_SKU!$A$2:$P$500,2,FALSE),""))</f>
        <v/>
      </c>
      <c r="C30" s="68">
        <f>IF(A30="","",SUMIFS(Ventas_SellIn!$Y$2:$Y$800,Ventas_SellIn!$H$2:$H$800,A30,Ventas_SellIn!$B$2:$B$800,"&gt;="&amp;TODAY()-cfg_VentanaDemanda))</f>
        <v/>
      </c>
      <c r="D30" s="68">
        <f>IF(A30="","",C30/cfg_VentanaDemanda)</f>
        <v/>
      </c>
      <c r="E30" s="68">
        <f>IF(A30="","",ROUND(D30*cfg_DiasCobertura*(1+cfg_PctSeguridad),0))</f>
        <v/>
      </c>
      <c r="F30" s="74" t="n"/>
      <c r="G30" s="68">
        <f>IF(A30="","",IF(F30="",0,F30*IFERROR(VLOOKUP(A30,Maestro_SKU!$A$2:$P$500,12,FALSE),1)))</f>
        <v/>
      </c>
      <c r="H30" s="68">
        <f>IF(A30="","",MAX(E30-G30,0))</f>
        <v/>
      </c>
      <c r="I30" s="68">
        <f>IF(A30="","",IF(F30="","Falta bodega",IF(G30&gt;=E30,"OK",IF(G30&gt;=E30*0.6,"Ajustado","Reponer"))))</f>
        <v/>
      </c>
    </row>
    <row r="31">
      <c r="A31" s="68">
        <f>IF(Maestro_SKU!A31="","",Maestro_SKU!A31)</f>
        <v/>
      </c>
      <c r="B31" s="68">
        <f>IF(A31="","",IFERROR(VLOOKUP(A31,Maestro_SKU!$A$2:$P$500,2,FALSE),""))</f>
        <v/>
      </c>
      <c r="C31" s="68">
        <f>IF(A31="","",SUMIFS(Ventas_SellIn!$Y$2:$Y$800,Ventas_SellIn!$H$2:$H$800,A31,Ventas_SellIn!$B$2:$B$800,"&gt;="&amp;TODAY()-cfg_VentanaDemanda))</f>
        <v/>
      </c>
      <c r="D31" s="68">
        <f>IF(A31="","",C31/cfg_VentanaDemanda)</f>
        <v/>
      </c>
      <c r="E31" s="68">
        <f>IF(A31="","",ROUND(D31*cfg_DiasCobertura*(1+cfg_PctSeguridad),0))</f>
        <v/>
      </c>
      <c r="F31" s="74" t="n"/>
      <c r="G31" s="68">
        <f>IF(A31="","",IF(F31="",0,F31*IFERROR(VLOOKUP(A31,Maestro_SKU!$A$2:$P$500,12,FALSE),1)))</f>
        <v/>
      </c>
      <c r="H31" s="68">
        <f>IF(A31="","",MAX(E31-G31,0))</f>
        <v/>
      </c>
      <c r="I31" s="68">
        <f>IF(A31="","",IF(F31="","Falta bodega",IF(G31&gt;=E31,"OK",IF(G31&gt;=E31*0.6,"Ajustado","Reponer"))))</f>
        <v/>
      </c>
    </row>
    <row r="32">
      <c r="A32" s="68">
        <f>IF(Maestro_SKU!A32="","",Maestro_SKU!A32)</f>
        <v/>
      </c>
      <c r="B32" s="68">
        <f>IF(A32="","",IFERROR(VLOOKUP(A32,Maestro_SKU!$A$2:$P$500,2,FALSE),""))</f>
        <v/>
      </c>
      <c r="C32" s="68">
        <f>IF(A32="","",SUMIFS(Ventas_SellIn!$Y$2:$Y$800,Ventas_SellIn!$H$2:$H$800,A32,Ventas_SellIn!$B$2:$B$800,"&gt;="&amp;TODAY()-cfg_VentanaDemanda))</f>
        <v/>
      </c>
      <c r="D32" s="68">
        <f>IF(A32="","",C32/cfg_VentanaDemanda)</f>
        <v/>
      </c>
      <c r="E32" s="68">
        <f>IF(A32="","",ROUND(D32*cfg_DiasCobertura*(1+cfg_PctSeguridad),0))</f>
        <v/>
      </c>
      <c r="F32" s="74" t="n"/>
      <c r="G32" s="68">
        <f>IF(A32="","",IF(F32="",0,F32*IFERROR(VLOOKUP(A32,Maestro_SKU!$A$2:$P$500,12,FALSE),1)))</f>
        <v/>
      </c>
      <c r="H32" s="68">
        <f>IF(A32="","",MAX(E32-G32,0))</f>
        <v/>
      </c>
      <c r="I32" s="68">
        <f>IF(A32="","",IF(F32="","Falta bodega",IF(G32&gt;=E32,"OK",IF(G32&gt;=E32*0.6,"Ajustado","Reponer"))))</f>
        <v/>
      </c>
    </row>
    <row r="33">
      <c r="A33" s="68">
        <f>IF(Maestro_SKU!A33="","",Maestro_SKU!A33)</f>
        <v/>
      </c>
      <c r="B33" s="68">
        <f>IF(A33="","",IFERROR(VLOOKUP(A33,Maestro_SKU!$A$2:$P$500,2,FALSE),""))</f>
        <v/>
      </c>
      <c r="C33" s="68">
        <f>IF(A33="","",SUMIFS(Ventas_SellIn!$Y$2:$Y$800,Ventas_SellIn!$H$2:$H$800,A33,Ventas_SellIn!$B$2:$B$800,"&gt;="&amp;TODAY()-cfg_VentanaDemanda))</f>
        <v/>
      </c>
      <c r="D33" s="68">
        <f>IF(A33="","",C33/cfg_VentanaDemanda)</f>
        <v/>
      </c>
      <c r="E33" s="68">
        <f>IF(A33="","",ROUND(D33*cfg_DiasCobertura*(1+cfg_PctSeguridad),0))</f>
        <v/>
      </c>
      <c r="F33" s="74" t="n"/>
      <c r="G33" s="68">
        <f>IF(A33="","",IF(F33="",0,F33*IFERROR(VLOOKUP(A33,Maestro_SKU!$A$2:$P$500,12,FALSE),1)))</f>
        <v/>
      </c>
      <c r="H33" s="68">
        <f>IF(A33="","",MAX(E33-G33,0))</f>
        <v/>
      </c>
      <c r="I33" s="68">
        <f>IF(A33="","",IF(F33="","Falta bodega",IF(G33&gt;=E33,"OK",IF(G33&gt;=E33*0.6,"Ajustado","Reponer"))))</f>
        <v/>
      </c>
    </row>
    <row r="34">
      <c r="A34" s="68">
        <f>IF(Maestro_SKU!A34="","",Maestro_SKU!A34)</f>
        <v/>
      </c>
      <c r="B34" s="68">
        <f>IF(A34="","",IFERROR(VLOOKUP(A34,Maestro_SKU!$A$2:$P$500,2,FALSE),""))</f>
        <v/>
      </c>
      <c r="C34" s="68">
        <f>IF(A34="","",SUMIFS(Ventas_SellIn!$Y$2:$Y$800,Ventas_SellIn!$H$2:$H$800,A34,Ventas_SellIn!$B$2:$B$800,"&gt;="&amp;TODAY()-cfg_VentanaDemanda))</f>
        <v/>
      </c>
      <c r="D34" s="68">
        <f>IF(A34="","",C34/cfg_VentanaDemanda)</f>
        <v/>
      </c>
      <c r="E34" s="68">
        <f>IF(A34="","",ROUND(D34*cfg_DiasCobertura*(1+cfg_PctSeguridad),0))</f>
        <v/>
      </c>
      <c r="F34" s="74" t="n"/>
      <c r="G34" s="68">
        <f>IF(A34="","",IF(F34="",0,F34*IFERROR(VLOOKUP(A34,Maestro_SKU!$A$2:$P$500,12,FALSE),1)))</f>
        <v/>
      </c>
      <c r="H34" s="68">
        <f>IF(A34="","",MAX(E34-G34,0))</f>
        <v/>
      </c>
      <c r="I34" s="68">
        <f>IF(A34="","",IF(F34="","Falta bodega",IF(G34&gt;=E34,"OK",IF(G34&gt;=E34*0.6,"Ajustado","Reponer"))))</f>
        <v/>
      </c>
    </row>
    <row r="35">
      <c r="A35" s="68">
        <f>IF(Maestro_SKU!A35="","",Maestro_SKU!A35)</f>
        <v/>
      </c>
      <c r="B35" s="68">
        <f>IF(A35="","",IFERROR(VLOOKUP(A35,Maestro_SKU!$A$2:$P$500,2,FALSE),""))</f>
        <v/>
      </c>
      <c r="C35" s="68">
        <f>IF(A35="","",SUMIFS(Ventas_SellIn!$Y$2:$Y$800,Ventas_SellIn!$H$2:$H$800,A35,Ventas_SellIn!$B$2:$B$800,"&gt;="&amp;TODAY()-cfg_VentanaDemanda))</f>
        <v/>
      </c>
      <c r="D35" s="68">
        <f>IF(A35="","",C35/cfg_VentanaDemanda)</f>
        <v/>
      </c>
      <c r="E35" s="68">
        <f>IF(A35="","",ROUND(D35*cfg_DiasCobertura*(1+cfg_PctSeguridad),0))</f>
        <v/>
      </c>
      <c r="F35" s="74" t="n"/>
      <c r="G35" s="68">
        <f>IF(A35="","",IF(F35="",0,F35*IFERROR(VLOOKUP(A35,Maestro_SKU!$A$2:$P$500,12,FALSE),1)))</f>
        <v/>
      </c>
      <c r="H35" s="68">
        <f>IF(A35="","",MAX(E35-G35,0))</f>
        <v/>
      </c>
      <c r="I35" s="68">
        <f>IF(A35="","",IF(F35="","Falta bodega",IF(G35&gt;=E35,"OK",IF(G35&gt;=E35*0.6,"Ajustado","Reponer"))))</f>
        <v/>
      </c>
    </row>
    <row r="36">
      <c r="A36" s="68">
        <f>IF(Maestro_SKU!A36="","",Maestro_SKU!A36)</f>
        <v/>
      </c>
      <c r="B36" s="68">
        <f>IF(A36="","",IFERROR(VLOOKUP(A36,Maestro_SKU!$A$2:$P$500,2,FALSE),""))</f>
        <v/>
      </c>
      <c r="C36" s="68">
        <f>IF(A36="","",SUMIFS(Ventas_SellIn!$Y$2:$Y$800,Ventas_SellIn!$H$2:$H$800,A36,Ventas_SellIn!$B$2:$B$800,"&gt;="&amp;TODAY()-cfg_VentanaDemanda))</f>
        <v/>
      </c>
      <c r="D36" s="68">
        <f>IF(A36="","",C36/cfg_VentanaDemanda)</f>
        <v/>
      </c>
      <c r="E36" s="68">
        <f>IF(A36="","",ROUND(D36*cfg_DiasCobertura*(1+cfg_PctSeguridad),0))</f>
        <v/>
      </c>
      <c r="F36" s="74" t="n"/>
      <c r="G36" s="68">
        <f>IF(A36="","",IF(F36="",0,F36*IFERROR(VLOOKUP(A36,Maestro_SKU!$A$2:$P$500,12,FALSE),1)))</f>
        <v/>
      </c>
      <c r="H36" s="68">
        <f>IF(A36="","",MAX(E36-G36,0))</f>
        <v/>
      </c>
      <c r="I36" s="68">
        <f>IF(A36="","",IF(F36="","Falta bodega",IF(G36&gt;=E36,"OK",IF(G36&gt;=E36*0.6,"Ajustado","Reponer"))))</f>
        <v/>
      </c>
    </row>
    <row r="37">
      <c r="A37" s="68">
        <f>IF(Maestro_SKU!A37="","",Maestro_SKU!A37)</f>
        <v/>
      </c>
      <c r="B37" s="68">
        <f>IF(A37="","",IFERROR(VLOOKUP(A37,Maestro_SKU!$A$2:$P$500,2,FALSE),""))</f>
        <v/>
      </c>
      <c r="C37" s="68">
        <f>IF(A37="","",SUMIFS(Ventas_SellIn!$Y$2:$Y$800,Ventas_SellIn!$H$2:$H$800,A37,Ventas_SellIn!$B$2:$B$800,"&gt;="&amp;TODAY()-cfg_VentanaDemanda))</f>
        <v/>
      </c>
      <c r="D37" s="68">
        <f>IF(A37="","",C37/cfg_VentanaDemanda)</f>
        <v/>
      </c>
      <c r="E37" s="68">
        <f>IF(A37="","",ROUND(D37*cfg_DiasCobertura*(1+cfg_PctSeguridad),0))</f>
        <v/>
      </c>
      <c r="F37" s="74" t="n"/>
      <c r="G37" s="68">
        <f>IF(A37="","",IF(F37="",0,F37*IFERROR(VLOOKUP(A37,Maestro_SKU!$A$2:$P$500,12,FALSE),1)))</f>
        <v/>
      </c>
      <c r="H37" s="68">
        <f>IF(A37="","",MAX(E37-G37,0))</f>
        <v/>
      </c>
      <c r="I37" s="68">
        <f>IF(A37="","",IF(F37="","Falta bodega",IF(G37&gt;=E37,"OK",IF(G37&gt;=E37*0.6,"Ajustado","Reponer"))))</f>
        <v/>
      </c>
    </row>
    <row r="38">
      <c r="A38" s="68">
        <f>IF(Maestro_SKU!A38="","",Maestro_SKU!A38)</f>
        <v/>
      </c>
      <c r="B38" s="68">
        <f>IF(A38="","",IFERROR(VLOOKUP(A38,Maestro_SKU!$A$2:$P$500,2,FALSE),""))</f>
        <v/>
      </c>
      <c r="C38" s="68">
        <f>IF(A38="","",SUMIFS(Ventas_SellIn!$Y$2:$Y$800,Ventas_SellIn!$H$2:$H$800,A38,Ventas_SellIn!$B$2:$B$800,"&gt;="&amp;TODAY()-cfg_VentanaDemanda))</f>
        <v/>
      </c>
      <c r="D38" s="68">
        <f>IF(A38="","",C38/cfg_VentanaDemanda)</f>
        <v/>
      </c>
      <c r="E38" s="68">
        <f>IF(A38="","",ROUND(D38*cfg_DiasCobertura*(1+cfg_PctSeguridad),0))</f>
        <v/>
      </c>
      <c r="F38" s="74" t="n"/>
      <c r="G38" s="68">
        <f>IF(A38="","",IF(F38="",0,F38*IFERROR(VLOOKUP(A38,Maestro_SKU!$A$2:$P$500,12,FALSE),1)))</f>
        <v/>
      </c>
      <c r="H38" s="68">
        <f>IF(A38="","",MAX(E38-G38,0))</f>
        <v/>
      </c>
      <c r="I38" s="68">
        <f>IF(A38="","",IF(F38="","Falta bodega",IF(G38&gt;=E38,"OK",IF(G38&gt;=E38*0.6,"Ajustado","Reponer"))))</f>
        <v/>
      </c>
    </row>
    <row r="39">
      <c r="A39" s="68">
        <f>IF(Maestro_SKU!A39="","",Maestro_SKU!A39)</f>
        <v/>
      </c>
      <c r="B39" s="68">
        <f>IF(A39="","",IFERROR(VLOOKUP(A39,Maestro_SKU!$A$2:$P$500,2,FALSE),""))</f>
        <v/>
      </c>
      <c r="C39" s="68">
        <f>IF(A39="","",SUMIFS(Ventas_SellIn!$Y$2:$Y$800,Ventas_SellIn!$H$2:$H$800,A39,Ventas_SellIn!$B$2:$B$800,"&gt;="&amp;TODAY()-cfg_VentanaDemanda))</f>
        <v/>
      </c>
      <c r="D39" s="68">
        <f>IF(A39="","",C39/cfg_VentanaDemanda)</f>
        <v/>
      </c>
      <c r="E39" s="68">
        <f>IF(A39="","",ROUND(D39*cfg_DiasCobertura*(1+cfg_PctSeguridad),0))</f>
        <v/>
      </c>
      <c r="F39" s="74" t="n"/>
      <c r="G39" s="68">
        <f>IF(A39="","",IF(F39="",0,F39*IFERROR(VLOOKUP(A39,Maestro_SKU!$A$2:$P$500,12,FALSE),1)))</f>
        <v/>
      </c>
      <c r="H39" s="68">
        <f>IF(A39="","",MAX(E39-G39,0))</f>
        <v/>
      </c>
      <c r="I39" s="68">
        <f>IF(A39="","",IF(F39="","Falta bodega",IF(G39&gt;=E39,"OK",IF(G39&gt;=E39*0.6,"Ajustado","Reponer"))))</f>
        <v/>
      </c>
    </row>
    <row r="40">
      <c r="A40" s="68">
        <f>IF(Maestro_SKU!A40="","",Maestro_SKU!A40)</f>
        <v/>
      </c>
      <c r="B40" s="68">
        <f>IF(A40="","",IFERROR(VLOOKUP(A40,Maestro_SKU!$A$2:$P$500,2,FALSE),""))</f>
        <v/>
      </c>
      <c r="C40" s="68">
        <f>IF(A40="","",SUMIFS(Ventas_SellIn!$Y$2:$Y$800,Ventas_SellIn!$H$2:$H$800,A40,Ventas_SellIn!$B$2:$B$800,"&gt;="&amp;TODAY()-cfg_VentanaDemanda))</f>
        <v/>
      </c>
      <c r="D40" s="68">
        <f>IF(A40="","",C40/cfg_VentanaDemanda)</f>
        <v/>
      </c>
      <c r="E40" s="68">
        <f>IF(A40="","",ROUND(D40*cfg_DiasCobertura*(1+cfg_PctSeguridad),0))</f>
        <v/>
      </c>
      <c r="F40" s="74" t="n"/>
      <c r="G40" s="68">
        <f>IF(A40="","",IF(F40="",0,F40*IFERROR(VLOOKUP(A40,Maestro_SKU!$A$2:$P$500,12,FALSE),1)))</f>
        <v/>
      </c>
      <c r="H40" s="68">
        <f>IF(A40="","",MAX(E40-G40,0))</f>
        <v/>
      </c>
      <c r="I40" s="68">
        <f>IF(A40="","",IF(F40="","Falta bodega",IF(G40&gt;=E40,"OK",IF(G40&gt;=E40*0.6,"Ajustado","Reponer"))))</f>
        <v/>
      </c>
    </row>
    <row r="41">
      <c r="A41" s="68">
        <f>IF(Maestro_SKU!A41="","",Maestro_SKU!A41)</f>
        <v/>
      </c>
      <c r="B41" s="68">
        <f>IF(A41="","",IFERROR(VLOOKUP(A41,Maestro_SKU!$A$2:$P$500,2,FALSE),""))</f>
        <v/>
      </c>
      <c r="C41" s="68">
        <f>IF(A41="","",SUMIFS(Ventas_SellIn!$Y$2:$Y$800,Ventas_SellIn!$H$2:$H$800,A41,Ventas_SellIn!$B$2:$B$800,"&gt;="&amp;TODAY()-cfg_VentanaDemanda))</f>
        <v/>
      </c>
      <c r="D41" s="68">
        <f>IF(A41="","",C41/cfg_VentanaDemanda)</f>
        <v/>
      </c>
      <c r="E41" s="68">
        <f>IF(A41="","",ROUND(D41*cfg_DiasCobertura*(1+cfg_PctSeguridad),0))</f>
        <v/>
      </c>
      <c r="F41" s="74" t="n"/>
      <c r="G41" s="68">
        <f>IF(A41="","",IF(F41="",0,F41*IFERROR(VLOOKUP(A41,Maestro_SKU!$A$2:$P$500,12,FALSE),1)))</f>
        <v/>
      </c>
      <c r="H41" s="68">
        <f>IF(A41="","",MAX(E41-G41,0))</f>
        <v/>
      </c>
      <c r="I41" s="68">
        <f>IF(A41="","",IF(F41="","Falta bodega",IF(G41&gt;=E41,"OK",IF(G41&gt;=E41*0.6,"Ajustado","Reponer"))))</f>
        <v/>
      </c>
    </row>
    <row r="42">
      <c r="A42" s="68">
        <f>IF(Maestro_SKU!A42="","",Maestro_SKU!A42)</f>
        <v/>
      </c>
      <c r="B42" s="68">
        <f>IF(A42="","",IFERROR(VLOOKUP(A42,Maestro_SKU!$A$2:$P$500,2,FALSE),""))</f>
        <v/>
      </c>
      <c r="C42" s="68">
        <f>IF(A42="","",SUMIFS(Ventas_SellIn!$Y$2:$Y$800,Ventas_SellIn!$H$2:$H$800,A42,Ventas_SellIn!$B$2:$B$800,"&gt;="&amp;TODAY()-cfg_VentanaDemanda))</f>
        <v/>
      </c>
      <c r="D42" s="68">
        <f>IF(A42="","",C42/cfg_VentanaDemanda)</f>
        <v/>
      </c>
      <c r="E42" s="68">
        <f>IF(A42="","",ROUND(D42*cfg_DiasCobertura*(1+cfg_PctSeguridad),0))</f>
        <v/>
      </c>
      <c r="F42" s="74" t="n"/>
      <c r="G42" s="68">
        <f>IF(A42="","",IF(F42="",0,F42*IFERROR(VLOOKUP(A42,Maestro_SKU!$A$2:$P$500,12,FALSE),1)))</f>
        <v/>
      </c>
      <c r="H42" s="68">
        <f>IF(A42="","",MAX(E42-G42,0))</f>
        <v/>
      </c>
      <c r="I42" s="68">
        <f>IF(A42="","",IF(F42="","Falta bodega",IF(G42&gt;=E42,"OK",IF(G42&gt;=E42*0.6,"Ajustado","Reponer"))))</f>
        <v/>
      </c>
    </row>
    <row r="43">
      <c r="A43" s="68">
        <f>IF(Maestro_SKU!A43="","",Maestro_SKU!A43)</f>
        <v/>
      </c>
      <c r="B43" s="68">
        <f>IF(A43="","",IFERROR(VLOOKUP(A43,Maestro_SKU!$A$2:$P$500,2,FALSE),""))</f>
        <v/>
      </c>
      <c r="C43" s="68">
        <f>IF(A43="","",SUMIFS(Ventas_SellIn!$Y$2:$Y$800,Ventas_SellIn!$H$2:$H$800,A43,Ventas_SellIn!$B$2:$B$800,"&gt;="&amp;TODAY()-cfg_VentanaDemanda))</f>
        <v/>
      </c>
      <c r="D43" s="68">
        <f>IF(A43="","",C43/cfg_VentanaDemanda)</f>
        <v/>
      </c>
      <c r="E43" s="68">
        <f>IF(A43="","",ROUND(D43*cfg_DiasCobertura*(1+cfg_PctSeguridad),0))</f>
        <v/>
      </c>
      <c r="F43" s="74" t="n"/>
      <c r="G43" s="68">
        <f>IF(A43="","",IF(F43="",0,F43*IFERROR(VLOOKUP(A43,Maestro_SKU!$A$2:$P$500,12,FALSE),1)))</f>
        <v/>
      </c>
      <c r="H43" s="68">
        <f>IF(A43="","",MAX(E43-G43,0))</f>
        <v/>
      </c>
      <c r="I43" s="68">
        <f>IF(A43="","",IF(F43="","Falta bodega",IF(G43&gt;=E43,"OK",IF(G43&gt;=E43*0.6,"Ajustado","Reponer"))))</f>
        <v/>
      </c>
    </row>
    <row r="44">
      <c r="A44" s="68">
        <f>IF(Maestro_SKU!A44="","",Maestro_SKU!A44)</f>
        <v/>
      </c>
      <c r="B44" s="68">
        <f>IF(A44="","",IFERROR(VLOOKUP(A44,Maestro_SKU!$A$2:$P$500,2,FALSE),""))</f>
        <v/>
      </c>
      <c r="C44" s="68">
        <f>IF(A44="","",SUMIFS(Ventas_SellIn!$Y$2:$Y$800,Ventas_SellIn!$H$2:$H$800,A44,Ventas_SellIn!$B$2:$B$800,"&gt;="&amp;TODAY()-cfg_VentanaDemanda))</f>
        <v/>
      </c>
      <c r="D44" s="68">
        <f>IF(A44="","",C44/cfg_VentanaDemanda)</f>
        <v/>
      </c>
      <c r="E44" s="68">
        <f>IF(A44="","",ROUND(D44*cfg_DiasCobertura*(1+cfg_PctSeguridad),0))</f>
        <v/>
      </c>
      <c r="F44" s="74" t="n"/>
      <c r="G44" s="68">
        <f>IF(A44="","",IF(F44="",0,F44*IFERROR(VLOOKUP(A44,Maestro_SKU!$A$2:$P$500,12,FALSE),1)))</f>
        <v/>
      </c>
      <c r="H44" s="68">
        <f>IF(A44="","",MAX(E44-G44,0))</f>
        <v/>
      </c>
      <c r="I44" s="68">
        <f>IF(A44="","",IF(F44="","Falta bodega",IF(G44&gt;=E44,"OK",IF(G44&gt;=E44*0.6,"Ajustado","Reponer"))))</f>
        <v/>
      </c>
    </row>
    <row r="45">
      <c r="A45" s="68">
        <f>IF(Maestro_SKU!A45="","",Maestro_SKU!A45)</f>
        <v/>
      </c>
      <c r="B45" s="68">
        <f>IF(A45="","",IFERROR(VLOOKUP(A45,Maestro_SKU!$A$2:$P$500,2,FALSE),""))</f>
        <v/>
      </c>
      <c r="C45" s="68">
        <f>IF(A45="","",SUMIFS(Ventas_SellIn!$Y$2:$Y$800,Ventas_SellIn!$H$2:$H$800,A45,Ventas_SellIn!$B$2:$B$800,"&gt;="&amp;TODAY()-cfg_VentanaDemanda))</f>
        <v/>
      </c>
      <c r="D45" s="68">
        <f>IF(A45="","",C45/cfg_VentanaDemanda)</f>
        <v/>
      </c>
      <c r="E45" s="68">
        <f>IF(A45="","",ROUND(D45*cfg_DiasCobertura*(1+cfg_PctSeguridad),0))</f>
        <v/>
      </c>
      <c r="F45" s="74" t="n"/>
      <c r="G45" s="68">
        <f>IF(A45="","",IF(F45="",0,F45*IFERROR(VLOOKUP(A45,Maestro_SKU!$A$2:$P$500,12,FALSE),1)))</f>
        <v/>
      </c>
      <c r="H45" s="68">
        <f>IF(A45="","",MAX(E45-G45,0))</f>
        <v/>
      </c>
      <c r="I45" s="68">
        <f>IF(A45="","",IF(F45="","Falta bodega",IF(G45&gt;=E45,"OK",IF(G45&gt;=E45*0.6,"Ajustado","Reponer"))))</f>
        <v/>
      </c>
    </row>
    <row r="46">
      <c r="A46" s="68">
        <f>IF(Maestro_SKU!A46="","",Maestro_SKU!A46)</f>
        <v/>
      </c>
      <c r="B46" s="68">
        <f>IF(A46="","",IFERROR(VLOOKUP(A46,Maestro_SKU!$A$2:$P$500,2,FALSE),""))</f>
        <v/>
      </c>
      <c r="C46" s="68">
        <f>IF(A46="","",SUMIFS(Ventas_SellIn!$Y$2:$Y$800,Ventas_SellIn!$H$2:$H$800,A46,Ventas_SellIn!$B$2:$B$800,"&gt;="&amp;TODAY()-cfg_VentanaDemanda))</f>
        <v/>
      </c>
      <c r="D46" s="68">
        <f>IF(A46="","",C46/cfg_VentanaDemanda)</f>
        <v/>
      </c>
      <c r="E46" s="68">
        <f>IF(A46="","",ROUND(D46*cfg_DiasCobertura*(1+cfg_PctSeguridad),0))</f>
        <v/>
      </c>
      <c r="F46" s="74" t="n"/>
      <c r="G46" s="68">
        <f>IF(A46="","",IF(F46="",0,F46*IFERROR(VLOOKUP(A46,Maestro_SKU!$A$2:$P$500,12,FALSE),1)))</f>
        <v/>
      </c>
      <c r="H46" s="68">
        <f>IF(A46="","",MAX(E46-G46,0))</f>
        <v/>
      </c>
      <c r="I46" s="68">
        <f>IF(A46="","",IF(F46="","Falta bodega",IF(G46&gt;=E46,"OK",IF(G46&gt;=E46*0.6,"Ajustado","Reponer"))))</f>
        <v/>
      </c>
    </row>
    <row r="47">
      <c r="A47" s="68">
        <f>IF(Maestro_SKU!A47="","",Maestro_SKU!A47)</f>
        <v/>
      </c>
      <c r="B47" s="68">
        <f>IF(A47="","",IFERROR(VLOOKUP(A47,Maestro_SKU!$A$2:$P$500,2,FALSE),""))</f>
        <v/>
      </c>
      <c r="C47" s="68">
        <f>IF(A47="","",SUMIFS(Ventas_SellIn!$Y$2:$Y$800,Ventas_SellIn!$H$2:$H$800,A47,Ventas_SellIn!$B$2:$B$800,"&gt;="&amp;TODAY()-cfg_VentanaDemanda))</f>
        <v/>
      </c>
      <c r="D47" s="68">
        <f>IF(A47="","",C47/cfg_VentanaDemanda)</f>
        <v/>
      </c>
      <c r="E47" s="68">
        <f>IF(A47="","",ROUND(D47*cfg_DiasCobertura*(1+cfg_PctSeguridad),0))</f>
        <v/>
      </c>
      <c r="F47" s="74" t="n"/>
      <c r="G47" s="68">
        <f>IF(A47="","",IF(F47="",0,F47*IFERROR(VLOOKUP(A47,Maestro_SKU!$A$2:$P$500,12,FALSE),1)))</f>
        <v/>
      </c>
      <c r="H47" s="68">
        <f>IF(A47="","",MAX(E47-G47,0))</f>
        <v/>
      </c>
      <c r="I47" s="68">
        <f>IF(A47="","",IF(F47="","Falta bodega",IF(G47&gt;=E47,"OK",IF(G47&gt;=E47*0.6,"Ajustado","Reponer"))))</f>
        <v/>
      </c>
    </row>
    <row r="48">
      <c r="A48" s="68">
        <f>IF(Maestro_SKU!A48="","",Maestro_SKU!A48)</f>
        <v/>
      </c>
      <c r="B48" s="68">
        <f>IF(A48="","",IFERROR(VLOOKUP(A48,Maestro_SKU!$A$2:$P$500,2,FALSE),""))</f>
        <v/>
      </c>
      <c r="C48" s="68">
        <f>IF(A48="","",SUMIFS(Ventas_SellIn!$Y$2:$Y$800,Ventas_SellIn!$H$2:$H$800,A48,Ventas_SellIn!$B$2:$B$800,"&gt;="&amp;TODAY()-cfg_VentanaDemanda))</f>
        <v/>
      </c>
      <c r="D48" s="68">
        <f>IF(A48="","",C48/cfg_VentanaDemanda)</f>
        <v/>
      </c>
      <c r="E48" s="68">
        <f>IF(A48="","",ROUND(D48*cfg_DiasCobertura*(1+cfg_PctSeguridad),0))</f>
        <v/>
      </c>
      <c r="F48" s="74" t="n"/>
      <c r="G48" s="68">
        <f>IF(A48="","",IF(F48="",0,F48*IFERROR(VLOOKUP(A48,Maestro_SKU!$A$2:$P$500,12,FALSE),1)))</f>
        <v/>
      </c>
      <c r="H48" s="68">
        <f>IF(A48="","",MAX(E48-G48,0))</f>
        <v/>
      </c>
      <c r="I48" s="68">
        <f>IF(A48="","",IF(F48="","Falta bodega",IF(G48&gt;=E48,"OK",IF(G48&gt;=E48*0.6,"Ajustado","Reponer"))))</f>
        <v/>
      </c>
    </row>
    <row r="49">
      <c r="A49" s="68">
        <f>IF(Maestro_SKU!A49="","",Maestro_SKU!A49)</f>
        <v/>
      </c>
      <c r="B49" s="68">
        <f>IF(A49="","",IFERROR(VLOOKUP(A49,Maestro_SKU!$A$2:$P$500,2,FALSE),""))</f>
        <v/>
      </c>
      <c r="C49" s="68">
        <f>IF(A49="","",SUMIFS(Ventas_SellIn!$Y$2:$Y$800,Ventas_SellIn!$H$2:$H$800,A49,Ventas_SellIn!$B$2:$B$800,"&gt;="&amp;TODAY()-cfg_VentanaDemanda))</f>
        <v/>
      </c>
      <c r="D49" s="68">
        <f>IF(A49="","",C49/cfg_VentanaDemanda)</f>
        <v/>
      </c>
      <c r="E49" s="68">
        <f>IF(A49="","",ROUND(D49*cfg_DiasCobertura*(1+cfg_PctSeguridad),0))</f>
        <v/>
      </c>
      <c r="F49" s="74" t="n"/>
      <c r="G49" s="68">
        <f>IF(A49="","",IF(F49="",0,F49*IFERROR(VLOOKUP(A49,Maestro_SKU!$A$2:$P$500,12,FALSE),1)))</f>
        <v/>
      </c>
      <c r="H49" s="68">
        <f>IF(A49="","",MAX(E49-G49,0))</f>
        <v/>
      </c>
      <c r="I49" s="68">
        <f>IF(A49="","",IF(F49="","Falta bodega",IF(G49&gt;=E49,"OK",IF(G49&gt;=E49*0.6,"Ajustado","Reponer"))))</f>
        <v/>
      </c>
    </row>
    <row r="50">
      <c r="A50" s="68">
        <f>IF(Maestro_SKU!A50="","",Maestro_SKU!A50)</f>
        <v/>
      </c>
      <c r="B50" s="68">
        <f>IF(A50="","",IFERROR(VLOOKUP(A50,Maestro_SKU!$A$2:$P$500,2,FALSE),""))</f>
        <v/>
      </c>
      <c r="C50" s="68">
        <f>IF(A50="","",SUMIFS(Ventas_SellIn!$Y$2:$Y$800,Ventas_SellIn!$H$2:$H$800,A50,Ventas_SellIn!$B$2:$B$800,"&gt;="&amp;TODAY()-cfg_VentanaDemanda))</f>
        <v/>
      </c>
      <c r="D50" s="68">
        <f>IF(A50="","",C50/cfg_VentanaDemanda)</f>
        <v/>
      </c>
      <c r="E50" s="68">
        <f>IF(A50="","",ROUND(D50*cfg_DiasCobertura*(1+cfg_PctSeguridad),0))</f>
        <v/>
      </c>
      <c r="F50" s="74" t="n"/>
      <c r="G50" s="68">
        <f>IF(A50="","",IF(F50="",0,F50*IFERROR(VLOOKUP(A50,Maestro_SKU!$A$2:$P$500,12,FALSE),1)))</f>
        <v/>
      </c>
      <c r="H50" s="68">
        <f>IF(A50="","",MAX(E50-G50,0))</f>
        <v/>
      </c>
      <c r="I50" s="68">
        <f>IF(A50="","",IF(F50="","Falta bodega",IF(G50&gt;=E50,"OK",IF(G50&gt;=E50*0.6,"Ajustado","Reponer"))))</f>
        <v/>
      </c>
    </row>
    <row r="51">
      <c r="A51" s="68">
        <f>IF(Maestro_SKU!A51="","",Maestro_SKU!A51)</f>
        <v/>
      </c>
      <c r="B51" s="68">
        <f>IF(A51="","",IFERROR(VLOOKUP(A51,Maestro_SKU!$A$2:$P$500,2,FALSE),""))</f>
        <v/>
      </c>
      <c r="C51" s="68">
        <f>IF(A51="","",SUMIFS(Ventas_SellIn!$Y$2:$Y$800,Ventas_SellIn!$H$2:$H$800,A51,Ventas_SellIn!$B$2:$B$800,"&gt;="&amp;TODAY()-cfg_VentanaDemanda))</f>
        <v/>
      </c>
      <c r="D51" s="68">
        <f>IF(A51="","",C51/cfg_VentanaDemanda)</f>
        <v/>
      </c>
      <c r="E51" s="68">
        <f>IF(A51="","",ROUND(D51*cfg_DiasCobertura*(1+cfg_PctSeguridad),0))</f>
        <v/>
      </c>
      <c r="F51" s="74" t="n"/>
      <c r="G51" s="68">
        <f>IF(A51="","",IF(F51="",0,F51*IFERROR(VLOOKUP(A51,Maestro_SKU!$A$2:$P$500,12,FALSE),1)))</f>
        <v/>
      </c>
      <c r="H51" s="68">
        <f>IF(A51="","",MAX(E51-G51,0))</f>
        <v/>
      </c>
      <c r="I51" s="68">
        <f>IF(A51="","",IF(F51="","Falta bodega",IF(G51&gt;=E51,"OK",IF(G51&gt;=E51*0.6,"Ajustado","Reponer"))))</f>
        <v/>
      </c>
    </row>
    <row r="52">
      <c r="A52" s="68">
        <f>IF(Maestro_SKU!A52="","",Maestro_SKU!A52)</f>
        <v/>
      </c>
      <c r="B52" s="68">
        <f>IF(A52="","",IFERROR(VLOOKUP(A52,Maestro_SKU!$A$2:$P$500,2,FALSE),""))</f>
        <v/>
      </c>
      <c r="C52" s="68">
        <f>IF(A52="","",SUMIFS(Ventas_SellIn!$Y$2:$Y$800,Ventas_SellIn!$H$2:$H$800,A52,Ventas_SellIn!$B$2:$B$800,"&gt;="&amp;TODAY()-cfg_VentanaDemanda))</f>
        <v/>
      </c>
      <c r="D52" s="68">
        <f>IF(A52="","",C52/cfg_VentanaDemanda)</f>
        <v/>
      </c>
      <c r="E52" s="68">
        <f>IF(A52="","",ROUND(D52*cfg_DiasCobertura*(1+cfg_PctSeguridad),0))</f>
        <v/>
      </c>
      <c r="F52" s="74" t="n"/>
      <c r="G52" s="68">
        <f>IF(A52="","",IF(F52="",0,F52*IFERROR(VLOOKUP(A52,Maestro_SKU!$A$2:$P$500,12,FALSE),1)))</f>
        <v/>
      </c>
      <c r="H52" s="68">
        <f>IF(A52="","",MAX(E52-G52,0))</f>
        <v/>
      </c>
      <c r="I52" s="68">
        <f>IF(A52="","",IF(F52="","Falta bodega",IF(G52&gt;=E52,"OK",IF(G52&gt;=E52*0.6,"Ajustado","Reponer"))))</f>
        <v/>
      </c>
    </row>
    <row r="53">
      <c r="A53" s="68">
        <f>IF(Maestro_SKU!A53="","",Maestro_SKU!A53)</f>
        <v/>
      </c>
      <c r="B53" s="68">
        <f>IF(A53="","",IFERROR(VLOOKUP(A53,Maestro_SKU!$A$2:$P$500,2,FALSE),""))</f>
        <v/>
      </c>
      <c r="C53" s="68">
        <f>IF(A53="","",SUMIFS(Ventas_SellIn!$Y$2:$Y$800,Ventas_SellIn!$H$2:$H$800,A53,Ventas_SellIn!$B$2:$B$800,"&gt;="&amp;TODAY()-cfg_VentanaDemanda))</f>
        <v/>
      </c>
      <c r="D53" s="68">
        <f>IF(A53="","",C53/cfg_VentanaDemanda)</f>
        <v/>
      </c>
      <c r="E53" s="68">
        <f>IF(A53="","",ROUND(D53*cfg_DiasCobertura*(1+cfg_PctSeguridad),0))</f>
        <v/>
      </c>
      <c r="F53" s="74" t="n"/>
      <c r="G53" s="68">
        <f>IF(A53="","",IF(F53="",0,F53*IFERROR(VLOOKUP(A53,Maestro_SKU!$A$2:$P$500,12,FALSE),1)))</f>
        <v/>
      </c>
      <c r="H53" s="68">
        <f>IF(A53="","",MAX(E53-G53,0))</f>
        <v/>
      </c>
      <c r="I53" s="68">
        <f>IF(A53="","",IF(F53="","Falta bodega",IF(G53&gt;=E53,"OK",IF(G53&gt;=E53*0.6,"Ajustado","Reponer"))))</f>
        <v/>
      </c>
    </row>
    <row r="54">
      <c r="A54" s="68">
        <f>IF(Maestro_SKU!A54="","",Maestro_SKU!A54)</f>
        <v/>
      </c>
      <c r="B54" s="68">
        <f>IF(A54="","",IFERROR(VLOOKUP(A54,Maestro_SKU!$A$2:$P$500,2,FALSE),""))</f>
        <v/>
      </c>
      <c r="C54" s="68">
        <f>IF(A54="","",SUMIFS(Ventas_SellIn!$Y$2:$Y$800,Ventas_SellIn!$H$2:$H$800,A54,Ventas_SellIn!$B$2:$B$800,"&gt;="&amp;TODAY()-cfg_VentanaDemanda))</f>
        <v/>
      </c>
      <c r="D54" s="68">
        <f>IF(A54="","",C54/cfg_VentanaDemanda)</f>
        <v/>
      </c>
      <c r="E54" s="68">
        <f>IF(A54="","",ROUND(D54*cfg_DiasCobertura*(1+cfg_PctSeguridad),0))</f>
        <v/>
      </c>
      <c r="F54" s="74" t="n"/>
      <c r="G54" s="68">
        <f>IF(A54="","",IF(F54="",0,F54*IFERROR(VLOOKUP(A54,Maestro_SKU!$A$2:$P$500,12,FALSE),1)))</f>
        <v/>
      </c>
      <c r="H54" s="68">
        <f>IF(A54="","",MAX(E54-G54,0))</f>
        <v/>
      </c>
      <c r="I54" s="68">
        <f>IF(A54="","",IF(F54="","Falta bodega",IF(G54&gt;=E54,"OK",IF(G54&gt;=E54*0.6,"Ajustado","Reponer"))))</f>
        <v/>
      </c>
    </row>
    <row r="55">
      <c r="A55" s="68">
        <f>IF(Maestro_SKU!A55="","",Maestro_SKU!A55)</f>
        <v/>
      </c>
      <c r="B55" s="68">
        <f>IF(A55="","",IFERROR(VLOOKUP(A55,Maestro_SKU!$A$2:$P$500,2,FALSE),""))</f>
        <v/>
      </c>
      <c r="C55" s="68">
        <f>IF(A55="","",SUMIFS(Ventas_SellIn!$Y$2:$Y$800,Ventas_SellIn!$H$2:$H$800,A55,Ventas_SellIn!$B$2:$B$800,"&gt;="&amp;TODAY()-cfg_VentanaDemanda))</f>
        <v/>
      </c>
      <c r="D55" s="68">
        <f>IF(A55="","",C55/cfg_VentanaDemanda)</f>
        <v/>
      </c>
      <c r="E55" s="68">
        <f>IF(A55="","",ROUND(D55*cfg_DiasCobertura*(1+cfg_PctSeguridad),0))</f>
        <v/>
      </c>
      <c r="F55" s="74" t="n"/>
      <c r="G55" s="68">
        <f>IF(A55="","",IF(F55="",0,F55*IFERROR(VLOOKUP(A55,Maestro_SKU!$A$2:$P$500,12,FALSE),1)))</f>
        <v/>
      </c>
      <c r="H55" s="68">
        <f>IF(A55="","",MAX(E55-G55,0))</f>
        <v/>
      </c>
      <c r="I55" s="68">
        <f>IF(A55="","",IF(F55="","Falta bodega",IF(G55&gt;=E55,"OK",IF(G55&gt;=E55*0.6,"Ajustado","Reponer"))))</f>
        <v/>
      </c>
    </row>
    <row r="56">
      <c r="A56" s="68">
        <f>IF(Maestro_SKU!A56="","",Maestro_SKU!A56)</f>
        <v/>
      </c>
      <c r="B56" s="68">
        <f>IF(A56="","",IFERROR(VLOOKUP(A56,Maestro_SKU!$A$2:$P$500,2,FALSE),""))</f>
        <v/>
      </c>
      <c r="C56" s="68">
        <f>IF(A56="","",SUMIFS(Ventas_SellIn!$Y$2:$Y$800,Ventas_SellIn!$H$2:$H$800,A56,Ventas_SellIn!$B$2:$B$800,"&gt;="&amp;TODAY()-cfg_VentanaDemanda))</f>
        <v/>
      </c>
      <c r="D56" s="68">
        <f>IF(A56="","",C56/cfg_VentanaDemanda)</f>
        <v/>
      </c>
      <c r="E56" s="68">
        <f>IF(A56="","",ROUND(D56*cfg_DiasCobertura*(1+cfg_PctSeguridad),0))</f>
        <v/>
      </c>
      <c r="F56" s="74" t="n"/>
      <c r="G56" s="68">
        <f>IF(A56="","",IF(F56="",0,F56*IFERROR(VLOOKUP(A56,Maestro_SKU!$A$2:$P$500,12,FALSE),1)))</f>
        <v/>
      </c>
      <c r="H56" s="68">
        <f>IF(A56="","",MAX(E56-G56,0))</f>
        <v/>
      </c>
      <c r="I56" s="68">
        <f>IF(A56="","",IF(F56="","Falta bodega",IF(G56&gt;=E56,"OK",IF(G56&gt;=E56*0.6,"Ajustado","Reponer"))))</f>
        <v/>
      </c>
    </row>
    <row r="57">
      <c r="A57" s="68">
        <f>IF(Maestro_SKU!A57="","",Maestro_SKU!A57)</f>
        <v/>
      </c>
      <c r="B57" s="68">
        <f>IF(A57="","",IFERROR(VLOOKUP(A57,Maestro_SKU!$A$2:$P$500,2,FALSE),""))</f>
        <v/>
      </c>
      <c r="C57" s="68">
        <f>IF(A57="","",SUMIFS(Ventas_SellIn!$Y$2:$Y$800,Ventas_SellIn!$H$2:$H$800,A57,Ventas_SellIn!$B$2:$B$800,"&gt;="&amp;TODAY()-cfg_VentanaDemanda))</f>
        <v/>
      </c>
      <c r="D57" s="68">
        <f>IF(A57="","",C57/cfg_VentanaDemanda)</f>
        <v/>
      </c>
      <c r="E57" s="68">
        <f>IF(A57="","",ROUND(D57*cfg_DiasCobertura*(1+cfg_PctSeguridad),0))</f>
        <v/>
      </c>
      <c r="F57" s="74" t="n"/>
      <c r="G57" s="68">
        <f>IF(A57="","",IF(F57="",0,F57*IFERROR(VLOOKUP(A57,Maestro_SKU!$A$2:$P$500,12,FALSE),1)))</f>
        <v/>
      </c>
      <c r="H57" s="68">
        <f>IF(A57="","",MAX(E57-G57,0))</f>
        <v/>
      </c>
      <c r="I57" s="68">
        <f>IF(A57="","",IF(F57="","Falta bodega",IF(G57&gt;=E57,"OK",IF(G57&gt;=E57*0.6,"Ajustado","Reponer"))))</f>
        <v/>
      </c>
    </row>
    <row r="58">
      <c r="A58" s="68">
        <f>IF(Maestro_SKU!A58="","",Maestro_SKU!A58)</f>
        <v/>
      </c>
      <c r="B58" s="68">
        <f>IF(A58="","",IFERROR(VLOOKUP(A58,Maestro_SKU!$A$2:$P$500,2,FALSE),""))</f>
        <v/>
      </c>
      <c r="C58" s="68">
        <f>IF(A58="","",SUMIFS(Ventas_SellIn!$Y$2:$Y$800,Ventas_SellIn!$H$2:$H$800,A58,Ventas_SellIn!$B$2:$B$800,"&gt;="&amp;TODAY()-cfg_VentanaDemanda))</f>
        <v/>
      </c>
      <c r="D58" s="68">
        <f>IF(A58="","",C58/cfg_VentanaDemanda)</f>
        <v/>
      </c>
      <c r="E58" s="68">
        <f>IF(A58="","",ROUND(D58*cfg_DiasCobertura*(1+cfg_PctSeguridad),0))</f>
        <v/>
      </c>
      <c r="F58" s="74" t="n"/>
      <c r="G58" s="68">
        <f>IF(A58="","",IF(F58="",0,F58*IFERROR(VLOOKUP(A58,Maestro_SKU!$A$2:$P$500,12,FALSE),1)))</f>
        <v/>
      </c>
      <c r="H58" s="68">
        <f>IF(A58="","",MAX(E58-G58,0))</f>
        <v/>
      </c>
      <c r="I58" s="68">
        <f>IF(A58="","",IF(F58="","Falta bodega",IF(G58&gt;=E58,"OK",IF(G58&gt;=E58*0.6,"Ajustado","Reponer"))))</f>
        <v/>
      </c>
    </row>
    <row r="59">
      <c r="A59" s="68">
        <f>IF(Maestro_SKU!A59="","",Maestro_SKU!A59)</f>
        <v/>
      </c>
      <c r="B59" s="68">
        <f>IF(A59="","",IFERROR(VLOOKUP(A59,Maestro_SKU!$A$2:$P$500,2,FALSE),""))</f>
        <v/>
      </c>
      <c r="C59" s="68">
        <f>IF(A59="","",SUMIFS(Ventas_SellIn!$Y$2:$Y$800,Ventas_SellIn!$H$2:$H$800,A59,Ventas_SellIn!$B$2:$B$800,"&gt;="&amp;TODAY()-cfg_VentanaDemanda))</f>
        <v/>
      </c>
      <c r="D59" s="68">
        <f>IF(A59="","",C59/cfg_VentanaDemanda)</f>
        <v/>
      </c>
      <c r="E59" s="68">
        <f>IF(A59="","",ROUND(D59*cfg_DiasCobertura*(1+cfg_PctSeguridad),0))</f>
        <v/>
      </c>
      <c r="F59" s="74" t="n"/>
      <c r="G59" s="68">
        <f>IF(A59="","",IF(F59="",0,F59*IFERROR(VLOOKUP(A59,Maestro_SKU!$A$2:$P$500,12,FALSE),1)))</f>
        <v/>
      </c>
      <c r="H59" s="68">
        <f>IF(A59="","",MAX(E59-G59,0))</f>
        <v/>
      </c>
      <c r="I59" s="68">
        <f>IF(A59="","",IF(F59="","Falta bodega",IF(G59&gt;=E59,"OK",IF(G59&gt;=E59*0.6,"Ajustado","Reponer"))))</f>
        <v/>
      </c>
    </row>
    <row r="60">
      <c r="A60" s="68">
        <f>IF(Maestro_SKU!A60="","",Maestro_SKU!A60)</f>
        <v/>
      </c>
      <c r="B60" s="68">
        <f>IF(A60="","",IFERROR(VLOOKUP(A60,Maestro_SKU!$A$2:$P$500,2,FALSE),""))</f>
        <v/>
      </c>
      <c r="C60" s="68">
        <f>IF(A60="","",SUMIFS(Ventas_SellIn!$Y$2:$Y$800,Ventas_SellIn!$H$2:$H$800,A60,Ventas_SellIn!$B$2:$B$800,"&gt;="&amp;TODAY()-cfg_VentanaDemanda))</f>
        <v/>
      </c>
      <c r="D60" s="68">
        <f>IF(A60="","",C60/cfg_VentanaDemanda)</f>
        <v/>
      </c>
      <c r="E60" s="68">
        <f>IF(A60="","",ROUND(D60*cfg_DiasCobertura*(1+cfg_PctSeguridad),0))</f>
        <v/>
      </c>
      <c r="F60" s="74" t="n"/>
      <c r="G60" s="68">
        <f>IF(A60="","",IF(F60="",0,F60*IFERROR(VLOOKUP(A60,Maestro_SKU!$A$2:$P$500,12,FALSE),1)))</f>
        <v/>
      </c>
      <c r="H60" s="68">
        <f>IF(A60="","",MAX(E60-G60,0))</f>
        <v/>
      </c>
      <c r="I60" s="68">
        <f>IF(A60="","",IF(F60="","Falta bodega",IF(G60&gt;=E60,"OK",IF(G60&gt;=E60*0.6,"Ajustado","Reponer"))))</f>
        <v/>
      </c>
    </row>
    <row r="61">
      <c r="A61" s="68">
        <f>IF(Maestro_SKU!A61="","",Maestro_SKU!A61)</f>
        <v/>
      </c>
      <c r="B61" s="68">
        <f>IF(A61="","",IFERROR(VLOOKUP(A61,Maestro_SKU!$A$2:$P$500,2,FALSE),""))</f>
        <v/>
      </c>
      <c r="C61" s="68">
        <f>IF(A61="","",SUMIFS(Ventas_SellIn!$Y$2:$Y$800,Ventas_SellIn!$H$2:$H$800,A61,Ventas_SellIn!$B$2:$B$800,"&gt;="&amp;TODAY()-cfg_VentanaDemanda))</f>
        <v/>
      </c>
      <c r="D61" s="68">
        <f>IF(A61="","",C61/cfg_VentanaDemanda)</f>
        <v/>
      </c>
      <c r="E61" s="68">
        <f>IF(A61="","",ROUND(D61*cfg_DiasCobertura*(1+cfg_PctSeguridad),0))</f>
        <v/>
      </c>
      <c r="F61" s="74" t="n"/>
      <c r="G61" s="68">
        <f>IF(A61="","",IF(F61="",0,F61*IFERROR(VLOOKUP(A61,Maestro_SKU!$A$2:$P$500,12,FALSE),1)))</f>
        <v/>
      </c>
      <c r="H61" s="68">
        <f>IF(A61="","",MAX(E61-G61,0))</f>
        <v/>
      </c>
      <c r="I61" s="68">
        <f>IF(A61="","",IF(F61="","Falta bodega",IF(G61&gt;=E61,"OK",IF(G61&gt;=E61*0.6,"Ajustado","Reponer"))))</f>
        <v/>
      </c>
    </row>
    <row r="62">
      <c r="A62" s="68">
        <f>IF(Maestro_SKU!A62="","",Maestro_SKU!A62)</f>
        <v/>
      </c>
      <c r="B62" s="68">
        <f>IF(A62="","",IFERROR(VLOOKUP(A62,Maestro_SKU!$A$2:$P$500,2,FALSE),""))</f>
        <v/>
      </c>
      <c r="C62" s="68">
        <f>IF(A62="","",SUMIFS(Ventas_SellIn!$Y$2:$Y$800,Ventas_SellIn!$H$2:$H$800,A62,Ventas_SellIn!$B$2:$B$800,"&gt;="&amp;TODAY()-cfg_VentanaDemanda))</f>
        <v/>
      </c>
      <c r="D62" s="68">
        <f>IF(A62="","",C62/cfg_VentanaDemanda)</f>
        <v/>
      </c>
      <c r="E62" s="68">
        <f>IF(A62="","",ROUND(D62*cfg_DiasCobertura*(1+cfg_PctSeguridad),0))</f>
        <v/>
      </c>
      <c r="F62" s="74" t="n"/>
      <c r="G62" s="68">
        <f>IF(A62="","",IF(F62="",0,F62*IFERROR(VLOOKUP(A62,Maestro_SKU!$A$2:$P$500,12,FALSE),1)))</f>
        <v/>
      </c>
      <c r="H62" s="68">
        <f>IF(A62="","",MAX(E62-G62,0))</f>
        <v/>
      </c>
      <c r="I62" s="68">
        <f>IF(A62="","",IF(F62="","Falta bodega",IF(G62&gt;=E62,"OK",IF(G62&gt;=E62*0.6,"Ajustado","Reponer"))))</f>
        <v/>
      </c>
    </row>
    <row r="63">
      <c r="A63" s="68">
        <f>IF(Maestro_SKU!A63="","",Maestro_SKU!A63)</f>
        <v/>
      </c>
      <c r="B63" s="68">
        <f>IF(A63="","",IFERROR(VLOOKUP(A63,Maestro_SKU!$A$2:$P$500,2,FALSE),""))</f>
        <v/>
      </c>
      <c r="C63" s="68">
        <f>IF(A63="","",SUMIFS(Ventas_SellIn!$Y$2:$Y$800,Ventas_SellIn!$H$2:$H$800,A63,Ventas_SellIn!$B$2:$B$800,"&gt;="&amp;TODAY()-cfg_VentanaDemanda))</f>
        <v/>
      </c>
      <c r="D63" s="68">
        <f>IF(A63="","",C63/cfg_VentanaDemanda)</f>
        <v/>
      </c>
      <c r="E63" s="68">
        <f>IF(A63="","",ROUND(D63*cfg_DiasCobertura*(1+cfg_PctSeguridad),0))</f>
        <v/>
      </c>
      <c r="F63" s="74" t="n"/>
      <c r="G63" s="68">
        <f>IF(A63="","",IF(F63="",0,F63*IFERROR(VLOOKUP(A63,Maestro_SKU!$A$2:$P$500,12,FALSE),1)))</f>
        <v/>
      </c>
      <c r="H63" s="68">
        <f>IF(A63="","",MAX(E63-G63,0))</f>
        <v/>
      </c>
      <c r="I63" s="68">
        <f>IF(A63="","",IF(F63="","Falta bodega",IF(G63&gt;=E63,"OK",IF(G63&gt;=E63*0.6,"Ajustado","Reponer"))))</f>
        <v/>
      </c>
    </row>
    <row r="64">
      <c r="A64" s="68">
        <f>IF(Maestro_SKU!A64="","",Maestro_SKU!A64)</f>
        <v/>
      </c>
      <c r="B64" s="68">
        <f>IF(A64="","",IFERROR(VLOOKUP(A64,Maestro_SKU!$A$2:$P$500,2,FALSE),""))</f>
        <v/>
      </c>
      <c r="C64" s="68">
        <f>IF(A64="","",SUMIFS(Ventas_SellIn!$Y$2:$Y$800,Ventas_SellIn!$H$2:$H$800,A64,Ventas_SellIn!$B$2:$B$800,"&gt;="&amp;TODAY()-cfg_VentanaDemanda))</f>
        <v/>
      </c>
      <c r="D64" s="68">
        <f>IF(A64="","",C64/cfg_VentanaDemanda)</f>
        <v/>
      </c>
      <c r="E64" s="68">
        <f>IF(A64="","",ROUND(D64*cfg_DiasCobertura*(1+cfg_PctSeguridad),0))</f>
        <v/>
      </c>
      <c r="F64" s="74" t="n"/>
      <c r="G64" s="68">
        <f>IF(A64="","",IF(F64="",0,F64*IFERROR(VLOOKUP(A64,Maestro_SKU!$A$2:$P$500,12,FALSE),1)))</f>
        <v/>
      </c>
      <c r="H64" s="68">
        <f>IF(A64="","",MAX(E64-G64,0))</f>
        <v/>
      </c>
      <c r="I64" s="68">
        <f>IF(A64="","",IF(F64="","Falta bodega",IF(G64&gt;=E64,"OK",IF(G64&gt;=E64*0.6,"Ajustado","Reponer"))))</f>
        <v/>
      </c>
    </row>
    <row r="65">
      <c r="A65" s="68">
        <f>IF(Maestro_SKU!A65="","",Maestro_SKU!A65)</f>
        <v/>
      </c>
      <c r="B65" s="68">
        <f>IF(A65="","",IFERROR(VLOOKUP(A65,Maestro_SKU!$A$2:$P$500,2,FALSE),""))</f>
        <v/>
      </c>
      <c r="C65" s="68">
        <f>IF(A65="","",SUMIFS(Ventas_SellIn!$Y$2:$Y$800,Ventas_SellIn!$H$2:$H$800,A65,Ventas_SellIn!$B$2:$B$800,"&gt;="&amp;TODAY()-cfg_VentanaDemanda))</f>
        <v/>
      </c>
      <c r="D65" s="68">
        <f>IF(A65="","",C65/cfg_VentanaDemanda)</f>
        <v/>
      </c>
      <c r="E65" s="68">
        <f>IF(A65="","",ROUND(D65*cfg_DiasCobertura*(1+cfg_PctSeguridad),0))</f>
        <v/>
      </c>
      <c r="F65" s="74" t="n"/>
      <c r="G65" s="68">
        <f>IF(A65="","",IF(F65="",0,F65*IFERROR(VLOOKUP(A65,Maestro_SKU!$A$2:$P$500,12,FALSE),1)))</f>
        <v/>
      </c>
      <c r="H65" s="68">
        <f>IF(A65="","",MAX(E65-G65,0))</f>
        <v/>
      </c>
      <c r="I65" s="68">
        <f>IF(A65="","",IF(F65="","Falta bodega",IF(G65&gt;=E65,"OK",IF(G65&gt;=E65*0.6,"Ajustado","Reponer"))))</f>
        <v/>
      </c>
    </row>
    <row r="66">
      <c r="A66" s="68">
        <f>IF(Maestro_SKU!A66="","",Maestro_SKU!A66)</f>
        <v/>
      </c>
      <c r="B66" s="68">
        <f>IF(A66="","",IFERROR(VLOOKUP(A66,Maestro_SKU!$A$2:$P$500,2,FALSE),""))</f>
        <v/>
      </c>
      <c r="C66" s="68">
        <f>IF(A66="","",SUMIFS(Ventas_SellIn!$Y$2:$Y$800,Ventas_SellIn!$H$2:$H$800,A66,Ventas_SellIn!$B$2:$B$800,"&gt;="&amp;TODAY()-cfg_VentanaDemanda))</f>
        <v/>
      </c>
      <c r="D66" s="68">
        <f>IF(A66="","",C66/cfg_VentanaDemanda)</f>
        <v/>
      </c>
      <c r="E66" s="68">
        <f>IF(A66="","",ROUND(D66*cfg_DiasCobertura*(1+cfg_PctSeguridad),0))</f>
        <v/>
      </c>
      <c r="F66" s="74" t="n"/>
      <c r="G66" s="68">
        <f>IF(A66="","",IF(F66="",0,F66*IFERROR(VLOOKUP(A66,Maestro_SKU!$A$2:$P$500,12,FALSE),1)))</f>
        <v/>
      </c>
      <c r="H66" s="68">
        <f>IF(A66="","",MAX(E66-G66,0))</f>
        <v/>
      </c>
      <c r="I66" s="68">
        <f>IF(A66="","",IF(F66="","Falta bodega",IF(G66&gt;=E66,"OK",IF(G66&gt;=E66*0.6,"Ajustado","Reponer"))))</f>
        <v/>
      </c>
    </row>
    <row r="67">
      <c r="A67" s="68">
        <f>IF(Maestro_SKU!A67="","",Maestro_SKU!A67)</f>
        <v/>
      </c>
      <c r="B67" s="68">
        <f>IF(A67="","",IFERROR(VLOOKUP(A67,Maestro_SKU!$A$2:$P$500,2,FALSE),""))</f>
        <v/>
      </c>
      <c r="C67" s="68">
        <f>IF(A67="","",SUMIFS(Ventas_SellIn!$Y$2:$Y$800,Ventas_SellIn!$H$2:$H$800,A67,Ventas_SellIn!$B$2:$B$800,"&gt;="&amp;TODAY()-cfg_VentanaDemanda))</f>
        <v/>
      </c>
      <c r="D67" s="68">
        <f>IF(A67="","",C67/cfg_VentanaDemanda)</f>
        <v/>
      </c>
      <c r="E67" s="68">
        <f>IF(A67="","",ROUND(D67*cfg_DiasCobertura*(1+cfg_PctSeguridad),0))</f>
        <v/>
      </c>
      <c r="F67" s="74" t="n"/>
      <c r="G67" s="68">
        <f>IF(A67="","",IF(F67="",0,F67*IFERROR(VLOOKUP(A67,Maestro_SKU!$A$2:$P$500,12,FALSE),1)))</f>
        <v/>
      </c>
      <c r="H67" s="68">
        <f>IF(A67="","",MAX(E67-G67,0))</f>
        <v/>
      </c>
      <c r="I67" s="68">
        <f>IF(A67="","",IF(F67="","Falta bodega",IF(G67&gt;=E67,"OK",IF(G67&gt;=E67*0.6,"Ajustado","Reponer"))))</f>
        <v/>
      </c>
    </row>
    <row r="68">
      <c r="A68" s="68">
        <f>IF(Maestro_SKU!A68="","",Maestro_SKU!A68)</f>
        <v/>
      </c>
      <c r="B68" s="68">
        <f>IF(A68="","",IFERROR(VLOOKUP(A68,Maestro_SKU!$A$2:$P$500,2,FALSE),""))</f>
        <v/>
      </c>
      <c r="C68" s="68">
        <f>IF(A68="","",SUMIFS(Ventas_SellIn!$Y$2:$Y$800,Ventas_SellIn!$H$2:$H$800,A68,Ventas_SellIn!$B$2:$B$800,"&gt;="&amp;TODAY()-cfg_VentanaDemanda))</f>
        <v/>
      </c>
      <c r="D68" s="68">
        <f>IF(A68="","",C68/cfg_VentanaDemanda)</f>
        <v/>
      </c>
      <c r="E68" s="68">
        <f>IF(A68="","",ROUND(D68*cfg_DiasCobertura*(1+cfg_PctSeguridad),0))</f>
        <v/>
      </c>
      <c r="F68" s="74" t="n"/>
      <c r="G68" s="68">
        <f>IF(A68="","",IF(F68="",0,F68*IFERROR(VLOOKUP(A68,Maestro_SKU!$A$2:$P$500,12,FALSE),1)))</f>
        <v/>
      </c>
      <c r="H68" s="68">
        <f>IF(A68="","",MAX(E68-G68,0))</f>
        <v/>
      </c>
      <c r="I68" s="68">
        <f>IF(A68="","",IF(F68="","Falta bodega",IF(G68&gt;=E68,"OK",IF(G68&gt;=E68*0.6,"Ajustado","Reponer"))))</f>
        <v/>
      </c>
    </row>
    <row r="69">
      <c r="A69" s="68">
        <f>IF(Maestro_SKU!A69="","",Maestro_SKU!A69)</f>
        <v/>
      </c>
      <c r="B69" s="68">
        <f>IF(A69="","",IFERROR(VLOOKUP(A69,Maestro_SKU!$A$2:$P$500,2,FALSE),""))</f>
        <v/>
      </c>
      <c r="C69" s="68">
        <f>IF(A69="","",SUMIFS(Ventas_SellIn!$Y$2:$Y$800,Ventas_SellIn!$H$2:$H$800,A69,Ventas_SellIn!$B$2:$B$800,"&gt;="&amp;TODAY()-cfg_VentanaDemanda))</f>
        <v/>
      </c>
      <c r="D69" s="68">
        <f>IF(A69="","",C69/cfg_VentanaDemanda)</f>
        <v/>
      </c>
      <c r="E69" s="68">
        <f>IF(A69="","",ROUND(D69*cfg_DiasCobertura*(1+cfg_PctSeguridad),0))</f>
        <v/>
      </c>
      <c r="F69" s="74" t="n"/>
      <c r="G69" s="68">
        <f>IF(A69="","",IF(F69="",0,F69*IFERROR(VLOOKUP(A69,Maestro_SKU!$A$2:$P$500,12,FALSE),1)))</f>
        <v/>
      </c>
      <c r="H69" s="68">
        <f>IF(A69="","",MAX(E69-G69,0))</f>
        <v/>
      </c>
      <c r="I69" s="68">
        <f>IF(A69="","",IF(F69="","Falta bodega",IF(G69&gt;=E69,"OK",IF(G69&gt;=E69*0.6,"Ajustado","Reponer"))))</f>
        <v/>
      </c>
    </row>
    <row r="70">
      <c r="A70" s="68">
        <f>IF(Maestro_SKU!A70="","",Maestro_SKU!A70)</f>
        <v/>
      </c>
      <c r="B70" s="68">
        <f>IF(A70="","",IFERROR(VLOOKUP(A70,Maestro_SKU!$A$2:$P$500,2,FALSE),""))</f>
        <v/>
      </c>
      <c r="C70" s="68">
        <f>IF(A70="","",SUMIFS(Ventas_SellIn!$Y$2:$Y$800,Ventas_SellIn!$H$2:$H$800,A70,Ventas_SellIn!$B$2:$B$800,"&gt;="&amp;TODAY()-cfg_VentanaDemanda))</f>
        <v/>
      </c>
      <c r="D70" s="68">
        <f>IF(A70="","",C70/cfg_VentanaDemanda)</f>
        <v/>
      </c>
      <c r="E70" s="68">
        <f>IF(A70="","",ROUND(D70*cfg_DiasCobertura*(1+cfg_PctSeguridad),0))</f>
        <v/>
      </c>
      <c r="F70" s="74" t="n"/>
      <c r="G70" s="68">
        <f>IF(A70="","",IF(F70="",0,F70*IFERROR(VLOOKUP(A70,Maestro_SKU!$A$2:$P$500,12,FALSE),1)))</f>
        <v/>
      </c>
      <c r="H70" s="68">
        <f>IF(A70="","",MAX(E70-G70,0))</f>
        <v/>
      </c>
      <c r="I70" s="68">
        <f>IF(A70="","",IF(F70="","Falta bodega",IF(G70&gt;=E70,"OK",IF(G70&gt;=E70*0.6,"Ajustado","Reponer"))))</f>
        <v/>
      </c>
    </row>
    <row r="71">
      <c r="A71" s="68">
        <f>IF(Maestro_SKU!A71="","",Maestro_SKU!A71)</f>
        <v/>
      </c>
      <c r="B71" s="68">
        <f>IF(A71="","",IFERROR(VLOOKUP(A71,Maestro_SKU!$A$2:$P$500,2,FALSE),""))</f>
        <v/>
      </c>
      <c r="C71" s="68">
        <f>IF(A71="","",SUMIFS(Ventas_SellIn!$Y$2:$Y$800,Ventas_SellIn!$H$2:$H$800,A71,Ventas_SellIn!$B$2:$B$800,"&gt;="&amp;TODAY()-cfg_VentanaDemanda))</f>
        <v/>
      </c>
      <c r="D71" s="68">
        <f>IF(A71="","",C71/cfg_VentanaDemanda)</f>
        <v/>
      </c>
      <c r="E71" s="68">
        <f>IF(A71="","",ROUND(D71*cfg_DiasCobertura*(1+cfg_PctSeguridad),0))</f>
        <v/>
      </c>
      <c r="F71" s="74" t="n"/>
      <c r="G71" s="68">
        <f>IF(A71="","",IF(F71="",0,F71*IFERROR(VLOOKUP(A71,Maestro_SKU!$A$2:$P$500,12,FALSE),1)))</f>
        <v/>
      </c>
      <c r="H71" s="68">
        <f>IF(A71="","",MAX(E71-G71,0))</f>
        <v/>
      </c>
      <c r="I71" s="68">
        <f>IF(A71="","",IF(F71="","Falta bodega",IF(G71&gt;=E71,"OK",IF(G71&gt;=E71*0.6,"Ajustado","Reponer"))))</f>
        <v/>
      </c>
    </row>
    <row r="72">
      <c r="A72" s="68">
        <f>IF(Maestro_SKU!A72="","",Maestro_SKU!A72)</f>
        <v/>
      </c>
      <c r="B72" s="68">
        <f>IF(A72="","",IFERROR(VLOOKUP(A72,Maestro_SKU!$A$2:$P$500,2,FALSE),""))</f>
        <v/>
      </c>
      <c r="C72" s="68">
        <f>IF(A72="","",SUMIFS(Ventas_SellIn!$Y$2:$Y$800,Ventas_SellIn!$H$2:$H$800,A72,Ventas_SellIn!$B$2:$B$800,"&gt;="&amp;TODAY()-cfg_VentanaDemanda))</f>
        <v/>
      </c>
      <c r="D72" s="68">
        <f>IF(A72="","",C72/cfg_VentanaDemanda)</f>
        <v/>
      </c>
      <c r="E72" s="68">
        <f>IF(A72="","",ROUND(D72*cfg_DiasCobertura*(1+cfg_PctSeguridad),0))</f>
        <v/>
      </c>
      <c r="F72" s="74" t="n"/>
      <c r="G72" s="68">
        <f>IF(A72="","",IF(F72="",0,F72*IFERROR(VLOOKUP(A72,Maestro_SKU!$A$2:$P$500,12,FALSE),1)))</f>
        <v/>
      </c>
      <c r="H72" s="68">
        <f>IF(A72="","",MAX(E72-G72,0))</f>
        <v/>
      </c>
      <c r="I72" s="68">
        <f>IF(A72="","",IF(F72="","Falta bodega",IF(G72&gt;=E72,"OK",IF(G72&gt;=E72*0.6,"Ajustado","Reponer"))))</f>
        <v/>
      </c>
    </row>
    <row r="73">
      <c r="A73" s="68">
        <f>IF(Maestro_SKU!A73="","",Maestro_SKU!A73)</f>
        <v/>
      </c>
      <c r="B73" s="68">
        <f>IF(A73="","",IFERROR(VLOOKUP(A73,Maestro_SKU!$A$2:$P$500,2,FALSE),""))</f>
        <v/>
      </c>
      <c r="C73" s="68">
        <f>IF(A73="","",SUMIFS(Ventas_SellIn!$Y$2:$Y$800,Ventas_SellIn!$H$2:$H$800,A73,Ventas_SellIn!$B$2:$B$800,"&gt;="&amp;TODAY()-cfg_VentanaDemanda))</f>
        <v/>
      </c>
      <c r="D73" s="68">
        <f>IF(A73="","",C73/cfg_VentanaDemanda)</f>
        <v/>
      </c>
      <c r="E73" s="68">
        <f>IF(A73="","",ROUND(D73*cfg_DiasCobertura*(1+cfg_PctSeguridad),0))</f>
        <v/>
      </c>
      <c r="F73" s="74" t="n"/>
      <c r="G73" s="68">
        <f>IF(A73="","",IF(F73="",0,F73*IFERROR(VLOOKUP(A73,Maestro_SKU!$A$2:$P$500,12,FALSE),1)))</f>
        <v/>
      </c>
      <c r="H73" s="68">
        <f>IF(A73="","",MAX(E73-G73,0))</f>
        <v/>
      </c>
      <c r="I73" s="68">
        <f>IF(A73="","",IF(F73="","Falta bodega",IF(G73&gt;=E73,"OK",IF(G73&gt;=E73*0.6,"Ajustado","Reponer"))))</f>
        <v/>
      </c>
    </row>
    <row r="74">
      <c r="A74" s="68">
        <f>IF(Maestro_SKU!A74="","",Maestro_SKU!A74)</f>
        <v/>
      </c>
      <c r="B74" s="68">
        <f>IF(A74="","",IFERROR(VLOOKUP(A74,Maestro_SKU!$A$2:$P$500,2,FALSE),""))</f>
        <v/>
      </c>
      <c r="C74" s="68">
        <f>IF(A74="","",SUMIFS(Ventas_SellIn!$Y$2:$Y$800,Ventas_SellIn!$H$2:$H$800,A74,Ventas_SellIn!$B$2:$B$800,"&gt;="&amp;TODAY()-cfg_VentanaDemanda))</f>
        <v/>
      </c>
      <c r="D74" s="68">
        <f>IF(A74="","",C74/cfg_VentanaDemanda)</f>
        <v/>
      </c>
      <c r="E74" s="68">
        <f>IF(A74="","",ROUND(D74*cfg_DiasCobertura*(1+cfg_PctSeguridad),0))</f>
        <v/>
      </c>
      <c r="F74" s="74" t="n"/>
      <c r="G74" s="68">
        <f>IF(A74="","",IF(F74="",0,F74*IFERROR(VLOOKUP(A74,Maestro_SKU!$A$2:$P$500,12,FALSE),1)))</f>
        <v/>
      </c>
      <c r="H74" s="68">
        <f>IF(A74="","",MAX(E74-G74,0))</f>
        <v/>
      </c>
      <c r="I74" s="68">
        <f>IF(A74="","",IF(F74="","Falta bodega",IF(G74&gt;=E74,"OK",IF(G74&gt;=E74*0.6,"Ajustado","Reponer"))))</f>
        <v/>
      </c>
    </row>
    <row r="75">
      <c r="A75" s="68">
        <f>IF(Maestro_SKU!A75="","",Maestro_SKU!A75)</f>
        <v/>
      </c>
      <c r="B75" s="68">
        <f>IF(A75="","",IFERROR(VLOOKUP(A75,Maestro_SKU!$A$2:$P$500,2,FALSE),""))</f>
        <v/>
      </c>
      <c r="C75" s="68">
        <f>IF(A75="","",SUMIFS(Ventas_SellIn!$Y$2:$Y$800,Ventas_SellIn!$H$2:$H$800,A75,Ventas_SellIn!$B$2:$B$800,"&gt;="&amp;TODAY()-cfg_VentanaDemanda))</f>
        <v/>
      </c>
      <c r="D75" s="68">
        <f>IF(A75="","",C75/cfg_VentanaDemanda)</f>
        <v/>
      </c>
      <c r="E75" s="68">
        <f>IF(A75="","",ROUND(D75*cfg_DiasCobertura*(1+cfg_PctSeguridad),0))</f>
        <v/>
      </c>
      <c r="F75" s="74" t="n"/>
      <c r="G75" s="68">
        <f>IF(A75="","",IF(F75="",0,F75*IFERROR(VLOOKUP(A75,Maestro_SKU!$A$2:$P$500,12,FALSE),1)))</f>
        <v/>
      </c>
      <c r="H75" s="68">
        <f>IF(A75="","",MAX(E75-G75,0))</f>
        <v/>
      </c>
      <c r="I75" s="68">
        <f>IF(A75="","",IF(F75="","Falta bodega",IF(G75&gt;=E75,"OK",IF(G75&gt;=E75*0.6,"Ajustado","Reponer"))))</f>
        <v/>
      </c>
    </row>
    <row r="76">
      <c r="A76" s="68">
        <f>IF(Maestro_SKU!A76="","",Maestro_SKU!A76)</f>
        <v/>
      </c>
      <c r="B76" s="68">
        <f>IF(A76="","",IFERROR(VLOOKUP(A76,Maestro_SKU!$A$2:$P$500,2,FALSE),""))</f>
        <v/>
      </c>
      <c r="C76" s="68">
        <f>IF(A76="","",SUMIFS(Ventas_SellIn!$Y$2:$Y$800,Ventas_SellIn!$H$2:$H$800,A76,Ventas_SellIn!$B$2:$B$800,"&gt;="&amp;TODAY()-cfg_VentanaDemanda))</f>
        <v/>
      </c>
      <c r="D76" s="68">
        <f>IF(A76="","",C76/cfg_VentanaDemanda)</f>
        <v/>
      </c>
      <c r="E76" s="68">
        <f>IF(A76="","",ROUND(D76*cfg_DiasCobertura*(1+cfg_PctSeguridad),0))</f>
        <v/>
      </c>
      <c r="F76" s="74" t="n"/>
      <c r="G76" s="68">
        <f>IF(A76="","",IF(F76="",0,F76*IFERROR(VLOOKUP(A76,Maestro_SKU!$A$2:$P$500,12,FALSE),1)))</f>
        <v/>
      </c>
      <c r="H76" s="68">
        <f>IF(A76="","",MAX(E76-G76,0))</f>
        <v/>
      </c>
      <c r="I76" s="68">
        <f>IF(A76="","",IF(F76="","Falta bodega",IF(G76&gt;=E76,"OK",IF(G76&gt;=E76*0.6,"Ajustado","Reponer"))))</f>
        <v/>
      </c>
    </row>
    <row r="77">
      <c r="A77" s="68">
        <f>IF(Maestro_SKU!A77="","",Maestro_SKU!A77)</f>
        <v/>
      </c>
      <c r="B77" s="68">
        <f>IF(A77="","",IFERROR(VLOOKUP(A77,Maestro_SKU!$A$2:$P$500,2,FALSE),""))</f>
        <v/>
      </c>
      <c r="C77" s="68">
        <f>IF(A77="","",SUMIFS(Ventas_SellIn!$Y$2:$Y$800,Ventas_SellIn!$H$2:$H$800,A77,Ventas_SellIn!$B$2:$B$800,"&gt;="&amp;TODAY()-cfg_VentanaDemanda))</f>
        <v/>
      </c>
      <c r="D77" s="68">
        <f>IF(A77="","",C77/cfg_VentanaDemanda)</f>
        <v/>
      </c>
      <c r="E77" s="68">
        <f>IF(A77="","",ROUND(D77*cfg_DiasCobertura*(1+cfg_PctSeguridad),0))</f>
        <v/>
      </c>
      <c r="F77" s="74" t="n"/>
      <c r="G77" s="68">
        <f>IF(A77="","",IF(F77="",0,F77*IFERROR(VLOOKUP(A77,Maestro_SKU!$A$2:$P$500,12,FALSE),1)))</f>
        <v/>
      </c>
      <c r="H77" s="68">
        <f>IF(A77="","",MAX(E77-G77,0))</f>
        <v/>
      </c>
      <c r="I77" s="68">
        <f>IF(A77="","",IF(F77="","Falta bodega",IF(G77&gt;=E77,"OK",IF(G77&gt;=E77*0.6,"Ajustado","Reponer"))))</f>
        <v/>
      </c>
    </row>
    <row r="78">
      <c r="A78" s="68">
        <f>IF(Maestro_SKU!A78="","",Maestro_SKU!A78)</f>
        <v/>
      </c>
      <c r="B78" s="68">
        <f>IF(A78="","",IFERROR(VLOOKUP(A78,Maestro_SKU!$A$2:$P$500,2,FALSE),""))</f>
        <v/>
      </c>
      <c r="C78" s="68">
        <f>IF(A78="","",SUMIFS(Ventas_SellIn!$Y$2:$Y$800,Ventas_SellIn!$H$2:$H$800,A78,Ventas_SellIn!$B$2:$B$800,"&gt;="&amp;TODAY()-cfg_VentanaDemanda))</f>
        <v/>
      </c>
      <c r="D78" s="68">
        <f>IF(A78="","",C78/cfg_VentanaDemanda)</f>
        <v/>
      </c>
      <c r="E78" s="68">
        <f>IF(A78="","",ROUND(D78*cfg_DiasCobertura*(1+cfg_PctSeguridad),0))</f>
        <v/>
      </c>
      <c r="F78" s="74" t="n"/>
      <c r="G78" s="68">
        <f>IF(A78="","",IF(F78="",0,F78*IFERROR(VLOOKUP(A78,Maestro_SKU!$A$2:$P$500,12,FALSE),1)))</f>
        <v/>
      </c>
      <c r="H78" s="68">
        <f>IF(A78="","",MAX(E78-G78,0))</f>
        <v/>
      </c>
      <c r="I78" s="68">
        <f>IF(A78="","",IF(F78="","Falta bodega",IF(G78&gt;=E78,"OK",IF(G78&gt;=E78*0.6,"Ajustado","Reponer"))))</f>
        <v/>
      </c>
    </row>
    <row r="79">
      <c r="A79" s="68">
        <f>IF(Maestro_SKU!A79="","",Maestro_SKU!A79)</f>
        <v/>
      </c>
      <c r="B79" s="68">
        <f>IF(A79="","",IFERROR(VLOOKUP(A79,Maestro_SKU!$A$2:$P$500,2,FALSE),""))</f>
        <v/>
      </c>
      <c r="C79" s="68">
        <f>IF(A79="","",SUMIFS(Ventas_SellIn!$Y$2:$Y$800,Ventas_SellIn!$H$2:$H$800,A79,Ventas_SellIn!$B$2:$B$800,"&gt;="&amp;TODAY()-cfg_VentanaDemanda))</f>
        <v/>
      </c>
      <c r="D79" s="68">
        <f>IF(A79="","",C79/cfg_VentanaDemanda)</f>
        <v/>
      </c>
      <c r="E79" s="68">
        <f>IF(A79="","",ROUND(D79*cfg_DiasCobertura*(1+cfg_PctSeguridad),0))</f>
        <v/>
      </c>
      <c r="F79" s="74" t="n"/>
      <c r="G79" s="68">
        <f>IF(A79="","",IF(F79="",0,F79*IFERROR(VLOOKUP(A79,Maestro_SKU!$A$2:$P$500,12,FALSE),1)))</f>
        <v/>
      </c>
      <c r="H79" s="68">
        <f>IF(A79="","",MAX(E79-G79,0))</f>
        <v/>
      </c>
      <c r="I79" s="68">
        <f>IF(A79="","",IF(F79="","Falta bodega",IF(G79&gt;=E79,"OK",IF(G79&gt;=E79*0.6,"Ajustado","Reponer"))))</f>
        <v/>
      </c>
    </row>
    <row r="80">
      <c r="A80" s="68">
        <f>IF(Maestro_SKU!A80="","",Maestro_SKU!A80)</f>
        <v/>
      </c>
      <c r="B80" s="68">
        <f>IF(A80="","",IFERROR(VLOOKUP(A80,Maestro_SKU!$A$2:$P$500,2,FALSE),""))</f>
        <v/>
      </c>
      <c r="C80" s="68">
        <f>IF(A80="","",SUMIFS(Ventas_SellIn!$Y$2:$Y$800,Ventas_SellIn!$H$2:$H$800,A80,Ventas_SellIn!$B$2:$B$800,"&gt;="&amp;TODAY()-cfg_VentanaDemanda))</f>
        <v/>
      </c>
      <c r="D80" s="68">
        <f>IF(A80="","",C80/cfg_VentanaDemanda)</f>
        <v/>
      </c>
      <c r="E80" s="68">
        <f>IF(A80="","",ROUND(D80*cfg_DiasCobertura*(1+cfg_PctSeguridad),0))</f>
        <v/>
      </c>
      <c r="F80" s="74" t="n"/>
      <c r="G80" s="68">
        <f>IF(A80="","",IF(F80="",0,F80*IFERROR(VLOOKUP(A80,Maestro_SKU!$A$2:$P$500,12,FALSE),1)))</f>
        <v/>
      </c>
      <c r="H80" s="68">
        <f>IF(A80="","",MAX(E80-G80,0))</f>
        <v/>
      </c>
      <c r="I80" s="68">
        <f>IF(A80="","",IF(F80="","Falta bodega",IF(G80&gt;=E80,"OK",IF(G80&gt;=E80*0.6,"Ajustado","Reponer"))))</f>
        <v/>
      </c>
    </row>
    <row r="81">
      <c r="A81" s="68">
        <f>IF(Maestro_SKU!A81="","",Maestro_SKU!A81)</f>
        <v/>
      </c>
      <c r="B81" s="68">
        <f>IF(A81="","",IFERROR(VLOOKUP(A81,Maestro_SKU!$A$2:$P$500,2,FALSE),""))</f>
        <v/>
      </c>
      <c r="C81" s="68">
        <f>IF(A81="","",SUMIFS(Ventas_SellIn!$Y$2:$Y$800,Ventas_SellIn!$H$2:$H$800,A81,Ventas_SellIn!$B$2:$B$800,"&gt;="&amp;TODAY()-cfg_VentanaDemanda))</f>
        <v/>
      </c>
      <c r="D81" s="68">
        <f>IF(A81="","",C81/cfg_VentanaDemanda)</f>
        <v/>
      </c>
      <c r="E81" s="68">
        <f>IF(A81="","",ROUND(D81*cfg_DiasCobertura*(1+cfg_PctSeguridad),0))</f>
        <v/>
      </c>
      <c r="F81" s="74" t="n"/>
      <c r="G81" s="68">
        <f>IF(A81="","",IF(F81="",0,F81*IFERROR(VLOOKUP(A81,Maestro_SKU!$A$2:$P$500,12,FALSE),1)))</f>
        <v/>
      </c>
      <c r="H81" s="68">
        <f>IF(A81="","",MAX(E81-G81,0))</f>
        <v/>
      </c>
      <c r="I81" s="68">
        <f>IF(A81="","",IF(F81="","Falta bodega",IF(G81&gt;=E81,"OK",IF(G81&gt;=E81*0.6,"Ajustado","Reponer"))))</f>
        <v/>
      </c>
    </row>
  </sheetData>
  <autoFilter ref="A1:I81"/>
  <conditionalFormatting sqref="I2:I81">
    <cfRule type="cellIs" priority="1" operator="equal" dxfId="11">
      <formula>"Reponer"</formula>
    </cfRule>
    <cfRule type="cellIs" priority="2" operator="equal" dxfId="12">
      <formula>"Ajustado"</formula>
    </cfRule>
    <cfRule type="cellIs" priority="3" operator="equal" dxfId="13">
      <formula>"OK"</formula>
    </cfRule>
  </conditionalFormatting>
  <hyperlinks>
    <hyperlink xmlns:r="http://schemas.openxmlformats.org/officeDocument/2006/relationships" ref="K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7A3B61"/>
    <outlinePr summaryBelow="1" summaryRight="1"/>
    <pageSetUpPr/>
  </sheetPr>
  <dimension ref="A1:T250"/>
  <sheetViews>
    <sheetView showGridLines="0" tabSelected="1" workbookViewId="0">
      <pane ySplit="1" topLeftCell="A2" activePane="bottomLeft" state="frozen"/>
      <selection pane="bottomLeft" activeCell="E20" sqref="E20"/>
    </sheetView>
  </sheetViews>
  <sheetFormatPr baseColWidth="10" defaultColWidth="8.7265625" defaultRowHeight="14.5"/>
  <cols>
    <col width="12" customWidth="1" style="36" min="1" max="1"/>
    <col width="16" customWidth="1" style="36" min="2" max="2"/>
    <col width="15" customWidth="1" style="36" min="3" max="3"/>
    <col width="24" customWidth="1" style="36" min="4" max="4"/>
    <col hidden="1" outlineLevel="1" width="14" customWidth="1" style="36" min="5" max="5"/>
    <col hidden="1" outlineLevel="1" width="13" customWidth="1" style="36" min="6" max="7"/>
    <col hidden="1" outlineLevel="1" width="13" customWidth="1" style="36" min="7" max="7"/>
    <col width="14" customWidth="1" style="36" min="8" max="8"/>
    <col hidden="1" outlineLevel="1" width="16" customWidth="1" style="36" min="9" max="10"/>
    <col hidden="1" outlineLevel="1" width="13" customWidth="1" style="36" min="10" max="10"/>
    <col width="14" customWidth="1" style="36" min="11" max="12"/>
    <col hidden="1" outlineLevel="1" width="13" customWidth="1" style="36" min="12" max="12"/>
    <col hidden="1" outlineLevel="1" width="15" customWidth="1" style="36" min="13" max="13"/>
    <col width="16" customWidth="1" style="36" min="14" max="14"/>
    <col hidden="1" outlineLevel="1" width="14" customWidth="1" style="36" min="15" max="17"/>
    <col width="20" customWidth="1" style="36" min="18" max="18"/>
  </cols>
  <sheetData>
    <row r="1" ht="28" customHeight="1" s="36">
      <c r="A1" s="10" t="inlineStr">
        <is>
          <t>PDV_ID</t>
        </is>
      </c>
      <c r="B1" s="10" t="inlineStr">
        <is>
          <t>Cliente</t>
        </is>
      </c>
      <c r="C1" s="10" t="inlineStr">
        <is>
          <t>Canal</t>
        </is>
      </c>
      <c r="D1" s="10" t="inlineStr">
        <is>
          <t>Punto de venta</t>
        </is>
      </c>
      <c r="E1" s="10" t="inlineStr">
        <is>
          <t>Frecuencia</t>
        </is>
      </c>
      <c r="F1" s="10" t="inlineStr">
        <is>
          <t>Última visita</t>
        </is>
      </c>
      <c r="G1" s="10" t="inlineStr">
        <is>
          <t>Días sin visita</t>
        </is>
      </c>
      <c r="H1" s="10" t="inlineStr">
        <is>
          <t>Estado visita</t>
        </is>
      </c>
      <c r="I1" s="10" t="inlineStr">
        <is>
          <t>Venta sell-in 30d neta</t>
        </is>
      </c>
      <c r="J1" s="10" t="inlineStr">
        <is>
          <t>Sell-out 30d unid. opcional</t>
        </is>
      </c>
      <c r="K1" s="10" t="inlineStr">
        <is>
          <t>Estado venta</t>
        </is>
      </c>
      <c r="L1" s="10" t="inlineStr">
        <is>
          <t>Facturas pendientes</t>
        </is>
      </c>
      <c r="M1" s="10" t="inlineStr">
        <is>
          <t>Monto pendiente</t>
        </is>
      </c>
      <c r="N1" s="10" t="inlineStr">
        <is>
          <t>Estado pago</t>
        </is>
      </c>
      <c r="O1" s="10" t="inlineStr">
        <is>
          <t>Stock PDV barras</t>
        </is>
      </c>
      <c r="P1" s="10" t="inlineStr">
        <is>
          <t>Estado stock</t>
        </is>
      </c>
      <c r="Q1" s="10" t="inlineStr">
        <is>
          <t>Prioridad lunes</t>
        </is>
      </c>
      <c r="R1" s="10" t="inlineStr">
        <is>
          <t>Acción sugerida</t>
        </is>
      </c>
      <c r="S1" s="67" t="inlineStr">
        <is>
          <t>Rotación</t>
        </is>
      </c>
      <c r="T1" s="47" t="inlineStr">
        <is>
          <t>⚙ Configuración</t>
        </is>
      </c>
    </row>
    <row r="2" ht="20" customHeight="1" s="36">
      <c r="A2" s="48">
        <f>IF(Clientes_PDV!A2="","",Clientes_PDV!A2)</f>
        <v/>
      </c>
      <c r="B2" s="48">
        <f>IF(A2="","",IFERROR(VLOOKUP(A2,Clientes_PDV!$A$2:$J$250,2,FALSE),""))</f>
        <v/>
      </c>
      <c r="C2" s="48">
        <f>IF(A2="","",IFERROR(VLOOKUP(A2,Clientes_PDV!$A$2:$J$250,3,FALSE),""))</f>
        <v/>
      </c>
      <c r="D2" s="48">
        <f>IF(A2="","",IFERROR(VLOOKUP(A2,Clientes_PDV!$A$2:$J$250,4,FALSE),""))</f>
        <v/>
      </c>
      <c r="E2" s="48">
        <f>IF(A2="","",IFERROR(VLOOKUP(A2,Clientes_PDV!$A$2:$J$250,7,FALSE),""))</f>
        <v/>
      </c>
      <c r="F2" s="49">
        <f>IF(A2="","",IFERROR(VLOOKUP(A2,Clientes_PDV!$A$2:$J$250,8,FALSE),""))</f>
        <v/>
      </c>
      <c r="G2" s="50">
        <f>IF(F2="","",TODAY()-F2)</f>
        <v/>
      </c>
      <c r="H2" s="48">
        <f>IF(A2="","",IF(F2="","Sin visita",IF(G2&lt;=IFERROR(VLOOKUP(E2,Inicio!$A$24:$B$26,2,FALSE),0),"Vigente","Atrasado")))</f>
        <v/>
      </c>
      <c r="I2" s="51">
        <f>IF(A2="","",SUMIFS(Ventas_SellIn!$L$2:$L$800,Ventas_SellIn!$D$2:$D$800,A2,Ventas_SellIn!$B$2:$B$800,"&gt;="&amp;TODAY()-Inicio!$B$14))</f>
        <v/>
      </c>
      <c r="J2" s="50">
        <f>IF(A2="","",SUMIFS(SellOut_Jumbo!$F$2:$F$800,SellOut_Jumbo!$C$2:$C$800,D2,SellOut_Jumbo!$A$2:$A$800,"&gt;="&amp;TODAY()-Inicio!$B$14))</f>
        <v/>
      </c>
      <c r="K2" s="48">
        <f>IF(A2="","",IF(I2=0,"Sin venta",IF(I2&lt;Inicio!$B$15,"Venta baja","Venta OK")))</f>
        <v/>
      </c>
      <c r="L2" s="50">
        <f>IF(A2="","",COUNTIFS(Ventas_SellIn!$D$2:$D$800,A2,Ventas_SellIn!$R$2:$R$800,"&gt;0"))</f>
        <v/>
      </c>
      <c r="M2" s="51">
        <f>IF(A2="","",SUMIFS(Ventas_SellIn!$R$2:$R$800,Ventas_SellIn!$D$2:$D$800,A2))</f>
        <v/>
      </c>
      <c r="N2" s="48">
        <f>IF(A2="","",IF(M2&gt;=Inicio!$B$18,"Pendiente relevante",IF(M2&gt;0,"Pendiente menor","Sin deuda")))</f>
        <v/>
      </c>
      <c r="O2" s="50">
        <f>IF(A2="","",SUMIFS(Stock_PDV!$H$2:$H$800,Stock_PDV!$A$2:$A$800,A2))</f>
        <v/>
      </c>
      <c r="P2" s="48">
        <f>IF(A2="","",IF(O2&lt;=Inicio!$B$16,"Crítico",IF(O2&lt;=Inicio!$B$17,"Observar","OK")))</f>
        <v/>
      </c>
      <c r="Q2" s="48">
        <f>IF(A2="","",IF(OR(H2="Atrasado",K2="Sin venta",N2="Pendiente relevante",P2="Crítico"),"Alta",IF(OR(K2="Venta baja",N2="Pendiente menor",P2="Observar"),"Media","Baja")))</f>
        <v/>
      </c>
      <c r="R2" s="48">
        <f>IF(A2="","",IF(Q2="Alta","Gestionar esta semana",IF(Q2="Media","Hacer seguimiento","Mantener")))</f>
        <v/>
      </c>
      <c r="S2" s="68">
        <f>IF(A2="","",IF(I2=0,"Sin venta",IF(I2&gt;=cfg_VentaAlta,"Alta",IF(I2&lt;cfg_VentaBaja,"Baja","Media"))))</f>
        <v/>
      </c>
    </row>
    <row r="3" ht="20" customHeight="1" s="36">
      <c r="A3" s="48">
        <f>IF(Clientes_PDV!A3="","",Clientes_PDV!A3)</f>
        <v/>
      </c>
      <c r="B3" s="48">
        <f>IF(A3="","",IFERROR(VLOOKUP(A3,Clientes_PDV!$A$2:$J$250,2,FALSE),""))</f>
        <v/>
      </c>
      <c r="C3" s="48">
        <f>IF(A3="","",IFERROR(VLOOKUP(A3,Clientes_PDV!$A$2:$J$250,3,FALSE),""))</f>
        <v/>
      </c>
      <c r="D3" s="48">
        <f>IF(A3="","",IFERROR(VLOOKUP(A3,Clientes_PDV!$A$2:$J$250,4,FALSE),""))</f>
        <v/>
      </c>
      <c r="E3" s="48">
        <f>IF(A3="","",IFERROR(VLOOKUP(A3,Clientes_PDV!$A$2:$J$250,7,FALSE),""))</f>
        <v/>
      </c>
      <c r="F3" s="49">
        <f>IF(A3="","",IFERROR(VLOOKUP(A3,Clientes_PDV!$A$2:$J$250,8,FALSE),""))</f>
        <v/>
      </c>
      <c r="G3" s="50">
        <f>IF(F3="","",TODAY()-F3)</f>
        <v/>
      </c>
      <c r="H3" s="48">
        <f>IF(A3="","",IF(F3="","Sin visita",IF(G3&lt;=IFERROR(VLOOKUP(E3,Inicio!$A$24:$B$26,2,FALSE),0),"Vigente","Atrasado")))</f>
        <v/>
      </c>
      <c r="I3" s="51">
        <f>IF(A3="","",SUMIFS(Ventas_SellIn!$L$2:$L$800,Ventas_SellIn!$D$2:$D$800,A3,Ventas_SellIn!$B$2:$B$800,"&gt;="&amp;TODAY()-Inicio!$B$14))</f>
        <v/>
      </c>
      <c r="J3" s="50">
        <f>IF(A3="","",SUMIFS(SellOut_Jumbo!$F$2:$F$800,SellOut_Jumbo!$C$2:$C$800,D3,SellOut_Jumbo!$A$2:$A$800,"&gt;="&amp;TODAY()-Inicio!$B$14))</f>
        <v/>
      </c>
      <c r="K3" s="48">
        <f>IF(A3="","",IF(I3=0,"Sin venta",IF(I3&lt;Inicio!$B$15,"Venta baja","Venta OK")))</f>
        <v/>
      </c>
      <c r="L3" s="50">
        <f>IF(A3="","",COUNTIFS(Ventas_SellIn!$D$2:$D$800,A3,Ventas_SellIn!$R$2:$R$800,"&gt;0"))</f>
        <v/>
      </c>
      <c r="M3" s="51">
        <f>IF(A3="","",SUMIFS(Ventas_SellIn!$R$2:$R$800,Ventas_SellIn!$D$2:$D$800,A3))</f>
        <v/>
      </c>
      <c r="N3" s="48">
        <f>IF(A3="","",IF(M3&gt;=Inicio!$B$18,"Pendiente relevante",IF(M3&gt;0,"Pendiente menor","Sin deuda")))</f>
        <v/>
      </c>
      <c r="O3" s="50">
        <f>IF(A3="","",SUMIFS(Stock_PDV!$H$2:$H$800,Stock_PDV!$A$2:$A$800,A3))</f>
        <v/>
      </c>
      <c r="P3" s="48">
        <f>IF(A3="","",IF(O3&lt;=Inicio!$B$16,"Crítico",IF(O3&lt;=Inicio!$B$17,"Observar","OK")))</f>
        <v/>
      </c>
      <c r="Q3" s="48">
        <f>IF(A3="","",IF(OR(H3="Atrasado",K3="Sin venta",N3="Pendiente relevante",P3="Crítico"),"Alta",IF(OR(K3="Venta baja",N3="Pendiente menor",P3="Observar"),"Media","Baja")))</f>
        <v/>
      </c>
      <c r="R3" s="48">
        <f>IF(A3="","",IF(Q3="Alta","Gestionar esta semana",IF(Q3="Media","Hacer seguimiento","Mantener")))</f>
        <v/>
      </c>
      <c r="S3" s="68">
        <f>IF(A3="","",IF(I3=0,"Sin venta",IF(I3&gt;=cfg_VentaAlta,"Alta",IF(I3&lt;cfg_VentaBaja,"Baja","Media"))))</f>
        <v/>
      </c>
    </row>
    <row r="4" ht="20" customHeight="1" s="36">
      <c r="A4" s="48">
        <f>IF(Clientes_PDV!A4="","",Clientes_PDV!A4)</f>
        <v/>
      </c>
      <c r="B4" s="48">
        <f>IF(A4="","",IFERROR(VLOOKUP(A4,Clientes_PDV!$A$2:$J$250,2,FALSE),""))</f>
        <v/>
      </c>
      <c r="C4" s="48">
        <f>IF(A4="","",IFERROR(VLOOKUP(A4,Clientes_PDV!$A$2:$J$250,3,FALSE),""))</f>
        <v/>
      </c>
      <c r="D4" s="48">
        <f>IF(A4="","",IFERROR(VLOOKUP(A4,Clientes_PDV!$A$2:$J$250,4,FALSE),""))</f>
        <v/>
      </c>
      <c r="E4" s="48">
        <f>IF(A4="","",IFERROR(VLOOKUP(A4,Clientes_PDV!$A$2:$J$250,7,FALSE),""))</f>
        <v/>
      </c>
      <c r="F4" s="49">
        <f>IF(A4="","",IFERROR(VLOOKUP(A4,Clientes_PDV!$A$2:$J$250,8,FALSE),""))</f>
        <v/>
      </c>
      <c r="G4" s="50">
        <f>IF(F4="","",TODAY()-F4)</f>
        <v/>
      </c>
      <c r="H4" s="48">
        <f>IF(A4="","",IF(F4="","Sin visita",IF(G4&lt;=IFERROR(VLOOKUP(E4,Inicio!$A$24:$B$26,2,FALSE),0),"Vigente","Atrasado")))</f>
        <v/>
      </c>
      <c r="I4" s="51">
        <f>IF(A4="","",SUMIFS(Ventas_SellIn!$L$2:$L$800,Ventas_SellIn!$D$2:$D$800,A4,Ventas_SellIn!$B$2:$B$800,"&gt;="&amp;TODAY()-Inicio!$B$14))</f>
        <v/>
      </c>
      <c r="J4" s="50">
        <f>IF(A4="","",SUMIFS(SellOut_Jumbo!$F$2:$F$800,SellOut_Jumbo!$C$2:$C$800,D4,SellOut_Jumbo!$A$2:$A$800,"&gt;="&amp;TODAY()-Inicio!$B$14))</f>
        <v/>
      </c>
      <c r="K4" s="48">
        <f>IF(A4="","",IF(I4=0,"Sin venta",IF(I4&lt;Inicio!$B$15,"Venta baja","Venta OK")))</f>
        <v/>
      </c>
      <c r="L4" s="50">
        <f>IF(A4="","",COUNTIFS(Ventas_SellIn!$D$2:$D$800,A4,Ventas_SellIn!$R$2:$R$800,"&gt;0"))</f>
        <v/>
      </c>
      <c r="M4" s="51">
        <f>IF(A4="","",SUMIFS(Ventas_SellIn!$R$2:$R$800,Ventas_SellIn!$D$2:$D$800,A4))</f>
        <v/>
      </c>
      <c r="N4" s="48">
        <f>IF(A4="","",IF(M4&gt;=Inicio!$B$18,"Pendiente relevante",IF(M4&gt;0,"Pendiente menor","Sin deuda")))</f>
        <v/>
      </c>
      <c r="O4" s="50">
        <f>IF(A4="","",SUMIFS(Stock_PDV!$H$2:$H$800,Stock_PDV!$A$2:$A$800,A4))</f>
        <v/>
      </c>
      <c r="P4" s="48">
        <f>IF(A4="","",IF(O4&lt;=Inicio!$B$16,"Crítico",IF(O4&lt;=Inicio!$B$17,"Observar","OK")))</f>
        <v/>
      </c>
      <c r="Q4" s="48">
        <f>IF(A4="","",IF(OR(H4="Atrasado",K4="Sin venta",N4="Pendiente relevante",P4="Crítico"),"Alta",IF(OR(K4="Venta baja",N4="Pendiente menor",P4="Observar"),"Media","Baja")))</f>
        <v/>
      </c>
      <c r="R4" s="48">
        <f>IF(A4="","",IF(Q4="Alta","Gestionar esta semana",IF(Q4="Media","Hacer seguimiento","Mantener")))</f>
        <v/>
      </c>
      <c r="S4" s="68">
        <f>IF(A4="","",IF(I4=0,"Sin venta",IF(I4&gt;=cfg_VentaAlta,"Alta",IF(I4&lt;cfg_VentaBaja,"Baja","Media"))))</f>
        <v/>
      </c>
    </row>
    <row r="5" ht="20" customHeight="1" s="36">
      <c r="A5" s="48">
        <f>IF(Clientes_PDV!A5="","",Clientes_PDV!A5)</f>
        <v/>
      </c>
      <c r="B5" s="48">
        <f>IF(A5="","",IFERROR(VLOOKUP(A5,Clientes_PDV!$A$2:$J$250,2,FALSE),""))</f>
        <v/>
      </c>
      <c r="C5" s="48">
        <f>IF(A5="","",IFERROR(VLOOKUP(A5,Clientes_PDV!$A$2:$J$250,3,FALSE),""))</f>
        <v/>
      </c>
      <c r="D5" s="48">
        <f>IF(A5="","",IFERROR(VLOOKUP(A5,Clientes_PDV!$A$2:$J$250,4,FALSE),""))</f>
        <v/>
      </c>
      <c r="E5" s="48">
        <f>IF(A5="","",IFERROR(VLOOKUP(A5,Clientes_PDV!$A$2:$J$250,7,FALSE),""))</f>
        <v/>
      </c>
      <c r="F5" s="49">
        <f>IF(A5="","",IFERROR(VLOOKUP(A5,Clientes_PDV!$A$2:$J$250,8,FALSE),""))</f>
        <v/>
      </c>
      <c r="G5" s="50">
        <f>IF(F5="","",TODAY()-F5)</f>
        <v/>
      </c>
      <c r="H5" s="48">
        <f>IF(A5="","",IF(F5="","Sin visita",IF(G5&lt;=IFERROR(VLOOKUP(E5,Inicio!$A$24:$B$26,2,FALSE),0),"Vigente","Atrasado")))</f>
        <v/>
      </c>
      <c r="I5" s="51">
        <f>IF(A5="","",SUMIFS(Ventas_SellIn!$L$2:$L$800,Ventas_SellIn!$D$2:$D$800,A5,Ventas_SellIn!$B$2:$B$800,"&gt;="&amp;TODAY()-Inicio!$B$14))</f>
        <v/>
      </c>
      <c r="J5" s="50">
        <f>IF(A5="","",SUMIFS(SellOut_Jumbo!$F$2:$F$800,SellOut_Jumbo!$C$2:$C$800,D5,SellOut_Jumbo!$A$2:$A$800,"&gt;="&amp;TODAY()-Inicio!$B$14))</f>
        <v/>
      </c>
      <c r="K5" s="48">
        <f>IF(A5="","",IF(I5=0,"Sin venta",IF(I5&lt;Inicio!$B$15,"Venta baja","Venta OK")))</f>
        <v/>
      </c>
      <c r="L5" s="50">
        <f>IF(A5="","",COUNTIFS(Ventas_SellIn!$D$2:$D$800,A5,Ventas_SellIn!$R$2:$R$800,"&gt;0"))</f>
        <v/>
      </c>
      <c r="M5" s="51">
        <f>IF(A5="","",SUMIFS(Ventas_SellIn!$R$2:$R$800,Ventas_SellIn!$D$2:$D$800,A5))</f>
        <v/>
      </c>
      <c r="N5" s="48">
        <f>IF(A5="","",IF(M5&gt;=Inicio!$B$18,"Pendiente relevante",IF(M5&gt;0,"Pendiente menor","Sin deuda")))</f>
        <v/>
      </c>
      <c r="O5" s="50">
        <f>IF(A5="","",SUMIFS(Stock_PDV!$H$2:$H$800,Stock_PDV!$A$2:$A$800,A5))</f>
        <v/>
      </c>
      <c r="P5" s="48">
        <f>IF(A5="","",IF(O5&lt;=Inicio!$B$16,"Crítico",IF(O5&lt;=Inicio!$B$17,"Observar","OK")))</f>
        <v/>
      </c>
      <c r="Q5" s="48">
        <f>IF(A5="","",IF(OR(H5="Atrasado",K5="Sin venta",N5="Pendiente relevante",P5="Crítico"),"Alta",IF(OR(K5="Venta baja",N5="Pendiente menor",P5="Observar"),"Media","Baja")))</f>
        <v/>
      </c>
      <c r="R5" s="48">
        <f>IF(A5="","",IF(Q5="Alta","Gestionar esta semana",IF(Q5="Media","Hacer seguimiento","Mantener")))</f>
        <v/>
      </c>
      <c r="S5" s="68">
        <f>IF(A5="","",IF(I5=0,"Sin venta",IF(I5&gt;=cfg_VentaAlta,"Alta",IF(I5&lt;cfg_VentaBaja,"Baja","Media"))))</f>
        <v/>
      </c>
    </row>
    <row r="6" ht="20" customHeight="1" s="36">
      <c r="A6" s="48">
        <f>IF(Clientes_PDV!A6="","",Clientes_PDV!A6)</f>
        <v/>
      </c>
      <c r="B6" s="48">
        <f>IF(A6="","",IFERROR(VLOOKUP(A6,Clientes_PDV!$A$2:$J$250,2,FALSE),""))</f>
        <v/>
      </c>
      <c r="C6" s="48">
        <f>IF(A6="","",IFERROR(VLOOKUP(A6,Clientes_PDV!$A$2:$J$250,3,FALSE),""))</f>
        <v/>
      </c>
      <c r="D6" s="48">
        <f>IF(A6="","",IFERROR(VLOOKUP(A6,Clientes_PDV!$A$2:$J$250,4,FALSE),""))</f>
        <v/>
      </c>
      <c r="E6" s="48">
        <f>IF(A6="","",IFERROR(VLOOKUP(A6,Clientes_PDV!$A$2:$J$250,7,FALSE),""))</f>
        <v/>
      </c>
      <c r="F6" s="49">
        <f>IF(A6="","",IFERROR(VLOOKUP(A6,Clientes_PDV!$A$2:$J$250,8,FALSE),""))</f>
        <v/>
      </c>
      <c r="G6" s="50">
        <f>IF(F6="","",TODAY()-F6)</f>
        <v/>
      </c>
      <c r="H6" s="48">
        <f>IF(A6="","",IF(F6="","Sin visita",IF(G6&lt;=IFERROR(VLOOKUP(E6,Inicio!$A$24:$B$26,2,FALSE),0),"Vigente","Atrasado")))</f>
        <v/>
      </c>
      <c r="I6" s="51">
        <f>IF(A6="","",SUMIFS(Ventas_SellIn!$L$2:$L$800,Ventas_SellIn!$D$2:$D$800,A6,Ventas_SellIn!$B$2:$B$800,"&gt;="&amp;TODAY()-Inicio!$B$14))</f>
        <v/>
      </c>
      <c r="J6" s="50">
        <f>IF(A6="","",SUMIFS(SellOut_Jumbo!$F$2:$F$800,SellOut_Jumbo!$C$2:$C$800,D6,SellOut_Jumbo!$A$2:$A$800,"&gt;="&amp;TODAY()-Inicio!$B$14))</f>
        <v/>
      </c>
      <c r="K6" s="48">
        <f>IF(A6="","",IF(I6=0,"Sin venta",IF(I6&lt;Inicio!$B$15,"Venta baja","Venta OK")))</f>
        <v/>
      </c>
      <c r="L6" s="50">
        <f>IF(A6="","",COUNTIFS(Ventas_SellIn!$D$2:$D$800,A6,Ventas_SellIn!$R$2:$R$800,"&gt;0"))</f>
        <v/>
      </c>
      <c r="M6" s="51">
        <f>IF(A6="","",SUMIFS(Ventas_SellIn!$R$2:$R$800,Ventas_SellIn!$D$2:$D$800,A6))</f>
        <v/>
      </c>
      <c r="N6" s="48">
        <f>IF(A6="","",IF(M6&gt;=Inicio!$B$18,"Pendiente relevante",IF(M6&gt;0,"Pendiente menor","Sin deuda")))</f>
        <v/>
      </c>
      <c r="O6" s="50">
        <f>IF(A6="","",SUMIFS(Stock_PDV!$H$2:$H$800,Stock_PDV!$A$2:$A$800,A6))</f>
        <v/>
      </c>
      <c r="P6" s="48">
        <f>IF(A6="","",IF(O6&lt;=Inicio!$B$16,"Crítico",IF(O6&lt;=Inicio!$B$17,"Observar","OK")))</f>
        <v/>
      </c>
      <c r="Q6" s="48">
        <f>IF(A6="","",IF(OR(H6="Atrasado",K6="Sin venta",N6="Pendiente relevante",P6="Crítico"),"Alta",IF(OR(K6="Venta baja",N6="Pendiente menor",P6="Observar"),"Media","Baja")))</f>
        <v/>
      </c>
      <c r="R6" s="48">
        <f>IF(A6="","",IF(Q6="Alta","Gestionar esta semana",IF(Q6="Media","Hacer seguimiento","Mantener")))</f>
        <v/>
      </c>
      <c r="S6" s="68">
        <f>IF(A6="","",IF(I6=0,"Sin venta",IF(I6&gt;=cfg_VentaAlta,"Alta",IF(I6&lt;cfg_VentaBaja,"Baja","Media"))))</f>
        <v/>
      </c>
    </row>
    <row r="7" ht="20" customHeight="1" s="36">
      <c r="A7" s="48">
        <f>IF(Clientes_PDV!A7="","",Clientes_PDV!A7)</f>
        <v/>
      </c>
      <c r="B7" s="48">
        <f>IF(A7="","",IFERROR(VLOOKUP(A7,Clientes_PDV!$A$2:$J$250,2,FALSE),""))</f>
        <v/>
      </c>
      <c r="C7" s="48">
        <f>IF(A7="","",IFERROR(VLOOKUP(A7,Clientes_PDV!$A$2:$J$250,3,FALSE),""))</f>
        <v/>
      </c>
      <c r="D7" s="48">
        <f>IF(A7="","",IFERROR(VLOOKUP(A7,Clientes_PDV!$A$2:$J$250,4,FALSE),""))</f>
        <v/>
      </c>
      <c r="E7" s="48">
        <f>IF(A7="","",IFERROR(VLOOKUP(A7,Clientes_PDV!$A$2:$J$250,7,FALSE),""))</f>
        <v/>
      </c>
      <c r="F7" s="49">
        <f>IF(A7="","",IFERROR(VLOOKUP(A7,Clientes_PDV!$A$2:$J$250,8,FALSE),""))</f>
        <v/>
      </c>
      <c r="G7" s="50">
        <f>IF(F7="","",TODAY()-F7)</f>
        <v/>
      </c>
      <c r="H7" s="48">
        <f>IF(A7="","",IF(F7="","Sin visita",IF(G7&lt;=IFERROR(VLOOKUP(E7,Inicio!$A$24:$B$26,2,FALSE),0),"Vigente","Atrasado")))</f>
        <v/>
      </c>
      <c r="I7" s="51">
        <f>IF(A7="","",SUMIFS(Ventas_SellIn!$L$2:$L$800,Ventas_SellIn!$D$2:$D$800,A7,Ventas_SellIn!$B$2:$B$800,"&gt;="&amp;TODAY()-Inicio!$B$14))</f>
        <v/>
      </c>
      <c r="J7" s="50">
        <f>IF(A7="","",SUMIFS(SellOut_Jumbo!$F$2:$F$800,SellOut_Jumbo!$C$2:$C$800,D7,SellOut_Jumbo!$A$2:$A$800,"&gt;="&amp;TODAY()-Inicio!$B$14))</f>
        <v/>
      </c>
      <c r="K7" s="48">
        <f>IF(A7="","",IF(I7=0,"Sin venta",IF(I7&lt;Inicio!$B$15,"Venta baja","Venta OK")))</f>
        <v/>
      </c>
      <c r="L7" s="50">
        <f>IF(A7="","",COUNTIFS(Ventas_SellIn!$D$2:$D$800,A7,Ventas_SellIn!$R$2:$R$800,"&gt;0"))</f>
        <v/>
      </c>
      <c r="M7" s="51">
        <f>IF(A7="","",SUMIFS(Ventas_SellIn!$R$2:$R$800,Ventas_SellIn!$D$2:$D$800,A7))</f>
        <v/>
      </c>
      <c r="N7" s="48">
        <f>IF(A7="","",IF(M7&gt;=Inicio!$B$18,"Pendiente relevante",IF(M7&gt;0,"Pendiente menor","Sin deuda")))</f>
        <v/>
      </c>
      <c r="O7" s="50">
        <f>IF(A7="","",SUMIFS(Stock_PDV!$H$2:$H$800,Stock_PDV!$A$2:$A$800,A7))</f>
        <v/>
      </c>
      <c r="P7" s="48">
        <f>IF(A7="","",IF(O7&lt;=Inicio!$B$16,"Crítico",IF(O7&lt;=Inicio!$B$17,"Observar","OK")))</f>
        <v/>
      </c>
      <c r="Q7" s="48">
        <f>IF(A7="","",IF(OR(H7="Atrasado",K7="Sin venta",N7="Pendiente relevante",P7="Crítico"),"Alta",IF(OR(K7="Venta baja",N7="Pendiente menor",P7="Observar"),"Media","Baja")))</f>
        <v/>
      </c>
      <c r="R7" s="48">
        <f>IF(A7="","",IF(Q7="Alta","Gestionar esta semana",IF(Q7="Media","Hacer seguimiento","Mantener")))</f>
        <v/>
      </c>
      <c r="S7" s="68">
        <f>IF(A7="","",IF(I7=0,"Sin venta",IF(I7&gt;=cfg_VentaAlta,"Alta",IF(I7&lt;cfg_VentaBaja,"Baja","Media"))))</f>
        <v/>
      </c>
    </row>
    <row r="8" ht="20" customHeight="1" s="36">
      <c r="A8" s="48">
        <f>IF(Clientes_PDV!A8="","",Clientes_PDV!A8)</f>
        <v/>
      </c>
      <c r="B8" s="48">
        <f>IF(A8="","",IFERROR(VLOOKUP(A8,Clientes_PDV!$A$2:$J$250,2,FALSE),""))</f>
        <v/>
      </c>
      <c r="C8" s="48">
        <f>IF(A8="","",IFERROR(VLOOKUP(A8,Clientes_PDV!$A$2:$J$250,3,FALSE),""))</f>
        <v/>
      </c>
      <c r="D8" s="48">
        <f>IF(A8="","",IFERROR(VLOOKUP(A8,Clientes_PDV!$A$2:$J$250,4,FALSE),""))</f>
        <v/>
      </c>
      <c r="E8" s="48">
        <f>IF(A8="","",IFERROR(VLOOKUP(A8,Clientes_PDV!$A$2:$J$250,7,FALSE),""))</f>
        <v/>
      </c>
      <c r="F8" s="49">
        <f>IF(A8="","",IFERROR(VLOOKUP(A8,Clientes_PDV!$A$2:$J$250,8,FALSE),""))</f>
        <v/>
      </c>
      <c r="G8" s="50">
        <f>IF(F8="","",TODAY()-F8)</f>
        <v/>
      </c>
      <c r="H8" s="48">
        <f>IF(A8="","",IF(F8="","Sin visita",IF(G8&lt;=IFERROR(VLOOKUP(E8,Inicio!$A$24:$B$26,2,FALSE),0),"Vigente","Atrasado")))</f>
        <v/>
      </c>
      <c r="I8" s="51">
        <f>IF(A8="","",SUMIFS(Ventas_SellIn!$L$2:$L$800,Ventas_SellIn!$D$2:$D$800,A8,Ventas_SellIn!$B$2:$B$800,"&gt;="&amp;TODAY()-Inicio!$B$14))</f>
        <v/>
      </c>
      <c r="J8" s="50">
        <f>IF(A8="","",SUMIFS(SellOut_Jumbo!$F$2:$F$800,SellOut_Jumbo!$C$2:$C$800,D8,SellOut_Jumbo!$A$2:$A$800,"&gt;="&amp;TODAY()-Inicio!$B$14))</f>
        <v/>
      </c>
      <c r="K8" s="48">
        <f>IF(A8="","",IF(I8=0,"Sin venta",IF(I8&lt;Inicio!$B$15,"Venta baja","Venta OK")))</f>
        <v/>
      </c>
      <c r="L8" s="50">
        <f>IF(A8="","",COUNTIFS(Ventas_SellIn!$D$2:$D$800,A8,Ventas_SellIn!$R$2:$R$800,"&gt;0"))</f>
        <v/>
      </c>
      <c r="M8" s="51">
        <f>IF(A8="","",SUMIFS(Ventas_SellIn!$R$2:$R$800,Ventas_SellIn!$D$2:$D$800,A8))</f>
        <v/>
      </c>
      <c r="N8" s="48">
        <f>IF(A8="","",IF(M8&gt;=Inicio!$B$18,"Pendiente relevante",IF(M8&gt;0,"Pendiente menor","Sin deuda")))</f>
        <v/>
      </c>
      <c r="O8" s="50">
        <f>IF(A8="","",SUMIFS(Stock_PDV!$H$2:$H$800,Stock_PDV!$A$2:$A$800,A8))</f>
        <v/>
      </c>
      <c r="P8" s="48">
        <f>IF(A8="","",IF(O8&lt;=Inicio!$B$16,"Crítico",IF(O8&lt;=Inicio!$B$17,"Observar","OK")))</f>
        <v/>
      </c>
      <c r="Q8" s="48">
        <f>IF(A8="","",IF(OR(H8="Atrasado",K8="Sin venta",N8="Pendiente relevante",P8="Crítico"),"Alta",IF(OR(K8="Venta baja",N8="Pendiente menor",P8="Observar"),"Media","Baja")))</f>
        <v/>
      </c>
      <c r="R8" s="48">
        <f>IF(A8="","",IF(Q8="Alta","Gestionar esta semana",IF(Q8="Media","Hacer seguimiento","Mantener")))</f>
        <v/>
      </c>
      <c r="S8" s="68">
        <f>IF(A8="","",IF(I8=0,"Sin venta",IF(I8&gt;=cfg_VentaAlta,"Alta",IF(I8&lt;cfg_VentaBaja,"Baja","Media"))))</f>
        <v/>
      </c>
    </row>
    <row r="9" ht="20" customHeight="1" s="36">
      <c r="A9" s="48">
        <f>IF(Clientes_PDV!A9="","",Clientes_PDV!A9)</f>
        <v/>
      </c>
      <c r="B9" s="48">
        <f>IF(A9="","",IFERROR(VLOOKUP(A9,Clientes_PDV!$A$2:$J$250,2,FALSE),""))</f>
        <v/>
      </c>
      <c r="C9" s="48">
        <f>IF(A9="","",IFERROR(VLOOKUP(A9,Clientes_PDV!$A$2:$J$250,3,FALSE),""))</f>
        <v/>
      </c>
      <c r="D9" s="48">
        <f>IF(A9="","",IFERROR(VLOOKUP(A9,Clientes_PDV!$A$2:$J$250,4,FALSE),""))</f>
        <v/>
      </c>
      <c r="E9" s="48">
        <f>IF(A9="","",IFERROR(VLOOKUP(A9,Clientes_PDV!$A$2:$J$250,7,FALSE),""))</f>
        <v/>
      </c>
      <c r="F9" s="49">
        <f>IF(A9="","",IFERROR(VLOOKUP(A9,Clientes_PDV!$A$2:$J$250,8,FALSE),""))</f>
        <v/>
      </c>
      <c r="G9" s="50">
        <f>IF(F9="","",TODAY()-F9)</f>
        <v/>
      </c>
      <c r="H9" s="48">
        <f>IF(A9="","",IF(F9="","Sin visita",IF(G9&lt;=IFERROR(VLOOKUP(E9,Inicio!$A$24:$B$26,2,FALSE),0),"Vigente","Atrasado")))</f>
        <v/>
      </c>
      <c r="I9" s="51">
        <f>IF(A9="","",SUMIFS(Ventas_SellIn!$L$2:$L$800,Ventas_SellIn!$D$2:$D$800,A9,Ventas_SellIn!$B$2:$B$800,"&gt;="&amp;TODAY()-Inicio!$B$14))</f>
        <v/>
      </c>
      <c r="J9" s="50">
        <f>IF(A9="","",SUMIFS(SellOut_Jumbo!$F$2:$F$800,SellOut_Jumbo!$C$2:$C$800,D9,SellOut_Jumbo!$A$2:$A$800,"&gt;="&amp;TODAY()-Inicio!$B$14))</f>
        <v/>
      </c>
      <c r="K9" s="48">
        <f>IF(A9="","",IF(I9=0,"Sin venta",IF(I9&lt;Inicio!$B$15,"Venta baja","Venta OK")))</f>
        <v/>
      </c>
      <c r="L9" s="50">
        <f>IF(A9="","",COUNTIFS(Ventas_SellIn!$D$2:$D$800,A9,Ventas_SellIn!$R$2:$R$800,"&gt;0"))</f>
        <v/>
      </c>
      <c r="M9" s="51">
        <f>IF(A9="","",SUMIFS(Ventas_SellIn!$R$2:$R$800,Ventas_SellIn!$D$2:$D$800,A9))</f>
        <v/>
      </c>
      <c r="N9" s="48">
        <f>IF(A9="","",IF(M9&gt;=Inicio!$B$18,"Pendiente relevante",IF(M9&gt;0,"Pendiente menor","Sin deuda")))</f>
        <v/>
      </c>
      <c r="O9" s="50">
        <f>IF(A9="","",SUMIFS(Stock_PDV!$H$2:$H$800,Stock_PDV!$A$2:$A$800,A9))</f>
        <v/>
      </c>
      <c r="P9" s="48">
        <f>IF(A9="","",IF(O9&lt;=Inicio!$B$16,"Crítico",IF(O9&lt;=Inicio!$B$17,"Observar","OK")))</f>
        <v/>
      </c>
      <c r="Q9" s="48">
        <f>IF(A9="","",IF(OR(H9="Atrasado",K9="Sin venta",N9="Pendiente relevante",P9="Crítico"),"Alta",IF(OR(K9="Venta baja",N9="Pendiente menor",P9="Observar"),"Media","Baja")))</f>
        <v/>
      </c>
      <c r="R9" s="48">
        <f>IF(A9="","",IF(Q9="Alta","Gestionar esta semana",IF(Q9="Media","Hacer seguimiento","Mantener")))</f>
        <v/>
      </c>
      <c r="S9" s="68">
        <f>IF(A9="","",IF(I9=0,"Sin venta",IF(I9&gt;=cfg_VentaAlta,"Alta",IF(I9&lt;cfg_VentaBaja,"Baja","Media"))))</f>
        <v/>
      </c>
    </row>
    <row r="10" ht="20" customHeight="1" s="36">
      <c r="A10" s="48">
        <f>IF(Clientes_PDV!A10="","",Clientes_PDV!A10)</f>
        <v/>
      </c>
      <c r="B10" s="48">
        <f>IF(A10="","",IFERROR(VLOOKUP(A10,Clientes_PDV!$A$2:$J$250,2,FALSE),""))</f>
        <v/>
      </c>
      <c r="C10" s="48">
        <f>IF(A10="","",IFERROR(VLOOKUP(A10,Clientes_PDV!$A$2:$J$250,3,FALSE),""))</f>
        <v/>
      </c>
      <c r="D10" s="48">
        <f>IF(A10="","",IFERROR(VLOOKUP(A10,Clientes_PDV!$A$2:$J$250,4,FALSE),""))</f>
        <v/>
      </c>
      <c r="E10" s="48">
        <f>IF(A10="","",IFERROR(VLOOKUP(A10,Clientes_PDV!$A$2:$J$250,7,FALSE),""))</f>
        <v/>
      </c>
      <c r="F10" s="49">
        <f>IF(A10="","",IFERROR(VLOOKUP(A10,Clientes_PDV!$A$2:$J$250,8,FALSE),""))</f>
        <v/>
      </c>
      <c r="G10" s="50">
        <f>IF(F10="","",TODAY()-F10)</f>
        <v/>
      </c>
      <c r="H10" s="48">
        <f>IF(A10="","",IF(F10="","Sin visita",IF(G10&lt;=IFERROR(VLOOKUP(E10,Inicio!$A$24:$B$26,2,FALSE),0),"Vigente","Atrasado")))</f>
        <v/>
      </c>
      <c r="I10" s="51">
        <f>IF(A10="","",SUMIFS(Ventas_SellIn!$L$2:$L$800,Ventas_SellIn!$D$2:$D$800,A10,Ventas_SellIn!$B$2:$B$800,"&gt;="&amp;TODAY()-Inicio!$B$14))</f>
        <v/>
      </c>
      <c r="J10" s="50">
        <f>IF(A10="","",SUMIFS(SellOut_Jumbo!$F$2:$F$800,SellOut_Jumbo!$C$2:$C$800,D10,SellOut_Jumbo!$A$2:$A$800,"&gt;="&amp;TODAY()-Inicio!$B$14))</f>
        <v/>
      </c>
      <c r="K10" s="48">
        <f>IF(A10="","",IF(I10=0,"Sin venta",IF(I10&lt;Inicio!$B$15,"Venta baja","Venta OK")))</f>
        <v/>
      </c>
      <c r="L10" s="50">
        <f>IF(A10="","",COUNTIFS(Ventas_SellIn!$D$2:$D$800,A10,Ventas_SellIn!$R$2:$R$800,"&gt;0"))</f>
        <v/>
      </c>
      <c r="M10" s="51">
        <f>IF(A10="","",SUMIFS(Ventas_SellIn!$R$2:$R$800,Ventas_SellIn!$D$2:$D$800,A10))</f>
        <v/>
      </c>
      <c r="N10" s="48">
        <f>IF(A10="","",IF(M10&gt;=Inicio!$B$18,"Pendiente relevante",IF(M10&gt;0,"Pendiente menor","Sin deuda")))</f>
        <v/>
      </c>
      <c r="O10" s="50">
        <f>IF(A10="","",SUMIFS(Stock_PDV!$H$2:$H$800,Stock_PDV!$A$2:$A$800,A10))</f>
        <v/>
      </c>
      <c r="P10" s="48">
        <f>IF(A10="","",IF(O10&lt;=Inicio!$B$16,"Crítico",IF(O10&lt;=Inicio!$B$17,"Observar","OK")))</f>
        <v/>
      </c>
      <c r="Q10" s="48">
        <f>IF(A10="","",IF(OR(H10="Atrasado",K10="Sin venta",N10="Pendiente relevante",P10="Crítico"),"Alta",IF(OR(K10="Venta baja",N10="Pendiente menor",P10="Observar"),"Media","Baja")))</f>
        <v/>
      </c>
      <c r="R10" s="48">
        <f>IF(A10="","",IF(Q10="Alta","Gestionar esta semana",IF(Q10="Media","Hacer seguimiento","Mantener")))</f>
        <v/>
      </c>
      <c r="S10" s="68">
        <f>IF(A10="","",IF(I10=0,"Sin venta",IF(I10&gt;=cfg_VentaAlta,"Alta",IF(I10&lt;cfg_VentaBaja,"Baja","Media"))))</f>
        <v/>
      </c>
    </row>
    <row r="11" ht="20" customHeight="1" s="36">
      <c r="A11" s="48">
        <f>IF(Clientes_PDV!A11="","",Clientes_PDV!A11)</f>
        <v/>
      </c>
      <c r="B11" s="48">
        <f>IF(A11="","",IFERROR(VLOOKUP(A11,Clientes_PDV!$A$2:$J$250,2,FALSE),""))</f>
        <v/>
      </c>
      <c r="C11" s="48">
        <f>IF(A11="","",IFERROR(VLOOKUP(A11,Clientes_PDV!$A$2:$J$250,3,FALSE),""))</f>
        <v/>
      </c>
      <c r="D11" s="48">
        <f>IF(A11="","",IFERROR(VLOOKUP(A11,Clientes_PDV!$A$2:$J$250,4,FALSE),""))</f>
        <v/>
      </c>
      <c r="E11" s="48">
        <f>IF(A11="","",IFERROR(VLOOKUP(A11,Clientes_PDV!$A$2:$J$250,7,FALSE),""))</f>
        <v/>
      </c>
      <c r="F11" s="49">
        <f>IF(A11="","",IFERROR(VLOOKUP(A11,Clientes_PDV!$A$2:$J$250,8,FALSE),""))</f>
        <v/>
      </c>
      <c r="G11" s="50">
        <f>IF(F11="","",TODAY()-F11)</f>
        <v/>
      </c>
      <c r="H11" s="48">
        <f>IF(A11="","",IF(F11="","Sin visita",IF(G11&lt;=IFERROR(VLOOKUP(E11,Inicio!$A$24:$B$26,2,FALSE),0),"Vigente","Atrasado")))</f>
        <v/>
      </c>
      <c r="I11" s="51">
        <f>IF(A11="","",SUMIFS(Ventas_SellIn!$L$2:$L$800,Ventas_SellIn!$D$2:$D$800,A11,Ventas_SellIn!$B$2:$B$800,"&gt;="&amp;TODAY()-Inicio!$B$14))</f>
        <v/>
      </c>
      <c r="J11" s="50">
        <f>IF(A11="","",SUMIFS(SellOut_Jumbo!$F$2:$F$800,SellOut_Jumbo!$C$2:$C$800,D11,SellOut_Jumbo!$A$2:$A$800,"&gt;="&amp;TODAY()-Inicio!$B$14))</f>
        <v/>
      </c>
      <c r="K11" s="48">
        <f>IF(A11="","",IF(I11=0,"Sin venta",IF(I11&lt;Inicio!$B$15,"Venta baja","Venta OK")))</f>
        <v/>
      </c>
      <c r="L11" s="50">
        <f>IF(A11="","",COUNTIFS(Ventas_SellIn!$D$2:$D$800,A11,Ventas_SellIn!$R$2:$R$800,"&gt;0"))</f>
        <v/>
      </c>
      <c r="M11" s="51">
        <f>IF(A11="","",SUMIFS(Ventas_SellIn!$R$2:$R$800,Ventas_SellIn!$D$2:$D$800,A11))</f>
        <v/>
      </c>
      <c r="N11" s="48">
        <f>IF(A11="","",IF(M11&gt;=Inicio!$B$18,"Pendiente relevante",IF(M11&gt;0,"Pendiente menor","Sin deuda")))</f>
        <v/>
      </c>
      <c r="O11" s="50">
        <f>IF(A11="","",SUMIFS(Stock_PDV!$H$2:$H$800,Stock_PDV!$A$2:$A$800,A11))</f>
        <v/>
      </c>
      <c r="P11" s="48">
        <f>IF(A11="","",IF(O11&lt;=Inicio!$B$16,"Crítico",IF(O11&lt;=Inicio!$B$17,"Observar","OK")))</f>
        <v/>
      </c>
      <c r="Q11" s="48">
        <f>IF(A11="","",IF(OR(H11="Atrasado",K11="Sin venta",N11="Pendiente relevante",P11="Crítico"),"Alta",IF(OR(K11="Venta baja",N11="Pendiente menor",P11="Observar"),"Media","Baja")))</f>
        <v/>
      </c>
      <c r="R11" s="48">
        <f>IF(A11="","",IF(Q11="Alta","Gestionar esta semana",IF(Q11="Media","Hacer seguimiento","Mantener")))</f>
        <v/>
      </c>
      <c r="S11" s="68">
        <f>IF(A11="","",IF(I11=0,"Sin venta",IF(I11&gt;=cfg_VentaAlta,"Alta",IF(I11&lt;cfg_VentaBaja,"Baja","Media"))))</f>
        <v/>
      </c>
    </row>
    <row r="12" ht="20" customHeight="1" s="36">
      <c r="A12" s="48">
        <f>IF(Clientes_PDV!A12="","",Clientes_PDV!A12)</f>
        <v/>
      </c>
      <c r="B12" s="48">
        <f>IF(A12="","",IFERROR(VLOOKUP(A12,Clientes_PDV!$A$2:$J$250,2,FALSE),""))</f>
        <v/>
      </c>
      <c r="C12" s="48">
        <f>IF(A12="","",IFERROR(VLOOKUP(A12,Clientes_PDV!$A$2:$J$250,3,FALSE),""))</f>
        <v/>
      </c>
      <c r="D12" s="48">
        <f>IF(A12="","",IFERROR(VLOOKUP(A12,Clientes_PDV!$A$2:$J$250,4,FALSE),""))</f>
        <v/>
      </c>
      <c r="E12" s="48">
        <f>IF(A12="","",IFERROR(VLOOKUP(A12,Clientes_PDV!$A$2:$J$250,7,FALSE),""))</f>
        <v/>
      </c>
      <c r="F12" s="49">
        <f>IF(A12="","",IFERROR(VLOOKUP(A12,Clientes_PDV!$A$2:$J$250,8,FALSE),""))</f>
        <v/>
      </c>
      <c r="G12" s="50">
        <f>IF(F12="","",TODAY()-F12)</f>
        <v/>
      </c>
      <c r="H12" s="48">
        <f>IF(A12="","",IF(F12="","Sin visita",IF(G12&lt;=IFERROR(VLOOKUP(E12,Inicio!$A$24:$B$26,2,FALSE),0),"Vigente","Atrasado")))</f>
        <v/>
      </c>
      <c r="I12" s="51">
        <f>IF(A12="","",SUMIFS(Ventas_SellIn!$L$2:$L$800,Ventas_SellIn!$D$2:$D$800,A12,Ventas_SellIn!$B$2:$B$800,"&gt;="&amp;TODAY()-Inicio!$B$14))</f>
        <v/>
      </c>
      <c r="J12" s="50">
        <f>IF(A12="","",SUMIFS(SellOut_Jumbo!$F$2:$F$800,SellOut_Jumbo!$C$2:$C$800,D12,SellOut_Jumbo!$A$2:$A$800,"&gt;="&amp;TODAY()-Inicio!$B$14))</f>
        <v/>
      </c>
      <c r="K12" s="48">
        <f>IF(A12="","",IF(I12=0,"Sin venta",IF(I12&lt;Inicio!$B$15,"Venta baja","Venta OK")))</f>
        <v/>
      </c>
      <c r="L12" s="50">
        <f>IF(A12="","",COUNTIFS(Ventas_SellIn!$D$2:$D$800,A12,Ventas_SellIn!$R$2:$R$800,"&gt;0"))</f>
        <v/>
      </c>
      <c r="M12" s="51">
        <f>IF(A12="","",SUMIFS(Ventas_SellIn!$R$2:$R$800,Ventas_SellIn!$D$2:$D$800,A12))</f>
        <v/>
      </c>
      <c r="N12" s="48">
        <f>IF(A12="","",IF(M12&gt;=Inicio!$B$18,"Pendiente relevante",IF(M12&gt;0,"Pendiente menor","Sin deuda")))</f>
        <v/>
      </c>
      <c r="O12" s="50">
        <f>IF(A12="","",SUMIFS(Stock_PDV!$H$2:$H$800,Stock_PDV!$A$2:$A$800,A12))</f>
        <v/>
      </c>
      <c r="P12" s="48">
        <f>IF(A12="","",IF(O12&lt;=Inicio!$B$16,"Crítico",IF(O12&lt;=Inicio!$B$17,"Observar","OK")))</f>
        <v/>
      </c>
      <c r="Q12" s="48">
        <f>IF(A12="","",IF(OR(H12="Atrasado",K12="Sin venta",N12="Pendiente relevante",P12="Crítico"),"Alta",IF(OR(K12="Venta baja",N12="Pendiente menor",P12="Observar"),"Media","Baja")))</f>
        <v/>
      </c>
      <c r="R12" s="48">
        <f>IF(A12="","",IF(Q12="Alta","Gestionar esta semana",IF(Q12="Media","Hacer seguimiento","Mantener")))</f>
        <v/>
      </c>
      <c r="S12" s="68">
        <f>IF(A12="","",IF(I12=0,"Sin venta",IF(I12&gt;=cfg_VentaAlta,"Alta",IF(I12&lt;cfg_VentaBaja,"Baja","Media"))))</f>
        <v/>
      </c>
    </row>
    <row r="13" ht="20" customHeight="1" s="36">
      <c r="A13" s="48">
        <f>IF(Clientes_PDV!A13="","",Clientes_PDV!A13)</f>
        <v/>
      </c>
      <c r="B13" s="48">
        <f>IF(A13="","",IFERROR(VLOOKUP(A13,Clientes_PDV!$A$2:$J$250,2,FALSE),""))</f>
        <v/>
      </c>
      <c r="C13" s="48">
        <f>IF(A13="","",IFERROR(VLOOKUP(A13,Clientes_PDV!$A$2:$J$250,3,FALSE),""))</f>
        <v/>
      </c>
      <c r="D13" s="48">
        <f>IF(A13="","",IFERROR(VLOOKUP(A13,Clientes_PDV!$A$2:$J$250,4,FALSE),""))</f>
        <v/>
      </c>
      <c r="E13" s="48">
        <f>IF(A13="","",IFERROR(VLOOKUP(A13,Clientes_PDV!$A$2:$J$250,7,FALSE),""))</f>
        <v/>
      </c>
      <c r="F13" s="49">
        <f>IF(A13="","",IFERROR(VLOOKUP(A13,Clientes_PDV!$A$2:$J$250,8,FALSE),""))</f>
        <v/>
      </c>
      <c r="G13" s="50">
        <f>IF(F13="","",TODAY()-F13)</f>
        <v/>
      </c>
      <c r="H13" s="48">
        <f>IF(A13="","",IF(F13="","Sin visita",IF(G13&lt;=IFERROR(VLOOKUP(E13,Inicio!$A$24:$B$26,2,FALSE),0),"Vigente","Atrasado")))</f>
        <v/>
      </c>
      <c r="I13" s="51">
        <f>IF(A13="","",SUMIFS(Ventas_SellIn!$L$2:$L$800,Ventas_SellIn!$D$2:$D$800,A13,Ventas_SellIn!$B$2:$B$800,"&gt;="&amp;TODAY()-Inicio!$B$14))</f>
        <v/>
      </c>
      <c r="J13" s="50">
        <f>IF(A13="","",SUMIFS(SellOut_Jumbo!$F$2:$F$800,SellOut_Jumbo!$C$2:$C$800,D13,SellOut_Jumbo!$A$2:$A$800,"&gt;="&amp;TODAY()-Inicio!$B$14))</f>
        <v/>
      </c>
      <c r="K13" s="48">
        <f>IF(A13="","",IF(I13=0,"Sin venta",IF(I13&lt;Inicio!$B$15,"Venta baja","Venta OK")))</f>
        <v/>
      </c>
      <c r="L13" s="50">
        <f>IF(A13="","",COUNTIFS(Ventas_SellIn!$D$2:$D$800,A13,Ventas_SellIn!$R$2:$R$800,"&gt;0"))</f>
        <v/>
      </c>
      <c r="M13" s="51">
        <f>IF(A13="","",SUMIFS(Ventas_SellIn!$R$2:$R$800,Ventas_SellIn!$D$2:$D$800,A13))</f>
        <v/>
      </c>
      <c r="N13" s="48">
        <f>IF(A13="","",IF(M13&gt;=Inicio!$B$18,"Pendiente relevante",IF(M13&gt;0,"Pendiente menor","Sin deuda")))</f>
        <v/>
      </c>
      <c r="O13" s="50">
        <f>IF(A13="","",SUMIFS(Stock_PDV!$H$2:$H$800,Stock_PDV!$A$2:$A$800,A13))</f>
        <v/>
      </c>
      <c r="P13" s="48">
        <f>IF(A13="","",IF(O13&lt;=Inicio!$B$16,"Crítico",IF(O13&lt;=Inicio!$B$17,"Observar","OK")))</f>
        <v/>
      </c>
      <c r="Q13" s="48">
        <f>IF(A13="","",IF(OR(H13="Atrasado",K13="Sin venta",N13="Pendiente relevante",P13="Crítico"),"Alta",IF(OR(K13="Venta baja",N13="Pendiente menor",P13="Observar"),"Media","Baja")))</f>
        <v/>
      </c>
      <c r="R13" s="48">
        <f>IF(A13="","",IF(Q13="Alta","Gestionar esta semana",IF(Q13="Media","Hacer seguimiento","Mantener")))</f>
        <v/>
      </c>
      <c r="S13" s="68">
        <f>IF(A13="","",IF(I13=0,"Sin venta",IF(I13&gt;=cfg_VentaAlta,"Alta",IF(I13&lt;cfg_VentaBaja,"Baja","Media"))))</f>
        <v/>
      </c>
    </row>
    <row r="14" ht="20" customHeight="1" s="36">
      <c r="A14" s="48">
        <f>IF(Clientes_PDV!A14="","",Clientes_PDV!A14)</f>
        <v/>
      </c>
      <c r="B14" s="48">
        <f>IF(A14="","",IFERROR(VLOOKUP(A14,Clientes_PDV!$A$2:$J$250,2,FALSE),""))</f>
        <v/>
      </c>
      <c r="C14" s="48">
        <f>IF(A14="","",IFERROR(VLOOKUP(A14,Clientes_PDV!$A$2:$J$250,3,FALSE),""))</f>
        <v/>
      </c>
      <c r="D14" s="48">
        <f>IF(A14="","",IFERROR(VLOOKUP(A14,Clientes_PDV!$A$2:$J$250,4,FALSE),""))</f>
        <v/>
      </c>
      <c r="E14" s="48">
        <f>IF(A14="","",IFERROR(VLOOKUP(A14,Clientes_PDV!$A$2:$J$250,7,FALSE),""))</f>
        <v/>
      </c>
      <c r="F14" s="49">
        <f>IF(A14="","",IFERROR(VLOOKUP(A14,Clientes_PDV!$A$2:$J$250,8,FALSE),""))</f>
        <v/>
      </c>
      <c r="G14" s="50">
        <f>IF(F14="","",TODAY()-F14)</f>
        <v/>
      </c>
      <c r="H14" s="48">
        <f>IF(A14="","",IF(F14="","Sin visita",IF(G14&lt;=IFERROR(VLOOKUP(E14,Inicio!$A$24:$B$26,2,FALSE),0),"Vigente","Atrasado")))</f>
        <v/>
      </c>
      <c r="I14" s="51">
        <f>IF(A14="","",SUMIFS(Ventas_SellIn!$L$2:$L$800,Ventas_SellIn!$D$2:$D$800,A14,Ventas_SellIn!$B$2:$B$800,"&gt;="&amp;TODAY()-Inicio!$B$14))</f>
        <v/>
      </c>
      <c r="J14" s="50">
        <f>IF(A14="","",SUMIFS(SellOut_Jumbo!$F$2:$F$800,SellOut_Jumbo!$C$2:$C$800,D14,SellOut_Jumbo!$A$2:$A$800,"&gt;="&amp;TODAY()-Inicio!$B$14))</f>
        <v/>
      </c>
      <c r="K14" s="48">
        <f>IF(A14="","",IF(I14=0,"Sin venta",IF(I14&lt;Inicio!$B$15,"Venta baja","Venta OK")))</f>
        <v/>
      </c>
      <c r="L14" s="50">
        <f>IF(A14="","",COUNTIFS(Ventas_SellIn!$D$2:$D$800,A14,Ventas_SellIn!$R$2:$R$800,"&gt;0"))</f>
        <v/>
      </c>
      <c r="M14" s="51">
        <f>IF(A14="","",SUMIFS(Ventas_SellIn!$R$2:$R$800,Ventas_SellIn!$D$2:$D$800,A14))</f>
        <v/>
      </c>
      <c r="N14" s="48">
        <f>IF(A14="","",IF(M14&gt;=Inicio!$B$18,"Pendiente relevante",IF(M14&gt;0,"Pendiente menor","Sin deuda")))</f>
        <v/>
      </c>
      <c r="O14" s="50">
        <f>IF(A14="","",SUMIFS(Stock_PDV!$H$2:$H$800,Stock_PDV!$A$2:$A$800,A14))</f>
        <v/>
      </c>
      <c r="P14" s="48">
        <f>IF(A14="","",IF(O14&lt;=Inicio!$B$16,"Crítico",IF(O14&lt;=Inicio!$B$17,"Observar","OK")))</f>
        <v/>
      </c>
      <c r="Q14" s="48">
        <f>IF(A14="","",IF(OR(H14="Atrasado",K14="Sin venta",N14="Pendiente relevante",P14="Crítico"),"Alta",IF(OR(K14="Venta baja",N14="Pendiente menor",P14="Observar"),"Media","Baja")))</f>
        <v/>
      </c>
      <c r="R14" s="48">
        <f>IF(A14="","",IF(Q14="Alta","Gestionar esta semana",IF(Q14="Media","Hacer seguimiento","Mantener")))</f>
        <v/>
      </c>
      <c r="S14" s="68">
        <f>IF(A14="","",IF(I14=0,"Sin venta",IF(I14&gt;=cfg_VentaAlta,"Alta",IF(I14&lt;cfg_VentaBaja,"Baja","Media"))))</f>
        <v/>
      </c>
    </row>
    <row r="15" ht="20" customHeight="1" s="36">
      <c r="A15" s="48">
        <f>IF(Clientes_PDV!A15="","",Clientes_PDV!A15)</f>
        <v/>
      </c>
      <c r="B15" s="48">
        <f>IF(A15="","",IFERROR(VLOOKUP(A15,Clientes_PDV!$A$2:$J$250,2,FALSE),""))</f>
        <v/>
      </c>
      <c r="C15" s="48">
        <f>IF(A15="","",IFERROR(VLOOKUP(A15,Clientes_PDV!$A$2:$J$250,3,FALSE),""))</f>
        <v/>
      </c>
      <c r="D15" s="48">
        <f>IF(A15="","",IFERROR(VLOOKUP(A15,Clientes_PDV!$A$2:$J$250,4,FALSE),""))</f>
        <v/>
      </c>
      <c r="E15" s="48">
        <f>IF(A15="","",IFERROR(VLOOKUP(A15,Clientes_PDV!$A$2:$J$250,7,FALSE),""))</f>
        <v/>
      </c>
      <c r="F15" s="49">
        <f>IF(A15="","",IFERROR(VLOOKUP(A15,Clientes_PDV!$A$2:$J$250,8,FALSE),""))</f>
        <v/>
      </c>
      <c r="G15" s="50">
        <f>IF(F15="","",TODAY()-F15)</f>
        <v/>
      </c>
      <c r="H15" s="48">
        <f>IF(A15="","",IF(F15="","Sin visita",IF(G15&lt;=IFERROR(VLOOKUP(E15,Inicio!$A$24:$B$26,2,FALSE),0),"Vigente","Atrasado")))</f>
        <v/>
      </c>
      <c r="I15" s="51">
        <f>IF(A15="","",SUMIFS(Ventas_SellIn!$L$2:$L$800,Ventas_SellIn!$D$2:$D$800,A15,Ventas_SellIn!$B$2:$B$800,"&gt;="&amp;TODAY()-Inicio!$B$14))</f>
        <v/>
      </c>
      <c r="J15" s="50">
        <f>IF(A15="","",SUMIFS(SellOut_Jumbo!$F$2:$F$800,SellOut_Jumbo!$C$2:$C$800,D15,SellOut_Jumbo!$A$2:$A$800,"&gt;="&amp;TODAY()-Inicio!$B$14))</f>
        <v/>
      </c>
      <c r="K15" s="48">
        <f>IF(A15="","",IF(I15=0,"Sin venta",IF(I15&lt;Inicio!$B$15,"Venta baja","Venta OK")))</f>
        <v/>
      </c>
      <c r="L15" s="50">
        <f>IF(A15="","",COUNTIFS(Ventas_SellIn!$D$2:$D$800,A15,Ventas_SellIn!$R$2:$R$800,"&gt;0"))</f>
        <v/>
      </c>
      <c r="M15" s="51">
        <f>IF(A15="","",SUMIFS(Ventas_SellIn!$R$2:$R$800,Ventas_SellIn!$D$2:$D$800,A15))</f>
        <v/>
      </c>
      <c r="N15" s="48">
        <f>IF(A15="","",IF(M15&gt;=Inicio!$B$18,"Pendiente relevante",IF(M15&gt;0,"Pendiente menor","Sin deuda")))</f>
        <v/>
      </c>
      <c r="O15" s="50">
        <f>IF(A15="","",SUMIFS(Stock_PDV!$H$2:$H$800,Stock_PDV!$A$2:$A$800,A15))</f>
        <v/>
      </c>
      <c r="P15" s="48">
        <f>IF(A15="","",IF(O15&lt;=Inicio!$B$16,"Crítico",IF(O15&lt;=Inicio!$B$17,"Observar","OK")))</f>
        <v/>
      </c>
      <c r="Q15" s="48">
        <f>IF(A15="","",IF(OR(H15="Atrasado",K15="Sin venta",N15="Pendiente relevante",P15="Crítico"),"Alta",IF(OR(K15="Venta baja",N15="Pendiente menor",P15="Observar"),"Media","Baja")))</f>
        <v/>
      </c>
      <c r="R15" s="48">
        <f>IF(A15="","",IF(Q15="Alta","Gestionar esta semana",IF(Q15="Media","Hacer seguimiento","Mantener")))</f>
        <v/>
      </c>
      <c r="S15" s="68">
        <f>IF(A15="","",IF(I15=0,"Sin venta",IF(I15&gt;=cfg_VentaAlta,"Alta",IF(I15&lt;cfg_VentaBaja,"Baja","Media"))))</f>
        <v/>
      </c>
    </row>
    <row r="16" ht="20" customHeight="1" s="36">
      <c r="A16" s="48">
        <f>IF(Clientes_PDV!A16="","",Clientes_PDV!A16)</f>
        <v/>
      </c>
      <c r="B16" s="48">
        <f>IF(A16="","",IFERROR(VLOOKUP(A16,Clientes_PDV!$A$2:$J$250,2,FALSE),""))</f>
        <v/>
      </c>
      <c r="C16" s="48">
        <f>IF(A16="","",IFERROR(VLOOKUP(A16,Clientes_PDV!$A$2:$J$250,3,FALSE),""))</f>
        <v/>
      </c>
      <c r="D16" s="48">
        <f>IF(A16="","",IFERROR(VLOOKUP(A16,Clientes_PDV!$A$2:$J$250,4,FALSE),""))</f>
        <v/>
      </c>
      <c r="E16" s="48">
        <f>IF(A16="","",IFERROR(VLOOKUP(A16,Clientes_PDV!$A$2:$J$250,7,FALSE),""))</f>
        <v/>
      </c>
      <c r="F16" s="49">
        <f>IF(A16="","",IFERROR(VLOOKUP(A16,Clientes_PDV!$A$2:$J$250,8,FALSE),""))</f>
        <v/>
      </c>
      <c r="G16" s="50">
        <f>IF(F16="","",TODAY()-F16)</f>
        <v/>
      </c>
      <c r="H16" s="48">
        <f>IF(A16="","",IF(F16="","Sin visita",IF(G16&lt;=IFERROR(VLOOKUP(E16,Inicio!$A$24:$B$26,2,FALSE),0),"Vigente","Atrasado")))</f>
        <v/>
      </c>
      <c r="I16" s="51">
        <f>IF(A16="","",SUMIFS(Ventas_SellIn!$L$2:$L$800,Ventas_SellIn!$D$2:$D$800,A16,Ventas_SellIn!$B$2:$B$800,"&gt;="&amp;TODAY()-Inicio!$B$14))</f>
        <v/>
      </c>
      <c r="J16" s="50">
        <f>IF(A16="","",SUMIFS(SellOut_Jumbo!$F$2:$F$800,SellOut_Jumbo!$C$2:$C$800,D16,SellOut_Jumbo!$A$2:$A$800,"&gt;="&amp;TODAY()-Inicio!$B$14))</f>
        <v/>
      </c>
      <c r="K16" s="48">
        <f>IF(A16="","",IF(I16=0,"Sin venta",IF(I16&lt;Inicio!$B$15,"Venta baja","Venta OK")))</f>
        <v/>
      </c>
      <c r="L16" s="50">
        <f>IF(A16="","",COUNTIFS(Ventas_SellIn!$D$2:$D$800,A16,Ventas_SellIn!$R$2:$R$800,"&gt;0"))</f>
        <v/>
      </c>
      <c r="M16" s="51">
        <f>IF(A16="","",SUMIFS(Ventas_SellIn!$R$2:$R$800,Ventas_SellIn!$D$2:$D$800,A16))</f>
        <v/>
      </c>
      <c r="N16" s="48">
        <f>IF(A16="","",IF(M16&gt;=Inicio!$B$18,"Pendiente relevante",IF(M16&gt;0,"Pendiente menor","Sin deuda")))</f>
        <v/>
      </c>
      <c r="O16" s="50">
        <f>IF(A16="","",SUMIFS(Stock_PDV!$H$2:$H$800,Stock_PDV!$A$2:$A$800,A16))</f>
        <v/>
      </c>
      <c r="P16" s="48">
        <f>IF(A16="","",IF(O16&lt;=Inicio!$B$16,"Crítico",IF(O16&lt;=Inicio!$B$17,"Observar","OK")))</f>
        <v/>
      </c>
      <c r="Q16" s="48">
        <f>IF(A16="","",IF(OR(H16="Atrasado",K16="Sin venta",N16="Pendiente relevante",P16="Crítico"),"Alta",IF(OR(K16="Venta baja",N16="Pendiente menor",P16="Observar"),"Media","Baja")))</f>
        <v/>
      </c>
      <c r="R16" s="48">
        <f>IF(A16="","",IF(Q16="Alta","Gestionar esta semana",IF(Q16="Media","Hacer seguimiento","Mantener")))</f>
        <v/>
      </c>
      <c r="S16" s="68">
        <f>IF(A16="","",IF(I16=0,"Sin venta",IF(I16&gt;=cfg_VentaAlta,"Alta",IF(I16&lt;cfg_VentaBaja,"Baja","Media"))))</f>
        <v/>
      </c>
    </row>
    <row r="17" ht="20" customHeight="1" s="36">
      <c r="A17" s="48">
        <f>IF(Clientes_PDV!A17="","",Clientes_PDV!A17)</f>
        <v/>
      </c>
      <c r="B17" s="48">
        <f>IF(A17="","",IFERROR(VLOOKUP(A17,Clientes_PDV!$A$2:$J$250,2,FALSE),""))</f>
        <v/>
      </c>
      <c r="C17" s="48">
        <f>IF(A17="","",IFERROR(VLOOKUP(A17,Clientes_PDV!$A$2:$J$250,3,FALSE),""))</f>
        <v/>
      </c>
      <c r="D17" s="48">
        <f>IF(A17="","",IFERROR(VLOOKUP(A17,Clientes_PDV!$A$2:$J$250,4,FALSE),""))</f>
        <v/>
      </c>
      <c r="E17" s="48">
        <f>IF(A17="","",IFERROR(VLOOKUP(A17,Clientes_PDV!$A$2:$J$250,7,FALSE),""))</f>
        <v/>
      </c>
      <c r="F17" s="49">
        <f>IF(A17="","",IFERROR(VLOOKUP(A17,Clientes_PDV!$A$2:$J$250,8,FALSE),""))</f>
        <v/>
      </c>
      <c r="G17" s="50">
        <f>IF(F17="","",TODAY()-F17)</f>
        <v/>
      </c>
      <c r="H17" s="48">
        <f>IF(A17="","",IF(F17="","Sin visita",IF(G17&lt;=IFERROR(VLOOKUP(E17,Inicio!$A$24:$B$26,2,FALSE),0),"Vigente","Atrasado")))</f>
        <v/>
      </c>
      <c r="I17" s="51">
        <f>IF(A17="","",SUMIFS(Ventas_SellIn!$L$2:$L$800,Ventas_SellIn!$D$2:$D$800,A17,Ventas_SellIn!$B$2:$B$800,"&gt;="&amp;TODAY()-Inicio!$B$14))</f>
        <v/>
      </c>
      <c r="J17" s="50">
        <f>IF(A17="","",SUMIFS(SellOut_Jumbo!$F$2:$F$800,SellOut_Jumbo!$C$2:$C$800,D17,SellOut_Jumbo!$A$2:$A$800,"&gt;="&amp;TODAY()-Inicio!$B$14))</f>
        <v/>
      </c>
      <c r="K17" s="48">
        <f>IF(A17="","",IF(I17=0,"Sin venta",IF(I17&lt;Inicio!$B$15,"Venta baja","Venta OK")))</f>
        <v/>
      </c>
      <c r="L17" s="50">
        <f>IF(A17="","",COUNTIFS(Ventas_SellIn!$D$2:$D$800,A17,Ventas_SellIn!$R$2:$R$800,"&gt;0"))</f>
        <v/>
      </c>
      <c r="M17" s="51">
        <f>IF(A17="","",SUMIFS(Ventas_SellIn!$R$2:$R$800,Ventas_SellIn!$D$2:$D$800,A17))</f>
        <v/>
      </c>
      <c r="N17" s="48">
        <f>IF(A17="","",IF(M17&gt;=Inicio!$B$18,"Pendiente relevante",IF(M17&gt;0,"Pendiente menor","Sin deuda")))</f>
        <v/>
      </c>
      <c r="O17" s="50">
        <f>IF(A17="","",SUMIFS(Stock_PDV!$H$2:$H$800,Stock_PDV!$A$2:$A$800,A17))</f>
        <v/>
      </c>
      <c r="P17" s="48">
        <f>IF(A17="","",IF(O17&lt;=Inicio!$B$16,"Crítico",IF(O17&lt;=Inicio!$B$17,"Observar","OK")))</f>
        <v/>
      </c>
      <c r="Q17" s="48">
        <f>IF(A17="","",IF(OR(H17="Atrasado",K17="Sin venta",N17="Pendiente relevante",P17="Crítico"),"Alta",IF(OR(K17="Venta baja",N17="Pendiente menor",P17="Observar"),"Media","Baja")))</f>
        <v/>
      </c>
      <c r="R17" s="48">
        <f>IF(A17="","",IF(Q17="Alta","Gestionar esta semana",IF(Q17="Media","Hacer seguimiento","Mantener")))</f>
        <v/>
      </c>
      <c r="S17" s="68">
        <f>IF(A17="","",IF(I17=0,"Sin venta",IF(I17&gt;=cfg_VentaAlta,"Alta",IF(I17&lt;cfg_VentaBaja,"Baja","Media"))))</f>
        <v/>
      </c>
    </row>
    <row r="18" ht="20" customHeight="1" s="36">
      <c r="A18" s="48">
        <f>IF(Clientes_PDV!A18="","",Clientes_PDV!A18)</f>
        <v/>
      </c>
      <c r="B18" s="48">
        <f>IF(A18="","",IFERROR(VLOOKUP(A18,Clientes_PDV!$A$2:$J$250,2,FALSE),""))</f>
        <v/>
      </c>
      <c r="C18" s="48">
        <f>IF(A18="","",IFERROR(VLOOKUP(A18,Clientes_PDV!$A$2:$J$250,3,FALSE),""))</f>
        <v/>
      </c>
      <c r="D18" s="48">
        <f>IF(A18="","",IFERROR(VLOOKUP(A18,Clientes_PDV!$A$2:$J$250,4,FALSE),""))</f>
        <v/>
      </c>
      <c r="E18" s="48">
        <f>IF(A18="","",IFERROR(VLOOKUP(A18,Clientes_PDV!$A$2:$J$250,7,FALSE),""))</f>
        <v/>
      </c>
      <c r="F18" s="49">
        <f>IF(A18="","",IFERROR(VLOOKUP(A18,Clientes_PDV!$A$2:$J$250,8,FALSE),""))</f>
        <v/>
      </c>
      <c r="G18" s="50">
        <f>IF(F18="","",TODAY()-F18)</f>
        <v/>
      </c>
      <c r="H18" s="48">
        <f>IF(A18="","",IF(F18="","Sin visita",IF(G18&lt;=IFERROR(VLOOKUP(E18,Inicio!$A$24:$B$26,2,FALSE),0),"Vigente","Atrasado")))</f>
        <v/>
      </c>
      <c r="I18" s="51">
        <f>IF(A18="","",SUMIFS(Ventas_SellIn!$L$2:$L$800,Ventas_SellIn!$D$2:$D$800,A18,Ventas_SellIn!$B$2:$B$800,"&gt;="&amp;TODAY()-Inicio!$B$14))</f>
        <v/>
      </c>
      <c r="J18" s="50">
        <f>IF(A18="","",SUMIFS(SellOut_Jumbo!$F$2:$F$800,SellOut_Jumbo!$C$2:$C$800,D18,SellOut_Jumbo!$A$2:$A$800,"&gt;="&amp;TODAY()-Inicio!$B$14))</f>
        <v/>
      </c>
      <c r="K18" s="48">
        <f>IF(A18="","",IF(I18=0,"Sin venta",IF(I18&lt;Inicio!$B$15,"Venta baja","Venta OK")))</f>
        <v/>
      </c>
      <c r="L18" s="50">
        <f>IF(A18="","",COUNTIFS(Ventas_SellIn!$D$2:$D$800,A18,Ventas_SellIn!$R$2:$R$800,"&gt;0"))</f>
        <v/>
      </c>
      <c r="M18" s="51">
        <f>IF(A18="","",SUMIFS(Ventas_SellIn!$R$2:$R$800,Ventas_SellIn!$D$2:$D$800,A18))</f>
        <v/>
      </c>
      <c r="N18" s="48">
        <f>IF(A18="","",IF(M18&gt;=Inicio!$B$18,"Pendiente relevante",IF(M18&gt;0,"Pendiente menor","Sin deuda")))</f>
        <v/>
      </c>
      <c r="O18" s="50">
        <f>IF(A18="","",SUMIFS(Stock_PDV!$H$2:$H$800,Stock_PDV!$A$2:$A$800,A18))</f>
        <v/>
      </c>
      <c r="P18" s="48">
        <f>IF(A18="","",IF(O18&lt;=Inicio!$B$16,"Crítico",IF(O18&lt;=Inicio!$B$17,"Observar","OK")))</f>
        <v/>
      </c>
      <c r="Q18" s="48">
        <f>IF(A18="","",IF(OR(H18="Atrasado",K18="Sin venta",N18="Pendiente relevante",P18="Crítico"),"Alta",IF(OR(K18="Venta baja",N18="Pendiente menor",P18="Observar"),"Media","Baja")))</f>
        <v/>
      </c>
      <c r="R18" s="48">
        <f>IF(A18="","",IF(Q18="Alta","Gestionar esta semana",IF(Q18="Media","Hacer seguimiento","Mantener")))</f>
        <v/>
      </c>
      <c r="S18" s="68">
        <f>IF(A18="","",IF(I18=0,"Sin venta",IF(I18&gt;=cfg_VentaAlta,"Alta",IF(I18&lt;cfg_VentaBaja,"Baja","Media"))))</f>
        <v/>
      </c>
    </row>
    <row r="19" ht="20" customHeight="1" s="36">
      <c r="A19" s="48">
        <f>IF(Clientes_PDV!A19="","",Clientes_PDV!A19)</f>
        <v/>
      </c>
      <c r="B19" s="48">
        <f>IF(A19="","",IFERROR(VLOOKUP(A19,Clientes_PDV!$A$2:$J$250,2,FALSE),""))</f>
        <v/>
      </c>
      <c r="C19" s="48">
        <f>IF(A19="","",IFERROR(VLOOKUP(A19,Clientes_PDV!$A$2:$J$250,3,FALSE),""))</f>
        <v/>
      </c>
      <c r="D19" s="48">
        <f>IF(A19="","",IFERROR(VLOOKUP(A19,Clientes_PDV!$A$2:$J$250,4,FALSE),""))</f>
        <v/>
      </c>
      <c r="E19" s="48">
        <f>IF(A19="","",IFERROR(VLOOKUP(A19,Clientes_PDV!$A$2:$J$250,7,FALSE),""))</f>
        <v/>
      </c>
      <c r="F19" s="49">
        <f>IF(A19="","",IFERROR(VLOOKUP(A19,Clientes_PDV!$A$2:$J$250,8,FALSE),""))</f>
        <v/>
      </c>
      <c r="G19" s="50">
        <f>IF(F19="","",TODAY()-F19)</f>
        <v/>
      </c>
      <c r="H19" s="48">
        <f>IF(A19="","",IF(F19="","Sin visita",IF(G19&lt;=IFERROR(VLOOKUP(E19,Inicio!$A$24:$B$26,2,FALSE),0),"Vigente","Atrasado")))</f>
        <v/>
      </c>
      <c r="I19" s="51">
        <f>IF(A19="","",SUMIFS(Ventas_SellIn!$L$2:$L$800,Ventas_SellIn!$D$2:$D$800,A19,Ventas_SellIn!$B$2:$B$800,"&gt;="&amp;TODAY()-Inicio!$B$14))</f>
        <v/>
      </c>
      <c r="J19" s="50">
        <f>IF(A19="","",SUMIFS(SellOut_Jumbo!$F$2:$F$800,SellOut_Jumbo!$C$2:$C$800,D19,SellOut_Jumbo!$A$2:$A$800,"&gt;="&amp;TODAY()-Inicio!$B$14))</f>
        <v/>
      </c>
      <c r="K19" s="48">
        <f>IF(A19="","",IF(I19=0,"Sin venta",IF(I19&lt;Inicio!$B$15,"Venta baja","Venta OK")))</f>
        <v/>
      </c>
      <c r="L19" s="50">
        <f>IF(A19="","",COUNTIFS(Ventas_SellIn!$D$2:$D$800,A19,Ventas_SellIn!$R$2:$R$800,"&gt;0"))</f>
        <v/>
      </c>
      <c r="M19" s="51">
        <f>IF(A19="","",SUMIFS(Ventas_SellIn!$R$2:$R$800,Ventas_SellIn!$D$2:$D$800,A19))</f>
        <v/>
      </c>
      <c r="N19" s="48">
        <f>IF(A19="","",IF(M19&gt;=Inicio!$B$18,"Pendiente relevante",IF(M19&gt;0,"Pendiente menor","Sin deuda")))</f>
        <v/>
      </c>
      <c r="O19" s="50">
        <f>IF(A19="","",SUMIFS(Stock_PDV!$H$2:$H$800,Stock_PDV!$A$2:$A$800,A19))</f>
        <v/>
      </c>
      <c r="P19" s="48">
        <f>IF(A19="","",IF(O19&lt;=Inicio!$B$16,"Crítico",IF(O19&lt;=Inicio!$B$17,"Observar","OK")))</f>
        <v/>
      </c>
      <c r="Q19" s="48">
        <f>IF(A19="","",IF(OR(H19="Atrasado",K19="Sin venta",N19="Pendiente relevante",P19="Crítico"),"Alta",IF(OR(K19="Venta baja",N19="Pendiente menor",P19="Observar"),"Media","Baja")))</f>
        <v/>
      </c>
      <c r="R19" s="48">
        <f>IF(A19="","",IF(Q19="Alta","Gestionar esta semana",IF(Q19="Media","Hacer seguimiento","Mantener")))</f>
        <v/>
      </c>
      <c r="S19" s="68">
        <f>IF(A19="","",IF(I19=0,"Sin venta",IF(I19&gt;=cfg_VentaAlta,"Alta",IF(I19&lt;cfg_VentaBaja,"Baja","Media"))))</f>
        <v/>
      </c>
    </row>
    <row r="20" ht="20" customHeight="1" s="36">
      <c r="A20" s="48">
        <f>IF(Clientes_PDV!A20="","",Clientes_PDV!A20)</f>
        <v/>
      </c>
      <c r="B20" s="48">
        <f>IF(A20="","",IFERROR(VLOOKUP(A20,Clientes_PDV!$A$2:$J$250,2,FALSE),""))</f>
        <v/>
      </c>
      <c r="C20" s="48">
        <f>IF(A20="","",IFERROR(VLOOKUP(A20,Clientes_PDV!$A$2:$J$250,3,FALSE),""))</f>
        <v/>
      </c>
      <c r="D20" s="48">
        <f>IF(A20="","",IFERROR(VLOOKUP(A20,Clientes_PDV!$A$2:$J$250,4,FALSE),""))</f>
        <v/>
      </c>
      <c r="E20" s="48">
        <f>IF(A20="","",IFERROR(VLOOKUP(A20,Clientes_PDV!$A$2:$J$250,7,FALSE),""))</f>
        <v/>
      </c>
      <c r="F20" s="49">
        <f>IF(A20="","",IFERROR(VLOOKUP(A20,Clientes_PDV!$A$2:$J$250,8,FALSE),""))</f>
        <v/>
      </c>
      <c r="G20" s="50">
        <f>IF(F20="","",TODAY()-F20)</f>
        <v/>
      </c>
      <c r="H20" s="48">
        <f>IF(A20="","",IF(F20="","Sin visita",IF(G20&lt;=IFERROR(VLOOKUP(E20,Inicio!$A$24:$B$26,2,FALSE),0),"Vigente","Atrasado")))</f>
        <v/>
      </c>
      <c r="I20" s="51">
        <f>IF(A20="","",SUMIFS(Ventas_SellIn!$L$2:$L$800,Ventas_SellIn!$D$2:$D$800,A20,Ventas_SellIn!$B$2:$B$800,"&gt;="&amp;TODAY()-Inicio!$B$14))</f>
        <v/>
      </c>
      <c r="J20" s="50">
        <f>IF(A20="","",SUMIFS(SellOut_Jumbo!$F$2:$F$800,SellOut_Jumbo!$C$2:$C$800,D20,SellOut_Jumbo!$A$2:$A$800,"&gt;="&amp;TODAY()-Inicio!$B$14))</f>
        <v/>
      </c>
      <c r="K20" s="48">
        <f>IF(A20="","",IF(I20=0,"Sin venta",IF(I20&lt;Inicio!$B$15,"Venta baja","Venta OK")))</f>
        <v/>
      </c>
      <c r="L20" s="50">
        <f>IF(A20="","",COUNTIFS(Ventas_SellIn!$D$2:$D$800,A20,Ventas_SellIn!$R$2:$R$800,"&gt;0"))</f>
        <v/>
      </c>
      <c r="M20" s="51">
        <f>IF(A20="","",SUMIFS(Ventas_SellIn!$R$2:$R$800,Ventas_SellIn!$D$2:$D$800,A20))</f>
        <v/>
      </c>
      <c r="N20" s="48">
        <f>IF(A20="","",IF(M20&gt;=Inicio!$B$18,"Pendiente relevante",IF(M20&gt;0,"Pendiente menor","Sin deuda")))</f>
        <v/>
      </c>
      <c r="O20" s="50">
        <f>IF(A20="","",SUMIFS(Stock_PDV!$H$2:$H$800,Stock_PDV!$A$2:$A$800,A20))</f>
        <v/>
      </c>
      <c r="P20" s="48">
        <f>IF(A20="","",IF(O20&lt;=Inicio!$B$16,"Crítico",IF(O20&lt;=Inicio!$B$17,"Observar","OK")))</f>
        <v/>
      </c>
      <c r="Q20" s="48">
        <f>IF(A20="","",IF(OR(H20="Atrasado",K20="Sin venta",N20="Pendiente relevante",P20="Crítico"),"Alta",IF(OR(K20="Venta baja",N20="Pendiente menor",P20="Observar"),"Media","Baja")))</f>
        <v/>
      </c>
      <c r="R20" s="48">
        <f>IF(A20="","",IF(Q20="Alta","Gestionar esta semana",IF(Q20="Media","Hacer seguimiento","Mantener")))</f>
        <v/>
      </c>
      <c r="S20" s="68">
        <f>IF(A20="","",IF(I20=0,"Sin venta",IF(I20&gt;=cfg_VentaAlta,"Alta",IF(I20&lt;cfg_VentaBaja,"Baja","Media"))))</f>
        <v/>
      </c>
    </row>
    <row r="21" ht="20" customHeight="1" s="36">
      <c r="A21" s="48">
        <f>IF(Clientes_PDV!A21="","",Clientes_PDV!A21)</f>
        <v/>
      </c>
      <c r="B21" s="48">
        <f>IF(A21="","",IFERROR(VLOOKUP(A21,Clientes_PDV!$A$2:$J$250,2,FALSE),""))</f>
        <v/>
      </c>
      <c r="C21" s="48">
        <f>IF(A21="","",IFERROR(VLOOKUP(A21,Clientes_PDV!$A$2:$J$250,3,FALSE),""))</f>
        <v/>
      </c>
      <c r="D21" s="48">
        <f>IF(A21="","",IFERROR(VLOOKUP(A21,Clientes_PDV!$A$2:$J$250,4,FALSE),""))</f>
        <v/>
      </c>
      <c r="E21" s="48">
        <f>IF(A21="","",IFERROR(VLOOKUP(A21,Clientes_PDV!$A$2:$J$250,7,FALSE),""))</f>
        <v/>
      </c>
      <c r="F21" s="49">
        <f>IF(A21="","",IFERROR(VLOOKUP(A21,Clientes_PDV!$A$2:$J$250,8,FALSE),""))</f>
        <v/>
      </c>
      <c r="G21" s="50">
        <f>IF(F21="","",TODAY()-F21)</f>
        <v/>
      </c>
      <c r="H21" s="48">
        <f>IF(A21="","",IF(F21="","Sin visita",IF(G21&lt;=IFERROR(VLOOKUP(E21,Inicio!$A$24:$B$26,2,FALSE),0),"Vigente","Atrasado")))</f>
        <v/>
      </c>
      <c r="I21" s="51">
        <f>IF(A21="","",SUMIFS(Ventas_SellIn!$L$2:$L$800,Ventas_SellIn!$D$2:$D$800,A21,Ventas_SellIn!$B$2:$B$800,"&gt;="&amp;TODAY()-Inicio!$B$14))</f>
        <v/>
      </c>
      <c r="J21" s="50">
        <f>IF(A21="","",SUMIFS(SellOut_Jumbo!$F$2:$F$800,SellOut_Jumbo!$C$2:$C$800,D21,SellOut_Jumbo!$A$2:$A$800,"&gt;="&amp;TODAY()-Inicio!$B$14))</f>
        <v/>
      </c>
      <c r="K21" s="48">
        <f>IF(A21="","",IF(I21=0,"Sin venta",IF(I21&lt;Inicio!$B$15,"Venta baja","Venta OK")))</f>
        <v/>
      </c>
      <c r="L21" s="50">
        <f>IF(A21="","",COUNTIFS(Ventas_SellIn!$D$2:$D$800,A21,Ventas_SellIn!$R$2:$R$800,"&gt;0"))</f>
        <v/>
      </c>
      <c r="M21" s="51">
        <f>IF(A21="","",SUMIFS(Ventas_SellIn!$R$2:$R$800,Ventas_SellIn!$D$2:$D$800,A21))</f>
        <v/>
      </c>
      <c r="N21" s="48">
        <f>IF(A21="","",IF(M21&gt;=Inicio!$B$18,"Pendiente relevante",IF(M21&gt;0,"Pendiente menor","Sin deuda")))</f>
        <v/>
      </c>
      <c r="O21" s="50">
        <f>IF(A21="","",SUMIFS(Stock_PDV!$H$2:$H$800,Stock_PDV!$A$2:$A$800,A21))</f>
        <v/>
      </c>
      <c r="P21" s="48">
        <f>IF(A21="","",IF(O21&lt;=Inicio!$B$16,"Crítico",IF(O21&lt;=Inicio!$B$17,"Observar","OK")))</f>
        <v/>
      </c>
      <c r="Q21" s="48">
        <f>IF(A21="","",IF(OR(H21="Atrasado",K21="Sin venta",N21="Pendiente relevante",P21="Crítico"),"Alta",IF(OR(K21="Venta baja",N21="Pendiente menor",P21="Observar"),"Media","Baja")))</f>
        <v/>
      </c>
      <c r="R21" s="48">
        <f>IF(A21="","",IF(Q21="Alta","Gestionar esta semana",IF(Q21="Media","Hacer seguimiento","Mantener")))</f>
        <v/>
      </c>
      <c r="S21" s="68">
        <f>IF(A21="","",IF(I21=0,"Sin venta",IF(I21&gt;=cfg_VentaAlta,"Alta",IF(I21&lt;cfg_VentaBaja,"Baja","Media"))))</f>
        <v/>
      </c>
    </row>
    <row r="22" ht="20" customHeight="1" s="36">
      <c r="A22" s="48">
        <f>IF(Clientes_PDV!A22="","",Clientes_PDV!A22)</f>
        <v/>
      </c>
      <c r="B22" s="48">
        <f>IF(A22="","",IFERROR(VLOOKUP(A22,Clientes_PDV!$A$2:$J$250,2,FALSE),""))</f>
        <v/>
      </c>
      <c r="C22" s="48">
        <f>IF(A22="","",IFERROR(VLOOKUP(A22,Clientes_PDV!$A$2:$J$250,3,FALSE),""))</f>
        <v/>
      </c>
      <c r="D22" s="48">
        <f>IF(A22="","",IFERROR(VLOOKUP(A22,Clientes_PDV!$A$2:$J$250,4,FALSE),""))</f>
        <v/>
      </c>
      <c r="E22" s="48">
        <f>IF(A22="","",IFERROR(VLOOKUP(A22,Clientes_PDV!$A$2:$J$250,7,FALSE),""))</f>
        <v/>
      </c>
      <c r="F22" s="49">
        <f>IF(A22="","",IFERROR(VLOOKUP(A22,Clientes_PDV!$A$2:$J$250,8,FALSE),""))</f>
        <v/>
      </c>
      <c r="G22" s="50">
        <f>IF(F22="","",TODAY()-F22)</f>
        <v/>
      </c>
      <c r="H22" s="48">
        <f>IF(A22="","",IF(F22="","Sin visita",IF(G22&lt;=IFERROR(VLOOKUP(E22,Inicio!$A$24:$B$26,2,FALSE),0),"Vigente","Atrasado")))</f>
        <v/>
      </c>
      <c r="I22" s="51">
        <f>IF(A22="","",SUMIFS(Ventas_SellIn!$L$2:$L$800,Ventas_SellIn!$D$2:$D$800,A22,Ventas_SellIn!$B$2:$B$800,"&gt;="&amp;TODAY()-Inicio!$B$14))</f>
        <v/>
      </c>
      <c r="J22" s="50">
        <f>IF(A22="","",SUMIFS(SellOut_Jumbo!$F$2:$F$800,SellOut_Jumbo!$C$2:$C$800,D22,SellOut_Jumbo!$A$2:$A$800,"&gt;="&amp;TODAY()-Inicio!$B$14))</f>
        <v/>
      </c>
      <c r="K22" s="48">
        <f>IF(A22="","",IF(I22=0,"Sin venta",IF(I22&lt;Inicio!$B$15,"Venta baja","Venta OK")))</f>
        <v/>
      </c>
      <c r="L22" s="50">
        <f>IF(A22="","",COUNTIFS(Ventas_SellIn!$D$2:$D$800,A22,Ventas_SellIn!$R$2:$R$800,"&gt;0"))</f>
        <v/>
      </c>
      <c r="M22" s="51">
        <f>IF(A22="","",SUMIFS(Ventas_SellIn!$R$2:$R$800,Ventas_SellIn!$D$2:$D$800,A22))</f>
        <v/>
      </c>
      <c r="N22" s="48">
        <f>IF(A22="","",IF(M22&gt;=Inicio!$B$18,"Pendiente relevante",IF(M22&gt;0,"Pendiente menor","Sin deuda")))</f>
        <v/>
      </c>
      <c r="O22" s="50">
        <f>IF(A22="","",SUMIFS(Stock_PDV!$H$2:$H$800,Stock_PDV!$A$2:$A$800,A22))</f>
        <v/>
      </c>
      <c r="P22" s="48">
        <f>IF(A22="","",IF(O22&lt;=Inicio!$B$16,"Crítico",IF(O22&lt;=Inicio!$B$17,"Observar","OK")))</f>
        <v/>
      </c>
      <c r="Q22" s="48">
        <f>IF(A22="","",IF(OR(H22="Atrasado",K22="Sin venta",N22="Pendiente relevante",P22="Crítico"),"Alta",IF(OR(K22="Venta baja",N22="Pendiente menor",P22="Observar"),"Media","Baja")))</f>
        <v/>
      </c>
      <c r="R22" s="48">
        <f>IF(A22="","",IF(Q22="Alta","Gestionar esta semana",IF(Q22="Media","Hacer seguimiento","Mantener")))</f>
        <v/>
      </c>
      <c r="S22" s="68">
        <f>IF(A22="","",IF(I22=0,"Sin venta",IF(I22&gt;=cfg_VentaAlta,"Alta",IF(I22&lt;cfg_VentaBaja,"Baja","Media"))))</f>
        <v/>
      </c>
    </row>
    <row r="23" ht="20" customHeight="1" s="36">
      <c r="A23" s="48">
        <f>IF(Clientes_PDV!A23="","",Clientes_PDV!A23)</f>
        <v/>
      </c>
      <c r="B23" s="48">
        <f>IF(A23="","",IFERROR(VLOOKUP(A23,Clientes_PDV!$A$2:$J$250,2,FALSE),""))</f>
        <v/>
      </c>
      <c r="C23" s="48">
        <f>IF(A23="","",IFERROR(VLOOKUP(A23,Clientes_PDV!$A$2:$J$250,3,FALSE),""))</f>
        <v/>
      </c>
      <c r="D23" s="48">
        <f>IF(A23="","",IFERROR(VLOOKUP(A23,Clientes_PDV!$A$2:$J$250,4,FALSE),""))</f>
        <v/>
      </c>
      <c r="E23" s="48">
        <f>IF(A23="","",IFERROR(VLOOKUP(A23,Clientes_PDV!$A$2:$J$250,7,FALSE),""))</f>
        <v/>
      </c>
      <c r="F23" s="49">
        <f>IF(A23="","",IFERROR(VLOOKUP(A23,Clientes_PDV!$A$2:$J$250,8,FALSE),""))</f>
        <v/>
      </c>
      <c r="G23" s="50">
        <f>IF(F23="","",TODAY()-F23)</f>
        <v/>
      </c>
      <c r="H23" s="48">
        <f>IF(A23="","",IF(F23="","Sin visita",IF(G23&lt;=IFERROR(VLOOKUP(E23,Inicio!$A$24:$B$26,2,FALSE),0),"Vigente","Atrasado")))</f>
        <v/>
      </c>
      <c r="I23" s="51">
        <f>IF(A23="","",SUMIFS(Ventas_SellIn!$L$2:$L$800,Ventas_SellIn!$D$2:$D$800,A23,Ventas_SellIn!$B$2:$B$800,"&gt;="&amp;TODAY()-Inicio!$B$14))</f>
        <v/>
      </c>
      <c r="J23" s="50">
        <f>IF(A23="","",SUMIFS(SellOut_Jumbo!$F$2:$F$800,SellOut_Jumbo!$C$2:$C$800,D23,SellOut_Jumbo!$A$2:$A$800,"&gt;="&amp;TODAY()-Inicio!$B$14))</f>
        <v/>
      </c>
      <c r="K23" s="48">
        <f>IF(A23="","",IF(I23=0,"Sin venta",IF(I23&lt;Inicio!$B$15,"Venta baja","Venta OK")))</f>
        <v/>
      </c>
      <c r="L23" s="50">
        <f>IF(A23="","",COUNTIFS(Ventas_SellIn!$D$2:$D$800,A23,Ventas_SellIn!$R$2:$R$800,"&gt;0"))</f>
        <v/>
      </c>
      <c r="M23" s="51">
        <f>IF(A23="","",SUMIFS(Ventas_SellIn!$R$2:$R$800,Ventas_SellIn!$D$2:$D$800,A23))</f>
        <v/>
      </c>
      <c r="N23" s="48">
        <f>IF(A23="","",IF(M23&gt;=Inicio!$B$18,"Pendiente relevante",IF(M23&gt;0,"Pendiente menor","Sin deuda")))</f>
        <v/>
      </c>
      <c r="O23" s="50">
        <f>IF(A23="","",SUMIFS(Stock_PDV!$H$2:$H$800,Stock_PDV!$A$2:$A$800,A23))</f>
        <v/>
      </c>
      <c r="P23" s="48">
        <f>IF(A23="","",IF(O23&lt;=Inicio!$B$16,"Crítico",IF(O23&lt;=Inicio!$B$17,"Observar","OK")))</f>
        <v/>
      </c>
      <c r="Q23" s="48">
        <f>IF(A23="","",IF(OR(H23="Atrasado",K23="Sin venta",N23="Pendiente relevante",P23="Crítico"),"Alta",IF(OR(K23="Venta baja",N23="Pendiente menor",P23="Observar"),"Media","Baja")))</f>
        <v/>
      </c>
      <c r="R23" s="48">
        <f>IF(A23="","",IF(Q23="Alta","Gestionar esta semana",IF(Q23="Media","Hacer seguimiento","Mantener")))</f>
        <v/>
      </c>
      <c r="S23" s="68">
        <f>IF(A23="","",IF(I23=0,"Sin venta",IF(I23&gt;=cfg_VentaAlta,"Alta",IF(I23&lt;cfg_VentaBaja,"Baja","Media"))))</f>
        <v/>
      </c>
    </row>
    <row r="24" ht="20" customHeight="1" s="36">
      <c r="A24" s="48">
        <f>IF(Clientes_PDV!A24="","",Clientes_PDV!A24)</f>
        <v/>
      </c>
      <c r="B24" s="48">
        <f>IF(A24="","",IFERROR(VLOOKUP(A24,Clientes_PDV!$A$2:$J$250,2,FALSE),""))</f>
        <v/>
      </c>
      <c r="C24" s="48">
        <f>IF(A24="","",IFERROR(VLOOKUP(A24,Clientes_PDV!$A$2:$J$250,3,FALSE),""))</f>
        <v/>
      </c>
      <c r="D24" s="48">
        <f>IF(A24="","",IFERROR(VLOOKUP(A24,Clientes_PDV!$A$2:$J$250,4,FALSE),""))</f>
        <v/>
      </c>
      <c r="E24" s="48">
        <f>IF(A24="","",IFERROR(VLOOKUP(A24,Clientes_PDV!$A$2:$J$250,7,FALSE),""))</f>
        <v/>
      </c>
      <c r="F24" s="49">
        <f>IF(A24="","",IFERROR(VLOOKUP(A24,Clientes_PDV!$A$2:$J$250,8,FALSE),""))</f>
        <v/>
      </c>
      <c r="G24" s="50">
        <f>IF(F24="","",TODAY()-F24)</f>
        <v/>
      </c>
      <c r="H24" s="48">
        <f>IF(A24="","",IF(F24="","Sin visita",IF(G24&lt;=IFERROR(VLOOKUP(E24,Inicio!$A$24:$B$26,2,FALSE),0),"Vigente","Atrasado")))</f>
        <v/>
      </c>
      <c r="I24" s="51">
        <f>IF(A24="","",SUMIFS(Ventas_SellIn!$L$2:$L$800,Ventas_SellIn!$D$2:$D$800,A24,Ventas_SellIn!$B$2:$B$800,"&gt;="&amp;TODAY()-Inicio!$B$14))</f>
        <v/>
      </c>
      <c r="J24" s="50">
        <f>IF(A24="","",SUMIFS(SellOut_Jumbo!$F$2:$F$800,SellOut_Jumbo!$C$2:$C$800,D24,SellOut_Jumbo!$A$2:$A$800,"&gt;="&amp;TODAY()-Inicio!$B$14))</f>
        <v/>
      </c>
      <c r="K24" s="48">
        <f>IF(A24="","",IF(I24=0,"Sin venta",IF(I24&lt;Inicio!$B$15,"Venta baja","Venta OK")))</f>
        <v/>
      </c>
      <c r="L24" s="50">
        <f>IF(A24="","",COUNTIFS(Ventas_SellIn!$D$2:$D$800,A24,Ventas_SellIn!$R$2:$R$800,"&gt;0"))</f>
        <v/>
      </c>
      <c r="M24" s="51">
        <f>IF(A24="","",SUMIFS(Ventas_SellIn!$R$2:$R$800,Ventas_SellIn!$D$2:$D$800,A24))</f>
        <v/>
      </c>
      <c r="N24" s="48">
        <f>IF(A24="","",IF(M24&gt;=Inicio!$B$18,"Pendiente relevante",IF(M24&gt;0,"Pendiente menor","Sin deuda")))</f>
        <v/>
      </c>
      <c r="O24" s="50">
        <f>IF(A24="","",SUMIFS(Stock_PDV!$H$2:$H$800,Stock_PDV!$A$2:$A$800,A24))</f>
        <v/>
      </c>
      <c r="P24" s="48">
        <f>IF(A24="","",IF(O24&lt;=Inicio!$B$16,"Crítico",IF(O24&lt;=Inicio!$B$17,"Observar","OK")))</f>
        <v/>
      </c>
      <c r="Q24" s="48">
        <f>IF(A24="","",IF(OR(H24="Atrasado",K24="Sin venta",N24="Pendiente relevante",P24="Crítico"),"Alta",IF(OR(K24="Venta baja",N24="Pendiente menor",P24="Observar"),"Media","Baja")))</f>
        <v/>
      </c>
      <c r="R24" s="48">
        <f>IF(A24="","",IF(Q24="Alta","Gestionar esta semana",IF(Q24="Media","Hacer seguimiento","Mantener")))</f>
        <v/>
      </c>
      <c r="S24" s="68">
        <f>IF(A24="","",IF(I24=0,"Sin venta",IF(I24&gt;=cfg_VentaAlta,"Alta",IF(I24&lt;cfg_VentaBaja,"Baja","Media"))))</f>
        <v/>
      </c>
    </row>
    <row r="25" ht="20" customHeight="1" s="36">
      <c r="A25" s="48">
        <f>IF(Clientes_PDV!A25="","",Clientes_PDV!A25)</f>
        <v/>
      </c>
      <c r="B25" s="48">
        <f>IF(A25="","",IFERROR(VLOOKUP(A25,Clientes_PDV!$A$2:$J$250,2,FALSE),""))</f>
        <v/>
      </c>
      <c r="C25" s="48">
        <f>IF(A25="","",IFERROR(VLOOKUP(A25,Clientes_PDV!$A$2:$J$250,3,FALSE),""))</f>
        <v/>
      </c>
      <c r="D25" s="48">
        <f>IF(A25="","",IFERROR(VLOOKUP(A25,Clientes_PDV!$A$2:$J$250,4,FALSE),""))</f>
        <v/>
      </c>
      <c r="E25" s="48">
        <f>IF(A25="","",IFERROR(VLOOKUP(A25,Clientes_PDV!$A$2:$J$250,7,FALSE),""))</f>
        <v/>
      </c>
      <c r="F25" s="49">
        <f>IF(A25="","",IFERROR(VLOOKUP(A25,Clientes_PDV!$A$2:$J$250,8,FALSE),""))</f>
        <v/>
      </c>
      <c r="G25" s="50">
        <f>IF(F25="","",TODAY()-F25)</f>
        <v/>
      </c>
      <c r="H25" s="48">
        <f>IF(A25="","",IF(F25="","Sin visita",IF(G25&lt;=IFERROR(VLOOKUP(E25,Inicio!$A$24:$B$26,2,FALSE),0),"Vigente","Atrasado")))</f>
        <v/>
      </c>
      <c r="I25" s="51">
        <f>IF(A25="","",SUMIFS(Ventas_SellIn!$L$2:$L$800,Ventas_SellIn!$D$2:$D$800,A25,Ventas_SellIn!$B$2:$B$800,"&gt;="&amp;TODAY()-Inicio!$B$14))</f>
        <v/>
      </c>
      <c r="J25" s="50">
        <f>IF(A25="","",SUMIFS(SellOut_Jumbo!$F$2:$F$800,SellOut_Jumbo!$C$2:$C$800,D25,SellOut_Jumbo!$A$2:$A$800,"&gt;="&amp;TODAY()-Inicio!$B$14))</f>
        <v/>
      </c>
      <c r="K25" s="48">
        <f>IF(A25="","",IF(I25=0,"Sin venta",IF(I25&lt;Inicio!$B$15,"Venta baja","Venta OK")))</f>
        <v/>
      </c>
      <c r="L25" s="50">
        <f>IF(A25="","",COUNTIFS(Ventas_SellIn!$D$2:$D$800,A25,Ventas_SellIn!$R$2:$R$800,"&gt;0"))</f>
        <v/>
      </c>
      <c r="M25" s="51">
        <f>IF(A25="","",SUMIFS(Ventas_SellIn!$R$2:$R$800,Ventas_SellIn!$D$2:$D$800,A25))</f>
        <v/>
      </c>
      <c r="N25" s="48">
        <f>IF(A25="","",IF(M25&gt;=Inicio!$B$18,"Pendiente relevante",IF(M25&gt;0,"Pendiente menor","Sin deuda")))</f>
        <v/>
      </c>
      <c r="O25" s="50">
        <f>IF(A25="","",SUMIFS(Stock_PDV!$H$2:$H$800,Stock_PDV!$A$2:$A$800,A25))</f>
        <v/>
      </c>
      <c r="P25" s="48">
        <f>IF(A25="","",IF(O25&lt;=Inicio!$B$16,"Crítico",IF(O25&lt;=Inicio!$B$17,"Observar","OK")))</f>
        <v/>
      </c>
      <c r="Q25" s="48">
        <f>IF(A25="","",IF(OR(H25="Atrasado",K25="Sin venta",N25="Pendiente relevante",P25="Crítico"),"Alta",IF(OR(K25="Venta baja",N25="Pendiente menor",P25="Observar"),"Media","Baja")))</f>
        <v/>
      </c>
      <c r="R25" s="48">
        <f>IF(A25="","",IF(Q25="Alta","Gestionar esta semana",IF(Q25="Media","Hacer seguimiento","Mantener")))</f>
        <v/>
      </c>
      <c r="S25" s="68">
        <f>IF(A25="","",IF(I25=0,"Sin venta",IF(I25&gt;=cfg_VentaAlta,"Alta",IF(I25&lt;cfg_VentaBaja,"Baja","Media"))))</f>
        <v/>
      </c>
    </row>
    <row r="26" ht="20" customHeight="1" s="36">
      <c r="A26" s="48">
        <f>IF(Clientes_PDV!A26="","",Clientes_PDV!A26)</f>
        <v/>
      </c>
      <c r="B26" s="48">
        <f>IF(A26="","",IFERROR(VLOOKUP(A26,Clientes_PDV!$A$2:$J$250,2,FALSE),""))</f>
        <v/>
      </c>
      <c r="C26" s="48">
        <f>IF(A26="","",IFERROR(VLOOKUP(A26,Clientes_PDV!$A$2:$J$250,3,FALSE),""))</f>
        <v/>
      </c>
      <c r="D26" s="48">
        <f>IF(A26="","",IFERROR(VLOOKUP(A26,Clientes_PDV!$A$2:$J$250,4,FALSE),""))</f>
        <v/>
      </c>
      <c r="E26" s="48">
        <f>IF(A26="","",IFERROR(VLOOKUP(A26,Clientes_PDV!$A$2:$J$250,7,FALSE),""))</f>
        <v/>
      </c>
      <c r="F26" s="49">
        <f>IF(A26="","",IFERROR(VLOOKUP(A26,Clientes_PDV!$A$2:$J$250,8,FALSE),""))</f>
        <v/>
      </c>
      <c r="G26" s="50">
        <f>IF(F26="","",TODAY()-F26)</f>
        <v/>
      </c>
      <c r="H26" s="48">
        <f>IF(A26="","",IF(F26="","Sin visita",IF(G26&lt;=IFERROR(VLOOKUP(E26,Inicio!$A$24:$B$26,2,FALSE),0),"Vigente","Atrasado")))</f>
        <v/>
      </c>
      <c r="I26" s="51">
        <f>IF(A26="","",SUMIFS(Ventas_SellIn!$L$2:$L$800,Ventas_SellIn!$D$2:$D$800,A26,Ventas_SellIn!$B$2:$B$800,"&gt;="&amp;TODAY()-Inicio!$B$14))</f>
        <v/>
      </c>
      <c r="J26" s="50">
        <f>IF(A26="","",SUMIFS(SellOut_Jumbo!$F$2:$F$800,SellOut_Jumbo!$C$2:$C$800,D26,SellOut_Jumbo!$A$2:$A$800,"&gt;="&amp;TODAY()-Inicio!$B$14))</f>
        <v/>
      </c>
      <c r="K26" s="48">
        <f>IF(A26="","",IF(I26=0,"Sin venta",IF(I26&lt;Inicio!$B$15,"Venta baja","Venta OK")))</f>
        <v/>
      </c>
      <c r="L26" s="50">
        <f>IF(A26="","",COUNTIFS(Ventas_SellIn!$D$2:$D$800,A26,Ventas_SellIn!$R$2:$R$800,"&gt;0"))</f>
        <v/>
      </c>
      <c r="M26" s="51">
        <f>IF(A26="","",SUMIFS(Ventas_SellIn!$R$2:$R$800,Ventas_SellIn!$D$2:$D$800,A26))</f>
        <v/>
      </c>
      <c r="N26" s="48">
        <f>IF(A26="","",IF(M26&gt;=Inicio!$B$18,"Pendiente relevante",IF(M26&gt;0,"Pendiente menor","Sin deuda")))</f>
        <v/>
      </c>
      <c r="O26" s="50">
        <f>IF(A26="","",SUMIFS(Stock_PDV!$H$2:$H$800,Stock_PDV!$A$2:$A$800,A26))</f>
        <v/>
      </c>
      <c r="P26" s="48">
        <f>IF(A26="","",IF(O26&lt;=Inicio!$B$16,"Crítico",IF(O26&lt;=Inicio!$B$17,"Observar","OK")))</f>
        <v/>
      </c>
      <c r="Q26" s="48">
        <f>IF(A26="","",IF(OR(H26="Atrasado",K26="Sin venta",N26="Pendiente relevante",P26="Crítico"),"Alta",IF(OR(K26="Venta baja",N26="Pendiente menor",P26="Observar"),"Media","Baja")))</f>
        <v/>
      </c>
      <c r="R26" s="48">
        <f>IF(A26="","",IF(Q26="Alta","Gestionar esta semana",IF(Q26="Media","Hacer seguimiento","Mantener")))</f>
        <v/>
      </c>
      <c r="S26" s="68">
        <f>IF(A26="","",IF(I26=0,"Sin venta",IF(I26&gt;=cfg_VentaAlta,"Alta",IF(I26&lt;cfg_VentaBaja,"Baja","Media"))))</f>
        <v/>
      </c>
    </row>
    <row r="27" ht="20" customHeight="1" s="36">
      <c r="A27" s="48">
        <f>IF(Clientes_PDV!A27="","",Clientes_PDV!A27)</f>
        <v/>
      </c>
      <c r="B27" s="48">
        <f>IF(A27="","",IFERROR(VLOOKUP(A27,Clientes_PDV!$A$2:$J$250,2,FALSE),""))</f>
        <v/>
      </c>
      <c r="C27" s="48">
        <f>IF(A27="","",IFERROR(VLOOKUP(A27,Clientes_PDV!$A$2:$J$250,3,FALSE),""))</f>
        <v/>
      </c>
      <c r="D27" s="48">
        <f>IF(A27="","",IFERROR(VLOOKUP(A27,Clientes_PDV!$A$2:$J$250,4,FALSE),""))</f>
        <v/>
      </c>
      <c r="E27" s="48">
        <f>IF(A27="","",IFERROR(VLOOKUP(A27,Clientes_PDV!$A$2:$J$250,7,FALSE),""))</f>
        <v/>
      </c>
      <c r="F27" s="49">
        <f>IF(A27="","",IFERROR(VLOOKUP(A27,Clientes_PDV!$A$2:$J$250,8,FALSE),""))</f>
        <v/>
      </c>
      <c r="G27" s="50">
        <f>IF(F27="","",TODAY()-F27)</f>
        <v/>
      </c>
      <c r="H27" s="48">
        <f>IF(A27="","",IF(F27="","Sin visita",IF(G27&lt;=IFERROR(VLOOKUP(E27,Inicio!$A$24:$B$26,2,FALSE),0),"Vigente","Atrasado")))</f>
        <v/>
      </c>
      <c r="I27" s="51">
        <f>IF(A27="","",SUMIFS(Ventas_SellIn!$L$2:$L$800,Ventas_SellIn!$D$2:$D$800,A27,Ventas_SellIn!$B$2:$B$800,"&gt;="&amp;TODAY()-Inicio!$B$14))</f>
        <v/>
      </c>
      <c r="J27" s="50">
        <f>IF(A27="","",SUMIFS(SellOut_Jumbo!$F$2:$F$800,SellOut_Jumbo!$C$2:$C$800,D27,SellOut_Jumbo!$A$2:$A$800,"&gt;="&amp;TODAY()-Inicio!$B$14))</f>
        <v/>
      </c>
      <c r="K27" s="48">
        <f>IF(A27="","",IF(I27=0,"Sin venta",IF(I27&lt;Inicio!$B$15,"Venta baja","Venta OK")))</f>
        <v/>
      </c>
      <c r="L27" s="50">
        <f>IF(A27="","",COUNTIFS(Ventas_SellIn!$D$2:$D$800,A27,Ventas_SellIn!$R$2:$R$800,"&gt;0"))</f>
        <v/>
      </c>
      <c r="M27" s="51">
        <f>IF(A27="","",SUMIFS(Ventas_SellIn!$R$2:$R$800,Ventas_SellIn!$D$2:$D$800,A27))</f>
        <v/>
      </c>
      <c r="N27" s="48">
        <f>IF(A27="","",IF(M27&gt;=Inicio!$B$18,"Pendiente relevante",IF(M27&gt;0,"Pendiente menor","Sin deuda")))</f>
        <v/>
      </c>
      <c r="O27" s="50">
        <f>IF(A27="","",SUMIFS(Stock_PDV!$H$2:$H$800,Stock_PDV!$A$2:$A$800,A27))</f>
        <v/>
      </c>
      <c r="P27" s="48">
        <f>IF(A27="","",IF(O27&lt;=Inicio!$B$16,"Crítico",IF(O27&lt;=Inicio!$B$17,"Observar","OK")))</f>
        <v/>
      </c>
      <c r="Q27" s="48">
        <f>IF(A27="","",IF(OR(H27="Atrasado",K27="Sin venta",N27="Pendiente relevante",P27="Crítico"),"Alta",IF(OR(K27="Venta baja",N27="Pendiente menor",P27="Observar"),"Media","Baja")))</f>
        <v/>
      </c>
      <c r="R27" s="48">
        <f>IF(A27="","",IF(Q27="Alta","Gestionar esta semana",IF(Q27="Media","Hacer seguimiento","Mantener")))</f>
        <v/>
      </c>
      <c r="S27" s="68">
        <f>IF(A27="","",IF(I27=0,"Sin venta",IF(I27&gt;=cfg_VentaAlta,"Alta",IF(I27&lt;cfg_VentaBaja,"Baja","Media"))))</f>
        <v/>
      </c>
    </row>
    <row r="28" ht="20" customHeight="1" s="36">
      <c r="A28" s="48">
        <f>IF(Clientes_PDV!A28="","",Clientes_PDV!A28)</f>
        <v/>
      </c>
      <c r="B28" s="48">
        <f>IF(A28="","",IFERROR(VLOOKUP(A28,Clientes_PDV!$A$2:$J$250,2,FALSE),""))</f>
        <v/>
      </c>
      <c r="C28" s="48">
        <f>IF(A28="","",IFERROR(VLOOKUP(A28,Clientes_PDV!$A$2:$J$250,3,FALSE),""))</f>
        <v/>
      </c>
      <c r="D28" s="48">
        <f>IF(A28="","",IFERROR(VLOOKUP(A28,Clientes_PDV!$A$2:$J$250,4,FALSE),""))</f>
        <v/>
      </c>
      <c r="E28" s="48">
        <f>IF(A28="","",IFERROR(VLOOKUP(A28,Clientes_PDV!$A$2:$J$250,7,FALSE),""))</f>
        <v/>
      </c>
      <c r="F28" s="49">
        <f>IF(A28="","",IFERROR(VLOOKUP(A28,Clientes_PDV!$A$2:$J$250,8,FALSE),""))</f>
        <v/>
      </c>
      <c r="G28" s="50">
        <f>IF(F28="","",TODAY()-F28)</f>
        <v/>
      </c>
      <c r="H28" s="48">
        <f>IF(A28="","",IF(F28="","Sin visita",IF(G28&lt;=IFERROR(VLOOKUP(E28,Inicio!$A$24:$B$26,2,FALSE),0),"Vigente","Atrasado")))</f>
        <v/>
      </c>
      <c r="I28" s="51">
        <f>IF(A28="","",SUMIFS(Ventas_SellIn!$L$2:$L$800,Ventas_SellIn!$D$2:$D$800,A28,Ventas_SellIn!$B$2:$B$800,"&gt;="&amp;TODAY()-Inicio!$B$14))</f>
        <v/>
      </c>
      <c r="J28" s="50">
        <f>IF(A28="","",SUMIFS(SellOut_Jumbo!$F$2:$F$800,SellOut_Jumbo!$C$2:$C$800,D28,SellOut_Jumbo!$A$2:$A$800,"&gt;="&amp;TODAY()-Inicio!$B$14))</f>
        <v/>
      </c>
      <c r="K28" s="48">
        <f>IF(A28="","",IF(I28=0,"Sin venta",IF(I28&lt;Inicio!$B$15,"Venta baja","Venta OK")))</f>
        <v/>
      </c>
      <c r="L28" s="50">
        <f>IF(A28="","",COUNTIFS(Ventas_SellIn!$D$2:$D$800,A28,Ventas_SellIn!$R$2:$R$800,"&gt;0"))</f>
        <v/>
      </c>
      <c r="M28" s="51">
        <f>IF(A28="","",SUMIFS(Ventas_SellIn!$R$2:$R$800,Ventas_SellIn!$D$2:$D$800,A28))</f>
        <v/>
      </c>
      <c r="N28" s="48">
        <f>IF(A28="","",IF(M28&gt;=Inicio!$B$18,"Pendiente relevante",IF(M28&gt;0,"Pendiente menor","Sin deuda")))</f>
        <v/>
      </c>
      <c r="O28" s="50">
        <f>IF(A28="","",SUMIFS(Stock_PDV!$H$2:$H$800,Stock_PDV!$A$2:$A$800,A28))</f>
        <v/>
      </c>
      <c r="P28" s="48">
        <f>IF(A28="","",IF(O28&lt;=Inicio!$B$16,"Crítico",IF(O28&lt;=Inicio!$B$17,"Observar","OK")))</f>
        <v/>
      </c>
      <c r="Q28" s="48">
        <f>IF(A28="","",IF(OR(H28="Atrasado",K28="Sin venta",N28="Pendiente relevante",P28="Crítico"),"Alta",IF(OR(K28="Venta baja",N28="Pendiente menor",P28="Observar"),"Media","Baja")))</f>
        <v/>
      </c>
      <c r="R28" s="48">
        <f>IF(A28="","",IF(Q28="Alta","Gestionar esta semana",IF(Q28="Media","Hacer seguimiento","Mantener")))</f>
        <v/>
      </c>
      <c r="S28" s="68">
        <f>IF(A28="","",IF(I28=0,"Sin venta",IF(I28&gt;=cfg_VentaAlta,"Alta",IF(I28&lt;cfg_VentaBaja,"Baja","Media"))))</f>
        <v/>
      </c>
    </row>
    <row r="29" ht="20" customHeight="1" s="36">
      <c r="A29" s="48">
        <f>IF(Clientes_PDV!A29="","",Clientes_PDV!A29)</f>
        <v/>
      </c>
      <c r="B29" s="48">
        <f>IF(A29="","",IFERROR(VLOOKUP(A29,Clientes_PDV!$A$2:$J$250,2,FALSE),""))</f>
        <v/>
      </c>
      <c r="C29" s="48">
        <f>IF(A29="","",IFERROR(VLOOKUP(A29,Clientes_PDV!$A$2:$J$250,3,FALSE),""))</f>
        <v/>
      </c>
      <c r="D29" s="48">
        <f>IF(A29="","",IFERROR(VLOOKUP(A29,Clientes_PDV!$A$2:$J$250,4,FALSE),""))</f>
        <v/>
      </c>
      <c r="E29" s="48">
        <f>IF(A29="","",IFERROR(VLOOKUP(A29,Clientes_PDV!$A$2:$J$250,7,FALSE),""))</f>
        <v/>
      </c>
      <c r="F29" s="49">
        <f>IF(A29="","",IFERROR(VLOOKUP(A29,Clientes_PDV!$A$2:$J$250,8,FALSE),""))</f>
        <v/>
      </c>
      <c r="G29" s="50">
        <f>IF(F29="","",TODAY()-F29)</f>
        <v/>
      </c>
      <c r="H29" s="48">
        <f>IF(A29="","",IF(F29="","Sin visita",IF(G29&lt;=IFERROR(VLOOKUP(E29,Inicio!$A$24:$B$26,2,FALSE),0),"Vigente","Atrasado")))</f>
        <v/>
      </c>
      <c r="I29" s="51">
        <f>IF(A29="","",SUMIFS(Ventas_SellIn!$L$2:$L$800,Ventas_SellIn!$D$2:$D$800,A29,Ventas_SellIn!$B$2:$B$800,"&gt;="&amp;TODAY()-Inicio!$B$14))</f>
        <v/>
      </c>
      <c r="J29" s="50">
        <f>IF(A29="","",SUMIFS(SellOut_Jumbo!$F$2:$F$800,SellOut_Jumbo!$C$2:$C$800,D29,SellOut_Jumbo!$A$2:$A$800,"&gt;="&amp;TODAY()-Inicio!$B$14))</f>
        <v/>
      </c>
      <c r="K29" s="48">
        <f>IF(A29="","",IF(I29=0,"Sin venta",IF(I29&lt;Inicio!$B$15,"Venta baja","Venta OK")))</f>
        <v/>
      </c>
      <c r="L29" s="50">
        <f>IF(A29="","",COUNTIFS(Ventas_SellIn!$D$2:$D$800,A29,Ventas_SellIn!$R$2:$R$800,"&gt;0"))</f>
        <v/>
      </c>
      <c r="M29" s="51">
        <f>IF(A29="","",SUMIFS(Ventas_SellIn!$R$2:$R$800,Ventas_SellIn!$D$2:$D$800,A29))</f>
        <v/>
      </c>
      <c r="N29" s="48">
        <f>IF(A29="","",IF(M29&gt;=Inicio!$B$18,"Pendiente relevante",IF(M29&gt;0,"Pendiente menor","Sin deuda")))</f>
        <v/>
      </c>
      <c r="O29" s="50">
        <f>IF(A29="","",SUMIFS(Stock_PDV!$H$2:$H$800,Stock_PDV!$A$2:$A$800,A29))</f>
        <v/>
      </c>
      <c r="P29" s="48">
        <f>IF(A29="","",IF(O29&lt;=Inicio!$B$16,"Crítico",IF(O29&lt;=Inicio!$B$17,"Observar","OK")))</f>
        <v/>
      </c>
      <c r="Q29" s="48">
        <f>IF(A29="","",IF(OR(H29="Atrasado",K29="Sin venta",N29="Pendiente relevante",P29="Crítico"),"Alta",IF(OR(K29="Venta baja",N29="Pendiente menor",P29="Observar"),"Media","Baja")))</f>
        <v/>
      </c>
      <c r="R29" s="48">
        <f>IF(A29="","",IF(Q29="Alta","Gestionar esta semana",IF(Q29="Media","Hacer seguimiento","Mantener")))</f>
        <v/>
      </c>
      <c r="S29" s="68">
        <f>IF(A29="","",IF(I29=0,"Sin venta",IF(I29&gt;=cfg_VentaAlta,"Alta",IF(I29&lt;cfg_VentaBaja,"Baja","Media"))))</f>
        <v/>
      </c>
    </row>
    <row r="30" ht="20" customHeight="1" s="36">
      <c r="A30" s="48">
        <f>IF(Clientes_PDV!A30="","",Clientes_PDV!A30)</f>
        <v/>
      </c>
      <c r="B30" s="48">
        <f>IF(A30="","",IFERROR(VLOOKUP(A30,Clientes_PDV!$A$2:$J$250,2,FALSE),""))</f>
        <v/>
      </c>
      <c r="C30" s="48">
        <f>IF(A30="","",IFERROR(VLOOKUP(A30,Clientes_PDV!$A$2:$J$250,3,FALSE),""))</f>
        <v/>
      </c>
      <c r="D30" s="48">
        <f>IF(A30="","",IFERROR(VLOOKUP(A30,Clientes_PDV!$A$2:$J$250,4,FALSE),""))</f>
        <v/>
      </c>
      <c r="E30" s="48">
        <f>IF(A30="","",IFERROR(VLOOKUP(A30,Clientes_PDV!$A$2:$J$250,7,FALSE),""))</f>
        <v/>
      </c>
      <c r="F30" s="49">
        <f>IF(A30="","",IFERROR(VLOOKUP(A30,Clientes_PDV!$A$2:$J$250,8,FALSE),""))</f>
        <v/>
      </c>
      <c r="G30" s="50">
        <f>IF(F30="","",TODAY()-F30)</f>
        <v/>
      </c>
      <c r="H30" s="48">
        <f>IF(A30="","",IF(F30="","Sin visita",IF(G30&lt;=IFERROR(VLOOKUP(E30,Inicio!$A$24:$B$26,2,FALSE),0),"Vigente","Atrasado")))</f>
        <v/>
      </c>
      <c r="I30" s="51">
        <f>IF(A30="","",SUMIFS(Ventas_SellIn!$L$2:$L$800,Ventas_SellIn!$D$2:$D$800,A30,Ventas_SellIn!$B$2:$B$800,"&gt;="&amp;TODAY()-Inicio!$B$14))</f>
        <v/>
      </c>
      <c r="J30" s="50">
        <f>IF(A30="","",SUMIFS(SellOut_Jumbo!$F$2:$F$800,SellOut_Jumbo!$C$2:$C$800,D30,SellOut_Jumbo!$A$2:$A$800,"&gt;="&amp;TODAY()-Inicio!$B$14))</f>
        <v/>
      </c>
      <c r="K30" s="48">
        <f>IF(A30="","",IF(I30=0,"Sin venta",IF(I30&lt;Inicio!$B$15,"Venta baja","Venta OK")))</f>
        <v/>
      </c>
      <c r="L30" s="50">
        <f>IF(A30="","",COUNTIFS(Ventas_SellIn!$D$2:$D$800,A30,Ventas_SellIn!$R$2:$R$800,"&gt;0"))</f>
        <v/>
      </c>
      <c r="M30" s="51">
        <f>IF(A30="","",SUMIFS(Ventas_SellIn!$R$2:$R$800,Ventas_SellIn!$D$2:$D$800,A30))</f>
        <v/>
      </c>
      <c r="N30" s="48">
        <f>IF(A30="","",IF(M30&gt;=Inicio!$B$18,"Pendiente relevante",IF(M30&gt;0,"Pendiente menor","Sin deuda")))</f>
        <v/>
      </c>
      <c r="O30" s="50">
        <f>IF(A30="","",SUMIFS(Stock_PDV!$H$2:$H$800,Stock_PDV!$A$2:$A$800,A30))</f>
        <v/>
      </c>
      <c r="P30" s="48">
        <f>IF(A30="","",IF(O30&lt;=Inicio!$B$16,"Crítico",IF(O30&lt;=Inicio!$B$17,"Observar","OK")))</f>
        <v/>
      </c>
      <c r="Q30" s="48">
        <f>IF(A30="","",IF(OR(H30="Atrasado",K30="Sin venta",N30="Pendiente relevante",P30="Crítico"),"Alta",IF(OR(K30="Venta baja",N30="Pendiente menor",P30="Observar"),"Media","Baja")))</f>
        <v/>
      </c>
      <c r="R30" s="48">
        <f>IF(A30="","",IF(Q30="Alta","Gestionar esta semana",IF(Q30="Media","Hacer seguimiento","Mantener")))</f>
        <v/>
      </c>
      <c r="S30" s="68">
        <f>IF(A30="","",IF(I30=0,"Sin venta",IF(I30&gt;=cfg_VentaAlta,"Alta",IF(I30&lt;cfg_VentaBaja,"Baja","Media"))))</f>
        <v/>
      </c>
    </row>
    <row r="31" ht="20" customHeight="1" s="36">
      <c r="A31" s="48">
        <f>IF(Clientes_PDV!A31="","",Clientes_PDV!A31)</f>
        <v/>
      </c>
      <c r="B31" s="48">
        <f>IF(A31="","",IFERROR(VLOOKUP(A31,Clientes_PDV!$A$2:$J$250,2,FALSE),""))</f>
        <v/>
      </c>
      <c r="C31" s="48">
        <f>IF(A31="","",IFERROR(VLOOKUP(A31,Clientes_PDV!$A$2:$J$250,3,FALSE),""))</f>
        <v/>
      </c>
      <c r="D31" s="48">
        <f>IF(A31="","",IFERROR(VLOOKUP(A31,Clientes_PDV!$A$2:$J$250,4,FALSE),""))</f>
        <v/>
      </c>
      <c r="E31" s="48">
        <f>IF(A31="","",IFERROR(VLOOKUP(A31,Clientes_PDV!$A$2:$J$250,7,FALSE),""))</f>
        <v/>
      </c>
      <c r="F31" s="49">
        <f>IF(A31="","",IFERROR(VLOOKUP(A31,Clientes_PDV!$A$2:$J$250,8,FALSE),""))</f>
        <v/>
      </c>
      <c r="G31" s="50">
        <f>IF(F31="","",TODAY()-F31)</f>
        <v/>
      </c>
      <c r="H31" s="48">
        <f>IF(A31="","",IF(F31="","Sin visita",IF(G31&lt;=IFERROR(VLOOKUP(E31,Inicio!$A$24:$B$26,2,FALSE),0),"Vigente","Atrasado")))</f>
        <v/>
      </c>
      <c r="I31" s="51">
        <f>IF(A31="","",SUMIFS(Ventas_SellIn!$L$2:$L$800,Ventas_SellIn!$D$2:$D$800,A31,Ventas_SellIn!$B$2:$B$800,"&gt;="&amp;TODAY()-Inicio!$B$14))</f>
        <v/>
      </c>
      <c r="J31" s="50">
        <f>IF(A31="","",SUMIFS(SellOut_Jumbo!$F$2:$F$800,SellOut_Jumbo!$C$2:$C$800,D31,SellOut_Jumbo!$A$2:$A$800,"&gt;="&amp;TODAY()-Inicio!$B$14))</f>
        <v/>
      </c>
      <c r="K31" s="48">
        <f>IF(A31="","",IF(I31=0,"Sin venta",IF(I31&lt;Inicio!$B$15,"Venta baja","Venta OK")))</f>
        <v/>
      </c>
      <c r="L31" s="50">
        <f>IF(A31="","",COUNTIFS(Ventas_SellIn!$D$2:$D$800,A31,Ventas_SellIn!$R$2:$R$800,"&gt;0"))</f>
        <v/>
      </c>
      <c r="M31" s="51">
        <f>IF(A31="","",SUMIFS(Ventas_SellIn!$R$2:$R$800,Ventas_SellIn!$D$2:$D$800,A31))</f>
        <v/>
      </c>
      <c r="N31" s="48">
        <f>IF(A31="","",IF(M31&gt;=Inicio!$B$18,"Pendiente relevante",IF(M31&gt;0,"Pendiente menor","Sin deuda")))</f>
        <v/>
      </c>
      <c r="O31" s="50">
        <f>IF(A31="","",SUMIFS(Stock_PDV!$H$2:$H$800,Stock_PDV!$A$2:$A$800,A31))</f>
        <v/>
      </c>
      <c r="P31" s="48">
        <f>IF(A31="","",IF(O31&lt;=Inicio!$B$16,"Crítico",IF(O31&lt;=Inicio!$B$17,"Observar","OK")))</f>
        <v/>
      </c>
      <c r="Q31" s="48">
        <f>IF(A31="","",IF(OR(H31="Atrasado",K31="Sin venta",N31="Pendiente relevante",P31="Crítico"),"Alta",IF(OR(K31="Venta baja",N31="Pendiente menor",P31="Observar"),"Media","Baja")))</f>
        <v/>
      </c>
      <c r="R31" s="48">
        <f>IF(A31="","",IF(Q31="Alta","Gestionar esta semana",IF(Q31="Media","Hacer seguimiento","Mantener")))</f>
        <v/>
      </c>
      <c r="S31" s="68">
        <f>IF(A31="","",IF(I31=0,"Sin venta",IF(I31&gt;=cfg_VentaAlta,"Alta",IF(I31&lt;cfg_VentaBaja,"Baja","Media"))))</f>
        <v/>
      </c>
    </row>
    <row r="32" ht="20" customHeight="1" s="36">
      <c r="A32" s="48">
        <f>IF(Clientes_PDV!A32="","",Clientes_PDV!A32)</f>
        <v/>
      </c>
      <c r="B32" s="48">
        <f>IF(A32="","",IFERROR(VLOOKUP(A32,Clientes_PDV!$A$2:$J$250,2,FALSE),""))</f>
        <v/>
      </c>
      <c r="C32" s="48">
        <f>IF(A32="","",IFERROR(VLOOKUP(A32,Clientes_PDV!$A$2:$J$250,3,FALSE),""))</f>
        <v/>
      </c>
      <c r="D32" s="48">
        <f>IF(A32="","",IFERROR(VLOOKUP(A32,Clientes_PDV!$A$2:$J$250,4,FALSE),""))</f>
        <v/>
      </c>
      <c r="E32" s="48">
        <f>IF(A32="","",IFERROR(VLOOKUP(A32,Clientes_PDV!$A$2:$J$250,7,FALSE),""))</f>
        <v/>
      </c>
      <c r="F32" s="49">
        <f>IF(A32="","",IFERROR(VLOOKUP(A32,Clientes_PDV!$A$2:$J$250,8,FALSE),""))</f>
        <v/>
      </c>
      <c r="G32" s="50">
        <f>IF(F32="","",TODAY()-F32)</f>
        <v/>
      </c>
      <c r="H32" s="48">
        <f>IF(A32="","",IF(F32="","Sin visita",IF(G32&lt;=IFERROR(VLOOKUP(E32,Inicio!$A$24:$B$26,2,FALSE),0),"Vigente","Atrasado")))</f>
        <v/>
      </c>
      <c r="I32" s="51">
        <f>IF(A32="","",SUMIFS(Ventas_SellIn!$L$2:$L$800,Ventas_SellIn!$D$2:$D$800,A32,Ventas_SellIn!$B$2:$B$800,"&gt;="&amp;TODAY()-Inicio!$B$14))</f>
        <v/>
      </c>
      <c r="J32" s="50">
        <f>IF(A32="","",SUMIFS(SellOut_Jumbo!$F$2:$F$800,SellOut_Jumbo!$C$2:$C$800,D32,SellOut_Jumbo!$A$2:$A$800,"&gt;="&amp;TODAY()-Inicio!$B$14))</f>
        <v/>
      </c>
      <c r="K32" s="48">
        <f>IF(A32="","",IF(I32=0,"Sin venta",IF(I32&lt;Inicio!$B$15,"Venta baja","Venta OK")))</f>
        <v/>
      </c>
      <c r="L32" s="50">
        <f>IF(A32="","",COUNTIFS(Ventas_SellIn!$D$2:$D$800,A32,Ventas_SellIn!$R$2:$R$800,"&gt;0"))</f>
        <v/>
      </c>
      <c r="M32" s="51">
        <f>IF(A32="","",SUMIFS(Ventas_SellIn!$R$2:$R$800,Ventas_SellIn!$D$2:$D$800,A32))</f>
        <v/>
      </c>
      <c r="N32" s="48">
        <f>IF(A32="","",IF(M32&gt;=Inicio!$B$18,"Pendiente relevante",IF(M32&gt;0,"Pendiente menor","Sin deuda")))</f>
        <v/>
      </c>
      <c r="O32" s="50">
        <f>IF(A32="","",SUMIFS(Stock_PDV!$H$2:$H$800,Stock_PDV!$A$2:$A$800,A32))</f>
        <v/>
      </c>
      <c r="P32" s="48">
        <f>IF(A32="","",IF(O32&lt;=Inicio!$B$16,"Crítico",IF(O32&lt;=Inicio!$B$17,"Observar","OK")))</f>
        <v/>
      </c>
      <c r="Q32" s="48">
        <f>IF(A32="","",IF(OR(H32="Atrasado",K32="Sin venta",N32="Pendiente relevante",P32="Crítico"),"Alta",IF(OR(K32="Venta baja",N32="Pendiente menor",P32="Observar"),"Media","Baja")))</f>
        <v/>
      </c>
      <c r="R32" s="48">
        <f>IF(A32="","",IF(Q32="Alta","Gestionar esta semana",IF(Q32="Media","Hacer seguimiento","Mantener")))</f>
        <v/>
      </c>
      <c r="S32" s="68">
        <f>IF(A32="","",IF(I32=0,"Sin venta",IF(I32&gt;=cfg_VentaAlta,"Alta",IF(I32&lt;cfg_VentaBaja,"Baja","Media"))))</f>
        <v/>
      </c>
    </row>
    <row r="33" ht="20" customHeight="1" s="36">
      <c r="A33" s="48">
        <f>IF(Clientes_PDV!A33="","",Clientes_PDV!A33)</f>
        <v/>
      </c>
      <c r="B33" s="48">
        <f>IF(A33="","",IFERROR(VLOOKUP(A33,Clientes_PDV!$A$2:$J$250,2,FALSE),""))</f>
        <v/>
      </c>
      <c r="C33" s="48">
        <f>IF(A33="","",IFERROR(VLOOKUP(A33,Clientes_PDV!$A$2:$J$250,3,FALSE),""))</f>
        <v/>
      </c>
      <c r="D33" s="48">
        <f>IF(A33="","",IFERROR(VLOOKUP(A33,Clientes_PDV!$A$2:$J$250,4,FALSE),""))</f>
        <v/>
      </c>
      <c r="E33" s="48">
        <f>IF(A33="","",IFERROR(VLOOKUP(A33,Clientes_PDV!$A$2:$J$250,7,FALSE),""))</f>
        <v/>
      </c>
      <c r="F33" s="49">
        <f>IF(A33="","",IFERROR(VLOOKUP(A33,Clientes_PDV!$A$2:$J$250,8,FALSE),""))</f>
        <v/>
      </c>
      <c r="G33" s="50">
        <f>IF(F33="","",TODAY()-F33)</f>
        <v/>
      </c>
      <c r="H33" s="48">
        <f>IF(A33="","",IF(F33="","Sin visita",IF(G33&lt;=IFERROR(VLOOKUP(E33,Inicio!$A$24:$B$26,2,FALSE),0),"Vigente","Atrasado")))</f>
        <v/>
      </c>
      <c r="I33" s="51">
        <f>IF(A33="","",SUMIFS(Ventas_SellIn!$L$2:$L$800,Ventas_SellIn!$D$2:$D$800,A33,Ventas_SellIn!$B$2:$B$800,"&gt;="&amp;TODAY()-Inicio!$B$14))</f>
        <v/>
      </c>
      <c r="J33" s="50">
        <f>IF(A33="","",SUMIFS(SellOut_Jumbo!$F$2:$F$800,SellOut_Jumbo!$C$2:$C$800,D33,SellOut_Jumbo!$A$2:$A$800,"&gt;="&amp;TODAY()-Inicio!$B$14))</f>
        <v/>
      </c>
      <c r="K33" s="48">
        <f>IF(A33="","",IF(I33=0,"Sin venta",IF(I33&lt;Inicio!$B$15,"Venta baja","Venta OK")))</f>
        <v/>
      </c>
      <c r="L33" s="50">
        <f>IF(A33="","",COUNTIFS(Ventas_SellIn!$D$2:$D$800,A33,Ventas_SellIn!$R$2:$R$800,"&gt;0"))</f>
        <v/>
      </c>
      <c r="M33" s="51">
        <f>IF(A33="","",SUMIFS(Ventas_SellIn!$R$2:$R$800,Ventas_SellIn!$D$2:$D$800,A33))</f>
        <v/>
      </c>
      <c r="N33" s="48">
        <f>IF(A33="","",IF(M33&gt;=Inicio!$B$18,"Pendiente relevante",IF(M33&gt;0,"Pendiente menor","Sin deuda")))</f>
        <v/>
      </c>
      <c r="O33" s="50">
        <f>IF(A33="","",SUMIFS(Stock_PDV!$H$2:$H$800,Stock_PDV!$A$2:$A$800,A33))</f>
        <v/>
      </c>
      <c r="P33" s="48">
        <f>IF(A33="","",IF(O33&lt;=Inicio!$B$16,"Crítico",IF(O33&lt;=Inicio!$B$17,"Observar","OK")))</f>
        <v/>
      </c>
      <c r="Q33" s="48">
        <f>IF(A33="","",IF(OR(H33="Atrasado",K33="Sin venta",N33="Pendiente relevante",P33="Crítico"),"Alta",IF(OR(K33="Venta baja",N33="Pendiente menor",P33="Observar"),"Media","Baja")))</f>
        <v/>
      </c>
      <c r="R33" s="48">
        <f>IF(A33="","",IF(Q33="Alta","Gestionar esta semana",IF(Q33="Media","Hacer seguimiento","Mantener")))</f>
        <v/>
      </c>
      <c r="S33" s="68">
        <f>IF(A33="","",IF(I33=0,"Sin venta",IF(I33&gt;=cfg_VentaAlta,"Alta",IF(I33&lt;cfg_VentaBaja,"Baja","Media"))))</f>
        <v/>
      </c>
    </row>
    <row r="34" ht="20" customHeight="1" s="36">
      <c r="A34" s="48">
        <f>IF(Clientes_PDV!A34="","",Clientes_PDV!A34)</f>
        <v/>
      </c>
      <c r="B34" s="48">
        <f>IF(A34="","",IFERROR(VLOOKUP(A34,Clientes_PDV!$A$2:$J$250,2,FALSE),""))</f>
        <v/>
      </c>
      <c r="C34" s="48">
        <f>IF(A34="","",IFERROR(VLOOKUP(A34,Clientes_PDV!$A$2:$J$250,3,FALSE),""))</f>
        <v/>
      </c>
      <c r="D34" s="48">
        <f>IF(A34="","",IFERROR(VLOOKUP(A34,Clientes_PDV!$A$2:$J$250,4,FALSE),""))</f>
        <v/>
      </c>
      <c r="E34" s="48">
        <f>IF(A34="","",IFERROR(VLOOKUP(A34,Clientes_PDV!$A$2:$J$250,7,FALSE),""))</f>
        <v/>
      </c>
      <c r="F34" s="49">
        <f>IF(A34="","",IFERROR(VLOOKUP(A34,Clientes_PDV!$A$2:$J$250,8,FALSE),""))</f>
        <v/>
      </c>
      <c r="G34" s="50">
        <f>IF(F34="","",TODAY()-F34)</f>
        <v/>
      </c>
      <c r="H34" s="48">
        <f>IF(A34="","",IF(F34="","Sin visita",IF(G34&lt;=IFERROR(VLOOKUP(E34,Inicio!$A$24:$B$26,2,FALSE),0),"Vigente","Atrasado")))</f>
        <v/>
      </c>
      <c r="I34" s="51">
        <f>IF(A34="","",SUMIFS(Ventas_SellIn!$L$2:$L$800,Ventas_SellIn!$D$2:$D$800,A34,Ventas_SellIn!$B$2:$B$800,"&gt;="&amp;TODAY()-Inicio!$B$14))</f>
        <v/>
      </c>
      <c r="J34" s="50">
        <f>IF(A34="","",SUMIFS(SellOut_Jumbo!$F$2:$F$800,SellOut_Jumbo!$C$2:$C$800,D34,SellOut_Jumbo!$A$2:$A$800,"&gt;="&amp;TODAY()-Inicio!$B$14))</f>
        <v/>
      </c>
      <c r="K34" s="48">
        <f>IF(A34="","",IF(I34=0,"Sin venta",IF(I34&lt;Inicio!$B$15,"Venta baja","Venta OK")))</f>
        <v/>
      </c>
      <c r="L34" s="50">
        <f>IF(A34="","",COUNTIFS(Ventas_SellIn!$D$2:$D$800,A34,Ventas_SellIn!$R$2:$R$800,"&gt;0"))</f>
        <v/>
      </c>
      <c r="M34" s="51">
        <f>IF(A34="","",SUMIFS(Ventas_SellIn!$R$2:$R$800,Ventas_SellIn!$D$2:$D$800,A34))</f>
        <v/>
      </c>
      <c r="N34" s="48">
        <f>IF(A34="","",IF(M34&gt;=Inicio!$B$18,"Pendiente relevante",IF(M34&gt;0,"Pendiente menor","Sin deuda")))</f>
        <v/>
      </c>
      <c r="O34" s="50">
        <f>IF(A34="","",SUMIFS(Stock_PDV!$H$2:$H$800,Stock_PDV!$A$2:$A$800,A34))</f>
        <v/>
      </c>
      <c r="P34" s="48">
        <f>IF(A34="","",IF(O34&lt;=Inicio!$B$16,"Crítico",IF(O34&lt;=Inicio!$B$17,"Observar","OK")))</f>
        <v/>
      </c>
      <c r="Q34" s="48">
        <f>IF(A34="","",IF(OR(H34="Atrasado",K34="Sin venta",N34="Pendiente relevante",P34="Crítico"),"Alta",IF(OR(K34="Venta baja",N34="Pendiente menor",P34="Observar"),"Media","Baja")))</f>
        <v/>
      </c>
      <c r="R34" s="48">
        <f>IF(A34="","",IF(Q34="Alta","Gestionar esta semana",IF(Q34="Media","Hacer seguimiento","Mantener")))</f>
        <v/>
      </c>
      <c r="S34" s="68">
        <f>IF(A34="","",IF(I34=0,"Sin venta",IF(I34&gt;=cfg_VentaAlta,"Alta",IF(I34&lt;cfg_VentaBaja,"Baja","Media"))))</f>
        <v/>
      </c>
    </row>
    <row r="35" ht="20" customHeight="1" s="36">
      <c r="A35" s="48">
        <f>IF(Clientes_PDV!A35="","",Clientes_PDV!A35)</f>
        <v/>
      </c>
      <c r="B35" s="48">
        <f>IF(A35="","",IFERROR(VLOOKUP(A35,Clientes_PDV!$A$2:$J$250,2,FALSE),""))</f>
        <v/>
      </c>
      <c r="C35" s="48">
        <f>IF(A35="","",IFERROR(VLOOKUP(A35,Clientes_PDV!$A$2:$J$250,3,FALSE),""))</f>
        <v/>
      </c>
      <c r="D35" s="48">
        <f>IF(A35="","",IFERROR(VLOOKUP(A35,Clientes_PDV!$A$2:$J$250,4,FALSE),""))</f>
        <v/>
      </c>
      <c r="E35" s="48">
        <f>IF(A35="","",IFERROR(VLOOKUP(A35,Clientes_PDV!$A$2:$J$250,7,FALSE),""))</f>
        <v/>
      </c>
      <c r="F35" s="49">
        <f>IF(A35="","",IFERROR(VLOOKUP(A35,Clientes_PDV!$A$2:$J$250,8,FALSE),""))</f>
        <v/>
      </c>
      <c r="G35" s="50">
        <f>IF(F35="","",TODAY()-F35)</f>
        <v/>
      </c>
      <c r="H35" s="48">
        <f>IF(A35="","",IF(F35="","Sin visita",IF(G35&lt;=IFERROR(VLOOKUP(E35,Inicio!$A$24:$B$26,2,FALSE),0),"Vigente","Atrasado")))</f>
        <v/>
      </c>
      <c r="I35" s="51">
        <f>IF(A35="","",SUMIFS(Ventas_SellIn!$L$2:$L$800,Ventas_SellIn!$D$2:$D$800,A35,Ventas_SellIn!$B$2:$B$800,"&gt;="&amp;TODAY()-Inicio!$B$14))</f>
        <v/>
      </c>
      <c r="J35" s="50">
        <f>IF(A35="","",SUMIFS(SellOut_Jumbo!$F$2:$F$800,SellOut_Jumbo!$C$2:$C$800,D35,SellOut_Jumbo!$A$2:$A$800,"&gt;="&amp;TODAY()-Inicio!$B$14))</f>
        <v/>
      </c>
      <c r="K35" s="48">
        <f>IF(A35="","",IF(I35=0,"Sin venta",IF(I35&lt;Inicio!$B$15,"Venta baja","Venta OK")))</f>
        <v/>
      </c>
      <c r="L35" s="50">
        <f>IF(A35="","",COUNTIFS(Ventas_SellIn!$D$2:$D$800,A35,Ventas_SellIn!$R$2:$R$800,"&gt;0"))</f>
        <v/>
      </c>
      <c r="M35" s="51">
        <f>IF(A35="","",SUMIFS(Ventas_SellIn!$R$2:$R$800,Ventas_SellIn!$D$2:$D$800,A35))</f>
        <v/>
      </c>
      <c r="N35" s="48">
        <f>IF(A35="","",IF(M35&gt;=Inicio!$B$18,"Pendiente relevante",IF(M35&gt;0,"Pendiente menor","Sin deuda")))</f>
        <v/>
      </c>
      <c r="O35" s="50">
        <f>IF(A35="","",SUMIFS(Stock_PDV!$H$2:$H$800,Stock_PDV!$A$2:$A$800,A35))</f>
        <v/>
      </c>
      <c r="P35" s="48">
        <f>IF(A35="","",IF(O35&lt;=Inicio!$B$16,"Crítico",IF(O35&lt;=Inicio!$B$17,"Observar","OK")))</f>
        <v/>
      </c>
      <c r="Q35" s="48">
        <f>IF(A35="","",IF(OR(H35="Atrasado",K35="Sin venta",N35="Pendiente relevante",P35="Crítico"),"Alta",IF(OR(K35="Venta baja",N35="Pendiente menor",P35="Observar"),"Media","Baja")))</f>
        <v/>
      </c>
      <c r="R35" s="48">
        <f>IF(A35="","",IF(Q35="Alta","Gestionar esta semana",IF(Q35="Media","Hacer seguimiento","Mantener")))</f>
        <v/>
      </c>
      <c r="S35" s="68">
        <f>IF(A35="","",IF(I35=0,"Sin venta",IF(I35&gt;=cfg_VentaAlta,"Alta",IF(I35&lt;cfg_VentaBaja,"Baja","Media"))))</f>
        <v/>
      </c>
    </row>
    <row r="36" ht="20" customHeight="1" s="36">
      <c r="A36" s="48">
        <f>IF(Clientes_PDV!A36="","",Clientes_PDV!A36)</f>
        <v/>
      </c>
      <c r="B36" s="48">
        <f>IF(A36="","",IFERROR(VLOOKUP(A36,Clientes_PDV!$A$2:$J$250,2,FALSE),""))</f>
        <v/>
      </c>
      <c r="C36" s="48">
        <f>IF(A36="","",IFERROR(VLOOKUP(A36,Clientes_PDV!$A$2:$J$250,3,FALSE),""))</f>
        <v/>
      </c>
      <c r="D36" s="48">
        <f>IF(A36="","",IFERROR(VLOOKUP(A36,Clientes_PDV!$A$2:$J$250,4,FALSE),""))</f>
        <v/>
      </c>
      <c r="E36" s="48">
        <f>IF(A36="","",IFERROR(VLOOKUP(A36,Clientes_PDV!$A$2:$J$250,7,FALSE),""))</f>
        <v/>
      </c>
      <c r="F36" s="49">
        <f>IF(A36="","",IFERROR(VLOOKUP(A36,Clientes_PDV!$A$2:$J$250,8,FALSE),""))</f>
        <v/>
      </c>
      <c r="G36" s="50">
        <f>IF(F36="","",TODAY()-F36)</f>
        <v/>
      </c>
      <c r="H36" s="48">
        <f>IF(A36="","",IF(F36="","Sin visita",IF(G36&lt;=IFERROR(VLOOKUP(E36,Inicio!$A$24:$B$26,2,FALSE),0),"Vigente","Atrasado")))</f>
        <v/>
      </c>
      <c r="I36" s="51">
        <f>IF(A36="","",SUMIFS(Ventas_SellIn!$L$2:$L$800,Ventas_SellIn!$D$2:$D$800,A36,Ventas_SellIn!$B$2:$B$800,"&gt;="&amp;TODAY()-Inicio!$B$14))</f>
        <v/>
      </c>
      <c r="J36" s="50">
        <f>IF(A36="","",SUMIFS(SellOut_Jumbo!$F$2:$F$800,SellOut_Jumbo!$C$2:$C$800,D36,SellOut_Jumbo!$A$2:$A$800,"&gt;="&amp;TODAY()-Inicio!$B$14))</f>
        <v/>
      </c>
      <c r="K36" s="48">
        <f>IF(A36="","",IF(I36=0,"Sin venta",IF(I36&lt;Inicio!$B$15,"Venta baja","Venta OK")))</f>
        <v/>
      </c>
      <c r="L36" s="50">
        <f>IF(A36="","",COUNTIFS(Ventas_SellIn!$D$2:$D$800,A36,Ventas_SellIn!$R$2:$R$800,"&gt;0"))</f>
        <v/>
      </c>
      <c r="M36" s="51">
        <f>IF(A36="","",SUMIFS(Ventas_SellIn!$R$2:$R$800,Ventas_SellIn!$D$2:$D$800,A36))</f>
        <v/>
      </c>
      <c r="N36" s="48">
        <f>IF(A36="","",IF(M36&gt;=Inicio!$B$18,"Pendiente relevante",IF(M36&gt;0,"Pendiente menor","Sin deuda")))</f>
        <v/>
      </c>
      <c r="O36" s="50">
        <f>IF(A36="","",SUMIFS(Stock_PDV!$H$2:$H$800,Stock_PDV!$A$2:$A$800,A36))</f>
        <v/>
      </c>
      <c r="P36" s="48">
        <f>IF(A36="","",IF(O36&lt;=Inicio!$B$16,"Crítico",IF(O36&lt;=Inicio!$B$17,"Observar","OK")))</f>
        <v/>
      </c>
      <c r="Q36" s="48">
        <f>IF(A36="","",IF(OR(H36="Atrasado",K36="Sin venta",N36="Pendiente relevante",P36="Crítico"),"Alta",IF(OR(K36="Venta baja",N36="Pendiente menor",P36="Observar"),"Media","Baja")))</f>
        <v/>
      </c>
      <c r="R36" s="48">
        <f>IF(A36="","",IF(Q36="Alta","Gestionar esta semana",IF(Q36="Media","Hacer seguimiento","Mantener")))</f>
        <v/>
      </c>
      <c r="S36" s="68">
        <f>IF(A36="","",IF(I36=0,"Sin venta",IF(I36&gt;=cfg_VentaAlta,"Alta",IF(I36&lt;cfg_VentaBaja,"Baja","Media"))))</f>
        <v/>
      </c>
    </row>
    <row r="37" ht="20" customHeight="1" s="36">
      <c r="A37" s="48">
        <f>IF(Clientes_PDV!A37="","",Clientes_PDV!A37)</f>
        <v/>
      </c>
      <c r="B37" s="48">
        <f>IF(A37="","",IFERROR(VLOOKUP(A37,Clientes_PDV!$A$2:$J$250,2,FALSE),""))</f>
        <v/>
      </c>
      <c r="C37" s="48">
        <f>IF(A37="","",IFERROR(VLOOKUP(A37,Clientes_PDV!$A$2:$J$250,3,FALSE),""))</f>
        <v/>
      </c>
      <c r="D37" s="48">
        <f>IF(A37="","",IFERROR(VLOOKUP(A37,Clientes_PDV!$A$2:$J$250,4,FALSE),""))</f>
        <v/>
      </c>
      <c r="E37" s="48">
        <f>IF(A37="","",IFERROR(VLOOKUP(A37,Clientes_PDV!$A$2:$J$250,7,FALSE),""))</f>
        <v/>
      </c>
      <c r="F37" s="49">
        <f>IF(A37="","",IFERROR(VLOOKUP(A37,Clientes_PDV!$A$2:$J$250,8,FALSE),""))</f>
        <v/>
      </c>
      <c r="G37" s="50">
        <f>IF(F37="","",TODAY()-F37)</f>
        <v/>
      </c>
      <c r="H37" s="48">
        <f>IF(A37="","",IF(F37="","Sin visita",IF(G37&lt;=IFERROR(VLOOKUP(E37,Inicio!$A$24:$B$26,2,FALSE),0),"Vigente","Atrasado")))</f>
        <v/>
      </c>
      <c r="I37" s="51">
        <f>IF(A37="","",SUMIFS(Ventas_SellIn!$L$2:$L$800,Ventas_SellIn!$D$2:$D$800,A37,Ventas_SellIn!$B$2:$B$800,"&gt;="&amp;TODAY()-Inicio!$B$14))</f>
        <v/>
      </c>
      <c r="J37" s="50">
        <f>IF(A37="","",SUMIFS(SellOut_Jumbo!$F$2:$F$800,SellOut_Jumbo!$C$2:$C$800,D37,SellOut_Jumbo!$A$2:$A$800,"&gt;="&amp;TODAY()-Inicio!$B$14))</f>
        <v/>
      </c>
      <c r="K37" s="48">
        <f>IF(A37="","",IF(I37=0,"Sin venta",IF(I37&lt;Inicio!$B$15,"Venta baja","Venta OK")))</f>
        <v/>
      </c>
      <c r="L37" s="50">
        <f>IF(A37="","",COUNTIFS(Ventas_SellIn!$D$2:$D$800,A37,Ventas_SellIn!$R$2:$R$800,"&gt;0"))</f>
        <v/>
      </c>
      <c r="M37" s="51">
        <f>IF(A37="","",SUMIFS(Ventas_SellIn!$R$2:$R$800,Ventas_SellIn!$D$2:$D$800,A37))</f>
        <v/>
      </c>
      <c r="N37" s="48">
        <f>IF(A37="","",IF(M37&gt;=Inicio!$B$18,"Pendiente relevante",IF(M37&gt;0,"Pendiente menor","Sin deuda")))</f>
        <v/>
      </c>
      <c r="O37" s="50">
        <f>IF(A37="","",SUMIFS(Stock_PDV!$H$2:$H$800,Stock_PDV!$A$2:$A$800,A37))</f>
        <v/>
      </c>
      <c r="P37" s="48">
        <f>IF(A37="","",IF(O37&lt;=Inicio!$B$16,"Crítico",IF(O37&lt;=Inicio!$B$17,"Observar","OK")))</f>
        <v/>
      </c>
      <c r="Q37" s="48">
        <f>IF(A37="","",IF(OR(H37="Atrasado",K37="Sin venta",N37="Pendiente relevante",P37="Crítico"),"Alta",IF(OR(K37="Venta baja",N37="Pendiente menor",P37="Observar"),"Media","Baja")))</f>
        <v/>
      </c>
      <c r="R37" s="48">
        <f>IF(A37="","",IF(Q37="Alta","Gestionar esta semana",IF(Q37="Media","Hacer seguimiento","Mantener")))</f>
        <v/>
      </c>
      <c r="S37" s="68">
        <f>IF(A37="","",IF(I37=0,"Sin venta",IF(I37&gt;=cfg_VentaAlta,"Alta",IF(I37&lt;cfg_VentaBaja,"Baja","Media"))))</f>
        <v/>
      </c>
    </row>
    <row r="38" ht="20" customHeight="1" s="36">
      <c r="A38" s="48">
        <f>IF(Clientes_PDV!A38="","",Clientes_PDV!A38)</f>
        <v/>
      </c>
      <c r="B38" s="48">
        <f>IF(A38="","",IFERROR(VLOOKUP(A38,Clientes_PDV!$A$2:$J$250,2,FALSE),""))</f>
        <v/>
      </c>
      <c r="C38" s="48">
        <f>IF(A38="","",IFERROR(VLOOKUP(A38,Clientes_PDV!$A$2:$J$250,3,FALSE),""))</f>
        <v/>
      </c>
      <c r="D38" s="48">
        <f>IF(A38="","",IFERROR(VLOOKUP(A38,Clientes_PDV!$A$2:$J$250,4,FALSE),""))</f>
        <v/>
      </c>
      <c r="E38" s="48">
        <f>IF(A38="","",IFERROR(VLOOKUP(A38,Clientes_PDV!$A$2:$J$250,7,FALSE),""))</f>
        <v/>
      </c>
      <c r="F38" s="49">
        <f>IF(A38="","",IFERROR(VLOOKUP(A38,Clientes_PDV!$A$2:$J$250,8,FALSE),""))</f>
        <v/>
      </c>
      <c r="G38" s="50">
        <f>IF(F38="","",TODAY()-F38)</f>
        <v/>
      </c>
      <c r="H38" s="48">
        <f>IF(A38="","",IF(F38="","Sin visita",IF(G38&lt;=IFERROR(VLOOKUP(E38,Inicio!$A$24:$B$26,2,FALSE),0),"Vigente","Atrasado")))</f>
        <v/>
      </c>
      <c r="I38" s="51">
        <f>IF(A38="","",SUMIFS(Ventas_SellIn!$L$2:$L$800,Ventas_SellIn!$D$2:$D$800,A38,Ventas_SellIn!$B$2:$B$800,"&gt;="&amp;TODAY()-Inicio!$B$14))</f>
        <v/>
      </c>
      <c r="J38" s="50">
        <f>IF(A38="","",SUMIFS(SellOut_Jumbo!$F$2:$F$800,SellOut_Jumbo!$C$2:$C$800,D38,SellOut_Jumbo!$A$2:$A$800,"&gt;="&amp;TODAY()-Inicio!$B$14))</f>
        <v/>
      </c>
      <c r="K38" s="48">
        <f>IF(A38="","",IF(I38=0,"Sin venta",IF(I38&lt;Inicio!$B$15,"Venta baja","Venta OK")))</f>
        <v/>
      </c>
      <c r="L38" s="50">
        <f>IF(A38="","",COUNTIFS(Ventas_SellIn!$D$2:$D$800,A38,Ventas_SellIn!$R$2:$R$800,"&gt;0"))</f>
        <v/>
      </c>
      <c r="M38" s="51">
        <f>IF(A38="","",SUMIFS(Ventas_SellIn!$R$2:$R$800,Ventas_SellIn!$D$2:$D$800,A38))</f>
        <v/>
      </c>
      <c r="N38" s="48">
        <f>IF(A38="","",IF(M38&gt;=Inicio!$B$18,"Pendiente relevante",IF(M38&gt;0,"Pendiente menor","Sin deuda")))</f>
        <v/>
      </c>
      <c r="O38" s="50">
        <f>IF(A38="","",SUMIFS(Stock_PDV!$H$2:$H$800,Stock_PDV!$A$2:$A$800,A38))</f>
        <v/>
      </c>
      <c r="P38" s="48">
        <f>IF(A38="","",IF(O38&lt;=Inicio!$B$16,"Crítico",IF(O38&lt;=Inicio!$B$17,"Observar","OK")))</f>
        <v/>
      </c>
      <c r="Q38" s="48">
        <f>IF(A38="","",IF(OR(H38="Atrasado",K38="Sin venta",N38="Pendiente relevante",P38="Crítico"),"Alta",IF(OR(K38="Venta baja",N38="Pendiente menor",P38="Observar"),"Media","Baja")))</f>
        <v/>
      </c>
      <c r="R38" s="48">
        <f>IF(A38="","",IF(Q38="Alta","Gestionar esta semana",IF(Q38="Media","Hacer seguimiento","Mantener")))</f>
        <v/>
      </c>
      <c r="S38" s="68">
        <f>IF(A38="","",IF(I38=0,"Sin venta",IF(I38&gt;=cfg_VentaAlta,"Alta",IF(I38&lt;cfg_VentaBaja,"Baja","Media"))))</f>
        <v/>
      </c>
    </row>
    <row r="39" ht="20" customHeight="1" s="36">
      <c r="A39" s="48">
        <f>IF(Clientes_PDV!A39="","",Clientes_PDV!A39)</f>
        <v/>
      </c>
      <c r="B39" s="48">
        <f>IF(A39="","",IFERROR(VLOOKUP(A39,Clientes_PDV!$A$2:$J$250,2,FALSE),""))</f>
        <v/>
      </c>
      <c r="C39" s="48">
        <f>IF(A39="","",IFERROR(VLOOKUP(A39,Clientes_PDV!$A$2:$J$250,3,FALSE),""))</f>
        <v/>
      </c>
      <c r="D39" s="48">
        <f>IF(A39="","",IFERROR(VLOOKUP(A39,Clientes_PDV!$A$2:$J$250,4,FALSE),""))</f>
        <v/>
      </c>
      <c r="E39" s="48">
        <f>IF(A39="","",IFERROR(VLOOKUP(A39,Clientes_PDV!$A$2:$J$250,7,FALSE),""))</f>
        <v/>
      </c>
      <c r="F39" s="49">
        <f>IF(A39="","",IFERROR(VLOOKUP(A39,Clientes_PDV!$A$2:$J$250,8,FALSE),""))</f>
        <v/>
      </c>
      <c r="G39" s="50">
        <f>IF(F39="","",TODAY()-F39)</f>
        <v/>
      </c>
      <c r="H39" s="48">
        <f>IF(A39="","",IF(F39="","Sin visita",IF(G39&lt;=IFERROR(VLOOKUP(E39,Inicio!$A$24:$B$26,2,FALSE),0),"Vigente","Atrasado")))</f>
        <v/>
      </c>
      <c r="I39" s="51">
        <f>IF(A39="","",SUMIFS(Ventas_SellIn!$L$2:$L$800,Ventas_SellIn!$D$2:$D$800,A39,Ventas_SellIn!$B$2:$B$800,"&gt;="&amp;TODAY()-Inicio!$B$14))</f>
        <v/>
      </c>
      <c r="J39" s="50">
        <f>IF(A39="","",SUMIFS(SellOut_Jumbo!$F$2:$F$800,SellOut_Jumbo!$C$2:$C$800,D39,SellOut_Jumbo!$A$2:$A$800,"&gt;="&amp;TODAY()-Inicio!$B$14))</f>
        <v/>
      </c>
      <c r="K39" s="48">
        <f>IF(A39="","",IF(I39=0,"Sin venta",IF(I39&lt;Inicio!$B$15,"Venta baja","Venta OK")))</f>
        <v/>
      </c>
      <c r="L39" s="50">
        <f>IF(A39="","",COUNTIFS(Ventas_SellIn!$D$2:$D$800,A39,Ventas_SellIn!$R$2:$R$800,"&gt;0"))</f>
        <v/>
      </c>
      <c r="M39" s="51">
        <f>IF(A39="","",SUMIFS(Ventas_SellIn!$R$2:$R$800,Ventas_SellIn!$D$2:$D$800,A39))</f>
        <v/>
      </c>
      <c r="N39" s="48">
        <f>IF(A39="","",IF(M39&gt;=Inicio!$B$18,"Pendiente relevante",IF(M39&gt;0,"Pendiente menor","Sin deuda")))</f>
        <v/>
      </c>
      <c r="O39" s="50">
        <f>IF(A39="","",SUMIFS(Stock_PDV!$H$2:$H$800,Stock_PDV!$A$2:$A$800,A39))</f>
        <v/>
      </c>
      <c r="P39" s="48">
        <f>IF(A39="","",IF(O39&lt;=Inicio!$B$16,"Crítico",IF(O39&lt;=Inicio!$B$17,"Observar","OK")))</f>
        <v/>
      </c>
      <c r="Q39" s="48">
        <f>IF(A39="","",IF(OR(H39="Atrasado",K39="Sin venta",N39="Pendiente relevante",P39="Crítico"),"Alta",IF(OR(K39="Venta baja",N39="Pendiente menor",P39="Observar"),"Media","Baja")))</f>
        <v/>
      </c>
      <c r="R39" s="48">
        <f>IF(A39="","",IF(Q39="Alta","Gestionar esta semana",IF(Q39="Media","Hacer seguimiento","Mantener")))</f>
        <v/>
      </c>
      <c r="S39" s="68">
        <f>IF(A39="","",IF(I39=0,"Sin venta",IF(I39&gt;=cfg_VentaAlta,"Alta",IF(I39&lt;cfg_VentaBaja,"Baja","Media"))))</f>
        <v/>
      </c>
    </row>
    <row r="40" ht="20" customHeight="1" s="36">
      <c r="A40" s="48">
        <f>IF(Clientes_PDV!A40="","",Clientes_PDV!A40)</f>
        <v/>
      </c>
      <c r="B40" s="48">
        <f>IF(A40="","",IFERROR(VLOOKUP(A40,Clientes_PDV!$A$2:$J$250,2,FALSE),""))</f>
        <v/>
      </c>
      <c r="C40" s="48">
        <f>IF(A40="","",IFERROR(VLOOKUP(A40,Clientes_PDV!$A$2:$J$250,3,FALSE),""))</f>
        <v/>
      </c>
      <c r="D40" s="48">
        <f>IF(A40="","",IFERROR(VLOOKUP(A40,Clientes_PDV!$A$2:$J$250,4,FALSE),""))</f>
        <v/>
      </c>
      <c r="E40" s="48">
        <f>IF(A40="","",IFERROR(VLOOKUP(A40,Clientes_PDV!$A$2:$J$250,7,FALSE),""))</f>
        <v/>
      </c>
      <c r="F40" s="49">
        <f>IF(A40="","",IFERROR(VLOOKUP(A40,Clientes_PDV!$A$2:$J$250,8,FALSE),""))</f>
        <v/>
      </c>
      <c r="G40" s="50">
        <f>IF(F40="","",TODAY()-F40)</f>
        <v/>
      </c>
      <c r="H40" s="48">
        <f>IF(A40="","",IF(F40="","Sin visita",IF(G40&lt;=IFERROR(VLOOKUP(E40,Inicio!$A$24:$B$26,2,FALSE),0),"Vigente","Atrasado")))</f>
        <v/>
      </c>
      <c r="I40" s="51">
        <f>IF(A40="","",SUMIFS(Ventas_SellIn!$L$2:$L$800,Ventas_SellIn!$D$2:$D$800,A40,Ventas_SellIn!$B$2:$B$800,"&gt;="&amp;TODAY()-Inicio!$B$14))</f>
        <v/>
      </c>
      <c r="J40" s="50">
        <f>IF(A40="","",SUMIFS(SellOut_Jumbo!$F$2:$F$800,SellOut_Jumbo!$C$2:$C$800,D40,SellOut_Jumbo!$A$2:$A$800,"&gt;="&amp;TODAY()-Inicio!$B$14))</f>
        <v/>
      </c>
      <c r="K40" s="48">
        <f>IF(A40="","",IF(I40=0,"Sin venta",IF(I40&lt;Inicio!$B$15,"Venta baja","Venta OK")))</f>
        <v/>
      </c>
      <c r="L40" s="50">
        <f>IF(A40="","",COUNTIFS(Ventas_SellIn!$D$2:$D$800,A40,Ventas_SellIn!$R$2:$R$800,"&gt;0"))</f>
        <v/>
      </c>
      <c r="M40" s="51">
        <f>IF(A40="","",SUMIFS(Ventas_SellIn!$R$2:$R$800,Ventas_SellIn!$D$2:$D$800,A40))</f>
        <v/>
      </c>
      <c r="N40" s="48">
        <f>IF(A40="","",IF(M40&gt;=Inicio!$B$18,"Pendiente relevante",IF(M40&gt;0,"Pendiente menor","Sin deuda")))</f>
        <v/>
      </c>
      <c r="O40" s="50">
        <f>IF(A40="","",SUMIFS(Stock_PDV!$H$2:$H$800,Stock_PDV!$A$2:$A$800,A40))</f>
        <v/>
      </c>
      <c r="P40" s="48">
        <f>IF(A40="","",IF(O40&lt;=Inicio!$B$16,"Crítico",IF(O40&lt;=Inicio!$B$17,"Observar","OK")))</f>
        <v/>
      </c>
      <c r="Q40" s="48">
        <f>IF(A40="","",IF(OR(H40="Atrasado",K40="Sin venta",N40="Pendiente relevante",P40="Crítico"),"Alta",IF(OR(K40="Venta baja",N40="Pendiente menor",P40="Observar"),"Media","Baja")))</f>
        <v/>
      </c>
      <c r="R40" s="48">
        <f>IF(A40="","",IF(Q40="Alta","Gestionar esta semana",IF(Q40="Media","Hacer seguimiento","Mantener")))</f>
        <v/>
      </c>
      <c r="S40" s="68">
        <f>IF(A40="","",IF(I40=0,"Sin venta",IF(I40&gt;=cfg_VentaAlta,"Alta",IF(I40&lt;cfg_VentaBaja,"Baja","Media"))))</f>
        <v/>
      </c>
    </row>
    <row r="41" ht="20" customHeight="1" s="36">
      <c r="A41" s="48">
        <f>IF(Clientes_PDV!A41="","",Clientes_PDV!A41)</f>
        <v/>
      </c>
      <c r="B41" s="48">
        <f>IF(A41="","",IFERROR(VLOOKUP(A41,Clientes_PDV!$A$2:$J$250,2,FALSE),""))</f>
        <v/>
      </c>
      <c r="C41" s="48">
        <f>IF(A41="","",IFERROR(VLOOKUP(A41,Clientes_PDV!$A$2:$J$250,3,FALSE),""))</f>
        <v/>
      </c>
      <c r="D41" s="48">
        <f>IF(A41="","",IFERROR(VLOOKUP(A41,Clientes_PDV!$A$2:$J$250,4,FALSE),""))</f>
        <v/>
      </c>
      <c r="E41" s="48">
        <f>IF(A41="","",IFERROR(VLOOKUP(A41,Clientes_PDV!$A$2:$J$250,7,FALSE),""))</f>
        <v/>
      </c>
      <c r="F41" s="49">
        <f>IF(A41="","",IFERROR(VLOOKUP(A41,Clientes_PDV!$A$2:$J$250,8,FALSE),""))</f>
        <v/>
      </c>
      <c r="G41" s="50">
        <f>IF(F41="","",TODAY()-F41)</f>
        <v/>
      </c>
      <c r="H41" s="48">
        <f>IF(A41="","",IF(F41="","Sin visita",IF(G41&lt;=IFERROR(VLOOKUP(E41,Inicio!$A$24:$B$26,2,FALSE),0),"Vigente","Atrasado")))</f>
        <v/>
      </c>
      <c r="I41" s="51">
        <f>IF(A41="","",SUMIFS(Ventas_SellIn!$L$2:$L$800,Ventas_SellIn!$D$2:$D$800,A41,Ventas_SellIn!$B$2:$B$800,"&gt;="&amp;TODAY()-Inicio!$B$14))</f>
        <v/>
      </c>
      <c r="J41" s="50">
        <f>IF(A41="","",SUMIFS(SellOut_Jumbo!$F$2:$F$800,SellOut_Jumbo!$C$2:$C$800,D41,SellOut_Jumbo!$A$2:$A$800,"&gt;="&amp;TODAY()-Inicio!$B$14))</f>
        <v/>
      </c>
      <c r="K41" s="48">
        <f>IF(A41="","",IF(I41=0,"Sin venta",IF(I41&lt;Inicio!$B$15,"Venta baja","Venta OK")))</f>
        <v/>
      </c>
      <c r="L41" s="50">
        <f>IF(A41="","",COUNTIFS(Ventas_SellIn!$D$2:$D$800,A41,Ventas_SellIn!$R$2:$R$800,"&gt;0"))</f>
        <v/>
      </c>
      <c r="M41" s="51">
        <f>IF(A41="","",SUMIFS(Ventas_SellIn!$R$2:$R$800,Ventas_SellIn!$D$2:$D$800,A41))</f>
        <v/>
      </c>
      <c r="N41" s="48">
        <f>IF(A41="","",IF(M41&gt;=Inicio!$B$18,"Pendiente relevante",IF(M41&gt;0,"Pendiente menor","Sin deuda")))</f>
        <v/>
      </c>
      <c r="O41" s="50">
        <f>IF(A41="","",SUMIFS(Stock_PDV!$H$2:$H$800,Stock_PDV!$A$2:$A$800,A41))</f>
        <v/>
      </c>
      <c r="P41" s="48">
        <f>IF(A41="","",IF(O41&lt;=Inicio!$B$16,"Crítico",IF(O41&lt;=Inicio!$B$17,"Observar","OK")))</f>
        <v/>
      </c>
      <c r="Q41" s="48">
        <f>IF(A41="","",IF(OR(H41="Atrasado",K41="Sin venta",N41="Pendiente relevante",P41="Crítico"),"Alta",IF(OR(K41="Venta baja",N41="Pendiente menor",P41="Observar"),"Media","Baja")))</f>
        <v/>
      </c>
      <c r="R41" s="48">
        <f>IF(A41="","",IF(Q41="Alta","Gestionar esta semana",IF(Q41="Media","Hacer seguimiento","Mantener")))</f>
        <v/>
      </c>
      <c r="S41" s="68">
        <f>IF(A41="","",IF(I41=0,"Sin venta",IF(I41&gt;=cfg_VentaAlta,"Alta",IF(I41&lt;cfg_VentaBaja,"Baja","Media"))))</f>
        <v/>
      </c>
    </row>
    <row r="42" ht="20" customHeight="1" s="36">
      <c r="A42" s="48">
        <f>IF(Clientes_PDV!A42="","",Clientes_PDV!A42)</f>
        <v/>
      </c>
      <c r="B42" s="48">
        <f>IF(A42="","",IFERROR(VLOOKUP(A42,Clientes_PDV!$A$2:$J$250,2,FALSE),""))</f>
        <v/>
      </c>
      <c r="C42" s="48">
        <f>IF(A42="","",IFERROR(VLOOKUP(A42,Clientes_PDV!$A$2:$J$250,3,FALSE),""))</f>
        <v/>
      </c>
      <c r="D42" s="48">
        <f>IF(A42="","",IFERROR(VLOOKUP(A42,Clientes_PDV!$A$2:$J$250,4,FALSE),""))</f>
        <v/>
      </c>
      <c r="E42" s="48">
        <f>IF(A42="","",IFERROR(VLOOKUP(A42,Clientes_PDV!$A$2:$J$250,7,FALSE),""))</f>
        <v/>
      </c>
      <c r="F42" s="49">
        <f>IF(A42="","",IFERROR(VLOOKUP(A42,Clientes_PDV!$A$2:$J$250,8,FALSE),""))</f>
        <v/>
      </c>
      <c r="G42" s="50">
        <f>IF(F42="","",TODAY()-F42)</f>
        <v/>
      </c>
      <c r="H42" s="48">
        <f>IF(A42="","",IF(F42="","Sin visita",IF(G42&lt;=IFERROR(VLOOKUP(E42,Inicio!$A$24:$B$26,2,FALSE),0),"Vigente","Atrasado")))</f>
        <v/>
      </c>
      <c r="I42" s="51">
        <f>IF(A42="","",SUMIFS(Ventas_SellIn!$L$2:$L$800,Ventas_SellIn!$D$2:$D$800,A42,Ventas_SellIn!$B$2:$B$800,"&gt;="&amp;TODAY()-Inicio!$B$14))</f>
        <v/>
      </c>
      <c r="J42" s="50">
        <f>IF(A42="","",SUMIFS(SellOut_Jumbo!$F$2:$F$800,SellOut_Jumbo!$C$2:$C$800,D42,SellOut_Jumbo!$A$2:$A$800,"&gt;="&amp;TODAY()-Inicio!$B$14))</f>
        <v/>
      </c>
      <c r="K42" s="48">
        <f>IF(A42="","",IF(I42=0,"Sin venta",IF(I42&lt;Inicio!$B$15,"Venta baja","Venta OK")))</f>
        <v/>
      </c>
      <c r="L42" s="50">
        <f>IF(A42="","",COUNTIFS(Ventas_SellIn!$D$2:$D$800,A42,Ventas_SellIn!$R$2:$R$800,"&gt;0"))</f>
        <v/>
      </c>
      <c r="M42" s="51">
        <f>IF(A42="","",SUMIFS(Ventas_SellIn!$R$2:$R$800,Ventas_SellIn!$D$2:$D$800,A42))</f>
        <v/>
      </c>
      <c r="N42" s="48">
        <f>IF(A42="","",IF(M42&gt;=Inicio!$B$18,"Pendiente relevante",IF(M42&gt;0,"Pendiente menor","Sin deuda")))</f>
        <v/>
      </c>
      <c r="O42" s="50">
        <f>IF(A42="","",SUMIFS(Stock_PDV!$H$2:$H$800,Stock_PDV!$A$2:$A$800,A42))</f>
        <v/>
      </c>
      <c r="P42" s="48">
        <f>IF(A42="","",IF(O42&lt;=Inicio!$B$16,"Crítico",IF(O42&lt;=Inicio!$B$17,"Observar","OK")))</f>
        <v/>
      </c>
      <c r="Q42" s="48">
        <f>IF(A42="","",IF(OR(H42="Atrasado",K42="Sin venta",N42="Pendiente relevante",P42="Crítico"),"Alta",IF(OR(K42="Venta baja",N42="Pendiente menor",P42="Observar"),"Media","Baja")))</f>
        <v/>
      </c>
      <c r="R42" s="48">
        <f>IF(A42="","",IF(Q42="Alta","Gestionar esta semana",IF(Q42="Media","Hacer seguimiento","Mantener")))</f>
        <v/>
      </c>
      <c r="S42" s="68">
        <f>IF(A42="","",IF(I42=0,"Sin venta",IF(I42&gt;=cfg_VentaAlta,"Alta",IF(I42&lt;cfg_VentaBaja,"Baja","Media"))))</f>
        <v/>
      </c>
    </row>
    <row r="43" ht="20" customHeight="1" s="36">
      <c r="A43" s="48">
        <f>IF(Clientes_PDV!A43="","",Clientes_PDV!A43)</f>
        <v/>
      </c>
      <c r="B43" s="48">
        <f>IF(A43="","",IFERROR(VLOOKUP(A43,Clientes_PDV!$A$2:$J$250,2,FALSE),""))</f>
        <v/>
      </c>
      <c r="C43" s="48">
        <f>IF(A43="","",IFERROR(VLOOKUP(A43,Clientes_PDV!$A$2:$J$250,3,FALSE),""))</f>
        <v/>
      </c>
      <c r="D43" s="48">
        <f>IF(A43="","",IFERROR(VLOOKUP(A43,Clientes_PDV!$A$2:$J$250,4,FALSE),""))</f>
        <v/>
      </c>
      <c r="E43" s="48">
        <f>IF(A43="","",IFERROR(VLOOKUP(A43,Clientes_PDV!$A$2:$J$250,7,FALSE),""))</f>
        <v/>
      </c>
      <c r="F43" s="49">
        <f>IF(A43="","",IFERROR(VLOOKUP(A43,Clientes_PDV!$A$2:$J$250,8,FALSE),""))</f>
        <v/>
      </c>
      <c r="G43" s="50">
        <f>IF(F43="","",TODAY()-F43)</f>
        <v/>
      </c>
      <c r="H43" s="48">
        <f>IF(A43="","",IF(F43="","Sin visita",IF(G43&lt;=IFERROR(VLOOKUP(E43,Inicio!$A$24:$B$26,2,FALSE),0),"Vigente","Atrasado")))</f>
        <v/>
      </c>
      <c r="I43" s="51">
        <f>IF(A43="","",SUMIFS(Ventas_SellIn!$L$2:$L$800,Ventas_SellIn!$D$2:$D$800,A43,Ventas_SellIn!$B$2:$B$800,"&gt;="&amp;TODAY()-Inicio!$B$14))</f>
        <v/>
      </c>
      <c r="J43" s="50">
        <f>IF(A43="","",SUMIFS(SellOut_Jumbo!$F$2:$F$800,SellOut_Jumbo!$C$2:$C$800,D43,SellOut_Jumbo!$A$2:$A$800,"&gt;="&amp;TODAY()-Inicio!$B$14))</f>
        <v/>
      </c>
      <c r="K43" s="48">
        <f>IF(A43="","",IF(I43=0,"Sin venta",IF(I43&lt;Inicio!$B$15,"Venta baja","Venta OK")))</f>
        <v/>
      </c>
      <c r="L43" s="50">
        <f>IF(A43="","",COUNTIFS(Ventas_SellIn!$D$2:$D$800,A43,Ventas_SellIn!$R$2:$R$800,"&gt;0"))</f>
        <v/>
      </c>
      <c r="M43" s="51">
        <f>IF(A43="","",SUMIFS(Ventas_SellIn!$R$2:$R$800,Ventas_SellIn!$D$2:$D$800,A43))</f>
        <v/>
      </c>
      <c r="N43" s="48">
        <f>IF(A43="","",IF(M43&gt;=Inicio!$B$18,"Pendiente relevante",IF(M43&gt;0,"Pendiente menor","Sin deuda")))</f>
        <v/>
      </c>
      <c r="O43" s="50">
        <f>IF(A43="","",SUMIFS(Stock_PDV!$H$2:$H$800,Stock_PDV!$A$2:$A$800,A43))</f>
        <v/>
      </c>
      <c r="P43" s="48">
        <f>IF(A43="","",IF(O43&lt;=Inicio!$B$16,"Crítico",IF(O43&lt;=Inicio!$B$17,"Observar","OK")))</f>
        <v/>
      </c>
      <c r="Q43" s="48">
        <f>IF(A43="","",IF(OR(H43="Atrasado",K43="Sin venta",N43="Pendiente relevante",P43="Crítico"),"Alta",IF(OR(K43="Venta baja",N43="Pendiente menor",P43="Observar"),"Media","Baja")))</f>
        <v/>
      </c>
      <c r="R43" s="48">
        <f>IF(A43="","",IF(Q43="Alta","Gestionar esta semana",IF(Q43="Media","Hacer seguimiento","Mantener")))</f>
        <v/>
      </c>
      <c r="S43" s="68">
        <f>IF(A43="","",IF(I43=0,"Sin venta",IF(I43&gt;=cfg_VentaAlta,"Alta",IF(I43&lt;cfg_VentaBaja,"Baja","Media"))))</f>
        <v/>
      </c>
    </row>
    <row r="44" ht="20" customHeight="1" s="36">
      <c r="A44" s="48">
        <f>IF(Clientes_PDV!A44="","",Clientes_PDV!A44)</f>
        <v/>
      </c>
      <c r="B44" s="48">
        <f>IF(A44="","",IFERROR(VLOOKUP(A44,Clientes_PDV!$A$2:$J$250,2,FALSE),""))</f>
        <v/>
      </c>
      <c r="C44" s="48">
        <f>IF(A44="","",IFERROR(VLOOKUP(A44,Clientes_PDV!$A$2:$J$250,3,FALSE),""))</f>
        <v/>
      </c>
      <c r="D44" s="48">
        <f>IF(A44="","",IFERROR(VLOOKUP(A44,Clientes_PDV!$A$2:$J$250,4,FALSE),""))</f>
        <v/>
      </c>
      <c r="E44" s="48">
        <f>IF(A44="","",IFERROR(VLOOKUP(A44,Clientes_PDV!$A$2:$J$250,7,FALSE),""))</f>
        <v/>
      </c>
      <c r="F44" s="49">
        <f>IF(A44="","",IFERROR(VLOOKUP(A44,Clientes_PDV!$A$2:$J$250,8,FALSE),""))</f>
        <v/>
      </c>
      <c r="G44" s="50">
        <f>IF(F44="","",TODAY()-F44)</f>
        <v/>
      </c>
      <c r="H44" s="48">
        <f>IF(A44="","",IF(F44="","Sin visita",IF(G44&lt;=IFERROR(VLOOKUP(E44,Inicio!$A$24:$B$26,2,FALSE),0),"Vigente","Atrasado")))</f>
        <v/>
      </c>
      <c r="I44" s="51">
        <f>IF(A44="","",SUMIFS(Ventas_SellIn!$L$2:$L$800,Ventas_SellIn!$D$2:$D$800,A44,Ventas_SellIn!$B$2:$B$800,"&gt;="&amp;TODAY()-Inicio!$B$14))</f>
        <v/>
      </c>
      <c r="J44" s="50">
        <f>IF(A44="","",SUMIFS(SellOut_Jumbo!$F$2:$F$800,SellOut_Jumbo!$C$2:$C$800,D44,SellOut_Jumbo!$A$2:$A$800,"&gt;="&amp;TODAY()-Inicio!$B$14))</f>
        <v/>
      </c>
      <c r="K44" s="48">
        <f>IF(A44="","",IF(I44=0,"Sin venta",IF(I44&lt;Inicio!$B$15,"Venta baja","Venta OK")))</f>
        <v/>
      </c>
      <c r="L44" s="50">
        <f>IF(A44="","",COUNTIFS(Ventas_SellIn!$D$2:$D$800,A44,Ventas_SellIn!$R$2:$R$800,"&gt;0"))</f>
        <v/>
      </c>
      <c r="M44" s="51">
        <f>IF(A44="","",SUMIFS(Ventas_SellIn!$R$2:$R$800,Ventas_SellIn!$D$2:$D$800,A44))</f>
        <v/>
      </c>
      <c r="N44" s="48">
        <f>IF(A44="","",IF(M44&gt;=Inicio!$B$18,"Pendiente relevante",IF(M44&gt;0,"Pendiente menor","Sin deuda")))</f>
        <v/>
      </c>
      <c r="O44" s="50">
        <f>IF(A44="","",SUMIFS(Stock_PDV!$H$2:$H$800,Stock_PDV!$A$2:$A$800,A44))</f>
        <v/>
      </c>
      <c r="P44" s="48">
        <f>IF(A44="","",IF(O44&lt;=Inicio!$B$16,"Crítico",IF(O44&lt;=Inicio!$B$17,"Observar","OK")))</f>
        <v/>
      </c>
      <c r="Q44" s="48">
        <f>IF(A44="","",IF(OR(H44="Atrasado",K44="Sin venta",N44="Pendiente relevante",P44="Crítico"),"Alta",IF(OR(K44="Venta baja",N44="Pendiente menor",P44="Observar"),"Media","Baja")))</f>
        <v/>
      </c>
      <c r="R44" s="48">
        <f>IF(A44="","",IF(Q44="Alta","Gestionar esta semana",IF(Q44="Media","Hacer seguimiento","Mantener")))</f>
        <v/>
      </c>
      <c r="S44" s="68">
        <f>IF(A44="","",IF(I44=0,"Sin venta",IF(I44&gt;=cfg_VentaAlta,"Alta",IF(I44&lt;cfg_VentaBaja,"Baja","Media"))))</f>
        <v/>
      </c>
    </row>
    <row r="45" ht="20" customHeight="1" s="36">
      <c r="A45" s="48">
        <f>IF(Clientes_PDV!A45="","",Clientes_PDV!A45)</f>
        <v/>
      </c>
      <c r="B45" s="48">
        <f>IF(A45="","",IFERROR(VLOOKUP(A45,Clientes_PDV!$A$2:$J$250,2,FALSE),""))</f>
        <v/>
      </c>
      <c r="C45" s="48">
        <f>IF(A45="","",IFERROR(VLOOKUP(A45,Clientes_PDV!$A$2:$J$250,3,FALSE),""))</f>
        <v/>
      </c>
      <c r="D45" s="48">
        <f>IF(A45="","",IFERROR(VLOOKUP(A45,Clientes_PDV!$A$2:$J$250,4,FALSE),""))</f>
        <v/>
      </c>
      <c r="E45" s="48">
        <f>IF(A45="","",IFERROR(VLOOKUP(A45,Clientes_PDV!$A$2:$J$250,7,FALSE),""))</f>
        <v/>
      </c>
      <c r="F45" s="49">
        <f>IF(A45="","",IFERROR(VLOOKUP(A45,Clientes_PDV!$A$2:$J$250,8,FALSE),""))</f>
        <v/>
      </c>
      <c r="G45" s="50">
        <f>IF(F45="","",TODAY()-F45)</f>
        <v/>
      </c>
      <c r="H45" s="48">
        <f>IF(A45="","",IF(F45="","Sin visita",IF(G45&lt;=IFERROR(VLOOKUP(E45,Inicio!$A$24:$B$26,2,FALSE),0),"Vigente","Atrasado")))</f>
        <v/>
      </c>
      <c r="I45" s="51">
        <f>IF(A45="","",SUMIFS(Ventas_SellIn!$L$2:$L$800,Ventas_SellIn!$D$2:$D$800,A45,Ventas_SellIn!$B$2:$B$800,"&gt;="&amp;TODAY()-Inicio!$B$14))</f>
        <v/>
      </c>
      <c r="J45" s="50">
        <f>IF(A45="","",SUMIFS(SellOut_Jumbo!$F$2:$F$800,SellOut_Jumbo!$C$2:$C$800,D45,SellOut_Jumbo!$A$2:$A$800,"&gt;="&amp;TODAY()-Inicio!$B$14))</f>
        <v/>
      </c>
      <c r="K45" s="48">
        <f>IF(A45="","",IF(I45=0,"Sin venta",IF(I45&lt;Inicio!$B$15,"Venta baja","Venta OK")))</f>
        <v/>
      </c>
      <c r="L45" s="50">
        <f>IF(A45="","",COUNTIFS(Ventas_SellIn!$D$2:$D$800,A45,Ventas_SellIn!$R$2:$R$800,"&gt;0"))</f>
        <v/>
      </c>
      <c r="M45" s="51">
        <f>IF(A45="","",SUMIFS(Ventas_SellIn!$R$2:$R$800,Ventas_SellIn!$D$2:$D$800,A45))</f>
        <v/>
      </c>
      <c r="N45" s="48">
        <f>IF(A45="","",IF(M45&gt;=Inicio!$B$18,"Pendiente relevante",IF(M45&gt;0,"Pendiente menor","Sin deuda")))</f>
        <v/>
      </c>
      <c r="O45" s="50">
        <f>IF(A45="","",SUMIFS(Stock_PDV!$H$2:$H$800,Stock_PDV!$A$2:$A$800,A45))</f>
        <v/>
      </c>
      <c r="P45" s="48">
        <f>IF(A45="","",IF(O45&lt;=Inicio!$B$16,"Crítico",IF(O45&lt;=Inicio!$B$17,"Observar","OK")))</f>
        <v/>
      </c>
      <c r="Q45" s="48">
        <f>IF(A45="","",IF(OR(H45="Atrasado",K45="Sin venta",N45="Pendiente relevante",P45="Crítico"),"Alta",IF(OR(K45="Venta baja",N45="Pendiente menor",P45="Observar"),"Media","Baja")))</f>
        <v/>
      </c>
      <c r="R45" s="48">
        <f>IF(A45="","",IF(Q45="Alta","Gestionar esta semana",IF(Q45="Media","Hacer seguimiento","Mantener")))</f>
        <v/>
      </c>
      <c r="S45" s="68">
        <f>IF(A45="","",IF(I45=0,"Sin venta",IF(I45&gt;=cfg_VentaAlta,"Alta",IF(I45&lt;cfg_VentaBaja,"Baja","Media"))))</f>
        <v/>
      </c>
    </row>
    <row r="46" ht="20" customHeight="1" s="36">
      <c r="A46" s="48">
        <f>IF(Clientes_PDV!A46="","",Clientes_PDV!A46)</f>
        <v/>
      </c>
      <c r="B46" s="48">
        <f>IF(A46="","",IFERROR(VLOOKUP(A46,Clientes_PDV!$A$2:$J$250,2,FALSE),""))</f>
        <v/>
      </c>
      <c r="C46" s="48">
        <f>IF(A46="","",IFERROR(VLOOKUP(A46,Clientes_PDV!$A$2:$J$250,3,FALSE),""))</f>
        <v/>
      </c>
      <c r="D46" s="48">
        <f>IF(A46="","",IFERROR(VLOOKUP(A46,Clientes_PDV!$A$2:$J$250,4,FALSE),""))</f>
        <v/>
      </c>
      <c r="E46" s="48">
        <f>IF(A46="","",IFERROR(VLOOKUP(A46,Clientes_PDV!$A$2:$J$250,7,FALSE),""))</f>
        <v/>
      </c>
      <c r="F46" s="49">
        <f>IF(A46="","",IFERROR(VLOOKUP(A46,Clientes_PDV!$A$2:$J$250,8,FALSE),""))</f>
        <v/>
      </c>
      <c r="G46" s="50">
        <f>IF(F46="","",TODAY()-F46)</f>
        <v/>
      </c>
      <c r="H46" s="48">
        <f>IF(A46="","",IF(F46="","Sin visita",IF(G46&lt;=IFERROR(VLOOKUP(E46,Inicio!$A$24:$B$26,2,FALSE),0),"Vigente","Atrasado")))</f>
        <v/>
      </c>
      <c r="I46" s="51">
        <f>IF(A46="","",SUMIFS(Ventas_SellIn!$L$2:$L$800,Ventas_SellIn!$D$2:$D$800,A46,Ventas_SellIn!$B$2:$B$800,"&gt;="&amp;TODAY()-Inicio!$B$14))</f>
        <v/>
      </c>
      <c r="J46" s="50">
        <f>IF(A46="","",SUMIFS(SellOut_Jumbo!$F$2:$F$800,SellOut_Jumbo!$C$2:$C$800,D46,SellOut_Jumbo!$A$2:$A$800,"&gt;="&amp;TODAY()-Inicio!$B$14))</f>
        <v/>
      </c>
      <c r="K46" s="48">
        <f>IF(A46="","",IF(I46=0,"Sin venta",IF(I46&lt;Inicio!$B$15,"Venta baja","Venta OK")))</f>
        <v/>
      </c>
      <c r="L46" s="50">
        <f>IF(A46="","",COUNTIFS(Ventas_SellIn!$D$2:$D$800,A46,Ventas_SellIn!$R$2:$R$800,"&gt;0"))</f>
        <v/>
      </c>
      <c r="M46" s="51">
        <f>IF(A46="","",SUMIFS(Ventas_SellIn!$R$2:$R$800,Ventas_SellIn!$D$2:$D$800,A46))</f>
        <v/>
      </c>
      <c r="N46" s="48">
        <f>IF(A46="","",IF(M46&gt;=Inicio!$B$18,"Pendiente relevante",IF(M46&gt;0,"Pendiente menor","Sin deuda")))</f>
        <v/>
      </c>
      <c r="O46" s="50">
        <f>IF(A46="","",SUMIFS(Stock_PDV!$H$2:$H$800,Stock_PDV!$A$2:$A$800,A46))</f>
        <v/>
      </c>
      <c r="P46" s="48">
        <f>IF(A46="","",IF(O46&lt;=Inicio!$B$16,"Crítico",IF(O46&lt;=Inicio!$B$17,"Observar","OK")))</f>
        <v/>
      </c>
      <c r="Q46" s="48">
        <f>IF(A46="","",IF(OR(H46="Atrasado",K46="Sin venta",N46="Pendiente relevante",P46="Crítico"),"Alta",IF(OR(K46="Venta baja",N46="Pendiente menor",P46="Observar"),"Media","Baja")))</f>
        <v/>
      </c>
      <c r="R46" s="48">
        <f>IF(A46="","",IF(Q46="Alta","Gestionar esta semana",IF(Q46="Media","Hacer seguimiento","Mantener")))</f>
        <v/>
      </c>
      <c r="S46" s="68">
        <f>IF(A46="","",IF(I46=0,"Sin venta",IF(I46&gt;=cfg_VentaAlta,"Alta",IF(I46&lt;cfg_VentaBaja,"Baja","Media"))))</f>
        <v/>
      </c>
    </row>
    <row r="47" ht="20" customHeight="1" s="36">
      <c r="A47" s="48">
        <f>IF(Clientes_PDV!A47="","",Clientes_PDV!A47)</f>
        <v/>
      </c>
      <c r="B47" s="48">
        <f>IF(A47="","",IFERROR(VLOOKUP(A47,Clientes_PDV!$A$2:$J$250,2,FALSE),""))</f>
        <v/>
      </c>
      <c r="C47" s="48">
        <f>IF(A47="","",IFERROR(VLOOKUP(A47,Clientes_PDV!$A$2:$J$250,3,FALSE),""))</f>
        <v/>
      </c>
      <c r="D47" s="48">
        <f>IF(A47="","",IFERROR(VLOOKUP(A47,Clientes_PDV!$A$2:$J$250,4,FALSE),""))</f>
        <v/>
      </c>
      <c r="E47" s="48">
        <f>IF(A47="","",IFERROR(VLOOKUP(A47,Clientes_PDV!$A$2:$J$250,7,FALSE),""))</f>
        <v/>
      </c>
      <c r="F47" s="49">
        <f>IF(A47="","",IFERROR(VLOOKUP(A47,Clientes_PDV!$A$2:$J$250,8,FALSE),""))</f>
        <v/>
      </c>
      <c r="G47" s="50">
        <f>IF(F47="","",TODAY()-F47)</f>
        <v/>
      </c>
      <c r="H47" s="48">
        <f>IF(A47="","",IF(F47="","Sin visita",IF(G47&lt;=IFERROR(VLOOKUP(E47,Inicio!$A$24:$B$26,2,FALSE),0),"Vigente","Atrasado")))</f>
        <v/>
      </c>
      <c r="I47" s="51">
        <f>IF(A47="","",SUMIFS(Ventas_SellIn!$L$2:$L$800,Ventas_SellIn!$D$2:$D$800,A47,Ventas_SellIn!$B$2:$B$800,"&gt;="&amp;TODAY()-Inicio!$B$14))</f>
        <v/>
      </c>
      <c r="J47" s="50">
        <f>IF(A47="","",SUMIFS(SellOut_Jumbo!$F$2:$F$800,SellOut_Jumbo!$C$2:$C$800,D47,SellOut_Jumbo!$A$2:$A$800,"&gt;="&amp;TODAY()-Inicio!$B$14))</f>
        <v/>
      </c>
      <c r="K47" s="48">
        <f>IF(A47="","",IF(I47=0,"Sin venta",IF(I47&lt;Inicio!$B$15,"Venta baja","Venta OK")))</f>
        <v/>
      </c>
      <c r="L47" s="50">
        <f>IF(A47="","",COUNTIFS(Ventas_SellIn!$D$2:$D$800,A47,Ventas_SellIn!$R$2:$R$800,"&gt;0"))</f>
        <v/>
      </c>
      <c r="M47" s="51">
        <f>IF(A47="","",SUMIFS(Ventas_SellIn!$R$2:$R$800,Ventas_SellIn!$D$2:$D$800,A47))</f>
        <v/>
      </c>
      <c r="N47" s="48">
        <f>IF(A47="","",IF(M47&gt;=Inicio!$B$18,"Pendiente relevante",IF(M47&gt;0,"Pendiente menor","Sin deuda")))</f>
        <v/>
      </c>
      <c r="O47" s="50">
        <f>IF(A47="","",SUMIFS(Stock_PDV!$H$2:$H$800,Stock_PDV!$A$2:$A$800,A47))</f>
        <v/>
      </c>
      <c r="P47" s="48">
        <f>IF(A47="","",IF(O47&lt;=Inicio!$B$16,"Crítico",IF(O47&lt;=Inicio!$B$17,"Observar","OK")))</f>
        <v/>
      </c>
      <c r="Q47" s="48">
        <f>IF(A47="","",IF(OR(H47="Atrasado",K47="Sin venta",N47="Pendiente relevante",P47="Crítico"),"Alta",IF(OR(K47="Venta baja",N47="Pendiente menor",P47="Observar"),"Media","Baja")))</f>
        <v/>
      </c>
      <c r="R47" s="48">
        <f>IF(A47="","",IF(Q47="Alta","Gestionar esta semana",IF(Q47="Media","Hacer seguimiento","Mantener")))</f>
        <v/>
      </c>
      <c r="S47" s="68">
        <f>IF(A47="","",IF(I47=0,"Sin venta",IF(I47&gt;=cfg_VentaAlta,"Alta",IF(I47&lt;cfg_VentaBaja,"Baja","Media"))))</f>
        <v/>
      </c>
    </row>
    <row r="48" ht="20" customHeight="1" s="36">
      <c r="A48" s="48">
        <f>IF(Clientes_PDV!A48="","",Clientes_PDV!A48)</f>
        <v/>
      </c>
      <c r="B48" s="48">
        <f>IF(A48="","",IFERROR(VLOOKUP(A48,Clientes_PDV!$A$2:$J$250,2,FALSE),""))</f>
        <v/>
      </c>
      <c r="C48" s="48">
        <f>IF(A48="","",IFERROR(VLOOKUP(A48,Clientes_PDV!$A$2:$J$250,3,FALSE),""))</f>
        <v/>
      </c>
      <c r="D48" s="48">
        <f>IF(A48="","",IFERROR(VLOOKUP(A48,Clientes_PDV!$A$2:$J$250,4,FALSE),""))</f>
        <v/>
      </c>
      <c r="E48" s="48">
        <f>IF(A48="","",IFERROR(VLOOKUP(A48,Clientes_PDV!$A$2:$J$250,7,FALSE),""))</f>
        <v/>
      </c>
      <c r="F48" s="49">
        <f>IF(A48="","",IFERROR(VLOOKUP(A48,Clientes_PDV!$A$2:$J$250,8,FALSE),""))</f>
        <v/>
      </c>
      <c r="G48" s="50">
        <f>IF(F48="","",TODAY()-F48)</f>
        <v/>
      </c>
      <c r="H48" s="48">
        <f>IF(A48="","",IF(F48="","Sin visita",IF(G48&lt;=IFERROR(VLOOKUP(E48,Inicio!$A$24:$B$26,2,FALSE),0),"Vigente","Atrasado")))</f>
        <v/>
      </c>
      <c r="I48" s="51">
        <f>IF(A48="","",SUMIFS(Ventas_SellIn!$L$2:$L$800,Ventas_SellIn!$D$2:$D$800,A48,Ventas_SellIn!$B$2:$B$800,"&gt;="&amp;TODAY()-Inicio!$B$14))</f>
        <v/>
      </c>
      <c r="J48" s="50">
        <f>IF(A48="","",SUMIFS(SellOut_Jumbo!$F$2:$F$800,SellOut_Jumbo!$C$2:$C$800,D48,SellOut_Jumbo!$A$2:$A$800,"&gt;="&amp;TODAY()-Inicio!$B$14))</f>
        <v/>
      </c>
      <c r="K48" s="48">
        <f>IF(A48="","",IF(I48=0,"Sin venta",IF(I48&lt;Inicio!$B$15,"Venta baja","Venta OK")))</f>
        <v/>
      </c>
      <c r="L48" s="50">
        <f>IF(A48="","",COUNTIFS(Ventas_SellIn!$D$2:$D$800,A48,Ventas_SellIn!$R$2:$R$800,"&gt;0"))</f>
        <v/>
      </c>
      <c r="M48" s="51">
        <f>IF(A48="","",SUMIFS(Ventas_SellIn!$R$2:$R$800,Ventas_SellIn!$D$2:$D$800,A48))</f>
        <v/>
      </c>
      <c r="N48" s="48">
        <f>IF(A48="","",IF(M48&gt;=Inicio!$B$18,"Pendiente relevante",IF(M48&gt;0,"Pendiente menor","Sin deuda")))</f>
        <v/>
      </c>
      <c r="O48" s="50">
        <f>IF(A48="","",SUMIFS(Stock_PDV!$H$2:$H$800,Stock_PDV!$A$2:$A$800,A48))</f>
        <v/>
      </c>
      <c r="P48" s="48">
        <f>IF(A48="","",IF(O48&lt;=Inicio!$B$16,"Crítico",IF(O48&lt;=Inicio!$B$17,"Observar","OK")))</f>
        <v/>
      </c>
      <c r="Q48" s="48">
        <f>IF(A48="","",IF(OR(H48="Atrasado",K48="Sin venta",N48="Pendiente relevante",P48="Crítico"),"Alta",IF(OR(K48="Venta baja",N48="Pendiente menor",P48="Observar"),"Media","Baja")))</f>
        <v/>
      </c>
      <c r="R48" s="48">
        <f>IF(A48="","",IF(Q48="Alta","Gestionar esta semana",IF(Q48="Media","Hacer seguimiento","Mantener")))</f>
        <v/>
      </c>
      <c r="S48" s="68">
        <f>IF(A48="","",IF(I48=0,"Sin venta",IF(I48&gt;=cfg_VentaAlta,"Alta",IF(I48&lt;cfg_VentaBaja,"Baja","Media"))))</f>
        <v/>
      </c>
    </row>
    <row r="49" ht="20" customHeight="1" s="36">
      <c r="A49" s="48">
        <f>IF(Clientes_PDV!A49="","",Clientes_PDV!A49)</f>
        <v/>
      </c>
      <c r="B49" s="48">
        <f>IF(A49="","",IFERROR(VLOOKUP(A49,Clientes_PDV!$A$2:$J$250,2,FALSE),""))</f>
        <v/>
      </c>
      <c r="C49" s="48">
        <f>IF(A49="","",IFERROR(VLOOKUP(A49,Clientes_PDV!$A$2:$J$250,3,FALSE),""))</f>
        <v/>
      </c>
      <c r="D49" s="48">
        <f>IF(A49="","",IFERROR(VLOOKUP(A49,Clientes_PDV!$A$2:$J$250,4,FALSE),""))</f>
        <v/>
      </c>
      <c r="E49" s="48">
        <f>IF(A49="","",IFERROR(VLOOKUP(A49,Clientes_PDV!$A$2:$J$250,7,FALSE),""))</f>
        <v/>
      </c>
      <c r="F49" s="49">
        <f>IF(A49="","",IFERROR(VLOOKUP(A49,Clientes_PDV!$A$2:$J$250,8,FALSE),""))</f>
        <v/>
      </c>
      <c r="G49" s="50">
        <f>IF(F49="","",TODAY()-F49)</f>
        <v/>
      </c>
      <c r="H49" s="48">
        <f>IF(A49="","",IF(F49="","Sin visita",IF(G49&lt;=IFERROR(VLOOKUP(E49,Inicio!$A$24:$B$26,2,FALSE),0),"Vigente","Atrasado")))</f>
        <v/>
      </c>
      <c r="I49" s="51">
        <f>IF(A49="","",SUMIFS(Ventas_SellIn!$L$2:$L$800,Ventas_SellIn!$D$2:$D$800,A49,Ventas_SellIn!$B$2:$B$800,"&gt;="&amp;TODAY()-Inicio!$B$14))</f>
        <v/>
      </c>
      <c r="J49" s="50">
        <f>IF(A49="","",SUMIFS(SellOut_Jumbo!$F$2:$F$800,SellOut_Jumbo!$C$2:$C$800,D49,SellOut_Jumbo!$A$2:$A$800,"&gt;="&amp;TODAY()-Inicio!$B$14))</f>
        <v/>
      </c>
      <c r="K49" s="48">
        <f>IF(A49="","",IF(I49=0,"Sin venta",IF(I49&lt;Inicio!$B$15,"Venta baja","Venta OK")))</f>
        <v/>
      </c>
      <c r="L49" s="50">
        <f>IF(A49="","",COUNTIFS(Ventas_SellIn!$D$2:$D$800,A49,Ventas_SellIn!$R$2:$R$800,"&gt;0"))</f>
        <v/>
      </c>
      <c r="M49" s="51">
        <f>IF(A49="","",SUMIFS(Ventas_SellIn!$R$2:$R$800,Ventas_SellIn!$D$2:$D$800,A49))</f>
        <v/>
      </c>
      <c r="N49" s="48">
        <f>IF(A49="","",IF(M49&gt;=Inicio!$B$18,"Pendiente relevante",IF(M49&gt;0,"Pendiente menor","Sin deuda")))</f>
        <v/>
      </c>
      <c r="O49" s="50">
        <f>IF(A49="","",SUMIFS(Stock_PDV!$H$2:$H$800,Stock_PDV!$A$2:$A$800,A49))</f>
        <v/>
      </c>
      <c r="P49" s="48">
        <f>IF(A49="","",IF(O49&lt;=Inicio!$B$16,"Crítico",IF(O49&lt;=Inicio!$B$17,"Observar","OK")))</f>
        <v/>
      </c>
      <c r="Q49" s="48">
        <f>IF(A49="","",IF(OR(H49="Atrasado",K49="Sin venta",N49="Pendiente relevante",P49="Crítico"),"Alta",IF(OR(K49="Venta baja",N49="Pendiente menor",P49="Observar"),"Media","Baja")))</f>
        <v/>
      </c>
      <c r="R49" s="48">
        <f>IF(A49="","",IF(Q49="Alta","Gestionar esta semana",IF(Q49="Media","Hacer seguimiento","Mantener")))</f>
        <v/>
      </c>
      <c r="S49" s="68">
        <f>IF(A49="","",IF(I49=0,"Sin venta",IF(I49&gt;=cfg_VentaAlta,"Alta",IF(I49&lt;cfg_VentaBaja,"Baja","Media"))))</f>
        <v/>
      </c>
    </row>
    <row r="50" ht="20" customHeight="1" s="36">
      <c r="A50" s="48">
        <f>IF(Clientes_PDV!A50="","",Clientes_PDV!A50)</f>
        <v/>
      </c>
      <c r="B50" s="48">
        <f>IF(A50="","",IFERROR(VLOOKUP(A50,Clientes_PDV!$A$2:$J$250,2,FALSE),""))</f>
        <v/>
      </c>
      <c r="C50" s="48">
        <f>IF(A50="","",IFERROR(VLOOKUP(A50,Clientes_PDV!$A$2:$J$250,3,FALSE),""))</f>
        <v/>
      </c>
      <c r="D50" s="48">
        <f>IF(A50="","",IFERROR(VLOOKUP(A50,Clientes_PDV!$A$2:$J$250,4,FALSE),""))</f>
        <v/>
      </c>
      <c r="E50" s="48">
        <f>IF(A50="","",IFERROR(VLOOKUP(A50,Clientes_PDV!$A$2:$J$250,7,FALSE),""))</f>
        <v/>
      </c>
      <c r="F50" s="49">
        <f>IF(A50="","",IFERROR(VLOOKUP(A50,Clientes_PDV!$A$2:$J$250,8,FALSE),""))</f>
        <v/>
      </c>
      <c r="G50" s="50">
        <f>IF(F50="","",TODAY()-F50)</f>
        <v/>
      </c>
      <c r="H50" s="48">
        <f>IF(A50="","",IF(F50="","Sin visita",IF(G50&lt;=IFERROR(VLOOKUP(E50,Inicio!$A$24:$B$26,2,FALSE),0),"Vigente","Atrasado")))</f>
        <v/>
      </c>
      <c r="I50" s="51">
        <f>IF(A50="","",SUMIFS(Ventas_SellIn!$L$2:$L$800,Ventas_SellIn!$D$2:$D$800,A50,Ventas_SellIn!$B$2:$B$800,"&gt;="&amp;TODAY()-Inicio!$B$14))</f>
        <v/>
      </c>
      <c r="J50" s="50">
        <f>IF(A50="","",SUMIFS(SellOut_Jumbo!$F$2:$F$800,SellOut_Jumbo!$C$2:$C$800,D50,SellOut_Jumbo!$A$2:$A$800,"&gt;="&amp;TODAY()-Inicio!$B$14))</f>
        <v/>
      </c>
      <c r="K50" s="48">
        <f>IF(A50="","",IF(I50=0,"Sin venta",IF(I50&lt;Inicio!$B$15,"Venta baja","Venta OK")))</f>
        <v/>
      </c>
      <c r="L50" s="50">
        <f>IF(A50="","",COUNTIFS(Ventas_SellIn!$D$2:$D$800,A50,Ventas_SellIn!$R$2:$R$800,"&gt;0"))</f>
        <v/>
      </c>
      <c r="M50" s="51">
        <f>IF(A50="","",SUMIFS(Ventas_SellIn!$R$2:$R$800,Ventas_SellIn!$D$2:$D$800,A50))</f>
        <v/>
      </c>
      <c r="N50" s="48">
        <f>IF(A50="","",IF(M50&gt;=Inicio!$B$18,"Pendiente relevante",IF(M50&gt;0,"Pendiente menor","Sin deuda")))</f>
        <v/>
      </c>
      <c r="O50" s="50">
        <f>IF(A50="","",SUMIFS(Stock_PDV!$H$2:$H$800,Stock_PDV!$A$2:$A$800,A50))</f>
        <v/>
      </c>
      <c r="P50" s="48">
        <f>IF(A50="","",IF(O50&lt;=Inicio!$B$16,"Crítico",IF(O50&lt;=Inicio!$B$17,"Observar","OK")))</f>
        <v/>
      </c>
      <c r="Q50" s="48">
        <f>IF(A50="","",IF(OR(H50="Atrasado",K50="Sin venta",N50="Pendiente relevante",P50="Crítico"),"Alta",IF(OR(K50="Venta baja",N50="Pendiente menor",P50="Observar"),"Media","Baja")))</f>
        <v/>
      </c>
      <c r="R50" s="48">
        <f>IF(A50="","",IF(Q50="Alta","Gestionar esta semana",IF(Q50="Media","Hacer seguimiento","Mantener")))</f>
        <v/>
      </c>
      <c r="S50" s="68">
        <f>IF(A50="","",IF(I50=0,"Sin venta",IF(I50&gt;=cfg_VentaAlta,"Alta",IF(I50&lt;cfg_VentaBaja,"Baja","Media"))))</f>
        <v/>
      </c>
    </row>
    <row r="51">
      <c r="A51" s="48">
        <f>IF(Clientes_PDV!A51="","",Clientes_PDV!A51)</f>
        <v/>
      </c>
      <c r="B51" s="48">
        <f>IF(A51="","",IFERROR(VLOOKUP(A51,Clientes_PDV!$A$2:$J$250,2,FALSE),""))</f>
        <v/>
      </c>
      <c r="C51" s="48">
        <f>IF(A51="","",IFERROR(VLOOKUP(A51,Clientes_PDV!$A$2:$J$250,3,FALSE),""))</f>
        <v/>
      </c>
      <c r="D51" s="48">
        <f>IF(A51="","",IFERROR(VLOOKUP(A51,Clientes_PDV!$A$2:$J$250,4,FALSE),""))</f>
        <v/>
      </c>
      <c r="E51" s="48">
        <f>IF(A51="","",IFERROR(VLOOKUP(A51,Clientes_PDV!$A$2:$J$250,7,FALSE),""))</f>
        <v/>
      </c>
      <c r="F51" s="49">
        <f>IF(A51="","",IFERROR(VLOOKUP(A51,Clientes_PDV!$A$2:$J$250,8,FALSE),""))</f>
        <v/>
      </c>
      <c r="G51" s="50">
        <f>IF(F51="","",TODAY()-F51)</f>
        <v/>
      </c>
      <c r="H51" s="48">
        <f>IF(A51="","",IF(F51="","Sin visita",IF(G51&lt;=IFERROR(VLOOKUP(E51,Inicio!$A$24:$B$26,2,FALSE),0),"Vigente","Atrasado")))</f>
        <v/>
      </c>
      <c r="I51" s="51">
        <f>IF(A51="","",SUMIFS(Ventas_SellIn!$L$2:$L$800,Ventas_SellIn!$D$2:$D$800,A51,Ventas_SellIn!$B$2:$B$800,"&gt;="&amp;TODAY()-Inicio!$B$14))</f>
        <v/>
      </c>
      <c r="J51" s="50">
        <f>IF(A51="","",SUMIFS(SellOut_Jumbo!$F$2:$F$800,SellOut_Jumbo!$C$2:$C$800,D51,SellOut_Jumbo!$A$2:$A$800,"&gt;="&amp;TODAY()-Inicio!$B$14))</f>
        <v/>
      </c>
      <c r="K51" s="48">
        <f>IF(A51="","",IF(I51=0,"Sin venta",IF(I51&lt;Inicio!$B$15,"Venta baja","Venta OK")))</f>
        <v/>
      </c>
      <c r="L51" s="50">
        <f>IF(A51="","",COUNTIFS(Ventas_SellIn!$D$2:$D$800,A51,Ventas_SellIn!$R$2:$R$800,"&gt;0"))</f>
        <v/>
      </c>
      <c r="M51" s="51">
        <f>IF(A51="","",SUMIFS(Ventas_SellIn!$R$2:$R$800,Ventas_SellIn!$D$2:$D$800,A51))</f>
        <v/>
      </c>
      <c r="N51" s="48">
        <f>IF(A51="","",IF(M51&gt;=Inicio!$B$18,"Pendiente relevante",IF(M51&gt;0,"Pendiente menor","Sin deuda")))</f>
        <v/>
      </c>
      <c r="O51" s="50">
        <f>IF(A51="","",SUMIFS(Stock_PDV!$H$2:$H$800,Stock_PDV!$A$2:$A$800,A51))</f>
        <v/>
      </c>
      <c r="P51" s="48">
        <f>IF(A51="","",IF(O51&lt;=Inicio!$B$16,"Crítico",IF(O51&lt;=Inicio!$B$17,"Observar","OK")))</f>
        <v/>
      </c>
      <c r="Q51" s="48">
        <f>IF(A51="","",IF(OR(H51="Atrasado",K51="Sin venta",N51="Pendiente relevante",P51="Crítico"),"Alta",IF(OR(K51="Venta baja",N51="Pendiente menor",P51="Observar"),"Media","Baja")))</f>
        <v/>
      </c>
      <c r="R51" s="48">
        <f>IF(A51="","",IF(Q51="Alta","Gestionar esta semana",IF(Q51="Media","Hacer seguimiento","Mantener")))</f>
        <v/>
      </c>
      <c r="S51" s="68">
        <f>IF(A51="","",IF(I51=0,"Sin venta",IF(I51&gt;=cfg_VentaAlta,"Alta",IF(I51&lt;cfg_VentaBaja,"Baja","Media"))))</f>
        <v/>
      </c>
    </row>
    <row r="52">
      <c r="A52" s="48">
        <f>IF(Clientes_PDV!A52="","",Clientes_PDV!A52)</f>
        <v/>
      </c>
      <c r="B52" s="48">
        <f>IF(A52="","",IFERROR(VLOOKUP(A52,Clientes_PDV!$A$2:$J$250,2,FALSE),""))</f>
        <v/>
      </c>
      <c r="C52" s="48">
        <f>IF(A52="","",IFERROR(VLOOKUP(A52,Clientes_PDV!$A$2:$J$250,3,FALSE),""))</f>
        <v/>
      </c>
      <c r="D52" s="48">
        <f>IF(A52="","",IFERROR(VLOOKUP(A52,Clientes_PDV!$A$2:$J$250,4,FALSE),""))</f>
        <v/>
      </c>
      <c r="E52" s="48">
        <f>IF(A52="","",IFERROR(VLOOKUP(A52,Clientes_PDV!$A$2:$J$250,7,FALSE),""))</f>
        <v/>
      </c>
      <c r="F52" s="49">
        <f>IF(A52="","",IFERROR(VLOOKUP(A52,Clientes_PDV!$A$2:$J$250,8,FALSE),""))</f>
        <v/>
      </c>
      <c r="G52" s="50">
        <f>IF(F52="","",TODAY()-F52)</f>
        <v/>
      </c>
      <c r="H52" s="48">
        <f>IF(A52="","",IF(F52="","Sin visita",IF(G52&lt;=IFERROR(VLOOKUP(E52,Inicio!$A$24:$B$26,2,FALSE),0),"Vigente","Atrasado")))</f>
        <v/>
      </c>
      <c r="I52" s="51">
        <f>IF(A52="","",SUMIFS(Ventas_SellIn!$L$2:$L$800,Ventas_SellIn!$D$2:$D$800,A52,Ventas_SellIn!$B$2:$B$800,"&gt;="&amp;TODAY()-Inicio!$B$14))</f>
        <v/>
      </c>
      <c r="J52" s="50">
        <f>IF(A52="","",SUMIFS(SellOut_Jumbo!$F$2:$F$800,SellOut_Jumbo!$C$2:$C$800,D52,SellOut_Jumbo!$A$2:$A$800,"&gt;="&amp;TODAY()-Inicio!$B$14))</f>
        <v/>
      </c>
      <c r="K52" s="48">
        <f>IF(A52="","",IF(I52=0,"Sin venta",IF(I52&lt;Inicio!$B$15,"Venta baja","Venta OK")))</f>
        <v/>
      </c>
      <c r="L52" s="50">
        <f>IF(A52="","",COUNTIFS(Ventas_SellIn!$D$2:$D$800,A52,Ventas_SellIn!$R$2:$R$800,"&gt;0"))</f>
        <v/>
      </c>
      <c r="M52" s="51">
        <f>IF(A52="","",SUMIFS(Ventas_SellIn!$R$2:$R$800,Ventas_SellIn!$D$2:$D$800,A52))</f>
        <v/>
      </c>
      <c r="N52" s="48">
        <f>IF(A52="","",IF(M52&gt;=Inicio!$B$18,"Pendiente relevante",IF(M52&gt;0,"Pendiente menor","Sin deuda")))</f>
        <v/>
      </c>
      <c r="O52" s="50">
        <f>IF(A52="","",SUMIFS(Stock_PDV!$H$2:$H$800,Stock_PDV!$A$2:$A$800,A52))</f>
        <v/>
      </c>
      <c r="P52" s="48">
        <f>IF(A52="","",IF(O52&lt;=Inicio!$B$16,"Crítico",IF(O52&lt;=Inicio!$B$17,"Observar","OK")))</f>
        <v/>
      </c>
      <c r="Q52" s="48">
        <f>IF(A52="","",IF(OR(H52="Atrasado",K52="Sin venta",N52="Pendiente relevante",P52="Crítico"),"Alta",IF(OR(K52="Venta baja",N52="Pendiente menor",P52="Observar"),"Media","Baja")))</f>
        <v/>
      </c>
      <c r="R52" s="48">
        <f>IF(A52="","",IF(Q52="Alta","Gestionar esta semana",IF(Q52="Media","Hacer seguimiento","Mantener")))</f>
        <v/>
      </c>
      <c r="S52" s="68">
        <f>IF(A52="","",IF(I52=0,"Sin venta",IF(I52&gt;=cfg_VentaAlta,"Alta",IF(I52&lt;cfg_VentaBaja,"Baja","Media"))))</f>
        <v/>
      </c>
    </row>
    <row r="53">
      <c r="A53" s="48">
        <f>IF(Clientes_PDV!A53="","",Clientes_PDV!A53)</f>
        <v/>
      </c>
      <c r="B53" s="48">
        <f>IF(A53="","",IFERROR(VLOOKUP(A53,Clientes_PDV!$A$2:$J$250,2,FALSE),""))</f>
        <v/>
      </c>
      <c r="C53" s="48">
        <f>IF(A53="","",IFERROR(VLOOKUP(A53,Clientes_PDV!$A$2:$J$250,3,FALSE),""))</f>
        <v/>
      </c>
      <c r="D53" s="48">
        <f>IF(A53="","",IFERROR(VLOOKUP(A53,Clientes_PDV!$A$2:$J$250,4,FALSE),""))</f>
        <v/>
      </c>
      <c r="E53" s="48">
        <f>IF(A53="","",IFERROR(VLOOKUP(A53,Clientes_PDV!$A$2:$J$250,7,FALSE),""))</f>
        <v/>
      </c>
      <c r="F53" s="49">
        <f>IF(A53="","",IFERROR(VLOOKUP(A53,Clientes_PDV!$A$2:$J$250,8,FALSE),""))</f>
        <v/>
      </c>
      <c r="G53" s="50">
        <f>IF(F53="","",TODAY()-F53)</f>
        <v/>
      </c>
      <c r="H53" s="48">
        <f>IF(A53="","",IF(F53="","Sin visita",IF(G53&lt;=IFERROR(VLOOKUP(E53,Inicio!$A$24:$B$26,2,FALSE),0),"Vigente","Atrasado")))</f>
        <v/>
      </c>
      <c r="I53" s="51">
        <f>IF(A53="","",SUMIFS(Ventas_SellIn!$L$2:$L$800,Ventas_SellIn!$D$2:$D$800,A53,Ventas_SellIn!$B$2:$B$800,"&gt;="&amp;TODAY()-Inicio!$B$14))</f>
        <v/>
      </c>
      <c r="J53" s="50">
        <f>IF(A53="","",SUMIFS(SellOut_Jumbo!$F$2:$F$800,SellOut_Jumbo!$C$2:$C$800,D53,SellOut_Jumbo!$A$2:$A$800,"&gt;="&amp;TODAY()-Inicio!$B$14))</f>
        <v/>
      </c>
      <c r="K53" s="48">
        <f>IF(A53="","",IF(I53=0,"Sin venta",IF(I53&lt;Inicio!$B$15,"Venta baja","Venta OK")))</f>
        <v/>
      </c>
      <c r="L53" s="50">
        <f>IF(A53="","",COUNTIFS(Ventas_SellIn!$D$2:$D$800,A53,Ventas_SellIn!$R$2:$R$800,"&gt;0"))</f>
        <v/>
      </c>
      <c r="M53" s="51">
        <f>IF(A53="","",SUMIFS(Ventas_SellIn!$R$2:$R$800,Ventas_SellIn!$D$2:$D$800,A53))</f>
        <v/>
      </c>
      <c r="N53" s="48">
        <f>IF(A53="","",IF(M53&gt;=Inicio!$B$18,"Pendiente relevante",IF(M53&gt;0,"Pendiente menor","Sin deuda")))</f>
        <v/>
      </c>
      <c r="O53" s="50">
        <f>IF(A53="","",SUMIFS(Stock_PDV!$H$2:$H$800,Stock_PDV!$A$2:$A$800,A53))</f>
        <v/>
      </c>
      <c r="P53" s="48">
        <f>IF(A53="","",IF(O53&lt;=Inicio!$B$16,"Crítico",IF(O53&lt;=Inicio!$B$17,"Observar","OK")))</f>
        <v/>
      </c>
      <c r="Q53" s="48">
        <f>IF(A53="","",IF(OR(H53="Atrasado",K53="Sin venta",N53="Pendiente relevante",P53="Crítico"),"Alta",IF(OR(K53="Venta baja",N53="Pendiente menor",P53="Observar"),"Media","Baja")))</f>
        <v/>
      </c>
      <c r="R53" s="48">
        <f>IF(A53="","",IF(Q53="Alta","Gestionar esta semana",IF(Q53="Media","Hacer seguimiento","Mantener")))</f>
        <v/>
      </c>
      <c r="S53" s="68">
        <f>IF(A53="","",IF(I53=0,"Sin venta",IF(I53&gt;=cfg_VentaAlta,"Alta",IF(I53&lt;cfg_VentaBaja,"Baja","Media"))))</f>
        <v/>
      </c>
    </row>
    <row r="54">
      <c r="A54" s="48">
        <f>IF(Clientes_PDV!A54="","",Clientes_PDV!A54)</f>
        <v/>
      </c>
      <c r="B54" s="48">
        <f>IF(A54="","",IFERROR(VLOOKUP(A54,Clientes_PDV!$A$2:$J$250,2,FALSE),""))</f>
        <v/>
      </c>
      <c r="C54" s="48">
        <f>IF(A54="","",IFERROR(VLOOKUP(A54,Clientes_PDV!$A$2:$J$250,3,FALSE),""))</f>
        <v/>
      </c>
      <c r="D54" s="48">
        <f>IF(A54="","",IFERROR(VLOOKUP(A54,Clientes_PDV!$A$2:$J$250,4,FALSE),""))</f>
        <v/>
      </c>
      <c r="E54" s="48">
        <f>IF(A54="","",IFERROR(VLOOKUP(A54,Clientes_PDV!$A$2:$J$250,7,FALSE),""))</f>
        <v/>
      </c>
      <c r="F54" s="49">
        <f>IF(A54="","",IFERROR(VLOOKUP(A54,Clientes_PDV!$A$2:$J$250,8,FALSE),""))</f>
        <v/>
      </c>
      <c r="G54" s="50">
        <f>IF(F54="","",TODAY()-F54)</f>
        <v/>
      </c>
      <c r="H54" s="48">
        <f>IF(A54="","",IF(F54="","Sin visita",IF(G54&lt;=IFERROR(VLOOKUP(E54,Inicio!$A$24:$B$26,2,FALSE),0),"Vigente","Atrasado")))</f>
        <v/>
      </c>
      <c r="I54" s="51">
        <f>IF(A54="","",SUMIFS(Ventas_SellIn!$L$2:$L$800,Ventas_SellIn!$D$2:$D$800,A54,Ventas_SellIn!$B$2:$B$800,"&gt;="&amp;TODAY()-Inicio!$B$14))</f>
        <v/>
      </c>
      <c r="J54" s="50">
        <f>IF(A54="","",SUMIFS(SellOut_Jumbo!$F$2:$F$800,SellOut_Jumbo!$C$2:$C$800,D54,SellOut_Jumbo!$A$2:$A$800,"&gt;="&amp;TODAY()-Inicio!$B$14))</f>
        <v/>
      </c>
      <c r="K54" s="48">
        <f>IF(A54="","",IF(I54=0,"Sin venta",IF(I54&lt;Inicio!$B$15,"Venta baja","Venta OK")))</f>
        <v/>
      </c>
      <c r="L54" s="50">
        <f>IF(A54="","",COUNTIFS(Ventas_SellIn!$D$2:$D$800,A54,Ventas_SellIn!$R$2:$R$800,"&gt;0"))</f>
        <v/>
      </c>
      <c r="M54" s="51">
        <f>IF(A54="","",SUMIFS(Ventas_SellIn!$R$2:$R$800,Ventas_SellIn!$D$2:$D$800,A54))</f>
        <v/>
      </c>
      <c r="N54" s="48">
        <f>IF(A54="","",IF(M54&gt;=Inicio!$B$18,"Pendiente relevante",IF(M54&gt;0,"Pendiente menor","Sin deuda")))</f>
        <v/>
      </c>
      <c r="O54" s="50">
        <f>IF(A54="","",SUMIFS(Stock_PDV!$H$2:$H$800,Stock_PDV!$A$2:$A$800,A54))</f>
        <v/>
      </c>
      <c r="P54" s="48">
        <f>IF(A54="","",IF(O54&lt;=Inicio!$B$16,"Crítico",IF(O54&lt;=Inicio!$B$17,"Observar","OK")))</f>
        <v/>
      </c>
      <c r="Q54" s="48">
        <f>IF(A54="","",IF(OR(H54="Atrasado",K54="Sin venta",N54="Pendiente relevante",P54="Crítico"),"Alta",IF(OR(K54="Venta baja",N54="Pendiente menor",P54="Observar"),"Media","Baja")))</f>
        <v/>
      </c>
      <c r="R54" s="48">
        <f>IF(A54="","",IF(Q54="Alta","Gestionar esta semana",IF(Q54="Media","Hacer seguimiento","Mantener")))</f>
        <v/>
      </c>
      <c r="S54" s="68">
        <f>IF(A54="","",IF(I54=0,"Sin venta",IF(I54&gt;=cfg_VentaAlta,"Alta",IF(I54&lt;cfg_VentaBaja,"Baja","Media"))))</f>
        <v/>
      </c>
    </row>
    <row r="55">
      <c r="A55" s="48">
        <f>IF(Clientes_PDV!A55="","",Clientes_PDV!A55)</f>
        <v/>
      </c>
      <c r="B55" s="48">
        <f>IF(A55="","",IFERROR(VLOOKUP(A55,Clientes_PDV!$A$2:$J$250,2,FALSE),""))</f>
        <v/>
      </c>
      <c r="C55" s="48">
        <f>IF(A55="","",IFERROR(VLOOKUP(A55,Clientes_PDV!$A$2:$J$250,3,FALSE),""))</f>
        <v/>
      </c>
      <c r="D55" s="48">
        <f>IF(A55="","",IFERROR(VLOOKUP(A55,Clientes_PDV!$A$2:$J$250,4,FALSE),""))</f>
        <v/>
      </c>
      <c r="E55" s="48">
        <f>IF(A55="","",IFERROR(VLOOKUP(A55,Clientes_PDV!$A$2:$J$250,7,FALSE),""))</f>
        <v/>
      </c>
      <c r="F55" s="49">
        <f>IF(A55="","",IFERROR(VLOOKUP(A55,Clientes_PDV!$A$2:$J$250,8,FALSE),""))</f>
        <v/>
      </c>
      <c r="G55" s="50">
        <f>IF(F55="","",TODAY()-F55)</f>
        <v/>
      </c>
      <c r="H55" s="48">
        <f>IF(A55="","",IF(F55="","Sin visita",IF(G55&lt;=IFERROR(VLOOKUP(E55,Inicio!$A$24:$B$26,2,FALSE),0),"Vigente","Atrasado")))</f>
        <v/>
      </c>
      <c r="I55" s="51">
        <f>IF(A55="","",SUMIFS(Ventas_SellIn!$L$2:$L$800,Ventas_SellIn!$D$2:$D$800,A55,Ventas_SellIn!$B$2:$B$800,"&gt;="&amp;TODAY()-Inicio!$B$14))</f>
        <v/>
      </c>
      <c r="J55" s="50">
        <f>IF(A55="","",SUMIFS(SellOut_Jumbo!$F$2:$F$800,SellOut_Jumbo!$C$2:$C$800,D55,SellOut_Jumbo!$A$2:$A$800,"&gt;="&amp;TODAY()-Inicio!$B$14))</f>
        <v/>
      </c>
      <c r="K55" s="48">
        <f>IF(A55="","",IF(I55=0,"Sin venta",IF(I55&lt;Inicio!$B$15,"Venta baja","Venta OK")))</f>
        <v/>
      </c>
      <c r="L55" s="50">
        <f>IF(A55="","",COUNTIFS(Ventas_SellIn!$D$2:$D$800,A55,Ventas_SellIn!$R$2:$R$800,"&gt;0"))</f>
        <v/>
      </c>
      <c r="M55" s="51">
        <f>IF(A55="","",SUMIFS(Ventas_SellIn!$R$2:$R$800,Ventas_SellIn!$D$2:$D$800,A55))</f>
        <v/>
      </c>
      <c r="N55" s="48">
        <f>IF(A55="","",IF(M55&gt;=Inicio!$B$18,"Pendiente relevante",IF(M55&gt;0,"Pendiente menor","Sin deuda")))</f>
        <v/>
      </c>
      <c r="O55" s="50">
        <f>IF(A55="","",SUMIFS(Stock_PDV!$H$2:$H$800,Stock_PDV!$A$2:$A$800,A55))</f>
        <v/>
      </c>
      <c r="P55" s="48">
        <f>IF(A55="","",IF(O55&lt;=Inicio!$B$16,"Crítico",IF(O55&lt;=Inicio!$B$17,"Observar","OK")))</f>
        <v/>
      </c>
      <c r="Q55" s="48">
        <f>IF(A55="","",IF(OR(H55="Atrasado",K55="Sin venta",N55="Pendiente relevante",P55="Crítico"),"Alta",IF(OR(K55="Venta baja",N55="Pendiente menor",P55="Observar"),"Media","Baja")))</f>
        <v/>
      </c>
      <c r="R55" s="48">
        <f>IF(A55="","",IF(Q55="Alta","Gestionar esta semana",IF(Q55="Media","Hacer seguimiento","Mantener")))</f>
        <v/>
      </c>
      <c r="S55" s="68">
        <f>IF(A55="","",IF(I55=0,"Sin venta",IF(I55&gt;=cfg_VentaAlta,"Alta",IF(I55&lt;cfg_VentaBaja,"Baja","Media"))))</f>
        <v/>
      </c>
    </row>
    <row r="56">
      <c r="A56" s="48">
        <f>IF(Clientes_PDV!A56="","",Clientes_PDV!A56)</f>
        <v/>
      </c>
      <c r="B56" s="48">
        <f>IF(A56="","",IFERROR(VLOOKUP(A56,Clientes_PDV!$A$2:$J$250,2,FALSE),""))</f>
        <v/>
      </c>
      <c r="C56" s="48">
        <f>IF(A56="","",IFERROR(VLOOKUP(A56,Clientes_PDV!$A$2:$J$250,3,FALSE),""))</f>
        <v/>
      </c>
      <c r="D56" s="48">
        <f>IF(A56="","",IFERROR(VLOOKUP(A56,Clientes_PDV!$A$2:$J$250,4,FALSE),""))</f>
        <v/>
      </c>
      <c r="E56" s="48">
        <f>IF(A56="","",IFERROR(VLOOKUP(A56,Clientes_PDV!$A$2:$J$250,7,FALSE),""))</f>
        <v/>
      </c>
      <c r="F56" s="49">
        <f>IF(A56="","",IFERROR(VLOOKUP(A56,Clientes_PDV!$A$2:$J$250,8,FALSE),""))</f>
        <v/>
      </c>
      <c r="G56" s="50">
        <f>IF(F56="","",TODAY()-F56)</f>
        <v/>
      </c>
      <c r="H56" s="48">
        <f>IF(A56="","",IF(F56="","Sin visita",IF(G56&lt;=IFERROR(VLOOKUP(E56,Inicio!$A$24:$B$26,2,FALSE),0),"Vigente","Atrasado")))</f>
        <v/>
      </c>
      <c r="I56" s="51">
        <f>IF(A56="","",SUMIFS(Ventas_SellIn!$L$2:$L$800,Ventas_SellIn!$D$2:$D$800,A56,Ventas_SellIn!$B$2:$B$800,"&gt;="&amp;TODAY()-Inicio!$B$14))</f>
        <v/>
      </c>
      <c r="J56" s="50">
        <f>IF(A56="","",SUMIFS(SellOut_Jumbo!$F$2:$F$800,SellOut_Jumbo!$C$2:$C$800,D56,SellOut_Jumbo!$A$2:$A$800,"&gt;="&amp;TODAY()-Inicio!$B$14))</f>
        <v/>
      </c>
      <c r="K56" s="48">
        <f>IF(A56="","",IF(I56=0,"Sin venta",IF(I56&lt;Inicio!$B$15,"Venta baja","Venta OK")))</f>
        <v/>
      </c>
      <c r="L56" s="50">
        <f>IF(A56="","",COUNTIFS(Ventas_SellIn!$D$2:$D$800,A56,Ventas_SellIn!$R$2:$R$800,"&gt;0"))</f>
        <v/>
      </c>
      <c r="M56" s="51">
        <f>IF(A56="","",SUMIFS(Ventas_SellIn!$R$2:$R$800,Ventas_SellIn!$D$2:$D$800,A56))</f>
        <v/>
      </c>
      <c r="N56" s="48">
        <f>IF(A56="","",IF(M56&gt;=Inicio!$B$18,"Pendiente relevante",IF(M56&gt;0,"Pendiente menor","Sin deuda")))</f>
        <v/>
      </c>
      <c r="O56" s="50">
        <f>IF(A56="","",SUMIFS(Stock_PDV!$H$2:$H$800,Stock_PDV!$A$2:$A$800,A56))</f>
        <v/>
      </c>
      <c r="P56" s="48">
        <f>IF(A56="","",IF(O56&lt;=Inicio!$B$16,"Crítico",IF(O56&lt;=Inicio!$B$17,"Observar","OK")))</f>
        <v/>
      </c>
      <c r="Q56" s="48">
        <f>IF(A56="","",IF(OR(H56="Atrasado",K56="Sin venta",N56="Pendiente relevante",P56="Crítico"),"Alta",IF(OR(K56="Venta baja",N56="Pendiente menor",P56="Observar"),"Media","Baja")))</f>
        <v/>
      </c>
      <c r="R56" s="48">
        <f>IF(A56="","",IF(Q56="Alta","Gestionar esta semana",IF(Q56="Media","Hacer seguimiento","Mantener")))</f>
        <v/>
      </c>
      <c r="S56" s="68">
        <f>IF(A56="","",IF(I56=0,"Sin venta",IF(I56&gt;=cfg_VentaAlta,"Alta",IF(I56&lt;cfg_VentaBaja,"Baja","Media"))))</f>
        <v/>
      </c>
    </row>
    <row r="57">
      <c r="A57" s="48">
        <f>IF(Clientes_PDV!A57="","",Clientes_PDV!A57)</f>
        <v/>
      </c>
      <c r="B57" s="48">
        <f>IF(A57="","",IFERROR(VLOOKUP(A57,Clientes_PDV!$A$2:$J$250,2,FALSE),""))</f>
        <v/>
      </c>
      <c r="C57" s="48">
        <f>IF(A57="","",IFERROR(VLOOKUP(A57,Clientes_PDV!$A$2:$J$250,3,FALSE),""))</f>
        <v/>
      </c>
      <c r="D57" s="48">
        <f>IF(A57="","",IFERROR(VLOOKUP(A57,Clientes_PDV!$A$2:$J$250,4,FALSE),""))</f>
        <v/>
      </c>
      <c r="E57" s="48">
        <f>IF(A57="","",IFERROR(VLOOKUP(A57,Clientes_PDV!$A$2:$J$250,7,FALSE),""))</f>
        <v/>
      </c>
      <c r="F57" s="49">
        <f>IF(A57="","",IFERROR(VLOOKUP(A57,Clientes_PDV!$A$2:$J$250,8,FALSE),""))</f>
        <v/>
      </c>
      <c r="G57" s="50">
        <f>IF(F57="","",TODAY()-F57)</f>
        <v/>
      </c>
      <c r="H57" s="48">
        <f>IF(A57="","",IF(F57="","Sin visita",IF(G57&lt;=IFERROR(VLOOKUP(E57,Inicio!$A$24:$B$26,2,FALSE),0),"Vigente","Atrasado")))</f>
        <v/>
      </c>
      <c r="I57" s="51">
        <f>IF(A57="","",SUMIFS(Ventas_SellIn!$L$2:$L$800,Ventas_SellIn!$D$2:$D$800,A57,Ventas_SellIn!$B$2:$B$800,"&gt;="&amp;TODAY()-Inicio!$B$14))</f>
        <v/>
      </c>
      <c r="J57" s="50">
        <f>IF(A57="","",SUMIFS(SellOut_Jumbo!$F$2:$F$800,SellOut_Jumbo!$C$2:$C$800,D57,SellOut_Jumbo!$A$2:$A$800,"&gt;="&amp;TODAY()-Inicio!$B$14))</f>
        <v/>
      </c>
      <c r="K57" s="48">
        <f>IF(A57="","",IF(I57=0,"Sin venta",IF(I57&lt;Inicio!$B$15,"Venta baja","Venta OK")))</f>
        <v/>
      </c>
      <c r="L57" s="50">
        <f>IF(A57="","",COUNTIFS(Ventas_SellIn!$D$2:$D$800,A57,Ventas_SellIn!$R$2:$R$800,"&gt;0"))</f>
        <v/>
      </c>
      <c r="M57" s="51">
        <f>IF(A57="","",SUMIFS(Ventas_SellIn!$R$2:$R$800,Ventas_SellIn!$D$2:$D$800,A57))</f>
        <v/>
      </c>
      <c r="N57" s="48">
        <f>IF(A57="","",IF(M57&gt;=Inicio!$B$18,"Pendiente relevante",IF(M57&gt;0,"Pendiente menor","Sin deuda")))</f>
        <v/>
      </c>
      <c r="O57" s="50">
        <f>IF(A57="","",SUMIFS(Stock_PDV!$H$2:$H$800,Stock_PDV!$A$2:$A$800,A57))</f>
        <v/>
      </c>
      <c r="P57" s="48">
        <f>IF(A57="","",IF(O57&lt;=Inicio!$B$16,"Crítico",IF(O57&lt;=Inicio!$B$17,"Observar","OK")))</f>
        <v/>
      </c>
      <c r="Q57" s="48">
        <f>IF(A57="","",IF(OR(H57="Atrasado",K57="Sin venta",N57="Pendiente relevante",P57="Crítico"),"Alta",IF(OR(K57="Venta baja",N57="Pendiente menor",P57="Observar"),"Media","Baja")))</f>
        <v/>
      </c>
      <c r="R57" s="48">
        <f>IF(A57="","",IF(Q57="Alta","Gestionar esta semana",IF(Q57="Media","Hacer seguimiento","Mantener")))</f>
        <v/>
      </c>
      <c r="S57" s="68">
        <f>IF(A57="","",IF(I57=0,"Sin venta",IF(I57&gt;=cfg_VentaAlta,"Alta",IF(I57&lt;cfg_VentaBaja,"Baja","Media"))))</f>
        <v/>
      </c>
    </row>
    <row r="58">
      <c r="A58" s="48">
        <f>IF(Clientes_PDV!A58="","",Clientes_PDV!A58)</f>
        <v/>
      </c>
      <c r="B58" s="48">
        <f>IF(A58="","",IFERROR(VLOOKUP(A58,Clientes_PDV!$A$2:$J$250,2,FALSE),""))</f>
        <v/>
      </c>
      <c r="C58" s="48">
        <f>IF(A58="","",IFERROR(VLOOKUP(A58,Clientes_PDV!$A$2:$J$250,3,FALSE),""))</f>
        <v/>
      </c>
      <c r="D58" s="48">
        <f>IF(A58="","",IFERROR(VLOOKUP(A58,Clientes_PDV!$A$2:$J$250,4,FALSE),""))</f>
        <v/>
      </c>
      <c r="E58" s="48">
        <f>IF(A58="","",IFERROR(VLOOKUP(A58,Clientes_PDV!$A$2:$J$250,7,FALSE),""))</f>
        <v/>
      </c>
      <c r="F58" s="49">
        <f>IF(A58="","",IFERROR(VLOOKUP(A58,Clientes_PDV!$A$2:$J$250,8,FALSE),""))</f>
        <v/>
      </c>
      <c r="G58" s="50">
        <f>IF(F58="","",TODAY()-F58)</f>
        <v/>
      </c>
      <c r="H58" s="48">
        <f>IF(A58="","",IF(F58="","Sin visita",IF(G58&lt;=IFERROR(VLOOKUP(E58,Inicio!$A$24:$B$26,2,FALSE),0),"Vigente","Atrasado")))</f>
        <v/>
      </c>
      <c r="I58" s="51">
        <f>IF(A58="","",SUMIFS(Ventas_SellIn!$L$2:$L$800,Ventas_SellIn!$D$2:$D$800,A58,Ventas_SellIn!$B$2:$B$800,"&gt;="&amp;TODAY()-Inicio!$B$14))</f>
        <v/>
      </c>
      <c r="J58" s="50">
        <f>IF(A58="","",SUMIFS(SellOut_Jumbo!$F$2:$F$800,SellOut_Jumbo!$C$2:$C$800,D58,SellOut_Jumbo!$A$2:$A$800,"&gt;="&amp;TODAY()-Inicio!$B$14))</f>
        <v/>
      </c>
      <c r="K58" s="48">
        <f>IF(A58="","",IF(I58=0,"Sin venta",IF(I58&lt;Inicio!$B$15,"Venta baja","Venta OK")))</f>
        <v/>
      </c>
      <c r="L58" s="50">
        <f>IF(A58="","",COUNTIFS(Ventas_SellIn!$D$2:$D$800,A58,Ventas_SellIn!$R$2:$R$800,"&gt;0"))</f>
        <v/>
      </c>
      <c r="M58" s="51">
        <f>IF(A58="","",SUMIFS(Ventas_SellIn!$R$2:$R$800,Ventas_SellIn!$D$2:$D$800,A58))</f>
        <v/>
      </c>
      <c r="N58" s="48">
        <f>IF(A58="","",IF(M58&gt;=Inicio!$B$18,"Pendiente relevante",IF(M58&gt;0,"Pendiente menor","Sin deuda")))</f>
        <v/>
      </c>
      <c r="O58" s="50">
        <f>IF(A58="","",SUMIFS(Stock_PDV!$H$2:$H$800,Stock_PDV!$A$2:$A$800,A58))</f>
        <v/>
      </c>
      <c r="P58" s="48">
        <f>IF(A58="","",IF(O58&lt;=Inicio!$B$16,"Crítico",IF(O58&lt;=Inicio!$B$17,"Observar","OK")))</f>
        <v/>
      </c>
      <c r="Q58" s="48">
        <f>IF(A58="","",IF(OR(H58="Atrasado",K58="Sin venta",N58="Pendiente relevante",P58="Crítico"),"Alta",IF(OR(K58="Venta baja",N58="Pendiente menor",P58="Observar"),"Media","Baja")))</f>
        <v/>
      </c>
      <c r="R58" s="48">
        <f>IF(A58="","",IF(Q58="Alta","Gestionar esta semana",IF(Q58="Media","Hacer seguimiento","Mantener")))</f>
        <v/>
      </c>
      <c r="S58" s="68">
        <f>IF(A58="","",IF(I58=0,"Sin venta",IF(I58&gt;=cfg_VentaAlta,"Alta",IF(I58&lt;cfg_VentaBaja,"Baja","Media"))))</f>
        <v/>
      </c>
    </row>
    <row r="59">
      <c r="A59" s="48">
        <f>IF(Clientes_PDV!A59="","",Clientes_PDV!A59)</f>
        <v/>
      </c>
      <c r="B59" s="48">
        <f>IF(A59="","",IFERROR(VLOOKUP(A59,Clientes_PDV!$A$2:$J$250,2,FALSE),""))</f>
        <v/>
      </c>
      <c r="C59" s="48">
        <f>IF(A59="","",IFERROR(VLOOKUP(A59,Clientes_PDV!$A$2:$J$250,3,FALSE),""))</f>
        <v/>
      </c>
      <c r="D59" s="48">
        <f>IF(A59="","",IFERROR(VLOOKUP(A59,Clientes_PDV!$A$2:$J$250,4,FALSE),""))</f>
        <v/>
      </c>
      <c r="E59" s="48">
        <f>IF(A59="","",IFERROR(VLOOKUP(A59,Clientes_PDV!$A$2:$J$250,7,FALSE),""))</f>
        <v/>
      </c>
      <c r="F59" s="49">
        <f>IF(A59="","",IFERROR(VLOOKUP(A59,Clientes_PDV!$A$2:$J$250,8,FALSE),""))</f>
        <v/>
      </c>
      <c r="G59" s="50">
        <f>IF(F59="","",TODAY()-F59)</f>
        <v/>
      </c>
      <c r="H59" s="48">
        <f>IF(A59="","",IF(F59="","Sin visita",IF(G59&lt;=IFERROR(VLOOKUP(E59,Inicio!$A$24:$B$26,2,FALSE),0),"Vigente","Atrasado")))</f>
        <v/>
      </c>
      <c r="I59" s="51">
        <f>IF(A59="","",SUMIFS(Ventas_SellIn!$L$2:$L$800,Ventas_SellIn!$D$2:$D$800,A59,Ventas_SellIn!$B$2:$B$800,"&gt;="&amp;TODAY()-Inicio!$B$14))</f>
        <v/>
      </c>
      <c r="J59" s="50">
        <f>IF(A59="","",SUMIFS(SellOut_Jumbo!$F$2:$F$800,SellOut_Jumbo!$C$2:$C$800,D59,SellOut_Jumbo!$A$2:$A$800,"&gt;="&amp;TODAY()-Inicio!$B$14))</f>
        <v/>
      </c>
      <c r="K59" s="48">
        <f>IF(A59="","",IF(I59=0,"Sin venta",IF(I59&lt;Inicio!$B$15,"Venta baja","Venta OK")))</f>
        <v/>
      </c>
      <c r="L59" s="50">
        <f>IF(A59="","",COUNTIFS(Ventas_SellIn!$D$2:$D$800,A59,Ventas_SellIn!$R$2:$R$800,"&gt;0"))</f>
        <v/>
      </c>
      <c r="M59" s="51">
        <f>IF(A59="","",SUMIFS(Ventas_SellIn!$R$2:$R$800,Ventas_SellIn!$D$2:$D$800,A59))</f>
        <v/>
      </c>
      <c r="N59" s="48">
        <f>IF(A59="","",IF(M59&gt;=Inicio!$B$18,"Pendiente relevante",IF(M59&gt;0,"Pendiente menor","Sin deuda")))</f>
        <v/>
      </c>
      <c r="O59" s="50">
        <f>IF(A59="","",SUMIFS(Stock_PDV!$H$2:$H$800,Stock_PDV!$A$2:$A$800,A59))</f>
        <v/>
      </c>
      <c r="P59" s="48">
        <f>IF(A59="","",IF(O59&lt;=Inicio!$B$16,"Crítico",IF(O59&lt;=Inicio!$B$17,"Observar","OK")))</f>
        <v/>
      </c>
      <c r="Q59" s="48">
        <f>IF(A59="","",IF(OR(H59="Atrasado",K59="Sin venta",N59="Pendiente relevante",P59="Crítico"),"Alta",IF(OR(K59="Venta baja",N59="Pendiente menor",P59="Observar"),"Media","Baja")))</f>
        <v/>
      </c>
      <c r="R59" s="48">
        <f>IF(A59="","",IF(Q59="Alta","Gestionar esta semana",IF(Q59="Media","Hacer seguimiento","Mantener")))</f>
        <v/>
      </c>
      <c r="S59" s="68">
        <f>IF(A59="","",IF(I59=0,"Sin venta",IF(I59&gt;=cfg_VentaAlta,"Alta",IF(I59&lt;cfg_VentaBaja,"Baja","Media"))))</f>
        <v/>
      </c>
    </row>
    <row r="60">
      <c r="A60" s="48">
        <f>IF(Clientes_PDV!A60="","",Clientes_PDV!A60)</f>
        <v/>
      </c>
      <c r="B60" s="48">
        <f>IF(A60="","",IFERROR(VLOOKUP(A60,Clientes_PDV!$A$2:$J$250,2,FALSE),""))</f>
        <v/>
      </c>
      <c r="C60" s="48">
        <f>IF(A60="","",IFERROR(VLOOKUP(A60,Clientes_PDV!$A$2:$J$250,3,FALSE),""))</f>
        <v/>
      </c>
      <c r="D60" s="48">
        <f>IF(A60="","",IFERROR(VLOOKUP(A60,Clientes_PDV!$A$2:$J$250,4,FALSE),""))</f>
        <v/>
      </c>
      <c r="E60" s="48">
        <f>IF(A60="","",IFERROR(VLOOKUP(A60,Clientes_PDV!$A$2:$J$250,7,FALSE),""))</f>
        <v/>
      </c>
      <c r="F60" s="49">
        <f>IF(A60="","",IFERROR(VLOOKUP(A60,Clientes_PDV!$A$2:$J$250,8,FALSE),""))</f>
        <v/>
      </c>
      <c r="G60" s="50">
        <f>IF(F60="","",TODAY()-F60)</f>
        <v/>
      </c>
      <c r="H60" s="48">
        <f>IF(A60="","",IF(F60="","Sin visita",IF(G60&lt;=IFERROR(VLOOKUP(E60,Inicio!$A$24:$B$26,2,FALSE),0),"Vigente","Atrasado")))</f>
        <v/>
      </c>
      <c r="I60" s="51">
        <f>IF(A60="","",SUMIFS(Ventas_SellIn!$L$2:$L$800,Ventas_SellIn!$D$2:$D$800,A60,Ventas_SellIn!$B$2:$B$800,"&gt;="&amp;TODAY()-Inicio!$B$14))</f>
        <v/>
      </c>
      <c r="J60" s="50">
        <f>IF(A60="","",SUMIFS(SellOut_Jumbo!$F$2:$F$800,SellOut_Jumbo!$C$2:$C$800,D60,SellOut_Jumbo!$A$2:$A$800,"&gt;="&amp;TODAY()-Inicio!$B$14))</f>
        <v/>
      </c>
      <c r="K60" s="48">
        <f>IF(A60="","",IF(I60=0,"Sin venta",IF(I60&lt;Inicio!$B$15,"Venta baja","Venta OK")))</f>
        <v/>
      </c>
      <c r="L60" s="50">
        <f>IF(A60="","",COUNTIFS(Ventas_SellIn!$D$2:$D$800,A60,Ventas_SellIn!$R$2:$R$800,"&gt;0"))</f>
        <v/>
      </c>
      <c r="M60" s="51">
        <f>IF(A60="","",SUMIFS(Ventas_SellIn!$R$2:$R$800,Ventas_SellIn!$D$2:$D$800,A60))</f>
        <v/>
      </c>
      <c r="N60" s="48">
        <f>IF(A60="","",IF(M60&gt;=Inicio!$B$18,"Pendiente relevante",IF(M60&gt;0,"Pendiente menor","Sin deuda")))</f>
        <v/>
      </c>
      <c r="O60" s="50">
        <f>IF(A60="","",SUMIFS(Stock_PDV!$H$2:$H$800,Stock_PDV!$A$2:$A$800,A60))</f>
        <v/>
      </c>
      <c r="P60" s="48">
        <f>IF(A60="","",IF(O60&lt;=Inicio!$B$16,"Crítico",IF(O60&lt;=Inicio!$B$17,"Observar","OK")))</f>
        <v/>
      </c>
      <c r="Q60" s="48">
        <f>IF(A60="","",IF(OR(H60="Atrasado",K60="Sin venta",N60="Pendiente relevante",P60="Crítico"),"Alta",IF(OR(K60="Venta baja",N60="Pendiente menor",P60="Observar"),"Media","Baja")))</f>
        <v/>
      </c>
      <c r="R60" s="48">
        <f>IF(A60="","",IF(Q60="Alta","Gestionar esta semana",IF(Q60="Media","Hacer seguimiento","Mantener")))</f>
        <v/>
      </c>
      <c r="S60" s="68">
        <f>IF(A60="","",IF(I60=0,"Sin venta",IF(I60&gt;=cfg_VentaAlta,"Alta",IF(I60&lt;cfg_VentaBaja,"Baja","Media"))))</f>
        <v/>
      </c>
    </row>
    <row r="61">
      <c r="A61" s="48">
        <f>IF(Clientes_PDV!A61="","",Clientes_PDV!A61)</f>
        <v/>
      </c>
      <c r="B61" s="48">
        <f>IF(A61="","",IFERROR(VLOOKUP(A61,Clientes_PDV!$A$2:$J$250,2,FALSE),""))</f>
        <v/>
      </c>
      <c r="C61" s="48">
        <f>IF(A61="","",IFERROR(VLOOKUP(A61,Clientes_PDV!$A$2:$J$250,3,FALSE),""))</f>
        <v/>
      </c>
      <c r="D61" s="48">
        <f>IF(A61="","",IFERROR(VLOOKUP(A61,Clientes_PDV!$A$2:$J$250,4,FALSE),""))</f>
        <v/>
      </c>
      <c r="E61" s="48">
        <f>IF(A61="","",IFERROR(VLOOKUP(A61,Clientes_PDV!$A$2:$J$250,7,FALSE),""))</f>
        <v/>
      </c>
      <c r="F61" s="49">
        <f>IF(A61="","",IFERROR(VLOOKUP(A61,Clientes_PDV!$A$2:$J$250,8,FALSE),""))</f>
        <v/>
      </c>
      <c r="G61" s="50">
        <f>IF(F61="","",TODAY()-F61)</f>
        <v/>
      </c>
      <c r="H61" s="48">
        <f>IF(A61="","",IF(F61="","Sin visita",IF(G61&lt;=IFERROR(VLOOKUP(E61,Inicio!$A$24:$B$26,2,FALSE),0),"Vigente","Atrasado")))</f>
        <v/>
      </c>
      <c r="I61" s="51">
        <f>IF(A61="","",SUMIFS(Ventas_SellIn!$L$2:$L$800,Ventas_SellIn!$D$2:$D$800,A61,Ventas_SellIn!$B$2:$B$800,"&gt;="&amp;TODAY()-Inicio!$B$14))</f>
        <v/>
      </c>
      <c r="J61" s="50">
        <f>IF(A61="","",SUMIFS(SellOut_Jumbo!$F$2:$F$800,SellOut_Jumbo!$C$2:$C$800,D61,SellOut_Jumbo!$A$2:$A$800,"&gt;="&amp;TODAY()-Inicio!$B$14))</f>
        <v/>
      </c>
      <c r="K61" s="48">
        <f>IF(A61="","",IF(I61=0,"Sin venta",IF(I61&lt;Inicio!$B$15,"Venta baja","Venta OK")))</f>
        <v/>
      </c>
      <c r="L61" s="50">
        <f>IF(A61="","",COUNTIFS(Ventas_SellIn!$D$2:$D$800,A61,Ventas_SellIn!$R$2:$R$800,"&gt;0"))</f>
        <v/>
      </c>
      <c r="M61" s="51">
        <f>IF(A61="","",SUMIFS(Ventas_SellIn!$R$2:$R$800,Ventas_SellIn!$D$2:$D$800,A61))</f>
        <v/>
      </c>
      <c r="N61" s="48">
        <f>IF(A61="","",IF(M61&gt;=Inicio!$B$18,"Pendiente relevante",IF(M61&gt;0,"Pendiente menor","Sin deuda")))</f>
        <v/>
      </c>
      <c r="O61" s="50">
        <f>IF(A61="","",SUMIFS(Stock_PDV!$H$2:$H$800,Stock_PDV!$A$2:$A$800,A61))</f>
        <v/>
      </c>
      <c r="P61" s="48">
        <f>IF(A61="","",IF(O61&lt;=Inicio!$B$16,"Crítico",IF(O61&lt;=Inicio!$B$17,"Observar","OK")))</f>
        <v/>
      </c>
      <c r="Q61" s="48">
        <f>IF(A61="","",IF(OR(H61="Atrasado",K61="Sin venta",N61="Pendiente relevante",P61="Crítico"),"Alta",IF(OR(K61="Venta baja",N61="Pendiente menor",P61="Observar"),"Media","Baja")))</f>
        <v/>
      </c>
      <c r="R61" s="48">
        <f>IF(A61="","",IF(Q61="Alta","Gestionar esta semana",IF(Q61="Media","Hacer seguimiento","Mantener")))</f>
        <v/>
      </c>
      <c r="S61" s="68">
        <f>IF(A61="","",IF(I61=0,"Sin venta",IF(I61&gt;=cfg_VentaAlta,"Alta",IF(I61&lt;cfg_VentaBaja,"Baja","Media"))))</f>
        <v/>
      </c>
    </row>
    <row r="62">
      <c r="A62" s="48">
        <f>IF(Clientes_PDV!A62="","",Clientes_PDV!A62)</f>
        <v/>
      </c>
      <c r="B62" s="48">
        <f>IF(A62="","",IFERROR(VLOOKUP(A62,Clientes_PDV!$A$2:$J$250,2,FALSE),""))</f>
        <v/>
      </c>
      <c r="C62" s="48">
        <f>IF(A62="","",IFERROR(VLOOKUP(A62,Clientes_PDV!$A$2:$J$250,3,FALSE),""))</f>
        <v/>
      </c>
      <c r="D62" s="48">
        <f>IF(A62="","",IFERROR(VLOOKUP(A62,Clientes_PDV!$A$2:$J$250,4,FALSE),""))</f>
        <v/>
      </c>
      <c r="E62" s="48">
        <f>IF(A62="","",IFERROR(VLOOKUP(A62,Clientes_PDV!$A$2:$J$250,7,FALSE),""))</f>
        <v/>
      </c>
      <c r="F62" s="49">
        <f>IF(A62="","",IFERROR(VLOOKUP(A62,Clientes_PDV!$A$2:$J$250,8,FALSE),""))</f>
        <v/>
      </c>
      <c r="G62" s="50">
        <f>IF(F62="","",TODAY()-F62)</f>
        <v/>
      </c>
      <c r="H62" s="48">
        <f>IF(A62="","",IF(F62="","Sin visita",IF(G62&lt;=IFERROR(VLOOKUP(E62,Inicio!$A$24:$B$26,2,FALSE),0),"Vigente","Atrasado")))</f>
        <v/>
      </c>
      <c r="I62" s="51">
        <f>IF(A62="","",SUMIFS(Ventas_SellIn!$L$2:$L$800,Ventas_SellIn!$D$2:$D$800,A62,Ventas_SellIn!$B$2:$B$800,"&gt;="&amp;TODAY()-Inicio!$B$14))</f>
        <v/>
      </c>
      <c r="J62" s="50">
        <f>IF(A62="","",SUMIFS(SellOut_Jumbo!$F$2:$F$800,SellOut_Jumbo!$C$2:$C$800,D62,SellOut_Jumbo!$A$2:$A$800,"&gt;="&amp;TODAY()-Inicio!$B$14))</f>
        <v/>
      </c>
      <c r="K62" s="48">
        <f>IF(A62="","",IF(I62=0,"Sin venta",IF(I62&lt;Inicio!$B$15,"Venta baja","Venta OK")))</f>
        <v/>
      </c>
      <c r="L62" s="50">
        <f>IF(A62="","",COUNTIFS(Ventas_SellIn!$D$2:$D$800,A62,Ventas_SellIn!$R$2:$R$800,"&gt;0"))</f>
        <v/>
      </c>
      <c r="M62" s="51">
        <f>IF(A62="","",SUMIFS(Ventas_SellIn!$R$2:$R$800,Ventas_SellIn!$D$2:$D$800,A62))</f>
        <v/>
      </c>
      <c r="N62" s="48">
        <f>IF(A62="","",IF(M62&gt;=Inicio!$B$18,"Pendiente relevante",IF(M62&gt;0,"Pendiente menor","Sin deuda")))</f>
        <v/>
      </c>
      <c r="O62" s="50">
        <f>IF(A62="","",SUMIFS(Stock_PDV!$H$2:$H$800,Stock_PDV!$A$2:$A$800,A62))</f>
        <v/>
      </c>
      <c r="P62" s="48">
        <f>IF(A62="","",IF(O62&lt;=Inicio!$B$16,"Crítico",IF(O62&lt;=Inicio!$B$17,"Observar","OK")))</f>
        <v/>
      </c>
      <c r="Q62" s="48">
        <f>IF(A62="","",IF(OR(H62="Atrasado",K62="Sin venta",N62="Pendiente relevante",P62="Crítico"),"Alta",IF(OR(K62="Venta baja",N62="Pendiente menor",P62="Observar"),"Media","Baja")))</f>
        <v/>
      </c>
      <c r="R62" s="48">
        <f>IF(A62="","",IF(Q62="Alta","Gestionar esta semana",IF(Q62="Media","Hacer seguimiento","Mantener")))</f>
        <v/>
      </c>
      <c r="S62" s="68">
        <f>IF(A62="","",IF(I62=0,"Sin venta",IF(I62&gt;=cfg_VentaAlta,"Alta",IF(I62&lt;cfg_VentaBaja,"Baja","Media"))))</f>
        <v/>
      </c>
    </row>
    <row r="63">
      <c r="A63" s="48">
        <f>IF(Clientes_PDV!A63="","",Clientes_PDV!A63)</f>
        <v/>
      </c>
      <c r="B63" s="48">
        <f>IF(A63="","",IFERROR(VLOOKUP(A63,Clientes_PDV!$A$2:$J$250,2,FALSE),""))</f>
        <v/>
      </c>
      <c r="C63" s="48">
        <f>IF(A63="","",IFERROR(VLOOKUP(A63,Clientes_PDV!$A$2:$J$250,3,FALSE),""))</f>
        <v/>
      </c>
      <c r="D63" s="48">
        <f>IF(A63="","",IFERROR(VLOOKUP(A63,Clientes_PDV!$A$2:$J$250,4,FALSE),""))</f>
        <v/>
      </c>
      <c r="E63" s="48">
        <f>IF(A63="","",IFERROR(VLOOKUP(A63,Clientes_PDV!$A$2:$J$250,7,FALSE),""))</f>
        <v/>
      </c>
      <c r="F63" s="49">
        <f>IF(A63="","",IFERROR(VLOOKUP(A63,Clientes_PDV!$A$2:$J$250,8,FALSE),""))</f>
        <v/>
      </c>
      <c r="G63" s="50">
        <f>IF(F63="","",TODAY()-F63)</f>
        <v/>
      </c>
      <c r="H63" s="48">
        <f>IF(A63="","",IF(F63="","Sin visita",IF(G63&lt;=IFERROR(VLOOKUP(E63,Inicio!$A$24:$B$26,2,FALSE),0),"Vigente","Atrasado")))</f>
        <v/>
      </c>
      <c r="I63" s="51">
        <f>IF(A63="","",SUMIFS(Ventas_SellIn!$L$2:$L$800,Ventas_SellIn!$D$2:$D$800,A63,Ventas_SellIn!$B$2:$B$800,"&gt;="&amp;TODAY()-Inicio!$B$14))</f>
        <v/>
      </c>
      <c r="J63" s="50">
        <f>IF(A63="","",SUMIFS(SellOut_Jumbo!$F$2:$F$800,SellOut_Jumbo!$C$2:$C$800,D63,SellOut_Jumbo!$A$2:$A$800,"&gt;="&amp;TODAY()-Inicio!$B$14))</f>
        <v/>
      </c>
      <c r="K63" s="48">
        <f>IF(A63="","",IF(I63=0,"Sin venta",IF(I63&lt;Inicio!$B$15,"Venta baja","Venta OK")))</f>
        <v/>
      </c>
      <c r="L63" s="50">
        <f>IF(A63="","",COUNTIFS(Ventas_SellIn!$D$2:$D$800,A63,Ventas_SellIn!$R$2:$R$800,"&gt;0"))</f>
        <v/>
      </c>
      <c r="M63" s="51">
        <f>IF(A63="","",SUMIFS(Ventas_SellIn!$R$2:$R$800,Ventas_SellIn!$D$2:$D$800,A63))</f>
        <v/>
      </c>
      <c r="N63" s="48">
        <f>IF(A63="","",IF(M63&gt;=Inicio!$B$18,"Pendiente relevante",IF(M63&gt;0,"Pendiente menor","Sin deuda")))</f>
        <v/>
      </c>
      <c r="O63" s="50">
        <f>IF(A63="","",SUMIFS(Stock_PDV!$H$2:$H$800,Stock_PDV!$A$2:$A$800,A63))</f>
        <v/>
      </c>
      <c r="P63" s="48">
        <f>IF(A63="","",IF(O63&lt;=Inicio!$B$16,"Crítico",IF(O63&lt;=Inicio!$B$17,"Observar","OK")))</f>
        <v/>
      </c>
      <c r="Q63" s="48">
        <f>IF(A63="","",IF(OR(H63="Atrasado",K63="Sin venta",N63="Pendiente relevante",P63="Crítico"),"Alta",IF(OR(K63="Venta baja",N63="Pendiente menor",P63="Observar"),"Media","Baja")))</f>
        <v/>
      </c>
      <c r="R63" s="48">
        <f>IF(A63="","",IF(Q63="Alta","Gestionar esta semana",IF(Q63="Media","Hacer seguimiento","Mantener")))</f>
        <v/>
      </c>
      <c r="S63" s="68">
        <f>IF(A63="","",IF(I63=0,"Sin venta",IF(I63&gt;=cfg_VentaAlta,"Alta",IF(I63&lt;cfg_VentaBaja,"Baja","Media"))))</f>
        <v/>
      </c>
    </row>
    <row r="64">
      <c r="A64" s="48">
        <f>IF(Clientes_PDV!A64="","",Clientes_PDV!A64)</f>
        <v/>
      </c>
      <c r="B64" s="48">
        <f>IF(A64="","",IFERROR(VLOOKUP(A64,Clientes_PDV!$A$2:$J$250,2,FALSE),""))</f>
        <v/>
      </c>
      <c r="C64" s="48">
        <f>IF(A64="","",IFERROR(VLOOKUP(A64,Clientes_PDV!$A$2:$J$250,3,FALSE),""))</f>
        <v/>
      </c>
      <c r="D64" s="48">
        <f>IF(A64="","",IFERROR(VLOOKUP(A64,Clientes_PDV!$A$2:$J$250,4,FALSE),""))</f>
        <v/>
      </c>
      <c r="E64" s="48">
        <f>IF(A64="","",IFERROR(VLOOKUP(A64,Clientes_PDV!$A$2:$J$250,7,FALSE),""))</f>
        <v/>
      </c>
      <c r="F64" s="49">
        <f>IF(A64="","",IFERROR(VLOOKUP(A64,Clientes_PDV!$A$2:$J$250,8,FALSE),""))</f>
        <v/>
      </c>
      <c r="G64" s="50">
        <f>IF(F64="","",TODAY()-F64)</f>
        <v/>
      </c>
      <c r="H64" s="48">
        <f>IF(A64="","",IF(F64="","Sin visita",IF(G64&lt;=IFERROR(VLOOKUP(E64,Inicio!$A$24:$B$26,2,FALSE),0),"Vigente","Atrasado")))</f>
        <v/>
      </c>
      <c r="I64" s="51">
        <f>IF(A64="","",SUMIFS(Ventas_SellIn!$L$2:$L$800,Ventas_SellIn!$D$2:$D$800,A64,Ventas_SellIn!$B$2:$B$800,"&gt;="&amp;TODAY()-Inicio!$B$14))</f>
        <v/>
      </c>
      <c r="J64" s="50">
        <f>IF(A64="","",SUMIFS(SellOut_Jumbo!$F$2:$F$800,SellOut_Jumbo!$C$2:$C$800,D64,SellOut_Jumbo!$A$2:$A$800,"&gt;="&amp;TODAY()-Inicio!$B$14))</f>
        <v/>
      </c>
      <c r="K64" s="48">
        <f>IF(A64="","",IF(I64=0,"Sin venta",IF(I64&lt;Inicio!$B$15,"Venta baja","Venta OK")))</f>
        <v/>
      </c>
      <c r="L64" s="50">
        <f>IF(A64="","",COUNTIFS(Ventas_SellIn!$D$2:$D$800,A64,Ventas_SellIn!$R$2:$R$800,"&gt;0"))</f>
        <v/>
      </c>
      <c r="M64" s="51">
        <f>IF(A64="","",SUMIFS(Ventas_SellIn!$R$2:$R$800,Ventas_SellIn!$D$2:$D$800,A64))</f>
        <v/>
      </c>
      <c r="N64" s="48">
        <f>IF(A64="","",IF(M64&gt;=Inicio!$B$18,"Pendiente relevante",IF(M64&gt;0,"Pendiente menor","Sin deuda")))</f>
        <v/>
      </c>
      <c r="O64" s="50">
        <f>IF(A64="","",SUMIFS(Stock_PDV!$H$2:$H$800,Stock_PDV!$A$2:$A$800,A64))</f>
        <v/>
      </c>
      <c r="P64" s="48">
        <f>IF(A64="","",IF(O64&lt;=Inicio!$B$16,"Crítico",IF(O64&lt;=Inicio!$B$17,"Observar","OK")))</f>
        <v/>
      </c>
      <c r="Q64" s="48">
        <f>IF(A64="","",IF(OR(H64="Atrasado",K64="Sin venta",N64="Pendiente relevante",P64="Crítico"),"Alta",IF(OR(K64="Venta baja",N64="Pendiente menor",P64="Observar"),"Media","Baja")))</f>
        <v/>
      </c>
      <c r="R64" s="48">
        <f>IF(A64="","",IF(Q64="Alta","Gestionar esta semana",IF(Q64="Media","Hacer seguimiento","Mantener")))</f>
        <v/>
      </c>
      <c r="S64" s="68">
        <f>IF(A64="","",IF(I64=0,"Sin venta",IF(I64&gt;=cfg_VentaAlta,"Alta",IF(I64&lt;cfg_VentaBaja,"Baja","Media"))))</f>
        <v/>
      </c>
    </row>
    <row r="65">
      <c r="A65" s="48">
        <f>IF(Clientes_PDV!A65="","",Clientes_PDV!A65)</f>
        <v/>
      </c>
      <c r="B65" s="48">
        <f>IF(A65="","",IFERROR(VLOOKUP(A65,Clientes_PDV!$A$2:$J$250,2,FALSE),""))</f>
        <v/>
      </c>
      <c r="C65" s="48">
        <f>IF(A65="","",IFERROR(VLOOKUP(A65,Clientes_PDV!$A$2:$J$250,3,FALSE),""))</f>
        <v/>
      </c>
      <c r="D65" s="48">
        <f>IF(A65="","",IFERROR(VLOOKUP(A65,Clientes_PDV!$A$2:$J$250,4,FALSE),""))</f>
        <v/>
      </c>
      <c r="E65" s="48">
        <f>IF(A65="","",IFERROR(VLOOKUP(A65,Clientes_PDV!$A$2:$J$250,7,FALSE),""))</f>
        <v/>
      </c>
      <c r="F65" s="49">
        <f>IF(A65="","",IFERROR(VLOOKUP(A65,Clientes_PDV!$A$2:$J$250,8,FALSE),""))</f>
        <v/>
      </c>
      <c r="G65" s="50">
        <f>IF(F65="","",TODAY()-F65)</f>
        <v/>
      </c>
      <c r="H65" s="48">
        <f>IF(A65="","",IF(F65="","Sin visita",IF(G65&lt;=IFERROR(VLOOKUP(E65,Inicio!$A$24:$B$26,2,FALSE),0),"Vigente","Atrasado")))</f>
        <v/>
      </c>
      <c r="I65" s="51">
        <f>IF(A65="","",SUMIFS(Ventas_SellIn!$L$2:$L$800,Ventas_SellIn!$D$2:$D$800,A65,Ventas_SellIn!$B$2:$B$800,"&gt;="&amp;TODAY()-Inicio!$B$14))</f>
        <v/>
      </c>
      <c r="J65" s="50">
        <f>IF(A65="","",SUMIFS(SellOut_Jumbo!$F$2:$F$800,SellOut_Jumbo!$C$2:$C$800,D65,SellOut_Jumbo!$A$2:$A$800,"&gt;="&amp;TODAY()-Inicio!$B$14))</f>
        <v/>
      </c>
      <c r="K65" s="48">
        <f>IF(A65="","",IF(I65=0,"Sin venta",IF(I65&lt;Inicio!$B$15,"Venta baja","Venta OK")))</f>
        <v/>
      </c>
      <c r="L65" s="50">
        <f>IF(A65="","",COUNTIFS(Ventas_SellIn!$D$2:$D$800,A65,Ventas_SellIn!$R$2:$R$800,"&gt;0"))</f>
        <v/>
      </c>
      <c r="M65" s="51">
        <f>IF(A65="","",SUMIFS(Ventas_SellIn!$R$2:$R$800,Ventas_SellIn!$D$2:$D$800,A65))</f>
        <v/>
      </c>
      <c r="N65" s="48">
        <f>IF(A65="","",IF(M65&gt;=Inicio!$B$18,"Pendiente relevante",IF(M65&gt;0,"Pendiente menor","Sin deuda")))</f>
        <v/>
      </c>
      <c r="O65" s="50">
        <f>IF(A65="","",SUMIFS(Stock_PDV!$H$2:$H$800,Stock_PDV!$A$2:$A$800,A65))</f>
        <v/>
      </c>
      <c r="P65" s="48">
        <f>IF(A65="","",IF(O65&lt;=Inicio!$B$16,"Crítico",IF(O65&lt;=Inicio!$B$17,"Observar","OK")))</f>
        <v/>
      </c>
      <c r="Q65" s="48">
        <f>IF(A65="","",IF(OR(H65="Atrasado",K65="Sin venta",N65="Pendiente relevante",P65="Crítico"),"Alta",IF(OR(K65="Venta baja",N65="Pendiente menor",P65="Observar"),"Media","Baja")))</f>
        <v/>
      </c>
      <c r="R65" s="48">
        <f>IF(A65="","",IF(Q65="Alta","Gestionar esta semana",IF(Q65="Media","Hacer seguimiento","Mantener")))</f>
        <v/>
      </c>
      <c r="S65" s="68">
        <f>IF(A65="","",IF(I65=0,"Sin venta",IF(I65&gt;=cfg_VentaAlta,"Alta",IF(I65&lt;cfg_VentaBaja,"Baja","Media"))))</f>
        <v/>
      </c>
    </row>
    <row r="66">
      <c r="A66" s="48">
        <f>IF(Clientes_PDV!A66="","",Clientes_PDV!A66)</f>
        <v/>
      </c>
      <c r="B66" s="48">
        <f>IF(A66="","",IFERROR(VLOOKUP(A66,Clientes_PDV!$A$2:$J$250,2,FALSE),""))</f>
        <v/>
      </c>
      <c r="C66" s="48">
        <f>IF(A66="","",IFERROR(VLOOKUP(A66,Clientes_PDV!$A$2:$J$250,3,FALSE),""))</f>
        <v/>
      </c>
      <c r="D66" s="48">
        <f>IF(A66="","",IFERROR(VLOOKUP(A66,Clientes_PDV!$A$2:$J$250,4,FALSE),""))</f>
        <v/>
      </c>
      <c r="E66" s="48">
        <f>IF(A66="","",IFERROR(VLOOKUP(A66,Clientes_PDV!$A$2:$J$250,7,FALSE),""))</f>
        <v/>
      </c>
      <c r="F66" s="49">
        <f>IF(A66="","",IFERROR(VLOOKUP(A66,Clientes_PDV!$A$2:$J$250,8,FALSE),""))</f>
        <v/>
      </c>
      <c r="G66" s="50">
        <f>IF(F66="","",TODAY()-F66)</f>
        <v/>
      </c>
      <c r="H66" s="48">
        <f>IF(A66="","",IF(F66="","Sin visita",IF(G66&lt;=IFERROR(VLOOKUP(E66,Inicio!$A$24:$B$26,2,FALSE),0),"Vigente","Atrasado")))</f>
        <v/>
      </c>
      <c r="I66" s="51">
        <f>IF(A66="","",SUMIFS(Ventas_SellIn!$L$2:$L$800,Ventas_SellIn!$D$2:$D$800,A66,Ventas_SellIn!$B$2:$B$800,"&gt;="&amp;TODAY()-Inicio!$B$14))</f>
        <v/>
      </c>
      <c r="J66" s="50">
        <f>IF(A66="","",SUMIFS(SellOut_Jumbo!$F$2:$F$800,SellOut_Jumbo!$C$2:$C$800,D66,SellOut_Jumbo!$A$2:$A$800,"&gt;="&amp;TODAY()-Inicio!$B$14))</f>
        <v/>
      </c>
      <c r="K66" s="48">
        <f>IF(A66="","",IF(I66=0,"Sin venta",IF(I66&lt;Inicio!$B$15,"Venta baja","Venta OK")))</f>
        <v/>
      </c>
      <c r="L66" s="50">
        <f>IF(A66="","",COUNTIFS(Ventas_SellIn!$D$2:$D$800,A66,Ventas_SellIn!$R$2:$R$800,"&gt;0"))</f>
        <v/>
      </c>
      <c r="M66" s="51">
        <f>IF(A66="","",SUMIFS(Ventas_SellIn!$R$2:$R$800,Ventas_SellIn!$D$2:$D$800,A66))</f>
        <v/>
      </c>
      <c r="N66" s="48">
        <f>IF(A66="","",IF(M66&gt;=Inicio!$B$18,"Pendiente relevante",IF(M66&gt;0,"Pendiente menor","Sin deuda")))</f>
        <v/>
      </c>
      <c r="O66" s="50">
        <f>IF(A66="","",SUMIFS(Stock_PDV!$H$2:$H$800,Stock_PDV!$A$2:$A$800,A66))</f>
        <v/>
      </c>
      <c r="P66" s="48">
        <f>IF(A66="","",IF(O66&lt;=Inicio!$B$16,"Crítico",IF(O66&lt;=Inicio!$B$17,"Observar","OK")))</f>
        <v/>
      </c>
      <c r="Q66" s="48">
        <f>IF(A66="","",IF(OR(H66="Atrasado",K66="Sin venta",N66="Pendiente relevante",P66="Crítico"),"Alta",IF(OR(K66="Venta baja",N66="Pendiente menor",P66="Observar"),"Media","Baja")))</f>
        <v/>
      </c>
      <c r="R66" s="48">
        <f>IF(A66="","",IF(Q66="Alta","Gestionar esta semana",IF(Q66="Media","Hacer seguimiento","Mantener")))</f>
        <v/>
      </c>
      <c r="S66" s="68">
        <f>IF(A66="","",IF(I66=0,"Sin venta",IF(I66&gt;=cfg_VentaAlta,"Alta",IF(I66&lt;cfg_VentaBaja,"Baja","Media"))))</f>
        <v/>
      </c>
    </row>
    <row r="67">
      <c r="A67" s="48">
        <f>IF(Clientes_PDV!A67="","",Clientes_PDV!A67)</f>
        <v/>
      </c>
      <c r="B67" s="48">
        <f>IF(A67="","",IFERROR(VLOOKUP(A67,Clientes_PDV!$A$2:$J$250,2,FALSE),""))</f>
        <v/>
      </c>
      <c r="C67" s="48">
        <f>IF(A67="","",IFERROR(VLOOKUP(A67,Clientes_PDV!$A$2:$J$250,3,FALSE),""))</f>
        <v/>
      </c>
      <c r="D67" s="48">
        <f>IF(A67="","",IFERROR(VLOOKUP(A67,Clientes_PDV!$A$2:$J$250,4,FALSE),""))</f>
        <v/>
      </c>
      <c r="E67" s="48">
        <f>IF(A67="","",IFERROR(VLOOKUP(A67,Clientes_PDV!$A$2:$J$250,7,FALSE),""))</f>
        <v/>
      </c>
      <c r="F67" s="49">
        <f>IF(A67="","",IFERROR(VLOOKUP(A67,Clientes_PDV!$A$2:$J$250,8,FALSE),""))</f>
        <v/>
      </c>
      <c r="G67" s="50">
        <f>IF(F67="","",TODAY()-F67)</f>
        <v/>
      </c>
      <c r="H67" s="48">
        <f>IF(A67="","",IF(F67="","Sin visita",IF(G67&lt;=IFERROR(VLOOKUP(E67,Inicio!$A$24:$B$26,2,FALSE),0),"Vigente","Atrasado")))</f>
        <v/>
      </c>
      <c r="I67" s="51">
        <f>IF(A67="","",SUMIFS(Ventas_SellIn!$L$2:$L$800,Ventas_SellIn!$D$2:$D$800,A67,Ventas_SellIn!$B$2:$B$800,"&gt;="&amp;TODAY()-Inicio!$B$14))</f>
        <v/>
      </c>
      <c r="J67" s="50">
        <f>IF(A67="","",SUMIFS(SellOut_Jumbo!$F$2:$F$800,SellOut_Jumbo!$C$2:$C$800,D67,SellOut_Jumbo!$A$2:$A$800,"&gt;="&amp;TODAY()-Inicio!$B$14))</f>
        <v/>
      </c>
      <c r="K67" s="48">
        <f>IF(A67="","",IF(I67=0,"Sin venta",IF(I67&lt;Inicio!$B$15,"Venta baja","Venta OK")))</f>
        <v/>
      </c>
      <c r="L67" s="50">
        <f>IF(A67="","",COUNTIFS(Ventas_SellIn!$D$2:$D$800,A67,Ventas_SellIn!$R$2:$R$800,"&gt;0"))</f>
        <v/>
      </c>
      <c r="M67" s="51">
        <f>IF(A67="","",SUMIFS(Ventas_SellIn!$R$2:$R$800,Ventas_SellIn!$D$2:$D$800,A67))</f>
        <v/>
      </c>
      <c r="N67" s="48">
        <f>IF(A67="","",IF(M67&gt;=Inicio!$B$18,"Pendiente relevante",IF(M67&gt;0,"Pendiente menor","Sin deuda")))</f>
        <v/>
      </c>
      <c r="O67" s="50">
        <f>IF(A67="","",SUMIFS(Stock_PDV!$H$2:$H$800,Stock_PDV!$A$2:$A$800,A67))</f>
        <v/>
      </c>
      <c r="P67" s="48">
        <f>IF(A67="","",IF(O67&lt;=Inicio!$B$16,"Crítico",IF(O67&lt;=Inicio!$B$17,"Observar","OK")))</f>
        <v/>
      </c>
      <c r="Q67" s="48">
        <f>IF(A67="","",IF(OR(H67="Atrasado",K67="Sin venta",N67="Pendiente relevante",P67="Crítico"),"Alta",IF(OR(K67="Venta baja",N67="Pendiente menor",P67="Observar"),"Media","Baja")))</f>
        <v/>
      </c>
      <c r="R67" s="48">
        <f>IF(A67="","",IF(Q67="Alta","Gestionar esta semana",IF(Q67="Media","Hacer seguimiento","Mantener")))</f>
        <v/>
      </c>
      <c r="S67" s="68">
        <f>IF(A67="","",IF(I67=0,"Sin venta",IF(I67&gt;=cfg_VentaAlta,"Alta",IF(I67&lt;cfg_VentaBaja,"Baja","Media"))))</f>
        <v/>
      </c>
    </row>
    <row r="68">
      <c r="A68" s="48">
        <f>IF(Clientes_PDV!A68="","",Clientes_PDV!A68)</f>
        <v/>
      </c>
      <c r="B68" s="48">
        <f>IF(A68="","",IFERROR(VLOOKUP(A68,Clientes_PDV!$A$2:$J$250,2,FALSE),""))</f>
        <v/>
      </c>
      <c r="C68" s="48">
        <f>IF(A68="","",IFERROR(VLOOKUP(A68,Clientes_PDV!$A$2:$J$250,3,FALSE),""))</f>
        <v/>
      </c>
      <c r="D68" s="48">
        <f>IF(A68="","",IFERROR(VLOOKUP(A68,Clientes_PDV!$A$2:$J$250,4,FALSE),""))</f>
        <v/>
      </c>
      <c r="E68" s="48">
        <f>IF(A68="","",IFERROR(VLOOKUP(A68,Clientes_PDV!$A$2:$J$250,7,FALSE),""))</f>
        <v/>
      </c>
      <c r="F68" s="49">
        <f>IF(A68="","",IFERROR(VLOOKUP(A68,Clientes_PDV!$A$2:$J$250,8,FALSE),""))</f>
        <v/>
      </c>
      <c r="G68" s="50">
        <f>IF(F68="","",TODAY()-F68)</f>
        <v/>
      </c>
      <c r="H68" s="48">
        <f>IF(A68="","",IF(F68="","Sin visita",IF(G68&lt;=IFERROR(VLOOKUP(E68,Inicio!$A$24:$B$26,2,FALSE),0),"Vigente","Atrasado")))</f>
        <v/>
      </c>
      <c r="I68" s="51">
        <f>IF(A68="","",SUMIFS(Ventas_SellIn!$L$2:$L$800,Ventas_SellIn!$D$2:$D$800,A68,Ventas_SellIn!$B$2:$B$800,"&gt;="&amp;TODAY()-Inicio!$B$14))</f>
        <v/>
      </c>
      <c r="J68" s="50">
        <f>IF(A68="","",SUMIFS(SellOut_Jumbo!$F$2:$F$800,SellOut_Jumbo!$C$2:$C$800,D68,SellOut_Jumbo!$A$2:$A$800,"&gt;="&amp;TODAY()-Inicio!$B$14))</f>
        <v/>
      </c>
      <c r="K68" s="48">
        <f>IF(A68="","",IF(I68=0,"Sin venta",IF(I68&lt;Inicio!$B$15,"Venta baja","Venta OK")))</f>
        <v/>
      </c>
      <c r="L68" s="50">
        <f>IF(A68="","",COUNTIFS(Ventas_SellIn!$D$2:$D$800,A68,Ventas_SellIn!$R$2:$R$800,"&gt;0"))</f>
        <v/>
      </c>
      <c r="M68" s="51">
        <f>IF(A68="","",SUMIFS(Ventas_SellIn!$R$2:$R$800,Ventas_SellIn!$D$2:$D$800,A68))</f>
        <v/>
      </c>
      <c r="N68" s="48">
        <f>IF(A68="","",IF(M68&gt;=Inicio!$B$18,"Pendiente relevante",IF(M68&gt;0,"Pendiente menor","Sin deuda")))</f>
        <v/>
      </c>
      <c r="O68" s="50">
        <f>IF(A68="","",SUMIFS(Stock_PDV!$H$2:$H$800,Stock_PDV!$A$2:$A$800,A68))</f>
        <v/>
      </c>
      <c r="P68" s="48">
        <f>IF(A68="","",IF(O68&lt;=Inicio!$B$16,"Crítico",IF(O68&lt;=Inicio!$B$17,"Observar","OK")))</f>
        <v/>
      </c>
      <c r="Q68" s="48">
        <f>IF(A68="","",IF(OR(H68="Atrasado",K68="Sin venta",N68="Pendiente relevante",P68="Crítico"),"Alta",IF(OR(K68="Venta baja",N68="Pendiente menor",P68="Observar"),"Media","Baja")))</f>
        <v/>
      </c>
      <c r="R68" s="48">
        <f>IF(A68="","",IF(Q68="Alta","Gestionar esta semana",IF(Q68="Media","Hacer seguimiento","Mantener")))</f>
        <v/>
      </c>
      <c r="S68" s="68">
        <f>IF(A68="","",IF(I68=0,"Sin venta",IF(I68&gt;=cfg_VentaAlta,"Alta",IF(I68&lt;cfg_VentaBaja,"Baja","Media"))))</f>
        <v/>
      </c>
    </row>
    <row r="69">
      <c r="A69" s="48">
        <f>IF(Clientes_PDV!A69="","",Clientes_PDV!A69)</f>
        <v/>
      </c>
      <c r="B69" s="48">
        <f>IF(A69="","",IFERROR(VLOOKUP(A69,Clientes_PDV!$A$2:$J$250,2,FALSE),""))</f>
        <v/>
      </c>
      <c r="C69" s="48">
        <f>IF(A69="","",IFERROR(VLOOKUP(A69,Clientes_PDV!$A$2:$J$250,3,FALSE),""))</f>
        <v/>
      </c>
      <c r="D69" s="48">
        <f>IF(A69="","",IFERROR(VLOOKUP(A69,Clientes_PDV!$A$2:$J$250,4,FALSE),""))</f>
        <v/>
      </c>
      <c r="E69" s="48">
        <f>IF(A69="","",IFERROR(VLOOKUP(A69,Clientes_PDV!$A$2:$J$250,7,FALSE),""))</f>
        <v/>
      </c>
      <c r="F69" s="49">
        <f>IF(A69="","",IFERROR(VLOOKUP(A69,Clientes_PDV!$A$2:$J$250,8,FALSE),""))</f>
        <v/>
      </c>
      <c r="G69" s="50">
        <f>IF(F69="","",TODAY()-F69)</f>
        <v/>
      </c>
      <c r="H69" s="48">
        <f>IF(A69="","",IF(F69="","Sin visita",IF(G69&lt;=IFERROR(VLOOKUP(E69,Inicio!$A$24:$B$26,2,FALSE),0),"Vigente","Atrasado")))</f>
        <v/>
      </c>
      <c r="I69" s="51">
        <f>IF(A69="","",SUMIFS(Ventas_SellIn!$L$2:$L$800,Ventas_SellIn!$D$2:$D$800,A69,Ventas_SellIn!$B$2:$B$800,"&gt;="&amp;TODAY()-Inicio!$B$14))</f>
        <v/>
      </c>
      <c r="J69" s="50">
        <f>IF(A69="","",SUMIFS(SellOut_Jumbo!$F$2:$F$800,SellOut_Jumbo!$C$2:$C$800,D69,SellOut_Jumbo!$A$2:$A$800,"&gt;="&amp;TODAY()-Inicio!$B$14))</f>
        <v/>
      </c>
      <c r="K69" s="48">
        <f>IF(A69="","",IF(I69=0,"Sin venta",IF(I69&lt;Inicio!$B$15,"Venta baja","Venta OK")))</f>
        <v/>
      </c>
      <c r="L69" s="50">
        <f>IF(A69="","",COUNTIFS(Ventas_SellIn!$D$2:$D$800,A69,Ventas_SellIn!$R$2:$R$800,"&gt;0"))</f>
        <v/>
      </c>
      <c r="M69" s="51">
        <f>IF(A69="","",SUMIFS(Ventas_SellIn!$R$2:$R$800,Ventas_SellIn!$D$2:$D$800,A69))</f>
        <v/>
      </c>
      <c r="N69" s="48">
        <f>IF(A69="","",IF(M69&gt;=Inicio!$B$18,"Pendiente relevante",IF(M69&gt;0,"Pendiente menor","Sin deuda")))</f>
        <v/>
      </c>
      <c r="O69" s="50">
        <f>IF(A69="","",SUMIFS(Stock_PDV!$H$2:$H$800,Stock_PDV!$A$2:$A$800,A69))</f>
        <v/>
      </c>
      <c r="P69" s="48">
        <f>IF(A69="","",IF(O69&lt;=Inicio!$B$16,"Crítico",IF(O69&lt;=Inicio!$B$17,"Observar","OK")))</f>
        <v/>
      </c>
      <c r="Q69" s="48">
        <f>IF(A69="","",IF(OR(H69="Atrasado",K69="Sin venta",N69="Pendiente relevante",P69="Crítico"),"Alta",IF(OR(K69="Venta baja",N69="Pendiente menor",P69="Observar"),"Media","Baja")))</f>
        <v/>
      </c>
      <c r="R69" s="48">
        <f>IF(A69="","",IF(Q69="Alta","Gestionar esta semana",IF(Q69="Media","Hacer seguimiento","Mantener")))</f>
        <v/>
      </c>
      <c r="S69" s="68">
        <f>IF(A69="","",IF(I69=0,"Sin venta",IF(I69&gt;=cfg_VentaAlta,"Alta",IF(I69&lt;cfg_VentaBaja,"Baja","Media"))))</f>
        <v/>
      </c>
    </row>
    <row r="70">
      <c r="A70" s="48">
        <f>IF(Clientes_PDV!A70="","",Clientes_PDV!A70)</f>
        <v/>
      </c>
      <c r="B70" s="48">
        <f>IF(A70="","",IFERROR(VLOOKUP(A70,Clientes_PDV!$A$2:$J$250,2,FALSE),""))</f>
        <v/>
      </c>
      <c r="C70" s="48">
        <f>IF(A70="","",IFERROR(VLOOKUP(A70,Clientes_PDV!$A$2:$J$250,3,FALSE),""))</f>
        <v/>
      </c>
      <c r="D70" s="48">
        <f>IF(A70="","",IFERROR(VLOOKUP(A70,Clientes_PDV!$A$2:$J$250,4,FALSE),""))</f>
        <v/>
      </c>
      <c r="E70" s="48">
        <f>IF(A70="","",IFERROR(VLOOKUP(A70,Clientes_PDV!$A$2:$J$250,7,FALSE),""))</f>
        <v/>
      </c>
      <c r="F70" s="49">
        <f>IF(A70="","",IFERROR(VLOOKUP(A70,Clientes_PDV!$A$2:$J$250,8,FALSE),""))</f>
        <v/>
      </c>
      <c r="G70" s="50">
        <f>IF(F70="","",TODAY()-F70)</f>
        <v/>
      </c>
      <c r="H70" s="48">
        <f>IF(A70="","",IF(F70="","Sin visita",IF(G70&lt;=IFERROR(VLOOKUP(E70,Inicio!$A$24:$B$26,2,FALSE),0),"Vigente","Atrasado")))</f>
        <v/>
      </c>
      <c r="I70" s="51">
        <f>IF(A70="","",SUMIFS(Ventas_SellIn!$L$2:$L$800,Ventas_SellIn!$D$2:$D$800,A70,Ventas_SellIn!$B$2:$B$800,"&gt;="&amp;TODAY()-Inicio!$B$14))</f>
        <v/>
      </c>
      <c r="J70" s="50">
        <f>IF(A70="","",SUMIFS(SellOut_Jumbo!$F$2:$F$800,SellOut_Jumbo!$C$2:$C$800,D70,SellOut_Jumbo!$A$2:$A$800,"&gt;="&amp;TODAY()-Inicio!$B$14))</f>
        <v/>
      </c>
      <c r="K70" s="48">
        <f>IF(A70="","",IF(I70=0,"Sin venta",IF(I70&lt;Inicio!$B$15,"Venta baja","Venta OK")))</f>
        <v/>
      </c>
      <c r="L70" s="50">
        <f>IF(A70="","",COUNTIFS(Ventas_SellIn!$D$2:$D$800,A70,Ventas_SellIn!$R$2:$R$800,"&gt;0"))</f>
        <v/>
      </c>
      <c r="M70" s="51">
        <f>IF(A70="","",SUMIFS(Ventas_SellIn!$R$2:$R$800,Ventas_SellIn!$D$2:$D$800,A70))</f>
        <v/>
      </c>
      <c r="N70" s="48">
        <f>IF(A70="","",IF(M70&gt;=Inicio!$B$18,"Pendiente relevante",IF(M70&gt;0,"Pendiente menor","Sin deuda")))</f>
        <v/>
      </c>
      <c r="O70" s="50">
        <f>IF(A70="","",SUMIFS(Stock_PDV!$H$2:$H$800,Stock_PDV!$A$2:$A$800,A70))</f>
        <v/>
      </c>
      <c r="P70" s="48">
        <f>IF(A70="","",IF(O70&lt;=Inicio!$B$16,"Crítico",IF(O70&lt;=Inicio!$B$17,"Observar","OK")))</f>
        <v/>
      </c>
      <c r="Q70" s="48">
        <f>IF(A70="","",IF(OR(H70="Atrasado",K70="Sin venta",N70="Pendiente relevante",P70="Crítico"),"Alta",IF(OR(K70="Venta baja",N70="Pendiente menor",P70="Observar"),"Media","Baja")))</f>
        <v/>
      </c>
      <c r="R70" s="48">
        <f>IF(A70="","",IF(Q70="Alta","Gestionar esta semana",IF(Q70="Media","Hacer seguimiento","Mantener")))</f>
        <v/>
      </c>
      <c r="S70" s="68">
        <f>IF(A70="","",IF(I70=0,"Sin venta",IF(I70&gt;=cfg_VentaAlta,"Alta",IF(I70&lt;cfg_VentaBaja,"Baja","Media"))))</f>
        <v/>
      </c>
    </row>
    <row r="71">
      <c r="A71" s="48">
        <f>IF(Clientes_PDV!A71="","",Clientes_PDV!A71)</f>
        <v/>
      </c>
      <c r="B71" s="48">
        <f>IF(A71="","",IFERROR(VLOOKUP(A71,Clientes_PDV!$A$2:$J$250,2,FALSE),""))</f>
        <v/>
      </c>
      <c r="C71" s="48">
        <f>IF(A71="","",IFERROR(VLOOKUP(A71,Clientes_PDV!$A$2:$J$250,3,FALSE),""))</f>
        <v/>
      </c>
      <c r="D71" s="48">
        <f>IF(A71="","",IFERROR(VLOOKUP(A71,Clientes_PDV!$A$2:$J$250,4,FALSE),""))</f>
        <v/>
      </c>
      <c r="E71" s="48">
        <f>IF(A71="","",IFERROR(VLOOKUP(A71,Clientes_PDV!$A$2:$J$250,7,FALSE),""))</f>
        <v/>
      </c>
      <c r="F71" s="49">
        <f>IF(A71="","",IFERROR(VLOOKUP(A71,Clientes_PDV!$A$2:$J$250,8,FALSE),""))</f>
        <v/>
      </c>
      <c r="G71" s="50">
        <f>IF(F71="","",TODAY()-F71)</f>
        <v/>
      </c>
      <c r="H71" s="48">
        <f>IF(A71="","",IF(F71="","Sin visita",IF(G71&lt;=IFERROR(VLOOKUP(E71,Inicio!$A$24:$B$26,2,FALSE),0),"Vigente","Atrasado")))</f>
        <v/>
      </c>
      <c r="I71" s="51">
        <f>IF(A71="","",SUMIFS(Ventas_SellIn!$L$2:$L$800,Ventas_SellIn!$D$2:$D$800,A71,Ventas_SellIn!$B$2:$B$800,"&gt;="&amp;TODAY()-Inicio!$B$14))</f>
        <v/>
      </c>
      <c r="J71" s="50">
        <f>IF(A71="","",SUMIFS(SellOut_Jumbo!$F$2:$F$800,SellOut_Jumbo!$C$2:$C$800,D71,SellOut_Jumbo!$A$2:$A$800,"&gt;="&amp;TODAY()-Inicio!$B$14))</f>
        <v/>
      </c>
      <c r="K71" s="48">
        <f>IF(A71="","",IF(I71=0,"Sin venta",IF(I71&lt;Inicio!$B$15,"Venta baja","Venta OK")))</f>
        <v/>
      </c>
      <c r="L71" s="50">
        <f>IF(A71="","",COUNTIFS(Ventas_SellIn!$D$2:$D$800,A71,Ventas_SellIn!$R$2:$R$800,"&gt;0"))</f>
        <v/>
      </c>
      <c r="M71" s="51">
        <f>IF(A71="","",SUMIFS(Ventas_SellIn!$R$2:$R$800,Ventas_SellIn!$D$2:$D$800,A71))</f>
        <v/>
      </c>
      <c r="N71" s="48">
        <f>IF(A71="","",IF(M71&gt;=Inicio!$B$18,"Pendiente relevante",IF(M71&gt;0,"Pendiente menor","Sin deuda")))</f>
        <v/>
      </c>
      <c r="O71" s="50">
        <f>IF(A71="","",SUMIFS(Stock_PDV!$H$2:$H$800,Stock_PDV!$A$2:$A$800,A71))</f>
        <v/>
      </c>
      <c r="P71" s="48">
        <f>IF(A71="","",IF(O71&lt;=Inicio!$B$16,"Crítico",IF(O71&lt;=Inicio!$B$17,"Observar","OK")))</f>
        <v/>
      </c>
      <c r="Q71" s="48">
        <f>IF(A71="","",IF(OR(H71="Atrasado",K71="Sin venta",N71="Pendiente relevante",P71="Crítico"),"Alta",IF(OR(K71="Venta baja",N71="Pendiente menor",P71="Observar"),"Media","Baja")))</f>
        <v/>
      </c>
      <c r="R71" s="48">
        <f>IF(A71="","",IF(Q71="Alta","Gestionar esta semana",IF(Q71="Media","Hacer seguimiento","Mantener")))</f>
        <v/>
      </c>
      <c r="S71" s="68">
        <f>IF(A71="","",IF(I71=0,"Sin venta",IF(I71&gt;=cfg_VentaAlta,"Alta",IF(I71&lt;cfg_VentaBaja,"Baja","Media"))))</f>
        <v/>
      </c>
    </row>
    <row r="72">
      <c r="A72" s="48">
        <f>IF(Clientes_PDV!A72="","",Clientes_PDV!A72)</f>
        <v/>
      </c>
      <c r="B72" s="48">
        <f>IF(A72="","",IFERROR(VLOOKUP(A72,Clientes_PDV!$A$2:$J$250,2,FALSE),""))</f>
        <v/>
      </c>
      <c r="C72" s="48">
        <f>IF(A72="","",IFERROR(VLOOKUP(A72,Clientes_PDV!$A$2:$J$250,3,FALSE),""))</f>
        <v/>
      </c>
      <c r="D72" s="48">
        <f>IF(A72="","",IFERROR(VLOOKUP(A72,Clientes_PDV!$A$2:$J$250,4,FALSE),""))</f>
        <v/>
      </c>
      <c r="E72" s="48">
        <f>IF(A72="","",IFERROR(VLOOKUP(A72,Clientes_PDV!$A$2:$J$250,7,FALSE),""))</f>
        <v/>
      </c>
      <c r="F72" s="49">
        <f>IF(A72="","",IFERROR(VLOOKUP(A72,Clientes_PDV!$A$2:$J$250,8,FALSE),""))</f>
        <v/>
      </c>
      <c r="G72" s="50">
        <f>IF(F72="","",TODAY()-F72)</f>
        <v/>
      </c>
      <c r="H72" s="48">
        <f>IF(A72="","",IF(F72="","Sin visita",IF(G72&lt;=IFERROR(VLOOKUP(E72,Inicio!$A$24:$B$26,2,FALSE),0),"Vigente","Atrasado")))</f>
        <v/>
      </c>
      <c r="I72" s="51">
        <f>IF(A72="","",SUMIFS(Ventas_SellIn!$L$2:$L$800,Ventas_SellIn!$D$2:$D$800,A72,Ventas_SellIn!$B$2:$B$800,"&gt;="&amp;TODAY()-Inicio!$B$14))</f>
        <v/>
      </c>
      <c r="J72" s="50">
        <f>IF(A72="","",SUMIFS(SellOut_Jumbo!$F$2:$F$800,SellOut_Jumbo!$C$2:$C$800,D72,SellOut_Jumbo!$A$2:$A$800,"&gt;="&amp;TODAY()-Inicio!$B$14))</f>
        <v/>
      </c>
      <c r="K72" s="48">
        <f>IF(A72="","",IF(I72=0,"Sin venta",IF(I72&lt;Inicio!$B$15,"Venta baja","Venta OK")))</f>
        <v/>
      </c>
      <c r="L72" s="50">
        <f>IF(A72="","",COUNTIFS(Ventas_SellIn!$D$2:$D$800,A72,Ventas_SellIn!$R$2:$R$800,"&gt;0"))</f>
        <v/>
      </c>
      <c r="M72" s="51">
        <f>IF(A72="","",SUMIFS(Ventas_SellIn!$R$2:$R$800,Ventas_SellIn!$D$2:$D$800,A72))</f>
        <v/>
      </c>
      <c r="N72" s="48">
        <f>IF(A72="","",IF(M72&gt;=Inicio!$B$18,"Pendiente relevante",IF(M72&gt;0,"Pendiente menor","Sin deuda")))</f>
        <v/>
      </c>
      <c r="O72" s="50">
        <f>IF(A72="","",SUMIFS(Stock_PDV!$H$2:$H$800,Stock_PDV!$A$2:$A$800,A72))</f>
        <v/>
      </c>
      <c r="P72" s="48">
        <f>IF(A72="","",IF(O72&lt;=Inicio!$B$16,"Crítico",IF(O72&lt;=Inicio!$B$17,"Observar","OK")))</f>
        <v/>
      </c>
      <c r="Q72" s="48">
        <f>IF(A72="","",IF(OR(H72="Atrasado",K72="Sin venta",N72="Pendiente relevante",P72="Crítico"),"Alta",IF(OR(K72="Venta baja",N72="Pendiente menor",P72="Observar"),"Media","Baja")))</f>
        <v/>
      </c>
      <c r="R72" s="48">
        <f>IF(A72="","",IF(Q72="Alta","Gestionar esta semana",IF(Q72="Media","Hacer seguimiento","Mantener")))</f>
        <v/>
      </c>
      <c r="S72" s="68">
        <f>IF(A72="","",IF(I72=0,"Sin venta",IF(I72&gt;=cfg_VentaAlta,"Alta",IF(I72&lt;cfg_VentaBaja,"Baja","Media"))))</f>
        <v/>
      </c>
    </row>
    <row r="73">
      <c r="A73" s="48">
        <f>IF(Clientes_PDV!A73="","",Clientes_PDV!A73)</f>
        <v/>
      </c>
      <c r="B73" s="48">
        <f>IF(A73="","",IFERROR(VLOOKUP(A73,Clientes_PDV!$A$2:$J$250,2,FALSE),""))</f>
        <v/>
      </c>
      <c r="C73" s="48">
        <f>IF(A73="","",IFERROR(VLOOKUP(A73,Clientes_PDV!$A$2:$J$250,3,FALSE),""))</f>
        <v/>
      </c>
      <c r="D73" s="48">
        <f>IF(A73="","",IFERROR(VLOOKUP(A73,Clientes_PDV!$A$2:$J$250,4,FALSE),""))</f>
        <v/>
      </c>
      <c r="E73" s="48">
        <f>IF(A73="","",IFERROR(VLOOKUP(A73,Clientes_PDV!$A$2:$J$250,7,FALSE),""))</f>
        <v/>
      </c>
      <c r="F73" s="49">
        <f>IF(A73="","",IFERROR(VLOOKUP(A73,Clientes_PDV!$A$2:$J$250,8,FALSE),""))</f>
        <v/>
      </c>
      <c r="G73" s="50">
        <f>IF(F73="","",TODAY()-F73)</f>
        <v/>
      </c>
      <c r="H73" s="48">
        <f>IF(A73="","",IF(F73="","Sin visita",IF(G73&lt;=IFERROR(VLOOKUP(E73,Inicio!$A$24:$B$26,2,FALSE),0),"Vigente","Atrasado")))</f>
        <v/>
      </c>
      <c r="I73" s="51">
        <f>IF(A73="","",SUMIFS(Ventas_SellIn!$L$2:$L$800,Ventas_SellIn!$D$2:$D$800,A73,Ventas_SellIn!$B$2:$B$800,"&gt;="&amp;TODAY()-Inicio!$B$14))</f>
        <v/>
      </c>
      <c r="J73" s="50">
        <f>IF(A73="","",SUMIFS(SellOut_Jumbo!$F$2:$F$800,SellOut_Jumbo!$C$2:$C$800,D73,SellOut_Jumbo!$A$2:$A$800,"&gt;="&amp;TODAY()-Inicio!$B$14))</f>
        <v/>
      </c>
      <c r="K73" s="48">
        <f>IF(A73="","",IF(I73=0,"Sin venta",IF(I73&lt;Inicio!$B$15,"Venta baja","Venta OK")))</f>
        <v/>
      </c>
      <c r="L73" s="50">
        <f>IF(A73="","",COUNTIFS(Ventas_SellIn!$D$2:$D$800,A73,Ventas_SellIn!$R$2:$R$800,"&gt;0"))</f>
        <v/>
      </c>
      <c r="M73" s="51">
        <f>IF(A73="","",SUMIFS(Ventas_SellIn!$R$2:$R$800,Ventas_SellIn!$D$2:$D$800,A73))</f>
        <v/>
      </c>
      <c r="N73" s="48">
        <f>IF(A73="","",IF(M73&gt;=Inicio!$B$18,"Pendiente relevante",IF(M73&gt;0,"Pendiente menor","Sin deuda")))</f>
        <v/>
      </c>
      <c r="O73" s="50">
        <f>IF(A73="","",SUMIFS(Stock_PDV!$H$2:$H$800,Stock_PDV!$A$2:$A$800,A73))</f>
        <v/>
      </c>
      <c r="P73" s="48">
        <f>IF(A73="","",IF(O73&lt;=Inicio!$B$16,"Crítico",IF(O73&lt;=Inicio!$B$17,"Observar","OK")))</f>
        <v/>
      </c>
      <c r="Q73" s="48">
        <f>IF(A73="","",IF(OR(H73="Atrasado",K73="Sin venta",N73="Pendiente relevante",P73="Crítico"),"Alta",IF(OR(K73="Venta baja",N73="Pendiente menor",P73="Observar"),"Media","Baja")))</f>
        <v/>
      </c>
      <c r="R73" s="48">
        <f>IF(A73="","",IF(Q73="Alta","Gestionar esta semana",IF(Q73="Media","Hacer seguimiento","Mantener")))</f>
        <v/>
      </c>
      <c r="S73" s="68">
        <f>IF(A73="","",IF(I73=0,"Sin venta",IF(I73&gt;=cfg_VentaAlta,"Alta",IF(I73&lt;cfg_VentaBaja,"Baja","Media"))))</f>
        <v/>
      </c>
    </row>
    <row r="74">
      <c r="A74" s="48">
        <f>IF(Clientes_PDV!A74="","",Clientes_PDV!A74)</f>
        <v/>
      </c>
      <c r="B74" s="48">
        <f>IF(A74="","",IFERROR(VLOOKUP(A74,Clientes_PDV!$A$2:$J$250,2,FALSE),""))</f>
        <v/>
      </c>
      <c r="C74" s="48">
        <f>IF(A74="","",IFERROR(VLOOKUP(A74,Clientes_PDV!$A$2:$J$250,3,FALSE),""))</f>
        <v/>
      </c>
      <c r="D74" s="48">
        <f>IF(A74="","",IFERROR(VLOOKUP(A74,Clientes_PDV!$A$2:$J$250,4,FALSE),""))</f>
        <v/>
      </c>
      <c r="E74" s="48">
        <f>IF(A74="","",IFERROR(VLOOKUP(A74,Clientes_PDV!$A$2:$J$250,7,FALSE),""))</f>
        <v/>
      </c>
      <c r="F74" s="49">
        <f>IF(A74="","",IFERROR(VLOOKUP(A74,Clientes_PDV!$A$2:$J$250,8,FALSE),""))</f>
        <v/>
      </c>
      <c r="G74" s="50">
        <f>IF(F74="","",TODAY()-F74)</f>
        <v/>
      </c>
      <c r="H74" s="48">
        <f>IF(A74="","",IF(F74="","Sin visita",IF(G74&lt;=IFERROR(VLOOKUP(E74,Inicio!$A$24:$B$26,2,FALSE),0),"Vigente","Atrasado")))</f>
        <v/>
      </c>
      <c r="I74" s="51">
        <f>IF(A74="","",SUMIFS(Ventas_SellIn!$L$2:$L$800,Ventas_SellIn!$D$2:$D$800,A74,Ventas_SellIn!$B$2:$B$800,"&gt;="&amp;TODAY()-Inicio!$B$14))</f>
        <v/>
      </c>
      <c r="J74" s="50">
        <f>IF(A74="","",SUMIFS(SellOut_Jumbo!$F$2:$F$800,SellOut_Jumbo!$C$2:$C$800,D74,SellOut_Jumbo!$A$2:$A$800,"&gt;="&amp;TODAY()-Inicio!$B$14))</f>
        <v/>
      </c>
      <c r="K74" s="48">
        <f>IF(A74="","",IF(I74=0,"Sin venta",IF(I74&lt;Inicio!$B$15,"Venta baja","Venta OK")))</f>
        <v/>
      </c>
      <c r="L74" s="50">
        <f>IF(A74="","",COUNTIFS(Ventas_SellIn!$D$2:$D$800,A74,Ventas_SellIn!$R$2:$R$800,"&gt;0"))</f>
        <v/>
      </c>
      <c r="M74" s="51">
        <f>IF(A74="","",SUMIFS(Ventas_SellIn!$R$2:$R$800,Ventas_SellIn!$D$2:$D$800,A74))</f>
        <v/>
      </c>
      <c r="N74" s="48">
        <f>IF(A74="","",IF(M74&gt;=Inicio!$B$18,"Pendiente relevante",IF(M74&gt;0,"Pendiente menor","Sin deuda")))</f>
        <v/>
      </c>
      <c r="O74" s="50">
        <f>IF(A74="","",SUMIFS(Stock_PDV!$H$2:$H$800,Stock_PDV!$A$2:$A$800,A74))</f>
        <v/>
      </c>
      <c r="P74" s="48">
        <f>IF(A74="","",IF(O74&lt;=Inicio!$B$16,"Crítico",IF(O74&lt;=Inicio!$B$17,"Observar","OK")))</f>
        <v/>
      </c>
      <c r="Q74" s="48">
        <f>IF(A74="","",IF(OR(H74="Atrasado",K74="Sin venta",N74="Pendiente relevante",P74="Crítico"),"Alta",IF(OR(K74="Venta baja",N74="Pendiente menor",P74="Observar"),"Media","Baja")))</f>
        <v/>
      </c>
      <c r="R74" s="48">
        <f>IF(A74="","",IF(Q74="Alta","Gestionar esta semana",IF(Q74="Media","Hacer seguimiento","Mantener")))</f>
        <v/>
      </c>
      <c r="S74" s="68">
        <f>IF(A74="","",IF(I74=0,"Sin venta",IF(I74&gt;=cfg_VentaAlta,"Alta",IF(I74&lt;cfg_VentaBaja,"Baja","Media"))))</f>
        <v/>
      </c>
    </row>
    <row r="75">
      <c r="A75" s="48">
        <f>IF(Clientes_PDV!A75="","",Clientes_PDV!A75)</f>
        <v/>
      </c>
      <c r="B75" s="48">
        <f>IF(A75="","",IFERROR(VLOOKUP(A75,Clientes_PDV!$A$2:$J$250,2,FALSE),""))</f>
        <v/>
      </c>
      <c r="C75" s="48">
        <f>IF(A75="","",IFERROR(VLOOKUP(A75,Clientes_PDV!$A$2:$J$250,3,FALSE),""))</f>
        <v/>
      </c>
      <c r="D75" s="48">
        <f>IF(A75="","",IFERROR(VLOOKUP(A75,Clientes_PDV!$A$2:$J$250,4,FALSE),""))</f>
        <v/>
      </c>
      <c r="E75" s="48">
        <f>IF(A75="","",IFERROR(VLOOKUP(A75,Clientes_PDV!$A$2:$J$250,7,FALSE),""))</f>
        <v/>
      </c>
      <c r="F75" s="49">
        <f>IF(A75="","",IFERROR(VLOOKUP(A75,Clientes_PDV!$A$2:$J$250,8,FALSE),""))</f>
        <v/>
      </c>
      <c r="G75" s="50">
        <f>IF(F75="","",TODAY()-F75)</f>
        <v/>
      </c>
      <c r="H75" s="48">
        <f>IF(A75="","",IF(F75="","Sin visita",IF(G75&lt;=IFERROR(VLOOKUP(E75,Inicio!$A$24:$B$26,2,FALSE),0),"Vigente","Atrasado")))</f>
        <v/>
      </c>
      <c r="I75" s="51">
        <f>IF(A75="","",SUMIFS(Ventas_SellIn!$L$2:$L$800,Ventas_SellIn!$D$2:$D$800,A75,Ventas_SellIn!$B$2:$B$800,"&gt;="&amp;TODAY()-Inicio!$B$14))</f>
        <v/>
      </c>
      <c r="J75" s="50">
        <f>IF(A75="","",SUMIFS(SellOut_Jumbo!$F$2:$F$800,SellOut_Jumbo!$C$2:$C$800,D75,SellOut_Jumbo!$A$2:$A$800,"&gt;="&amp;TODAY()-Inicio!$B$14))</f>
        <v/>
      </c>
      <c r="K75" s="48">
        <f>IF(A75="","",IF(I75=0,"Sin venta",IF(I75&lt;Inicio!$B$15,"Venta baja","Venta OK")))</f>
        <v/>
      </c>
      <c r="L75" s="50">
        <f>IF(A75="","",COUNTIFS(Ventas_SellIn!$D$2:$D$800,A75,Ventas_SellIn!$R$2:$R$800,"&gt;0"))</f>
        <v/>
      </c>
      <c r="M75" s="51">
        <f>IF(A75="","",SUMIFS(Ventas_SellIn!$R$2:$R$800,Ventas_SellIn!$D$2:$D$800,A75))</f>
        <v/>
      </c>
      <c r="N75" s="48">
        <f>IF(A75="","",IF(M75&gt;=Inicio!$B$18,"Pendiente relevante",IF(M75&gt;0,"Pendiente menor","Sin deuda")))</f>
        <v/>
      </c>
      <c r="O75" s="50">
        <f>IF(A75="","",SUMIFS(Stock_PDV!$H$2:$H$800,Stock_PDV!$A$2:$A$800,A75))</f>
        <v/>
      </c>
      <c r="P75" s="48">
        <f>IF(A75="","",IF(O75&lt;=Inicio!$B$16,"Crítico",IF(O75&lt;=Inicio!$B$17,"Observar","OK")))</f>
        <v/>
      </c>
      <c r="Q75" s="48">
        <f>IF(A75="","",IF(OR(H75="Atrasado",K75="Sin venta",N75="Pendiente relevante",P75="Crítico"),"Alta",IF(OR(K75="Venta baja",N75="Pendiente menor",P75="Observar"),"Media","Baja")))</f>
        <v/>
      </c>
      <c r="R75" s="48">
        <f>IF(A75="","",IF(Q75="Alta","Gestionar esta semana",IF(Q75="Media","Hacer seguimiento","Mantener")))</f>
        <v/>
      </c>
      <c r="S75" s="68">
        <f>IF(A75="","",IF(I75=0,"Sin venta",IF(I75&gt;=cfg_VentaAlta,"Alta",IF(I75&lt;cfg_VentaBaja,"Baja","Media"))))</f>
        <v/>
      </c>
    </row>
    <row r="76">
      <c r="A76" s="48">
        <f>IF(Clientes_PDV!A76="","",Clientes_PDV!A76)</f>
        <v/>
      </c>
      <c r="B76" s="48">
        <f>IF(A76="","",IFERROR(VLOOKUP(A76,Clientes_PDV!$A$2:$J$250,2,FALSE),""))</f>
        <v/>
      </c>
      <c r="C76" s="48">
        <f>IF(A76="","",IFERROR(VLOOKUP(A76,Clientes_PDV!$A$2:$J$250,3,FALSE),""))</f>
        <v/>
      </c>
      <c r="D76" s="48">
        <f>IF(A76="","",IFERROR(VLOOKUP(A76,Clientes_PDV!$A$2:$J$250,4,FALSE),""))</f>
        <v/>
      </c>
      <c r="E76" s="48">
        <f>IF(A76="","",IFERROR(VLOOKUP(A76,Clientes_PDV!$A$2:$J$250,7,FALSE),""))</f>
        <v/>
      </c>
      <c r="F76" s="49">
        <f>IF(A76="","",IFERROR(VLOOKUP(A76,Clientes_PDV!$A$2:$J$250,8,FALSE),""))</f>
        <v/>
      </c>
      <c r="G76" s="50">
        <f>IF(F76="","",TODAY()-F76)</f>
        <v/>
      </c>
      <c r="H76" s="48">
        <f>IF(A76="","",IF(F76="","Sin visita",IF(G76&lt;=IFERROR(VLOOKUP(E76,Inicio!$A$24:$B$26,2,FALSE),0),"Vigente","Atrasado")))</f>
        <v/>
      </c>
      <c r="I76" s="51">
        <f>IF(A76="","",SUMIFS(Ventas_SellIn!$L$2:$L$800,Ventas_SellIn!$D$2:$D$800,A76,Ventas_SellIn!$B$2:$B$800,"&gt;="&amp;TODAY()-Inicio!$B$14))</f>
        <v/>
      </c>
      <c r="J76" s="50">
        <f>IF(A76="","",SUMIFS(SellOut_Jumbo!$F$2:$F$800,SellOut_Jumbo!$C$2:$C$800,D76,SellOut_Jumbo!$A$2:$A$800,"&gt;="&amp;TODAY()-Inicio!$B$14))</f>
        <v/>
      </c>
      <c r="K76" s="48">
        <f>IF(A76="","",IF(I76=0,"Sin venta",IF(I76&lt;Inicio!$B$15,"Venta baja","Venta OK")))</f>
        <v/>
      </c>
      <c r="L76" s="50">
        <f>IF(A76="","",COUNTIFS(Ventas_SellIn!$D$2:$D$800,A76,Ventas_SellIn!$R$2:$R$800,"&gt;0"))</f>
        <v/>
      </c>
      <c r="M76" s="51">
        <f>IF(A76="","",SUMIFS(Ventas_SellIn!$R$2:$R$800,Ventas_SellIn!$D$2:$D$800,A76))</f>
        <v/>
      </c>
      <c r="N76" s="48">
        <f>IF(A76="","",IF(M76&gt;=Inicio!$B$18,"Pendiente relevante",IF(M76&gt;0,"Pendiente menor","Sin deuda")))</f>
        <v/>
      </c>
      <c r="O76" s="50">
        <f>IF(A76="","",SUMIFS(Stock_PDV!$H$2:$H$800,Stock_PDV!$A$2:$A$800,A76))</f>
        <v/>
      </c>
      <c r="P76" s="48">
        <f>IF(A76="","",IF(O76&lt;=Inicio!$B$16,"Crítico",IF(O76&lt;=Inicio!$B$17,"Observar","OK")))</f>
        <v/>
      </c>
      <c r="Q76" s="48">
        <f>IF(A76="","",IF(OR(H76="Atrasado",K76="Sin venta",N76="Pendiente relevante",P76="Crítico"),"Alta",IF(OR(K76="Venta baja",N76="Pendiente menor",P76="Observar"),"Media","Baja")))</f>
        <v/>
      </c>
      <c r="R76" s="48">
        <f>IF(A76="","",IF(Q76="Alta","Gestionar esta semana",IF(Q76="Media","Hacer seguimiento","Mantener")))</f>
        <v/>
      </c>
      <c r="S76" s="68">
        <f>IF(A76="","",IF(I76=0,"Sin venta",IF(I76&gt;=cfg_VentaAlta,"Alta",IF(I76&lt;cfg_VentaBaja,"Baja","Media"))))</f>
        <v/>
      </c>
    </row>
    <row r="77">
      <c r="A77" s="48">
        <f>IF(Clientes_PDV!A77="","",Clientes_PDV!A77)</f>
        <v/>
      </c>
      <c r="B77" s="48">
        <f>IF(A77="","",IFERROR(VLOOKUP(A77,Clientes_PDV!$A$2:$J$250,2,FALSE),""))</f>
        <v/>
      </c>
      <c r="C77" s="48">
        <f>IF(A77="","",IFERROR(VLOOKUP(A77,Clientes_PDV!$A$2:$J$250,3,FALSE),""))</f>
        <v/>
      </c>
      <c r="D77" s="48">
        <f>IF(A77="","",IFERROR(VLOOKUP(A77,Clientes_PDV!$A$2:$J$250,4,FALSE),""))</f>
        <v/>
      </c>
      <c r="E77" s="48">
        <f>IF(A77="","",IFERROR(VLOOKUP(A77,Clientes_PDV!$A$2:$J$250,7,FALSE),""))</f>
        <v/>
      </c>
      <c r="F77" s="49">
        <f>IF(A77="","",IFERROR(VLOOKUP(A77,Clientes_PDV!$A$2:$J$250,8,FALSE),""))</f>
        <v/>
      </c>
      <c r="G77" s="50">
        <f>IF(F77="","",TODAY()-F77)</f>
        <v/>
      </c>
      <c r="H77" s="48">
        <f>IF(A77="","",IF(F77="","Sin visita",IF(G77&lt;=IFERROR(VLOOKUP(E77,Inicio!$A$24:$B$26,2,FALSE),0),"Vigente","Atrasado")))</f>
        <v/>
      </c>
      <c r="I77" s="51">
        <f>IF(A77="","",SUMIFS(Ventas_SellIn!$L$2:$L$800,Ventas_SellIn!$D$2:$D$800,A77,Ventas_SellIn!$B$2:$B$800,"&gt;="&amp;TODAY()-Inicio!$B$14))</f>
        <v/>
      </c>
      <c r="J77" s="50">
        <f>IF(A77="","",SUMIFS(SellOut_Jumbo!$F$2:$F$800,SellOut_Jumbo!$C$2:$C$800,D77,SellOut_Jumbo!$A$2:$A$800,"&gt;="&amp;TODAY()-Inicio!$B$14))</f>
        <v/>
      </c>
      <c r="K77" s="48">
        <f>IF(A77="","",IF(I77=0,"Sin venta",IF(I77&lt;Inicio!$B$15,"Venta baja","Venta OK")))</f>
        <v/>
      </c>
      <c r="L77" s="50">
        <f>IF(A77="","",COUNTIFS(Ventas_SellIn!$D$2:$D$800,A77,Ventas_SellIn!$R$2:$R$800,"&gt;0"))</f>
        <v/>
      </c>
      <c r="M77" s="51">
        <f>IF(A77="","",SUMIFS(Ventas_SellIn!$R$2:$R$800,Ventas_SellIn!$D$2:$D$800,A77))</f>
        <v/>
      </c>
      <c r="N77" s="48">
        <f>IF(A77="","",IF(M77&gt;=Inicio!$B$18,"Pendiente relevante",IF(M77&gt;0,"Pendiente menor","Sin deuda")))</f>
        <v/>
      </c>
      <c r="O77" s="50">
        <f>IF(A77="","",SUMIFS(Stock_PDV!$H$2:$H$800,Stock_PDV!$A$2:$A$800,A77))</f>
        <v/>
      </c>
      <c r="P77" s="48">
        <f>IF(A77="","",IF(O77&lt;=Inicio!$B$16,"Crítico",IF(O77&lt;=Inicio!$B$17,"Observar","OK")))</f>
        <v/>
      </c>
      <c r="Q77" s="48">
        <f>IF(A77="","",IF(OR(H77="Atrasado",K77="Sin venta",N77="Pendiente relevante",P77="Crítico"),"Alta",IF(OR(K77="Venta baja",N77="Pendiente menor",P77="Observar"),"Media","Baja")))</f>
        <v/>
      </c>
      <c r="R77" s="48">
        <f>IF(A77="","",IF(Q77="Alta","Gestionar esta semana",IF(Q77="Media","Hacer seguimiento","Mantener")))</f>
        <v/>
      </c>
      <c r="S77" s="68">
        <f>IF(A77="","",IF(I77=0,"Sin venta",IF(I77&gt;=cfg_VentaAlta,"Alta",IF(I77&lt;cfg_VentaBaja,"Baja","Media"))))</f>
        <v/>
      </c>
    </row>
    <row r="78">
      <c r="A78" s="48">
        <f>IF(Clientes_PDV!A78="","",Clientes_PDV!A78)</f>
        <v/>
      </c>
      <c r="B78" s="48">
        <f>IF(A78="","",IFERROR(VLOOKUP(A78,Clientes_PDV!$A$2:$J$250,2,FALSE),""))</f>
        <v/>
      </c>
      <c r="C78" s="48">
        <f>IF(A78="","",IFERROR(VLOOKUP(A78,Clientes_PDV!$A$2:$J$250,3,FALSE),""))</f>
        <v/>
      </c>
      <c r="D78" s="48">
        <f>IF(A78="","",IFERROR(VLOOKUP(A78,Clientes_PDV!$A$2:$J$250,4,FALSE),""))</f>
        <v/>
      </c>
      <c r="E78" s="48">
        <f>IF(A78="","",IFERROR(VLOOKUP(A78,Clientes_PDV!$A$2:$J$250,7,FALSE),""))</f>
        <v/>
      </c>
      <c r="F78" s="49">
        <f>IF(A78="","",IFERROR(VLOOKUP(A78,Clientes_PDV!$A$2:$J$250,8,FALSE),""))</f>
        <v/>
      </c>
      <c r="G78" s="50">
        <f>IF(F78="","",TODAY()-F78)</f>
        <v/>
      </c>
      <c r="H78" s="48">
        <f>IF(A78="","",IF(F78="","Sin visita",IF(G78&lt;=IFERROR(VLOOKUP(E78,Inicio!$A$24:$B$26,2,FALSE),0),"Vigente","Atrasado")))</f>
        <v/>
      </c>
      <c r="I78" s="51">
        <f>IF(A78="","",SUMIFS(Ventas_SellIn!$L$2:$L$800,Ventas_SellIn!$D$2:$D$800,A78,Ventas_SellIn!$B$2:$B$800,"&gt;="&amp;TODAY()-Inicio!$B$14))</f>
        <v/>
      </c>
      <c r="J78" s="50">
        <f>IF(A78="","",SUMIFS(SellOut_Jumbo!$F$2:$F$800,SellOut_Jumbo!$C$2:$C$800,D78,SellOut_Jumbo!$A$2:$A$800,"&gt;="&amp;TODAY()-Inicio!$B$14))</f>
        <v/>
      </c>
      <c r="K78" s="48">
        <f>IF(A78="","",IF(I78=0,"Sin venta",IF(I78&lt;Inicio!$B$15,"Venta baja","Venta OK")))</f>
        <v/>
      </c>
      <c r="L78" s="50">
        <f>IF(A78="","",COUNTIFS(Ventas_SellIn!$D$2:$D$800,A78,Ventas_SellIn!$R$2:$R$800,"&gt;0"))</f>
        <v/>
      </c>
      <c r="M78" s="51">
        <f>IF(A78="","",SUMIFS(Ventas_SellIn!$R$2:$R$800,Ventas_SellIn!$D$2:$D$800,A78))</f>
        <v/>
      </c>
      <c r="N78" s="48">
        <f>IF(A78="","",IF(M78&gt;=Inicio!$B$18,"Pendiente relevante",IF(M78&gt;0,"Pendiente menor","Sin deuda")))</f>
        <v/>
      </c>
      <c r="O78" s="50">
        <f>IF(A78="","",SUMIFS(Stock_PDV!$H$2:$H$800,Stock_PDV!$A$2:$A$800,A78))</f>
        <v/>
      </c>
      <c r="P78" s="48">
        <f>IF(A78="","",IF(O78&lt;=Inicio!$B$16,"Crítico",IF(O78&lt;=Inicio!$B$17,"Observar","OK")))</f>
        <v/>
      </c>
      <c r="Q78" s="48">
        <f>IF(A78="","",IF(OR(H78="Atrasado",K78="Sin venta",N78="Pendiente relevante",P78="Crítico"),"Alta",IF(OR(K78="Venta baja",N78="Pendiente menor",P78="Observar"),"Media","Baja")))</f>
        <v/>
      </c>
      <c r="R78" s="48">
        <f>IF(A78="","",IF(Q78="Alta","Gestionar esta semana",IF(Q78="Media","Hacer seguimiento","Mantener")))</f>
        <v/>
      </c>
      <c r="S78" s="68">
        <f>IF(A78="","",IF(I78=0,"Sin venta",IF(I78&gt;=cfg_VentaAlta,"Alta",IF(I78&lt;cfg_VentaBaja,"Baja","Media"))))</f>
        <v/>
      </c>
    </row>
    <row r="79">
      <c r="A79" s="48">
        <f>IF(Clientes_PDV!A79="","",Clientes_PDV!A79)</f>
        <v/>
      </c>
      <c r="B79" s="48">
        <f>IF(A79="","",IFERROR(VLOOKUP(A79,Clientes_PDV!$A$2:$J$250,2,FALSE),""))</f>
        <v/>
      </c>
      <c r="C79" s="48">
        <f>IF(A79="","",IFERROR(VLOOKUP(A79,Clientes_PDV!$A$2:$J$250,3,FALSE),""))</f>
        <v/>
      </c>
      <c r="D79" s="48">
        <f>IF(A79="","",IFERROR(VLOOKUP(A79,Clientes_PDV!$A$2:$J$250,4,FALSE),""))</f>
        <v/>
      </c>
      <c r="E79" s="48">
        <f>IF(A79="","",IFERROR(VLOOKUP(A79,Clientes_PDV!$A$2:$J$250,7,FALSE),""))</f>
        <v/>
      </c>
      <c r="F79" s="49">
        <f>IF(A79="","",IFERROR(VLOOKUP(A79,Clientes_PDV!$A$2:$J$250,8,FALSE),""))</f>
        <v/>
      </c>
      <c r="G79" s="50">
        <f>IF(F79="","",TODAY()-F79)</f>
        <v/>
      </c>
      <c r="H79" s="48">
        <f>IF(A79="","",IF(F79="","Sin visita",IF(G79&lt;=IFERROR(VLOOKUP(E79,Inicio!$A$24:$B$26,2,FALSE),0),"Vigente","Atrasado")))</f>
        <v/>
      </c>
      <c r="I79" s="51">
        <f>IF(A79="","",SUMIFS(Ventas_SellIn!$L$2:$L$800,Ventas_SellIn!$D$2:$D$800,A79,Ventas_SellIn!$B$2:$B$800,"&gt;="&amp;TODAY()-Inicio!$B$14))</f>
        <v/>
      </c>
      <c r="J79" s="50">
        <f>IF(A79="","",SUMIFS(SellOut_Jumbo!$F$2:$F$800,SellOut_Jumbo!$C$2:$C$800,D79,SellOut_Jumbo!$A$2:$A$800,"&gt;="&amp;TODAY()-Inicio!$B$14))</f>
        <v/>
      </c>
      <c r="K79" s="48">
        <f>IF(A79="","",IF(I79=0,"Sin venta",IF(I79&lt;Inicio!$B$15,"Venta baja","Venta OK")))</f>
        <v/>
      </c>
      <c r="L79" s="50">
        <f>IF(A79="","",COUNTIFS(Ventas_SellIn!$D$2:$D$800,A79,Ventas_SellIn!$R$2:$R$800,"&gt;0"))</f>
        <v/>
      </c>
      <c r="M79" s="51">
        <f>IF(A79="","",SUMIFS(Ventas_SellIn!$R$2:$R$800,Ventas_SellIn!$D$2:$D$800,A79))</f>
        <v/>
      </c>
      <c r="N79" s="48">
        <f>IF(A79="","",IF(M79&gt;=Inicio!$B$18,"Pendiente relevante",IF(M79&gt;0,"Pendiente menor","Sin deuda")))</f>
        <v/>
      </c>
      <c r="O79" s="50">
        <f>IF(A79="","",SUMIFS(Stock_PDV!$H$2:$H$800,Stock_PDV!$A$2:$A$800,A79))</f>
        <v/>
      </c>
      <c r="P79" s="48">
        <f>IF(A79="","",IF(O79&lt;=Inicio!$B$16,"Crítico",IF(O79&lt;=Inicio!$B$17,"Observar","OK")))</f>
        <v/>
      </c>
      <c r="Q79" s="48">
        <f>IF(A79="","",IF(OR(H79="Atrasado",K79="Sin venta",N79="Pendiente relevante",P79="Crítico"),"Alta",IF(OR(K79="Venta baja",N79="Pendiente menor",P79="Observar"),"Media","Baja")))</f>
        <v/>
      </c>
      <c r="R79" s="48">
        <f>IF(A79="","",IF(Q79="Alta","Gestionar esta semana",IF(Q79="Media","Hacer seguimiento","Mantener")))</f>
        <v/>
      </c>
      <c r="S79" s="68">
        <f>IF(A79="","",IF(I79=0,"Sin venta",IF(I79&gt;=cfg_VentaAlta,"Alta",IF(I79&lt;cfg_VentaBaja,"Baja","Media"))))</f>
        <v/>
      </c>
    </row>
    <row r="80">
      <c r="A80" s="48">
        <f>IF(Clientes_PDV!A80="","",Clientes_PDV!A80)</f>
        <v/>
      </c>
      <c r="B80" s="48">
        <f>IF(A80="","",IFERROR(VLOOKUP(A80,Clientes_PDV!$A$2:$J$250,2,FALSE),""))</f>
        <v/>
      </c>
      <c r="C80" s="48">
        <f>IF(A80="","",IFERROR(VLOOKUP(A80,Clientes_PDV!$A$2:$J$250,3,FALSE),""))</f>
        <v/>
      </c>
      <c r="D80" s="48">
        <f>IF(A80="","",IFERROR(VLOOKUP(A80,Clientes_PDV!$A$2:$J$250,4,FALSE),""))</f>
        <v/>
      </c>
      <c r="E80" s="48">
        <f>IF(A80="","",IFERROR(VLOOKUP(A80,Clientes_PDV!$A$2:$J$250,7,FALSE),""))</f>
        <v/>
      </c>
      <c r="F80" s="49">
        <f>IF(A80="","",IFERROR(VLOOKUP(A80,Clientes_PDV!$A$2:$J$250,8,FALSE),""))</f>
        <v/>
      </c>
      <c r="G80" s="50">
        <f>IF(F80="","",TODAY()-F80)</f>
        <v/>
      </c>
      <c r="H80" s="48">
        <f>IF(A80="","",IF(F80="","Sin visita",IF(G80&lt;=IFERROR(VLOOKUP(E80,Inicio!$A$24:$B$26,2,FALSE),0),"Vigente","Atrasado")))</f>
        <v/>
      </c>
      <c r="I80" s="51">
        <f>IF(A80="","",SUMIFS(Ventas_SellIn!$L$2:$L$800,Ventas_SellIn!$D$2:$D$800,A80,Ventas_SellIn!$B$2:$B$800,"&gt;="&amp;TODAY()-Inicio!$B$14))</f>
        <v/>
      </c>
      <c r="J80" s="50">
        <f>IF(A80="","",SUMIFS(SellOut_Jumbo!$F$2:$F$800,SellOut_Jumbo!$C$2:$C$800,D80,SellOut_Jumbo!$A$2:$A$800,"&gt;="&amp;TODAY()-Inicio!$B$14))</f>
        <v/>
      </c>
      <c r="K80" s="48">
        <f>IF(A80="","",IF(I80=0,"Sin venta",IF(I80&lt;Inicio!$B$15,"Venta baja","Venta OK")))</f>
        <v/>
      </c>
      <c r="L80" s="50">
        <f>IF(A80="","",COUNTIFS(Ventas_SellIn!$D$2:$D$800,A80,Ventas_SellIn!$R$2:$R$800,"&gt;0"))</f>
        <v/>
      </c>
      <c r="M80" s="51">
        <f>IF(A80="","",SUMIFS(Ventas_SellIn!$R$2:$R$800,Ventas_SellIn!$D$2:$D$800,A80))</f>
        <v/>
      </c>
      <c r="N80" s="48">
        <f>IF(A80="","",IF(M80&gt;=Inicio!$B$18,"Pendiente relevante",IF(M80&gt;0,"Pendiente menor","Sin deuda")))</f>
        <v/>
      </c>
      <c r="O80" s="50">
        <f>IF(A80="","",SUMIFS(Stock_PDV!$H$2:$H$800,Stock_PDV!$A$2:$A$800,A80))</f>
        <v/>
      </c>
      <c r="P80" s="48">
        <f>IF(A80="","",IF(O80&lt;=Inicio!$B$16,"Crítico",IF(O80&lt;=Inicio!$B$17,"Observar","OK")))</f>
        <v/>
      </c>
      <c r="Q80" s="48">
        <f>IF(A80="","",IF(OR(H80="Atrasado",K80="Sin venta",N80="Pendiente relevante",P80="Crítico"),"Alta",IF(OR(K80="Venta baja",N80="Pendiente menor",P80="Observar"),"Media","Baja")))</f>
        <v/>
      </c>
      <c r="R80" s="48">
        <f>IF(A80="","",IF(Q80="Alta","Gestionar esta semana",IF(Q80="Media","Hacer seguimiento","Mantener")))</f>
        <v/>
      </c>
      <c r="S80" s="68">
        <f>IF(A80="","",IF(I80=0,"Sin venta",IF(I80&gt;=cfg_VentaAlta,"Alta",IF(I80&lt;cfg_VentaBaja,"Baja","Media"))))</f>
        <v/>
      </c>
    </row>
    <row r="81">
      <c r="A81" s="48">
        <f>IF(Clientes_PDV!A81="","",Clientes_PDV!A81)</f>
        <v/>
      </c>
      <c r="B81" s="48">
        <f>IF(A81="","",IFERROR(VLOOKUP(A81,Clientes_PDV!$A$2:$J$250,2,FALSE),""))</f>
        <v/>
      </c>
      <c r="C81" s="48">
        <f>IF(A81="","",IFERROR(VLOOKUP(A81,Clientes_PDV!$A$2:$J$250,3,FALSE),""))</f>
        <v/>
      </c>
      <c r="D81" s="48">
        <f>IF(A81="","",IFERROR(VLOOKUP(A81,Clientes_PDV!$A$2:$J$250,4,FALSE),""))</f>
        <v/>
      </c>
      <c r="E81" s="48">
        <f>IF(A81="","",IFERROR(VLOOKUP(A81,Clientes_PDV!$A$2:$J$250,7,FALSE),""))</f>
        <v/>
      </c>
      <c r="F81" s="49">
        <f>IF(A81="","",IFERROR(VLOOKUP(A81,Clientes_PDV!$A$2:$J$250,8,FALSE),""))</f>
        <v/>
      </c>
      <c r="G81" s="50">
        <f>IF(F81="","",TODAY()-F81)</f>
        <v/>
      </c>
      <c r="H81" s="48">
        <f>IF(A81="","",IF(F81="","Sin visita",IF(G81&lt;=IFERROR(VLOOKUP(E81,Inicio!$A$24:$B$26,2,FALSE),0),"Vigente","Atrasado")))</f>
        <v/>
      </c>
      <c r="I81" s="51">
        <f>IF(A81="","",SUMIFS(Ventas_SellIn!$L$2:$L$800,Ventas_SellIn!$D$2:$D$800,A81,Ventas_SellIn!$B$2:$B$800,"&gt;="&amp;TODAY()-Inicio!$B$14))</f>
        <v/>
      </c>
      <c r="J81" s="50">
        <f>IF(A81="","",SUMIFS(SellOut_Jumbo!$F$2:$F$800,SellOut_Jumbo!$C$2:$C$800,D81,SellOut_Jumbo!$A$2:$A$800,"&gt;="&amp;TODAY()-Inicio!$B$14))</f>
        <v/>
      </c>
      <c r="K81" s="48">
        <f>IF(A81="","",IF(I81=0,"Sin venta",IF(I81&lt;Inicio!$B$15,"Venta baja","Venta OK")))</f>
        <v/>
      </c>
      <c r="L81" s="50">
        <f>IF(A81="","",COUNTIFS(Ventas_SellIn!$D$2:$D$800,A81,Ventas_SellIn!$R$2:$R$800,"&gt;0"))</f>
        <v/>
      </c>
      <c r="M81" s="51">
        <f>IF(A81="","",SUMIFS(Ventas_SellIn!$R$2:$R$800,Ventas_SellIn!$D$2:$D$800,A81))</f>
        <v/>
      </c>
      <c r="N81" s="48">
        <f>IF(A81="","",IF(M81&gt;=Inicio!$B$18,"Pendiente relevante",IF(M81&gt;0,"Pendiente menor","Sin deuda")))</f>
        <v/>
      </c>
      <c r="O81" s="50">
        <f>IF(A81="","",SUMIFS(Stock_PDV!$H$2:$H$800,Stock_PDV!$A$2:$A$800,A81))</f>
        <v/>
      </c>
      <c r="P81" s="48">
        <f>IF(A81="","",IF(O81&lt;=Inicio!$B$16,"Crítico",IF(O81&lt;=Inicio!$B$17,"Observar","OK")))</f>
        <v/>
      </c>
      <c r="Q81" s="48">
        <f>IF(A81="","",IF(OR(H81="Atrasado",K81="Sin venta",N81="Pendiente relevante",P81="Crítico"),"Alta",IF(OR(K81="Venta baja",N81="Pendiente menor",P81="Observar"),"Media","Baja")))</f>
        <v/>
      </c>
      <c r="R81" s="48">
        <f>IF(A81="","",IF(Q81="Alta","Gestionar esta semana",IF(Q81="Media","Hacer seguimiento","Mantener")))</f>
        <v/>
      </c>
      <c r="S81" s="68">
        <f>IF(A81="","",IF(I81=0,"Sin venta",IF(I81&gt;=cfg_VentaAlta,"Alta",IF(I81&lt;cfg_VentaBaja,"Baja","Media"))))</f>
        <v/>
      </c>
    </row>
    <row r="82">
      <c r="A82" s="48">
        <f>IF(Clientes_PDV!A82="","",Clientes_PDV!A82)</f>
        <v/>
      </c>
      <c r="B82" s="48">
        <f>IF(A82="","",IFERROR(VLOOKUP(A82,Clientes_PDV!$A$2:$J$250,2,FALSE),""))</f>
        <v/>
      </c>
      <c r="C82" s="48">
        <f>IF(A82="","",IFERROR(VLOOKUP(A82,Clientes_PDV!$A$2:$J$250,3,FALSE),""))</f>
        <v/>
      </c>
      <c r="D82" s="48">
        <f>IF(A82="","",IFERROR(VLOOKUP(A82,Clientes_PDV!$A$2:$J$250,4,FALSE),""))</f>
        <v/>
      </c>
      <c r="E82" s="48">
        <f>IF(A82="","",IFERROR(VLOOKUP(A82,Clientes_PDV!$A$2:$J$250,7,FALSE),""))</f>
        <v/>
      </c>
      <c r="F82" s="49">
        <f>IF(A82="","",IFERROR(VLOOKUP(A82,Clientes_PDV!$A$2:$J$250,8,FALSE),""))</f>
        <v/>
      </c>
      <c r="G82" s="50">
        <f>IF(F82="","",TODAY()-F82)</f>
        <v/>
      </c>
      <c r="H82" s="48">
        <f>IF(A82="","",IF(F82="","Sin visita",IF(G82&lt;=IFERROR(VLOOKUP(E82,Inicio!$A$24:$B$26,2,FALSE),0),"Vigente","Atrasado")))</f>
        <v/>
      </c>
      <c r="I82" s="51">
        <f>IF(A82="","",SUMIFS(Ventas_SellIn!$L$2:$L$800,Ventas_SellIn!$D$2:$D$800,A82,Ventas_SellIn!$B$2:$B$800,"&gt;="&amp;TODAY()-Inicio!$B$14))</f>
        <v/>
      </c>
      <c r="J82" s="50">
        <f>IF(A82="","",SUMIFS(SellOut_Jumbo!$F$2:$F$800,SellOut_Jumbo!$C$2:$C$800,D82,SellOut_Jumbo!$A$2:$A$800,"&gt;="&amp;TODAY()-Inicio!$B$14))</f>
        <v/>
      </c>
      <c r="K82" s="48">
        <f>IF(A82="","",IF(I82=0,"Sin venta",IF(I82&lt;Inicio!$B$15,"Venta baja","Venta OK")))</f>
        <v/>
      </c>
      <c r="L82" s="50">
        <f>IF(A82="","",COUNTIFS(Ventas_SellIn!$D$2:$D$800,A82,Ventas_SellIn!$R$2:$R$800,"&gt;0"))</f>
        <v/>
      </c>
      <c r="M82" s="51">
        <f>IF(A82="","",SUMIFS(Ventas_SellIn!$R$2:$R$800,Ventas_SellIn!$D$2:$D$800,A82))</f>
        <v/>
      </c>
      <c r="N82" s="48">
        <f>IF(A82="","",IF(M82&gt;=Inicio!$B$18,"Pendiente relevante",IF(M82&gt;0,"Pendiente menor","Sin deuda")))</f>
        <v/>
      </c>
      <c r="O82" s="50">
        <f>IF(A82="","",SUMIFS(Stock_PDV!$H$2:$H$800,Stock_PDV!$A$2:$A$800,A82))</f>
        <v/>
      </c>
      <c r="P82" s="48">
        <f>IF(A82="","",IF(O82&lt;=Inicio!$B$16,"Crítico",IF(O82&lt;=Inicio!$B$17,"Observar","OK")))</f>
        <v/>
      </c>
      <c r="Q82" s="48">
        <f>IF(A82="","",IF(OR(H82="Atrasado",K82="Sin venta",N82="Pendiente relevante",P82="Crítico"),"Alta",IF(OR(K82="Venta baja",N82="Pendiente menor",P82="Observar"),"Media","Baja")))</f>
        <v/>
      </c>
      <c r="R82" s="48">
        <f>IF(A82="","",IF(Q82="Alta","Gestionar esta semana",IF(Q82="Media","Hacer seguimiento","Mantener")))</f>
        <v/>
      </c>
      <c r="S82" s="68">
        <f>IF(A82="","",IF(I82=0,"Sin venta",IF(I82&gt;=cfg_VentaAlta,"Alta",IF(I82&lt;cfg_VentaBaja,"Baja","Media"))))</f>
        <v/>
      </c>
    </row>
    <row r="83">
      <c r="A83" s="48">
        <f>IF(Clientes_PDV!A83="","",Clientes_PDV!A83)</f>
        <v/>
      </c>
      <c r="B83" s="48">
        <f>IF(A83="","",IFERROR(VLOOKUP(A83,Clientes_PDV!$A$2:$J$250,2,FALSE),""))</f>
        <v/>
      </c>
      <c r="C83" s="48">
        <f>IF(A83="","",IFERROR(VLOOKUP(A83,Clientes_PDV!$A$2:$J$250,3,FALSE),""))</f>
        <v/>
      </c>
      <c r="D83" s="48">
        <f>IF(A83="","",IFERROR(VLOOKUP(A83,Clientes_PDV!$A$2:$J$250,4,FALSE),""))</f>
        <v/>
      </c>
      <c r="E83" s="48">
        <f>IF(A83="","",IFERROR(VLOOKUP(A83,Clientes_PDV!$A$2:$J$250,7,FALSE),""))</f>
        <v/>
      </c>
      <c r="F83" s="49">
        <f>IF(A83="","",IFERROR(VLOOKUP(A83,Clientes_PDV!$A$2:$J$250,8,FALSE),""))</f>
        <v/>
      </c>
      <c r="G83" s="50">
        <f>IF(F83="","",TODAY()-F83)</f>
        <v/>
      </c>
      <c r="H83" s="48">
        <f>IF(A83="","",IF(F83="","Sin visita",IF(G83&lt;=IFERROR(VLOOKUP(E83,Inicio!$A$24:$B$26,2,FALSE),0),"Vigente","Atrasado")))</f>
        <v/>
      </c>
      <c r="I83" s="51">
        <f>IF(A83="","",SUMIFS(Ventas_SellIn!$L$2:$L$800,Ventas_SellIn!$D$2:$D$800,A83,Ventas_SellIn!$B$2:$B$800,"&gt;="&amp;TODAY()-Inicio!$B$14))</f>
        <v/>
      </c>
      <c r="J83" s="50">
        <f>IF(A83="","",SUMIFS(SellOut_Jumbo!$F$2:$F$800,SellOut_Jumbo!$C$2:$C$800,D83,SellOut_Jumbo!$A$2:$A$800,"&gt;="&amp;TODAY()-Inicio!$B$14))</f>
        <v/>
      </c>
      <c r="K83" s="48">
        <f>IF(A83="","",IF(I83=0,"Sin venta",IF(I83&lt;Inicio!$B$15,"Venta baja","Venta OK")))</f>
        <v/>
      </c>
      <c r="L83" s="50">
        <f>IF(A83="","",COUNTIFS(Ventas_SellIn!$D$2:$D$800,A83,Ventas_SellIn!$R$2:$R$800,"&gt;0"))</f>
        <v/>
      </c>
      <c r="M83" s="51">
        <f>IF(A83="","",SUMIFS(Ventas_SellIn!$R$2:$R$800,Ventas_SellIn!$D$2:$D$800,A83))</f>
        <v/>
      </c>
      <c r="N83" s="48">
        <f>IF(A83="","",IF(M83&gt;=Inicio!$B$18,"Pendiente relevante",IF(M83&gt;0,"Pendiente menor","Sin deuda")))</f>
        <v/>
      </c>
      <c r="O83" s="50">
        <f>IF(A83="","",SUMIFS(Stock_PDV!$H$2:$H$800,Stock_PDV!$A$2:$A$800,A83))</f>
        <v/>
      </c>
      <c r="P83" s="48">
        <f>IF(A83="","",IF(O83&lt;=Inicio!$B$16,"Crítico",IF(O83&lt;=Inicio!$B$17,"Observar","OK")))</f>
        <v/>
      </c>
      <c r="Q83" s="48">
        <f>IF(A83="","",IF(OR(H83="Atrasado",K83="Sin venta",N83="Pendiente relevante",P83="Crítico"),"Alta",IF(OR(K83="Venta baja",N83="Pendiente menor",P83="Observar"),"Media","Baja")))</f>
        <v/>
      </c>
      <c r="R83" s="48">
        <f>IF(A83="","",IF(Q83="Alta","Gestionar esta semana",IF(Q83="Media","Hacer seguimiento","Mantener")))</f>
        <v/>
      </c>
      <c r="S83" s="68">
        <f>IF(A83="","",IF(I83=0,"Sin venta",IF(I83&gt;=cfg_VentaAlta,"Alta",IF(I83&lt;cfg_VentaBaja,"Baja","Media"))))</f>
        <v/>
      </c>
    </row>
    <row r="84">
      <c r="A84" s="48">
        <f>IF(Clientes_PDV!A84="","",Clientes_PDV!A84)</f>
        <v/>
      </c>
      <c r="B84" s="48">
        <f>IF(A84="","",IFERROR(VLOOKUP(A84,Clientes_PDV!$A$2:$J$250,2,FALSE),""))</f>
        <v/>
      </c>
      <c r="C84" s="48">
        <f>IF(A84="","",IFERROR(VLOOKUP(A84,Clientes_PDV!$A$2:$J$250,3,FALSE),""))</f>
        <v/>
      </c>
      <c r="D84" s="48">
        <f>IF(A84="","",IFERROR(VLOOKUP(A84,Clientes_PDV!$A$2:$J$250,4,FALSE),""))</f>
        <v/>
      </c>
      <c r="E84" s="48">
        <f>IF(A84="","",IFERROR(VLOOKUP(A84,Clientes_PDV!$A$2:$J$250,7,FALSE),""))</f>
        <v/>
      </c>
      <c r="F84" s="49">
        <f>IF(A84="","",IFERROR(VLOOKUP(A84,Clientes_PDV!$A$2:$J$250,8,FALSE),""))</f>
        <v/>
      </c>
      <c r="G84" s="50">
        <f>IF(F84="","",TODAY()-F84)</f>
        <v/>
      </c>
      <c r="H84" s="48">
        <f>IF(A84="","",IF(F84="","Sin visita",IF(G84&lt;=IFERROR(VLOOKUP(E84,Inicio!$A$24:$B$26,2,FALSE),0),"Vigente","Atrasado")))</f>
        <v/>
      </c>
      <c r="I84" s="51">
        <f>IF(A84="","",SUMIFS(Ventas_SellIn!$L$2:$L$800,Ventas_SellIn!$D$2:$D$800,A84,Ventas_SellIn!$B$2:$B$800,"&gt;="&amp;TODAY()-Inicio!$B$14))</f>
        <v/>
      </c>
      <c r="J84" s="50">
        <f>IF(A84="","",SUMIFS(SellOut_Jumbo!$F$2:$F$800,SellOut_Jumbo!$C$2:$C$800,D84,SellOut_Jumbo!$A$2:$A$800,"&gt;="&amp;TODAY()-Inicio!$B$14))</f>
        <v/>
      </c>
      <c r="K84" s="48">
        <f>IF(A84="","",IF(I84=0,"Sin venta",IF(I84&lt;Inicio!$B$15,"Venta baja","Venta OK")))</f>
        <v/>
      </c>
      <c r="L84" s="50">
        <f>IF(A84="","",COUNTIFS(Ventas_SellIn!$D$2:$D$800,A84,Ventas_SellIn!$R$2:$R$800,"&gt;0"))</f>
        <v/>
      </c>
      <c r="M84" s="51">
        <f>IF(A84="","",SUMIFS(Ventas_SellIn!$R$2:$R$800,Ventas_SellIn!$D$2:$D$800,A84))</f>
        <v/>
      </c>
      <c r="N84" s="48">
        <f>IF(A84="","",IF(M84&gt;=Inicio!$B$18,"Pendiente relevante",IF(M84&gt;0,"Pendiente menor","Sin deuda")))</f>
        <v/>
      </c>
      <c r="O84" s="50">
        <f>IF(A84="","",SUMIFS(Stock_PDV!$H$2:$H$800,Stock_PDV!$A$2:$A$800,A84))</f>
        <v/>
      </c>
      <c r="P84" s="48">
        <f>IF(A84="","",IF(O84&lt;=Inicio!$B$16,"Crítico",IF(O84&lt;=Inicio!$B$17,"Observar","OK")))</f>
        <v/>
      </c>
      <c r="Q84" s="48">
        <f>IF(A84="","",IF(OR(H84="Atrasado",K84="Sin venta",N84="Pendiente relevante",P84="Crítico"),"Alta",IF(OR(K84="Venta baja",N84="Pendiente menor",P84="Observar"),"Media","Baja")))</f>
        <v/>
      </c>
      <c r="R84" s="48">
        <f>IF(A84="","",IF(Q84="Alta","Gestionar esta semana",IF(Q84="Media","Hacer seguimiento","Mantener")))</f>
        <v/>
      </c>
      <c r="S84" s="68">
        <f>IF(A84="","",IF(I84=0,"Sin venta",IF(I84&gt;=cfg_VentaAlta,"Alta",IF(I84&lt;cfg_VentaBaja,"Baja","Media"))))</f>
        <v/>
      </c>
    </row>
    <row r="85">
      <c r="A85" s="48">
        <f>IF(Clientes_PDV!A85="","",Clientes_PDV!A85)</f>
        <v/>
      </c>
      <c r="B85" s="48">
        <f>IF(A85="","",IFERROR(VLOOKUP(A85,Clientes_PDV!$A$2:$J$250,2,FALSE),""))</f>
        <v/>
      </c>
      <c r="C85" s="48">
        <f>IF(A85="","",IFERROR(VLOOKUP(A85,Clientes_PDV!$A$2:$J$250,3,FALSE),""))</f>
        <v/>
      </c>
      <c r="D85" s="48">
        <f>IF(A85="","",IFERROR(VLOOKUP(A85,Clientes_PDV!$A$2:$J$250,4,FALSE),""))</f>
        <v/>
      </c>
      <c r="E85" s="48">
        <f>IF(A85="","",IFERROR(VLOOKUP(A85,Clientes_PDV!$A$2:$J$250,7,FALSE),""))</f>
        <v/>
      </c>
      <c r="F85" s="49">
        <f>IF(A85="","",IFERROR(VLOOKUP(A85,Clientes_PDV!$A$2:$J$250,8,FALSE),""))</f>
        <v/>
      </c>
      <c r="G85" s="50">
        <f>IF(F85="","",TODAY()-F85)</f>
        <v/>
      </c>
      <c r="H85" s="48">
        <f>IF(A85="","",IF(F85="","Sin visita",IF(G85&lt;=IFERROR(VLOOKUP(E85,Inicio!$A$24:$B$26,2,FALSE),0),"Vigente","Atrasado")))</f>
        <v/>
      </c>
      <c r="I85" s="51">
        <f>IF(A85="","",SUMIFS(Ventas_SellIn!$L$2:$L$800,Ventas_SellIn!$D$2:$D$800,A85,Ventas_SellIn!$B$2:$B$800,"&gt;="&amp;TODAY()-Inicio!$B$14))</f>
        <v/>
      </c>
      <c r="J85" s="50">
        <f>IF(A85="","",SUMIFS(SellOut_Jumbo!$F$2:$F$800,SellOut_Jumbo!$C$2:$C$800,D85,SellOut_Jumbo!$A$2:$A$800,"&gt;="&amp;TODAY()-Inicio!$B$14))</f>
        <v/>
      </c>
      <c r="K85" s="48">
        <f>IF(A85="","",IF(I85=0,"Sin venta",IF(I85&lt;Inicio!$B$15,"Venta baja","Venta OK")))</f>
        <v/>
      </c>
      <c r="L85" s="50">
        <f>IF(A85="","",COUNTIFS(Ventas_SellIn!$D$2:$D$800,A85,Ventas_SellIn!$R$2:$R$800,"&gt;0"))</f>
        <v/>
      </c>
      <c r="M85" s="51">
        <f>IF(A85="","",SUMIFS(Ventas_SellIn!$R$2:$R$800,Ventas_SellIn!$D$2:$D$800,A85))</f>
        <v/>
      </c>
      <c r="N85" s="48">
        <f>IF(A85="","",IF(M85&gt;=Inicio!$B$18,"Pendiente relevante",IF(M85&gt;0,"Pendiente menor","Sin deuda")))</f>
        <v/>
      </c>
      <c r="O85" s="50">
        <f>IF(A85="","",SUMIFS(Stock_PDV!$H$2:$H$800,Stock_PDV!$A$2:$A$800,A85))</f>
        <v/>
      </c>
      <c r="P85" s="48">
        <f>IF(A85="","",IF(O85&lt;=Inicio!$B$16,"Crítico",IF(O85&lt;=Inicio!$B$17,"Observar","OK")))</f>
        <v/>
      </c>
      <c r="Q85" s="48">
        <f>IF(A85="","",IF(OR(H85="Atrasado",K85="Sin venta",N85="Pendiente relevante",P85="Crítico"),"Alta",IF(OR(K85="Venta baja",N85="Pendiente menor",P85="Observar"),"Media","Baja")))</f>
        <v/>
      </c>
      <c r="R85" s="48">
        <f>IF(A85="","",IF(Q85="Alta","Gestionar esta semana",IF(Q85="Media","Hacer seguimiento","Mantener")))</f>
        <v/>
      </c>
      <c r="S85" s="68">
        <f>IF(A85="","",IF(I85=0,"Sin venta",IF(I85&gt;=cfg_VentaAlta,"Alta",IF(I85&lt;cfg_VentaBaja,"Baja","Media"))))</f>
        <v/>
      </c>
    </row>
    <row r="86">
      <c r="A86" s="48">
        <f>IF(Clientes_PDV!A86="","",Clientes_PDV!A86)</f>
        <v/>
      </c>
      <c r="B86" s="48">
        <f>IF(A86="","",IFERROR(VLOOKUP(A86,Clientes_PDV!$A$2:$J$250,2,FALSE),""))</f>
        <v/>
      </c>
      <c r="C86" s="48">
        <f>IF(A86="","",IFERROR(VLOOKUP(A86,Clientes_PDV!$A$2:$J$250,3,FALSE),""))</f>
        <v/>
      </c>
      <c r="D86" s="48">
        <f>IF(A86="","",IFERROR(VLOOKUP(A86,Clientes_PDV!$A$2:$J$250,4,FALSE),""))</f>
        <v/>
      </c>
      <c r="E86" s="48">
        <f>IF(A86="","",IFERROR(VLOOKUP(A86,Clientes_PDV!$A$2:$J$250,7,FALSE),""))</f>
        <v/>
      </c>
      <c r="F86" s="49">
        <f>IF(A86="","",IFERROR(VLOOKUP(A86,Clientes_PDV!$A$2:$J$250,8,FALSE),""))</f>
        <v/>
      </c>
      <c r="G86" s="50">
        <f>IF(F86="","",TODAY()-F86)</f>
        <v/>
      </c>
      <c r="H86" s="48">
        <f>IF(A86="","",IF(F86="","Sin visita",IF(G86&lt;=IFERROR(VLOOKUP(E86,Inicio!$A$24:$B$26,2,FALSE),0),"Vigente","Atrasado")))</f>
        <v/>
      </c>
      <c r="I86" s="51">
        <f>IF(A86="","",SUMIFS(Ventas_SellIn!$L$2:$L$800,Ventas_SellIn!$D$2:$D$800,A86,Ventas_SellIn!$B$2:$B$800,"&gt;="&amp;TODAY()-Inicio!$B$14))</f>
        <v/>
      </c>
      <c r="J86" s="50">
        <f>IF(A86="","",SUMIFS(SellOut_Jumbo!$F$2:$F$800,SellOut_Jumbo!$C$2:$C$800,D86,SellOut_Jumbo!$A$2:$A$800,"&gt;="&amp;TODAY()-Inicio!$B$14))</f>
        <v/>
      </c>
      <c r="K86" s="48">
        <f>IF(A86="","",IF(I86=0,"Sin venta",IF(I86&lt;Inicio!$B$15,"Venta baja","Venta OK")))</f>
        <v/>
      </c>
      <c r="L86" s="50">
        <f>IF(A86="","",COUNTIFS(Ventas_SellIn!$D$2:$D$800,A86,Ventas_SellIn!$R$2:$R$800,"&gt;0"))</f>
        <v/>
      </c>
      <c r="M86" s="51">
        <f>IF(A86="","",SUMIFS(Ventas_SellIn!$R$2:$R$800,Ventas_SellIn!$D$2:$D$800,A86))</f>
        <v/>
      </c>
      <c r="N86" s="48">
        <f>IF(A86="","",IF(M86&gt;=Inicio!$B$18,"Pendiente relevante",IF(M86&gt;0,"Pendiente menor","Sin deuda")))</f>
        <v/>
      </c>
      <c r="O86" s="50">
        <f>IF(A86="","",SUMIFS(Stock_PDV!$H$2:$H$800,Stock_PDV!$A$2:$A$800,A86))</f>
        <v/>
      </c>
      <c r="P86" s="48">
        <f>IF(A86="","",IF(O86&lt;=Inicio!$B$16,"Crítico",IF(O86&lt;=Inicio!$B$17,"Observar","OK")))</f>
        <v/>
      </c>
      <c r="Q86" s="48">
        <f>IF(A86="","",IF(OR(H86="Atrasado",K86="Sin venta",N86="Pendiente relevante",P86="Crítico"),"Alta",IF(OR(K86="Venta baja",N86="Pendiente menor",P86="Observar"),"Media","Baja")))</f>
        <v/>
      </c>
      <c r="R86" s="48">
        <f>IF(A86="","",IF(Q86="Alta","Gestionar esta semana",IF(Q86="Media","Hacer seguimiento","Mantener")))</f>
        <v/>
      </c>
      <c r="S86" s="68">
        <f>IF(A86="","",IF(I86=0,"Sin venta",IF(I86&gt;=cfg_VentaAlta,"Alta",IF(I86&lt;cfg_VentaBaja,"Baja","Media"))))</f>
        <v/>
      </c>
    </row>
    <row r="87">
      <c r="A87" s="48">
        <f>IF(Clientes_PDV!A87="","",Clientes_PDV!A87)</f>
        <v/>
      </c>
      <c r="B87" s="48">
        <f>IF(A87="","",IFERROR(VLOOKUP(A87,Clientes_PDV!$A$2:$J$250,2,FALSE),""))</f>
        <v/>
      </c>
      <c r="C87" s="48">
        <f>IF(A87="","",IFERROR(VLOOKUP(A87,Clientes_PDV!$A$2:$J$250,3,FALSE),""))</f>
        <v/>
      </c>
      <c r="D87" s="48">
        <f>IF(A87="","",IFERROR(VLOOKUP(A87,Clientes_PDV!$A$2:$J$250,4,FALSE),""))</f>
        <v/>
      </c>
      <c r="E87" s="48">
        <f>IF(A87="","",IFERROR(VLOOKUP(A87,Clientes_PDV!$A$2:$J$250,7,FALSE),""))</f>
        <v/>
      </c>
      <c r="F87" s="49">
        <f>IF(A87="","",IFERROR(VLOOKUP(A87,Clientes_PDV!$A$2:$J$250,8,FALSE),""))</f>
        <v/>
      </c>
      <c r="G87" s="50">
        <f>IF(F87="","",TODAY()-F87)</f>
        <v/>
      </c>
      <c r="H87" s="48">
        <f>IF(A87="","",IF(F87="","Sin visita",IF(G87&lt;=IFERROR(VLOOKUP(E87,Inicio!$A$24:$B$26,2,FALSE),0),"Vigente","Atrasado")))</f>
        <v/>
      </c>
      <c r="I87" s="51">
        <f>IF(A87="","",SUMIFS(Ventas_SellIn!$L$2:$L$800,Ventas_SellIn!$D$2:$D$800,A87,Ventas_SellIn!$B$2:$B$800,"&gt;="&amp;TODAY()-Inicio!$B$14))</f>
        <v/>
      </c>
      <c r="J87" s="50">
        <f>IF(A87="","",SUMIFS(SellOut_Jumbo!$F$2:$F$800,SellOut_Jumbo!$C$2:$C$800,D87,SellOut_Jumbo!$A$2:$A$800,"&gt;="&amp;TODAY()-Inicio!$B$14))</f>
        <v/>
      </c>
      <c r="K87" s="48">
        <f>IF(A87="","",IF(I87=0,"Sin venta",IF(I87&lt;Inicio!$B$15,"Venta baja","Venta OK")))</f>
        <v/>
      </c>
      <c r="L87" s="50">
        <f>IF(A87="","",COUNTIFS(Ventas_SellIn!$D$2:$D$800,A87,Ventas_SellIn!$R$2:$R$800,"&gt;0"))</f>
        <v/>
      </c>
      <c r="M87" s="51">
        <f>IF(A87="","",SUMIFS(Ventas_SellIn!$R$2:$R$800,Ventas_SellIn!$D$2:$D$800,A87))</f>
        <v/>
      </c>
      <c r="N87" s="48">
        <f>IF(A87="","",IF(M87&gt;=Inicio!$B$18,"Pendiente relevante",IF(M87&gt;0,"Pendiente menor","Sin deuda")))</f>
        <v/>
      </c>
      <c r="O87" s="50">
        <f>IF(A87="","",SUMIFS(Stock_PDV!$H$2:$H$800,Stock_PDV!$A$2:$A$800,A87))</f>
        <v/>
      </c>
      <c r="P87" s="48">
        <f>IF(A87="","",IF(O87&lt;=Inicio!$B$16,"Crítico",IF(O87&lt;=Inicio!$B$17,"Observar","OK")))</f>
        <v/>
      </c>
      <c r="Q87" s="48">
        <f>IF(A87="","",IF(OR(H87="Atrasado",K87="Sin venta",N87="Pendiente relevante",P87="Crítico"),"Alta",IF(OR(K87="Venta baja",N87="Pendiente menor",P87="Observar"),"Media","Baja")))</f>
        <v/>
      </c>
      <c r="R87" s="48">
        <f>IF(A87="","",IF(Q87="Alta","Gestionar esta semana",IF(Q87="Media","Hacer seguimiento","Mantener")))</f>
        <v/>
      </c>
      <c r="S87" s="68">
        <f>IF(A87="","",IF(I87=0,"Sin venta",IF(I87&gt;=cfg_VentaAlta,"Alta",IF(I87&lt;cfg_VentaBaja,"Baja","Media"))))</f>
        <v/>
      </c>
    </row>
    <row r="88">
      <c r="A88" s="48">
        <f>IF(Clientes_PDV!A88="","",Clientes_PDV!A88)</f>
        <v/>
      </c>
      <c r="B88" s="48">
        <f>IF(A88="","",IFERROR(VLOOKUP(A88,Clientes_PDV!$A$2:$J$250,2,FALSE),""))</f>
        <v/>
      </c>
      <c r="C88" s="48">
        <f>IF(A88="","",IFERROR(VLOOKUP(A88,Clientes_PDV!$A$2:$J$250,3,FALSE),""))</f>
        <v/>
      </c>
      <c r="D88" s="48">
        <f>IF(A88="","",IFERROR(VLOOKUP(A88,Clientes_PDV!$A$2:$J$250,4,FALSE),""))</f>
        <v/>
      </c>
      <c r="E88" s="48">
        <f>IF(A88="","",IFERROR(VLOOKUP(A88,Clientes_PDV!$A$2:$J$250,7,FALSE),""))</f>
        <v/>
      </c>
      <c r="F88" s="49">
        <f>IF(A88="","",IFERROR(VLOOKUP(A88,Clientes_PDV!$A$2:$J$250,8,FALSE),""))</f>
        <v/>
      </c>
      <c r="G88" s="50">
        <f>IF(F88="","",TODAY()-F88)</f>
        <v/>
      </c>
      <c r="H88" s="48">
        <f>IF(A88="","",IF(F88="","Sin visita",IF(G88&lt;=IFERROR(VLOOKUP(E88,Inicio!$A$24:$B$26,2,FALSE),0),"Vigente","Atrasado")))</f>
        <v/>
      </c>
      <c r="I88" s="51">
        <f>IF(A88="","",SUMIFS(Ventas_SellIn!$L$2:$L$800,Ventas_SellIn!$D$2:$D$800,A88,Ventas_SellIn!$B$2:$B$800,"&gt;="&amp;TODAY()-Inicio!$B$14))</f>
        <v/>
      </c>
      <c r="J88" s="50">
        <f>IF(A88="","",SUMIFS(SellOut_Jumbo!$F$2:$F$800,SellOut_Jumbo!$C$2:$C$800,D88,SellOut_Jumbo!$A$2:$A$800,"&gt;="&amp;TODAY()-Inicio!$B$14))</f>
        <v/>
      </c>
      <c r="K88" s="48">
        <f>IF(A88="","",IF(I88=0,"Sin venta",IF(I88&lt;Inicio!$B$15,"Venta baja","Venta OK")))</f>
        <v/>
      </c>
      <c r="L88" s="50">
        <f>IF(A88="","",COUNTIFS(Ventas_SellIn!$D$2:$D$800,A88,Ventas_SellIn!$R$2:$R$800,"&gt;0"))</f>
        <v/>
      </c>
      <c r="M88" s="51">
        <f>IF(A88="","",SUMIFS(Ventas_SellIn!$R$2:$R$800,Ventas_SellIn!$D$2:$D$800,A88))</f>
        <v/>
      </c>
      <c r="N88" s="48">
        <f>IF(A88="","",IF(M88&gt;=Inicio!$B$18,"Pendiente relevante",IF(M88&gt;0,"Pendiente menor","Sin deuda")))</f>
        <v/>
      </c>
      <c r="O88" s="50">
        <f>IF(A88="","",SUMIFS(Stock_PDV!$H$2:$H$800,Stock_PDV!$A$2:$A$800,A88))</f>
        <v/>
      </c>
      <c r="P88" s="48">
        <f>IF(A88="","",IF(O88&lt;=Inicio!$B$16,"Crítico",IF(O88&lt;=Inicio!$B$17,"Observar","OK")))</f>
        <v/>
      </c>
      <c r="Q88" s="48">
        <f>IF(A88="","",IF(OR(H88="Atrasado",K88="Sin venta",N88="Pendiente relevante",P88="Crítico"),"Alta",IF(OR(K88="Venta baja",N88="Pendiente menor",P88="Observar"),"Media","Baja")))</f>
        <v/>
      </c>
      <c r="R88" s="48">
        <f>IF(A88="","",IF(Q88="Alta","Gestionar esta semana",IF(Q88="Media","Hacer seguimiento","Mantener")))</f>
        <v/>
      </c>
      <c r="S88" s="68">
        <f>IF(A88="","",IF(I88=0,"Sin venta",IF(I88&gt;=cfg_VentaAlta,"Alta",IF(I88&lt;cfg_VentaBaja,"Baja","Media"))))</f>
        <v/>
      </c>
    </row>
    <row r="89">
      <c r="A89" s="48">
        <f>IF(Clientes_PDV!A89="","",Clientes_PDV!A89)</f>
        <v/>
      </c>
      <c r="B89" s="48">
        <f>IF(A89="","",IFERROR(VLOOKUP(A89,Clientes_PDV!$A$2:$J$250,2,FALSE),""))</f>
        <v/>
      </c>
      <c r="C89" s="48">
        <f>IF(A89="","",IFERROR(VLOOKUP(A89,Clientes_PDV!$A$2:$J$250,3,FALSE),""))</f>
        <v/>
      </c>
      <c r="D89" s="48">
        <f>IF(A89="","",IFERROR(VLOOKUP(A89,Clientes_PDV!$A$2:$J$250,4,FALSE),""))</f>
        <v/>
      </c>
      <c r="E89" s="48">
        <f>IF(A89="","",IFERROR(VLOOKUP(A89,Clientes_PDV!$A$2:$J$250,7,FALSE),""))</f>
        <v/>
      </c>
      <c r="F89" s="49">
        <f>IF(A89="","",IFERROR(VLOOKUP(A89,Clientes_PDV!$A$2:$J$250,8,FALSE),""))</f>
        <v/>
      </c>
      <c r="G89" s="50">
        <f>IF(F89="","",TODAY()-F89)</f>
        <v/>
      </c>
      <c r="H89" s="48">
        <f>IF(A89="","",IF(F89="","Sin visita",IF(G89&lt;=IFERROR(VLOOKUP(E89,Inicio!$A$24:$B$26,2,FALSE),0),"Vigente","Atrasado")))</f>
        <v/>
      </c>
      <c r="I89" s="51">
        <f>IF(A89="","",SUMIFS(Ventas_SellIn!$L$2:$L$800,Ventas_SellIn!$D$2:$D$800,A89,Ventas_SellIn!$B$2:$B$800,"&gt;="&amp;TODAY()-Inicio!$B$14))</f>
        <v/>
      </c>
      <c r="J89" s="50">
        <f>IF(A89="","",SUMIFS(SellOut_Jumbo!$F$2:$F$800,SellOut_Jumbo!$C$2:$C$800,D89,SellOut_Jumbo!$A$2:$A$800,"&gt;="&amp;TODAY()-Inicio!$B$14))</f>
        <v/>
      </c>
      <c r="K89" s="48">
        <f>IF(A89="","",IF(I89=0,"Sin venta",IF(I89&lt;Inicio!$B$15,"Venta baja","Venta OK")))</f>
        <v/>
      </c>
      <c r="L89" s="50">
        <f>IF(A89="","",COUNTIFS(Ventas_SellIn!$D$2:$D$800,A89,Ventas_SellIn!$R$2:$R$800,"&gt;0"))</f>
        <v/>
      </c>
      <c r="M89" s="51">
        <f>IF(A89="","",SUMIFS(Ventas_SellIn!$R$2:$R$800,Ventas_SellIn!$D$2:$D$800,A89))</f>
        <v/>
      </c>
      <c r="N89" s="48">
        <f>IF(A89="","",IF(M89&gt;=Inicio!$B$18,"Pendiente relevante",IF(M89&gt;0,"Pendiente menor","Sin deuda")))</f>
        <v/>
      </c>
      <c r="O89" s="50">
        <f>IF(A89="","",SUMIFS(Stock_PDV!$H$2:$H$800,Stock_PDV!$A$2:$A$800,A89))</f>
        <v/>
      </c>
      <c r="P89" s="48">
        <f>IF(A89="","",IF(O89&lt;=Inicio!$B$16,"Crítico",IF(O89&lt;=Inicio!$B$17,"Observar","OK")))</f>
        <v/>
      </c>
      <c r="Q89" s="48">
        <f>IF(A89="","",IF(OR(H89="Atrasado",K89="Sin venta",N89="Pendiente relevante",P89="Crítico"),"Alta",IF(OR(K89="Venta baja",N89="Pendiente menor",P89="Observar"),"Media","Baja")))</f>
        <v/>
      </c>
      <c r="R89" s="48">
        <f>IF(A89="","",IF(Q89="Alta","Gestionar esta semana",IF(Q89="Media","Hacer seguimiento","Mantener")))</f>
        <v/>
      </c>
      <c r="S89" s="68">
        <f>IF(A89="","",IF(I89=0,"Sin venta",IF(I89&gt;=cfg_VentaAlta,"Alta",IF(I89&lt;cfg_VentaBaja,"Baja","Media"))))</f>
        <v/>
      </c>
    </row>
    <row r="90">
      <c r="A90" s="48">
        <f>IF(Clientes_PDV!A90="","",Clientes_PDV!A90)</f>
        <v/>
      </c>
      <c r="B90" s="48">
        <f>IF(A90="","",IFERROR(VLOOKUP(A90,Clientes_PDV!$A$2:$J$250,2,FALSE),""))</f>
        <v/>
      </c>
      <c r="C90" s="48">
        <f>IF(A90="","",IFERROR(VLOOKUP(A90,Clientes_PDV!$A$2:$J$250,3,FALSE),""))</f>
        <v/>
      </c>
      <c r="D90" s="48">
        <f>IF(A90="","",IFERROR(VLOOKUP(A90,Clientes_PDV!$A$2:$J$250,4,FALSE),""))</f>
        <v/>
      </c>
      <c r="E90" s="48">
        <f>IF(A90="","",IFERROR(VLOOKUP(A90,Clientes_PDV!$A$2:$J$250,7,FALSE),""))</f>
        <v/>
      </c>
      <c r="F90" s="49">
        <f>IF(A90="","",IFERROR(VLOOKUP(A90,Clientes_PDV!$A$2:$J$250,8,FALSE),""))</f>
        <v/>
      </c>
      <c r="G90" s="50">
        <f>IF(F90="","",TODAY()-F90)</f>
        <v/>
      </c>
      <c r="H90" s="48">
        <f>IF(A90="","",IF(F90="","Sin visita",IF(G90&lt;=IFERROR(VLOOKUP(E90,Inicio!$A$24:$B$26,2,FALSE),0),"Vigente","Atrasado")))</f>
        <v/>
      </c>
      <c r="I90" s="51">
        <f>IF(A90="","",SUMIFS(Ventas_SellIn!$L$2:$L$800,Ventas_SellIn!$D$2:$D$800,A90,Ventas_SellIn!$B$2:$B$800,"&gt;="&amp;TODAY()-Inicio!$B$14))</f>
        <v/>
      </c>
      <c r="J90" s="50">
        <f>IF(A90="","",SUMIFS(SellOut_Jumbo!$F$2:$F$800,SellOut_Jumbo!$C$2:$C$800,D90,SellOut_Jumbo!$A$2:$A$800,"&gt;="&amp;TODAY()-Inicio!$B$14))</f>
        <v/>
      </c>
      <c r="K90" s="48">
        <f>IF(A90="","",IF(I90=0,"Sin venta",IF(I90&lt;Inicio!$B$15,"Venta baja","Venta OK")))</f>
        <v/>
      </c>
      <c r="L90" s="50">
        <f>IF(A90="","",COUNTIFS(Ventas_SellIn!$D$2:$D$800,A90,Ventas_SellIn!$R$2:$R$800,"&gt;0"))</f>
        <v/>
      </c>
      <c r="M90" s="51">
        <f>IF(A90="","",SUMIFS(Ventas_SellIn!$R$2:$R$800,Ventas_SellIn!$D$2:$D$800,A90))</f>
        <v/>
      </c>
      <c r="N90" s="48">
        <f>IF(A90="","",IF(M90&gt;=Inicio!$B$18,"Pendiente relevante",IF(M90&gt;0,"Pendiente menor","Sin deuda")))</f>
        <v/>
      </c>
      <c r="O90" s="50">
        <f>IF(A90="","",SUMIFS(Stock_PDV!$H$2:$H$800,Stock_PDV!$A$2:$A$800,A90))</f>
        <v/>
      </c>
      <c r="P90" s="48">
        <f>IF(A90="","",IF(O90&lt;=Inicio!$B$16,"Crítico",IF(O90&lt;=Inicio!$B$17,"Observar","OK")))</f>
        <v/>
      </c>
      <c r="Q90" s="48">
        <f>IF(A90="","",IF(OR(H90="Atrasado",K90="Sin venta",N90="Pendiente relevante",P90="Crítico"),"Alta",IF(OR(K90="Venta baja",N90="Pendiente menor",P90="Observar"),"Media","Baja")))</f>
        <v/>
      </c>
      <c r="R90" s="48">
        <f>IF(A90="","",IF(Q90="Alta","Gestionar esta semana",IF(Q90="Media","Hacer seguimiento","Mantener")))</f>
        <v/>
      </c>
      <c r="S90" s="68">
        <f>IF(A90="","",IF(I90=0,"Sin venta",IF(I90&gt;=cfg_VentaAlta,"Alta",IF(I90&lt;cfg_VentaBaja,"Baja","Media"))))</f>
        <v/>
      </c>
    </row>
    <row r="91">
      <c r="A91" s="48">
        <f>IF(Clientes_PDV!A91="","",Clientes_PDV!A91)</f>
        <v/>
      </c>
      <c r="B91" s="48">
        <f>IF(A91="","",IFERROR(VLOOKUP(A91,Clientes_PDV!$A$2:$J$250,2,FALSE),""))</f>
        <v/>
      </c>
      <c r="C91" s="48">
        <f>IF(A91="","",IFERROR(VLOOKUP(A91,Clientes_PDV!$A$2:$J$250,3,FALSE),""))</f>
        <v/>
      </c>
      <c r="D91" s="48">
        <f>IF(A91="","",IFERROR(VLOOKUP(A91,Clientes_PDV!$A$2:$J$250,4,FALSE),""))</f>
        <v/>
      </c>
      <c r="E91" s="48">
        <f>IF(A91="","",IFERROR(VLOOKUP(A91,Clientes_PDV!$A$2:$J$250,7,FALSE),""))</f>
        <v/>
      </c>
      <c r="F91" s="49">
        <f>IF(A91="","",IFERROR(VLOOKUP(A91,Clientes_PDV!$A$2:$J$250,8,FALSE),""))</f>
        <v/>
      </c>
      <c r="G91" s="50">
        <f>IF(F91="","",TODAY()-F91)</f>
        <v/>
      </c>
      <c r="H91" s="48">
        <f>IF(A91="","",IF(F91="","Sin visita",IF(G91&lt;=IFERROR(VLOOKUP(E91,Inicio!$A$24:$B$26,2,FALSE),0),"Vigente","Atrasado")))</f>
        <v/>
      </c>
      <c r="I91" s="51">
        <f>IF(A91="","",SUMIFS(Ventas_SellIn!$L$2:$L$800,Ventas_SellIn!$D$2:$D$800,A91,Ventas_SellIn!$B$2:$B$800,"&gt;="&amp;TODAY()-Inicio!$B$14))</f>
        <v/>
      </c>
      <c r="J91" s="50">
        <f>IF(A91="","",SUMIFS(SellOut_Jumbo!$F$2:$F$800,SellOut_Jumbo!$C$2:$C$800,D91,SellOut_Jumbo!$A$2:$A$800,"&gt;="&amp;TODAY()-Inicio!$B$14))</f>
        <v/>
      </c>
      <c r="K91" s="48">
        <f>IF(A91="","",IF(I91=0,"Sin venta",IF(I91&lt;Inicio!$B$15,"Venta baja","Venta OK")))</f>
        <v/>
      </c>
      <c r="L91" s="50">
        <f>IF(A91="","",COUNTIFS(Ventas_SellIn!$D$2:$D$800,A91,Ventas_SellIn!$R$2:$R$800,"&gt;0"))</f>
        <v/>
      </c>
      <c r="M91" s="51">
        <f>IF(A91="","",SUMIFS(Ventas_SellIn!$R$2:$R$800,Ventas_SellIn!$D$2:$D$800,A91))</f>
        <v/>
      </c>
      <c r="N91" s="48">
        <f>IF(A91="","",IF(M91&gt;=Inicio!$B$18,"Pendiente relevante",IF(M91&gt;0,"Pendiente menor","Sin deuda")))</f>
        <v/>
      </c>
      <c r="O91" s="50">
        <f>IF(A91="","",SUMIFS(Stock_PDV!$H$2:$H$800,Stock_PDV!$A$2:$A$800,A91))</f>
        <v/>
      </c>
      <c r="P91" s="48">
        <f>IF(A91="","",IF(O91&lt;=Inicio!$B$16,"Crítico",IF(O91&lt;=Inicio!$B$17,"Observar","OK")))</f>
        <v/>
      </c>
      <c r="Q91" s="48">
        <f>IF(A91="","",IF(OR(H91="Atrasado",K91="Sin venta",N91="Pendiente relevante",P91="Crítico"),"Alta",IF(OR(K91="Venta baja",N91="Pendiente menor",P91="Observar"),"Media","Baja")))</f>
        <v/>
      </c>
      <c r="R91" s="48">
        <f>IF(A91="","",IF(Q91="Alta","Gestionar esta semana",IF(Q91="Media","Hacer seguimiento","Mantener")))</f>
        <v/>
      </c>
      <c r="S91" s="68">
        <f>IF(A91="","",IF(I91=0,"Sin venta",IF(I91&gt;=cfg_VentaAlta,"Alta",IF(I91&lt;cfg_VentaBaja,"Baja","Media"))))</f>
        <v/>
      </c>
    </row>
    <row r="92">
      <c r="A92" s="48">
        <f>IF(Clientes_PDV!A92="","",Clientes_PDV!A92)</f>
        <v/>
      </c>
      <c r="B92" s="48">
        <f>IF(A92="","",IFERROR(VLOOKUP(A92,Clientes_PDV!$A$2:$J$250,2,FALSE),""))</f>
        <v/>
      </c>
      <c r="C92" s="48">
        <f>IF(A92="","",IFERROR(VLOOKUP(A92,Clientes_PDV!$A$2:$J$250,3,FALSE),""))</f>
        <v/>
      </c>
      <c r="D92" s="48">
        <f>IF(A92="","",IFERROR(VLOOKUP(A92,Clientes_PDV!$A$2:$J$250,4,FALSE),""))</f>
        <v/>
      </c>
      <c r="E92" s="48">
        <f>IF(A92="","",IFERROR(VLOOKUP(A92,Clientes_PDV!$A$2:$J$250,7,FALSE),""))</f>
        <v/>
      </c>
      <c r="F92" s="49">
        <f>IF(A92="","",IFERROR(VLOOKUP(A92,Clientes_PDV!$A$2:$J$250,8,FALSE),""))</f>
        <v/>
      </c>
      <c r="G92" s="50">
        <f>IF(F92="","",TODAY()-F92)</f>
        <v/>
      </c>
      <c r="H92" s="48">
        <f>IF(A92="","",IF(F92="","Sin visita",IF(G92&lt;=IFERROR(VLOOKUP(E92,Inicio!$A$24:$B$26,2,FALSE),0),"Vigente","Atrasado")))</f>
        <v/>
      </c>
      <c r="I92" s="51">
        <f>IF(A92="","",SUMIFS(Ventas_SellIn!$L$2:$L$800,Ventas_SellIn!$D$2:$D$800,A92,Ventas_SellIn!$B$2:$B$800,"&gt;="&amp;TODAY()-Inicio!$B$14))</f>
        <v/>
      </c>
      <c r="J92" s="50">
        <f>IF(A92="","",SUMIFS(SellOut_Jumbo!$F$2:$F$800,SellOut_Jumbo!$C$2:$C$800,D92,SellOut_Jumbo!$A$2:$A$800,"&gt;="&amp;TODAY()-Inicio!$B$14))</f>
        <v/>
      </c>
      <c r="K92" s="48">
        <f>IF(A92="","",IF(I92=0,"Sin venta",IF(I92&lt;Inicio!$B$15,"Venta baja","Venta OK")))</f>
        <v/>
      </c>
      <c r="L92" s="50">
        <f>IF(A92="","",COUNTIFS(Ventas_SellIn!$D$2:$D$800,A92,Ventas_SellIn!$R$2:$R$800,"&gt;0"))</f>
        <v/>
      </c>
      <c r="M92" s="51">
        <f>IF(A92="","",SUMIFS(Ventas_SellIn!$R$2:$R$800,Ventas_SellIn!$D$2:$D$800,A92))</f>
        <v/>
      </c>
      <c r="N92" s="48">
        <f>IF(A92="","",IF(M92&gt;=Inicio!$B$18,"Pendiente relevante",IF(M92&gt;0,"Pendiente menor","Sin deuda")))</f>
        <v/>
      </c>
      <c r="O92" s="50">
        <f>IF(A92="","",SUMIFS(Stock_PDV!$H$2:$H$800,Stock_PDV!$A$2:$A$800,A92))</f>
        <v/>
      </c>
      <c r="P92" s="48">
        <f>IF(A92="","",IF(O92&lt;=Inicio!$B$16,"Crítico",IF(O92&lt;=Inicio!$B$17,"Observar","OK")))</f>
        <v/>
      </c>
      <c r="Q92" s="48">
        <f>IF(A92="","",IF(OR(H92="Atrasado",K92="Sin venta",N92="Pendiente relevante",P92="Crítico"),"Alta",IF(OR(K92="Venta baja",N92="Pendiente menor",P92="Observar"),"Media","Baja")))</f>
        <v/>
      </c>
      <c r="R92" s="48">
        <f>IF(A92="","",IF(Q92="Alta","Gestionar esta semana",IF(Q92="Media","Hacer seguimiento","Mantener")))</f>
        <v/>
      </c>
      <c r="S92" s="68">
        <f>IF(A92="","",IF(I92=0,"Sin venta",IF(I92&gt;=cfg_VentaAlta,"Alta",IF(I92&lt;cfg_VentaBaja,"Baja","Media"))))</f>
        <v/>
      </c>
    </row>
    <row r="93">
      <c r="A93" s="48">
        <f>IF(Clientes_PDV!A93="","",Clientes_PDV!A93)</f>
        <v/>
      </c>
      <c r="B93" s="48">
        <f>IF(A93="","",IFERROR(VLOOKUP(A93,Clientes_PDV!$A$2:$J$250,2,FALSE),""))</f>
        <v/>
      </c>
      <c r="C93" s="48">
        <f>IF(A93="","",IFERROR(VLOOKUP(A93,Clientes_PDV!$A$2:$J$250,3,FALSE),""))</f>
        <v/>
      </c>
      <c r="D93" s="48">
        <f>IF(A93="","",IFERROR(VLOOKUP(A93,Clientes_PDV!$A$2:$J$250,4,FALSE),""))</f>
        <v/>
      </c>
      <c r="E93" s="48">
        <f>IF(A93="","",IFERROR(VLOOKUP(A93,Clientes_PDV!$A$2:$J$250,7,FALSE),""))</f>
        <v/>
      </c>
      <c r="F93" s="49">
        <f>IF(A93="","",IFERROR(VLOOKUP(A93,Clientes_PDV!$A$2:$J$250,8,FALSE),""))</f>
        <v/>
      </c>
      <c r="G93" s="50">
        <f>IF(F93="","",TODAY()-F93)</f>
        <v/>
      </c>
      <c r="H93" s="48">
        <f>IF(A93="","",IF(F93="","Sin visita",IF(G93&lt;=IFERROR(VLOOKUP(E93,Inicio!$A$24:$B$26,2,FALSE),0),"Vigente","Atrasado")))</f>
        <v/>
      </c>
      <c r="I93" s="51">
        <f>IF(A93="","",SUMIFS(Ventas_SellIn!$L$2:$L$800,Ventas_SellIn!$D$2:$D$800,A93,Ventas_SellIn!$B$2:$B$800,"&gt;="&amp;TODAY()-Inicio!$B$14))</f>
        <v/>
      </c>
      <c r="J93" s="50">
        <f>IF(A93="","",SUMIFS(SellOut_Jumbo!$F$2:$F$800,SellOut_Jumbo!$C$2:$C$800,D93,SellOut_Jumbo!$A$2:$A$800,"&gt;="&amp;TODAY()-Inicio!$B$14))</f>
        <v/>
      </c>
      <c r="K93" s="48">
        <f>IF(A93="","",IF(I93=0,"Sin venta",IF(I93&lt;Inicio!$B$15,"Venta baja","Venta OK")))</f>
        <v/>
      </c>
      <c r="L93" s="50">
        <f>IF(A93="","",COUNTIFS(Ventas_SellIn!$D$2:$D$800,A93,Ventas_SellIn!$R$2:$R$800,"&gt;0"))</f>
        <v/>
      </c>
      <c r="M93" s="51">
        <f>IF(A93="","",SUMIFS(Ventas_SellIn!$R$2:$R$800,Ventas_SellIn!$D$2:$D$800,A93))</f>
        <v/>
      </c>
      <c r="N93" s="48">
        <f>IF(A93="","",IF(M93&gt;=Inicio!$B$18,"Pendiente relevante",IF(M93&gt;0,"Pendiente menor","Sin deuda")))</f>
        <v/>
      </c>
      <c r="O93" s="50">
        <f>IF(A93="","",SUMIFS(Stock_PDV!$H$2:$H$800,Stock_PDV!$A$2:$A$800,A93))</f>
        <v/>
      </c>
      <c r="P93" s="48">
        <f>IF(A93="","",IF(O93&lt;=Inicio!$B$16,"Crítico",IF(O93&lt;=Inicio!$B$17,"Observar","OK")))</f>
        <v/>
      </c>
      <c r="Q93" s="48">
        <f>IF(A93="","",IF(OR(H93="Atrasado",K93="Sin venta",N93="Pendiente relevante",P93="Crítico"),"Alta",IF(OR(K93="Venta baja",N93="Pendiente menor",P93="Observar"),"Media","Baja")))</f>
        <v/>
      </c>
      <c r="R93" s="48">
        <f>IF(A93="","",IF(Q93="Alta","Gestionar esta semana",IF(Q93="Media","Hacer seguimiento","Mantener")))</f>
        <v/>
      </c>
      <c r="S93" s="68">
        <f>IF(A93="","",IF(I93=0,"Sin venta",IF(I93&gt;=cfg_VentaAlta,"Alta",IF(I93&lt;cfg_VentaBaja,"Baja","Media"))))</f>
        <v/>
      </c>
    </row>
    <row r="94">
      <c r="A94" s="48">
        <f>IF(Clientes_PDV!A94="","",Clientes_PDV!A94)</f>
        <v/>
      </c>
      <c r="B94" s="48">
        <f>IF(A94="","",IFERROR(VLOOKUP(A94,Clientes_PDV!$A$2:$J$250,2,FALSE),""))</f>
        <v/>
      </c>
      <c r="C94" s="48">
        <f>IF(A94="","",IFERROR(VLOOKUP(A94,Clientes_PDV!$A$2:$J$250,3,FALSE),""))</f>
        <v/>
      </c>
      <c r="D94" s="48">
        <f>IF(A94="","",IFERROR(VLOOKUP(A94,Clientes_PDV!$A$2:$J$250,4,FALSE),""))</f>
        <v/>
      </c>
      <c r="E94" s="48">
        <f>IF(A94="","",IFERROR(VLOOKUP(A94,Clientes_PDV!$A$2:$J$250,7,FALSE),""))</f>
        <v/>
      </c>
      <c r="F94" s="49">
        <f>IF(A94="","",IFERROR(VLOOKUP(A94,Clientes_PDV!$A$2:$J$250,8,FALSE),""))</f>
        <v/>
      </c>
      <c r="G94" s="50">
        <f>IF(F94="","",TODAY()-F94)</f>
        <v/>
      </c>
      <c r="H94" s="48">
        <f>IF(A94="","",IF(F94="","Sin visita",IF(G94&lt;=IFERROR(VLOOKUP(E94,Inicio!$A$24:$B$26,2,FALSE),0),"Vigente","Atrasado")))</f>
        <v/>
      </c>
      <c r="I94" s="51">
        <f>IF(A94="","",SUMIFS(Ventas_SellIn!$L$2:$L$800,Ventas_SellIn!$D$2:$D$800,A94,Ventas_SellIn!$B$2:$B$800,"&gt;="&amp;TODAY()-Inicio!$B$14))</f>
        <v/>
      </c>
      <c r="J94" s="50">
        <f>IF(A94="","",SUMIFS(SellOut_Jumbo!$F$2:$F$800,SellOut_Jumbo!$C$2:$C$800,D94,SellOut_Jumbo!$A$2:$A$800,"&gt;="&amp;TODAY()-Inicio!$B$14))</f>
        <v/>
      </c>
      <c r="K94" s="48">
        <f>IF(A94="","",IF(I94=0,"Sin venta",IF(I94&lt;Inicio!$B$15,"Venta baja","Venta OK")))</f>
        <v/>
      </c>
      <c r="L94" s="50">
        <f>IF(A94="","",COUNTIFS(Ventas_SellIn!$D$2:$D$800,A94,Ventas_SellIn!$R$2:$R$800,"&gt;0"))</f>
        <v/>
      </c>
      <c r="M94" s="51">
        <f>IF(A94="","",SUMIFS(Ventas_SellIn!$R$2:$R$800,Ventas_SellIn!$D$2:$D$800,A94))</f>
        <v/>
      </c>
      <c r="N94" s="48">
        <f>IF(A94="","",IF(M94&gt;=Inicio!$B$18,"Pendiente relevante",IF(M94&gt;0,"Pendiente menor","Sin deuda")))</f>
        <v/>
      </c>
      <c r="O94" s="50">
        <f>IF(A94="","",SUMIFS(Stock_PDV!$H$2:$H$800,Stock_PDV!$A$2:$A$800,A94))</f>
        <v/>
      </c>
      <c r="P94" s="48">
        <f>IF(A94="","",IF(O94&lt;=Inicio!$B$16,"Crítico",IF(O94&lt;=Inicio!$B$17,"Observar","OK")))</f>
        <v/>
      </c>
      <c r="Q94" s="48">
        <f>IF(A94="","",IF(OR(H94="Atrasado",K94="Sin venta",N94="Pendiente relevante",P94="Crítico"),"Alta",IF(OR(K94="Venta baja",N94="Pendiente menor",P94="Observar"),"Media","Baja")))</f>
        <v/>
      </c>
      <c r="R94" s="48">
        <f>IF(A94="","",IF(Q94="Alta","Gestionar esta semana",IF(Q94="Media","Hacer seguimiento","Mantener")))</f>
        <v/>
      </c>
      <c r="S94" s="68">
        <f>IF(A94="","",IF(I94=0,"Sin venta",IF(I94&gt;=cfg_VentaAlta,"Alta",IF(I94&lt;cfg_VentaBaja,"Baja","Media"))))</f>
        <v/>
      </c>
    </row>
    <row r="95">
      <c r="A95" s="48">
        <f>IF(Clientes_PDV!A95="","",Clientes_PDV!A95)</f>
        <v/>
      </c>
      <c r="B95" s="48">
        <f>IF(A95="","",IFERROR(VLOOKUP(A95,Clientes_PDV!$A$2:$J$250,2,FALSE),""))</f>
        <v/>
      </c>
      <c r="C95" s="48">
        <f>IF(A95="","",IFERROR(VLOOKUP(A95,Clientes_PDV!$A$2:$J$250,3,FALSE),""))</f>
        <v/>
      </c>
      <c r="D95" s="48">
        <f>IF(A95="","",IFERROR(VLOOKUP(A95,Clientes_PDV!$A$2:$J$250,4,FALSE),""))</f>
        <v/>
      </c>
      <c r="E95" s="48">
        <f>IF(A95="","",IFERROR(VLOOKUP(A95,Clientes_PDV!$A$2:$J$250,7,FALSE),""))</f>
        <v/>
      </c>
      <c r="F95" s="49">
        <f>IF(A95="","",IFERROR(VLOOKUP(A95,Clientes_PDV!$A$2:$J$250,8,FALSE),""))</f>
        <v/>
      </c>
      <c r="G95" s="50">
        <f>IF(F95="","",TODAY()-F95)</f>
        <v/>
      </c>
      <c r="H95" s="48">
        <f>IF(A95="","",IF(F95="","Sin visita",IF(G95&lt;=IFERROR(VLOOKUP(E95,Inicio!$A$24:$B$26,2,FALSE),0),"Vigente","Atrasado")))</f>
        <v/>
      </c>
      <c r="I95" s="51">
        <f>IF(A95="","",SUMIFS(Ventas_SellIn!$L$2:$L$800,Ventas_SellIn!$D$2:$D$800,A95,Ventas_SellIn!$B$2:$B$800,"&gt;="&amp;TODAY()-Inicio!$B$14))</f>
        <v/>
      </c>
      <c r="J95" s="50">
        <f>IF(A95="","",SUMIFS(SellOut_Jumbo!$F$2:$F$800,SellOut_Jumbo!$C$2:$C$800,D95,SellOut_Jumbo!$A$2:$A$800,"&gt;="&amp;TODAY()-Inicio!$B$14))</f>
        <v/>
      </c>
      <c r="K95" s="48">
        <f>IF(A95="","",IF(I95=0,"Sin venta",IF(I95&lt;Inicio!$B$15,"Venta baja","Venta OK")))</f>
        <v/>
      </c>
      <c r="L95" s="50">
        <f>IF(A95="","",COUNTIFS(Ventas_SellIn!$D$2:$D$800,A95,Ventas_SellIn!$R$2:$R$800,"&gt;0"))</f>
        <v/>
      </c>
      <c r="M95" s="51">
        <f>IF(A95="","",SUMIFS(Ventas_SellIn!$R$2:$R$800,Ventas_SellIn!$D$2:$D$800,A95))</f>
        <v/>
      </c>
      <c r="N95" s="48">
        <f>IF(A95="","",IF(M95&gt;=Inicio!$B$18,"Pendiente relevante",IF(M95&gt;0,"Pendiente menor","Sin deuda")))</f>
        <v/>
      </c>
      <c r="O95" s="50">
        <f>IF(A95="","",SUMIFS(Stock_PDV!$H$2:$H$800,Stock_PDV!$A$2:$A$800,A95))</f>
        <v/>
      </c>
      <c r="P95" s="48">
        <f>IF(A95="","",IF(O95&lt;=Inicio!$B$16,"Crítico",IF(O95&lt;=Inicio!$B$17,"Observar","OK")))</f>
        <v/>
      </c>
      <c r="Q95" s="48">
        <f>IF(A95="","",IF(OR(H95="Atrasado",K95="Sin venta",N95="Pendiente relevante",P95="Crítico"),"Alta",IF(OR(K95="Venta baja",N95="Pendiente menor",P95="Observar"),"Media","Baja")))</f>
        <v/>
      </c>
      <c r="R95" s="48">
        <f>IF(A95="","",IF(Q95="Alta","Gestionar esta semana",IF(Q95="Media","Hacer seguimiento","Mantener")))</f>
        <v/>
      </c>
      <c r="S95" s="68">
        <f>IF(A95="","",IF(I95=0,"Sin venta",IF(I95&gt;=cfg_VentaAlta,"Alta",IF(I95&lt;cfg_VentaBaja,"Baja","Media"))))</f>
        <v/>
      </c>
    </row>
    <row r="96">
      <c r="A96" s="48">
        <f>IF(Clientes_PDV!A96="","",Clientes_PDV!A96)</f>
        <v/>
      </c>
      <c r="B96" s="48">
        <f>IF(A96="","",IFERROR(VLOOKUP(A96,Clientes_PDV!$A$2:$J$250,2,FALSE),""))</f>
        <v/>
      </c>
      <c r="C96" s="48">
        <f>IF(A96="","",IFERROR(VLOOKUP(A96,Clientes_PDV!$A$2:$J$250,3,FALSE),""))</f>
        <v/>
      </c>
      <c r="D96" s="48">
        <f>IF(A96="","",IFERROR(VLOOKUP(A96,Clientes_PDV!$A$2:$J$250,4,FALSE),""))</f>
        <v/>
      </c>
      <c r="E96" s="48">
        <f>IF(A96="","",IFERROR(VLOOKUP(A96,Clientes_PDV!$A$2:$J$250,7,FALSE),""))</f>
        <v/>
      </c>
      <c r="F96" s="49">
        <f>IF(A96="","",IFERROR(VLOOKUP(A96,Clientes_PDV!$A$2:$J$250,8,FALSE),""))</f>
        <v/>
      </c>
      <c r="G96" s="50">
        <f>IF(F96="","",TODAY()-F96)</f>
        <v/>
      </c>
      <c r="H96" s="48">
        <f>IF(A96="","",IF(F96="","Sin visita",IF(G96&lt;=IFERROR(VLOOKUP(E96,Inicio!$A$24:$B$26,2,FALSE),0),"Vigente","Atrasado")))</f>
        <v/>
      </c>
      <c r="I96" s="51">
        <f>IF(A96="","",SUMIFS(Ventas_SellIn!$L$2:$L$800,Ventas_SellIn!$D$2:$D$800,A96,Ventas_SellIn!$B$2:$B$800,"&gt;="&amp;TODAY()-Inicio!$B$14))</f>
        <v/>
      </c>
      <c r="J96" s="50">
        <f>IF(A96="","",SUMIFS(SellOut_Jumbo!$F$2:$F$800,SellOut_Jumbo!$C$2:$C$800,D96,SellOut_Jumbo!$A$2:$A$800,"&gt;="&amp;TODAY()-Inicio!$B$14))</f>
        <v/>
      </c>
      <c r="K96" s="48">
        <f>IF(A96="","",IF(I96=0,"Sin venta",IF(I96&lt;Inicio!$B$15,"Venta baja","Venta OK")))</f>
        <v/>
      </c>
      <c r="L96" s="50">
        <f>IF(A96="","",COUNTIFS(Ventas_SellIn!$D$2:$D$800,A96,Ventas_SellIn!$R$2:$R$800,"&gt;0"))</f>
        <v/>
      </c>
      <c r="M96" s="51">
        <f>IF(A96="","",SUMIFS(Ventas_SellIn!$R$2:$R$800,Ventas_SellIn!$D$2:$D$800,A96))</f>
        <v/>
      </c>
      <c r="N96" s="48">
        <f>IF(A96="","",IF(M96&gt;=Inicio!$B$18,"Pendiente relevante",IF(M96&gt;0,"Pendiente menor","Sin deuda")))</f>
        <v/>
      </c>
      <c r="O96" s="50">
        <f>IF(A96="","",SUMIFS(Stock_PDV!$H$2:$H$800,Stock_PDV!$A$2:$A$800,A96))</f>
        <v/>
      </c>
      <c r="P96" s="48">
        <f>IF(A96="","",IF(O96&lt;=Inicio!$B$16,"Crítico",IF(O96&lt;=Inicio!$B$17,"Observar","OK")))</f>
        <v/>
      </c>
      <c r="Q96" s="48">
        <f>IF(A96="","",IF(OR(H96="Atrasado",K96="Sin venta",N96="Pendiente relevante",P96="Crítico"),"Alta",IF(OR(K96="Venta baja",N96="Pendiente menor",P96="Observar"),"Media","Baja")))</f>
        <v/>
      </c>
      <c r="R96" s="48">
        <f>IF(A96="","",IF(Q96="Alta","Gestionar esta semana",IF(Q96="Media","Hacer seguimiento","Mantener")))</f>
        <v/>
      </c>
      <c r="S96" s="68">
        <f>IF(A96="","",IF(I96=0,"Sin venta",IF(I96&gt;=cfg_VentaAlta,"Alta",IF(I96&lt;cfg_VentaBaja,"Baja","Media"))))</f>
        <v/>
      </c>
    </row>
    <row r="97">
      <c r="A97" s="48">
        <f>IF(Clientes_PDV!A97="","",Clientes_PDV!A97)</f>
        <v/>
      </c>
      <c r="B97" s="48">
        <f>IF(A97="","",IFERROR(VLOOKUP(A97,Clientes_PDV!$A$2:$J$250,2,FALSE),""))</f>
        <v/>
      </c>
      <c r="C97" s="48">
        <f>IF(A97="","",IFERROR(VLOOKUP(A97,Clientes_PDV!$A$2:$J$250,3,FALSE),""))</f>
        <v/>
      </c>
      <c r="D97" s="48">
        <f>IF(A97="","",IFERROR(VLOOKUP(A97,Clientes_PDV!$A$2:$J$250,4,FALSE),""))</f>
        <v/>
      </c>
      <c r="E97" s="48">
        <f>IF(A97="","",IFERROR(VLOOKUP(A97,Clientes_PDV!$A$2:$J$250,7,FALSE),""))</f>
        <v/>
      </c>
      <c r="F97" s="49">
        <f>IF(A97="","",IFERROR(VLOOKUP(A97,Clientes_PDV!$A$2:$J$250,8,FALSE),""))</f>
        <v/>
      </c>
      <c r="G97" s="50">
        <f>IF(F97="","",TODAY()-F97)</f>
        <v/>
      </c>
      <c r="H97" s="48">
        <f>IF(A97="","",IF(F97="","Sin visita",IF(G97&lt;=IFERROR(VLOOKUP(E97,Inicio!$A$24:$B$26,2,FALSE),0),"Vigente","Atrasado")))</f>
        <v/>
      </c>
      <c r="I97" s="51">
        <f>IF(A97="","",SUMIFS(Ventas_SellIn!$L$2:$L$800,Ventas_SellIn!$D$2:$D$800,A97,Ventas_SellIn!$B$2:$B$800,"&gt;="&amp;TODAY()-Inicio!$B$14))</f>
        <v/>
      </c>
      <c r="J97" s="50">
        <f>IF(A97="","",SUMIFS(SellOut_Jumbo!$F$2:$F$800,SellOut_Jumbo!$C$2:$C$800,D97,SellOut_Jumbo!$A$2:$A$800,"&gt;="&amp;TODAY()-Inicio!$B$14))</f>
        <v/>
      </c>
      <c r="K97" s="48">
        <f>IF(A97="","",IF(I97=0,"Sin venta",IF(I97&lt;Inicio!$B$15,"Venta baja","Venta OK")))</f>
        <v/>
      </c>
      <c r="L97" s="50">
        <f>IF(A97="","",COUNTIFS(Ventas_SellIn!$D$2:$D$800,A97,Ventas_SellIn!$R$2:$R$800,"&gt;0"))</f>
        <v/>
      </c>
      <c r="M97" s="51">
        <f>IF(A97="","",SUMIFS(Ventas_SellIn!$R$2:$R$800,Ventas_SellIn!$D$2:$D$800,A97))</f>
        <v/>
      </c>
      <c r="N97" s="48">
        <f>IF(A97="","",IF(M97&gt;=Inicio!$B$18,"Pendiente relevante",IF(M97&gt;0,"Pendiente menor","Sin deuda")))</f>
        <v/>
      </c>
      <c r="O97" s="50">
        <f>IF(A97="","",SUMIFS(Stock_PDV!$H$2:$H$800,Stock_PDV!$A$2:$A$800,A97))</f>
        <v/>
      </c>
      <c r="P97" s="48">
        <f>IF(A97="","",IF(O97&lt;=Inicio!$B$16,"Crítico",IF(O97&lt;=Inicio!$B$17,"Observar","OK")))</f>
        <v/>
      </c>
      <c r="Q97" s="48">
        <f>IF(A97="","",IF(OR(H97="Atrasado",K97="Sin venta",N97="Pendiente relevante",P97="Crítico"),"Alta",IF(OR(K97="Venta baja",N97="Pendiente menor",P97="Observar"),"Media","Baja")))</f>
        <v/>
      </c>
      <c r="R97" s="48">
        <f>IF(A97="","",IF(Q97="Alta","Gestionar esta semana",IF(Q97="Media","Hacer seguimiento","Mantener")))</f>
        <v/>
      </c>
      <c r="S97" s="68">
        <f>IF(A97="","",IF(I97=0,"Sin venta",IF(I97&gt;=cfg_VentaAlta,"Alta",IF(I97&lt;cfg_VentaBaja,"Baja","Media"))))</f>
        <v/>
      </c>
    </row>
    <row r="98">
      <c r="A98" s="48">
        <f>IF(Clientes_PDV!A98="","",Clientes_PDV!A98)</f>
        <v/>
      </c>
      <c r="B98" s="48">
        <f>IF(A98="","",IFERROR(VLOOKUP(A98,Clientes_PDV!$A$2:$J$250,2,FALSE),""))</f>
        <v/>
      </c>
      <c r="C98" s="48">
        <f>IF(A98="","",IFERROR(VLOOKUP(A98,Clientes_PDV!$A$2:$J$250,3,FALSE),""))</f>
        <v/>
      </c>
      <c r="D98" s="48">
        <f>IF(A98="","",IFERROR(VLOOKUP(A98,Clientes_PDV!$A$2:$J$250,4,FALSE),""))</f>
        <v/>
      </c>
      <c r="E98" s="48">
        <f>IF(A98="","",IFERROR(VLOOKUP(A98,Clientes_PDV!$A$2:$J$250,7,FALSE),""))</f>
        <v/>
      </c>
      <c r="F98" s="49">
        <f>IF(A98="","",IFERROR(VLOOKUP(A98,Clientes_PDV!$A$2:$J$250,8,FALSE),""))</f>
        <v/>
      </c>
      <c r="G98" s="50">
        <f>IF(F98="","",TODAY()-F98)</f>
        <v/>
      </c>
      <c r="H98" s="48">
        <f>IF(A98="","",IF(F98="","Sin visita",IF(G98&lt;=IFERROR(VLOOKUP(E98,Inicio!$A$24:$B$26,2,FALSE),0),"Vigente","Atrasado")))</f>
        <v/>
      </c>
      <c r="I98" s="51">
        <f>IF(A98="","",SUMIFS(Ventas_SellIn!$L$2:$L$800,Ventas_SellIn!$D$2:$D$800,A98,Ventas_SellIn!$B$2:$B$800,"&gt;="&amp;TODAY()-Inicio!$B$14))</f>
        <v/>
      </c>
      <c r="J98" s="50">
        <f>IF(A98="","",SUMIFS(SellOut_Jumbo!$F$2:$F$800,SellOut_Jumbo!$C$2:$C$800,D98,SellOut_Jumbo!$A$2:$A$800,"&gt;="&amp;TODAY()-Inicio!$B$14))</f>
        <v/>
      </c>
      <c r="K98" s="48">
        <f>IF(A98="","",IF(I98=0,"Sin venta",IF(I98&lt;Inicio!$B$15,"Venta baja","Venta OK")))</f>
        <v/>
      </c>
      <c r="L98" s="50">
        <f>IF(A98="","",COUNTIFS(Ventas_SellIn!$D$2:$D$800,A98,Ventas_SellIn!$R$2:$R$800,"&gt;0"))</f>
        <v/>
      </c>
      <c r="M98" s="51">
        <f>IF(A98="","",SUMIFS(Ventas_SellIn!$R$2:$R$800,Ventas_SellIn!$D$2:$D$800,A98))</f>
        <v/>
      </c>
      <c r="N98" s="48">
        <f>IF(A98="","",IF(M98&gt;=Inicio!$B$18,"Pendiente relevante",IF(M98&gt;0,"Pendiente menor","Sin deuda")))</f>
        <v/>
      </c>
      <c r="O98" s="50">
        <f>IF(A98="","",SUMIFS(Stock_PDV!$H$2:$H$800,Stock_PDV!$A$2:$A$800,A98))</f>
        <v/>
      </c>
      <c r="P98" s="48">
        <f>IF(A98="","",IF(O98&lt;=Inicio!$B$16,"Crítico",IF(O98&lt;=Inicio!$B$17,"Observar","OK")))</f>
        <v/>
      </c>
      <c r="Q98" s="48">
        <f>IF(A98="","",IF(OR(H98="Atrasado",K98="Sin venta",N98="Pendiente relevante",P98="Crítico"),"Alta",IF(OR(K98="Venta baja",N98="Pendiente menor",P98="Observar"),"Media","Baja")))</f>
        <v/>
      </c>
      <c r="R98" s="48">
        <f>IF(A98="","",IF(Q98="Alta","Gestionar esta semana",IF(Q98="Media","Hacer seguimiento","Mantener")))</f>
        <v/>
      </c>
      <c r="S98" s="68">
        <f>IF(A98="","",IF(I98=0,"Sin venta",IF(I98&gt;=cfg_VentaAlta,"Alta",IF(I98&lt;cfg_VentaBaja,"Baja","Media"))))</f>
        <v/>
      </c>
    </row>
    <row r="99">
      <c r="A99" s="48">
        <f>IF(Clientes_PDV!A99="","",Clientes_PDV!A99)</f>
        <v/>
      </c>
      <c r="B99" s="48">
        <f>IF(A99="","",IFERROR(VLOOKUP(A99,Clientes_PDV!$A$2:$J$250,2,FALSE),""))</f>
        <v/>
      </c>
      <c r="C99" s="48">
        <f>IF(A99="","",IFERROR(VLOOKUP(A99,Clientes_PDV!$A$2:$J$250,3,FALSE),""))</f>
        <v/>
      </c>
      <c r="D99" s="48">
        <f>IF(A99="","",IFERROR(VLOOKUP(A99,Clientes_PDV!$A$2:$J$250,4,FALSE),""))</f>
        <v/>
      </c>
      <c r="E99" s="48">
        <f>IF(A99="","",IFERROR(VLOOKUP(A99,Clientes_PDV!$A$2:$J$250,7,FALSE),""))</f>
        <v/>
      </c>
      <c r="F99" s="49">
        <f>IF(A99="","",IFERROR(VLOOKUP(A99,Clientes_PDV!$A$2:$J$250,8,FALSE),""))</f>
        <v/>
      </c>
      <c r="G99" s="50">
        <f>IF(F99="","",TODAY()-F99)</f>
        <v/>
      </c>
      <c r="H99" s="48">
        <f>IF(A99="","",IF(F99="","Sin visita",IF(G99&lt;=IFERROR(VLOOKUP(E99,Inicio!$A$24:$B$26,2,FALSE),0),"Vigente","Atrasado")))</f>
        <v/>
      </c>
      <c r="I99" s="51">
        <f>IF(A99="","",SUMIFS(Ventas_SellIn!$L$2:$L$800,Ventas_SellIn!$D$2:$D$800,A99,Ventas_SellIn!$B$2:$B$800,"&gt;="&amp;TODAY()-Inicio!$B$14))</f>
        <v/>
      </c>
      <c r="J99" s="50">
        <f>IF(A99="","",SUMIFS(SellOut_Jumbo!$F$2:$F$800,SellOut_Jumbo!$C$2:$C$800,D99,SellOut_Jumbo!$A$2:$A$800,"&gt;="&amp;TODAY()-Inicio!$B$14))</f>
        <v/>
      </c>
      <c r="K99" s="48">
        <f>IF(A99="","",IF(I99=0,"Sin venta",IF(I99&lt;Inicio!$B$15,"Venta baja","Venta OK")))</f>
        <v/>
      </c>
      <c r="L99" s="50">
        <f>IF(A99="","",COUNTIFS(Ventas_SellIn!$D$2:$D$800,A99,Ventas_SellIn!$R$2:$R$800,"&gt;0"))</f>
        <v/>
      </c>
      <c r="M99" s="51">
        <f>IF(A99="","",SUMIFS(Ventas_SellIn!$R$2:$R$800,Ventas_SellIn!$D$2:$D$800,A99))</f>
        <v/>
      </c>
      <c r="N99" s="48">
        <f>IF(A99="","",IF(M99&gt;=Inicio!$B$18,"Pendiente relevante",IF(M99&gt;0,"Pendiente menor","Sin deuda")))</f>
        <v/>
      </c>
      <c r="O99" s="50">
        <f>IF(A99="","",SUMIFS(Stock_PDV!$H$2:$H$800,Stock_PDV!$A$2:$A$800,A99))</f>
        <v/>
      </c>
      <c r="P99" s="48">
        <f>IF(A99="","",IF(O99&lt;=Inicio!$B$16,"Crítico",IF(O99&lt;=Inicio!$B$17,"Observar","OK")))</f>
        <v/>
      </c>
      <c r="Q99" s="48">
        <f>IF(A99="","",IF(OR(H99="Atrasado",K99="Sin venta",N99="Pendiente relevante",P99="Crítico"),"Alta",IF(OR(K99="Venta baja",N99="Pendiente menor",P99="Observar"),"Media","Baja")))</f>
        <v/>
      </c>
      <c r="R99" s="48">
        <f>IF(A99="","",IF(Q99="Alta","Gestionar esta semana",IF(Q99="Media","Hacer seguimiento","Mantener")))</f>
        <v/>
      </c>
      <c r="S99" s="68">
        <f>IF(A99="","",IF(I99=0,"Sin venta",IF(I99&gt;=cfg_VentaAlta,"Alta",IF(I99&lt;cfg_VentaBaja,"Baja","Media"))))</f>
        <v/>
      </c>
    </row>
    <row r="100">
      <c r="A100" s="48">
        <f>IF(Clientes_PDV!A100="","",Clientes_PDV!A100)</f>
        <v/>
      </c>
      <c r="B100" s="48">
        <f>IF(A100="","",IFERROR(VLOOKUP(A100,Clientes_PDV!$A$2:$J$250,2,FALSE),""))</f>
        <v/>
      </c>
      <c r="C100" s="48">
        <f>IF(A100="","",IFERROR(VLOOKUP(A100,Clientes_PDV!$A$2:$J$250,3,FALSE),""))</f>
        <v/>
      </c>
      <c r="D100" s="48">
        <f>IF(A100="","",IFERROR(VLOOKUP(A100,Clientes_PDV!$A$2:$J$250,4,FALSE),""))</f>
        <v/>
      </c>
      <c r="E100" s="48">
        <f>IF(A100="","",IFERROR(VLOOKUP(A100,Clientes_PDV!$A$2:$J$250,7,FALSE),""))</f>
        <v/>
      </c>
      <c r="F100" s="49">
        <f>IF(A100="","",IFERROR(VLOOKUP(A100,Clientes_PDV!$A$2:$J$250,8,FALSE),""))</f>
        <v/>
      </c>
      <c r="G100" s="50">
        <f>IF(F100="","",TODAY()-F100)</f>
        <v/>
      </c>
      <c r="H100" s="48">
        <f>IF(A100="","",IF(F100="","Sin visita",IF(G100&lt;=IFERROR(VLOOKUP(E100,Inicio!$A$24:$B$26,2,FALSE),0),"Vigente","Atrasado")))</f>
        <v/>
      </c>
      <c r="I100" s="51">
        <f>IF(A100="","",SUMIFS(Ventas_SellIn!$L$2:$L$800,Ventas_SellIn!$D$2:$D$800,A100,Ventas_SellIn!$B$2:$B$800,"&gt;="&amp;TODAY()-Inicio!$B$14))</f>
        <v/>
      </c>
      <c r="J100" s="50">
        <f>IF(A100="","",SUMIFS(SellOut_Jumbo!$F$2:$F$800,SellOut_Jumbo!$C$2:$C$800,D100,SellOut_Jumbo!$A$2:$A$800,"&gt;="&amp;TODAY()-Inicio!$B$14))</f>
        <v/>
      </c>
      <c r="K100" s="48">
        <f>IF(A100="","",IF(I100=0,"Sin venta",IF(I100&lt;Inicio!$B$15,"Venta baja","Venta OK")))</f>
        <v/>
      </c>
      <c r="L100" s="50">
        <f>IF(A100="","",COUNTIFS(Ventas_SellIn!$D$2:$D$800,A100,Ventas_SellIn!$R$2:$R$800,"&gt;0"))</f>
        <v/>
      </c>
      <c r="M100" s="51">
        <f>IF(A100="","",SUMIFS(Ventas_SellIn!$R$2:$R$800,Ventas_SellIn!$D$2:$D$800,A100))</f>
        <v/>
      </c>
      <c r="N100" s="48">
        <f>IF(A100="","",IF(M100&gt;=Inicio!$B$18,"Pendiente relevante",IF(M100&gt;0,"Pendiente menor","Sin deuda")))</f>
        <v/>
      </c>
      <c r="O100" s="50">
        <f>IF(A100="","",SUMIFS(Stock_PDV!$H$2:$H$800,Stock_PDV!$A$2:$A$800,A100))</f>
        <v/>
      </c>
      <c r="P100" s="48">
        <f>IF(A100="","",IF(O100&lt;=Inicio!$B$16,"Crítico",IF(O100&lt;=Inicio!$B$17,"Observar","OK")))</f>
        <v/>
      </c>
      <c r="Q100" s="48">
        <f>IF(A100="","",IF(OR(H100="Atrasado",K100="Sin venta",N100="Pendiente relevante",P100="Crítico"),"Alta",IF(OR(K100="Venta baja",N100="Pendiente menor",P100="Observar"),"Media","Baja")))</f>
        <v/>
      </c>
      <c r="R100" s="48">
        <f>IF(A100="","",IF(Q100="Alta","Gestionar esta semana",IF(Q100="Media","Hacer seguimiento","Mantener")))</f>
        <v/>
      </c>
      <c r="S100" s="68">
        <f>IF(A100="","",IF(I100=0,"Sin venta",IF(I100&gt;=cfg_VentaAlta,"Alta",IF(I100&lt;cfg_VentaBaja,"Baja","Media"))))</f>
        <v/>
      </c>
    </row>
    <row r="101">
      <c r="A101" s="48">
        <f>IF(Clientes_PDV!A101="","",Clientes_PDV!A101)</f>
        <v/>
      </c>
      <c r="B101" s="48">
        <f>IF(A101="","",IFERROR(VLOOKUP(A101,Clientes_PDV!$A$2:$J$250,2,FALSE),""))</f>
        <v/>
      </c>
      <c r="C101" s="48">
        <f>IF(A101="","",IFERROR(VLOOKUP(A101,Clientes_PDV!$A$2:$J$250,3,FALSE),""))</f>
        <v/>
      </c>
      <c r="D101" s="48">
        <f>IF(A101="","",IFERROR(VLOOKUP(A101,Clientes_PDV!$A$2:$J$250,4,FALSE),""))</f>
        <v/>
      </c>
      <c r="E101" s="48">
        <f>IF(A101="","",IFERROR(VLOOKUP(A101,Clientes_PDV!$A$2:$J$250,7,FALSE),""))</f>
        <v/>
      </c>
      <c r="F101" s="49">
        <f>IF(A101="","",IFERROR(VLOOKUP(A101,Clientes_PDV!$A$2:$J$250,8,FALSE),""))</f>
        <v/>
      </c>
      <c r="G101" s="50">
        <f>IF(F101="","",TODAY()-F101)</f>
        <v/>
      </c>
      <c r="H101" s="48">
        <f>IF(A101="","",IF(F101="","Sin visita",IF(G101&lt;=IFERROR(VLOOKUP(E101,Inicio!$A$24:$B$26,2,FALSE),0),"Vigente","Atrasado")))</f>
        <v/>
      </c>
      <c r="I101" s="51">
        <f>IF(A101="","",SUMIFS(Ventas_SellIn!$L$2:$L$800,Ventas_SellIn!$D$2:$D$800,A101,Ventas_SellIn!$B$2:$B$800,"&gt;="&amp;TODAY()-Inicio!$B$14))</f>
        <v/>
      </c>
      <c r="J101" s="50">
        <f>IF(A101="","",SUMIFS(SellOut_Jumbo!$F$2:$F$800,SellOut_Jumbo!$C$2:$C$800,D101,SellOut_Jumbo!$A$2:$A$800,"&gt;="&amp;TODAY()-Inicio!$B$14))</f>
        <v/>
      </c>
      <c r="K101" s="48">
        <f>IF(A101="","",IF(I101=0,"Sin venta",IF(I101&lt;Inicio!$B$15,"Venta baja","Venta OK")))</f>
        <v/>
      </c>
      <c r="L101" s="50">
        <f>IF(A101="","",COUNTIFS(Ventas_SellIn!$D$2:$D$800,A101,Ventas_SellIn!$R$2:$R$800,"&gt;0"))</f>
        <v/>
      </c>
      <c r="M101" s="51">
        <f>IF(A101="","",SUMIFS(Ventas_SellIn!$R$2:$R$800,Ventas_SellIn!$D$2:$D$800,A101))</f>
        <v/>
      </c>
      <c r="N101" s="48">
        <f>IF(A101="","",IF(M101&gt;=Inicio!$B$18,"Pendiente relevante",IF(M101&gt;0,"Pendiente menor","Sin deuda")))</f>
        <v/>
      </c>
      <c r="O101" s="50">
        <f>IF(A101="","",SUMIFS(Stock_PDV!$H$2:$H$800,Stock_PDV!$A$2:$A$800,A101))</f>
        <v/>
      </c>
      <c r="P101" s="48">
        <f>IF(A101="","",IF(O101&lt;=Inicio!$B$16,"Crítico",IF(O101&lt;=Inicio!$B$17,"Observar","OK")))</f>
        <v/>
      </c>
      <c r="Q101" s="48">
        <f>IF(A101="","",IF(OR(H101="Atrasado",K101="Sin venta",N101="Pendiente relevante",P101="Crítico"),"Alta",IF(OR(K101="Venta baja",N101="Pendiente menor",P101="Observar"),"Media","Baja")))</f>
        <v/>
      </c>
      <c r="R101" s="48">
        <f>IF(A101="","",IF(Q101="Alta","Gestionar esta semana",IF(Q101="Media","Hacer seguimiento","Mantener")))</f>
        <v/>
      </c>
      <c r="S101" s="68">
        <f>IF(A101="","",IF(I101=0,"Sin venta",IF(I101&gt;=cfg_VentaAlta,"Alta",IF(I101&lt;cfg_VentaBaja,"Baja","Media"))))</f>
        <v/>
      </c>
    </row>
    <row r="102">
      <c r="A102" s="48">
        <f>IF(Clientes_PDV!A102="","",Clientes_PDV!A102)</f>
        <v/>
      </c>
      <c r="B102" s="48">
        <f>IF(A102="","",IFERROR(VLOOKUP(A102,Clientes_PDV!$A$2:$J$250,2,FALSE),""))</f>
        <v/>
      </c>
      <c r="C102" s="48">
        <f>IF(A102="","",IFERROR(VLOOKUP(A102,Clientes_PDV!$A$2:$J$250,3,FALSE),""))</f>
        <v/>
      </c>
      <c r="D102" s="48">
        <f>IF(A102="","",IFERROR(VLOOKUP(A102,Clientes_PDV!$A$2:$J$250,4,FALSE),""))</f>
        <v/>
      </c>
      <c r="E102" s="48">
        <f>IF(A102="","",IFERROR(VLOOKUP(A102,Clientes_PDV!$A$2:$J$250,7,FALSE),""))</f>
        <v/>
      </c>
      <c r="F102" s="49">
        <f>IF(A102="","",IFERROR(VLOOKUP(A102,Clientes_PDV!$A$2:$J$250,8,FALSE),""))</f>
        <v/>
      </c>
      <c r="G102" s="50">
        <f>IF(F102="","",TODAY()-F102)</f>
        <v/>
      </c>
      <c r="H102" s="48">
        <f>IF(A102="","",IF(F102="","Sin visita",IF(G102&lt;=IFERROR(VLOOKUP(E102,Inicio!$A$24:$B$26,2,FALSE),0),"Vigente","Atrasado")))</f>
        <v/>
      </c>
      <c r="I102" s="51">
        <f>IF(A102="","",SUMIFS(Ventas_SellIn!$L$2:$L$800,Ventas_SellIn!$D$2:$D$800,A102,Ventas_SellIn!$B$2:$B$800,"&gt;="&amp;TODAY()-Inicio!$B$14))</f>
        <v/>
      </c>
      <c r="J102" s="50">
        <f>IF(A102="","",SUMIFS(SellOut_Jumbo!$F$2:$F$800,SellOut_Jumbo!$C$2:$C$800,D102,SellOut_Jumbo!$A$2:$A$800,"&gt;="&amp;TODAY()-Inicio!$B$14))</f>
        <v/>
      </c>
      <c r="K102" s="48">
        <f>IF(A102="","",IF(I102=0,"Sin venta",IF(I102&lt;Inicio!$B$15,"Venta baja","Venta OK")))</f>
        <v/>
      </c>
      <c r="L102" s="50">
        <f>IF(A102="","",COUNTIFS(Ventas_SellIn!$D$2:$D$800,A102,Ventas_SellIn!$R$2:$R$800,"&gt;0"))</f>
        <v/>
      </c>
      <c r="M102" s="51">
        <f>IF(A102="","",SUMIFS(Ventas_SellIn!$R$2:$R$800,Ventas_SellIn!$D$2:$D$800,A102))</f>
        <v/>
      </c>
      <c r="N102" s="48">
        <f>IF(A102="","",IF(M102&gt;=Inicio!$B$18,"Pendiente relevante",IF(M102&gt;0,"Pendiente menor","Sin deuda")))</f>
        <v/>
      </c>
      <c r="O102" s="50">
        <f>IF(A102="","",SUMIFS(Stock_PDV!$H$2:$H$800,Stock_PDV!$A$2:$A$800,A102))</f>
        <v/>
      </c>
      <c r="P102" s="48">
        <f>IF(A102="","",IF(O102&lt;=Inicio!$B$16,"Crítico",IF(O102&lt;=Inicio!$B$17,"Observar","OK")))</f>
        <v/>
      </c>
      <c r="Q102" s="48">
        <f>IF(A102="","",IF(OR(H102="Atrasado",K102="Sin venta",N102="Pendiente relevante",P102="Crítico"),"Alta",IF(OR(K102="Venta baja",N102="Pendiente menor",P102="Observar"),"Media","Baja")))</f>
        <v/>
      </c>
      <c r="R102" s="48">
        <f>IF(A102="","",IF(Q102="Alta","Gestionar esta semana",IF(Q102="Media","Hacer seguimiento","Mantener")))</f>
        <v/>
      </c>
      <c r="S102" s="68">
        <f>IF(A102="","",IF(I102=0,"Sin venta",IF(I102&gt;=cfg_VentaAlta,"Alta",IF(I102&lt;cfg_VentaBaja,"Baja","Media"))))</f>
        <v/>
      </c>
    </row>
    <row r="103">
      <c r="A103" s="48">
        <f>IF(Clientes_PDV!A103="","",Clientes_PDV!A103)</f>
        <v/>
      </c>
      <c r="B103" s="48">
        <f>IF(A103="","",IFERROR(VLOOKUP(A103,Clientes_PDV!$A$2:$J$250,2,FALSE),""))</f>
        <v/>
      </c>
      <c r="C103" s="48">
        <f>IF(A103="","",IFERROR(VLOOKUP(A103,Clientes_PDV!$A$2:$J$250,3,FALSE),""))</f>
        <v/>
      </c>
      <c r="D103" s="48">
        <f>IF(A103="","",IFERROR(VLOOKUP(A103,Clientes_PDV!$A$2:$J$250,4,FALSE),""))</f>
        <v/>
      </c>
      <c r="E103" s="48">
        <f>IF(A103="","",IFERROR(VLOOKUP(A103,Clientes_PDV!$A$2:$J$250,7,FALSE),""))</f>
        <v/>
      </c>
      <c r="F103" s="49">
        <f>IF(A103="","",IFERROR(VLOOKUP(A103,Clientes_PDV!$A$2:$J$250,8,FALSE),""))</f>
        <v/>
      </c>
      <c r="G103" s="50">
        <f>IF(F103="","",TODAY()-F103)</f>
        <v/>
      </c>
      <c r="H103" s="48">
        <f>IF(A103="","",IF(F103="","Sin visita",IF(G103&lt;=IFERROR(VLOOKUP(E103,Inicio!$A$24:$B$26,2,FALSE),0),"Vigente","Atrasado")))</f>
        <v/>
      </c>
      <c r="I103" s="51">
        <f>IF(A103="","",SUMIFS(Ventas_SellIn!$L$2:$L$800,Ventas_SellIn!$D$2:$D$800,A103,Ventas_SellIn!$B$2:$B$800,"&gt;="&amp;TODAY()-Inicio!$B$14))</f>
        <v/>
      </c>
      <c r="J103" s="50">
        <f>IF(A103="","",SUMIFS(SellOut_Jumbo!$F$2:$F$800,SellOut_Jumbo!$C$2:$C$800,D103,SellOut_Jumbo!$A$2:$A$800,"&gt;="&amp;TODAY()-Inicio!$B$14))</f>
        <v/>
      </c>
      <c r="K103" s="48">
        <f>IF(A103="","",IF(I103=0,"Sin venta",IF(I103&lt;Inicio!$B$15,"Venta baja","Venta OK")))</f>
        <v/>
      </c>
      <c r="L103" s="50">
        <f>IF(A103="","",COUNTIFS(Ventas_SellIn!$D$2:$D$800,A103,Ventas_SellIn!$R$2:$R$800,"&gt;0"))</f>
        <v/>
      </c>
      <c r="M103" s="51">
        <f>IF(A103="","",SUMIFS(Ventas_SellIn!$R$2:$R$800,Ventas_SellIn!$D$2:$D$800,A103))</f>
        <v/>
      </c>
      <c r="N103" s="48">
        <f>IF(A103="","",IF(M103&gt;=Inicio!$B$18,"Pendiente relevante",IF(M103&gt;0,"Pendiente menor","Sin deuda")))</f>
        <v/>
      </c>
      <c r="O103" s="50">
        <f>IF(A103="","",SUMIFS(Stock_PDV!$H$2:$H$800,Stock_PDV!$A$2:$A$800,A103))</f>
        <v/>
      </c>
      <c r="P103" s="48">
        <f>IF(A103="","",IF(O103&lt;=Inicio!$B$16,"Crítico",IF(O103&lt;=Inicio!$B$17,"Observar","OK")))</f>
        <v/>
      </c>
      <c r="Q103" s="48">
        <f>IF(A103="","",IF(OR(H103="Atrasado",K103="Sin venta",N103="Pendiente relevante",P103="Crítico"),"Alta",IF(OR(K103="Venta baja",N103="Pendiente menor",P103="Observar"),"Media","Baja")))</f>
        <v/>
      </c>
      <c r="R103" s="48">
        <f>IF(A103="","",IF(Q103="Alta","Gestionar esta semana",IF(Q103="Media","Hacer seguimiento","Mantener")))</f>
        <v/>
      </c>
      <c r="S103" s="68">
        <f>IF(A103="","",IF(I103=0,"Sin venta",IF(I103&gt;=cfg_VentaAlta,"Alta",IF(I103&lt;cfg_VentaBaja,"Baja","Media"))))</f>
        <v/>
      </c>
    </row>
    <row r="104">
      <c r="A104" s="48">
        <f>IF(Clientes_PDV!A104="","",Clientes_PDV!A104)</f>
        <v/>
      </c>
      <c r="B104" s="48">
        <f>IF(A104="","",IFERROR(VLOOKUP(A104,Clientes_PDV!$A$2:$J$250,2,FALSE),""))</f>
        <v/>
      </c>
      <c r="C104" s="48">
        <f>IF(A104="","",IFERROR(VLOOKUP(A104,Clientes_PDV!$A$2:$J$250,3,FALSE),""))</f>
        <v/>
      </c>
      <c r="D104" s="48">
        <f>IF(A104="","",IFERROR(VLOOKUP(A104,Clientes_PDV!$A$2:$J$250,4,FALSE),""))</f>
        <v/>
      </c>
      <c r="E104" s="48">
        <f>IF(A104="","",IFERROR(VLOOKUP(A104,Clientes_PDV!$A$2:$J$250,7,FALSE),""))</f>
        <v/>
      </c>
      <c r="F104" s="49">
        <f>IF(A104="","",IFERROR(VLOOKUP(A104,Clientes_PDV!$A$2:$J$250,8,FALSE),""))</f>
        <v/>
      </c>
      <c r="G104" s="50">
        <f>IF(F104="","",TODAY()-F104)</f>
        <v/>
      </c>
      <c r="H104" s="48">
        <f>IF(A104="","",IF(F104="","Sin visita",IF(G104&lt;=IFERROR(VLOOKUP(E104,Inicio!$A$24:$B$26,2,FALSE),0),"Vigente","Atrasado")))</f>
        <v/>
      </c>
      <c r="I104" s="51">
        <f>IF(A104="","",SUMIFS(Ventas_SellIn!$L$2:$L$800,Ventas_SellIn!$D$2:$D$800,A104,Ventas_SellIn!$B$2:$B$800,"&gt;="&amp;TODAY()-Inicio!$B$14))</f>
        <v/>
      </c>
      <c r="J104" s="50">
        <f>IF(A104="","",SUMIFS(SellOut_Jumbo!$F$2:$F$800,SellOut_Jumbo!$C$2:$C$800,D104,SellOut_Jumbo!$A$2:$A$800,"&gt;="&amp;TODAY()-Inicio!$B$14))</f>
        <v/>
      </c>
      <c r="K104" s="48">
        <f>IF(A104="","",IF(I104=0,"Sin venta",IF(I104&lt;Inicio!$B$15,"Venta baja","Venta OK")))</f>
        <v/>
      </c>
      <c r="L104" s="50">
        <f>IF(A104="","",COUNTIFS(Ventas_SellIn!$D$2:$D$800,A104,Ventas_SellIn!$R$2:$R$800,"&gt;0"))</f>
        <v/>
      </c>
      <c r="M104" s="51">
        <f>IF(A104="","",SUMIFS(Ventas_SellIn!$R$2:$R$800,Ventas_SellIn!$D$2:$D$800,A104))</f>
        <v/>
      </c>
      <c r="N104" s="48">
        <f>IF(A104="","",IF(M104&gt;=Inicio!$B$18,"Pendiente relevante",IF(M104&gt;0,"Pendiente menor","Sin deuda")))</f>
        <v/>
      </c>
      <c r="O104" s="50">
        <f>IF(A104="","",SUMIFS(Stock_PDV!$H$2:$H$800,Stock_PDV!$A$2:$A$800,A104))</f>
        <v/>
      </c>
      <c r="P104" s="48">
        <f>IF(A104="","",IF(O104&lt;=Inicio!$B$16,"Crítico",IF(O104&lt;=Inicio!$B$17,"Observar","OK")))</f>
        <v/>
      </c>
      <c r="Q104" s="48">
        <f>IF(A104="","",IF(OR(H104="Atrasado",K104="Sin venta",N104="Pendiente relevante",P104="Crítico"),"Alta",IF(OR(K104="Venta baja",N104="Pendiente menor",P104="Observar"),"Media","Baja")))</f>
        <v/>
      </c>
      <c r="R104" s="48">
        <f>IF(A104="","",IF(Q104="Alta","Gestionar esta semana",IF(Q104="Media","Hacer seguimiento","Mantener")))</f>
        <v/>
      </c>
      <c r="S104" s="68">
        <f>IF(A104="","",IF(I104=0,"Sin venta",IF(I104&gt;=cfg_VentaAlta,"Alta",IF(I104&lt;cfg_VentaBaja,"Baja","Media"))))</f>
        <v/>
      </c>
    </row>
    <row r="105">
      <c r="A105" s="48">
        <f>IF(Clientes_PDV!A105="","",Clientes_PDV!A105)</f>
        <v/>
      </c>
      <c r="B105" s="48">
        <f>IF(A105="","",IFERROR(VLOOKUP(A105,Clientes_PDV!$A$2:$J$250,2,FALSE),""))</f>
        <v/>
      </c>
      <c r="C105" s="48">
        <f>IF(A105="","",IFERROR(VLOOKUP(A105,Clientes_PDV!$A$2:$J$250,3,FALSE),""))</f>
        <v/>
      </c>
      <c r="D105" s="48">
        <f>IF(A105="","",IFERROR(VLOOKUP(A105,Clientes_PDV!$A$2:$J$250,4,FALSE),""))</f>
        <v/>
      </c>
      <c r="E105" s="48">
        <f>IF(A105="","",IFERROR(VLOOKUP(A105,Clientes_PDV!$A$2:$J$250,7,FALSE),""))</f>
        <v/>
      </c>
      <c r="F105" s="49">
        <f>IF(A105="","",IFERROR(VLOOKUP(A105,Clientes_PDV!$A$2:$J$250,8,FALSE),""))</f>
        <v/>
      </c>
      <c r="G105" s="50">
        <f>IF(F105="","",TODAY()-F105)</f>
        <v/>
      </c>
      <c r="H105" s="48">
        <f>IF(A105="","",IF(F105="","Sin visita",IF(G105&lt;=IFERROR(VLOOKUP(E105,Inicio!$A$24:$B$26,2,FALSE),0),"Vigente","Atrasado")))</f>
        <v/>
      </c>
      <c r="I105" s="51">
        <f>IF(A105="","",SUMIFS(Ventas_SellIn!$L$2:$L$800,Ventas_SellIn!$D$2:$D$800,A105,Ventas_SellIn!$B$2:$B$800,"&gt;="&amp;TODAY()-Inicio!$B$14))</f>
        <v/>
      </c>
      <c r="J105" s="50">
        <f>IF(A105="","",SUMIFS(SellOut_Jumbo!$F$2:$F$800,SellOut_Jumbo!$C$2:$C$800,D105,SellOut_Jumbo!$A$2:$A$800,"&gt;="&amp;TODAY()-Inicio!$B$14))</f>
        <v/>
      </c>
      <c r="K105" s="48">
        <f>IF(A105="","",IF(I105=0,"Sin venta",IF(I105&lt;Inicio!$B$15,"Venta baja","Venta OK")))</f>
        <v/>
      </c>
      <c r="L105" s="50">
        <f>IF(A105="","",COUNTIFS(Ventas_SellIn!$D$2:$D$800,A105,Ventas_SellIn!$R$2:$R$800,"&gt;0"))</f>
        <v/>
      </c>
      <c r="M105" s="51">
        <f>IF(A105="","",SUMIFS(Ventas_SellIn!$R$2:$R$800,Ventas_SellIn!$D$2:$D$800,A105))</f>
        <v/>
      </c>
      <c r="N105" s="48">
        <f>IF(A105="","",IF(M105&gt;=Inicio!$B$18,"Pendiente relevante",IF(M105&gt;0,"Pendiente menor","Sin deuda")))</f>
        <v/>
      </c>
      <c r="O105" s="50">
        <f>IF(A105="","",SUMIFS(Stock_PDV!$H$2:$H$800,Stock_PDV!$A$2:$A$800,A105))</f>
        <v/>
      </c>
      <c r="P105" s="48">
        <f>IF(A105="","",IF(O105&lt;=Inicio!$B$16,"Crítico",IF(O105&lt;=Inicio!$B$17,"Observar","OK")))</f>
        <v/>
      </c>
      <c r="Q105" s="48">
        <f>IF(A105="","",IF(OR(H105="Atrasado",K105="Sin venta",N105="Pendiente relevante",P105="Crítico"),"Alta",IF(OR(K105="Venta baja",N105="Pendiente menor",P105="Observar"),"Media","Baja")))</f>
        <v/>
      </c>
      <c r="R105" s="48">
        <f>IF(A105="","",IF(Q105="Alta","Gestionar esta semana",IF(Q105="Media","Hacer seguimiento","Mantener")))</f>
        <v/>
      </c>
      <c r="S105" s="68">
        <f>IF(A105="","",IF(I105=0,"Sin venta",IF(I105&gt;=cfg_VentaAlta,"Alta",IF(I105&lt;cfg_VentaBaja,"Baja","Media"))))</f>
        <v/>
      </c>
    </row>
    <row r="106">
      <c r="A106" s="48">
        <f>IF(Clientes_PDV!A106="","",Clientes_PDV!A106)</f>
        <v/>
      </c>
      <c r="B106" s="48">
        <f>IF(A106="","",IFERROR(VLOOKUP(A106,Clientes_PDV!$A$2:$J$250,2,FALSE),""))</f>
        <v/>
      </c>
      <c r="C106" s="48">
        <f>IF(A106="","",IFERROR(VLOOKUP(A106,Clientes_PDV!$A$2:$J$250,3,FALSE),""))</f>
        <v/>
      </c>
      <c r="D106" s="48">
        <f>IF(A106="","",IFERROR(VLOOKUP(A106,Clientes_PDV!$A$2:$J$250,4,FALSE),""))</f>
        <v/>
      </c>
      <c r="E106" s="48">
        <f>IF(A106="","",IFERROR(VLOOKUP(A106,Clientes_PDV!$A$2:$J$250,7,FALSE),""))</f>
        <v/>
      </c>
      <c r="F106" s="49">
        <f>IF(A106="","",IFERROR(VLOOKUP(A106,Clientes_PDV!$A$2:$J$250,8,FALSE),""))</f>
        <v/>
      </c>
      <c r="G106" s="50">
        <f>IF(F106="","",TODAY()-F106)</f>
        <v/>
      </c>
      <c r="H106" s="48">
        <f>IF(A106="","",IF(F106="","Sin visita",IF(G106&lt;=IFERROR(VLOOKUP(E106,Inicio!$A$24:$B$26,2,FALSE),0),"Vigente","Atrasado")))</f>
        <v/>
      </c>
      <c r="I106" s="51">
        <f>IF(A106="","",SUMIFS(Ventas_SellIn!$L$2:$L$800,Ventas_SellIn!$D$2:$D$800,A106,Ventas_SellIn!$B$2:$B$800,"&gt;="&amp;TODAY()-Inicio!$B$14))</f>
        <v/>
      </c>
      <c r="J106" s="50">
        <f>IF(A106="","",SUMIFS(SellOut_Jumbo!$F$2:$F$800,SellOut_Jumbo!$C$2:$C$800,D106,SellOut_Jumbo!$A$2:$A$800,"&gt;="&amp;TODAY()-Inicio!$B$14))</f>
        <v/>
      </c>
      <c r="K106" s="48">
        <f>IF(A106="","",IF(I106=0,"Sin venta",IF(I106&lt;Inicio!$B$15,"Venta baja","Venta OK")))</f>
        <v/>
      </c>
      <c r="L106" s="50">
        <f>IF(A106="","",COUNTIFS(Ventas_SellIn!$D$2:$D$800,A106,Ventas_SellIn!$R$2:$R$800,"&gt;0"))</f>
        <v/>
      </c>
      <c r="M106" s="51">
        <f>IF(A106="","",SUMIFS(Ventas_SellIn!$R$2:$R$800,Ventas_SellIn!$D$2:$D$800,A106))</f>
        <v/>
      </c>
      <c r="N106" s="48">
        <f>IF(A106="","",IF(M106&gt;=Inicio!$B$18,"Pendiente relevante",IF(M106&gt;0,"Pendiente menor","Sin deuda")))</f>
        <v/>
      </c>
      <c r="O106" s="50">
        <f>IF(A106="","",SUMIFS(Stock_PDV!$H$2:$H$800,Stock_PDV!$A$2:$A$800,A106))</f>
        <v/>
      </c>
      <c r="P106" s="48">
        <f>IF(A106="","",IF(O106&lt;=Inicio!$B$16,"Crítico",IF(O106&lt;=Inicio!$B$17,"Observar","OK")))</f>
        <v/>
      </c>
      <c r="Q106" s="48">
        <f>IF(A106="","",IF(OR(H106="Atrasado",K106="Sin venta",N106="Pendiente relevante",P106="Crítico"),"Alta",IF(OR(K106="Venta baja",N106="Pendiente menor",P106="Observar"),"Media","Baja")))</f>
        <v/>
      </c>
      <c r="R106" s="48">
        <f>IF(A106="","",IF(Q106="Alta","Gestionar esta semana",IF(Q106="Media","Hacer seguimiento","Mantener")))</f>
        <v/>
      </c>
      <c r="S106" s="68">
        <f>IF(A106="","",IF(I106=0,"Sin venta",IF(I106&gt;=cfg_VentaAlta,"Alta",IF(I106&lt;cfg_VentaBaja,"Baja","Media"))))</f>
        <v/>
      </c>
    </row>
    <row r="107">
      <c r="A107" s="48">
        <f>IF(Clientes_PDV!A107="","",Clientes_PDV!A107)</f>
        <v/>
      </c>
      <c r="B107" s="48">
        <f>IF(A107="","",IFERROR(VLOOKUP(A107,Clientes_PDV!$A$2:$J$250,2,FALSE),""))</f>
        <v/>
      </c>
      <c r="C107" s="48">
        <f>IF(A107="","",IFERROR(VLOOKUP(A107,Clientes_PDV!$A$2:$J$250,3,FALSE),""))</f>
        <v/>
      </c>
      <c r="D107" s="48">
        <f>IF(A107="","",IFERROR(VLOOKUP(A107,Clientes_PDV!$A$2:$J$250,4,FALSE),""))</f>
        <v/>
      </c>
      <c r="E107" s="48">
        <f>IF(A107="","",IFERROR(VLOOKUP(A107,Clientes_PDV!$A$2:$J$250,7,FALSE),""))</f>
        <v/>
      </c>
      <c r="F107" s="49">
        <f>IF(A107="","",IFERROR(VLOOKUP(A107,Clientes_PDV!$A$2:$J$250,8,FALSE),""))</f>
        <v/>
      </c>
      <c r="G107" s="50">
        <f>IF(F107="","",TODAY()-F107)</f>
        <v/>
      </c>
      <c r="H107" s="48">
        <f>IF(A107="","",IF(F107="","Sin visita",IF(G107&lt;=IFERROR(VLOOKUP(E107,Inicio!$A$24:$B$26,2,FALSE),0),"Vigente","Atrasado")))</f>
        <v/>
      </c>
      <c r="I107" s="51">
        <f>IF(A107="","",SUMIFS(Ventas_SellIn!$L$2:$L$800,Ventas_SellIn!$D$2:$D$800,A107,Ventas_SellIn!$B$2:$B$800,"&gt;="&amp;TODAY()-Inicio!$B$14))</f>
        <v/>
      </c>
      <c r="J107" s="50">
        <f>IF(A107="","",SUMIFS(SellOut_Jumbo!$F$2:$F$800,SellOut_Jumbo!$C$2:$C$800,D107,SellOut_Jumbo!$A$2:$A$800,"&gt;="&amp;TODAY()-Inicio!$B$14))</f>
        <v/>
      </c>
      <c r="K107" s="48">
        <f>IF(A107="","",IF(I107=0,"Sin venta",IF(I107&lt;Inicio!$B$15,"Venta baja","Venta OK")))</f>
        <v/>
      </c>
      <c r="L107" s="50">
        <f>IF(A107="","",COUNTIFS(Ventas_SellIn!$D$2:$D$800,A107,Ventas_SellIn!$R$2:$R$800,"&gt;0"))</f>
        <v/>
      </c>
      <c r="M107" s="51">
        <f>IF(A107="","",SUMIFS(Ventas_SellIn!$R$2:$R$800,Ventas_SellIn!$D$2:$D$800,A107))</f>
        <v/>
      </c>
      <c r="N107" s="48">
        <f>IF(A107="","",IF(M107&gt;=Inicio!$B$18,"Pendiente relevante",IF(M107&gt;0,"Pendiente menor","Sin deuda")))</f>
        <v/>
      </c>
      <c r="O107" s="50">
        <f>IF(A107="","",SUMIFS(Stock_PDV!$H$2:$H$800,Stock_PDV!$A$2:$A$800,A107))</f>
        <v/>
      </c>
      <c r="P107" s="48">
        <f>IF(A107="","",IF(O107&lt;=Inicio!$B$16,"Crítico",IF(O107&lt;=Inicio!$B$17,"Observar","OK")))</f>
        <v/>
      </c>
      <c r="Q107" s="48">
        <f>IF(A107="","",IF(OR(H107="Atrasado",K107="Sin venta",N107="Pendiente relevante",P107="Crítico"),"Alta",IF(OR(K107="Venta baja",N107="Pendiente menor",P107="Observar"),"Media","Baja")))</f>
        <v/>
      </c>
      <c r="R107" s="48">
        <f>IF(A107="","",IF(Q107="Alta","Gestionar esta semana",IF(Q107="Media","Hacer seguimiento","Mantener")))</f>
        <v/>
      </c>
      <c r="S107" s="68">
        <f>IF(A107="","",IF(I107=0,"Sin venta",IF(I107&gt;=cfg_VentaAlta,"Alta",IF(I107&lt;cfg_VentaBaja,"Baja","Media"))))</f>
        <v/>
      </c>
    </row>
    <row r="108">
      <c r="A108" s="48">
        <f>IF(Clientes_PDV!A108="","",Clientes_PDV!A108)</f>
        <v/>
      </c>
      <c r="B108" s="48">
        <f>IF(A108="","",IFERROR(VLOOKUP(A108,Clientes_PDV!$A$2:$J$250,2,FALSE),""))</f>
        <v/>
      </c>
      <c r="C108" s="48">
        <f>IF(A108="","",IFERROR(VLOOKUP(A108,Clientes_PDV!$A$2:$J$250,3,FALSE),""))</f>
        <v/>
      </c>
      <c r="D108" s="48">
        <f>IF(A108="","",IFERROR(VLOOKUP(A108,Clientes_PDV!$A$2:$J$250,4,FALSE),""))</f>
        <v/>
      </c>
      <c r="E108" s="48">
        <f>IF(A108="","",IFERROR(VLOOKUP(A108,Clientes_PDV!$A$2:$J$250,7,FALSE),""))</f>
        <v/>
      </c>
      <c r="F108" s="49">
        <f>IF(A108="","",IFERROR(VLOOKUP(A108,Clientes_PDV!$A$2:$J$250,8,FALSE),""))</f>
        <v/>
      </c>
      <c r="G108" s="50">
        <f>IF(F108="","",TODAY()-F108)</f>
        <v/>
      </c>
      <c r="H108" s="48">
        <f>IF(A108="","",IF(F108="","Sin visita",IF(G108&lt;=IFERROR(VLOOKUP(E108,Inicio!$A$24:$B$26,2,FALSE),0),"Vigente","Atrasado")))</f>
        <v/>
      </c>
      <c r="I108" s="51">
        <f>IF(A108="","",SUMIFS(Ventas_SellIn!$L$2:$L$800,Ventas_SellIn!$D$2:$D$800,A108,Ventas_SellIn!$B$2:$B$800,"&gt;="&amp;TODAY()-Inicio!$B$14))</f>
        <v/>
      </c>
      <c r="J108" s="50">
        <f>IF(A108="","",SUMIFS(SellOut_Jumbo!$F$2:$F$800,SellOut_Jumbo!$C$2:$C$800,D108,SellOut_Jumbo!$A$2:$A$800,"&gt;="&amp;TODAY()-Inicio!$B$14))</f>
        <v/>
      </c>
      <c r="K108" s="48">
        <f>IF(A108="","",IF(I108=0,"Sin venta",IF(I108&lt;Inicio!$B$15,"Venta baja","Venta OK")))</f>
        <v/>
      </c>
      <c r="L108" s="50">
        <f>IF(A108="","",COUNTIFS(Ventas_SellIn!$D$2:$D$800,A108,Ventas_SellIn!$R$2:$R$800,"&gt;0"))</f>
        <v/>
      </c>
      <c r="M108" s="51">
        <f>IF(A108="","",SUMIFS(Ventas_SellIn!$R$2:$R$800,Ventas_SellIn!$D$2:$D$800,A108))</f>
        <v/>
      </c>
      <c r="N108" s="48">
        <f>IF(A108="","",IF(M108&gt;=Inicio!$B$18,"Pendiente relevante",IF(M108&gt;0,"Pendiente menor","Sin deuda")))</f>
        <v/>
      </c>
      <c r="O108" s="50">
        <f>IF(A108="","",SUMIFS(Stock_PDV!$H$2:$H$800,Stock_PDV!$A$2:$A$800,A108))</f>
        <v/>
      </c>
      <c r="P108" s="48">
        <f>IF(A108="","",IF(O108&lt;=Inicio!$B$16,"Crítico",IF(O108&lt;=Inicio!$B$17,"Observar","OK")))</f>
        <v/>
      </c>
      <c r="Q108" s="48">
        <f>IF(A108="","",IF(OR(H108="Atrasado",K108="Sin venta",N108="Pendiente relevante",P108="Crítico"),"Alta",IF(OR(K108="Venta baja",N108="Pendiente menor",P108="Observar"),"Media","Baja")))</f>
        <v/>
      </c>
      <c r="R108" s="48">
        <f>IF(A108="","",IF(Q108="Alta","Gestionar esta semana",IF(Q108="Media","Hacer seguimiento","Mantener")))</f>
        <v/>
      </c>
      <c r="S108" s="68">
        <f>IF(A108="","",IF(I108=0,"Sin venta",IF(I108&gt;=cfg_VentaAlta,"Alta",IF(I108&lt;cfg_VentaBaja,"Baja","Media"))))</f>
        <v/>
      </c>
    </row>
    <row r="109">
      <c r="A109" s="48">
        <f>IF(Clientes_PDV!A109="","",Clientes_PDV!A109)</f>
        <v/>
      </c>
      <c r="B109" s="48">
        <f>IF(A109="","",IFERROR(VLOOKUP(A109,Clientes_PDV!$A$2:$J$250,2,FALSE),""))</f>
        <v/>
      </c>
      <c r="C109" s="48">
        <f>IF(A109="","",IFERROR(VLOOKUP(A109,Clientes_PDV!$A$2:$J$250,3,FALSE),""))</f>
        <v/>
      </c>
      <c r="D109" s="48">
        <f>IF(A109="","",IFERROR(VLOOKUP(A109,Clientes_PDV!$A$2:$J$250,4,FALSE),""))</f>
        <v/>
      </c>
      <c r="E109" s="48">
        <f>IF(A109="","",IFERROR(VLOOKUP(A109,Clientes_PDV!$A$2:$J$250,7,FALSE),""))</f>
        <v/>
      </c>
      <c r="F109" s="49">
        <f>IF(A109="","",IFERROR(VLOOKUP(A109,Clientes_PDV!$A$2:$J$250,8,FALSE),""))</f>
        <v/>
      </c>
      <c r="G109" s="50">
        <f>IF(F109="","",TODAY()-F109)</f>
        <v/>
      </c>
      <c r="H109" s="48">
        <f>IF(A109="","",IF(F109="","Sin visita",IF(G109&lt;=IFERROR(VLOOKUP(E109,Inicio!$A$24:$B$26,2,FALSE),0),"Vigente","Atrasado")))</f>
        <v/>
      </c>
      <c r="I109" s="51">
        <f>IF(A109="","",SUMIFS(Ventas_SellIn!$L$2:$L$800,Ventas_SellIn!$D$2:$D$800,A109,Ventas_SellIn!$B$2:$B$800,"&gt;="&amp;TODAY()-Inicio!$B$14))</f>
        <v/>
      </c>
      <c r="J109" s="50">
        <f>IF(A109="","",SUMIFS(SellOut_Jumbo!$F$2:$F$800,SellOut_Jumbo!$C$2:$C$800,D109,SellOut_Jumbo!$A$2:$A$800,"&gt;="&amp;TODAY()-Inicio!$B$14))</f>
        <v/>
      </c>
      <c r="K109" s="48">
        <f>IF(A109="","",IF(I109=0,"Sin venta",IF(I109&lt;Inicio!$B$15,"Venta baja","Venta OK")))</f>
        <v/>
      </c>
      <c r="L109" s="50">
        <f>IF(A109="","",COUNTIFS(Ventas_SellIn!$D$2:$D$800,A109,Ventas_SellIn!$R$2:$R$800,"&gt;0"))</f>
        <v/>
      </c>
      <c r="M109" s="51">
        <f>IF(A109="","",SUMIFS(Ventas_SellIn!$R$2:$R$800,Ventas_SellIn!$D$2:$D$800,A109))</f>
        <v/>
      </c>
      <c r="N109" s="48">
        <f>IF(A109="","",IF(M109&gt;=Inicio!$B$18,"Pendiente relevante",IF(M109&gt;0,"Pendiente menor","Sin deuda")))</f>
        <v/>
      </c>
      <c r="O109" s="50">
        <f>IF(A109="","",SUMIFS(Stock_PDV!$H$2:$H$800,Stock_PDV!$A$2:$A$800,A109))</f>
        <v/>
      </c>
      <c r="P109" s="48">
        <f>IF(A109="","",IF(O109&lt;=Inicio!$B$16,"Crítico",IF(O109&lt;=Inicio!$B$17,"Observar","OK")))</f>
        <v/>
      </c>
      <c r="Q109" s="48">
        <f>IF(A109="","",IF(OR(H109="Atrasado",K109="Sin venta",N109="Pendiente relevante",P109="Crítico"),"Alta",IF(OR(K109="Venta baja",N109="Pendiente menor",P109="Observar"),"Media","Baja")))</f>
        <v/>
      </c>
      <c r="R109" s="48">
        <f>IF(A109="","",IF(Q109="Alta","Gestionar esta semana",IF(Q109="Media","Hacer seguimiento","Mantener")))</f>
        <v/>
      </c>
      <c r="S109" s="68">
        <f>IF(A109="","",IF(I109=0,"Sin venta",IF(I109&gt;=cfg_VentaAlta,"Alta",IF(I109&lt;cfg_VentaBaja,"Baja","Media"))))</f>
        <v/>
      </c>
    </row>
    <row r="110">
      <c r="A110" s="48">
        <f>IF(Clientes_PDV!A110="","",Clientes_PDV!A110)</f>
        <v/>
      </c>
      <c r="B110" s="48">
        <f>IF(A110="","",IFERROR(VLOOKUP(A110,Clientes_PDV!$A$2:$J$250,2,FALSE),""))</f>
        <v/>
      </c>
      <c r="C110" s="48">
        <f>IF(A110="","",IFERROR(VLOOKUP(A110,Clientes_PDV!$A$2:$J$250,3,FALSE),""))</f>
        <v/>
      </c>
      <c r="D110" s="48">
        <f>IF(A110="","",IFERROR(VLOOKUP(A110,Clientes_PDV!$A$2:$J$250,4,FALSE),""))</f>
        <v/>
      </c>
      <c r="E110" s="48">
        <f>IF(A110="","",IFERROR(VLOOKUP(A110,Clientes_PDV!$A$2:$J$250,7,FALSE),""))</f>
        <v/>
      </c>
      <c r="F110" s="49">
        <f>IF(A110="","",IFERROR(VLOOKUP(A110,Clientes_PDV!$A$2:$J$250,8,FALSE),""))</f>
        <v/>
      </c>
      <c r="G110" s="50">
        <f>IF(F110="","",TODAY()-F110)</f>
        <v/>
      </c>
      <c r="H110" s="48">
        <f>IF(A110="","",IF(F110="","Sin visita",IF(G110&lt;=IFERROR(VLOOKUP(E110,Inicio!$A$24:$B$26,2,FALSE),0),"Vigente","Atrasado")))</f>
        <v/>
      </c>
      <c r="I110" s="51">
        <f>IF(A110="","",SUMIFS(Ventas_SellIn!$L$2:$L$800,Ventas_SellIn!$D$2:$D$800,A110,Ventas_SellIn!$B$2:$B$800,"&gt;="&amp;TODAY()-Inicio!$B$14))</f>
        <v/>
      </c>
      <c r="J110" s="50">
        <f>IF(A110="","",SUMIFS(SellOut_Jumbo!$F$2:$F$800,SellOut_Jumbo!$C$2:$C$800,D110,SellOut_Jumbo!$A$2:$A$800,"&gt;="&amp;TODAY()-Inicio!$B$14))</f>
        <v/>
      </c>
      <c r="K110" s="48">
        <f>IF(A110="","",IF(I110=0,"Sin venta",IF(I110&lt;Inicio!$B$15,"Venta baja","Venta OK")))</f>
        <v/>
      </c>
      <c r="L110" s="50">
        <f>IF(A110="","",COUNTIFS(Ventas_SellIn!$D$2:$D$800,A110,Ventas_SellIn!$R$2:$R$800,"&gt;0"))</f>
        <v/>
      </c>
      <c r="M110" s="51">
        <f>IF(A110="","",SUMIFS(Ventas_SellIn!$R$2:$R$800,Ventas_SellIn!$D$2:$D$800,A110))</f>
        <v/>
      </c>
      <c r="N110" s="48">
        <f>IF(A110="","",IF(M110&gt;=Inicio!$B$18,"Pendiente relevante",IF(M110&gt;0,"Pendiente menor","Sin deuda")))</f>
        <v/>
      </c>
      <c r="O110" s="50">
        <f>IF(A110="","",SUMIFS(Stock_PDV!$H$2:$H$800,Stock_PDV!$A$2:$A$800,A110))</f>
        <v/>
      </c>
      <c r="P110" s="48">
        <f>IF(A110="","",IF(O110&lt;=Inicio!$B$16,"Crítico",IF(O110&lt;=Inicio!$B$17,"Observar","OK")))</f>
        <v/>
      </c>
      <c r="Q110" s="48">
        <f>IF(A110="","",IF(OR(H110="Atrasado",K110="Sin venta",N110="Pendiente relevante",P110="Crítico"),"Alta",IF(OR(K110="Venta baja",N110="Pendiente menor",P110="Observar"),"Media","Baja")))</f>
        <v/>
      </c>
      <c r="R110" s="48">
        <f>IF(A110="","",IF(Q110="Alta","Gestionar esta semana",IF(Q110="Media","Hacer seguimiento","Mantener")))</f>
        <v/>
      </c>
      <c r="S110" s="68">
        <f>IF(A110="","",IF(I110=0,"Sin venta",IF(I110&gt;=cfg_VentaAlta,"Alta",IF(I110&lt;cfg_VentaBaja,"Baja","Media"))))</f>
        <v/>
      </c>
    </row>
    <row r="111">
      <c r="A111" s="48">
        <f>IF(Clientes_PDV!A111="","",Clientes_PDV!A111)</f>
        <v/>
      </c>
      <c r="B111" s="48">
        <f>IF(A111="","",IFERROR(VLOOKUP(A111,Clientes_PDV!$A$2:$J$250,2,FALSE),""))</f>
        <v/>
      </c>
      <c r="C111" s="48">
        <f>IF(A111="","",IFERROR(VLOOKUP(A111,Clientes_PDV!$A$2:$J$250,3,FALSE),""))</f>
        <v/>
      </c>
      <c r="D111" s="48">
        <f>IF(A111="","",IFERROR(VLOOKUP(A111,Clientes_PDV!$A$2:$J$250,4,FALSE),""))</f>
        <v/>
      </c>
      <c r="E111" s="48">
        <f>IF(A111="","",IFERROR(VLOOKUP(A111,Clientes_PDV!$A$2:$J$250,7,FALSE),""))</f>
        <v/>
      </c>
      <c r="F111" s="49">
        <f>IF(A111="","",IFERROR(VLOOKUP(A111,Clientes_PDV!$A$2:$J$250,8,FALSE),""))</f>
        <v/>
      </c>
      <c r="G111" s="50">
        <f>IF(F111="","",TODAY()-F111)</f>
        <v/>
      </c>
      <c r="H111" s="48">
        <f>IF(A111="","",IF(F111="","Sin visita",IF(G111&lt;=IFERROR(VLOOKUP(E111,Inicio!$A$24:$B$26,2,FALSE),0),"Vigente","Atrasado")))</f>
        <v/>
      </c>
      <c r="I111" s="51">
        <f>IF(A111="","",SUMIFS(Ventas_SellIn!$L$2:$L$800,Ventas_SellIn!$D$2:$D$800,A111,Ventas_SellIn!$B$2:$B$800,"&gt;="&amp;TODAY()-Inicio!$B$14))</f>
        <v/>
      </c>
      <c r="J111" s="50">
        <f>IF(A111="","",SUMIFS(SellOut_Jumbo!$F$2:$F$800,SellOut_Jumbo!$C$2:$C$800,D111,SellOut_Jumbo!$A$2:$A$800,"&gt;="&amp;TODAY()-Inicio!$B$14))</f>
        <v/>
      </c>
      <c r="K111" s="48">
        <f>IF(A111="","",IF(I111=0,"Sin venta",IF(I111&lt;Inicio!$B$15,"Venta baja","Venta OK")))</f>
        <v/>
      </c>
      <c r="L111" s="50">
        <f>IF(A111="","",COUNTIFS(Ventas_SellIn!$D$2:$D$800,A111,Ventas_SellIn!$R$2:$R$800,"&gt;0"))</f>
        <v/>
      </c>
      <c r="M111" s="51">
        <f>IF(A111="","",SUMIFS(Ventas_SellIn!$R$2:$R$800,Ventas_SellIn!$D$2:$D$800,A111))</f>
        <v/>
      </c>
      <c r="N111" s="48">
        <f>IF(A111="","",IF(M111&gt;=Inicio!$B$18,"Pendiente relevante",IF(M111&gt;0,"Pendiente menor","Sin deuda")))</f>
        <v/>
      </c>
      <c r="O111" s="50">
        <f>IF(A111="","",SUMIFS(Stock_PDV!$H$2:$H$800,Stock_PDV!$A$2:$A$800,A111))</f>
        <v/>
      </c>
      <c r="P111" s="48">
        <f>IF(A111="","",IF(O111&lt;=Inicio!$B$16,"Crítico",IF(O111&lt;=Inicio!$B$17,"Observar","OK")))</f>
        <v/>
      </c>
      <c r="Q111" s="48">
        <f>IF(A111="","",IF(OR(H111="Atrasado",K111="Sin venta",N111="Pendiente relevante",P111="Crítico"),"Alta",IF(OR(K111="Venta baja",N111="Pendiente menor",P111="Observar"),"Media","Baja")))</f>
        <v/>
      </c>
      <c r="R111" s="48">
        <f>IF(A111="","",IF(Q111="Alta","Gestionar esta semana",IF(Q111="Media","Hacer seguimiento","Mantener")))</f>
        <v/>
      </c>
      <c r="S111" s="68">
        <f>IF(A111="","",IF(I111=0,"Sin venta",IF(I111&gt;=cfg_VentaAlta,"Alta",IF(I111&lt;cfg_VentaBaja,"Baja","Media"))))</f>
        <v/>
      </c>
    </row>
    <row r="112">
      <c r="A112" s="48">
        <f>IF(Clientes_PDV!A112="","",Clientes_PDV!A112)</f>
        <v/>
      </c>
      <c r="B112" s="48">
        <f>IF(A112="","",IFERROR(VLOOKUP(A112,Clientes_PDV!$A$2:$J$250,2,FALSE),""))</f>
        <v/>
      </c>
      <c r="C112" s="48">
        <f>IF(A112="","",IFERROR(VLOOKUP(A112,Clientes_PDV!$A$2:$J$250,3,FALSE),""))</f>
        <v/>
      </c>
      <c r="D112" s="48">
        <f>IF(A112="","",IFERROR(VLOOKUP(A112,Clientes_PDV!$A$2:$J$250,4,FALSE),""))</f>
        <v/>
      </c>
      <c r="E112" s="48">
        <f>IF(A112="","",IFERROR(VLOOKUP(A112,Clientes_PDV!$A$2:$J$250,7,FALSE),""))</f>
        <v/>
      </c>
      <c r="F112" s="49">
        <f>IF(A112="","",IFERROR(VLOOKUP(A112,Clientes_PDV!$A$2:$J$250,8,FALSE),""))</f>
        <v/>
      </c>
      <c r="G112" s="50">
        <f>IF(F112="","",TODAY()-F112)</f>
        <v/>
      </c>
      <c r="H112" s="48">
        <f>IF(A112="","",IF(F112="","Sin visita",IF(G112&lt;=IFERROR(VLOOKUP(E112,Inicio!$A$24:$B$26,2,FALSE),0),"Vigente","Atrasado")))</f>
        <v/>
      </c>
      <c r="I112" s="51">
        <f>IF(A112="","",SUMIFS(Ventas_SellIn!$L$2:$L$800,Ventas_SellIn!$D$2:$D$800,A112,Ventas_SellIn!$B$2:$B$800,"&gt;="&amp;TODAY()-Inicio!$B$14))</f>
        <v/>
      </c>
      <c r="J112" s="50">
        <f>IF(A112="","",SUMIFS(SellOut_Jumbo!$F$2:$F$800,SellOut_Jumbo!$C$2:$C$800,D112,SellOut_Jumbo!$A$2:$A$800,"&gt;="&amp;TODAY()-Inicio!$B$14))</f>
        <v/>
      </c>
      <c r="K112" s="48">
        <f>IF(A112="","",IF(I112=0,"Sin venta",IF(I112&lt;Inicio!$B$15,"Venta baja","Venta OK")))</f>
        <v/>
      </c>
      <c r="L112" s="50">
        <f>IF(A112="","",COUNTIFS(Ventas_SellIn!$D$2:$D$800,A112,Ventas_SellIn!$R$2:$R$800,"&gt;0"))</f>
        <v/>
      </c>
      <c r="M112" s="51">
        <f>IF(A112="","",SUMIFS(Ventas_SellIn!$R$2:$R$800,Ventas_SellIn!$D$2:$D$800,A112))</f>
        <v/>
      </c>
      <c r="N112" s="48">
        <f>IF(A112="","",IF(M112&gt;=Inicio!$B$18,"Pendiente relevante",IF(M112&gt;0,"Pendiente menor","Sin deuda")))</f>
        <v/>
      </c>
      <c r="O112" s="50">
        <f>IF(A112="","",SUMIFS(Stock_PDV!$H$2:$H$800,Stock_PDV!$A$2:$A$800,A112))</f>
        <v/>
      </c>
      <c r="P112" s="48">
        <f>IF(A112="","",IF(O112&lt;=Inicio!$B$16,"Crítico",IF(O112&lt;=Inicio!$B$17,"Observar","OK")))</f>
        <v/>
      </c>
      <c r="Q112" s="48">
        <f>IF(A112="","",IF(OR(H112="Atrasado",K112="Sin venta",N112="Pendiente relevante",P112="Crítico"),"Alta",IF(OR(K112="Venta baja",N112="Pendiente menor",P112="Observar"),"Media","Baja")))</f>
        <v/>
      </c>
      <c r="R112" s="48">
        <f>IF(A112="","",IF(Q112="Alta","Gestionar esta semana",IF(Q112="Media","Hacer seguimiento","Mantener")))</f>
        <v/>
      </c>
      <c r="S112" s="68">
        <f>IF(A112="","",IF(I112=0,"Sin venta",IF(I112&gt;=cfg_VentaAlta,"Alta",IF(I112&lt;cfg_VentaBaja,"Baja","Media"))))</f>
        <v/>
      </c>
    </row>
    <row r="113">
      <c r="A113" s="48">
        <f>IF(Clientes_PDV!A113="","",Clientes_PDV!A113)</f>
        <v/>
      </c>
      <c r="B113" s="48">
        <f>IF(A113="","",IFERROR(VLOOKUP(A113,Clientes_PDV!$A$2:$J$250,2,FALSE),""))</f>
        <v/>
      </c>
      <c r="C113" s="48">
        <f>IF(A113="","",IFERROR(VLOOKUP(A113,Clientes_PDV!$A$2:$J$250,3,FALSE),""))</f>
        <v/>
      </c>
      <c r="D113" s="48">
        <f>IF(A113="","",IFERROR(VLOOKUP(A113,Clientes_PDV!$A$2:$J$250,4,FALSE),""))</f>
        <v/>
      </c>
      <c r="E113" s="48">
        <f>IF(A113="","",IFERROR(VLOOKUP(A113,Clientes_PDV!$A$2:$J$250,7,FALSE),""))</f>
        <v/>
      </c>
      <c r="F113" s="49">
        <f>IF(A113="","",IFERROR(VLOOKUP(A113,Clientes_PDV!$A$2:$J$250,8,FALSE),""))</f>
        <v/>
      </c>
      <c r="G113" s="50">
        <f>IF(F113="","",TODAY()-F113)</f>
        <v/>
      </c>
      <c r="H113" s="48">
        <f>IF(A113="","",IF(F113="","Sin visita",IF(G113&lt;=IFERROR(VLOOKUP(E113,Inicio!$A$24:$B$26,2,FALSE),0),"Vigente","Atrasado")))</f>
        <v/>
      </c>
      <c r="I113" s="51">
        <f>IF(A113="","",SUMIFS(Ventas_SellIn!$L$2:$L$800,Ventas_SellIn!$D$2:$D$800,A113,Ventas_SellIn!$B$2:$B$800,"&gt;="&amp;TODAY()-Inicio!$B$14))</f>
        <v/>
      </c>
      <c r="J113" s="50">
        <f>IF(A113="","",SUMIFS(SellOut_Jumbo!$F$2:$F$800,SellOut_Jumbo!$C$2:$C$800,D113,SellOut_Jumbo!$A$2:$A$800,"&gt;="&amp;TODAY()-Inicio!$B$14))</f>
        <v/>
      </c>
      <c r="K113" s="48">
        <f>IF(A113="","",IF(I113=0,"Sin venta",IF(I113&lt;Inicio!$B$15,"Venta baja","Venta OK")))</f>
        <v/>
      </c>
      <c r="L113" s="50">
        <f>IF(A113="","",COUNTIFS(Ventas_SellIn!$D$2:$D$800,A113,Ventas_SellIn!$R$2:$R$800,"&gt;0"))</f>
        <v/>
      </c>
      <c r="M113" s="51">
        <f>IF(A113="","",SUMIFS(Ventas_SellIn!$R$2:$R$800,Ventas_SellIn!$D$2:$D$800,A113))</f>
        <v/>
      </c>
      <c r="N113" s="48">
        <f>IF(A113="","",IF(M113&gt;=Inicio!$B$18,"Pendiente relevante",IF(M113&gt;0,"Pendiente menor","Sin deuda")))</f>
        <v/>
      </c>
      <c r="O113" s="50">
        <f>IF(A113="","",SUMIFS(Stock_PDV!$H$2:$H$800,Stock_PDV!$A$2:$A$800,A113))</f>
        <v/>
      </c>
      <c r="P113" s="48">
        <f>IF(A113="","",IF(O113&lt;=Inicio!$B$16,"Crítico",IF(O113&lt;=Inicio!$B$17,"Observar","OK")))</f>
        <v/>
      </c>
      <c r="Q113" s="48">
        <f>IF(A113="","",IF(OR(H113="Atrasado",K113="Sin venta",N113="Pendiente relevante",P113="Crítico"),"Alta",IF(OR(K113="Venta baja",N113="Pendiente menor",P113="Observar"),"Media","Baja")))</f>
        <v/>
      </c>
      <c r="R113" s="48">
        <f>IF(A113="","",IF(Q113="Alta","Gestionar esta semana",IF(Q113="Media","Hacer seguimiento","Mantener")))</f>
        <v/>
      </c>
      <c r="S113" s="68">
        <f>IF(A113="","",IF(I113=0,"Sin venta",IF(I113&gt;=cfg_VentaAlta,"Alta",IF(I113&lt;cfg_VentaBaja,"Baja","Media"))))</f>
        <v/>
      </c>
    </row>
    <row r="114">
      <c r="A114" s="48">
        <f>IF(Clientes_PDV!A114="","",Clientes_PDV!A114)</f>
        <v/>
      </c>
      <c r="B114" s="48">
        <f>IF(A114="","",IFERROR(VLOOKUP(A114,Clientes_PDV!$A$2:$J$250,2,FALSE),""))</f>
        <v/>
      </c>
      <c r="C114" s="48">
        <f>IF(A114="","",IFERROR(VLOOKUP(A114,Clientes_PDV!$A$2:$J$250,3,FALSE),""))</f>
        <v/>
      </c>
      <c r="D114" s="48">
        <f>IF(A114="","",IFERROR(VLOOKUP(A114,Clientes_PDV!$A$2:$J$250,4,FALSE),""))</f>
        <v/>
      </c>
      <c r="E114" s="48">
        <f>IF(A114="","",IFERROR(VLOOKUP(A114,Clientes_PDV!$A$2:$J$250,7,FALSE),""))</f>
        <v/>
      </c>
      <c r="F114" s="49">
        <f>IF(A114="","",IFERROR(VLOOKUP(A114,Clientes_PDV!$A$2:$J$250,8,FALSE),""))</f>
        <v/>
      </c>
      <c r="G114" s="50">
        <f>IF(F114="","",TODAY()-F114)</f>
        <v/>
      </c>
      <c r="H114" s="48">
        <f>IF(A114="","",IF(F114="","Sin visita",IF(G114&lt;=IFERROR(VLOOKUP(E114,Inicio!$A$24:$B$26,2,FALSE),0),"Vigente","Atrasado")))</f>
        <v/>
      </c>
      <c r="I114" s="51">
        <f>IF(A114="","",SUMIFS(Ventas_SellIn!$L$2:$L$800,Ventas_SellIn!$D$2:$D$800,A114,Ventas_SellIn!$B$2:$B$800,"&gt;="&amp;TODAY()-Inicio!$B$14))</f>
        <v/>
      </c>
      <c r="J114" s="50">
        <f>IF(A114="","",SUMIFS(SellOut_Jumbo!$F$2:$F$800,SellOut_Jumbo!$C$2:$C$800,D114,SellOut_Jumbo!$A$2:$A$800,"&gt;="&amp;TODAY()-Inicio!$B$14))</f>
        <v/>
      </c>
      <c r="K114" s="48">
        <f>IF(A114="","",IF(I114=0,"Sin venta",IF(I114&lt;Inicio!$B$15,"Venta baja","Venta OK")))</f>
        <v/>
      </c>
      <c r="L114" s="50">
        <f>IF(A114="","",COUNTIFS(Ventas_SellIn!$D$2:$D$800,A114,Ventas_SellIn!$R$2:$R$800,"&gt;0"))</f>
        <v/>
      </c>
      <c r="M114" s="51">
        <f>IF(A114="","",SUMIFS(Ventas_SellIn!$R$2:$R$800,Ventas_SellIn!$D$2:$D$800,A114))</f>
        <v/>
      </c>
      <c r="N114" s="48">
        <f>IF(A114="","",IF(M114&gt;=Inicio!$B$18,"Pendiente relevante",IF(M114&gt;0,"Pendiente menor","Sin deuda")))</f>
        <v/>
      </c>
      <c r="O114" s="50">
        <f>IF(A114="","",SUMIFS(Stock_PDV!$H$2:$H$800,Stock_PDV!$A$2:$A$800,A114))</f>
        <v/>
      </c>
      <c r="P114" s="48">
        <f>IF(A114="","",IF(O114&lt;=Inicio!$B$16,"Crítico",IF(O114&lt;=Inicio!$B$17,"Observar","OK")))</f>
        <v/>
      </c>
      <c r="Q114" s="48">
        <f>IF(A114="","",IF(OR(H114="Atrasado",K114="Sin venta",N114="Pendiente relevante",P114="Crítico"),"Alta",IF(OR(K114="Venta baja",N114="Pendiente menor",P114="Observar"),"Media","Baja")))</f>
        <v/>
      </c>
      <c r="R114" s="48">
        <f>IF(A114="","",IF(Q114="Alta","Gestionar esta semana",IF(Q114="Media","Hacer seguimiento","Mantener")))</f>
        <v/>
      </c>
      <c r="S114" s="68">
        <f>IF(A114="","",IF(I114=0,"Sin venta",IF(I114&gt;=cfg_VentaAlta,"Alta",IF(I114&lt;cfg_VentaBaja,"Baja","Media"))))</f>
        <v/>
      </c>
    </row>
    <row r="115">
      <c r="A115" s="48">
        <f>IF(Clientes_PDV!A115="","",Clientes_PDV!A115)</f>
        <v/>
      </c>
      <c r="B115" s="48">
        <f>IF(A115="","",IFERROR(VLOOKUP(A115,Clientes_PDV!$A$2:$J$250,2,FALSE),""))</f>
        <v/>
      </c>
      <c r="C115" s="48">
        <f>IF(A115="","",IFERROR(VLOOKUP(A115,Clientes_PDV!$A$2:$J$250,3,FALSE),""))</f>
        <v/>
      </c>
      <c r="D115" s="48">
        <f>IF(A115="","",IFERROR(VLOOKUP(A115,Clientes_PDV!$A$2:$J$250,4,FALSE),""))</f>
        <v/>
      </c>
      <c r="E115" s="48">
        <f>IF(A115="","",IFERROR(VLOOKUP(A115,Clientes_PDV!$A$2:$J$250,7,FALSE),""))</f>
        <v/>
      </c>
      <c r="F115" s="49">
        <f>IF(A115="","",IFERROR(VLOOKUP(A115,Clientes_PDV!$A$2:$J$250,8,FALSE),""))</f>
        <v/>
      </c>
      <c r="G115" s="50">
        <f>IF(F115="","",TODAY()-F115)</f>
        <v/>
      </c>
      <c r="H115" s="48">
        <f>IF(A115="","",IF(F115="","Sin visita",IF(G115&lt;=IFERROR(VLOOKUP(E115,Inicio!$A$24:$B$26,2,FALSE),0),"Vigente","Atrasado")))</f>
        <v/>
      </c>
      <c r="I115" s="51">
        <f>IF(A115="","",SUMIFS(Ventas_SellIn!$L$2:$L$800,Ventas_SellIn!$D$2:$D$800,A115,Ventas_SellIn!$B$2:$B$800,"&gt;="&amp;TODAY()-Inicio!$B$14))</f>
        <v/>
      </c>
      <c r="J115" s="50">
        <f>IF(A115="","",SUMIFS(SellOut_Jumbo!$F$2:$F$800,SellOut_Jumbo!$C$2:$C$800,D115,SellOut_Jumbo!$A$2:$A$800,"&gt;="&amp;TODAY()-Inicio!$B$14))</f>
        <v/>
      </c>
      <c r="K115" s="48">
        <f>IF(A115="","",IF(I115=0,"Sin venta",IF(I115&lt;Inicio!$B$15,"Venta baja","Venta OK")))</f>
        <v/>
      </c>
      <c r="L115" s="50">
        <f>IF(A115="","",COUNTIFS(Ventas_SellIn!$D$2:$D$800,A115,Ventas_SellIn!$R$2:$R$800,"&gt;0"))</f>
        <v/>
      </c>
      <c r="M115" s="51">
        <f>IF(A115="","",SUMIFS(Ventas_SellIn!$R$2:$R$800,Ventas_SellIn!$D$2:$D$800,A115))</f>
        <v/>
      </c>
      <c r="N115" s="48">
        <f>IF(A115="","",IF(M115&gt;=Inicio!$B$18,"Pendiente relevante",IF(M115&gt;0,"Pendiente menor","Sin deuda")))</f>
        <v/>
      </c>
      <c r="O115" s="50">
        <f>IF(A115="","",SUMIFS(Stock_PDV!$H$2:$H$800,Stock_PDV!$A$2:$A$800,A115))</f>
        <v/>
      </c>
      <c r="P115" s="48">
        <f>IF(A115="","",IF(O115&lt;=Inicio!$B$16,"Crítico",IF(O115&lt;=Inicio!$B$17,"Observar","OK")))</f>
        <v/>
      </c>
      <c r="Q115" s="48">
        <f>IF(A115="","",IF(OR(H115="Atrasado",K115="Sin venta",N115="Pendiente relevante",P115="Crítico"),"Alta",IF(OR(K115="Venta baja",N115="Pendiente menor",P115="Observar"),"Media","Baja")))</f>
        <v/>
      </c>
      <c r="R115" s="48">
        <f>IF(A115="","",IF(Q115="Alta","Gestionar esta semana",IF(Q115="Media","Hacer seguimiento","Mantener")))</f>
        <v/>
      </c>
      <c r="S115" s="68">
        <f>IF(A115="","",IF(I115=0,"Sin venta",IF(I115&gt;=cfg_VentaAlta,"Alta",IF(I115&lt;cfg_VentaBaja,"Baja","Media"))))</f>
        <v/>
      </c>
    </row>
    <row r="116">
      <c r="A116" s="48">
        <f>IF(Clientes_PDV!A116="","",Clientes_PDV!A116)</f>
        <v/>
      </c>
      <c r="B116" s="48">
        <f>IF(A116="","",IFERROR(VLOOKUP(A116,Clientes_PDV!$A$2:$J$250,2,FALSE),""))</f>
        <v/>
      </c>
      <c r="C116" s="48">
        <f>IF(A116="","",IFERROR(VLOOKUP(A116,Clientes_PDV!$A$2:$J$250,3,FALSE),""))</f>
        <v/>
      </c>
      <c r="D116" s="48">
        <f>IF(A116="","",IFERROR(VLOOKUP(A116,Clientes_PDV!$A$2:$J$250,4,FALSE),""))</f>
        <v/>
      </c>
      <c r="E116" s="48">
        <f>IF(A116="","",IFERROR(VLOOKUP(A116,Clientes_PDV!$A$2:$J$250,7,FALSE),""))</f>
        <v/>
      </c>
      <c r="F116" s="49">
        <f>IF(A116="","",IFERROR(VLOOKUP(A116,Clientes_PDV!$A$2:$J$250,8,FALSE),""))</f>
        <v/>
      </c>
      <c r="G116" s="50">
        <f>IF(F116="","",TODAY()-F116)</f>
        <v/>
      </c>
      <c r="H116" s="48">
        <f>IF(A116="","",IF(F116="","Sin visita",IF(G116&lt;=IFERROR(VLOOKUP(E116,Inicio!$A$24:$B$26,2,FALSE),0),"Vigente","Atrasado")))</f>
        <v/>
      </c>
      <c r="I116" s="51">
        <f>IF(A116="","",SUMIFS(Ventas_SellIn!$L$2:$L$800,Ventas_SellIn!$D$2:$D$800,A116,Ventas_SellIn!$B$2:$B$800,"&gt;="&amp;TODAY()-Inicio!$B$14))</f>
        <v/>
      </c>
      <c r="J116" s="50">
        <f>IF(A116="","",SUMIFS(SellOut_Jumbo!$F$2:$F$800,SellOut_Jumbo!$C$2:$C$800,D116,SellOut_Jumbo!$A$2:$A$800,"&gt;="&amp;TODAY()-Inicio!$B$14))</f>
        <v/>
      </c>
      <c r="K116" s="48">
        <f>IF(A116="","",IF(I116=0,"Sin venta",IF(I116&lt;Inicio!$B$15,"Venta baja","Venta OK")))</f>
        <v/>
      </c>
      <c r="L116" s="50">
        <f>IF(A116="","",COUNTIFS(Ventas_SellIn!$D$2:$D$800,A116,Ventas_SellIn!$R$2:$R$800,"&gt;0"))</f>
        <v/>
      </c>
      <c r="M116" s="51">
        <f>IF(A116="","",SUMIFS(Ventas_SellIn!$R$2:$R$800,Ventas_SellIn!$D$2:$D$800,A116))</f>
        <v/>
      </c>
      <c r="N116" s="48">
        <f>IF(A116="","",IF(M116&gt;=Inicio!$B$18,"Pendiente relevante",IF(M116&gt;0,"Pendiente menor","Sin deuda")))</f>
        <v/>
      </c>
      <c r="O116" s="50">
        <f>IF(A116="","",SUMIFS(Stock_PDV!$H$2:$H$800,Stock_PDV!$A$2:$A$800,A116))</f>
        <v/>
      </c>
      <c r="P116" s="48">
        <f>IF(A116="","",IF(O116&lt;=Inicio!$B$16,"Crítico",IF(O116&lt;=Inicio!$B$17,"Observar","OK")))</f>
        <v/>
      </c>
      <c r="Q116" s="48">
        <f>IF(A116="","",IF(OR(H116="Atrasado",K116="Sin venta",N116="Pendiente relevante",P116="Crítico"),"Alta",IF(OR(K116="Venta baja",N116="Pendiente menor",P116="Observar"),"Media","Baja")))</f>
        <v/>
      </c>
      <c r="R116" s="48">
        <f>IF(A116="","",IF(Q116="Alta","Gestionar esta semana",IF(Q116="Media","Hacer seguimiento","Mantener")))</f>
        <v/>
      </c>
      <c r="S116" s="68">
        <f>IF(A116="","",IF(I116=0,"Sin venta",IF(I116&gt;=cfg_VentaAlta,"Alta",IF(I116&lt;cfg_VentaBaja,"Baja","Media"))))</f>
        <v/>
      </c>
    </row>
    <row r="117">
      <c r="A117" s="48">
        <f>IF(Clientes_PDV!A117="","",Clientes_PDV!A117)</f>
        <v/>
      </c>
      <c r="B117" s="48">
        <f>IF(A117="","",IFERROR(VLOOKUP(A117,Clientes_PDV!$A$2:$J$250,2,FALSE),""))</f>
        <v/>
      </c>
      <c r="C117" s="48">
        <f>IF(A117="","",IFERROR(VLOOKUP(A117,Clientes_PDV!$A$2:$J$250,3,FALSE),""))</f>
        <v/>
      </c>
      <c r="D117" s="48">
        <f>IF(A117="","",IFERROR(VLOOKUP(A117,Clientes_PDV!$A$2:$J$250,4,FALSE),""))</f>
        <v/>
      </c>
      <c r="E117" s="48">
        <f>IF(A117="","",IFERROR(VLOOKUP(A117,Clientes_PDV!$A$2:$J$250,7,FALSE),""))</f>
        <v/>
      </c>
      <c r="F117" s="49">
        <f>IF(A117="","",IFERROR(VLOOKUP(A117,Clientes_PDV!$A$2:$J$250,8,FALSE),""))</f>
        <v/>
      </c>
      <c r="G117" s="50">
        <f>IF(F117="","",TODAY()-F117)</f>
        <v/>
      </c>
      <c r="H117" s="48">
        <f>IF(A117="","",IF(F117="","Sin visita",IF(G117&lt;=IFERROR(VLOOKUP(E117,Inicio!$A$24:$B$26,2,FALSE),0),"Vigente","Atrasado")))</f>
        <v/>
      </c>
      <c r="I117" s="51">
        <f>IF(A117="","",SUMIFS(Ventas_SellIn!$L$2:$L$800,Ventas_SellIn!$D$2:$D$800,A117,Ventas_SellIn!$B$2:$B$800,"&gt;="&amp;TODAY()-Inicio!$B$14))</f>
        <v/>
      </c>
      <c r="J117" s="50">
        <f>IF(A117="","",SUMIFS(SellOut_Jumbo!$F$2:$F$800,SellOut_Jumbo!$C$2:$C$800,D117,SellOut_Jumbo!$A$2:$A$800,"&gt;="&amp;TODAY()-Inicio!$B$14))</f>
        <v/>
      </c>
      <c r="K117" s="48">
        <f>IF(A117="","",IF(I117=0,"Sin venta",IF(I117&lt;Inicio!$B$15,"Venta baja","Venta OK")))</f>
        <v/>
      </c>
      <c r="L117" s="50">
        <f>IF(A117="","",COUNTIFS(Ventas_SellIn!$D$2:$D$800,A117,Ventas_SellIn!$R$2:$R$800,"&gt;0"))</f>
        <v/>
      </c>
      <c r="M117" s="51">
        <f>IF(A117="","",SUMIFS(Ventas_SellIn!$R$2:$R$800,Ventas_SellIn!$D$2:$D$800,A117))</f>
        <v/>
      </c>
      <c r="N117" s="48">
        <f>IF(A117="","",IF(M117&gt;=Inicio!$B$18,"Pendiente relevante",IF(M117&gt;0,"Pendiente menor","Sin deuda")))</f>
        <v/>
      </c>
      <c r="O117" s="50">
        <f>IF(A117="","",SUMIFS(Stock_PDV!$H$2:$H$800,Stock_PDV!$A$2:$A$800,A117))</f>
        <v/>
      </c>
      <c r="P117" s="48">
        <f>IF(A117="","",IF(O117&lt;=Inicio!$B$16,"Crítico",IF(O117&lt;=Inicio!$B$17,"Observar","OK")))</f>
        <v/>
      </c>
      <c r="Q117" s="48">
        <f>IF(A117="","",IF(OR(H117="Atrasado",K117="Sin venta",N117="Pendiente relevante",P117="Crítico"),"Alta",IF(OR(K117="Venta baja",N117="Pendiente menor",P117="Observar"),"Media","Baja")))</f>
        <v/>
      </c>
      <c r="R117" s="48">
        <f>IF(A117="","",IF(Q117="Alta","Gestionar esta semana",IF(Q117="Media","Hacer seguimiento","Mantener")))</f>
        <v/>
      </c>
      <c r="S117" s="68">
        <f>IF(A117="","",IF(I117=0,"Sin venta",IF(I117&gt;=cfg_VentaAlta,"Alta",IF(I117&lt;cfg_VentaBaja,"Baja","Media"))))</f>
        <v/>
      </c>
    </row>
    <row r="118">
      <c r="A118" s="48">
        <f>IF(Clientes_PDV!A118="","",Clientes_PDV!A118)</f>
        <v/>
      </c>
      <c r="B118" s="48">
        <f>IF(A118="","",IFERROR(VLOOKUP(A118,Clientes_PDV!$A$2:$J$250,2,FALSE),""))</f>
        <v/>
      </c>
      <c r="C118" s="48">
        <f>IF(A118="","",IFERROR(VLOOKUP(A118,Clientes_PDV!$A$2:$J$250,3,FALSE),""))</f>
        <v/>
      </c>
      <c r="D118" s="48">
        <f>IF(A118="","",IFERROR(VLOOKUP(A118,Clientes_PDV!$A$2:$J$250,4,FALSE),""))</f>
        <v/>
      </c>
      <c r="E118" s="48">
        <f>IF(A118="","",IFERROR(VLOOKUP(A118,Clientes_PDV!$A$2:$J$250,7,FALSE),""))</f>
        <v/>
      </c>
      <c r="F118" s="49">
        <f>IF(A118="","",IFERROR(VLOOKUP(A118,Clientes_PDV!$A$2:$J$250,8,FALSE),""))</f>
        <v/>
      </c>
      <c r="G118" s="50">
        <f>IF(F118="","",TODAY()-F118)</f>
        <v/>
      </c>
      <c r="H118" s="48">
        <f>IF(A118="","",IF(F118="","Sin visita",IF(G118&lt;=IFERROR(VLOOKUP(E118,Inicio!$A$24:$B$26,2,FALSE),0),"Vigente","Atrasado")))</f>
        <v/>
      </c>
      <c r="I118" s="51">
        <f>IF(A118="","",SUMIFS(Ventas_SellIn!$L$2:$L$800,Ventas_SellIn!$D$2:$D$800,A118,Ventas_SellIn!$B$2:$B$800,"&gt;="&amp;TODAY()-Inicio!$B$14))</f>
        <v/>
      </c>
      <c r="J118" s="50">
        <f>IF(A118="","",SUMIFS(SellOut_Jumbo!$F$2:$F$800,SellOut_Jumbo!$C$2:$C$800,D118,SellOut_Jumbo!$A$2:$A$800,"&gt;="&amp;TODAY()-Inicio!$B$14))</f>
        <v/>
      </c>
      <c r="K118" s="48">
        <f>IF(A118="","",IF(I118=0,"Sin venta",IF(I118&lt;Inicio!$B$15,"Venta baja","Venta OK")))</f>
        <v/>
      </c>
      <c r="L118" s="50">
        <f>IF(A118="","",COUNTIFS(Ventas_SellIn!$D$2:$D$800,A118,Ventas_SellIn!$R$2:$R$800,"&gt;0"))</f>
        <v/>
      </c>
      <c r="M118" s="51">
        <f>IF(A118="","",SUMIFS(Ventas_SellIn!$R$2:$R$800,Ventas_SellIn!$D$2:$D$800,A118))</f>
        <v/>
      </c>
      <c r="N118" s="48">
        <f>IF(A118="","",IF(M118&gt;=Inicio!$B$18,"Pendiente relevante",IF(M118&gt;0,"Pendiente menor","Sin deuda")))</f>
        <v/>
      </c>
      <c r="O118" s="50">
        <f>IF(A118="","",SUMIFS(Stock_PDV!$H$2:$H$800,Stock_PDV!$A$2:$A$800,A118))</f>
        <v/>
      </c>
      <c r="P118" s="48">
        <f>IF(A118="","",IF(O118&lt;=Inicio!$B$16,"Crítico",IF(O118&lt;=Inicio!$B$17,"Observar","OK")))</f>
        <v/>
      </c>
      <c r="Q118" s="48">
        <f>IF(A118="","",IF(OR(H118="Atrasado",K118="Sin venta",N118="Pendiente relevante",P118="Crítico"),"Alta",IF(OR(K118="Venta baja",N118="Pendiente menor",P118="Observar"),"Media","Baja")))</f>
        <v/>
      </c>
      <c r="R118" s="48">
        <f>IF(A118="","",IF(Q118="Alta","Gestionar esta semana",IF(Q118="Media","Hacer seguimiento","Mantener")))</f>
        <v/>
      </c>
      <c r="S118" s="68">
        <f>IF(A118="","",IF(I118=0,"Sin venta",IF(I118&gt;=cfg_VentaAlta,"Alta",IF(I118&lt;cfg_VentaBaja,"Baja","Media"))))</f>
        <v/>
      </c>
    </row>
    <row r="119">
      <c r="A119" s="48">
        <f>IF(Clientes_PDV!A119="","",Clientes_PDV!A119)</f>
        <v/>
      </c>
      <c r="B119" s="48">
        <f>IF(A119="","",IFERROR(VLOOKUP(A119,Clientes_PDV!$A$2:$J$250,2,FALSE),""))</f>
        <v/>
      </c>
      <c r="C119" s="48">
        <f>IF(A119="","",IFERROR(VLOOKUP(A119,Clientes_PDV!$A$2:$J$250,3,FALSE),""))</f>
        <v/>
      </c>
      <c r="D119" s="48">
        <f>IF(A119="","",IFERROR(VLOOKUP(A119,Clientes_PDV!$A$2:$J$250,4,FALSE),""))</f>
        <v/>
      </c>
      <c r="E119" s="48">
        <f>IF(A119="","",IFERROR(VLOOKUP(A119,Clientes_PDV!$A$2:$J$250,7,FALSE),""))</f>
        <v/>
      </c>
      <c r="F119" s="49">
        <f>IF(A119="","",IFERROR(VLOOKUP(A119,Clientes_PDV!$A$2:$J$250,8,FALSE),""))</f>
        <v/>
      </c>
      <c r="G119" s="50">
        <f>IF(F119="","",TODAY()-F119)</f>
        <v/>
      </c>
      <c r="H119" s="48">
        <f>IF(A119="","",IF(F119="","Sin visita",IF(G119&lt;=IFERROR(VLOOKUP(E119,Inicio!$A$24:$B$26,2,FALSE),0),"Vigente","Atrasado")))</f>
        <v/>
      </c>
      <c r="I119" s="51">
        <f>IF(A119="","",SUMIFS(Ventas_SellIn!$L$2:$L$800,Ventas_SellIn!$D$2:$D$800,A119,Ventas_SellIn!$B$2:$B$800,"&gt;="&amp;TODAY()-Inicio!$B$14))</f>
        <v/>
      </c>
      <c r="J119" s="50">
        <f>IF(A119="","",SUMIFS(SellOut_Jumbo!$F$2:$F$800,SellOut_Jumbo!$C$2:$C$800,D119,SellOut_Jumbo!$A$2:$A$800,"&gt;="&amp;TODAY()-Inicio!$B$14))</f>
        <v/>
      </c>
      <c r="K119" s="48">
        <f>IF(A119="","",IF(I119=0,"Sin venta",IF(I119&lt;Inicio!$B$15,"Venta baja","Venta OK")))</f>
        <v/>
      </c>
      <c r="L119" s="50">
        <f>IF(A119="","",COUNTIFS(Ventas_SellIn!$D$2:$D$800,A119,Ventas_SellIn!$R$2:$R$800,"&gt;0"))</f>
        <v/>
      </c>
      <c r="M119" s="51">
        <f>IF(A119="","",SUMIFS(Ventas_SellIn!$R$2:$R$800,Ventas_SellIn!$D$2:$D$800,A119))</f>
        <v/>
      </c>
      <c r="N119" s="48">
        <f>IF(A119="","",IF(M119&gt;=Inicio!$B$18,"Pendiente relevante",IF(M119&gt;0,"Pendiente menor","Sin deuda")))</f>
        <v/>
      </c>
      <c r="O119" s="50">
        <f>IF(A119="","",SUMIFS(Stock_PDV!$H$2:$H$800,Stock_PDV!$A$2:$A$800,A119))</f>
        <v/>
      </c>
      <c r="P119" s="48">
        <f>IF(A119="","",IF(O119&lt;=Inicio!$B$16,"Crítico",IF(O119&lt;=Inicio!$B$17,"Observar","OK")))</f>
        <v/>
      </c>
      <c r="Q119" s="48">
        <f>IF(A119="","",IF(OR(H119="Atrasado",K119="Sin venta",N119="Pendiente relevante",P119="Crítico"),"Alta",IF(OR(K119="Venta baja",N119="Pendiente menor",P119="Observar"),"Media","Baja")))</f>
        <v/>
      </c>
      <c r="R119" s="48">
        <f>IF(A119="","",IF(Q119="Alta","Gestionar esta semana",IF(Q119="Media","Hacer seguimiento","Mantener")))</f>
        <v/>
      </c>
      <c r="S119" s="68">
        <f>IF(A119="","",IF(I119=0,"Sin venta",IF(I119&gt;=cfg_VentaAlta,"Alta",IF(I119&lt;cfg_VentaBaja,"Baja","Media"))))</f>
        <v/>
      </c>
    </row>
    <row r="120">
      <c r="A120" s="48">
        <f>IF(Clientes_PDV!A120="","",Clientes_PDV!A120)</f>
        <v/>
      </c>
      <c r="B120" s="48">
        <f>IF(A120="","",IFERROR(VLOOKUP(A120,Clientes_PDV!$A$2:$J$250,2,FALSE),""))</f>
        <v/>
      </c>
      <c r="C120" s="48">
        <f>IF(A120="","",IFERROR(VLOOKUP(A120,Clientes_PDV!$A$2:$J$250,3,FALSE),""))</f>
        <v/>
      </c>
      <c r="D120" s="48">
        <f>IF(A120="","",IFERROR(VLOOKUP(A120,Clientes_PDV!$A$2:$J$250,4,FALSE),""))</f>
        <v/>
      </c>
      <c r="E120" s="48">
        <f>IF(A120="","",IFERROR(VLOOKUP(A120,Clientes_PDV!$A$2:$J$250,7,FALSE),""))</f>
        <v/>
      </c>
      <c r="F120" s="49">
        <f>IF(A120="","",IFERROR(VLOOKUP(A120,Clientes_PDV!$A$2:$J$250,8,FALSE),""))</f>
        <v/>
      </c>
      <c r="G120" s="50">
        <f>IF(F120="","",TODAY()-F120)</f>
        <v/>
      </c>
      <c r="H120" s="48">
        <f>IF(A120="","",IF(F120="","Sin visita",IF(G120&lt;=IFERROR(VLOOKUP(E120,Inicio!$A$24:$B$26,2,FALSE),0),"Vigente","Atrasado")))</f>
        <v/>
      </c>
      <c r="I120" s="51">
        <f>IF(A120="","",SUMIFS(Ventas_SellIn!$L$2:$L$800,Ventas_SellIn!$D$2:$D$800,A120,Ventas_SellIn!$B$2:$B$800,"&gt;="&amp;TODAY()-Inicio!$B$14))</f>
        <v/>
      </c>
      <c r="J120" s="50">
        <f>IF(A120="","",SUMIFS(SellOut_Jumbo!$F$2:$F$800,SellOut_Jumbo!$C$2:$C$800,D120,SellOut_Jumbo!$A$2:$A$800,"&gt;="&amp;TODAY()-Inicio!$B$14))</f>
        <v/>
      </c>
      <c r="K120" s="48">
        <f>IF(A120="","",IF(I120=0,"Sin venta",IF(I120&lt;Inicio!$B$15,"Venta baja","Venta OK")))</f>
        <v/>
      </c>
      <c r="L120" s="50">
        <f>IF(A120="","",COUNTIFS(Ventas_SellIn!$D$2:$D$800,A120,Ventas_SellIn!$R$2:$R$800,"&gt;0"))</f>
        <v/>
      </c>
      <c r="M120" s="51">
        <f>IF(A120="","",SUMIFS(Ventas_SellIn!$R$2:$R$800,Ventas_SellIn!$D$2:$D$800,A120))</f>
        <v/>
      </c>
      <c r="N120" s="48">
        <f>IF(A120="","",IF(M120&gt;=Inicio!$B$18,"Pendiente relevante",IF(M120&gt;0,"Pendiente menor","Sin deuda")))</f>
        <v/>
      </c>
      <c r="O120" s="50">
        <f>IF(A120="","",SUMIFS(Stock_PDV!$H$2:$H$800,Stock_PDV!$A$2:$A$800,A120))</f>
        <v/>
      </c>
      <c r="P120" s="48">
        <f>IF(A120="","",IF(O120&lt;=Inicio!$B$16,"Crítico",IF(O120&lt;=Inicio!$B$17,"Observar","OK")))</f>
        <v/>
      </c>
      <c r="Q120" s="48">
        <f>IF(A120="","",IF(OR(H120="Atrasado",K120="Sin venta",N120="Pendiente relevante",P120="Crítico"),"Alta",IF(OR(K120="Venta baja",N120="Pendiente menor",P120="Observar"),"Media","Baja")))</f>
        <v/>
      </c>
      <c r="R120" s="48">
        <f>IF(A120="","",IF(Q120="Alta","Gestionar esta semana",IF(Q120="Media","Hacer seguimiento","Mantener")))</f>
        <v/>
      </c>
      <c r="S120" s="68">
        <f>IF(A120="","",IF(I120=0,"Sin venta",IF(I120&gt;=cfg_VentaAlta,"Alta",IF(I120&lt;cfg_VentaBaja,"Baja","Media"))))</f>
        <v/>
      </c>
    </row>
    <row r="121">
      <c r="A121" s="48">
        <f>IF(Clientes_PDV!A121="","",Clientes_PDV!A121)</f>
        <v/>
      </c>
      <c r="B121" s="48">
        <f>IF(A121="","",IFERROR(VLOOKUP(A121,Clientes_PDV!$A$2:$J$250,2,FALSE),""))</f>
        <v/>
      </c>
      <c r="C121" s="48">
        <f>IF(A121="","",IFERROR(VLOOKUP(A121,Clientes_PDV!$A$2:$J$250,3,FALSE),""))</f>
        <v/>
      </c>
      <c r="D121" s="48">
        <f>IF(A121="","",IFERROR(VLOOKUP(A121,Clientes_PDV!$A$2:$J$250,4,FALSE),""))</f>
        <v/>
      </c>
      <c r="E121" s="48">
        <f>IF(A121="","",IFERROR(VLOOKUP(A121,Clientes_PDV!$A$2:$J$250,7,FALSE),""))</f>
        <v/>
      </c>
      <c r="F121" s="49">
        <f>IF(A121="","",IFERROR(VLOOKUP(A121,Clientes_PDV!$A$2:$J$250,8,FALSE),""))</f>
        <v/>
      </c>
      <c r="G121" s="50">
        <f>IF(F121="","",TODAY()-F121)</f>
        <v/>
      </c>
      <c r="H121" s="48">
        <f>IF(A121="","",IF(F121="","Sin visita",IF(G121&lt;=IFERROR(VLOOKUP(E121,Inicio!$A$24:$B$26,2,FALSE),0),"Vigente","Atrasado")))</f>
        <v/>
      </c>
      <c r="I121" s="51">
        <f>IF(A121="","",SUMIFS(Ventas_SellIn!$L$2:$L$800,Ventas_SellIn!$D$2:$D$800,A121,Ventas_SellIn!$B$2:$B$800,"&gt;="&amp;TODAY()-Inicio!$B$14))</f>
        <v/>
      </c>
      <c r="J121" s="50">
        <f>IF(A121="","",SUMIFS(SellOut_Jumbo!$F$2:$F$800,SellOut_Jumbo!$C$2:$C$800,D121,SellOut_Jumbo!$A$2:$A$800,"&gt;="&amp;TODAY()-Inicio!$B$14))</f>
        <v/>
      </c>
      <c r="K121" s="48">
        <f>IF(A121="","",IF(I121=0,"Sin venta",IF(I121&lt;Inicio!$B$15,"Venta baja","Venta OK")))</f>
        <v/>
      </c>
      <c r="L121" s="50">
        <f>IF(A121="","",COUNTIFS(Ventas_SellIn!$D$2:$D$800,A121,Ventas_SellIn!$R$2:$R$800,"&gt;0"))</f>
        <v/>
      </c>
      <c r="M121" s="51">
        <f>IF(A121="","",SUMIFS(Ventas_SellIn!$R$2:$R$800,Ventas_SellIn!$D$2:$D$800,A121))</f>
        <v/>
      </c>
      <c r="N121" s="48">
        <f>IF(A121="","",IF(M121&gt;=Inicio!$B$18,"Pendiente relevante",IF(M121&gt;0,"Pendiente menor","Sin deuda")))</f>
        <v/>
      </c>
      <c r="O121" s="50">
        <f>IF(A121="","",SUMIFS(Stock_PDV!$H$2:$H$800,Stock_PDV!$A$2:$A$800,A121))</f>
        <v/>
      </c>
      <c r="P121" s="48">
        <f>IF(A121="","",IF(O121&lt;=Inicio!$B$16,"Crítico",IF(O121&lt;=Inicio!$B$17,"Observar","OK")))</f>
        <v/>
      </c>
      <c r="Q121" s="48">
        <f>IF(A121="","",IF(OR(H121="Atrasado",K121="Sin venta",N121="Pendiente relevante",P121="Crítico"),"Alta",IF(OR(K121="Venta baja",N121="Pendiente menor",P121="Observar"),"Media","Baja")))</f>
        <v/>
      </c>
      <c r="R121" s="48">
        <f>IF(A121="","",IF(Q121="Alta","Gestionar esta semana",IF(Q121="Media","Hacer seguimiento","Mantener")))</f>
        <v/>
      </c>
      <c r="S121" s="68">
        <f>IF(A121="","",IF(I121=0,"Sin venta",IF(I121&gt;=cfg_VentaAlta,"Alta",IF(I121&lt;cfg_VentaBaja,"Baja","Media"))))</f>
        <v/>
      </c>
    </row>
    <row r="122">
      <c r="A122" s="48">
        <f>IF(Clientes_PDV!A122="","",Clientes_PDV!A122)</f>
        <v/>
      </c>
      <c r="B122" s="48">
        <f>IF(A122="","",IFERROR(VLOOKUP(A122,Clientes_PDV!$A$2:$J$250,2,FALSE),""))</f>
        <v/>
      </c>
      <c r="C122" s="48">
        <f>IF(A122="","",IFERROR(VLOOKUP(A122,Clientes_PDV!$A$2:$J$250,3,FALSE),""))</f>
        <v/>
      </c>
      <c r="D122" s="48">
        <f>IF(A122="","",IFERROR(VLOOKUP(A122,Clientes_PDV!$A$2:$J$250,4,FALSE),""))</f>
        <v/>
      </c>
      <c r="E122" s="48">
        <f>IF(A122="","",IFERROR(VLOOKUP(A122,Clientes_PDV!$A$2:$J$250,7,FALSE),""))</f>
        <v/>
      </c>
      <c r="F122" s="49">
        <f>IF(A122="","",IFERROR(VLOOKUP(A122,Clientes_PDV!$A$2:$J$250,8,FALSE),""))</f>
        <v/>
      </c>
      <c r="G122" s="50">
        <f>IF(F122="","",TODAY()-F122)</f>
        <v/>
      </c>
      <c r="H122" s="48">
        <f>IF(A122="","",IF(F122="","Sin visita",IF(G122&lt;=IFERROR(VLOOKUP(E122,Inicio!$A$24:$B$26,2,FALSE),0),"Vigente","Atrasado")))</f>
        <v/>
      </c>
      <c r="I122" s="51">
        <f>IF(A122="","",SUMIFS(Ventas_SellIn!$L$2:$L$800,Ventas_SellIn!$D$2:$D$800,A122,Ventas_SellIn!$B$2:$B$800,"&gt;="&amp;TODAY()-Inicio!$B$14))</f>
        <v/>
      </c>
      <c r="J122" s="50">
        <f>IF(A122="","",SUMIFS(SellOut_Jumbo!$F$2:$F$800,SellOut_Jumbo!$C$2:$C$800,D122,SellOut_Jumbo!$A$2:$A$800,"&gt;="&amp;TODAY()-Inicio!$B$14))</f>
        <v/>
      </c>
      <c r="K122" s="48">
        <f>IF(A122="","",IF(I122=0,"Sin venta",IF(I122&lt;Inicio!$B$15,"Venta baja","Venta OK")))</f>
        <v/>
      </c>
      <c r="L122" s="50">
        <f>IF(A122="","",COUNTIFS(Ventas_SellIn!$D$2:$D$800,A122,Ventas_SellIn!$R$2:$R$800,"&gt;0"))</f>
        <v/>
      </c>
      <c r="M122" s="51">
        <f>IF(A122="","",SUMIFS(Ventas_SellIn!$R$2:$R$800,Ventas_SellIn!$D$2:$D$800,A122))</f>
        <v/>
      </c>
      <c r="N122" s="48">
        <f>IF(A122="","",IF(M122&gt;=Inicio!$B$18,"Pendiente relevante",IF(M122&gt;0,"Pendiente menor","Sin deuda")))</f>
        <v/>
      </c>
      <c r="O122" s="50">
        <f>IF(A122="","",SUMIFS(Stock_PDV!$H$2:$H$800,Stock_PDV!$A$2:$A$800,A122))</f>
        <v/>
      </c>
      <c r="P122" s="48">
        <f>IF(A122="","",IF(O122&lt;=Inicio!$B$16,"Crítico",IF(O122&lt;=Inicio!$B$17,"Observar","OK")))</f>
        <v/>
      </c>
      <c r="Q122" s="48">
        <f>IF(A122="","",IF(OR(H122="Atrasado",K122="Sin venta",N122="Pendiente relevante",P122="Crítico"),"Alta",IF(OR(K122="Venta baja",N122="Pendiente menor",P122="Observar"),"Media","Baja")))</f>
        <v/>
      </c>
      <c r="R122" s="48">
        <f>IF(A122="","",IF(Q122="Alta","Gestionar esta semana",IF(Q122="Media","Hacer seguimiento","Mantener")))</f>
        <v/>
      </c>
      <c r="S122" s="68">
        <f>IF(A122="","",IF(I122=0,"Sin venta",IF(I122&gt;=cfg_VentaAlta,"Alta",IF(I122&lt;cfg_VentaBaja,"Baja","Media"))))</f>
        <v/>
      </c>
    </row>
    <row r="123">
      <c r="A123" s="48">
        <f>IF(Clientes_PDV!A123="","",Clientes_PDV!A123)</f>
        <v/>
      </c>
      <c r="B123" s="48">
        <f>IF(A123="","",IFERROR(VLOOKUP(A123,Clientes_PDV!$A$2:$J$250,2,FALSE),""))</f>
        <v/>
      </c>
      <c r="C123" s="48">
        <f>IF(A123="","",IFERROR(VLOOKUP(A123,Clientes_PDV!$A$2:$J$250,3,FALSE),""))</f>
        <v/>
      </c>
      <c r="D123" s="48">
        <f>IF(A123="","",IFERROR(VLOOKUP(A123,Clientes_PDV!$A$2:$J$250,4,FALSE),""))</f>
        <v/>
      </c>
      <c r="E123" s="48">
        <f>IF(A123="","",IFERROR(VLOOKUP(A123,Clientes_PDV!$A$2:$J$250,7,FALSE),""))</f>
        <v/>
      </c>
      <c r="F123" s="49">
        <f>IF(A123="","",IFERROR(VLOOKUP(A123,Clientes_PDV!$A$2:$J$250,8,FALSE),""))</f>
        <v/>
      </c>
      <c r="G123" s="50">
        <f>IF(F123="","",TODAY()-F123)</f>
        <v/>
      </c>
      <c r="H123" s="48">
        <f>IF(A123="","",IF(F123="","Sin visita",IF(G123&lt;=IFERROR(VLOOKUP(E123,Inicio!$A$24:$B$26,2,FALSE),0),"Vigente","Atrasado")))</f>
        <v/>
      </c>
      <c r="I123" s="51">
        <f>IF(A123="","",SUMIFS(Ventas_SellIn!$L$2:$L$800,Ventas_SellIn!$D$2:$D$800,A123,Ventas_SellIn!$B$2:$B$800,"&gt;="&amp;TODAY()-Inicio!$B$14))</f>
        <v/>
      </c>
      <c r="J123" s="50">
        <f>IF(A123="","",SUMIFS(SellOut_Jumbo!$F$2:$F$800,SellOut_Jumbo!$C$2:$C$800,D123,SellOut_Jumbo!$A$2:$A$800,"&gt;="&amp;TODAY()-Inicio!$B$14))</f>
        <v/>
      </c>
      <c r="K123" s="48">
        <f>IF(A123="","",IF(I123=0,"Sin venta",IF(I123&lt;Inicio!$B$15,"Venta baja","Venta OK")))</f>
        <v/>
      </c>
      <c r="L123" s="50">
        <f>IF(A123="","",COUNTIFS(Ventas_SellIn!$D$2:$D$800,A123,Ventas_SellIn!$R$2:$R$800,"&gt;0"))</f>
        <v/>
      </c>
      <c r="M123" s="51">
        <f>IF(A123="","",SUMIFS(Ventas_SellIn!$R$2:$R$800,Ventas_SellIn!$D$2:$D$800,A123))</f>
        <v/>
      </c>
      <c r="N123" s="48">
        <f>IF(A123="","",IF(M123&gt;=Inicio!$B$18,"Pendiente relevante",IF(M123&gt;0,"Pendiente menor","Sin deuda")))</f>
        <v/>
      </c>
      <c r="O123" s="50">
        <f>IF(A123="","",SUMIFS(Stock_PDV!$H$2:$H$800,Stock_PDV!$A$2:$A$800,A123))</f>
        <v/>
      </c>
      <c r="P123" s="48">
        <f>IF(A123="","",IF(O123&lt;=Inicio!$B$16,"Crítico",IF(O123&lt;=Inicio!$B$17,"Observar","OK")))</f>
        <v/>
      </c>
      <c r="Q123" s="48">
        <f>IF(A123="","",IF(OR(H123="Atrasado",K123="Sin venta",N123="Pendiente relevante",P123="Crítico"),"Alta",IF(OR(K123="Venta baja",N123="Pendiente menor",P123="Observar"),"Media","Baja")))</f>
        <v/>
      </c>
      <c r="R123" s="48">
        <f>IF(A123="","",IF(Q123="Alta","Gestionar esta semana",IF(Q123="Media","Hacer seguimiento","Mantener")))</f>
        <v/>
      </c>
      <c r="S123" s="68">
        <f>IF(A123="","",IF(I123=0,"Sin venta",IF(I123&gt;=cfg_VentaAlta,"Alta",IF(I123&lt;cfg_VentaBaja,"Baja","Media"))))</f>
        <v/>
      </c>
    </row>
    <row r="124">
      <c r="A124" s="48">
        <f>IF(Clientes_PDV!A124="","",Clientes_PDV!A124)</f>
        <v/>
      </c>
      <c r="B124" s="48">
        <f>IF(A124="","",IFERROR(VLOOKUP(A124,Clientes_PDV!$A$2:$J$250,2,FALSE),""))</f>
        <v/>
      </c>
      <c r="C124" s="48">
        <f>IF(A124="","",IFERROR(VLOOKUP(A124,Clientes_PDV!$A$2:$J$250,3,FALSE),""))</f>
        <v/>
      </c>
      <c r="D124" s="48">
        <f>IF(A124="","",IFERROR(VLOOKUP(A124,Clientes_PDV!$A$2:$J$250,4,FALSE),""))</f>
        <v/>
      </c>
      <c r="E124" s="48">
        <f>IF(A124="","",IFERROR(VLOOKUP(A124,Clientes_PDV!$A$2:$J$250,7,FALSE),""))</f>
        <v/>
      </c>
      <c r="F124" s="49">
        <f>IF(A124="","",IFERROR(VLOOKUP(A124,Clientes_PDV!$A$2:$J$250,8,FALSE),""))</f>
        <v/>
      </c>
      <c r="G124" s="50">
        <f>IF(F124="","",TODAY()-F124)</f>
        <v/>
      </c>
      <c r="H124" s="48">
        <f>IF(A124="","",IF(F124="","Sin visita",IF(G124&lt;=IFERROR(VLOOKUP(E124,Inicio!$A$24:$B$26,2,FALSE),0),"Vigente","Atrasado")))</f>
        <v/>
      </c>
      <c r="I124" s="51">
        <f>IF(A124="","",SUMIFS(Ventas_SellIn!$L$2:$L$800,Ventas_SellIn!$D$2:$D$800,A124,Ventas_SellIn!$B$2:$B$800,"&gt;="&amp;TODAY()-Inicio!$B$14))</f>
        <v/>
      </c>
      <c r="J124" s="50">
        <f>IF(A124="","",SUMIFS(SellOut_Jumbo!$F$2:$F$800,SellOut_Jumbo!$C$2:$C$800,D124,SellOut_Jumbo!$A$2:$A$800,"&gt;="&amp;TODAY()-Inicio!$B$14))</f>
        <v/>
      </c>
      <c r="K124" s="48">
        <f>IF(A124="","",IF(I124=0,"Sin venta",IF(I124&lt;Inicio!$B$15,"Venta baja","Venta OK")))</f>
        <v/>
      </c>
      <c r="L124" s="50">
        <f>IF(A124="","",COUNTIFS(Ventas_SellIn!$D$2:$D$800,A124,Ventas_SellIn!$R$2:$R$800,"&gt;0"))</f>
        <v/>
      </c>
      <c r="M124" s="51">
        <f>IF(A124="","",SUMIFS(Ventas_SellIn!$R$2:$R$800,Ventas_SellIn!$D$2:$D$800,A124))</f>
        <v/>
      </c>
      <c r="N124" s="48">
        <f>IF(A124="","",IF(M124&gt;=Inicio!$B$18,"Pendiente relevante",IF(M124&gt;0,"Pendiente menor","Sin deuda")))</f>
        <v/>
      </c>
      <c r="O124" s="50">
        <f>IF(A124="","",SUMIFS(Stock_PDV!$H$2:$H$800,Stock_PDV!$A$2:$A$800,A124))</f>
        <v/>
      </c>
      <c r="P124" s="48">
        <f>IF(A124="","",IF(O124&lt;=Inicio!$B$16,"Crítico",IF(O124&lt;=Inicio!$B$17,"Observar","OK")))</f>
        <v/>
      </c>
      <c r="Q124" s="48">
        <f>IF(A124="","",IF(OR(H124="Atrasado",K124="Sin venta",N124="Pendiente relevante",P124="Crítico"),"Alta",IF(OR(K124="Venta baja",N124="Pendiente menor",P124="Observar"),"Media","Baja")))</f>
        <v/>
      </c>
      <c r="R124" s="48">
        <f>IF(A124="","",IF(Q124="Alta","Gestionar esta semana",IF(Q124="Media","Hacer seguimiento","Mantener")))</f>
        <v/>
      </c>
      <c r="S124" s="68">
        <f>IF(A124="","",IF(I124=0,"Sin venta",IF(I124&gt;=cfg_VentaAlta,"Alta",IF(I124&lt;cfg_VentaBaja,"Baja","Media"))))</f>
        <v/>
      </c>
    </row>
    <row r="125">
      <c r="A125" s="48">
        <f>IF(Clientes_PDV!A125="","",Clientes_PDV!A125)</f>
        <v/>
      </c>
      <c r="B125" s="48">
        <f>IF(A125="","",IFERROR(VLOOKUP(A125,Clientes_PDV!$A$2:$J$250,2,FALSE),""))</f>
        <v/>
      </c>
      <c r="C125" s="48">
        <f>IF(A125="","",IFERROR(VLOOKUP(A125,Clientes_PDV!$A$2:$J$250,3,FALSE),""))</f>
        <v/>
      </c>
      <c r="D125" s="48">
        <f>IF(A125="","",IFERROR(VLOOKUP(A125,Clientes_PDV!$A$2:$J$250,4,FALSE),""))</f>
        <v/>
      </c>
      <c r="E125" s="48">
        <f>IF(A125="","",IFERROR(VLOOKUP(A125,Clientes_PDV!$A$2:$J$250,7,FALSE),""))</f>
        <v/>
      </c>
      <c r="F125" s="49">
        <f>IF(A125="","",IFERROR(VLOOKUP(A125,Clientes_PDV!$A$2:$J$250,8,FALSE),""))</f>
        <v/>
      </c>
      <c r="G125" s="50">
        <f>IF(F125="","",TODAY()-F125)</f>
        <v/>
      </c>
      <c r="H125" s="48">
        <f>IF(A125="","",IF(F125="","Sin visita",IF(G125&lt;=IFERROR(VLOOKUP(E125,Inicio!$A$24:$B$26,2,FALSE),0),"Vigente","Atrasado")))</f>
        <v/>
      </c>
      <c r="I125" s="51">
        <f>IF(A125="","",SUMIFS(Ventas_SellIn!$L$2:$L$800,Ventas_SellIn!$D$2:$D$800,A125,Ventas_SellIn!$B$2:$B$800,"&gt;="&amp;TODAY()-Inicio!$B$14))</f>
        <v/>
      </c>
      <c r="J125" s="50">
        <f>IF(A125="","",SUMIFS(SellOut_Jumbo!$F$2:$F$800,SellOut_Jumbo!$C$2:$C$800,D125,SellOut_Jumbo!$A$2:$A$800,"&gt;="&amp;TODAY()-Inicio!$B$14))</f>
        <v/>
      </c>
      <c r="K125" s="48">
        <f>IF(A125="","",IF(I125=0,"Sin venta",IF(I125&lt;Inicio!$B$15,"Venta baja","Venta OK")))</f>
        <v/>
      </c>
      <c r="L125" s="50">
        <f>IF(A125="","",COUNTIFS(Ventas_SellIn!$D$2:$D$800,A125,Ventas_SellIn!$R$2:$R$800,"&gt;0"))</f>
        <v/>
      </c>
      <c r="M125" s="51">
        <f>IF(A125="","",SUMIFS(Ventas_SellIn!$R$2:$R$800,Ventas_SellIn!$D$2:$D$800,A125))</f>
        <v/>
      </c>
      <c r="N125" s="48">
        <f>IF(A125="","",IF(M125&gt;=Inicio!$B$18,"Pendiente relevante",IF(M125&gt;0,"Pendiente menor","Sin deuda")))</f>
        <v/>
      </c>
      <c r="O125" s="50">
        <f>IF(A125="","",SUMIFS(Stock_PDV!$H$2:$H$800,Stock_PDV!$A$2:$A$800,A125))</f>
        <v/>
      </c>
      <c r="P125" s="48">
        <f>IF(A125="","",IF(O125&lt;=Inicio!$B$16,"Crítico",IF(O125&lt;=Inicio!$B$17,"Observar","OK")))</f>
        <v/>
      </c>
      <c r="Q125" s="48">
        <f>IF(A125="","",IF(OR(H125="Atrasado",K125="Sin venta",N125="Pendiente relevante",P125="Crítico"),"Alta",IF(OR(K125="Venta baja",N125="Pendiente menor",P125="Observar"),"Media","Baja")))</f>
        <v/>
      </c>
      <c r="R125" s="48">
        <f>IF(A125="","",IF(Q125="Alta","Gestionar esta semana",IF(Q125="Media","Hacer seguimiento","Mantener")))</f>
        <v/>
      </c>
      <c r="S125" s="68">
        <f>IF(A125="","",IF(I125=0,"Sin venta",IF(I125&gt;=cfg_VentaAlta,"Alta",IF(I125&lt;cfg_VentaBaja,"Baja","Media"))))</f>
        <v/>
      </c>
    </row>
    <row r="126">
      <c r="A126" s="48">
        <f>IF(Clientes_PDV!A126="","",Clientes_PDV!A126)</f>
        <v/>
      </c>
      <c r="B126" s="48">
        <f>IF(A126="","",IFERROR(VLOOKUP(A126,Clientes_PDV!$A$2:$J$250,2,FALSE),""))</f>
        <v/>
      </c>
      <c r="C126" s="48">
        <f>IF(A126="","",IFERROR(VLOOKUP(A126,Clientes_PDV!$A$2:$J$250,3,FALSE),""))</f>
        <v/>
      </c>
      <c r="D126" s="48">
        <f>IF(A126="","",IFERROR(VLOOKUP(A126,Clientes_PDV!$A$2:$J$250,4,FALSE),""))</f>
        <v/>
      </c>
      <c r="E126" s="48">
        <f>IF(A126="","",IFERROR(VLOOKUP(A126,Clientes_PDV!$A$2:$J$250,7,FALSE),""))</f>
        <v/>
      </c>
      <c r="F126" s="49">
        <f>IF(A126="","",IFERROR(VLOOKUP(A126,Clientes_PDV!$A$2:$J$250,8,FALSE),""))</f>
        <v/>
      </c>
      <c r="G126" s="50">
        <f>IF(F126="","",TODAY()-F126)</f>
        <v/>
      </c>
      <c r="H126" s="48">
        <f>IF(A126="","",IF(F126="","Sin visita",IF(G126&lt;=IFERROR(VLOOKUP(E126,Inicio!$A$24:$B$26,2,FALSE),0),"Vigente","Atrasado")))</f>
        <v/>
      </c>
      <c r="I126" s="51">
        <f>IF(A126="","",SUMIFS(Ventas_SellIn!$L$2:$L$800,Ventas_SellIn!$D$2:$D$800,A126,Ventas_SellIn!$B$2:$B$800,"&gt;="&amp;TODAY()-Inicio!$B$14))</f>
        <v/>
      </c>
      <c r="J126" s="50">
        <f>IF(A126="","",SUMIFS(SellOut_Jumbo!$F$2:$F$800,SellOut_Jumbo!$C$2:$C$800,D126,SellOut_Jumbo!$A$2:$A$800,"&gt;="&amp;TODAY()-Inicio!$B$14))</f>
        <v/>
      </c>
      <c r="K126" s="48">
        <f>IF(A126="","",IF(I126=0,"Sin venta",IF(I126&lt;Inicio!$B$15,"Venta baja","Venta OK")))</f>
        <v/>
      </c>
      <c r="L126" s="50">
        <f>IF(A126="","",COUNTIFS(Ventas_SellIn!$D$2:$D$800,A126,Ventas_SellIn!$R$2:$R$800,"&gt;0"))</f>
        <v/>
      </c>
      <c r="M126" s="51">
        <f>IF(A126="","",SUMIFS(Ventas_SellIn!$R$2:$R$800,Ventas_SellIn!$D$2:$D$800,A126))</f>
        <v/>
      </c>
      <c r="N126" s="48">
        <f>IF(A126="","",IF(M126&gt;=Inicio!$B$18,"Pendiente relevante",IF(M126&gt;0,"Pendiente menor","Sin deuda")))</f>
        <v/>
      </c>
      <c r="O126" s="50">
        <f>IF(A126="","",SUMIFS(Stock_PDV!$H$2:$H$800,Stock_PDV!$A$2:$A$800,A126))</f>
        <v/>
      </c>
      <c r="P126" s="48">
        <f>IF(A126="","",IF(O126&lt;=Inicio!$B$16,"Crítico",IF(O126&lt;=Inicio!$B$17,"Observar","OK")))</f>
        <v/>
      </c>
      <c r="Q126" s="48">
        <f>IF(A126="","",IF(OR(H126="Atrasado",K126="Sin venta",N126="Pendiente relevante",P126="Crítico"),"Alta",IF(OR(K126="Venta baja",N126="Pendiente menor",P126="Observar"),"Media","Baja")))</f>
        <v/>
      </c>
      <c r="R126" s="48">
        <f>IF(A126="","",IF(Q126="Alta","Gestionar esta semana",IF(Q126="Media","Hacer seguimiento","Mantener")))</f>
        <v/>
      </c>
      <c r="S126" s="68">
        <f>IF(A126="","",IF(I126=0,"Sin venta",IF(I126&gt;=cfg_VentaAlta,"Alta",IF(I126&lt;cfg_VentaBaja,"Baja","Media"))))</f>
        <v/>
      </c>
    </row>
    <row r="127">
      <c r="A127" s="48">
        <f>IF(Clientes_PDV!A127="","",Clientes_PDV!A127)</f>
        <v/>
      </c>
      <c r="B127" s="48">
        <f>IF(A127="","",IFERROR(VLOOKUP(A127,Clientes_PDV!$A$2:$J$250,2,FALSE),""))</f>
        <v/>
      </c>
      <c r="C127" s="48">
        <f>IF(A127="","",IFERROR(VLOOKUP(A127,Clientes_PDV!$A$2:$J$250,3,FALSE),""))</f>
        <v/>
      </c>
      <c r="D127" s="48">
        <f>IF(A127="","",IFERROR(VLOOKUP(A127,Clientes_PDV!$A$2:$J$250,4,FALSE),""))</f>
        <v/>
      </c>
      <c r="E127" s="48">
        <f>IF(A127="","",IFERROR(VLOOKUP(A127,Clientes_PDV!$A$2:$J$250,7,FALSE),""))</f>
        <v/>
      </c>
      <c r="F127" s="49">
        <f>IF(A127="","",IFERROR(VLOOKUP(A127,Clientes_PDV!$A$2:$J$250,8,FALSE),""))</f>
        <v/>
      </c>
      <c r="G127" s="50">
        <f>IF(F127="","",TODAY()-F127)</f>
        <v/>
      </c>
      <c r="H127" s="48">
        <f>IF(A127="","",IF(F127="","Sin visita",IF(G127&lt;=IFERROR(VLOOKUP(E127,Inicio!$A$24:$B$26,2,FALSE),0),"Vigente","Atrasado")))</f>
        <v/>
      </c>
      <c r="I127" s="51">
        <f>IF(A127="","",SUMIFS(Ventas_SellIn!$L$2:$L$800,Ventas_SellIn!$D$2:$D$800,A127,Ventas_SellIn!$B$2:$B$800,"&gt;="&amp;TODAY()-Inicio!$B$14))</f>
        <v/>
      </c>
      <c r="J127" s="50">
        <f>IF(A127="","",SUMIFS(SellOut_Jumbo!$F$2:$F$800,SellOut_Jumbo!$C$2:$C$800,D127,SellOut_Jumbo!$A$2:$A$800,"&gt;="&amp;TODAY()-Inicio!$B$14))</f>
        <v/>
      </c>
      <c r="K127" s="48">
        <f>IF(A127="","",IF(I127=0,"Sin venta",IF(I127&lt;Inicio!$B$15,"Venta baja","Venta OK")))</f>
        <v/>
      </c>
      <c r="L127" s="50">
        <f>IF(A127="","",COUNTIFS(Ventas_SellIn!$D$2:$D$800,A127,Ventas_SellIn!$R$2:$R$800,"&gt;0"))</f>
        <v/>
      </c>
      <c r="M127" s="51">
        <f>IF(A127="","",SUMIFS(Ventas_SellIn!$R$2:$R$800,Ventas_SellIn!$D$2:$D$800,A127))</f>
        <v/>
      </c>
      <c r="N127" s="48">
        <f>IF(A127="","",IF(M127&gt;=Inicio!$B$18,"Pendiente relevante",IF(M127&gt;0,"Pendiente menor","Sin deuda")))</f>
        <v/>
      </c>
      <c r="O127" s="50">
        <f>IF(A127="","",SUMIFS(Stock_PDV!$H$2:$H$800,Stock_PDV!$A$2:$A$800,A127))</f>
        <v/>
      </c>
      <c r="P127" s="48">
        <f>IF(A127="","",IF(O127&lt;=Inicio!$B$16,"Crítico",IF(O127&lt;=Inicio!$B$17,"Observar","OK")))</f>
        <v/>
      </c>
      <c r="Q127" s="48">
        <f>IF(A127="","",IF(OR(H127="Atrasado",K127="Sin venta",N127="Pendiente relevante",P127="Crítico"),"Alta",IF(OR(K127="Venta baja",N127="Pendiente menor",P127="Observar"),"Media","Baja")))</f>
        <v/>
      </c>
      <c r="R127" s="48">
        <f>IF(A127="","",IF(Q127="Alta","Gestionar esta semana",IF(Q127="Media","Hacer seguimiento","Mantener")))</f>
        <v/>
      </c>
      <c r="S127" s="68">
        <f>IF(A127="","",IF(I127=0,"Sin venta",IF(I127&gt;=cfg_VentaAlta,"Alta",IF(I127&lt;cfg_VentaBaja,"Baja","Media"))))</f>
        <v/>
      </c>
    </row>
    <row r="128">
      <c r="A128" s="48">
        <f>IF(Clientes_PDV!A128="","",Clientes_PDV!A128)</f>
        <v/>
      </c>
      <c r="B128" s="48">
        <f>IF(A128="","",IFERROR(VLOOKUP(A128,Clientes_PDV!$A$2:$J$250,2,FALSE),""))</f>
        <v/>
      </c>
      <c r="C128" s="48">
        <f>IF(A128="","",IFERROR(VLOOKUP(A128,Clientes_PDV!$A$2:$J$250,3,FALSE),""))</f>
        <v/>
      </c>
      <c r="D128" s="48">
        <f>IF(A128="","",IFERROR(VLOOKUP(A128,Clientes_PDV!$A$2:$J$250,4,FALSE),""))</f>
        <v/>
      </c>
      <c r="E128" s="48">
        <f>IF(A128="","",IFERROR(VLOOKUP(A128,Clientes_PDV!$A$2:$J$250,7,FALSE),""))</f>
        <v/>
      </c>
      <c r="F128" s="49">
        <f>IF(A128="","",IFERROR(VLOOKUP(A128,Clientes_PDV!$A$2:$J$250,8,FALSE),""))</f>
        <v/>
      </c>
      <c r="G128" s="50">
        <f>IF(F128="","",TODAY()-F128)</f>
        <v/>
      </c>
      <c r="H128" s="48">
        <f>IF(A128="","",IF(F128="","Sin visita",IF(G128&lt;=IFERROR(VLOOKUP(E128,Inicio!$A$24:$B$26,2,FALSE),0),"Vigente","Atrasado")))</f>
        <v/>
      </c>
      <c r="I128" s="51">
        <f>IF(A128="","",SUMIFS(Ventas_SellIn!$L$2:$L$800,Ventas_SellIn!$D$2:$D$800,A128,Ventas_SellIn!$B$2:$B$800,"&gt;="&amp;TODAY()-Inicio!$B$14))</f>
        <v/>
      </c>
      <c r="J128" s="50">
        <f>IF(A128="","",SUMIFS(SellOut_Jumbo!$F$2:$F$800,SellOut_Jumbo!$C$2:$C$800,D128,SellOut_Jumbo!$A$2:$A$800,"&gt;="&amp;TODAY()-Inicio!$B$14))</f>
        <v/>
      </c>
      <c r="K128" s="48">
        <f>IF(A128="","",IF(I128=0,"Sin venta",IF(I128&lt;Inicio!$B$15,"Venta baja","Venta OK")))</f>
        <v/>
      </c>
      <c r="L128" s="50">
        <f>IF(A128="","",COUNTIFS(Ventas_SellIn!$D$2:$D$800,A128,Ventas_SellIn!$R$2:$R$800,"&gt;0"))</f>
        <v/>
      </c>
      <c r="M128" s="51">
        <f>IF(A128="","",SUMIFS(Ventas_SellIn!$R$2:$R$800,Ventas_SellIn!$D$2:$D$800,A128))</f>
        <v/>
      </c>
      <c r="N128" s="48">
        <f>IF(A128="","",IF(M128&gt;=Inicio!$B$18,"Pendiente relevante",IF(M128&gt;0,"Pendiente menor","Sin deuda")))</f>
        <v/>
      </c>
      <c r="O128" s="50">
        <f>IF(A128="","",SUMIFS(Stock_PDV!$H$2:$H$800,Stock_PDV!$A$2:$A$800,A128))</f>
        <v/>
      </c>
      <c r="P128" s="48">
        <f>IF(A128="","",IF(O128&lt;=Inicio!$B$16,"Crítico",IF(O128&lt;=Inicio!$B$17,"Observar","OK")))</f>
        <v/>
      </c>
      <c r="Q128" s="48">
        <f>IF(A128="","",IF(OR(H128="Atrasado",K128="Sin venta",N128="Pendiente relevante",P128="Crítico"),"Alta",IF(OR(K128="Venta baja",N128="Pendiente menor",P128="Observar"),"Media","Baja")))</f>
        <v/>
      </c>
      <c r="R128" s="48">
        <f>IF(A128="","",IF(Q128="Alta","Gestionar esta semana",IF(Q128="Media","Hacer seguimiento","Mantener")))</f>
        <v/>
      </c>
      <c r="S128" s="68">
        <f>IF(A128="","",IF(I128=0,"Sin venta",IF(I128&gt;=cfg_VentaAlta,"Alta",IF(I128&lt;cfg_VentaBaja,"Baja","Media"))))</f>
        <v/>
      </c>
    </row>
    <row r="129">
      <c r="A129" s="48">
        <f>IF(Clientes_PDV!A129="","",Clientes_PDV!A129)</f>
        <v/>
      </c>
      <c r="B129" s="48">
        <f>IF(A129="","",IFERROR(VLOOKUP(A129,Clientes_PDV!$A$2:$J$250,2,FALSE),""))</f>
        <v/>
      </c>
      <c r="C129" s="48">
        <f>IF(A129="","",IFERROR(VLOOKUP(A129,Clientes_PDV!$A$2:$J$250,3,FALSE),""))</f>
        <v/>
      </c>
      <c r="D129" s="48">
        <f>IF(A129="","",IFERROR(VLOOKUP(A129,Clientes_PDV!$A$2:$J$250,4,FALSE),""))</f>
        <v/>
      </c>
      <c r="E129" s="48">
        <f>IF(A129="","",IFERROR(VLOOKUP(A129,Clientes_PDV!$A$2:$J$250,7,FALSE),""))</f>
        <v/>
      </c>
      <c r="F129" s="49">
        <f>IF(A129="","",IFERROR(VLOOKUP(A129,Clientes_PDV!$A$2:$J$250,8,FALSE),""))</f>
        <v/>
      </c>
      <c r="G129" s="50">
        <f>IF(F129="","",TODAY()-F129)</f>
        <v/>
      </c>
      <c r="H129" s="48">
        <f>IF(A129="","",IF(F129="","Sin visita",IF(G129&lt;=IFERROR(VLOOKUP(E129,Inicio!$A$24:$B$26,2,FALSE),0),"Vigente","Atrasado")))</f>
        <v/>
      </c>
      <c r="I129" s="51">
        <f>IF(A129="","",SUMIFS(Ventas_SellIn!$L$2:$L$800,Ventas_SellIn!$D$2:$D$800,A129,Ventas_SellIn!$B$2:$B$800,"&gt;="&amp;TODAY()-Inicio!$B$14))</f>
        <v/>
      </c>
      <c r="J129" s="50">
        <f>IF(A129="","",SUMIFS(SellOut_Jumbo!$F$2:$F$800,SellOut_Jumbo!$C$2:$C$800,D129,SellOut_Jumbo!$A$2:$A$800,"&gt;="&amp;TODAY()-Inicio!$B$14))</f>
        <v/>
      </c>
      <c r="K129" s="48">
        <f>IF(A129="","",IF(I129=0,"Sin venta",IF(I129&lt;Inicio!$B$15,"Venta baja","Venta OK")))</f>
        <v/>
      </c>
      <c r="L129" s="50">
        <f>IF(A129="","",COUNTIFS(Ventas_SellIn!$D$2:$D$800,A129,Ventas_SellIn!$R$2:$R$800,"&gt;0"))</f>
        <v/>
      </c>
      <c r="M129" s="51">
        <f>IF(A129="","",SUMIFS(Ventas_SellIn!$R$2:$R$800,Ventas_SellIn!$D$2:$D$800,A129))</f>
        <v/>
      </c>
      <c r="N129" s="48">
        <f>IF(A129="","",IF(M129&gt;=Inicio!$B$18,"Pendiente relevante",IF(M129&gt;0,"Pendiente menor","Sin deuda")))</f>
        <v/>
      </c>
      <c r="O129" s="50">
        <f>IF(A129="","",SUMIFS(Stock_PDV!$H$2:$H$800,Stock_PDV!$A$2:$A$800,A129))</f>
        <v/>
      </c>
      <c r="P129" s="48">
        <f>IF(A129="","",IF(O129&lt;=Inicio!$B$16,"Crítico",IF(O129&lt;=Inicio!$B$17,"Observar","OK")))</f>
        <v/>
      </c>
      <c r="Q129" s="48">
        <f>IF(A129="","",IF(OR(H129="Atrasado",K129="Sin venta",N129="Pendiente relevante",P129="Crítico"),"Alta",IF(OR(K129="Venta baja",N129="Pendiente menor",P129="Observar"),"Media","Baja")))</f>
        <v/>
      </c>
      <c r="R129" s="48">
        <f>IF(A129="","",IF(Q129="Alta","Gestionar esta semana",IF(Q129="Media","Hacer seguimiento","Mantener")))</f>
        <v/>
      </c>
      <c r="S129" s="68">
        <f>IF(A129="","",IF(I129=0,"Sin venta",IF(I129&gt;=cfg_VentaAlta,"Alta",IF(I129&lt;cfg_VentaBaja,"Baja","Media"))))</f>
        <v/>
      </c>
    </row>
    <row r="130">
      <c r="A130" s="48">
        <f>IF(Clientes_PDV!A130="","",Clientes_PDV!A130)</f>
        <v/>
      </c>
      <c r="B130" s="48">
        <f>IF(A130="","",IFERROR(VLOOKUP(A130,Clientes_PDV!$A$2:$J$250,2,FALSE),""))</f>
        <v/>
      </c>
      <c r="C130" s="48">
        <f>IF(A130="","",IFERROR(VLOOKUP(A130,Clientes_PDV!$A$2:$J$250,3,FALSE),""))</f>
        <v/>
      </c>
      <c r="D130" s="48">
        <f>IF(A130="","",IFERROR(VLOOKUP(A130,Clientes_PDV!$A$2:$J$250,4,FALSE),""))</f>
        <v/>
      </c>
      <c r="E130" s="48">
        <f>IF(A130="","",IFERROR(VLOOKUP(A130,Clientes_PDV!$A$2:$J$250,7,FALSE),""))</f>
        <v/>
      </c>
      <c r="F130" s="49">
        <f>IF(A130="","",IFERROR(VLOOKUP(A130,Clientes_PDV!$A$2:$J$250,8,FALSE),""))</f>
        <v/>
      </c>
      <c r="G130" s="50">
        <f>IF(F130="","",TODAY()-F130)</f>
        <v/>
      </c>
      <c r="H130" s="48">
        <f>IF(A130="","",IF(F130="","Sin visita",IF(G130&lt;=IFERROR(VLOOKUP(E130,Inicio!$A$24:$B$26,2,FALSE),0),"Vigente","Atrasado")))</f>
        <v/>
      </c>
      <c r="I130" s="51">
        <f>IF(A130="","",SUMIFS(Ventas_SellIn!$L$2:$L$800,Ventas_SellIn!$D$2:$D$800,A130,Ventas_SellIn!$B$2:$B$800,"&gt;="&amp;TODAY()-Inicio!$B$14))</f>
        <v/>
      </c>
      <c r="J130" s="50">
        <f>IF(A130="","",SUMIFS(SellOut_Jumbo!$F$2:$F$800,SellOut_Jumbo!$C$2:$C$800,D130,SellOut_Jumbo!$A$2:$A$800,"&gt;="&amp;TODAY()-Inicio!$B$14))</f>
        <v/>
      </c>
      <c r="K130" s="48">
        <f>IF(A130="","",IF(I130=0,"Sin venta",IF(I130&lt;Inicio!$B$15,"Venta baja","Venta OK")))</f>
        <v/>
      </c>
      <c r="L130" s="50">
        <f>IF(A130="","",COUNTIFS(Ventas_SellIn!$D$2:$D$800,A130,Ventas_SellIn!$R$2:$R$800,"&gt;0"))</f>
        <v/>
      </c>
      <c r="M130" s="51">
        <f>IF(A130="","",SUMIFS(Ventas_SellIn!$R$2:$R$800,Ventas_SellIn!$D$2:$D$800,A130))</f>
        <v/>
      </c>
      <c r="N130" s="48">
        <f>IF(A130="","",IF(M130&gt;=Inicio!$B$18,"Pendiente relevante",IF(M130&gt;0,"Pendiente menor","Sin deuda")))</f>
        <v/>
      </c>
      <c r="O130" s="50">
        <f>IF(A130="","",SUMIFS(Stock_PDV!$H$2:$H$800,Stock_PDV!$A$2:$A$800,A130))</f>
        <v/>
      </c>
      <c r="P130" s="48">
        <f>IF(A130="","",IF(O130&lt;=Inicio!$B$16,"Crítico",IF(O130&lt;=Inicio!$B$17,"Observar","OK")))</f>
        <v/>
      </c>
      <c r="Q130" s="48">
        <f>IF(A130="","",IF(OR(H130="Atrasado",K130="Sin venta",N130="Pendiente relevante",P130="Crítico"),"Alta",IF(OR(K130="Venta baja",N130="Pendiente menor",P130="Observar"),"Media","Baja")))</f>
        <v/>
      </c>
      <c r="R130" s="48">
        <f>IF(A130="","",IF(Q130="Alta","Gestionar esta semana",IF(Q130="Media","Hacer seguimiento","Mantener")))</f>
        <v/>
      </c>
      <c r="S130" s="68">
        <f>IF(A130="","",IF(I130=0,"Sin venta",IF(I130&gt;=cfg_VentaAlta,"Alta",IF(I130&lt;cfg_VentaBaja,"Baja","Media"))))</f>
        <v/>
      </c>
    </row>
    <row r="131">
      <c r="A131" s="48">
        <f>IF(Clientes_PDV!A131="","",Clientes_PDV!A131)</f>
        <v/>
      </c>
      <c r="B131" s="48">
        <f>IF(A131="","",IFERROR(VLOOKUP(A131,Clientes_PDV!$A$2:$J$250,2,FALSE),""))</f>
        <v/>
      </c>
      <c r="C131" s="48">
        <f>IF(A131="","",IFERROR(VLOOKUP(A131,Clientes_PDV!$A$2:$J$250,3,FALSE),""))</f>
        <v/>
      </c>
      <c r="D131" s="48">
        <f>IF(A131="","",IFERROR(VLOOKUP(A131,Clientes_PDV!$A$2:$J$250,4,FALSE),""))</f>
        <v/>
      </c>
      <c r="E131" s="48">
        <f>IF(A131="","",IFERROR(VLOOKUP(A131,Clientes_PDV!$A$2:$J$250,7,FALSE),""))</f>
        <v/>
      </c>
      <c r="F131" s="49">
        <f>IF(A131="","",IFERROR(VLOOKUP(A131,Clientes_PDV!$A$2:$J$250,8,FALSE),""))</f>
        <v/>
      </c>
      <c r="G131" s="50">
        <f>IF(F131="","",TODAY()-F131)</f>
        <v/>
      </c>
      <c r="H131" s="48">
        <f>IF(A131="","",IF(F131="","Sin visita",IF(G131&lt;=IFERROR(VLOOKUP(E131,Inicio!$A$24:$B$26,2,FALSE),0),"Vigente","Atrasado")))</f>
        <v/>
      </c>
      <c r="I131" s="51">
        <f>IF(A131="","",SUMIFS(Ventas_SellIn!$L$2:$L$800,Ventas_SellIn!$D$2:$D$800,A131,Ventas_SellIn!$B$2:$B$800,"&gt;="&amp;TODAY()-Inicio!$B$14))</f>
        <v/>
      </c>
      <c r="J131" s="50">
        <f>IF(A131="","",SUMIFS(SellOut_Jumbo!$F$2:$F$800,SellOut_Jumbo!$C$2:$C$800,D131,SellOut_Jumbo!$A$2:$A$800,"&gt;="&amp;TODAY()-Inicio!$B$14))</f>
        <v/>
      </c>
      <c r="K131" s="48">
        <f>IF(A131="","",IF(I131=0,"Sin venta",IF(I131&lt;Inicio!$B$15,"Venta baja","Venta OK")))</f>
        <v/>
      </c>
      <c r="L131" s="50">
        <f>IF(A131="","",COUNTIFS(Ventas_SellIn!$D$2:$D$800,A131,Ventas_SellIn!$R$2:$R$800,"&gt;0"))</f>
        <v/>
      </c>
      <c r="M131" s="51">
        <f>IF(A131="","",SUMIFS(Ventas_SellIn!$R$2:$R$800,Ventas_SellIn!$D$2:$D$800,A131))</f>
        <v/>
      </c>
      <c r="N131" s="48">
        <f>IF(A131="","",IF(M131&gt;=Inicio!$B$18,"Pendiente relevante",IF(M131&gt;0,"Pendiente menor","Sin deuda")))</f>
        <v/>
      </c>
      <c r="O131" s="50">
        <f>IF(A131="","",SUMIFS(Stock_PDV!$H$2:$H$800,Stock_PDV!$A$2:$A$800,A131))</f>
        <v/>
      </c>
      <c r="P131" s="48">
        <f>IF(A131="","",IF(O131&lt;=Inicio!$B$16,"Crítico",IF(O131&lt;=Inicio!$B$17,"Observar","OK")))</f>
        <v/>
      </c>
      <c r="Q131" s="48">
        <f>IF(A131="","",IF(OR(H131="Atrasado",K131="Sin venta",N131="Pendiente relevante",P131="Crítico"),"Alta",IF(OR(K131="Venta baja",N131="Pendiente menor",P131="Observar"),"Media","Baja")))</f>
        <v/>
      </c>
      <c r="R131" s="48">
        <f>IF(A131="","",IF(Q131="Alta","Gestionar esta semana",IF(Q131="Media","Hacer seguimiento","Mantener")))</f>
        <v/>
      </c>
      <c r="S131" s="68">
        <f>IF(A131="","",IF(I131=0,"Sin venta",IF(I131&gt;=cfg_VentaAlta,"Alta",IF(I131&lt;cfg_VentaBaja,"Baja","Media"))))</f>
        <v/>
      </c>
    </row>
    <row r="132">
      <c r="A132" s="48">
        <f>IF(Clientes_PDV!A132="","",Clientes_PDV!A132)</f>
        <v/>
      </c>
      <c r="B132" s="48">
        <f>IF(A132="","",IFERROR(VLOOKUP(A132,Clientes_PDV!$A$2:$J$250,2,FALSE),""))</f>
        <v/>
      </c>
      <c r="C132" s="48">
        <f>IF(A132="","",IFERROR(VLOOKUP(A132,Clientes_PDV!$A$2:$J$250,3,FALSE),""))</f>
        <v/>
      </c>
      <c r="D132" s="48">
        <f>IF(A132="","",IFERROR(VLOOKUP(A132,Clientes_PDV!$A$2:$J$250,4,FALSE),""))</f>
        <v/>
      </c>
      <c r="E132" s="48">
        <f>IF(A132="","",IFERROR(VLOOKUP(A132,Clientes_PDV!$A$2:$J$250,7,FALSE),""))</f>
        <v/>
      </c>
      <c r="F132" s="49">
        <f>IF(A132="","",IFERROR(VLOOKUP(A132,Clientes_PDV!$A$2:$J$250,8,FALSE),""))</f>
        <v/>
      </c>
      <c r="G132" s="50">
        <f>IF(F132="","",TODAY()-F132)</f>
        <v/>
      </c>
      <c r="H132" s="48">
        <f>IF(A132="","",IF(F132="","Sin visita",IF(G132&lt;=IFERROR(VLOOKUP(E132,Inicio!$A$24:$B$26,2,FALSE),0),"Vigente","Atrasado")))</f>
        <v/>
      </c>
      <c r="I132" s="51">
        <f>IF(A132="","",SUMIFS(Ventas_SellIn!$L$2:$L$800,Ventas_SellIn!$D$2:$D$800,A132,Ventas_SellIn!$B$2:$B$800,"&gt;="&amp;TODAY()-Inicio!$B$14))</f>
        <v/>
      </c>
      <c r="J132" s="50">
        <f>IF(A132="","",SUMIFS(SellOut_Jumbo!$F$2:$F$800,SellOut_Jumbo!$C$2:$C$800,D132,SellOut_Jumbo!$A$2:$A$800,"&gt;="&amp;TODAY()-Inicio!$B$14))</f>
        <v/>
      </c>
      <c r="K132" s="48">
        <f>IF(A132="","",IF(I132=0,"Sin venta",IF(I132&lt;Inicio!$B$15,"Venta baja","Venta OK")))</f>
        <v/>
      </c>
      <c r="L132" s="50">
        <f>IF(A132="","",COUNTIFS(Ventas_SellIn!$D$2:$D$800,A132,Ventas_SellIn!$R$2:$R$800,"&gt;0"))</f>
        <v/>
      </c>
      <c r="M132" s="51">
        <f>IF(A132="","",SUMIFS(Ventas_SellIn!$R$2:$R$800,Ventas_SellIn!$D$2:$D$800,A132))</f>
        <v/>
      </c>
      <c r="N132" s="48">
        <f>IF(A132="","",IF(M132&gt;=Inicio!$B$18,"Pendiente relevante",IF(M132&gt;0,"Pendiente menor","Sin deuda")))</f>
        <v/>
      </c>
      <c r="O132" s="50">
        <f>IF(A132="","",SUMIFS(Stock_PDV!$H$2:$H$800,Stock_PDV!$A$2:$A$800,A132))</f>
        <v/>
      </c>
      <c r="P132" s="48">
        <f>IF(A132="","",IF(O132&lt;=Inicio!$B$16,"Crítico",IF(O132&lt;=Inicio!$B$17,"Observar","OK")))</f>
        <v/>
      </c>
      <c r="Q132" s="48">
        <f>IF(A132="","",IF(OR(H132="Atrasado",K132="Sin venta",N132="Pendiente relevante",P132="Crítico"),"Alta",IF(OR(K132="Venta baja",N132="Pendiente menor",P132="Observar"),"Media","Baja")))</f>
        <v/>
      </c>
      <c r="R132" s="48">
        <f>IF(A132="","",IF(Q132="Alta","Gestionar esta semana",IF(Q132="Media","Hacer seguimiento","Mantener")))</f>
        <v/>
      </c>
      <c r="S132" s="68">
        <f>IF(A132="","",IF(I132=0,"Sin venta",IF(I132&gt;=cfg_VentaAlta,"Alta",IF(I132&lt;cfg_VentaBaja,"Baja","Media"))))</f>
        <v/>
      </c>
    </row>
    <row r="133">
      <c r="A133" s="48">
        <f>IF(Clientes_PDV!A133="","",Clientes_PDV!A133)</f>
        <v/>
      </c>
      <c r="B133" s="48">
        <f>IF(A133="","",IFERROR(VLOOKUP(A133,Clientes_PDV!$A$2:$J$250,2,FALSE),""))</f>
        <v/>
      </c>
      <c r="C133" s="48">
        <f>IF(A133="","",IFERROR(VLOOKUP(A133,Clientes_PDV!$A$2:$J$250,3,FALSE),""))</f>
        <v/>
      </c>
      <c r="D133" s="48">
        <f>IF(A133="","",IFERROR(VLOOKUP(A133,Clientes_PDV!$A$2:$J$250,4,FALSE),""))</f>
        <v/>
      </c>
      <c r="E133" s="48">
        <f>IF(A133="","",IFERROR(VLOOKUP(A133,Clientes_PDV!$A$2:$J$250,7,FALSE),""))</f>
        <v/>
      </c>
      <c r="F133" s="49">
        <f>IF(A133="","",IFERROR(VLOOKUP(A133,Clientes_PDV!$A$2:$J$250,8,FALSE),""))</f>
        <v/>
      </c>
      <c r="G133" s="50">
        <f>IF(F133="","",TODAY()-F133)</f>
        <v/>
      </c>
      <c r="H133" s="48">
        <f>IF(A133="","",IF(F133="","Sin visita",IF(G133&lt;=IFERROR(VLOOKUP(E133,Inicio!$A$24:$B$26,2,FALSE),0),"Vigente","Atrasado")))</f>
        <v/>
      </c>
      <c r="I133" s="51">
        <f>IF(A133="","",SUMIFS(Ventas_SellIn!$L$2:$L$800,Ventas_SellIn!$D$2:$D$800,A133,Ventas_SellIn!$B$2:$B$800,"&gt;="&amp;TODAY()-Inicio!$B$14))</f>
        <v/>
      </c>
      <c r="J133" s="50">
        <f>IF(A133="","",SUMIFS(SellOut_Jumbo!$F$2:$F$800,SellOut_Jumbo!$C$2:$C$800,D133,SellOut_Jumbo!$A$2:$A$800,"&gt;="&amp;TODAY()-Inicio!$B$14))</f>
        <v/>
      </c>
      <c r="K133" s="48">
        <f>IF(A133="","",IF(I133=0,"Sin venta",IF(I133&lt;Inicio!$B$15,"Venta baja","Venta OK")))</f>
        <v/>
      </c>
      <c r="L133" s="50">
        <f>IF(A133="","",COUNTIFS(Ventas_SellIn!$D$2:$D$800,A133,Ventas_SellIn!$R$2:$R$800,"&gt;0"))</f>
        <v/>
      </c>
      <c r="M133" s="51">
        <f>IF(A133="","",SUMIFS(Ventas_SellIn!$R$2:$R$800,Ventas_SellIn!$D$2:$D$800,A133))</f>
        <v/>
      </c>
      <c r="N133" s="48">
        <f>IF(A133="","",IF(M133&gt;=Inicio!$B$18,"Pendiente relevante",IF(M133&gt;0,"Pendiente menor","Sin deuda")))</f>
        <v/>
      </c>
      <c r="O133" s="50">
        <f>IF(A133="","",SUMIFS(Stock_PDV!$H$2:$H$800,Stock_PDV!$A$2:$A$800,A133))</f>
        <v/>
      </c>
      <c r="P133" s="48">
        <f>IF(A133="","",IF(O133&lt;=Inicio!$B$16,"Crítico",IF(O133&lt;=Inicio!$B$17,"Observar","OK")))</f>
        <v/>
      </c>
      <c r="Q133" s="48">
        <f>IF(A133="","",IF(OR(H133="Atrasado",K133="Sin venta",N133="Pendiente relevante",P133="Crítico"),"Alta",IF(OR(K133="Venta baja",N133="Pendiente menor",P133="Observar"),"Media","Baja")))</f>
        <v/>
      </c>
      <c r="R133" s="48">
        <f>IF(A133="","",IF(Q133="Alta","Gestionar esta semana",IF(Q133="Media","Hacer seguimiento","Mantener")))</f>
        <v/>
      </c>
      <c r="S133" s="68">
        <f>IF(A133="","",IF(I133=0,"Sin venta",IF(I133&gt;=cfg_VentaAlta,"Alta",IF(I133&lt;cfg_VentaBaja,"Baja","Media"))))</f>
        <v/>
      </c>
    </row>
    <row r="134">
      <c r="A134" s="48">
        <f>IF(Clientes_PDV!A134="","",Clientes_PDV!A134)</f>
        <v/>
      </c>
      <c r="B134" s="48">
        <f>IF(A134="","",IFERROR(VLOOKUP(A134,Clientes_PDV!$A$2:$J$250,2,FALSE),""))</f>
        <v/>
      </c>
      <c r="C134" s="48">
        <f>IF(A134="","",IFERROR(VLOOKUP(A134,Clientes_PDV!$A$2:$J$250,3,FALSE),""))</f>
        <v/>
      </c>
      <c r="D134" s="48">
        <f>IF(A134="","",IFERROR(VLOOKUP(A134,Clientes_PDV!$A$2:$J$250,4,FALSE),""))</f>
        <v/>
      </c>
      <c r="E134" s="48">
        <f>IF(A134="","",IFERROR(VLOOKUP(A134,Clientes_PDV!$A$2:$J$250,7,FALSE),""))</f>
        <v/>
      </c>
      <c r="F134" s="49">
        <f>IF(A134="","",IFERROR(VLOOKUP(A134,Clientes_PDV!$A$2:$J$250,8,FALSE),""))</f>
        <v/>
      </c>
      <c r="G134" s="50">
        <f>IF(F134="","",TODAY()-F134)</f>
        <v/>
      </c>
      <c r="H134" s="48">
        <f>IF(A134="","",IF(F134="","Sin visita",IF(G134&lt;=IFERROR(VLOOKUP(E134,Inicio!$A$24:$B$26,2,FALSE),0),"Vigente","Atrasado")))</f>
        <v/>
      </c>
      <c r="I134" s="51">
        <f>IF(A134="","",SUMIFS(Ventas_SellIn!$L$2:$L$800,Ventas_SellIn!$D$2:$D$800,A134,Ventas_SellIn!$B$2:$B$800,"&gt;="&amp;TODAY()-Inicio!$B$14))</f>
        <v/>
      </c>
      <c r="J134" s="50">
        <f>IF(A134="","",SUMIFS(SellOut_Jumbo!$F$2:$F$800,SellOut_Jumbo!$C$2:$C$800,D134,SellOut_Jumbo!$A$2:$A$800,"&gt;="&amp;TODAY()-Inicio!$B$14))</f>
        <v/>
      </c>
      <c r="K134" s="48">
        <f>IF(A134="","",IF(I134=0,"Sin venta",IF(I134&lt;Inicio!$B$15,"Venta baja","Venta OK")))</f>
        <v/>
      </c>
      <c r="L134" s="50">
        <f>IF(A134="","",COUNTIFS(Ventas_SellIn!$D$2:$D$800,A134,Ventas_SellIn!$R$2:$R$800,"&gt;0"))</f>
        <v/>
      </c>
      <c r="M134" s="51">
        <f>IF(A134="","",SUMIFS(Ventas_SellIn!$R$2:$R$800,Ventas_SellIn!$D$2:$D$800,A134))</f>
        <v/>
      </c>
      <c r="N134" s="48">
        <f>IF(A134="","",IF(M134&gt;=Inicio!$B$18,"Pendiente relevante",IF(M134&gt;0,"Pendiente menor","Sin deuda")))</f>
        <v/>
      </c>
      <c r="O134" s="50">
        <f>IF(A134="","",SUMIFS(Stock_PDV!$H$2:$H$800,Stock_PDV!$A$2:$A$800,A134))</f>
        <v/>
      </c>
      <c r="P134" s="48">
        <f>IF(A134="","",IF(O134&lt;=Inicio!$B$16,"Crítico",IF(O134&lt;=Inicio!$B$17,"Observar","OK")))</f>
        <v/>
      </c>
      <c r="Q134" s="48">
        <f>IF(A134="","",IF(OR(H134="Atrasado",K134="Sin venta",N134="Pendiente relevante",P134="Crítico"),"Alta",IF(OR(K134="Venta baja",N134="Pendiente menor",P134="Observar"),"Media","Baja")))</f>
        <v/>
      </c>
      <c r="R134" s="48">
        <f>IF(A134="","",IF(Q134="Alta","Gestionar esta semana",IF(Q134="Media","Hacer seguimiento","Mantener")))</f>
        <v/>
      </c>
      <c r="S134" s="68">
        <f>IF(A134="","",IF(I134=0,"Sin venta",IF(I134&gt;=cfg_VentaAlta,"Alta",IF(I134&lt;cfg_VentaBaja,"Baja","Media"))))</f>
        <v/>
      </c>
    </row>
    <row r="135">
      <c r="A135" s="48">
        <f>IF(Clientes_PDV!A135="","",Clientes_PDV!A135)</f>
        <v/>
      </c>
      <c r="B135" s="48">
        <f>IF(A135="","",IFERROR(VLOOKUP(A135,Clientes_PDV!$A$2:$J$250,2,FALSE),""))</f>
        <v/>
      </c>
      <c r="C135" s="48">
        <f>IF(A135="","",IFERROR(VLOOKUP(A135,Clientes_PDV!$A$2:$J$250,3,FALSE),""))</f>
        <v/>
      </c>
      <c r="D135" s="48">
        <f>IF(A135="","",IFERROR(VLOOKUP(A135,Clientes_PDV!$A$2:$J$250,4,FALSE),""))</f>
        <v/>
      </c>
      <c r="E135" s="48">
        <f>IF(A135="","",IFERROR(VLOOKUP(A135,Clientes_PDV!$A$2:$J$250,7,FALSE),""))</f>
        <v/>
      </c>
      <c r="F135" s="49">
        <f>IF(A135="","",IFERROR(VLOOKUP(A135,Clientes_PDV!$A$2:$J$250,8,FALSE),""))</f>
        <v/>
      </c>
      <c r="G135" s="50">
        <f>IF(F135="","",TODAY()-F135)</f>
        <v/>
      </c>
      <c r="H135" s="48">
        <f>IF(A135="","",IF(F135="","Sin visita",IF(G135&lt;=IFERROR(VLOOKUP(E135,Inicio!$A$24:$B$26,2,FALSE),0),"Vigente","Atrasado")))</f>
        <v/>
      </c>
      <c r="I135" s="51">
        <f>IF(A135="","",SUMIFS(Ventas_SellIn!$L$2:$L$800,Ventas_SellIn!$D$2:$D$800,A135,Ventas_SellIn!$B$2:$B$800,"&gt;="&amp;TODAY()-Inicio!$B$14))</f>
        <v/>
      </c>
      <c r="J135" s="50">
        <f>IF(A135="","",SUMIFS(SellOut_Jumbo!$F$2:$F$800,SellOut_Jumbo!$C$2:$C$800,D135,SellOut_Jumbo!$A$2:$A$800,"&gt;="&amp;TODAY()-Inicio!$B$14))</f>
        <v/>
      </c>
      <c r="K135" s="48">
        <f>IF(A135="","",IF(I135=0,"Sin venta",IF(I135&lt;Inicio!$B$15,"Venta baja","Venta OK")))</f>
        <v/>
      </c>
      <c r="L135" s="50">
        <f>IF(A135="","",COUNTIFS(Ventas_SellIn!$D$2:$D$800,A135,Ventas_SellIn!$R$2:$R$800,"&gt;0"))</f>
        <v/>
      </c>
      <c r="M135" s="51">
        <f>IF(A135="","",SUMIFS(Ventas_SellIn!$R$2:$R$800,Ventas_SellIn!$D$2:$D$800,A135))</f>
        <v/>
      </c>
      <c r="N135" s="48">
        <f>IF(A135="","",IF(M135&gt;=Inicio!$B$18,"Pendiente relevante",IF(M135&gt;0,"Pendiente menor","Sin deuda")))</f>
        <v/>
      </c>
      <c r="O135" s="50">
        <f>IF(A135="","",SUMIFS(Stock_PDV!$H$2:$H$800,Stock_PDV!$A$2:$A$800,A135))</f>
        <v/>
      </c>
      <c r="P135" s="48">
        <f>IF(A135="","",IF(O135&lt;=Inicio!$B$16,"Crítico",IF(O135&lt;=Inicio!$B$17,"Observar","OK")))</f>
        <v/>
      </c>
      <c r="Q135" s="48">
        <f>IF(A135="","",IF(OR(H135="Atrasado",K135="Sin venta",N135="Pendiente relevante",P135="Crítico"),"Alta",IF(OR(K135="Venta baja",N135="Pendiente menor",P135="Observar"),"Media","Baja")))</f>
        <v/>
      </c>
      <c r="R135" s="48">
        <f>IF(A135="","",IF(Q135="Alta","Gestionar esta semana",IF(Q135="Media","Hacer seguimiento","Mantener")))</f>
        <v/>
      </c>
      <c r="S135" s="68">
        <f>IF(A135="","",IF(I135=0,"Sin venta",IF(I135&gt;=cfg_VentaAlta,"Alta",IF(I135&lt;cfg_VentaBaja,"Baja","Media"))))</f>
        <v/>
      </c>
    </row>
    <row r="136">
      <c r="A136" s="48">
        <f>IF(Clientes_PDV!A136="","",Clientes_PDV!A136)</f>
        <v/>
      </c>
      <c r="B136" s="48">
        <f>IF(A136="","",IFERROR(VLOOKUP(A136,Clientes_PDV!$A$2:$J$250,2,FALSE),""))</f>
        <v/>
      </c>
      <c r="C136" s="48">
        <f>IF(A136="","",IFERROR(VLOOKUP(A136,Clientes_PDV!$A$2:$J$250,3,FALSE),""))</f>
        <v/>
      </c>
      <c r="D136" s="48">
        <f>IF(A136="","",IFERROR(VLOOKUP(A136,Clientes_PDV!$A$2:$J$250,4,FALSE),""))</f>
        <v/>
      </c>
      <c r="E136" s="48">
        <f>IF(A136="","",IFERROR(VLOOKUP(A136,Clientes_PDV!$A$2:$J$250,7,FALSE),""))</f>
        <v/>
      </c>
      <c r="F136" s="49">
        <f>IF(A136="","",IFERROR(VLOOKUP(A136,Clientes_PDV!$A$2:$J$250,8,FALSE),""))</f>
        <v/>
      </c>
      <c r="G136" s="50">
        <f>IF(F136="","",TODAY()-F136)</f>
        <v/>
      </c>
      <c r="H136" s="48">
        <f>IF(A136="","",IF(F136="","Sin visita",IF(G136&lt;=IFERROR(VLOOKUP(E136,Inicio!$A$24:$B$26,2,FALSE),0),"Vigente","Atrasado")))</f>
        <v/>
      </c>
      <c r="I136" s="51">
        <f>IF(A136="","",SUMIFS(Ventas_SellIn!$L$2:$L$800,Ventas_SellIn!$D$2:$D$800,A136,Ventas_SellIn!$B$2:$B$800,"&gt;="&amp;TODAY()-Inicio!$B$14))</f>
        <v/>
      </c>
      <c r="J136" s="50">
        <f>IF(A136="","",SUMIFS(SellOut_Jumbo!$F$2:$F$800,SellOut_Jumbo!$C$2:$C$800,D136,SellOut_Jumbo!$A$2:$A$800,"&gt;="&amp;TODAY()-Inicio!$B$14))</f>
        <v/>
      </c>
      <c r="K136" s="48">
        <f>IF(A136="","",IF(I136=0,"Sin venta",IF(I136&lt;Inicio!$B$15,"Venta baja","Venta OK")))</f>
        <v/>
      </c>
      <c r="L136" s="50">
        <f>IF(A136="","",COUNTIFS(Ventas_SellIn!$D$2:$D$800,A136,Ventas_SellIn!$R$2:$R$800,"&gt;0"))</f>
        <v/>
      </c>
      <c r="M136" s="51">
        <f>IF(A136="","",SUMIFS(Ventas_SellIn!$R$2:$R$800,Ventas_SellIn!$D$2:$D$800,A136))</f>
        <v/>
      </c>
      <c r="N136" s="48">
        <f>IF(A136="","",IF(M136&gt;=Inicio!$B$18,"Pendiente relevante",IF(M136&gt;0,"Pendiente menor","Sin deuda")))</f>
        <v/>
      </c>
      <c r="O136" s="50">
        <f>IF(A136="","",SUMIFS(Stock_PDV!$H$2:$H$800,Stock_PDV!$A$2:$A$800,A136))</f>
        <v/>
      </c>
      <c r="P136" s="48">
        <f>IF(A136="","",IF(O136&lt;=Inicio!$B$16,"Crítico",IF(O136&lt;=Inicio!$B$17,"Observar","OK")))</f>
        <v/>
      </c>
      <c r="Q136" s="48">
        <f>IF(A136="","",IF(OR(H136="Atrasado",K136="Sin venta",N136="Pendiente relevante",P136="Crítico"),"Alta",IF(OR(K136="Venta baja",N136="Pendiente menor",P136="Observar"),"Media","Baja")))</f>
        <v/>
      </c>
      <c r="R136" s="48">
        <f>IF(A136="","",IF(Q136="Alta","Gestionar esta semana",IF(Q136="Media","Hacer seguimiento","Mantener")))</f>
        <v/>
      </c>
      <c r="S136" s="68">
        <f>IF(A136="","",IF(I136=0,"Sin venta",IF(I136&gt;=cfg_VentaAlta,"Alta",IF(I136&lt;cfg_VentaBaja,"Baja","Media"))))</f>
        <v/>
      </c>
    </row>
    <row r="137">
      <c r="A137" s="48">
        <f>IF(Clientes_PDV!A137="","",Clientes_PDV!A137)</f>
        <v/>
      </c>
      <c r="B137" s="48">
        <f>IF(A137="","",IFERROR(VLOOKUP(A137,Clientes_PDV!$A$2:$J$250,2,FALSE),""))</f>
        <v/>
      </c>
      <c r="C137" s="48">
        <f>IF(A137="","",IFERROR(VLOOKUP(A137,Clientes_PDV!$A$2:$J$250,3,FALSE),""))</f>
        <v/>
      </c>
      <c r="D137" s="48">
        <f>IF(A137="","",IFERROR(VLOOKUP(A137,Clientes_PDV!$A$2:$J$250,4,FALSE),""))</f>
        <v/>
      </c>
      <c r="E137" s="48">
        <f>IF(A137="","",IFERROR(VLOOKUP(A137,Clientes_PDV!$A$2:$J$250,7,FALSE),""))</f>
        <v/>
      </c>
      <c r="F137" s="49">
        <f>IF(A137="","",IFERROR(VLOOKUP(A137,Clientes_PDV!$A$2:$J$250,8,FALSE),""))</f>
        <v/>
      </c>
      <c r="G137" s="50">
        <f>IF(F137="","",TODAY()-F137)</f>
        <v/>
      </c>
      <c r="H137" s="48">
        <f>IF(A137="","",IF(F137="","Sin visita",IF(G137&lt;=IFERROR(VLOOKUP(E137,Inicio!$A$24:$B$26,2,FALSE),0),"Vigente","Atrasado")))</f>
        <v/>
      </c>
      <c r="I137" s="51">
        <f>IF(A137="","",SUMIFS(Ventas_SellIn!$L$2:$L$800,Ventas_SellIn!$D$2:$D$800,A137,Ventas_SellIn!$B$2:$B$800,"&gt;="&amp;TODAY()-Inicio!$B$14))</f>
        <v/>
      </c>
      <c r="J137" s="50">
        <f>IF(A137="","",SUMIFS(SellOut_Jumbo!$F$2:$F$800,SellOut_Jumbo!$C$2:$C$800,D137,SellOut_Jumbo!$A$2:$A$800,"&gt;="&amp;TODAY()-Inicio!$B$14))</f>
        <v/>
      </c>
      <c r="K137" s="48">
        <f>IF(A137="","",IF(I137=0,"Sin venta",IF(I137&lt;Inicio!$B$15,"Venta baja","Venta OK")))</f>
        <v/>
      </c>
      <c r="L137" s="50">
        <f>IF(A137="","",COUNTIFS(Ventas_SellIn!$D$2:$D$800,A137,Ventas_SellIn!$R$2:$R$800,"&gt;0"))</f>
        <v/>
      </c>
      <c r="M137" s="51">
        <f>IF(A137="","",SUMIFS(Ventas_SellIn!$R$2:$R$800,Ventas_SellIn!$D$2:$D$800,A137))</f>
        <v/>
      </c>
      <c r="N137" s="48">
        <f>IF(A137="","",IF(M137&gt;=Inicio!$B$18,"Pendiente relevante",IF(M137&gt;0,"Pendiente menor","Sin deuda")))</f>
        <v/>
      </c>
      <c r="O137" s="50">
        <f>IF(A137="","",SUMIFS(Stock_PDV!$H$2:$H$800,Stock_PDV!$A$2:$A$800,A137))</f>
        <v/>
      </c>
      <c r="P137" s="48">
        <f>IF(A137="","",IF(O137&lt;=Inicio!$B$16,"Crítico",IF(O137&lt;=Inicio!$B$17,"Observar","OK")))</f>
        <v/>
      </c>
      <c r="Q137" s="48">
        <f>IF(A137="","",IF(OR(H137="Atrasado",K137="Sin venta",N137="Pendiente relevante",P137="Crítico"),"Alta",IF(OR(K137="Venta baja",N137="Pendiente menor",P137="Observar"),"Media","Baja")))</f>
        <v/>
      </c>
      <c r="R137" s="48">
        <f>IF(A137="","",IF(Q137="Alta","Gestionar esta semana",IF(Q137="Media","Hacer seguimiento","Mantener")))</f>
        <v/>
      </c>
      <c r="S137" s="68">
        <f>IF(A137="","",IF(I137=0,"Sin venta",IF(I137&gt;=cfg_VentaAlta,"Alta",IF(I137&lt;cfg_VentaBaja,"Baja","Media"))))</f>
        <v/>
      </c>
    </row>
    <row r="138">
      <c r="A138" s="48">
        <f>IF(Clientes_PDV!A138="","",Clientes_PDV!A138)</f>
        <v/>
      </c>
      <c r="B138" s="48">
        <f>IF(A138="","",IFERROR(VLOOKUP(A138,Clientes_PDV!$A$2:$J$250,2,FALSE),""))</f>
        <v/>
      </c>
      <c r="C138" s="48">
        <f>IF(A138="","",IFERROR(VLOOKUP(A138,Clientes_PDV!$A$2:$J$250,3,FALSE),""))</f>
        <v/>
      </c>
      <c r="D138" s="48">
        <f>IF(A138="","",IFERROR(VLOOKUP(A138,Clientes_PDV!$A$2:$J$250,4,FALSE),""))</f>
        <v/>
      </c>
      <c r="E138" s="48">
        <f>IF(A138="","",IFERROR(VLOOKUP(A138,Clientes_PDV!$A$2:$J$250,7,FALSE),""))</f>
        <v/>
      </c>
      <c r="F138" s="49">
        <f>IF(A138="","",IFERROR(VLOOKUP(A138,Clientes_PDV!$A$2:$J$250,8,FALSE),""))</f>
        <v/>
      </c>
      <c r="G138" s="50">
        <f>IF(F138="","",TODAY()-F138)</f>
        <v/>
      </c>
      <c r="H138" s="48">
        <f>IF(A138="","",IF(F138="","Sin visita",IF(G138&lt;=IFERROR(VLOOKUP(E138,Inicio!$A$24:$B$26,2,FALSE),0),"Vigente","Atrasado")))</f>
        <v/>
      </c>
      <c r="I138" s="51">
        <f>IF(A138="","",SUMIFS(Ventas_SellIn!$L$2:$L$800,Ventas_SellIn!$D$2:$D$800,A138,Ventas_SellIn!$B$2:$B$800,"&gt;="&amp;TODAY()-Inicio!$B$14))</f>
        <v/>
      </c>
      <c r="J138" s="50">
        <f>IF(A138="","",SUMIFS(SellOut_Jumbo!$F$2:$F$800,SellOut_Jumbo!$C$2:$C$800,D138,SellOut_Jumbo!$A$2:$A$800,"&gt;="&amp;TODAY()-Inicio!$B$14))</f>
        <v/>
      </c>
      <c r="K138" s="48">
        <f>IF(A138="","",IF(I138=0,"Sin venta",IF(I138&lt;Inicio!$B$15,"Venta baja","Venta OK")))</f>
        <v/>
      </c>
      <c r="L138" s="50">
        <f>IF(A138="","",COUNTIFS(Ventas_SellIn!$D$2:$D$800,A138,Ventas_SellIn!$R$2:$R$800,"&gt;0"))</f>
        <v/>
      </c>
      <c r="M138" s="51">
        <f>IF(A138="","",SUMIFS(Ventas_SellIn!$R$2:$R$800,Ventas_SellIn!$D$2:$D$800,A138))</f>
        <v/>
      </c>
      <c r="N138" s="48">
        <f>IF(A138="","",IF(M138&gt;=Inicio!$B$18,"Pendiente relevante",IF(M138&gt;0,"Pendiente menor","Sin deuda")))</f>
        <v/>
      </c>
      <c r="O138" s="50">
        <f>IF(A138="","",SUMIFS(Stock_PDV!$H$2:$H$800,Stock_PDV!$A$2:$A$800,A138))</f>
        <v/>
      </c>
      <c r="P138" s="48">
        <f>IF(A138="","",IF(O138&lt;=Inicio!$B$16,"Crítico",IF(O138&lt;=Inicio!$B$17,"Observar","OK")))</f>
        <v/>
      </c>
      <c r="Q138" s="48">
        <f>IF(A138="","",IF(OR(H138="Atrasado",K138="Sin venta",N138="Pendiente relevante",P138="Crítico"),"Alta",IF(OR(K138="Venta baja",N138="Pendiente menor",P138="Observar"),"Media","Baja")))</f>
        <v/>
      </c>
      <c r="R138" s="48">
        <f>IF(A138="","",IF(Q138="Alta","Gestionar esta semana",IF(Q138="Media","Hacer seguimiento","Mantener")))</f>
        <v/>
      </c>
      <c r="S138" s="68">
        <f>IF(A138="","",IF(I138=0,"Sin venta",IF(I138&gt;=cfg_VentaAlta,"Alta",IF(I138&lt;cfg_VentaBaja,"Baja","Media"))))</f>
        <v/>
      </c>
    </row>
    <row r="139">
      <c r="A139" s="48">
        <f>IF(Clientes_PDV!A139="","",Clientes_PDV!A139)</f>
        <v/>
      </c>
      <c r="B139" s="48">
        <f>IF(A139="","",IFERROR(VLOOKUP(A139,Clientes_PDV!$A$2:$J$250,2,FALSE),""))</f>
        <v/>
      </c>
      <c r="C139" s="48">
        <f>IF(A139="","",IFERROR(VLOOKUP(A139,Clientes_PDV!$A$2:$J$250,3,FALSE),""))</f>
        <v/>
      </c>
      <c r="D139" s="48">
        <f>IF(A139="","",IFERROR(VLOOKUP(A139,Clientes_PDV!$A$2:$J$250,4,FALSE),""))</f>
        <v/>
      </c>
      <c r="E139" s="48">
        <f>IF(A139="","",IFERROR(VLOOKUP(A139,Clientes_PDV!$A$2:$J$250,7,FALSE),""))</f>
        <v/>
      </c>
      <c r="F139" s="49">
        <f>IF(A139="","",IFERROR(VLOOKUP(A139,Clientes_PDV!$A$2:$J$250,8,FALSE),""))</f>
        <v/>
      </c>
      <c r="G139" s="50">
        <f>IF(F139="","",TODAY()-F139)</f>
        <v/>
      </c>
      <c r="H139" s="48">
        <f>IF(A139="","",IF(F139="","Sin visita",IF(G139&lt;=IFERROR(VLOOKUP(E139,Inicio!$A$24:$B$26,2,FALSE),0),"Vigente","Atrasado")))</f>
        <v/>
      </c>
      <c r="I139" s="51">
        <f>IF(A139="","",SUMIFS(Ventas_SellIn!$L$2:$L$800,Ventas_SellIn!$D$2:$D$800,A139,Ventas_SellIn!$B$2:$B$800,"&gt;="&amp;TODAY()-Inicio!$B$14))</f>
        <v/>
      </c>
      <c r="J139" s="50">
        <f>IF(A139="","",SUMIFS(SellOut_Jumbo!$F$2:$F$800,SellOut_Jumbo!$C$2:$C$800,D139,SellOut_Jumbo!$A$2:$A$800,"&gt;="&amp;TODAY()-Inicio!$B$14))</f>
        <v/>
      </c>
      <c r="K139" s="48">
        <f>IF(A139="","",IF(I139=0,"Sin venta",IF(I139&lt;Inicio!$B$15,"Venta baja","Venta OK")))</f>
        <v/>
      </c>
      <c r="L139" s="50">
        <f>IF(A139="","",COUNTIFS(Ventas_SellIn!$D$2:$D$800,A139,Ventas_SellIn!$R$2:$R$800,"&gt;0"))</f>
        <v/>
      </c>
      <c r="M139" s="51">
        <f>IF(A139="","",SUMIFS(Ventas_SellIn!$R$2:$R$800,Ventas_SellIn!$D$2:$D$800,A139))</f>
        <v/>
      </c>
      <c r="N139" s="48">
        <f>IF(A139="","",IF(M139&gt;=Inicio!$B$18,"Pendiente relevante",IF(M139&gt;0,"Pendiente menor","Sin deuda")))</f>
        <v/>
      </c>
      <c r="O139" s="50">
        <f>IF(A139="","",SUMIFS(Stock_PDV!$H$2:$H$800,Stock_PDV!$A$2:$A$800,A139))</f>
        <v/>
      </c>
      <c r="P139" s="48">
        <f>IF(A139="","",IF(O139&lt;=Inicio!$B$16,"Crítico",IF(O139&lt;=Inicio!$B$17,"Observar","OK")))</f>
        <v/>
      </c>
      <c r="Q139" s="48">
        <f>IF(A139="","",IF(OR(H139="Atrasado",K139="Sin venta",N139="Pendiente relevante",P139="Crítico"),"Alta",IF(OR(K139="Venta baja",N139="Pendiente menor",P139="Observar"),"Media","Baja")))</f>
        <v/>
      </c>
      <c r="R139" s="48">
        <f>IF(A139="","",IF(Q139="Alta","Gestionar esta semana",IF(Q139="Media","Hacer seguimiento","Mantener")))</f>
        <v/>
      </c>
      <c r="S139" s="68">
        <f>IF(A139="","",IF(I139=0,"Sin venta",IF(I139&gt;=cfg_VentaAlta,"Alta",IF(I139&lt;cfg_VentaBaja,"Baja","Media"))))</f>
        <v/>
      </c>
    </row>
    <row r="140">
      <c r="A140" s="48">
        <f>IF(Clientes_PDV!A140="","",Clientes_PDV!A140)</f>
        <v/>
      </c>
      <c r="B140" s="48">
        <f>IF(A140="","",IFERROR(VLOOKUP(A140,Clientes_PDV!$A$2:$J$250,2,FALSE),""))</f>
        <v/>
      </c>
      <c r="C140" s="48">
        <f>IF(A140="","",IFERROR(VLOOKUP(A140,Clientes_PDV!$A$2:$J$250,3,FALSE),""))</f>
        <v/>
      </c>
      <c r="D140" s="48">
        <f>IF(A140="","",IFERROR(VLOOKUP(A140,Clientes_PDV!$A$2:$J$250,4,FALSE),""))</f>
        <v/>
      </c>
      <c r="E140" s="48">
        <f>IF(A140="","",IFERROR(VLOOKUP(A140,Clientes_PDV!$A$2:$J$250,7,FALSE),""))</f>
        <v/>
      </c>
      <c r="F140" s="49">
        <f>IF(A140="","",IFERROR(VLOOKUP(A140,Clientes_PDV!$A$2:$J$250,8,FALSE),""))</f>
        <v/>
      </c>
      <c r="G140" s="50">
        <f>IF(F140="","",TODAY()-F140)</f>
        <v/>
      </c>
      <c r="H140" s="48">
        <f>IF(A140="","",IF(F140="","Sin visita",IF(G140&lt;=IFERROR(VLOOKUP(E140,Inicio!$A$24:$B$26,2,FALSE),0),"Vigente","Atrasado")))</f>
        <v/>
      </c>
      <c r="I140" s="51">
        <f>IF(A140="","",SUMIFS(Ventas_SellIn!$L$2:$L$800,Ventas_SellIn!$D$2:$D$800,A140,Ventas_SellIn!$B$2:$B$800,"&gt;="&amp;TODAY()-Inicio!$B$14))</f>
        <v/>
      </c>
      <c r="J140" s="50">
        <f>IF(A140="","",SUMIFS(SellOut_Jumbo!$F$2:$F$800,SellOut_Jumbo!$C$2:$C$800,D140,SellOut_Jumbo!$A$2:$A$800,"&gt;="&amp;TODAY()-Inicio!$B$14))</f>
        <v/>
      </c>
      <c r="K140" s="48">
        <f>IF(A140="","",IF(I140=0,"Sin venta",IF(I140&lt;Inicio!$B$15,"Venta baja","Venta OK")))</f>
        <v/>
      </c>
      <c r="L140" s="50">
        <f>IF(A140="","",COUNTIFS(Ventas_SellIn!$D$2:$D$800,A140,Ventas_SellIn!$R$2:$R$800,"&gt;0"))</f>
        <v/>
      </c>
      <c r="M140" s="51">
        <f>IF(A140="","",SUMIFS(Ventas_SellIn!$R$2:$R$800,Ventas_SellIn!$D$2:$D$800,A140))</f>
        <v/>
      </c>
      <c r="N140" s="48">
        <f>IF(A140="","",IF(M140&gt;=Inicio!$B$18,"Pendiente relevante",IF(M140&gt;0,"Pendiente menor","Sin deuda")))</f>
        <v/>
      </c>
      <c r="O140" s="50">
        <f>IF(A140="","",SUMIFS(Stock_PDV!$H$2:$H$800,Stock_PDV!$A$2:$A$800,A140))</f>
        <v/>
      </c>
      <c r="P140" s="48">
        <f>IF(A140="","",IF(O140&lt;=Inicio!$B$16,"Crítico",IF(O140&lt;=Inicio!$B$17,"Observar","OK")))</f>
        <v/>
      </c>
      <c r="Q140" s="48">
        <f>IF(A140="","",IF(OR(H140="Atrasado",K140="Sin venta",N140="Pendiente relevante",P140="Crítico"),"Alta",IF(OR(K140="Venta baja",N140="Pendiente menor",P140="Observar"),"Media","Baja")))</f>
        <v/>
      </c>
      <c r="R140" s="48">
        <f>IF(A140="","",IF(Q140="Alta","Gestionar esta semana",IF(Q140="Media","Hacer seguimiento","Mantener")))</f>
        <v/>
      </c>
      <c r="S140" s="68">
        <f>IF(A140="","",IF(I140=0,"Sin venta",IF(I140&gt;=cfg_VentaAlta,"Alta",IF(I140&lt;cfg_VentaBaja,"Baja","Media"))))</f>
        <v/>
      </c>
    </row>
    <row r="141">
      <c r="A141" s="48">
        <f>IF(Clientes_PDV!A141="","",Clientes_PDV!A141)</f>
        <v/>
      </c>
      <c r="B141" s="48">
        <f>IF(A141="","",IFERROR(VLOOKUP(A141,Clientes_PDV!$A$2:$J$250,2,FALSE),""))</f>
        <v/>
      </c>
      <c r="C141" s="48">
        <f>IF(A141="","",IFERROR(VLOOKUP(A141,Clientes_PDV!$A$2:$J$250,3,FALSE),""))</f>
        <v/>
      </c>
      <c r="D141" s="48">
        <f>IF(A141="","",IFERROR(VLOOKUP(A141,Clientes_PDV!$A$2:$J$250,4,FALSE),""))</f>
        <v/>
      </c>
      <c r="E141" s="48">
        <f>IF(A141="","",IFERROR(VLOOKUP(A141,Clientes_PDV!$A$2:$J$250,7,FALSE),""))</f>
        <v/>
      </c>
      <c r="F141" s="49">
        <f>IF(A141="","",IFERROR(VLOOKUP(A141,Clientes_PDV!$A$2:$J$250,8,FALSE),""))</f>
        <v/>
      </c>
      <c r="G141" s="50">
        <f>IF(F141="","",TODAY()-F141)</f>
        <v/>
      </c>
      <c r="H141" s="48">
        <f>IF(A141="","",IF(F141="","Sin visita",IF(G141&lt;=IFERROR(VLOOKUP(E141,Inicio!$A$24:$B$26,2,FALSE),0),"Vigente","Atrasado")))</f>
        <v/>
      </c>
      <c r="I141" s="51">
        <f>IF(A141="","",SUMIFS(Ventas_SellIn!$L$2:$L$800,Ventas_SellIn!$D$2:$D$800,A141,Ventas_SellIn!$B$2:$B$800,"&gt;="&amp;TODAY()-Inicio!$B$14))</f>
        <v/>
      </c>
      <c r="J141" s="50">
        <f>IF(A141="","",SUMIFS(SellOut_Jumbo!$F$2:$F$800,SellOut_Jumbo!$C$2:$C$800,D141,SellOut_Jumbo!$A$2:$A$800,"&gt;="&amp;TODAY()-Inicio!$B$14))</f>
        <v/>
      </c>
      <c r="K141" s="48">
        <f>IF(A141="","",IF(I141=0,"Sin venta",IF(I141&lt;Inicio!$B$15,"Venta baja","Venta OK")))</f>
        <v/>
      </c>
      <c r="L141" s="50">
        <f>IF(A141="","",COUNTIFS(Ventas_SellIn!$D$2:$D$800,A141,Ventas_SellIn!$R$2:$R$800,"&gt;0"))</f>
        <v/>
      </c>
      <c r="M141" s="51">
        <f>IF(A141="","",SUMIFS(Ventas_SellIn!$R$2:$R$800,Ventas_SellIn!$D$2:$D$800,A141))</f>
        <v/>
      </c>
      <c r="N141" s="48">
        <f>IF(A141="","",IF(M141&gt;=Inicio!$B$18,"Pendiente relevante",IF(M141&gt;0,"Pendiente menor","Sin deuda")))</f>
        <v/>
      </c>
      <c r="O141" s="50">
        <f>IF(A141="","",SUMIFS(Stock_PDV!$H$2:$H$800,Stock_PDV!$A$2:$A$800,A141))</f>
        <v/>
      </c>
      <c r="P141" s="48">
        <f>IF(A141="","",IF(O141&lt;=Inicio!$B$16,"Crítico",IF(O141&lt;=Inicio!$B$17,"Observar","OK")))</f>
        <v/>
      </c>
      <c r="Q141" s="48">
        <f>IF(A141="","",IF(OR(H141="Atrasado",K141="Sin venta",N141="Pendiente relevante",P141="Crítico"),"Alta",IF(OR(K141="Venta baja",N141="Pendiente menor",P141="Observar"),"Media","Baja")))</f>
        <v/>
      </c>
      <c r="R141" s="48">
        <f>IF(A141="","",IF(Q141="Alta","Gestionar esta semana",IF(Q141="Media","Hacer seguimiento","Mantener")))</f>
        <v/>
      </c>
      <c r="S141" s="68">
        <f>IF(A141="","",IF(I141=0,"Sin venta",IF(I141&gt;=cfg_VentaAlta,"Alta",IF(I141&lt;cfg_VentaBaja,"Baja","Media"))))</f>
        <v/>
      </c>
    </row>
    <row r="142">
      <c r="A142" s="48">
        <f>IF(Clientes_PDV!A142="","",Clientes_PDV!A142)</f>
        <v/>
      </c>
      <c r="B142" s="48">
        <f>IF(A142="","",IFERROR(VLOOKUP(A142,Clientes_PDV!$A$2:$J$250,2,FALSE),""))</f>
        <v/>
      </c>
      <c r="C142" s="48">
        <f>IF(A142="","",IFERROR(VLOOKUP(A142,Clientes_PDV!$A$2:$J$250,3,FALSE),""))</f>
        <v/>
      </c>
      <c r="D142" s="48">
        <f>IF(A142="","",IFERROR(VLOOKUP(A142,Clientes_PDV!$A$2:$J$250,4,FALSE),""))</f>
        <v/>
      </c>
      <c r="E142" s="48">
        <f>IF(A142="","",IFERROR(VLOOKUP(A142,Clientes_PDV!$A$2:$J$250,7,FALSE),""))</f>
        <v/>
      </c>
      <c r="F142" s="49">
        <f>IF(A142="","",IFERROR(VLOOKUP(A142,Clientes_PDV!$A$2:$J$250,8,FALSE),""))</f>
        <v/>
      </c>
      <c r="G142" s="50">
        <f>IF(F142="","",TODAY()-F142)</f>
        <v/>
      </c>
      <c r="H142" s="48">
        <f>IF(A142="","",IF(F142="","Sin visita",IF(G142&lt;=IFERROR(VLOOKUP(E142,Inicio!$A$24:$B$26,2,FALSE),0),"Vigente","Atrasado")))</f>
        <v/>
      </c>
      <c r="I142" s="51">
        <f>IF(A142="","",SUMIFS(Ventas_SellIn!$L$2:$L$800,Ventas_SellIn!$D$2:$D$800,A142,Ventas_SellIn!$B$2:$B$800,"&gt;="&amp;TODAY()-Inicio!$B$14))</f>
        <v/>
      </c>
      <c r="J142" s="50">
        <f>IF(A142="","",SUMIFS(SellOut_Jumbo!$F$2:$F$800,SellOut_Jumbo!$C$2:$C$800,D142,SellOut_Jumbo!$A$2:$A$800,"&gt;="&amp;TODAY()-Inicio!$B$14))</f>
        <v/>
      </c>
      <c r="K142" s="48">
        <f>IF(A142="","",IF(I142=0,"Sin venta",IF(I142&lt;Inicio!$B$15,"Venta baja","Venta OK")))</f>
        <v/>
      </c>
      <c r="L142" s="50">
        <f>IF(A142="","",COUNTIFS(Ventas_SellIn!$D$2:$D$800,A142,Ventas_SellIn!$R$2:$R$800,"&gt;0"))</f>
        <v/>
      </c>
      <c r="M142" s="51">
        <f>IF(A142="","",SUMIFS(Ventas_SellIn!$R$2:$R$800,Ventas_SellIn!$D$2:$D$800,A142))</f>
        <v/>
      </c>
      <c r="N142" s="48">
        <f>IF(A142="","",IF(M142&gt;=Inicio!$B$18,"Pendiente relevante",IF(M142&gt;0,"Pendiente menor","Sin deuda")))</f>
        <v/>
      </c>
      <c r="O142" s="50">
        <f>IF(A142="","",SUMIFS(Stock_PDV!$H$2:$H$800,Stock_PDV!$A$2:$A$800,A142))</f>
        <v/>
      </c>
      <c r="P142" s="48">
        <f>IF(A142="","",IF(O142&lt;=Inicio!$B$16,"Crítico",IF(O142&lt;=Inicio!$B$17,"Observar","OK")))</f>
        <v/>
      </c>
      <c r="Q142" s="48">
        <f>IF(A142="","",IF(OR(H142="Atrasado",K142="Sin venta",N142="Pendiente relevante",P142="Crítico"),"Alta",IF(OR(K142="Venta baja",N142="Pendiente menor",P142="Observar"),"Media","Baja")))</f>
        <v/>
      </c>
      <c r="R142" s="48">
        <f>IF(A142="","",IF(Q142="Alta","Gestionar esta semana",IF(Q142="Media","Hacer seguimiento","Mantener")))</f>
        <v/>
      </c>
      <c r="S142" s="68">
        <f>IF(A142="","",IF(I142=0,"Sin venta",IF(I142&gt;=cfg_VentaAlta,"Alta",IF(I142&lt;cfg_VentaBaja,"Baja","Media"))))</f>
        <v/>
      </c>
    </row>
    <row r="143">
      <c r="A143" s="48">
        <f>IF(Clientes_PDV!A143="","",Clientes_PDV!A143)</f>
        <v/>
      </c>
      <c r="B143" s="48">
        <f>IF(A143="","",IFERROR(VLOOKUP(A143,Clientes_PDV!$A$2:$J$250,2,FALSE),""))</f>
        <v/>
      </c>
      <c r="C143" s="48">
        <f>IF(A143="","",IFERROR(VLOOKUP(A143,Clientes_PDV!$A$2:$J$250,3,FALSE),""))</f>
        <v/>
      </c>
      <c r="D143" s="48">
        <f>IF(A143="","",IFERROR(VLOOKUP(A143,Clientes_PDV!$A$2:$J$250,4,FALSE),""))</f>
        <v/>
      </c>
      <c r="E143" s="48">
        <f>IF(A143="","",IFERROR(VLOOKUP(A143,Clientes_PDV!$A$2:$J$250,7,FALSE),""))</f>
        <v/>
      </c>
      <c r="F143" s="49">
        <f>IF(A143="","",IFERROR(VLOOKUP(A143,Clientes_PDV!$A$2:$J$250,8,FALSE),""))</f>
        <v/>
      </c>
      <c r="G143" s="50">
        <f>IF(F143="","",TODAY()-F143)</f>
        <v/>
      </c>
      <c r="H143" s="48">
        <f>IF(A143="","",IF(F143="","Sin visita",IF(G143&lt;=IFERROR(VLOOKUP(E143,Inicio!$A$24:$B$26,2,FALSE),0),"Vigente","Atrasado")))</f>
        <v/>
      </c>
      <c r="I143" s="51">
        <f>IF(A143="","",SUMIFS(Ventas_SellIn!$L$2:$L$800,Ventas_SellIn!$D$2:$D$800,A143,Ventas_SellIn!$B$2:$B$800,"&gt;="&amp;TODAY()-Inicio!$B$14))</f>
        <v/>
      </c>
      <c r="J143" s="50">
        <f>IF(A143="","",SUMIFS(SellOut_Jumbo!$F$2:$F$800,SellOut_Jumbo!$C$2:$C$800,D143,SellOut_Jumbo!$A$2:$A$800,"&gt;="&amp;TODAY()-Inicio!$B$14))</f>
        <v/>
      </c>
      <c r="K143" s="48">
        <f>IF(A143="","",IF(I143=0,"Sin venta",IF(I143&lt;Inicio!$B$15,"Venta baja","Venta OK")))</f>
        <v/>
      </c>
      <c r="L143" s="50">
        <f>IF(A143="","",COUNTIFS(Ventas_SellIn!$D$2:$D$800,A143,Ventas_SellIn!$R$2:$R$800,"&gt;0"))</f>
        <v/>
      </c>
      <c r="M143" s="51">
        <f>IF(A143="","",SUMIFS(Ventas_SellIn!$R$2:$R$800,Ventas_SellIn!$D$2:$D$800,A143))</f>
        <v/>
      </c>
      <c r="N143" s="48">
        <f>IF(A143="","",IF(M143&gt;=Inicio!$B$18,"Pendiente relevante",IF(M143&gt;0,"Pendiente menor","Sin deuda")))</f>
        <v/>
      </c>
      <c r="O143" s="50">
        <f>IF(A143="","",SUMIFS(Stock_PDV!$H$2:$H$800,Stock_PDV!$A$2:$A$800,A143))</f>
        <v/>
      </c>
      <c r="P143" s="48">
        <f>IF(A143="","",IF(O143&lt;=Inicio!$B$16,"Crítico",IF(O143&lt;=Inicio!$B$17,"Observar","OK")))</f>
        <v/>
      </c>
      <c r="Q143" s="48">
        <f>IF(A143="","",IF(OR(H143="Atrasado",K143="Sin venta",N143="Pendiente relevante",P143="Crítico"),"Alta",IF(OR(K143="Venta baja",N143="Pendiente menor",P143="Observar"),"Media","Baja")))</f>
        <v/>
      </c>
      <c r="R143" s="48">
        <f>IF(A143="","",IF(Q143="Alta","Gestionar esta semana",IF(Q143="Media","Hacer seguimiento","Mantener")))</f>
        <v/>
      </c>
      <c r="S143" s="68">
        <f>IF(A143="","",IF(I143=0,"Sin venta",IF(I143&gt;=cfg_VentaAlta,"Alta",IF(I143&lt;cfg_VentaBaja,"Baja","Media"))))</f>
        <v/>
      </c>
    </row>
    <row r="144">
      <c r="A144" s="48">
        <f>IF(Clientes_PDV!A144="","",Clientes_PDV!A144)</f>
        <v/>
      </c>
      <c r="B144" s="48">
        <f>IF(A144="","",IFERROR(VLOOKUP(A144,Clientes_PDV!$A$2:$J$250,2,FALSE),""))</f>
        <v/>
      </c>
      <c r="C144" s="48">
        <f>IF(A144="","",IFERROR(VLOOKUP(A144,Clientes_PDV!$A$2:$J$250,3,FALSE),""))</f>
        <v/>
      </c>
      <c r="D144" s="48">
        <f>IF(A144="","",IFERROR(VLOOKUP(A144,Clientes_PDV!$A$2:$J$250,4,FALSE),""))</f>
        <v/>
      </c>
      <c r="E144" s="48">
        <f>IF(A144="","",IFERROR(VLOOKUP(A144,Clientes_PDV!$A$2:$J$250,7,FALSE),""))</f>
        <v/>
      </c>
      <c r="F144" s="49">
        <f>IF(A144="","",IFERROR(VLOOKUP(A144,Clientes_PDV!$A$2:$J$250,8,FALSE),""))</f>
        <v/>
      </c>
      <c r="G144" s="50">
        <f>IF(F144="","",TODAY()-F144)</f>
        <v/>
      </c>
      <c r="H144" s="48">
        <f>IF(A144="","",IF(F144="","Sin visita",IF(G144&lt;=IFERROR(VLOOKUP(E144,Inicio!$A$24:$B$26,2,FALSE),0),"Vigente","Atrasado")))</f>
        <v/>
      </c>
      <c r="I144" s="51">
        <f>IF(A144="","",SUMIFS(Ventas_SellIn!$L$2:$L$800,Ventas_SellIn!$D$2:$D$800,A144,Ventas_SellIn!$B$2:$B$800,"&gt;="&amp;TODAY()-Inicio!$B$14))</f>
        <v/>
      </c>
      <c r="J144" s="50">
        <f>IF(A144="","",SUMIFS(SellOut_Jumbo!$F$2:$F$800,SellOut_Jumbo!$C$2:$C$800,D144,SellOut_Jumbo!$A$2:$A$800,"&gt;="&amp;TODAY()-Inicio!$B$14))</f>
        <v/>
      </c>
      <c r="K144" s="48">
        <f>IF(A144="","",IF(I144=0,"Sin venta",IF(I144&lt;Inicio!$B$15,"Venta baja","Venta OK")))</f>
        <v/>
      </c>
      <c r="L144" s="50">
        <f>IF(A144="","",COUNTIFS(Ventas_SellIn!$D$2:$D$800,A144,Ventas_SellIn!$R$2:$R$800,"&gt;0"))</f>
        <v/>
      </c>
      <c r="M144" s="51">
        <f>IF(A144="","",SUMIFS(Ventas_SellIn!$R$2:$R$800,Ventas_SellIn!$D$2:$D$800,A144))</f>
        <v/>
      </c>
      <c r="N144" s="48">
        <f>IF(A144="","",IF(M144&gt;=Inicio!$B$18,"Pendiente relevante",IF(M144&gt;0,"Pendiente menor","Sin deuda")))</f>
        <v/>
      </c>
      <c r="O144" s="50">
        <f>IF(A144="","",SUMIFS(Stock_PDV!$H$2:$H$800,Stock_PDV!$A$2:$A$800,A144))</f>
        <v/>
      </c>
      <c r="P144" s="48">
        <f>IF(A144="","",IF(O144&lt;=Inicio!$B$16,"Crítico",IF(O144&lt;=Inicio!$B$17,"Observar","OK")))</f>
        <v/>
      </c>
      <c r="Q144" s="48">
        <f>IF(A144="","",IF(OR(H144="Atrasado",K144="Sin venta",N144="Pendiente relevante",P144="Crítico"),"Alta",IF(OR(K144="Venta baja",N144="Pendiente menor",P144="Observar"),"Media","Baja")))</f>
        <v/>
      </c>
      <c r="R144" s="48">
        <f>IF(A144="","",IF(Q144="Alta","Gestionar esta semana",IF(Q144="Media","Hacer seguimiento","Mantener")))</f>
        <v/>
      </c>
      <c r="S144" s="68">
        <f>IF(A144="","",IF(I144=0,"Sin venta",IF(I144&gt;=cfg_VentaAlta,"Alta",IF(I144&lt;cfg_VentaBaja,"Baja","Media"))))</f>
        <v/>
      </c>
    </row>
    <row r="145">
      <c r="A145" s="48">
        <f>IF(Clientes_PDV!A145="","",Clientes_PDV!A145)</f>
        <v/>
      </c>
      <c r="B145" s="48">
        <f>IF(A145="","",IFERROR(VLOOKUP(A145,Clientes_PDV!$A$2:$J$250,2,FALSE),""))</f>
        <v/>
      </c>
      <c r="C145" s="48">
        <f>IF(A145="","",IFERROR(VLOOKUP(A145,Clientes_PDV!$A$2:$J$250,3,FALSE),""))</f>
        <v/>
      </c>
      <c r="D145" s="48">
        <f>IF(A145="","",IFERROR(VLOOKUP(A145,Clientes_PDV!$A$2:$J$250,4,FALSE),""))</f>
        <v/>
      </c>
      <c r="E145" s="48">
        <f>IF(A145="","",IFERROR(VLOOKUP(A145,Clientes_PDV!$A$2:$J$250,7,FALSE),""))</f>
        <v/>
      </c>
      <c r="F145" s="49">
        <f>IF(A145="","",IFERROR(VLOOKUP(A145,Clientes_PDV!$A$2:$J$250,8,FALSE),""))</f>
        <v/>
      </c>
      <c r="G145" s="50">
        <f>IF(F145="","",TODAY()-F145)</f>
        <v/>
      </c>
      <c r="H145" s="48">
        <f>IF(A145="","",IF(F145="","Sin visita",IF(G145&lt;=IFERROR(VLOOKUP(E145,Inicio!$A$24:$B$26,2,FALSE),0),"Vigente","Atrasado")))</f>
        <v/>
      </c>
      <c r="I145" s="51">
        <f>IF(A145="","",SUMIFS(Ventas_SellIn!$L$2:$L$800,Ventas_SellIn!$D$2:$D$800,A145,Ventas_SellIn!$B$2:$B$800,"&gt;="&amp;TODAY()-Inicio!$B$14))</f>
        <v/>
      </c>
      <c r="J145" s="50">
        <f>IF(A145="","",SUMIFS(SellOut_Jumbo!$F$2:$F$800,SellOut_Jumbo!$C$2:$C$800,D145,SellOut_Jumbo!$A$2:$A$800,"&gt;="&amp;TODAY()-Inicio!$B$14))</f>
        <v/>
      </c>
      <c r="K145" s="48">
        <f>IF(A145="","",IF(I145=0,"Sin venta",IF(I145&lt;Inicio!$B$15,"Venta baja","Venta OK")))</f>
        <v/>
      </c>
      <c r="L145" s="50">
        <f>IF(A145="","",COUNTIFS(Ventas_SellIn!$D$2:$D$800,A145,Ventas_SellIn!$R$2:$R$800,"&gt;0"))</f>
        <v/>
      </c>
      <c r="M145" s="51">
        <f>IF(A145="","",SUMIFS(Ventas_SellIn!$R$2:$R$800,Ventas_SellIn!$D$2:$D$800,A145))</f>
        <v/>
      </c>
      <c r="N145" s="48">
        <f>IF(A145="","",IF(M145&gt;=Inicio!$B$18,"Pendiente relevante",IF(M145&gt;0,"Pendiente menor","Sin deuda")))</f>
        <v/>
      </c>
      <c r="O145" s="50">
        <f>IF(A145="","",SUMIFS(Stock_PDV!$H$2:$H$800,Stock_PDV!$A$2:$A$800,A145))</f>
        <v/>
      </c>
      <c r="P145" s="48">
        <f>IF(A145="","",IF(O145&lt;=Inicio!$B$16,"Crítico",IF(O145&lt;=Inicio!$B$17,"Observar","OK")))</f>
        <v/>
      </c>
      <c r="Q145" s="48">
        <f>IF(A145="","",IF(OR(H145="Atrasado",K145="Sin venta",N145="Pendiente relevante",P145="Crítico"),"Alta",IF(OR(K145="Venta baja",N145="Pendiente menor",P145="Observar"),"Media","Baja")))</f>
        <v/>
      </c>
      <c r="R145" s="48">
        <f>IF(A145="","",IF(Q145="Alta","Gestionar esta semana",IF(Q145="Media","Hacer seguimiento","Mantener")))</f>
        <v/>
      </c>
      <c r="S145" s="68">
        <f>IF(A145="","",IF(I145=0,"Sin venta",IF(I145&gt;=cfg_VentaAlta,"Alta",IF(I145&lt;cfg_VentaBaja,"Baja","Media"))))</f>
        <v/>
      </c>
    </row>
    <row r="146">
      <c r="A146" s="48">
        <f>IF(Clientes_PDV!A146="","",Clientes_PDV!A146)</f>
        <v/>
      </c>
      <c r="B146" s="48">
        <f>IF(A146="","",IFERROR(VLOOKUP(A146,Clientes_PDV!$A$2:$J$250,2,FALSE),""))</f>
        <v/>
      </c>
      <c r="C146" s="48">
        <f>IF(A146="","",IFERROR(VLOOKUP(A146,Clientes_PDV!$A$2:$J$250,3,FALSE),""))</f>
        <v/>
      </c>
      <c r="D146" s="48">
        <f>IF(A146="","",IFERROR(VLOOKUP(A146,Clientes_PDV!$A$2:$J$250,4,FALSE),""))</f>
        <v/>
      </c>
      <c r="E146" s="48">
        <f>IF(A146="","",IFERROR(VLOOKUP(A146,Clientes_PDV!$A$2:$J$250,7,FALSE),""))</f>
        <v/>
      </c>
      <c r="F146" s="49">
        <f>IF(A146="","",IFERROR(VLOOKUP(A146,Clientes_PDV!$A$2:$J$250,8,FALSE),""))</f>
        <v/>
      </c>
      <c r="G146" s="50">
        <f>IF(F146="","",TODAY()-F146)</f>
        <v/>
      </c>
      <c r="H146" s="48">
        <f>IF(A146="","",IF(F146="","Sin visita",IF(G146&lt;=IFERROR(VLOOKUP(E146,Inicio!$A$24:$B$26,2,FALSE),0),"Vigente","Atrasado")))</f>
        <v/>
      </c>
      <c r="I146" s="51">
        <f>IF(A146="","",SUMIFS(Ventas_SellIn!$L$2:$L$800,Ventas_SellIn!$D$2:$D$800,A146,Ventas_SellIn!$B$2:$B$800,"&gt;="&amp;TODAY()-Inicio!$B$14))</f>
        <v/>
      </c>
      <c r="J146" s="50">
        <f>IF(A146="","",SUMIFS(SellOut_Jumbo!$F$2:$F$800,SellOut_Jumbo!$C$2:$C$800,D146,SellOut_Jumbo!$A$2:$A$800,"&gt;="&amp;TODAY()-Inicio!$B$14))</f>
        <v/>
      </c>
      <c r="K146" s="48">
        <f>IF(A146="","",IF(I146=0,"Sin venta",IF(I146&lt;Inicio!$B$15,"Venta baja","Venta OK")))</f>
        <v/>
      </c>
      <c r="L146" s="50">
        <f>IF(A146="","",COUNTIFS(Ventas_SellIn!$D$2:$D$800,A146,Ventas_SellIn!$R$2:$R$800,"&gt;0"))</f>
        <v/>
      </c>
      <c r="M146" s="51">
        <f>IF(A146="","",SUMIFS(Ventas_SellIn!$R$2:$R$800,Ventas_SellIn!$D$2:$D$800,A146))</f>
        <v/>
      </c>
      <c r="N146" s="48">
        <f>IF(A146="","",IF(M146&gt;=Inicio!$B$18,"Pendiente relevante",IF(M146&gt;0,"Pendiente menor","Sin deuda")))</f>
        <v/>
      </c>
      <c r="O146" s="50">
        <f>IF(A146="","",SUMIFS(Stock_PDV!$H$2:$H$800,Stock_PDV!$A$2:$A$800,A146))</f>
        <v/>
      </c>
      <c r="P146" s="48">
        <f>IF(A146="","",IF(O146&lt;=Inicio!$B$16,"Crítico",IF(O146&lt;=Inicio!$B$17,"Observar","OK")))</f>
        <v/>
      </c>
      <c r="Q146" s="48">
        <f>IF(A146="","",IF(OR(H146="Atrasado",K146="Sin venta",N146="Pendiente relevante",P146="Crítico"),"Alta",IF(OR(K146="Venta baja",N146="Pendiente menor",P146="Observar"),"Media","Baja")))</f>
        <v/>
      </c>
      <c r="R146" s="48">
        <f>IF(A146="","",IF(Q146="Alta","Gestionar esta semana",IF(Q146="Media","Hacer seguimiento","Mantener")))</f>
        <v/>
      </c>
      <c r="S146" s="68">
        <f>IF(A146="","",IF(I146=0,"Sin venta",IF(I146&gt;=cfg_VentaAlta,"Alta",IF(I146&lt;cfg_VentaBaja,"Baja","Media"))))</f>
        <v/>
      </c>
    </row>
    <row r="147">
      <c r="A147" s="48">
        <f>IF(Clientes_PDV!A147="","",Clientes_PDV!A147)</f>
        <v/>
      </c>
      <c r="B147" s="48">
        <f>IF(A147="","",IFERROR(VLOOKUP(A147,Clientes_PDV!$A$2:$J$250,2,FALSE),""))</f>
        <v/>
      </c>
      <c r="C147" s="48">
        <f>IF(A147="","",IFERROR(VLOOKUP(A147,Clientes_PDV!$A$2:$J$250,3,FALSE),""))</f>
        <v/>
      </c>
      <c r="D147" s="48">
        <f>IF(A147="","",IFERROR(VLOOKUP(A147,Clientes_PDV!$A$2:$J$250,4,FALSE),""))</f>
        <v/>
      </c>
      <c r="E147" s="48">
        <f>IF(A147="","",IFERROR(VLOOKUP(A147,Clientes_PDV!$A$2:$J$250,7,FALSE),""))</f>
        <v/>
      </c>
      <c r="F147" s="49">
        <f>IF(A147="","",IFERROR(VLOOKUP(A147,Clientes_PDV!$A$2:$J$250,8,FALSE),""))</f>
        <v/>
      </c>
      <c r="G147" s="50">
        <f>IF(F147="","",TODAY()-F147)</f>
        <v/>
      </c>
      <c r="H147" s="48">
        <f>IF(A147="","",IF(F147="","Sin visita",IF(G147&lt;=IFERROR(VLOOKUP(E147,Inicio!$A$24:$B$26,2,FALSE),0),"Vigente","Atrasado")))</f>
        <v/>
      </c>
      <c r="I147" s="51">
        <f>IF(A147="","",SUMIFS(Ventas_SellIn!$L$2:$L$800,Ventas_SellIn!$D$2:$D$800,A147,Ventas_SellIn!$B$2:$B$800,"&gt;="&amp;TODAY()-Inicio!$B$14))</f>
        <v/>
      </c>
      <c r="J147" s="50">
        <f>IF(A147="","",SUMIFS(SellOut_Jumbo!$F$2:$F$800,SellOut_Jumbo!$C$2:$C$800,D147,SellOut_Jumbo!$A$2:$A$800,"&gt;="&amp;TODAY()-Inicio!$B$14))</f>
        <v/>
      </c>
      <c r="K147" s="48">
        <f>IF(A147="","",IF(I147=0,"Sin venta",IF(I147&lt;Inicio!$B$15,"Venta baja","Venta OK")))</f>
        <v/>
      </c>
      <c r="L147" s="50">
        <f>IF(A147="","",COUNTIFS(Ventas_SellIn!$D$2:$D$800,A147,Ventas_SellIn!$R$2:$R$800,"&gt;0"))</f>
        <v/>
      </c>
      <c r="M147" s="51">
        <f>IF(A147="","",SUMIFS(Ventas_SellIn!$R$2:$R$800,Ventas_SellIn!$D$2:$D$800,A147))</f>
        <v/>
      </c>
      <c r="N147" s="48">
        <f>IF(A147="","",IF(M147&gt;=Inicio!$B$18,"Pendiente relevante",IF(M147&gt;0,"Pendiente menor","Sin deuda")))</f>
        <v/>
      </c>
      <c r="O147" s="50">
        <f>IF(A147="","",SUMIFS(Stock_PDV!$H$2:$H$800,Stock_PDV!$A$2:$A$800,A147))</f>
        <v/>
      </c>
      <c r="P147" s="48">
        <f>IF(A147="","",IF(O147&lt;=Inicio!$B$16,"Crítico",IF(O147&lt;=Inicio!$B$17,"Observar","OK")))</f>
        <v/>
      </c>
      <c r="Q147" s="48">
        <f>IF(A147="","",IF(OR(H147="Atrasado",K147="Sin venta",N147="Pendiente relevante",P147="Crítico"),"Alta",IF(OR(K147="Venta baja",N147="Pendiente menor",P147="Observar"),"Media","Baja")))</f>
        <v/>
      </c>
      <c r="R147" s="48">
        <f>IF(A147="","",IF(Q147="Alta","Gestionar esta semana",IF(Q147="Media","Hacer seguimiento","Mantener")))</f>
        <v/>
      </c>
      <c r="S147" s="68">
        <f>IF(A147="","",IF(I147=0,"Sin venta",IF(I147&gt;=cfg_VentaAlta,"Alta",IF(I147&lt;cfg_VentaBaja,"Baja","Media"))))</f>
        <v/>
      </c>
    </row>
    <row r="148">
      <c r="A148" s="48">
        <f>IF(Clientes_PDV!A148="","",Clientes_PDV!A148)</f>
        <v/>
      </c>
      <c r="B148" s="48">
        <f>IF(A148="","",IFERROR(VLOOKUP(A148,Clientes_PDV!$A$2:$J$250,2,FALSE),""))</f>
        <v/>
      </c>
      <c r="C148" s="48">
        <f>IF(A148="","",IFERROR(VLOOKUP(A148,Clientes_PDV!$A$2:$J$250,3,FALSE),""))</f>
        <v/>
      </c>
      <c r="D148" s="48">
        <f>IF(A148="","",IFERROR(VLOOKUP(A148,Clientes_PDV!$A$2:$J$250,4,FALSE),""))</f>
        <v/>
      </c>
      <c r="E148" s="48">
        <f>IF(A148="","",IFERROR(VLOOKUP(A148,Clientes_PDV!$A$2:$J$250,7,FALSE),""))</f>
        <v/>
      </c>
      <c r="F148" s="49">
        <f>IF(A148="","",IFERROR(VLOOKUP(A148,Clientes_PDV!$A$2:$J$250,8,FALSE),""))</f>
        <v/>
      </c>
      <c r="G148" s="50">
        <f>IF(F148="","",TODAY()-F148)</f>
        <v/>
      </c>
      <c r="H148" s="48">
        <f>IF(A148="","",IF(F148="","Sin visita",IF(G148&lt;=IFERROR(VLOOKUP(E148,Inicio!$A$24:$B$26,2,FALSE),0),"Vigente","Atrasado")))</f>
        <v/>
      </c>
      <c r="I148" s="51">
        <f>IF(A148="","",SUMIFS(Ventas_SellIn!$L$2:$L$800,Ventas_SellIn!$D$2:$D$800,A148,Ventas_SellIn!$B$2:$B$800,"&gt;="&amp;TODAY()-Inicio!$B$14))</f>
        <v/>
      </c>
      <c r="J148" s="50">
        <f>IF(A148="","",SUMIFS(SellOut_Jumbo!$F$2:$F$800,SellOut_Jumbo!$C$2:$C$800,D148,SellOut_Jumbo!$A$2:$A$800,"&gt;="&amp;TODAY()-Inicio!$B$14))</f>
        <v/>
      </c>
      <c r="K148" s="48">
        <f>IF(A148="","",IF(I148=0,"Sin venta",IF(I148&lt;Inicio!$B$15,"Venta baja","Venta OK")))</f>
        <v/>
      </c>
      <c r="L148" s="50">
        <f>IF(A148="","",COUNTIFS(Ventas_SellIn!$D$2:$D$800,A148,Ventas_SellIn!$R$2:$R$800,"&gt;0"))</f>
        <v/>
      </c>
      <c r="M148" s="51">
        <f>IF(A148="","",SUMIFS(Ventas_SellIn!$R$2:$R$800,Ventas_SellIn!$D$2:$D$800,A148))</f>
        <v/>
      </c>
      <c r="N148" s="48">
        <f>IF(A148="","",IF(M148&gt;=Inicio!$B$18,"Pendiente relevante",IF(M148&gt;0,"Pendiente menor","Sin deuda")))</f>
        <v/>
      </c>
      <c r="O148" s="50">
        <f>IF(A148="","",SUMIFS(Stock_PDV!$H$2:$H$800,Stock_PDV!$A$2:$A$800,A148))</f>
        <v/>
      </c>
      <c r="P148" s="48">
        <f>IF(A148="","",IF(O148&lt;=Inicio!$B$16,"Crítico",IF(O148&lt;=Inicio!$B$17,"Observar","OK")))</f>
        <v/>
      </c>
      <c r="Q148" s="48">
        <f>IF(A148="","",IF(OR(H148="Atrasado",K148="Sin venta",N148="Pendiente relevante",P148="Crítico"),"Alta",IF(OR(K148="Venta baja",N148="Pendiente menor",P148="Observar"),"Media","Baja")))</f>
        <v/>
      </c>
      <c r="R148" s="48">
        <f>IF(A148="","",IF(Q148="Alta","Gestionar esta semana",IF(Q148="Media","Hacer seguimiento","Mantener")))</f>
        <v/>
      </c>
      <c r="S148" s="68">
        <f>IF(A148="","",IF(I148=0,"Sin venta",IF(I148&gt;=cfg_VentaAlta,"Alta",IF(I148&lt;cfg_VentaBaja,"Baja","Media"))))</f>
        <v/>
      </c>
    </row>
    <row r="149">
      <c r="A149" s="48">
        <f>IF(Clientes_PDV!A149="","",Clientes_PDV!A149)</f>
        <v/>
      </c>
      <c r="B149" s="48">
        <f>IF(A149="","",IFERROR(VLOOKUP(A149,Clientes_PDV!$A$2:$J$250,2,FALSE),""))</f>
        <v/>
      </c>
      <c r="C149" s="48">
        <f>IF(A149="","",IFERROR(VLOOKUP(A149,Clientes_PDV!$A$2:$J$250,3,FALSE),""))</f>
        <v/>
      </c>
      <c r="D149" s="48">
        <f>IF(A149="","",IFERROR(VLOOKUP(A149,Clientes_PDV!$A$2:$J$250,4,FALSE),""))</f>
        <v/>
      </c>
      <c r="E149" s="48">
        <f>IF(A149="","",IFERROR(VLOOKUP(A149,Clientes_PDV!$A$2:$J$250,7,FALSE),""))</f>
        <v/>
      </c>
      <c r="F149" s="49">
        <f>IF(A149="","",IFERROR(VLOOKUP(A149,Clientes_PDV!$A$2:$J$250,8,FALSE),""))</f>
        <v/>
      </c>
      <c r="G149" s="50">
        <f>IF(F149="","",TODAY()-F149)</f>
        <v/>
      </c>
      <c r="H149" s="48">
        <f>IF(A149="","",IF(F149="","Sin visita",IF(G149&lt;=IFERROR(VLOOKUP(E149,Inicio!$A$24:$B$26,2,FALSE),0),"Vigente","Atrasado")))</f>
        <v/>
      </c>
      <c r="I149" s="51">
        <f>IF(A149="","",SUMIFS(Ventas_SellIn!$L$2:$L$800,Ventas_SellIn!$D$2:$D$800,A149,Ventas_SellIn!$B$2:$B$800,"&gt;="&amp;TODAY()-Inicio!$B$14))</f>
        <v/>
      </c>
      <c r="J149" s="50">
        <f>IF(A149="","",SUMIFS(SellOut_Jumbo!$F$2:$F$800,SellOut_Jumbo!$C$2:$C$800,D149,SellOut_Jumbo!$A$2:$A$800,"&gt;="&amp;TODAY()-Inicio!$B$14))</f>
        <v/>
      </c>
      <c r="K149" s="48">
        <f>IF(A149="","",IF(I149=0,"Sin venta",IF(I149&lt;Inicio!$B$15,"Venta baja","Venta OK")))</f>
        <v/>
      </c>
      <c r="L149" s="50">
        <f>IF(A149="","",COUNTIFS(Ventas_SellIn!$D$2:$D$800,A149,Ventas_SellIn!$R$2:$R$800,"&gt;0"))</f>
        <v/>
      </c>
      <c r="M149" s="51">
        <f>IF(A149="","",SUMIFS(Ventas_SellIn!$R$2:$R$800,Ventas_SellIn!$D$2:$D$800,A149))</f>
        <v/>
      </c>
      <c r="N149" s="48">
        <f>IF(A149="","",IF(M149&gt;=Inicio!$B$18,"Pendiente relevante",IF(M149&gt;0,"Pendiente menor","Sin deuda")))</f>
        <v/>
      </c>
      <c r="O149" s="50">
        <f>IF(A149="","",SUMIFS(Stock_PDV!$H$2:$H$800,Stock_PDV!$A$2:$A$800,A149))</f>
        <v/>
      </c>
      <c r="P149" s="48">
        <f>IF(A149="","",IF(O149&lt;=Inicio!$B$16,"Crítico",IF(O149&lt;=Inicio!$B$17,"Observar","OK")))</f>
        <v/>
      </c>
      <c r="Q149" s="48">
        <f>IF(A149="","",IF(OR(H149="Atrasado",K149="Sin venta",N149="Pendiente relevante",P149="Crítico"),"Alta",IF(OR(K149="Venta baja",N149="Pendiente menor",P149="Observar"),"Media","Baja")))</f>
        <v/>
      </c>
      <c r="R149" s="48">
        <f>IF(A149="","",IF(Q149="Alta","Gestionar esta semana",IF(Q149="Media","Hacer seguimiento","Mantener")))</f>
        <v/>
      </c>
      <c r="S149" s="68">
        <f>IF(A149="","",IF(I149=0,"Sin venta",IF(I149&gt;=cfg_VentaAlta,"Alta",IF(I149&lt;cfg_VentaBaja,"Baja","Media"))))</f>
        <v/>
      </c>
    </row>
    <row r="150">
      <c r="A150" s="48">
        <f>IF(Clientes_PDV!A150="","",Clientes_PDV!A150)</f>
        <v/>
      </c>
      <c r="B150" s="48">
        <f>IF(A150="","",IFERROR(VLOOKUP(A150,Clientes_PDV!$A$2:$J$250,2,FALSE),""))</f>
        <v/>
      </c>
      <c r="C150" s="48">
        <f>IF(A150="","",IFERROR(VLOOKUP(A150,Clientes_PDV!$A$2:$J$250,3,FALSE),""))</f>
        <v/>
      </c>
      <c r="D150" s="48">
        <f>IF(A150="","",IFERROR(VLOOKUP(A150,Clientes_PDV!$A$2:$J$250,4,FALSE),""))</f>
        <v/>
      </c>
      <c r="E150" s="48">
        <f>IF(A150="","",IFERROR(VLOOKUP(A150,Clientes_PDV!$A$2:$J$250,7,FALSE),""))</f>
        <v/>
      </c>
      <c r="F150" s="49">
        <f>IF(A150="","",IFERROR(VLOOKUP(A150,Clientes_PDV!$A$2:$J$250,8,FALSE),""))</f>
        <v/>
      </c>
      <c r="G150" s="50">
        <f>IF(F150="","",TODAY()-F150)</f>
        <v/>
      </c>
      <c r="H150" s="48">
        <f>IF(A150="","",IF(F150="","Sin visita",IF(G150&lt;=IFERROR(VLOOKUP(E150,Inicio!$A$24:$B$26,2,FALSE),0),"Vigente","Atrasado")))</f>
        <v/>
      </c>
      <c r="I150" s="51">
        <f>IF(A150="","",SUMIFS(Ventas_SellIn!$L$2:$L$800,Ventas_SellIn!$D$2:$D$800,A150,Ventas_SellIn!$B$2:$B$800,"&gt;="&amp;TODAY()-Inicio!$B$14))</f>
        <v/>
      </c>
      <c r="J150" s="50">
        <f>IF(A150="","",SUMIFS(SellOut_Jumbo!$F$2:$F$800,SellOut_Jumbo!$C$2:$C$800,D150,SellOut_Jumbo!$A$2:$A$800,"&gt;="&amp;TODAY()-Inicio!$B$14))</f>
        <v/>
      </c>
      <c r="K150" s="48">
        <f>IF(A150="","",IF(I150=0,"Sin venta",IF(I150&lt;Inicio!$B$15,"Venta baja","Venta OK")))</f>
        <v/>
      </c>
      <c r="L150" s="50">
        <f>IF(A150="","",COUNTIFS(Ventas_SellIn!$D$2:$D$800,A150,Ventas_SellIn!$R$2:$R$800,"&gt;0"))</f>
        <v/>
      </c>
      <c r="M150" s="51">
        <f>IF(A150="","",SUMIFS(Ventas_SellIn!$R$2:$R$800,Ventas_SellIn!$D$2:$D$800,A150))</f>
        <v/>
      </c>
      <c r="N150" s="48">
        <f>IF(A150="","",IF(M150&gt;=Inicio!$B$18,"Pendiente relevante",IF(M150&gt;0,"Pendiente menor","Sin deuda")))</f>
        <v/>
      </c>
      <c r="O150" s="50">
        <f>IF(A150="","",SUMIFS(Stock_PDV!$H$2:$H$800,Stock_PDV!$A$2:$A$800,A150))</f>
        <v/>
      </c>
      <c r="P150" s="48">
        <f>IF(A150="","",IF(O150&lt;=Inicio!$B$16,"Crítico",IF(O150&lt;=Inicio!$B$17,"Observar","OK")))</f>
        <v/>
      </c>
      <c r="Q150" s="48">
        <f>IF(A150="","",IF(OR(H150="Atrasado",K150="Sin venta",N150="Pendiente relevante",P150="Crítico"),"Alta",IF(OR(K150="Venta baja",N150="Pendiente menor",P150="Observar"),"Media","Baja")))</f>
        <v/>
      </c>
      <c r="R150" s="48">
        <f>IF(A150="","",IF(Q150="Alta","Gestionar esta semana",IF(Q150="Media","Hacer seguimiento","Mantener")))</f>
        <v/>
      </c>
      <c r="S150" s="68">
        <f>IF(A150="","",IF(I150=0,"Sin venta",IF(I150&gt;=cfg_VentaAlta,"Alta",IF(I150&lt;cfg_VentaBaja,"Baja","Media"))))</f>
        <v/>
      </c>
    </row>
    <row r="151">
      <c r="A151" s="48">
        <f>IF(Clientes_PDV!A151="","",Clientes_PDV!A151)</f>
        <v/>
      </c>
      <c r="B151" s="48">
        <f>IF(A151="","",IFERROR(VLOOKUP(A151,Clientes_PDV!$A$2:$J$250,2,FALSE),""))</f>
        <v/>
      </c>
      <c r="C151" s="48">
        <f>IF(A151="","",IFERROR(VLOOKUP(A151,Clientes_PDV!$A$2:$J$250,3,FALSE),""))</f>
        <v/>
      </c>
      <c r="D151" s="48">
        <f>IF(A151="","",IFERROR(VLOOKUP(A151,Clientes_PDV!$A$2:$J$250,4,FALSE),""))</f>
        <v/>
      </c>
      <c r="E151" s="48">
        <f>IF(A151="","",IFERROR(VLOOKUP(A151,Clientes_PDV!$A$2:$J$250,7,FALSE),""))</f>
        <v/>
      </c>
      <c r="F151" s="49">
        <f>IF(A151="","",IFERROR(VLOOKUP(A151,Clientes_PDV!$A$2:$J$250,8,FALSE),""))</f>
        <v/>
      </c>
      <c r="G151" s="50">
        <f>IF(F151="","",TODAY()-F151)</f>
        <v/>
      </c>
      <c r="H151" s="48">
        <f>IF(A151="","",IF(F151="","Sin visita",IF(G151&lt;=IFERROR(VLOOKUP(E151,Inicio!$A$24:$B$26,2,FALSE),0),"Vigente","Atrasado")))</f>
        <v/>
      </c>
      <c r="I151" s="51">
        <f>IF(A151="","",SUMIFS(Ventas_SellIn!$L$2:$L$800,Ventas_SellIn!$D$2:$D$800,A151,Ventas_SellIn!$B$2:$B$800,"&gt;="&amp;TODAY()-Inicio!$B$14))</f>
        <v/>
      </c>
      <c r="J151" s="50">
        <f>IF(A151="","",SUMIFS(SellOut_Jumbo!$F$2:$F$800,SellOut_Jumbo!$C$2:$C$800,D151,SellOut_Jumbo!$A$2:$A$800,"&gt;="&amp;TODAY()-Inicio!$B$14))</f>
        <v/>
      </c>
      <c r="K151" s="48">
        <f>IF(A151="","",IF(I151=0,"Sin venta",IF(I151&lt;Inicio!$B$15,"Venta baja","Venta OK")))</f>
        <v/>
      </c>
      <c r="L151" s="50">
        <f>IF(A151="","",COUNTIFS(Ventas_SellIn!$D$2:$D$800,A151,Ventas_SellIn!$R$2:$R$800,"&gt;0"))</f>
        <v/>
      </c>
      <c r="M151" s="51">
        <f>IF(A151="","",SUMIFS(Ventas_SellIn!$R$2:$R$800,Ventas_SellIn!$D$2:$D$800,A151))</f>
        <v/>
      </c>
      <c r="N151" s="48">
        <f>IF(A151="","",IF(M151&gt;=Inicio!$B$18,"Pendiente relevante",IF(M151&gt;0,"Pendiente menor","Sin deuda")))</f>
        <v/>
      </c>
      <c r="O151" s="50">
        <f>IF(A151="","",SUMIFS(Stock_PDV!$H$2:$H$800,Stock_PDV!$A$2:$A$800,A151))</f>
        <v/>
      </c>
      <c r="P151" s="48">
        <f>IF(A151="","",IF(O151&lt;=Inicio!$B$16,"Crítico",IF(O151&lt;=Inicio!$B$17,"Observar","OK")))</f>
        <v/>
      </c>
      <c r="Q151" s="48">
        <f>IF(A151="","",IF(OR(H151="Atrasado",K151="Sin venta",N151="Pendiente relevante",P151="Crítico"),"Alta",IF(OR(K151="Venta baja",N151="Pendiente menor",P151="Observar"),"Media","Baja")))</f>
        <v/>
      </c>
      <c r="R151" s="48">
        <f>IF(A151="","",IF(Q151="Alta","Gestionar esta semana",IF(Q151="Media","Hacer seguimiento","Mantener")))</f>
        <v/>
      </c>
      <c r="S151" s="68">
        <f>IF(A151="","",IF(I151=0,"Sin venta",IF(I151&gt;=cfg_VentaAlta,"Alta",IF(I151&lt;cfg_VentaBaja,"Baja","Media"))))</f>
        <v/>
      </c>
    </row>
    <row r="152">
      <c r="A152" s="48">
        <f>IF(Clientes_PDV!A152="","",Clientes_PDV!A152)</f>
        <v/>
      </c>
      <c r="B152" s="48">
        <f>IF(A152="","",IFERROR(VLOOKUP(A152,Clientes_PDV!$A$2:$J$250,2,FALSE),""))</f>
        <v/>
      </c>
      <c r="C152" s="48">
        <f>IF(A152="","",IFERROR(VLOOKUP(A152,Clientes_PDV!$A$2:$J$250,3,FALSE),""))</f>
        <v/>
      </c>
      <c r="D152" s="48">
        <f>IF(A152="","",IFERROR(VLOOKUP(A152,Clientes_PDV!$A$2:$J$250,4,FALSE),""))</f>
        <v/>
      </c>
      <c r="E152" s="48">
        <f>IF(A152="","",IFERROR(VLOOKUP(A152,Clientes_PDV!$A$2:$J$250,7,FALSE),""))</f>
        <v/>
      </c>
      <c r="F152" s="49">
        <f>IF(A152="","",IFERROR(VLOOKUP(A152,Clientes_PDV!$A$2:$J$250,8,FALSE),""))</f>
        <v/>
      </c>
      <c r="G152" s="50">
        <f>IF(F152="","",TODAY()-F152)</f>
        <v/>
      </c>
      <c r="H152" s="48">
        <f>IF(A152="","",IF(F152="","Sin visita",IF(G152&lt;=IFERROR(VLOOKUP(E152,Inicio!$A$24:$B$26,2,FALSE),0),"Vigente","Atrasado")))</f>
        <v/>
      </c>
      <c r="I152" s="51">
        <f>IF(A152="","",SUMIFS(Ventas_SellIn!$L$2:$L$800,Ventas_SellIn!$D$2:$D$800,A152,Ventas_SellIn!$B$2:$B$800,"&gt;="&amp;TODAY()-Inicio!$B$14))</f>
        <v/>
      </c>
      <c r="J152" s="50">
        <f>IF(A152="","",SUMIFS(SellOut_Jumbo!$F$2:$F$800,SellOut_Jumbo!$C$2:$C$800,D152,SellOut_Jumbo!$A$2:$A$800,"&gt;="&amp;TODAY()-Inicio!$B$14))</f>
        <v/>
      </c>
      <c r="K152" s="48">
        <f>IF(A152="","",IF(I152=0,"Sin venta",IF(I152&lt;Inicio!$B$15,"Venta baja","Venta OK")))</f>
        <v/>
      </c>
      <c r="L152" s="50">
        <f>IF(A152="","",COUNTIFS(Ventas_SellIn!$D$2:$D$800,A152,Ventas_SellIn!$R$2:$R$800,"&gt;0"))</f>
        <v/>
      </c>
      <c r="M152" s="51">
        <f>IF(A152="","",SUMIFS(Ventas_SellIn!$R$2:$R$800,Ventas_SellIn!$D$2:$D$800,A152))</f>
        <v/>
      </c>
      <c r="N152" s="48">
        <f>IF(A152="","",IF(M152&gt;=Inicio!$B$18,"Pendiente relevante",IF(M152&gt;0,"Pendiente menor","Sin deuda")))</f>
        <v/>
      </c>
      <c r="O152" s="50">
        <f>IF(A152="","",SUMIFS(Stock_PDV!$H$2:$H$800,Stock_PDV!$A$2:$A$800,A152))</f>
        <v/>
      </c>
      <c r="P152" s="48">
        <f>IF(A152="","",IF(O152&lt;=Inicio!$B$16,"Crítico",IF(O152&lt;=Inicio!$B$17,"Observar","OK")))</f>
        <v/>
      </c>
      <c r="Q152" s="48">
        <f>IF(A152="","",IF(OR(H152="Atrasado",K152="Sin venta",N152="Pendiente relevante",P152="Crítico"),"Alta",IF(OR(K152="Venta baja",N152="Pendiente menor",P152="Observar"),"Media","Baja")))</f>
        <v/>
      </c>
      <c r="R152" s="48">
        <f>IF(A152="","",IF(Q152="Alta","Gestionar esta semana",IF(Q152="Media","Hacer seguimiento","Mantener")))</f>
        <v/>
      </c>
      <c r="S152" s="68">
        <f>IF(A152="","",IF(I152=0,"Sin venta",IF(I152&gt;=cfg_VentaAlta,"Alta",IF(I152&lt;cfg_VentaBaja,"Baja","Media"))))</f>
        <v/>
      </c>
    </row>
    <row r="153">
      <c r="A153" s="48">
        <f>IF(Clientes_PDV!A153="","",Clientes_PDV!A153)</f>
        <v/>
      </c>
      <c r="B153" s="48">
        <f>IF(A153="","",IFERROR(VLOOKUP(A153,Clientes_PDV!$A$2:$J$250,2,FALSE),""))</f>
        <v/>
      </c>
      <c r="C153" s="48">
        <f>IF(A153="","",IFERROR(VLOOKUP(A153,Clientes_PDV!$A$2:$J$250,3,FALSE),""))</f>
        <v/>
      </c>
      <c r="D153" s="48">
        <f>IF(A153="","",IFERROR(VLOOKUP(A153,Clientes_PDV!$A$2:$J$250,4,FALSE),""))</f>
        <v/>
      </c>
      <c r="E153" s="48">
        <f>IF(A153="","",IFERROR(VLOOKUP(A153,Clientes_PDV!$A$2:$J$250,7,FALSE),""))</f>
        <v/>
      </c>
      <c r="F153" s="49">
        <f>IF(A153="","",IFERROR(VLOOKUP(A153,Clientes_PDV!$A$2:$J$250,8,FALSE),""))</f>
        <v/>
      </c>
      <c r="G153" s="50">
        <f>IF(F153="","",TODAY()-F153)</f>
        <v/>
      </c>
      <c r="H153" s="48">
        <f>IF(A153="","",IF(F153="","Sin visita",IF(G153&lt;=IFERROR(VLOOKUP(E153,Inicio!$A$24:$B$26,2,FALSE),0),"Vigente","Atrasado")))</f>
        <v/>
      </c>
      <c r="I153" s="51">
        <f>IF(A153="","",SUMIFS(Ventas_SellIn!$L$2:$L$800,Ventas_SellIn!$D$2:$D$800,A153,Ventas_SellIn!$B$2:$B$800,"&gt;="&amp;TODAY()-Inicio!$B$14))</f>
        <v/>
      </c>
      <c r="J153" s="50">
        <f>IF(A153="","",SUMIFS(SellOut_Jumbo!$F$2:$F$800,SellOut_Jumbo!$C$2:$C$800,D153,SellOut_Jumbo!$A$2:$A$800,"&gt;="&amp;TODAY()-Inicio!$B$14))</f>
        <v/>
      </c>
      <c r="K153" s="48">
        <f>IF(A153="","",IF(I153=0,"Sin venta",IF(I153&lt;Inicio!$B$15,"Venta baja","Venta OK")))</f>
        <v/>
      </c>
      <c r="L153" s="50">
        <f>IF(A153="","",COUNTIFS(Ventas_SellIn!$D$2:$D$800,A153,Ventas_SellIn!$R$2:$R$800,"&gt;0"))</f>
        <v/>
      </c>
      <c r="M153" s="51">
        <f>IF(A153="","",SUMIFS(Ventas_SellIn!$R$2:$R$800,Ventas_SellIn!$D$2:$D$800,A153))</f>
        <v/>
      </c>
      <c r="N153" s="48">
        <f>IF(A153="","",IF(M153&gt;=Inicio!$B$18,"Pendiente relevante",IF(M153&gt;0,"Pendiente menor","Sin deuda")))</f>
        <v/>
      </c>
      <c r="O153" s="50">
        <f>IF(A153="","",SUMIFS(Stock_PDV!$H$2:$H$800,Stock_PDV!$A$2:$A$800,A153))</f>
        <v/>
      </c>
      <c r="P153" s="48">
        <f>IF(A153="","",IF(O153&lt;=Inicio!$B$16,"Crítico",IF(O153&lt;=Inicio!$B$17,"Observar","OK")))</f>
        <v/>
      </c>
      <c r="Q153" s="48">
        <f>IF(A153="","",IF(OR(H153="Atrasado",K153="Sin venta",N153="Pendiente relevante",P153="Crítico"),"Alta",IF(OR(K153="Venta baja",N153="Pendiente menor",P153="Observar"),"Media","Baja")))</f>
        <v/>
      </c>
      <c r="R153" s="48">
        <f>IF(A153="","",IF(Q153="Alta","Gestionar esta semana",IF(Q153="Media","Hacer seguimiento","Mantener")))</f>
        <v/>
      </c>
      <c r="S153" s="68">
        <f>IF(A153="","",IF(I153=0,"Sin venta",IF(I153&gt;=cfg_VentaAlta,"Alta",IF(I153&lt;cfg_VentaBaja,"Baja","Media"))))</f>
        <v/>
      </c>
    </row>
    <row r="154">
      <c r="A154" s="48">
        <f>IF(Clientes_PDV!A154="","",Clientes_PDV!A154)</f>
        <v/>
      </c>
      <c r="B154" s="48">
        <f>IF(A154="","",IFERROR(VLOOKUP(A154,Clientes_PDV!$A$2:$J$250,2,FALSE),""))</f>
        <v/>
      </c>
      <c r="C154" s="48">
        <f>IF(A154="","",IFERROR(VLOOKUP(A154,Clientes_PDV!$A$2:$J$250,3,FALSE),""))</f>
        <v/>
      </c>
      <c r="D154" s="48">
        <f>IF(A154="","",IFERROR(VLOOKUP(A154,Clientes_PDV!$A$2:$J$250,4,FALSE),""))</f>
        <v/>
      </c>
      <c r="E154" s="48">
        <f>IF(A154="","",IFERROR(VLOOKUP(A154,Clientes_PDV!$A$2:$J$250,7,FALSE),""))</f>
        <v/>
      </c>
      <c r="F154" s="49">
        <f>IF(A154="","",IFERROR(VLOOKUP(A154,Clientes_PDV!$A$2:$J$250,8,FALSE),""))</f>
        <v/>
      </c>
      <c r="G154" s="50">
        <f>IF(F154="","",TODAY()-F154)</f>
        <v/>
      </c>
      <c r="H154" s="48">
        <f>IF(A154="","",IF(F154="","Sin visita",IF(G154&lt;=IFERROR(VLOOKUP(E154,Inicio!$A$24:$B$26,2,FALSE),0),"Vigente","Atrasado")))</f>
        <v/>
      </c>
      <c r="I154" s="51">
        <f>IF(A154="","",SUMIFS(Ventas_SellIn!$L$2:$L$800,Ventas_SellIn!$D$2:$D$800,A154,Ventas_SellIn!$B$2:$B$800,"&gt;="&amp;TODAY()-Inicio!$B$14))</f>
        <v/>
      </c>
      <c r="J154" s="50">
        <f>IF(A154="","",SUMIFS(SellOut_Jumbo!$F$2:$F$800,SellOut_Jumbo!$C$2:$C$800,D154,SellOut_Jumbo!$A$2:$A$800,"&gt;="&amp;TODAY()-Inicio!$B$14))</f>
        <v/>
      </c>
      <c r="K154" s="48">
        <f>IF(A154="","",IF(I154=0,"Sin venta",IF(I154&lt;Inicio!$B$15,"Venta baja","Venta OK")))</f>
        <v/>
      </c>
      <c r="L154" s="50">
        <f>IF(A154="","",COUNTIFS(Ventas_SellIn!$D$2:$D$800,A154,Ventas_SellIn!$R$2:$R$800,"&gt;0"))</f>
        <v/>
      </c>
      <c r="M154" s="51">
        <f>IF(A154="","",SUMIFS(Ventas_SellIn!$R$2:$R$800,Ventas_SellIn!$D$2:$D$800,A154))</f>
        <v/>
      </c>
      <c r="N154" s="48">
        <f>IF(A154="","",IF(M154&gt;=Inicio!$B$18,"Pendiente relevante",IF(M154&gt;0,"Pendiente menor","Sin deuda")))</f>
        <v/>
      </c>
      <c r="O154" s="50">
        <f>IF(A154="","",SUMIFS(Stock_PDV!$H$2:$H$800,Stock_PDV!$A$2:$A$800,A154))</f>
        <v/>
      </c>
      <c r="P154" s="48">
        <f>IF(A154="","",IF(O154&lt;=Inicio!$B$16,"Crítico",IF(O154&lt;=Inicio!$B$17,"Observar","OK")))</f>
        <v/>
      </c>
      <c r="Q154" s="48">
        <f>IF(A154="","",IF(OR(H154="Atrasado",K154="Sin venta",N154="Pendiente relevante",P154="Crítico"),"Alta",IF(OR(K154="Venta baja",N154="Pendiente menor",P154="Observar"),"Media","Baja")))</f>
        <v/>
      </c>
      <c r="R154" s="48">
        <f>IF(A154="","",IF(Q154="Alta","Gestionar esta semana",IF(Q154="Media","Hacer seguimiento","Mantener")))</f>
        <v/>
      </c>
      <c r="S154" s="68">
        <f>IF(A154="","",IF(I154=0,"Sin venta",IF(I154&gt;=cfg_VentaAlta,"Alta",IF(I154&lt;cfg_VentaBaja,"Baja","Media"))))</f>
        <v/>
      </c>
    </row>
    <row r="155">
      <c r="A155" s="48">
        <f>IF(Clientes_PDV!A155="","",Clientes_PDV!A155)</f>
        <v/>
      </c>
      <c r="B155" s="48">
        <f>IF(A155="","",IFERROR(VLOOKUP(A155,Clientes_PDV!$A$2:$J$250,2,FALSE),""))</f>
        <v/>
      </c>
      <c r="C155" s="48">
        <f>IF(A155="","",IFERROR(VLOOKUP(A155,Clientes_PDV!$A$2:$J$250,3,FALSE),""))</f>
        <v/>
      </c>
      <c r="D155" s="48">
        <f>IF(A155="","",IFERROR(VLOOKUP(A155,Clientes_PDV!$A$2:$J$250,4,FALSE),""))</f>
        <v/>
      </c>
      <c r="E155" s="48">
        <f>IF(A155="","",IFERROR(VLOOKUP(A155,Clientes_PDV!$A$2:$J$250,7,FALSE),""))</f>
        <v/>
      </c>
      <c r="F155" s="49">
        <f>IF(A155="","",IFERROR(VLOOKUP(A155,Clientes_PDV!$A$2:$J$250,8,FALSE),""))</f>
        <v/>
      </c>
      <c r="G155" s="50">
        <f>IF(F155="","",TODAY()-F155)</f>
        <v/>
      </c>
      <c r="H155" s="48">
        <f>IF(A155="","",IF(F155="","Sin visita",IF(G155&lt;=IFERROR(VLOOKUP(E155,Inicio!$A$24:$B$26,2,FALSE),0),"Vigente","Atrasado")))</f>
        <v/>
      </c>
      <c r="I155" s="51">
        <f>IF(A155="","",SUMIFS(Ventas_SellIn!$L$2:$L$800,Ventas_SellIn!$D$2:$D$800,A155,Ventas_SellIn!$B$2:$B$800,"&gt;="&amp;TODAY()-Inicio!$B$14))</f>
        <v/>
      </c>
      <c r="J155" s="50">
        <f>IF(A155="","",SUMIFS(SellOut_Jumbo!$F$2:$F$800,SellOut_Jumbo!$C$2:$C$800,D155,SellOut_Jumbo!$A$2:$A$800,"&gt;="&amp;TODAY()-Inicio!$B$14))</f>
        <v/>
      </c>
      <c r="K155" s="48">
        <f>IF(A155="","",IF(I155=0,"Sin venta",IF(I155&lt;Inicio!$B$15,"Venta baja","Venta OK")))</f>
        <v/>
      </c>
      <c r="L155" s="50">
        <f>IF(A155="","",COUNTIFS(Ventas_SellIn!$D$2:$D$800,A155,Ventas_SellIn!$R$2:$R$800,"&gt;0"))</f>
        <v/>
      </c>
      <c r="M155" s="51">
        <f>IF(A155="","",SUMIFS(Ventas_SellIn!$R$2:$R$800,Ventas_SellIn!$D$2:$D$800,A155))</f>
        <v/>
      </c>
      <c r="N155" s="48">
        <f>IF(A155="","",IF(M155&gt;=Inicio!$B$18,"Pendiente relevante",IF(M155&gt;0,"Pendiente menor","Sin deuda")))</f>
        <v/>
      </c>
      <c r="O155" s="50">
        <f>IF(A155="","",SUMIFS(Stock_PDV!$H$2:$H$800,Stock_PDV!$A$2:$A$800,A155))</f>
        <v/>
      </c>
      <c r="P155" s="48">
        <f>IF(A155="","",IF(O155&lt;=Inicio!$B$16,"Crítico",IF(O155&lt;=Inicio!$B$17,"Observar","OK")))</f>
        <v/>
      </c>
      <c r="Q155" s="48">
        <f>IF(A155="","",IF(OR(H155="Atrasado",K155="Sin venta",N155="Pendiente relevante",P155="Crítico"),"Alta",IF(OR(K155="Venta baja",N155="Pendiente menor",P155="Observar"),"Media","Baja")))</f>
        <v/>
      </c>
      <c r="R155" s="48">
        <f>IF(A155="","",IF(Q155="Alta","Gestionar esta semana",IF(Q155="Media","Hacer seguimiento","Mantener")))</f>
        <v/>
      </c>
      <c r="S155" s="68">
        <f>IF(A155="","",IF(I155=0,"Sin venta",IF(I155&gt;=cfg_VentaAlta,"Alta",IF(I155&lt;cfg_VentaBaja,"Baja","Media"))))</f>
        <v/>
      </c>
    </row>
    <row r="156">
      <c r="A156" s="48">
        <f>IF(Clientes_PDV!A156="","",Clientes_PDV!A156)</f>
        <v/>
      </c>
      <c r="B156" s="48">
        <f>IF(A156="","",IFERROR(VLOOKUP(A156,Clientes_PDV!$A$2:$J$250,2,FALSE),""))</f>
        <v/>
      </c>
      <c r="C156" s="48">
        <f>IF(A156="","",IFERROR(VLOOKUP(A156,Clientes_PDV!$A$2:$J$250,3,FALSE),""))</f>
        <v/>
      </c>
      <c r="D156" s="48">
        <f>IF(A156="","",IFERROR(VLOOKUP(A156,Clientes_PDV!$A$2:$J$250,4,FALSE),""))</f>
        <v/>
      </c>
      <c r="E156" s="48">
        <f>IF(A156="","",IFERROR(VLOOKUP(A156,Clientes_PDV!$A$2:$J$250,7,FALSE),""))</f>
        <v/>
      </c>
      <c r="F156" s="49">
        <f>IF(A156="","",IFERROR(VLOOKUP(A156,Clientes_PDV!$A$2:$J$250,8,FALSE),""))</f>
        <v/>
      </c>
      <c r="G156" s="50">
        <f>IF(F156="","",TODAY()-F156)</f>
        <v/>
      </c>
      <c r="H156" s="48">
        <f>IF(A156="","",IF(F156="","Sin visita",IF(G156&lt;=IFERROR(VLOOKUP(E156,Inicio!$A$24:$B$26,2,FALSE),0),"Vigente","Atrasado")))</f>
        <v/>
      </c>
      <c r="I156" s="51">
        <f>IF(A156="","",SUMIFS(Ventas_SellIn!$L$2:$L$800,Ventas_SellIn!$D$2:$D$800,A156,Ventas_SellIn!$B$2:$B$800,"&gt;="&amp;TODAY()-Inicio!$B$14))</f>
        <v/>
      </c>
      <c r="J156" s="50">
        <f>IF(A156="","",SUMIFS(SellOut_Jumbo!$F$2:$F$800,SellOut_Jumbo!$C$2:$C$800,D156,SellOut_Jumbo!$A$2:$A$800,"&gt;="&amp;TODAY()-Inicio!$B$14))</f>
        <v/>
      </c>
      <c r="K156" s="48">
        <f>IF(A156="","",IF(I156=0,"Sin venta",IF(I156&lt;Inicio!$B$15,"Venta baja","Venta OK")))</f>
        <v/>
      </c>
      <c r="L156" s="50">
        <f>IF(A156="","",COUNTIFS(Ventas_SellIn!$D$2:$D$800,A156,Ventas_SellIn!$R$2:$R$800,"&gt;0"))</f>
        <v/>
      </c>
      <c r="M156" s="51">
        <f>IF(A156="","",SUMIFS(Ventas_SellIn!$R$2:$R$800,Ventas_SellIn!$D$2:$D$800,A156))</f>
        <v/>
      </c>
      <c r="N156" s="48">
        <f>IF(A156="","",IF(M156&gt;=Inicio!$B$18,"Pendiente relevante",IF(M156&gt;0,"Pendiente menor","Sin deuda")))</f>
        <v/>
      </c>
      <c r="O156" s="50">
        <f>IF(A156="","",SUMIFS(Stock_PDV!$H$2:$H$800,Stock_PDV!$A$2:$A$800,A156))</f>
        <v/>
      </c>
      <c r="P156" s="48">
        <f>IF(A156="","",IF(O156&lt;=Inicio!$B$16,"Crítico",IF(O156&lt;=Inicio!$B$17,"Observar","OK")))</f>
        <v/>
      </c>
      <c r="Q156" s="48">
        <f>IF(A156="","",IF(OR(H156="Atrasado",K156="Sin venta",N156="Pendiente relevante",P156="Crítico"),"Alta",IF(OR(K156="Venta baja",N156="Pendiente menor",P156="Observar"),"Media","Baja")))</f>
        <v/>
      </c>
      <c r="R156" s="48">
        <f>IF(A156="","",IF(Q156="Alta","Gestionar esta semana",IF(Q156="Media","Hacer seguimiento","Mantener")))</f>
        <v/>
      </c>
      <c r="S156" s="68">
        <f>IF(A156="","",IF(I156=0,"Sin venta",IF(I156&gt;=cfg_VentaAlta,"Alta",IF(I156&lt;cfg_VentaBaja,"Baja","Media"))))</f>
        <v/>
      </c>
    </row>
    <row r="157">
      <c r="A157" s="48">
        <f>IF(Clientes_PDV!A157="","",Clientes_PDV!A157)</f>
        <v/>
      </c>
      <c r="B157" s="48">
        <f>IF(A157="","",IFERROR(VLOOKUP(A157,Clientes_PDV!$A$2:$J$250,2,FALSE),""))</f>
        <v/>
      </c>
      <c r="C157" s="48">
        <f>IF(A157="","",IFERROR(VLOOKUP(A157,Clientes_PDV!$A$2:$J$250,3,FALSE),""))</f>
        <v/>
      </c>
      <c r="D157" s="48">
        <f>IF(A157="","",IFERROR(VLOOKUP(A157,Clientes_PDV!$A$2:$J$250,4,FALSE),""))</f>
        <v/>
      </c>
      <c r="E157" s="48">
        <f>IF(A157="","",IFERROR(VLOOKUP(A157,Clientes_PDV!$A$2:$J$250,7,FALSE),""))</f>
        <v/>
      </c>
      <c r="F157" s="49">
        <f>IF(A157="","",IFERROR(VLOOKUP(A157,Clientes_PDV!$A$2:$J$250,8,FALSE),""))</f>
        <v/>
      </c>
      <c r="G157" s="50">
        <f>IF(F157="","",TODAY()-F157)</f>
        <v/>
      </c>
      <c r="H157" s="48">
        <f>IF(A157="","",IF(F157="","Sin visita",IF(G157&lt;=IFERROR(VLOOKUP(E157,Inicio!$A$24:$B$26,2,FALSE),0),"Vigente","Atrasado")))</f>
        <v/>
      </c>
      <c r="I157" s="51">
        <f>IF(A157="","",SUMIFS(Ventas_SellIn!$L$2:$L$800,Ventas_SellIn!$D$2:$D$800,A157,Ventas_SellIn!$B$2:$B$800,"&gt;="&amp;TODAY()-Inicio!$B$14))</f>
        <v/>
      </c>
      <c r="J157" s="50">
        <f>IF(A157="","",SUMIFS(SellOut_Jumbo!$F$2:$F$800,SellOut_Jumbo!$C$2:$C$800,D157,SellOut_Jumbo!$A$2:$A$800,"&gt;="&amp;TODAY()-Inicio!$B$14))</f>
        <v/>
      </c>
      <c r="K157" s="48">
        <f>IF(A157="","",IF(I157=0,"Sin venta",IF(I157&lt;Inicio!$B$15,"Venta baja","Venta OK")))</f>
        <v/>
      </c>
      <c r="L157" s="50">
        <f>IF(A157="","",COUNTIFS(Ventas_SellIn!$D$2:$D$800,A157,Ventas_SellIn!$R$2:$R$800,"&gt;0"))</f>
        <v/>
      </c>
      <c r="M157" s="51">
        <f>IF(A157="","",SUMIFS(Ventas_SellIn!$R$2:$R$800,Ventas_SellIn!$D$2:$D$800,A157))</f>
        <v/>
      </c>
      <c r="N157" s="48">
        <f>IF(A157="","",IF(M157&gt;=Inicio!$B$18,"Pendiente relevante",IF(M157&gt;0,"Pendiente menor","Sin deuda")))</f>
        <v/>
      </c>
      <c r="O157" s="50">
        <f>IF(A157="","",SUMIFS(Stock_PDV!$H$2:$H$800,Stock_PDV!$A$2:$A$800,A157))</f>
        <v/>
      </c>
      <c r="P157" s="48">
        <f>IF(A157="","",IF(O157&lt;=Inicio!$B$16,"Crítico",IF(O157&lt;=Inicio!$B$17,"Observar","OK")))</f>
        <v/>
      </c>
      <c r="Q157" s="48">
        <f>IF(A157="","",IF(OR(H157="Atrasado",K157="Sin venta",N157="Pendiente relevante",P157="Crítico"),"Alta",IF(OR(K157="Venta baja",N157="Pendiente menor",P157="Observar"),"Media","Baja")))</f>
        <v/>
      </c>
      <c r="R157" s="48">
        <f>IF(A157="","",IF(Q157="Alta","Gestionar esta semana",IF(Q157="Media","Hacer seguimiento","Mantener")))</f>
        <v/>
      </c>
      <c r="S157" s="68">
        <f>IF(A157="","",IF(I157=0,"Sin venta",IF(I157&gt;=cfg_VentaAlta,"Alta",IF(I157&lt;cfg_VentaBaja,"Baja","Media"))))</f>
        <v/>
      </c>
    </row>
    <row r="158">
      <c r="A158" s="48">
        <f>IF(Clientes_PDV!A158="","",Clientes_PDV!A158)</f>
        <v/>
      </c>
      <c r="B158" s="48">
        <f>IF(A158="","",IFERROR(VLOOKUP(A158,Clientes_PDV!$A$2:$J$250,2,FALSE),""))</f>
        <v/>
      </c>
      <c r="C158" s="48">
        <f>IF(A158="","",IFERROR(VLOOKUP(A158,Clientes_PDV!$A$2:$J$250,3,FALSE),""))</f>
        <v/>
      </c>
      <c r="D158" s="48">
        <f>IF(A158="","",IFERROR(VLOOKUP(A158,Clientes_PDV!$A$2:$J$250,4,FALSE),""))</f>
        <v/>
      </c>
      <c r="E158" s="48">
        <f>IF(A158="","",IFERROR(VLOOKUP(A158,Clientes_PDV!$A$2:$J$250,7,FALSE),""))</f>
        <v/>
      </c>
      <c r="F158" s="49">
        <f>IF(A158="","",IFERROR(VLOOKUP(A158,Clientes_PDV!$A$2:$J$250,8,FALSE),""))</f>
        <v/>
      </c>
      <c r="G158" s="50">
        <f>IF(F158="","",TODAY()-F158)</f>
        <v/>
      </c>
      <c r="H158" s="48">
        <f>IF(A158="","",IF(F158="","Sin visita",IF(G158&lt;=IFERROR(VLOOKUP(E158,Inicio!$A$24:$B$26,2,FALSE),0),"Vigente","Atrasado")))</f>
        <v/>
      </c>
      <c r="I158" s="51">
        <f>IF(A158="","",SUMIFS(Ventas_SellIn!$L$2:$L$800,Ventas_SellIn!$D$2:$D$800,A158,Ventas_SellIn!$B$2:$B$800,"&gt;="&amp;TODAY()-Inicio!$B$14))</f>
        <v/>
      </c>
      <c r="J158" s="50">
        <f>IF(A158="","",SUMIFS(SellOut_Jumbo!$F$2:$F$800,SellOut_Jumbo!$C$2:$C$800,D158,SellOut_Jumbo!$A$2:$A$800,"&gt;="&amp;TODAY()-Inicio!$B$14))</f>
        <v/>
      </c>
      <c r="K158" s="48">
        <f>IF(A158="","",IF(I158=0,"Sin venta",IF(I158&lt;Inicio!$B$15,"Venta baja","Venta OK")))</f>
        <v/>
      </c>
      <c r="L158" s="50">
        <f>IF(A158="","",COUNTIFS(Ventas_SellIn!$D$2:$D$800,A158,Ventas_SellIn!$R$2:$R$800,"&gt;0"))</f>
        <v/>
      </c>
      <c r="M158" s="51">
        <f>IF(A158="","",SUMIFS(Ventas_SellIn!$R$2:$R$800,Ventas_SellIn!$D$2:$D$800,A158))</f>
        <v/>
      </c>
      <c r="N158" s="48">
        <f>IF(A158="","",IF(M158&gt;=Inicio!$B$18,"Pendiente relevante",IF(M158&gt;0,"Pendiente menor","Sin deuda")))</f>
        <v/>
      </c>
      <c r="O158" s="50">
        <f>IF(A158="","",SUMIFS(Stock_PDV!$H$2:$H$800,Stock_PDV!$A$2:$A$800,A158))</f>
        <v/>
      </c>
      <c r="P158" s="48">
        <f>IF(A158="","",IF(O158&lt;=Inicio!$B$16,"Crítico",IF(O158&lt;=Inicio!$B$17,"Observar","OK")))</f>
        <v/>
      </c>
      <c r="Q158" s="48">
        <f>IF(A158="","",IF(OR(H158="Atrasado",K158="Sin venta",N158="Pendiente relevante",P158="Crítico"),"Alta",IF(OR(K158="Venta baja",N158="Pendiente menor",P158="Observar"),"Media","Baja")))</f>
        <v/>
      </c>
      <c r="R158" s="48">
        <f>IF(A158="","",IF(Q158="Alta","Gestionar esta semana",IF(Q158="Media","Hacer seguimiento","Mantener")))</f>
        <v/>
      </c>
      <c r="S158" s="68">
        <f>IF(A158="","",IF(I158=0,"Sin venta",IF(I158&gt;=cfg_VentaAlta,"Alta",IF(I158&lt;cfg_VentaBaja,"Baja","Media"))))</f>
        <v/>
      </c>
    </row>
    <row r="159">
      <c r="A159" s="48">
        <f>IF(Clientes_PDV!A159="","",Clientes_PDV!A159)</f>
        <v/>
      </c>
      <c r="B159" s="48">
        <f>IF(A159="","",IFERROR(VLOOKUP(A159,Clientes_PDV!$A$2:$J$250,2,FALSE),""))</f>
        <v/>
      </c>
      <c r="C159" s="48">
        <f>IF(A159="","",IFERROR(VLOOKUP(A159,Clientes_PDV!$A$2:$J$250,3,FALSE),""))</f>
        <v/>
      </c>
      <c r="D159" s="48">
        <f>IF(A159="","",IFERROR(VLOOKUP(A159,Clientes_PDV!$A$2:$J$250,4,FALSE),""))</f>
        <v/>
      </c>
      <c r="E159" s="48">
        <f>IF(A159="","",IFERROR(VLOOKUP(A159,Clientes_PDV!$A$2:$J$250,7,FALSE),""))</f>
        <v/>
      </c>
      <c r="F159" s="49">
        <f>IF(A159="","",IFERROR(VLOOKUP(A159,Clientes_PDV!$A$2:$J$250,8,FALSE),""))</f>
        <v/>
      </c>
      <c r="G159" s="50">
        <f>IF(F159="","",TODAY()-F159)</f>
        <v/>
      </c>
      <c r="H159" s="48">
        <f>IF(A159="","",IF(F159="","Sin visita",IF(G159&lt;=IFERROR(VLOOKUP(E159,Inicio!$A$24:$B$26,2,FALSE),0),"Vigente","Atrasado")))</f>
        <v/>
      </c>
      <c r="I159" s="51">
        <f>IF(A159="","",SUMIFS(Ventas_SellIn!$L$2:$L$800,Ventas_SellIn!$D$2:$D$800,A159,Ventas_SellIn!$B$2:$B$800,"&gt;="&amp;TODAY()-Inicio!$B$14))</f>
        <v/>
      </c>
      <c r="J159" s="50">
        <f>IF(A159="","",SUMIFS(SellOut_Jumbo!$F$2:$F$800,SellOut_Jumbo!$C$2:$C$800,D159,SellOut_Jumbo!$A$2:$A$800,"&gt;="&amp;TODAY()-Inicio!$B$14))</f>
        <v/>
      </c>
      <c r="K159" s="48">
        <f>IF(A159="","",IF(I159=0,"Sin venta",IF(I159&lt;Inicio!$B$15,"Venta baja","Venta OK")))</f>
        <v/>
      </c>
      <c r="L159" s="50">
        <f>IF(A159="","",COUNTIFS(Ventas_SellIn!$D$2:$D$800,A159,Ventas_SellIn!$R$2:$R$800,"&gt;0"))</f>
        <v/>
      </c>
      <c r="M159" s="51">
        <f>IF(A159="","",SUMIFS(Ventas_SellIn!$R$2:$R$800,Ventas_SellIn!$D$2:$D$800,A159))</f>
        <v/>
      </c>
      <c r="N159" s="48">
        <f>IF(A159="","",IF(M159&gt;=Inicio!$B$18,"Pendiente relevante",IF(M159&gt;0,"Pendiente menor","Sin deuda")))</f>
        <v/>
      </c>
      <c r="O159" s="50">
        <f>IF(A159="","",SUMIFS(Stock_PDV!$H$2:$H$800,Stock_PDV!$A$2:$A$800,A159))</f>
        <v/>
      </c>
      <c r="P159" s="48">
        <f>IF(A159="","",IF(O159&lt;=Inicio!$B$16,"Crítico",IF(O159&lt;=Inicio!$B$17,"Observar","OK")))</f>
        <v/>
      </c>
      <c r="Q159" s="48">
        <f>IF(A159="","",IF(OR(H159="Atrasado",K159="Sin venta",N159="Pendiente relevante",P159="Crítico"),"Alta",IF(OR(K159="Venta baja",N159="Pendiente menor",P159="Observar"),"Media","Baja")))</f>
        <v/>
      </c>
      <c r="R159" s="48">
        <f>IF(A159="","",IF(Q159="Alta","Gestionar esta semana",IF(Q159="Media","Hacer seguimiento","Mantener")))</f>
        <v/>
      </c>
      <c r="S159" s="68">
        <f>IF(A159="","",IF(I159=0,"Sin venta",IF(I159&gt;=cfg_VentaAlta,"Alta",IF(I159&lt;cfg_VentaBaja,"Baja","Media"))))</f>
        <v/>
      </c>
    </row>
    <row r="160">
      <c r="A160" s="48">
        <f>IF(Clientes_PDV!A160="","",Clientes_PDV!A160)</f>
        <v/>
      </c>
      <c r="B160" s="48">
        <f>IF(A160="","",IFERROR(VLOOKUP(A160,Clientes_PDV!$A$2:$J$250,2,FALSE),""))</f>
        <v/>
      </c>
      <c r="C160" s="48">
        <f>IF(A160="","",IFERROR(VLOOKUP(A160,Clientes_PDV!$A$2:$J$250,3,FALSE),""))</f>
        <v/>
      </c>
      <c r="D160" s="48">
        <f>IF(A160="","",IFERROR(VLOOKUP(A160,Clientes_PDV!$A$2:$J$250,4,FALSE),""))</f>
        <v/>
      </c>
      <c r="E160" s="48">
        <f>IF(A160="","",IFERROR(VLOOKUP(A160,Clientes_PDV!$A$2:$J$250,7,FALSE),""))</f>
        <v/>
      </c>
      <c r="F160" s="49">
        <f>IF(A160="","",IFERROR(VLOOKUP(A160,Clientes_PDV!$A$2:$J$250,8,FALSE),""))</f>
        <v/>
      </c>
      <c r="G160" s="50">
        <f>IF(F160="","",TODAY()-F160)</f>
        <v/>
      </c>
      <c r="H160" s="48">
        <f>IF(A160="","",IF(F160="","Sin visita",IF(G160&lt;=IFERROR(VLOOKUP(E160,Inicio!$A$24:$B$26,2,FALSE),0),"Vigente","Atrasado")))</f>
        <v/>
      </c>
      <c r="I160" s="51">
        <f>IF(A160="","",SUMIFS(Ventas_SellIn!$L$2:$L$800,Ventas_SellIn!$D$2:$D$800,A160,Ventas_SellIn!$B$2:$B$800,"&gt;="&amp;TODAY()-Inicio!$B$14))</f>
        <v/>
      </c>
      <c r="J160" s="50">
        <f>IF(A160="","",SUMIFS(SellOut_Jumbo!$F$2:$F$800,SellOut_Jumbo!$C$2:$C$800,D160,SellOut_Jumbo!$A$2:$A$800,"&gt;="&amp;TODAY()-Inicio!$B$14))</f>
        <v/>
      </c>
      <c r="K160" s="48">
        <f>IF(A160="","",IF(I160=0,"Sin venta",IF(I160&lt;Inicio!$B$15,"Venta baja","Venta OK")))</f>
        <v/>
      </c>
      <c r="L160" s="50">
        <f>IF(A160="","",COUNTIFS(Ventas_SellIn!$D$2:$D$800,A160,Ventas_SellIn!$R$2:$R$800,"&gt;0"))</f>
        <v/>
      </c>
      <c r="M160" s="51">
        <f>IF(A160="","",SUMIFS(Ventas_SellIn!$R$2:$R$800,Ventas_SellIn!$D$2:$D$800,A160))</f>
        <v/>
      </c>
      <c r="N160" s="48">
        <f>IF(A160="","",IF(M160&gt;=Inicio!$B$18,"Pendiente relevante",IF(M160&gt;0,"Pendiente menor","Sin deuda")))</f>
        <v/>
      </c>
      <c r="O160" s="50">
        <f>IF(A160="","",SUMIFS(Stock_PDV!$H$2:$H$800,Stock_PDV!$A$2:$A$800,A160))</f>
        <v/>
      </c>
      <c r="P160" s="48">
        <f>IF(A160="","",IF(O160&lt;=Inicio!$B$16,"Crítico",IF(O160&lt;=Inicio!$B$17,"Observar","OK")))</f>
        <v/>
      </c>
      <c r="Q160" s="48">
        <f>IF(A160="","",IF(OR(H160="Atrasado",K160="Sin venta",N160="Pendiente relevante",P160="Crítico"),"Alta",IF(OR(K160="Venta baja",N160="Pendiente menor",P160="Observar"),"Media","Baja")))</f>
        <v/>
      </c>
      <c r="R160" s="48">
        <f>IF(A160="","",IF(Q160="Alta","Gestionar esta semana",IF(Q160="Media","Hacer seguimiento","Mantener")))</f>
        <v/>
      </c>
      <c r="S160" s="68">
        <f>IF(A160="","",IF(I160=0,"Sin venta",IF(I160&gt;=cfg_VentaAlta,"Alta",IF(I160&lt;cfg_VentaBaja,"Baja","Media"))))</f>
        <v/>
      </c>
    </row>
    <row r="161">
      <c r="A161" s="48">
        <f>IF(Clientes_PDV!A161="","",Clientes_PDV!A161)</f>
        <v/>
      </c>
      <c r="B161" s="48">
        <f>IF(A161="","",IFERROR(VLOOKUP(A161,Clientes_PDV!$A$2:$J$250,2,FALSE),""))</f>
        <v/>
      </c>
      <c r="C161" s="48">
        <f>IF(A161="","",IFERROR(VLOOKUP(A161,Clientes_PDV!$A$2:$J$250,3,FALSE),""))</f>
        <v/>
      </c>
      <c r="D161" s="48">
        <f>IF(A161="","",IFERROR(VLOOKUP(A161,Clientes_PDV!$A$2:$J$250,4,FALSE),""))</f>
        <v/>
      </c>
      <c r="E161" s="48">
        <f>IF(A161="","",IFERROR(VLOOKUP(A161,Clientes_PDV!$A$2:$J$250,7,FALSE),""))</f>
        <v/>
      </c>
      <c r="F161" s="49">
        <f>IF(A161="","",IFERROR(VLOOKUP(A161,Clientes_PDV!$A$2:$J$250,8,FALSE),""))</f>
        <v/>
      </c>
      <c r="G161" s="50">
        <f>IF(F161="","",TODAY()-F161)</f>
        <v/>
      </c>
      <c r="H161" s="48">
        <f>IF(A161="","",IF(F161="","Sin visita",IF(G161&lt;=IFERROR(VLOOKUP(E161,Inicio!$A$24:$B$26,2,FALSE),0),"Vigente","Atrasado")))</f>
        <v/>
      </c>
      <c r="I161" s="51">
        <f>IF(A161="","",SUMIFS(Ventas_SellIn!$L$2:$L$800,Ventas_SellIn!$D$2:$D$800,A161,Ventas_SellIn!$B$2:$B$800,"&gt;="&amp;TODAY()-Inicio!$B$14))</f>
        <v/>
      </c>
      <c r="J161" s="50">
        <f>IF(A161="","",SUMIFS(SellOut_Jumbo!$F$2:$F$800,SellOut_Jumbo!$C$2:$C$800,D161,SellOut_Jumbo!$A$2:$A$800,"&gt;="&amp;TODAY()-Inicio!$B$14))</f>
        <v/>
      </c>
      <c r="K161" s="48">
        <f>IF(A161="","",IF(I161=0,"Sin venta",IF(I161&lt;Inicio!$B$15,"Venta baja","Venta OK")))</f>
        <v/>
      </c>
      <c r="L161" s="50">
        <f>IF(A161="","",COUNTIFS(Ventas_SellIn!$D$2:$D$800,A161,Ventas_SellIn!$R$2:$R$800,"&gt;0"))</f>
        <v/>
      </c>
      <c r="M161" s="51">
        <f>IF(A161="","",SUMIFS(Ventas_SellIn!$R$2:$R$800,Ventas_SellIn!$D$2:$D$800,A161))</f>
        <v/>
      </c>
      <c r="N161" s="48">
        <f>IF(A161="","",IF(M161&gt;=Inicio!$B$18,"Pendiente relevante",IF(M161&gt;0,"Pendiente menor","Sin deuda")))</f>
        <v/>
      </c>
      <c r="O161" s="50">
        <f>IF(A161="","",SUMIFS(Stock_PDV!$H$2:$H$800,Stock_PDV!$A$2:$A$800,A161))</f>
        <v/>
      </c>
      <c r="P161" s="48">
        <f>IF(A161="","",IF(O161&lt;=Inicio!$B$16,"Crítico",IF(O161&lt;=Inicio!$B$17,"Observar","OK")))</f>
        <v/>
      </c>
      <c r="Q161" s="48">
        <f>IF(A161="","",IF(OR(H161="Atrasado",K161="Sin venta",N161="Pendiente relevante",P161="Crítico"),"Alta",IF(OR(K161="Venta baja",N161="Pendiente menor",P161="Observar"),"Media","Baja")))</f>
        <v/>
      </c>
      <c r="R161" s="48">
        <f>IF(A161="","",IF(Q161="Alta","Gestionar esta semana",IF(Q161="Media","Hacer seguimiento","Mantener")))</f>
        <v/>
      </c>
      <c r="S161" s="68">
        <f>IF(A161="","",IF(I161=0,"Sin venta",IF(I161&gt;=cfg_VentaAlta,"Alta",IF(I161&lt;cfg_VentaBaja,"Baja","Media"))))</f>
        <v/>
      </c>
    </row>
    <row r="162">
      <c r="A162" s="48">
        <f>IF(Clientes_PDV!A162="","",Clientes_PDV!A162)</f>
        <v/>
      </c>
      <c r="B162" s="48">
        <f>IF(A162="","",IFERROR(VLOOKUP(A162,Clientes_PDV!$A$2:$J$250,2,FALSE),""))</f>
        <v/>
      </c>
      <c r="C162" s="48">
        <f>IF(A162="","",IFERROR(VLOOKUP(A162,Clientes_PDV!$A$2:$J$250,3,FALSE),""))</f>
        <v/>
      </c>
      <c r="D162" s="48">
        <f>IF(A162="","",IFERROR(VLOOKUP(A162,Clientes_PDV!$A$2:$J$250,4,FALSE),""))</f>
        <v/>
      </c>
      <c r="E162" s="48">
        <f>IF(A162="","",IFERROR(VLOOKUP(A162,Clientes_PDV!$A$2:$J$250,7,FALSE),""))</f>
        <v/>
      </c>
      <c r="F162" s="49">
        <f>IF(A162="","",IFERROR(VLOOKUP(A162,Clientes_PDV!$A$2:$J$250,8,FALSE),""))</f>
        <v/>
      </c>
      <c r="G162" s="50">
        <f>IF(F162="","",TODAY()-F162)</f>
        <v/>
      </c>
      <c r="H162" s="48">
        <f>IF(A162="","",IF(F162="","Sin visita",IF(G162&lt;=IFERROR(VLOOKUP(E162,Inicio!$A$24:$B$26,2,FALSE),0),"Vigente","Atrasado")))</f>
        <v/>
      </c>
      <c r="I162" s="51">
        <f>IF(A162="","",SUMIFS(Ventas_SellIn!$L$2:$L$800,Ventas_SellIn!$D$2:$D$800,A162,Ventas_SellIn!$B$2:$B$800,"&gt;="&amp;TODAY()-Inicio!$B$14))</f>
        <v/>
      </c>
      <c r="J162" s="50">
        <f>IF(A162="","",SUMIFS(SellOut_Jumbo!$F$2:$F$800,SellOut_Jumbo!$C$2:$C$800,D162,SellOut_Jumbo!$A$2:$A$800,"&gt;="&amp;TODAY()-Inicio!$B$14))</f>
        <v/>
      </c>
      <c r="K162" s="48">
        <f>IF(A162="","",IF(I162=0,"Sin venta",IF(I162&lt;Inicio!$B$15,"Venta baja","Venta OK")))</f>
        <v/>
      </c>
      <c r="L162" s="50">
        <f>IF(A162="","",COUNTIFS(Ventas_SellIn!$D$2:$D$800,A162,Ventas_SellIn!$R$2:$R$800,"&gt;0"))</f>
        <v/>
      </c>
      <c r="M162" s="51">
        <f>IF(A162="","",SUMIFS(Ventas_SellIn!$R$2:$R$800,Ventas_SellIn!$D$2:$D$800,A162))</f>
        <v/>
      </c>
      <c r="N162" s="48">
        <f>IF(A162="","",IF(M162&gt;=Inicio!$B$18,"Pendiente relevante",IF(M162&gt;0,"Pendiente menor","Sin deuda")))</f>
        <v/>
      </c>
      <c r="O162" s="50">
        <f>IF(A162="","",SUMIFS(Stock_PDV!$H$2:$H$800,Stock_PDV!$A$2:$A$800,A162))</f>
        <v/>
      </c>
      <c r="P162" s="48">
        <f>IF(A162="","",IF(O162&lt;=Inicio!$B$16,"Crítico",IF(O162&lt;=Inicio!$B$17,"Observar","OK")))</f>
        <v/>
      </c>
      <c r="Q162" s="48">
        <f>IF(A162="","",IF(OR(H162="Atrasado",K162="Sin venta",N162="Pendiente relevante",P162="Crítico"),"Alta",IF(OR(K162="Venta baja",N162="Pendiente menor",P162="Observar"),"Media","Baja")))</f>
        <v/>
      </c>
      <c r="R162" s="48">
        <f>IF(A162="","",IF(Q162="Alta","Gestionar esta semana",IF(Q162="Media","Hacer seguimiento","Mantener")))</f>
        <v/>
      </c>
      <c r="S162" s="68">
        <f>IF(A162="","",IF(I162=0,"Sin venta",IF(I162&gt;=cfg_VentaAlta,"Alta",IF(I162&lt;cfg_VentaBaja,"Baja","Media"))))</f>
        <v/>
      </c>
    </row>
    <row r="163">
      <c r="A163" s="48">
        <f>IF(Clientes_PDV!A163="","",Clientes_PDV!A163)</f>
        <v/>
      </c>
      <c r="B163" s="48">
        <f>IF(A163="","",IFERROR(VLOOKUP(A163,Clientes_PDV!$A$2:$J$250,2,FALSE),""))</f>
        <v/>
      </c>
      <c r="C163" s="48">
        <f>IF(A163="","",IFERROR(VLOOKUP(A163,Clientes_PDV!$A$2:$J$250,3,FALSE),""))</f>
        <v/>
      </c>
      <c r="D163" s="48">
        <f>IF(A163="","",IFERROR(VLOOKUP(A163,Clientes_PDV!$A$2:$J$250,4,FALSE),""))</f>
        <v/>
      </c>
      <c r="E163" s="48">
        <f>IF(A163="","",IFERROR(VLOOKUP(A163,Clientes_PDV!$A$2:$J$250,7,FALSE),""))</f>
        <v/>
      </c>
      <c r="F163" s="49">
        <f>IF(A163="","",IFERROR(VLOOKUP(A163,Clientes_PDV!$A$2:$J$250,8,FALSE),""))</f>
        <v/>
      </c>
      <c r="G163" s="50">
        <f>IF(F163="","",TODAY()-F163)</f>
        <v/>
      </c>
      <c r="H163" s="48">
        <f>IF(A163="","",IF(F163="","Sin visita",IF(G163&lt;=IFERROR(VLOOKUP(E163,Inicio!$A$24:$B$26,2,FALSE),0),"Vigente","Atrasado")))</f>
        <v/>
      </c>
      <c r="I163" s="51">
        <f>IF(A163="","",SUMIFS(Ventas_SellIn!$L$2:$L$800,Ventas_SellIn!$D$2:$D$800,A163,Ventas_SellIn!$B$2:$B$800,"&gt;="&amp;TODAY()-Inicio!$B$14))</f>
        <v/>
      </c>
      <c r="J163" s="50">
        <f>IF(A163="","",SUMIFS(SellOut_Jumbo!$F$2:$F$800,SellOut_Jumbo!$C$2:$C$800,D163,SellOut_Jumbo!$A$2:$A$800,"&gt;="&amp;TODAY()-Inicio!$B$14))</f>
        <v/>
      </c>
      <c r="K163" s="48">
        <f>IF(A163="","",IF(I163=0,"Sin venta",IF(I163&lt;Inicio!$B$15,"Venta baja","Venta OK")))</f>
        <v/>
      </c>
      <c r="L163" s="50">
        <f>IF(A163="","",COUNTIFS(Ventas_SellIn!$D$2:$D$800,A163,Ventas_SellIn!$R$2:$R$800,"&gt;0"))</f>
        <v/>
      </c>
      <c r="M163" s="51">
        <f>IF(A163="","",SUMIFS(Ventas_SellIn!$R$2:$R$800,Ventas_SellIn!$D$2:$D$800,A163))</f>
        <v/>
      </c>
      <c r="N163" s="48">
        <f>IF(A163="","",IF(M163&gt;=Inicio!$B$18,"Pendiente relevante",IF(M163&gt;0,"Pendiente menor","Sin deuda")))</f>
        <v/>
      </c>
      <c r="O163" s="50">
        <f>IF(A163="","",SUMIFS(Stock_PDV!$H$2:$H$800,Stock_PDV!$A$2:$A$800,A163))</f>
        <v/>
      </c>
      <c r="P163" s="48">
        <f>IF(A163="","",IF(O163&lt;=Inicio!$B$16,"Crítico",IF(O163&lt;=Inicio!$B$17,"Observar","OK")))</f>
        <v/>
      </c>
      <c r="Q163" s="48">
        <f>IF(A163="","",IF(OR(H163="Atrasado",K163="Sin venta",N163="Pendiente relevante",P163="Crítico"),"Alta",IF(OR(K163="Venta baja",N163="Pendiente menor",P163="Observar"),"Media","Baja")))</f>
        <v/>
      </c>
      <c r="R163" s="48">
        <f>IF(A163="","",IF(Q163="Alta","Gestionar esta semana",IF(Q163="Media","Hacer seguimiento","Mantener")))</f>
        <v/>
      </c>
      <c r="S163" s="68">
        <f>IF(A163="","",IF(I163=0,"Sin venta",IF(I163&gt;=cfg_VentaAlta,"Alta",IF(I163&lt;cfg_VentaBaja,"Baja","Media"))))</f>
        <v/>
      </c>
    </row>
    <row r="164">
      <c r="A164" s="48">
        <f>IF(Clientes_PDV!A164="","",Clientes_PDV!A164)</f>
        <v/>
      </c>
      <c r="B164" s="48">
        <f>IF(A164="","",IFERROR(VLOOKUP(A164,Clientes_PDV!$A$2:$J$250,2,FALSE),""))</f>
        <v/>
      </c>
      <c r="C164" s="48">
        <f>IF(A164="","",IFERROR(VLOOKUP(A164,Clientes_PDV!$A$2:$J$250,3,FALSE),""))</f>
        <v/>
      </c>
      <c r="D164" s="48">
        <f>IF(A164="","",IFERROR(VLOOKUP(A164,Clientes_PDV!$A$2:$J$250,4,FALSE),""))</f>
        <v/>
      </c>
      <c r="E164" s="48">
        <f>IF(A164="","",IFERROR(VLOOKUP(A164,Clientes_PDV!$A$2:$J$250,7,FALSE),""))</f>
        <v/>
      </c>
      <c r="F164" s="49">
        <f>IF(A164="","",IFERROR(VLOOKUP(A164,Clientes_PDV!$A$2:$J$250,8,FALSE),""))</f>
        <v/>
      </c>
      <c r="G164" s="50">
        <f>IF(F164="","",TODAY()-F164)</f>
        <v/>
      </c>
      <c r="H164" s="48">
        <f>IF(A164="","",IF(F164="","Sin visita",IF(G164&lt;=IFERROR(VLOOKUP(E164,Inicio!$A$24:$B$26,2,FALSE),0),"Vigente","Atrasado")))</f>
        <v/>
      </c>
      <c r="I164" s="51">
        <f>IF(A164="","",SUMIFS(Ventas_SellIn!$L$2:$L$800,Ventas_SellIn!$D$2:$D$800,A164,Ventas_SellIn!$B$2:$B$800,"&gt;="&amp;TODAY()-Inicio!$B$14))</f>
        <v/>
      </c>
      <c r="J164" s="50">
        <f>IF(A164="","",SUMIFS(SellOut_Jumbo!$F$2:$F$800,SellOut_Jumbo!$C$2:$C$800,D164,SellOut_Jumbo!$A$2:$A$800,"&gt;="&amp;TODAY()-Inicio!$B$14))</f>
        <v/>
      </c>
      <c r="K164" s="48">
        <f>IF(A164="","",IF(I164=0,"Sin venta",IF(I164&lt;Inicio!$B$15,"Venta baja","Venta OK")))</f>
        <v/>
      </c>
      <c r="L164" s="50">
        <f>IF(A164="","",COUNTIFS(Ventas_SellIn!$D$2:$D$800,A164,Ventas_SellIn!$R$2:$R$800,"&gt;0"))</f>
        <v/>
      </c>
      <c r="M164" s="51">
        <f>IF(A164="","",SUMIFS(Ventas_SellIn!$R$2:$R$800,Ventas_SellIn!$D$2:$D$800,A164))</f>
        <v/>
      </c>
      <c r="N164" s="48">
        <f>IF(A164="","",IF(M164&gt;=Inicio!$B$18,"Pendiente relevante",IF(M164&gt;0,"Pendiente menor","Sin deuda")))</f>
        <v/>
      </c>
      <c r="O164" s="50">
        <f>IF(A164="","",SUMIFS(Stock_PDV!$H$2:$H$800,Stock_PDV!$A$2:$A$800,A164))</f>
        <v/>
      </c>
      <c r="P164" s="48">
        <f>IF(A164="","",IF(O164&lt;=Inicio!$B$16,"Crítico",IF(O164&lt;=Inicio!$B$17,"Observar","OK")))</f>
        <v/>
      </c>
      <c r="Q164" s="48">
        <f>IF(A164="","",IF(OR(H164="Atrasado",K164="Sin venta",N164="Pendiente relevante",P164="Crítico"),"Alta",IF(OR(K164="Venta baja",N164="Pendiente menor",P164="Observar"),"Media","Baja")))</f>
        <v/>
      </c>
      <c r="R164" s="48">
        <f>IF(A164="","",IF(Q164="Alta","Gestionar esta semana",IF(Q164="Media","Hacer seguimiento","Mantener")))</f>
        <v/>
      </c>
      <c r="S164" s="68">
        <f>IF(A164="","",IF(I164=0,"Sin venta",IF(I164&gt;=cfg_VentaAlta,"Alta",IF(I164&lt;cfg_VentaBaja,"Baja","Media"))))</f>
        <v/>
      </c>
    </row>
    <row r="165">
      <c r="A165" s="48">
        <f>IF(Clientes_PDV!A165="","",Clientes_PDV!A165)</f>
        <v/>
      </c>
      <c r="B165" s="48">
        <f>IF(A165="","",IFERROR(VLOOKUP(A165,Clientes_PDV!$A$2:$J$250,2,FALSE),""))</f>
        <v/>
      </c>
      <c r="C165" s="48">
        <f>IF(A165="","",IFERROR(VLOOKUP(A165,Clientes_PDV!$A$2:$J$250,3,FALSE),""))</f>
        <v/>
      </c>
      <c r="D165" s="48">
        <f>IF(A165="","",IFERROR(VLOOKUP(A165,Clientes_PDV!$A$2:$J$250,4,FALSE),""))</f>
        <v/>
      </c>
      <c r="E165" s="48">
        <f>IF(A165="","",IFERROR(VLOOKUP(A165,Clientes_PDV!$A$2:$J$250,7,FALSE),""))</f>
        <v/>
      </c>
      <c r="F165" s="49">
        <f>IF(A165="","",IFERROR(VLOOKUP(A165,Clientes_PDV!$A$2:$J$250,8,FALSE),""))</f>
        <v/>
      </c>
      <c r="G165" s="50">
        <f>IF(F165="","",TODAY()-F165)</f>
        <v/>
      </c>
      <c r="H165" s="48">
        <f>IF(A165="","",IF(F165="","Sin visita",IF(G165&lt;=IFERROR(VLOOKUP(E165,Inicio!$A$24:$B$26,2,FALSE),0),"Vigente","Atrasado")))</f>
        <v/>
      </c>
      <c r="I165" s="51">
        <f>IF(A165="","",SUMIFS(Ventas_SellIn!$L$2:$L$800,Ventas_SellIn!$D$2:$D$800,A165,Ventas_SellIn!$B$2:$B$800,"&gt;="&amp;TODAY()-Inicio!$B$14))</f>
        <v/>
      </c>
      <c r="J165" s="50">
        <f>IF(A165="","",SUMIFS(SellOut_Jumbo!$F$2:$F$800,SellOut_Jumbo!$C$2:$C$800,D165,SellOut_Jumbo!$A$2:$A$800,"&gt;="&amp;TODAY()-Inicio!$B$14))</f>
        <v/>
      </c>
      <c r="K165" s="48">
        <f>IF(A165="","",IF(I165=0,"Sin venta",IF(I165&lt;Inicio!$B$15,"Venta baja","Venta OK")))</f>
        <v/>
      </c>
      <c r="L165" s="50">
        <f>IF(A165="","",COUNTIFS(Ventas_SellIn!$D$2:$D$800,A165,Ventas_SellIn!$R$2:$R$800,"&gt;0"))</f>
        <v/>
      </c>
      <c r="M165" s="51">
        <f>IF(A165="","",SUMIFS(Ventas_SellIn!$R$2:$R$800,Ventas_SellIn!$D$2:$D$800,A165))</f>
        <v/>
      </c>
      <c r="N165" s="48">
        <f>IF(A165="","",IF(M165&gt;=Inicio!$B$18,"Pendiente relevante",IF(M165&gt;0,"Pendiente menor","Sin deuda")))</f>
        <v/>
      </c>
      <c r="O165" s="50">
        <f>IF(A165="","",SUMIFS(Stock_PDV!$H$2:$H$800,Stock_PDV!$A$2:$A$800,A165))</f>
        <v/>
      </c>
      <c r="P165" s="48">
        <f>IF(A165="","",IF(O165&lt;=Inicio!$B$16,"Crítico",IF(O165&lt;=Inicio!$B$17,"Observar","OK")))</f>
        <v/>
      </c>
      <c r="Q165" s="48">
        <f>IF(A165="","",IF(OR(H165="Atrasado",K165="Sin venta",N165="Pendiente relevante",P165="Crítico"),"Alta",IF(OR(K165="Venta baja",N165="Pendiente menor",P165="Observar"),"Media","Baja")))</f>
        <v/>
      </c>
      <c r="R165" s="48">
        <f>IF(A165="","",IF(Q165="Alta","Gestionar esta semana",IF(Q165="Media","Hacer seguimiento","Mantener")))</f>
        <v/>
      </c>
      <c r="S165" s="68">
        <f>IF(A165="","",IF(I165=0,"Sin venta",IF(I165&gt;=cfg_VentaAlta,"Alta",IF(I165&lt;cfg_VentaBaja,"Baja","Media"))))</f>
        <v/>
      </c>
    </row>
    <row r="166">
      <c r="A166" s="48">
        <f>IF(Clientes_PDV!A166="","",Clientes_PDV!A166)</f>
        <v/>
      </c>
      <c r="B166" s="48">
        <f>IF(A166="","",IFERROR(VLOOKUP(A166,Clientes_PDV!$A$2:$J$250,2,FALSE),""))</f>
        <v/>
      </c>
      <c r="C166" s="48">
        <f>IF(A166="","",IFERROR(VLOOKUP(A166,Clientes_PDV!$A$2:$J$250,3,FALSE),""))</f>
        <v/>
      </c>
      <c r="D166" s="48">
        <f>IF(A166="","",IFERROR(VLOOKUP(A166,Clientes_PDV!$A$2:$J$250,4,FALSE),""))</f>
        <v/>
      </c>
      <c r="E166" s="48">
        <f>IF(A166="","",IFERROR(VLOOKUP(A166,Clientes_PDV!$A$2:$J$250,7,FALSE),""))</f>
        <v/>
      </c>
      <c r="F166" s="49">
        <f>IF(A166="","",IFERROR(VLOOKUP(A166,Clientes_PDV!$A$2:$J$250,8,FALSE),""))</f>
        <v/>
      </c>
      <c r="G166" s="50">
        <f>IF(F166="","",TODAY()-F166)</f>
        <v/>
      </c>
      <c r="H166" s="48">
        <f>IF(A166="","",IF(F166="","Sin visita",IF(G166&lt;=IFERROR(VLOOKUP(E166,Inicio!$A$24:$B$26,2,FALSE),0),"Vigente","Atrasado")))</f>
        <v/>
      </c>
      <c r="I166" s="51">
        <f>IF(A166="","",SUMIFS(Ventas_SellIn!$L$2:$L$800,Ventas_SellIn!$D$2:$D$800,A166,Ventas_SellIn!$B$2:$B$800,"&gt;="&amp;TODAY()-Inicio!$B$14))</f>
        <v/>
      </c>
      <c r="J166" s="50">
        <f>IF(A166="","",SUMIFS(SellOut_Jumbo!$F$2:$F$800,SellOut_Jumbo!$C$2:$C$800,D166,SellOut_Jumbo!$A$2:$A$800,"&gt;="&amp;TODAY()-Inicio!$B$14))</f>
        <v/>
      </c>
      <c r="K166" s="48">
        <f>IF(A166="","",IF(I166=0,"Sin venta",IF(I166&lt;Inicio!$B$15,"Venta baja","Venta OK")))</f>
        <v/>
      </c>
      <c r="L166" s="50">
        <f>IF(A166="","",COUNTIFS(Ventas_SellIn!$D$2:$D$800,A166,Ventas_SellIn!$R$2:$R$800,"&gt;0"))</f>
        <v/>
      </c>
      <c r="M166" s="51">
        <f>IF(A166="","",SUMIFS(Ventas_SellIn!$R$2:$R$800,Ventas_SellIn!$D$2:$D$800,A166))</f>
        <v/>
      </c>
      <c r="N166" s="48">
        <f>IF(A166="","",IF(M166&gt;=Inicio!$B$18,"Pendiente relevante",IF(M166&gt;0,"Pendiente menor","Sin deuda")))</f>
        <v/>
      </c>
      <c r="O166" s="50">
        <f>IF(A166="","",SUMIFS(Stock_PDV!$H$2:$H$800,Stock_PDV!$A$2:$A$800,A166))</f>
        <v/>
      </c>
      <c r="P166" s="48">
        <f>IF(A166="","",IF(O166&lt;=Inicio!$B$16,"Crítico",IF(O166&lt;=Inicio!$B$17,"Observar","OK")))</f>
        <v/>
      </c>
      <c r="Q166" s="48">
        <f>IF(A166="","",IF(OR(H166="Atrasado",K166="Sin venta",N166="Pendiente relevante",P166="Crítico"),"Alta",IF(OR(K166="Venta baja",N166="Pendiente menor",P166="Observar"),"Media","Baja")))</f>
        <v/>
      </c>
      <c r="R166" s="48">
        <f>IF(A166="","",IF(Q166="Alta","Gestionar esta semana",IF(Q166="Media","Hacer seguimiento","Mantener")))</f>
        <v/>
      </c>
      <c r="S166" s="68">
        <f>IF(A166="","",IF(I166=0,"Sin venta",IF(I166&gt;=cfg_VentaAlta,"Alta",IF(I166&lt;cfg_VentaBaja,"Baja","Media"))))</f>
        <v/>
      </c>
    </row>
    <row r="167">
      <c r="A167" s="48">
        <f>IF(Clientes_PDV!A167="","",Clientes_PDV!A167)</f>
        <v/>
      </c>
      <c r="B167" s="48">
        <f>IF(A167="","",IFERROR(VLOOKUP(A167,Clientes_PDV!$A$2:$J$250,2,FALSE),""))</f>
        <v/>
      </c>
      <c r="C167" s="48">
        <f>IF(A167="","",IFERROR(VLOOKUP(A167,Clientes_PDV!$A$2:$J$250,3,FALSE),""))</f>
        <v/>
      </c>
      <c r="D167" s="48">
        <f>IF(A167="","",IFERROR(VLOOKUP(A167,Clientes_PDV!$A$2:$J$250,4,FALSE),""))</f>
        <v/>
      </c>
      <c r="E167" s="48">
        <f>IF(A167="","",IFERROR(VLOOKUP(A167,Clientes_PDV!$A$2:$J$250,7,FALSE),""))</f>
        <v/>
      </c>
      <c r="F167" s="49">
        <f>IF(A167="","",IFERROR(VLOOKUP(A167,Clientes_PDV!$A$2:$J$250,8,FALSE),""))</f>
        <v/>
      </c>
      <c r="G167" s="50">
        <f>IF(F167="","",TODAY()-F167)</f>
        <v/>
      </c>
      <c r="H167" s="48">
        <f>IF(A167="","",IF(F167="","Sin visita",IF(G167&lt;=IFERROR(VLOOKUP(E167,Inicio!$A$24:$B$26,2,FALSE),0),"Vigente","Atrasado")))</f>
        <v/>
      </c>
      <c r="I167" s="51">
        <f>IF(A167="","",SUMIFS(Ventas_SellIn!$L$2:$L$800,Ventas_SellIn!$D$2:$D$800,A167,Ventas_SellIn!$B$2:$B$800,"&gt;="&amp;TODAY()-Inicio!$B$14))</f>
        <v/>
      </c>
      <c r="J167" s="50">
        <f>IF(A167="","",SUMIFS(SellOut_Jumbo!$F$2:$F$800,SellOut_Jumbo!$C$2:$C$800,D167,SellOut_Jumbo!$A$2:$A$800,"&gt;="&amp;TODAY()-Inicio!$B$14))</f>
        <v/>
      </c>
      <c r="K167" s="48">
        <f>IF(A167="","",IF(I167=0,"Sin venta",IF(I167&lt;Inicio!$B$15,"Venta baja","Venta OK")))</f>
        <v/>
      </c>
      <c r="L167" s="50">
        <f>IF(A167="","",COUNTIFS(Ventas_SellIn!$D$2:$D$800,A167,Ventas_SellIn!$R$2:$R$800,"&gt;0"))</f>
        <v/>
      </c>
      <c r="M167" s="51">
        <f>IF(A167="","",SUMIFS(Ventas_SellIn!$R$2:$R$800,Ventas_SellIn!$D$2:$D$800,A167))</f>
        <v/>
      </c>
      <c r="N167" s="48">
        <f>IF(A167="","",IF(M167&gt;=Inicio!$B$18,"Pendiente relevante",IF(M167&gt;0,"Pendiente menor","Sin deuda")))</f>
        <v/>
      </c>
      <c r="O167" s="50">
        <f>IF(A167="","",SUMIFS(Stock_PDV!$H$2:$H$800,Stock_PDV!$A$2:$A$800,A167))</f>
        <v/>
      </c>
      <c r="P167" s="48">
        <f>IF(A167="","",IF(O167&lt;=Inicio!$B$16,"Crítico",IF(O167&lt;=Inicio!$B$17,"Observar","OK")))</f>
        <v/>
      </c>
      <c r="Q167" s="48">
        <f>IF(A167="","",IF(OR(H167="Atrasado",K167="Sin venta",N167="Pendiente relevante",P167="Crítico"),"Alta",IF(OR(K167="Venta baja",N167="Pendiente menor",P167="Observar"),"Media","Baja")))</f>
        <v/>
      </c>
      <c r="R167" s="48">
        <f>IF(A167="","",IF(Q167="Alta","Gestionar esta semana",IF(Q167="Media","Hacer seguimiento","Mantener")))</f>
        <v/>
      </c>
      <c r="S167" s="68">
        <f>IF(A167="","",IF(I167=0,"Sin venta",IF(I167&gt;=cfg_VentaAlta,"Alta",IF(I167&lt;cfg_VentaBaja,"Baja","Media"))))</f>
        <v/>
      </c>
    </row>
    <row r="168">
      <c r="A168" s="48">
        <f>IF(Clientes_PDV!A168="","",Clientes_PDV!A168)</f>
        <v/>
      </c>
      <c r="B168" s="48">
        <f>IF(A168="","",IFERROR(VLOOKUP(A168,Clientes_PDV!$A$2:$J$250,2,FALSE),""))</f>
        <v/>
      </c>
      <c r="C168" s="48">
        <f>IF(A168="","",IFERROR(VLOOKUP(A168,Clientes_PDV!$A$2:$J$250,3,FALSE),""))</f>
        <v/>
      </c>
      <c r="D168" s="48">
        <f>IF(A168="","",IFERROR(VLOOKUP(A168,Clientes_PDV!$A$2:$J$250,4,FALSE),""))</f>
        <v/>
      </c>
      <c r="E168" s="48">
        <f>IF(A168="","",IFERROR(VLOOKUP(A168,Clientes_PDV!$A$2:$J$250,7,FALSE),""))</f>
        <v/>
      </c>
      <c r="F168" s="49">
        <f>IF(A168="","",IFERROR(VLOOKUP(A168,Clientes_PDV!$A$2:$J$250,8,FALSE),""))</f>
        <v/>
      </c>
      <c r="G168" s="50">
        <f>IF(F168="","",TODAY()-F168)</f>
        <v/>
      </c>
      <c r="H168" s="48">
        <f>IF(A168="","",IF(F168="","Sin visita",IF(G168&lt;=IFERROR(VLOOKUP(E168,Inicio!$A$24:$B$26,2,FALSE),0),"Vigente","Atrasado")))</f>
        <v/>
      </c>
      <c r="I168" s="51">
        <f>IF(A168="","",SUMIFS(Ventas_SellIn!$L$2:$L$800,Ventas_SellIn!$D$2:$D$800,A168,Ventas_SellIn!$B$2:$B$800,"&gt;="&amp;TODAY()-Inicio!$B$14))</f>
        <v/>
      </c>
      <c r="J168" s="50">
        <f>IF(A168="","",SUMIFS(SellOut_Jumbo!$F$2:$F$800,SellOut_Jumbo!$C$2:$C$800,D168,SellOut_Jumbo!$A$2:$A$800,"&gt;="&amp;TODAY()-Inicio!$B$14))</f>
        <v/>
      </c>
      <c r="K168" s="48">
        <f>IF(A168="","",IF(I168=0,"Sin venta",IF(I168&lt;Inicio!$B$15,"Venta baja","Venta OK")))</f>
        <v/>
      </c>
      <c r="L168" s="50">
        <f>IF(A168="","",COUNTIFS(Ventas_SellIn!$D$2:$D$800,A168,Ventas_SellIn!$R$2:$R$800,"&gt;0"))</f>
        <v/>
      </c>
      <c r="M168" s="51">
        <f>IF(A168="","",SUMIFS(Ventas_SellIn!$R$2:$R$800,Ventas_SellIn!$D$2:$D$800,A168))</f>
        <v/>
      </c>
      <c r="N168" s="48">
        <f>IF(A168="","",IF(M168&gt;=Inicio!$B$18,"Pendiente relevante",IF(M168&gt;0,"Pendiente menor","Sin deuda")))</f>
        <v/>
      </c>
      <c r="O168" s="50">
        <f>IF(A168="","",SUMIFS(Stock_PDV!$H$2:$H$800,Stock_PDV!$A$2:$A$800,A168))</f>
        <v/>
      </c>
      <c r="P168" s="48">
        <f>IF(A168="","",IF(O168&lt;=Inicio!$B$16,"Crítico",IF(O168&lt;=Inicio!$B$17,"Observar","OK")))</f>
        <v/>
      </c>
      <c r="Q168" s="48">
        <f>IF(A168="","",IF(OR(H168="Atrasado",K168="Sin venta",N168="Pendiente relevante",P168="Crítico"),"Alta",IF(OR(K168="Venta baja",N168="Pendiente menor",P168="Observar"),"Media","Baja")))</f>
        <v/>
      </c>
      <c r="R168" s="48">
        <f>IF(A168="","",IF(Q168="Alta","Gestionar esta semana",IF(Q168="Media","Hacer seguimiento","Mantener")))</f>
        <v/>
      </c>
      <c r="S168" s="68">
        <f>IF(A168="","",IF(I168=0,"Sin venta",IF(I168&gt;=cfg_VentaAlta,"Alta",IF(I168&lt;cfg_VentaBaja,"Baja","Media"))))</f>
        <v/>
      </c>
    </row>
    <row r="169">
      <c r="A169" s="48">
        <f>IF(Clientes_PDV!A169="","",Clientes_PDV!A169)</f>
        <v/>
      </c>
      <c r="B169" s="48">
        <f>IF(A169="","",IFERROR(VLOOKUP(A169,Clientes_PDV!$A$2:$J$250,2,FALSE),""))</f>
        <v/>
      </c>
      <c r="C169" s="48">
        <f>IF(A169="","",IFERROR(VLOOKUP(A169,Clientes_PDV!$A$2:$J$250,3,FALSE),""))</f>
        <v/>
      </c>
      <c r="D169" s="48">
        <f>IF(A169="","",IFERROR(VLOOKUP(A169,Clientes_PDV!$A$2:$J$250,4,FALSE),""))</f>
        <v/>
      </c>
      <c r="E169" s="48">
        <f>IF(A169="","",IFERROR(VLOOKUP(A169,Clientes_PDV!$A$2:$J$250,7,FALSE),""))</f>
        <v/>
      </c>
      <c r="F169" s="49">
        <f>IF(A169="","",IFERROR(VLOOKUP(A169,Clientes_PDV!$A$2:$J$250,8,FALSE),""))</f>
        <v/>
      </c>
      <c r="G169" s="50">
        <f>IF(F169="","",TODAY()-F169)</f>
        <v/>
      </c>
      <c r="H169" s="48">
        <f>IF(A169="","",IF(F169="","Sin visita",IF(G169&lt;=IFERROR(VLOOKUP(E169,Inicio!$A$24:$B$26,2,FALSE),0),"Vigente","Atrasado")))</f>
        <v/>
      </c>
      <c r="I169" s="51">
        <f>IF(A169="","",SUMIFS(Ventas_SellIn!$L$2:$L$800,Ventas_SellIn!$D$2:$D$800,A169,Ventas_SellIn!$B$2:$B$800,"&gt;="&amp;TODAY()-Inicio!$B$14))</f>
        <v/>
      </c>
      <c r="J169" s="50">
        <f>IF(A169="","",SUMIFS(SellOut_Jumbo!$F$2:$F$800,SellOut_Jumbo!$C$2:$C$800,D169,SellOut_Jumbo!$A$2:$A$800,"&gt;="&amp;TODAY()-Inicio!$B$14))</f>
        <v/>
      </c>
      <c r="K169" s="48">
        <f>IF(A169="","",IF(I169=0,"Sin venta",IF(I169&lt;Inicio!$B$15,"Venta baja","Venta OK")))</f>
        <v/>
      </c>
      <c r="L169" s="50">
        <f>IF(A169="","",COUNTIFS(Ventas_SellIn!$D$2:$D$800,A169,Ventas_SellIn!$R$2:$R$800,"&gt;0"))</f>
        <v/>
      </c>
      <c r="M169" s="51">
        <f>IF(A169="","",SUMIFS(Ventas_SellIn!$R$2:$R$800,Ventas_SellIn!$D$2:$D$800,A169))</f>
        <v/>
      </c>
      <c r="N169" s="48">
        <f>IF(A169="","",IF(M169&gt;=Inicio!$B$18,"Pendiente relevante",IF(M169&gt;0,"Pendiente menor","Sin deuda")))</f>
        <v/>
      </c>
      <c r="O169" s="50">
        <f>IF(A169="","",SUMIFS(Stock_PDV!$H$2:$H$800,Stock_PDV!$A$2:$A$800,A169))</f>
        <v/>
      </c>
      <c r="P169" s="48">
        <f>IF(A169="","",IF(O169&lt;=Inicio!$B$16,"Crítico",IF(O169&lt;=Inicio!$B$17,"Observar","OK")))</f>
        <v/>
      </c>
      <c r="Q169" s="48">
        <f>IF(A169="","",IF(OR(H169="Atrasado",K169="Sin venta",N169="Pendiente relevante",P169="Crítico"),"Alta",IF(OR(K169="Venta baja",N169="Pendiente menor",P169="Observar"),"Media","Baja")))</f>
        <v/>
      </c>
      <c r="R169" s="48">
        <f>IF(A169="","",IF(Q169="Alta","Gestionar esta semana",IF(Q169="Media","Hacer seguimiento","Mantener")))</f>
        <v/>
      </c>
      <c r="S169" s="68">
        <f>IF(A169="","",IF(I169=0,"Sin venta",IF(I169&gt;=cfg_VentaAlta,"Alta",IF(I169&lt;cfg_VentaBaja,"Baja","Media"))))</f>
        <v/>
      </c>
    </row>
    <row r="170">
      <c r="A170" s="48">
        <f>IF(Clientes_PDV!A170="","",Clientes_PDV!A170)</f>
        <v/>
      </c>
      <c r="B170" s="48">
        <f>IF(A170="","",IFERROR(VLOOKUP(A170,Clientes_PDV!$A$2:$J$250,2,FALSE),""))</f>
        <v/>
      </c>
      <c r="C170" s="48">
        <f>IF(A170="","",IFERROR(VLOOKUP(A170,Clientes_PDV!$A$2:$J$250,3,FALSE),""))</f>
        <v/>
      </c>
      <c r="D170" s="48">
        <f>IF(A170="","",IFERROR(VLOOKUP(A170,Clientes_PDV!$A$2:$J$250,4,FALSE),""))</f>
        <v/>
      </c>
      <c r="E170" s="48">
        <f>IF(A170="","",IFERROR(VLOOKUP(A170,Clientes_PDV!$A$2:$J$250,7,FALSE),""))</f>
        <v/>
      </c>
      <c r="F170" s="49">
        <f>IF(A170="","",IFERROR(VLOOKUP(A170,Clientes_PDV!$A$2:$J$250,8,FALSE),""))</f>
        <v/>
      </c>
      <c r="G170" s="50">
        <f>IF(F170="","",TODAY()-F170)</f>
        <v/>
      </c>
      <c r="H170" s="48">
        <f>IF(A170="","",IF(F170="","Sin visita",IF(G170&lt;=IFERROR(VLOOKUP(E170,Inicio!$A$24:$B$26,2,FALSE),0),"Vigente","Atrasado")))</f>
        <v/>
      </c>
      <c r="I170" s="51">
        <f>IF(A170="","",SUMIFS(Ventas_SellIn!$L$2:$L$800,Ventas_SellIn!$D$2:$D$800,A170,Ventas_SellIn!$B$2:$B$800,"&gt;="&amp;TODAY()-Inicio!$B$14))</f>
        <v/>
      </c>
      <c r="J170" s="50">
        <f>IF(A170="","",SUMIFS(SellOut_Jumbo!$F$2:$F$800,SellOut_Jumbo!$C$2:$C$800,D170,SellOut_Jumbo!$A$2:$A$800,"&gt;="&amp;TODAY()-Inicio!$B$14))</f>
        <v/>
      </c>
      <c r="K170" s="48">
        <f>IF(A170="","",IF(I170=0,"Sin venta",IF(I170&lt;Inicio!$B$15,"Venta baja","Venta OK")))</f>
        <v/>
      </c>
      <c r="L170" s="50">
        <f>IF(A170="","",COUNTIFS(Ventas_SellIn!$D$2:$D$800,A170,Ventas_SellIn!$R$2:$R$800,"&gt;0"))</f>
        <v/>
      </c>
      <c r="M170" s="51">
        <f>IF(A170="","",SUMIFS(Ventas_SellIn!$R$2:$R$800,Ventas_SellIn!$D$2:$D$800,A170))</f>
        <v/>
      </c>
      <c r="N170" s="48">
        <f>IF(A170="","",IF(M170&gt;=Inicio!$B$18,"Pendiente relevante",IF(M170&gt;0,"Pendiente menor","Sin deuda")))</f>
        <v/>
      </c>
      <c r="O170" s="50">
        <f>IF(A170="","",SUMIFS(Stock_PDV!$H$2:$H$800,Stock_PDV!$A$2:$A$800,A170))</f>
        <v/>
      </c>
      <c r="P170" s="48">
        <f>IF(A170="","",IF(O170&lt;=Inicio!$B$16,"Crítico",IF(O170&lt;=Inicio!$B$17,"Observar","OK")))</f>
        <v/>
      </c>
      <c r="Q170" s="48">
        <f>IF(A170="","",IF(OR(H170="Atrasado",K170="Sin venta",N170="Pendiente relevante",P170="Crítico"),"Alta",IF(OR(K170="Venta baja",N170="Pendiente menor",P170="Observar"),"Media","Baja")))</f>
        <v/>
      </c>
      <c r="R170" s="48">
        <f>IF(A170="","",IF(Q170="Alta","Gestionar esta semana",IF(Q170="Media","Hacer seguimiento","Mantener")))</f>
        <v/>
      </c>
      <c r="S170" s="68">
        <f>IF(A170="","",IF(I170=0,"Sin venta",IF(I170&gt;=cfg_VentaAlta,"Alta",IF(I170&lt;cfg_VentaBaja,"Baja","Media"))))</f>
        <v/>
      </c>
    </row>
    <row r="171">
      <c r="A171" s="48">
        <f>IF(Clientes_PDV!A171="","",Clientes_PDV!A171)</f>
        <v/>
      </c>
      <c r="B171" s="48">
        <f>IF(A171="","",IFERROR(VLOOKUP(A171,Clientes_PDV!$A$2:$J$250,2,FALSE),""))</f>
        <v/>
      </c>
      <c r="C171" s="48">
        <f>IF(A171="","",IFERROR(VLOOKUP(A171,Clientes_PDV!$A$2:$J$250,3,FALSE),""))</f>
        <v/>
      </c>
      <c r="D171" s="48">
        <f>IF(A171="","",IFERROR(VLOOKUP(A171,Clientes_PDV!$A$2:$J$250,4,FALSE),""))</f>
        <v/>
      </c>
      <c r="E171" s="48">
        <f>IF(A171="","",IFERROR(VLOOKUP(A171,Clientes_PDV!$A$2:$J$250,7,FALSE),""))</f>
        <v/>
      </c>
      <c r="F171" s="49">
        <f>IF(A171="","",IFERROR(VLOOKUP(A171,Clientes_PDV!$A$2:$J$250,8,FALSE),""))</f>
        <v/>
      </c>
      <c r="G171" s="50">
        <f>IF(F171="","",TODAY()-F171)</f>
        <v/>
      </c>
      <c r="H171" s="48">
        <f>IF(A171="","",IF(F171="","Sin visita",IF(G171&lt;=IFERROR(VLOOKUP(E171,Inicio!$A$24:$B$26,2,FALSE),0),"Vigente","Atrasado")))</f>
        <v/>
      </c>
      <c r="I171" s="51">
        <f>IF(A171="","",SUMIFS(Ventas_SellIn!$L$2:$L$800,Ventas_SellIn!$D$2:$D$800,A171,Ventas_SellIn!$B$2:$B$800,"&gt;="&amp;TODAY()-Inicio!$B$14))</f>
        <v/>
      </c>
      <c r="J171" s="50">
        <f>IF(A171="","",SUMIFS(SellOut_Jumbo!$F$2:$F$800,SellOut_Jumbo!$C$2:$C$800,D171,SellOut_Jumbo!$A$2:$A$800,"&gt;="&amp;TODAY()-Inicio!$B$14))</f>
        <v/>
      </c>
      <c r="K171" s="48">
        <f>IF(A171="","",IF(I171=0,"Sin venta",IF(I171&lt;Inicio!$B$15,"Venta baja","Venta OK")))</f>
        <v/>
      </c>
      <c r="L171" s="50">
        <f>IF(A171="","",COUNTIFS(Ventas_SellIn!$D$2:$D$800,A171,Ventas_SellIn!$R$2:$R$800,"&gt;0"))</f>
        <v/>
      </c>
      <c r="M171" s="51">
        <f>IF(A171="","",SUMIFS(Ventas_SellIn!$R$2:$R$800,Ventas_SellIn!$D$2:$D$800,A171))</f>
        <v/>
      </c>
      <c r="N171" s="48">
        <f>IF(A171="","",IF(M171&gt;=Inicio!$B$18,"Pendiente relevante",IF(M171&gt;0,"Pendiente menor","Sin deuda")))</f>
        <v/>
      </c>
      <c r="O171" s="50">
        <f>IF(A171="","",SUMIFS(Stock_PDV!$H$2:$H$800,Stock_PDV!$A$2:$A$800,A171))</f>
        <v/>
      </c>
      <c r="P171" s="48">
        <f>IF(A171="","",IF(O171&lt;=Inicio!$B$16,"Crítico",IF(O171&lt;=Inicio!$B$17,"Observar","OK")))</f>
        <v/>
      </c>
      <c r="Q171" s="48">
        <f>IF(A171="","",IF(OR(H171="Atrasado",K171="Sin venta",N171="Pendiente relevante",P171="Crítico"),"Alta",IF(OR(K171="Venta baja",N171="Pendiente menor",P171="Observar"),"Media","Baja")))</f>
        <v/>
      </c>
      <c r="R171" s="48">
        <f>IF(A171="","",IF(Q171="Alta","Gestionar esta semana",IF(Q171="Media","Hacer seguimiento","Mantener")))</f>
        <v/>
      </c>
      <c r="S171" s="68">
        <f>IF(A171="","",IF(I171=0,"Sin venta",IF(I171&gt;=cfg_VentaAlta,"Alta",IF(I171&lt;cfg_VentaBaja,"Baja","Media"))))</f>
        <v/>
      </c>
    </row>
    <row r="172">
      <c r="A172" s="48">
        <f>IF(Clientes_PDV!A172="","",Clientes_PDV!A172)</f>
        <v/>
      </c>
      <c r="B172" s="48">
        <f>IF(A172="","",IFERROR(VLOOKUP(A172,Clientes_PDV!$A$2:$J$250,2,FALSE),""))</f>
        <v/>
      </c>
      <c r="C172" s="48">
        <f>IF(A172="","",IFERROR(VLOOKUP(A172,Clientes_PDV!$A$2:$J$250,3,FALSE),""))</f>
        <v/>
      </c>
      <c r="D172" s="48">
        <f>IF(A172="","",IFERROR(VLOOKUP(A172,Clientes_PDV!$A$2:$J$250,4,FALSE),""))</f>
        <v/>
      </c>
      <c r="E172" s="48">
        <f>IF(A172="","",IFERROR(VLOOKUP(A172,Clientes_PDV!$A$2:$J$250,7,FALSE),""))</f>
        <v/>
      </c>
      <c r="F172" s="49">
        <f>IF(A172="","",IFERROR(VLOOKUP(A172,Clientes_PDV!$A$2:$J$250,8,FALSE),""))</f>
        <v/>
      </c>
      <c r="G172" s="50">
        <f>IF(F172="","",TODAY()-F172)</f>
        <v/>
      </c>
      <c r="H172" s="48">
        <f>IF(A172="","",IF(F172="","Sin visita",IF(G172&lt;=IFERROR(VLOOKUP(E172,Inicio!$A$24:$B$26,2,FALSE),0),"Vigente","Atrasado")))</f>
        <v/>
      </c>
      <c r="I172" s="51">
        <f>IF(A172="","",SUMIFS(Ventas_SellIn!$L$2:$L$800,Ventas_SellIn!$D$2:$D$800,A172,Ventas_SellIn!$B$2:$B$800,"&gt;="&amp;TODAY()-Inicio!$B$14))</f>
        <v/>
      </c>
      <c r="J172" s="50">
        <f>IF(A172="","",SUMIFS(SellOut_Jumbo!$F$2:$F$800,SellOut_Jumbo!$C$2:$C$800,D172,SellOut_Jumbo!$A$2:$A$800,"&gt;="&amp;TODAY()-Inicio!$B$14))</f>
        <v/>
      </c>
      <c r="K172" s="48">
        <f>IF(A172="","",IF(I172=0,"Sin venta",IF(I172&lt;Inicio!$B$15,"Venta baja","Venta OK")))</f>
        <v/>
      </c>
      <c r="L172" s="50">
        <f>IF(A172="","",COUNTIFS(Ventas_SellIn!$D$2:$D$800,A172,Ventas_SellIn!$R$2:$R$800,"&gt;0"))</f>
        <v/>
      </c>
      <c r="M172" s="51">
        <f>IF(A172="","",SUMIFS(Ventas_SellIn!$R$2:$R$800,Ventas_SellIn!$D$2:$D$800,A172))</f>
        <v/>
      </c>
      <c r="N172" s="48">
        <f>IF(A172="","",IF(M172&gt;=Inicio!$B$18,"Pendiente relevante",IF(M172&gt;0,"Pendiente menor","Sin deuda")))</f>
        <v/>
      </c>
      <c r="O172" s="50">
        <f>IF(A172="","",SUMIFS(Stock_PDV!$H$2:$H$800,Stock_PDV!$A$2:$A$800,A172))</f>
        <v/>
      </c>
      <c r="P172" s="48">
        <f>IF(A172="","",IF(O172&lt;=Inicio!$B$16,"Crítico",IF(O172&lt;=Inicio!$B$17,"Observar","OK")))</f>
        <v/>
      </c>
      <c r="Q172" s="48">
        <f>IF(A172="","",IF(OR(H172="Atrasado",K172="Sin venta",N172="Pendiente relevante",P172="Crítico"),"Alta",IF(OR(K172="Venta baja",N172="Pendiente menor",P172="Observar"),"Media","Baja")))</f>
        <v/>
      </c>
      <c r="R172" s="48">
        <f>IF(A172="","",IF(Q172="Alta","Gestionar esta semana",IF(Q172="Media","Hacer seguimiento","Mantener")))</f>
        <v/>
      </c>
      <c r="S172" s="68">
        <f>IF(A172="","",IF(I172=0,"Sin venta",IF(I172&gt;=cfg_VentaAlta,"Alta",IF(I172&lt;cfg_VentaBaja,"Baja","Media"))))</f>
        <v/>
      </c>
    </row>
    <row r="173">
      <c r="A173" s="48">
        <f>IF(Clientes_PDV!A173="","",Clientes_PDV!A173)</f>
        <v/>
      </c>
      <c r="B173" s="48">
        <f>IF(A173="","",IFERROR(VLOOKUP(A173,Clientes_PDV!$A$2:$J$250,2,FALSE),""))</f>
        <v/>
      </c>
      <c r="C173" s="48">
        <f>IF(A173="","",IFERROR(VLOOKUP(A173,Clientes_PDV!$A$2:$J$250,3,FALSE),""))</f>
        <v/>
      </c>
      <c r="D173" s="48">
        <f>IF(A173="","",IFERROR(VLOOKUP(A173,Clientes_PDV!$A$2:$J$250,4,FALSE),""))</f>
        <v/>
      </c>
      <c r="E173" s="48">
        <f>IF(A173="","",IFERROR(VLOOKUP(A173,Clientes_PDV!$A$2:$J$250,7,FALSE),""))</f>
        <v/>
      </c>
      <c r="F173" s="49">
        <f>IF(A173="","",IFERROR(VLOOKUP(A173,Clientes_PDV!$A$2:$J$250,8,FALSE),""))</f>
        <v/>
      </c>
      <c r="G173" s="50">
        <f>IF(F173="","",TODAY()-F173)</f>
        <v/>
      </c>
      <c r="H173" s="48">
        <f>IF(A173="","",IF(F173="","Sin visita",IF(G173&lt;=IFERROR(VLOOKUP(E173,Inicio!$A$24:$B$26,2,FALSE),0),"Vigente","Atrasado")))</f>
        <v/>
      </c>
      <c r="I173" s="51">
        <f>IF(A173="","",SUMIFS(Ventas_SellIn!$L$2:$L$800,Ventas_SellIn!$D$2:$D$800,A173,Ventas_SellIn!$B$2:$B$800,"&gt;="&amp;TODAY()-Inicio!$B$14))</f>
        <v/>
      </c>
      <c r="J173" s="50">
        <f>IF(A173="","",SUMIFS(SellOut_Jumbo!$F$2:$F$800,SellOut_Jumbo!$C$2:$C$800,D173,SellOut_Jumbo!$A$2:$A$800,"&gt;="&amp;TODAY()-Inicio!$B$14))</f>
        <v/>
      </c>
      <c r="K173" s="48">
        <f>IF(A173="","",IF(I173=0,"Sin venta",IF(I173&lt;Inicio!$B$15,"Venta baja","Venta OK")))</f>
        <v/>
      </c>
      <c r="L173" s="50">
        <f>IF(A173="","",COUNTIFS(Ventas_SellIn!$D$2:$D$800,A173,Ventas_SellIn!$R$2:$R$800,"&gt;0"))</f>
        <v/>
      </c>
      <c r="M173" s="51">
        <f>IF(A173="","",SUMIFS(Ventas_SellIn!$R$2:$R$800,Ventas_SellIn!$D$2:$D$800,A173))</f>
        <v/>
      </c>
      <c r="N173" s="48">
        <f>IF(A173="","",IF(M173&gt;=Inicio!$B$18,"Pendiente relevante",IF(M173&gt;0,"Pendiente menor","Sin deuda")))</f>
        <v/>
      </c>
      <c r="O173" s="50">
        <f>IF(A173="","",SUMIFS(Stock_PDV!$H$2:$H$800,Stock_PDV!$A$2:$A$800,A173))</f>
        <v/>
      </c>
      <c r="P173" s="48">
        <f>IF(A173="","",IF(O173&lt;=Inicio!$B$16,"Crítico",IF(O173&lt;=Inicio!$B$17,"Observar","OK")))</f>
        <v/>
      </c>
      <c r="Q173" s="48">
        <f>IF(A173="","",IF(OR(H173="Atrasado",K173="Sin venta",N173="Pendiente relevante",P173="Crítico"),"Alta",IF(OR(K173="Venta baja",N173="Pendiente menor",P173="Observar"),"Media","Baja")))</f>
        <v/>
      </c>
      <c r="R173" s="48">
        <f>IF(A173="","",IF(Q173="Alta","Gestionar esta semana",IF(Q173="Media","Hacer seguimiento","Mantener")))</f>
        <v/>
      </c>
      <c r="S173" s="68">
        <f>IF(A173="","",IF(I173=0,"Sin venta",IF(I173&gt;=cfg_VentaAlta,"Alta",IF(I173&lt;cfg_VentaBaja,"Baja","Media"))))</f>
        <v/>
      </c>
    </row>
    <row r="174">
      <c r="A174" s="48">
        <f>IF(Clientes_PDV!A174="","",Clientes_PDV!A174)</f>
        <v/>
      </c>
      <c r="B174" s="48">
        <f>IF(A174="","",IFERROR(VLOOKUP(A174,Clientes_PDV!$A$2:$J$250,2,FALSE),""))</f>
        <v/>
      </c>
      <c r="C174" s="48">
        <f>IF(A174="","",IFERROR(VLOOKUP(A174,Clientes_PDV!$A$2:$J$250,3,FALSE),""))</f>
        <v/>
      </c>
      <c r="D174" s="48">
        <f>IF(A174="","",IFERROR(VLOOKUP(A174,Clientes_PDV!$A$2:$J$250,4,FALSE),""))</f>
        <v/>
      </c>
      <c r="E174" s="48">
        <f>IF(A174="","",IFERROR(VLOOKUP(A174,Clientes_PDV!$A$2:$J$250,7,FALSE),""))</f>
        <v/>
      </c>
      <c r="F174" s="49">
        <f>IF(A174="","",IFERROR(VLOOKUP(A174,Clientes_PDV!$A$2:$J$250,8,FALSE),""))</f>
        <v/>
      </c>
      <c r="G174" s="50">
        <f>IF(F174="","",TODAY()-F174)</f>
        <v/>
      </c>
      <c r="H174" s="48">
        <f>IF(A174="","",IF(F174="","Sin visita",IF(G174&lt;=IFERROR(VLOOKUP(E174,Inicio!$A$24:$B$26,2,FALSE),0),"Vigente","Atrasado")))</f>
        <v/>
      </c>
      <c r="I174" s="51">
        <f>IF(A174="","",SUMIFS(Ventas_SellIn!$L$2:$L$800,Ventas_SellIn!$D$2:$D$800,A174,Ventas_SellIn!$B$2:$B$800,"&gt;="&amp;TODAY()-Inicio!$B$14))</f>
        <v/>
      </c>
      <c r="J174" s="50">
        <f>IF(A174="","",SUMIFS(SellOut_Jumbo!$F$2:$F$800,SellOut_Jumbo!$C$2:$C$800,D174,SellOut_Jumbo!$A$2:$A$800,"&gt;="&amp;TODAY()-Inicio!$B$14))</f>
        <v/>
      </c>
      <c r="K174" s="48">
        <f>IF(A174="","",IF(I174=0,"Sin venta",IF(I174&lt;Inicio!$B$15,"Venta baja","Venta OK")))</f>
        <v/>
      </c>
      <c r="L174" s="50">
        <f>IF(A174="","",COUNTIFS(Ventas_SellIn!$D$2:$D$800,A174,Ventas_SellIn!$R$2:$R$800,"&gt;0"))</f>
        <v/>
      </c>
      <c r="M174" s="51">
        <f>IF(A174="","",SUMIFS(Ventas_SellIn!$R$2:$R$800,Ventas_SellIn!$D$2:$D$800,A174))</f>
        <v/>
      </c>
      <c r="N174" s="48">
        <f>IF(A174="","",IF(M174&gt;=Inicio!$B$18,"Pendiente relevante",IF(M174&gt;0,"Pendiente menor","Sin deuda")))</f>
        <v/>
      </c>
      <c r="O174" s="50">
        <f>IF(A174="","",SUMIFS(Stock_PDV!$H$2:$H$800,Stock_PDV!$A$2:$A$800,A174))</f>
        <v/>
      </c>
      <c r="P174" s="48">
        <f>IF(A174="","",IF(O174&lt;=Inicio!$B$16,"Crítico",IF(O174&lt;=Inicio!$B$17,"Observar","OK")))</f>
        <v/>
      </c>
      <c r="Q174" s="48">
        <f>IF(A174="","",IF(OR(H174="Atrasado",K174="Sin venta",N174="Pendiente relevante",P174="Crítico"),"Alta",IF(OR(K174="Venta baja",N174="Pendiente menor",P174="Observar"),"Media","Baja")))</f>
        <v/>
      </c>
      <c r="R174" s="48">
        <f>IF(A174="","",IF(Q174="Alta","Gestionar esta semana",IF(Q174="Media","Hacer seguimiento","Mantener")))</f>
        <v/>
      </c>
      <c r="S174" s="68">
        <f>IF(A174="","",IF(I174=0,"Sin venta",IF(I174&gt;=cfg_VentaAlta,"Alta",IF(I174&lt;cfg_VentaBaja,"Baja","Media"))))</f>
        <v/>
      </c>
    </row>
    <row r="175">
      <c r="A175" s="48">
        <f>IF(Clientes_PDV!A175="","",Clientes_PDV!A175)</f>
        <v/>
      </c>
      <c r="B175" s="48">
        <f>IF(A175="","",IFERROR(VLOOKUP(A175,Clientes_PDV!$A$2:$J$250,2,FALSE),""))</f>
        <v/>
      </c>
      <c r="C175" s="48">
        <f>IF(A175="","",IFERROR(VLOOKUP(A175,Clientes_PDV!$A$2:$J$250,3,FALSE),""))</f>
        <v/>
      </c>
      <c r="D175" s="48">
        <f>IF(A175="","",IFERROR(VLOOKUP(A175,Clientes_PDV!$A$2:$J$250,4,FALSE),""))</f>
        <v/>
      </c>
      <c r="E175" s="48">
        <f>IF(A175="","",IFERROR(VLOOKUP(A175,Clientes_PDV!$A$2:$J$250,7,FALSE),""))</f>
        <v/>
      </c>
      <c r="F175" s="49">
        <f>IF(A175="","",IFERROR(VLOOKUP(A175,Clientes_PDV!$A$2:$J$250,8,FALSE),""))</f>
        <v/>
      </c>
      <c r="G175" s="50">
        <f>IF(F175="","",TODAY()-F175)</f>
        <v/>
      </c>
      <c r="H175" s="48">
        <f>IF(A175="","",IF(F175="","Sin visita",IF(G175&lt;=IFERROR(VLOOKUP(E175,Inicio!$A$24:$B$26,2,FALSE),0),"Vigente","Atrasado")))</f>
        <v/>
      </c>
      <c r="I175" s="51">
        <f>IF(A175="","",SUMIFS(Ventas_SellIn!$L$2:$L$800,Ventas_SellIn!$D$2:$D$800,A175,Ventas_SellIn!$B$2:$B$800,"&gt;="&amp;TODAY()-Inicio!$B$14))</f>
        <v/>
      </c>
      <c r="J175" s="50">
        <f>IF(A175="","",SUMIFS(SellOut_Jumbo!$F$2:$F$800,SellOut_Jumbo!$C$2:$C$800,D175,SellOut_Jumbo!$A$2:$A$800,"&gt;="&amp;TODAY()-Inicio!$B$14))</f>
        <v/>
      </c>
      <c r="K175" s="48">
        <f>IF(A175="","",IF(I175=0,"Sin venta",IF(I175&lt;Inicio!$B$15,"Venta baja","Venta OK")))</f>
        <v/>
      </c>
      <c r="L175" s="50">
        <f>IF(A175="","",COUNTIFS(Ventas_SellIn!$D$2:$D$800,A175,Ventas_SellIn!$R$2:$R$800,"&gt;0"))</f>
        <v/>
      </c>
      <c r="M175" s="51">
        <f>IF(A175="","",SUMIFS(Ventas_SellIn!$R$2:$R$800,Ventas_SellIn!$D$2:$D$800,A175))</f>
        <v/>
      </c>
      <c r="N175" s="48">
        <f>IF(A175="","",IF(M175&gt;=Inicio!$B$18,"Pendiente relevante",IF(M175&gt;0,"Pendiente menor","Sin deuda")))</f>
        <v/>
      </c>
      <c r="O175" s="50">
        <f>IF(A175="","",SUMIFS(Stock_PDV!$H$2:$H$800,Stock_PDV!$A$2:$A$800,A175))</f>
        <v/>
      </c>
      <c r="P175" s="48">
        <f>IF(A175="","",IF(O175&lt;=Inicio!$B$16,"Crítico",IF(O175&lt;=Inicio!$B$17,"Observar","OK")))</f>
        <v/>
      </c>
      <c r="Q175" s="48">
        <f>IF(A175="","",IF(OR(H175="Atrasado",K175="Sin venta",N175="Pendiente relevante",P175="Crítico"),"Alta",IF(OR(K175="Venta baja",N175="Pendiente menor",P175="Observar"),"Media","Baja")))</f>
        <v/>
      </c>
      <c r="R175" s="48">
        <f>IF(A175="","",IF(Q175="Alta","Gestionar esta semana",IF(Q175="Media","Hacer seguimiento","Mantener")))</f>
        <v/>
      </c>
      <c r="S175" s="68">
        <f>IF(A175="","",IF(I175=0,"Sin venta",IF(I175&gt;=cfg_VentaAlta,"Alta",IF(I175&lt;cfg_VentaBaja,"Baja","Media"))))</f>
        <v/>
      </c>
    </row>
    <row r="176">
      <c r="A176" s="48">
        <f>IF(Clientes_PDV!A176="","",Clientes_PDV!A176)</f>
        <v/>
      </c>
      <c r="B176" s="48">
        <f>IF(A176="","",IFERROR(VLOOKUP(A176,Clientes_PDV!$A$2:$J$250,2,FALSE),""))</f>
        <v/>
      </c>
      <c r="C176" s="48">
        <f>IF(A176="","",IFERROR(VLOOKUP(A176,Clientes_PDV!$A$2:$J$250,3,FALSE),""))</f>
        <v/>
      </c>
      <c r="D176" s="48">
        <f>IF(A176="","",IFERROR(VLOOKUP(A176,Clientes_PDV!$A$2:$J$250,4,FALSE),""))</f>
        <v/>
      </c>
      <c r="E176" s="48">
        <f>IF(A176="","",IFERROR(VLOOKUP(A176,Clientes_PDV!$A$2:$J$250,7,FALSE),""))</f>
        <v/>
      </c>
      <c r="F176" s="49">
        <f>IF(A176="","",IFERROR(VLOOKUP(A176,Clientes_PDV!$A$2:$J$250,8,FALSE),""))</f>
        <v/>
      </c>
      <c r="G176" s="50">
        <f>IF(F176="","",TODAY()-F176)</f>
        <v/>
      </c>
      <c r="H176" s="48">
        <f>IF(A176="","",IF(F176="","Sin visita",IF(G176&lt;=IFERROR(VLOOKUP(E176,Inicio!$A$24:$B$26,2,FALSE),0),"Vigente","Atrasado")))</f>
        <v/>
      </c>
      <c r="I176" s="51">
        <f>IF(A176="","",SUMIFS(Ventas_SellIn!$L$2:$L$800,Ventas_SellIn!$D$2:$D$800,A176,Ventas_SellIn!$B$2:$B$800,"&gt;="&amp;TODAY()-Inicio!$B$14))</f>
        <v/>
      </c>
      <c r="J176" s="50">
        <f>IF(A176="","",SUMIFS(SellOut_Jumbo!$F$2:$F$800,SellOut_Jumbo!$C$2:$C$800,D176,SellOut_Jumbo!$A$2:$A$800,"&gt;="&amp;TODAY()-Inicio!$B$14))</f>
        <v/>
      </c>
      <c r="K176" s="48">
        <f>IF(A176="","",IF(I176=0,"Sin venta",IF(I176&lt;Inicio!$B$15,"Venta baja","Venta OK")))</f>
        <v/>
      </c>
      <c r="L176" s="50">
        <f>IF(A176="","",COUNTIFS(Ventas_SellIn!$D$2:$D$800,A176,Ventas_SellIn!$R$2:$R$800,"&gt;0"))</f>
        <v/>
      </c>
      <c r="M176" s="51">
        <f>IF(A176="","",SUMIFS(Ventas_SellIn!$R$2:$R$800,Ventas_SellIn!$D$2:$D$800,A176))</f>
        <v/>
      </c>
      <c r="N176" s="48">
        <f>IF(A176="","",IF(M176&gt;=Inicio!$B$18,"Pendiente relevante",IF(M176&gt;0,"Pendiente menor","Sin deuda")))</f>
        <v/>
      </c>
      <c r="O176" s="50">
        <f>IF(A176="","",SUMIFS(Stock_PDV!$H$2:$H$800,Stock_PDV!$A$2:$A$800,A176))</f>
        <v/>
      </c>
      <c r="P176" s="48">
        <f>IF(A176="","",IF(O176&lt;=Inicio!$B$16,"Crítico",IF(O176&lt;=Inicio!$B$17,"Observar","OK")))</f>
        <v/>
      </c>
      <c r="Q176" s="48">
        <f>IF(A176="","",IF(OR(H176="Atrasado",K176="Sin venta",N176="Pendiente relevante",P176="Crítico"),"Alta",IF(OR(K176="Venta baja",N176="Pendiente menor",P176="Observar"),"Media","Baja")))</f>
        <v/>
      </c>
      <c r="R176" s="48">
        <f>IF(A176="","",IF(Q176="Alta","Gestionar esta semana",IF(Q176="Media","Hacer seguimiento","Mantener")))</f>
        <v/>
      </c>
      <c r="S176" s="68">
        <f>IF(A176="","",IF(I176=0,"Sin venta",IF(I176&gt;=cfg_VentaAlta,"Alta",IF(I176&lt;cfg_VentaBaja,"Baja","Media"))))</f>
        <v/>
      </c>
    </row>
    <row r="177">
      <c r="A177" s="48">
        <f>IF(Clientes_PDV!A177="","",Clientes_PDV!A177)</f>
        <v/>
      </c>
      <c r="B177" s="48">
        <f>IF(A177="","",IFERROR(VLOOKUP(A177,Clientes_PDV!$A$2:$J$250,2,FALSE),""))</f>
        <v/>
      </c>
      <c r="C177" s="48">
        <f>IF(A177="","",IFERROR(VLOOKUP(A177,Clientes_PDV!$A$2:$J$250,3,FALSE),""))</f>
        <v/>
      </c>
      <c r="D177" s="48">
        <f>IF(A177="","",IFERROR(VLOOKUP(A177,Clientes_PDV!$A$2:$J$250,4,FALSE),""))</f>
        <v/>
      </c>
      <c r="E177" s="48">
        <f>IF(A177="","",IFERROR(VLOOKUP(A177,Clientes_PDV!$A$2:$J$250,7,FALSE),""))</f>
        <v/>
      </c>
      <c r="F177" s="49">
        <f>IF(A177="","",IFERROR(VLOOKUP(A177,Clientes_PDV!$A$2:$J$250,8,FALSE),""))</f>
        <v/>
      </c>
      <c r="G177" s="50">
        <f>IF(F177="","",TODAY()-F177)</f>
        <v/>
      </c>
      <c r="H177" s="48">
        <f>IF(A177="","",IF(F177="","Sin visita",IF(G177&lt;=IFERROR(VLOOKUP(E177,Inicio!$A$24:$B$26,2,FALSE),0),"Vigente","Atrasado")))</f>
        <v/>
      </c>
      <c r="I177" s="51">
        <f>IF(A177="","",SUMIFS(Ventas_SellIn!$L$2:$L$800,Ventas_SellIn!$D$2:$D$800,A177,Ventas_SellIn!$B$2:$B$800,"&gt;="&amp;TODAY()-Inicio!$B$14))</f>
        <v/>
      </c>
      <c r="J177" s="50">
        <f>IF(A177="","",SUMIFS(SellOut_Jumbo!$F$2:$F$800,SellOut_Jumbo!$C$2:$C$800,D177,SellOut_Jumbo!$A$2:$A$800,"&gt;="&amp;TODAY()-Inicio!$B$14))</f>
        <v/>
      </c>
      <c r="K177" s="48">
        <f>IF(A177="","",IF(I177=0,"Sin venta",IF(I177&lt;Inicio!$B$15,"Venta baja","Venta OK")))</f>
        <v/>
      </c>
      <c r="L177" s="50">
        <f>IF(A177="","",COUNTIFS(Ventas_SellIn!$D$2:$D$800,A177,Ventas_SellIn!$R$2:$R$800,"&gt;0"))</f>
        <v/>
      </c>
      <c r="M177" s="51">
        <f>IF(A177="","",SUMIFS(Ventas_SellIn!$R$2:$R$800,Ventas_SellIn!$D$2:$D$800,A177))</f>
        <v/>
      </c>
      <c r="N177" s="48">
        <f>IF(A177="","",IF(M177&gt;=Inicio!$B$18,"Pendiente relevante",IF(M177&gt;0,"Pendiente menor","Sin deuda")))</f>
        <v/>
      </c>
      <c r="O177" s="50">
        <f>IF(A177="","",SUMIFS(Stock_PDV!$H$2:$H$800,Stock_PDV!$A$2:$A$800,A177))</f>
        <v/>
      </c>
      <c r="P177" s="48">
        <f>IF(A177="","",IF(O177&lt;=Inicio!$B$16,"Crítico",IF(O177&lt;=Inicio!$B$17,"Observar","OK")))</f>
        <v/>
      </c>
      <c r="Q177" s="48">
        <f>IF(A177="","",IF(OR(H177="Atrasado",K177="Sin venta",N177="Pendiente relevante",P177="Crítico"),"Alta",IF(OR(K177="Venta baja",N177="Pendiente menor",P177="Observar"),"Media","Baja")))</f>
        <v/>
      </c>
      <c r="R177" s="48">
        <f>IF(A177="","",IF(Q177="Alta","Gestionar esta semana",IF(Q177="Media","Hacer seguimiento","Mantener")))</f>
        <v/>
      </c>
      <c r="S177" s="68">
        <f>IF(A177="","",IF(I177=0,"Sin venta",IF(I177&gt;=cfg_VentaAlta,"Alta",IF(I177&lt;cfg_VentaBaja,"Baja","Media"))))</f>
        <v/>
      </c>
    </row>
    <row r="178">
      <c r="A178" s="48">
        <f>IF(Clientes_PDV!A178="","",Clientes_PDV!A178)</f>
        <v/>
      </c>
      <c r="B178" s="48">
        <f>IF(A178="","",IFERROR(VLOOKUP(A178,Clientes_PDV!$A$2:$J$250,2,FALSE),""))</f>
        <v/>
      </c>
      <c r="C178" s="48">
        <f>IF(A178="","",IFERROR(VLOOKUP(A178,Clientes_PDV!$A$2:$J$250,3,FALSE),""))</f>
        <v/>
      </c>
      <c r="D178" s="48">
        <f>IF(A178="","",IFERROR(VLOOKUP(A178,Clientes_PDV!$A$2:$J$250,4,FALSE),""))</f>
        <v/>
      </c>
      <c r="E178" s="48">
        <f>IF(A178="","",IFERROR(VLOOKUP(A178,Clientes_PDV!$A$2:$J$250,7,FALSE),""))</f>
        <v/>
      </c>
      <c r="F178" s="49">
        <f>IF(A178="","",IFERROR(VLOOKUP(A178,Clientes_PDV!$A$2:$J$250,8,FALSE),""))</f>
        <v/>
      </c>
      <c r="G178" s="50">
        <f>IF(F178="","",TODAY()-F178)</f>
        <v/>
      </c>
      <c r="H178" s="48">
        <f>IF(A178="","",IF(F178="","Sin visita",IF(G178&lt;=IFERROR(VLOOKUP(E178,Inicio!$A$24:$B$26,2,FALSE),0),"Vigente","Atrasado")))</f>
        <v/>
      </c>
      <c r="I178" s="51">
        <f>IF(A178="","",SUMIFS(Ventas_SellIn!$L$2:$L$800,Ventas_SellIn!$D$2:$D$800,A178,Ventas_SellIn!$B$2:$B$800,"&gt;="&amp;TODAY()-Inicio!$B$14))</f>
        <v/>
      </c>
      <c r="J178" s="50">
        <f>IF(A178="","",SUMIFS(SellOut_Jumbo!$F$2:$F$800,SellOut_Jumbo!$C$2:$C$800,D178,SellOut_Jumbo!$A$2:$A$800,"&gt;="&amp;TODAY()-Inicio!$B$14))</f>
        <v/>
      </c>
      <c r="K178" s="48">
        <f>IF(A178="","",IF(I178=0,"Sin venta",IF(I178&lt;Inicio!$B$15,"Venta baja","Venta OK")))</f>
        <v/>
      </c>
      <c r="L178" s="50">
        <f>IF(A178="","",COUNTIFS(Ventas_SellIn!$D$2:$D$800,A178,Ventas_SellIn!$R$2:$R$800,"&gt;0"))</f>
        <v/>
      </c>
      <c r="M178" s="51">
        <f>IF(A178="","",SUMIFS(Ventas_SellIn!$R$2:$R$800,Ventas_SellIn!$D$2:$D$800,A178))</f>
        <v/>
      </c>
      <c r="N178" s="48">
        <f>IF(A178="","",IF(M178&gt;=Inicio!$B$18,"Pendiente relevante",IF(M178&gt;0,"Pendiente menor","Sin deuda")))</f>
        <v/>
      </c>
      <c r="O178" s="50">
        <f>IF(A178="","",SUMIFS(Stock_PDV!$H$2:$H$800,Stock_PDV!$A$2:$A$800,A178))</f>
        <v/>
      </c>
      <c r="P178" s="48">
        <f>IF(A178="","",IF(O178&lt;=Inicio!$B$16,"Crítico",IF(O178&lt;=Inicio!$B$17,"Observar","OK")))</f>
        <v/>
      </c>
      <c r="Q178" s="48">
        <f>IF(A178="","",IF(OR(H178="Atrasado",K178="Sin venta",N178="Pendiente relevante",P178="Crítico"),"Alta",IF(OR(K178="Venta baja",N178="Pendiente menor",P178="Observar"),"Media","Baja")))</f>
        <v/>
      </c>
      <c r="R178" s="48">
        <f>IF(A178="","",IF(Q178="Alta","Gestionar esta semana",IF(Q178="Media","Hacer seguimiento","Mantener")))</f>
        <v/>
      </c>
      <c r="S178" s="68">
        <f>IF(A178="","",IF(I178=0,"Sin venta",IF(I178&gt;=cfg_VentaAlta,"Alta",IF(I178&lt;cfg_VentaBaja,"Baja","Media"))))</f>
        <v/>
      </c>
    </row>
    <row r="179">
      <c r="A179" s="48">
        <f>IF(Clientes_PDV!A179="","",Clientes_PDV!A179)</f>
        <v/>
      </c>
      <c r="B179" s="48">
        <f>IF(A179="","",IFERROR(VLOOKUP(A179,Clientes_PDV!$A$2:$J$250,2,FALSE),""))</f>
        <v/>
      </c>
      <c r="C179" s="48">
        <f>IF(A179="","",IFERROR(VLOOKUP(A179,Clientes_PDV!$A$2:$J$250,3,FALSE),""))</f>
        <v/>
      </c>
      <c r="D179" s="48">
        <f>IF(A179="","",IFERROR(VLOOKUP(A179,Clientes_PDV!$A$2:$J$250,4,FALSE),""))</f>
        <v/>
      </c>
      <c r="E179" s="48">
        <f>IF(A179="","",IFERROR(VLOOKUP(A179,Clientes_PDV!$A$2:$J$250,7,FALSE),""))</f>
        <v/>
      </c>
      <c r="F179" s="49">
        <f>IF(A179="","",IFERROR(VLOOKUP(A179,Clientes_PDV!$A$2:$J$250,8,FALSE),""))</f>
        <v/>
      </c>
      <c r="G179" s="50">
        <f>IF(F179="","",TODAY()-F179)</f>
        <v/>
      </c>
      <c r="H179" s="48">
        <f>IF(A179="","",IF(F179="","Sin visita",IF(G179&lt;=IFERROR(VLOOKUP(E179,Inicio!$A$24:$B$26,2,FALSE),0),"Vigente","Atrasado")))</f>
        <v/>
      </c>
      <c r="I179" s="51">
        <f>IF(A179="","",SUMIFS(Ventas_SellIn!$L$2:$L$800,Ventas_SellIn!$D$2:$D$800,A179,Ventas_SellIn!$B$2:$B$800,"&gt;="&amp;TODAY()-Inicio!$B$14))</f>
        <v/>
      </c>
      <c r="J179" s="50">
        <f>IF(A179="","",SUMIFS(SellOut_Jumbo!$F$2:$F$800,SellOut_Jumbo!$C$2:$C$800,D179,SellOut_Jumbo!$A$2:$A$800,"&gt;="&amp;TODAY()-Inicio!$B$14))</f>
        <v/>
      </c>
      <c r="K179" s="48">
        <f>IF(A179="","",IF(I179=0,"Sin venta",IF(I179&lt;Inicio!$B$15,"Venta baja","Venta OK")))</f>
        <v/>
      </c>
      <c r="L179" s="50">
        <f>IF(A179="","",COUNTIFS(Ventas_SellIn!$D$2:$D$800,A179,Ventas_SellIn!$R$2:$R$800,"&gt;0"))</f>
        <v/>
      </c>
      <c r="M179" s="51">
        <f>IF(A179="","",SUMIFS(Ventas_SellIn!$R$2:$R$800,Ventas_SellIn!$D$2:$D$800,A179))</f>
        <v/>
      </c>
      <c r="N179" s="48">
        <f>IF(A179="","",IF(M179&gt;=Inicio!$B$18,"Pendiente relevante",IF(M179&gt;0,"Pendiente menor","Sin deuda")))</f>
        <v/>
      </c>
      <c r="O179" s="50">
        <f>IF(A179="","",SUMIFS(Stock_PDV!$H$2:$H$800,Stock_PDV!$A$2:$A$800,A179))</f>
        <v/>
      </c>
      <c r="P179" s="48">
        <f>IF(A179="","",IF(O179&lt;=Inicio!$B$16,"Crítico",IF(O179&lt;=Inicio!$B$17,"Observar","OK")))</f>
        <v/>
      </c>
      <c r="Q179" s="48">
        <f>IF(A179="","",IF(OR(H179="Atrasado",K179="Sin venta",N179="Pendiente relevante",P179="Crítico"),"Alta",IF(OR(K179="Venta baja",N179="Pendiente menor",P179="Observar"),"Media","Baja")))</f>
        <v/>
      </c>
      <c r="R179" s="48">
        <f>IF(A179="","",IF(Q179="Alta","Gestionar esta semana",IF(Q179="Media","Hacer seguimiento","Mantener")))</f>
        <v/>
      </c>
      <c r="S179" s="68">
        <f>IF(A179="","",IF(I179=0,"Sin venta",IF(I179&gt;=cfg_VentaAlta,"Alta",IF(I179&lt;cfg_VentaBaja,"Baja","Media"))))</f>
        <v/>
      </c>
    </row>
    <row r="180">
      <c r="A180" s="48">
        <f>IF(Clientes_PDV!A180="","",Clientes_PDV!A180)</f>
        <v/>
      </c>
      <c r="B180" s="48">
        <f>IF(A180="","",IFERROR(VLOOKUP(A180,Clientes_PDV!$A$2:$J$250,2,FALSE),""))</f>
        <v/>
      </c>
      <c r="C180" s="48">
        <f>IF(A180="","",IFERROR(VLOOKUP(A180,Clientes_PDV!$A$2:$J$250,3,FALSE),""))</f>
        <v/>
      </c>
      <c r="D180" s="48">
        <f>IF(A180="","",IFERROR(VLOOKUP(A180,Clientes_PDV!$A$2:$J$250,4,FALSE),""))</f>
        <v/>
      </c>
      <c r="E180" s="48">
        <f>IF(A180="","",IFERROR(VLOOKUP(A180,Clientes_PDV!$A$2:$J$250,7,FALSE),""))</f>
        <v/>
      </c>
      <c r="F180" s="49">
        <f>IF(A180="","",IFERROR(VLOOKUP(A180,Clientes_PDV!$A$2:$J$250,8,FALSE),""))</f>
        <v/>
      </c>
      <c r="G180" s="50">
        <f>IF(F180="","",TODAY()-F180)</f>
        <v/>
      </c>
      <c r="H180" s="48">
        <f>IF(A180="","",IF(F180="","Sin visita",IF(G180&lt;=IFERROR(VLOOKUP(E180,Inicio!$A$24:$B$26,2,FALSE),0),"Vigente","Atrasado")))</f>
        <v/>
      </c>
      <c r="I180" s="51">
        <f>IF(A180="","",SUMIFS(Ventas_SellIn!$L$2:$L$800,Ventas_SellIn!$D$2:$D$800,A180,Ventas_SellIn!$B$2:$B$800,"&gt;="&amp;TODAY()-Inicio!$B$14))</f>
        <v/>
      </c>
      <c r="J180" s="50">
        <f>IF(A180="","",SUMIFS(SellOut_Jumbo!$F$2:$F$800,SellOut_Jumbo!$C$2:$C$800,D180,SellOut_Jumbo!$A$2:$A$800,"&gt;="&amp;TODAY()-Inicio!$B$14))</f>
        <v/>
      </c>
      <c r="K180" s="48">
        <f>IF(A180="","",IF(I180=0,"Sin venta",IF(I180&lt;Inicio!$B$15,"Venta baja","Venta OK")))</f>
        <v/>
      </c>
      <c r="L180" s="50">
        <f>IF(A180="","",COUNTIFS(Ventas_SellIn!$D$2:$D$800,A180,Ventas_SellIn!$R$2:$R$800,"&gt;0"))</f>
        <v/>
      </c>
      <c r="M180" s="51">
        <f>IF(A180="","",SUMIFS(Ventas_SellIn!$R$2:$R$800,Ventas_SellIn!$D$2:$D$800,A180))</f>
        <v/>
      </c>
      <c r="N180" s="48">
        <f>IF(A180="","",IF(M180&gt;=Inicio!$B$18,"Pendiente relevante",IF(M180&gt;0,"Pendiente menor","Sin deuda")))</f>
        <v/>
      </c>
      <c r="O180" s="50">
        <f>IF(A180="","",SUMIFS(Stock_PDV!$H$2:$H$800,Stock_PDV!$A$2:$A$800,A180))</f>
        <v/>
      </c>
      <c r="P180" s="48">
        <f>IF(A180="","",IF(O180&lt;=Inicio!$B$16,"Crítico",IF(O180&lt;=Inicio!$B$17,"Observar","OK")))</f>
        <v/>
      </c>
      <c r="Q180" s="48">
        <f>IF(A180="","",IF(OR(H180="Atrasado",K180="Sin venta",N180="Pendiente relevante",P180="Crítico"),"Alta",IF(OR(K180="Venta baja",N180="Pendiente menor",P180="Observar"),"Media","Baja")))</f>
        <v/>
      </c>
      <c r="R180" s="48">
        <f>IF(A180="","",IF(Q180="Alta","Gestionar esta semana",IF(Q180="Media","Hacer seguimiento","Mantener")))</f>
        <v/>
      </c>
      <c r="S180" s="68">
        <f>IF(A180="","",IF(I180=0,"Sin venta",IF(I180&gt;=cfg_VentaAlta,"Alta",IF(I180&lt;cfg_VentaBaja,"Baja","Media"))))</f>
        <v/>
      </c>
    </row>
    <row r="181">
      <c r="A181" s="48">
        <f>IF(Clientes_PDV!A181="","",Clientes_PDV!A181)</f>
        <v/>
      </c>
      <c r="B181" s="48">
        <f>IF(A181="","",IFERROR(VLOOKUP(A181,Clientes_PDV!$A$2:$J$250,2,FALSE),""))</f>
        <v/>
      </c>
      <c r="C181" s="48">
        <f>IF(A181="","",IFERROR(VLOOKUP(A181,Clientes_PDV!$A$2:$J$250,3,FALSE),""))</f>
        <v/>
      </c>
      <c r="D181" s="48">
        <f>IF(A181="","",IFERROR(VLOOKUP(A181,Clientes_PDV!$A$2:$J$250,4,FALSE),""))</f>
        <v/>
      </c>
      <c r="E181" s="48">
        <f>IF(A181="","",IFERROR(VLOOKUP(A181,Clientes_PDV!$A$2:$J$250,7,FALSE),""))</f>
        <v/>
      </c>
      <c r="F181" s="49">
        <f>IF(A181="","",IFERROR(VLOOKUP(A181,Clientes_PDV!$A$2:$J$250,8,FALSE),""))</f>
        <v/>
      </c>
      <c r="G181" s="50">
        <f>IF(F181="","",TODAY()-F181)</f>
        <v/>
      </c>
      <c r="H181" s="48">
        <f>IF(A181="","",IF(F181="","Sin visita",IF(G181&lt;=IFERROR(VLOOKUP(E181,Inicio!$A$24:$B$26,2,FALSE),0),"Vigente","Atrasado")))</f>
        <v/>
      </c>
      <c r="I181" s="51">
        <f>IF(A181="","",SUMIFS(Ventas_SellIn!$L$2:$L$800,Ventas_SellIn!$D$2:$D$800,A181,Ventas_SellIn!$B$2:$B$800,"&gt;="&amp;TODAY()-Inicio!$B$14))</f>
        <v/>
      </c>
      <c r="J181" s="50">
        <f>IF(A181="","",SUMIFS(SellOut_Jumbo!$F$2:$F$800,SellOut_Jumbo!$C$2:$C$800,D181,SellOut_Jumbo!$A$2:$A$800,"&gt;="&amp;TODAY()-Inicio!$B$14))</f>
        <v/>
      </c>
      <c r="K181" s="48">
        <f>IF(A181="","",IF(I181=0,"Sin venta",IF(I181&lt;Inicio!$B$15,"Venta baja","Venta OK")))</f>
        <v/>
      </c>
      <c r="L181" s="50">
        <f>IF(A181="","",COUNTIFS(Ventas_SellIn!$D$2:$D$800,A181,Ventas_SellIn!$R$2:$R$800,"&gt;0"))</f>
        <v/>
      </c>
      <c r="M181" s="51">
        <f>IF(A181="","",SUMIFS(Ventas_SellIn!$R$2:$R$800,Ventas_SellIn!$D$2:$D$800,A181))</f>
        <v/>
      </c>
      <c r="N181" s="48">
        <f>IF(A181="","",IF(M181&gt;=Inicio!$B$18,"Pendiente relevante",IF(M181&gt;0,"Pendiente menor","Sin deuda")))</f>
        <v/>
      </c>
      <c r="O181" s="50">
        <f>IF(A181="","",SUMIFS(Stock_PDV!$H$2:$H$800,Stock_PDV!$A$2:$A$800,A181))</f>
        <v/>
      </c>
      <c r="P181" s="48">
        <f>IF(A181="","",IF(O181&lt;=Inicio!$B$16,"Crítico",IF(O181&lt;=Inicio!$B$17,"Observar","OK")))</f>
        <v/>
      </c>
      <c r="Q181" s="48">
        <f>IF(A181="","",IF(OR(H181="Atrasado",K181="Sin venta",N181="Pendiente relevante",P181="Crítico"),"Alta",IF(OR(K181="Venta baja",N181="Pendiente menor",P181="Observar"),"Media","Baja")))</f>
        <v/>
      </c>
      <c r="R181" s="48">
        <f>IF(A181="","",IF(Q181="Alta","Gestionar esta semana",IF(Q181="Media","Hacer seguimiento","Mantener")))</f>
        <v/>
      </c>
      <c r="S181" s="68">
        <f>IF(A181="","",IF(I181=0,"Sin venta",IF(I181&gt;=cfg_VentaAlta,"Alta",IF(I181&lt;cfg_VentaBaja,"Baja","Media"))))</f>
        <v/>
      </c>
    </row>
    <row r="182">
      <c r="A182" s="48">
        <f>IF(Clientes_PDV!A182="","",Clientes_PDV!A182)</f>
        <v/>
      </c>
      <c r="B182" s="48">
        <f>IF(A182="","",IFERROR(VLOOKUP(A182,Clientes_PDV!$A$2:$J$250,2,FALSE),""))</f>
        <v/>
      </c>
      <c r="C182" s="48">
        <f>IF(A182="","",IFERROR(VLOOKUP(A182,Clientes_PDV!$A$2:$J$250,3,FALSE),""))</f>
        <v/>
      </c>
      <c r="D182" s="48">
        <f>IF(A182="","",IFERROR(VLOOKUP(A182,Clientes_PDV!$A$2:$J$250,4,FALSE),""))</f>
        <v/>
      </c>
      <c r="E182" s="48">
        <f>IF(A182="","",IFERROR(VLOOKUP(A182,Clientes_PDV!$A$2:$J$250,7,FALSE),""))</f>
        <v/>
      </c>
      <c r="F182" s="49">
        <f>IF(A182="","",IFERROR(VLOOKUP(A182,Clientes_PDV!$A$2:$J$250,8,FALSE),""))</f>
        <v/>
      </c>
      <c r="G182" s="50">
        <f>IF(F182="","",TODAY()-F182)</f>
        <v/>
      </c>
      <c r="H182" s="48">
        <f>IF(A182="","",IF(F182="","Sin visita",IF(G182&lt;=IFERROR(VLOOKUP(E182,Inicio!$A$24:$B$26,2,FALSE),0),"Vigente","Atrasado")))</f>
        <v/>
      </c>
      <c r="I182" s="51">
        <f>IF(A182="","",SUMIFS(Ventas_SellIn!$L$2:$L$800,Ventas_SellIn!$D$2:$D$800,A182,Ventas_SellIn!$B$2:$B$800,"&gt;="&amp;TODAY()-Inicio!$B$14))</f>
        <v/>
      </c>
      <c r="J182" s="50">
        <f>IF(A182="","",SUMIFS(SellOut_Jumbo!$F$2:$F$800,SellOut_Jumbo!$C$2:$C$800,D182,SellOut_Jumbo!$A$2:$A$800,"&gt;="&amp;TODAY()-Inicio!$B$14))</f>
        <v/>
      </c>
      <c r="K182" s="48">
        <f>IF(A182="","",IF(I182=0,"Sin venta",IF(I182&lt;Inicio!$B$15,"Venta baja","Venta OK")))</f>
        <v/>
      </c>
      <c r="L182" s="50">
        <f>IF(A182="","",COUNTIFS(Ventas_SellIn!$D$2:$D$800,A182,Ventas_SellIn!$R$2:$R$800,"&gt;0"))</f>
        <v/>
      </c>
      <c r="M182" s="51">
        <f>IF(A182="","",SUMIFS(Ventas_SellIn!$R$2:$R$800,Ventas_SellIn!$D$2:$D$800,A182))</f>
        <v/>
      </c>
      <c r="N182" s="48">
        <f>IF(A182="","",IF(M182&gt;=Inicio!$B$18,"Pendiente relevante",IF(M182&gt;0,"Pendiente menor","Sin deuda")))</f>
        <v/>
      </c>
      <c r="O182" s="50">
        <f>IF(A182="","",SUMIFS(Stock_PDV!$H$2:$H$800,Stock_PDV!$A$2:$A$800,A182))</f>
        <v/>
      </c>
      <c r="P182" s="48">
        <f>IF(A182="","",IF(O182&lt;=Inicio!$B$16,"Crítico",IF(O182&lt;=Inicio!$B$17,"Observar","OK")))</f>
        <v/>
      </c>
      <c r="Q182" s="48">
        <f>IF(A182="","",IF(OR(H182="Atrasado",K182="Sin venta",N182="Pendiente relevante",P182="Crítico"),"Alta",IF(OR(K182="Venta baja",N182="Pendiente menor",P182="Observar"),"Media","Baja")))</f>
        <v/>
      </c>
      <c r="R182" s="48">
        <f>IF(A182="","",IF(Q182="Alta","Gestionar esta semana",IF(Q182="Media","Hacer seguimiento","Mantener")))</f>
        <v/>
      </c>
      <c r="S182" s="68">
        <f>IF(A182="","",IF(I182=0,"Sin venta",IF(I182&gt;=cfg_VentaAlta,"Alta",IF(I182&lt;cfg_VentaBaja,"Baja","Media"))))</f>
        <v/>
      </c>
    </row>
    <row r="183">
      <c r="A183" s="48">
        <f>IF(Clientes_PDV!A183="","",Clientes_PDV!A183)</f>
        <v/>
      </c>
      <c r="B183" s="48">
        <f>IF(A183="","",IFERROR(VLOOKUP(A183,Clientes_PDV!$A$2:$J$250,2,FALSE),""))</f>
        <v/>
      </c>
      <c r="C183" s="48">
        <f>IF(A183="","",IFERROR(VLOOKUP(A183,Clientes_PDV!$A$2:$J$250,3,FALSE),""))</f>
        <v/>
      </c>
      <c r="D183" s="48">
        <f>IF(A183="","",IFERROR(VLOOKUP(A183,Clientes_PDV!$A$2:$J$250,4,FALSE),""))</f>
        <v/>
      </c>
      <c r="E183" s="48">
        <f>IF(A183="","",IFERROR(VLOOKUP(A183,Clientes_PDV!$A$2:$J$250,7,FALSE),""))</f>
        <v/>
      </c>
      <c r="F183" s="49">
        <f>IF(A183="","",IFERROR(VLOOKUP(A183,Clientes_PDV!$A$2:$J$250,8,FALSE),""))</f>
        <v/>
      </c>
      <c r="G183" s="50">
        <f>IF(F183="","",TODAY()-F183)</f>
        <v/>
      </c>
      <c r="H183" s="48">
        <f>IF(A183="","",IF(F183="","Sin visita",IF(G183&lt;=IFERROR(VLOOKUP(E183,Inicio!$A$24:$B$26,2,FALSE),0),"Vigente","Atrasado")))</f>
        <v/>
      </c>
      <c r="I183" s="51">
        <f>IF(A183="","",SUMIFS(Ventas_SellIn!$L$2:$L$800,Ventas_SellIn!$D$2:$D$800,A183,Ventas_SellIn!$B$2:$B$800,"&gt;="&amp;TODAY()-Inicio!$B$14))</f>
        <v/>
      </c>
      <c r="J183" s="50">
        <f>IF(A183="","",SUMIFS(SellOut_Jumbo!$F$2:$F$800,SellOut_Jumbo!$C$2:$C$800,D183,SellOut_Jumbo!$A$2:$A$800,"&gt;="&amp;TODAY()-Inicio!$B$14))</f>
        <v/>
      </c>
      <c r="K183" s="48">
        <f>IF(A183="","",IF(I183=0,"Sin venta",IF(I183&lt;Inicio!$B$15,"Venta baja","Venta OK")))</f>
        <v/>
      </c>
      <c r="L183" s="50">
        <f>IF(A183="","",COUNTIFS(Ventas_SellIn!$D$2:$D$800,A183,Ventas_SellIn!$R$2:$R$800,"&gt;0"))</f>
        <v/>
      </c>
      <c r="M183" s="51">
        <f>IF(A183="","",SUMIFS(Ventas_SellIn!$R$2:$R$800,Ventas_SellIn!$D$2:$D$800,A183))</f>
        <v/>
      </c>
      <c r="N183" s="48">
        <f>IF(A183="","",IF(M183&gt;=Inicio!$B$18,"Pendiente relevante",IF(M183&gt;0,"Pendiente menor","Sin deuda")))</f>
        <v/>
      </c>
      <c r="O183" s="50">
        <f>IF(A183="","",SUMIFS(Stock_PDV!$H$2:$H$800,Stock_PDV!$A$2:$A$800,A183))</f>
        <v/>
      </c>
      <c r="P183" s="48">
        <f>IF(A183="","",IF(O183&lt;=Inicio!$B$16,"Crítico",IF(O183&lt;=Inicio!$B$17,"Observar","OK")))</f>
        <v/>
      </c>
      <c r="Q183" s="48">
        <f>IF(A183="","",IF(OR(H183="Atrasado",K183="Sin venta",N183="Pendiente relevante",P183="Crítico"),"Alta",IF(OR(K183="Venta baja",N183="Pendiente menor",P183="Observar"),"Media","Baja")))</f>
        <v/>
      </c>
      <c r="R183" s="48">
        <f>IF(A183="","",IF(Q183="Alta","Gestionar esta semana",IF(Q183="Media","Hacer seguimiento","Mantener")))</f>
        <v/>
      </c>
      <c r="S183" s="68">
        <f>IF(A183="","",IF(I183=0,"Sin venta",IF(I183&gt;=cfg_VentaAlta,"Alta",IF(I183&lt;cfg_VentaBaja,"Baja","Media"))))</f>
        <v/>
      </c>
    </row>
    <row r="184">
      <c r="A184" s="48">
        <f>IF(Clientes_PDV!A184="","",Clientes_PDV!A184)</f>
        <v/>
      </c>
      <c r="B184" s="48">
        <f>IF(A184="","",IFERROR(VLOOKUP(A184,Clientes_PDV!$A$2:$J$250,2,FALSE),""))</f>
        <v/>
      </c>
      <c r="C184" s="48">
        <f>IF(A184="","",IFERROR(VLOOKUP(A184,Clientes_PDV!$A$2:$J$250,3,FALSE),""))</f>
        <v/>
      </c>
      <c r="D184" s="48">
        <f>IF(A184="","",IFERROR(VLOOKUP(A184,Clientes_PDV!$A$2:$J$250,4,FALSE),""))</f>
        <v/>
      </c>
      <c r="E184" s="48">
        <f>IF(A184="","",IFERROR(VLOOKUP(A184,Clientes_PDV!$A$2:$J$250,7,FALSE),""))</f>
        <v/>
      </c>
      <c r="F184" s="49">
        <f>IF(A184="","",IFERROR(VLOOKUP(A184,Clientes_PDV!$A$2:$J$250,8,FALSE),""))</f>
        <v/>
      </c>
      <c r="G184" s="50">
        <f>IF(F184="","",TODAY()-F184)</f>
        <v/>
      </c>
      <c r="H184" s="48">
        <f>IF(A184="","",IF(F184="","Sin visita",IF(G184&lt;=IFERROR(VLOOKUP(E184,Inicio!$A$24:$B$26,2,FALSE),0),"Vigente","Atrasado")))</f>
        <v/>
      </c>
      <c r="I184" s="51">
        <f>IF(A184="","",SUMIFS(Ventas_SellIn!$L$2:$L$800,Ventas_SellIn!$D$2:$D$800,A184,Ventas_SellIn!$B$2:$B$800,"&gt;="&amp;TODAY()-Inicio!$B$14))</f>
        <v/>
      </c>
      <c r="J184" s="50">
        <f>IF(A184="","",SUMIFS(SellOut_Jumbo!$F$2:$F$800,SellOut_Jumbo!$C$2:$C$800,D184,SellOut_Jumbo!$A$2:$A$800,"&gt;="&amp;TODAY()-Inicio!$B$14))</f>
        <v/>
      </c>
      <c r="K184" s="48">
        <f>IF(A184="","",IF(I184=0,"Sin venta",IF(I184&lt;Inicio!$B$15,"Venta baja","Venta OK")))</f>
        <v/>
      </c>
      <c r="L184" s="50">
        <f>IF(A184="","",COUNTIFS(Ventas_SellIn!$D$2:$D$800,A184,Ventas_SellIn!$R$2:$R$800,"&gt;0"))</f>
        <v/>
      </c>
      <c r="M184" s="51">
        <f>IF(A184="","",SUMIFS(Ventas_SellIn!$R$2:$R$800,Ventas_SellIn!$D$2:$D$800,A184))</f>
        <v/>
      </c>
      <c r="N184" s="48">
        <f>IF(A184="","",IF(M184&gt;=Inicio!$B$18,"Pendiente relevante",IF(M184&gt;0,"Pendiente menor","Sin deuda")))</f>
        <v/>
      </c>
      <c r="O184" s="50">
        <f>IF(A184="","",SUMIFS(Stock_PDV!$H$2:$H$800,Stock_PDV!$A$2:$A$800,A184))</f>
        <v/>
      </c>
      <c r="P184" s="48">
        <f>IF(A184="","",IF(O184&lt;=Inicio!$B$16,"Crítico",IF(O184&lt;=Inicio!$B$17,"Observar","OK")))</f>
        <v/>
      </c>
      <c r="Q184" s="48">
        <f>IF(A184="","",IF(OR(H184="Atrasado",K184="Sin venta",N184="Pendiente relevante",P184="Crítico"),"Alta",IF(OR(K184="Venta baja",N184="Pendiente menor",P184="Observar"),"Media","Baja")))</f>
        <v/>
      </c>
      <c r="R184" s="48">
        <f>IF(A184="","",IF(Q184="Alta","Gestionar esta semana",IF(Q184="Media","Hacer seguimiento","Mantener")))</f>
        <v/>
      </c>
      <c r="S184" s="68">
        <f>IF(A184="","",IF(I184=0,"Sin venta",IF(I184&gt;=cfg_VentaAlta,"Alta",IF(I184&lt;cfg_VentaBaja,"Baja","Media"))))</f>
        <v/>
      </c>
    </row>
    <row r="185">
      <c r="A185" s="48">
        <f>IF(Clientes_PDV!A185="","",Clientes_PDV!A185)</f>
        <v/>
      </c>
      <c r="B185" s="48">
        <f>IF(A185="","",IFERROR(VLOOKUP(A185,Clientes_PDV!$A$2:$J$250,2,FALSE),""))</f>
        <v/>
      </c>
      <c r="C185" s="48">
        <f>IF(A185="","",IFERROR(VLOOKUP(A185,Clientes_PDV!$A$2:$J$250,3,FALSE),""))</f>
        <v/>
      </c>
      <c r="D185" s="48">
        <f>IF(A185="","",IFERROR(VLOOKUP(A185,Clientes_PDV!$A$2:$J$250,4,FALSE),""))</f>
        <v/>
      </c>
      <c r="E185" s="48">
        <f>IF(A185="","",IFERROR(VLOOKUP(A185,Clientes_PDV!$A$2:$J$250,7,FALSE),""))</f>
        <v/>
      </c>
      <c r="F185" s="49">
        <f>IF(A185="","",IFERROR(VLOOKUP(A185,Clientes_PDV!$A$2:$J$250,8,FALSE),""))</f>
        <v/>
      </c>
      <c r="G185" s="50">
        <f>IF(F185="","",TODAY()-F185)</f>
        <v/>
      </c>
      <c r="H185" s="48">
        <f>IF(A185="","",IF(F185="","Sin visita",IF(G185&lt;=IFERROR(VLOOKUP(E185,Inicio!$A$24:$B$26,2,FALSE),0),"Vigente","Atrasado")))</f>
        <v/>
      </c>
      <c r="I185" s="51">
        <f>IF(A185="","",SUMIFS(Ventas_SellIn!$L$2:$L$800,Ventas_SellIn!$D$2:$D$800,A185,Ventas_SellIn!$B$2:$B$800,"&gt;="&amp;TODAY()-Inicio!$B$14))</f>
        <v/>
      </c>
      <c r="J185" s="50">
        <f>IF(A185="","",SUMIFS(SellOut_Jumbo!$F$2:$F$800,SellOut_Jumbo!$C$2:$C$800,D185,SellOut_Jumbo!$A$2:$A$800,"&gt;="&amp;TODAY()-Inicio!$B$14))</f>
        <v/>
      </c>
      <c r="K185" s="48">
        <f>IF(A185="","",IF(I185=0,"Sin venta",IF(I185&lt;Inicio!$B$15,"Venta baja","Venta OK")))</f>
        <v/>
      </c>
      <c r="L185" s="50">
        <f>IF(A185="","",COUNTIFS(Ventas_SellIn!$D$2:$D$800,A185,Ventas_SellIn!$R$2:$R$800,"&gt;0"))</f>
        <v/>
      </c>
      <c r="M185" s="51">
        <f>IF(A185="","",SUMIFS(Ventas_SellIn!$R$2:$R$800,Ventas_SellIn!$D$2:$D$800,A185))</f>
        <v/>
      </c>
      <c r="N185" s="48">
        <f>IF(A185="","",IF(M185&gt;=Inicio!$B$18,"Pendiente relevante",IF(M185&gt;0,"Pendiente menor","Sin deuda")))</f>
        <v/>
      </c>
      <c r="O185" s="50">
        <f>IF(A185="","",SUMIFS(Stock_PDV!$H$2:$H$800,Stock_PDV!$A$2:$A$800,A185))</f>
        <v/>
      </c>
      <c r="P185" s="48">
        <f>IF(A185="","",IF(O185&lt;=Inicio!$B$16,"Crítico",IF(O185&lt;=Inicio!$B$17,"Observar","OK")))</f>
        <v/>
      </c>
      <c r="Q185" s="48">
        <f>IF(A185="","",IF(OR(H185="Atrasado",K185="Sin venta",N185="Pendiente relevante",P185="Crítico"),"Alta",IF(OR(K185="Venta baja",N185="Pendiente menor",P185="Observar"),"Media","Baja")))</f>
        <v/>
      </c>
      <c r="R185" s="48">
        <f>IF(A185="","",IF(Q185="Alta","Gestionar esta semana",IF(Q185="Media","Hacer seguimiento","Mantener")))</f>
        <v/>
      </c>
      <c r="S185" s="68">
        <f>IF(A185="","",IF(I185=0,"Sin venta",IF(I185&gt;=cfg_VentaAlta,"Alta",IF(I185&lt;cfg_VentaBaja,"Baja","Media"))))</f>
        <v/>
      </c>
    </row>
    <row r="186">
      <c r="A186" s="48">
        <f>IF(Clientes_PDV!A186="","",Clientes_PDV!A186)</f>
        <v/>
      </c>
      <c r="B186" s="48">
        <f>IF(A186="","",IFERROR(VLOOKUP(A186,Clientes_PDV!$A$2:$J$250,2,FALSE),""))</f>
        <v/>
      </c>
      <c r="C186" s="48">
        <f>IF(A186="","",IFERROR(VLOOKUP(A186,Clientes_PDV!$A$2:$J$250,3,FALSE),""))</f>
        <v/>
      </c>
      <c r="D186" s="48">
        <f>IF(A186="","",IFERROR(VLOOKUP(A186,Clientes_PDV!$A$2:$J$250,4,FALSE),""))</f>
        <v/>
      </c>
      <c r="E186" s="48">
        <f>IF(A186="","",IFERROR(VLOOKUP(A186,Clientes_PDV!$A$2:$J$250,7,FALSE),""))</f>
        <v/>
      </c>
      <c r="F186" s="49">
        <f>IF(A186="","",IFERROR(VLOOKUP(A186,Clientes_PDV!$A$2:$J$250,8,FALSE),""))</f>
        <v/>
      </c>
      <c r="G186" s="50">
        <f>IF(F186="","",TODAY()-F186)</f>
        <v/>
      </c>
      <c r="H186" s="48">
        <f>IF(A186="","",IF(F186="","Sin visita",IF(G186&lt;=IFERROR(VLOOKUP(E186,Inicio!$A$24:$B$26,2,FALSE),0),"Vigente","Atrasado")))</f>
        <v/>
      </c>
      <c r="I186" s="51">
        <f>IF(A186="","",SUMIFS(Ventas_SellIn!$L$2:$L$800,Ventas_SellIn!$D$2:$D$800,A186,Ventas_SellIn!$B$2:$B$800,"&gt;="&amp;TODAY()-Inicio!$B$14))</f>
        <v/>
      </c>
      <c r="J186" s="50">
        <f>IF(A186="","",SUMIFS(SellOut_Jumbo!$F$2:$F$800,SellOut_Jumbo!$C$2:$C$800,D186,SellOut_Jumbo!$A$2:$A$800,"&gt;="&amp;TODAY()-Inicio!$B$14))</f>
        <v/>
      </c>
      <c r="K186" s="48">
        <f>IF(A186="","",IF(I186=0,"Sin venta",IF(I186&lt;Inicio!$B$15,"Venta baja","Venta OK")))</f>
        <v/>
      </c>
      <c r="L186" s="50">
        <f>IF(A186="","",COUNTIFS(Ventas_SellIn!$D$2:$D$800,A186,Ventas_SellIn!$R$2:$R$800,"&gt;0"))</f>
        <v/>
      </c>
      <c r="M186" s="51">
        <f>IF(A186="","",SUMIFS(Ventas_SellIn!$R$2:$R$800,Ventas_SellIn!$D$2:$D$800,A186))</f>
        <v/>
      </c>
      <c r="N186" s="48">
        <f>IF(A186="","",IF(M186&gt;=Inicio!$B$18,"Pendiente relevante",IF(M186&gt;0,"Pendiente menor","Sin deuda")))</f>
        <v/>
      </c>
      <c r="O186" s="50">
        <f>IF(A186="","",SUMIFS(Stock_PDV!$H$2:$H$800,Stock_PDV!$A$2:$A$800,A186))</f>
        <v/>
      </c>
      <c r="P186" s="48">
        <f>IF(A186="","",IF(O186&lt;=Inicio!$B$16,"Crítico",IF(O186&lt;=Inicio!$B$17,"Observar","OK")))</f>
        <v/>
      </c>
      <c r="Q186" s="48">
        <f>IF(A186="","",IF(OR(H186="Atrasado",K186="Sin venta",N186="Pendiente relevante",P186="Crítico"),"Alta",IF(OR(K186="Venta baja",N186="Pendiente menor",P186="Observar"),"Media","Baja")))</f>
        <v/>
      </c>
      <c r="R186" s="48">
        <f>IF(A186="","",IF(Q186="Alta","Gestionar esta semana",IF(Q186="Media","Hacer seguimiento","Mantener")))</f>
        <v/>
      </c>
      <c r="S186" s="68">
        <f>IF(A186="","",IF(I186=0,"Sin venta",IF(I186&gt;=cfg_VentaAlta,"Alta",IF(I186&lt;cfg_VentaBaja,"Baja","Media"))))</f>
        <v/>
      </c>
    </row>
    <row r="187">
      <c r="A187" s="48">
        <f>IF(Clientes_PDV!A187="","",Clientes_PDV!A187)</f>
        <v/>
      </c>
      <c r="B187" s="48">
        <f>IF(A187="","",IFERROR(VLOOKUP(A187,Clientes_PDV!$A$2:$J$250,2,FALSE),""))</f>
        <v/>
      </c>
      <c r="C187" s="48">
        <f>IF(A187="","",IFERROR(VLOOKUP(A187,Clientes_PDV!$A$2:$J$250,3,FALSE),""))</f>
        <v/>
      </c>
      <c r="D187" s="48">
        <f>IF(A187="","",IFERROR(VLOOKUP(A187,Clientes_PDV!$A$2:$J$250,4,FALSE),""))</f>
        <v/>
      </c>
      <c r="E187" s="48">
        <f>IF(A187="","",IFERROR(VLOOKUP(A187,Clientes_PDV!$A$2:$J$250,7,FALSE),""))</f>
        <v/>
      </c>
      <c r="F187" s="49">
        <f>IF(A187="","",IFERROR(VLOOKUP(A187,Clientes_PDV!$A$2:$J$250,8,FALSE),""))</f>
        <v/>
      </c>
      <c r="G187" s="50">
        <f>IF(F187="","",TODAY()-F187)</f>
        <v/>
      </c>
      <c r="H187" s="48">
        <f>IF(A187="","",IF(F187="","Sin visita",IF(G187&lt;=IFERROR(VLOOKUP(E187,Inicio!$A$24:$B$26,2,FALSE),0),"Vigente","Atrasado")))</f>
        <v/>
      </c>
      <c r="I187" s="51">
        <f>IF(A187="","",SUMIFS(Ventas_SellIn!$L$2:$L$800,Ventas_SellIn!$D$2:$D$800,A187,Ventas_SellIn!$B$2:$B$800,"&gt;="&amp;TODAY()-Inicio!$B$14))</f>
        <v/>
      </c>
      <c r="J187" s="50">
        <f>IF(A187="","",SUMIFS(SellOut_Jumbo!$F$2:$F$800,SellOut_Jumbo!$C$2:$C$800,D187,SellOut_Jumbo!$A$2:$A$800,"&gt;="&amp;TODAY()-Inicio!$B$14))</f>
        <v/>
      </c>
      <c r="K187" s="48">
        <f>IF(A187="","",IF(I187=0,"Sin venta",IF(I187&lt;Inicio!$B$15,"Venta baja","Venta OK")))</f>
        <v/>
      </c>
      <c r="L187" s="50">
        <f>IF(A187="","",COUNTIFS(Ventas_SellIn!$D$2:$D$800,A187,Ventas_SellIn!$R$2:$R$800,"&gt;0"))</f>
        <v/>
      </c>
      <c r="M187" s="51">
        <f>IF(A187="","",SUMIFS(Ventas_SellIn!$R$2:$R$800,Ventas_SellIn!$D$2:$D$800,A187))</f>
        <v/>
      </c>
      <c r="N187" s="48">
        <f>IF(A187="","",IF(M187&gt;=Inicio!$B$18,"Pendiente relevante",IF(M187&gt;0,"Pendiente menor","Sin deuda")))</f>
        <v/>
      </c>
      <c r="O187" s="50">
        <f>IF(A187="","",SUMIFS(Stock_PDV!$H$2:$H$800,Stock_PDV!$A$2:$A$800,A187))</f>
        <v/>
      </c>
      <c r="P187" s="48">
        <f>IF(A187="","",IF(O187&lt;=Inicio!$B$16,"Crítico",IF(O187&lt;=Inicio!$B$17,"Observar","OK")))</f>
        <v/>
      </c>
      <c r="Q187" s="48">
        <f>IF(A187="","",IF(OR(H187="Atrasado",K187="Sin venta",N187="Pendiente relevante",P187="Crítico"),"Alta",IF(OR(K187="Venta baja",N187="Pendiente menor",P187="Observar"),"Media","Baja")))</f>
        <v/>
      </c>
      <c r="R187" s="48">
        <f>IF(A187="","",IF(Q187="Alta","Gestionar esta semana",IF(Q187="Media","Hacer seguimiento","Mantener")))</f>
        <v/>
      </c>
      <c r="S187" s="68">
        <f>IF(A187="","",IF(I187=0,"Sin venta",IF(I187&gt;=cfg_VentaAlta,"Alta",IF(I187&lt;cfg_VentaBaja,"Baja","Media"))))</f>
        <v/>
      </c>
    </row>
    <row r="188">
      <c r="A188" s="48">
        <f>IF(Clientes_PDV!A188="","",Clientes_PDV!A188)</f>
        <v/>
      </c>
      <c r="B188" s="48">
        <f>IF(A188="","",IFERROR(VLOOKUP(A188,Clientes_PDV!$A$2:$J$250,2,FALSE),""))</f>
        <v/>
      </c>
      <c r="C188" s="48">
        <f>IF(A188="","",IFERROR(VLOOKUP(A188,Clientes_PDV!$A$2:$J$250,3,FALSE),""))</f>
        <v/>
      </c>
      <c r="D188" s="48">
        <f>IF(A188="","",IFERROR(VLOOKUP(A188,Clientes_PDV!$A$2:$J$250,4,FALSE),""))</f>
        <v/>
      </c>
      <c r="E188" s="48">
        <f>IF(A188="","",IFERROR(VLOOKUP(A188,Clientes_PDV!$A$2:$J$250,7,FALSE),""))</f>
        <v/>
      </c>
      <c r="F188" s="49">
        <f>IF(A188="","",IFERROR(VLOOKUP(A188,Clientes_PDV!$A$2:$J$250,8,FALSE),""))</f>
        <v/>
      </c>
      <c r="G188" s="50">
        <f>IF(F188="","",TODAY()-F188)</f>
        <v/>
      </c>
      <c r="H188" s="48">
        <f>IF(A188="","",IF(F188="","Sin visita",IF(G188&lt;=IFERROR(VLOOKUP(E188,Inicio!$A$24:$B$26,2,FALSE),0),"Vigente","Atrasado")))</f>
        <v/>
      </c>
      <c r="I188" s="51">
        <f>IF(A188="","",SUMIFS(Ventas_SellIn!$L$2:$L$800,Ventas_SellIn!$D$2:$D$800,A188,Ventas_SellIn!$B$2:$B$800,"&gt;="&amp;TODAY()-Inicio!$B$14))</f>
        <v/>
      </c>
      <c r="J188" s="50">
        <f>IF(A188="","",SUMIFS(SellOut_Jumbo!$F$2:$F$800,SellOut_Jumbo!$C$2:$C$800,D188,SellOut_Jumbo!$A$2:$A$800,"&gt;="&amp;TODAY()-Inicio!$B$14))</f>
        <v/>
      </c>
      <c r="K188" s="48">
        <f>IF(A188="","",IF(I188=0,"Sin venta",IF(I188&lt;Inicio!$B$15,"Venta baja","Venta OK")))</f>
        <v/>
      </c>
      <c r="L188" s="50">
        <f>IF(A188="","",COUNTIFS(Ventas_SellIn!$D$2:$D$800,A188,Ventas_SellIn!$R$2:$R$800,"&gt;0"))</f>
        <v/>
      </c>
      <c r="M188" s="51">
        <f>IF(A188="","",SUMIFS(Ventas_SellIn!$R$2:$R$800,Ventas_SellIn!$D$2:$D$800,A188))</f>
        <v/>
      </c>
      <c r="N188" s="48">
        <f>IF(A188="","",IF(M188&gt;=Inicio!$B$18,"Pendiente relevante",IF(M188&gt;0,"Pendiente menor","Sin deuda")))</f>
        <v/>
      </c>
      <c r="O188" s="50">
        <f>IF(A188="","",SUMIFS(Stock_PDV!$H$2:$H$800,Stock_PDV!$A$2:$A$800,A188))</f>
        <v/>
      </c>
      <c r="P188" s="48">
        <f>IF(A188="","",IF(O188&lt;=Inicio!$B$16,"Crítico",IF(O188&lt;=Inicio!$B$17,"Observar","OK")))</f>
        <v/>
      </c>
      <c r="Q188" s="48">
        <f>IF(A188="","",IF(OR(H188="Atrasado",K188="Sin venta",N188="Pendiente relevante",P188="Crítico"),"Alta",IF(OR(K188="Venta baja",N188="Pendiente menor",P188="Observar"),"Media","Baja")))</f>
        <v/>
      </c>
      <c r="R188" s="48">
        <f>IF(A188="","",IF(Q188="Alta","Gestionar esta semana",IF(Q188="Media","Hacer seguimiento","Mantener")))</f>
        <v/>
      </c>
      <c r="S188" s="68">
        <f>IF(A188="","",IF(I188=0,"Sin venta",IF(I188&gt;=cfg_VentaAlta,"Alta",IF(I188&lt;cfg_VentaBaja,"Baja","Media"))))</f>
        <v/>
      </c>
    </row>
    <row r="189">
      <c r="A189" s="48">
        <f>IF(Clientes_PDV!A189="","",Clientes_PDV!A189)</f>
        <v/>
      </c>
      <c r="B189" s="48">
        <f>IF(A189="","",IFERROR(VLOOKUP(A189,Clientes_PDV!$A$2:$J$250,2,FALSE),""))</f>
        <v/>
      </c>
      <c r="C189" s="48">
        <f>IF(A189="","",IFERROR(VLOOKUP(A189,Clientes_PDV!$A$2:$J$250,3,FALSE),""))</f>
        <v/>
      </c>
      <c r="D189" s="48">
        <f>IF(A189="","",IFERROR(VLOOKUP(A189,Clientes_PDV!$A$2:$J$250,4,FALSE),""))</f>
        <v/>
      </c>
      <c r="E189" s="48">
        <f>IF(A189="","",IFERROR(VLOOKUP(A189,Clientes_PDV!$A$2:$J$250,7,FALSE),""))</f>
        <v/>
      </c>
      <c r="F189" s="49">
        <f>IF(A189="","",IFERROR(VLOOKUP(A189,Clientes_PDV!$A$2:$J$250,8,FALSE),""))</f>
        <v/>
      </c>
      <c r="G189" s="50">
        <f>IF(F189="","",TODAY()-F189)</f>
        <v/>
      </c>
      <c r="H189" s="48">
        <f>IF(A189="","",IF(F189="","Sin visita",IF(G189&lt;=IFERROR(VLOOKUP(E189,Inicio!$A$24:$B$26,2,FALSE),0),"Vigente","Atrasado")))</f>
        <v/>
      </c>
      <c r="I189" s="51">
        <f>IF(A189="","",SUMIFS(Ventas_SellIn!$L$2:$L$800,Ventas_SellIn!$D$2:$D$800,A189,Ventas_SellIn!$B$2:$B$800,"&gt;="&amp;TODAY()-Inicio!$B$14))</f>
        <v/>
      </c>
      <c r="J189" s="50">
        <f>IF(A189="","",SUMIFS(SellOut_Jumbo!$F$2:$F$800,SellOut_Jumbo!$C$2:$C$800,D189,SellOut_Jumbo!$A$2:$A$800,"&gt;="&amp;TODAY()-Inicio!$B$14))</f>
        <v/>
      </c>
      <c r="K189" s="48">
        <f>IF(A189="","",IF(I189=0,"Sin venta",IF(I189&lt;Inicio!$B$15,"Venta baja","Venta OK")))</f>
        <v/>
      </c>
      <c r="L189" s="50">
        <f>IF(A189="","",COUNTIFS(Ventas_SellIn!$D$2:$D$800,A189,Ventas_SellIn!$R$2:$R$800,"&gt;0"))</f>
        <v/>
      </c>
      <c r="M189" s="51">
        <f>IF(A189="","",SUMIFS(Ventas_SellIn!$R$2:$R$800,Ventas_SellIn!$D$2:$D$800,A189))</f>
        <v/>
      </c>
      <c r="N189" s="48">
        <f>IF(A189="","",IF(M189&gt;=Inicio!$B$18,"Pendiente relevante",IF(M189&gt;0,"Pendiente menor","Sin deuda")))</f>
        <v/>
      </c>
      <c r="O189" s="50">
        <f>IF(A189="","",SUMIFS(Stock_PDV!$H$2:$H$800,Stock_PDV!$A$2:$A$800,A189))</f>
        <v/>
      </c>
      <c r="P189" s="48">
        <f>IF(A189="","",IF(O189&lt;=Inicio!$B$16,"Crítico",IF(O189&lt;=Inicio!$B$17,"Observar","OK")))</f>
        <v/>
      </c>
      <c r="Q189" s="48">
        <f>IF(A189="","",IF(OR(H189="Atrasado",K189="Sin venta",N189="Pendiente relevante",P189="Crítico"),"Alta",IF(OR(K189="Venta baja",N189="Pendiente menor",P189="Observar"),"Media","Baja")))</f>
        <v/>
      </c>
      <c r="R189" s="48">
        <f>IF(A189="","",IF(Q189="Alta","Gestionar esta semana",IF(Q189="Media","Hacer seguimiento","Mantener")))</f>
        <v/>
      </c>
      <c r="S189" s="68">
        <f>IF(A189="","",IF(I189=0,"Sin venta",IF(I189&gt;=cfg_VentaAlta,"Alta",IF(I189&lt;cfg_VentaBaja,"Baja","Media"))))</f>
        <v/>
      </c>
    </row>
    <row r="190">
      <c r="A190" s="48">
        <f>IF(Clientes_PDV!A190="","",Clientes_PDV!A190)</f>
        <v/>
      </c>
      <c r="B190" s="48">
        <f>IF(A190="","",IFERROR(VLOOKUP(A190,Clientes_PDV!$A$2:$J$250,2,FALSE),""))</f>
        <v/>
      </c>
      <c r="C190" s="48">
        <f>IF(A190="","",IFERROR(VLOOKUP(A190,Clientes_PDV!$A$2:$J$250,3,FALSE),""))</f>
        <v/>
      </c>
      <c r="D190" s="48">
        <f>IF(A190="","",IFERROR(VLOOKUP(A190,Clientes_PDV!$A$2:$J$250,4,FALSE),""))</f>
        <v/>
      </c>
      <c r="E190" s="48">
        <f>IF(A190="","",IFERROR(VLOOKUP(A190,Clientes_PDV!$A$2:$J$250,7,FALSE),""))</f>
        <v/>
      </c>
      <c r="F190" s="49">
        <f>IF(A190="","",IFERROR(VLOOKUP(A190,Clientes_PDV!$A$2:$J$250,8,FALSE),""))</f>
        <v/>
      </c>
      <c r="G190" s="50">
        <f>IF(F190="","",TODAY()-F190)</f>
        <v/>
      </c>
      <c r="H190" s="48">
        <f>IF(A190="","",IF(F190="","Sin visita",IF(G190&lt;=IFERROR(VLOOKUP(E190,Inicio!$A$24:$B$26,2,FALSE),0),"Vigente","Atrasado")))</f>
        <v/>
      </c>
      <c r="I190" s="51">
        <f>IF(A190="","",SUMIFS(Ventas_SellIn!$L$2:$L$800,Ventas_SellIn!$D$2:$D$800,A190,Ventas_SellIn!$B$2:$B$800,"&gt;="&amp;TODAY()-Inicio!$B$14))</f>
        <v/>
      </c>
      <c r="J190" s="50">
        <f>IF(A190="","",SUMIFS(SellOut_Jumbo!$F$2:$F$800,SellOut_Jumbo!$C$2:$C$800,D190,SellOut_Jumbo!$A$2:$A$800,"&gt;="&amp;TODAY()-Inicio!$B$14))</f>
        <v/>
      </c>
      <c r="K190" s="48">
        <f>IF(A190="","",IF(I190=0,"Sin venta",IF(I190&lt;Inicio!$B$15,"Venta baja","Venta OK")))</f>
        <v/>
      </c>
      <c r="L190" s="50">
        <f>IF(A190="","",COUNTIFS(Ventas_SellIn!$D$2:$D$800,A190,Ventas_SellIn!$R$2:$R$800,"&gt;0"))</f>
        <v/>
      </c>
      <c r="M190" s="51">
        <f>IF(A190="","",SUMIFS(Ventas_SellIn!$R$2:$R$800,Ventas_SellIn!$D$2:$D$800,A190))</f>
        <v/>
      </c>
      <c r="N190" s="48">
        <f>IF(A190="","",IF(M190&gt;=Inicio!$B$18,"Pendiente relevante",IF(M190&gt;0,"Pendiente menor","Sin deuda")))</f>
        <v/>
      </c>
      <c r="O190" s="50">
        <f>IF(A190="","",SUMIFS(Stock_PDV!$H$2:$H$800,Stock_PDV!$A$2:$A$800,A190))</f>
        <v/>
      </c>
      <c r="P190" s="48">
        <f>IF(A190="","",IF(O190&lt;=Inicio!$B$16,"Crítico",IF(O190&lt;=Inicio!$B$17,"Observar","OK")))</f>
        <v/>
      </c>
      <c r="Q190" s="48">
        <f>IF(A190="","",IF(OR(H190="Atrasado",K190="Sin venta",N190="Pendiente relevante",P190="Crítico"),"Alta",IF(OR(K190="Venta baja",N190="Pendiente menor",P190="Observar"),"Media","Baja")))</f>
        <v/>
      </c>
      <c r="R190" s="48">
        <f>IF(A190="","",IF(Q190="Alta","Gestionar esta semana",IF(Q190="Media","Hacer seguimiento","Mantener")))</f>
        <v/>
      </c>
      <c r="S190" s="68">
        <f>IF(A190="","",IF(I190=0,"Sin venta",IF(I190&gt;=cfg_VentaAlta,"Alta",IF(I190&lt;cfg_VentaBaja,"Baja","Media"))))</f>
        <v/>
      </c>
    </row>
    <row r="191">
      <c r="A191" s="48">
        <f>IF(Clientes_PDV!A191="","",Clientes_PDV!A191)</f>
        <v/>
      </c>
      <c r="B191" s="48">
        <f>IF(A191="","",IFERROR(VLOOKUP(A191,Clientes_PDV!$A$2:$J$250,2,FALSE),""))</f>
        <v/>
      </c>
      <c r="C191" s="48">
        <f>IF(A191="","",IFERROR(VLOOKUP(A191,Clientes_PDV!$A$2:$J$250,3,FALSE),""))</f>
        <v/>
      </c>
      <c r="D191" s="48">
        <f>IF(A191="","",IFERROR(VLOOKUP(A191,Clientes_PDV!$A$2:$J$250,4,FALSE),""))</f>
        <v/>
      </c>
      <c r="E191" s="48">
        <f>IF(A191="","",IFERROR(VLOOKUP(A191,Clientes_PDV!$A$2:$J$250,7,FALSE),""))</f>
        <v/>
      </c>
      <c r="F191" s="49">
        <f>IF(A191="","",IFERROR(VLOOKUP(A191,Clientes_PDV!$A$2:$J$250,8,FALSE),""))</f>
        <v/>
      </c>
      <c r="G191" s="50">
        <f>IF(F191="","",TODAY()-F191)</f>
        <v/>
      </c>
      <c r="H191" s="48">
        <f>IF(A191="","",IF(F191="","Sin visita",IF(G191&lt;=IFERROR(VLOOKUP(E191,Inicio!$A$24:$B$26,2,FALSE),0),"Vigente","Atrasado")))</f>
        <v/>
      </c>
      <c r="I191" s="51">
        <f>IF(A191="","",SUMIFS(Ventas_SellIn!$L$2:$L$800,Ventas_SellIn!$D$2:$D$800,A191,Ventas_SellIn!$B$2:$B$800,"&gt;="&amp;TODAY()-Inicio!$B$14))</f>
        <v/>
      </c>
      <c r="J191" s="50">
        <f>IF(A191="","",SUMIFS(SellOut_Jumbo!$F$2:$F$800,SellOut_Jumbo!$C$2:$C$800,D191,SellOut_Jumbo!$A$2:$A$800,"&gt;="&amp;TODAY()-Inicio!$B$14))</f>
        <v/>
      </c>
      <c r="K191" s="48">
        <f>IF(A191="","",IF(I191=0,"Sin venta",IF(I191&lt;Inicio!$B$15,"Venta baja","Venta OK")))</f>
        <v/>
      </c>
      <c r="L191" s="50">
        <f>IF(A191="","",COUNTIFS(Ventas_SellIn!$D$2:$D$800,A191,Ventas_SellIn!$R$2:$R$800,"&gt;0"))</f>
        <v/>
      </c>
      <c r="M191" s="51">
        <f>IF(A191="","",SUMIFS(Ventas_SellIn!$R$2:$R$800,Ventas_SellIn!$D$2:$D$800,A191))</f>
        <v/>
      </c>
      <c r="N191" s="48">
        <f>IF(A191="","",IF(M191&gt;=Inicio!$B$18,"Pendiente relevante",IF(M191&gt;0,"Pendiente menor","Sin deuda")))</f>
        <v/>
      </c>
      <c r="O191" s="50">
        <f>IF(A191="","",SUMIFS(Stock_PDV!$H$2:$H$800,Stock_PDV!$A$2:$A$800,A191))</f>
        <v/>
      </c>
      <c r="P191" s="48">
        <f>IF(A191="","",IF(O191&lt;=Inicio!$B$16,"Crítico",IF(O191&lt;=Inicio!$B$17,"Observar","OK")))</f>
        <v/>
      </c>
      <c r="Q191" s="48">
        <f>IF(A191="","",IF(OR(H191="Atrasado",K191="Sin venta",N191="Pendiente relevante",P191="Crítico"),"Alta",IF(OR(K191="Venta baja",N191="Pendiente menor",P191="Observar"),"Media","Baja")))</f>
        <v/>
      </c>
      <c r="R191" s="48">
        <f>IF(A191="","",IF(Q191="Alta","Gestionar esta semana",IF(Q191="Media","Hacer seguimiento","Mantener")))</f>
        <v/>
      </c>
      <c r="S191" s="68">
        <f>IF(A191="","",IF(I191=0,"Sin venta",IF(I191&gt;=cfg_VentaAlta,"Alta",IF(I191&lt;cfg_VentaBaja,"Baja","Media"))))</f>
        <v/>
      </c>
    </row>
    <row r="192">
      <c r="A192" s="48">
        <f>IF(Clientes_PDV!A192="","",Clientes_PDV!A192)</f>
        <v/>
      </c>
      <c r="B192" s="48">
        <f>IF(A192="","",IFERROR(VLOOKUP(A192,Clientes_PDV!$A$2:$J$250,2,FALSE),""))</f>
        <v/>
      </c>
      <c r="C192" s="48">
        <f>IF(A192="","",IFERROR(VLOOKUP(A192,Clientes_PDV!$A$2:$J$250,3,FALSE),""))</f>
        <v/>
      </c>
      <c r="D192" s="48">
        <f>IF(A192="","",IFERROR(VLOOKUP(A192,Clientes_PDV!$A$2:$J$250,4,FALSE),""))</f>
        <v/>
      </c>
      <c r="E192" s="48">
        <f>IF(A192="","",IFERROR(VLOOKUP(A192,Clientes_PDV!$A$2:$J$250,7,FALSE),""))</f>
        <v/>
      </c>
      <c r="F192" s="49">
        <f>IF(A192="","",IFERROR(VLOOKUP(A192,Clientes_PDV!$A$2:$J$250,8,FALSE),""))</f>
        <v/>
      </c>
      <c r="G192" s="50">
        <f>IF(F192="","",TODAY()-F192)</f>
        <v/>
      </c>
      <c r="H192" s="48">
        <f>IF(A192="","",IF(F192="","Sin visita",IF(G192&lt;=IFERROR(VLOOKUP(E192,Inicio!$A$24:$B$26,2,FALSE),0),"Vigente","Atrasado")))</f>
        <v/>
      </c>
      <c r="I192" s="51">
        <f>IF(A192="","",SUMIFS(Ventas_SellIn!$L$2:$L$800,Ventas_SellIn!$D$2:$D$800,A192,Ventas_SellIn!$B$2:$B$800,"&gt;="&amp;TODAY()-Inicio!$B$14))</f>
        <v/>
      </c>
      <c r="J192" s="50">
        <f>IF(A192="","",SUMIFS(SellOut_Jumbo!$F$2:$F$800,SellOut_Jumbo!$C$2:$C$800,D192,SellOut_Jumbo!$A$2:$A$800,"&gt;="&amp;TODAY()-Inicio!$B$14))</f>
        <v/>
      </c>
      <c r="K192" s="48">
        <f>IF(A192="","",IF(I192=0,"Sin venta",IF(I192&lt;Inicio!$B$15,"Venta baja","Venta OK")))</f>
        <v/>
      </c>
      <c r="L192" s="50">
        <f>IF(A192="","",COUNTIFS(Ventas_SellIn!$D$2:$D$800,A192,Ventas_SellIn!$R$2:$R$800,"&gt;0"))</f>
        <v/>
      </c>
      <c r="M192" s="51">
        <f>IF(A192="","",SUMIFS(Ventas_SellIn!$R$2:$R$800,Ventas_SellIn!$D$2:$D$800,A192))</f>
        <v/>
      </c>
      <c r="N192" s="48">
        <f>IF(A192="","",IF(M192&gt;=Inicio!$B$18,"Pendiente relevante",IF(M192&gt;0,"Pendiente menor","Sin deuda")))</f>
        <v/>
      </c>
      <c r="O192" s="50">
        <f>IF(A192="","",SUMIFS(Stock_PDV!$H$2:$H$800,Stock_PDV!$A$2:$A$800,A192))</f>
        <v/>
      </c>
      <c r="P192" s="48">
        <f>IF(A192="","",IF(O192&lt;=Inicio!$B$16,"Crítico",IF(O192&lt;=Inicio!$B$17,"Observar","OK")))</f>
        <v/>
      </c>
      <c r="Q192" s="48">
        <f>IF(A192="","",IF(OR(H192="Atrasado",K192="Sin venta",N192="Pendiente relevante",P192="Crítico"),"Alta",IF(OR(K192="Venta baja",N192="Pendiente menor",P192="Observar"),"Media","Baja")))</f>
        <v/>
      </c>
      <c r="R192" s="48">
        <f>IF(A192="","",IF(Q192="Alta","Gestionar esta semana",IF(Q192="Media","Hacer seguimiento","Mantener")))</f>
        <v/>
      </c>
      <c r="S192" s="68">
        <f>IF(A192="","",IF(I192=0,"Sin venta",IF(I192&gt;=cfg_VentaAlta,"Alta",IF(I192&lt;cfg_VentaBaja,"Baja","Media"))))</f>
        <v/>
      </c>
    </row>
    <row r="193">
      <c r="A193" s="48">
        <f>IF(Clientes_PDV!A193="","",Clientes_PDV!A193)</f>
        <v/>
      </c>
      <c r="B193" s="48">
        <f>IF(A193="","",IFERROR(VLOOKUP(A193,Clientes_PDV!$A$2:$J$250,2,FALSE),""))</f>
        <v/>
      </c>
      <c r="C193" s="48">
        <f>IF(A193="","",IFERROR(VLOOKUP(A193,Clientes_PDV!$A$2:$J$250,3,FALSE),""))</f>
        <v/>
      </c>
      <c r="D193" s="48">
        <f>IF(A193="","",IFERROR(VLOOKUP(A193,Clientes_PDV!$A$2:$J$250,4,FALSE),""))</f>
        <v/>
      </c>
      <c r="E193" s="48">
        <f>IF(A193="","",IFERROR(VLOOKUP(A193,Clientes_PDV!$A$2:$J$250,7,FALSE),""))</f>
        <v/>
      </c>
      <c r="F193" s="49">
        <f>IF(A193="","",IFERROR(VLOOKUP(A193,Clientes_PDV!$A$2:$J$250,8,FALSE),""))</f>
        <v/>
      </c>
      <c r="G193" s="50">
        <f>IF(F193="","",TODAY()-F193)</f>
        <v/>
      </c>
      <c r="H193" s="48">
        <f>IF(A193="","",IF(F193="","Sin visita",IF(G193&lt;=IFERROR(VLOOKUP(E193,Inicio!$A$24:$B$26,2,FALSE),0),"Vigente","Atrasado")))</f>
        <v/>
      </c>
      <c r="I193" s="51">
        <f>IF(A193="","",SUMIFS(Ventas_SellIn!$L$2:$L$800,Ventas_SellIn!$D$2:$D$800,A193,Ventas_SellIn!$B$2:$B$800,"&gt;="&amp;TODAY()-Inicio!$B$14))</f>
        <v/>
      </c>
      <c r="J193" s="50">
        <f>IF(A193="","",SUMIFS(SellOut_Jumbo!$F$2:$F$800,SellOut_Jumbo!$C$2:$C$800,D193,SellOut_Jumbo!$A$2:$A$800,"&gt;="&amp;TODAY()-Inicio!$B$14))</f>
        <v/>
      </c>
      <c r="K193" s="48">
        <f>IF(A193="","",IF(I193=0,"Sin venta",IF(I193&lt;Inicio!$B$15,"Venta baja","Venta OK")))</f>
        <v/>
      </c>
      <c r="L193" s="50">
        <f>IF(A193="","",COUNTIFS(Ventas_SellIn!$D$2:$D$800,A193,Ventas_SellIn!$R$2:$R$800,"&gt;0"))</f>
        <v/>
      </c>
      <c r="M193" s="51">
        <f>IF(A193="","",SUMIFS(Ventas_SellIn!$R$2:$R$800,Ventas_SellIn!$D$2:$D$800,A193))</f>
        <v/>
      </c>
      <c r="N193" s="48">
        <f>IF(A193="","",IF(M193&gt;=Inicio!$B$18,"Pendiente relevante",IF(M193&gt;0,"Pendiente menor","Sin deuda")))</f>
        <v/>
      </c>
      <c r="O193" s="50">
        <f>IF(A193="","",SUMIFS(Stock_PDV!$H$2:$H$800,Stock_PDV!$A$2:$A$800,A193))</f>
        <v/>
      </c>
      <c r="P193" s="48">
        <f>IF(A193="","",IF(O193&lt;=Inicio!$B$16,"Crítico",IF(O193&lt;=Inicio!$B$17,"Observar","OK")))</f>
        <v/>
      </c>
      <c r="Q193" s="48">
        <f>IF(A193="","",IF(OR(H193="Atrasado",K193="Sin venta",N193="Pendiente relevante",P193="Crítico"),"Alta",IF(OR(K193="Venta baja",N193="Pendiente menor",P193="Observar"),"Media","Baja")))</f>
        <v/>
      </c>
      <c r="R193" s="48">
        <f>IF(A193="","",IF(Q193="Alta","Gestionar esta semana",IF(Q193="Media","Hacer seguimiento","Mantener")))</f>
        <v/>
      </c>
      <c r="S193" s="68">
        <f>IF(A193="","",IF(I193=0,"Sin venta",IF(I193&gt;=cfg_VentaAlta,"Alta",IF(I193&lt;cfg_VentaBaja,"Baja","Media"))))</f>
        <v/>
      </c>
    </row>
    <row r="194">
      <c r="A194" s="48">
        <f>IF(Clientes_PDV!A194="","",Clientes_PDV!A194)</f>
        <v/>
      </c>
      <c r="B194" s="48">
        <f>IF(A194="","",IFERROR(VLOOKUP(A194,Clientes_PDV!$A$2:$J$250,2,FALSE),""))</f>
        <v/>
      </c>
      <c r="C194" s="48">
        <f>IF(A194="","",IFERROR(VLOOKUP(A194,Clientes_PDV!$A$2:$J$250,3,FALSE),""))</f>
        <v/>
      </c>
      <c r="D194" s="48">
        <f>IF(A194="","",IFERROR(VLOOKUP(A194,Clientes_PDV!$A$2:$J$250,4,FALSE),""))</f>
        <v/>
      </c>
      <c r="E194" s="48">
        <f>IF(A194="","",IFERROR(VLOOKUP(A194,Clientes_PDV!$A$2:$J$250,7,FALSE),""))</f>
        <v/>
      </c>
      <c r="F194" s="49">
        <f>IF(A194="","",IFERROR(VLOOKUP(A194,Clientes_PDV!$A$2:$J$250,8,FALSE),""))</f>
        <v/>
      </c>
      <c r="G194" s="50">
        <f>IF(F194="","",TODAY()-F194)</f>
        <v/>
      </c>
      <c r="H194" s="48">
        <f>IF(A194="","",IF(F194="","Sin visita",IF(G194&lt;=IFERROR(VLOOKUP(E194,Inicio!$A$24:$B$26,2,FALSE),0),"Vigente","Atrasado")))</f>
        <v/>
      </c>
      <c r="I194" s="51">
        <f>IF(A194="","",SUMIFS(Ventas_SellIn!$L$2:$L$800,Ventas_SellIn!$D$2:$D$800,A194,Ventas_SellIn!$B$2:$B$800,"&gt;="&amp;TODAY()-Inicio!$B$14))</f>
        <v/>
      </c>
      <c r="J194" s="50">
        <f>IF(A194="","",SUMIFS(SellOut_Jumbo!$F$2:$F$800,SellOut_Jumbo!$C$2:$C$800,D194,SellOut_Jumbo!$A$2:$A$800,"&gt;="&amp;TODAY()-Inicio!$B$14))</f>
        <v/>
      </c>
      <c r="K194" s="48">
        <f>IF(A194="","",IF(I194=0,"Sin venta",IF(I194&lt;Inicio!$B$15,"Venta baja","Venta OK")))</f>
        <v/>
      </c>
      <c r="L194" s="50">
        <f>IF(A194="","",COUNTIFS(Ventas_SellIn!$D$2:$D$800,A194,Ventas_SellIn!$R$2:$R$800,"&gt;0"))</f>
        <v/>
      </c>
      <c r="M194" s="51">
        <f>IF(A194="","",SUMIFS(Ventas_SellIn!$R$2:$R$800,Ventas_SellIn!$D$2:$D$800,A194))</f>
        <v/>
      </c>
      <c r="N194" s="48">
        <f>IF(A194="","",IF(M194&gt;=Inicio!$B$18,"Pendiente relevante",IF(M194&gt;0,"Pendiente menor","Sin deuda")))</f>
        <v/>
      </c>
      <c r="O194" s="50">
        <f>IF(A194="","",SUMIFS(Stock_PDV!$H$2:$H$800,Stock_PDV!$A$2:$A$800,A194))</f>
        <v/>
      </c>
      <c r="P194" s="48">
        <f>IF(A194="","",IF(O194&lt;=Inicio!$B$16,"Crítico",IF(O194&lt;=Inicio!$B$17,"Observar","OK")))</f>
        <v/>
      </c>
      <c r="Q194" s="48">
        <f>IF(A194="","",IF(OR(H194="Atrasado",K194="Sin venta",N194="Pendiente relevante",P194="Crítico"),"Alta",IF(OR(K194="Venta baja",N194="Pendiente menor",P194="Observar"),"Media","Baja")))</f>
        <v/>
      </c>
      <c r="R194" s="48">
        <f>IF(A194="","",IF(Q194="Alta","Gestionar esta semana",IF(Q194="Media","Hacer seguimiento","Mantener")))</f>
        <v/>
      </c>
      <c r="S194" s="68">
        <f>IF(A194="","",IF(I194=0,"Sin venta",IF(I194&gt;=cfg_VentaAlta,"Alta",IF(I194&lt;cfg_VentaBaja,"Baja","Media"))))</f>
        <v/>
      </c>
    </row>
    <row r="195">
      <c r="A195" s="48">
        <f>IF(Clientes_PDV!A195="","",Clientes_PDV!A195)</f>
        <v/>
      </c>
      <c r="B195" s="48">
        <f>IF(A195="","",IFERROR(VLOOKUP(A195,Clientes_PDV!$A$2:$J$250,2,FALSE),""))</f>
        <v/>
      </c>
      <c r="C195" s="48">
        <f>IF(A195="","",IFERROR(VLOOKUP(A195,Clientes_PDV!$A$2:$J$250,3,FALSE),""))</f>
        <v/>
      </c>
      <c r="D195" s="48">
        <f>IF(A195="","",IFERROR(VLOOKUP(A195,Clientes_PDV!$A$2:$J$250,4,FALSE),""))</f>
        <v/>
      </c>
      <c r="E195" s="48">
        <f>IF(A195="","",IFERROR(VLOOKUP(A195,Clientes_PDV!$A$2:$J$250,7,FALSE),""))</f>
        <v/>
      </c>
      <c r="F195" s="49">
        <f>IF(A195="","",IFERROR(VLOOKUP(A195,Clientes_PDV!$A$2:$J$250,8,FALSE),""))</f>
        <v/>
      </c>
      <c r="G195" s="50">
        <f>IF(F195="","",TODAY()-F195)</f>
        <v/>
      </c>
      <c r="H195" s="48">
        <f>IF(A195="","",IF(F195="","Sin visita",IF(G195&lt;=IFERROR(VLOOKUP(E195,Inicio!$A$24:$B$26,2,FALSE),0),"Vigente","Atrasado")))</f>
        <v/>
      </c>
      <c r="I195" s="51">
        <f>IF(A195="","",SUMIFS(Ventas_SellIn!$L$2:$L$800,Ventas_SellIn!$D$2:$D$800,A195,Ventas_SellIn!$B$2:$B$800,"&gt;="&amp;TODAY()-Inicio!$B$14))</f>
        <v/>
      </c>
      <c r="J195" s="50">
        <f>IF(A195="","",SUMIFS(SellOut_Jumbo!$F$2:$F$800,SellOut_Jumbo!$C$2:$C$800,D195,SellOut_Jumbo!$A$2:$A$800,"&gt;="&amp;TODAY()-Inicio!$B$14))</f>
        <v/>
      </c>
      <c r="K195" s="48">
        <f>IF(A195="","",IF(I195=0,"Sin venta",IF(I195&lt;Inicio!$B$15,"Venta baja","Venta OK")))</f>
        <v/>
      </c>
      <c r="L195" s="50">
        <f>IF(A195="","",COUNTIFS(Ventas_SellIn!$D$2:$D$800,A195,Ventas_SellIn!$R$2:$R$800,"&gt;0"))</f>
        <v/>
      </c>
      <c r="M195" s="51">
        <f>IF(A195="","",SUMIFS(Ventas_SellIn!$R$2:$R$800,Ventas_SellIn!$D$2:$D$800,A195))</f>
        <v/>
      </c>
      <c r="N195" s="48">
        <f>IF(A195="","",IF(M195&gt;=Inicio!$B$18,"Pendiente relevante",IF(M195&gt;0,"Pendiente menor","Sin deuda")))</f>
        <v/>
      </c>
      <c r="O195" s="50">
        <f>IF(A195="","",SUMIFS(Stock_PDV!$H$2:$H$800,Stock_PDV!$A$2:$A$800,A195))</f>
        <v/>
      </c>
      <c r="P195" s="48">
        <f>IF(A195="","",IF(O195&lt;=Inicio!$B$16,"Crítico",IF(O195&lt;=Inicio!$B$17,"Observar","OK")))</f>
        <v/>
      </c>
      <c r="Q195" s="48">
        <f>IF(A195="","",IF(OR(H195="Atrasado",K195="Sin venta",N195="Pendiente relevante",P195="Crítico"),"Alta",IF(OR(K195="Venta baja",N195="Pendiente menor",P195="Observar"),"Media","Baja")))</f>
        <v/>
      </c>
      <c r="R195" s="48">
        <f>IF(A195="","",IF(Q195="Alta","Gestionar esta semana",IF(Q195="Media","Hacer seguimiento","Mantener")))</f>
        <v/>
      </c>
      <c r="S195" s="68">
        <f>IF(A195="","",IF(I195=0,"Sin venta",IF(I195&gt;=cfg_VentaAlta,"Alta",IF(I195&lt;cfg_VentaBaja,"Baja","Media"))))</f>
        <v/>
      </c>
    </row>
    <row r="196">
      <c r="A196" s="48">
        <f>IF(Clientes_PDV!A196="","",Clientes_PDV!A196)</f>
        <v/>
      </c>
      <c r="B196" s="48">
        <f>IF(A196="","",IFERROR(VLOOKUP(A196,Clientes_PDV!$A$2:$J$250,2,FALSE),""))</f>
        <v/>
      </c>
      <c r="C196" s="48">
        <f>IF(A196="","",IFERROR(VLOOKUP(A196,Clientes_PDV!$A$2:$J$250,3,FALSE),""))</f>
        <v/>
      </c>
      <c r="D196" s="48">
        <f>IF(A196="","",IFERROR(VLOOKUP(A196,Clientes_PDV!$A$2:$J$250,4,FALSE),""))</f>
        <v/>
      </c>
      <c r="E196" s="48">
        <f>IF(A196="","",IFERROR(VLOOKUP(A196,Clientes_PDV!$A$2:$J$250,7,FALSE),""))</f>
        <v/>
      </c>
      <c r="F196" s="49">
        <f>IF(A196="","",IFERROR(VLOOKUP(A196,Clientes_PDV!$A$2:$J$250,8,FALSE),""))</f>
        <v/>
      </c>
      <c r="G196" s="50">
        <f>IF(F196="","",TODAY()-F196)</f>
        <v/>
      </c>
      <c r="H196" s="48">
        <f>IF(A196="","",IF(F196="","Sin visita",IF(G196&lt;=IFERROR(VLOOKUP(E196,Inicio!$A$24:$B$26,2,FALSE),0),"Vigente","Atrasado")))</f>
        <v/>
      </c>
      <c r="I196" s="51">
        <f>IF(A196="","",SUMIFS(Ventas_SellIn!$L$2:$L$800,Ventas_SellIn!$D$2:$D$800,A196,Ventas_SellIn!$B$2:$B$800,"&gt;="&amp;TODAY()-Inicio!$B$14))</f>
        <v/>
      </c>
      <c r="J196" s="50">
        <f>IF(A196="","",SUMIFS(SellOut_Jumbo!$F$2:$F$800,SellOut_Jumbo!$C$2:$C$800,D196,SellOut_Jumbo!$A$2:$A$800,"&gt;="&amp;TODAY()-Inicio!$B$14))</f>
        <v/>
      </c>
      <c r="K196" s="48">
        <f>IF(A196="","",IF(I196=0,"Sin venta",IF(I196&lt;Inicio!$B$15,"Venta baja","Venta OK")))</f>
        <v/>
      </c>
      <c r="L196" s="50">
        <f>IF(A196="","",COUNTIFS(Ventas_SellIn!$D$2:$D$800,A196,Ventas_SellIn!$R$2:$R$800,"&gt;0"))</f>
        <v/>
      </c>
      <c r="M196" s="51">
        <f>IF(A196="","",SUMIFS(Ventas_SellIn!$R$2:$R$800,Ventas_SellIn!$D$2:$D$800,A196))</f>
        <v/>
      </c>
      <c r="N196" s="48">
        <f>IF(A196="","",IF(M196&gt;=Inicio!$B$18,"Pendiente relevante",IF(M196&gt;0,"Pendiente menor","Sin deuda")))</f>
        <v/>
      </c>
      <c r="O196" s="50">
        <f>IF(A196="","",SUMIFS(Stock_PDV!$H$2:$H$800,Stock_PDV!$A$2:$A$800,A196))</f>
        <v/>
      </c>
      <c r="P196" s="48">
        <f>IF(A196="","",IF(O196&lt;=Inicio!$B$16,"Crítico",IF(O196&lt;=Inicio!$B$17,"Observar","OK")))</f>
        <v/>
      </c>
      <c r="Q196" s="48">
        <f>IF(A196="","",IF(OR(H196="Atrasado",K196="Sin venta",N196="Pendiente relevante",P196="Crítico"),"Alta",IF(OR(K196="Venta baja",N196="Pendiente menor",P196="Observar"),"Media","Baja")))</f>
        <v/>
      </c>
      <c r="R196" s="48">
        <f>IF(A196="","",IF(Q196="Alta","Gestionar esta semana",IF(Q196="Media","Hacer seguimiento","Mantener")))</f>
        <v/>
      </c>
      <c r="S196" s="68">
        <f>IF(A196="","",IF(I196=0,"Sin venta",IF(I196&gt;=cfg_VentaAlta,"Alta",IF(I196&lt;cfg_VentaBaja,"Baja","Media"))))</f>
        <v/>
      </c>
    </row>
    <row r="197">
      <c r="A197" s="48">
        <f>IF(Clientes_PDV!A197="","",Clientes_PDV!A197)</f>
        <v/>
      </c>
      <c r="B197" s="48">
        <f>IF(A197="","",IFERROR(VLOOKUP(A197,Clientes_PDV!$A$2:$J$250,2,FALSE),""))</f>
        <v/>
      </c>
      <c r="C197" s="48">
        <f>IF(A197="","",IFERROR(VLOOKUP(A197,Clientes_PDV!$A$2:$J$250,3,FALSE),""))</f>
        <v/>
      </c>
      <c r="D197" s="48">
        <f>IF(A197="","",IFERROR(VLOOKUP(A197,Clientes_PDV!$A$2:$J$250,4,FALSE),""))</f>
        <v/>
      </c>
      <c r="E197" s="48">
        <f>IF(A197="","",IFERROR(VLOOKUP(A197,Clientes_PDV!$A$2:$J$250,7,FALSE),""))</f>
        <v/>
      </c>
      <c r="F197" s="49">
        <f>IF(A197="","",IFERROR(VLOOKUP(A197,Clientes_PDV!$A$2:$J$250,8,FALSE),""))</f>
        <v/>
      </c>
      <c r="G197" s="50">
        <f>IF(F197="","",TODAY()-F197)</f>
        <v/>
      </c>
      <c r="H197" s="48">
        <f>IF(A197="","",IF(F197="","Sin visita",IF(G197&lt;=IFERROR(VLOOKUP(E197,Inicio!$A$24:$B$26,2,FALSE),0),"Vigente","Atrasado")))</f>
        <v/>
      </c>
      <c r="I197" s="51">
        <f>IF(A197="","",SUMIFS(Ventas_SellIn!$L$2:$L$800,Ventas_SellIn!$D$2:$D$800,A197,Ventas_SellIn!$B$2:$B$800,"&gt;="&amp;TODAY()-Inicio!$B$14))</f>
        <v/>
      </c>
      <c r="J197" s="50">
        <f>IF(A197="","",SUMIFS(SellOut_Jumbo!$F$2:$F$800,SellOut_Jumbo!$C$2:$C$800,D197,SellOut_Jumbo!$A$2:$A$800,"&gt;="&amp;TODAY()-Inicio!$B$14))</f>
        <v/>
      </c>
      <c r="K197" s="48">
        <f>IF(A197="","",IF(I197=0,"Sin venta",IF(I197&lt;Inicio!$B$15,"Venta baja","Venta OK")))</f>
        <v/>
      </c>
      <c r="L197" s="50">
        <f>IF(A197="","",COUNTIFS(Ventas_SellIn!$D$2:$D$800,A197,Ventas_SellIn!$R$2:$R$800,"&gt;0"))</f>
        <v/>
      </c>
      <c r="M197" s="51">
        <f>IF(A197="","",SUMIFS(Ventas_SellIn!$R$2:$R$800,Ventas_SellIn!$D$2:$D$800,A197))</f>
        <v/>
      </c>
      <c r="N197" s="48">
        <f>IF(A197="","",IF(M197&gt;=Inicio!$B$18,"Pendiente relevante",IF(M197&gt;0,"Pendiente menor","Sin deuda")))</f>
        <v/>
      </c>
      <c r="O197" s="50">
        <f>IF(A197="","",SUMIFS(Stock_PDV!$H$2:$H$800,Stock_PDV!$A$2:$A$800,A197))</f>
        <v/>
      </c>
      <c r="P197" s="48">
        <f>IF(A197="","",IF(O197&lt;=Inicio!$B$16,"Crítico",IF(O197&lt;=Inicio!$B$17,"Observar","OK")))</f>
        <v/>
      </c>
      <c r="Q197" s="48">
        <f>IF(A197="","",IF(OR(H197="Atrasado",K197="Sin venta",N197="Pendiente relevante",P197="Crítico"),"Alta",IF(OR(K197="Venta baja",N197="Pendiente menor",P197="Observar"),"Media","Baja")))</f>
        <v/>
      </c>
      <c r="R197" s="48">
        <f>IF(A197="","",IF(Q197="Alta","Gestionar esta semana",IF(Q197="Media","Hacer seguimiento","Mantener")))</f>
        <v/>
      </c>
      <c r="S197" s="68">
        <f>IF(A197="","",IF(I197=0,"Sin venta",IF(I197&gt;=cfg_VentaAlta,"Alta",IF(I197&lt;cfg_VentaBaja,"Baja","Media"))))</f>
        <v/>
      </c>
    </row>
    <row r="198">
      <c r="A198" s="48">
        <f>IF(Clientes_PDV!A198="","",Clientes_PDV!A198)</f>
        <v/>
      </c>
      <c r="B198" s="48">
        <f>IF(A198="","",IFERROR(VLOOKUP(A198,Clientes_PDV!$A$2:$J$250,2,FALSE),""))</f>
        <v/>
      </c>
      <c r="C198" s="48">
        <f>IF(A198="","",IFERROR(VLOOKUP(A198,Clientes_PDV!$A$2:$J$250,3,FALSE),""))</f>
        <v/>
      </c>
      <c r="D198" s="48">
        <f>IF(A198="","",IFERROR(VLOOKUP(A198,Clientes_PDV!$A$2:$J$250,4,FALSE),""))</f>
        <v/>
      </c>
      <c r="E198" s="48">
        <f>IF(A198="","",IFERROR(VLOOKUP(A198,Clientes_PDV!$A$2:$J$250,7,FALSE),""))</f>
        <v/>
      </c>
      <c r="F198" s="49">
        <f>IF(A198="","",IFERROR(VLOOKUP(A198,Clientes_PDV!$A$2:$J$250,8,FALSE),""))</f>
        <v/>
      </c>
      <c r="G198" s="50">
        <f>IF(F198="","",TODAY()-F198)</f>
        <v/>
      </c>
      <c r="H198" s="48">
        <f>IF(A198="","",IF(F198="","Sin visita",IF(G198&lt;=IFERROR(VLOOKUP(E198,Inicio!$A$24:$B$26,2,FALSE),0),"Vigente","Atrasado")))</f>
        <v/>
      </c>
      <c r="I198" s="51">
        <f>IF(A198="","",SUMIFS(Ventas_SellIn!$L$2:$L$800,Ventas_SellIn!$D$2:$D$800,A198,Ventas_SellIn!$B$2:$B$800,"&gt;="&amp;TODAY()-Inicio!$B$14))</f>
        <v/>
      </c>
      <c r="J198" s="50">
        <f>IF(A198="","",SUMIFS(SellOut_Jumbo!$F$2:$F$800,SellOut_Jumbo!$C$2:$C$800,D198,SellOut_Jumbo!$A$2:$A$800,"&gt;="&amp;TODAY()-Inicio!$B$14))</f>
        <v/>
      </c>
      <c r="K198" s="48">
        <f>IF(A198="","",IF(I198=0,"Sin venta",IF(I198&lt;Inicio!$B$15,"Venta baja","Venta OK")))</f>
        <v/>
      </c>
      <c r="L198" s="50">
        <f>IF(A198="","",COUNTIFS(Ventas_SellIn!$D$2:$D$800,A198,Ventas_SellIn!$R$2:$R$800,"&gt;0"))</f>
        <v/>
      </c>
      <c r="M198" s="51">
        <f>IF(A198="","",SUMIFS(Ventas_SellIn!$R$2:$R$800,Ventas_SellIn!$D$2:$D$800,A198))</f>
        <v/>
      </c>
      <c r="N198" s="48">
        <f>IF(A198="","",IF(M198&gt;=Inicio!$B$18,"Pendiente relevante",IF(M198&gt;0,"Pendiente menor","Sin deuda")))</f>
        <v/>
      </c>
      <c r="O198" s="50">
        <f>IF(A198="","",SUMIFS(Stock_PDV!$H$2:$H$800,Stock_PDV!$A$2:$A$800,A198))</f>
        <v/>
      </c>
      <c r="P198" s="48">
        <f>IF(A198="","",IF(O198&lt;=Inicio!$B$16,"Crítico",IF(O198&lt;=Inicio!$B$17,"Observar","OK")))</f>
        <v/>
      </c>
      <c r="Q198" s="48">
        <f>IF(A198="","",IF(OR(H198="Atrasado",K198="Sin venta",N198="Pendiente relevante",P198="Crítico"),"Alta",IF(OR(K198="Venta baja",N198="Pendiente menor",P198="Observar"),"Media","Baja")))</f>
        <v/>
      </c>
      <c r="R198" s="48">
        <f>IF(A198="","",IF(Q198="Alta","Gestionar esta semana",IF(Q198="Media","Hacer seguimiento","Mantener")))</f>
        <v/>
      </c>
      <c r="S198" s="68">
        <f>IF(A198="","",IF(I198=0,"Sin venta",IF(I198&gt;=cfg_VentaAlta,"Alta",IF(I198&lt;cfg_VentaBaja,"Baja","Media"))))</f>
        <v/>
      </c>
    </row>
    <row r="199">
      <c r="A199" s="48">
        <f>IF(Clientes_PDV!A199="","",Clientes_PDV!A199)</f>
        <v/>
      </c>
      <c r="B199" s="48">
        <f>IF(A199="","",IFERROR(VLOOKUP(A199,Clientes_PDV!$A$2:$J$250,2,FALSE),""))</f>
        <v/>
      </c>
      <c r="C199" s="48">
        <f>IF(A199="","",IFERROR(VLOOKUP(A199,Clientes_PDV!$A$2:$J$250,3,FALSE),""))</f>
        <v/>
      </c>
      <c r="D199" s="48">
        <f>IF(A199="","",IFERROR(VLOOKUP(A199,Clientes_PDV!$A$2:$J$250,4,FALSE),""))</f>
        <v/>
      </c>
      <c r="E199" s="48">
        <f>IF(A199="","",IFERROR(VLOOKUP(A199,Clientes_PDV!$A$2:$J$250,7,FALSE),""))</f>
        <v/>
      </c>
      <c r="F199" s="49">
        <f>IF(A199="","",IFERROR(VLOOKUP(A199,Clientes_PDV!$A$2:$J$250,8,FALSE),""))</f>
        <v/>
      </c>
      <c r="G199" s="50">
        <f>IF(F199="","",TODAY()-F199)</f>
        <v/>
      </c>
      <c r="H199" s="48">
        <f>IF(A199="","",IF(F199="","Sin visita",IF(G199&lt;=IFERROR(VLOOKUP(E199,Inicio!$A$24:$B$26,2,FALSE),0),"Vigente","Atrasado")))</f>
        <v/>
      </c>
      <c r="I199" s="51">
        <f>IF(A199="","",SUMIFS(Ventas_SellIn!$L$2:$L$800,Ventas_SellIn!$D$2:$D$800,A199,Ventas_SellIn!$B$2:$B$800,"&gt;="&amp;TODAY()-Inicio!$B$14))</f>
        <v/>
      </c>
      <c r="J199" s="50">
        <f>IF(A199="","",SUMIFS(SellOut_Jumbo!$F$2:$F$800,SellOut_Jumbo!$C$2:$C$800,D199,SellOut_Jumbo!$A$2:$A$800,"&gt;="&amp;TODAY()-Inicio!$B$14))</f>
        <v/>
      </c>
      <c r="K199" s="48">
        <f>IF(A199="","",IF(I199=0,"Sin venta",IF(I199&lt;Inicio!$B$15,"Venta baja","Venta OK")))</f>
        <v/>
      </c>
      <c r="L199" s="50">
        <f>IF(A199="","",COUNTIFS(Ventas_SellIn!$D$2:$D$800,A199,Ventas_SellIn!$R$2:$R$800,"&gt;0"))</f>
        <v/>
      </c>
      <c r="M199" s="51">
        <f>IF(A199="","",SUMIFS(Ventas_SellIn!$R$2:$R$800,Ventas_SellIn!$D$2:$D$800,A199))</f>
        <v/>
      </c>
      <c r="N199" s="48">
        <f>IF(A199="","",IF(M199&gt;=Inicio!$B$18,"Pendiente relevante",IF(M199&gt;0,"Pendiente menor","Sin deuda")))</f>
        <v/>
      </c>
      <c r="O199" s="50">
        <f>IF(A199="","",SUMIFS(Stock_PDV!$H$2:$H$800,Stock_PDV!$A$2:$A$800,A199))</f>
        <v/>
      </c>
      <c r="P199" s="48">
        <f>IF(A199="","",IF(O199&lt;=Inicio!$B$16,"Crítico",IF(O199&lt;=Inicio!$B$17,"Observar","OK")))</f>
        <v/>
      </c>
      <c r="Q199" s="48">
        <f>IF(A199="","",IF(OR(H199="Atrasado",K199="Sin venta",N199="Pendiente relevante",P199="Crítico"),"Alta",IF(OR(K199="Venta baja",N199="Pendiente menor",P199="Observar"),"Media","Baja")))</f>
        <v/>
      </c>
      <c r="R199" s="48">
        <f>IF(A199="","",IF(Q199="Alta","Gestionar esta semana",IF(Q199="Media","Hacer seguimiento","Mantener")))</f>
        <v/>
      </c>
      <c r="S199" s="68">
        <f>IF(A199="","",IF(I199=0,"Sin venta",IF(I199&gt;=cfg_VentaAlta,"Alta",IF(I199&lt;cfg_VentaBaja,"Baja","Media"))))</f>
        <v/>
      </c>
    </row>
    <row r="200">
      <c r="A200" s="48">
        <f>IF(Clientes_PDV!A200="","",Clientes_PDV!A200)</f>
        <v/>
      </c>
      <c r="B200" s="48">
        <f>IF(A200="","",IFERROR(VLOOKUP(A200,Clientes_PDV!$A$2:$J$250,2,FALSE),""))</f>
        <v/>
      </c>
      <c r="C200" s="48">
        <f>IF(A200="","",IFERROR(VLOOKUP(A200,Clientes_PDV!$A$2:$J$250,3,FALSE),""))</f>
        <v/>
      </c>
      <c r="D200" s="48">
        <f>IF(A200="","",IFERROR(VLOOKUP(A200,Clientes_PDV!$A$2:$J$250,4,FALSE),""))</f>
        <v/>
      </c>
      <c r="E200" s="48">
        <f>IF(A200="","",IFERROR(VLOOKUP(A200,Clientes_PDV!$A$2:$J$250,7,FALSE),""))</f>
        <v/>
      </c>
      <c r="F200" s="49">
        <f>IF(A200="","",IFERROR(VLOOKUP(A200,Clientes_PDV!$A$2:$J$250,8,FALSE),""))</f>
        <v/>
      </c>
      <c r="G200" s="50">
        <f>IF(F200="","",TODAY()-F200)</f>
        <v/>
      </c>
      <c r="H200" s="48">
        <f>IF(A200="","",IF(F200="","Sin visita",IF(G200&lt;=IFERROR(VLOOKUP(E200,Inicio!$A$24:$B$26,2,FALSE),0),"Vigente","Atrasado")))</f>
        <v/>
      </c>
      <c r="I200" s="51">
        <f>IF(A200="","",SUMIFS(Ventas_SellIn!$L$2:$L$800,Ventas_SellIn!$D$2:$D$800,A200,Ventas_SellIn!$B$2:$B$800,"&gt;="&amp;TODAY()-Inicio!$B$14))</f>
        <v/>
      </c>
      <c r="J200" s="50">
        <f>IF(A200="","",SUMIFS(SellOut_Jumbo!$F$2:$F$800,SellOut_Jumbo!$C$2:$C$800,D200,SellOut_Jumbo!$A$2:$A$800,"&gt;="&amp;TODAY()-Inicio!$B$14))</f>
        <v/>
      </c>
      <c r="K200" s="48">
        <f>IF(A200="","",IF(I200=0,"Sin venta",IF(I200&lt;Inicio!$B$15,"Venta baja","Venta OK")))</f>
        <v/>
      </c>
      <c r="L200" s="50">
        <f>IF(A200="","",COUNTIFS(Ventas_SellIn!$D$2:$D$800,A200,Ventas_SellIn!$R$2:$R$800,"&gt;0"))</f>
        <v/>
      </c>
      <c r="M200" s="51">
        <f>IF(A200="","",SUMIFS(Ventas_SellIn!$R$2:$R$800,Ventas_SellIn!$D$2:$D$800,A200))</f>
        <v/>
      </c>
      <c r="N200" s="48">
        <f>IF(A200="","",IF(M200&gt;=Inicio!$B$18,"Pendiente relevante",IF(M200&gt;0,"Pendiente menor","Sin deuda")))</f>
        <v/>
      </c>
      <c r="O200" s="50">
        <f>IF(A200="","",SUMIFS(Stock_PDV!$H$2:$H$800,Stock_PDV!$A$2:$A$800,A200))</f>
        <v/>
      </c>
      <c r="P200" s="48">
        <f>IF(A200="","",IF(O200&lt;=Inicio!$B$16,"Crítico",IF(O200&lt;=Inicio!$B$17,"Observar","OK")))</f>
        <v/>
      </c>
      <c r="Q200" s="48">
        <f>IF(A200="","",IF(OR(H200="Atrasado",K200="Sin venta",N200="Pendiente relevante",P200="Crítico"),"Alta",IF(OR(K200="Venta baja",N200="Pendiente menor",P200="Observar"),"Media","Baja")))</f>
        <v/>
      </c>
      <c r="R200" s="48">
        <f>IF(A200="","",IF(Q200="Alta","Gestionar esta semana",IF(Q200="Media","Hacer seguimiento","Mantener")))</f>
        <v/>
      </c>
      <c r="S200" s="68">
        <f>IF(A200="","",IF(I200=0,"Sin venta",IF(I200&gt;=cfg_VentaAlta,"Alta",IF(I200&lt;cfg_VentaBaja,"Baja","Media"))))</f>
        <v/>
      </c>
    </row>
    <row r="201">
      <c r="A201" s="48">
        <f>IF(Clientes_PDV!A201="","",Clientes_PDV!A201)</f>
        <v/>
      </c>
      <c r="B201" s="48">
        <f>IF(A201="","",IFERROR(VLOOKUP(A201,Clientes_PDV!$A$2:$J$250,2,FALSE),""))</f>
        <v/>
      </c>
      <c r="C201" s="48">
        <f>IF(A201="","",IFERROR(VLOOKUP(A201,Clientes_PDV!$A$2:$J$250,3,FALSE),""))</f>
        <v/>
      </c>
      <c r="D201" s="48">
        <f>IF(A201="","",IFERROR(VLOOKUP(A201,Clientes_PDV!$A$2:$J$250,4,FALSE),""))</f>
        <v/>
      </c>
      <c r="E201" s="48">
        <f>IF(A201="","",IFERROR(VLOOKUP(A201,Clientes_PDV!$A$2:$J$250,7,FALSE),""))</f>
        <v/>
      </c>
      <c r="F201" s="49">
        <f>IF(A201="","",IFERROR(VLOOKUP(A201,Clientes_PDV!$A$2:$J$250,8,FALSE),""))</f>
        <v/>
      </c>
      <c r="G201" s="50">
        <f>IF(F201="","",TODAY()-F201)</f>
        <v/>
      </c>
      <c r="H201" s="48">
        <f>IF(A201="","",IF(F201="","Sin visita",IF(G201&lt;=IFERROR(VLOOKUP(E201,Inicio!$A$24:$B$26,2,FALSE),0),"Vigente","Atrasado")))</f>
        <v/>
      </c>
      <c r="I201" s="51">
        <f>IF(A201="","",SUMIFS(Ventas_SellIn!$L$2:$L$800,Ventas_SellIn!$D$2:$D$800,A201,Ventas_SellIn!$B$2:$B$800,"&gt;="&amp;TODAY()-Inicio!$B$14))</f>
        <v/>
      </c>
      <c r="J201" s="50">
        <f>IF(A201="","",SUMIFS(SellOut_Jumbo!$F$2:$F$800,SellOut_Jumbo!$C$2:$C$800,D201,SellOut_Jumbo!$A$2:$A$800,"&gt;="&amp;TODAY()-Inicio!$B$14))</f>
        <v/>
      </c>
      <c r="K201" s="48">
        <f>IF(A201="","",IF(I201=0,"Sin venta",IF(I201&lt;Inicio!$B$15,"Venta baja","Venta OK")))</f>
        <v/>
      </c>
      <c r="L201" s="50">
        <f>IF(A201="","",COUNTIFS(Ventas_SellIn!$D$2:$D$800,A201,Ventas_SellIn!$R$2:$R$800,"&gt;0"))</f>
        <v/>
      </c>
      <c r="M201" s="51">
        <f>IF(A201="","",SUMIFS(Ventas_SellIn!$R$2:$R$800,Ventas_SellIn!$D$2:$D$800,A201))</f>
        <v/>
      </c>
      <c r="N201" s="48">
        <f>IF(A201="","",IF(M201&gt;=Inicio!$B$18,"Pendiente relevante",IF(M201&gt;0,"Pendiente menor","Sin deuda")))</f>
        <v/>
      </c>
      <c r="O201" s="50">
        <f>IF(A201="","",SUMIFS(Stock_PDV!$H$2:$H$800,Stock_PDV!$A$2:$A$800,A201))</f>
        <v/>
      </c>
      <c r="P201" s="48">
        <f>IF(A201="","",IF(O201&lt;=Inicio!$B$16,"Crítico",IF(O201&lt;=Inicio!$B$17,"Observar","OK")))</f>
        <v/>
      </c>
      <c r="Q201" s="48">
        <f>IF(A201="","",IF(OR(H201="Atrasado",K201="Sin venta",N201="Pendiente relevante",P201="Crítico"),"Alta",IF(OR(K201="Venta baja",N201="Pendiente menor",P201="Observar"),"Media","Baja")))</f>
        <v/>
      </c>
      <c r="R201" s="48">
        <f>IF(A201="","",IF(Q201="Alta","Gestionar esta semana",IF(Q201="Media","Hacer seguimiento","Mantener")))</f>
        <v/>
      </c>
      <c r="S201" s="68">
        <f>IF(A201="","",IF(I201=0,"Sin venta",IF(I201&gt;=cfg_VentaAlta,"Alta",IF(I201&lt;cfg_VentaBaja,"Baja","Media"))))</f>
        <v/>
      </c>
    </row>
    <row r="202">
      <c r="A202" s="48">
        <f>IF(Clientes_PDV!A202="","",Clientes_PDV!A202)</f>
        <v/>
      </c>
      <c r="B202" s="48">
        <f>IF(A202="","",IFERROR(VLOOKUP(A202,Clientes_PDV!$A$2:$J$250,2,FALSE),""))</f>
        <v/>
      </c>
      <c r="C202" s="48">
        <f>IF(A202="","",IFERROR(VLOOKUP(A202,Clientes_PDV!$A$2:$J$250,3,FALSE),""))</f>
        <v/>
      </c>
      <c r="D202" s="48">
        <f>IF(A202="","",IFERROR(VLOOKUP(A202,Clientes_PDV!$A$2:$J$250,4,FALSE),""))</f>
        <v/>
      </c>
      <c r="E202" s="48">
        <f>IF(A202="","",IFERROR(VLOOKUP(A202,Clientes_PDV!$A$2:$J$250,7,FALSE),""))</f>
        <v/>
      </c>
      <c r="F202" s="49">
        <f>IF(A202="","",IFERROR(VLOOKUP(A202,Clientes_PDV!$A$2:$J$250,8,FALSE),""))</f>
        <v/>
      </c>
      <c r="G202" s="48">
        <f>IF(F202="","",TODAY()-F202)</f>
        <v/>
      </c>
      <c r="H202" s="48">
        <f>IF(A202="","",IF(F202="","Sin visita",IF(G202&lt;=IFERROR(VLOOKUP(E202,Inicio!$A$24:$B$26,2,FALSE),0),"Vigente","Atrasado")))</f>
        <v/>
      </c>
      <c r="I202" s="51">
        <f>IF(A202="","",SUMIFS(Ventas_SellIn!$L$2:$L$800,Ventas_SellIn!$D$2:$D$800,A202,Ventas_SellIn!$B$2:$B$800,"&gt;="&amp;TODAY()-Inicio!$B$14))</f>
        <v/>
      </c>
      <c r="J202" s="48">
        <f>IF(A202="","",SUMIFS(SellOut_Jumbo!$F$2:$F$800,SellOut_Jumbo!$C$2:$C$800,D202,SellOut_Jumbo!$A$2:$A$800,"&gt;="&amp;TODAY()-Inicio!$B$14))</f>
        <v/>
      </c>
      <c r="K202" s="48">
        <f>IF(A202="","",IF(I202=0,"Sin venta",IF(I202&lt;Inicio!$B$15,"Venta baja","Venta OK")))</f>
        <v/>
      </c>
      <c r="L202" s="48">
        <f>IF(A202="","",COUNTIFS(Ventas_SellIn!$D$2:$D$800,A202,Ventas_SellIn!$R$2:$R$800,"&gt;0"))</f>
        <v/>
      </c>
      <c r="M202" s="51">
        <f>IF(A202="","",SUMIFS(Ventas_SellIn!$R$2:$R$800,Ventas_SellIn!$D$2:$D$800,A202))</f>
        <v/>
      </c>
      <c r="N202" s="48">
        <f>IF(A202="","",IF(M202&gt;=Inicio!$B$18,"Pendiente relevante",IF(M202&gt;0,"Pendiente menor","Sin deuda")))</f>
        <v/>
      </c>
      <c r="O202" s="48">
        <f>IF(A202="","",SUMIFS(Stock_PDV!$H$2:$H$800,Stock_PDV!$A$2:$A$800,A202))</f>
        <v/>
      </c>
      <c r="P202" s="48">
        <f>IF(A202="","",IF(O202&lt;=Inicio!$B$16,"Crítico",IF(O202&lt;=Inicio!$B$17,"Observar","OK")))</f>
        <v/>
      </c>
      <c r="Q202" s="48">
        <f>IF(A202="","",IF(OR(H202="Atrasado",K202="Sin venta",N202="Pendiente relevante",P202="Crítico"),"Alta",IF(OR(K202="Venta baja",N202="Pendiente menor",P202="Observar"),"Media","Baja")))</f>
        <v/>
      </c>
      <c r="R202" s="48">
        <f>IF(A202="","",IF(Q202="Alta","Gestionar esta semana",IF(Q202="Media","Hacer seguimiento","Mantener")))</f>
        <v/>
      </c>
      <c r="S202" s="68">
        <f>IF(A202="","",IF(I202=0,"Sin venta",IF(I202&gt;=cfg_VentaAlta,"Alta",IF(I202&lt;cfg_VentaBaja,"Baja","Media"))))</f>
        <v/>
      </c>
    </row>
    <row r="203">
      <c r="A203" s="48">
        <f>IF(Clientes_PDV!A203="","",Clientes_PDV!A203)</f>
        <v/>
      </c>
      <c r="B203" s="48">
        <f>IF(A203="","",IFERROR(VLOOKUP(A203,Clientes_PDV!$A$2:$J$250,2,FALSE),""))</f>
        <v/>
      </c>
      <c r="C203" s="48">
        <f>IF(A203="","",IFERROR(VLOOKUP(A203,Clientes_PDV!$A$2:$J$250,3,FALSE),""))</f>
        <v/>
      </c>
      <c r="D203" s="48">
        <f>IF(A203="","",IFERROR(VLOOKUP(A203,Clientes_PDV!$A$2:$J$250,4,FALSE),""))</f>
        <v/>
      </c>
      <c r="E203" s="48">
        <f>IF(A203="","",IFERROR(VLOOKUP(A203,Clientes_PDV!$A$2:$J$250,7,FALSE),""))</f>
        <v/>
      </c>
      <c r="F203" s="49">
        <f>IF(A203="","",IFERROR(VLOOKUP(A203,Clientes_PDV!$A$2:$J$250,8,FALSE),""))</f>
        <v/>
      </c>
      <c r="G203" s="48">
        <f>IF(F203="","",TODAY()-F203)</f>
        <v/>
      </c>
      <c r="H203" s="48">
        <f>IF(A203="","",IF(F203="","Sin visita",IF(G203&lt;=IFERROR(VLOOKUP(E203,Inicio!$A$24:$B$26,2,FALSE),0),"Vigente","Atrasado")))</f>
        <v/>
      </c>
      <c r="I203" s="51">
        <f>IF(A203="","",SUMIFS(Ventas_SellIn!$L$2:$L$800,Ventas_SellIn!$D$2:$D$800,A203,Ventas_SellIn!$B$2:$B$800,"&gt;="&amp;TODAY()-Inicio!$B$14))</f>
        <v/>
      </c>
      <c r="J203" s="48">
        <f>IF(A203="","",SUMIFS(SellOut_Jumbo!$F$2:$F$800,SellOut_Jumbo!$C$2:$C$800,D203,SellOut_Jumbo!$A$2:$A$800,"&gt;="&amp;TODAY()-Inicio!$B$14))</f>
        <v/>
      </c>
      <c r="K203" s="48">
        <f>IF(A203="","",IF(I203=0,"Sin venta",IF(I203&lt;Inicio!$B$15,"Venta baja","Venta OK")))</f>
        <v/>
      </c>
      <c r="L203" s="48">
        <f>IF(A203="","",COUNTIFS(Ventas_SellIn!$D$2:$D$800,A203,Ventas_SellIn!$R$2:$R$800,"&gt;0"))</f>
        <v/>
      </c>
      <c r="M203" s="51">
        <f>IF(A203="","",SUMIFS(Ventas_SellIn!$R$2:$R$800,Ventas_SellIn!$D$2:$D$800,A203))</f>
        <v/>
      </c>
      <c r="N203" s="48">
        <f>IF(A203="","",IF(M203&gt;=Inicio!$B$18,"Pendiente relevante",IF(M203&gt;0,"Pendiente menor","Sin deuda")))</f>
        <v/>
      </c>
      <c r="O203" s="48">
        <f>IF(A203="","",SUMIFS(Stock_PDV!$H$2:$H$800,Stock_PDV!$A$2:$A$800,A203))</f>
        <v/>
      </c>
      <c r="P203" s="48">
        <f>IF(A203="","",IF(O203&lt;=Inicio!$B$16,"Crítico",IF(O203&lt;=Inicio!$B$17,"Observar","OK")))</f>
        <v/>
      </c>
      <c r="Q203" s="48">
        <f>IF(A203="","",IF(OR(H203="Atrasado",K203="Sin venta",N203="Pendiente relevante",P203="Crítico"),"Alta",IF(OR(K203="Venta baja",N203="Pendiente menor",P203="Observar"),"Media","Baja")))</f>
        <v/>
      </c>
      <c r="R203" s="48">
        <f>IF(A203="","",IF(Q203="Alta","Gestionar esta semana",IF(Q203="Media","Hacer seguimiento","Mantener")))</f>
        <v/>
      </c>
      <c r="S203" s="68">
        <f>IF(A203="","",IF(I203=0,"Sin venta",IF(I203&gt;=cfg_VentaAlta,"Alta",IF(I203&lt;cfg_VentaBaja,"Baja","Media"))))</f>
        <v/>
      </c>
    </row>
    <row r="204">
      <c r="A204" s="48">
        <f>IF(Clientes_PDV!A204="","",Clientes_PDV!A204)</f>
        <v/>
      </c>
      <c r="B204" s="48">
        <f>IF(A204="","",IFERROR(VLOOKUP(A204,Clientes_PDV!$A$2:$J$250,2,FALSE),""))</f>
        <v/>
      </c>
      <c r="C204" s="48">
        <f>IF(A204="","",IFERROR(VLOOKUP(A204,Clientes_PDV!$A$2:$J$250,3,FALSE),""))</f>
        <v/>
      </c>
      <c r="D204" s="48">
        <f>IF(A204="","",IFERROR(VLOOKUP(A204,Clientes_PDV!$A$2:$J$250,4,FALSE),""))</f>
        <v/>
      </c>
      <c r="E204" s="48">
        <f>IF(A204="","",IFERROR(VLOOKUP(A204,Clientes_PDV!$A$2:$J$250,7,FALSE),""))</f>
        <v/>
      </c>
      <c r="F204" s="49">
        <f>IF(A204="","",IFERROR(VLOOKUP(A204,Clientes_PDV!$A$2:$J$250,8,FALSE),""))</f>
        <v/>
      </c>
      <c r="G204" s="48">
        <f>IF(F204="","",TODAY()-F204)</f>
        <v/>
      </c>
      <c r="H204" s="48">
        <f>IF(A204="","",IF(F204="","Sin visita",IF(G204&lt;=IFERROR(VLOOKUP(E204,Inicio!$A$24:$B$26,2,FALSE),0),"Vigente","Atrasado")))</f>
        <v/>
      </c>
      <c r="I204" s="51">
        <f>IF(A204="","",SUMIFS(Ventas_SellIn!$L$2:$L$800,Ventas_SellIn!$D$2:$D$800,A204,Ventas_SellIn!$B$2:$B$800,"&gt;="&amp;TODAY()-Inicio!$B$14))</f>
        <v/>
      </c>
      <c r="J204" s="48">
        <f>IF(A204="","",SUMIFS(SellOut_Jumbo!$F$2:$F$800,SellOut_Jumbo!$C$2:$C$800,D204,SellOut_Jumbo!$A$2:$A$800,"&gt;="&amp;TODAY()-Inicio!$B$14))</f>
        <v/>
      </c>
      <c r="K204" s="48">
        <f>IF(A204="","",IF(I204=0,"Sin venta",IF(I204&lt;Inicio!$B$15,"Venta baja","Venta OK")))</f>
        <v/>
      </c>
      <c r="L204" s="48">
        <f>IF(A204="","",COUNTIFS(Ventas_SellIn!$D$2:$D$800,A204,Ventas_SellIn!$R$2:$R$800,"&gt;0"))</f>
        <v/>
      </c>
      <c r="M204" s="51">
        <f>IF(A204="","",SUMIFS(Ventas_SellIn!$R$2:$R$800,Ventas_SellIn!$D$2:$D$800,A204))</f>
        <v/>
      </c>
      <c r="N204" s="48">
        <f>IF(A204="","",IF(M204&gt;=Inicio!$B$18,"Pendiente relevante",IF(M204&gt;0,"Pendiente menor","Sin deuda")))</f>
        <v/>
      </c>
      <c r="O204" s="48">
        <f>IF(A204="","",SUMIFS(Stock_PDV!$H$2:$H$800,Stock_PDV!$A$2:$A$800,A204))</f>
        <v/>
      </c>
      <c r="P204" s="48">
        <f>IF(A204="","",IF(O204&lt;=Inicio!$B$16,"Crítico",IF(O204&lt;=Inicio!$B$17,"Observar","OK")))</f>
        <v/>
      </c>
      <c r="Q204" s="48">
        <f>IF(A204="","",IF(OR(H204="Atrasado",K204="Sin venta",N204="Pendiente relevante",P204="Crítico"),"Alta",IF(OR(K204="Venta baja",N204="Pendiente menor",P204="Observar"),"Media","Baja")))</f>
        <v/>
      </c>
      <c r="R204" s="48">
        <f>IF(A204="","",IF(Q204="Alta","Gestionar esta semana",IF(Q204="Media","Hacer seguimiento","Mantener")))</f>
        <v/>
      </c>
      <c r="S204" s="68">
        <f>IF(A204="","",IF(I204=0,"Sin venta",IF(I204&gt;=cfg_VentaAlta,"Alta",IF(I204&lt;cfg_VentaBaja,"Baja","Media"))))</f>
        <v/>
      </c>
    </row>
    <row r="205">
      <c r="A205" s="48">
        <f>IF(Clientes_PDV!A205="","",Clientes_PDV!A205)</f>
        <v/>
      </c>
      <c r="B205" s="48">
        <f>IF(A205="","",IFERROR(VLOOKUP(A205,Clientes_PDV!$A$2:$J$250,2,FALSE),""))</f>
        <v/>
      </c>
      <c r="C205" s="48">
        <f>IF(A205="","",IFERROR(VLOOKUP(A205,Clientes_PDV!$A$2:$J$250,3,FALSE),""))</f>
        <v/>
      </c>
      <c r="D205" s="48">
        <f>IF(A205="","",IFERROR(VLOOKUP(A205,Clientes_PDV!$A$2:$J$250,4,FALSE),""))</f>
        <v/>
      </c>
      <c r="E205" s="48">
        <f>IF(A205="","",IFERROR(VLOOKUP(A205,Clientes_PDV!$A$2:$J$250,7,FALSE),""))</f>
        <v/>
      </c>
      <c r="F205" s="49">
        <f>IF(A205="","",IFERROR(VLOOKUP(A205,Clientes_PDV!$A$2:$J$250,8,FALSE),""))</f>
        <v/>
      </c>
      <c r="G205" s="48">
        <f>IF(F205="","",TODAY()-F205)</f>
        <v/>
      </c>
      <c r="H205" s="48">
        <f>IF(A205="","",IF(F205="","Sin visita",IF(G205&lt;=IFERROR(VLOOKUP(E205,Inicio!$A$24:$B$26,2,FALSE),0),"Vigente","Atrasado")))</f>
        <v/>
      </c>
      <c r="I205" s="51">
        <f>IF(A205="","",SUMIFS(Ventas_SellIn!$L$2:$L$800,Ventas_SellIn!$D$2:$D$800,A205,Ventas_SellIn!$B$2:$B$800,"&gt;="&amp;TODAY()-Inicio!$B$14))</f>
        <v/>
      </c>
      <c r="J205" s="48">
        <f>IF(A205="","",SUMIFS(SellOut_Jumbo!$F$2:$F$800,SellOut_Jumbo!$C$2:$C$800,D205,SellOut_Jumbo!$A$2:$A$800,"&gt;="&amp;TODAY()-Inicio!$B$14))</f>
        <v/>
      </c>
      <c r="K205" s="48">
        <f>IF(A205="","",IF(I205=0,"Sin venta",IF(I205&lt;Inicio!$B$15,"Venta baja","Venta OK")))</f>
        <v/>
      </c>
      <c r="L205" s="48">
        <f>IF(A205="","",COUNTIFS(Ventas_SellIn!$D$2:$D$800,A205,Ventas_SellIn!$R$2:$R$800,"&gt;0"))</f>
        <v/>
      </c>
      <c r="M205" s="51">
        <f>IF(A205="","",SUMIFS(Ventas_SellIn!$R$2:$R$800,Ventas_SellIn!$D$2:$D$800,A205))</f>
        <v/>
      </c>
      <c r="N205" s="48">
        <f>IF(A205="","",IF(M205&gt;=Inicio!$B$18,"Pendiente relevante",IF(M205&gt;0,"Pendiente menor","Sin deuda")))</f>
        <v/>
      </c>
      <c r="O205" s="48">
        <f>IF(A205="","",SUMIFS(Stock_PDV!$H$2:$H$800,Stock_PDV!$A$2:$A$800,A205))</f>
        <v/>
      </c>
      <c r="P205" s="48">
        <f>IF(A205="","",IF(O205&lt;=Inicio!$B$16,"Crítico",IF(O205&lt;=Inicio!$B$17,"Observar","OK")))</f>
        <v/>
      </c>
      <c r="Q205" s="48">
        <f>IF(A205="","",IF(OR(H205="Atrasado",K205="Sin venta",N205="Pendiente relevante",P205="Crítico"),"Alta",IF(OR(K205="Venta baja",N205="Pendiente menor",P205="Observar"),"Media","Baja")))</f>
        <v/>
      </c>
      <c r="R205" s="48">
        <f>IF(A205="","",IF(Q205="Alta","Gestionar esta semana",IF(Q205="Media","Hacer seguimiento","Mantener")))</f>
        <v/>
      </c>
      <c r="S205" s="68">
        <f>IF(A205="","",IF(I205=0,"Sin venta",IF(I205&gt;=cfg_VentaAlta,"Alta",IF(I205&lt;cfg_VentaBaja,"Baja","Media"))))</f>
        <v/>
      </c>
    </row>
    <row r="206">
      <c r="A206" s="48">
        <f>IF(Clientes_PDV!A206="","",Clientes_PDV!A206)</f>
        <v/>
      </c>
      <c r="B206" s="48">
        <f>IF(A206="","",IFERROR(VLOOKUP(A206,Clientes_PDV!$A$2:$J$250,2,FALSE),""))</f>
        <v/>
      </c>
      <c r="C206" s="48">
        <f>IF(A206="","",IFERROR(VLOOKUP(A206,Clientes_PDV!$A$2:$J$250,3,FALSE),""))</f>
        <v/>
      </c>
      <c r="D206" s="48">
        <f>IF(A206="","",IFERROR(VLOOKUP(A206,Clientes_PDV!$A$2:$J$250,4,FALSE),""))</f>
        <v/>
      </c>
      <c r="E206" s="48">
        <f>IF(A206="","",IFERROR(VLOOKUP(A206,Clientes_PDV!$A$2:$J$250,7,FALSE),""))</f>
        <v/>
      </c>
      <c r="F206" s="49">
        <f>IF(A206="","",IFERROR(VLOOKUP(A206,Clientes_PDV!$A$2:$J$250,8,FALSE),""))</f>
        <v/>
      </c>
      <c r="G206" s="48">
        <f>IF(F206="","",TODAY()-F206)</f>
        <v/>
      </c>
      <c r="H206" s="48">
        <f>IF(A206="","",IF(F206="","Sin visita",IF(G206&lt;=IFERROR(VLOOKUP(E206,Inicio!$A$24:$B$26,2,FALSE),0),"Vigente","Atrasado")))</f>
        <v/>
      </c>
      <c r="I206" s="51">
        <f>IF(A206="","",SUMIFS(Ventas_SellIn!$L$2:$L$800,Ventas_SellIn!$D$2:$D$800,A206,Ventas_SellIn!$B$2:$B$800,"&gt;="&amp;TODAY()-Inicio!$B$14))</f>
        <v/>
      </c>
      <c r="J206" s="48">
        <f>IF(A206="","",SUMIFS(SellOut_Jumbo!$F$2:$F$800,SellOut_Jumbo!$C$2:$C$800,D206,SellOut_Jumbo!$A$2:$A$800,"&gt;="&amp;TODAY()-Inicio!$B$14))</f>
        <v/>
      </c>
      <c r="K206" s="48">
        <f>IF(A206="","",IF(I206=0,"Sin venta",IF(I206&lt;Inicio!$B$15,"Venta baja","Venta OK")))</f>
        <v/>
      </c>
      <c r="L206" s="48">
        <f>IF(A206="","",COUNTIFS(Ventas_SellIn!$D$2:$D$800,A206,Ventas_SellIn!$R$2:$R$800,"&gt;0"))</f>
        <v/>
      </c>
      <c r="M206" s="51">
        <f>IF(A206="","",SUMIFS(Ventas_SellIn!$R$2:$R$800,Ventas_SellIn!$D$2:$D$800,A206))</f>
        <v/>
      </c>
      <c r="N206" s="48">
        <f>IF(A206="","",IF(M206&gt;=Inicio!$B$18,"Pendiente relevante",IF(M206&gt;0,"Pendiente menor","Sin deuda")))</f>
        <v/>
      </c>
      <c r="O206" s="48">
        <f>IF(A206="","",SUMIFS(Stock_PDV!$H$2:$H$800,Stock_PDV!$A$2:$A$800,A206))</f>
        <v/>
      </c>
      <c r="P206" s="48">
        <f>IF(A206="","",IF(O206&lt;=Inicio!$B$16,"Crítico",IF(O206&lt;=Inicio!$B$17,"Observar","OK")))</f>
        <v/>
      </c>
      <c r="Q206" s="48">
        <f>IF(A206="","",IF(OR(H206="Atrasado",K206="Sin venta",N206="Pendiente relevante",P206="Crítico"),"Alta",IF(OR(K206="Venta baja",N206="Pendiente menor",P206="Observar"),"Media","Baja")))</f>
        <v/>
      </c>
      <c r="R206" s="48">
        <f>IF(A206="","",IF(Q206="Alta","Gestionar esta semana",IF(Q206="Media","Hacer seguimiento","Mantener")))</f>
        <v/>
      </c>
      <c r="S206" s="68">
        <f>IF(A206="","",IF(I206=0,"Sin venta",IF(I206&gt;=cfg_VentaAlta,"Alta",IF(I206&lt;cfg_VentaBaja,"Baja","Media"))))</f>
        <v/>
      </c>
    </row>
    <row r="207">
      <c r="A207" s="48">
        <f>IF(Clientes_PDV!A207="","",Clientes_PDV!A207)</f>
        <v/>
      </c>
      <c r="B207" s="48">
        <f>IF(A207="","",IFERROR(VLOOKUP(A207,Clientes_PDV!$A$2:$J$250,2,FALSE),""))</f>
        <v/>
      </c>
      <c r="C207" s="48">
        <f>IF(A207="","",IFERROR(VLOOKUP(A207,Clientes_PDV!$A$2:$J$250,3,FALSE),""))</f>
        <v/>
      </c>
      <c r="D207" s="48">
        <f>IF(A207="","",IFERROR(VLOOKUP(A207,Clientes_PDV!$A$2:$J$250,4,FALSE),""))</f>
        <v/>
      </c>
      <c r="E207" s="48">
        <f>IF(A207="","",IFERROR(VLOOKUP(A207,Clientes_PDV!$A$2:$J$250,7,FALSE),""))</f>
        <v/>
      </c>
      <c r="F207" s="49">
        <f>IF(A207="","",IFERROR(VLOOKUP(A207,Clientes_PDV!$A$2:$J$250,8,FALSE),""))</f>
        <v/>
      </c>
      <c r="G207" s="48">
        <f>IF(F207="","",TODAY()-F207)</f>
        <v/>
      </c>
      <c r="H207" s="48">
        <f>IF(A207="","",IF(F207="","Sin visita",IF(G207&lt;=IFERROR(VLOOKUP(E207,Inicio!$A$24:$B$26,2,FALSE),0),"Vigente","Atrasado")))</f>
        <v/>
      </c>
      <c r="I207" s="51">
        <f>IF(A207="","",SUMIFS(Ventas_SellIn!$L$2:$L$800,Ventas_SellIn!$D$2:$D$800,A207,Ventas_SellIn!$B$2:$B$800,"&gt;="&amp;TODAY()-Inicio!$B$14))</f>
        <v/>
      </c>
      <c r="J207" s="48">
        <f>IF(A207="","",SUMIFS(SellOut_Jumbo!$F$2:$F$800,SellOut_Jumbo!$C$2:$C$800,D207,SellOut_Jumbo!$A$2:$A$800,"&gt;="&amp;TODAY()-Inicio!$B$14))</f>
        <v/>
      </c>
      <c r="K207" s="48">
        <f>IF(A207="","",IF(I207=0,"Sin venta",IF(I207&lt;Inicio!$B$15,"Venta baja","Venta OK")))</f>
        <v/>
      </c>
      <c r="L207" s="48">
        <f>IF(A207="","",COUNTIFS(Ventas_SellIn!$D$2:$D$800,A207,Ventas_SellIn!$R$2:$R$800,"&gt;0"))</f>
        <v/>
      </c>
      <c r="M207" s="51">
        <f>IF(A207="","",SUMIFS(Ventas_SellIn!$R$2:$R$800,Ventas_SellIn!$D$2:$D$800,A207))</f>
        <v/>
      </c>
      <c r="N207" s="48">
        <f>IF(A207="","",IF(M207&gt;=Inicio!$B$18,"Pendiente relevante",IF(M207&gt;0,"Pendiente menor","Sin deuda")))</f>
        <v/>
      </c>
      <c r="O207" s="48">
        <f>IF(A207="","",SUMIFS(Stock_PDV!$H$2:$H$800,Stock_PDV!$A$2:$A$800,A207))</f>
        <v/>
      </c>
      <c r="P207" s="48">
        <f>IF(A207="","",IF(O207&lt;=Inicio!$B$16,"Crítico",IF(O207&lt;=Inicio!$B$17,"Observar","OK")))</f>
        <v/>
      </c>
      <c r="Q207" s="48">
        <f>IF(A207="","",IF(OR(H207="Atrasado",K207="Sin venta",N207="Pendiente relevante",P207="Crítico"),"Alta",IF(OR(K207="Venta baja",N207="Pendiente menor",P207="Observar"),"Media","Baja")))</f>
        <v/>
      </c>
      <c r="R207" s="48">
        <f>IF(A207="","",IF(Q207="Alta","Gestionar esta semana",IF(Q207="Media","Hacer seguimiento","Mantener")))</f>
        <v/>
      </c>
      <c r="S207" s="68">
        <f>IF(A207="","",IF(I207=0,"Sin venta",IF(I207&gt;=cfg_VentaAlta,"Alta",IF(I207&lt;cfg_VentaBaja,"Baja","Media"))))</f>
        <v/>
      </c>
    </row>
    <row r="208">
      <c r="A208" s="48">
        <f>IF(Clientes_PDV!A208="","",Clientes_PDV!A208)</f>
        <v/>
      </c>
      <c r="B208" s="48">
        <f>IF(A208="","",IFERROR(VLOOKUP(A208,Clientes_PDV!$A$2:$J$250,2,FALSE),""))</f>
        <v/>
      </c>
      <c r="C208" s="48">
        <f>IF(A208="","",IFERROR(VLOOKUP(A208,Clientes_PDV!$A$2:$J$250,3,FALSE),""))</f>
        <v/>
      </c>
      <c r="D208" s="48">
        <f>IF(A208="","",IFERROR(VLOOKUP(A208,Clientes_PDV!$A$2:$J$250,4,FALSE),""))</f>
        <v/>
      </c>
      <c r="E208" s="48">
        <f>IF(A208="","",IFERROR(VLOOKUP(A208,Clientes_PDV!$A$2:$J$250,7,FALSE),""))</f>
        <v/>
      </c>
      <c r="F208" s="49">
        <f>IF(A208="","",IFERROR(VLOOKUP(A208,Clientes_PDV!$A$2:$J$250,8,FALSE),""))</f>
        <v/>
      </c>
      <c r="G208" s="48">
        <f>IF(F208="","",TODAY()-F208)</f>
        <v/>
      </c>
      <c r="H208" s="48">
        <f>IF(A208="","",IF(F208="","Sin visita",IF(G208&lt;=IFERROR(VLOOKUP(E208,Inicio!$A$24:$B$26,2,FALSE),0),"Vigente","Atrasado")))</f>
        <v/>
      </c>
      <c r="I208" s="51">
        <f>IF(A208="","",SUMIFS(Ventas_SellIn!$L$2:$L$800,Ventas_SellIn!$D$2:$D$800,A208,Ventas_SellIn!$B$2:$B$800,"&gt;="&amp;TODAY()-Inicio!$B$14))</f>
        <v/>
      </c>
      <c r="J208" s="48">
        <f>IF(A208="","",SUMIFS(SellOut_Jumbo!$F$2:$F$800,SellOut_Jumbo!$C$2:$C$800,D208,SellOut_Jumbo!$A$2:$A$800,"&gt;="&amp;TODAY()-Inicio!$B$14))</f>
        <v/>
      </c>
      <c r="K208" s="48">
        <f>IF(A208="","",IF(I208=0,"Sin venta",IF(I208&lt;Inicio!$B$15,"Venta baja","Venta OK")))</f>
        <v/>
      </c>
      <c r="L208" s="48">
        <f>IF(A208="","",COUNTIFS(Ventas_SellIn!$D$2:$D$800,A208,Ventas_SellIn!$R$2:$R$800,"&gt;0"))</f>
        <v/>
      </c>
      <c r="M208" s="51">
        <f>IF(A208="","",SUMIFS(Ventas_SellIn!$R$2:$R$800,Ventas_SellIn!$D$2:$D$800,A208))</f>
        <v/>
      </c>
      <c r="N208" s="48">
        <f>IF(A208="","",IF(M208&gt;=Inicio!$B$18,"Pendiente relevante",IF(M208&gt;0,"Pendiente menor","Sin deuda")))</f>
        <v/>
      </c>
      <c r="O208" s="48">
        <f>IF(A208="","",SUMIFS(Stock_PDV!$H$2:$H$800,Stock_PDV!$A$2:$A$800,A208))</f>
        <v/>
      </c>
      <c r="P208" s="48">
        <f>IF(A208="","",IF(O208&lt;=Inicio!$B$16,"Crítico",IF(O208&lt;=Inicio!$B$17,"Observar","OK")))</f>
        <v/>
      </c>
      <c r="Q208" s="48">
        <f>IF(A208="","",IF(OR(H208="Atrasado",K208="Sin venta",N208="Pendiente relevante",P208="Crítico"),"Alta",IF(OR(K208="Venta baja",N208="Pendiente menor",P208="Observar"),"Media","Baja")))</f>
        <v/>
      </c>
      <c r="R208" s="48">
        <f>IF(A208="","",IF(Q208="Alta","Gestionar esta semana",IF(Q208="Media","Hacer seguimiento","Mantener")))</f>
        <v/>
      </c>
      <c r="S208" s="68">
        <f>IF(A208="","",IF(I208=0,"Sin venta",IF(I208&gt;=cfg_VentaAlta,"Alta",IF(I208&lt;cfg_VentaBaja,"Baja","Media"))))</f>
        <v/>
      </c>
    </row>
    <row r="209">
      <c r="A209" s="48">
        <f>IF(Clientes_PDV!A209="","",Clientes_PDV!A209)</f>
        <v/>
      </c>
      <c r="B209" s="48">
        <f>IF(A209="","",IFERROR(VLOOKUP(A209,Clientes_PDV!$A$2:$J$250,2,FALSE),""))</f>
        <v/>
      </c>
      <c r="C209" s="48">
        <f>IF(A209="","",IFERROR(VLOOKUP(A209,Clientes_PDV!$A$2:$J$250,3,FALSE),""))</f>
        <v/>
      </c>
      <c r="D209" s="48">
        <f>IF(A209="","",IFERROR(VLOOKUP(A209,Clientes_PDV!$A$2:$J$250,4,FALSE),""))</f>
        <v/>
      </c>
      <c r="E209" s="48">
        <f>IF(A209="","",IFERROR(VLOOKUP(A209,Clientes_PDV!$A$2:$J$250,7,FALSE),""))</f>
        <v/>
      </c>
      <c r="F209" s="49">
        <f>IF(A209="","",IFERROR(VLOOKUP(A209,Clientes_PDV!$A$2:$J$250,8,FALSE),""))</f>
        <v/>
      </c>
      <c r="G209" s="48">
        <f>IF(F209="","",TODAY()-F209)</f>
        <v/>
      </c>
      <c r="H209" s="48">
        <f>IF(A209="","",IF(F209="","Sin visita",IF(G209&lt;=IFERROR(VLOOKUP(E209,Inicio!$A$24:$B$26,2,FALSE),0),"Vigente","Atrasado")))</f>
        <v/>
      </c>
      <c r="I209" s="51">
        <f>IF(A209="","",SUMIFS(Ventas_SellIn!$L$2:$L$800,Ventas_SellIn!$D$2:$D$800,A209,Ventas_SellIn!$B$2:$B$800,"&gt;="&amp;TODAY()-Inicio!$B$14))</f>
        <v/>
      </c>
      <c r="J209" s="48">
        <f>IF(A209="","",SUMIFS(SellOut_Jumbo!$F$2:$F$800,SellOut_Jumbo!$C$2:$C$800,D209,SellOut_Jumbo!$A$2:$A$800,"&gt;="&amp;TODAY()-Inicio!$B$14))</f>
        <v/>
      </c>
      <c r="K209" s="48">
        <f>IF(A209="","",IF(I209=0,"Sin venta",IF(I209&lt;Inicio!$B$15,"Venta baja","Venta OK")))</f>
        <v/>
      </c>
      <c r="L209" s="48">
        <f>IF(A209="","",COUNTIFS(Ventas_SellIn!$D$2:$D$800,A209,Ventas_SellIn!$R$2:$R$800,"&gt;0"))</f>
        <v/>
      </c>
      <c r="M209" s="51">
        <f>IF(A209="","",SUMIFS(Ventas_SellIn!$R$2:$R$800,Ventas_SellIn!$D$2:$D$800,A209))</f>
        <v/>
      </c>
      <c r="N209" s="48">
        <f>IF(A209="","",IF(M209&gt;=Inicio!$B$18,"Pendiente relevante",IF(M209&gt;0,"Pendiente menor","Sin deuda")))</f>
        <v/>
      </c>
      <c r="O209" s="48">
        <f>IF(A209="","",SUMIFS(Stock_PDV!$H$2:$H$800,Stock_PDV!$A$2:$A$800,A209))</f>
        <v/>
      </c>
      <c r="P209" s="48">
        <f>IF(A209="","",IF(O209&lt;=Inicio!$B$16,"Crítico",IF(O209&lt;=Inicio!$B$17,"Observar","OK")))</f>
        <v/>
      </c>
      <c r="Q209" s="48">
        <f>IF(A209="","",IF(OR(H209="Atrasado",K209="Sin venta",N209="Pendiente relevante",P209="Crítico"),"Alta",IF(OR(K209="Venta baja",N209="Pendiente menor",P209="Observar"),"Media","Baja")))</f>
        <v/>
      </c>
      <c r="R209" s="48">
        <f>IF(A209="","",IF(Q209="Alta","Gestionar esta semana",IF(Q209="Media","Hacer seguimiento","Mantener")))</f>
        <v/>
      </c>
      <c r="S209" s="68">
        <f>IF(A209="","",IF(I209=0,"Sin venta",IF(I209&gt;=cfg_VentaAlta,"Alta",IF(I209&lt;cfg_VentaBaja,"Baja","Media"))))</f>
        <v/>
      </c>
    </row>
    <row r="210">
      <c r="A210" s="48">
        <f>IF(Clientes_PDV!A210="","",Clientes_PDV!A210)</f>
        <v/>
      </c>
      <c r="B210" s="48">
        <f>IF(A210="","",IFERROR(VLOOKUP(A210,Clientes_PDV!$A$2:$J$250,2,FALSE),""))</f>
        <v/>
      </c>
      <c r="C210" s="48">
        <f>IF(A210="","",IFERROR(VLOOKUP(A210,Clientes_PDV!$A$2:$J$250,3,FALSE),""))</f>
        <v/>
      </c>
      <c r="D210" s="48">
        <f>IF(A210="","",IFERROR(VLOOKUP(A210,Clientes_PDV!$A$2:$J$250,4,FALSE),""))</f>
        <v/>
      </c>
      <c r="E210" s="48">
        <f>IF(A210="","",IFERROR(VLOOKUP(A210,Clientes_PDV!$A$2:$J$250,7,FALSE),""))</f>
        <v/>
      </c>
      <c r="F210" s="49">
        <f>IF(A210="","",IFERROR(VLOOKUP(A210,Clientes_PDV!$A$2:$J$250,8,FALSE),""))</f>
        <v/>
      </c>
      <c r="G210" s="48">
        <f>IF(F210="","",TODAY()-F210)</f>
        <v/>
      </c>
      <c r="H210" s="48">
        <f>IF(A210="","",IF(F210="","Sin visita",IF(G210&lt;=IFERROR(VLOOKUP(E210,Inicio!$A$24:$B$26,2,FALSE),0),"Vigente","Atrasado")))</f>
        <v/>
      </c>
      <c r="I210" s="51">
        <f>IF(A210="","",SUMIFS(Ventas_SellIn!$L$2:$L$800,Ventas_SellIn!$D$2:$D$800,A210,Ventas_SellIn!$B$2:$B$800,"&gt;="&amp;TODAY()-Inicio!$B$14))</f>
        <v/>
      </c>
      <c r="J210" s="48">
        <f>IF(A210="","",SUMIFS(SellOut_Jumbo!$F$2:$F$800,SellOut_Jumbo!$C$2:$C$800,D210,SellOut_Jumbo!$A$2:$A$800,"&gt;="&amp;TODAY()-Inicio!$B$14))</f>
        <v/>
      </c>
      <c r="K210" s="48">
        <f>IF(A210="","",IF(I210=0,"Sin venta",IF(I210&lt;Inicio!$B$15,"Venta baja","Venta OK")))</f>
        <v/>
      </c>
      <c r="L210" s="48">
        <f>IF(A210="","",COUNTIFS(Ventas_SellIn!$D$2:$D$800,A210,Ventas_SellIn!$R$2:$R$800,"&gt;0"))</f>
        <v/>
      </c>
      <c r="M210" s="51">
        <f>IF(A210="","",SUMIFS(Ventas_SellIn!$R$2:$R$800,Ventas_SellIn!$D$2:$D$800,A210))</f>
        <v/>
      </c>
      <c r="N210" s="48">
        <f>IF(A210="","",IF(M210&gt;=Inicio!$B$18,"Pendiente relevante",IF(M210&gt;0,"Pendiente menor","Sin deuda")))</f>
        <v/>
      </c>
      <c r="O210" s="48">
        <f>IF(A210="","",SUMIFS(Stock_PDV!$H$2:$H$800,Stock_PDV!$A$2:$A$800,A210))</f>
        <v/>
      </c>
      <c r="P210" s="48">
        <f>IF(A210="","",IF(O210&lt;=Inicio!$B$16,"Crítico",IF(O210&lt;=Inicio!$B$17,"Observar","OK")))</f>
        <v/>
      </c>
      <c r="Q210" s="48">
        <f>IF(A210="","",IF(OR(H210="Atrasado",K210="Sin venta",N210="Pendiente relevante",P210="Crítico"),"Alta",IF(OR(K210="Venta baja",N210="Pendiente menor",P210="Observar"),"Media","Baja")))</f>
        <v/>
      </c>
      <c r="R210" s="48">
        <f>IF(A210="","",IF(Q210="Alta","Gestionar esta semana",IF(Q210="Media","Hacer seguimiento","Mantener")))</f>
        <v/>
      </c>
      <c r="S210" s="68">
        <f>IF(A210="","",IF(I210=0,"Sin venta",IF(I210&gt;=cfg_VentaAlta,"Alta",IF(I210&lt;cfg_VentaBaja,"Baja","Media"))))</f>
        <v/>
      </c>
    </row>
    <row r="211">
      <c r="A211" s="48">
        <f>IF(Clientes_PDV!A211="","",Clientes_PDV!A211)</f>
        <v/>
      </c>
      <c r="B211" s="48">
        <f>IF(A211="","",IFERROR(VLOOKUP(A211,Clientes_PDV!$A$2:$J$250,2,FALSE),""))</f>
        <v/>
      </c>
      <c r="C211" s="48">
        <f>IF(A211="","",IFERROR(VLOOKUP(A211,Clientes_PDV!$A$2:$J$250,3,FALSE),""))</f>
        <v/>
      </c>
      <c r="D211" s="48">
        <f>IF(A211="","",IFERROR(VLOOKUP(A211,Clientes_PDV!$A$2:$J$250,4,FALSE),""))</f>
        <v/>
      </c>
      <c r="E211" s="48">
        <f>IF(A211="","",IFERROR(VLOOKUP(A211,Clientes_PDV!$A$2:$J$250,7,FALSE),""))</f>
        <v/>
      </c>
      <c r="F211" s="49">
        <f>IF(A211="","",IFERROR(VLOOKUP(A211,Clientes_PDV!$A$2:$J$250,8,FALSE),""))</f>
        <v/>
      </c>
      <c r="G211" s="48">
        <f>IF(F211="","",TODAY()-F211)</f>
        <v/>
      </c>
      <c r="H211" s="48">
        <f>IF(A211="","",IF(F211="","Sin visita",IF(G211&lt;=IFERROR(VLOOKUP(E211,Inicio!$A$24:$B$26,2,FALSE),0),"Vigente","Atrasado")))</f>
        <v/>
      </c>
      <c r="I211" s="51">
        <f>IF(A211="","",SUMIFS(Ventas_SellIn!$L$2:$L$800,Ventas_SellIn!$D$2:$D$800,A211,Ventas_SellIn!$B$2:$B$800,"&gt;="&amp;TODAY()-Inicio!$B$14))</f>
        <v/>
      </c>
      <c r="J211" s="48">
        <f>IF(A211="","",SUMIFS(SellOut_Jumbo!$F$2:$F$800,SellOut_Jumbo!$C$2:$C$800,D211,SellOut_Jumbo!$A$2:$A$800,"&gt;="&amp;TODAY()-Inicio!$B$14))</f>
        <v/>
      </c>
      <c r="K211" s="48">
        <f>IF(A211="","",IF(I211=0,"Sin venta",IF(I211&lt;Inicio!$B$15,"Venta baja","Venta OK")))</f>
        <v/>
      </c>
      <c r="L211" s="48">
        <f>IF(A211="","",COUNTIFS(Ventas_SellIn!$D$2:$D$800,A211,Ventas_SellIn!$R$2:$R$800,"&gt;0"))</f>
        <v/>
      </c>
      <c r="M211" s="51">
        <f>IF(A211="","",SUMIFS(Ventas_SellIn!$R$2:$R$800,Ventas_SellIn!$D$2:$D$800,A211))</f>
        <v/>
      </c>
      <c r="N211" s="48">
        <f>IF(A211="","",IF(M211&gt;=Inicio!$B$18,"Pendiente relevante",IF(M211&gt;0,"Pendiente menor","Sin deuda")))</f>
        <v/>
      </c>
      <c r="O211" s="48">
        <f>IF(A211="","",SUMIFS(Stock_PDV!$H$2:$H$800,Stock_PDV!$A$2:$A$800,A211))</f>
        <v/>
      </c>
      <c r="P211" s="48">
        <f>IF(A211="","",IF(O211&lt;=Inicio!$B$16,"Crítico",IF(O211&lt;=Inicio!$B$17,"Observar","OK")))</f>
        <v/>
      </c>
      <c r="Q211" s="48">
        <f>IF(A211="","",IF(OR(H211="Atrasado",K211="Sin venta",N211="Pendiente relevante",P211="Crítico"),"Alta",IF(OR(K211="Venta baja",N211="Pendiente menor",P211="Observar"),"Media","Baja")))</f>
        <v/>
      </c>
      <c r="R211" s="48">
        <f>IF(A211="","",IF(Q211="Alta","Gestionar esta semana",IF(Q211="Media","Hacer seguimiento","Mantener")))</f>
        <v/>
      </c>
      <c r="S211" s="68">
        <f>IF(A211="","",IF(I211=0,"Sin venta",IF(I211&gt;=cfg_VentaAlta,"Alta",IF(I211&lt;cfg_VentaBaja,"Baja","Media"))))</f>
        <v/>
      </c>
    </row>
    <row r="212">
      <c r="A212" s="48">
        <f>IF(Clientes_PDV!A212="","",Clientes_PDV!A212)</f>
        <v/>
      </c>
      <c r="B212" s="48">
        <f>IF(A212="","",IFERROR(VLOOKUP(A212,Clientes_PDV!$A$2:$J$250,2,FALSE),""))</f>
        <v/>
      </c>
      <c r="C212" s="48">
        <f>IF(A212="","",IFERROR(VLOOKUP(A212,Clientes_PDV!$A$2:$J$250,3,FALSE),""))</f>
        <v/>
      </c>
      <c r="D212" s="48">
        <f>IF(A212="","",IFERROR(VLOOKUP(A212,Clientes_PDV!$A$2:$J$250,4,FALSE),""))</f>
        <v/>
      </c>
      <c r="E212" s="48">
        <f>IF(A212="","",IFERROR(VLOOKUP(A212,Clientes_PDV!$A$2:$J$250,7,FALSE),""))</f>
        <v/>
      </c>
      <c r="F212" s="49">
        <f>IF(A212="","",IFERROR(VLOOKUP(A212,Clientes_PDV!$A$2:$J$250,8,FALSE),""))</f>
        <v/>
      </c>
      <c r="G212" s="48">
        <f>IF(F212="","",TODAY()-F212)</f>
        <v/>
      </c>
      <c r="H212" s="48">
        <f>IF(A212="","",IF(F212="","Sin visita",IF(G212&lt;=IFERROR(VLOOKUP(E212,Inicio!$A$24:$B$26,2,FALSE),0),"Vigente","Atrasado")))</f>
        <v/>
      </c>
      <c r="I212" s="51">
        <f>IF(A212="","",SUMIFS(Ventas_SellIn!$L$2:$L$800,Ventas_SellIn!$D$2:$D$800,A212,Ventas_SellIn!$B$2:$B$800,"&gt;="&amp;TODAY()-Inicio!$B$14))</f>
        <v/>
      </c>
      <c r="J212" s="48">
        <f>IF(A212="","",SUMIFS(SellOut_Jumbo!$F$2:$F$800,SellOut_Jumbo!$C$2:$C$800,D212,SellOut_Jumbo!$A$2:$A$800,"&gt;="&amp;TODAY()-Inicio!$B$14))</f>
        <v/>
      </c>
      <c r="K212" s="48">
        <f>IF(A212="","",IF(I212=0,"Sin venta",IF(I212&lt;Inicio!$B$15,"Venta baja","Venta OK")))</f>
        <v/>
      </c>
      <c r="L212" s="48">
        <f>IF(A212="","",COUNTIFS(Ventas_SellIn!$D$2:$D$800,A212,Ventas_SellIn!$R$2:$R$800,"&gt;0"))</f>
        <v/>
      </c>
      <c r="M212" s="51">
        <f>IF(A212="","",SUMIFS(Ventas_SellIn!$R$2:$R$800,Ventas_SellIn!$D$2:$D$800,A212))</f>
        <v/>
      </c>
      <c r="N212" s="48">
        <f>IF(A212="","",IF(M212&gt;=Inicio!$B$18,"Pendiente relevante",IF(M212&gt;0,"Pendiente menor","Sin deuda")))</f>
        <v/>
      </c>
      <c r="O212" s="48">
        <f>IF(A212="","",SUMIFS(Stock_PDV!$H$2:$H$800,Stock_PDV!$A$2:$A$800,A212))</f>
        <v/>
      </c>
      <c r="P212" s="48">
        <f>IF(A212="","",IF(O212&lt;=Inicio!$B$16,"Crítico",IF(O212&lt;=Inicio!$B$17,"Observar","OK")))</f>
        <v/>
      </c>
      <c r="Q212" s="48">
        <f>IF(A212="","",IF(OR(H212="Atrasado",K212="Sin venta",N212="Pendiente relevante",P212="Crítico"),"Alta",IF(OR(K212="Venta baja",N212="Pendiente menor",P212="Observar"),"Media","Baja")))</f>
        <v/>
      </c>
      <c r="R212" s="48">
        <f>IF(A212="","",IF(Q212="Alta","Gestionar esta semana",IF(Q212="Media","Hacer seguimiento","Mantener")))</f>
        <v/>
      </c>
      <c r="S212" s="68">
        <f>IF(A212="","",IF(I212=0,"Sin venta",IF(I212&gt;=cfg_VentaAlta,"Alta",IF(I212&lt;cfg_VentaBaja,"Baja","Media"))))</f>
        <v/>
      </c>
    </row>
    <row r="213">
      <c r="A213" s="48">
        <f>IF(Clientes_PDV!A213="","",Clientes_PDV!A213)</f>
        <v/>
      </c>
      <c r="B213" s="48">
        <f>IF(A213="","",IFERROR(VLOOKUP(A213,Clientes_PDV!$A$2:$J$250,2,FALSE),""))</f>
        <v/>
      </c>
      <c r="C213" s="48">
        <f>IF(A213="","",IFERROR(VLOOKUP(A213,Clientes_PDV!$A$2:$J$250,3,FALSE),""))</f>
        <v/>
      </c>
      <c r="D213" s="48">
        <f>IF(A213="","",IFERROR(VLOOKUP(A213,Clientes_PDV!$A$2:$J$250,4,FALSE),""))</f>
        <v/>
      </c>
      <c r="E213" s="48">
        <f>IF(A213="","",IFERROR(VLOOKUP(A213,Clientes_PDV!$A$2:$J$250,7,FALSE),""))</f>
        <v/>
      </c>
      <c r="F213" s="49">
        <f>IF(A213="","",IFERROR(VLOOKUP(A213,Clientes_PDV!$A$2:$J$250,8,FALSE),""))</f>
        <v/>
      </c>
      <c r="G213" s="48">
        <f>IF(F213="","",TODAY()-F213)</f>
        <v/>
      </c>
      <c r="H213" s="48">
        <f>IF(A213="","",IF(F213="","Sin visita",IF(G213&lt;=IFERROR(VLOOKUP(E213,Inicio!$A$24:$B$26,2,FALSE),0),"Vigente","Atrasado")))</f>
        <v/>
      </c>
      <c r="I213" s="51">
        <f>IF(A213="","",SUMIFS(Ventas_SellIn!$L$2:$L$800,Ventas_SellIn!$D$2:$D$800,A213,Ventas_SellIn!$B$2:$B$800,"&gt;="&amp;TODAY()-Inicio!$B$14))</f>
        <v/>
      </c>
      <c r="J213" s="48">
        <f>IF(A213="","",SUMIFS(SellOut_Jumbo!$F$2:$F$800,SellOut_Jumbo!$C$2:$C$800,D213,SellOut_Jumbo!$A$2:$A$800,"&gt;="&amp;TODAY()-Inicio!$B$14))</f>
        <v/>
      </c>
      <c r="K213" s="48">
        <f>IF(A213="","",IF(I213=0,"Sin venta",IF(I213&lt;Inicio!$B$15,"Venta baja","Venta OK")))</f>
        <v/>
      </c>
      <c r="L213" s="48">
        <f>IF(A213="","",COUNTIFS(Ventas_SellIn!$D$2:$D$800,A213,Ventas_SellIn!$R$2:$R$800,"&gt;0"))</f>
        <v/>
      </c>
      <c r="M213" s="51">
        <f>IF(A213="","",SUMIFS(Ventas_SellIn!$R$2:$R$800,Ventas_SellIn!$D$2:$D$800,A213))</f>
        <v/>
      </c>
      <c r="N213" s="48">
        <f>IF(A213="","",IF(M213&gt;=Inicio!$B$18,"Pendiente relevante",IF(M213&gt;0,"Pendiente menor","Sin deuda")))</f>
        <v/>
      </c>
      <c r="O213" s="48">
        <f>IF(A213="","",SUMIFS(Stock_PDV!$H$2:$H$800,Stock_PDV!$A$2:$A$800,A213))</f>
        <v/>
      </c>
      <c r="P213" s="48">
        <f>IF(A213="","",IF(O213&lt;=Inicio!$B$16,"Crítico",IF(O213&lt;=Inicio!$B$17,"Observar","OK")))</f>
        <v/>
      </c>
      <c r="Q213" s="48">
        <f>IF(A213="","",IF(OR(H213="Atrasado",K213="Sin venta",N213="Pendiente relevante",P213="Crítico"),"Alta",IF(OR(K213="Venta baja",N213="Pendiente menor",P213="Observar"),"Media","Baja")))</f>
        <v/>
      </c>
      <c r="R213" s="48">
        <f>IF(A213="","",IF(Q213="Alta","Gestionar esta semana",IF(Q213="Media","Hacer seguimiento","Mantener")))</f>
        <v/>
      </c>
      <c r="S213" s="68">
        <f>IF(A213="","",IF(I213=0,"Sin venta",IF(I213&gt;=cfg_VentaAlta,"Alta",IF(I213&lt;cfg_VentaBaja,"Baja","Media"))))</f>
        <v/>
      </c>
    </row>
    <row r="214">
      <c r="A214" s="48">
        <f>IF(Clientes_PDV!A214="","",Clientes_PDV!A214)</f>
        <v/>
      </c>
      <c r="B214" s="48">
        <f>IF(A214="","",IFERROR(VLOOKUP(A214,Clientes_PDV!$A$2:$J$250,2,FALSE),""))</f>
        <v/>
      </c>
      <c r="C214" s="48">
        <f>IF(A214="","",IFERROR(VLOOKUP(A214,Clientes_PDV!$A$2:$J$250,3,FALSE),""))</f>
        <v/>
      </c>
      <c r="D214" s="48">
        <f>IF(A214="","",IFERROR(VLOOKUP(A214,Clientes_PDV!$A$2:$J$250,4,FALSE),""))</f>
        <v/>
      </c>
      <c r="E214" s="48">
        <f>IF(A214="","",IFERROR(VLOOKUP(A214,Clientes_PDV!$A$2:$J$250,7,FALSE),""))</f>
        <v/>
      </c>
      <c r="F214" s="49">
        <f>IF(A214="","",IFERROR(VLOOKUP(A214,Clientes_PDV!$A$2:$J$250,8,FALSE),""))</f>
        <v/>
      </c>
      <c r="G214" s="48">
        <f>IF(F214="","",TODAY()-F214)</f>
        <v/>
      </c>
      <c r="H214" s="48">
        <f>IF(A214="","",IF(F214="","Sin visita",IF(G214&lt;=IFERROR(VLOOKUP(E214,Inicio!$A$24:$B$26,2,FALSE),0),"Vigente","Atrasado")))</f>
        <v/>
      </c>
      <c r="I214" s="51">
        <f>IF(A214="","",SUMIFS(Ventas_SellIn!$L$2:$L$800,Ventas_SellIn!$D$2:$D$800,A214,Ventas_SellIn!$B$2:$B$800,"&gt;="&amp;TODAY()-Inicio!$B$14))</f>
        <v/>
      </c>
      <c r="J214" s="48">
        <f>IF(A214="","",SUMIFS(SellOut_Jumbo!$F$2:$F$800,SellOut_Jumbo!$C$2:$C$800,D214,SellOut_Jumbo!$A$2:$A$800,"&gt;="&amp;TODAY()-Inicio!$B$14))</f>
        <v/>
      </c>
      <c r="K214" s="48">
        <f>IF(A214="","",IF(I214=0,"Sin venta",IF(I214&lt;Inicio!$B$15,"Venta baja","Venta OK")))</f>
        <v/>
      </c>
      <c r="L214" s="48">
        <f>IF(A214="","",COUNTIFS(Ventas_SellIn!$D$2:$D$800,A214,Ventas_SellIn!$R$2:$R$800,"&gt;0"))</f>
        <v/>
      </c>
      <c r="M214" s="51">
        <f>IF(A214="","",SUMIFS(Ventas_SellIn!$R$2:$R$800,Ventas_SellIn!$D$2:$D$800,A214))</f>
        <v/>
      </c>
      <c r="N214" s="48">
        <f>IF(A214="","",IF(M214&gt;=Inicio!$B$18,"Pendiente relevante",IF(M214&gt;0,"Pendiente menor","Sin deuda")))</f>
        <v/>
      </c>
      <c r="O214" s="48">
        <f>IF(A214="","",SUMIFS(Stock_PDV!$H$2:$H$800,Stock_PDV!$A$2:$A$800,A214))</f>
        <v/>
      </c>
      <c r="P214" s="48">
        <f>IF(A214="","",IF(O214&lt;=Inicio!$B$16,"Crítico",IF(O214&lt;=Inicio!$B$17,"Observar","OK")))</f>
        <v/>
      </c>
      <c r="Q214" s="48">
        <f>IF(A214="","",IF(OR(H214="Atrasado",K214="Sin venta",N214="Pendiente relevante",P214="Crítico"),"Alta",IF(OR(K214="Venta baja",N214="Pendiente menor",P214="Observar"),"Media","Baja")))</f>
        <v/>
      </c>
      <c r="R214" s="48">
        <f>IF(A214="","",IF(Q214="Alta","Gestionar esta semana",IF(Q214="Media","Hacer seguimiento","Mantener")))</f>
        <v/>
      </c>
      <c r="S214" s="68">
        <f>IF(A214="","",IF(I214=0,"Sin venta",IF(I214&gt;=cfg_VentaAlta,"Alta",IF(I214&lt;cfg_VentaBaja,"Baja","Media"))))</f>
        <v/>
      </c>
    </row>
    <row r="215">
      <c r="A215" s="48">
        <f>IF(Clientes_PDV!A215="","",Clientes_PDV!A215)</f>
        <v/>
      </c>
      <c r="B215" s="48">
        <f>IF(A215="","",IFERROR(VLOOKUP(A215,Clientes_PDV!$A$2:$J$250,2,FALSE),""))</f>
        <v/>
      </c>
      <c r="C215" s="48">
        <f>IF(A215="","",IFERROR(VLOOKUP(A215,Clientes_PDV!$A$2:$J$250,3,FALSE),""))</f>
        <v/>
      </c>
      <c r="D215" s="48">
        <f>IF(A215="","",IFERROR(VLOOKUP(A215,Clientes_PDV!$A$2:$J$250,4,FALSE),""))</f>
        <v/>
      </c>
      <c r="E215" s="48">
        <f>IF(A215="","",IFERROR(VLOOKUP(A215,Clientes_PDV!$A$2:$J$250,7,FALSE),""))</f>
        <v/>
      </c>
      <c r="F215" s="49">
        <f>IF(A215="","",IFERROR(VLOOKUP(A215,Clientes_PDV!$A$2:$J$250,8,FALSE),""))</f>
        <v/>
      </c>
      <c r="G215" s="48">
        <f>IF(F215="","",TODAY()-F215)</f>
        <v/>
      </c>
      <c r="H215" s="48">
        <f>IF(A215="","",IF(F215="","Sin visita",IF(G215&lt;=IFERROR(VLOOKUP(E215,Inicio!$A$24:$B$26,2,FALSE),0),"Vigente","Atrasado")))</f>
        <v/>
      </c>
      <c r="I215" s="51">
        <f>IF(A215="","",SUMIFS(Ventas_SellIn!$L$2:$L$800,Ventas_SellIn!$D$2:$D$800,A215,Ventas_SellIn!$B$2:$B$800,"&gt;="&amp;TODAY()-Inicio!$B$14))</f>
        <v/>
      </c>
      <c r="J215" s="48">
        <f>IF(A215="","",SUMIFS(SellOut_Jumbo!$F$2:$F$800,SellOut_Jumbo!$C$2:$C$800,D215,SellOut_Jumbo!$A$2:$A$800,"&gt;="&amp;TODAY()-Inicio!$B$14))</f>
        <v/>
      </c>
      <c r="K215" s="48">
        <f>IF(A215="","",IF(I215=0,"Sin venta",IF(I215&lt;Inicio!$B$15,"Venta baja","Venta OK")))</f>
        <v/>
      </c>
      <c r="L215" s="48">
        <f>IF(A215="","",COUNTIFS(Ventas_SellIn!$D$2:$D$800,A215,Ventas_SellIn!$R$2:$R$800,"&gt;0"))</f>
        <v/>
      </c>
      <c r="M215" s="51">
        <f>IF(A215="","",SUMIFS(Ventas_SellIn!$R$2:$R$800,Ventas_SellIn!$D$2:$D$800,A215))</f>
        <v/>
      </c>
      <c r="N215" s="48">
        <f>IF(A215="","",IF(M215&gt;=Inicio!$B$18,"Pendiente relevante",IF(M215&gt;0,"Pendiente menor","Sin deuda")))</f>
        <v/>
      </c>
      <c r="O215" s="48">
        <f>IF(A215="","",SUMIFS(Stock_PDV!$H$2:$H$800,Stock_PDV!$A$2:$A$800,A215))</f>
        <v/>
      </c>
      <c r="P215" s="48">
        <f>IF(A215="","",IF(O215&lt;=Inicio!$B$16,"Crítico",IF(O215&lt;=Inicio!$B$17,"Observar","OK")))</f>
        <v/>
      </c>
      <c r="Q215" s="48">
        <f>IF(A215="","",IF(OR(H215="Atrasado",K215="Sin venta",N215="Pendiente relevante",P215="Crítico"),"Alta",IF(OR(K215="Venta baja",N215="Pendiente menor",P215="Observar"),"Media","Baja")))</f>
        <v/>
      </c>
      <c r="R215" s="48">
        <f>IF(A215="","",IF(Q215="Alta","Gestionar esta semana",IF(Q215="Media","Hacer seguimiento","Mantener")))</f>
        <v/>
      </c>
      <c r="S215" s="68">
        <f>IF(A215="","",IF(I215=0,"Sin venta",IF(I215&gt;=cfg_VentaAlta,"Alta",IF(I215&lt;cfg_VentaBaja,"Baja","Media"))))</f>
        <v/>
      </c>
    </row>
    <row r="216">
      <c r="A216" s="48">
        <f>IF(Clientes_PDV!A216="","",Clientes_PDV!A216)</f>
        <v/>
      </c>
      <c r="B216" s="48">
        <f>IF(A216="","",IFERROR(VLOOKUP(A216,Clientes_PDV!$A$2:$J$250,2,FALSE),""))</f>
        <v/>
      </c>
      <c r="C216" s="48">
        <f>IF(A216="","",IFERROR(VLOOKUP(A216,Clientes_PDV!$A$2:$J$250,3,FALSE),""))</f>
        <v/>
      </c>
      <c r="D216" s="48">
        <f>IF(A216="","",IFERROR(VLOOKUP(A216,Clientes_PDV!$A$2:$J$250,4,FALSE),""))</f>
        <v/>
      </c>
      <c r="E216" s="48">
        <f>IF(A216="","",IFERROR(VLOOKUP(A216,Clientes_PDV!$A$2:$J$250,7,FALSE),""))</f>
        <v/>
      </c>
      <c r="F216" s="49">
        <f>IF(A216="","",IFERROR(VLOOKUP(A216,Clientes_PDV!$A$2:$J$250,8,FALSE),""))</f>
        <v/>
      </c>
      <c r="G216" s="48">
        <f>IF(F216="","",TODAY()-F216)</f>
        <v/>
      </c>
      <c r="H216" s="48">
        <f>IF(A216="","",IF(F216="","Sin visita",IF(G216&lt;=IFERROR(VLOOKUP(E216,Inicio!$A$24:$B$26,2,FALSE),0),"Vigente","Atrasado")))</f>
        <v/>
      </c>
      <c r="I216" s="51">
        <f>IF(A216="","",SUMIFS(Ventas_SellIn!$L$2:$L$800,Ventas_SellIn!$D$2:$D$800,A216,Ventas_SellIn!$B$2:$B$800,"&gt;="&amp;TODAY()-Inicio!$B$14))</f>
        <v/>
      </c>
      <c r="J216" s="48">
        <f>IF(A216="","",SUMIFS(SellOut_Jumbo!$F$2:$F$800,SellOut_Jumbo!$C$2:$C$800,D216,SellOut_Jumbo!$A$2:$A$800,"&gt;="&amp;TODAY()-Inicio!$B$14))</f>
        <v/>
      </c>
      <c r="K216" s="48">
        <f>IF(A216="","",IF(I216=0,"Sin venta",IF(I216&lt;Inicio!$B$15,"Venta baja","Venta OK")))</f>
        <v/>
      </c>
      <c r="L216" s="48">
        <f>IF(A216="","",COUNTIFS(Ventas_SellIn!$D$2:$D$800,A216,Ventas_SellIn!$R$2:$R$800,"&gt;0"))</f>
        <v/>
      </c>
      <c r="M216" s="51">
        <f>IF(A216="","",SUMIFS(Ventas_SellIn!$R$2:$R$800,Ventas_SellIn!$D$2:$D$800,A216))</f>
        <v/>
      </c>
      <c r="N216" s="48">
        <f>IF(A216="","",IF(M216&gt;=Inicio!$B$18,"Pendiente relevante",IF(M216&gt;0,"Pendiente menor","Sin deuda")))</f>
        <v/>
      </c>
      <c r="O216" s="48">
        <f>IF(A216="","",SUMIFS(Stock_PDV!$H$2:$H$800,Stock_PDV!$A$2:$A$800,A216))</f>
        <v/>
      </c>
      <c r="P216" s="48">
        <f>IF(A216="","",IF(O216&lt;=Inicio!$B$16,"Crítico",IF(O216&lt;=Inicio!$B$17,"Observar","OK")))</f>
        <v/>
      </c>
      <c r="Q216" s="48">
        <f>IF(A216="","",IF(OR(H216="Atrasado",K216="Sin venta",N216="Pendiente relevante",P216="Crítico"),"Alta",IF(OR(K216="Venta baja",N216="Pendiente menor",P216="Observar"),"Media","Baja")))</f>
        <v/>
      </c>
      <c r="R216" s="48">
        <f>IF(A216="","",IF(Q216="Alta","Gestionar esta semana",IF(Q216="Media","Hacer seguimiento","Mantener")))</f>
        <v/>
      </c>
      <c r="S216" s="68">
        <f>IF(A216="","",IF(I216=0,"Sin venta",IF(I216&gt;=cfg_VentaAlta,"Alta",IF(I216&lt;cfg_VentaBaja,"Baja","Media"))))</f>
        <v/>
      </c>
    </row>
    <row r="217">
      <c r="A217" s="48">
        <f>IF(Clientes_PDV!A217="","",Clientes_PDV!A217)</f>
        <v/>
      </c>
      <c r="B217" s="48">
        <f>IF(A217="","",IFERROR(VLOOKUP(A217,Clientes_PDV!$A$2:$J$250,2,FALSE),""))</f>
        <v/>
      </c>
      <c r="C217" s="48">
        <f>IF(A217="","",IFERROR(VLOOKUP(A217,Clientes_PDV!$A$2:$J$250,3,FALSE),""))</f>
        <v/>
      </c>
      <c r="D217" s="48">
        <f>IF(A217="","",IFERROR(VLOOKUP(A217,Clientes_PDV!$A$2:$J$250,4,FALSE),""))</f>
        <v/>
      </c>
      <c r="E217" s="48">
        <f>IF(A217="","",IFERROR(VLOOKUP(A217,Clientes_PDV!$A$2:$J$250,7,FALSE),""))</f>
        <v/>
      </c>
      <c r="F217" s="49">
        <f>IF(A217="","",IFERROR(VLOOKUP(A217,Clientes_PDV!$A$2:$J$250,8,FALSE),""))</f>
        <v/>
      </c>
      <c r="G217" s="48">
        <f>IF(F217="","",TODAY()-F217)</f>
        <v/>
      </c>
      <c r="H217" s="48">
        <f>IF(A217="","",IF(F217="","Sin visita",IF(G217&lt;=IFERROR(VLOOKUP(E217,Inicio!$A$24:$B$26,2,FALSE),0),"Vigente","Atrasado")))</f>
        <v/>
      </c>
      <c r="I217" s="51">
        <f>IF(A217="","",SUMIFS(Ventas_SellIn!$L$2:$L$800,Ventas_SellIn!$D$2:$D$800,A217,Ventas_SellIn!$B$2:$B$800,"&gt;="&amp;TODAY()-Inicio!$B$14))</f>
        <v/>
      </c>
      <c r="J217" s="48">
        <f>IF(A217="","",SUMIFS(SellOut_Jumbo!$F$2:$F$800,SellOut_Jumbo!$C$2:$C$800,D217,SellOut_Jumbo!$A$2:$A$800,"&gt;="&amp;TODAY()-Inicio!$B$14))</f>
        <v/>
      </c>
      <c r="K217" s="48">
        <f>IF(A217="","",IF(I217=0,"Sin venta",IF(I217&lt;Inicio!$B$15,"Venta baja","Venta OK")))</f>
        <v/>
      </c>
      <c r="L217" s="48">
        <f>IF(A217="","",COUNTIFS(Ventas_SellIn!$D$2:$D$800,A217,Ventas_SellIn!$R$2:$R$800,"&gt;0"))</f>
        <v/>
      </c>
      <c r="M217" s="51">
        <f>IF(A217="","",SUMIFS(Ventas_SellIn!$R$2:$R$800,Ventas_SellIn!$D$2:$D$800,A217))</f>
        <v/>
      </c>
      <c r="N217" s="48">
        <f>IF(A217="","",IF(M217&gt;=Inicio!$B$18,"Pendiente relevante",IF(M217&gt;0,"Pendiente menor","Sin deuda")))</f>
        <v/>
      </c>
      <c r="O217" s="48">
        <f>IF(A217="","",SUMIFS(Stock_PDV!$H$2:$H$800,Stock_PDV!$A$2:$A$800,A217))</f>
        <v/>
      </c>
      <c r="P217" s="48">
        <f>IF(A217="","",IF(O217&lt;=Inicio!$B$16,"Crítico",IF(O217&lt;=Inicio!$B$17,"Observar","OK")))</f>
        <v/>
      </c>
      <c r="Q217" s="48">
        <f>IF(A217="","",IF(OR(H217="Atrasado",K217="Sin venta",N217="Pendiente relevante",P217="Crítico"),"Alta",IF(OR(K217="Venta baja",N217="Pendiente menor",P217="Observar"),"Media","Baja")))</f>
        <v/>
      </c>
      <c r="R217" s="48">
        <f>IF(A217="","",IF(Q217="Alta","Gestionar esta semana",IF(Q217="Media","Hacer seguimiento","Mantener")))</f>
        <v/>
      </c>
      <c r="S217" s="68">
        <f>IF(A217="","",IF(I217=0,"Sin venta",IF(I217&gt;=cfg_VentaAlta,"Alta",IF(I217&lt;cfg_VentaBaja,"Baja","Media"))))</f>
        <v/>
      </c>
    </row>
    <row r="218">
      <c r="A218" s="48">
        <f>IF(Clientes_PDV!A218="","",Clientes_PDV!A218)</f>
        <v/>
      </c>
      <c r="B218" s="48">
        <f>IF(A218="","",IFERROR(VLOOKUP(A218,Clientes_PDV!$A$2:$J$250,2,FALSE),""))</f>
        <v/>
      </c>
      <c r="C218" s="48">
        <f>IF(A218="","",IFERROR(VLOOKUP(A218,Clientes_PDV!$A$2:$J$250,3,FALSE),""))</f>
        <v/>
      </c>
      <c r="D218" s="48">
        <f>IF(A218="","",IFERROR(VLOOKUP(A218,Clientes_PDV!$A$2:$J$250,4,FALSE),""))</f>
        <v/>
      </c>
      <c r="E218" s="48">
        <f>IF(A218="","",IFERROR(VLOOKUP(A218,Clientes_PDV!$A$2:$J$250,7,FALSE),""))</f>
        <v/>
      </c>
      <c r="F218" s="49">
        <f>IF(A218="","",IFERROR(VLOOKUP(A218,Clientes_PDV!$A$2:$J$250,8,FALSE),""))</f>
        <v/>
      </c>
      <c r="G218" s="48">
        <f>IF(F218="","",TODAY()-F218)</f>
        <v/>
      </c>
      <c r="H218" s="48">
        <f>IF(A218="","",IF(F218="","Sin visita",IF(G218&lt;=IFERROR(VLOOKUP(E218,Inicio!$A$24:$B$26,2,FALSE),0),"Vigente","Atrasado")))</f>
        <v/>
      </c>
      <c r="I218" s="51">
        <f>IF(A218="","",SUMIFS(Ventas_SellIn!$L$2:$L$800,Ventas_SellIn!$D$2:$D$800,A218,Ventas_SellIn!$B$2:$B$800,"&gt;="&amp;TODAY()-Inicio!$B$14))</f>
        <v/>
      </c>
      <c r="J218" s="48">
        <f>IF(A218="","",SUMIFS(SellOut_Jumbo!$F$2:$F$800,SellOut_Jumbo!$C$2:$C$800,D218,SellOut_Jumbo!$A$2:$A$800,"&gt;="&amp;TODAY()-Inicio!$B$14))</f>
        <v/>
      </c>
      <c r="K218" s="48">
        <f>IF(A218="","",IF(I218=0,"Sin venta",IF(I218&lt;Inicio!$B$15,"Venta baja","Venta OK")))</f>
        <v/>
      </c>
      <c r="L218" s="48">
        <f>IF(A218="","",COUNTIFS(Ventas_SellIn!$D$2:$D$800,A218,Ventas_SellIn!$R$2:$R$800,"&gt;0"))</f>
        <v/>
      </c>
      <c r="M218" s="51">
        <f>IF(A218="","",SUMIFS(Ventas_SellIn!$R$2:$R$800,Ventas_SellIn!$D$2:$D$800,A218))</f>
        <v/>
      </c>
      <c r="N218" s="48">
        <f>IF(A218="","",IF(M218&gt;=Inicio!$B$18,"Pendiente relevante",IF(M218&gt;0,"Pendiente menor","Sin deuda")))</f>
        <v/>
      </c>
      <c r="O218" s="48">
        <f>IF(A218="","",SUMIFS(Stock_PDV!$H$2:$H$800,Stock_PDV!$A$2:$A$800,A218))</f>
        <v/>
      </c>
      <c r="P218" s="48">
        <f>IF(A218="","",IF(O218&lt;=Inicio!$B$16,"Crítico",IF(O218&lt;=Inicio!$B$17,"Observar","OK")))</f>
        <v/>
      </c>
      <c r="Q218" s="48">
        <f>IF(A218="","",IF(OR(H218="Atrasado",K218="Sin venta",N218="Pendiente relevante",P218="Crítico"),"Alta",IF(OR(K218="Venta baja",N218="Pendiente menor",P218="Observar"),"Media","Baja")))</f>
        <v/>
      </c>
      <c r="R218" s="48">
        <f>IF(A218="","",IF(Q218="Alta","Gestionar esta semana",IF(Q218="Media","Hacer seguimiento","Mantener")))</f>
        <v/>
      </c>
      <c r="S218" s="68">
        <f>IF(A218="","",IF(I218=0,"Sin venta",IF(I218&gt;=cfg_VentaAlta,"Alta",IF(I218&lt;cfg_VentaBaja,"Baja","Media"))))</f>
        <v/>
      </c>
    </row>
    <row r="219">
      <c r="A219" s="48">
        <f>IF(Clientes_PDV!A219="","",Clientes_PDV!A219)</f>
        <v/>
      </c>
      <c r="B219" s="48">
        <f>IF(A219="","",IFERROR(VLOOKUP(A219,Clientes_PDV!$A$2:$J$250,2,FALSE),""))</f>
        <v/>
      </c>
      <c r="C219" s="48">
        <f>IF(A219="","",IFERROR(VLOOKUP(A219,Clientes_PDV!$A$2:$J$250,3,FALSE),""))</f>
        <v/>
      </c>
      <c r="D219" s="48">
        <f>IF(A219="","",IFERROR(VLOOKUP(A219,Clientes_PDV!$A$2:$J$250,4,FALSE),""))</f>
        <v/>
      </c>
      <c r="E219" s="48">
        <f>IF(A219="","",IFERROR(VLOOKUP(A219,Clientes_PDV!$A$2:$J$250,7,FALSE),""))</f>
        <v/>
      </c>
      <c r="F219" s="49">
        <f>IF(A219="","",IFERROR(VLOOKUP(A219,Clientes_PDV!$A$2:$J$250,8,FALSE),""))</f>
        <v/>
      </c>
      <c r="G219" s="48">
        <f>IF(F219="","",TODAY()-F219)</f>
        <v/>
      </c>
      <c r="H219" s="48">
        <f>IF(A219="","",IF(F219="","Sin visita",IF(G219&lt;=IFERROR(VLOOKUP(E219,Inicio!$A$24:$B$26,2,FALSE),0),"Vigente","Atrasado")))</f>
        <v/>
      </c>
      <c r="I219" s="51">
        <f>IF(A219="","",SUMIFS(Ventas_SellIn!$L$2:$L$800,Ventas_SellIn!$D$2:$D$800,A219,Ventas_SellIn!$B$2:$B$800,"&gt;="&amp;TODAY()-Inicio!$B$14))</f>
        <v/>
      </c>
      <c r="J219" s="48">
        <f>IF(A219="","",SUMIFS(SellOut_Jumbo!$F$2:$F$800,SellOut_Jumbo!$C$2:$C$800,D219,SellOut_Jumbo!$A$2:$A$800,"&gt;="&amp;TODAY()-Inicio!$B$14))</f>
        <v/>
      </c>
      <c r="K219" s="48">
        <f>IF(A219="","",IF(I219=0,"Sin venta",IF(I219&lt;Inicio!$B$15,"Venta baja","Venta OK")))</f>
        <v/>
      </c>
      <c r="L219" s="48">
        <f>IF(A219="","",COUNTIFS(Ventas_SellIn!$D$2:$D$800,A219,Ventas_SellIn!$R$2:$R$800,"&gt;0"))</f>
        <v/>
      </c>
      <c r="M219" s="51">
        <f>IF(A219="","",SUMIFS(Ventas_SellIn!$R$2:$R$800,Ventas_SellIn!$D$2:$D$800,A219))</f>
        <v/>
      </c>
      <c r="N219" s="48">
        <f>IF(A219="","",IF(M219&gt;=Inicio!$B$18,"Pendiente relevante",IF(M219&gt;0,"Pendiente menor","Sin deuda")))</f>
        <v/>
      </c>
      <c r="O219" s="48">
        <f>IF(A219="","",SUMIFS(Stock_PDV!$H$2:$H$800,Stock_PDV!$A$2:$A$800,A219))</f>
        <v/>
      </c>
      <c r="P219" s="48">
        <f>IF(A219="","",IF(O219&lt;=Inicio!$B$16,"Crítico",IF(O219&lt;=Inicio!$B$17,"Observar","OK")))</f>
        <v/>
      </c>
      <c r="Q219" s="48">
        <f>IF(A219="","",IF(OR(H219="Atrasado",K219="Sin venta",N219="Pendiente relevante",P219="Crítico"),"Alta",IF(OR(K219="Venta baja",N219="Pendiente menor",P219="Observar"),"Media","Baja")))</f>
        <v/>
      </c>
      <c r="R219" s="48">
        <f>IF(A219="","",IF(Q219="Alta","Gestionar esta semana",IF(Q219="Media","Hacer seguimiento","Mantener")))</f>
        <v/>
      </c>
      <c r="S219" s="68">
        <f>IF(A219="","",IF(I219=0,"Sin venta",IF(I219&gt;=cfg_VentaAlta,"Alta",IF(I219&lt;cfg_VentaBaja,"Baja","Media"))))</f>
        <v/>
      </c>
    </row>
    <row r="220">
      <c r="A220" s="48">
        <f>IF(Clientes_PDV!A220="","",Clientes_PDV!A220)</f>
        <v/>
      </c>
      <c r="B220" s="48">
        <f>IF(A220="","",IFERROR(VLOOKUP(A220,Clientes_PDV!$A$2:$J$250,2,FALSE),""))</f>
        <v/>
      </c>
      <c r="C220" s="48">
        <f>IF(A220="","",IFERROR(VLOOKUP(A220,Clientes_PDV!$A$2:$J$250,3,FALSE),""))</f>
        <v/>
      </c>
      <c r="D220" s="48">
        <f>IF(A220="","",IFERROR(VLOOKUP(A220,Clientes_PDV!$A$2:$J$250,4,FALSE),""))</f>
        <v/>
      </c>
      <c r="E220" s="48">
        <f>IF(A220="","",IFERROR(VLOOKUP(A220,Clientes_PDV!$A$2:$J$250,7,FALSE),""))</f>
        <v/>
      </c>
      <c r="F220" s="49">
        <f>IF(A220="","",IFERROR(VLOOKUP(A220,Clientes_PDV!$A$2:$J$250,8,FALSE),""))</f>
        <v/>
      </c>
      <c r="G220" s="48">
        <f>IF(F220="","",TODAY()-F220)</f>
        <v/>
      </c>
      <c r="H220" s="48">
        <f>IF(A220="","",IF(F220="","Sin visita",IF(G220&lt;=IFERROR(VLOOKUP(E220,Inicio!$A$24:$B$26,2,FALSE),0),"Vigente","Atrasado")))</f>
        <v/>
      </c>
      <c r="I220" s="51">
        <f>IF(A220="","",SUMIFS(Ventas_SellIn!$L$2:$L$800,Ventas_SellIn!$D$2:$D$800,A220,Ventas_SellIn!$B$2:$B$800,"&gt;="&amp;TODAY()-Inicio!$B$14))</f>
        <v/>
      </c>
      <c r="J220" s="48">
        <f>IF(A220="","",SUMIFS(SellOut_Jumbo!$F$2:$F$800,SellOut_Jumbo!$C$2:$C$800,D220,SellOut_Jumbo!$A$2:$A$800,"&gt;="&amp;TODAY()-Inicio!$B$14))</f>
        <v/>
      </c>
      <c r="K220" s="48">
        <f>IF(A220="","",IF(I220=0,"Sin venta",IF(I220&lt;Inicio!$B$15,"Venta baja","Venta OK")))</f>
        <v/>
      </c>
      <c r="L220" s="48">
        <f>IF(A220="","",COUNTIFS(Ventas_SellIn!$D$2:$D$800,A220,Ventas_SellIn!$R$2:$R$800,"&gt;0"))</f>
        <v/>
      </c>
      <c r="M220" s="51">
        <f>IF(A220="","",SUMIFS(Ventas_SellIn!$R$2:$R$800,Ventas_SellIn!$D$2:$D$800,A220))</f>
        <v/>
      </c>
      <c r="N220" s="48">
        <f>IF(A220="","",IF(M220&gt;=Inicio!$B$18,"Pendiente relevante",IF(M220&gt;0,"Pendiente menor","Sin deuda")))</f>
        <v/>
      </c>
      <c r="O220" s="48">
        <f>IF(A220="","",SUMIFS(Stock_PDV!$H$2:$H$800,Stock_PDV!$A$2:$A$800,A220))</f>
        <v/>
      </c>
      <c r="P220" s="48">
        <f>IF(A220="","",IF(O220&lt;=Inicio!$B$16,"Crítico",IF(O220&lt;=Inicio!$B$17,"Observar","OK")))</f>
        <v/>
      </c>
      <c r="Q220" s="48">
        <f>IF(A220="","",IF(OR(H220="Atrasado",K220="Sin venta",N220="Pendiente relevante",P220="Crítico"),"Alta",IF(OR(K220="Venta baja",N220="Pendiente menor",P220="Observar"),"Media","Baja")))</f>
        <v/>
      </c>
      <c r="R220" s="48">
        <f>IF(A220="","",IF(Q220="Alta","Gestionar esta semana",IF(Q220="Media","Hacer seguimiento","Mantener")))</f>
        <v/>
      </c>
      <c r="S220" s="68">
        <f>IF(A220="","",IF(I220=0,"Sin venta",IF(I220&gt;=cfg_VentaAlta,"Alta",IF(I220&lt;cfg_VentaBaja,"Baja","Media"))))</f>
        <v/>
      </c>
    </row>
    <row r="221">
      <c r="A221" s="48">
        <f>IF(Clientes_PDV!A221="","",Clientes_PDV!A221)</f>
        <v/>
      </c>
      <c r="B221" s="48">
        <f>IF(A221="","",IFERROR(VLOOKUP(A221,Clientes_PDV!$A$2:$J$250,2,FALSE),""))</f>
        <v/>
      </c>
      <c r="C221" s="48">
        <f>IF(A221="","",IFERROR(VLOOKUP(A221,Clientes_PDV!$A$2:$J$250,3,FALSE),""))</f>
        <v/>
      </c>
      <c r="D221" s="48">
        <f>IF(A221="","",IFERROR(VLOOKUP(A221,Clientes_PDV!$A$2:$J$250,4,FALSE),""))</f>
        <v/>
      </c>
      <c r="E221" s="48">
        <f>IF(A221="","",IFERROR(VLOOKUP(A221,Clientes_PDV!$A$2:$J$250,7,FALSE),""))</f>
        <v/>
      </c>
      <c r="F221" s="49">
        <f>IF(A221="","",IFERROR(VLOOKUP(A221,Clientes_PDV!$A$2:$J$250,8,FALSE),""))</f>
        <v/>
      </c>
      <c r="G221" s="48">
        <f>IF(F221="","",TODAY()-F221)</f>
        <v/>
      </c>
      <c r="H221" s="48">
        <f>IF(A221="","",IF(F221="","Sin visita",IF(G221&lt;=IFERROR(VLOOKUP(E221,Inicio!$A$24:$B$26,2,FALSE),0),"Vigente","Atrasado")))</f>
        <v/>
      </c>
      <c r="I221" s="51">
        <f>IF(A221="","",SUMIFS(Ventas_SellIn!$L$2:$L$800,Ventas_SellIn!$D$2:$D$800,A221,Ventas_SellIn!$B$2:$B$800,"&gt;="&amp;TODAY()-Inicio!$B$14))</f>
        <v/>
      </c>
      <c r="J221" s="48">
        <f>IF(A221="","",SUMIFS(SellOut_Jumbo!$F$2:$F$800,SellOut_Jumbo!$C$2:$C$800,D221,SellOut_Jumbo!$A$2:$A$800,"&gt;="&amp;TODAY()-Inicio!$B$14))</f>
        <v/>
      </c>
      <c r="K221" s="48">
        <f>IF(A221="","",IF(I221=0,"Sin venta",IF(I221&lt;Inicio!$B$15,"Venta baja","Venta OK")))</f>
        <v/>
      </c>
      <c r="L221" s="48">
        <f>IF(A221="","",COUNTIFS(Ventas_SellIn!$D$2:$D$800,A221,Ventas_SellIn!$R$2:$R$800,"&gt;0"))</f>
        <v/>
      </c>
      <c r="M221" s="51">
        <f>IF(A221="","",SUMIFS(Ventas_SellIn!$R$2:$R$800,Ventas_SellIn!$D$2:$D$800,A221))</f>
        <v/>
      </c>
      <c r="N221" s="48">
        <f>IF(A221="","",IF(M221&gt;=Inicio!$B$18,"Pendiente relevante",IF(M221&gt;0,"Pendiente menor","Sin deuda")))</f>
        <v/>
      </c>
      <c r="O221" s="48">
        <f>IF(A221="","",SUMIFS(Stock_PDV!$H$2:$H$800,Stock_PDV!$A$2:$A$800,A221))</f>
        <v/>
      </c>
      <c r="P221" s="48">
        <f>IF(A221="","",IF(O221&lt;=Inicio!$B$16,"Crítico",IF(O221&lt;=Inicio!$B$17,"Observar","OK")))</f>
        <v/>
      </c>
      <c r="Q221" s="48">
        <f>IF(A221="","",IF(OR(H221="Atrasado",K221="Sin venta",N221="Pendiente relevante",P221="Crítico"),"Alta",IF(OR(K221="Venta baja",N221="Pendiente menor",P221="Observar"),"Media","Baja")))</f>
        <v/>
      </c>
      <c r="R221" s="48">
        <f>IF(A221="","",IF(Q221="Alta","Gestionar esta semana",IF(Q221="Media","Hacer seguimiento","Mantener")))</f>
        <v/>
      </c>
      <c r="S221" s="68">
        <f>IF(A221="","",IF(I221=0,"Sin venta",IF(I221&gt;=cfg_VentaAlta,"Alta",IF(I221&lt;cfg_VentaBaja,"Baja","Media"))))</f>
        <v/>
      </c>
    </row>
    <row r="222">
      <c r="A222" s="48">
        <f>IF(Clientes_PDV!A222="","",Clientes_PDV!A222)</f>
        <v/>
      </c>
      <c r="B222" s="48">
        <f>IF(A222="","",IFERROR(VLOOKUP(A222,Clientes_PDV!$A$2:$J$250,2,FALSE),""))</f>
        <v/>
      </c>
      <c r="C222" s="48">
        <f>IF(A222="","",IFERROR(VLOOKUP(A222,Clientes_PDV!$A$2:$J$250,3,FALSE),""))</f>
        <v/>
      </c>
      <c r="D222" s="48">
        <f>IF(A222="","",IFERROR(VLOOKUP(A222,Clientes_PDV!$A$2:$J$250,4,FALSE),""))</f>
        <v/>
      </c>
      <c r="E222" s="48">
        <f>IF(A222="","",IFERROR(VLOOKUP(A222,Clientes_PDV!$A$2:$J$250,7,FALSE),""))</f>
        <v/>
      </c>
      <c r="F222" s="49">
        <f>IF(A222="","",IFERROR(VLOOKUP(A222,Clientes_PDV!$A$2:$J$250,8,FALSE),""))</f>
        <v/>
      </c>
      <c r="G222" s="48">
        <f>IF(F222="","",TODAY()-F222)</f>
        <v/>
      </c>
      <c r="H222" s="48">
        <f>IF(A222="","",IF(F222="","Sin visita",IF(G222&lt;=IFERROR(VLOOKUP(E222,Inicio!$A$24:$B$26,2,FALSE),0),"Vigente","Atrasado")))</f>
        <v/>
      </c>
      <c r="I222" s="51">
        <f>IF(A222="","",SUMIFS(Ventas_SellIn!$L$2:$L$800,Ventas_SellIn!$D$2:$D$800,A222,Ventas_SellIn!$B$2:$B$800,"&gt;="&amp;TODAY()-Inicio!$B$14))</f>
        <v/>
      </c>
      <c r="J222" s="48">
        <f>IF(A222="","",SUMIFS(SellOut_Jumbo!$F$2:$F$800,SellOut_Jumbo!$C$2:$C$800,D222,SellOut_Jumbo!$A$2:$A$800,"&gt;="&amp;TODAY()-Inicio!$B$14))</f>
        <v/>
      </c>
      <c r="K222" s="48">
        <f>IF(A222="","",IF(I222=0,"Sin venta",IF(I222&lt;Inicio!$B$15,"Venta baja","Venta OK")))</f>
        <v/>
      </c>
      <c r="L222" s="48">
        <f>IF(A222="","",COUNTIFS(Ventas_SellIn!$D$2:$D$800,A222,Ventas_SellIn!$R$2:$R$800,"&gt;0"))</f>
        <v/>
      </c>
      <c r="M222" s="51">
        <f>IF(A222="","",SUMIFS(Ventas_SellIn!$R$2:$R$800,Ventas_SellIn!$D$2:$D$800,A222))</f>
        <v/>
      </c>
      <c r="N222" s="48">
        <f>IF(A222="","",IF(M222&gt;=Inicio!$B$18,"Pendiente relevante",IF(M222&gt;0,"Pendiente menor","Sin deuda")))</f>
        <v/>
      </c>
      <c r="O222" s="48">
        <f>IF(A222="","",SUMIFS(Stock_PDV!$H$2:$H$800,Stock_PDV!$A$2:$A$800,A222))</f>
        <v/>
      </c>
      <c r="P222" s="48">
        <f>IF(A222="","",IF(O222&lt;=Inicio!$B$16,"Crítico",IF(O222&lt;=Inicio!$B$17,"Observar","OK")))</f>
        <v/>
      </c>
      <c r="Q222" s="48">
        <f>IF(A222="","",IF(OR(H222="Atrasado",K222="Sin venta",N222="Pendiente relevante",P222="Crítico"),"Alta",IF(OR(K222="Venta baja",N222="Pendiente menor",P222="Observar"),"Media","Baja")))</f>
        <v/>
      </c>
      <c r="R222" s="48">
        <f>IF(A222="","",IF(Q222="Alta","Gestionar esta semana",IF(Q222="Media","Hacer seguimiento","Mantener")))</f>
        <v/>
      </c>
      <c r="S222" s="68">
        <f>IF(A222="","",IF(I222=0,"Sin venta",IF(I222&gt;=cfg_VentaAlta,"Alta",IF(I222&lt;cfg_VentaBaja,"Baja","Media"))))</f>
        <v/>
      </c>
    </row>
    <row r="223">
      <c r="A223" s="48">
        <f>IF(Clientes_PDV!A223="","",Clientes_PDV!A223)</f>
        <v/>
      </c>
      <c r="B223" s="48">
        <f>IF(A223="","",IFERROR(VLOOKUP(A223,Clientes_PDV!$A$2:$J$250,2,FALSE),""))</f>
        <v/>
      </c>
      <c r="C223" s="48">
        <f>IF(A223="","",IFERROR(VLOOKUP(A223,Clientes_PDV!$A$2:$J$250,3,FALSE),""))</f>
        <v/>
      </c>
      <c r="D223" s="48">
        <f>IF(A223="","",IFERROR(VLOOKUP(A223,Clientes_PDV!$A$2:$J$250,4,FALSE),""))</f>
        <v/>
      </c>
      <c r="E223" s="48">
        <f>IF(A223="","",IFERROR(VLOOKUP(A223,Clientes_PDV!$A$2:$J$250,7,FALSE),""))</f>
        <v/>
      </c>
      <c r="F223" s="49">
        <f>IF(A223="","",IFERROR(VLOOKUP(A223,Clientes_PDV!$A$2:$J$250,8,FALSE),""))</f>
        <v/>
      </c>
      <c r="G223" s="48">
        <f>IF(F223="","",TODAY()-F223)</f>
        <v/>
      </c>
      <c r="H223" s="48">
        <f>IF(A223="","",IF(F223="","Sin visita",IF(G223&lt;=IFERROR(VLOOKUP(E223,Inicio!$A$24:$B$26,2,FALSE),0),"Vigente","Atrasado")))</f>
        <v/>
      </c>
      <c r="I223" s="51">
        <f>IF(A223="","",SUMIFS(Ventas_SellIn!$L$2:$L$800,Ventas_SellIn!$D$2:$D$800,A223,Ventas_SellIn!$B$2:$B$800,"&gt;="&amp;TODAY()-Inicio!$B$14))</f>
        <v/>
      </c>
      <c r="J223" s="48">
        <f>IF(A223="","",SUMIFS(SellOut_Jumbo!$F$2:$F$800,SellOut_Jumbo!$C$2:$C$800,D223,SellOut_Jumbo!$A$2:$A$800,"&gt;="&amp;TODAY()-Inicio!$B$14))</f>
        <v/>
      </c>
      <c r="K223" s="48">
        <f>IF(A223="","",IF(I223=0,"Sin venta",IF(I223&lt;Inicio!$B$15,"Venta baja","Venta OK")))</f>
        <v/>
      </c>
      <c r="L223" s="48">
        <f>IF(A223="","",COUNTIFS(Ventas_SellIn!$D$2:$D$800,A223,Ventas_SellIn!$R$2:$R$800,"&gt;0"))</f>
        <v/>
      </c>
      <c r="M223" s="51">
        <f>IF(A223="","",SUMIFS(Ventas_SellIn!$R$2:$R$800,Ventas_SellIn!$D$2:$D$800,A223))</f>
        <v/>
      </c>
      <c r="N223" s="48">
        <f>IF(A223="","",IF(M223&gt;=Inicio!$B$18,"Pendiente relevante",IF(M223&gt;0,"Pendiente menor","Sin deuda")))</f>
        <v/>
      </c>
      <c r="O223" s="48">
        <f>IF(A223="","",SUMIFS(Stock_PDV!$H$2:$H$800,Stock_PDV!$A$2:$A$800,A223))</f>
        <v/>
      </c>
      <c r="P223" s="48">
        <f>IF(A223="","",IF(O223&lt;=Inicio!$B$16,"Crítico",IF(O223&lt;=Inicio!$B$17,"Observar","OK")))</f>
        <v/>
      </c>
      <c r="Q223" s="48">
        <f>IF(A223="","",IF(OR(H223="Atrasado",K223="Sin venta",N223="Pendiente relevante",P223="Crítico"),"Alta",IF(OR(K223="Venta baja",N223="Pendiente menor",P223="Observar"),"Media","Baja")))</f>
        <v/>
      </c>
      <c r="R223" s="48">
        <f>IF(A223="","",IF(Q223="Alta","Gestionar esta semana",IF(Q223="Media","Hacer seguimiento","Mantener")))</f>
        <v/>
      </c>
      <c r="S223" s="68">
        <f>IF(A223="","",IF(I223=0,"Sin venta",IF(I223&gt;=cfg_VentaAlta,"Alta",IF(I223&lt;cfg_VentaBaja,"Baja","Media"))))</f>
        <v/>
      </c>
    </row>
    <row r="224">
      <c r="A224" s="48">
        <f>IF(Clientes_PDV!A224="","",Clientes_PDV!A224)</f>
        <v/>
      </c>
      <c r="B224" s="48">
        <f>IF(A224="","",IFERROR(VLOOKUP(A224,Clientes_PDV!$A$2:$J$250,2,FALSE),""))</f>
        <v/>
      </c>
      <c r="C224" s="48">
        <f>IF(A224="","",IFERROR(VLOOKUP(A224,Clientes_PDV!$A$2:$J$250,3,FALSE),""))</f>
        <v/>
      </c>
      <c r="D224" s="48">
        <f>IF(A224="","",IFERROR(VLOOKUP(A224,Clientes_PDV!$A$2:$J$250,4,FALSE),""))</f>
        <v/>
      </c>
      <c r="E224" s="48">
        <f>IF(A224="","",IFERROR(VLOOKUP(A224,Clientes_PDV!$A$2:$J$250,7,FALSE),""))</f>
        <v/>
      </c>
      <c r="F224" s="49">
        <f>IF(A224="","",IFERROR(VLOOKUP(A224,Clientes_PDV!$A$2:$J$250,8,FALSE),""))</f>
        <v/>
      </c>
      <c r="G224" s="48">
        <f>IF(F224="","",TODAY()-F224)</f>
        <v/>
      </c>
      <c r="H224" s="48">
        <f>IF(A224="","",IF(F224="","Sin visita",IF(G224&lt;=IFERROR(VLOOKUP(E224,Inicio!$A$24:$B$26,2,FALSE),0),"Vigente","Atrasado")))</f>
        <v/>
      </c>
      <c r="I224" s="51">
        <f>IF(A224="","",SUMIFS(Ventas_SellIn!$L$2:$L$800,Ventas_SellIn!$D$2:$D$800,A224,Ventas_SellIn!$B$2:$B$800,"&gt;="&amp;TODAY()-Inicio!$B$14))</f>
        <v/>
      </c>
      <c r="J224" s="48">
        <f>IF(A224="","",SUMIFS(SellOut_Jumbo!$F$2:$F$800,SellOut_Jumbo!$C$2:$C$800,D224,SellOut_Jumbo!$A$2:$A$800,"&gt;="&amp;TODAY()-Inicio!$B$14))</f>
        <v/>
      </c>
      <c r="K224" s="48">
        <f>IF(A224="","",IF(I224=0,"Sin venta",IF(I224&lt;Inicio!$B$15,"Venta baja","Venta OK")))</f>
        <v/>
      </c>
      <c r="L224" s="48">
        <f>IF(A224="","",COUNTIFS(Ventas_SellIn!$D$2:$D$800,A224,Ventas_SellIn!$R$2:$R$800,"&gt;0"))</f>
        <v/>
      </c>
      <c r="M224" s="51">
        <f>IF(A224="","",SUMIFS(Ventas_SellIn!$R$2:$R$800,Ventas_SellIn!$D$2:$D$800,A224))</f>
        <v/>
      </c>
      <c r="N224" s="48">
        <f>IF(A224="","",IF(M224&gt;=Inicio!$B$18,"Pendiente relevante",IF(M224&gt;0,"Pendiente menor","Sin deuda")))</f>
        <v/>
      </c>
      <c r="O224" s="48">
        <f>IF(A224="","",SUMIFS(Stock_PDV!$H$2:$H$800,Stock_PDV!$A$2:$A$800,A224))</f>
        <v/>
      </c>
      <c r="P224" s="48">
        <f>IF(A224="","",IF(O224&lt;=Inicio!$B$16,"Crítico",IF(O224&lt;=Inicio!$B$17,"Observar","OK")))</f>
        <v/>
      </c>
      <c r="Q224" s="48">
        <f>IF(A224="","",IF(OR(H224="Atrasado",K224="Sin venta",N224="Pendiente relevante",P224="Crítico"),"Alta",IF(OR(K224="Venta baja",N224="Pendiente menor",P224="Observar"),"Media","Baja")))</f>
        <v/>
      </c>
      <c r="R224" s="48">
        <f>IF(A224="","",IF(Q224="Alta","Gestionar esta semana",IF(Q224="Media","Hacer seguimiento","Mantener")))</f>
        <v/>
      </c>
      <c r="S224" s="68">
        <f>IF(A224="","",IF(I224=0,"Sin venta",IF(I224&gt;=cfg_VentaAlta,"Alta",IF(I224&lt;cfg_VentaBaja,"Baja","Media"))))</f>
        <v/>
      </c>
    </row>
    <row r="225">
      <c r="A225" s="48">
        <f>IF(Clientes_PDV!A225="","",Clientes_PDV!A225)</f>
        <v/>
      </c>
      <c r="B225" s="48">
        <f>IF(A225="","",IFERROR(VLOOKUP(A225,Clientes_PDV!$A$2:$J$250,2,FALSE),""))</f>
        <v/>
      </c>
      <c r="C225" s="48">
        <f>IF(A225="","",IFERROR(VLOOKUP(A225,Clientes_PDV!$A$2:$J$250,3,FALSE),""))</f>
        <v/>
      </c>
      <c r="D225" s="48">
        <f>IF(A225="","",IFERROR(VLOOKUP(A225,Clientes_PDV!$A$2:$J$250,4,FALSE),""))</f>
        <v/>
      </c>
      <c r="E225" s="48">
        <f>IF(A225="","",IFERROR(VLOOKUP(A225,Clientes_PDV!$A$2:$J$250,7,FALSE),""))</f>
        <v/>
      </c>
      <c r="F225" s="49">
        <f>IF(A225="","",IFERROR(VLOOKUP(A225,Clientes_PDV!$A$2:$J$250,8,FALSE),""))</f>
        <v/>
      </c>
      <c r="G225" s="48">
        <f>IF(F225="","",TODAY()-F225)</f>
        <v/>
      </c>
      <c r="H225" s="48">
        <f>IF(A225="","",IF(F225="","Sin visita",IF(G225&lt;=IFERROR(VLOOKUP(E225,Inicio!$A$24:$B$26,2,FALSE),0),"Vigente","Atrasado")))</f>
        <v/>
      </c>
      <c r="I225" s="51">
        <f>IF(A225="","",SUMIFS(Ventas_SellIn!$L$2:$L$800,Ventas_SellIn!$D$2:$D$800,A225,Ventas_SellIn!$B$2:$B$800,"&gt;="&amp;TODAY()-Inicio!$B$14))</f>
        <v/>
      </c>
      <c r="J225" s="48">
        <f>IF(A225="","",SUMIFS(SellOut_Jumbo!$F$2:$F$800,SellOut_Jumbo!$C$2:$C$800,D225,SellOut_Jumbo!$A$2:$A$800,"&gt;="&amp;TODAY()-Inicio!$B$14))</f>
        <v/>
      </c>
      <c r="K225" s="48">
        <f>IF(A225="","",IF(I225=0,"Sin venta",IF(I225&lt;Inicio!$B$15,"Venta baja","Venta OK")))</f>
        <v/>
      </c>
      <c r="L225" s="48">
        <f>IF(A225="","",COUNTIFS(Ventas_SellIn!$D$2:$D$800,A225,Ventas_SellIn!$R$2:$R$800,"&gt;0"))</f>
        <v/>
      </c>
      <c r="M225" s="51">
        <f>IF(A225="","",SUMIFS(Ventas_SellIn!$R$2:$R$800,Ventas_SellIn!$D$2:$D$800,A225))</f>
        <v/>
      </c>
      <c r="N225" s="48">
        <f>IF(A225="","",IF(M225&gt;=Inicio!$B$18,"Pendiente relevante",IF(M225&gt;0,"Pendiente menor","Sin deuda")))</f>
        <v/>
      </c>
      <c r="O225" s="48">
        <f>IF(A225="","",SUMIFS(Stock_PDV!$H$2:$H$800,Stock_PDV!$A$2:$A$800,A225))</f>
        <v/>
      </c>
      <c r="P225" s="48">
        <f>IF(A225="","",IF(O225&lt;=Inicio!$B$16,"Crítico",IF(O225&lt;=Inicio!$B$17,"Observar","OK")))</f>
        <v/>
      </c>
      <c r="Q225" s="48">
        <f>IF(A225="","",IF(OR(H225="Atrasado",K225="Sin venta",N225="Pendiente relevante",P225="Crítico"),"Alta",IF(OR(K225="Venta baja",N225="Pendiente menor",P225="Observar"),"Media","Baja")))</f>
        <v/>
      </c>
      <c r="R225" s="48">
        <f>IF(A225="","",IF(Q225="Alta","Gestionar esta semana",IF(Q225="Media","Hacer seguimiento","Mantener")))</f>
        <v/>
      </c>
      <c r="S225" s="68">
        <f>IF(A225="","",IF(I225=0,"Sin venta",IF(I225&gt;=cfg_VentaAlta,"Alta",IF(I225&lt;cfg_VentaBaja,"Baja","Media"))))</f>
        <v/>
      </c>
    </row>
    <row r="226">
      <c r="A226" s="48">
        <f>IF(Clientes_PDV!A226="","",Clientes_PDV!A226)</f>
        <v/>
      </c>
      <c r="B226" s="48">
        <f>IF(A226="","",IFERROR(VLOOKUP(A226,Clientes_PDV!$A$2:$J$250,2,FALSE),""))</f>
        <v/>
      </c>
      <c r="C226" s="48">
        <f>IF(A226="","",IFERROR(VLOOKUP(A226,Clientes_PDV!$A$2:$J$250,3,FALSE),""))</f>
        <v/>
      </c>
      <c r="D226" s="48">
        <f>IF(A226="","",IFERROR(VLOOKUP(A226,Clientes_PDV!$A$2:$J$250,4,FALSE),""))</f>
        <v/>
      </c>
      <c r="E226" s="48">
        <f>IF(A226="","",IFERROR(VLOOKUP(A226,Clientes_PDV!$A$2:$J$250,7,FALSE),""))</f>
        <v/>
      </c>
      <c r="F226" s="49">
        <f>IF(A226="","",IFERROR(VLOOKUP(A226,Clientes_PDV!$A$2:$J$250,8,FALSE),""))</f>
        <v/>
      </c>
      <c r="G226" s="48">
        <f>IF(F226="","",TODAY()-F226)</f>
        <v/>
      </c>
      <c r="H226" s="48">
        <f>IF(A226="","",IF(F226="","Sin visita",IF(G226&lt;=IFERROR(VLOOKUP(E226,Inicio!$A$24:$B$26,2,FALSE),0),"Vigente","Atrasado")))</f>
        <v/>
      </c>
      <c r="I226" s="51">
        <f>IF(A226="","",SUMIFS(Ventas_SellIn!$L$2:$L$800,Ventas_SellIn!$D$2:$D$800,A226,Ventas_SellIn!$B$2:$B$800,"&gt;="&amp;TODAY()-Inicio!$B$14))</f>
        <v/>
      </c>
      <c r="J226" s="48">
        <f>IF(A226="","",SUMIFS(SellOut_Jumbo!$F$2:$F$800,SellOut_Jumbo!$C$2:$C$800,D226,SellOut_Jumbo!$A$2:$A$800,"&gt;="&amp;TODAY()-Inicio!$B$14))</f>
        <v/>
      </c>
      <c r="K226" s="48">
        <f>IF(A226="","",IF(I226=0,"Sin venta",IF(I226&lt;Inicio!$B$15,"Venta baja","Venta OK")))</f>
        <v/>
      </c>
      <c r="L226" s="48">
        <f>IF(A226="","",COUNTIFS(Ventas_SellIn!$D$2:$D$800,A226,Ventas_SellIn!$R$2:$R$800,"&gt;0"))</f>
        <v/>
      </c>
      <c r="M226" s="51">
        <f>IF(A226="","",SUMIFS(Ventas_SellIn!$R$2:$R$800,Ventas_SellIn!$D$2:$D$800,A226))</f>
        <v/>
      </c>
      <c r="N226" s="48">
        <f>IF(A226="","",IF(M226&gt;=Inicio!$B$18,"Pendiente relevante",IF(M226&gt;0,"Pendiente menor","Sin deuda")))</f>
        <v/>
      </c>
      <c r="O226" s="48">
        <f>IF(A226="","",SUMIFS(Stock_PDV!$H$2:$H$800,Stock_PDV!$A$2:$A$800,A226))</f>
        <v/>
      </c>
      <c r="P226" s="48">
        <f>IF(A226="","",IF(O226&lt;=Inicio!$B$16,"Crítico",IF(O226&lt;=Inicio!$B$17,"Observar","OK")))</f>
        <v/>
      </c>
      <c r="Q226" s="48">
        <f>IF(A226="","",IF(OR(H226="Atrasado",K226="Sin venta",N226="Pendiente relevante",P226="Crítico"),"Alta",IF(OR(K226="Venta baja",N226="Pendiente menor",P226="Observar"),"Media","Baja")))</f>
        <v/>
      </c>
      <c r="R226" s="48">
        <f>IF(A226="","",IF(Q226="Alta","Gestionar esta semana",IF(Q226="Media","Hacer seguimiento","Mantener")))</f>
        <v/>
      </c>
      <c r="S226" s="68">
        <f>IF(A226="","",IF(I226=0,"Sin venta",IF(I226&gt;=cfg_VentaAlta,"Alta",IF(I226&lt;cfg_VentaBaja,"Baja","Media"))))</f>
        <v/>
      </c>
    </row>
    <row r="227">
      <c r="A227" s="48">
        <f>IF(Clientes_PDV!A227="","",Clientes_PDV!A227)</f>
        <v/>
      </c>
      <c r="B227" s="48">
        <f>IF(A227="","",IFERROR(VLOOKUP(A227,Clientes_PDV!$A$2:$J$250,2,FALSE),""))</f>
        <v/>
      </c>
      <c r="C227" s="48">
        <f>IF(A227="","",IFERROR(VLOOKUP(A227,Clientes_PDV!$A$2:$J$250,3,FALSE),""))</f>
        <v/>
      </c>
      <c r="D227" s="48">
        <f>IF(A227="","",IFERROR(VLOOKUP(A227,Clientes_PDV!$A$2:$J$250,4,FALSE),""))</f>
        <v/>
      </c>
      <c r="E227" s="48">
        <f>IF(A227="","",IFERROR(VLOOKUP(A227,Clientes_PDV!$A$2:$J$250,7,FALSE),""))</f>
        <v/>
      </c>
      <c r="F227" s="49">
        <f>IF(A227="","",IFERROR(VLOOKUP(A227,Clientes_PDV!$A$2:$J$250,8,FALSE),""))</f>
        <v/>
      </c>
      <c r="G227" s="48">
        <f>IF(F227="","",TODAY()-F227)</f>
        <v/>
      </c>
      <c r="H227" s="48">
        <f>IF(A227="","",IF(F227="","Sin visita",IF(G227&lt;=IFERROR(VLOOKUP(E227,Inicio!$A$24:$B$26,2,FALSE),0),"Vigente","Atrasado")))</f>
        <v/>
      </c>
      <c r="I227" s="51">
        <f>IF(A227="","",SUMIFS(Ventas_SellIn!$L$2:$L$800,Ventas_SellIn!$D$2:$D$800,A227,Ventas_SellIn!$B$2:$B$800,"&gt;="&amp;TODAY()-Inicio!$B$14))</f>
        <v/>
      </c>
      <c r="J227" s="48">
        <f>IF(A227="","",SUMIFS(SellOut_Jumbo!$F$2:$F$800,SellOut_Jumbo!$C$2:$C$800,D227,SellOut_Jumbo!$A$2:$A$800,"&gt;="&amp;TODAY()-Inicio!$B$14))</f>
        <v/>
      </c>
      <c r="K227" s="48">
        <f>IF(A227="","",IF(I227=0,"Sin venta",IF(I227&lt;Inicio!$B$15,"Venta baja","Venta OK")))</f>
        <v/>
      </c>
      <c r="L227" s="48">
        <f>IF(A227="","",COUNTIFS(Ventas_SellIn!$D$2:$D$800,A227,Ventas_SellIn!$R$2:$R$800,"&gt;0"))</f>
        <v/>
      </c>
      <c r="M227" s="51">
        <f>IF(A227="","",SUMIFS(Ventas_SellIn!$R$2:$R$800,Ventas_SellIn!$D$2:$D$800,A227))</f>
        <v/>
      </c>
      <c r="N227" s="48">
        <f>IF(A227="","",IF(M227&gt;=Inicio!$B$18,"Pendiente relevante",IF(M227&gt;0,"Pendiente menor","Sin deuda")))</f>
        <v/>
      </c>
      <c r="O227" s="48">
        <f>IF(A227="","",SUMIFS(Stock_PDV!$H$2:$H$800,Stock_PDV!$A$2:$A$800,A227))</f>
        <v/>
      </c>
      <c r="P227" s="48">
        <f>IF(A227="","",IF(O227&lt;=Inicio!$B$16,"Crítico",IF(O227&lt;=Inicio!$B$17,"Observar","OK")))</f>
        <v/>
      </c>
      <c r="Q227" s="48">
        <f>IF(A227="","",IF(OR(H227="Atrasado",K227="Sin venta",N227="Pendiente relevante",P227="Crítico"),"Alta",IF(OR(K227="Venta baja",N227="Pendiente menor",P227="Observar"),"Media","Baja")))</f>
        <v/>
      </c>
      <c r="R227" s="48">
        <f>IF(A227="","",IF(Q227="Alta","Gestionar esta semana",IF(Q227="Media","Hacer seguimiento","Mantener")))</f>
        <v/>
      </c>
      <c r="S227" s="68">
        <f>IF(A227="","",IF(I227=0,"Sin venta",IF(I227&gt;=cfg_VentaAlta,"Alta",IF(I227&lt;cfg_VentaBaja,"Baja","Media"))))</f>
        <v/>
      </c>
    </row>
    <row r="228">
      <c r="A228" s="48">
        <f>IF(Clientes_PDV!A228="","",Clientes_PDV!A228)</f>
        <v/>
      </c>
      <c r="B228" s="48">
        <f>IF(A228="","",IFERROR(VLOOKUP(A228,Clientes_PDV!$A$2:$J$250,2,FALSE),""))</f>
        <v/>
      </c>
      <c r="C228" s="48">
        <f>IF(A228="","",IFERROR(VLOOKUP(A228,Clientes_PDV!$A$2:$J$250,3,FALSE),""))</f>
        <v/>
      </c>
      <c r="D228" s="48">
        <f>IF(A228="","",IFERROR(VLOOKUP(A228,Clientes_PDV!$A$2:$J$250,4,FALSE),""))</f>
        <v/>
      </c>
      <c r="E228" s="48">
        <f>IF(A228="","",IFERROR(VLOOKUP(A228,Clientes_PDV!$A$2:$J$250,7,FALSE),""))</f>
        <v/>
      </c>
      <c r="F228" s="49">
        <f>IF(A228="","",IFERROR(VLOOKUP(A228,Clientes_PDV!$A$2:$J$250,8,FALSE),""))</f>
        <v/>
      </c>
      <c r="G228" s="48">
        <f>IF(F228="","",TODAY()-F228)</f>
        <v/>
      </c>
      <c r="H228" s="48">
        <f>IF(A228="","",IF(F228="","Sin visita",IF(G228&lt;=IFERROR(VLOOKUP(E228,Inicio!$A$24:$B$26,2,FALSE),0),"Vigente","Atrasado")))</f>
        <v/>
      </c>
      <c r="I228" s="51">
        <f>IF(A228="","",SUMIFS(Ventas_SellIn!$L$2:$L$800,Ventas_SellIn!$D$2:$D$800,A228,Ventas_SellIn!$B$2:$B$800,"&gt;="&amp;TODAY()-Inicio!$B$14))</f>
        <v/>
      </c>
      <c r="J228" s="48">
        <f>IF(A228="","",SUMIFS(SellOut_Jumbo!$F$2:$F$800,SellOut_Jumbo!$C$2:$C$800,D228,SellOut_Jumbo!$A$2:$A$800,"&gt;="&amp;TODAY()-Inicio!$B$14))</f>
        <v/>
      </c>
      <c r="K228" s="48">
        <f>IF(A228="","",IF(I228=0,"Sin venta",IF(I228&lt;Inicio!$B$15,"Venta baja","Venta OK")))</f>
        <v/>
      </c>
      <c r="L228" s="48">
        <f>IF(A228="","",COUNTIFS(Ventas_SellIn!$D$2:$D$800,A228,Ventas_SellIn!$R$2:$R$800,"&gt;0"))</f>
        <v/>
      </c>
      <c r="M228" s="51">
        <f>IF(A228="","",SUMIFS(Ventas_SellIn!$R$2:$R$800,Ventas_SellIn!$D$2:$D$800,A228))</f>
        <v/>
      </c>
      <c r="N228" s="48">
        <f>IF(A228="","",IF(M228&gt;=Inicio!$B$18,"Pendiente relevante",IF(M228&gt;0,"Pendiente menor","Sin deuda")))</f>
        <v/>
      </c>
      <c r="O228" s="48">
        <f>IF(A228="","",SUMIFS(Stock_PDV!$H$2:$H$800,Stock_PDV!$A$2:$A$800,A228))</f>
        <v/>
      </c>
      <c r="P228" s="48">
        <f>IF(A228="","",IF(O228&lt;=Inicio!$B$16,"Crítico",IF(O228&lt;=Inicio!$B$17,"Observar","OK")))</f>
        <v/>
      </c>
      <c r="Q228" s="48">
        <f>IF(A228="","",IF(OR(H228="Atrasado",K228="Sin venta",N228="Pendiente relevante",P228="Crítico"),"Alta",IF(OR(K228="Venta baja",N228="Pendiente menor",P228="Observar"),"Media","Baja")))</f>
        <v/>
      </c>
      <c r="R228" s="48">
        <f>IF(A228="","",IF(Q228="Alta","Gestionar esta semana",IF(Q228="Media","Hacer seguimiento","Mantener")))</f>
        <v/>
      </c>
      <c r="S228" s="68">
        <f>IF(A228="","",IF(I228=0,"Sin venta",IF(I228&gt;=cfg_VentaAlta,"Alta",IF(I228&lt;cfg_VentaBaja,"Baja","Media"))))</f>
        <v/>
      </c>
    </row>
    <row r="229">
      <c r="A229" s="48">
        <f>IF(Clientes_PDV!A229="","",Clientes_PDV!A229)</f>
        <v/>
      </c>
      <c r="B229" s="48">
        <f>IF(A229="","",IFERROR(VLOOKUP(A229,Clientes_PDV!$A$2:$J$250,2,FALSE),""))</f>
        <v/>
      </c>
      <c r="C229" s="48">
        <f>IF(A229="","",IFERROR(VLOOKUP(A229,Clientes_PDV!$A$2:$J$250,3,FALSE),""))</f>
        <v/>
      </c>
      <c r="D229" s="48">
        <f>IF(A229="","",IFERROR(VLOOKUP(A229,Clientes_PDV!$A$2:$J$250,4,FALSE),""))</f>
        <v/>
      </c>
      <c r="E229" s="48">
        <f>IF(A229="","",IFERROR(VLOOKUP(A229,Clientes_PDV!$A$2:$J$250,7,FALSE),""))</f>
        <v/>
      </c>
      <c r="F229" s="49">
        <f>IF(A229="","",IFERROR(VLOOKUP(A229,Clientes_PDV!$A$2:$J$250,8,FALSE),""))</f>
        <v/>
      </c>
      <c r="G229" s="48">
        <f>IF(F229="","",TODAY()-F229)</f>
        <v/>
      </c>
      <c r="H229" s="48">
        <f>IF(A229="","",IF(F229="","Sin visita",IF(G229&lt;=IFERROR(VLOOKUP(E229,Inicio!$A$24:$B$26,2,FALSE),0),"Vigente","Atrasado")))</f>
        <v/>
      </c>
      <c r="I229" s="51">
        <f>IF(A229="","",SUMIFS(Ventas_SellIn!$L$2:$L$800,Ventas_SellIn!$D$2:$D$800,A229,Ventas_SellIn!$B$2:$B$800,"&gt;="&amp;TODAY()-Inicio!$B$14))</f>
        <v/>
      </c>
      <c r="J229" s="48">
        <f>IF(A229="","",SUMIFS(SellOut_Jumbo!$F$2:$F$800,SellOut_Jumbo!$C$2:$C$800,D229,SellOut_Jumbo!$A$2:$A$800,"&gt;="&amp;TODAY()-Inicio!$B$14))</f>
        <v/>
      </c>
      <c r="K229" s="48">
        <f>IF(A229="","",IF(I229=0,"Sin venta",IF(I229&lt;Inicio!$B$15,"Venta baja","Venta OK")))</f>
        <v/>
      </c>
      <c r="L229" s="48">
        <f>IF(A229="","",COUNTIFS(Ventas_SellIn!$D$2:$D$800,A229,Ventas_SellIn!$R$2:$R$800,"&gt;0"))</f>
        <v/>
      </c>
      <c r="M229" s="51">
        <f>IF(A229="","",SUMIFS(Ventas_SellIn!$R$2:$R$800,Ventas_SellIn!$D$2:$D$800,A229))</f>
        <v/>
      </c>
      <c r="N229" s="48">
        <f>IF(A229="","",IF(M229&gt;=Inicio!$B$18,"Pendiente relevante",IF(M229&gt;0,"Pendiente menor","Sin deuda")))</f>
        <v/>
      </c>
      <c r="O229" s="48">
        <f>IF(A229="","",SUMIFS(Stock_PDV!$H$2:$H$800,Stock_PDV!$A$2:$A$800,A229))</f>
        <v/>
      </c>
      <c r="P229" s="48">
        <f>IF(A229="","",IF(O229&lt;=Inicio!$B$16,"Crítico",IF(O229&lt;=Inicio!$B$17,"Observar","OK")))</f>
        <v/>
      </c>
      <c r="Q229" s="48">
        <f>IF(A229="","",IF(OR(H229="Atrasado",K229="Sin venta",N229="Pendiente relevante",P229="Crítico"),"Alta",IF(OR(K229="Venta baja",N229="Pendiente menor",P229="Observar"),"Media","Baja")))</f>
        <v/>
      </c>
      <c r="R229" s="48">
        <f>IF(A229="","",IF(Q229="Alta","Gestionar esta semana",IF(Q229="Media","Hacer seguimiento","Mantener")))</f>
        <v/>
      </c>
      <c r="S229" s="68">
        <f>IF(A229="","",IF(I229=0,"Sin venta",IF(I229&gt;=cfg_VentaAlta,"Alta",IF(I229&lt;cfg_VentaBaja,"Baja","Media"))))</f>
        <v/>
      </c>
    </row>
    <row r="230">
      <c r="A230" s="48">
        <f>IF(Clientes_PDV!A230="","",Clientes_PDV!A230)</f>
        <v/>
      </c>
      <c r="B230" s="48">
        <f>IF(A230="","",IFERROR(VLOOKUP(A230,Clientes_PDV!$A$2:$J$250,2,FALSE),""))</f>
        <v/>
      </c>
      <c r="C230" s="48">
        <f>IF(A230="","",IFERROR(VLOOKUP(A230,Clientes_PDV!$A$2:$J$250,3,FALSE),""))</f>
        <v/>
      </c>
      <c r="D230" s="48">
        <f>IF(A230="","",IFERROR(VLOOKUP(A230,Clientes_PDV!$A$2:$J$250,4,FALSE),""))</f>
        <v/>
      </c>
      <c r="E230" s="48">
        <f>IF(A230="","",IFERROR(VLOOKUP(A230,Clientes_PDV!$A$2:$J$250,7,FALSE),""))</f>
        <v/>
      </c>
      <c r="F230" s="49">
        <f>IF(A230="","",IFERROR(VLOOKUP(A230,Clientes_PDV!$A$2:$J$250,8,FALSE),""))</f>
        <v/>
      </c>
      <c r="G230" s="48">
        <f>IF(F230="","",TODAY()-F230)</f>
        <v/>
      </c>
      <c r="H230" s="48">
        <f>IF(A230="","",IF(F230="","Sin visita",IF(G230&lt;=IFERROR(VLOOKUP(E230,Inicio!$A$24:$B$26,2,FALSE),0),"Vigente","Atrasado")))</f>
        <v/>
      </c>
      <c r="I230" s="51">
        <f>IF(A230="","",SUMIFS(Ventas_SellIn!$L$2:$L$800,Ventas_SellIn!$D$2:$D$800,A230,Ventas_SellIn!$B$2:$B$800,"&gt;="&amp;TODAY()-Inicio!$B$14))</f>
        <v/>
      </c>
      <c r="J230" s="48">
        <f>IF(A230="","",SUMIFS(SellOut_Jumbo!$F$2:$F$800,SellOut_Jumbo!$C$2:$C$800,D230,SellOut_Jumbo!$A$2:$A$800,"&gt;="&amp;TODAY()-Inicio!$B$14))</f>
        <v/>
      </c>
      <c r="K230" s="48">
        <f>IF(A230="","",IF(I230=0,"Sin venta",IF(I230&lt;Inicio!$B$15,"Venta baja","Venta OK")))</f>
        <v/>
      </c>
      <c r="L230" s="48">
        <f>IF(A230="","",COUNTIFS(Ventas_SellIn!$D$2:$D$800,A230,Ventas_SellIn!$R$2:$R$800,"&gt;0"))</f>
        <v/>
      </c>
      <c r="M230" s="51">
        <f>IF(A230="","",SUMIFS(Ventas_SellIn!$R$2:$R$800,Ventas_SellIn!$D$2:$D$800,A230))</f>
        <v/>
      </c>
      <c r="N230" s="48">
        <f>IF(A230="","",IF(M230&gt;=Inicio!$B$18,"Pendiente relevante",IF(M230&gt;0,"Pendiente menor","Sin deuda")))</f>
        <v/>
      </c>
      <c r="O230" s="48">
        <f>IF(A230="","",SUMIFS(Stock_PDV!$H$2:$H$800,Stock_PDV!$A$2:$A$800,A230))</f>
        <v/>
      </c>
      <c r="P230" s="48">
        <f>IF(A230="","",IF(O230&lt;=Inicio!$B$16,"Crítico",IF(O230&lt;=Inicio!$B$17,"Observar","OK")))</f>
        <v/>
      </c>
      <c r="Q230" s="48">
        <f>IF(A230="","",IF(OR(H230="Atrasado",K230="Sin venta",N230="Pendiente relevante",P230="Crítico"),"Alta",IF(OR(K230="Venta baja",N230="Pendiente menor",P230="Observar"),"Media","Baja")))</f>
        <v/>
      </c>
      <c r="R230" s="48">
        <f>IF(A230="","",IF(Q230="Alta","Gestionar esta semana",IF(Q230="Media","Hacer seguimiento","Mantener")))</f>
        <v/>
      </c>
      <c r="S230" s="68">
        <f>IF(A230="","",IF(I230=0,"Sin venta",IF(I230&gt;=cfg_VentaAlta,"Alta",IF(I230&lt;cfg_VentaBaja,"Baja","Media"))))</f>
        <v/>
      </c>
    </row>
    <row r="231">
      <c r="A231" s="48">
        <f>IF(Clientes_PDV!A231="","",Clientes_PDV!A231)</f>
        <v/>
      </c>
      <c r="B231" s="48">
        <f>IF(A231="","",IFERROR(VLOOKUP(A231,Clientes_PDV!$A$2:$J$250,2,FALSE),""))</f>
        <v/>
      </c>
      <c r="C231" s="48">
        <f>IF(A231="","",IFERROR(VLOOKUP(A231,Clientes_PDV!$A$2:$J$250,3,FALSE),""))</f>
        <v/>
      </c>
      <c r="D231" s="48">
        <f>IF(A231="","",IFERROR(VLOOKUP(A231,Clientes_PDV!$A$2:$J$250,4,FALSE),""))</f>
        <v/>
      </c>
      <c r="E231" s="48">
        <f>IF(A231="","",IFERROR(VLOOKUP(A231,Clientes_PDV!$A$2:$J$250,7,FALSE),""))</f>
        <v/>
      </c>
      <c r="F231" s="49">
        <f>IF(A231="","",IFERROR(VLOOKUP(A231,Clientes_PDV!$A$2:$J$250,8,FALSE),""))</f>
        <v/>
      </c>
      <c r="G231" s="48">
        <f>IF(F231="","",TODAY()-F231)</f>
        <v/>
      </c>
      <c r="H231" s="48">
        <f>IF(A231="","",IF(F231="","Sin visita",IF(G231&lt;=IFERROR(VLOOKUP(E231,Inicio!$A$24:$B$26,2,FALSE),0),"Vigente","Atrasado")))</f>
        <v/>
      </c>
      <c r="I231" s="51">
        <f>IF(A231="","",SUMIFS(Ventas_SellIn!$L$2:$L$800,Ventas_SellIn!$D$2:$D$800,A231,Ventas_SellIn!$B$2:$B$800,"&gt;="&amp;TODAY()-Inicio!$B$14))</f>
        <v/>
      </c>
      <c r="J231" s="48">
        <f>IF(A231="","",SUMIFS(SellOut_Jumbo!$F$2:$F$800,SellOut_Jumbo!$C$2:$C$800,D231,SellOut_Jumbo!$A$2:$A$800,"&gt;="&amp;TODAY()-Inicio!$B$14))</f>
        <v/>
      </c>
      <c r="K231" s="48">
        <f>IF(A231="","",IF(I231=0,"Sin venta",IF(I231&lt;Inicio!$B$15,"Venta baja","Venta OK")))</f>
        <v/>
      </c>
      <c r="L231" s="48">
        <f>IF(A231="","",COUNTIFS(Ventas_SellIn!$D$2:$D$800,A231,Ventas_SellIn!$R$2:$R$800,"&gt;0"))</f>
        <v/>
      </c>
      <c r="M231" s="51">
        <f>IF(A231="","",SUMIFS(Ventas_SellIn!$R$2:$R$800,Ventas_SellIn!$D$2:$D$800,A231))</f>
        <v/>
      </c>
      <c r="N231" s="48">
        <f>IF(A231="","",IF(M231&gt;=Inicio!$B$18,"Pendiente relevante",IF(M231&gt;0,"Pendiente menor","Sin deuda")))</f>
        <v/>
      </c>
      <c r="O231" s="48">
        <f>IF(A231="","",SUMIFS(Stock_PDV!$H$2:$H$800,Stock_PDV!$A$2:$A$800,A231))</f>
        <v/>
      </c>
      <c r="P231" s="48">
        <f>IF(A231="","",IF(O231&lt;=Inicio!$B$16,"Crítico",IF(O231&lt;=Inicio!$B$17,"Observar","OK")))</f>
        <v/>
      </c>
      <c r="Q231" s="48">
        <f>IF(A231="","",IF(OR(H231="Atrasado",K231="Sin venta",N231="Pendiente relevante",P231="Crítico"),"Alta",IF(OR(K231="Venta baja",N231="Pendiente menor",P231="Observar"),"Media","Baja")))</f>
        <v/>
      </c>
      <c r="R231" s="48">
        <f>IF(A231="","",IF(Q231="Alta","Gestionar esta semana",IF(Q231="Media","Hacer seguimiento","Mantener")))</f>
        <v/>
      </c>
      <c r="S231" s="68">
        <f>IF(A231="","",IF(I231=0,"Sin venta",IF(I231&gt;=cfg_VentaAlta,"Alta",IF(I231&lt;cfg_VentaBaja,"Baja","Media"))))</f>
        <v/>
      </c>
    </row>
    <row r="232">
      <c r="A232" s="48">
        <f>IF(Clientes_PDV!A232="","",Clientes_PDV!A232)</f>
        <v/>
      </c>
      <c r="B232" s="48">
        <f>IF(A232="","",IFERROR(VLOOKUP(A232,Clientes_PDV!$A$2:$J$250,2,FALSE),""))</f>
        <v/>
      </c>
      <c r="C232" s="48">
        <f>IF(A232="","",IFERROR(VLOOKUP(A232,Clientes_PDV!$A$2:$J$250,3,FALSE),""))</f>
        <v/>
      </c>
      <c r="D232" s="48">
        <f>IF(A232="","",IFERROR(VLOOKUP(A232,Clientes_PDV!$A$2:$J$250,4,FALSE),""))</f>
        <v/>
      </c>
      <c r="E232" s="48">
        <f>IF(A232="","",IFERROR(VLOOKUP(A232,Clientes_PDV!$A$2:$J$250,7,FALSE),""))</f>
        <v/>
      </c>
      <c r="F232" s="49">
        <f>IF(A232="","",IFERROR(VLOOKUP(A232,Clientes_PDV!$A$2:$J$250,8,FALSE),""))</f>
        <v/>
      </c>
      <c r="G232" s="48">
        <f>IF(F232="","",TODAY()-F232)</f>
        <v/>
      </c>
      <c r="H232" s="48">
        <f>IF(A232="","",IF(F232="","Sin visita",IF(G232&lt;=IFERROR(VLOOKUP(E232,Inicio!$A$24:$B$26,2,FALSE),0),"Vigente","Atrasado")))</f>
        <v/>
      </c>
      <c r="I232" s="51">
        <f>IF(A232="","",SUMIFS(Ventas_SellIn!$L$2:$L$800,Ventas_SellIn!$D$2:$D$800,A232,Ventas_SellIn!$B$2:$B$800,"&gt;="&amp;TODAY()-Inicio!$B$14))</f>
        <v/>
      </c>
      <c r="J232" s="48">
        <f>IF(A232="","",SUMIFS(SellOut_Jumbo!$F$2:$F$800,SellOut_Jumbo!$C$2:$C$800,D232,SellOut_Jumbo!$A$2:$A$800,"&gt;="&amp;TODAY()-Inicio!$B$14))</f>
        <v/>
      </c>
      <c r="K232" s="48">
        <f>IF(A232="","",IF(I232=0,"Sin venta",IF(I232&lt;Inicio!$B$15,"Venta baja","Venta OK")))</f>
        <v/>
      </c>
      <c r="L232" s="48">
        <f>IF(A232="","",COUNTIFS(Ventas_SellIn!$D$2:$D$800,A232,Ventas_SellIn!$R$2:$R$800,"&gt;0"))</f>
        <v/>
      </c>
      <c r="M232" s="51">
        <f>IF(A232="","",SUMIFS(Ventas_SellIn!$R$2:$R$800,Ventas_SellIn!$D$2:$D$800,A232))</f>
        <v/>
      </c>
      <c r="N232" s="48">
        <f>IF(A232="","",IF(M232&gt;=Inicio!$B$18,"Pendiente relevante",IF(M232&gt;0,"Pendiente menor","Sin deuda")))</f>
        <v/>
      </c>
      <c r="O232" s="48">
        <f>IF(A232="","",SUMIFS(Stock_PDV!$H$2:$H$800,Stock_PDV!$A$2:$A$800,A232))</f>
        <v/>
      </c>
      <c r="P232" s="48">
        <f>IF(A232="","",IF(O232&lt;=Inicio!$B$16,"Crítico",IF(O232&lt;=Inicio!$B$17,"Observar","OK")))</f>
        <v/>
      </c>
      <c r="Q232" s="48">
        <f>IF(A232="","",IF(OR(H232="Atrasado",K232="Sin venta",N232="Pendiente relevante",P232="Crítico"),"Alta",IF(OR(K232="Venta baja",N232="Pendiente menor",P232="Observar"),"Media","Baja")))</f>
        <v/>
      </c>
      <c r="R232" s="48">
        <f>IF(A232="","",IF(Q232="Alta","Gestionar esta semana",IF(Q232="Media","Hacer seguimiento","Mantener")))</f>
        <v/>
      </c>
      <c r="S232" s="68">
        <f>IF(A232="","",IF(I232=0,"Sin venta",IF(I232&gt;=cfg_VentaAlta,"Alta",IF(I232&lt;cfg_VentaBaja,"Baja","Media"))))</f>
        <v/>
      </c>
    </row>
    <row r="233">
      <c r="A233" s="48">
        <f>IF(Clientes_PDV!A233="","",Clientes_PDV!A233)</f>
        <v/>
      </c>
      <c r="B233" s="48">
        <f>IF(A233="","",IFERROR(VLOOKUP(A233,Clientes_PDV!$A$2:$J$250,2,FALSE),""))</f>
        <v/>
      </c>
      <c r="C233" s="48">
        <f>IF(A233="","",IFERROR(VLOOKUP(A233,Clientes_PDV!$A$2:$J$250,3,FALSE),""))</f>
        <v/>
      </c>
      <c r="D233" s="48">
        <f>IF(A233="","",IFERROR(VLOOKUP(A233,Clientes_PDV!$A$2:$J$250,4,FALSE),""))</f>
        <v/>
      </c>
      <c r="E233" s="48">
        <f>IF(A233="","",IFERROR(VLOOKUP(A233,Clientes_PDV!$A$2:$J$250,7,FALSE),""))</f>
        <v/>
      </c>
      <c r="F233" s="49">
        <f>IF(A233="","",IFERROR(VLOOKUP(A233,Clientes_PDV!$A$2:$J$250,8,FALSE),""))</f>
        <v/>
      </c>
      <c r="G233" s="48">
        <f>IF(F233="","",TODAY()-F233)</f>
        <v/>
      </c>
      <c r="H233" s="48">
        <f>IF(A233="","",IF(F233="","Sin visita",IF(G233&lt;=IFERROR(VLOOKUP(E233,Inicio!$A$24:$B$26,2,FALSE),0),"Vigente","Atrasado")))</f>
        <v/>
      </c>
      <c r="I233" s="51">
        <f>IF(A233="","",SUMIFS(Ventas_SellIn!$L$2:$L$800,Ventas_SellIn!$D$2:$D$800,A233,Ventas_SellIn!$B$2:$B$800,"&gt;="&amp;TODAY()-Inicio!$B$14))</f>
        <v/>
      </c>
      <c r="J233" s="48">
        <f>IF(A233="","",SUMIFS(SellOut_Jumbo!$F$2:$F$800,SellOut_Jumbo!$C$2:$C$800,D233,SellOut_Jumbo!$A$2:$A$800,"&gt;="&amp;TODAY()-Inicio!$B$14))</f>
        <v/>
      </c>
      <c r="K233" s="48">
        <f>IF(A233="","",IF(I233=0,"Sin venta",IF(I233&lt;Inicio!$B$15,"Venta baja","Venta OK")))</f>
        <v/>
      </c>
      <c r="L233" s="48">
        <f>IF(A233="","",COUNTIFS(Ventas_SellIn!$D$2:$D$800,A233,Ventas_SellIn!$R$2:$R$800,"&gt;0"))</f>
        <v/>
      </c>
      <c r="M233" s="51">
        <f>IF(A233="","",SUMIFS(Ventas_SellIn!$R$2:$R$800,Ventas_SellIn!$D$2:$D$800,A233))</f>
        <v/>
      </c>
      <c r="N233" s="48">
        <f>IF(A233="","",IF(M233&gt;=Inicio!$B$18,"Pendiente relevante",IF(M233&gt;0,"Pendiente menor","Sin deuda")))</f>
        <v/>
      </c>
      <c r="O233" s="48">
        <f>IF(A233="","",SUMIFS(Stock_PDV!$H$2:$H$800,Stock_PDV!$A$2:$A$800,A233))</f>
        <v/>
      </c>
      <c r="P233" s="48">
        <f>IF(A233="","",IF(O233&lt;=Inicio!$B$16,"Crítico",IF(O233&lt;=Inicio!$B$17,"Observar","OK")))</f>
        <v/>
      </c>
      <c r="Q233" s="48">
        <f>IF(A233="","",IF(OR(H233="Atrasado",K233="Sin venta",N233="Pendiente relevante",P233="Crítico"),"Alta",IF(OR(K233="Venta baja",N233="Pendiente menor",P233="Observar"),"Media","Baja")))</f>
        <v/>
      </c>
      <c r="R233" s="48">
        <f>IF(A233="","",IF(Q233="Alta","Gestionar esta semana",IF(Q233="Media","Hacer seguimiento","Mantener")))</f>
        <v/>
      </c>
      <c r="S233" s="68">
        <f>IF(A233="","",IF(I233=0,"Sin venta",IF(I233&gt;=cfg_VentaAlta,"Alta",IF(I233&lt;cfg_VentaBaja,"Baja","Media"))))</f>
        <v/>
      </c>
    </row>
    <row r="234">
      <c r="A234" s="48">
        <f>IF(Clientes_PDV!A234="","",Clientes_PDV!A234)</f>
        <v/>
      </c>
      <c r="B234" s="48">
        <f>IF(A234="","",IFERROR(VLOOKUP(A234,Clientes_PDV!$A$2:$J$250,2,FALSE),""))</f>
        <v/>
      </c>
      <c r="C234" s="48">
        <f>IF(A234="","",IFERROR(VLOOKUP(A234,Clientes_PDV!$A$2:$J$250,3,FALSE),""))</f>
        <v/>
      </c>
      <c r="D234" s="48">
        <f>IF(A234="","",IFERROR(VLOOKUP(A234,Clientes_PDV!$A$2:$J$250,4,FALSE),""))</f>
        <v/>
      </c>
      <c r="E234" s="48">
        <f>IF(A234="","",IFERROR(VLOOKUP(A234,Clientes_PDV!$A$2:$J$250,7,FALSE),""))</f>
        <v/>
      </c>
      <c r="F234" s="49">
        <f>IF(A234="","",IFERROR(VLOOKUP(A234,Clientes_PDV!$A$2:$J$250,8,FALSE),""))</f>
        <v/>
      </c>
      <c r="G234" s="48">
        <f>IF(F234="","",TODAY()-F234)</f>
        <v/>
      </c>
      <c r="H234" s="48">
        <f>IF(A234="","",IF(F234="","Sin visita",IF(G234&lt;=IFERROR(VLOOKUP(E234,Inicio!$A$24:$B$26,2,FALSE),0),"Vigente","Atrasado")))</f>
        <v/>
      </c>
      <c r="I234" s="51">
        <f>IF(A234="","",SUMIFS(Ventas_SellIn!$L$2:$L$800,Ventas_SellIn!$D$2:$D$800,A234,Ventas_SellIn!$B$2:$B$800,"&gt;="&amp;TODAY()-Inicio!$B$14))</f>
        <v/>
      </c>
      <c r="J234" s="48">
        <f>IF(A234="","",SUMIFS(SellOut_Jumbo!$F$2:$F$800,SellOut_Jumbo!$C$2:$C$800,D234,SellOut_Jumbo!$A$2:$A$800,"&gt;="&amp;TODAY()-Inicio!$B$14))</f>
        <v/>
      </c>
      <c r="K234" s="48">
        <f>IF(A234="","",IF(I234=0,"Sin venta",IF(I234&lt;Inicio!$B$15,"Venta baja","Venta OK")))</f>
        <v/>
      </c>
      <c r="L234" s="48">
        <f>IF(A234="","",COUNTIFS(Ventas_SellIn!$D$2:$D$800,A234,Ventas_SellIn!$R$2:$R$800,"&gt;0"))</f>
        <v/>
      </c>
      <c r="M234" s="51">
        <f>IF(A234="","",SUMIFS(Ventas_SellIn!$R$2:$R$800,Ventas_SellIn!$D$2:$D$800,A234))</f>
        <v/>
      </c>
      <c r="N234" s="48">
        <f>IF(A234="","",IF(M234&gt;=Inicio!$B$18,"Pendiente relevante",IF(M234&gt;0,"Pendiente menor","Sin deuda")))</f>
        <v/>
      </c>
      <c r="O234" s="48">
        <f>IF(A234="","",SUMIFS(Stock_PDV!$H$2:$H$800,Stock_PDV!$A$2:$A$800,A234))</f>
        <v/>
      </c>
      <c r="P234" s="48">
        <f>IF(A234="","",IF(O234&lt;=Inicio!$B$16,"Crítico",IF(O234&lt;=Inicio!$B$17,"Observar","OK")))</f>
        <v/>
      </c>
      <c r="Q234" s="48">
        <f>IF(A234="","",IF(OR(H234="Atrasado",K234="Sin venta",N234="Pendiente relevante",P234="Crítico"),"Alta",IF(OR(K234="Venta baja",N234="Pendiente menor",P234="Observar"),"Media","Baja")))</f>
        <v/>
      </c>
      <c r="R234" s="48">
        <f>IF(A234="","",IF(Q234="Alta","Gestionar esta semana",IF(Q234="Media","Hacer seguimiento","Mantener")))</f>
        <v/>
      </c>
      <c r="S234" s="68">
        <f>IF(A234="","",IF(I234=0,"Sin venta",IF(I234&gt;=cfg_VentaAlta,"Alta",IF(I234&lt;cfg_VentaBaja,"Baja","Media"))))</f>
        <v/>
      </c>
    </row>
    <row r="235">
      <c r="A235" s="48">
        <f>IF(Clientes_PDV!A235="","",Clientes_PDV!A235)</f>
        <v/>
      </c>
      <c r="B235" s="48">
        <f>IF(A235="","",IFERROR(VLOOKUP(A235,Clientes_PDV!$A$2:$J$250,2,FALSE),""))</f>
        <v/>
      </c>
      <c r="C235" s="48">
        <f>IF(A235="","",IFERROR(VLOOKUP(A235,Clientes_PDV!$A$2:$J$250,3,FALSE),""))</f>
        <v/>
      </c>
      <c r="D235" s="48">
        <f>IF(A235="","",IFERROR(VLOOKUP(A235,Clientes_PDV!$A$2:$J$250,4,FALSE),""))</f>
        <v/>
      </c>
      <c r="E235" s="48">
        <f>IF(A235="","",IFERROR(VLOOKUP(A235,Clientes_PDV!$A$2:$J$250,7,FALSE),""))</f>
        <v/>
      </c>
      <c r="F235" s="49">
        <f>IF(A235="","",IFERROR(VLOOKUP(A235,Clientes_PDV!$A$2:$J$250,8,FALSE),""))</f>
        <v/>
      </c>
      <c r="G235" s="48">
        <f>IF(F235="","",TODAY()-F235)</f>
        <v/>
      </c>
      <c r="H235" s="48">
        <f>IF(A235="","",IF(F235="","Sin visita",IF(G235&lt;=IFERROR(VLOOKUP(E235,Inicio!$A$24:$B$26,2,FALSE),0),"Vigente","Atrasado")))</f>
        <v/>
      </c>
      <c r="I235" s="51">
        <f>IF(A235="","",SUMIFS(Ventas_SellIn!$L$2:$L$800,Ventas_SellIn!$D$2:$D$800,A235,Ventas_SellIn!$B$2:$B$800,"&gt;="&amp;TODAY()-Inicio!$B$14))</f>
        <v/>
      </c>
      <c r="J235" s="48">
        <f>IF(A235="","",SUMIFS(SellOut_Jumbo!$F$2:$F$800,SellOut_Jumbo!$C$2:$C$800,D235,SellOut_Jumbo!$A$2:$A$800,"&gt;="&amp;TODAY()-Inicio!$B$14))</f>
        <v/>
      </c>
      <c r="K235" s="48">
        <f>IF(A235="","",IF(I235=0,"Sin venta",IF(I235&lt;Inicio!$B$15,"Venta baja","Venta OK")))</f>
        <v/>
      </c>
      <c r="L235" s="48">
        <f>IF(A235="","",COUNTIFS(Ventas_SellIn!$D$2:$D$800,A235,Ventas_SellIn!$R$2:$R$800,"&gt;0"))</f>
        <v/>
      </c>
      <c r="M235" s="51">
        <f>IF(A235="","",SUMIFS(Ventas_SellIn!$R$2:$R$800,Ventas_SellIn!$D$2:$D$800,A235))</f>
        <v/>
      </c>
      <c r="N235" s="48">
        <f>IF(A235="","",IF(M235&gt;=Inicio!$B$18,"Pendiente relevante",IF(M235&gt;0,"Pendiente menor","Sin deuda")))</f>
        <v/>
      </c>
      <c r="O235" s="48">
        <f>IF(A235="","",SUMIFS(Stock_PDV!$H$2:$H$800,Stock_PDV!$A$2:$A$800,A235))</f>
        <v/>
      </c>
      <c r="P235" s="48">
        <f>IF(A235="","",IF(O235&lt;=Inicio!$B$16,"Crítico",IF(O235&lt;=Inicio!$B$17,"Observar","OK")))</f>
        <v/>
      </c>
      <c r="Q235" s="48">
        <f>IF(A235="","",IF(OR(H235="Atrasado",K235="Sin venta",N235="Pendiente relevante",P235="Crítico"),"Alta",IF(OR(K235="Venta baja",N235="Pendiente menor",P235="Observar"),"Media","Baja")))</f>
        <v/>
      </c>
      <c r="R235" s="48">
        <f>IF(A235="","",IF(Q235="Alta","Gestionar esta semana",IF(Q235="Media","Hacer seguimiento","Mantener")))</f>
        <v/>
      </c>
      <c r="S235" s="68">
        <f>IF(A235="","",IF(I235=0,"Sin venta",IF(I235&gt;=cfg_VentaAlta,"Alta",IF(I235&lt;cfg_VentaBaja,"Baja","Media"))))</f>
        <v/>
      </c>
    </row>
    <row r="236">
      <c r="A236" s="48">
        <f>IF(Clientes_PDV!A236="","",Clientes_PDV!A236)</f>
        <v/>
      </c>
      <c r="B236" s="48">
        <f>IF(A236="","",IFERROR(VLOOKUP(A236,Clientes_PDV!$A$2:$J$250,2,FALSE),""))</f>
        <v/>
      </c>
      <c r="C236" s="48">
        <f>IF(A236="","",IFERROR(VLOOKUP(A236,Clientes_PDV!$A$2:$J$250,3,FALSE),""))</f>
        <v/>
      </c>
      <c r="D236" s="48">
        <f>IF(A236="","",IFERROR(VLOOKUP(A236,Clientes_PDV!$A$2:$J$250,4,FALSE),""))</f>
        <v/>
      </c>
      <c r="E236" s="48">
        <f>IF(A236="","",IFERROR(VLOOKUP(A236,Clientes_PDV!$A$2:$J$250,7,FALSE),""))</f>
        <v/>
      </c>
      <c r="F236" s="49">
        <f>IF(A236="","",IFERROR(VLOOKUP(A236,Clientes_PDV!$A$2:$J$250,8,FALSE),""))</f>
        <v/>
      </c>
      <c r="G236" s="48">
        <f>IF(F236="","",TODAY()-F236)</f>
        <v/>
      </c>
      <c r="H236" s="48">
        <f>IF(A236="","",IF(F236="","Sin visita",IF(G236&lt;=IFERROR(VLOOKUP(E236,Inicio!$A$24:$B$26,2,FALSE),0),"Vigente","Atrasado")))</f>
        <v/>
      </c>
      <c r="I236" s="51">
        <f>IF(A236="","",SUMIFS(Ventas_SellIn!$L$2:$L$800,Ventas_SellIn!$D$2:$D$800,A236,Ventas_SellIn!$B$2:$B$800,"&gt;="&amp;TODAY()-Inicio!$B$14))</f>
        <v/>
      </c>
      <c r="J236" s="48">
        <f>IF(A236="","",SUMIFS(SellOut_Jumbo!$F$2:$F$800,SellOut_Jumbo!$C$2:$C$800,D236,SellOut_Jumbo!$A$2:$A$800,"&gt;="&amp;TODAY()-Inicio!$B$14))</f>
        <v/>
      </c>
      <c r="K236" s="48">
        <f>IF(A236="","",IF(I236=0,"Sin venta",IF(I236&lt;Inicio!$B$15,"Venta baja","Venta OK")))</f>
        <v/>
      </c>
      <c r="L236" s="48">
        <f>IF(A236="","",COUNTIFS(Ventas_SellIn!$D$2:$D$800,A236,Ventas_SellIn!$R$2:$R$800,"&gt;0"))</f>
        <v/>
      </c>
      <c r="M236" s="51">
        <f>IF(A236="","",SUMIFS(Ventas_SellIn!$R$2:$R$800,Ventas_SellIn!$D$2:$D$800,A236))</f>
        <v/>
      </c>
      <c r="N236" s="48">
        <f>IF(A236="","",IF(M236&gt;=Inicio!$B$18,"Pendiente relevante",IF(M236&gt;0,"Pendiente menor","Sin deuda")))</f>
        <v/>
      </c>
      <c r="O236" s="48">
        <f>IF(A236="","",SUMIFS(Stock_PDV!$H$2:$H$800,Stock_PDV!$A$2:$A$800,A236))</f>
        <v/>
      </c>
      <c r="P236" s="48">
        <f>IF(A236="","",IF(O236&lt;=Inicio!$B$16,"Crítico",IF(O236&lt;=Inicio!$B$17,"Observar","OK")))</f>
        <v/>
      </c>
      <c r="Q236" s="48">
        <f>IF(A236="","",IF(OR(H236="Atrasado",K236="Sin venta",N236="Pendiente relevante",P236="Crítico"),"Alta",IF(OR(K236="Venta baja",N236="Pendiente menor",P236="Observar"),"Media","Baja")))</f>
        <v/>
      </c>
      <c r="R236" s="48">
        <f>IF(A236="","",IF(Q236="Alta","Gestionar esta semana",IF(Q236="Media","Hacer seguimiento","Mantener")))</f>
        <v/>
      </c>
      <c r="S236" s="68">
        <f>IF(A236="","",IF(I236=0,"Sin venta",IF(I236&gt;=cfg_VentaAlta,"Alta",IF(I236&lt;cfg_VentaBaja,"Baja","Media"))))</f>
        <v/>
      </c>
    </row>
    <row r="237">
      <c r="A237" s="48">
        <f>IF(Clientes_PDV!A237="","",Clientes_PDV!A237)</f>
        <v/>
      </c>
      <c r="B237" s="48">
        <f>IF(A237="","",IFERROR(VLOOKUP(A237,Clientes_PDV!$A$2:$J$250,2,FALSE),""))</f>
        <v/>
      </c>
      <c r="C237" s="48">
        <f>IF(A237="","",IFERROR(VLOOKUP(A237,Clientes_PDV!$A$2:$J$250,3,FALSE),""))</f>
        <v/>
      </c>
      <c r="D237" s="48">
        <f>IF(A237="","",IFERROR(VLOOKUP(A237,Clientes_PDV!$A$2:$J$250,4,FALSE),""))</f>
        <v/>
      </c>
      <c r="E237" s="48">
        <f>IF(A237="","",IFERROR(VLOOKUP(A237,Clientes_PDV!$A$2:$J$250,7,FALSE),""))</f>
        <v/>
      </c>
      <c r="F237" s="49">
        <f>IF(A237="","",IFERROR(VLOOKUP(A237,Clientes_PDV!$A$2:$J$250,8,FALSE),""))</f>
        <v/>
      </c>
      <c r="G237" s="48">
        <f>IF(F237="","",TODAY()-F237)</f>
        <v/>
      </c>
      <c r="H237" s="48">
        <f>IF(A237="","",IF(F237="","Sin visita",IF(G237&lt;=IFERROR(VLOOKUP(E237,Inicio!$A$24:$B$26,2,FALSE),0),"Vigente","Atrasado")))</f>
        <v/>
      </c>
      <c r="I237" s="51">
        <f>IF(A237="","",SUMIFS(Ventas_SellIn!$L$2:$L$800,Ventas_SellIn!$D$2:$D$800,A237,Ventas_SellIn!$B$2:$B$800,"&gt;="&amp;TODAY()-Inicio!$B$14))</f>
        <v/>
      </c>
      <c r="J237" s="48">
        <f>IF(A237="","",SUMIFS(SellOut_Jumbo!$F$2:$F$800,SellOut_Jumbo!$C$2:$C$800,D237,SellOut_Jumbo!$A$2:$A$800,"&gt;="&amp;TODAY()-Inicio!$B$14))</f>
        <v/>
      </c>
      <c r="K237" s="48">
        <f>IF(A237="","",IF(I237=0,"Sin venta",IF(I237&lt;Inicio!$B$15,"Venta baja","Venta OK")))</f>
        <v/>
      </c>
      <c r="L237" s="48">
        <f>IF(A237="","",COUNTIFS(Ventas_SellIn!$D$2:$D$800,A237,Ventas_SellIn!$R$2:$R$800,"&gt;0"))</f>
        <v/>
      </c>
      <c r="M237" s="51">
        <f>IF(A237="","",SUMIFS(Ventas_SellIn!$R$2:$R$800,Ventas_SellIn!$D$2:$D$800,A237))</f>
        <v/>
      </c>
      <c r="N237" s="48">
        <f>IF(A237="","",IF(M237&gt;=Inicio!$B$18,"Pendiente relevante",IF(M237&gt;0,"Pendiente menor","Sin deuda")))</f>
        <v/>
      </c>
      <c r="O237" s="48">
        <f>IF(A237="","",SUMIFS(Stock_PDV!$H$2:$H$800,Stock_PDV!$A$2:$A$800,A237))</f>
        <v/>
      </c>
      <c r="P237" s="48">
        <f>IF(A237="","",IF(O237&lt;=Inicio!$B$16,"Crítico",IF(O237&lt;=Inicio!$B$17,"Observar","OK")))</f>
        <v/>
      </c>
      <c r="Q237" s="48">
        <f>IF(A237="","",IF(OR(H237="Atrasado",K237="Sin venta",N237="Pendiente relevante",P237="Crítico"),"Alta",IF(OR(K237="Venta baja",N237="Pendiente menor",P237="Observar"),"Media","Baja")))</f>
        <v/>
      </c>
      <c r="R237" s="48">
        <f>IF(A237="","",IF(Q237="Alta","Gestionar esta semana",IF(Q237="Media","Hacer seguimiento","Mantener")))</f>
        <v/>
      </c>
      <c r="S237" s="68">
        <f>IF(A237="","",IF(I237=0,"Sin venta",IF(I237&gt;=cfg_VentaAlta,"Alta",IF(I237&lt;cfg_VentaBaja,"Baja","Media"))))</f>
        <v/>
      </c>
    </row>
    <row r="238">
      <c r="A238" s="48">
        <f>IF(Clientes_PDV!A238="","",Clientes_PDV!A238)</f>
        <v/>
      </c>
      <c r="B238" s="48">
        <f>IF(A238="","",IFERROR(VLOOKUP(A238,Clientes_PDV!$A$2:$J$250,2,FALSE),""))</f>
        <v/>
      </c>
      <c r="C238" s="48">
        <f>IF(A238="","",IFERROR(VLOOKUP(A238,Clientes_PDV!$A$2:$J$250,3,FALSE),""))</f>
        <v/>
      </c>
      <c r="D238" s="48">
        <f>IF(A238="","",IFERROR(VLOOKUP(A238,Clientes_PDV!$A$2:$J$250,4,FALSE),""))</f>
        <v/>
      </c>
      <c r="E238" s="48">
        <f>IF(A238="","",IFERROR(VLOOKUP(A238,Clientes_PDV!$A$2:$J$250,7,FALSE),""))</f>
        <v/>
      </c>
      <c r="F238" s="49">
        <f>IF(A238="","",IFERROR(VLOOKUP(A238,Clientes_PDV!$A$2:$J$250,8,FALSE),""))</f>
        <v/>
      </c>
      <c r="G238" s="48">
        <f>IF(F238="","",TODAY()-F238)</f>
        <v/>
      </c>
      <c r="H238" s="48">
        <f>IF(A238="","",IF(F238="","Sin visita",IF(G238&lt;=IFERROR(VLOOKUP(E238,Inicio!$A$24:$B$26,2,FALSE),0),"Vigente","Atrasado")))</f>
        <v/>
      </c>
      <c r="I238" s="51">
        <f>IF(A238="","",SUMIFS(Ventas_SellIn!$L$2:$L$800,Ventas_SellIn!$D$2:$D$800,A238,Ventas_SellIn!$B$2:$B$800,"&gt;="&amp;TODAY()-Inicio!$B$14))</f>
        <v/>
      </c>
      <c r="J238" s="48">
        <f>IF(A238="","",SUMIFS(SellOut_Jumbo!$F$2:$F$800,SellOut_Jumbo!$C$2:$C$800,D238,SellOut_Jumbo!$A$2:$A$800,"&gt;="&amp;TODAY()-Inicio!$B$14))</f>
        <v/>
      </c>
      <c r="K238" s="48">
        <f>IF(A238="","",IF(I238=0,"Sin venta",IF(I238&lt;Inicio!$B$15,"Venta baja","Venta OK")))</f>
        <v/>
      </c>
      <c r="L238" s="48">
        <f>IF(A238="","",COUNTIFS(Ventas_SellIn!$D$2:$D$800,A238,Ventas_SellIn!$R$2:$R$800,"&gt;0"))</f>
        <v/>
      </c>
      <c r="M238" s="51">
        <f>IF(A238="","",SUMIFS(Ventas_SellIn!$R$2:$R$800,Ventas_SellIn!$D$2:$D$800,A238))</f>
        <v/>
      </c>
      <c r="N238" s="48">
        <f>IF(A238="","",IF(M238&gt;=Inicio!$B$18,"Pendiente relevante",IF(M238&gt;0,"Pendiente menor","Sin deuda")))</f>
        <v/>
      </c>
      <c r="O238" s="48">
        <f>IF(A238="","",SUMIFS(Stock_PDV!$H$2:$H$800,Stock_PDV!$A$2:$A$800,A238))</f>
        <v/>
      </c>
      <c r="P238" s="48">
        <f>IF(A238="","",IF(O238&lt;=Inicio!$B$16,"Crítico",IF(O238&lt;=Inicio!$B$17,"Observar","OK")))</f>
        <v/>
      </c>
      <c r="Q238" s="48">
        <f>IF(A238="","",IF(OR(H238="Atrasado",K238="Sin venta",N238="Pendiente relevante",P238="Crítico"),"Alta",IF(OR(K238="Venta baja",N238="Pendiente menor",P238="Observar"),"Media","Baja")))</f>
        <v/>
      </c>
      <c r="R238" s="48">
        <f>IF(A238="","",IF(Q238="Alta","Gestionar esta semana",IF(Q238="Media","Hacer seguimiento","Mantener")))</f>
        <v/>
      </c>
      <c r="S238" s="68">
        <f>IF(A238="","",IF(I238=0,"Sin venta",IF(I238&gt;=cfg_VentaAlta,"Alta",IF(I238&lt;cfg_VentaBaja,"Baja","Media"))))</f>
        <v/>
      </c>
    </row>
    <row r="239">
      <c r="A239" s="48">
        <f>IF(Clientes_PDV!A239="","",Clientes_PDV!A239)</f>
        <v/>
      </c>
      <c r="B239" s="48">
        <f>IF(A239="","",IFERROR(VLOOKUP(A239,Clientes_PDV!$A$2:$J$250,2,FALSE),""))</f>
        <v/>
      </c>
      <c r="C239" s="48">
        <f>IF(A239="","",IFERROR(VLOOKUP(A239,Clientes_PDV!$A$2:$J$250,3,FALSE),""))</f>
        <v/>
      </c>
      <c r="D239" s="48">
        <f>IF(A239="","",IFERROR(VLOOKUP(A239,Clientes_PDV!$A$2:$J$250,4,FALSE),""))</f>
        <v/>
      </c>
      <c r="E239" s="48">
        <f>IF(A239="","",IFERROR(VLOOKUP(A239,Clientes_PDV!$A$2:$J$250,7,FALSE),""))</f>
        <v/>
      </c>
      <c r="F239" s="49">
        <f>IF(A239="","",IFERROR(VLOOKUP(A239,Clientes_PDV!$A$2:$J$250,8,FALSE),""))</f>
        <v/>
      </c>
      <c r="G239" s="48">
        <f>IF(F239="","",TODAY()-F239)</f>
        <v/>
      </c>
      <c r="H239" s="48">
        <f>IF(A239="","",IF(F239="","Sin visita",IF(G239&lt;=IFERROR(VLOOKUP(E239,Inicio!$A$24:$B$26,2,FALSE),0),"Vigente","Atrasado")))</f>
        <v/>
      </c>
      <c r="I239" s="51">
        <f>IF(A239="","",SUMIFS(Ventas_SellIn!$L$2:$L$800,Ventas_SellIn!$D$2:$D$800,A239,Ventas_SellIn!$B$2:$B$800,"&gt;="&amp;TODAY()-Inicio!$B$14))</f>
        <v/>
      </c>
      <c r="J239" s="48">
        <f>IF(A239="","",SUMIFS(SellOut_Jumbo!$F$2:$F$800,SellOut_Jumbo!$C$2:$C$800,D239,SellOut_Jumbo!$A$2:$A$800,"&gt;="&amp;TODAY()-Inicio!$B$14))</f>
        <v/>
      </c>
      <c r="K239" s="48">
        <f>IF(A239="","",IF(I239=0,"Sin venta",IF(I239&lt;Inicio!$B$15,"Venta baja","Venta OK")))</f>
        <v/>
      </c>
      <c r="L239" s="48">
        <f>IF(A239="","",COUNTIFS(Ventas_SellIn!$D$2:$D$800,A239,Ventas_SellIn!$R$2:$R$800,"&gt;0"))</f>
        <v/>
      </c>
      <c r="M239" s="51">
        <f>IF(A239="","",SUMIFS(Ventas_SellIn!$R$2:$R$800,Ventas_SellIn!$D$2:$D$800,A239))</f>
        <v/>
      </c>
      <c r="N239" s="48">
        <f>IF(A239="","",IF(M239&gt;=Inicio!$B$18,"Pendiente relevante",IF(M239&gt;0,"Pendiente menor","Sin deuda")))</f>
        <v/>
      </c>
      <c r="O239" s="48">
        <f>IF(A239="","",SUMIFS(Stock_PDV!$H$2:$H$800,Stock_PDV!$A$2:$A$800,A239))</f>
        <v/>
      </c>
      <c r="P239" s="48">
        <f>IF(A239="","",IF(O239&lt;=Inicio!$B$16,"Crítico",IF(O239&lt;=Inicio!$B$17,"Observar","OK")))</f>
        <v/>
      </c>
      <c r="Q239" s="48">
        <f>IF(A239="","",IF(OR(H239="Atrasado",K239="Sin venta",N239="Pendiente relevante",P239="Crítico"),"Alta",IF(OR(K239="Venta baja",N239="Pendiente menor",P239="Observar"),"Media","Baja")))</f>
        <v/>
      </c>
      <c r="R239" s="48">
        <f>IF(A239="","",IF(Q239="Alta","Gestionar esta semana",IF(Q239="Media","Hacer seguimiento","Mantener")))</f>
        <v/>
      </c>
      <c r="S239" s="68">
        <f>IF(A239="","",IF(I239=0,"Sin venta",IF(I239&gt;=cfg_VentaAlta,"Alta",IF(I239&lt;cfg_VentaBaja,"Baja","Media"))))</f>
        <v/>
      </c>
    </row>
    <row r="240">
      <c r="A240" s="48">
        <f>IF(Clientes_PDV!A240="","",Clientes_PDV!A240)</f>
        <v/>
      </c>
      <c r="B240" s="48">
        <f>IF(A240="","",IFERROR(VLOOKUP(A240,Clientes_PDV!$A$2:$J$250,2,FALSE),""))</f>
        <v/>
      </c>
      <c r="C240" s="48">
        <f>IF(A240="","",IFERROR(VLOOKUP(A240,Clientes_PDV!$A$2:$J$250,3,FALSE),""))</f>
        <v/>
      </c>
      <c r="D240" s="48">
        <f>IF(A240="","",IFERROR(VLOOKUP(A240,Clientes_PDV!$A$2:$J$250,4,FALSE),""))</f>
        <v/>
      </c>
      <c r="E240" s="48">
        <f>IF(A240="","",IFERROR(VLOOKUP(A240,Clientes_PDV!$A$2:$J$250,7,FALSE),""))</f>
        <v/>
      </c>
      <c r="F240" s="49">
        <f>IF(A240="","",IFERROR(VLOOKUP(A240,Clientes_PDV!$A$2:$J$250,8,FALSE),""))</f>
        <v/>
      </c>
      <c r="G240" s="48">
        <f>IF(F240="","",TODAY()-F240)</f>
        <v/>
      </c>
      <c r="H240" s="48">
        <f>IF(A240="","",IF(F240="","Sin visita",IF(G240&lt;=IFERROR(VLOOKUP(E240,Inicio!$A$24:$B$26,2,FALSE),0),"Vigente","Atrasado")))</f>
        <v/>
      </c>
      <c r="I240" s="51">
        <f>IF(A240="","",SUMIFS(Ventas_SellIn!$L$2:$L$800,Ventas_SellIn!$D$2:$D$800,A240,Ventas_SellIn!$B$2:$B$800,"&gt;="&amp;TODAY()-Inicio!$B$14))</f>
        <v/>
      </c>
      <c r="J240" s="48">
        <f>IF(A240="","",SUMIFS(SellOut_Jumbo!$F$2:$F$800,SellOut_Jumbo!$C$2:$C$800,D240,SellOut_Jumbo!$A$2:$A$800,"&gt;="&amp;TODAY()-Inicio!$B$14))</f>
        <v/>
      </c>
      <c r="K240" s="48">
        <f>IF(A240="","",IF(I240=0,"Sin venta",IF(I240&lt;Inicio!$B$15,"Venta baja","Venta OK")))</f>
        <v/>
      </c>
      <c r="L240" s="48">
        <f>IF(A240="","",COUNTIFS(Ventas_SellIn!$D$2:$D$800,A240,Ventas_SellIn!$R$2:$R$800,"&gt;0"))</f>
        <v/>
      </c>
      <c r="M240" s="51">
        <f>IF(A240="","",SUMIFS(Ventas_SellIn!$R$2:$R$800,Ventas_SellIn!$D$2:$D$800,A240))</f>
        <v/>
      </c>
      <c r="N240" s="48">
        <f>IF(A240="","",IF(M240&gt;=Inicio!$B$18,"Pendiente relevante",IF(M240&gt;0,"Pendiente menor","Sin deuda")))</f>
        <v/>
      </c>
      <c r="O240" s="48">
        <f>IF(A240="","",SUMIFS(Stock_PDV!$H$2:$H$800,Stock_PDV!$A$2:$A$800,A240))</f>
        <v/>
      </c>
      <c r="P240" s="48">
        <f>IF(A240="","",IF(O240&lt;=Inicio!$B$16,"Crítico",IF(O240&lt;=Inicio!$B$17,"Observar","OK")))</f>
        <v/>
      </c>
      <c r="Q240" s="48">
        <f>IF(A240="","",IF(OR(H240="Atrasado",K240="Sin venta",N240="Pendiente relevante",P240="Crítico"),"Alta",IF(OR(K240="Venta baja",N240="Pendiente menor",P240="Observar"),"Media","Baja")))</f>
        <v/>
      </c>
      <c r="R240" s="48">
        <f>IF(A240="","",IF(Q240="Alta","Gestionar esta semana",IF(Q240="Media","Hacer seguimiento","Mantener")))</f>
        <v/>
      </c>
      <c r="S240" s="68">
        <f>IF(A240="","",IF(I240=0,"Sin venta",IF(I240&gt;=cfg_VentaAlta,"Alta",IF(I240&lt;cfg_VentaBaja,"Baja","Media"))))</f>
        <v/>
      </c>
    </row>
    <row r="241">
      <c r="A241" s="48">
        <f>IF(Clientes_PDV!A241="","",Clientes_PDV!A241)</f>
        <v/>
      </c>
      <c r="B241" s="48">
        <f>IF(A241="","",IFERROR(VLOOKUP(A241,Clientes_PDV!$A$2:$J$250,2,FALSE),""))</f>
        <v/>
      </c>
      <c r="C241" s="48">
        <f>IF(A241="","",IFERROR(VLOOKUP(A241,Clientes_PDV!$A$2:$J$250,3,FALSE),""))</f>
        <v/>
      </c>
      <c r="D241" s="48">
        <f>IF(A241="","",IFERROR(VLOOKUP(A241,Clientes_PDV!$A$2:$J$250,4,FALSE),""))</f>
        <v/>
      </c>
      <c r="E241" s="48">
        <f>IF(A241="","",IFERROR(VLOOKUP(A241,Clientes_PDV!$A$2:$J$250,7,FALSE),""))</f>
        <v/>
      </c>
      <c r="F241" s="49">
        <f>IF(A241="","",IFERROR(VLOOKUP(A241,Clientes_PDV!$A$2:$J$250,8,FALSE),""))</f>
        <v/>
      </c>
      <c r="G241" s="48">
        <f>IF(F241="","",TODAY()-F241)</f>
        <v/>
      </c>
      <c r="H241" s="48">
        <f>IF(A241="","",IF(F241="","Sin visita",IF(G241&lt;=IFERROR(VLOOKUP(E241,Inicio!$A$24:$B$26,2,FALSE),0),"Vigente","Atrasado")))</f>
        <v/>
      </c>
      <c r="I241" s="51">
        <f>IF(A241="","",SUMIFS(Ventas_SellIn!$L$2:$L$800,Ventas_SellIn!$D$2:$D$800,A241,Ventas_SellIn!$B$2:$B$800,"&gt;="&amp;TODAY()-Inicio!$B$14))</f>
        <v/>
      </c>
      <c r="J241" s="48">
        <f>IF(A241="","",SUMIFS(SellOut_Jumbo!$F$2:$F$800,SellOut_Jumbo!$C$2:$C$800,D241,SellOut_Jumbo!$A$2:$A$800,"&gt;="&amp;TODAY()-Inicio!$B$14))</f>
        <v/>
      </c>
      <c r="K241" s="48">
        <f>IF(A241="","",IF(I241=0,"Sin venta",IF(I241&lt;Inicio!$B$15,"Venta baja","Venta OK")))</f>
        <v/>
      </c>
      <c r="L241" s="48">
        <f>IF(A241="","",COUNTIFS(Ventas_SellIn!$D$2:$D$800,A241,Ventas_SellIn!$R$2:$R$800,"&gt;0"))</f>
        <v/>
      </c>
      <c r="M241" s="51">
        <f>IF(A241="","",SUMIFS(Ventas_SellIn!$R$2:$R$800,Ventas_SellIn!$D$2:$D$800,A241))</f>
        <v/>
      </c>
      <c r="N241" s="48">
        <f>IF(A241="","",IF(M241&gt;=Inicio!$B$18,"Pendiente relevante",IF(M241&gt;0,"Pendiente menor","Sin deuda")))</f>
        <v/>
      </c>
      <c r="O241" s="48">
        <f>IF(A241="","",SUMIFS(Stock_PDV!$H$2:$H$800,Stock_PDV!$A$2:$A$800,A241))</f>
        <v/>
      </c>
      <c r="P241" s="48">
        <f>IF(A241="","",IF(O241&lt;=Inicio!$B$16,"Crítico",IF(O241&lt;=Inicio!$B$17,"Observar","OK")))</f>
        <v/>
      </c>
      <c r="Q241" s="48">
        <f>IF(A241="","",IF(OR(H241="Atrasado",K241="Sin venta",N241="Pendiente relevante",P241="Crítico"),"Alta",IF(OR(K241="Venta baja",N241="Pendiente menor",P241="Observar"),"Media","Baja")))</f>
        <v/>
      </c>
      <c r="R241" s="48">
        <f>IF(A241="","",IF(Q241="Alta","Gestionar esta semana",IF(Q241="Media","Hacer seguimiento","Mantener")))</f>
        <v/>
      </c>
      <c r="S241" s="68">
        <f>IF(A241="","",IF(I241=0,"Sin venta",IF(I241&gt;=cfg_VentaAlta,"Alta",IF(I241&lt;cfg_VentaBaja,"Baja","Media"))))</f>
        <v/>
      </c>
    </row>
    <row r="242">
      <c r="A242" s="48">
        <f>IF(Clientes_PDV!A242="","",Clientes_PDV!A242)</f>
        <v/>
      </c>
      <c r="B242" s="48">
        <f>IF(A242="","",IFERROR(VLOOKUP(A242,Clientes_PDV!$A$2:$J$250,2,FALSE),""))</f>
        <v/>
      </c>
      <c r="C242" s="48">
        <f>IF(A242="","",IFERROR(VLOOKUP(A242,Clientes_PDV!$A$2:$J$250,3,FALSE),""))</f>
        <v/>
      </c>
      <c r="D242" s="48">
        <f>IF(A242="","",IFERROR(VLOOKUP(A242,Clientes_PDV!$A$2:$J$250,4,FALSE),""))</f>
        <v/>
      </c>
      <c r="E242" s="48">
        <f>IF(A242="","",IFERROR(VLOOKUP(A242,Clientes_PDV!$A$2:$J$250,7,FALSE),""))</f>
        <v/>
      </c>
      <c r="F242" s="49">
        <f>IF(A242="","",IFERROR(VLOOKUP(A242,Clientes_PDV!$A$2:$J$250,8,FALSE),""))</f>
        <v/>
      </c>
      <c r="G242" s="48">
        <f>IF(F242="","",TODAY()-F242)</f>
        <v/>
      </c>
      <c r="H242" s="48">
        <f>IF(A242="","",IF(F242="","Sin visita",IF(G242&lt;=IFERROR(VLOOKUP(E242,Inicio!$A$24:$B$26,2,FALSE),0),"Vigente","Atrasado")))</f>
        <v/>
      </c>
      <c r="I242" s="51">
        <f>IF(A242="","",SUMIFS(Ventas_SellIn!$L$2:$L$800,Ventas_SellIn!$D$2:$D$800,A242,Ventas_SellIn!$B$2:$B$800,"&gt;="&amp;TODAY()-Inicio!$B$14))</f>
        <v/>
      </c>
      <c r="J242" s="48">
        <f>IF(A242="","",SUMIFS(SellOut_Jumbo!$F$2:$F$800,SellOut_Jumbo!$C$2:$C$800,D242,SellOut_Jumbo!$A$2:$A$800,"&gt;="&amp;TODAY()-Inicio!$B$14))</f>
        <v/>
      </c>
      <c r="K242" s="48">
        <f>IF(A242="","",IF(I242=0,"Sin venta",IF(I242&lt;Inicio!$B$15,"Venta baja","Venta OK")))</f>
        <v/>
      </c>
      <c r="L242" s="48">
        <f>IF(A242="","",COUNTIFS(Ventas_SellIn!$D$2:$D$800,A242,Ventas_SellIn!$R$2:$R$800,"&gt;0"))</f>
        <v/>
      </c>
      <c r="M242" s="51">
        <f>IF(A242="","",SUMIFS(Ventas_SellIn!$R$2:$R$800,Ventas_SellIn!$D$2:$D$800,A242))</f>
        <v/>
      </c>
      <c r="N242" s="48">
        <f>IF(A242="","",IF(M242&gt;=Inicio!$B$18,"Pendiente relevante",IF(M242&gt;0,"Pendiente menor","Sin deuda")))</f>
        <v/>
      </c>
      <c r="O242" s="48">
        <f>IF(A242="","",SUMIFS(Stock_PDV!$H$2:$H$800,Stock_PDV!$A$2:$A$800,A242))</f>
        <v/>
      </c>
      <c r="P242" s="48">
        <f>IF(A242="","",IF(O242&lt;=Inicio!$B$16,"Crítico",IF(O242&lt;=Inicio!$B$17,"Observar","OK")))</f>
        <v/>
      </c>
      <c r="Q242" s="48">
        <f>IF(A242="","",IF(OR(H242="Atrasado",K242="Sin venta",N242="Pendiente relevante",P242="Crítico"),"Alta",IF(OR(K242="Venta baja",N242="Pendiente menor",P242="Observar"),"Media","Baja")))</f>
        <v/>
      </c>
      <c r="R242" s="48">
        <f>IF(A242="","",IF(Q242="Alta","Gestionar esta semana",IF(Q242="Media","Hacer seguimiento","Mantener")))</f>
        <v/>
      </c>
      <c r="S242" s="68">
        <f>IF(A242="","",IF(I242=0,"Sin venta",IF(I242&gt;=cfg_VentaAlta,"Alta",IF(I242&lt;cfg_VentaBaja,"Baja","Media"))))</f>
        <v/>
      </c>
    </row>
    <row r="243">
      <c r="A243" s="48">
        <f>IF(Clientes_PDV!A243="","",Clientes_PDV!A243)</f>
        <v/>
      </c>
      <c r="B243" s="48">
        <f>IF(A243="","",IFERROR(VLOOKUP(A243,Clientes_PDV!$A$2:$J$250,2,FALSE),""))</f>
        <v/>
      </c>
      <c r="C243" s="48">
        <f>IF(A243="","",IFERROR(VLOOKUP(A243,Clientes_PDV!$A$2:$J$250,3,FALSE),""))</f>
        <v/>
      </c>
      <c r="D243" s="48">
        <f>IF(A243="","",IFERROR(VLOOKUP(A243,Clientes_PDV!$A$2:$J$250,4,FALSE),""))</f>
        <v/>
      </c>
      <c r="E243" s="48">
        <f>IF(A243="","",IFERROR(VLOOKUP(A243,Clientes_PDV!$A$2:$J$250,7,FALSE),""))</f>
        <v/>
      </c>
      <c r="F243" s="49">
        <f>IF(A243="","",IFERROR(VLOOKUP(A243,Clientes_PDV!$A$2:$J$250,8,FALSE),""))</f>
        <v/>
      </c>
      <c r="G243" s="48">
        <f>IF(F243="","",TODAY()-F243)</f>
        <v/>
      </c>
      <c r="H243" s="48">
        <f>IF(A243="","",IF(F243="","Sin visita",IF(G243&lt;=IFERROR(VLOOKUP(E243,Inicio!$A$24:$B$26,2,FALSE),0),"Vigente","Atrasado")))</f>
        <v/>
      </c>
      <c r="I243" s="51">
        <f>IF(A243="","",SUMIFS(Ventas_SellIn!$L$2:$L$800,Ventas_SellIn!$D$2:$D$800,A243,Ventas_SellIn!$B$2:$B$800,"&gt;="&amp;TODAY()-Inicio!$B$14))</f>
        <v/>
      </c>
      <c r="J243" s="48">
        <f>IF(A243="","",SUMIFS(SellOut_Jumbo!$F$2:$F$800,SellOut_Jumbo!$C$2:$C$800,D243,SellOut_Jumbo!$A$2:$A$800,"&gt;="&amp;TODAY()-Inicio!$B$14))</f>
        <v/>
      </c>
      <c r="K243" s="48">
        <f>IF(A243="","",IF(I243=0,"Sin venta",IF(I243&lt;Inicio!$B$15,"Venta baja","Venta OK")))</f>
        <v/>
      </c>
      <c r="L243" s="48">
        <f>IF(A243="","",COUNTIFS(Ventas_SellIn!$D$2:$D$800,A243,Ventas_SellIn!$R$2:$R$800,"&gt;0"))</f>
        <v/>
      </c>
      <c r="M243" s="51">
        <f>IF(A243="","",SUMIFS(Ventas_SellIn!$R$2:$R$800,Ventas_SellIn!$D$2:$D$800,A243))</f>
        <v/>
      </c>
      <c r="N243" s="48">
        <f>IF(A243="","",IF(M243&gt;=Inicio!$B$18,"Pendiente relevante",IF(M243&gt;0,"Pendiente menor","Sin deuda")))</f>
        <v/>
      </c>
      <c r="O243" s="48">
        <f>IF(A243="","",SUMIFS(Stock_PDV!$H$2:$H$800,Stock_PDV!$A$2:$A$800,A243))</f>
        <v/>
      </c>
      <c r="P243" s="48">
        <f>IF(A243="","",IF(O243&lt;=Inicio!$B$16,"Crítico",IF(O243&lt;=Inicio!$B$17,"Observar","OK")))</f>
        <v/>
      </c>
      <c r="Q243" s="48">
        <f>IF(A243="","",IF(OR(H243="Atrasado",K243="Sin venta",N243="Pendiente relevante",P243="Crítico"),"Alta",IF(OR(K243="Venta baja",N243="Pendiente menor",P243="Observar"),"Media","Baja")))</f>
        <v/>
      </c>
      <c r="R243" s="48">
        <f>IF(A243="","",IF(Q243="Alta","Gestionar esta semana",IF(Q243="Media","Hacer seguimiento","Mantener")))</f>
        <v/>
      </c>
      <c r="S243" s="68">
        <f>IF(A243="","",IF(I243=0,"Sin venta",IF(I243&gt;=cfg_VentaAlta,"Alta",IF(I243&lt;cfg_VentaBaja,"Baja","Media"))))</f>
        <v/>
      </c>
    </row>
    <row r="244">
      <c r="A244" s="48">
        <f>IF(Clientes_PDV!A244="","",Clientes_PDV!A244)</f>
        <v/>
      </c>
      <c r="B244" s="48">
        <f>IF(A244="","",IFERROR(VLOOKUP(A244,Clientes_PDV!$A$2:$J$250,2,FALSE),""))</f>
        <v/>
      </c>
      <c r="C244" s="48">
        <f>IF(A244="","",IFERROR(VLOOKUP(A244,Clientes_PDV!$A$2:$J$250,3,FALSE),""))</f>
        <v/>
      </c>
      <c r="D244" s="48">
        <f>IF(A244="","",IFERROR(VLOOKUP(A244,Clientes_PDV!$A$2:$J$250,4,FALSE),""))</f>
        <v/>
      </c>
      <c r="E244" s="48">
        <f>IF(A244="","",IFERROR(VLOOKUP(A244,Clientes_PDV!$A$2:$J$250,7,FALSE),""))</f>
        <v/>
      </c>
      <c r="F244" s="49">
        <f>IF(A244="","",IFERROR(VLOOKUP(A244,Clientes_PDV!$A$2:$J$250,8,FALSE),""))</f>
        <v/>
      </c>
      <c r="G244" s="48">
        <f>IF(F244="","",TODAY()-F244)</f>
        <v/>
      </c>
      <c r="H244" s="48">
        <f>IF(A244="","",IF(F244="","Sin visita",IF(G244&lt;=IFERROR(VLOOKUP(E244,Inicio!$A$24:$B$26,2,FALSE),0),"Vigente","Atrasado")))</f>
        <v/>
      </c>
      <c r="I244" s="51">
        <f>IF(A244="","",SUMIFS(Ventas_SellIn!$L$2:$L$800,Ventas_SellIn!$D$2:$D$800,A244,Ventas_SellIn!$B$2:$B$800,"&gt;="&amp;TODAY()-Inicio!$B$14))</f>
        <v/>
      </c>
      <c r="J244" s="48">
        <f>IF(A244="","",SUMIFS(SellOut_Jumbo!$F$2:$F$800,SellOut_Jumbo!$C$2:$C$800,D244,SellOut_Jumbo!$A$2:$A$800,"&gt;="&amp;TODAY()-Inicio!$B$14))</f>
        <v/>
      </c>
      <c r="K244" s="48">
        <f>IF(A244="","",IF(I244=0,"Sin venta",IF(I244&lt;Inicio!$B$15,"Venta baja","Venta OK")))</f>
        <v/>
      </c>
      <c r="L244" s="48">
        <f>IF(A244="","",COUNTIFS(Ventas_SellIn!$D$2:$D$800,A244,Ventas_SellIn!$R$2:$R$800,"&gt;0"))</f>
        <v/>
      </c>
      <c r="M244" s="51">
        <f>IF(A244="","",SUMIFS(Ventas_SellIn!$R$2:$R$800,Ventas_SellIn!$D$2:$D$800,A244))</f>
        <v/>
      </c>
      <c r="N244" s="48">
        <f>IF(A244="","",IF(M244&gt;=Inicio!$B$18,"Pendiente relevante",IF(M244&gt;0,"Pendiente menor","Sin deuda")))</f>
        <v/>
      </c>
      <c r="O244" s="48">
        <f>IF(A244="","",SUMIFS(Stock_PDV!$H$2:$H$800,Stock_PDV!$A$2:$A$800,A244))</f>
        <v/>
      </c>
      <c r="P244" s="48">
        <f>IF(A244="","",IF(O244&lt;=Inicio!$B$16,"Crítico",IF(O244&lt;=Inicio!$B$17,"Observar","OK")))</f>
        <v/>
      </c>
      <c r="Q244" s="48">
        <f>IF(A244="","",IF(OR(H244="Atrasado",K244="Sin venta",N244="Pendiente relevante",P244="Crítico"),"Alta",IF(OR(K244="Venta baja",N244="Pendiente menor",P244="Observar"),"Media","Baja")))</f>
        <v/>
      </c>
      <c r="R244" s="48">
        <f>IF(A244="","",IF(Q244="Alta","Gestionar esta semana",IF(Q244="Media","Hacer seguimiento","Mantener")))</f>
        <v/>
      </c>
      <c r="S244" s="68">
        <f>IF(A244="","",IF(I244=0,"Sin venta",IF(I244&gt;=cfg_VentaAlta,"Alta",IF(I244&lt;cfg_VentaBaja,"Baja","Media"))))</f>
        <v/>
      </c>
    </row>
    <row r="245">
      <c r="A245" s="48">
        <f>IF(Clientes_PDV!A245="","",Clientes_PDV!A245)</f>
        <v/>
      </c>
      <c r="B245" s="48">
        <f>IF(A245="","",IFERROR(VLOOKUP(A245,Clientes_PDV!$A$2:$J$250,2,FALSE),""))</f>
        <v/>
      </c>
      <c r="C245" s="48">
        <f>IF(A245="","",IFERROR(VLOOKUP(A245,Clientes_PDV!$A$2:$J$250,3,FALSE),""))</f>
        <v/>
      </c>
      <c r="D245" s="48">
        <f>IF(A245="","",IFERROR(VLOOKUP(A245,Clientes_PDV!$A$2:$J$250,4,FALSE),""))</f>
        <v/>
      </c>
      <c r="E245" s="48">
        <f>IF(A245="","",IFERROR(VLOOKUP(A245,Clientes_PDV!$A$2:$J$250,7,FALSE),""))</f>
        <v/>
      </c>
      <c r="F245" s="49">
        <f>IF(A245="","",IFERROR(VLOOKUP(A245,Clientes_PDV!$A$2:$J$250,8,FALSE),""))</f>
        <v/>
      </c>
      <c r="G245" s="48">
        <f>IF(F245="","",TODAY()-F245)</f>
        <v/>
      </c>
      <c r="H245" s="48">
        <f>IF(A245="","",IF(F245="","Sin visita",IF(G245&lt;=IFERROR(VLOOKUP(E245,Inicio!$A$24:$B$26,2,FALSE),0),"Vigente","Atrasado")))</f>
        <v/>
      </c>
      <c r="I245" s="51">
        <f>IF(A245="","",SUMIFS(Ventas_SellIn!$L$2:$L$800,Ventas_SellIn!$D$2:$D$800,A245,Ventas_SellIn!$B$2:$B$800,"&gt;="&amp;TODAY()-Inicio!$B$14))</f>
        <v/>
      </c>
      <c r="J245" s="48">
        <f>IF(A245="","",SUMIFS(SellOut_Jumbo!$F$2:$F$800,SellOut_Jumbo!$C$2:$C$800,D245,SellOut_Jumbo!$A$2:$A$800,"&gt;="&amp;TODAY()-Inicio!$B$14))</f>
        <v/>
      </c>
      <c r="K245" s="48">
        <f>IF(A245="","",IF(I245=0,"Sin venta",IF(I245&lt;Inicio!$B$15,"Venta baja","Venta OK")))</f>
        <v/>
      </c>
      <c r="L245" s="48">
        <f>IF(A245="","",COUNTIFS(Ventas_SellIn!$D$2:$D$800,A245,Ventas_SellIn!$R$2:$R$800,"&gt;0"))</f>
        <v/>
      </c>
      <c r="M245" s="51">
        <f>IF(A245="","",SUMIFS(Ventas_SellIn!$R$2:$R$800,Ventas_SellIn!$D$2:$D$800,A245))</f>
        <v/>
      </c>
      <c r="N245" s="48">
        <f>IF(A245="","",IF(M245&gt;=Inicio!$B$18,"Pendiente relevante",IF(M245&gt;0,"Pendiente menor","Sin deuda")))</f>
        <v/>
      </c>
      <c r="O245" s="48">
        <f>IF(A245="","",SUMIFS(Stock_PDV!$H$2:$H$800,Stock_PDV!$A$2:$A$800,A245))</f>
        <v/>
      </c>
      <c r="P245" s="48">
        <f>IF(A245="","",IF(O245&lt;=Inicio!$B$16,"Crítico",IF(O245&lt;=Inicio!$B$17,"Observar","OK")))</f>
        <v/>
      </c>
      <c r="Q245" s="48">
        <f>IF(A245="","",IF(OR(H245="Atrasado",K245="Sin venta",N245="Pendiente relevante",P245="Crítico"),"Alta",IF(OR(K245="Venta baja",N245="Pendiente menor",P245="Observar"),"Media","Baja")))</f>
        <v/>
      </c>
      <c r="R245" s="48">
        <f>IF(A245="","",IF(Q245="Alta","Gestionar esta semana",IF(Q245="Media","Hacer seguimiento","Mantener")))</f>
        <v/>
      </c>
      <c r="S245" s="68">
        <f>IF(A245="","",IF(I245=0,"Sin venta",IF(I245&gt;=cfg_VentaAlta,"Alta",IF(I245&lt;cfg_VentaBaja,"Baja","Media"))))</f>
        <v/>
      </c>
    </row>
    <row r="246">
      <c r="A246" s="48">
        <f>IF(Clientes_PDV!A246="","",Clientes_PDV!A246)</f>
        <v/>
      </c>
      <c r="B246" s="48">
        <f>IF(A246="","",IFERROR(VLOOKUP(A246,Clientes_PDV!$A$2:$J$250,2,FALSE),""))</f>
        <v/>
      </c>
      <c r="C246" s="48">
        <f>IF(A246="","",IFERROR(VLOOKUP(A246,Clientes_PDV!$A$2:$J$250,3,FALSE),""))</f>
        <v/>
      </c>
      <c r="D246" s="48">
        <f>IF(A246="","",IFERROR(VLOOKUP(A246,Clientes_PDV!$A$2:$J$250,4,FALSE),""))</f>
        <v/>
      </c>
      <c r="E246" s="48">
        <f>IF(A246="","",IFERROR(VLOOKUP(A246,Clientes_PDV!$A$2:$J$250,7,FALSE),""))</f>
        <v/>
      </c>
      <c r="F246" s="49">
        <f>IF(A246="","",IFERROR(VLOOKUP(A246,Clientes_PDV!$A$2:$J$250,8,FALSE),""))</f>
        <v/>
      </c>
      <c r="G246" s="48">
        <f>IF(F246="","",TODAY()-F246)</f>
        <v/>
      </c>
      <c r="H246" s="48">
        <f>IF(A246="","",IF(F246="","Sin visita",IF(G246&lt;=IFERROR(VLOOKUP(E246,Inicio!$A$24:$B$26,2,FALSE),0),"Vigente","Atrasado")))</f>
        <v/>
      </c>
      <c r="I246" s="51">
        <f>IF(A246="","",SUMIFS(Ventas_SellIn!$L$2:$L$800,Ventas_SellIn!$D$2:$D$800,A246,Ventas_SellIn!$B$2:$B$800,"&gt;="&amp;TODAY()-Inicio!$B$14))</f>
        <v/>
      </c>
      <c r="J246" s="48">
        <f>IF(A246="","",SUMIFS(SellOut_Jumbo!$F$2:$F$800,SellOut_Jumbo!$C$2:$C$800,D246,SellOut_Jumbo!$A$2:$A$800,"&gt;="&amp;TODAY()-Inicio!$B$14))</f>
        <v/>
      </c>
      <c r="K246" s="48">
        <f>IF(A246="","",IF(I246=0,"Sin venta",IF(I246&lt;Inicio!$B$15,"Venta baja","Venta OK")))</f>
        <v/>
      </c>
      <c r="L246" s="48">
        <f>IF(A246="","",COUNTIFS(Ventas_SellIn!$D$2:$D$800,A246,Ventas_SellIn!$R$2:$R$800,"&gt;0"))</f>
        <v/>
      </c>
      <c r="M246" s="51">
        <f>IF(A246="","",SUMIFS(Ventas_SellIn!$R$2:$R$800,Ventas_SellIn!$D$2:$D$800,A246))</f>
        <v/>
      </c>
      <c r="N246" s="48">
        <f>IF(A246="","",IF(M246&gt;=Inicio!$B$18,"Pendiente relevante",IF(M246&gt;0,"Pendiente menor","Sin deuda")))</f>
        <v/>
      </c>
      <c r="O246" s="48">
        <f>IF(A246="","",SUMIFS(Stock_PDV!$H$2:$H$800,Stock_PDV!$A$2:$A$800,A246))</f>
        <v/>
      </c>
      <c r="P246" s="48">
        <f>IF(A246="","",IF(O246&lt;=Inicio!$B$16,"Crítico",IF(O246&lt;=Inicio!$B$17,"Observar","OK")))</f>
        <v/>
      </c>
      <c r="Q246" s="48">
        <f>IF(A246="","",IF(OR(H246="Atrasado",K246="Sin venta",N246="Pendiente relevante",P246="Crítico"),"Alta",IF(OR(K246="Venta baja",N246="Pendiente menor",P246="Observar"),"Media","Baja")))</f>
        <v/>
      </c>
      <c r="R246" s="48">
        <f>IF(A246="","",IF(Q246="Alta","Gestionar esta semana",IF(Q246="Media","Hacer seguimiento","Mantener")))</f>
        <v/>
      </c>
      <c r="S246" s="68">
        <f>IF(A246="","",IF(I246=0,"Sin venta",IF(I246&gt;=cfg_VentaAlta,"Alta",IF(I246&lt;cfg_VentaBaja,"Baja","Media"))))</f>
        <v/>
      </c>
    </row>
    <row r="247">
      <c r="A247" s="48">
        <f>IF(Clientes_PDV!A247="","",Clientes_PDV!A247)</f>
        <v/>
      </c>
      <c r="B247" s="48">
        <f>IF(A247="","",IFERROR(VLOOKUP(A247,Clientes_PDV!$A$2:$J$250,2,FALSE),""))</f>
        <v/>
      </c>
      <c r="C247" s="48">
        <f>IF(A247="","",IFERROR(VLOOKUP(A247,Clientes_PDV!$A$2:$J$250,3,FALSE),""))</f>
        <v/>
      </c>
      <c r="D247" s="48">
        <f>IF(A247="","",IFERROR(VLOOKUP(A247,Clientes_PDV!$A$2:$J$250,4,FALSE),""))</f>
        <v/>
      </c>
      <c r="E247" s="48">
        <f>IF(A247="","",IFERROR(VLOOKUP(A247,Clientes_PDV!$A$2:$J$250,7,FALSE),""))</f>
        <v/>
      </c>
      <c r="F247" s="49">
        <f>IF(A247="","",IFERROR(VLOOKUP(A247,Clientes_PDV!$A$2:$J$250,8,FALSE),""))</f>
        <v/>
      </c>
      <c r="G247" s="48">
        <f>IF(F247="","",TODAY()-F247)</f>
        <v/>
      </c>
      <c r="H247" s="48">
        <f>IF(A247="","",IF(F247="","Sin visita",IF(G247&lt;=IFERROR(VLOOKUP(E247,Inicio!$A$24:$B$26,2,FALSE),0),"Vigente","Atrasado")))</f>
        <v/>
      </c>
      <c r="I247" s="51">
        <f>IF(A247="","",SUMIFS(Ventas_SellIn!$L$2:$L$800,Ventas_SellIn!$D$2:$D$800,A247,Ventas_SellIn!$B$2:$B$800,"&gt;="&amp;TODAY()-Inicio!$B$14))</f>
        <v/>
      </c>
      <c r="J247" s="48">
        <f>IF(A247="","",SUMIFS(SellOut_Jumbo!$F$2:$F$800,SellOut_Jumbo!$C$2:$C$800,D247,SellOut_Jumbo!$A$2:$A$800,"&gt;="&amp;TODAY()-Inicio!$B$14))</f>
        <v/>
      </c>
      <c r="K247" s="48">
        <f>IF(A247="","",IF(I247=0,"Sin venta",IF(I247&lt;Inicio!$B$15,"Venta baja","Venta OK")))</f>
        <v/>
      </c>
      <c r="L247" s="48">
        <f>IF(A247="","",COUNTIFS(Ventas_SellIn!$D$2:$D$800,A247,Ventas_SellIn!$R$2:$R$800,"&gt;0"))</f>
        <v/>
      </c>
      <c r="M247" s="51">
        <f>IF(A247="","",SUMIFS(Ventas_SellIn!$R$2:$R$800,Ventas_SellIn!$D$2:$D$800,A247))</f>
        <v/>
      </c>
      <c r="N247" s="48">
        <f>IF(A247="","",IF(M247&gt;=Inicio!$B$18,"Pendiente relevante",IF(M247&gt;0,"Pendiente menor","Sin deuda")))</f>
        <v/>
      </c>
      <c r="O247" s="48">
        <f>IF(A247="","",SUMIFS(Stock_PDV!$H$2:$H$800,Stock_PDV!$A$2:$A$800,A247))</f>
        <v/>
      </c>
      <c r="P247" s="48">
        <f>IF(A247="","",IF(O247&lt;=Inicio!$B$16,"Crítico",IF(O247&lt;=Inicio!$B$17,"Observar","OK")))</f>
        <v/>
      </c>
      <c r="Q247" s="48">
        <f>IF(A247="","",IF(OR(H247="Atrasado",K247="Sin venta",N247="Pendiente relevante",P247="Crítico"),"Alta",IF(OR(K247="Venta baja",N247="Pendiente menor",P247="Observar"),"Media","Baja")))</f>
        <v/>
      </c>
      <c r="R247" s="48">
        <f>IF(A247="","",IF(Q247="Alta","Gestionar esta semana",IF(Q247="Media","Hacer seguimiento","Mantener")))</f>
        <v/>
      </c>
      <c r="S247" s="68">
        <f>IF(A247="","",IF(I247=0,"Sin venta",IF(I247&gt;=cfg_VentaAlta,"Alta",IF(I247&lt;cfg_VentaBaja,"Baja","Media"))))</f>
        <v/>
      </c>
    </row>
    <row r="248">
      <c r="A248" s="48">
        <f>IF(Clientes_PDV!A248="","",Clientes_PDV!A248)</f>
        <v/>
      </c>
      <c r="B248" s="48">
        <f>IF(A248="","",IFERROR(VLOOKUP(A248,Clientes_PDV!$A$2:$J$250,2,FALSE),""))</f>
        <v/>
      </c>
      <c r="C248" s="48">
        <f>IF(A248="","",IFERROR(VLOOKUP(A248,Clientes_PDV!$A$2:$J$250,3,FALSE),""))</f>
        <v/>
      </c>
      <c r="D248" s="48">
        <f>IF(A248="","",IFERROR(VLOOKUP(A248,Clientes_PDV!$A$2:$J$250,4,FALSE),""))</f>
        <v/>
      </c>
      <c r="E248" s="48">
        <f>IF(A248="","",IFERROR(VLOOKUP(A248,Clientes_PDV!$A$2:$J$250,7,FALSE),""))</f>
        <v/>
      </c>
      <c r="F248" s="49">
        <f>IF(A248="","",IFERROR(VLOOKUP(A248,Clientes_PDV!$A$2:$J$250,8,FALSE),""))</f>
        <v/>
      </c>
      <c r="G248" s="48">
        <f>IF(F248="","",TODAY()-F248)</f>
        <v/>
      </c>
      <c r="H248" s="48">
        <f>IF(A248="","",IF(F248="","Sin visita",IF(G248&lt;=IFERROR(VLOOKUP(E248,Inicio!$A$24:$B$26,2,FALSE),0),"Vigente","Atrasado")))</f>
        <v/>
      </c>
      <c r="I248" s="51">
        <f>IF(A248="","",SUMIFS(Ventas_SellIn!$L$2:$L$800,Ventas_SellIn!$D$2:$D$800,A248,Ventas_SellIn!$B$2:$B$800,"&gt;="&amp;TODAY()-Inicio!$B$14))</f>
        <v/>
      </c>
      <c r="J248" s="48">
        <f>IF(A248="","",SUMIFS(SellOut_Jumbo!$F$2:$F$800,SellOut_Jumbo!$C$2:$C$800,D248,SellOut_Jumbo!$A$2:$A$800,"&gt;="&amp;TODAY()-Inicio!$B$14))</f>
        <v/>
      </c>
      <c r="K248" s="48">
        <f>IF(A248="","",IF(I248=0,"Sin venta",IF(I248&lt;Inicio!$B$15,"Venta baja","Venta OK")))</f>
        <v/>
      </c>
      <c r="L248" s="48">
        <f>IF(A248="","",COUNTIFS(Ventas_SellIn!$D$2:$D$800,A248,Ventas_SellIn!$R$2:$R$800,"&gt;0"))</f>
        <v/>
      </c>
      <c r="M248" s="51">
        <f>IF(A248="","",SUMIFS(Ventas_SellIn!$R$2:$R$800,Ventas_SellIn!$D$2:$D$800,A248))</f>
        <v/>
      </c>
      <c r="N248" s="48">
        <f>IF(A248="","",IF(M248&gt;=Inicio!$B$18,"Pendiente relevante",IF(M248&gt;0,"Pendiente menor","Sin deuda")))</f>
        <v/>
      </c>
      <c r="O248" s="48">
        <f>IF(A248="","",SUMIFS(Stock_PDV!$H$2:$H$800,Stock_PDV!$A$2:$A$800,A248))</f>
        <v/>
      </c>
      <c r="P248" s="48">
        <f>IF(A248="","",IF(O248&lt;=Inicio!$B$16,"Crítico",IF(O248&lt;=Inicio!$B$17,"Observar","OK")))</f>
        <v/>
      </c>
      <c r="Q248" s="48">
        <f>IF(A248="","",IF(OR(H248="Atrasado",K248="Sin venta",N248="Pendiente relevante",P248="Crítico"),"Alta",IF(OR(K248="Venta baja",N248="Pendiente menor",P248="Observar"),"Media","Baja")))</f>
        <v/>
      </c>
      <c r="R248" s="48">
        <f>IF(A248="","",IF(Q248="Alta","Gestionar esta semana",IF(Q248="Media","Hacer seguimiento","Mantener")))</f>
        <v/>
      </c>
      <c r="S248" s="68">
        <f>IF(A248="","",IF(I248=0,"Sin venta",IF(I248&gt;=cfg_VentaAlta,"Alta",IF(I248&lt;cfg_VentaBaja,"Baja","Media"))))</f>
        <v/>
      </c>
    </row>
    <row r="249">
      <c r="A249" s="48">
        <f>IF(Clientes_PDV!A249="","",Clientes_PDV!A249)</f>
        <v/>
      </c>
      <c r="B249" s="48">
        <f>IF(A249="","",IFERROR(VLOOKUP(A249,Clientes_PDV!$A$2:$J$250,2,FALSE),""))</f>
        <v/>
      </c>
      <c r="C249" s="48">
        <f>IF(A249="","",IFERROR(VLOOKUP(A249,Clientes_PDV!$A$2:$J$250,3,FALSE),""))</f>
        <v/>
      </c>
      <c r="D249" s="48">
        <f>IF(A249="","",IFERROR(VLOOKUP(A249,Clientes_PDV!$A$2:$J$250,4,FALSE),""))</f>
        <v/>
      </c>
      <c r="E249" s="48">
        <f>IF(A249="","",IFERROR(VLOOKUP(A249,Clientes_PDV!$A$2:$J$250,7,FALSE),""))</f>
        <v/>
      </c>
      <c r="F249" s="49">
        <f>IF(A249="","",IFERROR(VLOOKUP(A249,Clientes_PDV!$A$2:$J$250,8,FALSE),""))</f>
        <v/>
      </c>
      <c r="G249" s="48">
        <f>IF(F249="","",TODAY()-F249)</f>
        <v/>
      </c>
      <c r="H249" s="48">
        <f>IF(A249="","",IF(F249="","Sin visita",IF(G249&lt;=IFERROR(VLOOKUP(E249,Inicio!$A$24:$B$26,2,FALSE),0),"Vigente","Atrasado")))</f>
        <v/>
      </c>
      <c r="I249" s="51">
        <f>IF(A249="","",SUMIFS(Ventas_SellIn!$L$2:$L$800,Ventas_SellIn!$D$2:$D$800,A249,Ventas_SellIn!$B$2:$B$800,"&gt;="&amp;TODAY()-Inicio!$B$14))</f>
        <v/>
      </c>
      <c r="J249" s="48">
        <f>IF(A249="","",SUMIFS(SellOut_Jumbo!$F$2:$F$800,SellOut_Jumbo!$C$2:$C$800,D249,SellOut_Jumbo!$A$2:$A$800,"&gt;="&amp;TODAY()-Inicio!$B$14))</f>
        <v/>
      </c>
      <c r="K249" s="48">
        <f>IF(A249="","",IF(I249=0,"Sin venta",IF(I249&lt;Inicio!$B$15,"Venta baja","Venta OK")))</f>
        <v/>
      </c>
      <c r="L249" s="48">
        <f>IF(A249="","",COUNTIFS(Ventas_SellIn!$D$2:$D$800,A249,Ventas_SellIn!$R$2:$R$800,"&gt;0"))</f>
        <v/>
      </c>
      <c r="M249" s="51">
        <f>IF(A249="","",SUMIFS(Ventas_SellIn!$R$2:$R$800,Ventas_SellIn!$D$2:$D$800,A249))</f>
        <v/>
      </c>
      <c r="N249" s="48">
        <f>IF(A249="","",IF(M249&gt;=Inicio!$B$18,"Pendiente relevante",IF(M249&gt;0,"Pendiente menor","Sin deuda")))</f>
        <v/>
      </c>
      <c r="O249" s="48">
        <f>IF(A249="","",SUMIFS(Stock_PDV!$H$2:$H$800,Stock_PDV!$A$2:$A$800,A249))</f>
        <v/>
      </c>
      <c r="P249" s="48">
        <f>IF(A249="","",IF(O249&lt;=Inicio!$B$16,"Crítico",IF(O249&lt;=Inicio!$B$17,"Observar","OK")))</f>
        <v/>
      </c>
      <c r="Q249" s="48">
        <f>IF(A249="","",IF(OR(H249="Atrasado",K249="Sin venta",N249="Pendiente relevante",P249="Crítico"),"Alta",IF(OR(K249="Venta baja",N249="Pendiente menor",P249="Observar"),"Media","Baja")))</f>
        <v/>
      </c>
      <c r="R249" s="48">
        <f>IF(A249="","",IF(Q249="Alta","Gestionar esta semana",IF(Q249="Media","Hacer seguimiento","Mantener")))</f>
        <v/>
      </c>
      <c r="S249" s="68">
        <f>IF(A249="","",IF(I249=0,"Sin venta",IF(I249&gt;=cfg_VentaAlta,"Alta",IF(I249&lt;cfg_VentaBaja,"Baja","Media"))))</f>
        <v/>
      </c>
    </row>
    <row r="250">
      <c r="A250" s="48">
        <f>IF(Clientes_PDV!A250="","",Clientes_PDV!A250)</f>
        <v/>
      </c>
      <c r="B250" s="48">
        <f>IF(A250="","",IFERROR(VLOOKUP(A250,Clientes_PDV!$A$2:$J$250,2,FALSE),""))</f>
        <v/>
      </c>
      <c r="C250" s="48">
        <f>IF(A250="","",IFERROR(VLOOKUP(A250,Clientes_PDV!$A$2:$J$250,3,FALSE),""))</f>
        <v/>
      </c>
      <c r="D250" s="48">
        <f>IF(A250="","",IFERROR(VLOOKUP(A250,Clientes_PDV!$A$2:$J$250,4,FALSE),""))</f>
        <v/>
      </c>
      <c r="E250" s="48">
        <f>IF(A250="","",IFERROR(VLOOKUP(A250,Clientes_PDV!$A$2:$J$250,7,FALSE),""))</f>
        <v/>
      </c>
      <c r="F250" s="49">
        <f>IF(A250="","",IFERROR(VLOOKUP(A250,Clientes_PDV!$A$2:$J$250,8,FALSE),""))</f>
        <v/>
      </c>
      <c r="G250" s="48">
        <f>IF(F250="","",TODAY()-F250)</f>
        <v/>
      </c>
      <c r="H250" s="48">
        <f>IF(A250="","",IF(F250="","Sin visita",IF(G250&lt;=IFERROR(VLOOKUP(E250,Inicio!$A$24:$B$26,2,FALSE),0),"Vigente","Atrasado")))</f>
        <v/>
      </c>
      <c r="I250" s="51">
        <f>IF(A250="","",SUMIFS(Ventas_SellIn!$L$2:$L$800,Ventas_SellIn!$D$2:$D$800,A250,Ventas_SellIn!$B$2:$B$800,"&gt;="&amp;TODAY()-Inicio!$B$14))</f>
        <v/>
      </c>
      <c r="J250" s="48">
        <f>IF(A250="","",SUMIFS(SellOut_Jumbo!$F$2:$F$800,SellOut_Jumbo!$C$2:$C$800,D250,SellOut_Jumbo!$A$2:$A$800,"&gt;="&amp;TODAY()-Inicio!$B$14))</f>
        <v/>
      </c>
      <c r="K250" s="48">
        <f>IF(A250="","",IF(I250=0,"Sin venta",IF(I250&lt;Inicio!$B$15,"Venta baja","Venta OK")))</f>
        <v/>
      </c>
      <c r="L250" s="48">
        <f>IF(A250="","",COUNTIFS(Ventas_SellIn!$D$2:$D$800,A250,Ventas_SellIn!$R$2:$R$800,"&gt;0"))</f>
        <v/>
      </c>
      <c r="M250" s="51">
        <f>IF(A250="","",SUMIFS(Ventas_SellIn!$R$2:$R$800,Ventas_SellIn!$D$2:$D$800,A250))</f>
        <v/>
      </c>
      <c r="N250" s="48">
        <f>IF(A250="","",IF(M250&gt;=Inicio!$B$18,"Pendiente relevante",IF(M250&gt;0,"Pendiente menor","Sin deuda")))</f>
        <v/>
      </c>
      <c r="O250" s="48">
        <f>IF(A250="","",SUMIFS(Stock_PDV!$H$2:$H$800,Stock_PDV!$A$2:$A$800,A250))</f>
        <v/>
      </c>
      <c r="P250" s="48">
        <f>IF(A250="","",IF(O250&lt;=Inicio!$B$16,"Crítico",IF(O250&lt;=Inicio!$B$17,"Observar","OK")))</f>
        <v/>
      </c>
      <c r="Q250" s="48">
        <f>IF(A250="","",IF(OR(H250="Atrasado",K250="Sin venta",N250="Pendiente relevante",P250="Crítico"),"Alta",IF(OR(K250="Venta baja",N250="Pendiente menor",P250="Observar"),"Media","Baja")))</f>
        <v/>
      </c>
      <c r="R250" s="48">
        <f>IF(A250="","",IF(Q250="Alta","Gestionar esta semana",IF(Q250="Media","Hacer seguimiento","Mantener")))</f>
        <v/>
      </c>
      <c r="S250" s="68">
        <f>IF(A250="","",IF(I250=0,"Sin venta",IF(I250&gt;=cfg_VentaAlta,"Alta",IF(I250&lt;cfg_VentaBaja,"Baja","Media"))))</f>
        <v/>
      </c>
    </row>
  </sheetData>
  <autoFilter ref="A1:S250"/>
  <conditionalFormatting sqref="H2:H250">
    <cfRule type="expression" priority="4" dxfId="2">
      <formula>H2="Atrasado"</formula>
    </cfRule>
    <cfRule type="expression" priority="5" dxfId="0">
      <formula>H2="Vigente"</formula>
    </cfRule>
  </conditionalFormatting>
  <conditionalFormatting sqref="K2:K250">
    <cfRule type="expression" priority="6" dxfId="2">
      <formula>K2="Sin venta"</formula>
    </cfRule>
    <cfRule type="expression" priority="7" dxfId="1">
      <formula>K2="Venta baja"</formula>
    </cfRule>
  </conditionalFormatting>
  <conditionalFormatting sqref="N2:N250">
    <cfRule type="expression" priority="8" dxfId="2">
      <formula>N2="Pendiente relevante"</formula>
    </cfRule>
  </conditionalFormatting>
  <conditionalFormatting sqref="P2:P250">
    <cfRule type="expression" priority="9" dxfId="2">
      <formula>P2="Crítico"</formula>
    </cfRule>
  </conditionalFormatting>
  <conditionalFormatting sqref="Q2:Q250">
    <cfRule type="expression" priority="10" dxfId="2">
      <formula>Q2="Alta"</formula>
    </cfRule>
    <cfRule type="expression" priority="11" dxfId="1">
      <formula>Q2="Media"</formula>
    </cfRule>
    <cfRule type="expression" priority="12" dxfId="0">
      <formula>Q2="Baja"</formula>
    </cfRule>
  </conditionalFormatting>
  <conditionalFormatting sqref="S2:S250">
    <cfRule type="cellIs" priority="10" operator="equal" dxfId="13">
      <formula>"Alta"</formula>
    </cfRule>
    <cfRule type="cellIs" priority="11" operator="equal" dxfId="12">
      <formula>"Media"</formula>
    </cfRule>
    <cfRule type="cellIs" priority="12" operator="equal" dxfId="11">
      <formula>"Baja"</formula>
    </cfRule>
    <cfRule type="cellIs" priority="13" operator="equal" dxfId="11">
      <formula>"Sin venta"</formula>
    </cfRule>
  </conditionalFormatting>
  <hyperlinks>
    <hyperlink xmlns:r="http://schemas.openxmlformats.org/officeDocument/2006/relationships" ref="T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C9A7BC"/>
    <outlinePr summaryBelow="1" summaryRight="1"/>
    <pageSetUpPr/>
  </sheetPr>
  <dimension ref="A1:L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2" customWidth="1" style="36" min="1" max="1"/>
    <col width="18" customWidth="1" style="36" min="2" max="2"/>
    <col width="16" customWidth="1" style="36" min="3" max="3"/>
    <col width="26" customWidth="1" style="36" min="4" max="4"/>
    <col width="16" customWidth="1" style="36" min="5" max="5"/>
    <col width="12" customWidth="1" style="36" min="6" max="6"/>
    <col width="18" customWidth="1" style="36" min="7" max="7"/>
    <col width="14" customWidth="1" style="36" min="8" max="9"/>
    <col width="28" customWidth="1" style="36" min="10" max="10"/>
  </cols>
  <sheetData>
    <row r="1" ht="28" customHeight="1" s="36">
      <c r="A1" s="10" t="inlineStr">
        <is>
          <t>PDV_ID</t>
        </is>
      </c>
      <c r="B1" s="10" t="inlineStr">
        <is>
          <t>Cliente</t>
        </is>
      </c>
      <c r="C1" s="10" t="inlineStr">
        <is>
          <t>Canal</t>
        </is>
      </c>
      <c r="D1" s="10" t="inlineStr">
        <is>
          <t>Punto de venta</t>
        </is>
      </c>
      <c r="E1" s="10" t="inlineStr">
        <is>
          <t>Comuna</t>
        </is>
      </c>
      <c r="F1" s="10" t="inlineStr">
        <is>
          <t>Región</t>
        </is>
      </c>
      <c r="G1" s="10" t="inlineStr">
        <is>
          <t>Frecuencia visita</t>
        </is>
      </c>
      <c r="H1" s="10" t="inlineStr">
        <is>
          <t>Última visita</t>
        </is>
      </c>
      <c r="I1" s="10" t="inlineStr">
        <is>
          <t>Estado cliente</t>
        </is>
      </c>
      <c r="J1" s="10" t="inlineStr">
        <is>
          <t>Observaciones</t>
        </is>
      </c>
      <c r="L1" s="47" t="inlineStr">
        <is>
          <t>⚙ Configuración</t>
        </is>
      </c>
    </row>
    <row r="2" ht="20" customHeight="1" s="36">
      <c r="A2" s="52" t="inlineStr">
        <is>
          <t>PDV-001</t>
        </is>
      </c>
      <c r="B2" s="52" t="inlineStr">
        <is>
          <t>Jumbo</t>
        </is>
      </c>
      <c r="C2" s="52" t="inlineStr">
        <is>
          <t>Retail</t>
        </is>
      </c>
      <c r="D2" s="52" t="inlineStr">
        <is>
          <t>Jumbo Bilbao</t>
        </is>
      </c>
      <c r="E2" s="52" t="inlineStr">
        <is>
          <t>Las Condes</t>
        </is>
      </c>
      <c r="F2" s="52" t="inlineStr">
        <is>
          <t>RM</t>
        </is>
      </c>
      <c r="G2" s="52" t="inlineStr">
        <is>
          <t>Semanal</t>
        </is>
      </c>
      <c r="H2" s="53" t="n">
        <v>46209</v>
      </c>
      <c r="I2" s="52" t="inlineStr">
        <is>
          <t>Activo</t>
        </is>
      </c>
      <c r="J2" s="52" t="inlineStr">
        <is>
          <t>Sala prioritaria</t>
        </is>
      </c>
    </row>
    <row r="3" ht="20" customHeight="1" s="36">
      <c r="A3" s="52" t="inlineStr">
        <is>
          <t>PDV-002</t>
        </is>
      </c>
      <c r="B3" s="52" t="inlineStr">
        <is>
          <t>Jumbo</t>
        </is>
      </c>
      <c r="C3" s="52" t="inlineStr">
        <is>
          <t>Retail</t>
        </is>
      </c>
      <c r="D3" s="52" t="inlineStr">
        <is>
          <t>Jumbo Kennedy</t>
        </is>
      </c>
      <c r="E3" s="52" t="inlineStr">
        <is>
          <t>Vitacura</t>
        </is>
      </c>
      <c r="F3" s="52" t="inlineStr">
        <is>
          <t>RM</t>
        </is>
      </c>
      <c r="G3" s="52" t="inlineStr">
        <is>
          <t>Semanal</t>
        </is>
      </c>
      <c r="H3" s="53" t="n">
        <v>46201</v>
      </c>
      <c r="I3" s="52" t="inlineStr">
        <is>
          <t>Activo</t>
        </is>
      </c>
      <c r="J3" s="52" t="inlineStr">
        <is>
          <t>Revisar reposición</t>
        </is>
      </c>
    </row>
    <row r="4" ht="20" customHeight="1" s="36">
      <c r="A4" s="52" t="inlineStr">
        <is>
          <t>PDV-003</t>
        </is>
      </c>
      <c r="B4" s="52" t="inlineStr">
        <is>
          <t>Jumbo</t>
        </is>
      </c>
      <c r="C4" s="52" t="inlineStr">
        <is>
          <t>Retail</t>
        </is>
      </c>
      <c r="D4" s="52" t="inlineStr">
        <is>
          <t>Jumbo La Reina</t>
        </is>
      </c>
      <c r="E4" s="52" t="inlineStr">
        <is>
          <t>La Reina</t>
        </is>
      </c>
      <c r="F4" s="52" t="inlineStr">
        <is>
          <t>RM</t>
        </is>
      </c>
      <c r="G4" s="52" t="inlineStr">
        <is>
          <t>Quincenal</t>
        </is>
      </c>
      <c r="H4" s="53" t="n">
        <v>46197</v>
      </c>
      <c r="I4" s="52" t="inlineStr">
        <is>
          <t>Activo</t>
        </is>
      </c>
      <c r="J4" s="52" t="n"/>
    </row>
    <row r="5" ht="20" customHeight="1" s="36">
      <c r="A5" s="52" t="inlineStr">
        <is>
          <t>PDV-004</t>
        </is>
      </c>
      <c r="B5" s="52" t="inlineStr">
        <is>
          <t>Get It</t>
        </is>
      </c>
      <c r="C5" s="52" t="inlineStr">
        <is>
          <t>Conveniencia</t>
        </is>
      </c>
      <c r="D5" s="52" t="inlineStr">
        <is>
          <t>Get It Apoquindo</t>
        </is>
      </c>
      <c r="E5" s="52" t="inlineStr">
        <is>
          <t>Las Condes</t>
        </is>
      </c>
      <c r="F5" s="52" t="inlineStr">
        <is>
          <t>RM</t>
        </is>
      </c>
      <c r="G5" s="52" t="inlineStr">
        <is>
          <t>Semanal</t>
        </is>
      </c>
      <c r="H5" s="53" t="n">
        <v>46206</v>
      </c>
      <c r="I5" s="52" t="inlineStr">
        <is>
          <t>Activo</t>
        </is>
      </c>
      <c r="J5" s="52" t="n"/>
    </row>
    <row r="6" ht="20" customHeight="1" s="36">
      <c r="A6" s="52" t="inlineStr">
        <is>
          <t>PDV-005</t>
        </is>
      </c>
      <c r="B6" s="52" t="inlineStr">
        <is>
          <t>Get It</t>
        </is>
      </c>
      <c r="C6" s="52" t="inlineStr">
        <is>
          <t>Conveniencia</t>
        </is>
      </c>
      <c r="D6" s="52" t="inlineStr">
        <is>
          <t>Get It Vitacura</t>
        </is>
      </c>
      <c r="E6" s="52" t="inlineStr">
        <is>
          <t>Vitacura</t>
        </is>
      </c>
      <c r="F6" s="52" t="inlineStr">
        <is>
          <t>RM</t>
        </is>
      </c>
      <c r="G6" s="52" t="inlineStr">
        <is>
          <t>Quincenal</t>
        </is>
      </c>
      <c r="H6" s="53" t="n">
        <v>46191</v>
      </c>
      <c r="I6" s="52" t="inlineStr">
        <is>
          <t>Activo</t>
        </is>
      </c>
      <c r="J6" s="52" t="n"/>
    </row>
    <row r="7" ht="20" customHeight="1" s="36">
      <c r="A7" s="52" t="inlineStr">
        <is>
          <t>PDV-006</t>
        </is>
      </c>
      <c r="B7" s="52" t="inlineStr">
        <is>
          <t>Aldea Nativa</t>
        </is>
      </c>
      <c r="C7" s="52" t="inlineStr">
        <is>
          <t>Especializadas</t>
        </is>
      </c>
      <c r="D7" s="52" t="inlineStr">
        <is>
          <t>Aldea Nativa Providencia</t>
        </is>
      </c>
      <c r="E7" s="52" t="inlineStr">
        <is>
          <t>Providencia</t>
        </is>
      </c>
      <c r="F7" s="52" t="inlineStr">
        <is>
          <t>RM</t>
        </is>
      </c>
      <c r="G7" s="52" t="inlineStr">
        <is>
          <t>Mensual</t>
        </is>
      </c>
      <c r="H7" s="53" t="n">
        <v>46182</v>
      </c>
      <c r="I7" s="52" t="inlineStr">
        <is>
          <t>Activo</t>
        </is>
      </c>
      <c r="J7" s="52" t="n"/>
    </row>
    <row r="8" ht="20" customHeight="1" s="36">
      <c r="A8" s="52" t="inlineStr">
        <is>
          <t>PDV-007</t>
        </is>
      </c>
      <c r="B8" s="52" t="inlineStr">
        <is>
          <t>All Nutrition</t>
        </is>
      </c>
      <c r="C8" s="52" t="inlineStr">
        <is>
          <t>Especializadas</t>
        </is>
      </c>
      <c r="D8" s="52" t="inlineStr">
        <is>
          <t>All Nutrition La Reina</t>
        </is>
      </c>
      <c r="E8" s="52" t="inlineStr">
        <is>
          <t>La Reina</t>
        </is>
      </c>
      <c r="F8" s="52" t="inlineStr">
        <is>
          <t>RM</t>
        </is>
      </c>
      <c r="G8" s="52" t="inlineStr">
        <is>
          <t>Mensual</t>
        </is>
      </c>
      <c r="H8" s="53" t="n">
        <v>46167</v>
      </c>
      <c r="I8" s="52" t="inlineStr">
        <is>
          <t>Activo</t>
        </is>
      </c>
      <c r="J8" s="52" t="inlineStr">
        <is>
          <t>Sin venta reciente</t>
        </is>
      </c>
    </row>
    <row r="9" ht="20" customHeight="1" s="36">
      <c r="A9" s="52" t="inlineStr">
        <is>
          <t>PDV-008</t>
        </is>
      </c>
      <c r="B9" s="52" t="inlineStr">
        <is>
          <t>Farmacia Ahumada</t>
        </is>
      </c>
      <c r="C9" s="52" t="inlineStr">
        <is>
          <t>Farmacias</t>
        </is>
      </c>
      <c r="D9" s="52" t="inlineStr">
        <is>
          <t>Ahumada Los Dominicos</t>
        </is>
      </c>
      <c r="E9" s="52" t="inlineStr">
        <is>
          <t>Las Condes</t>
        </is>
      </c>
      <c r="F9" s="52" t="inlineStr">
        <is>
          <t>RM</t>
        </is>
      </c>
      <c r="G9" s="52" t="inlineStr">
        <is>
          <t>Quincenal</t>
        </is>
      </c>
      <c r="H9" s="53" t="n">
        <v>46203</v>
      </c>
      <c r="I9" s="52" t="inlineStr">
        <is>
          <t>Prospecto</t>
        </is>
      </c>
      <c r="J9" s="52" t="n"/>
    </row>
    <row r="10" ht="20" customHeight="1" s="36">
      <c r="A10" s="52" t="inlineStr">
        <is>
          <t>PDV-009</t>
        </is>
      </c>
      <c r="B10" s="52" t="inlineStr">
        <is>
          <t>Cruz Verde</t>
        </is>
      </c>
      <c r="C10" s="52" t="inlineStr">
        <is>
          <t>Farmacias</t>
        </is>
      </c>
      <c r="D10" s="52" t="inlineStr">
        <is>
          <t>Cruz Verde Vitacura</t>
        </is>
      </c>
      <c r="E10" s="52" t="inlineStr">
        <is>
          <t>Vitacura</t>
        </is>
      </c>
      <c r="F10" s="52" t="inlineStr">
        <is>
          <t>RM</t>
        </is>
      </c>
      <c r="G10" s="52" t="inlineStr">
        <is>
          <t>Quincenal</t>
        </is>
      </c>
      <c r="H10" s="53" t="n">
        <v>46194</v>
      </c>
      <c r="I10" s="52" t="inlineStr">
        <is>
          <t>Activo</t>
        </is>
      </c>
      <c r="J10" s="52" t="n"/>
    </row>
    <row r="11" ht="20" customHeight="1" s="36">
      <c r="A11" s="52" t="inlineStr">
        <is>
          <t>PDV-010</t>
        </is>
      </c>
      <c r="B11" s="52" t="inlineStr">
        <is>
          <t>Sodexo</t>
        </is>
      </c>
      <c r="C11" s="52" t="inlineStr">
        <is>
          <t>Corporativo</t>
        </is>
      </c>
      <c r="D11" s="52" t="inlineStr">
        <is>
          <t>Sodexo Casa Matriz</t>
        </is>
      </c>
      <c r="E11" s="52" t="inlineStr">
        <is>
          <t>Providencia</t>
        </is>
      </c>
      <c r="F11" s="52" t="inlineStr">
        <is>
          <t>RM</t>
        </is>
      </c>
      <c r="G11" s="52" t="inlineStr">
        <is>
          <t>Mensual</t>
        </is>
      </c>
      <c r="H11" s="53" t="n">
        <v>46185</v>
      </c>
      <c r="I11" s="52" t="inlineStr">
        <is>
          <t>Activo</t>
        </is>
      </c>
      <c r="J11" s="52" t="n"/>
    </row>
    <row r="12" ht="20" customHeight="1" s="36">
      <c r="A12" s="52" t="inlineStr">
        <is>
          <t>PDV-011</t>
        </is>
      </c>
      <c r="B12" s="52" t="inlineStr">
        <is>
          <t>Tres Toques</t>
        </is>
      </c>
      <c r="C12" s="52" t="inlineStr">
        <is>
          <t>HORECA</t>
        </is>
      </c>
      <c r="D12" s="52" t="inlineStr">
        <is>
          <t>Tres Toques Vitacura</t>
        </is>
      </c>
      <c r="E12" s="52" t="inlineStr">
        <is>
          <t>Vitacura</t>
        </is>
      </c>
      <c r="F12" s="52" t="inlineStr">
        <is>
          <t>RM</t>
        </is>
      </c>
      <c r="G12" s="52" t="inlineStr">
        <is>
          <t>Mensual</t>
        </is>
      </c>
      <c r="H12" s="53" t="n">
        <v>46204</v>
      </c>
      <c r="I12" s="52" t="inlineStr">
        <is>
          <t>Activo</t>
        </is>
      </c>
      <c r="J12" s="52" t="n"/>
    </row>
    <row r="13" ht="20" customHeight="1" s="36">
      <c r="A13" s="52" t="inlineStr">
        <is>
          <t>PDV-012</t>
        </is>
      </c>
      <c r="B13" s="52" t="inlineStr">
        <is>
          <t>Mundo del Vino</t>
        </is>
      </c>
      <c r="C13" s="52" t="inlineStr">
        <is>
          <t>Especializadas</t>
        </is>
      </c>
      <c r="D13" s="52" t="inlineStr">
        <is>
          <t>Mundo del Vino Escuela Militar</t>
        </is>
      </c>
      <c r="E13" s="52" t="inlineStr">
        <is>
          <t>Las Condes</t>
        </is>
      </c>
      <c r="F13" s="52" t="inlineStr">
        <is>
          <t>RM</t>
        </is>
      </c>
      <c r="G13" s="52" t="inlineStr">
        <is>
          <t>Quincenal</t>
        </is>
      </c>
      <c r="H13" s="53" t="n">
        <v>46207</v>
      </c>
      <c r="I13" s="52" t="inlineStr">
        <is>
          <t>Activo</t>
        </is>
      </c>
      <c r="J13" s="52" t="n"/>
    </row>
    <row r="14" ht="20" customHeight="1" s="36">
      <c r="A14" s="52" t="n"/>
      <c r="B14" s="52" t="n"/>
      <c r="C14" s="52" t="n"/>
      <c r="D14" s="52" t="n"/>
      <c r="E14" s="52" t="n"/>
      <c r="F14" s="52" t="n"/>
      <c r="G14" s="52" t="n"/>
      <c r="H14" s="53" t="n"/>
      <c r="I14" s="52" t="n"/>
      <c r="J14" s="52" t="n"/>
    </row>
    <row r="15" ht="20" customHeight="1" s="36">
      <c r="A15" s="52" t="n"/>
      <c r="B15" s="52" t="n"/>
      <c r="C15" s="52" t="n"/>
      <c r="D15" s="52" t="n"/>
      <c r="E15" s="52" t="n"/>
      <c r="F15" s="52" t="n"/>
      <c r="G15" s="52" t="n"/>
      <c r="H15" s="53" t="n"/>
      <c r="I15" s="52" t="n"/>
      <c r="J15" s="52" t="n"/>
    </row>
    <row r="16" ht="20" customHeight="1" s="36">
      <c r="A16" s="52" t="n"/>
      <c r="B16" s="52" t="n"/>
      <c r="C16" s="52" t="n"/>
      <c r="D16" s="52" t="n"/>
      <c r="E16" s="52" t="n"/>
      <c r="F16" s="52" t="n"/>
      <c r="G16" s="52" t="n"/>
      <c r="H16" s="53" t="n"/>
      <c r="I16" s="52" t="n"/>
      <c r="J16" s="52" t="n"/>
    </row>
    <row r="17" ht="20" customHeight="1" s="36">
      <c r="A17" s="52" t="n"/>
      <c r="B17" s="52" t="n"/>
      <c r="C17" s="52" t="n"/>
      <c r="D17" s="52" t="n"/>
      <c r="E17" s="52" t="n"/>
      <c r="F17" s="52" t="n"/>
      <c r="G17" s="52" t="n"/>
      <c r="H17" s="53" t="n"/>
      <c r="I17" s="52" t="n"/>
      <c r="J17" s="52" t="n"/>
    </row>
    <row r="18" ht="20" customHeight="1" s="36">
      <c r="A18" s="52" t="n"/>
      <c r="B18" s="52" t="n"/>
      <c r="C18" s="52" t="n"/>
      <c r="D18" s="52" t="n"/>
      <c r="E18" s="52" t="n"/>
      <c r="F18" s="52" t="n"/>
      <c r="G18" s="52" t="n"/>
      <c r="H18" s="53" t="n"/>
      <c r="I18" s="52" t="n"/>
      <c r="J18" s="52" t="n"/>
    </row>
    <row r="19" ht="20" customHeight="1" s="36">
      <c r="A19" s="52" t="n"/>
      <c r="B19" s="52" t="n"/>
      <c r="C19" s="52" t="n"/>
      <c r="D19" s="52" t="n"/>
      <c r="E19" s="52" t="n"/>
      <c r="F19" s="52" t="n"/>
      <c r="G19" s="52" t="n"/>
      <c r="H19" s="53" t="n"/>
      <c r="I19" s="52" t="n"/>
      <c r="J19" s="52" t="n"/>
    </row>
    <row r="20" ht="20" customHeight="1" s="36">
      <c r="A20" s="52" t="n"/>
      <c r="B20" s="52" t="n"/>
      <c r="C20" s="52" t="n"/>
      <c r="D20" s="52" t="n"/>
      <c r="E20" s="52" t="n"/>
      <c r="F20" s="52" t="n"/>
      <c r="G20" s="52" t="n"/>
      <c r="H20" s="53" t="n"/>
      <c r="I20" s="52" t="n"/>
      <c r="J20" s="52" t="n"/>
    </row>
    <row r="21" ht="20" customHeight="1" s="36">
      <c r="A21" s="52" t="n"/>
      <c r="B21" s="52" t="n"/>
      <c r="C21" s="52" t="n"/>
      <c r="D21" s="52" t="n"/>
      <c r="E21" s="52" t="n"/>
      <c r="F21" s="52" t="n"/>
      <c r="G21" s="52" t="n"/>
      <c r="H21" s="53" t="n"/>
      <c r="I21" s="52" t="n"/>
      <c r="J21" s="52" t="n"/>
    </row>
    <row r="22" ht="20" customHeight="1" s="36">
      <c r="A22" s="52" t="n"/>
      <c r="B22" s="52" t="n"/>
      <c r="C22" s="52" t="n"/>
      <c r="D22" s="52" t="n"/>
      <c r="E22" s="52" t="n"/>
      <c r="F22" s="52" t="n"/>
      <c r="G22" s="52" t="n"/>
      <c r="H22" s="53" t="n"/>
      <c r="I22" s="52" t="n"/>
      <c r="J22" s="52" t="n"/>
    </row>
    <row r="23" ht="20" customHeight="1" s="36">
      <c r="A23" s="52" t="n"/>
      <c r="B23" s="52" t="n"/>
      <c r="C23" s="52" t="n"/>
      <c r="D23" s="52" t="n"/>
      <c r="E23" s="52" t="n"/>
      <c r="F23" s="52" t="n"/>
      <c r="G23" s="52" t="n"/>
      <c r="H23" s="53" t="n"/>
      <c r="I23" s="52" t="n"/>
      <c r="J23" s="52" t="n"/>
    </row>
    <row r="24" ht="20" customHeight="1" s="36">
      <c r="A24" s="52" t="n"/>
      <c r="B24" s="52" t="n"/>
      <c r="C24" s="52" t="n"/>
      <c r="D24" s="52" t="n"/>
      <c r="E24" s="52" t="n"/>
      <c r="F24" s="52" t="n"/>
      <c r="G24" s="52" t="n"/>
      <c r="H24" s="53" t="n"/>
      <c r="I24" s="52" t="n"/>
      <c r="J24" s="52" t="n"/>
    </row>
    <row r="25" ht="20" customHeight="1" s="36">
      <c r="A25" s="52" t="n"/>
      <c r="B25" s="52" t="n"/>
      <c r="C25" s="52" t="n"/>
      <c r="D25" s="52" t="n"/>
      <c r="E25" s="52" t="n"/>
      <c r="F25" s="52" t="n"/>
      <c r="G25" s="52" t="n"/>
      <c r="H25" s="53" t="n"/>
      <c r="I25" s="52" t="n"/>
      <c r="J25" s="52" t="n"/>
    </row>
    <row r="26" ht="20" customHeight="1" s="36">
      <c r="A26" s="52" t="n"/>
      <c r="B26" s="52" t="n"/>
      <c r="C26" s="52" t="n"/>
      <c r="D26" s="52" t="n"/>
      <c r="E26" s="52" t="n"/>
      <c r="F26" s="52" t="n"/>
      <c r="G26" s="52" t="n"/>
      <c r="H26" s="53" t="n"/>
      <c r="I26" s="52" t="n"/>
      <c r="J26" s="52" t="n"/>
    </row>
    <row r="27" ht="20" customHeight="1" s="36">
      <c r="A27" s="52" t="n"/>
      <c r="B27" s="52" t="n"/>
      <c r="C27" s="52" t="n"/>
      <c r="D27" s="52" t="n"/>
      <c r="E27" s="52" t="n"/>
      <c r="F27" s="52" t="n"/>
      <c r="G27" s="52" t="n"/>
      <c r="H27" s="53" t="n"/>
      <c r="I27" s="52" t="n"/>
      <c r="J27" s="52" t="n"/>
    </row>
    <row r="28" ht="20" customHeight="1" s="36">
      <c r="A28" s="52" t="n"/>
      <c r="B28" s="52" t="n"/>
      <c r="C28" s="52" t="n"/>
      <c r="D28" s="52" t="n"/>
      <c r="E28" s="52" t="n"/>
      <c r="F28" s="52" t="n"/>
      <c r="G28" s="52" t="n"/>
      <c r="H28" s="53" t="n"/>
      <c r="I28" s="52" t="n"/>
      <c r="J28" s="52" t="n"/>
    </row>
    <row r="29" ht="20" customHeight="1" s="36">
      <c r="A29" s="52" t="n"/>
      <c r="B29" s="52" t="n"/>
      <c r="C29" s="52" t="n"/>
      <c r="D29" s="52" t="n"/>
      <c r="E29" s="52" t="n"/>
      <c r="F29" s="52" t="n"/>
      <c r="G29" s="52" t="n"/>
      <c r="H29" s="53" t="n"/>
      <c r="I29" s="52" t="n"/>
      <c r="J29" s="52" t="n"/>
    </row>
    <row r="30" ht="20" customHeight="1" s="36">
      <c r="A30" s="52" t="n"/>
      <c r="B30" s="52" t="n"/>
      <c r="C30" s="52" t="n"/>
      <c r="D30" s="52" t="n"/>
      <c r="E30" s="52" t="n"/>
      <c r="F30" s="52" t="n"/>
      <c r="G30" s="52" t="n"/>
      <c r="H30" s="53" t="n"/>
      <c r="I30" s="52" t="n"/>
      <c r="J30" s="52" t="n"/>
    </row>
    <row r="31" ht="20" customHeight="1" s="36">
      <c r="A31" s="52" t="n"/>
      <c r="B31" s="52" t="n"/>
      <c r="C31" s="52" t="n"/>
      <c r="D31" s="52" t="n"/>
      <c r="E31" s="52" t="n"/>
      <c r="F31" s="52" t="n"/>
      <c r="G31" s="52" t="n"/>
      <c r="H31" s="53" t="n"/>
      <c r="I31" s="52" t="n"/>
      <c r="J31" s="52" t="n"/>
    </row>
    <row r="32" ht="20" customHeight="1" s="36">
      <c r="A32" s="52" t="n"/>
      <c r="B32" s="52" t="n"/>
      <c r="C32" s="52" t="n"/>
      <c r="D32" s="52" t="n"/>
      <c r="E32" s="52" t="n"/>
      <c r="F32" s="52" t="n"/>
      <c r="G32" s="52" t="n"/>
      <c r="H32" s="53" t="n"/>
      <c r="I32" s="52" t="n"/>
      <c r="J32" s="52" t="n"/>
    </row>
    <row r="33" ht="20" customHeight="1" s="36">
      <c r="A33" s="52" t="n"/>
      <c r="B33" s="52" t="n"/>
      <c r="C33" s="52" t="n"/>
      <c r="D33" s="52" t="n"/>
      <c r="E33" s="52" t="n"/>
      <c r="F33" s="52" t="n"/>
      <c r="G33" s="52" t="n"/>
      <c r="H33" s="53" t="n"/>
      <c r="I33" s="52" t="n"/>
      <c r="J33" s="52" t="n"/>
    </row>
    <row r="34" ht="20" customHeight="1" s="36">
      <c r="A34" s="52" t="n"/>
      <c r="B34" s="52" t="n"/>
      <c r="C34" s="52" t="n"/>
      <c r="D34" s="52" t="n"/>
      <c r="E34" s="52" t="n"/>
      <c r="F34" s="52" t="n"/>
      <c r="G34" s="52" t="n"/>
      <c r="H34" s="53" t="n"/>
      <c r="I34" s="52" t="n"/>
      <c r="J34" s="52" t="n"/>
    </row>
    <row r="35" ht="20" customHeight="1" s="36">
      <c r="A35" s="52" t="n"/>
      <c r="B35" s="52" t="n"/>
      <c r="C35" s="52" t="n"/>
      <c r="D35" s="52" t="n"/>
      <c r="E35" s="52" t="n"/>
      <c r="F35" s="52" t="n"/>
      <c r="G35" s="52" t="n"/>
      <c r="H35" s="53" t="n"/>
      <c r="I35" s="52" t="n"/>
      <c r="J35" s="52" t="n"/>
    </row>
    <row r="36" ht="20" customHeight="1" s="36">
      <c r="A36" s="52" t="n"/>
      <c r="B36" s="52" t="n"/>
      <c r="C36" s="52" t="n"/>
      <c r="D36" s="52" t="n"/>
      <c r="E36" s="52" t="n"/>
      <c r="F36" s="52" t="n"/>
      <c r="G36" s="52" t="n"/>
      <c r="H36" s="53" t="n"/>
      <c r="I36" s="52" t="n"/>
      <c r="J36" s="52" t="n"/>
    </row>
    <row r="37" ht="20" customHeight="1" s="36">
      <c r="A37" s="52" t="n"/>
      <c r="B37" s="52" t="n"/>
      <c r="C37" s="52" t="n"/>
      <c r="D37" s="52" t="n"/>
      <c r="E37" s="52" t="n"/>
      <c r="F37" s="52" t="n"/>
      <c r="G37" s="52" t="n"/>
      <c r="H37" s="53" t="n"/>
      <c r="I37" s="52" t="n"/>
      <c r="J37" s="52" t="n"/>
    </row>
    <row r="38" ht="20" customHeight="1" s="36">
      <c r="A38" s="52" t="n"/>
      <c r="B38" s="52" t="n"/>
      <c r="C38" s="52" t="n"/>
      <c r="D38" s="52" t="n"/>
      <c r="E38" s="52" t="n"/>
      <c r="F38" s="52" t="n"/>
      <c r="G38" s="52" t="n"/>
      <c r="H38" s="53" t="n"/>
      <c r="I38" s="52" t="n"/>
      <c r="J38" s="52" t="n"/>
    </row>
    <row r="39" ht="20" customHeight="1" s="36">
      <c r="A39" s="52" t="n"/>
      <c r="B39" s="52" t="n"/>
      <c r="C39" s="52" t="n"/>
      <c r="D39" s="52" t="n"/>
      <c r="E39" s="52" t="n"/>
      <c r="F39" s="52" t="n"/>
      <c r="G39" s="52" t="n"/>
      <c r="H39" s="53" t="n"/>
      <c r="I39" s="52" t="n"/>
      <c r="J39" s="52" t="n"/>
    </row>
    <row r="40" ht="20" customHeight="1" s="36">
      <c r="A40" s="52" t="n"/>
      <c r="B40" s="52" t="n"/>
      <c r="C40" s="52" t="n"/>
      <c r="D40" s="52" t="n"/>
      <c r="E40" s="52" t="n"/>
      <c r="F40" s="52" t="n"/>
      <c r="G40" s="52" t="n"/>
      <c r="H40" s="53" t="n"/>
      <c r="I40" s="52" t="n"/>
      <c r="J40" s="52" t="n"/>
    </row>
    <row r="41" ht="20" customHeight="1" s="36">
      <c r="A41" s="52" t="n"/>
      <c r="B41" s="52" t="n"/>
      <c r="C41" s="52" t="n"/>
      <c r="D41" s="52" t="n"/>
      <c r="E41" s="52" t="n"/>
      <c r="F41" s="52" t="n"/>
      <c r="G41" s="52" t="n"/>
      <c r="H41" s="53" t="n"/>
      <c r="I41" s="52" t="n"/>
      <c r="J41" s="52" t="n"/>
    </row>
    <row r="42" ht="20" customHeight="1" s="36">
      <c r="A42" s="52" t="n"/>
      <c r="B42" s="52" t="n"/>
      <c r="C42" s="52" t="n"/>
      <c r="D42" s="52" t="n"/>
      <c r="E42" s="52" t="n"/>
      <c r="F42" s="52" t="n"/>
      <c r="G42" s="52" t="n"/>
      <c r="H42" s="53" t="n"/>
      <c r="I42" s="52" t="n"/>
      <c r="J42" s="52" t="n"/>
    </row>
    <row r="43" ht="20" customHeight="1" s="36">
      <c r="A43" s="52" t="n"/>
      <c r="B43" s="52" t="n"/>
      <c r="C43" s="52" t="n"/>
      <c r="D43" s="52" t="n"/>
      <c r="E43" s="52" t="n"/>
      <c r="F43" s="52" t="n"/>
      <c r="G43" s="52" t="n"/>
      <c r="H43" s="53" t="n"/>
      <c r="I43" s="52" t="n"/>
      <c r="J43" s="52" t="n"/>
    </row>
    <row r="44" ht="20" customHeight="1" s="36">
      <c r="A44" s="52" t="n"/>
      <c r="B44" s="52" t="n"/>
      <c r="C44" s="52" t="n"/>
      <c r="D44" s="52" t="n"/>
      <c r="E44" s="52" t="n"/>
      <c r="F44" s="52" t="n"/>
      <c r="G44" s="52" t="n"/>
      <c r="H44" s="53" t="n"/>
      <c r="I44" s="52" t="n"/>
      <c r="J44" s="52" t="n"/>
    </row>
    <row r="45" ht="20" customHeight="1" s="36">
      <c r="A45" s="52" t="n"/>
      <c r="B45" s="52" t="n"/>
      <c r="C45" s="52" t="n"/>
      <c r="D45" s="52" t="n"/>
      <c r="E45" s="52" t="n"/>
      <c r="F45" s="52" t="n"/>
      <c r="G45" s="52" t="n"/>
      <c r="H45" s="53" t="n"/>
      <c r="I45" s="52" t="n"/>
      <c r="J45" s="52" t="n"/>
    </row>
    <row r="46" ht="20" customHeight="1" s="36">
      <c r="A46" s="52" t="n"/>
      <c r="B46" s="52" t="n"/>
      <c r="C46" s="52" t="n"/>
      <c r="D46" s="52" t="n"/>
      <c r="E46" s="52" t="n"/>
      <c r="F46" s="52" t="n"/>
      <c r="G46" s="52" t="n"/>
      <c r="H46" s="53" t="n"/>
      <c r="I46" s="52" t="n"/>
      <c r="J46" s="52" t="n"/>
    </row>
    <row r="47" ht="20" customHeight="1" s="36">
      <c r="A47" s="52" t="n"/>
      <c r="B47" s="52" t="n"/>
      <c r="C47" s="52" t="n"/>
      <c r="D47" s="52" t="n"/>
      <c r="E47" s="52" t="n"/>
      <c r="F47" s="52" t="n"/>
      <c r="G47" s="52" t="n"/>
      <c r="H47" s="53" t="n"/>
      <c r="I47" s="52" t="n"/>
      <c r="J47" s="52" t="n"/>
    </row>
    <row r="48" ht="20" customHeight="1" s="36">
      <c r="A48" s="52" t="n"/>
      <c r="B48" s="52" t="n"/>
      <c r="C48" s="52" t="n"/>
      <c r="D48" s="52" t="n"/>
      <c r="E48" s="52" t="n"/>
      <c r="F48" s="52" t="n"/>
      <c r="G48" s="52" t="n"/>
      <c r="H48" s="53" t="n"/>
      <c r="I48" s="52" t="n"/>
      <c r="J48" s="52" t="n"/>
    </row>
    <row r="49" ht="20" customHeight="1" s="36">
      <c r="A49" s="52" t="n"/>
      <c r="B49" s="52" t="n"/>
      <c r="C49" s="52" t="n"/>
      <c r="D49" s="52" t="n"/>
      <c r="E49" s="52" t="n"/>
      <c r="F49" s="52" t="n"/>
      <c r="G49" s="52" t="n"/>
      <c r="H49" s="53" t="n"/>
      <c r="I49" s="52" t="n"/>
      <c r="J49" s="52" t="n"/>
    </row>
    <row r="50" ht="20" customHeight="1" s="36">
      <c r="A50" s="52" t="n"/>
      <c r="B50" s="52" t="n"/>
      <c r="C50" s="52" t="n"/>
      <c r="D50" s="52" t="n"/>
      <c r="E50" s="52" t="n"/>
      <c r="F50" s="52" t="n"/>
      <c r="G50" s="52" t="n"/>
      <c r="H50" s="53" t="n"/>
      <c r="I50" s="52" t="n"/>
      <c r="J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3" t="n"/>
      <c r="I51" s="52" t="n"/>
      <c r="J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3" t="n"/>
      <c r="I52" s="52" t="n"/>
      <c r="J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3" t="n"/>
      <c r="I53" s="52" t="n"/>
      <c r="J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3" t="n"/>
      <c r="I54" s="52" t="n"/>
      <c r="J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3" t="n"/>
      <c r="I55" s="52" t="n"/>
      <c r="J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3" t="n"/>
      <c r="I56" s="52" t="n"/>
      <c r="J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3" t="n"/>
      <c r="I57" s="52" t="n"/>
      <c r="J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3" t="n"/>
      <c r="I58" s="52" t="n"/>
      <c r="J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3" t="n"/>
      <c r="I59" s="52" t="n"/>
      <c r="J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3" t="n"/>
      <c r="I60" s="52" t="n"/>
      <c r="J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3" t="n"/>
      <c r="I61" s="52" t="n"/>
      <c r="J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3" t="n"/>
      <c r="I62" s="52" t="n"/>
      <c r="J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3" t="n"/>
      <c r="I63" s="52" t="n"/>
      <c r="J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3" t="n"/>
      <c r="I64" s="52" t="n"/>
      <c r="J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3" t="n"/>
      <c r="I65" s="52" t="n"/>
      <c r="J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3" t="n"/>
      <c r="I66" s="52" t="n"/>
      <c r="J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3" t="n"/>
      <c r="I67" s="52" t="n"/>
      <c r="J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3" t="n"/>
      <c r="I68" s="52" t="n"/>
      <c r="J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3" t="n"/>
      <c r="I69" s="52" t="n"/>
      <c r="J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3" t="n"/>
      <c r="I70" s="52" t="n"/>
      <c r="J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3" t="n"/>
      <c r="I71" s="52" t="n"/>
      <c r="J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3" t="n"/>
      <c r="I72" s="52" t="n"/>
      <c r="J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3" t="n"/>
      <c r="I73" s="52" t="n"/>
      <c r="J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3" t="n"/>
      <c r="I74" s="52" t="n"/>
      <c r="J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3" t="n"/>
      <c r="I75" s="52" t="n"/>
      <c r="J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3" t="n"/>
      <c r="I76" s="52" t="n"/>
      <c r="J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3" t="n"/>
      <c r="I77" s="52" t="n"/>
      <c r="J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3" t="n"/>
      <c r="I78" s="52" t="n"/>
      <c r="J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3" t="n"/>
      <c r="I79" s="52" t="n"/>
      <c r="J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3" t="n"/>
      <c r="I80" s="52" t="n"/>
      <c r="J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3" t="n"/>
      <c r="I81" s="52" t="n"/>
      <c r="J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3" t="n"/>
      <c r="I82" s="52" t="n"/>
      <c r="J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3" t="n"/>
      <c r="I83" s="52" t="n"/>
      <c r="J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3" t="n"/>
      <c r="I84" s="52" t="n"/>
      <c r="J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3" t="n"/>
      <c r="I85" s="52" t="n"/>
      <c r="J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3" t="n"/>
      <c r="I86" s="52" t="n"/>
      <c r="J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3" t="n"/>
      <c r="I87" s="52" t="n"/>
      <c r="J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3" t="n"/>
      <c r="I88" s="52" t="n"/>
      <c r="J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3" t="n"/>
      <c r="I89" s="52" t="n"/>
      <c r="J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3" t="n"/>
      <c r="I90" s="52" t="n"/>
      <c r="J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3" t="n"/>
      <c r="I91" s="52" t="n"/>
      <c r="J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3" t="n"/>
      <c r="I92" s="52" t="n"/>
      <c r="J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3" t="n"/>
      <c r="I93" s="52" t="n"/>
      <c r="J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3" t="n"/>
      <c r="I94" s="52" t="n"/>
      <c r="J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3" t="n"/>
      <c r="I95" s="52" t="n"/>
      <c r="J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3" t="n"/>
      <c r="I96" s="52" t="n"/>
      <c r="J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3" t="n"/>
      <c r="I97" s="52" t="n"/>
      <c r="J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3" t="n"/>
      <c r="I98" s="52" t="n"/>
      <c r="J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3" t="n"/>
      <c r="I99" s="52" t="n"/>
      <c r="J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3" t="n"/>
      <c r="I100" s="52" t="n"/>
      <c r="J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3" t="n"/>
      <c r="I101" s="52" t="n"/>
      <c r="J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3" t="n"/>
      <c r="I102" s="52" t="n"/>
      <c r="J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3" t="n"/>
      <c r="I103" s="52" t="n"/>
      <c r="J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3" t="n"/>
      <c r="I104" s="52" t="n"/>
      <c r="J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3" t="n"/>
      <c r="I105" s="52" t="n"/>
      <c r="J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3" t="n"/>
      <c r="I106" s="52" t="n"/>
      <c r="J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3" t="n"/>
      <c r="I107" s="52" t="n"/>
      <c r="J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3" t="n"/>
      <c r="I108" s="52" t="n"/>
      <c r="J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3" t="n"/>
      <c r="I109" s="52" t="n"/>
      <c r="J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3" t="n"/>
      <c r="I110" s="52" t="n"/>
      <c r="J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3" t="n"/>
      <c r="I111" s="52" t="n"/>
      <c r="J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3" t="n"/>
      <c r="I112" s="52" t="n"/>
      <c r="J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3" t="n"/>
      <c r="I113" s="52" t="n"/>
      <c r="J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3" t="n"/>
      <c r="I114" s="52" t="n"/>
      <c r="J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3" t="n"/>
      <c r="I115" s="52" t="n"/>
      <c r="J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3" t="n"/>
      <c r="I116" s="52" t="n"/>
      <c r="J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3" t="n"/>
      <c r="I117" s="52" t="n"/>
      <c r="J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3" t="n"/>
      <c r="I118" s="52" t="n"/>
      <c r="J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3" t="n"/>
      <c r="I119" s="52" t="n"/>
      <c r="J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3" t="n"/>
      <c r="I120" s="52" t="n"/>
      <c r="J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3" t="n"/>
      <c r="I121" s="52" t="n"/>
      <c r="J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3" t="n"/>
      <c r="I122" s="52" t="n"/>
      <c r="J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3" t="n"/>
      <c r="I123" s="52" t="n"/>
      <c r="J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3" t="n"/>
      <c r="I124" s="52" t="n"/>
      <c r="J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3" t="n"/>
      <c r="I125" s="52" t="n"/>
      <c r="J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3" t="n"/>
      <c r="I126" s="52" t="n"/>
      <c r="J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3" t="n"/>
      <c r="I127" s="52" t="n"/>
      <c r="J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3" t="n"/>
      <c r="I128" s="52" t="n"/>
      <c r="J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3" t="n"/>
      <c r="I129" s="52" t="n"/>
      <c r="J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3" t="n"/>
      <c r="I130" s="52" t="n"/>
      <c r="J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3" t="n"/>
      <c r="I131" s="52" t="n"/>
      <c r="J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3" t="n"/>
      <c r="I132" s="52" t="n"/>
      <c r="J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3" t="n"/>
      <c r="I133" s="52" t="n"/>
      <c r="J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3" t="n"/>
      <c r="I134" s="52" t="n"/>
      <c r="J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3" t="n"/>
      <c r="I135" s="52" t="n"/>
      <c r="J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3" t="n"/>
      <c r="I136" s="52" t="n"/>
      <c r="J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3" t="n"/>
      <c r="I137" s="52" t="n"/>
      <c r="J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3" t="n"/>
      <c r="I138" s="52" t="n"/>
      <c r="J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3" t="n"/>
      <c r="I139" s="52" t="n"/>
      <c r="J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3" t="n"/>
      <c r="I140" s="52" t="n"/>
      <c r="J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3" t="n"/>
      <c r="I141" s="52" t="n"/>
      <c r="J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3" t="n"/>
      <c r="I142" s="52" t="n"/>
      <c r="J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3" t="n"/>
      <c r="I143" s="52" t="n"/>
      <c r="J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3" t="n"/>
      <c r="I144" s="52" t="n"/>
      <c r="J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3" t="n"/>
      <c r="I145" s="52" t="n"/>
      <c r="J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3" t="n"/>
      <c r="I146" s="52" t="n"/>
      <c r="J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3" t="n"/>
      <c r="I147" s="52" t="n"/>
      <c r="J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3" t="n"/>
      <c r="I148" s="52" t="n"/>
      <c r="J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3" t="n"/>
      <c r="I149" s="52" t="n"/>
      <c r="J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3" t="n"/>
      <c r="I150" s="52" t="n"/>
      <c r="J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3" t="n"/>
      <c r="I151" s="52" t="n"/>
      <c r="J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3" t="n"/>
      <c r="I152" s="52" t="n"/>
      <c r="J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3" t="n"/>
      <c r="I153" s="52" t="n"/>
      <c r="J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3" t="n"/>
      <c r="I154" s="52" t="n"/>
      <c r="J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3" t="n"/>
      <c r="I155" s="52" t="n"/>
      <c r="J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3" t="n"/>
      <c r="I156" s="52" t="n"/>
      <c r="J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3" t="n"/>
      <c r="I157" s="52" t="n"/>
      <c r="J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3" t="n"/>
      <c r="I158" s="52" t="n"/>
      <c r="J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3" t="n"/>
      <c r="I159" s="52" t="n"/>
      <c r="J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3" t="n"/>
      <c r="I160" s="52" t="n"/>
      <c r="J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3" t="n"/>
      <c r="I161" s="52" t="n"/>
      <c r="J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3" t="n"/>
      <c r="I162" s="52" t="n"/>
      <c r="J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3" t="n"/>
      <c r="I163" s="52" t="n"/>
      <c r="J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3" t="n"/>
      <c r="I164" s="52" t="n"/>
      <c r="J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3" t="n"/>
      <c r="I165" s="52" t="n"/>
      <c r="J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3" t="n"/>
      <c r="I166" s="52" t="n"/>
      <c r="J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3" t="n"/>
      <c r="I167" s="52" t="n"/>
      <c r="J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3" t="n"/>
      <c r="I168" s="52" t="n"/>
      <c r="J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3" t="n"/>
      <c r="I169" s="52" t="n"/>
      <c r="J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3" t="n"/>
      <c r="I170" s="52" t="n"/>
      <c r="J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3" t="n"/>
      <c r="I171" s="52" t="n"/>
      <c r="J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3" t="n"/>
      <c r="I172" s="52" t="n"/>
      <c r="J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3" t="n"/>
      <c r="I173" s="52" t="n"/>
      <c r="J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3" t="n"/>
      <c r="I174" s="52" t="n"/>
      <c r="J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3" t="n"/>
      <c r="I175" s="52" t="n"/>
      <c r="J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3" t="n"/>
      <c r="I176" s="52" t="n"/>
      <c r="J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3" t="n"/>
      <c r="I177" s="52" t="n"/>
      <c r="J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3" t="n"/>
      <c r="I178" s="52" t="n"/>
      <c r="J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3" t="n"/>
      <c r="I179" s="52" t="n"/>
      <c r="J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3" t="n"/>
      <c r="I180" s="52" t="n"/>
      <c r="J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3" t="n"/>
      <c r="I181" s="52" t="n"/>
      <c r="J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3" t="n"/>
      <c r="I182" s="52" t="n"/>
      <c r="J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3" t="n"/>
      <c r="I183" s="52" t="n"/>
      <c r="J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3" t="n"/>
      <c r="I184" s="52" t="n"/>
      <c r="J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3" t="n"/>
      <c r="I185" s="52" t="n"/>
      <c r="J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3" t="n"/>
      <c r="I186" s="52" t="n"/>
      <c r="J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3" t="n"/>
      <c r="I187" s="52" t="n"/>
      <c r="J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3" t="n"/>
      <c r="I188" s="52" t="n"/>
      <c r="J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3" t="n"/>
      <c r="I189" s="52" t="n"/>
      <c r="J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3" t="n"/>
      <c r="I190" s="52" t="n"/>
      <c r="J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3" t="n"/>
      <c r="I191" s="52" t="n"/>
      <c r="J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3" t="n"/>
      <c r="I192" s="52" t="n"/>
      <c r="J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3" t="n"/>
      <c r="I193" s="52" t="n"/>
      <c r="J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3" t="n"/>
      <c r="I194" s="52" t="n"/>
      <c r="J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3" t="n"/>
      <c r="I195" s="52" t="n"/>
      <c r="J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3" t="n"/>
      <c r="I196" s="52" t="n"/>
      <c r="J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3" t="n"/>
      <c r="I197" s="52" t="n"/>
      <c r="J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3" t="n"/>
      <c r="I198" s="52" t="n"/>
      <c r="J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3" t="n"/>
      <c r="I199" s="52" t="n"/>
      <c r="J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3" t="n"/>
      <c r="I200" s="52" t="n"/>
      <c r="J200" s="52" t="n"/>
    </row>
    <row r="201">
      <c r="A201" s="52" t="n"/>
      <c r="B201" s="52" t="n"/>
      <c r="C201" s="52" t="n"/>
      <c r="D201" s="52" t="n"/>
      <c r="E201" s="52" t="n"/>
      <c r="F201" s="52" t="n"/>
      <c r="G201" s="52" t="n"/>
      <c r="H201" s="53" t="n"/>
      <c r="I201" s="52" t="n"/>
      <c r="J201" s="52" t="n"/>
    </row>
    <row r="202">
      <c r="A202" s="52" t="n"/>
      <c r="B202" s="52" t="n"/>
      <c r="C202" s="52" t="n"/>
      <c r="D202" s="52" t="n"/>
      <c r="E202" s="52" t="n"/>
      <c r="F202" s="52" t="n"/>
      <c r="G202" s="52" t="n"/>
      <c r="H202" s="53" t="n"/>
      <c r="I202" s="52" t="n"/>
      <c r="J202" s="52" t="n"/>
    </row>
    <row r="203">
      <c r="A203" s="52" t="n"/>
      <c r="B203" s="52" t="n"/>
      <c r="C203" s="52" t="n"/>
      <c r="D203" s="52" t="n"/>
      <c r="E203" s="52" t="n"/>
      <c r="F203" s="52" t="n"/>
      <c r="G203" s="52" t="n"/>
      <c r="H203" s="53" t="n"/>
      <c r="I203" s="52" t="n"/>
      <c r="J203" s="52" t="n"/>
    </row>
    <row r="204">
      <c r="A204" s="52" t="n"/>
      <c r="B204" s="52" t="n"/>
      <c r="C204" s="52" t="n"/>
      <c r="D204" s="52" t="n"/>
      <c r="E204" s="52" t="n"/>
      <c r="F204" s="52" t="n"/>
      <c r="G204" s="52" t="n"/>
      <c r="H204" s="53" t="n"/>
      <c r="I204" s="52" t="n"/>
      <c r="J204" s="52" t="n"/>
    </row>
    <row r="205">
      <c r="A205" s="52" t="n"/>
      <c r="B205" s="52" t="n"/>
      <c r="C205" s="52" t="n"/>
      <c r="D205" s="52" t="n"/>
      <c r="E205" s="52" t="n"/>
      <c r="F205" s="52" t="n"/>
      <c r="G205" s="52" t="n"/>
      <c r="H205" s="53" t="n"/>
      <c r="I205" s="52" t="n"/>
      <c r="J205" s="52" t="n"/>
    </row>
    <row r="206">
      <c r="A206" s="52" t="n"/>
      <c r="B206" s="52" t="n"/>
      <c r="C206" s="52" t="n"/>
      <c r="D206" s="52" t="n"/>
      <c r="E206" s="52" t="n"/>
      <c r="F206" s="52" t="n"/>
      <c r="G206" s="52" t="n"/>
      <c r="H206" s="53" t="n"/>
      <c r="I206" s="52" t="n"/>
      <c r="J206" s="52" t="n"/>
    </row>
    <row r="207">
      <c r="A207" s="52" t="n"/>
      <c r="B207" s="52" t="n"/>
      <c r="C207" s="52" t="n"/>
      <c r="D207" s="52" t="n"/>
      <c r="E207" s="52" t="n"/>
      <c r="F207" s="52" t="n"/>
      <c r="G207" s="52" t="n"/>
      <c r="H207" s="53" t="n"/>
      <c r="I207" s="52" t="n"/>
      <c r="J207" s="52" t="n"/>
    </row>
    <row r="208">
      <c r="A208" s="52" t="n"/>
      <c r="B208" s="52" t="n"/>
      <c r="C208" s="52" t="n"/>
      <c r="D208" s="52" t="n"/>
      <c r="E208" s="52" t="n"/>
      <c r="F208" s="52" t="n"/>
      <c r="G208" s="52" t="n"/>
      <c r="H208" s="53" t="n"/>
      <c r="I208" s="52" t="n"/>
      <c r="J208" s="52" t="n"/>
    </row>
    <row r="209">
      <c r="A209" s="52" t="n"/>
      <c r="B209" s="52" t="n"/>
      <c r="C209" s="52" t="n"/>
      <c r="D209" s="52" t="n"/>
      <c r="E209" s="52" t="n"/>
      <c r="F209" s="52" t="n"/>
      <c r="G209" s="52" t="n"/>
      <c r="H209" s="53" t="n"/>
      <c r="I209" s="52" t="n"/>
      <c r="J209" s="52" t="n"/>
    </row>
    <row r="210">
      <c r="A210" s="52" t="n"/>
      <c r="B210" s="52" t="n"/>
      <c r="C210" s="52" t="n"/>
      <c r="D210" s="52" t="n"/>
      <c r="E210" s="52" t="n"/>
      <c r="F210" s="52" t="n"/>
      <c r="G210" s="52" t="n"/>
      <c r="H210" s="53" t="n"/>
      <c r="I210" s="52" t="n"/>
      <c r="J210" s="52" t="n"/>
    </row>
    <row r="211">
      <c r="A211" s="52" t="n"/>
      <c r="B211" s="52" t="n"/>
      <c r="C211" s="52" t="n"/>
      <c r="D211" s="52" t="n"/>
      <c r="E211" s="52" t="n"/>
      <c r="F211" s="52" t="n"/>
      <c r="G211" s="52" t="n"/>
      <c r="H211" s="53" t="n"/>
      <c r="I211" s="52" t="n"/>
      <c r="J211" s="52" t="n"/>
    </row>
    <row r="212">
      <c r="A212" s="52" t="n"/>
      <c r="B212" s="52" t="n"/>
      <c r="C212" s="52" t="n"/>
      <c r="D212" s="52" t="n"/>
      <c r="E212" s="52" t="n"/>
      <c r="F212" s="52" t="n"/>
      <c r="G212" s="52" t="n"/>
      <c r="H212" s="53" t="n"/>
      <c r="I212" s="52" t="n"/>
      <c r="J212" s="52" t="n"/>
    </row>
    <row r="213">
      <c r="A213" s="52" t="n"/>
      <c r="B213" s="52" t="n"/>
      <c r="C213" s="52" t="n"/>
      <c r="D213" s="52" t="n"/>
      <c r="E213" s="52" t="n"/>
      <c r="F213" s="52" t="n"/>
      <c r="G213" s="52" t="n"/>
      <c r="H213" s="53" t="n"/>
      <c r="I213" s="52" t="n"/>
      <c r="J213" s="52" t="n"/>
    </row>
    <row r="214">
      <c r="A214" s="52" t="n"/>
      <c r="B214" s="52" t="n"/>
      <c r="C214" s="52" t="n"/>
      <c r="D214" s="52" t="n"/>
      <c r="E214" s="52" t="n"/>
      <c r="F214" s="52" t="n"/>
      <c r="G214" s="52" t="n"/>
      <c r="H214" s="53" t="n"/>
      <c r="I214" s="52" t="n"/>
      <c r="J214" s="52" t="n"/>
    </row>
    <row r="215">
      <c r="A215" s="52" t="n"/>
      <c r="B215" s="52" t="n"/>
      <c r="C215" s="52" t="n"/>
      <c r="D215" s="52" t="n"/>
      <c r="E215" s="52" t="n"/>
      <c r="F215" s="52" t="n"/>
      <c r="G215" s="52" t="n"/>
      <c r="H215" s="53" t="n"/>
      <c r="I215" s="52" t="n"/>
      <c r="J215" s="52" t="n"/>
    </row>
    <row r="216">
      <c r="A216" s="52" t="n"/>
      <c r="B216" s="52" t="n"/>
      <c r="C216" s="52" t="n"/>
      <c r="D216" s="52" t="n"/>
      <c r="E216" s="52" t="n"/>
      <c r="F216" s="52" t="n"/>
      <c r="G216" s="52" t="n"/>
      <c r="H216" s="53" t="n"/>
      <c r="I216" s="52" t="n"/>
      <c r="J216" s="52" t="n"/>
    </row>
    <row r="217">
      <c r="A217" s="52" t="n"/>
      <c r="B217" s="52" t="n"/>
      <c r="C217" s="52" t="n"/>
      <c r="D217" s="52" t="n"/>
      <c r="E217" s="52" t="n"/>
      <c r="F217" s="52" t="n"/>
      <c r="G217" s="52" t="n"/>
      <c r="H217" s="53" t="n"/>
      <c r="I217" s="52" t="n"/>
      <c r="J217" s="52" t="n"/>
    </row>
    <row r="218">
      <c r="A218" s="52" t="n"/>
      <c r="B218" s="52" t="n"/>
      <c r="C218" s="52" t="n"/>
      <c r="D218" s="52" t="n"/>
      <c r="E218" s="52" t="n"/>
      <c r="F218" s="52" t="n"/>
      <c r="G218" s="52" t="n"/>
      <c r="H218" s="53" t="n"/>
      <c r="I218" s="52" t="n"/>
      <c r="J218" s="52" t="n"/>
    </row>
    <row r="219">
      <c r="A219" s="52" t="n"/>
      <c r="B219" s="52" t="n"/>
      <c r="C219" s="52" t="n"/>
      <c r="D219" s="52" t="n"/>
      <c r="E219" s="52" t="n"/>
      <c r="F219" s="52" t="n"/>
      <c r="G219" s="52" t="n"/>
      <c r="H219" s="53" t="n"/>
      <c r="I219" s="52" t="n"/>
      <c r="J219" s="52" t="n"/>
    </row>
    <row r="220">
      <c r="A220" s="52" t="n"/>
      <c r="B220" s="52" t="n"/>
      <c r="C220" s="52" t="n"/>
      <c r="D220" s="52" t="n"/>
      <c r="E220" s="52" t="n"/>
      <c r="F220" s="52" t="n"/>
      <c r="G220" s="52" t="n"/>
      <c r="H220" s="53" t="n"/>
      <c r="I220" s="52" t="n"/>
      <c r="J220" s="52" t="n"/>
    </row>
    <row r="221">
      <c r="A221" s="52" t="n"/>
      <c r="B221" s="52" t="n"/>
      <c r="C221" s="52" t="n"/>
      <c r="D221" s="52" t="n"/>
      <c r="E221" s="52" t="n"/>
      <c r="F221" s="52" t="n"/>
      <c r="G221" s="52" t="n"/>
      <c r="H221" s="53" t="n"/>
      <c r="I221" s="52" t="n"/>
      <c r="J221" s="52" t="n"/>
    </row>
    <row r="222">
      <c r="A222" s="52" t="n"/>
      <c r="B222" s="52" t="n"/>
      <c r="C222" s="52" t="n"/>
      <c r="D222" s="52" t="n"/>
      <c r="E222" s="52" t="n"/>
      <c r="F222" s="52" t="n"/>
      <c r="G222" s="52" t="n"/>
      <c r="H222" s="53" t="n"/>
      <c r="I222" s="52" t="n"/>
      <c r="J222" s="52" t="n"/>
    </row>
    <row r="223">
      <c r="A223" s="52" t="n"/>
      <c r="B223" s="52" t="n"/>
      <c r="C223" s="52" t="n"/>
      <c r="D223" s="52" t="n"/>
      <c r="E223" s="52" t="n"/>
      <c r="F223" s="52" t="n"/>
      <c r="G223" s="52" t="n"/>
      <c r="H223" s="53" t="n"/>
      <c r="I223" s="52" t="n"/>
      <c r="J223" s="52" t="n"/>
    </row>
    <row r="224">
      <c r="A224" s="52" t="n"/>
      <c r="B224" s="52" t="n"/>
      <c r="C224" s="52" t="n"/>
      <c r="D224" s="52" t="n"/>
      <c r="E224" s="52" t="n"/>
      <c r="F224" s="52" t="n"/>
      <c r="G224" s="52" t="n"/>
      <c r="H224" s="53" t="n"/>
      <c r="I224" s="52" t="n"/>
      <c r="J224" s="52" t="n"/>
    </row>
    <row r="225">
      <c r="A225" s="52" t="n"/>
      <c r="B225" s="52" t="n"/>
      <c r="C225" s="52" t="n"/>
      <c r="D225" s="52" t="n"/>
      <c r="E225" s="52" t="n"/>
      <c r="F225" s="52" t="n"/>
      <c r="G225" s="52" t="n"/>
      <c r="H225" s="53" t="n"/>
      <c r="I225" s="52" t="n"/>
      <c r="J225" s="52" t="n"/>
    </row>
    <row r="226">
      <c r="A226" s="52" t="n"/>
      <c r="B226" s="52" t="n"/>
      <c r="C226" s="52" t="n"/>
      <c r="D226" s="52" t="n"/>
      <c r="E226" s="52" t="n"/>
      <c r="F226" s="52" t="n"/>
      <c r="G226" s="52" t="n"/>
      <c r="H226" s="53" t="n"/>
      <c r="I226" s="52" t="n"/>
      <c r="J226" s="52" t="n"/>
    </row>
    <row r="227">
      <c r="A227" s="52" t="n"/>
      <c r="B227" s="52" t="n"/>
      <c r="C227" s="52" t="n"/>
      <c r="D227" s="52" t="n"/>
      <c r="E227" s="52" t="n"/>
      <c r="F227" s="52" t="n"/>
      <c r="G227" s="52" t="n"/>
      <c r="H227" s="53" t="n"/>
      <c r="I227" s="52" t="n"/>
      <c r="J227" s="52" t="n"/>
    </row>
    <row r="228">
      <c r="A228" s="52" t="n"/>
      <c r="B228" s="52" t="n"/>
      <c r="C228" s="52" t="n"/>
      <c r="D228" s="52" t="n"/>
      <c r="E228" s="52" t="n"/>
      <c r="F228" s="52" t="n"/>
      <c r="G228" s="52" t="n"/>
      <c r="H228" s="53" t="n"/>
      <c r="I228" s="52" t="n"/>
      <c r="J228" s="52" t="n"/>
    </row>
    <row r="229">
      <c r="A229" s="52" t="n"/>
      <c r="B229" s="52" t="n"/>
      <c r="C229" s="52" t="n"/>
      <c r="D229" s="52" t="n"/>
      <c r="E229" s="52" t="n"/>
      <c r="F229" s="52" t="n"/>
      <c r="G229" s="52" t="n"/>
      <c r="H229" s="53" t="n"/>
      <c r="I229" s="52" t="n"/>
      <c r="J229" s="52" t="n"/>
    </row>
    <row r="230">
      <c r="A230" s="52" t="n"/>
      <c r="B230" s="52" t="n"/>
      <c r="C230" s="52" t="n"/>
      <c r="D230" s="52" t="n"/>
      <c r="E230" s="52" t="n"/>
      <c r="F230" s="52" t="n"/>
      <c r="G230" s="52" t="n"/>
      <c r="H230" s="53" t="n"/>
      <c r="I230" s="52" t="n"/>
      <c r="J230" s="52" t="n"/>
    </row>
    <row r="231">
      <c r="A231" s="52" t="n"/>
      <c r="B231" s="52" t="n"/>
      <c r="C231" s="52" t="n"/>
      <c r="D231" s="52" t="n"/>
      <c r="E231" s="52" t="n"/>
      <c r="F231" s="52" t="n"/>
      <c r="G231" s="52" t="n"/>
      <c r="H231" s="53" t="n"/>
      <c r="I231" s="52" t="n"/>
      <c r="J231" s="52" t="n"/>
    </row>
    <row r="232">
      <c r="A232" s="52" t="n"/>
      <c r="B232" s="52" t="n"/>
      <c r="C232" s="52" t="n"/>
      <c r="D232" s="52" t="n"/>
      <c r="E232" s="52" t="n"/>
      <c r="F232" s="52" t="n"/>
      <c r="G232" s="52" t="n"/>
      <c r="H232" s="53" t="n"/>
      <c r="I232" s="52" t="n"/>
      <c r="J232" s="52" t="n"/>
    </row>
    <row r="233">
      <c r="A233" s="52" t="n"/>
      <c r="B233" s="52" t="n"/>
      <c r="C233" s="52" t="n"/>
      <c r="D233" s="52" t="n"/>
      <c r="E233" s="52" t="n"/>
      <c r="F233" s="52" t="n"/>
      <c r="G233" s="52" t="n"/>
      <c r="H233" s="53" t="n"/>
      <c r="I233" s="52" t="n"/>
      <c r="J233" s="52" t="n"/>
    </row>
    <row r="234">
      <c r="A234" s="52" t="n"/>
      <c r="B234" s="52" t="n"/>
      <c r="C234" s="52" t="n"/>
      <c r="D234" s="52" t="n"/>
      <c r="E234" s="52" t="n"/>
      <c r="F234" s="52" t="n"/>
      <c r="G234" s="52" t="n"/>
      <c r="H234" s="53" t="n"/>
      <c r="I234" s="52" t="n"/>
      <c r="J234" s="52" t="n"/>
    </row>
    <row r="235">
      <c r="A235" s="52" t="n"/>
      <c r="B235" s="52" t="n"/>
      <c r="C235" s="52" t="n"/>
      <c r="D235" s="52" t="n"/>
      <c r="E235" s="52" t="n"/>
      <c r="F235" s="52" t="n"/>
      <c r="G235" s="52" t="n"/>
      <c r="H235" s="53" t="n"/>
      <c r="I235" s="52" t="n"/>
      <c r="J235" s="52" t="n"/>
    </row>
    <row r="236">
      <c r="A236" s="52" t="n"/>
      <c r="B236" s="52" t="n"/>
      <c r="C236" s="52" t="n"/>
      <c r="D236" s="52" t="n"/>
      <c r="E236" s="52" t="n"/>
      <c r="F236" s="52" t="n"/>
      <c r="G236" s="52" t="n"/>
      <c r="H236" s="53" t="n"/>
      <c r="I236" s="52" t="n"/>
      <c r="J236" s="52" t="n"/>
    </row>
    <row r="237">
      <c r="A237" s="52" t="n"/>
      <c r="B237" s="52" t="n"/>
      <c r="C237" s="52" t="n"/>
      <c r="D237" s="52" t="n"/>
      <c r="E237" s="52" t="n"/>
      <c r="F237" s="52" t="n"/>
      <c r="G237" s="52" t="n"/>
      <c r="H237" s="53" t="n"/>
      <c r="I237" s="52" t="n"/>
      <c r="J237" s="52" t="n"/>
    </row>
    <row r="238">
      <c r="A238" s="52" t="n"/>
      <c r="B238" s="52" t="n"/>
      <c r="C238" s="52" t="n"/>
      <c r="D238" s="52" t="n"/>
      <c r="E238" s="52" t="n"/>
      <c r="F238" s="52" t="n"/>
      <c r="G238" s="52" t="n"/>
      <c r="H238" s="53" t="n"/>
      <c r="I238" s="52" t="n"/>
      <c r="J238" s="52" t="n"/>
    </row>
    <row r="239">
      <c r="A239" s="52" t="n"/>
      <c r="B239" s="52" t="n"/>
      <c r="C239" s="52" t="n"/>
      <c r="D239" s="52" t="n"/>
      <c r="E239" s="52" t="n"/>
      <c r="F239" s="52" t="n"/>
      <c r="G239" s="52" t="n"/>
      <c r="H239" s="53" t="n"/>
      <c r="I239" s="52" t="n"/>
      <c r="J239" s="52" t="n"/>
    </row>
    <row r="240">
      <c r="A240" s="52" t="n"/>
      <c r="B240" s="52" t="n"/>
      <c r="C240" s="52" t="n"/>
      <c r="D240" s="52" t="n"/>
      <c r="E240" s="52" t="n"/>
      <c r="F240" s="52" t="n"/>
      <c r="G240" s="52" t="n"/>
      <c r="H240" s="53" t="n"/>
      <c r="I240" s="52" t="n"/>
      <c r="J240" s="52" t="n"/>
    </row>
    <row r="241">
      <c r="A241" s="52" t="n"/>
      <c r="B241" s="52" t="n"/>
      <c r="C241" s="52" t="n"/>
      <c r="D241" s="52" t="n"/>
      <c r="E241" s="52" t="n"/>
      <c r="F241" s="52" t="n"/>
      <c r="G241" s="52" t="n"/>
      <c r="H241" s="53" t="n"/>
      <c r="I241" s="52" t="n"/>
      <c r="J241" s="52" t="n"/>
    </row>
    <row r="242">
      <c r="A242" s="52" t="n"/>
      <c r="B242" s="52" t="n"/>
      <c r="C242" s="52" t="n"/>
      <c r="D242" s="52" t="n"/>
      <c r="E242" s="52" t="n"/>
      <c r="F242" s="52" t="n"/>
      <c r="G242" s="52" t="n"/>
      <c r="H242" s="53" t="n"/>
      <c r="I242" s="52" t="n"/>
      <c r="J242" s="52" t="n"/>
    </row>
    <row r="243">
      <c r="A243" s="52" t="n"/>
      <c r="B243" s="52" t="n"/>
      <c r="C243" s="52" t="n"/>
      <c r="D243" s="52" t="n"/>
      <c r="E243" s="52" t="n"/>
      <c r="F243" s="52" t="n"/>
      <c r="G243" s="52" t="n"/>
      <c r="H243" s="53" t="n"/>
      <c r="I243" s="52" t="n"/>
      <c r="J243" s="52" t="n"/>
    </row>
    <row r="244">
      <c r="A244" s="52" t="n"/>
      <c r="B244" s="52" t="n"/>
      <c r="C244" s="52" t="n"/>
      <c r="D244" s="52" t="n"/>
      <c r="E244" s="52" t="n"/>
      <c r="F244" s="52" t="n"/>
      <c r="G244" s="52" t="n"/>
      <c r="H244" s="53" t="n"/>
      <c r="I244" s="52" t="n"/>
      <c r="J244" s="52" t="n"/>
    </row>
    <row r="245">
      <c r="A245" s="52" t="n"/>
      <c r="B245" s="52" t="n"/>
      <c r="C245" s="52" t="n"/>
      <c r="D245" s="52" t="n"/>
      <c r="E245" s="52" t="n"/>
      <c r="F245" s="52" t="n"/>
      <c r="G245" s="52" t="n"/>
      <c r="H245" s="53" t="n"/>
      <c r="I245" s="52" t="n"/>
      <c r="J245" s="52" t="n"/>
    </row>
    <row r="246">
      <c r="A246" s="52" t="n"/>
      <c r="B246" s="52" t="n"/>
      <c r="C246" s="52" t="n"/>
      <c r="D246" s="52" t="n"/>
      <c r="E246" s="52" t="n"/>
      <c r="F246" s="52" t="n"/>
      <c r="G246" s="52" t="n"/>
      <c r="H246" s="53" t="n"/>
      <c r="I246" s="52" t="n"/>
      <c r="J246" s="52" t="n"/>
    </row>
    <row r="247">
      <c r="A247" s="52" t="n"/>
      <c r="B247" s="52" t="n"/>
      <c r="C247" s="52" t="n"/>
      <c r="D247" s="52" t="n"/>
      <c r="E247" s="52" t="n"/>
      <c r="F247" s="52" t="n"/>
      <c r="G247" s="52" t="n"/>
      <c r="H247" s="53" t="n"/>
      <c r="I247" s="52" t="n"/>
      <c r="J247" s="52" t="n"/>
    </row>
    <row r="248">
      <c r="A248" s="52" t="n"/>
      <c r="B248" s="52" t="n"/>
      <c r="C248" s="52" t="n"/>
      <c r="D248" s="52" t="n"/>
      <c r="E248" s="52" t="n"/>
      <c r="F248" s="52" t="n"/>
      <c r="G248" s="52" t="n"/>
      <c r="H248" s="53" t="n"/>
      <c r="I248" s="52" t="n"/>
      <c r="J248" s="52" t="n"/>
    </row>
    <row r="249">
      <c r="A249" s="52" t="n"/>
      <c r="B249" s="52" t="n"/>
      <c r="C249" s="52" t="n"/>
      <c r="D249" s="52" t="n"/>
      <c r="E249" s="52" t="n"/>
      <c r="F249" s="52" t="n"/>
      <c r="G249" s="52" t="n"/>
      <c r="H249" s="53" t="n"/>
      <c r="I249" s="52" t="n"/>
      <c r="J249" s="52" t="n"/>
    </row>
    <row r="250">
      <c r="A250" s="52" t="n"/>
      <c r="B250" s="52" t="n"/>
      <c r="C250" s="52" t="n"/>
      <c r="D250" s="52" t="n"/>
      <c r="E250" s="52" t="n"/>
      <c r="F250" s="52" t="n"/>
      <c r="G250" s="52" t="n"/>
      <c r="H250" s="53" t="n"/>
      <c r="I250" s="52" t="n"/>
      <c r="J250" s="52" t="n"/>
    </row>
  </sheetData>
  <autoFilter ref="A1:J250"/>
  <dataValidations count="3">
    <dataValidation sqref="C2:C250" showDropDown="0" showInputMessage="0" showErrorMessage="0" allowBlank="1" type="list">
      <formula1>lst_Canal</formula1>
    </dataValidation>
    <dataValidation sqref="G2:G250" showDropDown="0" showInputMessage="0" showErrorMessage="0" allowBlank="1" type="list">
      <formula1>lst_Frecuencia</formula1>
    </dataValidation>
    <dataValidation sqref="I2:I250" showDropDown="0" showInputMessage="0" showErrorMessage="0" allowBlank="1" type="list">
      <formula1>lst_EstadoCliente</formula1>
    </dataValidation>
  </dataValidations>
  <hyperlinks>
    <hyperlink xmlns:r="http://schemas.openxmlformats.org/officeDocument/2006/relationships" ref="L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C9A7BC"/>
    <outlinePr summaryBelow="1" summaryRight="1"/>
    <pageSetUpPr/>
  </sheetPr>
  <dimension ref="A1:Z8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2" customWidth="1" style="36" min="1" max="1"/>
    <col width="13" customWidth="1" style="36" min="2" max="2"/>
    <col width="14" customWidth="1" style="36" min="3" max="3"/>
    <col width="12" customWidth="1" style="36" min="4" max="4"/>
    <col width="16" customWidth="1" style="36" min="5" max="5"/>
    <col width="15" customWidth="1" style="36" min="6" max="6"/>
    <col width="24" customWidth="1" style="36" min="7" max="8"/>
    <col width="32" customWidth="1" style="36" min="9" max="9"/>
    <col width="13" customWidth="1" style="36" min="10" max="10"/>
    <col width="16" customWidth="1" style="36" min="11" max="11"/>
    <col width="13" customWidth="1" style="36" min="12" max="12"/>
    <col width="12" customWidth="1" style="36" min="13" max="13"/>
    <col width="13" customWidth="1" style="36" min="14" max="14"/>
    <col width="14" customWidth="1" style="36" min="15" max="16"/>
    <col width="13" customWidth="1" style="36" min="17" max="17"/>
    <col width="14" customWidth="1" style="36" min="18" max="18"/>
    <col width="17" customWidth="1" style="36" min="19" max="19"/>
    <col width="26" customWidth="1" style="36" min="20" max="20"/>
  </cols>
  <sheetData>
    <row r="1" ht="28" customHeight="1" s="36">
      <c r="A1" s="10" t="inlineStr">
        <is>
          <t>ID_venta</t>
        </is>
      </c>
      <c r="B1" s="10" t="inlineStr">
        <is>
          <t>Fecha factura</t>
        </is>
      </c>
      <c r="C1" s="10" t="inlineStr">
        <is>
          <t>N° factura</t>
        </is>
      </c>
      <c r="D1" s="10" t="inlineStr">
        <is>
          <t>PDV_ID</t>
        </is>
      </c>
      <c r="E1" s="10" t="inlineStr">
        <is>
          <t>Cliente</t>
        </is>
      </c>
      <c r="F1" s="10" t="inlineStr">
        <is>
          <t>Canal</t>
        </is>
      </c>
      <c r="G1" s="10" t="inlineStr">
        <is>
          <t>Punto de venta</t>
        </is>
      </c>
      <c r="H1" s="10" t="inlineStr">
        <is>
          <t>SKU</t>
        </is>
      </c>
      <c r="I1" s="10" t="inlineStr">
        <is>
          <t>Descripción SKU</t>
        </is>
      </c>
      <c r="J1" s="10" t="inlineStr">
        <is>
          <t>Cantidad facturada</t>
        </is>
      </c>
      <c r="K1" s="10" t="inlineStr">
        <is>
          <t>Precio neto unit. facturado</t>
        </is>
      </c>
      <c r="L1" s="10" t="inlineStr">
        <is>
          <t>Venta neta</t>
        </is>
      </c>
      <c r="M1" s="10" t="inlineStr">
        <is>
          <t>IVA</t>
        </is>
      </c>
      <c r="N1" s="10" t="inlineStr">
        <is>
          <t>Venta bruta</t>
        </is>
      </c>
      <c r="O1" s="10" t="inlineStr">
        <is>
          <t>Fecha vencimiento</t>
        </is>
      </c>
      <c r="P1" s="10" t="inlineStr">
        <is>
          <t>Status pago</t>
        </is>
      </c>
      <c r="Q1" s="10" t="inlineStr">
        <is>
          <t>Monto pagado</t>
        </is>
      </c>
      <c r="R1" s="10" t="inlineStr">
        <is>
          <t>Monto pendiente</t>
        </is>
      </c>
      <c r="S1" s="10" t="inlineStr">
        <is>
          <t>Estado factura</t>
        </is>
      </c>
      <c r="T1" s="10" t="inlineStr">
        <is>
          <t>Observaciones</t>
        </is>
      </c>
      <c r="U1" s="67" t="inlineStr">
        <is>
          <t>Año</t>
        </is>
      </c>
      <c r="V1" s="67" t="inlineStr">
        <is>
          <t>Mes</t>
        </is>
      </c>
      <c r="W1" s="67" t="inlineStr">
        <is>
          <t>Día</t>
        </is>
      </c>
      <c r="X1" s="67" t="inlineStr">
        <is>
          <t>Periodo</t>
        </is>
      </c>
      <c r="Y1" s="67" t="inlineStr">
        <is>
          <t>Barras equiv</t>
        </is>
      </c>
      <c r="Z1" s="47" t="inlineStr">
        <is>
          <t>⚙ Configuración</t>
        </is>
      </c>
    </row>
    <row r="2" ht="20" customHeight="1" s="36">
      <c r="A2" s="43" t="inlineStr">
        <is>
          <t>V-0001</t>
        </is>
      </c>
      <c r="B2" s="54" t="n">
        <v>46199</v>
      </c>
      <c r="C2" s="43" t="inlineStr">
        <is>
          <t>F-202607001</t>
        </is>
      </c>
      <c r="D2" s="43" t="inlineStr">
        <is>
          <t>PDV-010</t>
        </is>
      </c>
      <c r="E2" s="48">
        <f>IFERROR(VLOOKUP(D2,Clientes_PDV!$A$2:$J$250,2,FALSE),"")</f>
        <v/>
      </c>
      <c r="F2" s="48">
        <f>IFERROR(VLOOKUP(D2,Clientes_PDV!$A$2:$J$250,3,FALSE),"")</f>
        <v/>
      </c>
      <c r="G2" s="48">
        <f>IFERROR(VLOOKUP(D2,Clientes_PDV!$A$2:$J$250,4,FALSE),"")</f>
        <v/>
      </c>
      <c r="H2" s="43" t="inlineStr">
        <is>
          <t>NUVA-BAR-BM-U-01</t>
        </is>
      </c>
      <c r="I2" s="48">
        <f>IFERROR(VLOOKUP(H2,Maestro_SKU!$A$2:$P$500,2,FALSE),"")</f>
        <v/>
      </c>
      <c r="J2" s="55" t="n">
        <v>20</v>
      </c>
      <c r="K2" s="44" t="n">
        <v>911</v>
      </c>
      <c r="L2" s="51">
        <f>IF(OR(J2="",K2=""),"",J2*K2)</f>
        <v/>
      </c>
      <c r="M2" s="51">
        <f>IF(L2="","",L2*Inicio!$B$13)</f>
        <v/>
      </c>
      <c r="N2" s="51">
        <f>IF(L2="","",L2+M2)</f>
        <v/>
      </c>
      <c r="O2" s="54" t="n">
        <v>46244</v>
      </c>
      <c r="P2" s="43" t="inlineStr">
        <is>
          <t>Parcial</t>
        </is>
      </c>
      <c r="Q2" s="44" t="n">
        <v>14349</v>
      </c>
      <c r="R2" s="51">
        <f>IF(N2="","",MAX(N2-Q2,0))</f>
        <v/>
      </c>
      <c r="S2" s="48">
        <f>IF(A2="","",IF(OR(P2="Pagada",R2=0),"Pagada",IF(O2&lt;TODAY(),"Vencida",IF(O2&lt;=TODAY()+Inicio!$B$19,"Próxima a vencer","Vigente"))))</f>
        <v/>
      </c>
      <c r="T2" s="43" t="n"/>
      <c r="U2" s="68">
        <f>IF($B2="","",YEAR($B2))</f>
        <v/>
      </c>
      <c r="V2" s="68">
        <f>IF($B2="","",MONTH($B2))</f>
        <v/>
      </c>
      <c r="W2" s="68">
        <f>IF($B2="","",DAY($B2))</f>
        <v/>
      </c>
      <c r="X2" s="68">
        <f>IF($B2="","",YEAR($B2)&amp;"-"&amp;TEXT(MONTH($B2),"00"))</f>
        <v/>
      </c>
      <c r="Y2" s="68">
        <f>IF(OR($H2="",$J2=""),"",$J2*IFERROR(VLOOKUP($H2,Maestro_SKU!$A$2:$P$500,12,FALSE),1))</f>
        <v/>
      </c>
    </row>
    <row r="3" ht="20" customHeight="1" s="36">
      <c r="A3" s="43" t="inlineStr">
        <is>
          <t>V-0002</t>
        </is>
      </c>
      <c r="B3" s="54" t="n">
        <v>46208</v>
      </c>
      <c r="C3" s="43" t="inlineStr">
        <is>
          <t>F-202607002</t>
        </is>
      </c>
      <c r="D3" s="43" t="inlineStr">
        <is>
          <t>PDV-011</t>
        </is>
      </c>
      <c r="E3" s="48">
        <f>IFERROR(VLOOKUP(D3,Clientes_PDV!$A$2:$J$250,2,FALSE),"")</f>
        <v/>
      </c>
      <c r="F3" s="48">
        <f>IFERROR(VLOOKUP(D3,Clientes_PDV!$A$2:$J$250,3,FALSE),"")</f>
        <v/>
      </c>
      <c r="G3" s="48">
        <f>IFERROR(VLOOKUP(D3,Clientes_PDV!$A$2:$J$250,4,FALSE),"")</f>
        <v/>
      </c>
      <c r="H3" s="43" t="inlineStr">
        <is>
          <t>NUVA-BAR-CC-U-01</t>
        </is>
      </c>
      <c r="I3" s="48">
        <f>IFERROR(VLOOKUP(H3,Maestro_SKU!$A$2:$P$500,2,FALSE),"")</f>
        <v/>
      </c>
      <c r="J3" s="55" t="n">
        <v>4</v>
      </c>
      <c r="K3" s="44" t="n">
        <v>948</v>
      </c>
      <c r="L3" s="51">
        <f>IF(OR(J3="",K3=""),"",J3*K3)</f>
        <v/>
      </c>
      <c r="M3" s="51">
        <f>IF(L3="","",L3*Inicio!$B$13)</f>
        <v/>
      </c>
      <c r="N3" s="51">
        <f>IF(L3="","",L3+M3)</f>
        <v/>
      </c>
      <c r="O3" s="54" t="n">
        <v>46223</v>
      </c>
      <c r="P3" s="43" t="inlineStr">
        <is>
          <t>Vencida</t>
        </is>
      </c>
      <c r="Q3" s="44" t="n">
        <v>0</v>
      </c>
      <c r="R3" s="51">
        <f>IF(N3="","",MAX(N3-Q3,0))</f>
        <v/>
      </c>
      <c r="S3" s="48">
        <f>IF(A3="","",IF(OR(P3="Pagada",R3=0),"Pagada",IF(O3&lt;TODAY(),"Vencida",IF(O3&lt;=TODAY()+Inicio!$B$19,"Próxima a vencer","Vigente"))))</f>
        <v/>
      </c>
      <c r="T3" s="43" t="n"/>
      <c r="U3" s="68">
        <f>IF($B3="","",YEAR($B3))</f>
        <v/>
      </c>
      <c r="V3" s="68">
        <f>IF($B3="","",MONTH($B3))</f>
        <v/>
      </c>
      <c r="W3" s="68">
        <f>IF($B3="","",DAY($B3))</f>
        <v/>
      </c>
      <c r="X3" s="68">
        <f>IF($B3="","",YEAR($B3)&amp;"-"&amp;TEXT(MONTH($B3),"00"))</f>
        <v/>
      </c>
      <c r="Y3" s="68">
        <f>IF(OR($H3="",$J3=""),"",$J3*IFERROR(VLOOKUP($H3,Maestro_SKU!$A$2:$P$500,12,FALSE),1))</f>
        <v/>
      </c>
    </row>
    <row r="4" ht="20" customHeight="1" s="36">
      <c r="A4" s="43" t="inlineStr">
        <is>
          <t>V-0003</t>
        </is>
      </c>
      <c r="B4" s="54" t="n">
        <v>46174</v>
      </c>
      <c r="C4" s="43" t="inlineStr">
        <is>
          <t>F-202607003</t>
        </is>
      </c>
      <c r="D4" s="43" t="inlineStr">
        <is>
          <t>PDV-012</t>
        </is>
      </c>
      <c r="E4" s="48">
        <f>IFERROR(VLOOKUP(D4,Clientes_PDV!$A$2:$J$250,2,FALSE),"")</f>
        <v/>
      </c>
      <c r="F4" s="48">
        <f>IFERROR(VLOOKUP(D4,Clientes_PDV!$A$2:$J$250,3,FALSE),"")</f>
        <v/>
      </c>
      <c r="G4" s="48">
        <f>IFERROR(VLOOKUP(D4,Clientes_PDV!$A$2:$J$250,4,FALSE),"")</f>
        <v/>
      </c>
      <c r="H4" s="43" t="inlineStr">
        <is>
          <t>NUVA-BAR-CC-BX-04</t>
        </is>
      </c>
      <c r="I4" s="48">
        <f>IFERROR(VLOOKUP(H4,Maestro_SKU!$A$2:$P$500,2,FALSE),"")</f>
        <v/>
      </c>
      <c r="J4" s="55" t="n">
        <v>4</v>
      </c>
      <c r="K4" s="44" t="n">
        <v>3807</v>
      </c>
      <c r="L4" s="51">
        <f>IF(OR(J4="",K4=""),"",J4*K4)</f>
        <v/>
      </c>
      <c r="M4" s="51">
        <f>IF(L4="","",L4*Inicio!$B$13)</f>
        <v/>
      </c>
      <c r="N4" s="51">
        <f>IF(L4="","",L4+M4)</f>
        <v/>
      </c>
      <c r="O4" s="54" t="n">
        <v>46204</v>
      </c>
      <c r="P4" s="43" t="inlineStr">
        <is>
          <t>Pagada</t>
        </is>
      </c>
      <c r="Q4" s="44" t="n">
        <v>18121.32</v>
      </c>
      <c r="R4" s="51">
        <f>IF(N4="","",MAX(N4-Q4,0))</f>
        <v/>
      </c>
      <c r="S4" s="48">
        <f>IF(A4="","",IF(OR(P4="Pagada",R4=0),"Pagada",IF(O4&lt;TODAY(),"Vencida",IF(O4&lt;=TODAY()+Inicio!$B$19,"Próxima a vencer","Vigente"))))</f>
        <v/>
      </c>
      <c r="T4" s="43" t="n"/>
      <c r="U4" s="68">
        <f>IF($B4="","",YEAR($B4))</f>
        <v/>
      </c>
      <c r="V4" s="68">
        <f>IF($B4="","",MONTH($B4))</f>
        <v/>
      </c>
      <c r="W4" s="68">
        <f>IF($B4="","",DAY($B4))</f>
        <v/>
      </c>
      <c r="X4" s="68">
        <f>IF($B4="","",YEAR($B4)&amp;"-"&amp;TEXT(MONTH($B4),"00"))</f>
        <v/>
      </c>
      <c r="Y4" s="68">
        <f>IF(OR($H4="",$J4=""),"",$J4*IFERROR(VLOOKUP($H4,Maestro_SKU!$A$2:$P$500,12,FALSE),1))</f>
        <v/>
      </c>
    </row>
    <row r="5" ht="20" customHeight="1" s="36">
      <c r="A5" s="43" t="inlineStr">
        <is>
          <t>V-0004</t>
        </is>
      </c>
      <c r="B5" s="54" t="n">
        <v>46170</v>
      </c>
      <c r="C5" s="43" t="inlineStr">
        <is>
          <t>F-202607004</t>
        </is>
      </c>
      <c r="D5" s="43" t="inlineStr">
        <is>
          <t>PDV-005</t>
        </is>
      </c>
      <c r="E5" s="48">
        <f>IFERROR(VLOOKUP(D5,Clientes_PDV!$A$2:$J$250,2,FALSE),"")</f>
        <v/>
      </c>
      <c r="F5" s="48">
        <f>IFERROR(VLOOKUP(D5,Clientes_PDV!$A$2:$J$250,3,FALSE),"")</f>
        <v/>
      </c>
      <c r="G5" s="48">
        <f>IFERROR(VLOOKUP(D5,Clientes_PDV!$A$2:$J$250,4,FALSE),"")</f>
        <v/>
      </c>
      <c r="H5" s="43" t="inlineStr">
        <is>
          <t>NUVA-BAR-PB-BX-04</t>
        </is>
      </c>
      <c r="I5" s="48">
        <f>IFERROR(VLOOKUP(H5,Maestro_SKU!$A$2:$P$500,2,FALSE),"")</f>
        <v/>
      </c>
      <c r="J5" s="55" t="n">
        <v>24</v>
      </c>
      <c r="K5" s="44" t="n">
        <v>3130</v>
      </c>
      <c r="L5" s="51">
        <f>IF(OR(J5="",K5=""),"",J5*K5)</f>
        <v/>
      </c>
      <c r="M5" s="51">
        <f>IF(L5="","",L5*Inicio!$B$13)</f>
        <v/>
      </c>
      <c r="N5" s="51">
        <f>IF(L5="","",L5+M5)</f>
        <v/>
      </c>
      <c r="O5" s="54" t="n">
        <v>46200</v>
      </c>
      <c r="P5" s="43" t="inlineStr">
        <is>
          <t>Pagada</t>
        </is>
      </c>
      <c r="Q5" s="44" t="n">
        <v>89392.8</v>
      </c>
      <c r="R5" s="51">
        <f>IF(N5="","",MAX(N5-Q5,0))</f>
        <v/>
      </c>
      <c r="S5" s="48">
        <f>IF(A5="","",IF(OR(P5="Pagada",R5=0),"Pagada",IF(O5&lt;TODAY(),"Vencida",IF(O5&lt;=TODAY()+Inicio!$B$19,"Próxima a vencer","Vigente"))))</f>
        <v/>
      </c>
      <c r="T5" s="43" t="n"/>
      <c r="U5" s="68">
        <f>IF($B5="","",YEAR($B5))</f>
        <v/>
      </c>
      <c r="V5" s="68">
        <f>IF($B5="","",MONTH($B5))</f>
        <v/>
      </c>
      <c r="W5" s="68">
        <f>IF($B5="","",DAY($B5))</f>
        <v/>
      </c>
      <c r="X5" s="68">
        <f>IF($B5="","",YEAR($B5)&amp;"-"&amp;TEXT(MONTH($B5),"00"))</f>
        <v/>
      </c>
      <c r="Y5" s="68">
        <f>IF(OR($H5="",$J5=""),"",$J5*IFERROR(VLOOKUP($H5,Maestro_SKU!$A$2:$P$500,12,FALSE),1))</f>
        <v/>
      </c>
    </row>
    <row r="6" ht="20" customHeight="1" s="36">
      <c r="A6" s="43" t="inlineStr">
        <is>
          <t>V-0005</t>
        </is>
      </c>
      <c r="B6" s="54" t="n">
        <v>46197</v>
      </c>
      <c r="C6" s="43" t="inlineStr">
        <is>
          <t>F-202607005</t>
        </is>
      </c>
      <c r="D6" s="43" t="inlineStr">
        <is>
          <t>PDV-004</t>
        </is>
      </c>
      <c r="E6" s="48">
        <f>IFERROR(VLOOKUP(D6,Clientes_PDV!$A$2:$J$250,2,FALSE),"")</f>
        <v/>
      </c>
      <c r="F6" s="48">
        <f>IFERROR(VLOOKUP(D6,Clientes_PDV!$A$2:$J$250,3,FALSE),"")</f>
        <v/>
      </c>
      <c r="G6" s="48">
        <f>IFERROR(VLOOKUP(D6,Clientes_PDV!$A$2:$J$250,4,FALSE),"")</f>
        <v/>
      </c>
      <c r="H6" s="43" t="inlineStr">
        <is>
          <t>NUVA-BAR-PB-CS-24</t>
        </is>
      </c>
      <c r="I6" s="48">
        <f>IFERROR(VLOOKUP(H6,Maestro_SKU!$A$2:$P$500,2,FALSE),"")</f>
        <v/>
      </c>
      <c r="J6" s="55" t="n">
        <v>20</v>
      </c>
      <c r="K6" s="44" t="n">
        <v>17022</v>
      </c>
      <c r="L6" s="51">
        <f>IF(OR(J6="",K6=""),"",J6*K6)</f>
        <v/>
      </c>
      <c r="M6" s="51">
        <f>IF(L6="","",L6*Inicio!$B$13)</f>
        <v/>
      </c>
      <c r="N6" s="51">
        <f>IF(L6="","",L6+M6)</f>
        <v/>
      </c>
      <c r="O6" s="54" t="n">
        <v>46212</v>
      </c>
      <c r="P6" s="43" t="inlineStr">
        <is>
          <t>Pagada</t>
        </is>
      </c>
      <c r="Q6" s="44" t="n">
        <v>405123.6</v>
      </c>
      <c r="R6" s="51">
        <f>IF(N6="","",MAX(N6-Q6,0))</f>
        <v/>
      </c>
      <c r="S6" s="48">
        <f>IF(A6="","",IF(OR(P6="Pagada",R6=0),"Pagada",IF(O6&lt;TODAY(),"Vencida",IF(O6&lt;=TODAY()+Inicio!$B$19,"Próxima a vencer","Vigente"))))</f>
        <v/>
      </c>
      <c r="T6" s="43" t="n"/>
      <c r="U6" s="68">
        <f>IF($B6="","",YEAR($B6))</f>
        <v/>
      </c>
      <c r="V6" s="68">
        <f>IF($B6="","",MONTH($B6))</f>
        <v/>
      </c>
      <c r="W6" s="68">
        <f>IF($B6="","",DAY($B6))</f>
        <v/>
      </c>
      <c r="X6" s="68">
        <f>IF($B6="","",YEAR($B6)&amp;"-"&amp;TEXT(MONTH($B6),"00"))</f>
        <v/>
      </c>
      <c r="Y6" s="68">
        <f>IF(OR($H6="",$J6=""),"",$J6*IFERROR(VLOOKUP($H6,Maestro_SKU!$A$2:$P$500,12,FALSE),1))</f>
        <v/>
      </c>
    </row>
    <row r="7" ht="20" customHeight="1" s="36">
      <c r="A7" s="43" t="inlineStr">
        <is>
          <t>V-0006</t>
        </is>
      </c>
      <c r="B7" s="54" t="n">
        <v>46177</v>
      </c>
      <c r="C7" s="43" t="inlineStr">
        <is>
          <t>F-202607006</t>
        </is>
      </c>
      <c r="D7" s="43" t="inlineStr">
        <is>
          <t>PDV-005</t>
        </is>
      </c>
      <c r="E7" s="48">
        <f>IFERROR(VLOOKUP(D7,Clientes_PDV!$A$2:$J$250,2,FALSE),"")</f>
        <v/>
      </c>
      <c r="F7" s="48">
        <f>IFERROR(VLOOKUP(D7,Clientes_PDV!$A$2:$J$250,3,FALSE),"")</f>
        <v/>
      </c>
      <c r="G7" s="48">
        <f>IFERROR(VLOOKUP(D7,Clientes_PDV!$A$2:$J$250,4,FALSE),"")</f>
        <v/>
      </c>
      <c r="H7" s="43" t="inlineStr">
        <is>
          <t>NUVA-BAR-CC-CS-24</t>
        </is>
      </c>
      <c r="I7" s="48">
        <f>IFERROR(VLOOKUP(H7,Maestro_SKU!$A$2:$P$500,2,FALSE),"")</f>
        <v/>
      </c>
      <c r="J7" s="55" t="n">
        <v>15</v>
      </c>
      <c r="K7" s="44" t="n">
        <v>17698</v>
      </c>
      <c r="L7" s="51">
        <f>IF(OR(J7="",K7=""),"",J7*K7)</f>
        <v/>
      </c>
      <c r="M7" s="51">
        <f>IF(L7="","",L7*Inicio!$B$13)</f>
        <v/>
      </c>
      <c r="N7" s="51">
        <f>IF(L7="","",L7+M7)</f>
        <v/>
      </c>
      <c r="O7" s="54" t="n">
        <v>46222</v>
      </c>
      <c r="P7" s="43" t="inlineStr">
        <is>
          <t>Pagada</t>
        </is>
      </c>
      <c r="Q7" s="44" t="n">
        <v>315909.3</v>
      </c>
      <c r="R7" s="51">
        <f>IF(N7="","",MAX(N7-Q7,0))</f>
        <v/>
      </c>
      <c r="S7" s="48">
        <f>IF(A7="","",IF(OR(P7="Pagada",R7=0),"Pagada",IF(O7&lt;TODAY(),"Vencida",IF(O7&lt;=TODAY()+Inicio!$B$19,"Próxima a vencer","Vigente"))))</f>
        <v/>
      </c>
      <c r="T7" s="43" t="n"/>
      <c r="U7" s="68">
        <f>IF($B7="","",YEAR($B7))</f>
        <v/>
      </c>
      <c r="V7" s="68">
        <f>IF($B7="","",MONTH($B7))</f>
        <v/>
      </c>
      <c r="W7" s="68">
        <f>IF($B7="","",DAY($B7))</f>
        <v/>
      </c>
      <c r="X7" s="68">
        <f>IF($B7="","",YEAR($B7)&amp;"-"&amp;TEXT(MONTH($B7),"00"))</f>
        <v/>
      </c>
      <c r="Y7" s="68">
        <f>IF(OR($H7="",$J7=""),"",$J7*IFERROR(VLOOKUP($H7,Maestro_SKU!$A$2:$P$500,12,FALSE),1))</f>
        <v/>
      </c>
    </row>
    <row r="8" ht="20" customHeight="1" s="36">
      <c r="A8" s="43" t="inlineStr">
        <is>
          <t>V-0007</t>
        </is>
      </c>
      <c r="B8" s="54" t="n">
        <v>46197</v>
      </c>
      <c r="C8" s="43" t="inlineStr">
        <is>
          <t>F-202607007</t>
        </is>
      </c>
      <c r="D8" s="43" t="inlineStr">
        <is>
          <t>PDV-002</t>
        </is>
      </c>
      <c r="E8" s="48">
        <f>IFERROR(VLOOKUP(D8,Clientes_PDV!$A$2:$J$250,2,FALSE),"")</f>
        <v/>
      </c>
      <c r="F8" s="48">
        <f>IFERROR(VLOOKUP(D8,Clientes_PDV!$A$2:$J$250,3,FALSE),"")</f>
        <v/>
      </c>
      <c r="G8" s="48">
        <f>IFERROR(VLOOKUP(D8,Clientes_PDV!$A$2:$J$250,4,FALSE),"")</f>
        <v/>
      </c>
      <c r="H8" s="43" t="inlineStr">
        <is>
          <t>NUVA-BAR-CC-BX-04</t>
        </is>
      </c>
      <c r="I8" s="48">
        <f>IFERROR(VLOOKUP(H8,Maestro_SKU!$A$2:$P$500,2,FALSE),"")</f>
        <v/>
      </c>
      <c r="J8" s="55" t="n">
        <v>8</v>
      </c>
      <c r="K8" s="44" t="n">
        <v>3268</v>
      </c>
      <c r="L8" s="51">
        <f>IF(OR(J8="",K8=""),"",J8*K8)</f>
        <v/>
      </c>
      <c r="M8" s="51">
        <f>IF(L8="","",L8*Inicio!$B$13)</f>
        <v/>
      </c>
      <c r="N8" s="51">
        <f>IF(L8="","",L8+M8)</f>
        <v/>
      </c>
      <c r="O8" s="54" t="n">
        <v>46197</v>
      </c>
      <c r="P8" s="43" t="inlineStr">
        <is>
          <t>Pagada</t>
        </is>
      </c>
      <c r="Q8" s="44" t="n">
        <v>31111.36</v>
      </c>
      <c r="R8" s="51">
        <f>IF(N8="","",MAX(N8-Q8,0))</f>
        <v/>
      </c>
      <c r="S8" s="48">
        <f>IF(A8="","",IF(OR(P8="Pagada",R8=0),"Pagada",IF(O8&lt;TODAY(),"Vencida",IF(O8&lt;=TODAY()+Inicio!$B$19,"Próxima a vencer","Vigente"))))</f>
        <v/>
      </c>
      <c r="T8" s="43" t="n"/>
      <c r="U8" s="68">
        <f>IF($B8="","",YEAR($B8))</f>
        <v/>
      </c>
      <c r="V8" s="68">
        <f>IF($B8="","",MONTH($B8))</f>
        <v/>
      </c>
      <c r="W8" s="68">
        <f>IF($B8="","",DAY($B8))</f>
        <v/>
      </c>
      <c r="X8" s="68">
        <f>IF($B8="","",YEAR($B8)&amp;"-"&amp;TEXT(MONTH($B8),"00"))</f>
        <v/>
      </c>
      <c r="Y8" s="68">
        <f>IF(OR($H8="",$J8=""),"",$J8*IFERROR(VLOOKUP($H8,Maestro_SKU!$A$2:$P$500,12,FALSE),1))</f>
        <v/>
      </c>
    </row>
    <row r="9" ht="20" customHeight="1" s="36">
      <c r="A9" s="43" t="inlineStr">
        <is>
          <t>V-0008</t>
        </is>
      </c>
      <c r="B9" s="54" t="n">
        <v>46152</v>
      </c>
      <c r="C9" s="43" t="inlineStr">
        <is>
          <t>F-202607008</t>
        </is>
      </c>
      <c r="D9" s="43" t="inlineStr">
        <is>
          <t>PDV-005</t>
        </is>
      </c>
      <c r="E9" s="48">
        <f>IFERROR(VLOOKUP(D9,Clientes_PDV!$A$2:$J$250,2,FALSE),"")</f>
        <v/>
      </c>
      <c r="F9" s="48">
        <f>IFERROR(VLOOKUP(D9,Clientes_PDV!$A$2:$J$250,3,FALSE),"")</f>
        <v/>
      </c>
      <c r="G9" s="48">
        <f>IFERROR(VLOOKUP(D9,Clientes_PDV!$A$2:$J$250,4,FALSE),"")</f>
        <v/>
      </c>
      <c r="H9" s="43" t="inlineStr">
        <is>
          <t>NUVA-BAR-PB-U-01</t>
        </is>
      </c>
      <c r="I9" s="48">
        <f>IFERROR(VLOOKUP(H9,Maestro_SKU!$A$2:$P$500,2,FALSE),"")</f>
        <v/>
      </c>
      <c r="J9" s="55" t="n">
        <v>6</v>
      </c>
      <c r="K9" s="44" t="n">
        <v>745</v>
      </c>
      <c r="L9" s="51">
        <f>IF(OR(J9="",K9=""),"",J9*K9)</f>
        <v/>
      </c>
      <c r="M9" s="51">
        <f>IF(L9="","",L9*Inicio!$B$13)</f>
        <v/>
      </c>
      <c r="N9" s="51">
        <f>IF(L9="","",L9+M9)</f>
        <v/>
      </c>
      <c r="O9" s="54" t="n">
        <v>46182</v>
      </c>
      <c r="P9" s="43" t="inlineStr">
        <is>
          <t>Vencida</t>
        </is>
      </c>
      <c r="Q9" s="44" t="n">
        <v>0</v>
      </c>
      <c r="R9" s="51">
        <f>IF(N9="","",MAX(N9-Q9,0))</f>
        <v/>
      </c>
      <c r="S9" s="48">
        <f>IF(A9="","",IF(OR(P9="Pagada",R9=0),"Pagada",IF(O9&lt;TODAY(),"Vencida",IF(O9&lt;=TODAY()+Inicio!$B$19,"Próxima a vencer","Vigente"))))</f>
        <v/>
      </c>
      <c r="T9" s="43" t="n"/>
      <c r="U9" s="68">
        <f>IF($B9="","",YEAR($B9))</f>
        <v/>
      </c>
      <c r="V9" s="68">
        <f>IF($B9="","",MONTH($B9))</f>
        <v/>
      </c>
      <c r="W9" s="68">
        <f>IF($B9="","",DAY($B9))</f>
        <v/>
      </c>
      <c r="X9" s="68">
        <f>IF($B9="","",YEAR($B9)&amp;"-"&amp;TEXT(MONTH($B9),"00"))</f>
        <v/>
      </c>
      <c r="Y9" s="68">
        <f>IF(OR($H9="",$J9=""),"",$J9*IFERROR(VLOOKUP($H9,Maestro_SKU!$A$2:$P$500,12,FALSE),1))</f>
        <v/>
      </c>
    </row>
    <row r="10" ht="20" customHeight="1" s="36">
      <c r="A10" s="43" t="inlineStr">
        <is>
          <t>V-0009</t>
        </is>
      </c>
      <c r="B10" s="54" t="n">
        <v>46161</v>
      </c>
      <c r="C10" s="43" t="inlineStr">
        <is>
          <t>F-202607009</t>
        </is>
      </c>
      <c r="D10" s="43" t="inlineStr">
        <is>
          <t>PDV-003</t>
        </is>
      </c>
      <c r="E10" s="48">
        <f>IFERROR(VLOOKUP(D10,Clientes_PDV!$A$2:$J$250,2,FALSE),"")</f>
        <v/>
      </c>
      <c r="F10" s="48">
        <f>IFERROR(VLOOKUP(D10,Clientes_PDV!$A$2:$J$250,3,FALSE),"")</f>
        <v/>
      </c>
      <c r="G10" s="48">
        <f>IFERROR(VLOOKUP(D10,Clientes_PDV!$A$2:$J$250,4,FALSE),"")</f>
        <v/>
      </c>
      <c r="H10" s="43" t="inlineStr">
        <is>
          <t>NUVA-BAR-PB-U-01</t>
        </is>
      </c>
      <c r="I10" s="48">
        <f>IFERROR(VLOOKUP(H10,Maestro_SKU!$A$2:$P$500,2,FALSE),"")</f>
        <v/>
      </c>
      <c r="J10" s="55" t="n">
        <v>6</v>
      </c>
      <c r="K10" s="44" t="n">
        <v>851</v>
      </c>
      <c r="L10" s="51">
        <f>IF(OR(J10="",K10=""),"",J10*K10)</f>
        <v/>
      </c>
      <c r="M10" s="51">
        <f>IF(L10="","",L10*Inicio!$B$13)</f>
        <v/>
      </c>
      <c r="N10" s="51">
        <f>IF(L10="","",L10+M10)</f>
        <v/>
      </c>
      <c r="O10" s="54" t="n">
        <v>46176</v>
      </c>
      <c r="P10" s="43" t="inlineStr">
        <is>
          <t>Vencida</t>
        </is>
      </c>
      <c r="Q10" s="44" t="n">
        <v>0</v>
      </c>
      <c r="R10" s="51">
        <f>IF(N10="","",MAX(N10-Q10,0))</f>
        <v/>
      </c>
      <c r="S10" s="48">
        <f>IF(A10="","",IF(OR(P10="Pagada",R10=0),"Pagada",IF(O10&lt;TODAY(),"Vencida",IF(O10&lt;=TODAY()+Inicio!$B$19,"Próxima a vencer","Vigente"))))</f>
        <v/>
      </c>
      <c r="T10" s="43" t="n"/>
      <c r="U10" s="68">
        <f>IF($B10="","",YEAR($B10))</f>
        <v/>
      </c>
      <c r="V10" s="68">
        <f>IF($B10="","",MONTH($B10))</f>
        <v/>
      </c>
      <c r="W10" s="68">
        <f>IF($B10="","",DAY($B10))</f>
        <v/>
      </c>
      <c r="X10" s="68">
        <f>IF($B10="","",YEAR($B10)&amp;"-"&amp;TEXT(MONTH($B10),"00"))</f>
        <v/>
      </c>
      <c r="Y10" s="68">
        <f>IF(OR($H10="",$J10=""),"",$J10*IFERROR(VLOOKUP($H10,Maestro_SKU!$A$2:$P$500,12,FALSE),1))</f>
        <v/>
      </c>
    </row>
    <row r="11" ht="20" customHeight="1" s="36">
      <c r="A11" s="43" t="inlineStr">
        <is>
          <t>V-0010</t>
        </is>
      </c>
      <c r="B11" s="54" t="n">
        <v>46203</v>
      </c>
      <c r="C11" s="43" t="inlineStr">
        <is>
          <t>F-202607010</t>
        </is>
      </c>
      <c r="D11" s="43" t="inlineStr">
        <is>
          <t>PDV-007</t>
        </is>
      </c>
      <c r="E11" s="48">
        <f>IFERROR(VLOOKUP(D11,Clientes_PDV!$A$2:$J$250,2,FALSE),"")</f>
        <v/>
      </c>
      <c r="F11" s="48">
        <f>IFERROR(VLOOKUP(D11,Clientes_PDV!$A$2:$J$250,3,FALSE),"")</f>
        <v/>
      </c>
      <c r="G11" s="48">
        <f>IFERROR(VLOOKUP(D11,Clientes_PDV!$A$2:$J$250,4,FALSE),"")</f>
        <v/>
      </c>
      <c r="H11" s="43" t="inlineStr">
        <is>
          <t>NUVA-BAR-BM-CS-24</t>
        </is>
      </c>
      <c r="I11" s="48">
        <f>IFERROR(VLOOKUP(H11,Maestro_SKU!$A$2:$P$500,2,FALSE),"")</f>
        <v/>
      </c>
      <c r="J11" s="55" t="n">
        <v>24</v>
      </c>
      <c r="K11" s="44" t="n">
        <v>18767</v>
      </c>
      <c r="L11" s="51">
        <f>IF(OR(J11="",K11=""),"",J11*K11)</f>
        <v/>
      </c>
      <c r="M11" s="51">
        <f>IF(L11="","",L11*Inicio!$B$13)</f>
        <v/>
      </c>
      <c r="N11" s="51">
        <f>IF(L11="","",L11+M11)</f>
        <v/>
      </c>
      <c r="O11" s="54" t="n">
        <v>46218</v>
      </c>
      <c r="P11" s="43" t="inlineStr">
        <is>
          <t>Parcial</t>
        </is>
      </c>
      <c r="Q11" s="44" t="n">
        <v>205558</v>
      </c>
      <c r="R11" s="51">
        <f>IF(N11="","",MAX(N11-Q11,0))</f>
        <v/>
      </c>
      <c r="S11" s="48">
        <f>IF(A11="","",IF(OR(P11="Pagada",R11=0),"Pagada",IF(O11&lt;TODAY(),"Vencida",IF(O11&lt;=TODAY()+Inicio!$B$19,"Próxima a vencer","Vigente"))))</f>
        <v/>
      </c>
      <c r="T11" s="43" t="n"/>
      <c r="U11" s="68">
        <f>IF($B11="","",YEAR($B11))</f>
        <v/>
      </c>
      <c r="V11" s="68">
        <f>IF($B11="","",MONTH($B11))</f>
        <v/>
      </c>
      <c r="W11" s="68">
        <f>IF($B11="","",DAY($B11))</f>
        <v/>
      </c>
      <c r="X11" s="68">
        <f>IF($B11="","",YEAR($B11)&amp;"-"&amp;TEXT(MONTH($B11),"00"))</f>
        <v/>
      </c>
      <c r="Y11" s="68">
        <f>IF(OR($H11="",$J11=""),"",$J11*IFERROR(VLOOKUP($H11,Maestro_SKU!$A$2:$P$500,12,FALSE),1))</f>
        <v/>
      </c>
    </row>
    <row r="12" ht="20" customHeight="1" s="36">
      <c r="A12" s="43" t="inlineStr">
        <is>
          <t>V-0011</t>
        </is>
      </c>
      <c r="B12" s="54" t="n">
        <v>46190</v>
      </c>
      <c r="C12" s="43" t="inlineStr">
        <is>
          <t>F-202607011</t>
        </is>
      </c>
      <c r="D12" s="43" t="inlineStr">
        <is>
          <t>PDV-005</t>
        </is>
      </c>
      <c r="E12" s="48">
        <f>IFERROR(VLOOKUP(D12,Clientes_PDV!$A$2:$J$250,2,FALSE),"")</f>
        <v/>
      </c>
      <c r="F12" s="48">
        <f>IFERROR(VLOOKUP(D12,Clientes_PDV!$A$2:$J$250,3,FALSE),"")</f>
        <v/>
      </c>
      <c r="G12" s="48">
        <f>IFERROR(VLOOKUP(D12,Clientes_PDV!$A$2:$J$250,4,FALSE),"")</f>
        <v/>
      </c>
      <c r="H12" s="43" t="inlineStr">
        <is>
          <t>NUVA-BAR-CC-U-01</t>
        </is>
      </c>
      <c r="I12" s="48">
        <f>IFERROR(VLOOKUP(H12,Maestro_SKU!$A$2:$P$500,2,FALSE),"")</f>
        <v/>
      </c>
      <c r="J12" s="55" t="n">
        <v>8</v>
      </c>
      <c r="K12" s="44" t="n">
        <v>757</v>
      </c>
      <c r="L12" s="51">
        <f>IF(OR(J12="",K12=""),"",J12*K12)</f>
        <v/>
      </c>
      <c r="M12" s="51">
        <f>IF(L12="","",L12*Inicio!$B$13)</f>
        <v/>
      </c>
      <c r="N12" s="51">
        <f>IF(L12="","",L12+M12)</f>
        <v/>
      </c>
      <c r="O12" s="54" t="n">
        <v>46220</v>
      </c>
      <c r="P12" s="43" t="inlineStr">
        <is>
          <t>Pagada</t>
        </is>
      </c>
      <c r="Q12" s="44" t="n">
        <v>7206.639999999999</v>
      </c>
      <c r="R12" s="51">
        <f>IF(N12="","",MAX(N12-Q12,0))</f>
        <v/>
      </c>
      <c r="S12" s="48">
        <f>IF(A12="","",IF(OR(P12="Pagada",R12=0),"Pagada",IF(O12&lt;TODAY(),"Vencida",IF(O12&lt;=TODAY()+Inicio!$B$19,"Próxima a vencer","Vigente"))))</f>
        <v/>
      </c>
      <c r="T12" s="43" t="n"/>
      <c r="U12" s="68">
        <f>IF($B12="","",YEAR($B12))</f>
        <v/>
      </c>
      <c r="V12" s="68">
        <f>IF($B12="","",MONTH($B12))</f>
        <v/>
      </c>
      <c r="W12" s="68">
        <f>IF($B12="","",DAY($B12))</f>
        <v/>
      </c>
      <c r="X12" s="68">
        <f>IF($B12="","",YEAR($B12)&amp;"-"&amp;TEXT(MONTH($B12),"00"))</f>
        <v/>
      </c>
      <c r="Y12" s="68">
        <f>IF(OR($H12="",$J12=""),"",$J12*IFERROR(VLOOKUP($H12,Maestro_SKU!$A$2:$P$500,12,FALSE),1))</f>
        <v/>
      </c>
    </row>
    <row r="13" ht="20" customHeight="1" s="36">
      <c r="A13" s="43" t="inlineStr">
        <is>
          <t>V-0012</t>
        </is>
      </c>
      <c r="B13" s="54" t="n">
        <v>46197</v>
      </c>
      <c r="C13" s="43" t="inlineStr">
        <is>
          <t>F-202607012</t>
        </is>
      </c>
      <c r="D13" s="43" t="inlineStr">
        <is>
          <t>PDV-001</t>
        </is>
      </c>
      <c r="E13" s="48">
        <f>IFERROR(VLOOKUP(D13,Clientes_PDV!$A$2:$J$250,2,FALSE),"")</f>
        <v/>
      </c>
      <c r="F13" s="48">
        <f>IFERROR(VLOOKUP(D13,Clientes_PDV!$A$2:$J$250,3,FALSE),"")</f>
        <v/>
      </c>
      <c r="G13" s="48">
        <f>IFERROR(VLOOKUP(D13,Clientes_PDV!$A$2:$J$250,4,FALSE),"")</f>
        <v/>
      </c>
      <c r="H13" s="43" t="inlineStr">
        <is>
          <t>NUVA-BAR-CC-CS-24</t>
        </is>
      </c>
      <c r="I13" s="48">
        <f>IFERROR(VLOOKUP(H13,Maestro_SKU!$A$2:$P$500,2,FALSE),"")</f>
        <v/>
      </c>
      <c r="J13" s="55" t="n">
        <v>4</v>
      </c>
      <c r="K13" s="44" t="n">
        <v>20929</v>
      </c>
      <c r="L13" s="51">
        <f>IF(OR(J13="",K13=""),"",J13*K13)</f>
        <v/>
      </c>
      <c r="M13" s="51">
        <f>IF(L13="","",L13*Inicio!$B$13)</f>
        <v/>
      </c>
      <c r="N13" s="51">
        <f>IF(L13="","",L13+M13)</f>
        <v/>
      </c>
      <c r="O13" s="54" t="n">
        <v>46197</v>
      </c>
      <c r="P13" s="43" t="inlineStr">
        <is>
          <t>Pagada</t>
        </is>
      </c>
      <c r="Q13" s="44" t="n">
        <v>99622.03999999999</v>
      </c>
      <c r="R13" s="51">
        <f>IF(N13="","",MAX(N13-Q13,0))</f>
        <v/>
      </c>
      <c r="S13" s="48">
        <f>IF(A13="","",IF(OR(P13="Pagada",R13=0),"Pagada",IF(O13&lt;TODAY(),"Vencida",IF(O13&lt;=TODAY()+Inicio!$B$19,"Próxima a vencer","Vigente"))))</f>
        <v/>
      </c>
      <c r="T13" s="43" t="n"/>
      <c r="U13" s="68">
        <f>IF($B13="","",YEAR($B13))</f>
        <v/>
      </c>
      <c r="V13" s="68">
        <f>IF($B13="","",MONTH($B13))</f>
        <v/>
      </c>
      <c r="W13" s="68">
        <f>IF($B13="","",DAY($B13))</f>
        <v/>
      </c>
      <c r="X13" s="68">
        <f>IF($B13="","",YEAR($B13)&amp;"-"&amp;TEXT(MONTH($B13),"00"))</f>
        <v/>
      </c>
      <c r="Y13" s="68">
        <f>IF(OR($H13="",$J13=""),"",$J13*IFERROR(VLOOKUP($H13,Maestro_SKU!$A$2:$P$500,12,FALSE),1))</f>
        <v/>
      </c>
    </row>
    <row r="14" ht="20" customHeight="1" s="36">
      <c r="A14" s="43" t="inlineStr">
        <is>
          <t>V-0013</t>
        </is>
      </c>
      <c r="B14" s="54" t="n">
        <v>46197</v>
      </c>
      <c r="C14" s="43" t="inlineStr">
        <is>
          <t>F-202607013</t>
        </is>
      </c>
      <c r="D14" s="43" t="inlineStr">
        <is>
          <t>PDV-007</t>
        </is>
      </c>
      <c r="E14" s="48">
        <f>IFERROR(VLOOKUP(D14,Clientes_PDV!$A$2:$J$250,2,FALSE),"")</f>
        <v/>
      </c>
      <c r="F14" s="48">
        <f>IFERROR(VLOOKUP(D14,Clientes_PDV!$A$2:$J$250,3,FALSE),"")</f>
        <v/>
      </c>
      <c r="G14" s="48">
        <f>IFERROR(VLOOKUP(D14,Clientes_PDV!$A$2:$J$250,4,FALSE),"")</f>
        <v/>
      </c>
      <c r="H14" s="43" t="inlineStr">
        <is>
          <t>NUVA-BAR-CC-U-01</t>
        </is>
      </c>
      <c r="I14" s="48">
        <f>IFERROR(VLOOKUP(H14,Maestro_SKU!$A$2:$P$500,2,FALSE),"")</f>
        <v/>
      </c>
      <c r="J14" s="55" t="n">
        <v>20</v>
      </c>
      <c r="K14" s="44" t="n">
        <v>924</v>
      </c>
      <c r="L14" s="51">
        <f>IF(OR(J14="",K14=""),"",J14*K14)</f>
        <v/>
      </c>
      <c r="M14" s="51">
        <f>IF(L14="","",L14*Inicio!$B$13)</f>
        <v/>
      </c>
      <c r="N14" s="51">
        <f>IF(L14="","",L14+M14)</f>
        <v/>
      </c>
      <c r="O14" s="54" t="n">
        <v>46227</v>
      </c>
      <c r="P14" s="43" t="inlineStr">
        <is>
          <t>Pendiente</t>
        </is>
      </c>
      <c r="Q14" s="44" t="n">
        <v>0</v>
      </c>
      <c r="R14" s="51">
        <f>IF(N14="","",MAX(N14-Q14,0))</f>
        <v/>
      </c>
      <c r="S14" s="48">
        <f>IF(A14="","",IF(OR(P14="Pagada",R14=0),"Pagada",IF(O14&lt;TODAY(),"Vencida",IF(O14&lt;=TODAY()+Inicio!$B$19,"Próxima a vencer","Vigente"))))</f>
        <v/>
      </c>
      <c r="T14" s="43" t="n"/>
      <c r="U14" s="68">
        <f>IF($B14="","",YEAR($B14))</f>
        <v/>
      </c>
      <c r="V14" s="68">
        <f>IF($B14="","",MONTH($B14))</f>
        <v/>
      </c>
      <c r="W14" s="68">
        <f>IF($B14="","",DAY($B14))</f>
        <v/>
      </c>
      <c r="X14" s="68">
        <f>IF($B14="","",YEAR($B14)&amp;"-"&amp;TEXT(MONTH($B14),"00"))</f>
        <v/>
      </c>
      <c r="Y14" s="68">
        <f>IF(OR($H14="",$J14=""),"",$J14*IFERROR(VLOOKUP($H14,Maestro_SKU!$A$2:$P$500,12,FALSE),1))</f>
        <v/>
      </c>
    </row>
    <row r="15" ht="20" customHeight="1" s="36">
      <c r="A15" s="43" t="inlineStr">
        <is>
          <t>V-0014</t>
        </is>
      </c>
      <c r="B15" s="54" t="n">
        <v>46183</v>
      </c>
      <c r="C15" s="43" t="inlineStr">
        <is>
          <t>F-202607014</t>
        </is>
      </c>
      <c r="D15" s="43" t="inlineStr">
        <is>
          <t>PDV-010</t>
        </is>
      </c>
      <c r="E15" s="48">
        <f>IFERROR(VLOOKUP(D15,Clientes_PDV!$A$2:$J$250,2,FALSE),"")</f>
        <v/>
      </c>
      <c r="F15" s="48">
        <f>IFERROR(VLOOKUP(D15,Clientes_PDV!$A$2:$J$250,3,FALSE),"")</f>
        <v/>
      </c>
      <c r="G15" s="48">
        <f>IFERROR(VLOOKUP(D15,Clientes_PDV!$A$2:$J$250,4,FALSE),"")</f>
        <v/>
      </c>
      <c r="H15" s="43" t="inlineStr">
        <is>
          <t>NUVA-BAR-PB-CS-24</t>
        </is>
      </c>
      <c r="I15" s="48">
        <f>IFERROR(VLOOKUP(H15,Maestro_SKU!$A$2:$P$500,2,FALSE),"")</f>
        <v/>
      </c>
      <c r="J15" s="55" t="n">
        <v>6</v>
      </c>
      <c r="K15" s="44" t="n">
        <v>18209</v>
      </c>
      <c r="L15" s="51">
        <f>IF(OR(J15="",K15=""),"",J15*K15)</f>
        <v/>
      </c>
      <c r="M15" s="51">
        <f>IF(L15="","",L15*Inicio!$B$13)</f>
        <v/>
      </c>
      <c r="N15" s="51">
        <f>IF(L15="","",L15+M15)</f>
        <v/>
      </c>
      <c r="O15" s="54" t="n">
        <v>46228</v>
      </c>
      <c r="P15" s="43" t="inlineStr">
        <is>
          <t>Pagada</t>
        </is>
      </c>
      <c r="Q15" s="44" t="n">
        <v>130012.26</v>
      </c>
      <c r="R15" s="51">
        <f>IF(N15="","",MAX(N15-Q15,0))</f>
        <v/>
      </c>
      <c r="S15" s="48">
        <f>IF(A15="","",IF(OR(P15="Pagada",R15=0),"Pagada",IF(O15&lt;TODAY(),"Vencida",IF(O15&lt;=TODAY()+Inicio!$B$19,"Próxima a vencer","Vigente"))))</f>
        <v/>
      </c>
      <c r="T15" s="43" t="n"/>
      <c r="U15" s="68">
        <f>IF($B15="","",YEAR($B15))</f>
        <v/>
      </c>
      <c r="V15" s="68">
        <f>IF($B15="","",MONTH($B15))</f>
        <v/>
      </c>
      <c r="W15" s="68">
        <f>IF($B15="","",DAY($B15))</f>
        <v/>
      </c>
      <c r="X15" s="68">
        <f>IF($B15="","",YEAR($B15)&amp;"-"&amp;TEXT(MONTH($B15),"00"))</f>
        <v/>
      </c>
      <c r="Y15" s="68">
        <f>IF(OR($H15="",$J15=""),"",$J15*IFERROR(VLOOKUP($H15,Maestro_SKU!$A$2:$P$500,12,FALSE),1))</f>
        <v/>
      </c>
    </row>
    <row r="16" ht="20" customHeight="1" s="36">
      <c r="A16" s="43" t="inlineStr">
        <is>
          <t>V-0015</t>
        </is>
      </c>
      <c r="B16" s="54" t="n">
        <v>46177</v>
      </c>
      <c r="C16" s="43" t="inlineStr">
        <is>
          <t>F-202607015</t>
        </is>
      </c>
      <c r="D16" s="43" t="inlineStr">
        <is>
          <t>PDV-009</t>
        </is>
      </c>
      <c r="E16" s="48">
        <f>IFERROR(VLOOKUP(D16,Clientes_PDV!$A$2:$J$250,2,FALSE),"")</f>
        <v/>
      </c>
      <c r="F16" s="48">
        <f>IFERROR(VLOOKUP(D16,Clientes_PDV!$A$2:$J$250,3,FALSE),"")</f>
        <v/>
      </c>
      <c r="G16" s="48">
        <f>IFERROR(VLOOKUP(D16,Clientes_PDV!$A$2:$J$250,4,FALSE),"")</f>
        <v/>
      </c>
      <c r="H16" s="43" t="inlineStr">
        <is>
          <t>NUVA-BAR-CC-BX-04</t>
        </is>
      </c>
      <c r="I16" s="48">
        <f>IFERROR(VLOOKUP(H16,Maestro_SKU!$A$2:$P$500,2,FALSE),"")</f>
        <v/>
      </c>
      <c r="J16" s="55" t="n">
        <v>20</v>
      </c>
      <c r="K16" s="44" t="n">
        <v>3716</v>
      </c>
      <c r="L16" s="51">
        <f>IF(OR(J16="",K16=""),"",J16*K16)</f>
        <v/>
      </c>
      <c r="M16" s="51">
        <f>IF(L16="","",L16*Inicio!$B$13)</f>
        <v/>
      </c>
      <c r="N16" s="51">
        <f>IF(L16="","",L16+M16)</f>
        <v/>
      </c>
      <c r="O16" s="54" t="n">
        <v>46222</v>
      </c>
      <c r="P16" s="43" t="inlineStr">
        <is>
          <t>Pagada</t>
        </is>
      </c>
      <c r="Q16" s="44" t="n">
        <v>88440.8</v>
      </c>
      <c r="R16" s="51">
        <f>IF(N16="","",MAX(N16-Q16,0))</f>
        <v/>
      </c>
      <c r="S16" s="48">
        <f>IF(A16="","",IF(OR(P16="Pagada",R16=0),"Pagada",IF(O16&lt;TODAY(),"Vencida",IF(O16&lt;=TODAY()+Inicio!$B$19,"Próxima a vencer","Vigente"))))</f>
        <v/>
      </c>
      <c r="T16" s="43" t="n"/>
      <c r="U16" s="68">
        <f>IF($B16="","",YEAR($B16))</f>
        <v/>
      </c>
      <c r="V16" s="68">
        <f>IF($B16="","",MONTH($B16))</f>
        <v/>
      </c>
      <c r="W16" s="68">
        <f>IF($B16="","",DAY($B16))</f>
        <v/>
      </c>
      <c r="X16" s="68">
        <f>IF($B16="","",YEAR($B16)&amp;"-"&amp;TEXT(MONTH($B16),"00"))</f>
        <v/>
      </c>
      <c r="Y16" s="68">
        <f>IF(OR($H16="",$J16=""),"",$J16*IFERROR(VLOOKUP($H16,Maestro_SKU!$A$2:$P$500,12,FALSE),1))</f>
        <v/>
      </c>
    </row>
    <row r="17" ht="20" customHeight="1" s="36">
      <c r="A17" s="43" t="inlineStr">
        <is>
          <t>V-0016</t>
        </is>
      </c>
      <c r="B17" s="54" t="n">
        <v>46209</v>
      </c>
      <c r="C17" s="43" t="inlineStr">
        <is>
          <t>F-202607016</t>
        </is>
      </c>
      <c r="D17" s="43" t="inlineStr">
        <is>
          <t>PDV-007</t>
        </is>
      </c>
      <c r="E17" s="48">
        <f>IFERROR(VLOOKUP(D17,Clientes_PDV!$A$2:$J$250,2,FALSE),"")</f>
        <v/>
      </c>
      <c r="F17" s="48">
        <f>IFERROR(VLOOKUP(D17,Clientes_PDV!$A$2:$J$250,3,FALSE),"")</f>
        <v/>
      </c>
      <c r="G17" s="48">
        <f>IFERROR(VLOOKUP(D17,Clientes_PDV!$A$2:$J$250,4,FALSE),"")</f>
        <v/>
      </c>
      <c r="H17" s="43" t="inlineStr">
        <is>
          <t>NUVA-BAR-BM-U-01</t>
        </is>
      </c>
      <c r="I17" s="48">
        <f>IFERROR(VLOOKUP(H17,Maestro_SKU!$A$2:$P$500,2,FALSE),"")</f>
        <v/>
      </c>
      <c r="J17" s="55" t="n">
        <v>4</v>
      </c>
      <c r="K17" s="44" t="n">
        <v>905</v>
      </c>
      <c r="L17" s="51">
        <f>IF(OR(J17="",K17=""),"",J17*K17)</f>
        <v/>
      </c>
      <c r="M17" s="51">
        <f>IF(L17="","",L17*Inicio!$B$13)</f>
        <v/>
      </c>
      <c r="N17" s="51">
        <f>IF(L17="","",L17+M17)</f>
        <v/>
      </c>
      <c r="O17" s="54" t="n">
        <v>46239</v>
      </c>
      <c r="P17" s="43" t="inlineStr">
        <is>
          <t>Pagada</t>
        </is>
      </c>
      <c r="Q17" s="44" t="n">
        <v>4307.8</v>
      </c>
      <c r="R17" s="51">
        <f>IF(N17="","",MAX(N17-Q17,0))</f>
        <v/>
      </c>
      <c r="S17" s="48">
        <f>IF(A17="","",IF(OR(P17="Pagada",R17=0),"Pagada",IF(O17&lt;TODAY(),"Vencida",IF(O17&lt;=TODAY()+Inicio!$B$19,"Próxima a vencer","Vigente"))))</f>
        <v/>
      </c>
      <c r="T17" s="43" t="n"/>
      <c r="U17" s="68">
        <f>IF($B17="","",YEAR($B17))</f>
        <v/>
      </c>
      <c r="V17" s="68">
        <f>IF($B17="","",MONTH($B17))</f>
        <v/>
      </c>
      <c r="W17" s="68">
        <f>IF($B17="","",DAY($B17))</f>
        <v/>
      </c>
      <c r="X17" s="68">
        <f>IF($B17="","",YEAR($B17)&amp;"-"&amp;TEXT(MONTH($B17),"00"))</f>
        <v/>
      </c>
      <c r="Y17" s="68">
        <f>IF(OR($H17="",$J17=""),"",$J17*IFERROR(VLOOKUP($H17,Maestro_SKU!$A$2:$P$500,12,FALSE),1))</f>
        <v/>
      </c>
    </row>
    <row r="18" ht="20" customHeight="1" s="36">
      <c r="A18" s="43" t="inlineStr">
        <is>
          <t>V-0017</t>
        </is>
      </c>
      <c r="B18" s="54" t="n">
        <v>46185</v>
      </c>
      <c r="C18" s="43" t="inlineStr">
        <is>
          <t>F-202607017</t>
        </is>
      </c>
      <c r="D18" s="43" t="inlineStr">
        <is>
          <t>PDV-002</t>
        </is>
      </c>
      <c r="E18" s="48">
        <f>IFERROR(VLOOKUP(D18,Clientes_PDV!$A$2:$J$250,2,FALSE),"")</f>
        <v/>
      </c>
      <c r="F18" s="48">
        <f>IFERROR(VLOOKUP(D18,Clientes_PDV!$A$2:$J$250,3,FALSE),"")</f>
        <v/>
      </c>
      <c r="G18" s="48">
        <f>IFERROR(VLOOKUP(D18,Clientes_PDV!$A$2:$J$250,4,FALSE),"")</f>
        <v/>
      </c>
      <c r="H18" s="43" t="inlineStr">
        <is>
          <t>NUVA-BAR-PB-CS-24</t>
        </is>
      </c>
      <c r="I18" s="48">
        <f>IFERROR(VLOOKUP(H18,Maestro_SKU!$A$2:$P$500,2,FALSE),"")</f>
        <v/>
      </c>
      <c r="J18" s="55" t="n">
        <v>24</v>
      </c>
      <c r="K18" s="44" t="n">
        <v>18119</v>
      </c>
      <c r="L18" s="51">
        <f>IF(OR(J18="",K18=""),"",J18*K18)</f>
        <v/>
      </c>
      <c r="M18" s="51">
        <f>IF(L18="","",L18*Inicio!$B$13)</f>
        <v/>
      </c>
      <c r="N18" s="51">
        <f>IF(L18="","",L18+M18)</f>
        <v/>
      </c>
      <c r="O18" s="54" t="n">
        <v>46230</v>
      </c>
      <c r="P18" s="43" t="inlineStr">
        <is>
          <t>Pagada</t>
        </is>
      </c>
      <c r="Q18" s="44" t="n">
        <v>517478.64</v>
      </c>
      <c r="R18" s="51">
        <f>IF(N18="","",MAX(N18-Q18,0))</f>
        <v/>
      </c>
      <c r="S18" s="48">
        <f>IF(A18="","",IF(OR(P18="Pagada",R18=0),"Pagada",IF(O18&lt;TODAY(),"Vencida",IF(O18&lt;=TODAY()+Inicio!$B$19,"Próxima a vencer","Vigente"))))</f>
        <v/>
      </c>
      <c r="T18" s="43" t="n"/>
      <c r="U18" s="68">
        <f>IF($B18="","",YEAR($B18))</f>
        <v/>
      </c>
      <c r="V18" s="68">
        <f>IF($B18="","",MONTH($B18))</f>
        <v/>
      </c>
      <c r="W18" s="68">
        <f>IF($B18="","",DAY($B18))</f>
        <v/>
      </c>
      <c r="X18" s="68">
        <f>IF($B18="","",YEAR($B18)&amp;"-"&amp;TEXT(MONTH($B18),"00"))</f>
        <v/>
      </c>
      <c r="Y18" s="68">
        <f>IF(OR($H18="",$J18=""),"",$J18*IFERROR(VLOOKUP($H18,Maestro_SKU!$A$2:$P$500,12,FALSE),1))</f>
        <v/>
      </c>
    </row>
    <row r="19" ht="20" customHeight="1" s="36">
      <c r="A19" s="43" t="inlineStr">
        <is>
          <t>V-0018</t>
        </is>
      </c>
      <c r="B19" s="54" t="n">
        <v>46154</v>
      </c>
      <c r="C19" s="43" t="inlineStr">
        <is>
          <t>F-202607018</t>
        </is>
      </c>
      <c r="D19" s="43" t="inlineStr">
        <is>
          <t>PDV-005</t>
        </is>
      </c>
      <c r="E19" s="48">
        <f>IFERROR(VLOOKUP(D19,Clientes_PDV!$A$2:$J$250,2,FALSE),"")</f>
        <v/>
      </c>
      <c r="F19" s="48">
        <f>IFERROR(VLOOKUP(D19,Clientes_PDV!$A$2:$J$250,3,FALSE),"")</f>
        <v/>
      </c>
      <c r="G19" s="48">
        <f>IFERROR(VLOOKUP(D19,Clientes_PDV!$A$2:$J$250,4,FALSE),"")</f>
        <v/>
      </c>
      <c r="H19" s="43" t="inlineStr">
        <is>
          <t>NUVA-BAR-PB-CS-24</t>
        </is>
      </c>
      <c r="I19" s="48">
        <f>IFERROR(VLOOKUP(H19,Maestro_SKU!$A$2:$P$500,2,FALSE),"")</f>
        <v/>
      </c>
      <c r="J19" s="55" t="n">
        <v>20</v>
      </c>
      <c r="K19" s="44" t="n">
        <v>20150</v>
      </c>
      <c r="L19" s="51">
        <f>IF(OR(J19="",K19=""),"",J19*K19)</f>
        <v/>
      </c>
      <c r="M19" s="51">
        <f>IF(L19="","",L19*Inicio!$B$13)</f>
        <v/>
      </c>
      <c r="N19" s="51">
        <f>IF(L19="","",L19+M19)</f>
        <v/>
      </c>
      <c r="O19" s="54" t="n">
        <v>46169</v>
      </c>
      <c r="P19" s="43" t="inlineStr">
        <is>
          <t>Pendiente</t>
        </is>
      </c>
      <c r="Q19" s="44" t="n">
        <v>0</v>
      </c>
      <c r="R19" s="51">
        <f>IF(N19="","",MAX(N19-Q19,0))</f>
        <v/>
      </c>
      <c r="S19" s="48">
        <f>IF(A19="","",IF(OR(P19="Pagada",R19=0),"Pagada",IF(O19&lt;TODAY(),"Vencida",IF(O19&lt;=TODAY()+Inicio!$B$19,"Próxima a vencer","Vigente"))))</f>
        <v/>
      </c>
      <c r="T19" s="43" t="n"/>
      <c r="U19" s="68">
        <f>IF($B19="","",YEAR($B19))</f>
        <v/>
      </c>
      <c r="V19" s="68">
        <f>IF($B19="","",MONTH($B19))</f>
        <v/>
      </c>
      <c r="W19" s="68">
        <f>IF($B19="","",DAY($B19))</f>
        <v/>
      </c>
      <c r="X19" s="68">
        <f>IF($B19="","",YEAR($B19)&amp;"-"&amp;TEXT(MONTH($B19),"00"))</f>
        <v/>
      </c>
      <c r="Y19" s="68">
        <f>IF(OR($H19="",$J19=""),"",$J19*IFERROR(VLOOKUP($H19,Maestro_SKU!$A$2:$P$500,12,FALSE),1))</f>
        <v/>
      </c>
    </row>
    <row r="20" ht="20" customHeight="1" s="36">
      <c r="A20" s="43" t="inlineStr">
        <is>
          <t>V-0019</t>
        </is>
      </c>
      <c r="B20" s="54" t="n">
        <v>46176</v>
      </c>
      <c r="C20" s="43" t="inlineStr">
        <is>
          <t>F-202607019</t>
        </is>
      </c>
      <c r="D20" s="43" t="inlineStr">
        <is>
          <t>PDV-006</t>
        </is>
      </c>
      <c r="E20" s="48">
        <f>IFERROR(VLOOKUP(D20,Clientes_PDV!$A$2:$J$250,2,FALSE),"")</f>
        <v/>
      </c>
      <c r="F20" s="48">
        <f>IFERROR(VLOOKUP(D20,Clientes_PDV!$A$2:$J$250,3,FALSE),"")</f>
        <v/>
      </c>
      <c r="G20" s="48">
        <f>IFERROR(VLOOKUP(D20,Clientes_PDV!$A$2:$J$250,4,FALSE),"")</f>
        <v/>
      </c>
      <c r="H20" s="43" t="inlineStr">
        <is>
          <t>NUVA-BAR-BM-U-01</t>
        </is>
      </c>
      <c r="I20" s="48">
        <f>IFERROR(VLOOKUP(H20,Maestro_SKU!$A$2:$P$500,2,FALSE),"")</f>
        <v/>
      </c>
      <c r="J20" s="55" t="n">
        <v>10</v>
      </c>
      <c r="K20" s="44" t="n">
        <v>1117</v>
      </c>
      <c r="L20" s="51">
        <f>IF(OR(J20="",K20=""),"",J20*K20)</f>
        <v/>
      </c>
      <c r="M20" s="51">
        <f>IF(L20="","",L20*Inicio!$B$13)</f>
        <v/>
      </c>
      <c r="N20" s="51">
        <f>IF(L20="","",L20+M20)</f>
        <v/>
      </c>
      <c r="O20" s="54" t="n">
        <v>46221</v>
      </c>
      <c r="P20" s="43" t="inlineStr">
        <is>
          <t>Pagada</t>
        </is>
      </c>
      <c r="Q20" s="44" t="n">
        <v>13292.3</v>
      </c>
      <c r="R20" s="51">
        <f>IF(N20="","",MAX(N20-Q20,0))</f>
        <v/>
      </c>
      <c r="S20" s="48">
        <f>IF(A20="","",IF(OR(P20="Pagada",R20=0),"Pagada",IF(O20&lt;TODAY(),"Vencida",IF(O20&lt;=TODAY()+Inicio!$B$19,"Próxima a vencer","Vigente"))))</f>
        <v/>
      </c>
      <c r="T20" s="43" t="n"/>
      <c r="U20" s="68">
        <f>IF($B20="","",YEAR($B20))</f>
        <v/>
      </c>
      <c r="V20" s="68">
        <f>IF($B20="","",MONTH($B20))</f>
        <v/>
      </c>
      <c r="W20" s="68">
        <f>IF($B20="","",DAY($B20))</f>
        <v/>
      </c>
      <c r="X20" s="68">
        <f>IF($B20="","",YEAR($B20)&amp;"-"&amp;TEXT(MONTH($B20),"00"))</f>
        <v/>
      </c>
      <c r="Y20" s="68">
        <f>IF(OR($H20="",$J20=""),"",$J20*IFERROR(VLOOKUP($H20,Maestro_SKU!$A$2:$P$500,12,FALSE),1))</f>
        <v/>
      </c>
    </row>
    <row r="21" ht="20" customHeight="1" s="36">
      <c r="A21" s="43" t="inlineStr">
        <is>
          <t>V-0020</t>
        </is>
      </c>
      <c r="B21" s="54" t="n">
        <v>46156</v>
      </c>
      <c r="C21" s="43" t="inlineStr">
        <is>
          <t>F-202607020</t>
        </is>
      </c>
      <c r="D21" s="43" t="inlineStr">
        <is>
          <t>PDV-002</t>
        </is>
      </c>
      <c r="E21" s="48">
        <f>IFERROR(VLOOKUP(D21,Clientes_PDV!$A$2:$J$250,2,FALSE),"")</f>
        <v/>
      </c>
      <c r="F21" s="48">
        <f>IFERROR(VLOOKUP(D21,Clientes_PDV!$A$2:$J$250,3,FALSE),"")</f>
        <v/>
      </c>
      <c r="G21" s="48">
        <f>IFERROR(VLOOKUP(D21,Clientes_PDV!$A$2:$J$250,4,FALSE),"")</f>
        <v/>
      </c>
      <c r="H21" s="43" t="inlineStr">
        <is>
          <t>NUVA-BAR-PB-BX-04</t>
        </is>
      </c>
      <c r="I21" s="48">
        <f>IFERROR(VLOOKUP(H21,Maestro_SKU!$A$2:$P$500,2,FALSE),"")</f>
        <v/>
      </c>
      <c r="J21" s="55" t="n">
        <v>20</v>
      </c>
      <c r="K21" s="44" t="n">
        <v>3146</v>
      </c>
      <c r="L21" s="51">
        <f>IF(OR(J21="",K21=""),"",J21*K21)</f>
        <v/>
      </c>
      <c r="M21" s="51">
        <f>IF(L21="","",L21*Inicio!$B$13)</f>
        <v/>
      </c>
      <c r="N21" s="51">
        <f>IF(L21="","",L21+M21)</f>
        <v/>
      </c>
      <c r="O21" s="54" t="n">
        <v>46156</v>
      </c>
      <c r="P21" s="43" t="inlineStr">
        <is>
          <t>Pagada</t>
        </is>
      </c>
      <c r="Q21" s="44" t="n">
        <v>74874.8</v>
      </c>
      <c r="R21" s="51">
        <f>IF(N21="","",MAX(N21-Q21,0))</f>
        <v/>
      </c>
      <c r="S21" s="48">
        <f>IF(A21="","",IF(OR(P21="Pagada",R21=0),"Pagada",IF(O21&lt;TODAY(),"Vencida",IF(O21&lt;=TODAY()+Inicio!$B$19,"Próxima a vencer","Vigente"))))</f>
        <v/>
      </c>
      <c r="T21" s="43" t="n"/>
      <c r="U21" s="68">
        <f>IF($B21="","",YEAR($B21))</f>
        <v/>
      </c>
      <c r="V21" s="68">
        <f>IF($B21="","",MONTH($B21))</f>
        <v/>
      </c>
      <c r="W21" s="68">
        <f>IF($B21="","",DAY($B21))</f>
        <v/>
      </c>
      <c r="X21" s="68">
        <f>IF($B21="","",YEAR($B21)&amp;"-"&amp;TEXT(MONTH($B21),"00"))</f>
        <v/>
      </c>
      <c r="Y21" s="68">
        <f>IF(OR($H21="",$J21=""),"",$J21*IFERROR(VLOOKUP($H21,Maestro_SKU!$A$2:$P$500,12,FALSE),1))</f>
        <v/>
      </c>
    </row>
    <row r="22" ht="20" customHeight="1" s="36">
      <c r="A22" s="43" t="inlineStr">
        <is>
          <t>V-0021</t>
        </is>
      </c>
      <c r="B22" s="54" t="n">
        <v>46203</v>
      </c>
      <c r="C22" s="43" t="inlineStr">
        <is>
          <t>F-202607021</t>
        </is>
      </c>
      <c r="D22" s="43" t="inlineStr">
        <is>
          <t>PDV-009</t>
        </is>
      </c>
      <c r="E22" s="48">
        <f>IFERROR(VLOOKUP(D22,Clientes_PDV!$A$2:$J$250,2,FALSE),"")</f>
        <v/>
      </c>
      <c r="F22" s="48">
        <f>IFERROR(VLOOKUP(D22,Clientes_PDV!$A$2:$J$250,3,FALSE),"")</f>
        <v/>
      </c>
      <c r="G22" s="48">
        <f>IFERROR(VLOOKUP(D22,Clientes_PDV!$A$2:$J$250,4,FALSE),"")</f>
        <v/>
      </c>
      <c r="H22" s="43" t="inlineStr">
        <is>
          <t>NUVA-BAR-PB-U-01</t>
        </is>
      </c>
      <c r="I22" s="48">
        <f>IFERROR(VLOOKUP(H22,Maestro_SKU!$A$2:$P$500,2,FALSE),"")</f>
        <v/>
      </c>
      <c r="J22" s="55" t="n">
        <v>12</v>
      </c>
      <c r="K22" s="44" t="n">
        <v>780</v>
      </c>
      <c r="L22" s="51">
        <f>IF(OR(J22="",K22=""),"",J22*K22)</f>
        <v/>
      </c>
      <c r="M22" s="51">
        <f>IF(L22="","",L22*Inicio!$B$13)</f>
        <v/>
      </c>
      <c r="N22" s="51">
        <f>IF(L22="","",L22+M22)</f>
        <v/>
      </c>
      <c r="O22" s="54" t="n">
        <v>46233</v>
      </c>
      <c r="P22" s="43" t="inlineStr">
        <is>
          <t>Pendiente</t>
        </is>
      </c>
      <c r="Q22" s="44" t="n">
        <v>0</v>
      </c>
      <c r="R22" s="51">
        <f>IF(N22="","",MAX(N22-Q22,0))</f>
        <v/>
      </c>
      <c r="S22" s="48">
        <f>IF(A22="","",IF(OR(P22="Pagada",R22=0),"Pagada",IF(O22&lt;TODAY(),"Vencida",IF(O22&lt;=TODAY()+Inicio!$B$19,"Próxima a vencer","Vigente"))))</f>
        <v/>
      </c>
      <c r="T22" s="43" t="n"/>
      <c r="U22" s="68">
        <f>IF($B22="","",YEAR($B22))</f>
        <v/>
      </c>
      <c r="V22" s="68">
        <f>IF($B22="","",MONTH($B22))</f>
        <v/>
      </c>
      <c r="W22" s="68">
        <f>IF($B22="","",DAY($B22))</f>
        <v/>
      </c>
      <c r="X22" s="68">
        <f>IF($B22="","",YEAR($B22)&amp;"-"&amp;TEXT(MONTH($B22),"00"))</f>
        <v/>
      </c>
      <c r="Y22" s="68">
        <f>IF(OR($H22="",$J22=""),"",$J22*IFERROR(VLOOKUP($H22,Maestro_SKU!$A$2:$P$500,12,FALSE),1))</f>
        <v/>
      </c>
    </row>
    <row r="23" ht="20" customHeight="1" s="36">
      <c r="A23" s="43" t="inlineStr">
        <is>
          <t>V-0022</t>
        </is>
      </c>
      <c r="B23" s="54" t="n">
        <v>46185</v>
      </c>
      <c r="C23" s="43" t="inlineStr">
        <is>
          <t>F-202607022</t>
        </is>
      </c>
      <c r="D23" s="43" t="inlineStr">
        <is>
          <t>PDV-004</t>
        </is>
      </c>
      <c r="E23" s="48">
        <f>IFERROR(VLOOKUP(D23,Clientes_PDV!$A$2:$J$250,2,FALSE),"")</f>
        <v/>
      </c>
      <c r="F23" s="48">
        <f>IFERROR(VLOOKUP(D23,Clientes_PDV!$A$2:$J$250,3,FALSE),"")</f>
        <v/>
      </c>
      <c r="G23" s="48">
        <f>IFERROR(VLOOKUP(D23,Clientes_PDV!$A$2:$J$250,4,FALSE),"")</f>
        <v/>
      </c>
      <c r="H23" s="43" t="inlineStr">
        <is>
          <t>NUVA-BAR-CC-BX-04</t>
        </is>
      </c>
      <c r="I23" s="48">
        <f>IFERROR(VLOOKUP(H23,Maestro_SKU!$A$2:$P$500,2,FALSE),"")</f>
        <v/>
      </c>
      <c r="J23" s="55" t="n">
        <v>8</v>
      </c>
      <c r="K23" s="44" t="n">
        <v>2840</v>
      </c>
      <c r="L23" s="51">
        <f>IF(OR(J23="",K23=""),"",J23*K23)</f>
        <v/>
      </c>
      <c r="M23" s="51">
        <f>IF(L23="","",L23*Inicio!$B$13)</f>
        <v/>
      </c>
      <c r="N23" s="51">
        <f>IF(L23="","",L23+M23)</f>
        <v/>
      </c>
      <c r="O23" s="54" t="n">
        <v>46200</v>
      </c>
      <c r="P23" s="43" t="inlineStr">
        <is>
          <t>Vencida</t>
        </is>
      </c>
      <c r="Q23" s="44" t="n">
        <v>0</v>
      </c>
      <c r="R23" s="51">
        <f>IF(N23="","",MAX(N23-Q23,0))</f>
        <v/>
      </c>
      <c r="S23" s="48">
        <f>IF(A23="","",IF(OR(P23="Pagada",R23=0),"Pagada",IF(O23&lt;TODAY(),"Vencida",IF(O23&lt;=TODAY()+Inicio!$B$19,"Próxima a vencer","Vigente"))))</f>
        <v/>
      </c>
      <c r="T23" s="43" t="n"/>
      <c r="U23" s="68">
        <f>IF($B23="","",YEAR($B23))</f>
        <v/>
      </c>
      <c r="V23" s="68">
        <f>IF($B23="","",MONTH($B23))</f>
        <v/>
      </c>
      <c r="W23" s="68">
        <f>IF($B23="","",DAY($B23))</f>
        <v/>
      </c>
      <c r="X23" s="68">
        <f>IF($B23="","",YEAR($B23)&amp;"-"&amp;TEXT(MONTH($B23),"00"))</f>
        <v/>
      </c>
      <c r="Y23" s="68">
        <f>IF(OR($H23="",$J23=""),"",$J23*IFERROR(VLOOKUP($H23,Maestro_SKU!$A$2:$P$500,12,FALSE),1))</f>
        <v/>
      </c>
    </row>
    <row r="24" ht="20" customHeight="1" s="36">
      <c r="A24" s="43" t="inlineStr">
        <is>
          <t>V-0023</t>
        </is>
      </c>
      <c r="B24" s="54" t="n">
        <v>46160</v>
      </c>
      <c r="C24" s="43" t="inlineStr">
        <is>
          <t>F-202607023</t>
        </is>
      </c>
      <c r="D24" s="43" t="inlineStr">
        <is>
          <t>PDV-011</t>
        </is>
      </c>
      <c r="E24" s="48">
        <f>IFERROR(VLOOKUP(D24,Clientes_PDV!$A$2:$J$250,2,FALSE),"")</f>
        <v/>
      </c>
      <c r="F24" s="48">
        <f>IFERROR(VLOOKUP(D24,Clientes_PDV!$A$2:$J$250,3,FALSE),"")</f>
        <v/>
      </c>
      <c r="G24" s="48">
        <f>IFERROR(VLOOKUP(D24,Clientes_PDV!$A$2:$J$250,4,FALSE),"")</f>
        <v/>
      </c>
      <c r="H24" s="43" t="inlineStr">
        <is>
          <t>NUVA-BAR-PB-BX-04</t>
        </is>
      </c>
      <c r="I24" s="48">
        <f>IFERROR(VLOOKUP(H24,Maestro_SKU!$A$2:$P$500,2,FALSE),"")</f>
        <v/>
      </c>
      <c r="J24" s="55" t="n">
        <v>24</v>
      </c>
      <c r="K24" s="44" t="n">
        <v>4368</v>
      </c>
      <c r="L24" s="51">
        <f>IF(OR(J24="",K24=""),"",J24*K24)</f>
        <v/>
      </c>
      <c r="M24" s="51">
        <f>IF(L24="","",L24*Inicio!$B$13)</f>
        <v/>
      </c>
      <c r="N24" s="51">
        <f>IF(L24="","",L24+M24)</f>
        <v/>
      </c>
      <c r="O24" s="54" t="n">
        <v>46205</v>
      </c>
      <c r="P24" s="43" t="inlineStr">
        <is>
          <t>Pagada</t>
        </is>
      </c>
      <c r="Q24" s="44" t="n">
        <v>124750.08</v>
      </c>
      <c r="R24" s="51">
        <f>IF(N24="","",MAX(N24-Q24,0))</f>
        <v/>
      </c>
      <c r="S24" s="48">
        <f>IF(A24="","",IF(OR(P24="Pagada",R24=0),"Pagada",IF(O24&lt;TODAY(),"Vencida",IF(O24&lt;=TODAY()+Inicio!$B$19,"Próxima a vencer","Vigente"))))</f>
        <v/>
      </c>
      <c r="T24" s="43" t="n"/>
      <c r="U24" s="68">
        <f>IF($B24="","",YEAR($B24))</f>
        <v/>
      </c>
      <c r="V24" s="68">
        <f>IF($B24="","",MONTH($B24))</f>
        <v/>
      </c>
      <c r="W24" s="68">
        <f>IF($B24="","",DAY($B24))</f>
        <v/>
      </c>
      <c r="X24" s="68">
        <f>IF($B24="","",YEAR($B24)&amp;"-"&amp;TEXT(MONTH($B24),"00"))</f>
        <v/>
      </c>
      <c r="Y24" s="68">
        <f>IF(OR($H24="",$J24=""),"",$J24*IFERROR(VLOOKUP($H24,Maestro_SKU!$A$2:$P$500,12,FALSE),1))</f>
        <v/>
      </c>
    </row>
    <row r="25" ht="20" customHeight="1" s="36">
      <c r="A25" s="43" t="inlineStr">
        <is>
          <t>V-0024</t>
        </is>
      </c>
      <c r="B25" s="54" t="n">
        <v>46205</v>
      </c>
      <c r="C25" s="43" t="inlineStr">
        <is>
          <t>F-202607024</t>
        </is>
      </c>
      <c r="D25" s="43" t="inlineStr">
        <is>
          <t>PDV-012</t>
        </is>
      </c>
      <c r="E25" s="48">
        <f>IFERROR(VLOOKUP(D25,Clientes_PDV!$A$2:$J$250,2,FALSE),"")</f>
        <v/>
      </c>
      <c r="F25" s="48">
        <f>IFERROR(VLOOKUP(D25,Clientes_PDV!$A$2:$J$250,3,FALSE),"")</f>
        <v/>
      </c>
      <c r="G25" s="48">
        <f>IFERROR(VLOOKUP(D25,Clientes_PDV!$A$2:$J$250,4,FALSE),"")</f>
        <v/>
      </c>
      <c r="H25" s="43" t="inlineStr">
        <is>
          <t>NUVA-BAR-CC-CS-24</t>
        </is>
      </c>
      <c r="I25" s="48">
        <f>IFERROR(VLOOKUP(H25,Maestro_SKU!$A$2:$P$500,2,FALSE),"")</f>
        <v/>
      </c>
      <c r="J25" s="55" t="n">
        <v>10</v>
      </c>
      <c r="K25" s="44" t="n">
        <v>19987</v>
      </c>
      <c r="L25" s="51">
        <f>IF(OR(J25="",K25=""),"",J25*K25)</f>
        <v/>
      </c>
      <c r="M25" s="51">
        <f>IF(L25="","",L25*Inicio!$B$13)</f>
        <v/>
      </c>
      <c r="N25" s="51">
        <f>IF(L25="","",L25+M25)</f>
        <v/>
      </c>
      <c r="O25" s="54" t="n">
        <v>46205</v>
      </c>
      <c r="P25" s="43" t="inlineStr">
        <is>
          <t>Pagada</t>
        </is>
      </c>
      <c r="Q25" s="44" t="n">
        <v>237845.3</v>
      </c>
      <c r="R25" s="51">
        <f>IF(N25="","",MAX(N25-Q25,0))</f>
        <v/>
      </c>
      <c r="S25" s="48">
        <f>IF(A25="","",IF(OR(P25="Pagada",R25=0),"Pagada",IF(O25&lt;TODAY(),"Vencida",IF(O25&lt;=TODAY()+Inicio!$B$19,"Próxima a vencer","Vigente"))))</f>
        <v/>
      </c>
      <c r="T25" s="43" t="n"/>
      <c r="U25" s="68">
        <f>IF($B25="","",YEAR($B25))</f>
        <v/>
      </c>
      <c r="V25" s="68">
        <f>IF($B25="","",MONTH($B25))</f>
        <v/>
      </c>
      <c r="W25" s="68">
        <f>IF($B25="","",DAY($B25))</f>
        <v/>
      </c>
      <c r="X25" s="68">
        <f>IF($B25="","",YEAR($B25)&amp;"-"&amp;TEXT(MONTH($B25),"00"))</f>
        <v/>
      </c>
      <c r="Y25" s="68">
        <f>IF(OR($H25="",$J25=""),"",$J25*IFERROR(VLOOKUP($H25,Maestro_SKU!$A$2:$P$500,12,FALSE),1))</f>
        <v/>
      </c>
    </row>
    <row r="26" ht="20" customHeight="1" s="36">
      <c r="A26" s="43" t="inlineStr">
        <is>
          <t>V-0025</t>
        </is>
      </c>
      <c r="B26" s="54" t="n">
        <v>46163</v>
      </c>
      <c r="C26" s="43" t="inlineStr">
        <is>
          <t>F-202607025</t>
        </is>
      </c>
      <c r="D26" s="43" t="inlineStr">
        <is>
          <t>PDV-010</t>
        </is>
      </c>
      <c r="E26" s="48">
        <f>IFERROR(VLOOKUP(D26,Clientes_PDV!$A$2:$J$250,2,FALSE),"")</f>
        <v/>
      </c>
      <c r="F26" s="48">
        <f>IFERROR(VLOOKUP(D26,Clientes_PDV!$A$2:$J$250,3,FALSE),"")</f>
        <v/>
      </c>
      <c r="G26" s="48">
        <f>IFERROR(VLOOKUP(D26,Clientes_PDV!$A$2:$J$250,4,FALSE),"")</f>
        <v/>
      </c>
      <c r="H26" s="43" t="inlineStr">
        <is>
          <t>NUVA-BAR-BM-CS-24</t>
        </is>
      </c>
      <c r="I26" s="48">
        <f>IFERROR(VLOOKUP(H26,Maestro_SKU!$A$2:$P$500,2,FALSE),"")</f>
        <v/>
      </c>
      <c r="J26" s="55" t="n">
        <v>20</v>
      </c>
      <c r="K26" s="44" t="n">
        <v>23989</v>
      </c>
      <c r="L26" s="51">
        <f>IF(OR(J26="",K26=""),"",J26*K26)</f>
        <v/>
      </c>
      <c r="M26" s="51">
        <f>IF(L26="","",L26*Inicio!$B$13)</f>
        <v/>
      </c>
      <c r="N26" s="51">
        <f>IF(L26="","",L26+M26)</f>
        <v/>
      </c>
      <c r="O26" s="54" t="n">
        <v>46208</v>
      </c>
      <c r="P26" s="43" t="inlineStr">
        <is>
          <t>Parcial</t>
        </is>
      </c>
      <c r="Q26" s="44" t="n">
        <v>377929</v>
      </c>
      <c r="R26" s="51">
        <f>IF(N26="","",MAX(N26-Q26,0))</f>
        <v/>
      </c>
      <c r="S26" s="48">
        <f>IF(A26="","",IF(OR(P26="Pagada",R26=0),"Pagada",IF(O26&lt;TODAY(),"Vencida",IF(O26&lt;=TODAY()+Inicio!$B$19,"Próxima a vencer","Vigente"))))</f>
        <v/>
      </c>
      <c r="T26" s="43" t="n"/>
      <c r="U26" s="68">
        <f>IF($B26="","",YEAR($B26))</f>
        <v/>
      </c>
      <c r="V26" s="68">
        <f>IF($B26="","",MONTH($B26))</f>
        <v/>
      </c>
      <c r="W26" s="68">
        <f>IF($B26="","",DAY($B26))</f>
        <v/>
      </c>
      <c r="X26" s="68">
        <f>IF($B26="","",YEAR($B26)&amp;"-"&amp;TEXT(MONTH($B26),"00"))</f>
        <v/>
      </c>
      <c r="Y26" s="68">
        <f>IF(OR($H26="",$J26=""),"",$J26*IFERROR(VLOOKUP($H26,Maestro_SKU!$A$2:$P$500,12,FALSE),1))</f>
        <v/>
      </c>
    </row>
    <row r="27" ht="20" customHeight="1" s="36">
      <c r="A27" s="43" t="inlineStr">
        <is>
          <t>V-0026</t>
        </is>
      </c>
      <c r="B27" s="54" t="n">
        <v>46200</v>
      </c>
      <c r="C27" s="43" t="inlineStr">
        <is>
          <t>F-202607026</t>
        </is>
      </c>
      <c r="D27" s="43" t="inlineStr">
        <is>
          <t>PDV-006</t>
        </is>
      </c>
      <c r="E27" s="48">
        <f>IFERROR(VLOOKUP(D27,Clientes_PDV!$A$2:$J$250,2,FALSE),"")</f>
        <v/>
      </c>
      <c r="F27" s="48">
        <f>IFERROR(VLOOKUP(D27,Clientes_PDV!$A$2:$J$250,3,FALSE),"")</f>
        <v/>
      </c>
      <c r="G27" s="48">
        <f>IFERROR(VLOOKUP(D27,Clientes_PDV!$A$2:$J$250,4,FALSE),"")</f>
        <v/>
      </c>
      <c r="H27" s="43" t="inlineStr">
        <is>
          <t>NUVA-BAR-PB-BX-04</t>
        </is>
      </c>
      <c r="I27" s="48">
        <f>IFERROR(VLOOKUP(H27,Maestro_SKU!$A$2:$P$500,2,FALSE),"")</f>
        <v/>
      </c>
      <c r="J27" s="55" t="n">
        <v>15</v>
      </c>
      <c r="K27" s="44" t="n">
        <v>3556</v>
      </c>
      <c r="L27" s="51">
        <f>IF(OR(J27="",K27=""),"",J27*K27)</f>
        <v/>
      </c>
      <c r="M27" s="51">
        <f>IF(L27="","",L27*Inicio!$B$13)</f>
        <v/>
      </c>
      <c r="N27" s="51">
        <f>IF(L27="","",L27+M27)</f>
        <v/>
      </c>
      <c r="O27" s="54" t="n">
        <v>46230</v>
      </c>
      <c r="P27" s="43" t="inlineStr">
        <is>
          <t>Pendiente</t>
        </is>
      </c>
      <c r="Q27" s="44" t="n">
        <v>0</v>
      </c>
      <c r="R27" s="51">
        <f>IF(N27="","",MAX(N27-Q27,0))</f>
        <v/>
      </c>
      <c r="S27" s="48">
        <f>IF(A27="","",IF(OR(P27="Pagada",R27=0),"Pagada",IF(O27&lt;TODAY(),"Vencida",IF(O27&lt;=TODAY()+Inicio!$B$19,"Próxima a vencer","Vigente"))))</f>
        <v/>
      </c>
      <c r="T27" s="43" t="n"/>
      <c r="U27" s="68">
        <f>IF($B27="","",YEAR($B27))</f>
        <v/>
      </c>
      <c r="V27" s="68">
        <f>IF($B27="","",MONTH($B27))</f>
        <v/>
      </c>
      <c r="W27" s="68">
        <f>IF($B27="","",DAY($B27))</f>
        <v/>
      </c>
      <c r="X27" s="68">
        <f>IF($B27="","",YEAR($B27)&amp;"-"&amp;TEXT(MONTH($B27),"00"))</f>
        <v/>
      </c>
      <c r="Y27" s="68">
        <f>IF(OR($H27="",$J27=""),"",$J27*IFERROR(VLOOKUP($H27,Maestro_SKU!$A$2:$P$500,12,FALSE),1))</f>
        <v/>
      </c>
    </row>
    <row r="28" ht="20" customHeight="1" s="36">
      <c r="A28" s="43" t="inlineStr">
        <is>
          <t>V-0027</t>
        </is>
      </c>
      <c r="B28" s="54" t="n">
        <v>46187</v>
      </c>
      <c r="C28" s="43" t="inlineStr">
        <is>
          <t>F-202607027</t>
        </is>
      </c>
      <c r="D28" s="43" t="inlineStr">
        <is>
          <t>PDV-005</t>
        </is>
      </c>
      <c r="E28" s="48">
        <f>IFERROR(VLOOKUP(D28,Clientes_PDV!$A$2:$J$250,2,FALSE),"")</f>
        <v/>
      </c>
      <c r="F28" s="48">
        <f>IFERROR(VLOOKUP(D28,Clientes_PDV!$A$2:$J$250,3,FALSE),"")</f>
        <v/>
      </c>
      <c r="G28" s="48">
        <f>IFERROR(VLOOKUP(D28,Clientes_PDV!$A$2:$J$250,4,FALSE),"")</f>
        <v/>
      </c>
      <c r="H28" s="43" t="inlineStr">
        <is>
          <t>NUVA-BAR-CC-CS-24</t>
        </is>
      </c>
      <c r="I28" s="48">
        <f>IFERROR(VLOOKUP(H28,Maestro_SKU!$A$2:$P$500,2,FALSE),"")</f>
        <v/>
      </c>
      <c r="J28" s="55" t="n">
        <v>24</v>
      </c>
      <c r="K28" s="44" t="n">
        <v>24288</v>
      </c>
      <c r="L28" s="51">
        <f>IF(OR(J28="",K28=""),"",J28*K28)</f>
        <v/>
      </c>
      <c r="M28" s="51">
        <f>IF(L28="","",L28*Inicio!$B$13)</f>
        <v/>
      </c>
      <c r="N28" s="51">
        <f>IF(L28="","",L28+M28)</f>
        <v/>
      </c>
      <c r="O28" s="54" t="n">
        <v>46232</v>
      </c>
      <c r="P28" s="43" t="inlineStr">
        <is>
          <t>Pendiente</t>
        </is>
      </c>
      <c r="Q28" s="44" t="n">
        <v>0</v>
      </c>
      <c r="R28" s="51">
        <f>IF(N28="","",MAX(N28-Q28,0))</f>
        <v/>
      </c>
      <c r="S28" s="48">
        <f>IF(A28="","",IF(OR(P28="Pagada",R28=0),"Pagada",IF(O28&lt;TODAY(),"Vencida",IF(O28&lt;=TODAY()+Inicio!$B$19,"Próxima a vencer","Vigente"))))</f>
        <v/>
      </c>
      <c r="T28" s="43" t="n"/>
      <c r="U28" s="68">
        <f>IF($B28="","",YEAR($B28))</f>
        <v/>
      </c>
      <c r="V28" s="68">
        <f>IF($B28="","",MONTH($B28))</f>
        <v/>
      </c>
      <c r="W28" s="68">
        <f>IF($B28="","",DAY($B28))</f>
        <v/>
      </c>
      <c r="X28" s="68">
        <f>IF($B28="","",YEAR($B28)&amp;"-"&amp;TEXT(MONTH($B28),"00"))</f>
        <v/>
      </c>
      <c r="Y28" s="68">
        <f>IF(OR($H28="",$J28=""),"",$J28*IFERROR(VLOOKUP($H28,Maestro_SKU!$A$2:$P$500,12,FALSE),1))</f>
        <v/>
      </c>
    </row>
    <row r="29" ht="20" customHeight="1" s="36">
      <c r="A29" s="43" t="inlineStr">
        <is>
          <t>V-0028</t>
        </is>
      </c>
      <c r="B29" s="54" t="n">
        <v>46175</v>
      </c>
      <c r="C29" s="43" t="inlineStr">
        <is>
          <t>F-202607028</t>
        </is>
      </c>
      <c r="D29" s="43" t="inlineStr">
        <is>
          <t>PDV-006</t>
        </is>
      </c>
      <c r="E29" s="48">
        <f>IFERROR(VLOOKUP(D29,Clientes_PDV!$A$2:$J$250,2,FALSE),"")</f>
        <v/>
      </c>
      <c r="F29" s="48">
        <f>IFERROR(VLOOKUP(D29,Clientes_PDV!$A$2:$J$250,3,FALSE),"")</f>
        <v/>
      </c>
      <c r="G29" s="48">
        <f>IFERROR(VLOOKUP(D29,Clientes_PDV!$A$2:$J$250,4,FALSE),"")</f>
        <v/>
      </c>
      <c r="H29" s="43" t="inlineStr">
        <is>
          <t>NUVA-BAR-PB-BX-04</t>
        </is>
      </c>
      <c r="I29" s="48">
        <f>IFERROR(VLOOKUP(H29,Maestro_SKU!$A$2:$P$500,2,FALSE),"")</f>
        <v/>
      </c>
      <c r="J29" s="55" t="n">
        <v>24</v>
      </c>
      <c r="K29" s="44" t="n">
        <v>3803</v>
      </c>
      <c r="L29" s="51">
        <f>IF(OR(J29="",K29=""),"",J29*K29)</f>
        <v/>
      </c>
      <c r="M29" s="51">
        <f>IF(L29="","",L29*Inicio!$B$13)</f>
        <v/>
      </c>
      <c r="N29" s="51">
        <f>IF(L29="","",L29+M29)</f>
        <v/>
      </c>
      <c r="O29" s="54" t="n">
        <v>46220</v>
      </c>
      <c r="P29" s="43" t="inlineStr">
        <is>
          <t>Pagada</t>
        </is>
      </c>
      <c r="Q29" s="44" t="n">
        <v>108613.68</v>
      </c>
      <c r="R29" s="51">
        <f>IF(N29="","",MAX(N29-Q29,0))</f>
        <v/>
      </c>
      <c r="S29" s="48">
        <f>IF(A29="","",IF(OR(P29="Pagada",R29=0),"Pagada",IF(O29&lt;TODAY(),"Vencida",IF(O29&lt;=TODAY()+Inicio!$B$19,"Próxima a vencer","Vigente"))))</f>
        <v/>
      </c>
      <c r="T29" s="43" t="n"/>
      <c r="U29" s="68">
        <f>IF($B29="","",YEAR($B29))</f>
        <v/>
      </c>
      <c r="V29" s="68">
        <f>IF($B29="","",MONTH($B29))</f>
        <v/>
      </c>
      <c r="W29" s="68">
        <f>IF($B29="","",DAY($B29))</f>
        <v/>
      </c>
      <c r="X29" s="68">
        <f>IF($B29="","",YEAR($B29)&amp;"-"&amp;TEXT(MONTH($B29),"00"))</f>
        <v/>
      </c>
      <c r="Y29" s="68">
        <f>IF(OR($H29="",$J29=""),"",$J29*IFERROR(VLOOKUP($H29,Maestro_SKU!$A$2:$P$500,12,FALSE),1))</f>
        <v/>
      </c>
    </row>
    <row r="30" ht="20" customHeight="1" s="36">
      <c r="A30" s="43" t="inlineStr">
        <is>
          <t>V-0029</t>
        </is>
      </c>
      <c r="B30" s="54" t="n">
        <v>46186</v>
      </c>
      <c r="C30" s="43" t="inlineStr">
        <is>
          <t>F-202607029</t>
        </is>
      </c>
      <c r="D30" s="43" t="inlineStr">
        <is>
          <t>PDV-009</t>
        </is>
      </c>
      <c r="E30" s="48">
        <f>IFERROR(VLOOKUP(D30,Clientes_PDV!$A$2:$J$250,2,FALSE),"")</f>
        <v/>
      </c>
      <c r="F30" s="48">
        <f>IFERROR(VLOOKUP(D30,Clientes_PDV!$A$2:$J$250,3,FALSE),"")</f>
        <v/>
      </c>
      <c r="G30" s="48">
        <f>IFERROR(VLOOKUP(D30,Clientes_PDV!$A$2:$J$250,4,FALSE),"")</f>
        <v/>
      </c>
      <c r="H30" s="43" t="inlineStr">
        <is>
          <t>NUVA-BAR-CC-BX-04</t>
        </is>
      </c>
      <c r="I30" s="48">
        <f>IFERROR(VLOOKUP(H30,Maestro_SKU!$A$2:$P$500,2,FALSE),"")</f>
        <v/>
      </c>
      <c r="J30" s="55" t="n">
        <v>20</v>
      </c>
      <c r="K30" s="44" t="n">
        <v>3266</v>
      </c>
      <c r="L30" s="51">
        <f>IF(OR(J30="",K30=""),"",J30*K30)</f>
        <v/>
      </c>
      <c r="M30" s="51">
        <f>IF(L30="","",L30*Inicio!$B$13)</f>
        <v/>
      </c>
      <c r="N30" s="51">
        <f>IF(L30="","",L30+M30)</f>
        <v/>
      </c>
      <c r="O30" s="54" t="n">
        <v>46186</v>
      </c>
      <c r="P30" s="43" t="inlineStr">
        <is>
          <t>Pendiente</t>
        </is>
      </c>
      <c r="Q30" s="44" t="n">
        <v>0</v>
      </c>
      <c r="R30" s="51">
        <f>IF(N30="","",MAX(N30-Q30,0))</f>
        <v/>
      </c>
      <c r="S30" s="48">
        <f>IF(A30="","",IF(OR(P30="Pagada",R30=0),"Pagada",IF(O30&lt;TODAY(),"Vencida",IF(O30&lt;=TODAY()+Inicio!$B$19,"Próxima a vencer","Vigente"))))</f>
        <v/>
      </c>
      <c r="T30" s="43" t="n"/>
      <c r="U30" s="68">
        <f>IF($B30="","",YEAR($B30))</f>
        <v/>
      </c>
      <c r="V30" s="68">
        <f>IF($B30="","",MONTH($B30))</f>
        <v/>
      </c>
      <c r="W30" s="68">
        <f>IF($B30="","",DAY($B30))</f>
        <v/>
      </c>
      <c r="X30" s="68">
        <f>IF($B30="","",YEAR($B30)&amp;"-"&amp;TEXT(MONTH($B30),"00"))</f>
        <v/>
      </c>
      <c r="Y30" s="68">
        <f>IF(OR($H30="",$J30=""),"",$J30*IFERROR(VLOOKUP($H30,Maestro_SKU!$A$2:$P$500,12,FALSE),1))</f>
        <v/>
      </c>
    </row>
    <row r="31" ht="20" customHeight="1" s="36">
      <c r="A31" s="43" t="inlineStr">
        <is>
          <t>V-0030</t>
        </is>
      </c>
      <c r="B31" s="54" t="n">
        <v>46192</v>
      </c>
      <c r="C31" s="43" t="inlineStr">
        <is>
          <t>F-202607030</t>
        </is>
      </c>
      <c r="D31" s="43" t="inlineStr">
        <is>
          <t>PDV-012</t>
        </is>
      </c>
      <c r="E31" s="48">
        <f>IFERROR(VLOOKUP(D31,Clientes_PDV!$A$2:$J$250,2,FALSE),"")</f>
        <v/>
      </c>
      <c r="F31" s="48">
        <f>IFERROR(VLOOKUP(D31,Clientes_PDV!$A$2:$J$250,3,FALSE),"")</f>
        <v/>
      </c>
      <c r="G31" s="48">
        <f>IFERROR(VLOOKUP(D31,Clientes_PDV!$A$2:$J$250,4,FALSE),"")</f>
        <v/>
      </c>
      <c r="H31" s="43" t="inlineStr">
        <is>
          <t>NUVA-BAR-PB-BX-04</t>
        </is>
      </c>
      <c r="I31" s="48">
        <f>IFERROR(VLOOKUP(H31,Maestro_SKU!$A$2:$P$500,2,FALSE),"")</f>
        <v/>
      </c>
      <c r="J31" s="55" t="n">
        <v>4</v>
      </c>
      <c r="K31" s="44" t="n">
        <v>3695</v>
      </c>
      <c r="L31" s="51">
        <f>IF(OR(J31="",K31=""),"",J31*K31)</f>
        <v/>
      </c>
      <c r="M31" s="51">
        <f>IF(L31="","",L31*Inicio!$B$13)</f>
        <v/>
      </c>
      <c r="N31" s="51">
        <f>IF(L31="","",L31+M31)</f>
        <v/>
      </c>
      <c r="O31" s="54" t="n">
        <v>46192</v>
      </c>
      <c r="P31" s="43" t="inlineStr">
        <is>
          <t>Parcial</t>
        </is>
      </c>
      <c r="Q31" s="44" t="n">
        <v>9764</v>
      </c>
      <c r="R31" s="51">
        <f>IF(N31="","",MAX(N31-Q31,0))</f>
        <v/>
      </c>
      <c r="S31" s="48">
        <f>IF(A31="","",IF(OR(P31="Pagada",R31=0),"Pagada",IF(O31&lt;TODAY(),"Vencida",IF(O31&lt;=TODAY()+Inicio!$B$19,"Próxima a vencer","Vigente"))))</f>
        <v/>
      </c>
      <c r="T31" s="43" t="n"/>
      <c r="U31" s="68">
        <f>IF($B31="","",YEAR($B31))</f>
        <v/>
      </c>
      <c r="V31" s="68">
        <f>IF($B31="","",MONTH($B31))</f>
        <v/>
      </c>
      <c r="W31" s="68">
        <f>IF($B31="","",DAY($B31))</f>
        <v/>
      </c>
      <c r="X31" s="68">
        <f>IF($B31="","",YEAR($B31)&amp;"-"&amp;TEXT(MONTH($B31),"00"))</f>
        <v/>
      </c>
      <c r="Y31" s="68">
        <f>IF(OR($H31="",$J31=""),"",$J31*IFERROR(VLOOKUP($H31,Maestro_SKU!$A$2:$P$500,12,FALSE),1))</f>
        <v/>
      </c>
    </row>
    <row r="32" ht="20" customHeight="1" s="36">
      <c r="A32" s="43" t="inlineStr">
        <is>
          <t>V-0031</t>
        </is>
      </c>
      <c r="B32" s="54" t="n">
        <v>46177</v>
      </c>
      <c r="C32" s="43" t="inlineStr">
        <is>
          <t>F-202607031</t>
        </is>
      </c>
      <c r="D32" s="43" t="inlineStr">
        <is>
          <t>PDV-005</t>
        </is>
      </c>
      <c r="E32" s="48">
        <f>IFERROR(VLOOKUP(D32,Clientes_PDV!$A$2:$J$250,2,FALSE),"")</f>
        <v/>
      </c>
      <c r="F32" s="48">
        <f>IFERROR(VLOOKUP(D32,Clientes_PDV!$A$2:$J$250,3,FALSE),"")</f>
        <v/>
      </c>
      <c r="G32" s="48">
        <f>IFERROR(VLOOKUP(D32,Clientes_PDV!$A$2:$J$250,4,FALSE),"")</f>
        <v/>
      </c>
      <c r="H32" s="43" t="inlineStr">
        <is>
          <t>NUVA-BAR-CC-U-01</t>
        </is>
      </c>
      <c r="I32" s="48">
        <f>IFERROR(VLOOKUP(H32,Maestro_SKU!$A$2:$P$500,2,FALSE),"")</f>
        <v/>
      </c>
      <c r="J32" s="55" t="n">
        <v>10</v>
      </c>
      <c r="K32" s="44" t="n">
        <v>736</v>
      </c>
      <c r="L32" s="51">
        <f>IF(OR(J32="",K32=""),"",J32*K32)</f>
        <v/>
      </c>
      <c r="M32" s="51">
        <f>IF(L32="","",L32*Inicio!$B$13)</f>
        <v/>
      </c>
      <c r="N32" s="51">
        <f>IF(L32="","",L32+M32)</f>
        <v/>
      </c>
      <c r="O32" s="54" t="n">
        <v>46177</v>
      </c>
      <c r="P32" s="43" t="inlineStr">
        <is>
          <t>Pagada</t>
        </is>
      </c>
      <c r="Q32" s="44" t="n">
        <v>8758.4</v>
      </c>
      <c r="R32" s="51">
        <f>IF(N32="","",MAX(N32-Q32,0))</f>
        <v/>
      </c>
      <c r="S32" s="48">
        <f>IF(A32="","",IF(OR(P32="Pagada",R32=0),"Pagada",IF(O32&lt;TODAY(),"Vencida",IF(O32&lt;=TODAY()+Inicio!$B$19,"Próxima a vencer","Vigente"))))</f>
        <v/>
      </c>
      <c r="T32" s="43" t="n"/>
      <c r="U32" s="68">
        <f>IF($B32="","",YEAR($B32))</f>
        <v/>
      </c>
      <c r="V32" s="68">
        <f>IF($B32="","",MONTH($B32))</f>
        <v/>
      </c>
      <c r="W32" s="68">
        <f>IF($B32="","",DAY($B32))</f>
        <v/>
      </c>
      <c r="X32" s="68">
        <f>IF($B32="","",YEAR($B32)&amp;"-"&amp;TEXT(MONTH($B32),"00"))</f>
        <v/>
      </c>
      <c r="Y32" s="68">
        <f>IF(OR($H32="",$J32=""),"",$J32*IFERROR(VLOOKUP($H32,Maestro_SKU!$A$2:$P$500,12,FALSE),1))</f>
        <v/>
      </c>
    </row>
    <row r="33" ht="20" customHeight="1" s="36">
      <c r="A33" s="43" t="inlineStr">
        <is>
          <t>V-0032</t>
        </is>
      </c>
      <c r="B33" s="54" t="n">
        <v>46184</v>
      </c>
      <c r="C33" s="43" t="inlineStr">
        <is>
          <t>F-202607032</t>
        </is>
      </c>
      <c r="D33" s="43" t="inlineStr">
        <is>
          <t>PDV-012</t>
        </is>
      </c>
      <c r="E33" s="48">
        <f>IFERROR(VLOOKUP(D33,Clientes_PDV!$A$2:$J$250,2,FALSE),"")</f>
        <v/>
      </c>
      <c r="F33" s="48">
        <f>IFERROR(VLOOKUP(D33,Clientes_PDV!$A$2:$J$250,3,FALSE),"")</f>
        <v/>
      </c>
      <c r="G33" s="48">
        <f>IFERROR(VLOOKUP(D33,Clientes_PDV!$A$2:$J$250,4,FALSE),"")</f>
        <v/>
      </c>
      <c r="H33" s="43" t="inlineStr">
        <is>
          <t>NUVA-BAR-PB-U-01</t>
        </is>
      </c>
      <c r="I33" s="48">
        <f>IFERROR(VLOOKUP(H33,Maestro_SKU!$A$2:$P$500,2,FALSE),"")</f>
        <v/>
      </c>
      <c r="J33" s="55" t="n">
        <v>20</v>
      </c>
      <c r="K33" s="44" t="n">
        <v>768</v>
      </c>
      <c r="L33" s="51">
        <f>IF(OR(J33="",K33=""),"",J33*K33)</f>
        <v/>
      </c>
      <c r="M33" s="51">
        <f>IF(L33="","",L33*Inicio!$B$13)</f>
        <v/>
      </c>
      <c r="N33" s="51">
        <f>IF(L33="","",L33+M33)</f>
        <v/>
      </c>
      <c r="O33" s="54" t="n">
        <v>46184</v>
      </c>
      <c r="P33" s="43" t="inlineStr">
        <is>
          <t>Pagada</t>
        </is>
      </c>
      <c r="Q33" s="44" t="n">
        <v>18278.4</v>
      </c>
      <c r="R33" s="51">
        <f>IF(N33="","",MAX(N33-Q33,0))</f>
        <v/>
      </c>
      <c r="S33" s="48">
        <f>IF(A33="","",IF(OR(P33="Pagada",R33=0),"Pagada",IF(O33&lt;TODAY(),"Vencida",IF(O33&lt;=TODAY()+Inicio!$B$19,"Próxima a vencer","Vigente"))))</f>
        <v/>
      </c>
      <c r="T33" s="43" t="n"/>
      <c r="U33" s="68">
        <f>IF($B33="","",YEAR($B33))</f>
        <v/>
      </c>
      <c r="V33" s="68">
        <f>IF($B33="","",MONTH($B33))</f>
        <v/>
      </c>
      <c r="W33" s="68">
        <f>IF($B33="","",DAY($B33))</f>
        <v/>
      </c>
      <c r="X33" s="68">
        <f>IF($B33="","",YEAR($B33)&amp;"-"&amp;TEXT(MONTH($B33),"00"))</f>
        <v/>
      </c>
      <c r="Y33" s="68">
        <f>IF(OR($H33="",$J33=""),"",$J33*IFERROR(VLOOKUP($H33,Maestro_SKU!$A$2:$P$500,12,FALSE),1))</f>
        <v/>
      </c>
    </row>
    <row r="34" ht="20" customHeight="1" s="36">
      <c r="A34" s="43" t="inlineStr">
        <is>
          <t>V-0033</t>
        </is>
      </c>
      <c r="B34" s="54" t="n">
        <v>46175</v>
      </c>
      <c r="C34" s="43" t="inlineStr">
        <is>
          <t>F-202607033</t>
        </is>
      </c>
      <c r="D34" s="43" t="inlineStr">
        <is>
          <t>PDV-006</t>
        </is>
      </c>
      <c r="E34" s="48">
        <f>IFERROR(VLOOKUP(D34,Clientes_PDV!$A$2:$J$250,2,FALSE),"")</f>
        <v/>
      </c>
      <c r="F34" s="48">
        <f>IFERROR(VLOOKUP(D34,Clientes_PDV!$A$2:$J$250,3,FALSE),"")</f>
        <v/>
      </c>
      <c r="G34" s="48">
        <f>IFERROR(VLOOKUP(D34,Clientes_PDV!$A$2:$J$250,4,FALSE),"")</f>
        <v/>
      </c>
      <c r="H34" s="43" t="inlineStr">
        <is>
          <t>NUVA-BAR-BM-BX-04</t>
        </is>
      </c>
      <c r="I34" s="48">
        <f>IFERROR(VLOOKUP(H34,Maestro_SKU!$A$2:$P$500,2,FALSE),"")</f>
        <v/>
      </c>
      <c r="J34" s="55" t="n">
        <v>15</v>
      </c>
      <c r="K34" s="44" t="n">
        <v>2870</v>
      </c>
      <c r="L34" s="51">
        <f>IF(OR(J34="",K34=""),"",J34*K34)</f>
        <v/>
      </c>
      <c r="M34" s="51">
        <f>IF(L34="","",L34*Inicio!$B$13)</f>
        <v/>
      </c>
      <c r="N34" s="51">
        <f>IF(L34="","",L34+M34)</f>
        <v/>
      </c>
      <c r="O34" s="54" t="n">
        <v>46175</v>
      </c>
      <c r="P34" s="43" t="inlineStr">
        <is>
          <t>Pagada</t>
        </is>
      </c>
      <c r="Q34" s="44" t="n">
        <v>51229.5</v>
      </c>
      <c r="R34" s="51">
        <f>IF(N34="","",MAX(N34-Q34,0))</f>
        <v/>
      </c>
      <c r="S34" s="48">
        <f>IF(A34="","",IF(OR(P34="Pagada",R34=0),"Pagada",IF(O34&lt;TODAY(),"Vencida",IF(O34&lt;=TODAY()+Inicio!$B$19,"Próxima a vencer","Vigente"))))</f>
        <v/>
      </c>
      <c r="T34" s="43" t="n"/>
      <c r="U34" s="68">
        <f>IF($B34="","",YEAR($B34))</f>
        <v/>
      </c>
      <c r="V34" s="68">
        <f>IF($B34="","",MONTH($B34))</f>
        <v/>
      </c>
      <c r="W34" s="68">
        <f>IF($B34="","",DAY($B34))</f>
        <v/>
      </c>
      <c r="X34" s="68">
        <f>IF($B34="","",YEAR($B34)&amp;"-"&amp;TEXT(MONTH($B34),"00"))</f>
        <v/>
      </c>
      <c r="Y34" s="68">
        <f>IF(OR($H34="",$J34=""),"",$J34*IFERROR(VLOOKUP($H34,Maestro_SKU!$A$2:$P$500,12,FALSE),1))</f>
        <v/>
      </c>
    </row>
    <row r="35" ht="20" customHeight="1" s="36">
      <c r="A35" s="43" t="inlineStr">
        <is>
          <t>V-0034</t>
        </is>
      </c>
      <c r="B35" s="54" t="n">
        <v>46163</v>
      </c>
      <c r="C35" s="43" t="inlineStr">
        <is>
          <t>F-202607034</t>
        </is>
      </c>
      <c r="D35" s="43" t="inlineStr">
        <is>
          <t>PDV-006</t>
        </is>
      </c>
      <c r="E35" s="48">
        <f>IFERROR(VLOOKUP(D35,Clientes_PDV!$A$2:$J$250,2,FALSE),"")</f>
        <v/>
      </c>
      <c r="F35" s="48">
        <f>IFERROR(VLOOKUP(D35,Clientes_PDV!$A$2:$J$250,3,FALSE),"")</f>
        <v/>
      </c>
      <c r="G35" s="48">
        <f>IFERROR(VLOOKUP(D35,Clientes_PDV!$A$2:$J$250,4,FALSE),"")</f>
        <v/>
      </c>
      <c r="H35" s="43" t="inlineStr">
        <is>
          <t>NUVA-BAR-BM-CS-24</t>
        </is>
      </c>
      <c r="I35" s="48">
        <f>IFERROR(VLOOKUP(H35,Maestro_SKU!$A$2:$P$500,2,FALSE),"")</f>
        <v/>
      </c>
      <c r="J35" s="55" t="n">
        <v>15</v>
      </c>
      <c r="K35" s="44" t="n">
        <v>23304</v>
      </c>
      <c r="L35" s="51">
        <f>IF(OR(J35="",K35=""),"",J35*K35)</f>
        <v/>
      </c>
      <c r="M35" s="51">
        <f>IF(L35="","",L35*Inicio!$B$13)</f>
        <v/>
      </c>
      <c r="N35" s="51">
        <f>IF(L35="","",L35+M35)</f>
        <v/>
      </c>
      <c r="O35" s="54" t="n">
        <v>46178</v>
      </c>
      <c r="P35" s="43" t="inlineStr">
        <is>
          <t>Pagada</t>
        </is>
      </c>
      <c r="Q35" s="44" t="n">
        <v>415976.4</v>
      </c>
      <c r="R35" s="51">
        <f>IF(N35="","",MAX(N35-Q35,0))</f>
        <v/>
      </c>
      <c r="S35" s="48">
        <f>IF(A35="","",IF(OR(P35="Pagada",R35=0),"Pagada",IF(O35&lt;TODAY(),"Vencida",IF(O35&lt;=TODAY()+Inicio!$B$19,"Próxima a vencer","Vigente"))))</f>
        <v/>
      </c>
      <c r="T35" s="43" t="n"/>
      <c r="U35" s="68">
        <f>IF($B35="","",YEAR($B35))</f>
        <v/>
      </c>
      <c r="V35" s="68">
        <f>IF($B35="","",MONTH($B35))</f>
        <v/>
      </c>
      <c r="W35" s="68">
        <f>IF($B35="","",DAY($B35))</f>
        <v/>
      </c>
      <c r="X35" s="68">
        <f>IF($B35="","",YEAR($B35)&amp;"-"&amp;TEXT(MONTH($B35),"00"))</f>
        <v/>
      </c>
      <c r="Y35" s="68">
        <f>IF(OR($H35="",$J35=""),"",$J35*IFERROR(VLOOKUP($H35,Maestro_SKU!$A$2:$P$500,12,FALSE),1))</f>
        <v/>
      </c>
    </row>
    <row r="36" ht="20" customHeight="1" s="36">
      <c r="A36" s="43" t="inlineStr">
        <is>
          <t>V-0035</t>
        </is>
      </c>
      <c r="B36" s="54" t="n">
        <v>46180</v>
      </c>
      <c r="C36" s="43" t="inlineStr">
        <is>
          <t>F-202607035</t>
        </is>
      </c>
      <c r="D36" s="43" t="inlineStr">
        <is>
          <t>PDV-006</t>
        </is>
      </c>
      <c r="E36" s="48">
        <f>IFERROR(VLOOKUP(D36,Clientes_PDV!$A$2:$J$250,2,FALSE),"")</f>
        <v/>
      </c>
      <c r="F36" s="48">
        <f>IFERROR(VLOOKUP(D36,Clientes_PDV!$A$2:$J$250,3,FALSE),"")</f>
        <v/>
      </c>
      <c r="G36" s="48">
        <f>IFERROR(VLOOKUP(D36,Clientes_PDV!$A$2:$J$250,4,FALSE),"")</f>
        <v/>
      </c>
      <c r="H36" s="43" t="inlineStr">
        <is>
          <t>NUVA-BAR-CC-U-01</t>
        </is>
      </c>
      <c r="I36" s="48">
        <f>IFERROR(VLOOKUP(H36,Maestro_SKU!$A$2:$P$500,2,FALSE),"")</f>
        <v/>
      </c>
      <c r="J36" s="55" t="n">
        <v>4</v>
      </c>
      <c r="K36" s="44" t="n">
        <v>1120</v>
      </c>
      <c r="L36" s="51">
        <f>IF(OR(J36="",K36=""),"",J36*K36)</f>
        <v/>
      </c>
      <c r="M36" s="51">
        <f>IF(L36="","",L36*Inicio!$B$13)</f>
        <v/>
      </c>
      <c r="N36" s="51">
        <f>IF(L36="","",L36+M36)</f>
        <v/>
      </c>
      <c r="O36" s="54" t="n">
        <v>46210</v>
      </c>
      <c r="P36" s="43" t="inlineStr">
        <is>
          <t>Pagada</t>
        </is>
      </c>
      <c r="Q36" s="44" t="n">
        <v>5331.2</v>
      </c>
      <c r="R36" s="51">
        <f>IF(N36="","",MAX(N36-Q36,0))</f>
        <v/>
      </c>
      <c r="S36" s="48">
        <f>IF(A36="","",IF(OR(P36="Pagada",R36=0),"Pagada",IF(O36&lt;TODAY(),"Vencida",IF(O36&lt;=TODAY()+Inicio!$B$19,"Próxima a vencer","Vigente"))))</f>
        <v/>
      </c>
      <c r="T36" s="43" t="n"/>
      <c r="U36" s="68">
        <f>IF($B36="","",YEAR($B36))</f>
        <v/>
      </c>
      <c r="V36" s="68">
        <f>IF($B36="","",MONTH($B36))</f>
        <v/>
      </c>
      <c r="W36" s="68">
        <f>IF($B36="","",DAY($B36))</f>
        <v/>
      </c>
      <c r="X36" s="68">
        <f>IF($B36="","",YEAR($B36)&amp;"-"&amp;TEXT(MONTH($B36),"00"))</f>
        <v/>
      </c>
      <c r="Y36" s="68">
        <f>IF(OR($H36="",$J36=""),"",$J36*IFERROR(VLOOKUP($H36,Maestro_SKU!$A$2:$P$500,12,FALSE),1))</f>
        <v/>
      </c>
    </row>
    <row r="37" ht="20" customHeight="1" s="36">
      <c r="A37" s="43" t="inlineStr">
        <is>
          <t>V-0036</t>
        </is>
      </c>
      <c r="B37" s="54" t="n">
        <v>46184</v>
      </c>
      <c r="C37" s="43" t="inlineStr">
        <is>
          <t>F-202607036</t>
        </is>
      </c>
      <c r="D37" s="43" t="inlineStr">
        <is>
          <t>PDV-008</t>
        </is>
      </c>
      <c r="E37" s="48">
        <f>IFERROR(VLOOKUP(D37,Clientes_PDV!$A$2:$J$250,2,FALSE),"")</f>
        <v/>
      </c>
      <c r="F37" s="48">
        <f>IFERROR(VLOOKUP(D37,Clientes_PDV!$A$2:$J$250,3,FALSE),"")</f>
        <v/>
      </c>
      <c r="G37" s="48">
        <f>IFERROR(VLOOKUP(D37,Clientes_PDV!$A$2:$J$250,4,FALSE),"")</f>
        <v/>
      </c>
      <c r="H37" s="43" t="inlineStr">
        <is>
          <t>NUVA-BAR-CC-BX-04</t>
        </is>
      </c>
      <c r="I37" s="48">
        <f>IFERROR(VLOOKUP(H37,Maestro_SKU!$A$2:$P$500,2,FALSE),"")</f>
        <v/>
      </c>
      <c r="J37" s="55" t="n">
        <v>4</v>
      </c>
      <c r="K37" s="44" t="n">
        <v>3246</v>
      </c>
      <c r="L37" s="51">
        <f>IF(OR(J37="",K37=""),"",J37*K37)</f>
        <v/>
      </c>
      <c r="M37" s="51">
        <f>IF(L37="","",L37*Inicio!$B$13)</f>
        <v/>
      </c>
      <c r="N37" s="51">
        <f>IF(L37="","",L37+M37)</f>
        <v/>
      </c>
      <c r="O37" s="54" t="n">
        <v>46229</v>
      </c>
      <c r="P37" s="43" t="inlineStr">
        <is>
          <t>Pendiente</t>
        </is>
      </c>
      <c r="Q37" s="44" t="n">
        <v>0</v>
      </c>
      <c r="R37" s="51">
        <f>IF(N37="","",MAX(N37-Q37,0))</f>
        <v/>
      </c>
      <c r="S37" s="48">
        <f>IF(A37="","",IF(OR(P37="Pagada",R37=0),"Pagada",IF(O37&lt;TODAY(),"Vencida",IF(O37&lt;=TODAY()+Inicio!$B$19,"Próxima a vencer","Vigente"))))</f>
        <v/>
      </c>
      <c r="T37" s="43" t="n"/>
      <c r="U37" s="68">
        <f>IF($B37="","",YEAR($B37))</f>
        <v/>
      </c>
      <c r="V37" s="68">
        <f>IF($B37="","",MONTH($B37))</f>
        <v/>
      </c>
      <c r="W37" s="68">
        <f>IF($B37="","",DAY($B37))</f>
        <v/>
      </c>
      <c r="X37" s="68">
        <f>IF($B37="","",YEAR($B37)&amp;"-"&amp;TEXT(MONTH($B37),"00"))</f>
        <v/>
      </c>
      <c r="Y37" s="68">
        <f>IF(OR($H37="",$J37=""),"",$J37*IFERROR(VLOOKUP($H37,Maestro_SKU!$A$2:$P$500,12,FALSE),1))</f>
        <v/>
      </c>
    </row>
    <row r="38" ht="20" customHeight="1" s="36">
      <c r="A38" s="43" t="inlineStr">
        <is>
          <t>V-0037</t>
        </is>
      </c>
      <c r="B38" s="54" t="n">
        <v>46160</v>
      </c>
      <c r="C38" s="43" t="inlineStr">
        <is>
          <t>F-202607037</t>
        </is>
      </c>
      <c r="D38" s="43" t="inlineStr">
        <is>
          <t>PDV-012</t>
        </is>
      </c>
      <c r="E38" s="48">
        <f>IFERROR(VLOOKUP(D38,Clientes_PDV!$A$2:$J$250,2,FALSE),"")</f>
        <v/>
      </c>
      <c r="F38" s="48">
        <f>IFERROR(VLOOKUP(D38,Clientes_PDV!$A$2:$J$250,3,FALSE),"")</f>
        <v/>
      </c>
      <c r="G38" s="48">
        <f>IFERROR(VLOOKUP(D38,Clientes_PDV!$A$2:$J$250,4,FALSE),"")</f>
        <v/>
      </c>
      <c r="H38" s="43" t="inlineStr">
        <is>
          <t>NUVA-BAR-PB-CS-24</t>
        </is>
      </c>
      <c r="I38" s="48">
        <f>IFERROR(VLOOKUP(H38,Maestro_SKU!$A$2:$P$500,2,FALSE),"")</f>
        <v/>
      </c>
      <c r="J38" s="55" t="n">
        <v>8</v>
      </c>
      <c r="K38" s="44" t="n">
        <v>20700</v>
      </c>
      <c r="L38" s="51">
        <f>IF(OR(J38="",K38=""),"",J38*K38)</f>
        <v/>
      </c>
      <c r="M38" s="51">
        <f>IF(L38="","",L38*Inicio!$B$13)</f>
        <v/>
      </c>
      <c r="N38" s="51">
        <f>IF(L38="","",L38+M38)</f>
        <v/>
      </c>
      <c r="O38" s="54" t="n">
        <v>46190</v>
      </c>
      <c r="P38" s="43" t="inlineStr">
        <is>
          <t>Vencida</t>
        </is>
      </c>
      <c r="Q38" s="44" t="n">
        <v>0</v>
      </c>
      <c r="R38" s="51">
        <f>IF(N38="","",MAX(N38-Q38,0))</f>
        <v/>
      </c>
      <c r="S38" s="48">
        <f>IF(A38="","",IF(OR(P38="Pagada",R38=0),"Pagada",IF(O38&lt;TODAY(),"Vencida",IF(O38&lt;=TODAY()+Inicio!$B$19,"Próxima a vencer","Vigente"))))</f>
        <v/>
      </c>
      <c r="T38" s="43" t="n"/>
      <c r="U38" s="68">
        <f>IF($B38="","",YEAR($B38))</f>
        <v/>
      </c>
      <c r="V38" s="68">
        <f>IF($B38="","",MONTH($B38))</f>
        <v/>
      </c>
      <c r="W38" s="68">
        <f>IF($B38="","",DAY($B38))</f>
        <v/>
      </c>
      <c r="X38" s="68">
        <f>IF($B38="","",YEAR($B38)&amp;"-"&amp;TEXT(MONTH($B38),"00"))</f>
        <v/>
      </c>
      <c r="Y38" s="68">
        <f>IF(OR($H38="",$J38=""),"",$J38*IFERROR(VLOOKUP($H38,Maestro_SKU!$A$2:$P$500,12,FALSE),1))</f>
        <v/>
      </c>
    </row>
    <row r="39" ht="20" customHeight="1" s="36">
      <c r="A39" s="43" t="inlineStr">
        <is>
          <t>V-0038</t>
        </is>
      </c>
      <c r="B39" s="54" t="n">
        <v>46171</v>
      </c>
      <c r="C39" s="43" t="inlineStr">
        <is>
          <t>F-202607038</t>
        </is>
      </c>
      <c r="D39" s="43" t="inlineStr">
        <is>
          <t>PDV-009</t>
        </is>
      </c>
      <c r="E39" s="48">
        <f>IFERROR(VLOOKUP(D39,Clientes_PDV!$A$2:$J$250,2,FALSE),"")</f>
        <v/>
      </c>
      <c r="F39" s="48">
        <f>IFERROR(VLOOKUP(D39,Clientes_PDV!$A$2:$J$250,3,FALSE),"")</f>
        <v/>
      </c>
      <c r="G39" s="48">
        <f>IFERROR(VLOOKUP(D39,Clientes_PDV!$A$2:$J$250,4,FALSE),"")</f>
        <v/>
      </c>
      <c r="H39" s="43" t="inlineStr">
        <is>
          <t>NUVA-BAR-PB-CS-24</t>
        </is>
      </c>
      <c r="I39" s="48">
        <f>IFERROR(VLOOKUP(H39,Maestro_SKU!$A$2:$P$500,2,FALSE),"")</f>
        <v/>
      </c>
      <c r="J39" s="55" t="n">
        <v>20</v>
      </c>
      <c r="K39" s="44" t="n">
        <v>17063</v>
      </c>
      <c r="L39" s="51">
        <f>IF(OR(J39="",K39=""),"",J39*K39)</f>
        <v/>
      </c>
      <c r="M39" s="51">
        <f>IF(L39="","",L39*Inicio!$B$13)</f>
        <v/>
      </c>
      <c r="N39" s="51">
        <f>IF(L39="","",L39+M39)</f>
        <v/>
      </c>
      <c r="O39" s="54" t="n">
        <v>46186</v>
      </c>
      <c r="P39" s="43" t="inlineStr">
        <is>
          <t>Pagada</t>
        </is>
      </c>
      <c r="Q39" s="44" t="n">
        <v>406099.4</v>
      </c>
      <c r="R39" s="51">
        <f>IF(N39="","",MAX(N39-Q39,0))</f>
        <v/>
      </c>
      <c r="S39" s="48">
        <f>IF(A39="","",IF(OR(P39="Pagada",R39=0),"Pagada",IF(O39&lt;TODAY(),"Vencida",IF(O39&lt;=TODAY()+Inicio!$B$19,"Próxima a vencer","Vigente"))))</f>
        <v/>
      </c>
      <c r="T39" s="43" t="n"/>
      <c r="U39" s="68">
        <f>IF($B39="","",YEAR($B39))</f>
        <v/>
      </c>
      <c r="V39" s="68">
        <f>IF($B39="","",MONTH($B39))</f>
        <v/>
      </c>
      <c r="W39" s="68">
        <f>IF($B39="","",DAY($B39))</f>
        <v/>
      </c>
      <c r="X39" s="68">
        <f>IF($B39="","",YEAR($B39)&amp;"-"&amp;TEXT(MONTH($B39),"00"))</f>
        <v/>
      </c>
      <c r="Y39" s="68">
        <f>IF(OR($H39="",$J39=""),"",$J39*IFERROR(VLOOKUP($H39,Maestro_SKU!$A$2:$P$500,12,FALSE),1))</f>
        <v/>
      </c>
    </row>
    <row r="40" ht="20" customHeight="1" s="36">
      <c r="A40" s="43" t="inlineStr">
        <is>
          <t>V-0039</t>
        </is>
      </c>
      <c r="B40" s="54" t="n">
        <v>46209</v>
      </c>
      <c r="C40" s="43" t="inlineStr">
        <is>
          <t>F-202607039</t>
        </is>
      </c>
      <c r="D40" s="43" t="inlineStr">
        <is>
          <t>PDV-003</t>
        </is>
      </c>
      <c r="E40" s="48">
        <f>IFERROR(VLOOKUP(D40,Clientes_PDV!$A$2:$J$250,2,FALSE),"")</f>
        <v/>
      </c>
      <c r="F40" s="48">
        <f>IFERROR(VLOOKUP(D40,Clientes_PDV!$A$2:$J$250,3,FALSE),"")</f>
        <v/>
      </c>
      <c r="G40" s="48">
        <f>IFERROR(VLOOKUP(D40,Clientes_PDV!$A$2:$J$250,4,FALSE),"")</f>
        <v/>
      </c>
      <c r="H40" s="43" t="inlineStr">
        <is>
          <t>NUVA-BAR-BM-BX-04</t>
        </is>
      </c>
      <c r="I40" s="48">
        <f>IFERROR(VLOOKUP(H40,Maestro_SKU!$A$2:$P$500,2,FALSE),"")</f>
        <v/>
      </c>
      <c r="J40" s="55" t="n">
        <v>20</v>
      </c>
      <c r="K40" s="44" t="n">
        <v>3311</v>
      </c>
      <c r="L40" s="51">
        <f>IF(OR(J40="",K40=""),"",J40*K40)</f>
        <v/>
      </c>
      <c r="M40" s="51">
        <f>IF(L40="","",L40*Inicio!$B$13)</f>
        <v/>
      </c>
      <c r="N40" s="51">
        <f>IF(L40="","",L40+M40)</f>
        <v/>
      </c>
      <c r="O40" s="54" t="n">
        <v>46209</v>
      </c>
      <c r="P40" s="43" t="inlineStr">
        <is>
          <t>Pagada</t>
        </is>
      </c>
      <c r="Q40" s="44" t="n">
        <v>78801.8</v>
      </c>
      <c r="R40" s="51">
        <f>IF(N40="","",MAX(N40-Q40,0))</f>
        <v/>
      </c>
      <c r="S40" s="48">
        <f>IF(A40="","",IF(OR(P40="Pagada",R40=0),"Pagada",IF(O40&lt;TODAY(),"Vencida",IF(O40&lt;=TODAY()+Inicio!$B$19,"Próxima a vencer","Vigente"))))</f>
        <v/>
      </c>
      <c r="T40" s="43" t="n"/>
      <c r="U40" s="68">
        <f>IF($B40="","",YEAR($B40))</f>
        <v/>
      </c>
      <c r="V40" s="68">
        <f>IF($B40="","",MONTH($B40))</f>
        <v/>
      </c>
      <c r="W40" s="68">
        <f>IF($B40="","",DAY($B40))</f>
        <v/>
      </c>
      <c r="X40" s="68">
        <f>IF($B40="","",YEAR($B40)&amp;"-"&amp;TEXT(MONTH($B40),"00"))</f>
        <v/>
      </c>
      <c r="Y40" s="68">
        <f>IF(OR($H40="",$J40=""),"",$J40*IFERROR(VLOOKUP($H40,Maestro_SKU!$A$2:$P$500,12,FALSE),1))</f>
        <v/>
      </c>
    </row>
    <row r="41" ht="20" customHeight="1" s="36">
      <c r="A41" s="43" t="inlineStr">
        <is>
          <t>V-0040</t>
        </is>
      </c>
      <c r="B41" s="54" t="n">
        <v>46189</v>
      </c>
      <c r="C41" s="43" t="inlineStr">
        <is>
          <t>F-202607040</t>
        </is>
      </c>
      <c r="D41" s="43" t="inlineStr">
        <is>
          <t>PDV-004</t>
        </is>
      </c>
      <c r="E41" s="48">
        <f>IFERROR(VLOOKUP(D41,Clientes_PDV!$A$2:$J$250,2,FALSE),"")</f>
        <v/>
      </c>
      <c r="F41" s="48">
        <f>IFERROR(VLOOKUP(D41,Clientes_PDV!$A$2:$J$250,3,FALSE),"")</f>
        <v/>
      </c>
      <c r="G41" s="48">
        <f>IFERROR(VLOOKUP(D41,Clientes_PDV!$A$2:$J$250,4,FALSE),"")</f>
        <v/>
      </c>
      <c r="H41" s="43" t="inlineStr">
        <is>
          <t>NUVA-BAR-BM-U-01</t>
        </is>
      </c>
      <c r="I41" s="48">
        <f>IFERROR(VLOOKUP(H41,Maestro_SKU!$A$2:$P$500,2,FALSE),"")</f>
        <v/>
      </c>
      <c r="J41" s="55" t="n">
        <v>8</v>
      </c>
      <c r="K41" s="44" t="n">
        <v>715</v>
      </c>
      <c r="L41" s="51">
        <f>IF(OR(J41="",K41=""),"",J41*K41)</f>
        <v/>
      </c>
      <c r="M41" s="51">
        <f>IF(L41="","",L41*Inicio!$B$13)</f>
        <v/>
      </c>
      <c r="N41" s="51">
        <f>IF(L41="","",L41+M41)</f>
        <v/>
      </c>
      <c r="O41" s="54" t="n">
        <v>46204</v>
      </c>
      <c r="P41" s="43" t="inlineStr">
        <is>
          <t>Pagada</t>
        </is>
      </c>
      <c r="Q41" s="44" t="n">
        <v>6806.799999999999</v>
      </c>
      <c r="R41" s="51">
        <f>IF(N41="","",MAX(N41-Q41,0))</f>
        <v/>
      </c>
      <c r="S41" s="48">
        <f>IF(A41="","",IF(OR(P41="Pagada",R41=0),"Pagada",IF(O41&lt;TODAY(),"Vencida",IF(O41&lt;=TODAY()+Inicio!$B$19,"Próxima a vencer","Vigente"))))</f>
        <v/>
      </c>
      <c r="T41" s="43" t="n"/>
      <c r="U41" s="68">
        <f>IF($B41="","",YEAR($B41))</f>
        <v/>
      </c>
      <c r="V41" s="68">
        <f>IF($B41="","",MONTH($B41))</f>
        <v/>
      </c>
      <c r="W41" s="68">
        <f>IF($B41="","",DAY($B41))</f>
        <v/>
      </c>
      <c r="X41" s="68">
        <f>IF($B41="","",YEAR($B41)&amp;"-"&amp;TEXT(MONTH($B41),"00"))</f>
        <v/>
      </c>
      <c r="Y41" s="68">
        <f>IF(OR($H41="",$J41=""),"",$J41*IFERROR(VLOOKUP($H41,Maestro_SKU!$A$2:$P$500,12,FALSE),1))</f>
        <v/>
      </c>
    </row>
    <row r="42" ht="20" customHeight="1" s="36">
      <c r="A42" s="43" t="inlineStr">
        <is>
          <t>V-0041</t>
        </is>
      </c>
      <c r="B42" s="54" t="n">
        <v>46200</v>
      </c>
      <c r="C42" s="43" t="inlineStr">
        <is>
          <t>F-202607041</t>
        </is>
      </c>
      <c r="D42" s="43" t="inlineStr">
        <is>
          <t>PDV-001</t>
        </is>
      </c>
      <c r="E42" s="48">
        <f>IFERROR(VLOOKUP(D42,Clientes_PDV!$A$2:$J$250,2,FALSE),"")</f>
        <v/>
      </c>
      <c r="F42" s="48">
        <f>IFERROR(VLOOKUP(D42,Clientes_PDV!$A$2:$J$250,3,FALSE),"")</f>
        <v/>
      </c>
      <c r="G42" s="48">
        <f>IFERROR(VLOOKUP(D42,Clientes_PDV!$A$2:$J$250,4,FALSE),"")</f>
        <v/>
      </c>
      <c r="H42" s="43" t="inlineStr">
        <is>
          <t>NUVA-BAR-BM-CS-24</t>
        </is>
      </c>
      <c r="I42" s="48">
        <f>IFERROR(VLOOKUP(H42,Maestro_SKU!$A$2:$P$500,2,FALSE),"")</f>
        <v/>
      </c>
      <c r="J42" s="55" t="n">
        <v>20</v>
      </c>
      <c r="K42" s="44" t="n">
        <v>16384</v>
      </c>
      <c r="L42" s="51">
        <f>IF(OR(J42="",K42=""),"",J42*K42)</f>
        <v/>
      </c>
      <c r="M42" s="51">
        <f>IF(L42="","",L42*Inicio!$B$13)</f>
        <v/>
      </c>
      <c r="N42" s="51">
        <f>IF(L42="","",L42+M42)</f>
        <v/>
      </c>
      <c r="O42" s="54" t="n">
        <v>46245</v>
      </c>
      <c r="P42" s="43" t="inlineStr">
        <is>
          <t>Pagada</t>
        </is>
      </c>
      <c r="Q42" s="44" t="n">
        <v>389939.2</v>
      </c>
      <c r="R42" s="51">
        <f>IF(N42="","",MAX(N42-Q42,0))</f>
        <v/>
      </c>
      <c r="S42" s="48">
        <f>IF(A42="","",IF(OR(P42="Pagada",R42=0),"Pagada",IF(O42&lt;TODAY(),"Vencida",IF(O42&lt;=TODAY()+Inicio!$B$19,"Próxima a vencer","Vigente"))))</f>
        <v/>
      </c>
      <c r="T42" s="43" t="n"/>
      <c r="U42" s="68">
        <f>IF($B42="","",YEAR($B42))</f>
        <v/>
      </c>
      <c r="V42" s="68">
        <f>IF($B42="","",MONTH($B42))</f>
        <v/>
      </c>
      <c r="W42" s="68">
        <f>IF($B42="","",DAY($B42))</f>
        <v/>
      </c>
      <c r="X42" s="68">
        <f>IF($B42="","",YEAR($B42)&amp;"-"&amp;TEXT(MONTH($B42),"00"))</f>
        <v/>
      </c>
      <c r="Y42" s="68">
        <f>IF(OR($H42="",$J42=""),"",$J42*IFERROR(VLOOKUP($H42,Maestro_SKU!$A$2:$P$500,12,FALSE),1))</f>
        <v/>
      </c>
    </row>
    <row r="43" ht="20" customHeight="1" s="36">
      <c r="A43" s="43" t="inlineStr">
        <is>
          <t>V-0042</t>
        </is>
      </c>
      <c r="B43" s="54" t="n">
        <v>46156</v>
      </c>
      <c r="C43" s="43" t="inlineStr">
        <is>
          <t>F-202607042</t>
        </is>
      </c>
      <c r="D43" s="43" t="inlineStr">
        <is>
          <t>PDV-007</t>
        </is>
      </c>
      <c r="E43" s="48">
        <f>IFERROR(VLOOKUP(D43,Clientes_PDV!$A$2:$J$250,2,FALSE),"")</f>
        <v/>
      </c>
      <c r="F43" s="48">
        <f>IFERROR(VLOOKUP(D43,Clientes_PDV!$A$2:$J$250,3,FALSE),"")</f>
        <v/>
      </c>
      <c r="G43" s="48">
        <f>IFERROR(VLOOKUP(D43,Clientes_PDV!$A$2:$J$250,4,FALSE),"")</f>
        <v/>
      </c>
      <c r="H43" s="43" t="inlineStr">
        <is>
          <t>NUVA-BAR-PB-CS-24</t>
        </is>
      </c>
      <c r="I43" s="48">
        <f>IFERROR(VLOOKUP(H43,Maestro_SKU!$A$2:$P$500,2,FALSE),"")</f>
        <v/>
      </c>
      <c r="J43" s="55" t="n">
        <v>15</v>
      </c>
      <c r="K43" s="44" t="n">
        <v>15921</v>
      </c>
      <c r="L43" s="51">
        <f>IF(OR(J43="",K43=""),"",J43*K43)</f>
        <v/>
      </c>
      <c r="M43" s="51">
        <f>IF(L43="","",L43*Inicio!$B$13)</f>
        <v/>
      </c>
      <c r="N43" s="51">
        <f>IF(L43="","",L43+M43)</f>
        <v/>
      </c>
      <c r="O43" s="54" t="n">
        <v>46171</v>
      </c>
      <c r="P43" s="43" t="inlineStr">
        <is>
          <t>Pendiente</t>
        </is>
      </c>
      <c r="Q43" s="44" t="n">
        <v>0</v>
      </c>
      <c r="R43" s="51">
        <f>IF(N43="","",MAX(N43-Q43,0))</f>
        <v/>
      </c>
      <c r="S43" s="48">
        <f>IF(A43="","",IF(OR(P43="Pagada",R43=0),"Pagada",IF(O43&lt;TODAY(),"Vencida",IF(O43&lt;=TODAY()+Inicio!$B$19,"Próxima a vencer","Vigente"))))</f>
        <v/>
      </c>
      <c r="T43" s="43" t="n"/>
      <c r="U43" s="68">
        <f>IF($B43="","",YEAR($B43))</f>
        <v/>
      </c>
      <c r="V43" s="68">
        <f>IF($B43="","",MONTH($B43))</f>
        <v/>
      </c>
      <c r="W43" s="68">
        <f>IF($B43="","",DAY($B43))</f>
        <v/>
      </c>
      <c r="X43" s="68">
        <f>IF($B43="","",YEAR($B43)&amp;"-"&amp;TEXT(MONTH($B43),"00"))</f>
        <v/>
      </c>
      <c r="Y43" s="68">
        <f>IF(OR($H43="",$J43=""),"",$J43*IFERROR(VLOOKUP($H43,Maestro_SKU!$A$2:$P$500,12,FALSE),1))</f>
        <v/>
      </c>
    </row>
    <row r="44" ht="20" customHeight="1" s="36">
      <c r="A44" s="43" t="inlineStr">
        <is>
          <t>V-0043</t>
        </is>
      </c>
      <c r="B44" s="54" t="n">
        <v>46160</v>
      </c>
      <c r="C44" s="43" t="inlineStr">
        <is>
          <t>F-202607043</t>
        </is>
      </c>
      <c r="D44" s="43" t="inlineStr">
        <is>
          <t>PDV-007</t>
        </is>
      </c>
      <c r="E44" s="48">
        <f>IFERROR(VLOOKUP(D44,Clientes_PDV!$A$2:$J$250,2,FALSE),"")</f>
        <v/>
      </c>
      <c r="F44" s="48">
        <f>IFERROR(VLOOKUP(D44,Clientes_PDV!$A$2:$J$250,3,FALSE),"")</f>
        <v/>
      </c>
      <c r="G44" s="48">
        <f>IFERROR(VLOOKUP(D44,Clientes_PDV!$A$2:$J$250,4,FALSE),"")</f>
        <v/>
      </c>
      <c r="H44" s="43" t="inlineStr">
        <is>
          <t>NUVA-BAR-CC-U-01</t>
        </is>
      </c>
      <c r="I44" s="48">
        <f>IFERROR(VLOOKUP(H44,Maestro_SKU!$A$2:$P$500,2,FALSE),"")</f>
        <v/>
      </c>
      <c r="J44" s="55" t="n">
        <v>20</v>
      </c>
      <c r="K44" s="44" t="n">
        <v>688</v>
      </c>
      <c r="L44" s="51">
        <f>IF(OR(J44="",K44=""),"",J44*K44)</f>
        <v/>
      </c>
      <c r="M44" s="51">
        <f>IF(L44="","",L44*Inicio!$B$13)</f>
        <v/>
      </c>
      <c r="N44" s="51">
        <f>IF(L44="","",L44+M44)</f>
        <v/>
      </c>
      <c r="O44" s="54" t="n">
        <v>46160</v>
      </c>
      <c r="P44" s="43" t="inlineStr">
        <is>
          <t>Pagada</t>
        </is>
      </c>
      <c r="Q44" s="44" t="n">
        <v>16374.4</v>
      </c>
      <c r="R44" s="51">
        <f>IF(N44="","",MAX(N44-Q44,0))</f>
        <v/>
      </c>
      <c r="S44" s="48">
        <f>IF(A44="","",IF(OR(P44="Pagada",R44=0),"Pagada",IF(O44&lt;TODAY(),"Vencida",IF(O44&lt;=TODAY()+Inicio!$B$19,"Próxima a vencer","Vigente"))))</f>
        <v/>
      </c>
      <c r="T44" s="43" t="n"/>
      <c r="U44" s="68">
        <f>IF($B44="","",YEAR($B44))</f>
        <v/>
      </c>
      <c r="V44" s="68">
        <f>IF($B44="","",MONTH($B44))</f>
        <v/>
      </c>
      <c r="W44" s="68">
        <f>IF($B44="","",DAY($B44))</f>
        <v/>
      </c>
      <c r="X44" s="68">
        <f>IF($B44="","",YEAR($B44)&amp;"-"&amp;TEXT(MONTH($B44),"00"))</f>
        <v/>
      </c>
      <c r="Y44" s="68">
        <f>IF(OR($H44="",$J44=""),"",$J44*IFERROR(VLOOKUP($H44,Maestro_SKU!$A$2:$P$500,12,FALSE),1))</f>
        <v/>
      </c>
    </row>
    <row r="45" ht="20" customHeight="1" s="36">
      <c r="A45" s="43" t="inlineStr">
        <is>
          <t>V-0044</t>
        </is>
      </c>
      <c r="B45" s="54" t="n">
        <v>46155</v>
      </c>
      <c r="C45" s="43" t="inlineStr">
        <is>
          <t>F-202607044</t>
        </is>
      </c>
      <c r="D45" s="43" t="inlineStr">
        <is>
          <t>PDV-007</t>
        </is>
      </c>
      <c r="E45" s="48">
        <f>IFERROR(VLOOKUP(D45,Clientes_PDV!$A$2:$J$250,2,FALSE),"")</f>
        <v/>
      </c>
      <c r="F45" s="48">
        <f>IFERROR(VLOOKUP(D45,Clientes_PDV!$A$2:$J$250,3,FALSE),"")</f>
        <v/>
      </c>
      <c r="G45" s="48">
        <f>IFERROR(VLOOKUP(D45,Clientes_PDV!$A$2:$J$250,4,FALSE),"")</f>
        <v/>
      </c>
      <c r="H45" s="43" t="inlineStr">
        <is>
          <t>NUVA-BAR-PB-BX-04</t>
        </is>
      </c>
      <c r="I45" s="48">
        <f>IFERROR(VLOOKUP(H45,Maestro_SKU!$A$2:$P$500,2,FALSE),"")</f>
        <v/>
      </c>
      <c r="J45" s="55" t="n">
        <v>12</v>
      </c>
      <c r="K45" s="44" t="n">
        <v>3890</v>
      </c>
      <c r="L45" s="51">
        <f>IF(OR(J45="",K45=""),"",J45*K45)</f>
        <v/>
      </c>
      <c r="M45" s="51">
        <f>IF(L45="","",L45*Inicio!$B$13)</f>
        <v/>
      </c>
      <c r="N45" s="51">
        <f>IF(L45="","",L45+M45)</f>
        <v/>
      </c>
      <c r="O45" s="54" t="n">
        <v>46155</v>
      </c>
      <c r="P45" s="43" t="inlineStr">
        <is>
          <t>Pagada</t>
        </is>
      </c>
      <c r="Q45" s="44" t="n">
        <v>55549.2</v>
      </c>
      <c r="R45" s="51">
        <f>IF(N45="","",MAX(N45-Q45,0))</f>
        <v/>
      </c>
      <c r="S45" s="48">
        <f>IF(A45="","",IF(OR(P45="Pagada",R45=0),"Pagada",IF(O45&lt;TODAY(),"Vencida",IF(O45&lt;=TODAY()+Inicio!$B$19,"Próxima a vencer","Vigente"))))</f>
        <v/>
      </c>
      <c r="T45" s="43" t="n"/>
      <c r="U45" s="68">
        <f>IF($B45="","",YEAR($B45))</f>
        <v/>
      </c>
      <c r="V45" s="68">
        <f>IF($B45="","",MONTH($B45))</f>
        <v/>
      </c>
      <c r="W45" s="68">
        <f>IF($B45="","",DAY($B45))</f>
        <v/>
      </c>
      <c r="X45" s="68">
        <f>IF($B45="","",YEAR($B45)&amp;"-"&amp;TEXT(MONTH($B45),"00"))</f>
        <v/>
      </c>
      <c r="Y45" s="68">
        <f>IF(OR($H45="",$J45=""),"",$J45*IFERROR(VLOOKUP($H45,Maestro_SKU!$A$2:$P$500,12,FALSE),1))</f>
        <v/>
      </c>
    </row>
    <row r="46" ht="20" customHeight="1" s="36">
      <c r="A46" s="43" t="inlineStr">
        <is>
          <t>V-0045</t>
        </is>
      </c>
      <c r="B46" s="54" t="n">
        <v>46170</v>
      </c>
      <c r="C46" s="43" t="inlineStr">
        <is>
          <t>F-202607045</t>
        </is>
      </c>
      <c r="D46" s="43" t="inlineStr">
        <is>
          <t>PDV-009</t>
        </is>
      </c>
      <c r="E46" s="48">
        <f>IFERROR(VLOOKUP(D46,Clientes_PDV!$A$2:$J$250,2,FALSE),"")</f>
        <v/>
      </c>
      <c r="F46" s="48">
        <f>IFERROR(VLOOKUP(D46,Clientes_PDV!$A$2:$J$250,3,FALSE),"")</f>
        <v/>
      </c>
      <c r="G46" s="48">
        <f>IFERROR(VLOOKUP(D46,Clientes_PDV!$A$2:$J$250,4,FALSE),"")</f>
        <v/>
      </c>
      <c r="H46" s="43" t="inlineStr">
        <is>
          <t>NUVA-BAR-PB-CS-24</t>
        </is>
      </c>
      <c r="I46" s="48">
        <f>IFERROR(VLOOKUP(H46,Maestro_SKU!$A$2:$P$500,2,FALSE),"")</f>
        <v/>
      </c>
      <c r="J46" s="55" t="n">
        <v>10</v>
      </c>
      <c r="K46" s="44" t="n">
        <v>22036</v>
      </c>
      <c r="L46" s="51">
        <f>IF(OR(J46="",K46=""),"",J46*K46)</f>
        <v/>
      </c>
      <c r="M46" s="51">
        <f>IF(L46="","",L46*Inicio!$B$13)</f>
        <v/>
      </c>
      <c r="N46" s="51">
        <f>IF(L46="","",L46+M46)</f>
        <v/>
      </c>
      <c r="O46" s="54" t="n">
        <v>46185</v>
      </c>
      <c r="P46" s="43" t="inlineStr">
        <is>
          <t>Vencida</t>
        </is>
      </c>
      <c r="Q46" s="44" t="n">
        <v>0</v>
      </c>
      <c r="R46" s="51">
        <f>IF(N46="","",MAX(N46-Q46,0))</f>
        <v/>
      </c>
      <c r="S46" s="48">
        <f>IF(A46="","",IF(OR(P46="Pagada",R46=0),"Pagada",IF(O46&lt;TODAY(),"Vencida",IF(O46&lt;=TODAY()+Inicio!$B$19,"Próxima a vencer","Vigente"))))</f>
        <v/>
      </c>
      <c r="T46" s="43" t="n"/>
      <c r="U46" s="68">
        <f>IF($B46="","",YEAR($B46))</f>
        <v/>
      </c>
      <c r="V46" s="68">
        <f>IF($B46="","",MONTH($B46))</f>
        <v/>
      </c>
      <c r="W46" s="68">
        <f>IF($B46="","",DAY($B46))</f>
        <v/>
      </c>
      <c r="X46" s="68">
        <f>IF($B46="","",YEAR($B46)&amp;"-"&amp;TEXT(MONTH($B46),"00"))</f>
        <v/>
      </c>
      <c r="Y46" s="68">
        <f>IF(OR($H46="",$J46=""),"",$J46*IFERROR(VLOOKUP($H46,Maestro_SKU!$A$2:$P$500,12,FALSE),1))</f>
        <v/>
      </c>
    </row>
    <row r="47" ht="20" customHeight="1" s="36">
      <c r="A47" s="43" t="n"/>
      <c r="B47" s="54" t="n"/>
      <c r="C47" s="43" t="n"/>
      <c r="D47" s="43" t="n"/>
      <c r="E47" s="48">
        <f>IFERROR(VLOOKUP(D47,Clientes_PDV!$A$2:$J$250,2,FALSE),"")</f>
        <v/>
      </c>
      <c r="F47" s="48">
        <f>IFERROR(VLOOKUP(D47,Clientes_PDV!$A$2:$J$250,3,FALSE),"")</f>
        <v/>
      </c>
      <c r="G47" s="48">
        <f>IFERROR(VLOOKUP(D47,Clientes_PDV!$A$2:$J$250,4,FALSE),"")</f>
        <v/>
      </c>
      <c r="H47" s="43" t="n"/>
      <c r="I47" s="48">
        <f>IFERROR(VLOOKUP(H47,Maestro_SKU!$A$2:$P$500,2,FALSE),"")</f>
        <v/>
      </c>
      <c r="J47" s="55" t="n"/>
      <c r="K47" s="44" t="n"/>
      <c r="L47" s="51">
        <f>IF(OR(J47="",K47=""),"",J47*K47)</f>
        <v/>
      </c>
      <c r="M47" s="51">
        <f>IF(L47="","",L47*Inicio!$B$13)</f>
        <v/>
      </c>
      <c r="N47" s="51">
        <f>IF(L47="","",L47+M47)</f>
        <v/>
      </c>
      <c r="O47" s="54" t="n"/>
      <c r="P47" s="43" t="n"/>
      <c r="Q47" s="44" t="n"/>
      <c r="R47" s="51">
        <f>IF(N47="","",MAX(N47-Q47,0))</f>
        <v/>
      </c>
      <c r="S47" s="48">
        <f>IF(A47="","",IF(OR(P47="Pagada",R47=0),"Pagada",IF(O47&lt;TODAY(),"Vencida",IF(O47&lt;=TODAY()+Inicio!$B$19,"Próxima a vencer","Vigente"))))</f>
        <v/>
      </c>
      <c r="T47" s="43" t="n"/>
      <c r="U47" s="68">
        <f>IF($B47="","",YEAR($B47))</f>
        <v/>
      </c>
      <c r="V47" s="68">
        <f>IF($B47="","",MONTH($B47))</f>
        <v/>
      </c>
      <c r="W47" s="68">
        <f>IF($B47="","",DAY($B47))</f>
        <v/>
      </c>
      <c r="X47" s="68">
        <f>IF($B47="","",YEAR($B47)&amp;"-"&amp;TEXT(MONTH($B47),"00"))</f>
        <v/>
      </c>
      <c r="Y47" s="68">
        <f>IF(OR($H47="",$J47=""),"",$J47*IFERROR(VLOOKUP($H47,Maestro_SKU!$A$2:$P$500,12,FALSE),1))</f>
        <v/>
      </c>
    </row>
    <row r="48" ht="20" customHeight="1" s="36">
      <c r="A48" s="43" t="n"/>
      <c r="B48" s="54" t="n"/>
      <c r="C48" s="43" t="n"/>
      <c r="D48" s="43" t="n"/>
      <c r="E48" s="48">
        <f>IFERROR(VLOOKUP(D48,Clientes_PDV!$A$2:$J$250,2,FALSE),"")</f>
        <v/>
      </c>
      <c r="F48" s="48">
        <f>IFERROR(VLOOKUP(D48,Clientes_PDV!$A$2:$J$250,3,FALSE),"")</f>
        <v/>
      </c>
      <c r="G48" s="48">
        <f>IFERROR(VLOOKUP(D48,Clientes_PDV!$A$2:$J$250,4,FALSE),"")</f>
        <v/>
      </c>
      <c r="H48" s="43" t="n"/>
      <c r="I48" s="48">
        <f>IFERROR(VLOOKUP(H48,Maestro_SKU!$A$2:$P$500,2,FALSE),"")</f>
        <v/>
      </c>
      <c r="J48" s="55" t="n"/>
      <c r="K48" s="44" t="n"/>
      <c r="L48" s="51">
        <f>IF(OR(J48="",K48=""),"",J48*K48)</f>
        <v/>
      </c>
      <c r="M48" s="51">
        <f>IF(L48="","",L48*Inicio!$B$13)</f>
        <v/>
      </c>
      <c r="N48" s="51">
        <f>IF(L48="","",L48+M48)</f>
        <v/>
      </c>
      <c r="O48" s="54" t="n"/>
      <c r="P48" s="43" t="n"/>
      <c r="Q48" s="44" t="n"/>
      <c r="R48" s="51">
        <f>IF(N48="","",MAX(N48-Q48,0))</f>
        <v/>
      </c>
      <c r="S48" s="48">
        <f>IF(A48="","",IF(OR(P48="Pagada",R48=0),"Pagada",IF(O48&lt;TODAY(),"Vencida",IF(O48&lt;=TODAY()+Inicio!$B$19,"Próxima a vencer","Vigente"))))</f>
        <v/>
      </c>
      <c r="T48" s="43" t="n"/>
      <c r="U48" s="68">
        <f>IF($B48="","",YEAR($B48))</f>
        <v/>
      </c>
      <c r="V48" s="68">
        <f>IF($B48="","",MONTH($B48))</f>
        <v/>
      </c>
      <c r="W48" s="68">
        <f>IF($B48="","",DAY($B48))</f>
        <v/>
      </c>
      <c r="X48" s="68">
        <f>IF($B48="","",YEAR($B48)&amp;"-"&amp;TEXT(MONTH($B48),"00"))</f>
        <v/>
      </c>
      <c r="Y48" s="68">
        <f>IF(OR($H48="",$J48=""),"",$J48*IFERROR(VLOOKUP($H48,Maestro_SKU!$A$2:$P$500,12,FALSE),1))</f>
        <v/>
      </c>
    </row>
    <row r="49" ht="20" customHeight="1" s="36">
      <c r="A49" s="43" t="n"/>
      <c r="B49" s="54" t="n"/>
      <c r="C49" s="43" t="n"/>
      <c r="D49" s="43" t="n"/>
      <c r="E49" s="48">
        <f>IFERROR(VLOOKUP(D49,Clientes_PDV!$A$2:$J$250,2,FALSE),"")</f>
        <v/>
      </c>
      <c r="F49" s="48">
        <f>IFERROR(VLOOKUP(D49,Clientes_PDV!$A$2:$J$250,3,FALSE),"")</f>
        <v/>
      </c>
      <c r="G49" s="48">
        <f>IFERROR(VLOOKUP(D49,Clientes_PDV!$A$2:$J$250,4,FALSE),"")</f>
        <v/>
      </c>
      <c r="H49" s="43" t="n"/>
      <c r="I49" s="48">
        <f>IFERROR(VLOOKUP(H49,Maestro_SKU!$A$2:$P$500,2,FALSE),"")</f>
        <v/>
      </c>
      <c r="J49" s="55" t="n"/>
      <c r="K49" s="44" t="n"/>
      <c r="L49" s="51">
        <f>IF(OR(J49="",K49=""),"",J49*K49)</f>
        <v/>
      </c>
      <c r="M49" s="51">
        <f>IF(L49="","",L49*Inicio!$B$13)</f>
        <v/>
      </c>
      <c r="N49" s="51">
        <f>IF(L49="","",L49+M49)</f>
        <v/>
      </c>
      <c r="O49" s="54" t="n"/>
      <c r="P49" s="43" t="n"/>
      <c r="Q49" s="44" t="n"/>
      <c r="R49" s="51">
        <f>IF(N49="","",MAX(N49-Q49,0))</f>
        <v/>
      </c>
      <c r="S49" s="48">
        <f>IF(A49="","",IF(OR(P49="Pagada",R49=0),"Pagada",IF(O49&lt;TODAY(),"Vencida",IF(O49&lt;=TODAY()+Inicio!$B$19,"Próxima a vencer","Vigente"))))</f>
        <v/>
      </c>
      <c r="T49" s="43" t="n"/>
      <c r="U49" s="68">
        <f>IF($B49="","",YEAR($B49))</f>
        <v/>
      </c>
      <c r="V49" s="68">
        <f>IF($B49="","",MONTH($B49))</f>
        <v/>
      </c>
      <c r="W49" s="68">
        <f>IF($B49="","",DAY($B49))</f>
        <v/>
      </c>
      <c r="X49" s="68">
        <f>IF($B49="","",YEAR($B49)&amp;"-"&amp;TEXT(MONTH($B49),"00"))</f>
        <v/>
      </c>
      <c r="Y49" s="68">
        <f>IF(OR($H49="",$J49=""),"",$J49*IFERROR(VLOOKUP($H49,Maestro_SKU!$A$2:$P$500,12,FALSE),1))</f>
        <v/>
      </c>
    </row>
    <row r="50" ht="20" customHeight="1" s="36">
      <c r="A50" s="43" t="n"/>
      <c r="B50" s="54" t="n"/>
      <c r="C50" s="43" t="n"/>
      <c r="D50" s="43" t="n"/>
      <c r="E50" s="48">
        <f>IFERROR(VLOOKUP(D50,Clientes_PDV!$A$2:$J$250,2,FALSE),"")</f>
        <v/>
      </c>
      <c r="F50" s="48">
        <f>IFERROR(VLOOKUP(D50,Clientes_PDV!$A$2:$J$250,3,FALSE),"")</f>
        <v/>
      </c>
      <c r="G50" s="48">
        <f>IFERROR(VLOOKUP(D50,Clientes_PDV!$A$2:$J$250,4,FALSE),"")</f>
        <v/>
      </c>
      <c r="H50" s="43" t="n"/>
      <c r="I50" s="48">
        <f>IFERROR(VLOOKUP(H50,Maestro_SKU!$A$2:$P$500,2,FALSE),"")</f>
        <v/>
      </c>
      <c r="J50" s="55" t="n"/>
      <c r="K50" s="44" t="n"/>
      <c r="L50" s="51">
        <f>IF(OR(J50="",K50=""),"",J50*K50)</f>
        <v/>
      </c>
      <c r="M50" s="51">
        <f>IF(L50="","",L50*Inicio!$B$13)</f>
        <v/>
      </c>
      <c r="N50" s="51">
        <f>IF(L50="","",L50+M50)</f>
        <v/>
      </c>
      <c r="O50" s="54" t="n"/>
      <c r="P50" s="43" t="n"/>
      <c r="Q50" s="44" t="n"/>
      <c r="R50" s="51">
        <f>IF(N50="","",MAX(N50-Q50,0))</f>
        <v/>
      </c>
      <c r="S50" s="48">
        <f>IF(A50="","",IF(OR(P50="Pagada",R50=0),"Pagada",IF(O50&lt;TODAY(),"Vencida",IF(O50&lt;=TODAY()+Inicio!$B$19,"Próxima a vencer","Vigente"))))</f>
        <v/>
      </c>
      <c r="T50" s="43" t="n"/>
      <c r="U50" s="68">
        <f>IF($B50="","",YEAR($B50))</f>
        <v/>
      </c>
      <c r="V50" s="68">
        <f>IF($B50="","",MONTH($B50))</f>
        <v/>
      </c>
      <c r="W50" s="68">
        <f>IF($B50="","",DAY($B50))</f>
        <v/>
      </c>
      <c r="X50" s="68">
        <f>IF($B50="","",YEAR($B50)&amp;"-"&amp;TEXT(MONTH($B50),"00"))</f>
        <v/>
      </c>
      <c r="Y50" s="68">
        <f>IF(OR($H50="",$J50=""),"",$J50*IFERROR(VLOOKUP($H50,Maestro_SKU!$A$2:$P$500,12,FALSE),1))</f>
        <v/>
      </c>
    </row>
    <row r="51">
      <c r="A51" s="43" t="n"/>
      <c r="B51" s="54" t="n"/>
      <c r="C51" s="43" t="n"/>
      <c r="D51" s="43" t="n"/>
      <c r="E51" s="48">
        <f>IFERROR(VLOOKUP(D51,Clientes_PDV!$A$2:$J$250,2,FALSE),"")</f>
        <v/>
      </c>
      <c r="F51" s="48">
        <f>IFERROR(VLOOKUP(D51,Clientes_PDV!$A$2:$J$250,3,FALSE),"")</f>
        <v/>
      </c>
      <c r="G51" s="48">
        <f>IFERROR(VLOOKUP(D51,Clientes_PDV!$A$2:$J$250,4,FALSE),"")</f>
        <v/>
      </c>
      <c r="H51" s="43" t="n"/>
      <c r="I51" s="48">
        <f>IFERROR(VLOOKUP(H51,Maestro_SKU!$A$2:$P$500,2,FALSE),"")</f>
        <v/>
      </c>
      <c r="J51" s="55" t="n"/>
      <c r="K51" s="44" t="n"/>
      <c r="L51" s="51">
        <f>IF(OR(J51="",K51=""),"",J51*K51)</f>
        <v/>
      </c>
      <c r="M51" s="51">
        <f>IF(L51="","",L51*Inicio!$B$13)</f>
        <v/>
      </c>
      <c r="N51" s="51">
        <f>IF(L51="","",L51+M51)</f>
        <v/>
      </c>
      <c r="O51" s="54" t="n"/>
      <c r="P51" s="43" t="n"/>
      <c r="Q51" s="44" t="n"/>
      <c r="R51" s="51">
        <f>IF(N51="","",MAX(N51-Q51,0))</f>
        <v/>
      </c>
      <c r="S51" s="48">
        <f>IF(A51="","",IF(OR(P51="Pagada",R51=0),"Pagada",IF(O51&lt;TODAY(),"Vencida",IF(O51&lt;=TODAY()+Inicio!$B$19,"Próxima a vencer","Vigente"))))</f>
        <v/>
      </c>
      <c r="T51" s="43" t="n"/>
      <c r="U51" s="68">
        <f>IF($B51="","",YEAR($B51))</f>
        <v/>
      </c>
      <c r="V51" s="68">
        <f>IF($B51="","",MONTH($B51))</f>
        <v/>
      </c>
      <c r="W51" s="68">
        <f>IF($B51="","",DAY($B51))</f>
        <v/>
      </c>
      <c r="X51" s="68">
        <f>IF($B51="","",YEAR($B51)&amp;"-"&amp;TEXT(MONTH($B51),"00"))</f>
        <v/>
      </c>
      <c r="Y51" s="68">
        <f>IF(OR($H51="",$J51=""),"",$J51*IFERROR(VLOOKUP($H51,Maestro_SKU!$A$2:$P$500,12,FALSE),1))</f>
        <v/>
      </c>
    </row>
    <row r="52">
      <c r="A52" s="43" t="n"/>
      <c r="B52" s="54" t="n"/>
      <c r="C52" s="43" t="n"/>
      <c r="D52" s="43" t="n"/>
      <c r="E52" s="48">
        <f>IFERROR(VLOOKUP(D52,Clientes_PDV!$A$2:$J$250,2,FALSE),"")</f>
        <v/>
      </c>
      <c r="F52" s="48">
        <f>IFERROR(VLOOKUP(D52,Clientes_PDV!$A$2:$J$250,3,FALSE),"")</f>
        <v/>
      </c>
      <c r="G52" s="48">
        <f>IFERROR(VLOOKUP(D52,Clientes_PDV!$A$2:$J$250,4,FALSE),"")</f>
        <v/>
      </c>
      <c r="H52" s="43" t="n"/>
      <c r="I52" s="48">
        <f>IFERROR(VLOOKUP(H52,Maestro_SKU!$A$2:$P$500,2,FALSE),"")</f>
        <v/>
      </c>
      <c r="J52" s="55" t="n"/>
      <c r="K52" s="44" t="n"/>
      <c r="L52" s="51">
        <f>IF(OR(J52="",K52=""),"",J52*K52)</f>
        <v/>
      </c>
      <c r="M52" s="51">
        <f>IF(L52="","",L52*Inicio!$B$13)</f>
        <v/>
      </c>
      <c r="N52" s="51">
        <f>IF(L52="","",L52+M52)</f>
        <v/>
      </c>
      <c r="O52" s="54" t="n"/>
      <c r="P52" s="43" t="n"/>
      <c r="Q52" s="44" t="n"/>
      <c r="R52" s="51">
        <f>IF(N52="","",MAX(N52-Q52,0))</f>
        <v/>
      </c>
      <c r="S52" s="48">
        <f>IF(A52="","",IF(OR(P52="Pagada",R52=0),"Pagada",IF(O52&lt;TODAY(),"Vencida",IF(O52&lt;=TODAY()+Inicio!$B$19,"Próxima a vencer","Vigente"))))</f>
        <v/>
      </c>
      <c r="T52" s="43" t="n"/>
      <c r="U52" s="68">
        <f>IF($B52="","",YEAR($B52))</f>
        <v/>
      </c>
      <c r="V52" s="68">
        <f>IF($B52="","",MONTH($B52))</f>
        <v/>
      </c>
      <c r="W52" s="68">
        <f>IF($B52="","",DAY($B52))</f>
        <v/>
      </c>
      <c r="X52" s="68">
        <f>IF($B52="","",YEAR($B52)&amp;"-"&amp;TEXT(MONTH($B52),"00"))</f>
        <v/>
      </c>
      <c r="Y52" s="68">
        <f>IF(OR($H52="",$J52=""),"",$J52*IFERROR(VLOOKUP($H52,Maestro_SKU!$A$2:$P$500,12,FALSE),1))</f>
        <v/>
      </c>
    </row>
    <row r="53">
      <c r="A53" s="43" t="n"/>
      <c r="B53" s="54" t="n"/>
      <c r="C53" s="43" t="n"/>
      <c r="D53" s="43" t="n"/>
      <c r="E53" s="48">
        <f>IFERROR(VLOOKUP(D53,Clientes_PDV!$A$2:$J$250,2,FALSE),"")</f>
        <v/>
      </c>
      <c r="F53" s="48">
        <f>IFERROR(VLOOKUP(D53,Clientes_PDV!$A$2:$J$250,3,FALSE),"")</f>
        <v/>
      </c>
      <c r="G53" s="48">
        <f>IFERROR(VLOOKUP(D53,Clientes_PDV!$A$2:$J$250,4,FALSE),"")</f>
        <v/>
      </c>
      <c r="H53" s="43" t="n"/>
      <c r="I53" s="48">
        <f>IFERROR(VLOOKUP(H53,Maestro_SKU!$A$2:$P$500,2,FALSE),"")</f>
        <v/>
      </c>
      <c r="J53" s="55" t="n"/>
      <c r="K53" s="44" t="n"/>
      <c r="L53" s="51">
        <f>IF(OR(J53="",K53=""),"",J53*K53)</f>
        <v/>
      </c>
      <c r="M53" s="51">
        <f>IF(L53="","",L53*Inicio!$B$13)</f>
        <v/>
      </c>
      <c r="N53" s="51">
        <f>IF(L53="","",L53+M53)</f>
        <v/>
      </c>
      <c r="O53" s="54" t="n"/>
      <c r="P53" s="43" t="n"/>
      <c r="Q53" s="44" t="n"/>
      <c r="R53" s="51">
        <f>IF(N53="","",MAX(N53-Q53,0))</f>
        <v/>
      </c>
      <c r="S53" s="48">
        <f>IF(A53="","",IF(OR(P53="Pagada",R53=0),"Pagada",IF(O53&lt;TODAY(),"Vencida",IF(O53&lt;=TODAY()+Inicio!$B$19,"Próxima a vencer","Vigente"))))</f>
        <v/>
      </c>
      <c r="T53" s="43" t="n"/>
      <c r="U53" s="68">
        <f>IF($B53="","",YEAR($B53))</f>
        <v/>
      </c>
      <c r="V53" s="68">
        <f>IF($B53="","",MONTH($B53))</f>
        <v/>
      </c>
      <c r="W53" s="68">
        <f>IF($B53="","",DAY($B53))</f>
        <v/>
      </c>
      <c r="X53" s="68">
        <f>IF($B53="","",YEAR($B53)&amp;"-"&amp;TEXT(MONTH($B53),"00"))</f>
        <v/>
      </c>
      <c r="Y53" s="68">
        <f>IF(OR($H53="",$J53=""),"",$J53*IFERROR(VLOOKUP($H53,Maestro_SKU!$A$2:$P$500,12,FALSE),1))</f>
        <v/>
      </c>
    </row>
    <row r="54">
      <c r="A54" s="43" t="n"/>
      <c r="B54" s="54" t="n"/>
      <c r="C54" s="43" t="n"/>
      <c r="D54" s="43" t="n"/>
      <c r="E54" s="48">
        <f>IFERROR(VLOOKUP(D54,Clientes_PDV!$A$2:$J$250,2,FALSE),"")</f>
        <v/>
      </c>
      <c r="F54" s="48">
        <f>IFERROR(VLOOKUP(D54,Clientes_PDV!$A$2:$J$250,3,FALSE),"")</f>
        <v/>
      </c>
      <c r="G54" s="48">
        <f>IFERROR(VLOOKUP(D54,Clientes_PDV!$A$2:$J$250,4,FALSE),"")</f>
        <v/>
      </c>
      <c r="H54" s="43" t="n"/>
      <c r="I54" s="48">
        <f>IFERROR(VLOOKUP(H54,Maestro_SKU!$A$2:$P$500,2,FALSE),"")</f>
        <v/>
      </c>
      <c r="J54" s="55" t="n"/>
      <c r="K54" s="44" t="n"/>
      <c r="L54" s="51">
        <f>IF(OR(J54="",K54=""),"",J54*K54)</f>
        <v/>
      </c>
      <c r="M54" s="51">
        <f>IF(L54="","",L54*Inicio!$B$13)</f>
        <v/>
      </c>
      <c r="N54" s="51">
        <f>IF(L54="","",L54+M54)</f>
        <v/>
      </c>
      <c r="O54" s="54" t="n"/>
      <c r="P54" s="43" t="n"/>
      <c r="Q54" s="44" t="n"/>
      <c r="R54" s="51">
        <f>IF(N54="","",MAX(N54-Q54,0))</f>
        <v/>
      </c>
      <c r="S54" s="48">
        <f>IF(A54="","",IF(OR(P54="Pagada",R54=0),"Pagada",IF(O54&lt;TODAY(),"Vencida",IF(O54&lt;=TODAY()+Inicio!$B$19,"Próxima a vencer","Vigente"))))</f>
        <v/>
      </c>
      <c r="T54" s="43" t="n"/>
      <c r="U54" s="68">
        <f>IF($B54="","",YEAR($B54))</f>
        <v/>
      </c>
      <c r="V54" s="68">
        <f>IF($B54="","",MONTH($B54))</f>
        <v/>
      </c>
      <c r="W54" s="68">
        <f>IF($B54="","",DAY($B54))</f>
        <v/>
      </c>
      <c r="X54" s="68">
        <f>IF($B54="","",YEAR($B54)&amp;"-"&amp;TEXT(MONTH($B54),"00"))</f>
        <v/>
      </c>
      <c r="Y54" s="68">
        <f>IF(OR($H54="",$J54=""),"",$J54*IFERROR(VLOOKUP($H54,Maestro_SKU!$A$2:$P$500,12,FALSE),1))</f>
        <v/>
      </c>
    </row>
    <row r="55">
      <c r="A55" s="43" t="n"/>
      <c r="B55" s="54" t="n"/>
      <c r="C55" s="43" t="n"/>
      <c r="D55" s="43" t="n"/>
      <c r="E55" s="48">
        <f>IFERROR(VLOOKUP(D55,Clientes_PDV!$A$2:$J$250,2,FALSE),"")</f>
        <v/>
      </c>
      <c r="F55" s="48">
        <f>IFERROR(VLOOKUP(D55,Clientes_PDV!$A$2:$J$250,3,FALSE),"")</f>
        <v/>
      </c>
      <c r="G55" s="48">
        <f>IFERROR(VLOOKUP(D55,Clientes_PDV!$A$2:$J$250,4,FALSE),"")</f>
        <v/>
      </c>
      <c r="H55" s="43" t="n"/>
      <c r="I55" s="48">
        <f>IFERROR(VLOOKUP(H55,Maestro_SKU!$A$2:$P$500,2,FALSE),"")</f>
        <v/>
      </c>
      <c r="J55" s="55" t="n"/>
      <c r="K55" s="44" t="n"/>
      <c r="L55" s="51">
        <f>IF(OR(J55="",K55=""),"",J55*K55)</f>
        <v/>
      </c>
      <c r="M55" s="51">
        <f>IF(L55="","",L55*Inicio!$B$13)</f>
        <v/>
      </c>
      <c r="N55" s="51">
        <f>IF(L55="","",L55+M55)</f>
        <v/>
      </c>
      <c r="O55" s="54" t="n"/>
      <c r="P55" s="43" t="n"/>
      <c r="Q55" s="44" t="n"/>
      <c r="R55" s="51">
        <f>IF(N55="","",MAX(N55-Q55,0))</f>
        <v/>
      </c>
      <c r="S55" s="48">
        <f>IF(A55="","",IF(OR(P55="Pagada",R55=0),"Pagada",IF(O55&lt;TODAY(),"Vencida",IF(O55&lt;=TODAY()+Inicio!$B$19,"Próxima a vencer","Vigente"))))</f>
        <v/>
      </c>
      <c r="T55" s="43" t="n"/>
      <c r="U55" s="68">
        <f>IF($B55="","",YEAR($B55))</f>
        <v/>
      </c>
      <c r="V55" s="68">
        <f>IF($B55="","",MONTH($B55))</f>
        <v/>
      </c>
      <c r="W55" s="68">
        <f>IF($B55="","",DAY($B55))</f>
        <v/>
      </c>
      <c r="X55" s="68">
        <f>IF($B55="","",YEAR($B55)&amp;"-"&amp;TEXT(MONTH($B55),"00"))</f>
        <v/>
      </c>
      <c r="Y55" s="68">
        <f>IF(OR($H55="",$J55=""),"",$J55*IFERROR(VLOOKUP($H55,Maestro_SKU!$A$2:$P$500,12,FALSE),1))</f>
        <v/>
      </c>
    </row>
    <row r="56">
      <c r="A56" s="43" t="n"/>
      <c r="B56" s="54" t="n"/>
      <c r="C56" s="43" t="n"/>
      <c r="D56" s="43" t="n"/>
      <c r="E56" s="48">
        <f>IFERROR(VLOOKUP(D56,Clientes_PDV!$A$2:$J$250,2,FALSE),"")</f>
        <v/>
      </c>
      <c r="F56" s="48">
        <f>IFERROR(VLOOKUP(D56,Clientes_PDV!$A$2:$J$250,3,FALSE),"")</f>
        <v/>
      </c>
      <c r="G56" s="48">
        <f>IFERROR(VLOOKUP(D56,Clientes_PDV!$A$2:$J$250,4,FALSE),"")</f>
        <v/>
      </c>
      <c r="H56" s="43" t="n"/>
      <c r="I56" s="48">
        <f>IFERROR(VLOOKUP(H56,Maestro_SKU!$A$2:$P$500,2,FALSE),"")</f>
        <v/>
      </c>
      <c r="J56" s="55" t="n"/>
      <c r="K56" s="44" t="n"/>
      <c r="L56" s="51">
        <f>IF(OR(J56="",K56=""),"",J56*K56)</f>
        <v/>
      </c>
      <c r="M56" s="51">
        <f>IF(L56="","",L56*Inicio!$B$13)</f>
        <v/>
      </c>
      <c r="N56" s="51">
        <f>IF(L56="","",L56+M56)</f>
        <v/>
      </c>
      <c r="O56" s="54" t="n"/>
      <c r="P56" s="43" t="n"/>
      <c r="Q56" s="44" t="n"/>
      <c r="R56" s="51">
        <f>IF(N56="","",MAX(N56-Q56,0))</f>
        <v/>
      </c>
      <c r="S56" s="48">
        <f>IF(A56="","",IF(OR(P56="Pagada",R56=0),"Pagada",IF(O56&lt;TODAY(),"Vencida",IF(O56&lt;=TODAY()+Inicio!$B$19,"Próxima a vencer","Vigente"))))</f>
        <v/>
      </c>
      <c r="T56" s="43" t="n"/>
      <c r="U56" s="68">
        <f>IF($B56="","",YEAR($B56))</f>
        <v/>
      </c>
      <c r="V56" s="68">
        <f>IF($B56="","",MONTH($B56))</f>
        <v/>
      </c>
      <c r="W56" s="68">
        <f>IF($B56="","",DAY($B56))</f>
        <v/>
      </c>
      <c r="X56" s="68">
        <f>IF($B56="","",YEAR($B56)&amp;"-"&amp;TEXT(MONTH($B56),"00"))</f>
        <v/>
      </c>
      <c r="Y56" s="68">
        <f>IF(OR($H56="",$J56=""),"",$J56*IFERROR(VLOOKUP($H56,Maestro_SKU!$A$2:$P$500,12,FALSE),1))</f>
        <v/>
      </c>
    </row>
    <row r="57">
      <c r="A57" s="43" t="n"/>
      <c r="B57" s="54" t="n"/>
      <c r="C57" s="43" t="n"/>
      <c r="D57" s="43" t="n"/>
      <c r="E57" s="48">
        <f>IFERROR(VLOOKUP(D57,Clientes_PDV!$A$2:$J$250,2,FALSE),"")</f>
        <v/>
      </c>
      <c r="F57" s="48">
        <f>IFERROR(VLOOKUP(D57,Clientes_PDV!$A$2:$J$250,3,FALSE),"")</f>
        <v/>
      </c>
      <c r="G57" s="48">
        <f>IFERROR(VLOOKUP(D57,Clientes_PDV!$A$2:$J$250,4,FALSE),"")</f>
        <v/>
      </c>
      <c r="H57" s="43" t="n"/>
      <c r="I57" s="48">
        <f>IFERROR(VLOOKUP(H57,Maestro_SKU!$A$2:$P$500,2,FALSE),"")</f>
        <v/>
      </c>
      <c r="J57" s="55" t="n"/>
      <c r="K57" s="44" t="n"/>
      <c r="L57" s="51">
        <f>IF(OR(J57="",K57=""),"",J57*K57)</f>
        <v/>
      </c>
      <c r="M57" s="51">
        <f>IF(L57="","",L57*Inicio!$B$13)</f>
        <v/>
      </c>
      <c r="N57" s="51">
        <f>IF(L57="","",L57+M57)</f>
        <v/>
      </c>
      <c r="O57" s="54" t="n"/>
      <c r="P57" s="43" t="n"/>
      <c r="Q57" s="44" t="n"/>
      <c r="R57" s="51">
        <f>IF(N57="","",MAX(N57-Q57,0))</f>
        <v/>
      </c>
      <c r="S57" s="48">
        <f>IF(A57="","",IF(OR(P57="Pagada",R57=0),"Pagada",IF(O57&lt;TODAY(),"Vencida",IF(O57&lt;=TODAY()+Inicio!$B$19,"Próxima a vencer","Vigente"))))</f>
        <v/>
      </c>
      <c r="T57" s="43" t="n"/>
      <c r="U57" s="68">
        <f>IF($B57="","",YEAR($B57))</f>
        <v/>
      </c>
      <c r="V57" s="68">
        <f>IF($B57="","",MONTH($B57))</f>
        <v/>
      </c>
      <c r="W57" s="68">
        <f>IF($B57="","",DAY($B57))</f>
        <v/>
      </c>
      <c r="X57" s="68">
        <f>IF($B57="","",YEAR($B57)&amp;"-"&amp;TEXT(MONTH($B57),"00"))</f>
        <v/>
      </c>
      <c r="Y57" s="68">
        <f>IF(OR($H57="",$J57=""),"",$J57*IFERROR(VLOOKUP($H57,Maestro_SKU!$A$2:$P$500,12,FALSE),1))</f>
        <v/>
      </c>
    </row>
    <row r="58">
      <c r="A58" s="43" t="n"/>
      <c r="B58" s="54" t="n"/>
      <c r="C58" s="43" t="n"/>
      <c r="D58" s="43" t="n"/>
      <c r="E58" s="48">
        <f>IFERROR(VLOOKUP(D58,Clientes_PDV!$A$2:$J$250,2,FALSE),"")</f>
        <v/>
      </c>
      <c r="F58" s="48">
        <f>IFERROR(VLOOKUP(D58,Clientes_PDV!$A$2:$J$250,3,FALSE),"")</f>
        <v/>
      </c>
      <c r="G58" s="48">
        <f>IFERROR(VLOOKUP(D58,Clientes_PDV!$A$2:$J$250,4,FALSE),"")</f>
        <v/>
      </c>
      <c r="H58" s="43" t="n"/>
      <c r="I58" s="48">
        <f>IFERROR(VLOOKUP(H58,Maestro_SKU!$A$2:$P$500,2,FALSE),"")</f>
        <v/>
      </c>
      <c r="J58" s="55" t="n"/>
      <c r="K58" s="44" t="n"/>
      <c r="L58" s="51">
        <f>IF(OR(J58="",K58=""),"",J58*K58)</f>
        <v/>
      </c>
      <c r="M58" s="51">
        <f>IF(L58="","",L58*Inicio!$B$13)</f>
        <v/>
      </c>
      <c r="N58" s="51">
        <f>IF(L58="","",L58+M58)</f>
        <v/>
      </c>
      <c r="O58" s="54" t="n"/>
      <c r="P58" s="43" t="n"/>
      <c r="Q58" s="44" t="n"/>
      <c r="R58" s="51">
        <f>IF(N58="","",MAX(N58-Q58,0))</f>
        <v/>
      </c>
      <c r="S58" s="48">
        <f>IF(A58="","",IF(OR(P58="Pagada",R58=0),"Pagada",IF(O58&lt;TODAY(),"Vencida",IF(O58&lt;=TODAY()+Inicio!$B$19,"Próxima a vencer","Vigente"))))</f>
        <v/>
      </c>
      <c r="T58" s="43" t="n"/>
      <c r="U58" s="68">
        <f>IF($B58="","",YEAR($B58))</f>
        <v/>
      </c>
      <c r="V58" s="68">
        <f>IF($B58="","",MONTH($B58))</f>
        <v/>
      </c>
      <c r="W58" s="68">
        <f>IF($B58="","",DAY($B58))</f>
        <v/>
      </c>
      <c r="X58" s="68">
        <f>IF($B58="","",YEAR($B58)&amp;"-"&amp;TEXT(MONTH($B58),"00"))</f>
        <v/>
      </c>
      <c r="Y58" s="68">
        <f>IF(OR($H58="",$J58=""),"",$J58*IFERROR(VLOOKUP($H58,Maestro_SKU!$A$2:$P$500,12,FALSE),1))</f>
        <v/>
      </c>
    </row>
    <row r="59">
      <c r="A59" s="43" t="n"/>
      <c r="B59" s="54" t="n"/>
      <c r="C59" s="43" t="n"/>
      <c r="D59" s="43" t="n"/>
      <c r="E59" s="48">
        <f>IFERROR(VLOOKUP(D59,Clientes_PDV!$A$2:$J$250,2,FALSE),"")</f>
        <v/>
      </c>
      <c r="F59" s="48">
        <f>IFERROR(VLOOKUP(D59,Clientes_PDV!$A$2:$J$250,3,FALSE),"")</f>
        <v/>
      </c>
      <c r="G59" s="48">
        <f>IFERROR(VLOOKUP(D59,Clientes_PDV!$A$2:$J$250,4,FALSE),"")</f>
        <v/>
      </c>
      <c r="H59" s="43" t="n"/>
      <c r="I59" s="48">
        <f>IFERROR(VLOOKUP(H59,Maestro_SKU!$A$2:$P$500,2,FALSE),"")</f>
        <v/>
      </c>
      <c r="J59" s="55" t="n"/>
      <c r="K59" s="44" t="n"/>
      <c r="L59" s="51">
        <f>IF(OR(J59="",K59=""),"",J59*K59)</f>
        <v/>
      </c>
      <c r="M59" s="51">
        <f>IF(L59="","",L59*Inicio!$B$13)</f>
        <v/>
      </c>
      <c r="N59" s="51">
        <f>IF(L59="","",L59+M59)</f>
        <v/>
      </c>
      <c r="O59" s="54" t="n"/>
      <c r="P59" s="43" t="n"/>
      <c r="Q59" s="44" t="n"/>
      <c r="R59" s="51">
        <f>IF(N59="","",MAX(N59-Q59,0))</f>
        <v/>
      </c>
      <c r="S59" s="48">
        <f>IF(A59="","",IF(OR(P59="Pagada",R59=0),"Pagada",IF(O59&lt;TODAY(),"Vencida",IF(O59&lt;=TODAY()+Inicio!$B$19,"Próxima a vencer","Vigente"))))</f>
        <v/>
      </c>
      <c r="T59" s="43" t="n"/>
      <c r="U59" s="68">
        <f>IF($B59="","",YEAR($B59))</f>
        <v/>
      </c>
      <c r="V59" s="68">
        <f>IF($B59="","",MONTH($B59))</f>
        <v/>
      </c>
      <c r="W59" s="68">
        <f>IF($B59="","",DAY($B59))</f>
        <v/>
      </c>
      <c r="X59" s="68">
        <f>IF($B59="","",YEAR($B59)&amp;"-"&amp;TEXT(MONTH($B59),"00"))</f>
        <v/>
      </c>
      <c r="Y59" s="68">
        <f>IF(OR($H59="",$J59=""),"",$J59*IFERROR(VLOOKUP($H59,Maestro_SKU!$A$2:$P$500,12,FALSE),1))</f>
        <v/>
      </c>
    </row>
    <row r="60">
      <c r="A60" s="43" t="n"/>
      <c r="B60" s="54" t="n"/>
      <c r="C60" s="43" t="n"/>
      <c r="D60" s="43" t="n"/>
      <c r="E60" s="48">
        <f>IFERROR(VLOOKUP(D60,Clientes_PDV!$A$2:$J$250,2,FALSE),"")</f>
        <v/>
      </c>
      <c r="F60" s="48">
        <f>IFERROR(VLOOKUP(D60,Clientes_PDV!$A$2:$J$250,3,FALSE),"")</f>
        <v/>
      </c>
      <c r="G60" s="48">
        <f>IFERROR(VLOOKUP(D60,Clientes_PDV!$A$2:$J$250,4,FALSE),"")</f>
        <v/>
      </c>
      <c r="H60" s="43" t="n"/>
      <c r="I60" s="48">
        <f>IFERROR(VLOOKUP(H60,Maestro_SKU!$A$2:$P$500,2,FALSE),"")</f>
        <v/>
      </c>
      <c r="J60" s="55" t="n"/>
      <c r="K60" s="44" t="n"/>
      <c r="L60" s="51">
        <f>IF(OR(J60="",K60=""),"",J60*K60)</f>
        <v/>
      </c>
      <c r="M60" s="51">
        <f>IF(L60="","",L60*Inicio!$B$13)</f>
        <v/>
      </c>
      <c r="N60" s="51">
        <f>IF(L60="","",L60+M60)</f>
        <v/>
      </c>
      <c r="O60" s="54" t="n"/>
      <c r="P60" s="43" t="n"/>
      <c r="Q60" s="44" t="n"/>
      <c r="R60" s="51">
        <f>IF(N60="","",MAX(N60-Q60,0))</f>
        <v/>
      </c>
      <c r="S60" s="48">
        <f>IF(A60="","",IF(OR(P60="Pagada",R60=0),"Pagada",IF(O60&lt;TODAY(),"Vencida",IF(O60&lt;=TODAY()+Inicio!$B$19,"Próxima a vencer","Vigente"))))</f>
        <v/>
      </c>
      <c r="T60" s="43" t="n"/>
      <c r="U60" s="68">
        <f>IF($B60="","",YEAR($B60))</f>
        <v/>
      </c>
      <c r="V60" s="68">
        <f>IF($B60="","",MONTH($B60))</f>
        <v/>
      </c>
      <c r="W60" s="68">
        <f>IF($B60="","",DAY($B60))</f>
        <v/>
      </c>
      <c r="X60" s="68">
        <f>IF($B60="","",YEAR($B60)&amp;"-"&amp;TEXT(MONTH($B60),"00"))</f>
        <v/>
      </c>
      <c r="Y60" s="68">
        <f>IF(OR($H60="",$J60=""),"",$J60*IFERROR(VLOOKUP($H60,Maestro_SKU!$A$2:$P$500,12,FALSE),1))</f>
        <v/>
      </c>
    </row>
    <row r="61">
      <c r="A61" s="43" t="n"/>
      <c r="B61" s="54" t="n"/>
      <c r="C61" s="43" t="n"/>
      <c r="D61" s="43" t="n"/>
      <c r="E61" s="48">
        <f>IFERROR(VLOOKUP(D61,Clientes_PDV!$A$2:$J$250,2,FALSE),"")</f>
        <v/>
      </c>
      <c r="F61" s="48">
        <f>IFERROR(VLOOKUP(D61,Clientes_PDV!$A$2:$J$250,3,FALSE),"")</f>
        <v/>
      </c>
      <c r="G61" s="48">
        <f>IFERROR(VLOOKUP(D61,Clientes_PDV!$A$2:$J$250,4,FALSE),"")</f>
        <v/>
      </c>
      <c r="H61" s="43" t="n"/>
      <c r="I61" s="48">
        <f>IFERROR(VLOOKUP(H61,Maestro_SKU!$A$2:$P$500,2,FALSE),"")</f>
        <v/>
      </c>
      <c r="J61" s="55" t="n"/>
      <c r="K61" s="44" t="n"/>
      <c r="L61" s="51">
        <f>IF(OR(J61="",K61=""),"",J61*K61)</f>
        <v/>
      </c>
      <c r="M61" s="51">
        <f>IF(L61="","",L61*Inicio!$B$13)</f>
        <v/>
      </c>
      <c r="N61" s="51">
        <f>IF(L61="","",L61+M61)</f>
        <v/>
      </c>
      <c r="O61" s="54" t="n"/>
      <c r="P61" s="43" t="n"/>
      <c r="Q61" s="44" t="n"/>
      <c r="R61" s="51">
        <f>IF(N61="","",MAX(N61-Q61,0))</f>
        <v/>
      </c>
      <c r="S61" s="48">
        <f>IF(A61="","",IF(OR(P61="Pagada",R61=0),"Pagada",IF(O61&lt;TODAY(),"Vencida",IF(O61&lt;=TODAY()+Inicio!$B$19,"Próxima a vencer","Vigente"))))</f>
        <v/>
      </c>
      <c r="T61" s="43" t="n"/>
      <c r="U61" s="68">
        <f>IF($B61="","",YEAR($B61))</f>
        <v/>
      </c>
      <c r="V61" s="68">
        <f>IF($B61="","",MONTH($B61))</f>
        <v/>
      </c>
      <c r="W61" s="68">
        <f>IF($B61="","",DAY($B61))</f>
        <v/>
      </c>
      <c r="X61" s="68">
        <f>IF($B61="","",YEAR($B61)&amp;"-"&amp;TEXT(MONTH($B61),"00"))</f>
        <v/>
      </c>
      <c r="Y61" s="68">
        <f>IF(OR($H61="",$J61=""),"",$J61*IFERROR(VLOOKUP($H61,Maestro_SKU!$A$2:$P$500,12,FALSE),1))</f>
        <v/>
      </c>
    </row>
    <row r="62">
      <c r="A62" s="43" t="n"/>
      <c r="B62" s="54" t="n"/>
      <c r="C62" s="43" t="n"/>
      <c r="D62" s="43" t="n"/>
      <c r="E62" s="48">
        <f>IFERROR(VLOOKUP(D62,Clientes_PDV!$A$2:$J$250,2,FALSE),"")</f>
        <v/>
      </c>
      <c r="F62" s="48">
        <f>IFERROR(VLOOKUP(D62,Clientes_PDV!$A$2:$J$250,3,FALSE),"")</f>
        <v/>
      </c>
      <c r="G62" s="48">
        <f>IFERROR(VLOOKUP(D62,Clientes_PDV!$A$2:$J$250,4,FALSE),"")</f>
        <v/>
      </c>
      <c r="H62" s="43" t="n"/>
      <c r="I62" s="48">
        <f>IFERROR(VLOOKUP(H62,Maestro_SKU!$A$2:$P$500,2,FALSE),"")</f>
        <v/>
      </c>
      <c r="J62" s="55" t="n"/>
      <c r="K62" s="44" t="n"/>
      <c r="L62" s="51">
        <f>IF(OR(J62="",K62=""),"",J62*K62)</f>
        <v/>
      </c>
      <c r="M62" s="51">
        <f>IF(L62="","",L62*Inicio!$B$13)</f>
        <v/>
      </c>
      <c r="N62" s="51">
        <f>IF(L62="","",L62+M62)</f>
        <v/>
      </c>
      <c r="O62" s="54" t="n"/>
      <c r="P62" s="43" t="n"/>
      <c r="Q62" s="44" t="n"/>
      <c r="R62" s="51">
        <f>IF(N62="","",MAX(N62-Q62,0))</f>
        <v/>
      </c>
      <c r="S62" s="48">
        <f>IF(A62="","",IF(OR(P62="Pagada",R62=0),"Pagada",IF(O62&lt;TODAY(),"Vencida",IF(O62&lt;=TODAY()+Inicio!$B$19,"Próxima a vencer","Vigente"))))</f>
        <v/>
      </c>
      <c r="T62" s="43" t="n"/>
      <c r="U62" s="68">
        <f>IF($B62="","",YEAR($B62))</f>
        <v/>
      </c>
      <c r="V62" s="68">
        <f>IF($B62="","",MONTH($B62))</f>
        <v/>
      </c>
      <c r="W62" s="68">
        <f>IF($B62="","",DAY($B62))</f>
        <v/>
      </c>
      <c r="X62" s="68">
        <f>IF($B62="","",YEAR($B62)&amp;"-"&amp;TEXT(MONTH($B62),"00"))</f>
        <v/>
      </c>
      <c r="Y62" s="68">
        <f>IF(OR($H62="",$J62=""),"",$J62*IFERROR(VLOOKUP($H62,Maestro_SKU!$A$2:$P$500,12,FALSE),1))</f>
        <v/>
      </c>
    </row>
    <row r="63">
      <c r="A63" s="43" t="n"/>
      <c r="B63" s="54" t="n"/>
      <c r="C63" s="43" t="n"/>
      <c r="D63" s="43" t="n"/>
      <c r="E63" s="48">
        <f>IFERROR(VLOOKUP(D63,Clientes_PDV!$A$2:$J$250,2,FALSE),"")</f>
        <v/>
      </c>
      <c r="F63" s="48">
        <f>IFERROR(VLOOKUP(D63,Clientes_PDV!$A$2:$J$250,3,FALSE),"")</f>
        <v/>
      </c>
      <c r="G63" s="48">
        <f>IFERROR(VLOOKUP(D63,Clientes_PDV!$A$2:$J$250,4,FALSE),"")</f>
        <v/>
      </c>
      <c r="H63" s="43" t="n"/>
      <c r="I63" s="48">
        <f>IFERROR(VLOOKUP(H63,Maestro_SKU!$A$2:$P$500,2,FALSE),"")</f>
        <v/>
      </c>
      <c r="J63" s="55" t="n"/>
      <c r="K63" s="44" t="n"/>
      <c r="L63" s="51">
        <f>IF(OR(J63="",K63=""),"",J63*K63)</f>
        <v/>
      </c>
      <c r="M63" s="51">
        <f>IF(L63="","",L63*Inicio!$B$13)</f>
        <v/>
      </c>
      <c r="N63" s="51">
        <f>IF(L63="","",L63+M63)</f>
        <v/>
      </c>
      <c r="O63" s="54" t="n"/>
      <c r="P63" s="43" t="n"/>
      <c r="Q63" s="44" t="n"/>
      <c r="R63" s="51">
        <f>IF(N63="","",MAX(N63-Q63,0))</f>
        <v/>
      </c>
      <c r="S63" s="48">
        <f>IF(A63="","",IF(OR(P63="Pagada",R63=0),"Pagada",IF(O63&lt;TODAY(),"Vencida",IF(O63&lt;=TODAY()+Inicio!$B$19,"Próxima a vencer","Vigente"))))</f>
        <v/>
      </c>
      <c r="T63" s="43" t="n"/>
      <c r="U63" s="68">
        <f>IF($B63="","",YEAR($B63))</f>
        <v/>
      </c>
      <c r="V63" s="68">
        <f>IF($B63="","",MONTH($B63))</f>
        <v/>
      </c>
      <c r="W63" s="68">
        <f>IF($B63="","",DAY($B63))</f>
        <v/>
      </c>
      <c r="X63" s="68">
        <f>IF($B63="","",YEAR($B63)&amp;"-"&amp;TEXT(MONTH($B63),"00"))</f>
        <v/>
      </c>
      <c r="Y63" s="68">
        <f>IF(OR($H63="",$J63=""),"",$J63*IFERROR(VLOOKUP($H63,Maestro_SKU!$A$2:$P$500,12,FALSE),1))</f>
        <v/>
      </c>
    </row>
    <row r="64">
      <c r="A64" s="43" t="n"/>
      <c r="B64" s="54" t="n"/>
      <c r="C64" s="43" t="n"/>
      <c r="D64" s="43" t="n"/>
      <c r="E64" s="48">
        <f>IFERROR(VLOOKUP(D64,Clientes_PDV!$A$2:$J$250,2,FALSE),"")</f>
        <v/>
      </c>
      <c r="F64" s="48">
        <f>IFERROR(VLOOKUP(D64,Clientes_PDV!$A$2:$J$250,3,FALSE),"")</f>
        <v/>
      </c>
      <c r="G64" s="48">
        <f>IFERROR(VLOOKUP(D64,Clientes_PDV!$A$2:$J$250,4,FALSE),"")</f>
        <v/>
      </c>
      <c r="H64" s="43" t="n"/>
      <c r="I64" s="48">
        <f>IFERROR(VLOOKUP(H64,Maestro_SKU!$A$2:$P$500,2,FALSE),"")</f>
        <v/>
      </c>
      <c r="J64" s="55" t="n"/>
      <c r="K64" s="44" t="n"/>
      <c r="L64" s="51">
        <f>IF(OR(J64="",K64=""),"",J64*K64)</f>
        <v/>
      </c>
      <c r="M64" s="51">
        <f>IF(L64="","",L64*Inicio!$B$13)</f>
        <v/>
      </c>
      <c r="N64" s="51">
        <f>IF(L64="","",L64+M64)</f>
        <v/>
      </c>
      <c r="O64" s="54" t="n"/>
      <c r="P64" s="43" t="n"/>
      <c r="Q64" s="44" t="n"/>
      <c r="R64" s="51">
        <f>IF(N64="","",MAX(N64-Q64,0))</f>
        <v/>
      </c>
      <c r="S64" s="48">
        <f>IF(A64="","",IF(OR(P64="Pagada",R64=0),"Pagada",IF(O64&lt;TODAY(),"Vencida",IF(O64&lt;=TODAY()+Inicio!$B$19,"Próxima a vencer","Vigente"))))</f>
        <v/>
      </c>
      <c r="T64" s="43" t="n"/>
      <c r="U64" s="68">
        <f>IF($B64="","",YEAR($B64))</f>
        <v/>
      </c>
      <c r="V64" s="68">
        <f>IF($B64="","",MONTH($B64))</f>
        <v/>
      </c>
      <c r="W64" s="68">
        <f>IF($B64="","",DAY($B64))</f>
        <v/>
      </c>
      <c r="X64" s="68">
        <f>IF($B64="","",YEAR($B64)&amp;"-"&amp;TEXT(MONTH($B64),"00"))</f>
        <v/>
      </c>
      <c r="Y64" s="68">
        <f>IF(OR($H64="",$J64=""),"",$J64*IFERROR(VLOOKUP($H64,Maestro_SKU!$A$2:$P$500,12,FALSE),1))</f>
        <v/>
      </c>
    </row>
    <row r="65">
      <c r="A65" s="43" t="n"/>
      <c r="B65" s="54" t="n"/>
      <c r="C65" s="43" t="n"/>
      <c r="D65" s="43" t="n"/>
      <c r="E65" s="48">
        <f>IFERROR(VLOOKUP(D65,Clientes_PDV!$A$2:$J$250,2,FALSE),"")</f>
        <v/>
      </c>
      <c r="F65" s="48">
        <f>IFERROR(VLOOKUP(D65,Clientes_PDV!$A$2:$J$250,3,FALSE),"")</f>
        <v/>
      </c>
      <c r="G65" s="48">
        <f>IFERROR(VLOOKUP(D65,Clientes_PDV!$A$2:$J$250,4,FALSE),"")</f>
        <v/>
      </c>
      <c r="H65" s="43" t="n"/>
      <c r="I65" s="48">
        <f>IFERROR(VLOOKUP(H65,Maestro_SKU!$A$2:$P$500,2,FALSE),"")</f>
        <v/>
      </c>
      <c r="J65" s="55" t="n"/>
      <c r="K65" s="44" t="n"/>
      <c r="L65" s="51">
        <f>IF(OR(J65="",K65=""),"",J65*K65)</f>
        <v/>
      </c>
      <c r="M65" s="51">
        <f>IF(L65="","",L65*Inicio!$B$13)</f>
        <v/>
      </c>
      <c r="N65" s="51">
        <f>IF(L65="","",L65+M65)</f>
        <v/>
      </c>
      <c r="O65" s="54" t="n"/>
      <c r="P65" s="43" t="n"/>
      <c r="Q65" s="44" t="n"/>
      <c r="R65" s="51">
        <f>IF(N65="","",MAX(N65-Q65,0))</f>
        <v/>
      </c>
      <c r="S65" s="48">
        <f>IF(A65="","",IF(OR(P65="Pagada",R65=0),"Pagada",IF(O65&lt;TODAY(),"Vencida",IF(O65&lt;=TODAY()+Inicio!$B$19,"Próxima a vencer","Vigente"))))</f>
        <v/>
      </c>
      <c r="T65" s="43" t="n"/>
      <c r="U65" s="68">
        <f>IF($B65="","",YEAR($B65))</f>
        <v/>
      </c>
      <c r="V65" s="68">
        <f>IF($B65="","",MONTH($B65))</f>
        <v/>
      </c>
      <c r="W65" s="68">
        <f>IF($B65="","",DAY($B65))</f>
        <v/>
      </c>
      <c r="X65" s="68">
        <f>IF($B65="","",YEAR($B65)&amp;"-"&amp;TEXT(MONTH($B65),"00"))</f>
        <v/>
      </c>
      <c r="Y65" s="68">
        <f>IF(OR($H65="",$J65=""),"",$J65*IFERROR(VLOOKUP($H65,Maestro_SKU!$A$2:$P$500,12,FALSE),1))</f>
        <v/>
      </c>
    </row>
    <row r="66">
      <c r="A66" s="43" t="n"/>
      <c r="B66" s="54" t="n"/>
      <c r="C66" s="43" t="n"/>
      <c r="D66" s="43" t="n"/>
      <c r="E66" s="48">
        <f>IFERROR(VLOOKUP(D66,Clientes_PDV!$A$2:$J$250,2,FALSE),"")</f>
        <v/>
      </c>
      <c r="F66" s="48">
        <f>IFERROR(VLOOKUP(D66,Clientes_PDV!$A$2:$J$250,3,FALSE),"")</f>
        <v/>
      </c>
      <c r="G66" s="48">
        <f>IFERROR(VLOOKUP(D66,Clientes_PDV!$A$2:$J$250,4,FALSE),"")</f>
        <v/>
      </c>
      <c r="H66" s="43" t="n"/>
      <c r="I66" s="48">
        <f>IFERROR(VLOOKUP(H66,Maestro_SKU!$A$2:$P$500,2,FALSE),"")</f>
        <v/>
      </c>
      <c r="J66" s="55" t="n"/>
      <c r="K66" s="44" t="n"/>
      <c r="L66" s="51">
        <f>IF(OR(J66="",K66=""),"",J66*K66)</f>
        <v/>
      </c>
      <c r="M66" s="51">
        <f>IF(L66="","",L66*Inicio!$B$13)</f>
        <v/>
      </c>
      <c r="N66" s="51">
        <f>IF(L66="","",L66+M66)</f>
        <v/>
      </c>
      <c r="O66" s="54" t="n"/>
      <c r="P66" s="43" t="n"/>
      <c r="Q66" s="44" t="n"/>
      <c r="R66" s="51">
        <f>IF(N66="","",MAX(N66-Q66,0))</f>
        <v/>
      </c>
      <c r="S66" s="48">
        <f>IF(A66="","",IF(OR(P66="Pagada",R66=0),"Pagada",IF(O66&lt;TODAY(),"Vencida",IF(O66&lt;=TODAY()+Inicio!$B$19,"Próxima a vencer","Vigente"))))</f>
        <v/>
      </c>
      <c r="T66" s="43" t="n"/>
      <c r="U66" s="68">
        <f>IF($B66="","",YEAR($B66))</f>
        <v/>
      </c>
      <c r="V66" s="68">
        <f>IF($B66="","",MONTH($B66))</f>
        <v/>
      </c>
      <c r="W66" s="68">
        <f>IF($B66="","",DAY($B66))</f>
        <v/>
      </c>
      <c r="X66" s="68">
        <f>IF($B66="","",YEAR($B66)&amp;"-"&amp;TEXT(MONTH($B66),"00"))</f>
        <v/>
      </c>
      <c r="Y66" s="68">
        <f>IF(OR($H66="",$J66=""),"",$J66*IFERROR(VLOOKUP($H66,Maestro_SKU!$A$2:$P$500,12,FALSE),1))</f>
        <v/>
      </c>
    </row>
    <row r="67">
      <c r="A67" s="43" t="n"/>
      <c r="B67" s="54" t="n"/>
      <c r="C67" s="43" t="n"/>
      <c r="D67" s="43" t="n"/>
      <c r="E67" s="48">
        <f>IFERROR(VLOOKUP(D67,Clientes_PDV!$A$2:$J$250,2,FALSE),"")</f>
        <v/>
      </c>
      <c r="F67" s="48">
        <f>IFERROR(VLOOKUP(D67,Clientes_PDV!$A$2:$J$250,3,FALSE),"")</f>
        <v/>
      </c>
      <c r="G67" s="48">
        <f>IFERROR(VLOOKUP(D67,Clientes_PDV!$A$2:$J$250,4,FALSE),"")</f>
        <v/>
      </c>
      <c r="H67" s="43" t="n"/>
      <c r="I67" s="48">
        <f>IFERROR(VLOOKUP(H67,Maestro_SKU!$A$2:$P$500,2,FALSE),"")</f>
        <v/>
      </c>
      <c r="J67" s="55" t="n"/>
      <c r="K67" s="44" t="n"/>
      <c r="L67" s="51">
        <f>IF(OR(J67="",K67=""),"",J67*K67)</f>
        <v/>
      </c>
      <c r="M67" s="51">
        <f>IF(L67="","",L67*Inicio!$B$13)</f>
        <v/>
      </c>
      <c r="N67" s="51">
        <f>IF(L67="","",L67+M67)</f>
        <v/>
      </c>
      <c r="O67" s="54" t="n"/>
      <c r="P67" s="43" t="n"/>
      <c r="Q67" s="44" t="n"/>
      <c r="R67" s="51">
        <f>IF(N67="","",MAX(N67-Q67,0))</f>
        <v/>
      </c>
      <c r="S67" s="48">
        <f>IF(A67="","",IF(OR(P67="Pagada",R67=0),"Pagada",IF(O67&lt;TODAY(),"Vencida",IF(O67&lt;=TODAY()+Inicio!$B$19,"Próxima a vencer","Vigente"))))</f>
        <v/>
      </c>
      <c r="T67" s="43" t="n"/>
      <c r="U67" s="68">
        <f>IF($B67="","",YEAR($B67))</f>
        <v/>
      </c>
      <c r="V67" s="68">
        <f>IF($B67="","",MONTH($B67))</f>
        <v/>
      </c>
      <c r="W67" s="68">
        <f>IF($B67="","",DAY($B67))</f>
        <v/>
      </c>
      <c r="X67" s="68">
        <f>IF($B67="","",YEAR($B67)&amp;"-"&amp;TEXT(MONTH($B67),"00"))</f>
        <v/>
      </c>
      <c r="Y67" s="68">
        <f>IF(OR($H67="",$J67=""),"",$J67*IFERROR(VLOOKUP($H67,Maestro_SKU!$A$2:$P$500,12,FALSE),1))</f>
        <v/>
      </c>
    </row>
    <row r="68">
      <c r="A68" s="43" t="n"/>
      <c r="B68" s="54" t="n"/>
      <c r="C68" s="43" t="n"/>
      <c r="D68" s="43" t="n"/>
      <c r="E68" s="48">
        <f>IFERROR(VLOOKUP(D68,Clientes_PDV!$A$2:$J$250,2,FALSE),"")</f>
        <v/>
      </c>
      <c r="F68" s="48">
        <f>IFERROR(VLOOKUP(D68,Clientes_PDV!$A$2:$J$250,3,FALSE),"")</f>
        <v/>
      </c>
      <c r="G68" s="48">
        <f>IFERROR(VLOOKUP(D68,Clientes_PDV!$A$2:$J$250,4,FALSE),"")</f>
        <v/>
      </c>
      <c r="H68" s="43" t="n"/>
      <c r="I68" s="48">
        <f>IFERROR(VLOOKUP(H68,Maestro_SKU!$A$2:$P$500,2,FALSE),"")</f>
        <v/>
      </c>
      <c r="J68" s="55" t="n"/>
      <c r="K68" s="44" t="n"/>
      <c r="L68" s="51">
        <f>IF(OR(J68="",K68=""),"",J68*K68)</f>
        <v/>
      </c>
      <c r="M68" s="51">
        <f>IF(L68="","",L68*Inicio!$B$13)</f>
        <v/>
      </c>
      <c r="N68" s="51">
        <f>IF(L68="","",L68+M68)</f>
        <v/>
      </c>
      <c r="O68" s="54" t="n"/>
      <c r="P68" s="43" t="n"/>
      <c r="Q68" s="44" t="n"/>
      <c r="R68" s="51">
        <f>IF(N68="","",MAX(N68-Q68,0))</f>
        <v/>
      </c>
      <c r="S68" s="48">
        <f>IF(A68="","",IF(OR(P68="Pagada",R68=0),"Pagada",IF(O68&lt;TODAY(),"Vencida",IF(O68&lt;=TODAY()+Inicio!$B$19,"Próxima a vencer","Vigente"))))</f>
        <v/>
      </c>
      <c r="T68" s="43" t="n"/>
      <c r="U68" s="68">
        <f>IF($B68="","",YEAR($B68))</f>
        <v/>
      </c>
      <c r="V68" s="68">
        <f>IF($B68="","",MONTH($B68))</f>
        <v/>
      </c>
      <c r="W68" s="68">
        <f>IF($B68="","",DAY($B68))</f>
        <v/>
      </c>
      <c r="X68" s="68">
        <f>IF($B68="","",YEAR($B68)&amp;"-"&amp;TEXT(MONTH($B68),"00"))</f>
        <v/>
      </c>
      <c r="Y68" s="68">
        <f>IF(OR($H68="",$J68=""),"",$J68*IFERROR(VLOOKUP($H68,Maestro_SKU!$A$2:$P$500,12,FALSE),1))</f>
        <v/>
      </c>
    </row>
    <row r="69">
      <c r="A69" s="43" t="n"/>
      <c r="B69" s="54" t="n"/>
      <c r="C69" s="43" t="n"/>
      <c r="D69" s="43" t="n"/>
      <c r="E69" s="48">
        <f>IFERROR(VLOOKUP(D69,Clientes_PDV!$A$2:$J$250,2,FALSE),"")</f>
        <v/>
      </c>
      <c r="F69" s="48">
        <f>IFERROR(VLOOKUP(D69,Clientes_PDV!$A$2:$J$250,3,FALSE),"")</f>
        <v/>
      </c>
      <c r="G69" s="48">
        <f>IFERROR(VLOOKUP(D69,Clientes_PDV!$A$2:$J$250,4,FALSE),"")</f>
        <v/>
      </c>
      <c r="H69" s="43" t="n"/>
      <c r="I69" s="48">
        <f>IFERROR(VLOOKUP(H69,Maestro_SKU!$A$2:$P$500,2,FALSE),"")</f>
        <v/>
      </c>
      <c r="J69" s="55" t="n"/>
      <c r="K69" s="44" t="n"/>
      <c r="L69" s="51">
        <f>IF(OR(J69="",K69=""),"",J69*K69)</f>
        <v/>
      </c>
      <c r="M69" s="51">
        <f>IF(L69="","",L69*Inicio!$B$13)</f>
        <v/>
      </c>
      <c r="N69" s="51">
        <f>IF(L69="","",L69+M69)</f>
        <v/>
      </c>
      <c r="O69" s="54" t="n"/>
      <c r="P69" s="43" t="n"/>
      <c r="Q69" s="44" t="n"/>
      <c r="R69" s="51">
        <f>IF(N69="","",MAX(N69-Q69,0))</f>
        <v/>
      </c>
      <c r="S69" s="48">
        <f>IF(A69="","",IF(OR(P69="Pagada",R69=0),"Pagada",IF(O69&lt;TODAY(),"Vencida",IF(O69&lt;=TODAY()+Inicio!$B$19,"Próxima a vencer","Vigente"))))</f>
        <v/>
      </c>
      <c r="T69" s="43" t="n"/>
      <c r="U69" s="68">
        <f>IF($B69="","",YEAR($B69))</f>
        <v/>
      </c>
      <c r="V69" s="68">
        <f>IF($B69="","",MONTH($B69))</f>
        <v/>
      </c>
      <c r="W69" s="68">
        <f>IF($B69="","",DAY($B69))</f>
        <v/>
      </c>
      <c r="X69" s="68">
        <f>IF($B69="","",YEAR($B69)&amp;"-"&amp;TEXT(MONTH($B69),"00"))</f>
        <v/>
      </c>
      <c r="Y69" s="68">
        <f>IF(OR($H69="",$J69=""),"",$J69*IFERROR(VLOOKUP($H69,Maestro_SKU!$A$2:$P$500,12,FALSE),1))</f>
        <v/>
      </c>
    </row>
    <row r="70">
      <c r="A70" s="43" t="n"/>
      <c r="B70" s="54" t="n"/>
      <c r="C70" s="43" t="n"/>
      <c r="D70" s="43" t="n"/>
      <c r="E70" s="48">
        <f>IFERROR(VLOOKUP(D70,Clientes_PDV!$A$2:$J$250,2,FALSE),"")</f>
        <v/>
      </c>
      <c r="F70" s="48">
        <f>IFERROR(VLOOKUP(D70,Clientes_PDV!$A$2:$J$250,3,FALSE),"")</f>
        <v/>
      </c>
      <c r="G70" s="48">
        <f>IFERROR(VLOOKUP(D70,Clientes_PDV!$A$2:$J$250,4,FALSE),"")</f>
        <v/>
      </c>
      <c r="H70" s="43" t="n"/>
      <c r="I70" s="48">
        <f>IFERROR(VLOOKUP(H70,Maestro_SKU!$A$2:$P$500,2,FALSE),"")</f>
        <v/>
      </c>
      <c r="J70" s="55" t="n"/>
      <c r="K70" s="44" t="n"/>
      <c r="L70" s="51">
        <f>IF(OR(J70="",K70=""),"",J70*K70)</f>
        <v/>
      </c>
      <c r="M70" s="51">
        <f>IF(L70="","",L70*Inicio!$B$13)</f>
        <v/>
      </c>
      <c r="N70" s="51">
        <f>IF(L70="","",L70+M70)</f>
        <v/>
      </c>
      <c r="O70" s="54" t="n"/>
      <c r="P70" s="43" t="n"/>
      <c r="Q70" s="44" t="n"/>
      <c r="R70" s="51">
        <f>IF(N70="","",MAX(N70-Q70,0))</f>
        <v/>
      </c>
      <c r="S70" s="48">
        <f>IF(A70="","",IF(OR(P70="Pagada",R70=0),"Pagada",IF(O70&lt;TODAY(),"Vencida",IF(O70&lt;=TODAY()+Inicio!$B$19,"Próxima a vencer","Vigente"))))</f>
        <v/>
      </c>
      <c r="T70" s="43" t="n"/>
      <c r="U70" s="68">
        <f>IF($B70="","",YEAR($B70))</f>
        <v/>
      </c>
      <c r="V70" s="68">
        <f>IF($B70="","",MONTH($B70))</f>
        <v/>
      </c>
      <c r="W70" s="68">
        <f>IF($B70="","",DAY($B70))</f>
        <v/>
      </c>
      <c r="X70" s="68">
        <f>IF($B70="","",YEAR($B70)&amp;"-"&amp;TEXT(MONTH($B70),"00"))</f>
        <v/>
      </c>
      <c r="Y70" s="68">
        <f>IF(OR($H70="",$J70=""),"",$J70*IFERROR(VLOOKUP($H70,Maestro_SKU!$A$2:$P$500,12,FALSE),1))</f>
        <v/>
      </c>
    </row>
    <row r="71">
      <c r="A71" s="43" t="n"/>
      <c r="B71" s="54" t="n"/>
      <c r="C71" s="43" t="n"/>
      <c r="D71" s="43" t="n"/>
      <c r="E71" s="48">
        <f>IFERROR(VLOOKUP(D71,Clientes_PDV!$A$2:$J$250,2,FALSE),"")</f>
        <v/>
      </c>
      <c r="F71" s="48">
        <f>IFERROR(VLOOKUP(D71,Clientes_PDV!$A$2:$J$250,3,FALSE),"")</f>
        <v/>
      </c>
      <c r="G71" s="48">
        <f>IFERROR(VLOOKUP(D71,Clientes_PDV!$A$2:$J$250,4,FALSE),"")</f>
        <v/>
      </c>
      <c r="H71" s="43" t="n"/>
      <c r="I71" s="48">
        <f>IFERROR(VLOOKUP(H71,Maestro_SKU!$A$2:$P$500,2,FALSE),"")</f>
        <v/>
      </c>
      <c r="J71" s="55" t="n"/>
      <c r="K71" s="44" t="n"/>
      <c r="L71" s="51">
        <f>IF(OR(J71="",K71=""),"",J71*K71)</f>
        <v/>
      </c>
      <c r="M71" s="51">
        <f>IF(L71="","",L71*Inicio!$B$13)</f>
        <v/>
      </c>
      <c r="N71" s="51">
        <f>IF(L71="","",L71+M71)</f>
        <v/>
      </c>
      <c r="O71" s="54" t="n"/>
      <c r="P71" s="43" t="n"/>
      <c r="Q71" s="44" t="n"/>
      <c r="R71" s="51">
        <f>IF(N71="","",MAX(N71-Q71,0))</f>
        <v/>
      </c>
      <c r="S71" s="48">
        <f>IF(A71="","",IF(OR(P71="Pagada",R71=0),"Pagada",IF(O71&lt;TODAY(),"Vencida",IF(O71&lt;=TODAY()+Inicio!$B$19,"Próxima a vencer","Vigente"))))</f>
        <v/>
      </c>
      <c r="T71" s="43" t="n"/>
      <c r="U71" s="68">
        <f>IF($B71="","",YEAR($B71))</f>
        <v/>
      </c>
      <c r="V71" s="68">
        <f>IF($B71="","",MONTH($B71))</f>
        <v/>
      </c>
      <c r="W71" s="68">
        <f>IF($B71="","",DAY($B71))</f>
        <v/>
      </c>
      <c r="X71" s="68">
        <f>IF($B71="","",YEAR($B71)&amp;"-"&amp;TEXT(MONTH($B71),"00"))</f>
        <v/>
      </c>
      <c r="Y71" s="68">
        <f>IF(OR($H71="",$J71=""),"",$J71*IFERROR(VLOOKUP($H71,Maestro_SKU!$A$2:$P$500,12,FALSE),1))</f>
        <v/>
      </c>
    </row>
    <row r="72">
      <c r="A72" s="43" t="n"/>
      <c r="B72" s="54" t="n"/>
      <c r="C72" s="43" t="n"/>
      <c r="D72" s="43" t="n"/>
      <c r="E72" s="48">
        <f>IFERROR(VLOOKUP(D72,Clientes_PDV!$A$2:$J$250,2,FALSE),"")</f>
        <v/>
      </c>
      <c r="F72" s="48">
        <f>IFERROR(VLOOKUP(D72,Clientes_PDV!$A$2:$J$250,3,FALSE),"")</f>
        <v/>
      </c>
      <c r="G72" s="48">
        <f>IFERROR(VLOOKUP(D72,Clientes_PDV!$A$2:$J$250,4,FALSE),"")</f>
        <v/>
      </c>
      <c r="H72" s="43" t="n"/>
      <c r="I72" s="48">
        <f>IFERROR(VLOOKUP(H72,Maestro_SKU!$A$2:$P$500,2,FALSE),"")</f>
        <v/>
      </c>
      <c r="J72" s="55" t="n"/>
      <c r="K72" s="44" t="n"/>
      <c r="L72" s="51">
        <f>IF(OR(J72="",K72=""),"",J72*K72)</f>
        <v/>
      </c>
      <c r="M72" s="51">
        <f>IF(L72="","",L72*Inicio!$B$13)</f>
        <v/>
      </c>
      <c r="N72" s="51">
        <f>IF(L72="","",L72+M72)</f>
        <v/>
      </c>
      <c r="O72" s="54" t="n"/>
      <c r="P72" s="43" t="n"/>
      <c r="Q72" s="44" t="n"/>
      <c r="R72" s="51">
        <f>IF(N72="","",MAX(N72-Q72,0))</f>
        <v/>
      </c>
      <c r="S72" s="48">
        <f>IF(A72="","",IF(OR(P72="Pagada",R72=0),"Pagada",IF(O72&lt;TODAY(),"Vencida",IF(O72&lt;=TODAY()+Inicio!$B$19,"Próxima a vencer","Vigente"))))</f>
        <v/>
      </c>
      <c r="T72" s="43" t="n"/>
      <c r="U72" s="68">
        <f>IF($B72="","",YEAR($B72))</f>
        <v/>
      </c>
      <c r="V72" s="68">
        <f>IF($B72="","",MONTH($B72))</f>
        <v/>
      </c>
      <c r="W72" s="68">
        <f>IF($B72="","",DAY($B72))</f>
        <v/>
      </c>
      <c r="X72" s="68">
        <f>IF($B72="","",YEAR($B72)&amp;"-"&amp;TEXT(MONTH($B72),"00"))</f>
        <v/>
      </c>
      <c r="Y72" s="68">
        <f>IF(OR($H72="",$J72=""),"",$J72*IFERROR(VLOOKUP($H72,Maestro_SKU!$A$2:$P$500,12,FALSE),1))</f>
        <v/>
      </c>
    </row>
    <row r="73">
      <c r="A73" s="43" t="n"/>
      <c r="B73" s="54" t="n"/>
      <c r="C73" s="43" t="n"/>
      <c r="D73" s="43" t="n"/>
      <c r="E73" s="48">
        <f>IFERROR(VLOOKUP(D73,Clientes_PDV!$A$2:$J$250,2,FALSE),"")</f>
        <v/>
      </c>
      <c r="F73" s="48">
        <f>IFERROR(VLOOKUP(D73,Clientes_PDV!$A$2:$J$250,3,FALSE),"")</f>
        <v/>
      </c>
      <c r="G73" s="48">
        <f>IFERROR(VLOOKUP(D73,Clientes_PDV!$A$2:$J$250,4,FALSE),"")</f>
        <v/>
      </c>
      <c r="H73" s="43" t="n"/>
      <c r="I73" s="48">
        <f>IFERROR(VLOOKUP(H73,Maestro_SKU!$A$2:$P$500,2,FALSE),"")</f>
        <v/>
      </c>
      <c r="J73" s="55" t="n"/>
      <c r="K73" s="44" t="n"/>
      <c r="L73" s="51">
        <f>IF(OR(J73="",K73=""),"",J73*K73)</f>
        <v/>
      </c>
      <c r="M73" s="51">
        <f>IF(L73="","",L73*Inicio!$B$13)</f>
        <v/>
      </c>
      <c r="N73" s="51">
        <f>IF(L73="","",L73+M73)</f>
        <v/>
      </c>
      <c r="O73" s="54" t="n"/>
      <c r="P73" s="43" t="n"/>
      <c r="Q73" s="44" t="n"/>
      <c r="R73" s="51">
        <f>IF(N73="","",MAX(N73-Q73,0))</f>
        <v/>
      </c>
      <c r="S73" s="48">
        <f>IF(A73="","",IF(OR(P73="Pagada",R73=0),"Pagada",IF(O73&lt;TODAY(),"Vencida",IF(O73&lt;=TODAY()+Inicio!$B$19,"Próxima a vencer","Vigente"))))</f>
        <v/>
      </c>
      <c r="T73" s="43" t="n"/>
      <c r="U73" s="68">
        <f>IF($B73="","",YEAR($B73))</f>
        <v/>
      </c>
      <c r="V73" s="68">
        <f>IF($B73="","",MONTH($B73))</f>
        <v/>
      </c>
      <c r="W73" s="68">
        <f>IF($B73="","",DAY($B73))</f>
        <v/>
      </c>
      <c r="X73" s="68">
        <f>IF($B73="","",YEAR($B73)&amp;"-"&amp;TEXT(MONTH($B73),"00"))</f>
        <v/>
      </c>
      <c r="Y73" s="68">
        <f>IF(OR($H73="",$J73=""),"",$J73*IFERROR(VLOOKUP($H73,Maestro_SKU!$A$2:$P$500,12,FALSE),1))</f>
        <v/>
      </c>
    </row>
    <row r="74">
      <c r="A74" s="43" t="n"/>
      <c r="B74" s="54" t="n"/>
      <c r="C74" s="43" t="n"/>
      <c r="D74" s="43" t="n"/>
      <c r="E74" s="48">
        <f>IFERROR(VLOOKUP(D74,Clientes_PDV!$A$2:$J$250,2,FALSE),"")</f>
        <v/>
      </c>
      <c r="F74" s="48">
        <f>IFERROR(VLOOKUP(D74,Clientes_PDV!$A$2:$J$250,3,FALSE),"")</f>
        <v/>
      </c>
      <c r="G74" s="48">
        <f>IFERROR(VLOOKUP(D74,Clientes_PDV!$A$2:$J$250,4,FALSE),"")</f>
        <v/>
      </c>
      <c r="H74" s="43" t="n"/>
      <c r="I74" s="48">
        <f>IFERROR(VLOOKUP(H74,Maestro_SKU!$A$2:$P$500,2,FALSE),"")</f>
        <v/>
      </c>
      <c r="J74" s="55" t="n"/>
      <c r="K74" s="44" t="n"/>
      <c r="L74" s="51">
        <f>IF(OR(J74="",K74=""),"",J74*K74)</f>
        <v/>
      </c>
      <c r="M74" s="51">
        <f>IF(L74="","",L74*Inicio!$B$13)</f>
        <v/>
      </c>
      <c r="N74" s="51">
        <f>IF(L74="","",L74+M74)</f>
        <v/>
      </c>
      <c r="O74" s="54" t="n"/>
      <c r="P74" s="43" t="n"/>
      <c r="Q74" s="44" t="n"/>
      <c r="R74" s="51">
        <f>IF(N74="","",MAX(N74-Q74,0))</f>
        <v/>
      </c>
      <c r="S74" s="48">
        <f>IF(A74="","",IF(OR(P74="Pagada",R74=0),"Pagada",IF(O74&lt;TODAY(),"Vencida",IF(O74&lt;=TODAY()+Inicio!$B$19,"Próxima a vencer","Vigente"))))</f>
        <v/>
      </c>
      <c r="T74" s="43" t="n"/>
      <c r="U74" s="68">
        <f>IF($B74="","",YEAR($B74))</f>
        <v/>
      </c>
      <c r="V74" s="68">
        <f>IF($B74="","",MONTH($B74))</f>
        <v/>
      </c>
      <c r="W74" s="68">
        <f>IF($B74="","",DAY($B74))</f>
        <v/>
      </c>
      <c r="X74" s="68">
        <f>IF($B74="","",YEAR($B74)&amp;"-"&amp;TEXT(MONTH($B74),"00"))</f>
        <v/>
      </c>
      <c r="Y74" s="68">
        <f>IF(OR($H74="",$J74=""),"",$J74*IFERROR(VLOOKUP($H74,Maestro_SKU!$A$2:$P$500,12,FALSE),1))</f>
        <v/>
      </c>
    </row>
    <row r="75">
      <c r="A75" s="43" t="n"/>
      <c r="B75" s="54" t="n"/>
      <c r="C75" s="43" t="n"/>
      <c r="D75" s="43" t="n"/>
      <c r="E75" s="48">
        <f>IFERROR(VLOOKUP(D75,Clientes_PDV!$A$2:$J$250,2,FALSE),"")</f>
        <v/>
      </c>
      <c r="F75" s="48">
        <f>IFERROR(VLOOKUP(D75,Clientes_PDV!$A$2:$J$250,3,FALSE),"")</f>
        <v/>
      </c>
      <c r="G75" s="48">
        <f>IFERROR(VLOOKUP(D75,Clientes_PDV!$A$2:$J$250,4,FALSE),"")</f>
        <v/>
      </c>
      <c r="H75" s="43" t="n"/>
      <c r="I75" s="48">
        <f>IFERROR(VLOOKUP(H75,Maestro_SKU!$A$2:$P$500,2,FALSE),"")</f>
        <v/>
      </c>
      <c r="J75" s="55" t="n"/>
      <c r="K75" s="44" t="n"/>
      <c r="L75" s="51">
        <f>IF(OR(J75="",K75=""),"",J75*K75)</f>
        <v/>
      </c>
      <c r="M75" s="51">
        <f>IF(L75="","",L75*Inicio!$B$13)</f>
        <v/>
      </c>
      <c r="N75" s="51">
        <f>IF(L75="","",L75+M75)</f>
        <v/>
      </c>
      <c r="O75" s="54" t="n"/>
      <c r="P75" s="43" t="n"/>
      <c r="Q75" s="44" t="n"/>
      <c r="R75" s="51">
        <f>IF(N75="","",MAX(N75-Q75,0))</f>
        <v/>
      </c>
      <c r="S75" s="48">
        <f>IF(A75="","",IF(OR(P75="Pagada",R75=0),"Pagada",IF(O75&lt;TODAY(),"Vencida",IF(O75&lt;=TODAY()+Inicio!$B$19,"Próxima a vencer","Vigente"))))</f>
        <v/>
      </c>
      <c r="T75" s="43" t="n"/>
      <c r="U75" s="68">
        <f>IF($B75="","",YEAR($B75))</f>
        <v/>
      </c>
      <c r="V75" s="68">
        <f>IF($B75="","",MONTH($B75))</f>
        <v/>
      </c>
      <c r="W75" s="68">
        <f>IF($B75="","",DAY($B75))</f>
        <v/>
      </c>
      <c r="X75" s="68">
        <f>IF($B75="","",YEAR($B75)&amp;"-"&amp;TEXT(MONTH($B75),"00"))</f>
        <v/>
      </c>
      <c r="Y75" s="68">
        <f>IF(OR($H75="",$J75=""),"",$J75*IFERROR(VLOOKUP($H75,Maestro_SKU!$A$2:$P$500,12,FALSE),1))</f>
        <v/>
      </c>
    </row>
    <row r="76">
      <c r="A76" s="43" t="n"/>
      <c r="B76" s="54" t="n"/>
      <c r="C76" s="43" t="n"/>
      <c r="D76" s="43" t="n"/>
      <c r="E76" s="48">
        <f>IFERROR(VLOOKUP(D76,Clientes_PDV!$A$2:$J$250,2,FALSE),"")</f>
        <v/>
      </c>
      <c r="F76" s="48">
        <f>IFERROR(VLOOKUP(D76,Clientes_PDV!$A$2:$J$250,3,FALSE),"")</f>
        <v/>
      </c>
      <c r="G76" s="48">
        <f>IFERROR(VLOOKUP(D76,Clientes_PDV!$A$2:$J$250,4,FALSE),"")</f>
        <v/>
      </c>
      <c r="H76" s="43" t="n"/>
      <c r="I76" s="48">
        <f>IFERROR(VLOOKUP(H76,Maestro_SKU!$A$2:$P$500,2,FALSE),"")</f>
        <v/>
      </c>
      <c r="J76" s="55" t="n"/>
      <c r="K76" s="44" t="n"/>
      <c r="L76" s="51">
        <f>IF(OR(J76="",K76=""),"",J76*K76)</f>
        <v/>
      </c>
      <c r="M76" s="51">
        <f>IF(L76="","",L76*Inicio!$B$13)</f>
        <v/>
      </c>
      <c r="N76" s="51">
        <f>IF(L76="","",L76+M76)</f>
        <v/>
      </c>
      <c r="O76" s="54" t="n"/>
      <c r="P76" s="43" t="n"/>
      <c r="Q76" s="44" t="n"/>
      <c r="R76" s="51">
        <f>IF(N76="","",MAX(N76-Q76,0))</f>
        <v/>
      </c>
      <c r="S76" s="48">
        <f>IF(A76="","",IF(OR(P76="Pagada",R76=0),"Pagada",IF(O76&lt;TODAY(),"Vencida",IF(O76&lt;=TODAY()+Inicio!$B$19,"Próxima a vencer","Vigente"))))</f>
        <v/>
      </c>
      <c r="T76" s="43" t="n"/>
      <c r="U76" s="68">
        <f>IF($B76="","",YEAR($B76))</f>
        <v/>
      </c>
      <c r="V76" s="68">
        <f>IF($B76="","",MONTH($B76))</f>
        <v/>
      </c>
      <c r="W76" s="68">
        <f>IF($B76="","",DAY($B76))</f>
        <v/>
      </c>
      <c r="X76" s="68">
        <f>IF($B76="","",YEAR($B76)&amp;"-"&amp;TEXT(MONTH($B76),"00"))</f>
        <v/>
      </c>
      <c r="Y76" s="68">
        <f>IF(OR($H76="",$J76=""),"",$J76*IFERROR(VLOOKUP($H76,Maestro_SKU!$A$2:$P$500,12,FALSE),1))</f>
        <v/>
      </c>
    </row>
    <row r="77">
      <c r="A77" s="43" t="n"/>
      <c r="B77" s="54" t="n"/>
      <c r="C77" s="43" t="n"/>
      <c r="D77" s="43" t="n"/>
      <c r="E77" s="48">
        <f>IFERROR(VLOOKUP(D77,Clientes_PDV!$A$2:$J$250,2,FALSE),"")</f>
        <v/>
      </c>
      <c r="F77" s="48">
        <f>IFERROR(VLOOKUP(D77,Clientes_PDV!$A$2:$J$250,3,FALSE),"")</f>
        <v/>
      </c>
      <c r="G77" s="48">
        <f>IFERROR(VLOOKUP(D77,Clientes_PDV!$A$2:$J$250,4,FALSE),"")</f>
        <v/>
      </c>
      <c r="H77" s="43" t="n"/>
      <c r="I77" s="48">
        <f>IFERROR(VLOOKUP(H77,Maestro_SKU!$A$2:$P$500,2,FALSE),"")</f>
        <v/>
      </c>
      <c r="J77" s="55" t="n"/>
      <c r="K77" s="44" t="n"/>
      <c r="L77" s="51">
        <f>IF(OR(J77="",K77=""),"",J77*K77)</f>
        <v/>
      </c>
      <c r="M77" s="51">
        <f>IF(L77="","",L77*Inicio!$B$13)</f>
        <v/>
      </c>
      <c r="N77" s="51">
        <f>IF(L77="","",L77+M77)</f>
        <v/>
      </c>
      <c r="O77" s="54" t="n"/>
      <c r="P77" s="43" t="n"/>
      <c r="Q77" s="44" t="n"/>
      <c r="R77" s="51">
        <f>IF(N77="","",MAX(N77-Q77,0))</f>
        <v/>
      </c>
      <c r="S77" s="48">
        <f>IF(A77="","",IF(OR(P77="Pagada",R77=0),"Pagada",IF(O77&lt;TODAY(),"Vencida",IF(O77&lt;=TODAY()+Inicio!$B$19,"Próxima a vencer","Vigente"))))</f>
        <v/>
      </c>
      <c r="T77" s="43" t="n"/>
      <c r="U77" s="68">
        <f>IF($B77="","",YEAR($B77))</f>
        <v/>
      </c>
      <c r="V77" s="68">
        <f>IF($B77="","",MONTH($B77))</f>
        <v/>
      </c>
      <c r="W77" s="68">
        <f>IF($B77="","",DAY($B77))</f>
        <v/>
      </c>
      <c r="X77" s="68">
        <f>IF($B77="","",YEAR($B77)&amp;"-"&amp;TEXT(MONTH($B77),"00"))</f>
        <v/>
      </c>
      <c r="Y77" s="68">
        <f>IF(OR($H77="",$J77=""),"",$J77*IFERROR(VLOOKUP($H77,Maestro_SKU!$A$2:$P$500,12,FALSE),1))</f>
        <v/>
      </c>
    </row>
    <row r="78">
      <c r="A78" s="43" t="n"/>
      <c r="B78" s="54" t="n"/>
      <c r="C78" s="43" t="n"/>
      <c r="D78" s="43" t="n"/>
      <c r="E78" s="48">
        <f>IFERROR(VLOOKUP(D78,Clientes_PDV!$A$2:$J$250,2,FALSE),"")</f>
        <v/>
      </c>
      <c r="F78" s="48">
        <f>IFERROR(VLOOKUP(D78,Clientes_PDV!$A$2:$J$250,3,FALSE),"")</f>
        <v/>
      </c>
      <c r="G78" s="48">
        <f>IFERROR(VLOOKUP(D78,Clientes_PDV!$A$2:$J$250,4,FALSE),"")</f>
        <v/>
      </c>
      <c r="H78" s="43" t="n"/>
      <c r="I78" s="48">
        <f>IFERROR(VLOOKUP(H78,Maestro_SKU!$A$2:$P$500,2,FALSE),"")</f>
        <v/>
      </c>
      <c r="J78" s="55" t="n"/>
      <c r="K78" s="44" t="n"/>
      <c r="L78" s="51">
        <f>IF(OR(J78="",K78=""),"",J78*K78)</f>
        <v/>
      </c>
      <c r="M78" s="51">
        <f>IF(L78="","",L78*Inicio!$B$13)</f>
        <v/>
      </c>
      <c r="N78" s="51">
        <f>IF(L78="","",L78+M78)</f>
        <v/>
      </c>
      <c r="O78" s="54" t="n"/>
      <c r="P78" s="43" t="n"/>
      <c r="Q78" s="44" t="n"/>
      <c r="R78" s="51">
        <f>IF(N78="","",MAX(N78-Q78,0))</f>
        <v/>
      </c>
      <c r="S78" s="48">
        <f>IF(A78="","",IF(OR(P78="Pagada",R78=0),"Pagada",IF(O78&lt;TODAY(),"Vencida",IF(O78&lt;=TODAY()+Inicio!$B$19,"Próxima a vencer","Vigente"))))</f>
        <v/>
      </c>
      <c r="T78" s="43" t="n"/>
      <c r="U78" s="68">
        <f>IF($B78="","",YEAR($B78))</f>
        <v/>
      </c>
      <c r="V78" s="68">
        <f>IF($B78="","",MONTH($B78))</f>
        <v/>
      </c>
      <c r="W78" s="68">
        <f>IF($B78="","",DAY($B78))</f>
        <v/>
      </c>
      <c r="X78" s="68">
        <f>IF($B78="","",YEAR($B78)&amp;"-"&amp;TEXT(MONTH($B78),"00"))</f>
        <v/>
      </c>
      <c r="Y78" s="68">
        <f>IF(OR($H78="",$J78=""),"",$J78*IFERROR(VLOOKUP($H78,Maestro_SKU!$A$2:$P$500,12,FALSE),1))</f>
        <v/>
      </c>
    </row>
    <row r="79">
      <c r="A79" s="43" t="n"/>
      <c r="B79" s="54" t="n"/>
      <c r="C79" s="43" t="n"/>
      <c r="D79" s="43" t="n"/>
      <c r="E79" s="48">
        <f>IFERROR(VLOOKUP(D79,Clientes_PDV!$A$2:$J$250,2,FALSE),"")</f>
        <v/>
      </c>
      <c r="F79" s="48">
        <f>IFERROR(VLOOKUP(D79,Clientes_PDV!$A$2:$J$250,3,FALSE),"")</f>
        <v/>
      </c>
      <c r="G79" s="48">
        <f>IFERROR(VLOOKUP(D79,Clientes_PDV!$A$2:$J$250,4,FALSE),"")</f>
        <v/>
      </c>
      <c r="H79" s="43" t="n"/>
      <c r="I79" s="48">
        <f>IFERROR(VLOOKUP(H79,Maestro_SKU!$A$2:$P$500,2,FALSE),"")</f>
        <v/>
      </c>
      <c r="J79" s="55" t="n"/>
      <c r="K79" s="44" t="n"/>
      <c r="L79" s="51">
        <f>IF(OR(J79="",K79=""),"",J79*K79)</f>
        <v/>
      </c>
      <c r="M79" s="51">
        <f>IF(L79="","",L79*Inicio!$B$13)</f>
        <v/>
      </c>
      <c r="N79" s="51">
        <f>IF(L79="","",L79+M79)</f>
        <v/>
      </c>
      <c r="O79" s="54" t="n"/>
      <c r="P79" s="43" t="n"/>
      <c r="Q79" s="44" t="n"/>
      <c r="R79" s="51">
        <f>IF(N79="","",MAX(N79-Q79,0))</f>
        <v/>
      </c>
      <c r="S79" s="48">
        <f>IF(A79="","",IF(OR(P79="Pagada",R79=0),"Pagada",IF(O79&lt;TODAY(),"Vencida",IF(O79&lt;=TODAY()+Inicio!$B$19,"Próxima a vencer","Vigente"))))</f>
        <v/>
      </c>
      <c r="T79" s="43" t="n"/>
      <c r="U79" s="68">
        <f>IF($B79="","",YEAR($B79))</f>
        <v/>
      </c>
      <c r="V79" s="68">
        <f>IF($B79="","",MONTH($B79))</f>
        <v/>
      </c>
      <c r="W79" s="68">
        <f>IF($B79="","",DAY($B79))</f>
        <v/>
      </c>
      <c r="X79" s="68">
        <f>IF($B79="","",YEAR($B79)&amp;"-"&amp;TEXT(MONTH($B79),"00"))</f>
        <v/>
      </c>
      <c r="Y79" s="68">
        <f>IF(OR($H79="",$J79=""),"",$J79*IFERROR(VLOOKUP($H79,Maestro_SKU!$A$2:$P$500,12,FALSE),1))</f>
        <v/>
      </c>
    </row>
    <row r="80">
      <c r="A80" s="43" t="n"/>
      <c r="B80" s="54" t="n"/>
      <c r="C80" s="43" t="n"/>
      <c r="D80" s="43" t="n"/>
      <c r="E80" s="48">
        <f>IFERROR(VLOOKUP(D80,Clientes_PDV!$A$2:$J$250,2,FALSE),"")</f>
        <v/>
      </c>
      <c r="F80" s="48">
        <f>IFERROR(VLOOKUP(D80,Clientes_PDV!$A$2:$J$250,3,FALSE),"")</f>
        <v/>
      </c>
      <c r="G80" s="48">
        <f>IFERROR(VLOOKUP(D80,Clientes_PDV!$A$2:$J$250,4,FALSE),"")</f>
        <v/>
      </c>
      <c r="H80" s="43" t="n"/>
      <c r="I80" s="48">
        <f>IFERROR(VLOOKUP(H80,Maestro_SKU!$A$2:$P$500,2,FALSE),"")</f>
        <v/>
      </c>
      <c r="J80" s="55" t="n"/>
      <c r="K80" s="44" t="n"/>
      <c r="L80" s="51">
        <f>IF(OR(J80="",K80=""),"",J80*K80)</f>
        <v/>
      </c>
      <c r="M80" s="51">
        <f>IF(L80="","",L80*Inicio!$B$13)</f>
        <v/>
      </c>
      <c r="N80" s="51">
        <f>IF(L80="","",L80+M80)</f>
        <v/>
      </c>
      <c r="O80" s="54" t="n"/>
      <c r="P80" s="43" t="n"/>
      <c r="Q80" s="44" t="n"/>
      <c r="R80" s="51">
        <f>IF(N80="","",MAX(N80-Q80,0))</f>
        <v/>
      </c>
      <c r="S80" s="48">
        <f>IF(A80="","",IF(OR(P80="Pagada",R80=0),"Pagada",IF(O80&lt;TODAY(),"Vencida",IF(O80&lt;=TODAY()+Inicio!$B$19,"Próxima a vencer","Vigente"))))</f>
        <v/>
      </c>
      <c r="T80" s="43" t="n"/>
      <c r="U80" s="68">
        <f>IF($B80="","",YEAR($B80))</f>
        <v/>
      </c>
      <c r="V80" s="68">
        <f>IF($B80="","",MONTH($B80))</f>
        <v/>
      </c>
      <c r="W80" s="68">
        <f>IF($B80="","",DAY($B80))</f>
        <v/>
      </c>
      <c r="X80" s="68">
        <f>IF($B80="","",YEAR($B80)&amp;"-"&amp;TEXT(MONTH($B80),"00"))</f>
        <v/>
      </c>
      <c r="Y80" s="68">
        <f>IF(OR($H80="",$J80=""),"",$J80*IFERROR(VLOOKUP($H80,Maestro_SKU!$A$2:$P$500,12,FALSE),1))</f>
        <v/>
      </c>
    </row>
    <row r="81">
      <c r="A81" s="43" t="n"/>
      <c r="B81" s="54" t="n"/>
      <c r="C81" s="43" t="n"/>
      <c r="D81" s="43" t="n"/>
      <c r="E81" s="48">
        <f>IFERROR(VLOOKUP(D81,Clientes_PDV!$A$2:$J$250,2,FALSE),"")</f>
        <v/>
      </c>
      <c r="F81" s="48">
        <f>IFERROR(VLOOKUP(D81,Clientes_PDV!$A$2:$J$250,3,FALSE),"")</f>
        <v/>
      </c>
      <c r="G81" s="48">
        <f>IFERROR(VLOOKUP(D81,Clientes_PDV!$A$2:$J$250,4,FALSE),"")</f>
        <v/>
      </c>
      <c r="H81" s="43" t="n"/>
      <c r="I81" s="48">
        <f>IFERROR(VLOOKUP(H81,Maestro_SKU!$A$2:$P$500,2,FALSE),"")</f>
        <v/>
      </c>
      <c r="J81" s="55" t="n"/>
      <c r="K81" s="44" t="n"/>
      <c r="L81" s="51">
        <f>IF(OR(J81="",K81=""),"",J81*K81)</f>
        <v/>
      </c>
      <c r="M81" s="51">
        <f>IF(L81="","",L81*Inicio!$B$13)</f>
        <v/>
      </c>
      <c r="N81" s="51">
        <f>IF(L81="","",L81+M81)</f>
        <v/>
      </c>
      <c r="O81" s="54" t="n"/>
      <c r="P81" s="43" t="n"/>
      <c r="Q81" s="44" t="n"/>
      <c r="R81" s="51">
        <f>IF(N81="","",MAX(N81-Q81,0))</f>
        <v/>
      </c>
      <c r="S81" s="48">
        <f>IF(A81="","",IF(OR(P81="Pagada",R81=0),"Pagada",IF(O81&lt;TODAY(),"Vencida",IF(O81&lt;=TODAY()+Inicio!$B$19,"Próxima a vencer","Vigente"))))</f>
        <v/>
      </c>
      <c r="T81" s="43" t="n"/>
      <c r="U81" s="68">
        <f>IF($B81="","",YEAR($B81))</f>
        <v/>
      </c>
      <c r="V81" s="68">
        <f>IF($B81="","",MONTH($B81))</f>
        <v/>
      </c>
      <c r="W81" s="68">
        <f>IF($B81="","",DAY($B81))</f>
        <v/>
      </c>
      <c r="X81" s="68">
        <f>IF($B81="","",YEAR($B81)&amp;"-"&amp;TEXT(MONTH($B81),"00"))</f>
        <v/>
      </c>
      <c r="Y81" s="68">
        <f>IF(OR($H81="",$J81=""),"",$J81*IFERROR(VLOOKUP($H81,Maestro_SKU!$A$2:$P$500,12,FALSE),1))</f>
        <v/>
      </c>
    </row>
    <row r="82">
      <c r="A82" s="43" t="n"/>
      <c r="B82" s="54" t="n"/>
      <c r="C82" s="43" t="n"/>
      <c r="D82" s="43" t="n"/>
      <c r="E82" s="48">
        <f>IFERROR(VLOOKUP(D82,Clientes_PDV!$A$2:$J$250,2,FALSE),"")</f>
        <v/>
      </c>
      <c r="F82" s="48">
        <f>IFERROR(VLOOKUP(D82,Clientes_PDV!$A$2:$J$250,3,FALSE),"")</f>
        <v/>
      </c>
      <c r="G82" s="48">
        <f>IFERROR(VLOOKUP(D82,Clientes_PDV!$A$2:$J$250,4,FALSE),"")</f>
        <v/>
      </c>
      <c r="H82" s="43" t="n"/>
      <c r="I82" s="48">
        <f>IFERROR(VLOOKUP(H82,Maestro_SKU!$A$2:$P$500,2,FALSE),"")</f>
        <v/>
      </c>
      <c r="J82" s="55" t="n"/>
      <c r="K82" s="44" t="n"/>
      <c r="L82" s="51">
        <f>IF(OR(J82="",K82=""),"",J82*K82)</f>
        <v/>
      </c>
      <c r="M82" s="51">
        <f>IF(L82="","",L82*Inicio!$B$13)</f>
        <v/>
      </c>
      <c r="N82" s="51">
        <f>IF(L82="","",L82+M82)</f>
        <v/>
      </c>
      <c r="O82" s="54" t="n"/>
      <c r="P82" s="43" t="n"/>
      <c r="Q82" s="44" t="n"/>
      <c r="R82" s="51">
        <f>IF(N82="","",MAX(N82-Q82,0))</f>
        <v/>
      </c>
      <c r="S82" s="48">
        <f>IF(A82="","",IF(OR(P82="Pagada",R82=0),"Pagada",IF(O82&lt;TODAY(),"Vencida",IF(O82&lt;=TODAY()+Inicio!$B$19,"Próxima a vencer","Vigente"))))</f>
        <v/>
      </c>
      <c r="T82" s="43" t="n"/>
      <c r="U82" s="68">
        <f>IF($B82="","",YEAR($B82))</f>
        <v/>
      </c>
      <c r="V82" s="68">
        <f>IF($B82="","",MONTH($B82))</f>
        <v/>
      </c>
      <c r="W82" s="68">
        <f>IF($B82="","",DAY($B82))</f>
        <v/>
      </c>
      <c r="X82" s="68">
        <f>IF($B82="","",YEAR($B82)&amp;"-"&amp;TEXT(MONTH($B82),"00"))</f>
        <v/>
      </c>
      <c r="Y82" s="68">
        <f>IF(OR($H82="",$J82=""),"",$J82*IFERROR(VLOOKUP($H82,Maestro_SKU!$A$2:$P$500,12,FALSE),1))</f>
        <v/>
      </c>
    </row>
    <row r="83">
      <c r="A83" s="43" t="n"/>
      <c r="B83" s="54" t="n"/>
      <c r="C83" s="43" t="n"/>
      <c r="D83" s="43" t="n"/>
      <c r="E83" s="48">
        <f>IFERROR(VLOOKUP(D83,Clientes_PDV!$A$2:$J$250,2,FALSE),"")</f>
        <v/>
      </c>
      <c r="F83" s="48">
        <f>IFERROR(VLOOKUP(D83,Clientes_PDV!$A$2:$J$250,3,FALSE),"")</f>
        <v/>
      </c>
      <c r="G83" s="48">
        <f>IFERROR(VLOOKUP(D83,Clientes_PDV!$A$2:$J$250,4,FALSE),"")</f>
        <v/>
      </c>
      <c r="H83" s="43" t="n"/>
      <c r="I83" s="48">
        <f>IFERROR(VLOOKUP(H83,Maestro_SKU!$A$2:$P$500,2,FALSE),"")</f>
        <v/>
      </c>
      <c r="J83" s="55" t="n"/>
      <c r="K83" s="44" t="n"/>
      <c r="L83" s="51">
        <f>IF(OR(J83="",K83=""),"",J83*K83)</f>
        <v/>
      </c>
      <c r="M83" s="51">
        <f>IF(L83="","",L83*Inicio!$B$13)</f>
        <v/>
      </c>
      <c r="N83" s="51">
        <f>IF(L83="","",L83+M83)</f>
        <v/>
      </c>
      <c r="O83" s="54" t="n"/>
      <c r="P83" s="43" t="n"/>
      <c r="Q83" s="44" t="n"/>
      <c r="R83" s="51">
        <f>IF(N83="","",MAX(N83-Q83,0))</f>
        <v/>
      </c>
      <c r="S83" s="48">
        <f>IF(A83="","",IF(OR(P83="Pagada",R83=0),"Pagada",IF(O83&lt;TODAY(),"Vencida",IF(O83&lt;=TODAY()+Inicio!$B$19,"Próxima a vencer","Vigente"))))</f>
        <v/>
      </c>
      <c r="T83" s="43" t="n"/>
      <c r="U83" s="68">
        <f>IF($B83="","",YEAR($B83))</f>
        <v/>
      </c>
      <c r="V83" s="68">
        <f>IF($B83="","",MONTH($B83))</f>
        <v/>
      </c>
      <c r="W83" s="68">
        <f>IF($B83="","",DAY($B83))</f>
        <v/>
      </c>
      <c r="X83" s="68">
        <f>IF($B83="","",YEAR($B83)&amp;"-"&amp;TEXT(MONTH($B83),"00"))</f>
        <v/>
      </c>
      <c r="Y83" s="68">
        <f>IF(OR($H83="",$J83=""),"",$J83*IFERROR(VLOOKUP($H83,Maestro_SKU!$A$2:$P$500,12,FALSE),1))</f>
        <v/>
      </c>
    </row>
    <row r="84">
      <c r="A84" s="43" t="n"/>
      <c r="B84" s="54" t="n"/>
      <c r="C84" s="43" t="n"/>
      <c r="D84" s="43" t="n"/>
      <c r="E84" s="48">
        <f>IFERROR(VLOOKUP(D84,Clientes_PDV!$A$2:$J$250,2,FALSE),"")</f>
        <v/>
      </c>
      <c r="F84" s="48">
        <f>IFERROR(VLOOKUP(D84,Clientes_PDV!$A$2:$J$250,3,FALSE),"")</f>
        <v/>
      </c>
      <c r="G84" s="48">
        <f>IFERROR(VLOOKUP(D84,Clientes_PDV!$A$2:$J$250,4,FALSE),"")</f>
        <v/>
      </c>
      <c r="H84" s="43" t="n"/>
      <c r="I84" s="48">
        <f>IFERROR(VLOOKUP(H84,Maestro_SKU!$A$2:$P$500,2,FALSE),"")</f>
        <v/>
      </c>
      <c r="J84" s="55" t="n"/>
      <c r="K84" s="44" t="n"/>
      <c r="L84" s="51">
        <f>IF(OR(J84="",K84=""),"",J84*K84)</f>
        <v/>
      </c>
      <c r="M84" s="51">
        <f>IF(L84="","",L84*Inicio!$B$13)</f>
        <v/>
      </c>
      <c r="N84" s="51">
        <f>IF(L84="","",L84+M84)</f>
        <v/>
      </c>
      <c r="O84" s="54" t="n"/>
      <c r="P84" s="43" t="n"/>
      <c r="Q84" s="44" t="n"/>
      <c r="R84" s="51">
        <f>IF(N84="","",MAX(N84-Q84,0))</f>
        <v/>
      </c>
      <c r="S84" s="48">
        <f>IF(A84="","",IF(OR(P84="Pagada",R84=0),"Pagada",IF(O84&lt;TODAY(),"Vencida",IF(O84&lt;=TODAY()+Inicio!$B$19,"Próxima a vencer","Vigente"))))</f>
        <v/>
      </c>
      <c r="T84" s="43" t="n"/>
      <c r="U84" s="68">
        <f>IF($B84="","",YEAR($B84))</f>
        <v/>
      </c>
      <c r="V84" s="68">
        <f>IF($B84="","",MONTH($B84))</f>
        <v/>
      </c>
      <c r="W84" s="68">
        <f>IF($B84="","",DAY($B84))</f>
        <v/>
      </c>
      <c r="X84" s="68">
        <f>IF($B84="","",YEAR($B84)&amp;"-"&amp;TEXT(MONTH($B84),"00"))</f>
        <v/>
      </c>
      <c r="Y84" s="68">
        <f>IF(OR($H84="",$J84=""),"",$J84*IFERROR(VLOOKUP($H84,Maestro_SKU!$A$2:$P$500,12,FALSE),1))</f>
        <v/>
      </c>
    </row>
    <row r="85">
      <c r="A85" s="43" t="n"/>
      <c r="B85" s="54" t="n"/>
      <c r="C85" s="43" t="n"/>
      <c r="D85" s="43" t="n"/>
      <c r="E85" s="48">
        <f>IFERROR(VLOOKUP(D85,Clientes_PDV!$A$2:$J$250,2,FALSE),"")</f>
        <v/>
      </c>
      <c r="F85" s="48">
        <f>IFERROR(VLOOKUP(D85,Clientes_PDV!$A$2:$J$250,3,FALSE),"")</f>
        <v/>
      </c>
      <c r="G85" s="48">
        <f>IFERROR(VLOOKUP(D85,Clientes_PDV!$A$2:$J$250,4,FALSE),"")</f>
        <v/>
      </c>
      <c r="H85" s="43" t="n"/>
      <c r="I85" s="48">
        <f>IFERROR(VLOOKUP(H85,Maestro_SKU!$A$2:$P$500,2,FALSE),"")</f>
        <v/>
      </c>
      <c r="J85" s="55" t="n"/>
      <c r="K85" s="44" t="n"/>
      <c r="L85" s="51">
        <f>IF(OR(J85="",K85=""),"",J85*K85)</f>
        <v/>
      </c>
      <c r="M85" s="51">
        <f>IF(L85="","",L85*Inicio!$B$13)</f>
        <v/>
      </c>
      <c r="N85" s="51">
        <f>IF(L85="","",L85+M85)</f>
        <v/>
      </c>
      <c r="O85" s="54" t="n"/>
      <c r="P85" s="43" t="n"/>
      <c r="Q85" s="44" t="n"/>
      <c r="R85" s="51">
        <f>IF(N85="","",MAX(N85-Q85,0))</f>
        <v/>
      </c>
      <c r="S85" s="48">
        <f>IF(A85="","",IF(OR(P85="Pagada",R85=0),"Pagada",IF(O85&lt;TODAY(),"Vencida",IF(O85&lt;=TODAY()+Inicio!$B$19,"Próxima a vencer","Vigente"))))</f>
        <v/>
      </c>
      <c r="T85" s="43" t="n"/>
      <c r="U85" s="68">
        <f>IF($B85="","",YEAR($B85))</f>
        <v/>
      </c>
      <c r="V85" s="68">
        <f>IF($B85="","",MONTH($B85))</f>
        <v/>
      </c>
      <c r="W85" s="68">
        <f>IF($B85="","",DAY($B85))</f>
        <v/>
      </c>
      <c r="X85" s="68">
        <f>IF($B85="","",YEAR($B85)&amp;"-"&amp;TEXT(MONTH($B85),"00"))</f>
        <v/>
      </c>
      <c r="Y85" s="68">
        <f>IF(OR($H85="",$J85=""),"",$J85*IFERROR(VLOOKUP($H85,Maestro_SKU!$A$2:$P$500,12,FALSE),1))</f>
        <v/>
      </c>
    </row>
    <row r="86">
      <c r="A86" s="43" t="n"/>
      <c r="B86" s="54" t="n"/>
      <c r="C86" s="43" t="n"/>
      <c r="D86" s="43" t="n"/>
      <c r="E86" s="48">
        <f>IFERROR(VLOOKUP(D86,Clientes_PDV!$A$2:$J$250,2,FALSE),"")</f>
        <v/>
      </c>
      <c r="F86" s="48">
        <f>IFERROR(VLOOKUP(D86,Clientes_PDV!$A$2:$J$250,3,FALSE),"")</f>
        <v/>
      </c>
      <c r="G86" s="48">
        <f>IFERROR(VLOOKUP(D86,Clientes_PDV!$A$2:$J$250,4,FALSE),"")</f>
        <v/>
      </c>
      <c r="H86" s="43" t="n"/>
      <c r="I86" s="48">
        <f>IFERROR(VLOOKUP(H86,Maestro_SKU!$A$2:$P$500,2,FALSE),"")</f>
        <v/>
      </c>
      <c r="J86" s="55" t="n"/>
      <c r="K86" s="44" t="n"/>
      <c r="L86" s="51">
        <f>IF(OR(J86="",K86=""),"",J86*K86)</f>
        <v/>
      </c>
      <c r="M86" s="51">
        <f>IF(L86="","",L86*Inicio!$B$13)</f>
        <v/>
      </c>
      <c r="N86" s="51">
        <f>IF(L86="","",L86+M86)</f>
        <v/>
      </c>
      <c r="O86" s="54" t="n"/>
      <c r="P86" s="43" t="n"/>
      <c r="Q86" s="44" t="n"/>
      <c r="R86" s="51">
        <f>IF(N86="","",MAX(N86-Q86,0))</f>
        <v/>
      </c>
      <c r="S86" s="48">
        <f>IF(A86="","",IF(OR(P86="Pagada",R86=0),"Pagada",IF(O86&lt;TODAY(),"Vencida",IF(O86&lt;=TODAY()+Inicio!$B$19,"Próxima a vencer","Vigente"))))</f>
        <v/>
      </c>
      <c r="T86" s="43" t="n"/>
      <c r="U86" s="68">
        <f>IF($B86="","",YEAR($B86))</f>
        <v/>
      </c>
      <c r="V86" s="68">
        <f>IF($B86="","",MONTH($B86))</f>
        <v/>
      </c>
      <c r="W86" s="68">
        <f>IF($B86="","",DAY($B86))</f>
        <v/>
      </c>
      <c r="X86" s="68">
        <f>IF($B86="","",YEAR($B86)&amp;"-"&amp;TEXT(MONTH($B86),"00"))</f>
        <v/>
      </c>
      <c r="Y86" s="68">
        <f>IF(OR($H86="",$J86=""),"",$J86*IFERROR(VLOOKUP($H86,Maestro_SKU!$A$2:$P$500,12,FALSE),1))</f>
        <v/>
      </c>
    </row>
    <row r="87">
      <c r="A87" s="43" t="n"/>
      <c r="B87" s="54" t="n"/>
      <c r="C87" s="43" t="n"/>
      <c r="D87" s="43" t="n"/>
      <c r="E87" s="48">
        <f>IFERROR(VLOOKUP(D87,Clientes_PDV!$A$2:$J$250,2,FALSE),"")</f>
        <v/>
      </c>
      <c r="F87" s="48">
        <f>IFERROR(VLOOKUP(D87,Clientes_PDV!$A$2:$J$250,3,FALSE),"")</f>
        <v/>
      </c>
      <c r="G87" s="48">
        <f>IFERROR(VLOOKUP(D87,Clientes_PDV!$A$2:$J$250,4,FALSE),"")</f>
        <v/>
      </c>
      <c r="H87" s="43" t="n"/>
      <c r="I87" s="48">
        <f>IFERROR(VLOOKUP(H87,Maestro_SKU!$A$2:$P$500,2,FALSE),"")</f>
        <v/>
      </c>
      <c r="J87" s="55" t="n"/>
      <c r="K87" s="44" t="n"/>
      <c r="L87" s="51">
        <f>IF(OR(J87="",K87=""),"",J87*K87)</f>
        <v/>
      </c>
      <c r="M87" s="51">
        <f>IF(L87="","",L87*Inicio!$B$13)</f>
        <v/>
      </c>
      <c r="N87" s="51">
        <f>IF(L87="","",L87+M87)</f>
        <v/>
      </c>
      <c r="O87" s="54" t="n"/>
      <c r="P87" s="43" t="n"/>
      <c r="Q87" s="44" t="n"/>
      <c r="R87" s="51">
        <f>IF(N87="","",MAX(N87-Q87,0))</f>
        <v/>
      </c>
      <c r="S87" s="48">
        <f>IF(A87="","",IF(OR(P87="Pagada",R87=0),"Pagada",IF(O87&lt;TODAY(),"Vencida",IF(O87&lt;=TODAY()+Inicio!$B$19,"Próxima a vencer","Vigente"))))</f>
        <v/>
      </c>
      <c r="T87" s="43" t="n"/>
      <c r="U87" s="68">
        <f>IF($B87="","",YEAR($B87))</f>
        <v/>
      </c>
      <c r="V87" s="68">
        <f>IF($B87="","",MONTH($B87))</f>
        <v/>
      </c>
      <c r="W87" s="68">
        <f>IF($B87="","",DAY($B87))</f>
        <v/>
      </c>
      <c r="X87" s="68">
        <f>IF($B87="","",YEAR($B87)&amp;"-"&amp;TEXT(MONTH($B87),"00"))</f>
        <v/>
      </c>
      <c r="Y87" s="68">
        <f>IF(OR($H87="",$J87=""),"",$J87*IFERROR(VLOOKUP($H87,Maestro_SKU!$A$2:$P$500,12,FALSE),1))</f>
        <v/>
      </c>
    </row>
    <row r="88">
      <c r="A88" s="43" t="n"/>
      <c r="B88" s="54" t="n"/>
      <c r="C88" s="43" t="n"/>
      <c r="D88" s="43" t="n"/>
      <c r="E88" s="48">
        <f>IFERROR(VLOOKUP(D88,Clientes_PDV!$A$2:$J$250,2,FALSE),"")</f>
        <v/>
      </c>
      <c r="F88" s="48">
        <f>IFERROR(VLOOKUP(D88,Clientes_PDV!$A$2:$J$250,3,FALSE),"")</f>
        <v/>
      </c>
      <c r="G88" s="48">
        <f>IFERROR(VLOOKUP(D88,Clientes_PDV!$A$2:$J$250,4,FALSE),"")</f>
        <v/>
      </c>
      <c r="H88" s="43" t="n"/>
      <c r="I88" s="48">
        <f>IFERROR(VLOOKUP(H88,Maestro_SKU!$A$2:$P$500,2,FALSE),"")</f>
        <v/>
      </c>
      <c r="J88" s="55" t="n"/>
      <c r="K88" s="44" t="n"/>
      <c r="L88" s="51">
        <f>IF(OR(J88="",K88=""),"",J88*K88)</f>
        <v/>
      </c>
      <c r="M88" s="51">
        <f>IF(L88="","",L88*Inicio!$B$13)</f>
        <v/>
      </c>
      <c r="N88" s="51">
        <f>IF(L88="","",L88+M88)</f>
        <v/>
      </c>
      <c r="O88" s="54" t="n"/>
      <c r="P88" s="43" t="n"/>
      <c r="Q88" s="44" t="n"/>
      <c r="R88" s="51">
        <f>IF(N88="","",MAX(N88-Q88,0))</f>
        <v/>
      </c>
      <c r="S88" s="48">
        <f>IF(A88="","",IF(OR(P88="Pagada",R88=0),"Pagada",IF(O88&lt;TODAY(),"Vencida",IF(O88&lt;=TODAY()+Inicio!$B$19,"Próxima a vencer","Vigente"))))</f>
        <v/>
      </c>
      <c r="T88" s="43" t="n"/>
      <c r="U88" s="68">
        <f>IF($B88="","",YEAR($B88))</f>
        <v/>
      </c>
      <c r="V88" s="68">
        <f>IF($B88="","",MONTH($B88))</f>
        <v/>
      </c>
      <c r="W88" s="68">
        <f>IF($B88="","",DAY($B88))</f>
        <v/>
      </c>
      <c r="X88" s="68">
        <f>IF($B88="","",YEAR($B88)&amp;"-"&amp;TEXT(MONTH($B88),"00"))</f>
        <v/>
      </c>
      <c r="Y88" s="68">
        <f>IF(OR($H88="",$J88=""),"",$J88*IFERROR(VLOOKUP($H88,Maestro_SKU!$A$2:$P$500,12,FALSE),1))</f>
        <v/>
      </c>
    </row>
    <row r="89">
      <c r="A89" s="43" t="n"/>
      <c r="B89" s="54" t="n"/>
      <c r="C89" s="43" t="n"/>
      <c r="D89" s="43" t="n"/>
      <c r="E89" s="48">
        <f>IFERROR(VLOOKUP(D89,Clientes_PDV!$A$2:$J$250,2,FALSE),"")</f>
        <v/>
      </c>
      <c r="F89" s="48">
        <f>IFERROR(VLOOKUP(D89,Clientes_PDV!$A$2:$J$250,3,FALSE),"")</f>
        <v/>
      </c>
      <c r="G89" s="48">
        <f>IFERROR(VLOOKUP(D89,Clientes_PDV!$A$2:$J$250,4,FALSE),"")</f>
        <v/>
      </c>
      <c r="H89" s="43" t="n"/>
      <c r="I89" s="48">
        <f>IFERROR(VLOOKUP(H89,Maestro_SKU!$A$2:$P$500,2,FALSE),"")</f>
        <v/>
      </c>
      <c r="J89" s="55" t="n"/>
      <c r="K89" s="44" t="n"/>
      <c r="L89" s="51">
        <f>IF(OR(J89="",K89=""),"",J89*K89)</f>
        <v/>
      </c>
      <c r="M89" s="51">
        <f>IF(L89="","",L89*Inicio!$B$13)</f>
        <v/>
      </c>
      <c r="N89" s="51">
        <f>IF(L89="","",L89+M89)</f>
        <v/>
      </c>
      <c r="O89" s="54" t="n"/>
      <c r="P89" s="43" t="n"/>
      <c r="Q89" s="44" t="n"/>
      <c r="R89" s="51">
        <f>IF(N89="","",MAX(N89-Q89,0))</f>
        <v/>
      </c>
      <c r="S89" s="48">
        <f>IF(A89="","",IF(OR(P89="Pagada",R89=0),"Pagada",IF(O89&lt;TODAY(),"Vencida",IF(O89&lt;=TODAY()+Inicio!$B$19,"Próxima a vencer","Vigente"))))</f>
        <v/>
      </c>
      <c r="T89" s="43" t="n"/>
      <c r="U89" s="68">
        <f>IF($B89="","",YEAR($B89))</f>
        <v/>
      </c>
      <c r="V89" s="68">
        <f>IF($B89="","",MONTH($B89))</f>
        <v/>
      </c>
      <c r="W89" s="68">
        <f>IF($B89="","",DAY($B89))</f>
        <v/>
      </c>
      <c r="X89" s="68">
        <f>IF($B89="","",YEAR($B89)&amp;"-"&amp;TEXT(MONTH($B89),"00"))</f>
        <v/>
      </c>
      <c r="Y89" s="68">
        <f>IF(OR($H89="",$J89=""),"",$J89*IFERROR(VLOOKUP($H89,Maestro_SKU!$A$2:$P$500,12,FALSE),1))</f>
        <v/>
      </c>
    </row>
    <row r="90">
      <c r="A90" s="43" t="n"/>
      <c r="B90" s="54" t="n"/>
      <c r="C90" s="43" t="n"/>
      <c r="D90" s="43" t="n"/>
      <c r="E90" s="48">
        <f>IFERROR(VLOOKUP(D90,Clientes_PDV!$A$2:$J$250,2,FALSE),"")</f>
        <v/>
      </c>
      <c r="F90" s="48">
        <f>IFERROR(VLOOKUP(D90,Clientes_PDV!$A$2:$J$250,3,FALSE),"")</f>
        <v/>
      </c>
      <c r="G90" s="48">
        <f>IFERROR(VLOOKUP(D90,Clientes_PDV!$A$2:$J$250,4,FALSE),"")</f>
        <v/>
      </c>
      <c r="H90" s="43" t="n"/>
      <c r="I90" s="48">
        <f>IFERROR(VLOOKUP(H90,Maestro_SKU!$A$2:$P$500,2,FALSE),"")</f>
        <v/>
      </c>
      <c r="J90" s="55" t="n"/>
      <c r="K90" s="44" t="n"/>
      <c r="L90" s="51">
        <f>IF(OR(J90="",K90=""),"",J90*K90)</f>
        <v/>
      </c>
      <c r="M90" s="51">
        <f>IF(L90="","",L90*Inicio!$B$13)</f>
        <v/>
      </c>
      <c r="N90" s="51">
        <f>IF(L90="","",L90+M90)</f>
        <v/>
      </c>
      <c r="O90" s="54" t="n"/>
      <c r="P90" s="43" t="n"/>
      <c r="Q90" s="44" t="n"/>
      <c r="R90" s="51">
        <f>IF(N90="","",MAX(N90-Q90,0))</f>
        <v/>
      </c>
      <c r="S90" s="48">
        <f>IF(A90="","",IF(OR(P90="Pagada",R90=0),"Pagada",IF(O90&lt;TODAY(),"Vencida",IF(O90&lt;=TODAY()+Inicio!$B$19,"Próxima a vencer","Vigente"))))</f>
        <v/>
      </c>
      <c r="T90" s="43" t="n"/>
      <c r="U90" s="68">
        <f>IF($B90="","",YEAR($B90))</f>
        <v/>
      </c>
      <c r="V90" s="68">
        <f>IF($B90="","",MONTH($B90))</f>
        <v/>
      </c>
      <c r="W90" s="68">
        <f>IF($B90="","",DAY($B90))</f>
        <v/>
      </c>
      <c r="X90" s="68">
        <f>IF($B90="","",YEAR($B90)&amp;"-"&amp;TEXT(MONTH($B90),"00"))</f>
        <v/>
      </c>
      <c r="Y90" s="68">
        <f>IF(OR($H90="",$J90=""),"",$J90*IFERROR(VLOOKUP($H90,Maestro_SKU!$A$2:$P$500,12,FALSE),1))</f>
        <v/>
      </c>
    </row>
    <row r="91">
      <c r="A91" s="43" t="n"/>
      <c r="B91" s="54" t="n"/>
      <c r="C91" s="43" t="n"/>
      <c r="D91" s="43" t="n"/>
      <c r="E91" s="48">
        <f>IFERROR(VLOOKUP(D91,Clientes_PDV!$A$2:$J$250,2,FALSE),"")</f>
        <v/>
      </c>
      <c r="F91" s="48">
        <f>IFERROR(VLOOKUP(D91,Clientes_PDV!$A$2:$J$250,3,FALSE),"")</f>
        <v/>
      </c>
      <c r="G91" s="48">
        <f>IFERROR(VLOOKUP(D91,Clientes_PDV!$A$2:$J$250,4,FALSE),"")</f>
        <v/>
      </c>
      <c r="H91" s="43" t="n"/>
      <c r="I91" s="48">
        <f>IFERROR(VLOOKUP(H91,Maestro_SKU!$A$2:$P$500,2,FALSE),"")</f>
        <v/>
      </c>
      <c r="J91" s="55" t="n"/>
      <c r="K91" s="44" t="n"/>
      <c r="L91" s="51">
        <f>IF(OR(J91="",K91=""),"",J91*K91)</f>
        <v/>
      </c>
      <c r="M91" s="51">
        <f>IF(L91="","",L91*Inicio!$B$13)</f>
        <v/>
      </c>
      <c r="N91" s="51">
        <f>IF(L91="","",L91+M91)</f>
        <v/>
      </c>
      <c r="O91" s="54" t="n"/>
      <c r="P91" s="43" t="n"/>
      <c r="Q91" s="44" t="n"/>
      <c r="R91" s="51">
        <f>IF(N91="","",MAX(N91-Q91,0))</f>
        <v/>
      </c>
      <c r="S91" s="48">
        <f>IF(A91="","",IF(OR(P91="Pagada",R91=0),"Pagada",IF(O91&lt;TODAY(),"Vencida",IF(O91&lt;=TODAY()+Inicio!$B$19,"Próxima a vencer","Vigente"))))</f>
        <v/>
      </c>
      <c r="T91" s="43" t="n"/>
      <c r="U91" s="68">
        <f>IF($B91="","",YEAR($B91))</f>
        <v/>
      </c>
      <c r="V91" s="68">
        <f>IF($B91="","",MONTH($B91))</f>
        <v/>
      </c>
      <c r="W91" s="68">
        <f>IF($B91="","",DAY($B91))</f>
        <v/>
      </c>
      <c r="X91" s="68">
        <f>IF($B91="","",YEAR($B91)&amp;"-"&amp;TEXT(MONTH($B91),"00"))</f>
        <v/>
      </c>
      <c r="Y91" s="68">
        <f>IF(OR($H91="",$J91=""),"",$J91*IFERROR(VLOOKUP($H91,Maestro_SKU!$A$2:$P$500,12,FALSE),1))</f>
        <v/>
      </c>
    </row>
    <row r="92">
      <c r="A92" s="43" t="n"/>
      <c r="B92" s="54" t="n"/>
      <c r="C92" s="43" t="n"/>
      <c r="D92" s="43" t="n"/>
      <c r="E92" s="48">
        <f>IFERROR(VLOOKUP(D92,Clientes_PDV!$A$2:$J$250,2,FALSE),"")</f>
        <v/>
      </c>
      <c r="F92" s="48">
        <f>IFERROR(VLOOKUP(D92,Clientes_PDV!$A$2:$J$250,3,FALSE),"")</f>
        <v/>
      </c>
      <c r="G92" s="48">
        <f>IFERROR(VLOOKUP(D92,Clientes_PDV!$A$2:$J$250,4,FALSE),"")</f>
        <v/>
      </c>
      <c r="H92" s="43" t="n"/>
      <c r="I92" s="48">
        <f>IFERROR(VLOOKUP(H92,Maestro_SKU!$A$2:$P$500,2,FALSE),"")</f>
        <v/>
      </c>
      <c r="J92" s="55" t="n"/>
      <c r="K92" s="44" t="n"/>
      <c r="L92" s="51">
        <f>IF(OR(J92="",K92=""),"",J92*K92)</f>
        <v/>
      </c>
      <c r="M92" s="51">
        <f>IF(L92="","",L92*Inicio!$B$13)</f>
        <v/>
      </c>
      <c r="N92" s="51">
        <f>IF(L92="","",L92+M92)</f>
        <v/>
      </c>
      <c r="O92" s="54" t="n"/>
      <c r="P92" s="43" t="n"/>
      <c r="Q92" s="44" t="n"/>
      <c r="R92" s="51">
        <f>IF(N92="","",MAX(N92-Q92,0))</f>
        <v/>
      </c>
      <c r="S92" s="48">
        <f>IF(A92="","",IF(OR(P92="Pagada",R92=0),"Pagada",IF(O92&lt;TODAY(),"Vencida",IF(O92&lt;=TODAY()+Inicio!$B$19,"Próxima a vencer","Vigente"))))</f>
        <v/>
      </c>
      <c r="T92" s="43" t="n"/>
      <c r="U92" s="68">
        <f>IF($B92="","",YEAR($B92))</f>
        <v/>
      </c>
      <c r="V92" s="68">
        <f>IF($B92="","",MONTH($B92))</f>
        <v/>
      </c>
      <c r="W92" s="68">
        <f>IF($B92="","",DAY($B92))</f>
        <v/>
      </c>
      <c r="X92" s="68">
        <f>IF($B92="","",YEAR($B92)&amp;"-"&amp;TEXT(MONTH($B92),"00"))</f>
        <v/>
      </c>
      <c r="Y92" s="68">
        <f>IF(OR($H92="",$J92=""),"",$J92*IFERROR(VLOOKUP($H92,Maestro_SKU!$A$2:$P$500,12,FALSE),1))</f>
        <v/>
      </c>
    </row>
    <row r="93">
      <c r="A93" s="43" t="n"/>
      <c r="B93" s="54" t="n"/>
      <c r="C93" s="43" t="n"/>
      <c r="D93" s="43" t="n"/>
      <c r="E93" s="48">
        <f>IFERROR(VLOOKUP(D93,Clientes_PDV!$A$2:$J$250,2,FALSE),"")</f>
        <v/>
      </c>
      <c r="F93" s="48">
        <f>IFERROR(VLOOKUP(D93,Clientes_PDV!$A$2:$J$250,3,FALSE),"")</f>
        <v/>
      </c>
      <c r="G93" s="48">
        <f>IFERROR(VLOOKUP(D93,Clientes_PDV!$A$2:$J$250,4,FALSE),"")</f>
        <v/>
      </c>
      <c r="H93" s="43" t="n"/>
      <c r="I93" s="48">
        <f>IFERROR(VLOOKUP(H93,Maestro_SKU!$A$2:$P$500,2,FALSE),"")</f>
        <v/>
      </c>
      <c r="J93" s="55" t="n"/>
      <c r="K93" s="44" t="n"/>
      <c r="L93" s="51">
        <f>IF(OR(J93="",K93=""),"",J93*K93)</f>
        <v/>
      </c>
      <c r="M93" s="51">
        <f>IF(L93="","",L93*Inicio!$B$13)</f>
        <v/>
      </c>
      <c r="N93" s="51">
        <f>IF(L93="","",L93+M93)</f>
        <v/>
      </c>
      <c r="O93" s="54" t="n"/>
      <c r="P93" s="43" t="n"/>
      <c r="Q93" s="44" t="n"/>
      <c r="R93" s="51">
        <f>IF(N93="","",MAX(N93-Q93,0))</f>
        <v/>
      </c>
      <c r="S93" s="48">
        <f>IF(A93="","",IF(OR(P93="Pagada",R93=0),"Pagada",IF(O93&lt;TODAY(),"Vencida",IF(O93&lt;=TODAY()+Inicio!$B$19,"Próxima a vencer","Vigente"))))</f>
        <v/>
      </c>
      <c r="T93" s="43" t="n"/>
      <c r="U93" s="68">
        <f>IF($B93="","",YEAR($B93))</f>
        <v/>
      </c>
      <c r="V93" s="68">
        <f>IF($B93="","",MONTH($B93))</f>
        <v/>
      </c>
      <c r="W93" s="68">
        <f>IF($B93="","",DAY($B93))</f>
        <v/>
      </c>
      <c r="X93" s="68">
        <f>IF($B93="","",YEAR($B93)&amp;"-"&amp;TEXT(MONTH($B93),"00"))</f>
        <v/>
      </c>
      <c r="Y93" s="68">
        <f>IF(OR($H93="",$J93=""),"",$J93*IFERROR(VLOOKUP($H93,Maestro_SKU!$A$2:$P$500,12,FALSE),1))</f>
        <v/>
      </c>
    </row>
    <row r="94">
      <c r="A94" s="43" t="n"/>
      <c r="B94" s="54" t="n"/>
      <c r="C94" s="43" t="n"/>
      <c r="D94" s="43" t="n"/>
      <c r="E94" s="48">
        <f>IFERROR(VLOOKUP(D94,Clientes_PDV!$A$2:$J$250,2,FALSE),"")</f>
        <v/>
      </c>
      <c r="F94" s="48">
        <f>IFERROR(VLOOKUP(D94,Clientes_PDV!$A$2:$J$250,3,FALSE),"")</f>
        <v/>
      </c>
      <c r="G94" s="48">
        <f>IFERROR(VLOOKUP(D94,Clientes_PDV!$A$2:$J$250,4,FALSE),"")</f>
        <v/>
      </c>
      <c r="H94" s="43" t="n"/>
      <c r="I94" s="48">
        <f>IFERROR(VLOOKUP(H94,Maestro_SKU!$A$2:$P$500,2,FALSE),"")</f>
        <v/>
      </c>
      <c r="J94" s="55" t="n"/>
      <c r="K94" s="44" t="n"/>
      <c r="L94" s="51">
        <f>IF(OR(J94="",K94=""),"",J94*K94)</f>
        <v/>
      </c>
      <c r="M94" s="51">
        <f>IF(L94="","",L94*Inicio!$B$13)</f>
        <v/>
      </c>
      <c r="N94" s="51">
        <f>IF(L94="","",L94+M94)</f>
        <v/>
      </c>
      <c r="O94" s="54" t="n"/>
      <c r="P94" s="43" t="n"/>
      <c r="Q94" s="44" t="n"/>
      <c r="R94" s="51">
        <f>IF(N94="","",MAX(N94-Q94,0))</f>
        <v/>
      </c>
      <c r="S94" s="48">
        <f>IF(A94="","",IF(OR(P94="Pagada",R94=0),"Pagada",IF(O94&lt;TODAY(),"Vencida",IF(O94&lt;=TODAY()+Inicio!$B$19,"Próxima a vencer","Vigente"))))</f>
        <v/>
      </c>
      <c r="T94" s="43" t="n"/>
      <c r="U94" s="68">
        <f>IF($B94="","",YEAR($B94))</f>
        <v/>
      </c>
      <c r="V94" s="68">
        <f>IF($B94="","",MONTH($B94))</f>
        <v/>
      </c>
      <c r="W94" s="68">
        <f>IF($B94="","",DAY($B94))</f>
        <v/>
      </c>
      <c r="X94" s="68">
        <f>IF($B94="","",YEAR($B94)&amp;"-"&amp;TEXT(MONTH($B94),"00"))</f>
        <v/>
      </c>
      <c r="Y94" s="68">
        <f>IF(OR($H94="",$J94=""),"",$J94*IFERROR(VLOOKUP($H94,Maestro_SKU!$A$2:$P$500,12,FALSE),1))</f>
        <v/>
      </c>
    </row>
    <row r="95">
      <c r="A95" s="43" t="n"/>
      <c r="B95" s="54" t="n"/>
      <c r="C95" s="43" t="n"/>
      <c r="D95" s="43" t="n"/>
      <c r="E95" s="48">
        <f>IFERROR(VLOOKUP(D95,Clientes_PDV!$A$2:$J$250,2,FALSE),"")</f>
        <v/>
      </c>
      <c r="F95" s="48">
        <f>IFERROR(VLOOKUP(D95,Clientes_PDV!$A$2:$J$250,3,FALSE),"")</f>
        <v/>
      </c>
      <c r="G95" s="48">
        <f>IFERROR(VLOOKUP(D95,Clientes_PDV!$A$2:$J$250,4,FALSE),"")</f>
        <v/>
      </c>
      <c r="H95" s="43" t="n"/>
      <c r="I95" s="48">
        <f>IFERROR(VLOOKUP(H95,Maestro_SKU!$A$2:$P$500,2,FALSE),"")</f>
        <v/>
      </c>
      <c r="J95" s="55" t="n"/>
      <c r="K95" s="44" t="n"/>
      <c r="L95" s="51">
        <f>IF(OR(J95="",K95=""),"",J95*K95)</f>
        <v/>
      </c>
      <c r="M95" s="51">
        <f>IF(L95="","",L95*Inicio!$B$13)</f>
        <v/>
      </c>
      <c r="N95" s="51">
        <f>IF(L95="","",L95+M95)</f>
        <v/>
      </c>
      <c r="O95" s="54" t="n"/>
      <c r="P95" s="43" t="n"/>
      <c r="Q95" s="44" t="n"/>
      <c r="R95" s="51">
        <f>IF(N95="","",MAX(N95-Q95,0))</f>
        <v/>
      </c>
      <c r="S95" s="48">
        <f>IF(A95="","",IF(OR(P95="Pagada",R95=0),"Pagada",IF(O95&lt;TODAY(),"Vencida",IF(O95&lt;=TODAY()+Inicio!$B$19,"Próxima a vencer","Vigente"))))</f>
        <v/>
      </c>
      <c r="T95" s="43" t="n"/>
      <c r="U95" s="68">
        <f>IF($B95="","",YEAR($B95))</f>
        <v/>
      </c>
      <c r="V95" s="68">
        <f>IF($B95="","",MONTH($B95))</f>
        <v/>
      </c>
      <c r="W95" s="68">
        <f>IF($B95="","",DAY($B95))</f>
        <v/>
      </c>
      <c r="X95" s="68">
        <f>IF($B95="","",YEAR($B95)&amp;"-"&amp;TEXT(MONTH($B95),"00"))</f>
        <v/>
      </c>
      <c r="Y95" s="68">
        <f>IF(OR($H95="",$J95=""),"",$J95*IFERROR(VLOOKUP($H95,Maestro_SKU!$A$2:$P$500,12,FALSE),1))</f>
        <v/>
      </c>
    </row>
    <row r="96">
      <c r="A96" s="43" t="n"/>
      <c r="B96" s="54" t="n"/>
      <c r="C96" s="43" t="n"/>
      <c r="D96" s="43" t="n"/>
      <c r="E96" s="48">
        <f>IFERROR(VLOOKUP(D96,Clientes_PDV!$A$2:$J$250,2,FALSE),"")</f>
        <v/>
      </c>
      <c r="F96" s="48">
        <f>IFERROR(VLOOKUP(D96,Clientes_PDV!$A$2:$J$250,3,FALSE),"")</f>
        <v/>
      </c>
      <c r="G96" s="48">
        <f>IFERROR(VLOOKUP(D96,Clientes_PDV!$A$2:$J$250,4,FALSE),"")</f>
        <v/>
      </c>
      <c r="H96" s="43" t="n"/>
      <c r="I96" s="48">
        <f>IFERROR(VLOOKUP(H96,Maestro_SKU!$A$2:$P$500,2,FALSE),"")</f>
        <v/>
      </c>
      <c r="J96" s="55" t="n"/>
      <c r="K96" s="44" t="n"/>
      <c r="L96" s="51">
        <f>IF(OR(J96="",K96=""),"",J96*K96)</f>
        <v/>
      </c>
      <c r="M96" s="51">
        <f>IF(L96="","",L96*Inicio!$B$13)</f>
        <v/>
      </c>
      <c r="N96" s="51">
        <f>IF(L96="","",L96+M96)</f>
        <v/>
      </c>
      <c r="O96" s="54" t="n"/>
      <c r="P96" s="43" t="n"/>
      <c r="Q96" s="44" t="n"/>
      <c r="R96" s="51">
        <f>IF(N96="","",MAX(N96-Q96,0))</f>
        <v/>
      </c>
      <c r="S96" s="48">
        <f>IF(A96="","",IF(OR(P96="Pagada",R96=0),"Pagada",IF(O96&lt;TODAY(),"Vencida",IF(O96&lt;=TODAY()+Inicio!$B$19,"Próxima a vencer","Vigente"))))</f>
        <v/>
      </c>
      <c r="T96" s="43" t="n"/>
      <c r="U96" s="68">
        <f>IF($B96="","",YEAR($B96))</f>
        <v/>
      </c>
      <c r="V96" s="68">
        <f>IF($B96="","",MONTH($B96))</f>
        <v/>
      </c>
      <c r="W96" s="68">
        <f>IF($B96="","",DAY($B96))</f>
        <v/>
      </c>
      <c r="X96" s="68">
        <f>IF($B96="","",YEAR($B96)&amp;"-"&amp;TEXT(MONTH($B96),"00"))</f>
        <v/>
      </c>
      <c r="Y96" s="68">
        <f>IF(OR($H96="",$J96=""),"",$J96*IFERROR(VLOOKUP($H96,Maestro_SKU!$A$2:$P$500,12,FALSE),1))</f>
        <v/>
      </c>
    </row>
    <row r="97">
      <c r="A97" s="43" t="n"/>
      <c r="B97" s="54" t="n"/>
      <c r="C97" s="43" t="n"/>
      <c r="D97" s="43" t="n"/>
      <c r="E97" s="48">
        <f>IFERROR(VLOOKUP(D97,Clientes_PDV!$A$2:$J$250,2,FALSE),"")</f>
        <v/>
      </c>
      <c r="F97" s="48">
        <f>IFERROR(VLOOKUP(D97,Clientes_PDV!$A$2:$J$250,3,FALSE),"")</f>
        <v/>
      </c>
      <c r="G97" s="48">
        <f>IFERROR(VLOOKUP(D97,Clientes_PDV!$A$2:$J$250,4,FALSE),"")</f>
        <v/>
      </c>
      <c r="H97" s="43" t="n"/>
      <c r="I97" s="48">
        <f>IFERROR(VLOOKUP(H97,Maestro_SKU!$A$2:$P$500,2,FALSE),"")</f>
        <v/>
      </c>
      <c r="J97" s="55" t="n"/>
      <c r="K97" s="44" t="n"/>
      <c r="L97" s="51">
        <f>IF(OR(J97="",K97=""),"",J97*K97)</f>
        <v/>
      </c>
      <c r="M97" s="51">
        <f>IF(L97="","",L97*Inicio!$B$13)</f>
        <v/>
      </c>
      <c r="N97" s="51">
        <f>IF(L97="","",L97+M97)</f>
        <v/>
      </c>
      <c r="O97" s="54" t="n"/>
      <c r="P97" s="43" t="n"/>
      <c r="Q97" s="44" t="n"/>
      <c r="R97" s="51">
        <f>IF(N97="","",MAX(N97-Q97,0))</f>
        <v/>
      </c>
      <c r="S97" s="48">
        <f>IF(A97="","",IF(OR(P97="Pagada",R97=0),"Pagada",IF(O97&lt;TODAY(),"Vencida",IF(O97&lt;=TODAY()+Inicio!$B$19,"Próxima a vencer","Vigente"))))</f>
        <v/>
      </c>
      <c r="T97" s="43" t="n"/>
      <c r="U97" s="68">
        <f>IF($B97="","",YEAR($B97))</f>
        <v/>
      </c>
      <c r="V97" s="68">
        <f>IF($B97="","",MONTH($B97))</f>
        <v/>
      </c>
      <c r="W97" s="68">
        <f>IF($B97="","",DAY($B97))</f>
        <v/>
      </c>
      <c r="X97" s="68">
        <f>IF($B97="","",YEAR($B97)&amp;"-"&amp;TEXT(MONTH($B97),"00"))</f>
        <v/>
      </c>
      <c r="Y97" s="68">
        <f>IF(OR($H97="",$J97=""),"",$J97*IFERROR(VLOOKUP($H97,Maestro_SKU!$A$2:$P$500,12,FALSE),1))</f>
        <v/>
      </c>
    </row>
    <row r="98">
      <c r="A98" s="43" t="n"/>
      <c r="B98" s="54" t="n"/>
      <c r="C98" s="43" t="n"/>
      <c r="D98" s="43" t="n"/>
      <c r="E98" s="48">
        <f>IFERROR(VLOOKUP(D98,Clientes_PDV!$A$2:$J$250,2,FALSE),"")</f>
        <v/>
      </c>
      <c r="F98" s="48">
        <f>IFERROR(VLOOKUP(D98,Clientes_PDV!$A$2:$J$250,3,FALSE),"")</f>
        <v/>
      </c>
      <c r="G98" s="48">
        <f>IFERROR(VLOOKUP(D98,Clientes_PDV!$A$2:$J$250,4,FALSE),"")</f>
        <v/>
      </c>
      <c r="H98" s="43" t="n"/>
      <c r="I98" s="48">
        <f>IFERROR(VLOOKUP(H98,Maestro_SKU!$A$2:$P$500,2,FALSE),"")</f>
        <v/>
      </c>
      <c r="J98" s="55" t="n"/>
      <c r="K98" s="44" t="n"/>
      <c r="L98" s="51">
        <f>IF(OR(J98="",K98=""),"",J98*K98)</f>
        <v/>
      </c>
      <c r="M98" s="51">
        <f>IF(L98="","",L98*Inicio!$B$13)</f>
        <v/>
      </c>
      <c r="N98" s="51">
        <f>IF(L98="","",L98+M98)</f>
        <v/>
      </c>
      <c r="O98" s="54" t="n"/>
      <c r="P98" s="43" t="n"/>
      <c r="Q98" s="44" t="n"/>
      <c r="R98" s="51">
        <f>IF(N98="","",MAX(N98-Q98,0))</f>
        <v/>
      </c>
      <c r="S98" s="48">
        <f>IF(A98="","",IF(OR(P98="Pagada",R98=0),"Pagada",IF(O98&lt;TODAY(),"Vencida",IF(O98&lt;=TODAY()+Inicio!$B$19,"Próxima a vencer","Vigente"))))</f>
        <v/>
      </c>
      <c r="T98" s="43" t="n"/>
      <c r="U98" s="68">
        <f>IF($B98="","",YEAR($B98))</f>
        <v/>
      </c>
      <c r="V98" s="68">
        <f>IF($B98="","",MONTH($B98))</f>
        <v/>
      </c>
      <c r="W98" s="68">
        <f>IF($B98="","",DAY($B98))</f>
        <v/>
      </c>
      <c r="X98" s="68">
        <f>IF($B98="","",YEAR($B98)&amp;"-"&amp;TEXT(MONTH($B98),"00"))</f>
        <v/>
      </c>
      <c r="Y98" s="68">
        <f>IF(OR($H98="",$J98=""),"",$J98*IFERROR(VLOOKUP($H98,Maestro_SKU!$A$2:$P$500,12,FALSE),1))</f>
        <v/>
      </c>
    </row>
    <row r="99">
      <c r="A99" s="43" t="n"/>
      <c r="B99" s="54" t="n"/>
      <c r="C99" s="43" t="n"/>
      <c r="D99" s="43" t="n"/>
      <c r="E99" s="48">
        <f>IFERROR(VLOOKUP(D99,Clientes_PDV!$A$2:$J$250,2,FALSE),"")</f>
        <v/>
      </c>
      <c r="F99" s="48">
        <f>IFERROR(VLOOKUP(D99,Clientes_PDV!$A$2:$J$250,3,FALSE),"")</f>
        <v/>
      </c>
      <c r="G99" s="48">
        <f>IFERROR(VLOOKUP(D99,Clientes_PDV!$A$2:$J$250,4,FALSE),"")</f>
        <v/>
      </c>
      <c r="H99" s="43" t="n"/>
      <c r="I99" s="48">
        <f>IFERROR(VLOOKUP(H99,Maestro_SKU!$A$2:$P$500,2,FALSE),"")</f>
        <v/>
      </c>
      <c r="J99" s="55" t="n"/>
      <c r="K99" s="44" t="n"/>
      <c r="L99" s="51">
        <f>IF(OR(J99="",K99=""),"",J99*K99)</f>
        <v/>
      </c>
      <c r="M99" s="51">
        <f>IF(L99="","",L99*Inicio!$B$13)</f>
        <v/>
      </c>
      <c r="N99" s="51">
        <f>IF(L99="","",L99+M99)</f>
        <v/>
      </c>
      <c r="O99" s="54" t="n"/>
      <c r="P99" s="43" t="n"/>
      <c r="Q99" s="44" t="n"/>
      <c r="R99" s="51">
        <f>IF(N99="","",MAX(N99-Q99,0))</f>
        <v/>
      </c>
      <c r="S99" s="48">
        <f>IF(A99="","",IF(OR(P99="Pagada",R99=0),"Pagada",IF(O99&lt;TODAY(),"Vencida",IF(O99&lt;=TODAY()+Inicio!$B$19,"Próxima a vencer","Vigente"))))</f>
        <v/>
      </c>
      <c r="T99" s="43" t="n"/>
      <c r="U99" s="68">
        <f>IF($B99="","",YEAR($B99))</f>
        <v/>
      </c>
      <c r="V99" s="68">
        <f>IF($B99="","",MONTH($B99))</f>
        <v/>
      </c>
      <c r="W99" s="68">
        <f>IF($B99="","",DAY($B99))</f>
        <v/>
      </c>
      <c r="X99" s="68">
        <f>IF($B99="","",YEAR($B99)&amp;"-"&amp;TEXT(MONTH($B99),"00"))</f>
        <v/>
      </c>
      <c r="Y99" s="68">
        <f>IF(OR($H99="",$J99=""),"",$J99*IFERROR(VLOOKUP($H99,Maestro_SKU!$A$2:$P$500,12,FALSE),1))</f>
        <v/>
      </c>
    </row>
    <row r="100">
      <c r="A100" s="43" t="n"/>
      <c r="B100" s="54" t="n"/>
      <c r="C100" s="43" t="n"/>
      <c r="D100" s="43" t="n"/>
      <c r="E100" s="48">
        <f>IFERROR(VLOOKUP(D100,Clientes_PDV!$A$2:$J$250,2,FALSE),"")</f>
        <v/>
      </c>
      <c r="F100" s="48">
        <f>IFERROR(VLOOKUP(D100,Clientes_PDV!$A$2:$J$250,3,FALSE),"")</f>
        <v/>
      </c>
      <c r="G100" s="48">
        <f>IFERROR(VLOOKUP(D100,Clientes_PDV!$A$2:$J$250,4,FALSE),"")</f>
        <v/>
      </c>
      <c r="H100" s="43" t="n"/>
      <c r="I100" s="48">
        <f>IFERROR(VLOOKUP(H100,Maestro_SKU!$A$2:$P$500,2,FALSE),"")</f>
        <v/>
      </c>
      <c r="J100" s="55" t="n"/>
      <c r="K100" s="44" t="n"/>
      <c r="L100" s="51">
        <f>IF(OR(J100="",K100=""),"",J100*K100)</f>
        <v/>
      </c>
      <c r="M100" s="51">
        <f>IF(L100="","",L100*Inicio!$B$13)</f>
        <v/>
      </c>
      <c r="N100" s="51">
        <f>IF(L100="","",L100+M100)</f>
        <v/>
      </c>
      <c r="O100" s="54" t="n"/>
      <c r="P100" s="43" t="n"/>
      <c r="Q100" s="44" t="n"/>
      <c r="R100" s="51">
        <f>IF(N100="","",MAX(N100-Q100,0))</f>
        <v/>
      </c>
      <c r="S100" s="48">
        <f>IF(A100="","",IF(OR(P100="Pagada",R100=0),"Pagada",IF(O100&lt;TODAY(),"Vencida",IF(O100&lt;=TODAY()+Inicio!$B$19,"Próxima a vencer","Vigente"))))</f>
        <v/>
      </c>
      <c r="T100" s="43" t="n"/>
      <c r="U100" s="68">
        <f>IF($B100="","",YEAR($B100))</f>
        <v/>
      </c>
      <c r="V100" s="68">
        <f>IF($B100="","",MONTH($B100))</f>
        <v/>
      </c>
      <c r="W100" s="68">
        <f>IF($B100="","",DAY($B100))</f>
        <v/>
      </c>
      <c r="X100" s="68">
        <f>IF($B100="","",YEAR($B100)&amp;"-"&amp;TEXT(MONTH($B100),"00"))</f>
        <v/>
      </c>
      <c r="Y100" s="68">
        <f>IF(OR($H100="",$J100=""),"",$J100*IFERROR(VLOOKUP($H100,Maestro_SKU!$A$2:$P$500,12,FALSE),1))</f>
        <v/>
      </c>
    </row>
    <row r="101">
      <c r="A101" s="43" t="n"/>
      <c r="B101" s="54" t="n"/>
      <c r="C101" s="43" t="n"/>
      <c r="D101" s="43" t="n"/>
      <c r="E101" s="48">
        <f>IFERROR(VLOOKUP(D101,Clientes_PDV!$A$2:$J$250,2,FALSE),"")</f>
        <v/>
      </c>
      <c r="F101" s="48">
        <f>IFERROR(VLOOKUP(D101,Clientes_PDV!$A$2:$J$250,3,FALSE),"")</f>
        <v/>
      </c>
      <c r="G101" s="48">
        <f>IFERROR(VLOOKUP(D101,Clientes_PDV!$A$2:$J$250,4,FALSE),"")</f>
        <v/>
      </c>
      <c r="H101" s="43" t="n"/>
      <c r="I101" s="48">
        <f>IFERROR(VLOOKUP(H101,Maestro_SKU!$A$2:$P$500,2,FALSE),"")</f>
        <v/>
      </c>
      <c r="J101" s="55" t="n"/>
      <c r="K101" s="44" t="n"/>
      <c r="L101" s="51">
        <f>IF(OR(J101="",K101=""),"",J101*K101)</f>
        <v/>
      </c>
      <c r="M101" s="51">
        <f>IF(L101="","",L101*Inicio!$B$13)</f>
        <v/>
      </c>
      <c r="N101" s="51">
        <f>IF(L101="","",L101+M101)</f>
        <v/>
      </c>
      <c r="O101" s="54" t="n"/>
      <c r="P101" s="43" t="n"/>
      <c r="Q101" s="44" t="n"/>
      <c r="R101" s="51">
        <f>IF(N101="","",MAX(N101-Q101,0))</f>
        <v/>
      </c>
      <c r="S101" s="48">
        <f>IF(A101="","",IF(OR(P101="Pagada",R101=0),"Pagada",IF(O101&lt;TODAY(),"Vencida",IF(O101&lt;=TODAY()+Inicio!$B$19,"Próxima a vencer","Vigente"))))</f>
        <v/>
      </c>
      <c r="T101" s="43" t="n"/>
      <c r="U101" s="68">
        <f>IF($B101="","",YEAR($B101))</f>
        <v/>
      </c>
      <c r="V101" s="68">
        <f>IF($B101="","",MONTH($B101))</f>
        <v/>
      </c>
      <c r="W101" s="68">
        <f>IF($B101="","",DAY($B101))</f>
        <v/>
      </c>
      <c r="X101" s="68">
        <f>IF($B101="","",YEAR($B101)&amp;"-"&amp;TEXT(MONTH($B101),"00"))</f>
        <v/>
      </c>
      <c r="Y101" s="68">
        <f>IF(OR($H101="",$J101=""),"",$J101*IFERROR(VLOOKUP($H101,Maestro_SKU!$A$2:$P$500,12,FALSE),1))</f>
        <v/>
      </c>
    </row>
    <row r="102">
      <c r="A102" s="43" t="n"/>
      <c r="B102" s="54" t="n"/>
      <c r="C102" s="43" t="n"/>
      <c r="D102" s="43" t="n"/>
      <c r="E102" s="48">
        <f>IFERROR(VLOOKUP(D102,Clientes_PDV!$A$2:$J$250,2,FALSE),"")</f>
        <v/>
      </c>
      <c r="F102" s="48">
        <f>IFERROR(VLOOKUP(D102,Clientes_PDV!$A$2:$J$250,3,FALSE),"")</f>
        <v/>
      </c>
      <c r="G102" s="48">
        <f>IFERROR(VLOOKUP(D102,Clientes_PDV!$A$2:$J$250,4,FALSE),"")</f>
        <v/>
      </c>
      <c r="H102" s="43" t="n"/>
      <c r="I102" s="48">
        <f>IFERROR(VLOOKUP(H102,Maestro_SKU!$A$2:$P$500,2,FALSE),"")</f>
        <v/>
      </c>
      <c r="J102" s="55" t="n"/>
      <c r="K102" s="44" t="n"/>
      <c r="L102" s="51">
        <f>IF(OR(J102="",K102=""),"",J102*K102)</f>
        <v/>
      </c>
      <c r="M102" s="51">
        <f>IF(L102="","",L102*Inicio!$B$13)</f>
        <v/>
      </c>
      <c r="N102" s="51">
        <f>IF(L102="","",L102+M102)</f>
        <v/>
      </c>
      <c r="O102" s="54" t="n"/>
      <c r="P102" s="43" t="n"/>
      <c r="Q102" s="44" t="n"/>
      <c r="R102" s="51">
        <f>IF(N102="","",MAX(N102-Q102,0))</f>
        <v/>
      </c>
      <c r="S102" s="48">
        <f>IF(A102="","",IF(OR(P102="Pagada",R102=0),"Pagada",IF(O102&lt;TODAY(),"Vencida",IF(O102&lt;=TODAY()+Inicio!$B$19,"Próxima a vencer","Vigente"))))</f>
        <v/>
      </c>
      <c r="T102" s="43" t="n"/>
      <c r="U102" s="68">
        <f>IF($B102="","",YEAR($B102))</f>
        <v/>
      </c>
      <c r="V102" s="68">
        <f>IF($B102="","",MONTH($B102))</f>
        <v/>
      </c>
      <c r="W102" s="68">
        <f>IF($B102="","",DAY($B102))</f>
        <v/>
      </c>
      <c r="X102" s="68">
        <f>IF($B102="","",YEAR($B102)&amp;"-"&amp;TEXT(MONTH($B102),"00"))</f>
        <v/>
      </c>
      <c r="Y102" s="68">
        <f>IF(OR($H102="",$J102=""),"",$J102*IFERROR(VLOOKUP($H102,Maestro_SKU!$A$2:$P$500,12,FALSE),1))</f>
        <v/>
      </c>
    </row>
    <row r="103">
      <c r="A103" s="43" t="n"/>
      <c r="B103" s="54" t="n"/>
      <c r="C103" s="43" t="n"/>
      <c r="D103" s="43" t="n"/>
      <c r="E103" s="48">
        <f>IFERROR(VLOOKUP(D103,Clientes_PDV!$A$2:$J$250,2,FALSE),"")</f>
        <v/>
      </c>
      <c r="F103" s="48">
        <f>IFERROR(VLOOKUP(D103,Clientes_PDV!$A$2:$J$250,3,FALSE),"")</f>
        <v/>
      </c>
      <c r="G103" s="48">
        <f>IFERROR(VLOOKUP(D103,Clientes_PDV!$A$2:$J$250,4,FALSE),"")</f>
        <v/>
      </c>
      <c r="H103" s="43" t="n"/>
      <c r="I103" s="48">
        <f>IFERROR(VLOOKUP(H103,Maestro_SKU!$A$2:$P$500,2,FALSE),"")</f>
        <v/>
      </c>
      <c r="J103" s="55" t="n"/>
      <c r="K103" s="44" t="n"/>
      <c r="L103" s="51">
        <f>IF(OR(J103="",K103=""),"",J103*K103)</f>
        <v/>
      </c>
      <c r="M103" s="51">
        <f>IF(L103="","",L103*Inicio!$B$13)</f>
        <v/>
      </c>
      <c r="N103" s="51">
        <f>IF(L103="","",L103+M103)</f>
        <v/>
      </c>
      <c r="O103" s="54" t="n"/>
      <c r="P103" s="43" t="n"/>
      <c r="Q103" s="44" t="n"/>
      <c r="R103" s="51">
        <f>IF(N103="","",MAX(N103-Q103,0))</f>
        <v/>
      </c>
      <c r="S103" s="48">
        <f>IF(A103="","",IF(OR(P103="Pagada",R103=0),"Pagada",IF(O103&lt;TODAY(),"Vencida",IF(O103&lt;=TODAY()+Inicio!$B$19,"Próxima a vencer","Vigente"))))</f>
        <v/>
      </c>
      <c r="T103" s="43" t="n"/>
      <c r="U103" s="68">
        <f>IF($B103="","",YEAR($B103))</f>
        <v/>
      </c>
      <c r="V103" s="68">
        <f>IF($B103="","",MONTH($B103))</f>
        <v/>
      </c>
      <c r="W103" s="68">
        <f>IF($B103="","",DAY($B103))</f>
        <v/>
      </c>
      <c r="X103" s="68">
        <f>IF($B103="","",YEAR($B103)&amp;"-"&amp;TEXT(MONTH($B103),"00"))</f>
        <v/>
      </c>
      <c r="Y103" s="68">
        <f>IF(OR($H103="",$J103=""),"",$J103*IFERROR(VLOOKUP($H103,Maestro_SKU!$A$2:$P$500,12,FALSE),1))</f>
        <v/>
      </c>
    </row>
    <row r="104">
      <c r="A104" s="43" t="n"/>
      <c r="B104" s="54" t="n"/>
      <c r="C104" s="43" t="n"/>
      <c r="D104" s="43" t="n"/>
      <c r="E104" s="48">
        <f>IFERROR(VLOOKUP(D104,Clientes_PDV!$A$2:$J$250,2,FALSE),"")</f>
        <v/>
      </c>
      <c r="F104" s="48">
        <f>IFERROR(VLOOKUP(D104,Clientes_PDV!$A$2:$J$250,3,FALSE),"")</f>
        <v/>
      </c>
      <c r="G104" s="48">
        <f>IFERROR(VLOOKUP(D104,Clientes_PDV!$A$2:$J$250,4,FALSE),"")</f>
        <v/>
      </c>
      <c r="H104" s="43" t="n"/>
      <c r="I104" s="48">
        <f>IFERROR(VLOOKUP(H104,Maestro_SKU!$A$2:$P$500,2,FALSE),"")</f>
        <v/>
      </c>
      <c r="J104" s="55" t="n"/>
      <c r="K104" s="44" t="n"/>
      <c r="L104" s="51">
        <f>IF(OR(J104="",K104=""),"",J104*K104)</f>
        <v/>
      </c>
      <c r="M104" s="51">
        <f>IF(L104="","",L104*Inicio!$B$13)</f>
        <v/>
      </c>
      <c r="N104" s="51">
        <f>IF(L104="","",L104+M104)</f>
        <v/>
      </c>
      <c r="O104" s="54" t="n"/>
      <c r="P104" s="43" t="n"/>
      <c r="Q104" s="44" t="n"/>
      <c r="R104" s="51">
        <f>IF(N104="","",MAX(N104-Q104,0))</f>
        <v/>
      </c>
      <c r="S104" s="48">
        <f>IF(A104="","",IF(OR(P104="Pagada",R104=0),"Pagada",IF(O104&lt;TODAY(),"Vencida",IF(O104&lt;=TODAY()+Inicio!$B$19,"Próxima a vencer","Vigente"))))</f>
        <v/>
      </c>
      <c r="T104" s="43" t="n"/>
      <c r="U104" s="68">
        <f>IF($B104="","",YEAR($B104))</f>
        <v/>
      </c>
      <c r="V104" s="68">
        <f>IF($B104="","",MONTH($B104))</f>
        <v/>
      </c>
      <c r="W104" s="68">
        <f>IF($B104="","",DAY($B104))</f>
        <v/>
      </c>
      <c r="X104" s="68">
        <f>IF($B104="","",YEAR($B104)&amp;"-"&amp;TEXT(MONTH($B104),"00"))</f>
        <v/>
      </c>
      <c r="Y104" s="68">
        <f>IF(OR($H104="",$J104=""),"",$J104*IFERROR(VLOOKUP($H104,Maestro_SKU!$A$2:$P$500,12,FALSE),1))</f>
        <v/>
      </c>
    </row>
    <row r="105">
      <c r="A105" s="43" t="n"/>
      <c r="B105" s="54" t="n"/>
      <c r="C105" s="43" t="n"/>
      <c r="D105" s="43" t="n"/>
      <c r="E105" s="48">
        <f>IFERROR(VLOOKUP(D105,Clientes_PDV!$A$2:$J$250,2,FALSE),"")</f>
        <v/>
      </c>
      <c r="F105" s="48">
        <f>IFERROR(VLOOKUP(D105,Clientes_PDV!$A$2:$J$250,3,FALSE),"")</f>
        <v/>
      </c>
      <c r="G105" s="48">
        <f>IFERROR(VLOOKUP(D105,Clientes_PDV!$A$2:$J$250,4,FALSE),"")</f>
        <v/>
      </c>
      <c r="H105" s="43" t="n"/>
      <c r="I105" s="48">
        <f>IFERROR(VLOOKUP(H105,Maestro_SKU!$A$2:$P$500,2,FALSE),"")</f>
        <v/>
      </c>
      <c r="J105" s="55" t="n"/>
      <c r="K105" s="44" t="n"/>
      <c r="L105" s="51">
        <f>IF(OR(J105="",K105=""),"",J105*K105)</f>
        <v/>
      </c>
      <c r="M105" s="51">
        <f>IF(L105="","",L105*Inicio!$B$13)</f>
        <v/>
      </c>
      <c r="N105" s="51">
        <f>IF(L105="","",L105+M105)</f>
        <v/>
      </c>
      <c r="O105" s="54" t="n"/>
      <c r="P105" s="43" t="n"/>
      <c r="Q105" s="44" t="n"/>
      <c r="R105" s="51">
        <f>IF(N105="","",MAX(N105-Q105,0))</f>
        <v/>
      </c>
      <c r="S105" s="48">
        <f>IF(A105="","",IF(OR(P105="Pagada",R105=0),"Pagada",IF(O105&lt;TODAY(),"Vencida",IF(O105&lt;=TODAY()+Inicio!$B$19,"Próxima a vencer","Vigente"))))</f>
        <v/>
      </c>
      <c r="T105" s="43" t="n"/>
      <c r="U105" s="68">
        <f>IF($B105="","",YEAR($B105))</f>
        <v/>
      </c>
      <c r="V105" s="68">
        <f>IF($B105="","",MONTH($B105))</f>
        <v/>
      </c>
      <c r="W105" s="68">
        <f>IF($B105="","",DAY($B105))</f>
        <v/>
      </c>
      <c r="X105" s="68">
        <f>IF($B105="","",YEAR($B105)&amp;"-"&amp;TEXT(MONTH($B105),"00"))</f>
        <v/>
      </c>
      <c r="Y105" s="68">
        <f>IF(OR($H105="",$J105=""),"",$J105*IFERROR(VLOOKUP($H105,Maestro_SKU!$A$2:$P$500,12,FALSE),1))</f>
        <v/>
      </c>
    </row>
    <row r="106">
      <c r="A106" s="43" t="n"/>
      <c r="B106" s="54" t="n"/>
      <c r="C106" s="43" t="n"/>
      <c r="D106" s="43" t="n"/>
      <c r="E106" s="48">
        <f>IFERROR(VLOOKUP(D106,Clientes_PDV!$A$2:$J$250,2,FALSE),"")</f>
        <v/>
      </c>
      <c r="F106" s="48">
        <f>IFERROR(VLOOKUP(D106,Clientes_PDV!$A$2:$J$250,3,FALSE),"")</f>
        <v/>
      </c>
      <c r="G106" s="48">
        <f>IFERROR(VLOOKUP(D106,Clientes_PDV!$A$2:$J$250,4,FALSE),"")</f>
        <v/>
      </c>
      <c r="H106" s="43" t="n"/>
      <c r="I106" s="48">
        <f>IFERROR(VLOOKUP(H106,Maestro_SKU!$A$2:$P$500,2,FALSE),"")</f>
        <v/>
      </c>
      <c r="J106" s="55" t="n"/>
      <c r="K106" s="44" t="n"/>
      <c r="L106" s="51">
        <f>IF(OR(J106="",K106=""),"",J106*K106)</f>
        <v/>
      </c>
      <c r="M106" s="51">
        <f>IF(L106="","",L106*Inicio!$B$13)</f>
        <v/>
      </c>
      <c r="N106" s="51">
        <f>IF(L106="","",L106+M106)</f>
        <v/>
      </c>
      <c r="O106" s="54" t="n"/>
      <c r="P106" s="43" t="n"/>
      <c r="Q106" s="44" t="n"/>
      <c r="R106" s="51">
        <f>IF(N106="","",MAX(N106-Q106,0))</f>
        <v/>
      </c>
      <c r="S106" s="48">
        <f>IF(A106="","",IF(OR(P106="Pagada",R106=0),"Pagada",IF(O106&lt;TODAY(),"Vencida",IF(O106&lt;=TODAY()+Inicio!$B$19,"Próxima a vencer","Vigente"))))</f>
        <v/>
      </c>
      <c r="T106" s="43" t="n"/>
      <c r="U106" s="68">
        <f>IF($B106="","",YEAR($B106))</f>
        <v/>
      </c>
      <c r="V106" s="68">
        <f>IF($B106="","",MONTH($B106))</f>
        <v/>
      </c>
      <c r="W106" s="68">
        <f>IF($B106="","",DAY($B106))</f>
        <v/>
      </c>
      <c r="X106" s="68">
        <f>IF($B106="","",YEAR($B106)&amp;"-"&amp;TEXT(MONTH($B106),"00"))</f>
        <v/>
      </c>
      <c r="Y106" s="68">
        <f>IF(OR($H106="",$J106=""),"",$J106*IFERROR(VLOOKUP($H106,Maestro_SKU!$A$2:$P$500,12,FALSE),1))</f>
        <v/>
      </c>
    </row>
    <row r="107">
      <c r="A107" s="43" t="n"/>
      <c r="B107" s="54" t="n"/>
      <c r="C107" s="43" t="n"/>
      <c r="D107" s="43" t="n"/>
      <c r="E107" s="48">
        <f>IFERROR(VLOOKUP(D107,Clientes_PDV!$A$2:$J$250,2,FALSE),"")</f>
        <v/>
      </c>
      <c r="F107" s="48">
        <f>IFERROR(VLOOKUP(D107,Clientes_PDV!$A$2:$J$250,3,FALSE),"")</f>
        <v/>
      </c>
      <c r="G107" s="48">
        <f>IFERROR(VLOOKUP(D107,Clientes_PDV!$A$2:$J$250,4,FALSE),"")</f>
        <v/>
      </c>
      <c r="H107" s="43" t="n"/>
      <c r="I107" s="48">
        <f>IFERROR(VLOOKUP(H107,Maestro_SKU!$A$2:$P$500,2,FALSE),"")</f>
        <v/>
      </c>
      <c r="J107" s="55" t="n"/>
      <c r="K107" s="44" t="n"/>
      <c r="L107" s="51">
        <f>IF(OR(J107="",K107=""),"",J107*K107)</f>
        <v/>
      </c>
      <c r="M107" s="51">
        <f>IF(L107="","",L107*Inicio!$B$13)</f>
        <v/>
      </c>
      <c r="N107" s="51">
        <f>IF(L107="","",L107+M107)</f>
        <v/>
      </c>
      <c r="O107" s="54" t="n"/>
      <c r="P107" s="43" t="n"/>
      <c r="Q107" s="44" t="n"/>
      <c r="R107" s="51">
        <f>IF(N107="","",MAX(N107-Q107,0))</f>
        <v/>
      </c>
      <c r="S107" s="48">
        <f>IF(A107="","",IF(OR(P107="Pagada",R107=0),"Pagada",IF(O107&lt;TODAY(),"Vencida",IF(O107&lt;=TODAY()+Inicio!$B$19,"Próxima a vencer","Vigente"))))</f>
        <v/>
      </c>
      <c r="T107" s="43" t="n"/>
      <c r="U107" s="68">
        <f>IF($B107="","",YEAR($B107))</f>
        <v/>
      </c>
      <c r="V107" s="68">
        <f>IF($B107="","",MONTH($B107))</f>
        <v/>
      </c>
      <c r="W107" s="68">
        <f>IF($B107="","",DAY($B107))</f>
        <v/>
      </c>
      <c r="X107" s="68">
        <f>IF($B107="","",YEAR($B107)&amp;"-"&amp;TEXT(MONTH($B107),"00"))</f>
        <v/>
      </c>
      <c r="Y107" s="68">
        <f>IF(OR($H107="",$J107=""),"",$J107*IFERROR(VLOOKUP($H107,Maestro_SKU!$A$2:$P$500,12,FALSE),1))</f>
        <v/>
      </c>
    </row>
    <row r="108">
      <c r="A108" s="43" t="n"/>
      <c r="B108" s="54" t="n"/>
      <c r="C108" s="43" t="n"/>
      <c r="D108" s="43" t="n"/>
      <c r="E108" s="48">
        <f>IFERROR(VLOOKUP(D108,Clientes_PDV!$A$2:$J$250,2,FALSE),"")</f>
        <v/>
      </c>
      <c r="F108" s="48">
        <f>IFERROR(VLOOKUP(D108,Clientes_PDV!$A$2:$J$250,3,FALSE),"")</f>
        <v/>
      </c>
      <c r="G108" s="48">
        <f>IFERROR(VLOOKUP(D108,Clientes_PDV!$A$2:$J$250,4,FALSE),"")</f>
        <v/>
      </c>
      <c r="H108" s="43" t="n"/>
      <c r="I108" s="48">
        <f>IFERROR(VLOOKUP(H108,Maestro_SKU!$A$2:$P$500,2,FALSE),"")</f>
        <v/>
      </c>
      <c r="J108" s="55" t="n"/>
      <c r="K108" s="44" t="n"/>
      <c r="L108" s="51">
        <f>IF(OR(J108="",K108=""),"",J108*K108)</f>
        <v/>
      </c>
      <c r="M108" s="51">
        <f>IF(L108="","",L108*Inicio!$B$13)</f>
        <v/>
      </c>
      <c r="N108" s="51">
        <f>IF(L108="","",L108+M108)</f>
        <v/>
      </c>
      <c r="O108" s="54" t="n"/>
      <c r="P108" s="43" t="n"/>
      <c r="Q108" s="44" t="n"/>
      <c r="R108" s="51">
        <f>IF(N108="","",MAX(N108-Q108,0))</f>
        <v/>
      </c>
      <c r="S108" s="48">
        <f>IF(A108="","",IF(OR(P108="Pagada",R108=0),"Pagada",IF(O108&lt;TODAY(),"Vencida",IF(O108&lt;=TODAY()+Inicio!$B$19,"Próxima a vencer","Vigente"))))</f>
        <v/>
      </c>
      <c r="T108" s="43" t="n"/>
      <c r="U108" s="68">
        <f>IF($B108="","",YEAR($B108))</f>
        <v/>
      </c>
      <c r="V108" s="68">
        <f>IF($B108="","",MONTH($B108))</f>
        <v/>
      </c>
      <c r="W108" s="68">
        <f>IF($B108="","",DAY($B108))</f>
        <v/>
      </c>
      <c r="X108" s="68">
        <f>IF($B108="","",YEAR($B108)&amp;"-"&amp;TEXT(MONTH($B108),"00"))</f>
        <v/>
      </c>
      <c r="Y108" s="68">
        <f>IF(OR($H108="",$J108=""),"",$J108*IFERROR(VLOOKUP($H108,Maestro_SKU!$A$2:$P$500,12,FALSE),1))</f>
        <v/>
      </c>
    </row>
    <row r="109">
      <c r="A109" s="43" t="n"/>
      <c r="B109" s="54" t="n"/>
      <c r="C109" s="43" t="n"/>
      <c r="D109" s="43" t="n"/>
      <c r="E109" s="48">
        <f>IFERROR(VLOOKUP(D109,Clientes_PDV!$A$2:$J$250,2,FALSE),"")</f>
        <v/>
      </c>
      <c r="F109" s="48">
        <f>IFERROR(VLOOKUP(D109,Clientes_PDV!$A$2:$J$250,3,FALSE),"")</f>
        <v/>
      </c>
      <c r="G109" s="48">
        <f>IFERROR(VLOOKUP(D109,Clientes_PDV!$A$2:$J$250,4,FALSE),"")</f>
        <v/>
      </c>
      <c r="H109" s="43" t="n"/>
      <c r="I109" s="48">
        <f>IFERROR(VLOOKUP(H109,Maestro_SKU!$A$2:$P$500,2,FALSE),"")</f>
        <v/>
      </c>
      <c r="J109" s="55" t="n"/>
      <c r="K109" s="44" t="n"/>
      <c r="L109" s="51">
        <f>IF(OR(J109="",K109=""),"",J109*K109)</f>
        <v/>
      </c>
      <c r="M109" s="51">
        <f>IF(L109="","",L109*Inicio!$B$13)</f>
        <v/>
      </c>
      <c r="N109" s="51">
        <f>IF(L109="","",L109+M109)</f>
        <v/>
      </c>
      <c r="O109" s="54" t="n"/>
      <c r="P109" s="43" t="n"/>
      <c r="Q109" s="44" t="n"/>
      <c r="R109" s="51">
        <f>IF(N109="","",MAX(N109-Q109,0))</f>
        <v/>
      </c>
      <c r="S109" s="48">
        <f>IF(A109="","",IF(OR(P109="Pagada",R109=0),"Pagada",IF(O109&lt;TODAY(),"Vencida",IF(O109&lt;=TODAY()+Inicio!$B$19,"Próxima a vencer","Vigente"))))</f>
        <v/>
      </c>
      <c r="T109" s="43" t="n"/>
      <c r="U109" s="68">
        <f>IF($B109="","",YEAR($B109))</f>
        <v/>
      </c>
      <c r="V109" s="68">
        <f>IF($B109="","",MONTH($B109))</f>
        <v/>
      </c>
      <c r="W109" s="68">
        <f>IF($B109="","",DAY($B109))</f>
        <v/>
      </c>
      <c r="X109" s="68">
        <f>IF($B109="","",YEAR($B109)&amp;"-"&amp;TEXT(MONTH($B109),"00"))</f>
        <v/>
      </c>
      <c r="Y109" s="68">
        <f>IF(OR($H109="",$J109=""),"",$J109*IFERROR(VLOOKUP($H109,Maestro_SKU!$A$2:$P$500,12,FALSE),1))</f>
        <v/>
      </c>
    </row>
    <row r="110">
      <c r="A110" s="43" t="n"/>
      <c r="B110" s="54" t="n"/>
      <c r="C110" s="43" t="n"/>
      <c r="D110" s="43" t="n"/>
      <c r="E110" s="48">
        <f>IFERROR(VLOOKUP(D110,Clientes_PDV!$A$2:$J$250,2,FALSE),"")</f>
        <v/>
      </c>
      <c r="F110" s="48">
        <f>IFERROR(VLOOKUP(D110,Clientes_PDV!$A$2:$J$250,3,FALSE),"")</f>
        <v/>
      </c>
      <c r="G110" s="48">
        <f>IFERROR(VLOOKUP(D110,Clientes_PDV!$A$2:$J$250,4,FALSE),"")</f>
        <v/>
      </c>
      <c r="H110" s="43" t="n"/>
      <c r="I110" s="48">
        <f>IFERROR(VLOOKUP(H110,Maestro_SKU!$A$2:$P$500,2,FALSE),"")</f>
        <v/>
      </c>
      <c r="J110" s="55" t="n"/>
      <c r="K110" s="44" t="n"/>
      <c r="L110" s="51">
        <f>IF(OR(J110="",K110=""),"",J110*K110)</f>
        <v/>
      </c>
      <c r="M110" s="51">
        <f>IF(L110="","",L110*Inicio!$B$13)</f>
        <v/>
      </c>
      <c r="N110" s="51">
        <f>IF(L110="","",L110+M110)</f>
        <v/>
      </c>
      <c r="O110" s="54" t="n"/>
      <c r="P110" s="43" t="n"/>
      <c r="Q110" s="44" t="n"/>
      <c r="R110" s="51">
        <f>IF(N110="","",MAX(N110-Q110,0))</f>
        <v/>
      </c>
      <c r="S110" s="48">
        <f>IF(A110="","",IF(OR(P110="Pagada",R110=0),"Pagada",IF(O110&lt;TODAY(),"Vencida",IF(O110&lt;=TODAY()+Inicio!$B$19,"Próxima a vencer","Vigente"))))</f>
        <v/>
      </c>
      <c r="T110" s="43" t="n"/>
      <c r="U110" s="68">
        <f>IF($B110="","",YEAR($B110))</f>
        <v/>
      </c>
      <c r="V110" s="68">
        <f>IF($B110="","",MONTH($B110))</f>
        <v/>
      </c>
      <c r="W110" s="68">
        <f>IF($B110="","",DAY($B110))</f>
        <v/>
      </c>
      <c r="X110" s="68">
        <f>IF($B110="","",YEAR($B110)&amp;"-"&amp;TEXT(MONTH($B110),"00"))</f>
        <v/>
      </c>
      <c r="Y110" s="68">
        <f>IF(OR($H110="",$J110=""),"",$J110*IFERROR(VLOOKUP($H110,Maestro_SKU!$A$2:$P$500,12,FALSE),1))</f>
        <v/>
      </c>
    </row>
    <row r="111">
      <c r="A111" s="43" t="n"/>
      <c r="B111" s="54" t="n"/>
      <c r="C111" s="43" t="n"/>
      <c r="D111" s="43" t="n"/>
      <c r="E111" s="48">
        <f>IFERROR(VLOOKUP(D111,Clientes_PDV!$A$2:$J$250,2,FALSE),"")</f>
        <v/>
      </c>
      <c r="F111" s="48">
        <f>IFERROR(VLOOKUP(D111,Clientes_PDV!$A$2:$J$250,3,FALSE),"")</f>
        <v/>
      </c>
      <c r="G111" s="48">
        <f>IFERROR(VLOOKUP(D111,Clientes_PDV!$A$2:$J$250,4,FALSE),"")</f>
        <v/>
      </c>
      <c r="H111" s="43" t="n"/>
      <c r="I111" s="48">
        <f>IFERROR(VLOOKUP(H111,Maestro_SKU!$A$2:$P$500,2,FALSE),"")</f>
        <v/>
      </c>
      <c r="J111" s="55" t="n"/>
      <c r="K111" s="44" t="n"/>
      <c r="L111" s="51">
        <f>IF(OR(J111="",K111=""),"",J111*K111)</f>
        <v/>
      </c>
      <c r="M111" s="51">
        <f>IF(L111="","",L111*Inicio!$B$13)</f>
        <v/>
      </c>
      <c r="N111" s="51">
        <f>IF(L111="","",L111+M111)</f>
        <v/>
      </c>
      <c r="O111" s="54" t="n"/>
      <c r="P111" s="43" t="n"/>
      <c r="Q111" s="44" t="n"/>
      <c r="R111" s="51">
        <f>IF(N111="","",MAX(N111-Q111,0))</f>
        <v/>
      </c>
      <c r="S111" s="48">
        <f>IF(A111="","",IF(OR(P111="Pagada",R111=0),"Pagada",IF(O111&lt;TODAY(),"Vencida",IF(O111&lt;=TODAY()+Inicio!$B$19,"Próxima a vencer","Vigente"))))</f>
        <v/>
      </c>
      <c r="T111" s="43" t="n"/>
      <c r="U111" s="68">
        <f>IF($B111="","",YEAR($B111))</f>
        <v/>
      </c>
      <c r="V111" s="68">
        <f>IF($B111="","",MONTH($B111))</f>
        <v/>
      </c>
      <c r="W111" s="68">
        <f>IF($B111="","",DAY($B111))</f>
        <v/>
      </c>
      <c r="X111" s="68">
        <f>IF($B111="","",YEAR($B111)&amp;"-"&amp;TEXT(MONTH($B111),"00"))</f>
        <v/>
      </c>
      <c r="Y111" s="68">
        <f>IF(OR($H111="",$J111=""),"",$J111*IFERROR(VLOOKUP($H111,Maestro_SKU!$A$2:$P$500,12,FALSE),1))</f>
        <v/>
      </c>
    </row>
    <row r="112">
      <c r="A112" s="43" t="n"/>
      <c r="B112" s="54" t="n"/>
      <c r="C112" s="43" t="n"/>
      <c r="D112" s="43" t="n"/>
      <c r="E112" s="48">
        <f>IFERROR(VLOOKUP(D112,Clientes_PDV!$A$2:$J$250,2,FALSE),"")</f>
        <v/>
      </c>
      <c r="F112" s="48">
        <f>IFERROR(VLOOKUP(D112,Clientes_PDV!$A$2:$J$250,3,FALSE),"")</f>
        <v/>
      </c>
      <c r="G112" s="48">
        <f>IFERROR(VLOOKUP(D112,Clientes_PDV!$A$2:$J$250,4,FALSE),"")</f>
        <v/>
      </c>
      <c r="H112" s="43" t="n"/>
      <c r="I112" s="48">
        <f>IFERROR(VLOOKUP(H112,Maestro_SKU!$A$2:$P$500,2,FALSE),"")</f>
        <v/>
      </c>
      <c r="J112" s="55" t="n"/>
      <c r="K112" s="44" t="n"/>
      <c r="L112" s="51">
        <f>IF(OR(J112="",K112=""),"",J112*K112)</f>
        <v/>
      </c>
      <c r="M112" s="51">
        <f>IF(L112="","",L112*Inicio!$B$13)</f>
        <v/>
      </c>
      <c r="N112" s="51">
        <f>IF(L112="","",L112+M112)</f>
        <v/>
      </c>
      <c r="O112" s="54" t="n"/>
      <c r="P112" s="43" t="n"/>
      <c r="Q112" s="44" t="n"/>
      <c r="R112" s="51">
        <f>IF(N112="","",MAX(N112-Q112,0))</f>
        <v/>
      </c>
      <c r="S112" s="48">
        <f>IF(A112="","",IF(OR(P112="Pagada",R112=0),"Pagada",IF(O112&lt;TODAY(),"Vencida",IF(O112&lt;=TODAY()+Inicio!$B$19,"Próxima a vencer","Vigente"))))</f>
        <v/>
      </c>
      <c r="T112" s="43" t="n"/>
      <c r="U112" s="68">
        <f>IF($B112="","",YEAR($B112))</f>
        <v/>
      </c>
      <c r="V112" s="68">
        <f>IF($B112="","",MONTH($B112))</f>
        <v/>
      </c>
      <c r="W112" s="68">
        <f>IF($B112="","",DAY($B112))</f>
        <v/>
      </c>
      <c r="X112" s="68">
        <f>IF($B112="","",YEAR($B112)&amp;"-"&amp;TEXT(MONTH($B112),"00"))</f>
        <v/>
      </c>
      <c r="Y112" s="68">
        <f>IF(OR($H112="",$J112=""),"",$J112*IFERROR(VLOOKUP($H112,Maestro_SKU!$A$2:$P$500,12,FALSE),1))</f>
        <v/>
      </c>
    </row>
    <row r="113">
      <c r="A113" s="43" t="n"/>
      <c r="B113" s="54" t="n"/>
      <c r="C113" s="43" t="n"/>
      <c r="D113" s="43" t="n"/>
      <c r="E113" s="48">
        <f>IFERROR(VLOOKUP(D113,Clientes_PDV!$A$2:$J$250,2,FALSE),"")</f>
        <v/>
      </c>
      <c r="F113" s="48">
        <f>IFERROR(VLOOKUP(D113,Clientes_PDV!$A$2:$J$250,3,FALSE),"")</f>
        <v/>
      </c>
      <c r="G113" s="48">
        <f>IFERROR(VLOOKUP(D113,Clientes_PDV!$A$2:$J$250,4,FALSE),"")</f>
        <v/>
      </c>
      <c r="H113" s="43" t="n"/>
      <c r="I113" s="48">
        <f>IFERROR(VLOOKUP(H113,Maestro_SKU!$A$2:$P$500,2,FALSE),"")</f>
        <v/>
      </c>
      <c r="J113" s="55" t="n"/>
      <c r="K113" s="44" t="n"/>
      <c r="L113" s="51">
        <f>IF(OR(J113="",K113=""),"",J113*K113)</f>
        <v/>
      </c>
      <c r="M113" s="51">
        <f>IF(L113="","",L113*Inicio!$B$13)</f>
        <v/>
      </c>
      <c r="N113" s="51">
        <f>IF(L113="","",L113+M113)</f>
        <v/>
      </c>
      <c r="O113" s="54" t="n"/>
      <c r="P113" s="43" t="n"/>
      <c r="Q113" s="44" t="n"/>
      <c r="R113" s="51">
        <f>IF(N113="","",MAX(N113-Q113,0))</f>
        <v/>
      </c>
      <c r="S113" s="48">
        <f>IF(A113="","",IF(OR(P113="Pagada",R113=0),"Pagada",IF(O113&lt;TODAY(),"Vencida",IF(O113&lt;=TODAY()+Inicio!$B$19,"Próxima a vencer","Vigente"))))</f>
        <v/>
      </c>
      <c r="T113" s="43" t="n"/>
      <c r="U113" s="68">
        <f>IF($B113="","",YEAR($B113))</f>
        <v/>
      </c>
      <c r="V113" s="68">
        <f>IF($B113="","",MONTH($B113))</f>
        <v/>
      </c>
      <c r="W113" s="68">
        <f>IF($B113="","",DAY($B113))</f>
        <v/>
      </c>
      <c r="X113" s="68">
        <f>IF($B113="","",YEAR($B113)&amp;"-"&amp;TEXT(MONTH($B113),"00"))</f>
        <v/>
      </c>
      <c r="Y113" s="68">
        <f>IF(OR($H113="",$J113=""),"",$J113*IFERROR(VLOOKUP($H113,Maestro_SKU!$A$2:$P$500,12,FALSE),1))</f>
        <v/>
      </c>
    </row>
    <row r="114">
      <c r="A114" s="43" t="n"/>
      <c r="B114" s="54" t="n"/>
      <c r="C114" s="43" t="n"/>
      <c r="D114" s="43" t="n"/>
      <c r="E114" s="48">
        <f>IFERROR(VLOOKUP(D114,Clientes_PDV!$A$2:$J$250,2,FALSE),"")</f>
        <v/>
      </c>
      <c r="F114" s="48">
        <f>IFERROR(VLOOKUP(D114,Clientes_PDV!$A$2:$J$250,3,FALSE),"")</f>
        <v/>
      </c>
      <c r="G114" s="48">
        <f>IFERROR(VLOOKUP(D114,Clientes_PDV!$A$2:$J$250,4,FALSE),"")</f>
        <v/>
      </c>
      <c r="H114" s="43" t="n"/>
      <c r="I114" s="48">
        <f>IFERROR(VLOOKUP(H114,Maestro_SKU!$A$2:$P$500,2,FALSE),"")</f>
        <v/>
      </c>
      <c r="J114" s="55" t="n"/>
      <c r="K114" s="44" t="n"/>
      <c r="L114" s="51">
        <f>IF(OR(J114="",K114=""),"",J114*K114)</f>
        <v/>
      </c>
      <c r="M114" s="51">
        <f>IF(L114="","",L114*Inicio!$B$13)</f>
        <v/>
      </c>
      <c r="N114" s="51">
        <f>IF(L114="","",L114+M114)</f>
        <v/>
      </c>
      <c r="O114" s="54" t="n"/>
      <c r="P114" s="43" t="n"/>
      <c r="Q114" s="44" t="n"/>
      <c r="R114" s="51">
        <f>IF(N114="","",MAX(N114-Q114,0))</f>
        <v/>
      </c>
      <c r="S114" s="48">
        <f>IF(A114="","",IF(OR(P114="Pagada",R114=0),"Pagada",IF(O114&lt;TODAY(),"Vencida",IF(O114&lt;=TODAY()+Inicio!$B$19,"Próxima a vencer","Vigente"))))</f>
        <v/>
      </c>
      <c r="T114" s="43" t="n"/>
      <c r="U114" s="68">
        <f>IF($B114="","",YEAR($B114))</f>
        <v/>
      </c>
      <c r="V114" s="68">
        <f>IF($B114="","",MONTH($B114))</f>
        <v/>
      </c>
      <c r="W114" s="68">
        <f>IF($B114="","",DAY($B114))</f>
        <v/>
      </c>
      <c r="X114" s="68">
        <f>IF($B114="","",YEAR($B114)&amp;"-"&amp;TEXT(MONTH($B114),"00"))</f>
        <v/>
      </c>
      <c r="Y114" s="68">
        <f>IF(OR($H114="",$J114=""),"",$J114*IFERROR(VLOOKUP($H114,Maestro_SKU!$A$2:$P$500,12,FALSE),1))</f>
        <v/>
      </c>
    </row>
    <row r="115">
      <c r="A115" s="43" t="n"/>
      <c r="B115" s="54" t="n"/>
      <c r="C115" s="43" t="n"/>
      <c r="D115" s="43" t="n"/>
      <c r="E115" s="48">
        <f>IFERROR(VLOOKUP(D115,Clientes_PDV!$A$2:$J$250,2,FALSE),"")</f>
        <v/>
      </c>
      <c r="F115" s="48">
        <f>IFERROR(VLOOKUP(D115,Clientes_PDV!$A$2:$J$250,3,FALSE),"")</f>
        <v/>
      </c>
      <c r="G115" s="48">
        <f>IFERROR(VLOOKUP(D115,Clientes_PDV!$A$2:$J$250,4,FALSE),"")</f>
        <v/>
      </c>
      <c r="H115" s="43" t="n"/>
      <c r="I115" s="48">
        <f>IFERROR(VLOOKUP(H115,Maestro_SKU!$A$2:$P$500,2,FALSE),"")</f>
        <v/>
      </c>
      <c r="J115" s="55" t="n"/>
      <c r="K115" s="44" t="n"/>
      <c r="L115" s="51">
        <f>IF(OR(J115="",K115=""),"",J115*K115)</f>
        <v/>
      </c>
      <c r="M115" s="51">
        <f>IF(L115="","",L115*Inicio!$B$13)</f>
        <v/>
      </c>
      <c r="N115" s="51">
        <f>IF(L115="","",L115+M115)</f>
        <v/>
      </c>
      <c r="O115" s="54" t="n"/>
      <c r="P115" s="43" t="n"/>
      <c r="Q115" s="44" t="n"/>
      <c r="R115" s="51">
        <f>IF(N115="","",MAX(N115-Q115,0))</f>
        <v/>
      </c>
      <c r="S115" s="48">
        <f>IF(A115="","",IF(OR(P115="Pagada",R115=0),"Pagada",IF(O115&lt;TODAY(),"Vencida",IF(O115&lt;=TODAY()+Inicio!$B$19,"Próxima a vencer","Vigente"))))</f>
        <v/>
      </c>
      <c r="T115" s="43" t="n"/>
      <c r="U115" s="68">
        <f>IF($B115="","",YEAR($B115))</f>
        <v/>
      </c>
      <c r="V115" s="68">
        <f>IF($B115="","",MONTH($B115))</f>
        <v/>
      </c>
      <c r="W115" s="68">
        <f>IF($B115="","",DAY($B115))</f>
        <v/>
      </c>
      <c r="X115" s="68">
        <f>IF($B115="","",YEAR($B115)&amp;"-"&amp;TEXT(MONTH($B115),"00"))</f>
        <v/>
      </c>
      <c r="Y115" s="68">
        <f>IF(OR($H115="",$J115=""),"",$J115*IFERROR(VLOOKUP($H115,Maestro_SKU!$A$2:$P$500,12,FALSE),1))</f>
        <v/>
      </c>
    </row>
    <row r="116">
      <c r="A116" s="43" t="n"/>
      <c r="B116" s="54" t="n"/>
      <c r="C116" s="43" t="n"/>
      <c r="D116" s="43" t="n"/>
      <c r="E116" s="48">
        <f>IFERROR(VLOOKUP(D116,Clientes_PDV!$A$2:$J$250,2,FALSE),"")</f>
        <v/>
      </c>
      <c r="F116" s="48">
        <f>IFERROR(VLOOKUP(D116,Clientes_PDV!$A$2:$J$250,3,FALSE),"")</f>
        <v/>
      </c>
      <c r="G116" s="48">
        <f>IFERROR(VLOOKUP(D116,Clientes_PDV!$A$2:$J$250,4,FALSE),"")</f>
        <v/>
      </c>
      <c r="H116" s="43" t="n"/>
      <c r="I116" s="48">
        <f>IFERROR(VLOOKUP(H116,Maestro_SKU!$A$2:$P$500,2,FALSE),"")</f>
        <v/>
      </c>
      <c r="J116" s="55" t="n"/>
      <c r="K116" s="44" t="n"/>
      <c r="L116" s="51">
        <f>IF(OR(J116="",K116=""),"",J116*K116)</f>
        <v/>
      </c>
      <c r="M116" s="51">
        <f>IF(L116="","",L116*Inicio!$B$13)</f>
        <v/>
      </c>
      <c r="N116" s="51">
        <f>IF(L116="","",L116+M116)</f>
        <v/>
      </c>
      <c r="O116" s="54" t="n"/>
      <c r="P116" s="43" t="n"/>
      <c r="Q116" s="44" t="n"/>
      <c r="R116" s="51">
        <f>IF(N116="","",MAX(N116-Q116,0))</f>
        <v/>
      </c>
      <c r="S116" s="48">
        <f>IF(A116="","",IF(OR(P116="Pagada",R116=0),"Pagada",IF(O116&lt;TODAY(),"Vencida",IF(O116&lt;=TODAY()+Inicio!$B$19,"Próxima a vencer","Vigente"))))</f>
        <v/>
      </c>
      <c r="T116" s="43" t="n"/>
      <c r="U116" s="68">
        <f>IF($B116="","",YEAR($B116))</f>
        <v/>
      </c>
      <c r="V116" s="68">
        <f>IF($B116="","",MONTH($B116))</f>
        <v/>
      </c>
      <c r="W116" s="68">
        <f>IF($B116="","",DAY($B116))</f>
        <v/>
      </c>
      <c r="X116" s="68">
        <f>IF($B116="","",YEAR($B116)&amp;"-"&amp;TEXT(MONTH($B116),"00"))</f>
        <v/>
      </c>
      <c r="Y116" s="68">
        <f>IF(OR($H116="",$J116=""),"",$J116*IFERROR(VLOOKUP($H116,Maestro_SKU!$A$2:$P$500,12,FALSE),1))</f>
        <v/>
      </c>
    </row>
    <row r="117">
      <c r="A117" s="43" t="n"/>
      <c r="B117" s="54" t="n"/>
      <c r="C117" s="43" t="n"/>
      <c r="D117" s="43" t="n"/>
      <c r="E117" s="48">
        <f>IFERROR(VLOOKUP(D117,Clientes_PDV!$A$2:$J$250,2,FALSE),"")</f>
        <v/>
      </c>
      <c r="F117" s="48">
        <f>IFERROR(VLOOKUP(D117,Clientes_PDV!$A$2:$J$250,3,FALSE),"")</f>
        <v/>
      </c>
      <c r="G117" s="48">
        <f>IFERROR(VLOOKUP(D117,Clientes_PDV!$A$2:$J$250,4,FALSE),"")</f>
        <v/>
      </c>
      <c r="H117" s="43" t="n"/>
      <c r="I117" s="48">
        <f>IFERROR(VLOOKUP(H117,Maestro_SKU!$A$2:$P$500,2,FALSE),"")</f>
        <v/>
      </c>
      <c r="J117" s="55" t="n"/>
      <c r="K117" s="44" t="n"/>
      <c r="L117" s="51">
        <f>IF(OR(J117="",K117=""),"",J117*K117)</f>
        <v/>
      </c>
      <c r="M117" s="51">
        <f>IF(L117="","",L117*Inicio!$B$13)</f>
        <v/>
      </c>
      <c r="N117" s="51">
        <f>IF(L117="","",L117+M117)</f>
        <v/>
      </c>
      <c r="O117" s="54" t="n"/>
      <c r="P117" s="43" t="n"/>
      <c r="Q117" s="44" t="n"/>
      <c r="R117" s="51">
        <f>IF(N117="","",MAX(N117-Q117,0))</f>
        <v/>
      </c>
      <c r="S117" s="48">
        <f>IF(A117="","",IF(OR(P117="Pagada",R117=0),"Pagada",IF(O117&lt;TODAY(),"Vencida",IF(O117&lt;=TODAY()+Inicio!$B$19,"Próxima a vencer","Vigente"))))</f>
        <v/>
      </c>
      <c r="T117" s="43" t="n"/>
      <c r="U117" s="68">
        <f>IF($B117="","",YEAR($B117))</f>
        <v/>
      </c>
      <c r="V117" s="68">
        <f>IF($B117="","",MONTH($B117))</f>
        <v/>
      </c>
      <c r="W117" s="68">
        <f>IF($B117="","",DAY($B117))</f>
        <v/>
      </c>
      <c r="X117" s="68">
        <f>IF($B117="","",YEAR($B117)&amp;"-"&amp;TEXT(MONTH($B117),"00"))</f>
        <v/>
      </c>
      <c r="Y117" s="68">
        <f>IF(OR($H117="",$J117=""),"",$J117*IFERROR(VLOOKUP($H117,Maestro_SKU!$A$2:$P$500,12,FALSE),1))</f>
        <v/>
      </c>
    </row>
    <row r="118">
      <c r="A118" s="43" t="n"/>
      <c r="B118" s="54" t="n"/>
      <c r="C118" s="43" t="n"/>
      <c r="D118" s="43" t="n"/>
      <c r="E118" s="48">
        <f>IFERROR(VLOOKUP(D118,Clientes_PDV!$A$2:$J$250,2,FALSE),"")</f>
        <v/>
      </c>
      <c r="F118" s="48">
        <f>IFERROR(VLOOKUP(D118,Clientes_PDV!$A$2:$J$250,3,FALSE),"")</f>
        <v/>
      </c>
      <c r="G118" s="48">
        <f>IFERROR(VLOOKUP(D118,Clientes_PDV!$A$2:$J$250,4,FALSE),"")</f>
        <v/>
      </c>
      <c r="H118" s="43" t="n"/>
      <c r="I118" s="48">
        <f>IFERROR(VLOOKUP(H118,Maestro_SKU!$A$2:$P$500,2,FALSE),"")</f>
        <v/>
      </c>
      <c r="J118" s="55" t="n"/>
      <c r="K118" s="44" t="n"/>
      <c r="L118" s="51">
        <f>IF(OR(J118="",K118=""),"",J118*K118)</f>
        <v/>
      </c>
      <c r="M118" s="51">
        <f>IF(L118="","",L118*Inicio!$B$13)</f>
        <v/>
      </c>
      <c r="N118" s="51">
        <f>IF(L118="","",L118+M118)</f>
        <v/>
      </c>
      <c r="O118" s="54" t="n"/>
      <c r="P118" s="43" t="n"/>
      <c r="Q118" s="44" t="n"/>
      <c r="R118" s="51">
        <f>IF(N118="","",MAX(N118-Q118,0))</f>
        <v/>
      </c>
      <c r="S118" s="48">
        <f>IF(A118="","",IF(OR(P118="Pagada",R118=0),"Pagada",IF(O118&lt;TODAY(),"Vencida",IF(O118&lt;=TODAY()+Inicio!$B$19,"Próxima a vencer","Vigente"))))</f>
        <v/>
      </c>
      <c r="T118" s="43" t="n"/>
      <c r="U118" s="68">
        <f>IF($B118="","",YEAR($B118))</f>
        <v/>
      </c>
      <c r="V118" s="68">
        <f>IF($B118="","",MONTH($B118))</f>
        <v/>
      </c>
      <c r="W118" s="68">
        <f>IF($B118="","",DAY($B118))</f>
        <v/>
      </c>
      <c r="X118" s="68">
        <f>IF($B118="","",YEAR($B118)&amp;"-"&amp;TEXT(MONTH($B118),"00"))</f>
        <v/>
      </c>
      <c r="Y118" s="68">
        <f>IF(OR($H118="",$J118=""),"",$J118*IFERROR(VLOOKUP($H118,Maestro_SKU!$A$2:$P$500,12,FALSE),1))</f>
        <v/>
      </c>
    </row>
    <row r="119">
      <c r="A119" s="43" t="n"/>
      <c r="B119" s="54" t="n"/>
      <c r="C119" s="43" t="n"/>
      <c r="D119" s="43" t="n"/>
      <c r="E119" s="48">
        <f>IFERROR(VLOOKUP(D119,Clientes_PDV!$A$2:$J$250,2,FALSE),"")</f>
        <v/>
      </c>
      <c r="F119" s="48">
        <f>IFERROR(VLOOKUP(D119,Clientes_PDV!$A$2:$J$250,3,FALSE),"")</f>
        <v/>
      </c>
      <c r="G119" s="48">
        <f>IFERROR(VLOOKUP(D119,Clientes_PDV!$A$2:$J$250,4,FALSE),"")</f>
        <v/>
      </c>
      <c r="H119" s="43" t="n"/>
      <c r="I119" s="48">
        <f>IFERROR(VLOOKUP(H119,Maestro_SKU!$A$2:$P$500,2,FALSE),"")</f>
        <v/>
      </c>
      <c r="J119" s="55" t="n"/>
      <c r="K119" s="44" t="n"/>
      <c r="L119" s="51">
        <f>IF(OR(J119="",K119=""),"",J119*K119)</f>
        <v/>
      </c>
      <c r="M119" s="51">
        <f>IF(L119="","",L119*Inicio!$B$13)</f>
        <v/>
      </c>
      <c r="N119" s="51">
        <f>IF(L119="","",L119+M119)</f>
        <v/>
      </c>
      <c r="O119" s="54" t="n"/>
      <c r="P119" s="43" t="n"/>
      <c r="Q119" s="44" t="n"/>
      <c r="R119" s="51">
        <f>IF(N119="","",MAX(N119-Q119,0))</f>
        <v/>
      </c>
      <c r="S119" s="48">
        <f>IF(A119="","",IF(OR(P119="Pagada",R119=0),"Pagada",IF(O119&lt;TODAY(),"Vencida",IF(O119&lt;=TODAY()+Inicio!$B$19,"Próxima a vencer","Vigente"))))</f>
        <v/>
      </c>
      <c r="T119" s="43" t="n"/>
      <c r="U119" s="68">
        <f>IF($B119="","",YEAR($B119))</f>
        <v/>
      </c>
      <c r="V119" s="68">
        <f>IF($B119="","",MONTH($B119))</f>
        <v/>
      </c>
      <c r="W119" s="68">
        <f>IF($B119="","",DAY($B119))</f>
        <v/>
      </c>
      <c r="X119" s="68">
        <f>IF($B119="","",YEAR($B119)&amp;"-"&amp;TEXT(MONTH($B119),"00"))</f>
        <v/>
      </c>
      <c r="Y119" s="68">
        <f>IF(OR($H119="",$J119=""),"",$J119*IFERROR(VLOOKUP($H119,Maestro_SKU!$A$2:$P$500,12,FALSE),1))</f>
        <v/>
      </c>
    </row>
    <row r="120">
      <c r="A120" s="43" t="n"/>
      <c r="B120" s="54" t="n"/>
      <c r="C120" s="43" t="n"/>
      <c r="D120" s="43" t="n"/>
      <c r="E120" s="48">
        <f>IFERROR(VLOOKUP(D120,Clientes_PDV!$A$2:$J$250,2,FALSE),"")</f>
        <v/>
      </c>
      <c r="F120" s="48">
        <f>IFERROR(VLOOKUP(D120,Clientes_PDV!$A$2:$J$250,3,FALSE),"")</f>
        <v/>
      </c>
      <c r="G120" s="48">
        <f>IFERROR(VLOOKUP(D120,Clientes_PDV!$A$2:$J$250,4,FALSE),"")</f>
        <v/>
      </c>
      <c r="H120" s="43" t="n"/>
      <c r="I120" s="48">
        <f>IFERROR(VLOOKUP(H120,Maestro_SKU!$A$2:$P$500,2,FALSE),"")</f>
        <v/>
      </c>
      <c r="J120" s="55" t="n"/>
      <c r="K120" s="44" t="n"/>
      <c r="L120" s="51">
        <f>IF(OR(J120="",K120=""),"",J120*K120)</f>
        <v/>
      </c>
      <c r="M120" s="51">
        <f>IF(L120="","",L120*Inicio!$B$13)</f>
        <v/>
      </c>
      <c r="N120" s="51">
        <f>IF(L120="","",L120+M120)</f>
        <v/>
      </c>
      <c r="O120" s="54" t="n"/>
      <c r="P120" s="43" t="n"/>
      <c r="Q120" s="44" t="n"/>
      <c r="R120" s="51">
        <f>IF(N120="","",MAX(N120-Q120,0))</f>
        <v/>
      </c>
      <c r="S120" s="48">
        <f>IF(A120="","",IF(OR(P120="Pagada",R120=0),"Pagada",IF(O120&lt;TODAY(),"Vencida",IF(O120&lt;=TODAY()+Inicio!$B$19,"Próxima a vencer","Vigente"))))</f>
        <v/>
      </c>
      <c r="T120" s="43" t="n"/>
      <c r="U120" s="68">
        <f>IF($B120="","",YEAR($B120))</f>
        <v/>
      </c>
      <c r="V120" s="68">
        <f>IF($B120="","",MONTH($B120))</f>
        <v/>
      </c>
      <c r="W120" s="68">
        <f>IF($B120="","",DAY($B120))</f>
        <v/>
      </c>
      <c r="X120" s="68">
        <f>IF($B120="","",YEAR($B120)&amp;"-"&amp;TEXT(MONTH($B120),"00"))</f>
        <v/>
      </c>
      <c r="Y120" s="68">
        <f>IF(OR($H120="",$J120=""),"",$J120*IFERROR(VLOOKUP($H120,Maestro_SKU!$A$2:$P$500,12,FALSE),1))</f>
        <v/>
      </c>
    </row>
    <row r="121">
      <c r="A121" s="43" t="n"/>
      <c r="B121" s="54" t="n"/>
      <c r="C121" s="43" t="n"/>
      <c r="D121" s="43" t="n"/>
      <c r="E121" s="48">
        <f>IFERROR(VLOOKUP(D121,Clientes_PDV!$A$2:$J$250,2,FALSE),"")</f>
        <v/>
      </c>
      <c r="F121" s="48">
        <f>IFERROR(VLOOKUP(D121,Clientes_PDV!$A$2:$J$250,3,FALSE),"")</f>
        <v/>
      </c>
      <c r="G121" s="48">
        <f>IFERROR(VLOOKUP(D121,Clientes_PDV!$A$2:$J$250,4,FALSE),"")</f>
        <v/>
      </c>
      <c r="H121" s="43" t="n"/>
      <c r="I121" s="48">
        <f>IFERROR(VLOOKUP(H121,Maestro_SKU!$A$2:$P$500,2,FALSE),"")</f>
        <v/>
      </c>
      <c r="J121" s="55" t="n"/>
      <c r="K121" s="44" t="n"/>
      <c r="L121" s="51">
        <f>IF(OR(J121="",K121=""),"",J121*K121)</f>
        <v/>
      </c>
      <c r="M121" s="51">
        <f>IF(L121="","",L121*Inicio!$B$13)</f>
        <v/>
      </c>
      <c r="N121" s="51">
        <f>IF(L121="","",L121+M121)</f>
        <v/>
      </c>
      <c r="O121" s="54" t="n"/>
      <c r="P121" s="43" t="n"/>
      <c r="Q121" s="44" t="n"/>
      <c r="R121" s="51">
        <f>IF(N121="","",MAX(N121-Q121,0))</f>
        <v/>
      </c>
      <c r="S121" s="48">
        <f>IF(A121="","",IF(OR(P121="Pagada",R121=0),"Pagada",IF(O121&lt;TODAY(),"Vencida",IF(O121&lt;=TODAY()+Inicio!$B$19,"Próxima a vencer","Vigente"))))</f>
        <v/>
      </c>
      <c r="T121" s="43" t="n"/>
      <c r="U121" s="68">
        <f>IF($B121="","",YEAR($B121))</f>
        <v/>
      </c>
      <c r="V121" s="68">
        <f>IF($B121="","",MONTH($B121))</f>
        <v/>
      </c>
      <c r="W121" s="68">
        <f>IF($B121="","",DAY($B121))</f>
        <v/>
      </c>
      <c r="X121" s="68">
        <f>IF($B121="","",YEAR($B121)&amp;"-"&amp;TEXT(MONTH($B121),"00"))</f>
        <v/>
      </c>
      <c r="Y121" s="68">
        <f>IF(OR($H121="",$J121=""),"",$J121*IFERROR(VLOOKUP($H121,Maestro_SKU!$A$2:$P$500,12,FALSE),1))</f>
        <v/>
      </c>
    </row>
    <row r="122">
      <c r="A122" s="43" t="n"/>
      <c r="B122" s="54" t="n"/>
      <c r="C122" s="43" t="n"/>
      <c r="D122" s="43" t="n"/>
      <c r="E122" s="48">
        <f>IFERROR(VLOOKUP(D122,Clientes_PDV!$A$2:$J$250,2,FALSE),"")</f>
        <v/>
      </c>
      <c r="F122" s="48">
        <f>IFERROR(VLOOKUP(D122,Clientes_PDV!$A$2:$J$250,3,FALSE),"")</f>
        <v/>
      </c>
      <c r="G122" s="48">
        <f>IFERROR(VLOOKUP(D122,Clientes_PDV!$A$2:$J$250,4,FALSE),"")</f>
        <v/>
      </c>
      <c r="H122" s="43" t="n"/>
      <c r="I122" s="48">
        <f>IFERROR(VLOOKUP(H122,Maestro_SKU!$A$2:$P$500,2,FALSE),"")</f>
        <v/>
      </c>
      <c r="J122" s="55" t="n"/>
      <c r="K122" s="44" t="n"/>
      <c r="L122" s="51">
        <f>IF(OR(J122="",K122=""),"",J122*K122)</f>
        <v/>
      </c>
      <c r="M122" s="51">
        <f>IF(L122="","",L122*Inicio!$B$13)</f>
        <v/>
      </c>
      <c r="N122" s="51">
        <f>IF(L122="","",L122+M122)</f>
        <v/>
      </c>
      <c r="O122" s="54" t="n"/>
      <c r="P122" s="43" t="n"/>
      <c r="Q122" s="44" t="n"/>
      <c r="R122" s="51">
        <f>IF(N122="","",MAX(N122-Q122,0))</f>
        <v/>
      </c>
      <c r="S122" s="48">
        <f>IF(A122="","",IF(OR(P122="Pagada",R122=0),"Pagada",IF(O122&lt;TODAY(),"Vencida",IF(O122&lt;=TODAY()+Inicio!$B$19,"Próxima a vencer","Vigente"))))</f>
        <v/>
      </c>
      <c r="T122" s="43" t="n"/>
      <c r="U122" s="68">
        <f>IF($B122="","",YEAR($B122))</f>
        <v/>
      </c>
      <c r="V122" s="68">
        <f>IF($B122="","",MONTH($B122))</f>
        <v/>
      </c>
      <c r="W122" s="68">
        <f>IF($B122="","",DAY($B122))</f>
        <v/>
      </c>
      <c r="X122" s="68">
        <f>IF($B122="","",YEAR($B122)&amp;"-"&amp;TEXT(MONTH($B122),"00"))</f>
        <v/>
      </c>
      <c r="Y122" s="68">
        <f>IF(OR($H122="",$J122=""),"",$J122*IFERROR(VLOOKUP($H122,Maestro_SKU!$A$2:$P$500,12,FALSE),1))</f>
        <v/>
      </c>
    </row>
    <row r="123">
      <c r="A123" s="43" t="n"/>
      <c r="B123" s="54" t="n"/>
      <c r="C123" s="43" t="n"/>
      <c r="D123" s="43" t="n"/>
      <c r="E123" s="48">
        <f>IFERROR(VLOOKUP(D123,Clientes_PDV!$A$2:$J$250,2,FALSE),"")</f>
        <v/>
      </c>
      <c r="F123" s="48">
        <f>IFERROR(VLOOKUP(D123,Clientes_PDV!$A$2:$J$250,3,FALSE),"")</f>
        <v/>
      </c>
      <c r="G123" s="48">
        <f>IFERROR(VLOOKUP(D123,Clientes_PDV!$A$2:$J$250,4,FALSE),"")</f>
        <v/>
      </c>
      <c r="H123" s="43" t="n"/>
      <c r="I123" s="48">
        <f>IFERROR(VLOOKUP(H123,Maestro_SKU!$A$2:$P$500,2,FALSE),"")</f>
        <v/>
      </c>
      <c r="J123" s="55" t="n"/>
      <c r="K123" s="44" t="n"/>
      <c r="L123" s="51">
        <f>IF(OR(J123="",K123=""),"",J123*K123)</f>
        <v/>
      </c>
      <c r="M123" s="51">
        <f>IF(L123="","",L123*Inicio!$B$13)</f>
        <v/>
      </c>
      <c r="N123" s="51">
        <f>IF(L123="","",L123+M123)</f>
        <v/>
      </c>
      <c r="O123" s="54" t="n"/>
      <c r="P123" s="43" t="n"/>
      <c r="Q123" s="44" t="n"/>
      <c r="R123" s="51">
        <f>IF(N123="","",MAX(N123-Q123,0))</f>
        <v/>
      </c>
      <c r="S123" s="48">
        <f>IF(A123="","",IF(OR(P123="Pagada",R123=0),"Pagada",IF(O123&lt;TODAY(),"Vencida",IF(O123&lt;=TODAY()+Inicio!$B$19,"Próxima a vencer","Vigente"))))</f>
        <v/>
      </c>
      <c r="T123" s="43" t="n"/>
      <c r="U123" s="68">
        <f>IF($B123="","",YEAR($B123))</f>
        <v/>
      </c>
      <c r="V123" s="68">
        <f>IF($B123="","",MONTH($B123))</f>
        <v/>
      </c>
      <c r="W123" s="68">
        <f>IF($B123="","",DAY($B123))</f>
        <v/>
      </c>
      <c r="X123" s="68">
        <f>IF($B123="","",YEAR($B123)&amp;"-"&amp;TEXT(MONTH($B123),"00"))</f>
        <v/>
      </c>
      <c r="Y123" s="68">
        <f>IF(OR($H123="",$J123=""),"",$J123*IFERROR(VLOOKUP($H123,Maestro_SKU!$A$2:$P$500,12,FALSE),1))</f>
        <v/>
      </c>
    </row>
    <row r="124">
      <c r="A124" s="43" t="n"/>
      <c r="B124" s="54" t="n"/>
      <c r="C124" s="43" t="n"/>
      <c r="D124" s="43" t="n"/>
      <c r="E124" s="48">
        <f>IFERROR(VLOOKUP(D124,Clientes_PDV!$A$2:$J$250,2,FALSE),"")</f>
        <v/>
      </c>
      <c r="F124" s="48">
        <f>IFERROR(VLOOKUP(D124,Clientes_PDV!$A$2:$J$250,3,FALSE),"")</f>
        <v/>
      </c>
      <c r="G124" s="48">
        <f>IFERROR(VLOOKUP(D124,Clientes_PDV!$A$2:$J$250,4,FALSE),"")</f>
        <v/>
      </c>
      <c r="H124" s="43" t="n"/>
      <c r="I124" s="48">
        <f>IFERROR(VLOOKUP(H124,Maestro_SKU!$A$2:$P$500,2,FALSE),"")</f>
        <v/>
      </c>
      <c r="J124" s="55" t="n"/>
      <c r="K124" s="44" t="n"/>
      <c r="L124" s="51">
        <f>IF(OR(J124="",K124=""),"",J124*K124)</f>
        <v/>
      </c>
      <c r="M124" s="51">
        <f>IF(L124="","",L124*Inicio!$B$13)</f>
        <v/>
      </c>
      <c r="N124" s="51">
        <f>IF(L124="","",L124+M124)</f>
        <v/>
      </c>
      <c r="O124" s="54" t="n"/>
      <c r="P124" s="43" t="n"/>
      <c r="Q124" s="44" t="n"/>
      <c r="R124" s="51">
        <f>IF(N124="","",MAX(N124-Q124,0))</f>
        <v/>
      </c>
      <c r="S124" s="48">
        <f>IF(A124="","",IF(OR(P124="Pagada",R124=0),"Pagada",IF(O124&lt;TODAY(),"Vencida",IF(O124&lt;=TODAY()+Inicio!$B$19,"Próxima a vencer","Vigente"))))</f>
        <v/>
      </c>
      <c r="T124" s="43" t="n"/>
      <c r="U124" s="68">
        <f>IF($B124="","",YEAR($B124))</f>
        <v/>
      </c>
      <c r="V124" s="68">
        <f>IF($B124="","",MONTH($B124))</f>
        <v/>
      </c>
      <c r="W124" s="68">
        <f>IF($B124="","",DAY($B124))</f>
        <v/>
      </c>
      <c r="X124" s="68">
        <f>IF($B124="","",YEAR($B124)&amp;"-"&amp;TEXT(MONTH($B124),"00"))</f>
        <v/>
      </c>
      <c r="Y124" s="68">
        <f>IF(OR($H124="",$J124=""),"",$J124*IFERROR(VLOOKUP($H124,Maestro_SKU!$A$2:$P$500,12,FALSE),1))</f>
        <v/>
      </c>
    </row>
    <row r="125">
      <c r="A125" s="43" t="n"/>
      <c r="B125" s="54" t="n"/>
      <c r="C125" s="43" t="n"/>
      <c r="D125" s="43" t="n"/>
      <c r="E125" s="48">
        <f>IFERROR(VLOOKUP(D125,Clientes_PDV!$A$2:$J$250,2,FALSE),"")</f>
        <v/>
      </c>
      <c r="F125" s="48">
        <f>IFERROR(VLOOKUP(D125,Clientes_PDV!$A$2:$J$250,3,FALSE),"")</f>
        <v/>
      </c>
      <c r="G125" s="48">
        <f>IFERROR(VLOOKUP(D125,Clientes_PDV!$A$2:$J$250,4,FALSE),"")</f>
        <v/>
      </c>
      <c r="H125" s="43" t="n"/>
      <c r="I125" s="48">
        <f>IFERROR(VLOOKUP(H125,Maestro_SKU!$A$2:$P$500,2,FALSE),"")</f>
        <v/>
      </c>
      <c r="J125" s="55" t="n"/>
      <c r="K125" s="44" t="n"/>
      <c r="L125" s="51">
        <f>IF(OR(J125="",K125=""),"",J125*K125)</f>
        <v/>
      </c>
      <c r="M125" s="51">
        <f>IF(L125="","",L125*Inicio!$B$13)</f>
        <v/>
      </c>
      <c r="N125" s="51">
        <f>IF(L125="","",L125+M125)</f>
        <v/>
      </c>
      <c r="O125" s="54" t="n"/>
      <c r="P125" s="43" t="n"/>
      <c r="Q125" s="44" t="n"/>
      <c r="R125" s="51">
        <f>IF(N125="","",MAX(N125-Q125,0))</f>
        <v/>
      </c>
      <c r="S125" s="48">
        <f>IF(A125="","",IF(OR(P125="Pagada",R125=0),"Pagada",IF(O125&lt;TODAY(),"Vencida",IF(O125&lt;=TODAY()+Inicio!$B$19,"Próxima a vencer","Vigente"))))</f>
        <v/>
      </c>
      <c r="T125" s="43" t="n"/>
      <c r="U125" s="68">
        <f>IF($B125="","",YEAR($B125))</f>
        <v/>
      </c>
      <c r="V125" s="68">
        <f>IF($B125="","",MONTH($B125))</f>
        <v/>
      </c>
      <c r="W125" s="68">
        <f>IF($B125="","",DAY($B125))</f>
        <v/>
      </c>
      <c r="X125" s="68">
        <f>IF($B125="","",YEAR($B125)&amp;"-"&amp;TEXT(MONTH($B125),"00"))</f>
        <v/>
      </c>
      <c r="Y125" s="68">
        <f>IF(OR($H125="",$J125=""),"",$J125*IFERROR(VLOOKUP($H125,Maestro_SKU!$A$2:$P$500,12,FALSE),1))</f>
        <v/>
      </c>
    </row>
    <row r="126">
      <c r="A126" s="43" t="n"/>
      <c r="B126" s="54" t="n"/>
      <c r="C126" s="43" t="n"/>
      <c r="D126" s="43" t="n"/>
      <c r="E126" s="48">
        <f>IFERROR(VLOOKUP(D126,Clientes_PDV!$A$2:$J$250,2,FALSE),"")</f>
        <v/>
      </c>
      <c r="F126" s="48">
        <f>IFERROR(VLOOKUP(D126,Clientes_PDV!$A$2:$J$250,3,FALSE),"")</f>
        <v/>
      </c>
      <c r="G126" s="48">
        <f>IFERROR(VLOOKUP(D126,Clientes_PDV!$A$2:$J$250,4,FALSE),"")</f>
        <v/>
      </c>
      <c r="H126" s="43" t="n"/>
      <c r="I126" s="48">
        <f>IFERROR(VLOOKUP(H126,Maestro_SKU!$A$2:$P$500,2,FALSE),"")</f>
        <v/>
      </c>
      <c r="J126" s="55" t="n"/>
      <c r="K126" s="44" t="n"/>
      <c r="L126" s="51">
        <f>IF(OR(J126="",K126=""),"",J126*K126)</f>
        <v/>
      </c>
      <c r="M126" s="51">
        <f>IF(L126="","",L126*Inicio!$B$13)</f>
        <v/>
      </c>
      <c r="N126" s="51">
        <f>IF(L126="","",L126+M126)</f>
        <v/>
      </c>
      <c r="O126" s="54" t="n"/>
      <c r="P126" s="43" t="n"/>
      <c r="Q126" s="44" t="n"/>
      <c r="R126" s="51">
        <f>IF(N126="","",MAX(N126-Q126,0))</f>
        <v/>
      </c>
      <c r="S126" s="48">
        <f>IF(A126="","",IF(OR(P126="Pagada",R126=0),"Pagada",IF(O126&lt;TODAY(),"Vencida",IF(O126&lt;=TODAY()+Inicio!$B$19,"Próxima a vencer","Vigente"))))</f>
        <v/>
      </c>
      <c r="T126" s="43" t="n"/>
      <c r="U126" s="68">
        <f>IF($B126="","",YEAR($B126))</f>
        <v/>
      </c>
      <c r="V126" s="68">
        <f>IF($B126="","",MONTH($B126))</f>
        <v/>
      </c>
      <c r="W126" s="68">
        <f>IF($B126="","",DAY($B126))</f>
        <v/>
      </c>
      <c r="X126" s="68">
        <f>IF($B126="","",YEAR($B126)&amp;"-"&amp;TEXT(MONTH($B126),"00"))</f>
        <v/>
      </c>
      <c r="Y126" s="68">
        <f>IF(OR($H126="",$J126=""),"",$J126*IFERROR(VLOOKUP($H126,Maestro_SKU!$A$2:$P$500,12,FALSE),1))</f>
        <v/>
      </c>
    </row>
    <row r="127">
      <c r="A127" s="43" t="n"/>
      <c r="B127" s="54" t="n"/>
      <c r="C127" s="43" t="n"/>
      <c r="D127" s="43" t="n"/>
      <c r="E127" s="48">
        <f>IFERROR(VLOOKUP(D127,Clientes_PDV!$A$2:$J$250,2,FALSE),"")</f>
        <v/>
      </c>
      <c r="F127" s="48">
        <f>IFERROR(VLOOKUP(D127,Clientes_PDV!$A$2:$J$250,3,FALSE),"")</f>
        <v/>
      </c>
      <c r="G127" s="48">
        <f>IFERROR(VLOOKUP(D127,Clientes_PDV!$A$2:$J$250,4,FALSE),"")</f>
        <v/>
      </c>
      <c r="H127" s="43" t="n"/>
      <c r="I127" s="48">
        <f>IFERROR(VLOOKUP(H127,Maestro_SKU!$A$2:$P$500,2,FALSE),"")</f>
        <v/>
      </c>
      <c r="J127" s="55" t="n"/>
      <c r="K127" s="44" t="n"/>
      <c r="L127" s="51">
        <f>IF(OR(J127="",K127=""),"",J127*K127)</f>
        <v/>
      </c>
      <c r="M127" s="51">
        <f>IF(L127="","",L127*Inicio!$B$13)</f>
        <v/>
      </c>
      <c r="N127" s="51">
        <f>IF(L127="","",L127+M127)</f>
        <v/>
      </c>
      <c r="O127" s="54" t="n"/>
      <c r="P127" s="43" t="n"/>
      <c r="Q127" s="44" t="n"/>
      <c r="R127" s="51">
        <f>IF(N127="","",MAX(N127-Q127,0))</f>
        <v/>
      </c>
      <c r="S127" s="48">
        <f>IF(A127="","",IF(OR(P127="Pagada",R127=0),"Pagada",IF(O127&lt;TODAY(),"Vencida",IF(O127&lt;=TODAY()+Inicio!$B$19,"Próxima a vencer","Vigente"))))</f>
        <v/>
      </c>
      <c r="T127" s="43" t="n"/>
      <c r="U127" s="68">
        <f>IF($B127="","",YEAR($B127))</f>
        <v/>
      </c>
      <c r="V127" s="68">
        <f>IF($B127="","",MONTH($B127))</f>
        <v/>
      </c>
      <c r="W127" s="68">
        <f>IF($B127="","",DAY($B127))</f>
        <v/>
      </c>
      <c r="X127" s="68">
        <f>IF($B127="","",YEAR($B127)&amp;"-"&amp;TEXT(MONTH($B127),"00"))</f>
        <v/>
      </c>
      <c r="Y127" s="68">
        <f>IF(OR($H127="",$J127=""),"",$J127*IFERROR(VLOOKUP($H127,Maestro_SKU!$A$2:$P$500,12,FALSE),1))</f>
        <v/>
      </c>
    </row>
    <row r="128">
      <c r="A128" s="43" t="n"/>
      <c r="B128" s="54" t="n"/>
      <c r="C128" s="43" t="n"/>
      <c r="D128" s="43" t="n"/>
      <c r="E128" s="48">
        <f>IFERROR(VLOOKUP(D128,Clientes_PDV!$A$2:$J$250,2,FALSE),"")</f>
        <v/>
      </c>
      <c r="F128" s="48">
        <f>IFERROR(VLOOKUP(D128,Clientes_PDV!$A$2:$J$250,3,FALSE),"")</f>
        <v/>
      </c>
      <c r="G128" s="48">
        <f>IFERROR(VLOOKUP(D128,Clientes_PDV!$A$2:$J$250,4,FALSE),"")</f>
        <v/>
      </c>
      <c r="H128" s="43" t="n"/>
      <c r="I128" s="48">
        <f>IFERROR(VLOOKUP(H128,Maestro_SKU!$A$2:$P$500,2,FALSE),"")</f>
        <v/>
      </c>
      <c r="J128" s="55" t="n"/>
      <c r="K128" s="44" t="n"/>
      <c r="L128" s="51">
        <f>IF(OR(J128="",K128=""),"",J128*K128)</f>
        <v/>
      </c>
      <c r="M128" s="51">
        <f>IF(L128="","",L128*Inicio!$B$13)</f>
        <v/>
      </c>
      <c r="N128" s="51">
        <f>IF(L128="","",L128+M128)</f>
        <v/>
      </c>
      <c r="O128" s="54" t="n"/>
      <c r="P128" s="43" t="n"/>
      <c r="Q128" s="44" t="n"/>
      <c r="R128" s="51">
        <f>IF(N128="","",MAX(N128-Q128,0))</f>
        <v/>
      </c>
      <c r="S128" s="48">
        <f>IF(A128="","",IF(OR(P128="Pagada",R128=0),"Pagada",IF(O128&lt;TODAY(),"Vencida",IF(O128&lt;=TODAY()+Inicio!$B$19,"Próxima a vencer","Vigente"))))</f>
        <v/>
      </c>
      <c r="T128" s="43" t="n"/>
      <c r="U128" s="68">
        <f>IF($B128="","",YEAR($B128))</f>
        <v/>
      </c>
      <c r="V128" s="68">
        <f>IF($B128="","",MONTH($B128))</f>
        <v/>
      </c>
      <c r="W128" s="68">
        <f>IF($B128="","",DAY($B128))</f>
        <v/>
      </c>
      <c r="X128" s="68">
        <f>IF($B128="","",YEAR($B128)&amp;"-"&amp;TEXT(MONTH($B128),"00"))</f>
        <v/>
      </c>
      <c r="Y128" s="68">
        <f>IF(OR($H128="",$J128=""),"",$J128*IFERROR(VLOOKUP($H128,Maestro_SKU!$A$2:$P$500,12,FALSE),1))</f>
        <v/>
      </c>
    </row>
    <row r="129">
      <c r="A129" s="43" t="n"/>
      <c r="B129" s="54" t="n"/>
      <c r="C129" s="43" t="n"/>
      <c r="D129" s="43" t="n"/>
      <c r="E129" s="48">
        <f>IFERROR(VLOOKUP(D129,Clientes_PDV!$A$2:$J$250,2,FALSE),"")</f>
        <v/>
      </c>
      <c r="F129" s="48">
        <f>IFERROR(VLOOKUP(D129,Clientes_PDV!$A$2:$J$250,3,FALSE),"")</f>
        <v/>
      </c>
      <c r="G129" s="48">
        <f>IFERROR(VLOOKUP(D129,Clientes_PDV!$A$2:$J$250,4,FALSE),"")</f>
        <v/>
      </c>
      <c r="H129" s="43" t="n"/>
      <c r="I129" s="48">
        <f>IFERROR(VLOOKUP(H129,Maestro_SKU!$A$2:$P$500,2,FALSE),"")</f>
        <v/>
      </c>
      <c r="J129" s="55" t="n"/>
      <c r="K129" s="44" t="n"/>
      <c r="L129" s="51">
        <f>IF(OR(J129="",K129=""),"",J129*K129)</f>
        <v/>
      </c>
      <c r="M129" s="51">
        <f>IF(L129="","",L129*Inicio!$B$13)</f>
        <v/>
      </c>
      <c r="N129" s="51">
        <f>IF(L129="","",L129+M129)</f>
        <v/>
      </c>
      <c r="O129" s="54" t="n"/>
      <c r="P129" s="43" t="n"/>
      <c r="Q129" s="44" t="n"/>
      <c r="R129" s="51">
        <f>IF(N129="","",MAX(N129-Q129,0))</f>
        <v/>
      </c>
      <c r="S129" s="48">
        <f>IF(A129="","",IF(OR(P129="Pagada",R129=0),"Pagada",IF(O129&lt;TODAY(),"Vencida",IF(O129&lt;=TODAY()+Inicio!$B$19,"Próxima a vencer","Vigente"))))</f>
        <v/>
      </c>
      <c r="T129" s="43" t="n"/>
      <c r="U129" s="68">
        <f>IF($B129="","",YEAR($B129))</f>
        <v/>
      </c>
      <c r="V129" s="68">
        <f>IF($B129="","",MONTH($B129))</f>
        <v/>
      </c>
      <c r="W129" s="68">
        <f>IF($B129="","",DAY($B129))</f>
        <v/>
      </c>
      <c r="X129" s="68">
        <f>IF($B129="","",YEAR($B129)&amp;"-"&amp;TEXT(MONTH($B129),"00"))</f>
        <v/>
      </c>
      <c r="Y129" s="68">
        <f>IF(OR($H129="",$J129=""),"",$J129*IFERROR(VLOOKUP($H129,Maestro_SKU!$A$2:$P$500,12,FALSE),1))</f>
        <v/>
      </c>
    </row>
    <row r="130">
      <c r="A130" s="43" t="n"/>
      <c r="B130" s="54" t="n"/>
      <c r="C130" s="43" t="n"/>
      <c r="D130" s="43" t="n"/>
      <c r="E130" s="48">
        <f>IFERROR(VLOOKUP(D130,Clientes_PDV!$A$2:$J$250,2,FALSE),"")</f>
        <v/>
      </c>
      <c r="F130" s="48">
        <f>IFERROR(VLOOKUP(D130,Clientes_PDV!$A$2:$J$250,3,FALSE),"")</f>
        <v/>
      </c>
      <c r="G130" s="48">
        <f>IFERROR(VLOOKUP(D130,Clientes_PDV!$A$2:$J$250,4,FALSE),"")</f>
        <v/>
      </c>
      <c r="H130" s="43" t="n"/>
      <c r="I130" s="48">
        <f>IFERROR(VLOOKUP(H130,Maestro_SKU!$A$2:$P$500,2,FALSE),"")</f>
        <v/>
      </c>
      <c r="J130" s="55" t="n"/>
      <c r="K130" s="44" t="n"/>
      <c r="L130" s="51">
        <f>IF(OR(J130="",K130=""),"",J130*K130)</f>
        <v/>
      </c>
      <c r="M130" s="51">
        <f>IF(L130="","",L130*Inicio!$B$13)</f>
        <v/>
      </c>
      <c r="N130" s="51">
        <f>IF(L130="","",L130+M130)</f>
        <v/>
      </c>
      <c r="O130" s="54" t="n"/>
      <c r="P130" s="43" t="n"/>
      <c r="Q130" s="44" t="n"/>
      <c r="R130" s="51">
        <f>IF(N130="","",MAX(N130-Q130,0))</f>
        <v/>
      </c>
      <c r="S130" s="48">
        <f>IF(A130="","",IF(OR(P130="Pagada",R130=0),"Pagada",IF(O130&lt;TODAY(),"Vencida",IF(O130&lt;=TODAY()+Inicio!$B$19,"Próxima a vencer","Vigente"))))</f>
        <v/>
      </c>
      <c r="T130" s="43" t="n"/>
      <c r="U130" s="68">
        <f>IF($B130="","",YEAR($B130))</f>
        <v/>
      </c>
      <c r="V130" s="68">
        <f>IF($B130="","",MONTH($B130))</f>
        <v/>
      </c>
      <c r="W130" s="68">
        <f>IF($B130="","",DAY($B130))</f>
        <v/>
      </c>
      <c r="X130" s="68">
        <f>IF($B130="","",YEAR($B130)&amp;"-"&amp;TEXT(MONTH($B130),"00"))</f>
        <v/>
      </c>
      <c r="Y130" s="68">
        <f>IF(OR($H130="",$J130=""),"",$J130*IFERROR(VLOOKUP($H130,Maestro_SKU!$A$2:$P$500,12,FALSE),1))</f>
        <v/>
      </c>
    </row>
    <row r="131">
      <c r="A131" s="43" t="n"/>
      <c r="B131" s="54" t="n"/>
      <c r="C131" s="43" t="n"/>
      <c r="D131" s="43" t="n"/>
      <c r="E131" s="48">
        <f>IFERROR(VLOOKUP(D131,Clientes_PDV!$A$2:$J$250,2,FALSE),"")</f>
        <v/>
      </c>
      <c r="F131" s="48">
        <f>IFERROR(VLOOKUP(D131,Clientes_PDV!$A$2:$J$250,3,FALSE),"")</f>
        <v/>
      </c>
      <c r="G131" s="48">
        <f>IFERROR(VLOOKUP(D131,Clientes_PDV!$A$2:$J$250,4,FALSE),"")</f>
        <v/>
      </c>
      <c r="H131" s="43" t="n"/>
      <c r="I131" s="48">
        <f>IFERROR(VLOOKUP(H131,Maestro_SKU!$A$2:$P$500,2,FALSE),"")</f>
        <v/>
      </c>
      <c r="J131" s="55" t="n"/>
      <c r="K131" s="44" t="n"/>
      <c r="L131" s="51">
        <f>IF(OR(J131="",K131=""),"",J131*K131)</f>
        <v/>
      </c>
      <c r="M131" s="51">
        <f>IF(L131="","",L131*Inicio!$B$13)</f>
        <v/>
      </c>
      <c r="N131" s="51">
        <f>IF(L131="","",L131+M131)</f>
        <v/>
      </c>
      <c r="O131" s="54" t="n"/>
      <c r="P131" s="43" t="n"/>
      <c r="Q131" s="44" t="n"/>
      <c r="R131" s="51">
        <f>IF(N131="","",MAX(N131-Q131,0))</f>
        <v/>
      </c>
      <c r="S131" s="48">
        <f>IF(A131="","",IF(OR(P131="Pagada",R131=0),"Pagada",IF(O131&lt;TODAY(),"Vencida",IF(O131&lt;=TODAY()+Inicio!$B$19,"Próxima a vencer","Vigente"))))</f>
        <v/>
      </c>
      <c r="T131" s="43" t="n"/>
      <c r="U131" s="68">
        <f>IF($B131="","",YEAR($B131))</f>
        <v/>
      </c>
      <c r="V131" s="68">
        <f>IF($B131="","",MONTH($B131))</f>
        <v/>
      </c>
      <c r="W131" s="68">
        <f>IF($B131="","",DAY($B131))</f>
        <v/>
      </c>
      <c r="X131" s="68">
        <f>IF($B131="","",YEAR($B131)&amp;"-"&amp;TEXT(MONTH($B131),"00"))</f>
        <v/>
      </c>
      <c r="Y131" s="68">
        <f>IF(OR($H131="",$J131=""),"",$J131*IFERROR(VLOOKUP($H131,Maestro_SKU!$A$2:$P$500,12,FALSE),1))</f>
        <v/>
      </c>
    </row>
    <row r="132">
      <c r="A132" s="43" t="n"/>
      <c r="B132" s="54" t="n"/>
      <c r="C132" s="43" t="n"/>
      <c r="D132" s="43" t="n"/>
      <c r="E132" s="48">
        <f>IFERROR(VLOOKUP(D132,Clientes_PDV!$A$2:$J$250,2,FALSE),"")</f>
        <v/>
      </c>
      <c r="F132" s="48">
        <f>IFERROR(VLOOKUP(D132,Clientes_PDV!$A$2:$J$250,3,FALSE),"")</f>
        <v/>
      </c>
      <c r="G132" s="48">
        <f>IFERROR(VLOOKUP(D132,Clientes_PDV!$A$2:$J$250,4,FALSE),"")</f>
        <v/>
      </c>
      <c r="H132" s="43" t="n"/>
      <c r="I132" s="48">
        <f>IFERROR(VLOOKUP(H132,Maestro_SKU!$A$2:$P$500,2,FALSE),"")</f>
        <v/>
      </c>
      <c r="J132" s="55" t="n"/>
      <c r="K132" s="44" t="n"/>
      <c r="L132" s="51">
        <f>IF(OR(J132="",K132=""),"",J132*K132)</f>
        <v/>
      </c>
      <c r="M132" s="51">
        <f>IF(L132="","",L132*Inicio!$B$13)</f>
        <v/>
      </c>
      <c r="N132" s="51">
        <f>IF(L132="","",L132+M132)</f>
        <v/>
      </c>
      <c r="O132" s="54" t="n"/>
      <c r="P132" s="43" t="n"/>
      <c r="Q132" s="44" t="n"/>
      <c r="R132" s="51">
        <f>IF(N132="","",MAX(N132-Q132,0))</f>
        <v/>
      </c>
      <c r="S132" s="48">
        <f>IF(A132="","",IF(OR(P132="Pagada",R132=0),"Pagada",IF(O132&lt;TODAY(),"Vencida",IF(O132&lt;=TODAY()+Inicio!$B$19,"Próxima a vencer","Vigente"))))</f>
        <v/>
      </c>
      <c r="T132" s="43" t="n"/>
      <c r="U132" s="68">
        <f>IF($B132="","",YEAR($B132))</f>
        <v/>
      </c>
      <c r="V132" s="68">
        <f>IF($B132="","",MONTH($B132))</f>
        <v/>
      </c>
      <c r="W132" s="68">
        <f>IF($B132="","",DAY($B132))</f>
        <v/>
      </c>
      <c r="X132" s="68">
        <f>IF($B132="","",YEAR($B132)&amp;"-"&amp;TEXT(MONTH($B132),"00"))</f>
        <v/>
      </c>
      <c r="Y132" s="68">
        <f>IF(OR($H132="",$J132=""),"",$J132*IFERROR(VLOOKUP($H132,Maestro_SKU!$A$2:$P$500,12,FALSE),1))</f>
        <v/>
      </c>
    </row>
    <row r="133">
      <c r="A133" s="43" t="n"/>
      <c r="B133" s="54" t="n"/>
      <c r="C133" s="43" t="n"/>
      <c r="D133" s="43" t="n"/>
      <c r="E133" s="48">
        <f>IFERROR(VLOOKUP(D133,Clientes_PDV!$A$2:$J$250,2,FALSE),"")</f>
        <v/>
      </c>
      <c r="F133" s="48">
        <f>IFERROR(VLOOKUP(D133,Clientes_PDV!$A$2:$J$250,3,FALSE),"")</f>
        <v/>
      </c>
      <c r="G133" s="48">
        <f>IFERROR(VLOOKUP(D133,Clientes_PDV!$A$2:$J$250,4,FALSE),"")</f>
        <v/>
      </c>
      <c r="H133" s="43" t="n"/>
      <c r="I133" s="48">
        <f>IFERROR(VLOOKUP(H133,Maestro_SKU!$A$2:$P$500,2,FALSE),"")</f>
        <v/>
      </c>
      <c r="J133" s="55" t="n"/>
      <c r="K133" s="44" t="n"/>
      <c r="L133" s="51">
        <f>IF(OR(J133="",K133=""),"",J133*K133)</f>
        <v/>
      </c>
      <c r="M133" s="51">
        <f>IF(L133="","",L133*Inicio!$B$13)</f>
        <v/>
      </c>
      <c r="N133" s="51">
        <f>IF(L133="","",L133+M133)</f>
        <v/>
      </c>
      <c r="O133" s="54" t="n"/>
      <c r="P133" s="43" t="n"/>
      <c r="Q133" s="44" t="n"/>
      <c r="R133" s="51">
        <f>IF(N133="","",MAX(N133-Q133,0))</f>
        <v/>
      </c>
      <c r="S133" s="48">
        <f>IF(A133="","",IF(OR(P133="Pagada",R133=0),"Pagada",IF(O133&lt;TODAY(),"Vencida",IF(O133&lt;=TODAY()+Inicio!$B$19,"Próxima a vencer","Vigente"))))</f>
        <v/>
      </c>
      <c r="T133" s="43" t="n"/>
      <c r="U133" s="68">
        <f>IF($B133="","",YEAR($B133))</f>
        <v/>
      </c>
      <c r="V133" s="68">
        <f>IF($B133="","",MONTH($B133))</f>
        <v/>
      </c>
      <c r="W133" s="68">
        <f>IF($B133="","",DAY($B133))</f>
        <v/>
      </c>
      <c r="X133" s="68">
        <f>IF($B133="","",YEAR($B133)&amp;"-"&amp;TEXT(MONTH($B133),"00"))</f>
        <v/>
      </c>
      <c r="Y133" s="68">
        <f>IF(OR($H133="",$J133=""),"",$J133*IFERROR(VLOOKUP($H133,Maestro_SKU!$A$2:$P$500,12,FALSE),1))</f>
        <v/>
      </c>
    </row>
    <row r="134">
      <c r="A134" s="43" t="n"/>
      <c r="B134" s="54" t="n"/>
      <c r="C134" s="43" t="n"/>
      <c r="D134" s="43" t="n"/>
      <c r="E134" s="48">
        <f>IFERROR(VLOOKUP(D134,Clientes_PDV!$A$2:$J$250,2,FALSE),"")</f>
        <v/>
      </c>
      <c r="F134" s="48">
        <f>IFERROR(VLOOKUP(D134,Clientes_PDV!$A$2:$J$250,3,FALSE),"")</f>
        <v/>
      </c>
      <c r="G134" s="48">
        <f>IFERROR(VLOOKUP(D134,Clientes_PDV!$A$2:$J$250,4,FALSE),"")</f>
        <v/>
      </c>
      <c r="H134" s="43" t="n"/>
      <c r="I134" s="48">
        <f>IFERROR(VLOOKUP(H134,Maestro_SKU!$A$2:$P$500,2,FALSE),"")</f>
        <v/>
      </c>
      <c r="J134" s="55" t="n"/>
      <c r="K134" s="44" t="n"/>
      <c r="L134" s="51">
        <f>IF(OR(J134="",K134=""),"",J134*K134)</f>
        <v/>
      </c>
      <c r="M134" s="51">
        <f>IF(L134="","",L134*Inicio!$B$13)</f>
        <v/>
      </c>
      <c r="N134" s="51">
        <f>IF(L134="","",L134+M134)</f>
        <v/>
      </c>
      <c r="O134" s="54" t="n"/>
      <c r="P134" s="43" t="n"/>
      <c r="Q134" s="44" t="n"/>
      <c r="R134" s="51">
        <f>IF(N134="","",MAX(N134-Q134,0))</f>
        <v/>
      </c>
      <c r="S134" s="48">
        <f>IF(A134="","",IF(OR(P134="Pagada",R134=0),"Pagada",IF(O134&lt;TODAY(),"Vencida",IF(O134&lt;=TODAY()+Inicio!$B$19,"Próxima a vencer","Vigente"))))</f>
        <v/>
      </c>
      <c r="T134" s="43" t="n"/>
      <c r="U134" s="68">
        <f>IF($B134="","",YEAR($B134))</f>
        <v/>
      </c>
      <c r="V134" s="68">
        <f>IF($B134="","",MONTH($B134))</f>
        <v/>
      </c>
      <c r="W134" s="68">
        <f>IF($B134="","",DAY($B134))</f>
        <v/>
      </c>
      <c r="X134" s="68">
        <f>IF($B134="","",YEAR($B134)&amp;"-"&amp;TEXT(MONTH($B134),"00"))</f>
        <v/>
      </c>
      <c r="Y134" s="68">
        <f>IF(OR($H134="",$J134=""),"",$J134*IFERROR(VLOOKUP($H134,Maestro_SKU!$A$2:$P$500,12,FALSE),1))</f>
        <v/>
      </c>
    </row>
    <row r="135">
      <c r="A135" s="43" t="n"/>
      <c r="B135" s="54" t="n"/>
      <c r="C135" s="43" t="n"/>
      <c r="D135" s="43" t="n"/>
      <c r="E135" s="48">
        <f>IFERROR(VLOOKUP(D135,Clientes_PDV!$A$2:$J$250,2,FALSE),"")</f>
        <v/>
      </c>
      <c r="F135" s="48">
        <f>IFERROR(VLOOKUP(D135,Clientes_PDV!$A$2:$J$250,3,FALSE),"")</f>
        <v/>
      </c>
      <c r="G135" s="48">
        <f>IFERROR(VLOOKUP(D135,Clientes_PDV!$A$2:$J$250,4,FALSE),"")</f>
        <v/>
      </c>
      <c r="H135" s="43" t="n"/>
      <c r="I135" s="48">
        <f>IFERROR(VLOOKUP(H135,Maestro_SKU!$A$2:$P$500,2,FALSE),"")</f>
        <v/>
      </c>
      <c r="J135" s="55" t="n"/>
      <c r="K135" s="44" t="n"/>
      <c r="L135" s="51">
        <f>IF(OR(J135="",K135=""),"",J135*K135)</f>
        <v/>
      </c>
      <c r="M135" s="51">
        <f>IF(L135="","",L135*Inicio!$B$13)</f>
        <v/>
      </c>
      <c r="N135" s="51">
        <f>IF(L135="","",L135+M135)</f>
        <v/>
      </c>
      <c r="O135" s="54" t="n"/>
      <c r="P135" s="43" t="n"/>
      <c r="Q135" s="44" t="n"/>
      <c r="R135" s="51">
        <f>IF(N135="","",MAX(N135-Q135,0))</f>
        <v/>
      </c>
      <c r="S135" s="48">
        <f>IF(A135="","",IF(OR(P135="Pagada",R135=0),"Pagada",IF(O135&lt;TODAY(),"Vencida",IF(O135&lt;=TODAY()+Inicio!$B$19,"Próxima a vencer","Vigente"))))</f>
        <v/>
      </c>
      <c r="T135" s="43" t="n"/>
      <c r="U135" s="68">
        <f>IF($B135="","",YEAR($B135))</f>
        <v/>
      </c>
      <c r="V135" s="68">
        <f>IF($B135="","",MONTH($B135))</f>
        <v/>
      </c>
      <c r="W135" s="68">
        <f>IF($B135="","",DAY($B135))</f>
        <v/>
      </c>
      <c r="X135" s="68">
        <f>IF($B135="","",YEAR($B135)&amp;"-"&amp;TEXT(MONTH($B135),"00"))</f>
        <v/>
      </c>
      <c r="Y135" s="68">
        <f>IF(OR($H135="",$J135=""),"",$J135*IFERROR(VLOOKUP($H135,Maestro_SKU!$A$2:$P$500,12,FALSE),1))</f>
        <v/>
      </c>
    </row>
    <row r="136">
      <c r="A136" s="43" t="n"/>
      <c r="B136" s="54" t="n"/>
      <c r="C136" s="43" t="n"/>
      <c r="D136" s="43" t="n"/>
      <c r="E136" s="48">
        <f>IFERROR(VLOOKUP(D136,Clientes_PDV!$A$2:$J$250,2,FALSE),"")</f>
        <v/>
      </c>
      <c r="F136" s="48">
        <f>IFERROR(VLOOKUP(D136,Clientes_PDV!$A$2:$J$250,3,FALSE),"")</f>
        <v/>
      </c>
      <c r="G136" s="48">
        <f>IFERROR(VLOOKUP(D136,Clientes_PDV!$A$2:$J$250,4,FALSE),"")</f>
        <v/>
      </c>
      <c r="H136" s="43" t="n"/>
      <c r="I136" s="48">
        <f>IFERROR(VLOOKUP(H136,Maestro_SKU!$A$2:$P$500,2,FALSE),"")</f>
        <v/>
      </c>
      <c r="J136" s="55" t="n"/>
      <c r="K136" s="44" t="n"/>
      <c r="L136" s="51">
        <f>IF(OR(J136="",K136=""),"",J136*K136)</f>
        <v/>
      </c>
      <c r="M136" s="51">
        <f>IF(L136="","",L136*Inicio!$B$13)</f>
        <v/>
      </c>
      <c r="N136" s="51">
        <f>IF(L136="","",L136+M136)</f>
        <v/>
      </c>
      <c r="O136" s="54" t="n"/>
      <c r="P136" s="43" t="n"/>
      <c r="Q136" s="44" t="n"/>
      <c r="R136" s="51">
        <f>IF(N136="","",MAX(N136-Q136,0))</f>
        <v/>
      </c>
      <c r="S136" s="48">
        <f>IF(A136="","",IF(OR(P136="Pagada",R136=0),"Pagada",IF(O136&lt;TODAY(),"Vencida",IF(O136&lt;=TODAY()+Inicio!$B$19,"Próxima a vencer","Vigente"))))</f>
        <v/>
      </c>
      <c r="T136" s="43" t="n"/>
      <c r="U136" s="68">
        <f>IF($B136="","",YEAR($B136))</f>
        <v/>
      </c>
      <c r="V136" s="68">
        <f>IF($B136="","",MONTH($B136))</f>
        <v/>
      </c>
      <c r="W136" s="68">
        <f>IF($B136="","",DAY($B136))</f>
        <v/>
      </c>
      <c r="X136" s="68">
        <f>IF($B136="","",YEAR($B136)&amp;"-"&amp;TEXT(MONTH($B136),"00"))</f>
        <v/>
      </c>
      <c r="Y136" s="68">
        <f>IF(OR($H136="",$J136=""),"",$J136*IFERROR(VLOOKUP($H136,Maestro_SKU!$A$2:$P$500,12,FALSE),1))</f>
        <v/>
      </c>
    </row>
    <row r="137">
      <c r="A137" s="43" t="n"/>
      <c r="B137" s="54" t="n"/>
      <c r="C137" s="43" t="n"/>
      <c r="D137" s="43" t="n"/>
      <c r="E137" s="48">
        <f>IFERROR(VLOOKUP(D137,Clientes_PDV!$A$2:$J$250,2,FALSE),"")</f>
        <v/>
      </c>
      <c r="F137" s="48">
        <f>IFERROR(VLOOKUP(D137,Clientes_PDV!$A$2:$J$250,3,FALSE),"")</f>
        <v/>
      </c>
      <c r="G137" s="48">
        <f>IFERROR(VLOOKUP(D137,Clientes_PDV!$A$2:$J$250,4,FALSE),"")</f>
        <v/>
      </c>
      <c r="H137" s="43" t="n"/>
      <c r="I137" s="48">
        <f>IFERROR(VLOOKUP(H137,Maestro_SKU!$A$2:$P$500,2,FALSE),"")</f>
        <v/>
      </c>
      <c r="J137" s="55" t="n"/>
      <c r="K137" s="44" t="n"/>
      <c r="L137" s="51">
        <f>IF(OR(J137="",K137=""),"",J137*K137)</f>
        <v/>
      </c>
      <c r="M137" s="51">
        <f>IF(L137="","",L137*Inicio!$B$13)</f>
        <v/>
      </c>
      <c r="N137" s="51">
        <f>IF(L137="","",L137+M137)</f>
        <v/>
      </c>
      <c r="O137" s="54" t="n"/>
      <c r="P137" s="43" t="n"/>
      <c r="Q137" s="44" t="n"/>
      <c r="R137" s="51">
        <f>IF(N137="","",MAX(N137-Q137,0))</f>
        <v/>
      </c>
      <c r="S137" s="48">
        <f>IF(A137="","",IF(OR(P137="Pagada",R137=0),"Pagada",IF(O137&lt;TODAY(),"Vencida",IF(O137&lt;=TODAY()+Inicio!$B$19,"Próxima a vencer","Vigente"))))</f>
        <v/>
      </c>
      <c r="T137" s="43" t="n"/>
      <c r="U137" s="68">
        <f>IF($B137="","",YEAR($B137))</f>
        <v/>
      </c>
      <c r="V137" s="68">
        <f>IF($B137="","",MONTH($B137))</f>
        <v/>
      </c>
      <c r="W137" s="68">
        <f>IF($B137="","",DAY($B137))</f>
        <v/>
      </c>
      <c r="X137" s="68">
        <f>IF($B137="","",YEAR($B137)&amp;"-"&amp;TEXT(MONTH($B137),"00"))</f>
        <v/>
      </c>
      <c r="Y137" s="68">
        <f>IF(OR($H137="",$J137=""),"",$J137*IFERROR(VLOOKUP($H137,Maestro_SKU!$A$2:$P$500,12,FALSE),1))</f>
        <v/>
      </c>
    </row>
    <row r="138">
      <c r="A138" s="43" t="n"/>
      <c r="B138" s="54" t="n"/>
      <c r="C138" s="43" t="n"/>
      <c r="D138" s="43" t="n"/>
      <c r="E138" s="48">
        <f>IFERROR(VLOOKUP(D138,Clientes_PDV!$A$2:$J$250,2,FALSE),"")</f>
        <v/>
      </c>
      <c r="F138" s="48">
        <f>IFERROR(VLOOKUP(D138,Clientes_PDV!$A$2:$J$250,3,FALSE),"")</f>
        <v/>
      </c>
      <c r="G138" s="48">
        <f>IFERROR(VLOOKUP(D138,Clientes_PDV!$A$2:$J$250,4,FALSE),"")</f>
        <v/>
      </c>
      <c r="H138" s="43" t="n"/>
      <c r="I138" s="48">
        <f>IFERROR(VLOOKUP(H138,Maestro_SKU!$A$2:$P$500,2,FALSE),"")</f>
        <v/>
      </c>
      <c r="J138" s="55" t="n"/>
      <c r="K138" s="44" t="n"/>
      <c r="L138" s="51">
        <f>IF(OR(J138="",K138=""),"",J138*K138)</f>
        <v/>
      </c>
      <c r="M138" s="51">
        <f>IF(L138="","",L138*Inicio!$B$13)</f>
        <v/>
      </c>
      <c r="N138" s="51">
        <f>IF(L138="","",L138+M138)</f>
        <v/>
      </c>
      <c r="O138" s="54" t="n"/>
      <c r="P138" s="43" t="n"/>
      <c r="Q138" s="44" t="n"/>
      <c r="R138" s="51">
        <f>IF(N138="","",MAX(N138-Q138,0))</f>
        <v/>
      </c>
      <c r="S138" s="48">
        <f>IF(A138="","",IF(OR(P138="Pagada",R138=0),"Pagada",IF(O138&lt;TODAY(),"Vencida",IF(O138&lt;=TODAY()+Inicio!$B$19,"Próxima a vencer","Vigente"))))</f>
        <v/>
      </c>
      <c r="T138" s="43" t="n"/>
      <c r="U138" s="68">
        <f>IF($B138="","",YEAR($B138))</f>
        <v/>
      </c>
      <c r="V138" s="68">
        <f>IF($B138="","",MONTH($B138))</f>
        <v/>
      </c>
      <c r="W138" s="68">
        <f>IF($B138="","",DAY($B138))</f>
        <v/>
      </c>
      <c r="X138" s="68">
        <f>IF($B138="","",YEAR($B138)&amp;"-"&amp;TEXT(MONTH($B138),"00"))</f>
        <v/>
      </c>
      <c r="Y138" s="68">
        <f>IF(OR($H138="",$J138=""),"",$J138*IFERROR(VLOOKUP($H138,Maestro_SKU!$A$2:$P$500,12,FALSE),1))</f>
        <v/>
      </c>
    </row>
    <row r="139">
      <c r="A139" s="43" t="n"/>
      <c r="B139" s="54" t="n"/>
      <c r="C139" s="43" t="n"/>
      <c r="D139" s="43" t="n"/>
      <c r="E139" s="48">
        <f>IFERROR(VLOOKUP(D139,Clientes_PDV!$A$2:$J$250,2,FALSE),"")</f>
        <v/>
      </c>
      <c r="F139" s="48">
        <f>IFERROR(VLOOKUP(D139,Clientes_PDV!$A$2:$J$250,3,FALSE),"")</f>
        <v/>
      </c>
      <c r="G139" s="48">
        <f>IFERROR(VLOOKUP(D139,Clientes_PDV!$A$2:$J$250,4,FALSE),"")</f>
        <v/>
      </c>
      <c r="H139" s="43" t="n"/>
      <c r="I139" s="48">
        <f>IFERROR(VLOOKUP(H139,Maestro_SKU!$A$2:$P$500,2,FALSE),"")</f>
        <v/>
      </c>
      <c r="J139" s="55" t="n"/>
      <c r="K139" s="44" t="n"/>
      <c r="L139" s="51">
        <f>IF(OR(J139="",K139=""),"",J139*K139)</f>
        <v/>
      </c>
      <c r="M139" s="51">
        <f>IF(L139="","",L139*Inicio!$B$13)</f>
        <v/>
      </c>
      <c r="N139" s="51">
        <f>IF(L139="","",L139+M139)</f>
        <v/>
      </c>
      <c r="O139" s="54" t="n"/>
      <c r="P139" s="43" t="n"/>
      <c r="Q139" s="44" t="n"/>
      <c r="R139" s="51">
        <f>IF(N139="","",MAX(N139-Q139,0))</f>
        <v/>
      </c>
      <c r="S139" s="48">
        <f>IF(A139="","",IF(OR(P139="Pagada",R139=0),"Pagada",IF(O139&lt;TODAY(),"Vencida",IF(O139&lt;=TODAY()+Inicio!$B$19,"Próxima a vencer","Vigente"))))</f>
        <v/>
      </c>
      <c r="T139" s="43" t="n"/>
      <c r="U139" s="68">
        <f>IF($B139="","",YEAR($B139))</f>
        <v/>
      </c>
      <c r="V139" s="68">
        <f>IF($B139="","",MONTH($B139))</f>
        <v/>
      </c>
      <c r="W139" s="68">
        <f>IF($B139="","",DAY($B139))</f>
        <v/>
      </c>
      <c r="X139" s="68">
        <f>IF($B139="","",YEAR($B139)&amp;"-"&amp;TEXT(MONTH($B139),"00"))</f>
        <v/>
      </c>
      <c r="Y139" s="68">
        <f>IF(OR($H139="",$J139=""),"",$J139*IFERROR(VLOOKUP($H139,Maestro_SKU!$A$2:$P$500,12,FALSE),1))</f>
        <v/>
      </c>
    </row>
    <row r="140">
      <c r="A140" s="43" t="n"/>
      <c r="B140" s="54" t="n"/>
      <c r="C140" s="43" t="n"/>
      <c r="D140" s="43" t="n"/>
      <c r="E140" s="48">
        <f>IFERROR(VLOOKUP(D140,Clientes_PDV!$A$2:$J$250,2,FALSE),"")</f>
        <v/>
      </c>
      <c r="F140" s="48">
        <f>IFERROR(VLOOKUP(D140,Clientes_PDV!$A$2:$J$250,3,FALSE),"")</f>
        <v/>
      </c>
      <c r="G140" s="48">
        <f>IFERROR(VLOOKUP(D140,Clientes_PDV!$A$2:$J$250,4,FALSE),"")</f>
        <v/>
      </c>
      <c r="H140" s="43" t="n"/>
      <c r="I140" s="48">
        <f>IFERROR(VLOOKUP(H140,Maestro_SKU!$A$2:$P$500,2,FALSE),"")</f>
        <v/>
      </c>
      <c r="J140" s="55" t="n"/>
      <c r="K140" s="44" t="n"/>
      <c r="L140" s="51">
        <f>IF(OR(J140="",K140=""),"",J140*K140)</f>
        <v/>
      </c>
      <c r="M140" s="51">
        <f>IF(L140="","",L140*Inicio!$B$13)</f>
        <v/>
      </c>
      <c r="N140" s="51">
        <f>IF(L140="","",L140+M140)</f>
        <v/>
      </c>
      <c r="O140" s="54" t="n"/>
      <c r="P140" s="43" t="n"/>
      <c r="Q140" s="44" t="n"/>
      <c r="R140" s="51">
        <f>IF(N140="","",MAX(N140-Q140,0))</f>
        <v/>
      </c>
      <c r="S140" s="48">
        <f>IF(A140="","",IF(OR(P140="Pagada",R140=0),"Pagada",IF(O140&lt;TODAY(),"Vencida",IF(O140&lt;=TODAY()+Inicio!$B$19,"Próxima a vencer","Vigente"))))</f>
        <v/>
      </c>
      <c r="T140" s="43" t="n"/>
      <c r="U140" s="68">
        <f>IF($B140="","",YEAR($B140))</f>
        <v/>
      </c>
      <c r="V140" s="68">
        <f>IF($B140="","",MONTH($B140))</f>
        <v/>
      </c>
      <c r="W140" s="68">
        <f>IF($B140="","",DAY($B140))</f>
        <v/>
      </c>
      <c r="X140" s="68">
        <f>IF($B140="","",YEAR($B140)&amp;"-"&amp;TEXT(MONTH($B140),"00"))</f>
        <v/>
      </c>
      <c r="Y140" s="68">
        <f>IF(OR($H140="",$J140=""),"",$J140*IFERROR(VLOOKUP($H140,Maestro_SKU!$A$2:$P$500,12,FALSE),1))</f>
        <v/>
      </c>
    </row>
    <row r="141">
      <c r="A141" s="43" t="n"/>
      <c r="B141" s="54" t="n"/>
      <c r="C141" s="43" t="n"/>
      <c r="D141" s="43" t="n"/>
      <c r="E141" s="48">
        <f>IFERROR(VLOOKUP(D141,Clientes_PDV!$A$2:$J$250,2,FALSE),"")</f>
        <v/>
      </c>
      <c r="F141" s="48">
        <f>IFERROR(VLOOKUP(D141,Clientes_PDV!$A$2:$J$250,3,FALSE),"")</f>
        <v/>
      </c>
      <c r="G141" s="48">
        <f>IFERROR(VLOOKUP(D141,Clientes_PDV!$A$2:$J$250,4,FALSE),"")</f>
        <v/>
      </c>
      <c r="H141" s="43" t="n"/>
      <c r="I141" s="48">
        <f>IFERROR(VLOOKUP(H141,Maestro_SKU!$A$2:$P$500,2,FALSE),"")</f>
        <v/>
      </c>
      <c r="J141" s="55" t="n"/>
      <c r="K141" s="44" t="n"/>
      <c r="L141" s="51">
        <f>IF(OR(J141="",K141=""),"",J141*K141)</f>
        <v/>
      </c>
      <c r="M141" s="51">
        <f>IF(L141="","",L141*Inicio!$B$13)</f>
        <v/>
      </c>
      <c r="N141" s="51">
        <f>IF(L141="","",L141+M141)</f>
        <v/>
      </c>
      <c r="O141" s="54" t="n"/>
      <c r="P141" s="43" t="n"/>
      <c r="Q141" s="44" t="n"/>
      <c r="R141" s="51">
        <f>IF(N141="","",MAX(N141-Q141,0))</f>
        <v/>
      </c>
      <c r="S141" s="48">
        <f>IF(A141="","",IF(OR(P141="Pagada",R141=0),"Pagada",IF(O141&lt;TODAY(),"Vencida",IF(O141&lt;=TODAY()+Inicio!$B$19,"Próxima a vencer","Vigente"))))</f>
        <v/>
      </c>
      <c r="T141" s="43" t="n"/>
      <c r="U141" s="68">
        <f>IF($B141="","",YEAR($B141))</f>
        <v/>
      </c>
      <c r="V141" s="68">
        <f>IF($B141="","",MONTH($B141))</f>
        <v/>
      </c>
      <c r="W141" s="68">
        <f>IF($B141="","",DAY($B141))</f>
        <v/>
      </c>
      <c r="X141" s="68">
        <f>IF($B141="","",YEAR($B141)&amp;"-"&amp;TEXT(MONTH($B141),"00"))</f>
        <v/>
      </c>
      <c r="Y141" s="68">
        <f>IF(OR($H141="",$J141=""),"",$J141*IFERROR(VLOOKUP($H141,Maestro_SKU!$A$2:$P$500,12,FALSE),1))</f>
        <v/>
      </c>
    </row>
    <row r="142">
      <c r="A142" s="43" t="n"/>
      <c r="B142" s="54" t="n"/>
      <c r="C142" s="43" t="n"/>
      <c r="D142" s="43" t="n"/>
      <c r="E142" s="48">
        <f>IFERROR(VLOOKUP(D142,Clientes_PDV!$A$2:$J$250,2,FALSE),"")</f>
        <v/>
      </c>
      <c r="F142" s="48">
        <f>IFERROR(VLOOKUP(D142,Clientes_PDV!$A$2:$J$250,3,FALSE),"")</f>
        <v/>
      </c>
      <c r="G142" s="48">
        <f>IFERROR(VLOOKUP(D142,Clientes_PDV!$A$2:$J$250,4,FALSE),"")</f>
        <v/>
      </c>
      <c r="H142" s="43" t="n"/>
      <c r="I142" s="48">
        <f>IFERROR(VLOOKUP(H142,Maestro_SKU!$A$2:$P$500,2,FALSE),"")</f>
        <v/>
      </c>
      <c r="J142" s="55" t="n"/>
      <c r="K142" s="44" t="n"/>
      <c r="L142" s="51">
        <f>IF(OR(J142="",K142=""),"",J142*K142)</f>
        <v/>
      </c>
      <c r="M142" s="51">
        <f>IF(L142="","",L142*Inicio!$B$13)</f>
        <v/>
      </c>
      <c r="N142" s="51">
        <f>IF(L142="","",L142+M142)</f>
        <v/>
      </c>
      <c r="O142" s="54" t="n"/>
      <c r="P142" s="43" t="n"/>
      <c r="Q142" s="44" t="n"/>
      <c r="R142" s="51">
        <f>IF(N142="","",MAX(N142-Q142,0))</f>
        <v/>
      </c>
      <c r="S142" s="48">
        <f>IF(A142="","",IF(OR(P142="Pagada",R142=0),"Pagada",IF(O142&lt;TODAY(),"Vencida",IF(O142&lt;=TODAY()+Inicio!$B$19,"Próxima a vencer","Vigente"))))</f>
        <v/>
      </c>
      <c r="T142" s="43" t="n"/>
      <c r="U142" s="68">
        <f>IF($B142="","",YEAR($B142))</f>
        <v/>
      </c>
      <c r="V142" s="68">
        <f>IF($B142="","",MONTH($B142))</f>
        <v/>
      </c>
      <c r="W142" s="68">
        <f>IF($B142="","",DAY($B142))</f>
        <v/>
      </c>
      <c r="X142" s="68">
        <f>IF($B142="","",YEAR($B142)&amp;"-"&amp;TEXT(MONTH($B142),"00"))</f>
        <v/>
      </c>
      <c r="Y142" s="68">
        <f>IF(OR($H142="",$J142=""),"",$J142*IFERROR(VLOOKUP($H142,Maestro_SKU!$A$2:$P$500,12,FALSE),1))</f>
        <v/>
      </c>
    </row>
    <row r="143">
      <c r="A143" s="43" t="n"/>
      <c r="B143" s="54" t="n"/>
      <c r="C143" s="43" t="n"/>
      <c r="D143" s="43" t="n"/>
      <c r="E143" s="48">
        <f>IFERROR(VLOOKUP(D143,Clientes_PDV!$A$2:$J$250,2,FALSE),"")</f>
        <v/>
      </c>
      <c r="F143" s="48">
        <f>IFERROR(VLOOKUP(D143,Clientes_PDV!$A$2:$J$250,3,FALSE),"")</f>
        <v/>
      </c>
      <c r="G143" s="48">
        <f>IFERROR(VLOOKUP(D143,Clientes_PDV!$A$2:$J$250,4,FALSE),"")</f>
        <v/>
      </c>
      <c r="H143" s="43" t="n"/>
      <c r="I143" s="48">
        <f>IFERROR(VLOOKUP(H143,Maestro_SKU!$A$2:$P$500,2,FALSE),"")</f>
        <v/>
      </c>
      <c r="J143" s="55" t="n"/>
      <c r="K143" s="44" t="n"/>
      <c r="L143" s="51">
        <f>IF(OR(J143="",K143=""),"",J143*K143)</f>
        <v/>
      </c>
      <c r="M143" s="51">
        <f>IF(L143="","",L143*Inicio!$B$13)</f>
        <v/>
      </c>
      <c r="N143" s="51">
        <f>IF(L143="","",L143+M143)</f>
        <v/>
      </c>
      <c r="O143" s="54" t="n"/>
      <c r="P143" s="43" t="n"/>
      <c r="Q143" s="44" t="n"/>
      <c r="R143" s="51">
        <f>IF(N143="","",MAX(N143-Q143,0))</f>
        <v/>
      </c>
      <c r="S143" s="48">
        <f>IF(A143="","",IF(OR(P143="Pagada",R143=0),"Pagada",IF(O143&lt;TODAY(),"Vencida",IF(O143&lt;=TODAY()+Inicio!$B$19,"Próxima a vencer","Vigente"))))</f>
        <v/>
      </c>
      <c r="T143" s="43" t="n"/>
      <c r="U143" s="68">
        <f>IF($B143="","",YEAR($B143))</f>
        <v/>
      </c>
      <c r="V143" s="68">
        <f>IF($B143="","",MONTH($B143))</f>
        <v/>
      </c>
      <c r="W143" s="68">
        <f>IF($B143="","",DAY($B143))</f>
        <v/>
      </c>
      <c r="X143" s="68">
        <f>IF($B143="","",YEAR($B143)&amp;"-"&amp;TEXT(MONTH($B143),"00"))</f>
        <v/>
      </c>
      <c r="Y143" s="68">
        <f>IF(OR($H143="",$J143=""),"",$J143*IFERROR(VLOOKUP($H143,Maestro_SKU!$A$2:$P$500,12,FALSE),1))</f>
        <v/>
      </c>
    </row>
    <row r="144">
      <c r="A144" s="43" t="n"/>
      <c r="B144" s="54" t="n"/>
      <c r="C144" s="43" t="n"/>
      <c r="D144" s="43" t="n"/>
      <c r="E144" s="48">
        <f>IFERROR(VLOOKUP(D144,Clientes_PDV!$A$2:$J$250,2,FALSE),"")</f>
        <v/>
      </c>
      <c r="F144" s="48">
        <f>IFERROR(VLOOKUP(D144,Clientes_PDV!$A$2:$J$250,3,FALSE),"")</f>
        <v/>
      </c>
      <c r="G144" s="48">
        <f>IFERROR(VLOOKUP(D144,Clientes_PDV!$A$2:$J$250,4,FALSE),"")</f>
        <v/>
      </c>
      <c r="H144" s="43" t="n"/>
      <c r="I144" s="48">
        <f>IFERROR(VLOOKUP(H144,Maestro_SKU!$A$2:$P$500,2,FALSE),"")</f>
        <v/>
      </c>
      <c r="J144" s="55" t="n"/>
      <c r="K144" s="44" t="n"/>
      <c r="L144" s="51">
        <f>IF(OR(J144="",K144=""),"",J144*K144)</f>
        <v/>
      </c>
      <c r="M144" s="51">
        <f>IF(L144="","",L144*Inicio!$B$13)</f>
        <v/>
      </c>
      <c r="N144" s="51">
        <f>IF(L144="","",L144+M144)</f>
        <v/>
      </c>
      <c r="O144" s="54" t="n"/>
      <c r="P144" s="43" t="n"/>
      <c r="Q144" s="44" t="n"/>
      <c r="R144" s="51">
        <f>IF(N144="","",MAX(N144-Q144,0))</f>
        <v/>
      </c>
      <c r="S144" s="48">
        <f>IF(A144="","",IF(OR(P144="Pagada",R144=0),"Pagada",IF(O144&lt;TODAY(),"Vencida",IF(O144&lt;=TODAY()+Inicio!$B$19,"Próxima a vencer","Vigente"))))</f>
        <v/>
      </c>
      <c r="T144" s="43" t="n"/>
      <c r="U144" s="68">
        <f>IF($B144="","",YEAR($B144))</f>
        <v/>
      </c>
      <c r="V144" s="68">
        <f>IF($B144="","",MONTH($B144))</f>
        <v/>
      </c>
      <c r="W144" s="68">
        <f>IF($B144="","",DAY($B144))</f>
        <v/>
      </c>
      <c r="X144" s="68">
        <f>IF($B144="","",YEAR($B144)&amp;"-"&amp;TEXT(MONTH($B144),"00"))</f>
        <v/>
      </c>
      <c r="Y144" s="68">
        <f>IF(OR($H144="",$J144=""),"",$J144*IFERROR(VLOOKUP($H144,Maestro_SKU!$A$2:$P$500,12,FALSE),1))</f>
        <v/>
      </c>
    </row>
    <row r="145">
      <c r="A145" s="43" t="n"/>
      <c r="B145" s="54" t="n"/>
      <c r="C145" s="43" t="n"/>
      <c r="D145" s="43" t="n"/>
      <c r="E145" s="48">
        <f>IFERROR(VLOOKUP(D145,Clientes_PDV!$A$2:$J$250,2,FALSE),"")</f>
        <v/>
      </c>
      <c r="F145" s="48">
        <f>IFERROR(VLOOKUP(D145,Clientes_PDV!$A$2:$J$250,3,FALSE),"")</f>
        <v/>
      </c>
      <c r="G145" s="48">
        <f>IFERROR(VLOOKUP(D145,Clientes_PDV!$A$2:$J$250,4,FALSE),"")</f>
        <v/>
      </c>
      <c r="H145" s="43" t="n"/>
      <c r="I145" s="48">
        <f>IFERROR(VLOOKUP(H145,Maestro_SKU!$A$2:$P$500,2,FALSE),"")</f>
        <v/>
      </c>
      <c r="J145" s="55" t="n"/>
      <c r="K145" s="44" t="n"/>
      <c r="L145" s="51">
        <f>IF(OR(J145="",K145=""),"",J145*K145)</f>
        <v/>
      </c>
      <c r="M145" s="51">
        <f>IF(L145="","",L145*Inicio!$B$13)</f>
        <v/>
      </c>
      <c r="N145" s="51">
        <f>IF(L145="","",L145+M145)</f>
        <v/>
      </c>
      <c r="O145" s="54" t="n"/>
      <c r="P145" s="43" t="n"/>
      <c r="Q145" s="44" t="n"/>
      <c r="R145" s="51">
        <f>IF(N145="","",MAX(N145-Q145,0))</f>
        <v/>
      </c>
      <c r="S145" s="48">
        <f>IF(A145="","",IF(OR(P145="Pagada",R145=0),"Pagada",IF(O145&lt;TODAY(),"Vencida",IF(O145&lt;=TODAY()+Inicio!$B$19,"Próxima a vencer","Vigente"))))</f>
        <v/>
      </c>
      <c r="T145" s="43" t="n"/>
      <c r="U145" s="68">
        <f>IF($B145="","",YEAR($B145))</f>
        <v/>
      </c>
      <c r="V145" s="68">
        <f>IF($B145="","",MONTH($B145))</f>
        <v/>
      </c>
      <c r="W145" s="68">
        <f>IF($B145="","",DAY($B145))</f>
        <v/>
      </c>
      <c r="X145" s="68">
        <f>IF($B145="","",YEAR($B145)&amp;"-"&amp;TEXT(MONTH($B145),"00"))</f>
        <v/>
      </c>
      <c r="Y145" s="68">
        <f>IF(OR($H145="",$J145=""),"",$J145*IFERROR(VLOOKUP($H145,Maestro_SKU!$A$2:$P$500,12,FALSE),1))</f>
        <v/>
      </c>
    </row>
    <row r="146">
      <c r="A146" s="43" t="n"/>
      <c r="B146" s="54" t="n"/>
      <c r="C146" s="43" t="n"/>
      <c r="D146" s="43" t="n"/>
      <c r="E146" s="48">
        <f>IFERROR(VLOOKUP(D146,Clientes_PDV!$A$2:$J$250,2,FALSE),"")</f>
        <v/>
      </c>
      <c r="F146" s="48">
        <f>IFERROR(VLOOKUP(D146,Clientes_PDV!$A$2:$J$250,3,FALSE),"")</f>
        <v/>
      </c>
      <c r="G146" s="48">
        <f>IFERROR(VLOOKUP(D146,Clientes_PDV!$A$2:$J$250,4,FALSE),"")</f>
        <v/>
      </c>
      <c r="H146" s="43" t="n"/>
      <c r="I146" s="48">
        <f>IFERROR(VLOOKUP(H146,Maestro_SKU!$A$2:$P$500,2,FALSE),"")</f>
        <v/>
      </c>
      <c r="J146" s="55" t="n"/>
      <c r="K146" s="44" t="n"/>
      <c r="L146" s="51">
        <f>IF(OR(J146="",K146=""),"",J146*K146)</f>
        <v/>
      </c>
      <c r="M146" s="51">
        <f>IF(L146="","",L146*Inicio!$B$13)</f>
        <v/>
      </c>
      <c r="N146" s="51">
        <f>IF(L146="","",L146+M146)</f>
        <v/>
      </c>
      <c r="O146" s="54" t="n"/>
      <c r="P146" s="43" t="n"/>
      <c r="Q146" s="44" t="n"/>
      <c r="R146" s="51">
        <f>IF(N146="","",MAX(N146-Q146,0))</f>
        <v/>
      </c>
      <c r="S146" s="48">
        <f>IF(A146="","",IF(OR(P146="Pagada",R146=0),"Pagada",IF(O146&lt;TODAY(),"Vencida",IF(O146&lt;=TODAY()+Inicio!$B$19,"Próxima a vencer","Vigente"))))</f>
        <v/>
      </c>
      <c r="T146" s="43" t="n"/>
      <c r="U146" s="68">
        <f>IF($B146="","",YEAR($B146))</f>
        <v/>
      </c>
      <c r="V146" s="68">
        <f>IF($B146="","",MONTH($B146))</f>
        <v/>
      </c>
      <c r="W146" s="68">
        <f>IF($B146="","",DAY($B146))</f>
        <v/>
      </c>
      <c r="X146" s="68">
        <f>IF($B146="","",YEAR($B146)&amp;"-"&amp;TEXT(MONTH($B146),"00"))</f>
        <v/>
      </c>
      <c r="Y146" s="68">
        <f>IF(OR($H146="",$J146=""),"",$J146*IFERROR(VLOOKUP($H146,Maestro_SKU!$A$2:$P$500,12,FALSE),1))</f>
        <v/>
      </c>
    </row>
    <row r="147">
      <c r="A147" s="43" t="n"/>
      <c r="B147" s="54" t="n"/>
      <c r="C147" s="43" t="n"/>
      <c r="D147" s="43" t="n"/>
      <c r="E147" s="48">
        <f>IFERROR(VLOOKUP(D147,Clientes_PDV!$A$2:$J$250,2,FALSE),"")</f>
        <v/>
      </c>
      <c r="F147" s="48">
        <f>IFERROR(VLOOKUP(D147,Clientes_PDV!$A$2:$J$250,3,FALSE),"")</f>
        <v/>
      </c>
      <c r="G147" s="48">
        <f>IFERROR(VLOOKUP(D147,Clientes_PDV!$A$2:$J$250,4,FALSE),"")</f>
        <v/>
      </c>
      <c r="H147" s="43" t="n"/>
      <c r="I147" s="48">
        <f>IFERROR(VLOOKUP(H147,Maestro_SKU!$A$2:$P$500,2,FALSE),"")</f>
        <v/>
      </c>
      <c r="J147" s="55" t="n"/>
      <c r="K147" s="44" t="n"/>
      <c r="L147" s="51">
        <f>IF(OR(J147="",K147=""),"",J147*K147)</f>
        <v/>
      </c>
      <c r="M147" s="51">
        <f>IF(L147="","",L147*Inicio!$B$13)</f>
        <v/>
      </c>
      <c r="N147" s="51">
        <f>IF(L147="","",L147+M147)</f>
        <v/>
      </c>
      <c r="O147" s="54" t="n"/>
      <c r="P147" s="43" t="n"/>
      <c r="Q147" s="44" t="n"/>
      <c r="R147" s="51">
        <f>IF(N147="","",MAX(N147-Q147,0))</f>
        <v/>
      </c>
      <c r="S147" s="48">
        <f>IF(A147="","",IF(OR(P147="Pagada",R147=0),"Pagada",IF(O147&lt;TODAY(),"Vencida",IF(O147&lt;=TODAY()+Inicio!$B$19,"Próxima a vencer","Vigente"))))</f>
        <v/>
      </c>
      <c r="T147" s="43" t="n"/>
      <c r="U147" s="68">
        <f>IF($B147="","",YEAR($B147))</f>
        <v/>
      </c>
      <c r="V147" s="68">
        <f>IF($B147="","",MONTH($B147))</f>
        <v/>
      </c>
      <c r="W147" s="68">
        <f>IF($B147="","",DAY($B147))</f>
        <v/>
      </c>
      <c r="X147" s="68">
        <f>IF($B147="","",YEAR($B147)&amp;"-"&amp;TEXT(MONTH($B147),"00"))</f>
        <v/>
      </c>
      <c r="Y147" s="68">
        <f>IF(OR($H147="",$J147=""),"",$J147*IFERROR(VLOOKUP($H147,Maestro_SKU!$A$2:$P$500,12,FALSE),1))</f>
        <v/>
      </c>
    </row>
    <row r="148">
      <c r="A148" s="43" t="n"/>
      <c r="B148" s="54" t="n"/>
      <c r="C148" s="43" t="n"/>
      <c r="D148" s="43" t="n"/>
      <c r="E148" s="48">
        <f>IFERROR(VLOOKUP(D148,Clientes_PDV!$A$2:$J$250,2,FALSE),"")</f>
        <v/>
      </c>
      <c r="F148" s="48">
        <f>IFERROR(VLOOKUP(D148,Clientes_PDV!$A$2:$J$250,3,FALSE),"")</f>
        <v/>
      </c>
      <c r="G148" s="48">
        <f>IFERROR(VLOOKUP(D148,Clientes_PDV!$A$2:$J$250,4,FALSE),"")</f>
        <v/>
      </c>
      <c r="H148" s="43" t="n"/>
      <c r="I148" s="48">
        <f>IFERROR(VLOOKUP(H148,Maestro_SKU!$A$2:$P$500,2,FALSE),"")</f>
        <v/>
      </c>
      <c r="J148" s="55" t="n"/>
      <c r="K148" s="44" t="n"/>
      <c r="L148" s="51">
        <f>IF(OR(J148="",K148=""),"",J148*K148)</f>
        <v/>
      </c>
      <c r="M148" s="51">
        <f>IF(L148="","",L148*Inicio!$B$13)</f>
        <v/>
      </c>
      <c r="N148" s="51">
        <f>IF(L148="","",L148+M148)</f>
        <v/>
      </c>
      <c r="O148" s="54" t="n"/>
      <c r="P148" s="43" t="n"/>
      <c r="Q148" s="44" t="n"/>
      <c r="R148" s="51">
        <f>IF(N148="","",MAX(N148-Q148,0))</f>
        <v/>
      </c>
      <c r="S148" s="48">
        <f>IF(A148="","",IF(OR(P148="Pagada",R148=0),"Pagada",IF(O148&lt;TODAY(),"Vencida",IF(O148&lt;=TODAY()+Inicio!$B$19,"Próxima a vencer","Vigente"))))</f>
        <v/>
      </c>
      <c r="T148" s="43" t="n"/>
      <c r="U148" s="68">
        <f>IF($B148="","",YEAR($B148))</f>
        <v/>
      </c>
      <c r="V148" s="68">
        <f>IF($B148="","",MONTH($B148))</f>
        <v/>
      </c>
      <c r="W148" s="68">
        <f>IF($B148="","",DAY($B148))</f>
        <v/>
      </c>
      <c r="X148" s="68">
        <f>IF($B148="","",YEAR($B148)&amp;"-"&amp;TEXT(MONTH($B148),"00"))</f>
        <v/>
      </c>
      <c r="Y148" s="68">
        <f>IF(OR($H148="",$J148=""),"",$J148*IFERROR(VLOOKUP($H148,Maestro_SKU!$A$2:$P$500,12,FALSE),1))</f>
        <v/>
      </c>
    </row>
    <row r="149">
      <c r="A149" s="43" t="n"/>
      <c r="B149" s="54" t="n"/>
      <c r="C149" s="43" t="n"/>
      <c r="D149" s="43" t="n"/>
      <c r="E149" s="48">
        <f>IFERROR(VLOOKUP(D149,Clientes_PDV!$A$2:$J$250,2,FALSE),"")</f>
        <v/>
      </c>
      <c r="F149" s="48">
        <f>IFERROR(VLOOKUP(D149,Clientes_PDV!$A$2:$J$250,3,FALSE),"")</f>
        <v/>
      </c>
      <c r="G149" s="48">
        <f>IFERROR(VLOOKUP(D149,Clientes_PDV!$A$2:$J$250,4,FALSE),"")</f>
        <v/>
      </c>
      <c r="H149" s="43" t="n"/>
      <c r="I149" s="48">
        <f>IFERROR(VLOOKUP(H149,Maestro_SKU!$A$2:$P$500,2,FALSE),"")</f>
        <v/>
      </c>
      <c r="J149" s="55" t="n"/>
      <c r="K149" s="44" t="n"/>
      <c r="L149" s="51">
        <f>IF(OR(J149="",K149=""),"",J149*K149)</f>
        <v/>
      </c>
      <c r="M149" s="51">
        <f>IF(L149="","",L149*Inicio!$B$13)</f>
        <v/>
      </c>
      <c r="N149" s="51">
        <f>IF(L149="","",L149+M149)</f>
        <v/>
      </c>
      <c r="O149" s="54" t="n"/>
      <c r="P149" s="43" t="n"/>
      <c r="Q149" s="44" t="n"/>
      <c r="R149" s="51">
        <f>IF(N149="","",MAX(N149-Q149,0))</f>
        <v/>
      </c>
      <c r="S149" s="48">
        <f>IF(A149="","",IF(OR(P149="Pagada",R149=0),"Pagada",IF(O149&lt;TODAY(),"Vencida",IF(O149&lt;=TODAY()+Inicio!$B$19,"Próxima a vencer","Vigente"))))</f>
        <v/>
      </c>
      <c r="T149" s="43" t="n"/>
      <c r="U149" s="68">
        <f>IF($B149="","",YEAR($B149))</f>
        <v/>
      </c>
      <c r="V149" s="68">
        <f>IF($B149="","",MONTH($B149))</f>
        <v/>
      </c>
      <c r="W149" s="68">
        <f>IF($B149="","",DAY($B149))</f>
        <v/>
      </c>
      <c r="X149" s="68">
        <f>IF($B149="","",YEAR($B149)&amp;"-"&amp;TEXT(MONTH($B149),"00"))</f>
        <v/>
      </c>
      <c r="Y149" s="68">
        <f>IF(OR($H149="",$J149=""),"",$J149*IFERROR(VLOOKUP($H149,Maestro_SKU!$A$2:$P$500,12,FALSE),1))</f>
        <v/>
      </c>
    </row>
    <row r="150">
      <c r="A150" s="43" t="n"/>
      <c r="B150" s="54" t="n"/>
      <c r="C150" s="43" t="n"/>
      <c r="D150" s="43" t="n"/>
      <c r="E150" s="48">
        <f>IFERROR(VLOOKUP(D150,Clientes_PDV!$A$2:$J$250,2,FALSE),"")</f>
        <v/>
      </c>
      <c r="F150" s="48">
        <f>IFERROR(VLOOKUP(D150,Clientes_PDV!$A$2:$J$250,3,FALSE),"")</f>
        <v/>
      </c>
      <c r="G150" s="48">
        <f>IFERROR(VLOOKUP(D150,Clientes_PDV!$A$2:$J$250,4,FALSE),"")</f>
        <v/>
      </c>
      <c r="H150" s="43" t="n"/>
      <c r="I150" s="48">
        <f>IFERROR(VLOOKUP(H150,Maestro_SKU!$A$2:$P$500,2,FALSE),"")</f>
        <v/>
      </c>
      <c r="J150" s="55" t="n"/>
      <c r="K150" s="44" t="n"/>
      <c r="L150" s="51">
        <f>IF(OR(J150="",K150=""),"",J150*K150)</f>
        <v/>
      </c>
      <c r="M150" s="51">
        <f>IF(L150="","",L150*Inicio!$B$13)</f>
        <v/>
      </c>
      <c r="N150" s="51">
        <f>IF(L150="","",L150+M150)</f>
        <v/>
      </c>
      <c r="O150" s="54" t="n"/>
      <c r="P150" s="43" t="n"/>
      <c r="Q150" s="44" t="n"/>
      <c r="R150" s="51">
        <f>IF(N150="","",MAX(N150-Q150,0))</f>
        <v/>
      </c>
      <c r="S150" s="48">
        <f>IF(A150="","",IF(OR(P150="Pagada",R150=0),"Pagada",IF(O150&lt;TODAY(),"Vencida",IF(O150&lt;=TODAY()+Inicio!$B$19,"Próxima a vencer","Vigente"))))</f>
        <v/>
      </c>
      <c r="T150" s="43" t="n"/>
      <c r="U150" s="68">
        <f>IF($B150="","",YEAR($B150))</f>
        <v/>
      </c>
      <c r="V150" s="68">
        <f>IF($B150="","",MONTH($B150))</f>
        <v/>
      </c>
      <c r="W150" s="68">
        <f>IF($B150="","",DAY($B150))</f>
        <v/>
      </c>
      <c r="X150" s="68">
        <f>IF($B150="","",YEAR($B150)&amp;"-"&amp;TEXT(MONTH($B150),"00"))</f>
        <v/>
      </c>
      <c r="Y150" s="68">
        <f>IF(OR($H150="",$J150=""),"",$J150*IFERROR(VLOOKUP($H150,Maestro_SKU!$A$2:$P$500,12,FALSE),1))</f>
        <v/>
      </c>
    </row>
    <row r="151">
      <c r="A151" s="43" t="n"/>
      <c r="B151" s="54" t="n"/>
      <c r="C151" s="43" t="n"/>
      <c r="D151" s="43" t="n"/>
      <c r="E151" s="48">
        <f>IFERROR(VLOOKUP(D151,Clientes_PDV!$A$2:$J$250,2,FALSE),"")</f>
        <v/>
      </c>
      <c r="F151" s="48">
        <f>IFERROR(VLOOKUP(D151,Clientes_PDV!$A$2:$J$250,3,FALSE),"")</f>
        <v/>
      </c>
      <c r="G151" s="48">
        <f>IFERROR(VLOOKUP(D151,Clientes_PDV!$A$2:$J$250,4,FALSE),"")</f>
        <v/>
      </c>
      <c r="H151" s="43" t="n"/>
      <c r="I151" s="48">
        <f>IFERROR(VLOOKUP(H151,Maestro_SKU!$A$2:$P$500,2,FALSE),"")</f>
        <v/>
      </c>
      <c r="J151" s="55" t="n"/>
      <c r="K151" s="44" t="n"/>
      <c r="L151" s="51">
        <f>IF(OR(J151="",K151=""),"",J151*K151)</f>
        <v/>
      </c>
      <c r="M151" s="51">
        <f>IF(L151="","",L151*Inicio!$B$13)</f>
        <v/>
      </c>
      <c r="N151" s="51">
        <f>IF(L151="","",L151+M151)</f>
        <v/>
      </c>
      <c r="O151" s="54" t="n"/>
      <c r="P151" s="43" t="n"/>
      <c r="Q151" s="44" t="n"/>
      <c r="R151" s="51">
        <f>IF(N151="","",MAX(N151-Q151,0))</f>
        <v/>
      </c>
      <c r="S151" s="48">
        <f>IF(A151="","",IF(OR(P151="Pagada",R151=0),"Pagada",IF(O151&lt;TODAY(),"Vencida",IF(O151&lt;=TODAY()+Inicio!$B$19,"Próxima a vencer","Vigente"))))</f>
        <v/>
      </c>
      <c r="T151" s="43" t="n"/>
      <c r="U151" s="68">
        <f>IF($B151="","",YEAR($B151))</f>
        <v/>
      </c>
      <c r="V151" s="68">
        <f>IF($B151="","",MONTH($B151))</f>
        <v/>
      </c>
      <c r="W151" s="68">
        <f>IF($B151="","",DAY($B151))</f>
        <v/>
      </c>
      <c r="X151" s="68">
        <f>IF($B151="","",YEAR($B151)&amp;"-"&amp;TEXT(MONTH($B151),"00"))</f>
        <v/>
      </c>
      <c r="Y151" s="68">
        <f>IF(OR($H151="",$J151=""),"",$J151*IFERROR(VLOOKUP($H151,Maestro_SKU!$A$2:$P$500,12,FALSE),1))</f>
        <v/>
      </c>
    </row>
    <row r="152">
      <c r="A152" s="43" t="n"/>
      <c r="B152" s="54" t="n"/>
      <c r="C152" s="43" t="n"/>
      <c r="D152" s="43" t="n"/>
      <c r="E152" s="48">
        <f>IFERROR(VLOOKUP(D152,Clientes_PDV!$A$2:$J$250,2,FALSE),"")</f>
        <v/>
      </c>
      <c r="F152" s="48">
        <f>IFERROR(VLOOKUP(D152,Clientes_PDV!$A$2:$J$250,3,FALSE),"")</f>
        <v/>
      </c>
      <c r="G152" s="48">
        <f>IFERROR(VLOOKUP(D152,Clientes_PDV!$A$2:$J$250,4,FALSE),"")</f>
        <v/>
      </c>
      <c r="H152" s="43" t="n"/>
      <c r="I152" s="48">
        <f>IFERROR(VLOOKUP(H152,Maestro_SKU!$A$2:$P$500,2,FALSE),"")</f>
        <v/>
      </c>
      <c r="J152" s="55" t="n"/>
      <c r="K152" s="44" t="n"/>
      <c r="L152" s="51">
        <f>IF(OR(J152="",K152=""),"",J152*K152)</f>
        <v/>
      </c>
      <c r="M152" s="51">
        <f>IF(L152="","",L152*Inicio!$B$13)</f>
        <v/>
      </c>
      <c r="N152" s="51">
        <f>IF(L152="","",L152+M152)</f>
        <v/>
      </c>
      <c r="O152" s="54" t="n"/>
      <c r="P152" s="43" t="n"/>
      <c r="Q152" s="44" t="n"/>
      <c r="R152" s="51">
        <f>IF(N152="","",MAX(N152-Q152,0))</f>
        <v/>
      </c>
      <c r="S152" s="48">
        <f>IF(A152="","",IF(OR(P152="Pagada",R152=0),"Pagada",IF(O152&lt;TODAY(),"Vencida",IF(O152&lt;=TODAY()+Inicio!$B$19,"Próxima a vencer","Vigente"))))</f>
        <v/>
      </c>
      <c r="T152" s="43" t="n"/>
      <c r="U152" s="68">
        <f>IF($B152="","",YEAR($B152))</f>
        <v/>
      </c>
      <c r="V152" s="68">
        <f>IF($B152="","",MONTH($B152))</f>
        <v/>
      </c>
      <c r="W152" s="68">
        <f>IF($B152="","",DAY($B152))</f>
        <v/>
      </c>
      <c r="X152" s="68">
        <f>IF($B152="","",YEAR($B152)&amp;"-"&amp;TEXT(MONTH($B152),"00"))</f>
        <v/>
      </c>
      <c r="Y152" s="68">
        <f>IF(OR($H152="",$J152=""),"",$J152*IFERROR(VLOOKUP($H152,Maestro_SKU!$A$2:$P$500,12,FALSE),1))</f>
        <v/>
      </c>
    </row>
    <row r="153">
      <c r="A153" s="43" t="n"/>
      <c r="B153" s="54" t="n"/>
      <c r="C153" s="43" t="n"/>
      <c r="D153" s="43" t="n"/>
      <c r="E153" s="48">
        <f>IFERROR(VLOOKUP(D153,Clientes_PDV!$A$2:$J$250,2,FALSE),"")</f>
        <v/>
      </c>
      <c r="F153" s="48">
        <f>IFERROR(VLOOKUP(D153,Clientes_PDV!$A$2:$J$250,3,FALSE),"")</f>
        <v/>
      </c>
      <c r="G153" s="48">
        <f>IFERROR(VLOOKUP(D153,Clientes_PDV!$A$2:$J$250,4,FALSE),"")</f>
        <v/>
      </c>
      <c r="H153" s="43" t="n"/>
      <c r="I153" s="48">
        <f>IFERROR(VLOOKUP(H153,Maestro_SKU!$A$2:$P$500,2,FALSE),"")</f>
        <v/>
      </c>
      <c r="J153" s="55" t="n"/>
      <c r="K153" s="44" t="n"/>
      <c r="L153" s="51">
        <f>IF(OR(J153="",K153=""),"",J153*K153)</f>
        <v/>
      </c>
      <c r="M153" s="51">
        <f>IF(L153="","",L153*Inicio!$B$13)</f>
        <v/>
      </c>
      <c r="N153" s="51">
        <f>IF(L153="","",L153+M153)</f>
        <v/>
      </c>
      <c r="O153" s="54" t="n"/>
      <c r="P153" s="43" t="n"/>
      <c r="Q153" s="44" t="n"/>
      <c r="R153" s="51">
        <f>IF(N153="","",MAX(N153-Q153,0))</f>
        <v/>
      </c>
      <c r="S153" s="48">
        <f>IF(A153="","",IF(OR(P153="Pagada",R153=0),"Pagada",IF(O153&lt;TODAY(),"Vencida",IF(O153&lt;=TODAY()+Inicio!$B$19,"Próxima a vencer","Vigente"))))</f>
        <v/>
      </c>
      <c r="T153" s="43" t="n"/>
      <c r="U153" s="68">
        <f>IF($B153="","",YEAR($B153))</f>
        <v/>
      </c>
      <c r="V153" s="68">
        <f>IF($B153="","",MONTH($B153))</f>
        <v/>
      </c>
      <c r="W153" s="68">
        <f>IF($B153="","",DAY($B153))</f>
        <v/>
      </c>
      <c r="X153" s="68">
        <f>IF($B153="","",YEAR($B153)&amp;"-"&amp;TEXT(MONTH($B153),"00"))</f>
        <v/>
      </c>
      <c r="Y153" s="68">
        <f>IF(OR($H153="",$J153=""),"",$J153*IFERROR(VLOOKUP($H153,Maestro_SKU!$A$2:$P$500,12,FALSE),1))</f>
        <v/>
      </c>
    </row>
    <row r="154">
      <c r="A154" s="43" t="n"/>
      <c r="B154" s="54" t="n"/>
      <c r="C154" s="43" t="n"/>
      <c r="D154" s="43" t="n"/>
      <c r="E154" s="48">
        <f>IFERROR(VLOOKUP(D154,Clientes_PDV!$A$2:$J$250,2,FALSE),"")</f>
        <v/>
      </c>
      <c r="F154" s="48">
        <f>IFERROR(VLOOKUP(D154,Clientes_PDV!$A$2:$J$250,3,FALSE),"")</f>
        <v/>
      </c>
      <c r="G154" s="48">
        <f>IFERROR(VLOOKUP(D154,Clientes_PDV!$A$2:$J$250,4,FALSE),"")</f>
        <v/>
      </c>
      <c r="H154" s="43" t="n"/>
      <c r="I154" s="48">
        <f>IFERROR(VLOOKUP(H154,Maestro_SKU!$A$2:$P$500,2,FALSE),"")</f>
        <v/>
      </c>
      <c r="J154" s="55" t="n"/>
      <c r="K154" s="44" t="n"/>
      <c r="L154" s="51">
        <f>IF(OR(J154="",K154=""),"",J154*K154)</f>
        <v/>
      </c>
      <c r="M154" s="51">
        <f>IF(L154="","",L154*Inicio!$B$13)</f>
        <v/>
      </c>
      <c r="N154" s="51">
        <f>IF(L154="","",L154+M154)</f>
        <v/>
      </c>
      <c r="O154" s="54" t="n"/>
      <c r="P154" s="43" t="n"/>
      <c r="Q154" s="44" t="n"/>
      <c r="R154" s="51">
        <f>IF(N154="","",MAX(N154-Q154,0))</f>
        <v/>
      </c>
      <c r="S154" s="48">
        <f>IF(A154="","",IF(OR(P154="Pagada",R154=0),"Pagada",IF(O154&lt;TODAY(),"Vencida",IF(O154&lt;=TODAY()+Inicio!$B$19,"Próxima a vencer","Vigente"))))</f>
        <v/>
      </c>
      <c r="T154" s="43" t="n"/>
      <c r="U154" s="68">
        <f>IF($B154="","",YEAR($B154))</f>
        <v/>
      </c>
      <c r="V154" s="68">
        <f>IF($B154="","",MONTH($B154))</f>
        <v/>
      </c>
      <c r="W154" s="68">
        <f>IF($B154="","",DAY($B154))</f>
        <v/>
      </c>
      <c r="X154" s="68">
        <f>IF($B154="","",YEAR($B154)&amp;"-"&amp;TEXT(MONTH($B154),"00"))</f>
        <v/>
      </c>
      <c r="Y154" s="68">
        <f>IF(OR($H154="",$J154=""),"",$J154*IFERROR(VLOOKUP($H154,Maestro_SKU!$A$2:$P$500,12,FALSE),1))</f>
        <v/>
      </c>
    </row>
    <row r="155">
      <c r="A155" s="43" t="n"/>
      <c r="B155" s="54" t="n"/>
      <c r="C155" s="43" t="n"/>
      <c r="D155" s="43" t="n"/>
      <c r="E155" s="48">
        <f>IFERROR(VLOOKUP(D155,Clientes_PDV!$A$2:$J$250,2,FALSE),"")</f>
        <v/>
      </c>
      <c r="F155" s="48">
        <f>IFERROR(VLOOKUP(D155,Clientes_PDV!$A$2:$J$250,3,FALSE),"")</f>
        <v/>
      </c>
      <c r="G155" s="48">
        <f>IFERROR(VLOOKUP(D155,Clientes_PDV!$A$2:$J$250,4,FALSE),"")</f>
        <v/>
      </c>
      <c r="H155" s="43" t="n"/>
      <c r="I155" s="48">
        <f>IFERROR(VLOOKUP(H155,Maestro_SKU!$A$2:$P$500,2,FALSE),"")</f>
        <v/>
      </c>
      <c r="J155" s="55" t="n"/>
      <c r="K155" s="44" t="n"/>
      <c r="L155" s="51">
        <f>IF(OR(J155="",K155=""),"",J155*K155)</f>
        <v/>
      </c>
      <c r="M155" s="51">
        <f>IF(L155="","",L155*Inicio!$B$13)</f>
        <v/>
      </c>
      <c r="N155" s="51">
        <f>IF(L155="","",L155+M155)</f>
        <v/>
      </c>
      <c r="O155" s="54" t="n"/>
      <c r="P155" s="43" t="n"/>
      <c r="Q155" s="44" t="n"/>
      <c r="R155" s="51">
        <f>IF(N155="","",MAX(N155-Q155,0))</f>
        <v/>
      </c>
      <c r="S155" s="48">
        <f>IF(A155="","",IF(OR(P155="Pagada",R155=0),"Pagada",IF(O155&lt;TODAY(),"Vencida",IF(O155&lt;=TODAY()+Inicio!$B$19,"Próxima a vencer","Vigente"))))</f>
        <v/>
      </c>
      <c r="T155" s="43" t="n"/>
      <c r="U155" s="68">
        <f>IF($B155="","",YEAR($B155))</f>
        <v/>
      </c>
      <c r="V155" s="68">
        <f>IF($B155="","",MONTH($B155))</f>
        <v/>
      </c>
      <c r="W155" s="68">
        <f>IF($B155="","",DAY($B155))</f>
        <v/>
      </c>
      <c r="X155" s="68">
        <f>IF($B155="","",YEAR($B155)&amp;"-"&amp;TEXT(MONTH($B155),"00"))</f>
        <v/>
      </c>
      <c r="Y155" s="68">
        <f>IF(OR($H155="",$J155=""),"",$J155*IFERROR(VLOOKUP($H155,Maestro_SKU!$A$2:$P$500,12,FALSE),1))</f>
        <v/>
      </c>
    </row>
    <row r="156">
      <c r="A156" s="43" t="n"/>
      <c r="B156" s="54" t="n"/>
      <c r="C156" s="43" t="n"/>
      <c r="D156" s="43" t="n"/>
      <c r="E156" s="48">
        <f>IFERROR(VLOOKUP(D156,Clientes_PDV!$A$2:$J$250,2,FALSE),"")</f>
        <v/>
      </c>
      <c r="F156" s="48">
        <f>IFERROR(VLOOKUP(D156,Clientes_PDV!$A$2:$J$250,3,FALSE),"")</f>
        <v/>
      </c>
      <c r="G156" s="48">
        <f>IFERROR(VLOOKUP(D156,Clientes_PDV!$A$2:$J$250,4,FALSE),"")</f>
        <v/>
      </c>
      <c r="H156" s="43" t="n"/>
      <c r="I156" s="48">
        <f>IFERROR(VLOOKUP(H156,Maestro_SKU!$A$2:$P$500,2,FALSE),"")</f>
        <v/>
      </c>
      <c r="J156" s="55" t="n"/>
      <c r="K156" s="44" t="n"/>
      <c r="L156" s="51">
        <f>IF(OR(J156="",K156=""),"",J156*K156)</f>
        <v/>
      </c>
      <c r="M156" s="51">
        <f>IF(L156="","",L156*Inicio!$B$13)</f>
        <v/>
      </c>
      <c r="N156" s="51">
        <f>IF(L156="","",L156+M156)</f>
        <v/>
      </c>
      <c r="O156" s="54" t="n"/>
      <c r="P156" s="43" t="n"/>
      <c r="Q156" s="44" t="n"/>
      <c r="R156" s="51">
        <f>IF(N156="","",MAX(N156-Q156,0))</f>
        <v/>
      </c>
      <c r="S156" s="48">
        <f>IF(A156="","",IF(OR(P156="Pagada",R156=0),"Pagada",IF(O156&lt;TODAY(),"Vencida",IF(O156&lt;=TODAY()+Inicio!$B$19,"Próxima a vencer","Vigente"))))</f>
        <v/>
      </c>
      <c r="T156" s="43" t="n"/>
      <c r="U156" s="68">
        <f>IF($B156="","",YEAR($B156))</f>
        <v/>
      </c>
      <c r="V156" s="68">
        <f>IF($B156="","",MONTH($B156))</f>
        <v/>
      </c>
      <c r="W156" s="68">
        <f>IF($B156="","",DAY($B156))</f>
        <v/>
      </c>
      <c r="X156" s="68">
        <f>IF($B156="","",YEAR($B156)&amp;"-"&amp;TEXT(MONTH($B156),"00"))</f>
        <v/>
      </c>
      <c r="Y156" s="68">
        <f>IF(OR($H156="",$J156=""),"",$J156*IFERROR(VLOOKUP($H156,Maestro_SKU!$A$2:$P$500,12,FALSE),1))</f>
        <v/>
      </c>
    </row>
    <row r="157">
      <c r="A157" s="43" t="n"/>
      <c r="B157" s="54" t="n"/>
      <c r="C157" s="43" t="n"/>
      <c r="D157" s="43" t="n"/>
      <c r="E157" s="48">
        <f>IFERROR(VLOOKUP(D157,Clientes_PDV!$A$2:$J$250,2,FALSE),"")</f>
        <v/>
      </c>
      <c r="F157" s="48">
        <f>IFERROR(VLOOKUP(D157,Clientes_PDV!$A$2:$J$250,3,FALSE),"")</f>
        <v/>
      </c>
      <c r="G157" s="48">
        <f>IFERROR(VLOOKUP(D157,Clientes_PDV!$A$2:$J$250,4,FALSE),"")</f>
        <v/>
      </c>
      <c r="H157" s="43" t="n"/>
      <c r="I157" s="48">
        <f>IFERROR(VLOOKUP(H157,Maestro_SKU!$A$2:$P$500,2,FALSE),"")</f>
        <v/>
      </c>
      <c r="J157" s="55" t="n"/>
      <c r="K157" s="44" t="n"/>
      <c r="L157" s="51">
        <f>IF(OR(J157="",K157=""),"",J157*K157)</f>
        <v/>
      </c>
      <c r="M157" s="51">
        <f>IF(L157="","",L157*Inicio!$B$13)</f>
        <v/>
      </c>
      <c r="N157" s="51">
        <f>IF(L157="","",L157+M157)</f>
        <v/>
      </c>
      <c r="O157" s="54" t="n"/>
      <c r="P157" s="43" t="n"/>
      <c r="Q157" s="44" t="n"/>
      <c r="R157" s="51">
        <f>IF(N157="","",MAX(N157-Q157,0))</f>
        <v/>
      </c>
      <c r="S157" s="48">
        <f>IF(A157="","",IF(OR(P157="Pagada",R157=0),"Pagada",IF(O157&lt;TODAY(),"Vencida",IF(O157&lt;=TODAY()+Inicio!$B$19,"Próxima a vencer","Vigente"))))</f>
        <v/>
      </c>
      <c r="T157" s="43" t="n"/>
      <c r="U157" s="68">
        <f>IF($B157="","",YEAR($B157))</f>
        <v/>
      </c>
      <c r="V157" s="68">
        <f>IF($B157="","",MONTH($B157))</f>
        <v/>
      </c>
      <c r="W157" s="68">
        <f>IF($B157="","",DAY($B157))</f>
        <v/>
      </c>
      <c r="X157" s="68">
        <f>IF($B157="","",YEAR($B157)&amp;"-"&amp;TEXT(MONTH($B157),"00"))</f>
        <v/>
      </c>
      <c r="Y157" s="68">
        <f>IF(OR($H157="",$J157=""),"",$J157*IFERROR(VLOOKUP($H157,Maestro_SKU!$A$2:$P$500,12,FALSE),1))</f>
        <v/>
      </c>
    </row>
    <row r="158">
      <c r="A158" s="43" t="n"/>
      <c r="B158" s="54" t="n"/>
      <c r="C158" s="43" t="n"/>
      <c r="D158" s="43" t="n"/>
      <c r="E158" s="48">
        <f>IFERROR(VLOOKUP(D158,Clientes_PDV!$A$2:$J$250,2,FALSE),"")</f>
        <v/>
      </c>
      <c r="F158" s="48">
        <f>IFERROR(VLOOKUP(D158,Clientes_PDV!$A$2:$J$250,3,FALSE),"")</f>
        <v/>
      </c>
      <c r="G158" s="48">
        <f>IFERROR(VLOOKUP(D158,Clientes_PDV!$A$2:$J$250,4,FALSE),"")</f>
        <v/>
      </c>
      <c r="H158" s="43" t="n"/>
      <c r="I158" s="48">
        <f>IFERROR(VLOOKUP(H158,Maestro_SKU!$A$2:$P$500,2,FALSE),"")</f>
        <v/>
      </c>
      <c r="J158" s="55" t="n"/>
      <c r="K158" s="44" t="n"/>
      <c r="L158" s="51">
        <f>IF(OR(J158="",K158=""),"",J158*K158)</f>
        <v/>
      </c>
      <c r="M158" s="51">
        <f>IF(L158="","",L158*Inicio!$B$13)</f>
        <v/>
      </c>
      <c r="N158" s="51">
        <f>IF(L158="","",L158+M158)</f>
        <v/>
      </c>
      <c r="O158" s="54" t="n"/>
      <c r="P158" s="43" t="n"/>
      <c r="Q158" s="44" t="n"/>
      <c r="R158" s="51">
        <f>IF(N158="","",MAX(N158-Q158,0))</f>
        <v/>
      </c>
      <c r="S158" s="48">
        <f>IF(A158="","",IF(OR(P158="Pagada",R158=0),"Pagada",IF(O158&lt;TODAY(),"Vencida",IF(O158&lt;=TODAY()+Inicio!$B$19,"Próxima a vencer","Vigente"))))</f>
        <v/>
      </c>
      <c r="T158" s="43" t="n"/>
      <c r="U158" s="68">
        <f>IF($B158="","",YEAR($B158))</f>
        <v/>
      </c>
      <c r="V158" s="68">
        <f>IF($B158="","",MONTH($B158))</f>
        <v/>
      </c>
      <c r="W158" s="68">
        <f>IF($B158="","",DAY($B158))</f>
        <v/>
      </c>
      <c r="X158" s="68">
        <f>IF($B158="","",YEAR($B158)&amp;"-"&amp;TEXT(MONTH($B158),"00"))</f>
        <v/>
      </c>
      <c r="Y158" s="68">
        <f>IF(OR($H158="",$J158=""),"",$J158*IFERROR(VLOOKUP($H158,Maestro_SKU!$A$2:$P$500,12,FALSE),1))</f>
        <v/>
      </c>
    </row>
    <row r="159">
      <c r="A159" s="43" t="n"/>
      <c r="B159" s="54" t="n"/>
      <c r="C159" s="43" t="n"/>
      <c r="D159" s="43" t="n"/>
      <c r="E159" s="48">
        <f>IFERROR(VLOOKUP(D159,Clientes_PDV!$A$2:$J$250,2,FALSE),"")</f>
        <v/>
      </c>
      <c r="F159" s="48">
        <f>IFERROR(VLOOKUP(D159,Clientes_PDV!$A$2:$J$250,3,FALSE),"")</f>
        <v/>
      </c>
      <c r="G159" s="48">
        <f>IFERROR(VLOOKUP(D159,Clientes_PDV!$A$2:$J$250,4,FALSE),"")</f>
        <v/>
      </c>
      <c r="H159" s="43" t="n"/>
      <c r="I159" s="48">
        <f>IFERROR(VLOOKUP(H159,Maestro_SKU!$A$2:$P$500,2,FALSE),"")</f>
        <v/>
      </c>
      <c r="J159" s="55" t="n"/>
      <c r="K159" s="44" t="n"/>
      <c r="L159" s="51">
        <f>IF(OR(J159="",K159=""),"",J159*K159)</f>
        <v/>
      </c>
      <c r="M159" s="51">
        <f>IF(L159="","",L159*Inicio!$B$13)</f>
        <v/>
      </c>
      <c r="N159" s="51">
        <f>IF(L159="","",L159+M159)</f>
        <v/>
      </c>
      <c r="O159" s="54" t="n"/>
      <c r="P159" s="43" t="n"/>
      <c r="Q159" s="44" t="n"/>
      <c r="R159" s="51">
        <f>IF(N159="","",MAX(N159-Q159,0))</f>
        <v/>
      </c>
      <c r="S159" s="48">
        <f>IF(A159="","",IF(OR(P159="Pagada",R159=0),"Pagada",IF(O159&lt;TODAY(),"Vencida",IF(O159&lt;=TODAY()+Inicio!$B$19,"Próxima a vencer","Vigente"))))</f>
        <v/>
      </c>
      <c r="T159" s="43" t="n"/>
      <c r="U159" s="68">
        <f>IF($B159="","",YEAR($B159))</f>
        <v/>
      </c>
      <c r="V159" s="68">
        <f>IF($B159="","",MONTH($B159))</f>
        <v/>
      </c>
      <c r="W159" s="68">
        <f>IF($B159="","",DAY($B159))</f>
        <v/>
      </c>
      <c r="X159" s="68">
        <f>IF($B159="","",YEAR($B159)&amp;"-"&amp;TEXT(MONTH($B159),"00"))</f>
        <v/>
      </c>
      <c r="Y159" s="68">
        <f>IF(OR($H159="",$J159=""),"",$J159*IFERROR(VLOOKUP($H159,Maestro_SKU!$A$2:$P$500,12,FALSE),1))</f>
        <v/>
      </c>
    </row>
    <row r="160">
      <c r="A160" s="43" t="n"/>
      <c r="B160" s="54" t="n"/>
      <c r="C160" s="43" t="n"/>
      <c r="D160" s="43" t="n"/>
      <c r="E160" s="48">
        <f>IFERROR(VLOOKUP(D160,Clientes_PDV!$A$2:$J$250,2,FALSE),"")</f>
        <v/>
      </c>
      <c r="F160" s="48">
        <f>IFERROR(VLOOKUP(D160,Clientes_PDV!$A$2:$J$250,3,FALSE),"")</f>
        <v/>
      </c>
      <c r="G160" s="48">
        <f>IFERROR(VLOOKUP(D160,Clientes_PDV!$A$2:$J$250,4,FALSE),"")</f>
        <v/>
      </c>
      <c r="H160" s="43" t="n"/>
      <c r="I160" s="48">
        <f>IFERROR(VLOOKUP(H160,Maestro_SKU!$A$2:$P$500,2,FALSE),"")</f>
        <v/>
      </c>
      <c r="J160" s="55" t="n"/>
      <c r="K160" s="44" t="n"/>
      <c r="L160" s="51">
        <f>IF(OR(J160="",K160=""),"",J160*K160)</f>
        <v/>
      </c>
      <c r="M160" s="51">
        <f>IF(L160="","",L160*Inicio!$B$13)</f>
        <v/>
      </c>
      <c r="N160" s="51">
        <f>IF(L160="","",L160+M160)</f>
        <v/>
      </c>
      <c r="O160" s="54" t="n"/>
      <c r="P160" s="43" t="n"/>
      <c r="Q160" s="44" t="n"/>
      <c r="R160" s="51">
        <f>IF(N160="","",MAX(N160-Q160,0))</f>
        <v/>
      </c>
      <c r="S160" s="48">
        <f>IF(A160="","",IF(OR(P160="Pagada",R160=0),"Pagada",IF(O160&lt;TODAY(),"Vencida",IF(O160&lt;=TODAY()+Inicio!$B$19,"Próxima a vencer","Vigente"))))</f>
        <v/>
      </c>
      <c r="T160" s="43" t="n"/>
      <c r="U160" s="68">
        <f>IF($B160="","",YEAR($B160))</f>
        <v/>
      </c>
      <c r="V160" s="68">
        <f>IF($B160="","",MONTH($B160))</f>
        <v/>
      </c>
      <c r="W160" s="68">
        <f>IF($B160="","",DAY($B160))</f>
        <v/>
      </c>
      <c r="X160" s="68">
        <f>IF($B160="","",YEAR($B160)&amp;"-"&amp;TEXT(MONTH($B160),"00"))</f>
        <v/>
      </c>
      <c r="Y160" s="68">
        <f>IF(OR($H160="",$J160=""),"",$J160*IFERROR(VLOOKUP($H160,Maestro_SKU!$A$2:$P$500,12,FALSE),1))</f>
        <v/>
      </c>
    </row>
    <row r="161">
      <c r="A161" s="43" t="n"/>
      <c r="B161" s="54" t="n"/>
      <c r="C161" s="43" t="n"/>
      <c r="D161" s="43" t="n"/>
      <c r="E161" s="48">
        <f>IFERROR(VLOOKUP(D161,Clientes_PDV!$A$2:$J$250,2,FALSE),"")</f>
        <v/>
      </c>
      <c r="F161" s="48">
        <f>IFERROR(VLOOKUP(D161,Clientes_PDV!$A$2:$J$250,3,FALSE),"")</f>
        <v/>
      </c>
      <c r="G161" s="48">
        <f>IFERROR(VLOOKUP(D161,Clientes_PDV!$A$2:$J$250,4,FALSE),"")</f>
        <v/>
      </c>
      <c r="H161" s="43" t="n"/>
      <c r="I161" s="48">
        <f>IFERROR(VLOOKUP(H161,Maestro_SKU!$A$2:$P$500,2,FALSE),"")</f>
        <v/>
      </c>
      <c r="J161" s="55" t="n"/>
      <c r="K161" s="44" t="n"/>
      <c r="L161" s="51">
        <f>IF(OR(J161="",K161=""),"",J161*K161)</f>
        <v/>
      </c>
      <c r="M161" s="51">
        <f>IF(L161="","",L161*Inicio!$B$13)</f>
        <v/>
      </c>
      <c r="N161" s="51">
        <f>IF(L161="","",L161+M161)</f>
        <v/>
      </c>
      <c r="O161" s="54" t="n"/>
      <c r="P161" s="43" t="n"/>
      <c r="Q161" s="44" t="n"/>
      <c r="R161" s="51">
        <f>IF(N161="","",MAX(N161-Q161,0))</f>
        <v/>
      </c>
      <c r="S161" s="48">
        <f>IF(A161="","",IF(OR(P161="Pagada",R161=0),"Pagada",IF(O161&lt;TODAY(),"Vencida",IF(O161&lt;=TODAY()+Inicio!$B$19,"Próxima a vencer","Vigente"))))</f>
        <v/>
      </c>
      <c r="T161" s="43" t="n"/>
      <c r="U161" s="68">
        <f>IF($B161="","",YEAR($B161))</f>
        <v/>
      </c>
      <c r="V161" s="68">
        <f>IF($B161="","",MONTH($B161))</f>
        <v/>
      </c>
      <c r="W161" s="68">
        <f>IF($B161="","",DAY($B161))</f>
        <v/>
      </c>
      <c r="X161" s="68">
        <f>IF($B161="","",YEAR($B161)&amp;"-"&amp;TEXT(MONTH($B161),"00"))</f>
        <v/>
      </c>
      <c r="Y161" s="68">
        <f>IF(OR($H161="",$J161=""),"",$J161*IFERROR(VLOOKUP($H161,Maestro_SKU!$A$2:$P$500,12,FALSE),1))</f>
        <v/>
      </c>
    </row>
    <row r="162">
      <c r="A162" s="43" t="n"/>
      <c r="B162" s="54" t="n"/>
      <c r="C162" s="43" t="n"/>
      <c r="D162" s="43" t="n"/>
      <c r="E162" s="48">
        <f>IFERROR(VLOOKUP(D162,Clientes_PDV!$A$2:$J$250,2,FALSE),"")</f>
        <v/>
      </c>
      <c r="F162" s="48">
        <f>IFERROR(VLOOKUP(D162,Clientes_PDV!$A$2:$J$250,3,FALSE),"")</f>
        <v/>
      </c>
      <c r="G162" s="48">
        <f>IFERROR(VLOOKUP(D162,Clientes_PDV!$A$2:$J$250,4,FALSE),"")</f>
        <v/>
      </c>
      <c r="H162" s="43" t="n"/>
      <c r="I162" s="48">
        <f>IFERROR(VLOOKUP(H162,Maestro_SKU!$A$2:$P$500,2,FALSE),"")</f>
        <v/>
      </c>
      <c r="J162" s="55" t="n"/>
      <c r="K162" s="44" t="n"/>
      <c r="L162" s="51">
        <f>IF(OR(J162="",K162=""),"",J162*K162)</f>
        <v/>
      </c>
      <c r="M162" s="51">
        <f>IF(L162="","",L162*Inicio!$B$13)</f>
        <v/>
      </c>
      <c r="N162" s="51">
        <f>IF(L162="","",L162+M162)</f>
        <v/>
      </c>
      <c r="O162" s="54" t="n"/>
      <c r="P162" s="43" t="n"/>
      <c r="Q162" s="44" t="n"/>
      <c r="R162" s="51">
        <f>IF(N162="","",MAX(N162-Q162,0))</f>
        <v/>
      </c>
      <c r="S162" s="48">
        <f>IF(A162="","",IF(OR(P162="Pagada",R162=0),"Pagada",IF(O162&lt;TODAY(),"Vencida",IF(O162&lt;=TODAY()+Inicio!$B$19,"Próxima a vencer","Vigente"))))</f>
        <v/>
      </c>
      <c r="T162" s="43" t="n"/>
      <c r="U162" s="68">
        <f>IF($B162="","",YEAR($B162))</f>
        <v/>
      </c>
      <c r="V162" s="68">
        <f>IF($B162="","",MONTH($B162))</f>
        <v/>
      </c>
      <c r="W162" s="68">
        <f>IF($B162="","",DAY($B162))</f>
        <v/>
      </c>
      <c r="X162" s="68">
        <f>IF($B162="","",YEAR($B162)&amp;"-"&amp;TEXT(MONTH($B162),"00"))</f>
        <v/>
      </c>
      <c r="Y162" s="68">
        <f>IF(OR($H162="",$J162=""),"",$J162*IFERROR(VLOOKUP($H162,Maestro_SKU!$A$2:$P$500,12,FALSE),1))</f>
        <v/>
      </c>
    </row>
    <row r="163">
      <c r="A163" s="43" t="n"/>
      <c r="B163" s="54" t="n"/>
      <c r="C163" s="43" t="n"/>
      <c r="D163" s="43" t="n"/>
      <c r="E163" s="48">
        <f>IFERROR(VLOOKUP(D163,Clientes_PDV!$A$2:$J$250,2,FALSE),"")</f>
        <v/>
      </c>
      <c r="F163" s="48">
        <f>IFERROR(VLOOKUP(D163,Clientes_PDV!$A$2:$J$250,3,FALSE),"")</f>
        <v/>
      </c>
      <c r="G163" s="48">
        <f>IFERROR(VLOOKUP(D163,Clientes_PDV!$A$2:$J$250,4,FALSE),"")</f>
        <v/>
      </c>
      <c r="H163" s="43" t="n"/>
      <c r="I163" s="48">
        <f>IFERROR(VLOOKUP(H163,Maestro_SKU!$A$2:$P$500,2,FALSE),"")</f>
        <v/>
      </c>
      <c r="J163" s="55" t="n"/>
      <c r="K163" s="44" t="n"/>
      <c r="L163" s="51">
        <f>IF(OR(J163="",K163=""),"",J163*K163)</f>
        <v/>
      </c>
      <c r="M163" s="51">
        <f>IF(L163="","",L163*Inicio!$B$13)</f>
        <v/>
      </c>
      <c r="N163" s="51">
        <f>IF(L163="","",L163+M163)</f>
        <v/>
      </c>
      <c r="O163" s="54" t="n"/>
      <c r="P163" s="43" t="n"/>
      <c r="Q163" s="44" t="n"/>
      <c r="R163" s="51">
        <f>IF(N163="","",MAX(N163-Q163,0))</f>
        <v/>
      </c>
      <c r="S163" s="48">
        <f>IF(A163="","",IF(OR(P163="Pagada",R163=0),"Pagada",IF(O163&lt;TODAY(),"Vencida",IF(O163&lt;=TODAY()+Inicio!$B$19,"Próxima a vencer","Vigente"))))</f>
        <v/>
      </c>
      <c r="T163" s="43" t="n"/>
      <c r="U163" s="68">
        <f>IF($B163="","",YEAR($B163))</f>
        <v/>
      </c>
      <c r="V163" s="68">
        <f>IF($B163="","",MONTH($B163))</f>
        <v/>
      </c>
      <c r="W163" s="68">
        <f>IF($B163="","",DAY($B163))</f>
        <v/>
      </c>
      <c r="X163" s="68">
        <f>IF($B163="","",YEAR($B163)&amp;"-"&amp;TEXT(MONTH($B163),"00"))</f>
        <v/>
      </c>
      <c r="Y163" s="68">
        <f>IF(OR($H163="",$J163=""),"",$J163*IFERROR(VLOOKUP($H163,Maestro_SKU!$A$2:$P$500,12,FALSE),1))</f>
        <v/>
      </c>
    </row>
    <row r="164">
      <c r="A164" s="43" t="n"/>
      <c r="B164" s="54" t="n"/>
      <c r="C164" s="43" t="n"/>
      <c r="D164" s="43" t="n"/>
      <c r="E164" s="48">
        <f>IFERROR(VLOOKUP(D164,Clientes_PDV!$A$2:$J$250,2,FALSE),"")</f>
        <v/>
      </c>
      <c r="F164" s="48">
        <f>IFERROR(VLOOKUP(D164,Clientes_PDV!$A$2:$J$250,3,FALSE),"")</f>
        <v/>
      </c>
      <c r="G164" s="48">
        <f>IFERROR(VLOOKUP(D164,Clientes_PDV!$A$2:$J$250,4,FALSE),"")</f>
        <v/>
      </c>
      <c r="H164" s="43" t="n"/>
      <c r="I164" s="48">
        <f>IFERROR(VLOOKUP(H164,Maestro_SKU!$A$2:$P$500,2,FALSE),"")</f>
        <v/>
      </c>
      <c r="J164" s="55" t="n"/>
      <c r="K164" s="44" t="n"/>
      <c r="L164" s="51">
        <f>IF(OR(J164="",K164=""),"",J164*K164)</f>
        <v/>
      </c>
      <c r="M164" s="51">
        <f>IF(L164="","",L164*Inicio!$B$13)</f>
        <v/>
      </c>
      <c r="N164" s="51">
        <f>IF(L164="","",L164+M164)</f>
        <v/>
      </c>
      <c r="O164" s="54" t="n"/>
      <c r="P164" s="43" t="n"/>
      <c r="Q164" s="44" t="n"/>
      <c r="R164" s="51">
        <f>IF(N164="","",MAX(N164-Q164,0))</f>
        <v/>
      </c>
      <c r="S164" s="48">
        <f>IF(A164="","",IF(OR(P164="Pagada",R164=0),"Pagada",IF(O164&lt;TODAY(),"Vencida",IF(O164&lt;=TODAY()+Inicio!$B$19,"Próxima a vencer","Vigente"))))</f>
        <v/>
      </c>
      <c r="T164" s="43" t="n"/>
      <c r="U164" s="68">
        <f>IF($B164="","",YEAR($B164))</f>
        <v/>
      </c>
      <c r="V164" s="68">
        <f>IF($B164="","",MONTH($B164))</f>
        <v/>
      </c>
      <c r="W164" s="68">
        <f>IF($B164="","",DAY($B164))</f>
        <v/>
      </c>
      <c r="X164" s="68">
        <f>IF($B164="","",YEAR($B164)&amp;"-"&amp;TEXT(MONTH($B164),"00"))</f>
        <v/>
      </c>
      <c r="Y164" s="68">
        <f>IF(OR($H164="",$J164=""),"",$J164*IFERROR(VLOOKUP($H164,Maestro_SKU!$A$2:$P$500,12,FALSE),1))</f>
        <v/>
      </c>
    </row>
    <row r="165">
      <c r="A165" s="43" t="n"/>
      <c r="B165" s="54" t="n"/>
      <c r="C165" s="43" t="n"/>
      <c r="D165" s="43" t="n"/>
      <c r="E165" s="48">
        <f>IFERROR(VLOOKUP(D165,Clientes_PDV!$A$2:$J$250,2,FALSE),"")</f>
        <v/>
      </c>
      <c r="F165" s="48">
        <f>IFERROR(VLOOKUP(D165,Clientes_PDV!$A$2:$J$250,3,FALSE),"")</f>
        <v/>
      </c>
      <c r="G165" s="48">
        <f>IFERROR(VLOOKUP(D165,Clientes_PDV!$A$2:$J$250,4,FALSE),"")</f>
        <v/>
      </c>
      <c r="H165" s="43" t="n"/>
      <c r="I165" s="48">
        <f>IFERROR(VLOOKUP(H165,Maestro_SKU!$A$2:$P$500,2,FALSE),"")</f>
        <v/>
      </c>
      <c r="J165" s="55" t="n"/>
      <c r="K165" s="44" t="n"/>
      <c r="L165" s="51">
        <f>IF(OR(J165="",K165=""),"",J165*K165)</f>
        <v/>
      </c>
      <c r="M165" s="51">
        <f>IF(L165="","",L165*Inicio!$B$13)</f>
        <v/>
      </c>
      <c r="N165" s="51">
        <f>IF(L165="","",L165+M165)</f>
        <v/>
      </c>
      <c r="O165" s="54" t="n"/>
      <c r="P165" s="43" t="n"/>
      <c r="Q165" s="44" t="n"/>
      <c r="R165" s="51">
        <f>IF(N165="","",MAX(N165-Q165,0))</f>
        <v/>
      </c>
      <c r="S165" s="48">
        <f>IF(A165="","",IF(OR(P165="Pagada",R165=0),"Pagada",IF(O165&lt;TODAY(),"Vencida",IF(O165&lt;=TODAY()+Inicio!$B$19,"Próxima a vencer","Vigente"))))</f>
        <v/>
      </c>
      <c r="T165" s="43" t="n"/>
      <c r="U165" s="68">
        <f>IF($B165="","",YEAR($B165))</f>
        <v/>
      </c>
      <c r="V165" s="68">
        <f>IF($B165="","",MONTH($B165))</f>
        <v/>
      </c>
      <c r="W165" s="68">
        <f>IF($B165="","",DAY($B165))</f>
        <v/>
      </c>
      <c r="X165" s="68">
        <f>IF($B165="","",YEAR($B165)&amp;"-"&amp;TEXT(MONTH($B165),"00"))</f>
        <v/>
      </c>
      <c r="Y165" s="68">
        <f>IF(OR($H165="",$J165=""),"",$J165*IFERROR(VLOOKUP($H165,Maestro_SKU!$A$2:$P$500,12,FALSE),1))</f>
        <v/>
      </c>
    </row>
    <row r="166">
      <c r="A166" s="43" t="n"/>
      <c r="B166" s="54" t="n"/>
      <c r="C166" s="43" t="n"/>
      <c r="D166" s="43" t="n"/>
      <c r="E166" s="48">
        <f>IFERROR(VLOOKUP(D166,Clientes_PDV!$A$2:$J$250,2,FALSE),"")</f>
        <v/>
      </c>
      <c r="F166" s="48">
        <f>IFERROR(VLOOKUP(D166,Clientes_PDV!$A$2:$J$250,3,FALSE),"")</f>
        <v/>
      </c>
      <c r="G166" s="48">
        <f>IFERROR(VLOOKUP(D166,Clientes_PDV!$A$2:$J$250,4,FALSE),"")</f>
        <v/>
      </c>
      <c r="H166" s="43" t="n"/>
      <c r="I166" s="48">
        <f>IFERROR(VLOOKUP(H166,Maestro_SKU!$A$2:$P$500,2,FALSE),"")</f>
        <v/>
      </c>
      <c r="J166" s="55" t="n"/>
      <c r="K166" s="44" t="n"/>
      <c r="L166" s="51">
        <f>IF(OR(J166="",K166=""),"",J166*K166)</f>
        <v/>
      </c>
      <c r="M166" s="51">
        <f>IF(L166="","",L166*Inicio!$B$13)</f>
        <v/>
      </c>
      <c r="N166" s="51">
        <f>IF(L166="","",L166+M166)</f>
        <v/>
      </c>
      <c r="O166" s="54" t="n"/>
      <c r="P166" s="43" t="n"/>
      <c r="Q166" s="44" t="n"/>
      <c r="R166" s="51">
        <f>IF(N166="","",MAX(N166-Q166,0))</f>
        <v/>
      </c>
      <c r="S166" s="48">
        <f>IF(A166="","",IF(OR(P166="Pagada",R166=0),"Pagada",IF(O166&lt;TODAY(),"Vencida",IF(O166&lt;=TODAY()+Inicio!$B$19,"Próxima a vencer","Vigente"))))</f>
        <v/>
      </c>
      <c r="T166" s="43" t="n"/>
      <c r="U166" s="68">
        <f>IF($B166="","",YEAR($B166))</f>
        <v/>
      </c>
      <c r="V166" s="68">
        <f>IF($B166="","",MONTH($B166))</f>
        <v/>
      </c>
      <c r="W166" s="68">
        <f>IF($B166="","",DAY($B166))</f>
        <v/>
      </c>
      <c r="X166" s="68">
        <f>IF($B166="","",YEAR($B166)&amp;"-"&amp;TEXT(MONTH($B166),"00"))</f>
        <v/>
      </c>
      <c r="Y166" s="68">
        <f>IF(OR($H166="",$J166=""),"",$J166*IFERROR(VLOOKUP($H166,Maestro_SKU!$A$2:$P$500,12,FALSE),1))</f>
        <v/>
      </c>
    </row>
    <row r="167">
      <c r="A167" s="43" t="n"/>
      <c r="B167" s="54" t="n"/>
      <c r="C167" s="43" t="n"/>
      <c r="D167" s="43" t="n"/>
      <c r="E167" s="48">
        <f>IFERROR(VLOOKUP(D167,Clientes_PDV!$A$2:$J$250,2,FALSE),"")</f>
        <v/>
      </c>
      <c r="F167" s="48">
        <f>IFERROR(VLOOKUP(D167,Clientes_PDV!$A$2:$J$250,3,FALSE),"")</f>
        <v/>
      </c>
      <c r="G167" s="48">
        <f>IFERROR(VLOOKUP(D167,Clientes_PDV!$A$2:$J$250,4,FALSE),"")</f>
        <v/>
      </c>
      <c r="H167" s="43" t="n"/>
      <c r="I167" s="48">
        <f>IFERROR(VLOOKUP(H167,Maestro_SKU!$A$2:$P$500,2,FALSE),"")</f>
        <v/>
      </c>
      <c r="J167" s="55" t="n"/>
      <c r="K167" s="44" t="n"/>
      <c r="L167" s="51">
        <f>IF(OR(J167="",K167=""),"",J167*K167)</f>
        <v/>
      </c>
      <c r="M167" s="51">
        <f>IF(L167="","",L167*Inicio!$B$13)</f>
        <v/>
      </c>
      <c r="N167" s="51">
        <f>IF(L167="","",L167+M167)</f>
        <v/>
      </c>
      <c r="O167" s="54" t="n"/>
      <c r="P167" s="43" t="n"/>
      <c r="Q167" s="44" t="n"/>
      <c r="R167" s="51">
        <f>IF(N167="","",MAX(N167-Q167,0))</f>
        <v/>
      </c>
      <c r="S167" s="48">
        <f>IF(A167="","",IF(OR(P167="Pagada",R167=0),"Pagada",IF(O167&lt;TODAY(),"Vencida",IF(O167&lt;=TODAY()+Inicio!$B$19,"Próxima a vencer","Vigente"))))</f>
        <v/>
      </c>
      <c r="T167" s="43" t="n"/>
      <c r="U167" s="68">
        <f>IF($B167="","",YEAR($B167))</f>
        <v/>
      </c>
      <c r="V167" s="68">
        <f>IF($B167="","",MONTH($B167))</f>
        <v/>
      </c>
      <c r="W167" s="68">
        <f>IF($B167="","",DAY($B167))</f>
        <v/>
      </c>
      <c r="X167" s="68">
        <f>IF($B167="","",YEAR($B167)&amp;"-"&amp;TEXT(MONTH($B167),"00"))</f>
        <v/>
      </c>
      <c r="Y167" s="68">
        <f>IF(OR($H167="",$J167=""),"",$J167*IFERROR(VLOOKUP($H167,Maestro_SKU!$A$2:$P$500,12,FALSE),1))</f>
        <v/>
      </c>
    </row>
    <row r="168">
      <c r="A168" s="43" t="n"/>
      <c r="B168" s="54" t="n"/>
      <c r="C168" s="43" t="n"/>
      <c r="D168" s="43" t="n"/>
      <c r="E168" s="48">
        <f>IFERROR(VLOOKUP(D168,Clientes_PDV!$A$2:$J$250,2,FALSE),"")</f>
        <v/>
      </c>
      <c r="F168" s="48">
        <f>IFERROR(VLOOKUP(D168,Clientes_PDV!$A$2:$J$250,3,FALSE),"")</f>
        <v/>
      </c>
      <c r="G168" s="48">
        <f>IFERROR(VLOOKUP(D168,Clientes_PDV!$A$2:$J$250,4,FALSE),"")</f>
        <v/>
      </c>
      <c r="H168" s="43" t="n"/>
      <c r="I168" s="48">
        <f>IFERROR(VLOOKUP(H168,Maestro_SKU!$A$2:$P$500,2,FALSE),"")</f>
        <v/>
      </c>
      <c r="J168" s="55" t="n"/>
      <c r="K168" s="44" t="n"/>
      <c r="L168" s="51">
        <f>IF(OR(J168="",K168=""),"",J168*K168)</f>
        <v/>
      </c>
      <c r="M168" s="51">
        <f>IF(L168="","",L168*Inicio!$B$13)</f>
        <v/>
      </c>
      <c r="N168" s="51">
        <f>IF(L168="","",L168+M168)</f>
        <v/>
      </c>
      <c r="O168" s="54" t="n"/>
      <c r="P168" s="43" t="n"/>
      <c r="Q168" s="44" t="n"/>
      <c r="R168" s="51">
        <f>IF(N168="","",MAX(N168-Q168,0))</f>
        <v/>
      </c>
      <c r="S168" s="48">
        <f>IF(A168="","",IF(OR(P168="Pagada",R168=0),"Pagada",IF(O168&lt;TODAY(),"Vencida",IF(O168&lt;=TODAY()+Inicio!$B$19,"Próxima a vencer","Vigente"))))</f>
        <v/>
      </c>
      <c r="T168" s="43" t="n"/>
      <c r="U168" s="68">
        <f>IF($B168="","",YEAR($B168))</f>
        <v/>
      </c>
      <c r="V168" s="68">
        <f>IF($B168="","",MONTH($B168))</f>
        <v/>
      </c>
      <c r="W168" s="68">
        <f>IF($B168="","",DAY($B168))</f>
        <v/>
      </c>
      <c r="X168" s="68">
        <f>IF($B168="","",YEAR($B168)&amp;"-"&amp;TEXT(MONTH($B168),"00"))</f>
        <v/>
      </c>
      <c r="Y168" s="68">
        <f>IF(OR($H168="",$J168=""),"",$J168*IFERROR(VLOOKUP($H168,Maestro_SKU!$A$2:$P$500,12,FALSE),1))</f>
        <v/>
      </c>
    </row>
    <row r="169">
      <c r="A169" s="43" t="n"/>
      <c r="B169" s="54" t="n"/>
      <c r="C169" s="43" t="n"/>
      <c r="D169" s="43" t="n"/>
      <c r="E169" s="48">
        <f>IFERROR(VLOOKUP(D169,Clientes_PDV!$A$2:$J$250,2,FALSE),"")</f>
        <v/>
      </c>
      <c r="F169" s="48">
        <f>IFERROR(VLOOKUP(D169,Clientes_PDV!$A$2:$J$250,3,FALSE),"")</f>
        <v/>
      </c>
      <c r="G169" s="48">
        <f>IFERROR(VLOOKUP(D169,Clientes_PDV!$A$2:$J$250,4,FALSE),"")</f>
        <v/>
      </c>
      <c r="H169" s="43" t="n"/>
      <c r="I169" s="48">
        <f>IFERROR(VLOOKUP(H169,Maestro_SKU!$A$2:$P$500,2,FALSE),"")</f>
        <v/>
      </c>
      <c r="J169" s="55" t="n"/>
      <c r="K169" s="44" t="n"/>
      <c r="L169" s="51">
        <f>IF(OR(J169="",K169=""),"",J169*K169)</f>
        <v/>
      </c>
      <c r="M169" s="51">
        <f>IF(L169="","",L169*Inicio!$B$13)</f>
        <v/>
      </c>
      <c r="N169" s="51">
        <f>IF(L169="","",L169+M169)</f>
        <v/>
      </c>
      <c r="O169" s="54" t="n"/>
      <c r="P169" s="43" t="n"/>
      <c r="Q169" s="44" t="n"/>
      <c r="R169" s="51">
        <f>IF(N169="","",MAX(N169-Q169,0))</f>
        <v/>
      </c>
      <c r="S169" s="48">
        <f>IF(A169="","",IF(OR(P169="Pagada",R169=0),"Pagada",IF(O169&lt;TODAY(),"Vencida",IF(O169&lt;=TODAY()+Inicio!$B$19,"Próxima a vencer","Vigente"))))</f>
        <v/>
      </c>
      <c r="T169" s="43" t="n"/>
      <c r="U169" s="68">
        <f>IF($B169="","",YEAR($B169))</f>
        <v/>
      </c>
      <c r="V169" s="68">
        <f>IF($B169="","",MONTH($B169))</f>
        <v/>
      </c>
      <c r="W169" s="68">
        <f>IF($B169="","",DAY($B169))</f>
        <v/>
      </c>
      <c r="X169" s="68">
        <f>IF($B169="","",YEAR($B169)&amp;"-"&amp;TEXT(MONTH($B169),"00"))</f>
        <v/>
      </c>
      <c r="Y169" s="68">
        <f>IF(OR($H169="",$J169=""),"",$J169*IFERROR(VLOOKUP($H169,Maestro_SKU!$A$2:$P$500,12,FALSE),1))</f>
        <v/>
      </c>
    </row>
    <row r="170">
      <c r="A170" s="43" t="n"/>
      <c r="B170" s="54" t="n"/>
      <c r="C170" s="43" t="n"/>
      <c r="D170" s="43" t="n"/>
      <c r="E170" s="48">
        <f>IFERROR(VLOOKUP(D170,Clientes_PDV!$A$2:$J$250,2,FALSE),"")</f>
        <v/>
      </c>
      <c r="F170" s="48">
        <f>IFERROR(VLOOKUP(D170,Clientes_PDV!$A$2:$J$250,3,FALSE),"")</f>
        <v/>
      </c>
      <c r="G170" s="48">
        <f>IFERROR(VLOOKUP(D170,Clientes_PDV!$A$2:$J$250,4,FALSE),"")</f>
        <v/>
      </c>
      <c r="H170" s="43" t="n"/>
      <c r="I170" s="48">
        <f>IFERROR(VLOOKUP(H170,Maestro_SKU!$A$2:$P$500,2,FALSE),"")</f>
        <v/>
      </c>
      <c r="J170" s="55" t="n"/>
      <c r="K170" s="44" t="n"/>
      <c r="L170" s="51">
        <f>IF(OR(J170="",K170=""),"",J170*K170)</f>
        <v/>
      </c>
      <c r="M170" s="51">
        <f>IF(L170="","",L170*Inicio!$B$13)</f>
        <v/>
      </c>
      <c r="N170" s="51">
        <f>IF(L170="","",L170+M170)</f>
        <v/>
      </c>
      <c r="O170" s="54" t="n"/>
      <c r="P170" s="43" t="n"/>
      <c r="Q170" s="44" t="n"/>
      <c r="R170" s="51">
        <f>IF(N170="","",MAX(N170-Q170,0))</f>
        <v/>
      </c>
      <c r="S170" s="48">
        <f>IF(A170="","",IF(OR(P170="Pagada",R170=0),"Pagada",IF(O170&lt;TODAY(),"Vencida",IF(O170&lt;=TODAY()+Inicio!$B$19,"Próxima a vencer","Vigente"))))</f>
        <v/>
      </c>
      <c r="T170" s="43" t="n"/>
      <c r="U170" s="68">
        <f>IF($B170="","",YEAR($B170))</f>
        <v/>
      </c>
      <c r="V170" s="68">
        <f>IF($B170="","",MONTH($B170))</f>
        <v/>
      </c>
      <c r="W170" s="68">
        <f>IF($B170="","",DAY($B170))</f>
        <v/>
      </c>
      <c r="X170" s="68">
        <f>IF($B170="","",YEAR($B170)&amp;"-"&amp;TEXT(MONTH($B170),"00"))</f>
        <v/>
      </c>
      <c r="Y170" s="68">
        <f>IF(OR($H170="",$J170=""),"",$J170*IFERROR(VLOOKUP($H170,Maestro_SKU!$A$2:$P$500,12,FALSE),1))</f>
        <v/>
      </c>
    </row>
    <row r="171">
      <c r="A171" s="43" t="n"/>
      <c r="B171" s="54" t="n"/>
      <c r="C171" s="43" t="n"/>
      <c r="D171" s="43" t="n"/>
      <c r="E171" s="48">
        <f>IFERROR(VLOOKUP(D171,Clientes_PDV!$A$2:$J$250,2,FALSE),"")</f>
        <v/>
      </c>
      <c r="F171" s="48">
        <f>IFERROR(VLOOKUP(D171,Clientes_PDV!$A$2:$J$250,3,FALSE),"")</f>
        <v/>
      </c>
      <c r="G171" s="48">
        <f>IFERROR(VLOOKUP(D171,Clientes_PDV!$A$2:$J$250,4,FALSE),"")</f>
        <v/>
      </c>
      <c r="H171" s="43" t="n"/>
      <c r="I171" s="48">
        <f>IFERROR(VLOOKUP(H171,Maestro_SKU!$A$2:$P$500,2,FALSE),"")</f>
        <v/>
      </c>
      <c r="J171" s="55" t="n"/>
      <c r="K171" s="44" t="n"/>
      <c r="L171" s="51">
        <f>IF(OR(J171="",K171=""),"",J171*K171)</f>
        <v/>
      </c>
      <c r="M171" s="51">
        <f>IF(L171="","",L171*Inicio!$B$13)</f>
        <v/>
      </c>
      <c r="N171" s="51">
        <f>IF(L171="","",L171+M171)</f>
        <v/>
      </c>
      <c r="O171" s="54" t="n"/>
      <c r="P171" s="43" t="n"/>
      <c r="Q171" s="44" t="n"/>
      <c r="R171" s="51">
        <f>IF(N171="","",MAX(N171-Q171,0))</f>
        <v/>
      </c>
      <c r="S171" s="48">
        <f>IF(A171="","",IF(OR(P171="Pagada",R171=0),"Pagada",IF(O171&lt;TODAY(),"Vencida",IF(O171&lt;=TODAY()+Inicio!$B$19,"Próxima a vencer","Vigente"))))</f>
        <v/>
      </c>
      <c r="T171" s="43" t="n"/>
      <c r="U171" s="68">
        <f>IF($B171="","",YEAR($B171))</f>
        <v/>
      </c>
      <c r="V171" s="68">
        <f>IF($B171="","",MONTH($B171))</f>
        <v/>
      </c>
      <c r="W171" s="68">
        <f>IF($B171="","",DAY($B171))</f>
        <v/>
      </c>
      <c r="X171" s="68">
        <f>IF($B171="","",YEAR($B171)&amp;"-"&amp;TEXT(MONTH($B171),"00"))</f>
        <v/>
      </c>
      <c r="Y171" s="68">
        <f>IF(OR($H171="",$J171=""),"",$J171*IFERROR(VLOOKUP($H171,Maestro_SKU!$A$2:$P$500,12,FALSE),1))</f>
        <v/>
      </c>
    </row>
    <row r="172">
      <c r="A172" s="43" t="n"/>
      <c r="B172" s="54" t="n"/>
      <c r="C172" s="43" t="n"/>
      <c r="D172" s="43" t="n"/>
      <c r="E172" s="48">
        <f>IFERROR(VLOOKUP(D172,Clientes_PDV!$A$2:$J$250,2,FALSE),"")</f>
        <v/>
      </c>
      <c r="F172" s="48">
        <f>IFERROR(VLOOKUP(D172,Clientes_PDV!$A$2:$J$250,3,FALSE),"")</f>
        <v/>
      </c>
      <c r="G172" s="48">
        <f>IFERROR(VLOOKUP(D172,Clientes_PDV!$A$2:$J$250,4,FALSE),"")</f>
        <v/>
      </c>
      <c r="H172" s="43" t="n"/>
      <c r="I172" s="48">
        <f>IFERROR(VLOOKUP(H172,Maestro_SKU!$A$2:$P$500,2,FALSE),"")</f>
        <v/>
      </c>
      <c r="J172" s="55" t="n"/>
      <c r="K172" s="44" t="n"/>
      <c r="L172" s="51">
        <f>IF(OR(J172="",K172=""),"",J172*K172)</f>
        <v/>
      </c>
      <c r="M172" s="51">
        <f>IF(L172="","",L172*Inicio!$B$13)</f>
        <v/>
      </c>
      <c r="N172" s="51">
        <f>IF(L172="","",L172+M172)</f>
        <v/>
      </c>
      <c r="O172" s="54" t="n"/>
      <c r="P172" s="43" t="n"/>
      <c r="Q172" s="44" t="n"/>
      <c r="R172" s="51">
        <f>IF(N172="","",MAX(N172-Q172,0))</f>
        <v/>
      </c>
      <c r="S172" s="48">
        <f>IF(A172="","",IF(OR(P172="Pagada",R172=0),"Pagada",IF(O172&lt;TODAY(),"Vencida",IF(O172&lt;=TODAY()+Inicio!$B$19,"Próxima a vencer","Vigente"))))</f>
        <v/>
      </c>
      <c r="T172" s="43" t="n"/>
      <c r="U172" s="68">
        <f>IF($B172="","",YEAR($B172))</f>
        <v/>
      </c>
      <c r="V172" s="68">
        <f>IF($B172="","",MONTH($B172))</f>
        <v/>
      </c>
      <c r="W172" s="68">
        <f>IF($B172="","",DAY($B172))</f>
        <v/>
      </c>
      <c r="X172" s="68">
        <f>IF($B172="","",YEAR($B172)&amp;"-"&amp;TEXT(MONTH($B172),"00"))</f>
        <v/>
      </c>
      <c r="Y172" s="68">
        <f>IF(OR($H172="",$J172=""),"",$J172*IFERROR(VLOOKUP($H172,Maestro_SKU!$A$2:$P$500,12,FALSE),1))</f>
        <v/>
      </c>
    </row>
    <row r="173">
      <c r="A173" s="43" t="n"/>
      <c r="B173" s="54" t="n"/>
      <c r="C173" s="43" t="n"/>
      <c r="D173" s="43" t="n"/>
      <c r="E173" s="48">
        <f>IFERROR(VLOOKUP(D173,Clientes_PDV!$A$2:$J$250,2,FALSE),"")</f>
        <v/>
      </c>
      <c r="F173" s="48">
        <f>IFERROR(VLOOKUP(D173,Clientes_PDV!$A$2:$J$250,3,FALSE),"")</f>
        <v/>
      </c>
      <c r="G173" s="48">
        <f>IFERROR(VLOOKUP(D173,Clientes_PDV!$A$2:$J$250,4,FALSE),"")</f>
        <v/>
      </c>
      <c r="H173" s="43" t="n"/>
      <c r="I173" s="48">
        <f>IFERROR(VLOOKUP(H173,Maestro_SKU!$A$2:$P$500,2,FALSE),"")</f>
        <v/>
      </c>
      <c r="J173" s="55" t="n"/>
      <c r="K173" s="44" t="n"/>
      <c r="L173" s="51">
        <f>IF(OR(J173="",K173=""),"",J173*K173)</f>
        <v/>
      </c>
      <c r="M173" s="51">
        <f>IF(L173="","",L173*Inicio!$B$13)</f>
        <v/>
      </c>
      <c r="N173" s="51">
        <f>IF(L173="","",L173+M173)</f>
        <v/>
      </c>
      <c r="O173" s="54" t="n"/>
      <c r="P173" s="43" t="n"/>
      <c r="Q173" s="44" t="n"/>
      <c r="R173" s="51">
        <f>IF(N173="","",MAX(N173-Q173,0))</f>
        <v/>
      </c>
      <c r="S173" s="48">
        <f>IF(A173="","",IF(OR(P173="Pagada",R173=0),"Pagada",IF(O173&lt;TODAY(),"Vencida",IF(O173&lt;=TODAY()+Inicio!$B$19,"Próxima a vencer","Vigente"))))</f>
        <v/>
      </c>
      <c r="T173" s="43" t="n"/>
      <c r="U173" s="68">
        <f>IF($B173="","",YEAR($B173))</f>
        <v/>
      </c>
      <c r="V173" s="68">
        <f>IF($B173="","",MONTH($B173))</f>
        <v/>
      </c>
      <c r="W173" s="68">
        <f>IF($B173="","",DAY($B173))</f>
        <v/>
      </c>
      <c r="X173" s="68">
        <f>IF($B173="","",YEAR($B173)&amp;"-"&amp;TEXT(MONTH($B173),"00"))</f>
        <v/>
      </c>
      <c r="Y173" s="68">
        <f>IF(OR($H173="",$J173=""),"",$J173*IFERROR(VLOOKUP($H173,Maestro_SKU!$A$2:$P$500,12,FALSE),1))</f>
        <v/>
      </c>
    </row>
    <row r="174">
      <c r="A174" s="43" t="n"/>
      <c r="B174" s="54" t="n"/>
      <c r="C174" s="43" t="n"/>
      <c r="D174" s="43" t="n"/>
      <c r="E174" s="48">
        <f>IFERROR(VLOOKUP(D174,Clientes_PDV!$A$2:$J$250,2,FALSE),"")</f>
        <v/>
      </c>
      <c r="F174" s="48">
        <f>IFERROR(VLOOKUP(D174,Clientes_PDV!$A$2:$J$250,3,FALSE),"")</f>
        <v/>
      </c>
      <c r="G174" s="48">
        <f>IFERROR(VLOOKUP(D174,Clientes_PDV!$A$2:$J$250,4,FALSE),"")</f>
        <v/>
      </c>
      <c r="H174" s="43" t="n"/>
      <c r="I174" s="48">
        <f>IFERROR(VLOOKUP(H174,Maestro_SKU!$A$2:$P$500,2,FALSE),"")</f>
        <v/>
      </c>
      <c r="J174" s="55" t="n"/>
      <c r="K174" s="44" t="n"/>
      <c r="L174" s="51">
        <f>IF(OR(J174="",K174=""),"",J174*K174)</f>
        <v/>
      </c>
      <c r="M174" s="51">
        <f>IF(L174="","",L174*Inicio!$B$13)</f>
        <v/>
      </c>
      <c r="N174" s="51">
        <f>IF(L174="","",L174+M174)</f>
        <v/>
      </c>
      <c r="O174" s="54" t="n"/>
      <c r="P174" s="43" t="n"/>
      <c r="Q174" s="44" t="n"/>
      <c r="R174" s="51">
        <f>IF(N174="","",MAX(N174-Q174,0))</f>
        <v/>
      </c>
      <c r="S174" s="48">
        <f>IF(A174="","",IF(OR(P174="Pagada",R174=0),"Pagada",IF(O174&lt;TODAY(),"Vencida",IF(O174&lt;=TODAY()+Inicio!$B$19,"Próxima a vencer","Vigente"))))</f>
        <v/>
      </c>
      <c r="T174" s="43" t="n"/>
      <c r="U174" s="68">
        <f>IF($B174="","",YEAR($B174))</f>
        <v/>
      </c>
      <c r="V174" s="68">
        <f>IF($B174="","",MONTH($B174))</f>
        <v/>
      </c>
      <c r="W174" s="68">
        <f>IF($B174="","",DAY($B174))</f>
        <v/>
      </c>
      <c r="X174" s="68">
        <f>IF($B174="","",YEAR($B174)&amp;"-"&amp;TEXT(MONTH($B174),"00"))</f>
        <v/>
      </c>
      <c r="Y174" s="68">
        <f>IF(OR($H174="",$J174=""),"",$J174*IFERROR(VLOOKUP($H174,Maestro_SKU!$A$2:$P$500,12,FALSE),1))</f>
        <v/>
      </c>
    </row>
    <row r="175">
      <c r="A175" s="43" t="n"/>
      <c r="B175" s="54" t="n"/>
      <c r="C175" s="43" t="n"/>
      <c r="D175" s="43" t="n"/>
      <c r="E175" s="48">
        <f>IFERROR(VLOOKUP(D175,Clientes_PDV!$A$2:$J$250,2,FALSE),"")</f>
        <v/>
      </c>
      <c r="F175" s="48">
        <f>IFERROR(VLOOKUP(D175,Clientes_PDV!$A$2:$J$250,3,FALSE),"")</f>
        <v/>
      </c>
      <c r="G175" s="48">
        <f>IFERROR(VLOOKUP(D175,Clientes_PDV!$A$2:$J$250,4,FALSE),"")</f>
        <v/>
      </c>
      <c r="H175" s="43" t="n"/>
      <c r="I175" s="48">
        <f>IFERROR(VLOOKUP(H175,Maestro_SKU!$A$2:$P$500,2,FALSE),"")</f>
        <v/>
      </c>
      <c r="J175" s="55" t="n"/>
      <c r="K175" s="44" t="n"/>
      <c r="L175" s="51">
        <f>IF(OR(J175="",K175=""),"",J175*K175)</f>
        <v/>
      </c>
      <c r="M175" s="51">
        <f>IF(L175="","",L175*Inicio!$B$13)</f>
        <v/>
      </c>
      <c r="N175" s="51">
        <f>IF(L175="","",L175+M175)</f>
        <v/>
      </c>
      <c r="O175" s="54" t="n"/>
      <c r="P175" s="43" t="n"/>
      <c r="Q175" s="44" t="n"/>
      <c r="R175" s="51">
        <f>IF(N175="","",MAX(N175-Q175,0))</f>
        <v/>
      </c>
      <c r="S175" s="48">
        <f>IF(A175="","",IF(OR(P175="Pagada",R175=0),"Pagada",IF(O175&lt;TODAY(),"Vencida",IF(O175&lt;=TODAY()+Inicio!$B$19,"Próxima a vencer","Vigente"))))</f>
        <v/>
      </c>
      <c r="T175" s="43" t="n"/>
      <c r="U175" s="68">
        <f>IF($B175="","",YEAR($B175))</f>
        <v/>
      </c>
      <c r="V175" s="68">
        <f>IF($B175="","",MONTH($B175))</f>
        <v/>
      </c>
      <c r="W175" s="68">
        <f>IF($B175="","",DAY($B175))</f>
        <v/>
      </c>
      <c r="X175" s="68">
        <f>IF($B175="","",YEAR($B175)&amp;"-"&amp;TEXT(MONTH($B175),"00"))</f>
        <v/>
      </c>
      <c r="Y175" s="68">
        <f>IF(OR($H175="",$J175=""),"",$J175*IFERROR(VLOOKUP($H175,Maestro_SKU!$A$2:$P$500,12,FALSE),1))</f>
        <v/>
      </c>
    </row>
    <row r="176">
      <c r="A176" s="43" t="n"/>
      <c r="B176" s="54" t="n"/>
      <c r="C176" s="43" t="n"/>
      <c r="D176" s="43" t="n"/>
      <c r="E176" s="48">
        <f>IFERROR(VLOOKUP(D176,Clientes_PDV!$A$2:$J$250,2,FALSE),"")</f>
        <v/>
      </c>
      <c r="F176" s="48">
        <f>IFERROR(VLOOKUP(D176,Clientes_PDV!$A$2:$J$250,3,FALSE),"")</f>
        <v/>
      </c>
      <c r="G176" s="48">
        <f>IFERROR(VLOOKUP(D176,Clientes_PDV!$A$2:$J$250,4,FALSE),"")</f>
        <v/>
      </c>
      <c r="H176" s="43" t="n"/>
      <c r="I176" s="48">
        <f>IFERROR(VLOOKUP(H176,Maestro_SKU!$A$2:$P$500,2,FALSE),"")</f>
        <v/>
      </c>
      <c r="J176" s="55" t="n"/>
      <c r="K176" s="44" t="n"/>
      <c r="L176" s="51">
        <f>IF(OR(J176="",K176=""),"",J176*K176)</f>
        <v/>
      </c>
      <c r="M176" s="51">
        <f>IF(L176="","",L176*Inicio!$B$13)</f>
        <v/>
      </c>
      <c r="N176" s="51">
        <f>IF(L176="","",L176+M176)</f>
        <v/>
      </c>
      <c r="O176" s="54" t="n"/>
      <c r="P176" s="43" t="n"/>
      <c r="Q176" s="44" t="n"/>
      <c r="R176" s="51">
        <f>IF(N176="","",MAX(N176-Q176,0))</f>
        <v/>
      </c>
      <c r="S176" s="48">
        <f>IF(A176="","",IF(OR(P176="Pagada",R176=0),"Pagada",IF(O176&lt;TODAY(),"Vencida",IF(O176&lt;=TODAY()+Inicio!$B$19,"Próxima a vencer","Vigente"))))</f>
        <v/>
      </c>
      <c r="T176" s="43" t="n"/>
      <c r="U176" s="68">
        <f>IF($B176="","",YEAR($B176))</f>
        <v/>
      </c>
      <c r="V176" s="68">
        <f>IF($B176="","",MONTH($B176))</f>
        <v/>
      </c>
      <c r="W176" s="68">
        <f>IF($B176="","",DAY($B176))</f>
        <v/>
      </c>
      <c r="X176" s="68">
        <f>IF($B176="","",YEAR($B176)&amp;"-"&amp;TEXT(MONTH($B176),"00"))</f>
        <v/>
      </c>
      <c r="Y176" s="68">
        <f>IF(OR($H176="",$J176=""),"",$J176*IFERROR(VLOOKUP($H176,Maestro_SKU!$A$2:$P$500,12,FALSE),1))</f>
        <v/>
      </c>
    </row>
    <row r="177">
      <c r="A177" s="43" t="n"/>
      <c r="B177" s="54" t="n"/>
      <c r="C177" s="43" t="n"/>
      <c r="D177" s="43" t="n"/>
      <c r="E177" s="48">
        <f>IFERROR(VLOOKUP(D177,Clientes_PDV!$A$2:$J$250,2,FALSE),"")</f>
        <v/>
      </c>
      <c r="F177" s="48">
        <f>IFERROR(VLOOKUP(D177,Clientes_PDV!$A$2:$J$250,3,FALSE),"")</f>
        <v/>
      </c>
      <c r="G177" s="48">
        <f>IFERROR(VLOOKUP(D177,Clientes_PDV!$A$2:$J$250,4,FALSE),"")</f>
        <v/>
      </c>
      <c r="H177" s="43" t="n"/>
      <c r="I177" s="48">
        <f>IFERROR(VLOOKUP(H177,Maestro_SKU!$A$2:$P$500,2,FALSE),"")</f>
        <v/>
      </c>
      <c r="J177" s="55" t="n"/>
      <c r="K177" s="44" t="n"/>
      <c r="L177" s="51">
        <f>IF(OR(J177="",K177=""),"",J177*K177)</f>
        <v/>
      </c>
      <c r="M177" s="51">
        <f>IF(L177="","",L177*Inicio!$B$13)</f>
        <v/>
      </c>
      <c r="N177" s="51">
        <f>IF(L177="","",L177+M177)</f>
        <v/>
      </c>
      <c r="O177" s="54" t="n"/>
      <c r="P177" s="43" t="n"/>
      <c r="Q177" s="44" t="n"/>
      <c r="R177" s="51">
        <f>IF(N177="","",MAX(N177-Q177,0))</f>
        <v/>
      </c>
      <c r="S177" s="48">
        <f>IF(A177="","",IF(OR(P177="Pagada",R177=0),"Pagada",IF(O177&lt;TODAY(),"Vencida",IF(O177&lt;=TODAY()+Inicio!$B$19,"Próxima a vencer","Vigente"))))</f>
        <v/>
      </c>
      <c r="T177" s="43" t="n"/>
      <c r="U177" s="68">
        <f>IF($B177="","",YEAR($B177))</f>
        <v/>
      </c>
      <c r="V177" s="68">
        <f>IF($B177="","",MONTH($B177))</f>
        <v/>
      </c>
      <c r="W177" s="68">
        <f>IF($B177="","",DAY($B177))</f>
        <v/>
      </c>
      <c r="X177" s="68">
        <f>IF($B177="","",YEAR($B177)&amp;"-"&amp;TEXT(MONTH($B177),"00"))</f>
        <v/>
      </c>
      <c r="Y177" s="68">
        <f>IF(OR($H177="",$J177=""),"",$J177*IFERROR(VLOOKUP($H177,Maestro_SKU!$A$2:$P$500,12,FALSE),1))</f>
        <v/>
      </c>
    </row>
    <row r="178">
      <c r="A178" s="43" t="n"/>
      <c r="B178" s="54" t="n"/>
      <c r="C178" s="43" t="n"/>
      <c r="D178" s="43" t="n"/>
      <c r="E178" s="48">
        <f>IFERROR(VLOOKUP(D178,Clientes_PDV!$A$2:$J$250,2,FALSE),"")</f>
        <v/>
      </c>
      <c r="F178" s="48">
        <f>IFERROR(VLOOKUP(D178,Clientes_PDV!$A$2:$J$250,3,FALSE),"")</f>
        <v/>
      </c>
      <c r="G178" s="48">
        <f>IFERROR(VLOOKUP(D178,Clientes_PDV!$A$2:$J$250,4,FALSE),"")</f>
        <v/>
      </c>
      <c r="H178" s="43" t="n"/>
      <c r="I178" s="48">
        <f>IFERROR(VLOOKUP(H178,Maestro_SKU!$A$2:$P$500,2,FALSE),"")</f>
        <v/>
      </c>
      <c r="J178" s="55" t="n"/>
      <c r="K178" s="44" t="n"/>
      <c r="L178" s="51">
        <f>IF(OR(J178="",K178=""),"",J178*K178)</f>
        <v/>
      </c>
      <c r="M178" s="51">
        <f>IF(L178="","",L178*Inicio!$B$13)</f>
        <v/>
      </c>
      <c r="N178" s="51">
        <f>IF(L178="","",L178+M178)</f>
        <v/>
      </c>
      <c r="O178" s="54" t="n"/>
      <c r="P178" s="43" t="n"/>
      <c r="Q178" s="44" t="n"/>
      <c r="R178" s="51">
        <f>IF(N178="","",MAX(N178-Q178,0))</f>
        <v/>
      </c>
      <c r="S178" s="48">
        <f>IF(A178="","",IF(OR(P178="Pagada",R178=0),"Pagada",IF(O178&lt;TODAY(),"Vencida",IF(O178&lt;=TODAY()+Inicio!$B$19,"Próxima a vencer","Vigente"))))</f>
        <v/>
      </c>
      <c r="T178" s="43" t="n"/>
      <c r="U178" s="68">
        <f>IF($B178="","",YEAR($B178))</f>
        <v/>
      </c>
      <c r="V178" s="68">
        <f>IF($B178="","",MONTH($B178))</f>
        <v/>
      </c>
      <c r="W178" s="68">
        <f>IF($B178="","",DAY($B178))</f>
        <v/>
      </c>
      <c r="X178" s="68">
        <f>IF($B178="","",YEAR($B178)&amp;"-"&amp;TEXT(MONTH($B178),"00"))</f>
        <v/>
      </c>
      <c r="Y178" s="68">
        <f>IF(OR($H178="",$J178=""),"",$J178*IFERROR(VLOOKUP($H178,Maestro_SKU!$A$2:$P$500,12,FALSE),1))</f>
        <v/>
      </c>
    </row>
    <row r="179">
      <c r="A179" s="43" t="n"/>
      <c r="B179" s="54" t="n"/>
      <c r="C179" s="43" t="n"/>
      <c r="D179" s="43" t="n"/>
      <c r="E179" s="48">
        <f>IFERROR(VLOOKUP(D179,Clientes_PDV!$A$2:$J$250,2,FALSE),"")</f>
        <v/>
      </c>
      <c r="F179" s="48">
        <f>IFERROR(VLOOKUP(D179,Clientes_PDV!$A$2:$J$250,3,FALSE),"")</f>
        <v/>
      </c>
      <c r="G179" s="48">
        <f>IFERROR(VLOOKUP(D179,Clientes_PDV!$A$2:$J$250,4,FALSE),"")</f>
        <v/>
      </c>
      <c r="H179" s="43" t="n"/>
      <c r="I179" s="48">
        <f>IFERROR(VLOOKUP(H179,Maestro_SKU!$A$2:$P$500,2,FALSE),"")</f>
        <v/>
      </c>
      <c r="J179" s="55" t="n"/>
      <c r="K179" s="44" t="n"/>
      <c r="L179" s="51">
        <f>IF(OR(J179="",K179=""),"",J179*K179)</f>
        <v/>
      </c>
      <c r="M179" s="51">
        <f>IF(L179="","",L179*Inicio!$B$13)</f>
        <v/>
      </c>
      <c r="N179" s="51">
        <f>IF(L179="","",L179+M179)</f>
        <v/>
      </c>
      <c r="O179" s="54" t="n"/>
      <c r="P179" s="43" t="n"/>
      <c r="Q179" s="44" t="n"/>
      <c r="R179" s="51">
        <f>IF(N179="","",MAX(N179-Q179,0))</f>
        <v/>
      </c>
      <c r="S179" s="48">
        <f>IF(A179="","",IF(OR(P179="Pagada",R179=0),"Pagada",IF(O179&lt;TODAY(),"Vencida",IF(O179&lt;=TODAY()+Inicio!$B$19,"Próxima a vencer","Vigente"))))</f>
        <v/>
      </c>
      <c r="T179" s="43" t="n"/>
      <c r="U179" s="68">
        <f>IF($B179="","",YEAR($B179))</f>
        <v/>
      </c>
      <c r="V179" s="68">
        <f>IF($B179="","",MONTH($B179))</f>
        <v/>
      </c>
      <c r="W179" s="68">
        <f>IF($B179="","",DAY($B179))</f>
        <v/>
      </c>
      <c r="X179" s="68">
        <f>IF($B179="","",YEAR($B179)&amp;"-"&amp;TEXT(MONTH($B179),"00"))</f>
        <v/>
      </c>
      <c r="Y179" s="68">
        <f>IF(OR($H179="",$J179=""),"",$J179*IFERROR(VLOOKUP($H179,Maestro_SKU!$A$2:$P$500,12,FALSE),1))</f>
        <v/>
      </c>
    </row>
    <row r="180">
      <c r="A180" s="43" t="n"/>
      <c r="B180" s="54" t="n"/>
      <c r="C180" s="43" t="n"/>
      <c r="D180" s="43" t="n"/>
      <c r="E180" s="48">
        <f>IFERROR(VLOOKUP(D180,Clientes_PDV!$A$2:$J$250,2,FALSE),"")</f>
        <v/>
      </c>
      <c r="F180" s="48">
        <f>IFERROR(VLOOKUP(D180,Clientes_PDV!$A$2:$J$250,3,FALSE),"")</f>
        <v/>
      </c>
      <c r="G180" s="48">
        <f>IFERROR(VLOOKUP(D180,Clientes_PDV!$A$2:$J$250,4,FALSE),"")</f>
        <v/>
      </c>
      <c r="H180" s="43" t="n"/>
      <c r="I180" s="48">
        <f>IFERROR(VLOOKUP(H180,Maestro_SKU!$A$2:$P$500,2,FALSE),"")</f>
        <v/>
      </c>
      <c r="J180" s="55" t="n"/>
      <c r="K180" s="44" t="n"/>
      <c r="L180" s="51">
        <f>IF(OR(J180="",K180=""),"",J180*K180)</f>
        <v/>
      </c>
      <c r="M180" s="51">
        <f>IF(L180="","",L180*Inicio!$B$13)</f>
        <v/>
      </c>
      <c r="N180" s="51">
        <f>IF(L180="","",L180+M180)</f>
        <v/>
      </c>
      <c r="O180" s="54" t="n"/>
      <c r="P180" s="43" t="n"/>
      <c r="Q180" s="44" t="n"/>
      <c r="R180" s="51">
        <f>IF(N180="","",MAX(N180-Q180,0))</f>
        <v/>
      </c>
      <c r="S180" s="48">
        <f>IF(A180="","",IF(OR(P180="Pagada",R180=0),"Pagada",IF(O180&lt;TODAY(),"Vencida",IF(O180&lt;=TODAY()+Inicio!$B$19,"Próxima a vencer","Vigente"))))</f>
        <v/>
      </c>
      <c r="T180" s="43" t="n"/>
      <c r="U180" s="68">
        <f>IF($B180="","",YEAR($B180))</f>
        <v/>
      </c>
      <c r="V180" s="68">
        <f>IF($B180="","",MONTH($B180))</f>
        <v/>
      </c>
      <c r="W180" s="68">
        <f>IF($B180="","",DAY($B180))</f>
        <v/>
      </c>
      <c r="X180" s="68">
        <f>IF($B180="","",YEAR($B180)&amp;"-"&amp;TEXT(MONTH($B180),"00"))</f>
        <v/>
      </c>
      <c r="Y180" s="68">
        <f>IF(OR($H180="",$J180=""),"",$J180*IFERROR(VLOOKUP($H180,Maestro_SKU!$A$2:$P$500,12,FALSE),1))</f>
        <v/>
      </c>
    </row>
    <row r="181">
      <c r="A181" s="43" t="n"/>
      <c r="B181" s="54" t="n"/>
      <c r="C181" s="43" t="n"/>
      <c r="D181" s="43" t="n"/>
      <c r="E181" s="48">
        <f>IFERROR(VLOOKUP(D181,Clientes_PDV!$A$2:$J$250,2,FALSE),"")</f>
        <v/>
      </c>
      <c r="F181" s="48">
        <f>IFERROR(VLOOKUP(D181,Clientes_PDV!$A$2:$J$250,3,FALSE),"")</f>
        <v/>
      </c>
      <c r="G181" s="48">
        <f>IFERROR(VLOOKUP(D181,Clientes_PDV!$A$2:$J$250,4,FALSE),"")</f>
        <v/>
      </c>
      <c r="H181" s="43" t="n"/>
      <c r="I181" s="48">
        <f>IFERROR(VLOOKUP(H181,Maestro_SKU!$A$2:$P$500,2,FALSE),"")</f>
        <v/>
      </c>
      <c r="J181" s="55" t="n"/>
      <c r="K181" s="44" t="n"/>
      <c r="L181" s="51">
        <f>IF(OR(J181="",K181=""),"",J181*K181)</f>
        <v/>
      </c>
      <c r="M181" s="51">
        <f>IF(L181="","",L181*Inicio!$B$13)</f>
        <v/>
      </c>
      <c r="N181" s="51">
        <f>IF(L181="","",L181+M181)</f>
        <v/>
      </c>
      <c r="O181" s="54" t="n"/>
      <c r="P181" s="43" t="n"/>
      <c r="Q181" s="44" t="n"/>
      <c r="R181" s="51">
        <f>IF(N181="","",MAX(N181-Q181,0))</f>
        <v/>
      </c>
      <c r="S181" s="48">
        <f>IF(A181="","",IF(OR(P181="Pagada",R181=0),"Pagada",IF(O181&lt;TODAY(),"Vencida",IF(O181&lt;=TODAY()+Inicio!$B$19,"Próxima a vencer","Vigente"))))</f>
        <v/>
      </c>
      <c r="T181" s="43" t="n"/>
      <c r="U181" s="68">
        <f>IF($B181="","",YEAR($B181))</f>
        <v/>
      </c>
      <c r="V181" s="68">
        <f>IF($B181="","",MONTH($B181))</f>
        <v/>
      </c>
      <c r="W181" s="68">
        <f>IF($B181="","",DAY($B181))</f>
        <v/>
      </c>
      <c r="X181" s="68">
        <f>IF($B181="","",YEAR($B181)&amp;"-"&amp;TEXT(MONTH($B181),"00"))</f>
        <v/>
      </c>
      <c r="Y181" s="68">
        <f>IF(OR($H181="",$J181=""),"",$J181*IFERROR(VLOOKUP($H181,Maestro_SKU!$A$2:$P$500,12,FALSE),1))</f>
        <v/>
      </c>
    </row>
    <row r="182">
      <c r="A182" s="43" t="n"/>
      <c r="B182" s="54" t="n"/>
      <c r="C182" s="43" t="n"/>
      <c r="D182" s="43" t="n"/>
      <c r="E182" s="48">
        <f>IFERROR(VLOOKUP(D182,Clientes_PDV!$A$2:$J$250,2,FALSE),"")</f>
        <v/>
      </c>
      <c r="F182" s="48">
        <f>IFERROR(VLOOKUP(D182,Clientes_PDV!$A$2:$J$250,3,FALSE),"")</f>
        <v/>
      </c>
      <c r="G182" s="48">
        <f>IFERROR(VLOOKUP(D182,Clientes_PDV!$A$2:$J$250,4,FALSE),"")</f>
        <v/>
      </c>
      <c r="H182" s="43" t="n"/>
      <c r="I182" s="48">
        <f>IFERROR(VLOOKUP(H182,Maestro_SKU!$A$2:$P$500,2,FALSE),"")</f>
        <v/>
      </c>
      <c r="J182" s="55" t="n"/>
      <c r="K182" s="44" t="n"/>
      <c r="L182" s="51">
        <f>IF(OR(J182="",K182=""),"",J182*K182)</f>
        <v/>
      </c>
      <c r="M182" s="51">
        <f>IF(L182="","",L182*Inicio!$B$13)</f>
        <v/>
      </c>
      <c r="N182" s="51">
        <f>IF(L182="","",L182+M182)</f>
        <v/>
      </c>
      <c r="O182" s="54" t="n"/>
      <c r="P182" s="43" t="n"/>
      <c r="Q182" s="44" t="n"/>
      <c r="R182" s="51">
        <f>IF(N182="","",MAX(N182-Q182,0))</f>
        <v/>
      </c>
      <c r="S182" s="48">
        <f>IF(A182="","",IF(OR(P182="Pagada",R182=0),"Pagada",IF(O182&lt;TODAY(),"Vencida",IF(O182&lt;=TODAY()+Inicio!$B$19,"Próxima a vencer","Vigente"))))</f>
        <v/>
      </c>
      <c r="T182" s="43" t="n"/>
      <c r="U182" s="68">
        <f>IF($B182="","",YEAR($B182))</f>
        <v/>
      </c>
      <c r="V182" s="68">
        <f>IF($B182="","",MONTH($B182))</f>
        <v/>
      </c>
      <c r="W182" s="68">
        <f>IF($B182="","",DAY($B182))</f>
        <v/>
      </c>
      <c r="X182" s="68">
        <f>IF($B182="","",YEAR($B182)&amp;"-"&amp;TEXT(MONTH($B182),"00"))</f>
        <v/>
      </c>
      <c r="Y182" s="68">
        <f>IF(OR($H182="",$J182=""),"",$J182*IFERROR(VLOOKUP($H182,Maestro_SKU!$A$2:$P$500,12,FALSE),1))</f>
        <v/>
      </c>
    </row>
    <row r="183">
      <c r="A183" s="43" t="n"/>
      <c r="B183" s="54" t="n"/>
      <c r="C183" s="43" t="n"/>
      <c r="D183" s="43" t="n"/>
      <c r="E183" s="48">
        <f>IFERROR(VLOOKUP(D183,Clientes_PDV!$A$2:$J$250,2,FALSE),"")</f>
        <v/>
      </c>
      <c r="F183" s="48">
        <f>IFERROR(VLOOKUP(D183,Clientes_PDV!$A$2:$J$250,3,FALSE),"")</f>
        <v/>
      </c>
      <c r="G183" s="48">
        <f>IFERROR(VLOOKUP(D183,Clientes_PDV!$A$2:$J$250,4,FALSE),"")</f>
        <v/>
      </c>
      <c r="H183" s="43" t="n"/>
      <c r="I183" s="48">
        <f>IFERROR(VLOOKUP(H183,Maestro_SKU!$A$2:$P$500,2,FALSE),"")</f>
        <v/>
      </c>
      <c r="J183" s="55" t="n"/>
      <c r="K183" s="44" t="n"/>
      <c r="L183" s="51">
        <f>IF(OR(J183="",K183=""),"",J183*K183)</f>
        <v/>
      </c>
      <c r="M183" s="51">
        <f>IF(L183="","",L183*Inicio!$B$13)</f>
        <v/>
      </c>
      <c r="N183" s="51">
        <f>IF(L183="","",L183+M183)</f>
        <v/>
      </c>
      <c r="O183" s="54" t="n"/>
      <c r="P183" s="43" t="n"/>
      <c r="Q183" s="44" t="n"/>
      <c r="R183" s="51">
        <f>IF(N183="","",MAX(N183-Q183,0))</f>
        <v/>
      </c>
      <c r="S183" s="48">
        <f>IF(A183="","",IF(OR(P183="Pagada",R183=0),"Pagada",IF(O183&lt;TODAY(),"Vencida",IF(O183&lt;=TODAY()+Inicio!$B$19,"Próxima a vencer","Vigente"))))</f>
        <v/>
      </c>
      <c r="T183" s="43" t="n"/>
      <c r="U183" s="68">
        <f>IF($B183="","",YEAR($B183))</f>
        <v/>
      </c>
      <c r="V183" s="68">
        <f>IF($B183="","",MONTH($B183))</f>
        <v/>
      </c>
      <c r="W183" s="68">
        <f>IF($B183="","",DAY($B183))</f>
        <v/>
      </c>
      <c r="X183" s="68">
        <f>IF($B183="","",YEAR($B183)&amp;"-"&amp;TEXT(MONTH($B183),"00"))</f>
        <v/>
      </c>
      <c r="Y183" s="68">
        <f>IF(OR($H183="",$J183=""),"",$J183*IFERROR(VLOOKUP($H183,Maestro_SKU!$A$2:$P$500,12,FALSE),1))</f>
        <v/>
      </c>
    </row>
    <row r="184">
      <c r="A184" s="43" t="n"/>
      <c r="B184" s="54" t="n"/>
      <c r="C184" s="43" t="n"/>
      <c r="D184" s="43" t="n"/>
      <c r="E184" s="48">
        <f>IFERROR(VLOOKUP(D184,Clientes_PDV!$A$2:$J$250,2,FALSE),"")</f>
        <v/>
      </c>
      <c r="F184" s="48">
        <f>IFERROR(VLOOKUP(D184,Clientes_PDV!$A$2:$J$250,3,FALSE),"")</f>
        <v/>
      </c>
      <c r="G184" s="48">
        <f>IFERROR(VLOOKUP(D184,Clientes_PDV!$A$2:$J$250,4,FALSE),"")</f>
        <v/>
      </c>
      <c r="H184" s="43" t="n"/>
      <c r="I184" s="48">
        <f>IFERROR(VLOOKUP(H184,Maestro_SKU!$A$2:$P$500,2,FALSE),"")</f>
        <v/>
      </c>
      <c r="J184" s="55" t="n"/>
      <c r="K184" s="44" t="n"/>
      <c r="L184" s="51">
        <f>IF(OR(J184="",K184=""),"",J184*K184)</f>
        <v/>
      </c>
      <c r="M184" s="51">
        <f>IF(L184="","",L184*Inicio!$B$13)</f>
        <v/>
      </c>
      <c r="N184" s="51">
        <f>IF(L184="","",L184+M184)</f>
        <v/>
      </c>
      <c r="O184" s="54" t="n"/>
      <c r="P184" s="43" t="n"/>
      <c r="Q184" s="44" t="n"/>
      <c r="R184" s="51">
        <f>IF(N184="","",MAX(N184-Q184,0))</f>
        <v/>
      </c>
      <c r="S184" s="48">
        <f>IF(A184="","",IF(OR(P184="Pagada",R184=0),"Pagada",IF(O184&lt;TODAY(),"Vencida",IF(O184&lt;=TODAY()+Inicio!$B$19,"Próxima a vencer","Vigente"))))</f>
        <v/>
      </c>
      <c r="T184" s="43" t="n"/>
      <c r="U184" s="68">
        <f>IF($B184="","",YEAR($B184))</f>
        <v/>
      </c>
      <c r="V184" s="68">
        <f>IF($B184="","",MONTH($B184))</f>
        <v/>
      </c>
      <c r="W184" s="68">
        <f>IF($B184="","",DAY($B184))</f>
        <v/>
      </c>
      <c r="X184" s="68">
        <f>IF($B184="","",YEAR($B184)&amp;"-"&amp;TEXT(MONTH($B184),"00"))</f>
        <v/>
      </c>
      <c r="Y184" s="68">
        <f>IF(OR($H184="",$J184=""),"",$J184*IFERROR(VLOOKUP($H184,Maestro_SKU!$A$2:$P$500,12,FALSE),1))</f>
        <v/>
      </c>
    </row>
    <row r="185">
      <c r="A185" s="43" t="n"/>
      <c r="B185" s="54" t="n"/>
      <c r="C185" s="43" t="n"/>
      <c r="D185" s="43" t="n"/>
      <c r="E185" s="48">
        <f>IFERROR(VLOOKUP(D185,Clientes_PDV!$A$2:$J$250,2,FALSE),"")</f>
        <v/>
      </c>
      <c r="F185" s="48">
        <f>IFERROR(VLOOKUP(D185,Clientes_PDV!$A$2:$J$250,3,FALSE),"")</f>
        <v/>
      </c>
      <c r="G185" s="48">
        <f>IFERROR(VLOOKUP(D185,Clientes_PDV!$A$2:$J$250,4,FALSE),"")</f>
        <v/>
      </c>
      <c r="H185" s="43" t="n"/>
      <c r="I185" s="48">
        <f>IFERROR(VLOOKUP(H185,Maestro_SKU!$A$2:$P$500,2,FALSE),"")</f>
        <v/>
      </c>
      <c r="J185" s="55" t="n"/>
      <c r="K185" s="44" t="n"/>
      <c r="L185" s="51">
        <f>IF(OR(J185="",K185=""),"",J185*K185)</f>
        <v/>
      </c>
      <c r="M185" s="51">
        <f>IF(L185="","",L185*Inicio!$B$13)</f>
        <v/>
      </c>
      <c r="N185" s="51">
        <f>IF(L185="","",L185+M185)</f>
        <v/>
      </c>
      <c r="O185" s="54" t="n"/>
      <c r="P185" s="43" t="n"/>
      <c r="Q185" s="44" t="n"/>
      <c r="R185" s="51">
        <f>IF(N185="","",MAX(N185-Q185,0))</f>
        <v/>
      </c>
      <c r="S185" s="48">
        <f>IF(A185="","",IF(OR(P185="Pagada",R185=0),"Pagada",IF(O185&lt;TODAY(),"Vencida",IF(O185&lt;=TODAY()+Inicio!$B$19,"Próxima a vencer","Vigente"))))</f>
        <v/>
      </c>
      <c r="T185" s="43" t="n"/>
      <c r="U185" s="68">
        <f>IF($B185="","",YEAR($B185))</f>
        <v/>
      </c>
      <c r="V185" s="68">
        <f>IF($B185="","",MONTH($B185))</f>
        <v/>
      </c>
      <c r="W185" s="68">
        <f>IF($B185="","",DAY($B185))</f>
        <v/>
      </c>
      <c r="X185" s="68">
        <f>IF($B185="","",YEAR($B185)&amp;"-"&amp;TEXT(MONTH($B185),"00"))</f>
        <v/>
      </c>
      <c r="Y185" s="68">
        <f>IF(OR($H185="",$J185=""),"",$J185*IFERROR(VLOOKUP($H185,Maestro_SKU!$A$2:$P$500,12,FALSE),1))</f>
        <v/>
      </c>
    </row>
    <row r="186">
      <c r="A186" s="43" t="n"/>
      <c r="B186" s="54" t="n"/>
      <c r="C186" s="43" t="n"/>
      <c r="D186" s="43" t="n"/>
      <c r="E186" s="48">
        <f>IFERROR(VLOOKUP(D186,Clientes_PDV!$A$2:$J$250,2,FALSE),"")</f>
        <v/>
      </c>
      <c r="F186" s="48">
        <f>IFERROR(VLOOKUP(D186,Clientes_PDV!$A$2:$J$250,3,FALSE),"")</f>
        <v/>
      </c>
      <c r="G186" s="48">
        <f>IFERROR(VLOOKUP(D186,Clientes_PDV!$A$2:$J$250,4,FALSE),"")</f>
        <v/>
      </c>
      <c r="H186" s="43" t="n"/>
      <c r="I186" s="48">
        <f>IFERROR(VLOOKUP(H186,Maestro_SKU!$A$2:$P$500,2,FALSE),"")</f>
        <v/>
      </c>
      <c r="J186" s="55" t="n"/>
      <c r="K186" s="44" t="n"/>
      <c r="L186" s="51">
        <f>IF(OR(J186="",K186=""),"",J186*K186)</f>
        <v/>
      </c>
      <c r="M186" s="51">
        <f>IF(L186="","",L186*Inicio!$B$13)</f>
        <v/>
      </c>
      <c r="N186" s="51">
        <f>IF(L186="","",L186+M186)</f>
        <v/>
      </c>
      <c r="O186" s="54" t="n"/>
      <c r="P186" s="43" t="n"/>
      <c r="Q186" s="44" t="n"/>
      <c r="R186" s="51">
        <f>IF(N186="","",MAX(N186-Q186,0))</f>
        <v/>
      </c>
      <c r="S186" s="48">
        <f>IF(A186="","",IF(OR(P186="Pagada",R186=0),"Pagada",IF(O186&lt;TODAY(),"Vencida",IF(O186&lt;=TODAY()+Inicio!$B$19,"Próxima a vencer","Vigente"))))</f>
        <v/>
      </c>
      <c r="T186" s="43" t="n"/>
      <c r="U186" s="68">
        <f>IF($B186="","",YEAR($B186))</f>
        <v/>
      </c>
      <c r="V186" s="68">
        <f>IF($B186="","",MONTH($B186))</f>
        <v/>
      </c>
      <c r="W186" s="68">
        <f>IF($B186="","",DAY($B186))</f>
        <v/>
      </c>
      <c r="X186" s="68">
        <f>IF($B186="","",YEAR($B186)&amp;"-"&amp;TEXT(MONTH($B186),"00"))</f>
        <v/>
      </c>
      <c r="Y186" s="68">
        <f>IF(OR($H186="",$J186=""),"",$J186*IFERROR(VLOOKUP($H186,Maestro_SKU!$A$2:$P$500,12,FALSE),1))</f>
        <v/>
      </c>
    </row>
    <row r="187">
      <c r="A187" s="43" t="n"/>
      <c r="B187" s="54" t="n"/>
      <c r="C187" s="43" t="n"/>
      <c r="D187" s="43" t="n"/>
      <c r="E187" s="48">
        <f>IFERROR(VLOOKUP(D187,Clientes_PDV!$A$2:$J$250,2,FALSE),"")</f>
        <v/>
      </c>
      <c r="F187" s="48">
        <f>IFERROR(VLOOKUP(D187,Clientes_PDV!$A$2:$J$250,3,FALSE),"")</f>
        <v/>
      </c>
      <c r="G187" s="48">
        <f>IFERROR(VLOOKUP(D187,Clientes_PDV!$A$2:$J$250,4,FALSE),"")</f>
        <v/>
      </c>
      <c r="H187" s="43" t="n"/>
      <c r="I187" s="48">
        <f>IFERROR(VLOOKUP(H187,Maestro_SKU!$A$2:$P$500,2,FALSE),"")</f>
        <v/>
      </c>
      <c r="J187" s="55" t="n"/>
      <c r="K187" s="44" t="n"/>
      <c r="L187" s="51">
        <f>IF(OR(J187="",K187=""),"",J187*K187)</f>
        <v/>
      </c>
      <c r="M187" s="51">
        <f>IF(L187="","",L187*Inicio!$B$13)</f>
        <v/>
      </c>
      <c r="N187" s="51">
        <f>IF(L187="","",L187+M187)</f>
        <v/>
      </c>
      <c r="O187" s="54" t="n"/>
      <c r="P187" s="43" t="n"/>
      <c r="Q187" s="44" t="n"/>
      <c r="R187" s="51">
        <f>IF(N187="","",MAX(N187-Q187,0))</f>
        <v/>
      </c>
      <c r="S187" s="48">
        <f>IF(A187="","",IF(OR(P187="Pagada",R187=0),"Pagada",IF(O187&lt;TODAY(),"Vencida",IF(O187&lt;=TODAY()+Inicio!$B$19,"Próxima a vencer","Vigente"))))</f>
        <v/>
      </c>
      <c r="T187" s="43" t="n"/>
      <c r="U187" s="68">
        <f>IF($B187="","",YEAR($B187))</f>
        <v/>
      </c>
      <c r="V187" s="68">
        <f>IF($B187="","",MONTH($B187))</f>
        <v/>
      </c>
      <c r="W187" s="68">
        <f>IF($B187="","",DAY($B187))</f>
        <v/>
      </c>
      <c r="X187" s="68">
        <f>IF($B187="","",YEAR($B187)&amp;"-"&amp;TEXT(MONTH($B187),"00"))</f>
        <v/>
      </c>
      <c r="Y187" s="68">
        <f>IF(OR($H187="",$J187=""),"",$J187*IFERROR(VLOOKUP($H187,Maestro_SKU!$A$2:$P$500,12,FALSE),1))</f>
        <v/>
      </c>
    </row>
    <row r="188">
      <c r="A188" s="43" t="n"/>
      <c r="B188" s="54" t="n"/>
      <c r="C188" s="43" t="n"/>
      <c r="D188" s="43" t="n"/>
      <c r="E188" s="48">
        <f>IFERROR(VLOOKUP(D188,Clientes_PDV!$A$2:$J$250,2,FALSE),"")</f>
        <v/>
      </c>
      <c r="F188" s="48">
        <f>IFERROR(VLOOKUP(D188,Clientes_PDV!$A$2:$J$250,3,FALSE),"")</f>
        <v/>
      </c>
      <c r="G188" s="48">
        <f>IFERROR(VLOOKUP(D188,Clientes_PDV!$A$2:$J$250,4,FALSE),"")</f>
        <v/>
      </c>
      <c r="H188" s="43" t="n"/>
      <c r="I188" s="48">
        <f>IFERROR(VLOOKUP(H188,Maestro_SKU!$A$2:$P$500,2,FALSE),"")</f>
        <v/>
      </c>
      <c r="J188" s="55" t="n"/>
      <c r="K188" s="44" t="n"/>
      <c r="L188" s="51">
        <f>IF(OR(J188="",K188=""),"",J188*K188)</f>
        <v/>
      </c>
      <c r="M188" s="51">
        <f>IF(L188="","",L188*Inicio!$B$13)</f>
        <v/>
      </c>
      <c r="N188" s="51">
        <f>IF(L188="","",L188+M188)</f>
        <v/>
      </c>
      <c r="O188" s="54" t="n"/>
      <c r="P188" s="43" t="n"/>
      <c r="Q188" s="44" t="n"/>
      <c r="R188" s="51">
        <f>IF(N188="","",MAX(N188-Q188,0))</f>
        <v/>
      </c>
      <c r="S188" s="48">
        <f>IF(A188="","",IF(OR(P188="Pagada",R188=0),"Pagada",IF(O188&lt;TODAY(),"Vencida",IF(O188&lt;=TODAY()+Inicio!$B$19,"Próxima a vencer","Vigente"))))</f>
        <v/>
      </c>
      <c r="T188" s="43" t="n"/>
      <c r="U188" s="68">
        <f>IF($B188="","",YEAR($B188))</f>
        <v/>
      </c>
      <c r="V188" s="68">
        <f>IF($B188="","",MONTH($B188))</f>
        <v/>
      </c>
      <c r="W188" s="68">
        <f>IF($B188="","",DAY($B188))</f>
        <v/>
      </c>
      <c r="X188" s="68">
        <f>IF($B188="","",YEAR($B188)&amp;"-"&amp;TEXT(MONTH($B188),"00"))</f>
        <v/>
      </c>
      <c r="Y188" s="68">
        <f>IF(OR($H188="",$J188=""),"",$J188*IFERROR(VLOOKUP($H188,Maestro_SKU!$A$2:$P$500,12,FALSE),1))</f>
        <v/>
      </c>
    </row>
    <row r="189">
      <c r="A189" s="43" t="n"/>
      <c r="B189" s="54" t="n"/>
      <c r="C189" s="43" t="n"/>
      <c r="D189" s="43" t="n"/>
      <c r="E189" s="48">
        <f>IFERROR(VLOOKUP(D189,Clientes_PDV!$A$2:$J$250,2,FALSE),"")</f>
        <v/>
      </c>
      <c r="F189" s="48">
        <f>IFERROR(VLOOKUP(D189,Clientes_PDV!$A$2:$J$250,3,FALSE),"")</f>
        <v/>
      </c>
      <c r="G189" s="48">
        <f>IFERROR(VLOOKUP(D189,Clientes_PDV!$A$2:$J$250,4,FALSE),"")</f>
        <v/>
      </c>
      <c r="H189" s="43" t="n"/>
      <c r="I189" s="48">
        <f>IFERROR(VLOOKUP(H189,Maestro_SKU!$A$2:$P$500,2,FALSE),"")</f>
        <v/>
      </c>
      <c r="J189" s="55" t="n"/>
      <c r="K189" s="44" t="n"/>
      <c r="L189" s="51">
        <f>IF(OR(J189="",K189=""),"",J189*K189)</f>
        <v/>
      </c>
      <c r="M189" s="51">
        <f>IF(L189="","",L189*Inicio!$B$13)</f>
        <v/>
      </c>
      <c r="N189" s="51">
        <f>IF(L189="","",L189+M189)</f>
        <v/>
      </c>
      <c r="O189" s="54" t="n"/>
      <c r="P189" s="43" t="n"/>
      <c r="Q189" s="44" t="n"/>
      <c r="R189" s="51">
        <f>IF(N189="","",MAX(N189-Q189,0))</f>
        <v/>
      </c>
      <c r="S189" s="48">
        <f>IF(A189="","",IF(OR(P189="Pagada",R189=0),"Pagada",IF(O189&lt;TODAY(),"Vencida",IF(O189&lt;=TODAY()+Inicio!$B$19,"Próxima a vencer","Vigente"))))</f>
        <v/>
      </c>
      <c r="T189" s="43" t="n"/>
      <c r="U189" s="68">
        <f>IF($B189="","",YEAR($B189))</f>
        <v/>
      </c>
      <c r="V189" s="68">
        <f>IF($B189="","",MONTH($B189))</f>
        <v/>
      </c>
      <c r="W189" s="68">
        <f>IF($B189="","",DAY($B189))</f>
        <v/>
      </c>
      <c r="X189" s="68">
        <f>IF($B189="","",YEAR($B189)&amp;"-"&amp;TEXT(MONTH($B189),"00"))</f>
        <v/>
      </c>
      <c r="Y189" s="68">
        <f>IF(OR($H189="",$J189=""),"",$J189*IFERROR(VLOOKUP($H189,Maestro_SKU!$A$2:$P$500,12,FALSE),1))</f>
        <v/>
      </c>
    </row>
    <row r="190">
      <c r="A190" s="43" t="n"/>
      <c r="B190" s="54" t="n"/>
      <c r="C190" s="43" t="n"/>
      <c r="D190" s="43" t="n"/>
      <c r="E190" s="48">
        <f>IFERROR(VLOOKUP(D190,Clientes_PDV!$A$2:$J$250,2,FALSE),"")</f>
        <v/>
      </c>
      <c r="F190" s="48">
        <f>IFERROR(VLOOKUP(D190,Clientes_PDV!$A$2:$J$250,3,FALSE),"")</f>
        <v/>
      </c>
      <c r="G190" s="48">
        <f>IFERROR(VLOOKUP(D190,Clientes_PDV!$A$2:$J$250,4,FALSE),"")</f>
        <v/>
      </c>
      <c r="H190" s="43" t="n"/>
      <c r="I190" s="48">
        <f>IFERROR(VLOOKUP(H190,Maestro_SKU!$A$2:$P$500,2,FALSE),"")</f>
        <v/>
      </c>
      <c r="J190" s="55" t="n"/>
      <c r="K190" s="44" t="n"/>
      <c r="L190" s="51">
        <f>IF(OR(J190="",K190=""),"",J190*K190)</f>
        <v/>
      </c>
      <c r="M190" s="51">
        <f>IF(L190="","",L190*Inicio!$B$13)</f>
        <v/>
      </c>
      <c r="N190" s="51">
        <f>IF(L190="","",L190+M190)</f>
        <v/>
      </c>
      <c r="O190" s="54" t="n"/>
      <c r="P190" s="43" t="n"/>
      <c r="Q190" s="44" t="n"/>
      <c r="R190" s="51">
        <f>IF(N190="","",MAX(N190-Q190,0))</f>
        <v/>
      </c>
      <c r="S190" s="48">
        <f>IF(A190="","",IF(OR(P190="Pagada",R190=0),"Pagada",IF(O190&lt;TODAY(),"Vencida",IF(O190&lt;=TODAY()+Inicio!$B$19,"Próxima a vencer","Vigente"))))</f>
        <v/>
      </c>
      <c r="T190" s="43" t="n"/>
      <c r="U190" s="68">
        <f>IF($B190="","",YEAR($B190))</f>
        <v/>
      </c>
      <c r="V190" s="68">
        <f>IF($B190="","",MONTH($B190))</f>
        <v/>
      </c>
      <c r="W190" s="68">
        <f>IF($B190="","",DAY($B190))</f>
        <v/>
      </c>
      <c r="X190" s="68">
        <f>IF($B190="","",YEAR($B190)&amp;"-"&amp;TEXT(MONTH($B190),"00"))</f>
        <v/>
      </c>
      <c r="Y190" s="68">
        <f>IF(OR($H190="",$J190=""),"",$J190*IFERROR(VLOOKUP($H190,Maestro_SKU!$A$2:$P$500,12,FALSE),1))</f>
        <v/>
      </c>
    </row>
    <row r="191">
      <c r="A191" s="43" t="n"/>
      <c r="B191" s="54" t="n"/>
      <c r="C191" s="43" t="n"/>
      <c r="D191" s="43" t="n"/>
      <c r="E191" s="48">
        <f>IFERROR(VLOOKUP(D191,Clientes_PDV!$A$2:$J$250,2,FALSE),"")</f>
        <v/>
      </c>
      <c r="F191" s="48">
        <f>IFERROR(VLOOKUP(D191,Clientes_PDV!$A$2:$J$250,3,FALSE),"")</f>
        <v/>
      </c>
      <c r="G191" s="48">
        <f>IFERROR(VLOOKUP(D191,Clientes_PDV!$A$2:$J$250,4,FALSE),"")</f>
        <v/>
      </c>
      <c r="H191" s="43" t="n"/>
      <c r="I191" s="48">
        <f>IFERROR(VLOOKUP(H191,Maestro_SKU!$A$2:$P$500,2,FALSE),"")</f>
        <v/>
      </c>
      <c r="J191" s="55" t="n"/>
      <c r="K191" s="44" t="n"/>
      <c r="L191" s="51">
        <f>IF(OR(J191="",K191=""),"",J191*K191)</f>
        <v/>
      </c>
      <c r="M191" s="51">
        <f>IF(L191="","",L191*Inicio!$B$13)</f>
        <v/>
      </c>
      <c r="N191" s="51">
        <f>IF(L191="","",L191+M191)</f>
        <v/>
      </c>
      <c r="O191" s="54" t="n"/>
      <c r="P191" s="43" t="n"/>
      <c r="Q191" s="44" t="n"/>
      <c r="R191" s="51">
        <f>IF(N191="","",MAX(N191-Q191,0))</f>
        <v/>
      </c>
      <c r="S191" s="48">
        <f>IF(A191="","",IF(OR(P191="Pagada",R191=0),"Pagada",IF(O191&lt;TODAY(),"Vencida",IF(O191&lt;=TODAY()+Inicio!$B$19,"Próxima a vencer","Vigente"))))</f>
        <v/>
      </c>
      <c r="T191" s="43" t="n"/>
      <c r="U191" s="68">
        <f>IF($B191="","",YEAR($B191))</f>
        <v/>
      </c>
      <c r="V191" s="68">
        <f>IF($B191="","",MONTH($B191))</f>
        <v/>
      </c>
      <c r="W191" s="68">
        <f>IF($B191="","",DAY($B191))</f>
        <v/>
      </c>
      <c r="X191" s="68">
        <f>IF($B191="","",YEAR($B191)&amp;"-"&amp;TEXT(MONTH($B191),"00"))</f>
        <v/>
      </c>
      <c r="Y191" s="68">
        <f>IF(OR($H191="",$J191=""),"",$J191*IFERROR(VLOOKUP($H191,Maestro_SKU!$A$2:$P$500,12,FALSE),1))</f>
        <v/>
      </c>
    </row>
    <row r="192">
      <c r="A192" s="43" t="n"/>
      <c r="B192" s="54" t="n"/>
      <c r="C192" s="43" t="n"/>
      <c r="D192" s="43" t="n"/>
      <c r="E192" s="48">
        <f>IFERROR(VLOOKUP(D192,Clientes_PDV!$A$2:$J$250,2,FALSE),"")</f>
        <v/>
      </c>
      <c r="F192" s="48">
        <f>IFERROR(VLOOKUP(D192,Clientes_PDV!$A$2:$J$250,3,FALSE),"")</f>
        <v/>
      </c>
      <c r="G192" s="48">
        <f>IFERROR(VLOOKUP(D192,Clientes_PDV!$A$2:$J$250,4,FALSE),"")</f>
        <v/>
      </c>
      <c r="H192" s="43" t="n"/>
      <c r="I192" s="48">
        <f>IFERROR(VLOOKUP(H192,Maestro_SKU!$A$2:$P$500,2,FALSE),"")</f>
        <v/>
      </c>
      <c r="J192" s="55" t="n"/>
      <c r="K192" s="44" t="n"/>
      <c r="L192" s="51">
        <f>IF(OR(J192="",K192=""),"",J192*K192)</f>
        <v/>
      </c>
      <c r="M192" s="51">
        <f>IF(L192="","",L192*Inicio!$B$13)</f>
        <v/>
      </c>
      <c r="N192" s="51">
        <f>IF(L192="","",L192+M192)</f>
        <v/>
      </c>
      <c r="O192" s="54" t="n"/>
      <c r="P192" s="43" t="n"/>
      <c r="Q192" s="44" t="n"/>
      <c r="R192" s="51">
        <f>IF(N192="","",MAX(N192-Q192,0))</f>
        <v/>
      </c>
      <c r="S192" s="48">
        <f>IF(A192="","",IF(OR(P192="Pagada",R192=0),"Pagada",IF(O192&lt;TODAY(),"Vencida",IF(O192&lt;=TODAY()+Inicio!$B$19,"Próxima a vencer","Vigente"))))</f>
        <v/>
      </c>
      <c r="T192" s="43" t="n"/>
      <c r="U192" s="68">
        <f>IF($B192="","",YEAR($B192))</f>
        <v/>
      </c>
      <c r="V192" s="68">
        <f>IF($B192="","",MONTH($B192))</f>
        <v/>
      </c>
      <c r="W192" s="68">
        <f>IF($B192="","",DAY($B192))</f>
        <v/>
      </c>
      <c r="X192" s="68">
        <f>IF($B192="","",YEAR($B192)&amp;"-"&amp;TEXT(MONTH($B192),"00"))</f>
        <v/>
      </c>
      <c r="Y192" s="68">
        <f>IF(OR($H192="",$J192=""),"",$J192*IFERROR(VLOOKUP($H192,Maestro_SKU!$A$2:$P$500,12,FALSE),1))</f>
        <v/>
      </c>
    </row>
    <row r="193">
      <c r="A193" s="43" t="n"/>
      <c r="B193" s="54" t="n"/>
      <c r="C193" s="43" t="n"/>
      <c r="D193" s="43" t="n"/>
      <c r="E193" s="48">
        <f>IFERROR(VLOOKUP(D193,Clientes_PDV!$A$2:$J$250,2,FALSE),"")</f>
        <v/>
      </c>
      <c r="F193" s="48">
        <f>IFERROR(VLOOKUP(D193,Clientes_PDV!$A$2:$J$250,3,FALSE),"")</f>
        <v/>
      </c>
      <c r="G193" s="48">
        <f>IFERROR(VLOOKUP(D193,Clientes_PDV!$A$2:$J$250,4,FALSE),"")</f>
        <v/>
      </c>
      <c r="H193" s="43" t="n"/>
      <c r="I193" s="48">
        <f>IFERROR(VLOOKUP(H193,Maestro_SKU!$A$2:$P$500,2,FALSE),"")</f>
        <v/>
      </c>
      <c r="J193" s="55" t="n"/>
      <c r="K193" s="44" t="n"/>
      <c r="L193" s="51">
        <f>IF(OR(J193="",K193=""),"",J193*K193)</f>
        <v/>
      </c>
      <c r="M193" s="51">
        <f>IF(L193="","",L193*Inicio!$B$13)</f>
        <v/>
      </c>
      <c r="N193" s="51">
        <f>IF(L193="","",L193+M193)</f>
        <v/>
      </c>
      <c r="O193" s="54" t="n"/>
      <c r="P193" s="43" t="n"/>
      <c r="Q193" s="44" t="n"/>
      <c r="R193" s="51">
        <f>IF(N193="","",MAX(N193-Q193,0))</f>
        <v/>
      </c>
      <c r="S193" s="48">
        <f>IF(A193="","",IF(OR(P193="Pagada",R193=0),"Pagada",IF(O193&lt;TODAY(),"Vencida",IF(O193&lt;=TODAY()+Inicio!$B$19,"Próxima a vencer","Vigente"))))</f>
        <v/>
      </c>
      <c r="T193" s="43" t="n"/>
      <c r="U193" s="68">
        <f>IF($B193="","",YEAR($B193))</f>
        <v/>
      </c>
      <c r="V193" s="68">
        <f>IF($B193="","",MONTH($B193))</f>
        <v/>
      </c>
      <c r="W193" s="68">
        <f>IF($B193="","",DAY($B193))</f>
        <v/>
      </c>
      <c r="X193" s="68">
        <f>IF($B193="","",YEAR($B193)&amp;"-"&amp;TEXT(MONTH($B193),"00"))</f>
        <v/>
      </c>
      <c r="Y193" s="68">
        <f>IF(OR($H193="",$J193=""),"",$J193*IFERROR(VLOOKUP($H193,Maestro_SKU!$A$2:$P$500,12,FALSE),1))</f>
        <v/>
      </c>
    </row>
    <row r="194">
      <c r="A194" s="43" t="n"/>
      <c r="B194" s="54" t="n"/>
      <c r="C194" s="43" t="n"/>
      <c r="D194" s="43" t="n"/>
      <c r="E194" s="48">
        <f>IFERROR(VLOOKUP(D194,Clientes_PDV!$A$2:$J$250,2,FALSE),"")</f>
        <v/>
      </c>
      <c r="F194" s="48">
        <f>IFERROR(VLOOKUP(D194,Clientes_PDV!$A$2:$J$250,3,FALSE),"")</f>
        <v/>
      </c>
      <c r="G194" s="48">
        <f>IFERROR(VLOOKUP(D194,Clientes_PDV!$A$2:$J$250,4,FALSE),"")</f>
        <v/>
      </c>
      <c r="H194" s="43" t="n"/>
      <c r="I194" s="48">
        <f>IFERROR(VLOOKUP(H194,Maestro_SKU!$A$2:$P$500,2,FALSE),"")</f>
        <v/>
      </c>
      <c r="J194" s="55" t="n"/>
      <c r="K194" s="44" t="n"/>
      <c r="L194" s="51">
        <f>IF(OR(J194="",K194=""),"",J194*K194)</f>
        <v/>
      </c>
      <c r="M194" s="51">
        <f>IF(L194="","",L194*Inicio!$B$13)</f>
        <v/>
      </c>
      <c r="N194" s="51">
        <f>IF(L194="","",L194+M194)</f>
        <v/>
      </c>
      <c r="O194" s="54" t="n"/>
      <c r="P194" s="43" t="n"/>
      <c r="Q194" s="44" t="n"/>
      <c r="R194" s="51">
        <f>IF(N194="","",MAX(N194-Q194,0))</f>
        <v/>
      </c>
      <c r="S194" s="48">
        <f>IF(A194="","",IF(OR(P194="Pagada",R194=0),"Pagada",IF(O194&lt;TODAY(),"Vencida",IF(O194&lt;=TODAY()+Inicio!$B$19,"Próxima a vencer","Vigente"))))</f>
        <v/>
      </c>
      <c r="T194" s="43" t="n"/>
      <c r="U194" s="68">
        <f>IF($B194="","",YEAR($B194))</f>
        <v/>
      </c>
      <c r="V194" s="68">
        <f>IF($B194="","",MONTH($B194))</f>
        <v/>
      </c>
      <c r="W194" s="68">
        <f>IF($B194="","",DAY($B194))</f>
        <v/>
      </c>
      <c r="X194" s="68">
        <f>IF($B194="","",YEAR($B194)&amp;"-"&amp;TEXT(MONTH($B194),"00"))</f>
        <v/>
      </c>
      <c r="Y194" s="68">
        <f>IF(OR($H194="",$J194=""),"",$J194*IFERROR(VLOOKUP($H194,Maestro_SKU!$A$2:$P$500,12,FALSE),1))</f>
        <v/>
      </c>
    </row>
    <row r="195">
      <c r="A195" s="43" t="n"/>
      <c r="B195" s="54" t="n"/>
      <c r="C195" s="43" t="n"/>
      <c r="D195" s="43" t="n"/>
      <c r="E195" s="48">
        <f>IFERROR(VLOOKUP(D195,Clientes_PDV!$A$2:$J$250,2,FALSE),"")</f>
        <v/>
      </c>
      <c r="F195" s="48">
        <f>IFERROR(VLOOKUP(D195,Clientes_PDV!$A$2:$J$250,3,FALSE),"")</f>
        <v/>
      </c>
      <c r="G195" s="48">
        <f>IFERROR(VLOOKUP(D195,Clientes_PDV!$A$2:$J$250,4,FALSE),"")</f>
        <v/>
      </c>
      <c r="H195" s="43" t="n"/>
      <c r="I195" s="48">
        <f>IFERROR(VLOOKUP(H195,Maestro_SKU!$A$2:$P$500,2,FALSE),"")</f>
        <v/>
      </c>
      <c r="J195" s="55" t="n"/>
      <c r="K195" s="44" t="n"/>
      <c r="L195" s="51">
        <f>IF(OR(J195="",K195=""),"",J195*K195)</f>
        <v/>
      </c>
      <c r="M195" s="51">
        <f>IF(L195="","",L195*Inicio!$B$13)</f>
        <v/>
      </c>
      <c r="N195" s="51">
        <f>IF(L195="","",L195+M195)</f>
        <v/>
      </c>
      <c r="O195" s="54" t="n"/>
      <c r="P195" s="43" t="n"/>
      <c r="Q195" s="44" t="n"/>
      <c r="R195" s="51">
        <f>IF(N195="","",MAX(N195-Q195,0))</f>
        <v/>
      </c>
      <c r="S195" s="48">
        <f>IF(A195="","",IF(OR(P195="Pagada",R195=0),"Pagada",IF(O195&lt;TODAY(),"Vencida",IF(O195&lt;=TODAY()+Inicio!$B$19,"Próxima a vencer","Vigente"))))</f>
        <v/>
      </c>
      <c r="T195" s="43" t="n"/>
      <c r="U195" s="68">
        <f>IF($B195="","",YEAR($B195))</f>
        <v/>
      </c>
      <c r="V195" s="68">
        <f>IF($B195="","",MONTH($B195))</f>
        <v/>
      </c>
      <c r="W195" s="68">
        <f>IF($B195="","",DAY($B195))</f>
        <v/>
      </c>
      <c r="X195" s="68">
        <f>IF($B195="","",YEAR($B195)&amp;"-"&amp;TEXT(MONTH($B195),"00"))</f>
        <v/>
      </c>
      <c r="Y195" s="68">
        <f>IF(OR($H195="",$J195=""),"",$J195*IFERROR(VLOOKUP($H195,Maestro_SKU!$A$2:$P$500,12,FALSE),1))</f>
        <v/>
      </c>
    </row>
    <row r="196">
      <c r="A196" s="43" t="n"/>
      <c r="B196" s="54" t="n"/>
      <c r="C196" s="43" t="n"/>
      <c r="D196" s="43" t="n"/>
      <c r="E196" s="48">
        <f>IFERROR(VLOOKUP(D196,Clientes_PDV!$A$2:$J$250,2,FALSE),"")</f>
        <v/>
      </c>
      <c r="F196" s="48">
        <f>IFERROR(VLOOKUP(D196,Clientes_PDV!$A$2:$J$250,3,FALSE),"")</f>
        <v/>
      </c>
      <c r="G196" s="48">
        <f>IFERROR(VLOOKUP(D196,Clientes_PDV!$A$2:$J$250,4,FALSE),"")</f>
        <v/>
      </c>
      <c r="H196" s="43" t="n"/>
      <c r="I196" s="48">
        <f>IFERROR(VLOOKUP(H196,Maestro_SKU!$A$2:$P$500,2,FALSE),"")</f>
        <v/>
      </c>
      <c r="J196" s="55" t="n"/>
      <c r="K196" s="44" t="n"/>
      <c r="L196" s="51">
        <f>IF(OR(J196="",K196=""),"",J196*K196)</f>
        <v/>
      </c>
      <c r="M196" s="51">
        <f>IF(L196="","",L196*Inicio!$B$13)</f>
        <v/>
      </c>
      <c r="N196" s="51">
        <f>IF(L196="","",L196+M196)</f>
        <v/>
      </c>
      <c r="O196" s="54" t="n"/>
      <c r="P196" s="43" t="n"/>
      <c r="Q196" s="44" t="n"/>
      <c r="R196" s="51">
        <f>IF(N196="","",MAX(N196-Q196,0))</f>
        <v/>
      </c>
      <c r="S196" s="48">
        <f>IF(A196="","",IF(OR(P196="Pagada",R196=0),"Pagada",IF(O196&lt;TODAY(),"Vencida",IF(O196&lt;=TODAY()+Inicio!$B$19,"Próxima a vencer","Vigente"))))</f>
        <v/>
      </c>
      <c r="T196" s="43" t="n"/>
      <c r="U196" s="68">
        <f>IF($B196="","",YEAR($B196))</f>
        <v/>
      </c>
      <c r="V196" s="68">
        <f>IF($B196="","",MONTH($B196))</f>
        <v/>
      </c>
      <c r="W196" s="68">
        <f>IF($B196="","",DAY($B196))</f>
        <v/>
      </c>
      <c r="X196" s="68">
        <f>IF($B196="","",YEAR($B196)&amp;"-"&amp;TEXT(MONTH($B196),"00"))</f>
        <v/>
      </c>
      <c r="Y196" s="68">
        <f>IF(OR($H196="",$J196=""),"",$J196*IFERROR(VLOOKUP($H196,Maestro_SKU!$A$2:$P$500,12,FALSE),1))</f>
        <v/>
      </c>
    </row>
    <row r="197">
      <c r="A197" s="43" t="n"/>
      <c r="B197" s="54" t="n"/>
      <c r="C197" s="43" t="n"/>
      <c r="D197" s="43" t="n"/>
      <c r="E197" s="48">
        <f>IFERROR(VLOOKUP(D197,Clientes_PDV!$A$2:$J$250,2,FALSE),"")</f>
        <v/>
      </c>
      <c r="F197" s="48">
        <f>IFERROR(VLOOKUP(D197,Clientes_PDV!$A$2:$J$250,3,FALSE),"")</f>
        <v/>
      </c>
      <c r="G197" s="48">
        <f>IFERROR(VLOOKUP(D197,Clientes_PDV!$A$2:$J$250,4,FALSE),"")</f>
        <v/>
      </c>
      <c r="H197" s="43" t="n"/>
      <c r="I197" s="48">
        <f>IFERROR(VLOOKUP(H197,Maestro_SKU!$A$2:$P$500,2,FALSE),"")</f>
        <v/>
      </c>
      <c r="J197" s="55" t="n"/>
      <c r="K197" s="44" t="n"/>
      <c r="L197" s="51">
        <f>IF(OR(J197="",K197=""),"",J197*K197)</f>
        <v/>
      </c>
      <c r="M197" s="51">
        <f>IF(L197="","",L197*Inicio!$B$13)</f>
        <v/>
      </c>
      <c r="N197" s="51">
        <f>IF(L197="","",L197+M197)</f>
        <v/>
      </c>
      <c r="O197" s="54" t="n"/>
      <c r="P197" s="43" t="n"/>
      <c r="Q197" s="44" t="n"/>
      <c r="R197" s="51">
        <f>IF(N197="","",MAX(N197-Q197,0))</f>
        <v/>
      </c>
      <c r="S197" s="48">
        <f>IF(A197="","",IF(OR(P197="Pagada",R197=0),"Pagada",IF(O197&lt;TODAY(),"Vencida",IF(O197&lt;=TODAY()+Inicio!$B$19,"Próxima a vencer","Vigente"))))</f>
        <v/>
      </c>
      <c r="T197" s="43" t="n"/>
      <c r="U197" s="68">
        <f>IF($B197="","",YEAR($B197))</f>
        <v/>
      </c>
      <c r="V197" s="68">
        <f>IF($B197="","",MONTH($B197))</f>
        <v/>
      </c>
      <c r="W197" s="68">
        <f>IF($B197="","",DAY($B197))</f>
        <v/>
      </c>
      <c r="X197" s="68">
        <f>IF($B197="","",YEAR($B197)&amp;"-"&amp;TEXT(MONTH($B197),"00"))</f>
        <v/>
      </c>
      <c r="Y197" s="68">
        <f>IF(OR($H197="",$J197=""),"",$J197*IFERROR(VLOOKUP($H197,Maestro_SKU!$A$2:$P$500,12,FALSE),1))</f>
        <v/>
      </c>
    </row>
    <row r="198">
      <c r="A198" s="43" t="n"/>
      <c r="B198" s="54" t="n"/>
      <c r="C198" s="43" t="n"/>
      <c r="D198" s="43" t="n"/>
      <c r="E198" s="48">
        <f>IFERROR(VLOOKUP(D198,Clientes_PDV!$A$2:$J$250,2,FALSE),"")</f>
        <v/>
      </c>
      <c r="F198" s="48">
        <f>IFERROR(VLOOKUP(D198,Clientes_PDV!$A$2:$J$250,3,FALSE),"")</f>
        <v/>
      </c>
      <c r="G198" s="48">
        <f>IFERROR(VLOOKUP(D198,Clientes_PDV!$A$2:$J$250,4,FALSE),"")</f>
        <v/>
      </c>
      <c r="H198" s="43" t="n"/>
      <c r="I198" s="48">
        <f>IFERROR(VLOOKUP(H198,Maestro_SKU!$A$2:$P$500,2,FALSE),"")</f>
        <v/>
      </c>
      <c r="J198" s="55" t="n"/>
      <c r="K198" s="44" t="n"/>
      <c r="L198" s="51">
        <f>IF(OR(J198="",K198=""),"",J198*K198)</f>
        <v/>
      </c>
      <c r="M198" s="51">
        <f>IF(L198="","",L198*Inicio!$B$13)</f>
        <v/>
      </c>
      <c r="N198" s="51">
        <f>IF(L198="","",L198+M198)</f>
        <v/>
      </c>
      <c r="O198" s="54" t="n"/>
      <c r="P198" s="43" t="n"/>
      <c r="Q198" s="44" t="n"/>
      <c r="R198" s="51">
        <f>IF(N198="","",MAX(N198-Q198,0))</f>
        <v/>
      </c>
      <c r="S198" s="48">
        <f>IF(A198="","",IF(OR(P198="Pagada",R198=0),"Pagada",IF(O198&lt;TODAY(),"Vencida",IF(O198&lt;=TODAY()+Inicio!$B$19,"Próxima a vencer","Vigente"))))</f>
        <v/>
      </c>
      <c r="T198" s="43" t="n"/>
      <c r="U198" s="68">
        <f>IF($B198="","",YEAR($B198))</f>
        <v/>
      </c>
      <c r="V198" s="68">
        <f>IF($B198="","",MONTH($B198))</f>
        <v/>
      </c>
      <c r="W198" s="68">
        <f>IF($B198="","",DAY($B198))</f>
        <v/>
      </c>
      <c r="X198" s="68">
        <f>IF($B198="","",YEAR($B198)&amp;"-"&amp;TEXT(MONTH($B198),"00"))</f>
        <v/>
      </c>
      <c r="Y198" s="68">
        <f>IF(OR($H198="",$J198=""),"",$J198*IFERROR(VLOOKUP($H198,Maestro_SKU!$A$2:$P$500,12,FALSE),1))</f>
        <v/>
      </c>
    </row>
    <row r="199">
      <c r="A199" s="43" t="n"/>
      <c r="B199" s="54" t="n"/>
      <c r="C199" s="43" t="n"/>
      <c r="D199" s="43" t="n"/>
      <c r="E199" s="48">
        <f>IFERROR(VLOOKUP(D199,Clientes_PDV!$A$2:$J$250,2,FALSE),"")</f>
        <v/>
      </c>
      <c r="F199" s="48">
        <f>IFERROR(VLOOKUP(D199,Clientes_PDV!$A$2:$J$250,3,FALSE),"")</f>
        <v/>
      </c>
      <c r="G199" s="48">
        <f>IFERROR(VLOOKUP(D199,Clientes_PDV!$A$2:$J$250,4,FALSE),"")</f>
        <v/>
      </c>
      <c r="H199" s="43" t="n"/>
      <c r="I199" s="48">
        <f>IFERROR(VLOOKUP(H199,Maestro_SKU!$A$2:$P$500,2,FALSE),"")</f>
        <v/>
      </c>
      <c r="J199" s="55" t="n"/>
      <c r="K199" s="44" t="n"/>
      <c r="L199" s="51">
        <f>IF(OR(J199="",K199=""),"",J199*K199)</f>
        <v/>
      </c>
      <c r="M199" s="51">
        <f>IF(L199="","",L199*Inicio!$B$13)</f>
        <v/>
      </c>
      <c r="N199" s="51">
        <f>IF(L199="","",L199+M199)</f>
        <v/>
      </c>
      <c r="O199" s="54" t="n"/>
      <c r="P199" s="43" t="n"/>
      <c r="Q199" s="44" t="n"/>
      <c r="R199" s="51">
        <f>IF(N199="","",MAX(N199-Q199,0))</f>
        <v/>
      </c>
      <c r="S199" s="48">
        <f>IF(A199="","",IF(OR(P199="Pagada",R199=0),"Pagada",IF(O199&lt;TODAY(),"Vencida",IF(O199&lt;=TODAY()+Inicio!$B$19,"Próxima a vencer","Vigente"))))</f>
        <v/>
      </c>
      <c r="T199" s="43" t="n"/>
      <c r="U199" s="68">
        <f>IF($B199="","",YEAR($B199))</f>
        <v/>
      </c>
      <c r="V199" s="68">
        <f>IF($B199="","",MONTH($B199))</f>
        <v/>
      </c>
      <c r="W199" s="68">
        <f>IF($B199="","",DAY($B199))</f>
        <v/>
      </c>
      <c r="X199" s="68">
        <f>IF($B199="","",YEAR($B199)&amp;"-"&amp;TEXT(MONTH($B199),"00"))</f>
        <v/>
      </c>
      <c r="Y199" s="68">
        <f>IF(OR($H199="",$J199=""),"",$J199*IFERROR(VLOOKUP($H199,Maestro_SKU!$A$2:$P$500,12,FALSE),1))</f>
        <v/>
      </c>
    </row>
    <row r="200">
      <c r="A200" s="43" t="n"/>
      <c r="B200" s="54" t="n"/>
      <c r="C200" s="43" t="n"/>
      <c r="D200" s="43" t="n"/>
      <c r="E200" s="48">
        <f>IFERROR(VLOOKUP(D200,Clientes_PDV!$A$2:$J$250,2,FALSE),"")</f>
        <v/>
      </c>
      <c r="F200" s="48">
        <f>IFERROR(VLOOKUP(D200,Clientes_PDV!$A$2:$J$250,3,FALSE),"")</f>
        <v/>
      </c>
      <c r="G200" s="48">
        <f>IFERROR(VLOOKUP(D200,Clientes_PDV!$A$2:$J$250,4,FALSE),"")</f>
        <v/>
      </c>
      <c r="H200" s="43" t="n"/>
      <c r="I200" s="48">
        <f>IFERROR(VLOOKUP(H200,Maestro_SKU!$A$2:$P$500,2,FALSE),"")</f>
        <v/>
      </c>
      <c r="J200" s="55" t="n"/>
      <c r="K200" s="44" t="n"/>
      <c r="L200" s="51">
        <f>IF(OR(J200="",K200=""),"",J200*K200)</f>
        <v/>
      </c>
      <c r="M200" s="51">
        <f>IF(L200="","",L200*Inicio!$B$13)</f>
        <v/>
      </c>
      <c r="N200" s="51">
        <f>IF(L200="","",L200+M200)</f>
        <v/>
      </c>
      <c r="O200" s="54" t="n"/>
      <c r="P200" s="43" t="n"/>
      <c r="Q200" s="44" t="n"/>
      <c r="R200" s="51">
        <f>IF(N200="","",MAX(N200-Q200,0))</f>
        <v/>
      </c>
      <c r="S200" s="48">
        <f>IF(A200="","",IF(OR(P200="Pagada",R200=0),"Pagada",IF(O200&lt;TODAY(),"Vencida",IF(O200&lt;=TODAY()+Inicio!$B$19,"Próxima a vencer","Vigente"))))</f>
        <v/>
      </c>
      <c r="T200" s="43" t="n"/>
      <c r="U200" s="68">
        <f>IF($B200="","",YEAR($B200))</f>
        <v/>
      </c>
      <c r="V200" s="68">
        <f>IF($B200="","",MONTH($B200))</f>
        <v/>
      </c>
      <c r="W200" s="68">
        <f>IF($B200="","",DAY($B200))</f>
        <v/>
      </c>
      <c r="X200" s="68">
        <f>IF($B200="","",YEAR($B200)&amp;"-"&amp;TEXT(MONTH($B200),"00"))</f>
        <v/>
      </c>
      <c r="Y200" s="68">
        <f>IF(OR($H200="",$J200=""),"",$J200*IFERROR(VLOOKUP($H200,Maestro_SKU!$A$2:$P$500,12,FALSE),1))</f>
        <v/>
      </c>
    </row>
    <row r="201">
      <c r="A201" s="43" t="n"/>
      <c r="B201" s="54" t="n"/>
      <c r="C201" s="43" t="n"/>
      <c r="D201" s="43" t="n"/>
      <c r="E201" s="48">
        <f>IFERROR(VLOOKUP(D201,Clientes_PDV!$A$2:$J$250,2,FALSE),"")</f>
        <v/>
      </c>
      <c r="F201" s="48">
        <f>IFERROR(VLOOKUP(D201,Clientes_PDV!$A$2:$J$250,3,FALSE),"")</f>
        <v/>
      </c>
      <c r="G201" s="48">
        <f>IFERROR(VLOOKUP(D201,Clientes_PDV!$A$2:$J$250,4,FALSE),"")</f>
        <v/>
      </c>
      <c r="H201" s="43" t="n"/>
      <c r="I201" s="48">
        <f>IFERROR(VLOOKUP(H201,Maestro_SKU!$A$2:$P$500,2,FALSE),"")</f>
        <v/>
      </c>
      <c r="J201" s="55" t="n"/>
      <c r="K201" s="44" t="n"/>
      <c r="L201" s="51">
        <f>IF(OR(J201="",K201=""),"",J201*K201)</f>
        <v/>
      </c>
      <c r="M201" s="51">
        <f>IF(L201="","",L201*Inicio!$B$13)</f>
        <v/>
      </c>
      <c r="N201" s="51">
        <f>IF(L201="","",L201+M201)</f>
        <v/>
      </c>
      <c r="O201" s="54" t="n"/>
      <c r="P201" s="43" t="n"/>
      <c r="Q201" s="44" t="n"/>
      <c r="R201" s="51">
        <f>IF(N201="","",MAX(N201-Q201,0))</f>
        <v/>
      </c>
      <c r="S201" s="48">
        <f>IF(A201="","",IF(OR(P201="Pagada",R201=0),"Pagada",IF(O201&lt;TODAY(),"Vencida",IF(O201&lt;=TODAY()+Inicio!$B$19,"Próxima a vencer","Vigente"))))</f>
        <v/>
      </c>
      <c r="T201" s="43" t="n"/>
      <c r="U201" s="68">
        <f>IF($B201="","",YEAR($B201))</f>
        <v/>
      </c>
      <c r="V201" s="68">
        <f>IF($B201="","",MONTH($B201))</f>
        <v/>
      </c>
      <c r="W201" s="68">
        <f>IF($B201="","",DAY($B201))</f>
        <v/>
      </c>
      <c r="X201" s="68">
        <f>IF($B201="","",YEAR($B201)&amp;"-"&amp;TEXT(MONTH($B201),"00"))</f>
        <v/>
      </c>
      <c r="Y201" s="68">
        <f>IF(OR($H201="",$J201=""),"",$J201*IFERROR(VLOOKUP($H201,Maestro_SKU!$A$2:$P$500,12,FALSE),1))</f>
        <v/>
      </c>
    </row>
    <row r="202">
      <c r="A202" s="43" t="n"/>
      <c r="B202" s="54" t="n"/>
      <c r="C202" s="43" t="n"/>
      <c r="D202" s="43" t="n"/>
      <c r="E202" s="48">
        <f>IFERROR(VLOOKUP(D202,Clientes_PDV!$A$2:$J$250,2,FALSE),"")</f>
        <v/>
      </c>
      <c r="F202" s="48">
        <f>IFERROR(VLOOKUP(D202,Clientes_PDV!$A$2:$J$250,3,FALSE),"")</f>
        <v/>
      </c>
      <c r="G202" s="48">
        <f>IFERROR(VLOOKUP(D202,Clientes_PDV!$A$2:$J$250,4,FALSE),"")</f>
        <v/>
      </c>
      <c r="H202" s="43" t="n"/>
      <c r="I202" s="48">
        <f>IFERROR(VLOOKUP(H202,Maestro_SKU!$A$2:$P$500,2,FALSE),"")</f>
        <v/>
      </c>
      <c r="J202" s="55" t="n"/>
      <c r="K202" s="44" t="n"/>
      <c r="L202" s="51">
        <f>IF(OR(J202="",K202=""),"",J202*K202)</f>
        <v/>
      </c>
      <c r="M202" s="51">
        <f>IF(L202="","",L202*Inicio!$B$13)</f>
        <v/>
      </c>
      <c r="N202" s="51">
        <f>IF(L202="","",L202+M202)</f>
        <v/>
      </c>
      <c r="O202" s="54" t="n"/>
      <c r="P202" s="43" t="n"/>
      <c r="Q202" s="44" t="n"/>
      <c r="R202" s="51">
        <f>IF(N202="","",MAX(N202-Q202,0))</f>
        <v/>
      </c>
      <c r="S202" s="48">
        <f>IF(A202="","",IF(OR(P202="Pagada",R202=0),"Pagada",IF(O202&lt;TODAY(),"Vencida",IF(O202&lt;=TODAY()+Inicio!$B$19,"Próxima a vencer","Vigente"))))</f>
        <v/>
      </c>
      <c r="T202" s="43" t="n"/>
      <c r="U202" s="68">
        <f>IF($B202="","",YEAR($B202))</f>
        <v/>
      </c>
      <c r="V202" s="68">
        <f>IF($B202="","",MONTH($B202))</f>
        <v/>
      </c>
      <c r="W202" s="68">
        <f>IF($B202="","",DAY($B202))</f>
        <v/>
      </c>
      <c r="X202" s="68">
        <f>IF($B202="","",YEAR($B202)&amp;"-"&amp;TEXT(MONTH($B202),"00"))</f>
        <v/>
      </c>
      <c r="Y202" s="68">
        <f>IF(OR($H202="",$J202=""),"",$J202*IFERROR(VLOOKUP($H202,Maestro_SKU!$A$2:$P$500,12,FALSE),1))</f>
        <v/>
      </c>
    </row>
    <row r="203">
      <c r="A203" s="43" t="n"/>
      <c r="B203" s="54" t="n"/>
      <c r="C203" s="43" t="n"/>
      <c r="D203" s="43" t="n"/>
      <c r="E203" s="48">
        <f>IFERROR(VLOOKUP(D203,Clientes_PDV!$A$2:$J$250,2,FALSE),"")</f>
        <v/>
      </c>
      <c r="F203" s="48">
        <f>IFERROR(VLOOKUP(D203,Clientes_PDV!$A$2:$J$250,3,FALSE),"")</f>
        <v/>
      </c>
      <c r="G203" s="48">
        <f>IFERROR(VLOOKUP(D203,Clientes_PDV!$A$2:$J$250,4,FALSE),"")</f>
        <v/>
      </c>
      <c r="H203" s="43" t="n"/>
      <c r="I203" s="48">
        <f>IFERROR(VLOOKUP(H203,Maestro_SKU!$A$2:$P$500,2,FALSE),"")</f>
        <v/>
      </c>
      <c r="J203" s="55" t="n"/>
      <c r="K203" s="44" t="n"/>
      <c r="L203" s="51">
        <f>IF(OR(J203="",K203=""),"",J203*K203)</f>
        <v/>
      </c>
      <c r="M203" s="51">
        <f>IF(L203="","",L203*Inicio!$B$13)</f>
        <v/>
      </c>
      <c r="N203" s="51">
        <f>IF(L203="","",L203+M203)</f>
        <v/>
      </c>
      <c r="O203" s="54" t="n"/>
      <c r="P203" s="43" t="n"/>
      <c r="Q203" s="44" t="n"/>
      <c r="R203" s="51">
        <f>IF(N203="","",MAX(N203-Q203,0))</f>
        <v/>
      </c>
      <c r="S203" s="48">
        <f>IF(A203="","",IF(OR(P203="Pagada",R203=0),"Pagada",IF(O203&lt;TODAY(),"Vencida",IF(O203&lt;=TODAY()+Inicio!$B$19,"Próxima a vencer","Vigente"))))</f>
        <v/>
      </c>
      <c r="T203" s="43" t="n"/>
      <c r="U203" s="68">
        <f>IF($B203="","",YEAR($B203))</f>
        <v/>
      </c>
      <c r="V203" s="68">
        <f>IF($B203="","",MONTH($B203))</f>
        <v/>
      </c>
      <c r="W203" s="68">
        <f>IF($B203="","",DAY($B203))</f>
        <v/>
      </c>
      <c r="X203" s="68">
        <f>IF($B203="","",YEAR($B203)&amp;"-"&amp;TEXT(MONTH($B203),"00"))</f>
        <v/>
      </c>
      <c r="Y203" s="68">
        <f>IF(OR($H203="",$J203=""),"",$J203*IFERROR(VLOOKUP($H203,Maestro_SKU!$A$2:$P$500,12,FALSE),1))</f>
        <v/>
      </c>
    </row>
    <row r="204">
      <c r="A204" s="43" t="n"/>
      <c r="B204" s="54" t="n"/>
      <c r="C204" s="43" t="n"/>
      <c r="D204" s="43" t="n"/>
      <c r="E204" s="48">
        <f>IFERROR(VLOOKUP(D204,Clientes_PDV!$A$2:$J$250,2,FALSE),"")</f>
        <v/>
      </c>
      <c r="F204" s="48">
        <f>IFERROR(VLOOKUP(D204,Clientes_PDV!$A$2:$J$250,3,FALSE),"")</f>
        <v/>
      </c>
      <c r="G204" s="48">
        <f>IFERROR(VLOOKUP(D204,Clientes_PDV!$A$2:$J$250,4,FALSE),"")</f>
        <v/>
      </c>
      <c r="H204" s="43" t="n"/>
      <c r="I204" s="48">
        <f>IFERROR(VLOOKUP(H204,Maestro_SKU!$A$2:$P$500,2,FALSE),"")</f>
        <v/>
      </c>
      <c r="J204" s="55" t="n"/>
      <c r="K204" s="44" t="n"/>
      <c r="L204" s="51">
        <f>IF(OR(J204="",K204=""),"",J204*K204)</f>
        <v/>
      </c>
      <c r="M204" s="51">
        <f>IF(L204="","",L204*Inicio!$B$13)</f>
        <v/>
      </c>
      <c r="N204" s="51">
        <f>IF(L204="","",L204+M204)</f>
        <v/>
      </c>
      <c r="O204" s="54" t="n"/>
      <c r="P204" s="43" t="n"/>
      <c r="Q204" s="44" t="n"/>
      <c r="R204" s="51">
        <f>IF(N204="","",MAX(N204-Q204,0))</f>
        <v/>
      </c>
      <c r="S204" s="48">
        <f>IF(A204="","",IF(OR(P204="Pagada",R204=0),"Pagada",IF(O204&lt;TODAY(),"Vencida",IF(O204&lt;=TODAY()+Inicio!$B$19,"Próxima a vencer","Vigente"))))</f>
        <v/>
      </c>
      <c r="T204" s="43" t="n"/>
      <c r="U204" s="68">
        <f>IF($B204="","",YEAR($B204))</f>
        <v/>
      </c>
      <c r="V204" s="68">
        <f>IF($B204="","",MONTH($B204))</f>
        <v/>
      </c>
      <c r="W204" s="68">
        <f>IF($B204="","",DAY($B204))</f>
        <v/>
      </c>
      <c r="X204" s="68">
        <f>IF($B204="","",YEAR($B204)&amp;"-"&amp;TEXT(MONTH($B204),"00"))</f>
        <v/>
      </c>
      <c r="Y204" s="68">
        <f>IF(OR($H204="",$J204=""),"",$J204*IFERROR(VLOOKUP($H204,Maestro_SKU!$A$2:$P$500,12,FALSE),1))</f>
        <v/>
      </c>
    </row>
    <row r="205">
      <c r="A205" s="43" t="n"/>
      <c r="B205" s="54" t="n"/>
      <c r="C205" s="43" t="n"/>
      <c r="D205" s="43" t="n"/>
      <c r="E205" s="48">
        <f>IFERROR(VLOOKUP(D205,Clientes_PDV!$A$2:$J$250,2,FALSE),"")</f>
        <v/>
      </c>
      <c r="F205" s="48">
        <f>IFERROR(VLOOKUP(D205,Clientes_PDV!$A$2:$J$250,3,FALSE),"")</f>
        <v/>
      </c>
      <c r="G205" s="48">
        <f>IFERROR(VLOOKUP(D205,Clientes_PDV!$A$2:$J$250,4,FALSE),"")</f>
        <v/>
      </c>
      <c r="H205" s="43" t="n"/>
      <c r="I205" s="48">
        <f>IFERROR(VLOOKUP(H205,Maestro_SKU!$A$2:$P$500,2,FALSE),"")</f>
        <v/>
      </c>
      <c r="J205" s="55" t="n"/>
      <c r="K205" s="44" t="n"/>
      <c r="L205" s="51">
        <f>IF(OR(J205="",K205=""),"",J205*K205)</f>
        <v/>
      </c>
      <c r="M205" s="51">
        <f>IF(L205="","",L205*Inicio!$B$13)</f>
        <v/>
      </c>
      <c r="N205" s="51">
        <f>IF(L205="","",L205+M205)</f>
        <v/>
      </c>
      <c r="O205" s="54" t="n"/>
      <c r="P205" s="43" t="n"/>
      <c r="Q205" s="44" t="n"/>
      <c r="R205" s="51">
        <f>IF(N205="","",MAX(N205-Q205,0))</f>
        <v/>
      </c>
      <c r="S205" s="48">
        <f>IF(A205="","",IF(OR(P205="Pagada",R205=0),"Pagada",IF(O205&lt;TODAY(),"Vencida",IF(O205&lt;=TODAY()+Inicio!$B$19,"Próxima a vencer","Vigente"))))</f>
        <v/>
      </c>
      <c r="T205" s="43" t="n"/>
      <c r="U205" s="68">
        <f>IF($B205="","",YEAR($B205))</f>
        <v/>
      </c>
      <c r="V205" s="68">
        <f>IF($B205="","",MONTH($B205))</f>
        <v/>
      </c>
      <c r="W205" s="68">
        <f>IF($B205="","",DAY($B205))</f>
        <v/>
      </c>
      <c r="X205" s="68">
        <f>IF($B205="","",YEAR($B205)&amp;"-"&amp;TEXT(MONTH($B205),"00"))</f>
        <v/>
      </c>
      <c r="Y205" s="68">
        <f>IF(OR($H205="",$J205=""),"",$J205*IFERROR(VLOOKUP($H205,Maestro_SKU!$A$2:$P$500,12,FALSE),1))</f>
        <v/>
      </c>
    </row>
    <row r="206">
      <c r="A206" s="43" t="n"/>
      <c r="B206" s="54" t="n"/>
      <c r="C206" s="43" t="n"/>
      <c r="D206" s="43" t="n"/>
      <c r="E206" s="48">
        <f>IFERROR(VLOOKUP(D206,Clientes_PDV!$A$2:$J$250,2,FALSE),"")</f>
        <v/>
      </c>
      <c r="F206" s="48">
        <f>IFERROR(VLOOKUP(D206,Clientes_PDV!$A$2:$J$250,3,FALSE),"")</f>
        <v/>
      </c>
      <c r="G206" s="48">
        <f>IFERROR(VLOOKUP(D206,Clientes_PDV!$A$2:$J$250,4,FALSE),"")</f>
        <v/>
      </c>
      <c r="H206" s="43" t="n"/>
      <c r="I206" s="48">
        <f>IFERROR(VLOOKUP(H206,Maestro_SKU!$A$2:$P$500,2,FALSE),"")</f>
        <v/>
      </c>
      <c r="J206" s="55" t="n"/>
      <c r="K206" s="44" t="n"/>
      <c r="L206" s="51">
        <f>IF(OR(J206="",K206=""),"",J206*K206)</f>
        <v/>
      </c>
      <c r="M206" s="51">
        <f>IF(L206="","",L206*Inicio!$B$13)</f>
        <v/>
      </c>
      <c r="N206" s="51">
        <f>IF(L206="","",L206+M206)</f>
        <v/>
      </c>
      <c r="O206" s="54" t="n"/>
      <c r="P206" s="43" t="n"/>
      <c r="Q206" s="44" t="n"/>
      <c r="R206" s="51">
        <f>IF(N206="","",MAX(N206-Q206,0))</f>
        <v/>
      </c>
      <c r="S206" s="48">
        <f>IF(A206="","",IF(OR(P206="Pagada",R206=0),"Pagada",IF(O206&lt;TODAY(),"Vencida",IF(O206&lt;=TODAY()+Inicio!$B$19,"Próxima a vencer","Vigente"))))</f>
        <v/>
      </c>
      <c r="T206" s="43" t="n"/>
      <c r="U206" s="68">
        <f>IF($B206="","",YEAR($B206))</f>
        <v/>
      </c>
      <c r="V206" s="68">
        <f>IF($B206="","",MONTH($B206))</f>
        <v/>
      </c>
      <c r="W206" s="68">
        <f>IF($B206="","",DAY($B206))</f>
        <v/>
      </c>
      <c r="X206" s="68">
        <f>IF($B206="","",YEAR($B206)&amp;"-"&amp;TEXT(MONTH($B206),"00"))</f>
        <v/>
      </c>
      <c r="Y206" s="68">
        <f>IF(OR($H206="",$J206=""),"",$J206*IFERROR(VLOOKUP($H206,Maestro_SKU!$A$2:$P$500,12,FALSE),1))</f>
        <v/>
      </c>
    </row>
    <row r="207">
      <c r="A207" s="43" t="n"/>
      <c r="B207" s="54" t="n"/>
      <c r="C207" s="43" t="n"/>
      <c r="D207" s="43" t="n"/>
      <c r="E207" s="48">
        <f>IFERROR(VLOOKUP(D207,Clientes_PDV!$A$2:$J$250,2,FALSE),"")</f>
        <v/>
      </c>
      <c r="F207" s="48">
        <f>IFERROR(VLOOKUP(D207,Clientes_PDV!$A$2:$J$250,3,FALSE),"")</f>
        <v/>
      </c>
      <c r="G207" s="48">
        <f>IFERROR(VLOOKUP(D207,Clientes_PDV!$A$2:$J$250,4,FALSE),"")</f>
        <v/>
      </c>
      <c r="H207" s="43" t="n"/>
      <c r="I207" s="48">
        <f>IFERROR(VLOOKUP(H207,Maestro_SKU!$A$2:$P$500,2,FALSE),"")</f>
        <v/>
      </c>
      <c r="J207" s="55" t="n"/>
      <c r="K207" s="44" t="n"/>
      <c r="L207" s="51">
        <f>IF(OR(J207="",K207=""),"",J207*K207)</f>
        <v/>
      </c>
      <c r="M207" s="51">
        <f>IF(L207="","",L207*Inicio!$B$13)</f>
        <v/>
      </c>
      <c r="N207" s="51">
        <f>IF(L207="","",L207+M207)</f>
        <v/>
      </c>
      <c r="O207" s="54" t="n"/>
      <c r="P207" s="43" t="n"/>
      <c r="Q207" s="44" t="n"/>
      <c r="R207" s="51">
        <f>IF(N207="","",MAX(N207-Q207,0))</f>
        <v/>
      </c>
      <c r="S207" s="48">
        <f>IF(A207="","",IF(OR(P207="Pagada",R207=0),"Pagada",IF(O207&lt;TODAY(),"Vencida",IF(O207&lt;=TODAY()+Inicio!$B$19,"Próxima a vencer","Vigente"))))</f>
        <v/>
      </c>
      <c r="T207" s="43" t="n"/>
      <c r="U207" s="68">
        <f>IF($B207="","",YEAR($B207))</f>
        <v/>
      </c>
      <c r="V207" s="68">
        <f>IF($B207="","",MONTH($B207))</f>
        <v/>
      </c>
      <c r="W207" s="68">
        <f>IF($B207="","",DAY($B207))</f>
        <v/>
      </c>
      <c r="X207" s="68">
        <f>IF($B207="","",YEAR($B207)&amp;"-"&amp;TEXT(MONTH($B207),"00"))</f>
        <v/>
      </c>
      <c r="Y207" s="68">
        <f>IF(OR($H207="",$J207=""),"",$J207*IFERROR(VLOOKUP($H207,Maestro_SKU!$A$2:$P$500,12,FALSE),1))</f>
        <v/>
      </c>
    </row>
    <row r="208">
      <c r="A208" s="43" t="n"/>
      <c r="B208" s="54" t="n"/>
      <c r="C208" s="43" t="n"/>
      <c r="D208" s="43" t="n"/>
      <c r="E208" s="48">
        <f>IFERROR(VLOOKUP(D208,Clientes_PDV!$A$2:$J$250,2,FALSE),"")</f>
        <v/>
      </c>
      <c r="F208" s="48">
        <f>IFERROR(VLOOKUP(D208,Clientes_PDV!$A$2:$J$250,3,FALSE),"")</f>
        <v/>
      </c>
      <c r="G208" s="48">
        <f>IFERROR(VLOOKUP(D208,Clientes_PDV!$A$2:$J$250,4,FALSE),"")</f>
        <v/>
      </c>
      <c r="H208" s="43" t="n"/>
      <c r="I208" s="48">
        <f>IFERROR(VLOOKUP(H208,Maestro_SKU!$A$2:$P$500,2,FALSE),"")</f>
        <v/>
      </c>
      <c r="J208" s="55" t="n"/>
      <c r="K208" s="44" t="n"/>
      <c r="L208" s="51">
        <f>IF(OR(J208="",K208=""),"",J208*K208)</f>
        <v/>
      </c>
      <c r="M208" s="51">
        <f>IF(L208="","",L208*Inicio!$B$13)</f>
        <v/>
      </c>
      <c r="N208" s="51">
        <f>IF(L208="","",L208+M208)</f>
        <v/>
      </c>
      <c r="O208" s="54" t="n"/>
      <c r="P208" s="43" t="n"/>
      <c r="Q208" s="44" t="n"/>
      <c r="R208" s="51">
        <f>IF(N208="","",MAX(N208-Q208,0))</f>
        <v/>
      </c>
      <c r="S208" s="48">
        <f>IF(A208="","",IF(OR(P208="Pagada",R208=0),"Pagada",IF(O208&lt;TODAY(),"Vencida",IF(O208&lt;=TODAY()+Inicio!$B$19,"Próxima a vencer","Vigente"))))</f>
        <v/>
      </c>
      <c r="T208" s="43" t="n"/>
      <c r="U208" s="68">
        <f>IF($B208="","",YEAR($B208))</f>
        <v/>
      </c>
      <c r="V208" s="68">
        <f>IF($B208="","",MONTH($B208))</f>
        <v/>
      </c>
      <c r="W208" s="68">
        <f>IF($B208="","",DAY($B208))</f>
        <v/>
      </c>
      <c r="X208" s="68">
        <f>IF($B208="","",YEAR($B208)&amp;"-"&amp;TEXT(MONTH($B208),"00"))</f>
        <v/>
      </c>
      <c r="Y208" s="68">
        <f>IF(OR($H208="",$J208=""),"",$J208*IFERROR(VLOOKUP($H208,Maestro_SKU!$A$2:$P$500,12,FALSE),1))</f>
        <v/>
      </c>
    </row>
    <row r="209">
      <c r="A209" s="43" t="n"/>
      <c r="B209" s="54" t="n"/>
      <c r="C209" s="43" t="n"/>
      <c r="D209" s="43" t="n"/>
      <c r="E209" s="48">
        <f>IFERROR(VLOOKUP(D209,Clientes_PDV!$A$2:$J$250,2,FALSE),"")</f>
        <v/>
      </c>
      <c r="F209" s="48">
        <f>IFERROR(VLOOKUP(D209,Clientes_PDV!$A$2:$J$250,3,FALSE),"")</f>
        <v/>
      </c>
      <c r="G209" s="48">
        <f>IFERROR(VLOOKUP(D209,Clientes_PDV!$A$2:$J$250,4,FALSE),"")</f>
        <v/>
      </c>
      <c r="H209" s="43" t="n"/>
      <c r="I209" s="48">
        <f>IFERROR(VLOOKUP(H209,Maestro_SKU!$A$2:$P$500,2,FALSE),"")</f>
        <v/>
      </c>
      <c r="J209" s="55" t="n"/>
      <c r="K209" s="44" t="n"/>
      <c r="L209" s="51">
        <f>IF(OR(J209="",K209=""),"",J209*K209)</f>
        <v/>
      </c>
      <c r="M209" s="51">
        <f>IF(L209="","",L209*Inicio!$B$13)</f>
        <v/>
      </c>
      <c r="N209" s="51">
        <f>IF(L209="","",L209+M209)</f>
        <v/>
      </c>
      <c r="O209" s="54" t="n"/>
      <c r="P209" s="43" t="n"/>
      <c r="Q209" s="44" t="n"/>
      <c r="R209" s="51">
        <f>IF(N209="","",MAX(N209-Q209,0))</f>
        <v/>
      </c>
      <c r="S209" s="48">
        <f>IF(A209="","",IF(OR(P209="Pagada",R209=0),"Pagada",IF(O209&lt;TODAY(),"Vencida",IF(O209&lt;=TODAY()+Inicio!$B$19,"Próxima a vencer","Vigente"))))</f>
        <v/>
      </c>
      <c r="T209" s="43" t="n"/>
      <c r="U209" s="68">
        <f>IF($B209="","",YEAR($B209))</f>
        <v/>
      </c>
      <c r="V209" s="68">
        <f>IF($B209="","",MONTH($B209))</f>
        <v/>
      </c>
      <c r="W209" s="68">
        <f>IF($B209="","",DAY($B209))</f>
        <v/>
      </c>
      <c r="X209" s="68">
        <f>IF($B209="","",YEAR($B209)&amp;"-"&amp;TEXT(MONTH($B209),"00"))</f>
        <v/>
      </c>
      <c r="Y209" s="68">
        <f>IF(OR($H209="",$J209=""),"",$J209*IFERROR(VLOOKUP($H209,Maestro_SKU!$A$2:$P$500,12,FALSE),1))</f>
        <v/>
      </c>
    </row>
    <row r="210">
      <c r="A210" s="43" t="n"/>
      <c r="B210" s="54" t="n"/>
      <c r="C210" s="43" t="n"/>
      <c r="D210" s="43" t="n"/>
      <c r="E210" s="48">
        <f>IFERROR(VLOOKUP(D210,Clientes_PDV!$A$2:$J$250,2,FALSE),"")</f>
        <v/>
      </c>
      <c r="F210" s="48">
        <f>IFERROR(VLOOKUP(D210,Clientes_PDV!$A$2:$J$250,3,FALSE),"")</f>
        <v/>
      </c>
      <c r="G210" s="48">
        <f>IFERROR(VLOOKUP(D210,Clientes_PDV!$A$2:$J$250,4,FALSE),"")</f>
        <v/>
      </c>
      <c r="H210" s="43" t="n"/>
      <c r="I210" s="48">
        <f>IFERROR(VLOOKUP(H210,Maestro_SKU!$A$2:$P$500,2,FALSE),"")</f>
        <v/>
      </c>
      <c r="J210" s="55" t="n"/>
      <c r="K210" s="44" t="n"/>
      <c r="L210" s="51">
        <f>IF(OR(J210="",K210=""),"",J210*K210)</f>
        <v/>
      </c>
      <c r="M210" s="51">
        <f>IF(L210="","",L210*Inicio!$B$13)</f>
        <v/>
      </c>
      <c r="N210" s="51">
        <f>IF(L210="","",L210+M210)</f>
        <v/>
      </c>
      <c r="O210" s="54" t="n"/>
      <c r="P210" s="43" t="n"/>
      <c r="Q210" s="44" t="n"/>
      <c r="R210" s="51">
        <f>IF(N210="","",MAX(N210-Q210,0))</f>
        <v/>
      </c>
      <c r="S210" s="48">
        <f>IF(A210="","",IF(OR(P210="Pagada",R210=0),"Pagada",IF(O210&lt;TODAY(),"Vencida",IF(O210&lt;=TODAY()+Inicio!$B$19,"Próxima a vencer","Vigente"))))</f>
        <v/>
      </c>
      <c r="T210" s="43" t="n"/>
      <c r="U210" s="68">
        <f>IF($B210="","",YEAR($B210))</f>
        <v/>
      </c>
      <c r="V210" s="68">
        <f>IF($B210="","",MONTH($B210))</f>
        <v/>
      </c>
      <c r="W210" s="68">
        <f>IF($B210="","",DAY($B210))</f>
        <v/>
      </c>
      <c r="X210" s="68">
        <f>IF($B210="","",YEAR($B210)&amp;"-"&amp;TEXT(MONTH($B210),"00"))</f>
        <v/>
      </c>
      <c r="Y210" s="68">
        <f>IF(OR($H210="",$J210=""),"",$J210*IFERROR(VLOOKUP($H210,Maestro_SKU!$A$2:$P$500,12,FALSE),1))</f>
        <v/>
      </c>
    </row>
    <row r="211">
      <c r="A211" s="43" t="n"/>
      <c r="B211" s="54" t="n"/>
      <c r="C211" s="43" t="n"/>
      <c r="D211" s="43" t="n"/>
      <c r="E211" s="48">
        <f>IFERROR(VLOOKUP(D211,Clientes_PDV!$A$2:$J$250,2,FALSE),"")</f>
        <v/>
      </c>
      <c r="F211" s="48">
        <f>IFERROR(VLOOKUP(D211,Clientes_PDV!$A$2:$J$250,3,FALSE),"")</f>
        <v/>
      </c>
      <c r="G211" s="48">
        <f>IFERROR(VLOOKUP(D211,Clientes_PDV!$A$2:$J$250,4,FALSE),"")</f>
        <v/>
      </c>
      <c r="H211" s="43" t="n"/>
      <c r="I211" s="48">
        <f>IFERROR(VLOOKUP(H211,Maestro_SKU!$A$2:$P$500,2,FALSE),"")</f>
        <v/>
      </c>
      <c r="J211" s="55" t="n"/>
      <c r="K211" s="44" t="n"/>
      <c r="L211" s="51">
        <f>IF(OR(J211="",K211=""),"",J211*K211)</f>
        <v/>
      </c>
      <c r="M211" s="51">
        <f>IF(L211="","",L211*Inicio!$B$13)</f>
        <v/>
      </c>
      <c r="N211" s="51">
        <f>IF(L211="","",L211+M211)</f>
        <v/>
      </c>
      <c r="O211" s="54" t="n"/>
      <c r="P211" s="43" t="n"/>
      <c r="Q211" s="44" t="n"/>
      <c r="R211" s="51">
        <f>IF(N211="","",MAX(N211-Q211,0))</f>
        <v/>
      </c>
      <c r="S211" s="48">
        <f>IF(A211="","",IF(OR(P211="Pagada",R211=0),"Pagada",IF(O211&lt;TODAY(),"Vencida",IF(O211&lt;=TODAY()+Inicio!$B$19,"Próxima a vencer","Vigente"))))</f>
        <v/>
      </c>
      <c r="T211" s="43" t="n"/>
      <c r="U211" s="68">
        <f>IF($B211="","",YEAR($B211))</f>
        <v/>
      </c>
      <c r="V211" s="68">
        <f>IF($B211="","",MONTH($B211))</f>
        <v/>
      </c>
      <c r="W211" s="68">
        <f>IF($B211="","",DAY($B211))</f>
        <v/>
      </c>
      <c r="X211" s="68">
        <f>IF($B211="","",YEAR($B211)&amp;"-"&amp;TEXT(MONTH($B211),"00"))</f>
        <v/>
      </c>
      <c r="Y211" s="68">
        <f>IF(OR($H211="",$J211=""),"",$J211*IFERROR(VLOOKUP($H211,Maestro_SKU!$A$2:$P$500,12,FALSE),1))</f>
        <v/>
      </c>
    </row>
    <row r="212">
      <c r="A212" s="43" t="n"/>
      <c r="B212" s="54" t="n"/>
      <c r="C212" s="43" t="n"/>
      <c r="D212" s="43" t="n"/>
      <c r="E212" s="48">
        <f>IFERROR(VLOOKUP(D212,Clientes_PDV!$A$2:$J$250,2,FALSE),"")</f>
        <v/>
      </c>
      <c r="F212" s="48">
        <f>IFERROR(VLOOKUP(D212,Clientes_PDV!$A$2:$J$250,3,FALSE),"")</f>
        <v/>
      </c>
      <c r="G212" s="48">
        <f>IFERROR(VLOOKUP(D212,Clientes_PDV!$A$2:$J$250,4,FALSE),"")</f>
        <v/>
      </c>
      <c r="H212" s="43" t="n"/>
      <c r="I212" s="48">
        <f>IFERROR(VLOOKUP(H212,Maestro_SKU!$A$2:$P$500,2,FALSE),"")</f>
        <v/>
      </c>
      <c r="J212" s="55" t="n"/>
      <c r="K212" s="44" t="n"/>
      <c r="L212" s="51">
        <f>IF(OR(J212="",K212=""),"",J212*K212)</f>
        <v/>
      </c>
      <c r="M212" s="51">
        <f>IF(L212="","",L212*Inicio!$B$13)</f>
        <v/>
      </c>
      <c r="N212" s="51">
        <f>IF(L212="","",L212+M212)</f>
        <v/>
      </c>
      <c r="O212" s="54" t="n"/>
      <c r="P212" s="43" t="n"/>
      <c r="Q212" s="44" t="n"/>
      <c r="R212" s="51">
        <f>IF(N212="","",MAX(N212-Q212,0))</f>
        <v/>
      </c>
      <c r="S212" s="48">
        <f>IF(A212="","",IF(OR(P212="Pagada",R212=0),"Pagada",IF(O212&lt;TODAY(),"Vencida",IF(O212&lt;=TODAY()+Inicio!$B$19,"Próxima a vencer","Vigente"))))</f>
        <v/>
      </c>
      <c r="T212" s="43" t="n"/>
      <c r="U212" s="68">
        <f>IF($B212="","",YEAR($B212))</f>
        <v/>
      </c>
      <c r="V212" s="68">
        <f>IF($B212="","",MONTH($B212))</f>
        <v/>
      </c>
      <c r="W212" s="68">
        <f>IF($B212="","",DAY($B212))</f>
        <v/>
      </c>
      <c r="X212" s="68">
        <f>IF($B212="","",YEAR($B212)&amp;"-"&amp;TEXT(MONTH($B212),"00"))</f>
        <v/>
      </c>
      <c r="Y212" s="68">
        <f>IF(OR($H212="",$J212=""),"",$J212*IFERROR(VLOOKUP($H212,Maestro_SKU!$A$2:$P$500,12,FALSE),1))</f>
        <v/>
      </c>
    </row>
    <row r="213">
      <c r="A213" s="43" t="n"/>
      <c r="B213" s="54" t="n"/>
      <c r="C213" s="43" t="n"/>
      <c r="D213" s="43" t="n"/>
      <c r="E213" s="48">
        <f>IFERROR(VLOOKUP(D213,Clientes_PDV!$A$2:$J$250,2,FALSE),"")</f>
        <v/>
      </c>
      <c r="F213" s="48">
        <f>IFERROR(VLOOKUP(D213,Clientes_PDV!$A$2:$J$250,3,FALSE),"")</f>
        <v/>
      </c>
      <c r="G213" s="48">
        <f>IFERROR(VLOOKUP(D213,Clientes_PDV!$A$2:$J$250,4,FALSE),"")</f>
        <v/>
      </c>
      <c r="H213" s="43" t="n"/>
      <c r="I213" s="48">
        <f>IFERROR(VLOOKUP(H213,Maestro_SKU!$A$2:$P$500,2,FALSE),"")</f>
        <v/>
      </c>
      <c r="J213" s="55" t="n"/>
      <c r="K213" s="44" t="n"/>
      <c r="L213" s="51">
        <f>IF(OR(J213="",K213=""),"",J213*K213)</f>
        <v/>
      </c>
      <c r="M213" s="51">
        <f>IF(L213="","",L213*Inicio!$B$13)</f>
        <v/>
      </c>
      <c r="N213" s="51">
        <f>IF(L213="","",L213+M213)</f>
        <v/>
      </c>
      <c r="O213" s="54" t="n"/>
      <c r="P213" s="43" t="n"/>
      <c r="Q213" s="44" t="n"/>
      <c r="R213" s="51">
        <f>IF(N213="","",MAX(N213-Q213,0))</f>
        <v/>
      </c>
      <c r="S213" s="48">
        <f>IF(A213="","",IF(OR(P213="Pagada",R213=0),"Pagada",IF(O213&lt;TODAY(),"Vencida",IF(O213&lt;=TODAY()+Inicio!$B$19,"Próxima a vencer","Vigente"))))</f>
        <v/>
      </c>
      <c r="T213" s="43" t="n"/>
      <c r="U213" s="68">
        <f>IF($B213="","",YEAR($B213))</f>
        <v/>
      </c>
      <c r="V213" s="68">
        <f>IF($B213="","",MONTH($B213))</f>
        <v/>
      </c>
      <c r="W213" s="68">
        <f>IF($B213="","",DAY($B213))</f>
        <v/>
      </c>
      <c r="X213" s="68">
        <f>IF($B213="","",YEAR($B213)&amp;"-"&amp;TEXT(MONTH($B213),"00"))</f>
        <v/>
      </c>
      <c r="Y213" s="68">
        <f>IF(OR($H213="",$J213=""),"",$J213*IFERROR(VLOOKUP($H213,Maestro_SKU!$A$2:$P$500,12,FALSE),1))</f>
        <v/>
      </c>
    </row>
    <row r="214">
      <c r="A214" s="43" t="n"/>
      <c r="B214" s="54" t="n"/>
      <c r="C214" s="43" t="n"/>
      <c r="D214" s="43" t="n"/>
      <c r="E214" s="48">
        <f>IFERROR(VLOOKUP(D214,Clientes_PDV!$A$2:$J$250,2,FALSE),"")</f>
        <v/>
      </c>
      <c r="F214" s="48">
        <f>IFERROR(VLOOKUP(D214,Clientes_PDV!$A$2:$J$250,3,FALSE),"")</f>
        <v/>
      </c>
      <c r="G214" s="48">
        <f>IFERROR(VLOOKUP(D214,Clientes_PDV!$A$2:$J$250,4,FALSE),"")</f>
        <v/>
      </c>
      <c r="H214" s="43" t="n"/>
      <c r="I214" s="48">
        <f>IFERROR(VLOOKUP(H214,Maestro_SKU!$A$2:$P$500,2,FALSE),"")</f>
        <v/>
      </c>
      <c r="J214" s="55" t="n"/>
      <c r="K214" s="44" t="n"/>
      <c r="L214" s="51">
        <f>IF(OR(J214="",K214=""),"",J214*K214)</f>
        <v/>
      </c>
      <c r="M214" s="51">
        <f>IF(L214="","",L214*Inicio!$B$13)</f>
        <v/>
      </c>
      <c r="N214" s="51">
        <f>IF(L214="","",L214+M214)</f>
        <v/>
      </c>
      <c r="O214" s="54" t="n"/>
      <c r="P214" s="43" t="n"/>
      <c r="Q214" s="44" t="n"/>
      <c r="R214" s="51">
        <f>IF(N214="","",MAX(N214-Q214,0))</f>
        <v/>
      </c>
      <c r="S214" s="48">
        <f>IF(A214="","",IF(OR(P214="Pagada",R214=0),"Pagada",IF(O214&lt;TODAY(),"Vencida",IF(O214&lt;=TODAY()+Inicio!$B$19,"Próxima a vencer","Vigente"))))</f>
        <v/>
      </c>
      <c r="T214" s="43" t="n"/>
      <c r="U214" s="68">
        <f>IF($B214="","",YEAR($B214))</f>
        <v/>
      </c>
      <c r="V214" s="68">
        <f>IF($B214="","",MONTH($B214))</f>
        <v/>
      </c>
      <c r="W214" s="68">
        <f>IF($B214="","",DAY($B214))</f>
        <v/>
      </c>
      <c r="X214" s="68">
        <f>IF($B214="","",YEAR($B214)&amp;"-"&amp;TEXT(MONTH($B214),"00"))</f>
        <v/>
      </c>
      <c r="Y214" s="68">
        <f>IF(OR($H214="",$J214=""),"",$J214*IFERROR(VLOOKUP($H214,Maestro_SKU!$A$2:$P$500,12,FALSE),1))</f>
        <v/>
      </c>
    </row>
    <row r="215">
      <c r="A215" s="43" t="n"/>
      <c r="B215" s="54" t="n"/>
      <c r="C215" s="43" t="n"/>
      <c r="D215" s="43" t="n"/>
      <c r="E215" s="48">
        <f>IFERROR(VLOOKUP(D215,Clientes_PDV!$A$2:$J$250,2,FALSE),"")</f>
        <v/>
      </c>
      <c r="F215" s="48">
        <f>IFERROR(VLOOKUP(D215,Clientes_PDV!$A$2:$J$250,3,FALSE),"")</f>
        <v/>
      </c>
      <c r="G215" s="48">
        <f>IFERROR(VLOOKUP(D215,Clientes_PDV!$A$2:$J$250,4,FALSE),"")</f>
        <v/>
      </c>
      <c r="H215" s="43" t="n"/>
      <c r="I215" s="48">
        <f>IFERROR(VLOOKUP(H215,Maestro_SKU!$A$2:$P$500,2,FALSE),"")</f>
        <v/>
      </c>
      <c r="J215" s="55" t="n"/>
      <c r="K215" s="44" t="n"/>
      <c r="L215" s="51">
        <f>IF(OR(J215="",K215=""),"",J215*K215)</f>
        <v/>
      </c>
      <c r="M215" s="51">
        <f>IF(L215="","",L215*Inicio!$B$13)</f>
        <v/>
      </c>
      <c r="N215" s="51">
        <f>IF(L215="","",L215+M215)</f>
        <v/>
      </c>
      <c r="O215" s="54" t="n"/>
      <c r="P215" s="43" t="n"/>
      <c r="Q215" s="44" t="n"/>
      <c r="R215" s="51">
        <f>IF(N215="","",MAX(N215-Q215,0))</f>
        <v/>
      </c>
      <c r="S215" s="48">
        <f>IF(A215="","",IF(OR(P215="Pagada",R215=0),"Pagada",IF(O215&lt;TODAY(),"Vencida",IF(O215&lt;=TODAY()+Inicio!$B$19,"Próxima a vencer","Vigente"))))</f>
        <v/>
      </c>
      <c r="T215" s="43" t="n"/>
      <c r="U215" s="68">
        <f>IF($B215="","",YEAR($B215))</f>
        <v/>
      </c>
      <c r="V215" s="68">
        <f>IF($B215="","",MONTH($B215))</f>
        <v/>
      </c>
      <c r="W215" s="68">
        <f>IF($B215="","",DAY($B215))</f>
        <v/>
      </c>
      <c r="X215" s="68">
        <f>IF($B215="","",YEAR($B215)&amp;"-"&amp;TEXT(MONTH($B215),"00"))</f>
        <v/>
      </c>
      <c r="Y215" s="68">
        <f>IF(OR($H215="",$J215=""),"",$J215*IFERROR(VLOOKUP($H215,Maestro_SKU!$A$2:$P$500,12,FALSE),1))</f>
        <v/>
      </c>
    </row>
    <row r="216">
      <c r="A216" s="43" t="n"/>
      <c r="B216" s="54" t="n"/>
      <c r="C216" s="43" t="n"/>
      <c r="D216" s="43" t="n"/>
      <c r="E216" s="48">
        <f>IFERROR(VLOOKUP(D216,Clientes_PDV!$A$2:$J$250,2,FALSE),"")</f>
        <v/>
      </c>
      <c r="F216" s="48">
        <f>IFERROR(VLOOKUP(D216,Clientes_PDV!$A$2:$J$250,3,FALSE),"")</f>
        <v/>
      </c>
      <c r="G216" s="48">
        <f>IFERROR(VLOOKUP(D216,Clientes_PDV!$A$2:$J$250,4,FALSE),"")</f>
        <v/>
      </c>
      <c r="H216" s="43" t="n"/>
      <c r="I216" s="48">
        <f>IFERROR(VLOOKUP(H216,Maestro_SKU!$A$2:$P$500,2,FALSE),"")</f>
        <v/>
      </c>
      <c r="J216" s="55" t="n"/>
      <c r="K216" s="44" t="n"/>
      <c r="L216" s="51">
        <f>IF(OR(J216="",K216=""),"",J216*K216)</f>
        <v/>
      </c>
      <c r="M216" s="51">
        <f>IF(L216="","",L216*Inicio!$B$13)</f>
        <v/>
      </c>
      <c r="N216" s="51">
        <f>IF(L216="","",L216+M216)</f>
        <v/>
      </c>
      <c r="O216" s="54" t="n"/>
      <c r="P216" s="43" t="n"/>
      <c r="Q216" s="44" t="n"/>
      <c r="R216" s="51">
        <f>IF(N216="","",MAX(N216-Q216,0))</f>
        <v/>
      </c>
      <c r="S216" s="48">
        <f>IF(A216="","",IF(OR(P216="Pagada",R216=0),"Pagada",IF(O216&lt;TODAY(),"Vencida",IF(O216&lt;=TODAY()+Inicio!$B$19,"Próxima a vencer","Vigente"))))</f>
        <v/>
      </c>
      <c r="T216" s="43" t="n"/>
      <c r="U216" s="68">
        <f>IF($B216="","",YEAR($B216))</f>
        <v/>
      </c>
      <c r="V216" s="68">
        <f>IF($B216="","",MONTH($B216))</f>
        <v/>
      </c>
      <c r="W216" s="68">
        <f>IF($B216="","",DAY($B216))</f>
        <v/>
      </c>
      <c r="X216" s="68">
        <f>IF($B216="","",YEAR($B216)&amp;"-"&amp;TEXT(MONTH($B216),"00"))</f>
        <v/>
      </c>
      <c r="Y216" s="68">
        <f>IF(OR($H216="",$J216=""),"",$J216*IFERROR(VLOOKUP($H216,Maestro_SKU!$A$2:$P$500,12,FALSE),1))</f>
        <v/>
      </c>
    </row>
    <row r="217">
      <c r="A217" s="43" t="n"/>
      <c r="B217" s="54" t="n"/>
      <c r="C217" s="43" t="n"/>
      <c r="D217" s="43" t="n"/>
      <c r="E217" s="48">
        <f>IFERROR(VLOOKUP(D217,Clientes_PDV!$A$2:$J$250,2,FALSE),"")</f>
        <v/>
      </c>
      <c r="F217" s="48">
        <f>IFERROR(VLOOKUP(D217,Clientes_PDV!$A$2:$J$250,3,FALSE),"")</f>
        <v/>
      </c>
      <c r="G217" s="48">
        <f>IFERROR(VLOOKUP(D217,Clientes_PDV!$A$2:$J$250,4,FALSE),"")</f>
        <v/>
      </c>
      <c r="H217" s="43" t="n"/>
      <c r="I217" s="48">
        <f>IFERROR(VLOOKUP(H217,Maestro_SKU!$A$2:$P$500,2,FALSE),"")</f>
        <v/>
      </c>
      <c r="J217" s="55" t="n"/>
      <c r="K217" s="44" t="n"/>
      <c r="L217" s="51">
        <f>IF(OR(J217="",K217=""),"",J217*K217)</f>
        <v/>
      </c>
      <c r="M217" s="51">
        <f>IF(L217="","",L217*Inicio!$B$13)</f>
        <v/>
      </c>
      <c r="N217" s="51">
        <f>IF(L217="","",L217+M217)</f>
        <v/>
      </c>
      <c r="O217" s="54" t="n"/>
      <c r="P217" s="43" t="n"/>
      <c r="Q217" s="44" t="n"/>
      <c r="R217" s="51">
        <f>IF(N217="","",MAX(N217-Q217,0))</f>
        <v/>
      </c>
      <c r="S217" s="48">
        <f>IF(A217="","",IF(OR(P217="Pagada",R217=0),"Pagada",IF(O217&lt;TODAY(),"Vencida",IF(O217&lt;=TODAY()+Inicio!$B$19,"Próxima a vencer","Vigente"))))</f>
        <v/>
      </c>
      <c r="T217" s="43" t="n"/>
      <c r="U217" s="68">
        <f>IF($B217="","",YEAR($B217))</f>
        <v/>
      </c>
      <c r="V217" s="68">
        <f>IF($B217="","",MONTH($B217))</f>
        <v/>
      </c>
      <c r="W217" s="68">
        <f>IF($B217="","",DAY($B217))</f>
        <v/>
      </c>
      <c r="X217" s="68">
        <f>IF($B217="","",YEAR($B217)&amp;"-"&amp;TEXT(MONTH($B217),"00"))</f>
        <v/>
      </c>
      <c r="Y217" s="68">
        <f>IF(OR($H217="",$J217=""),"",$J217*IFERROR(VLOOKUP($H217,Maestro_SKU!$A$2:$P$500,12,FALSE),1))</f>
        <v/>
      </c>
    </row>
    <row r="218">
      <c r="A218" s="43" t="n"/>
      <c r="B218" s="54" t="n"/>
      <c r="C218" s="43" t="n"/>
      <c r="D218" s="43" t="n"/>
      <c r="E218" s="48">
        <f>IFERROR(VLOOKUP(D218,Clientes_PDV!$A$2:$J$250,2,FALSE),"")</f>
        <v/>
      </c>
      <c r="F218" s="48">
        <f>IFERROR(VLOOKUP(D218,Clientes_PDV!$A$2:$J$250,3,FALSE),"")</f>
        <v/>
      </c>
      <c r="G218" s="48">
        <f>IFERROR(VLOOKUP(D218,Clientes_PDV!$A$2:$J$250,4,FALSE),"")</f>
        <v/>
      </c>
      <c r="H218" s="43" t="n"/>
      <c r="I218" s="48">
        <f>IFERROR(VLOOKUP(H218,Maestro_SKU!$A$2:$P$500,2,FALSE),"")</f>
        <v/>
      </c>
      <c r="J218" s="55" t="n"/>
      <c r="K218" s="44" t="n"/>
      <c r="L218" s="51">
        <f>IF(OR(J218="",K218=""),"",J218*K218)</f>
        <v/>
      </c>
      <c r="M218" s="51">
        <f>IF(L218="","",L218*Inicio!$B$13)</f>
        <v/>
      </c>
      <c r="N218" s="51">
        <f>IF(L218="","",L218+M218)</f>
        <v/>
      </c>
      <c r="O218" s="54" t="n"/>
      <c r="P218" s="43" t="n"/>
      <c r="Q218" s="44" t="n"/>
      <c r="R218" s="51">
        <f>IF(N218="","",MAX(N218-Q218,0))</f>
        <v/>
      </c>
      <c r="S218" s="48">
        <f>IF(A218="","",IF(OR(P218="Pagada",R218=0),"Pagada",IF(O218&lt;TODAY(),"Vencida",IF(O218&lt;=TODAY()+Inicio!$B$19,"Próxima a vencer","Vigente"))))</f>
        <v/>
      </c>
      <c r="T218" s="43" t="n"/>
      <c r="U218" s="68">
        <f>IF($B218="","",YEAR($B218))</f>
        <v/>
      </c>
      <c r="V218" s="68">
        <f>IF($B218="","",MONTH($B218))</f>
        <v/>
      </c>
      <c r="W218" s="68">
        <f>IF($B218="","",DAY($B218))</f>
        <v/>
      </c>
      <c r="X218" s="68">
        <f>IF($B218="","",YEAR($B218)&amp;"-"&amp;TEXT(MONTH($B218),"00"))</f>
        <v/>
      </c>
      <c r="Y218" s="68">
        <f>IF(OR($H218="",$J218=""),"",$J218*IFERROR(VLOOKUP($H218,Maestro_SKU!$A$2:$P$500,12,FALSE),1))</f>
        <v/>
      </c>
    </row>
    <row r="219">
      <c r="A219" s="43" t="n"/>
      <c r="B219" s="54" t="n"/>
      <c r="C219" s="43" t="n"/>
      <c r="D219" s="43" t="n"/>
      <c r="E219" s="48">
        <f>IFERROR(VLOOKUP(D219,Clientes_PDV!$A$2:$J$250,2,FALSE),"")</f>
        <v/>
      </c>
      <c r="F219" s="48">
        <f>IFERROR(VLOOKUP(D219,Clientes_PDV!$A$2:$J$250,3,FALSE),"")</f>
        <v/>
      </c>
      <c r="G219" s="48">
        <f>IFERROR(VLOOKUP(D219,Clientes_PDV!$A$2:$J$250,4,FALSE),"")</f>
        <v/>
      </c>
      <c r="H219" s="43" t="n"/>
      <c r="I219" s="48">
        <f>IFERROR(VLOOKUP(H219,Maestro_SKU!$A$2:$P$500,2,FALSE),"")</f>
        <v/>
      </c>
      <c r="J219" s="55" t="n"/>
      <c r="K219" s="44" t="n"/>
      <c r="L219" s="51">
        <f>IF(OR(J219="",K219=""),"",J219*K219)</f>
        <v/>
      </c>
      <c r="M219" s="51">
        <f>IF(L219="","",L219*Inicio!$B$13)</f>
        <v/>
      </c>
      <c r="N219" s="51">
        <f>IF(L219="","",L219+M219)</f>
        <v/>
      </c>
      <c r="O219" s="54" t="n"/>
      <c r="P219" s="43" t="n"/>
      <c r="Q219" s="44" t="n"/>
      <c r="R219" s="51">
        <f>IF(N219="","",MAX(N219-Q219,0))</f>
        <v/>
      </c>
      <c r="S219" s="48">
        <f>IF(A219="","",IF(OR(P219="Pagada",R219=0),"Pagada",IF(O219&lt;TODAY(),"Vencida",IF(O219&lt;=TODAY()+Inicio!$B$19,"Próxima a vencer","Vigente"))))</f>
        <v/>
      </c>
      <c r="T219" s="43" t="n"/>
      <c r="U219" s="68">
        <f>IF($B219="","",YEAR($B219))</f>
        <v/>
      </c>
      <c r="V219" s="68">
        <f>IF($B219="","",MONTH($B219))</f>
        <v/>
      </c>
      <c r="W219" s="68">
        <f>IF($B219="","",DAY($B219))</f>
        <v/>
      </c>
      <c r="X219" s="68">
        <f>IF($B219="","",YEAR($B219)&amp;"-"&amp;TEXT(MONTH($B219),"00"))</f>
        <v/>
      </c>
      <c r="Y219" s="68">
        <f>IF(OR($H219="",$J219=""),"",$J219*IFERROR(VLOOKUP($H219,Maestro_SKU!$A$2:$P$500,12,FALSE),1))</f>
        <v/>
      </c>
    </row>
    <row r="220">
      <c r="A220" s="43" t="n"/>
      <c r="B220" s="54" t="n"/>
      <c r="C220" s="43" t="n"/>
      <c r="D220" s="43" t="n"/>
      <c r="E220" s="48">
        <f>IFERROR(VLOOKUP(D220,Clientes_PDV!$A$2:$J$250,2,FALSE),"")</f>
        <v/>
      </c>
      <c r="F220" s="48">
        <f>IFERROR(VLOOKUP(D220,Clientes_PDV!$A$2:$J$250,3,FALSE),"")</f>
        <v/>
      </c>
      <c r="G220" s="48">
        <f>IFERROR(VLOOKUP(D220,Clientes_PDV!$A$2:$J$250,4,FALSE),"")</f>
        <v/>
      </c>
      <c r="H220" s="43" t="n"/>
      <c r="I220" s="48">
        <f>IFERROR(VLOOKUP(H220,Maestro_SKU!$A$2:$P$500,2,FALSE),"")</f>
        <v/>
      </c>
      <c r="J220" s="55" t="n"/>
      <c r="K220" s="44" t="n"/>
      <c r="L220" s="51">
        <f>IF(OR(J220="",K220=""),"",J220*K220)</f>
        <v/>
      </c>
      <c r="M220" s="51">
        <f>IF(L220="","",L220*Inicio!$B$13)</f>
        <v/>
      </c>
      <c r="N220" s="51">
        <f>IF(L220="","",L220+M220)</f>
        <v/>
      </c>
      <c r="O220" s="54" t="n"/>
      <c r="P220" s="43" t="n"/>
      <c r="Q220" s="44" t="n"/>
      <c r="R220" s="51">
        <f>IF(N220="","",MAX(N220-Q220,0))</f>
        <v/>
      </c>
      <c r="S220" s="48">
        <f>IF(A220="","",IF(OR(P220="Pagada",R220=0),"Pagada",IF(O220&lt;TODAY(),"Vencida",IF(O220&lt;=TODAY()+Inicio!$B$19,"Próxima a vencer","Vigente"))))</f>
        <v/>
      </c>
      <c r="T220" s="43" t="n"/>
      <c r="U220" s="68">
        <f>IF($B220="","",YEAR($B220))</f>
        <v/>
      </c>
      <c r="V220" s="68">
        <f>IF($B220="","",MONTH($B220))</f>
        <v/>
      </c>
      <c r="W220" s="68">
        <f>IF($B220="","",DAY($B220))</f>
        <v/>
      </c>
      <c r="X220" s="68">
        <f>IF($B220="","",YEAR($B220)&amp;"-"&amp;TEXT(MONTH($B220),"00"))</f>
        <v/>
      </c>
      <c r="Y220" s="68">
        <f>IF(OR($H220="",$J220=""),"",$J220*IFERROR(VLOOKUP($H220,Maestro_SKU!$A$2:$P$500,12,FALSE),1))</f>
        <v/>
      </c>
    </row>
    <row r="221">
      <c r="A221" s="43" t="n"/>
      <c r="B221" s="54" t="n"/>
      <c r="C221" s="43" t="n"/>
      <c r="D221" s="43" t="n"/>
      <c r="E221" s="48">
        <f>IFERROR(VLOOKUP(D221,Clientes_PDV!$A$2:$J$250,2,FALSE),"")</f>
        <v/>
      </c>
      <c r="F221" s="48">
        <f>IFERROR(VLOOKUP(D221,Clientes_PDV!$A$2:$J$250,3,FALSE),"")</f>
        <v/>
      </c>
      <c r="G221" s="48">
        <f>IFERROR(VLOOKUP(D221,Clientes_PDV!$A$2:$J$250,4,FALSE),"")</f>
        <v/>
      </c>
      <c r="H221" s="43" t="n"/>
      <c r="I221" s="48">
        <f>IFERROR(VLOOKUP(H221,Maestro_SKU!$A$2:$P$500,2,FALSE),"")</f>
        <v/>
      </c>
      <c r="J221" s="55" t="n"/>
      <c r="K221" s="44" t="n"/>
      <c r="L221" s="51">
        <f>IF(OR(J221="",K221=""),"",J221*K221)</f>
        <v/>
      </c>
      <c r="M221" s="51">
        <f>IF(L221="","",L221*Inicio!$B$13)</f>
        <v/>
      </c>
      <c r="N221" s="51">
        <f>IF(L221="","",L221+M221)</f>
        <v/>
      </c>
      <c r="O221" s="54" t="n"/>
      <c r="P221" s="43" t="n"/>
      <c r="Q221" s="44" t="n"/>
      <c r="R221" s="51">
        <f>IF(N221="","",MAX(N221-Q221,0))</f>
        <v/>
      </c>
      <c r="S221" s="48">
        <f>IF(A221="","",IF(OR(P221="Pagada",R221=0),"Pagada",IF(O221&lt;TODAY(),"Vencida",IF(O221&lt;=TODAY()+Inicio!$B$19,"Próxima a vencer","Vigente"))))</f>
        <v/>
      </c>
      <c r="T221" s="43" t="n"/>
      <c r="U221" s="68">
        <f>IF($B221="","",YEAR($B221))</f>
        <v/>
      </c>
      <c r="V221" s="68">
        <f>IF($B221="","",MONTH($B221))</f>
        <v/>
      </c>
      <c r="W221" s="68">
        <f>IF($B221="","",DAY($B221))</f>
        <v/>
      </c>
      <c r="X221" s="68">
        <f>IF($B221="","",YEAR($B221)&amp;"-"&amp;TEXT(MONTH($B221),"00"))</f>
        <v/>
      </c>
      <c r="Y221" s="68">
        <f>IF(OR($H221="",$J221=""),"",$J221*IFERROR(VLOOKUP($H221,Maestro_SKU!$A$2:$P$500,12,FALSE),1))</f>
        <v/>
      </c>
    </row>
    <row r="222">
      <c r="A222" s="43" t="n"/>
      <c r="B222" s="54" t="n"/>
      <c r="C222" s="43" t="n"/>
      <c r="D222" s="43" t="n"/>
      <c r="E222" s="48">
        <f>IFERROR(VLOOKUP(D222,Clientes_PDV!$A$2:$J$250,2,FALSE),"")</f>
        <v/>
      </c>
      <c r="F222" s="48">
        <f>IFERROR(VLOOKUP(D222,Clientes_PDV!$A$2:$J$250,3,FALSE),"")</f>
        <v/>
      </c>
      <c r="G222" s="48">
        <f>IFERROR(VLOOKUP(D222,Clientes_PDV!$A$2:$J$250,4,FALSE),"")</f>
        <v/>
      </c>
      <c r="H222" s="43" t="n"/>
      <c r="I222" s="48">
        <f>IFERROR(VLOOKUP(H222,Maestro_SKU!$A$2:$P$500,2,FALSE),"")</f>
        <v/>
      </c>
      <c r="J222" s="55" t="n"/>
      <c r="K222" s="44" t="n"/>
      <c r="L222" s="51">
        <f>IF(OR(J222="",K222=""),"",J222*K222)</f>
        <v/>
      </c>
      <c r="M222" s="51">
        <f>IF(L222="","",L222*Inicio!$B$13)</f>
        <v/>
      </c>
      <c r="N222" s="51">
        <f>IF(L222="","",L222+M222)</f>
        <v/>
      </c>
      <c r="O222" s="54" t="n"/>
      <c r="P222" s="43" t="n"/>
      <c r="Q222" s="44" t="n"/>
      <c r="R222" s="51">
        <f>IF(N222="","",MAX(N222-Q222,0))</f>
        <v/>
      </c>
      <c r="S222" s="48">
        <f>IF(A222="","",IF(OR(P222="Pagada",R222=0),"Pagada",IF(O222&lt;TODAY(),"Vencida",IF(O222&lt;=TODAY()+Inicio!$B$19,"Próxima a vencer","Vigente"))))</f>
        <v/>
      </c>
      <c r="T222" s="43" t="n"/>
      <c r="U222" s="68">
        <f>IF($B222="","",YEAR($B222))</f>
        <v/>
      </c>
      <c r="V222" s="68">
        <f>IF($B222="","",MONTH($B222))</f>
        <v/>
      </c>
      <c r="W222" s="68">
        <f>IF($B222="","",DAY($B222))</f>
        <v/>
      </c>
      <c r="X222" s="68">
        <f>IF($B222="","",YEAR($B222)&amp;"-"&amp;TEXT(MONTH($B222),"00"))</f>
        <v/>
      </c>
      <c r="Y222" s="68">
        <f>IF(OR($H222="",$J222=""),"",$J222*IFERROR(VLOOKUP($H222,Maestro_SKU!$A$2:$P$500,12,FALSE),1))</f>
        <v/>
      </c>
    </row>
    <row r="223">
      <c r="A223" s="43" t="n"/>
      <c r="B223" s="54" t="n"/>
      <c r="C223" s="43" t="n"/>
      <c r="D223" s="43" t="n"/>
      <c r="E223" s="48">
        <f>IFERROR(VLOOKUP(D223,Clientes_PDV!$A$2:$J$250,2,FALSE),"")</f>
        <v/>
      </c>
      <c r="F223" s="48">
        <f>IFERROR(VLOOKUP(D223,Clientes_PDV!$A$2:$J$250,3,FALSE),"")</f>
        <v/>
      </c>
      <c r="G223" s="48">
        <f>IFERROR(VLOOKUP(D223,Clientes_PDV!$A$2:$J$250,4,FALSE),"")</f>
        <v/>
      </c>
      <c r="H223" s="43" t="n"/>
      <c r="I223" s="48">
        <f>IFERROR(VLOOKUP(H223,Maestro_SKU!$A$2:$P$500,2,FALSE),"")</f>
        <v/>
      </c>
      <c r="J223" s="55" t="n"/>
      <c r="K223" s="44" t="n"/>
      <c r="L223" s="51">
        <f>IF(OR(J223="",K223=""),"",J223*K223)</f>
        <v/>
      </c>
      <c r="M223" s="51">
        <f>IF(L223="","",L223*Inicio!$B$13)</f>
        <v/>
      </c>
      <c r="N223" s="51">
        <f>IF(L223="","",L223+M223)</f>
        <v/>
      </c>
      <c r="O223" s="54" t="n"/>
      <c r="P223" s="43" t="n"/>
      <c r="Q223" s="44" t="n"/>
      <c r="R223" s="51">
        <f>IF(N223="","",MAX(N223-Q223,0))</f>
        <v/>
      </c>
      <c r="S223" s="48">
        <f>IF(A223="","",IF(OR(P223="Pagada",R223=0),"Pagada",IF(O223&lt;TODAY(),"Vencida",IF(O223&lt;=TODAY()+Inicio!$B$19,"Próxima a vencer","Vigente"))))</f>
        <v/>
      </c>
      <c r="T223" s="43" t="n"/>
      <c r="U223" s="68">
        <f>IF($B223="","",YEAR($B223))</f>
        <v/>
      </c>
      <c r="V223" s="68">
        <f>IF($B223="","",MONTH($B223))</f>
        <v/>
      </c>
      <c r="W223" s="68">
        <f>IF($B223="","",DAY($B223))</f>
        <v/>
      </c>
      <c r="X223" s="68">
        <f>IF($B223="","",YEAR($B223)&amp;"-"&amp;TEXT(MONTH($B223),"00"))</f>
        <v/>
      </c>
      <c r="Y223" s="68">
        <f>IF(OR($H223="",$J223=""),"",$J223*IFERROR(VLOOKUP($H223,Maestro_SKU!$A$2:$P$500,12,FALSE),1))</f>
        <v/>
      </c>
    </row>
    <row r="224">
      <c r="A224" s="43" t="n"/>
      <c r="B224" s="54" t="n"/>
      <c r="C224" s="43" t="n"/>
      <c r="D224" s="43" t="n"/>
      <c r="E224" s="48">
        <f>IFERROR(VLOOKUP(D224,Clientes_PDV!$A$2:$J$250,2,FALSE),"")</f>
        <v/>
      </c>
      <c r="F224" s="48">
        <f>IFERROR(VLOOKUP(D224,Clientes_PDV!$A$2:$J$250,3,FALSE),"")</f>
        <v/>
      </c>
      <c r="G224" s="48">
        <f>IFERROR(VLOOKUP(D224,Clientes_PDV!$A$2:$J$250,4,FALSE),"")</f>
        <v/>
      </c>
      <c r="H224" s="43" t="n"/>
      <c r="I224" s="48">
        <f>IFERROR(VLOOKUP(H224,Maestro_SKU!$A$2:$P$500,2,FALSE),"")</f>
        <v/>
      </c>
      <c r="J224" s="55" t="n"/>
      <c r="K224" s="44" t="n"/>
      <c r="L224" s="51">
        <f>IF(OR(J224="",K224=""),"",J224*K224)</f>
        <v/>
      </c>
      <c r="M224" s="51">
        <f>IF(L224="","",L224*Inicio!$B$13)</f>
        <v/>
      </c>
      <c r="N224" s="51">
        <f>IF(L224="","",L224+M224)</f>
        <v/>
      </c>
      <c r="O224" s="54" t="n"/>
      <c r="P224" s="43" t="n"/>
      <c r="Q224" s="44" t="n"/>
      <c r="R224" s="51">
        <f>IF(N224="","",MAX(N224-Q224,0))</f>
        <v/>
      </c>
      <c r="S224" s="48">
        <f>IF(A224="","",IF(OR(P224="Pagada",R224=0),"Pagada",IF(O224&lt;TODAY(),"Vencida",IF(O224&lt;=TODAY()+Inicio!$B$19,"Próxima a vencer","Vigente"))))</f>
        <v/>
      </c>
      <c r="T224" s="43" t="n"/>
      <c r="U224" s="68">
        <f>IF($B224="","",YEAR($B224))</f>
        <v/>
      </c>
      <c r="V224" s="68">
        <f>IF($B224="","",MONTH($B224))</f>
        <v/>
      </c>
      <c r="W224" s="68">
        <f>IF($B224="","",DAY($B224))</f>
        <v/>
      </c>
      <c r="X224" s="68">
        <f>IF($B224="","",YEAR($B224)&amp;"-"&amp;TEXT(MONTH($B224),"00"))</f>
        <v/>
      </c>
      <c r="Y224" s="68">
        <f>IF(OR($H224="",$J224=""),"",$J224*IFERROR(VLOOKUP($H224,Maestro_SKU!$A$2:$P$500,12,FALSE),1))</f>
        <v/>
      </c>
    </row>
    <row r="225">
      <c r="A225" s="43" t="n"/>
      <c r="B225" s="54" t="n"/>
      <c r="C225" s="43" t="n"/>
      <c r="D225" s="43" t="n"/>
      <c r="E225" s="48">
        <f>IFERROR(VLOOKUP(D225,Clientes_PDV!$A$2:$J$250,2,FALSE),"")</f>
        <v/>
      </c>
      <c r="F225" s="48">
        <f>IFERROR(VLOOKUP(D225,Clientes_PDV!$A$2:$J$250,3,FALSE),"")</f>
        <v/>
      </c>
      <c r="G225" s="48">
        <f>IFERROR(VLOOKUP(D225,Clientes_PDV!$A$2:$J$250,4,FALSE),"")</f>
        <v/>
      </c>
      <c r="H225" s="43" t="n"/>
      <c r="I225" s="48">
        <f>IFERROR(VLOOKUP(H225,Maestro_SKU!$A$2:$P$500,2,FALSE),"")</f>
        <v/>
      </c>
      <c r="J225" s="55" t="n"/>
      <c r="K225" s="44" t="n"/>
      <c r="L225" s="51">
        <f>IF(OR(J225="",K225=""),"",J225*K225)</f>
        <v/>
      </c>
      <c r="M225" s="51">
        <f>IF(L225="","",L225*Inicio!$B$13)</f>
        <v/>
      </c>
      <c r="N225" s="51">
        <f>IF(L225="","",L225+M225)</f>
        <v/>
      </c>
      <c r="O225" s="54" t="n"/>
      <c r="P225" s="43" t="n"/>
      <c r="Q225" s="44" t="n"/>
      <c r="R225" s="51">
        <f>IF(N225="","",MAX(N225-Q225,0))</f>
        <v/>
      </c>
      <c r="S225" s="48">
        <f>IF(A225="","",IF(OR(P225="Pagada",R225=0),"Pagada",IF(O225&lt;TODAY(),"Vencida",IF(O225&lt;=TODAY()+Inicio!$B$19,"Próxima a vencer","Vigente"))))</f>
        <v/>
      </c>
      <c r="T225" s="43" t="n"/>
      <c r="U225" s="68">
        <f>IF($B225="","",YEAR($B225))</f>
        <v/>
      </c>
      <c r="V225" s="68">
        <f>IF($B225="","",MONTH($B225))</f>
        <v/>
      </c>
      <c r="W225" s="68">
        <f>IF($B225="","",DAY($B225))</f>
        <v/>
      </c>
      <c r="X225" s="68">
        <f>IF($B225="","",YEAR($B225)&amp;"-"&amp;TEXT(MONTH($B225),"00"))</f>
        <v/>
      </c>
      <c r="Y225" s="68">
        <f>IF(OR($H225="",$J225=""),"",$J225*IFERROR(VLOOKUP($H225,Maestro_SKU!$A$2:$P$500,12,FALSE),1))</f>
        <v/>
      </c>
    </row>
    <row r="226">
      <c r="A226" s="43" t="n"/>
      <c r="B226" s="54" t="n"/>
      <c r="C226" s="43" t="n"/>
      <c r="D226" s="43" t="n"/>
      <c r="E226" s="48">
        <f>IFERROR(VLOOKUP(D226,Clientes_PDV!$A$2:$J$250,2,FALSE),"")</f>
        <v/>
      </c>
      <c r="F226" s="48">
        <f>IFERROR(VLOOKUP(D226,Clientes_PDV!$A$2:$J$250,3,FALSE),"")</f>
        <v/>
      </c>
      <c r="G226" s="48">
        <f>IFERROR(VLOOKUP(D226,Clientes_PDV!$A$2:$J$250,4,FALSE),"")</f>
        <v/>
      </c>
      <c r="H226" s="43" t="n"/>
      <c r="I226" s="48">
        <f>IFERROR(VLOOKUP(H226,Maestro_SKU!$A$2:$P$500,2,FALSE),"")</f>
        <v/>
      </c>
      <c r="J226" s="55" t="n"/>
      <c r="K226" s="44" t="n"/>
      <c r="L226" s="51">
        <f>IF(OR(J226="",K226=""),"",J226*K226)</f>
        <v/>
      </c>
      <c r="M226" s="51">
        <f>IF(L226="","",L226*Inicio!$B$13)</f>
        <v/>
      </c>
      <c r="N226" s="51">
        <f>IF(L226="","",L226+M226)</f>
        <v/>
      </c>
      <c r="O226" s="54" t="n"/>
      <c r="P226" s="43" t="n"/>
      <c r="Q226" s="44" t="n"/>
      <c r="R226" s="51">
        <f>IF(N226="","",MAX(N226-Q226,0))</f>
        <v/>
      </c>
      <c r="S226" s="48">
        <f>IF(A226="","",IF(OR(P226="Pagada",R226=0),"Pagada",IF(O226&lt;TODAY(),"Vencida",IF(O226&lt;=TODAY()+Inicio!$B$19,"Próxima a vencer","Vigente"))))</f>
        <v/>
      </c>
      <c r="T226" s="43" t="n"/>
      <c r="U226" s="68">
        <f>IF($B226="","",YEAR($B226))</f>
        <v/>
      </c>
      <c r="V226" s="68">
        <f>IF($B226="","",MONTH($B226))</f>
        <v/>
      </c>
      <c r="W226" s="68">
        <f>IF($B226="","",DAY($B226))</f>
        <v/>
      </c>
      <c r="X226" s="68">
        <f>IF($B226="","",YEAR($B226)&amp;"-"&amp;TEXT(MONTH($B226),"00"))</f>
        <v/>
      </c>
      <c r="Y226" s="68">
        <f>IF(OR($H226="",$J226=""),"",$J226*IFERROR(VLOOKUP($H226,Maestro_SKU!$A$2:$P$500,12,FALSE),1))</f>
        <v/>
      </c>
    </row>
    <row r="227">
      <c r="A227" s="43" t="n"/>
      <c r="B227" s="54" t="n"/>
      <c r="C227" s="43" t="n"/>
      <c r="D227" s="43" t="n"/>
      <c r="E227" s="48">
        <f>IFERROR(VLOOKUP(D227,Clientes_PDV!$A$2:$J$250,2,FALSE),"")</f>
        <v/>
      </c>
      <c r="F227" s="48">
        <f>IFERROR(VLOOKUP(D227,Clientes_PDV!$A$2:$J$250,3,FALSE),"")</f>
        <v/>
      </c>
      <c r="G227" s="48">
        <f>IFERROR(VLOOKUP(D227,Clientes_PDV!$A$2:$J$250,4,FALSE),"")</f>
        <v/>
      </c>
      <c r="H227" s="43" t="n"/>
      <c r="I227" s="48">
        <f>IFERROR(VLOOKUP(H227,Maestro_SKU!$A$2:$P$500,2,FALSE),"")</f>
        <v/>
      </c>
      <c r="J227" s="55" t="n"/>
      <c r="K227" s="44" t="n"/>
      <c r="L227" s="51">
        <f>IF(OR(J227="",K227=""),"",J227*K227)</f>
        <v/>
      </c>
      <c r="M227" s="51">
        <f>IF(L227="","",L227*Inicio!$B$13)</f>
        <v/>
      </c>
      <c r="N227" s="51">
        <f>IF(L227="","",L227+M227)</f>
        <v/>
      </c>
      <c r="O227" s="54" t="n"/>
      <c r="P227" s="43" t="n"/>
      <c r="Q227" s="44" t="n"/>
      <c r="R227" s="51">
        <f>IF(N227="","",MAX(N227-Q227,0))</f>
        <v/>
      </c>
      <c r="S227" s="48">
        <f>IF(A227="","",IF(OR(P227="Pagada",R227=0),"Pagada",IF(O227&lt;TODAY(),"Vencida",IF(O227&lt;=TODAY()+Inicio!$B$19,"Próxima a vencer","Vigente"))))</f>
        <v/>
      </c>
      <c r="T227" s="43" t="n"/>
      <c r="U227" s="68">
        <f>IF($B227="","",YEAR($B227))</f>
        <v/>
      </c>
      <c r="V227" s="68">
        <f>IF($B227="","",MONTH($B227))</f>
        <v/>
      </c>
      <c r="W227" s="68">
        <f>IF($B227="","",DAY($B227))</f>
        <v/>
      </c>
      <c r="X227" s="68">
        <f>IF($B227="","",YEAR($B227)&amp;"-"&amp;TEXT(MONTH($B227),"00"))</f>
        <v/>
      </c>
      <c r="Y227" s="68">
        <f>IF(OR($H227="",$J227=""),"",$J227*IFERROR(VLOOKUP($H227,Maestro_SKU!$A$2:$P$500,12,FALSE),1))</f>
        <v/>
      </c>
    </row>
    <row r="228">
      <c r="A228" s="43" t="n"/>
      <c r="B228" s="54" t="n"/>
      <c r="C228" s="43" t="n"/>
      <c r="D228" s="43" t="n"/>
      <c r="E228" s="48">
        <f>IFERROR(VLOOKUP(D228,Clientes_PDV!$A$2:$J$250,2,FALSE),"")</f>
        <v/>
      </c>
      <c r="F228" s="48">
        <f>IFERROR(VLOOKUP(D228,Clientes_PDV!$A$2:$J$250,3,FALSE),"")</f>
        <v/>
      </c>
      <c r="G228" s="48">
        <f>IFERROR(VLOOKUP(D228,Clientes_PDV!$A$2:$J$250,4,FALSE),"")</f>
        <v/>
      </c>
      <c r="H228" s="43" t="n"/>
      <c r="I228" s="48">
        <f>IFERROR(VLOOKUP(H228,Maestro_SKU!$A$2:$P$500,2,FALSE),"")</f>
        <v/>
      </c>
      <c r="J228" s="55" t="n"/>
      <c r="K228" s="44" t="n"/>
      <c r="L228" s="51">
        <f>IF(OR(J228="",K228=""),"",J228*K228)</f>
        <v/>
      </c>
      <c r="M228" s="51">
        <f>IF(L228="","",L228*Inicio!$B$13)</f>
        <v/>
      </c>
      <c r="N228" s="51">
        <f>IF(L228="","",L228+M228)</f>
        <v/>
      </c>
      <c r="O228" s="54" t="n"/>
      <c r="P228" s="43" t="n"/>
      <c r="Q228" s="44" t="n"/>
      <c r="R228" s="51">
        <f>IF(N228="","",MAX(N228-Q228,0))</f>
        <v/>
      </c>
      <c r="S228" s="48">
        <f>IF(A228="","",IF(OR(P228="Pagada",R228=0),"Pagada",IF(O228&lt;TODAY(),"Vencida",IF(O228&lt;=TODAY()+Inicio!$B$19,"Próxima a vencer","Vigente"))))</f>
        <v/>
      </c>
      <c r="T228" s="43" t="n"/>
      <c r="U228" s="68">
        <f>IF($B228="","",YEAR($B228))</f>
        <v/>
      </c>
      <c r="V228" s="68">
        <f>IF($B228="","",MONTH($B228))</f>
        <v/>
      </c>
      <c r="W228" s="68">
        <f>IF($B228="","",DAY($B228))</f>
        <v/>
      </c>
      <c r="X228" s="68">
        <f>IF($B228="","",YEAR($B228)&amp;"-"&amp;TEXT(MONTH($B228),"00"))</f>
        <v/>
      </c>
      <c r="Y228" s="68">
        <f>IF(OR($H228="",$J228=""),"",$J228*IFERROR(VLOOKUP($H228,Maestro_SKU!$A$2:$P$500,12,FALSE),1))</f>
        <v/>
      </c>
    </row>
    <row r="229">
      <c r="A229" s="43" t="n"/>
      <c r="B229" s="54" t="n"/>
      <c r="C229" s="43" t="n"/>
      <c r="D229" s="43" t="n"/>
      <c r="E229" s="48">
        <f>IFERROR(VLOOKUP(D229,Clientes_PDV!$A$2:$J$250,2,FALSE),"")</f>
        <v/>
      </c>
      <c r="F229" s="48">
        <f>IFERROR(VLOOKUP(D229,Clientes_PDV!$A$2:$J$250,3,FALSE),"")</f>
        <v/>
      </c>
      <c r="G229" s="48">
        <f>IFERROR(VLOOKUP(D229,Clientes_PDV!$A$2:$J$250,4,FALSE),"")</f>
        <v/>
      </c>
      <c r="H229" s="43" t="n"/>
      <c r="I229" s="48">
        <f>IFERROR(VLOOKUP(H229,Maestro_SKU!$A$2:$P$500,2,FALSE),"")</f>
        <v/>
      </c>
      <c r="J229" s="55" t="n"/>
      <c r="K229" s="44" t="n"/>
      <c r="L229" s="51">
        <f>IF(OR(J229="",K229=""),"",J229*K229)</f>
        <v/>
      </c>
      <c r="M229" s="51">
        <f>IF(L229="","",L229*Inicio!$B$13)</f>
        <v/>
      </c>
      <c r="N229" s="51">
        <f>IF(L229="","",L229+M229)</f>
        <v/>
      </c>
      <c r="O229" s="54" t="n"/>
      <c r="P229" s="43" t="n"/>
      <c r="Q229" s="44" t="n"/>
      <c r="R229" s="51">
        <f>IF(N229="","",MAX(N229-Q229,0))</f>
        <v/>
      </c>
      <c r="S229" s="48">
        <f>IF(A229="","",IF(OR(P229="Pagada",R229=0),"Pagada",IF(O229&lt;TODAY(),"Vencida",IF(O229&lt;=TODAY()+Inicio!$B$19,"Próxima a vencer","Vigente"))))</f>
        <v/>
      </c>
      <c r="T229" s="43" t="n"/>
      <c r="U229" s="68">
        <f>IF($B229="","",YEAR($B229))</f>
        <v/>
      </c>
      <c r="V229" s="68">
        <f>IF($B229="","",MONTH($B229))</f>
        <v/>
      </c>
      <c r="W229" s="68">
        <f>IF($B229="","",DAY($B229))</f>
        <v/>
      </c>
      <c r="X229" s="68">
        <f>IF($B229="","",YEAR($B229)&amp;"-"&amp;TEXT(MONTH($B229),"00"))</f>
        <v/>
      </c>
      <c r="Y229" s="68">
        <f>IF(OR($H229="",$J229=""),"",$J229*IFERROR(VLOOKUP($H229,Maestro_SKU!$A$2:$P$500,12,FALSE),1))</f>
        <v/>
      </c>
    </row>
    <row r="230">
      <c r="A230" s="43" t="n"/>
      <c r="B230" s="54" t="n"/>
      <c r="C230" s="43" t="n"/>
      <c r="D230" s="43" t="n"/>
      <c r="E230" s="48">
        <f>IFERROR(VLOOKUP(D230,Clientes_PDV!$A$2:$J$250,2,FALSE),"")</f>
        <v/>
      </c>
      <c r="F230" s="48">
        <f>IFERROR(VLOOKUP(D230,Clientes_PDV!$A$2:$J$250,3,FALSE),"")</f>
        <v/>
      </c>
      <c r="G230" s="48">
        <f>IFERROR(VLOOKUP(D230,Clientes_PDV!$A$2:$J$250,4,FALSE),"")</f>
        <v/>
      </c>
      <c r="H230" s="43" t="n"/>
      <c r="I230" s="48">
        <f>IFERROR(VLOOKUP(H230,Maestro_SKU!$A$2:$P$500,2,FALSE),"")</f>
        <v/>
      </c>
      <c r="J230" s="55" t="n"/>
      <c r="K230" s="44" t="n"/>
      <c r="L230" s="51">
        <f>IF(OR(J230="",K230=""),"",J230*K230)</f>
        <v/>
      </c>
      <c r="M230" s="51">
        <f>IF(L230="","",L230*Inicio!$B$13)</f>
        <v/>
      </c>
      <c r="N230" s="51">
        <f>IF(L230="","",L230+M230)</f>
        <v/>
      </c>
      <c r="O230" s="54" t="n"/>
      <c r="P230" s="43" t="n"/>
      <c r="Q230" s="44" t="n"/>
      <c r="R230" s="51">
        <f>IF(N230="","",MAX(N230-Q230,0))</f>
        <v/>
      </c>
      <c r="S230" s="48">
        <f>IF(A230="","",IF(OR(P230="Pagada",R230=0),"Pagada",IF(O230&lt;TODAY(),"Vencida",IF(O230&lt;=TODAY()+Inicio!$B$19,"Próxima a vencer","Vigente"))))</f>
        <v/>
      </c>
      <c r="T230" s="43" t="n"/>
      <c r="U230" s="68">
        <f>IF($B230="","",YEAR($B230))</f>
        <v/>
      </c>
      <c r="V230" s="68">
        <f>IF($B230="","",MONTH($B230))</f>
        <v/>
      </c>
      <c r="W230" s="68">
        <f>IF($B230="","",DAY($B230))</f>
        <v/>
      </c>
      <c r="X230" s="68">
        <f>IF($B230="","",YEAR($B230)&amp;"-"&amp;TEXT(MONTH($B230),"00"))</f>
        <v/>
      </c>
      <c r="Y230" s="68">
        <f>IF(OR($H230="",$J230=""),"",$J230*IFERROR(VLOOKUP($H230,Maestro_SKU!$A$2:$P$500,12,FALSE),1))</f>
        <v/>
      </c>
    </row>
    <row r="231">
      <c r="A231" s="43" t="n"/>
      <c r="B231" s="54" t="n"/>
      <c r="C231" s="43" t="n"/>
      <c r="D231" s="43" t="n"/>
      <c r="E231" s="48">
        <f>IFERROR(VLOOKUP(D231,Clientes_PDV!$A$2:$J$250,2,FALSE),"")</f>
        <v/>
      </c>
      <c r="F231" s="48">
        <f>IFERROR(VLOOKUP(D231,Clientes_PDV!$A$2:$J$250,3,FALSE),"")</f>
        <v/>
      </c>
      <c r="G231" s="48">
        <f>IFERROR(VLOOKUP(D231,Clientes_PDV!$A$2:$J$250,4,FALSE),"")</f>
        <v/>
      </c>
      <c r="H231" s="43" t="n"/>
      <c r="I231" s="48">
        <f>IFERROR(VLOOKUP(H231,Maestro_SKU!$A$2:$P$500,2,FALSE),"")</f>
        <v/>
      </c>
      <c r="J231" s="55" t="n"/>
      <c r="K231" s="44" t="n"/>
      <c r="L231" s="51">
        <f>IF(OR(J231="",K231=""),"",J231*K231)</f>
        <v/>
      </c>
      <c r="M231" s="51">
        <f>IF(L231="","",L231*Inicio!$B$13)</f>
        <v/>
      </c>
      <c r="N231" s="51">
        <f>IF(L231="","",L231+M231)</f>
        <v/>
      </c>
      <c r="O231" s="54" t="n"/>
      <c r="P231" s="43" t="n"/>
      <c r="Q231" s="44" t="n"/>
      <c r="R231" s="51">
        <f>IF(N231="","",MAX(N231-Q231,0))</f>
        <v/>
      </c>
      <c r="S231" s="48">
        <f>IF(A231="","",IF(OR(P231="Pagada",R231=0),"Pagada",IF(O231&lt;TODAY(),"Vencida",IF(O231&lt;=TODAY()+Inicio!$B$19,"Próxima a vencer","Vigente"))))</f>
        <v/>
      </c>
      <c r="T231" s="43" t="n"/>
      <c r="U231" s="68">
        <f>IF($B231="","",YEAR($B231))</f>
        <v/>
      </c>
      <c r="V231" s="68">
        <f>IF($B231="","",MONTH($B231))</f>
        <v/>
      </c>
      <c r="W231" s="68">
        <f>IF($B231="","",DAY($B231))</f>
        <v/>
      </c>
      <c r="X231" s="68">
        <f>IF($B231="","",YEAR($B231)&amp;"-"&amp;TEXT(MONTH($B231),"00"))</f>
        <v/>
      </c>
      <c r="Y231" s="68">
        <f>IF(OR($H231="",$J231=""),"",$J231*IFERROR(VLOOKUP($H231,Maestro_SKU!$A$2:$P$500,12,FALSE),1))</f>
        <v/>
      </c>
    </row>
    <row r="232">
      <c r="A232" s="43" t="n"/>
      <c r="B232" s="54" t="n"/>
      <c r="C232" s="43" t="n"/>
      <c r="D232" s="43" t="n"/>
      <c r="E232" s="48">
        <f>IFERROR(VLOOKUP(D232,Clientes_PDV!$A$2:$J$250,2,FALSE),"")</f>
        <v/>
      </c>
      <c r="F232" s="48">
        <f>IFERROR(VLOOKUP(D232,Clientes_PDV!$A$2:$J$250,3,FALSE),"")</f>
        <v/>
      </c>
      <c r="G232" s="48">
        <f>IFERROR(VLOOKUP(D232,Clientes_PDV!$A$2:$J$250,4,FALSE),"")</f>
        <v/>
      </c>
      <c r="H232" s="43" t="n"/>
      <c r="I232" s="48">
        <f>IFERROR(VLOOKUP(H232,Maestro_SKU!$A$2:$P$500,2,FALSE),"")</f>
        <v/>
      </c>
      <c r="J232" s="55" t="n"/>
      <c r="K232" s="44" t="n"/>
      <c r="L232" s="51">
        <f>IF(OR(J232="",K232=""),"",J232*K232)</f>
        <v/>
      </c>
      <c r="M232" s="51">
        <f>IF(L232="","",L232*Inicio!$B$13)</f>
        <v/>
      </c>
      <c r="N232" s="51">
        <f>IF(L232="","",L232+M232)</f>
        <v/>
      </c>
      <c r="O232" s="54" t="n"/>
      <c r="P232" s="43" t="n"/>
      <c r="Q232" s="44" t="n"/>
      <c r="R232" s="51">
        <f>IF(N232="","",MAX(N232-Q232,0))</f>
        <v/>
      </c>
      <c r="S232" s="48">
        <f>IF(A232="","",IF(OR(P232="Pagada",R232=0),"Pagada",IF(O232&lt;TODAY(),"Vencida",IF(O232&lt;=TODAY()+Inicio!$B$19,"Próxima a vencer","Vigente"))))</f>
        <v/>
      </c>
      <c r="T232" s="43" t="n"/>
      <c r="U232" s="68">
        <f>IF($B232="","",YEAR($B232))</f>
        <v/>
      </c>
      <c r="V232" s="68">
        <f>IF($B232="","",MONTH($B232))</f>
        <v/>
      </c>
      <c r="W232" s="68">
        <f>IF($B232="","",DAY($B232))</f>
        <v/>
      </c>
      <c r="X232" s="68">
        <f>IF($B232="","",YEAR($B232)&amp;"-"&amp;TEXT(MONTH($B232),"00"))</f>
        <v/>
      </c>
      <c r="Y232" s="68">
        <f>IF(OR($H232="",$J232=""),"",$J232*IFERROR(VLOOKUP($H232,Maestro_SKU!$A$2:$P$500,12,FALSE),1))</f>
        <v/>
      </c>
    </row>
    <row r="233">
      <c r="A233" s="43" t="n"/>
      <c r="B233" s="54" t="n"/>
      <c r="C233" s="43" t="n"/>
      <c r="D233" s="43" t="n"/>
      <c r="E233" s="48">
        <f>IFERROR(VLOOKUP(D233,Clientes_PDV!$A$2:$J$250,2,FALSE),"")</f>
        <v/>
      </c>
      <c r="F233" s="48">
        <f>IFERROR(VLOOKUP(D233,Clientes_PDV!$A$2:$J$250,3,FALSE),"")</f>
        <v/>
      </c>
      <c r="G233" s="48">
        <f>IFERROR(VLOOKUP(D233,Clientes_PDV!$A$2:$J$250,4,FALSE),"")</f>
        <v/>
      </c>
      <c r="H233" s="43" t="n"/>
      <c r="I233" s="48">
        <f>IFERROR(VLOOKUP(H233,Maestro_SKU!$A$2:$P$500,2,FALSE),"")</f>
        <v/>
      </c>
      <c r="J233" s="55" t="n"/>
      <c r="K233" s="44" t="n"/>
      <c r="L233" s="51">
        <f>IF(OR(J233="",K233=""),"",J233*K233)</f>
        <v/>
      </c>
      <c r="M233" s="51">
        <f>IF(L233="","",L233*Inicio!$B$13)</f>
        <v/>
      </c>
      <c r="N233" s="51">
        <f>IF(L233="","",L233+M233)</f>
        <v/>
      </c>
      <c r="O233" s="54" t="n"/>
      <c r="P233" s="43" t="n"/>
      <c r="Q233" s="44" t="n"/>
      <c r="R233" s="51">
        <f>IF(N233="","",MAX(N233-Q233,0))</f>
        <v/>
      </c>
      <c r="S233" s="48">
        <f>IF(A233="","",IF(OR(P233="Pagada",R233=0),"Pagada",IF(O233&lt;TODAY(),"Vencida",IF(O233&lt;=TODAY()+Inicio!$B$19,"Próxima a vencer","Vigente"))))</f>
        <v/>
      </c>
      <c r="T233" s="43" t="n"/>
      <c r="U233" s="68">
        <f>IF($B233="","",YEAR($B233))</f>
        <v/>
      </c>
      <c r="V233" s="68">
        <f>IF($B233="","",MONTH($B233))</f>
        <v/>
      </c>
      <c r="W233" s="68">
        <f>IF($B233="","",DAY($B233))</f>
        <v/>
      </c>
      <c r="X233" s="68">
        <f>IF($B233="","",YEAR($B233)&amp;"-"&amp;TEXT(MONTH($B233),"00"))</f>
        <v/>
      </c>
      <c r="Y233" s="68">
        <f>IF(OR($H233="",$J233=""),"",$J233*IFERROR(VLOOKUP($H233,Maestro_SKU!$A$2:$P$500,12,FALSE),1))</f>
        <v/>
      </c>
    </row>
    <row r="234">
      <c r="A234" s="43" t="n"/>
      <c r="B234" s="54" t="n"/>
      <c r="C234" s="43" t="n"/>
      <c r="D234" s="43" t="n"/>
      <c r="E234" s="48">
        <f>IFERROR(VLOOKUP(D234,Clientes_PDV!$A$2:$J$250,2,FALSE),"")</f>
        <v/>
      </c>
      <c r="F234" s="48">
        <f>IFERROR(VLOOKUP(D234,Clientes_PDV!$A$2:$J$250,3,FALSE),"")</f>
        <v/>
      </c>
      <c r="G234" s="48">
        <f>IFERROR(VLOOKUP(D234,Clientes_PDV!$A$2:$J$250,4,FALSE),"")</f>
        <v/>
      </c>
      <c r="H234" s="43" t="n"/>
      <c r="I234" s="48">
        <f>IFERROR(VLOOKUP(H234,Maestro_SKU!$A$2:$P$500,2,FALSE),"")</f>
        <v/>
      </c>
      <c r="J234" s="55" t="n"/>
      <c r="K234" s="44" t="n"/>
      <c r="L234" s="51">
        <f>IF(OR(J234="",K234=""),"",J234*K234)</f>
        <v/>
      </c>
      <c r="M234" s="51">
        <f>IF(L234="","",L234*Inicio!$B$13)</f>
        <v/>
      </c>
      <c r="N234" s="51">
        <f>IF(L234="","",L234+M234)</f>
        <v/>
      </c>
      <c r="O234" s="54" t="n"/>
      <c r="P234" s="43" t="n"/>
      <c r="Q234" s="44" t="n"/>
      <c r="R234" s="51">
        <f>IF(N234="","",MAX(N234-Q234,0))</f>
        <v/>
      </c>
      <c r="S234" s="48">
        <f>IF(A234="","",IF(OR(P234="Pagada",R234=0),"Pagada",IF(O234&lt;TODAY(),"Vencida",IF(O234&lt;=TODAY()+Inicio!$B$19,"Próxima a vencer","Vigente"))))</f>
        <v/>
      </c>
      <c r="T234" s="43" t="n"/>
      <c r="U234" s="68">
        <f>IF($B234="","",YEAR($B234))</f>
        <v/>
      </c>
      <c r="V234" s="68">
        <f>IF($B234="","",MONTH($B234))</f>
        <v/>
      </c>
      <c r="W234" s="68">
        <f>IF($B234="","",DAY($B234))</f>
        <v/>
      </c>
      <c r="X234" s="68">
        <f>IF($B234="","",YEAR($B234)&amp;"-"&amp;TEXT(MONTH($B234),"00"))</f>
        <v/>
      </c>
      <c r="Y234" s="68">
        <f>IF(OR($H234="",$J234=""),"",$J234*IFERROR(VLOOKUP($H234,Maestro_SKU!$A$2:$P$500,12,FALSE),1))</f>
        <v/>
      </c>
    </row>
    <row r="235">
      <c r="A235" s="43" t="n"/>
      <c r="B235" s="54" t="n"/>
      <c r="C235" s="43" t="n"/>
      <c r="D235" s="43" t="n"/>
      <c r="E235" s="48">
        <f>IFERROR(VLOOKUP(D235,Clientes_PDV!$A$2:$J$250,2,FALSE),"")</f>
        <v/>
      </c>
      <c r="F235" s="48">
        <f>IFERROR(VLOOKUP(D235,Clientes_PDV!$A$2:$J$250,3,FALSE),"")</f>
        <v/>
      </c>
      <c r="G235" s="48">
        <f>IFERROR(VLOOKUP(D235,Clientes_PDV!$A$2:$J$250,4,FALSE),"")</f>
        <v/>
      </c>
      <c r="H235" s="43" t="n"/>
      <c r="I235" s="48">
        <f>IFERROR(VLOOKUP(H235,Maestro_SKU!$A$2:$P$500,2,FALSE),"")</f>
        <v/>
      </c>
      <c r="J235" s="55" t="n"/>
      <c r="K235" s="44" t="n"/>
      <c r="L235" s="51">
        <f>IF(OR(J235="",K235=""),"",J235*K235)</f>
        <v/>
      </c>
      <c r="M235" s="51">
        <f>IF(L235="","",L235*Inicio!$B$13)</f>
        <v/>
      </c>
      <c r="N235" s="51">
        <f>IF(L235="","",L235+M235)</f>
        <v/>
      </c>
      <c r="O235" s="54" t="n"/>
      <c r="P235" s="43" t="n"/>
      <c r="Q235" s="44" t="n"/>
      <c r="R235" s="51">
        <f>IF(N235="","",MAX(N235-Q235,0))</f>
        <v/>
      </c>
      <c r="S235" s="48">
        <f>IF(A235="","",IF(OR(P235="Pagada",R235=0),"Pagada",IF(O235&lt;TODAY(),"Vencida",IF(O235&lt;=TODAY()+Inicio!$B$19,"Próxima a vencer","Vigente"))))</f>
        <v/>
      </c>
      <c r="T235" s="43" t="n"/>
      <c r="U235" s="68">
        <f>IF($B235="","",YEAR($B235))</f>
        <v/>
      </c>
      <c r="V235" s="68">
        <f>IF($B235="","",MONTH($B235))</f>
        <v/>
      </c>
      <c r="W235" s="68">
        <f>IF($B235="","",DAY($B235))</f>
        <v/>
      </c>
      <c r="X235" s="68">
        <f>IF($B235="","",YEAR($B235)&amp;"-"&amp;TEXT(MONTH($B235),"00"))</f>
        <v/>
      </c>
      <c r="Y235" s="68">
        <f>IF(OR($H235="",$J235=""),"",$J235*IFERROR(VLOOKUP($H235,Maestro_SKU!$A$2:$P$500,12,FALSE),1))</f>
        <v/>
      </c>
    </row>
    <row r="236">
      <c r="A236" s="43" t="n"/>
      <c r="B236" s="54" t="n"/>
      <c r="C236" s="43" t="n"/>
      <c r="D236" s="43" t="n"/>
      <c r="E236" s="48">
        <f>IFERROR(VLOOKUP(D236,Clientes_PDV!$A$2:$J$250,2,FALSE),"")</f>
        <v/>
      </c>
      <c r="F236" s="48">
        <f>IFERROR(VLOOKUP(D236,Clientes_PDV!$A$2:$J$250,3,FALSE),"")</f>
        <v/>
      </c>
      <c r="G236" s="48">
        <f>IFERROR(VLOOKUP(D236,Clientes_PDV!$A$2:$J$250,4,FALSE),"")</f>
        <v/>
      </c>
      <c r="H236" s="43" t="n"/>
      <c r="I236" s="48">
        <f>IFERROR(VLOOKUP(H236,Maestro_SKU!$A$2:$P$500,2,FALSE),"")</f>
        <v/>
      </c>
      <c r="J236" s="55" t="n"/>
      <c r="K236" s="44" t="n"/>
      <c r="L236" s="51">
        <f>IF(OR(J236="",K236=""),"",J236*K236)</f>
        <v/>
      </c>
      <c r="M236" s="51">
        <f>IF(L236="","",L236*Inicio!$B$13)</f>
        <v/>
      </c>
      <c r="N236" s="51">
        <f>IF(L236="","",L236+M236)</f>
        <v/>
      </c>
      <c r="O236" s="54" t="n"/>
      <c r="P236" s="43" t="n"/>
      <c r="Q236" s="44" t="n"/>
      <c r="R236" s="51">
        <f>IF(N236="","",MAX(N236-Q236,0))</f>
        <v/>
      </c>
      <c r="S236" s="48">
        <f>IF(A236="","",IF(OR(P236="Pagada",R236=0),"Pagada",IF(O236&lt;TODAY(),"Vencida",IF(O236&lt;=TODAY()+Inicio!$B$19,"Próxima a vencer","Vigente"))))</f>
        <v/>
      </c>
      <c r="T236" s="43" t="n"/>
      <c r="U236" s="68">
        <f>IF($B236="","",YEAR($B236))</f>
        <v/>
      </c>
      <c r="V236" s="68">
        <f>IF($B236="","",MONTH($B236))</f>
        <v/>
      </c>
      <c r="W236" s="68">
        <f>IF($B236="","",DAY($B236))</f>
        <v/>
      </c>
      <c r="X236" s="68">
        <f>IF($B236="","",YEAR($B236)&amp;"-"&amp;TEXT(MONTH($B236),"00"))</f>
        <v/>
      </c>
      <c r="Y236" s="68">
        <f>IF(OR($H236="",$J236=""),"",$J236*IFERROR(VLOOKUP($H236,Maestro_SKU!$A$2:$P$500,12,FALSE),1))</f>
        <v/>
      </c>
    </row>
    <row r="237">
      <c r="A237" s="43" t="n"/>
      <c r="B237" s="54" t="n"/>
      <c r="C237" s="43" t="n"/>
      <c r="D237" s="43" t="n"/>
      <c r="E237" s="48">
        <f>IFERROR(VLOOKUP(D237,Clientes_PDV!$A$2:$J$250,2,FALSE),"")</f>
        <v/>
      </c>
      <c r="F237" s="48">
        <f>IFERROR(VLOOKUP(D237,Clientes_PDV!$A$2:$J$250,3,FALSE),"")</f>
        <v/>
      </c>
      <c r="G237" s="48">
        <f>IFERROR(VLOOKUP(D237,Clientes_PDV!$A$2:$J$250,4,FALSE),"")</f>
        <v/>
      </c>
      <c r="H237" s="43" t="n"/>
      <c r="I237" s="48">
        <f>IFERROR(VLOOKUP(H237,Maestro_SKU!$A$2:$P$500,2,FALSE),"")</f>
        <v/>
      </c>
      <c r="J237" s="55" t="n"/>
      <c r="K237" s="44" t="n"/>
      <c r="L237" s="51">
        <f>IF(OR(J237="",K237=""),"",J237*K237)</f>
        <v/>
      </c>
      <c r="M237" s="51">
        <f>IF(L237="","",L237*Inicio!$B$13)</f>
        <v/>
      </c>
      <c r="N237" s="51">
        <f>IF(L237="","",L237+M237)</f>
        <v/>
      </c>
      <c r="O237" s="54" t="n"/>
      <c r="P237" s="43" t="n"/>
      <c r="Q237" s="44" t="n"/>
      <c r="R237" s="51">
        <f>IF(N237="","",MAX(N237-Q237,0))</f>
        <v/>
      </c>
      <c r="S237" s="48">
        <f>IF(A237="","",IF(OR(P237="Pagada",R237=0),"Pagada",IF(O237&lt;TODAY(),"Vencida",IF(O237&lt;=TODAY()+Inicio!$B$19,"Próxima a vencer","Vigente"))))</f>
        <v/>
      </c>
      <c r="T237" s="43" t="n"/>
      <c r="U237" s="68">
        <f>IF($B237="","",YEAR($B237))</f>
        <v/>
      </c>
      <c r="V237" s="68">
        <f>IF($B237="","",MONTH($B237))</f>
        <v/>
      </c>
      <c r="W237" s="68">
        <f>IF($B237="","",DAY($B237))</f>
        <v/>
      </c>
      <c r="X237" s="68">
        <f>IF($B237="","",YEAR($B237)&amp;"-"&amp;TEXT(MONTH($B237),"00"))</f>
        <v/>
      </c>
      <c r="Y237" s="68">
        <f>IF(OR($H237="",$J237=""),"",$J237*IFERROR(VLOOKUP($H237,Maestro_SKU!$A$2:$P$500,12,FALSE),1))</f>
        <v/>
      </c>
    </row>
    <row r="238">
      <c r="A238" s="43" t="n"/>
      <c r="B238" s="54" t="n"/>
      <c r="C238" s="43" t="n"/>
      <c r="D238" s="43" t="n"/>
      <c r="E238" s="48">
        <f>IFERROR(VLOOKUP(D238,Clientes_PDV!$A$2:$J$250,2,FALSE),"")</f>
        <v/>
      </c>
      <c r="F238" s="48">
        <f>IFERROR(VLOOKUP(D238,Clientes_PDV!$A$2:$J$250,3,FALSE),"")</f>
        <v/>
      </c>
      <c r="G238" s="48">
        <f>IFERROR(VLOOKUP(D238,Clientes_PDV!$A$2:$J$250,4,FALSE),"")</f>
        <v/>
      </c>
      <c r="H238" s="43" t="n"/>
      <c r="I238" s="48">
        <f>IFERROR(VLOOKUP(H238,Maestro_SKU!$A$2:$P$500,2,FALSE),"")</f>
        <v/>
      </c>
      <c r="J238" s="55" t="n"/>
      <c r="K238" s="44" t="n"/>
      <c r="L238" s="51">
        <f>IF(OR(J238="",K238=""),"",J238*K238)</f>
        <v/>
      </c>
      <c r="M238" s="51">
        <f>IF(L238="","",L238*Inicio!$B$13)</f>
        <v/>
      </c>
      <c r="N238" s="51">
        <f>IF(L238="","",L238+M238)</f>
        <v/>
      </c>
      <c r="O238" s="54" t="n"/>
      <c r="P238" s="43" t="n"/>
      <c r="Q238" s="44" t="n"/>
      <c r="R238" s="51">
        <f>IF(N238="","",MAX(N238-Q238,0))</f>
        <v/>
      </c>
      <c r="S238" s="48">
        <f>IF(A238="","",IF(OR(P238="Pagada",R238=0),"Pagada",IF(O238&lt;TODAY(),"Vencida",IF(O238&lt;=TODAY()+Inicio!$B$19,"Próxima a vencer","Vigente"))))</f>
        <v/>
      </c>
      <c r="T238" s="43" t="n"/>
      <c r="U238" s="68">
        <f>IF($B238="","",YEAR($B238))</f>
        <v/>
      </c>
      <c r="V238" s="68">
        <f>IF($B238="","",MONTH($B238))</f>
        <v/>
      </c>
      <c r="W238" s="68">
        <f>IF($B238="","",DAY($B238))</f>
        <v/>
      </c>
      <c r="X238" s="68">
        <f>IF($B238="","",YEAR($B238)&amp;"-"&amp;TEXT(MONTH($B238),"00"))</f>
        <v/>
      </c>
      <c r="Y238" s="68">
        <f>IF(OR($H238="",$J238=""),"",$J238*IFERROR(VLOOKUP($H238,Maestro_SKU!$A$2:$P$500,12,FALSE),1))</f>
        <v/>
      </c>
    </row>
    <row r="239">
      <c r="A239" s="43" t="n"/>
      <c r="B239" s="54" t="n"/>
      <c r="C239" s="43" t="n"/>
      <c r="D239" s="43" t="n"/>
      <c r="E239" s="48">
        <f>IFERROR(VLOOKUP(D239,Clientes_PDV!$A$2:$J$250,2,FALSE),"")</f>
        <v/>
      </c>
      <c r="F239" s="48">
        <f>IFERROR(VLOOKUP(D239,Clientes_PDV!$A$2:$J$250,3,FALSE),"")</f>
        <v/>
      </c>
      <c r="G239" s="48">
        <f>IFERROR(VLOOKUP(D239,Clientes_PDV!$A$2:$J$250,4,FALSE),"")</f>
        <v/>
      </c>
      <c r="H239" s="43" t="n"/>
      <c r="I239" s="48">
        <f>IFERROR(VLOOKUP(H239,Maestro_SKU!$A$2:$P$500,2,FALSE),"")</f>
        <v/>
      </c>
      <c r="J239" s="55" t="n"/>
      <c r="K239" s="44" t="n"/>
      <c r="L239" s="51">
        <f>IF(OR(J239="",K239=""),"",J239*K239)</f>
        <v/>
      </c>
      <c r="M239" s="51">
        <f>IF(L239="","",L239*Inicio!$B$13)</f>
        <v/>
      </c>
      <c r="N239" s="51">
        <f>IF(L239="","",L239+M239)</f>
        <v/>
      </c>
      <c r="O239" s="54" t="n"/>
      <c r="P239" s="43" t="n"/>
      <c r="Q239" s="44" t="n"/>
      <c r="R239" s="51">
        <f>IF(N239="","",MAX(N239-Q239,0))</f>
        <v/>
      </c>
      <c r="S239" s="48">
        <f>IF(A239="","",IF(OR(P239="Pagada",R239=0),"Pagada",IF(O239&lt;TODAY(),"Vencida",IF(O239&lt;=TODAY()+Inicio!$B$19,"Próxima a vencer","Vigente"))))</f>
        <v/>
      </c>
      <c r="T239" s="43" t="n"/>
      <c r="U239" s="68">
        <f>IF($B239="","",YEAR($B239))</f>
        <v/>
      </c>
      <c r="V239" s="68">
        <f>IF($B239="","",MONTH($B239))</f>
        <v/>
      </c>
      <c r="W239" s="68">
        <f>IF($B239="","",DAY($B239))</f>
        <v/>
      </c>
      <c r="X239" s="68">
        <f>IF($B239="","",YEAR($B239)&amp;"-"&amp;TEXT(MONTH($B239),"00"))</f>
        <v/>
      </c>
      <c r="Y239" s="68">
        <f>IF(OR($H239="",$J239=""),"",$J239*IFERROR(VLOOKUP($H239,Maestro_SKU!$A$2:$P$500,12,FALSE),1))</f>
        <v/>
      </c>
    </row>
    <row r="240">
      <c r="A240" s="43" t="n"/>
      <c r="B240" s="54" t="n"/>
      <c r="C240" s="43" t="n"/>
      <c r="D240" s="43" t="n"/>
      <c r="E240" s="48">
        <f>IFERROR(VLOOKUP(D240,Clientes_PDV!$A$2:$J$250,2,FALSE),"")</f>
        <v/>
      </c>
      <c r="F240" s="48">
        <f>IFERROR(VLOOKUP(D240,Clientes_PDV!$A$2:$J$250,3,FALSE),"")</f>
        <v/>
      </c>
      <c r="G240" s="48">
        <f>IFERROR(VLOOKUP(D240,Clientes_PDV!$A$2:$J$250,4,FALSE),"")</f>
        <v/>
      </c>
      <c r="H240" s="43" t="n"/>
      <c r="I240" s="48">
        <f>IFERROR(VLOOKUP(H240,Maestro_SKU!$A$2:$P$500,2,FALSE),"")</f>
        <v/>
      </c>
      <c r="J240" s="55" t="n"/>
      <c r="K240" s="44" t="n"/>
      <c r="L240" s="51">
        <f>IF(OR(J240="",K240=""),"",J240*K240)</f>
        <v/>
      </c>
      <c r="M240" s="51">
        <f>IF(L240="","",L240*Inicio!$B$13)</f>
        <v/>
      </c>
      <c r="N240" s="51">
        <f>IF(L240="","",L240+M240)</f>
        <v/>
      </c>
      <c r="O240" s="54" t="n"/>
      <c r="P240" s="43" t="n"/>
      <c r="Q240" s="44" t="n"/>
      <c r="R240" s="51">
        <f>IF(N240="","",MAX(N240-Q240,0))</f>
        <v/>
      </c>
      <c r="S240" s="48">
        <f>IF(A240="","",IF(OR(P240="Pagada",R240=0),"Pagada",IF(O240&lt;TODAY(),"Vencida",IF(O240&lt;=TODAY()+Inicio!$B$19,"Próxima a vencer","Vigente"))))</f>
        <v/>
      </c>
      <c r="T240" s="43" t="n"/>
      <c r="U240" s="68">
        <f>IF($B240="","",YEAR($B240))</f>
        <v/>
      </c>
      <c r="V240" s="68">
        <f>IF($B240="","",MONTH($B240))</f>
        <v/>
      </c>
      <c r="W240" s="68">
        <f>IF($B240="","",DAY($B240))</f>
        <v/>
      </c>
      <c r="X240" s="68">
        <f>IF($B240="","",YEAR($B240)&amp;"-"&amp;TEXT(MONTH($B240),"00"))</f>
        <v/>
      </c>
      <c r="Y240" s="68">
        <f>IF(OR($H240="",$J240=""),"",$J240*IFERROR(VLOOKUP($H240,Maestro_SKU!$A$2:$P$500,12,FALSE),1))</f>
        <v/>
      </c>
    </row>
    <row r="241">
      <c r="A241" s="43" t="n"/>
      <c r="B241" s="54" t="n"/>
      <c r="C241" s="43" t="n"/>
      <c r="D241" s="43" t="n"/>
      <c r="E241" s="48">
        <f>IFERROR(VLOOKUP(D241,Clientes_PDV!$A$2:$J$250,2,FALSE),"")</f>
        <v/>
      </c>
      <c r="F241" s="48">
        <f>IFERROR(VLOOKUP(D241,Clientes_PDV!$A$2:$J$250,3,FALSE),"")</f>
        <v/>
      </c>
      <c r="G241" s="48">
        <f>IFERROR(VLOOKUP(D241,Clientes_PDV!$A$2:$J$250,4,FALSE),"")</f>
        <v/>
      </c>
      <c r="H241" s="43" t="n"/>
      <c r="I241" s="48">
        <f>IFERROR(VLOOKUP(H241,Maestro_SKU!$A$2:$P$500,2,FALSE),"")</f>
        <v/>
      </c>
      <c r="J241" s="55" t="n"/>
      <c r="K241" s="44" t="n"/>
      <c r="L241" s="51">
        <f>IF(OR(J241="",K241=""),"",J241*K241)</f>
        <v/>
      </c>
      <c r="M241" s="51">
        <f>IF(L241="","",L241*Inicio!$B$13)</f>
        <v/>
      </c>
      <c r="N241" s="51">
        <f>IF(L241="","",L241+M241)</f>
        <v/>
      </c>
      <c r="O241" s="54" t="n"/>
      <c r="P241" s="43" t="n"/>
      <c r="Q241" s="44" t="n"/>
      <c r="R241" s="51">
        <f>IF(N241="","",MAX(N241-Q241,0))</f>
        <v/>
      </c>
      <c r="S241" s="48">
        <f>IF(A241="","",IF(OR(P241="Pagada",R241=0),"Pagada",IF(O241&lt;TODAY(),"Vencida",IF(O241&lt;=TODAY()+Inicio!$B$19,"Próxima a vencer","Vigente"))))</f>
        <v/>
      </c>
      <c r="T241" s="43" t="n"/>
      <c r="U241" s="68">
        <f>IF($B241="","",YEAR($B241))</f>
        <v/>
      </c>
      <c r="V241" s="68">
        <f>IF($B241="","",MONTH($B241))</f>
        <v/>
      </c>
      <c r="W241" s="68">
        <f>IF($B241="","",DAY($B241))</f>
        <v/>
      </c>
      <c r="X241" s="68">
        <f>IF($B241="","",YEAR($B241)&amp;"-"&amp;TEXT(MONTH($B241),"00"))</f>
        <v/>
      </c>
      <c r="Y241" s="68">
        <f>IF(OR($H241="",$J241=""),"",$J241*IFERROR(VLOOKUP($H241,Maestro_SKU!$A$2:$P$500,12,FALSE),1))</f>
        <v/>
      </c>
    </row>
    <row r="242">
      <c r="A242" s="43" t="n"/>
      <c r="B242" s="54" t="n"/>
      <c r="C242" s="43" t="n"/>
      <c r="D242" s="43" t="n"/>
      <c r="E242" s="48">
        <f>IFERROR(VLOOKUP(D242,Clientes_PDV!$A$2:$J$250,2,FALSE),"")</f>
        <v/>
      </c>
      <c r="F242" s="48">
        <f>IFERROR(VLOOKUP(D242,Clientes_PDV!$A$2:$J$250,3,FALSE),"")</f>
        <v/>
      </c>
      <c r="G242" s="48">
        <f>IFERROR(VLOOKUP(D242,Clientes_PDV!$A$2:$J$250,4,FALSE),"")</f>
        <v/>
      </c>
      <c r="H242" s="43" t="n"/>
      <c r="I242" s="48">
        <f>IFERROR(VLOOKUP(H242,Maestro_SKU!$A$2:$P$500,2,FALSE),"")</f>
        <v/>
      </c>
      <c r="J242" s="55" t="n"/>
      <c r="K242" s="44" t="n"/>
      <c r="L242" s="51">
        <f>IF(OR(J242="",K242=""),"",J242*K242)</f>
        <v/>
      </c>
      <c r="M242" s="51">
        <f>IF(L242="","",L242*Inicio!$B$13)</f>
        <v/>
      </c>
      <c r="N242" s="51">
        <f>IF(L242="","",L242+M242)</f>
        <v/>
      </c>
      <c r="O242" s="54" t="n"/>
      <c r="P242" s="43" t="n"/>
      <c r="Q242" s="44" t="n"/>
      <c r="R242" s="51">
        <f>IF(N242="","",MAX(N242-Q242,0))</f>
        <v/>
      </c>
      <c r="S242" s="48">
        <f>IF(A242="","",IF(OR(P242="Pagada",R242=0),"Pagada",IF(O242&lt;TODAY(),"Vencida",IF(O242&lt;=TODAY()+Inicio!$B$19,"Próxima a vencer","Vigente"))))</f>
        <v/>
      </c>
      <c r="T242" s="43" t="n"/>
      <c r="U242" s="68">
        <f>IF($B242="","",YEAR($B242))</f>
        <v/>
      </c>
      <c r="V242" s="68">
        <f>IF($B242="","",MONTH($B242))</f>
        <v/>
      </c>
      <c r="W242" s="68">
        <f>IF($B242="","",DAY($B242))</f>
        <v/>
      </c>
      <c r="X242" s="68">
        <f>IF($B242="","",YEAR($B242)&amp;"-"&amp;TEXT(MONTH($B242),"00"))</f>
        <v/>
      </c>
      <c r="Y242" s="68">
        <f>IF(OR($H242="",$J242=""),"",$J242*IFERROR(VLOOKUP($H242,Maestro_SKU!$A$2:$P$500,12,FALSE),1))</f>
        <v/>
      </c>
    </row>
    <row r="243">
      <c r="A243" s="43" t="n"/>
      <c r="B243" s="54" t="n"/>
      <c r="C243" s="43" t="n"/>
      <c r="D243" s="43" t="n"/>
      <c r="E243" s="48">
        <f>IFERROR(VLOOKUP(D243,Clientes_PDV!$A$2:$J$250,2,FALSE),"")</f>
        <v/>
      </c>
      <c r="F243" s="48">
        <f>IFERROR(VLOOKUP(D243,Clientes_PDV!$A$2:$J$250,3,FALSE),"")</f>
        <v/>
      </c>
      <c r="G243" s="48">
        <f>IFERROR(VLOOKUP(D243,Clientes_PDV!$A$2:$J$250,4,FALSE),"")</f>
        <v/>
      </c>
      <c r="H243" s="43" t="n"/>
      <c r="I243" s="48">
        <f>IFERROR(VLOOKUP(H243,Maestro_SKU!$A$2:$P$500,2,FALSE),"")</f>
        <v/>
      </c>
      <c r="J243" s="55" t="n"/>
      <c r="K243" s="44" t="n"/>
      <c r="L243" s="51">
        <f>IF(OR(J243="",K243=""),"",J243*K243)</f>
        <v/>
      </c>
      <c r="M243" s="51">
        <f>IF(L243="","",L243*Inicio!$B$13)</f>
        <v/>
      </c>
      <c r="N243" s="51">
        <f>IF(L243="","",L243+M243)</f>
        <v/>
      </c>
      <c r="O243" s="54" t="n"/>
      <c r="P243" s="43" t="n"/>
      <c r="Q243" s="44" t="n"/>
      <c r="R243" s="51">
        <f>IF(N243="","",MAX(N243-Q243,0))</f>
        <v/>
      </c>
      <c r="S243" s="48">
        <f>IF(A243="","",IF(OR(P243="Pagada",R243=0),"Pagada",IF(O243&lt;TODAY(),"Vencida",IF(O243&lt;=TODAY()+Inicio!$B$19,"Próxima a vencer","Vigente"))))</f>
        <v/>
      </c>
      <c r="T243" s="43" t="n"/>
      <c r="U243" s="68">
        <f>IF($B243="","",YEAR($B243))</f>
        <v/>
      </c>
      <c r="V243" s="68">
        <f>IF($B243="","",MONTH($B243))</f>
        <v/>
      </c>
      <c r="W243" s="68">
        <f>IF($B243="","",DAY($B243))</f>
        <v/>
      </c>
      <c r="X243" s="68">
        <f>IF($B243="","",YEAR($B243)&amp;"-"&amp;TEXT(MONTH($B243),"00"))</f>
        <v/>
      </c>
      <c r="Y243" s="68">
        <f>IF(OR($H243="",$J243=""),"",$J243*IFERROR(VLOOKUP($H243,Maestro_SKU!$A$2:$P$500,12,FALSE),1))</f>
        <v/>
      </c>
    </row>
    <row r="244">
      <c r="A244" s="43" t="n"/>
      <c r="B244" s="54" t="n"/>
      <c r="C244" s="43" t="n"/>
      <c r="D244" s="43" t="n"/>
      <c r="E244" s="48">
        <f>IFERROR(VLOOKUP(D244,Clientes_PDV!$A$2:$J$250,2,FALSE),"")</f>
        <v/>
      </c>
      <c r="F244" s="48">
        <f>IFERROR(VLOOKUP(D244,Clientes_PDV!$A$2:$J$250,3,FALSE),"")</f>
        <v/>
      </c>
      <c r="G244" s="48">
        <f>IFERROR(VLOOKUP(D244,Clientes_PDV!$A$2:$J$250,4,FALSE),"")</f>
        <v/>
      </c>
      <c r="H244" s="43" t="n"/>
      <c r="I244" s="48">
        <f>IFERROR(VLOOKUP(H244,Maestro_SKU!$A$2:$P$500,2,FALSE),"")</f>
        <v/>
      </c>
      <c r="J244" s="55" t="n"/>
      <c r="K244" s="44" t="n"/>
      <c r="L244" s="51">
        <f>IF(OR(J244="",K244=""),"",J244*K244)</f>
        <v/>
      </c>
      <c r="M244" s="51">
        <f>IF(L244="","",L244*Inicio!$B$13)</f>
        <v/>
      </c>
      <c r="N244" s="51">
        <f>IF(L244="","",L244+M244)</f>
        <v/>
      </c>
      <c r="O244" s="54" t="n"/>
      <c r="P244" s="43" t="n"/>
      <c r="Q244" s="44" t="n"/>
      <c r="R244" s="51">
        <f>IF(N244="","",MAX(N244-Q244,0))</f>
        <v/>
      </c>
      <c r="S244" s="48">
        <f>IF(A244="","",IF(OR(P244="Pagada",R244=0),"Pagada",IF(O244&lt;TODAY(),"Vencida",IF(O244&lt;=TODAY()+Inicio!$B$19,"Próxima a vencer","Vigente"))))</f>
        <v/>
      </c>
      <c r="T244" s="43" t="n"/>
      <c r="U244" s="68">
        <f>IF($B244="","",YEAR($B244))</f>
        <v/>
      </c>
      <c r="V244" s="68">
        <f>IF($B244="","",MONTH($B244))</f>
        <v/>
      </c>
      <c r="W244" s="68">
        <f>IF($B244="","",DAY($B244))</f>
        <v/>
      </c>
      <c r="X244" s="68">
        <f>IF($B244="","",YEAR($B244)&amp;"-"&amp;TEXT(MONTH($B244),"00"))</f>
        <v/>
      </c>
      <c r="Y244" s="68">
        <f>IF(OR($H244="",$J244=""),"",$J244*IFERROR(VLOOKUP($H244,Maestro_SKU!$A$2:$P$500,12,FALSE),1))</f>
        <v/>
      </c>
    </row>
    <row r="245">
      <c r="A245" s="43" t="n"/>
      <c r="B245" s="54" t="n"/>
      <c r="C245" s="43" t="n"/>
      <c r="D245" s="43" t="n"/>
      <c r="E245" s="48">
        <f>IFERROR(VLOOKUP(D245,Clientes_PDV!$A$2:$J$250,2,FALSE),"")</f>
        <v/>
      </c>
      <c r="F245" s="48">
        <f>IFERROR(VLOOKUP(D245,Clientes_PDV!$A$2:$J$250,3,FALSE),"")</f>
        <v/>
      </c>
      <c r="G245" s="48">
        <f>IFERROR(VLOOKUP(D245,Clientes_PDV!$A$2:$J$250,4,FALSE),"")</f>
        <v/>
      </c>
      <c r="H245" s="43" t="n"/>
      <c r="I245" s="48">
        <f>IFERROR(VLOOKUP(H245,Maestro_SKU!$A$2:$P$500,2,FALSE),"")</f>
        <v/>
      </c>
      <c r="J245" s="55" t="n"/>
      <c r="K245" s="44" t="n"/>
      <c r="L245" s="51">
        <f>IF(OR(J245="",K245=""),"",J245*K245)</f>
        <v/>
      </c>
      <c r="M245" s="51">
        <f>IF(L245="","",L245*Inicio!$B$13)</f>
        <v/>
      </c>
      <c r="N245" s="51">
        <f>IF(L245="","",L245+M245)</f>
        <v/>
      </c>
      <c r="O245" s="54" t="n"/>
      <c r="P245" s="43" t="n"/>
      <c r="Q245" s="44" t="n"/>
      <c r="R245" s="51">
        <f>IF(N245="","",MAX(N245-Q245,0))</f>
        <v/>
      </c>
      <c r="S245" s="48">
        <f>IF(A245="","",IF(OR(P245="Pagada",R245=0),"Pagada",IF(O245&lt;TODAY(),"Vencida",IF(O245&lt;=TODAY()+Inicio!$B$19,"Próxima a vencer","Vigente"))))</f>
        <v/>
      </c>
      <c r="T245" s="43" t="n"/>
      <c r="U245" s="68">
        <f>IF($B245="","",YEAR($B245))</f>
        <v/>
      </c>
      <c r="V245" s="68">
        <f>IF($B245="","",MONTH($B245))</f>
        <v/>
      </c>
      <c r="W245" s="68">
        <f>IF($B245="","",DAY($B245))</f>
        <v/>
      </c>
      <c r="X245" s="68">
        <f>IF($B245="","",YEAR($B245)&amp;"-"&amp;TEXT(MONTH($B245),"00"))</f>
        <v/>
      </c>
      <c r="Y245" s="68">
        <f>IF(OR($H245="",$J245=""),"",$J245*IFERROR(VLOOKUP($H245,Maestro_SKU!$A$2:$P$500,12,FALSE),1))</f>
        <v/>
      </c>
    </row>
    <row r="246">
      <c r="A246" s="43" t="n"/>
      <c r="B246" s="54" t="n"/>
      <c r="C246" s="43" t="n"/>
      <c r="D246" s="43" t="n"/>
      <c r="E246" s="48">
        <f>IFERROR(VLOOKUP(D246,Clientes_PDV!$A$2:$J$250,2,FALSE),"")</f>
        <v/>
      </c>
      <c r="F246" s="48">
        <f>IFERROR(VLOOKUP(D246,Clientes_PDV!$A$2:$J$250,3,FALSE),"")</f>
        <v/>
      </c>
      <c r="G246" s="48">
        <f>IFERROR(VLOOKUP(D246,Clientes_PDV!$A$2:$J$250,4,FALSE),"")</f>
        <v/>
      </c>
      <c r="H246" s="43" t="n"/>
      <c r="I246" s="48">
        <f>IFERROR(VLOOKUP(H246,Maestro_SKU!$A$2:$P$500,2,FALSE),"")</f>
        <v/>
      </c>
      <c r="J246" s="55" t="n"/>
      <c r="K246" s="44" t="n"/>
      <c r="L246" s="51">
        <f>IF(OR(J246="",K246=""),"",J246*K246)</f>
        <v/>
      </c>
      <c r="M246" s="51">
        <f>IF(L246="","",L246*Inicio!$B$13)</f>
        <v/>
      </c>
      <c r="N246" s="51">
        <f>IF(L246="","",L246+M246)</f>
        <v/>
      </c>
      <c r="O246" s="54" t="n"/>
      <c r="P246" s="43" t="n"/>
      <c r="Q246" s="44" t="n"/>
      <c r="R246" s="51">
        <f>IF(N246="","",MAX(N246-Q246,0))</f>
        <v/>
      </c>
      <c r="S246" s="48">
        <f>IF(A246="","",IF(OR(P246="Pagada",R246=0),"Pagada",IF(O246&lt;TODAY(),"Vencida",IF(O246&lt;=TODAY()+Inicio!$B$19,"Próxima a vencer","Vigente"))))</f>
        <v/>
      </c>
      <c r="T246" s="43" t="n"/>
      <c r="U246" s="68">
        <f>IF($B246="","",YEAR($B246))</f>
        <v/>
      </c>
      <c r="V246" s="68">
        <f>IF($B246="","",MONTH($B246))</f>
        <v/>
      </c>
      <c r="W246" s="68">
        <f>IF($B246="","",DAY($B246))</f>
        <v/>
      </c>
      <c r="X246" s="68">
        <f>IF($B246="","",YEAR($B246)&amp;"-"&amp;TEXT(MONTH($B246),"00"))</f>
        <v/>
      </c>
      <c r="Y246" s="68">
        <f>IF(OR($H246="",$J246=""),"",$J246*IFERROR(VLOOKUP($H246,Maestro_SKU!$A$2:$P$500,12,FALSE),1))</f>
        <v/>
      </c>
    </row>
    <row r="247">
      <c r="A247" s="43" t="n"/>
      <c r="B247" s="54" t="n"/>
      <c r="C247" s="43" t="n"/>
      <c r="D247" s="43" t="n"/>
      <c r="E247" s="48">
        <f>IFERROR(VLOOKUP(D247,Clientes_PDV!$A$2:$J$250,2,FALSE),"")</f>
        <v/>
      </c>
      <c r="F247" s="48">
        <f>IFERROR(VLOOKUP(D247,Clientes_PDV!$A$2:$J$250,3,FALSE),"")</f>
        <v/>
      </c>
      <c r="G247" s="48">
        <f>IFERROR(VLOOKUP(D247,Clientes_PDV!$A$2:$J$250,4,FALSE),"")</f>
        <v/>
      </c>
      <c r="H247" s="43" t="n"/>
      <c r="I247" s="48">
        <f>IFERROR(VLOOKUP(H247,Maestro_SKU!$A$2:$P$500,2,FALSE),"")</f>
        <v/>
      </c>
      <c r="J247" s="55" t="n"/>
      <c r="K247" s="44" t="n"/>
      <c r="L247" s="51">
        <f>IF(OR(J247="",K247=""),"",J247*K247)</f>
        <v/>
      </c>
      <c r="M247" s="51">
        <f>IF(L247="","",L247*Inicio!$B$13)</f>
        <v/>
      </c>
      <c r="N247" s="51">
        <f>IF(L247="","",L247+M247)</f>
        <v/>
      </c>
      <c r="O247" s="54" t="n"/>
      <c r="P247" s="43" t="n"/>
      <c r="Q247" s="44" t="n"/>
      <c r="R247" s="51">
        <f>IF(N247="","",MAX(N247-Q247,0))</f>
        <v/>
      </c>
      <c r="S247" s="48">
        <f>IF(A247="","",IF(OR(P247="Pagada",R247=0),"Pagada",IF(O247&lt;TODAY(),"Vencida",IF(O247&lt;=TODAY()+Inicio!$B$19,"Próxima a vencer","Vigente"))))</f>
        <v/>
      </c>
      <c r="T247" s="43" t="n"/>
      <c r="U247" s="68">
        <f>IF($B247="","",YEAR($B247))</f>
        <v/>
      </c>
      <c r="V247" s="68">
        <f>IF($B247="","",MONTH($B247))</f>
        <v/>
      </c>
      <c r="W247" s="68">
        <f>IF($B247="","",DAY($B247))</f>
        <v/>
      </c>
      <c r="X247" s="68">
        <f>IF($B247="","",YEAR($B247)&amp;"-"&amp;TEXT(MONTH($B247),"00"))</f>
        <v/>
      </c>
      <c r="Y247" s="68">
        <f>IF(OR($H247="",$J247=""),"",$J247*IFERROR(VLOOKUP($H247,Maestro_SKU!$A$2:$P$500,12,FALSE),1))</f>
        <v/>
      </c>
    </row>
    <row r="248">
      <c r="A248" s="43" t="n"/>
      <c r="B248" s="54" t="n"/>
      <c r="C248" s="43" t="n"/>
      <c r="D248" s="43" t="n"/>
      <c r="E248" s="48">
        <f>IFERROR(VLOOKUP(D248,Clientes_PDV!$A$2:$J$250,2,FALSE),"")</f>
        <v/>
      </c>
      <c r="F248" s="48">
        <f>IFERROR(VLOOKUP(D248,Clientes_PDV!$A$2:$J$250,3,FALSE),"")</f>
        <v/>
      </c>
      <c r="G248" s="48">
        <f>IFERROR(VLOOKUP(D248,Clientes_PDV!$A$2:$J$250,4,FALSE),"")</f>
        <v/>
      </c>
      <c r="H248" s="43" t="n"/>
      <c r="I248" s="48">
        <f>IFERROR(VLOOKUP(H248,Maestro_SKU!$A$2:$P$500,2,FALSE),"")</f>
        <v/>
      </c>
      <c r="J248" s="55" t="n"/>
      <c r="K248" s="44" t="n"/>
      <c r="L248" s="51">
        <f>IF(OR(J248="",K248=""),"",J248*K248)</f>
        <v/>
      </c>
      <c r="M248" s="51">
        <f>IF(L248="","",L248*Inicio!$B$13)</f>
        <v/>
      </c>
      <c r="N248" s="51">
        <f>IF(L248="","",L248+M248)</f>
        <v/>
      </c>
      <c r="O248" s="54" t="n"/>
      <c r="P248" s="43" t="n"/>
      <c r="Q248" s="44" t="n"/>
      <c r="R248" s="51">
        <f>IF(N248="","",MAX(N248-Q248,0))</f>
        <v/>
      </c>
      <c r="S248" s="48">
        <f>IF(A248="","",IF(OR(P248="Pagada",R248=0),"Pagada",IF(O248&lt;TODAY(),"Vencida",IF(O248&lt;=TODAY()+Inicio!$B$19,"Próxima a vencer","Vigente"))))</f>
        <v/>
      </c>
      <c r="T248" s="43" t="n"/>
      <c r="U248" s="68">
        <f>IF($B248="","",YEAR($B248))</f>
        <v/>
      </c>
      <c r="V248" s="68">
        <f>IF($B248="","",MONTH($B248))</f>
        <v/>
      </c>
      <c r="W248" s="68">
        <f>IF($B248="","",DAY($B248))</f>
        <v/>
      </c>
      <c r="X248" s="68">
        <f>IF($B248="","",YEAR($B248)&amp;"-"&amp;TEXT(MONTH($B248),"00"))</f>
        <v/>
      </c>
      <c r="Y248" s="68">
        <f>IF(OR($H248="",$J248=""),"",$J248*IFERROR(VLOOKUP($H248,Maestro_SKU!$A$2:$P$500,12,FALSE),1))</f>
        <v/>
      </c>
    </row>
    <row r="249">
      <c r="A249" s="43" t="n"/>
      <c r="B249" s="54" t="n"/>
      <c r="C249" s="43" t="n"/>
      <c r="D249" s="43" t="n"/>
      <c r="E249" s="48">
        <f>IFERROR(VLOOKUP(D249,Clientes_PDV!$A$2:$J$250,2,FALSE),"")</f>
        <v/>
      </c>
      <c r="F249" s="48">
        <f>IFERROR(VLOOKUP(D249,Clientes_PDV!$A$2:$J$250,3,FALSE),"")</f>
        <v/>
      </c>
      <c r="G249" s="48">
        <f>IFERROR(VLOOKUP(D249,Clientes_PDV!$A$2:$J$250,4,FALSE),"")</f>
        <v/>
      </c>
      <c r="H249" s="43" t="n"/>
      <c r="I249" s="48">
        <f>IFERROR(VLOOKUP(H249,Maestro_SKU!$A$2:$P$500,2,FALSE),"")</f>
        <v/>
      </c>
      <c r="J249" s="55" t="n"/>
      <c r="K249" s="44" t="n"/>
      <c r="L249" s="51">
        <f>IF(OR(J249="",K249=""),"",J249*K249)</f>
        <v/>
      </c>
      <c r="M249" s="51">
        <f>IF(L249="","",L249*Inicio!$B$13)</f>
        <v/>
      </c>
      <c r="N249" s="51">
        <f>IF(L249="","",L249+M249)</f>
        <v/>
      </c>
      <c r="O249" s="54" t="n"/>
      <c r="P249" s="43" t="n"/>
      <c r="Q249" s="44" t="n"/>
      <c r="R249" s="51">
        <f>IF(N249="","",MAX(N249-Q249,0))</f>
        <v/>
      </c>
      <c r="S249" s="48">
        <f>IF(A249="","",IF(OR(P249="Pagada",R249=0),"Pagada",IF(O249&lt;TODAY(),"Vencida",IF(O249&lt;=TODAY()+Inicio!$B$19,"Próxima a vencer","Vigente"))))</f>
        <v/>
      </c>
      <c r="T249" s="43" t="n"/>
      <c r="U249" s="68">
        <f>IF($B249="","",YEAR($B249))</f>
        <v/>
      </c>
      <c r="V249" s="68">
        <f>IF($B249="","",MONTH($B249))</f>
        <v/>
      </c>
      <c r="W249" s="68">
        <f>IF($B249="","",DAY($B249))</f>
        <v/>
      </c>
      <c r="X249" s="68">
        <f>IF($B249="","",YEAR($B249)&amp;"-"&amp;TEXT(MONTH($B249),"00"))</f>
        <v/>
      </c>
      <c r="Y249" s="68">
        <f>IF(OR($H249="",$J249=""),"",$J249*IFERROR(VLOOKUP($H249,Maestro_SKU!$A$2:$P$500,12,FALSE),1))</f>
        <v/>
      </c>
    </row>
    <row r="250">
      <c r="A250" s="43" t="n"/>
      <c r="B250" s="54" t="n"/>
      <c r="C250" s="43" t="n"/>
      <c r="D250" s="43" t="n"/>
      <c r="E250" s="48">
        <f>IFERROR(VLOOKUP(D250,Clientes_PDV!$A$2:$J$250,2,FALSE),"")</f>
        <v/>
      </c>
      <c r="F250" s="48">
        <f>IFERROR(VLOOKUP(D250,Clientes_PDV!$A$2:$J$250,3,FALSE),"")</f>
        <v/>
      </c>
      <c r="G250" s="48">
        <f>IFERROR(VLOOKUP(D250,Clientes_PDV!$A$2:$J$250,4,FALSE),"")</f>
        <v/>
      </c>
      <c r="H250" s="43" t="n"/>
      <c r="I250" s="48">
        <f>IFERROR(VLOOKUP(H250,Maestro_SKU!$A$2:$P$500,2,FALSE),"")</f>
        <v/>
      </c>
      <c r="J250" s="55" t="n"/>
      <c r="K250" s="44" t="n"/>
      <c r="L250" s="51">
        <f>IF(OR(J250="",K250=""),"",J250*K250)</f>
        <v/>
      </c>
      <c r="M250" s="51">
        <f>IF(L250="","",L250*Inicio!$B$13)</f>
        <v/>
      </c>
      <c r="N250" s="51">
        <f>IF(L250="","",L250+M250)</f>
        <v/>
      </c>
      <c r="O250" s="54" t="n"/>
      <c r="P250" s="43" t="n"/>
      <c r="Q250" s="44" t="n"/>
      <c r="R250" s="51">
        <f>IF(N250="","",MAX(N250-Q250,0))</f>
        <v/>
      </c>
      <c r="S250" s="48">
        <f>IF(A250="","",IF(OR(P250="Pagada",R250=0),"Pagada",IF(O250&lt;TODAY(),"Vencida",IF(O250&lt;=TODAY()+Inicio!$B$19,"Próxima a vencer","Vigente"))))</f>
        <v/>
      </c>
      <c r="T250" s="43" t="n"/>
      <c r="U250" s="68">
        <f>IF($B250="","",YEAR($B250))</f>
        <v/>
      </c>
      <c r="V250" s="68">
        <f>IF($B250="","",MONTH($B250))</f>
        <v/>
      </c>
      <c r="W250" s="68">
        <f>IF($B250="","",DAY($B250))</f>
        <v/>
      </c>
      <c r="X250" s="68">
        <f>IF($B250="","",YEAR($B250)&amp;"-"&amp;TEXT(MONTH($B250),"00"))</f>
        <v/>
      </c>
      <c r="Y250" s="68">
        <f>IF(OR($H250="",$J250=""),"",$J250*IFERROR(VLOOKUP($H250,Maestro_SKU!$A$2:$P$500,12,FALSE),1))</f>
        <v/>
      </c>
    </row>
    <row r="251">
      <c r="A251" s="43" t="n"/>
      <c r="B251" s="54" t="n"/>
      <c r="C251" s="43" t="n"/>
      <c r="D251" s="43" t="n"/>
      <c r="E251" s="48">
        <f>IFERROR(VLOOKUP(D251,Clientes_PDV!$A$2:$J$250,2,FALSE),"")</f>
        <v/>
      </c>
      <c r="F251" s="48">
        <f>IFERROR(VLOOKUP(D251,Clientes_PDV!$A$2:$J$250,3,FALSE),"")</f>
        <v/>
      </c>
      <c r="G251" s="48">
        <f>IFERROR(VLOOKUP(D251,Clientes_PDV!$A$2:$J$250,4,FALSE),"")</f>
        <v/>
      </c>
      <c r="H251" s="43" t="n"/>
      <c r="I251" s="48">
        <f>IFERROR(VLOOKUP(H251,Maestro_SKU!$A$2:$P$500,2,FALSE),"")</f>
        <v/>
      </c>
      <c r="J251" s="55" t="n"/>
      <c r="K251" s="44" t="n"/>
      <c r="L251" s="51">
        <f>IF(OR(J251="",K251=""),"",J251*K251)</f>
        <v/>
      </c>
      <c r="M251" s="51">
        <f>IF(L251="","",L251*Inicio!$B$13)</f>
        <v/>
      </c>
      <c r="N251" s="51">
        <f>IF(L251="","",L251+M251)</f>
        <v/>
      </c>
      <c r="O251" s="54" t="n"/>
      <c r="P251" s="43" t="n"/>
      <c r="Q251" s="44" t="n"/>
      <c r="R251" s="51">
        <f>IF(N251="","",MAX(N251-Q251,0))</f>
        <v/>
      </c>
      <c r="S251" s="48">
        <f>IF(A251="","",IF(OR(P251="Pagada",R251=0),"Pagada",IF(O251&lt;TODAY(),"Vencida",IF(O251&lt;=TODAY()+Inicio!$B$19,"Próxima a vencer","Vigente"))))</f>
        <v/>
      </c>
      <c r="T251" s="43" t="n"/>
      <c r="U251" s="68">
        <f>IF($B251="","",YEAR($B251))</f>
        <v/>
      </c>
      <c r="V251" s="68">
        <f>IF($B251="","",MONTH($B251))</f>
        <v/>
      </c>
      <c r="W251" s="68">
        <f>IF($B251="","",DAY($B251))</f>
        <v/>
      </c>
      <c r="X251" s="68">
        <f>IF($B251="","",YEAR($B251)&amp;"-"&amp;TEXT(MONTH($B251),"00"))</f>
        <v/>
      </c>
      <c r="Y251" s="68">
        <f>IF(OR($H251="",$J251=""),"",$J251*IFERROR(VLOOKUP($H251,Maestro_SKU!$A$2:$P$500,12,FALSE),1))</f>
        <v/>
      </c>
    </row>
    <row r="252">
      <c r="A252" s="43" t="n"/>
      <c r="B252" s="54" t="n"/>
      <c r="C252" s="43" t="n"/>
      <c r="D252" s="43" t="n"/>
      <c r="E252" s="48">
        <f>IFERROR(VLOOKUP(D252,Clientes_PDV!$A$2:$J$250,2,FALSE),"")</f>
        <v/>
      </c>
      <c r="F252" s="48">
        <f>IFERROR(VLOOKUP(D252,Clientes_PDV!$A$2:$J$250,3,FALSE),"")</f>
        <v/>
      </c>
      <c r="G252" s="48">
        <f>IFERROR(VLOOKUP(D252,Clientes_PDV!$A$2:$J$250,4,FALSE),"")</f>
        <v/>
      </c>
      <c r="H252" s="43" t="n"/>
      <c r="I252" s="48">
        <f>IFERROR(VLOOKUP(H252,Maestro_SKU!$A$2:$P$500,2,FALSE),"")</f>
        <v/>
      </c>
      <c r="J252" s="55" t="n"/>
      <c r="K252" s="44" t="n"/>
      <c r="L252" s="51">
        <f>IF(OR(J252="",K252=""),"",J252*K252)</f>
        <v/>
      </c>
      <c r="M252" s="51">
        <f>IF(L252="","",L252*Inicio!$B$13)</f>
        <v/>
      </c>
      <c r="N252" s="51">
        <f>IF(L252="","",L252+M252)</f>
        <v/>
      </c>
      <c r="O252" s="54" t="n"/>
      <c r="P252" s="43" t="n"/>
      <c r="Q252" s="44" t="n"/>
      <c r="R252" s="51">
        <f>IF(N252="","",MAX(N252-Q252,0))</f>
        <v/>
      </c>
      <c r="S252" s="48">
        <f>IF(A252="","",IF(OR(P252="Pagada",R252=0),"Pagada",IF(O252&lt;TODAY(),"Vencida",IF(O252&lt;=TODAY()+Inicio!$B$19,"Próxima a vencer","Vigente"))))</f>
        <v/>
      </c>
      <c r="T252" s="43" t="n"/>
      <c r="U252" s="68">
        <f>IF($B252="","",YEAR($B252))</f>
        <v/>
      </c>
      <c r="V252" s="68">
        <f>IF($B252="","",MONTH($B252))</f>
        <v/>
      </c>
      <c r="W252" s="68">
        <f>IF($B252="","",DAY($B252))</f>
        <v/>
      </c>
      <c r="X252" s="68">
        <f>IF($B252="","",YEAR($B252)&amp;"-"&amp;TEXT(MONTH($B252),"00"))</f>
        <v/>
      </c>
      <c r="Y252" s="68">
        <f>IF(OR($H252="",$J252=""),"",$J252*IFERROR(VLOOKUP($H252,Maestro_SKU!$A$2:$P$500,12,FALSE),1))</f>
        <v/>
      </c>
    </row>
    <row r="253">
      <c r="A253" s="43" t="n"/>
      <c r="B253" s="54" t="n"/>
      <c r="C253" s="43" t="n"/>
      <c r="D253" s="43" t="n"/>
      <c r="E253" s="48">
        <f>IFERROR(VLOOKUP(D253,Clientes_PDV!$A$2:$J$250,2,FALSE),"")</f>
        <v/>
      </c>
      <c r="F253" s="48">
        <f>IFERROR(VLOOKUP(D253,Clientes_PDV!$A$2:$J$250,3,FALSE),"")</f>
        <v/>
      </c>
      <c r="G253" s="48">
        <f>IFERROR(VLOOKUP(D253,Clientes_PDV!$A$2:$J$250,4,FALSE),"")</f>
        <v/>
      </c>
      <c r="H253" s="43" t="n"/>
      <c r="I253" s="48">
        <f>IFERROR(VLOOKUP(H253,Maestro_SKU!$A$2:$P$500,2,FALSE),"")</f>
        <v/>
      </c>
      <c r="J253" s="55" t="n"/>
      <c r="K253" s="44" t="n"/>
      <c r="L253" s="51">
        <f>IF(OR(J253="",K253=""),"",J253*K253)</f>
        <v/>
      </c>
      <c r="M253" s="51">
        <f>IF(L253="","",L253*Inicio!$B$13)</f>
        <v/>
      </c>
      <c r="N253" s="51">
        <f>IF(L253="","",L253+M253)</f>
        <v/>
      </c>
      <c r="O253" s="54" t="n"/>
      <c r="P253" s="43" t="n"/>
      <c r="Q253" s="44" t="n"/>
      <c r="R253" s="51">
        <f>IF(N253="","",MAX(N253-Q253,0))</f>
        <v/>
      </c>
      <c r="S253" s="48">
        <f>IF(A253="","",IF(OR(P253="Pagada",R253=0),"Pagada",IF(O253&lt;TODAY(),"Vencida",IF(O253&lt;=TODAY()+Inicio!$B$19,"Próxima a vencer","Vigente"))))</f>
        <v/>
      </c>
      <c r="T253" s="43" t="n"/>
      <c r="U253" s="68">
        <f>IF($B253="","",YEAR($B253))</f>
        <v/>
      </c>
      <c r="V253" s="68">
        <f>IF($B253="","",MONTH($B253))</f>
        <v/>
      </c>
      <c r="W253" s="68">
        <f>IF($B253="","",DAY($B253))</f>
        <v/>
      </c>
      <c r="X253" s="68">
        <f>IF($B253="","",YEAR($B253)&amp;"-"&amp;TEXT(MONTH($B253),"00"))</f>
        <v/>
      </c>
      <c r="Y253" s="68">
        <f>IF(OR($H253="",$J253=""),"",$J253*IFERROR(VLOOKUP($H253,Maestro_SKU!$A$2:$P$500,12,FALSE),1))</f>
        <v/>
      </c>
    </row>
    <row r="254">
      <c r="A254" s="43" t="n"/>
      <c r="B254" s="54" t="n"/>
      <c r="C254" s="43" t="n"/>
      <c r="D254" s="43" t="n"/>
      <c r="E254" s="48">
        <f>IFERROR(VLOOKUP(D254,Clientes_PDV!$A$2:$J$250,2,FALSE),"")</f>
        <v/>
      </c>
      <c r="F254" s="48">
        <f>IFERROR(VLOOKUP(D254,Clientes_PDV!$A$2:$J$250,3,FALSE),"")</f>
        <v/>
      </c>
      <c r="G254" s="48">
        <f>IFERROR(VLOOKUP(D254,Clientes_PDV!$A$2:$J$250,4,FALSE),"")</f>
        <v/>
      </c>
      <c r="H254" s="43" t="n"/>
      <c r="I254" s="48">
        <f>IFERROR(VLOOKUP(H254,Maestro_SKU!$A$2:$P$500,2,FALSE),"")</f>
        <v/>
      </c>
      <c r="J254" s="55" t="n"/>
      <c r="K254" s="44" t="n"/>
      <c r="L254" s="51">
        <f>IF(OR(J254="",K254=""),"",J254*K254)</f>
        <v/>
      </c>
      <c r="M254" s="51">
        <f>IF(L254="","",L254*Inicio!$B$13)</f>
        <v/>
      </c>
      <c r="N254" s="51">
        <f>IF(L254="","",L254+M254)</f>
        <v/>
      </c>
      <c r="O254" s="54" t="n"/>
      <c r="P254" s="43" t="n"/>
      <c r="Q254" s="44" t="n"/>
      <c r="R254" s="51">
        <f>IF(N254="","",MAX(N254-Q254,0))</f>
        <v/>
      </c>
      <c r="S254" s="48">
        <f>IF(A254="","",IF(OR(P254="Pagada",R254=0),"Pagada",IF(O254&lt;TODAY(),"Vencida",IF(O254&lt;=TODAY()+Inicio!$B$19,"Próxima a vencer","Vigente"))))</f>
        <v/>
      </c>
      <c r="T254" s="43" t="n"/>
      <c r="U254" s="68">
        <f>IF($B254="","",YEAR($B254))</f>
        <v/>
      </c>
      <c r="V254" s="68">
        <f>IF($B254="","",MONTH($B254))</f>
        <v/>
      </c>
      <c r="W254" s="68">
        <f>IF($B254="","",DAY($B254))</f>
        <v/>
      </c>
      <c r="X254" s="68">
        <f>IF($B254="","",YEAR($B254)&amp;"-"&amp;TEXT(MONTH($B254),"00"))</f>
        <v/>
      </c>
      <c r="Y254" s="68">
        <f>IF(OR($H254="",$J254=""),"",$J254*IFERROR(VLOOKUP($H254,Maestro_SKU!$A$2:$P$500,12,FALSE),1))</f>
        <v/>
      </c>
    </row>
    <row r="255">
      <c r="A255" s="43" t="n"/>
      <c r="B255" s="54" t="n"/>
      <c r="C255" s="43" t="n"/>
      <c r="D255" s="43" t="n"/>
      <c r="E255" s="48">
        <f>IFERROR(VLOOKUP(D255,Clientes_PDV!$A$2:$J$250,2,FALSE),"")</f>
        <v/>
      </c>
      <c r="F255" s="48">
        <f>IFERROR(VLOOKUP(D255,Clientes_PDV!$A$2:$J$250,3,FALSE),"")</f>
        <v/>
      </c>
      <c r="G255" s="48">
        <f>IFERROR(VLOOKUP(D255,Clientes_PDV!$A$2:$J$250,4,FALSE),"")</f>
        <v/>
      </c>
      <c r="H255" s="43" t="n"/>
      <c r="I255" s="48">
        <f>IFERROR(VLOOKUP(H255,Maestro_SKU!$A$2:$P$500,2,FALSE),"")</f>
        <v/>
      </c>
      <c r="J255" s="55" t="n"/>
      <c r="K255" s="44" t="n"/>
      <c r="L255" s="51">
        <f>IF(OR(J255="",K255=""),"",J255*K255)</f>
        <v/>
      </c>
      <c r="M255" s="51">
        <f>IF(L255="","",L255*Inicio!$B$13)</f>
        <v/>
      </c>
      <c r="N255" s="51">
        <f>IF(L255="","",L255+M255)</f>
        <v/>
      </c>
      <c r="O255" s="54" t="n"/>
      <c r="P255" s="43" t="n"/>
      <c r="Q255" s="44" t="n"/>
      <c r="R255" s="51">
        <f>IF(N255="","",MAX(N255-Q255,0))</f>
        <v/>
      </c>
      <c r="S255" s="48">
        <f>IF(A255="","",IF(OR(P255="Pagada",R255=0),"Pagada",IF(O255&lt;TODAY(),"Vencida",IF(O255&lt;=TODAY()+Inicio!$B$19,"Próxima a vencer","Vigente"))))</f>
        <v/>
      </c>
      <c r="T255" s="43" t="n"/>
      <c r="U255" s="68">
        <f>IF($B255="","",YEAR($B255))</f>
        <v/>
      </c>
      <c r="V255" s="68">
        <f>IF($B255="","",MONTH($B255))</f>
        <v/>
      </c>
      <c r="W255" s="68">
        <f>IF($B255="","",DAY($B255))</f>
        <v/>
      </c>
      <c r="X255" s="68">
        <f>IF($B255="","",YEAR($B255)&amp;"-"&amp;TEXT(MONTH($B255),"00"))</f>
        <v/>
      </c>
      <c r="Y255" s="68">
        <f>IF(OR($H255="",$J255=""),"",$J255*IFERROR(VLOOKUP($H255,Maestro_SKU!$A$2:$P$500,12,FALSE),1))</f>
        <v/>
      </c>
    </row>
    <row r="256">
      <c r="A256" s="43" t="n"/>
      <c r="B256" s="54" t="n"/>
      <c r="C256" s="43" t="n"/>
      <c r="D256" s="43" t="n"/>
      <c r="E256" s="48">
        <f>IFERROR(VLOOKUP(D256,Clientes_PDV!$A$2:$J$250,2,FALSE),"")</f>
        <v/>
      </c>
      <c r="F256" s="48">
        <f>IFERROR(VLOOKUP(D256,Clientes_PDV!$A$2:$J$250,3,FALSE),"")</f>
        <v/>
      </c>
      <c r="G256" s="48">
        <f>IFERROR(VLOOKUP(D256,Clientes_PDV!$A$2:$J$250,4,FALSE),"")</f>
        <v/>
      </c>
      <c r="H256" s="43" t="n"/>
      <c r="I256" s="48">
        <f>IFERROR(VLOOKUP(H256,Maestro_SKU!$A$2:$P$500,2,FALSE),"")</f>
        <v/>
      </c>
      <c r="J256" s="55" t="n"/>
      <c r="K256" s="44" t="n"/>
      <c r="L256" s="51">
        <f>IF(OR(J256="",K256=""),"",J256*K256)</f>
        <v/>
      </c>
      <c r="M256" s="51">
        <f>IF(L256="","",L256*Inicio!$B$13)</f>
        <v/>
      </c>
      <c r="N256" s="51">
        <f>IF(L256="","",L256+M256)</f>
        <v/>
      </c>
      <c r="O256" s="54" t="n"/>
      <c r="P256" s="43" t="n"/>
      <c r="Q256" s="44" t="n"/>
      <c r="R256" s="51">
        <f>IF(N256="","",MAX(N256-Q256,0))</f>
        <v/>
      </c>
      <c r="S256" s="48">
        <f>IF(A256="","",IF(OR(P256="Pagada",R256=0),"Pagada",IF(O256&lt;TODAY(),"Vencida",IF(O256&lt;=TODAY()+Inicio!$B$19,"Próxima a vencer","Vigente"))))</f>
        <v/>
      </c>
      <c r="T256" s="43" t="n"/>
      <c r="U256" s="68">
        <f>IF($B256="","",YEAR($B256))</f>
        <v/>
      </c>
      <c r="V256" s="68">
        <f>IF($B256="","",MONTH($B256))</f>
        <v/>
      </c>
      <c r="W256" s="68">
        <f>IF($B256="","",DAY($B256))</f>
        <v/>
      </c>
      <c r="X256" s="68">
        <f>IF($B256="","",YEAR($B256)&amp;"-"&amp;TEXT(MONTH($B256),"00"))</f>
        <v/>
      </c>
      <c r="Y256" s="68">
        <f>IF(OR($H256="",$J256=""),"",$J256*IFERROR(VLOOKUP($H256,Maestro_SKU!$A$2:$P$500,12,FALSE),1))</f>
        <v/>
      </c>
    </row>
    <row r="257">
      <c r="A257" s="43" t="n"/>
      <c r="B257" s="54" t="n"/>
      <c r="C257" s="43" t="n"/>
      <c r="D257" s="43" t="n"/>
      <c r="E257" s="48">
        <f>IFERROR(VLOOKUP(D257,Clientes_PDV!$A$2:$J$250,2,FALSE),"")</f>
        <v/>
      </c>
      <c r="F257" s="48">
        <f>IFERROR(VLOOKUP(D257,Clientes_PDV!$A$2:$J$250,3,FALSE),"")</f>
        <v/>
      </c>
      <c r="G257" s="48">
        <f>IFERROR(VLOOKUP(D257,Clientes_PDV!$A$2:$J$250,4,FALSE),"")</f>
        <v/>
      </c>
      <c r="H257" s="43" t="n"/>
      <c r="I257" s="48">
        <f>IFERROR(VLOOKUP(H257,Maestro_SKU!$A$2:$P$500,2,FALSE),"")</f>
        <v/>
      </c>
      <c r="J257" s="55" t="n"/>
      <c r="K257" s="44" t="n"/>
      <c r="L257" s="51">
        <f>IF(OR(J257="",K257=""),"",J257*K257)</f>
        <v/>
      </c>
      <c r="M257" s="51">
        <f>IF(L257="","",L257*Inicio!$B$13)</f>
        <v/>
      </c>
      <c r="N257" s="51">
        <f>IF(L257="","",L257+M257)</f>
        <v/>
      </c>
      <c r="O257" s="54" t="n"/>
      <c r="P257" s="43" t="n"/>
      <c r="Q257" s="44" t="n"/>
      <c r="R257" s="51">
        <f>IF(N257="","",MAX(N257-Q257,0))</f>
        <v/>
      </c>
      <c r="S257" s="48">
        <f>IF(A257="","",IF(OR(P257="Pagada",R257=0),"Pagada",IF(O257&lt;TODAY(),"Vencida",IF(O257&lt;=TODAY()+Inicio!$B$19,"Próxima a vencer","Vigente"))))</f>
        <v/>
      </c>
      <c r="T257" s="43" t="n"/>
      <c r="U257" s="68">
        <f>IF($B257="","",YEAR($B257))</f>
        <v/>
      </c>
      <c r="V257" s="68">
        <f>IF($B257="","",MONTH($B257))</f>
        <v/>
      </c>
      <c r="W257" s="68">
        <f>IF($B257="","",DAY($B257))</f>
        <v/>
      </c>
      <c r="X257" s="68">
        <f>IF($B257="","",YEAR($B257)&amp;"-"&amp;TEXT(MONTH($B257),"00"))</f>
        <v/>
      </c>
      <c r="Y257" s="68">
        <f>IF(OR($H257="",$J257=""),"",$J257*IFERROR(VLOOKUP($H257,Maestro_SKU!$A$2:$P$500,12,FALSE),1))</f>
        <v/>
      </c>
    </row>
    <row r="258">
      <c r="A258" s="43" t="n"/>
      <c r="B258" s="54" t="n"/>
      <c r="C258" s="43" t="n"/>
      <c r="D258" s="43" t="n"/>
      <c r="E258" s="48">
        <f>IFERROR(VLOOKUP(D258,Clientes_PDV!$A$2:$J$250,2,FALSE),"")</f>
        <v/>
      </c>
      <c r="F258" s="48">
        <f>IFERROR(VLOOKUP(D258,Clientes_PDV!$A$2:$J$250,3,FALSE),"")</f>
        <v/>
      </c>
      <c r="G258" s="48">
        <f>IFERROR(VLOOKUP(D258,Clientes_PDV!$A$2:$J$250,4,FALSE),"")</f>
        <v/>
      </c>
      <c r="H258" s="43" t="n"/>
      <c r="I258" s="48">
        <f>IFERROR(VLOOKUP(H258,Maestro_SKU!$A$2:$P$500,2,FALSE),"")</f>
        <v/>
      </c>
      <c r="J258" s="55" t="n"/>
      <c r="K258" s="44" t="n"/>
      <c r="L258" s="51">
        <f>IF(OR(J258="",K258=""),"",J258*K258)</f>
        <v/>
      </c>
      <c r="M258" s="51">
        <f>IF(L258="","",L258*Inicio!$B$13)</f>
        <v/>
      </c>
      <c r="N258" s="51">
        <f>IF(L258="","",L258+M258)</f>
        <v/>
      </c>
      <c r="O258" s="54" t="n"/>
      <c r="P258" s="43" t="n"/>
      <c r="Q258" s="44" t="n"/>
      <c r="R258" s="51">
        <f>IF(N258="","",MAX(N258-Q258,0))</f>
        <v/>
      </c>
      <c r="S258" s="48">
        <f>IF(A258="","",IF(OR(P258="Pagada",R258=0),"Pagada",IF(O258&lt;TODAY(),"Vencida",IF(O258&lt;=TODAY()+Inicio!$B$19,"Próxima a vencer","Vigente"))))</f>
        <v/>
      </c>
      <c r="T258" s="43" t="n"/>
      <c r="U258" s="68">
        <f>IF($B258="","",YEAR($B258))</f>
        <v/>
      </c>
      <c r="V258" s="68">
        <f>IF($B258="","",MONTH($B258))</f>
        <v/>
      </c>
      <c r="W258" s="68">
        <f>IF($B258="","",DAY($B258))</f>
        <v/>
      </c>
      <c r="X258" s="68">
        <f>IF($B258="","",YEAR($B258)&amp;"-"&amp;TEXT(MONTH($B258),"00"))</f>
        <v/>
      </c>
      <c r="Y258" s="68">
        <f>IF(OR($H258="",$J258=""),"",$J258*IFERROR(VLOOKUP($H258,Maestro_SKU!$A$2:$P$500,12,FALSE),1))</f>
        <v/>
      </c>
    </row>
    <row r="259">
      <c r="A259" s="43" t="n"/>
      <c r="B259" s="54" t="n"/>
      <c r="C259" s="43" t="n"/>
      <c r="D259" s="43" t="n"/>
      <c r="E259" s="48">
        <f>IFERROR(VLOOKUP(D259,Clientes_PDV!$A$2:$J$250,2,FALSE),"")</f>
        <v/>
      </c>
      <c r="F259" s="48">
        <f>IFERROR(VLOOKUP(D259,Clientes_PDV!$A$2:$J$250,3,FALSE),"")</f>
        <v/>
      </c>
      <c r="G259" s="48">
        <f>IFERROR(VLOOKUP(D259,Clientes_PDV!$A$2:$J$250,4,FALSE),"")</f>
        <v/>
      </c>
      <c r="H259" s="43" t="n"/>
      <c r="I259" s="48">
        <f>IFERROR(VLOOKUP(H259,Maestro_SKU!$A$2:$P$500,2,FALSE),"")</f>
        <v/>
      </c>
      <c r="J259" s="55" t="n"/>
      <c r="K259" s="44" t="n"/>
      <c r="L259" s="51">
        <f>IF(OR(J259="",K259=""),"",J259*K259)</f>
        <v/>
      </c>
      <c r="M259" s="51">
        <f>IF(L259="","",L259*Inicio!$B$13)</f>
        <v/>
      </c>
      <c r="N259" s="51">
        <f>IF(L259="","",L259+M259)</f>
        <v/>
      </c>
      <c r="O259" s="54" t="n"/>
      <c r="P259" s="43" t="n"/>
      <c r="Q259" s="44" t="n"/>
      <c r="R259" s="51">
        <f>IF(N259="","",MAX(N259-Q259,0))</f>
        <v/>
      </c>
      <c r="S259" s="48">
        <f>IF(A259="","",IF(OR(P259="Pagada",R259=0),"Pagada",IF(O259&lt;TODAY(),"Vencida",IF(O259&lt;=TODAY()+Inicio!$B$19,"Próxima a vencer","Vigente"))))</f>
        <v/>
      </c>
      <c r="T259" s="43" t="n"/>
      <c r="U259" s="68">
        <f>IF($B259="","",YEAR($B259))</f>
        <v/>
      </c>
      <c r="V259" s="68">
        <f>IF($B259="","",MONTH($B259))</f>
        <v/>
      </c>
      <c r="W259" s="68">
        <f>IF($B259="","",DAY($B259))</f>
        <v/>
      </c>
      <c r="X259" s="68">
        <f>IF($B259="","",YEAR($B259)&amp;"-"&amp;TEXT(MONTH($B259),"00"))</f>
        <v/>
      </c>
      <c r="Y259" s="68">
        <f>IF(OR($H259="",$J259=""),"",$J259*IFERROR(VLOOKUP($H259,Maestro_SKU!$A$2:$P$500,12,FALSE),1))</f>
        <v/>
      </c>
    </row>
    <row r="260">
      <c r="A260" s="43" t="n"/>
      <c r="B260" s="54" t="n"/>
      <c r="C260" s="43" t="n"/>
      <c r="D260" s="43" t="n"/>
      <c r="E260" s="48">
        <f>IFERROR(VLOOKUP(D260,Clientes_PDV!$A$2:$J$250,2,FALSE),"")</f>
        <v/>
      </c>
      <c r="F260" s="48">
        <f>IFERROR(VLOOKUP(D260,Clientes_PDV!$A$2:$J$250,3,FALSE),"")</f>
        <v/>
      </c>
      <c r="G260" s="48">
        <f>IFERROR(VLOOKUP(D260,Clientes_PDV!$A$2:$J$250,4,FALSE),"")</f>
        <v/>
      </c>
      <c r="H260" s="43" t="n"/>
      <c r="I260" s="48">
        <f>IFERROR(VLOOKUP(H260,Maestro_SKU!$A$2:$P$500,2,FALSE),"")</f>
        <v/>
      </c>
      <c r="J260" s="55" t="n"/>
      <c r="K260" s="44" t="n"/>
      <c r="L260" s="51">
        <f>IF(OR(J260="",K260=""),"",J260*K260)</f>
        <v/>
      </c>
      <c r="M260" s="51">
        <f>IF(L260="","",L260*Inicio!$B$13)</f>
        <v/>
      </c>
      <c r="N260" s="51">
        <f>IF(L260="","",L260+M260)</f>
        <v/>
      </c>
      <c r="O260" s="54" t="n"/>
      <c r="P260" s="43" t="n"/>
      <c r="Q260" s="44" t="n"/>
      <c r="R260" s="51">
        <f>IF(N260="","",MAX(N260-Q260,0))</f>
        <v/>
      </c>
      <c r="S260" s="48">
        <f>IF(A260="","",IF(OR(P260="Pagada",R260=0),"Pagada",IF(O260&lt;TODAY(),"Vencida",IF(O260&lt;=TODAY()+Inicio!$B$19,"Próxima a vencer","Vigente"))))</f>
        <v/>
      </c>
      <c r="T260" s="43" t="n"/>
      <c r="U260" s="68">
        <f>IF($B260="","",YEAR($B260))</f>
        <v/>
      </c>
      <c r="V260" s="68">
        <f>IF($B260="","",MONTH($B260))</f>
        <v/>
      </c>
      <c r="W260" s="68">
        <f>IF($B260="","",DAY($B260))</f>
        <v/>
      </c>
      <c r="X260" s="68">
        <f>IF($B260="","",YEAR($B260)&amp;"-"&amp;TEXT(MONTH($B260),"00"))</f>
        <v/>
      </c>
      <c r="Y260" s="68">
        <f>IF(OR($H260="",$J260=""),"",$J260*IFERROR(VLOOKUP($H260,Maestro_SKU!$A$2:$P$500,12,FALSE),1))</f>
        <v/>
      </c>
    </row>
    <row r="261">
      <c r="A261" s="43" t="n"/>
      <c r="B261" s="54" t="n"/>
      <c r="C261" s="43" t="n"/>
      <c r="D261" s="43" t="n"/>
      <c r="E261" s="48">
        <f>IFERROR(VLOOKUP(D261,Clientes_PDV!$A$2:$J$250,2,FALSE),"")</f>
        <v/>
      </c>
      <c r="F261" s="48">
        <f>IFERROR(VLOOKUP(D261,Clientes_PDV!$A$2:$J$250,3,FALSE),"")</f>
        <v/>
      </c>
      <c r="G261" s="48">
        <f>IFERROR(VLOOKUP(D261,Clientes_PDV!$A$2:$J$250,4,FALSE),"")</f>
        <v/>
      </c>
      <c r="H261" s="43" t="n"/>
      <c r="I261" s="48">
        <f>IFERROR(VLOOKUP(H261,Maestro_SKU!$A$2:$P$500,2,FALSE),"")</f>
        <v/>
      </c>
      <c r="J261" s="55" t="n"/>
      <c r="K261" s="44" t="n"/>
      <c r="L261" s="51">
        <f>IF(OR(J261="",K261=""),"",J261*K261)</f>
        <v/>
      </c>
      <c r="M261" s="51">
        <f>IF(L261="","",L261*Inicio!$B$13)</f>
        <v/>
      </c>
      <c r="N261" s="51">
        <f>IF(L261="","",L261+M261)</f>
        <v/>
      </c>
      <c r="O261" s="54" t="n"/>
      <c r="P261" s="43" t="n"/>
      <c r="Q261" s="44" t="n"/>
      <c r="R261" s="51">
        <f>IF(N261="","",MAX(N261-Q261,0))</f>
        <v/>
      </c>
      <c r="S261" s="48">
        <f>IF(A261="","",IF(OR(P261="Pagada",R261=0),"Pagada",IF(O261&lt;TODAY(),"Vencida",IF(O261&lt;=TODAY()+Inicio!$B$19,"Próxima a vencer","Vigente"))))</f>
        <v/>
      </c>
      <c r="T261" s="43" t="n"/>
      <c r="U261" s="68">
        <f>IF($B261="","",YEAR($B261))</f>
        <v/>
      </c>
      <c r="V261" s="68">
        <f>IF($B261="","",MONTH($B261))</f>
        <v/>
      </c>
      <c r="W261" s="68">
        <f>IF($B261="","",DAY($B261))</f>
        <v/>
      </c>
      <c r="X261" s="68">
        <f>IF($B261="","",YEAR($B261)&amp;"-"&amp;TEXT(MONTH($B261),"00"))</f>
        <v/>
      </c>
      <c r="Y261" s="68">
        <f>IF(OR($H261="",$J261=""),"",$J261*IFERROR(VLOOKUP($H261,Maestro_SKU!$A$2:$P$500,12,FALSE),1))</f>
        <v/>
      </c>
    </row>
    <row r="262">
      <c r="A262" s="43" t="n"/>
      <c r="B262" s="54" t="n"/>
      <c r="C262" s="43" t="n"/>
      <c r="D262" s="43" t="n"/>
      <c r="E262" s="48">
        <f>IFERROR(VLOOKUP(D262,Clientes_PDV!$A$2:$J$250,2,FALSE),"")</f>
        <v/>
      </c>
      <c r="F262" s="48">
        <f>IFERROR(VLOOKUP(D262,Clientes_PDV!$A$2:$J$250,3,FALSE),"")</f>
        <v/>
      </c>
      <c r="G262" s="48">
        <f>IFERROR(VLOOKUP(D262,Clientes_PDV!$A$2:$J$250,4,FALSE),"")</f>
        <v/>
      </c>
      <c r="H262" s="43" t="n"/>
      <c r="I262" s="48">
        <f>IFERROR(VLOOKUP(H262,Maestro_SKU!$A$2:$P$500,2,FALSE),"")</f>
        <v/>
      </c>
      <c r="J262" s="55" t="n"/>
      <c r="K262" s="44" t="n"/>
      <c r="L262" s="51">
        <f>IF(OR(J262="",K262=""),"",J262*K262)</f>
        <v/>
      </c>
      <c r="M262" s="51">
        <f>IF(L262="","",L262*Inicio!$B$13)</f>
        <v/>
      </c>
      <c r="N262" s="51">
        <f>IF(L262="","",L262+M262)</f>
        <v/>
      </c>
      <c r="O262" s="54" t="n"/>
      <c r="P262" s="43" t="n"/>
      <c r="Q262" s="44" t="n"/>
      <c r="R262" s="51">
        <f>IF(N262="","",MAX(N262-Q262,0))</f>
        <v/>
      </c>
      <c r="S262" s="48">
        <f>IF(A262="","",IF(OR(P262="Pagada",R262=0),"Pagada",IF(O262&lt;TODAY(),"Vencida",IF(O262&lt;=TODAY()+Inicio!$B$19,"Próxima a vencer","Vigente"))))</f>
        <v/>
      </c>
      <c r="T262" s="43" t="n"/>
      <c r="U262" s="68">
        <f>IF($B262="","",YEAR($B262))</f>
        <v/>
      </c>
      <c r="V262" s="68">
        <f>IF($B262="","",MONTH($B262))</f>
        <v/>
      </c>
      <c r="W262" s="68">
        <f>IF($B262="","",DAY($B262))</f>
        <v/>
      </c>
      <c r="X262" s="68">
        <f>IF($B262="","",YEAR($B262)&amp;"-"&amp;TEXT(MONTH($B262),"00"))</f>
        <v/>
      </c>
      <c r="Y262" s="68">
        <f>IF(OR($H262="",$J262=""),"",$J262*IFERROR(VLOOKUP($H262,Maestro_SKU!$A$2:$P$500,12,FALSE),1))</f>
        <v/>
      </c>
    </row>
    <row r="263">
      <c r="A263" s="43" t="n"/>
      <c r="B263" s="54" t="n"/>
      <c r="C263" s="43" t="n"/>
      <c r="D263" s="43" t="n"/>
      <c r="E263" s="48">
        <f>IFERROR(VLOOKUP(D263,Clientes_PDV!$A$2:$J$250,2,FALSE),"")</f>
        <v/>
      </c>
      <c r="F263" s="48">
        <f>IFERROR(VLOOKUP(D263,Clientes_PDV!$A$2:$J$250,3,FALSE),"")</f>
        <v/>
      </c>
      <c r="G263" s="48">
        <f>IFERROR(VLOOKUP(D263,Clientes_PDV!$A$2:$J$250,4,FALSE),"")</f>
        <v/>
      </c>
      <c r="H263" s="43" t="n"/>
      <c r="I263" s="48">
        <f>IFERROR(VLOOKUP(H263,Maestro_SKU!$A$2:$P$500,2,FALSE),"")</f>
        <v/>
      </c>
      <c r="J263" s="55" t="n"/>
      <c r="K263" s="44" t="n"/>
      <c r="L263" s="51">
        <f>IF(OR(J263="",K263=""),"",J263*K263)</f>
        <v/>
      </c>
      <c r="M263" s="51">
        <f>IF(L263="","",L263*Inicio!$B$13)</f>
        <v/>
      </c>
      <c r="N263" s="51">
        <f>IF(L263="","",L263+M263)</f>
        <v/>
      </c>
      <c r="O263" s="54" t="n"/>
      <c r="P263" s="43" t="n"/>
      <c r="Q263" s="44" t="n"/>
      <c r="R263" s="51">
        <f>IF(N263="","",MAX(N263-Q263,0))</f>
        <v/>
      </c>
      <c r="S263" s="48">
        <f>IF(A263="","",IF(OR(P263="Pagada",R263=0),"Pagada",IF(O263&lt;TODAY(),"Vencida",IF(O263&lt;=TODAY()+Inicio!$B$19,"Próxima a vencer","Vigente"))))</f>
        <v/>
      </c>
      <c r="T263" s="43" t="n"/>
      <c r="U263" s="68">
        <f>IF($B263="","",YEAR($B263))</f>
        <v/>
      </c>
      <c r="V263" s="68">
        <f>IF($B263="","",MONTH($B263))</f>
        <v/>
      </c>
      <c r="W263" s="68">
        <f>IF($B263="","",DAY($B263))</f>
        <v/>
      </c>
      <c r="X263" s="68">
        <f>IF($B263="","",YEAR($B263)&amp;"-"&amp;TEXT(MONTH($B263),"00"))</f>
        <v/>
      </c>
      <c r="Y263" s="68">
        <f>IF(OR($H263="",$J263=""),"",$J263*IFERROR(VLOOKUP($H263,Maestro_SKU!$A$2:$P$500,12,FALSE),1))</f>
        <v/>
      </c>
    </row>
    <row r="264">
      <c r="A264" s="43" t="n"/>
      <c r="B264" s="54" t="n"/>
      <c r="C264" s="43" t="n"/>
      <c r="D264" s="43" t="n"/>
      <c r="E264" s="48">
        <f>IFERROR(VLOOKUP(D264,Clientes_PDV!$A$2:$J$250,2,FALSE),"")</f>
        <v/>
      </c>
      <c r="F264" s="48">
        <f>IFERROR(VLOOKUP(D264,Clientes_PDV!$A$2:$J$250,3,FALSE),"")</f>
        <v/>
      </c>
      <c r="G264" s="48">
        <f>IFERROR(VLOOKUP(D264,Clientes_PDV!$A$2:$J$250,4,FALSE),"")</f>
        <v/>
      </c>
      <c r="H264" s="43" t="n"/>
      <c r="I264" s="48">
        <f>IFERROR(VLOOKUP(H264,Maestro_SKU!$A$2:$P$500,2,FALSE),"")</f>
        <v/>
      </c>
      <c r="J264" s="55" t="n"/>
      <c r="K264" s="44" t="n"/>
      <c r="L264" s="51">
        <f>IF(OR(J264="",K264=""),"",J264*K264)</f>
        <v/>
      </c>
      <c r="M264" s="51">
        <f>IF(L264="","",L264*Inicio!$B$13)</f>
        <v/>
      </c>
      <c r="N264" s="51">
        <f>IF(L264="","",L264+M264)</f>
        <v/>
      </c>
      <c r="O264" s="54" t="n"/>
      <c r="P264" s="43" t="n"/>
      <c r="Q264" s="44" t="n"/>
      <c r="R264" s="51">
        <f>IF(N264="","",MAX(N264-Q264,0))</f>
        <v/>
      </c>
      <c r="S264" s="48">
        <f>IF(A264="","",IF(OR(P264="Pagada",R264=0),"Pagada",IF(O264&lt;TODAY(),"Vencida",IF(O264&lt;=TODAY()+Inicio!$B$19,"Próxima a vencer","Vigente"))))</f>
        <v/>
      </c>
      <c r="T264" s="43" t="n"/>
      <c r="U264" s="68">
        <f>IF($B264="","",YEAR($B264))</f>
        <v/>
      </c>
      <c r="V264" s="68">
        <f>IF($B264="","",MONTH($B264))</f>
        <v/>
      </c>
      <c r="W264" s="68">
        <f>IF($B264="","",DAY($B264))</f>
        <v/>
      </c>
      <c r="X264" s="68">
        <f>IF($B264="","",YEAR($B264)&amp;"-"&amp;TEXT(MONTH($B264),"00"))</f>
        <v/>
      </c>
      <c r="Y264" s="68">
        <f>IF(OR($H264="",$J264=""),"",$J264*IFERROR(VLOOKUP($H264,Maestro_SKU!$A$2:$P$500,12,FALSE),1))</f>
        <v/>
      </c>
    </row>
    <row r="265">
      <c r="A265" s="43" t="n"/>
      <c r="B265" s="54" t="n"/>
      <c r="C265" s="43" t="n"/>
      <c r="D265" s="43" t="n"/>
      <c r="E265" s="48">
        <f>IFERROR(VLOOKUP(D265,Clientes_PDV!$A$2:$J$250,2,FALSE),"")</f>
        <v/>
      </c>
      <c r="F265" s="48">
        <f>IFERROR(VLOOKUP(D265,Clientes_PDV!$A$2:$J$250,3,FALSE),"")</f>
        <v/>
      </c>
      <c r="G265" s="48">
        <f>IFERROR(VLOOKUP(D265,Clientes_PDV!$A$2:$J$250,4,FALSE),"")</f>
        <v/>
      </c>
      <c r="H265" s="43" t="n"/>
      <c r="I265" s="48">
        <f>IFERROR(VLOOKUP(H265,Maestro_SKU!$A$2:$P$500,2,FALSE),"")</f>
        <v/>
      </c>
      <c r="J265" s="55" t="n"/>
      <c r="K265" s="44" t="n"/>
      <c r="L265" s="51">
        <f>IF(OR(J265="",K265=""),"",J265*K265)</f>
        <v/>
      </c>
      <c r="M265" s="51">
        <f>IF(L265="","",L265*Inicio!$B$13)</f>
        <v/>
      </c>
      <c r="N265" s="51">
        <f>IF(L265="","",L265+M265)</f>
        <v/>
      </c>
      <c r="O265" s="54" t="n"/>
      <c r="P265" s="43" t="n"/>
      <c r="Q265" s="44" t="n"/>
      <c r="R265" s="51">
        <f>IF(N265="","",MAX(N265-Q265,0))</f>
        <v/>
      </c>
      <c r="S265" s="48">
        <f>IF(A265="","",IF(OR(P265="Pagada",R265=0),"Pagada",IF(O265&lt;TODAY(),"Vencida",IF(O265&lt;=TODAY()+Inicio!$B$19,"Próxima a vencer","Vigente"))))</f>
        <v/>
      </c>
      <c r="T265" s="43" t="n"/>
      <c r="U265" s="68">
        <f>IF($B265="","",YEAR($B265))</f>
        <v/>
      </c>
      <c r="V265" s="68">
        <f>IF($B265="","",MONTH($B265))</f>
        <v/>
      </c>
      <c r="W265" s="68">
        <f>IF($B265="","",DAY($B265))</f>
        <v/>
      </c>
      <c r="X265" s="68">
        <f>IF($B265="","",YEAR($B265)&amp;"-"&amp;TEXT(MONTH($B265),"00"))</f>
        <v/>
      </c>
      <c r="Y265" s="68">
        <f>IF(OR($H265="",$J265=""),"",$J265*IFERROR(VLOOKUP($H265,Maestro_SKU!$A$2:$P$500,12,FALSE),1))</f>
        <v/>
      </c>
    </row>
    <row r="266">
      <c r="A266" s="43" t="n"/>
      <c r="B266" s="54" t="n"/>
      <c r="C266" s="43" t="n"/>
      <c r="D266" s="43" t="n"/>
      <c r="E266" s="48">
        <f>IFERROR(VLOOKUP(D266,Clientes_PDV!$A$2:$J$250,2,FALSE),"")</f>
        <v/>
      </c>
      <c r="F266" s="48">
        <f>IFERROR(VLOOKUP(D266,Clientes_PDV!$A$2:$J$250,3,FALSE),"")</f>
        <v/>
      </c>
      <c r="G266" s="48">
        <f>IFERROR(VLOOKUP(D266,Clientes_PDV!$A$2:$J$250,4,FALSE),"")</f>
        <v/>
      </c>
      <c r="H266" s="43" t="n"/>
      <c r="I266" s="48">
        <f>IFERROR(VLOOKUP(H266,Maestro_SKU!$A$2:$P$500,2,FALSE),"")</f>
        <v/>
      </c>
      <c r="J266" s="55" t="n"/>
      <c r="K266" s="44" t="n"/>
      <c r="L266" s="51">
        <f>IF(OR(J266="",K266=""),"",J266*K266)</f>
        <v/>
      </c>
      <c r="M266" s="51">
        <f>IF(L266="","",L266*Inicio!$B$13)</f>
        <v/>
      </c>
      <c r="N266" s="51">
        <f>IF(L266="","",L266+M266)</f>
        <v/>
      </c>
      <c r="O266" s="54" t="n"/>
      <c r="P266" s="43" t="n"/>
      <c r="Q266" s="44" t="n"/>
      <c r="R266" s="51">
        <f>IF(N266="","",MAX(N266-Q266,0))</f>
        <v/>
      </c>
      <c r="S266" s="48">
        <f>IF(A266="","",IF(OR(P266="Pagada",R266=0),"Pagada",IF(O266&lt;TODAY(),"Vencida",IF(O266&lt;=TODAY()+Inicio!$B$19,"Próxima a vencer","Vigente"))))</f>
        <v/>
      </c>
      <c r="T266" s="43" t="n"/>
      <c r="U266" s="68">
        <f>IF($B266="","",YEAR($B266))</f>
        <v/>
      </c>
      <c r="V266" s="68">
        <f>IF($B266="","",MONTH($B266))</f>
        <v/>
      </c>
      <c r="W266" s="68">
        <f>IF($B266="","",DAY($B266))</f>
        <v/>
      </c>
      <c r="X266" s="68">
        <f>IF($B266="","",YEAR($B266)&amp;"-"&amp;TEXT(MONTH($B266),"00"))</f>
        <v/>
      </c>
      <c r="Y266" s="68">
        <f>IF(OR($H266="",$J266=""),"",$J266*IFERROR(VLOOKUP($H266,Maestro_SKU!$A$2:$P$500,12,FALSE),1))</f>
        <v/>
      </c>
    </row>
    <row r="267">
      <c r="A267" s="43" t="n"/>
      <c r="B267" s="54" t="n"/>
      <c r="C267" s="43" t="n"/>
      <c r="D267" s="43" t="n"/>
      <c r="E267" s="48">
        <f>IFERROR(VLOOKUP(D267,Clientes_PDV!$A$2:$J$250,2,FALSE),"")</f>
        <v/>
      </c>
      <c r="F267" s="48">
        <f>IFERROR(VLOOKUP(D267,Clientes_PDV!$A$2:$J$250,3,FALSE),"")</f>
        <v/>
      </c>
      <c r="G267" s="48">
        <f>IFERROR(VLOOKUP(D267,Clientes_PDV!$A$2:$J$250,4,FALSE),"")</f>
        <v/>
      </c>
      <c r="H267" s="43" t="n"/>
      <c r="I267" s="48">
        <f>IFERROR(VLOOKUP(H267,Maestro_SKU!$A$2:$P$500,2,FALSE),"")</f>
        <v/>
      </c>
      <c r="J267" s="55" t="n"/>
      <c r="K267" s="44" t="n"/>
      <c r="L267" s="51">
        <f>IF(OR(J267="",K267=""),"",J267*K267)</f>
        <v/>
      </c>
      <c r="M267" s="51">
        <f>IF(L267="","",L267*Inicio!$B$13)</f>
        <v/>
      </c>
      <c r="N267" s="51">
        <f>IF(L267="","",L267+M267)</f>
        <v/>
      </c>
      <c r="O267" s="54" t="n"/>
      <c r="P267" s="43" t="n"/>
      <c r="Q267" s="44" t="n"/>
      <c r="R267" s="51">
        <f>IF(N267="","",MAX(N267-Q267,0))</f>
        <v/>
      </c>
      <c r="S267" s="48">
        <f>IF(A267="","",IF(OR(P267="Pagada",R267=0),"Pagada",IF(O267&lt;TODAY(),"Vencida",IF(O267&lt;=TODAY()+Inicio!$B$19,"Próxima a vencer","Vigente"))))</f>
        <v/>
      </c>
      <c r="T267" s="43" t="n"/>
      <c r="U267" s="68">
        <f>IF($B267="","",YEAR($B267))</f>
        <v/>
      </c>
      <c r="V267" s="68">
        <f>IF($B267="","",MONTH($B267))</f>
        <v/>
      </c>
      <c r="W267" s="68">
        <f>IF($B267="","",DAY($B267))</f>
        <v/>
      </c>
      <c r="X267" s="68">
        <f>IF($B267="","",YEAR($B267)&amp;"-"&amp;TEXT(MONTH($B267),"00"))</f>
        <v/>
      </c>
      <c r="Y267" s="68">
        <f>IF(OR($H267="",$J267=""),"",$J267*IFERROR(VLOOKUP($H267,Maestro_SKU!$A$2:$P$500,12,FALSE),1))</f>
        <v/>
      </c>
    </row>
    <row r="268">
      <c r="A268" s="43" t="n"/>
      <c r="B268" s="54" t="n"/>
      <c r="C268" s="43" t="n"/>
      <c r="D268" s="43" t="n"/>
      <c r="E268" s="48">
        <f>IFERROR(VLOOKUP(D268,Clientes_PDV!$A$2:$J$250,2,FALSE),"")</f>
        <v/>
      </c>
      <c r="F268" s="48">
        <f>IFERROR(VLOOKUP(D268,Clientes_PDV!$A$2:$J$250,3,FALSE),"")</f>
        <v/>
      </c>
      <c r="G268" s="48">
        <f>IFERROR(VLOOKUP(D268,Clientes_PDV!$A$2:$J$250,4,FALSE),"")</f>
        <v/>
      </c>
      <c r="H268" s="43" t="n"/>
      <c r="I268" s="48">
        <f>IFERROR(VLOOKUP(H268,Maestro_SKU!$A$2:$P$500,2,FALSE),"")</f>
        <v/>
      </c>
      <c r="J268" s="55" t="n"/>
      <c r="K268" s="44" t="n"/>
      <c r="L268" s="51">
        <f>IF(OR(J268="",K268=""),"",J268*K268)</f>
        <v/>
      </c>
      <c r="M268" s="51">
        <f>IF(L268="","",L268*Inicio!$B$13)</f>
        <v/>
      </c>
      <c r="N268" s="51">
        <f>IF(L268="","",L268+M268)</f>
        <v/>
      </c>
      <c r="O268" s="54" t="n"/>
      <c r="P268" s="43" t="n"/>
      <c r="Q268" s="44" t="n"/>
      <c r="R268" s="51">
        <f>IF(N268="","",MAX(N268-Q268,0))</f>
        <v/>
      </c>
      <c r="S268" s="48">
        <f>IF(A268="","",IF(OR(P268="Pagada",R268=0),"Pagada",IF(O268&lt;TODAY(),"Vencida",IF(O268&lt;=TODAY()+Inicio!$B$19,"Próxima a vencer","Vigente"))))</f>
        <v/>
      </c>
      <c r="T268" s="43" t="n"/>
      <c r="U268" s="68">
        <f>IF($B268="","",YEAR($B268))</f>
        <v/>
      </c>
      <c r="V268" s="68">
        <f>IF($B268="","",MONTH($B268))</f>
        <v/>
      </c>
      <c r="W268" s="68">
        <f>IF($B268="","",DAY($B268))</f>
        <v/>
      </c>
      <c r="X268" s="68">
        <f>IF($B268="","",YEAR($B268)&amp;"-"&amp;TEXT(MONTH($B268),"00"))</f>
        <v/>
      </c>
      <c r="Y268" s="68">
        <f>IF(OR($H268="",$J268=""),"",$J268*IFERROR(VLOOKUP($H268,Maestro_SKU!$A$2:$P$500,12,FALSE),1))</f>
        <v/>
      </c>
    </row>
    <row r="269">
      <c r="A269" s="43" t="n"/>
      <c r="B269" s="54" t="n"/>
      <c r="C269" s="43" t="n"/>
      <c r="D269" s="43" t="n"/>
      <c r="E269" s="48">
        <f>IFERROR(VLOOKUP(D269,Clientes_PDV!$A$2:$J$250,2,FALSE),"")</f>
        <v/>
      </c>
      <c r="F269" s="48">
        <f>IFERROR(VLOOKUP(D269,Clientes_PDV!$A$2:$J$250,3,FALSE),"")</f>
        <v/>
      </c>
      <c r="G269" s="48">
        <f>IFERROR(VLOOKUP(D269,Clientes_PDV!$A$2:$J$250,4,FALSE),"")</f>
        <v/>
      </c>
      <c r="H269" s="43" t="n"/>
      <c r="I269" s="48">
        <f>IFERROR(VLOOKUP(H269,Maestro_SKU!$A$2:$P$500,2,FALSE),"")</f>
        <v/>
      </c>
      <c r="J269" s="55" t="n"/>
      <c r="K269" s="44" t="n"/>
      <c r="L269" s="51">
        <f>IF(OR(J269="",K269=""),"",J269*K269)</f>
        <v/>
      </c>
      <c r="M269" s="51">
        <f>IF(L269="","",L269*Inicio!$B$13)</f>
        <v/>
      </c>
      <c r="N269" s="51">
        <f>IF(L269="","",L269+M269)</f>
        <v/>
      </c>
      <c r="O269" s="54" t="n"/>
      <c r="P269" s="43" t="n"/>
      <c r="Q269" s="44" t="n"/>
      <c r="R269" s="51">
        <f>IF(N269="","",MAX(N269-Q269,0))</f>
        <v/>
      </c>
      <c r="S269" s="48">
        <f>IF(A269="","",IF(OR(P269="Pagada",R269=0),"Pagada",IF(O269&lt;TODAY(),"Vencida",IF(O269&lt;=TODAY()+Inicio!$B$19,"Próxima a vencer","Vigente"))))</f>
        <v/>
      </c>
      <c r="T269" s="43" t="n"/>
      <c r="U269" s="68">
        <f>IF($B269="","",YEAR($B269))</f>
        <v/>
      </c>
      <c r="V269" s="68">
        <f>IF($B269="","",MONTH($B269))</f>
        <v/>
      </c>
      <c r="W269" s="68">
        <f>IF($B269="","",DAY($B269))</f>
        <v/>
      </c>
      <c r="X269" s="68">
        <f>IF($B269="","",YEAR($B269)&amp;"-"&amp;TEXT(MONTH($B269),"00"))</f>
        <v/>
      </c>
      <c r="Y269" s="68">
        <f>IF(OR($H269="",$J269=""),"",$J269*IFERROR(VLOOKUP($H269,Maestro_SKU!$A$2:$P$500,12,FALSE),1))</f>
        <v/>
      </c>
    </row>
    <row r="270">
      <c r="A270" s="43" t="n"/>
      <c r="B270" s="54" t="n"/>
      <c r="C270" s="43" t="n"/>
      <c r="D270" s="43" t="n"/>
      <c r="E270" s="48">
        <f>IFERROR(VLOOKUP(D270,Clientes_PDV!$A$2:$J$250,2,FALSE),"")</f>
        <v/>
      </c>
      <c r="F270" s="48">
        <f>IFERROR(VLOOKUP(D270,Clientes_PDV!$A$2:$J$250,3,FALSE),"")</f>
        <v/>
      </c>
      <c r="G270" s="48">
        <f>IFERROR(VLOOKUP(D270,Clientes_PDV!$A$2:$J$250,4,FALSE),"")</f>
        <v/>
      </c>
      <c r="H270" s="43" t="n"/>
      <c r="I270" s="48">
        <f>IFERROR(VLOOKUP(H270,Maestro_SKU!$A$2:$P$500,2,FALSE),"")</f>
        <v/>
      </c>
      <c r="J270" s="55" t="n"/>
      <c r="K270" s="44" t="n"/>
      <c r="L270" s="51">
        <f>IF(OR(J270="",K270=""),"",J270*K270)</f>
        <v/>
      </c>
      <c r="M270" s="51">
        <f>IF(L270="","",L270*Inicio!$B$13)</f>
        <v/>
      </c>
      <c r="N270" s="51">
        <f>IF(L270="","",L270+M270)</f>
        <v/>
      </c>
      <c r="O270" s="54" t="n"/>
      <c r="P270" s="43" t="n"/>
      <c r="Q270" s="44" t="n"/>
      <c r="R270" s="51">
        <f>IF(N270="","",MAX(N270-Q270,0))</f>
        <v/>
      </c>
      <c r="S270" s="48">
        <f>IF(A270="","",IF(OR(P270="Pagada",R270=0),"Pagada",IF(O270&lt;TODAY(),"Vencida",IF(O270&lt;=TODAY()+Inicio!$B$19,"Próxima a vencer","Vigente"))))</f>
        <v/>
      </c>
      <c r="T270" s="43" t="n"/>
      <c r="U270" s="68">
        <f>IF($B270="","",YEAR($B270))</f>
        <v/>
      </c>
      <c r="V270" s="68">
        <f>IF($B270="","",MONTH($B270))</f>
        <v/>
      </c>
      <c r="W270" s="68">
        <f>IF($B270="","",DAY($B270))</f>
        <v/>
      </c>
      <c r="X270" s="68">
        <f>IF($B270="","",YEAR($B270)&amp;"-"&amp;TEXT(MONTH($B270),"00"))</f>
        <v/>
      </c>
      <c r="Y270" s="68">
        <f>IF(OR($H270="",$J270=""),"",$J270*IFERROR(VLOOKUP($H270,Maestro_SKU!$A$2:$P$500,12,FALSE),1))</f>
        <v/>
      </c>
    </row>
    <row r="271">
      <c r="A271" s="43" t="n"/>
      <c r="B271" s="54" t="n"/>
      <c r="C271" s="43" t="n"/>
      <c r="D271" s="43" t="n"/>
      <c r="E271" s="48">
        <f>IFERROR(VLOOKUP(D271,Clientes_PDV!$A$2:$J$250,2,FALSE),"")</f>
        <v/>
      </c>
      <c r="F271" s="48">
        <f>IFERROR(VLOOKUP(D271,Clientes_PDV!$A$2:$J$250,3,FALSE),"")</f>
        <v/>
      </c>
      <c r="G271" s="48">
        <f>IFERROR(VLOOKUP(D271,Clientes_PDV!$A$2:$J$250,4,FALSE),"")</f>
        <v/>
      </c>
      <c r="H271" s="43" t="n"/>
      <c r="I271" s="48">
        <f>IFERROR(VLOOKUP(H271,Maestro_SKU!$A$2:$P$500,2,FALSE),"")</f>
        <v/>
      </c>
      <c r="J271" s="55" t="n"/>
      <c r="K271" s="44" t="n"/>
      <c r="L271" s="51">
        <f>IF(OR(J271="",K271=""),"",J271*K271)</f>
        <v/>
      </c>
      <c r="M271" s="51">
        <f>IF(L271="","",L271*Inicio!$B$13)</f>
        <v/>
      </c>
      <c r="N271" s="51">
        <f>IF(L271="","",L271+M271)</f>
        <v/>
      </c>
      <c r="O271" s="54" t="n"/>
      <c r="P271" s="43" t="n"/>
      <c r="Q271" s="44" t="n"/>
      <c r="R271" s="51">
        <f>IF(N271="","",MAX(N271-Q271,0))</f>
        <v/>
      </c>
      <c r="S271" s="48">
        <f>IF(A271="","",IF(OR(P271="Pagada",R271=0),"Pagada",IF(O271&lt;TODAY(),"Vencida",IF(O271&lt;=TODAY()+Inicio!$B$19,"Próxima a vencer","Vigente"))))</f>
        <v/>
      </c>
      <c r="T271" s="43" t="n"/>
      <c r="U271" s="68">
        <f>IF($B271="","",YEAR($B271))</f>
        <v/>
      </c>
      <c r="V271" s="68">
        <f>IF($B271="","",MONTH($B271))</f>
        <v/>
      </c>
      <c r="W271" s="68">
        <f>IF($B271="","",DAY($B271))</f>
        <v/>
      </c>
      <c r="X271" s="68">
        <f>IF($B271="","",YEAR($B271)&amp;"-"&amp;TEXT(MONTH($B271),"00"))</f>
        <v/>
      </c>
      <c r="Y271" s="68">
        <f>IF(OR($H271="",$J271=""),"",$J271*IFERROR(VLOOKUP($H271,Maestro_SKU!$A$2:$P$500,12,FALSE),1))</f>
        <v/>
      </c>
    </row>
    <row r="272">
      <c r="A272" s="43" t="n"/>
      <c r="B272" s="54" t="n"/>
      <c r="C272" s="43" t="n"/>
      <c r="D272" s="43" t="n"/>
      <c r="E272" s="48">
        <f>IFERROR(VLOOKUP(D272,Clientes_PDV!$A$2:$J$250,2,FALSE),"")</f>
        <v/>
      </c>
      <c r="F272" s="48">
        <f>IFERROR(VLOOKUP(D272,Clientes_PDV!$A$2:$J$250,3,FALSE),"")</f>
        <v/>
      </c>
      <c r="G272" s="48">
        <f>IFERROR(VLOOKUP(D272,Clientes_PDV!$A$2:$J$250,4,FALSE),"")</f>
        <v/>
      </c>
      <c r="H272" s="43" t="n"/>
      <c r="I272" s="48">
        <f>IFERROR(VLOOKUP(H272,Maestro_SKU!$A$2:$P$500,2,FALSE),"")</f>
        <v/>
      </c>
      <c r="J272" s="55" t="n"/>
      <c r="K272" s="44" t="n"/>
      <c r="L272" s="51">
        <f>IF(OR(J272="",K272=""),"",J272*K272)</f>
        <v/>
      </c>
      <c r="M272" s="51">
        <f>IF(L272="","",L272*Inicio!$B$13)</f>
        <v/>
      </c>
      <c r="N272" s="51">
        <f>IF(L272="","",L272+M272)</f>
        <v/>
      </c>
      <c r="O272" s="54" t="n"/>
      <c r="P272" s="43" t="n"/>
      <c r="Q272" s="44" t="n"/>
      <c r="R272" s="51">
        <f>IF(N272="","",MAX(N272-Q272,0))</f>
        <v/>
      </c>
      <c r="S272" s="48">
        <f>IF(A272="","",IF(OR(P272="Pagada",R272=0),"Pagada",IF(O272&lt;TODAY(),"Vencida",IF(O272&lt;=TODAY()+Inicio!$B$19,"Próxima a vencer","Vigente"))))</f>
        <v/>
      </c>
      <c r="T272" s="43" t="n"/>
      <c r="U272" s="68">
        <f>IF($B272="","",YEAR($B272))</f>
        <v/>
      </c>
      <c r="V272" s="68">
        <f>IF($B272="","",MONTH($B272))</f>
        <v/>
      </c>
      <c r="W272" s="68">
        <f>IF($B272="","",DAY($B272))</f>
        <v/>
      </c>
      <c r="X272" s="68">
        <f>IF($B272="","",YEAR($B272)&amp;"-"&amp;TEXT(MONTH($B272),"00"))</f>
        <v/>
      </c>
      <c r="Y272" s="68">
        <f>IF(OR($H272="",$J272=""),"",$J272*IFERROR(VLOOKUP($H272,Maestro_SKU!$A$2:$P$500,12,FALSE),1))</f>
        <v/>
      </c>
    </row>
    <row r="273">
      <c r="A273" s="43" t="n"/>
      <c r="B273" s="54" t="n"/>
      <c r="C273" s="43" t="n"/>
      <c r="D273" s="43" t="n"/>
      <c r="E273" s="48">
        <f>IFERROR(VLOOKUP(D273,Clientes_PDV!$A$2:$J$250,2,FALSE),"")</f>
        <v/>
      </c>
      <c r="F273" s="48">
        <f>IFERROR(VLOOKUP(D273,Clientes_PDV!$A$2:$J$250,3,FALSE),"")</f>
        <v/>
      </c>
      <c r="G273" s="48">
        <f>IFERROR(VLOOKUP(D273,Clientes_PDV!$A$2:$J$250,4,FALSE),"")</f>
        <v/>
      </c>
      <c r="H273" s="43" t="n"/>
      <c r="I273" s="48">
        <f>IFERROR(VLOOKUP(H273,Maestro_SKU!$A$2:$P$500,2,FALSE),"")</f>
        <v/>
      </c>
      <c r="J273" s="55" t="n"/>
      <c r="K273" s="44" t="n"/>
      <c r="L273" s="51">
        <f>IF(OR(J273="",K273=""),"",J273*K273)</f>
        <v/>
      </c>
      <c r="M273" s="51">
        <f>IF(L273="","",L273*Inicio!$B$13)</f>
        <v/>
      </c>
      <c r="N273" s="51">
        <f>IF(L273="","",L273+M273)</f>
        <v/>
      </c>
      <c r="O273" s="54" t="n"/>
      <c r="P273" s="43" t="n"/>
      <c r="Q273" s="44" t="n"/>
      <c r="R273" s="51">
        <f>IF(N273="","",MAX(N273-Q273,0))</f>
        <v/>
      </c>
      <c r="S273" s="48">
        <f>IF(A273="","",IF(OR(P273="Pagada",R273=0),"Pagada",IF(O273&lt;TODAY(),"Vencida",IF(O273&lt;=TODAY()+Inicio!$B$19,"Próxima a vencer","Vigente"))))</f>
        <v/>
      </c>
      <c r="T273" s="43" t="n"/>
      <c r="U273" s="68">
        <f>IF($B273="","",YEAR($B273))</f>
        <v/>
      </c>
      <c r="V273" s="68">
        <f>IF($B273="","",MONTH($B273))</f>
        <v/>
      </c>
      <c r="W273" s="68">
        <f>IF($B273="","",DAY($B273))</f>
        <v/>
      </c>
      <c r="X273" s="68">
        <f>IF($B273="","",YEAR($B273)&amp;"-"&amp;TEXT(MONTH($B273),"00"))</f>
        <v/>
      </c>
      <c r="Y273" s="68">
        <f>IF(OR($H273="",$J273=""),"",$J273*IFERROR(VLOOKUP($H273,Maestro_SKU!$A$2:$P$500,12,FALSE),1))</f>
        <v/>
      </c>
    </row>
    <row r="274">
      <c r="A274" s="43" t="n"/>
      <c r="B274" s="54" t="n"/>
      <c r="C274" s="43" t="n"/>
      <c r="D274" s="43" t="n"/>
      <c r="E274" s="48">
        <f>IFERROR(VLOOKUP(D274,Clientes_PDV!$A$2:$J$250,2,FALSE),"")</f>
        <v/>
      </c>
      <c r="F274" s="48">
        <f>IFERROR(VLOOKUP(D274,Clientes_PDV!$A$2:$J$250,3,FALSE),"")</f>
        <v/>
      </c>
      <c r="G274" s="48">
        <f>IFERROR(VLOOKUP(D274,Clientes_PDV!$A$2:$J$250,4,FALSE),"")</f>
        <v/>
      </c>
      <c r="H274" s="43" t="n"/>
      <c r="I274" s="48">
        <f>IFERROR(VLOOKUP(H274,Maestro_SKU!$A$2:$P$500,2,FALSE),"")</f>
        <v/>
      </c>
      <c r="J274" s="55" t="n"/>
      <c r="K274" s="44" t="n"/>
      <c r="L274" s="51">
        <f>IF(OR(J274="",K274=""),"",J274*K274)</f>
        <v/>
      </c>
      <c r="M274" s="51">
        <f>IF(L274="","",L274*Inicio!$B$13)</f>
        <v/>
      </c>
      <c r="N274" s="51">
        <f>IF(L274="","",L274+M274)</f>
        <v/>
      </c>
      <c r="O274" s="54" t="n"/>
      <c r="P274" s="43" t="n"/>
      <c r="Q274" s="44" t="n"/>
      <c r="R274" s="51">
        <f>IF(N274="","",MAX(N274-Q274,0))</f>
        <v/>
      </c>
      <c r="S274" s="48">
        <f>IF(A274="","",IF(OR(P274="Pagada",R274=0),"Pagada",IF(O274&lt;TODAY(),"Vencida",IF(O274&lt;=TODAY()+Inicio!$B$19,"Próxima a vencer","Vigente"))))</f>
        <v/>
      </c>
      <c r="T274" s="43" t="n"/>
      <c r="U274" s="68">
        <f>IF($B274="","",YEAR($B274))</f>
        <v/>
      </c>
      <c r="V274" s="68">
        <f>IF($B274="","",MONTH($B274))</f>
        <v/>
      </c>
      <c r="W274" s="68">
        <f>IF($B274="","",DAY($B274))</f>
        <v/>
      </c>
      <c r="X274" s="68">
        <f>IF($B274="","",YEAR($B274)&amp;"-"&amp;TEXT(MONTH($B274),"00"))</f>
        <v/>
      </c>
      <c r="Y274" s="68">
        <f>IF(OR($H274="",$J274=""),"",$J274*IFERROR(VLOOKUP($H274,Maestro_SKU!$A$2:$P$500,12,FALSE),1))</f>
        <v/>
      </c>
    </row>
    <row r="275">
      <c r="A275" s="43" t="n"/>
      <c r="B275" s="54" t="n"/>
      <c r="C275" s="43" t="n"/>
      <c r="D275" s="43" t="n"/>
      <c r="E275" s="48">
        <f>IFERROR(VLOOKUP(D275,Clientes_PDV!$A$2:$J$250,2,FALSE),"")</f>
        <v/>
      </c>
      <c r="F275" s="48">
        <f>IFERROR(VLOOKUP(D275,Clientes_PDV!$A$2:$J$250,3,FALSE),"")</f>
        <v/>
      </c>
      <c r="G275" s="48">
        <f>IFERROR(VLOOKUP(D275,Clientes_PDV!$A$2:$J$250,4,FALSE),"")</f>
        <v/>
      </c>
      <c r="H275" s="43" t="n"/>
      <c r="I275" s="48">
        <f>IFERROR(VLOOKUP(H275,Maestro_SKU!$A$2:$P$500,2,FALSE),"")</f>
        <v/>
      </c>
      <c r="J275" s="55" t="n"/>
      <c r="K275" s="44" t="n"/>
      <c r="L275" s="51">
        <f>IF(OR(J275="",K275=""),"",J275*K275)</f>
        <v/>
      </c>
      <c r="M275" s="51">
        <f>IF(L275="","",L275*Inicio!$B$13)</f>
        <v/>
      </c>
      <c r="N275" s="51">
        <f>IF(L275="","",L275+M275)</f>
        <v/>
      </c>
      <c r="O275" s="54" t="n"/>
      <c r="P275" s="43" t="n"/>
      <c r="Q275" s="44" t="n"/>
      <c r="R275" s="51">
        <f>IF(N275="","",MAX(N275-Q275,0))</f>
        <v/>
      </c>
      <c r="S275" s="48">
        <f>IF(A275="","",IF(OR(P275="Pagada",R275=0),"Pagada",IF(O275&lt;TODAY(),"Vencida",IF(O275&lt;=TODAY()+Inicio!$B$19,"Próxima a vencer","Vigente"))))</f>
        <v/>
      </c>
      <c r="T275" s="43" t="n"/>
      <c r="U275" s="68">
        <f>IF($B275="","",YEAR($B275))</f>
        <v/>
      </c>
      <c r="V275" s="68">
        <f>IF($B275="","",MONTH($B275))</f>
        <v/>
      </c>
      <c r="W275" s="68">
        <f>IF($B275="","",DAY($B275))</f>
        <v/>
      </c>
      <c r="X275" s="68">
        <f>IF($B275="","",YEAR($B275)&amp;"-"&amp;TEXT(MONTH($B275),"00"))</f>
        <v/>
      </c>
      <c r="Y275" s="68">
        <f>IF(OR($H275="",$J275=""),"",$J275*IFERROR(VLOOKUP($H275,Maestro_SKU!$A$2:$P$500,12,FALSE),1))</f>
        <v/>
      </c>
    </row>
    <row r="276">
      <c r="A276" s="43" t="n"/>
      <c r="B276" s="54" t="n"/>
      <c r="C276" s="43" t="n"/>
      <c r="D276" s="43" t="n"/>
      <c r="E276" s="48">
        <f>IFERROR(VLOOKUP(D276,Clientes_PDV!$A$2:$J$250,2,FALSE),"")</f>
        <v/>
      </c>
      <c r="F276" s="48">
        <f>IFERROR(VLOOKUP(D276,Clientes_PDV!$A$2:$J$250,3,FALSE),"")</f>
        <v/>
      </c>
      <c r="G276" s="48">
        <f>IFERROR(VLOOKUP(D276,Clientes_PDV!$A$2:$J$250,4,FALSE),"")</f>
        <v/>
      </c>
      <c r="H276" s="43" t="n"/>
      <c r="I276" s="48">
        <f>IFERROR(VLOOKUP(H276,Maestro_SKU!$A$2:$P$500,2,FALSE),"")</f>
        <v/>
      </c>
      <c r="J276" s="55" t="n"/>
      <c r="K276" s="44" t="n"/>
      <c r="L276" s="51">
        <f>IF(OR(J276="",K276=""),"",J276*K276)</f>
        <v/>
      </c>
      <c r="M276" s="51">
        <f>IF(L276="","",L276*Inicio!$B$13)</f>
        <v/>
      </c>
      <c r="N276" s="51">
        <f>IF(L276="","",L276+M276)</f>
        <v/>
      </c>
      <c r="O276" s="54" t="n"/>
      <c r="P276" s="43" t="n"/>
      <c r="Q276" s="44" t="n"/>
      <c r="R276" s="51">
        <f>IF(N276="","",MAX(N276-Q276,0))</f>
        <v/>
      </c>
      <c r="S276" s="48">
        <f>IF(A276="","",IF(OR(P276="Pagada",R276=0),"Pagada",IF(O276&lt;TODAY(),"Vencida",IF(O276&lt;=TODAY()+Inicio!$B$19,"Próxima a vencer","Vigente"))))</f>
        <v/>
      </c>
      <c r="T276" s="43" t="n"/>
      <c r="U276" s="68">
        <f>IF($B276="","",YEAR($B276))</f>
        <v/>
      </c>
      <c r="V276" s="68">
        <f>IF($B276="","",MONTH($B276))</f>
        <v/>
      </c>
      <c r="W276" s="68">
        <f>IF($B276="","",DAY($B276))</f>
        <v/>
      </c>
      <c r="X276" s="68">
        <f>IF($B276="","",YEAR($B276)&amp;"-"&amp;TEXT(MONTH($B276),"00"))</f>
        <v/>
      </c>
      <c r="Y276" s="68">
        <f>IF(OR($H276="",$J276=""),"",$J276*IFERROR(VLOOKUP($H276,Maestro_SKU!$A$2:$P$500,12,FALSE),1))</f>
        <v/>
      </c>
    </row>
    <row r="277">
      <c r="A277" s="43" t="n"/>
      <c r="B277" s="54" t="n"/>
      <c r="C277" s="43" t="n"/>
      <c r="D277" s="43" t="n"/>
      <c r="E277" s="48">
        <f>IFERROR(VLOOKUP(D277,Clientes_PDV!$A$2:$J$250,2,FALSE),"")</f>
        <v/>
      </c>
      <c r="F277" s="48">
        <f>IFERROR(VLOOKUP(D277,Clientes_PDV!$A$2:$J$250,3,FALSE),"")</f>
        <v/>
      </c>
      <c r="G277" s="48">
        <f>IFERROR(VLOOKUP(D277,Clientes_PDV!$A$2:$J$250,4,FALSE),"")</f>
        <v/>
      </c>
      <c r="H277" s="43" t="n"/>
      <c r="I277" s="48">
        <f>IFERROR(VLOOKUP(H277,Maestro_SKU!$A$2:$P$500,2,FALSE),"")</f>
        <v/>
      </c>
      <c r="J277" s="55" t="n"/>
      <c r="K277" s="44" t="n"/>
      <c r="L277" s="51">
        <f>IF(OR(J277="",K277=""),"",J277*K277)</f>
        <v/>
      </c>
      <c r="M277" s="51">
        <f>IF(L277="","",L277*Inicio!$B$13)</f>
        <v/>
      </c>
      <c r="N277" s="51">
        <f>IF(L277="","",L277+M277)</f>
        <v/>
      </c>
      <c r="O277" s="54" t="n"/>
      <c r="P277" s="43" t="n"/>
      <c r="Q277" s="44" t="n"/>
      <c r="R277" s="51">
        <f>IF(N277="","",MAX(N277-Q277,0))</f>
        <v/>
      </c>
      <c r="S277" s="48">
        <f>IF(A277="","",IF(OR(P277="Pagada",R277=0),"Pagada",IF(O277&lt;TODAY(),"Vencida",IF(O277&lt;=TODAY()+Inicio!$B$19,"Próxima a vencer","Vigente"))))</f>
        <v/>
      </c>
      <c r="T277" s="43" t="n"/>
      <c r="U277" s="68">
        <f>IF($B277="","",YEAR($B277))</f>
        <v/>
      </c>
      <c r="V277" s="68">
        <f>IF($B277="","",MONTH($B277))</f>
        <v/>
      </c>
      <c r="W277" s="68">
        <f>IF($B277="","",DAY($B277))</f>
        <v/>
      </c>
      <c r="X277" s="68">
        <f>IF($B277="","",YEAR($B277)&amp;"-"&amp;TEXT(MONTH($B277),"00"))</f>
        <v/>
      </c>
      <c r="Y277" s="68">
        <f>IF(OR($H277="",$J277=""),"",$J277*IFERROR(VLOOKUP($H277,Maestro_SKU!$A$2:$P$500,12,FALSE),1))</f>
        <v/>
      </c>
    </row>
    <row r="278">
      <c r="A278" s="43" t="n"/>
      <c r="B278" s="54" t="n"/>
      <c r="C278" s="43" t="n"/>
      <c r="D278" s="43" t="n"/>
      <c r="E278" s="48">
        <f>IFERROR(VLOOKUP(D278,Clientes_PDV!$A$2:$J$250,2,FALSE),"")</f>
        <v/>
      </c>
      <c r="F278" s="48">
        <f>IFERROR(VLOOKUP(D278,Clientes_PDV!$A$2:$J$250,3,FALSE),"")</f>
        <v/>
      </c>
      <c r="G278" s="48">
        <f>IFERROR(VLOOKUP(D278,Clientes_PDV!$A$2:$J$250,4,FALSE),"")</f>
        <v/>
      </c>
      <c r="H278" s="43" t="n"/>
      <c r="I278" s="48">
        <f>IFERROR(VLOOKUP(H278,Maestro_SKU!$A$2:$P$500,2,FALSE),"")</f>
        <v/>
      </c>
      <c r="J278" s="55" t="n"/>
      <c r="K278" s="44" t="n"/>
      <c r="L278" s="51">
        <f>IF(OR(J278="",K278=""),"",J278*K278)</f>
        <v/>
      </c>
      <c r="M278" s="51">
        <f>IF(L278="","",L278*Inicio!$B$13)</f>
        <v/>
      </c>
      <c r="N278" s="51">
        <f>IF(L278="","",L278+M278)</f>
        <v/>
      </c>
      <c r="O278" s="54" t="n"/>
      <c r="P278" s="43" t="n"/>
      <c r="Q278" s="44" t="n"/>
      <c r="R278" s="51">
        <f>IF(N278="","",MAX(N278-Q278,0))</f>
        <v/>
      </c>
      <c r="S278" s="48">
        <f>IF(A278="","",IF(OR(P278="Pagada",R278=0),"Pagada",IF(O278&lt;TODAY(),"Vencida",IF(O278&lt;=TODAY()+Inicio!$B$19,"Próxima a vencer","Vigente"))))</f>
        <v/>
      </c>
      <c r="T278" s="43" t="n"/>
      <c r="U278" s="68">
        <f>IF($B278="","",YEAR($B278))</f>
        <v/>
      </c>
      <c r="V278" s="68">
        <f>IF($B278="","",MONTH($B278))</f>
        <v/>
      </c>
      <c r="W278" s="68">
        <f>IF($B278="","",DAY($B278))</f>
        <v/>
      </c>
      <c r="X278" s="68">
        <f>IF($B278="","",YEAR($B278)&amp;"-"&amp;TEXT(MONTH($B278),"00"))</f>
        <v/>
      </c>
      <c r="Y278" s="68">
        <f>IF(OR($H278="",$J278=""),"",$J278*IFERROR(VLOOKUP($H278,Maestro_SKU!$A$2:$P$500,12,FALSE),1))</f>
        <v/>
      </c>
    </row>
    <row r="279">
      <c r="A279" s="43" t="n"/>
      <c r="B279" s="54" t="n"/>
      <c r="C279" s="43" t="n"/>
      <c r="D279" s="43" t="n"/>
      <c r="E279" s="48">
        <f>IFERROR(VLOOKUP(D279,Clientes_PDV!$A$2:$J$250,2,FALSE),"")</f>
        <v/>
      </c>
      <c r="F279" s="48">
        <f>IFERROR(VLOOKUP(D279,Clientes_PDV!$A$2:$J$250,3,FALSE),"")</f>
        <v/>
      </c>
      <c r="G279" s="48">
        <f>IFERROR(VLOOKUP(D279,Clientes_PDV!$A$2:$J$250,4,FALSE),"")</f>
        <v/>
      </c>
      <c r="H279" s="43" t="n"/>
      <c r="I279" s="48">
        <f>IFERROR(VLOOKUP(H279,Maestro_SKU!$A$2:$P$500,2,FALSE),"")</f>
        <v/>
      </c>
      <c r="J279" s="55" t="n"/>
      <c r="K279" s="44" t="n"/>
      <c r="L279" s="51">
        <f>IF(OR(J279="",K279=""),"",J279*K279)</f>
        <v/>
      </c>
      <c r="M279" s="51">
        <f>IF(L279="","",L279*Inicio!$B$13)</f>
        <v/>
      </c>
      <c r="N279" s="51">
        <f>IF(L279="","",L279+M279)</f>
        <v/>
      </c>
      <c r="O279" s="54" t="n"/>
      <c r="P279" s="43" t="n"/>
      <c r="Q279" s="44" t="n"/>
      <c r="R279" s="51">
        <f>IF(N279="","",MAX(N279-Q279,0))</f>
        <v/>
      </c>
      <c r="S279" s="48">
        <f>IF(A279="","",IF(OR(P279="Pagada",R279=0),"Pagada",IF(O279&lt;TODAY(),"Vencida",IF(O279&lt;=TODAY()+Inicio!$B$19,"Próxima a vencer","Vigente"))))</f>
        <v/>
      </c>
      <c r="T279" s="43" t="n"/>
      <c r="U279" s="68">
        <f>IF($B279="","",YEAR($B279))</f>
        <v/>
      </c>
      <c r="V279" s="68">
        <f>IF($B279="","",MONTH($B279))</f>
        <v/>
      </c>
      <c r="W279" s="68">
        <f>IF($B279="","",DAY($B279))</f>
        <v/>
      </c>
      <c r="X279" s="68">
        <f>IF($B279="","",YEAR($B279)&amp;"-"&amp;TEXT(MONTH($B279),"00"))</f>
        <v/>
      </c>
      <c r="Y279" s="68">
        <f>IF(OR($H279="",$J279=""),"",$J279*IFERROR(VLOOKUP($H279,Maestro_SKU!$A$2:$P$500,12,FALSE),1))</f>
        <v/>
      </c>
    </row>
    <row r="280">
      <c r="A280" s="43" t="n"/>
      <c r="B280" s="54" t="n"/>
      <c r="C280" s="43" t="n"/>
      <c r="D280" s="43" t="n"/>
      <c r="E280" s="48">
        <f>IFERROR(VLOOKUP(D280,Clientes_PDV!$A$2:$J$250,2,FALSE),"")</f>
        <v/>
      </c>
      <c r="F280" s="48">
        <f>IFERROR(VLOOKUP(D280,Clientes_PDV!$A$2:$J$250,3,FALSE),"")</f>
        <v/>
      </c>
      <c r="G280" s="48">
        <f>IFERROR(VLOOKUP(D280,Clientes_PDV!$A$2:$J$250,4,FALSE),"")</f>
        <v/>
      </c>
      <c r="H280" s="43" t="n"/>
      <c r="I280" s="48">
        <f>IFERROR(VLOOKUP(H280,Maestro_SKU!$A$2:$P$500,2,FALSE),"")</f>
        <v/>
      </c>
      <c r="J280" s="55" t="n"/>
      <c r="K280" s="44" t="n"/>
      <c r="L280" s="51">
        <f>IF(OR(J280="",K280=""),"",J280*K280)</f>
        <v/>
      </c>
      <c r="M280" s="51">
        <f>IF(L280="","",L280*Inicio!$B$13)</f>
        <v/>
      </c>
      <c r="N280" s="51">
        <f>IF(L280="","",L280+M280)</f>
        <v/>
      </c>
      <c r="O280" s="54" t="n"/>
      <c r="P280" s="43" t="n"/>
      <c r="Q280" s="44" t="n"/>
      <c r="R280" s="51">
        <f>IF(N280="","",MAX(N280-Q280,0))</f>
        <v/>
      </c>
      <c r="S280" s="48">
        <f>IF(A280="","",IF(OR(P280="Pagada",R280=0),"Pagada",IF(O280&lt;TODAY(),"Vencida",IF(O280&lt;=TODAY()+Inicio!$B$19,"Próxima a vencer","Vigente"))))</f>
        <v/>
      </c>
      <c r="T280" s="43" t="n"/>
      <c r="U280" s="68">
        <f>IF($B280="","",YEAR($B280))</f>
        <v/>
      </c>
      <c r="V280" s="68">
        <f>IF($B280="","",MONTH($B280))</f>
        <v/>
      </c>
      <c r="W280" s="68">
        <f>IF($B280="","",DAY($B280))</f>
        <v/>
      </c>
      <c r="X280" s="68">
        <f>IF($B280="","",YEAR($B280)&amp;"-"&amp;TEXT(MONTH($B280),"00"))</f>
        <v/>
      </c>
      <c r="Y280" s="68">
        <f>IF(OR($H280="",$J280=""),"",$J280*IFERROR(VLOOKUP($H280,Maestro_SKU!$A$2:$P$500,12,FALSE),1))</f>
        <v/>
      </c>
    </row>
    <row r="281">
      <c r="A281" s="43" t="n"/>
      <c r="B281" s="54" t="n"/>
      <c r="C281" s="43" t="n"/>
      <c r="D281" s="43" t="n"/>
      <c r="E281" s="48">
        <f>IFERROR(VLOOKUP(D281,Clientes_PDV!$A$2:$J$250,2,FALSE),"")</f>
        <v/>
      </c>
      <c r="F281" s="48">
        <f>IFERROR(VLOOKUP(D281,Clientes_PDV!$A$2:$J$250,3,FALSE),"")</f>
        <v/>
      </c>
      <c r="G281" s="48">
        <f>IFERROR(VLOOKUP(D281,Clientes_PDV!$A$2:$J$250,4,FALSE),"")</f>
        <v/>
      </c>
      <c r="H281" s="43" t="n"/>
      <c r="I281" s="48">
        <f>IFERROR(VLOOKUP(H281,Maestro_SKU!$A$2:$P$500,2,FALSE),"")</f>
        <v/>
      </c>
      <c r="J281" s="55" t="n"/>
      <c r="K281" s="44" t="n"/>
      <c r="L281" s="51">
        <f>IF(OR(J281="",K281=""),"",J281*K281)</f>
        <v/>
      </c>
      <c r="M281" s="51">
        <f>IF(L281="","",L281*Inicio!$B$13)</f>
        <v/>
      </c>
      <c r="N281" s="51">
        <f>IF(L281="","",L281+M281)</f>
        <v/>
      </c>
      <c r="O281" s="54" t="n"/>
      <c r="P281" s="43" t="n"/>
      <c r="Q281" s="44" t="n"/>
      <c r="R281" s="51">
        <f>IF(N281="","",MAX(N281-Q281,0))</f>
        <v/>
      </c>
      <c r="S281" s="48">
        <f>IF(A281="","",IF(OR(P281="Pagada",R281=0),"Pagada",IF(O281&lt;TODAY(),"Vencida",IF(O281&lt;=TODAY()+Inicio!$B$19,"Próxima a vencer","Vigente"))))</f>
        <v/>
      </c>
      <c r="T281" s="43" t="n"/>
      <c r="U281" s="68">
        <f>IF($B281="","",YEAR($B281))</f>
        <v/>
      </c>
      <c r="V281" s="68">
        <f>IF($B281="","",MONTH($B281))</f>
        <v/>
      </c>
      <c r="W281" s="68">
        <f>IF($B281="","",DAY($B281))</f>
        <v/>
      </c>
      <c r="X281" s="68">
        <f>IF($B281="","",YEAR($B281)&amp;"-"&amp;TEXT(MONTH($B281),"00"))</f>
        <v/>
      </c>
      <c r="Y281" s="68">
        <f>IF(OR($H281="",$J281=""),"",$J281*IFERROR(VLOOKUP($H281,Maestro_SKU!$A$2:$P$500,12,FALSE),1))</f>
        <v/>
      </c>
    </row>
    <row r="282">
      <c r="A282" s="43" t="n"/>
      <c r="B282" s="54" t="n"/>
      <c r="C282" s="43" t="n"/>
      <c r="D282" s="43" t="n"/>
      <c r="E282" s="48">
        <f>IFERROR(VLOOKUP(D282,Clientes_PDV!$A$2:$J$250,2,FALSE),"")</f>
        <v/>
      </c>
      <c r="F282" s="48">
        <f>IFERROR(VLOOKUP(D282,Clientes_PDV!$A$2:$J$250,3,FALSE),"")</f>
        <v/>
      </c>
      <c r="G282" s="48">
        <f>IFERROR(VLOOKUP(D282,Clientes_PDV!$A$2:$J$250,4,FALSE),"")</f>
        <v/>
      </c>
      <c r="H282" s="43" t="n"/>
      <c r="I282" s="48">
        <f>IFERROR(VLOOKUP(H282,Maestro_SKU!$A$2:$P$500,2,FALSE),"")</f>
        <v/>
      </c>
      <c r="J282" s="55" t="n"/>
      <c r="K282" s="44" t="n"/>
      <c r="L282" s="51">
        <f>IF(OR(J282="",K282=""),"",J282*K282)</f>
        <v/>
      </c>
      <c r="M282" s="51">
        <f>IF(L282="","",L282*Inicio!$B$13)</f>
        <v/>
      </c>
      <c r="N282" s="51">
        <f>IF(L282="","",L282+M282)</f>
        <v/>
      </c>
      <c r="O282" s="54" t="n"/>
      <c r="P282" s="43" t="n"/>
      <c r="Q282" s="44" t="n"/>
      <c r="R282" s="51">
        <f>IF(N282="","",MAX(N282-Q282,0))</f>
        <v/>
      </c>
      <c r="S282" s="48">
        <f>IF(A282="","",IF(OR(P282="Pagada",R282=0),"Pagada",IF(O282&lt;TODAY(),"Vencida",IF(O282&lt;=TODAY()+Inicio!$B$19,"Próxima a vencer","Vigente"))))</f>
        <v/>
      </c>
      <c r="T282" s="43" t="n"/>
      <c r="U282" s="68">
        <f>IF($B282="","",YEAR($B282))</f>
        <v/>
      </c>
      <c r="V282" s="68">
        <f>IF($B282="","",MONTH($B282))</f>
        <v/>
      </c>
      <c r="W282" s="68">
        <f>IF($B282="","",DAY($B282))</f>
        <v/>
      </c>
      <c r="X282" s="68">
        <f>IF($B282="","",YEAR($B282)&amp;"-"&amp;TEXT(MONTH($B282),"00"))</f>
        <v/>
      </c>
      <c r="Y282" s="68">
        <f>IF(OR($H282="",$J282=""),"",$J282*IFERROR(VLOOKUP($H282,Maestro_SKU!$A$2:$P$500,12,FALSE),1))</f>
        <v/>
      </c>
    </row>
    <row r="283">
      <c r="A283" s="43" t="n"/>
      <c r="B283" s="54" t="n"/>
      <c r="C283" s="43" t="n"/>
      <c r="D283" s="43" t="n"/>
      <c r="E283" s="48">
        <f>IFERROR(VLOOKUP(D283,Clientes_PDV!$A$2:$J$250,2,FALSE),"")</f>
        <v/>
      </c>
      <c r="F283" s="48">
        <f>IFERROR(VLOOKUP(D283,Clientes_PDV!$A$2:$J$250,3,FALSE),"")</f>
        <v/>
      </c>
      <c r="G283" s="48">
        <f>IFERROR(VLOOKUP(D283,Clientes_PDV!$A$2:$J$250,4,FALSE),"")</f>
        <v/>
      </c>
      <c r="H283" s="43" t="n"/>
      <c r="I283" s="48">
        <f>IFERROR(VLOOKUP(H283,Maestro_SKU!$A$2:$P$500,2,FALSE),"")</f>
        <v/>
      </c>
      <c r="J283" s="55" t="n"/>
      <c r="K283" s="44" t="n"/>
      <c r="L283" s="51">
        <f>IF(OR(J283="",K283=""),"",J283*K283)</f>
        <v/>
      </c>
      <c r="M283" s="51">
        <f>IF(L283="","",L283*Inicio!$B$13)</f>
        <v/>
      </c>
      <c r="N283" s="51">
        <f>IF(L283="","",L283+M283)</f>
        <v/>
      </c>
      <c r="O283" s="54" t="n"/>
      <c r="P283" s="43" t="n"/>
      <c r="Q283" s="44" t="n"/>
      <c r="R283" s="51">
        <f>IF(N283="","",MAX(N283-Q283,0))</f>
        <v/>
      </c>
      <c r="S283" s="48">
        <f>IF(A283="","",IF(OR(P283="Pagada",R283=0),"Pagada",IF(O283&lt;TODAY(),"Vencida",IF(O283&lt;=TODAY()+Inicio!$B$19,"Próxima a vencer","Vigente"))))</f>
        <v/>
      </c>
      <c r="T283" s="43" t="n"/>
      <c r="U283" s="68">
        <f>IF($B283="","",YEAR($B283))</f>
        <v/>
      </c>
      <c r="V283" s="68">
        <f>IF($B283="","",MONTH($B283))</f>
        <v/>
      </c>
      <c r="W283" s="68">
        <f>IF($B283="","",DAY($B283))</f>
        <v/>
      </c>
      <c r="X283" s="68">
        <f>IF($B283="","",YEAR($B283)&amp;"-"&amp;TEXT(MONTH($B283),"00"))</f>
        <v/>
      </c>
      <c r="Y283" s="68">
        <f>IF(OR($H283="",$J283=""),"",$J283*IFERROR(VLOOKUP($H283,Maestro_SKU!$A$2:$P$500,12,FALSE),1))</f>
        <v/>
      </c>
    </row>
    <row r="284">
      <c r="A284" s="43" t="n"/>
      <c r="B284" s="54" t="n"/>
      <c r="C284" s="43" t="n"/>
      <c r="D284" s="43" t="n"/>
      <c r="E284" s="48">
        <f>IFERROR(VLOOKUP(D284,Clientes_PDV!$A$2:$J$250,2,FALSE),"")</f>
        <v/>
      </c>
      <c r="F284" s="48">
        <f>IFERROR(VLOOKUP(D284,Clientes_PDV!$A$2:$J$250,3,FALSE),"")</f>
        <v/>
      </c>
      <c r="G284" s="48">
        <f>IFERROR(VLOOKUP(D284,Clientes_PDV!$A$2:$J$250,4,FALSE),"")</f>
        <v/>
      </c>
      <c r="H284" s="43" t="n"/>
      <c r="I284" s="48">
        <f>IFERROR(VLOOKUP(H284,Maestro_SKU!$A$2:$P$500,2,FALSE),"")</f>
        <v/>
      </c>
      <c r="J284" s="55" t="n"/>
      <c r="K284" s="44" t="n"/>
      <c r="L284" s="51">
        <f>IF(OR(J284="",K284=""),"",J284*K284)</f>
        <v/>
      </c>
      <c r="M284" s="51">
        <f>IF(L284="","",L284*Inicio!$B$13)</f>
        <v/>
      </c>
      <c r="N284" s="51">
        <f>IF(L284="","",L284+M284)</f>
        <v/>
      </c>
      <c r="O284" s="54" t="n"/>
      <c r="P284" s="43" t="n"/>
      <c r="Q284" s="44" t="n"/>
      <c r="R284" s="51">
        <f>IF(N284="","",MAX(N284-Q284,0))</f>
        <v/>
      </c>
      <c r="S284" s="48">
        <f>IF(A284="","",IF(OR(P284="Pagada",R284=0),"Pagada",IF(O284&lt;TODAY(),"Vencida",IF(O284&lt;=TODAY()+Inicio!$B$19,"Próxima a vencer","Vigente"))))</f>
        <v/>
      </c>
      <c r="T284" s="43" t="n"/>
      <c r="U284" s="68">
        <f>IF($B284="","",YEAR($B284))</f>
        <v/>
      </c>
      <c r="V284" s="68">
        <f>IF($B284="","",MONTH($B284))</f>
        <v/>
      </c>
      <c r="W284" s="68">
        <f>IF($B284="","",DAY($B284))</f>
        <v/>
      </c>
      <c r="X284" s="68">
        <f>IF($B284="","",YEAR($B284)&amp;"-"&amp;TEXT(MONTH($B284),"00"))</f>
        <v/>
      </c>
      <c r="Y284" s="68">
        <f>IF(OR($H284="",$J284=""),"",$J284*IFERROR(VLOOKUP($H284,Maestro_SKU!$A$2:$P$500,12,FALSE),1))</f>
        <v/>
      </c>
    </row>
    <row r="285">
      <c r="A285" s="43" t="n"/>
      <c r="B285" s="54" t="n"/>
      <c r="C285" s="43" t="n"/>
      <c r="D285" s="43" t="n"/>
      <c r="E285" s="48">
        <f>IFERROR(VLOOKUP(D285,Clientes_PDV!$A$2:$J$250,2,FALSE),"")</f>
        <v/>
      </c>
      <c r="F285" s="48">
        <f>IFERROR(VLOOKUP(D285,Clientes_PDV!$A$2:$J$250,3,FALSE),"")</f>
        <v/>
      </c>
      <c r="G285" s="48">
        <f>IFERROR(VLOOKUP(D285,Clientes_PDV!$A$2:$J$250,4,FALSE),"")</f>
        <v/>
      </c>
      <c r="H285" s="43" t="n"/>
      <c r="I285" s="48">
        <f>IFERROR(VLOOKUP(H285,Maestro_SKU!$A$2:$P$500,2,FALSE),"")</f>
        <v/>
      </c>
      <c r="J285" s="55" t="n"/>
      <c r="K285" s="44" t="n"/>
      <c r="L285" s="51">
        <f>IF(OR(J285="",K285=""),"",J285*K285)</f>
        <v/>
      </c>
      <c r="M285" s="51">
        <f>IF(L285="","",L285*Inicio!$B$13)</f>
        <v/>
      </c>
      <c r="N285" s="51">
        <f>IF(L285="","",L285+M285)</f>
        <v/>
      </c>
      <c r="O285" s="54" t="n"/>
      <c r="P285" s="43" t="n"/>
      <c r="Q285" s="44" t="n"/>
      <c r="R285" s="51">
        <f>IF(N285="","",MAX(N285-Q285,0))</f>
        <v/>
      </c>
      <c r="S285" s="48">
        <f>IF(A285="","",IF(OR(P285="Pagada",R285=0),"Pagada",IF(O285&lt;TODAY(),"Vencida",IF(O285&lt;=TODAY()+Inicio!$B$19,"Próxima a vencer","Vigente"))))</f>
        <v/>
      </c>
      <c r="T285" s="43" t="n"/>
      <c r="U285" s="68">
        <f>IF($B285="","",YEAR($B285))</f>
        <v/>
      </c>
      <c r="V285" s="68">
        <f>IF($B285="","",MONTH($B285))</f>
        <v/>
      </c>
      <c r="W285" s="68">
        <f>IF($B285="","",DAY($B285))</f>
        <v/>
      </c>
      <c r="X285" s="68">
        <f>IF($B285="","",YEAR($B285)&amp;"-"&amp;TEXT(MONTH($B285),"00"))</f>
        <v/>
      </c>
      <c r="Y285" s="68">
        <f>IF(OR($H285="",$J285=""),"",$J285*IFERROR(VLOOKUP($H285,Maestro_SKU!$A$2:$P$500,12,FALSE),1))</f>
        <v/>
      </c>
    </row>
    <row r="286">
      <c r="A286" s="43" t="n"/>
      <c r="B286" s="54" t="n"/>
      <c r="C286" s="43" t="n"/>
      <c r="D286" s="43" t="n"/>
      <c r="E286" s="48">
        <f>IFERROR(VLOOKUP(D286,Clientes_PDV!$A$2:$J$250,2,FALSE),"")</f>
        <v/>
      </c>
      <c r="F286" s="48">
        <f>IFERROR(VLOOKUP(D286,Clientes_PDV!$A$2:$J$250,3,FALSE),"")</f>
        <v/>
      </c>
      <c r="G286" s="48">
        <f>IFERROR(VLOOKUP(D286,Clientes_PDV!$A$2:$J$250,4,FALSE),"")</f>
        <v/>
      </c>
      <c r="H286" s="43" t="n"/>
      <c r="I286" s="48">
        <f>IFERROR(VLOOKUP(H286,Maestro_SKU!$A$2:$P$500,2,FALSE),"")</f>
        <v/>
      </c>
      <c r="J286" s="55" t="n"/>
      <c r="K286" s="44" t="n"/>
      <c r="L286" s="51">
        <f>IF(OR(J286="",K286=""),"",J286*K286)</f>
        <v/>
      </c>
      <c r="M286" s="51">
        <f>IF(L286="","",L286*Inicio!$B$13)</f>
        <v/>
      </c>
      <c r="N286" s="51">
        <f>IF(L286="","",L286+M286)</f>
        <v/>
      </c>
      <c r="O286" s="54" t="n"/>
      <c r="P286" s="43" t="n"/>
      <c r="Q286" s="44" t="n"/>
      <c r="R286" s="51">
        <f>IF(N286="","",MAX(N286-Q286,0))</f>
        <v/>
      </c>
      <c r="S286" s="48">
        <f>IF(A286="","",IF(OR(P286="Pagada",R286=0),"Pagada",IF(O286&lt;TODAY(),"Vencida",IF(O286&lt;=TODAY()+Inicio!$B$19,"Próxima a vencer","Vigente"))))</f>
        <v/>
      </c>
      <c r="T286" s="43" t="n"/>
      <c r="U286" s="68">
        <f>IF($B286="","",YEAR($B286))</f>
        <v/>
      </c>
      <c r="V286" s="68">
        <f>IF($B286="","",MONTH($B286))</f>
        <v/>
      </c>
      <c r="W286" s="68">
        <f>IF($B286="","",DAY($B286))</f>
        <v/>
      </c>
      <c r="X286" s="68">
        <f>IF($B286="","",YEAR($B286)&amp;"-"&amp;TEXT(MONTH($B286),"00"))</f>
        <v/>
      </c>
      <c r="Y286" s="68">
        <f>IF(OR($H286="",$J286=""),"",$J286*IFERROR(VLOOKUP($H286,Maestro_SKU!$A$2:$P$500,12,FALSE),1))</f>
        <v/>
      </c>
    </row>
    <row r="287">
      <c r="A287" s="43" t="n"/>
      <c r="B287" s="54" t="n"/>
      <c r="C287" s="43" t="n"/>
      <c r="D287" s="43" t="n"/>
      <c r="E287" s="48">
        <f>IFERROR(VLOOKUP(D287,Clientes_PDV!$A$2:$J$250,2,FALSE),"")</f>
        <v/>
      </c>
      <c r="F287" s="48">
        <f>IFERROR(VLOOKUP(D287,Clientes_PDV!$A$2:$J$250,3,FALSE),"")</f>
        <v/>
      </c>
      <c r="G287" s="48">
        <f>IFERROR(VLOOKUP(D287,Clientes_PDV!$A$2:$J$250,4,FALSE),"")</f>
        <v/>
      </c>
      <c r="H287" s="43" t="n"/>
      <c r="I287" s="48">
        <f>IFERROR(VLOOKUP(H287,Maestro_SKU!$A$2:$P$500,2,FALSE),"")</f>
        <v/>
      </c>
      <c r="J287" s="55" t="n"/>
      <c r="K287" s="44" t="n"/>
      <c r="L287" s="51">
        <f>IF(OR(J287="",K287=""),"",J287*K287)</f>
        <v/>
      </c>
      <c r="M287" s="51">
        <f>IF(L287="","",L287*Inicio!$B$13)</f>
        <v/>
      </c>
      <c r="N287" s="51">
        <f>IF(L287="","",L287+M287)</f>
        <v/>
      </c>
      <c r="O287" s="54" t="n"/>
      <c r="P287" s="43" t="n"/>
      <c r="Q287" s="44" t="n"/>
      <c r="R287" s="51">
        <f>IF(N287="","",MAX(N287-Q287,0))</f>
        <v/>
      </c>
      <c r="S287" s="48">
        <f>IF(A287="","",IF(OR(P287="Pagada",R287=0),"Pagada",IF(O287&lt;TODAY(),"Vencida",IF(O287&lt;=TODAY()+Inicio!$B$19,"Próxima a vencer","Vigente"))))</f>
        <v/>
      </c>
      <c r="T287" s="43" t="n"/>
      <c r="U287" s="68">
        <f>IF($B287="","",YEAR($B287))</f>
        <v/>
      </c>
      <c r="V287" s="68">
        <f>IF($B287="","",MONTH($B287))</f>
        <v/>
      </c>
      <c r="W287" s="68">
        <f>IF($B287="","",DAY($B287))</f>
        <v/>
      </c>
      <c r="X287" s="68">
        <f>IF($B287="","",YEAR($B287)&amp;"-"&amp;TEXT(MONTH($B287),"00"))</f>
        <v/>
      </c>
      <c r="Y287" s="68">
        <f>IF(OR($H287="",$J287=""),"",$J287*IFERROR(VLOOKUP($H287,Maestro_SKU!$A$2:$P$500,12,FALSE),1))</f>
        <v/>
      </c>
    </row>
    <row r="288">
      <c r="A288" s="43" t="n"/>
      <c r="B288" s="54" t="n"/>
      <c r="C288" s="43" t="n"/>
      <c r="D288" s="43" t="n"/>
      <c r="E288" s="48">
        <f>IFERROR(VLOOKUP(D288,Clientes_PDV!$A$2:$J$250,2,FALSE),"")</f>
        <v/>
      </c>
      <c r="F288" s="48">
        <f>IFERROR(VLOOKUP(D288,Clientes_PDV!$A$2:$J$250,3,FALSE),"")</f>
        <v/>
      </c>
      <c r="G288" s="48">
        <f>IFERROR(VLOOKUP(D288,Clientes_PDV!$A$2:$J$250,4,FALSE),"")</f>
        <v/>
      </c>
      <c r="H288" s="43" t="n"/>
      <c r="I288" s="48">
        <f>IFERROR(VLOOKUP(H288,Maestro_SKU!$A$2:$P$500,2,FALSE),"")</f>
        <v/>
      </c>
      <c r="J288" s="55" t="n"/>
      <c r="K288" s="44" t="n"/>
      <c r="L288" s="51">
        <f>IF(OR(J288="",K288=""),"",J288*K288)</f>
        <v/>
      </c>
      <c r="M288" s="51">
        <f>IF(L288="","",L288*Inicio!$B$13)</f>
        <v/>
      </c>
      <c r="N288" s="51">
        <f>IF(L288="","",L288+M288)</f>
        <v/>
      </c>
      <c r="O288" s="54" t="n"/>
      <c r="P288" s="43" t="n"/>
      <c r="Q288" s="44" t="n"/>
      <c r="R288" s="51">
        <f>IF(N288="","",MAX(N288-Q288,0))</f>
        <v/>
      </c>
      <c r="S288" s="48">
        <f>IF(A288="","",IF(OR(P288="Pagada",R288=0),"Pagada",IF(O288&lt;TODAY(),"Vencida",IF(O288&lt;=TODAY()+Inicio!$B$19,"Próxima a vencer","Vigente"))))</f>
        <v/>
      </c>
      <c r="T288" s="43" t="n"/>
      <c r="U288" s="68">
        <f>IF($B288="","",YEAR($B288))</f>
        <v/>
      </c>
      <c r="V288" s="68">
        <f>IF($B288="","",MONTH($B288))</f>
        <v/>
      </c>
      <c r="W288" s="68">
        <f>IF($B288="","",DAY($B288))</f>
        <v/>
      </c>
      <c r="X288" s="68">
        <f>IF($B288="","",YEAR($B288)&amp;"-"&amp;TEXT(MONTH($B288),"00"))</f>
        <v/>
      </c>
      <c r="Y288" s="68">
        <f>IF(OR($H288="",$J288=""),"",$J288*IFERROR(VLOOKUP($H288,Maestro_SKU!$A$2:$P$500,12,FALSE),1))</f>
        <v/>
      </c>
    </row>
    <row r="289">
      <c r="A289" s="43" t="n"/>
      <c r="B289" s="54" t="n"/>
      <c r="C289" s="43" t="n"/>
      <c r="D289" s="43" t="n"/>
      <c r="E289" s="48">
        <f>IFERROR(VLOOKUP(D289,Clientes_PDV!$A$2:$J$250,2,FALSE),"")</f>
        <v/>
      </c>
      <c r="F289" s="48">
        <f>IFERROR(VLOOKUP(D289,Clientes_PDV!$A$2:$J$250,3,FALSE),"")</f>
        <v/>
      </c>
      <c r="G289" s="48">
        <f>IFERROR(VLOOKUP(D289,Clientes_PDV!$A$2:$J$250,4,FALSE),"")</f>
        <v/>
      </c>
      <c r="H289" s="43" t="n"/>
      <c r="I289" s="48">
        <f>IFERROR(VLOOKUP(H289,Maestro_SKU!$A$2:$P$500,2,FALSE),"")</f>
        <v/>
      </c>
      <c r="J289" s="55" t="n"/>
      <c r="K289" s="44" t="n"/>
      <c r="L289" s="51">
        <f>IF(OR(J289="",K289=""),"",J289*K289)</f>
        <v/>
      </c>
      <c r="M289" s="51">
        <f>IF(L289="","",L289*Inicio!$B$13)</f>
        <v/>
      </c>
      <c r="N289" s="51">
        <f>IF(L289="","",L289+M289)</f>
        <v/>
      </c>
      <c r="O289" s="54" t="n"/>
      <c r="P289" s="43" t="n"/>
      <c r="Q289" s="44" t="n"/>
      <c r="R289" s="51">
        <f>IF(N289="","",MAX(N289-Q289,0))</f>
        <v/>
      </c>
      <c r="S289" s="48">
        <f>IF(A289="","",IF(OR(P289="Pagada",R289=0),"Pagada",IF(O289&lt;TODAY(),"Vencida",IF(O289&lt;=TODAY()+Inicio!$B$19,"Próxima a vencer","Vigente"))))</f>
        <v/>
      </c>
      <c r="T289" s="43" t="n"/>
      <c r="U289" s="68">
        <f>IF($B289="","",YEAR($B289))</f>
        <v/>
      </c>
      <c r="V289" s="68">
        <f>IF($B289="","",MONTH($B289))</f>
        <v/>
      </c>
      <c r="W289" s="68">
        <f>IF($B289="","",DAY($B289))</f>
        <v/>
      </c>
      <c r="X289" s="68">
        <f>IF($B289="","",YEAR($B289)&amp;"-"&amp;TEXT(MONTH($B289),"00"))</f>
        <v/>
      </c>
      <c r="Y289" s="68">
        <f>IF(OR($H289="",$J289=""),"",$J289*IFERROR(VLOOKUP($H289,Maestro_SKU!$A$2:$P$500,12,FALSE),1))</f>
        <v/>
      </c>
    </row>
    <row r="290">
      <c r="A290" s="43" t="n"/>
      <c r="B290" s="54" t="n"/>
      <c r="C290" s="43" t="n"/>
      <c r="D290" s="43" t="n"/>
      <c r="E290" s="48">
        <f>IFERROR(VLOOKUP(D290,Clientes_PDV!$A$2:$J$250,2,FALSE),"")</f>
        <v/>
      </c>
      <c r="F290" s="48">
        <f>IFERROR(VLOOKUP(D290,Clientes_PDV!$A$2:$J$250,3,FALSE),"")</f>
        <v/>
      </c>
      <c r="G290" s="48">
        <f>IFERROR(VLOOKUP(D290,Clientes_PDV!$A$2:$J$250,4,FALSE),"")</f>
        <v/>
      </c>
      <c r="H290" s="43" t="n"/>
      <c r="I290" s="48">
        <f>IFERROR(VLOOKUP(H290,Maestro_SKU!$A$2:$P$500,2,FALSE),"")</f>
        <v/>
      </c>
      <c r="J290" s="55" t="n"/>
      <c r="K290" s="44" t="n"/>
      <c r="L290" s="51">
        <f>IF(OR(J290="",K290=""),"",J290*K290)</f>
        <v/>
      </c>
      <c r="M290" s="51">
        <f>IF(L290="","",L290*Inicio!$B$13)</f>
        <v/>
      </c>
      <c r="N290" s="51">
        <f>IF(L290="","",L290+M290)</f>
        <v/>
      </c>
      <c r="O290" s="54" t="n"/>
      <c r="P290" s="43" t="n"/>
      <c r="Q290" s="44" t="n"/>
      <c r="R290" s="51">
        <f>IF(N290="","",MAX(N290-Q290,0))</f>
        <v/>
      </c>
      <c r="S290" s="48">
        <f>IF(A290="","",IF(OR(P290="Pagada",R290=0),"Pagada",IF(O290&lt;TODAY(),"Vencida",IF(O290&lt;=TODAY()+Inicio!$B$19,"Próxima a vencer","Vigente"))))</f>
        <v/>
      </c>
      <c r="T290" s="43" t="n"/>
      <c r="U290" s="68">
        <f>IF($B290="","",YEAR($B290))</f>
        <v/>
      </c>
      <c r="V290" s="68">
        <f>IF($B290="","",MONTH($B290))</f>
        <v/>
      </c>
      <c r="W290" s="68">
        <f>IF($B290="","",DAY($B290))</f>
        <v/>
      </c>
      <c r="X290" s="68">
        <f>IF($B290="","",YEAR($B290)&amp;"-"&amp;TEXT(MONTH($B290),"00"))</f>
        <v/>
      </c>
      <c r="Y290" s="68">
        <f>IF(OR($H290="",$J290=""),"",$J290*IFERROR(VLOOKUP($H290,Maestro_SKU!$A$2:$P$500,12,FALSE),1))</f>
        <v/>
      </c>
    </row>
    <row r="291">
      <c r="A291" s="43" t="n"/>
      <c r="B291" s="54" t="n"/>
      <c r="C291" s="43" t="n"/>
      <c r="D291" s="43" t="n"/>
      <c r="E291" s="48">
        <f>IFERROR(VLOOKUP(D291,Clientes_PDV!$A$2:$J$250,2,FALSE),"")</f>
        <v/>
      </c>
      <c r="F291" s="48">
        <f>IFERROR(VLOOKUP(D291,Clientes_PDV!$A$2:$J$250,3,FALSE),"")</f>
        <v/>
      </c>
      <c r="G291" s="48">
        <f>IFERROR(VLOOKUP(D291,Clientes_PDV!$A$2:$J$250,4,FALSE),"")</f>
        <v/>
      </c>
      <c r="H291" s="43" t="n"/>
      <c r="I291" s="48">
        <f>IFERROR(VLOOKUP(H291,Maestro_SKU!$A$2:$P$500,2,FALSE),"")</f>
        <v/>
      </c>
      <c r="J291" s="55" t="n"/>
      <c r="K291" s="44" t="n"/>
      <c r="L291" s="51">
        <f>IF(OR(J291="",K291=""),"",J291*K291)</f>
        <v/>
      </c>
      <c r="M291" s="51">
        <f>IF(L291="","",L291*Inicio!$B$13)</f>
        <v/>
      </c>
      <c r="N291" s="51">
        <f>IF(L291="","",L291+M291)</f>
        <v/>
      </c>
      <c r="O291" s="54" t="n"/>
      <c r="P291" s="43" t="n"/>
      <c r="Q291" s="44" t="n"/>
      <c r="R291" s="51">
        <f>IF(N291="","",MAX(N291-Q291,0))</f>
        <v/>
      </c>
      <c r="S291" s="48">
        <f>IF(A291="","",IF(OR(P291="Pagada",R291=0),"Pagada",IF(O291&lt;TODAY(),"Vencida",IF(O291&lt;=TODAY()+Inicio!$B$19,"Próxima a vencer","Vigente"))))</f>
        <v/>
      </c>
      <c r="T291" s="43" t="n"/>
      <c r="U291" s="68">
        <f>IF($B291="","",YEAR($B291))</f>
        <v/>
      </c>
      <c r="V291" s="68">
        <f>IF($B291="","",MONTH($B291))</f>
        <v/>
      </c>
      <c r="W291" s="68">
        <f>IF($B291="","",DAY($B291))</f>
        <v/>
      </c>
      <c r="X291" s="68">
        <f>IF($B291="","",YEAR($B291)&amp;"-"&amp;TEXT(MONTH($B291),"00"))</f>
        <v/>
      </c>
      <c r="Y291" s="68">
        <f>IF(OR($H291="",$J291=""),"",$J291*IFERROR(VLOOKUP($H291,Maestro_SKU!$A$2:$P$500,12,FALSE),1))</f>
        <v/>
      </c>
    </row>
    <row r="292">
      <c r="A292" s="43" t="n"/>
      <c r="B292" s="54" t="n"/>
      <c r="C292" s="43" t="n"/>
      <c r="D292" s="43" t="n"/>
      <c r="E292" s="48">
        <f>IFERROR(VLOOKUP(D292,Clientes_PDV!$A$2:$J$250,2,FALSE),"")</f>
        <v/>
      </c>
      <c r="F292" s="48">
        <f>IFERROR(VLOOKUP(D292,Clientes_PDV!$A$2:$J$250,3,FALSE),"")</f>
        <v/>
      </c>
      <c r="G292" s="48">
        <f>IFERROR(VLOOKUP(D292,Clientes_PDV!$A$2:$J$250,4,FALSE),"")</f>
        <v/>
      </c>
      <c r="H292" s="43" t="n"/>
      <c r="I292" s="48">
        <f>IFERROR(VLOOKUP(H292,Maestro_SKU!$A$2:$P$500,2,FALSE),"")</f>
        <v/>
      </c>
      <c r="J292" s="55" t="n"/>
      <c r="K292" s="44" t="n"/>
      <c r="L292" s="51">
        <f>IF(OR(J292="",K292=""),"",J292*K292)</f>
        <v/>
      </c>
      <c r="M292" s="51">
        <f>IF(L292="","",L292*Inicio!$B$13)</f>
        <v/>
      </c>
      <c r="N292" s="51">
        <f>IF(L292="","",L292+M292)</f>
        <v/>
      </c>
      <c r="O292" s="54" t="n"/>
      <c r="P292" s="43" t="n"/>
      <c r="Q292" s="44" t="n"/>
      <c r="R292" s="51">
        <f>IF(N292="","",MAX(N292-Q292,0))</f>
        <v/>
      </c>
      <c r="S292" s="48">
        <f>IF(A292="","",IF(OR(P292="Pagada",R292=0),"Pagada",IF(O292&lt;TODAY(),"Vencida",IF(O292&lt;=TODAY()+Inicio!$B$19,"Próxima a vencer","Vigente"))))</f>
        <v/>
      </c>
      <c r="T292" s="43" t="n"/>
      <c r="U292" s="68">
        <f>IF($B292="","",YEAR($B292))</f>
        <v/>
      </c>
      <c r="V292" s="68">
        <f>IF($B292="","",MONTH($B292))</f>
        <v/>
      </c>
      <c r="W292" s="68">
        <f>IF($B292="","",DAY($B292))</f>
        <v/>
      </c>
      <c r="X292" s="68">
        <f>IF($B292="","",YEAR($B292)&amp;"-"&amp;TEXT(MONTH($B292),"00"))</f>
        <v/>
      </c>
      <c r="Y292" s="68">
        <f>IF(OR($H292="",$J292=""),"",$J292*IFERROR(VLOOKUP($H292,Maestro_SKU!$A$2:$P$500,12,FALSE),1))</f>
        <v/>
      </c>
    </row>
    <row r="293">
      <c r="A293" s="43" t="n"/>
      <c r="B293" s="54" t="n"/>
      <c r="C293" s="43" t="n"/>
      <c r="D293" s="43" t="n"/>
      <c r="E293" s="48">
        <f>IFERROR(VLOOKUP(D293,Clientes_PDV!$A$2:$J$250,2,FALSE),"")</f>
        <v/>
      </c>
      <c r="F293" s="48">
        <f>IFERROR(VLOOKUP(D293,Clientes_PDV!$A$2:$J$250,3,FALSE),"")</f>
        <v/>
      </c>
      <c r="G293" s="48">
        <f>IFERROR(VLOOKUP(D293,Clientes_PDV!$A$2:$J$250,4,FALSE),"")</f>
        <v/>
      </c>
      <c r="H293" s="43" t="n"/>
      <c r="I293" s="48">
        <f>IFERROR(VLOOKUP(H293,Maestro_SKU!$A$2:$P$500,2,FALSE),"")</f>
        <v/>
      </c>
      <c r="J293" s="55" t="n"/>
      <c r="K293" s="44" t="n"/>
      <c r="L293" s="51">
        <f>IF(OR(J293="",K293=""),"",J293*K293)</f>
        <v/>
      </c>
      <c r="M293" s="51">
        <f>IF(L293="","",L293*Inicio!$B$13)</f>
        <v/>
      </c>
      <c r="N293" s="51">
        <f>IF(L293="","",L293+M293)</f>
        <v/>
      </c>
      <c r="O293" s="54" t="n"/>
      <c r="P293" s="43" t="n"/>
      <c r="Q293" s="44" t="n"/>
      <c r="R293" s="51">
        <f>IF(N293="","",MAX(N293-Q293,0))</f>
        <v/>
      </c>
      <c r="S293" s="48">
        <f>IF(A293="","",IF(OR(P293="Pagada",R293=0),"Pagada",IF(O293&lt;TODAY(),"Vencida",IF(O293&lt;=TODAY()+Inicio!$B$19,"Próxima a vencer","Vigente"))))</f>
        <v/>
      </c>
      <c r="T293" s="43" t="n"/>
      <c r="U293" s="68">
        <f>IF($B293="","",YEAR($B293))</f>
        <v/>
      </c>
      <c r="V293" s="68">
        <f>IF($B293="","",MONTH($B293))</f>
        <v/>
      </c>
      <c r="W293" s="68">
        <f>IF($B293="","",DAY($B293))</f>
        <v/>
      </c>
      <c r="X293" s="68">
        <f>IF($B293="","",YEAR($B293)&amp;"-"&amp;TEXT(MONTH($B293),"00"))</f>
        <v/>
      </c>
      <c r="Y293" s="68">
        <f>IF(OR($H293="",$J293=""),"",$J293*IFERROR(VLOOKUP($H293,Maestro_SKU!$A$2:$P$500,12,FALSE),1))</f>
        <v/>
      </c>
    </row>
    <row r="294">
      <c r="A294" s="43" t="n"/>
      <c r="B294" s="54" t="n"/>
      <c r="C294" s="43" t="n"/>
      <c r="D294" s="43" t="n"/>
      <c r="E294" s="48">
        <f>IFERROR(VLOOKUP(D294,Clientes_PDV!$A$2:$J$250,2,FALSE),"")</f>
        <v/>
      </c>
      <c r="F294" s="48">
        <f>IFERROR(VLOOKUP(D294,Clientes_PDV!$A$2:$J$250,3,FALSE),"")</f>
        <v/>
      </c>
      <c r="G294" s="48">
        <f>IFERROR(VLOOKUP(D294,Clientes_PDV!$A$2:$J$250,4,FALSE),"")</f>
        <v/>
      </c>
      <c r="H294" s="43" t="n"/>
      <c r="I294" s="48">
        <f>IFERROR(VLOOKUP(H294,Maestro_SKU!$A$2:$P$500,2,FALSE),"")</f>
        <v/>
      </c>
      <c r="J294" s="55" t="n"/>
      <c r="K294" s="44" t="n"/>
      <c r="L294" s="51">
        <f>IF(OR(J294="",K294=""),"",J294*K294)</f>
        <v/>
      </c>
      <c r="M294" s="51">
        <f>IF(L294="","",L294*Inicio!$B$13)</f>
        <v/>
      </c>
      <c r="N294" s="51">
        <f>IF(L294="","",L294+M294)</f>
        <v/>
      </c>
      <c r="O294" s="54" t="n"/>
      <c r="P294" s="43" t="n"/>
      <c r="Q294" s="44" t="n"/>
      <c r="R294" s="51">
        <f>IF(N294="","",MAX(N294-Q294,0))</f>
        <v/>
      </c>
      <c r="S294" s="48">
        <f>IF(A294="","",IF(OR(P294="Pagada",R294=0),"Pagada",IF(O294&lt;TODAY(),"Vencida",IF(O294&lt;=TODAY()+Inicio!$B$19,"Próxima a vencer","Vigente"))))</f>
        <v/>
      </c>
      <c r="T294" s="43" t="n"/>
      <c r="U294" s="68">
        <f>IF($B294="","",YEAR($B294))</f>
        <v/>
      </c>
      <c r="V294" s="68">
        <f>IF($B294="","",MONTH($B294))</f>
        <v/>
      </c>
      <c r="W294" s="68">
        <f>IF($B294="","",DAY($B294))</f>
        <v/>
      </c>
      <c r="X294" s="68">
        <f>IF($B294="","",YEAR($B294)&amp;"-"&amp;TEXT(MONTH($B294),"00"))</f>
        <v/>
      </c>
      <c r="Y294" s="68">
        <f>IF(OR($H294="",$J294=""),"",$J294*IFERROR(VLOOKUP($H294,Maestro_SKU!$A$2:$P$500,12,FALSE),1))</f>
        <v/>
      </c>
    </row>
    <row r="295">
      <c r="A295" s="43" t="n"/>
      <c r="B295" s="54" t="n"/>
      <c r="C295" s="43" t="n"/>
      <c r="D295" s="43" t="n"/>
      <c r="E295" s="48">
        <f>IFERROR(VLOOKUP(D295,Clientes_PDV!$A$2:$J$250,2,FALSE),"")</f>
        <v/>
      </c>
      <c r="F295" s="48">
        <f>IFERROR(VLOOKUP(D295,Clientes_PDV!$A$2:$J$250,3,FALSE),"")</f>
        <v/>
      </c>
      <c r="G295" s="48">
        <f>IFERROR(VLOOKUP(D295,Clientes_PDV!$A$2:$J$250,4,FALSE),"")</f>
        <v/>
      </c>
      <c r="H295" s="43" t="n"/>
      <c r="I295" s="48">
        <f>IFERROR(VLOOKUP(H295,Maestro_SKU!$A$2:$P$500,2,FALSE),"")</f>
        <v/>
      </c>
      <c r="J295" s="55" t="n"/>
      <c r="K295" s="44" t="n"/>
      <c r="L295" s="51">
        <f>IF(OR(J295="",K295=""),"",J295*K295)</f>
        <v/>
      </c>
      <c r="M295" s="51">
        <f>IF(L295="","",L295*Inicio!$B$13)</f>
        <v/>
      </c>
      <c r="N295" s="51">
        <f>IF(L295="","",L295+M295)</f>
        <v/>
      </c>
      <c r="O295" s="54" t="n"/>
      <c r="P295" s="43" t="n"/>
      <c r="Q295" s="44" t="n"/>
      <c r="R295" s="51">
        <f>IF(N295="","",MAX(N295-Q295,0))</f>
        <v/>
      </c>
      <c r="S295" s="48">
        <f>IF(A295="","",IF(OR(P295="Pagada",R295=0),"Pagada",IF(O295&lt;TODAY(),"Vencida",IF(O295&lt;=TODAY()+Inicio!$B$19,"Próxima a vencer","Vigente"))))</f>
        <v/>
      </c>
      <c r="T295" s="43" t="n"/>
      <c r="U295" s="68">
        <f>IF($B295="","",YEAR($B295))</f>
        <v/>
      </c>
      <c r="V295" s="68">
        <f>IF($B295="","",MONTH($B295))</f>
        <v/>
      </c>
      <c r="W295" s="68">
        <f>IF($B295="","",DAY($B295))</f>
        <v/>
      </c>
      <c r="X295" s="68">
        <f>IF($B295="","",YEAR($B295)&amp;"-"&amp;TEXT(MONTH($B295),"00"))</f>
        <v/>
      </c>
      <c r="Y295" s="68">
        <f>IF(OR($H295="",$J295=""),"",$J295*IFERROR(VLOOKUP($H295,Maestro_SKU!$A$2:$P$500,12,FALSE),1))</f>
        <v/>
      </c>
    </row>
    <row r="296">
      <c r="A296" s="43" t="n"/>
      <c r="B296" s="54" t="n"/>
      <c r="C296" s="43" t="n"/>
      <c r="D296" s="43" t="n"/>
      <c r="E296" s="48">
        <f>IFERROR(VLOOKUP(D296,Clientes_PDV!$A$2:$J$250,2,FALSE),"")</f>
        <v/>
      </c>
      <c r="F296" s="48">
        <f>IFERROR(VLOOKUP(D296,Clientes_PDV!$A$2:$J$250,3,FALSE),"")</f>
        <v/>
      </c>
      <c r="G296" s="48">
        <f>IFERROR(VLOOKUP(D296,Clientes_PDV!$A$2:$J$250,4,FALSE),"")</f>
        <v/>
      </c>
      <c r="H296" s="43" t="n"/>
      <c r="I296" s="48">
        <f>IFERROR(VLOOKUP(H296,Maestro_SKU!$A$2:$P$500,2,FALSE),"")</f>
        <v/>
      </c>
      <c r="J296" s="55" t="n"/>
      <c r="K296" s="44" t="n"/>
      <c r="L296" s="51">
        <f>IF(OR(J296="",K296=""),"",J296*K296)</f>
        <v/>
      </c>
      <c r="M296" s="51">
        <f>IF(L296="","",L296*Inicio!$B$13)</f>
        <v/>
      </c>
      <c r="N296" s="51">
        <f>IF(L296="","",L296+M296)</f>
        <v/>
      </c>
      <c r="O296" s="54" t="n"/>
      <c r="P296" s="43" t="n"/>
      <c r="Q296" s="44" t="n"/>
      <c r="R296" s="51">
        <f>IF(N296="","",MAX(N296-Q296,0))</f>
        <v/>
      </c>
      <c r="S296" s="48">
        <f>IF(A296="","",IF(OR(P296="Pagada",R296=0),"Pagada",IF(O296&lt;TODAY(),"Vencida",IF(O296&lt;=TODAY()+Inicio!$B$19,"Próxima a vencer","Vigente"))))</f>
        <v/>
      </c>
      <c r="T296" s="43" t="n"/>
      <c r="U296" s="68">
        <f>IF($B296="","",YEAR($B296))</f>
        <v/>
      </c>
      <c r="V296" s="68">
        <f>IF($B296="","",MONTH($B296))</f>
        <v/>
      </c>
      <c r="W296" s="68">
        <f>IF($B296="","",DAY($B296))</f>
        <v/>
      </c>
      <c r="X296" s="68">
        <f>IF($B296="","",YEAR($B296)&amp;"-"&amp;TEXT(MONTH($B296),"00"))</f>
        <v/>
      </c>
      <c r="Y296" s="68">
        <f>IF(OR($H296="",$J296=""),"",$J296*IFERROR(VLOOKUP($H296,Maestro_SKU!$A$2:$P$500,12,FALSE),1))</f>
        <v/>
      </c>
    </row>
    <row r="297">
      <c r="A297" s="43" t="n"/>
      <c r="B297" s="54" t="n"/>
      <c r="C297" s="43" t="n"/>
      <c r="D297" s="43" t="n"/>
      <c r="E297" s="48">
        <f>IFERROR(VLOOKUP(D297,Clientes_PDV!$A$2:$J$250,2,FALSE),"")</f>
        <v/>
      </c>
      <c r="F297" s="48">
        <f>IFERROR(VLOOKUP(D297,Clientes_PDV!$A$2:$J$250,3,FALSE),"")</f>
        <v/>
      </c>
      <c r="G297" s="48">
        <f>IFERROR(VLOOKUP(D297,Clientes_PDV!$A$2:$J$250,4,FALSE),"")</f>
        <v/>
      </c>
      <c r="H297" s="43" t="n"/>
      <c r="I297" s="48">
        <f>IFERROR(VLOOKUP(H297,Maestro_SKU!$A$2:$P$500,2,FALSE),"")</f>
        <v/>
      </c>
      <c r="J297" s="55" t="n"/>
      <c r="K297" s="44" t="n"/>
      <c r="L297" s="51">
        <f>IF(OR(J297="",K297=""),"",J297*K297)</f>
        <v/>
      </c>
      <c r="M297" s="51">
        <f>IF(L297="","",L297*Inicio!$B$13)</f>
        <v/>
      </c>
      <c r="N297" s="51">
        <f>IF(L297="","",L297+M297)</f>
        <v/>
      </c>
      <c r="O297" s="54" t="n"/>
      <c r="P297" s="43" t="n"/>
      <c r="Q297" s="44" t="n"/>
      <c r="R297" s="51">
        <f>IF(N297="","",MAX(N297-Q297,0))</f>
        <v/>
      </c>
      <c r="S297" s="48">
        <f>IF(A297="","",IF(OR(P297="Pagada",R297=0),"Pagada",IF(O297&lt;TODAY(),"Vencida",IF(O297&lt;=TODAY()+Inicio!$B$19,"Próxima a vencer","Vigente"))))</f>
        <v/>
      </c>
      <c r="T297" s="43" t="n"/>
      <c r="U297" s="68">
        <f>IF($B297="","",YEAR($B297))</f>
        <v/>
      </c>
      <c r="V297" s="68">
        <f>IF($B297="","",MONTH($B297))</f>
        <v/>
      </c>
      <c r="W297" s="68">
        <f>IF($B297="","",DAY($B297))</f>
        <v/>
      </c>
      <c r="X297" s="68">
        <f>IF($B297="","",YEAR($B297)&amp;"-"&amp;TEXT(MONTH($B297),"00"))</f>
        <v/>
      </c>
      <c r="Y297" s="68">
        <f>IF(OR($H297="",$J297=""),"",$J297*IFERROR(VLOOKUP($H297,Maestro_SKU!$A$2:$P$500,12,FALSE),1))</f>
        <v/>
      </c>
    </row>
    <row r="298">
      <c r="A298" s="43" t="n"/>
      <c r="B298" s="54" t="n"/>
      <c r="C298" s="43" t="n"/>
      <c r="D298" s="43" t="n"/>
      <c r="E298" s="48">
        <f>IFERROR(VLOOKUP(D298,Clientes_PDV!$A$2:$J$250,2,FALSE),"")</f>
        <v/>
      </c>
      <c r="F298" s="48">
        <f>IFERROR(VLOOKUP(D298,Clientes_PDV!$A$2:$J$250,3,FALSE),"")</f>
        <v/>
      </c>
      <c r="G298" s="48">
        <f>IFERROR(VLOOKUP(D298,Clientes_PDV!$A$2:$J$250,4,FALSE),"")</f>
        <v/>
      </c>
      <c r="H298" s="43" t="n"/>
      <c r="I298" s="48">
        <f>IFERROR(VLOOKUP(H298,Maestro_SKU!$A$2:$P$500,2,FALSE),"")</f>
        <v/>
      </c>
      <c r="J298" s="55" t="n"/>
      <c r="K298" s="44" t="n"/>
      <c r="L298" s="51">
        <f>IF(OR(J298="",K298=""),"",J298*K298)</f>
        <v/>
      </c>
      <c r="M298" s="51">
        <f>IF(L298="","",L298*Inicio!$B$13)</f>
        <v/>
      </c>
      <c r="N298" s="51">
        <f>IF(L298="","",L298+M298)</f>
        <v/>
      </c>
      <c r="O298" s="54" t="n"/>
      <c r="P298" s="43" t="n"/>
      <c r="Q298" s="44" t="n"/>
      <c r="R298" s="51">
        <f>IF(N298="","",MAX(N298-Q298,0))</f>
        <v/>
      </c>
      <c r="S298" s="48">
        <f>IF(A298="","",IF(OR(P298="Pagada",R298=0),"Pagada",IF(O298&lt;TODAY(),"Vencida",IF(O298&lt;=TODAY()+Inicio!$B$19,"Próxima a vencer","Vigente"))))</f>
        <v/>
      </c>
      <c r="T298" s="43" t="n"/>
      <c r="U298" s="68">
        <f>IF($B298="","",YEAR($B298))</f>
        <v/>
      </c>
      <c r="V298" s="68">
        <f>IF($B298="","",MONTH($B298))</f>
        <v/>
      </c>
      <c r="W298" s="68">
        <f>IF($B298="","",DAY($B298))</f>
        <v/>
      </c>
      <c r="X298" s="68">
        <f>IF($B298="","",YEAR($B298)&amp;"-"&amp;TEXT(MONTH($B298),"00"))</f>
        <v/>
      </c>
      <c r="Y298" s="68">
        <f>IF(OR($H298="",$J298=""),"",$J298*IFERROR(VLOOKUP($H298,Maestro_SKU!$A$2:$P$500,12,FALSE),1))</f>
        <v/>
      </c>
    </row>
    <row r="299">
      <c r="A299" s="43" t="n"/>
      <c r="B299" s="54" t="n"/>
      <c r="C299" s="43" t="n"/>
      <c r="D299" s="43" t="n"/>
      <c r="E299" s="48">
        <f>IFERROR(VLOOKUP(D299,Clientes_PDV!$A$2:$J$250,2,FALSE),"")</f>
        <v/>
      </c>
      <c r="F299" s="48">
        <f>IFERROR(VLOOKUP(D299,Clientes_PDV!$A$2:$J$250,3,FALSE),"")</f>
        <v/>
      </c>
      <c r="G299" s="48">
        <f>IFERROR(VLOOKUP(D299,Clientes_PDV!$A$2:$J$250,4,FALSE),"")</f>
        <v/>
      </c>
      <c r="H299" s="43" t="n"/>
      <c r="I299" s="48">
        <f>IFERROR(VLOOKUP(H299,Maestro_SKU!$A$2:$P$500,2,FALSE),"")</f>
        <v/>
      </c>
      <c r="J299" s="55" t="n"/>
      <c r="K299" s="44" t="n"/>
      <c r="L299" s="51">
        <f>IF(OR(J299="",K299=""),"",J299*K299)</f>
        <v/>
      </c>
      <c r="M299" s="51">
        <f>IF(L299="","",L299*Inicio!$B$13)</f>
        <v/>
      </c>
      <c r="N299" s="51">
        <f>IF(L299="","",L299+M299)</f>
        <v/>
      </c>
      <c r="O299" s="54" t="n"/>
      <c r="P299" s="43" t="n"/>
      <c r="Q299" s="44" t="n"/>
      <c r="R299" s="51">
        <f>IF(N299="","",MAX(N299-Q299,0))</f>
        <v/>
      </c>
      <c r="S299" s="48">
        <f>IF(A299="","",IF(OR(P299="Pagada",R299=0),"Pagada",IF(O299&lt;TODAY(),"Vencida",IF(O299&lt;=TODAY()+Inicio!$B$19,"Próxima a vencer","Vigente"))))</f>
        <v/>
      </c>
      <c r="T299" s="43" t="n"/>
      <c r="U299" s="68">
        <f>IF($B299="","",YEAR($B299))</f>
        <v/>
      </c>
      <c r="V299" s="68">
        <f>IF($B299="","",MONTH($B299))</f>
        <v/>
      </c>
      <c r="W299" s="68">
        <f>IF($B299="","",DAY($B299))</f>
        <v/>
      </c>
      <c r="X299" s="68">
        <f>IF($B299="","",YEAR($B299)&amp;"-"&amp;TEXT(MONTH($B299),"00"))</f>
        <v/>
      </c>
      <c r="Y299" s="68">
        <f>IF(OR($H299="",$J299=""),"",$J299*IFERROR(VLOOKUP($H299,Maestro_SKU!$A$2:$P$500,12,FALSE),1))</f>
        <v/>
      </c>
    </row>
    <row r="300">
      <c r="A300" s="43" t="n"/>
      <c r="B300" s="54" t="n"/>
      <c r="C300" s="43" t="n"/>
      <c r="D300" s="43" t="n"/>
      <c r="E300" s="48">
        <f>IFERROR(VLOOKUP(D300,Clientes_PDV!$A$2:$J$250,2,FALSE),"")</f>
        <v/>
      </c>
      <c r="F300" s="48">
        <f>IFERROR(VLOOKUP(D300,Clientes_PDV!$A$2:$J$250,3,FALSE),"")</f>
        <v/>
      </c>
      <c r="G300" s="48">
        <f>IFERROR(VLOOKUP(D300,Clientes_PDV!$A$2:$J$250,4,FALSE),"")</f>
        <v/>
      </c>
      <c r="H300" s="43" t="n"/>
      <c r="I300" s="48">
        <f>IFERROR(VLOOKUP(H300,Maestro_SKU!$A$2:$P$500,2,FALSE),"")</f>
        <v/>
      </c>
      <c r="J300" s="55" t="n"/>
      <c r="K300" s="44" t="n"/>
      <c r="L300" s="51">
        <f>IF(OR(J300="",K300=""),"",J300*K300)</f>
        <v/>
      </c>
      <c r="M300" s="51">
        <f>IF(L300="","",L300*Inicio!$B$13)</f>
        <v/>
      </c>
      <c r="N300" s="51">
        <f>IF(L300="","",L300+M300)</f>
        <v/>
      </c>
      <c r="O300" s="54" t="n"/>
      <c r="P300" s="43" t="n"/>
      <c r="Q300" s="44" t="n"/>
      <c r="R300" s="51">
        <f>IF(N300="","",MAX(N300-Q300,0))</f>
        <v/>
      </c>
      <c r="S300" s="48">
        <f>IF(A300="","",IF(OR(P300="Pagada",R300=0),"Pagada",IF(O300&lt;TODAY(),"Vencida",IF(O300&lt;=TODAY()+Inicio!$B$19,"Próxima a vencer","Vigente"))))</f>
        <v/>
      </c>
      <c r="T300" s="43" t="n"/>
      <c r="U300" s="68">
        <f>IF($B300="","",YEAR($B300))</f>
        <v/>
      </c>
      <c r="V300" s="68">
        <f>IF($B300="","",MONTH($B300))</f>
        <v/>
      </c>
      <c r="W300" s="68">
        <f>IF($B300="","",DAY($B300))</f>
        <v/>
      </c>
      <c r="X300" s="68">
        <f>IF($B300="","",YEAR($B300)&amp;"-"&amp;TEXT(MONTH($B300),"00"))</f>
        <v/>
      </c>
      <c r="Y300" s="68">
        <f>IF(OR($H300="",$J300=""),"",$J300*IFERROR(VLOOKUP($H300,Maestro_SKU!$A$2:$P$500,12,FALSE),1))</f>
        <v/>
      </c>
    </row>
    <row r="301">
      <c r="A301" s="43" t="n"/>
      <c r="B301" s="54" t="n"/>
      <c r="C301" s="43" t="n"/>
      <c r="D301" s="43" t="n"/>
      <c r="E301" s="48">
        <f>IFERROR(VLOOKUP(D301,Clientes_PDV!$A$2:$J$250,2,FALSE),"")</f>
        <v/>
      </c>
      <c r="F301" s="48">
        <f>IFERROR(VLOOKUP(D301,Clientes_PDV!$A$2:$J$250,3,FALSE),"")</f>
        <v/>
      </c>
      <c r="G301" s="48">
        <f>IFERROR(VLOOKUP(D301,Clientes_PDV!$A$2:$J$250,4,FALSE),"")</f>
        <v/>
      </c>
      <c r="H301" s="43" t="n"/>
      <c r="I301" s="48">
        <f>IFERROR(VLOOKUP(H301,Maestro_SKU!$A$2:$P$500,2,FALSE),"")</f>
        <v/>
      </c>
      <c r="J301" s="55" t="n"/>
      <c r="K301" s="44" t="n"/>
      <c r="L301" s="51">
        <f>IF(OR(J301="",K301=""),"",J301*K301)</f>
        <v/>
      </c>
      <c r="M301" s="51">
        <f>IF(L301="","",L301*Inicio!$B$13)</f>
        <v/>
      </c>
      <c r="N301" s="51">
        <f>IF(L301="","",L301+M301)</f>
        <v/>
      </c>
      <c r="O301" s="54" t="n"/>
      <c r="P301" s="43" t="n"/>
      <c r="Q301" s="44" t="n"/>
      <c r="R301" s="51">
        <f>IF(N301="","",MAX(N301-Q301,0))</f>
        <v/>
      </c>
      <c r="S301" s="48">
        <f>IF(A301="","",IF(OR(P301="Pagada",R301=0),"Pagada",IF(O301&lt;TODAY(),"Vencida",IF(O301&lt;=TODAY()+Inicio!$B$19,"Próxima a vencer","Vigente"))))</f>
        <v/>
      </c>
      <c r="T301" s="43" t="n"/>
      <c r="U301" s="68">
        <f>IF($B301="","",YEAR($B301))</f>
        <v/>
      </c>
      <c r="V301" s="68">
        <f>IF($B301="","",MONTH($B301))</f>
        <v/>
      </c>
      <c r="W301" s="68">
        <f>IF($B301="","",DAY($B301))</f>
        <v/>
      </c>
      <c r="X301" s="68">
        <f>IF($B301="","",YEAR($B301)&amp;"-"&amp;TEXT(MONTH($B301),"00"))</f>
        <v/>
      </c>
      <c r="Y301" s="68">
        <f>IF(OR($H301="",$J301=""),"",$J301*IFERROR(VLOOKUP($H301,Maestro_SKU!$A$2:$P$500,12,FALSE),1))</f>
        <v/>
      </c>
    </row>
    <row r="302">
      <c r="A302" s="43" t="n"/>
      <c r="B302" s="54" t="n"/>
      <c r="C302" s="43" t="n"/>
      <c r="D302" s="43" t="n"/>
      <c r="E302" s="48">
        <f>IFERROR(VLOOKUP(D302,Clientes_PDV!$A$2:$J$250,2,FALSE),"")</f>
        <v/>
      </c>
      <c r="F302" s="48">
        <f>IFERROR(VLOOKUP(D302,Clientes_PDV!$A$2:$J$250,3,FALSE),"")</f>
        <v/>
      </c>
      <c r="G302" s="48">
        <f>IFERROR(VLOOKUP(D302,Clientes_PDV!$A$2:$J$250,4,FALSE),"")</f>
        <v/>
      </c>
      <c r="H302" s="43" t="n"/>
      <c r="I302" s="48">
        <f>IFERROR(VLOOKUP(H302,Maestro_SKU!$A$2:$P$500,2,FALSE),"")</f>
        <v/>
      </c>
      <c r="J302" s="55" t="n"/>
      <c r="K302" s="44" t="n"/>
      <c r="L302" s="51">
        <f>IF(OR(J302="",K302=""),"",J302*K302)</f>
        <v/>
      </c>
      <c r="M302" s="51">
        <f>IF(L302="","",L302*Inicio!$B$13)</f>
        <v/>
      </c>
      <c r="N302" s="51">
        <f>IF(L302="","",L302+M302)</f>
        <v/>
      </c>
      <c r="O302" s="54" t="n"/>
      <c r="P302" s="43" t="n"/>
      <c r="Q302" s="44" t="n"/>
      <c r="R302" s="51">
        <f>IF(N302="","",MAX(N302-Q302,0))</f>
        <v/>
      </c>
      <c r="S302" s="48">
        <f>IF(A302="","",IF(OR(P302="Pagada",R302=0),"Pagada",IF(O302&lt;TODAY(),"Vencida",IF(O302&lt;=TODAY()+Inicio!$B$19,"Próxima a vencer","Vigente"))))</f>
        <v/>
      </c>
      <c r="T302" s="43" t="n"/>
      <c r="U302" s="68">
        <f>IF($B302="","",YEAR($B302))</f>
        <v/>
      </c>
      <c r="V302" s="68">
        <f>IF($B302="","",MONTH($B302))</f>
        <v/>
      </c>
      <c r="W302" s="68">
        <f>IF($B302="","",DAY($B302))</f>
        <v/>
      </c>
      <c r="X302" s="68">
        <f>IF($B302="","",YEAR($B302)&amp;"-"&amp;TEXT(MONTH($B302),"00"))</f>
        <v/>
      </c>
      <c r="Y302" s="68">
        <f>IF(OR($H302="",$J302=""),"",$J302*IFERROR(VLOOKUP($H302,Maestro_SKU!$A$2:$P$500,12,FALSE),1))</f>
        <v/>
      </c>
    </row>
    <row r="303">
      <c r="A303" s="43" t="n"/>
      <c r="B303" s="54" t="n"/>
      <c r="C303" s="43" t="n"/>
      <c r="D303" s="43" t="n"/>
      <c r="E303" s="48">
        <f>IFERROR(VLOOKUP(D303,Clientes_PDV!$A$2:$J$250,2,FALSE),"")</f>
        <v/>
      </c>
      <c r="F303" s="48">
        <f>IFERROR(VLOOKUP(D303,Clientes_PDV!$A$2:$J$250,3,FALSE),"")</f>
        <v/>
      </c>
      <c r="G303" s="48">
        <f>IFERROR(VLOOKUP(D303,Clientes_PDV!$A$2:$J$250,4,FALSE),"")</f>
        <v/>
      </c>
      <c r="H303" s="43" t="n"/>
      <c r="I303" s="48">
        <f>IFERROR(VLOOKUP(H303,Maestro_SKU!$A$2:$P$500,2,FALSE),"")</f>
        <v/>
      </c>
      <c r="J303" s="55" t="n"/>
      <c r="K303" s="44" t="n"/>
      <c r="L303" s="51">
        <f>IF(OR(J303="",K303=""),"",J303*K303)</f>
        <v/>
      </c>
      <c r="M303" s="51">
        <f>IF(L303="","",L303*Inicio!$B$13)</f>
        <v/>
      </c>
      <c r="N303" s="51">
        <f>IF(L303="","",L303+M303)</f>
        <v/>
      </c>
      <c r="O303" s="54" t="n"/>
      <c r="P303" s="43" t="n"/>
      <c r="Q303" s="44" t="n"/>
      <c r="R303" s="51">
        <f>IF(N303="","",MAX(N303-Q303,0))</f>
        <v/>
      </c>
      <c r="S303" s="48">
        <f>IF(A303="","",IF(OR(P303="Pagada",R303=0),"Pagada",IF(O303&lt;TODAY(),"Vencida",IF(O303&lt;=TODAY()+Inicio!$B$19,"Próxima a vencer","Vigente"))))</f>
        <v/>
      </c>
      <c r="T303" s="43" t="n"/>
      <c r="U303" s="68">
        <f>IF($B303="","",YEAR($B303))</f>
        <v/>
      </c>
      <c r="V303" s="68">
        <f>IF($B303="","",MONTH($B303))</f>
        <v/>
      </c>
      <c r="W303" s="68">
        <f>IF($B303="","",DAY($B303))</f>
        <v/>
      </c>
      <c r="X303" s="68">
        <f>IF($B303="","",YEAR($B303)&amp;"-"&amp;TEXT(MONTH($B303),"00"))</f>
        <v/>
      </c>
      <c r="Y303" s="68">
        <f>IF(OR($H303="",$J303=""),"",$J303*IFERROR(VLOOKUP($H303,Maestro_SKU!$A$2:$P$500,12,FALSE),1))</f>
        <v/>
      </c>
    </row>
    <row r="304">
      <c r="A304" s="43" t="n"/>
      <c r="B304" s="54" t="n"/>
      <c r="C304" s="43" t="n"/>
      <c r="D304" s="43" t="n"/>
      <c r="E304" s="48">
        <f>IFERROR(VLOOKUP(D304,Clientes_PDV!$A$2:$J$250,2,FALSE),"")</f>
        <v/>
      </c>
      <c r="F304" s="48">
        <f>IFERROR(VLOOKUP(D304,Clientes_PDV!$A$2:$J$250,3,FALSE),"")</f>
        <v/>
      </c>
      <c r="G304" s="48">
        <f>IFERROR(VLOOKUP(D304,Clientes_PDV!$A$2:$J$250,4,FALSE),"")</f>
        <v/>
      </c>
      <c r="H304" s="43" t="n"/>
      <c r="I304" s="48">
        <f>IFERROR(VLOOKUP(H304,Maestro_SKU!$A$2:$P$500,2,FALSE),"")</f>
        <v/>
      </c>
      <c r="J304" s="55" t="n"/>
      <c r="K304" s="44" t="n"/>
      <c r="L304" s="51">
        <f>IF(OR(J304="",K304=""),"",J304*K304)</f>
        <v/>
      </c>
      <c r="M304" s="51">
        <f>IF(L304="","",L304*Inicio!$B$13)</f>
        <v/>
      </c>
      <c r="N304" s="51">
        <f>IF(L304="","",L304+M304)</f>
        <v/>
      </c>
      <c r="O304" s="54" t="n"/>
      <c r="P304" s="43" t="n"/>
      <c r="Q304" s="44" t="n"/>
      <c r="R304" s="51">
        <f>IF(N304="","",MAX(N304-Q304,0))</f>
        <v/>
      </c>
      <c r="S304" s="48">
        <f>IF(A304="","",IF(OR(P304="Pagada",R304=0),"Pagada",IF(O304&lt;TODAY(),"Vencida",IF(O304&lt;=TODAY()+Inicio!$B$19,"Próxima a vencer","Vigente"))))</f>
        <v/>
      </c>
      <c r="T304" s="43" t="n"/>
      <c r="U304" s="68">
        <f>IF($B304="","",YEAR($B304))</f>
        <v/>
      </c>
      <c r="V304" s="68">
        <f>IF($B304="","",MONTH($B304))</f>
        <v/>
      </c>
      <c r="W304" s="68">
        <f>IF($B304="","",DAY($B304))</f>
        <v/>
      </c>
      <c r="X304" s="68">
        <f>IF($B304="","",YEAR($B304)&amp;"-"&amp;TEXT(MONTH($B304),"00"))</f>
        <v/>
      </c>
      <c r="Y304" s="68">
        <f>IF(OR($H304="",$J304=""),"",$J304*IFERROR(VLOOKUP($H304,Maestro_SKU!$A$2:$P$500,12,FALSE),1))</f>
        <v/>
      </c>
    </row>
    <row r="305">
      <c r="A305" s="43" t="n"/>
      <c r="B305" s="54" t="n"/>
      <c r="C305" s="43" t="n"/>
      <c r="D305" s="43" t="n"/>
      <c r="E305" s="48">
        <f>IFERROR(VLOOKUP(D305,Clientes_PDV!$A$2:$J$250,2,FALSE),"")</f>
        <v/>
      </c>
      <c r="F305" s="48">
        <f>IFERROR(VLOOKUP(D305,Clientes_PDV!$A$2:$J$250,3,FALSE),"")</f>
        <v/>
      </c>
      <c r="G305" s="48">
        <f>IFERROR(VLOOKUP(D305,Clientes_PDV!$A$2:$J$250,4,FALSE),"")</f>
        <v/>
      </c>
      <c r="H305" s="43" t="n"/>
      <c r="I305" s="48">
        <f>IFERROR(VLOOKUP(H305,Maestro_SKU!$A$2:$P$500,2,FALSE),"")</f>
        <v/>
      </c>
      <c r="J305" s="55" t="n"/>
      <c r="K305" s="44" t="n"/>
      <c r="L305" s="51">
        <f>IF(OR(J305="",K305=""),"",J305*K305)</f>
        <v/>
      </c>
      <c r="M305" s="51">
        <f>IF(L305="","",L305*Inicio!$B$13)</f>
        <v/>
      </c>
      <c r="N305" s="51">
        <f>IF(L305="","",L305+M305)</f>
        <v/>
      </c>
      <c r="O305" s="54" t="n"/>
      <c r="P305" s="43" t="n"/>
      <c r="Q305" s="44" t="n"/>
      <c r="R305" s="51">
        <f>IF(N305="","",MAX(N305-Q305,0))</f>
        <v/>
      </c>
      <c r="S305" s="48">
        <f>IF(A305="","",IF(OR(P305="Pagada",R305=0),"Pagada",IF(O305&lt;TODAY(),"Vencida",IF(O305&lt;=TODAY()+Inicio!$B$19,"Próxima a vencer","Vigente"))))</f>
        <v/>
      </c>
      <c r="T305" s="43" t="n"/>
      <c r="U305" s="68">
        <f>IF($B305="","",YEAR($B305))</f>
        <v/>
      </c>
      <c r="V305" s="68">
        <f>IF($B305="","",MONTH($B305))</f>
        <v/>
      </c>
      <c r="W305" s="68">
        <f>IF($B305="","",DAY($B305))</f>
        <v/>
      </c>
      <c r="X305" s="68">
        <f>IF($B305="","",YEAR($B305)&amp;"-"&amp;TEXT(MONTH($B305),"00"))</f>
        <v/>
      </c>
      <c r="Y305" s="68">
        <f>IF(OR($H305="",$J305=""),"",$J305*IFERROR(VLOOKUP($H305,Maestro_SKU!$A$2:$P$500,12,FALSE),1))</f>
        <v/>
      </c>
    </row>
    <row r="306">
      <c r="A306" s="43" t="n"/>
      <c r="B306" s="54" t="n"/>
      <c r="C306" s="43" t="n"/>
      <c r="D306" s="43" t="n"/>
      <c r="E306" s="48">
        <f>IFERROR(VLOOKUP(D306,Clientes_PDV!$A$2:$J$250,2,FALSE),"")</f>
        <v/>
      </c>
      <c r="F306" s="48">
        <f>IFERROR(VLOOKUP(D306,Clientes_PDV!$A$2:$J$250,3,FALSE),"")</f>
        <v/>
      </c>
      <c r="G306" s="48">
        <f>IFERROR(VLOOKUP(D306,Clientes_PDV!$A$2:$J$250,4,FALSE),"")</f>
        <v/>
      </c>
      <c r="H306" s="43" t="n"/>
      <c r="I306" s="48">
        <f>IFERROR(VLOOKUP(H306,Maestro_SKU!$A$2:$P$500,2,FALSE),"")</f>
        <v/>
      </c>
      <c r="J306" s="55" t="n"/>
      <c r="K306" s="44" t="n"/>
      <c r="L306" s="51">
        <f>IF(OR(J306="",K306=""),"",J306*K306)</f>
        <v/>
      </c>
      <c r="M306" s="51">
        <f>IF(L306="","",L306*Inicio!$B$13)</f>
        <v/>
      </c>
      <c r="N306" s="51">
        <f>IF(L306="","",L306+M306)</f>
        <v/>
      </c>
      <c r="O306" s="54" t="n"/>
      <c r="P306" s="43" t="n"/>
      <c r="Q306" s="44" t="n"/>
      <c r="R306" s="51">
        <f>IF(N306="","",MAX(N306-Q306,0))</f>
        <v/>
      </c>
      <c r="S306" s="48">
        <f>IF(A306="","",IF(OR(P306="Pagada",R306=0),"Pagada",IF(O306&lt;TODAY(),"Vencida",IF(O306&lt;=TODAY()+Inicio!$B$19,"Próxima a vencer","Vigente"))))</f>
        <v/>
      </c>
      <c r="T306" s="43" t="n"/>
      <c r="U306" s="68">
        <f>IF($B306="","",YEAR($B306))</f>
        <v/>
      </c>
      <c r="V306" s="68">
        <f>IF($B306="","",MONTH($B306))</f>
        <v/>
      </c>
      <c r="W306" s="68">
        <f>IF($B306="","",DAY($B306))</f>
        <v/>
      </c>
      <c r="X306" s="68">
        <f>IF($B306="","",YEAR($B306)&amp;"-"&amp;TEXT(MONTH($B306),"00"))</f>
        <v/>
      </c>
      <c r="Y306" s="68">
        <f>IF(OR($H306="",$J306=""),"",$J306*IFERROR(VLOOKUP($H306,Maestro_SKU!$A$2:$P$500,12,FALSE),1))</f>
        <v/>
      </c>
    </row>
    <row r="307">
      <c r="A307" s="43" t="n"/>
      <c r="B307" s="54" t="n"/>
      <c r="C307" s="43" t="n"/>
      <c r="D307" s="43" t="n"/>
      <c r="E307" s="48">
        <f>IFERROR(VLOOKUP(D307,Clientes_PDV!$A$2:$J$250,2,FALSE),"")</f>
        <v/>
      </c>
      <c r="F307" s="48">
        <f>IFERROR(VLOOKUP(D307,Clientes_PDV!$A$2:$J$250,3,FALSE),"")</f>
        <v/>
      </c>
      <c r="G307" s="48">
        <f>IFERROR(VLOOKUP(D307,Clientes_PDV!$A$2:$J$250,4,FALSE),"")</f>
        <v/>
      </c>
      <c r="H307" s="43" t="n"/>
      <c r="I307" s="48">
        <f>IFERROR(VLOOKUP(H307,Maestro_SKU!$A$2:$P$500,2,FALSE),"")</f>
        <v/>
      </c>
      <c r="J307" s="55" t="n"/>
      <c r="K307" s="44" t="n"/>
      <c r="L307" s="51">
        <f>IF(OR(J307="",K307=""),"",J307*K307)</f>
        <v/>
      </c>
      <c r="M307" s="51">
        <f>IF(L307="","",L307*Inicio!$B$13)</f>
        <v/>
      </c>
      <c r="N307" s="51">
        <f>IF(L307="","",L307+M307)</f>
        <v/>
      </c>
      <c r="O307" s="54" t="n"/>
      <c r="P307" s="43" t="n"/>
      <c r="Q307" s="44" t="n"/>
      <c r="R307" s="51">
        <f>IF(N307="","",MAX(N307-Q307,0))</f>
        <v/>
      </c>
      <c r="S307" s="48">
        <f>IF(A307="","",IF(OR(P307="Pagada",R307=0),"Pagada",IF(O307&lt;TODAY(),"Vencida",IF(O307&lt;=TODAY()+Inicio!$B$19,"Próxima a vencer","Vigente"))))</f>
        <v/>
      </c>
      <c r="T307" s="43" t="n"/>
      <c r="U307" s="68">
        <f>IF($B307="","",YEAR($B307))</f>
        <v/>
      </c>
      <c r="V307" s="68">
        <f>IF($B307="","",MONTH($B307))</f>
        <v/>
      </c>
      <c r="W307" s="68">
        <f>IF($B307="","",DAY($B307))</f>
        <v/>
      </c>
      <c r="X307" s="68">
        <f>IF($B307="","",YEAR($B307)&amp;"-"&amp;TEXT(MONTH($B307),"00"))</f>
        <v/>
      </c>
      <c r="Y307" s="68">
        <f>IF(OR($H307="",$J307=""),"",$J307*IFERROR(VLOOKUP($H307,Maestro_SKU!$A$2:$P$500,12,FALSE),1))</f>
        <v/>
      </c>
    </row>
    <row r="308">
      <c r="A308" s="43" t="n"/>
      <c r="B308" s="54" t="n"/>
      <c r="C308" s="43" t="n"/>
      <c r="D308" s="43" t="n"/>
      <c r="E308" s="48">
        <f>IFERROR(VLOOKUP(D308,Clientes_PDV!$A$2:$J$250,2,FALSE),"")</f>
        <v/>
      </c>
      <c r="F308" s="48">
        <f>IFERROR(VLOOKUP(D308,Clientes_PDV!$A$2:$J$250,3,FALSE),"")</f>
        <v/>
      </c>
      <c r="G308" s="48">
        <f>IFERROR(VLOOKUP(D308,Clientes_PDV!$A$2:$J$250,4,FALSE),"")</f>
        <v/>
      </c>
      <c r="H308" s="43" t="n"/>
      <c r="I308" s="48">
        <f>IFERROR(VLOOKUP(H308,Maestro_SKU!$A$2:$P$500,2,FALSE),"")</f>
        <v/>
      </c>
      <c r="J308" s="55" t="n"/>
      <c r="K308" s="44" t="n"/>
      <c r="L308" s="51">
        <f>IF(OR(J308="",K308=""),"",J308*K308)</f>
        <v/>
      </c>
      <c r="M308" s="51">
        <f>IF(L308="","",L308*Inicio!$B$13)</f>
        <v/>
      </c>
      <c r="N308" s="51">
        <f>IF(L308="","",L308+M308)</f>
        <v/>
      </c>
      <c r="O308" s="54" t="n"/>
      <c r="P308" s="43" t="n"/>
      <c r="Q308" s="44" t="n"/>
      <c r="R308" s="51">
        <f>IF(N308="","",MAX(N308-Q308,0))</f>
        <v/>
      </c>
      <c r="S308" s="48">
        <f>IF(A308="","",IF(OR(P308="Pagada",R308=0),"Pagada",IF(O308&lt;TODAY(),"Vencida",IF(O308&lt;=TODAY()+Inicio!$B$19,"Próxima a vencer","Vigente"))))</f>
        <v/>
      </c>
      <c r="T308" s="43" t="n"/>
      <c r="U308" s="68">
        <f>IF($B308="","",YEAR($B308))</f>
        <v/>
      </c>
      <c r="V308" s="68">
        <f>IF($B308="","",MONTH($B308))</f>
        <v/>
      </c>
      <c r="W308" s="68">
        <f>IF($B308="","",DAY($B308))</f>
        <v/>
      </c>
      <c r="X308" s="68">
        <f>IF($B308="","",YEAR($B308)&amp;"-"&amp;TEXT(MONTH($B308),"00"))</f>
        <v/>
      </c>
      <c r="Y308" s="68">
        <f>IF(OR($H308="",$J308=""),"",$J308*IFERROR(VLOOKUP($H308,Maestro_SKU!$A$2:$P$500,12,FALSE),1))</f>
        <v/>
      </c>
    </row>
    <row r="309">
      <c r="A309" s="43" t="n"/>
      <c r="B309" s="54" t="n"/>
      <c r="C309" s="43" t="n"/>
      <c r="D309" s="43" t="n"/>
      <c r="E309" s="48">
        <f>IFERROR(VLOOKUP(D309,Clientes_PDV!$A$2:$J$250,2,FALSE),"")</f>
        <v/>
      </c>
      <c r="F309" s="48">
        <f>IFERROR(VLOOKUP(D309,Clientes_PDV!$A$2:$J$250,3,FALSE),"")</f>
        <v/>
      </c>
      <c r="G309" s="48">
        <f>IFERROR(VLOOKUP(D309,Clientes_PDV!$A$2:$J$250,4,FALSE),"")</f>
        <v/>
      </c>
      <c r="H309" s="43" t="n"/>
      <c r="I309" s="48">
        <f>IFERROR(VLOOKUP(H309,Maestro_SKU!$A$2:$P$500,2,FALSE),"")</f>
        <v/>
      </c>
      <c r="J309" s="55" t="n"/>
      <c r="K309" s="44" t="n"/>
      <c r="L309" s="51">
        <f>IF(OR(J309="",K309=""),"",J309*K309)</f>
        <v/>
      </c>
      <c r="M309" s="51">
        <f>IF(L309="","",L309*Inicio!$B$13)</f>
        <v/>
      </c>
      <c r="N309" s="51">
        <f>IF(L309="","",L309+M309)</f>
        <v/>
      </c>
      <c r="O309" s="54" t="n"/>
      <c r="P309" s="43" t="n"/>
      <c r="Q309" s="44" t="n"/>
      <c r="R309" s="51">
        <f>IF(N309="","",MAX(N309-Q309,0))</f>
        <v/>
      </c>
      <c r="S309" s="48">
        <f>IF(A309="","",IF(OR(P309="Pagada",R309=0),"Pagada",IF(O309&lt;TODAY(),"Vencida",IF(O309&lt;=TODAY()+Inicio!$B$19,"Próxima a vencer","Vigente"))))</f>
        <v/>
      </c>
      <c r="T309" s="43" t="n"/>
      <c r="U309" s="68">
        <f>IF($B309="","",YEAR($B309))</f>
        <v/>
      </c>
      <c r="V309" s="68">
        <f>IF($B309="","",MONTH($B309))</f>
        <v/>
      </c>
      <c r="W309" s="68">
        <f>IF($B309="","",DAY($B309))</f>
        <v/>
      </c>
      <c r="X309" s="68">
        <f>IF($B309="","",YEAR($B309)&amp;"-"&amp;TEXT(MONTH($B309),"00"))</f>
        <v/>
      </c>
      <c r="Y309" s="68">
        <f>IF(OR($H309="",$J309=""),"",$J309*IFERROR(VLOOKUP($H309,Maestro_SKU!$A$2:$P$500,12,FALSE),1))</f>
        <v/>
      </c>
    </row>
    <row r="310">
      <c r="A310" s="43" t="n"/>
      <c r="B310" s="54" t="n"/>
      <c r="C310" s="43" t="n"/>
      <c r="D310" s="43" t="n"/>
      <c r="E310" s="48">
        <f>IFERROR(VLOOKUP(D310,Clientes_PDV!$A$2:$J$250,2,FALSE),"")</f>
        <v/>
      </c>
      <c r="F310" s="48">
        <f>IFERROR(VLOOKUP(D310,Clientes_PDV!$A$2:$J$250,3,FALSE),"")</f>
        <v/>
      </c>
      <c r="G310" s="48">
        <f>IFERROR(VLOOKUP(D310,Clientes_PDV!$A$2:$J$250,4,FALSE),"")</f>
        <v/>
      </c>
      <c r="H310" s="43" t="n"/>
      <c r="I310" s="48">
        <f>IFERROR(VLOOKUP(H310,Maestro_SKU!$A$2:$P$500,2,FALSE),"")</f>
        <v/>
      </c>
      <c r="J310" s="55" t="n"/>
      <c r="K310" s="44" t="n"/>
      <c r="L310" s="51">
        <f>IF(OR(J310="",K310=""),"",J310*K310)</f>
        <v/>
      </c>
      <c r="M310" s="51">
        <f>IF(L310="","",L310*Inicio!$B$13)</f>
        <v/>
      </c>
      <c r="N310" s="51">
        <f>IF(L310="","",L310+M310)</f>
        <v/>
      </c>
      <c r="O310" s="54" t="n"/>
      <c r="P310" s="43" t="n"/>
      <c r="Q310" s="44" t="n"/>
      <c r="R310" s="51">
        <f>IF(N310="","",MAX(N310-Q310,0))</f>
        <v/>
      </c>
      <c r="S310" s="48">
        <f>IF(A310="","",IF(OR(P310="Pagada",R310=0),"Pagada",IF(O310&lt;TODAY(),"Vencida",IF(O310&lt;=TODAY()+Inicio!$B$19,"Próxima a vencer","Vigente"))))</f>
        <v/>
      </c>
      <c r="T310" s="43" t="n"/>
      <c r="U310" s="68">
        <f>IF($B310="","",YEAR($B310))</f>
        <v/>
      </c>
      <c r="V310" s="68">
        <f>IF($B310="","",MONTH($B310))</f>
        <v/>
      </c>
      <c r="W310" s="68">
        <f>IF($B310="","",DAY($B310))</f>
        <v/>
      </c>
      <c r="X310" s="68">
        <f>IF($B310="","",YEAR($B310)&amp;"-"&amp;TEXT(MONTH($B310),"00"))</f>
        <v/>
      </c>
      <c r="Y310" s="68">
        <f>IF(OR($H310="",$J310=""),"",$J310*IFERROR(VLOOKUP($H310,Maestro_SKU!$A$2:$P$500,12,FALSE),1))</f>
        <v/>
      </c>
    </row>
    <row r="311">
      <c r="A311" s="43" t="n"/>
      <c r="B311" s="54" t="n"/>
      <c r="C311" s="43" t="n"/>
      <c r="D311" s="43" t="n"/>
      <c r="E311" s="48">
        <f>IFERROR(VLOOKUP(D311,Clientes_PDV!$A$2:$J$250,2,FALSE),"")</f>
        <v/>
      </c>
      <c r="F311" s="48">
        <f>IFERROR(VLOOKUP(D311,Clientes_PDV!$A$2:$J$250,3,FALSE),"")</f>
        <v/>
      </c>
      <c r="G311" s="48">
        <f>IFERROR(VLOOKUP(D311,Clientes_PDV!$A$2:$J$250,4,FALSE),"")</f>
        <v/>
      </c>
      <c r="H311" s="43" t="n"/>
      <c r="I311" s="48">
        <f>IFERROR(VLOOKUP(H311,Maestro_SKU!$A$2:$P$500,2,FALSE),"")</f>
        <v/>
      </c>
      <c r="J311" s="55" t="n"/>
      <c r="K311" s="44" t="n"/>
      <c r="L311" s="51">
        <f>IF(OR(J311="",K311=""),"",J311*K311)</f>
        <v/>
      </c>
      <c r="M311" s="51">
        <f>IF(L311="","",L311*Inicio!$B$13)</f>
        <v/>
      </c>
      <c r="N311" s="51">
        <f>IF(L311="","",L311+M311)</f>
        <v/>
      </c>
      <c r="O311" s="54" t="n"/>
      <c r="P311" s="43" t="n"/>
      <c r="Q311" s="44" t="n"/>
      <c r="R311" s="51">
        <f>IF(N311="","",MAX(N311-Q311,0))</f>
        <v/>
      </c>
      <c r="S311" s="48">
        <f>IF(A311="","",IF(OR(P311="Pagada",R311=0),"Pagada",IF(O311&lt;TODAY(),"Vencida",IF(O311&lt;=TODAY()+Inicio!$B$19,"Próxima a vencer","Vigente"))))</f>
        <v/>
      </c>
      <c r="T311" s="43" t="n"/>
      <c r="U311" s="68">
        <f>IF($B311="","",YEAR($B311))</f>
        <v/>
      </c>
      <c r="V311" s="68">
        <f>IF($B311="","",MONTH($B311))</f>
        <v/>
      </c>
      <c r="W311" s="68">
        <f>IF($B311="","",DAY($B311))</f>
        <v/>
      </c>
      <c r="X311" s="68">
        <f>IF($B311="","",YEAR($B311)&amp;"-"&amp;TEXT(MONTH($B311),"00"))</f>
        <v/>
      </c>
      <c r="Y311" s="68">
        <f>IF(OR($H311="",$J311=""),"",$J311*IFERROR(VLOOKUP($H311,Maestro_SKU!$A$2:$P$500,12,FALSE),1))</f>
        <v/>
      </c>
    </row>
    <row r="312">
      <c r="A312" s="43" t="n"/>
      <c r="B312" s="54" t="n"/>
      <c r="C312" s="43" t="n"/>
      <c r="D312" s="43" t="n"/>
      <c r="E312" s="48">
        <f>IFERROR(VLOOKUP(D312,Clientes_PDV!$A$2:$J$250,2,FALSE),"")</f>
        <v/>
      </c>
      <c r="F312" s="48">
        <f>IFERROR(VLOOKUP(D312,Clientes_PDV!$A$2:$J$250,3,FALSE),"")</f>
        <v/>
      </c>
      <c r="G312" s="48">
        <f>IFERROR(VLOOKUP(D312,Clientes_PDV!$A$2:$J$250,4,FALSE),"")</f>
        <v/>
      </c>
      <c r="H312" s="43" t="n"/>
      <c r="I312" s="48">
        <f>IFERROR(VLOOKUP(H312,Maestro_SKU!$A$2:$P$500,2,FALSE),"")</f>
        <v/>
      </c>
      <c r="J312" s="55" t="n"/>
      <c r="K312" s="44" t="n"/>
      <c r="L312" s="51">
        <f>IF(OR(J312="",K312=""),"",J312*K312)</f>
        <v/>
      </c>
      <c r="M312" s="51">
        <f>IF(L312="","",L312*Inicio!$B$13)</f>
        <v/>
      </c>
      <c r="N312" s="51">
        <f>IF(L312="","",L312+M312)</f>
        <v/>
      </c>
      <c r="O312" s="54" t="n"/>
      <c r="P312" s="43" t="n"/>
      <c r="Q312" s="44" t="n"/>
      <c r="R312" s="51">
        <f>IF(N312="","",MAX(N312-Q312,0))</f>
        <v/>
      </c>
      <c r="S312" s="48">
        <f>IF(A312="","",IF(OR(P312="Pagada",R312=0),"Pagada",IF(O312&lt;TODAY(),"Vencida",IF(O312&lt;=TODAY()+Inicio!$B$19,"Próxima a vencer","Vigente"))))</f>
        <v/>
      </c>
      <c r="T312" s="43" t="n"/>
      <c r="U312" s="68">
        <f>IF($B312="","",YEAR($B312))</f>
        <v/>
      </c>
      <c r="V312" s="68">
        <f>IF($B312="","",MONTH($B312))</f>
        <v/>
      </c>
      <c r="W312" s="68">
        <f>IF($B312="","",DAY($B312))</f>
        <v/>
      </c>
      <c r="X312" s="68">
        <f>IF($B312="","",YEAR($B312)&amp;"-"&amp;TEXT(MONTH($B312),"00"))</f>
        <v/>
      </c>
      <c r="Y312" s="68">
        <f>IF(OR($H312="",$J312=""),"",$J312*IFERROR(VLOOKUP($H312,Maestro_SKU!$A$2:$P$500,12,FALSE),1))</f>
        <v/>
      </c>
    </row>
    <row r="313">
      <c r="A313" s="43" t="n"/>
      <c r="B313" s="54" t="n"/>
      <c r="C313" s="43" t="n"/>
      <c r="D313" s="43" t="n"/>
      <c r="E313" s="48">
        <f>IFERROR(VLOOKUP(D313,Clientes_PDV!$A$2:$J$250,2,FALSE),"")</f>
        <v/>
      </c>
      <c r="F313" s="48">
        <f>IFERROR(VLOOKUP(D313,Clientes_PDV!$A$2:$J$250,3,FALSE),"")</f>
        <v/>
      </c>
      <c r="G313" s="48">
        <f>IFERROR(VLOOKUP(D313,Clientes_PDV!$A$2:$J$250,4,FALSE),"")</f>
        <v/>
      </c>
      <c r="H313" s="43" t="n"/>
      <c r="I313" s="48">
        <f>IFERROR(VLOOKUP(H313,Maestro_SKU!$A$2:$P$500,2,FALSE),"")</f>
        <v/>
      </c>
      <c r="J313" s="55" t="n"/>
      <c r="K313" s="44" t="n"/>
      <c r="L313" s="51">
        <f>IF(OR(J313="",K313=""),"",J313*K313)</f>
        <v/>
      </c>
      <c r="M313" s="51">
        <f>IF(L313="","",L313*Inicio!$B$13)</f>
        <v/>
      </c>
      <c r="N313" s="51">
        <f>IF(L313="","",L313+M313)</f>
        <v/>
      </c>
      <c r="O313" s="54" t="n"/>
      <c r="P313" s="43" t="n"/>
      <c r="Q313" s="44" t="n"/>
      <c r="R313" s="51">
        <f>IF(N313="","",MAX(N313-Q313,0))</f>
        <v/>
      </c>
      <c r="S313" s="48">
        <f>IF(A313="","",IF(OR(P313="Pagada",R313=0),"Pagada",IF(O313&lt;TODAY(),"Vencida",IF(O313&lt;=TODAY()+Inicio!$B$19,"Próxima a vencer","Vigente"))))</f>
        <v/>
      </c>
      <c r="T313" s="43" t="n"/>
      <c r="U313" s="68">
        <f>IF($B313="","",YEAR($B313))</f>
        <v/>
      </c>
      <c r="V313" s="68">
        <f>IF($B313="","",MONTH($B313))</f>
        <v/>
      </c>
      <c r="W313" s="68">
        <f>IF($B313="","",DAY($B313))</f>
        <v/>
      </c>
      <c r="X313" s="68">
        <f>IF($B313="","",YEAR($B313)&amp;"-"&amp;TEXT(MONTH($B313),"00"))</f>
        <v/>
      </c>
      <c r="Y313" s="68">
        <f>IF(OR($H313="",$J313=""),"",$J313*IFERROR(VLOOKUP($H313,Maestro_SKU!$A$2:$P$500,12,FALSE),1))</f>
        <v/>
      </c>
    </row>
    <row r="314">
      <c r="A314" s="43" t="n"/>
      <c r="B314" s="54" t="n"/>
      <c r="C314" s="43" t="n"/>
      <c r="D314" s="43" t="n"/>
      <c r="E314" s="48">
        <f>IFERROR(VLOOKUP(D314,Clientes_PDV!$A$2:$J$250,2,FALSE),"")</f>
        <v/>
      </c>
      <c r="F314" s="48">
        <f>IFERROR(VLOOKUP(D314,Clientes_PDV!$A$2:$J$250,3,FALSE),"")</f>
        <v/>
      </c>
      <c r="G314" s="48">
        <f>IFERROR(VLOOKUP(D314,Clientes_PDV!$A$2:$J$250,4,FALSE),"")</f>
        <v/>
      </c>
      <c r="H314" s="43" t="n"/>
      <c r="I314" s="48">
        <f>IFERROR(VLOOKUP(H314,Maestro_SKU!$A$2:$P$500,2,FALSE),"")</f>
        <v/>
      </c>
      <c r="J314" s="55" t="n"/>
      <c r="K314" s="44" t="n"/>
      <c r="L314" s="51">
        <f>IF(OR(J314="",K314=""),"",J314*K314)</f>
        <v/>
      </c>
      <c r="M314" s="51">
        <f>IF(L314="","",L314*Inicio!$B$13)</f>
        <v/>
      </c>
      <c r="N314" s="51">
        <f>IF(L314="","",L314+M314)</f>
        <v/>
      </c>
      <c r="O314" s="54" t="n"/>
      <c r="P314" s="43" t="n"/>
      <c r="Q314" s="44" t="n"/>
      <c r="R314" s="51">
        <f>IF(N314="","",MAX(N314-Q314,0))</f>
        <v/>
      </c>
      <c r="S314" s="48">
        <f>IF(A314="","",IF(OR(P314="Pagada",R314=0),"Pagada",IF(O314&lt;TODAY(),"Vencida",IF(O314&lt;=TODAY()+Inicio!$B$19,"Próxima a vencer","Vigente"))))</f>
        <v/>
      </c>
      <c r="T314" s="43" t="n"/>
      <c r="U314" s="68">
        <f>IF($B314="","",YEAR($B314))</f>
        <v/>
      </c>
      <c r="V314" s="68">
        <f>IF($B314="","",MONTH($B314))</f>
        <v/>
      </c>
      <c r="W314" s="68">
        <f>IF($B314="","",DAY($B314))</f>
        <v/>
      </c>
      <c r="X314" s="68">
        <f>IF($B314="","",YEAR($B314)&amp;"-"&amp;TEXT(MONTH($B314),"00"))</f>
        <v/>
      </c>
      <c r="Y314" s="68">
        <f>IF(OR($H314="",$J314=""),"",$J314*IFERROR(VLOOKUP($H314,Maestro_SKU!$A$2:$P$500,12,FALSE),1))</f>
        <v/>
      </c>
    </row>
    <row r="315">
      <c r="A315" s="43" t="n"/>
      <c r="B315" s="54" t="n"/>
      <c r="C315" s="43" t="n"/>
      <c r="D315" s="43" t="n"/>
      <c r="E315" s="48">
        <f>IFERROR(VLOOKUP(D315,Clientes_PDV!$A$2:$J$250,2,FALSE),"")</f>
        <v/>
      </c>
      <c r="F315" s="48">
        <f>IFERROR(VLOOKUP(D315,Clientes_PDV!$A$2:$J$250,3,FALSE),"")</f>
        <v/>
      </c>
      <c r="G315" s="48">
        <f>IFERROR(VLOOKUP(D315,Clientes_PDV!$A$2:$J$250,4,FALSE),"")</f>
        <v/>
      </c>
      <c r="H315" s="43" t="n"/>
      <c r="I315" s="48">
        <f>IFERROR(VLOOKUP(H315,Maestro_SKU!$A$2:$P$500,2,FALSE),"")</f>
        <v/>
      </c>
      <c r="J315" s="55" t="n"/>
      <c r="K315" s="44" t="n"/>
      <c r="L315" s="51">
        <f>IF(OR(J315="",K315=""),"",J315*K315)</f>
        <v/>
      </c>
      <c r="M315" s="51">
        <f>IF(L315="","",L315*Inicio!$B$13)</f>
        <v/>
      </c>
      <c r="N315" s="51">
        <f>IF(L315="","",L315+M315)</f>
        <v/>
      </c>
      <c r="O315" s="54" t="n"/>
      <c r="P315" s="43" t="n"/>
      <c r="Q315" s="44" t="n"/>
      <c r="R315" s="51">
        <f>IF(N315="","",MAX(N315-Q315,0))</f>
        <v/>
      </c>
      <c r="S315" s="48">
        <f>IF(A315="","",IF(OR(P315="Pagada",R315=0),"Pagada",IF(O315&lt;TODAY(),"Vencida",IF(O315&lt;=TODAY()+Inicio!$B$19,"Próxima a vencer","Vigente"))))</f>
        <v/>
      </c>
      <c r="T315" s="43" t="n"/>
      <c r="U315" s="68">
        <f>IF($B315="","",YEAR($B315))</f>
        <v/>
      </c>
      <c r="V315" s="68">
        <f>IF($B315="","",MONTH($B315))</f>
        <v/>
      </c>
      <c r="W315" s="68">
        <f>IF($B315="","",DAY($B315))</f>
        <v/>
      </c>
      <c r="X315" s="68">
        <f>IF($B315="","",YEAR($B315)&amp;"-"&amp;TEXT(MONTH($B315),"00"))</f>
        <v/>
      </c>
      <c r="Y315" s="68">
        <f>IF(OR($H315="",$J315=""),"",$J315*IFERROR(VLOOKUP($H315,Maestro_SKU!$A$2:$P$500,12,FALSE),1))</f>
        <v/>
      </c>
    </row>
    <row r="316">
      <c r="A316" s="43" t="n"/>
      <c r="B316" s="54" t="n"/>
      <c r="C316" s="43" t="n"/>
      <c r="D316" s="43" t="n"/>
      <c r="E316" s="48">
        <f>IFERROR(VLOOKUP(D316,Clientes_PDV!$A$2:$J$250,2,FALSE),"")</f>
        <v/>
      </c>
      <c r="F316" s="48">
        <f>IFERROR(VLOOKUP(D316,Clientes_PDV!$A$2:$J$250,3,FALSE),"")</f>
        <v/>
      </c>
      <c r="G316" s="48">
        <f>IFERROR(VLOOKUP(D316,Clientes_PDV!$A$2:$J$250,4,FALSE),"")</f>
        <v/>
      </c>
      <c r="H316" s="43" t="n"/>
      <c r="I316" s="48">
        <f>IFERROR(VLOOKUP(H316,Maestro_SKU!$A$2:$P$500,2,FALSE),"")</f>
        <v/>
      </c>
      <c r="J316" s="55" t="n"/>
      <c r="K316" s="44" t="n"/>
      <c r="L316" s="51">
        <f>IF(OR(J316="",K316=""),"",J316*K316)</f>
        <v/>
      </c>
      <c r="M316" s="51">
        <f>IF(L316="","",L316*Inicio!$B$13)</f>
        <v/>
      </c>
      <c r="N316" s="51">
        <f>IF(L316="","",L316+M316)</f>
        <v/>
      </c>
      <c r="O316" s="54" t="n"/>
      <c r="P316" s="43" t="n"/>
      <c r="Q316" s="44" t="n"/>
      <c r="R316" s="51">
        <f>IF(N316="","",MAX(N316-Q316,0))</f>
        <v/>
      </c>
      <c r="S316" s="48">
        <f>IF(A316="","",IF(OR(P316="Pagada",R316=0),"Pagada",IF(O316&lt;TODAY(),"Vencida",IF(O316&lt;=TODAY()+Inicio!$B$19,"Próxima a vencer","Vigente"))))</f>
        <v/>
      </c>
      <c r="T316" s="43" t="n"/>
      <c r="U316" s="68">
        <f>IF($B316="","",YEAR($B316))</f>
        <v/>
      </c>
      <c r="V316" s="68">
        <f>IF($B316="","",MONTH($B316))</f>
        <v/>
      </c>
      <c r="W316" s="68">
        <f>IF($B316="","",DAY($B316))</f>
        <v/>
      </c>
      <c r="X316" s="68">
        <f>IF($B316="","",YEAR($B316)&amp;"-"&amp;TEXT(MONTH($B316),"00"))</f>
        <v/>
      </c>
      <c r="Y316" s="68">
        <f>IF(OR($H316="",$J316=""),"",$J316*IFERROR(VLOOKUP($H316,Maestro_SKU!$A$2:$P$500,12,FALSE),1))</f>
        <v/>
      </c>
    </row>
    <row r="317">
      <c r="A317" s="43" t="n"/>
      <c r="B317" s="54" t="n"/>
      <c r="C317" s="43" t="n"/>
      <c r="D317" s="43" t="n"/>
      <c r="E317" s="48">
        <f>IFERROR(VLOOKUP(D317,Clientes_PDV!$A$2:$J$250,2,FALSE),"")</f>
        <v/>
      </c>
      <c r="F317" s="48">
        <f>IFERROR(VLOOKUP(D317,Clientes_PDV!$A$2:$J$250,3,FALSE),"")</f>
        <v/>
      </c>
      <c r="G317" s="48">
        <f>IFERROR(VLOOKUP(D317,Clientes_PDV!$A$2:$J$250,4,FALSE),"")</f>
        <v/>
      </c>
      <c r="H317" s="43" t="n"/>
      <c r="I317" s="48">
        <f>IFERROR(VLOOKUP(H317,Maestro_SKU!$A$2:$P$500,2,FALSE),"")</f>
        <v/>
      </c>
      <c r="J317" s="55" t="n"/>
      <c r="K317" s="44" t="n"/>
      <c r="L317" s="51">
        <f>IF(OR(J317="",K317=""),"",J317*K317)</f>
        <v/>
      </c>
      <c r="M317" s="51">
        <f>IF(L317="","",L317*Inicio!$B$13)</f>
        <v/>
      </c>
      <c r="N317" s="51">
        <f>IF(L317="","",L317+M317)</f>
        <v/>
      </c>
      <c r="O317" s="54" t="n"/>
      <c r="P317" s="43" t="n"/>
      <c r="Q317" s="44" t="n"/>
      <c r="R317" s="51">
        <f>IF(N317="","",MAX(N317-Q317,0))</f>
        <v/>
      </c>
      <c r="S317" s="48">
        <f>IF(A317="","",IF(OR(P317="Pagada",R317=0),"Pagada",IF(O317&lt;TODAY(),"Vencida",IF(O317&lt;=TODAY()+Inicio!$B$19,"Próxima a vencer","Vigente"))))</f>
        <v/>
      </c>
      <c r="T317" s="43" t="n"/>
      <c r="U317" s="68">
        <f>IF($B317="","",YEAR($B317))</f>
        <v/>
      </c>
      <c r="V317" s="68">
        <f>IF($B317="","",MONTH($B317))</f>
        <v/>
      </c>
      <c r="W317" s="68">
        <f>IF($B317="","",DAY($B317))</f>
        <v/>
      </c>
      <c r="X317" s="68">
        <f>IF($B317="","",YEAR($B317)&amp;"-"&amp;TEXT(MONTH($B317),"00"))</f>
        <v/>
      </c>
      <c r="Y317" s="68">
        <f>IF(OR($H317="",$J317=""),"",$J317*IFERROR(VLOOKUP($H317,Maestro_SKU!$A$2:$P$500,12,FALSE),1))</f>
        <v/>
      </c>
    </row>
    <row r="318">
      <c r="A318" s="43" t="n"/>
      <c r="B318" s="54" t="n"/>
      <c r="C318" s="43" t="n"/>
      <c r="D318" s="43" t="n"/>
      <c r="E318" s="48">
        <f>IFERROR(VLOOKUP(D318,Clientes_PDV!$A$2:$J$250,2,FALSE),"")</f>
        <v/>
      </c>
      <c r="F318" s="48">
        <f>IFERROR(VLOOKUP(D318,Clientes_PDV!$A$2:$J$250,3,FALSE),"")</f>
        <v/>
      </c>
      <c r="G318" s="48">
        <f>IFERROR(VLOOKUP(D318,Clientes_PDV!$A$2:$J$250,4,FALSE),"")</f>
        <v/>
      </c>
      <c r="H318" s="43" t="n"/>
      <c r="I318" s="48">
        <f>IFERROR(VLOOKUP(H318,Maestro_SKU!$A$2:$P$500,2,FALSE),"")</f>
        <v/>
      </c>
      <c r="J318" s="55" t="n"/>
      <c r="K318" s="44" t="n"/>
      <c r="L318" s="51">
        <f>IF(OR(J318="",K318=""),"",J318*K318)</f>
        <v/>
      </c>
      <c r="M318" s="51">
        <f>IF(L318="","",L318*Inicio!$B$13)</f>
        <v/>
      </c>
      <c r="N318" s="51">
        <f>IF(L318="","",L318+M318)</f>
        <v/>
      </c>
      <c r="O318" s="54" t="n"/>
      <c r="P318" s="43" t="n"/>
      <c r="Q318" s="44" t="n"/>
      <c r="R318" s="51">
        <f>IF(N318="","",MAX(N318-Q318,0))</f>
        <v/>
      </c>
      <c r="S318" s="48">
        <f>IF(A318="","",IF(OR(P318="Pagada",R318=0),"Pagada",IF(O318&lt;TODAY(),"Vencida",IF(O318&lt;=TODAY()+Inicio!$B$19,"Próxima a vencer","Vigente"))))</f>
        <v/>
      </c>
      <c r="T318" s="43" t="n"/>
      <c r="U318" s="68">
        <f>IF($B318="","",YEAR($B318))</f>
        <v/>
      </c>
      <c r="V318" s="68">
        <f>IF($B318="","",MONTH($B318))</f>
        <v/>
      </c>
      <c r="W318" s="68">
        <f>IF($B318="","",DAY($B318))</f>
        <v/>
      </c>
      <c r="X318" s="68">
        <f>IF($B318="","",YEAR($B318)&amp;"-"&amp;TEXT(MONTH($B318),"00"))</f>
        <v/>
      </c>
      <c r="Y318" s="68">
        <f>IF(OR($H318="",$J318=""),"",$J318*IFERROR(VLOOKUP($H318,Maestro_SKU!$A$2:$P$500,12,FALSE),1))</f>
        <v/>
      </c>
    </row>
    <row r="319">
      <c r="A319" s="43" t="n"/>
      <c r="B319" s="54" t="n"/>
      <c r="C319" s="43" t="n"/>
      <c r="D319" s="43" t="n"/>
      <c r="E319" s="48">
        <f>IFERROR(VLOOKUP(D319,Clientes_PDV!$A$2:$J$250,2,FALSE),"")</f>
        <v/>
      </c>
      <c r="F319" s="48">
        <f>IFERROR(VLOOKUP(D319,Clientes_PDV!$A$2:$J$250,3,FALSE),"")</f>
        <v/>
      </c>
      <c r="G319" s="48">
        <f>IFERROR(VLOOKUP(D319,Clientes_PDV!$A$2:$J$250,4,FALSE),"")</f>
        <v/>
      </c>
      <c r="H319" s="43" t="n"/>
      <c r="I319" s="48">
        <f>IFERROR(VLOOKUP(H319,Maestro_SKU!$A$2:$P$500,2,FALSE),"")</f>
        <v/>
      </c>
      <c r="J319" s="55" t="n"/>
      <c r="K319" s="44" t="n"/>
      <c r="L319" s="51">
        <f>IF(OR(J319="",K319=""),"",J319*K319)</f>
        <v/>
      </c>
      <c r="M319" s="51">
        <f>IF(L319="","",L319*Inicio!$B$13)</f>
        <v/>
      </c>
      <c r="N319" s="51">
        <f>IF(L319="","",L319+M319)</f>
        <v/>
      </c>
      <c r="O319" s="54" t="n"/>
      <c r="P319" s="43" t="n"/>
      <c r="Q319" s="44" t="n"/>
      <c r="R319" s="51">
        <f>IF(N319="","",MAX(N319-Q319,0))</f>
        <v/>
      </c>
      <c r="S319" s="48">
        <f>IF(A319="","",IF(OR(P319="Pagada",R319=0),"Pagada",IF(O319&lt;TODAY(),"Vencida",IF(O319&lt;=TODAY()+Inicio!$B$19,"Próxima a vencer","Vigente"))))</f>
        <v/>
      </c>
      <c r="T319" s="43" t="n"/>
      <c r="U319" s="68">
        <f>IF($B319="","",YEAR($B319))</f>
        <v/>
      </c>
      <c r="V319" s="68">
        <f>IF($B319="","",MONTH($B319))</f>
        <v/>
      </c>
      <c r="W319" s="68">
        <f>IF($B319="","",DAY($B319))</f>
        <v/>
      </c>
      <c r="X319" s="68">
        <f>IF($B319="","",YEAR($B319)&amp;"-"&amp;TEXT(MONTH($B319),"00"))</f>
        <v/>
      </c>
      <c r="Y319" s="68">
        <f>IF(OR($H319="",$J319=""),"",$J319*IFERROR(VLOOKUP($H319,Maestro_SKU!$A$2:$P$500,12,FALSE),1))</f>
        <v/>
      </c>
    </row>
    <row r="320">
      <c r="A320" s="43" t="n"/>
      <c r="B320" s="54" t="n"/>
      <c r="C320" s="43" t="n"/>
      <c r="D320" s="43" t="n"/>
      <c r="E320" s="48">
        <f>IFERROR(VLOOKUP(D320,Clientes_PDV!$A$2:$J$250,2,FALSE),"")</f>
        <v/>
      </c>
      <c r="F320" s="48">
        <f>IFERROR(VLOOKUP(D320,Clientes_PDV!$A$2:$J$250,3,FALSE),"")</f>
        <v/>
      </c>
      <c r="G320" s="48">
        <f>IFERROR(VLOOKUP(D320,Clientes_PDV!$A$2:$J$250,4,FALSE),"")</f>
        <v/>
      </c>
      <c r="H320" s="43" t="n"/>
      <c r="I320" s="48">
        <f>IFERROR(VLOOKUP(H320,Maestro_SKU!$A$2:$P$500,2,FALSE),"")</f>
        <v/>
      </c>
      <c r="J320" s="55" t="n"/>
      <c r="K320" s="44" t="n"/>
      <c r="L320" s="51">
        <f>IF(OR(J320="",K320=""),"",J320*K320)</f>
        <v/>
      </c>
      <c r="M320" s="51">
        <f>IF(L320="","",L320*Inicio!$B$13)</f>
        <v/>
      </c>
      <c r="N320" s="51">
        <f>IF(L320="","",L320+M320)</f>
        <v/>
      </c>
      <c r="O320" s="54" t="n"/>
      <c r="P320" s="43" t="n"/>
      <c r="Q320" s="44" t="n"/>
      <c r="R320" s="51">
        <f>IF(N320="","",MAX(N320-Q320,0))</f>
        <v/>
      </c>
      <c r="S320" s="48">
        <f>IF(A320="","",IF(OR(P320="Pagada",R320=0),"Pagada",IF(O320&lt;TODAY(),"Vencida",IF(O320&lt;=TODAY()+Inicio!$B$19,"Próxima a vencer","Vigente"))))</f>
        <v/>
      </c>
      <c r="T320" s="43" t="n"/>
      <c r="U320" s="68">
        <f>IF($B320="","",YEAR($B320))</f>
        <v/>
      </c>
      <c r="V320" s="68">
        <f>IF($B320="","",MONTH($B320))</f>
        <v/>
      </c>
      <c r="W320" s="68">
        <f>IF($B320="","",DAY($B320))</f>
        <v/>
      </c>
      <c r="X320" s="68">
        <f>IF($B320="","",YEAR($B320)&amp;"-"&amp;TEXT(MONTH($B320),"00"))</f>
        <v/>
      </c>
      <c r="Y320" s="68">
        <f>IF(OR($H320="",$J320=""),"",$J320*IFERROR(VLOOKUP($H320,Maestro_SKU!$A$2:$P$500,12,FALSE),1))</f>
        <v/>
      </c>
    </row>
    <row r="321">
      <c r="A321" s="43" t="n"/>
      <c r="B321" s="54" t="n"/>
      <c r="C321" s="43" t="n"/>
      <c r="D321" s="43" t="n"/>
      <c r="E321" s="48">
        <f>IFERROR(VLOOKUP(D321,Clientes_PDV!$A$2:$J$250,2,FALSE),"")</f>
        <v/>
      </c>
      <c r="F321" s="48">
        <f>IFERROR(VLOOKUP(D321,Clientes_PDV!$A$2:$J$250,3,FALSE),"")</f>
        <v/>
      </c>
      <c r="G321" s="48">
        <f>IFERROR(VLOOKUP(D321,Clientes_PDV!$A$2:$J$250,4,FALSE),"")</f>
        <v/>
      </c>
      <c r="H321" s="43" t="n"/>
      <c r="I321" s="48">
        <f>IFERROR(VLOOKUP(H321,Maestro_SKU!$A$2:$P$500,2,FALSE),"")</f>
        <v/>
      </c>
      <c r="J321" s="55" t="n"/>
      <c r="K321" s="44" t="n"/>
      <c r="L321" s="51">
        <f>IF(OR(J321="",K321=""),"",J321*K321)</f>
        <v/>
      </c>
      <c r="M321" s="51">
        <f>IF(L321="","",L321*Inicio!$B$13)</f>
        <v/>
      </c>
      <c r="N321" s="51">
        <f>IF(L321="","",L321+M321)</f>
        <v/>
      </c>
      <c r="O321" s="54" t="n"/>
      <c r="P321" s="43" t="n"/>
      <c r="Q321" s="44" t="n"/>
      <c r="R321" s="51">
        <f>IF(N321="","",MAX(N321-Q321,0))</f>
        <v/>
      </c>
      <c r="S321" s="48">
        <f>IF(A321="","",IF(OR(P321="Pagada",R321=0),"Pagada",IF(O321&lt;TODAY(),"Vencida",IF(O321&lt;=TODAY()+Inicio!$B$19,"Próxima a vencer","Vigente"))))</f>
        <v/>
      </c>
      <c r="T321" s="43" t="n"/>
      <c r="U321" s="68">
        <f>IF($B321="","",YEAR($B321))</f>
        <v/>
      </c>
      <c r="V321" s="68">
        <f>IF($B321="","",MONTH($B321))</f>
        <v/>
      </c>
      <c r="W321" s="68">
        <f>IF($B321="","",DAY($B321))</f>
        <v/>
      </c>
      <c r="X321" s="68">
        <f>IF($B321="","",YEAR($B321)&amp;"-"&amp;TEXT(MONTH($B321),"00"))</f>
        <v/>
      </c>
      <c r="Y321" s="68">
        <f>IF(OR($H321="",$J321=""),"",$J321*IFERROR(VLOOKUP($H321,Maestro_SKU!$A$2:$P$500,12,FALSE),1))</f>
        <v/>
      </c>
    </row>
    <row r="322">
      <c r="A322" s="43" t="n"/>
      <c r="B322" s="54" t="n"/>
      <c r="C322" s="43" t="n"/>
      <c r="D322" s="43" t="n"/>
      <c r="E322" s="48">
        <f>IFERROR(VLOOKUP(D322,Clientes_PDV!$A$2:$J$250,2,FALSE),"")</f>
        <v/>
      </c>
      <c r="F322" s="48">
        <f>IFERROR(VLOOKUP(D322,Clientes_PDV!$A$2:$J$250,3,FALSE),"")</f>
        <v/>
      </c>
      <c r="G322" s="48">
        <f>IFERROR(VLOOKUP(D322,Clientes_PDV!$A$2:$J$250,4,FALSE),"")</f>
        <v/>
      </c>
      <c r="H322" s="43" t="n"/>
      <c r="I322" s="48">
        <f>IFERROR(VLOOKUP(H322,Maestro_SKU!$A$2:$P$500,2,FALSE),"")</f>
        <v/>
      </c>
      <c r="J322" s="55" t="n"/>
      <c r="K322" s="44" t="n"/>
      <c r="L322" s="51">
        <f>IF(OR(J322="",K322=""),"",J322*K322)</f>
        <v/>
      </c>
      <c r="M322" s="51">
        <f>IF(L322="","",L322*Inicio!$B$13)</f>
        <v/>
      </c>
      <c r="N322" s="51">
        <f>IF(L322="","",L322+M322)</f>
        <v/>
      </c>
      <c r="O322" s="54" t="n"/>
      <c r="P322" s="43" t="n"/>
      <c r="Q322" s="44" t="n"/>
      <c r="R322" s="51">
        <f>IF(N322="","",MAX(N322-Q322,0))</f>
        <v/>
      </c>
      <c r="S322" s="48">
        <f>IF(A322="","",IF(OR(P322="Pagada",R322=0),"Pagada",IF(O322&lt;TODAY(),"Vencida",IF(O322&lt;=TODAY()+Inicio!$B$19,"Próxima a vencer","Vigente"))))</f>
        <v/>
      </c>
      <c r="T322" s="43" t="n"/>
      <c r="U322" s="68">
        <f>IF($B322="","",YEAR($B322))</f>
        <v/>
      </c>
      <c r="V322" s="68">
        <f>IF($B322="","",MONTH($B322))</f>
        <v/>
      </c>
      <c r="W322" s="68">
        <f>IF($B322="","",DAY($B322))</f>
        <v/>
      </c>
      <c r="X322" s="68">
        <f>IF($B322="","",YEAR($B322)&amp;"-"&amp;TEXT(MONTH($B322),"00"))</f>
        <v/>
      </c>
      <c r="Y322" s="68">
        <f>IF(OR($H322="",$J322=""),"",$J322*IFERROR(VLOOKUP($H322,Maestro_SKU!$A$2:$P$500,12,FALSE),1))</f>
        <v/>
      </c>
    </row>
    <row r="323">
      <c r="A323" s="43" t="n"/>
      <c r="B323" s="54" t="n"/>
      <c r="C323" s="43" t="n"/>
      <c r="D323" s="43" t="n"/>
      <c r="E323" s="48">
        <f>IFERROR(VLOOKUP(D323,Clientes_PDV!$A$2:$J$250,2,FALSE),"")</f>
        <v/>
      </c>
      <c r="F323" s="48">
        <f>IFERROR(VLOOKUP(D323,Clientes_PDV!$A$2:$J$250,3,FALSE),"")</f>
        <v/>
      </c>
      <c r="G323" s="48">
        <f>IFERROR(VLOOKUP(D323,Clientes_PDV!$A$2:$J$250,4,FALSE),"")</f>
        <v/>
      </c>
      <c r="H323" s="43" t="n"/>
      <c r="I323" s="48">
        <f>IFERROR(VLOOKUP(H323,Maestro_SKU!$A$2:$P$500,2,FALSE),"")</f>
        <v/>
      </c>
      <c r="J323" s="55" t="n"/>
      <c r="K323" s="44" t="n"/>
      <c r="L323" s="51">
        <f>IF(OR(J323="",K323=""),"",J323*K323)</f>
        <v/>
      </c>
      <c r="M323" s="51">
        <f>IF(L323="","",L323*Inicio!$B$13)</f>
        <v/>
      </c>
      <c r="N323" s="51">
        <f>IF(L323="","",L323+M323)</f>
        <v/>
      </c>
      <c r="O323" s="54" t="n"/>
      <c r="P323" s="43" t="n"/>
      <c r="Q323" s="44" t="n"/>
      <c r="R323" s="51">
        <f>IF(N323="","",MAX(N323-Q323,0))</f>
        <v/>
      </c>
      <c r="S323" s="48">
        <f>IF(A323="","",IF(OR(P323="Pagada",R323=0),"Pagada",IF(O323&lt;TODAY(),"Vencida",IF(O323&lt;=TODAY()+Inicio!$B$19,"Próxima a vencer","Vigente"))))</f>
        <v/>
      </c>
      <c r="T323" s="43" t="n"/>
      <c r="U323" s="68">
        <f>IF($B323="","",YEAR($B323))</f>
        <v/>
      </c>
      <c r="V323" s="68">
        <f>IF($B323="","",MONTH($B323))</f>
        <v/>
      </c>
      <c r="W323" s="68">
        <f>IF($B323="","",DAY($B323))</f>
        <v/>
      </c>
      <c r="X323" s="68">
        <f>IF($B323="","",YEAR($B323)&amp;"-"&amp;TEXT(MONTH($B323),"00"))</f>
        <v/>
      </c>
      <c r="Y323" s="68">
        <f>IF(OR($H323="",$J323=""),"",$J323*IFERROR(VLOOKUP($H323,Maestro_SKU!$A$2:$P$500,12,FALSE),1))</f>
        <v/>
      </c>
    </row>
    <row r="324">
      <c r="A324" s="43" t="n"/>
      <c r="B324" s="54" t="n"/>
      <c r="C324" s="43" t="n"/>
      <c r="D324" s="43" t="n"/>
      <c r="E324" s="48">
        <f>IFERROR(VLOOKUP(D324,Clientes_PDV!$A$2:$J$250,2,FALSE),"")</f>
        <v/>
      </c>
      <c r="F324" s="48">
        <f>IFERROR(VLOOKUP(D324,Clientes_PDV!$A$2:$J$250,3,FALSE),"")</f>
        <v/>
      </c>
      <c r="G324" s="48">
        <f>IFERROR(VLOOKUP(D324,Clientes_PDV!$A$2:$J$250,4,FALSE),"")</f>
        <v/>
      </c>
      <c r="H324" s="43" t="n"/>
      <c r="I324" s="48">
        <f>IFERROR(VLOOKUP(H324,Maestro_SKU!$A$2:$P$500,2,FALSE),"")</f>
        <v/>
      </c>
      <c r="J324" s="55" t="n"/>
      <c r="K324" s="44" t="n"/>
      <c r="L324" s="51">
        <f>IF(OR(J324="",K324=""),"",J324*K324)</f>
        <v/>
      </c>
      <c r="M324" s="51">
        <f>IF(L324="","",L324*Inicio!$B$13)</f>
        <v/>
      </c>
      <c r="N324" s="51">
        <f>IF(L324="","",L324+M324)</f>
        <v/>
      </c>
      <c r="O324" s="54" t="n"/>
      <c r="P324" s="43" t="n"/>
      <c r="Q324" s="44" t="n"/>
      <c r="R324" s="51">
        <f>IF(N324="","",MAX(N324-Q324,0))</f>
        <v/>
      </c>
      <c r="S324" s="48">
        <f>IF(A324="","",IF(OR(P324="Pagada",R324=0),"Pagada",IF(O324&lt;TODAY(),"Vencida",IF(O324&lt;=TODAY()+Inicio!$B$19,"Próxima a vencer","Vigente"))))</f>
        <v/>
      </c>
      <c r="T324" s="43" t="n"/>
      <c r="U324" s="68">
        <f>IF($B324="","",YEAR($B324))</f>
        <v/>
      </c>
      <c r="V324" s="68">
        <f>IF($B324="","",MONTH($B324))</f>
        <v/>
      </c>
      <c r="W324" s="68">
        <f>IF($B324="","",DAY($B324))</f>
        <v/>
      </c>
      <c r="X324" s="68">
        <f>IF($B324="","",YEAR($B324)&amp;"-"&amp;TEXT(MONTH($B324),"00"))</f>
        <v/>
      </c>
      <c r="Y324" s="68">
        <f>IF(OR($H324="",$J324=""),"",$J324*IFERROR(VLOOKUP($H324,Maestro_SKU!$A$2:$P$500,12,FALSE),1))</f>
        <v/>
      </c>
    </row>
    <row r="325">
      <c r="A325" s="43" t="n"/>
      <c r="B325" s="54" t="n"/>
      <c r="C325" s="43" t="n"/>
      <c r="D325" s="43" t="n"/>
      <c r="E325" s="48">
        <f>IFERROR(VLOOKUP(D325,Clientes_PDV!$A$2:$J$250,2,FALSE),"")</f>
        <v/>
      </c>
      <c r="F325" s="48">
        <f>IFERROR(VLOOKUP(D325,Clientes_PDV!$A$2:$J$250,3,FALSE),"")</f>
        <v/>
      </c>
      <c r="G325" s="48">
        <f>IFERROR(VLOOKUP(D325,Clientes_PDV!$A$2:$J$250,4,FALSE),"")</f>
        <v/>
      </c>
      <c r="H325" s="43" t="n"/>
      <c r="I325" s="48">
        <f>IFERROR(VLOOKUP(H325,Maestro_SKU!$A$2:$P$500,2,FALSE),"")</f>
        <v/>
      </c>
      <c r="J325" s="55" t="n"/>
      <c r="K325" s="44" t="n"/>
      <c r="L325" s="51">
        <f>IF(OR(J325="",K325=""),"",J325*K325)</f>
        <v/>
      </c>
      <c r="M325" s="51">
        <f>IF(L325="","",L325*Inicio!$B$13)</f>
        <v/>
      </c>
      <c r="N325" s="51">
        <f>IF(L325="","",L325+M325)</f>
        <v/>
      </c>
      <c r="O325" s="54" t="n"/>
      <c r="P325" s="43" t="n"/>
      <c r="Q325" s="44" t="n"/>
      <c r="R325" s="51">
        <f>IF(N325="","",MAX(N325-Q325,0))</f>
        <v/>
      </c>
      <c r="S325" s="48">
        <f>IF(A325="","",IF(OR(P325="Pagada",R325=0),"Pagada",IF(O325&lt;TODAY(),"Vencida",IF(O325&lt;=TODAY()+Inicio!$B$19,"Próxima a vencer","Vigente"))))</f>
        <v/>
      </c>
      <c r="T325" s="43" t="n"/>
      <c r="U325" s="68">
        <f>IF($B325="","",YEAR($B325))</f>
        <v/>
      </c>
      <c r="V325" s="68">
        <f>IF($B325="","",MONTH($B325))</f>
        <v/>
      </c>
      <c r="W325" s="68">
        <f>IF($B325="","",DAY($B325))</f>
        <v/>
      </c>
      <c r="X325" s="68">
        <f>IF($B325="","",YEAR($B325)&amp;"-"&amp;TEXT(MONTH($B325),"00"))</f>
        <v/>
      </c>
      <c r="Y325" s="68">
        <f>IF(OR($H325="",$J325=""),"",$J325*IFERROR(VLOOKUP($H325,Maestro_SKU!$A$2:$P$500,12,FALSE),1))</f>
        <v/>
      </c>
    </row>
    <row r="326">
      <c r="A326" s="43" t="n"/>
      <c r="B326" s="54" t="n"/>
      <c r="C326" s="43" t="n"/>
      <c r="D326" s="43" t="n"/>
      <c r="E326" s="48">
        <f>IFERROR(VLOOKUP(D326,Clientes_PDV!$A$2:$J$250,2,FALSE),"")</f>
        <v/>
      </c>
      <c r="F326" s="48">
        <f>IFERROR(VLOOKUP(D326,Clientes_PDV!$A$2:$J$250,3,FALSE),"")</f>
        <v/>
      </c>
      <c r="G326" s="48">
        <f>IFERROR(VLOOKUP(D326,Clientes_PDV!$A$2:$J$250,4,FALSE),"")</f>
        <v/>
      </c>
      <c r="H326" s="43" t="n"/>
      <c r="I326" s="48">
        <f>IFERROR(VLOOKUP(H326,Maestro_SKU!$A$2:$P$500,2,FALSE),"")</f>
        <v/>
      </c>
      <c r="J326" s="55" t="n"/>
      <c r="K326" s="44" t="n"/>
      <c r="L326" s="51">
        <f>IF(OR(J326="",K326=""),"",J326*K326)</f>
        <v/>
      </c>
      <c r="M326" s="51">
        <f>IF(L326="","",L326*Inicio!$B$13)</f>
        <v/>
      </c>
      <c r="N326" s="51">
        <f>IF(L326="","",L326+M326)</f>
        <v/>
      </c>
      <c r="O326" s="54" t="n"/>
      <c r="P326" s="43" t="n"/>
      <c r="Q326" s="44" t="n"/>
      <c r="R326" s="51">
        <f>IF(N326="","",MAX(N326-Q326,0))</f>
        <v/>
      </c>
      <c r="S326" s="48">
        <f>IF(A326="","",IF(OR(P326="Pagada",R326=0),"Pagada",IF(O326&lt;TODAY(),"Vencida",IF(O326&lt;=TODAY()+Inicio!$B$19,"Próxima a vencer","Vigente"))))</f>
        <v/>
      </c>
      <c r="T326" s="43" t="n"/>
      <c r="U326" s="68">
        <f>IF($B326="","",YEAR($B326))</f>
        <v/>
      </c>
      <c r="V326" s="68">
        <f>IF($B326="","",MONTH($B326))</f>
        <v/>
      </c>
      <c r="W326" s="68">
        <f>IF($B326="","",DAY($B326))</f>
        <v/>
      </c>
      <c r="X326" s="68">
        <f>IF($B326="","",YEAR($B326)&amp;"-"&amp;TEXT(MONTH($B326),"00"))</f>
        <v/>
      </c>
      <c r="Y326" s="68">
        <f>IF(OR($H326="",$J326=""),"",$J326*IFERROR(VLOOKUP($H326,Maestro_SKU!$A$2:$P$500,12,FALSE),1))</f>
        <v/>
      </c>
    </row>
    <row r="327">
      <c r="A327" s="43" t="n"/>
      <c r="B327" s="54" t="n"/>
      <c r="C327" s="43" t="n"/>
      <c r="D327" s="43" t="n"/>
      <c r="E327" s="48">
        <f>IFERROR(VLOOKUP(D327,Clientes_PDV!$A$2:$J$250,2,FALSE),"")</f>
        <v/>
      </c>
      <c r="F327" s="48">
        <f>IFERROR(VLOOKUP(D327,Clientes_PDV!$A$2:$J$250,3,FALSE),"")</f>
        <v/>
      </c>
      <c r="G327" s="48">
        <f>IFERROR(VLOOKUP(D327,Clientes_PDV!$A$2:$J$250,4,FALSE),"")</f>
        <v/>
      </c>
      <c r="H327" s="43" t="n"/>
      <c r="I327" s="48">
        <f>IFERROR(VLOOKUP(H327,Maestro_SKU!$A$2:$P$500,2,FALSE),"")</f>
        <v/>
      </c>
      <c r="J327" s="55" t="n"/>
      <c r="K327" s="44" t="n"/>
      <c r="L327" s="51">
        <f>IF(OR(J327="",K327=""),"",J327*K327)</f>
        <v/>
      </c>
      <c r="M327" s="51">
        <f>IF(L327="","",L327*Inicio!$B$13)</f>
        <v/>
      </c>
      <c r="N327" s="51">
        <f>IF(L327="","",L327+M327)</f>
        <v/>
      </c>
      <c r="O327" s="54" t="n"/>
      <c r="P327" s="43" t="n"/>
      <c r="Q327" s="44" t="n"/>
      <c r="R327" s="51">
        <f>IF(N327="","",MAX(N327-Q327,0))</f>
        <v/>
      </c>
      <c r="S327" s="48">
        <f>IF(A327="","",IF(OR(P327="Pagada",R327=0),"Pagada",IF(O327&lt;TODAY(),"Vencida",IF(O327&lt;=TODAY()+Inicio!$B$19,"Próxima a vencer","Vigente"))))</f>
        <v/>
      </c>
      <c r="T327" s="43" t="n"/>
      <c r="U327" s="68">
        <f>IF($B327="","",YEAR($B327))</f>
        <v/>
      </c>
      <c r="V327" s="68">
        <f>IF($B327="","",MONTH($B327))</f>
        <v/>
      </c>
      <c r="W327" s="68">
        <f>IF($B327="","",DAY($B327))</f>
        <v/>
      </c>
      <c r="X327" s="68">
        <f>IF($B327="","",YEAR($B327)&amp;"-"&amp;TEXT(MONTH($B327),"00"))</f>
        <v/>
      </c>
      <c r="Y327" s="68">
        <f>IF(OR($H327="",$J327=""),"",$J327*IFERROR(VLOOKUP($H327,Maestro_SKU!$A$2:$P$500,12,FALSE),1))</f>
        <v/>
      </c>
    </row>
    <row r="328">
      <c r="A328" s="43" t="n"/>
      <c r="B328" s="54" t="n"/>
      <c r="C328" s="43" t="n"/>
      <c r="D328" s="43" t="n"/>
      <c r="E328" s="48">
        <f>IFERROR(VLOOKUP(D328,Clientes_PDV!$A$2:$J$250,2,FALSE),"")</f>
        <v/>
      </c>
      <c r="F328" s="48">
        <f>IFERROR(VLOOKUP(D328,Clientes_PDV!$A$2:$J$250,3,FALSE),"")</f>
        <v/>
      </c>
      <c r="G328" s="48">
        <f>IFERROR(VLOOKUP(D328,Clientes_PDV!$A$2:$J$250,4,FALSE),"")</f>
        <v/>
      </c>
      <c r="H328" s="43" t="n"/>
      <c r="I328" s="48">
        <f>IFERROR(VLOOKUP(H328,Maestro_SKU!$A$2:$P$500,2,FALSE),"")</f>
        <v/>
      </c>
      <c r="J328" s="55" t="n"/>
      <c r="K328" s="44" t="n"/>
      <c r="L328" s="51">
        <f>IF(OR(J328="",K328=""),"",J328*K328)</f>
        <v/>
      </c>
      <c r="M328" s="51">
        <f>IF(L328="","",L328*Inicio!$B$13)</f>
        <v/>
      </c>
      <c r="N328" s="51">
        <f>IF(L328="","",L328+M328)</f>
        <v/>
      </c>
      <c r="O328" s="54" t="n"/>
      <c r="P328" s="43" t="n"/>
      <c r="Q328" s="44" t="n"/>
      <c r="R328" s="51">
        <f>IF(N328="","",MAX(N328-Q328,0))</f>
        <v/>
      </c>
      <c r="S328" s="48">
        <f>IF(A328="","",IF(OR(P328="Pagada",R328=0),"Pagada",IF(O328&lt;TODAY(),"Vencida",IF(O328&lt;=TODAY()+Inicio!$B$19,"Próxima a vencer","Vigente"))))</f>
        <v/>
      </c>
      <c r="T328" s="43" t="n"/>
      <c r="U328" s="68">
        <f>IF($B328="","",YEAR($B328))</f>
        <v/>
      </c>
      <c r="V328" s="68">
        <f>IF($B328="","",MONTH($B328))</f>
        <v/>
      </c>
      <c r="W328" s="68">
        <f>IF($B328="","",DAY($B328))</f>
        <v/>
      </c>
      <c r="X328" s="68">
        <f>IF($B328="","",YEAR($B328)&amp;"-"&amp;TEXT(MONTH($B328),"00"))</f>
        <v/>
      </c>
      <c r="Y328" s="68">
        <f>IF(OR($H328="",$J328=""),"",$J328*IFERROR(VLOOKUP($H328,Maestro_SKU!$A$2:$P$500,12,FALSE),1))</f>
        <v/>
      </c>
    </row>
    <row r="329">
      <c r="A329" s="43" t="n"/>
      <c r="B329" s="54" t="n"/>
      <c r="C329" s="43" t="n"/>
      <c r="D329" s="43" t="n"/>
      <c r="E329" s="48">
        <f>IFERROR(VLOOKUP(D329,Clientes_PDV!$A$2:$J$250,2,FALSE),"")</f>
        <v/>
      </c>
      <c r="F329" s="48">
        <f>IFERROR(VLOOKUP(D329,Clientes_PDV!$A$2:$J$250,3,FALSE),"")</f>
        <v/>
      </c>
      <c r="G329" s="48">
        <f>IFERROR(VLOOKUP(D329,Clientes_PDV!$A$2:$J$250,4,FALSE),"")</f>
        <v/>
      </c>
      <c r="H329" s="43" t="n"/>
      <c r="I329" s="48">
        <f>IFERROR(VLOOKUP(H329,Maestro_SKU!$A$2:$P$500,2,FALSE),"")</f>
        <v/>
      </c>
      <c r="J329" s="55" t="n"/>
      <c r="K329" s="44" t="n"/>
      <c r="L329" s="51">
        <f>IF(OR(J329="",K329=""),"",J329*K329)</f>
        <v/>
      </c>
      <c r="M329" s="51">
        <f>IF(L329="","",L329*Inicio!$B$13)</f>
        <v/>
      </c>
      <c r="N329" s="51">
        <f>IF(L329="","",L329+M329)</f>
        <v/>
      </c>
      <c r="O329" s="54" t="n"/>
      <c r="P329" s="43" t="n"/>
      <c r="Q329" s="44" t="n"/>
      <c r="R329" s="51">
        <f>IF(N329="","",MAX(N329-Q329,0))</f>
        <v/>
      </c>
      <c r="S329" s="48">
        <f>IF(A329="","",IF(OR(P329="Pagada",R329=0),"Pagada",IF(O329&lt;TODAY(),"Vencida",IF(O329&lt;=TODAY()+Inicio!$B$19,"Próxima a vencer","Vigente"))))</f>
        <v/>
      </c>
      <c r="T329" s="43" t="n"/>
      <c r="U329" s="68">
        <f>IF($B329="","",YEAR($B329))</f>
        <v/>
      </c>
      <c r="V329" s="68">
        <f>IF($B329="","",MONTH($B329))</f>
        <v/>
      </c>
      <c r="W329" s="68">
        <f>IF($B329="","",DAY($B329))</f>
        <v/>
      </c>
      <c r="X329" s="68">
        <f>IF($B329="","",YEAR($B329)&amp;"-"&amp;TEXT(MONTH($B329),"00"))</f>
        <v/>
      </c>
      <c r="Y329" s="68">
        <f>IF(OR($H329="",$J329=""),"",$J329*IFERROR(VLOOKUP($H329,Maestro_SKU!$A$2:$P$500,12,FALSE),1))</f>
        <v/>
      </c>
    </row>
    <row r="330">
      <c r="A330" s="43" t="n"/>
      <c r="B330" s="54" t="n"/>
      <c r="C330" s="43" t="n"/>
      <c r="D330" s="43" t="n"/>
      <c r="E330" s="48">
        <f>IFERROR(VLOOKUP(D330,Clientes_PDV!$A$2:$J$250,2,FALSE),"")</f>
        <v/>
      </c>
      <c r="F330" s="48">
        <f>IFERROR(VLOOKUP(D330,Clientes_PDV!$A$2:$J$250,3,FALSE),"")</f>
        <v/>
      </c>
      <c r="G330" s="48">
        <f>IFERROR(VLOOKUP(D330,Clientes_PDV!$A$2:$J$250,4,FALSE),"")</f>
        <v/>
      </c>
      <c r="H330" s="43" t="n"/>
      <c r="I330" s="48">
        <f>IFERROR(VLOOKUP(H330,Maestro_SKU!$A$2:$P$500,2,FALSE),"")</f>
        <v/>
      </c>
      <c r="J330" s="55" t="n"/>
      <c r="K330" s="44" t="n"/>
      <c r="L330" s="51">
        <f>IF(OR(J330="",K330=""),"",J330*K330)</f>
        <v/>
      </c>
      <c r="M330" s="51">
        <f>IF(L330="","",L330*Inicio!$B$13)</f>
        <v/>
      </c>
      <c r="N330" s="51">
        <f>IF(L330="","",L330+M330)</f>
        <v/>
      </c>
      <c r="O330" s="54" t="n"/>
      <c r="P330" s="43" t="n"/>
      <c r="Q330" s="44" t="n"/>
      <c r="R330" s="51">
        <f>IF(N330="","",MAX(N330-Q330,0))</f>
        <v/>
      </c>
      <c r="S330" s="48">
        <f>IF(A330="","",IF(OR(P330="Pagada",R330=0),"Pagada",IF(O330&lt;TODAY(),"Vencida",IF(O330&lt;=TODAY()+Inicio!$B$19,"Próxima a vencer","Vigente"))))</f>
        <v/>
      </c>
      <c r="T330" s="43" t="n"/>
      <c r="U330" s="68">
        <f>IF($B330="","",YEAR($B330))</f>
        <v/>
      </c>
      <c r="V330" s="68">
        <f>IF($B330="","",MONTH($B330))</f>
        <v/>
      </c>
      <c r="W330" s="68">
        <f>IF($B330="","",DAY($B330))</f>
        <v/>
      </c>
      <c r="X330" s="68">
        <f>IF($B330="","",YEAR($B330)&amp;"-"&amp;TEXT(MONTH($B330),"00"))</f>
        <v/>
      </c>
      <c r="Y330" s="68">
        <f>IF(OR($H330="",$J330=""),"",$J330*IFERROR(VLOOKUP($H330,Maestro_SKU!$A$2:$P$500,12,FALSE),1))</f>
        <v/>
      </c>
    </row>
    <row r="331">
      <c r="A331" s="43" t="n"/>
      <c r="B331" s="54" t="n"/>
      <c r="C331" s="43" t="n"/>
      <c r="D331" s="43" t="n"/>
      <c r="E331" s="48">
        <f>IFERROR(VLOOKUP(D331,Clientes_PDV!$A$2:$J$250,2,FALSE),"")</f>
        <v/>
      </c>
      <c r="F331" s="48">
        <f>IFERROR(VLOOKUP(D331,Clientes_PDV!$A$2:$J$250,3,FALSE),"")</f>
        <v/>
      </c>
      <c r="G331" s="48">
        <f>IFERROR(VLOOKUP(D331,Clientes_PDV!$A$2:$J$250,4,FALSE),"")</f>
        <v/>
      </c>
      <c r="H331" s="43" t="n"/>
      <c r="I331" s="48">
        <f>IFERROR(VLOOKUP(H331,Maestro_SKU!$A$2:$P$500,2,FALSE),"")</f>
        <v/>
      </c>
      <c r="J331" s="55" t="n"/>
      <c r="K331" s="44" t="n"/>
      <c r="L331" s="51">
        <f>IF(OR(J331="",K331=""),"",J331*K331)</f>
        <v/>
      </c>
      <c r="M331" s="51">
        <f>IF(L331="","",L331*Inicio!$B$13)</f>
        <v/>
      </c>
      <c r="N331" s="51">
        <f>IF(L331="","",L331+M331)</f>
        <v/>
      </c>
      <c r="O331" s="54" t="n"/>
      <c r="P331" s="43" t="n"/>
      <c r="Q331" s="44" t="n"/>
      <c r="R331" s="51">
        <f>IF(N331="","",MAX(N331-Q331,0))</f>
        <v/>
      </c>
      <c r="S331" s="48">
        <f>IF(A331="","",IF(OR(P331="Pagada",R331=0),"Pagada",IF(O331&lt;TODAY(),"Vencida",IF(O331&lt;=TODAY()+Inicio!$B$19,"Próxima a vencer","Vigente"))))</f>
        <v/>
      </c>
      <c r="T331" s="43" t="n"/>
      <c r="U331" s="68">
        <f>IF($B331="","",YEAR($B331))</f>
        <v/>
      </c>
      <c r="V331" s="68">
        <f>IF($B331="","",MONTH($B331))</f>
        <v/>
      </c>
      <c r="W331" s="68">
        <f>IF($B331="","",DAY($B331))</f>
        <v/>
      </c>
      <c r="X331" s="68">
        <f>IF($B331="","",YEAR($B331)&amp;"-"&amp;TEXT(MONTH($B331),"00"))</f>
        <v/>
      </c>
      <c r="Y331" s="68">
        <f>IF(OR($H331="",$J331=""),"",$J331*IFERROR(VLOOKUP($H331,Maestro_SKU!$A$2:$P$500,12,FALSE),1))</f>
        <v/>
      </c>
    </row>
    <row r="332">
      <c r="A332" s="43" t="n"/>
      <c r="B332" s="54" t="n"/>
      <c r="C332" s="43" t="n"/>
      <c r="D332" s="43" t="n"/>
      <c r="E332" s="48">
        <f>IFERROR(VLOOKUP(D332,Clientes_PDV!$A$2:$J$250,2,FALSE),"")</f>
        <v/>
      </c>
      <c r="F332" s="48">
        <f>IFERROR(VLOOKUP(D332,Clientes_PDV!$A$2:$J$250,3,FALSE),"")</f>
        <v/>
      </c>
      <c r="G332" s="48">
        <f>IFERROR(VLOOKUP(D332,Clientes_PDV!$A$2:$J$250,4,FALSE),"")</f>
        <v/>
      </c>
      <c r="H332" s="43" t="n"/>
      <c r="I332" s="48">
        <f>IFERROR(VLOOKUP(H332,Maestro_SKU!$A$2:$P$500,2,FALSE),"")</f>
        <v/>
      </c>
      <c r="J332" s="55" t="n"/>
      <c r="K332" s="44" t="n"/>
      <c r="L332" s="51">
        <f>IF(OR(J332="",K332=""),"",J332*K332)</f>
        <v/>
      </c>
      <c r="M332" s="51">
        <f>IF(L332="","",L332*Inicio!$B$13)</f>
        <v/>
      </c>
      <c r="N332" s="51">
        <f>IF(L332="","",L332+M332)</f>
        <v/>
      </c>
      <c r="O332" s="54" t="n"/>
      <c r="P332" s="43" t="n"/>
      <c r="Q332" s="44" t="n"/>
      <c r="R332" s="51">
        <f>IF(N332="","",MAX(N332-Q332,0))</f>
        <v/>
      </c>
      <c r="S332" s="48">
        <f>IF(A332="","",IF(OR(P332="Pagada",R332=0),"Pagada",IF(O332&lt;TODAY(),"Vencida",IF(O332&lt;=TODAY()+Inicio!$B$19,"Próxima a vencer","Vigente"))))</f>
        <v/>
      </c>
      <c r="T332" s="43" t="n"/>
      <c r="U332" s="68">
        <f>IF($B332="","",YEAR($B332))</f>
        <v/>
      </c>
      <c r="V332" s="68">
        <f>IF($B332="","",MONTH($B332))</f>
        <v/>
      </c>
      <c r="W332" s="68">
        <f>IF($B332="","",DAY($B332))</f>
        <v/>
      </c>
      <c r="X332" s="68">
        <f>IF($B332="","",YEAR($B332)&amp;"-"&amp;TEXT(MONTH($B332),"00"))</f>
        <v/>
      </c>
      <c r="Y332" s="68">
        <f>IF(OR($H332="",$J332=""),"",$J332*IFERROR(VLOOKUP($H332,Maestro_SKU!$A$2:$P$500,12,FALSE),1))</f>
        <v/>
      </c>
    </row>
    <row r="333">
      <c r="A333" s="43" t="n"/>
      <c r="B333" s="54" t="n"/>
      <c r="C333" s="43" t="n"/>
      <c r="D333" s="43" t="n"/>
      <c r="E333" s="48">
        <f>IFERROR(VLOOKUP(D333,Clientes_PDV!$A$2:$J$250,2,FALSE),"")</f>
        <v/>
      </c>
      <c r="F333" s="48">
        <f>IFERROR(VLOOKUP(D333,Clientes_PDV!$A$2:$J$250,3,FALSE),"")</f>
        <v/>
      </c>
      <c r="G333" s="48">
        <f>IFERROR(VLOOKUP(D333,Clientes_PDV!$A$2:$J$250,4,FALSE),"")</f>
        <v/>
      </c>
      <c r="H333" s="43" t="n"/>
      <c r="I333" s="48">
        <f>IFERROR(VLOOKUP(H333,Maestro_SKU!$A$2:$P$500,2,FALSE),"")</f>
        <v/>
      </c>
      <c r="J333" s="55" t="n"/>
      <c r="K333" s="44" t="n"/>
      <c r="L333" s="51">
        <f>IF(OR(J333="",K333=""),"",J333*K333)</f>
        <v/>
      </c>
      <c r="M333" s="51">
        <f>IF(L333="","",L333*Inicio!$B$13)</f>
        <v/>
      </c>
      <c r="N333" s="51">
        <f>IF(L333="","",L333+M333)</f>
        <v/>
      </c>
      <c r="O333" s="54" t="n"/>
      <c r="P333" s="43" t="n"/>
      <c r="Q333" s="44" t="n"/>
      <c r="R333" s="51">
        <f>IF(N333="","",MAX(N333-Q333,0))</f>
        <v/>
      </c>
      <c r="S333" s="48">
        <f>IF(A333="","",IF(OR(P333="Pagada",R333=0),"Pagada",IF(O333&lt;TODAY(),"Vencida",IF(O333&lt;=TODAY()+Inicio!$B$19,"Próxima a vencer","Vigente"))))</f>
        <v/>
      </c>
      <c r="T333" s="43" t="n"/>
      <c r="U333" s="68">
        <f>IF($B333="","",YEAR($B333))</f>
        <v/>
      </c>
      <c r="V333" s="68">
        <f>IF($B333="","",MONTH($B333))</f>
        <v/>
      </c>
      <c r="W333" s="68">
        <f>IF($B333="","",DAY($B333))</f>
        <v/>
      </c>
      <c r="X333" s="68">
        <f>IF($B333="","",YEAR($B333)&amp;"-"&amp;TEXT(MONTH($B333),"00"))</f>
        <v/>
      </c>
      <c r="Y333" s="68">
        <f>IF(OR($H333="",$J333=""),"",$J333*IFERROR(VLOOKUP($H333,Maestro_SKU!$A$2:$P$500,12,FALSE),1))</f>
        <v/>
      </c>
    </row>
    <row r="334">
      <c r="A334" s="43" t="n"/>
      <c r="B334" s="54" t="n"/>
      <c r="C334" s="43" t="n"/>
      <c r="D334" s="43" t="n"/>
      <c r="E334" s="48">
        <f>IFERROR(VLOOKUP(D334,Clientes_PDV!$A$2:$J$250,2,FALSE),"")</f>
        <v/>
      </c>
      <c r="F334" s="48">
        <f>IFERROR(VLOOKUP(D334,Clientes_PDV!$A$2:$J$250,3,FALSE),"")</f>
        <v/>
      </c>
      <c r="G334" s="48">
        <f>IFERROR(VLOOKUP(D334,Clientes_PDV!$A$2:$J$250,4,FALSE),"")</f>
        <v/>
      </c>
      <c r="H334" s="43" t="n"/>
      <c r="I334" s="48">
        <f>IFERROR(VLOOKUP(H334,Maestro_SKU!$A$2:$P$500,2,FALSE),"")</f>
        <v/>
      </c>
      <c r="J334" s="55" t="n"/>
      <c r="K334" s="44" t="n"/>
      <c r="L334" s="51">
        <f>IF(OR(J334="",K334=""),"",J334*K334)</f>
        <v/>
      </c>
      <c r="M334" s="51">
        <f>IF(L334="","",L334*Inicio!$B$13)</f>
        <v/>
      </c>
      <c r="N334" s="51">
        <f>IF(L334="","",L334+M334)</f>
        <v/>
      </c>
      <c r="O334" s="54" t="n"/>
      <c r="P334" s="43" t="n"/>
      <c r="Q334" s="44" t="n"/>
      <c r="R334" s="51">
        <f>IF(N334="","",MAX(N334-Q334,0))</f>
        <v/>
      </c>
      <c r="S334" s="48">
        <f>IF(A334="","",IF(OR(P334="Pagada",R334=0),"Pagada",IF(O334&lt;TODAY(),"Vencida",IF(O334&lt;=TODAY()+Inicio!$B$19,"Próxima a vencer","Vigente"))))</f>
        <v/>
      </c>
      <c r="T334" s="43" t="n"/>
      <c r="U334" s="68">
        <f>IF($B334="","",YEAR($B334))</f>
        <v/>
      </c>
      <c r="V334" s="68">
        <f>IF($B334="","",MONTH($B334))</f>
        <v/>
      </c>
      <c r="W334" s="68">
        <f>IF($B334="","",DAY($B334))</f>
        <v/>
      </c>
      <c r="X334" s="68">
        <f>IF($B334="","",YEAR($B334)&amp;"-"&amp;TEXT(MONTH($B334),"00"))</f>
        <v/>
      </c>
      <c r="Y334" s="68">
        <f>IF(OR($H334="",$J334=""),"",$J334*IFERROR(VLOOKUP($H334,Maestro_SKU!$A$2:$P$500,12,FALSE),1))</f>
        <v/>
      </c>
    </row>
    <row r="335">
      <c r="A335" s="43" t="n"/>
      <c r="B335" s="54" t="n"/>
      <c r="C335" s="43" t="n"/>
      <c r="D335" s="43" t="n"/>
      <c r="E335" s="48">
        <f>IFERROR(VLOOKUP(D335,Clientes_PDV!$A$2:$J$250,2,FALSE),"")</f>
        <v/>
      </c>
      <c r="F335" s="48">
        <f>IFERROR(VLOOKUP(D335,Clientes_PDV!$A$2:$J$250,3,FALSE),"")</f>
        <v/>
      </c>
      <c r="G335" s="48">
        <f>IFERROR(VLOOKUP(D335,Clientes_PDV!$A$2:$J$250,4,FALSE),"")</f>
        <v/>
      </c>
      <c r="H335" s="43" t="n"/>
      <c r="I335" s="48">
        <f>IFERROR(VLOOKUP(H335,Maestro_SKU!$A$2:$P$500,2,FALSE),"")</f>
        <v/>
      </c>
      <c r="J335" s="55" t="n"/>
      <c r="K335" s="44" t="n"/>
      <c r="L335" s="51">
        <f>IF(OR(J335="",K335=""),"",J335*K335)</f>
        <v/>
      </c>
      <c r="M335" s="51">
        <f>IF(L335="","",L335*Inicio!$B$13)</f>
        <v/>
      </c>
      <c r="N335" s="51">
        <f>IF(L335="","",L335+M335)</f>
        <v/>
      </c>
      <c r="O335" s="54" t="n"/>
      <c r="P335" s="43" t="n"/>
      <c r="Q335" s="44" t="n"/>
      <c r="R335" s="51">
        <f>IF(N335="","",MAX(N335-Q335,0))</f>
        <v/>
      </c>
      <c r="S335" s="48">
        <f>IF(A335="","",IF(OR(P335="Pagada",R335=0),"Pagada",IF(O335&lt;TODAY(),"Vencida",IF(O335&lt;=TODAY()+Inicio!$B$19,"Próxima a vencer","Vigente"))))</f>
        <v/>
      </c>
      <c r="T335" s="43" t="n"/>
      <c r="U335" s="68">
        <f>IF($B335="","",YEAR($B335))</f>
        <v/>
      </c>
      <c r="V335" s="68">
        <f>IF($B335="","",MONTH($B335))</f>
        <v/>
      </c>
      <c r="W335" s="68">
        <f>IF($B335="","",DAY($B335))</f>
        <v/>
      </c>
      <c r="X335" s="68">
        <f>IF($B335="","",YEAR($B335)&amp;"-"&amp;TEXT(MONTH($B335),"00"))</f>
        <v/>
      </c>
      <c r="Y335" s="68">
        <f>IF(OR($H335="",$J335=""),"",$J335*IFERROR(VLOOKUP($H335,Maestro_SKU!$A$2:$P$500,12,FALSE),1))</f>
        <v/>
      </c>
    </row>
    <row r="336">
      <c r="A336" s="43" t="n"/>
      <c r="B336" s="54" t="n"/>
      <c r="C336" s="43" t="n"/>
      <c r="D336" s="43" t="n"/>
      <c r="E336" s="48">
        <f>IFERROR(VLOOKUP(D336,Clientes_PDV!$A$2:$J$250,2,FALSE),"")</f>
        <v/>
      </c>
      <c r="F336" s="48">
        <f>IFERROR(VLOOKUP(D336,Clientes_PDV!$A$2:$J$250,3,FALSE),"")</f>
        <v/>
      </c>
      <c r="G336" s="48">
        <f>IFERROR(VLOOKUP(D336,Clientes_PDV!$A$2:$J$250,4,FALSE),"")</f>
        <v/>
      </c>
      <c r="H336" s="43" t="n"/>
      <c r="I336" s="48">
        <f>IFERROR(VLOOKUP(H336,Maestro_SKU!$A$2:$P$500,2,FALSE),"")</f>
        <v/>
      </c>
      <c r="J336" s="55" t="n"/>
      <c r="K336" s="44" t="n"/>
      <c r="L336" s="51">
        <f>IF(OR(J336="",K336=""),"",J336*K336)</f>
        <v/>
      </c>
      <c r="M336" s="51">
        <f>IF(L336="","",L336*Inicio!$B$13)</f>
        <v/>
      </c>
      <c r="N336" s="51">
        <f>IF(L336="","",L336+M336)</f>
        <v/>
      </c>
      <c r="O336" s="54" t="n"/>
      <c r="P336" s="43" t="n"/>
      <c r="Q336" s="44" t="n"/>
      <c r="R336" s="51">
        <f>IF(N336="","",MAX(N336-Q336,0))</f>
        <v/>
      </c>
      <c r="S336" s="48">
        <f>IF(A336="","",IF(OR(P336="Pagada",R336=0),"Pagada",IF(O336&lt;TODAY(),"Vencida",IF(O336&lt;=TODAY()+Inicio!$B$19,"Próxima a vencer","Vigente"))))</f>
        <v/>
      </c>
      <c r="T336" s="43" t="n"/>
      <c r="U336" s="68">
        <f>IF($B336="","",YEAR($B336))</f>
        <v/>
      </c>
      <c r="V336" s="68">
        <f>IF($B336="","",MONTH($B336))</f>
        <v/>
      </c>
      <c r="W336" s="68">
        <f>IF($B336="","",DAY($B336))</f>
        <v/>
      </c>
      <c r="X336" s="68">
        <f>IF($B336="","",YEAR($B336)&amp;"-"&amp;TEXT(MONTH($B336),"00"))</f>
        <v/>
      </c>
      <c r="Y336" s="68">
        <f>IF(OR($H336="",$J336=""),"",$J336*IFERROR(VLOOKUP($H336,Maestro_SKU!$A$2:$P$500,12,FALSE),1))</f>
        <v/>
      </c>
    </row>
    <row r="337">
      <c r="A337" s="43" t="n"/>
      <c r="B337" s="54" t="n"/>
      <c r="C337" s="43" t="n"/>
      <c r="D337" s="43" t="n"/>
      <c r="E337" s="48">
        <f>IFERROR(VLOOKUP(D337,Clientes_PDV!$A$2:$J$250,2,FALSE),"")</f>
        <v/>
      </c>
      <c r="F337" s="48">
        <f>IFERROR(VLOOKUP(D337,Clientes_PDV!$A$2:$J$250,3,FALSE),"")</f>
        <v/>
      </c>
      <c r="G337" s="48">
        <f>IFERROR(VLOOKUP(D337,Clientes_PDV!$A$2:$J$250,4,FALSE),"")</f>
        <v/>
      </c>
      <c r="H337" s="43" t="n"/>
      <c r="I337" s="48">
        <f>IFERROR(VLOOKUP(H337,Maestro_SKU!$A$2:$P$500,2,FALSE),"")</f>
        <v/>
      </c>
      <c r="J337" s="55" t="n"/>
      <c r="K337" s="44" t="n"/>
      <c r="L337" s="51">
        <f>IF(OR(J337="",K337=""),"",J337*K337)</f>
        <v/>
      </c>
      <c r="M337" s="51">
        <f>IF(L337="","",L337*Inicio!$B$13)</f>
        <v/>
      </c>
      <c r="N337" s="51">
        <f>IF(L337="","",L337+M337)</f>
        <v/>
      </c>
      <c r="O337" s="54" t="n"/>
      <c r="P337" s="43" t="n"/>
      <c r="Q337" s="44" t="n"/>
      <c r="R337" s="51">
        <f>IF(N337="","",MAX(N337-Q337,0))</f>
        <v/>
      </c>
      <c r="S337" s="48">
        <f>IF(A337="","",IF(OR(P337="Pagada",R337=0),"Pagada",IF(O337&lt;TODAY(),"Vencida",IF(O337&lt;=TODAY()+Inicio!$B$19,"Próxima a vencer","Vigente"))))</f>
        <v/>
      </c>
      <c r="T337" s="43" t="n"/>
      <c r="U337" s="68">
        <f>IF($B337="","",YEAR($B337))</f>
        <v/>
      </c>
      <c r="V337" s="68">
        <f>IF($B337="","",MONTH($B337))</f>
        <v/>
      </c>
      <c r="W337" s="68">
        <f>IF($B337="","",DAY($B337))</f>
        <v/>
      </c>
      <c r="X337" s="68">
        <f>IF($B337="","",YEAR($B337)&amp;"-"&amp;TEXT(MONTH($B337),"00"))</f>
        <v/>
      </c>
      <c r="Y337" s="68">
        <f>IF(OR($H337="",$J337=""),"",$J337*IFERROR(VLOOKUP($H337,Maestro_SKU!$A$2:$P$500,12,FALSE),1))</f>
        <v/>
      </c>
    </row>
    <row r="338">
      <c r="A338" s="43" t="n"/>
      <c r="B338" s="54" t="n"/>
      <c r="C338" s="43" t="n"/>
      <c r="D338" s="43" t="n"/>
      <c r="E338" s="48">
        <f>IFERROR(VLOOKUP(D338,Clientes_PDV!$A$2:$J$250,2,FALSE),"")</f>
        <v/>
      </c>
      <c r="F338" s="48">
        <f>IFERROR(VLOOKUP(D338,Clientes_PDV!$A$2:$J$250,3,FALSE),"")</f>
        <v/>
      </c>
      <c r="G338" s="48">
        <f>IFERROR(VLOOKUP(D338,Clientes_PDV!$A$2:$J$250,4,FALSE),"")</f>
        <v/>
      </c>
      <c r="H338" s="43" t="n"/>
      <c r="I338" s="48">
        <f>IFERROR(VLOOKUP(H338,Maestro_SKU!$A$2:$P$500,2,FALSE),"")</f>
        <v/>
      </c>
      <c r="J338" s="55" t="n"/>
      <c r="K338" s="44" t="n"/>
      <c r="L338" s="51">
        <f>IF(OR(J338="",K338=""),"",J338*K338)</f>
        <v/>
      </c>
      <c r="M338" s="51">
        <f>IF(L338="","",L338*Inicio!$B$13)</f>
        <v/>
      </c>
      <c r="N338" s="51">
        <f>IF(L338="","",L338+M338)</f>
        <v/>
      </c>
      <c r="O338" s="54" t="n"/>
      <c r="P338" s="43" t="n"/>
      <c r="Q338" s="44" t="n"/>
      <c r="R338" s="51">
        <f>IF(N338="","",MAX(N338-Q338,0))</f>
        <v/>
      </c>
      <c r="S338" s="48">
        <f>IF(A338="","",IF(OR(P338="Pagada",R338=0),"Pagada",IF(O338&lt;TODAY(),"Vencida",IF(O338&lt;=TODAY()+Inicio!$B$19,"Próxima a vencer","Vigente"))))</f>
        <v/>
      </c>
      <c r="T338" s="43" t="n"/>
      <c r="U338" s="68">
        <f>IF($B338="","",YEAR($B338))</f>
        <v/>
      </c>
      <c r="V338" s="68">
        <f>IF($B338="","",MONTH($B338))</f>
        <v/>
      </c>
      <c r="W338" s="68">
        <f>IF($B338="","",DAY($B338))</f>
        <v/>
      </c>
      <c r="X338" s="68">
        <f>IF($B338="","",YEAR($B338)&amp;"-"&amp;TEXT(MONTH($B338),"00"))</f>
        <v/>
      </c>
      <c r="Y338" s="68">
        <f>IF(OR($H338="",$J338=""),"",$J338*IFERROR(VLOOKUP($H338,Maestro_SKU!$A$2:$P$500,12,FALSE),1))</f>
        <v/>
      </c>
    </row>
    <row r="339">
      <c r="A339" s="43" t="n"/>
      <c r="B339" s="54" t="n"/>
      <c r="C339" s="43" t="n"/>
      <c r="D339" s="43" t="n"/>
      <c r="E339" s="48">
        <f>IFERROR(VLOOKUP(D339,Clientes_PDV!$A$2:$J$250,2,FALSE),"")</f>
        <v/>
      </c>
      <c r="F339" s="48">
        <f>IFERROR(VLOOKUP(D339,Clientes_PDV!$A$2:$J$250,3,FALSE),"")</f>
        <v/>
      </c>
      <c r="G339" s="48">
        <f>IFERROR(VLOOKUP(D339,Clientes_PDV!$A$2:$J$250,4,FALSE),"")</f>
        <v/>
      </c>
      <c r="H339" s="43" t="n"/>
      <c r="I339" s="48">
        <f>IFERROR(VLOOKUP(H339,Maestro_SKU!$A$2:$P$500,2,FALSE),"")</f>
        <v/>
      </c>
      <c r="J339" s="55" t="n"/>
      <c r="K339" s="44" t="n"/>
      <c r="L339" s="51">
        <f>IF(OR(J339="",K339=""),"",J339*K339)</f>
        <v/>
      </c>
      <c r="M339" s="51">
        <f>IF(L339="","",L339*Inicio!$B$13)</f>
        <v/>
      </c>
      <c r="N339" s="51">
        <f>IF(L339="","",L339+M339)</f>
        <v/>
      </c>
      <c r="O339" s="54" t="n"/>
      <c r="P339" s="43" t="n"/>
      <c r="Q339" s="44" t="n"/>
      <c r="R339" s="51">
        <f>IF(N339="","",MAX(N339-Q339,0))</f>
        <v/>
      </c>
      <c r="S339" s="48">
        <f>IF(A339="","",IF(OR(P339="Pagada",R339=0),"Pagada",IF(O339&lt;TODAY(),"Vencida",IF(O339&lt;=TODAY()+Inicio!$B$19,"Próxima a vencer","Vigente"))))</f>
        <v/>
      </c>
      <c r="T339" s="43" t="n"/>
      <c r="U339" s="68">
        <f>IF($B339="","",YEAR($B339))</f>
        <v/>
      </c>
      <c r="V339" s="68">
        <f>IF($B339="","",MONTH($B339))</f>
        <v/>
      </c>
      <c r="W339" s="68">
        <f>IF($B339="","",DAY($B339))</f>
        <v/>
      </c>
      <c r="X339" s="68">
        <f>IF($B339="","",YEAR($B339)&amp;"-"&amp;TEXT(MONTH($B339),"00"))</f>
        <v/>
      </c>
      <c r="Y339" s="68">
        <f>IF(OR($H339="",$J339=""),"",$J339*IFERROR(VLOOKUP($H339,Maestro_SKU!$A$2:$P$500,12,FALSE),1))</f>
        <v/>
      </c>
    </row>
    <row r="340">
      <c r="A340" s="43" t="n"/>
      <c r="B340" s="54" t="n"/>
      <c r="C340" s="43" t="n"/>
      <c r="D340" s="43" t="n"/>
      <c r="E340" s="48">
        <f>IFERROR(VLOOKUP(D340,Clientes_PDV!$A$2:$J$250,2,FALSE),"")</f>
        <v/>
      </c>
      <c r="F340" s="48">
        <f>IFERROR(VLOOKUP(D340,Clientes_PDV!$A$2:$J$250,3,FALSE),"")</f>
        <v/>
      </c>
      <c r="G340" s="48">
        <f>IFERROR(VLOOKUP(D340,Clientes_PDV!$A$2:$J$250,4,FALSE),"")</f>
        <v/>
      </c>
      <c r="H340" s="43" t="n"/>
      <c r="I340" s="48">
        <f>IFERROR(VLOOKUP(H340,Maestro_SKU!$A$2:$P$500,2,FALSE),"")</f>
        <v/>
      </c>
      <c r="J340" s="55" t="n"/>
      <c r="K340" s="44" t="n"/>
      <c r="L340" s="51">
        <f>IF(OR(J340="",K340=""),"",J340*K340)</f>
        <v/>
      </c>
      <c r="M340" s="51">
        <f>IF(L340="","",L340*Inicio!$B$13)</f>
        <v/>
      </c>
      <c r="N340" s="51">
        <f>IF(L340="","",L340+M340)</f>
        <v/>
      </c>
      <c r="O340" s="54" t="n"/>
      <c r="P340" s="43" t="n"/>
      <c r="Q340" s="44" t="n"/>
      <c r="R340" s="51">
        <f>IF(N340="","",MAX(N340-Q340,0))</f>
        <v/>
      </c>
      <c r="S340" s="48">
        <f>IF(A340="","",IF(OR(P340="Pagada",R340=0),"Pagada",IF(O340&lt;TODAY(),"Vencida",IF(O340&lt;=TODAY()+Inicio!$B$19,"Próxima a vencer","Vigente"))))</f>
        <v/>
      </c>
      <c r="T340" s="43" t="n"/>
      <c r="U340" s="68">
        <f>IF($B340="","",YEAR($B340))</f>
        <v/>
      </c>
      <c r="V340" s="68">
        <f>IF($B340="","",MONTH($B340))</f>
        <v/>
      </c>
      <c r="W340" s="68">
        <f>IF($B340="","",DAY($B340))</f>
        <v/>
      </c>
      <c r="X340" s="68">
        <f>IF($B340="","",YEAR($B340)&amp;"-"&amp;TEXT(MONTH($B340),"00"))</f>
        <v/>
      </c>
      <c r="Y340" s="68">
        <f>IF(OR($H340="",$J340=""),"",$J340*IFERROR(VLOOKUP($H340,Maestro_SKU!$A$2:$P$500,12,FALSE),1))</f>
        <v/>
      </c>
    </row>
    <row r="341">
      <c r="A341" s="43" t="n"/>
      <c r="B341" s="54" t="n"/>
      <c r="C341" s="43" t="n"/>
      <c r="D341" s="43" t="n"/>
      <c r="E341" s="48">
        <f>IFERROR(VLOOKUP(D341,Clientes_PDV!$A$2:$J$250,2,FALSE),"")</f>
        <v/>
      </c>
      <c r="F341" s="48">
        <f>IFERROR(VLOOKUP(D341,Clientes_PDV!$A$2:$J$250,3,FALSE),"")</f>
        <v/>
      </c>
      <c r="G341" s="48">
        <f>IFERROR(VLOOKUP(D341,Clientes_PDV!$A$2:$J$250,4,FALSE),"")</f>
        <v/>
      </c>
      <c r="H341" s="43" t="n"/>
      <c r="I341" s="48">
        <f>IFERROR(VLOOKUP(H341,Maestro_SKU!$A$2:$P$500,2,FALSE),"")</f>
        <v/>
      </c>
      <c r="J341" s="55" t="n"/>
      <c r="K341" s="44" t="n"/>
      <c r="L341" s="51">
        <f>IF(OR(J341="",K341=""),"",J341*K341)</f>
        <v/>
      </c>
      <c r="M341" s="51">
        <f>IF(L341="","",L341*Inicio!$B$13)</f>
        <v/>
      </c>
      <c r="N341" s="51">
        <f>IF(L341="","",L341+M341)</f>
        <v/>
      </c>
      <c r="O341" s="54" t="n"/>
      <c r="P341" s="43" t="n"/>
      <c r="Q341" s="44" t="n"/>
      <c r="R341" s="51">
        <f>IF(N341="","",MAX(N341-Q341,0))</f>
        <v/>
      </c>
      <c r="S341" s="48">
        <f>IF(A341="","",IF(OR(P341="Pagada",R341=0),"Pagada",IF(O341&lt;TODAY(),"Vencida",IF(O341&lt;=TODAY()+Inicio!$B$19,"Próxima a vencer","Vigente"))))</f>
        <v/>
      </c>
      <c r="T341" s="43" t="n"/>
      <c r="U341" s="68">
        <f>IF($B341="","",YEAR($B341))</f>
        <v/>
      </c>
      <c r="V341" s="68">
        <f>IF($B341="","",MONTH($B341))</f>
        <v/>
      </c>
      <c r="W341" s="68">
        <f>IF($B341="","",DAY($B341))</f>
        <v/>
      </c>
      <c r="X341" s="68">
        <f>IF($B341="","",YEAR($B341)&amp;"-"&amp;TEXT(MONTH($B341),"00"))</f>
        <v/>
      </c>
      <c r="Y341" s="68">
        <f>IF(OR($H341="",$J341=""),"",$J341*IFERROR(VLOOKUP($H341,Maestro_SKU!$A$2:$P$500,12,FALSE),1))</f>
        <v/>
      </c>
    </row>
    <row r="342">
      <c r="A342" s="43" t="n"/>
      <c r="B342" s="54" t="n"/>
      <c r="C342" s="43" t="n"/>
      <c r="D342" s="43" t="n"/>
      <c r="E342" s="48">
        <f>IFERROR(VLOOKUP(D342,Clientes_PDV!$A$2:$J$250,2,FALSE),"")</f>
        <v/>
      </c>
      <c r="F342" s="48">
        <f>IFERROR(VLOOKUP(D342,Clientes_PDV!$A$2:$J$250,3,FALSE),"")</f>
        <v/>
      </c>
      <c r="G342" s="48">
        <f>IFERROR(VLOOKUP(D342,Clientes_PDV!$A$2:$J$250,4,FALSE),"")</f>
        <v/>
      </c>
      <c r="H342" s="43" t="n"/>
      <c r="I342" s="48">
        <f>IFERROR(VLOOKUP(H342,Maestro_SKU!$A$2:$P$500,2,FALSE),"")</f>
        <v/>
      </c>
      <c r="J342" s="55" t="n"/>
      <c r="K342" s="44" t="n"/>
      <c r="L342" s="51">
        <f>IF(OR(J342="",K342=""),"",J342*K342)</f>
        <v/>
      </c>
      <c r="M342" s="51">
        <f>IF(L342="","",L342*Inicio!$B$13)</f>
        <v/>
      </c>
      <c r="N342" s="51">
        <f>IF(L342="","",L342+M342)</f>
        <v/>
      </c>
      <c r="O342" s="54" t="n"/>
      <c r="P342" s="43" t="n"/>
      <c r="Q342" s="44" t="n"/>
      <c r="R342" s="51">
        <f>IF(N342="","",MAX(N342-Q342,0))</f>
        <v/>
      </c>
      <c r="S342" s="48">
        <f>IF(A342="","",IF(OR(P342="Pagada",R342=0),"Pagada",IF(O342&lt;TODAY(),"Vencida",IF(O342&lt;=TODAY()+Inicio!$B$19,"Próxima a vencer","Vigente"))))</f>
        <v/>
      </c>
      <c r="T342" s="43" t="n"/>
      <c r="U342" s="68">
        <f>IF($B342="","",YEAR($B342))</f>
        <v/>
      </c>
      <c r="V342" s="68">
        <f>IF($B342="","",MONTH($B342))</f>
        <v/>
      </c>
      <c r="W342" s="68">
        <f>IF($B342="","",DAY($B342))</f>
        <v/>
      </c>
      <c r="X342" s="68">
        <f>IF($B342="","",YEAR($B342)&amp;"-"&amp;TEXT(MONTH($B342),"00"))</f>
        <v/>
      </c>
      <c r="Y342" s="68">
        <f>IF(OR($H342="",$J342=""),"",$J342*IFERROR(VLOOKUP($H342,Maestro_SKU!$A$2:$P$500,12,FALSE),1))</f>
        <v/>
      </c>
    </row>
    <row r="343">
      <c r="A343" s="43" t="n"/>
      <c r="B343" s="54" t="n"/>
      <c r="C343" s="43" t="n"/>
      <c r="D343" s="43" t="n"/>
      <c r="E343" s="48">
        <f>IFERROR(VLOOKUP(D343,Clientes_PDV!$A$2:$J$250,2,FALSE),"")</f>
        <v/>
      </c>
      <c r="F343" s="48">
        <f>IFERROR(VLOOKUP(D343,Clientes_PDV!$A$2:$J$250,3,FALSE),"")</f>
        <v/>
      </c>
      <c r="G343" s="48">
        <f>IFERROR(VLOOKUP(D343,Clientes_PDV!$A$2:$J$250,4,FALSE),"")</f>
        <v/>
      </c>
      <c r="H343" s="43" t="n"/>
      <c r="I343" s="48">
        <f>IFERROR(VLOOKUP(H343,Maestro_SKU!$A$2:$P$500,2,FALSE),"")</f>
        <v/>
      </c>
      <c r="J343" s="55" t="n"/>
      <c r="K343" s="44" t="n"/>
      <c r="L343" s="51">
        <f>IF(OR(J343="",K343=""),"",J343*K343)</f>
        <v/>
      </c>
      <c r="M343" s="51">
        <f>IF(L343="","",L343*Inicio!$B$13)</f>
        <v/>
      </c>
      <c r="N343" s="51">
        <f>IF(L343="","",L343+M343)</f>
        <v/>
      </c>
      <c r="O343" s="54" t="n"/>
      <c r="P343" s="43" t="n"/>
      <c r="Q343" s="44" t="n"/>
      <c r="R343" s="51">
        <f>IF(N343="","",MAX(N343-Q343,0))</f>
        <v/>
      </c>
      <c r="S343" s="48">
        <f>IF(A343="","",IF(OR(P343="Pagada",R343=0),"Pagada",IF(O343&lt;TODAY(),"Vencida",IF(O343&lt;=TODAY()+Inicio!$B$19,"Próxima a vencer","Vigente"))))</f>
        <v/>
      </c>
      <c r="T343" s="43" t="n"/>
      <c r="U343" s="68">
        <f>IF($B343="","",YEAR($B343))</f>
        <v/>
      </c>
      <c r="V343" s="68">
        <f>IF($B343="","",MONTH($B343))</f>
        <v/>
      </c>
      <c r="W343" s="68">
        <f>IF($B343="","",DAY($B343))</f>
        <v/>
      </c>
      <c r="X343" s="68">
        <f>IF($B343="","",YEAR($B343)&amp;"-"&amp;TEXT(MONTH($B343),"00"))</f>
        <v/>
      </c>
      <c r="Y343" s="68">
        <f>IF(OR($H343="",$J343=""),"",$J343*IFERROR(VLOOKUP($H343,Maestro_SKU!$A$2:$P$500,12,FALSE),1))</f>
        <v/>
      </c>
    </row>
    <row r="344">
      <c r="A344" s="43" t="n"/>
      <c r="B344" s="54" t="n"/>
      <c r="C344" s="43" t="n"/>
      <c r="D344" s="43" t="n"/>
      <c r="E344" s="48">
        <f>IFERROR(VLOOKUP(D344,Clientes_PDV!$A$2:$J$250,2,FALSE),"")</f>
        <v/>
      </c>
      <c r="F344" s="48">
        <f>IFERROR(VLOOKUP(D344,Clientes_PDV!$A$2:$J$250,3,FALSE),"")</f>
        <v/>
      </c>
      <c r="G344" s="48">
        <f>IFERROR(VLOOKUP(D344,Clientes_PDV!$A$2:$J$250,4,FALSE),"")</f>
        <v/>
      </c>
      <c r="H344" s="43" t="n"/>
      <c r="I344" s="48">
        <f>IFERROR(VLOOKUP(H344,Maestro_SKU!$A$2:$P$500,2,FALSE),"")</f>
        <v/>
      </c>
      <c r="J344" s="55" t="n"/>
      <c r="K344" s="44" t="n"/>
      <c r="L344" s="51">
        <f>IF(OR(J344="",K344=""),"",J344*K344)</f>
        <v/>
      </c>
      <c r="M344" s="51">
        <f>IF(L344="","",L344*Inicio!$B$13)</f>
        <v/>
      </c>
      <c r="N344" s="51">
        <f>IF(L344="","",L344+M344)</f>
        <v/>
      </c>
      <c r="O344" s="54" t="n"/>
      <c r="P344" s="43" t="n"/>
      <c r="Q344" s="44" t="n"/>
      <c r="R344" s="51">
        <f>IF(N344="","",MAX(N344-Q344,0))</f>
        <v/>
      </c>
      <c r="S344" s="48">
        <f>IF(A344="","",IF(OR(P344="Pagada",R344=0),"Pagada",IF(O344&lt;TODAY(),"Vencida",IF(O344&lt;=TODAY()+Inicio!$B$19,"Próxima a vencer","Vigente"))))</f>
        <v/>
      </c>
      <c r="T344" s="43" t="n"/>
      <c r="U344" s="68">
        <f>IF($B344="","",YEAR($B344))</f>
        <v/>
      </c>
      <c r="V344" s="68">
        <f>IF($B344="","",MONTH($B344))</f>
        <v/>
      </c>
      <c r="W344" s="68">
        <f>IF($B344="","",DAY($B344))</f>
        <v/>
      </c>
      <c r="X344" s="68">
        <f>IF($B344="","",YEAR($B344)&amp;"-"&amp;TEXT(MONTH($B344),"00"))</f>
        <v/>
      </c>
      <c r="Y344" s="68">
        <f>IF(OR($H344="",$J344=""),"",$J344*IFERROR(VLOOKUP($H344,Maestro_SKU!$A$2:$P$500,12,FALSE),1))</f>
        <v/>
      </c>
    </row>
    <row r="345">
      <c r="A345" s="43" t="n"/>
      <c r="B345" s="54" t="n"/>
      <c r="C345" s="43" t="n"/>
      <c r="D345" s="43" t="n"/>
      <c r="E345" s="48">
        <f>IFERROR(VLOOKUP(D345,Clientes_PDV!$A$2:$J$250,2,FALSE),"")</f>
        <v/>
      </c>
      <c r="F345" s="48">
        <f>IFERROR(VLOOKUP(D345,Clientes_PDV!$A$2:$J$250,3,FALSE),"")</f>
        <v/>
      </c>
      <c r="G345" s="48">
        <f>IFERROR(VLOOKUP(D345,Clientes_PDV!$A$2:$J$250,4,FALSE),"")</f>
        <v/>
      </c>
      <c r="H345" s="43" t="n"/>
      <c r="I345" s="48">
        <f>IFERROR(VLOOKUP(H345,Maestro_SKU!$A$2:$P$500,2,FALSE),"")</f>
        <v/>
      </c>
      <c r="J345" s="55" t="n"/>
      <c r="K345" s="44" t="n"/>
      <c r="L345" s="51">
        <f>IF(OR(J345="",K345=""),"",J345*K345)</f>
        <v/>
      </c>
      <c r="M345" s="51">
        <f>IF(L345="","",L345*Inicio!$B$13)</f>
        <v/>
      </c>
      <c r="N345" s="51">
        <f>IF(L345="","",L345+M345)</f>
        <v/>
      </c>
      <c r="O345" s="54" t="n"/>
      <c r="P345" s="43" t="n"/>
      <c r="Q345" s="44" t="n"/>
      <c r="R345" s="51">
        <f>IF(N345="","",MAX(N345-Q345,0))</f>
        <v/>
      </c>
      <c r="S345" s="48">
        <f>IF(A345="","",IF(OR(P345="Pagada",R345=0),"Pagada",IF(O345&lt;TODAY(),"Vencida",IF(O345&lt;=TODAY()+Inicio!$B$19,"Próxima a vencer","Vigente"))))</f>
        <v/>
      </c>
      <c r="T345" s="43" t="n"/>
      <c r="U345" s="68">
        <f>IF($B345="","",YEAR($B345))</f>
        <v/>
      </c>
      <c r="V345" s="68">
        <f>IF($B345="","",MONTH($B345))</f>
        <v/>
      </c>
      <c r="W345" s="68">
        <f>IF($B345="","",DAY($B345))</f>
        <v/>
      </c>
      <c r="X345" s="68">
        <f>IF($B345="","",YEAR($B345)&amp;"-"&amp;TEXT(MONTH($B345),"00"))</f>
        <v/>
      </c>
      <c r="Y345" s="68">
        <f>IF(OR($H345="",$J345=""),"",$J345*IFERROR(VLOOKUP($H345,Maestro_SKU!$A$2:$P$500,12,FALSE),1))</f>
        <v/>
      </c>
    </row>
    <row r="346">
      <c r="A346" s="43" t="n"/>
      <c r="B346" s="54" t="n"/>
      <c r="C346" s="43" t="n"/>
      <c r="D346" s="43" t="n"/>
      <c r="E346" s="48">
        <f>IFERROR(VLOOKUP(D346,Clientes_PDV!$A$2:$J$250,2,FALSE),"")</f>
        <v/>
      </c>
      <c r="F346" s="48">
        <f>IFERROR(VLOOKUP(D346,Clientes_PDV!$A$2:$J$250,3,FALSE),"")</f>
        <v/>
      </c>
      <c r="G346" s="48">
        <f>IFERROR(VLOOKUP(D346,Clientes_PDV!$A$2:$J$250,4,FALSE),"")</f>
        <v/>
      </c>
      <c r="H346" s="43" t="n"/>
      <c r="I346" s="48">
        <f>IFERROR(VLOOKUP(H346,Maestro_SKU!$A$2:$P$500,2,FALSE),"")</f>
        <v/>
      </c>
      <c r="J346" s="55" t="n"/>
      <c r="K346" s="44" t="n"/>
      <c r="L346" s="51">
        <f>IF(OR(J346="",K346=""),"",J346*K346)</f>
        <v/>
      </c>
      <c r="M346" s="51">
        <f>IF(L346="","",L346*Inicio!$B$13)</f>
        <v/>
      </c>
      <c r="N346" s="51">
        <f>IF(L346="","",L346+M346)</f>
        <v/>
      </c>
      <c r="O346" s="54" t="n"/>
      <c r="P346" s="43" t="n"/>
      <c r="Q346" s="44" t="n"/>
      <c r="R346" s="51">
        <f>IF(N346="","",MAX(N346-Q346,0))</f>
        <v/>
      </c>
      <c r="S346" s="48">
        <f>IF(A346="","",IF(OR(P346="Pagada",R346=0),"Pagada",IF(O346&lt;TODAY(),"Vencida",IF(O346&lt;=TODAY()+Inicio!$B$19,"Próxima a vencer","Vigente"))))</f>
        <v/>
      </c>
      <c r="T346" s="43" t="n"/>
      <c r="U346" s="68">
        <f>IF($B346="","",YEAR($B346))</f>
        <v/>
      </c>
      <c r="V346" s="68">
        <f>IF($B346="","",MONTH($B346))</f>
        <v/>
      </c>
      <c r="W346" s="68">
        <f>IF($B346="","",DAY($B346))</f>
        <v/>
      </c>
      <c r="X346" s="68">
        <f>IF($B346="","",YEAR($B346)&amp;"-"&amp;TEXT(MONTH($B346),"00"))</f>
        <v/>
      </c>
      <c r="Y346" s="68">
        <f>IF(OR($H346="",$J346=""),"",$J346*IFERROR(VLOOKUP($H346,Maestro_SKU!$A$2:$P$500,12,FALSE),1))</f>
        <v/>
      </c>
    </row>
    <row r="347">
      <c r="A347" s="43" t="n"/>
      <c r="B347" s="54" t="n"/>
      <c r="C347" s="43" t="n"/>
      <c r="D347" s="43" t="n"/>
      <c r="E347" s="48">
        <f>IFERROR(VLOOKUP(D347,Clientes_PDV!$A$2:$J$250,2,FALSE),"")</f>
        <v/>
      </c>
      <c r="F347" s="48">
        <f>IFERROR(VLOOKUP(D347,Clientes_PDV!$A$2:$J$250,3,FALSE),"")</f>
        <v/>
      </c>
      <c r="G347" s="48">
        <f>IFERROR(VLOOKUP(D347,Clientes_PDV!$A$2:$J$250,4,FALSE),"")</f>
        <v/>
      </c>
      <c r="H347" s="43" t="n"/>
      <c r="I347" s="48">
        <f>IFERROR(VLOOKUP(H347,Maestro_SKU!$A$2:$P$500,2,FALSE),"")</f>
        <v/>
      </c>
      <c r="J347" s="55" t="n"/>
      <c r="K347" s="44" t="n"/>
      <c r="L347" s="51">
        <f>IF(OR(J347="",K347=""),"",J347*K347)</f>
        <v/>
      </c>
      <c r="M347" s="51">
        <f>IF(L347="","",L347*Inicio!$B$13)</f>
        <v/>
      </c>
      <c r="N347" s="51">
        <f>IF(L347="","",L347+M347)</f>
        <v/>
      </c>
      <c r="O347" s="54" t="n"/>
      <c r="P347" s="43" t="n"/>
      <c r="Q347" s="44" t="n"/>
      <c r="R347" s="51">
        <f>IF(N347="","",MAX(N347-Q347,0))</f>
        <v/>
      </c>
      <c r="S347" s="48">
        <f>IF(A347="","",IF(OR(P347="Pagada",R347=0),"Pagada",IF(O347&lt;TODAY(),"Vencida",IF(O347&lt;=TODAY()+Inicio!$B$19,"Próxima a vencer","Vigente"))))</f>
        <v/>
      </c>
      <c r="T347" s="43" t="n"/>
      <c r="U347" s="68">
        <f>IF($B347="","",YEAR($B347))</f>
        <v/>
      </c>
      <c r="V347" s="68">
        <f>IF($B347="","",MONTH($B347))</f>
        <v/>
      </c>
      <c r="W347" s="68">
        <f>IF($B347="","",DAY($B347))</f>
        <v/>
      </c>
      <c r="X347" s="68">
        <f>IF($B347="","",YEAR($B347)&amp;"-"&amp;TEXT(MONTH($B347),"00"))</f>
        <v/>
      </c>
      <c r="Y347" s="68">
        <f>IF(OR($H347="",$J347=""),"",$J347*IFERROR(VLOOKUP($H347,Maestro_SKU!$A$2:$P$500,12,FALSE),1))</f>
        <v/>
      </c>
    </row>
    <row r="348">
      <c r="A348" s="43" t="n"/>
      <c r="B348" s="54" t="n"/>
      <c r="C348" s="43" t="n"/>
      <c r="D348" s="43" t="n"/>
      <c r="E348" s="48">
        <f>IFERROR(VLOOKUP(D348,Clientes_PDV!$A$2:$J$250,2,FALSE),"")</f>
        <v/>
      </c>
      <c r="F348" s="48">
        <f>IFERROR(VLOOKUP(D348,Clientes_PDV!$A$2:$J$250,3,FALSE),"")</f>
        <v/>
      </c>
      <c r="G348" s="48">
        <f>IFERROR(VLOOKUP(D348,Clientes_PDV!$A$2:$J$250,4,FALSE),"")</f>
        <v/>
      </c>
      <c r="H348" s="43" t="n"/>
      <c r="I348" s="48">
        <f>IFERROR(VLOOKUP(H348,Maestro_SKU!$A$2:$P$500,2,FALSE),"")</f>
        <v/>
      </c>
      <c r="J348" s="55" t="n"/>
      <c r="K348" s="44" t="n"/>
      <c r="L348" s="51">
        <f>IF(OR(J348="",K348=""),"",J348*K348)</f>
        <v/>
      </c>
      <c r="M348" s="51">
        <f>IF(L348="","",L348*Inicio!$B$13)</f>
        <v/>
      </c>
      <c r="N348" s="51">
        <f>IF(L348="","",L348+M348)</f>
        <v/>
      </c>
      <c r="O348" s="54" t="n"/>
      <c r="P348" s="43" t="n"/>
      <c r="Q348" s="44" t="n"/>
      <c r="R348" s="51">
        <f>IF(N348="","",MAX(N348-Q348,0))</f>
        <v/>
      </c>
      <c r="S348" s="48">
        <f>IF(A348="","",IF(OR(P348="Pagada",R348=0),"Pagada",IF(O348&lt;TODAY(),"Vencida",IF(O348&lt;=TODAY()+Inicio!$B$19,"Próxima a vencer","Vigente"))))</f>
        <v/>
      </c>
      <c r="T348" s="43" t="n"/>
      <c r="U348" s="68">
        <f>IF($B348="","",YEAR($B348))</f>
        <v/>
      </c>
      <c r="V348" s="68">
        <f>IF($B348="","",MONTH($B348))</f>
        <v/>
      </c>
      <c r="W348" s="68">
        <f>IF($B348="","",DAY($B348))</f>
        <v/>
      </c>
      <c r="X348" s="68">
        <f>IF($B348="","",YEAR($B348)&amp;"-"&amp;TEXT(MONTH($B348),"00"))</f>
        <v/>
      </c>
      <c r="Y348" s="68">
        <f>IF(OR($H348="",$J348=""),"",$J348*IFERROR(VLOOKUP($H348,Maestro_SKU!$A$2:$P$500,12,FALSE),1))</f>
        <v/>
      </c>
    </row>
    <row r="349">
      <c r="A349" s="43" t="n"/>
      <c r="B349" s="54" t="n"/>
      <c r="C349" s="43" t="n"/>
      <c r="D349" s="43" t="n"/>
      <c r="E349" s="48">
        <f>IFERROR(VLOOKUP(D349,Clientes_PDV!$A$2:$J$250,2,FALSE),"")</f>
        <v/>
      </c>
      <c r="F349" s="48">
        <f>IFERROR(VLOOKUP(D349,Clientes_PDV!$A$2:$J$250,3,FALSE),"")</f>
        <v/>
      </c>
      <c r="G349" s="48">
        <f>IFERROR(VLOOKUP(D349,Clientes_PDV!$A$2:$J$250,4,FALSE),"")</f>
        <v/>
      </c>
      <c r="H349" s="43" t="n"/>
      <c r="I349" s="48">
        <f>IFERROR(VLOOKUP(H349,Maestro_SKU!$A$2:$P$500,2,FALSE),"")</f>
        <v/>
      </c>
      <c r="J349" s="55" t="n"/>
      <c r="K349" s="44" t="n"/>
      <c r="L349" s="51">
        <f>IF(OR(J349="",K349=""),"",J349*K349)</f>
        <v/>
      </c>
      <c r="M349" s="51">
        <f>IF(L349="","",L349*Inicio!$B$13)</f>
        <v/>
      </c>
      <c r="N349" s="51">
        <f>IF(L349="","",L349+M349)</f>
        <v/>
      </c>
      <c r="O349" s="54" t="n"/>
      <c r="P349" s="43" t="n"/>
      <c r="Q349" s="44" t="n"/>
      <c r="R349" s="51">
        <f>IF(N349="","",MAX(N349-Q349,0))</f>
        <v/>
      </c>
      <c r="S349" s="48">
        <f>IF(A349="","",IF(OR(P349="Pagada",R349=0),"Pagada",IF(O349&lt;TODAY(),"Vencida",IF(O349&lt;=TODAY()+Inicio!$B$19,"Próxima a vencer","Vigente"))))</f>
        <v/>
      </c>
      <c r="T349" s="43" t="n"/>
      <c r="U349" s="68">
        <f>IF($B349="","",YEAR($B349))</f>
        <v/>
      </c>
      <c r="V349" s="68">
        <f>IF($B349="","",MONTH($B349))</f>
        <v/>
      </c>
      <c r="W349" s="68">
        <f>IF($B349="","",DAY($B349))</f>
        <v/>
      </c>
      <c r="X349" s="68">
        <f>IF($B349="","",YEAR($B349)&amp;"-"&amp;TEXT(MONTH($B349),"00"))</f>
        <v/>
      </c>
      <c r="Y349" s="68">
        <f>IF(OR($H349="",$J349=""),"",$J349*IFERROR(VLOOKUP($H349,Maestro_SKU!$A$2:$P$500,12,FALSE),1))</f>
        <v/>
      </c>
    </row>
    <row r="350">
      <c r="A350" s="43" t="n"/>
      <c r="B350" s="54" t="n"/>
      <c r="C350" s="43" t="n"/>
      <c r="D350" s="43" t="n"/>
      <c r="E350" s="48">
        <f>IFERROR(VLOOKUP(D350,Clientes_PDV!$A$2:$J$250,2,FALSE),"")</f>
        <v/>
      </c>
      <c r="F350" s="48">
        <f>IFERROR(VLOOKUP(D350,Clientes_PDV!$A$2:$J$250,3,FALSE),"")</f>
        <v/>
      </c>
      <c r="G350" s="48">
        <f>IFERROR(VLOOKUP(D350,Clientes_PDV!$A$2:$J$250,4,FALSE),"")</f>
        <v/>
      </c>
      <c r="H350" s="43" t="n"/>
      <c r="I350" s="48">
        <f>IFERROR(VLOOKUP(H350,Maestro_SKU!$A$2:$P$500,2,FALSE),"")</f>
        <v/>
      </c>
      <c r="J350" s="55" t="n"/>
      <c r="K350" s="44" t="n"/>
      <c r="L350" s="51">
        <f>IF(OR(J350="",K350=""),"",J350*K350)</f>
        <v/>
      </c>
      <c r="M350" s="51">
        <f>IF(L350="","",L350*Inicio!$B$13)</f>
        <v/>
      </c>
      <c r="N350" s="51">
        <f>IF(L350="","",L350+M350)</f>
        <v/>
      </c>
      <c r="O350" s="54" t="n"/>
      <c r="P350" s="43" t="n"/>
      <c r="Q350" s="44" t="n"/>
      <c r="R350" s="51">
        <f>IF(N350="","",MAX(N350-Q350,0))</f>
        <v/>
      </c>
      <c r="S350" s="48">
        <f>IF(A350="","",IF(OR(P350="Pagada",R350=0),"Pagada",IF(O350&lt;TODAY(),"Vencida",IF(O350&lt;=TODAY()+Inicio!$B$19,"Próxima a vencer","Vigente"))))</f>
        <v/>
      </c>
      <c r="T350" s="43" t="n"/>
      <c r="U350" s="68">
        <f>IF($B350="","",YEAR($B350))</f>
        <v/>
      </c>
      <c r="V350" s="68">
        <f>IF($B350="","",MONTH($B350))</f>
        <v/>
      </c>
      <c r="W350" s="68">
        <f>IF($B350="","",DAY($B350))</f>
        <v/>
      </c>
      <c r="X350" s="68">
        <f>IF($B350="","",YEAR($B350)&amp;"-"&amp;TEXT(MONTH($B350),"00"))</f>
        <v/>
      </c>
      <c r="Y350" s="68">
        <f>IF(OR($H350="",$J350=""),"",$J350*IFERROR(VLOOKUP($H350,Maestro_SKU!$A$2:$P$500,12,FALSE),1))</f>
        <v/>
      </c>
    </row>
    <row r="351">
      <c r="A351" s="43" t="n"/>
      <c r="B351" s="54" t="n"/>
      <c r="C351" s="43" t="n"/>
      <c r="D351" s="43" t="n"/>
      <c r="E351" s="48">
        <f>IFERROR(VLOOKUP(D351,Clientes_PDV!$A$2:$J$250,2,FALSE),"")</f>
        <v/>
      </c>
      <c r="F351" s="48">
        <f>IFERROR(VLOOKUP(D351,Clientes_PDV!$A$2:$J$250,3,FALSE),"")</f>
        <v/>
      </c>
      <c r="G351" s="48">
        <f>IFERROR(VLOOKUP(D351,Clientes_PDV!$A$2:$J$250,4,FALSE),"")</f>
        <v/>
      </c>
      <c r="H351" s="43" t="n"/>
      <c r="I351" s="48">
        <f>IFERROR(VLOOKUP(H351,Maestro_SKU!$A$2:$P$500,2,FALSE),"")</f>
        <v/>
      </c>
      <c r="J351" s="55" t="n"/>
      <c r="K351" s="44" t="n"/>
      <c r="L351" s="51">
        <f>IF(OR(J351="",K351=""),"",J351*K351)</f>
        <v/>
      </c>
      <c r="M351" s="51">
        <f>IF(L351="","",L351*Inicio!$B$13)</f>
        <v/>
      </c>
      <c r="N351" s="51">
        <f>IF(L351="","",L351+M351)</f>
        <v/>
      </c>
      <c r="O351" s="54" t="n"/>
      <c r="P351" s="43" t="n"/>
      <c r="Q351" s="44" t="n"/>
      <c r="R351" s="51">
        <f>IF(N351="","",MAX(N351-Q351,0))</f>
        <v/>
      </c>
      <c r="S351" s="48">
        <f>IF(A351="","",IF(OR(P351="Pagada",R351=0),"Pagada",IF(O351&lt;TODAY(),"Vencida",IF(O351&lt;=TODAY()+Inicio!$B$19,"Próxima a vencer","Vigente"))))</f>
        <v/>
      </c>
      <c r="T351" s="43" t="n"/>
      <c r="U351" s="68">
        <f>IF($B351="","",YEAR($B351))</f>
        <v/>
      </c>
      <c r="V351" s="68">
        <f>IF($B351="","",MONTH($B351))</f>
        <v/>
      </c>
      <c r="W351" s="68">
        <f>IF($B351="","",DAY($B351))</f>
        <v/>
      </c>
      <c r="X351" s="68">
        <f>IF($B351="","",YEAR($B351)&amp;"-"&amp;TEXT(MONTH($B351),"00"))</f>
        <v/>
      </c>
      <c r="Y351" s="68">
        <f>IF(OR($H351="",$J351=""),"",$J351*IFERROR(VLOOKUP($H351,Maestro_SKU!$A$2:$P$500,12,FALSE),1))</f>
        <v/>
      </c>
    </row>
    <row r="352">
      <c r="A352" s="43" t="n"/>
      <c r="B352" s="54" t="n"/>
      <c r="C352" s="43" t="n"/>
      <c r="D352" s="43" t="n"/>
      <c r="E352" s="48">
        <f>IFERROR(VLOOKUP(D352,Clientes_PDV!$A$2:$J$250,2,FALSE),"")</f>
        <v/>
      </c>
      <c r="F352" s="48">
        <f>IFERROR(VLOOKUP(D352,Clientes_PDV!$A$2:$J$250,3,FALSE),"")</f>
        <v/>
      </c>
      <c r="G352" s="48">
        <f>IFERROR(VLOOKUP(D352,Clientes_PDV!$A$2:$J$250,4,FALSE),"")</f>
        <v/>
      </c>
      <c r="H352" s="43" t="n"/>
      <c r="I352" s="48">
        <f>IFERROR(VLOOKUP(H352,Maestro_SKU!$A$2:$P$500,2,FALSE),"")</f>
        <v/>
      </c>
      <c r="J352" s="55" t="n"/>
      <c r="K352" s="44" t="n"/>
      <c r="L352" s="51">
        <f>IF(OR(J352="",K352=""),"",J352*K352)</f>
        <v/>
      </c>
      <c r="M352" s="51">
        <f>IF(L352="","",L352*Inicio!$B$13)</f>
        <v/>
      </c>
      <c r="N352" s="51">
        <f>IF(L352="","",L352+M352)</f>
        <v/>
      </c>
      <c r="O352" s="54" t="n"/>
      <c r="P352" s="43" t="n"/>
      <c r="Q352" s="44" t="n"/>
      <c r="R352" s="51">
        <f>IF(N352="","",MAX(N352-Q352,0))</f>
        <v/>
      </c>
      <c r="S352" s="48">
        <f>IF(A352="","",IF(OR(P352="Pagada",R352=0),"Pagada",IF(O352&lt;TODAY(),"Vencida",IF(O352&lt;=TODAY()+Inicio!$B$19,"Próxima a vencer","Vigente"))))</f>
        <v/>
      </c>
      <c r="T352" s="43" t="n"/>
      <c r="U352" s="68">
        <f>IF($B352="","",YEAR($B352))</f>
        <v/>
      </c>
      <c r="V352" s="68">
        <f>IF($B352="","",MONTH($B352))</f>
        <v/>
      </c>
      <c r="W352" s="68">
        <f>IF($B352="","",DAY($B352))</f>
        <v/>
      </c>
      <c r="X352" s="68">
        <f>IF($B352="","",YEAR($B352)&amp;"-"&amp;TEXT(MONTH($B352),"00"))</f>
        <v/>
      </c>
      <c r="Y352" s="68">
        <f>IF(OR($H352="",$J352=""),"",$J352*IFERROR(VLOOKUP($H352,Maestro_SKU!$A$2:$P$500,12,FALSE),1))</f>
        <v/>
      </c>
    </row>
    <row r="353">
      <c r="A353" s="43" t="n"/>
      <c r="B353" s="54" t="n"/>
      <c r="C353" s="43" t="n"/>
      <c r="D353" s="43" t="n"/>
      <c r="E353" s="48">
        <f>IFERROR(VLOOKUP(D353,Clientes_PDV!$A$2:$J$250,2,FALSE),"")</f>
        <v/>
      </c>
      <c r="F353" s="48">
        <f>IFERROR(VLOOKUP(D353,Clientes_PDV!$A$2:$J$250,3,FALSE),"")</f>
        <v/>
      </c>
      <c r="G353" s="48">
        <f>IFERROR(VLOOKUP(D353,Clientes_PDV!$A$2:$J$250,4,FALSE),"")</f>
        <v/>
      </c>
      <c r="H353" s="43" t="n"/>
      <c r="I353" s="48">
        <f>IFERROR(VLOOKUP(H353,Maestro_SKU!$A$2:$P$500,2,FALSE),"")</f>
        <v/>
      </c>
      <c r="J353" s="55" t="n"/>
      <c r="K353" s="44" t="n"/>
      <c r="L353" s="51">
        <f>IF(OR(J353="",K353=""),"",J353*K353)</f>
        <v/>
      </c>
      <c r="M353" s="51">
        <f>IF(L353="","",L353*Inicio!$B$13)</f>
        <v/>
      </c>
      <c r="N353" s="51">
        <f>IF(L353="","",L353+M353)</f>
        <v/>
      </c>
      <c r="O353" s="54" t="n"/>
      <c r="P353" s="43" t="n"/>
      <c r="Q353" s="44" t="n"/>
      <c r="R353" s="51">
        <f>IF(N353="","",MAX(N353-Q353,0))</f>
        <v/>
      </c>
      <c r="S353" s="48">
        <f>IF(A353="","",IF(OR(P353="Pagada",R353=0),"Pagada",IF(O353&lt;TODAY(),"Vencida",IF(O353&lt;=TODAY()+Inicio!$B$19,"Próxima a vencer","Vigente"))))</f>
        <v/>
      </c>
      <c r="T353" s="43" t="n"/>
      <c r="U353" s="68">
        <f>IF($B353="","",YEAR($B353))</f>
        <v/>
      </c>
      <c r="V353" s="68">
        <f>IF($B353="","",MONTH($B353))</f>
        <v/>
      </c>
      <c r="W353" s="68">
        <f>IF($B353="","",DAY($B353))</f>
        <v/>
      </c>
      <c r="X353" s="68">
        <f>IF($B353="","",YEAR($B353)&amp;"-"&amp;TEXT(MONTH($B353),"00"))</f>
        <v/>
      </c>
      <c r="Y353" s="68">
        <f>IF(OR($H353="",$J353=""),"",$J353*IFERROR(VLOOKUP($H353,Maestro_SKU!$A$2:$P$500,12,FALSE),1))</f>
        <v/>
      </c>
    </row>
    <row r="354">
      <c r="A354" s="43" t="n"/>
      <c r="B354" s="54" t="n"/>
      <c r="C354" s="43" t="n"/>
      <c r="D354" s="43" t="n"/>
      <c r="E354" s="48">
        <f>IFERROR(VLOOKUP(D354,Clientes_PDV!$A$2:$J$250,2,FALSE),"")</f>
        <v/>
      </c>
      <c r="F354" s="48">
        <f>IFERROR(VLOOKUP(D354,Clientes_PDV!$A$2:$J$250,3,FALSE),"")</f>
        <v/>
      </c>
      <c r="G354" s="48">
        <f>IFERROR(VLOOKUP(D354,Clientes_PDV!$A$2:$J$250,4,FALSE),"")</f>
        <v/>
      </c>
      <c r="H354" s="43" t="n"/>
      <c r="I354" s="48">
        <f>IFERROR(VLOOKUP(H354,Maestro_SKU!$A$2:$P$500,2,FALSE),"")</f>
        <v/>
      </c>
      <c r="J354" s="55" t="n"/>
      <c r="K354" s="44" t="n"/>
      <c r="L354" s="51">
        <f>IF(OR(J354="",K354=""),"",J354*K354)</f>
        <v/>
      </c>
      <c r="M354" s="51">
        <f>IF(L354="","",L354*Inicio!$B$13)</f>
        <v/>
      </c>
      <c r="N354" s="51">
        <f>IF(L354="","",L354+M354)</f>
        <v/>
      </c>
      <c r="O354" s="54" t="n"/>
      <c r="P354" s="43" t="n"/>
      <c r="Q354" s="44" t="n"/>
      <c r="R354" s="51">
        <f>IF(N354="","",MAX(N354-Q354,0))</f>
        <v/>
      </c>
      <c r="S354" s="48">
        <f>IF(A354="","",IF(OR(P354="Pagada",R354=0),"Pagada",IF(O354&lt;TODAY(),"Vencida",IF(O354&lt;=TODAY()+Inicio!$B$19,"Próxima a vencer","Vigente"))))</f>
        <v/>
      </c>
      <c r="T354" s="43" t="n"/>
      <c r="U354" s="68">
        <f>IF($B354="","",YEAR($B354))</f>
        <v/>
      </c>
      <c r="V354" s="68">
        <f>IF($B354="","",MONTH($B354))</f>
        <v/>
      </c>
      <c r="W354" s="68">
        <f>IF($B354="","",DAY($B354))</f>
        <v/>
      </c>
      <c r="X354" s="68">
        <f>IF($B354="","",YEAR($B354)&amp;"-"&amp;TEXT(MONTH($B354),"00"))</f>
        <v/>
      </c>
      <c r="Y354" s="68">
        <f>IF(OR($H354="",$J354=""),"",$J354*IFERROR(VLOOKUP($H354,Maestro_SKU!$A$2:$P$500,12,FALSE),1))</f>
        <v/>
      </c>
    </row>
    <row r="355">
      <c r="A355" s="43" t="n"/>
      <c r="B355" s="54" t="n"/>
      <c r="C355" s="43" t="n"/>
      <c r="D355" s="43" t="n"/>
      <c r="E355" s="48">
        <f>IFERROR(VLOOKUP(D355,Clientes_PDV!$A$2:$J$250,2,FALSE),"")</f>
        <v/>
      </c>
      <c r="F355" s="48">
        <f>IFERROR(VLOOKUP(D355,Clientes_PDV!$A$2:$J$250,3,FALSE),"")</f>
        <v/>
      </c>
      <c r="G355" s="48">
        <f>IFERROR(VLOOKUP(D355,Clientes_PDV!$A$2:$J$250,4,FALSE),"")</f>
        <v/>
      </c>
      <c r="H355" s="43" t="n"/>
      <c r="I355" s="48">
        <f>IFERROR(VLOOKUP(H355,Maestro_SKU!$A$2:$P$500,2,FALSE),"")</f>
        <v/>
      </c>
      <c r="J355" s="55" t="n"/>
      <c r="K355" s="44" t="n"/>
      <c r="L355" s="51">
        <f>IF(OR(J355="",K355=""),"",J355*K355)</f>
        <v/>
      </c>
      <c r="M355" s="51">
        <f>IF(L355="","",L355*Inicio!$B$13)</f>
        <v/>
      </c>
      <c r="N355" s="51">
        <f>IF(L355="","",L355+M355)</f>
        <v/>
      </c>
      <c r="O355" s="54" t="n"/>
      <c r="P355" s="43" t="n"/>
      <c r="Q355" s="44" t="n"/>
      <c r="R355" s="51">
        <f>IF(N355="","",MAX(N355-Q355,0))</f>
        <v/>
      </c>
      <c r="S355" s="48">
        <f>IF(A355="","",IF(OR(P355="Pagada",R355=0),"Pagada",IF(O355&lt;TODAY(),"Vencida",IF(O355&lt;=TODAY()+Inicio!$B$19,"Próxima a vencer","Vigente"))))</f>
        <v/>
      </c>
      <c r="T355" s="43" t="n"/>
      <c r="U355" s="68">
        <f>IF($B355="","",YEAR($B355))</f>
        <v/>
      </c>
      <c r="V355" s="68">
        <f>IF($B355="","",MONTH($B355))</f>
        <v/>
      </c>
      <c r="W355" s="68">
        <f>IF($B355="","",DAY($B355))</f>
        <v/>
      </c>
      <c r="X355" s="68">
        <f>IF($B355="","",YEAR($B355)&amp;"-"&amp;TEXT(MONTH($B355),"00"))</f>
        <v/>
      </c>
      <c r="Y355" s="68">
        <f>IF(OR($H355="",$J355=""),"",$J355*IFERROR(VLOOKUP($H355,Maestro_SKU!$A$2:$P$500,12,FALSE),1))</f>
        <v/>
      </c>
    </row>
    <row r="356">
      <c r="A356" s="43" t="n"/>
      <c r="B356" s="54" t="n"/>
      <c r="C356" s="43" t="n"/>
      <c r="D356" s="43" t="n"/>
      <c r="E356" s="48">
        <f>IFERROR(VLOOKUP(D356,Clientes_PDV!$A$2:$J$250,2,FALSE),"")</f>
        <v/>
      </c>
      <c r="F356" s="48">
        <f>IFERROR(VLOOKUP(D356,Clientes_PDV!$A$2:$J$250,3,FALSE),"")</f>
        <v/>
      </c>
      <c r="G356" s="48">
        <f>IFERROR(VLOOKUP(D356,Clientes_PDV!$A$2:$J$250,4,FALSE),"")</f>
        <v/>
      </c>
      <c r="H356" s="43" t="n"/>
      <c r="I356" s="48">
        <f>IFERROR(VLOOKUP(H356,Maestro_SKU!$A$2:$P$500,2,FALSE),"")</f>
        <v/>
      </c>
      <c r="J356" s="55" t="n"/>
      <c r="K356" s="44" t="n"/>
      <c r="L356" s="51">
        <f>IF(OR(J356="",K356=""),"",J356*K356)</f>
        <v/>
      </c>
      <c r="M356" s="51">
        <f>IF(L356="","",L356*Inicio!$B$13)</f>
        <v/>
      </c>
      <c r="N356" s="51">
        <f>IF(L356="","",L356+M356)</f>
        <v/>
      </c>
      <c r="O356" s="54" t="n"/>
      <c r="P356" s="43" t="n"/>
      <c r="Q356" s="44" t="n"/>
      <c r="R356" s="51">
        <f>IF(N356="","",MAX(N356-Q356,0))</f>
        <v/>
      </c>
      <c r="S356" s="48">
        <f>IF(A356="","",IF(OR(P356="Pagada",R356=0),"Pagada",IF(O356&lt;TODAY(),"Vencida",IF(O356&lt;=TODAY()+Inicio!$B$19,"Próxima a vencer","Vigente"))))</f>
        <v/>
      </c>
      <c r="T356" s="43" t="n"/>
      <c r="U356" s="68">
        <f>IF($B356="","",YEAR($B356))</f>
        <v/>
      </c>
      <c r="V356" s="68">
        <f>IF($B356="","",MONTH($B356))</f>
        <v/>
      </c>
      <c r="W356" s="68">
        <f>IF($B356="","",DAY($B356))</f>
        <v/>
      </c>
      <c r="X356" s="68">
        <f>IF($B356="","",YEAR($B356)&amp;"-"&amp;TEXT(MONTH($B356),"00"))</f>
        <v/>
      </c>
      <c r="Y356" s="68">
        <f>IF(OR($H356="",$J356=""),"",$J356*IFERROR(VLOOKUP($H356,Maestro_SKU!$A$2:$P$500,12,FALSE),1))</f>
        <v/>
      </c>
    </row>
    <row r="357">
      <c r="A357" s="43" t="n"/>
      <c r="B357" s="54" t="n"/>
      <c r="C357" s="43" t="n"/>
      <c r="D357" s="43" t="n"/>
      <c r="E357" s="48">
        <f>IFERROR(VLOOKUP(D357,Clientes_PDV!$A$2:$J$250,2,FALSE),"")</f>
        <v/>
      </c>
      <c r="F357" s="48">
        <f>IFERROR(VLOOKUP(D357,Clientes_PDV!$A$2:$J$250,3,FALSE),"")</f>
        <v/>
      </c>
      <c r="G357" s="48">
        <f>IFERROR(VLOOKUP(D357,Clientes_PDV!$A$2:$J$250,4,FALSE),"")</f>
        <v/>
      </c>
      <c r="H357" s="43" t="n"/>
      <c r="I357" s="48">
        <f>IFERROR(VLOOKUP(H357,Maestro_SKU!$A$2:$P$500,2,FALSE),"")</f>
        <v/>
      </c>
      <c r="J357" s="55" t="n"/>
      <c r="K357" s="44" t="n"/>
      <c r="L357" s="51">
        <f>IF(OR(J357="",K357=""),"",J357*K357)</f>
        <v/>
      </c>
      <c r="M357" s="51">
        <f>IF(L357="","",L357*Inicio!$B$13)</f>
        <v/>
      </c>
      <c r="N357" s="51">
        <f>IF(L357="","",L357+M357)</f>
        <v/>
      </c>
      <c r="O357" s="54" t="n"/>
      <c r="P357" s="43" t="n"/>
      <c r="Q357" s="44" t="n"/>
      <c r="R357" s="51">
        <f>IF(N357="","",MAX(N357-Q357,0))</f>
        <v/>
      </c>
      <c r="S357" s="48">
        <f>IF(A357="","",IF(OR(P357="Pagada",R357=0),"Pagada",IF(O357&lt;TODAY(),"Vencida",IF(O357&lt;=TODAY()+Inicio!$B$19,"Próxima a vencer","Vigente"))))</f>
        <v/>
      </c>
      <c r="T357" s="43" t="n"/>
      <c r="U357" s="68">
        <f>IF($B357="","",YEAR($B357))</f>
        <v/>
      </c>
      <c r="V357" s="68">
        <f>IF($B357="","",MONTH($B357))</f>
        <v/>
      </c>
      <c r="W357" s="68">
        <f>IF($B357="","",DAY($B357))</f>
        <v/>
      </c>
      <c r="X357" s="68">
        <f>IF($B357="","",YEAR($B357)&amp;"-"&amp;TEXT(MONTH($B357),"00"))</f>
        <v/>
      </c>
      <c r="Y357" s="68">
        <f>IF(OR($H357="",$J357=""),"",$J357*IFERROR(VLOOKUP($H357,Maestro_SKU!$A$2:$P$500,12,FALSE),1))</f>
        <v/>
      </c>
    </row>
    <row r="358">
      <c r="A358" s="43" t="n"/>
      <c r="B358" s="54" t="n"/>
      <c r="C358" s="43" t="n"/>
      <c r="D358" s="43" t="n"/>
      <c r="E358" s="48">
        <f>IFERROR(VLOOKUP(D358,Clientes_PDV!$A$2:$J$250,2,FALSE),"")</f>
        <v/>
      </c>
      <c r="F358" s="48">
        <f>IFERROR(VLOOKUP(D358,Clientes_PDV!$A$2:$J$250,3,FALSE),"")</f>
        <v/>
      </c>
      <c r="G358" s="48">
        <f>IFERROR(VLOOKUP(D358,Clientes_PDV!$A$2:$J$250,4,FALSE),"")</f>
        <v/>
      </c>
      <c r="H358" s="43" t="n"/>
      <c r="I358" s="48">
        <f>IFERROR(VLOOKUP(H358,Maestro_SKU!$A$2:$P$500,2,FALSE),"")</f>
        <v/>
      </c>
      <c r="J358" s="55" t="n"/>
      <c r="K358" s="44" t="n"/>
      <c r="L358" s="51">
        <f>IF(OR(J358="",K358=""),"",J358*K358)</f>
        <v/>
      </c>
      <c r="M358" s="51">
        <f>IF(L358="","",L358*Inicio!$B$13)</f>
        <v/>
      </c>
      <c r="N358" s="51">
        <f>IF(L358="","",L358+M358)</f>
        <v/>
      </c>
      <c r="O358" s="54" t="n"/>
      <c r="P358" s="43" t="n"/>
      <c r="Q358" s="44" t="n"/>
      <c r="R358" s="51">
        <f>IF(N358="","",MAX(N358-Q358,0))</f>
        <v/>
      </c>
      <c r="S358" s="48">
        <f>IF(A358="","",IF(OR(P358="Pagada",R358=0),"Pagada",IF(O358&lt;TODAY(),"Vencida",IF(O358&lt;=TODAY()+Inicio!$B$19,"Próxima a vencer","Vigente"))))</f>
        <v/>
      </c>
      <c r="T358" s="43" t="n"/>
      <c r="U358" s="68">
        <f>IF($B358="","",YEAR($B358))</f>
        <v/>
      </c>
      <c r="V358" s="68">
        <f>IF($B358="","",MONTH($B358))</f>
        <v/>
      </c>
      <c r="W358" s="68">
        <f>IF($B358="","",DAY($B358))</f>
        <v/>
      </c>
      <c r="X358" s="68">
        <f>IF($B358="","",YEAR($B358)&amp;"-"&amp;TEXT(MONTH($B358),"00"))</f>
        <v/>
      </c>
      <c r="Y358" s="68">
        <f>IF(OR($H358="",$J358=""),"",$J358*IFERROR(VLOOKUP($H358,Maestro_SKU!$A$2:$P$500,12,FALSE),1))</f>
        <v/>
      </c>
    </row>
    <row r="359">
      <c r="A359" s="43" t="n"/>
      <c r="B359" s="54" t="n"/>
      <c r="C359" s="43" t="n"/>
      <c r="D359" s="43" t="n"/>
      <c r="E359" s="48">
        <f>IFERROR(VLOOKUP(D359,Clientes_PDV!$A$2:$J$250,2,FALSE),"")</f>
        <v/>
      </c>
      <c r="F359" s="48">
        <f>IFERROR(VLOOKUP(D359,Clientes_PDV!$A$2:$J$250,3,FALSE),"")</f>
        <v/>
      </c>
      <c r="G359" s="48">
        <f>IFERROR(VLOOKUP(D359,Clientes_PDV!$A$2:$J$250,4,FALSE),"")</f>
        <v/>
      </c>
      <c r="H359" s="43" t="n"/>
      <c r="I359" s="48">
        <f>IFERROR(VLOOKUP(H359,Maestro_SKU!$A$2:$P$500,2,FALSE),"")</f>
        <v/>
      </c>
      <c r="J359" s="55" t="n"/>
      <c r="K359" s="44" t="n"/>
      <c r="L359" s="51">
        <f>IF(OR(J359="",K359=""),"",J359*K359)</f>
        <v/>
      </c>
      <c r="M359" s="51">
        <f>IF(L359="","",L359*Inicio!$B$13)</f>
        <v/>
      </c>
      <c r="N359" s="51">
        <f>IF(L359="","",L359+M359)</f>
        <v/>
      </c>
      <c r="O359" s="54" t="n"/>
      <c r="P359" s="43" t="n"/>
      <c r="Q359" s="44" t="n"/>
      <c r="R359" s="51">
        <f>IF(N359="","",MAX(N359-Q359,0))</f>
        <v/>
      </c>
      <c r="S359" s="48">
        <f>IF(A359="","",IF(OR(P359="Pagada",R359=0),"Pagada",IF(O359&lt;TODAY(),"Vencida",IF(O359&lt;=TODAY()+Inicio!$B$19,"Próxima a vencer","Vigente"))))</f>
        <v/>
      </c>
      <c r="T359" s="43" t="n"/>
      <c r="U359" s="68">
        <f>IF($B359="","",YEAR($B359))</f>
        <v/>
      </c>
      <c r="V359" s="68">
        <f>IF($B359="","",MONTH($B359))</f>
        <v/>
      </c>
      <c r="W359" s="68">
        <f>IF($B359="","",DAY($B359))</f>
        <v/>
      </c>
      <c r="X359" s="68">
        <f>IF($B359="","",YEAR($B359)&amp;"-"&amp;TEXT(MONTH($B359),"00"))</f>
        <v/>
      </c>
      <c r="Y359" s="68">
        <f>IF(OR($H359="",$J359=""),"",$J359*IFERROR(VLOOKUP($H359,Maestro_SKU!$A$2:$P$500,12,FALSE),1))</f>
        <v/>
      </c>
    </row>
    <row r="360">
      <c r="A360" s="43" t="n"/>
      <c r="B360" s="54" t="n"/>
      <c r="C360" s="43" t="n"/>
      <c r="D360" s="43" t="n"/>
      <c r="E360" s="48">
        <f>IFERROR(VLOOKUP(D360,Clientes_PDV!$A$2:$J$250,2,FALSE),"")</f>
        <v/>
      </c>
      <c r="F360" s="48">
        <f>IFERROR(VLOOKUP(D360,Clientes_PDV!$A$2:$J$250,3,FALSE),"")</f>
        <v/>
      </c>
      <c r="G360" s="48">
        <f>IFERROR(VLOOKUP(D360,Clientes_PDV!$A$2:$J$250,4,FALSE),"")</f>
        <v/>
      </c>
      <c r="H360" s="43" t="n"/>
      <c r="I360" s="48">
        <f>IFERROR(VLOOKUP(H360,Maestro_SKU!$A$2:$P$500,2,FALSE),"")</f>
        <v/>
      </c>
      <c r="J360" s="55" t="n"/>
      <c r="K360" s="44" t="n"/>
      <c r="L360" s="51">
        <f>IF(OR(J360="",K360=""),"",J360*K360)</f>
        <v/>
      </c>
      <c r="M360" s="51">
        <f>IF(L360="","",L360*Inicio!$B$13)</f>
        <v/>
      </c>
      <c r="N360" s="51">
        <f>IF(L360="","",L360+M360)</f>
        <v/>
      </c>
      <c r="O360" s="54" t="n"/>
      <c r="P360" s="43" t="n"/>
      <c r="Q360" s="44" t="n"/>
      <c r="R360" s="51">
        <f>IF(N360="","",MAX(N360-Q360,0))</f>
        <v/>
      </c>
      <c r="S360" s="48">
        <f>IF(A360="","",IF(OR(P360="Pagada",R360=0),"Pagada",IF(O360&lt;TODAY(),"Vencida",IF(O360&lt;=TODAY()+Inicio!$B$19,"Próxima a vencer","Vigente"))))</f>
        <v/>
      </c>
      <c r="T360" s="43" t="n"/>
      <c r="U360" s="68">
        <f>IF($B360="","",YEAR($B360))</f>
        <v/>
      </c>
      <c r="V360" s="68">
        <f>IF($B360="","",MONTH($B360))</f>
        <v/>
      </c>
      <c r="W360" s="68">
        <f>IF($B360="","",DAY($B360))</f>
        <v/>
      </c>
      <c r="X360" s="68">
        <f>IF($B360="","",YEAR($B360)&amp;"-"&amp;TEXT(MONTH($B360),"00"))</f>
        <v/>
      </c>
      <c r="Y360" s="68">
        <f>IF(OR($H360="",$J360=""),"",$J360*IFERROR(VLOOKUP($H360,Maestro_SKU!$A$2:$P$500,12,FALSE),1))</f>
        <v/>
      </c>
    </row>
    <row r="361">
      <c r="A361" s="43" t="n"/>
      <c r="B361" s="54" t="n"/>
      <c r="C361" s="43" t="n"/>
      <c r="D361" s="43" t="n"/>
      <c r="E361" s="48">
        <f>IFERROR(VLOOKUP(D361,Clientes_PDV!$A$2:$J$250,2,FALSE),"")</f>
        <v/>
      </c>
      <c r="F361" s="48">
        <f>IFERROR(VLOOKUP(D361,Clientes_PDV!$A$2:$J$250,3,FALSE),"")</f>
        <v/>
      </c>
      <c r="G361" s="48">
        <f>IFERROR(VLOOKUP(D361,Clientes_PDV!$A$2:$J$250,4,FALSE),"")</f>
        <v/>
      </c>
      <c r="H361" s="43" t="n"/>
      <c r="I361" s="48">
        <f>IFERROR(VLOOKUP(H361,Maestro_SKU!$A$2:$P$500,2,FALSE),"")</f>
        <v/>
      </c>
      <c r="J361" s="55" t="n"/>
      <c r="K361" s="44" t="n"/>
      <c r="L361" s="51">
        <f>IF(OR(J361="",K361=""),"",J361*K361)</f>
        <v/>
      </c>
      <c r="M361" s="51">
        <f>IF(L361="","",L361*Inicio!$B$13)</f>
        <v/>
      </c>
      <c r="N361" s="51">
        <f>IF(L361="","",L361+M361)</f>
        <v/>
      </c>
      <c r="O361" s="54" t="n"/>
      <c r="P361" s="43" t="n"/>
      <c r="Q361" s="44" t="n"/>
      <c r="R361" s="51">
        <f>IF(N361="","",MAX(N361-Q361,0))</f>
        <v/>
      </c>
      <c r="S361" s="48">
        <f>IF(A361="","",IF(OR(P361="Pagada",R361=0),"Pagada",IF(O361&lt;TODAY(),"Vencida",IF(O361&lt;=TODAY()+Inicio!$B$19,"Próxima a vencer","Vigente"))))</f>
        <v/>
      </c>
      <c r="T361" s="43" t="n"/>
      <c r="U361" s="68">
        <f>IF($B361="","",YEAR($B361))</f>
        <v/>
      </c>
      <c r="V361" s="68">
        <f>IF($B361="","",MONTH($B361))</f>
        <v/>
      </c>
      <c r="W361" s="68">
        <f>IF($B361="","",DAY($B361))</f>
        <v/>
      </c>
      <c r="X361" s="68">
        <f>IF($B361="","",YEAR($B361)&amp;"-"&amp;TEXT(MONTH($B361),"00"))</f>
        <v/>
      </c>
      <c r="Y361" s="68">
        <f>IF(OR($H361="",$J361=""),"",$J361*IFERROR(VLOOKUP($H361,Maestro_SKU!$A$2:$P$500,12,FALSE),1))</f>
        <v/>
      </c>
    </row>
    <row r="362">
      <c r="A362" s="43" t="n"/>
      <c r="B362" s="54" t="n"/>
      <c r="C362" s="43" t="n"/>
      <c r="D362" s="43" t="n"/>
      <c r="E362" s="48">
        <f>IFERROR(VLOOKUP(D362,Clientes_PDV!$A$2:$J$250,2,FALSE),"")</f>
        <v/>
      </c>
      <c r="F362" s="48">
        <f>IFERROR(VLOOKUP(D362,Clientes_PDV!$A$2:$J$250,3,FALSE),"")</f>
        <v/>
      </c>
      <c r="G362" s="48">
        <f>IFERROR(VLOOKUP(D362,Clientes_PDV!$A$2:$J$250,4,FALSE),"")</f>
        <v/>
      </c>
      <c r="H362" s="43" t="n"/>
      <c r="I362" s="48">
        <f>IFERROR(VLOOKUP(H362,Maestro_SKU!$A$2:$P$500,2,FALSE),"")</f>
        <v/>
      </c>
      <c r="J362" s="55" t="n"/>
      <c r="K362" s="44" t="n"/>
      <c r="L362" s="51">
        <f>IF(OR(J362="",K362=""),"",J362*K362)</f>
        <v/>
      </c>
      <c r="M362" s="51">
        <f>IF(L362="","",L362*Inicio!$B$13)</f>
        <v/>
      </c>
      <c r="N362" s="51">
        <f>IF(L362="","",L362+M362)</f>
        <v/>
      </c>
      <c r="O362" s="54" t="n"/>
      <c r="P362" s="43" t="n"/>
      <c r="Q362" s="44" t="n"/>
      <c r="R362" s="51">
        <f>IF(N362="","",MAX(N362-Q362,0))</f>
        <v/>
      </c>
      <c r="S362" s="48">
        <f>IF(A362="","",IF(OR(P362="Pagada",R362=0),"Pagada",IF(O362&lt;TODAY(),"Vencida",IF(O362&lt;=TODAY()+Inicio!$B$19,"Próxima a vencer","Vigente"))))</f>
        <v/>
      </c>
      <c r="T362" s="43" t="n"/>
      <c r="U362" s="68">
        <f>IF($B362="","",YEAR($B362))</f>
        <v/>
      </c>
      <c r="V362" s="68">
        <f>IF($B362="","",MONTH($B362))</f>
        <v/>
      </c>
      <c r="W362" s="68">
        <f>IF($B362="","",DAY($B362))</f>
        <v/>
      </c>
      <c r="X362" s="68">
        <f>IF($B362="","",YEAR($B362)&amp;"-"&amp;TEXT(MONTH($B362),"00"))</f>
        <v/>
      </c>
      <c r="Y362" s="68">
        <f>IF(OR($H362="",$J362=""),"",$J362*IFERROR(VLOOKUP($H362,Maestro_SKU!$A$2:$P$500,12,FALSE),1))</f>
        <v/>
      </c>
    </row>
    <row r="363">
      <c r="A363" s="43" t="n"/>
      <c r="B363" s="54" t="n"/>
      <c r="C363" s="43" t="n"/>
      <c r="D363" s="43" t="n"/>
      <c r="E363" s="48">
        <f>IFERROR(VLOOKUP(D363,Clientes_PDV!$A$2:$J$250,2,FALSE),"")</f>
        <v/>
      </c>
      <c r="F363" s="48">
        <f>IFERROR(VLOOKUP(D363,Clientes_PDV!$A$2:$J$250,3,FALSE),"")</f>
        <v/>
      </c>
      <c r="G363" s="48">
        <f>IFERROR(VLOOKUP(D363,Clientes_PDV!$A$2:$J$250,4,FALSE),"")</f>
        <v/>
      </c>
      <c r="H363" s="43" t="n"/>
      <c r="I363" s="48">
        <f>IFERROR(VLOOKUP(H363,Maestro_SKU!$A$2:$P$500,2,FALSE),"")</f>
        <v/>
      </c>
      <c r="J363" s="55" t="n"/>
      <c r="K363" s="44" t="n"/>
      <c r="L363" s="51">
        <f>IF(OR(J363="",K363=""),"",J363*K363)</f>
        <v/>
      </c>
      <c r="M363" s="51">
        <f>IF(L363="","",L363*Inicio!$B$13)</f>
        <v/>
      </c>
      <c r="N363" s="51">
        <f>IF(L363="","",L363+M363)</f>
        <v/>
      </c>
      <c r="O363" s="54" t="n"/>
      <c r="P363" s="43" t="n"/>
      <c r="Q363" s="44" t="n"/>
      <c r="R363" s="51">
        <f>IF(N363="","",MAX(N363-Q363,0))</f>
        <v/>
      </c>
      <c r="S363" s="48">
        <f>IF(A363="","",IF(OR(P363="Pagada",R363=0),"Pagada",IF(O363&lt;TODAY(),"Vencida",IF(O363&lt;=TODAY()+Inicio!$B$19,"Próxima a vencer","Vigente"))))</f>
        <v/>
      </c>
      <c r="T363" s="43" t="n"/>
      <c r="U363" s="68">
        <f>IF($B363="","",YEAR($B363))</f>
        <v/>
      </c>
      <c r="V363" s="68">
        <f>IF($B363="","",MONTH($B363))</f>
        <v/>
      </c>
      <c r="W363" s="68">
        <f>IF($B363="","",DAY($B363))</f>
        <v/>
      </c>
      <c r="X363" s="68">
        <f>IF($B363="","",YEAR($B363)&amp;"-"&amp;TEXT(MONTH($B363),"00"))</f>
        <v/>
      </c>
      <c r="Y363" s="68">
        <f>IF(OR($H363="",$J363=""),"",$J363*IFERROR(VLOOKUP($H363,Maestro_SKU!$A$2:$P$500,12,FALSE),1))</f>
        <v/>
      </c>
    </row>
    <row r="364">
      <c r="A364" s="43" t="n"/>
      <c r="B364" s="54" t="n"/>
      <c r="C364" s="43" t="n"/>
      <c r="D364" s="43" t="n"/>
      <c r="E364" s="48">
        <f>IFERROR(VLOOKUP(D364,Clientes_PDV!$A$2:$J$250,2,FALSE),"")</f>
        <v/>
      </c>
      <c r="F364" s="48">
        <f>IFERROR(VLOOKUP(D364,Clientes_PDV!$A$2:$J$250,3,FALSE),"")</f>
        <v/>
      </c>
      <c r="G364" s="48">
        <f>IFERROR(VLOOKUP(D364,Clientes_PDV!$A$2:$J$250,4,FALSE),"")</f>
        <v/>
      </c>
      <c r="H364" s="43" t="n"/>
      <c r="I364" s="48">
        <f>IFERROR(VLOOKUP(H364,Maestro_SKU!$A$2:$P$500,2,FALSE),"")</f>
        <v/>
      </c>
      <c r="J364" s="55" t="n"/>
      <c r="K364" s="44" t="n"/>
      <c r="L364" s="51">
        <f>IF(OR(J364="",K364=""),"",J364*K364)</f>
        <v/>
      </c>
      <c r="M364" s="51">
        <f>IF(L364="","",L364*Inicio!$B$13)</f>
        <v/>
      </c>
      <c r="N364" s="51">
        <f>IF(L364="","",L364+M364)</f>
        <v/>
      </c>
      <c r="O364" s="54" t="n"/>
      <c r="P364" s="43" t="n"/>
      <c r="Q364" s="44" t="n"/>
      <c r="R364" s="51">
        <f>IF(N364="","",MAX(N364-Q364,0))</f>
        <v/>
      </c>
      <c r="S364" s="48">
        <f>IF(A364="","",IF(OR(P364="Pagada",R364=0),"Pagada",IF(O364&lt;TODAY(),"Vencida",IF(O364&lt;=TODAY()+Inicio!$B$19,"Próxima a vencer","Vigente"))))</f>
        <v/>
      </c>
      <c r="T364" s="43" t="n"/>
      <c r="U364" s="68">
        <f>IF($B364="","",YEAR($B364))</f>
        <v/>
      </c>
      <c r="V364" s="68">
        <f>IF($B364="","",MONTH($B364))</f>
        <v/>
      </c>
      <c r="W364" s="68">
        <f>IF($B364="","",DAY($B364))</f>
        <v/>
      </c>
      <c r="X364" s="68">
        <f>IF($B364="","",YEAR($B364)&amp;"-"&amp;TEXT(MONTH($B364),"00"))</f>
        <v/>
      </c>
      <c r="Y364" s="68">
        <f>IF(OR($H364="",$J364=""),"",$J364*IFERROR(VLOOKUP($H364,Maestro_SKU!$A$2:$P$500,12,FALSE),1))</f>
        <v/>
      </c>
    </row>
    <row r="365">
      <c r="A365" s="43" t="n"/>
      <c r="B365" s="54" t="n"/>
      <c r="C365" s="43" t="n"/>
      <c r="D365" s="43" t="n"/>
      <c r="E365" s="48">
        <f>IFERROR(VLOOKUP(D365,Clientes_PDV!$A$2:$J$250,2,FALSE),"")</f>
        <v/>
      </c>
      <c r="F365" s="48">
        <f>IFERROR(VLOOKUP(D365,Clientes_PDV!$A$2:$J$250,3,FALSE),"")</f>
        <v/>
      </c>
      <c r="G365" s="48">
        <f>IFERROR(VLOOKUP(D365,Clientes_PDV!$A$2:$J$250,4,FALSE),"")</f>
        <v/>
      </c>
      <c r="H365" s="43" t="n"/>
      <c r="I365" s="48">
        <f>IFERROR(VLOOKUP(H365,Maestro_SKU!$A$2:$P$500,2,FALSE),"")</f>
        <v/>
      </c>
      <c r="J365" s="55" t="n"/>
      <c r="K365" s="44" t="n"/>
      <c r="L365" s="51">
        <f>IF(OR(J365="",K365=""),"",J365*K365)</f>
        <v/>
      </c>
      <c r="M365" s="51">
        <f>IF(L365="","",L365*Inicio!$B$13)</f>
        <v/>
      </c>
      <c r="N365" s="51">
        <f>IF(L365="","",L365+M365)</f>
        <v/>
      </c>
      <c r="O365" s="54" t="n"/>
      <c r="P365" s="43" t="n"/>
      <c r="Q365" s="44" t="n"/>
      <c r="R365" s="51">
        <f>IF(N365="","",MAX(N365-Q365,0))</f>
        <v/>
      </c>
      <c r="S365" s="48">
        <f>IF(A365="","",IF(OR(P365="Pagada",R365=0),"Pagada",IF(O365&lt;TODAY(),"Vencida",IF(O365&lt;=TODAY()+Inicio!$B$19,"Próxima a vencer","Vigente"))))</f>
        <v/>
      </c>
      <c r="T365" s="43" t="n"/>
      <c r="U365" s="68">
        <f>IF($B365="","",YEAR($B365))</f>
        <v/>
      </c>
      <c r="V365" s="68">
        <f>IF($B365="","",MONTH($B365))</f>
        <v/>
      </c>
      <c r="W365" s="68">
        <f>IF($B365="","",DAY($B365))</f>
        <v/>
      </c>
      <c r="X365" s="68">
        <f>IF($B365="","",YEAR($B365)&amp;"-"&amp;TEXT(MONTH($B365),"00"))</f>
        <v/>
      </c>
      <c r="Y365" s="68">
        <f>IF(OR($H365="",$J365=""),"",$J365*IFERROR(VLOOKUP($H365,Maestro_SKU!$A$2:$P$500,12,FALSE),1))</f>
        <v/>
      </c>
    </row>
    <row r="366">
      <c r="A366" s="43" t="n"/>
      <c r="B366" s="54" t="n"/>
      <c r="C366" s="43" t="n"/>
      <c r="D366" s="43" t="n"/>
      <c r="E366" s="48">
        <f>IFERROR(VLOOKUP(D366,Clientes_PDV!$A$2:$J$250,2,FALSE),"")</f>
        <v/>
      </c>
      <c r="F366" s="48">
        <f>IFERROR(VLOOKUP(D366,Clientes_PDV!$A$2:$J$250,3,FALSE),"")</f>
        <v/>
      </c>
      <c r="G366" s="48">
        <f>IFERROR(VLOOKUP(D366,Clientes_PDV!$A$2:$J$250,4,FALSE),"")</f>
        <v/>
      </c>
      <c r="H366" s="43" t="n"/>
      <c r="I366" s="48">
        <f>IFERROR(VLOOKUP(H366,Maestro_SKU!$A$2:$P$500,2,FALSE),"")</f>
        <v/>
      </c>
      <c r="J366" s="55" t="n"/>
      <c r="K366" s="44" t="n"/>
      <c r="L366" s="51">
        <f>IF(OR(J366="",K366=""),"",J366*K366)</f>
        <v/>
      </c>
      <c r="M366" s="51">
        <f>IF(L366="","",L366*Inicio!$B$13)</f>
        <v/>
      </c>
      <c r="N366" s="51">
        <f>IF(L366="","",L366+M366)</f>
        <v/>
      </c>
      <c r="O366" s="54" t="n"/>
      <c r="P366" s="43" t="n"/>
      <c r="Q366" s="44" t="n"/>
      <c r="R366" s="51">
        <f>IF(N366="","",MAX(N366-Q366,0))</f>
        <v/>
      </c>
      <c r="S366" s="48">
        <f>IF(A366="","",IF(OR(P366="Pagada",R366=0),"Pagada",IF(O366&lt;TODAY(),"Vencida",IF(O366&lt;=TODAY()+Inicio!$B$19,"Próxima a vencer","Vigente"))))</f>
        <v/>
      </c>
      <c r="T366" s="43" t="n"/>
      <c r="U366" s="68">
        <f>IF($B366="","",YEAR($B366))</f>
        <v/>
      </c>
      <c r="V366" s="68">
        <f>IF($B366="","",MONTH($B366))</f>
        <v/>
      </c>
      <c r="W366" s="68">
        <f>IF($B366="","",DAY($B366))</f>
        <v/>
      </c>
      <c r="X366" s="68">
        <f>IF($B366="","",YEAR($B366)&amp;"-"&amp;TEXT(MONTH($B366),"00"))</f>
        <v/>
      </c>
      <c r="Y366" s="68">
        <f>IF(OR($H366="",$J366=""),"",$J366*IFERROR(VLOOKUP($H366,Maestro_SKU!$A$2:$P$500,12,FALSE),1))</f>
        <v/>
      </c>
    </row>
    <row r="367">
      <c r="A367" s="43" t="n"/>
      <c r="B367" s="54" t="n"/>
      <c r="C367" s="43" t="n"/>
      <c r="D367" s="43" t="n"/>
      <c r="E367" s="48">
        <f>IFERROR(VLOOKUP(D367,Clientes_PDV!$A$2:$J$250,2,FALSE),"")</f>
        <v/>
      </c>
      <c r="F367" s="48">
        <f>IFERROR(VLOOKUP(D367,Clientes_PDV!$A$2:$J$250,3,FALSE),"")</f>
        <v/>
      </c>
      <c r="G367" s="48">
        <f>IFERROR(VLOOKUP(D367,Clientes_PDV!$A$2:$J$250,4,FALSE),"")</f>
        <v/>
      </c>
      <c r="H367" s="43" t="n"/>
      <c r="I367" s="48">
        <f>IFERROR(VLOOKUP(H367,Maestro_SKU!$A$2:$P$500,2,FALSE),"")</f>
        <v/>
      </c>
      <c r="J367" s="55" t="n"/>
      <c r="K367" s="44" t="n"/>
      <c r="L367" s="51">
        <f>IF(OR(J367="",K367=""),"",J367*K367)</f>
        <v/>
      </c>
      <c r="M367" s="51">
        <f>IF(L367="","",L367*Inicio!$B$13)</f>
        <v/>
      </c>
      <c r="N367" s="51">
        <f>IF(L367="","",L367+M367)</f>
        <v/>
      </c>
      <c r="O367" s="54" t="n"/>
      <c r="P367" s="43" t="n"/>
      <c r="Q367" s="44" t="n"/>
      <c r="R367" s="51">
        <f>IF(N367="","",MAX(N367-Q367,0))</f>
        <v/>
      </c>
      <c r="S367" s="48">
        <f>IF(A367="","",IF(OR(P367="Pagada",R367=0),"Pagada",IF(O367&lt;TODAY(),"Vencida",IF(O367&lt;=TODAY()+Inicio!$B$19,"Próxima a vencer","Vigente"))))</f>
        <v/>
      </c>
      <c r="T367" s="43" t="n"/>
      <c r="U367" s="68">
        <f>IF($B367="","",YEAR($B367))</f>
        <v/>
      </c>
      <c r="V367" s="68">
        <f>IF($B367="","",MONTH($B367))</f>
        <v/>
      </c>
      <c r="W367" s="68">
        <f>IF($B367="","",DAY($B367))</f>
        <v/>
      </c>
      <c r="X367" s="68">
        <f>IF($B367="","",YEAR($B367)&amp;"-"&amp;TEXT(MONTH($B367),"00"))</f>
        <v/>
      </c>
      <c r="Y367" s="68">
        <f>IF(OR($H367="",$J367=""),"",$J367*IFERROR(VLOOKUP($H367,Maestro_SKU!$A$2:$P$500,12,FALSE),1))</f>
        <v/>
      </c>
    </row>
    <row r="368">
      <c r="A368" s="43" t="n"/>
      <c r="B368" s="54" t="n"/>
      <c r="C368" s="43" t="n"/>
      <c r="D368" s="43" t="n"/>
      <c r="E368" s="48">
        <f>IFERROR(VLOOKUP(D368,Clientes_PDV!$A$2:$J$250,2,FALSE),"")</f>
        <v/>
      </c>
      <c r="F368" s="48">
        <f>IFERROR(VLOOKUP(D368,Clientes_PDV!$A$2:$J$250,3,FALSE),"")</f>
        <v/>
      </c>
      <c r="G368" s="48">
        <f>IFERROR(VLOOKUP(D368,Clientes_PDV!$A$2:$J$250,4,FALSE),"")</f>
        <v/>
      </c>
      <c r="H368" s="43" t="n"/>
      <c r="I368" s="48">
        <f>IFERROR(VLOOKUP(H368,Maestro_SKU!$A$2:$P$500,2,FALSE),"")</f>
        <v/>
      </c>
      <c r="J368" s="55" t="n"/>
      <c r="K368" s="44" t="n"/>
      <c r="L368" s="51">
        <f>IF(OR(J368="",K368=""),"",J368*K368)</f>
        <v/>
      </c>
      <c r="M368" s="51">
        <f>IF(L368="","",L368*Inicio!$B$13)</f>
        <v/>
      </c>
      <c r="N368" s="51">
        <f>IF(L368="","",L368+M368)</f>
        <v/>
      </c>
      <c r="O368" s="54" t="n"/>
      <c r="P368" s="43" t="n"/>
      <c r="Q368" s="44" t="n"/>
      <c r="R368" s="51">
        <f>IF(N368="","",MAX(N368-Q368,0))</f>
        <v/>
      </c>
      <c r="S368" s="48">
        <f>IF(A368="","",IF(OR(P368="Pagada",R368=0),"Pagada",IF(O368&lt;TODAY(),"Vencida",IF(O368&lt;=TODAY()+Inicio!$B$19,"Próxima a vencer","Vigente"))))</f>
        <v/>
      </c>
      <c r="T368" s="43" t="n"/>
      <c r="U368" s="68">
        <f>IF($B368="","",YEAR($B368))</f>
        <v/>
      </c>
      <c r="V368" s="68">
        <f>IF($B368="","",MONTH($B368))</f>
        <v/>
      </c>
      <c r="W368" s="68">
        <f>IF($B368="","",DAY($B368))</f>
        <v/>
      </c>
      <c r="X368" s="68">
        <f>IF($B368="","",YEAR($B368)&amp;"-"&amp;TEXT(MONTH($B368),"00"))</f>
        <v/>
      </c>
      <c r="Y368" s="68">
        <f>IF(OR($H368="",$J368=""),"",$J368*IFERROR(VLOOKUP($H368,Maestro_SKU!$A$2:$P$500,12,FALSE),1))</f>
        <v/>
      </c>
    </row>
    <row r="369">
      <c r="A369" s="43" t="n"/>
      <c r="B369" s="54" t="n"/>
      <c r="C369" s="43" t="n"/>
      <c r="D369" s="43" t="n"/>
      <c r="E369" s="48">
        <f>IFERROR(VLOOKUP(D369,Clientes_PDV!$A$2:$J$250,2,FALSE),"")</f>
        <v/>
      </c>
      <c r="F369" s="48">
        <f>IFERROR(VLOOKUP(D369,Clientes_PDV!$A$2:$J$250,3,FALSE),"")</f>
        <v/>
      </c>
      <c r="G369" s="48">
        <f>IFERROR(VLOOKUP(D369,Clientes_PDV!$A$2:$J$250,4,FALSE),"")</f>
        <v/>
      </c>
      <c r="H369" s="43" t="n"/>
      <c r="I369" s="48">
        <f>IFERROR(VLOOKUP(H369,Maestro_SKU!$A$2:$P$500,2,FALSE),"")</f>
        <v/>
      </c>
      <c r="J369" s="55" t="n"/>
      <c r="K369" s="44" t="n"/>
      <c r="L369" s="51">
        <f>IF(OR(J369="",K369=""),"",J369*K369)</f>
        <v/>
      </c>
      <c r="M369" s="51">
        <f>IF(L369="","",L369*Inicio!$B$13)</f>
        <v/>
      </c>
      <c r="N369" s="51">
        <f>IF(L369="","",L369+M369)</f>
        <v/>
      </c>
      <c r="O369" s="54" t="n"/>
      <c r="P369" s="43" t="n"/>
      <c r="Q369" s="44" t="n"/>
      <c r="R369" s="51">
        <f>IF(N369="","",MAX(N369-Q369,0))</f>
        <v/>
      </c>
      <c r="S369" s="48">
        <f>IF(A369="","",IF(OR(P369="Pagada",R369=0),"Pagada",IF(O369&lt;TODAY(),"Vencida",IF(O369&lt;=TODAY()+Inicio!$B$19,"Próxima a vencer","Vigente"))))</f>
        <v/>
      </c>
      <c r="T369" s="43" t="n"/>
      <c r="U369" s="68">
        <f>IF($B369="","",YEAR($B369))</f>
        <v/>
      </c>
      <c r="V369" s="68">
        <f>IF($B369="","",MONTH($B369))</f>
        <v/>
      </c>
      <c r="W369" s="68">
        <f>IF($B369="","",DAY($B369))</f>
        <v/>
      </c>
      <c r="X369" s="68">
        <f>IF($B369="","",YEAR($B369)&amp;"-"&amp;TEXT(MONTH($B369),"00"))</f>
        <v/>
      </c>
      <c r="Y369" s="68">
        <f>IF(OR($H369="",$J369=""),"",$J369*IFERROR(VLOOKUP($H369,Maestro_SKU!$A$2:$P$500,12,FALSE),1))</f>
        <v/>
      </c>
    </row>
    <row r="370">
      <c r="A370" s="43" t="n"/>
      <c r="B370" s="54" t="n"/>
      <c r="C370" s="43" t="n"/>
      <c r="D370" s="43" t="n"/>
      <c r="E370" s="48">
        <f>IFERROR(VLOOKUP(D370,Clientes_PDV!$A$2:$J$250,2,FALSE),"")</f>
        <v/>
      </c>
      <c r="F370" s="48">
        <f>IFERROR(VLOOKUP(D370,Clientes_PDV!$A$2:$J$250,3,FALSE),"")</f>
        <v/>
      </c>
      <c r="G370" s="48">
        <f>IFERROR(VLOOKUP(D370,Clientes_PDV!$A$2:$J$250,4,FALSE),"")</f>
        <v/>
      </c>
      <c r="H370" s="43" t="n"/>
      <c r="I370" s="48">
        <f>IFERROR(VLOOKUP(H370,Maestro_SKU!$A$2:$P$500,2,FALSE),"")</f>
        <v/>
      </c>
      <c r="J370" s="55" t="n"/>
      <c r="K370" s="44" t="n"/>
      <c r="L370" s="51">
        <f>IF(OR(J370="",K370=""),"",J370*K370)</f>
        <v/>
      </c>
      <c r="M370" s="51">
        <f>IF(L370="","",L370*Inicio!$B$13)</f>
        <v/>
      </c>
      <c r="N370" s="51">
        <f>IF(L370="","",L370+M370)</f>
        <v/>
      </c>
      <c r="O370" s="54" t="n"/>
      <c r="P370" s="43" t="n"/>
      <c r="Q370" s="44" t="n"/>
      <c r="R370" s="51">
        <f>IF(N370="","",MAX(N370-Q370,0))</f>
        <v/>
      </c>
      <c r="S370" s="48">
        <f>IF(A370="","",IF(OR(P370="Pagada",R370=0),"Pagada",IF(O370&lt;TODAY(),"Vencida",IF(O370&lt;=TODAY()+Inicio!$B$19,"Próxima a vencer","Vigente"))))</f>
        <v/>
      </c>
      <c r="T370" s="43" t="n"/>
      <c r="U370" s="68">
        <f>IF($B370="","",YEAR($B370))</f>
        <v/>
      </c>
      <c r="V370" s="68">
        <f>IF($B370="","",MONTH($B370))</f>
        <v/>
      </c>
      <c r="W370" s="68">
        <f>IF($B370="","",DAY($B370))</f>
        <v/>
      </c>
      <c r="X370" s="68">
        <f>IF($B370="","",YEAR($B370)&amp;"-"&amp;TEXT(MONTH($B370),"00"))</f>
        <v/>
      </c>
      <c r="Y370" s="68">
        <f>IF(OR($H370="",$J370=""),"",$J370*IFERROR(VLOOKUP($H370,Maestro_SKU!$A$2:$P$500,12,FALSE),1))</f>
        <v/>
      </c>
    </row>
    <row r="371">
      <c r="A371" s="43" t="n"/>
      <c r="B371" s="54" t="n"/>
      <c r="C371" s="43" t="n"/>
      <c r="D371" s="43" t="n"/>
      <c r="E371" s="48">
        <f>IFERROR(VLOOKUP(D371,Clientes_PDV!$A$2:$J$250,2,FALSE),"")</f>
        <v/>
      </c>
      <c r="F371" s="48">
        <f>IFERROR(VLOOKUP(D371,Clientes_PDV!$A$2:$J$250,3,FALSE),"")</f>
        <v/>
      </c>
      <c r="G371" s="48">
        <f>IFERROR(VLOOKUP(D371,Clientes_PDV!$A$2:$J$250,4,FALSE),"")</f>
        <v/>
      </c>
      <c r="H371" s="43" t="n"/>
      <c r="I371" s="48">
        <f>IFERROR(VLOOKUP(H371,Maestro_SKU!$A$2:$P$500,2,FALSE),"")</f>
        <v/>
      </c>
      <c r="J371" s="55" t="n"/>
      <c r="K371" s="44" t="n"/>
      <c r="L371" s="51">
        <f>IF(OR(J371="",K371=""),"",J371*K371)</f>
        <v/>
      </c>
      <c r="M371" s="51">
        <f>IF(L371="","",L371*Inicio!$B$13)</f>
        <v/>
      </c>
      <c r="N371" s="51">
        <f>IF(L371="","",L371+M371)</f>
        <v/>
      </c>
      <c r="O371" s="54" t="n"/>
      <c r="P371" s="43" t="n"/>
      <c r="Q371" s="44" t="n"/>
      <c r="R371" s="51">
        <f>IF(N371="","",MAX(N371-Q371,0))</f>
        <v/>
      </c>
      <c r="S371" s="48">
        <f>IF(A371="","",IF(OR(P371="Pagada",R371=0),"Pagada",IF(O371&lt;TODAY(),"Vencida",IF(O371&lt;=TODAY()+Inicio!$B$19,"Próxima a vencer","Vigente"))))</f>
        <v/>
      </c>
      <c r="T371" s="43" t="n"/>
      <c r="U371" s="68">
        <f>IF($B371="","",YEAR($B371))</f>
        <v/>
      </c>
      <c r="V371" s="68">
        <f>IF($B371="","",MONTH($B371))</f>
        <v/>
      </c>
      <c r="W371" s="68">
        <f>IF($B371="","",DAY($B371))</f>
        <v/>
      </c>
      <c r="X371" s="68">
        <f>IF($B371="","",YEAR($B371)&amp;"-"&amp;TEXT(MONTH($B371),"00"))</f>
        <v/>
      </c>
      <c r="Y371" s="68">
        <f>IF(OR($H371="",$J371=""),"",$J371*IFERROR(VLOOKUP($H371,Maestro_SKU!$A$2:$P$500,12,FALSE),1))</f>
        <v/>
      </c>
    </row>
    <row r="372">
      <c r="A372" s="43" t="n"/>
      <c r="B372" s="54" t="n"/>
      <c r="C372" s="43" t="n"/>
      <c r="D372" s="43" t="n"/>
      <c r="E372" s="48">
        <f>IFERROR(VLOOKUP(D372,Clientes_PDV!$A$2:$J$250,2,FALSE),"")</f>
        <v/>
      </c>
      <c r="F372" s="48">
        <f>IFERROR(VLOOKUP(D372,Clientes_PDV!$A$2:$J$250,3,FALSE),"")</f>
        <v/>
      </c>
      <c r="G372" s="48">
        <f>IFERROR(VLOOKUP(D372,Clientes_PDV!$A$2:$J$250,4,FALSE),"")</f>
        <v/>
      </c>
      <c r="H372" s="43" t="n"/>
      <c r="I372" s="48">
        <f>IFERROR(VLOOKUP(H372,Maestro_SKU!$A$2:$P$500,2,FALSE),"")</f>
        <v/>
      </c>
      <c r="J372" s="55" t="n"/>
      <c r="K372" s="44" t="n"/>
      <c r="L372" s="51">
        <f>IF(OR(J372="",K372=""),"",J372*K372)</f>
        <v/>
      </c>
      <c r="M372" s="51">
        <f>IF(L372="","",L372*Inicio!$B$13)</f>
        <v/>
      </c>
      <c r="N372" s="51">
        <f>IF(L372="","",L372+M372)</f>
        <v/>
      </c>
      <c r="O372" s="54" t="n"/>
      <c r="P372" s="43" t="n"/>
      <c r="Q372" s="44" t="n"/>
      <c r="R372" s="51">
        <f>IF(N372="","",MAX(N372-Q372,0))</f>
        <v/>
      </c>
      <c r="S372" s="48">
        <f>IF(A372="","",IF(OR(P372="Pagada",R372=0),"Pagada",IF(O372&lt;TODAY(),"Vencida",IF(O372&lt;=TODAY()+Inicio!$B$19,"Próxima a vencer","Vigente"))))</f>
        <v/>
      </c>
      <c r="T372" s="43" t="n"/>
      <c r="U372" s="68">
        <f>IF($B372="","",YEAR($B372))</f>
        <v/>
      </c>
      <c r="V372" s="68">
        <f>IF($B372="","",MONTH($B372))</f>
        <v/>
      </c>
      <c r="W372" s="68">
        <f>IF($B372="","",DAY($B372))</f>
        <v/>
      </c>
      <c r="X372" s="68">
        <f>IF($B372="","",YEAR($B372)&amp;"-"&amp;TEXT(MONTH($B372),"00"))</f>
        <v/>
      </c>
      <c r="Y372" s="68">
        <f>IF(OR($H372="",$J372=""),"",$J372*IFERROR(VLOOKUP($H372,Maestro_SKU!$A$2:$P$500,12,FALSE),1))</f>
        <v/>
      </c>
    </row>
    <row r="373">
      <c r="A373" s="43" t="n"/>
      <c r="B373" s="54" t="n"/>
      <c r="C373" s="43" t="n"/>
      <c r="D373" s="43" t="n"/>
      <c r="E373" s="48">
        <f>IFERROR(VLOOKUP(D373,Clientes_PDV!$A$2:$J$250,2,FALSE),"")</f>
        <v/>
      </c>
      <c r="F373" s="48">
        <f>IFERROR(VLOOKUP(D373,Clientes_PDV!$A$2:$J$250,3,FALSE),"")</f>
        <v/>
      </c>
      <c r="G373" s="48">
        <f>IFERROR(VLOOKUP(D373,Clientes_PDV!$A$2:$J$250,4,FALSE),"")</f>
        <v/>
      </c>
      <c r="H373" s="43" t="n"/>
      <c r="I373" s="48">
        <f>IFERROR(VLOOKUP(H373,Maestro_SKU!$A$2:$P$500,2,FALSE),"")</f>
        <v/>
      </c>
      <c r="J373" s="55" t="n"/>
      <c r="K373" s="44" t="n"/>
      <c r="L373" s="51">
        <f>IF(OR(J373="",K373=""),"",J373*K373)</f>
        <v/>
      </c>
      <c r="M373" s="51">
        <f>IF(L373="","",L373*Inicio!$B$13)</f>
        <v/>
      </c>
      <c r="N373" s="51">
        <f>IF(L373="","",L373+M373)</f>
        <v/>
      </c>
      <c r="O373" s="54" t="n"/>
      <c r="P373" s="43" t="n"/>
      <c r="Q373" s="44" t="n"/>
      <c r="R373" s="51">
        <f>IF(N373="","",MAX(N373-Q373,0))</f>
        <v/>
      </c>
      <c r="S373" s="48">
        <f>IF(A373="","",IF(OR(P373="Pagada",R373=0),"Pagada",IF(O373&lt;TODAY(),"Vencida",IF(O373&lt;=TODAY()+Inicio!$B$19,"Próxima a vencer","Vigente"))))</f>
        <v/>
      </c>
      <c r="T373" s="43" t="n"/>
      <c r="U373" s="68">
        <f>IF($B373="","",YEAR($B373))</f>
        <v/>
      </c>
      <c r="V373" s="68">
        <f>IF($B373="","",MONTH($B373))</f>
        <v/>
      </c>
      <c r="W373" s="68">
        <f>IF($B373="","",DAY($B373))</f>
        <v/>
      </c>
      <c r="X373" s="68">
        <f>IF($B373="","",YEAR($B373)&amp;"-"&amp;TEXT(MONTH($B373),"00"))</f>
        <v/>
      </c>
      <c r="Y373" s="68">
        <f>IF(OR($H373="",$J373=""),"",$J373*IFERROR(VLOOKUP($H373,Maestro_SKU!$A$2:$P$500,12,FALSE),1))</f>
        <v/>
      </c>
    </row>
    <row r="374">
      <c r="A374" s="43" t="n"/>
      <c r="B374" s="54" t="n"/>
      <c r="C374" s="43" t="n"/>
      <c r="D374" s="43" t="n"/>
      <c r="E374" s="48">
        <f>IFERROR(VLOOKUP(D374,Clientes_PDV!$A$2:$J$250,2,FALSE),"")</f>
        <v/>
      </c>
      <c r="F374" s="48">
        <f>IFERROR(VLOOKUP(D374,Clientes_PDV!$A$2:$J$250,3,FALSE),"")</f>
        <v/>
      </c>
      <c r="G374" s="48">
        <f>IFERROR(VLOOKUP(D374,Clientes_PDV!$A$2:$J$250,4,FALSE),"")</f>
        <v/>
      </c>
      <c r="H374" s="43" t="n"/>
      <c r="I374" s="48">
        <f>IFERROR(VLOOKUP(H374,Maestro_SKU!$A$2:$P$500,2,FALSE),"")</f>
        <v/>
      </c>
      <c r="J374" s="55" t="n"/>
      <c r="K374" s="44" t="n"/>
      <c r="L374" s="51">
        <f>IF(OR(J374="",K374=""),"",J374*K374)</f>
        <v/>
      </c>
      <c r="M374" s="51">
        <f>IF(L374="","",L374*Inicio!$B$13)</f>
        <v/>
      </c>
      <c r="N374" s="51">
        <f>IF(L374="","",L374+M374)</f>
        <v/>
      </c>
      <c r="O374" s="54" t="n"/>
      <c r="P374" s="43" t="n"/>
      <c r="Q374" s="44" t="n"/>
      <c r="R374" s="51">
        <f>IF(N374="","",MAX(N374-Q374,0))</f>
        <v/>
      </c>
      <c r="S374" s="48">
        <f>IF(A374="","",IF(OR(P374="Pagada",R374=0),"Pagada",IF(O374&lt;TODAY(),"Vencida",IF(O374&lt;=TODAY()+Inicio!$B$19,"Próxima a vencer","Vigente"))))</f>
        <v/>
      </c>
      <c r="T374" s="43" t="n"/>
      <c r="U374" s="68">
        <f>IF($B374="","",YEAR($B374))</f>
        <v/>
      </c>
      <c r="V374" s="68">
        <f>IF($B374="","",MONTH($B374))</f>
        <v/>
      </c>
      <c r="W374" s="68">
        <f>IF($B374="","",DAY($B374))</f>
        <v/>
      </c>
      <c r="X374" s="68">
        <f>IF($B374="","",YEAR($B374)&amp;"-"&amp;TEXT(MONTH($B374),"00"))</f>
        <v/>
      </c>
      <c r="Y374" s="68">
        <f>IF(OR($H374="",$J374=""),"",$J374*IFERROR(VLOOKUP($H374,Maestro_SKU!$A$2:$P$500,12,FALSE),1))</f>
        <v/>
      </c>
    </row>
    <row r="375">
      <c r="A375" s="43" t="n"/>
      <c r="B375" s="54" t="n"/>
      <c r="C375" s="43" t="n"/>
      <c r="D375" s="43" t="n"/>
      <c r="E375" s="48">
        <f>IFERROR(VLOOKUP(D375,Clientes_PDV!$A$2:$J$250,2,FALSE),"")</f>
        <v/>
      </c>
      <c r="F375" s="48">
        <f>IFERROR(VLOOKUP(D375,Clientes_PDV!$A$2:$J$250,3,FALSE),"")</f>
        <v/>
      </c>
      <c r="G375" s="48">
        <f>IFERROR(VLOOKUP(D375,Clientes_PDV!$A$2:$J$250,4,FALSE),"")</f>
        <v/>
      </c>
      <c r="H375" s="43" t="n"/>
      <c r="I375" s="48">
        <f>IFERROR(VLOOKUP(H375,Maestro_SKU!$A$2:$P$500,2,FALSE),"")</f>
        <v/>
      </c>
      <c r="J375" s="55" t="n"/>
      <c r="K375" s="44" t="n"/>
      <c r="L375" s="51">
        <f>IF(OR(J375="",K375=""),"",J375*K375)</f>
        <v/>
      </c>
      <c r="M375" s="51">
        <f>IF(L375="","",L375*Inicio!$B$13)</f>
        <v/>
      </c>
      <c r="N375" s="51">
        <f>IF(L375="","",L375+M375)</f>
        <v/>
      </c>
      <c r="O375" s="54" t="n"/>
      <c r="P375" s="43" t="n"/>
      <c r="Q375" s="44" t="n"/>
      <c r="R375" s="51">
        <f>IF(N375="","",MAX(N375-Q375,0))</f>
        <v/>
      </c>
      <c r="S375" s="48">
        <f>IF(A375="","",IF(OR(P375="Pagada",R375=0),"Pagada",IF(O375&lt;TODAY(),"Vencida",IF(O375&lt;=TODAY()+Inicio!$B$19,"Próxima a vencer","Vigente"))))</f>
        <v/>
      </c>
      <c r="T375" s="43" t="n"/>
      <c r="U375" s="68">
        <f>IF($B375="","",YEAR($B375))</f>
        <v/>
      </c>
      <c r="V375" s="68">
        <f>IF($B375="","",MONTH($B375))</f>
        <v/>
      </c>
      <c r="W375" s="68">
        <f>IF($B375="","",DAY($B375))</f>
        <v/>
      </c>
      <c r="X375" s="68">
        <f>IF($B375="","",YEAR($B375)&amp;"-"&amp;TEXT(MONTH($B375),"00"))</f>
        <v/>
      </c>
      <c r="Y375" s="68">
        <f>IF(OR($H375="",$J375=""),"",$J375*IFERROR(VLOOKUP($H375,Maestro_SKU!$A$2:$P$500,12,FALSE),1))</f>
        <v/>
      </c>
    </row>
    <row r="376">
      <c r="A376" s="43" t="n"/>
      <c r="B376" s="54" t="n"/>
      <c r="C376" s="43" t="n"/>
      <c r="D376" s="43" t="n"/>
      <c r="E376" s="48">
        <f>IFERROR(VLOOKUP(D376,Clientes_PDV!$A$2:$J$250,2,FALSE),"")</f>
        <v/>
      </c>
      <c r="F376" s="48">
        <f>IFERROR(VLOOKUP(D376,Clientes_PDV!$A$2:$J$250,3,FALSE),"")</f>
        <v/>
      </c>
      <c r="G376" s="48">
        <f>IFERROR(VLOOKUP(D376,Clientes_PDV!$A$2:$J$250,4,FALSE),"")</f>
        <v/>
      </c>
      <c r="H376" s="43" t="n"/>
      <c r="I376" s="48">
        <f>IFERROR(VLOOKUP(H376,Maestro_SKU!$A$2:$P$500,2,FALSE),"")</f>
        <v/>
      </c>
      <c r="J376" s="55" t="n"/>
      <c r="K376" s="44" t="n"/>
      <c r="L376" s="51">
        <f>IF(OR(J376="",K376=""),"",J376*K376)</f>
        <v/>
      </c>
      <c r="M376" s="51">
        <f>IF(L376="","",L376*Inicio!$B$13)</f>
        <v/>
      </c>
      <c r="N376" s="51">
        <f>IF(L376="","",L376+M376)</f>
        <v/>
      </c>
      <c r="O376" s="54" t="n"/>
      <c r="P376" s="43" t="n"/>
      <c r="Q376" s="44" t="n"/>
      <c r="R376" s="51">
        <f>IF(N376="","",MAX(N376-Q376,0))</f>
        <v/>
      </c>
      <c r="S376" s="48">
        <f>IF(A376="","",IF(OR(P376="Pagada",R376=0),"Pagada",IF(O376&lt;TODAY(),"Vencida",IF(O376&lt;=TODAY()+Inicio!$B$19,"Próxima a vencer","Vigente"))))</f>
        <v/>
      </c>
      <c r="T376" s="43" t="n"/>
      <c r="U376" s="68">
        <f>IF($B376="","",YEAR($B376))</f>
        <v/>
      </c>
      <c r="V376" s="68">
        <f>IF($B376="","",MONTH($B376))</f>
        <v/>
      </c>
      <c r="W376" s="68">
        <f>IF($B376="","",DAY($B376))</f>
        <v/>
      </c>
      <c r="X376" s="68">
        <f>IF($B376="","",YEAR($B376)&amp;"-"&amp;TEXT(MONTH($B376),"00"))</f>
        <v/>
      </c>
      <c r="Y376" s="68">
        <f>IF(OR($H376="",$J376=""),"",$J376*IFERROR(VLOOKUP($H376,Maestro_SKU!$A$2:$P$500,12,FALSE),1))</f>
        <v/>
      </c>
    </row>
    <row r="377">
      <c r="A377" s="43" t="n"/>
      <c r="B377" s="54" t="n"/>
      <c r="C377" s="43" t="n"/>
      <c r="D377" s="43" t="n"/>
      <c r="E377" s="48">
        <f>IFERROR(VLOOKUP(D377,Clientes_PDV!$A$2:$J$250,2,FALSE),"")</f>
        <v/>
      </c>
      <c r="F377" s="48">
        <f>IFERROR(VLOOKUP(D377,Clientes_PDV!$A$2:$J$250,3,FALSE),"")</f>
        <v/>
      </c>
      <c r="G377" s="48">
        <f>IFERROR(VLOOKUP(D377,Clientes_PDV!$A$2:$J$250,4,FALSE),"")</f>
        <v/>
      </c>
      <c r="H377" s="43" t="n"/>
      <c r="I377" s="48">
        <f>IFERROR(VLOOKUP(H377,Maestro_SKU!$A$2:$P$500,2,FALSE),"")</f>
        <v/>
      </c>
      <c r="J377" s="55" t="n"/>
      <c r="K377" s="44" t="n"/>
      <c r="L377" s="51">
        <f>IF(OR(J377="",K377=""),"",J377*K377)</f>
        <v/>
      </c>
      <c r="M377" s="51">
        <f>IF(L377="","",L377*Inicio!$B$13)</f>
        <v/>
      </c>
      <c r="N377" s="51">
        <f>IF(L377="","",L377+M377)</f>
        <v/>
      </c>
      <c r="O377" s="54" t="n"/>
      <c r="P377" s="43" t="n"/>
      <c r="Q377" s="44" t="n"/>
      <c r="R377" s="51">
        <f>IF(N377="","",MAX(N377-Q377,0))</f>
        <v/>
      </c>
      <c r="S377" s="48">
        <f>IF(A377="","",IF(OR(P377="Pagada",R377=0),"Pagada",IF(O377&lt;TODAY(),"Vencida",IF(O377&lt;=TODAY()+Inicio!$B$19,"Próxima a vencer","Vigente"))))</f>
        <v/>
      </c>
      <c r="T377" s="43" t="n"/>
      <c r="U377" s="68">
        <f>IF($B377="","",YEAR($B377))</f>
        <v/>
      </c>
      <c r="V377" s="68">
        <f>IF($B377="","",MONTH($B377))</f>
        <v/>
      </c>
      <c r="W377" s="68">
        <f>IF($B377="","",DAY($B377))</f>
        <v/>
      </c>
      <c r="X377" s="68">
        <f>IF($B377="","",YEAR($B377)&amp;"-"&amp;TEXT(MONTH($B377),"00"))</f>
        <v/>
      </c>
      <c r="Y377" s="68">
        <f>IF(OR($H377="",$J377=""),"",$J377*IFERROR(VLOOKUP($H377,Maestro_SKU!$A$2:$P$500,12,FALSE),1))</f>
        <v/>
      </c>
    </row>
    <row r="378">
      <c r="A378" s="43" t="n"/>
      <c r="B378" s="54" t="n"/>
      <c r="C378" s="43" t="n"/>
      <c r="D378" s="43" t="n"/>
      <c r="E378" s="48">
        <f>IFERROR(VLOOKUP(D378,Clientes_PDV!$A$2:$J$250,2,FALSE),"")</f>
        <v/>
      </c>
      <c r="F378" s="48">
        <f>IFERROR(VLOOKUP(D378,Clientes_PDV!$A$2:$J$250,3,FALSE),"")</f>
        <v/>
      </c>
      <c r="G378" s="48">
        <f>IFERROR(VLOOKUP(D378,Clientes_PDV!$A$2:$J$250,4,FALSE),"")</f>
        <v/>
      </c>
      <c r="H378" s="43" t="n"/>
      <c r="I378" s="48">
        <f>IFERROR(VLOOKUP(H378,Maestro_SKU!$A$2:$P$500,2,FALSE),"")</f>
        <v/>
      </c>
      <c r="J378" s="55" t="n"/>
      <c r="K378" s="44" t="n"/>
      <c r="L378" s="51">
        <f>IF(OR(J378="",K378=""),"",J378*K378)</f>
        <v/>
      </c>
      <c r="M378" s="51">
        <f>IF(L378="","",L378*Inicio!$B$13)</f>
        <v/>
      </c>
      <c r="N378" s="51">
        <f>IF(L378="","",L378+M378)</f>
        <v/>
      </c>
      <c r="O378" s="54" t="n"/>
      <c r="P378" s="43" t="n"/>
      <c r="Q378" s="44" t="n"/>
      <c r="R378" s="51">
        <f>IF(N378="","",MAX(N378-Q378,0))</f>
        <v/>
      </c>
      <c r="S378" s="48">
        <f>IF(A378="","",IF(OR(P378="Pagada",R378=0),"Pagada",IF(O378&lt;TODAY(),"Vencida",IF(O378&lt;=TODAY()+Inicio!$B$19,"Próxima a vencer","Vigente"))))</f>
        <v/>
      </c>
      <c r="T378" s="43" t="n"/>
      <c r="U378" s="68">
        <f>IF($B378="","",YEAR($B378))</f>
        <v/>
      </c>
      <c r="V378" s="68">
        <f>IF($B378="","",MONTH($B378))</f>
        <v/>
      </c>
      <c r="W378" s="68">
        <f>IF($B378="","",DAY($B378))</f>
        <v/>
      </c>
      <c r="X378" s="68">
        <f>IF($B378="","",YEAR($B378)&amp;"-"&amp;TEXT(MONTH($B378),"00"))</f>
        <v/>
      </c>
      <c r="Y378" s="68">
        <f>IF(OR($H378="",$J378=""),"",$J378*IFERROR(VLOOKUP($H378,Maestro_SKU!$A$2:$P$500,12,FALSE),1))</f>
        <v/>
      </c>
    </row>
    <row r="379">
      <c r="A379" s="43" t="n"/>
      <c r="B379" s="54" t="n"/>
      <c r="C379" s="43" t="n"/>
      <c r="D379" s="43" t="n"/>
      <c r="E379" s="48">
        <f>IFERROR(VLOOKUP(D379,Clientes_PDV!$A$2:$J$250,2,FALSE),"")</f>
        <v/>
      </c>
      <c r="F379" s="48">
        <f>IFERROR(VLOOKUP(D379,Clientes_PDV!$A$2:$J$250,3,FALSE),"")</f>
        <v/>
      </c>
      <c r="G379" s="48">
        <f>IFERROR(VLOOKUP(D379,Clientes_PDV!$A$2:$J$250,4,FALSE),"")</f>
        <v/>
      </c>
      <c r="H379" s="43" t="n"/>
      <c r="I379" s="48">
        <f>IFERROR(VLOOKUP(H379,Maestro_SKU!$A$2:$P$500,2,FALSE),"")</f>
        <v/>
      </c>
      <c r="J379" s="55" t="n"/>
      <c r="K379" s="44" t="n"/>
      <c r="L379" s="51">
        <f>IF(OR(J379="",K379=""),"",J379*K379)</f>
        <v/>
      </c>
      <c r="M379" s="51">
        <f>IF(L379="","",L379*Inicio!$B$13)</f>
        <v/>
      </c>
      <c r="N379" s="51">
        <f>IF(L379="","",L379+M379)</f>
        <v/>
      </c>
      <c r="O379" s="54" t="n"/>
      <c r="P379" s="43" t="n"/>
      <c r="Q379" s="44" t="n"/>
      <c r="R379" s="51">
        <f>IF(N379="","",MAX(N379-Q379,0))</f>
        <v/>
      </c>
      <c r="S379" s="48">
        <f>IF(A379="","",IF(OR(P379="Pagada",R379=0),"Pagada",IF(O379&lt;TODAY(),"Vencida",IF(O379&lt;=TODAY()+Inicio!$B$19,"Próxima a vencer","Vigente"))))</f>
        <v/>
      </c>
      <c r="T379" s="43" t="n"/>
      <c r="U379" s="68">
        <f>IF($B379="","",YEAR($B379))</f>
        <v/>
      </c>
      <c r="V379" s="68">
        <f>IF($B379="","",MONTH($B379))</f>
        <v/>
      </c>
      <c r="W379" s="68">
        <f>IF($B379="","",DAY($B379))</f>
        <v/>
      </c>
      <c r="X379" s="68">
        <f>IF($B379="","",YEAR($B379)&amp;"-"&amp;TEXT(MONTH($B379),"00"))</f>
        <v/>
      </c>
      <c r="Y379" s="68">
        <f>IF(OR($H379="",$J379=""),"",$J379*IFERROR(VLOOKUP($H379,Maestro_SKU!$A$2:$P$500,12,FALSE),1))</f>
        <v/>
      </c>
    </row>
    <row r="380">
      <c r="A380" s="43" t="n"/>
      <c r="B380" s="54" t="n"/>
      <c r="C380" s="43" t="n"/>
      <c r="D380" s="43" t="n"/>
      <c r="E380" s="48">
        <f>IFERROR(VLOOKUP(D380,Clientes_PDV!$A$2:$J$250,2,FALSE),"")</f>
        <v/>
      </c>
      <c r="F380" s="48">
        <f>IFERROR(VLOOKUP(D380,Clientes_PDV!$A$2:$J$250,3,FALSE),"")</f>
        <v/>
      </c>
      <c r="G380" s="48">
        <f>IFERROR(VLOOKUP(D380,Clientes_PDV!$A$2:$J$250,4,FALSE),"")</f>
        <v/>
      </c>
      <c r="H380" s="43" t="n"/>
      <c r="I380" s="48">
        <f>IFERROR(VLOOKUP(H380,Maestro_SKU!$A$2:$P$500,2,FALSE),"")</f>
        <v/>
      </c>
      <c r="J380" s="55" t="n"/>
      <c r="K380" s="44" t="n"/>
      <c r="L380" s="51">
        <f>IF(OR(J380="",K380=""),"",J380*K380)</f>
        <v/>
      </c>
      <c r="M380" s="51">
        <f>IF(L380="","",L380*Inicio!$B$13)</f>
        <v/>
      </c>
      <c r="N380" s="51">
        <f>IF(L380="","",L380+M380)</f>
        <v/>
      </c>
      <c r="O380" s="54" t="n"/>
      <c r="P380" s="43" t="n"/>
      <c r="Q380" s="44" t="n"/>
      <c r="R380" s="51">
        <f>IF(N380="","",MAX(N380-Q380,0))</f>
        <v/>
      </c>
      <c r="S380" s="48">
        <f>IF(A380="","",IF(OR(P380="Pagada",R380=0),"Pagada",IF(O380&lt;TODAY(),"Vencida",IF(O380&lt;=TODAY()+Inicio!$B$19,"Próxima a vencer","Vigente"))))</f>
        <v/>
      </c>
      <c r="T380" s="43" t="n"/>
      <c r="U380" s="68">
        <f>IF($B380="","",YEAR($B380))</f>
        <v/>
      </c>
      <c r="V380" s="68">
        <f>IF($B380="","",MONTH($B380))</f>
        <v/>
      </c>
      <c r="W380" s="68">
        <f>IF($B380="","",DAY($B380))</f>
        <v/>
      </c>
      <c r="X380" s="68">
        <f>IF($B380="","",YEAR($B380)&amp;"-"&amp;TEXT(MONTH($B380),"00"))</f>
        <v/>
      </c>
      <c r="Y380" s="68">
        <f>IF(OR($H380="",$J380=""),"",$J380*IFERROR(VLOOKUP($H380,Maestro_SKU!$A$2:$P$500,12,FALSE),1))</f>
        <v/>
      </c>
    </row>
    <row r="381">
      <c r="A381" s="43" t="n"/>
      <c r="B381" s="54" t="n"/>
      <c r="C381" s="43" t="n"/>
      <c r="D381" s="43" t="n"/>
      <c r="E381" s="48">
        <f>IFERROR(VLOOKUP(D381,Clientes_PDV!$A$2:$J$250,2,FALSE),"")</f>
        <v/>
      </c>
      <c r="F381" s="48">
        <f>IFERROR(VLOOKUP(D381,Clientes_PDV!$A$2:$J$250,3,FALSE),"")</f>
        <v/>
      </c>
      <c r="G381" s="48">
        <f>IFERROR(VLOOKUP(D381,Clientes_PDV!$A$2:$J$250,4,FALSE),"")</f>
        <v/>
      </c>
      <c r="H381" s="43" t="n"/>
      <c r="I381" s="48">
        <f>IFERROR(VLOOKUP(H381,Maestro_SKU!$A$2:$P$500,2,FALSE),"")</f>
        <v/>
      </c>
      <c r="J381" s="55" t="n"/>
      <c r="K381" s="44" t="n"/>
      <c r="L381" s="51">
        <f>IF(OR(J381="",K381=""),"",J381*K381)</f>
        <v/>
      </c>
      <c r="M381" s="51">
        <f>IF(L381="","",L381*Inicio!$B$13)</f>
        <v/>
      </c>
      <c r="N381" s="51">
        <f>IF(L381="","",L381+M381)</f>
        <v/>
      </c>
      <c r="O381" s="54" t="n"/>
      <c r="P381" s="43" t="n"/>
      <c r="Q381" s="44" t="n"/>
      <c r="R381" s="51">
        <f>IF(N381="","",MAX(N381-Q381,0))</f>
        <v/>
      </c>
      <c r="S381" s="48">
        <f>IF(A381="","",IF(OR(P381="Pagada",R381=0),"Pagada",IF(O381&lt;TODAY(),"Vencida",IF(O381&lt;=TODAY()+Inicio!$B$19,"Próxima a vencer","Vigente"))))</f>
        <v/>
      </c>
      <c r="T381" s="43" t="n"/>
      <c r="U381" s="68">
        <f>IF($B381="","",YEAR($B381))</f>
        <v/>
      </c>
      <c r="V381" s="68">
        <f>IF($B381="","",MONTH($B381))</f>
        <v/>
      </c>
      <c r="W381" s="68">
        <f>IF($B381="","",DAY($B381))</f>
        <v/>
      </c>
      <c r="X381" s="68">
        <f>IF($B381="","",YEAR($B381)&amp;"-"&amp;TEXT(MONTH($B381),"00"))</f>
        <v/>
      </c>
      <c r="Y381" s="68">
        <f>IF(OR($H381="",$J381=""),"",$J381*IFERROR(VLOOKUP($H381,Maestro_SKU!$A$2:$P$500,12,FALSE),1))</f>
        <v/>
      </c>
    </row>
    <row r="382">
      <c r="A382" s="43" t="n"/>
      <c r="B382" s="54" t="n"/>
      <c r="C382" s="43" t="n"/>
      <c r="D382" s="43" t="n"/>
      <c r="E382" s="48">
        <f>IFERROR(VLOOKUP(D382,Clientes_PDV!$A$2:$J$250,2,FALSE),"")</f>
        <v/>
      </c>
      <c r="F382" s="48">
        <f>IFERROR(VLOOKUP(D382,Clientes_PDV!$A$2:$J$250,3,FALSE),"")</f>
        <v/>
      </c>
      <c r="G382" s="48">
        <f>IFERROR(VLOOKUP(D382,Clientes_PDV!$A$2:$J$250,4,FALSE),"")</f>
        <v/>
      </c>
      <c r="H382" s="43" t="n"/>
      <c r="I382" s="48">
        <f>IFERROR(VLOOKUP(H382,Maestro_SKU!$A$2:$P$500,2,FALSE),"")</f>
        <v/>
      </c>
      <c r="J382" s="55" t="n"/>
      <c r="K382" s="44" t="n"/>
      <c r="L382" s="51">
        <f>IF(OR(J382="",K382=""),"",J382*K382)</f>
        <v/>
      </c>
      <c r="M382" s="51">
        <f>IF(L382="","",L382*Inicio!$B$13)</f>
        <v/>
      </c>
      <c r="N382" s="51">
        <f>IF(L382="","",L382+M382)</f>
        <v/>
      </c>
      <c r="O382" s="54" t="n"/>
      <c r="P382" s="43" t="n"/>
      <c r="Q382" s="44" t="n"/>
      <c r="R382" s="51">
        <f>IF(N382="","",MAX(N382-Q382,0))</f>
        <v/>
      </c>
      <c r="S382" s="48">
        <f>IF(A382="","",IF(OR(P382="Pagada",R382=0),"Pagada",IF(O382&lt;TODAY(),"Vencida",IF(O382&lt;=TODAY()+Inicio!$B$19,"Próxima a vencer","Vigente"))))</f>
        <v/>
      </c>
      <c r="T382" s="43" t="n"/>
      <c r="U382" s="68">
        <f>IF($B382="","",YEAR($B382))</f>
        <v/>
      </c>
      <c r="V382" s="68">
        <f>IF($B382="","",MONTH($B382))</f>
        <v/>
      </c>
      <c r="W382" s="68">
        <f>IF($B382="","",DAY($B382))</f>
        <v/>
      </c>
      <c r="X382" s="68">
        <f>IF($B382="","",YEAR($B382)&amp;"-"&amp;TEXT(MONTH($B382),"00"))</f>
        <v/>
      </c>
      <c r="Y382" s="68">
        <f>IF(OR($H382="",$J382=""),"",$J382*IFERROR(VLOOKUP($H382,Maestro_SKU!$A$2:$P$500,12,FALSE),1))</f>
        <v/>
      </c>
    </row>
    <row r="383">
      <c r="A383" s="43" t="n"/>
      <c r="B383" s="54" t="n"/>
      <c r="C383" s="43" t="n"/>
      <c r="D383" s="43" t="n"/>
      <c r="E383" s="48">
        <f>IFERROR(VLOOKUP(D383,Clientes_PDV!$A$2:$J$250,2,FALSE),"")</f>
        <v/>
      </c>
      <c r="F383" s="48">
        <f>IFERROR(VLOOKUP(D383,Clientes_PDV!$A$2:$J$250,3,FALSE),"")</f>
        <v/>
      </c>
      <c r="G383" s="48">
        <f>IFERROR(VLOOKUP(D383,Clientes_PDV!$A$2:$J$250,4,FALSE),"")</f>
        <v/>
      </c>
      <c r="H383" s="43" t="n"/>
      <c r="I383" s="48">
        <f>IFERROR(VLOOKUP(H383,Maestro_SKU!$A$2:$P$500,2,FALSE),"")</f>
        <v/>
      </c>
      <c r="J383" s="55" t="n"/>
      <c r="K383" s="44" t="n"/>
      <c r="L383" s="51">
        <f>IF(OR(J383="",K383=""),"",J383*K383)</f>
        <v/>
      </c>
      <c r="M383" s="51">
        <f>IF(L383="","",L383*Inicio!$B$13)</f>
        <v/>
      </c>
      <c r="N383" s="51">
        <f>IF(L383="","",L383+M383)</f>
        <v/>
      </c>
      <c r="O383" s="54" t="n"/>
      <c r="P383" s="43" t="n"/>
      <c r="Q383" s="44" t="n"/>
      <c r="R383" s="51">
        <f>IF(N383="","",MAX(N383-Q383,0))</f>
        <v/>
      </c>
      <c r="S383" s="48">
        <f>IF(A383="","",IF(OR(P383="Pagada",R383=0),"Pagada",IF(O383&lt;TODAY(),"Vencida",IF(O383&lt;=TODAY()+Inicio!$B$19,"Próxima a vencer","Vigente"))))</f>
        <v/>
      </c>
      <c r="T383" s="43" t="n"/>
      <c r="U383" s="68">
        <f>IF($B383="","",YEAR($B383))</f>
        <v/>
      </c>
      <c r="V383" s="68">
        <f>IF($B383="","",MONTH($B383))</f>
        <v/>
      </c>
      <c r="W383" s="68">
        <f>IF($B383="","",DAY($B383))</f>
        <v/>
      </c>
      <c r="X383" s="68">
        <f>IF($B383="","",YEAR($B383)&amp;"-"&amp;TEXT(MONTH($B383),"00"))</f>
        <v/>
      </c>
      <c r="Y383" s="68">
        <f>IF(OR($H383="",$J383=""),"",$J383*IFERROR(VLOOKUP($H383,Maestro_SKU!$A$2:$P$500,12,FALSE),1))</f>
        <v/>
      </c>
    </row>
    <row r="384">
      <c r="A384" s="43" t="n"/>
      <c r="B384" s="54" t="n"/>
      <c r="C384" s="43" t="n"/>
      <c r="D384" s="43" t="n"/>
      <c r="E384" s="48">
        <f>IFERROR(VLOOKUP(D384,Clientes_PDV!$A$2:$J$250,2,FALSE),"")</f>
        <v/>
      </c>
      <c r="F384" s="48">
        <f>IFERROR(VLOOKUP(D384,Clientes_PDV!$A$2:$J$250,3,FALSE),"")</f>
        <v/>
      </c>
      <c r="G384" s="48">
        <f>IFERROR(VLOOKUP(D384,Clientes_PDV!$A$2:$J$250,4,FALSE),"")</f>
        <v/>
      </c>
      <c r="H384" s="43" t="n"/>
      <c r="I384" s="48">
        <f>IFERROR(VLOOKUP(H384,Maestro_SKU!$A$2:$P$500,2,FALSE),"")</f>
        <v/>
      </c>
      <c r="J384" s="55" t="n"/>
      <c r="K384" s="44" t="n"/>
      <c r="L384" s="51">
        <f>IF(OR(J384="",K384=""),"",J384*K384)</f>
        <v/>
      </c>
      <c r="M384" s="51">
        <f>IF(L384="","",L384*Inicio!$B$13)</f>
        <v/>
      </c>
      <c r="N384" s="51">
        <f>IF(L384="","",L384+M384)</f>
        <v/>
      </c>
      <c r="O384" s="54" t="n"/>
      <c r="P384" s="43" t="n"/>
      <c r="Q384" s="44" t="n"/>
      <c r="R384" s="51">
        <f>IF(N384="","",MAX(N384-Q384,0))</f>
        <v/>
      </c>
      <c r="S384" s="48">
        <f>IF(A384="","",IF(OR(P384="Pagada",R384=0),"Pagada",IF(O384&lt;TODAY(),"Vencida",IF(O384&lt;=TODAY()+Inicio!$B$19,"Próxima a vencer","Vigente"))))</f>
        <v/>
      </c>
      <c r="T384" s="43" t="n"/>
      <c r="U384" s="68">
        <f>IF($B384="","",YEAR($B384))</f>
        <v/>
      </c>
      <c r="V384" s="68">
        <f>IF($B384="","",MONTH($B384))</f>
        <v/>
      </c>
      <c r="W384" s="68">
        <f>IF($B384="","",DAY($B384))</f>
        <v/>
      </c>
      <c r="X384" s="68">
        <f>IF($B384="","",YEAR($B384)&amp;"-"&amp;TEXT(MONTH($B384),"00"))</f>
        <v/>
      </c>
      <c r="Y384" s="68">
        <f>IF(OR($H384="",$J384=""),"",$J384*IFERROR(VLOOKUP($H384,Maestro_SKU!$A$2:$P$500,12,FALSE),1))</f>
        <v/>
      </c>
    </row>
    <row r="385">
      <c r="A385" s="43" t="n"/>
      <c r="B385" s="54" t="n"/>
      <c r="C385" s="43" t="n"/>
      <c r="D385" s="43" t="n"/>
      <c r="E385" s="48">
        <f>IFERROR(VLOOKUP(D385,Clientes_PDV!$A$2:$J$250,2,FALSE),"")</f>
        <v/>
      </c>
      <c r="F385" s="48">
        <f>IFERROR(VLOOKUP(D385,Clientes_PDV!$A$2:$J$250,3,FALSE),"")</f>
        <v/>
      </c>
      <c r="G385" s="48">
        <f>IFERROR(VLOOKUP(D385,Clientes_PDV!$A$2:$J$250,4,FALSE),"")</f>
        <v/>
      </c>
      <c r="H385" s="43" t="n"/>
      <c r="I385" s="48">
        <f>IFERROR(VLOOKUP(H385,Maestro_SKU!$A$2:$P$500,2,FALSE),"")</f>
        <v/>
      </c>
      <c r="J385" s="55" t="n"/>
      <c r="K385" s="44" t="n"/>
      <c r="L385" s="51">
        <f>IF(OR(J385="",K385=""),"",J385*K385)</f>
        <v/>
      </c>
      <c r="M385" s="51">
        <f>IF(L385="","",L385*Inicio!$B$13)</f>
        <v/>
      </c>
      <c r="N385" s="51">
        <f>IF(L385="","",L385+M385)</f>
        <v/>
      </c>
      <c r="O385" s="54" t="n"/>
      <c r="P385" s="43" t="n"/>
      <c r="Q385" s="44" t="n"/>
      <c r="R385" s="51">
        <f>IF(N385="","",MAX(N385-Q385,0))</f>
        <v/>
      </c>
      <c r="S385" s="48">
        <f>IF(A385="","",IF(OR(P385="Pagada",R385=0),"Pagada",IF(O385&lt;TODAY(),"Vencida",IF(O385&lt;=TODAY()+Inicio!$B$19,"Próxima a vencer","Vigente"))))</f>
        <v/>
      </c>
      <c r="T385" s="43" t="n"/>
      <c r="U385" s="68">
        <f>IF($B385="","",YEAR($B385))</f>
        <v/>
      </c>
      <c r="V385" s="68">
        <f>IF($B385="","",MONTH($B385))</f>
        <v/>
      </c>
      <c r="W385" s="68">
        <f>IF($B385="","",DAY($B385))</f>
        <v/>
      </c>
      <c r="X385" s="68">
        <f>IF($B385="","",YEAR($B385)&amp;"-"&amp;TEXT(MONTH($B385),"00"))</f>
        <v/>
      </c>
      <c r="Y385" s="68">
        <f>IF(OR($H385="",$J385=""),"",$J385*IFERROR(VLOOKUP($H385,Maestro_SKU!$A$2:$P$500,12,FALSE),1))</f>
        <v/>
      </c>
    </row>
    <row r="386">
      <c r="A386" s="43" t="n"/>
      <c r="B386" s="54" t="n"/>
      <c r="C386" s="43" t="n"/>
      <c r="D386" s="43" t="n"/>
      <c r="E386" s="48">
        <f>IFERROR(VLOOKUP(D386,Clientes_PDV!$A$2:$J$250,2,FALSE),"")</f>
        <v/>
      </c>
      <c r="F386" s="48">
        <f>IFERROR(VLOOKUP(D386,Clientes_PDV!$A$2:$J$250,3,FALSE),"")</f>
        <v/>
      </c>
      <c r="G386" s="48">
        <f>IFERROR(VLOOKUP(D386,Clientes_PDV!$A$2:$J$250,4,FALSE),"")</f>
        <v/>
      </c>
      <c r="H386" s="43" t="n"/>
      <c r="I386" s="48">
        <f>IFERROR(VLOOKUP(H386,Maestro_SKU!$A$2:$P$500,2,FALSE),"")</f>
        <v/>
      </c>
      <c r="J386" s="55" t="n"/>
      <c r="K386" s="44" t="n"/>
      <c r="L386" s="51">
        <f>IF(OR(J386="",K386=""),"",J386*K386)</f>
        <v/>
      </c>
      <c r="M386" s="51">
        <f>IF(L386="","",L386*Inicio!$B$13)</f>
        <v/>
      </c>
      <c r="N386" s="51">
        <f>IF(L386="","",L386+M386)</f>
        <v/>
      </c>
      <c r="O386" s="54" t="n"/>
      <c r="P386" s="43" t="n"/>
      <c r="Q386" s="44" t="n"/>
      <c r="R386" s="51">
        <f>IF(N386="","",MAX(N386-Q386,0))</f>
        <v/>
      </c>
      <c r="S386" s="48">
        <f>IF(A386="","",IF(OR(P386="Pagada",R386=0),"Pagada",IF(O386&lt;TODAY(),"Vencida",IF(O386&lt;=TODAY()+Inicio!$B$19,"Próxima a vencer","Vigente"))))</f>
        <v/>
      </c>
      <c r="T386" s="43" t="n"/>
      <c r="U386" s="68">
        <f>IF($B386="","",YEAR($B386))</f>
        <v/>
      </c>
      <c r="V386" s="68">
        <f>IF($B386="","",MONTH($B386))</f>
        <v/>
      </c>
      <c r="W386" s="68">
        <f>IF($B386="","",DAY($B386))</f>
        <v/>
      </c>
      <c r="X386" s="68">
        <f>IF($B386="","",YEAR($B386)&amp;"-"&amp;TEXT(MONTH($B386),"00"))</f>
        <v/>
      </c>
      <c r="Y386" s="68">
        <f>IF(OR($H386="",$J386=""),"",$J386*IFERROR(VLOOKUP($H386,Maestro_SKU!$A$2:$P$500,12,FALSE),1))</f>
        <v/>
      </c>
    </row>
    <row r="387">
      <c r="A387" s="43" t="n"/>
      <c r="B387" s="54" t="n"/>
      <c r="C387" s="43" t="n"/>
      <c r="D387" s="43" t="n"/>
      <c r="E387" s="48">
        <f>IFERROR(VLOOKUP(D387,Clientes_PDV!$A$2:$J$250,2,FALSE),"")</f>
        <v/>
      </c>
      <c r="F387" s="48">
        <f>IFERROR(VLOOKUP(D387,Clientes_PDV!$A$2:$J$250,3,FALSE),"")</f>
        <v/>
      </c>
      <c r="G387" s="48">
        <f>IFERROR(VLOOKUP(D387,Clientes_PDV!$A$2:$J$250,4,FALSE),"")</f>
        <v/>
      </c>
      <c r="H387" s="43" t="n"/>
      <c r="I387" s="48">
        <f>IFERROR(VLOOKUP(H387,Maestro_SKU!$A$2:$P$500,2,FALSE),"")</f>
        <v/>
      </c>
      <c r="J387" s="55" t="n"/>
      <c r="K387" s="44" t="n"/>
      <c r="L387" s="51">
        <f>IF(OR(J387="",K387=""),"",J387*K387)</f>
        <v/>
      </c>
      <c r="M387" s="51">
        <f>IF(L387="","",L387*Inicio!$B$13)</f>
        <v/>
      </c>
      <c r="N387" s="51">
        <f>IF(L387="","",L387+M387)</f>
        <v/>
      </c>
      <c r="O387" s="54" t="n"/>
      <c r="P387" s="43" t="n"/>
      <c r="Q387" s="44" t="n"/>
      <c r="R387" s="51">
        <f>IF(N387="","",MAX(N387-Q387,0))</f>
        <v/>
      </c>
      <c r="S387" s="48">
        <f>IF(A387="","",IF(OR(P387="Pagada",R387=0),"Pagada",IF(O387&lt;TODAY(),"Vencida",IF(O387&lt;=TODAY()+Inicio!$B$19,"Próxima a vencer","Vigente"))))</f>
        <v/>
      </c>
      <c r="T387" s="43" t="n"/>
      <c r="U387" s="68">
        <f>IF($B387="","",YEAR($B387))</f>
        <v/>
      </c>
      <c r="V387" s="68">
        <f>IF($B387="","",MONTH($B387))</f>
        <v/>
      </c>
      <c r="W387" s="68">
        <f>IF($B387="","",DAY($B387))</f>
        <v/>
      </c>
      <c r="X387" s="68">
        <f>IF($B387="","",YEAR($B387)&amp;"-"&amp;TEXT(MONTH($B387),"00"))</f>
        <v/>
      </c>
      <c r="Y387" s="68">
        <f>IF(OR($H387="",$J387=""),"",$J387*IFERROR(VLOOKUP($H387,Maestro_SKU!$A$2:$P$500,12,FALSE),1))</f>
        <v/>
      </c>
    </row>
    <row r="388">
      <c r="A388" s="43" t="n"/>
      <c r="B388" s="54" t="n"/>
      <c r="C388" s="43" t="n"/>
      <c r="D388" s="43" t="n"/>
      <c r="E388" s="48">
        <f>IFERROR(VLOOKUP(D388,Clientes_PDV!$A$2:$J$250,2,FALSE),"")</f>
        <v/>
      </c>
      <c r="F388" s="48">
        <f>IFERROR(VLOOKUP(D388,Clientes_PDV!$A$2:$J$250,3,FALSE),"")</f>
        <v/>
      </c>
      <c r="G388" s="48">
        <f>IFERROR(VLOOKUP(D388,Clientes_PDV!$A$2:$J$250,4,FALSE),"")</f>
        <v/>
      </c>
      <c r="H388" s="43" t="n"/>
      <c r="I388" s="48">
        <f>IFERROR(VLOOKUP(H388,Maestro_SKU!$A$2:$P$500,2,FALSE),"")</f>
        <v/>
      </c>
      <c r="J388" s="55" t="n"/>
      <c r="K388" s="44" t="n"/>
      <c r="L388" s="51">
        <f>IF(OR(J388="",K388=""),"",J388*K388)</f>
        <v/>
      </c>
      <c r="M388" s="51">
        <f>IF(L388="","",L388*Inicio!$B$13)</f>
        <v/>
      </c>
      <c r="N388" s="51">
        <f>IF(L388="","",L388+M388)</f>
        <v/>
      </c>
      <c r="O388" s="54" t="n"/>
      <c r="P388" s="43" t="n"/>
      <c r="Q388" s="44" t="n"/>
      <c r="R388" s="51">
        <f>IF(N388="","",MAX(N388-Q388,0))</f>
        <v/>
      </c>
      <c r="S388" s="48">
        <f>IF(A388="","",IF(OR(P388="Pagada",R388=0),"Pagada",IF(O388&lt;TODAY(),"Vencida",IF(O388&lt;=TODAY()+Inicio!$B$19,"Próxima a vencer","Vigente"))))</f>
        <v/>
      </c>
      <c r="T388" s="43" t="n"/>
      <c r="U388" s="68">
        <f>IF($B388="","",YEAR($B388))</f>
        <v/>
      </c>
      <c r="V388" s="68">
        <f>IF($B388="","",MONTH($B388))</f>
        <v/>
      </c>
      <c r="W388" s="68">
        <f>IF($B388="","",DAY($B388))</f>
        <v/>
      </c>
      <c r="X388" s="68">
        <f>IF($B388="","",YEAR($B388)&amp;"-"&amp;TEXT(MONTH($B388),"00"))</f>
        <v/>
      </c>
      <c r="Y388" s="68">
        <f>IF(OR($H388="",$J388=""),"",$J388*IFERROR(VLOOKUP($H388,Maestro_SKU!$A$2:$P$500,12,FALSE),1))</f>
        <v/>
      </c>
    </row>
    <row r="389">
      <c r="A389" s="43" t="n"/>
      <c r="B389" s="54" t="n"/>
      <c r="C389" s="43" t="n"/>
      <c r="D389" s="43" t="n"/>
      <c r="E389" s="48">
        <f>IFERROR(VLOOKUP(D389,Clientes_PDV!$A$2:$J$250,2,FALSE),"")</f>
        <v/>
      </c>
      <c r="F389" s="48">
        <f>IFERROR(VLOOKUP(D389,Clientes_PDV!$A$2:$J$250,3,FALSE),"")</f>
        <v/>
      </c>
      <c r="G389" s="48">
        <f>IFERROR(VLOOKUP(D389,Clientes_PDV!$A$2:$J$250,4,FALSE),"")</f>
        <v/>
      </c>
      <c r="H389" s="43" t="n"/>
      <c r="I389" s="48">
        <f>IFERROR(VLOOKUP(H389,Maestro_SKU!$A$2:$P$500,2,FALSE),"")</f>
        <v/>
      </c>
      <c r="J389" s="55" t="n"/>
      <c r="K389" s="44" t="n"/>
      <c r="L389" s="51">
        <f>IF(OR(J389="",K389=""),"",J389*K389)</f>
        <v/>
      </c>
      <c r="M389" s="51">
        <f>IF(L389="","",L389*Inicio!$B$13)</f>
        <v/>
      </c>
      <c r="N389" s="51">
        <f>IF(L389="","",L389+M389)</f>
        <v/>
      </c>
      <c r="O389" s="54" t="n"/>
      <c r="P389" s="43" t="n"/>
      <c r="Q389" s="44" t="n"/>
      <c r="R389" s="51">
        <f>IF(N389="","",MAX(N389-Q389,0))</f>
        <v/>
      </c>
      <c r="S389" s="48">
        <f>IF(A389="","",IF(OR(P389="Pagada",R389=0),"Pagada",IF(O389&lt;TODAY(),"Vencida",IF(O389&lt;=TODAY()+Inicio!$B$19,"Próxima a vencer","Vigente"))))</f>
        <v/>
      </c>
      <c r="T389" s="43" t="n"/>
      <c r="U389" s="68">
        <f>IF($B389="","",YEAR($B389))</f>
        <v/>
      </c>
      <c r="V389" s="68">
        <f>IF($B389="","",MONTH($B389))</f>
        <v/>
      </c>
      <c r="W389" s="68">
        <f>IF($B389="","",DAY($B389))</f>
        <v/>
      </c>
      <c r="X389" s="68">
        <f>IF($B389="","",YEAR($B389)&amp;"-"&amp;TEXT(MONTH($B389),"00"))</f>
        <v/>
      </c>
      <c r="Y389" s="68">
        <f>IF(OR($H389="",$J389=""),"",$J389*IFERROR(VLOOKUP($H389,Maestro_SKU!$A$2:$P$500,12,FALSE),1))</f>
        <v/>
      </c>
    </row>
    <row r="390">
      <c r="A390" s="43" t="n"/>
      <c r="B390" s="54" t="n"/>
      <c r="C390" s="43" t="n"/>
      <c r="D390" s="43" t="n"/>
      <c r="E390" s="48">
        <f>IFERROR(VLOOKUP(D390,Clientes_PDV!$A$2:$J$250,2,FALSE),"")</f>
        <v/>
      </c>
      <c r="F390" s="48">
        <f>IFERROR(VLOOKUP(D390,Clientes_PDV!$A$2:$J$250,3,FALSE),"")</f>
        <v/>
      </c>
      <c r="G390" s="48">
        <f>IFERROR(VLOOKUP(D390,Clientes_PDV!$A$2:$J$250,4,FALSE),"")</f>
        <v/>
      </c>
      <c r="H390" s="43" t="n"/>
      <c r="I390" s="48">
        <f>IFERROR(VLOOKUP(H390,Maestro_SKU!$A$2:$P$500,2,FALSE),"")</f>
        <v/>
      </c>
      <c r="J390" s="55" t="n"/>
      <c r="K390" s="44" t="n"/>
      <c r="L390" s="51">
        <f>IF(OR(J390="",K390=""),"",J390*K390)</f>
        <v/>
      </c>
      <c r="M390" s="51">
        <f>IF(L390="","",L390*Inicio!$B$13)</f>
        <v/>
      </c>
      <c r="N390" s="51">
        <f>IF(L390="","",L390+M390)</f>
        <v/>
      </c>
      <c r="O390" s="54" t="n"/>
      <c r="P390" s="43" t="n"/>
      <c r="Q390" s="44" t="n"/>
      <c r="R390" s="51">
        <f>IF(N390="","",MAX(N390-Q390,0))</f>
        <v/>
      </c>
      <c r="S390" s="48">
        <f>IF(A390="","",IF(OR(P390="Pagada",R390=0),"Pagada",IF(O390&lt;TODAY(),"Vencida",IF(O390&lt;=TODAY()+Inicio!$B$19,"Próxima a vencer","Vigente"))))</f>
        <v/>
      </c>
      <c r="T390" s="43" t="n"/>
      <c r="U390" s="68">
        <f>IF($B390="","",YEAR($B390))</f>
        <v/>
      </c>
      <c r="V390" s="68">
        <f>IF($B390="","",MONTH($B390))</f>
        <v/>
      </c>
      <c r="W390" s="68">
        <f>IF($B390="","",DAY($B390))</f>
        <v/>
      </c>
      <c r="X390" s="68">
        <f>IF($B390="","",YEAR($B390)&amp;"-"&amp;TEXT(MONTH($B390),"00"))</f>
        <v/>
      </c>
      <c r="Y390" s="68">
        <f>IF(OR($H390="",$J390=""),"",$J390*IFERROR(VLOOKUP($H390,Maestro_SKU!$A$2:$P$500,12,FALSE),1))</f>
        <v/>
      </c>
    </row>
    <row r="391">
      <c r="A391" s="43" t="n"/>
      <c r="B391" s="54" t="n"/>
      <c r="C391" s="43" t="n"/>
      <c r="D391" s="43" t="n"/>
      <c r="E391" s="48">
        <f>IFERROR(VLOOKUP(D391,Clientes_PDV!$A$2:$J$250,2,FALSE),"")</f>
        <v/>
      </c>
      <c r="F391" s="48">
        <f>IFERROR(VLOOKUP(D391,Clientes_PDV!$A$2:$J$250,3,FALSE),"")</f>
        <v/>
      </c>
      <c r="G391" s="48">
        <f>IFERROR(VLOOKUP(D391,Clientes_PDV!$A$2:$J$250,4,FALSE),"")</f>
        <v/>
      </c>
      <c r="H391" s="43" t="n"/>
      <c r="I391" s="48">
        <f>IFERROR(VLOOKUP(H391,Maestro_SKU!$A$2:$P$500,2,FALSE),"")</f>
        <v/>
      </c>
      <c r="J391" s="55" t="n"/>
      <c r="K391" s="44" t="n"/>
      <c r="L391" s="51">
        <f>IF(OR(J391="",K391=""),"",J391*K391)</f>
        <v/>
      </c>
      <c r="M391" s="51">
        <f>IF(L391="","",L391*Inicio!$B$13)</f>
        <v/>
      </c>
      <c r="N391" s="51">
        <f>IF(L391="","",L391+M391)</f>
        <v/>
      </c>
      <c r="O391" s="54" t="n"/>
      <c r="P391" s="43" t="n"/>
      <c r="Q391" s="44" t="n"/>
      <c r="R391" s="51">
        <f>IF(N391="","",MAX(N391-Q391,0))</f>
        <v/>
      </c>
      <c r="S391" s="48">
        <f>IF(A391="","",IF(OR(P391="Pagada",R391=0),"Pagada",IF(O391&lt;TODAY(),"Vencida",IF(O391&lt;=TODAY()+Inicio!$B$19,"Próxima a vencer","Vigente"))))</f>
        <v/>
      </c>
      <c r="T391" s="43" t="n"/>
      <c r="U391" s="68">
        <f>IF($B391="","",YEAR($B391))</f>
        <v/>
      </c>
      <c r="V391" s="68">
        <f>IF($B391="","",MONTH($B391))</f>
        <v/>
      </c>
      <c r="W391" s="68">
        <f>IF($B391="","",DAY($B391))</f>
        <v/>
      </c>
      <c r="X391" s="68">
        <f>IF($B391="","",YEAR($B391)&amp;"-"&amp;TEXT(MONTH($B391),"00"))</f>
        <v/>
      </c>
      <c r="Y391" s="68">
        <f>IF(OR($H391="",$J391=""),"",$J391*IFERROR(VLOOKUP($H391,Maestro_SKU!$A$2:$P$500,12,FALSE),1))</f>
        <v/>
      </c>
    </row>
    <row r="392">
      <c r="A392" s="43" t="n"/>
      <c r="B392" s="54" t="n"/>
      <c r="C392" s="43" t="n"/>
      <c r="D392" s="43" t="n"/>
      <c r="E392" s="48">
        <f>IFERROR(VLOOKUP(D392,Clientes_PDV!$A$2:$J$250,2,FALSE),"")</f>
        <v/>
      </c>
      <c r="F392" s="48">
        <f>IFERROR(VLOOKUP(D392,Clientes_PDV!$A$2:$J$250,3,FALSE),"")</f>
        <v/>
      </c>
      <c r="G392" s="48">
        <f>IFERROR(VLOOKUP(D392,Clientes_PDV!$A$2:$J$250,4,FALSE),"")</f>
        <v/>
      </c>
      <c r="H392" s="43" t="n"/>
      <c r="I392" s="48">
        <f>IFERROR(VLOOKUP(H392,Maestro_SKU!$A$2:$P$500,2,FALSE),"")</f>
        <v/>
      </c>
      <c r="J392" s="55" t="n"/>
      <c r="K392" s="44" t="n"/>
      <c r="L392" s="51">
        <f>IF(OR(J392="",K392=""),"",J392*K392)</f>
        <v/>
      </c>
      <c r="M392" s="51">
        <f>IF(L392="","",L392*Inicio!$B$13)</f>
        <v/>
      </c>
      <c r="N392" s="51">
        <f>IF(L392="","",L392+M392)</f>
        <v/>
      </c>
      <c r="O392" s="54" t="n"/>
      <c r="P392" s="43" t="n"/>
      <c r="Q392" s="44" t="n"/>
      <c r="R392" s="51">
        <f>IF(N392="","",MAX(N392-Q392,0))</f>
        <v/>
      </c>
      <c r="S392" s="48">
        <f>IF(A392="","",IF(OR(P392="Pagada",R392=0),"Pagada",IF(O392&lt;TODAY(),"Vencida",IF(O392&lt;=TODAY()+Inicio!$B$19,"Próxima a vencer","Vigente"))))</f>
        <v/>
      </c>
      <c r="T392" s="43" t="n"/>
      <c r="U392" s="68">
        <f>IF($B392="","",YEAR($B392))</f>
        <v/>
      </c>
      <c r="V392" s="68">
        <f>IF($B392="","",MONTH($B392))</f>
        <v/>
      </c>
      <c r="W392" s="68">
        <f>IF($B392="","",DAY($B392))</f>
        <v/>
      </c>
      <c r="X392" s="68">
        <f>IF($B392="","",YEAR($B392)&amp;"-"&amp;TEXT(MONTH($B392),"00"))</f>
        <v/>
      </c>
      <c r="Y392" s="68">
        <f>IF(OR($H392="",$J392=""),"",$J392*IFERROR(VLOOKUP($H392,Maestro_SKU!$A$2:$P$500,12,FALSE),1))</f>
        <v/>
      </c>
    </row>
    <row r="393">
      <c r="A393" s="43" t="n"/>
      <c r="B393" s="54" t="n"/>
      <c r="C393" s="43" t="n"/>
      <c r="D393" s="43" t="n"/>
      <c r="E393" s="48">
        <f>IFERROR(VLOOKUP(D393,Clientes_PDV!$A$2:$J$250,2,FALSE),"")</f>
        <v/>
      </c>
      <c r="F393" s="48">
        <f>IFERROR(VLOOKUP(D393,Clientes_PDV!$A$2:$J$250,3,FALSE),"")</f>
        <v/>
      </c>
      <c r="G393" s="48">
        <f>IFERROR(VLOOKUP(D393,Clientes_PDV!$A$2:$J$250,4,FALSE),"")</f>
        <v/>
      </c>
      <c r="H393" s="43" t="n"/>
      <c r="I393" s="48">
        <f>IFERROR(VLOOKUP(H393,Maestro_SKU!$A$2:$P$500,2,FALSE),"")</f>
        <v/>
      </c>
      <c r="J393" s="55" t="n"/>
      <c r="K393" s="44" t="n"/>
      <c r="L393" s="51">
        <f>IF(OR(J393="",K393=""),"",J393*K393)</f>
        <v/>
      </c>
      <c r="M393" s="51">
        <f>IF(L393="","",L393*Inicio!$B$13)</f>
        <v/>
      </c>
      <c r="N393" s="51">
        <f>IF(L393="","",L393+M393)</f>
        <v/>
      </c>
      <c r="O393" s="54" t="n"/>
      <c r="P393" s="43" t="n"/>
      <c r="Q393" s="44" t="n"/>
      <c r="R393" s="51">
        <f>IF(N393="","",MAX(N393-Q393,0))</f>
        <v/>
      </c>
      <c r="S393" s="48">
        <f>IF(A393="","",IF(OR(P393="Pagada",R393=0),"Pagada",IF(O393&lt;TODAY(),"Vencida",IF(O393&lt;=TODAY()+Inicio!$B$19,"Próxima a vencer","Vigente"))))</f>
        <v/>
      </c>
      <c r="T393" s="43" t="n"/>
      <c r="U393" s="68">
        <f>IF($B393="","",YEAR($B393))</f>
        <v/>
      </c>
      <c r="V393" s="68">
        <f>IF($B393="","",MONTH($B393))</f>
        <v/>
      </c>
      <c r="W393" s="68">
        <f>IF($B393="","",DAY($B393))</f>
        <v/>
      </c>
      <c r="X393" s="68">
        <f>IF($B393="","",YEAR($B393)&amp;"-"&amp;TEXT(MONTH($B393),"00"))</f>
        <v/>
      </c>
      <c r="Y393" s="68">
        <f>IF(OR($H393="",$J393=""),"",$J393*IFERROR(VLOOKUP($H393,Maestro_SKU!$A$2:$P$500,12,FALSE),1))</f>
        <v/>
      </c>
    </row>
    <row r="394">
      <c r="A394" s="43" t="n"/>
      <c r="B394" s="54" t="n"/>
      <c r="C394" s="43" t="n"/>
      <c r="D394" s="43" t="n"/>
      <c r="E394" s="48">
        <f>IFERROR(VLOOKUP(D394,Clientes_PDV!$A$2:$J$250,2,FALSE),"")</f>
        <v/>
      </c>
      <c r="F394" s="48">
        <f>IFERROR(VLOOKUP(D394,Clientes_PDV!$A$2:$J$250,3,FALSE),"")</f>
        <v/>
      </c>
      <c r="G394" s="48">
        <f>IFERROR(VLOOKUP(D394,Clientes_PDV!$A$2:$J$250,4,FALSE),"")</f>
        <v/>
      </c>
      <c r="H394" s="43" t="n"/>
      <c r="I394" s="48">
        <f>IFERROR(VLOOKUP(H394,Maestro_SKU!$A$2:$P$500,2,FALSE),"")</f>
        <v/>
      </c>
      <c r="J394" s="55" t="n"/>
      <c r="K394" s="44" t="n"/>
      <c r="L394" s="51">
        <f>IF(OR(J394="",K394=""),"",J394*K394)</f>
        <v/>
      </c>
      <c r="M394" s="51">
        <f>IF(L394="","",L394*Inicio!$B$13)</f>
        <v/>
      </c>
      <c r="N394" s="51">
        <f>IF(L394="","",L394+M394)</f>
        <v/>
      </c>
      <c r="O394" s="54" t="n"/>
      <c r="P394" s="43" t="n"/>
      <c r="Q394" s="44" t="n"/>
      <c r="R394" s="51">
        <f>IF(N394="","",MAX(N394-Q394,0))</f>
        <v/>
      </c>
      <c r="S394" s="48">
        <f>IF(A394="","",IF(OR(P394="Pagada",R394=0),"Pagada",IF(O394&lt;TODAY(),"Vencida",IF(O394&lt;=TODAY()+Inicio!$B$19,"Próxima a vencer","Vigente"))))</f>
        <v/>
      </c>
      <c r="T394" s="43" t="n"/>
      <c r="U394" s="68">
        <f>IF($B394="","",YEAR($B394))</f>
        <v/>
      </c>
      <c r="V394" s="68">
        <f>IF($B394="","",MONTH($B394))</f>
        <v/>
      </c>
      <c r="W394" s="68">
        <f>IF($B394="","",DAY($B394))</f>
        <v/>
      </c>
      <c r="X394" s="68">
        <f>IF($B394="","",YEAR($B394)&amp;"-"&amp;TEXT(MONTH($B394),"00"))</f>
        <v/>
      </c>
      <c r="Y394" s="68">
        <f>IF(OR($H394="",$J394=""),"",$J394*IFERROR(VLOOKUP($H394,Maestro_SKU!$A$2:$P$500,12,FALSE),1))</f>
        <v/>
      </c>
    </row>
    <row r="395">
      <c r="A395" s="43" t="n"/>
      <c r="B395" s="54" t="n"/>
      <c r="C395" s="43" t="n"/>
      <c r="D395" s="43" t="n"/>
      <c r="E395" s="48">
        <f>IFERROR(VLOOKUP(D395,Clientes_PDV!$A$2:$J$250,2,FALSE),"")</f>
        <v/>
      </c>
      <c r="F395" s="48">
        <f>IFERROR(VLOOKUP(D395,Clientes_PDV!$A$2:$J$250,3,FALSE),"")</f>
        <v/>
      </c>
      <c r="G395" s="48">
        <f>IFERROR(VLOOKUP(D395,Clientes_PDV!$A$2:$J$250,4,FALSE),"")</f>
        <v/>
      </c>
      <c r="H395" s="43" t="n"/>
      <c r="I395" s="48">
        <f>IFERROR(VLOOKUP(H395,Maestro_SKU!$A$2:$P$500,2,FALSE),"")</f>
        <v/>
      </c>
      <c r="J395" s="55" t="n"/>
      <c r="K395" s="44" t="n"/>
      <c r="L395" s="51">
        <f>IF(OR(J395="",K395=""),"",J395*K395)</f>
        <v/>
      </c>
      <c r="M395" s="51">
        <f>IF(L395="","",L395*Inicio!$B$13)</f>
        <v/>
      </c>
      <c r="N395" s="51">
        <f>IF(L395="","",L395+M395)</f>
        <v/>
      </c>
      <c r="O395" s="54" t="n"/>
      <c r="P395" s="43" t="n"/>
      <c r="Q395" s="44" t="n"/>
      <c r="R395" s="51">
        <f>IF(N395="","",MAX(N395-Q395,0))</f>
        <v/>
      </c>
      <c r="S395" s="48">
        <f>IF(A395="","",IF(OR(P395="Pagada",R395=0),"Pagada",IF(O395&lt;TODAY(),"Vencida",IF(O395&lt;=TODAY()+Inicio!$B$19,"Próxima a vencer","Vigente"))))</f>
        <v/>
      </c>
      <c r="T395" s="43" t="n"/>
      <c r="U395" s="68">
        <f>IF($B395="","",YEAR($B395))</f>
        <v/>
      </c>
      <c r="V395" s="68">
        <f>IF($B395="","",MONTH($B395))</f>
        <v/>
      </c>
      <c r="W395" s="68">
        <f>IF($B395="","",DAY($B395))</f>
        <v/>
      </c>
      <c r="X395" s="68">
        <f>IF($B395="","",YEAR($B395)&amp;"-"&amp;TEXT(MONTH($B395),"00"))</f>
        <v/>
      </c>
      <c r="Y395" s="68">
        <f>IF(OR($H395="",$J395=""),"",$J395*IFERROR(VLOOKUP($H395,Maestro_SKU!$A$2:$P$500,12,FALSE),1))</f>
        <v/>
      </c>
    </row>
    <row r="396">
      <c r="A396" s="43" t="n"/>
      <c r="B396" s="54" t="n"/>
      <c r="C396" s="43" t="n"/>
      <c r="D396" s="43" t="n"/>
      <c r="E396" s="48">
        <f>IFERROR(VLOOKUP(D396,Clientes_PDV!$A$2:$J$250,2,FALSE),"")</f>
        <v/>
      </c>
      <c r="F396" s="48">
        <f>IFERROR(VLOOKUP(D396,Clientes_PDV!$A$2:$J$250,3,FALSE),"")</f>
        <v/>
      </c>
      <c r="G396" s="48">
        <f>IFERROR(VLOOKUP(D396,Clientes_PDV!$A$2:$J$250,4,FALSE),"")</f>
        <v/>
      </c>
      <c r="H396" s="43" t="n"/>
      <c r="I396" s="48">
        <f>IFERROR(VLOOKUP(H396,Maestro_SKU!$A$2:$P$500,2,FALSE),"")</f>
        <v/>
      </c>
      <c r="J396" s="55" t="n"/>
      <c r="K396" s="44" t="n"/>
      <c r="L396" s="51">
        <f>IF(OR(J396="",K396=""),"",J396*K396)</f>
        <v/>
      </c>
      <c r="M396" s="51">
        <f>IF(L396="","",L396*Inicio!$B$13)</f>
        <v/>
      </c>
      <c r="N396" s="51">
        <f>IF(L396="","",L396+M396)</f>
        <v/>
      </c>
      <c r="O396" s="54" t="n"/>
      <c r="P396" s="43" t="n"/>
      <c r="Q396" s="44" t="n"/>
      <c r="R396" s="51">
        <f>IF(N396="","",MAX(N396-Q396,0))</f>
        <v/>
      </c>
      <c r="S396" s="48">
        <f>IF(A396="","",IF(OR(P396="Pagada",R396=0),"Pagada",IF(O396&lt;TODAY(),"Vencida",IF(O396&lt;=TODAY()+Inicio!$B$19,"Próxima a vencer","Vigente"))))</f>
        <v/>
      </c>
      <c r="T396" s="43" t="n"/>
      <c r="U396" s="68">
        <f>IF($B396="","",YEAR($B396))</f>
        <v/>
      </c>
      <c r="V396" s="68">
        <f>IF($B396="","",MONTH($B396))</f>
        <v/>
      </c>
      <c r="W396" s="68">
        <f>IF($B396="","",DAY($B396))</f>
        <v/>
      </c>
      <c r="X396" s="68">
        <f>IF($B396="","",YEAR($B396)&amp;"-"&amp;TEXT(MONTH($B396),"00"))</f>
        <v/>
      </c>
      <c r="Y396" s="68">
        <f>IF(OR($H396="",$J396=""),"",$J396*IFERROR(VLOOKUP($H396,Maestro_SKU!$A$2:$P$500,12,FALSE),1))</f>
        <v/>
      </c>
    </row>
    <row r="397">
      <c r="A397" s="43" t="n"/>
      <c r="B397" s="54" t="n"/>
      <c r="C397" s="43" t="n"/>
      <c r="D397" s="43" t="n"/>
      <c r="E397" s="48">
        <f>IFERROR(VLOOKUP(D397,Clientes_PDV!$A$2:$J$250,2,FALSE),"")</f>
        <v/>
      </c>
      <c r="F397" s="48">
        <f>IFERROR(VLOOKUP(D397,Clientes_PDV!$A$2:$J$250,3,FALSE),"")</f>
        <v/>
      </c>
      <c r="G397" s="48">
        <f>IFERROR(VLOOKUP(D397,Clientes_PDV!$A$2:$J$250,4,FALSE),"")</f>
        <v/>
      </c>
      <c r="H397" s="43" t="n"/>
      <c r="I397" s="48">
        <f>IFERROR(VLOOKUP(H397,Maestro_SKU!$A$2:$P$500,2,FALSE),"")</f>
        <v/>
      </c>
      <c r="J397" s="55" t="n"/>
      <c r="K397" s="44" t="n"/>
      <c r="L397" s="51">
        <f>IF(OR(J397="",K397=""),"",J397*K397)</f>
        <v/>
      </c>
      <c r="M397" s="51">
        <f>IF(L397="","",L397*Inicio!$B$13)</f>
        <v/>
      </c>
      <c r="N397" s="51">
        <f>IF(L397="","",L397+M397)</f>
        <v/>
      </c>
      <c r="O397" s="54" t="n"/>
      <c r="P397" s="43" t="n"/>
      <c r="Q397" s="44" t="n"/>
      <c r="R397" s="51">
        <f>IF(N397="","",MAX(N397-Q397,0))</f>
        <v/>
      </c>
      <c r="S397" s="48">
        <f>IF(A397="","",IF(OR(P397="Pagada",R397=0),"Pagada",IF(O397&lt;TODAY(),"Vencida",IF(O397&lt;=TODAY()+Inicio!$B$19,"Próxima a vencer","Vigente"))))</f>
        <v/>
      </c>
      <c r="T397" s="43" t="n"/>
      <c r="U397" s="68">
        <f>IF($B397="","",YEAR($B397))</f>
        <v/>
      </c>
      <c r="V397" s="68">
        <f>IF($B397="","",MONTH($B397))</f>
        <v/>
      </c>
      <c r="W397" s="68">
        <f>IF($B397="","",DAY($B397))</f>
        <v/>
      </c>
      <c r="X397" s="68">
        <f>IF($B397="","",YEAR($B397)&amp;"-"&amp;TEXT(MONTH($B397),"00"))</f>
        <v/>
      </c>
      <c r="Y397" s="68">
        <f>IF(OR($H397="",$J397=""),"",$J397*IFERROR(VLOOKUP($H397,Maestro_SKU!$A$2:$P$500,12,FALSE),1))</f>
        <v/>
      </c>
    </row>
    <row r="398">
      <c r="A398" s="43" t="n"/>
      <c r="B398" s="54" t="n"/>
      <c r="C398" s="43" t="n"/>
      <c r="D398" s="43" t="n"/>
      <c r="E398" s="48">
        <f>IFERROR(VLOOKUP(D398,Clientes_PDV!$A$2:$J$250,2,FALSE),"")</f>
        <v/>
      </c>
      <c r="F398" s="48">
        <f>IFERROR(VLOOKUP(D398,Clientes_PDV!$A$2:$J$250,3,FALSE),"")</f>
        <v/>
      </c>
      <c r="G398" s="48">
        <f>IFERROR(VLOOKUP(D398,Clientes_PDV!$A$2:$J$250,4,FALSE),"")</f>
        <v/>
      </c>
      <c r="H398" s="43" t="n"/>
      <c r="I398" s="48">
        <f>IFERROR(VLOOKUP(H398,Maestro_SKU!$A$2:$P$500,2,FALSE),"")</f>
        <v/>
      </c>
      <c r="J398" s="55" t="n"/>
      <c r="K398" s="44" t="n"/>
      <c r="L398" s="51">
        <f>IF(OR(J398="",K398=""),"",J398*K398)</f>
        <v/>
      </c>
      <c r="M398" s="51">
        <f>IF(L398="","",L398*Inicio!$B$13)</f>
        <v/>
      </c>
      <c r="N398" s="51">
        <f>IF(L398="","",L398+M398)</f>
        <v/>
      </c>
      <c r="O398" s="54" t="n"/>
      <c r="P398" s="43" t="n"/>
      <c r="Q398" s="44" t="n"/>
      <c r="R398" s="51">
        <f>IF(N398="","",MAX(N398-Q398,0))</f>
        <v/>
      </c>
      <c r="S398" s="48">
        <f>IF(A398="","",IF(OR(P398="Pagada",R398=0),"Pagada",IF(O398&lt;TODAY(),"Vencida",IF(O398&lt;=TODAY()+Inicio!$B$19,"Próxima a vencer","Vigente"))))</f>
        <v/>
      </c>
      <c r="T398" s="43" t="n"/>
      <c r="U398" s="68">
        <f>IF($B398="","",YEAR($B398))</f>
        <v/>
      </c>
      <c r="V398" s="68">
        <f>IF($B398="","",MONTH($B398))</f>
        <v/>
      </c>
      <c r="W398" s="68">
        <f>IF($B398="","",DAY($B398))</f>
        <v/>
      </c>
      <c r="X398" s="68">
        <f>IF($B398="","",YEAR($B398)&amp;"-"&amp;TEXT(MONTH($B398),"00"))</f>
        <v/>
      </c>
      <c r="Y398" s="68">
        <f>IF(OR($H398="",$J398=""),"",$J398*IFERROR(VLOOKUP($H398,Maestro_SKU!$A$2:$P$500,12,FALSE),1))</f>
        <v/>
      </c>
    </row>
    <row r="399">
      <c r="A399" s="43" t="n"/>
      <c r="B399" s="54" t="n"/>
      <c r="C399" s="43" t="n"/>
      <c r="D399" s="43" t="n"/>
      <c r="E399" s="48">
        <f>IFERROR(VLOOKUP(D399,Clientes_PDV!$A$2:$J$250,2,FALSE),"")</f>
        <v/>
      </c>
      <c r="F399" s="48">
        <f>IFERROR(VLOOKUP(D399,Clientes_PDV!$A$2:$J$250,3,FALSE),"")</f>
        <v/>
      </c>
      <c r="G399" s="48">
        <f>IFERROR(VLOOKUP(D399,Clientes_PDV!$A$2:$J$250,4,FALSE),"")</f>
        <v/>
      </c>
      <c r="H399" s="43" t="n"/>
      <c r="I399" s="48">
        <f>IFERROR(VLOOKUP(H399,Maestro_SKU!$A$2:$P$500,2,FALSE),"")</f>
        <v/>
      </c>
      <c r="J399" s="55" t="n"/>
      <c r="K399" s="44" t="n"/>
      <c r="L399" s="51">
        <f>IF(OR(J399="",K399=""),"",J399*K399)</f>
        <v/>
      </c>
      <c r="M399" s="51">
        <f>IF(L399="","",L399*Inicio!$B$13)</f>
        <v/>
      </c>
      <c r="N399" s="51">
        <f>IF(L399="","",L399+M399)</f>
        <v/>
      </c>
      <c r="O399" s="54" t="n"/>
      <c r="P399" s="43" t="n"/>
      <c r="Q399" s="44" t="n"/>
      <c r="R399" s="51">
        <f>IF(N399="","",MAX(N399-Q399,0))</f>
        <v/>
      </c>
      <c r="S399" s="48">
        <f>IF(A399="","",IF(OR(P399="Pagada",R399=0),"Pagada",IF(O399&lt;TODAY(),"Vencida",IF(O399&lt;=TODAY()+Inicio!$B$19,"Próxima a vencer","Vigente"))))</f>
        <v/>
      </c>
      <c r="T399" s="43" t="n"/>
      <c r="U399" s="68">
        <f>IF($B399="","",YEAR($B399))</f>
        <v/>
      </c>
      <c r="V399" s="68">
        <f>IF($B399="","",MONTH($B399))</f>
        <v/>
      </c>
      <c r="W399" s="68">
        <f>IF($B399="","",DAY($B399))</f>
        <v/>
      </c>
      <c r="X399" s="68">
        <f>IF($B399="","",YEAR($B399)&amp;"-"&amp;TEXT(MONTH($B399),"00"))</f>
        <v/>
      </c>
      <c r="Y399" s="68">
        <f>IF(OR($H399="",$J399=""),"",$J399*IFERROR(VLOOKUP($H399,Maestro_SKU!$A$2:$P$500,12,FALSE),1))</f>
        <v/>
      </c>
    </row>
    <row r="400">
      <c r="A400" s="43" t="n"/>
      <c r="B400" s="54" t="n"/>
      <c r="C400" s="43" t="n"/>
      <c r="D400" s="43" t="n"/>
      <c r="E400" s="48">
        <f>IFERROR(VLOOKUP(D400,Clientes_PDV!$A$2:$J$250,2,FALSE),"")</f>
        <v/>
      </c>
      <c r="F400" s="48">
        <f>IFERROR(VLOOKUP(D400,Clientes_PDV!$A$2:$J$250,3,FALSE),"")</f>
        <v/>
      </c>
      <c r="G400" s="48">
        <f>IFERROR(VLOOKUP(D400,Clientes_PDV!$A$2:$J$250,4,FALSE),"")</f>
        <v/>
      </c>
      <c r="H400" s="43" t="n"/>
      <c r="I400" s="48">
        <f>IFERROR(VLOOKUP(H400,Maestro_SKU!$A$2:$P$500,2,FALSE),"")</f>
        <v/>
      </c>
      <c r="J400" s="55" t="n"/>
      <c r="K400" s="44" t="n"/>
      <c r="L400" s="51">
        <f>IF(OR(J400="",K400=""),"",J400*K400)</f>
        <v/>
      </c>
      <c r="M400" s="51">
        <f>IF(L400="","",L400*Inicio!$B$13)</f>
        <v/>
      </c>
      <c r="N400" s="51">
        <f>IF(L400="","",L400+M400)</f>
        <v/>
      </c>
      <c r="O400" s="54" t="n"/>
      <c r="P400" s="43" t="n"/>
      <c r="Q400" s="44" t="n"/>
      <c r="R400" s="51">
        <f>IF(N400="","",MAX(N400-Q400,0))</f>
        <v/>
      </c>
      <c r="S400" s="48">
        <f>IF(A400="","",IF(OR(P400="Pagada",R400=0),"Pagada",IF(O400&lt;TODAY(),"Vencida",IF(O400&lt;=TODAY()+Inicio!$B$19,"Próxima a vencer","Vigente"))))</f>
        <v/>
      </c>
      <c r="T400" s="43" t="n"/>
      <c r="U400" s="68">
        <f>IF($B400="","",YEAR($B400))</f>
        <v/>
      </c>
      <c r="V400" s="68">
        <f>IF($B400="","",MONTH($B400))</f>
        <v/>
      </c>
      <c r="W400" s="68">
        <f>IF($B400="","",DAY($B400))</f>
        <v/>
      </c>
      <c r="X400" s="68">
        <f>IF($B400="","",YEAR($B400)&amp;"-"&amp;TEXT(MONTH($B400),"00"))</f>
        <v/>
      </c>
      <c r="Y400" s="68">
        <f>IF(OR($H400="",$J400=""),"",$J400*IFERROR(VLOOKUP($H400,Maestro_SKU!$A$2:$P$500,12,FALSE),1))</f>
        <v/>
      </c>
    </row>
    <row r="401">
      <c r="A401" s="43" t="n"/>
      <c r="B401" s="54" t="n"/>
      <c r="C401" s="43" t="n"/>
      <c r="D401" s="43" t="n"/>
      <c r="E401" s="48">
        <f>IFERROR(VLOOKUP(D401,Clientes_PDV!$A$2:$J$250,2,FALSE),"")</f>
        <v/>
      </c>
      <c r="F401" s="48">
        <f>IFERROR(VLOOKUP(D401,Clientes_PDV!$A$2:$J$250,3,FALSE),"")</f>
        <v/>
      </c>
      <c r="G401" s="48">
        <f>IFERROR(VLOOKUP(D401,Clientes_PDV!$A$2:$J$250,4,FALSE),"")</f>
        <v/>
      </c>
      <c r="H401" s="43" t="n"/>
      <c r="I401" s="48">
        <f>IFERROR(VLOOKUP(H401,Maestro_SKU!$A$2:$P$500,2,FALSE),"")</f>
        <v/>
      </c>
      <c r="J401" s="55" t="n"/>
      <c r="K401" s="44" t="n"/>
      <c r="L401" s="51">
        <f>IF(OR(J401="",K401=""),"",J401*K401)</f>
        <v/>
      </c>
      <c r="M401" s="51">
        <f>IF(L401="","",L401*Inicio!$B$13)</f>
        <v/>
      </c>
      <c r="N401" s="51">
        <f>IF(L401="","",L401+M401)</f>
        <v/>
      </c>
      <c r="O401" s="54" t="n"/>
      <c r="P401" s="43" t="n"/>
      <c r="Q401" s="44" t="n"/>
      <c r="R401" s="51">
        <f>IF(N401="","",MAX(N401-Q401,0))</f>
        <v/>
      </c>
      <c r="S401" s="48">
        <f>IF(A401="","",IF(OR(P401="Pagada",R401=0),"Pagada",IF(O401&lt;TODAY(),"Vencida",IF(O401&lt;=TODAY()+Inicio!$B$19,"Próxima a vencer","Vigente"))))</f>
        <v/>
      </c>
      <c r="T401" s="43" t="n"/>
      <c r="U401" s="68">
        <f>IF($B401="","",YEAR($B401))</f>
        <v/>
      </c>
      <c r="V401" s="68">
        <f>IF($B401="","",MONTH($B401))</f>
        <v/>
      </c>
      <c r="W401" s="68">
        <f>IF($B401="","",DAY($B401))</f>
        <v/>
      </c>
      <c r="X401" s="68">
        <f>IF($B401="","",YEAR($B401)&amp;"-"&amp;TEXT(MONTH($B401),"00"))</f>
        <v/>
      </c>
      <c r="Y401" s="68">
        <f>IF(OR($H401="",$J401=""),"",$J401*IFERROR(VLOOKUP($H401,Maestro_SKU!$A$2:$P$500,12,FALSE),1))</f>
        <v/>
      </c>
    </row>
    <row r="402">
      <c r="A402" s="43" t="n"/>
      <c r="B402" s="54" t="n"/>
      <c r="C402" s="43" t="n"/>
      <c r="D402" s="43" t="n"/>
      <c r="E402" s="48">
        <f>IFERROR(VLOOKUP(D402,Clientes_PDV!$A$2:$J$250,2,FALSE),"")</f>
        <v/>
      </c>
      <c r="F402" s="48">
        <f>IFERROR(VLOOKUP(D402,Clientes_PDV!$A$2:$J$250,3,FALSE),"")</f>
        <v/>
      </c>
      <c r="G402" s="48">
        <f>IFERROR(VLOOKUP(D402,Clientes_PDV!$A$2:$J$250,4,FALSE),"")</f>
        <v/>
      </c>
      <c r="H402" s="43" t="n"/>
      <c r="I402" s="48">
        <f>IFERROR(VLOOKUP(H402,Maestro_SKU!$A$2:$P$500,2,FALSE),"")</f>
        <v/>
      </c>
      <c r="J402" s="55" t="n"/>
      <c r="K402" s="44" t="n"/>
      <c r="L402" s="51">
        <f>IF(OR(J402="",K402=""),"",J402*K402)</f>
        <v/>
      </c>
      <c r="M402" s="51">
        <f>IF(L402="","",L402*Inicio!$B$13)</f>
        <v/>
      </c>
      <c r="N402" s="51">
        <f>IF(L402="","",L402+M402)</f>
        <v/>
      </c>
      <c r="O402" s="54" t="n"/>
      <c r="P402" s="43" t="n"/>
      <c r="Q402" s="44" t="n"/>
      <c r="R402" s="51">
        <f>IF(N402="","",MAX(N402-Q402,0))</f>
        <v/>
      </c>
      <c r="S402" s="48">
        <f>IF(A402="","",IF(OR(P402="Pagada",R402=0),"Pagada",IF(O402&lt;TODAY(),"Vencida",IF(O402&lt;=TODAY()+Inicio!$B$19,"Próxima a vencer","Vigente"))))</f>
        <v/>
      </c>
      <c r="T402" s="43" t="n"/>
      <c r="U402" s="68">
        <f>IF($B402="","",YEAR($B402))</f>
        <v/>
      </c>
      <c r="V402" s="68">
        <f>IF($B402="","",MONTH($B402))</f>
        <v/>
      </c>
      <c r="W402" s="68">
        <f>IF($B402="","",DAY($B402))</f>
        <v/>
      </c>
      <c r="X402" s="68">
        <f>IF($B402="","",YEAR($B402)&amp;"-"&amp;TEXT(MONTH($B402),"00"))</f>
        <v/>
      </c>
      <c r="Y402" s="68">
        <f>IF(OR($H402="",$J402=""),"",$J402*IFERROR(VLOOKUP($H402,Maestro_SKU!$A$2:$P$500,12,FALSE),1))</f>
        <v/>
      </c>
    </row>
    <row r="403">
      <c r="A403" s="43" t="n"/>
      <c r="B403" s="54" t="n"/>
      <c r="C403" s="43" t="n"/>
      <c r="D403" s="43" t="n"/>
      <c r="E403" s="48">
        <f>IFERROR(VLOOKUP(D403,Clientes_PDV!$A$2:$J$250,2,FALSE),"")</f>
        <v/>
      </c>
      <c r="F403" s="48">
        <f>IFERROR(VLOOKUP(D403,Clientes_PDV!$A$2:$J$250,3,FALSE),"")</f>
        <v/>
      </c>
      <c r="G403" s="48">
        <f>IFERROR(VLOOKUP(D403,Clientes_PDV!$A$2:$J$250,4,FALSE),"")</f>
        <v/>
      </c>
      <c r="H403" s="43" t="n"/>
      <c r="I403" s="48">
        <f>IFERROR(VLOOKUP(H403,Maestro_SKU!$A$2:$P$500,2,FALSE),"")</f>
        <v/>
      </c>
      <c r="J403" s="55" t="n"/>
      <c r="K403" s="44" t="n"/>
      <c r="L403" s="51">
        <f>IF(OR(J403="",K403=""),"",J403*K403)</f>
        <v/>
      </c>
      <c r="M403" s="51">
        <f>IF(L403="","",L403*Inicio!$B$13)</f>
        <v/>
      </c>
      <c r="N403" s="51">
        <f>IF(L403="","",L403+M403)</f>
        <v/>
      </c>
      <c r="O403" s="54" t="n"/>
      <c r="P403" s="43" t="n"/>
      <c r="Q403" s="44" t="n"/>
      <c r="R403" s="51">
        <f>IF(N403="","",MAX(N403-Q403,0))</f>
        <v/>
      </c>
      <c r="S403" s="48">
        <f>IF(A403="","",IF(OR(P403="Pagada",R403=0),"Pagada",IF(O403&lt;TODAY(),"Vencida",IF(O403&lt;=TODAY()+Inicio!$B$19,"Próxima a vencer","Vigente"))))</f>
        <v/>
      </c>
      <c r="T403" s="43" t="n"/>
      <c r="U403" s="68">
        <f>IF($B403="","",YEAR($B403))</f>
        <v/>
      </c>
      <c r="V403" s="68">
        <f>IF($B403="","",MONTH($B403))</f>
        <v/>
      </c>
      <c r="W403" s="68">
        <f>IF($B403="","",DAY($B403))</f>
        <v/>
      </c>
      <c r="X403" s="68">
        <f>IF($B403="","",YEAR($B403)&amp;"-"&amp;TEXT(MONTH($B403),"00"))</f>
        <v/>
      </c>
      <c r="Y403" s="68">
        <f>IF(OR($H403="",$J403=""),"",$J403*IFERROR(VLOOKUP($H403,Maestro_SKU!$A$2:$P$500,12,FALSE),1))</f>
        <v/>
      </c>
    </row>
    <row r="404">
      <c r="A404" s="43" t="n"/>
      <c r="B404" s="54" t="n"/>
      <c r="C404" s="43" t="n"/>
      <c r="D404" s="43" t="n"/>
      <c r="E404" s="48">
        <f>IFERROR(VLOOKUP(D404,Clientes_PDV!$A$2:$J$250,2,FALSE),"")</f>
        <v/>
      </c>
      <c r="F404" s="48">
        <f>IFERROR(VLOOKUP(D404,Clientes_PDV!$A$2:$J$250,3,FALSE),"")</f>
        <v/>
      </c>
      <c r="G404" s="48">
        <f>IFERROR(VLOOKUP(D404,Clientes_PDV!$A$2:$J$250,4,FALSE),"")</f>
        <v/>
      </c>
      <c r="H404" s="43" t="n"/>
      <c r="I404" s="48">
        <f>IFERROR(VLOOKUP(H404,Maestro_SKU!$A$2:$P$500,2,FALSE),"")</f>
        <v/>
      </c>
      <c r="J404" s="55" t="n"/>
      <c r="K404" s="44" t="n"/>
      <c r="L404" s="51">
        <f>IF(OR(J404="",K404=""),"",J404*K404)</f>
        <v/>
      </c>
      <c r="M404" s="51">
        <f>IF(L404="","",L404*Inicio!$B$13)</f>
        <v/>
      </c>
      <c r="N404" s="51">
        <f>IF(L404="","",L404+M404)</f>
        <v/>
      </c>
      <c r="O404" s="54" t="n"/>
      <c r="P404" s="43" t="n"/>
      <c r="Q404" s="44" t="n"/>
      <c r="R404" s="51">
        <f>IF(N404="","",MAX(N404-Q404,0))</f>
        <v/>
      </c>
      <c r="S404" s="48">
        <f>IF(A404="","",IF(OR(P404="Pagada",R404=0),"Pagada",IF(O404&lt;TODAY(),"Vencida",IF(O404&lt;=TODAY()+Inicio!$B$19,"Próxima a vencer","Vigente"))))</f>
        <v/>
      </c>
      <c r="T404" s="43" t="n"/>
      <c r="U404" s="68">
        <f>IF($B404="","",YEAR($B404))</f>
        <v/>
      </c>
      <c r="V404" s="68">
        <f>IF($B404="","",MONTH($B404))</f>
        <v/>
      </c>
      <c r="W404" s="68">
        <f>IF($B404="","",DAY($B404))</f>
        <v/>
      </c>
      <c r="X404" s="68">
        <f>IF($B404="","",YEAR($B404)&amp;"-"&amp;TEXT(MONTH($B404),"00"))</f>
        <v/>
      </c>
      <c r="Y404" s="68">
        <f>IF(OR($H404="",$J404=""),"",$J404*IFERROR(VLOOKUP($H404,Maestro_SKU!$A$2:$P$500,12,FALSE),1))</f>
        <v/>
      </c>
    </row>
    <row r="405">
      <c r="A405" s="43" t="n"/>
      <c r="B405" s="54" t="n"/>
      <c r="C405" s="43" t="n"/>
      <c r="D405" s="43" t="n"/>
      <c r="E405" s="48">
        <f>IFERROR(VLOOKUP(D405,Clientes_PDV!$A$2:$J$250,2,FALSE),"")</f>
        <v/>
      </c>
      <c r="F405" s="48">
        <f>IFERROR(VLOOKUP(D405,Clientes_PDV!$A$2:$J$250,3,FALSE),"")</f>
        <v/>
      </c>
      <c r="G405" s="48">
        <f>IFERROR(VLOOKUP(D405,Clientes_PDV!$A$2:$J$250,4,FALSE),"")</f>
        <v/>
      </c>
      <c r="H405" s="43" t="n"/>
      <c r="I405" s="48">
        <f>IFERROR(VLOOKUP(H405,Maestro_SKU!$A$2:$P$500,2,FALSE),"")</f>
        <v/>
      </c>
      <c r="J405" s="55" t="n"/>
      <c r="K405" s="44" t="n"/>
      <c r="L405" s="51">
        <f>IF(OR(J405="",K405=""),"",J405*K405)</f>
        <v/>
      </c>
      <c r="M405" s="51">
        <f>IF(L405="","",L405*Inicio!$B$13)</f>
        <v/>
      </c>
      <c r="N405" s="51">
        <f>IF(L405="","",L405+M405)</f>
        <v/>
      </c>
      <c r="O405" s="54" t="n"/>
      <c r="P405" s="43" t="n"/>
      <c r="Q405" s="44" t="n"/>
      <c r="R405" s="51">
        <f>IF(N405="","",MAX(N405-Q405,0))</f>
        <v/>
      </c>
      <c r="S405" s="48">
        <f>IF(A405="","",IF(OR(P405="Pagada",R405=0),"Pagada",IF(O405&lt;TODAY(),"Vencida",IF(O405&lt;=TODAY()+Inicio!$B$19,"Próxima a vencer","Vigente"))))</f>
        <v/>
      </c>
      <c r="T405" s="43" t="n"/>
      <c r="U405" s="68">
        <f>IF($B405="","",YEAR($B405))</f>
        <v/>
      </c>
      <c r="V405" s="68">
        <f>IF($B405="","",MONTH($B405))</f>
        <v/>
      </c>
      <c r="W405" s="68">
        <f>IF($B405="","",DAY($B405))</f>
        <v/>
      </c>
      <c r="X405" s="68">
        <f>IF($B405="","",YEAR($B405)&amp;"-"&amp;TEXT(MONTH($B405),"00"))</f>
        <v/>
      </c>
      <c r="Y405" s="68">
        <f>IF(OR($H405="",$J405=""),"",$J405*IFERROR(VLOOKUP($H405,Maestro_SKU!$A$2:$P$500,12,FALSE),1))</f>
        <v/>
      </c>
    </row>
    <row r="406">
      <c r="A406" s="43" t="n"/>
      <c r="B406" s="54" t="n"/>
      <c r="C406" s="43" t="n"/>
      <c r="D406" s="43" t="n"/>
      <c r="E406" s="48">
        <f>IFERROR(VLOOKUP(D406,Clientes_PDV!$A$2:$J$250,2,FALSE),"")</f>
        <v/>
      </c>
      <c r="F406" s="48">
        <f>IFERROR(VLOOKUP(D406,Clientes_PDV!$A$2:$J$250,3,FALSE),"")</f>
        <v/>
      </c>
      <c r="G406" s="48">
        <f>IFERROR(VLOOKUP(D406,Clientes_PDV!$A$2:$J$250,4,FALSE),"")</f>
        <v/>
      </c>
      <c r="H406" s="43" t="n"/>
      <c r="I406" s="48">
        <f>IFERROR(VLOOKUP(H406,Maestro_SKU!$A$2:$P$500,2,FALSE),"")</f>
        <v/>
      </c>
      <c r="J406" s="55" t="n"/>
      <c r="K406" s="44" t="n"/>
      <c r="L406" s="51">
        <f>IF(OR(J406="",K406=""),"",J406*K406)</f>
        <v/>
      </c>
      <c r="M406" s="51">
        <f>IF(L406="","",L406*Inicio!$B$13)</f>
        <v/>
      </c>
      <c r="N406" s="51">
        <f>IF(L406="","",L406+M406)</f>
        <v/>
      </c>
      <c r="O406" s="54" t="n"/>
      <c r="P406" s="43" t="n"/>
      <c r="Q406" s="44" t="n"/>
      <c r="R406" s="51">
        <f>IF(N406="","",MAX(N406-Q406,0))</f>
        <v/>
      </c>
      <c r="S406" s="48">
        <f>IF(A406="","",IF(OR(P406="Pagada",R406=0),"Pagada",IF(O406&lt;TODAY(),"Vencida",IF(O406&lt;=TODAY()+Inicio!$B$19,"Próxima a vencer","Vigente"))))</f>
        <v/>
      </c>
      <c r="T406" s="43" t="n"/>
      <c r="U406" s="68">
        <f>IF($B406="","",YEAR($B406))</f>
        <v/>
      </c>
      <c r="V406" s="68">
        <f>IF($B406="","",MONTH($B406))</f>
        <v/>
      </c>
      <c r="W406" s="68">
        <f>IF($B406="","",DAY($B406))</f>
        <v/>
      </c>
      <c r="X406" s="68">
        <f>IF($B406="","",YEAR($B406)&amp;"-"&amp;TEXT(MONTH($B406),"00"))</f>
        <v/>
      </c>
      <c r="Y406" s="68">
        <f>IF(OR($H406="",$J406=""),"",$J406*IFERROR(VLOOKUP($H406,Maestro_SKU!$A$2:$P$500,12,FALSE),1))</f>
        <v/>
      </c>
    </row>
    <row r="407">
      <c r="A407" s="43" t="n"/>
      <c r="B407" s="54" t="n"/>
      <c r="C407" s="43" t="n"/>
      <c r="D407" s="43" t="n"/>
      <c r="E407" s="48">
        <f>IFERROR(VLOOKUP(D407,Clientes_PDV!$A$2:$J$250,2,FALSE),"")</f>
        <v/>
      </c>
      <c r="F407" s="48">
        <f>IFERROR(VLOOKUP(D407,Clientes_PDV!$A$2:$J$250,3,FALSE),"")</f>
        <v/>
      </c>
      <c r="G407" s="48">
        <f>IFERROR(VLOOKUP(D407,Clientes_PDV!$A$2:$J$250,4,FALSE),"")</f>
        <v/>
      </c>
      <c r="H407" s="43" t="n"/>
      <c r="I407" s="48">
        <f>IFERROR(VLOOKUP(H407,Maestro_SKU!$A$2:$P$500,2,FALSE),"")</f>
        <v/>
      </c>
      <c r="J407" s="55" t="n"/>
      <c r="K407" s="44" t="n"/>
      <c r="L407" s="51">
        <f>IF(OR(J407="",K407=""),"",J407*K407)</f>
        <v/>
      </c>
      <c r="M407" s="51">
        <f>IF(L407="","",L407*Inicio!$B$13)</f>
        <v/>
      </c>
      <c r="N407" s="51">
        <f>IF(L407="","",L407+M407)</f>
        <v/>
      </c>
      <c r="O407" s="54" t="n"/>
      <c r="P407" s="43" t="n"/>
      <c r="Q407" s="44" t="n"/>
      <c r="R407" s="51">
        <f>IF(N407="","",MAX(N407-Q407,0))</f>
        <v/>
      </c>
      <c r="S407" s="48">
        <f>IF(A407="","",IF(OR(P407="Pagada",R407=0),"Pagada",IF(O407&lt;TODAY(),"Vencida",IF(O407&lt;=TODAY()+Inicio!$B$19,"Próxima a vencer","Vigente"))))</f>
        <v/>
      </c>
      <c r="T407" s="43" t="n"/>
      <c r="U407" s="68">
        <f>IF($B407="","",YEAR($B407))</f>
        <v/>
      </c>
      <c r="V407" s="68">
        <f>IF($B407="","",MONTH($B407))</f>
        <v/>
      </c>
      <c r="W407" s="68">
        <f>IF($B407="","",DAY($B407))</f>
        <v/>
      </c>
      <c r="X407" s="68">
        <f>IF($B407="","",YEAR($B407)&amp;"-"&amp;TEXT(MONTH($B407),"00"))</f>
        <v/>
      </c>
      <c r="Y407" s="68">
        <f>IF(OR($H407="",$J407=""),"",$J407*IFERROR(VLOOKUP($H407,Maestro_SKU!$A$2:$P$500,12,FALSE),1))</f>
        <v/>
      </c>
    </row>
    <row r="408">
      <c r="A408" s="43" t="n"/>
      <c r="B408" s="54" t="n"/>
      <c r="C408" s="43" t="n"/>
      <c r="D408" s="43" t="n"/>
      <c r="E408" s="48">
        <f>IFERROR(VLOOKUP(D408,Clientes_PDV!$A$2:$J$250,2,FALSE),"")</f>
        <v/>
      </c>
      <c r="F408" s="48">
        <f>IFERROR(VLOOKUP(D408,Clientes_PDV!$A$2:$J$250,3,FALSE),"")</f>
        <v/>
      </c>
      <c r="G408" s="48">
        <f>IFERROR(VLOOKUP(D408,Clientes_PDV!$A$2:$J$250,4,FALSE),"")</f>
        <v/>
      </c>
      <c r="H408" s="43" t="n"/>
      <c r="I408" s="48">
        <f>IFERROR(VLOOKUP(H408,Maestro_SKU!$A$2:$P$500,2,FALSE),"")</f>
        <v/>
      </c>
      <c r="J408" s="55" t="n"/>
      <c r="K408" s="44" t="n"/>
      <c r="L408" s="51">
        <f>IF(OR(J408="",K408=""),"",J408*K408)</f>
        <v/>
      </c>
      <c r="M408" s="51">
        <f>IF(L408="","",L408*Inicio!$B$13)</f>
        <v/>
      </c>
      <c r="N408" s="51">
        <f>IF(L408="","",L408+M408)</f>
        <v/>
      </c>
      <c r="O408" s="54" t="n"/>
      <c r="P408" s="43" t="n"/>
      <c r="Q408" s="44" t="n"/>
      <c r="R408" s="51">
        <f>IF(N408="","",MAX(N408-Q408,0))</f>
        <v/>
      </c>
      <c r="S408" s="48">
        <f>IF(A408="","",IF(OR(P408="Pagada",R408=0),"Pagada",IF(O408&lt;TODAY(),"Vencida",IF(O408&lt;=TODAY()+Inicio!$B$19,"Próxima a vencer","Vigente"))))</f>
        <v/>
      </c>
      <c r="T408" s="43" t="n"/>
      <c r="U408" s="68">
        <f>IF($B408="","",YEAR($B408))</f>
        <v/>
      </c>
      <c r="V408" s="68">
        <f>IF($B408="","",MONTH($B408))</f>
        <v/>
      </c>
      <c r="W408" s="68">
        <f>IF($B408="","",DAY($B408))</f>
        <v/>
      </c>
      <c r="X408" s="68">
        <f>IF($B408="","",YEAR($B408)&amp;"-"&amp;TEXT(MONTH($B408),"00"))</f>
        <v/>
      </c>
      <c r="Y408" s="68">
        <f>IF(OR($H408="",$J408=""),"",$J408*IFERROR(VLOOKUP($H408,Maestro_SKU!$A$2:$P$500,12,FALSE),1))</f>
        <v/>
      </c>
    </row>
    <row r="409">
      <c r="A409" s="43" t="n"/>
      <c r="B409" s="54" t="n"/>
      <c r="C409" s="43" t="n"/>
      <c r="D409" s="43" t="n"/>
      <c r="E409" s="48">
        <f>IFERROR(VLOOKUP(D409,Clientes_PDV!$A$2:$J$250,2,FALSE),"")</f>
        <v/>
      </c>
      <c r="F409" s="48">
        <f>IFERROR(VLOOKUP(D409,Clientes_PDV!$A$2:$J$250,3,FALSE),"")</f>
        <v/>
      </c>
      <c r="G409" s="48">
        <f>IFERROR(VLOOKUP(D409,Clientes_PDV!$A$2:$J$250,4,FALSE),"")</f>
        <v/>
      </c>
      <c r="H409" s="43" t="n"/>
      <c r="I409" s="48">
        <f>IFERROR(VLOOKUP(H409,Maestro_SKU!$A$2:$P$500,2,FALSE),"")</f>
        <v/>
      </c>
      <c r="J409" s="55" t="n"/>
      <c r="K409" s="44" t="n"/>
      <c r="L409" s="51">
        <f>IF(OR(J409="",K409=""),"",J409*K409)</f>
        <v/>
      </c>
      <c r="M409" s="51">
        <f>IF(L409="","",L409*Inicio!$B$13)</f>
        <v/>
      </c>
      <c r="N409" s="51">
        <f>IF(L409="","",L409+M409)</f>
        <v/>
      </c>
      <c r="O409" s="54" t="n"/>
      <c r="P409" s="43" t="n"/>
      <c r="Q409" s="44" t="n"/>
      <c r="R409" s="51">
        <f>IF(N409="","",MAX(N409-Q409,0))</f>
        <v/>
      </c>
      <c r="S409" s="48">
        <f>IF(A409="","",IF(OR(P409="Pagada",R409=0),"Pagada",IF(O409&lt;TODAY(),"Vencida",IF(O409&lt;=TODAY()+Inicio!$B$19,"Próxima a vencer","Vigente"))))</f>
        <v/>
      </c>
      <c r="T409" s="43" t="n"/>
      <c r="U409" s="68">
        <f>IF($B409="","",YEAR($B409))</f>
        <v/>
      </c>
      <c r="V409" s="68">
        <f>IF($B409="","",MONTH($B409))</f>
        <v/>
      </c>
      <c r="W409" s="68">
        <f>IF($B409="","",DAY($B409))</f>
        <v/>
      </c>
      <c r="X409" s="68">
        <f>IF($B409="","",YEAR($B409)&amp;"-"&amp;TEXT(MONTH($B409),"00"))</f>
        <v/>
      </c>
      <c r="Y409" s="68">
        <f>IF(OR($H409="",$J409=""),"",$J409*IFERROR(VLOOKUP($H409,Maestro_SKU!$A$2:$P$500,12,FALSE),1))</f>
        <v/>
      </c>
    </row>
    <row r="410">
      <c r="A410" s="43" t="n"/>
      <c r="B410" s="54" t="n"/>
      <c r="C410" s="43" t="n"/>
      <c r="D410" s="43" t="n"/>
      <c r="E410" s="48">
        <f>IFERROR(VLOOKUP(D410,Clientes_PDV!$A$2:$J$250,2,FALSE),"")</f>
        <v/>
      </c>
      <c r="F410" s="48">
        <f>IFERROR(VLOOKUP(D410,Clientes_PDV!$A$2:$J$250,3,FALSE),"")</f>
        <v/>
      </c>
      <c r="G410" s="48">
        <f>IFERROR(VLOOKUP(D410,Clientes_PDV!$A$2:$J$250,4,FALSE),"")</f>
        <v/>
      </c>
      <c r="H410" s="43" t="n"/>
      <c r="I410" s="48">
        <f>IFERROR(VLOOKUP(H410,Maestro_SKU!$A$2:$P$500,2,FALSE),"")</f>
        <v/>
      </c>
      <c r="J410" s="55" t="n"/>
      <c r="K410" s="44" t="n"/>
      <c r="L410" s="51">
        <f>IF(OR(J410="",K410=""),"",J410*K410)</f>
        <v/>
      </c>
      <c r="M410" s="51">
        <f>IF(L410="","",L410*Inicio!$B$13)</f>
        <v/>
      </c>
      <c r="N410" s="51">
        <f>IF(L410="","",L410+M410)</f>
        <v/>
      </c>
      <c r="O410" s="54" t="n"/>
      <c r="P410" s="43" t="n"/>
      <c r="Q410" s="44" t="n"/>
      <c r="R410" s="51">
        <f>IF(N410="","",MAX(N410-Q410,0))</f>
        <v/>
      </c>
      <c r="S410" s="48">
        <f>IF(A410="","",IF(OR(P410="Pagada",R410=0),"Pagada",IF(O410&lt;TODAY(),"Vencida",IF(O410&lt;=TODAY()+Inicio!$B$19,"Próxima a vencer","Vigente"))))</f>
        <v/>
      </c>
      <c r="T410" s="43" t="n"/>
      <c r="U410" s="68">
        <f>IF($B410="","",YEAR($B410))</f>
        <v/>
      </c>
      <c r="V410" s="68">
        <f>IF($B410="","",MONTH($B410))</f>
        <v/>
      </c>
      <c r="W410" s="68">
        <f>IF($B410="","",DAY($B410))</f>
        <v/>
      </c>
      <c r="X410" s="68">
        <f>IF($B410="","",YEAR($B410)&amp;"-"&amp;TEXT(MONTH($B410),"00"))</f>
        <v/>
      </c>
      <c r="Y410" s="68">
        <f>IF(OR($H410="",$J410=""),"",$J410*IFERROR(VLOOKUP($H410,Maestro_SKU!$A$2:$P$500,12,FALSE),1))</f>
        <v/>
      </c>
    </row>
    <row r="411">
      <c r="A411" s="43" t="n"/>
      <c r="B411" s="54" t="n"/>
      <c r="C411" s="43" t="n"/>
      <c r="D411" s="43" t="n"/>
      <c r="E411" s="48">
        <f>IFERROR(VLOOKUP(D411,Clientes_PDV!$A$2:$J$250,2,FALSE),"")</f>
        <v/>
      </c>
      <c r="F411" s="48">
        <f>IFERROR(VLOOKUP(D411,Clientes_PDV!$A$2:$J$250,3,FALSE),"")</f>
        <v/>
      </c>
      <c r="G411" s="48">
        <f>IFERROR(VLOOKUP(D411,Clientes_PDV!$A$2:$J$250,4,FALSE),"")</f>
        <v/>
      </c>
      <c r="H411" s="43" t="n"/>
      <c r="I411" s="48">
        <f>IFERROR(VLOOKUP(H411,Maestro_SKU!$A$2:$P$500,2,FALSE),"")</f>
        <v/>
      </c>
      <c r="J411" s="55" t="n"/>
      <c r="K411" s="44" t="n"/>
      <c r="L411" s="51">
        <f>IF(OR(J411="",K411=""),"",J411*K411)</f>
        <v/>
      </c>
      <c r="M411" s="51">
        <f>IF(L411="","",L411*Inicio!$B$13)</f>
        <v/>
      </c>
      <c r="N411" s="51">
        <f>IF(L411="","",L411+M411)</f>
        <v/>
      </c>
      <c r="O411" s="54" t="n"/>
      <c r="P411" s="43" t="n"/>
      <c r="Q411" s="44" t="n"/>
      <c r="R411" s="51">
        <f>IF(N411="","",MAX(N411-Q411,0))</f>
        <v/>
      </c>
      <c r="S411" s="48">
        <f>IF(A411="","",IF(OR(P411="Pagada",R411=0),"Pagada",IF(O411&lt;TODAY(),"Vencida",IF(O411&lt;=TODAY()+Inicio!$B$19,"Próxima a vencer","Vigente"))))</f>
        <v/>
      </c>
      <c r="T411" s="43" t="n"/>
      <c r="U411" s="68">
        <f>IF($B411="","",YEAR($B411))</f>
        <v/>
      </c>
      <c r="V411" s="68">
        <f>IF($B411="","",MONTH($B411))</f>
        <v/>
      </c>
      <c r="W411" s="68">
        <f>IF($B411="","",DAY($B411))</f>
        <v/>
      </c>
      <c r="X411" s="68">
        <f>IF($B411="","",YEAR($B411)&amp;"-"&amp;TEXT(MONTH($B411),"00"))</f>
        <v/>
      </c>
      <c r="Y411" s="68">
        <f>IF(OR($H411="",$J411=""),"",$J411*IFERROR(VLOOKUP($H411,Maestro_SKU!$A$2:$P$500,12,FALSE),1))</f>
        <v/>
      </c>
    </row>
    <row r="412">
      <c r="A412" s="43" t="n"/>
      <c r="B412" s="54" t="n"/>
      <c r="C412" s="43" t="n"/>
      <c r="D412" s="43" t="n"/>
      <c r="E412" s="48">
        <f>IFERROR(VLOOKUP(D412,Clientes_PDV!$A$2:$J$250,2,FALSE),"")</f>
        <v/>
      </c>
      <c r="F412" s="48">
        <f>IFERROR(VLOOKUP(D412,Clientes_PDV!$A$2:$J$250,3,FALSE),"")</f>
        <v/>
      </c>
      <c r="G412" s="48">
        <f>IFERROR(VLOOKUP(D412,Clientes_PDV!$A$2:$J$250,4,FALSE),"")</f>
        <v/>
      </c>
      <c r="H412" s="43" t="n"/>
      <c r="I412" s="48">
        <f>IFERROR(VLOOKUP(H412,Maestro_SKU!$A$2:$P$500,2,FALSE),"")</f>
        <v/>
      </c>
      <c r="J412" s="55" t="n"/>
      <c r="K412" s="44" t="n"/>
      <c r="L412" s="51">
        <f>IF(OR(J412="",K412=""),"",J412*K412)</f>
        <v/>
      </c>
      <c r="M412" s="51">
        <f>IF(L412="","",L412*Inicio!$B$13)</f>
        <v/>
      </c>
      <c r="N412" s="51">
        <f>IF(L412="","",L412+M412)</f>
        <v/>
      </c>
      <c r="O412" s="54" t="n"/>
      <c r="P412" s="43" t="n"/>
      <c r="Q412" s="44" t="n"/>
      <c r="R412" s="51">
        <f>IF(N412="","",MAX(N412-Q412,0))</f>
        <v/>
      </c>
      <c r="S412" s="48">
        <f>IF(A412="","",IF(OR(P412="Pagada",R412=0),"Pagada",IF(O412&lt;TODAY(),"Vencida",IF(O412&lt;=TODAY()+Inicio!$B$19,"Próxima a vencer","Vigente"))))</f>
        <v/>
      </c>
      <c r="T412" s="43" t="n"/>
      <c r="U412" s="68">
        <f>IF($B412="","",YEAR($B412))</f>
        <v/>
      </c>
      <c r="V412" s="68">
        <f>IF($B412="","",MONTH($B412))</f>
        <v/>
      </c>
      <c r="W412" s="68">
        <f>IF($B412="","",DAY($B412))</f>
        <v/>
      </c>
      <c r="X412" s="68">
        <f>IF($B412="","",YEAR($B412)&amp;"-"&amp;TEXT(MONTH($B412),"00"))</f>
        <v/>
      </c>
      <c r="Y412" s="68">
        <f>IF(OR($H412="",$J412=""),"",$J412*IFERROR(VLOOKUP($H412,Maestro_SKU!$A$2:$P$500,12,FALSE),1))</f>
        <v/>
      </c>
    </row>
    <row r="413">
      <c r="A413" s="43" t="n"/>
      <c r="B413" s="54" t="n"/>
      <c r="C413" s="43" t="n"/>
      <c r="D413" s="43" t="n"/>
      <c r="E413" s="48">
        <f>IFERROR(VLOOKUP(D413,Clientes_PDV!$A$2:$J$250,2,FALSE),"")</f>
        <v/>
      </c>
      <c r="F413" s="48">
        <f>IFERROR(VLOOKUP(D413,Clientes_PDV!$A$2:$J$250,3,FALSE),"")</f>
        <v/>
      </c>
      <c r="G413" s="48">
        <f>IFERROR(VLOOKUP(D413,Clientes_PDV!$A$2:$J$250,4,FALSE),"")</f>
        <v/>
      </c>
      <c r="H413" s="43" t="n"/>
      <c r="I413" s="48">
        <f>IFERROR(VLOOKUP(H413,Maestro_SKU!$A$2:$P$500,2,FALSE),"")</f>
        <v/>
      </c>
      <c r="J413" s="55" t="n"/>
      <c r="K413" s="44" t="n"/>
      <c r="L413" s="51">
        <f>IF(OR(J413="",K413=""),"",J413*K413)</f>
        <v/>
      </c>
      <c r="M413" s="51">
        <f>IF(L413="","",L413*Inicio!$B$13)</f>
        <v/>
      </c>
      <c r="N413" s="51">
        <f>IF(L413="","",L413+M413)</f>
        <v/>
      </c>
      <c r="O413" s="54" t="n"/>
      <c r="P413" s="43" t="n"/>
      <c r="Q413" s="44" t="n"/>
      <c r="R413" s="51">
        <f>IF(N413="","",MAX(N413-Q413,0))</f>
        <v/>
      </c>
      <c r="S413" s="48">
        <f>IF(A413="","",IF(OR(P413="Pagada",R413=0),"Pagada",IF(O413&lt;TODAY(),"Vencida",IF(O413&lt;=TODAY()+Inicio!$B$19,"Próxima a vencer","Vigente"))))</f>
        <v/>
      </c>
      <c r="T413" s="43" t="n"/>
      <c r="U413" s="68">
        <f>IF($B413="","",YEAR($B413))</f>
        <v/>
      </c>
      <c r="V413" s="68">
        <f>IF($B413="","",MONTH($B413))</f>
        <v/>
      </c>
      <c r="W413" s="68">
        <f>IF($B413="","",DAY($B413))</f>
        <v/>
      </c>
      <c r="X413" s="68">
        <f>IF($B413="","",YEAR($B413)&amp;"-"&amp;TEXT(MONTH($B413),"00"))</f>
        <v/>
      </c>
      <c r="Y413" s="68">
        <f>IF(OR($H413="",$J413=""),"",$J413*IFERROR(VLOOKUP($H413,Maestro_SKU!$A$2:$P$500,12,FALSE),1))</f>
        <v/>
      </c>
    </row>
    <row r="414">
      <c r="A414" s="43" t="n"/>
      <c r="B414" s="54" t="n"/>
      <c r="C414" s="43" t="n"/>
      <c r="D414" s="43" t="n"/>
      <c r="E414" s="48">
        <f>IFERROR(VLOOKUP(D414,Clientes_PDV!$A$2:$J$250,2,FALSE),"")</f>
        <v/>
      </c>
      <c r="F414" s="48">
        <f>IFERROR(VLOOKUP(D414,Clientes_PDV!$A$2:$J$250,3,FALSE),"")</f>
        <v/>
      </c>
      <c r="G414" s="48">
        <f>IFERROR(VLOOKUP(D414,Clientes_PDV!$A$2:$J$250,4,FALSE),"")</f>
        <v/>
      </c>
      <c r="H414" s="43" t="n"/>
      <c r="I414" s="48">
        <f>IFERROR(VLOOKUP(H414,Maestro_SKU!$A$2:$P$500,2,FALSE),"")</f>
        <v/>
      </c>
      <c r="J414" s="55" t="n"/>
      <c r="K414" s="44" t="n"/>
      <c r="L414" s="51">
        <f>IF(OR(J414="",K414=""),"",J414*K414)</f>
        <v/>
      </c>
      <c r="M414" s="51">
        <f>IF(L414="","",L414*Inicio!$B$13)</f>
        <v/>
      </c>
      <c r="N414" s="51">
        <f>IF(L414="","",L414+M414)</f>
        <v/>
      </c>
      <c r="O414" s="54" t="n"/>
      <c r="P414" s="43" t="n"/>
      <c r="Q414" s="44" t="n"/>
      <c r="R414" s="51">
        <f>IF(N414="","",MAX(N414-Q414,0))</f>
        <v/>
      </c>
      <c r="S414" s="48">
        <f>IF(A414="","",IF(OR(P414="Pagada",R414=0),"Pagada",IF(O414&lt;TODAY(),"Vencida",IF(O414&lt;=TODAY()+Inicio!$B$19,"Próxima a vencer","Vigente"))))</f>
        <v/>
      </c>
      <c r="T414" s="43" t="n"/>
      <c r="U414" s="68">
        <f>IF($B414="","",YEAR($B414))</f>
        <v/>
      </c>
      <c r="V414" s="68">
        <f>IF($B414="","",MONTH($B414))</f>
        <v/>
      </c>
      <c r="W414" s="68">
        <f>IF($B414="","",DAY($B414))</f>
        <v/>
      </c>
      <c r="X414" s="68">
        <f>IF($B414="","",YEAR($B414)&amp;"-"&amp;TEXT(MONTH($B414),"00"))</f>
        <v/>
      </c>
      <c r="Y414" s="68">
        <f>IF(OR($H414="",$J414=""),"",$J414*IFERROR(VLOOKUP($H414,Maestro_SKU!$A$2:$P$500,12,FALSE),1))</f>
        <v/>
      </c>
    </row>
    <row r="415">
      <c r="A415" s="43" t="n"/>
      <c r="B415" s="54" t="n"/>
      <c r="C415" s="43" t="n"/>
      <c r="D415" s="43" t="n"/>
      <c r="E415" s="48">
        <f>IFERROR(VLOOKUP(D415,Clientes_PDV!$A$2:$J$250,2,FALSE),"")</f>
        <v/>
      </c>
      <c r="F415" s="48">
        <f>IFERROR(VLOOKUP(D415,Clientes_PDV!$A$2:$J$250,3,FALSE),"")</f>
        <v/>
      </c>
      <c r="G415" s="48">
        <f>IFERROR(VLOOKUP(D415,Clientes_PDV!$A$2:$J$250,4,FALSE),"")</f>
        <v/>
      </c>
      <c r="H415" s="43" t="n"/>
      <c r="I415" s="48">
        <f>IFERROR(VLOOKUP(H415,Maestro_SKU!$A$2:$P$500,2,FALSE),"")</f>
        <v/>
      </c>
      <c r="J415" s="55" t="n"/>
      <c r="K415" s="44" t="n"/>
      <c r="L415" s="51">
        <f>IF(OR(J415="",K415=""),"",J415*K415)</f>
        <v/>
      </c>
      <c r="M415" s="51">
        <f>IF(L415="","",L415*Inicio!$B$13)</f>
        <v/>
      </c>
      <c r="N415" s="51">
        <f>IF(L415="","",L415+M415)</f>
        <v/>
      </c>
      <c r="O415" s="54" t="n"/>
      <c r="P415" s="43" t="n"/>
      <c r="Q415" s="44" t="n"/>
      <c r="R415" s="51">
        <f>IF(N415="","",MAX(N415-Q415,0))</f>
        <v/>
      </c>
      <c r="S415" s="48">
        <f>IF(A415="","",IF(OR(P415="Pagada",R415=0),"Pagada",IF(O415&lt;TODAY(),"Vencida",IF(O415&lt;=TODAY()+Inicio!$B$19,"Próxima a vencer","Vigente"))))</f>
        <v/>
      </c>
      <c r="T415" s="43" t="n"/>
      <c r="U415" s="68">
        <f>IF($B415="","",YEAR($B415))</f>
        <v/>
      </c>
      <c r="V415" s="68">
        <f>IF($B415="","",MONTH($B415))</f>
        <v/>
      </c>
      <c r="W415" s="68">
        <f>IF($B415="","",DAY($B415))</f>
        <v/>
      </c>
      <c r="X415" s="68">
        <f>IF($B415="","",YEAR($B415)&amp;"-"&amp;TEXT(MONTH($B415),"00"))</f>
        <v/>
      </c>
      <c r="Y415" s="68">
        <f>IF(OR($H415="",$J415=""),"",$J415*IFERROR(VLOOKUP($H415,Maestro_SKU!$A$2:$P$500,12,FALSE),1))</f>
        <v/>
      </c>
    </row>
    <row r="416">
      <c r="A416" s="43" t="n"/>
      <c r="B416" s="54" t="n"/>
      <c r="C416" s="43" t="n"/>
      <c r="D416" s="43" t="n"/>
      <c r="E416" s="48">
        <f>IFERROR(VLOOKUP(D416,Clientes_PDV!$A$2:$J$250,2,FALSE),"")</f>
        <v/>
      </c>
      <c r="F416" s="48">
        <f>IFERROR(VLOOKUP(D416,Clientes_PDV!$A$2:$J$250,3,FALSE),"")</f>
        <v/>
      </c>
      <c r="G416" s="48">
        <f>IFERROR(VLOOKUP(D416,Clientes_PDV!$A$2:$J$250,4,FALSE),"")</f>
        <v/>
      </c>
      <c r="H416" s="43" t="n"/>
      <c r="I416" s="48">
        <f>IFERROR(VLOOKUP(H416,Maestro_SKU!$A$2:$P$500,2,FALSE),"")</f>
        <v/>
      </c>
      <c r="J416" s="55" t="n"/>
      <c r="K416" s="44" t="n"/>
      <c r="L416" s="51">
        <f>IF(OR(J416="",K416=""),"",J416*K416)</f>
        <v/>
      </c>
      <c r="M416" s="51">
        <f>IF(L416="","",L416*Inicio!$B$13)</f>
        <v/>
      </c>
      <c r="N416" s="51">
        <f>IF(L416="","",L416+M416)</f>
        <v/>
      </c>
      <c r="O416" s="54" t="n"/>
      <c r="P416" s="43" t="n"/>
      <c r="Q416" s="44" t="n"/>
      <c r="R416" s="51">
        <f>IF(N416="","",MAX(N416-Q416,0))</f>
        <v/>
      </c>
      <c r="S416" s="48">
        <f>IF(A416="","",IF(OR(P416="Pagada",R416=0),"Pagada",IF(O416&lt;TODAY(),"Vencida",IF(O416&lt;=TODAY()+Inicio!$B$19,"Próxima a vencer","Vigente"))))</f>
        <v/>
      </c>
      <c r="T416" s="43" t="n"/>
      <c r="U416" s="68">
        <f>IF($B416="","",YEAR($B416))</f>
        <v/>
      </c>
      <c r="V416" s="68">
        <f>IF($B416="","",MONTH($B416))</f>
        <v/>
      </c>
      <c r="W416" s="68">
        <f>IF($B416="","",DAY($B416))</f>
        <v/>
      </c>
      <c r="X416" s="68">
        <f>IF($B416="","",YEAR($B416)&amp;"-"&amp;TEXT(MONTH($B416),"00"))</f>
        <v/>
      </c>
      <c r="Y416" s="68">
        <f>IF(OR($H416="",$J416=""),"",$J416*IFERROR(VLOOKUP($H416,Maestro_SKU!$A$2:$P$500,12,FALSE),1))</f>
        <v/>
      </c>
    </row>
    <row r="417">
      <c r="A417" s="43" t="n"/>
      <c r="B417" s="54" t="n"/>
      <c r="C417" s="43" t="n"/>
      <c r="D417" s="43" t="n"/>
      <c r="E417" s="48">
        <f>IFERROR(VLOOKUP(D417,Clientes_PDV!$A$2:$J$250,2,FALSE),"")</f>
        <v/>
      </c>
      <c r="F417" s="48">
        <f>IFERROR(VLOOKUP(D417,Clientes_PDV!$A$2:$J$250,3,FALSE),"")</f>
        <v/>
      </c>
      <c r="G417" s="48">
        <f>IFERROR(VLOOKUP(D417,Clientes_PDV!$A$2:$J$250,4,FALSE),"")</f>
        <v/>
      </c>
      <c r="H417" s="43" t="n"/>
      <c r="I417" s="48">
        <f>IFERROR(VLOOKUP(H417,Maestro_SKU!$A$2:$P$500,2,FALSE),"")</f>
        <v/>
      </c>
      <c r="J417" s="55" t="n"/>
      <c r="K417" s="44" t="n"/>
      <c r="L417" s="51">
        <f>IF(OR(J417="",K417=""),"",J417*K417)</f>
        <v/>
      </c>
      <c r="M417" s="51">
        <f>IF(L417="","",L417*Inicio!$B$13)</f>
        <v/>
      </c>
      <c r="N417" s="51">
        <f>IF(L417="","",L417+M417)</f>
        <v/>
      </c>
      <c r="O417" s="54" t="n"/>
      <c r="P417" s="43" t="n"/>
      <c r="Q417" s="44" t="n"/>
      <c r="R417" s="51">
        <f>IF(N417="","",MAX(N417-Q417,0))</f>
        <v/>
      </c>
      <c r="S417" s="48">
        <f>IF(A417="","",IF(OR(P417="Pagada",R417=0),"Pagada",IF(O417&lt;TODAY(),"Vencida",IF(O417&lt;=TODAY()+Inicio!$B$19,"Próxima a vencer","Vigente"))))</f>
        <v/>
      </c>
      <c r="T417" s="43" t="n"/>
      <c r="U417" s="68">
        <f>IF($B417="","",YEAR($B417))</f>
        <v/>
      </c>
      <c r="V417" s="68">
        <f>IF($B417="","",MONTH($B417))</f>
        <v/>
      </c>
      <c r="W417" s="68">
        <f>IF($B417="","",DAY($B417))</f>
        <v/>
      </c>
      <c r="X417" s="68">
        <f>IF($B417="","",YEAR($B417)&amp;"-"&amp;TEXT(MONTH($B417),"00"))</f>
        <v/>
      </c>
      <c r="Y417" s="68">
        <f>IF(OR($H417="",$J417=""),"",$J417*IFERROR(VLOOKUP($H417,Maestro_SKU!$A$2:$P$500,12,FALSE),1))</f>
        <v/>
      </c>
    </row>
    <row r="418">
      <c r="A418" s="43" t="n"/>
      <c r="B418" s="54" t="n"/>
      <c r="C418" s="43" t="n"/>
      <c r="D418" s="43" t="n"/>
      <c r="E418" s="48">
        <f>IFERROR(VLOOKUP(D418,Clientes_PDV!$A$2:$J$250,2,FALSE),"")</f>
        <v/>
      </c>
      <c r="F418" s="48">
        <f>IFERROR(VLOOKUP(D418,Clientes_PDV!$A$2:$J$250,3,FALSE),"")</f>
        <v/>
      </c>
      <c r="G418" s="48">
        <f>IFERROR(VLOOKUP(D418,Clientes_PDV!$A$2:$J$250,4,FALSE),"")</f>
        <v/>
      </c>
      <c r="H418" s="43" t="n"/>
      <c r="I418" s="48">
        <f>IFERROR(VLOOKUP(H418,Maestro_SKU!$A$2:$P$500,2,FALSE),"")</f>
        <v/>
      </c>
      <c r="J418" s="55" t="n"/>
      <c r="K418" s="44" t="n"/>
      <c r="L418" s="51">
        <f>IF(OR(J418="",K418=""),"",J418*K418)</f>
        <v/>
      </c>
      <c r="M418" s="51">
        <f>IF(L418="","",L418*Inicio!$B$13)</f>
        <v/>
      </c>
      <c r="N418" s="51">
        <f>IF(L418="","",L418+M418)</f>
        <v/>
      </c>
      <c r="O418" s="54" t="n"/>
      <c r="P418" s="43" t="n"/>
      <c r="Q418" s="44" t="n"/>
      <c r="R418" s="51">
        <f>IF(N418="","",MAX(N418-Q418,0))</f>
        <v/>
      </c>
      <c r="S418" s="48">
        <f>IF(A418="","",IF(OR(P418="Pagada",R418=0),"Pagada",IF(O418&lt;TODAY(),"Vencida",IF(O418&lt;=TODAY()+Inicio!$B$19,"Próxima a vencer","Vigente"))))</f>
        <v/>
      </c>
      <c r="T418" s="43" t="n"/>
      <c r="U418" s="68">
        <f>IF($B418="","",YEAR($B418))</f>
        <v/>
      </c>
      <c r="V418" s="68">
        <f>IF($B418="","",MONTH($B418))</f>
        <v/>
      </c>
      <c r="W418" s="68">
        <f>IF($B418="","",DAY($B418))</f>
        <v/>
      </c>
      <c r="X418" s="68">
        <f>IF($B418="","",YEAR($B418)&amp;"-"&amp;TEXT(MONTH($B418),"00"))</f>
        <v/>
      </c>
      <c r="Y418" s="68">
        <f>IF(OR($H418="",$J418=""),"",$J418*IFERROR(VLOOKUP($H418,Maestro_SKU!$A$2:$P$500,12,FALSE),1))</f>
        <v/>
      </c>
    </row>
    <row r="419">
      <c r="A419" s="43" t="n"/>
      <c r="B419" s="54" t="n"/>
      <c r="C419" s="43" t="n"/>
      <c r="D419" s="43" t="n"/>
      <c r="E419" s="48">
        <f>IFERROR(VLOOKUP(D419,Clientes_PDV!$A$2:$J$250,2,FALSE),"")</f>
        <v/>
      </c>
      <c r="F419" s="48">
        <f>IFERROR(VLOOKUP(D419,Clientes_PDV!$A$2:$J$250,3,FALSE),"")</f>
        <v/>
      </c>
      <c r="G419" s="48">
        <f>IFERROR(VLOOKUP(D419,Clientes_PDV!$A$2:$J$250,4,FALSE),"")</f>
        <v/>
      </c>
      <c r="H419" s="43" t="n"/>
      <c r="I419" s="48">
        <f>IFERROR(VLOOKUP(H419,Maestro_SKU!$A$2:$P$500,2,FALSE),"")</f>
        <v/>
      </c>
      <c r="J419" s="55" t="n"/>
      <c r="K419" s="44" t="n"/>
      <c r="L419" s="51">
        <f>IF(OR(J419="",K419=""),"",J419*K419)</f>
        <v/>
      </c>
      <c r="M419" s="51">
        <f>IF(L419="","",L419*Inicio!$B$13)</f>
        <v/>
      </c>
      <c r="N419" s="51">
        <f>IF(L419="","",L419+M419)</f>
        <v/>
      </c>
      <c r="O419" s="54" t="n"/>
      <c r="P419" s="43" t="n"/>
      <c r="Q419" s="44" t="n"/>
      <c r="R419" s="51">
        <f>IF(N419="","",MAX(N419-Q419,0))</f>
        <v/>
      </c>
      <c r="S419" s="48">
        <f>IF(A419="","",IF(OR(P419="Pagada",R419=0),"Pagada",IF(O419&lt;TODAY(),"Vencida",IF(O419&lt;=TODAY()+Inicio!$B$19,"Próxima a vencer","Vigente"))))</f>
        <v/>
      </c>
      <c r="T419" s="43" t="n"/>
      <c r="U419" s="68">
        <f>IF($B419="","",YEAR($B419))</f>
        <v/>
      </c>
      <c r="V419" s="68">
        <f>IF($B419="","",MONTH($B419))</f>
        <v/>
      </c>
      <c r="W419" s="68">
        <f>IF($B419="","",DAY($B419))</f>
        <v/>
      </c>
      <c r="X419" s="68">
        <f>IF($B419="","",YEAR($B419)&amp;"-"&amp;TEXT(MONTH($B419),"00"))</f>
        <v/>
      </c>
      <c r="Y419" s="68">
        <f>IF(OR($H419="",$J419=""),"",$J419*IFERROR(VLOOKUP($H419,Maestro_SKU!$A$2:$P$500,12,FALSE),1))</f>
        <v/>
      </c>
    </row>
    <row r="420">
      <c r="A420" s="43" t="n"/>
      <c r="B420" s="54" t="n"/>
      <c r="C420" s="43" t="n"/>
      <c r="D420" s="43" t="n"/>
      <c r="E420" s="48">
        <f>IFERROR(VLOOKUP(D420,Clientes_PDV!$A$2:$J$250,2,FALSE),"")</f>
        <v/>
      </c>
      <c r="F420" s="48">
        <f>IFERROR(VLOOKUP(D420,Clientes_PDV!$A$2:$J$250,3,FALSE),"")</f>
        <v/>
      </c>
      <c r="G420" s="48">
        <f>IFERROR(VLOOKUP(D420,Clientes_PDV!$A$2:$J$250,4,FALSE),"")</f>
        <v/>
      </c>
      <c r="H420" s="43" t="n"/>
      <c r="I420" s="48">
        <f>IFERROR(VLOOKUP(H420,Maestro_SKU!$A$2:$P$500,2,FALSE),"")</f>
        <v/>
      </c>
      <c r="J420" s="55" t="n"/>
      <c r="K420" s="44" t="n"/>
      <c r="L420" s="51">
        <f>IF(OR(J420="",K420=""),"",J420*K420)</f>
        <v/>
      </c>
      <c r="M420" s="51">
        <f>IF(L420="","",L420*Inicio!$B$13)</f>
        <v/>
      </c>
      <c r="N420" s="51">
        <f>IF(L420="","",L420+M420)</f>
        <v/>
      </c>
      <c r="O420" s="54" t="n"/>
      <c r="P420" s="43" t="n"/>
      <c r="Q420" s="44" t="n"/>
      <c r="R420" s="51">
        <f>IF(N420="","",MAX(N420-Q420,0))</f>
        <v/>
      </c>
      <c r="S420" s="48">
        <f>IF(A420="","",IF(OR(P420="Pagada",R420=0),"Pagada",IF(O420&lt;TODAY(),"Vencida",IF(O420&lt;=TODAY()+Inicio!$B$19,"Próxima a vencer","Vigente"))))</f>
        <v/>
      </c>
      <c r="T420" s="43" t="n"/>
      <c r="U420" s="68">
        <f>IF($B420="","",YEAR($B420))</f>
        <v/>
      </c>
      <c r="V420" s="68">
        <f>IF($B420="","",MONTH($B420))</f>
        <v/>
      </c>
      <c r="W420" s="68">
        <f>IF($B420="","",DAY($B420))</f>
        <v/>
      </c>
      <c r="X420" s="68">
        <f>IF($B420="","",YEAR($B420)&amp;"-"&amp;TEXT(MONTH($B420),"00"))</f>
        <v/>
      </c>
      <c r="Y420" s="68">
        <f>IF(OR($H420="",$J420=""),"",$J420*IFERROR(VLOOKUP($H420,Maestro_SKU!$A$2:$P$500,12,FALSE),1))</f>
        <v/>
      </c>
    </row>
    <row r="421">
      <c r="A421" s="43" t="n"/>
      <c r="B421" s="54" t="n"/>
      <c r="C421" s="43" t="n"/>
      <c r="D421" s="43" t="n"/>
      <c r="E421" s="48">
        <f>IFERROR(VLOOKUP(D421,Clientes_PDV!$A$2:$J$250,2,FALSE),"")</f>
        <v/>
      </c>
      <c r="F421" s="48">
        <f>IFERROR(VLOOKUP(D421,Clientes_PDV!$A$2:$J$250,3,FALSE),"")</f>
        <v/>
      </c>
      <c r="G421" s="48">
        <f>IFERROR(VLOOKUP(D421,Clientes_PDV!$A$2:$J$250,4,FALSE),"")</f>
        <v/>
      </c>
      <c r="H421" s="43" t="n"/>
      <c r="I421" s="48">
        <f>IFERROR(VLOOKUP(H421,Maestro_SKU!$A$2:$P$500,2,FALSE),"")</f>
        <v/>
      </c>
      <c r="J421" s="55" t="n"/>
      <c r="K421" s="44" t="n"/>
      <c r="L421" s="51">
        <f>IF(OR(J421="",K421=""),"",J421*K421)</f>
        <v/>
      </c>
      <c r="M421" s="51">
        <f>IF(L421="","",L421*Inicio!$B$13)</f>
        <v/>
      </c>
      <c r="N421" s="51">
        <f>IF(L421="","",L421+M421)</f>
        <v/>
      </c>
      <c r="O421" s="54" t="n"/>
      <c r="P421" s="43" t="n"/>
      <c r="Q421" s="44" t="n"/>
      <c r="R421" s="51">
        <f>IF(N421="","",MAX(N421-Q421,0))</f>
        <v/>
      </c>
      <c r="S421" s="48">
        <f>IF(A421="","",IF(OR(P421="Pagada",R421=0),"Pagada",IF(O421&lt;TODAY(),"Vencida",IF(O421&lt;=TODAY()+Inicio!$B$19,"Próxima a vencer","Vigente"))))</f>
        <v/>
      </c>
      <c r="T421" s="43" t="n"/>
      <c r="U421" s="68">
        <f>IF($B421="","",YEAR($B421))</f>
        <v/>
      </c>
      <c r="V421" s="68">
        <f>IF($B421="","",MONTH($B421))</f>
        <v/>
      </c>
      <c r="W421" s="68">
        <f>IF($B421="","",DAY($B421))</f>
        <v/>
      </c>
      <c r="X421" s="68">
        <f>IF($B421="","",YEAR($B421)&amp;"-"&amp;TEXT(MONTH($B421),"00"))</f>
        <v/>
      </c>
      <c r="Y421" s="68">
        <f>IF(OR($H421="",$J421=""),"",$J421*IFERROR(VLOOKUP($H421,Maestro_SKU!$A$2:$P$500,12,FALSE),1))</f>
        <v/>
      </c>
    </row>
    <row r="422">
      <c r="A422" s="43" t="n"/>
      <c r="B422" s="54" t="n"/>
      <c r="C422" s="43" t="n"/>
      <c r="D422" s="43" t="n"/>
      <c r="E422" s="48">
        <f>IFERROR(VLOOKUP(D422,Clientes_PDV!$A$2:$J$250,2,FALSE),"")</f>
        <v/>
      </c>
      <c r="F422" s="48">
        <f>IFERROR(VLOOKUP(D422,Clientes_PDV!$A$2:$J$250,3,FALSE),"")</f>
        <v/>
      </c>
      <c r="G422" s="48">
        <f>IFERROR(VLOOKUP(D422,Clientes_PDV!$A$2:$J$250,4,FALSE),"")</f>
        <v/>
      </c>
      <c r="H422" s="43" t="n"/>
      <c r="I422" s="48">
        <f>IFERROR(VLOOKUP(H422,Maestro_SKU!$A$2:$P$500,2,FALSE),"")</f>
        <v/>
      </c>
      <c r="J422" s="55" t="n"/>
      <c r="K422" s="44" t="n"/>
      <c r="L422" s="51">
        <f>IF(OR(J422="",K422=""),"",J422*K422)</f>
        <v/>
      </c>
      <c r="M422" s="51">
        <f>IF(L422="","",L422*Inicio!$B$13)</f>
        <v/>
      </c>
      <c r="N422" s="51">
        <f>IF(L422="","",L422+M422)</f>
        <v/>
      </c>
      <c r="O422" s="54" t="n"/>
      <c r="P422" s="43" t="n"/>
      <c r="Q422" s="44" t="n"/>
      <c r="R422" s="51">
        <f>IF(N422="","",MAX(N422-Q422,0))</f>
        <v/>
      </c>
      <c r="S422" s="48">
        <f>IF(A422="","",IF(OR(P422="Pagada",R422=0),"Pagada",IF(O422&lt;TODAY(),"Vencida",IF(O422&lt;=TODAY()+Inicio!$B$19,"Próxima a vencer","Vigente"))))</f>
        <v/>
      </c>
      <c r="T422" s="43" t="n"/>
      <c r="U422" s="68">
        <f>IF($B422="","",YEAR($B422))</f>
        <v/>
      </c>
      <c r="V422" s="68">
        <f>IF($B422="","",MONTH($B422))</f>
        <v/>
      </c>
      <c r="W422" s="68">
        <f>IF($B422="","",DAY($B422))</f>
        <v/>
      </c>
      <c r="X422" s="68">
        <f>IF($B422="","",YEAR($B422)&amp;"-"&amp;TEXT(MONTH($B422),"00"))</f>
        <v/>
      </c>
      <c r="Y422" s="68">
        <f>IF(OR($H422="",$J422=""),"",$J422*IFERROR(VLOOKUP($H422,Maestro_SKU!$A$2:$P$500,12,FALSE),1))</f>
        <v/>
      </c>
    </row>
    <row r="423">
      <c r="A423" s="43" t="n"/>
      <c r="B423" s="54" t="n"/>
      <c r="C423" s="43" t="n"/>
      <c r="D423" s="43" t="n"/>
      <c r="E423" s="48">
        <f>IFERROR(VLOOKUP(D423,Clientes_PDV!$A$2:$J$250,2,FALSE),"")</f>
        <v/>
      </c>
      <c r="F423" s="48">
        <f>IFERROR(VLOOKUP(D423,Clientes_PDV!$A$2:$J$250,3,FALSE),"")</f>
        <v/>
      </c>
      <c r="G423" s="48">
        <f>IFERROR(VLOOKUP(D423,Clientes_PDV!$A$2:$J$250,4,FALSE),"")</f>
        <v/>
      </c>
      <c r="H423" s="43" t="n"/>
      <c r="I423" s="48">
        <f>IFERROR(VLOOKUP(H423,Maestro_SKU!$A$2:$P$500,2,FALSE),"")</f>
        <v/>
      </c>
      <c r="J423" s="55" t="n"/>
      <c r="K423" s="44" t="n"/>
      <c r="L423" s="51">
        <f>IF(OR(J423="",K423=""),"",J423*K423)</f>
        <v/>
      </c>
      <c r="M423" s="51">
        <f>IF(L423="","",L423*Inicio!$B$13)</f>
        <v/>
      </c>
      <c r="N423" s="51">
        <f>IF(L423="","",L423+M423)</f>
        <v/>
      </c>
      <c r="O423" s="54" t="n"/>
      <c r="P423" s="43" t="n"/>
      <c r="Q423" s="44" t="n"/>
      <c r="R423" s="51">
        <f>IF(N423="","",MAX(N423-Q423,0))</f>
        <v/>
      </c>
      <c r="S423" s="48">
        <f>IF(A423="","",IF(OR(P423="Pagada",R423=0),"Pagada",IF(O423&lt;TODAY(),"Vencida",IF(O423&lt;=TODAY()+Inicio!$B$19,"Próxima a vencer","Vigente"))))</f>
        <v/>
      </c>
      <c r="T423" s="43" t="n"/>
      <c r="U423" s="68">
        <f>IF($B423="","",YEAR($B423))</f>
        <v/>
      </c>
      <c r="V423" s="68">
        <f>IF($B423="","",MONTH($B423))</f>
        <v/>
      </c>
      <c r="W423" s="68">
        <f>IF($B423="","",DAY($B423))</f>
        <v/>
      </c>
      <c r="X423" s="68">
        <f>IF($B423="","",YEAR($B423)&amp;"-"&amp;TEXT(MONTH($B423),"00"))</f>
        <v/>
      </c>
      <c r="Y423" s="68">
        <f>IF(OR($H423="",$J423=""),"",$J423*IFERROR(VLOOKUP($H423,Maestro_SKU!$A$2:$P$500,12,FALSE),1))</f>
        <v/>
      </c>
    </row>
    <row r="424">
      <c r="A424" s="43" t="n"/>
      <c r="B424" s="54" t="n"/>
      <c r="C424" s="43" t="n"/>
      <c r="D424" s="43" t="n"/>
      <c r="E424" s="48">
        <f>IFERROR(VLOOKUP(D424,Clientes_PDV!$A$2:$J$250,2,FALSE),"")</f>
        <v/>
      </c>
      <c r="F424" s="48">
        <f>IFERROR(VLOOKUP(D424,Clientes_PDV!$A$2:$J$250,3,FALSE),"")</f>
        <v/>
      </c>
      <c r="G424" s="48">
        <f>IFERROR(VLOOKUP(D424,Clientes_PDV!$A$2:$J$250,4,FALSE),"")</f>
        <v/>
      </c>
      <c r="H424" s="43" t="n"/>
      <c r="I424" s="48">
        <f>IFERROR(VLOOKUP(H424,Maestro_SKU!$A$2:$P$500,2,FALSE),"")</f>
        <v/>
      </c>
      <c r="J424" s="55" t="n"/>
      <c r="K424" s="44" t="n"/>
      <c r="L424" s="51">
        <f>IF(OR(J424="",K424=""),"",J424*K424)</f>
        <v/>
      </c>
      <c r="M424" s="51">
        <f>IF(L424="","",L424*Inicio!$B$13)</f>
        <v/>
      </c>
      <c r="N424" s="51">
        <f>IF(L424="","",L424+M424)</f>
        <v/>
      </c>
      <c r="O424" s="54" t="n"/>
      <c r="P424" s="43" t="n"/>
      <c r="Q424" s="44" t="n"/>
      <c r="R424" s="51">
        <f>IF(N424="","",MAX(N424-Q424,0))</f>
        <v/>
      </c>
      <c r="S424" s="48">
        <f>IF(A424="","",IF(OR(P424="Pagada",R424=0),"Pagada",IF(O424&lt;TODAY(),"Vencida",IF(O424&lt;=TODAY()+Inicio!$B$19,"Próxima a vencer","Vigente"))))</f>
        <v/>
      </c>
      <c r="T424" s="43" t="n"/>
      <c r="U424" s="68">
        <f>IF($B424="","",YEAR($B424))</f>
        <v/>
      </c>
      <c r="V424" s="68">
        <f>IF($B424="","",MONTH($B424))</f>
        <v/>
      </c>
      <c r="W424" s="68">
        <f>IF($B424="","",DAY($B424))</f>
        <v/>
      </c>
      <c r="X424" s="68">
        <f>IF($B424="","",YEAR($B424)&amp;"-"&amp;TEXT(MONTH($B424),"00"))</f>
        <v/>
      </c>
      <c r="Y424" s="68">
        <f>IF(OR($H424="",$J424=""),"",$J424*IFERROR(VLOOKUP($H424,Maestro_SKU!$A$2:$P$500,12,FALSE),1))</f>
        <v/>
      </c>
    </row>
    <row r="425">
      <c r="A425" s="43" t="n"/>
      <c r="B425" s="54" t="n"/>
      <c r="C425" s="43" t="n"/>
      <c r="D425" s="43" t="n"/>
      <c r="E425" s="48">
        <f>IFERROR(VLOOKUP(D425,Clientes_PDV!$A$2:$J$250,2,FALSE),"")</f>
        <v/>
      </c>
      <c r="F425" s="48">
        <f>IFERROR(VLOOKUP(D425,Clientes_PDV!$A$2:$J$250,3,FALSE),"")</f>
        <v/>
      </c>
      <c r="G425" s="48">
        <f>IFERROR(VLOOKUP(D425,Clientes_PDV!$A$2:$J$250,4,FALSE),"")</f>
        <v/>
      </c>
      <c r="H425" s="43" t="n"/>
      <c r="I425" s="48">
        <f>IFERROR(VLOOKUP(H425,Maestro_SKU!$A$2:$P$500,2,FALSE),"")</f>
        <v/>
      </c>
      <c r="J425" s="55" t="n"/>
      <c r="K425" s="44" t="n"/>
      <c r="L425" s="51">
        <f>IF(OR(J425="",K425=""),"",J425*K425)</f>
        <v/>
      </c>
      <c r="M425" s="51">
        <f>IF(L425="","",L425*Inicio!$B$13)</f>
        <v/>
      </c>
      <c r="N425" s="51">
        <f>IF(L425="","",L425+M425)</f>
        <v/>
      </c>
      <c r="O425" s="54" t="n"/>
      <c r="P425" s="43" t="n"/>
      <c r="Q425" s="44" t="n"/>
      <c r="R425" s="51">
        <f>IF(N425="","",MAX(N425-Q425,0))</f>
        <v/>
      </c>
      <c r="S425" s="48">
        <f>IF(A425="","",IF(OR(P425="Pagada",R425=0),"Pagada",IF(O425&lt;TODAY(),"Vencida",IF(O425&lt;=TODAY()+Inicio!$B$19,"Próxima a vencer","Vigente"))))</f>
        <v/>
      </c>
      <c r="T425" s="43" t="n"/>
      <c r="U425" s="68">
        <f>IF($B425="","",YEAR($B425))</f>
        <v/>
      </c>
      <c r="V425" s="68">
        <f>IF($B425="","",MONTH($B425))</f>
        <v/>
      </c>
      <c r="W425" s="68">
        <f>IF($B425="","",DAY($B425))</f>
        <v/>
      </c>
      <c r="X425" s="68">
        <f>IF($B425="","",YEAR($B425)&amp;"-"&amp;TEXT(MONTH($B425),"00"))</f>
        <v/>
      </c>
      <c r="Y425" s="68">
        <f>IF(OR($H425="",$J425=""),"",$J425*IFERROR(VLOOKUP($H425,Maestro_SKU!$A$2:$P$500,12,FALSE),1))</f>
        <v/>
      </c>
    </row>
    <row r="426">
      <c r="A426" s="43" t="n"/>
      <c r="B426" s="54" t="n"/>
      <c r="C426" s="43" t="n"/>
      <c r="D426" s="43" t="n"/>
      <c r="E426" s="48">
        <f>IFERROR(VLOOKUP(D426,Clientes_PDV!$A$2:$J$250,2,FALSE),"")</f>
        <v/>
      </c>
      <c r="F426" s="48">
        <f>IFERROR(VLOOKUP(D426,Clientes_PDV!$A$2:$J$250,3,FALSE),"")</f>
        <v/>
      </c>
      <c r="G426" s="48">
        <f>IFERROR(VLOOKUP(D426,Clientes_PDV!$A$2:$J$250,4,FALSE),"")</f>
        <v/>
      </c>
      <c r="H426" s="43" t="n"/>
      <c r="I426" s="48">
        <f>IFERROR(VLOOKUP(H426,Maestro_SKU!$A$2:$P$500,2,FALSE),"")</f>
        <v/>
      </c>
      <c r="J426" s="55" t="n"/>
      <c r="K426" s="44" t="n"/>
      <c r="L426" s="51">
        <f>IF(OR(J426="",K426=""),"",J426*K426)</f>
        <v/>
      </c>
      <c r="M426" s="51">
        <f>IF(L426="","",L426*Inicio!$B$13)</f>
        <v/>
      </c>
      <c r="N426" s="51">
        <f>IF(L426="","",L426+M426)</f>
        <v/>
      </c>
      <c r="O426" s="54" t="n"/>
      <c r="P426" s="43" t="n"/>
      <c r="Q426" s="44" t="n"/>
      <c r="R426" s="51">
        <f>IF(N426="","",MAX(N426-Q426,0))</f>
        <v/>
      </c>
      <c r="S426" s="48">
        <f>IF(A426="","",IF(OR(P426="Pagada",R426=0),"Pagada",IF(O426&lt;TODAY(),"Vencida",IF(O426&lt;=TODAY()+Inicio!$B$19,"Próxima a vencer","Vigente"))))</f>
        <v/>
      </c>
      <c r="T426" s="43" t="n"/>
      <c r="U426" s="68">
        <f>IF($B426="","",YEAR($B426))</f>
        <v/>
      </c>
      <c r="V426" s="68">
        <f>IF($B426="","",MONTH($B426))</f>
        <v/>
      </c>
      <c r="W426" s="68">
        <f>IF($B426="","",DAY($B426))</f>
        <v/>
      </c>
      <c r="X426" s="68">
        <f>IF($B426="","",YEAR($B426)&amp;"-"&amp;TEXT(MONTH($B426),"00"))</f>
        <v/>
      </c>
      <c r="Y426" s="68">
        <f>IF(OR($H426="",$J426=""),"",$J426*IFERROR(VLOOKUP($H426,Maestro_SKU!$A$2:$P$500,12,FALSE),1))</f>
        <v/>
      </c>
    </row>
    <row r="427">
      <c r="A427" s="43" t="n"/>
      <c r="B427" s="54" t="n"/>
      <c r="C427" s="43" t="n"/>
      <c r="D427" s="43" t="n"/>
      <c r="E427" s="48">
        <f>IFERROR(VLOOKUP(D427,Clientes_PDV!$A$2:$J$250,2,FALSE),"")</f>
        <v/>
      </c>
      <c r="F427" s="48">
        <f>IFERROR(VLOOKUP(D427,Clientes_PDV!$A$2:$J$250,3,FALSE),"")</f>
        <v/>
      </c>
      <c r="G427" s="48">
        <f>IFERROR(VLOOKUP(D427,Clientes_PDV!$A$2:$J$250,4,FALSE),"")</f>
        <v/>
      </c>
      <c r="H427" s="43" t="n"/>
      <c r="I427" s="48">
        <f>IFERROR(VLOOKUP(H427,Maestro_SKU!$A$2:$P$500,2,FALSE),"")</f>
        <v/>
      </c>
      <c r="J427" s="55" t="n"/>
      <c r="K427" s="44" t="n"/>
      <c r="L427" s="51">
        <f>IF(OR(J427="",K427=""),"",J427*K427)</f>
        <v/>
      </c>
      <c r="M427" s="51">
        <f>IF(L427="","",L427*Inicio!$B$13)</f>
        <v/>
      </c>
      <c r="N427" s="51">
        <f>IF(L427="","",L427+M427)</f>
        <v/>
      </c>
      <c r="O427" s="54" t="n"/>
      <c r="P427" s="43" t="n"/>
      <c r="Q427" s="44" t="n"/>
      <c r="R427" s="51">
        <f>IF(N427="","",MAX(N427-Q427,0))</f>
        <v/>
      </c>
      <c r="S427" s="48">
        <f>IF(A427="","",IF(OR(P427="Pagada",R427=0),"Pagada",IF(O427&lt;TODAY(),"Vencida",IF(O427&lt;=TODAY()+Inicio!$B$19,"Próxima a vencer","Vigente"))))</f>
        <v/>
      </c>
      <c r="T427" s="43" t="n"/>
      <c r="U427" s="68">
        <f>IF($B427="","",YEAR($B427))</f>
        <v/>
      </c>
      <c r="V427" s="68">
        <f>IF($B427="","",MONTH($B427))</f>
        <v/>
      </c>
      <c r="W427" s="68">
        <f>IF($B427="","",DAY($B427))</f>
        <v/>
      </c>
      <c r="X427" s="68">
        <f>IF($B427="","",YEAR($B427)&amp;"-"&amp;TEXT(MONTH($B427),"00"))</f>
        <v/>
      </c>
      <c r="Y427" s="68">
        <f>IF(OR($H427="",$J427=""),"",$J427*IFERROR(VLOOKUP($H427,Maestro_SKU!$A$2:$P$500,12,FALSE),1))</f>
        <v/>
      </c>
    </row>
    <row r="428">
      <c r="A428" s="43" t="n"/>
      <c r="B428" s="54" t="n"/>
      <c r="C428" s="43" t="n"/>
      <c r="D428" s="43" t="n"/>
      <c r="E428" s="48">
        <f>IFERROR(VLOOKUP(D428,Clientes_PDV!$A$2:$J$250,2,FALSE),"")</f>
        <v/>
      </c>
      <c r="F428" s="48">
        <f>IFERROR(VLOOKUP(D428,Clientes_PDV!$A$2:$J$250,3,FALSE),"")</f>
        <v/>
      </c>
      <c r="G428" s="48">
        <f>IFERROR(VLOOKUP(D428,Clientes_PDV!$A$2:$J$250,4,FALSE),"")</f>
        <v/>
      </c>
      <c r="H428" s="43" t="n"/>
      <c r="I428" s="48">
        <f>IFERROR(VLOOKUP(H428,Maestro_SKU!$A$2:$P$500,2,FALSE),"")</f>
        <v/>
      </c>
      <c r="J428" s="55" t="n"/>
      <c r="K428" s="44" t="n"/>
      <c r="L428" s="51">
        <f>IF(OR(J428="",K428=""),"",J428*K428)</f>
        <v/>
      </c>
      <c r="M428" s="51">
        <f>IF(L428="","",L428*Inicio!$B$13)</f>
        <v/>
      </c>
      <c r="N428" s="51">
        <f>IF(L428="","",L428+M428)</f>
        <v/>
      </c>
      <c r="O428" s="54" t="n"/>
      <c r="P428" s="43" t="n"/>
      <c r="Q428" s="44" t="n"/>
      <c r="R428" s="51">
        <f>IF(N428="","",MAX(N428-Q428,0))</f>
        <v/>
      </c>
      <c r="S428" s="48">
        <f>IF(A428="","",IF(OR(P428="Pagada",R428=0),"Pagada",IF(O428&lt;TODAY(),"Vencida",IF(O428&lt;=TODAY()+Inicio!$B$19,"Próxima a vencer","Vigente"))))</f>
        <v/>
      </c>
      <c r="T428" s="43" t="n"/>
      <c r="U428" s="68">
        <f>IF($B428="","",YEAR($B428))</f>
        <v/>
      </c>
      <c r="V428" s="68">
        <f>IF($B428="","",MONTH($B428))</f>
        <v/>
      </c>
      <c r="W428" s="68">
        <f>IF($B428="","",DAY($B428))</f>
        <v/>
      </c>
      <c r="X428" s="68">
        <f>IF($B428="","",YEAR($B428)&amp;"-"&amp;TEXT(MONTH($B428),"00"))</f>
        <v/>
      </c>
      <c r="Y428" s="68">
        <f>IF(OR($H428="",$J428=""),"",$J428*IFERROR(VLOOKUP($H428,Maestro_SKU!$A$2:$P$500,12,FALSE),1))</f>
        <v/>
      </c>
    </row>
    <row r="429">
      <c r="A429" s="43" t="n"/>
      <c r="B429" s="54" t="n"/>
      <c r="C429" s="43" t="n"/>
      <c r="D429" s="43" t="n"/>
      <c r="E429" s="48">
        <f>IFERROR(VLOOKUP(D429,Clientes_PDV!$A$2:$J$250,2,FALSE),"")</f>
        <v/>
      </c>
      <c r="F429" s="48">
        <f>IFERROR(VLOOKUP(D429,Clientes_PDV!$A$2:$J$250,3,FALSE),"")</f>
        <v/>
      </c>
      <c r="G429" s="48">
        <f>IFERROR(VLOOKUP(D429,Clientes_PDV!$A$2:$J$250,4,FALSE),"")</f>
        <v/>
      </c>
      <c r="H429" s="43" t="n"/>
      <c r="I429" s="48">
        <f>IFERROR(VLOOKUP(H429,Maestro_SKU!$A$2:$P$500,2,FALSE),"")</f>
        <v/>
      </c>
      <c r="J429" s="55" t="n"/>
      <c r="K429" s="44" t="n"/>
      <c r="L429" s="51">
        <f>IF(OR(J429="",K429=""),"",J429*K429)</f>
        <v/>
      </c>
      <c r="M429" s="51">
        <f>IF(L429="","",L429*Inicio!$B$13)</f>
        <v/>
      </c>
      <c r="N429" s="51">
        <f>IF(L429="","",L429+M429)</f>
        <v/>
      </c>
      <c r="O429" s="54" t="n"/>
      <c r="P429" s="43" t="n"/>
      <c r="Q429" s="44" t="n"/>
      <c r="R429" s="51">
        <f>IF(N429="","",MAX(N429-Q429,0))</f>
        <v/>
      </c>
      <c r="S429" s="48">
        <f>IF(A429="","",IF(OR(P429="Pagada",R429=0),"Pagada",IF(O429&lt;TODAY(),"Vencida",IF(O429&lt;=TODAY()+Inicio!$B$19,"Próxima a vencer","Vigente"))))</f>
        <v/>
      </c>
      <c r="T429" s="43" t="n"/>
      <c r="U429" s="68">
        <f>IF($B429="","",YEAR($B429))</f>
        <v/>
      </c>
      <c r="V429" s="68">
        <f>IF($B429="","",MONTH($B429))</f>
        <v/>
      </c>
      <c r="W429" s="68">
        <f>IF($B429="","",DAY($B429))</f>
        <v/>
      </c>
      <c r="X429" s="68">
        <f>IF($B429="","",YEAR($B429)&amp;"-"&amp;TEXT(MONTH($B429),"00"))</f>
        <v/>
      </c>
      <c r="Y429" s="68">
        <f>IF(OR($H429="",$J429=""),"",$J429*IFERROR(VLOOKUP($H429,Maestro_SKU!$A$2:$P$500,12,FALSE),1))</f>
        <v/>
      </c>
    </row>
    <row r="430">
      <c r="A430" s="43" t="n"/>
      <c r="B430" s="54" t="n"/>
      <c r="C430" s="43" t="n"/>
      <c r="D430" s="43" t="n"/>
      <c r="E430" s="48">
        <f>IFERROR(VLOOKUP(D430,Clientes_PDV!$A$2:$J$250,2,FALSE),"")</f>
        <v/>
      </c>
      <c r="F430" s="48">
        <f>IFERROR(VLOOKUP(D430,Clientes_PDV!$A$2:$J$250,3,FALSE),"")</f>
        <v/>
      </c>
      <c r="G430" s="48">
        <f>IFERROR(VLOOKUP(D430,Clientes_PDV!$A$2:$J$250,4,FALSE),"")</f>
        <v/>
      </c>
      <c r="H430" s="43" t="n"/>
      <c r="I430" s="48">
        <f>IFERROR(VLOOKUP(H430,Maestro_SKU!$A$2:$P$500,2,FALSE),"")</f>
        <v/>
      </c>
      <c r="J430" s="55" t="n"/>
      <c r="K430" s="44" t="n"/>
      <c r="L430" s="51">
        <f>IF(OR(J430="",K430=""),"",J430*K430)</f>
        <v/>
      </c>
      <c r="M430" s="51">
        <f>IF(L430="","",L430*Inicio!$B$13)</f>
        <v/>
      </c>
      <c r="N430" s="51">
        <f>IF(L430="","",L430+M430)</f>
        <v/>
      </c>
      <c r="O430" s="54" t="n"/>
      <c r="P430" s="43" t="n"/>
      <c r="Q430" s="44" t="n"/>
      <c r="R430" s="51">
        <f>IF(N430="","",MAX(N430-Q430,0))</f>
        <v/>
      </c>
      <c r="S430" s="48">
        <f>IF(A430="","",IF(OR(P430="Pagada",R430=0),"Pagada",IF(O430&lt;TODAY(),"Vencida",IF(O430&lt;=TODAY()+Inicio!$B$19,"Próxima a vencer","Vigente"))))</f>
        <v/>
      </c>
      <c r="T430" s="43" t="n"/>
      <c r="U430" s="68">
        <f>IF($B430="","",YEAR($B430))</f>
        <v/>
      </c>
      <c r="V430" s="68">
        <f>IF($B430="","",MONTH($B430))</f>
        <v/>
      </c>
      <c r="W430" s="68">
        <f>IF($B430="","",DAY($B430))</f>
        <v/>
      </c>
      <c r="X430" s="68">
        <f>IF($B430="","",YEAR($B430)&amp;"-"&amp;TEXT(MONTH($B430),"00"))</f>
        <v/>
      </c>
      <c r="Y430" s="68">
        <f>IF(OR($H430="",$J430=""),"",$J430*IFERROR(VLOOKUP($H430,Maestro_SKU!$A$2:$P$500,12,FALSE),1))</f>
        <v/>
      </c>
    </row>
    <row r="431">
      <c r="A431" s="43" t="n"/>
      <c r="B431" s="54" t="n"/>
      <c r="C431" s="43" t="n"/>
      <c r="D431" s="43" t="n"/>
      <c r="E431" s="48">
        <f>IFERROR(VLOOKUP(D431,Clientes_PDV!$A$2:$J$250,2,FALSE),"")</f>
        <v/>
      </c>
      <c r="F431" s="48">
        <f>IFERROR(VLOOKUP(D431,Clientes_PDV!$A$2:$J$250,3,FALSE),"")</f>
        <v/>
      </c>
      <c r="G431" s="48">
        <f>IFERROR(VLOOKUP(D431,Clientes_PDV!$A$2:$J$250,4,FALSE),"")</f>
        <v/>
      </c>
      <c r="H431" s="43" t="n"/>
      <c r="I431" s="48">
        <f>IFERROR(VLOOKUP(H431,Maestro_SKU!$A$2:$P$500,2,FALSE),"")</f>
        <v/>
      </c>
      <c r="J431" s="55" t="n"/>
      <c r="K431" s="44" t="n"/>
      <c r="L431" s="51">
        <f>IF(OR(J431="",K431=""),"",J431*K431)</f>
        <v/>
      </c>
      <c r="M431" s="51">
        <f>IF(L431="","",L431*Inicio!$B$13)</f>
        <v/>
      </c>
      <c r="N431" s="51">
        <f>IF(L431="","",L431+M431)</f>
        <v/>
      </c>
      <c r="O431" s="54" t="n"/>
      <c r="P431" s="43" t="n"/>
      <c r="Q431" s="44" t="n"/>
      <c r="R431" s="51">
        <f>IF(N431="","",MAX(N431-Q431,0))</f>
        <v/>
      </c>
      <c r="S431" s="48">
        <f>IF(A431="","",IF(OR(P431="Pagada",R431=0),"Pagada",IF(O431&lt;TODAY(),"Vencida",IF(O431&lt;=TODAY()+Inicio!$B$19,"Próxima a vencer","Vigente"))))</f>
        <v/>
      </c>
      <c r="T431" s="43" t="n"/>
      <c r="U431" s="68">
        <f>IF($B431="","",YEAR($B431))</f>
        <v/>
      </c>
      <c r="V431" s="68">
        <f>IF($B431="","",MONTH($B431))</f>
        <v/>
      </c>
      <c r="W431" s="68">
        <f>IF($B431="","",DAY($B431))</f>
        <v/>
      </c>
      <c r="X431" s="68">
        <f>IF($B431="","",YEAR($B431)&amp;"-"&amp;TEXT(MONTH($B431),"00"))</f>
        <v/>
      </c>
      <c r="Y431" s="68">
        <f>IF(OR($H431="",$J431=""),"",$J431*IFERROR(VLOOKUP($H431,Maestro_SKU!$A$2:$P$500,12,FALSE),1))</f>
        <v/>
      </c>
    </row>
    <row r="432">
      <c r="A432" s="43" t="n"/>
      <c r="B432" s="54" t="n"/>
      <c r="C432" s="43" t="n"/>
      <c r="D432" s="43" t="n"/>
      <c r="E432" s="48">
        <f>IFERROR(VLOOKUP(D432,Clientes_PDV!$A$2:$J$250,2,FALSE),"")</f>
        <v/>
      </c>
      <c r="F432" s="48">
        <f>IFERROR(VLOOKUP(D432,Clientes_PDV!$A$2:$J$250,3,FALSE),"")</f>
        <v/>
      </c>
      <c r="G432" s="48">
        <f>IFERROR(VLOOKUP(D432,Clientes_PDV!$A$2:$J$250,4,FALSE),"")</f>
        <v/>
      </c>
      <c r="H432" s="43" t="n"/>
      <c r="I432" s="48">
        <f>IFERROR(VLOOKUP(H432,Maestro_SKU!$A$2:$P$500,2,FALSE),"")</f>
        <v/>
      </c>
      <c r="J432" s="55" t="n"/>
      <c r="K432" s="44" t="n"/>
      <c r="L432" s="51">
        <f>IF(OR(J432="",K432=""),"",J432*K432)</f>
        <v/>
      </c>
      <c r="M432" s="51">
        <f>IF(L432="","",L432*Inicio!$B$13)</f>
        <v/>
      </c>
      <c r="N432" s="51">
        <f>IF(L432="","",L432+M432)</f>
        <v/>
      </c>
      <c r="O432" s="54" t="n"/>
      <c r="P432" s="43" t="n"/>
      <c r="Q432" s="44" t="n"/>
      <c r="R432" s="51">
        <f>IF(N432="","",MAX(N432-Q432,0))</f>
        <v/>
      </c>
      <c r="S432" s="48">
        <f>IF(A432="","",IF(OR(P432="Pagada",R432=0),"Pagada",IF(O432&lt;TODAY(),"Vencida",IF(O432&lt;=TODAY()+Inicio!$B$19,"Próxima a vencer","Vigente"))))</f>
        <v/>
      </c>
      <c r="T432" s="43" t="n"/>
      <c r="U432" s="68">
        <f>IF($B432="","",YEAR($B432))</f>
        <v/>
      </c>
      <c r="V432" s="68">
        <f>IF($B432="","",MONTH($B432))</f>
        <v/>
      </c>
      <c r="W432" s="68">
        <f>IF($B432="","",DAY($B432))</f>
        <v/>
      </c>
      <c r="X432" s="68">
        <f>IF($B432="","",YEAR($B432)&amp;"-"&amp;TEXT(MONTH($B432),"00"))</f>
        <v/>
      </c>
      <c r="Y432" s="68">
        <f>IF(OR($H432="",$J432=""),"",$J432*IFERROR(VLOOKUP($H432,Maestro_SKU!$A$2:$P$500,12,FALSE),1))</f>
        <v/>
      </c>
    </row>
    <row r="433">
      <c r="A433" s="43" t="n"/>
      <c r="B433" s="54" t="n"/>
      <c r="C433" s="43" t="n"/>
      <c r="D433" s="43" t="n"/>
      <c r="E433" s="48">
        <f>IFERROR(VLOOKUP(D433,Clientes_PDV!$A$2:$J$250,2,FALSE),"")</f>
        <v/>
      </c>
      <c r="F433" s="48">
        <f>IFERROR(VLOOKUP(D433,Clientes_PDV!$A$2:$J$250,3,FALSE),"")</f>
        <v/>
      </c>
      <c r="G433" s="48">
        <f>IFERROR(VLOOKUP(D433,Clientes_PDV!$A$2:$J$250,4,FALSE),"")</f>
        <v/>
      </c>
      <c r="H433" s="43" t="n"/>
      <c r="I433" s="48">
        <f>IFERROR(VLOOKUP(H433,Maestro_SKU!$A$2:$P$500,2,FALSE),"")</f>
        <v/>
      </c>
      <c r="J433" s="55" t="n"/>
      <c r="K433" s="44" t="n"/>
      <c r="L433" s="51">
        <f>IF(OR(J433="",K433=""),"",J433*K433)</f>
        <v/>
      </c>
      <c r="M433" s="51">
        <f>IF(L433="","",L433*Inicio!$B$13)</f>
        <v/>
      </c>
      <c r="N433" s="51">
        <f>IF(L433="","",L433+M433)</f>
        <v/>
      </c>
      <c r="O433" s="54" t="n"/>
      <c r="P433" s="43" t="n"/>
      <c r="Q433" s="44" t="n"/>
      <c r="R433" s="51">
        <f>IF(N433="","",MAX(N433-Q433,0))</f>
        <v/>
      </c>
      <c r="S433" s="48">
        <f>IF(A433="","",IF(OR(P433="Pagada",R433=0),"Pagada",IF(O433&lt;TODAY(),"Vencida",IF(O433&lt;=TODAY()+Inicio!$B$19,"Próxima a vencer","Vigente"))))</f>
        <v/>
      </c>
      <c r="T433" s="43" t="n"/>
      <c r="U433" s="68">
        <f>IF($B433="","",YEAR($B433))</f>
        <v/>
      </c>
      <c r="V433" s="68">
        <f>IF($B433="","",MONTH($B433))</f>
        <v/>
      </c>
      <c r="W433" s="68">
        <f>IF($B433="","",DAY($B433))</f>
        <v/>
      </c>
      <c r="X433" s="68">
        <f>IF($B433="","",YEAR($B433)&amp;"-"&amp;TEXT(MONTH($B433),"00"))</f>
        <v/>
      </c>
      <c r="Y433" s="68">
        <f>IF(OR($H433="",$J433=""),"",$J433*IFERROR(VLOOKUP($H433,Maestro_SKU!$A$2:$P$500,12,FALSE),1))</f>
        <v/>
      </c>
    </row>
    <row r="434">
      <c r="A434" s="43" t="n"/>
      <c r="B434" s="54" t="n"/>
      <c r="C434" s="43" t="n"/>
      <c r="D434" s="43" t="n"/>
      <c r="E434" s="48">
        <f>IFERROR(VLOOKUP(D434,Clientes_PDV!$A$2:$J$250,2,FALSE),"")</f>
        <v/>
      </c>
      <c r="F434" s="48">
        <f>IFERROR(VLOOKUP(D434,Clientes_PDV!$A$2:$J$250,3,FALSE),"")</f>
        <v/>
      </c>
      <c r="G434" s="48">
        <f>IFERROR(VLOOKUP(D434,Clientes_PDV!$A$2:$J$250,4,FALSE),"")</f>
        <v/>
      </c>
      <c r="H434" s="43" t="n"/>
      <c r="I434" s="48">
        <f>IFERROR(VLOOKUP(H434,Maestro_SKU!$A$2:$P$500,2,FALSE),"")</f>
        <v/>
      </c>
      <c r="J434" s="55" t="n"/>
      <c r="K434" s="44" t="n"/>
      <c r="L434" s="51">
        <f>IF(OR(J434="",K434=""),"",J434*K434)</f>
        <v/>
      </c>
      <c r="M434" s="51">
        <f>IF(L434="","",L434*Inicio!$B$13)</f>
        <v/>
      </c>
      <c r="N434" s="51">
        <f>IF(L434="","",L434+M434)</f>
        <v/>
      </c>
      <c r="O434" s="54" t="n"/>
      <c r="P434" s="43" t="n"/>
      <c r="Q434" s="44" t="n"/>
      <c r="R434" s="51">
        <f>IF(N434="","",MAX(N434-Q434,0))</f>
        <v/>
      </c>
      <c r="S434" s="48">
        <f>IF(A434="","",IF(OR(P434="Pagada",R434=0),"Pagada",IF(O434&lt;TODAY(),"Vencida",IF(O434&lt;=TODAY()+Inicio!$B$19,"Próxima a vencer","Vigente"))))</f>
        <v/>
      </c>
      <c r="T434" s="43" t="n"/>
      <c r="U434" s="68">
        <f>IF($B434="","",YEAR($B434))</f>
        <v/>
      </c>
      <c r="V434" s="68">
        <f>IF($B434="","",MONTH($B434))</f>
        <v/>
      </c>
      <c r="W434" s="68">
        <f>IF($B434="","",DAY($B434))</f>
        <v/>
      </c>
      <c r="X434" s="68">
        <f>IF($B434="","",YEAR($B434)&amp;"-"&amp;TEXT(MONTH($B434),"00"))</f>
        <v/>
      </c>
      <c r="Y434" s="68">
        <f>IF(OR($H434="",$J434=""),"",$J434*IFERROR(VLOOKUP($H434,Maestro_SKU!$A$2:$P$500,12,FALSE),1))</f>
        <v/>
      </c>
    </row>
    <row r="435">
      <c r="A435" s="43" t="n"/>
      <c r="B435" s="54" t="n"/>
      <c r="C435" s="43" t="n"/>
      <c r="D435" s="43" t="n"/>
      <c r="E435" s="48">
        <f>IFERROR(VLOOKUP(D435,Clientes_PDV!$A$2:$J$250,2,FALSE),"")</f>
        <v/>
      </c>
      <c r="F435" s="48">
        <f>IFERROR(VLOOKUP(D435,Clientes_PDV!$A$2:$J$250,3,FALSE),"")</f>
        <v/>
      </c>
      <c r="G435" s="48">
        <f>IFERROR(VLOOKUP(D435,Clientes_PDV!$A$2:$J$250,4,FALSE),"")</f>
        <v/>
      </c>
      <c r="H435" s="43" t="n"/>
      <c r="I435" s="48">
        <f>IFERROR(VLOOKUP(H435,Maestro_SKU!$A$2:$P$500,2,FALSE),"")</f>
        <v/>
      </c>
      <c r="J435" s="55" t="n"/>
      <c r="K435" s="44" t="n"/>
      <c r="L435" s="51">
        <f>IF(OR(J435="",K435=""),"",J435*K435)</f>
        <v/>
      </c>
      <c r="M435" s="51">
        <f>IF(L435="","",L435*Inicio!$B$13)</f>
        <v/>
      </c>
      <c r="N435" s="51">
        <f>IF(L435="","",L435+M435)</f>
        <v/>
      </c>
      <c r="O435" s="54" t="n"/>
      <c r="P435" s="43" t="n"/>
      <c r="Q435" s="44" t="n"/>
      <c r="R435" s="51">
        <f>IF(N435="","",MAX(N435-Q435,0))</f>
        <v/>
      </c>
      <c r="S435" s="48">
        <f>IF(A435="","",IF(OR(P435="Pagada",R435=0),"Pagada",IF(O435&lt;TODAY(),"Vencida",IF(O435&lt;=TODAY()+Inicio!$B$19,"Próxima a vencer","Vigente"))))</f>
        <v/>
      </c>
      <c r="T435" s="43" t="n"/>
      <c r="U435" s="68">
        <f>IF($B435="","",YEAR($B435))</f>
        <v/>
      </c>
      <c r="V435" s="68">
        <f>IF($B435="","",MONTH($B435))</f>
        <v/>
      </c>
      <c r="W435" s="68">
        <f>IF($B435="","",DAY($B435))</f>
        <v/>
      </c>
      <c r="X435" s="68">
        <f>IF($B435="","",YEAR($B435)&amp;"-"&amp;TEXT(MONTH($B435),"00"))</f>
        <v/>
      </c>
      <c r="Y435" s="68">
        <f>IF(OR($H435="",$J435=""),"",$J435*IFERROR(VLOOKUP($H435,Maestro_SKU!$A$2:$P$500,12,FALSE),1))</f>
        <v/>
      </c>
    </row>
    <row r="436">
      <c r="A436" s="43" t="n"/>
      <c r="B436" s="54" t="n"/>
      <c r="C436" s="43" t="n"/>
      <c r="D436" s="43" t="n"/>
      <c r="E436" s="48">
        <f>IFERROR(VLOOKUP(D436,Clientes_PDV!$A$2:$J$250,2,FALSE),"")</f>
        <v/>
      </c>
      <c r="F436" s="48">
        <f>IFERROR(VLOOKUP(D436,Clientes_PDV!$A$2:$J$250,3,FALSE),"")</f>
        <v/>
      </c>
      <c r="G436" s="48">
        <f>IFERROR(VLOOKUP(D436,Clientes_PDV!$A$2:$J$250,4,FALSE),"")</f>
        <v/>
      </c>
      <c r="H436" s="43" t="n"/>
      <c r="I436" s="48">
        <f>IFERROR(VLOOKUP(H436,Maestro_SKU!$A$2:$P$500,2,FALSE),"")</f>
        <v/>
      </c>
      <c r="J436" s="55" t="n"/>
      <c r="K436" s="44" t="n"/>
      <c r="L436" s="51">
        <f>IF(OR(J436="",K436=""),"",J436*K436)</f>
        <v/>
      </c>
      <c r="M436" s="51">
        <f>IF(L436="","",L436*Inicio!$B$13)</f>
        <v/>
      </c>
      <c r="N436" s="51">
        <f>IF(L436="","",L436+M436)</f>
        <v/>
      </c>
      <c r="O436" s="54" t="n"/>
      <c r="P436" s="43" t="n"/>
      <c r="Q436" s="44" t="n"/>
      <c r="R436" s="51">
        <f>IF(N436="","",MAX(N436-Q436,0))</f>
        <v/>
      </c>
      <c r="S436" s="48">
        <f>IF(A436="","",IF(OR(P436="Pagada",R436=0),"Pagada",IF(O436&lt;TODAY(),"Vencida",IF(O436&lt;=TODAY()+Inicio!$B$19,"Próxima a vencer","Vigente"))))</f>
        <v/>
      </c>
      <c r="T436" s="43" t="n"/>
      <c r="U436" s="68">
        <f>IF($B436="","",YEAR($B436))</f>
        <v/>
      </c>
      <c r="V436" s="68">
        <f>IF($B436="","",MONTH($B436))</f>
        <v/>
      </c>
      <c r="W436" s="68">
        <f>IF($B436="","",DAY($B436))</f>
        <v/>
      </c>
      <c r="X436" s="68">
        <f>IF($B436="","",YEAR($B436)&amp;"-"&amp;TEXT(MONTH($B436),"00"))</f>
        <v/>
      </c>
      <c r="Y436" s="68">
        <f>IF(OR($H436="",$J436=""),"",$J436*IFERROR(VLOOKUP($H436,Maestro_SKU!$A$2:$P$500,12,FALSE),1))</f>
        <v/>
      </c>
    </row>
    <row r="437">
      <c r="A437" s="43" t="n"/>
      <c r="B437" s="54" t="n"/>
      <c r="C437" s="43" t="n"/>
      <c r="D437" s="43" t="n"/>
      <c r="E437" s="48">
        <f>IFERROR(VLOOKUP(D437,Clientes_PDV!$A$2:$J$250,2,FALSE),"")</f>
        <v/>
      </c>
      <c r="F437" s="48">
        <f>IFERROR(VLOOKUP(D437,Clientes_PDV!$A$2:$J$250,3,FALSE),"")</f>
        <v/>
      </c>
      <c r="G437" s="48">
        <f>IFERROR(VLOOKUP(D437,Clientes_PDV!$A$2:$J$250,4,FALSE),"")</f>
        <v/>
      </c>
      <c r="H437" s="43" t="n"/>
      <c r="I437" s="48">
        <f>IFERROR(VLOOKUP(H437,Maestro_SKU!$A$2:$P$500,2,FALSE),"")</f>
        <v/>
      </c>
      <c r="J437" s="55" t="n"/>
      <c r="K437" s="44" t="n"/>
      <c r="L437" s="51">
        <f>IF(OR(J437="",K437=""),"",J437*K437)</f>
        <v/>
      </c>
      <c r="M437" s="51">
        <f>IF(L437="","",L437*Inicio!$B$13)</f>
        <v/>
      </c>
      <c r="N437" s="51">
        <f>IF(L437="","",L437+M437)</f>
        <v/>
      </c>
      <c r="O437" s="54" t="n"/>
      <c r="P437" s="43" t="n"/>
      <c r="Q437" s="44" t="n"/>
      <c r="R437" s="51">
        <f>IF(N437="","",MAX(N437-Q437,0))</f>
        <v/>
      </c>
      <c r="S437" s="48">
        <f>IF(A437="","",IF(OR(P437="Pagada",R437=0),"Pagada",IF(O437&lt;TODAY(),"Vencida",IF(O437&lt;=TODAY()+Inicio!$B$19,"Próxima a vencer","Vigente"))))</f>
        <v/>
      </c>
      <c r="T437" s="43" t="n"/>
      <c r="U437" s="68">
        <f>IF($B437="","",YEAR($B437))</f>
        <v/>
      </c>
      <c r="V437" s="68">
        <f>IF($B437="","",MONTH($B437))</f>
        <v/>
      </c>
      <c r="W437" s="68">
        <f>IF($B437="","",DAY($B437))</f>
        <v/>
      </c>
      <c r="X437" s="68">
        <f>IF($B437="","",YEAR($B437)&amp;"-"&amp;TEXT(MONTH($B437),"00"))</f>
        <v/>
      </c>
      <c r="Y437" s="68">
        <f>IF(OR($H437="",$J437=""),"",$J437*IFERROR(VLOOKUP($H437,Maestro_SKU!$A$2:$P$500,12,FALSE),1))</f>
        <v/>
      </c>
    </row>
    <row r="438">
      <c r="A438" s="43" t="n"/>
      <c r="B438" s="54" t="n"/>
      <c r="C438" s="43" t="n"/>
      <c r="D438" s="43" t="n"/>
      <c r="E438" s="48">
        <f>IFERROR(VLOOKUP(D438,Clientes_PDV!$A$2:$J$250,2,FALSE),"")</f>
        <v/>
      </c>
      <c r="F438" s="48">
        <f>IFERROR(VLOOKUP(D438,Clientes_PDV!$A$2:$J$250,3,FALSE),"")</f>
        <v/>
      </c>
      <c r="G438" s="48">
        <f>IFERROR(VLOOKUP(D438,Clientes_PDV!$A$2:$J$250,4,FALSE),"")</f>
        <v/>
      </c>
      <c r="H438" s="43" t="n"/>
      <c r="I438" s="48">
        <f>IFERROR(VLOOKUP(H438,Maestro_SKU!$A$2:$P$500,2,FALSE),"")</f>
        <v/>
      </c>
      <c r="J438" s="55" t="n"/>
      <c r="K438" s="44" t="n"/>
      <c r="L438" s="51">
        <f>IF(OR(J438="",K438=""),"",J438*K438)</f>
        <v/>
      </c>
      <c r="M438" s="51">
        <f>IF(L438="","",L438*Inicio!$B$13)</f>
        <v/>
      </c>
      <c r="N438" s="51">
        <f>IF(L438="","",L438+M438)</f>
        <v/>
      </c>
      <c r="O438" s="54" t="n"/>
      <c r="P438" s="43" t="n"/>
      <c r="Q438" s="44" t="n"/>
      <c r="R438" s="51">
        <f>IF(N438="","",MAX(N438-Q438,0))</f>
        <v/>
      </c>
      <c r="S438" s="48">
        <f>IF(A438="","",IF(OR(P438="Pagada",R438=0),"Pagada",IF(O438&lt;TODAY(),"Vencida",IF(O438&lt;=TODAY()+Inicio!$B$19,"Próxima a vencer","Vigente"))))</f>
        <v/>
      </c>
      <c r="T438" s="43" t="n"/>
      <c r="U438" s="68">
        <f>IF($B438="","",YEAR($B438))</f>
        <v/>
      </c>
      <c r="V438" s="68">
        <f>IF($B438="","",MONTH($B438))</f>
        <v/>
      </c>
      <c r="W438" s="68">
        <f>IF($B438="","",DAY($B438))</f>
        <v/>
      </c>
      <c r="X438" s="68">
        <f>IF($B438="","",YEAR($B438)&amp;"-"&amp;TEXT(MONTH($B438),"00"))</f>
        <v/>
      </c>
      <c r="Y438" s="68">
        <f>IF(OR($H438="",$J438=""),"",$J438*IFERROR(VLOOKUP($H438,Maestro_SKU!$A$2:$P$500,12,FALSE),1))</f>
        <v/>
      </c>
    </row>
    <row r="439">
      <c r="A439" s="43" t="n"/>
      <c r="B439" s="54" t="n"/>
      <c r="C439" s="43" t="n"/>
      <c r="D439" s="43" t="n"/>
      <c r="E439" s="48">
        <f>IFERROR(VLOOKUP(D439,Clientes_PDV!$A$2:$J$250,2,FALSE),"")</f>
        <v/>
      </c>
      <c r="F439" s="48">
        <f>IFERROR(VLOOKUP(D439,Clientes_PDV!$A$2:$J$250,3,FALSE),"")</f>
        <v/>
      </c>
      <c r="G439" s="48">
        <f>IFERROR(VLOOKUP(D439,Clientes_PDV!$A$2:$J$250,4,FALSE),"")</f>
        <v/>
      </c>
      <c r="H439" s="43" t="n"/>
      <c r="I439" s="48">
        <f>IFERROR(VLOOKUP(H439,Maestro_SKU!$A$2:$P$500,2,FALSE),"")</f>
        <v/>
      </c>
      <c r="J439" s="55" t="n"/>
      <c r="K439" s="44" t="n"/>
      <c r="L439" s="51">
        <f>IF(OR(J439="",K439=""),"",J439*K439)</f>
        <v/>
      </c>
      <c r="M439" s="51">
        <f>IF(L439="","",L439*Inicio!$B$13)</f>
        <v/>
      </c>
      <c r="N439" s="51">
        <f>IF(L439="","",L439+M439)</f>
        <v/>
      </c>
      <c r="O439" s="54" t="n"/>
      <c r="P439" s="43" t="n"/>
      <c r="Q439" s="44" t="n"/>
      <c r="R439" s="51">
        <f>IF(N439="","",MAX(N439-Q439,0))</f>
        <v/>
      </c>
      <c r="S439" s="48">
        <f>IF(A439="","",IF(OR(P439="Pagada",R439=0),"Pagada",IF(O439&lt;TODAY(),"Vencida",IF(O439&lt;=TODAY()+Inicio!$B$19,"Próxima a vencer","Vigente"))))</f>
        <v/>
      </c>
      <c r="T439" s="43" t="n"/>
      <c r="U439" s="68">
        <f>IF($B439="","",YEAR($B439))</f>
        <v/>
      </c>
      <c r="V439" s="68">
        <f>IF($B439="","",MONTH($B439))</f>
        <v/>
      </c>
      <c r="W439" s="68">
        <f>IF($B439="","",DAY($B439))</f>
        <v/>
      </c>
      <c r="X439" s="68">
        <f>IF($B439="","",YEAR($B439)&amp;"-"&amp;TEXT(MONTH($B439),"00"))</f>
        <v/>
      </c>
      <c r="Y439" s="68">
        <f>IF(OR($H439="",$J439=""),"",$J439*IFERROR(VLOOKUP($H439,Maestro_SKU!$A$2:$P$500,12,FALSE),1))</f>
        <v/>
      </c>
    </row>
    <row r="440">
      <c r="A440" s="43" t="n"/>
      <c r="B440" s="54" t="n"/>
      <c r="C440" s="43" t="n"/>
      <c r="D440" s="43" t="n"/>
      <c r="E440" s="48">
        <f>IFERROR(VLOOKUP(D440,Clientes_PDV!$A$2:$J$250,2,FALSE),"")</f>
        <v/>
      </c>
      <c r="F440" s="48">
        <f>IFERROR(VLOOKUP(D440,Clientes_PDV!$A$2:$J$250,3,FALSE),"")</f>
        <v/>
      </c>
      <c r="G440" s="48">
        <f>IFERROR(VLOOKUP(D440,Clientes_PDV!$A$2:$J$250,4,FALSE),"")</f>
        <v/>
      </c>
      <c r="H440" s="43" t="n"/>
      <c r="I440" s="48">
        <f>IFERROR(VLOOKUP(H440,Maestro_SKU!$A$2:$P$500,2,FALSE),"")</f>
        <v/>
      </c>
      <c r="J440" s="55" t="n"/>
      <c r="K440" s="44" t="n"/>
      <c r="L440" s="51">
        <f>IF(OR(J440="",K440=""),"",J440*K440)</f>
        <v/>
      </c>
      <c r="M440" s="51">
        <f>IF(L440="","",L440*Inicio!$B$13)</f>
        <v/>
      </c>
      <c r="N440" s="51">
        <f>IF(L440="","",L440+M440)</f>
        <v/>
      </c>
      <c r="O440" s="54" t="n"/>
      <c r="P440" s="43" t="n"/>
      <c r="Q440" s="44" t="n"/>
      <c r="R440" s="51">
        <f>IF(N440="","",MAX(N440-Q440,0))</f>
        <v/>
      </c>
      <c r="S440" s="48">
        <f>IF(A440="","",IF(OR(P440="Pagada",R440=0),"Pagada",IF(O440&lt;TODAY(),"Vencida",IF(O440&lt;=TODAY()+Inicio!$B$19,"Próxima a vencer","Vigente"))))</f>
        <v/>
      </c>
      <c r="T440" s="43" t="n"/>
      <c r="U440" s="68">
        <f>IF($B440="","",YEAR($B440))</f>
        <v/>
      </c>
      <c r="V440" s="68">
        <f>IF($B440="","",MONTH($B440))</f>
        <v/>
      </c>
      <c r="W440" s="68">
        <f>IF($B440="","",DAY($B440))</f>
        <v/>
      </c>
      <c r="X440" s="68">
        <f>IF($B440="","",YEAR($B440)&amp;"-"&amp;TEXT(MONTH($B440),"00"))</f>
        <v/>
      </c>
      <c r="Y440" s="68">
        <f>IF(OR($H440="",$J440=""),"",$J440*IFERROR(VLOOKUP($H440,Maestro_SKU!$A$2:$P$500,12,FALSE),1))</f>
        <v/>
      </c>
    </row>
    <row r="441">
      <c r="A441" s="43" t="n"/>
      <c r="B441" s="54" t="n"/>
      <c r="C441" s="43" t="n"/>
      <c r="D441" s="43" t="n"/>
      <c r="E441" s="48">
        <f>IFERROR(VLOOKUP(D441,Clientes_PDV!$A$2:$J$250,2,FALSE),"")</f>
        <v/>
      </c>
      <c r="F441" s="48">
        <f>IFERROR(VLOOKUP(D441,Clientes_PDV!$A$2:$J$250,3,FALSE),"")</f>
        <v/>
      </c>
      <c r="G441" s="48">
        <f>IFERROR(VLOOKUP(D441,Clientes_PDV!$A$2:$J$250,4,FALSE),"")</f>
        <v/>
      </c>
      <c r="H441" s="43" t="n"/>
      <c r="I441" s="48">
        <f>IFERROR(VLOOKUP(H441,Maestro_SKU!$A$2:$P$500,2,FALSE),"")</f>
        <v/>
      </c>
      <c r="J441" s="55" t="n"/>
      <c r="K441" s="44" t="n"/>
      <c r="L441" s="51">
        <f>IF(OR(J441="",K441=""),"",J441*K441)</f>
        <v/>
      </c>
      <c r="M441" s="51">
        <f>IF(L441="","",L441*Inicio!$B$13)</f>
        <v/>
      </c>
      <c r="N441" s="51">
        <f>IF(L441="","",L441+M441)</f>
        <v/>
      </c>
      <c r="O441" s="54" t="n"/>
      <c r="P441" s="43" t="n"/>
      <c r="Q441" s="44" t="n"/>
      <c r="R441" s="51">
        <f>IF(N441="","",MAX(N441-Q441,0))</f>
        <v/>
      </c>
      <c r="S441" s="48">
        <f>IF(A441="","",IF(OR(P441="Pagada",R441=0),"Pagada",IF(O441&lt;TODAY(),"Vencida",IF(O441&lt;=TODAY()+Inicio!$B$19,"Próxima a vencer","Vigente"))))</f>
        <v/>
      </c>
      <c r="T441" s="43" t="n"/>
      <c r="U441" s="68">
        <f>IF($B441="","",YEAR($B441))</f>
        <v/>
      </c>
      <c r="V441" s="68">
        <f>IF($B441="","",MONTH($B441))</f>
        <v/>
      </c>
      <c r="W441" s="68">
        <f>IF($B441="","",DAY($B441))</f>
        <v/>
      </c>
      <c r="X441" s="68">
        <f>IF($B441="","",YEAR($B441)&amp;"-"&amp;TEXT(MONTH($B441),"00"))</f>
        <v/>
      </c>
      <c r="Y441" s="68">
        <f>IF(OR($H441="",$J441=""),"",$J441*IFERROR(VLOOKUP($H441,Maestro_SKU!$A$2:$P$500,12,FALSE),1))</f>
        <v/>
      </c>
    </row>
    <row r="442">
      <c r="A442" s="43" t="n"/>
      <c r="B442" s="54" t="n"/>
      <c r="C442" s="43" t="n"/>
      <c r="D442" s="43" t="n"/>
      <c r="E442" s="48">
        <f>IFERROR(VLOOKUP(D442,Clientes_PDV!$A$2:$J$250,2,FALSE),"")</f>
        <v/>
      </c>
      <c r="F442" s="48">
        <f>IFERROR(VLOOKUP(D442,Clientes_PDV!$A$2:$J$250,3,FALSE),"")</f>
        <v/>
      </c>
      <c r="G442" s="48">
        <f>IFERROR(VLOOKUP(D442,Clientes_PDV!$A$2:$J$250,4,FALSE),"")</f>
        <v/>
      </c>
      <c r="H442" s="43" t="n"/>
      <c r="I442" s="48">
        <f>IFERROR(VLOOKUP(H442,Maestro_SKU!$A$2:$P$500,2,FALSE),"")</f>
        <v/>
      </c>
      <c r="J442" s="55" t="n"/>
      <c r="K442" s="44" t="n"/>
      <c r="L442" s="51">
        <f>IF(OR(J442="",K442=""),"",J442*K442)</f>
        <v/>
      </c>
      <c r="M442" s="51">
        <f>IF(L442="","",L442*Inicio!$B$13)</f>
        <v/>
      </c>
      <c r="N442" s="51">
        <f>IF(L442="","",L442+M442)</f>
        <v/>
      </c>
      <c r="O442" s="54" t="n"/>
      <c r="P442" s="43" t="n"/>
      <c r="Q442" s="44" t="n"/>
      <c r="R442" s="51">
        <f>IF(N442="","",MAX(N442-Q442,0))</f>
        <v/>
      </c>
      <c r="S442" s="48">
        <f>IF(A442="","",IF(OR(P442="Pagada",R442=0),"Pagada",IF(O442&lt;TODAY(),"Vencida",IF(O442&lt;=TODAY()+Inicio!$B$19,"Próxima a vencer","Vigente"))))</f>
        <v/>
      </c>
      <c r="T442" s="43" t="n"/>
      <c r="U442" s="68">
        <f>IF($B442="","",YEAR($B442))</f>
        <v/>
      </c>
      <c r="V442" s="68">
        <f>IF($B442="","",MONTH($B442))</f>
        <v/>
      </c>
      <c r="W442" s="68">
        <f>IF($B442="","",DAY($B442))</f>
        <v/>
      </c>
      <c r="X442" s="68">
        <f>IF($B442="","",YEAR($B442)&amp;"-"&amp;TEXT(MONTH($B442),"00"))</f>
        <v/>
      </c>
      <c r="Y442" s="68">
        <f>IF(OR($H442="",$J442=""),"",$J442*IFERROR(VLOOKUP($H442,Maestro_SKU!$A$2:$P$500,12,FALSE),1))</f>
        <v/>
      </c>
    </row>
    <row r="443">
      <c r="A443" s="43" t="n"/>
      <c r="B443" s="54" t="n"/>
      <c r="C443" s="43" t="n"/>
      <c r="D443" s="43" t="n"/>
      <c r="E443" s="48">
        <f>IFERROR(VLOOKUP(D443,Clientes_PDV!$A$2:$J$250,2,FALSE),"")</f>
        <v/>
      </c>
      <c r="F443" s="48">
        <f>IFERROR(VLOOKUP(D443,Clientes_PDV!$A$2:$J$250,3,FALSE),"")</f>
        <v/>
      </c>
      <c r="G443" s="48">
        <f>IFERROR(VLOOKUP(D443,Clientes_PDV!$A$2:$J$250,4,FALSE),"")</f>
        <v/>
      </c>
      <c r="H443" s="43" t="n"/>
      <c r="I443" s="48">
        <f>IFERROR(VLOOKUP(H443,Maestro_SKU!$A$2:$P$500,2,FALSE),"")</f>
        <v/>
      </c>
      <c r="J443" s="55" t="n"/>
      <c r="K443" s="44" t="n"/>
      <c r="L443" s="51">
        <f>IF(OR(J443="",K443=""),"",J443*K443)</f>
        <v/>
      </c>
      <c r="M443" s="51">
        <f>IF(L443="","",L443*Inicio!$B$13)</f>
        <v/>
      </c>
      <c r="N443" s="51">
        <f>IF(L443="","",L443+M443)</f>
        <v/>
      </c>
      <c r="O443" s="54" t="n"/>
      <c r="P443" s="43" t="n"/>
      <c r="Q443" s="44" t="n"/>
      <c r="R443" s="51">
        <f>IF(N443="","",MAX(N443-Q443,0))</f>
        <v/>
      </c>
      <c r="S443" s="48">
        <f>IF(A443="","",IF(OR(P443="Pagada",R443=0),"Pagada",IF(O443&lt;TODAY(),"Vencida",IF(O443&lt;=TODAY()+Inicio!$B$19,"Próxima a vencer","Vigente"))))</f>
        <v/>
      </c>
      <c r="T443" s="43" t="n"/>
      <c r="U443" s="68">
        <f>IF($B443="","",YEAR($B443))</f>
        <v/>
      </c>
      <c r="V443" s="68">
        <f>IF($B443="","",MONTH($B443))</f>
        <v/>
      </c>
      <c r="W443" s="68">
        <f>IF($B443="","",DAY($B443))</f>
        <v/>
      </c>
      <c r="X443" s="68">
        <f>IF($B443="","",YEAR($B443)&amp;"-"&amp;TEXT(MONTH($B443),"00"))</f>
        <v/>
      </c>
      <c r="Y443" s="68">
        <f>IF(OR($H443="",$J443=""),"",$J443*IFERROR(VLOOKUP($H443,Maestro_SKU!$A$2:$P$500,12,FALSE),1))</f>
        <v/>
      </c>
    </row>
    <row r="444">
      <c r="A444" s="43" t="n"/>
      <c r="B444" s="54" t="n"/>
      <c r="C444" s="43" t="n"/>
      <c r="D444" s="43" t="n"/>
      <c r="E444" s="48">
        <f>IFERROR(VLOOKUP(D444,Clientes_PDV!$A$2:$J$250,2,FALSE),"")</f>
        <v/>
      </c>
      <c r="F444" s="48">
        <f>IFERROR(VLOOKUP(D444,Clientes_PDV!$A$2:$J$250,3,FALSE),"")</f>
        <v/>
      </c>
      <c r="G444" s="48">
        <f>IFERROR(VLOOKUP(D444,Clientes_PDV!$A$2:$J$250,4,FALSE),"")</f>
        <v/>
      </c>
      <c r="H444" s="43" t="n"/>
      <c r="I444" s="48">
        <f>IFERROR(VLOOKUP(H444,Maestro_SKU!$A$2:$P$500,2,FALSE),"")</f>
        <v/>
      </c>
      <c r="J444" s="55" t="n"/>
      <c r="K444" s="44" t="n"/>
      <c r="L444" s="51">
        <f>IF(OR(J444="",K444=""),"",J444*K444)</f>
        <v/>
      </c>
      <c r="M444" s="51">
        <f>IF(L444="","",L444*Inicio!$B$13)</f>
        <v/>
      </c>
      <c r="N444" s="51">
        <f>IF(L444="","",L444+M444)</f>
        <v/>
      </c>
      <c r="O444" s="54" t="n"/>
      <c r="P444" s="43" t="n"/>
      <c r="Q444" s="44" t="n"/>
      <c r="R444" s="51">
        <f>IF(N444="","",MAX(N444-Q444,0))</f>
        <v/>
      </c>
      <c r="S444" s="48">
        <f>IF(A444="","",IF(OR(P444="Pagada",R444=0),"Pagada",IF(O444&lt;TODAY(),"Vencida",IF(O444&lt;=TODAY()+Inicio!$B$19,"Próxima a vencer","Vigente"))))</f>
        <v/>
      </c>
      <c r="T444" s="43" t="n"/>
      <c r="U444" s="68">
        <f>IF($B444="","",YEAR($B444))</f>
        <v/>
      </c>
      <c r="V444" s="68">
        <f>IF($B444="","",MONTH($B444))</f>
        <v/>
      </c>
      <c r="W444" s="68">
        <f>IF($B444="","",DAY($B444))</f>
        <v/>
      </c>
      <c r="X444" s="68">
        <f>IF($B444="","",YEAR($B444)&amp;"-"&amp;TEXT(MONTH($B444),"00"))</f>
        <v/>
      </c>
      <c r="Y444" s="68">
        <f>IF(OR($H444="",$J444=""),"",$J444*IFERROR(VLOOKUP($H444,Maestro_SKU!$A$2:$P$500,12,FALSE),1))</f>
        <v/>
      </c>
    </row>
    <row r="445">
      <c r="A445" s="43" t="n"/>
      <c r="B445" s="54" t="n"/>
      <c r="C445" s="43" t="n"/>
      <c r="D445" s="43" t="n"/>
      <c r="E445" s="48">
        <f>IFERROR(VLOOKUP(D445,Clientes_PDV!$A$2:$J$250,2,FALSE),"")</f>
        <v/>
      </c>
      <c r="F445" s="48">
        <f>IFERROR(VLOOKUP(D445,Clientes_PDV!$A$2:$J$250,3,FALSE),"")</f>
        <v/>
      </c>
      <c r="G445" s="48">
        <f>IFERROR(VLOOKUP(D445,Clientes_PDV!$A$2:$J$250,4,FALSE),"")</f>
        <v/>
      </c>
      <c r="H445" s="43" t="n"/>
      <c r="I445" s="48">
        <f>IFERROR(VLOOKUP(H445,Maestro_SKU!$A$2:$P$500,2,FALSE),"")</f>
        <v/>
      </c>
      <c r="J445" s="55" t="n"/>
      <c r="K445" s="44" t="n"/>
      <c r="L445" s="51">
        <f>IF(OR(J445="",K445=""),"",J445*K445)</f>
        <v/>
      </c>
      <c r="M445" s="51">
        <f>IF(L445="","",L445*Inicio!$B$13)</f>
        <v/>
      </c>
      <c r="N445" s="51">
        <f>IF(L445="","",L445+M445)</f>
        <v/>
      </c>
      <c r="O445" s="54" t="n"/>
      <c r="P445" s="43" t="n"/>
      <c r="Q445" s="44" t="n"/>
      <c r="R445" s="51">
        <f>IF(N445="","",MAX(N445-Q445,0))</f>
        <v/>
      </c>
      <c r="S445" s="48">
        <f>IF(A445="","",IF(OR(P445="Pagada",R445=0),"Pagada",IF(O445&lt;TODAY(),"Vencida",IF(O445&lt;=TODAY()+Inicio!$B$19,"Próxima a vencer","Vigente"))))</f>
        <v/>
      </c>
      <c r="T445" s="43" t="n"/>
      <c r="U445" s="68">
        <f>IF($B445="","",YEAR($B445))</f>
        <v/>
      </c>
      <c r="V445" s="68">
        <f>IF($B445="","",MONTH($B445))</f>
        <v/>
      </c>
      <c r="W445" s="68">
        <f>IF($B445="","",DAY($B445))</f>
        <v/>
      </c>
      <c r="X445" s="68">
        <f>IF($B445="","",YEAR($B445)&amp;"-"&amp;TEXT(MONTH($B445),"00"))</f>
        <v/>
      </c>
      <c r="Y445" s="68">
        <f>IF(OR($H445="",$J445=""),"",$J445*IFERROR(VLOOKUP($H445,Maestro_SKU!$A$2:$P$500,12,FALSE),1))</f>
        <v/>
      </c>
    </row>
    <row r="446">
      <c r="A446" s="43" t="n"/>
      <c r="B446" s="54" t="n"/>
      <c r="C446" s="43" t="n"/>
      <c r="D446" s="43" t="n"/>
      <c r="E446" s="48">
        <f>IFERROR(VLOOKUP(D446,Clientes_PDV!$A$2:$J$250,2,FALSE),"")</f>
        <v/>
      </c>
      <c r="F446" s="48">
        <f>IFERROR(VLOOKUP(D446,Clientes_PDV!$A$2:$J$250,3,FALSE),"")</f>
        <v/>
      </c>
      <c r="G446" s="48">
        <f>IFERROR(VLOOKUP(D446,Clientes_PDV!$A$2:$J$250,4,FALSE),"")</f>
        <v/>
      </c>
      <c r="H446" s="43" t="n"/>
      <c r="I446" s="48">
        <f>IFERROR(VLOOKUP(H446,Maestro_SKU!$A$2:$P$500,2,FALSE),"")</f>
        <v/>
      </c>
      <c r="J446" s="55" t="n"/>
      <c r="K446" s="44" t="n"/>
      <c r="L446" s="51">
        <f>IF(OR(J446="",K446=""),"",J446*K446)</f>
        <v/>
      </c>
      <c r="M446" s="51">
        <f>IF(L446="","",L446*Inicio!$B$13)</f>
        <v/>
      </c>
      <c r="N446" s="51">
        <f>IF(L446="","",L446+M446)</f>
        <v/>
      </c>
      <c r="O446" s="54" t="n"/>
      <c r="P446" s="43" t="n"/>
      <c r="Q446" s="44" t="n"/>
      <c r="R446" s="51">
        <f>IF(N446="","",MAX(N446-Q446,0))</f>
        <v/>
      </c>
      <c r="S446" s="48">
        <f>IF(A446="","",IF(OR(P446="Pagada",R446=0),"Pagada",IF(O446&lt;TODAY(),"Vencida",IF(O446&lt;=TODAY()+Inicio!$B$19,"Próxima a vencer","Vigente"))))</f>
        <v/>
      </c>
      <c r="T446" s="43" t="n"/>
      <c r="U446" s="68">
        <f>IF($B446="","",YEAR($B446))</f>
        <v/>
      </c>
      <c r="V446" s="68">
        <f>IF($B446="","",MONTH($B446))</f>
        <v/>
      </c>
      <c r="W446" s="68">
        <f>IF($B446="","",DAY($B446))</f>
        <v/>
      </c>
      <c r="X446" s="68">
        <f>IF($B446="","",YEAR($B446)&amp;"-"&amp;TEXT(MONTH($B446),"00"))</f>
        <v/>
      </c>
      <c r="Y446" s="68">
        <f>IF(OR($H446="",$J446=""),"",$J446*IFERROR(VLOOKUP($H446,Maestro_SKU!$A$2:$P$500,12,FALSE),1))</f>
        <v/>
      </c>
    </row>
    <row r="447">
      <c r="A447" s="43" t="n"/>
      <c r="B447" s="54" t="n"/>
      <c r="C447" s="43" t="n"/>
      <c r="D447" s="43" t="n"/>
      <c r="E447" s="48">
        <f>IFERROR(VLOOKUP(D447,Clientes_PDV!$A$2:$J$250,2,FALSE),"")</f>
        <v/>
      </c>
      <c r="F447" s="48">
        <f>IFERROR(VLOOKUP(D447,Clientes_PDV!$A$2:$J$250,3,FALSE),"")</f>
        <v/>
      </c>
      <c r="G447" s="48">
        <f>IFERROR(VLOOKUP(D447,Clientes_PDV!$A$2:$J$250,4,FALSE),"")</f>
        <v/>
      </c>
      <c r="H447" s="43" t="n"/>
      <c r="I447" s="48">
        <f>IFERROR(VLOOKUP(H447,Maestro_SKU!$A$2:$P$500,2,FALSE),"")</f>
        <v/>
      </c>
      <c r="J447" s="55" t="n"/>
      <c r="K447" s="44" t="n"/>
      <c r="L447" s="51">
        <f>IF(OR(J447="",K447=""),"",J447*K447)</f>
        <v/>
      </c>
      <c r="M447" s="51">
        <f>IF(L447="","",L447*Inicio!$B$13)</f>
        <v/>
      </c>
      <c r="N447" s="51">
        <f>IF(L447="","",L447+M447)</f>
        <v/>
      </c>
      <c r="O447" s="54" t="n"/>
      <c r="P447" s="43" t="n"/>
      <c r="Q447" s="44" t="n"/>
      <c r="R447" s="51">
        <f>IF(N447="","",MAX(N447-Q447,0))</f>
        <v/>
      </c>
      <c r="S447" s="48">
        <f>IF(A447="","",IF(OR(P447="Pagada",R447=0),"Pagada",IF(O447&lt;TODAY(),"Vencida",IF(O447&lt;=TODAY()+Inicio!$B$19,"Próxima a vencer","Vigente"))))</f>
        <v/>
      </c>
      <c r="T447" s="43" t="n"/>
      <c r="U447" s="68">
        <f>IF($B447="","",YEAR($B447))</f>
        <v/>
      </c>
      <c r="V447" s="68">
        <f>IF($B447="","",MONTH($B447))</f>
        <v/>
      </c>
      <c r="W447" s="68">
        <f>IF($B447="","",DAY($B447))</f>
        <v/>
      </c>
      <c r="X447" s="68">
        <f>IF($B447="","",YEAR($B447)&amp;"-"&amp;TEXT(MONTH($B447),"00"))</f>
        <v/>
      </c>
      <c r="Y447" s="68">
        <f>IF(OR($H447="",$J447=""),"",$J447*IFERROR(VLOOKUP($H447,Maestro_SKU!$A$2:$P$500,12,FALSE),1))</f>
        <v/>
      </c>
    </row>
    <row r="448">
      <c r="A448" s="43" t="n"/>
      <c r="B448" s="54" t="n"/>
      <c r="C448" s="43" t="n"/>
      <c r="D448" s="43" t="n"/>
      <c r="E448" s="48">
        <f>IFERROR(VLOOKUP(D448,Clientes_PDV!$A$2:$J$250,2,FALSE),"")</f>
        <v/>
      </c>
      <c r="F448" s="48">
        <f>IFERROR(VLOOKUP(D448,Clientes_PDV!$A$2:$J$250,3,FALSE),"")</f>
        <v/>
      </c>
      <c r="G448" s="48">
        <f>IFERROR(VLOOKUP(D448,Clientes_PDV!$A$2:$J$250,4,FALSE),"")</f>
        <v/>
      </c>
      <c r="H448" s="43" t="n"/>
      <c r="I448" s="48">
        <f>IFERROR(VLOOKUP(H448,Maestro_SKU!$A$2:$P$500,2,FALSE),"")</f>
        <v/>
      </c>
      <c r="J448" s="55" t="n"/>
      <c r="K448" s="44" t="n"/>
      <c r="L448" s="51">
        <f>IF(OR(J448="",K448=""),"",J448*K448)</f>
        <v/>
      </c>
      <c r="M448" s="51">
        <f>IF(L448="","",L448*Inicio!$B$13)</f>
        <v/>
      </c>
      <c r="N448" s="51">
        <f>IF(L448="","",L448+M448)</f>
        <v/>
      </c>
      <c r="O448" s="54" t="n"/>
      <c r="P448" s="43" t="n"/>
      <c r="Q448" s="44" t="n"/>
      <c r="R448" s="51">
        <f>IF(N448="","",MAX(N448-Q448,0))</f>
        <v/>
      </c>
      <c r="S448" s="48">
        <f>IF(A448="","",IF(OR(P448="Pagada",R448=0),"Pagada",IF(O448&lt;TODAY(),"Vencida",IF(O448&lt;=TODAY()+Inicio!$B$19,"Próxima a vencer","Vigente"))))</f>
        <v/>
      </c>
      <c r="T448" s="43" t="n"/>
      <c r="U448" s="68">
        <f>IF($B448="","",YEAR($B448))</f>
        <v/>
      </c>
      <c r="V448" s="68">
        <f>IF($B448="","",MONTH($B448))</f>
        <v/>
      </c>
      <c r="W448" s="68">
        <f>IF($B448="","",DAY($B448))</f>
        <v/>
      </c>
      <c r="X448" s="68">
        <f>IF($B448="","",YEAR($B448)&amp;"-"&amp;TEXT(MONTH($B448),"00"))</f>
        <v/>
      </c>
      <c r="Y448" s="68">
        <f>IF(OR($H448="",$J448=""),"",$J448*IFERROR(VLOOKUP($H448,Maestro_SKU!$A$2:$P$500,12,FALSE),1))</f>
        <v/>
      </c>
    </row>
    <row r="449">
      <c r="A449" s="43" t="n"/>
      <c r="B449" s="54" t="n"/>
      <c r="C449" s="43" t="n"/>
      <c r="D449" s="43" t="n"/>
      <c r="E449" s="48">
        <f>IFERROR(VLOOKUP(D449,Clientes_PDV!$A$2:$J$250,2,FALSE),"")</f>
        <v/>
      </c>
      <c r="F449" s="48">
        <f>IFERROR(VLOOKUP(D449,Clientes_PDV!$A$2:$J$250,3,FALSE),"")</f>
        <v/>
      </c>
      <c r="G449" s="48">
        <f>IFERROR(VLOOKUP(D449,Clientes_PDV!$A$2:$J$250,4,FALSE),"")</f>
        <v/>
      </c>
      <c r="H449" s="43" t="n"/>
      <c r="I449" s="48">
        <f>IFERROR(VLOOKUP(H449,Maestro_SKU!$A$2:$P$500,2,FALSE),"")</f>
        <v/>
      </c>
      <c r="J449" s="55" t="n"/>
      <c r="K449" s="44" t="n"/>
      <c r="L449" s="51">
        <f>IF(OR(J449="",K449=""),"",J449*K449)</f>
        <v/>
      </c>
      <c r="M449" s="51">
        <f>IF(L449="","",L449*Inicio!$B$13)</f>
        <v/>
      </c>
      <c r="N449" s="51">
        <f>IF(L449="","",L449+M449)</f>
        <v/>
      </c>
      <c r="O449" s="54" t="n"/>
      <c r="P449" s="43" t="n"/>
      <c r="Q449" s="44" t="n"/>
      <c r="R449" s="51">
        <f>IF(N449="","",MAX(N449-Q449,0))</f>
        <v/>
      </c>
      <c r="S449" s="48">
        <f>IF(A449="","",IF(OR(P449="Pagada",R449=0),"Pagada",IF(O449&lt;TODAY(),"Vencida",IF(O449&lt;=TODAY()+Inicio!$B$19,"Próxima a vencer","Vigente"))))</f>
        <v/>
      </c>
      <c r="T449" s="43" t="n"/>
      <c r="U449" s="68">
        <f>IF($B449="","",YEAR($B449))</f>
        <v/>
      </c>
      <c r="V449" s="68">
        <f>IF($B449="","",MONTH($B449))</f>
        <v/>
      </c>
      <c r="W449" s="68">
        <f>IF($B449="","",DAY($B449))</f>
        <v/>
      </c>
      <c r="X449" s="68">
        <f>IF($B449="","",YEAR($B449)&amp;"-"&amp;TEXT(MONTH($B449),"00"))</f>
        <v/>
      </c>
      <c r="Y449" s="68">
        <f>IF(OR($H449="",$J449=""),"",$J449*IFERROR(VLOOKUP($H449,Maestro_SKU!$A$2:$P$500,12,FALSE),1))</f>
        <v/>
      </c>
    </row>
    <row r="450">
      <c r="A450" s="43" t="n"/>
      <c r="B450" s="54" t="n"/>
      <c r="C450" s="43" t="n"/>
      <c r="D450" s="43" t="n"/>
      <c r="E450" s="48">
        <f>IFERROR(VLOOKUP(D450,Clientes_PDV!$A$2:$J$250,2,FALSE),"")</f>
        <v/>
      </c>
      <c r="F450" s="48">
        <f>IFERROR(VLOOKUP(D450,Clientes_PDV!$A$2:$J$250,3,FALSE),"")</f>
        <v/>
      </c>
      <c r="G450" s="48">
        <f>IFERROR(VLOOKUP(D450,Clientes_PDV!$A$2:$J$250,4,FALSE),"")</f>
        <v/>
      </c>
      <c r="H450" s="43" t="n"/>
      <c r="I450" s="48">
        <f>IFERROR(VLOOKUP(H450,Maestro_SKU!$A$2:$P$500,2,FALSE),"")</f>
        <v/>
      </c>
      <c r="J450" s="55" t="n"/>
      <c r="K450" s="44" t="n"/>
      <c r="L450" s="51">
        <f>IF(OR(J450="",K450=""),"",J450*K450)</f>
        <v/>
      </c>
      <c r="M450" s="51">
        <f>IF(L450="","",L450*Inicio!$B$13)</f>
        <v/>
      </c>
      <c r="N450" s="51">
        <f>IF(L450="","",L450+M450)</f>
        <v/>
      </c>
      <c r="O450" s="54" t="n"/>
      <c r="P450" s="43" t="n"/>
      <c r="Q450" s="44" t="n"/>
      <c r="R450" s="51">
        <f>IF(N450="","",MAX(N450-Q450,0))</f>
        <v/>
      </c>
      <c r="S450" s="48">
        <f>IF(A450="","",IF(OR(P450="Pagada",R450=0),"Pagada",IF(O450&lt;TODAY(),"Vencida",IF(O450&lt;=TODAY()+Inicio!$B$19,"Próxima a vencer","Vigente"))))</f>
        <v/>
      </c>
      <c r="T450" s="43" t="n"/>
      <c r="U450" s="68">
        <f>IF($B450="","",YEAR($B450))</f>
        <v/>
      </c>
      <c r="V450" s="68">
        <f>IF($B450="","",MONTH($B450))</f>
        <v/>
      </c>
      <c r="W450" s="68">
        <f>IF($B450="","",DAY($B450))</f>
        <v/>
      </c>
      <c r="X450" s="68">
        <f>IF($B450="","",YEAR($B450)&amp;"-"&amp;TEXT(MONTH($B450),"00"))</f>
        <v/>
      </c>
      <c r="Y450" s="68">
        <f>IF(OR($H450="",$J450=""),"",$J450*IFERROR(VLOOKUP($H450,Maestro_SKU!$A$2:$P$500,12,FALSE),1))</f>
        <v/>
      </c>
    </row>
    <row r="451">
      <c r="A451" s="43" t="n"/>
      <c r="B451" s="54" t="n"/>
      <c r="C451" s="43" t="n"/>
      <c r="D451" s="43" t="n"/>
      <c r="E451" s="48">
        <f>IFERROR(VLOOKUP(D451,Clientes_PDV!$A$2:$J$250,2,FALSE),"")</f>
        <v/>
      </c>
      <c r="F451" s="48">
        <f>IFERROR(VLOOKUP(D451,Clientes_PDV!$A$2:$J$250,3,FALSE),"")</f>
        <v/>
      </c>
      <c r="G451" s="48">
        <f>IFERROR(VLOOKUP(D451,Clientes_PDV!$A$2:$J$250,4,FALSE),"")</f>
        <v/>
      </c>
      <c r="H451" s="43" t="n"/>
      <c r="I451" s="48">
        <f>IFERROR(VLOOKUP(H451,Maestro_SKU!$A$2:$P$500,2,FALSE),"")</f>
        <v/>
      </c>
      <c r="J451" s="55" t="n"/>
      <c r="K451" s="44" t="n"/>
      <c r="L451" s="51">
        <f>IF(OR(J451="",K451=""),"",J451*K451)</f>
        <v/>
      </c>
      <c r="M451" s="51">
        <f>IF(L451="","",L451*Inicio!$B$13)</f>
        <v/>
      </c>
      <c r="N451" s="51">
        <f>IF(L451="","",L451+M451)</f>
        <v/>
      </c>
      <c r="O451" s="54" t="n"/>
      <c r="P451" s="43" t="n"/>
      <c r="Q451" s="44" t="n"/>
      <c r="R451" s="51">
        <f>IF(N451="","",MAX(N451-Q451,0))</f>
        <v/>
      </c>
      <c r="S451" s="48">
        <f>IF(A451="","",IF(OR(P451="Pagada",R451=0),"Pagada",IF(O451&lt;TODAY(),"Vencida",IF(O451&lt;=TODAY()+Inicio!$B$19,"Próxima a vencer","Vigente"))))</f>
        <v/>
      </c>
      <c r="T451" s="43" t="n"/>
      <c r="U451" s="68">
        <f>IF($B451="","",YEAR($B451))</f>
        <v/>
      </c>
      <c r="V451" s="68">
        <f>IF($B451="","",MONTH($B451))</f>
        <v/>
      </c>
      <c r="W451" s="68">
        <f>IF($B451="","",DAY($B451))</f>
        <v/>
      </c>
      <c r="X451" s="68">
        <f>IF($B451="","",YEAR($B451)&amp;"-"&amp;TEXT(MONTH($B451),"00"))</f>
        <v/>
      </c>
      <c r="Y451" s="68">
        <f>IF(OR($H451="",$J451=""),"",$J451*IFERROR(VLOOKUP($H451,Maestro_SKU!$A$2:$P$500,12,FALSE),1))</f>
        <v/>
      </c>
    </row>
    <row r="452">
      <c r="A452" s="43" t="n"/>
      <c r="B452" s="54" t="n"/>
      <c r="C452" s="43" t="n"/>
      <c r="D452" s="43" t="n"/>
      <c r="E452" s="48">
        <f>IFERROR(VLOOKUP(D452,Clientes_PDV!$A$2:$J$250,2,FALSE),"")</f>
        <v/>
      </c>
      <c r="F452" s="48">
        <f>IFERROR(VLOOKUP(D452,Clientes_PDV!$A$2:$J$250,3,FALSE),"")</f>
        <v/>
      </c>
      <c r="G452" s="48">
        <f>IFERROR(VLOOKUP(D452,Clientes_PDV!$A$2:$J$250,4,FALSE),"")</f>
        <v/>
      </c>
      <c r="H452" s="43" t="n"/>
      <c r="I452" s="48">
        <f>IFERROR(VLOOKUP(H452,Maestro_SKU!$A$2:$P$500,2,FALSE),"")</f>
        <v/>
      </c>
      <c r="J452" s="55" t="n"/>
      <c r="K452" s="44" t="n"/>
      <c r="L452" s="51">
        <f>IF(OR(J452="",K452=""),"",J452*K452)</f>
        <v/>
      </c>
      <c r="M452" s="51">
        <f>IF(L452="","",L452*Inicio!$B$13)</f>
        <v/>
      </c>
      <c r="N452" s="51">
        <f>IF(L452="","",L452+M452)</f>
        <v/>
      </c>
      <c r="O452" s="54" t="n"/>
      <c r="P452" s="43" t="n"/>
      <c r="Q452" s="44" t="n"/>
      <c r="R452" s="51">
        <f>IF(N452="","",MAX(N452-Q452,0))</f>
        <v/>
      </c>
      <c r="S452" s="48">
        <f>IF(A452="","",IF(OR(P452="Pagada",R452=0),"Pagada",IF(O452&lt;TODAY(),"Vencida",IF(O452&lt;=TODAY()+Inicio!$B$19,"Próxima a vencer","Vigente"))))</f>
        <v/>
      </c>
      <c r="T452" s="43" t="n"/>
      <c r="U452" s="68">
        <f>IF($B452="","",YEAR($B452))</f>
        <v/>
      </c>
      <c r="V452" s="68">
        <f>IF($B452="","",MONTH($B452))</f>
        <v/>
      </c>
      <c r="W452" s="68">
        <f>IF($B452="","",DAY($B452))</f>
        <v/>
      </c>
      <c r="X452" s="68">
        <f>IF($B452="","",YEAR($B452)&amp;"-"&amp;TEXT(MONTH($B452),"00"))</f>
        <v/>
      </c>
      <c r="Y452" s="68">
        <f>IF(OR($H452="",$J452=""),"",$J452*IFERROR(VLOOKUP($H452,Maestro_SKU!$A$2:$P$500,12,FALSE),1))</f>
        <v/>
      </c>
    </row>
    <row r="453">
      <c r="A453" s="43" t="n"/>
      <c r="B453" s="54" t="n"/>
      <c r="C453" s="43" t="n"/>
      <c r="D453" s="43" t="n"/>
      <c r="E453" s="48">
        <f>IFERROR(VLOOKUP(D453,Clientes_PDV!$A$2:$J$250,2,FALSE),"")</f>
        <v/>
      </c>
      <c r="F453" s="48">
        <f>IFERROR(VLOOKUP(D453,Clientes_PDV!$A$2:$J$250,3,FALSE),"")</f>
        <v/>
      </c>
      <c r="G453" s="48">
        <f>IFERROR(VLOOKUP(D453,Clientes_PDV!$A$2:$J$250,4,FALSE),"")</f>
        <v/>
      </c>
      <c r="H453" s="43" t="n"/>
      <c r="I453" s="48">
        <f>IFERROR(VLOOKUP(H453,Maestro_SKU!$A$2:$P$500,2,FALSE),"")</f>
        <v/>
      </c>
      <c r="J453" s="55" t="n"/>
      <c r="K453" s="44" t="n"/>
      <c r="L453" s="51">
        <f>IF(OR(J453="",K453=""),"",J453*K453)</f>
        <v/>
      </c>
      <c r="M453" s="51">
        <f>IF(L453="","",L453*Inicio!$B$13)</f>
        <v/>
      </c>
      <c r="N453" s="51">
        <f>IF(L453="","",L453+M453)</f>
        <v/>
      </c>
      <c r="O453" s="54" t="n"/>
      <c r="P453" s="43" t="n"/>
      <c r="Q453" s="44" t="n"/>
      <c r="R453" s="51">
        <f>IF(N453="","",MAX(N453-Q453,0))</f>
        <v/>
      </c>
      <c r="S453" s="48">
        <f>IF(A453="","",IF(OR(P453="Pagada",R453=0),"Pagada",IF(O453&lt;TODAY(),"Vencida",IF(O453&lt;=TODAY()+Inicio!$B$19,"Próxima a vencer","Vigente"))))</f>
        <v/>
      </c>
      <c r="T453" s="43" t="n"/>
      <c r="U453" s="68">
        <f>IF($B453="","",YEAR($B453))</f>
        <v/>
      </c>
      <c r="V453" s="68">
        <f>IF($B453="","",MONTH($B453))</f>
        <v/>
      </c>
      <c r="W453" s="68">
        <f>IF($B453="","",DAY($B453))</f>
        <v/>
      </c>
      <c r="X453" s="68">
        <f>IF($B453="","",YEAR($B453)&amp;"-"&amp;TEXT(MONTH($B453),"00"))</f>
        <v/>
      </c>
      <c r="Y453" s="68">
        <f>IF(OR($H453="",$J453=""),"",$J453*IFERROR(VLOOKUP($H453,Maestro_SKU!$A$2:$P$500,12,FALSE),1))</f>
        <v/>
      </c>
    </row>
    <row r="454">
      <c r="A454" s="43" t="n"/>
      <c r="B454" s="54" t="n"/>
      <c r="C454" s="43" t="n"/>
      <c r="D454" s="43" t="n"/>
      <c r="E454" s="48">
        <f>IFERROR(VLOOKUP(D454,Clientes_PDV!$A$2:$J$250,2,FALSE),"")</f>
        <v/>
      </c>
      <c r="F454" s="48">
        <f>IFERROR(VLOOKUP(D454,Clientes_PDV!$A$2:$J$250,3,FALSE),"")</f>
        <v/>
      </c>
      <c r="G454" s="48">
        <f>IFERROR(VLOOKUP(D454,Clientes_PDV!$A$2:$J$250,4,FALSE),"")</f>
        <v/>
      </c>
      <c r="H454" s="43" t="n"/>
      <c r="I454" s="48">
        <f>IFERROR(VLOOKUP(H454,Maestro_SKU!$A$2:$P$500,2,FALSE),"")</f>
        <v/>
      </c>
      <c r="J454" s="55" t="n"/>
      <c r="K454" s="44" t="n"/>
      <c r="L454" s="51">
        <f>IF(OR(J454="",K454=""),"",J454*K454)</f>
        <v/>
      </c>
      <c r="M454" s="51">
        <f>IF(L454="","",L454*Inicio!$B$13)</f>
        <v/>
      </c>
      <c r="N454" s="51">
        <f>IF(L454="","",L454+M454)</f>
        <v/>
      </c>
      <c r="O454" s="54" t="n"/>
      <c r="P454" s="43" t="n"/>
      <c r="Q454" s="44" t="n"/>
      <c r="R454" s="51">
        <f>IF(N454="","",MAX(N454-Q454,0))</f>
        <v/>
      </c>
      <c r="S454" s="48">
        <f>IF(A454="","",IF(OR(P454="Pagada",R454=0),"Pagada",IF(O454&lt;TODAY(),"Vencida",IF(O454&lt;=TODAY()+Inicio!$B$19,"Próxima a vencer","Vigente"))))</f>
        <v/>
      </c>
      <c r="T454" s="43" t="n"/>
      <c r="U454" s="68">
        <f>IF($B454="","",YEAR($B454))</f>
        <v/>
      </c>
      <c r="V454" s="68">
        <f>IF($B454="","",MONTH($B454))</f>
        <v/>
      </c>
      <c r="W454" s="68">
        <f>IF($B454="","",DAY($B454))</f>
        <v/>
      </c>
      <c r="X454" s="68">
        <f>IF($B454="","",YEAR($B454)&amp;"-"&amp;TEXT(MONTH($B454),"00"))</f>
        <v/>
      </c>
      <c r="Y454" s="68">
        <f>IF(OR($H454="",$J454=""),"",$J454*IFERROR(VLOOKUP($H454,Maestro_SKU!$A$2:$P$500,12,FALSE),1))</f>
        <v/>
      </c>
    </row>
    <row r="455">
      <c r="A455" s="43" t="n"/>
      <c r="B455" s="54" t="n"/>
      <c r="C455" s="43" t="n"/>
      <c r="D455" s="43" t="n"/>
      <c r="E455" s="48">
        <f>IFERROR(VLOOKUP(D455,Clientes_PDV!$A$2:$J$250,2,FALSE),"")</f>
        <v/>
      </c>
      <c r="F455" s="48">
        <f>IFERROR(VLOOKUP(D455,Clientes_PDV!$A$2:$J$250,3,FALSE),"")</f>
        <v/>
      </c>
      <c r="G455" s="48">
        <f>IFERROR(VLOOKUP(D455,Clientes_PDV!$A$2:$J$250,4,FALSE),"")</f>
        <v/>
      </c>
      <c r="H455" s="43" t="n"/>
      <c r="I455" s="48">
        <f>IFERROR(VLOOKUP(H455,Maestro_SKU!$A$2:$P$500,2,FALSE),"")</f>
        <v/>
      </c>
      <c r="J455" s="55" t="n"/>
      <c r="K455" s="44" t="n"/>
      <c r="L455" s="51">
        <f>IF(OR(J455="",K455=""),"",J455*K455)</f>
        <v/>
      </c>
      <c r="M455" s="51">
        <f>IF(L455="","",L455*Inicio!$B$13)</f>
        <v/>
      </c>
      <c r="N455" s="51">
        <f>IF(L455="","",L455+M455)</f>
        <v/>
      </c>
      <c r="O455" s="54" t="n"/>
      <c r="P455" s="43" t="n"/>
      <c r="Q455" s="44" t="n"/>
      <c r="R455" s="51">
        <f>IF(N455="","",MAX(N455-Q455,0))</f>
        <v/>
      </c>
      <c r="S455" s="48">
        <f>IF(A455="","",IF(OR(P455="Pagada",R455=0),"Pagada",IF(O455&lt;TODAY(),"Vencida",IF(O455&lt;=TODAY()+Inicio!$B$19,"Próxima a vencer","Vigente"))))</f>
        <v/>
      </c>
      <c r="T455" s="43" t="n"/>
      <c r="U455" s="68">
        <f>IF($B455="","",YEAR($B455))</f>
        <v/>
      </c>
      <c r="V455" s="68">
        <f>IF($B455="","",MONTH($B455))</f>
        <v/>
      </c>
      <c r="W455" s="68">
        <f>IF($B455="","",DAY($B455))</f>
        <v/>
      </c>
      <c r="X455" s="68">
        <f>IF($B455="","",YEAR($B455)&amp;"-"&amp;TEXT(MONTH($B455),"00"))</f>
        <v/>
      </c>
      <c r="Y455" s="68">
        <f>IF(OR($H455="",$J455=""),"",$J455*IFERROR(VLOOKUP($H455,Maestro_SKU!$A$2:$P$500,12,FALSE),1))</f>
        <v/>
      </c>
    </row>
    <row r="456">
      <c r="A456" s="43" t="n"/>
      <c r="B456" s="54" t="n"/>
      <c r="C456" s="43" t="n"/>
      <c r="D456" s="43" t="n"/>
      <c r="E456" s="48">
        <f>IFERROR(VLOOKUP(D456,Clientes_PDV!$A$2:$J$250,2,FALSE),"")</f>
        <v/>
      </c>
      <c r="F456" s="48">
        <f>IFERROR(VLOOKUP(D456,Clientes_PDV!$A$2:$J$250,3,FALSE),"")</f>
        <v/>
      </c>
      <c r="G456" s="48">
        <f>IFERROR(VLOOKUP(D456,Clientes_PDV!$A$2:$J$250,4,FALSE),"")</f>
        <v/>
      </c>
      <c r="H456" s="43" t="n"/>
      <c r="I456" s="48">
        <f>IFERROR(VLOOKUP(H456,Maestro_SKU!$A$2:$P$500,2,FALSE),"")</f>
        <v/>
      </c>
      <c r="J456" s="55" t="n"/>
      <c r="K456" s="44" t="n"/>
      <c r="L456" s="51">
        <f>IF(OR(J456="",K456=""),"",J456*K456)</f>
        <v/>
      </c>
      <c r="M456" s="51">
        <f>IF(L456="","",L456*Inicio!$B$13)</f>
        <v/>
      </c>
      <c r="N456" s="51">
        <f>IF(L456="","",L456+M456)</f>
        <v/>
      </c>
      <c r="O456" s="54" t="n"/>
      <c r="P456" s="43" t="n"/>
      <c r="Q456" s="44" t="n"/>
      <c r="R456" s="51">
        <f>IF(N456="","",MAX(N456-Q456,0))</f>
        <v/>
      </c>
      <c r="S456" s="48">
        <f>IF(A456="","",IF(OR(P456="Pagada",R456=0),"Pagada",IF(O456&lt;TODAY(),"Vencida",IF(O456&lt;=TODAY()+Inicio!$B$19,"Próxima a vencer","Vigente"))))</f>
        <v/>
      </c>
      <c r="T456" s="43" t="n"/>
      <c r="U456" s="68">
        <f>IF($B456="","",YEAR($B456))</f>
        <v/>
      </c>
      <c r="V456" s="68">
        <f>IF($B456="","",MONTH($B456))</f>
        <v/>
      </c>
      <c r="W456" s="68">
        <f>IF($B456="","",DAY($B456))</f>
        <v/>
      </c>
      <c r="X456" s="68">
        <f>IF($B456="","",YEAR($B456)&amp;"-"&amp;TEXT(MONTH($B456),"00"))</f>
        <v/>
      </c>
      <c r="Y456" s="68">
        <f>IF(OR($H456="",$J456=""),"",$J456*IFERROR(VLOOKUP($H456,Maestro_SKU!$A$2:$P$500,12,FALSE),1))</f>
        <v/>
      </c>
    </row>
    <row r="457">
      <c r="A457" s="43" t="n"/>
      <c r="B457" s="54" t="n"/>
      <c r="C457" s="43" t="n"/>
      <c r="D457" s="43" t="n"/>
      <c r="E457" s="48">
        <f>IFERROR(VLOOKUP(D457,Clientes_PDV!$A$2:$J$250,2,FALSE),"")</f>
        <v/>
      </c>
      <c r="F457" s="48">
        <f>IFERROR(VLOOKUP(D457,Clientes_PDV!$A$2:$J$250,3,FALSE),"")</f>
        <v/>
      </c>
      <c r="G457" s="48">
        <f>IFERROR(VLOOKUP(D457,Clientes_PDV!$A$2:$J$250,4,FALSE),"")</f>
        <v/>
      </c>
      <c r="H457" s="43" t="n"/>
      <c r="I457" s="48">
        <f>IFERROR(VLOOKUP(H457,Maestro_SKU!$A$2:$P$500,2,FALSE),"")</f>
        <v/>
      </c>
      <c r="J457" s="55" t="n"/>
      <c r="K457" s="44" t="n"/>
      <c r="L457" s="51">
        <f>IF(OR(J457="",K457=""),"",J457*K457)</f>
        <v/>
      </c>
      <c r="M457" s="51">
        <f>IF(L457="","",L457*Inicio!$B$13)</f>
        <v/>
      </c>
      <c r="N457" s="51">
        <f>IF(L457="","",L457+M457)</f>
        <v/>
      </c>
      <c r="O457" s="54" t="n"/>
      <c r="P457" s="43" t="n"/>
      <c r="Q457" s="44" t="n"/>
      <c r="R457" s="51">
        <f>IF(N457="","",MAX(N457-Q457,0))</f>
        <v/>
      </c>
      <c r="S457" s="48">
        <f>IF(A457="","",IF(OR(P457="Pagada",R457=0),"Pagada",IF(O457&lt;TODAY(),"Vencida",IF(O457&lt;=TODAY()+Inicio!$B$19,"Próxima a vencer","Vigente"))))</f>
        <v/>
      </c>
      <c r="T457" s="43" t="n"/>
      <c r="U457" s="68">
        <f>IF($B457="","",YEAR($B457))</f>
        <v/>
      </c>
      <c r="V457" s="68">
        <f>IF($B457="","",MONTH($B457))</f>
        <v/>
      </c>
      <c r="W457" s="68">
        <f>IF($B457="","",DAY($B457))</f>
        <v/>
      </c>
      <c r="X457" s="68">
        <f>IF($B457="","",YEAR($B457)&amp;"-"&amp;TEXT(MONTH($B457),"00"))</f>
        <v/>
      </c>
      <c r="Y457" s="68">
        <f>IF(OR($H457="",$J457=""),"",$J457*IFERROR(VLOOKUP($H457,Maestro_SKU!$A$2:$P$500,12,FALSE),1))</f>
        <v/>
      </c>
    </row>
    <row r="458">
      <c r="A458" s="43" t="n"/>
      <c r="B458" s="54" t="n"/>
      <c r="C458" s="43" t="n"/>
      <c r="D458" s="43" t="n"/>
      <c r="E458" s="48">
        <f>IFERROR(VLOOKUP(D458,Clientes_PDV!$A$2:$J$250,2,FALSE),"")</f>
        <v/>
      </c>
      <c r="F458" s="48">
        <f>IFERROR(VLOOKUP(D458,Clientes_PDV!$A$2:$J$250,3,FALSE),"")</f>
        <v/>
      </c>
      <c r="G458" s="48">
        <f>IFERROR(VLOOKUP(D458,Clientes_PDV!$A$2:$J$250,4,FALSE),"")</f>
        <v/>
      </c>
      <c r="H458" s="43" t="n"/>
      <c r="I458" s="48">
        <f>IFERROR(VLOOKUP(H458,Maestro_SKU!$A$2:$P$500,2,FALSE),"")</f>
        <v/>
      </c>
      <c r="J458" s="55" t="n"/>
      <c r="K458" s="44" t="n"/>
      <c r="L458" s="51">
        <f>IF(OR(J458="",K458=""),"",J458*K458)</f>
        <v/>
      </c>
      <c r="M458" s="51">
        <f>IF(L458="","",L458*Inicio!$B$13)</f>
        <v/>
      </c>
      <c r="N458" s="51">
        <f>IF(L458="","",L458+M458)</f>
        <v/>
      </c>
      <c r="O458" s="54" t="n"/>
      <c r="P458" s="43" t="n"/>
      <c r="Q458" s="44" t="n"/>
      <c r="R458" s="51">
        <f>IF(N458="","",MAX(N458-Q458,0))</f>
        <v/>
      </c>
      <c r="S458" s="48">
        <f>IF(A458="","",IF(OR(P458="Pagada",R458=0),"Pagada",IF(O458&lt;TODAY(),"Vencida",IF(O458&lt;=TODAY()+Inicio!$B$19,"Próxima a vencer","Vigente"))))</f>
        <v/>
      </c>
      <c r="T458" s="43" t="n"/>
      <c r="U458" s="68">
        <f>IF($B458="","",YEAR($B458))</f>
        <v/>
      </c>
      <c r="V458" s="68">
        <f>IF($B458="","",MONTH($B458))</f>
        <v/>
      </c>
      <c r="W458" s="68">
        <f>IF($B458="","",DAY($B458))</f>
        <v/>
      </c>
      <c r="X458" s="68">
        <f>IF($B458="","",YEAR($B458)&amp;"-"&amp;TEXT(MONTH($B458),"00"))</f>
        <v/>
      </c>
      <c r="Y458" s="68">
        <f>IF(OR($H458="",$J458=""),"",$J458*IFERROR(VLOOKUP($H458,Maestro_SKU!$A$2:$P$500,12,FALSE),1))</f>
        <v/>
      </c>
    </row>
    <row r="459">
      <c r="A459" s="43" t="n"/>
      <c r="B459" s="54" t="n"/>
      <c r="C459" s="43" t="n"/>
      <c r="D459" s="43" t="n"/>
      <c r="E459" s="48">
        <f>IFERROR(VLOOKUP(D459,Clientes_PDV!$A$2:$J$250,2,FALSE),"")</f>
        <v/>
      </c>
      <c r="F459" s="48">
        <f>IFERROR(VLOOKUP(D459,Clientes_PDV!$A$2:$J$250,3,FALSE),"")</f>
        <v/>
      </c>
      <c r="G459" s="48">
        <f>IFERROR(VLOOKUP(D459,Clientes_PDV!$A$2:$J$250,4,FALSE),"")</f>
        <v/>
      </c>
      <c r="H459" s="43" t="n"/>
      <c r="I459" s="48">
        <f>IFERROR(VLOOKUP(H459,Maestro_SKU!$A$2:$P$500,2,FALSE),"")</f>
        <v/>
      </c>
      <c r="J459" s="55" t="n"/>
      <c r="K459" s="44" t="n"/>
      <c r="L459" s="51">
        <f>IF(OR(J459="",K459=""),"",J459*K459)</f>
        <v/>
      </c>
      <c r="M459" s="51">
        <f>IF(L459="","",L459*Inicio!$B$13)</f>
        <v/>
      </c>
      <c r="N459" s="51">
        <f>IF(L459="","",L459+M459)</f>
        <v/>
      </c>
      <c r="O459" s="54" t="n"/>
      <c r="P459" s="43" t="n"/>
      <c r="Q459" s="44" t="n"/>
      <c r="R459" s="51">
        <f>IF(N459="","",MAX(N459-Q459,0))</f>
        <v/>
      </c>
      <c r="S459" s="48">
        <f>IF(A459="","",IF(OR(P459="Pagada",R459=0),"Pagada",IF(O459&lt;TODAY(),"Vencida",IF(O459&lt;=TODAY()+Inicio!$B$19,"Próxima a vencer","Vigente"))))</f>
        <v/>
      </c>
      <c r="T459" s="43" t="n"/>
      <c r="U459" s="68">
        <f>IF($B459="","",YEAR($B459))</f>
        <v/>
      </c>
      <c r="V459" s="68">
        <f>IF($B459="","",MONTH($B459))</f>
        <v/>
      </c>
      <c r="W459" s="68">
        <f>IF($B459="","",DAY($B459))</f>
        <v/>
      </c>
      <c r="X459" s="68">
        <f>IF($B459="","",YEAR($B459)&amp;"-"&amp;TEXT(MONTH($B459),"00"))</f>
        <v/>
      </c>
      <c r="Y459" s="68">
        <f>IF(OR($H459="",$J459=""),"",$J459*IFERROR(VLOOKUP($H459,Maestro_SKU!$A$2:$P$500,12,FALSE),1))</f>
        <v/>
      </c>
    </row>
    <row r="460">
      <c r="A460" s="43" t="n"/>
      <c r="B460" s="54" t="n"/>
      <c r="C460" s="43" t="n"/>
      <c r="D460" s="43" t="n"/>
      <c r="E460" s="48">
        <f>IFERROR(VLOOKUP(D460,Clientes_PDV!$A$2:$J$250,2,FALSE),"")</f>
        <v/>
      </c>
      <c r="F460" s="48">
        <f>IFERROR(VLOOKUP(D460,Clientes_PDV!$A$2:$J$250,3,FALSE),"")</f>
        <v/>
      </c>
      <c r="G460" s="48">
        <f>IFERROR(VLOOKUP(D460,Clientes_PDV!$A$2:$J$250,4,FALSE),"")</f>
        <v/>
      </c>
      <c r="H460" s="43" t="n"/>
      <c r="I460" s="48">
        <f>IFERROR(VLOOKUP(H460,Maestro_SKU!$A$2:$P$500,2,FALSE),"")</f>
        <v/>
      </c>
      <c r="J460" s="55" t="n"/>
      <c r="K460" s="44" t="n"/>
      <c r="L460" s="51">
        <f>IF(OR(J460="",K460=""),"",J460*K460)</f>
        <v/>
      </c>
      <c r="M460" s="51">
        <f>IF(L460="","",L460*Inicio!$B$13)</f>
        <v/>
      </c>
      <c r="N460" s="51">
        <f>IF(L460="","",L460+M460)</f>
        <v/>
      </c>
      <c r="O460" s="54" t="n"/>
      <c r="P460" s="43" t="n"/>
      <c r="Q460" s="44" t="n"/>
      <c r="R460" s="51">
        <f>IF(N460="","",MAX(N460-Q460,0))</f>
        <v/>
      </c>
      <c r="S460" s="48">
        <f>IF(A460="","",IF(OR(P460="Pagada",R460=0),"Pagada",IF(O460&lt;TODAY(),"Vencida",IF(O460&lt;=TODAY()+Inicio!$B$19,"Próxima a vencer","Vigente"))))</f>
        <v/>
      </c>
      <c r="T460" s="43" t="n"/>
      <c r="U460" s="68">
        <f>IF($B460="","",YEAR($B460))</f>
        <v/>
      </c>
      <c r="V460" s="68">
        <f>IF($B460="","",MONTH($B460))</f>
        <v/>
      </c>
      <c r="W460" s="68">
        <f>IF($B460="","",DAY($B460))</f>
        <v/>
      </c>
      <c r="X460" s="68">
        <f>IF($B460="","",YEAR($B460)&amp;"-"&amp;TEXT(MONTH($B460),"00"))</f>
        <v/>
      </c>
      <c r="Y460" s="68">
        <f>IF(OR($H460="",$J460=""),"",$J460*IFERROR(VLOOKUP($H460,Maestro_SKU!$A$2:$P$500,12,FALSE),1))</f>
        <v/>
      </c>
    </row>
    <row r="461">
      <c r="A461" s="43" t="n"/>
      <c r="B461" s="54" t="n"/>
      <c r="C461" s="43" t="n"/>
      <c r="D461" s="43" t="n"/>
      <c r="E461" s="48">
        <f>IFERROR(VLOOKUP(D461,Clientes_PDV!$A$2:$J$250,2,FALSE),"")</f>
        <v/>
      </c>
      <c r="F461" s="48">
        <f>IFERROR(VLOOKUP(D461,Clientes_PDV!$A$2:$J$250,3,FALSE),"")</f>
        <v/>
      </c>
      <c r="G461" s="48">
        <f>IFERROR(VLOOKUP(D461,Clientes_PDV!$A$2:$J$250,4,FALSE),"")</f>
        <v/>
      </c>
      <c r="H461" s="43" t="n"/>
      <c r="I461" s="48">
        <f>IFERROR(VLOOKUP(H461,Maestro_SKU!$A$2:$P$500,2,FALSE),"")</f>
        <v/>
      </c>
      <c r="J461" s="55" t="n"/>
      <c r="K461" s="44" t="n"/>
      <c r="L461" s="51">
        <f>IF(OR(J461="",K461=""),"",J461*K461)</f>
        <v/>
      </c>
      <c r="M461" s="51">
        <f>IF(L461="","",L461*Inicio!$B$13)</f>
        <v/>
      </c>
      <c r="N461" s="51">
        <f>IF(L461="","",L461+M461)</f>
        <v/>
      </c>
      <c r="O461" s="54" t="n"/>
      <c r="P461" s="43" t="n"/>
      <c r="Q461" s="44" t="n"/>
      <c r="R461" s="51">
        <f>IF(N461="","",MAX(N461-Q461,0))</f>
        <v/>
      </c>
      <c r="S461" s="48">
        <f>IF(A461="","",IF(OR(P461="Pagada",R461=0),"Pagada",IF(O461&lt;TODAY(),"Vencida",IF(O461&lt;=TODAY()+Inicio!$B$19,"Próxima a vencer","Vigente"))))</f>
        <v/>
      </c>
      <c r="T461" s="43" t="n"/>
      <c r="U461" s="68">
        <f>IF($B461="","",YEAR($B461))</f>
        <v/>
      </c>
      <c r="V461" s="68">
        <f>IF($B461="","",MONTH($B461))</f>
        <v/>
      </c>
      <c r="W461" s="68">
        <f>IF($B461="","",DAY($B461))</f>
        <v/>
      </c>
      <c r="X461" s="68">
        <f>IF($B461="","",YEAR($B461)&amp;"-"&amp;TEXT(MONTH($B461),"00"))</f>
        <v/>
      </c>
      <c r="Y461" s="68">
        <f>IF(OR($H461="",$J461=""),"",$J461*IFERROR(VLOOKUP($H461,Maestro_SKU!$A$2:$P$500,12,FALSE),1))</f>
        <v/>
      </c>
    </row>
    <row r="462">
      <c r="A462" s="43" t="n"/>
      <c r="B462" s="54" t="n"/>
      <c r="C462" s="43" t="n"/>
      <c r="D462" s="43" t="n"/>
      <c r="E462" s="48">
        <f>IFERROR(VLOOKUP(D462,Clientes_PDV!$A$2:$J$250,2,FALSE),"")</f>
        <v/>
      </c>
      <c r="F462" s="48">
        <f>IFERROR(VLOOKUP(D462,Clientes_PDV!$A$2:$J$250,3,FALSE),"")</f>
        <v/>
      </c>
      <c r="G462" s="48">
        <f>IFERROR(VLOOKUP(D462,Clientes_PDV!$A$2:$J$250,4,FALSE),"")</f>
        <v/>
      </c>
      <c r="H462" s="43" t="n"/>
      <c r="I462" s="48">
        <f>IFERROR(VLOOKUP(H462,Maestro_SKU!$A$2:$P$500,2,FALSE),"")</f>
        <v/>
      </c>
      <c r="J462" s="55" t="n"/>
      <c r="K462" s="44" t="n"/>
      <c r="L462" s="51">
        <f>IF(OR(J462="",K462=""),"",J462*K462)</f>
        <v/>
      </c>
      <c r="M462" s="51">
        <f>IF(L462="","",L462*Inicio!$B$13)</f>
        <v/>
      </c>
      <c r="N462" s="51">
        <f>IF(L462="","",L462+M462)</f>
        <v/>
      </c>
      <c r="O462" s="54" t="n"/>
      <c r="P462" s="43" t="n"/>
      <c r="Q462" s="44" t="n"/>
      <c r="R462" s="51">
        <f>IF(N462="","",MAX(N462-Q462,0))</f>
        <v/>
      </c>
      <c r="S462" s="48">
        <f>IF(A462="","",IF(OR(P462="Pagada",R462=0),"Pagada",IF(O462&lt;TODAY(),"Vencida",IF(O462&lt;=TODAY()+Inicio!$B$19,"Próxima a vencer","Vigente"))))</f>
        <v/>
      </c>
      <c r="T462" s="43" t="n"/>
      <c r="U462" s="68">
        <f>IF($B462="","",YEAR($B462))</f>
        <v/>
      </c>
      <c r="V462" s="68">
        <f>IF($B462="","",MONTH($B462))</f>
        <v/>
      </c>
      <c r="W462" s="68">
        <f>IF($B462="","",DAY($B462))</f>
        <v/>
      </c>
      <c r="X462" s="68">
        <f>IF($B462="","",YEAR($B462)&amp;"-"&amp;TEXT(MONTH($B462),"00"))</f>
        <v/>
      </c>
      <c r="Y462" s="68">
        <f>IF(OR($H462="",$J462=""),"",$J462*IFERROR(VLOOKUP($H462,Maestro_SKU!$A$2:$P$500,12,FALSE),1))</f>
        <v/>
      </c>
    </row>
    <row r="463">
      <c r="A463" s="43" t="n"/>
      <c r="B463" s="54" t="n"/>
      <c r="C463" s="43" t="n"/>
      <c r="D463" s="43" t="n"/>
      <c r="E463" s="48">
        <f>IFERROR(VLOOKUP(D463,Clientes_PDV!$A$2:$J$250,2,FALSE),"")</f>
        <v/>
      </c>
      <c r="F463" s="48">
        <f>IFERROR(VLOOKUP(D463,Clientes_PDV!$A$2:$J$250,3,FALSE),"")</f>
        <v/>
      </c>
      <c r="G463" s="48">
        <f>IFERROR(VLOOKUP(D463,Clientes_PDV!$A$2:$J$250,4,FALSE),"")</f>
        <v/>
      </c>
      <c r="H463" s="43" t="n"/>
      <c r="I463" s="48">
        <f>IFERROR(VLOOKUP(H463,Maestro_SKU!$A$2:$P$500,2,FALSE),"")</f>
        <v/>
      </c>
      <c r="J463" s="55" t="n"/>
      <c r="K463" s="44" t="n"/>
      <c r="L463" s="51">
        <f>IF(OR(J463="",K463=""),"",J463*K463)</f>
        <v/>
      </c>
      <c r="M463" s="51">
        <f>IF(L463="","",L463*Inicio!$B$13)</f>
        <v/>
      </c>
      <c r="N463" s="51">
        <f>IF(L463="","",L463+M463)</f>
        <v/>
      </c>
      <c r="O463" s="54" t="n"/>
      <c r="P463" s="43" t="n"/>
      <c r="Q463" s="44" t="n"/>
      <c r="R463" s="51">
        <f>IF(N463="","",MAX(N463-Q463,0))</f>
        <v/>
      </c>
      <c r="S463" s="48">
        <f>IF(A463="","",IF(OR(P463="Pagada",R463=0),"Pagada",IF(O463&lt;TODAY(),"Vencida",IF(O463&lt;=TODAY()+Inicio!$B$19,"Próxima a vencer","Vigente"))))</f>
        <v/>
      </c>
      <c r="T463" s="43" t="n"/>
      <c r="U463" s="68">
        <f>IF($B463="","",YEAR($B463))</f>
        <v/>
      </c>
      <c r="V463" s="68">
        <f>IF($B463="","",MONTH($B463))</f>
        <v/>
      </c>
      <c r="W463" s="68">
        <f>IF($B463="","",DAY($B463))</f>
        <v/>
      </c>
      <c r="X463" s="68">
        <f>IF($B463="","",YEAR($B463)&amp;"-"&amp;TEXT(MONTH($B463),"00"))</f>
        <v/>
      </c>
      <c r="Y463" s="68">
        <f>IF(OR($H463="",$J463=""),"",$J463*IFERROR(VLOOKUP($H463,Maestro_SKU!$A$2:$P$500,12,FALSE),1))</f>
        <v/>
      </c>
    </row>
    <row r="464">
      <c r="A464" s="43" t="n"/>
      <c r="B464" s="54" t="n"/>
      <c r="C464" s="43" t="n"/>
      <c r="D464" s="43" t="n"/>
      <c r="E464" s="48">
        <f>IFERROR(VLOOKUP(D464,Clientes_PDV!$A$2:$J$250,2,FALSE),"")</f>
        <v/>
      </c>
      <c r="F464" s="48">
        <f>IFERROR(VLOOKUP(D464,Clientes_PDV!$A$2:$J$250,3,FALSE),"")</f>
        <v/>
      </c>
      <c r="G464" s="48">
        <f>IFERROR(VLOOKUP(D464,Clientes_PDV!$A$2:$J$250,4,FALSE),"")</f>
        <v/>
      </c>
      <c r="H464" s="43" t="n"/>
      <c r="I464" s="48">
        <f>IFERROR(VLOOKUP(H464,Maestro_SKU!$A$2:$P$500,2,FALSE),"")</f>
        <v/>
      </c>
      <c r="J464" s="55" t="n"/>
      <c r="K464" s="44" t="n"/>
      <c r="L464" s="51">
        <f>IF(OR(J464="",K464=""),"",J464*K464)</f>
        <v/>
      </c>
      <c r="M464" s="51">
        <f>IF(L464="","",L464*Inicio!$B$13)</f>
        <v/>
      </c>
      <c r="N464" s="51">
        <f>IF(L464="","",L464+M464)</f>
        <v/>
      </c>
      <c r="O464" s="54" t="n"/>
      <c r="P464" s="43" t="n"/>
      <c r="Q464" s="44" t="n"/>
      <c r="R464" s="51">
        <f>IF(N464="","",MAX(N464-Q464,0))</f>
        <v/>
      </c>
      <c r="S464" s="48">
        <f>IF(A464="","",IF(OR(P464="Pagada",R464=0),"Pagada",IF(O464&lt;TODAY(),"Vencida",IF(O464&lt;=TODAY()+Inicio!$B$19,"Próxima a vencer","Vigente"))))</f>
        <v/>
      </c>
      <c r="T464" s="43" t="n"/>
      <c r="U464" s="68">
        <f>IF($B464="","",YEAR($B464))</f>
        <v/>
      </c>
      <c r="V464" s="68">
        <f>IF($B464="","",MONTH($B464))</f>
        <v/>
      </c>
      <c r="W464" s="68">
        <f>IF($B464="","",DAY($B464))</f>
        <v/>
      </c>
      <c r="X464" s="68">
        <f>IF($B464="","",YEAR($B464)&amp;"-"&amp;TEXT(MONTH($B464),"00"))</f>
        <v/>
      </c>
      <c r="Y464" s="68">
        <f>IF(OR($H464="",$J464=""),"",$J464*IFERROR(VLOOKUP($H464,Maestro_SKU!$A$2:$P$500,12,FALSE),1))</f>
        <v/>
      </c>
    </row>
    <row r="465">
      <c r="A465" s="43" t="n"/>
      <c r="B465" s="54" t="n"/>
      <c r="C465" s="43" t="n"/>
      <c r="D465" s="43" t="n"/>
      <c r="E465" s="48">
        <f>IFERROR(VLOOKUP(D465,Clientes_PDV!$A$2:$J$250,2,FALSE),"")</f>
        <v/>
      </c>
      <c r="F465" s="48">
        <f>IFERROR(VLOOKUP(D465,Clientes_PDV!$A$2:$J$250,3,FALSE),"")</f>
        <v/>
      </c>
      <c r="G465" s="48">
        <f>IFERROR(VLOOKUP(D465,Clientes_PDV!$A$2:$J$250,4,FALSE),"")</f>
        <v/>
      </c>
      <c r="H465" s="43" t="n"/>
      <c r="I465" s="48">
        <f>IFERROR(VLOOKUP(H465,Maestro_SKU!$A$2:$P$500,2,FALSE),"")</f>
        <v/>
      </c>
      <c r="J465" s="55" t="n"/>
      <c r="K465" s="44" t="n"/>
      <c r="L465" s="51">
        <f>IF(OR(J465="",K465=""),"",J465*K465)</f>
        <v/>
      </c>
      <c r="M465" s="51">
        <f>IF(L465="","",L465*Inicio!$B$13)</f>
        <v/>
      </c>
      <c r="N465" s="51">
        <f>IF(L465="","",L465+M465)</f>
        <v/>
      </c>
      <c r="O465" s="54" t="n"/>
      <c r="P465" s="43" t="n"/>
      <c r="Q465" s="44" t="n"/>
      <c r="R465" s="51">
        <f>IF(N465="","",MAX(N465-Q465,0))</f>
        <v/>
      </c>
      <c r="S465" s="48">
        <f>IF(A465="","",IF(OR(P465="Pagada",R465=0),"Pagada",IF(O465&lt;TODAY(),"Vencida",IF(O465&lt;=TODAY()+Inicio!$B$19,"Próxima a vencer","Vigente"))))</f>
        <v/>
      </c>
      <c r="T465" s="43" t="n"/>
      <c r="U465" s="68">
        <f>IF($B465="","",YEAR($B465))</f>
        <v/>
      </c>
      <c r="V465" s="68">
        <f>IF($B465="","",MONTH($B465))</f>
        <v/>
      </c>
      <c r="W465" s="68">
        <f>IF($B465="","",DAY($B465))</f>
        <v/>
      </c>
      <c r="X465" s="68">
        <f>IF($B465="","",YEAR($B465)&amp;"-"&amp;TEXT(MONTH($B465),"00"))</f>
        <v/>
      </c>
      <c r="Y465" s="68">
        <f>IF(OR($H465="",$J465=""),"",$J465*IFERROR(VLOOKUP($H465,Maestro_SKU!$A$2:$P$500,12,FALSE),1))</f>
        <v/>
      </c>
    </row>
    <row r="466">
      <c r="A466" s="43" t="n"/>
      <c r="B466" s="54" t="n"/>
      <c r="C466" s="43" t="n"/>
      <c r="D466" s="43" t="n"/>
      <c r="E466" s="48">
        <f>IFERROR(VLOOKUP(D466,Clientes_PDV!$A$2:$J$250,2,FALSE),"")</f>
        <v/>
      </c>
      <c r="F466" s="48">
        <f>IFERROR(VLOOKUP(D466,Clientes_PDV!$A$2:$J$250,3,FALSE),"")</f>
        <v/>
      </c>
      <c r="G466" s="48">
        <f>IFERROR(VLOOKUP(D466,Clientes_PDV!$A$2:$J$250,4,FALSE),"")</f>
        <v/>
      </c>
      <c r="H466" s="43" t="n"/>
      <c r="I466" s="48">
        <f>IFERROR(VLOOKUP(H466,Maestro_SKU!$A$2:$P$500,2,FALSE),"")</f>
        <v/>
      </c>
      <c r="J466" s="55" t="n"/>
      <c r="K466" s="44" t="n"/>
      <c r="L466" s="51">
        <f>IF(OR(J466="",K466=""),"",J466*K466)</f>
        <v/>
      </c>
      <c r="M466" s="51">
        <f>IF(L466="","",L466*Inicio!$B$13)</f>
        <v/>
      </c>
      <c r="N466" s="51">
        <f>IF(L466="","",L466+M466)</f>
        <v/>
      </c>
      <c r="O466" s="54" t="n"/>
      <c r="P466" s="43" t="n"/>
      <c r="Q466" s="44" t="n"/>
      <c r="R466" s="51">
        <f>IF(N466="","",MAX(N466-Q466,0))</f>
        <v/>
      </c>
      <c r="S466" s="48">
        <f>IF(A466="","",IF(OR(P466="Pagada",R466=0),"Pagada",IF(O466&lt;TODAY(),"Vencida",IF(O466&lt;=TODAY()+Inicio!$B$19,"Próxima a vencer","Vigente"))))</f>
        <v/>
      </c>
      <c r="T466" s="43" t="n"/>
      <c r="U466" s="68">
        <f>IF($B466="","",YEAR($B466))</f>
        <v/>
      </c>
      <c r="V466" s="68">
        <f>IF($B466="","",MONTH($B466))</f>
        <v/>
      </c>
      <c r="W466" s="68">
        <f>IF($B466="","",DAY($B466))</f>
        <v/>
      </c>
      <c r="X466" s="68">
        <f>IF($B466="","",YEAR($B466)&amp;"-"&amp;TEXT(MONTH($B466),"00"))</f>
        <v/>
      </c>
      <c r="Y466" s="68">
        <f>IF(OR($H466="",$J466=""),"",$J466*IFERROR(VLOOKUP($H466,Maestro_SKU!$A$2:$P$500,12,FALSE),1))</f>
        <v/>
      </c>
    </row>
    <row r="467">
      <c r="A467" s="43" t="n"/>
      <c r="B467" s="54" t="n"/>
      <c r="C467" s="43" t="n"/>
      <c r="D467" s="43" t="n"/>
      <c r="E467" s="48">
        <f>IFERROR(VLOOKUP(D467,Clientes_PDV!$A$2:$J$250,2,FALSE),"")</f>
        <v/>
      </c>
      <c r="F467" s="48">
        <f>IFERROR(VLOOKUP(D467,Clientes_PDV!$A$2:$J$250,3,FALSE),"")</f>
        <v/>
      </c>
      <c r="G467" s="48">
        <f>IFERROR(VLOOKUP(D467,Clientes_PDV!$A$2:$J$250,4,FALSE),"")</f>
        <v/>
      </c>
      <c r="H467" s="43" t="n"/>
      <c r="I467" s="48">
        <f>IFERROR(VLOOKUP(H467,Maestro_SKU!$A$2:$P$500,2,FALSE),"")</f>
        <v/>
      </c>
      <c r="J467" s="55" t="n"/>
      <c r="K467" s="44" t="n"/>
      <c r="L467" s="51">
        <f>IF(OR(J467="",K467=""),"",J467*K467)</f>
        <v/>
      </c>
      <c r="M467" s="51">
        <f>IF(L467="","",L467*Inicio!$B$13)</f>
        <v/>
      </c>
      <c r="N467" s="51">
        <f>IF(L467="","",L467+M467)</f>
        <v/>
      </c>
      <c r="O467" s="54" t="n"/>
      <c r="P467" s="43" t="n"/>
      <c r="Q467" s="44" t="n"/>
      <c r="R467" s="51">
        <f>IF(N467="","",MAX(N467-Q467,0))</f>
        <v/>
      </c>
      <c r="S467" s="48">
        <f>IF(A467="","",IF(OR(P467="Pagada",R467=0),"Pagada",IF(O467&lt;TODAY(),"Vencida",IF(O467&lt;=TODAY()+Inicio!$B$19,"Próxima a vencer","Vigente"))))</f>
        <v/>
      </c>
      <c r="T467" s="43" t="n"/>
      <c r="U467" s="68">
        <f>IF($B467="","",YEAR($B467))</f>
        <v/>
      </c>
      <c r="V467" s="68">
        <f>IF($B467="","",MONTH($B467))</f>
        <v/>
      </c>
      <c r="W467" s="68">
        <f>IF($B467="","",DAY($B467))</f>
        <v/>
      </c>
      <c r="X467" s="68">
        <f>IF($B467="","",YEAR($B467)&amp;"-"&amp;TEXT(MONTH($B467),"00"))</f>
        <v/>
      </c>
      <c r="Y467" s="68">
        <f>IF(OR($H467="",$J467=""),"",$J467*IFERROR(VLOOKUP($H467,Maestro_SKU!$A$2:$P$500,12,FALSE),1))</f>
        <v/>
      </c>
    </row>
    <row r="468">
      <c r="A468" s="43" t="n"/>
      <c r="B468" s="54" t="n"/>
      <c r="C468" s="43" t="n"/>
      <c r="D468" s="43" t="n"/>
      <c r="E468" s="48">
        <f>IFERROR(VLOOKUP(D468,Clientes_PDV!$A$2:$J$250,2,FALSE),"")</f>
        <v/>
      </c>
      <c r="F468" s="48">
        <f>IFERROR(VLOOKUP(D468,Clientes_PDV!$A$2:$J$250,3,FALSE),"")</f>
        <v/>
      </c>
      <c r="G468" s="48">
        <f>IFERROR(VLOOKUP(D468,Clientes_PDV!$A$2:$J$250,4,FALSE),"")</f>
        <v/>
      </c>
      <c r="H468" s="43" t="n"/>
      <c r="I468" s="48">
        <f>IFERROR(VLOOKUP(H468,Maestro_SKU!$A$2:$P$500,2,FALSE),"")</f>
        <v/>
      </c>
      <c r="J468" s="55" t="n"/>
      <c r="K468" s="44" t="n"/>
      <c r="L468" s="51">
        <f>IF(OR(J468="",K468=""),"",J468*K468)</f>
        <v/>
      </c>
      <c r="M468" s="51">
        <f>IF(L468="","",L468*Inicio!$B$13)</f>
        <v/>
      </c>
      <c r="N468" s="51">
        <f>IF(L468="","",L468+M468)</f>
        <v/>
      </c>
      <c r="O468" s="54" t="n"/>
      <c r="P468" s="43" t="n"/>
      <c r="Q468" s="44" t="n"/>
      <c r="R468" s="51">
        <f>IF(N468="","",MAX(N468-Q468,0))</f>
        <v/>
      </c>
      <c r="S468" s="48">
        <f>IF(A468="","",IF(OR(P468="Pagada",R468=0),"Pagada",IF(O468&lt;TODAY(),"Vencida",IF(O468&lt;=TODAY()+Inicio!$B$19,"Próxima a vencer","Vigente"))))</f>
        <v/>
      </c>
      <c r="T468" s="43" t="n"/>
      <c r="U468" s="68">
        <f>IF($B468="","",YEAR($B468))</f>
        <v/>
      </c>
      <c r="V468" s="68">
        <f>IF($B468="","",MONTH($B468))</f>
        <v/>
      </c>
      <c r="W468" s="68">
        <f>IF($B468="","",DAY($B468))</f>
        <v/>
      </c>
      <c r="X468" s="68">
        <f>IF($B468="","",YEAR($B468)&amp;"-"&amp;TEXT(MONTH($B468),"00"))</f>
        <v/>
      </c>
      <c r="Y468" s="68">
        <f>IF(OR($H468="",$J468=""),"",$J468*IFERROR(VLOOKUP($H468,Maestro_SKU!$A$2:$P$500,12,FALSE),1))</f>
        <v/>
      </c>
    </row>
    <row r="469">
      <c r="A469" s="43" t="n"/>
      <c r="B469" s="54" t="n"/>
      <c r="C469" s="43" t="n"/>
      <c r="D469" s="43" t="n"/>
      <c r="E469" s="48">
        <f>IFERROR(VLOOKUP(D469,Clientes_PDV!$A$2:$J$250,2,FALSE),"")</f>
        <v/>
      </c>
      <c r="F469" s="48">
        <f>IFERROR(VLOOKUP(D469,Clientes_PDV!$A$2:$J$250,3,FALSE),"")</f>
        <v/>
      </c>
      <c r="G469" s="48">
        <f>IFERROR(VLOOKUP(D469,Clientes_PDV!$A$2:$J$250,4,FALSE),"")</f>
        <v/>
      </c>
      <c r="H469" s="43" t="n"/>
      <c r="I469" s="48">
        <f>IFERROR(VLOOKUP(H469,Maestro_SKU!$A$2:$P$500,2,FALSE),"")</f>
        <v/>
      </c>
      <c r="J469" s="55" t="n"/>
      <c r="K469" s="44" t="n"/>
      <c r="L469" s="51">
        <f>IF(OR(J469="",K469=""),"",J469*K469)</f>
        <v/>
      </c>
      <c r="M469" s="51">
        <f>IF(L469="","",L469*Inicio!$B$13)</f>
        <v/>
      </c>
      <c r="N469" s="51">
        <f>IF(L469="","",L469+M469)</f>
        <v/>
      </c>
      <c r="O469" s="54" t="n"/>
      <c r="P469" s="43" t="n"/>
      <c r="Q469" s="44" t="n"/>
      <c r="R469" s="51">
        <f>IF(N469="","",MAX(N469-Q469,0))</f>
        <v/>
      </c>
      <c r="S469" s="48">
        <f>IF(A469="","",IF(OR(P469="Pagada",R469=0),"Pagada",IF(O469&lt;TODAY(),"Vencida",IF(O469&lt;=TODAY()+Inicio!$B$19,"Próxima a vencer","Vigente"))))</f>
        <v/>
      </c>
      <c r="T469" s="43" t="n"/>
      <c r="U469" s="68">
        <f>IF($B469="","",YEAR($B469))</f>
        <v/>
      </c>
      <c r="V469" s="68">
        <f>IF($B469="","",MONTH($B469))</f>
        <v/>
      </c>
      <c r="W469" s="68">
        <f>IF($B469="","",DAY($B469))</f>
        <v/>
      </c>
      <c r="X469" s="68">
        <f>IF($B469="","",YEAR($B469)&amp;"-"&amp;TEXT(MONTH($B469),"00"))</f>
        <v/>
      </c>
      <c r="Y469" s="68">
        <f>IF(OR($H469="",$J469=""),"",$J469*IFERROR(VLOOKUP($H469,Maestro_SKU!$A$2:$P$500,12,FALSE),1))</f>
        <v/>
      </c>
    </row>
    <row r="470">
      <c r="A470" s="43" t="n"/>
      <c r="B470" s="54" t="n"/>
      <c r="C470" s="43" t="n"/>
      <c r="D470" s="43" t="n"/>
      <c r="E470" s="48">
        <f>IFERROR(VLOOKUP(D470,Clientes_PDV!$A$2:$J$250,2,FALSE),"")</f>
        <v/>
      </c>
      <c r="F470" s="48">
        <f>IFERROR(VLOOKUP(D470,Clientes_PDV!$A$2:$J$250,3,FALSE),"")</f>
        <v/>
      </c>
      <c r="G470" s="48">
        <f>IFERROR(VLOOKUP(D470,Clientes_PDV!$A$2:$J$250,4,FALSE),"")</f>
        <v/>
      </c>
      <c r="H470" s="43" t="n"/>
      <c r="I470" s="48">
        <f>IFERROR(VLOOKUP(H470,Maestro_SKU!$A$2:$P$500,2,FALSE),"")</f>
        <v/>
      </c>
      <c r="J470" s="55" t="n"/>
      <c r="K470" s="44" t="n"/>
      <c r="L470" s="51">
        <f>IF(OR(J470="",K470=""),"",J470*K470)</f>
        <v/>
      </c>
      <c r="M470" s="51">
        <f>IF(L470="","",L470*Inicio!$B$13)</f>
        <v/>
      </c>
      <c r="N470" s="51">
        <f>IF(L470="","",L470+M470)</f>
        <v/>
      </c>
      <c r="O470" s="54" t="n"/>
      <c r="P470" s="43" t="n"/>
      <c r="Q470" s="44" t="n"/>
      <c r="R470" s="51">
        <f>IF(N470="","",MAX(N470-Q470,0))</f>
        <v/>
      </c>
      <c r="S470" s="48">
        <f>IF(A470="","",IF(OR(P470="Pagada",R470=0),"Pagada",IF(O470&lt;TODAY(),"Vencida",IF(O470&lt;=TODAY()+Inicio!$B$19,"Próxima a vencer","Vigente"))))</f>
        <v/>
      </c>
      <c r="T470" s="43" t="n"/>
      <c r="U470" s="68">
        <f>IF($B470="","",YEAR($B470))</f>
        <v/>
      </c>
      <c r="V470" s="68">
        <f>IF($B470="","",MONTH($B470))</f>
        <v/>
      </c>
      <c r="W470" s="68">
        <f>IF($B470="","",DAY($B470))</f>
        <v/>
      </c>
      <c r="X470" s="68">
        <f>IF($B470="","",YEAR($B470)&amp;"-"&amp;TEXT(MONTH($B470),"00"))</f>
        <v/>
      </c>
      <c r="Y470" s="68">
        <f>IF(OR($H470="",$J470=""),"",$J470*IFERROR(VLOOKUP($H470,Maestro_SKU!$A$2:$P$500,12,FALSE),1))</f>
        <v/>
      </c>
    </row>
    <row r="471">
      <c r="A471" s="43" t="n"/>
      <c r="B471" s="54" t="n"/>
      <c r="C471" s="43" t="n"/>
      <c r="D471" s="43" t="n"/>
      <c r="E471" s="48">
        <f>IFERROR(VLOOKUP(D471,Clientes_PDV!$A$2:$J$250,2,FALSE),"")</f>
        <v/>
      </c>
      <c r="F471" s="48">
        <f>IFERROR(VLOOKUP(D471,Clientes_PDV!$A$2:$J$250,3,FALSE),"")</f>
        <v/>
      </c>
      <c r="G471" s="48">
        <f>IFERROR(VLOOKUP(D471,Clientes_PDV!$A$2:$J$250,4,FALSE),"")</f>
        <v/>
      </c>
      <c r="H471" s="43" t="n"/>
      <c r="I471" s="48">
        <f>IFERROR(VLOOKUP(H471,Maestro_SKU!$A$2:$P$500,2,FALSE),"")</f>
        <v/>
      </c>
      <c r="J471" s="55" t="n"/>
      <c r="K471" s="44" t="n"/>
      <c r="L471" s="51">
        <f>IF(OR(J471="",K471=""),"",J471*K471)</f>
        <v/>
      </c>
      <c r="M471" s="51">
        <f>IF(L471="","",L471*Inicio!$B$13)</f>
        <v/>
      </c>
      <c r="N471" s="51">
        <f>IF(L471="","",L471+M471)</f>
        <v/>
      </c>
      <c r="O471" s="54" t="n"/>
      <c r="P471" s="43" t="n"/>
      <c r="Q471" s="44" t="n"/>
      <c r="R471" s="51">
        <f>IF(N471="","",MAX(N471-Q471,0))</f>
        <v/>
      </c>
      <c r="S471" s="48">
        <f>IF(A471="","",IF(OR(P471="Pagada",R471=0),"Pagada",IF(O471&lt;TODAY(),"Vencida",IF(O471&lt;=TODAY()+Inicio!$B$19,"Próxima a vencer","Vigente"))))</f>
        <v/>
      </c>
      <c r="T471" s="43" t="n"/>
      <c r="U471" s="68">
        <f>IF($B471="","",YEAR($B471))</f>
        <v/>
      </c>
      <c r="V471" s="68">
        <f>IF($B471="","",MONTH($B471))</f>
        <v/>
      </c>
      <c r="W471" s="68">
        <f>IF($B471="","",DAY($B471))</f>
        <v/>
      </c>
      <c r="X471" s="68">
        <f>IF($B471="","",YEAR($B471)&amp;"-"&amp;TEXT(MONTH($B471),"00"))</f>
        <v/>
      </c>
      <c r="Y471" s="68">
        <f>IF(OR($H471="",$J471=""),"",$J471*IFERROR(VLOOKUP($H471,Maestro_SKU!$A$2:$P$500,12,FALSE),1))</f>
        <v/>
      </c>
    </row>
    <row r="472">
      <c r="A472" s="43" t="n"/>
      <c r="B472" s="54" t="n"/>
      <c r="C472" s="43" t="n"/>
      <c r="D472" s="43" t="n"/>
      <c r="E472" s="48">
        <f>IFERROR(VLOOKUP(D472,Clientes_PDV!$A$2:$J$250,2,FALSE),"")</f>
        <v/>
      </c>
      <c r="F472" s="48">
        <f>IFERROR(VLOOKUP(D472,Clientes_PDV!$A$2:$J$250,3,FALSE),"")</f>
        <v/>
      </c>
      <c r="G472" s="48">
        <f>IFERROR(VLOOKUP(D472,Clientes_PDV!$A$2:$J$250,4,FALSE),"")</f>
        <v/>
      </c>
      <c r="H472" s="43" t="n"/>
      <c r="I472" s="48">
        <f>IFERROR(VLOOKUP(H472,Maestro_SKU!$A$2:$P$500,2,FALSE),"")</f>
        <v/>
      </c>
      <c r="J472" s="55" t="n"/>
      <c r="K472" s="44" t="n"/>
      <c r="L472" s="51">
        <f>IF(OR(J472="",K472=""),"",J472*K472)</f>
        <v/>
      </c>
      <c r="M472" s="51">
        <f>IF(L472="","",L472*Inicio!$B$13)</f>
        <v/>
      </c>
      <c r="N472" s="51">
        <f>IF(L472="","",L472+M472)</f>
        <v/>
      </c>
      <c r="O472" s="54" t="n"/>
      <c r="P472" s="43" t="n"/>
      <c r="Q472" s="44" t="n"/>
      <c r="R472" s="51">
        <f>IF(N472="","",MAX(N472-Q472,0))</f>
        <v/>
      </c>
      <c r="S472" s="48">
        <f>IF(A472="","",IF(OR(P472="Pagada",R472=0),"Pagada",IF(O472&lt;TODAY(),"Vencida",IF(O472&lt;=TODAY()+Inicio!$B$19,"Próxima a vencer","Vigente"))))</f>
        <v/>
      </c>
      <c r="T472" s="43" t="n"/>
      <c r="U472" s="68">
        <f>IF($B472="","",YEAR($B472))</f>
        <v/>
      </c>
      <c r="V472" s="68">
        <f>IF($B472="","",MONTH($B472))</f>
        <v/>
      </c>
      <c r="W472" s="68">
        <f>IF($B472="","",DAY($B472))</f>
        <v/>
      </c>
      <c r="X472" s="68">
        <f>IF($B472="","",YEAR($B472)&amp;"-"&amp;TEXT(MONTH($B472),"00"))</f>
        <v/>
      </c>
      <c r="Y472" s="68">
        <f>IF(OR($H472="",$J472=""),"",$J472*IFERROR(VLOOKUP($H472,Maestro_SKU!$A$2:$P$500,12,FALSE),1))</f>
        <v/>
      </c>
    </row>
    <row r="473">
      <c r="A473" s="43" t="n"/>
      <c r="B473" s="54" t="n"/>
      <c r="C473" s="43" t="n"/>
      <c r="D473" s="43" t="n"/>
      <c r="E473" s="48">
        <f>IFERROR(VLOOKUP(D473,Clientes_PDV!$A$2:$J$250,2,FALSE),"")</f>
        <v/>
      </c>
      <c r="F473" s="48">
        <f>IFERROR(VLOOKUP(D473,Clientes_PDV!$A$2:$J$250,3,FALSE),"")</f>
        <v/>
      </c>
      <c r="G473" s="48">
        <f>IFERROR(VLOOKUP(D473,Clientes_PDV!$A$2:$J$250,4,FALSE),"")</f>
        <v/>
      </c>
      <c r="H473" s="43" t="n"/>
      <c r="I473" s="48">
        <f>IFERROR(VLOOKUP(H473,Maestro_SKU!$A$2:$P$500,2,FALSE),"")</f>
        <v/>
      </c>
      <c r="J473" s="55" t="n"/>
      <c r="K473" s="44" t="n"/>
      <c r="L473" s="51">
        <f>IF(OR(J473="",K473=""),"",J473*K473)</f>
        <v/>
      </c>
      <c r="M473" s="51">
        <f>IF(L473="","",L473*Inicio!$B$13)</f>
        <v/>
      </c>
      <c r="N473" s="51">
        <f>IF(L473="","",L473+M473)</f>
        <v/>
      </c>
      <c r="O473" s="54" t="n"/>
      <c r="P473" s="43" t="n"/>
      <c r="Q473" s="44" t="n"/>
      <c r="R473" s="51">
        <f>IF(N473="","",MAX(N473-Q473,0))</f>
        <v/>
      </c>
      <c r="S473" s="48">
        <f>IF(A473="","",IF(OR(P473="Pagada",R473=0),"Pagada",IF(O473&lt;TODAY(),"Vencida",IF(O473&lt;=TODAY()+Inicio!$B$19,"Próxima a vencer","Vigente"))))</f>
        <v/>
      </c>
      <c r="T473" s="43" t="n"/>
      <c r="U473" s="68">
        <f>IF($B473="","",YEAR($B473))</f>
        <v/>
      </c>
      <c r="V473" s="68">
        <f>IF($B473="","",MONTH($B473))</f>
        <v/>
      </c>
      <c r="W473" s="68">
        <f>IF($B473="","",DAY($B473))</f>
        <v/>
      </c>
      <c r="X473" s="68">
        <f>IF($B473="","",YEAR($B473)&amp;"-"&amp;TEXT(MONTH($B473),"00"))</f>
        <v/>
      </c>
      <c r="Y473" s="68">
        <f>IF(OR($H473="",$J473=""),"",$J473*IFERROR(VLOOKUP($H473,Maestro_SKU!$A$2:$P$500,12,FALSE),1))</f>
        <v/>
      </c>
    </row>
    <row r="474">
      <c r="A474" s="43" t="n"/>
      <c r="B474" s="54" t="n"/>
      <c r="C474" s="43" t="n"/>
      <c r="D474" s="43" t="n"/>
      <c r="E474" s="48">
        <f>IFERROR(VLOOKUP(D474,Clientes_PDV!$A$2:$J$250,2,FALSE),"")</f>
        <v/>
      </c>
      <c r="F474" s="48">
        <f>IFERROR(VLOOKUP(D474,Clientes_PDV!$A$2:$J$250,3,FALSE),"")</f>
        <v/>
      </c>
      <c r="G474" s="48">
        <f>IFERROR(VLOOKUP(D474,Clientes_PDV!$A$2:$J$250,4,FALSE),"")</f>
        <v/>
      </c>
      <c r="H474" s="43" t="n"/>
      <c r="I474" s="48">
        <f>IFERROR(VLOOKUP(H474,Maestro_SKU!$A$2:$P$500,2,FALSE),"")</f>
        <v/>
      </c>
      <c r="J474" s="55" t="n"/>
      <c r="K474" s="44" t="n"/>
      <c r="L474" s="51">
        <f>IF(OR(J474="",K474=""),"",J474*K474)</f>
        <v/>
      </c>
      <c r="M474" s="51">
        <f>IF(L474="","",L474*Inicio!$B$13)</f>
        <v/>
      </c>
      <c r="N474" s="51">
        <f>IF(L474="","",L474+M474)</f>
        <v/>
      </c>
      <c r="O474" s="54" t="n"/>
      <c r="P474" s="43" t="n"/>
      <c r="Q474" s="44" t="n"/>
      <c r="R474" s="51">
        <f>IF(N474="","",MAX(N474-Q474,0))</f>
        <v/>
      </c>
      <c r="S474" s="48">
        <f>IF(A474="","",IF(OR(P474="Pagada",R474=0),"Pagada",IF(O474&lt;TODAY(),"Vencida",IF(O474&lt;=TODAY()+Inicio!$B$19,"Próxima a vencer","Vigente"))))</f>
        <v/>
      </c>
      <c r="T474" s="43" t="n"/>
      <c r="U474" s="68">
        <f>IF($B474="","",YEAR($B474))</f>
        <v/>
      </c>
      <c r="V474" s="68">
        <f>IF($B474="","",MONTH($B474))</f>
        <v/>
      </c>
      <c r="W474" s="68">
        <f>IF($B474="","",DAY($B474))</f>
        <v/>
      </c>
      <c r="X474" s="68">
        <f>IF($B474="","",YEAR($B474)&amp;"-"&amp;TEXT(MONTH($B474),"00"))</f>
        <v/>
      </c>
      <c r="Y474" s="68">
        <f>IF(OR($H474="",$J474=""),"",$J474*IFERROR(VLOOKUP($H474,Maestro_SKU!$A$2:$P$500,12,FALSE),1))</f>
        <v/>
      </c>
    </row>
    <row r="475">
      <c r="A475" s="43" t="n"/>
      <c r="B475" s="54" t="n"/>
      <c r="C475" s="43" t="n"/>
      <c r="D475" s="43" t="n"/>
      <c r="E475" s="48">
        <f>IFERROR(VLOOKUP(D475,Clientes_PDV!$A$2:$J$250,2,FALSE),"")</f>
        <v/>
      </c>
      <c r="F475" s="48">
        <f>IFERROR(VLOOKUP(D475,Clientes_PDV!$A$2:$J$250,3,FALSE),"")</f>
        <v/>
      </c>
      <c r="G475" s="48">
        <f>IFERROR(VLOOKUP(D475,Clientes_PDV!$A$2:$J$250,4,FALSE),"")</f>
        <v/>
      </c>
      <c r="H475" s="43" t="n"/>
      <c r="I475" s="48">
        <f>IFERROR(VLOOKUP(H475,Maestro_SKU!$A$2:$P$500,2,FALSE),"")</f>
        <v/>
      </c>
      <c r="J475" s="55" t="n"/>
      <c r="K475" s="44" t="n"/>
      <c r="L475" s="51">
        <f>IF(OR(J475="",K475=""),"",J475*K475)</f>
        <v/>
      </c>
      <c r="M475" s="51">
        <f>IF(L475="","",L475*Inicio!$B$13)</f>
        <v/>
      </c>
      <c r="N475" s="51">
        <f>IF(L475="","",L475+M475)</f>
        <v/>
      </c>
      <c r="O475" s="54" t="n"/>
      <c r="P475" s="43" t="n"/>
      <c r="Q475" s="44" t="n"/>
      <c r="R475" s="51">
        <f>IF(N475="","",MAX(N475-Q475,0))</f>
        <v/>
      </c>
      <c r="S475" s="48">
        <f>IF(A475="","",IF(OR(P475="Pagada",R475=0),"Pagada",IF(O475&lt;TODAY(),"Vencida",IF(O475&lt;=TODAY()+Inicio!$B$19,"Próxima a vencer","Vigente"))))</f>
        <v/>
      </c>
      <c r="T475" s="43" t="n"/>
      <c r="U475" s="68">
        <f>IF($B475="","",YEAR($B475))</f>
        <v/>
      </c>
      <c r="V475" s="68">
        <f>IF($B475="","",MONTH($B475))</f>
        <v/>
      </c>
      <c r="W475" s="68">
        <f>IF($B475="","",DAY($B475))</f>
        <v/>
      </c>
      <c r="X475" s="68">
        <f>IF($B475="","",YEAR($B475)&amp;"-"&amp;TEXT(MONTH($B475),"00"))</f>
        <v/>
      </c>
      <c r="Y475" s="68">
        <f>IF(OR($H475="",$J475=""),"",$J475*IFERROR(VLOOKUP($H475,Maestro_SKU!$A$2:$P$500,12,FALSE),1))</f>
        <v/>
      </c>
    </row>
    <row r="476">
      <c r="A476" s="43" t="n"/>
      <c r="B476" s="54" t="n"/>
      <c r="C476" s="43" t="n"/>
      <c r="D476" s="43" t="n"/>
      <c r="E476" s="48">
        <f>IFERROR(VLOOKUP(D476,Clientes_PDV!$A$2:$J$250,2,FALSE),"")</f>
        <v/>
      </c>
      <c r="F476" s="48">
        <f>IFERROR(VLOOKUP(D476,Clientes_PDV!$A$2:$J$250,3,FALSE),"")</f>
        <v/>
      </c>
      <c r="G476" s="48">
        <f>IFERROR(VLOOKUP(D476,Clientes_PDV!$A$2:$J$250,4,FALSE),"")</f>
        <v/>
      </c>
      <c r="H476" s="43" t="n"/>
      <c r="I476" s="48">
        <f>IFERROR(VLOOKUP(H476,Maestro_SKU!$A$2:$P$500,2,FALSE),"")</f>
        <v/>
      </c>
      <c r="J476" s="55" t="n"/>
      <c r="K476" s="44" t="n"/>
      <c r="L476" s="51">
        <f>IF(OR(J476="",K476=""),"",J476*K476)</f>
        <v/>
      </c>
      <c r="M476" s="51">
        <f>IF(L476="","",L476*Inicio!$B$13)</f>
        <v/>
      </c>
      <c r="N476" s="51">
        <f>IF(L476="","",L476+M476)</f>
        <v/>
      </c>
      <c r="O476" s="54" t="n"/>
      <c r="P476" s="43" t="n"/>
      <c r="Q476" s="44" t="n"/>
      <c r="R476" s="51">
        <f>IF(N476="","",MAX(N476-Q476,0))</f>
        <v/>
      </c>
      <c r="S476" s="48">
        <f>IF(A476="","",IF(OR(P476="Pagada",R476=0),"Pagada",IF(O476&lt;TODAY(),"Vencida",IF(O476&lt;=TODAY()+Inicio!$B$19,"Próxima a vencer","Vigente"))))</f>
        <v/>
      </c>
      <c r="T476" s="43" t="n"/>
      <c r="U476" s="68">
        <f>IF($B476="","",YEAR($B476))</f>
        <v/>
      </c>
      <c r="V476" s="68">
        <f>IF($B476="","",MONTH($B476))</f>
        <v/>
      </c>
      <c r="W476" s="68">
        <f>IF($B476="","",DAY($B476))</f>
        <v/>
      </c>
      <c r="X476" s="68">
        <f>IF($B476="","",YEAR($B476)&amp;"-"&amp;TEXT(MONTH($B476),"00"))</f>
        <v/>
      </c>
      <c r="Y476" s="68">
        <f>IF(OR($H476="",$J476=""),"",$J476*IFERROR(VLOOKUP($H476,Maestro_SKU!$A$2:$P$500,12,FALSE),1))</f>
        <v/>
      </c>
    </row>
    <row r="477">
      <c r="A477" s="43" t="n"/>
      <c r="B477" s="54" t="n"/>
      <c r="C477" s="43" t="n"/>
      <c r="D477" s="43" t="n"/>
      <c r="E477" s="48">
        <f>IFERROR(VLOOKUP(D477,Clientes_PDV!$A$2:$J$250,2,FALSE),"")</f>
        <v/>
      </c>
      <c r="F477" s="48">
        <f>IFERROR(VLOOKUP(D477,Clientes_PDV!$A$2:$J$250,3,FALSE),"")</f>
        <v/>
      </c>
      <c r="G477" s="48">
        <f>IFERROR(VLOOKUP(D477,Clientes_PDV!$A$2:$J$250,4,FALSE),"")</f>
        <v/>
      </c>
      <c r="H477" s="43" t="n"/>
      <c r="I477" s="48">
        <f>IFERROR(VLOOKUP(H477,Maestro_SKU!$A$2:$P$500,2,FALSE),"")</f>
        <v/>
      </c>
      <c r="J477" s="55" t="n"/>
      <c r="K477" s="44" t="n"/>
      <c r="L477" s="51">
        <f>IF(OR(J477="",K477=""),"",J477*K477)</f>
        <v/>
      </c>
      <c r="M477" s="51">
        <f>IF(L477="","",L477*Inicio!$B$13)</f>
        <v/>
      </c>
      <c r="N477" s="51">
        <f>IF(L477="","",L477+M477)</f>
        <v/>
      </c>
      <c r="O477" s="54" t="n"/>
      <c r="P477" s="43" t="n"/>
      <c r="Q477" s="44" t="n"/>
      <c r="R477" s="51">
        <f>IF(N477="","",MAX(N477-Q477,0))</f>
        <v/>
      </c>
      <c r="S477" s="48">
        <f>IF(A477="","",IF(OR(P477="Pagada",R477=0),"Pagada",IF(O477&lt;TODAY(),"Vencida",IF(O477&lt;=TODAY()+Inicio!$B$19,"Próxima a vencer","Vigente"))))</f>
        <v/>
      </c>
      <c r="T477" s="43" t="n"/>
      <c r="U477" s="68">
        <f>IF($B477="","",YEAR($B477))</f>
        <v/>
      </c>
      <c r="V477" s="68">
        <f>IF($B477="","",MONTH($B477))</f>
        <v/>
      </c>
      <c r="W477" s="68">
        <f>IF($B477="","",DAY($B477))</f>
        <v/>
      </c>
      <c r="X477" s="68">
        <f>IF($B477="","",YEAR($B477)&amp;"-"&amp;TEXT(MONTH($B477),"00"))</f>
        <v/>
      </c>
      <c r="Y477" s="68">
        <f>IF(OR($H477="",$J477=""),"",$J477*IFERROR(VLOOKUP($H477,Maestro_SKU!$A$2:$P$500,12,FALSE),1))</f>
        <v/>
      </c>
    </row>
    <row r="478">
      <c r="A478" s="43" t="n"/>
      <c r="B478" s="54" t="n"/>
      <c r="C478" s="43" t="n"/>
      <c r="D478" s="43" t="n"/>
      <c r="E478" s="48">
        <f>IFERROR(VLOOKUP(D478,Clientes_PDV!$A$2:$J$250,2,FALSE),"")</f>
        <v/>
      </c>
      <c r="F478" s="48">
        <f>IFERROR(VLOOKUP(D478,Clientes_PDV!$A$2:$J$250,3,FALSE),"")</f>
        <v/>
      </c>
      <c r="G478" s="48">
        <f>IFERROR(VLOOKUP(D478,Clientes_PDV!$A$2:$J$250,4,FALSE),"")</f>
        <v/>
      </c>
      <c r="H478" s="43" t="n"/>
      <c r="I478" s="48">
        <f>IFERROR(VLOOKUP(H478,Maestro_SKU!$A$2:$P$500,2,FALSE),"")</f>
        <v/>
      </c>
      <c r="J478" s="55" t="n"/>
      <c r="K478" s="44" t="n"/>
      <c r="L478" s="51">
        <f>IF(OR(J478="",K478=""),"",J478*K478)</f>
        <v/>
      </c>
      <c r="M478" s="51">
        <f>IF(L478="","",L478*Inicio!$B$13)</f>
        <v/>
      </c>
      <c r="N478" s="51">
        <f>IF(L478="","",L478+M478)</f>
        <v/>
      </c>
      <c r="O478" s="54" t="n"/>
      <c r="P478" s="43" t="n"/>
      <c r="Q478" s="44" t="n"/>
      <c r="R478" s="51">
        <f>IF(N478="","",MAX(N478-Q478,0))</f>
        <v/>
      </c>
      <c r="S478" s="48">
        <f>IF(A478="","",IF(OR(P478="Pagada",R478=0),"Pagada",IF(O478&lt;TODAY(),"Vencida",IF(O478&lt;=TODAY()+Inicio!$B$19,"Próxima a vencer","Vigente"))))</f>
        <v/>
      </c>
      <c r="T478" s="43" t="n"/>
      <c r="U478" s="68">
        <f>IF($B478="","",YEAR($B478))</f>
        <v/>
      </c>
      <c r="V478" s="68">
        <f>IF($B478="","",MONTH($B478))</f>
        <v/>
      </c>
      <c r="W478" s="68">
        <f>IF($B478="","",DAY($B478))</f>
        <v/>
      </c>
      <c r="X478" s="68">
        <f>IF($B478="","",YEAR($B478)&amp;"-"&amp;TEXT(MONTH($B478),"00"))</f>
        <v/>
      </c>
      <c r="Y478" s="68">
        <f>IF(OR($H478="",$J478=""),"",$J478*IFERROR(VLOOKUP($H478,Maestro_SKU!$A$2:$P$500,12,FALSE),1))</f>
        <v/>
      </c>
    </row>
    <row r="479">
      <c r="A479" s="43" t="n"/>
      <c r="B479" s="54" t="n"/>
      <c r="C479" s="43" t="n"/>
      <c r="D479" s="43" t="n"/>
      <c r="E479" s="48">
        <f>IFERROR(VLOOKUP(D479,Clientes_PDV!$A$2:$J$250,2,FALSE),"")</f>
        <v/>
      </c>
      <c r="F479" s="48">
        <f>IFERROR(VLOOKUP(D479,Clientes_PDV!$A$2:$J$250,3,FALSE),"")</f>
        <v/>
      </c>
      <c r="G479" s="48">
        <f>IFERROR(VLOOKUP(D479,Clientes_PDV!$A$2:$J$250,4,FALSE),"")</f>
        <v/>
      </c>
      <c r="H479" s="43" t="n"/>
      <c r="I479" s="48">
        <f>IFERROR(VLOOKUP(H479,Maestro_SKU!$A$2:$P$500,2,FALSE),"")</f>
        <v/>
      </c>
      <c r="J479" s="55" t="n"/>
      <c r="K479" s="44" t="n"/>
      <c r="L479" s="51">
        <f>IF(OR(J479="",K479=""),"",J479*K479)</f>
        <v/>
      </c>
      <c r="M479" s="51">
        <f>IF(L479="","",L479*Inicio!$B$13)</f>
        <v/>
      </c>
      <c r="N479" s="51">
        <f>IF(L479="","",L479+M479)</f>
        <v/>
      </c>
      <c r="O479" s="54" t="n"/>
      <c r="P479" s="43" t="n"/>
      <c r="Q479" s="44" t="n"/>
      <c r="R479" s="51">
        <f>IF(N479="","",MAX(N479-Q479,0))</f>
        <v/>
      </c>
      <c r="S479" s="48">
        <f>IF(A479="","",IF(OR(P479="Pagada",R479=0),"Pagada",IF(O479&lt;TODAY(),"Vencida",IF(O479&lt;=TODAY()+Inicio!$B$19,"Próxima a vencer","Vigente"))))</f>
        <v/>
      </c>
      <c r="T479" s="43" t="n"/>
      <c r="U479" s="68">
        <f>IF($B479="","",YEAR($B479))</f>
        <v/>
      </c>
      <c r="V479" s="68">
        <f>IF($B479="","",MONTH($B479))</f>
        <v/>
      </c>
      <c r="W479" s="68">
        <f>IF($B479="","",DAY($B479))</f>
        <v/>
      </c>
      <c r="X479" s="68">
        <f>IF($B479="","",YEAR($B479)&amp;"-"&amp;TEXT(MONTH($B479),"00"))</f>
        <v/>
      </c>
      <c r="Y479" s="68">
        <f>IF(OR($H479="",$J479=""),"",$J479*IFERROR(VLOOKUP($H479,Maestro_SKU!$A$2:$P$500,12,FALSE),1))</f>
        <v/>
      </c>
    </row>
    <row r="480">
      <c r="A480" s="43" t="n"/>
      <c r="B480" s="54" t="n"/>
      <c r="C480" s="43" t="n"/>
      <c r="D480" s="43" t="n"/>
      <c r="E480" s="48">
        <f>IFERROR(VLOOKUP(D480,Clientes_PDV!$A$2:$J$250,2,FALSE),"")</f>
        <v/>
      </c>
      <c r="F480" s="48">
        <f>IFERROR(VLOOKUP(D480,Clientes_PDV!$A$2:$J$250,3,FALSE),"")</f>
        <v/>
      </c>
      <c r="G480" s="48">
        <f>IFERROR(VLOOKUP(D480,Clientes_PDV!$A$2:$J$250,4,FALSE),"")</f>
        <v/>
      </c>
      <c r="H480" s="43" t="n"/>
      <c r="I480" s="48">
        <f>IFERROR(VLOOKUP(H480,Maestro_SKU!$A$2:$P$500,2,FALSE),"")</f>
        <v/>
      </c>
      <c r="J480" s="55" t="n"/>
      <c r="K480" s="44" t="n"/>
      <c r="L480" s="51">
        <f>IF(OR(J480="",K480=""),"",J480*K480)</f>
        <v/>
      </c>
      <c r="M480" s="51">
        <f>IF(L480="","",L480*Inicio!$B$13)</f>
        <v/>
      </c>
      <c r="N480" s="51">
        <f>IF(L480="","",L480+M480)</f>
        <v/>
      </c>
      <c r="O480" s="54" t="n"/>
      <c r="P480" s="43" t="n"/>
      <c r="Q480" s="44" t="n"/>
      <c r="R480" s="51">
        <f>IF(N480="","",MAX(N480-Q480,0))</f>
        <v/>
      </c>
      <c r="S480" s="48">
        <f>IF(A480="","",IF(OR(P480="Pagada",R480=0),"Pagada",IF(O480&lt;TODAY(),"Vencida",IF(O480&lt;=TODAY()+Inicio!$B$19,"Próxima a vencer","Vigente"))))</f>
        <v/>
      </c>
      <c r="T480" s="43" t="n"/>
      <c r="U480" s="68">
        <f>IF($B480="","",YEAR($B480))</f>
        <v/>
      </c>
      <c r="V480" s="68">
        <f>IF($B480="","",MONTH($B480))</f>
        <v/>
      </c>
      <c r="W480" s="68">
        <f>IF($B480="","",DAY($B480))</f>
        <v/>
      </c>
      <c r="X480" s="68">
        <f>IF($B480="","",YEAR($B480)&amp;"-"&amp;TEXT(MONTH($B480),"00"))</f>
        <v/>
      </c>
      <c r="Y480" s="68">
        <f>IF(OR($H480="",$J480=""),"",$J480*IFERROR(VLOOKUP($H480,Maestro_SKU!$A$2:$P$500,12,FALSE),1))</f>
        <v/>
      </c>
    </row>
    <row r="481">
      <c r="A481" s="43" t="n"/>
      <c r="B481" s="54" t="n"/>
      <c r="C481" s="43" t="n"/>
      <c r="D481" s="43" t="n"/>
      <c r="E481" s="48">
        <f>IFERROR(VLOOKUP(D481,Clientes_PDV!$A$2:$J$250,2,FALSE),"")</f>
        <v/>
      </c>
      <c r="F481" s="48">
        <f>IFERROR(VLOOKUP(D481,Clientes_PDV!$A$2:$J$250,3,FALSE),"")</f>
        <v/>
      </c>
      <c r="G481" s="48">
        <f>IFERROR(VLOOKUP(D481,Clientes_PDV!$A$2:$J$250,4,FALSE),"")</f>
        <v/>
      </c>
      <c r="H481" s="43" t="n"/>
      <c r="I481" s="48">
        <f>IFERROR(VLOOKUP(H481,Maestro_SKU!$A$2:$P$500,2,FALSE),"")</f>
        <v/>
      </c>
      <c r="J481" s="55" t="n"/>
      <c r="K481" s="44" t="n"/>
      <c r="L481" s="51">
        <f>IF(OR(J481="",K481=""),"",J481*K481)</f>
        <v/>
      </c>
      <c r="M481" s="51">
        <f>IF(L481="","",L481*Inicio!$B$13)</f>
        <v/>
      </c>
      <c r="N481" s="51">
        <f>IF(L481="","",L481+M481)</f>
        <v/>
      </c>
      <c r="O481" s="54" t="n"/>
      <c r="P481" s="43" t="n"/>
      <c r="Q481" s="44" t="n"/>
      <c r="R481" s="51">
        <f>IF(N481="","",MAX(N481-Q481,0))</f>
        <v/>
      </c>
      <c r="S481" s="48">
        <f>IF(A481="","",IF(OR(P481="Pagada",R481=0),"Pagada",IF(O481&lt;TODAY(),"Vencida",IF(O481&lt;=TODAY()+Inicio!$B$19,"Próxima a vencer","Vigente"))))</f>
        <v/>
      </c>
      <c r="T481" s="43" t="n"/>
      <c r="U481" s="68">
        <f>IF($B481="","",YEAR($B481))</f>
        <v/>
      </c>
      <c r="V481" s="68">
        <f>IF($B481="","",MONTH($B481))</f>
        <v/>
      </c>
      <c r="W481" s="68">
        <f>IF($B481="","",DAY($B481))</f>
        <v/>
      </c>
      <c r="X481" s="68">
        <f>IF($B481="","",YEAR($B481)&amp;"-"&amp;TEXT(MONTH($B481),"00"))</f>
        <v/>
      </c>
      <c r="Y481" s="68">
        <f>IF(OR($H481="",$J481=""),"",$J481*IFERROR(VLOOKUP($H481,Maestro_SKU!$A$2:$P$500,12,FALSE),1))</f>
        <v/>
      </c>
    </row>
    <row r="482">
      <c r="A482" s="43" t="n"/>
      <c r="B482" s="54" t="n"/>
      <c r="C482" s="43" t="n"/>
      <c r="D482" s="43" t="n"/>
      <c r="E482" s="48">
        <f>IFERROR(VLOOKUP(D482,Clientes_PDV!$A$2:$J$250,2,FALSE),"")</f>
        <v/>
      </c>
      <c r="F482" s="48">
        <f>IFERROR(VLOOKUP(D482,Clientes_PDV!$A$2:$J$250,3,FALSE),"")</f>
        <v/>
      </c>
      <c r="G482" s="48">
        <f>IFERROR(VLOOKUP(D482,Clientes_PDV!$A$2:$J$250,4,FALSE),"")</f>
        <v/>
      </c>
      <c r="H482" s="43" t="n"/>
      <c r="I482" s="48">
        <f>IFERROR(VLOOKUP(H482,Maestro_SKU!$A$2:$P$500,2,FALSE),"")</f>
        <v/>
      </c>
      <c r="J482" s="55" t="n"/>
      <c r="K482" s="44" t="n"/>
      <c r="L482" s="51">
        <f>IF(OR(J482="",K482=""),"",J482*K482)</f>
        <v/>
      </c>
      <c r="M482" s="51">
        <f>IF(L482="","",L482*Inicio!$B$13)</f>
        <v/>
      </c>
      <c r="N482" s="51">
        <f>IF(L482="","",L482+M482)</f>
        <v/>
      </c>
      <c r="O482" s="54" t="n"/>
      <c r="P482" s="43" t="n"/>
      <c r="Q482" s="44" t="n"/>
      <c r="R482" s="51">
        <f>IF(N482="","",MAX(N482-Q482,0))</f>
        <v/>
      </c>
      <c r="S482" s="48">
        <f>IF(A482="","",IF(OR(P482="Pagada",R482=0),"Pagada",IF(O482&lt;TODAY(),"Vencida",IF(O482&lt;=TODAY()+Inicio!$B$19,"Próxima a vencer","Vigente"))))</f>
        <v/>
      </c>
      <c r="T482" s="43" t="n"/>
      <c r="U482" s="68">
        <f>IF($B482="","",YEAR($B482))</f>
        <v/>
      </c>
      <c r="V482" s="68">
        <f>IF($B482="","",MONTH($B482))</f>
        <v/>
      </c>
      <c r="W482" s="68">
        <f>IF($B482="","",DAY($B482))</f>
        <v/>
      </c>
      <c r="X482" s="68">
        <f>IF($B482="","",YEAR($B482)&amp;"-"&amp;TEXT(MONTH($B482),"00"))</f>
        <v/>
      </c>
      <c r="Y482" s="68">
        <f>IF(OR($H482="",$J482=""),"",$J482*IFERROR(VLOOKUP($H482,Maestro_SKU!$A$2:$P$500,12,FALSE),1))</f>
        <v/>
      </c>
    </row>
    <row r="483">
      <c r="A483" s="43" t="n"/>
      <c r="B483" s="54" t="n"/>
      <c r="C483" s="43" t="n"/>
      <c r="D483" s="43" t="n"/>
      <c r="E483" s="48">
        <f>IFERROR(VLOOKUP(D483,Clientes_PDV!$A$2:$J$250,2,FALSE),"")</f>
        <v/>
      </c>
      <c r="F483" s="48">
        <f>IFERROR(VLOOKUP(D483,Clientes_PDV!$A$2:$J$250,3,FALSE),"")</f>
        <v/>
      </c>
      <c r="G483" s="48">
        <f>IFERROR(VLOOKUP(D483,Clientes_PDV!$A$2:$J$250,4,FALSE),"")</f>
        <v/>
      </c>
      <c r="H483" s="43" t="n"/>
      <c r="I483" s="48">
        <f>IFERROR(VLOOKUP(H483,Maestro_SKU!$A$2:$P$500,2,FALSE),"")</f>
        <v/>
      </c>
      <c r="J483" s="55" t="n"/>
      <c r="K483" s="44" t="n"/>
      <c r="L483" s="51">
        <f>IF(OR(J483="",K483=""),"",J483*K483)</f>
        <v/>
      </c>
      <c r="M483" s="51">
        <f>IF(L483="","",L483*Inicio!$B$13)</f>
        <v/>
      </c>
      <c r="N483" s="51">
        <f>IF(L483="","",L483+M483)</f>
        <v/>
      </c>
      <c r="O483" s="54" t="n"/>
      <c r="P483" s="43" t="n"/>
      <c r="Q483" s="44" t="n"/>
      <c r="R483" s="51">
        <f>IF(N483="","",MAX(N483-Q483,0))</f>
        <v/>
      </c>
      <c r="S483" s="48">
        <f>IF(A483="","",IF(OR(P483="Pagada",R483=0),"Pagada",IF(O483&lt;TODAY(),"Vencida",IF(O483&lt;=TODAY()+Inicio!$B$19,"Próxima a vencer","Vigente"))))</f>
        <v/>
      </c>
      <c r="T483" s="43" t="n"/>
      <c r="U483" s="68">
        <f>IF($B483="","",YEAR($B483))</f>
        <v/>
      </c>
      <c r="V483" s="68">
        <f>IF($B483="","",MONTH($B483))</f>
        <v/>
      </c>
      <c r="W483" s="68">
        <f>IF($B483="","",DAY($B483))</f>
        <v/>
      </c>
      <c r="X483" s="68">
        <f>IF($B483="","",YEAR($B483)&amp;"-"&amp;TEXT(MONTH($B483),"00"))</f>
        <v/>
      </c>
      <c r="Y483" s="68">
        <f>IF(OR($H483="",$J483=""),"",$J483*IFERROR(VLOOKUP($H483,Maestro_SKU!$A$2:$P$500,12,FALSE),1))</f>
        <v/>
      </c>
    </row>
    <row r="484">
      <c r="A484" s="43" t="n"/>
      <c r="B484" s="54" t="n"/>
      <c r="C484" s="43" t="n"/>
      <c r="D484" s="43" t="n"/>
      <c r="E484" s="48">
        <f>IFERROR(VLOOKUP(D484,Clientes_PDV!$A$2:$J$250,2,FALSE),"")</f>
        <v/>
      </c>
      <c r="F484" s="48">
        <f>IFERROR(VLOOKUP(D484,Clientes_PDV!$A$2:$J$250,3,FALSE),"")</f>
        <v/>
      </c>
      <c r="G484" s="48">
        <f>IFERROR(VLOOKUP(D484,Clientes_PDV!$A$2:$J$250,4,FALSE),"")</f>
        <v/>
      </c>
      <c r="H484" s="43" t="n"/>
      <c r="I484" s="48">
        <f>IFERROR(VLOOKUP(H484,Maestro_SKU!$A$2:$P$500,2,FALSE),"")</f>
        <v/>
      </c>
      <c r="J484" s="55" t="n"/>
      <c r="K484" s="44" t="n"/>
      <c r="L484" s="51">
        <f>IF(OR(J484="",K484=""),"",J484*K484)</f>
        <v/>
      </c>
      <c r="M484" s="51">
        <f>IF(L484="","",L484*Inicio!$B$13)</f>
        <v/>
      </c>
      <c r="N484" s="51">
        <f>IF(L484="","",L484+M484)</f>
        <v/>
      </c>
      <c r="O484" s="54" t="n"/>
      <c r="P484" s="43" t="n"/>
      <c r="Q484" s="44" t="n"/>
      <c r="R484" s="51">
        <f>IF(N484="","",MAX(N484-Q484,0))</f>
        <v/>
      </c>
      <c r="S484" s="48">
        <f>IF(A484="","",IF(OR(P484="Pagada",R484=0),"Pagada",IF(O484&lt;TODAY(),"Vencida",IF(O484&lt;=TODAY()+Inicio!$B$19,"Próxima a vencer","Vigente"))))</f>
        <v/>
      </c>
      <c r="T484" s="43" t="n"/>
      <c r="U484" s="68">
        <f>IF($B484="","",YEAR($B484))</f>
        <v/>
      </c>
      <c r="V484" s="68">
        <f>IF($B484="","",MONTH($B484))</f>
        <v/>
      </c>
      <c r="W484" s="68">
        <f>IF($B484="","",DAY($B484))</f>
        <v/>
      </c>
      <c r="X484" s="68">
        <f>IF($B484="","",YEAR($B484)&amp;"-"&amp;TEXT(MONTH($B484),"00"))</f>
        <v/>
      </c>
      <c r="Y484" s="68">
        <f>IF(OR($H484="",$J484=""),"",$J484*IFERROR(VLOOKUP($H484,Maestro_SKU!$A$2:$P$500,12,FALSE),1))</f>
        <v/>
      </c>
    </row>
    <row r="485">
      <c r="A485" s="43" t="n"/>
      <c r="B485" s="54" t="n"/>
      <c r="C485" s="43" t="n"/>
      <c r="D485" s="43" t="n"/>
      <c r="E485" s="48">
        <f>IFERROR(VLOOKUP(D485,Clientes_PDV!$A$2:$J$250,2,FALSE),"")</f>
        <v/>
      </c>
      <c r="F485" s="48">
        <f>IFERROR(VLOOKUP(D485,Clientes_PDV!$A$2:$J$250,3,FALSE),"")</f>
        <v/>
      </c>
      <c r="G485" s="48">
        <f>IFERROR(VLOOKUP(D485,Clientes_PDV!$A$2:$J$250,4,FALSE),"")</f>
        <v/>
      </c>
      <c r="H485" s="43" t="n"/>
      <c r="I485" s="48">
        <f>IFERROR(VLOOKUP(H485,Maestro_SKU!$A$2:$P$500,2,FALSE),"")</f>
        <v/>
      </c>
      <c r="J485" s="55" t="n"/>
      <c r="K485" s="44" t="n"/>
      <c r="L485" s="51">
        <f>IF(OR(J485="",K485=""),"",J485*K485)</f>
        <v/>
      </c>
      <c r="M485" s="51">
        <f>IF(L485="","",L485*Inicio!$B$13)</f>
        <v/>
      </c>
      <c r="N485" s="51">
        <f>IF(L485="","",L485+M485)</f>
        <v/>
      </c>
      <c r="O485" s="54" t="n"/>
      <c r="P485" s="43" t="n"/>
      <c r="Q485" s="44" t="n"/>
      <c r="R485" s="51">
        <f>IF(N485="","",MAX(N485-Q485,0))</f>
        <v/>
      </c>
      <c r="S485" s="48">
        <f>IF(A485="","",IF(OR(P485="Pagada",R485=0),"Pagada",IF(O485&lt;TODAY(),"Vencida",IF(O485&lt;=TODAY()+Inicio!$B$19,"Próxima a vencer","Vigente"))))</f>
        <v/>
      </c>
      <c r="T485" s="43" t="n"/>
      <c r="U485" s="68">
        <f>IF($B485="","",YEAR($B485))</f>
        <v/>
      </c>
      <c r="V485" s="68">
        <f>IF($B485="","",MONTH($B485))</f>
        <v/>
      </c>
      <c r="W485" s="68">
        <f>IF($B485="","",DAY($B485))</f>
        <v/>
      </c>
      <c r="X485" s="68">
        <f>IF($B485="","",YEAR($B485)&amp;"-"&amp;TEXT(MONTH($B485),"00"))</f>
        <v/>
      </c>
      <c r="Y485" s="68">
        <f>IF(OR($H485="",$J485=""),"",$J485*IFERROR(VLOOKUP($H485,Maestro_SKU!$A$2:$P$500,12,FALSE),1))</f>
        <v/>
      </c>
    </row>
    <row r="486">
      <c r="A486" s="43" t="n"/>
      <c r="B486" s="54" t="n"/>
      <c r="C486" s="43" t="n"/>
      <c r="D486" s="43" t="n"/>
      <c r="E486" s="48">
        <f>IFERROR(VLOOKUP(D486,Clientes_PDV!$A$2:$J$250,2,FALSE),"")</f>
        <v/>
      </c>
      <c r="F486" s="48">
        <f>IFERROR(VLOOKUP(D486,Clientes_PDV!$A$2:$J$250,3,FALSE),"")</f>
        <v/>
      </c>
      <c r="G486" s="48">
        <f>IFERROR(VLOOKUP(D486,Clientes_PDV!$A$2:$J$250,4,FALSE),"")</f>
        <v/>
      </c>
      <c r="H486" s="43" t="n"/>
      <c r="I486" s="48">
        <f>IFERROR(VLOOKUP(H486,Maestro_SKU!$A$2:$P$500,2,FALSE),"")</f>
        <v/>
      </c>
      <c r="J486" s="55" t="n"/>
      <c r="K486" s="44" t="n"/>
      <c r="L486" s="51">
        <f>IF(OR(J486="",K486=""),"",J486*K486)</f>
        <v/>
      </c>
      <c r="M486" s="51">
        <f>IF(L486="","",L486*Inicio!$B$13)</f>
        <v/>
      </c>
      <c r="N486" s="51">
        <f>IF(L486="","",L486+M486)</f>
        <v/>
      </c>
      <c r="O486" s="54" t="n"/>
      <c r="P486" s="43" t="n"/>
      <c r="Q486" s="44" t="n"/>
      <c r="R486" s="51">
        <f>IF(N486="","",MAX(N486-Q486,0))</f>
        <v/>
      </c>
      <c r="S486" s="48">
        <f>IF(A486="","",IF(OR(P486="Pagada",R486=0),"Pagada",IF(O486&lt;TODAY(),"Vencida",IF(O486&lt;=TODAY()+Inicio!$B$19,"Próxima a vencer","Vigente"))))</f>
        <v/>
      </c>
      <c r="T486" s="43" t="n"/>
      <c r="U486" s="68">
        <f>IF($B486="","",YEAR($B486))</f>
        <v/>
      </c>
      <c r="V486" s="68">
        <f>IF($B486="","",MONTH($B486))</f>
        <v/>
      </c>
      <c r="W486" s="68">
        <f>IF($B486="","",DAY($B486))</f>
        <v/>
      </c>
      <c r="X486" s="68">
        <f>IF($B486="","",YEAR($B486)&amp;"-"&amp;TEXT(MONTH($B486),"00"))</f>
        <v/>
      </c>
      <c r="Y486" s="68">
        <f>IF(OR($H486="",$J486=""),"",$J486*IFERROR(VLOOKUP($H486,Maestro_SKU!$A$2:$P$500,12,FALSE),1))</f>
        <v/>
      </c>
    </row>
    <row r="487">
      <c r="A487" s="43" t="n"/>
      <c r="B487" s="54" t="n"/>
      <c r="C487" s="43" t="n"/>
      <c r="D487" s="43" t="n"/>
      <c r="E487" s="48">
        <f>IFERROR(VLOOKUP(D487,Clientes_PDV!$A$2:$J$250,2,FALSE),"")</f>
        <v/>
      </c>
      <c r="F487" s="48">
        <f>IFERROR(VLOOKUP(D487,Clientes_PDV!$A$2:$J$250,3,FALSE),"")</f>
        <v/>
      </c>
      <c r="G487" s="48">
        <f>IFERROR(VLOOKUP(D487,Clientes_PDV!$A$2:$J$250,4,FALSE),"")</f>
        <v/>
      </c>
      <c r="H487" s="43" t="n"/>
      <c r="I487" s="48">
        <f>IFERROR(VLOOKUP(H487,Maestro_SKU!$A$2:$P$500,2,FALSE),"")</f>
        <v/>
      </c>
      <c r="J487" s="55" t="n"/>
      <c r="K487" s="44" t="n"/>
      <c r="L487" s="51">
        <f>IF(OR(J487="",K487=""),"",J487*K487)</f>
        <v/>
      </c>
      <c r="M487" s="51">
        <f>IF(L487="","",L487*Inicio!$B$13)</f>
        <v/>
      </c>
      <c r="N487" s="51">
        <f>IF(L487="","",L487+M487)</f>
        <v/>
      </c>
      <c r="O487" s="54" t="n"/>
      <c r="P487" s="43" t="n"/>
      <c r="Q487" s="44" t="n"/>
      <c r="R487" s="51">
        <f>IF(N487="","",MAX(N487-Q487,0))</f>
        <v/>
      </c>
      <c r="S487" s="48">
        <f>IF(A487="","",IF(OR(P487="Pagada",R487=0),"Pagada",IF(O487&lt;TODAY(),"Vencida",IF(O487&lt;=TODAY()+Inicio!$B$19,"Próxima a vencer","Vigente"))))</f>
        <v/>
      </c>
      <c r="T487" s="43" t="n"/>
      <c r="U487" s="68">
        <f>IF($B487="","",YEAR($B487))</f>
        <v/>
      </c>
      <c r="V487" s="68">
        <f>IF($B487="","",MONTH($B487))</f>
        <v/>
      </c>
      <c r="W487" s="68">
        <f>IF($B487="","",DAY($B487))</f>
        <v/>
      </c>
      <c r="X487" s="68">
        <f>IF($B487="","",YEAR($B487)&amp;"-"&amp;TEXT(MONTH($B487),"00"))</f>
        <v/>
      </c>
      <c r="Y487" s="68">
        <f>IF(OR($H487="",$J487=""),"",$J487*IFERROR(VLOOKUP($H487,Maestro_SKU!$A$2:$P$500,12,FALSE),1))</f>
        <v/>
      </c>
    </row>
    <row r="488">
      <c r="A488" s="43" t="n"/>
      <c r="B488" s="54" t="n"/>
      <c r="C488" s="43" t="n"/>
      <c r="D488" s="43" t="n"/>
      <c r="E488" s="48">
        <f>IFERROR(VLOOKUP(D488,Clientes_PDV!$A$2:$J$250,2,FALSE),"")</f>
        <v/>
      </c>
      <c r="F488" s="48">
        <f>IFERROR(VLOOKUP(D488,Clientes_PDV!$A$2:$J$250,3,FALSE),"")</f>
        <v/>
      </c>
      <c r="G488" s="48">
        <f>IFERROR(VLOOKUP(D488,Clientes_PDV!$A$2:$J$250,4,FALSE),"")</f>
        <v/>
      </c>
      <c r="H488" s="43" t="n"/>
      <c r="I488" s="48">
        <f>IFERROR(VLOOKUP(H488,Maestro_SKU!$A$2:$P$500,2,FALSE),"")</f>
        <v/>
      </c>
      <c r="J488" s="55" t="n"/>
      <c r="K488" s="44" t="n"/>
      <c r="L488" s="51">
        <f>IF(OR(J488="",K488=""),"",J488*K488)</f>
        <v/>
      </c>
      <c r="M488" s="51">
        <f>IF(L488="","",L488*Inicio!$B$13)</f>
        <v/>
      </c>
      <c r="N488" s="51">
        <f>IF(L488="","",L488+M488)</f>
        <v/>
      </c>
      <c r="O488" s="54" t="n"/>
      <c r="P488" s="43" t="n"/>
      <c r="Q488" s="44" t="n"/>
      <c r="R488" s="51">
        <f>IF(N488="","",MAX(N488-Q488,0))</f>
        <v/>
      </c>
      <c r="S488" s="48">
        <f>IF(A488="","",IF(OR(P488="Pagada",R488=0),"Pagada",IF(O488&lt;TODAY(),"Vencida",IF(O488&lt;=TODAY()+Inicio!$B$19,"Próxima a vencer","Vigente"))))</f>
        <v/>
      </c>
      <c r="T488" s="43" t="n"/>
      <c r="U488" s="68">
        <f>IF($B488="","",YEAR($B488))</f>
        <v/>
      </c>
      <c r="V488" s="68">
        <f>IF($B488="","",MONTH($B488))</f>
        <v/>
      </c>
      <c r="W488" s="68">
        <f>IF($B488="","",DAY($B488))</f>
        <v/>
      </c>
      <c r="X488" s="68">
        <f>IF($B488="","",YEAR($B488)&amp;"-"&amp;TEXT(MONTH($B488),"00"))</f>
        <v/>
      </c>
      <c r="Y488" s="68">
        <f>IF(OR($H488="",$J488=""),"",$J488*IFERROR(VLOOKUP($H488,Maestro_SKU!$A$2:$P$500,12,FALSE),1))</f>
        <v/>
      </c>
    </row>
    <row r="489">
      <c r="A489" s="43" t="n"/>
      <c r="B489" s="54" t="n"/>
      <c r="C489" s="43" t="n"/>
      <c r="D489" s="43" t="n"/>
      <c r="E489" s="48">
        <f>IFERROR(VLOOKUP(D489,Clientes_PDV!$A$2:$J$250,2,FALSE),"")</f>
        <v/>
      </c>
      <c r="F489" s="48">
        <f>IFERROR(VLOOKUP(D489,Clientes_PDV!$A$2:$J$250,3,FALSE),"")</f>
        <v/>
      </c>
      <c r="G489" s="48">
        <f>IFERROR(VLOOKUP(D489,Clientes_PDV!$A$2:$J$250,4,FALSE),"")</f>
        <v/>
      </c>
      <c r="H489" s="43" t="n"/>
      <c r="I489" s="48">
        <f>IFERROR(VLOOKUP(H489,Maestro_SKU!$A$2:$P$500,2,FALSE),"")</f>
        <v/>
      </c>
      <c r="J489" s="55" t="n"/>
      <c r="K489" s="44" t="n"/>
      <c r="L489" s="51">
        <f>IF(OR(J489="",K489=""),"",J489*K489)</f>
        <v/>
      </c>
      <c r="M489" s="51">
        <f>IF(L489="","",L489*Inicio!$B$13)</f>
        <v/>
      </c>
      <c r="N489" s="51">
        <f>IF(L489="","",L489+M489)</f>
        <v/>
      </c>
      <c r="O489" s="54" t="n"/>
      <c r="P489" s="43" t="n"/>
      <c r="Q489" s="44" t="n"/>
      <c r="R489" s="51">
        <f>IF(N489="","",MAX(N489-Q489,0))</f>
        <v/>
      </c>
      <c r="S489" s="48">
        <f>IF(A489="","",IF(OR(P489="Pagada",R489=0),"Pagada",IF(O489&lt;TODAY(),"Vencida",IF(O489&lt;=TODAY()+Inicio!$B$19,"Próxima a vencer","Vigente"))))</f>
        <v/>
      </c>
      <c r="T489" s="43" t="n"/>
      <c r="U489" s="68">
        <f>IF($B489="","",YEAR($B489))</f>
        <v/>
      </c>
      <c r="V489" s="68">
        <f>IF($B489="","",MONTH($B489))</f>
        <v/>
      </c>
      <c r="W489" s="68">
        <f>IF($B489="","",DAY($B489))</f>
        <v/>
      </c>
      <c r="X489" s="68">
        <f>IF($B489="","",YEAR($B489)&amp;"-"&amp;TEXT(MONTH($B489),"00"))</f>
        <v/>
      </c>
      <c r="Y489" s="68">
        <f>IF(OR($H489="",$J489=""),"",$J489*IFERROR(VLOOKUP($H489,Maestro_SKU!$A$2:$P$500,12,FALSE),1))</f>
        <v/>
      </c>
    </row>
    <row r="490">
      <c r="A490" s="43" t="n"/>
      <c r="B490" s="54" t="n"/>
      <c r="C490" s="43" t="n"/>
      <c r="D490" s="43" t="n"/>
      <c r="E490" s="48">
        <f>IFERROR(VLOOKUP(D490,Clientes_PDV!$A$2:$J$250,2,FALSE),"")</f>
        <v/>
      </c>
      <c r="F490" s="48">
        <f>IFERROR(VLOOKUP(D490,Clientes_PDV!$A$2:$J$250,3,FALSE),"")</f>
        <v/>
      </c>
      <c r="G490" s="48">
        <f>IFERROR(VLOOKUP(D490,Clientes_PDV!$A$2:$J$250,4,FALSE),"")</f>
        <v/>
      </c>
      <c r="H490" s="43" t="n"/>
      <c r="I490" s="48">
        <f>IFERROR(VLOOKUP(H490,Maestro_SKU!$A$2:$P$500,2,FALSE),"")</f>
        <v/>
      </c>
      <c r="J490" s="55" t="n"/>
      <c r="K490" s="44" t="n"/>
      <c r="L490" s="51">
        <f>IF(OR(J490="",K490=""),"",J490*K490)</f>
        <v/>
      </c>
      <c r="M490" s="51">
        <f>IF(L490="","",L490*Inicio!$B$13)</f>
        <v/>
      </c>
      <c r="N490" s="51">
        <f>IF(L490="","",L490+M490)</f>
        <v/>
      </c>
      <c r="O490" s="54" t="n"/>
      <c r="P490" s="43" t="n"/>
      <c r="Q490" s="44" t="n"/>
      <c r="R490" s="51">
        <f>IF(N490="","",MAX(N490-Q490,0))</f>
        <v/>
      </c>
      <c r="S490" s="48">
        <f>IF(A490="","",IF(OR(P490="Pagada",R490=0),"Pagada",IF(O490&lt;TODAY(),"Vencida",IF(O490&lt;=TODAY()+Inicio!$B$19,"Próxima a vencer","Vigente"))))</f>
        <v/>
      </c>
      <c r="T490" s="43" t="n"/>
      <c r="U490" s="68">
        <f>IF($B490="","",YEAR($B490))</f>
        <v/>
      </c>
      <c r="V490" s="68">
        <f>IF($B490="","",MONTH($B490))</f>
        <v/>
      </c>
      <c r="W490" s="68">
        <f>IF($B490="","",DAY($B490))</f>
        <v/>
      </c>
      <c r="X490" s="68">
        <f>IF($B490="","",YEAR($B490)&amp;"-"&amp;TEXT(MONTH($B490),"00"))</f>
        <v/>
      </c>
      <c r="Y490" s="68">
        <f>IF(OR($H490="",$J490=""),"",$J490*IFERROR(VLOOKUP($H490,Maestro_SKU!$A$2:$P$500,12,FALSE),1))</f>
        <v/>
      </c>
    </row>
    <row r="491">
      <c r="A491" s="43" t="n"/>
      <c r="B491" s="54" t="n"/>
      <c r="C491" s="43" t="n"/>
      <c r="D491" s="43" t="n"/>
      <c r="E491" s="48">
        <f>IFERROR(VLOOKUP(D491,Clientes_PDV!$A$2:$J$250,2,FALSE),"")</f>
        <v/>
      </c>
      <c r="F491" s="48">
        <f>IFERROR(VLOOKUP(D491,Clientes_PDV!$A$2:$J$250,3,FALSE),"")</f>
        <v/>
      </c>
      <c r="G491" s="48">
        <f>IFERROR(VLOOKUP(D491,Clientes_PDV!$A$2:$J$250,4,FALSE),"")</f>
        <v/>
      </c>
      <c r="H491" s="43" t="n"/>
      <c r="I491" s="48">
        <f>IFERROR(VLOOKUP(H491,Maestro_SKU!$A$2:$P$500,2,FALSE),"")</f>
        <v/>
      </c>
      <c r="J491" s="55" t="n"/>
      <c r="K491" s="44" t="n"/>
      <c r="L491" s="51">
        <f>IF(OR(J491="",K491=""),"",J491*K491)</f>
        <v/>
      </c>
      <c r="M491" s="51">
        <f>IF(L491="","",L491*Inicio!$B$13)</f>
        <v/>
      </c>
      <c r="N491" s="51">
        <f>IF(L491="","",L491+M491)</f>
        <v/>
      </c>
      <c r="O491" s="54" t="n"/>
      <c r="P491" s="43" t="n"/>
      <c r="Q491" s="44" t="n"/>
      <c r="R491" s="51">
        <f>IF(N491="","",MAX(N491-Q491,0))</f>
        <v/>
      </c>
      <c r="S491" s="48">
        <f>IF(A491="","",IF(OR(P491="Pagada",R491=0),"Pagada",IF(O491&lt;TODAY(),"Vencida",IF(O491&lt;=TODAY()+Inicio!$B$19,"Próxima a vencer","Vigente"))))</f>
        <v/>
      </c>
      <c r="T491" s="43" t="n"/>
      <c r="U491" s="68">
        <f>IF($B491="","",YEAR($B491))</f>
        <v/>
      </c>
      <c r="V491" s="68">
        <f>IF($B491="","",MONTH($B491))</f>
        <v/>
      </c>
      <c r="W491" s="68">
        <f>IF($B491="","",DAY($B491))</f>
        <v/>
      </c>
      <c r="X491" s="68">
        <f>IF($B491="","",YEAR($B491)&amp;"-"&amp;TEXT(MONTH($B491),"00"))</f>
        <v/>
      </c>
      <c r="Y491" s="68">
        <f>IF(OR($H491="",$J491=""),"",$J491*IFERROR(VLOOKUP($H491,Maestro_SKU!$A$2:$P$500,12,FALSE),1))</f>
        <v/>
      </c>
    </row>
    <row r="492">
      <c r="A492" s="43" t="n"/>
      <c r="B492" s="54" t="n"/>
      <c r="C492" s="43" t="n"/>
      <c r="D492" s="43" t="n"/>
      <c r="E492" s="48">
        <f>IFERROR(VLOOKUP(D492,Clientes_PDV!$A$2:$J$250,2,FALSE),"")</f>
        <v/>
      </c>
      <c r="F492" s="48">
        <f>IFERROR(VLOOKUP(D492,Clientes_PDV!$A$2:$J$250,3,FALSE),"")</f>
        <v/>
      </c>
      <c r="G492" s="48">
        <f>IFERROR(VLOOKUP(D492,Clientes_PDV!$A$2:$J$250,4,FALSE),"")</f>
        <v/>
      </c>
      <c r="H492" s="43" t="n"/>
      <c r="I492" s="48">
        <f>IFERROR(VLOOKUP(H492,Maestro_SKU!$A$2:$P$500,2,FALSE),"")</f>
        <v/>
      </c>
      <c r="J492" s="55" t="n"/>
      <c r="K492" s="44" t="n"/>
      <c r="L492" s="51">
        <f>IF(OR(J492="",K492=""),"",J492*K492)</f>
        <v/>
      </c>
      <c r="M492" s="51">
        <f>IF(L492="","",L492*Inicio!$B$13)</f>
        <v/>
      </c>
      <c r="N492" s="51">
        <f>IF(L492="","",L492+M492)</f>
        <v/>
      </c>
      <c r="O492" s="54" t="n"/>
      <c r="P492" s="43" t="n"/>
      <c r="Q492" s="44" t="n"/>
      <c r="R492" s="51">
        <f>IF(N492="","",MAX(N492-Q492,0))</f>
        <v/>
      </c>
      <c r="S492" s="48">
        <f>IF(A492="","",IF(OR(P492="Pagada",R492=0),"Pagada",IF(O492&lt;TODAY(),"Vencida",IF(O492&lt;=TODAY()+Inicio!$B$19,"Próxima a vencer","Vigente"))))</f>
        <v/>
      </c>
      <c r="T492" s="43" t="n"/>
      <c r="U492" s="68">
        <f>IF($B492="","",YEAR($B492))</f>
        <v/>
      </c>
      <c r="V492" s="68">
        <f>IF($B492="","",MONTH($B492))</f>
        <v/>
      </c>
      <c r="W492" s="68">
        <f>IF($B492="","",DAY($B492))</f>
        <v/>
      </c>
      <c r="X492" s="68">
        <f>IF($B492="","",YEAR($B492)&amp;"-"&amp;TEXT(MONTH($B492),"00"))</f>
        <v/>
      </c>
      <c r="Y492" s="68">
        <f>IF(OR($H492="",$J492=""),"",$J492*IFERROR(VLOOKUP($H492,Maestro_SKU!$A$2:$P$500,12,FALSE),1))</f>
        <v/>
      </c>
    </row>
    <row r="493">
      <c r="A493" s="43" t="n"/>
      <c r="B493" s="54" t="n"/>
      <c r="C493" s="43" t="n"/>
      <c r="D493" s="43" t="n"/>
      <c r="E493" s="48">
        <f>IFERROR(VLOOKUP(D493,Clientes_PDV!$A$2:$J$250,2,FALSE),"")</f>
        <v/>
      </c>
      <c r="F493" s="48">
        <f>IFERROR(VLOOKUP(D493,Clientes_PDV!$A$2:$J$250,3,FALSE),"")</f>
        <v/>
      </c>
      <c r="G493" s="48">
        <f>IFERROR(VLOOKUP(D493,Clientes_PDV!$A$2:$J$250,4,FALSE),"")</f>
        <v/>
      </c>
      <c r="H493" s="43" t="n"/>
      <c r="I493" s="48">
        <f>IFERROR(VLOOKUP(H493,Maestro_SKU!$A$2:$P$500,2,FALSE),"")</f>
        <v/>
      </c>
      <c r="J493" s="55" t="n"/>
      <c r="K493" s="44" t="n"/>
      <c r="L493" s="51">
        <f>IF(OR(J493="",K493=""),"",J493*K493)</f>
        <v/>
      </c>
      <c r="M493" s="51">
        <f>IF(L493="","",L493*Inicio!$B$13)</f>
        <v/>
      </c>
      <c r="N493" s="51">
        <f>IF(L493="","",L493+M493)</f>
        <v/>
      </c>
      <c r="O493" s="54" t="n"/>
      <c r="P493" s="43" t="n"/>
      <c r="Q493" s="44" t="n"/>
      <c r="R493" s="51">
        <f>IF(N493="","",MAX(N493-Q493,0))</f>
        <v/>
      </c>
      <c r="S493" s="48">
        <f>IF(A493="","",IF(OR(P493="Pagada",R493=0),"Pagada",IF(O493&lt;TODAY(),"Vencida",IF(O493&lt;=TODAY()+Inicio!$B$19,"Próxima a vencer","Vigente"))))</f>
        <v/>
      </c>
      <c r="T493" s="43" t="n"/>
      <c r="U493" s="68">
        <f>IF($B493="","",YEAR($B493))</f>
        <v/>
      </c>
      <c r="V493" s="68">
        <f>IF($B493="","",MONTH($B493))</f>
        <v/>
      </c>
      <c r="W493" s="68">
        <f>IF($B493="","",DAY($B493))</f>
        <v/>
      </c>
      <c r="X493" s="68">
        <f>IF($B493="","",YEAR($B493)&amp;"-"&amp;TEXT(MONTH($B493),"00"))</f>
        <v/>
      </c>
      <c r="Y493" s="68">
        <f>IF(OR($H493="",$J493=""),"",$J493*IFERROR(VLOOKUP($H493,Maestro_SKU!$A$2:$P$500,12,FALSE),1))</f>
        <v/>
      </c>
    </row>
    <row r="494">
      <c r="A494" s="43" t="n"/>
      <c r="B494" s="54" t="n"/>
      <c r="C494" s="43" t="n"/>
      <c r="D494" s="43" t="n"/>
      <c r="E494" s="48">
        <f>IFERROR(VLOOKUP(D494,Clientes_PDV!$A$2:$J$250,2,FALSE),"")</f>
        <v/>
      </c>
      <c r="F494" s="48">
        <f>IFERROR(VLOOKUP(D494,Clientes_PDV!$A$2:$J$250,3,FALSE),"")</f>
        <v/>
      </c>
      <c r="G494" s="48">
        <f>IFERROR(VLOOKUP(D494,Clientes_PDV!$A$2:$J$250,4,FALSE),"")</f>
        <v/>
      </c>
      <c r="H494" s="43" t="n"/>
      <c r="I494" s="48">
        <f>IFERROR(VLOOKUP(H494,Maestro_SKU!$A$2:$P$500,2,FALSE),"")</f>
        <v/>
      </c>
      <c r="J494" s="55" t="n"/>
      <c r="K494" s="44" t="n"/>
      <c r="L494" s="51">
        <f>IF(OR(J494="",K494=""),"",J494*K494)</f>
        <v/>
      </c>
      <c r="M494" s="51">
        <f>IF(L494="","",L494*Inicio!$B$13)</f>
        <v/>
      </c>
      <c r="N494" s="51">
        <f>IF(L494="","",L494+M494)</f>
        <v/>
      </c>
      <c r="O494" s="54" t="n"/>
      <c r="P494" s="43" t="n"/>
      <c r="Q494" s="44" t="n"/>
      <c r="R494" s="51">
        <f>IF(N494="","",MAX(N494-Q494,0))</f>
        <v/>
      </c>
      <c r="S494" s="48">
        <f>IF(A494="","",IF(OR(P494="Pagada",R494=0),"Pagada",IF(O494&lt;TODAY(),"Vencida",IF(O494&lt;=TODAY()+Inicio!$B$19,"Próxima a vencer","Vigente"))))</f>
        <v/>
      </c>
      <c r="T494" s="43" t="n"/>
      <c r="U494" s="68">
        <f>IF($B494="","",YEAR($B494))</f>
        <v/>
      </c>
      <c r="V494" s="68">
        <f>IF($B494="","",MONTH($B494))</f>
        <v/>
      </c>
      <c r="W494" s="68">
        <f>IF($B494="","",DAY($B494))</f>
        <v/>
      </c>
      <c r="X494" s="68">
        <f>IF($B494="","",YEAR($B494)&amp;"-"&amp;TEXT(MONTH($B494),"00"))</f>
        <v/>
      </c>
      <c r="Y494" s="68">
        <f>IF(OR($H494="",$J494=""),"",$J494*IFERROR(VLOOKUP($H494,Maestro_SKU!$A$2:$P$500,12,FALSE),1))</f>
        <v/>
      </c>
    </row>
    <row r="495">
      <c r="A495" s="43" t="n"/>
      <c r="B495" s="54" t="n"/>
      <c r="C495" s="43" t="n"/>
      <c r="D495" s="43" t="n"/>
      <c r="E495" s="48">
        <f>IFERROR(VLOOKUP(D495,Clientes_PDV!$A$2:$J$250,2,FALSE),"")</f>
        <v/>
      </c>
      <c r="F495" s="48">
        <f>IFERROR(VLOOKUP(D495,Clientes_PDV!$A$2:$J$250,3,FALSE),"")</f>
        <v/>
      </c>
      <c r="G495" s="48">
        <f>IFERROR(VLOOKUP(D495,Clientes_PDV!$A$2:$J$250,4,FALSE),"")</f>
        <v/>
      </c>
      <c r="H495" s="43" t="n"/>
      <c r="I495" s="48">
        <f>IFERROR(VLOOKUP(H495,Maestro_SKU!$A$2:$P$500,2,FALSE),"")</f>
        <v/>
      </c>
      <c r="J495" s="55" t="n"/>
      <c r="K495" s="44" t="n"/>
      <c r="L495" s="51">
        <f>IF(OR(J495="",K495=""),"",J495*K495)</f>
        <v/>
      </c>
      <c r="M495" s="51">
        <f>IF(L495="","",L495*Inicio!$B$13)</f>
        <v/>
      </c>
      <c r="N495" s="51">
        <f>IF(L495="","",L495+M495)</f>
        <v/>
      </c>
      <c r="O495" s="54" t="n"/>
      <c r="P495" s="43" t="n"/>
      <c r="Q495" s="44" t="n"/>
      <c r="R495" s="51">
        <f>IF(N495="","",MAX(N495-Q495,0))</f>
        <v/>
      </c>
      <c r="S495" s="48">
        <f>IF(A495="","",IF(OR(P495="Pagada",R495=0),"Pagada",IF(O495&lt;TODAY(),"Vencida",IF(O495&lt;=TODAY()+Inicio!$B$19,"Próxima a vencer","Vigente"))))</f>
        <v/>
      </c>
      <c r="T495" s="43" t="n"/>
      <c r="U495" s="68">
        <f>IF($B495="","",YEAR($B495))</f>
        <v/>
      </c>
      <c r="V495" s="68">
        <f>IF($B495="","",MONTH($B495))</f>
        <v/>
      </c>
      <c r="W495" s="68">
        <f>IF($B495="","",DAY($B495))</f>
        <v/>
      </c>
      <c r="X495" s="68">
        <f>IF($B495="","",YEAR($B495)&amp;"-"&amp;TEXT(MONTH($B495),"00"))</f>
        <v/>
      </c>
      <c r="Y495" s="68">
        <f>IF(OR($H495="",$J495=""),"",$J495*IFERROR(VLOOKUP($H495,Maestro_SKU!$A$2:$P$500,12,FALSE),1))</f>
        <v/>
      </c>
    </row>
    <row r="496">
      <c r="A496" s="43" t="n"/>
      <c r="B496" s="54" t="n"/>
      <c r="C496" s="43" t="n"/>
      <c r="D496" s="43" t="n"/>
      <c r="E496" s="48">
        <f>IFERROR(VLOOKUP(D496,Clientes_PDV!$A$2:$J$250,2,FALSE),"")</f>
        <v/>
      </c>
      <c r="F496" s="48">
        <f>IFERROR(VLOOKUP(D496,Clientes_PDV!$A$2:$J$250,3,FALSE),"")</f>
        <v/>
      </c>
      <c r="G496" s="48">
        <f>IFERROR(VLOOKUP(D496,Clientes_PDV!$A$2:$J$250,4,FALSE),"")</f>
        <v/>
      </c>
      <c r="H496" s="43" t="n"/>
      <c r="I496" s="48">
        <f>IFERROR(VLOOKUP(H496,Maestro_SKU!$A$2:$P$500,2,FALSE),"")</f>
        <v/>
      </c>
      <c r="J496" s="55" t="n"/>
      <c r="K496" s="44" t="n"/>
      <c r="L496" s="51">
        <f>IF(OR(J496="",K496=""),"",J496*K496)</f>
        <v/>
      </c>
      <c r="M496" s="51">
        <f>IF(L496="","",L496*Inicio!$B$13)</f>
        <v/>
      </c>
      <c r="N496" s="51">
        <f>IF(L496="","",L496+M496)</f>
        <v/>
      </c>
      <c r="O496" s="54" t="n"/>
      <c r="P496" s="43" t="n"/>
      <c r="Q496" s="44" t="n"/>
      <c r="R496" s="51">
        <f>IF(N496="","",MAX(N496-Q496,0))</f>
        <v/>
      </c>
      <c r="S496" s="48">
        <f>IF(A496="","",IF(OR(P496="Pagada",R496=0),"Pagada",IF(O496&lt;TODAY(),"Vencida",IF(O496&lt;=TODAY()+Inicio!$B$19,"Próxima a vencer","Vigente"))))</f>
        <v/>
      </c>
      <c r="T496" s="43" t="n"/>
      <c r="U496" s="68">
        <f>IF($B496="","",YEAR($B496))</f>
        <v/>
      </c>
      <c r="V496" s="68">
        <f>IF($B496="","",MONTH($B496))</f>
        <v/>
      </c>
      <c r="W496" s="68">
        <f>IF($B496="","",DAY($B496))</f>
        <v/>
      </c>
      <c r="X496" s="68">
        <f>IF($B496="","",YEAR($B496)&amp;"-"&amp;TEXT(MONTH($B496),"00"))</f>
        <v/>
      </c>
      <c r="Y496" s="68">
        <f>IF(OR($H496="",$J496=""),"",$J496*IFERROR(VLOOKUP($H496,Maestro_SKU!$A$2:$P$500,12,FALSE),1))</f>
        <v/>
      </c>
    </row>
    <row r="497">
      <c r="A497" s="43" t="n"/>
      <c r="B497" s="54" t="n"/>
      <c r="C497" s="43" t="n"/>
      <c r="D497" s="43" t="n"/>
      <c r="E497" s="48">
        <f>IFERROR(VLOOKUP(D497,Clientes_PDV!$A$2:$J$250,2,FALSE),"")</f>
        <v/>
      </c>
      <c r="F497" s="48">
        <f>IFERROR(VLOOKUP(D497,Clientes_PDV!$A$2:$J$250,3,FALSE),"")</f>
        <v/>
      </c>
      <c r="G497" s="48">
        <f>IFERROR(VLOOKUP(D497,Clientes_PDV!$A$2:$J$250,4,FALSE),"")</f>
        <v/>
      </c>
      <c r="H497" s="43" t="n"/>
      <c r="I497" s="48">
        <f>IFERROR(VLOOKUP(H497,Maestro_SKU!$A$2:$P$500,2,FALSE),"")</f>
        <v/>
      </c>
      <c r="J497" s="55" t="n"/>
      <c r="K497" s="44" t="n"/>
      <c r="L497" s="51">
        <f>IF(OR(J497="",K497=""),"",J497*K497)</f>
        <v/>
      </c>
      <c r="M497" s="51">
        <f>IF(L497="","",L497*Inicio!$B$13)</f>
        <v/>
      </c>
      <c r="N497" s="51">
        <f>IF(L497="","",L497+M497)</f>
        <v/>
      </c>
      <c r="O497" s="54" t="n"/>
      <c r="P497" s="43" t="n"/>
      <c r="Q497" s="44" t="n"/>
      <c r="R497" s="51">
        <f>IF(N497="","",MAX(N497-Q497,0))</f>
        <v/>
      </c>
      <c r="S497" s="48">
        <f>IF(A497="","",IF(OR(P497="Pagada",R497=0),"Pagada",IF(O497&lt;TODAY(),"Vencida",IF(O497&lt;=TODAY()+Inicio!$B$19,"Próxima a vencer","Vigente"))))</f>
        <v/>
      </c>
      <c r="T497" s="43" t="n"/>
      <c r="U497" s="68">
        <f>IF($B497="","",YEAR($B497))</f>
        <v/>
      </c>
      <c r="V497" s="68">
        <f>IF($B497="","",MONTH($B497))</f>
        <v/>
      </c>
      <c r="W497" s="68">
        <f>IF($B497="","",DAY($B497))</f>
        <v/>
      </c>
      <c r="X497" s="68">
        <f>IF($B497="","",YEAR($B497)&amp;"-"&amp;TEXT(MONTH($B497),"00"))</f>
        <v/>
      </c>
      <c r="Y497" s="68">
        <f>IF(OR($H497="",$J497=""),"",$J497*IFERROR(VLOOKUP($H497,Maestro_SKU!$A$2:$P$500,12,FALSE),1))</f>
        <v/>
      </c>
    </row>
    <row r="498">
      <c r="A498" s="43" t="n"/>
      <c r="B498" s="54" t="n"/>
      <c r="C498" s="43" t="n"/>
      <c r="D498" s="43" t="n"/>
      <c r="E498" s="48">
        <f>IFERROR(VLOOKUP(D498,Clientes_PDV!$A$2:$J$250,2,FALSE),"")</f>
        <v/>
      </c>
      <c r="F498" s="48">
        <f>IFERROR(VLOOKUP(D498,Clientes_PDV!$A$2:$J$250,3,FALSE),"")</f>
        <v/>
      </c>
      <c r="G498" s="48">
        <f>IFERROR(VLOOKUP(D498,Clientes_PDV!$A$2:$J$250,4,FALSE),"")</f>
        <v/>
      </c>
      <c r="H498" s="43" t="n"/>
      <c r="I498" s="48">
        <f>IFERROR(VLOOKUP(H498,Maestro_SKU!$A$2:$P$500,2,FALSE),"")</f>
        <v/>
      </c>
      <c r="J498" s="55" t="n"/>
      <c r="K498" s="44" t="n"/>
      <c r="L498" s="51">
        <f>IF(OR(J498="",K498=""),"",J498*K498)</f>
        <v/>
      </c>
      <c r="M498" s="51">
        <f>IF(L498="","",L498*Inicio!$B$13)</f>
        <v/>
      </c>
      <c r="N498" s="51">
        <f>IF(L498="","",L498+M498)</f>
        <v/>
      </c>
      <c r="O498" s="54" t="n"/>
      <c r="P498" s="43" t="n"/>
      <c r="Q498" s="44" t="n"/>
      <c r="R498" s="51">
        <f>IF(N498="","",MAX(N498-Q498,0))</f>
        <v/>
      </c>
      <c r="S498" s="48">
        <f>IF(A498="","",IF(OR(P498="Pagada",R498=0),"Pagada",IF(O498&lt;TODAY(),"Vencida",IF(O498&lt;=TODAY()+Inicio!$B$19,"Próxima a vencer","Vigente"))))</f>
        <v/>
      </c>
      <c r="T498" s="43" t="n"/>
      <c r="U498" s="68">
        <f>IF($B498="","",YEAR($B498))</f>
        <v/>
      </c>
      <c r="V498" s="68">
        <f>IF($B498="","",MONTH($B498))</f>
        <v/>
      </c>
      <c r="W498" s="68">
        <f>IF($B498="","",DAY($B498))</f>
        <v/>
      </c>
      <c r="X498" s="68">
        <f>IF($B498="","",YEAR($B498)&amp;"-"&amp;TEXT(MONTH($B498),"00"))</f>
        <v/>
      </c>
      <c r="Y498" s="68">
        <f>IF(OR($H498="",$J498=""),"",$J498*IFERROR(VLOOKUP($H498,Maestro_SKU!$A$2:$P$500,12,FALSE),1))</f>
        <v/>
      </c>
    </row>
    <row r="499">
      <c r="A499" s="43" t="n"/>
      <c r="B499" s="54" t="n"/>
      <c r="C499" s="43" t="n"/>
      <c r="D499" s="43" t="n"/>
      <c r="E499" s="48">
        <f>IFERROR(VLOOKUP(D499,Clientes_PDV!$A$2:$J$250,2,FALSE),"")</f>
        <v/>
      </c>
      <c r="F499" s="48">
        <f>IFERROR(VLOOKUP(D499,Clientes_PDV!$A$2:$J$250,3,FALSE),"")</f>
        <v/>
      </c>
      <c r="G499" s="48">
        <f>IFERROR(VLOOKUP(D499,Clientes_PDV!$A$2:$J$250,4,FALSE),"")</f>
        <v/>
      </c>
      <c r="H499" s="43" t="n"/>
      <c r="I499" s="48">
        <f>IFERROR(VLOOKUP(H499,Maestro_SKU!$A$2:$P$500,2,FALSE),"")</f>
        <v/>
      </c>
      <c r="J499" s="55" t="n"/>
      <c r="K499" s="44" t="n"/>
      <c r="L499" s="51">
        <f>IF(OR(J499="",K499=""),"",J499*K499)</f>
        <v/>
      </c>
      <c r="M499" s="51">
        <f>IF(L499="","",L499*Inicio!$B$13)</f>
        <v/>
      </c>
      <c r="N499" s="51">
        <f>IF(L499="","",L499+M499)</f>
        <v/>
      </c>
      <c r="O499" s="54" t="n"/>
      <c r="P499" s="43" t="n"/>
      <c r="Q499" s="44" t="n"/>
      <c r="R499" s="51">
        <f>IF(N499="","",MAX(N499-Q499,0))</f>
        <v/>
      </c>
      <c r="S499" s="48">
        <f>IF(A499="","",IF(OR(P499="Pagada",R499=0),"Pagada",IF(O499&lt;TODAY(),"Vencida",IF(O499&lt;=TODAY()+Inicio!$B$19,"Próxima a vencer","Vigente"))))</f>
        <v/>
      </c>
      <c r="T499" s="43" t="n"/>
      <c r="U499" s="68">
        <f>IF($B499="","",YEAR($B499))</f>
        <v/>
      </c>
      <c r="V499" s="68">
        <f>IF($B499="","",MONTH($B499))</f>
        <v/>
      </c>
      <c r="W499" s="68">
        <f>IF($B499="","",DAY($B499))</f>
        <v/>
      </c>
      <c r="X499" s="68">
        <f>IF($B499="","",YEAR($B499)&amp;"-"&amp;TEXT(MONTH($B499),"00"))</f>
        <v/>
      </c>
      <c r="Y499" s="68">
        <f>IF(OR($H499="",$J499=""),"",$J499*IFERROR(VLOOKUP($H499,Maestro_SKU!$A$2:$P$500,12,FALSE),1))</f>
        <v/>
      </c>
    </row>
    <row r="500">
      <c r="A500" s="43" t="n"/>
      <c r="B500" s="54" t="n"/>
      <c r="C500" s="43" t="n"/>
      <c r="D500" s="43" t="n"/>
      <c r="E500" s="48">
        <f>IFERROR(VLOOKUP(D500,Clientes_PDV!$A$2:$J$250,2,FALSE),"")</f>
        <v/>
      </c>
      <c r="F500" s="48">
        <f>IFERROR(VLOOKUP(D500,Clientes_PDV!$A$2:$J$250,3,FALSE),"")</f>
        <v/>
      </c>
      <c r="G500" s="48">
        <f>IFERROR(VLOOKUP(D500,Clientes_PDV!$A$2:$J$250,4,FALSE),"")</f>
        <v/>
      </c>
      <c r="H500" s="43" t="n"/>
      <c r="I500" s="48">
        <f>IFERROR(VLOOKUP(H500,Maestro_SKU!$A$2:$P$500,2,FALSE),"")</f>
        <v/>
      </c>
      <c r="J500" s="55" t="n"/>
      <c r="K500" s="44" t="n"/>
      <c r="L500" s="51">
        <f>IF(OR(J500="",K500=""),"",J500*K500)</f>
        <v/>
      </c>
      <c r="M500" s="51">
        <f>IF(L500="","",L500*Inicio!$B$13)</f>
        <v/>
      </c>
      <c r="N500" s="51">
        <f>IF(L500="","",L500+M500)</f>
        <v/>
      </c>
      <c r="O500" s="54" t="n"/>
      <c r="P500" s="43" t="n"/>
      <c r="Q500" s="44" t="n"/>
      <c r="R500" s="51">
        <f>IF(N500="","",MAX(N500-Q500,0))</f>
        <v/>
      </c>
      <c r="S500" s="48">
        <f>IF(A500="","",IF(OR(P500="Pagada",R500=0),"Pagada",IF(O500&lt;TODAY(),"Vencida",IF(O500&lt;=TODAY()+Inicio!$B$19,"Próxima a vencer","Vigente"))))</f>
        <v/>
      </c>
      <c r="T500" s="43" t="n"/>
      <c r="U500" s="68">
        <f>IF($B500="","",YEAR($B500))</f>
        <v/>
      </c>
      <c r="V500" s="68">
        <f>IF($B500="","",MONTH($B500))</f>
        <v/>
      </c>
      <c r="W500" s="68">
        <f>IF($B500="","",DAY($B500))</f>
        <v/>
      </c>
      <c r="X500" s="68">
        <f>IF($B500="","",YEAR($B500)&amp;"-"&amp;TEXT(MONTH($B500),"00"))</f>
        <v/>
      </c>
      <c r="Y500" s="68">
        <f>IF(OR($H500="",$J500=""),"",$J500*IFERROR(VLOOKUP($H500,Maestro_SKU!$A$2:$P$500,12,FALSE),1))</f>
        <v/>
      </c>
    </row>
    <row r="501">
      <c r="A501" s="43" t="n"/>
      <c r="B501" s="54" t="n"/>
      <c r="C501" s="43" t="n"/>
      <c r="D501" s="43" t="n"/>
      <c r="E501" s="48">
        <f>IFERROR(VLOOKUP(D501,Clientes_PDV!$A$2:$J$250,2,FALSE),"")</f>
        <v/>
      </c>
      <c r="F501" s="48">
        <f>IFERROR(VLOOKUP(D501,Clientes_PDV!$A$2:$J$250,3,FALSE),"")</f>
        <v/>
      </c>
      <c r="G501" s="48">
        <f>IFERROR(VLOOKUP(D501,Clientes_PDV!$A$2:$J$250,4,FALSE),"")</f>
        <v/>
      </c>
      <c r="H501" s="43" t="n"/>
      <c r="I501" s="48">
        <f>IFERROR(VLOOKUP(H501,Maestro_SKU!$A$2:$P$500,2,FALSE),"")</f>
        <v/>
      </c>
      <c r="J501" s="55" t="n"/>
      <c r="K501" s="44" t="n"/>
      <c r="L501" s="51">
        <f>IF(OR(J501="",K501=""),"",J501*K501)</f>
        <v/>
      </c>
      <c r="M501" s="51">
        <f>IF(L501="","",L501*Inicio!$B$13)</f>
        <v/>
      </c>
      <c r="N501" s="51">
        <f>IF(L501="","",L501+M501)</f>
        <v/>
      </c>
      <c r="O501" s="54" t="n"/>
      <c r="P501" s="43" t="n"/>
      <c r="Q501" s="44" t="n"/>
      <c r="R501" s="51">
        <f>IF(N501="","",MAX(N501-Q501,0))</f>
        <v/>
      </c>
      <c r="S501" s="48">
        <f>IF(A501="","",IF(OR(P501="Pagada",R501=0),"Pagada",IF(O501&lt;TODAY(),"Vencida",IF(O501&lt;=TODAY()+Inicio!$B$19,"Próxima a vencer","Vigente"))))</f>
        <v/>
      </c>
      <c r="T501" s="43" t="n"/>
      <c r="U501" s="68">
        <f>IF($B501="","",YEAR($B501))</f>
        <v/>
      </c>
      <c r="V501" s="68">
        <f>IF($B501="","",MONTH($B501))</f>
        <v/>
      </c>
      <c r="W501" s="68">
        <f>IF($B501="","",DAY($B501))</f>
        <v/>
      </c>
      <c r="X501" s="68">
        <f>IF($B501="","",YEAR($B501)&amp;"-"&amp;TEXT(MONTH($B501),"00"))</f>
        <v/>
      </c>
      <c r="Y501" s="68">
        <f>IF(OR($H501="",$J501=""),"",$J501*IFERROR(VLOOKUP($H501,Maestro_SKU!$A$2:$P$500,12,FALSE),1))</f>
        <v/>
      </c>
    </row>
    <row r="502">
      <c r="A502" s="43" t="n"/>
      <c r="B502" s="54" t="n"/>
      <c r="C502" s="43" t="n"/>
      <c r="D502" s="43" t="n"/>
      <c r="E502" s="48">
        <f>IFERROR(VLOOKUP(D502,Clientes_PDV!$A$2:$J$250,2,FALSE),"")</f>
        <v/>
      </c>
      <c r="F502" s="48">
        <f>IFERROR(VLOOKUP(D502,Clientes_PDV!$A$2:$J$250,3,FALSE),"")</f>
        <v/>
      </c>
      <c r="G502" s="48">
        <f>IFERROR(VLOOKUP(D502,Clientes_PDV!$A$2:$J$250,4,FALSE),"")</f>
        <v/>
      </c>
      <c r="H502" s="43" t="n"/>
      <c r="I502" s="48">
        <f>IFERROR(VLOOKUP(H502,Maestro_SKU!$A$2:$P$500,2,FALSE),"")</f>
        <v/>
      </c>
      <c r="J502" s="55" t="n"/>
      <c r="K502" s="44" t="n"/>
      <c r="L502" s="51">
        <f>IF(OR(J502="",K502=""),"",J502*K502)</f>
        <v/>
      </c>
      <c r="M502" s="51">
        <f>IF(L502="","",L502*Inicio!$B$13)</f>
        <v/>
      </c>
      <c r="N502" s="51">
        <f>IF(L502="","",L502+M502)</f>
        <v/>
      </c>
      <c r="O502" s="54" t="n"/>
      <c r="P502" s="43" t="n"/>
      <c r="Q502" s="44" t="n"/>
      <c r="R502" s="51">
        <f>IF(N502="","",MAX(N502-Q502,0))</f>
        <v/>
      </c>
      <c r="S502" s="48">
        <f>IF(A502="","",IF(OR(P502="Pagada",R502=0),"Pagada",IF(O502&lt;TODAY(),"Vencida",IF(O502&lt;=TODAY()+Inicio!$B$19,"Próxima a vencer","Vigente"))))</f>
        <v/>
      </c>
      <c r="T502" s="43" t="n"/>
      <c r="U502" s="68">
        <f>IF($B502="","",YEAR($B502))</f>
        <v/>
      </c>
      <c r="V502" s="68">
        <f>IF($B502="","",MONTH($B502))</f>
        <v/>
      </c>
      <c r="W502" s="68">
        <f>IF($B502="","",DAY($B502))</f>
        <v/>
      </c>
      <c r="X502" s="68">
        <f>IF($B502="","",YEAR($B502)&amp;"-"&amp;TEXT(MONTH($B502),"00"))</f>
        <v/>
      </c>
      <c r="Y502" s="68">
        <f>IF(OR($H502="",$J502=""),"",$J502*IFERROR(VLOOKUP($H502,Maestro_SKU!$A$2:$P$500,12,FALSE),1))</f>
        <v/>
      </c>
    </row>
    <row r="503">
      <c r="A503" s="43" t="n"/>
      <c r="B503" s="54" t="n"/>
      <c r="C503" s="43" t="n"/>
      <c r="D503" s="43" t="n"/>
      <c r="E503" s="48">
        <f>IFERROR(VLOOKUP(D503,Clientes_PDV!$A$2:$J$250,2,FALSE),"")</f>
        <v/>
      </c>
      <c r="F503" s="48">
        <f>IFERROR(VLOOKUP(D503,Clientes_PDV!$A$2:$J$250,3,FALSE),"")</f>
        <v/>
      </c>
      <c r="G503" s="48">
        <f>IFERROR(VLOOKUP(D503,Clientes_PDV!$A$2:$J$250,4,FALSE),"")</f>
        <v/>
      </c>
      <c r="H503" s="43" t="n"/>
      <c r="I503" s="48">
        <f>IFERROR(VLOOKUP(H503,Maestro_SKU!$A$2:$P$500,2,FALSE),"")</f>
        <v/>
      </c>
      <c r="J503" s="55" t="n"/>
      <c r="K503" s="44" t="n"/>
      <c r="L503" s="51">
        <f>IF(OR(J503="",K503=""),"",J503*K503)</f>
        <v/>
      </c>
      <c r="M503" s="51">
        <f>IF(L503="","",L503*Inicio!$B$13)</f>
        <v/>
      </c>
      <c r="N503" s="51">
        <f>IF(L503="","",L503+M503)</f>
        <v/>
      </c>
      <c r="O503" s="54" t="n"/>
      <c r="P503" s="43" t="n"/>
      <c r="Q503" s="44" t="n"/>
      <c r="R503" s="51">
        <f>IF(N503="","",MAX(N503-Q503,0))</f>
        <v/>
      </c>
      <c r="S503" s="48">
        <f>IF(A503="","",IF(OR(P503="Pagada",R503=0),"Pagada",IF(O503&lt;TODAY(),"Vencida",IF(O503&lt;=TODAY()+Inicio!$B$19,"Próxima a vencer","Vigente"))))</f>
        <v/>
      </c>
      <c r="T503" s="43" t="n"/>
      <c r="U503" s="68">
        <f>IF($B503="","",YEAR($B503))</f>
        <v/>
      </c>
      <c r="V503" s="68">
        <f>IF($B503="","",MONTH($B503))</f>
        <v/>
      </c>
      <c r="W503" s="68">
        <f>IF($B503="","",DAY($B503))</f>
        <v/>
      </c>
      <c r="X503" s="68">
        <f>IF($B503="","",YEAR($B503)&amp;"-"&amp;TEXT(MONTH($B503),"00"))</f>
        <v/>
      </c>
      <c r="Y503" s="68">
        <f>IF(OR($H503="",$J503=""),"",$J503*IFERROR(VLOOKUP($H503,Maestro_SKU!$A$2:$P$500,12,FALSE),1))</f>
        <v/>
      </c>
    </row>
    <row r="504">
      <c r="A504" s="43" t="n"/>
      <c r="B504" s="54" t="n"/>
      <c r="C504" s="43" t="n"/>
      <c r="D504" s="43" t="n"/>
      <c r="E504" s="48">
        <f>IFERROR(VLOOKUP(D504,Clientes_PDV!$A$2:$J$250,2,FALSE),"")</f>
        <v/>
      </c>
      <c r="F504" s="48">
        <f>IFERROR(VLOOKUP(D504,Clientes_PDV!$A$2:$J$250,3,FALSE),"")</f>
        <v/>
      </c>
      <c r="G504" s="48">
        <f>IFERROR(VLOOKUP(D504,Clientes_PDV!$A$2:$J$250,4,FALSE),"")</f>
        <v/>
      </c>
      <c r="H504" s="43" t="n"/>
      <c r="I504" s="48">
        <f>IFERROR(VLOOKUP(H504,Maestro_SKU!$A$2:$P$500,2,FALSE),"")</f>
        <v/>
      </c>
      <c r="J504" s="55" t="n"/>
      <c r="K504" s="44" t="n"/>
      <c r="L504" s="51">
        <f>IF(OR(J504="",K504=""),"",J504*K504)</f>
        <v/>
      </c>
      <c r="M504" s="51">
        <f>IF(L504="","",L504*Inicio!$B$13)</f>
        <v/>
      </c>
      <c r="N504" s="51">
        <f>IF(L504="","",L504+M504)</f>
        <v/>
      </c>
      <c r="O504" s="54" t="n"/>
      <c r="P504" s="43" t="n"/>
      <c r="Q504" s="44" t="n"/>
      <c r="R504" s="51">
        <f>IF(N504="","",MAX(N504-Q504,0))</f>
        <v/>
      </c>
      <c r="S504" s="48">
        <f>IF(A504="","",IF(OR(P504="Pagada",R504=0),"Pagada",IF(O504&lt;TODAY(),"Vencida",IF(O504&lt;=TODAY()+Inicio!$B$19,"Próxima a vencer","Vigente"))))</f>
        <v/>
      </c>
      <c r="T504" s="43" t="n"/>
      <c r="U504" s="68">
        <f>IF($B504="","",YEAR($B504))</f>
        <v/>
      </c>
      <c r="V504" s="68">
        <f>IF($B504="","",MONTH($B504))</f>
        <v/>
      </c>
      <c r="W504" s="68">
        <f>IF($B504="","",DAY($B504))</f>
        <v/>
      </c>
      <c r="X504" s="68">
        <f>IF($B504="","",YEAR($B504)&amp;"-"&amp;TEXT(MONTH($B504),"00"))</f>
        <v/>
      </c>
      <c r="Y504" s="68">
        <f>IF(OR($H504="",$J504=""),"",$J504*IFERROR(VLOOKUP($H504,Maestro_SKU!$A$2:$P$500,12,FALSE),1))</f>
        <v/>
      </c>
    </row>
    <row r="505">
      <c r="A505" s="43" t="n"/>
      <c r="B505" s="54" t="n"/>
      <c r="C505" s="43" t="n"/>
      <c r="D505" s="43" t="n"/>
      <c r="E505" s="48">
        <f>IFERROR(VLOOKUP(D505,Clientes_PDV!$A$2:$J$250,2,FALSE),"")</f>
        <v/>
      </c>
      <c r="F505" s="48">
        <f>IFERROR(VLOOKUP(D505,Clientes_PDV!$A$2:$J$250,3,FALSE),"")</f>
        <v/>
      </c>
      <c r="G505" s="48">
        <f>IFERROR(VLOOKUP(D505,Clientes_PDV!$A$2:$J$250,4,FALSE),"")</f>
        <v/>
      </c>
      <c r="H505" s="43" t="n"/>
      <c r="I505" s="48">
        <f>IFERROR(VLOOKUP(H505,Maestro_SKU!$A$2:$P$500,2,FALSE),"")</f>
        <v/>
      </c>
      <c r="J505" s="55" t="n"/>
      <c r="K505" s="44" t="n"/>
      <c r="L505" s="51">
        <f>IF(OR(J505="",K505=""),"",J505*K505)</f>
        <v/>
      </c>
      <c r="M505" s="51">
        <f>IF(L505="","",L505*Inicio!$B$13)</f>
        <v/>
      </c>
      <c r="N505" s="51">
        <f>IF(L505="","",L505+M505)</f>
        <v/>
      </c>
      <c r="O505" s="54" t="n"/>
      <c r="P505" s="43" t="n"/>
      <c r="Q505" s="44" t="n"/>
      <c r="R505" s="51">
        <f>IF(N505="","",MAX(N505-Q505,0))</f>
        <v/>
      </c>
      <c r="S505" s="48">
        <f>IF(A505="","",IF(OR(P505="Pagada",R505=0),"Pagada",IF(O505&lt;TODAY(),"Vencida",IF(O505&lt;=TODAY()+Inicio!$B$19,"Próxima a vencer","Vigente"))))</f>
        <v/>
      </c>
      <c r="T505" s="43" t="n"/>
      <c r="U505" s="68">
        <f>IF($B505="","",YEAR($B505))</f>
        <v/>
      </c>
      <c r="V505" s="68">
        <f>IF($B505="","",MONTH($B505))</f>
        <v/>
      </c>
      <c r="W505" s="68">
        <f>IF($B505="","",DAY($B505))</f>
        <v/>
      </c>
      <c r="X505" s="68">
        <f>IF($B505="","",YEAR($B505)&amp;"-"&amp;TEXT(MONTH($B505),"00"))</f>
        <v/>
      </c>
      <c r="Y505" s="68">
        <f>IF(OR($H505="",$J505=""),"",$J505*IFERROR(VLOOKUP($H505,Maestro_SKU!$A$2:$P$500,12,FALSE),1))</f>
        <v/>
      </c>
    </row>
    <row r="506">
      <c r="A506" s="43" t="n"/>
      <c r="B506" s="54" t="n"/>
      <c r="C506" s="43" t="n"/>
      <c r="D506" s="43" t="n"/>
      <c r="E506" s="48">
        <f>IFERROR(VLOOKUP(D506,Clientes_PDV!$A$2:$J$250,2,FALSE),"")</f>
        <v/>
      </c>
      <c r="F506" s="48">
        <f>IFERROR(VLOOKUP(D506,Clientes_PDV!$A$2:$J$250,3,FALSE),"")</f>
        <v/>
      </c>
      <c r="G506" s="48">
        <f>IFERROR(VLOOKUP(D506,Clientes_PDV!$A$2:$J$250,4,FALSE),"")</f>
        <v/>
      </c>
      <c r="H506" s="43" t="n"/>
      <c r="I506" s="48">
        <f>IFERROR(VLOOKUP(H506,Maestro_SKU!$A$2:$P$500,2,FALSE),"")</f>
        <v/>
      </c>
      <c r="J506" s="55" t="n"/>
      <c r="K506" s="44" t="n"/>
      <c r="L506" s="51">
        <f>IF(OR(J506="",K506=""),"",J506*K506)</f>
        <v/>
      </c>
      <c r="M506" s="51">
        <f>IF(L506="","",L506*Inicio!$B$13)</f>
        <v/>
      </c>
      <c r="N506" s="51">
        <f>IF(L506="","",L506+M506)</f>
        <v/>
      </c>
      <c r="O506" s="54" t="n"/>
      <c r="P506" s="43" t="n"/>
      <c r="Q506" s="44" t="n"/>
      <c r="R506" s="51">
        <f>IF(N506="","",MAX(N506-Q506,0))</f>
        <v/>
      </c>
      <c r="S506" s="48">
        <f>IF(A506="","",IF(OR(P506="Pagada",R506=0),"Pagada",IF(O506&lt;TODAY(),"Vencida",IF(O506&lt;=TODAY()+Inicio!$B$19,"Próxima a vencer","Vigente"))))</f>
        <v/>
      </c>
      <c r="T506" s="43" t="n"/>
      <c r="U506" s="68">
        <f>IF($B506="","",YEAR($B506))</f>
        <v/>
      </c>
      <c r="V506" s="68">
        <f>IF($B506="","",MONTH($B506))</f>
        <v/>
      </c>
      <c r="W506" s="68">
        <f>IF($B506="","",DAY($B506))</f>
        <v/>
      </c>
      <c r="X506" s="68">
        <f>IF($B506="","",YEAR($B506)&amp;"-"&amp;TEXT(MONTH($B506),"00"))</f>
        <v/>
      </c>
      <c r="Y506" s="68">
        <f>IF(OR($H506="",$J506=""),"",$J506*IFERROR(VLOOKUP($H506,Maestro_SKU!$A$2:$P$500,12,FALSE),1))</f>
        <v/>
      </c>
    </row>
    <row r="507">
      <c r="A507" s="43" t="n"/>
      <c r="B507" s="54" t="n"/>
      <c r="C507" s="43" t="n"/>
      <c r="D507" s="43" t="n"/>
      <c r="E507" s="48">
        <f>IFERROR(VLOOKUP(D507,Clientes_PDV!$A$2:$J$250,2,FALSE),"")</f>
        <v/>
      </c>
      <c r="F507" s="48">
        <f>IFERROR(VLOOKUP(D507,Clientes_PDV!$A$2:$J$250,3,FALSE),"")</f>
        <v/>
      </c>
      <c r="G507" s="48">
        <f>IFERROR(VLOOKUP(D507,Clientes_PDV!$A$2:$J$250,4,FALSE),"")</f>
        <v/>
      </c>
      <c r="H507" s="43" t="n"/>
      <c r="I507" s="48">
        <f>IFERROR(VLOOKUP(H507,Maestro_SKU!$A$2:$P$500,2,FALSE),"")</f>
        <v/>
      </c>
      <c r="J507" s="55" t="n"/>
      <c r="K507" s="44" t="n"/>
      <c r="L507" s="51">
        <f>IF(OR(J507="",K507=""),"",J507*K507)</f>
        <v/>
      </c>
      <c r="M507" s="51">
        <f>IF(L507="","",L507*Inicio!$B$13)</f>
        <v/>
      </c>
      <c r="N507" s="51">
        <f>IF(L507="","",L507+M507)</f>
        <v/>
      </c>
      <c r="O507" s="54" t="n"/>
      <c r="P507" s="43" t="n"/>
      <c r="Q507" s="44" t="n"/>
      <c r="R507" s="51">
        <f>IF(N507="","",MAX(N507-Q507,0))</f>
        <v/>
      </c>
      <c r="S507" s="48">
        <f>IF(A507="","",IF(OR(P507="Pagada",R507=0),"Pagada",IF(O507&lt;TODAY(),"Vencida",IF(O507&lt;=TODAY()+Inicio!$B$19,"Próxima a vencer","Vigente"))))</f>
        <v/>
      </c>
      <c r="T507" s="43" t="n"/>
      <c r="U507" s="68">
        <f>IF($B507="","",YEAR($B507))</f>
        <v/>
      </c>
      <c r="V507" s="68">
        <f>IF($B507="","",MONTH($B507))</f>
        <v/>
      </c>
      <c r="W507" s="68">
        <f>IF($B507="","",DAY($B507))</f>
        <v/>
      </c>
      <c r="X507" s="68">
        <f>IF($B507="","",YEAR($B507)&amp;"-"&amp;TEXT(MONTH($B507),"00"))</f>
        <v/>
      </c>
      <c r="Y507" s="68">
        <f>IF(OR($H507="",$J507=""),"",$J507*IFERROR(VLOOKUP($H507,Maestro_SKU!$A$2:$P$500,12,FALSE),1))</f>
        <v/>
      </c>
    </row>
    <row r="508">
      <c r="A508" s="43" t="n"/>
      <c r="B508" s="54" t="n"/>
      <c r="C508" s="43" t="n"/>
      <c r="D508" s="43" t="n"/>
      <c r="E508" s="48">
        <f>IFERROR(VLOOKUP(D508,Clientes_PDV!$A$2:$J$250,2,FALSE),"")</f>
        <v/>
      </c>
      <c r="F508" s="48">
        <f>IFERROR(VLOOKUP(D508,Clientes_PDV!$A$2:$J$250,3,FALSE),"")</f>
        <v/>
      </c>
      <c r="G508" s="48">
        <f>IFERROR(VLOOKUP(D508,Clientes_PDV!$A$2:$J$250,4,FALSE),"")</f>
        <v/>
      </c>
      <c r="H508" s="43" t="n"/>
      <c r="I508" s="48">
        <f>IFERROR(VLOOKUP(H508,Maestro_SKU!$A$2:$P$500,2,FALSE),"")</f>
        <v/>
      </c>
      <c r="J508" s="55" t="n"/>
      <c r="K508" s="44" t="n"/>
      <c r="L508" s="51">
        <f>IF(OR(J508="",K508=""),"",J508*K508)</f>
        <v/>
      </c>
      <c r="M508" s="51">
        <f>IF(L508="","",L508*Inicio!$B$13)</f>
        <v/>
      </c>
      <c r="N508" s="51">
        <f>IF(L508="","",L508+M508)</f>
        <v/>
      </c>
      <c r="O508" s="54" t="n"/>
      <c r="P508" s="43" t="n"/>
      <c r="Q508" s="44" t="n"/>
      <c r="R508" s="51">
        <f>IF(N508="","",MAX(N508-Q508,0))</f>
        <v/>
      </c>
      <c r="S508" s="48">
        <f>IF(A508="","",IF(OR(P508="Pagada",R508=0),"Pagada",IF(O508&lt;TODAY(),"Vencida",IF(O508&lt;=TODAY()+Inicio!$B$19,"Próxima a vencer","Vigente"))))</f>
        <v/>
      </c>
      <c r="T508" s="43" t="n"/>
      <c r="U508" s="68">
        <f>IF($B508="","",YEAR($B508))</f>
        <v/>
      </c>
      <c r="V508" s="68">
        <f>IF($B508="","",MONTH($B508))</f>
        <v/>
      </c>
      <c r="W508" s="68">
        <f>IF($B508="","",DAY($B508))</f>
        <v/>
      </c>
      <c r="X508" s="68">
        <f>IF($B508="","",YEAR($B508)&amp;"-"&amp;TEXT(MONTH($B508),"00"))</f>
        <v/>
      </c>
      <c r="Y508" s="68">
        <f>IF(OR($H508="",$J508=""),"",$J508*IFERROR(VLOOKUP($H508,Maestro_SKU!$A$2:$P$500,12,FALSE),1))</f>
        <v/>
      </c>
    </row>
    <row r="509">
      <c r="A509" s="43" t="n"/>
      <c r="B509" s="54" t="n"/>
      <c r="C509" s="43" t="n"/>
      <c r="D509" s="43" t="n"/>
      <c r="E509" s="48">
        <f>IFERROR(VLOOKUP(D509,Clientes_PDV!$A$2:$J$250,2,FALSE),"")</f>
        <v/>
      </c>
      <c r="F509" s="48">
        <f>IFERROR(VLOOKUP(D509,Clientes_PDV!$A$2:$J$250,3,FALSE),"")</f>
        <v/>
      </c>
      <c r="G509" s="48">
        <f>IFERROR(VLOOKUP(D509,Clientes_PDV!$A$2:$J$250,4,FALSE),"")</f>
        <v/>
      </c>
      <c r="H509" s="43" t="n"/>
      <c r="I509" s="48">
        <f>IFERROR(VLOOKUP(H509,Maestro_SKU!$A$2:$P$500,2,FALSE),"")</f>
        <v/>
      </c>
      <c r="J509" s="55" t="n"/>
      <c r="K509" s="44" t="n"/>
      <c r="L509" s="51">
        <f>IF(OR(J509="",K509=""),"",J509*K509)</f>
        <v/>
      </c>
      <c r="M509" s="51">
        <f>IF(L509="","",L509*Inicio!$B$13)</f>
        <v/>
      </c>
      <c r="N509" s="51">
        <f>IF(L509="","",L509+M509)</f>
        <v/>
      </c>
      <c r="O509" s="54" t="n"/>
      <c r="P509" s="43" t="n"/>
      <c r="Q509" s="44" t="n"/>
      <c r="R509" s="51">
        <f>IF(N509="","",MAX(N509-Q509,0))</f>
        <v/>
      </c>
      <c r="S509" s="48">
        <f>IF(A509="","",IF(OR(P509="Pagada",R509=0),"Pagada",IF(O509&lt;TODAY(),"Vencida",IF(O509&lt;=TODAY()+Inicio!$B$19,"Próxima a vencer","Vigente"))))</f>
        <v/>
      </c>
      <c r="T509" s="43" t="n"/>
      <c r="U509" s="68">
        <f>IF($B509="","",YEAR($B509))</f>
        <v/>
      </c>
      <c r="V509" s="68">
        <f>IF($B509="","",MONTH($B509))</f>
        <v/>
      </c>
      <c r="W509" s="68">
        <f>IF($B509="","",DAY($B509))</f>
        <v/>
      </c>
      <c r="X509" s="68">
        <f>IF($B509="","",YEAR($B509)&amp;"-"&amp;TEXT(MONTH($B509),"00"))</f>
        <v/>
      </c>
      <c r="Y509" s="68">
        <f>IF(OR($H509="",$J509=""),"",$J509*IFERROR(VLOOKUP($H509,Maestro_SKU!$A$2:$P$500,12,FALSE),1))</f>
        <v/>
      </c>
    </row>
    <row r="510">
      <c r="A510" s="43" t="n"/>
      <c r="B510" s="54" t="n"/>
      <c r="C510" s="43" t="n"/>
      <c r="D510" s="43" t="n"/>
      <c r="E510" s="48">
        <f>IFERROR(VLOOKUP(D510,Clientes_PDV!$A$2:$J$250,2,FALSE),"")</f>
        <v/>
      </c>
      <c r="F510" s="48">
        <f>IFERROR(VLOOKUP(D510,Clientes_PDV!$A$2:$J$250,3,FALSE),"")</f>
        <v/>
      </c>
      <c r="G510" s="48">
        <f>IFERROR(VLOOKUP(D510,Clientes_PDV!$A$2:$J$250,4,FALSE),"")</f>
        <v/>
      </c>
      <c r="H510" s="43" t="n"/>
      <c r="I510" s="48">
        <f>IFERROR(VLOOKUP(H510,Maestro_SKU!$A$2:$P$500,2,FALSE),"")</f>
        <v/>
      </c>
      <c r="J510" s="55" t="n"/>
      <c r="K510" s="44" t="n"/>
      <c r="L510" s="51">
        <f>IF(OR(J510="",K510=""),"",J510*K510)</f>
        <v/>
      </c>
      <c r="M510" s="51">
        <f>IF(L510="","",L510*Inicio!$B$13)</f>
        <v/>
      </c>
      <c r="N510" s="51">
        <f>IF(L510="","",L510+M510)</f>
        <v/>
      </c>
      <c r="O510" s="54" t="n"/>
      <c r="P510" s="43" t="n"/>
      <c r="Q510" s="44" t="n"/>
      <c r="R510" s="51">
        <f>IF(N510="","",MAX(N510-Q510,0))</f>
        <v/>
      </c>
      <c r="S510" s="48">
        <f>IF(A510="","",IF(OR(P510="Pagada",R510=0),"Pagada",IF(O510&lt;TODAY(),"Vencida",IF(O510&lt;=TODAY()+Inicio!$B$19,"Próxima a vencer","Vigente"))))</f>
        <v/>
      </c>
      <c r="T510" s="43" t="n"/>
      <c r="U510" s="68">
        <f>IF($B510="","",YEAR($B510))</f>
        <v/>
      </c>
      <c r="V510" s="68">
        <f>IF($B510="","",MONTH($B510))</f>
        <v/>
      </c>
      <c r="W510" s="68">
        <f>IF($B510="","",DAY($B510))</f>
        <v/>
      </c>
      <c r="X510" s="68">
        <f>IF($B510="","",YEAR($B510)&amp;"-"&amp;TEXT(MONTH($B510),"00"))</f>
        <v/>
      </c>
      <c r="Y510" s="68">
        <f>IF(OR($H510="",$J510=""),"",$J510*IFERROR(VLOOKUP($H510,Maestro_SKU!$A$2:$P$500,12,FALSE),1))</f>
        <v/>
      </c>
    </row>
    <row r="511">
      <c r="A511" s="43" t="n"/>
      <c r="B511" s="54" t="n"/>
      <c r="C511" s="43" t="n"/>
      <c r="D511" s="43" t="n"/>
      <c r="E511" s="48">
        <f>IFERROR(VLOOKUP(D511,Clientes_PDV!$A$2:$J$250,2,FALSE),"")</f>
        <v/>
      </c>
      <c r="F511" s="48">
        <f>IFERROR(VLOOKUP(D511,Clientes_PDV!$A$2:$J$250,3,FALSE),"")</f>
        <v/>
      </c>
      <c r="G511" s="48">
        <f>IFERROR(VLOOKUP(D511,Clientes_PDV!$A$2:$J$250,4,FALSE),"")</f>
        <v/>
      </c>
      <c r="H511" s="43" t="n"/>
      <c r="I511" s="48">
        <f>IFERROR(VLOOKUP(H511,Maestro_SKU!$A$2:$P$500,2,FALSE),"")</f>
        <v/>
      </c>
      <c r="J511" s="55" t="n"/>
      <c r="K511" s="44" t="n"/>
      <c r="L511" s="51">
        <f>IF(OR(J511="",K511=""),"",J511*K511)</f>
        <v/>
      </c>
      <c r="M511" s="51">
        <f>IF(L511="","",L511*Inicio!$B$13)</f>
        <v/>
      </c>
      <c r="N511" s="51">
        <f>IF(L511="","",L511+M511)</f>
        <v/>
      </c>
      <c r="O511" s="54" t="n"/>
      <c r="P511" s="43" t="n"/>
      <c r="Q511" s="44" t="n"/>
      <c r="R511" s="51">
        <f>IF(N511="","",MAX(N511-Q511,0))</f>
        <v/>
      </c>
      <c r="S511" s="48">
        <f>IF(A511="","",IF(OR(P511="Pagada",R511=0),"Pagada",IF(O511&lt;TODAY(),"Vencida",IF(O511&lt;=TODAY()+Inicio!$B$19,"Próxima a vencer","Vigente"))))</f>
        <v/>
      </c>
      <c r="T511" s="43" t="n"/>
      <c r="U511" s="68">
        <f>IF($B511="","",YEAR($B511))</f>
        <v/>
      </c>
      <c r="V511" s="68">
        <f>IF($B511="","",MONTH($B511))</f>
        <v/>
      </c>
      <c r="W511" s="68">
        <f>IF($B511="","",DAY($B511))</f>
        <v/>
      </c>
      <c r="X511" s="68">
        <f>IF($B511="","",YEAR($B511)&amp;"-"&amp;TEXT(MONTH($B511),"00"))</f>
        <v/>
      </c>
      <c r="Y511" s="68">
        <f>IF(OR($H511="",$J511=""),"",$J511*IFERROR(VLOOKUP($H511,Maestro_SKU!$A$2:$P$500,12,FALSE),1))</f>
        <v/>
      </c>
    </row>
    <row r="512">
      <c r="A512" s="43" t="n"/>
      <c r="B512" s="54" t="n"/>
      <c r="C512" s="43" t="n"/>
      <c r="D512" s="43" t="n"/>
      <c r="E512" s="48">
        <f>IFERROR(VLOOKUP(D512,Clientes_PDV!$A$2:$J$250,2,FALSE),"")</f>
        <v/>
      </c>
      <c r="F512" s="48">
        <f>IFERROR(VLOOKUP(D512,Clientes_PDV!$A$2:$J$250,3,FALSE),"")</f>
        <v/>
      </c>
      <c r="G512" s="48">
        <f>IFERROR(VLOOKUP(D512,Clientes_PDV!$A$2:$J$250,4,FALSE),"")</f>
        <v/>
      </c>
      <c r="H512" s="43" t="n"/>
      <c r="I512" s="48">
        <f>IFERROR(VLOOKUP(H512,Maestro_SKU!$A$2:$P$500,2,FALSE),"")</f>
        <v/>
      </c>
      <c r="J512" s="55" t="n"/>
      <c r="K512" s="44" t="n"/>
      <c r="L512" s="51">
        <f>IF(OR(J512="",K512=""),"",J512*K512)</f>
        <v/>
      </c>
      <c r="M512" s="51">
        <f>IF(L512="","",L512*Inicio!$B$13)</f>
        <v/>
      </c>
      <c r="N512" s="51">
        <f>IF(L512="","",L512+M512)</f>
        <v/>
      </c>
      <c r="O512" s="54" t="n"/>
      <c r="P512" s="43" t="n"/>
      <c r="Q512" s="44" t="n"/>
      <c r="R512" s="51">
        <f>IF(N512="","",MAX(N512-Q512,0))</f>
        <v/>
      </c>
      <c r="S512" s="48">
        <f>IF(A512="","",IF(OR(P512="Pagada",R512=0),"Pagada",IF(O512&lt;TODAY(),"Vencida",IF(O512&lt;=TODAY()+Inicio!$B$19,"Próxima a vencer","Vigente"))))</f>
        <v/>
      </c>
      <c r="T512" s="43" t="n"/>
      <c r="U512" s="68">
        <f>IF($B512="","",YEAR($B512))</f>
        <v/>
      </c>
      <c r="V512" s="68">
        <f>IF($B512="","",MONTH($B512))</f>
        <v/>
      </c>
      <c r="W512" s="68">
        <f>IF($B512="","",DAY($B512))</f>
        <v/>
      </c>
      <c r="X512" s="68">
        <f>IF($B512="","",YEAR($B512)&amp;"-"&amp;TEXT(MONTH($B512),"00"))</f>
        <v/>
      </c>
      <c r="Y512" s="68">
        <f>IF(OR($H512="",$J512=""),"",$J512*IFERROR(VLOOKUP($H512,Maestro_SKU!$A$2:$P$500,12,FALSE),1))</f>
        <v/>
      </c>
    </row>
    <row r="513">
      <c r="A513" s="43" t="n"/>
      <c r="B513" s="54" t="n"/>
      <c r="C513" s="43" t="n"/>
      <c r="D513" s="43" t="n"/>
      <c r="E513" s="48">
        <f>IFERROR(VLOOKUP(D513,Clientes_PDV!$A$2:$J$250,2,FALSE),"")</f>
        <v/>
      </c>
      <c r="F513" s="48">
        <f>IFERROR(VLOOKUP(D513,Clientes_PDV!$A$2:$J$250,3,FALSE),"")</f>
        <v/>
      </c>
      <c r="G513" s="48">
        <f>IFERROR(VLOOKUP(D513,Clientes_PDV!$A$2:$J$250,4,FALSE),"")</f>
        <v/>
      </c>
      <c r="H513" s="43" t="n"/>
      <c r="I513" s="48">
        <f>IFERROR(VLOOKUP(H513,Maestro_SKU!$A$2:$P$500,2,FALSE),"")</f>
        <v/>
      </c>
      <c r="J513" s="55" t="n"/>
      <c r="K513" s="44" t="n"/>
      <c r="L513" s="51">
        <f>IF(OR(J513="",K513=""),"",J513*K513)</f>
        <v/>
      </c>
      <c r="M513" s="51">
        <f>IF(L513="","",L513*Inicio!$B$13)</f>
        <v/>
      </c>
      <c r="N513" s="51">
        <f>IF(L513="","",L513+M513)</f>
        <v/>
      </c>
      <c r="O513" s="54" t="n"/>
      <c r="P513" s="43" t="n"/>
      <c r="Q513" s="44" t="n"/>
      <c r="R513" s="51">
        <f>IF(N513="","",MAX(N513-Q513,0))</f>
        <v/>
      </c>
      <c r="S513" s="48">
        <f>IF(A513="","",IF(OR(P513="Pagada",R513=0),"Pagada",IF(O513&lt;TODAY(),"Vencida",IF(O513&lt;=TODAY()+Inicio!$B$19,"Próxima a vencer","Vigente"))))</f>
        <v/>
      </c>
      <c r="T513" s="43" t="n"/>
      <c r="U513" s="68">
        <f>IF($B513="","",YEAR($B513))</f>
        <v/>
      </c>
      <c r="V513" s="68">
        <f>IF($B513="","",MONTH($B513))</f>
        <v/>
      </c>
      <c r="W513" s="68">
        <f>IF($B513="","",DAY($B513))</f>
        <v/>
      </c>
      <c r="X513" s="68">
        <f>IF($B513="","",YEAR($B513)&amp;"-"&amp;TEXT(MONTH($B513),"00"))</f>
        <v/>
      </c>
      <c r="Y513" s="68">
        <f>IF(OR($H513="",$J513=""),"",$J513*IFERROR(VLOOKUP($H513,Maestro_SKU!$A$2:$P$500,12,FALSE),1))</f>
        <v/>
      </c>
    </row>
    <row r="514">
      <c r="A514" s="43" t="n"/>
      <c r="B514" s="54" t="n"/>
      <c r="C514" s="43" t="n"/>
      <c r="D514" s="43" t="n"/>
      <c r="E514" s="48">
        <f>IFERROR(VLOOKUP(D514,Clientes_PDV!$A$2:$J$250,2,FALSE),"")</f>
        <v/>
      </c>
      <c r="F514" s="48">
        <f>IFERROR(VLOOKUP(D514,Clientes_PDV!$A$2:$J$250,3,FALSE),"")</f>
        <v/>
      </c>
      <c r="G514" s="48">
        <f>IFERROR(VLOOKUP(D514,Clientes_PDV!$A$2:$J$250,4,FALSE),"")</f>
        <v/>
      </c>
      <c r="H514" s="43" t="n"/>
      <c r="I514" s="48">
        <f>IFERROR(VLOOKUP(H514,Maestro_SKU!$A$2:$P$500,2,FALSE),"")</f>
        <v/>
      </c>
      <c r="J514" s="55" t="n"/>
      <c r="K514" s="44" t="n"/>
      <c r="L514" s="51">
        <f>IF(OR(J514="",K514=""),"",J514*K514)</f>
        <v/>
      </c>
      <c r="M514" s="51">
        <f>IF(L514="","",L514*Inicio!$B$13)</f>
        <v/>
      </c>
      <c r="N514" s="51">
        <f>IF(L514="","",L514+M514)</f>
        <v/>
      </c>
      <c r="O514" s="54" t="n"/>
      <c r="P514" s="43" t="n"/>
      <c r="Q514" s="44" t="n"/>
      <c r="R514" s="51">
        <f>IF(N514="","",MAX(N514-Q514,0))</f>
        <v/>
      </c>
      <c r="S514" s="48">
        <f>IF(A514="","",IF(OR(P514="Pagada",R514=0),"Pagada",IF(O514&lt;TODAY(),"Vencida",IF(O514&lt;=TODAY()+Inicio!$B$19,"Próxima a vencer","Vigente"))))</f>
        <v/>
      </c>
      <c r="T514" s="43" t="n"/>
      <c r="U514" s="68">
        <f>IF($B514="","",YEAR($B514))</f>
        <v/>
      </c>
      <c r="V514" s="68">
        <f>IF($B514="","",MONTH($B514))</f>
        <v/>
      </c>
      <c r="W514" s="68">
        <f>IF($B514="","",DAY($B514))</f>
        <v/>
      </c>
      <c r="X514" s="68">
        <f>IF($B514="","",YEAR($B514)&amp;"-"&amp;TEXT(MONTH($B514),"00"))</f>
        <v/>
      </c>
      <c r="Y514" s="68">
        <f>IF(OR($H514="",$J514=""),"",$J514*IFERROR(VLOOKUP($H514,Maestro_SKU!$A$2:$P$500,12,FALSE),1))</f>
        <v/>
      </c>
    </row>
    <row r="515">
      <c r="A515" s="43" t="n"/>
      <c r="B515" s="54" t="n"/>
      <c r="C515" s="43" t="n"/>
      <c r="D515" s="43" t="n"/>
      <c r="E515" s="48">
        <f>IFERROR(VLOOKUP(D515,Clientes_PDV!$A$2:$J$250,2,FALSE),"")</f>
        <v/>
      </c>
      <c r="F515" s="48">
        <f>IFERROR(VLOOKUP(D515,Clientes_PDV!$A$2:$J$250,3,FALSE),"")</f>
        <v/>
      </c>
      <c r="G515" s="48">
        <f>IFERROR(VLOOKUP(D515,Clientes_PDV!$A$2:$J$250,4,FALSE),"")</f>
        <v/>
      </c>
      <c r="H515" s="43" t="n"/>
      <c r="I515" s="48">
        <f>IFERROR(VLOOKUP(H515,Maestro_SKU!$A$2:$P$500,2,FALSE),"")</f>
        <v/>
      </c>
      <c r="J515" s="55" t="n"/>
      <c r="K515" s="44" t="n"/>
      <c r="L515" s="51">
        <f>IF(OR(J515="",K515=""),"",J515*K515)</f>
        <v/>
      </c>
      <c r="M515" s="51">
        <f>IF(L515="","",L515*Inicio!$B$13)</f>
        <v/>
      </c>
      <c r="N515" s="51">
        <f>IF(L515="","",L515+M515)</f>
        <v/>
      </c>
      <c r="O515" s="54" t="n"/>
      <c r="P515" s="43" t="n"/>
      <c r="Q515" s="44" t="n"/>
      <c r="R515" s="51">
        <f>IF(N515="","",MAX(N515-Q515,0))</f>
        <v/>
      </c>
      <c r="S515" s="48">
        <f>IF(A515="","",IF(OR(P515="Pagada",R515=0),"Pagada",IF(O515&lt;TODAY(),"Vencida",IF(O515&lt;=TODAY()+Inicio!$B$19,"Próxima a vencer","Vigente"))))</f>
        <v/>
      </c>
      <c r="T515" s="43" t="n"/>
      <c r="U515" s="68">
        <f>IF($B515="","",YEAR($B515))</f>
        <v/>
      </c>
      <c r="V515" s="68">
        <f>IF($B515="","",MONTH($B515))</f>
        <v/>
      </c>
      <c r="W515" s="68">
        <f>IF($B515="","",DAY($B515))</f>
        <v/>
      </c>
      <c r="X515" s="68">
        <f>IF($B515="","",YEAR($B515)&amp;"-"&amp;TEXT(MONTH($B515),"00"))</f>
        <v/>
      </c>
      <c r="Y515" s="68">
        <f>IF(OR($H515="",$J515=""),"",$J515*IFERROR(VLOOKUP($H515,Maestro_SKU!$A$2:$P$500,12,FALSE),1))</f>
        <v/>
      </c>
    </row>
    <row r="516">
      <c r="A516" s="43" t="n"/>
      <c r="B516" s="54" t="n"/>
      <c r="C516" s="43" t="n"/>
      <c r="D516" s="43" t="n"/>
      <c r="E516" s="48">
        <f>IFERROR(VLOOKUP(D516,Clientes_PDV!$A$2:$J$250,2,FALSE),"")</f>
        <v/>
      </c>
      <c r="F516" s="48">
        <f>IFERROR(VLOOKUP(D516,Clientes_PDV!$A$2:$J$250,3,FALSE),"")</f>
        <v/>
      </c>
      <c r="G516" s="48">
        <f>IFERROR(VLOOKUP(D516,Clientes_PDV!$A$2:$J$250,4,FALSE),"")</f>
        <v/>
      </c>
      <c r="H516" s="43" t="n"/>
      <c r="I516" s="48">
        <f>IFERROR(VLOOKUP(H516,Maestro_SKU!$A$2:$P$500,2,FALSE),"")</f>
        <v/>
      </c>
      <c r="J516" s="55" t="n"/>
      <c r="K516" s="44" t="n"/>
      <c r="L516" s="51">
        <f>IF(OR(J516="",K516=""),"",J516*K516)</f>
        <v/>
      </c>
      <c r="M516" s="51">
        <f>IF(L516="","",L516*Inicio!$B$13)</f>
        <v/>
      </c>
      <c r="N516" s="51">
        <f>IF(L516="","",L516+M516)</f>
        <v/>
      </c>
      <c r="O516" s="54" t="n"/>
      <c r="P516" s="43" t="n"/>
      <c r="Q516" s="44" t="n"/>
      <c r="R516" s="51">
        <f>IF(N516="","",MAX(N516-Q516,0))</f>
        <v/>
      </c>
      <c r="S516" s="48">
        <f>IF(A516="","",IF(OR(P516="Pagada",R516=0),"Pagada",IF(O516&lt;TODAY(),"Vencida",IF(O516&lt;=TODAY()+Inicio!$B$19,"Próxima a vencer","Vigente"))))</f>
        <v/>
      </c>
      <c r="T516" s="43" t="n"/>
      <c r="U516" s="68">
        <f>IF($B516="","",YEAR($B516))</f>
        <v/>
      </c>
      <c r="V516" s="68">
        <f>IF($B516="","",MONTH($B516))</f>
        <v/>
      </c>
      <c r="W516" s="68">
        <f>IF($B516="","",DAY($B516))</f>
        <v/>
      </c>
      <c r="X516" s="68">
        <f>IF($B516="","",YEAR($B516)&amp;"-"&amp;TEXT(MONTH($B516),"00"))</f>
        <v/>
      </c>
      <c r="Y516" s="68">
        <f>IF(OR($H516="",$J516=""),"",$J516*IFERROR(VLOOKUP($H516,Maestro_SKU!$A$2:$P$500,12,FALSE),1))</f>
        <v/>
      </c>
    </row>
    <row r="517">
      <c r="A517" s="43" t="n"/>
      <c r="B517" s="54" t="n"/>
      <c r="C517" s="43" t="n"/>
      <c r="D517" s="43" t="n"/>
      <c r="E517" s="48">
        <f>IFERROR(VLOOKUP(D517,Clientes_PDV!$A$2:$J$250,2,FALSE),"")</f>
        <v/>
      </c>
      <c r="F517" s="48">
        <f>IFERROR(VLOOKUP(D517,Clientes_PDV!$A$2:$J$250,3,FALSE),"")</f>
        <v/>
      </c>
      <c r="G517" s="48">
        <f>IFERROR(VLOOKUP(D517,Clientes_PDV!$A$2:$J$250,4,FALSE),"")</f>
        <v/>
      </c>
      <c r="H517" s="43" t="n"/>
      <c r="I517" s="48">
        <f>IFERROR(VLOOKUP(H517,Maestro_SKU!$A$2:$P$500,2,FALSE),"")</f>
        <v/>
      </c>
      <c r="J517" s="55" t="n"/>
      <c r="K517" s="44" t="n"/>
      <c r="L517" s="51">
        <f>IF(OR(J517="",K517=""),"",J517*K517)</f>
        <v/>
      </c>
      <c r="M517" s="51">
        <f>IF(L517="","",L517*Inicio!$B$13)</f>
        <v/>
      </c>
      <c r="N517" s="51">
        <f>IF(L517="","",L517+M517)</f>
        <v/>
      </c>
      <c r="O517" s="54" t="n"/>
      <c r="P517" s="43" t="n"/>
      <c r="Q517" s="44" t="n"/>
      <c r="R517" s="51">
        <f>IF(N517="","",MAX(N517-Q517,0))</f>
        <v/>
      </c>
      <c r="S517" s="48">
        <f>IF(A517="","",IF(OR(P517="Pagada",R517=0),"Pagada",IF(O517&lt;TODAY(),"Vencida",IF(O517&lt;=TODAY()+Inicio!$B$19,"Próxima a vencer","Vigente"))))</f>
        <v/>
      </c>
      <c r="T517" s="43" t="n"/>
      <c r="U517" s="68">
        <f>IF($B517="","",YEAR($B517))</f>
        <v/>
      </c>
      <c r="V517" s="68">
        <f>IF($B517="","",MONTH($B517))</f>
        <v/>
      </c>
      <c r="W517" s="68">
        <f>IF($B517="","",DAY($B517))</f>
        <v/>
      </c>
      <c r="X517" s="68">
        <f>IF($B517="","",YEAR($B517)&amp;"-"&amp;TEXT(MONTH($B517),"00"))</f>
        <v/>
      </c>
      <c r="Y517" s="68">
        <f>IF(OR($H517="",$J517=""),"",$J517*IFERROR(VLOOKUP($H517,Maestro_SKU!$A$2:$P$500,12,FALSE),1))</f>
        <v/>
      </c>
    </row>
    <row r="518">
      <c r="A518" s="43" t="n"/>
      <c r="B518" s="54" t="n"/>
      <c r="C518" s="43" t="n"/>
      <c r="D518" s="43" t="n"/>
      <c r="E518" s="48">
        <f>IFERROR(VLOOKUP(D518,Clientes_PDV!$A$2:$J$250,2,FALSE),"")</f>
        <v/>
      </c>
      <c r="F518" s="48">
        <f>IFERROR(VLOOKUP(D518,Clientes_PDV!$A$2:$J$250,3,FALSE),"")</f>
        <v/>
      </c>
      <c r="G518" s="48">
        <f>IFERROR(VLOOKUP(D518,Clientes_PDV!$A$2:$J$250,4,FALSE),"")</f>
        <v/>
      </c>
      <c r="H518" s="43" t="n"/>
      <c r="I518" s="48">
        <f>IFERROR(VLOOKUP(H518,Maestro_SKU!$A$2:$P$500,2,FALSE),"")</f>
        <v/>
      </c>
      <c r="J518" s="55" t="n"/>
      <c r="K518" s="44" t="n"/>
      <c r="L518" s="51">
        <f>IF(OR(J518="",K518=""),"",J518*K518)</f>
        <v/>
      </c>
      <c r="M518" s="51">
        <f>IF(L518="","",L518*Inicio!$B$13)</f>
        <v/>
      </c>
      <c r="N518" s="51">
        <f>IF(L518="","",L518+M518)</f>
        <v/>
      </c>
      <c r="O518" s="54" t="n"/>
      <c r="P518" s="43" t="n"/>
      <c r="Q518" s="44" t="n"/>
      <c r="R518" s="51">
        <f>IF(N518="","",MAX(N518-Q518,0))</f>
        <v/>
      </c>
      <c r="S518" s="48">
        <f>IF(A518="","",IF(OR(P518="Pagada",R518=0),"Pagada",IF(O518&lt;TODAY(),"Vencida",IF(O518&lt;=TODAY()+Inicio!$B$19,"Próxima a vencer","Vigente"))))</f>
        <v/>
      </c>
      <c r="T518" s="43" t="n"/>
      <c r="U518" s="68">
        <f>IF($B518="","",YEAR($B518))</f>
        <v/>
      </c>
      <c r="V518" s="68">
        <f>IF($B518="","",MONTH($B518))</f>
        <v/>
      </c>
      <c r="W518" s="68">
        <f>IF($B518="","",DAY($B518))</f>
        <v/>
      </c>
      <c r="X518" s="68">
        <f>IF($B518="","",YEAR($B518)&amp;"-"&amp;TEXT(MONTH($B518),"00"))</f>
        <v/>
      </c>
      <c r="Y518" s="68">
        <f>IF(OR($H518="",$J518=""),"",$J518*IFERROR(VLOOKUP($H518,Maestro_SKU!$A$2:$P$500,12,FALSE),1))</f>
        <v/>
      </c>
    </row>
    <row r="519">
      <c r="A519" s="43" t="n"/>
      <c r="B519" s="54" t="n"/>
      <c r="C519" s="43" t="n"/>
      <c r="D519" s="43" t="n"/>
      <c r="E519" s="48">
        <f>IFERROR(VLOOKUP(D519,Clientes_PDV!$A$2:$J$250,2,FALSE),"")</f>
        <v/>
      </c>
      <c r="F519" s="48">
        <f>IFERROR(VLOOKUP(D519,Clientes_PDV!$A$2:$J$250,3,FALSE),"")</f>
        <v/>
      </c>
      <c r="G519" s="48">
        <f>IFERROR(VLOOKUP(D519,Clientes_PDV!$A$2:$J$250,4,FALSE),"")</f>
        <v/>
      </c>
      <c r="H519" s="43" t="n"/>
      <c r="I519" s="48">
        <f>IFERROR(VLOOKUP(H519,Maestro_SKU!$A$2:$P$500,2,FALSE),"")</f>
        <v/>
      </c>
      <c r="J519" s="55" t="n"/>
      <c r="K519" s="44" t="n"/>
      <c r="L519" s="51">
        <f>IF(OR(J519="",K519=""),"",J519*K519)</f>
        <v/>
      </c>
      <c r="M519" s="51">
        <f>IF(L519="","",L519*Inicio!$B$13)</f>
        <v/>
      </c>
      <c r="N519" s="51">
        <f>IF(L519="","",L519+M519)</f>
        <v/>
      </c>
      <c r="O519" s="54" t="n"/>
      <c r="P519" s="43" t="n"/>
      <c r="Q519" s="44" t="n"/>
      <c r="R519" s="51">
        <f>IF(N519="","",MAX(N519-Q519,0))</f>
        <v/>
      </c>
      <c r="S519" s="48">
        <f>IF(A519="","",IF(OR(P519="Pagada",R519=0),"Pagada",IF(O519&lt;TODAY(),"Vencida",IF(O519&lt;=TODAY()+Inicio!$B$19,"Próxima a vencer","Vigente"))))</f>
        <v/>
      </c>
      <c r="T519" s="43" t="n"/>
      <c r="U519" s="68">
        <f>IF($B519="","",YEAR($B519))</f>
        <v/>
      </c>
      <c r="V519" s="68">
        <f>IF($B519="","",MONTH($B519))</f>
        <v/>
      </c>
      <c r="W519" s="68">
        <f>IF($B519="","",DAY($B519))</f>
        <v/>
      </c>
      <c r="X519" s="68">
        <f>IF($B519="","",YEAR($B519)&amp;"-"&amp;TEXT(MONTH($B519),"00"))</f>
        <v/>
      </c>
      <c r="Y519" s="68">
        <f>IF(OR($H519="",$J519=""),"",$J519*IFERROR(VLOOKUP($H519,Maestro_SKU!$A$2:$P$500,12,FALSE),1))</f>
        <v/>
      </c>
    </row>
    <row r="520">
      <c r="A520" s="43" t="n"/>
      <c r="B520" s="54" t="n"/>
      <c r="C520" s="43" t="n"/>
      <c r="D520" s="43" t="n"/>
      <c r="E520" s="48">
        <f>IFERROR(VLOOKUP(D520,Clientes_PDV!$A$2:$J$250,2,FALSE),"")</f>
        <v/>
      </c>
      <c r="F520" s="48">
        <f>IFERROR(VLOOKUP(D520,Clientes_PDV!$A$2:$J$250,3,FALSE),"")</f>
        <v/>
      </c>
      <c r="G520" s="48">
        <f>IFERROR(VLOOKUP(D520,Clientes_PDV!$A$2:$J$250,4,FALSE),"")</f>
        <v/>
      </c>
      <c r="H520" s="43" t="n"/>
      <c r="I520" s="48">
        <f>IFERROR(VLOOKUP(H520,Maestro_SKU!$A$2:$P$500,2,FALSE),"")</f>
        <v/>
      </c>
      <c r="J520" s="55" t="n"/>
      <c r="K520" s="44" t="n"/>
      <c r="L520" s="51">
        <f>IF(OR(J520="",K520=""),"",J520*K520)</f>
        <v/>
      </c>
      <c r="M520" s="51">
        <f>IF(L520="","",L520*Inicio!$B$13)</f>
        <v/>
      </c>
      <c r="N520" s="51">
        <f>IF(L520="","",L520+M520)</f>
        <v/>
      </c>
      <c r="O520" s="54" t="n"/>
      <c r="P520" s="43" t="n"/>
      <c r="Q520" s="44" t="n"/>
      <c r="R520" s="51">
        <f>IF(N520="","",MAX(N520-Q520,0))</f>
        <v/>
      </c>
      <c r="S520" s="48">
        <f>IF(A520="","",IF(OR(P520="Pagada",R520=0),"Pagada",IF(O520&lt;TODAY(),"Vencida",IF(O520&lt;=TODAY()+Inicio!$B$19,"Próxima a vencer","Vigente"))))</f>
        <v/>
      </c>
      <c r="T520" s="43" t="n"/>
      <c r="U520" s="68">
        <f>IF($B520="","",YEAR($B520))</f>
        <v/>
      </c>
      <c r="V520" s="68">
        <f>IF($B520="","",MONTH($B520))</f>
        <v/>
      </c>
      <c r="W520" s="68">
        <f>IF($B520="","",DAY($B520))</f>
        <v/>
      </c>
      <c r="X520" s="68">
        <f>IF($B520="","",YEAR($B520)&amp;"-"&amp;TEXT(MONTH($B520),"00"))</f>
        <v/>
      </c>
      <c r="Y520" s="68">
        <f>IF(OR($H520="",$J520=""),"",$J520*IFERROR(VLOOKUP($H520,Maestro_SKU!$A$2:$P$500,12,FALSE),1))</f>
        <v/>
      </c>
    </row>
    <row r="521">
      <c r="A521" s="43" t="n"/>
      <c r="B521" s="54" t="n"/>
      <c r="C521" s="43" t="n"/>
      <c r="D521" s="43" t="n"/>
      <c r="E521" s="48">
        <f>IFERROR(VLOOKUP(D521,Clientes_PDV!$A$2:$J$250,2,FALSE),"")</f>
        <v/>
      </c>
      <c r="F521" s="48">
        <f>IFERROR(VLOOKUP(D521,Clientes_PDV!$A$2:$J$250,3,FALSE),"")</f>
        <v/>
      </c>
      <c r="G521" s="48">
        <f>IFERROR(VLOOKUP(D521,Clientes_PDV!$A$2:$J$250,4,FALSE),"")</f>
        <v/>
      </c>
      <c r="H521" s="43" t="n"/>
      <c r="I521" s="48">
        <f>IFERROR(VLOOKUP(H521,Maestro_SKU!$A$2:$P$500,2,FALSE),"")</f>
        <v/>
      </c>
      <c r="J521" s="55" t="n"/>
      <c r="K521" s="44" t="n"/>
      <c r="L521" s="51">
        <f>IF(OR(J521="",K521=""),"",J521*K521)</f>
        <v/>
      </c>
      <c r="M521" s="51">
        <f>IF(L521="","",L521*Inicio!$B$13)</f>
        <v/>
      </c>
      <c r="N521" s="51">
        <f>IF(L521="","",L521+M521)</f>
        <v/>
      </c>
      <c r="O521" s="54" t="n"/>
      <c r="P521" s="43" t="n"/>
      <c r="Q521" s="44" t="n"/>
      <c r="R521" s="51">
        <f>IF(N521="","",MAX(N521-Q521,0))</f>
        <v/>
      </c>
      <c r="S521" s="48">
        <f>IF(A521="","",IF(OR(P521="Pagada",R521=0),"Pagada",IF(O521&lt;TODAY(),"Vencida",IF(O521&lt;=TODAY()+Inicio!$B$19,"Próxima a vencer","Vigente"))))</f>
        <v/>
      </c>
      <c r="T521" s="43" t="n"/>
      <c r="U521" s="68">
        <f>IF($B521="","",YEAR($B521))</f>
        <v/>
      </c>
      <c r="V521" s="68">
        <f>IF($B521="","",MONTH($B521))</f>
        <v/>
      </c>
      <c r="W521" s="68">
        <f>IF($B521="","",DAY($B521))</f>
        <v/>
      </c>
      <c r="X521" s="68">
        <f>IF($B521="","",YEAR($B521)&amp;"-"&amp;TEXT(MONTH($B521),"00"))</f>
        <v/>
      </c>
      <c r="Y521" s="68">
        <f>IF(OR($H521="",$J521=""),"",$J521*IFERROR(VLOOKUP($H521,Maestro_SKU!$A$2:$P$500,12,FALSE),1))</f>
        <v/>
      </c>
    </row>
    <row r="522">
      <c r="A522" s="43" t="n"/>
      <c r="B522" s="54" t="n"/>
      <c r="C522" s="43" t="n"/>
      <c r="D522" s="43" t="n"/>
      <c r="E522" s="48">
        <f>IFERROR(VLOOKUP(D522,Clientes_PDV!$A$2:$J$250,2,FALSE),"")</f>
        <v/>
      </c>
      <c r="F522" s="48">
        <f>IFERROR(VLOOKUP(D522,Clientes_PDV!$A$2:$J$250,3,FALSE),"")</f>
        <v/>
      </c>
      <c r="G522" s="48">
        <f>IFERROR(VLOOKUP(D522,Clientes_PDV!$A$2:$J$250,4,FALSE),"")</f>
        <v/>
      </c>
      <c r="H522" s="43" t="n"/>
      <c r="I522" s="48">
        <f>IFERROR(VLOOKUP(H522,Maestro_SKU!$A$2:$P$500,2,FALSE),"")</f>
        <v/>
      </c>
      <c r="J522" s="55" t="n"/>
      <c r="K522" s="44" t="n"/>
      <c r="L522" s="51">
        <f>IF(OR(J522="",K522=""),"",J522*K522)</f>
        <v/>
      </c>
      <c r="M522" s="51">
        <f>IF(L522="","",L522*Inicio!$B$13)</f>
        <v/>
      </c>
      <c r="N522" s="51">
        <f>IF(L522="","",L522+M522)</f>
        <v/>
      </c>
      <c r="O522" s="54" t="n"/>
      <c r="P522" s="43" t="n"/>
      <c r="Q522" s="44" t="n"/>
      <c r="R522" s="51">
        <f>IF(N522="","",MAX(N522-Q522,0))</f>
        <v/>
      </c>
      <c r="S522" s="48">
        <f>IF(A522="","",IF(OR(P522="Pagada",R522=0),"Pagada",IF(O522&lt;TODAY(),"Vencida",IF(O522&lt;=TODAY()+Inicio!$B$19,"Próxima a vencer","Vigente"))))</f>
        <v/>
      </c>
      <c r="T522" s="43" t="n"/>
      <c r="U522" s="68">
        <f>IF($B522="","",YEAR($B522))</f>
        <v/>
      </c>
      <c r="V522" s="68">
        <f>IF($B522="","",MONTH($B522))</f>
        <v/>
      </c>
      <c r="W522" s="68">
        <f>IF($B522="","",DAY($B522))</f>
        <v/>
      </c>
      <c r="X522" s="68">
        <f>IF($B522="","",YEAR($B522)&amp;"-"&amp;TEXT(MONTH($B522),"00"))</f>
        <v/>
      </c>
      <c r="Y522" s="68">
        <f>IF(OR($H522="",$J522=""),"",$J522*IFERROR(VLOOKUP($H522,Maestro_SKU!$A$2:$P$500,12,FALSE),1))</f>
        <v/>
      </c>
    </row>
    <row r="523">
      <c r="A523" s="43" t="n"/>
      <c r="B523" s="54" t="n"/>
      <c r="C523" s="43" t="n"/>
      <c r="D523" s="43" t="n"/>
      <c r="E523" s="48">
        <f>IFERROR(VLOOKUP(D523,Clientes_PDV!$A$2:$J$250,2,FALSE),"")</f>
        <v/>
      </c>
      <c r="F523" s="48">
        <f>IFERROR(VLOOKUP(D523,Clientes_PDV!$A$2:$J$250,3,FALSE),"")</f>
        <v/>
      </c>
      <c r="G523" s="48">
        <f>IFERROR(VLOOKUP(D523,Clientes_PDV!$A$2:$J$250,4,FALSE),"")</f>
        <v/>
      </c>
      <c r="H523" s="43" t="n"/>
      <c r="I523" s="48">
        <f>IFERROR(VLOOKUP(H523,Maestro_SKU!$A$2:$P$500,2,FALSE),"")</f>
        <v/>
      </c>
      <c r="J523" s="55" t="n"/>
      <c r="K523" s="44" t="n"/>
      <c r="L523" s="51">
        <f>IF(OR(J523="",K523=""),"",J523*K523)</f>
        <v/>
      </c>
      <c r="M523" s="51">
        <f>IF(L523="","",L523*Inicio!$B$13)</f>
        <v/>
      </c>
      <c r="N523" s="51">
        <f>IF(L523="","",L523+M523)</f>
        <v/>
      </c>
      <c r="O523" s="54" t="n"/>
      <c r="P523" s="43" t="n"/>
      <c r="Q523" s="44" t="n"/>
      <c r="R523" s="51">
        <f>IF(N523="","",MAX(N523-Q523,0))</f>
        <v/>
      </c>
      <c r="S523" s="48">
        <f>IF(A523="","",IF(OR(P523="Pagada",R523=0),"Pagada",IF(O523&lt;TODAY(),"Vencida",IF(O523&lt;=TODAY()+Inicio!$B$19,"Próxima a vencer","Vigente"))))</f>
        <v/>
      </c>
      <c r="T523" s="43" t="n"/>
      <c r="U523" s="68">
        <f>IF($B523="","",YEAR($B523))</f>
        <v/>
      </c>
      <c r="V523" s="68">
        <f>IF($B523="","",MONTH($B523))</f>
        <v/>
      </c>
      <c r="W523" s="68">
        <f>IF($B523="","",DAY($B523))</f>
        <v/>
      </c>
      <c r="X523" s="68">
        <f>IF($B523="","",YEAR($B523)&amp;"-"&amp;TEXT(MONTH($B523),"00"))</f>
        <v/>
      </c>
      <c r="Y523" s="68">
        <f>IF(OR($H523="",$J523=""),"",$J523*IFERROR(VLOOKUP($H523,Maestro_SKU!$A$2:$P$500,12,FALSE),1))</f>
        <v/>
      </c>
    </row>
    <row r="524">
      <c r="A524" s="43" t="n"/>
      <c r="B524" s="54" t="n"/>
      <c r="C524" s="43" t="n"/>
      <c r="D524" s="43" t="n"/>
      <c r="E524" s="48">
        <f>IFERROR(VLOOKUP(D524,Clientes_PDV!$A$2:$J$250,2,FALSE),"")</f>
        <v/>
      </c>
      <c r="F524" s="48">
        <f>IFERROR(VLOOKUP(D524,Clientes_PDV!$A$2:$J$250,3,FALSE),"")</f>
        <v/>
      </c>
      <c r="G524" s="48">
        <f>IFERROR(VLOOKUP(D524,Clientes_PDV!$A$2:$J$250,4,FALSE),"")</f>
        <v/>
      </c>
      <c r="H524" s="43" t="n"/>
      <c r="I524" s="48">
        <f>IFERROR(VLOOKUP(H524,Maestro_SKU!$A$2:$P$500,2,FALSE),"")</f>
        <v/>
      </c>
      <c r="J524" s="55" t="n"/>
      <c r="K524" s="44" t="n"/>
      <c r="L524" s="51">
        <f>IF(OR(J524="",K524=""),"",J524*K524)</f>
        <v/>
      </c>
      <c r="M524" s="51">
        <f>IF(L524="","",L524*Inicio!$B$13)</f>
        <v/>
      </c>
      <c r="N524" s="51">
        <f>IF(L524="","",L524+M524)</f>
        <v/>
      </c>
      <c r="O524" s="54" t="n"/>
      <c r="P524" s="43" t="n"/>
      <c r="Q524" s="44" t="n"/>
      <c r="R524" s="51">
        <f>IF(N524="","",MAX(N524-Q524,0))</f>
        <v/>
      </c>
      <c r="S524" s="48">
        <f>IF(A524="","",IF(OR(P524="Pagada",R524=0),"Pagada",IF(O524&lt;TODAY(),"Vencida",IF(O524&lt;=TODAY()+Inicio!$B$19,"Próxima a vencer","Vigente"))))</f>
        <v/>
      </c>
      <c r="T524" s="43" t="n"/>
      <c r="U524" s="68">
        <f>IF($B524="","",YEAR($B524))</f>
        <v/>
      </c>
      <c r="V524" s="68">
        <f>IF($B524="","",MONTH($B524))</f>
        <v/>
      </c>
      <c r="W524" s="68">
        <f>IF($B524="","",DAY($B524))</f>
        <v/>
      </c>
      <c r="X524" s="68">
        <f>IF($B524="","",YEAR($B524)&amp;"-"&amp;TEXT(MONTH($B524),"00"))</f>
        <v/>
      </c>
      <c r="Y524" s="68">
        <f>IF(OR($H524="",$J524=""),"",$J524*IFERROR(VLOOKUP($H524,Maestro_SKU!$A$2:$P$500,12,FALSE),1))</f>
        <v/>
      </c>
    </row>
    <row r="525">
      <c r="A525" s="43" t="n"/>
      <c r="B525" s="54" t="n"/>
      <c r="C525" s="43" t="n"/>
      <c r="D525" s="43" t="n"/>
      <c r="E525" s="48">
        <f>IFERROR(VLOOKUP(D525,Clientes_PDV!$A$2:$J$250,2,FALSE),"")</f>
        <v/>
      </c>
      <c r="F525" s="48">
        <f>IFERROR(VLOOKUP(D525,Clientes_PDV!$A$2:$J$250,3,FALSE),"")</f>
        <v/>
      </c>
      <c r="G525" s="48">
        <f>IFERROR(VLOOKUP(D525,Clientes_PDV!$A$2:$J$250,4,FALSE),"")</f>
        <v/>
      </c>
      <c r="H525" s="43" t="n"/>
      <c r="I525" s="48">
        <f>IFERROR(VLOOKUP(H525,Maestro_SKU!$A$2:$P$500,2,FALSE),"")</f>
        <v/>
      </c>
      <c r="J525" s="55" t="n"/>
      <c r="K525" s="44" t="n"/>
      <c r="L525" s="51">
        <f>IF(OR(J525="",K525=""),"",J525*K525)</f>
        <v/>
      </c>
      <c r="M525" s="51">
        <f>IF(L525="","",L525*Inicio!$B$13)</f>
        <v/>
      </c>
      <c r="N525" s="51">
        <f>IF(L525="","",L525+M525)</f>
        <v/>
      </c>
      <c r="O525" s="54" t="n"/>
      <c r="P525" s="43" t="n"/>
      <c r="Q525" s="44" t="n"/>
      <c r="R525" s="51">
        <f>IF(N525="","",MAX(N525-Q525,0))</f>
        <v/>
      </c>
      <c r="S525" s="48">
        <f>IF(A525="","",IF(OR(P525="Pagada",R525=0),"Pagada",IF(O525&lt;TODAY(),"Vencida",IF(O525&lt;=TODAY()+Inicio!$B$19,"Próxima a vencer","Vigente"))))</f>
        <v/>
      </c>
      <c r="T525" s="43" t="n"/>
      <c r="U525" s="68">
        <f>IF($B525="","",YEAR($B525))</f>
        <v/>
      </c>
      <c r="V525" s="68">
        <f>IF($B525="","",MONTH($B525))</f>
        <v/>
      </c>
      <c r="W525" s="68">
        <f>IF($B525="","",DAY($B525))</f>
        <v/>
      </c>
      <c r="X525" s="68">
        <f>IF($B525="","",YEAR($B525)&amp;"-"&amp;TEXT(MONTH($B525),"00"))</f>
        <v/>
      </c>
      <c r="Y525" s="68">
        <f>IF(OR($H525="",$J525=""),"",$J525*IFERROR(VLOOKUP($H525,Maestro_SKU!$A$2:$P$500,12,FALSE),1))</f>
        <v/>
      </c>
    </row>
    <row r="526">
      <c r="A526" s="43" t="n"/>
      <c r="B526" s="54" t="n"/>
      <c r="C526" s="43" t="n"/>
      <c r="D526" s="43" t="n"/>
      <c r="E526" s="48">
        <f>IFERROR(VLOOKUP(D526,Clientes_PDV!$A$2:$J$250,2,FALSE),"")</f>
        <v/>
      </c>
      <c r="F526" s="48">
        <f>IFERROR(VLOOKUP(D526,Clientes_PDV!$A$2:$J$250,3,FALSE),"")</f>
        <v/>
      </c>
      <c r="G526" s="48">
        <f>IFERROR(VLOOKUP(D526,Clientes_PDV!$A$2:$J$250,4,FALSE),"")</f>
        <v/>
      </c>
      <c r="H526" s="43" t="n"/>
      <c r="I526" s="48">
        <f>IFERROR(VLOOKUP(H526,Maestro_SKU!$A$2:$P$500,2,FALSE),"")</f>
        <v/>
      </c>
      <c r="J526" s="55" t="n"/>
      <c r="K526" s="44" t="n"/>
      <c r="L526" s="51">
        <f>IF(OR(J526="",K526=""),"",J526*K526)</f>
        <v/>
      </c>
      <c r="M526" s="51">
        <f>IF(L526="","",L526*Inicio!$B$13)</f>
        <v/>
      </c>
      <c r="N526" s="51">
        <f>IF(L526="","",L526+M526)</f>
        <v/>
      </c>
      <c r="O526" s="54" t="n"/>
      <c r="P526" s="43" t="n"/>
      <c r="Q526" s="44" t="n"/>
      <c r="R526" s="51">
        <f>IF(N526="","",MAX(N526-Q526,0))</f>
        <v/>
      </c>
      <c r="S526" s="48">
        <f>IF(A526="","",IF(OR(P526="Pagada",R526=0),"Pagada",IF(O526&lt;TODAY(),"Vencida",IF(O526&lt;=TODAY()+Inicio!$B$19,"Próxima a vencer","Vigente"))))</f>
        <v/>
      </c>
      <c r="T526" s="43" t="n"/>
      <c r="U526" s="68">
        <f>IF($B526="","",YEAR($B526))</f>
        <v/>
      </c>
      <c r="V526" s="68">
        <f>IF($B526="","",MONTH($B526))</f>
        <v/>
      </c>
      <c r="W526" s="68">
        <f>IF($B526="","",DAY($B526))</f>
        <v/>
      </c>
      <c r="X526" s="68">
        <f>IF($B526="","",YEAR($B526)&amp;"-"&amp;TEXT(MONTH($B526),"00"))</f>
        <v/>
      </c>
      <c r="Y526" s="68">
        <f>IF(OR($H526="",$J526=""),"",$J526*IFERROR(VLOOKUP($H526,Maestro_SKU!$A$2:$P$500,12,FALSE),1))</f>
        <v/>
      </c>
    </row>
    <row r="527">
      <c r="A527" s="43" t="n"/>
      <c r="B527" s="54" t="n"/>
      <c r="C527" s="43" t="n"/>
      <c r="D527" s="43" t="n"/>
      <c r="E527" s="48">
        <f>IFERROR(VLOOKUP(D527,Clientes_PDV!$A$2:$J$250,2,FALSE),"")</f>
        <v/>
      </c>
      <c r="F527" s="48">
        <f>IFERROR(VLOOKUP(D527,Clientes_PDV!$A$2:$J$250,3,FALSE),"")</f>
        <v/>
      </c>
      <c r="G527" s="48">
        <f>IFERROR(VLOOKUP(D527,Clientes_PDV!$A$2:$J$250,4,FALSE),"")</f>
        <v/>
      </c>
      <c r="H527" s="43" t="n"/>
      <c r="I527" s="48">
        <f>IFERROR(VLOOKUP(H527,Maestro_SKU!$A$2:$P$500,2,FALSE),"")</f>
        <v/>
      </c>
      <c r="J527" s="55" t="n"/>
      <c r="K527" s="44" t="n"/>
      <c r="L527" s="51">
        <f>IF(OR(J527="",K527=""),"",J527*K527)</f>
        <v/>
      </c>
      <c r="M527" s="51">
        <f>IF(L527="","",L527*Inicio!$B$13)</f>
        <v/>
      </c>
      <c r="N527" s="51">
        <f>IF(L527="","",L527+M527)</f>
        <v/>
      </c>
      <c r="O527" s="54" t="n"/>
      <c r="P527" s="43" t="n"/>
      <c r="Q527" s="44" t="n"/>
      <c r="R527" s="51">
        <f>IF(N527="","",MAX(N527-Q527,0))</f>
        <v/>
      </c>
      <c r="S527" s="48">
        <f>IF(A527="","",IF(OR(P527="Pagada",R527=0),"Pagada",IF(O527&lt;TODAY(),"Vencida",IF(O527&lt;=TODAY()+Inicio!$B$19,"Próxima a vencer","Vigente"))))</f>
        <v/>
      </c>
      <c r="T527" s="43" t="n"/>
      <c r="U527" s="68">
        <f>IF($B527="","",YEAR($B527))</f>
        <v/>
      </c>
      <c r="V527" s="68">
        <f>IF($B527="","",MONTH($B527))</f>
        <v/>
      </c>
      <c r="W527" s="68">
        <f>IF($B527="","",DAY($B527))</f>
        <v/>
      </c>
      <c r="X527" s="68">
        <f>IF($B527="","",YEAR($B527)&amp;"-"&amp;TEXT(MONTH($B527),"00"))</f>
        <v/>
      </c>
      <c r="Y527" s="68">
        <f>IF(OR($H527="",$J527=""),"",$J527*IFERROR(VLOOKUP($H527,Maestro_SKU!$A$2:$P$500,12,FALSE),1))</f>
        <v/>
      </c>
    </row>
    <row r="528">
      <c r="A528" s="43" t="n"/>
      <c r="B528" s="54" t="n"/>
      <c r="C528" s="43" t="n"/>
      <c r="D528" s="43" t="n"/>
      <c r="E528" s="48">
        <f>IFERROR(VLOOKUP(D528,Clientes_PDV!$A$2:$J$250,2,FALSE),"")</f>
        <v/>
      </c>
      <c r="F528" s="48">
        <f>IFERROR(VLOOKUP(D528,Clientes_PDV!$A$2:$J$250,3,FALSE),"")</f>
        <v/>
      </c>
      <c r="G528" s="48">
        <f>IFERROR(VLOOKUP(D528,Clientes_PDV!$A$2:$J$250,4,FALSE),"")</f>
        <v/>
      </c>
      <c r="H528" s="43" t="n"/>
      <c r="I528" s="48">
        <f>IFERROR(VLOOKUP(H528,Maestro_SKU!$A$2:$P$500,2,FALSE),"")</f>
        <v/>
      </c>
      <c r="J528" s="55" t="n"/>
      <c r="K528" s="44" t="n"/>
      <c r="L528" s="51">
        <f>IF(OR(J528="",K528=""),"",J528*K528)</f>
        <v/>
      </c>
      <c r="M528" s="51">
        <f>IF(L528="","",L528*Inicio!$B$13)</f>
        <v/>
      </c>
      <c r="N528" s="51">
        <f>IF(L528="","",L528+M528)</f>
        <v/>
      </c>
      <c r="O528" s="54" t="n"/>
      <c r="P528" s="43" t="n"/>
      <c r="Q528" s="44" t="n"/>
      <c r="R528" s="51">
        <f>IF(N528="","",MAX(N528-Q528,0))</f>
        <v/>
      </c>
      <c r="S528" s="48">
        <f>IF(A528="","",IF(OR(P528="Pagada",R528=0),"Pagada",IF(O528&lt;TODAY(),"Vencida",IF(O528&lt;=TODAY()+Inicio!$B$19,"Próxima a vencer","Vigente"))))</f>
        <v/>
      </c>
      <c r="T528" s="43" t="n"/>
      <c r="U528" s="68">
        <f>IF($B528="","",YEAR($B528))</f>
        <v/>
      </c>
      <c r="V528" s="68">
        <f>IF($B528="","",MONTH($B528))</f>
        <v/>
      </c>
      <c r="W528" s="68">
        <f>IF($B528="","",DAY($B528))</f>
        <v/>
      </c>
      <c r="X528" s="68">
        <f>IF($B528="","",YEAR($B528)&amp;"-"&amp;TEXT(MONTH($B528),"00"))</f>
        <v/>
      </c>
      <c r="Y528" s="68">
        <f>IF(OR($H528="",$J528=""),"",$J528*IFERROR(VLOOKUP($H528,Maestro_SKU!$A$2:$P$500,12,FALSE),1))</f>
        <v/>
      </c>
    </row>
    <row r="529">
      <c r="A529" s="43" t="n"/>
      <c r="B529" s="54" t="n"/>
      <c r="C529" s="43" t="n"/>
      <c r="D529" s="43" t="n"/>
      <c r="E529" s="48">
        <f>IFERROR(VLOOKUP(D529,Clientes_PDV!$A$2:$J$250,2,FALSE),"")</f>
        <v/>
      </c>
      <c r="F529" s="48">
        <f>IFERROR(VLOOKUP(D529,Clientes_PDV!$A$2:$J$250,3,FALSE),"")</f>
        <v/>
      </c>
      <c r="G529" s="48">
        <f>IFERROR(VLOOKUP(D529,Clientes_PDV!$A$2:$J$250,4,FALSE),"")</f>
        <v/>
      </c>
      <c r="H529" s="43" t="n"/>
      <c r="I529" s="48">
        <f>IFERROR(VLOOKUP(H529,Maestro_SKU!$A$2:$P$500,2,FALSE),"")</f>
        <v/>
      </c>
      <c r="J529" s="55" t="n"/>
      <c r="K529" s="44" t="n"/>
      <c r="L529" s="51">
        <f>IF(OR(J529="",K529=""),"",J529*K529)</f>
        <v/>
      </c>
      <c r="M529" s="51">
        <f>IF(L529="","",L529*Inicio!$B$13)</f>
        <v/>
      </c>
      <c r="N529" s="51">
        <f>IF(L529="","",L529+M529)</f>
        <v/>
      </c>
      <c r="O529" s="54" t="n"/>
      <c r="P529" s="43" t="n"/>
      <c r="Q529" s="44" t="n"/>
      <c r="R529" s="51">
        <f>IF(N529="","",MAX(N529-Q529,0))</f>
        <v/>
      </c>
      <c r="S529" s="48">
        <f>IF(A529="","",IF(OR(P529="Pagada",R529=0),"Pagada",IF(O529&lt;TODAY(),"Vencida",IF(O529&lt;=TODAY()+Inicio!$B$19,"Próxima a vencer","Vigente"))))</f>
        <v/>
      </c>
      <c r="T529" s="43" t="n"/>
      <c r="U529" s="68">
        <f>IF($B529="","",YEAR($B529))</f>
        <v/>
      </c>
      <c r="V529" s="68">
        <f>IF($B529="","",MONTH($B529))</f>
        <v/>
      </c>
      <c r="W529" s="68">
        <f>IF($B529="","",DAY($B529))</f>
        <v/>
      </c>
      <c r="X529" s="68">
        <f>IF($B529="","",YEAR($B529)&amp;"-"&amp;TEXT(MONTH($B529),"00"))</f>
        <v/>
      </c>
      <c r="Y529" s="68">
        <f>IF(OR($H529="",$J529=""),"",$J529*IFERROR(VLOOKUP($H529,Maestro_SKU!$A$2:$P$500,12,FALSE),1))</f>
        <v/>
      </c>
    </row>
    <row r="530">
      <c r="A530" s="43" t="n"/>
      <c r="B530" s="54" t="n"/>
      <c r="C530" s="43" t="n"/>
      <c r="D530" s="43" t="n"/>
      <c r="E530" s="48">
        <f>IFERROR(VLOOKUP(D530,Clientes_PDV!$A$2:$J$250,2,FALSE),"")</f>
        <v/>
      </c>
      <c r="F530" s="48">
        <f>IFERROR(VLOOKUP(D530,Clientes_PDV!$A$2:$J$250,3,FALSE),"")</f>
        <v/>
      </c>
      <c r="G530" s="48">
        <f>IFERROR(VLOOKUP(D530,Clientes_PDV!$A$2:$J$250,4,FALSE),"")</f>
        <v/>
      </c>
      <c r="H530" s="43" t="n"/>
      <c r="I530" s="48">
        <f>IFERROR(VLOOKUP(H530,Maestro_SKU!$A$2:$P$500,2,FALSE),"")</f>
        <v/>
      </c>
      <c r="J530" s="55" t="n"/>
      <c r="K530" s="44" t="n"/>
      <c r="L530" s="51">
        <f>IF(OR(J530="",K530=""),"",J530*K530)</f>
        <v/>
      </c>
      <c r="M530" s="51">
        <f>IF(L530="","",L530*Inicio!$B$13)</f>
        <v/>
      </c>
      <c r="N530" s="51">
        <f>IF(L530="","",L530+M530)</f>
        <v/>
      </c>
      <c r="O530" s="54" t="n"/>
      <c r="P530" s="43" t="n"/>
      <c r="Q530" s="44" t="n"/>
      <c r="R530" s="51">
        <f>IF(N530="","",MAX(N530-Q530,0))</f>
        <v/>
      </c>
      <c r="S530" s="48">
        <f>IF(A530="","",IF(OR(P530="Pagada",R530=0),"Pagada",IF(O530&lt;TODAY(),"Vencida",IF(O530&lt;=TODAY()+Inicio!$B$19,"Próxima a vencer","Vigente"))))</f>
        <v/>
      </c>
      <c r="T530" s="43" t="n"/>
      <c r="U530" s="68">
        <f>IF($B530="","",YEAR($B530))</f>
        <v/>
      </c>
      <c r="V530" s="68">
        <f>IF($B530="","",MONTH($B530))</f>
        <v/>
      </c>
      <c r="W530" s="68">
        <f>IF($B530="","",DAY($B530))</f>
        <v/>
      </c>
      <c r="X530" s="68">
        <f>IF($B530="","",YEAR($B530)&amp;"-"&amp;TEXT(MONTH($B530),"00"))</f>
        <v/>
      </c>
      <c r="Y530" s="68">
        <f>IF(OR($H530="",$J530=""),"",$J530*IFERROR(VLOOKUP($H530,Maestro_SKU!$A$2:$P$500,12,FALSE),1))</f>
        <v/>
      </c>
    </row>
    <row r="531">
      <c r="A531" s="43" t="n"/>
      <c r="B531" s="54" t="n"/>
      <c r="C531" s="43" t="n"/>
      <c r="D531" s="43" t="n"/>
      <c r="E531" s="48">
        <f>IFERROR(VLOOKUP(D531,Clientes_PDV!$A$2:$J$250,2,FALSE),"")</f>
        <v/>
      </c>
      <c r="F531" s="48">
        <f>IFERROR(VLOOKUP(D531,Clientes_PDV!$A$2:$J$250,3,FALSE),"")</f>
        <v/>
      </c>
      <c r="G531" s="48">
        <f>IFERROR(VLOOKUP(D531,Clientes_PDV!$A$2:$J$250,4,FALSE),"")</f>
        <v/>
      </c>
      <c r="H531" s="43" t="n"/>
      <c r="I531" s="48">
        <f>IFERROR(VLOOKUP(H531,Maestro_SKU!$A$2:$P$500,2,FALSE),"")</f>
        <v/>
      </c>
      <c r="J531" s="55" t="n"/>
      <c r="K531" s="44" t="n"/>
      <c r="L531" s="51">
        <f>IF(OR(J531="",K531=""),"",J531*K531)</f>
        <v/>
      </c>
      <c r="M531" s="51">
        <f>IF(L531="","",L531*Inicio!$B$13)</f>
        <v/>
      </c>
      <c r="N531" s="51">
        <f>IF(L531="","",L531+M531)</f>
        <v/>
      </c>
      <c r="O531" s="54" t="n"/>
      <c r="P531" s="43" t="n"/>
      <c r="Q531" s="44" t="n"/>
      <c r="R531" s="51">
        <f>IF(N531="","",MAX(N531-Q531,0))</f>
        <v/>
      </c>
      <c r="S531" s="48">
        <f>IF(A531="","",IF(OR(P531="Pagada",R531=0),"Pagada",IF(O531&lt;TODAY(),"Vencida",IF(O531&lt;=TODAY()+Inicio!$B$19,"Próxima a vencer","Vigente"))))</f>
        <v/>
      </c>
      <c r="T531" s="43" t="n"/>
      <c r="U531" s="68">
        <f>IF($B531="","",YEAR($B531))</f>
        <v/>
      </c>
      <c r="V531" s="68">
        <f>IF($B531="","",MONTH($B531))</f>
        <v/>
      </c>
      <c r="W531" s="68">
        <f>IF($B531="","",DAY($B531))</f>
        <v/>
      </c>
      <c r="X531" s="68">
        <f>IF($B531="","",YEAR($B531)&amp;"-"&amp;TEXT(MONTH($B531),"00"))</f>
        <v/>
      </c>
      <c r="Y531" s="68">
        <f>IF(OR($H531="",$J531=""),"",$J531*IFERROR(VLOOKUP($H531,Maestro_SKU!$A$2:$P$500,12,FALSE),1))</f>
        <v/>
      </c>
    </row>
    <row r="532">
      <c r="A532" s="43" t="n"/>
      <c r="B532" s="54" t="n"/>
      <c r="C532" s="43" t="n"/>
      <c r="D532" s="43" t="n"/>
      <c r="E532" s="48">
        <f>IFERROR(VLOOKUP(D532,Clientes_PDV!$A$2:$J$250,2,FALSE),"")</f>
        <v/>
      </c>
      <c r="F532" s="48">
        <f>IFERROR(VLOOKUP(D532,Clientes_PDV!$A$2:$J$250,3,FALSE),"")</f>
        <v/>
      </c>
      <c r="G532" s="48">
        <f>IFERROR(VLOOKUP(D532,Clientes_PDV!$A$2:$J$250,4,FALSE),"")</f>
        <v/>
      </c>
      <c r="H532" s="43" t="n"/>
      <c r="I532" s="48">
        <f>IFERROR(VLOOKUP(H532,Maestro_SKU!$A$2:$P$500,2,FALSE),"")</f>
        <v/>
      </c>
      <c r="J532" s="55" t="n"/>
      <c r="K532" s="44" t="n"/>
      <c r="L532" s="51">
        <f>IF(OR(J532="",K532=""),"",J532*K532)</f>
        <v/>
      </c>
      <c r="M532" s="51">
        <f>IF(L532="","",L532*Inicio!$B$13)</f>
        <v/>
      </c>
      <c r="N532" s="51">
        <f>IF(L532="","",L532+M532)</f>
        <v/>
      </c>
      <c r="O532" s="54" t="n"/>
      <c r="P532" s="43" t="n"/>
      <c r="Q532" s="44" t="n"/>
      <c r="R532" s="51">
        <f>IF(N532="","",MAX(N532-Q532,0))</f>
        <v/>
      </c>
      <c r="S532" s="48">
        <f>IF(A532="","",IF(OR(P532="Pagada",R532=0),"Pagada",IF(O532&lt;TODAY(),"Vencida",IF(O532&lt;=TODAY()+Inicio!$B$19,"Próxima a vencer","Vigente"))))</f>
        <v/>
      </c>
      <c r="T532" s="43" t="n"/>
      <c r="U532" s="68">
        <f>IF($B532="","",YEAR($B532))</f>
        <v/>
      </c>
      <c r="V532" s="68">
        <f>IF($B532="","",MONTH($B532))</f>
        <v/>
      </c>
      <c r="W532" s="68">
        <f>IF($B532="","",DAY($B532))</f>
        <v/>
      </c>
      <c r="X532" s="68">
        <f>IF($B532="","",YEAR($B532)&amp;"-"&amp;TEXT(MONTH($B532),"00"))</f>
        <v/>
      </c>
      <c r="Y532" s="68">
        <f>IF(OR($H532="",$J532=""),"",$J532*IFERROR(VLOOKUP($H532,Maestro_SKU!$A$2:$P$500,12,FALSE),1))</f>
        <v/>
      </c>
    </row>
    <row r="533">
      <c r="A533" s="43" t="n"/>
      <c r="B533" s="54" t="n"/>
      <c r="C533" s="43" t="n"/>
      <c r="D533" s="43" t="n"/>
      <c r="E533" s="48">
        <f>IFERROR(VLOOKUP(D533,Clientes_PDV!$A$2:$J$250,2,FALSE),"")</f>
        <v/>
      </c>
      <c r="F533" s="48">
        <f>IFERROR(VLOOKUP(D533,Clientes_PDV!$A$2:$J$250,3,FALSE),"")</f>
        <v/>
      </c>
      <c r="G533" s="48">
        <f>IFERROR(VLOOKUP(D533,Clientes_PDV!$A$2:$J$250,4,FALSE),"")</f>
        <v/>
      </c>
      <c r="H533" s="43" t="n"/>
      <c r="I533" s="48">
        <f>IFERROR(VLOOKUP(H533,Maestro_SKU!$A$2:$P$500,2,FALSE),"")</f>
        <v/>
      </c>
      <c r="J533" s="55" t="n"/>
      <c r="K533" s="44" t="n"/>
      <c r="L533" s="51">
        <f>IF(OR(J533="",K533=""),"",J533*K533)</f>
        <v/>
      </c>
      <c r="M533" s="51">
        <f>IF(L533="","",L533*Inicio!$B$13)</f>
        <v/>
      </c>
      <c r="N533" s="51">
        <f>IF(L533="","",L533+M533)</f>
        <v/>
      </c>
      <c r="O533" s="54" t="n"/>
      <c r="P533" s="43" t="n"/>
      <c r="Q533" s="44" t="n"/>
      <c r="R533" s="51">
        <f>IF(N533="","",MAX(N533-Q533,0))</f>
        <v/>
      </c>
      <c r="S533" s="48">
        <f>IF(A533="","",IF(OR(P533="Pagada",R533=0),"Pagada",IF(O533&lt;TODAY(),"Vencida",IF(O533&lt;=TODAY()+Inicio!$B$19,"Próxima a vencer","Vigente"))))</f>
        <v/>
      </c>
      <c r="T533" s="43" t="n"/>
      <c r="U533" s="68">
        <f>IF($B533="","",YEAR($B533))</f>
        <v/>
      </c>
      <c r="V533" s="68">
        <f>IF($B533="","",MONTH($B533))</f>
        <v/>
      </c>
      <c r="W533" s="68">
        <f>IF($B533="","",DAY($B533))</f>
        <v/>
      </c>
      <c r="X533" s="68">
        <f>IF($B533="","",YEAR($B533)&amp;"-"&amp;TEXT(MONTH($B533),"00"))</f>
        <v/>
      </c>
      <c r="Y533" s="68">
        <f>IF(OR($H533="",$J533=""),"",$J533*IFERROR(VLOOKUP($H533,Maestro_SKU!$A$2:$P$500,12,FALSE),1))</f>
        <v/>
      </c>
    </row>
    <row r="534">
      <c r="A534" s="43" t="n"/>
      <c r="B534" s="54" t="n"/>
      <c r="C534" s="43" t="n"/>
      <c r="D534" s="43" t="n"/>
      <c r="E534" s="48">
        <f>IFERROR(VLOOKUP(D534,Clientes_PDV!$A$2:$J$250,2,FALSE),"")</f>
        <v/>
      </c>
      <c r="F534" s="48">
        <f>IFERROR(VLOOKUP(D534,Clientes_PDV!$A$2:$J$250,3,FALSE),"")</f>
        <v/>
      </c>
      <c r="G534" s="48">
        <f>IFERROR(VLOOKUP(D534,Clientes_PDV!$A$2:$J$250,4,FALSE),"")</f>
        <v/>
      </c>
      <c r="H534" s="43" t="n"/>
      <c r="I534" s="48">
        <f>IFERROR(VLOOKUP(H534,Maestro_SKU!$A$2:$P$500,2,FALSE),"")</f>
        <v/>
      </c>
      <c r="J534" s="55" t="n"/>
      <c r="K534" s="44" t="n"/>
      <c r="L534" s="51">
        <f>IF(OR(J534="",K534=""),"",J534*K534)</f>
        <v/>
      </c>
      <c r="M534" s="51">
        <f>IF(L534="","",L534*Inicio!$B$13)</f>
        <v/>
      </c>
      <c r="N534" s="51">
        <f>IF(L534="","",L534+M534)</f>
        <v/>
      </c>
      <c r="O534" s="54" t="n"/>
      <c r="P534" s="43" t="n"/>
      <c r="Q534" s="44" t="n"/>
      <c r="R534" s="51">
        <f>IF(N534="","",MAX(N534-Q534,0))</f>
        <v/>
      </c>
      <c r="S534" s="48">
        <f>IF(A534="","",IF(OR(P534="Pagada",R534=0),"Pagada",IF(O534&lt;TODAY(),"Vencida",IF(O534&lt;=TODAY()+Inicio!$B$19,"Próxima a vencer","Vigente"))))</f>
        <v/>
      </c>
      <c r="T534" s="43" t="n"/>
      <c r="U534" s="68">
        <f>IF($B534="","",YEAR($B534))</f>
        <v/>
      </c>
      <c r="V534" s="68">
        <f>IF($B534="","",MONTH($B534))</f>
        <v/>
      </c>
      <c r="W534" s="68">
        <f>IF($B534="","",DAY($B534))</f>
        <v/>
      </c>
      <c r="X534" s="68">
        <f>IF($B534="","",YEAR($B534)&amp;"-"&amp;TEXT(MONTH($B534),"00"))</f>
        <v/>
      </c>
      <c r="Y534" s="68">
        <f>IF(OR($H534="",$J534=""),"",$J534*IFERROR(VLOOKUP($H534,Maestro_SKU!$A$2:$P$500,12,FALSE),1))</f>
        <v/>
      </c>
    </row>
    <row r="535">
      <c r="A535" s="43" t="n"/>
      <c r="B535" s="54" t="n"/>
      <c r="C535" s="43" t="n"/>
      <c r="D535" s="43" t="n"/>
      <c r="E535" s="48">
        <f>IFERROR(VLOOKUP(D535,Clientes_PDV!$A$2:$J$250,2,FALSE),"")</f>
        <v/>
      </c>
      <c r="F535" s="48">
        <f>IFERROR(VLOOKUP(D535,Clientes_PDV!$A$2:$J$250,3,FALSE),"")</f>
        <v/>
      </c>
      <c r="G535" s="48">
        <f>IFERROR(VLOOKUP(D535,Clientes_PDV!$A$2:$J$250,4,FALSE),"")</f>
        <v/>
      </c>
      <c r="H535" s="43" t="n"/>
      <c r="I535" s="48">
        <f>IFERROR(VLOOKUP(H535,Maestro_SKU!$A$2:$P$500,2,FALSE),"")</f>
        <v/>
      </c>
      <c r="J535" s="55" t="n"/>
      <c r="K535" s="44" t="n"/>
      <c r="L535" s="51">
        <f>IF(OR(J535="",K535=""),"",J535*K535)</f>
        <v/>
      </c>
      <c r="M535" s="51">
        <f>IF(L535="","",L535*Inicio!$B$13)</f>
        <v/>
      </c>
      <c r="N535" s="51">
        <f>IF(L535="","",L535+M535)</f>
        <v/>
      </c>
      <c r="O535" s="54" t="n"/>
      <c r="P535" s="43" t="n"/>
      <c r="Q535" s="44" t="n"/>
      <c r="R535" s="51">
        <f>IF(N535="","",MAX(N535-Q535,0))</f>
        <v/>
      </c>
      <c r="S535" s="48">
        <f>IF(A535="","",IF(OR(P535="Pagada",R535=0),"Pagada",IF(O535&lt;TODAY(),"Vencida",IF(O535&lt;=TODAY()+Inicio!$B$19,"Próxima a vencer","Vigente"))))</f>
        <v/>
      </c>
      <c r="T535" s="43" t="n"/>
      <c r="U535" s="68">
        <f>IF($B535="","",YEAR($B535))</f>
        <v/>
      </c>
      <c r="V535" s="68">
        <f>IF($B535="","",MONTH($B535))</f>
        <v/>
      </c>
      <c r="W535" s="68">
        <f>IF($B535="","",DAY($B535))</f>
        <v/>
      </c>
      <c r="X535" s="68">
        <f>IF($B535="","",YEAR($B535)&amp;"-"&amp;TEXT(MONTH($B535),"00"))</f>
        <v/>
      </c>
      <c r="Y535" s="68">
        <f>IF(OR($H535="",$J535=""),"",$J535*IFERROR(VLOOKUP($H535,Maestro_SKU!$A$2:$P$500,12,FALSE),1))</f>
        <v/>
      </c>
    </row>
    <row r="536">
      <c r="A536" s="43" t="n"/>
      <c r="B536" s="54" t="n"/>
      <c r="C536" s="43" t="n"/>
      <c r="D536" s="43" t="n"/>
      <c r="E536" s="48">
        <f>IFERROR(VLOOKUP(D536,Clientes_PDV!$A$2:$J$250,2,FALSE),"")</f>
        <v/>
      </c>
      <c r="F536" s="48">
        <f>IFERROR(VLOOKUP(D536,Clientes_PDV!$A$2:$J$250,3,FALSE),"")</f>
        <v/>
      </c>
      <c r="G536" s="48">
        <f>IFERROR(VLOOKUP(D536,Clientes_PDV!$A$2:$J$250,4,FALSE),"")</f>
        <v/>
      </c>
      <c r="H536" s="43" t="n"/>
      <c r="I536" s="48">
        <f>IFERROR(VLOOKUP(H536,Maestro_SKU!$A$2:$P$500,2,FALSE),"")</f>
        <v/>
      </c>
      <c r="J536" s="55" t="n"/>
      <c r="K536" s="44" t="n"/>
      <c r="L536" s="51">
        <f>IF(OR(J536="",K536=""),"",J536*K536)</f>
        <v/>
      </c>
      <c r="M536" s="51">
        <f>IF(L536="","",L536*Inicio!$B$13)</f>
        <v/>
      </c>
      <c r="N536" s="51">
        <f>IF(L536="","",L536+M536)</f>
        <v/>
      </c>
      <c r="O536" s="54" t="n"/>
      <c r="P536" s="43" t="n"/>
      <c r="Q536" s="44" t="n"/>
      <c r="R536" s="51">
        <f>IF(N536="","",MAX(N536-Q536,0))</f>
        <v/>
      </c>
      <c r="S536" s="48">
        <f>IF(A536="","",IF(OR(P536="Pagada",R536=0),"Pagada",IF(O536&lt;TODAY(),"Vencida",IF(O536&lt;=TODAY()+Inicio!$B$19,"Próxima a vencer","Vigente"))))</f>
        <v/>
      </c>
      <c r="T536" s="43" t="n"/>
      <c r="U536" s="68">
        <f>IF($B536="","",YEAR($B536))</f>
        <v/>
      </c>
      <c r="V536" s="68">
        <f>IF($B536="","",MONTH($B536))</f>
        <v/>
      </c>
      <c r="W536" s="68">
        <f>IF($B536="","",DAY($B536))</f>
        <v/>
      </c>
      <c r="X536" s="68">
        <f>IF($B536="","",YEAR($B536)&amp;"-"&amp;TEXT(MONTH($B536),"00"))</f>
        <v/>
      </c>
      <c r="Y536" s="68">
        <f>IF(OR($H536="",$J536=""),"",$J536*IFERROR(VLOOKUP($H536,Maestro_SKU!$A$2:$P$500,12,FALSE),1))</f>
        <v/>
      </c>
    </row>
    <row r="537">
      <c r="A537" s="43" t="n"/>
      <c r="B537" s="54" t="n"/>
      <c r="C537" s="43" t="n"/>
      <c r="D537" s="43" t="n"/>
      <c r="E537" s="48">
        <f>IFERROR(VLOOKUP(D537,Clientes_PDV!$A$2:$J$250,2,FALSE),"")</f>
        <v/>
      </c>
      <c r="F537" s="48">
        <f>IFERROR(VLOOKUP(D537,Clientes_PDV!$A$2:$J$250,3,FALSE),"")</f>
        <v/>
      </c>
      <c r="G537" s="48">
        <f>IFERROR(VLOOKUP(D537,Clientes_PDV!$A$2:$J$250,4,FALSE),"")</f>
        <v/>
      </c>
      <c r="H537" s="43" t="n"/>
      <c r="I537" s="48">
        <f>IFERROR(VLOOKUP(H537,Maestro_SKU!$A$2:$P$500,2,FALSE),"")</f>
        <v/>
      </c>
      <c r="J537" s="55" t="n"/>
      <c r="K537" s="44" t="n"/>
      <c r="L537" s="51">
        <f>IF(OR(J537="",K537=""),"",J537*K537)</f>
        <v/>
      </c>
      <c r="M537" s="51">
        <f>IF(L537="","",L537*Inicio!$B$13)</f>
        <v/>
      </c>
      <c r="N537" s="51">
        <f>IF(L537="","",L537+M537)</f>
        <v/>
      </c>
      <c r="O537" s="54" t="n"/>
      <c r="P537" s="43" t="n"/>
      <c r="Q537" s="44" t="n"/>
      <c r="R537" s="51">
        <f>IF(N537="","",MAX(N537-Q537,0))</f>
        <v/>
      </c>
      <c r="S537" s="48">
        <f>IF(A537="","",IF(OR(P537="Pagada",R537=0),"Pagada",IF(O537&lt;TODAY(),"Vencida",IF(O537&lt;=TODAY()+Inicio!$B$19,"Próxima a vencer","Vigente"))))</f>
        <v/>
      </c>
      <c r="T537" s="43" t="n"/>
      <c r="U537" s="68">
        <f>IF($B537="","",YEAR($B537))</f>
        <v/>
      </c>
      <c r="V537" s="68">
        <f>IF($B537="","",MONTH($B537))</f>
        <v/>
      </c>
      <c r="W537" s="68">
        <f>IF($B537="","",DAY($B537))</f>
        <v/>
      </c>
      <c r="X537" s="68">
        <f>IF($B537="","",YEAR($B537)&amp;"-"&amp;TEXT(MONTH($B537),"00"))</f>
        <v/>
      </c>
      <c r="Y537" s="68">
        <f>IF(OR($H537="",$J537=""),"",$J537*IFERROR(VLOOKUP($H537,Maestro_SKU!$A$2:$P$500,12,FALSE),1))</f>
        <v/>
      </c>
    </row>
    <row r="538">
      <c r="A538" s="43" t="n"/>
      <c r="B538" s="54" t="n"/>
      <c r="C538" s="43" t="n"/>
      <c r="D538" s="43" t="n"/>
      <c r="E538" s="48">
        <f>IFERROR(VLOOKUP(D538,Clientes_PDV!$A$2:$J$250,2,FALSE),"")</f>
        <v/>
      </c>
      <c r="F538" s="48">
        <f>IFERROR(VLOOKUP(D538,Clientes_PDV!$A$2:$J$250,3,FALSE),"")</f>
        <v/>
      </c>
      <c r="G538" s="48">
        <f>IFERROR(VLOOKUP(D538,Clientes_PDV!$A$2:$J$250,4,FALSE),"")</f>
        <v/>
      </c>
      <c r="H538" s="43" t="n"/>
      <c r="I538" s="48">
        <f>IFERROR(VLOOKUP(H538,Maestro_SKU!$A$2:$P$500,2,FALSE),"")</f>
        <v/>
      </c>
      <c r="J538" s="55" t="n"/>
      <c r="K538" s="44" t="n"/>
      <c r="L538" s="51">
        <f>IF(OR(J538="",K538=""),"",J538*K538)</f>
        <v/>
      </c>
      <c r="M538" s="51">
        <f>IF(L538="","",L538*Inicio!$B$13)</f>
        <v/>
      </c>
      <c r="N538" s="51">
        <f>IF(L538="","",L538+M538)</f>
        <v/>
      </c>
      <c r="O538" s="54" t="n"/>
      <c r="P538" s="43" t="n"/>
      <c r="Q538" s="44" t="n"/>
      <c r="R538" s="51">
        <f>IF(N538="","",MAX(N538-Q538,0))</f>
        <v/>
      </c>
      <c r="S538" s="48">
        <f>IF(A538="","",IF(OR(P538="Pagada",R538=0),"Pagada",IF(O538&lt;TODAY(),"Vencida",IF(O538&lt;=TODAY()+Inicio!$B$19,"Próxima a vencer","Vigente"))))</f>
        <v/>
      </c>
      <c r="T538" s="43" t="n"/>
      <c r="U538" s="68">
        <f>IF($B538="","",YEAR($B538))</f>
        <v/>
      </c>
      <c r="V538" s="68">
        <f>IF($B538="","",MONTH($B538))</f>
        <v/>
      </c>
      <c r="W538" s="68">
        <f>IF($B538="","",DAY($B538))</f>
        <v/>
      </c>
      <c r="X538" s="68">
        <f>IF($B538="","",YEAR($B538)&amp;"-"&amp;TEXT(MONTH($B538),"00"))</f>
        <v/>
      </c>
      <c r="Y538" s="68">
        <f>IF(OR($H538="",$J538=""),"",$J538*IFERROR(VLOOKUP($H538,Maestro_SKU!$A$2:$P$500,12,FALSE),1))</f>
        <v/>
      </c>
    </row>
    <row r="539">
      <c r="A539" s="43" t="n"/>
      <c r="B539" s="54" t="n"/>
      <c r="C539" s="43" t="n"/>
      <c r="D539" s="43" t="n"/>
      <c r="E539" s="48">
        <f>IFERROR(VLOOKUP(D539,Clientes_PDV!$A$2:$J$250,2,FALSE),"")</f>
        <v/>
      </c>
      <c r="F539" s="48">
        <f>IFERROR(VLOOKUP(D539,Clientes_PDV!$A$2:$J$250,3,FALSE),"")</f>
        <v/>
      </c>
      <c r="G539" s="48">
        <f>IFERROR(VLOOKUP(D539,Clientes_PDV!$A$2:$J$250,4,FALSE),"")</f>
        <v/>
      </c>
      <c r="H539" s="43" t="n"/>
      <c r="I539" s="48">
        <f>IFERROR(VLOOKUP(H539,Maestro_SKU!$A$2:$P$500,2,FALSE),"")</f>
        <v/>
      </c>
      <c r="J539" s="55" t="n"/>
      <c r="K539" s="44" t="n"/>
      <c r="L539" s="51">
        <f>IF(OR(J539="",K539=""),"",J539*K539)</f>
        <v/>
      </c>
      <c r="M539" s="51">
        <f>IF(L539="","",L539*Inicio!$B$13)</f>
        <v/>
      </c>
      <c r="N539" s="51">
        <f>IF(L539="","",L539+M539)</f>
        <v/>
      </c>
      <c r="O539" s="54" t="n"/>
      <c r="P539" s="43" t="n"/>
      <c r="Q539" s="44" t="n"/>
      <c r="R539" s="51">
        <f>IF(N539="","",MAX(N539-Q539,0))</f>
        <v/>
      </c>
      <c r="S539" s="48">
        <f>IF(A539="","",IF(OR(P539="Pagada",R539=0),"Pagada",IF(O539&lt;TODAY(),"Vencida",IF(O539&lt;=TODAY()+Inicio!$B$19,"Próxima a vencer","Vigente"))))</f>
        <v/>
      </c>
      <c r="T539" s="43" t="n"/>
      <c r="U539" s="68">
        <f>IF($B539="","",YEAR($B539))</f>
        <v/>
      </c>
      <c r="V539" s="68">
        <f>IF($B539="","",MONTH($B539))</f>
        <v/>
      </c>
      <c r="W539" s="68">
        <f>IF($B539="","",DAY($B539))</f>
        <v/>
      </c>
      <c r="X539" s="68">
        <f>IF($B539="","",YEAR($B539)&amp;"-"&amp;TEXT(MONTH($B539),"00"))</f>
        <v/>
      </c>
      <c r="Y539" s="68">
        <f>IF(OR($H539="",$J539=""),"",$J539*IFERROR(VLOOKUP($H539,Maestro_SKU!$A$2:$P$500,12,FALSE),1))</f>
        <v/>
      </c>
    </row>
    <row r="540">
      <c r="A540" s="43" t="n"/>
      <c r="B540" s="54" t="n"/>
      <c r="C540" s="43" t="n"/>
      <c r="D540" s="43" t="n"/>
      <c r="E540" s="48">
        <f>IFERROR(VLOOKUP(D540,Clientes_PDV!$A$2:$J$250,2,FALSE),"")</f>
        <v/>
      </c>
      <c r="F540" s="48">
        <f>IFERROR(VLOOKUP(D540,Clientes_PDV!$A$2:$J$250,3,FALSE),"")</f>
        <v/>
      </c>
      <c r="G540" s="48">
        <f>IFERROR(VLOOKUP(D540,Clientes_PDV!$A$2:$J$250,4,FALSE),"")</f>
        <v/>
      </c>
      <c r="H540" s="43" t="n"/>
      <c r="I540" s="48">
        <f>IFERROR(VLOOKUP(H540,Maestro_SKU!$A$2:$P$500,2,FALSE),"")</f>
        <v/>
      </c>
      <c r="J540" s="55" t="n"/>
      <c r="K540" s="44" t="n"/>
      <c r="L540" s="51">
        <f>IF(OR(J540="",K540=""),"",J540*K540)</f>
        <v/>
      </c>
      <c r="M540" s="51">
        <f>IF(L540="","",L540*Inicio!$B$13)</f>
        <v/>
      </c>
      <c r="N540" s="51">
        <f>IF(L540="","",L540+M540)</f>
        <v/>
      </c>
      <c r="O540" s="54" t="n"/>
      <c r="P540" s="43" t="n"/>
      <c r="Q540" s="44" t="n"/>
      <c r="R540" s="51">
        <f>IF(N540="","",MAX(N540-Q540,0))</f>
        <v/>
      </c>
      <c r="S540" s="48">
        <f>IF(A540="","",IF(OR(P540="Pagada",R540=0),"Pagada",IF(O540&lt;TODAY(),"Vencida",IF(O540&lt;=TODAY()+Inicio!$B$19,"Próxima a vencer","Vigente"))))</f>
        <v/>
      </c>
      <c r="T540" s="43" t="n"/>
      <c r="U540" s="68">
        <f>IF($B540="","",YEAR($B540))</f>
        <v/>
      </c>
      <c r="V540" s="68">
        <f>IF($B540="","",MONTH($B540))</f>
        <v/>
      </c>
      <c r="W540" s="68">
        <f>IF($B540="","",DAY($B540))</f>
        <v/>
      </c>
      <c r="X540" s="68">
        <f>IF($B540="","",YEAR($B540)&amp;"-"&amp;TEXT(MONTH($B540),"00"))</f>
        <v/>
      </c>
      <c r="Y540" s="68">
        <f>IF(OR($H540="",$J540=""),"",$J540*IFERROR(VLOOKUP($H540,Maestro_SKU!$A$2:$P$500,12,FALSE),1))</f>
        <v/>
      </c>
    </row>
    <row r="541">
      <c r="A541" s="43" t="n"/>
      <c r="B541" s="54" t="n"/>
      <c r="C541" s="43" t="n"/>
      <c r="D541" s="43" t="n"/>
      <c r="E541" s="48">
        <f>IFERROR(VLOOKUP(D541,Clientes_PDV!$A$2:$J$250,2,FALSE),"")</f>
        <v/>
      </c>
      <c r="F541" s="48">
        <f>IFERROR(VLOOKUP(D541,Clientes_PDV!$A$2:$J$250,3,FALSE),"")</f>
        <v/>
      </c>
      <c r="G541" s="48">
        <f>IFERROR(VLOOKUP(D541,Clientes_PDV!$A$2:$J$250,4,FALSE),"")</f>
        <v/>
      </c>
      <c r="H541" s="43" t="n"/>
      <c r="I541" s="48">
        <f>IFERROR(VLOOKUP(H541,Maestro_SKU!$A$2:$P$500,2,FALSE),"")</f>
        <v/>
      </c>
      <c r="J541" s="55" t="n"/>
      <c r="K541" s="44" t="n"/>
      <c r="L541" s="51">
        <f>IF(OR(J541="",K541=""),"",J541*K541)</f>
        <v/>
      </c>
      <c r="M541" s="51">
        <f>IF(L541="","",L541*Inicio!$B$13)</f>
        <v/>
      </c>
      <c r="N541" s="51">
        <f>IF(L541="","",L541+M541)</f>
        <v/>
      </c>
      <c r="O541" s="54" t="n"/>
      <c r="P541" s="43" t="n"/>
      <c r="Q541" s="44" t="n"/>
      <c r="R541" s="51">
        <f>IF(N541="","",MAX(N541-Q541,0))</f>
        <v/>
      </c>
      <c r="S541" s="48">
        <f>IF(A541="","",IF(OR(P541="Pagada",R541=0),"Pagada",IF(O541&lt;TODAY(),"Vencida",IF(O541&lt;=TODAY()+Inicio!$B$19,"Próxima a vencer","Vigente"))))</f>
        <v/>
      </c>
      <c r="T541" s="43" t="n"/>
      <c r="U541" s="68">
        <f>IF($B541="","",YEAR($B541))</f>
        <v/>
      </c>
      <c r="V541" s="68">
        <f>IF($B541="","",MONTH($B541))</f>
        <v/>
      </c>
      <c r="W541" s="68">
        <f>IF($B541="","",DAY($B541))</f>
        <v/>
      </c>
      <c r="X541" s="68">
        <f>IF($B541="","",YEAR($B541)&amp;"-"&amp;TEXT(MONTH($B541),"00"))</f>
        <v/>
      </c>
      <c r="Y541" s="68">
        <f>IF(OR($H541="",$J541=""),"",$J541*IFERROR(VLOOKUP($H541,Maestro_SKU!$A$2:$P$500,12,FALSE),1))</f>
        <v/>
      </c>
    </row>
    <row r="542">
      <c r="A542" s="43" t="n"/>
      <c r="B542" s="54" t="n"/>
      <c r="C542" s="43" t="n"/>
      <c r="D542" s="43" t="n"/>
      <c r="E542" s="48">
        <f>IFERROR(VLOOKUP(D542,Clientes_PDV!$A$2:$J$250,2,FALSE),"")</f>
        <v/>
      </c>
      <c r="F542" s="48">
        <f>IFERROR(VLOOKUP(D542,Clientes_PDV!$A$2:$J$250,3,FALSE),"")</f>
        <v/>
      </c>
      <c r="G542" s="48">
        <f>IFERROR(VLOOKUP(D542,Clientes_PDV!$A$2:$J$250,4,FALSE),"")</f>
        <v/>
      </c>
      <c r="H542" s="43" t="n"/>
      <c r="I542" s="48">
        <f>IFERROR(VLOOKUP(H542,Maestro_SKU!$A$2:$P$500,2,FALSE),"")</f>
        <v/>
      </c>
      <c r="J542" s="55" t="n"/>
      <c r="K542" s="44" t="n"/>
      <c r="L542" s="51">
        <f>IF(OR(J542="",K542=""),"",J542*K542)</f>
        <v/>
      </c>
      <c r="M542" s="51">
        <f>IF(L542="","",L542*Inicio!$B$13)</f>
        <v/>
      </c>
      <c r="N542" s="51">
        <f>IF(L542="","",L542+M542)</f>
        <v/>
      </c>
      <c r="O542" s="54" t="n"/>
      <c r="P542" s="43" t="n"/>
      <c r="Q542" s="44" t="n"/>
      <c r="R542" s="51">
        <f>IF(N542="","",MAX(N542-Q542,0))</f>
        <v/>
      </c>
      <c r="S542" s="48">
        <f>IF(A542="","",IF(OR(P542="Pagada",R542=0),"Pagada",IF(O542&lt;TODAY(),"Vencida",IF(O542&lt;=TODAY()+Inicio!$B$19,"Próxima a vencer","Vigente"))))</f>
        <v/>
      </c>
      <c r="T542" s="43" t="n"/>
      <c r="U542" s="68">
        <f>IF($B542="","",YEAR($B542))</f>
        <v/>
      </c>
      <c r="V542" s="68">
        <f>IF($B542="","",MONTH($B542))</f>
        <v/>
      </c>
      <c r="W542" s="68">
        <f>IF($B542="","",DAY($B542))</f>
        <v/>
      </c>
      <c r="X542" s="68">
        <f>IF($B542="","",YEAR($B542)&amp;"-"&amp;TEXT(MONTH($B542),"00"))</f>
        <v/>
      </c>
      <c r="Y542" s="68">
        <f>IF(OR($H542="",$J542=""),"",$J542*IFERROR(VLOOKUP($H542,Maestro_SKU!$A$2:$P$500,12,FALSE),1))</f>
        <v/>
      </c>
    </row>
    <row r="543">
      <c r="A543" s="43" t="n"/>
      <c r="B543" s="54" t="n"/>
      <c r="C543" s="43" t="n"/>
      <c r="D543" s="43" t="n"/>
      <c r="E543" s="48">
        <f>IFERROR(VLOOKUP(D543,Clientes_PDV!$A$2:$J$250,2,FALSE),"")</f>
        <v/>
      </c>
      <c r="F543" s="48">
        <f>IFERROR(VLOOKUP(D543,Clientes_PDV!$A$2:$J$250,3,FALSE),"")</f>
        <v/>
      </c>
      <c r="G543" s="48">
        <f>IFERROR(VLOOKUP(D543,Clientes_PDV!$A$2:$J$250,4,FALSE),"")</f>
        <v/>
      </c>
      <c r="H543" s="43" t="n"/>
      <c r="I543" s="48">
        <f>IFERROR(VLOOKUP(H543,Maestro_SKU!$A$2:$P$500,2,FALSE),"")</f>
        <v/>
      </c>
      <c r="J543" s="55" t="n"/>
      <c r="K543" s="44" t="n"/>
      <c r="L543" s="51">
        <f>IF(OR(J543="",K543=""),"",J543*K543)</f>
        <v/>
      </c>
      <c r="M543" s="51">
        <f>IF(L543="","",L543*Inicio!$B$13)</f>
        <v/>
      </c>
      <c r="N543" s="51">
        <f>IF(L543="","",L543+M543)</f>
        <v/>
      </c>
      <c r="O543" s="54" t="n"/>
      <c r="P543" s="43" t="n"/>
      <c r="Q543" s="44" t="n"/>
      <c r="R543" s="51">
        <f>IF(N543="","",MAX(N543-Q543,0))</f>
        <v/>
      </c>
      <c r="S543" s="48">
        <f>IF(A543="","",IF(OR(P543="Pagada",R543=0),"Pagada",IF(O543&lt;TODAY(),"Vencida",IF(O543&lt;=TODAY()+Inicio!$B$19,"Próxima a vencer","Vigente"))))</f>
        <v/>
      </c>
      <c r="T543" s="43" t="n"/>
      <c r="U543" s="68">
        <f>IF($B543="","",YEAR($B543))</f>
        <v/>
      </c>
      <c r="V543" s="68">
        <f>IF($B543="","",MONTH($B543))</f>
        <v/>
      </c>
      <c r="W543" s="68">
        <f>IF($B543="","",DAY($B543))</f>
        <v/>
      </c>
      <c r="X543" s="68">
        <f>IF($B543="","",YEAR($B543)&amp;"-"&amp;TEXT(MONTH($B543),"00"))</f>
        <v/>
      </c>
      <c r="Y543" s="68">
        <f>IF(OR($H543="",$J543=""),"",$J543*IFERROR(VLOOKUP($H543,Maestro_SKU!$A$2:$P$500,12,FALSE),1))</f>
        <v/>
      </c>
    </row>
    <row r="544">
      <c r="A544" s="43" t="n"/>
      <c r="B544" s="54" t="n"/>
      <c r="C544" s="43" t="n"/>
      <c r="D544" s="43" t="n"/>
      <c r="E544" s="48">
        <f>IFERROR(VLOOKUP(D544,Clientes_PDV!$A$2:$J$250,2,FALSE),"")</f>
        <v/>
      </c>
      <c r="F544" s="48">
        <f>IFERROR(VLOOKUP(D544,Clientes_PDV!$A$2:$J$250,3,FALSE),"")</f>
        <v/>
      </c>
      <c r="G544" s="48">
        <f>IFERROR(VLOOKUP(D544,Clientes_PDV!$A$2:$J$250,4,FALSE),"")</f>
        <v/>
      </c>
      <c r="H544" s="43" t="n"/>
      <c r="I544" s="48">
        <f>IFERROR(VLOOKUP(H544,Maestro_SKU!$A$2:$P$500,2,FALSE),"")</f>
        <v/>
      </c>
      <c r="J544" s="55" t="n"/>
      <c r="K544" s="44" t="n"/>
      <c r="L544" s="51">
        <f>IF(OR(J544="",K544=""),"",J544*K544)</f>
        <v/>
      </c>
      <c r="M544" s="51">
        <f>IF(L544="","",L544*Inicio!$B$13)</f>
        <v/>
      </c>
      <c r="N544" s="51">
        <f>IF(L544="","",L544+M544)</f>
        <v/>
      </c>
      <c r="O544" s="54" t="n"/>
      <c r="P544" s="43" t="n"/>
      <c r="Q544" s="44" t="n"/>
      <c r="R544" s="51">
        <f>IF(N544="","",MAX(N544-Q544,0))</f>
        <v/>
      </c>
      <c r="S544" s="48">
        <f>IF(A544="","",IF(OR(P544="Pagada",R544=0),"Pagada",IF(O544&lt;TODAY(),"Vencida",IF(O544&lt;=TODAY()+Inicio!$B$19,"Próxima a vencer","Vigente"))))</f>
        <v/>
      </c>
      <c r="T544" s="43" t="n"/>
      <c r="U544" s="68">
        <f>IF($B544="","",YEAR($B544))</f>
        <v/>
      </c>
      <c r="V544" s="68">
        <f>IF($B544="","",MONTH($B544))</f>
        <v/>
      </c>
      <c r="W544" s="68">
        <f>IF($B544="","",DAY($B544))</f>
        <v/>
      </c>
      <c r="X544" s="68">
        <f>IF($B544="","",YEAR($B544)&amp;"-"&amp;TEXT(MONTH($B544),"00"))</f>
        <v/>
      </c>
      <c r="Y544" s="68">
        <f>IF(OR($H544="",$J544=""),"",$J544*IFERROR(VLOOKUP($H544,Maestro_SKU!$A$2:$P$500,12,FALSE),1))</f>
        <v/>
      </c>
    </row>
    <row r="545">
      <c r="A545" s="43" t="n"/>
      <c r="B545" s="54" t="n"/>
      <c r="C545" s="43" t="n"/>
      <c r="D545" s="43" t="n"/>
      <c r="E545" s="48">
        <f>IFERROR(VLOOKUP(D545,Clientes_PDV!$A$2:$J$250,2,FALSE),"")</f>
        <v/>
      </c>
      <c r="F545" s="48">
        <f>IFERROR(VLOOKUP(D545,Clientes_PDV!$A$2:$J$250,3,FALSE),"")</f>
        <v/>
      </c>
      <c r="G545" s="48">
        <f>IFERROR(VLOOKUP(D545,Clientes_PDV!$A$2:$J$250,4,FALSE),"")</f>
        <v/>
      </c>
      <c r="H545" s="43" t="n"/>
      <c r="I545" s="48">
        <f>IFERROR(VLOOKUP(H545,Maestro_SKU!$A$2:$P$500,2,FALSE),"")</f>
        <v/>
      </c>
      <c r="J545" s="55" t="n"/>
      <c r="K545" s="44" t="n"/>
      <c r="L545" s="51">
        <f>IF(OR(J545="",K545=""),"",J545*K545)</f>
        <v/>
      </c>
      <c r="M545" s="51">
        <f>IF(L545="","",L545*Inicio!$B$13)</f>
        <v/>
      </c>
      <c r="N545" s="51">
        <f>IF(L545="","",L545+M545)</f>
        <v/>
      </c>
      <c r="O545" s="54" t="n"/>
      <c r="P545" s="43" t="n"/>
      <c r="Q545" s="44" t="n"/>
      <c r="R545" s="51">
        <f>IF(N545="","",MAX(N545-Q545,0))</f>
        <v/>
      </c>
      <c r="S545" s="48">
        <f>IF(A545="","",IF(OR(P545="Pagada",R545=0),"Pagada",IF(O545&lt;TODAY(),"Vencida",IF(O545&lt;=TODAY()+Inicio!$B$19,"Próxima a vencer","Vigente"))))</f>
        <v/>
      </c>
      <c r="T545" s="43" t="n"/>
      <c r="U545" s="68">
        <f>IF($B545="","",YEAR($B545))</f>
        <v/>
      </c>
      <c r="V545" s="68">
        <f>IF($B545="","",MONTH($B545))</f>
        <v/>
      </c>
      <c r="W545" s="68">
        <f>IF($B545="","",DAY($B545))</f>
        <v/>
      </c>
      <c r="X545" s="68">
        <f>IF($B545="","",YEAR($B545)&amp;"-"&amp;TEXT(MONTH($B545),"00"))</f>
        <v/>
      </c>
      <c r="Y545" s="68">
        <f>IF(OR($H545="",$J545=""),"",$J545*IFERROR(VLOOKUP($H545,Maestro_SKU!$A$2:$P$500,12,FALSE),1))</f>
        <v/>
      </c>
    </row>
    <row r="546">
      <c r="A546" s="43" t="n"/>
      <c r="B546" s="54" t="n"/>
      <c r="C546" s="43" t="n"/>
      <c r="D546" s="43" t="n"/>
      <c r="E546" s="48">
        <f>IFERROR(VLOOKUP(D546,Clientes_PDV!$A$2:$J$250,2,FALSE),"")</f>
        <v/>
      </c>
      <c r="F546" s="48">
        <f>IFERROR(VLOOKUP(D546,Clientes_PDV!$A$2:$J$250,3,FALSE),"")</f>
        <v/>
      </c>
      <c r="G546" s="48">
        <f>IFERROR(VLOOKUP(D546,Clientes_PDV!$A$2:$J$250,4,FALSE),"")</f>
        <v/>
      </c>
      <c r="H546" s="43" t="n"/>
      <c r="I546" s="48">
        <f>IFERROR(VLOOKUP(H546,Maestro_SKU!$A$2:$P$500,2,FALSE),"")</f>
        <v/>
      </c>
      <c r="J546" s="55" t="n"/>
      <c r="K546" s="44" t="n"/>
      <c r="L546" s="51">
        <f>IF(OR(J546="",K546=""),"",J546*K546)</f>
        <v/>
      </c>
      <c r="M546" s="51">
        <f>IF(L546="","",L546*Inicio!$B$13)</f>
        <v/>
      </c>
      <c r="N546" s="51">
        <f>IF(L546="","",L546+M546)</f>
        <v/>
      </c>
      <c r="O546" s="54" t="n"/>
      <c r="P546" s="43" t="n"/>
      <c r="Q546" s="44" t="n"/>
      <c r="R546" s="51">
        <f>IF(N546="","",MAX(N546-Q546,0))</f>
        <v/>
      </c>
      <c r="S546" s="48">
        <f>IF(A546="","",IF(OR(P546="Pagada",R546=0),"Pagada",IF(O546&lt;TODAY(),"Vencida",IF(O546&lt;=TODAY()+Inicio!$B$19,"Próxima a vencer","Vigente"))))</f>
        <v/>
      </c>
      <c r="T546" s="43" t="n"/>
      <c r="U546" s="68">
        <f>IF($B546="","",YEAR($B546))</f>
        <v/>
      </c>
      <c r="V546" s="68">
        <f>IF($B546="","",MONTH($B546))</f>
        <v/>
      </c>
      <c r="W546" s="68">
        <f>IF($B546="","",DAY($B546))</f>
        <v/>
      </c>
      <c r="X546" s="68">
        <f>IF($B546="","",YEAR($B546)&amp;"-"&amp;TEXT(MONTH($B546),"00"))</f>
        <v/>
      </c>
      <c r="Y546" s="68">
        <f>IF(OR($H546="",$J546=""),"",$J546*IFERROR(VLOOKUP($H546,Maestro_SKU!$A$2:$P$500,12,FALSE),1))</f>
        <v/>
      </c>
    </row>
    <row r="547">
      <c r="A547" s="43" t="n"/>
      <c r="B547" s="54" t="n"/>
      <c r="C547" s="43" t="n"/>
      <c r="D547" s="43" t="n"/>
      <c r="E547" s="48">
        <f>IFERROR(VLOOKUP(D547,Clientes_PDV!$A$2:$J$250,2,FALSE),"")</f>
        <v/>
      </c>
      <c r="F547" s="48">
        <f>IFERROR(VLOOKUP(D547,Clientes_PDV!$A$2:$J$250,3,FALSE),"")</f>
        <v/>
      </c>
      <c r="G547" s="48">
        <f>IFERROR(VLOOKUP(D547,Clientes_PDV!$A$2:$J$250,4,FALSE),"")</f>
        <v/>
      </c>
      <c r="H547" s="43" t="n"/>
      <c r="I547" s="48">
        <f>IFERROR(VLOOKUP(H547,Maestro_SKU!$A$2:$P$500,2,FALSE),"")</f>
        <v/>
      </c>
      <c r="J547" s="55" t="n"/>
      <c r="K547" s="44" t="n"/>
      <c r="L547" s="51">
        <f>IF(OR(J547="",K547=""),"",J547*K547)</f>
        <v/>
      </c>
      <c r="M547" s="51">
        <f>IF(L547="","",L547*Inicio!$B$13)</f>
        <v/>
      </c>
      <c r="N547" s="51">
        <f>IF(L547="","",L547+M547)</f>
        <v/>
      </c>
      <c r="O547" s="54" t="n"/>
      <c r="P547" s="43" t="n"/>
      <c r="Q547" s="44" t="n"/>
      <c r="R547" s="51">
        <f>IF(N547="","",MAX(N547-Q547,0))</f>
        <v/>
      </c>
      <c r="S547" s="48">
        <f>IF(A547="","",IF(OR(P547="Pagada",R547=0),"Pagada",IF(O547&lt;TODAY(),"Vencida",IF(O547&lt;=TODAY()+Inicio!$B$19,"Próxima a vencer","Vigente"))))</f>
        <v/>
      </c>
      <c r="T547" s="43" t="n"/>
      <c r="U547" s="68">
        <f>IF($B547="","",YEAR($B547))</f>
        <v/>
      </c>
      <c r="V547" s="68">
        <f>IF($B547="","",MONTH($B547))</f>
        <v/>
      </c>
      <c r="W547" s="68">
        <f>IF($B547="","",DAY($B547))</f>
        <v/>
      </c>
      <c r="X547" s="68">
        <f>IF($B547="","",YEAR($B547)&amp;"-"&amp;TEXT(MONTH($B547),"00"))</f>
        <v/>
      </c>
      <c r="Y547" s="68">
        <f>IF(OR($H547="",$J547=""),"",$J547*IFERROR(VLOOKUP($H547,Maestro_SKU!$A$2:$P$500,12,FALSE),1))</f>
        <v/>
      </c>
    </row>
    <row r="548">
      <c r="A548" s="43" t="n"/>
      <c r="B548" s="54" t="n"/>
      <c r="C548" s="43" t="n"/>
      <c r="D548" s="43" t="n"/>
      <c r="E548" s="48">
        <f>IFERROR(VLOOKUP(D548,Clientes_PDV!$A$2:$J$250,2,FALSE),"")</f>
        <v/>
      </c>
      <c r="F548" s="48">
        <f>IFERROR(VLOOKUP(D548,Clientes_PDV!$A$2:$J$250,3,FALSE),"")</f>
        <v/>
      </c>
      <c r="G548" s="48">
        <f>IFERROR(VLOOKUP(D548,Clientes_PDV!$A$2:$J$250,4,FALSE),"")</f>
        <v/>
      </c>
      <c r="H548" s="43" t="n"/>
      <c r="I548" s="48">
        <f>IFERROR(VLOOKUP(H548,Maestro_SKU!$A$2:$P$500,2,FALSE),"")</f>
        <v/>
      </c>
      <c r="J548" s="55" t="n"/>
      <c r="K548" s="44" t="n"/>
      <c r="L548" s="51">
        <f>IF(OR(J548="",K548=""),"",J548*K548)</f>
        <v/>
      </c>
      <c r="M548" s="51">
        <f>IF(L548="","",L548*Inicio!$B$13)</f>
        <v/>
      </c>
      <c r="N548" s="51">
        <f>IF(L548="","",L548+M548)</f>
        <v/>
      </c>
      <c r="O548" s="54" t="n"/>
      <c r="P548" s="43" t="n"/>
      <c r="Q548" s="44" t="n"/>
      <c r="R548" s="51">
        <f>IF(N548="","",MAX(N548-Q548,0))</f>
        <v/>
      </c>
      <c r="S548" s="48">
        <f>IF(A548="","",IF(OR(P548="Pagada",R548=0),"Pagada",IF(O548&lt;TODAY(),"Vencida",IF(O548&lt;=TODAY()+Inicio!$B$19,"Próxima a vencer","Vigente"))))</f>
        <v/>
      </c>
      <c r="T548" s="43" t="n"/>
      <c r="U548" s="68">
        <f>IF($B548="","",YEAR($B548))</f>
        <v/>
      </c>
      <c r="V548" s="68">
        <f>IF($B548="","",MONTH($B548))</f>
        <v/>
      </c>
      <c r="W548" s="68">
        <f>IF($B548="","",DAY($B548))</f>
        <v/>
      </c>
      <c r="X548" s="68">
        <f>IF($B548="","",YEAR($B548)&amp;"-"&amp;TEXT(MONTH($B548),"00"))</f>
        <v/>
      </c>
      <c r="Y548" s="68">
        <f>IF(OR($H548="",$J548=""),"",$J548*IFERROR(VLOOKUP($H548,Maestro_SKU!$A$2:$P$500,12,FALSE),1))</f>
        <v/>
      </c>
    </row>
    <row r="549">
      <c r="A549" s="43" t="n"/>
      <c r="B549" s="54" t="n"/>
      <c r="C549" s="43" t="n"/>
      <c r="D549" s="43" t="n"/>
      <c r="E549" s="48">
        <f>IFERROR(VLOOKUP(D549,Clientes_PDV!$A$2:$J$250,2,FALSE),"")</f>
        <v/>
      </c>
      <c r="F549" s="48">
        <f>IFERROR(VLOOKUP(D549,Clientes_PDV!$A$2:$J$250,3,FALSE),"")</f>
        <v/>
      </c>
      <c r="G549" s="48">
        <f>IFERROR(VLOOKUP(D549,Clientes_PDV!$A$2:$J$250,4,FALSE),"")</f>
        <v/>
      </c>
      <c r="H549" s="43" t="n"/>
      <c r="I549" s="48">
        <f>IFERROR(VLOOKUP(H549,Maestro_SKU!$A$2:$P$500,2,FALSE),"")</f>
        <v/>
      </c>
      <c r="J549" s="55" t="n"/>
      <c r="K549" s="44" t="n"/>
      <c r="L549" s="51">
        <f>IF(OR(J549="",K549=""),"",J549*K549)</f>
        <v/>
      </c>
      <c r="M549" s="51">
        <f>IF(L549="","",L549*Inicio!$B$13)</f>
        <v/>
      </c>
      <c r="N549" s="51">
        <f>IF(L549="","",L549+M549)</f>
        <v/>
      </c>
      <c r="O549" s="54" t="n"/>
      <c r="P549" s="43" t="n"/>
      <c r="Q549" s="44" t="n"/>
      <c r="R549" s="51">
        <f>IF(N549="","",MAX(N549-Q549,0))</f>
        <v/>
      </c>
      <c r="S549" s="48">
        <f>IF(A549="","",IF(OR(P549="Pagada",R549=0),"Pagada",IF(O549&lt;TODAY(),"Vencida",IF(O549&lt;=TODAY()+Inicio!$B$19,"Próxima a vencer","Vigente"))))</f>
        <v/>
      </c>
      <c r="T549" s="43" t="n"/>
      <c r="U549" s="68">
        <f>IF($B549="","",YEAR($B549))</f>
        <v/>
      </c>
      <c r="V549" s="68">
        <f>IF($B549="","",MONTH($B549))</f>
        <v/>
      </c>
      <c r="W549" s="68">
        <f>IF($B549="","",DAY($B549))</f>
        <v/>
      </c>
      <c r="X549" s="68">
        <f>IF($B549="","",YEAR($B549)&amp;"-"&amp;TEXT(MONTH($B549),"00"))</f>
        <v/>
      </c>
      <c r="Y549" s="68">
        <f>IF(OR($H549="",$J549=""),"",$J549*IFERROR(VLOOKUP($H549,Maestro_SKU!$A$2:$P$500,12,FALSE),1))</f>
        <v/>
      </c>
    </row>
    <row r="550">
      <c r="A550" s="43" t="n"/>
      <c r="B550" s="54" t="n"/>
      <c r="C550" s="43" t="n"/>
      <c r="D550" s="43" t="n"/>
      <c r="E550" s="48">
        <f>IFERROR(VLOOKUP(D550,Clientes_PDV!$A$2:$J$250,2,FALSE),"")</f>
        <v/>
      </c>
      <c r="F550" s="48">
        <f>IFERROR(VLOOKUP(D550,Clientes_PDV!$A$2:$J$250,3,FALSE),"")</f>
        <v/>
      </c>
      <c r="G550" s="48">
        <f>IFERROR(VLOOKUP(D550,Clientes_PDV!$A$2:$J$250,4,FALSE),"")</f>
        <v/>
      </c>
      <c r="H550" s="43" t="n"/>
      <c r="I550" s="48">
        <f>IFERROR(VLOOKUP(H550,Maestro_SKU!$A$2:$P$500,2,FALSE),"")</f>
        <v/>
      </c>
      <c r="J550" s="55" t="n"/>
      <c r="K550" s="44" t="n"/>
      <c r="L550" s="51">
        <f>IF(OR(J550="",K550=""),"",J550*K550)</f>
        <v/>
      </c>
      <c r="M550" s="51">
        <f>IF(L550="","",L550*Inicio!$B$13)</f>
        <v/>
      </c>
      <c r="N550" s="51">
        <f>IF(L550="","",L550+M550)</f>
        <v/>
      </c>
      <c r="O550" s="54" t="n"/>
      <c r="P550" s="43" t="n"/>
      <c r="Q550" s="44" t="n"/>
      <c r="R550" s="51">
        <f>IF(N550="","",MAX(N550-Q550,0))</f>
        <v/>
      </c>
      <c r="S550" s="48">
        <f>IF(A550="","",IF(OR(P550="Pagada",R550=0),"Pagada",IF(O550&lt;TODAY(),"Vencida",IF(O550&lt;=TODAY()+Inicio!$B$19,"Próxima a vencer","Vigente"))))</f>
        <v/>
      </c>
      <c r="T550" s="43" t="n"/>
      <c r="U550" s="68">
        <f>IF($B550="","",YEAR($B550))</f>
        <v/>
      </c>
      <c r="V550" s="68">
        <f>IF($B550="","",MONTH($B550))</f>
        <v/>
      </c>
      <c r="W550" s="68">
        <f>IF($B550="","",DAY($B550))</f>
        <v/>
      </c>
      <c r="X550" s="68">
        <f>IF($B550="","",YEAR($B550)&amp;"-"&amp;TEXT(MONTH($B550),"00"))</f>
        <v/>
      </c>
      <c r="Y550" s="68">
        <f>IF(OR($H550="",$J550=""),"",$J550*IFERROR(VLOOKUP($H550,Maestro_SKU!$A$2:$P$500,12,FALSE),1))</f>
        <v/>
      </c>
    </row>
    <row r="551">
      <c r="A551" s="43" t="n"/>
      <c r="B551" s="54" t="n"/>
      <c r="C551" s="43" t="n"/>
      <c r="D551" s="43" t="n"/>
      <c r="E551" s="48">
        <f>IFERROR(VLOOKUP(D551,Clientes_PDV!$A$2:$J$250,2,FALSE),"")</f>
        <v/>
      </c>
      <c r="F551" s="48">
        <f>IFERROR(VLOOKUP(D551,Clientes_PDV!$A$2:$J$250,3,FALSE),"")</f>
        <v/>
      </c>
      <c r="G551" s="48">
        <f>IFERROR(VLOOKUP(D551,Clientes_PDV!$A$2:$J$250,4,FALSE),"")</f>
        <v/>
      </c>
      <c r="H551" s="43" t="n"/>
      <c r="I551" s="48">
        <f>IFERROR(VLOOKUP(H551,Maestro_SKU!$A$2:$P$500,2,FALSE),"")</f>
        <v/>
      </c>
      <c r="J551" s="55" t="n"/>
      <c r="K551" s="44" t="n"/>
      <c r="L551" s="51">
        <f>IF(OR(J551="",K551=""),"",J551*K551)</f>
        <v/>
      </c>
      <c r="M551" s="51">
        <f>IF(L551="","",L551*Inicio!$B$13)</f>
        <v/>
      </c>
      <c r="N551" s="51">
        <f>IF(L551="","",L551+M551)</f>
        <v/>
      </c>
      <c r="O551" s="54" t="n"/>
      <c r="P551" s="43" t="n"/>
      <c r="Q551" s="44" t="n"/>
      <c r="R551" s="51">
        <f>IF(N551="","",MAX(N551-Q551,0))</f>
        <v/>
      </c>
      <c r="S551" s="48">
        <f>IF(A551="","",IF(OR(P551="Pagada",R551=0),"Pagada",IF(O551&lt;TODAY(),"Vencida",IF(O551&lt;=TODAY()+Inicio!$B$19,"Próxima a vencer","Vigente"))))</f>
        <v/>
      </c>
      <c r="T551" s="43" t="n"/>
      <c r="U551" s="68">
        <f>IF($B551="","",YEAR($B551))</f>
        <v/>
      </c>
      <c r="V551" s="68">
        <f>IF($B551="","",MONTH($B551))</f>
        <v/>
      </c>
      <c r="W551" s="68">
        <f>IF($B551="","",DAY($B551))</f>
        <v/>
      </c>
      <c r="X551" s="68">
        <f>IF($B551="","",YEAR($B551)&amp;"-"&amp;TEXT(MONTH($B551),"00"))</f>
        <v/>
      </c>
      <c r="Y551" s="68">
        <f>IF(OR($H551="",$J551=""),"",$J551*IFERROR(VLOOKUP($H551,Maestro_SKU!$A$2:$P$500,12,FALSE),1))</f>
        <v/>
      </c>
    </row>
    <row r="552">
      <c r="A552" s="43" t="n"/>
      <c r="B552" s="54" t="n"/>
      <c r="C552" s="43" t="n"/>
      <c r="D552" s="43" t="n"/>
      <c r="E552" s="48">
        <f>IFERROR(VLOOKUP(D552,Clientes_PDV!$A$2:$J$250,2,FALSE),"")</f>
        <v/>
      </c>
      <c r="F552" s="48">
        <f>IFERROR(VLOOKUP(D552,Clientes_PDV!$A$2:$J$250,3,FALSE),"")</f>
        <v/>
      </c>
      <c r="G552" s="48">
        <f>IFERROR(VLOOKUP(D552,Clientes_PDV!$A$2:$J$250,4,FALSE),"")</f>
        <v/>
      </c>
      <c r="H552" s="43" t="n"/>
      <c r="I552" s="48">
        <f>IFERROR(VLOOKUP(H552,Maestro_SKU!$A$2:$P$500,2,FALSE),"")</f>
        <v/>
      </c>
      <c r="J552" s="55" t="n"/>
      <c r="K552" s="44" t="n"/>
      <c r="L552" s="51">
        <f>IF(OR(J552="",K552=""),"",J552*K552)</f>
        <v/>
      </c>
      <c r="M552" s="51">
        <f>IF(L552="","",L552*Inicio!$B$13)</f>
        <v/>
      </c>
      <c r="N552" s="51">
        <f>IF(L552="","",L552+M552)</f>
        <v/>
      </c>
      <c r="O552" s="54" t="n"/>
      <c r="P552" s="43" t="n"/>
      <c r="Q552" s="44" t="n"/>
      <c r="R552" s="51">
        <f>IF(N552="","",MAX(N552-Q552,0))</f>
        <v/>
      </c>
      <c r="S552" s="48">
        <f>IF(A552="","",IF(OR(P552="Pagada",R552=0),"Pagada",IF(O552&lt;TODAY(),"Vencida",IF(O552&lt;=TODAY()+Inicio!$B$19,"Próxima a vencer","Vigente"))))</f>
        <v/>
      </c>
      <c r="T552" s="43" t="n"/>
      <c r="U552" s="68">
        <f>IF($B552="","",YEAR($B552))</f>
        <v/>
      </c>
      <c r="V552" s="68">
        <f>IF($B552="","",MONTH($B552))</f>
        <v/>
      </c>
      <c r="W552" s="68">
        <f>IF($B552="","",DAY($B552))</f>
        <v/>
      </c>
      <c r="X552" s="68">
        <f>IF($B552="","",YEAR($B552)&amp;"-"&amp;TEXT(MONTH($B552),"00"))</f>
        <v/>
      </c>
      <c r="Y552" s="68">
        <f>IF(OR($H552="",$J552=""),"",$J552*IFERROR(VLOOKUP($H552,Maestro_SKU!$A$2:$P$500,12,FALSE),1))</f>
        <v/>
      </c>
    </row>
    <row r="553">
      <c r="A553" s="43" t="n"/>
      <c r="B553" s="54" t="n"/>
      <c r="C553" s="43" t="n"/>
      <c r="D553" s="43" t="n"/>
      <c r="E553" s="48">
        <f>IFERROR(VLOOKUP(D553,Clientes_PDV!$A$2:$J$250,2,FALSE),"")</f>
        <v/>
      </c>
      <c r="F553" s="48">
        <f>IFERROR(VLOOKUP(D553,Clientes_PDV!$A$2:$J$250,3,FALSE),"")</f>
        <v/>
      </c>
      <c r="G553" s="48">
        <f>IFERROR(VLOOKUP(D553,Clientes_PDV!$A$2:$J$250,4,FALSE),"")</f>
        <v/>
      </c>
      <c r="H553" s="43" t="n"/>
      <c r="I553" s="48">
        <f>IFERROR(VLOOKUP(H553,Maestro_SKU!$A$2:$P$500,2,FALSE),"")</f>
        <v/>
      </c>
      <c r="J553" s="55" t="n"/>
      <c r="K553" s="44" t="n"/>
      <c r="L553" s="51">
        <f>IF(OR(J553="",K553=""),"",J553*K553)</f>
        <v/>
      </c>
      <c r="M553" s="51">
        <f>IF(L553="","",L553*Inicio!$B$13)</f>
        <v/>
      </c>
      <c r="N553" s="51">
        <f>IF(L553="","",L553+M553)</f>
        <v/>
      </c>
      <c r="O553" s="54" t="n"/>
      <c r="P553" s="43" t="n"/>
      <c r="Q553" s="44" t="n"/>
      <c r="R553" s="51">
        <f>IF(N553="","",MAX(N553-Q553,0))</f>
        <v/>
      </c>
      <c r="S553" s="48">
        <f>IF(A553="","",IF(OR(P553="Pagada",R553=0),"Pagada",IF(O553&lt;TODAY(),"Vencida",IF(O553&lt;=TODAY()+Inicio!$B$19,"Próxima a vencer","Vigente"))))</f>
        <v/>
      </c>
      <c r="T553" s="43" t="n"/>
      <c r="U553" s="68">
        <f>IF($B553="","",YEAR($B553))</f>
        <v/>
      </c>
      <c r="V553" s="68">
        <f>IF($B553="","",MONTH($B553))</f>
        <v/>
      </c>
      <c r="W553" s="68">
        <f>IF($B553="","",DAY($B553))</f>
        <v/>
      </c>
      <c r="X553" s="68">
        <f>IF($B553="","",YEAR($B553)&amp;"-"&amp;TEXT(MONTH($B553),"00"))</f>
        <v/>
      </c>
      <c r="Y553" s="68">
        <f>IF(OR($H553="",$J553=""),"",$J553*IFERROR(VLOOKUP($H553,Maestro_SKU!$A$2:$P$500,12,FALSE),1))</f>
        <v/>
      </c>
    </row>
    <row r="554">
      <c r="A554" s="43" t="n"/>
      <c r="B554" s="54" t="n"/>
      <c r="C554" s="43" t="n"/>
      <c r="D554" s="43" t="n"/>
      <c r="E554" s="48">
        <f>IFERROR(VLOOKUP(D554,Clientes_PDV!$A$2:$J$250,2,FALSE),"")</f>
        <v/>
      </c>
      <c r="F554" s="48">
        <f>IFERROR(VLOOKUP(D554,Clientes_PDV!$A$2:$J$250,3,FALSE),"")</f>
        <v/>
      </c>
      <c r="G554" s="48">
        <f>IFERROR(VLOOKUP(D554,Clientes_PDV!$A$2:$J$250,4,FALSE),"")</f>
        <v/>
      </c>
      <c r="H554" s="43" t="n"/>
      <c r="I554" s="48">
        <f>IFERROR(VLOOKUP(H554,Maestro_SKU!$A$2:$P$500,2,FALSE),"")</f>
        <v/>
      </c>
      <c r="J554" s="55" t="n"/>
      <c r="K554" s="44" t="n"/>
      <c r="L554" s="51">
        <f>IF(OR(J554="",K554=""),"",J554*K554)</f>
        <v/>
      </c>
      <c r="M554" s="51">
        <f>IF(L554="","",L554*Inicio!$B$13)</f>
        <v/>
      </c>
      <c r="N554" s="51">
        <f>IF(L554="","",L554+M554)</f>
        <v/>
      </c>
      <c r="O554" s="54" t="n"/>
      <c r="P554" s="43" t="n"/>
      <c r="Q554" s="44" t="n"/>
      <c r="R554" s="51">
        <f>IF(N554="","",MAX(N554-Q554,0))</f>
        <v/>
      </c>
      <c r="S554" s="48">
        <f>IF(A554="","",IF(OR(P554="Pagada",R554=0),"Pagada",IF(O554&lt;TODAY(),"Vencida",IF(O554&lt;=TODAY()+Inicio!$B$19,"Próxima a vencer","Vigente"))))</f>
        <v/>
      </c>
      <c r="T554" s="43" t="n"/>
      <c r="U554" s="68">
        <f>IF($B554="","",YEAR($B554))</f>
        <v/>
      </c>
      <c r="V554" s="68">
        <f>IF($B554="","",MONTH($B554))</f>
        <v/>
      </c>
      <c r="W554" s="68">
        <f>IF($B554="","",DAY($B554))</f>
        <v/>
      </c>
      <c r="X554" s="68">
        <f>IF($B554="","",YEAR($B554)&amp;"-"&amp;TEXT(MONTH($B554),"00"))</f>
        <v/>
      </c>
      <c r="Y554" s="68">
        <f>IF(OR($H554="",$J554=""),"",$J554*IFERROR(VLOOKUP($H554,Maestro_SKU!$A$2:$P$500,12,FALSE),1))</f>
        <v/>
      </c>
    </row>
    <row r="555">
      <c r="A555" s="43" t="n"/>
      <c r="B555" s="54" t="n"/>
      <c r="C555" s="43" t="n"/>
      <c r="D555" s="43" t="n"/>
      <c r="E555" s="48">
        <f>IFERROR(VLOOKUP(D555,Clientes_PDV!$A$2:$J$250,2,FALSE),"")</f>
        <v/>
      </c>
      <c r="F555" s="48">
        <f>IFERROR(VLOOKUP(D555,Clientes_PDV!$A$2:$J$250,3,FALSE),"")</f>
        <v/>
      </c>
      <c r="G555" s="48">
        <f>IFERROR(VLOOKUP(D555,Clientes_PDV!$A$2:$J$250,4,FALSE),"")</f>
        <v/>
      </c>
      <c r="H555" s="43" t="n"/>
      <c r="I555" s="48">
        <f>IFERROR(VLOOKUP(H555,Maestro_SKU!$A$2:$P$500,2,FALSE),"")</f>
        <v/>
      </c>
      <c r="J555" s="55" t="n"/>
      <c r="K555" s="44" t="n"/>
      <c r="L555" s="51">
        <f>IF(OR(J555="",K555=""),"",J555*K555)</f>
        <v/>
      </c>
      <c r="M555" s="51">
        <f>IF(L555="","",L555*Inicio!$B$13)</f>
        <v/>
      </c>
      <c r="N555" s="51">
        <f>IF(L555="","",L555+M555)</f>
        <v/>
      </c>
      <c r="O555" s="54" t="n"/>
      <c r="P555" s="43" t="n"/>
      <c r="Q555" s="44" t="n"/>
      <c r="R555" s="51">
        <f>IF(N555="","",MAX(N555-Q555,0))</f>
        <v/>
      </c>
      <c r="S555" s="48">
        <f>IF(A555="","",IF(OR(P555="Pagada",R555=0),"Pagada",IF(O555&lt;TODAY(),"Vencida",IF(O555&lt;=TODAY()+Inicio!$B$19,"Próxima a vencer","Vigente"))))</f>
        <v/>
      </c>
      <c r="T555" s="43" t="n"/>
      <c r="U555" s="68">
        <f>IF($B555="","",YEAR($B555))</f>
        <v/>
      </c>
      <c r="V555" s="68">
        <f>IF($B555="","",MONTH($B555))</f>
        <v/>
      </c>
      <c r="W555" s="68">
        <f>IF($B555="","",DAY($B555))</f>
        <v/>
      </c>
      <c r="X555" s="68">
        <f>IF($B555="","",YEAR($B555)&amp;"-"&amp;TEXT(MONTH($B555),"00"))</f>
        <v/>
      </c>
      <c r="Y555" s="68">
        <f>IF(OR($H555="",$J555=""),"",$J555*IFERROR(VLOOKUP($H555,Maestro_SKU!$A$2:$P$500,12,FALSE),1))</f>
        <v/>
      </c>
    </row>
    <row r="556">
      <c r="A556" s="43" t="n"/>
      <c r="B556" s="54" t="n"/>
      <c r="C556" s="43" t="n"/>
      <c r="D556" s="43" t="n"/>
      <c r="E556" s="48">
        <f>IFERROR(VLOOKUP(D556,Clientes_PDV!$A$2:$J$250,2,FALSE),"")</f>
        <v/>
      </c>
      <c r="F556" s="48">
        <f>IFERROR(VLOOKUP(D556,Clientes_PDV!$A$2:$J$250,3,FALSE),"")</f>
        <v/>
      </c>
      <c r="G556" s="48">
        <f>IFERROR(VLOOKUP(D556,Clientes_PDV!$A$2:$J$250,4,FALSE),"")</f>
        <v/>
      </c>
      <c r="H556" s="43" t="n"/>
      <c r="I556" s="48">
        <f>IFERROR(VLOOKUP(H556,Maestro_SKU!$A$2:$P$500,2,FALSE),"")</f>
        <v/>
      </c>
      <c r="J556" s="55" t="n"/>
      <c r="K556" s="44" t="n"/>
      <c r="L556" s="51">
        <f>IF(OR(J556="",K556=""),"",J556*K556)</f>
        <v/>
      </c>
      <c r="M556" s="51">
        <f>IF(L556="","",L556*Inicio!$B$13)</f>
        <v/>
      </c>
      <c r="N556" s="51">
        <f>IF(L556="","",L556+M556)</f>
        <v/>
      </c>
      <c r="O556" s="54" t="n"/>
      <c r="P556" s="43" t="n"/>
      <c r="Q556" s="44" t="n"/>
      <c r="R556" s="51">
        <f>IF(N556="","",MAX(N556-Q556,0))</f>
        <v/>
      </c>
      <c r="S556" s="48">
        <f>IF(A556="","",IF(OR(P556="Pagada",R556=0),"Pagada",IF(O556&lt;TODAY(),"Vencida",IF(O556&lt;=TODAY()+Inicio!$B$19,"Próxima a vencer","Vigente"))))</f>
        <v/>
      </c>
      <c r="T556" s="43" t="n"/>
      <c r="U556" s="68">
        <f>IF($B556="","",YEAR($B556))</f>
        <v/>
      </c>
      <c r="V556" s="68">
        <f>IF($B556="","",MONTH($B556))</f>
        <v/>
      </c>
      <c r="W556" s="68">
        <f>IF($B556="","",DAY($B556))</f>
        <v/>
      </c>
      <c r="X556" s="68">
        <f>IF($B556="","",YEAR($B556)&amp;"-"&amp;TEXT(MONTH($B556),"00"))</f>
        <v/>
      </c>
      <c r="Y556" s="68">
        <f>IF(OR($H556="",$J556=""),"",$J556*IFERROR(VLOOKUP($H556,Maestro_SKU!$A$2:$P$500,12,FALSE),1))</f>
        <v/>
      </c>
    </row>
    <row r="557">
      <c r="A557" s="43" t="n"/>
      <c r="B557" s="54" t="n"/>
      <c r="C557" s="43" t="n"/>
      <c r="D557" s="43" t="n"/>
      <c r="E557" s="48">
        <f>IFERROR(VLOOKUP(D557,Clientes_PDV!$A$2:$J$250,2,FALSE),"")</f>
        <v/>
      </c>
      <c r="F557" s="48">
        <f>IFERROR(VLOOKUP(D557,Clientes_PDV!$A$2:$J$250,3,FALSE),"")</f>
        <v/>
      </c>
      <c r="G557" s="48">
        <f>IFERROR(VLOOKUP(D557,Clientes_PDV!$A$2:$J$250,4,FALSE),"")</f>
        <v/>
      </c>
      <c r="H557" s="43" t="n"/>
      <c r="I557" s="48">
        <f>IFERROR(VLOOKUP(H557,Maestro_SKU!$A$2:$P$500,2,FALSE),"")</f>
        <v/>
      </c>
      <c r="J557" s="55" t="n"/>
      <c r="K557" s="44" t="n"/>
      <c r="L557" s="51">
        <f>IF(OR(J557="",K557=""),"",J557*K557)</f>
        <v/>
      </c>
      <c r="M557" s="51">
        <f>IF(L557="","",L557*Inicio!$B$13)</f>
        <v/>
      </c>
      <c r="N557" s="51">
        <f>IF(L557="","",L557+M557)</f>
        <v/>
      </c>
      <c r="O557" s="54" t="n"/>
      <c r="P557" s="43" t="n"/>
      <c r="Q557" s="44" t="n"/>
      <c r="R557" s="51">
        <f>IF(N557="","",MAX(N557-Q557,0))</f>
        <v/>
      </c>
      <c r="S557" s="48">
        <f>IF(A557="","",IF(OR(P557="Pagada",R557=0),"Pagada",IF(O557&lt;TODAY(),"Vencida",IF(O557&lt;=TODAY()+Inicio!$B$19,"Próxima a vencer","Vigente"))))</f>
        <v/>
      </c>
      <c r="T557" s="43" t="n"/>
      <c r="U557" s="68">
        <f>IF($B557="","",YEAR($B557))</f>
        <v/>
      </c>
      <c r="V557" s="68">
        <f>IF($B557="","",MONTH($B557))</f>
        <v/>
      </c>
      <c r="W557" s="68">
        <f>IF($B557="","",DAY($B557))</f>
        <v/>
      </c>
      <c r="X557" s="68">
        <f>IF($B557="","",YEAR($B557)&amp;"-"&amp;TEXT(MONTH($B557),"00"))</f>
        <v/>
      </c>
      <c r="Y557" s="68">
        <f>IF(OR($H557="",$J557=""),"",$J557*IFERROR(VLOOKUP($H557,Maestro_SKU!$A$2:$P$500,12,FALSE),1))</f>
        <v/>
      </c>
    </row>
    <row r="558">
      <c r="A558" s="43" t="n"/>
      <c r="B558" s="54" t="n"/>
      <c r="C558" s="43" t="n"/>
      <c r="D558" s="43" t="n"/>
      <c r="E558" s="48">
        <f>IFERROR(VLOOKUP(D558,Clientes_PDV!$A$2:$J$250,2,FALSE),"")</f>
        <v/>
      </c>
      <c r="F558" s="48">
        <f>IFERROR(VLOOKUP(D558,Clientes_PDV!$A$2:$J$250,3,FALSE),"")</f>
        <v/>
      </c>
      <c r="G558" s="48">
        <f>IFERROR(VLOOKUP(D558,Clientes_PDV!$A$2:$J$250,4,FALSE),"")</f>
        <v/>
      </c>
      <c r="H558" s="43" t="n"/>
      <c r="I558" s="48">
        <f>IFERROR(VLOOKUP(H558,Maestro_SKU!$A$2:$P$500,2,FALSE),"")</f>
        <v/>
      </c>
      <c r="J558" s="55" t="n"/>
      <c r="K558" s="44" t="n"/>
      <c r="L558" s="51">
        <f>IF(OR(J558="",K558=""),"",J558*K558)</f>
        <v/>
      </c>
      <c r="M558" s="51">
        <f>IF(L558="","",L558*Inicio!$B$13)</f>
        <v/>
      </c>
      <c r="N558" s="51">
        <f>IF(L558="","",L558+M558)</f>
        <v/>
      </c>
      <c r="O558" s="54" t="n"/>
      <c r="P558" s="43" t="n"/>
      <c r="Q558" s="44" t="n"/>
      <c r="R558" s="51">
        <f>IF(N558="","",MAX(N558-Q558,0))</f>
        <v/>
      </c>
      <c r="S558" s="48">
        <f>IF(A558="","",IF(OR(P558="Pagada",R558=0),"Pagada",IF(O558&lt;TODAY(),"Vencida",IF(O558&lt;=TODAY()+Inicio!$B$19,"Próxima a vencer","Vigente"))))</f>
        <v/>
      </c>
      <c r="T558" s="43" t="n"/>
      <c r="U558" s="68">
        <f>IF($B558="","",YEAR($B558))</f>
        <v/>
      </c>
      <c r="V558" s="68">
        <f>IF($B558="","",MONTH($B558))</f>
        <v/>
      </c>
      <c r="W558" s="68">
        <f>IF($B558="","",DAY($B558))</f>
        <v/>
      </c>
      <c r="X558" s="68">
        <f>IF($B558="","",YEAR($B558)&amp;"-"&amp;TEXT(MONTH($B558),"00"))</f>
        <v/>
      </c>
      <c r="Y558" s="68">
        <f>IF(OR($H558="",$J558=""),"",$J558*IFERROR(VLOOKUP($H558,Maestro_SKU!$A$2:$P$500,12,FALSE),1))</f>
        <v/>
      </c>
    </row>
    <row r="559">
      <c r="A559" s="43" t="n"/>
      <c r="B559" s="54" t="n"/>
      <c r="C559" s="43" t="n"/>
      <c r="D559" s="43" t="n"/>
      <c r="E559" s="48">
        <f>IFERROR(VLOOKUP(D559,Clientes_PDV!$A$2:$J$250,2,FALSE),"")</f>
        <v/>
      </c>
      <c r="F559" s="48">
        <f>IFERROR(VLOOKUP(D559,Clientes_PDV!$A$2:$J$250,3,FALSE),"")</f>
        <v/>
      </c>
      <c r="G559" s="48">
        <f>IFERROR(VLOOKUP(D559,Clientes_PDV!$A$2:$J$250,4,FALSE),"")</f>
        <v/>
      </c>
      <c r="H559" s="43" t="n"/>
      <c r="I559" s="48">
        <f>IFERROR(VLOOKUP(H559,Maestro_SKU!$A$2:$P$500,2,FALSE),"")</f>
        <v/>
      </c>
      <c r="J559" s="55" t="n"/>
      <c r="K559" s="44" t="n"/>
      <c r="L559" s="51">
        <f>IF(OR(J559="",K559=""),"",J559*K559)</f>
        <v/>
      </c>
      <c r="M559" s="51">
        <f>IF(L559="","",L559*Inicio!$B$13)</f>
        <v/>
      </c>
      <c r="N559" s="51">
        <f>IF(L559="","",L559+M559)</f>
        <v/>
      </c>
      <c r="O559" s="54" t="n"/>
      <c r="P559" s="43" t="n"/>
      <c r="Q559" s="44" t="n"/>
      <c r="R559" s="51">
        <f>IF(N559="","",MAX(N559-Q559,0))</f>
        <v/>
      </c>
      <c r="S559" s="48">
        <f>IF(A559="","",IF(OR(P559="Pagada",R559=0),"Pagada",IF(O559&lt;TODAY(),"Vencida",IF(O559&lt;=TODAY()+Inicio!$B$19,"Próxima a vencer","Vigente"))))</f>
        <v/>
      </c>
      <c r="T559" s="43" t="n"/>
      <c r="U559" s="68">
        <f>IF($B559="","",YEAR($B559))</f>
        <v/>
      </c>
      <c r="V559" s="68">
        <f>IF($B559="","",MONTH($B559))</f>
        <v/>
      </c>
      <c r="W559" s="68">
        <f>IF($B559="","",DAY($B559))</f>
        <v/>
      </c>
      <c r="X559" s="68">
        <f>IF($B559="","",YEAR($B559)&amp;"-"&amp;TEXT(MONTH($B559),"00"))</f>
        <v/>
      </c>
      <c r="Y559" s="68">
        <f>IF(OR($H559="",$J559=""),"",$J559*IFERROR(VLOOKUP($H559,Maestro_SKU!$A$2:$P$500,12,FALSE),1))</f>
        <v/>
      </c>
    </row>
    <row r="560">
      <c r="A560" s="43" t="n"/>
      <c r="B560" s="54" t="n"/>
      <c r="C560" s="43" t="n"/>
      <c r="D560" s="43" t="n"/>
      <c r="E560" s="48">
        <f>IFERROR(VLOOKUP(D560,Clientes_PDV!$A$2:$J$250,2,FALSE),"")</f>
        <v/>
      </c>
      <c r="F560" s="48">
        <f>IFERROR(VLOOKUP(D560,Clientes_PDV!$A$2:$J$250,3,FALSE),"")</f>
        <v/>
      </c>
      <c r="G560" s="48">
        <f>IFERROR(VLOOKUP(D560,Clientes_PDV!$A$2:$J$250,4,FALSE),"")</f>
        <v/>
      </c>
      <c r="H560" s="43" t="n"/>
      <c r="I560" s="48">
        <f>IFERROR(VLOOKUP(H560,Maestro_SKU!$A$2:$P$500,2,FALSE),"")</f>
        <v/>
      </c>
      <c r="J560" s="55" t="n"/>
      <c r="K560" s="44" t="n"/>
      <c r="L560" s="51">
        <f>IF(OR(J560="",K560=""),"",J560*K560)</f>
        <v/>
      </c>
      <c r="M560" s="51">
        <f>IF(L560="","",L560*Inicio!$B$13)</f>
        <v/>
      </c>
      <c r="N560" s="51">
        <f>IF(L560="","",L560+M560)</f>
        <v/>
      </c>
      <c r="O560" s="54" t="n"/>
      <c r="P560" s="43" t="n"/>
      <c r="Q560" s="44" t="n"/>
      <c r="R560" s="51">
        <f>IF(N560="","",MAX(N560-Q560,0))</f>
        <v/>
      </c>
      <c r="S560" s="48">
        <f>IF(A560="","",IF(OR(P560="Pagada",R560=0),"Pagada",IF(O560&lt;TODAY(),"Vencida",IF(O560&lt;=TODAY()+Inicio!$B$19,"Próxima a vencer","Vigente"))))</f>
        <v/>
      </c>
      <c r="T560" s="43" t="n"/>
      <c r="U560" s="68">
        <f>IF($B560="","",YEAR($B560))</f>
        <v/>
      </c>
      <c r="V560" s="68">
        <f>IF($B560="","",MONTH($B560))</f>
        <v/>
      </c>
      <c r="W560" s="68">
        <f>IF($B560="","",DAY($B560))</f>
        <v/>
      </c>
      <c r="X560" s="68">
        <f>IF($B560="","",YEAR($B560)&amp;"-"&amp;TEXT(MONTH($B560),"00"))</f>
        <v/>
      </c>
      <c r="Y560" s="68">
        <f>IF(OR($H560="",$J560=""),"",$J560*IFERROR(VLOOKUP($H560,Maestro_SKU!$A$2:$P$500,12,FALSE),1))</f>
        <v/>
      </c>
    </row>
    <row r="561">
      <c r="A561" s="43" t="n"/>
      <c r="B561" s="54" t="n"/>
      <c r="C561" s="43" t="n"/>
      <c r="D561" s="43" t="n"/>
      <c r="E561" s="48">
        <f>IFERROR(VLOOKUP(D561,Clientes_PDV!$A$2:$J$250,2,FALSE),"")</f>
        <v/>
      </c>
      <c r="F561" s="48">
        <f>IFERROR(VLOOKUP(D561,Clientes_PDV!$A$2:$J$250,3,FALSE),"")</f>
        <v/>
      </c>
      <c r="G561" s="48">
        <f>IFERROR(VLOOKUP(D561,Clientes_PDV!$A$2:$J$250,4,FALSE),"")</f>
        <v/>
      </c>
      <c r="H561" s="43" t="n"/>
      <c r="I561" s="48">
        <f>IFERROR(VLOOKUP(H561,Maestro_SKU!$A$2:$P$500,2,FALSE),"")</f>
        <v/>
      </c>
      <c r="J561" s="55" t="n"/>
      <c r="K561" s="44" t="n"/>
      <c r="L561" s="51">
        <f>IF(OR(J561="",K561=""),"",J561*K561)</f>
        <v/>
      </c>
      <c r="M561" s="51">
        <f>IF(L561="","",L561*Inicio!$B$13)</f>
        <v/>
      </c>
      <c r="N561" s="51">
        <f>IF(L561="","",L561+M561)</f>
        <v/>
      </c>
      <c r="O561" s="54" t="n"/>
      <c r="P561" s="43" t="n"/>
      <c r="Q561" s="44" t="n"/>
      <c r="R561" s="51">
        <f>IF(N561="","",MAX(N561-Q561,0))</f>
        <v/>
      </c>
      <c r="S561" s="48">
        <f>IF(A561="","",IF(OR(P561="Pagada",R561=0),"Pagada",IF(O561&lt;TODAY(),"Vencida",IF(O561&lt;=TODAY()+Inicio!$B$19,"Próxima a vencer","Vigente"))))</f>
        <v/>
      </c>
      <c r="T561" s="43" t="n"/>
      <c r="U561" s="68">
        <f>IF($B561="","",YEAR($B561))</f>
        <v/>
      </c>
      <c r="V561" s="68">
        <f>IF($B561="","",MONTH($B561))</f>
        <v/>
      </c>
      <c r="W561" s="68">
        <f>IF($B561="","",DAY($B561))</f>
        <v/>
      </c>
      <c r="X561" s="68">
        <f>IF($B561="","",YEAR($B561)&amp;"-"&amp;TEXT(MONTH($B561),"00"))</f>
        <v/>
      </c>
      <c r="Y561" s="68">
        <f>IF(OR($H561="",$J561=""),"",$J561*IFERROR(VLOOKUP($H561,Maestro_SKU!$A$2:$P$500,12,FALSE),1))</f>
        <v/>
      </c>
    </row>
    <row r="562">
      <c r="A562" s="43" t="n"/>
      <c r="B562" s="54" t="n"/>
      <c r="C562" s="43" t="n"/>
      <c r="D562" s="43" t="n"/>
      <c r="E562" s="48">
        <f>IFERROR(VLOOKUP(D562,Clientes_PDV!$A$2:$J$250,2,FALSE),"")</f>
        <v/>
      </c>
      <c r="F562" s="48">
        <f>IFERROR(VLOOKUP(D562,Clientes_PDV!$A$2:$J$250,3,FALSE),"")</f>
        <v/>
      </c>
      <c r="G562" s="48">
        <f>IFERROR(VLOOKUP(D562,Clientes_PDV!$A$2:$J$250,4,FALSE),"")</f>
        <v/>
      </c>
      <c r="H562" s="43" t="n"/>
      <c r="I562" s="48">
        <f>IFERROR(VLOOKUP(H562,Maestro_SKU!$A$2:$P$500,2,FALSE),"")</f>
        <v/>
      </c>
      <c r="J562" s="55" t="n"/>
      <c r="K562" s="44" t="n"/>
      <c r="L562" s="51">
        <f>IF(OR(J562="",K562=""),"",J562*K562)</f>
        <v/>
      </c>
      <c r="M562" s="51">
        <f>IF(L562="","",L562*Inicio!$B$13)</f>
        <v/>
      </c>
      <c r="N562" s="51">
        <f>IF(L562="","",L562+M562)</f>
        <v/>
      </c>
      <c r="O562" s="54" t="n"/>
      <c r="P562" s="43" t="n"/>
      <c r="Q562" s="44" t="n"/>
      <c r="R562" s="51">
        <f>IF(N562="","",MAX(N562-Q562,0))</f>
        <v/>
      </c>
      <c r="S562" s="48">
        <f>IF(A562="","",IF(OR(P562="Pagada",R562=0),"Pagada",IF(O562&lt;TODAY(),"Vencida",IF(O562&lt;=TODAY()+Inicio!$B$19,"Próxima a vencer","Vigente"))))</f>
        <v/>
      </c>
      <c r="T562" s="43" t="n"/>
      <c r="U562" s="68">
        <f>IF($B562="","",YEAR($B562))</f>
        <v/>
      </c>
      <c r="V562" s="68">
        <f>IF($B562="","",MONTH($B562))</f>
        <v/>
      </c>
      <c r="W562" s="68">
        <f>IF($B562="","",DAY($B562))</f>
        <v/>
      </c>
      <c r="X562" s="68">
        <f>IF($B562="","",YEAR($B562)&amp;"-"&amp;TEXT(MONTH($B562),"00"))</f>
        <v/>
      </c>
      <c r="Y562" s="68">
        <f>IF(OR($H562="",$J562=""),"",$J562*IFERROR(VLOOKUP($H562,Maestro_SKU!$A$2:$P$500,12,FALSE),1))</f>
        <v/>
      </c>
    </row>
    <row r="563">
      <c r="A563" s="43" t="n"/>
      <c r="B563" s="54" t="n"/>
      <c r="C563" s="43" t="n"/>
      <c r="D563" s="43" t="n"/>
      <c r="E563" s="48">
        <f>IFERROR(VLOOKUP(D563,Clientes_PDV!$A$2:$J$250,2,FALSE),"")</f>
        <v/>
      </c>
      <c r="F563" s="48">
        <f>IFERROR(VLOOKUP(D563,Clientes_PDV!$A$2:$J$250,3,FALSE),"")</f>
        <v/>
      </c>
      <c r="G563" s="48">
        <f>IFERROR(VLOOKUP(D563,Clientes_PDV!$A$2:$J$250,4,FALSE),"")</f>
        <v/>
      </c>
      <c r="H563" s="43" t="n"/>
      <c r="I563" s="48">
        <f>IFERROR(VLOOKUP(H563,Maestro_SKU!$A$2:$P$500,2,FALSE),"")</f>
        <v/>
      </c>
      <c r="J563" s="55" t="n"/>
      <c r="K563" s="44" t="n"/>
      <c r="L563" s="51">
        <f>IF(OR(J563="",K563=""),"",J563*K563)</f>
        <v/>
      </c>
      <c r="M563" s="51">
        <f>IF(L563="","",L563*Inicio!$B$13)</f>
        <v/>
      </c>
      <c r="N563" s="51">
        <f>IF(L563="","",L563+M563)</f>
        <v/>
      </c>
      <c r="O563" s="54" t="n"/>
      <c r="P563" s="43" t="n"/>
      <c r="Q563" s="44" t="n"/>
      <c r="R563" s="51">
        <f>IF(N563="","",MAX(N563-Q563,0))</f>
        <v/>
      </c>
      <c r="S563" s="48">
        <f>IF(A563="","",IF(OR(P563="Pagada",R563=0),"Pagada",IF(O563&lt;TODAY(),"Vencida",IF(O563&lt;=TODAY()+Inicio!$B$19,"Próxima a vencer","Vigente"))))</f>
        <v/>
      </c>
      <c r="T563" s="43" t="n"/>
      <c r="U563" s="68">
        <f>IF($B563="","",YEAR($B563))</f>
        <v/>
      </c>
      <c r="V563" s="68">
        <f>IF($B563="","",MONTH($B563))</f>
        <v/>
      </c>
      <c r="W563" s="68">
        <f>IF($B563="","",DAY($B563))</f>
        <v/>
      </c>
      <c r="X563" s="68">
        <f>IF($B563="","",YEAR($B563)&amp;"-"&amp;TEXT(MONTH($B563),"00"))</f>
        <v/>
      </c>
      <c r="Y563" s="68">
        <f>IF(OR($H563="",$J563=""),"",$J563*IFERROR(VLOOKUP($H563,Maestro_SKU!$A$2:$P$500,12,FALSE),1))</f>
        <v/>
      </c>
    </row>
    <row r="564">
      <c r="A564" s="43" t="n"/>
      <c r="B564" s="54" t="n"/>
      <c r="C564" s="43" t="n"/>
      <c r="D564" s="43" t="n"/>
      <c r="E564" s="48">
        <f>IFERROR(VLOOKUP(D564,Clientes_PDV!$A$2:$J$250,2,FALSE),"")</f>
        <v/>
      </c>
      <c r="F564" s="48">
        <f>IFERROR(VLOOKUP(D564,Clientes_PDV!$A$2:$J$250,3,FALSE),"")</f>
        <v/>
      </c>
      <c r="G564" s="48">
        <f>IFERROR(VLOOKUP(D564,Clientes_PDV!$A$2:$J$250,4,FALSE),"")</f>
        <v/>
      </c>
      <c r="H564" s="43" t="n"/>
      <c r="I564" s="48">
        <f>IFERROR(VLOOKUP(H564,Maestro_SKU!$A$2:$P$500,2,FALSE),"")</f>
        <v/>
      </c>
      <c r="J564" s="55" t="n"/>
      <c r="K564" s="44" t="n"/>
      <c r="L564" s="51">
        <f>IF(OR(J564="",K564=""),"",J564*K564)</f>
        <v/>
      </c>
      <c r="M564" s="51">
        <f>IF(L564="","",L564*Inicio!$B$13)</f>
        <v/>
      </c>
      <c r="N564" s="51">
        <f>IF(L564="","",L564+M564)</f>
        <v/>
      </c>
      <c r="O564" s="54" t="n"/>
      <c r="P564" s="43" t="n"/>
      <c r="Q564" s="44" t="n"/>
      <c r="R564" s="51">
        <f>IF(N564="","",MAX(N564-Q564,0))</f>
        <v/>
      </c>
      <c r="S564" s="48">
        <f>IF(A564="","",IF(OR(P564="Pagada",R564=0),"Pagada",IF(O564&lt;TODAY(),"Vencida",IF(O564&lt;=TODAY()+Inicio!$B$19,"Próxima a vencer","Vigente"))))</f>
        <v/>
      </c>
      <c r="T564" s="43" t="n"/>
      <c r="U564" s="68">
        <f>IF($B564="","",YEAR($B564))</f>
        <v/>
      </c>
      <c r="V564" s="68">
        <f>IF($B564="","",MONTH($B564))</f>
        <v/>
      </c>
      <c r="W564" s="68">
        <f>IF($B564="","",DAY($B564))</f>
        <v/>
      </c>
      <c r="X564" s="68">
        <f>IF($B564="","",YEAR($B564)&amp;"-"&amp;TEXT(MONTH($B564),"00"))</f>
        <v/>
      </c>
      <c r="Y564" s="68">
        <f>IF(OR($H564="",$J564=""),"",$J564*IFERROR(VLOOKUP($H564,Maestro_SKU!$A$2:$P$500,12,FALSE),1))</f>
        <v/>
      </c>
    </row>
    <row r="565">
      <c r="A565" s="43" t="n"/>
      <c r="B565" s="54" t="n"/>
      <c r="C565" s="43" t="n"/>
      <c r="D565" s="43" t="n"/>
      <c r="E565" s="48">
        <f>IFERROR(VLOOKUP(D565,Clientes_PDV!$A$2:$J$250,2,FALSE),"")</f>
        <v/>
      </c>
      <c r="F565" s="48">
        <f>IFERROR(VLOOKUP(D565,Clientes_PDV!$A$2:$J$250,3,FALSE),"")</f>
        <v/>
      </c>
      <c r="G565" s="48">
        <f>IFERROR(VLOOKUP(D565,Clientes_PDV!$A$2:$J$250,4,FALSE),"")</f>
        <v/>
      </c>
      <c r="H565" s="43" t="n"/>
      <c r="I565" s="48">
        <f>IFERROR(VLOOKUP(H565,Maestro_SKU!$A$2:$P$500,2,FALSE),"")</f>
        <v/>
      </c>
      <c r="J565" s="55" t="n"/>
      <c r="K565" s="44" t="n"/>
      <c r="L565" s="51">
        <f>IF(OR(J565="",K565=""),"",J565*K565)</f>
        <v/>
      </c>
      <c r="M565" s="51">
        <f>IF(L565="","",L565*Inicio!$B$13)</f>
        <v/>
      </c>
      <c r="N565" s="51">
        <f>IF(L565="","",L565+M565)</f>
        <v/>
      </c>
      <c r="O565" s="54" t="n"/>
      <c r="P565" s="43" t="n"/>
      <c r="Q565" s="44" t="n"/>
      <c r="R565" s="51">
        <f>IF(N565="","",MAX(N565-Q565,0))</f>
        <v/>
      </c>
      <c r="S565" s="48">
        <f>IF(A565="","",IF(OR(P565="Pagada",R565=0),"Pagada",IF(O565&lt;TODAY(),"Vencida",IF(O565&lt;=TODAY()+Inicio!$B$19,"Próxima a vencer","Vigente"))))</f>
        <v/>
      </c>
      <c r="T565" s="43" t="n"/>
      <c r="U565" s="68">
        <f>IF($B565="","",YEAR($B565))</f>
        <v/>
      </c>
      <c r="V565" s="68">
        <f>IF($B565="","",MONTH($B565))</f>
        <v/>
      </c>
      <c r="W565" s="68">
        <f>IF($B565="","",DAY($B565))</f>
        <v/>
      </c>
      <c r="X565" s="68">
        <f>IF($B565="","",YEAR($B565)&amp;"-"&amp;TEXT(MONTH($B565),"00"))</f>
        <v/>
      </c>
      <c r="Y565" s="68">
        <f>IF(OR($H565="",$J565=""),"",$J565*IFERROR(VLOOKUP($H565,Maestro_SKU!$A$2:$P$500,12,FALSE),1))</f>
        <v/>
      </c>
    </row>
    <row r="566">
      <c r="A566" s="43" t="n"/>
      <c r="B566" s="54" t="n"/>
      <c r="C566" s="43" t="n"/>
      <c r="D566" s="43" t="n"/>
      <c r="E566" s="48">
        <f>IFERROR(VLOOKUP(D566,Clientes_PDV!$A$2:$J$250,2,FALSE),"")</f>
        <v/>
      </c>
      <c r="F566" s="48">
        <f>IFERROR(VLOOKUP(D566,Clientes_PDV!$A$2:$J$250,3,FALSE),"")</f>
        <v/>
      </c>
      <c r="G566" s="48">
        <f>IFERROR(VLOOKUP(D566,Clientes_PDV!$A$2:$J$250,4,FALSE),"")</f>
        <v/>
      </c>
      <c r="H566" s="43" t="n"/>
      <c r="I566" s="48">
        <f>IFERROR(VLOOKUP(H566,Maestro_SKU!$A$2:$P$500,2,FALSE),"")</f>
        <v/>
      </c>
      <c r="J566" s="55" t="n"/>
      <c r="K566" s="44" t="n"/>
      <c r="L566" s="51">
        <f>IF(OR(J566="",K566=""),"",J566*K566)</f>
        <v/>
      </c>
      <c r="M566" s="51">
        <f>IF(L566="","",L566*Inicio!$B$13)</f>
        <v/>
      </c>
      <c r="N566" s="51">
        <f>IF(L566="","",L566+M566)</f>
        <v/>
      </c>
      <c r="O566" s="54" t="n"/>
      <c r="P566" s="43" t="n"/>
      <c r="Q566" s="44" t="n"/>
      <c r="R566" s="51">
        <f>IF(N566="","",MAX(N566-Q566,0))</f>
        <v/>
      </c>
      <c r="S566" s="48">
        <f>IF(A566="","",IF(OR(P566="Pagada",R566=0),"Pagada",IF(O566&lt;TODAY(),"Vencida",IF(O566&lt;=TODAY()+Inicio!$B$19,"Próxima a vencer","Vigente"))))</f>
        <v/>
      </c>
      <c r="T566" s="43" t="n"/>
      <c r="U566" s="68">
        <f>IF($B566="","",YEAR($B566))</f>
        <v/>
      </c>
      <c r="V566" s="68">
        <f>IF($B566="","",MONTH($B566))</f>
        <v/>
      </c>
      <c r="W566" s="68">
        <f>IF($B566="","",DAY($B566))</f>
        <v/>
      </c>
      <c r="X566" s="68">
        <f>IF($B566="","",YEAR($B566)&amp;"-"&amp;TEXT(MONTH($B566),"00"))</f>
        <v/>
      </c>
      <c r="Y566" s="68">
        <f>IF(OR($H566="",$J566=""),"",$J566*IFERROR(VLOOKUP($H566,Maestro_SKU!$A$2:$P$500,12,FALSE),1))</f>
        <v/>
      </c>
    </row>
    <row r="567">
      <c r="A567" s="43" t="n"/>
      <c r="B567" s="54" t="n"/>
      <c r="C567" s="43" t="n"/>
      <c r="D567" s="43" t="n"/>
      <c r="E567" s="48">
        <f>IFERROR(VLOOKUP(D567,Clientes_PDV!$A$2:$J$250,2,FALSE),"")</f>
        <v/>
      </c>
      <c r="F567" s="48">
        <f>IFERROR(VLOOKUP(D567,Clientes_PDV!$A$2:$J$250,3,FALSE),"")</f>
        <v/>
      </c>
      <c r="G567" s="48">
        <f>IFERROR(VLOOKUP(D567,Clientes_PDV!$A$2:$J$250,4,FALSE),"")</f>
        <v/>
      </c>
      <c r="H567" s="43" t="n"/>
      <c r="I567" s="48">
        <f>IFERROR(VLOOKUP(H567,Maestro_SKU!$A$2:$P$500,2,FALSE),"")</f>
        <v/>
      </c>
      <c r="J567" s="55" t="n"/>
      <c r="K567" s="44" t="n"/>
      <c r="L567" s="51">
        <f>IF(OR(J567="",K567=""),"",J567*K567)</f>
        <v/>
      </c>
      <c r="M567" s="51">
        <f>IF(L567="","",L567*Inicio!$B$13)</f>
        <v/>
      </c>
      <c r="N567" s="51">
        <f>IF(L567="","",L567+M567)</f>
        <v/>
      </c>
      <c r="O567" s="54" t="n"/>
      <c r="P567" s="43" t="n"/>
      <c r="Q567" s="44" t="n"/>
      <c r="R567" s="51">
        <f>IF(N567="","",MAX(N567-Q567,0))</f>
        <v/>
      </c>
      <c r="S567" s="48">
        <f>IF(A567="","",IF(OR(P567="Pagada",R567=0),"Pagada",IF(O567&lt;TODAY(),"Vencida",IF(O567&lt;=TODAY()+Inicio!$B$19,"Próxima a vencer","Vigente"))))</f>
        <v/>
      </c>
      <c r="T567" s="43" t="n"/>
      <c r="U567" s="68">
        <f>IF($B567="","",YEAR($B567))</f>
        <v/>
      </c>
      <c r="V567" s="68">
        <f>IF($B567="","",MONTH($B567))</f>
        <v/>
      </c>
      <c r="W567" s="68">
        <f>IF($B567="","",DAY($B567))</f>
        <v/>
      </c>
      <c r="X567" s="68">
        <f>IF($B567="","",YEAR($B567)&amp;"-"&amp;TEXT(MONTH($B567),"00"))</f>
        <v/>
      </c>
      <c r="Y567" s="68">
        <f>IF(OR($H567="",$J567=""),"",$J567*IFERROR(VLOOKUP($H567,Maestro_SKU!$A$2:$P$500,12,FALSE),1))</f>
        <v/>
      </c>
    </row>
    <row r="568">
      <c r="A568" s="43" t="n"/>
      <c r="B568" s="54" t="n"/>
      <c r="C568" s="43" t="n"/>
      <c r="D568" s="43" t="n"/>
      <c r="E568" s="48">
        <f>IFERROR(VLOOKUP(D568,Clientes_PDV!$A$2:$J$250,2,FALSE),"")</f>
        <v/>
      </c>
      <c r="F568" s="48">
        <f>IFERROR(VLOOKUP(D568,Clientes_PDV!$A$2:$J$250,3,FALSE),"")</f>
        <v/>
      </c>
      <c r="G568" s="48">
        <f>IFERROR(VLOOKUP(D568,Clientes_PDV!$A$2:$J$250,4,FALSE),"")</f>
        <v/>
      </c>
      <c r="H568" s="43" t="n"/>
      <c r="I568" s="48">
        <f>IFERROR(VLOOKUP(H568,Maestro_SKU!$A$2:$P$500,2,FALSE),"")</f>
        <v/>
      </c>
      <c r="J568" s="55" t="n"/>
      <c r="K568" s="44" t="n"/>
      <c r="L568" s="51">
        <f>IF(OR(J568="",K568=""),"",J568*K568)</f>
        <v/>
      </c>
      <c r="M568" s="51">
        <f>IF(L568="","",L568*Inicio!$B$13)</f>
        <v/>
      </c>
      <c r="N568" s="51">
        <f>IF(L568="","",L568+M568)</f>
        <v/>
      </c>
      <c r="O568" s="54" t="n"/>
      <c r="P568" s="43" t="n"/>
      <c r="Q568" s="44" t="n"/>
      <c r="R568" s="51">
        <f>IF(N568="","",MAX(N568-Q568,0))</f>
        <v/>
      </c>
      <c r="S568" s="48">
        <f>IF(A568="","",IF(OR(P568="Pagada",R568=0),"Pagada",IF(O568&lt;TODAY(),"Vencida",IF(O568&lt;=TODAY()+Inicio!$B$19,"Próxima a vencer","Vigente"))))</f>
        <v/>
      </c>
      <c r="T568" s="43" t="n"/>
      <c r="U568" s="68">
        <f>IF($B568="","",YEAR($B568))</f>
        <v/>
      </c>
      <c r="V568" s="68">
        <f>IF($B568="","",MONTH($B568))</f>
        <v/>
      </c>
      <c r="W568" s="68">
        <f>IF($B568="","",DAY($B568))</f>
        <v/>
      </c>
      <c r="X568" s="68">
        <f>IF($B568="","",YEAR($B568)&amp;"-"&amp;TEXT(MONTH($B568),"00"))</f>
        <v/>
      </c>
      <c r="Y568" s="68">
        <f>IF(OR($H568="",$J568=""),"",$J568*IFERROR(VLOOKUP($H568,Maestro_SKU!$A$2:$P$500,12,FALSE),1))</f>
        <v/>
      </c>
    </row>
    <row r="569">
      <c r="A569" s="43" t="n"/>
      <c r="B569" s="54" t="n"/>
      <c r="C569" s="43" t="n"/>
      <c r="D569" s="43" t="n"/>
      <c r="E569" s="48">
        <f>IFERROR(VLOOKUP(D569,Clientes_PDV!$A$2:$J$250,2,FALSE),"")</f>
        <v/>
      </c>
      <c r="F569" s="48">
        <f>IFERROR(VLOOKUP(D569,Clientes_PDV!$A$2:$J$250,3,FALSE),"")</f>
        <v/>
      </c>
      <c r="G569" s="48">
        <f>IFERROR(VLOOKUP(D569,Clientes_PDV!$A$2:$J$250,4,FALSE),"")</f>
        <v/>
      </c>
      <c r="H569" s="43" t="n"/>
      <c r="I569" s="48">
        <f>IFERROR(VLOOKUP(H569,Maestro_SKU!$A$2:$P$500,2,FALSE),"")</f>
        <v/>
      </c>
      <c r="J569" s="55" t="n"/>
      <c r="K569" s="44" t="n"/>
      <c r="L569" s="51">
        <f>IF(OR(J569="",K569=""),"",J569*K569)</f>
        <v/>
      </c>
      <c r="M569" s="51">
        <f>IF(L569="","",L569*Inicio!$B$13)</f>
        <v/>
      </c>
      <c r="N569" s="51">
        <f>IF(L569="","",L569+M569)</f>
        <v/>
      </c>
      <c r="O569" s="54" t="n"/>
      <c r="P569" s="43" t="n"/>
      <c r="Q569" s="44" t="n"/>
      <c r="R569" s="51">
        <f>IF(N569="","",MAX(N569-Q569,0))</f>
        <v/>
      </c>
      <c r="S569" s="48">
        <f>IF(A569="","",IF(OR(P569="Pagada",R569=0),"Pagada",IF(O569&lt;TODAY(),"Vencida",IF(O569&lt;=TODAY()+Inicio!$B$19,"Próxima a vencer","Vigente"))))</f>
        <v/>
      </c>
      <c r="T569" s="43" t="n"/>
      <c r="U569" s="68">
        <f>IF($B569="","",YEAR($B569))</f>
        <v/>
      </c>
      <c r="V569" s="68">
        <f>IF($B569="","",MONTH($B569))</f>
        <v/>
      </c>
      <c r="W569" s="68">
        <f>IF($B569="","",DAY($B569))</f>
        <v/>
      </c>
      <c r="X569" s="68">
        <f>IF($B569="","",YEAR($B569)&amp;"-"&amp;TEXT(MONTH($B569),"00"))</f>
        <v/>
      </c>
      <c r="Y569" s="68">
        <f>IF(OR($H569="",$J569=""),"",$J569*IFERROR(VLOOKUP($H569,Maestro_SKU!$A$2:$P$500,12,FALSE),1))</f>
        <v/>
      </c>
    </row>
    <row r="570">
      <c r="A570" s="43" t="n"/>
      <c r="B570" s="54" t="n"/>
      <c r="C570" s="43" t="n"/>
      <c r="D570" s="43" t="n"/>
      <c r="E570" s="48">
        <f>IFERROR(VLOOKUP(D570,Clientes_PDV!$A$2:$J$250,2,FALSE),"")</f>
        <v/>
      </c>
      <c r="F570" s="48">
        <f>IFERROR(VLOOKUP(D570,Clientes_PDV!$A$2:$J$250,3,FALSE),"")</f>
        <v/>
      </c>
      <c r="G570" s="48">
        <f>IFERROR(VLOOKUP(D570,Clientes_PDV!$A$2:$J$250,4,FALSE),"")</f>
        <v/>
      </c>
      <c r="H570" s="43" t="n"/>
      <c r="I570" s="48">
        <f>IFERROR(VLOOKUP(H570,Maestro_SKU!$A$2:$P$500,2,FALSE),"")</f>
        <v/>
      </c>
      <c r="J570" s="55" t="n"/>
      <c r="K570" s="44" t="n"/>
      <c r="L570" s="51">
        <f>IF(OR(J570="",K570=""),"",J570*K570)</f>
        <v/>
      </c>
      <c r="M570" s="51">
        <f>IF(L570="","",L570*Inicio!$B$13)</f>
        <v/>
      </c>
      <c r="N570" s="51">
        <f>IF(L570="","",L570+M570)</f>
        <v/>
      </c>
      <c r="O570" s="54" t="n"/>
      <c r="P570" s="43" t="n"/>
      <c r="Q570" s="44" t="n"/>
      <c r="R570" s="51">
        <f>IF(N570="","",MAX(N570-Q570,0))</f>
        <v/>
      </c>
      <c r="S570" s="48">
        <f>IF(A570="","",IF(OR(P570="Pagada",R570=0),"Pagada",IF(O570&lt;TODAY(),"Vencida",IF(O570&lt;=TODAY()+Inicio!$B$19,"Próxima a vencer","Vigente"))))</f>
        <v/>
      </c>
      <c r="T570" s="43" t="n"/>
      <c r="U570" s="68">
        <f>IF($B570="","",YEAR($B570))</f>
        <v/>
      </c>
      <c r="V570" s="68">
        <f>IF($B570="","",MONTH($B570))</f>
        <v/>
      </c>
      <c r="W570" s="68">
        <f>IF($B570="","",DAY($B570))</f>
        <v/>
      </c>
      <c r="X570" s="68">
        <f>IF($B570="","",YEAR($B570)&amp;"-"&amp;TEXT(MONTH($B570),"00"))</f>
        <v/>
      </c>
      <c r="Y570" s="68">
        <f>IF(OR($H570="",$J570=""),"",$J570*IFERROR(VLOOKUP($H570,Maestro_SKU!$A$2:$P$500,12,FALSE),1))</f>
        <v/>
      </c>
    </row>
    <row r="571">
      <c r="A571" s="43" t="n"/>
      <c r="B571" s="54" t="n"/>
      <c r="C571" s="43" t="n"/>
      <c r="D571" s="43" t="n"/>
      <c r="E571" s="48">
        <f>IFERROR(VLOOKUP(D571,Clientes_PDV!$A$2:$J$250,2,FALSE),"")</f>
        <v/>
      </c>
      <c r="F571" s="48">
        <f>IFERROR(VLOOKUP(D571,Clientes_PDV!$A$2:$J$250,3,FALSE),"")</f>
        <v/>
      </c>
      <c r="G571" s="48">
        <f>IFERROR(VLOOKUP(D571,Clientes_PDV!$A$2:$J$250,4,FALSE),"")</f>
        <v/>
      </c>
      <c r="H571" s="43" t="n"/>
      <c r="I571" s="48">
        <f>IFERROR(VLOOKUP(H571,Maestro_SKU!$A$2:$P$500,2,FALSE),"")</f>
        <v/>
      </c>
      <c r="J571" s="55" t="n"/>
      <c r="K571" s="44" t="n"/>
      <c r="L571" s="51">
        <f>IF(OR(J571="",K571=""),"",J571*K571)</f>
        <v/>
      </c>
      <c r="M571" s="51">
        <f>IF(L571="","",L571*Inicio!$B$13)</f>
        <v/>
      </c>
      <c r="N571" s="51">
        <f>IF(L571="","",L571+M571)</f>
        <v/>
      </c>
      <c r="O571" s="54" t="n"/>
      <c r="P571" s="43" t="n"/>
      <c r="Q571" s="44" t="n"/>
      <c r="R571" s="51">
        <f>IF(N571="","",MAX(N571-Q571,0))</f>
        <v/>
      </c>
      <c r="S571" s="48">
        <f>IF(A571="","",IF(OR(P571="Pagada",R571=0),"Pagada",IF(O571&lt;TODAY(),"Vencida",IF(O571&lt;=TODAY()+Inicio!$B$19,"Próxima a vencer","Vigente"))))</f>
        <v/>
      </c>
      <c r="T571" s="43" t="n"/>
      <c r="U571" s="68">
        <f>IF($B571="","",YEAR($B571))</f>
        <v/>
      </c>
      <c r="V571" s="68">
        <f>IF($B571="","",MONTH($B571))</f>
        <v/>
      </c>
      <c r="W571" s="68">
        <f>IF($B571="","",DAY($B571))</f>
        <v/>
      </c>
      <c r="X571" s="68">
        <f>IF($B571="","",YEAR($B571)&amp;"-"&amp;TEXT(MONTH($B571),"00"))</f>
        <v/>
      </c>
      <c r="Y571" s="68">
        <f>IF(OR($H571="",$J571=""),"",$J571*IFERROR(VLOOKUP($H571,Maestro_SKU!$A$2:$P$500,12,FALSE),1))</f>
        <v/>
      </c>
    </row>
    <row r="572">
      <c r="A572" s="43" t="n"/>
      <c r="B572" s="54" t="n"/>
      <c r="C572" s="43" t="n"/>
      <c r="D572" s="43" t="n"/>
      <c r="E572" s="48">
        <f>IFERROR(VLOOKUP(D572,Clientes_PDV!$A$2:$J$250,2,FALSE),"")</f>
        <v/>
      </c>
      <c r="F572" s="48">
        <f>IFERROR(VLOOKUP(D572,Clientes_PDV!$A$2:$J$250,3,FALSE),"")</f>
        <v/>
      </c>
      <c r="G572" s="48">
        <f>IFERROR(VLOOKUP(D572,Clientes_PDV!$A$2:$J$250,4,FALSE),"")</f>
        <v/>
      </c>
      <c r="H572" s="43" t="n"/>
      <c r="I572" s="48">
        <f>IFERROR(VLOOKUP(H572,Maestro_SKU!$A$2:$P$500,2,FALSE),"")</f>
        <v/>
      </c>
      <c r="J572" s="55" t="n"/>
      <c r="K572" s="44" t="n"/>
      <c r="L572" s="51">
        <f>IF(OR(J572="",K572=""),"",J572*K572)</f>
        <v/>
      </c>
      <c r="M572" s="51">
        <f>IF(L572="","",L572*Inicio!$B$13)</f>
        <v/>
      </c>
      <c r="N572" s="51">
        <f>IF(L572="","",L572+M572)</f>
        <v/>
      </c>
      <c r="O572" s="54" t="n"/>
      <c r="P572" s="43" t="n"/>
      <c r="Q572" s="44" t="n"/>
      <c r="R572" s="51">
        <f>IF(N572="","",MAX(N572-Q572,0))</f>
        <v/>
      </c>
      <c r="S572" s="48">
        <f>IF(A572="","",IF(OR(P572="Pagada",R572=0),"Pagada",IF(O572&lt;TODAY(),"Vencida",IF(O572&lt;=TODAY()+Inicio!$B$19,"Próxima a vencer","Vigente"))))</f>
        <v/>
      </c>
      <c r="T572" s="43" t="n"/>
      <c r="U572" s="68">
        <f>IF($B572="","",YEAR($B572))</f>
        <v/>
      </c>
      <c r="V572" s="68">
        <f>IF($B572="","",MONTH($B572))</f>
        <v/>
      </c>
      <c r="W572" s="68">
        <f>IF($B572="","",DAY($B572))</f>
        <v/>
      </c>
      <c r="X572" s="68">
        <f>IF($B572="","",YEAR($B572)&amp;"-"&amp;TEXT(MONTH($B572),"00"))</f>
        <v/>
      </c>
      <c r="Y572" s="68">
        <f>IF(OR($H572="",$J572=""),"",$J572*IFERROR(VLOOKUP($H572,Maestro_SKU!$A$2:$P$500,12,FALSE),1))</f>
        <v/>
      </c>
    </row>
    <row r="573">
      <c r="A573" s="43" t="n"/>
      <c r="B573" s="54" t="n"/>
      <c r="C573" s="43" t="n"/>
      <c r="D573" s="43" t="n"/>
      <c r="E573" s="48">
        <f>IFERROR(VLOOKUP(D573,Clientes_PDV!$A$2:$J$250,2,FALSE),"")</f>
        <v/>
      </c>
      <c r="F573" s="48">
        <f>IFERROR(VLOOKUP(D573,Clientes_PDV!$A$2:$J$250,3,FALSE),"")</f>
        <v/>
      </c>
      <c r="G573" s="48">
        <f>IFERROR(VLOOKUP(D573,Clientes_PDV!$A$2:$J$250,4,FALSE),"")</f>
        <v/>
      </c>
      <c r="H573" s="43" t="n"/>
      <c r="I573" s="48">
        <f>IFERROR(VLOOKUP(H573,Maestro_SKU!$A$2:$P$500,2,FALSE),"")</f>
        <v/>
      </c>
      <c r="J573" s="55" t="n"/>
      <c r="K573" s="44" t="n"/>
      <c r="L573" s="51">
        <f>IF(OR(J573="",K573=""),"",J573*K573)</f>
        <v/>
      </c>
      <c r="M573" s="51">
        <f>IF(L573="","",L573*Inicio!$B$13)</f>
        <v/>
      </c>
      <c r="N573" s="51">
        <f>IF(L573="","",L573+M573)</f>
        <v/>
      </c>
      <c r="O573" s="54" t="n"/>
      <c r="P573" s="43" t="n"/>
      <c r="Q573" s="44" t="n"/>
      <c r="R573" s="51">
        <f>IF(N573="","",MAX(N573-Q573,0))</f>
        <v/>
      </c>
      <c r="S573" s="48">
        <f>IF(A573="","",IF(OR(P573="Pagada",R573=0),"Pagada",IF(O573&lt;TODAY(),"Vencida",IF(O573&lt;=TODAY()+Inicio!$B$19,"Próxima a vencer","Vigente"))))</f>
        <v/>
      </c>
      <c r="T573" s="43" t="n"/>
      <c r="U573" s="68">
        <f>IF($B573="","",YEAR($B573))</f>
        <v/>
      </c>
      <c r="V573" s="68">
        <f>IF($B573="","",MONTH($B573))</f>
        <v/>
      </c>
      <c r="W573" s="68">
        <f>IF($B573="","",DAY($B573))</f>
        <v/>
      </c>
      <c r="X573" s="68">
        <f>IF($B573="","",YEAR($B573)&amp;"-"&amp;TEXT(MONTH($B573),"00"))</f>
        <v/>
      </c>
      <c r="Y573" s="68">
        <f>IF(OR($H573="",$J573=""),"",$J573*IFERROR(VLOOKUP($H573,Maestro_SKU!$A$2:$P$500,12,FALSE),1))</f>
        <v/>
      </c>
    </row>
    <row r="574">
      <c r="A574" s="43" t="n"/>
      <c r="B574" s="54" t="n"/>
      <c r="C574" s="43" t="n"/>
      <c r="D574" s="43" t="n"/>
      <c r="E574" s="48">
        <f>IFERROR(VLOOKUP(D574,Clientes_PDV!$A$2:$J$250,2,FALSE),"")</f>
        <v/>
      </c>
      <c r="F574" s="48">
        <f>IFERROR(VLOOKUP(D574,Clientes_PDV!$A$2:$J$250,3,FALSE),"")</f>
        <v/>
      </c>
      <c r="G574" s="48">
        <f>IFERROR(VLOOKUP(D574,Clientes_PDV!$A$2:$J$250,4,FALSE),"")</f>
        <v/>
      </c>
      <c r="H574" s="43" t="n"/>
      <c r="I574" s="48">
        <f>IFERROR(VLOOKUP(H574,Maestro_SKU!$A$2:$P$500,2,FALSE),"")</f>
        <v/>
      </c>
      <c r="J574" s="55" t="n"/>
      <c r="K574" s="44" t="n"/>
      <c r="L574" s="51">
        <f>IF(OR(J574="",K574=""),"",J574*K574)</f>
        <v/>
      </c>
      <c r="M574" s="51">
        <f>IF(L574="","",L574*Inicio!$B$13)</f>
        <v/>
      </c>
      <c r="N574" s="51">
        <f>IF(L574="","",L574+M574)</f>
        <v/>
      </c>
      <c r="O574" s="54" t="n"/>
      <c r="P574" s="43" t="n"/>
      <c r="Q574" s="44" t="n"/>
      <c r="R574" s="51">
        <f>IF(N574="","",MAX(N574-Q574,0))</f>
        <v/>
      </c>
      <c r="S574" s="48">
        <f>IF(A574="","",IF(OR(P574="Pagada",R574=0),"Pagada",IF(O574&lt;TODAY(),"Vencida",IF(O574&lt;=TODAY()+Inicio!$B$19,"Próxima a vencer","Vigente"))))</f>
        <v/>
      </c>
      <c r="T574" s="43" t="n"/>
      <c r="U574" s="68">
        <f>IF($B574="","",YEAR($B574))</f>
        <v/>
      </c>
      <c r="V574" s="68">
        <f>IF($B574="","",MONTH($B574))</f>
        <v/>
      </c>
      <c r="W574" s="68">
        <f>IF($B574="","",DAY($B574))</f>
        <v/>
      </c>
      <c r="X574" s="68">
        <f>IF($B574="","",YEAR($B574)&amp;"-"&amp;TEXT(MONTH($B574),"00"))</f>
        <v/>
      </c>
      <c r="Y574" s="68">
        <f>IF(OR($H574="",$J574=""),"",$J574*IFERROR(VLOOKUP($H574,Maestro_SKU!$A$2:$P$500,12,FALSE),1))</f>
        <v/>
      </c>
    </row>
    <row r="575">
      <c r="A575" s="43" t="n"/>
      <c r="B575" s="54" t="n"/>
      <c r="C575" s="43" t="n"/>
      <c r="D575" s="43" t="n"/>
      <c r="E575" s="48">
        <f>IFERROR(VLOOKUP(D575,Clientes_PDV!$A$2:$J$250,2,FALSE),"")</f>
        <v/>
      </c>
      <c r="F575" s="48">
        <f>IFERROR(VLOOKUP(D575,Clientes_PDV!$A$2:$J$250,3,FALSE),"")</f>
        <v/>
      </c>
      <c r="G575" s="48">
        <f>IFERROR(VLOOKUP(D575,Clientes_PDV!$A$2:$J$250,4,FALSE),"")</f>
        <v/>
      </c>
      <c r="H575" s="43" t="n"/>
      <c r="I575" s="48">
        <f>IFERROR(VLOOKUP(H575,Maestro_SKU!$A$2:$P$500,2,FALSE),"")</f>
        <v/>
      </c>
      <c r="J575" s="55" t="n"/>
      <c r="K575" s="44" t="n"/>
      <c r="L575" s="51">
        <f>IF(OR(J575="",K575=""),"",J575*K575)</f>
        <v/>
      </c>
      <c r="M575" s="51">
        <f>IF(L575="","",L575*Inicio!$B$13)</f>
        <v/>
      </c>
      <c r="N575" s="51">
        <f>IF(L575="","",L575+M575)</f>
        <v/>
      </c>
      <c r="O575" s="54" t="n"/>
      <c r="P575" s="43" t="n"/>
      <c r="Q575" s="44" t="n"/>
      <c r="R575" s="51">
        <f>IF(N575="","",MAX(N575-Q575,0))</f>
        <v/>
      </c>
      <c r="S575" s="48">
        <f>IF(A575="","",IF(OR(P575="Pagada",R575=0),"Pagada",IF(O575&lt;TODAY(),"Vencida",IF(O575&lt;=TODAY()+Inicio!$B$19,"Próxima a vencer","Vigente"))))</f>
        <v/>
      </c>
      <c r="T575" s="43" t="n"/>
      <c r="U575" s="68">
        <f>IF($B575="","",YEAR($B575))</f>
        <v/>
      </c>
      <c r="V575" s="68">
        <f>IF($B575="","",MONTH($B575))</f>
        <v/>
      </c>
      <c r="W575" s="68">
        <f>IF($B575="","",DAY($B575))</f>
        <v/>
      </c>
      <c r="X575" s="68">
        <f>IF($B575="","",YEAR($B575)&amp;"-"&amp;TEXT(MONTH($B575),"00"))</f>
        <v/>
      </c>
      <c r="Y575" s="68">
        <f>IF(OR($H575="",$J575=""),"",$J575*IFERROR(VLOOKUP($H575,Maestro_SKU!$A$2:$P$500,12,FALSE),1))</f>
        <v/>
      </c>
    </row>
    <row r="576">
      <c r="A576" s="43" t="n"/>
      <c r="B576" s="54" t="n"/>
      <c r="C576" s="43" t="n"/>
      <c r="D576" s="43" t="n"/>
      <c r="E576" s="48">
        <f>IFERROR(VLOOKUP(D576,Clientes_PDV!$A$2:$J$250,2,FALSE),"")</f>
        <v/>
      </c>
      <c r="F576" s="48">
        <f>IFERROR(VLOOKUP(D576,Clientes_PDV!$A$2:$J$250,3,FALSE),"")</f>
        <v/>
      </c>
      <c r="G576" s="48">
        <f>IFERROR(VLOOKUP(D576,Clientes_PDV!$A$2:$J$250,4,FALSE),"")</f>
        <v/>
      </c>
      <c r="H576" s="43" t="n"/>
      <c r="I576" s="48">
        <f>IFERROR(VLOOKUP(H576,Maestro_SKU!$A$2:$P$500,2,FALSE),"")</f>
        <v/>
      </c>
      <c r="J576" s="55" t="n"/>
      <c r="K576" s="44" t="n"/>
      <c r="L576" s="51">
        <f>IF(OR(J576="",K576=""),"",J576*K576)</f>
        <v/>
      </c>
      <c r="M576" s="51">
        <f>IF(L576="","",L576*Inicio!$B$13)</f>
        <v/>
      </c>
      <c r="N576" s="51">
        <f>IF(L576="","",L576+M576)</f>
        <v/>
      </c>
      <c r="O576" s="54" t="n"/>
      <c r="P576" s="43" t="n"/>
      <c r="Q576" s="44" t="n"/>
      <c r="R576" s="51">
        <f>IF(N576="","",MAX(N576-Q576,0))</f>
        <v/>
      </c>
      <c r="S576" s="48">
        <f>IF(A576="","",IF(OR(P576="Pagada",R576=0),"Pagada",IF(O576&lt;TODAY(),"Vencida",IF(O576&lt;=TODAY()+Inicio!$B$19,"Próxima a vencer","Vigente"))))</f>
        <v/>
      </c>
      <c r="T576" s="43" t="n"/>
      <c r="U576" s="68">
        <f>IF($B576="","",YEAR($B576))</f>
        <v/>
      </c>
      <c r="V576" s="68">
        <f>IF($B576="","",MONTH($B576))</f>
        <v/>
      </c>
      <c r="W576" s="68">
        <f>IF($B576="","",DAY($B576))</f>
        <v/>
      </c>
      <c r="X576" s="68">
        <f>IF($B576="","",YEAR($B576)&amp;"-"&amp;TEXT(MONTH($B576),"00"))</f>
        <v/>
      </c>
      <c r="Y576" s="68">
        <f>IF(OR($H576="",$J576=""),"",$J576*IFERROR(VLOOKUP($H576,Maestro_SKU!$A$2:$P$500,12,FALSE),1))</f>
        <v/>
      </c>
    </row>
    <row r="577">
      <c r="A577" s="43" t="n"/>
      <c r="B577" s="54" t="n"/>
      <c r="C577" s="43" t="n"/>
      <c r="D577" s="43" t="n"/>
      <c r="E577" s="48">
        <f>IFERROR(VLOOKUP(D577,Clientes_PDV!$A$2:$J$250,2,FALSE),"")</f>
        <v/>
      </c>
      <c r="F577" s="48">
        <f>IFERROR(VLOOKUP(D577,Clientes_PDV!$A$2:$J$250,3,FALSE),"")</f>
        <v/>
      </c>
      <c r="G577" s="48">
        <f>IFERROR(VLOOKUP(D577,Clientes_PDV!$A$2:$J$250,4,FALSE),"")</f>
        <v/>
      </c>
      <c r="H577" s="43" t="n"/>
      <c r="I577" s="48">
        <f>IFERROR(VLOOKUP(H577,Maestro_SKU!$A$2:$P$500,2,FALSE),"")</f>
        <v/>
      </c>
      <c r="J577" s="55" t="n"/>
      <c r="K577" s="44" t="n"/>
      <c r="L577" s="51">
        <f>IF(OR(J577="",K577=""),"",J577*K577)</f>
        <v/>
      </c>
      <c r="M577" s="51">
        <f>IF(L577="","",L577*Inicio!$B$13)</f>
        <v/>
      </c>
      <c r="N577" s="51">
        <f>IF(L577="","",L577+M577)</f>
        <v/>
      </c>
      <c r="O577" s="54" t="n"/>
      <c r="P577" s="43" t="n"/>
      <c r="Q577" s="44" t="n"/>
      <c r="R577" s="51">
        <f>IF(N577="","",MAX(N577-Q577,0))</f>
        <v/>
      </c>
      <c r="S577" s="48">
        <f>IF(A577="","",IF(OR(P577="Pagada",R577=0),"Pagada",IF(O577&lt;TODAY(),"Vencida",IF(O577&lt;=TODAY()+Inicio!$B$19,"Próxima a vencer","Vigente"))))</f>
        <v/>
      </c>
      <c r="T577" s="43" t="n"/>
      <c r="U577" s="68">
        <f>IF($B577="","",YEAR($B577))</f>
        <v/>
      </c>
      <c r="V577" s="68">
        <f>IF($B577="","",MONTH($B577))</f>
        <v/>
      </c>
      <c r="W577" s="68">
        <f>IF($B577="","",DAY($B577))</f>
        <v/>
      </c>
      <c r="X577" s="68">
        <f>IF($B577="","",YEAR($B577)&amp;"-"&amp;TEXT(MONTH($B577),"00"))</f>
        <v/>
      </c>
      <c r="Y577" s="68">
        <f>IF(OR($H577="",$J577=""),"",$J577*IFERROR(VLOOKUP($H577,Maestro_SKU!$A$2:$P$500,12,FALSE),1))</f>
        <v/>
      </c>
    </row>
    <row r="578">
      <c r="A578" s="43" t="n"/>
      <c r="B578" s="54" t="n"/>
      <c r="C578" s="43" t="n"/>
      <c r="D578" s="43" t="n"/>
      <c r="E578" s="48">
        <f>IFERROR(VLOOKUP(D578,Clientes_PDV!$A$2:$J$250,2,FALSE),"")</f>
        <v/>
      </c>
      <c r="F578" s="48">
        <f>IFERROR(VLOOKUP(D578,Clientes_PDV!$A$2:$J$250,3,FALSE),"")</f>
        <v/>
      </c>
      <c r="G578" s="48">
        <f>IFERROR(VLOOKUP(D578,Clientes_PDV!$A$2:$J$250,4,FALSE),"")</f>
        <v/>
      </c>
      <c r="H578" s="43" t="n"/>
      <c r="I578" s="48">
        <f>IFERROR(VLOOKUP(H578,Maestro_SKU!$A$2:$P$500,2,FALSE),"")</f>
        <v/>
      </c>
      <c r="J578" s="55" t="n"/>
      <c r="K578" s="44" t="n"/>
      <c r="L578" s="51">
        <f>IF(OR(J578="",K578=""),"",J578*K578)</f>
        <v/>
      </c>
      <c r="M578" s="51">
        <f>IF(L578="","",L578*Inicio!$B$13)</f>
        <v/>
      </c>
      <c r="N578" s="51">
        <f>IF(L578="","",L578+M578)</f>
        <v/>
      </c>
      <c r="O578" s="54" t="n"/>
      <c r="P578" s="43" t="n"/>
      <c r="Q578" s="44" t="n"/>
      <c r="R578" s="51">
        <f>IF(N578="","",MAX(N578-Q578,0))</f>
        <v/>
      </c>
      <c r="S578" s="48">
        <f>IF(A578="","",IF(OR(P578="Pagada",R578=0),"Pagada",IF(O578&lt;TODAY(),"Vencida",IF(O578&lt;=TODAY()+Inicio!$B$19,"Próxima a vencer","Vigente"))))</f>
        <v/>
      </c>
      <c r="T578" s="43" t="n"/>
      <c r="U578" s="68">
        <f>IF($B578="","",YEAR($B578))</f>
        <v/>
      </c>
      <c r="V578" s="68">
        <f>IF($B578="","",MONTH($B578))</f>
        <v/>
      </c>
      <c r="W578" s="68">
        <f>IF($B578="","",DAY($B578))</f>
        <v/>
      </c>
      <c r="X578" s="68">
        <f>IF($B578="","",YEAR($B578)&amp;"-"&amp;TEXT(MONTH($B578),"00"))</f>
        <v/>
      </c>
      <c r="Y578" s="68">
        <f>IF(OR($H578="",$J578=""),"",$J578*IFERROR(VLOOKUP($H578,Maestro_SKU!$A$2:$P$500,12,FALSE),1))</f>
        <v/>
      </c>
    </row>
    <row r="579">
      <c r="A579" s="43" t="n"/>
      <c r="B579" s="54" t="n"/>
      <c r="C579" s="43" t="n"/>
      <c r="D579" s="43" t="n"/>
      <c r="E579" s="48">
        <f>IFERROR(VLOOKUP(D579,Clientes_PDV!$A$2:$J$250,2,FALSE),"")</f>
        <v/>
      </c>
      <c r="F579" s="48">
        <f>IFERROR(VLOOKUP(D579,Clientes_PDV!$A$2:$J$250,3,FALSE),"")</f>
        <v/>
      </c>
      <c r="G579" s="48">
        <f>IFERROR(VLOOKUP(D579,Clientes_PDV!$A$2:$J$250,4,FALSE),"")</f>
        <v/>
      </c>
      <c r="H579" s="43" t="n"/>
      <c r="I579" s="48">
        <f>IFERROR(VLOOKUP(H579,Maestro_SKU!$A$2:$P$500,2,FALSE),"")</f>
        <v/>
      </c>
      <c r="J579" s="55" t="n"/>
      <c r="K579" s="44" t="n"/>
      <c r="L579" s="51">
        <f>IF(OR(J579="",K579=""),"",J579*K579)</f>
        <v/>
      </c>
      <c r="M579" s="51">
        <f>IF(L579="","",L579*Inicio!$B$13)</f>
        <v/>
      </c>
      <c r="N579" s="51">
        <f>IF(L579="","",L579+M579)</f>
        <v/>
      </c>
      <c r="O579" s="54" t="n"/>
      <c r="P579" s="43" t="n"/>
      <c r="Q579" s="44" t="n"/>
      <c r="R579" s="51">
        <f>IF(N579="","",MAX(N579-Q579,0))</f>
        <v/>
      </c>
      <c r="S579" s="48">
        <f>IF(A579="","",IF(OR(P579="Pagada",R579=0),"Pagada",IF(O579&lt;TODAY(),"Vencida",IF(O579&lt;=TODAY()+Inicio!$B$19,"Próxima a vencer","Vigente"))))</f>
        <v/>
      </c>
      <c r="T579" s="43" t="n"/>
      <c r="U579" s="68">
        <f>IF($B579="","",YEAR($B579))</f>
        <v/>
      </c>
      <c r="V579" s="68">
        <f>IF($B579="","",MONTH($B579))</f>
        <v/>
      </c>
      <c r="W579" s="68">
        <f>IF($B579="","",DAY($B579))</f>
        <v/>
      </c>
      <c r="X579" s="68">
        <f>IF($B579="","",YEAR($B579)&amp;"-"&amp;TEXT(MONTH($B579),"00"))</f>
        <v/>
      </c>
      <c r="Y579" s="68">
        <f>IF(OR($H579="",$J579=""),"",$J579*IFERROR(VLOOKUP($H579,Maestro_SKU!$A$2:$P$500,12,FALSE),1))</f>
        <v/>
      </c>
    </row>
    <row r="580">
      <c r="A580" s="43" t="n"/>
      <c r="B580" s="54" t="n"/>
      <c r="C580" s="43" t="n"/>
      <c r="D580" s="43" t="n"/>
      <c r="E580" s="48">
        <f>IFERROR(VLOOKUP(D580,Clientes_PDV!$A$2:$J$250,2,FALSE),"")</f>
        <v/>
      </c>
      <c r="F580" s="48">
        <f>IFERROR(VLOOKUP(D580,Clientes_PDV!$A$2:$J$250,3,FALSE),"")</f>
        <v/>
      </c>
      <c r="G580" s="48">
        <f>IFERROR(VLOOKUP(D580,Clientes_PDV!$A$2:$J$250,4,FALSE),"")</f>
        <v/>
      </c>
      <c r="H580" s="43" t="n"/>
      <c r="I580" s="48">
        <f>IFERROR(VLOOKUP(H580,Maestro_SKU!$A$2:$P$500,2,FALSE),"")</f>
        <v/>
      </c>
      <c r="J580" s="55" t="n"/>
      <c r="K580" s="44" t="n"/>
      <c r="L580" s="51">
        <f>IF(OR(J580="",K580=""),"",J580*K580)</f>
        <v/>
      </c>
      <c r="M580" s="51">
        <f>IF(L580="","",L580*Inicio!$B$13)</f>
        <v/>
      </c>
      <c r="N580" s="51">
        <f>IF(L580="","",L580+M580)</f>
        <v/>
      </c>
      <c r="O580" s="54" t="n"/>
      <c r="P580" s="43" t="n"/>
      <c r="Q580" s="44" t="n"/>
      <c r="R580" s="51">
        <f>IF(N580="","",MAX(N580-Q580,0))</f>
        <v/>
      </c>
      <c r="S580" s="48">
        <f>IF(A580="","",IF(OR(P580="Pagada",R580=0),"Pagada",IF(O580&lt;TODAY(),"Vencida",IF(O580&lt;=TODAY()+Inicio!$B$19,"Próxima a vencer","Vigente"))))</f>
        <v/>
      </c>
      <c r="T580" s="43" t="n"/>
      <c r="U580" s="68">
        <f>IF($B580="","",YEAR($B580))</f>
        <v/>
      </c>
      <c r="V580" s="68">
        <f>IF($B580="","",MONTH($B580))</f>
        <v/>
      </c>
      <c r="W580" s="68">
        <f>IF($B580="","",DAY($B580))</f>
        <v/>
      </c>
      <c r="X580" s="68">
        <f>IF($B580="","",YEAR($B580)&amp;"-"&amp;TEXT(MONTH($B580),"00"))</f>
        <v/>
      </c>
      <c r="Y580" s="68">
        <f>IF(OR($H580="",$J580=""),"",$J580*IFERROR(VLOOKUP($H580,Maestro_SKU!$A$2:$P$500,12,FALSE),1))</f>
        <v/>
      </c>
    </row>
    <row r="581">
      <c r="A581" s="43" t="n"/>
      <c r="B581" s="54" t="n"/>
      <c r="C581" s="43" t="n"/>
      <c r="D581" s="43" t="n"/>
      <c r="E581" s="48">
        <f>IFERROR(VLOOKUP(D581,Clientes_PDV!$A$2:$J$250,2,FALSE),"")</f>
        <v/>
      </c>
      <c r="F581" s="48">
        <f>IFERROR(VLOOKUP(D581,Clientes_PDV!$A$2:$J$250,3,FALSE),"")</f>
        <v/>
      </c>
      <c r="G581" s="48">
        <f>IFERROR(VLOOKUP(D581,Clientes_PDV!$A$2:$J$250,4,FALSE),"")</f>
        <v/>
      </c>
      <c r="H581" s="43" t="n"/>
      <c r="I581" s="48">
        <f>IFERROR(VLOOKUP(H581,Maestro_SKU!$A$2:$P$500,2,FALSE),"")</f>
        <v/>
      </c>
      <c r="J581" s="55" t="n"/>
      <c r="K581" s="44" t="n"/>
      <c r="L581" s="51">
        <f>IF(OR(J581="",K581=""),"",J581*K581)</f>
        <v/>
      </c>
      <c r="M581" s="51">
        <f>IF(L581="","",L581*Inicio!$B$13)</f>
        <v/>
      </c>
      <c r="N581" s="51">
        <f>IF(L581="","",L581+M581)</f>
        <v/>
      </c>
      <c r="O581" s="54" t="n"/>
      <c r="P581" s="43" t="n"/>
      <c r="Q581" s="44" t="n"/>
      <c r="R581" s="51">
        <f>IF(N581="","",MAX(N581-Q581,0))</f>
        <v/>
      </c>
      <c r="S581" s="48">
        <f>IF(A581="","",IF(OR(P581="Pagada",R581=0),"Pagada",IF(O581&lt;TODAY(),"Vencida",IF(O581&lt;=TODAY()+Inicio!$B$19,"Próxima a vencer","Vigente"))))</f>
        <v/>
      </c>
      <c r="T581" s="43" t="n"/>
      <c r="U581" s="68">
        <f>IF($B581="","",YEAR($B581))</f>
        <v/>
      </c>
      <c r="V581" s="68">
        <f>IF($B581="","",MONTH($B581))</f>
        <v/>
      </c>
      <c r="W581" s="68">
        <f>IF($B581="","",DAY($B581))</f>
        <v/>
      </c>
      <c r="X581" s="68">
        <f>IF($B581="","",YEAR($B581)&amp;"-"&amp;TEXT(MONTH($B581),"00"))</f>
        <v/>
      </c>
      <c r="Y581" s="68">
        <f>IF(OR($H581="",$J581=""),"",$J581*IFERROR(VLOOKUP($H581,Maestro_SKU!$A$2:$P$500,12,FALSE),1))</f>
        <v/>
      </c>
    </row>
    <row r="582">
      <c r="A582" s="43" t="n"/>
      <c r="B582" s="54" t="n"/>
      <c r="C582" s="43" t="n"/>
      <c r="D582" s="43" t="n"/>
      <c r="E582" s="48">
        <f>IFERROR(VLOOKUP(D582,Clientes_PDV!$A$2:$J$250,2,FALSE),"")</f>
        <v/>
      </c>
      <c r="F582" s="48">
        <f>IFERROR(VLOOKUP(D582,Clientes_PDV!$A$2:$J$250,3,FALSE),"")</f>
        <v/>
      </c>
      <c r="G582" s="48">
        <f>IFERROR(VLOOKUP(D582,Clientes_PDV!$A$2:$J$250,4,FALSE),"")</f>
        <v/>
      </c>
      <c r="H582" s="43" t="n"/>
      <c r="I582" s="48">
        <f>IFERROR(VLOOKUP(H582,Maestro_SKU!$A$2:$P$500,2,FALSE),"")</f>
        <v/>
      </c>
      <c r="J582" s="55" t="n"/>
      <c r="K582" s="44" t="n"/>
      <c r="L582" s="51">
        <f>IF(OR(J582="",K582=""),"",J582*K582)</f>
        <v/>
      </c>
      <c r="M582" s="51">
        <f>IF(L582="","",L582*Inicio!$B$13)</f>
        <v/>
      </c>
      <c r="N582" s="51">
        <f>IF(L582="","",L582+M582)</f>
        <v/>
      </c>
      <c r="O582" s="54" t="n"/>
      <c r="P582" s="43" t="n"/>
      <c r="Q582" s="44" t="n"/>
      <c r="R582" s="51">
        <f>IF(N582="","",MAX(N582-Q582,0))</f>
        <v/>
      </c>
      <c r="S582" s="48">
        <f>IF(A582="","",IF(OR(P582="Pagada",R582=0),"Pagada",IF(O582&lt;TODAY(),"Vencida",IF(O582&lt;=TODAY()+Inicio!$B$19,"Próxima a vencer","Vigente"))))</f>
        <v/>
      </c>
      <c r="T582" s="43" t="n"/>
      <c r="U582" s="68">
        <f>IF($B582="","",YEAR($B582))</f>
        <v/>
      </c>
      <c r="V582" s="68">
        <f>IF($B582="","",MONTH($B582))</f>
        <v/>
      </c>
      <c r="W582" s="68">
        <f>IF($B582="","",DAY($B582))</f>
        <v/>
      </c>
      <c r="X582" s="68">
        <f>IF($B582="","",YEAR($B582)&amp;"-"&amp;TEXT(MONTH($B582),"00"))</f>
        <v/>
      </c>
      <c r="Y582" s="68">
        <f>IF(OR($H582="",$J582=""),"",$J582*IFERROR(VLOOKUP($H582,Maestro_SKU!$A$2:$P$500,12,FALSE),1))</f>
        <v/>
      </c>
    </row>
    <row r="583">
      <c r="A583" s="43" t="n"/>
      <c r="B583" s="54" t="n"/>
      <c r="C583" s="43" t="n"/>
      <c r="D583" s="43" t="n"/>
      <c r="E583" s="48">
        <f>IFERROR(VLOOKUP(D583,Clientes_PDV!$A$2:$J$250,2,FALSE),"")</f>
        <v/>
      </c>
      <c r="F583" s="48">
        <f>IFERROR(VLOOKUP(D583,Clientes_PDV!$A$2:$J$250,3,FALSE),"")</f>
        <v/>
      </c>
      <c r="G583" s="48">
        <f>IFERROR(VLOOKUP(D583,Clientes_PDV!$A$2:$J$250,4,FALSE),"")</f>
        <v/>
      </c>
      <c r="H583" s="43" t="n"/>
      <c r="I583" s="48">
        <f>IFERROR(VLOOKUP(H583,Maestro_SKU!$A$2:$P$500,2,FALSE),"")</f>
        <v/>
      </c>
      <c r="J583" s="55" t="n"/>
      <c r="K583" s="44" t="n"/>
      <c r="L583" s="51">
        <f>IF(OR(J583="",K583=""),"",J583*K583)</f>
        <v/>
      </c>
      <c r="M583" s="51">
        <f>IF(L583="","",L583*Inicio!$B$13)</f>
        <v/>
      </c>
      <c r="N583" s="51">
        <f>IF(L583="","",L583+M583)</f>
        <v/>
      </c>
      <c r="O583" s="54" t="n"/>
      <c r="P583" s="43" t="n"/>
      <c r="Q583" s="44" t="n"/>
      <c r="R583" s="51">
        <f>IF(N583="","",MAX(N583-Q583,0))</f>
        <v/>
      </c>
      <c r="S583" s="48">
        <f>IF(A583="","",IF(OR(P583="Pagada",R583=0),"Pagada",IF(O583&lt;TODAY(),"Vencida",IF(O583&lt;=TODAY()+Inicio!$B$19,"Próxima a vencer","Vigente"))))</f>
        <v/>
      </c>
      <c r="T583" s="43" t="n"/>
      <c r="U583" s="68">
        <f>IF($B583="","",YEAR($B583))</f>
        <v/>
      </c>
      <c r="V583" s="68">
        <f>IF($B583="","",MONTH($B583))</f>
        <v/>
      </c>
      <c r="W583" s="68">
        <f>IF($B583="","",DAY($B583))</f>
        <v/>
      </c>
      <c r="X583" s="68">
        <f>IF($B583="","",YEAR($B583)&amp;"-"&amp;TEXT(MONTH($B583),"00"))</f>
        <v/>
      </c>
      <c r="Y583" s="68">
        <f>IF(OR($H583="",$J583=""),"",$J583*IFERROR(VLOOKUP($H583,Maestro_SKU!$A$2:$P$500,12,FALSE),1))</f>
        <v/>
      </c>
    </row>
    <row r="584">
      <c r="A584" s="43" t="n"/>
      <c r="B584" s="54" t="n"/>
      <c r="C584" s="43" t="n"/>
      <c r="D584" s="43" t="n"/>
      <c r="E584" s="48">
        <f>IFERROR(VLOOKUP(D584,Clientes_PDV!$A$2:$J$250,2,FALSE),"")</f>
        <v/>
      </c>
      <c r="F584" s="48">
        <f>IFERROR(VLOOKUP(D584,Clientes_PDV!$A$2:$J$250,3,FALSE),"")</f>
        <v/>
      </c>
      <c r="G584" s="48">
        <f>IFERROR(VLOOKUP(D584,Clientes_PDV!$A$2:$J$250,4,FALSE),"")</f>
        <v/>
      </c>
      <c r="H584" s="43" t="n"/>
      <c r="I584" s="48">
        <f>IFERROR(VLOOKUP(H584,Maestro_SKU!$A$2:$P$500,2,FALSE),"")</f>
        <v/>
      </c>
      <c r="J584" s="55" t="n"/>
      <c r="K584" s="44" t="n"/>
      <c r="L584" s="51">
        <f>IF(OR(J584="",K584=""),"",J584*K584)</f>
        <v/>
      </c>
      <c r="M584" s="51">
        <f>IF(L584="","",L584*Inicio!$B$13)</f>
        <v/>
      </c>
      <c r="N584" s="51">
        <f>IF(L584="","",L584+M584)</f>
        <v/>
      </c>
      <c r="O584" s="54" t="n"/>
      <c r="P584" s="43" t="n"/>
      <c r="Q584" s="44" t="n"/>
      <c r="R584" s="51">
        <f>IF(N584="","",MAX(N584-Q584,0))</f>
        <v/>
      </c>
      <c r="S584" s="48">
        <f>IF(A584="","",IF(OR(P584="Pagada",R584=0),"Pagada",IF(O584&lt;TODAY(),"Vencida",IF(O584&lt;=TODAY()+Inicio!$B$19,"Próxima a vencer","Vigente"))))</f>
        <v/>
      </c>
      <c r="T584" s="43" t="n"/>
      <c r="U584" s="68">
        <f>IF($B584="","",YEAR($B584))</f>
        <v/>
      </c>
      <c r="V584" s="68">
        <f>IF($B584="","",MONTH($B584))</f>
        <v/>
      </c>
      <c r="W584" s="68">
        <f>IF($B584="","",DAY($B584))</f>
        <v/>
      </c>
      <c r="X584" s="68">
        <f>IF($B584="","",YEAR($B584)&amp;"-"&amp;TEXT(MONTH($B584),"00"))</f>
        <v/>
      </c>
      <c r="Y584" s="68">
        <f>IF(OR($H584="",$J584=""),"",$J584*IFERROR(VLOOKUP($H584,Maestro_SKU!$A$2:$P$500,12,FALSE),1))</f>
        <v/>
      </c>
    </row>
    <row r="585">
      <c r="A585" s="43" t="n"/>
      <c r="B585" s="54" t="n"/>
      <c r="C585" s="43" t="n"/>
      <c r="D585" s="43" t="n"/>
      <c r="E585" s="48">
        <f>IFERROR(VLOOKUP(D585,Clientes_PDV!$A$2:$J$250,2,FALSE),"")</f>
        <v/>
      </c>
      <c r="F585" s="48">
        <f>IFERROR(VLOOKUP(D585,Clientes_PDV!$A$2:$J$250,3,FALSE),"")</f>
        <v/>
      </c>
      <c r="G585" s="48">
        <f>IFERROR(VLOOKUP(D585,Clientes_PDV!$A$2:$J$250,4,FALSE),"")</f>
        <v/>
      </c>
      <c r="H585" s="43" t="n"/>
      <c r="I585" s="48">
        <f>IFERROR(VLOOKUP(H585,Maestro_SKU!$A$2:$P$500,2,FALSE),"")</f>
        <v/>
      </c>
      <c r="J585" s="55" t="n"/>
      <c r="K585" s="44" t="n"/>
      <c r="L585" s="51">
        <f>IF(OR(J585="",K585=""),"",J585*K585)</f>
        <v/>
      </c>
      <c r="M585" s="51">
        <f>IF(L585="","",L585*Inicio!$B$13)</f>
        <v/>
      </c>
      <c r="N585" s="51">
        <f>IF(L585="","",L585+M585)</f>
        <v/>
      </c>
      <c r="O585" s="54" t="n"/>
      <c r="P585" s="43" t="n"/>
      <c r="Q585" s="44" t="n"/>
      <c r="R585" s="51">
        <f>IF(N585="","",MAX(N585-Q585,0))</f>
        <v/>
      </c>
      <c r="S585" s="48">
        <f>IF(A585="","",IF(OR(P585="Pagada",R585=0),"Pagada",IF(O585&lt;TODAY(),"Vencida",IF(O585&lt;=TODAY()+Inicio!$B$19,"Próxima a vencer","Vigente"))))</f>
        <v/>
      </c>
      <c r="T585" s="43" t="n"/>
      <c r="U585" s="68">
        <f>IF($B585="","",YEAR($B585))</f>
        <v/>
      </c>
      <c r="V585" s="68">
        <f>IF($B585="","",MONTH($B585))</f>
        <v/>
      </c>
      <c r="W585" s="68">
        <f>IF($B585="","",DAY($B585))</f>
        <v/>
      </c>
      <c r="X585" s="68">
        <f>IF($B585="","",YEAR($B585)&amp;"-"&amp;TEXT(MONTH($B585),"00"))</f>
        <v/>
      </c>
      <c r="Y585" s="68">
        <f>IF(OR($H585="",$J585=""),"",$J585*IFERROR(VLOOKUP($H585,Maestro_SKU!$A$2:$P$500,12,FALSE),1))</f>
        <v/>
      </c>
    </row>
    <row r="586">
      <c r="A586" s="43" t="n"/>
      <c r="B586" s="54" t="n"/>
      <c r="C586" s="43" t="n"/>
      <c r="D586" s="43" t="n"/>
      <c r="E586" s="48">
        <f>IFERROR(VLOOKUP(D586,Clientes_PDV!$A$2:$J$250,2,FALSE),"")</f>
        <v/>
      </c>
      <c r="F586" s="48">
        <f>IFERROR(VLOOKUP(D586,Clientes_PDV!$A$2:$J$250,3,FALSE),"")</f>
        <v/>
      </c>
      <c r="G586" s="48">
        <f>IFERROR(VLOOKUP(D586,Clientes_PDV!$A$2:$J$250,4,FALSE),"")</f>
        <v/>
      </c>
      <c r="H586" s="43" t="n"/>
      <c r="I586" s="48">
        <f>IFERROR(VLOOKUP(H586,Maestro_SKU!$A$2:$P$500,2,FALSE),"")</f>
        <v/>
      </c>
      <c r="J586" s="55" t="n"/>
      <c r="K586" s="44" t="n"/>
      <c r="L586" s="51">
        <f>IF(OR(J586="",K586=""),"",J586*K586)</f>
        <v/>
      </c>
      <c r="M586" s="51">
        <f>IF(L586="","",L586*Inicio!$B$13)</f>
        <v/>
      </c>
      <c r="N586" s="51">
        <f>IF(L586="","",L586+M586)</f>
        <v/>
      </c>
      <c r="O586" s="54" t="n"/>
      <c r="P586" s="43" t="n"/>
      <c r="Q586" s="44" t="n"/>
      <c r="R586" s="51">
        <f>IF(N586="","",MAX(N586-Q586,0))</f>
        <v/>
      </c>
      <c r="S586" s="48">
        <f>IF(A586="","",IF(OR(P586="Pagada",R586=0),"Pagada",IF(O586&lt;TODAY(),"Vencida",IF(O586&lt;=TODAY()+Inicio!$B$19,"Próxima a vencer","Vigente"))))</f>
        <v/>
      </c>
      <c r="T586" s="43" t="n"/>
      <c r="U586" s="68">
        <f>IF($B586="","",YEAR($B586))</f>
        <v/>
      </c>
      <c r="V586" s="68">
        <f>IF($B586="","",MONTH($B586))</f>
        <v/>
      </c>
      <c r="W586" s="68">
        <f>IF($B586="","",DAY($B586))</f>
        <v/>
      </c>
      <c r="X586" s="68">
        <f>IF($B586="","",YEAR($B586)&amp;"-"&amp;TEXT(MONTH($B586),"00"))</f>
        <v/>
      </c>
      <c r="Y586" s="68">
        <f>IF(OR($H586="",$J586=""),"",$J586*IFERROR(VLOOKUP($H586,Maestro_SKU!$A$2:$P$500,12,FALSE),1))</f>
        <v/>
      </c>
    </row>
    <row r="587">
      <c r="A587" s="43" t="n"/>
      <c r="B587" s="54" t="n"/>
      <c r="C587" s="43" t="n"/>
      <c r="D587" s="43" t="n"/>
      <c r="E587" s="48">
        <f>IFERROR(VLOOKUP(D587,Clientes_PDV!$A$2:$J$250,2,FALSE),"")</f>
        <v/>
      </c>
      <c r="F587" s="48">
        <f>IFERROR(VLOOKUP(D587,Clientes_PDV!$A$2:$J$250,3,FALSE),"")</f>
        <v/>
      </c>
      <c r="G587" s="48">
        <f>IFERROR(VLOOKUP(D587,Clientes_PDV!$A$2:$J$250,4,FALSE),"")</f>
        <v/>
      </c>
      <c r="H587" s="43" t="n"/>
      <c r="I587" s="48">
        <f>IFERROR(VLOOKUP(H587,Maestro_SKU!$A$2:$P$500,2,FALSE),"")</f>
        <v/>
      </c>
      <c r="J587" s="55" t="n"/>
      <c r="K587" s="44" t="n"/>
      <c r="L587" s="51">
        <f>IF(OR(J587="",K587=""),"",J587*K587)</f>
        <v/>
      </c>
      <c r="M587" s="51">
        <f>IF(L587="","",L587*Inicio!$B$13)</f>
        <v/>
      </c>
      <c r="N587" s="51">
        <f>IF(L587="","",L587+M587)</f>
        <v/>
      </c>
      <c r="O587" s="54" t="n"/>
      <c r="P587" s="43" t="n"/>
      <c r="Q587" s="44" t="n"/>
      <c r="R587" s="51">
        <f>IF(N587="","",MAX(N587-Q587,0))</f>
        <v/>
      </c>
      <c r="S587" s="48">
        <f>IF(A587="","",IF(OR(P587="Pagada",R587=0),"Pagada",IF(O587&lt;TODAY(),"Vencida",IF(O587&lt;=TODAY()+Inicio!$B$19,"Próxima a vencer","Vigente"))))</f>
        <v/>
      </c>
      <c r="T587" s="43" t="n"/>
      <c r="U587" s="68">
        <f>IF($B587="","",YEAR($B587))</f>
        <v/>
      </c>
      <c r="V587" s="68">
        <f>IF($B587="","",MONTH($B587))</f>
        <v/>
      </c>
      <c r="W587" s="68">
        <f>IF($B587="","",DAY($B587))</f>
        <v/>
      </c>
      <c r="X587" s="68">
        <f>IF($B587="","",YEAR($B587)&amp;"-"&amp;TEXT(MONTH($B587),"00"))</f>
        <v/>
      </c>
      <c r="Y587" s="68">
        <f>IF(OR($H587="",$J587=""),"",$J587*IFERROR(VLOOKUP($H587,Maestro_SKU!$A$2:$P$500,12,FALSE),1))</f>
        <v/>
      </c>
    </row>
    <row r="588">
      <c r="A588" s="43" t="n"/>
      <c r="B588" s="54" t="n"/>
      <c r="C588" s="43" t="n"/>
      <c r="D588" s="43" t="n"/>
      <c r="E588" s="48">
        <f>IFERROR(VLOOKUP(D588,Clientes_PDV!$A$2:$J$250,2,FALSE),"")</f>
        <v/>
      </c>
      <c r="F588" s="48">
        <f>IFERROR(VLOOKUP(D588,Clientes_PDV!$A$2:$J$250,3,FALSE),"")</f>
        <v/>
      </c>
      <c r="G588" s="48">
        <f>IFERROR(VLOOKUP(D588,Clientes_PDV!$A$2:$J$250,4,FALSE),"")</f>
        <v/>
      </c>
      <c r="H588" s="43" t="n"/>
      <c r="I588" s="48">
        <f>IFERROR(VLOOKUP(H588,Maestro_SKU!$A$2:$P$500,2,FALSE),"")</f>
        <v/>
      </c>
      <c r="J588" s="55" t="n"/>
      <c r="K588" s="44" t="n"/>
      <c r="L588" s="51">
        <f>IF(OR(J588="",K588=""),"",J588*K588)</f>
        <v/>
      </c>
      <c r="M588" s="51">
        <f>IF(L588="","",L588*Inicio!$B$13)</f>
        <v/>
      </c>
      <c r="N588" s="51">
        <f>IF(L588="","",L588+M588)</f>
        <v/>
      </c>
      <c r="O588" s="54" t="n"/>
      <c r="P588" s="43" t="n"/>
      <c r="Q588" s="44" t="n"/>
      <c r="R588" s="51">
        <f>IF(N588="","",MAX(N588-Q588,0))</f>
        <v/>
      </c>
      <c r="S588" s="48">
        <f>IF(A588="","",IF(OR(P588="Pagada",R588=0),"Pagada",IF(O588&lt;TODAY(),"Vencida",IF(O588&lt;=TODAY()+Inicio!$B$19,"Próxima a vencer","Vigente"))))</f>
        <v/>
      </c>
      <c r="T588" s="43" t="n"/>
      <c r="U588" s="68">
        <f>IF($B588="","",YEAR($B588))</f>
        <v/>
      </c>
      <c r="V588" s="68">
        <f>IF($B588="","",MONTH($B588))</f>
        <v/>
      </c>
      <c r="W588" s="68">
        <f>IF($B588="","",DAY($B588))</f>
        <v/>
      </c>
      <c r="X588" s="68">
        <f>IF($B588="","",YEAR($B588)&amp;"-"&amp;TEXT(MONTH($B588),"00"))</f>
        <v/>
      </c>
      <c r="Y588" s="68">
        <f>IF(OR($H588="",$J588=""),"",$J588*IFERROR(VLOOKUP($H588,Maestro_SKU!$A$2:$P$500,12,FALSE),1))</f>
        <v/>
      </c>
    </row>
    <row r="589">
      <c r="A589" s="43" t="n"/>
      <c r="B589" s="54" t="n"/>
      <c r="C589" s="43" t="n"/>
      <c r="D589" s="43" t="n"/>
      <c r="E589" s="48">
        <f>IFERROR(VLOOKUP(D589,Clientes_PDV!$A$2:$J$250,2,FALSE),"")</f>
        <v/>
      </c>
      <c r="F589" s="48">
        <f>IFERROR(VLOOKUP(D589,Clientes_PDV!$A$2:$J$250,3,FALSE),"")</f>
        <v/>
      </c>
      <c r="G589" s="48">
        <f>IFERROR(VLOOKUP(D589,Clientes_PDV!$A$2:$J$250,4,FALSE),"")</f>
        <v/>
      </c>
      <c r="H589" s="43" t="n"/>
      <c r="I589" s="48">
        <f>IFERROR(VLOOKUP(H589,Maestro_SKU!$A$2:$P$500,2,FALSE),"")</f>
        <v/>
      </c>
      <c r="J589" s="55" t="n"/>
      <c r="K589" s="44" t="n"/>
      <c r="L589" s="51">
        <f>IF(OR(J589="",K589=""),"",J589*K589)</f>
        <v/>
      </c>
      <c r="M589" s="51">
        <f>IF(L589="","",L589*Inicio!$B$13)</f>
        <v/>
      </c>
      <c r="N589" s="51">
        <f>IF(L589="","",L589+M589)</f>
        <v/>
      </c>
      <c r="O589" s="54" t="n"/>
      <c r="P589" s="43" t="n"/>
      <c r="Q589" s="44" t="n"/>
      <c r="R589" s="51">
        <f>IF(N589="","",MAX(N589-Q589,0))</f>
        <v/>
      </c>
      <c r="S589" s="48">
        <f>IF(A589="","",IF(OR(P589="Pagada",R589=0),"Pagada",IF(O589&lt;TODAY(),"Vencida",IF(O589&lt;=TODAY()+Inicio!$B$19,"Próxima a vencer","Vigente"))))</f>
        <v/>
      </c>
      <c r="T589" s="43" t="n"/>
      <c r="U589" s="68">
        <f>IF($B589="","",YEAR($B589))</f>
        <v/>
      </c>
      <c r="V589" s="68">
        <f>IF($B589="","",MONTH($B589))</f>
        <v/>
      </c>
      <c r="W589" s="68">
        <f>IF($B589="","",DAY($B589))</f>
        <v/>
      </c>
      <c r="X589" s="68">
        <f>IF($B589="","",YEAR($B589)&amp;"-"&amp;TEXT(MONTH($B589),"00"))</f>
        <v/>
      </c>
      <c r="Y589" s="68">
        <f>IF(OR($H589="",$J589=""),"",$J589*IFERROR(VLOOKUP($H589,Maestro_SKU!$A$2:$P$500,12,FALSE),1))</f>
        <v/>
      </c>
    </row>
    <row r="590">
      <c r="A590" s="43" t="n"/>
      <c r="B590" s="54" t="n"/>
      <c r="C590" s="43" t="n"/>
      <c r="D590" s="43" t="n"/>
      <c r="E590" s="48">
        <f>IFERROR(VLOOKUP(D590,Clientes_PDV!$A$2:$J$250,2,FALSE),"")</f>
        <v/>
      </c>
      <c r="F590" s="48">
        <f>IFERROR(VLOOKUP(D590,Clientes_PDV!$A$2:$J$250,3,FALSE),"")</f>
        <v/>
      </c>
      <c r="G590" s="48">
        <f>IFERROR(VLOOKUP(D590,Clientes_PDV!$A$2:$J$250,4,FALSE),"")</f>
        <v/>
      </c>
      <c r="H590" s="43" t="n"/>
      <c r="I590" s="48">
        <f>IFERROR(VLOOKUP(H590,Maestro_SKU!$A$2:$P$500,2,FALSE),"")</f>
        <v/>
      </c>
      <c r="J590" s="55" t="n"/>
      <c r="K590" s="44" t="n"/>
      <c r="L590" s="51">
        <f>IF(OR(J590="",K590=""),"",J590*K590)</f>
        <v/>
      </c>
      <c r="M590" s="51">
        <f>IF(L590="","",L590*Inicio!$B$13)</f>
        <v/>
      </c>
      <c r="N590" s="51">
        <f>IF(L590="","",L590+M590)</f>
        <v/>
      </c>
      <c r="O590" s="54" t="n"/>
      <c r="P590" s="43" t="n"/>
      <c r="Q590" s="44" t="n"/>
      <c r="R590" s="51">
        <f>IF(N590="","",MAX(N590-Q590,0))</f>
        <v/>
      </c>
      <c r="S590" s="48">
        <f>IF(A590="","",IF(OR(P590="Pagada",R590=0),"Pagada",IF(O590&lt;TODAY(),"Vencida",IF(O590&lt;=TODAY()+Inicio!$B$19,"Próxima a vencer","Vigente"))))</f>
        <v/>
      </c>
      <c r="T590" s="43" t="n"/>
      <c r="U590" s="68">
        <f>IF($B590="","",YEAR($B590))</f>
        <v/>
      </c>
      <c r="V590" s="68">
        <f>IF($B590="","",MONTH($B590))</f>
        <v/>
      </c>
      <c r="W590" s="68">
        <f>IF($B590="","",DAY($B590))</f>
        <v/>
      </c>
      <c r="X590" s="68">
        <f>IF($B590="","",YEAR($B590)&amp;"-"&amp;TEXT(MONTH($B590),"00"))</f>
        <v/>
      </c>
      <c r="Y590" s="68">
        <f>IF(OR($H590="",$J590=""),"",$J590*IFERROR(VLOOKUP($H590,Maestro_SKU!$A$2:$P$500,12,FALSE),1))</f>
        <v/>
      </c>
    </row>
    <row r="591">
      <c r="A591" s="43" t="n"/>
      <c r="B591" s="54" t="n"/>
      <c r="C591" s="43" t="n"/>
      <c r="D591" s="43" t="n"/>
      <c r="E591" s="48">
        <f>IFERROR(VLOOKUP(D591,Clientes_PDV!$A$2:$J$250,2,FALSE),"")</f>
        <v/>
      </c>
      <c r="F591" s="48">
        <f>IFERROR(VLOOKUP(D591,Clientes_PDV!$A$2:$J$250,3,FALSE),"")</f>
        <v/>
      </c>
      <c r="G591" s="48">
        <f>IFERROR(VLOOKUP(D591,Clientes_PDV!$A$2:$J$250,4,FALSE),"")</f>
        <v/>
      </c>
      <c r="H591" s="43" t="n"/>
      <c r="I591" s="48">
        <f>IFERROR(VLOOKUP(H591,Maestro_SKU!$A$2:$P$500,2,FALSE),"")</f>
        <v/>
      </c>
      <c r="J591" s="55" t="n"/>
      <c r="K591" s="44" t="n"/>
      <c r="L591" s="51">
        <f>IF(OR(J591="",K591=""),"",J591*K591)</f>
        <v/>
      </c>
      <c r="M591" s="51">
        <f>IF(L591="","",L591*Inicio!$B$13)</f>
        <v/>
      </c>
      <c r="N591" s="51">
        <f>IF(L591="","",L591+M591)</f>
        <v/>
      </c>
      <c r="O591" s="54" t="n"/>
      <c r="P591" s="43" t="n"/>
      <c r="Q591" s="44" t="n"/>
      <c r="R591" s="51">
        <f>IF(N591="","",MAX(N591-Q591,0))</f>
        <v/>
      </c>
      <c r="S591" s="48">
        <f>IF(A591="","",IF(OR(P591="Pagada",R591=0),"Pagada",IF(O591&lt;TODAY(),"Vencida",IF(O591&lt;=TODAY()+Inicio!$B$19,"Próxima a vencer","Vigente"))))</f>
        <v/>
      </c>
      <c r="T591" s="43" t="n"/>
      <c r="U591" s="68">
        <f>IF($B591="","",YEAR($B591))</f>
        <v/>
      </c>
      <c r="V591" s="68">
        <f>IF($B591="","",MONTH($B591))</f>
        <v/>
      </c>
      <c r="W591" s="68">
        <f>IF($B591="","",DAY($B591))</f>
        <v/>
      </c>
      <c r="X591" s="68">
        <f>IF($B591="","",YEAR($B591)&amp;"-"&amp;TEXT(MONTH($B591),"00"))</f>
        <v/>
      </c>
      <c r="Y591" s="68">
        <f>IF(OR($H591="",$J591=""),"",$J591*IFERROR(VLOOKUP($H591,Maestro_SKU!$A$2:$P$500,12,FALSE),1))</f>
        <v/>
      </c>
    </row>
    <row r="592">
      <c r="A592" s="43" t="n"/>
      <c r="B592" s="54" t="n"/>
      <c r="C592" s="43" t="n"/>
      <c r="D592" s="43" t="n"/>
      <c r="E592" s="48">
        <f>IFERROR(VLOOKUP(D592,Clientes_PDV!$A$2:$J$250,2,FALSE),"")</f>
        <v/>
      </c>
      <c r="F592" s="48">
        <f>IFERROR(VLOOKUP(D592,Clientes_PDV!$A$2:$J$250,3,FALSE),"")</f>
        <v/>
      </c>
      <c r="G592" s="48">
        <f>IFERROR(VLOOKUP(D592,Clientes_PDV!$A$2:$J$250,4,FALSE),"")</f>
        <v/>
      </c>
      <c r="H592" s="43" t="n"/>
      <c r="I592" s="48">
        <f>IFERROR(VLOOKUP(H592,Maestro_SKU!$A$2:$P$500,2,FALSE),"")</f>
        <v/>
      </c>
      <c r="J592" s="55" t="n"/>
      <c r="K592" s="44" t="n"/>
      <c r="L592" s="51">
        <f>IF(OR(J592="",K592=""),"",J592*K592)</f>
        <v/>
      </c>
      <c r="M592" s="51">
        <f>IF(L592="","",L592*Inicio!$B$13)</f>
        <v/>
      </c>
      <c r="N592" s="51">
        <f>IF(L592="","",L592+M592)</f>
        <v/>
      </c>
      <c r="O592" s="54" t="n"/>
      <c r="P592" s="43" t="n"/>
      <c r="Q592" s="44" t="n"/>
      <c r="R592" s="51">
        <f>IF(N592="","",MAX(N592-Q592,0))</f>
        <v/>
      </c>
      <c r="S592" s="48">
        <f>IF(A592="","",IF(OR(P592="Pagada",R592=0),"Pagada",IF(O592&lt;TODAY(),"Vencida",IF(O592&lt;=TODAY()+Inicio!$B$19,"Próxima a vencer","Vigente"))))</f>
        <v/>
      </c>
      <c r="T592" s="43" t="n"/>
      <c r="U592" s="68">
        <f>IF($B592="","",YEAR($B592))</f>
        <v/>
      </c>
      <c r="V592" s="68">
        <f>IF($B592="","",MONTH($B592))</f>
        <v/>
      </c>
      <c r="W592" s="68">
        <f>IF($B592="","",DAY($B592))</f>
        <v/>
      </c>
      <c r="X592" s="68">
        <f>IF($B592="","",YEAR($B592)&amp;"-"&amp;TEXT(MONTH($B592),"00"))</f>
        <v/>
      </c>
      <c r="Y592" s="68">
        <f>IF(OR($H592="",$J592=""),"",$J592*IFERROR(VLOOKUP($H592,Maestro_SKU!$A$2:$P$500,12,FALSE),1))</f>
        <v/>
      </c>
    </row>
    <row r="593">
      <c r="A593" s="43" t="n"/>
      <c r="B593" s="54" t="n"/>
      <c r="C593" s="43" t="n"/>
      <c r="D593" s="43" t="n"/>
      <c r="E593" s="48">
        <f>IFERROR(VLOOKUP(D593,Clientes_PDV!$A$2:$J$250,2,FALSE),"")</f>
        <v/>
      </c>
      <c r="F593" s="48">
        <f>IFERROR(VLOOKUP(D593,Clientes_PDV!$A$2:$J$250,3,FALSE),"")</f>
        <v/>
      </c>
      <c r="G593" s="48">
        <f>IFERROR(VLOOKUP(D593,Clientes_PDV!$A$2:$J$250,4,FALSE),"")</f>
        <v/>
      </c>
      <c r="H593" s="43" t="n"/>
      <c r="I593" s="48">
        <f>IFERROR(VLOOKUP(H593,Maestro_SKU!$A$2:$P$500,2,FALSE),"")</f>
        <v/>
      </c>
      <c r="J593" s="55" t="n"/>
      <c r="K593" s="44" t="n"/>
      <c r="L593" s="51">
        <f>IF(OR(J593="",K593=""),"",J593*K593)</f>
        <v/>
      </c>
      <c r="M593" s="51">
        <f>IF(L593="","",L593*Inicio!$B$13)</f>
        <v/>
      </c>
      <c r="N593" s="51">
        <f>IF(L593="","",L593+M593)</f>
        <v/>
      </c>
      <c r="O593" s="54" t="n"/>
      <c r="P593" s="43" t="n"/>
      <c r="Q593" s="44" t="n"/>
      <c r="R593" s="51">
        <f>IF(N593="","",MAX(N593-Q593,0))</f>
        <v/>
      </c>
      <c r="S593" s="48">
        <f>IF(A593="","",IF(OR(P593="Pagada",R593=0),"Pagada",IF(O593&lt;TODAY(),"Vencida",IF(O593&lt;=TODAY()+Inicio!$B$19,"Próxima a vencer","Vigente"))))</f>
        <v/>
      </c>
      <c r="T593" s="43" t="n"/>
      <c r="U593" s="68">
        <f>IF($B593="","",YEAR($B593))</f>
        <v/>
      </c>
      <c r="V593" s="68">
        <f>IF($B593="","",MONTH($B593))</f>
        <v/>
      </c>
      <c r="W593" s="68">
        <f>IF($B593="","",DAY($B593))</f>
        <v/>
      </c>
      <c r="X593" s="68">
        <f>IF($B593="","",YEAR($B593)&amp;"-"&amp;TEXT(MONTH($B593),"00"))</f>
        <v/>
      </c>
      <c r="Y593" s="68">
        <f>IF(OR($H593="",$J593=""),"",$J593*IFERROR(VLOOKUP($H593,Maestro_SKU!$A$2:$P$500,12,FALSE),1))</f>
        <v/>
      </c>
    </row>
    <row r="594">
      <c r="A594" s="43" t="n"/>
      <c r="B594" s="54" t="n"/>
      <c r="C594" s="43" t="n"/>
      <c r="D594" s="43" t="n"/>
      <c r="E594" s="48">
        <f>IFERROR(VLOOKUP(D594,Clientes_PDV!$A$2:$J$250,2,FALSE),"")</f>
        <v/>
      </c>
      <c r="F594" s="48">
        <f>IFERROR(VLOOKUP(D594,Clientes_PDV!$A$2:$J$250,3,FALSE),"")</f>
        <v/>
      </c>
      <c r="G594" s="48">
        <f>IFERROR(VLOOKUP(D594,Clientes_PDV!$A$2:$J$250,4,FALSE),"")</f>
        <v/>
      </c>
      <c r="H594" s="43" t="n"/>
      <c r="I594" s="48">
        <f>IFERROR(VLOOKUP(H594,Maestro_SKU!$A$2:$P$500,2,FALSE),"")</f>
        <v/>
      </c>
      <c r="J594" s="55" t="n"/>
      <c r="K594" s="44" t="n"/>
      <c r="L594" s="51">
        <f>IF(OR(J594="",K594=""),"",J594*K594)</f>
        <v/>
      </c>
      <c r="M594" s="51">
        <f>IF(L594="","",L594*Inicio!$B$13)</f>
        <v/>
      </c>
      <c r="N594" s="51">
        <f>IF(L594="","",L594+M594)</f>
        <v/>
      </c>
      <c r="O594" s="54" t="n"/>
      <c r="P594" s="43" t="n"/>
      <c r="Q594" s="44" t="n"/>
      <c r="R594" s="51">
        <f>IF(N594="","",MAX(N594-Q594,0))</f>
        <v/>
      </c>
      <c r="S594" s="48">
        <f>IF(A594="","",IF(OR(P594="Pagada",R594=0),"Pagada",IF(O594&lt;TODAY(),"Vencida",IF(O594&lt;=TODAY()+Inicio!$B$19,"Próxima a vencer","Vigente"))))</f>
        <v/>
      </c>
      <c r="T594" s="43" t="n"/>
      <c r="U594" s="68">
        <f>IF($B594="","",YEAR($B594))</f>
        <v/>
      </c>
      <c r="V594" s="68">
        <f>IF($B594="","",MONTH($B594))</f>
        <v/>
      </c>
      <c r="W594" s="68">
        <f>IF($B594="","",DAY($B594))</f>
        <v/>
      </c>
      <c r="X594" s="68">
        <f>IF($B594="","",YEAR($B594)&amp;"-"&amp;TEXT(MONTH($B594),"00"))</f>
        <v/>
      </c>
      <c r="Y594" s="68">
        <f>IF(OR($H594="",$J594=""),"",$J594*IFERROR(VLOOKUP($H594,Maestro_SKU!$A$2:$P$500,12,FALSE),1))</f>
        <v/>
      </c>
    </row>
    <row r="595">
      <c r="A595" s="43" t="n"/>
      <c r="B595" s="54" t="n"/>
      <c r="C595" s="43" t="n"/>
      <c r="D595" s="43" t="n"/>
      <c r="E595" s="48">
        <f>IFERROR(VLOOKUP(D595,Clientes_PDV!$A$2:$J$250,2,FALSE),"")</f>
        <v/>
      </c>
      <c r="F595" s="48">
        <f>IFERROR(VLOOKUP(D595,Clientes_PDV!$A$2:$J$250,3,FALSE),"")</f>
        <v/>
      </c>
      <c r="G595" s="48">
        <f>IFERROR(VLOOKUP(D595,Clientes_PDV!$A$2:$J$250,4,FALSE),"")</f>
        <v/>
      </c>
      <c r="H595" s="43" t="n"/>
      <c r="I595" s="48">
        <f>IFERROR(VLOOKUP(H595,Maestro_SKU!$A$2:$P$500,2,FALSE),"")</f>
        <v/>
      </c>
      <c r="J595" s="55" t="n"/>
      <c r="K595" s="44" t="n"/>
      <c r="L595" s="51">
        <f>IF(OR(J595="",K595=""),"",J595*K595)</f>
        <v/>
      </c>
      <c r="M595" s="51">
        <f>IF(L595="","",L595*Inicio!$B$13)</f>
        <v/>
      </c>
      <c r="N595" s="51">
        <f>IF(L595="","",L595+M595)</f>
        <v/>
      </c>
      <c r="O595" s="54" t="n"/>
      <c r="P595" s="43" t="n"/>
      <c r="Q595" s="44" t="n"/>
      <c r="R595" s="51">
        <f>IF(N595="","",MAX(N595-Q595,0))</f>
        <v/>
      </c>
      <c r="S595" s="48">
        <f>IF(A595="","",IF(OR(P595="Pagada",R595=0),"Pagada",IF(O595&lt;TODAY(),"Vencida",IF(O595&lt;=TODAY()+Inicio!$B$19,"Próxima a vencer","Vigente"))))</f>
        <v/>
      </c>
      <c r="T595" s="43" t="n"/>
      <c r="U595" s="68">
        <f>IF($B595="","",YEAR($B595))</f>
        <v/>
      </c>
      <c r="V595" s="68">
        <f>IF($B595="","",MONTH($B595))</f>
        <v/>
      </c>
      <c r="W595" s="68">
        <f>IF($B595="","",DAY($B595))</f>
        <v/>
      </c>
      <c r="X595" s="68">
        <f>IF($B595="","",YEAR($B595)&amp;"-"&amp;TEXT(MONTH($B595),"00"))</f>
        <v/>
      </c>
      <c r="Y595" s="68">
        <f>IF(OR($H595="",$J595=""),"",$J595*IFERROR(VLOOKUP($H595,Maestro_SKU!$A$2:$P$500,12,FALSE),1))</f>
        <v/>
      </c>
    </row>
    <row r="596">
      <c r="A596" s="43" t="n"/>
      <c r="B596" s="54" t="n"/>
      <c r="C596" s="43" t="n"/>
      <c r="D596" s="43" t="n"/>
      <c r="E596" s="48">
        <f>IFERROR(VLOOKUP(D596,Clientes_PDV!$A$2:$J$250,2,FALSE),"")</f>
        <v/>
      </c>
      <c r="F596" s="48">
        <f>IFERROR(VLOOKUP(D596,Clientes_PDV!$A$2:$J$250,3,FALSE),"")</f>
        <v/>
      </c>
      <c r="G596" s="48">
        <f>IFERROR(VLOOKUP(D596,Clientes_PDV!$A$2:$J$250,4,FALSE),"")</f>
        <v/>
      </c>
      <c r="H596" s="43" t="n"/>
      <c r="I596" s="48">
        <f>IFERROR(VLOOKUP(H596,Maestro_SKU!$A$2:$P$500,2,FALSE),"")</f>
        <v/>
      </c>
      <c r="J596" s="55" t="n"/>
      <c r="K596" s="44" t="n"/>
      <c r="L596" s="51">
        <f>IF(OR(J596="",K596=""),"",J596*K596)</f>
        <v/>
      </c>
      <c r="M596" s="51">
        <f>IF(L596="","",L596*Inicio!$B$13)</f>
        <v/>
      </c>
      <c r="N596" s="51">
        <f>IF(L596="","",L596+M596)</f>
        <v/>
      </c>
      <c r="O596" s="54" t="n"/>
      <c r="P596" s="43" t="n"/>
      <c r="Q596" s="44" t="n"/>
      <c r="R596" s="51">
        <f>IF(N596="","",MAX(N596-Q596,0))</f>
        <v/>
      </c>
      <c r="S596" s="48">
        <f>IF(A596="","",IF(OR(P596="Pagada",R596=0),"Pagada",IF(O596&lt;TODAY(),"Vencida",IF(O596&lt;=TODAY()+Inicio!$B$19,"Próxima a vencer","Vigente"))))</f>
        <v/>
      </c>
      <c r="T596" s="43" t="n"/>
      <c r="U596" s="68">
        <f>IF($B596="","",YEAR($B596))</f>
        <v/>
      </c>
      <c r="V596" s="68">
        <f>IF($B596="","",MONTH($B596))</f>
        <v/>
      </c>
      <c r="W596" s="68">
        <f>IF($B596="","",DAY($B596))</f>
        <v/>
      </c>
      <c r="X596" s="68">
        <f>IF($B596="","",YEAR($B596)&amp;"-"&amp;TEXT(MONTH($B596),"00"))</f>
        <v/>
      </c>
      <c r="Y596" s="68">
        <f>IF(OR($H596="",$J596=""),"",$J596*IFERROR(VLOOKUP($H596,Maestro_SKU!$A$2:$P$500,12,FALSE),1))</f>
        <v/>
      </c>
    </row>
    <row r="597">
      <c r="A597" s="43" t="n"/>
      <c r="B597" s="54" t="n"/>
      <c r="C597" s="43" t="n"/>
      <c r="D597" s="43" t="n"/>
      <c r="E597" s="48">
        <f>IFERROR(VLOOKUP(D597,Clientes_PDV!$A$2:$J$250,2,FALSE),"")</f>
        <v/>
      </c>
      <c r="F597" s="48">
        <f>IFERROR(VLOOKUP(D597,Clientes_PDV!$A$2:$J$250,3,FALSE),"")</f>
        <v/>
      </c>
      <c r="G597" s="48">
        <f>IFERROR(VLOOKUP(D597,Clientes_PDV!$A$2:$J$250,4,FALSE),"")</f>
        <v/>
      </c>
      <c r="H597" s="43" t="n"/>
      <c r="I597" s="48">
        <f>IFERROR(VLOOKUP(H597,Maestro_SKU!$A$2:$P$500,2,FALSE),"")</f>
        <v/>
      </c>
      <c r="J597" s="55" t="n"/>
      <c r="K597" s="44" t="n"/>
      <c r="L597" s="51">
        <f>IF(OR(J597="",K597=""),"",J597*K597)</f>
        <v/>
      </c>
      <c r="M597" s="51">
        <f>IF(L597="","",L597*Inicio!$B$13)</f>
        <v/>
      </c>
      <c r="N597" s="51">
        <f>IF(L597="","",L597+M597)</f>
        <v/>
      </c>
      <c r="O597" s="54" t="n"/>
      <c r="P597" s="43" t="n"/>
      <c r="Q597" s="44" t="n"/>
      <c r="R597" s="51">
        <f>IF(N597="","",MAX(N597-Q597,0))</f>
        <v/>
      </c>
      <c r="S597" s="48">
        <f>IF(A597="","",IF(OR(P597="Pagada",R597=0),"Pagada",IF(O597&lt;TODAY(),"Vencida",IF(O597&lt;=TODAY()+Inicio!$B$19,"Próxima a vencer","Vigente"))))</f>
        <v/>
      </c>
      <c r="T597" s="43" t="n"/>
      <c r="U597" s="68">
        <f>IF($B597="","",YEAR($B597))</f>
        <v/>
      </c>
      <c r="V597" s="68">
        <f>IF($B597="","",MONTH($B597))</f>
        <v/>
      </c>
      <c r="W597" s="68">
        <f>IF($B597="","",DAY($B597))</f>
        <v/>
      </c>
      <c r="X597" s="68">
        <f>IF($B597="","",YEAR($B597)&amp;"-"&amp;TEXT(MONTH($B597),"00"))</f>
        <v/>
      </c>
      <c r="Y597" s="68">
        <f>IF(OR($H597="",$J597=""),"",$J597*IFERROR(VLOOKUP($H597,Maestro_SKU!$A$2:$P$500,12,FALSE),1))</f>
        <v/>
      </c>
    </row>
    <row r="598">
      <c r="A598" s="43" t="n"/>
      <c r="B598" s="54" t="n"/>
      <c r="C598" s="43" t="n"/>
      <c r="D598" s="43" t="n"/>
      <c r="E598" s="48">
        <f>IFERROR(VLOOKUP(D598,Clientes_PDV!$A$2:$J$250,2,FALSE),"")</f>
        <v/>
      </c>
      <c r="F598" s="48">
        <f>IFERROR(VLOOKUP(D598,Clientes_PDV!$A$2:$J$250,3,FALSE),"")</f>
        <v/>
      </c>
      <c r="G598" s="48">
        <f>IFERROR(VLOOKUP(D598,Clientes_PDV!$A$2:$J$250,4,FALSE),"")</f>
        <v/>
      </c>
      <c r="H598" s="43" t="n"/>
      <c r="I598" s="48">
        <f>IFERROR(VLOOKUP(H598,Maestro_SKU!$A$2:$P$500,2,FALSE),"")</f>
        <v/>
      </c>
      <c r="J598" s="55" t="n"/>
      <c r="K598" s="44" t="n"/>
      <c r="L598" s="51">
        <f>IF(OR(J598="",K598=""),"",J598*K598)</f>
        <v/>
      </c>
      <c r="M598" s="51">
        <f>IF(L598="","",L598*Inicio!$B$13)</f>
        <v/>
      </c>
      <c r="N598" s="51">
        <f>IF(L598="","",L598+M598)</f>
        <v/>
      </c>
      <c r="O598" s="54" t="n"/>
      <c r="P598" s="43" t="n"/>
      <c r="Q598" s="44" t="n"/>
      <c r="R598" s="51">
        <f>IF(N598="","",MAX(N598-Q598,0))</f>
        <v/>
      </c>
      <c r="S598" s="48">
        <f>IF(A598="","",IF(OR(P598="Pagada",R598=0),"Pagada",IF(O598&lt;TODAY(),"Vencida",IF(O598&lt;=TODAY()+Inicio!$B$19,"Próxima a vencer","Vigente"))))</f>
        <v/>
      </c>
      <c r="T598" s="43" t="n"/>
      <c r="U598" s="68">
        <f>IF($B598="","",YEAR($B598))</f>
        <v/>
      </c>
      <c r="V598" s="68">
        <f>IF($B598="","",MONTH($B598))</f>
        <v/>
      </c>
      <c r="W598" s="68">
        <f>IF($B598="","",DAY($B598))</f>
        <v/>
      </c>
      <c r="X598" s="68">
        <f>IF($B598="","",YEAR($B598)&amp;"-"&amp;TEXT(MONTH($B598),"00"))</f>
        <v/>
      </c>
      <c r="Y598" s="68">
        <f>IF(OR($H598="",$J598=""),"",$J598*IFERROR(VLOOKUP($H598,Maestro_SKU!$A$2:$P$500,12,FALSE),1))</f>
        <v/>
      </c>
    </row>
    <row r="599">
      <c r="A599" s="43" t="n"/>
      <c r="B599" s="54" t="n"/>
      <c r="C599" s="43" t="n"/>
      <c r="D599" s="43" t="n"/>
      <c r="E599" s="48">
        <f>IFERROR(VLOOKUP(D599,Clientes_PDV!$A$2:$J$250,2,FALSE),"")</f>
        <v/>
      </c>
      <c r="F599" s="48">
        <f>IFERROR(VLOOKUP(D599,Clientes_PDV!$A$2:$J$250,3,FALSE),"")</f>
        <v/>
      </c>
      <c r="G599" s="48">
        <f>IFERROR(VLOOKUP(D599,Clientes_PDV!$A$2:$J$250,4,FALSE),"")</f>
        <v/>
      </c>
      <c r="H599" s="43" t="n"/>
      <c r="I599" s="48">
        <f>IFERROR(VLOOKUP(H599,Maestro_SKU!$A$2:$P$500,2,FALSE),"")</f>
        <v/>
      </c>
      <c r="J599" s="55" t="n"/>
      <c r="K599" s="44" t="n"/>
      <c r="L599" s="51">
        <f>IF(OR(J599="",K599=""),"",J599*K599)</f>
        <v/>
      </c>
      <c r="M599" s="51">
        <f>IF(L599="","",L599*Inicio!$B$13)</f>
        <v/>
      </c>
      <c r="N599" s="51">
        <f>IF(L599="","",L599+M599)</f>
        <v/>
      </c>
      <c r="O599" s="54" t="n"/>
      <c r="P599" s="43" t="n"/>
      <c r="Q599" s="44" t="n"/>
      <c r="R599" s="51">
        <f>IF(N599="","",MAX(N599-Q599,0))</f>
        <v/>
      </c>
      <c r="S599" s="48">
        <f>IF(A599="","",IF(OR(P599="Pagada",R599=0),"Pagada",IF(O599&lt;TODAY(),"Vencida",IF(O599&lt;=TODAY()+Inicio!$B$19,"Próxima a vencer","Vigente"))))</f>
        <v/>
      </c>
      <c r="T599" s="43" t="n"/>
      <c r="U599" s="68">
        <f>IF($B599="","",YEAR($B599))</f>
        <v/>
      </c>
      <c r="V599" s="68">
        <f>IF($B599="","",MONTH($B599))</f>
        <v/>
      </c>
      <c r="W599" s="68">
        <f>IF($B599="","",DAY($B599))</f>
        <v/>
      </c>
      <c r="X599" s="68">
        <f>IF($B599="","",YEAR($B599)&amp;"-"&amp;TEXT(MONTH($B599),"00"))</f>
        <v/>
      </c>
      <c r="Y599" s="68">
        <f>IF(OR($H599="",$J599=""),"",$J599*IFERROR(VLOOKUP($H599,Maestro_SKU!$A$2:$P$500,12,FALSE),1))</f>
        <v/>
      </c>
    </row>
    <row r="600">
      <c r="A600" s="43" t="n"/>
      <c r="B600" s="54" t="n"/>
      <c r="C600" s="43" t="n"/>
      <c r="D600" s="43" t="n"/>
      <c r="E600" s="48">
        <f>IFERROR(VLOOKUP(D600,Clientes_PDV!$A$2:$J$250,2,FALSE),"")</f>
        <v/>
      </c>
      <c r="F600" s="48">
        <f>IFERROR(VLOOKUP(D600,Clientes_PDV!$A$2:$J$250,3,FALSE),"")</f>
        <v/>
      </c>
      <c r="G600" s="48">
        <f>IFERROR(VLOOKUP(D600,Clientes_PDV!$A$2:$J$250,4,FALSE),"")</f>
        <v/>
      </c>
      <c r="H600" s="43" t="n"/>
      <c r="I600" s="48">
        <f>IFERROR(VLOOKUP(H600,Maestro_SKU!$A$2:$P$500,2,FALSE),"")</f>
        <v/>
      </c>
      <c r="J600" s="55" t="n"/>
      <c r="K600" s="44" t="n"/>
      <c r="L600" s="51">
        <f>IF(OR(J600="",K600=""),"",J600*K600)</f>
        <v/>
      </c>
      <c r="M600" s="51">
        <f>IF(L600="","",L600*Inicio!$B$13)</f>
        <v/>
      </c>
      <c r="N600" s="51">
        <f>IF(L600="","",L600+M600)</f>
        <v/>
      </c>
      <c r="O600" s="54" t="n"/>
      <c r="P600" s="43" t="n"/>
      <c r="Q600" s="44" t="n"/>
      <c r="R600" s="51">
        <f>IF(N600="","",MAX(N600-Q600,0))</f>
        <v/>
      </c>
      <c r="S600" s="48">
        <f>IF(A600="","",IF(OR(P600="Pagada",R600=0),"Pagada",IF(O600&lt;TODAY(),"Vencida",IF(O600&lt;=TODAY()+Inicio!$B$19,"Próxima a vencer","Vigente"))))</f>
        <v/>
      </c>
      <c r="T600" s="43" t="n"/>
      <c r="U600" s="68">
        <f>IF($B600="","",YEAR($B600))</f>
        <v/>
      </c>
      <c r="V600" s="68">
        <f>IF($B600="","",MONTH($B600))</f>
        <v/>
      </c>
      <c r="W600" s="68">
        <f>IF($B600="","",DAY($B600))</f>
        <v/>
      </c>
      <c r="X600" s="68">
        <f>IF($B600="","",YEAR($B600)&amp;"-"&amp;TEXT(MONTH($B600),"00"))</f>
        <v/>
      </c>
      <c r="Y600" s="68">
        <f>IF(OR($H600="",$J600=""),"",$J600*IFERROR(VLOOKUP($H600,Maestro_SKU!$A$2:$P$500,12,FALSE),1))</f>
        <v/>
      </c>
    </row>
    <row r="601">
      <c r="A601" s="43" t="n"/>
      <c r="B601" s="54" t="n"/>
      <c r="C601" s="43" t="n"/>
      <c r="D601" s="43" t="n"/>
      <c r="E601" s="48">
        <f>IFERROR(VLOOKUP(D601,Clientes_PDV!$A$2:$J$250,2,FALSE),"")</f>
        <v/>
      </c>
      <c r="F601" s="48">
        <f>IFERROR(VLOOKUP(D601,Clientes_PDV!$A$2:$J$250,3,FALSE),"")</f>
        <v/>
      </c>
      <c r="G601" s="48">
        <f>IFERROR(VLOOKUP(D601,Clientes_PDV!$A$2:$J$250,4,FALSE),"")</f>
        <v/>
      </c>
      <c r="H601" s="43" t="n"/>
      <c r="I601" s="48">
        <f>IFERROR(VLOOKUP(H601,Maestro_SKU!$A$2:$P$500,2,FALSE),"")</f>
        <v/>
      </c>
      <c r="J601" s="55" t="n"/>
      <c r="K601" s="44" t="n"/>
      <c r="L601" s="51">
        <f>IF(OR(J601="",K601=""),"",J601*K601)</f>
        <v/>
      </c>
      <c r="M601" s="51">
        <f>IF(L601="","",L601*Inicio!$B$13)</f>
        <v/>
      </c>
      <c r="N601" s="51">
        <f>IF(L601="","",L601+M601)</f>
        <v/>
      </c>
      <c r="O601" s="54" t="n"/>
      <c r="P601" s="43" t="n"/>
      <c r="Q601" s="44" t="n"/>
      <c r="R601" s="51">
        <f>IF(N601="","",MAX(N601-Q601,0))</f>
        <v/>
      </c>
      <c r="S601" s="48">
        <f>IF(A601="","",IF(OR(P601="Pagada",R601=0),"Pagada",IF(O601&lt;TODAY(),"Vencida",IF(O601&lt;=TODAY()+Inicio!$B$19,"Próxima a vencer","Vigente"))))</f>
        <v/>
      </c>
      <c r="T601" s="43" t="n"/>
      <c r="U601" s="68">
        <f>IF($B601="","",YEAR($B601))</f>
        <v/>
      </c>
      <c r="V601" s="68">
        <f>IF($B601="","",MONTH($B601))</f>
        <v/>
      </c>
      <c r="W601" s="68">
        <f>IF($B601="","",DAY($B601))</f>
        <v/>
      </c>
      <c r="X601" s="68">
        <f>IF($B601="","",YEAR($B601)&amp;"-"&amp;TEXT(MONTH($B601),"00"))</f>
        <v/>
      </c>
      <c r="Y601" s="68">
        <f>IF(OR($H601="",$J601=""),"",$J601*IFERROR(VLOOKUP($H601,Maestro_SKU!$A$2:$P$500,12,FALSE),1))</f>
        <v/>
      </c>
    </row>
    <row r="602">
      <c r="A602" s="43" t="n"/>
      <c r="B602" s="54" t="n"/>
      <c r="C602" s="43" t="n"/>
      <c r="D602" s="43" t="n"/>
      <c r="E602" s="48">
        <f>IFERROR(VLOOKUP(D602,Clientes_PDV!$A$2:$J$250,2,FALSE),"")</f>
        <v/>
      </c>
      <c r="F602" s="48">
        <f>IFERROR(VLOOKUP(D602,Clientes_PDV!$A$2:$J$250,3,FALSE),"")</f>
        <v/>
      </c>
      <c r="G602" s="48">
        <f>IFERROR(VLOOKUP(D602,Clientes_PDV!$A$2:$J$250,4,FALSE),"")</f>
        <v/>
      </c>
      <c r="H602" s="43" t="n"/>
      <c r="I602" s="48">
        <f>IFERROR(VLOOKUP(H602,Maestro_SKU!$A$2:$P$500,2,FALSE),"")</f>
        <v/>
      </c>
      <c r="J602" s="55" t="n"/>
      <c r="K602" s="44" t="n"/>
      <c r="L602" s="51">
        <f>IF(OR(J602="",K602=""),"",J602*K602)</f>
        <v/>
      </c>
      <c r="M602" s="51">
        <f>IF(L602="","",L602*Inicio!$B$13)</f>
        <v/>
      </c>
      <c r="N602" s="51">
        <f>IF(L602="","",L602+M602)</f>
        <v/>
      </c>
      <c r="O602" s="54" t="n"/>
      <c r="P602" s="43" t="n"/>
      <c r="Q602" s="44" t="n"/>
      <c r="R602" s="51">
        <f>IF(N602="","",MAX(N602-Q602,0))</f>
        <v/>
      </c>
      <c r="S602" s="48">
        <f>IF(A602="","",IF(OR(P602="Pagada",R602=0),"Pagada",IF(O602&lt;TODAY(),"Vencida",IF(O602&lt;=TODAY()+Inicio!$B$19,"Próxima a vencer","Vigente"))))</f>
        <v/>
      </c>
      <c r="T602" s="43" t="n"/>
      <c r="U602" s="68">
        <f>IF($B602="","",YEAR($B602))</f>
        <v/>
      </c>
      <c r="V602" s="68">
        <f>IF($B602="","",MONTH($B602))</f>
        <v/>
      </c>
      <c r="W602" s="68">
        <f>IF($B602="","",DAY($B602))</f>
        <v/>
      </c>
      <c r="X602" s="68">
        <f>IF($B602="","",YEAR($B602)&amp;"-"&amp;TEXT(MONTH($B602),"00"))</f>
        <v/>
      </c>
      <c r="Y602" s="68">
        <f>IF(OR($H602="",$J602=""),"",$J602*IFERROR(VLOOKUP($H602,Maestro_SKU!$A$2:$P$500,12,FALSE),1))</f>
        <v/>
      </c>
    </row>
    <row r="603">
      <c r="A603" s="43" t="n"/>
      <c r="B603" s="54" t="n"/>
      <c r="C603" s="43" t="n"/>
      <c r="D603" s="43" t="n"/>
      <c r="E603" s="48">
        <f>IFERROR(VLOOKUP(D603,Clientes_PDV!$A$2:$J$250,2,FALSE),"")</f>
        <v/>
      </c>
      <c r="F603" s="48">
        <f>IFERROR(VLOOKUP(D603,Clientes_PDV!$A$2:$J$250,3,FALSE),"")</f>
        <v/>
      </c>
      <c r="G603" s="48">
        <f>IFERROR(VLOOKUP(D603,Clientes_PDV!$A$2:$J$250,4,FALSE),"")</f>
        <v/>
      </c>
      <c r="H603" s="43" t="n"/>
      <c r="I603" s="48">
        <f>IFERROR(VLOOKUP(H603,Maestro_SKU!$A$2:$P$500,2,FALSE),"")</f>
        <v/>
      </c>
      <c r="J603" s="55" t="n"/>
      <c r="K603" s="44" t="n"/>
      <c r="L603" s="51">
        <f>IF(OR(J603="",K603=""),"",J603*K603)</f>
        <v/>
      </c>
      <c r="M603" s="51">
        <f>IF(L603="","",L603*Inicio!$B$13)</f>
        <v/>
      </c>
      <c r="N603" s="51">
        <f>IF(L603="","",L603+M603)</f>
        <v/>
      </c>
      <c r="O603" s="54" t="n"/>
      <c r="P603" s="43" t="n"/>
      <c r="Q603" s="44" t="n"/>
      <c r="R603" s="51">
        <f>IF(N603="","",MAX(N603-Q603,0))</f>
        <v/>
      </c>
      <c r="S603" s="48">
        <f>IF(A603="","",IF(OR(P603="Pagada",R603=0),"Pagada",IF(O603&lt;TODAY(),"Vencida",IF(O603&lt;=TODAY()+Inicio!$B$19,"Próxima a vencer","Vigente"))))</f>
        <v/>
      </c>
      <c r="T603" s="43" t="n"/>
      <c r="U603" s="68">
        <f>IF($B603="","",YEAR($B603))</f>
        <v/>
      </c>
      <c r="V603" s="68">
        <f>IF($B603="","",MONTH($B603))</f>
        <v/>
      </c>
      <c r="W603" s="68">
        <f>IF($B603="","",DAY($B603))</f>
        <v/>
      </c>
      <c r="X603" s="68">
        <f>IF($B603="","",YEAR($B603)&amp;"-"&amp;TEXT(MONTH($B603),"00"))</f>
        <v/>
      </c>
      <c r="Y603" s="68">
        <f>IF(OR($H603="",$J603=""),"",$J603*IFERROR(VLOOKUP($H603,Maestro_SKU!$A$2:$P$500,12,FALSE),1))</f>
        <v/>
      </c>
    </row>
    <row r="604">
      <c r="A604" s="43" t="n"/>
      <c r="B604" s="54" t="n"/>
      <c r="C604" s="43" t="n"/>
      <c r="D604" s="43" t="n"/>
      <c r="E604" s="48">
        <f>IFERROR(VLOOKUP(D604,Clientes_PDV!$A$2:$J$250,2,FALSE),"")</f>
        <v/>
      </c>
      <c r="F604" s="48">
        <f>IFERROR(VLOOKUP(D604,Clientes_PDV!$A$2:$J$250,3,FALSE),"")</f>
        <v/>
      </c>
      <c r="G604" s="48">
        <f>IFERROR(VLOOKUP(D604,Clientes_PDV!$A$2:$J$250,4,FALSE),"")</f>
        <v/>
      </c>
      <c r="H604" s="43" t="n"/>
      <c r="I604" s="48">
        <f>IFERROR(VLOOKUP(H604,Maestro_SKU!$A$2:$P$500,2,FALSE),"")</f>
        <v/>
      </c>
      <c r="J604" s="55" t="n"/>
      <c r="K604" s="44" t="n"/>
      <c r="L604" s="51">
        <f>IF(OR(J604="",K604=""),"",J604*K604)</f>
        <v/>
      </c>
      <c r="M604" s="51">
        <f>IF(L604="","",L604*Inicio!$B$13)</f>
        <v/>
      </c>
      <c r="N604" s="51">
        <f>IF(L604="","",L604+M604)</f>
        <v/>
      </c>
      <c r="O604" s="54" t="n"/>
      <c r="P604" s="43" t="n"/>
      <c r="Q604" s="44" t="n"/>
      <c r="R604" s="51">
        <f>IF(N604="","",MAX(N604-Q604,0))</f>
        <v/>
      </c>
      <c r="S604" s="48">
        <f>IF(A604="","",IF(OR(P604="Pagada",R604=0),"Pagada",IF(O604&lt;TODAY(),"Vencida",IF(O604&lt;=TODAY()+Inicio!$B$19,"Próxima a vencer","Vigente"))))</f>
        <v/>
      </c>
      <c r="T604" s="43" t="n"/>
      <c r="U604" s="68">
        <f>IF($B604="","",YEAR($B604))</f>
        <v/>
      </c>
      <c r="V604" s="68">
        <f>IF($B604="","",MONTH($B604))</f>
        <v/>
      </c>
      <c r="W604" s="68">
        <f>IF($B604="","",DAY($B604))</f>
        <v/>
      </c>
      <c r="X604" s="68">
        <f>IF($B604="","",YEAR($B604)&amp;"-"&amp;TEXT(MONTH($B604),"00"))</f>
        <v/>
      </c>
      <c r="Y604" s="68">
        <f>IF(OR($H604="",$J604=""),"",$J604*IFERROR(VLOOKUP($H604,Maestro_SKU!$A$2:$P$500,12,FALSE),1))</f>
        <v/>
      </c>
    </row>
    <row r="605">
      <c r="A605" s="43" t="n"/>
      <c r="B605" s="54" t="n"/>
      <c r="C605" s="43" t="n"/>
      <c r="D605" s="43" t="n"/>
      <c r="E605" s="48">
        <f>IFERROR(VLOOKUP(D605,Clientes_PDV!$A$2:$J$250,2,FALSE),"")</f>
        <v/>
      </c>
      <c r="F605" s="48">
        <f>IFERROR(VLOOKUP(D605,Clientes_PDV!$A$2:$J$250,3,FALSE),"")</f>
        <v/>
      </c>
      <c r="G605" s="48">
        <f>IFERROR(VLOOKUP(D605,Clientes_PDV!$A$2:$J$250,4,FALSE),"")</f>
        <v/>
      </c>
      <c r="H605" s="43" t="n"/>
      <c r="I605" s="48">
        <f>IFERROR(VLOOKUP(H605,Maestro_SKU!$A$2:$P$500,2,FALSE),"")</f>
        <v/>
      </c>
      <c r="J605" s="55" t="n"/>
      <c r="K605" s="44" t="n"/>
      <c r="L605" s="51">
        <f>IF(OR(J605="",K605=""),"",J605*K605)</f>
        <v/>
      </c>
      <c r="M605" s="51">
        <f>IF(L605="","",L605*Inicio!$B$13)</f>
        <v/>
      </c>
      <c r="N605" s="51">
        <f>IF(L605="","",L605+M605)</f>
        <v/>
      </c>
      <c r="O605" s="54" t="n"/>
      <c r="P605" s="43" t="n"/>
      <c r="Q605" s="44" t="n"/>
      <c r="R605" s="51">
        <f>IF(N605="","",MAX(N605-Q605,0))</f>
        <v/>
      </c>
      <c r="S605" s="48">
        <f>IF(A605="","",IF(OR(P605="Pagada",R605=0),"Pagada",IF(O605&lt;TODAY(),"Vencida",IF(O605&lt;=TODAY()+Inicio!$B$19,"Próxima a vencer","Vigente"))))</f>
        <v/>
      </c>
      <c r="T605" s="43" t="n"/>
      <c r="U605" s="68">
        <f>IF($B605="","",YEAR($B605))</f>
        <v/>
      </c>
      <c r="V605" s="68">
        <f>IF($B605="","",MONTH($B605))</f>
        <v/>
      </c>
      <c r="W605" s="68">
        <f>IF($B605="","",DAY($B605))</f>
        <v/>
      </c>
      <c r="X605" s="68">
        <f>IF($B605="","",YEAR($B605)&amp;"-"&amp;TEXT(MONTH($B605),"00"))</f>
        <v/>
      </c>
      <c r="Y605" s="68">
        <f>IF(OR($H605="",$J605=""),"",$J605*IFERROR(VLOOKUP($H605,Maestro_SKU!$A$2:$P$500,12,FALSE),1))</f>
        <v/>
      </c>
    </row>
    <row r="606">
      <c r="A606" s="43" t="n"/>
      <c r="B606" s="54" t="n"/>
      <c r="C606" s="43" t="n"/>
      <c r="D606" s="43" t="n"/>
      <c r="E606" s="48">
        <f>IFERROR(VLOOKUP(D606,Clientes_PDV!$A$2:$J$250,2,FALSE),"")</f>
        <v/>
      </c>
      <c r="F606" s="48">
        <f>IFERROR(VLOOKUP(D606,Clientes_PDV!$A$2:$J$250,3,FALSE),"")</f>
        <v/>
      </c>
      <c r="G606" s="48">
        <f>IFERROR(VLOOKUP(D606,Clientes_PDV!$A$2:$J$250,4,FALSE),"")</f>
        <v/>
      </c>
      <c r="H606" s="43" t="n"/>
      <c r="I606" s="48">
        <f>IFERROR(VLOOKUP(H606,Maestro_SKU!$A$2:$P$500,2,FALSE),"")</f>
        <v/>
      </c>
      <c r="J606" s="55" t="n"/>
      <c r="K606" s="44" t="n"/>
      <c r="L606" s="51">
        <f>IF(OR(J606="",K606=""),"",J606*K606)</f>
        <v/>
      </c>
      <c r="M606" s="51">
        <f>IF(L606="","",L606*Inicio!$B$13)</f>
        <v/>
      </c>
      <c r="N606" s="51">
        <f>IF(L606="","",L606+M606)</f>
        <v/>
      </c>
      <c r="O606" s="54" t="n"/>
      <c r="P606" s="43" t="n"/>
      <c r="Q606" s="44" t="n"/>
      <c r="R606" s="51">
        <f>IF(N606="","",MAX(N606-Q606,0))</f>
        <v/>
      </c>
      <c r="S606" s="48">
        <f>IF(A606="","",IF(OR(P606="Pagada",R606=0),"Pagada",IF(O606&lt;TODAY(),"Vencida",IF(O606&lt;=TODAY()+Inicio!$B$19,"Próxima a vencer","Vigente"))))</f>
        <v/>
      </c>
      <c r="T606" s="43" t="n"/>
      <c r="U606" s="68">
        <f>IF($B606="","",YEAR($B606))</f>
        <v/>
      </c>
      <c r="V606" s="68">
        <f>IF($B606="","",MONTH($B606))</f>
        <v/>
      </c>
      <c r="W606" s="68">
        <f>IF($B606="","",DAY($B606))</f>
        <v/>
      </c>
      <c r="X606" s="68">
        <f>IF($B606="","",YEAR($B606)&amp;"-"&amp;TEXT(MONTH($B606),"00"))</f>
        <v/>
      </c>
      <c r="Y606" s="68">
        <f>IF(OR($H606="",$J606=""),"",$J606*IFERROR(VLOOKUP($H606,Maestro_SKU!$A$2:$P$500,12,FALSE),1))</f>
        <v/>
      </c>
    </row>
    <row r="607">
      <c r="A607" s="43" t="n"/>
      <c r="B607" s="54" t="n"/>
      <c r="C607" s="43" t="n"/>
      <c r="D607" s="43" t="n"/>
      <c r="E607" s="48">
        <f>IFERROR(VLOOKUP(D607,Clientes_PDV!$A$2:$J$250,2,FALSE),"")</f>
        <v/>
      </c>
      <c r="F607" s="48">
        <f>IFERROR(VLOOKUP(D607,Clientes_PDV!$A$2:$J$250,3,FALSE),"")</f>
        <v/>
      </c>
      <c r="G607" s="48">
        <f>IFERROR(VLOOKUP(D607,Clientes_PDV!$A$2:$J$250,4,FALSE),"")</f>
        <v/>
      </c>
      <c r="H607" s="43" t="n"/>
      <c r="I607" s="48">
        <f>IFERROR(VLOOKUP(H607,Maestro_SKU!$A$2:$P$500,2,FALSE),"")</f>
        <v/>
      </c>
      <c r="J607" s="55" t="n"/>
      <c r="K607" s="44" t="n"/>
      <c r="L607" s="51">
        <f>IF(OR(J607="",K607=""),"",J607*K607)</f>
        <v/>
      </c>
      <c r="M607" s="51">
        <f>IF(L607="","",L607*Inicio!$B$13)</f>
        <v/>
      </c>
      <c r="N607" s="51">
        <f>IF(L607="","",L607+M607)</f>
        <v/>
      </c>
      <c r="O607" s="54" t="n"/>
      <c r="P607" s="43" t="n"/>
      <c r="Q607" s="44" t="n"/>
      <c r="R607" s="51">
        <f>IF(N607="","",MAX(N607-Q607,0))</f>
        <v/>
      </c>
      <c r="S607" s="48">
        <f>IF(A607="","",IF(OR(P607="Pagada",R607=0),"Pagada",IF(O607&lt;TODAY(),"Vencida",IF(O607&lt;=TODAY()+Inicio!$B$19,"Próxima a vencer","Vigente"))))</f>
        <v/>
      </c>
      <c r="T607" s="43" t="n"/>
      <c r="U607" s="68">
        <f>IF($B607="","",YEAR($B607))</f>
        <v/>
      </c>
      <c r="V607" s="68">
        <f>IF($B607="","",MONTH($B607))</f>
        <v/>
      </c>
      <c r="W607" s="68">
        <f>IF($B607="","",DAY($B607))</f>
        <v/>
      </c>
      <c r="X607" s="68">
        <f>IF($B607="","",YEAR($B607)&amp;"-"&amp;TEXT(MONTH($B607),"00"))</f>
        <v/>
      </c>
      <c r="Y607" s="68">
        <f>IF(OR($H607="",$J607=""),"",$J607*IFERROR(VLOOKUP($H607,Maestro_SKU!$A$2:$P$500,12,FALSE),1))</f>
        <v/>
      </c>
    </row>
    <row r="608">
      <c r="A608" s="43" t="n"/>
      <c r="B608" s="54" t="n"/>
      <c r="C608" s="43" t="n"/>
      <c r="D608" s="43" t="n"/>
      <c r="E608" s="48">
        <f>IFERROR(VLOOKUP(D608,Clientes_PDV!$A$2:$J$250,2,FALSE),"")</f>
        <v/>
      </c>
      <c r="F608" s="48">
        <f>IFERROR(VLOOKUP(D608,Clientes_PDV!$A$2:$J$250,3,FALSE),"")</f>
        <v/>
      </c>
      <c r="G608" s="48">
        <f>IFERROR(VLOOKUP(D608,Clientes_PDV!$A$2:$J$250,4,FALSE),"")</f>
        <v/>
      </c>
      <c r="H608" s="43" t="n"/>
      <c r="I608" s="48">
        <f>IFERROR(VLOOKUP(H608,Maestro_SKU!$A$2:$P$500,2,FALSE),"")</f>
        <v/>
      </c>
      <c r="J608" s="55" t="n"/>
      <c r="K608" s="44" t="n"/>
      <c r="L608" s="51">
        <f>IF(OR(J608="",K608=""),"",J608*K608)</f>
        <v/>
      </c>
      <c r="M608" s="51">
        <f>IF(L608="","",L608*Inicio!$B$13)</f>
        <v/>
      </c>
      <c r="N608" s="51">
        <f>IF(L608="","",L608+M608)</f>
        <v/>
      </c>
      <c r="O608" s="54" t="n"/>
      <c r="P608" s="43" t="n"/>
      <c r="Q608" s="44" t="n"/>
      <c r="R608" s="51">
        <f>IF(N608="","",MAX(N608-Q608,0))</f>
        <v/>
      </c>
      <c r="S608" s="48">
        <f>IF(A608="","",IF(OR(P608="Pagada",R608=0),"Pagada",IF(O608&lt;TODAY(),"Vencida",IF(O608&lt;=TODAY()+Inicio!$B$19,"Próxima a vencer","Vigente"))))</f>
        <v/>
      </c>
      <c r="T608" s="43" t="n"/>
      <c r="U608" s="68">
        <f>IF($B608="","",YEAR($B608))</f>
        <v/>
      </c>
      <c r="V608" s="68">
        <f>IF($B608="","",MONTH($B608))</f>
        <v/>
      </c>
      <c r="W608" s="68">
        <f>IF($B608="","",DAY($B608))</f>
        <v/>
      </c>
      <c r="X608" s="68">
        <f>IF($B608="","",YEAR($B608)&amp;"-"&amp;TEXT(MONTH($B608),"00"))</f>
        <v/>
      </c>
      <c r="Y608" s="68">
        <f>IF(OR($H608="",$J608=""),"",$J608*IFERROR(VLOOKUP($H608,Maestro_SKU!$A$2:$P$500,12,FALSE),1))</f>
        <v/>
      </c>
    </row>
    <row r="609">
      <c r="A609" s="43" t="n"/>
      <c r="B609" s="54" t="n"/>
      <c r="C609" s="43" t="n"/>
      <c r="D609" s="43" t="n"/>
      <c r="E609" s="48">
        <f>IFERROR(VLOOKUP(D609,Clientes_PDV!$A$2:$J$250,2,FALSE),"")</f>
        <v/>
      </c>
      <c r="F609" s="48">
        <f>IFERROR(VLOOKUP(D609,Clientes_PDV!$A$2:$J$250,3,FALSE),"")</f>
        <v/>
      </c>
      <c r="G609" s="48">
        <f>IFERROR(VLOOKUP(D609,Clientes_PDV!$A$2:$J$250,4,FALSE),"")</f>
        <v/>
      </c>
      <c r="H609" s="43" t="n"/>
      <c r="I609" s="48">
        <f>IFERROR(VLOOKUP(H609,Maestro_SKU!$A$2:$P$500,2,FALSE),"")</f>
        <v/>
      </c>
      <c r="J609" s="55" t="n"/>
      <c r="K609" s="44" t="n"/>
      <c r="L609" s="51">
        <f>IF(OR(J609="",K609=""),"",J609*K609)</f>
        <v/>
      </c>
      <c r="M609" s="51">
        <f>IF(L609="","",L609*Inicio!$B$13)</f>
        <v/>
      </c>
      <c r="N609" s="51">
        <f>IF(L609="","",L609+M609)</f>
        <v/>
      </c>
      <c r="O609" s="54" t="n"/>
      <c r="P609" s="43" t="n"/>
      <c r="Q609" s="44" t="n"/>
      <c r="R609" s="51">
        <f>IF(N609="","",MAX(N609-Q609,0))</f>
        <v/>
      </c>
      <c r="S609" s="48">
        <f>IF(A609="","",IF(OR(P609="Pagada",R609=0),"Pagada",IF(O609&lt;TODAY(),"Vencida",IF(O609&lt;=TODAY()+Inicio!$B$19,"Próxima a vencer","Vigente"))))</f>
        <v/>
      </c>
      <c r="T609" s="43" t="n"/>
      <c r="U609" s="68">
        <f>IF($B609="","",YEAR($B609))</f>
        <v/>
      </c>
      <c r="V609" s="68">
        <f>IF($B609="","",MONTH($B609))</f>
        <v/>
      </c>
      <c r="W609" s="68">
        <f>IF($B609="","",DAY($B609))</f>
        <v/>
      </c>
      <c r="X609" s="68">
        <f>IF($B609="","",YEAR($B609)&amp;"-"&amp;TEXT(MONTH($B609),"00"))</f>
        <v/>
      </c>
      <c r="Y609" s="68">
        <f>IF(OR($H609="",$J609=""),"",$J609*IFERROR(VLOOKUP($H609,Maestro_SKU!$A$2:$P$500,12,FALSE),1))</f>
        <v/>
      </c>
    </row>
    <row r="610">
      <c r="A610" s="43" t="n"/>
      <c r="B610" s="54" t="n"/>
      <c r="C610" s="43" t="n"/>
      <c r="D610" s="43" t="n"/>
      <c r="E610" s="48">
        <f>IFERROR(VLOOKUP(D610,Clientes_PDV!$A$2:$J$250,2,FALSE),"")</f>
        <v/>
      </c>
      <c r="F610" s="48">
        <f>IFERROR(VLOOKUP(D610,Clientes_PDV!$A$2:$J$250,3,FALSE),"")</f>
        <v/>
      </c>
      <c r="G610" s="48">
        <f>IFERROR(VLOOKUP(D610,Clientes_PDV!$A$2:$J$250,4,FALSE),"")</f>
        <v/>
      </c>
      <c r="H610" s="43" t="n"/>
      <c r="I610" s="48">
        <f>IFERROR(VLOOKUP(H610,Maestro_SKU!$A$2:$P$500,2,FALSE),"")</f>
        <v/>
      </c>
      <c r="J610" s="55" t="n"/>
      <c r="K610" s="44" t="n"/>
      <c r="L610" s="51">
        <f>IF(OR(J610="",K610=""),"",J610*K610)</f>
        <v/>
      </c>
      <c r="M610" s="51">
        <f>IF(L610="","",L610*Inicio!$B$13)</f>
        <v/>
      </c>
      <c r="N610" s="51">
        <f>IF(L610="","",L610+M610)</f>
        <v/>
      </c>
      <c r="O610" s="54" t="n"/>
      <c r="P610" s="43" t="n"/>
      <c r="Q610" s="44" t="n"/>
      <c r="R610" s="51">
        <f>IF(N610="","",MAX(N610-Q610,0))</f>
        <v/>
      </c>
      <c r="S610" s="48">
        <f>IF(A610="","",IF(OR(P610="Pagada",R610=0),"Pagada",IF(O610&lt;TODAY(),"Vencida",IF(O610&lt;=TODAY()+Inicio!$B$19,"Próxima a vencer","Vigente"))))</f>
        <v/>
      </c>
      <c r="T610" s="43" t="n"/>
      <c r="U610" s="68">
        <f>IF($B610="","",YEAR($B610))</f>
        <v/>
      </c>
      <c r="V610" s="68">
        <f>IF($B610="","",MONTH($B610))</f>
        <v/>
      </c>
      <c r="W610" s="68">
        <f>IF($B610="","",DAY($B610))</f>
        <v/>
      </c>
      <c r="X610" s="68">
        <f>IF($B610="","",YEAR($B610)&amp;"-"&amp;TEXT(MONTH($B610),"00"))</f>
        <v/>
      </c>
      <c r="Y610" s="68">
        <f>IF(OR($H610="",$J610=""),"",$J610*IFERROR(VLOOKUP($H610,Maestro_SKU!$A$2:$P$500,12,FALSE),1))</f>
        <v/>
      </c>
    </row>
    <row r="611">
      <c r="A611" s="43" t="n"/>
      <c r="B611" s="54" t="n"/>
      <c r="C611" s="43" t="n"/>
      <c r="D611" s="43" t="n"/>
      <c r="E611" s="48">
        <f>IFERROR(VLOOKUP(D611,Clientes_PDV!$A$2:$J$250,2,FALSE),"")</f>
        <v/>
      </c>
      <c r="F611" s="48">
        <f>IFERROR(VLOOKUP(D611,Clientes_PDV!$A$2:$J$250,3,FALSE),"")</f>
        <v/>
      </c>
      <c r="G611" s="48">
        <f>IFERROR(VLOOKUP(D611,Clientes_PDV!$A$2:$J$250,4,FALSE),"")</f>
        <v/>
      </c>
      <c r="H611" s="43" t="n"/>
      <c r="I611" s="48">
        <f>IFERROR(VLOOKUP(H611,Maestro_SKU!$A$2:$P$500,2,FALSE),"")</f>
        <v/>
      </c>
      <c r="J611" s="55" t="n"/>
      <c r="K611" s="44" t="n"/>
      <c r="L611" s="51">
        <f>IF(OR(J611="",K611=""),"",J611*K611)</f>
        <v/>
      </c>
      <c r="M611" s="51">
        <f>IF(L611="","",L611*Inicio!$B$13)</f>
        <v/>
      </c>
      <c r="N611" s="51">
        <f>IF(L611="","",L611+M611)</f>
        <v/>
      </c>
      <c r="O611" s="54" t="n"/>
      <c r="P611" s="43" t="n"/>
      <c r="Q611" s="44" t="n"/>
      <c r="R611" s="51">
        <f>IF(N611="","",MAX(N611-Q611,0))</f>
        <v/>
      </c>
      <c r="S611" s="48">
        <f>IF(A611="","",IF(OR(P611="Pagada",R611=0),"Pagada",IF(O611&lt;TODAY(),"Vencida",IF(O611&lt;=TODAY()+Inicio!$B$19,"Próxima a vencer","Vigente"))))</f>
        <v/>
      </c>
      <c r="T611" s="43" t="n"/>
      <c r="U611" s="68">
        <f>IF($B611="","",YEAR($B611))</f>
        <v/>
      </c>
      <c r="V611" s="68">
        <f>IF($B611="","",MONTH($B611))</f>
        <v/>
      </c>
      <c r="W611" s="68">
        <f>IF($B611="","",DAY($B611))</f>
        <v/>
      </c>
      <c r="X611" s="68">
        <f>IF($B611="","",YEAR($B611)&amp;"-"&amp;TEXT(MONTH($B611),"00"))</f>
        <v/>
      </c>
      <c r="Y611" s="68">
        <f>IF(OR($H611="",$J611=""),"",$J611*IFERROR(VLOOKUP($H611,Maestro_SKU!$A$2:$P$500,12,FALSE),1))</f>
        <v/>
      </c>
    </row>
    <row r="612">
      <c r="A612" s="43" t="n"/>
      <c r="B612" s="54" t="n"/>
      <c r="C612" s="43" t="n"/>
      <c r="D612" s="43" t="n"/>
      <c r="E612" s="48">
        <f>IFERROR(VLOOKUP(D612,Clientes_PDV!$A$2:$J$250,2,FALSE),"")</f>
        <v/>
      </c>
      <c r="F612" s="48">
        <f>IFERROR(VLOOKUP(D612,Clientes_PDV!$A$2:$J$250,3,FALSE),"")</f>
        <v/>
      </c>
      <c r="G612" s="48">
        <f>IFERROR(VLOOKUP(D612,Clientes_PDV!$A$2:$J$250,4,FALSE),"")</f>
        <v/>
      </c>
      <c r="H612" s="43" t="n"/>
      <c r="I612" s="48">
        <f>IFERROR(VLOOKUP(H612,Maestro_SKU!$A$2:$P$500,2,FALSE),"")</f>
        <v/>
      </c>
      <c r="J612" s="55" t="n"/>
      <c r="K612" s="44" t="n"/>
      <c r="L612" s="51">
        <f>IF(OR(J612="",K612=""),"",J612*K612)</f>
        <v/>
      </c>
      <c r="M612" s="51">
        <f>IF(L612="","",L612*Inicio!$B$13)</f>
        <v/>
      </c>
      <c r="N612" s="51">
        <f>IF(L612="","",L612+M612)</f>
        <v/>
      </c>
      <c r="O612" s="54" t="n"/>
      <c r="P612" s="43" t="n"/>
      <c r="Q612" s="44" t="n"/>
      <c r="R612" s="51">
        <f>IF(N612="","",MAX(N612-Q612,0))</f>
        <v/>
      </c>
      <c r="S612" s="48">
        <f>IF(A612="","",IF(OR(P612="Pagada",R612=0),"Pagada",IF(O612&lt;TODAY(),"Vencida",IF(O612&lt;=TODAY()+Inicio!$B$19,"Próxima a vencer","Vigente"))))</f>
        <v/>
      </c>
      <c r="T612" s="43" t="n"/>
      <c r="U612" s="68">
        <f>IF($B612="","",YEAR($B612))</f>
        <v/>
      </c>
      <c r="V612" s="68">
        <f>IF($B612="","",MONTH($B612))</f>
        <v/>
      </c>
      <c r="W612" s="68">
        <f>IF($B612="","",DAY($B612))</f>
        <v/>
      </c>
      <c r="X612" s="68">
        <f>IF($B612="","",YEAR($B612)&amp;"-"&amp;TEXT(MONTH($B612),"00"))</f>
        <v/>
      </c>
      <c r="Y612" s="68">
        <f>IF(OR($H612="",$J612=""),"",$J612*IFERROR(VLOOKUP($H612,Maestro_SKU!$A$2:$P$500,12,FALSE),1))</f>
        <v/>
      </c>
    </row>
    <row r="613">
      <c r="A613" s="43" t="n"/>
      <c r="B613" s="54" t="n"/>
      <c r="C613" s="43" t="n"/>
      <c r="D613" s="43" t="n"/>
      <c r="E613" s="48">
        <f>IFERROR(VLOOKUP(D613,Clientes_PDV!$A$2:$J$250,2,FALSE),"")</f>
        <v/>
      </c>
      <c r="F613" s="48">
        <f>IFERROR(VLOOKUP(D613,Clientes_PDV!$A$2:$J$250,3,FALSE),"")</f>
        <v/>
      </c>
      <c r="G613" s="48">
        <f>IFERROR(VLOOKUP(D613,Clientes_PDV!$A$2:$J$250,4,FALSE),"")</f>
        <v/>
      </c>
      <c r="H613" s="43" t="n"/>
      <c r="I613" s="48">
        <f>IFERROR(VLOOKUP(H613,Maestro_SKU!$A$2:$P$500,2,FALSE),"")</f>
        <v/>
      </c>
      <c r="J613" s="55" t="n"/>
      <c r="K613" s="44" t="n"/>
      <c r="L613" s="51">
        <f>IF(OR(J613="",K613=""),"",J613*K613)</f>
        <v/>
      </c>
      <c r="M613" s="51">
        <f>IF(L613="","",L613*Inicio!$B$13)</f>
        <v/>
      </c>
      <c r="N613" s="51">
        <f>IF(L613="","",L613+M613)</f>
        <v/>
      </c>
      <c r="O613" s="54" t="n"/>
      <c r="P613" s="43" t="n"/>
      <c r="Q613" s="44" t="n"/>
      <c r="R613" s="51">
        <f>IF(N613="","",MAX(N613-Q613,0))</f>
        <v/>
      </c>
      <c r="S613" s="48">
        <f>IF(A613="","",IF(OR(P613="Pagada",R613=0),"Pagada",IF(O613&lt;TODAY(),"Vencida",IF(O613&lt;=TODAY()+Inicio!$B$19,"Próxima a vencer","Vigente"))))</f>
        <v/>
      </c>
      <c r="T613" s="43" t="n"/>
      <c r="U613" s="68">
        <f>IF($B613="","",YEAR($B613))</f>
        <v/>
      </c>
      <c r="V613" s="68">
        <f>IF($B613="","",MONTH($B613))</f>
        <v/>
      </c>
      <c r="W613" s="68">
        <f>IF($B613="","",DAY($B613))</f>
        <v/>
      </c>
      <c r="X613" s="68">
        <f>IF($B613="","",YEAR($B613)&amp;"-"&amp;TEXT(MONTH($B613),"00"))</f>
        <v/>
      </c>
      <c r="Y613" s="68">
        <f>IF(OR($H613="",$J613=""),"",$J613*IFERROR(VLOOKUP($H613,Maestro_SKU!$A$2:$P$500,12,FALSE),1))</f>
        <v/>
      </c>
    </row>
    <row r="614">
      <c r="A614" s="43" t="n"/>
      <c r="B614" s="54" t="n"/>
      <c r="C614" s="43" t="n"/>
      <c r="D614" s="43" t="n"/>
      <c r="E614" s="48">
        <f>IFERROR(VLOOKUP(D614,Clientes_PDV!$A$2:$J$250,2,FALSE),"")</f>
        <v/>
      </c>
      <c r="F614" s="48">
        <f>IFERROR(VLOOKUP(D614,Clientes_PDV!$A$2:$J$250,3,FALSE),"")</f>
        <v/>
      </c>
      <c r="G614" s="48">
        <f>IFERROR(VLOOKUP(D614,Clientes_PDV!$A$2:$J$250,4,FALSE),"")</f>
        <v/>
      </c>
      <c r="H614" s="43" t="n"/>
      <c r="I614" s="48">
        <f>IFERROR(VLOOKUP(H614,Maestro_SKU!$A$2:$P$500,2,FALSE),"")</f>
        <v/>
      </c>
      <c r="J614" s="55" t="n"/>
      <c r="K614" s="44" t="n"/>
      <c r="L614" s="51">
        <f>IF(OR(J614="",K614=""),"",J614*K614)</f>
        <v/>
      </c>
      <c r="M614" s="51">
        <f>IF(L614="","",L614*Inicio!$B$13)</f>
        <v/>
      </c>
      <c r="N614" s="51">
        <f>IF(L614="","",L614+M614)</f>
        <v/>
      </c>
      <c r="O614" s="54" t="n"/>
      <c r="P614" s="43" t="n"/>
      <c r="Q614" s="44" t="n"/>
      <c r="R614" s="51">
        <f>IF(N614="","",MAX(N614-Q614,0))</f>
        <v/>
      </c>
      <c r="S614" s="48">
        <f>IF(A614="","",IF(OR(P614="Pagada",R614=0),"Pagada",IF(O614&lt;TODAY(),"Vencida",IF(O614&lt;=TODAY()+Inicio!$B$19,"Próxima a vencer","Vigente"))))</f>
        <v/>
      </c>
      <c r="T614" s="43" t="n"/>
      <c r="U614" s="68">
        <f>IF($B614="","",YEAR($B614))</f>
        <v/>
      </c>
      <c r="V614" s="68">
        <f>IF($B614="","",MONTH($B614))</f>
        <v/>
      </c>
      <c r="W614" s="68">
        <f>IF($B614="","",DAY($B614))</f>
        <v/>
      </c>
      <c r="X614" s="68">
        <f>IF($B614="","",YEAR($B614)&amp;"-"&amp;TEXT(MONTH($B614),"00"))</f>
        <v/>
      </c>
      <c r="Y614" s="68">
        <f>IF(OR($H614="",$J614=""),"",$J614*IFERROR(VLOOKUP($H614,Maestro_SKU!$A$2:$P$500,12,FALSE),1))</f>
        <v/>
      </c>
    </row>
    <row r="615">
      <c r="A615" s="43" t="n"/>
      <c r="B615" s="54" t="n"/>
      <c r="C615" s="43" t="n"/>
      <c r="D615" s="43" t="n"/>
      <c r="E615" s="48">
        <f>IFERROR(VLOOKUP(D615,Clientes_PDV!$A$2:$J$250,2,FALSE),"")</f>
        <v/>
      </c>
      <c r="F615" s="48">
        <f>IFERROR(VLOOKUP(D615,Clientes_PDV!$A$2:$J$250,3,FALSE),"")</f>
        <v/>
      </c>
      <c r="G615" s="48">
        <f>IFERROR(VLOOKUP(D615,Clientes_PDV!$A$2:$J$250,4,FALSE),"")</f>
        <v/>
      </c>
      <c r="H615" s="43" t="n"/>
      <c r="I615" s="48">
        <f>IFERROR(VLOOKUP(H615,Maestro_SKU!$A$2:$P$500,2,FALSE),"")</f>
        <v/>
      </c>
      <c r="J615" s="55" t="n"/>
      <c r="K615" s="44" t="n"/>
      <c r="L615" s="51">
        <f>IF(OR(J615="",K615=""),"",J615*K615)</f>
        <v/>
      </c>
      <c r="M615" s="51">
        <f>IF(L615="","",L615*Inicio!$B$13)</f>
        <v/>
      </c>
      <c r="N615" s="51">
        <f>IF(L615="","",L615+M615)</f>
        <v/>
      </c>
      <c r="O615" s="54" t="n"/>
      <c r="P615" s="43" t="n"/>
      <c r="Q615" s="44" t="n"/>
      <c r="R615" s="51">
        <f>IF(N615="","",MAX(N615-Q615,0))</f>
        <v/>
      </c>
      <c r="S615" s="48">
        <f>IF(A615="","",IF(OR(P615="Pagada",R615=0),"Pagada",IF(O615&lt;TODAY(),"Vencida",IF(O615&lt;=TODAY()+Inicio!$B$19,"Próxima a vencer","Vigente"))))</f>
        <v/>
      </c>
      <c r="T615" s="43" t="n"/>
      <c r="U615" s="68">
        <f>IF($B615="","",YEAR($B615))</f>
        <v/>
      </c>
      <c r="V615" s="68">
        <f>IF($B615="","",MONTH($B615))</f>
        <v/>
      </c>
      <c r="W615" s="68">
        <f>IF($B615="","",DAY($B615))</f>
        <v/>
      </c>
      <c r="X615" s="68">
        <f>IF($B615="","",YEAR($B615)&amp;"-"&amp;TEXT(MONTH($B615),"00"))</f>
        <v/>
      </c>
      <c r="Y615" s="68">
        <f>IF(OR($H615="",$J615=""),"",$J615*IFERROR(VLOOKUP($H615,Maestro_SKU!$A$2:$P$500,12,FALSE),1))</f>
        <v/>
      </c>
    </row>
    <row r="616">
      <c r="A616" s="43" t="n"/>
      <c r="B616" s="54" t="n"/>
      <c r="C616" s="43" t="n"/>
      <c r="D616" s="43" t="n"/>
      <c r="E616" s="48">
        <f>IFERROR(VLOOKUP(D616,Clientes_PDV!$A$2:$J$250,2,FALSE),"")</f>
        <v/>
      </c>
      <c r="F616" s="48">
        <f>IFERROR(VLOOKUP(D616,Clientes_PDV!$A$2:$J$250,3,FALSE),"")</f>
        <v/>
      </c>
      <c r="G616" s="48">
        <f>IFERROR(VLOOKUP(D616,Clientes_PDV!$A$2:$J$250,4,FALSE),"")</f>
        <v/>
      </c>
      <c r="H616" s="43" t="n"/>
      <c r="I616" s="48">
        <f>IFERROR(VLOOKUP(H616,Maestro_SKU!$A$2:$P$500,2,FALSE),"")</f>
        <v/>
      </c>
      <c r="J616" s="55" t="n"/>
      <c r="K616" s="44" t="n"/>
      <c r="L616" s="51">
        <f>IF(OR(J616="",K616=""),"",J616*K616)</f>
        <v/>
      </c>
      <c r="M616" s="51">
        <f>IF(L616="","",L616*Inicio!$B$13)</f>
        <v/>
      </c>
      <c r="N616" s="51">
        <f>IF(L616="","",L616+M616)</f>
        <v/>
      </c>
      <c r="O616" s="54" t="n"/>
      <c r="P616" s="43" t="n"/>
      <c r="Q616" s="44" t="n"/>
      <c r="R616" s="51">
        <f>IF(N616="","",MAX(N616-Q616,0))</f>
        <v/>
      </c>
      <c r="S616" s="48">
        <f>IF(A616="","",IF(OR(P616="Pagada",R616=0),"Pagada",IF(O616&lt;TODAY(),"Vencida",IF(O616&lt;=TODAY()+Inicio!$B$19,"Próxima a vencer","Vigente"))))</f>
        <v/>
      </c>
      <c r="T616" s="43" t="n"/>
      <c r="U616" s="68">
        <f>IF($B616="","",YEAR($B616))</f>
        <v/>
      </c>
      <c r="V616" s="68">
        <f>IF($B616="","",MONTH($B616))</f>
        <v/>
      </c>
      <c r="W616" s="68">
        <f>IF($B616="","",DAY($B616))</f>
        <v/>
      </c>
      <c r="X616" s="68">
        <f>IF($B616="","",YEAR($B616)&amp;"-"&amp;TEXT(MONTH($B616),"00"))</f>
        <v/>
      </c>
      <c r="Y616" s="68">
        <f>IF(OR($H616="",$J616=""),"",$J616*IFERROR(VLOOKUP($H616,Maestro_SKU!$A$2:$P$500,12,FALSE),1))</f>
        <v/>
      </c>
    </row>
    <row r="617">
      <c r="A617" s="43" t="n"/>
      <c r="B617" s="54" t="n"/>
      <c r="C617" s="43" t="n"/>
      <c r="D617" s="43" t="n"/>
      <c r="E617" s="48">
        <f>IFERROR(VLOOKUP(D617,Clientes_PDV!$A$2:$J$250,2,FALSE),"")</f>
        <v/>
      </c>
      <c r="F617" s="48">
        <f>IFERROR(VLOOKUP(D617,Clientes_PDV!$A$2:$J$250,3,FALSE),"")</f>
        <v/>
      </c>
      <c r="G617" s="48">
        <f>IFERROR(VLOOKUP(D617,Clientes_PDV!$A$2:$J$250,4,FALSE),"")</f>
        <v/>
      </c>
      <c r="H617" s="43" t="n"/>
      <c r="I617" s="48">
        <f>IFERROR(VLOOKUP(H617,Maestro_SKU!$A$2:$P$500,2,FALSE),"")</f>
        <v/>
      </c>
      <c r="J617" s="55" t="n"/>
      <c r="K617" s="44" t="n"/>
      <c r="L617" s="51">
        <f>IF(OR(J617="",K617=""),"",J617*K617)</f>
        <v/>
      </c>
      <c r="M617" s="51">
        <f>IF(L617="","",L617*Inicio!$B$13)</f>
        <v/>
      </c>
      <c r="N617" s="51">
        <f>IF(L617="","",L617+M617)</f>
        <v/>
      </c>
      <c r="O617" s="54" t="n"/>
      <c r="P617" s="43" t="n"/>
      <c r="Q617" s="44" t="n"/>
      <c r="R617" s="51">
        <f>IF(N617="","",MAX(N617-Q617,0))</f>
        <v/>
      </c>
      <c r="S617" s="48">
        <f>IF(A617="","",IF(OR(P617="Pagada",R617=0),"Pagada",IF(O617&lt;TODAY(),"Vencida",IF(O617&lt;=TODAY()+Inicio!$B$19,"Próxima a vencer","Vigente"))))</f>
        <v/>
      </c>
      <c r="T617" s="43" t="n"/>
      <c r="U617" s="68">
        <f>IF($B617="","",YEAR($B617))</f>
        <v/>
      </c>
      <c r="V617" s="68">
        <f>IF($B617="","",MONTH($B617))</f>
        <v/>
      </c>
      <c r="W617" s="68">
        <f>IF($B617="","",DAY($B617))</f>
        <v/>
      </c>
      <c r="X617" s="68">
        <f>IF($B617="","",YEAR($B617)&amp;"-"&amp;TEXT(MONTH($B617),"00"))</f>
        <v/>
      </c>
      <c r="Y617" s="68">
        <f>IF(OR($H617="",$J617=""),"",$J617*IFERROR(VLOOKUP($H617,Maestro_SKU!$A$2:$P$500,12,FALSE),1))</f>
        <v/>
      </c>
    </row>
    <row r="618">
      <c r="A618" s="43" t="n"/>
      <c r="B618" s="54" t="n"/>
      <c r="C618" s="43" t="n"/>
      <c r="D618" s="43" t="n"/>
      <c r="E618" s="48">
        <f>IFERROR(VLOOKUP(D618,Clientes_PDV!$A$2:$J$250,2,FALSE),"")</f>
        <v/>
      </c>
      <c r="F618" s="48">
        <f>IFERROR(VLOOKUP(D618,Clientes_PDV!$A$2:$J$250,3,FALSE),"")</f>
        <v/>
      </c>
      <c r="G618" s="48">
        <f>IFERROR(VLOOKUP(D618,Clientes_PDV!$A$2:$J$250,4,FALSE),"")</f>
        <v/>
      </c>
      <c r="H618" s="43" t="n"/>
      <c r="I618" s="48">
        <f>IFERROR(VLOOKUP(H618,Maestro_SKU!$A$2:$P$500,2,FALSE),"")</f>
        <v/>
      </c>
      <c r="J618" s="55" t="n"/>
      <c r="K618" s="44" t="n"/>
      <c r="L618" s="51">
        <f>IF(OR(J618="",K618=""),"",J618*K618)</f>
        <v/>
      </c>
      <c r="M618" s="51">
        <f>IF(L618="","",L618*Inicio!$B$13)</f>
        <v/>
      </c>
      <c r="N618" s="51">
        <f>IF(L618="","",L618+M618)</f>
        <v/>
      </c>
      <c r="O618" s="54" t="n"/>
      <c r="P618" s="43" t="n"/>
      <c r="Q618" s="44" t="n"/>
      <c r="R618" s="51">
        <f>IF(N618="","",MAX(N618-Q618,0))</f>
        <v/>
      </c>
      <c r="S618" s="48">
        <f>IF(A618="","",IF(OR(P618="Pagada",R618=0),"Pagada",IF(O618&lt;TODAY(),"Vencida",IF(O618&lt;=TODAY()+Inicio!$B$19,"Próxima a vencer","Vigente"))))</f>
        <v/>
      </c>
      <c r="T618" s="43" t="n"/>
      <c r="U618" s="68">
        <f>IF($B618="","",YEAR($B618))</f>
        <v/>
      </c>
      <c r="V618" s="68">
        <f>IF($B618="","",MONTH($B618))</f>
        <v/>
      </c>
      <c r="W618" s="68">
        <f>IF($B618="","",DAY($B618))</f>
        <v/>
      </c>
      <c r="X618" s="68">
        <f>IF($B618="","",YEAR($B618)&amp;"-"&amp;TEXT(MONTH($B618),"00"))</f>
        <v/>
      </c>
      <c r="Y618" s="68">
        <f>IF(OR($H618="",$J618=""),"",$J618*IFERROR(VLOOKUP($H618,Maestro_SKU!$A$2:$P$500,12,FALSE),1))</f>
        <v/>
      </c>
    </row>
    <row r="619">
      <c r="A619" s="43" t="n"/>
      <c r="B619" s="54" t="n"/>
      <c r="C619" s="43" t="n"/>
      <c r="D619" s="43" t="n"/>
      <c r="E619" s="48">
        <f>IFERROR(VLOOKUP(D619,Clientes_PDV!$A$2:$J$250,2,FALSE),"")</f>
        <v/>
      </c>
      <c r="F619" s="48">
        <f>IFERROR(VLOOKUP(D619,Clientes_PDV!$A$2:$J$250,3,FALSE),"")</f>
        <v/>
      </c>
      <c r="G619" s="48">
        <f>IFERROR(VLOOKUP(D619,Clientes_PDV!$A$2:$J$250,4,FALSE),"")</f>
        <v/>
      </c>
      <c r="H619" s="43" t="n"/>
      <c r="I619" s="48">
        <f>IFERROR(VLOOKUP(H619,Maestro_SKU!$A$2:$P$500,2,FALSE),"")</f>
        <v/>
      </c>
      <c r="J619" s="55" t="n"/>
      <c r="K619" s="44" t="n"/>
      <c r="L619" s="51">
        <f>IF(OR(J619="",K619=""),"",J619*K619)</f>
        <v/>
      </c>
      <c r="M619" s="51">
        <f>IF(L619="","",L619*Inicio!$B$13)</f>
        <v/>
      </c>
      <c r="N619" s="51">
        <f>IF(L619="","",L619+M619)</f>
        <v/>
      </c>
      <c r="O619" s="54" t="n"/>
      <c r="P619" s="43" t="n"/>
      <c r="Q619" s="44" t="n"/>
      <c r="R619" s="51">
        <f>IF(N619="","",MAX(N619-Q619,0))</f>
        <v/>
      </c>
      <c r="S619" s="48">
        <f>IF(A619="","",IF(OR(P619="Pagada",R619=0),"Pagada",IF(O619&lt;TODAY(),"Vencida",IF(O619&lt;=TODAY()+Inicio!$B$19,"Próxima a vencer","Vigente"))))</f>
        <v/>
      </c>
      <c r="T619" s="43" t="n"/>
      <c r="U619" s="68">
        <f>IF($B619="","",YEAR($B619))</f>
        <v/>
      </c>
      <c r="V619" s="68">
        <f>IF($B619="","",MONTH($B619))</f>
        <v/>
      </c>
      <c r="W619" s="68">
        <f>IF($B619="","",DAY($B619))</f>
        <v/>
      </c>
      <c r="X619" s="68">
        <f>IF($B619="","",YEAR($B619)&amp;"-"&amp;TEXT(MONTH($B619),"00"))</f>
        <v/>
      </c>
      <c r="Y619" s="68">
        <f>IF(OR($H619="",$J619=""),"",$J619*IFERROR(VLOOKUP($H619,Maestro_SKU!$A$2:$P$500,12,FALSE),1))</f>
        <v/>
      </c>
    </row>
    <row r="620">
      <c r="A620" s="43" t="n"/>
      <c r="B620" s="54" t="n"/>
      <c r="C620" s="43" t="n"/>
      <c r="D620" s="43" t="n"/>
      <c r="E620" s="48">
        <f>IFERROR(VLOOKUP(D620,Clientes_PDV!$A$2:$J$250,2,FALSE),"")</f>
        <v/>
      </c>
      <c r="F620" s="48">
        <f>IFERROR(VLOOKUP(D620,Clientes_PDV!$A$2:$J$250,3,FALSE),"")</f>
        <v/>
      </c>
      <c r="G620" s="48">
        <f>IFERROR(VLOOKUP(D620,Clientes_PDV!$A$2:$J$250,4,FALSE),"")</f>
        <v/>
      </c>
      <c r="H620" s="43" t="n"/>
      <c r="I620" s="48">
        <f>IFERROR(VLOOKUP(H620,Maestro_SKU!$A$2:$P$500,2,FALSE),"")</f>
        <v/>
      </c>
      <c r="J620" s="55" t="n"/>
      <c r="K620" s="44" t="n"/>
      <c r="L620" s="51">
        <f>IF(OR(J620="",K620=""),"",J620*K620)</f>
        <v/>
      </c>
      <c r="M620" s="51">
        <f>IF(L620="","",L620*Inicio!$B$13)</f>
        <v/>
      </c>
      <c r="N620" s="51">
        <f>IF(L620="","",L620+M620)</f>
        <v/>
      </c>
      <c r="O620" s="54" t="n"/>
      <c r="P620" s="43" t="n"/>
      <c r="Q620" s="44" t="n"/>
      <c r="R620" s="51">
        <f>IF(N620="","",MAX(N620-Q620,0))</f>
        <v/>
      </c>
      <c r="S620" s="48">
        <f>IF(A620="","",IF(OR(P620="Pagada",R620=0),"Pagada",IF(O620&lt;TODAY(),"Vencida",IF(O620&lt;=TODAY()+Inicio!$B$19,"Próxima a vencer","Vigente"))))</f>
        <v/>
      </c>
      <c r="T620" s="43" t="n"/>
      <c r="U620" s="68">
        <f>IF($B620="","",YEAR($B620))</f>
        <v/>
      </c>
      <c r="V620" s="68">
        <f>IF($B620="","",MONTH($B620))</f>
        <v/>
      </c>
      <c r="W620" s="68">
        <f>IF($B620="","",DAY($B620))</f>
        <v/>
      </c>
      <c r="X620" s="68">
        <f>IF($B620="","",YEAR($B620)&amp;"-"&amp;TEXT(MONTH($B620),"00"))</f>
        <v/>
      </c>
      <c r="Y620" s="68">
        <f>IF(OR($H620="",$J620=""),"",$J620*IFERROR(VLOOKUP($H620,Maestro_SKU!$A$2:$P$500,12,FALSE),1))</f>
        <v/>
      </c>
    </row>
    <row r="621">
      <c r="A621" s="43" t="n"/>
      <c r="B621" s="54" t="n"/>
      <c r="C621" s="43" t="n"/>
      <c r="D621" s="43" t="n"/>
      <c r="E621" s="48">
        <f>IFERROR(VLOOKUP(D621,Clientes_PDV!$A$2:$J$250,2,FALSE),"")</f>
        <v/>
      </c>
      <c r="F621" s="48">
        <f>IFERROR(VLOOKUP(D621,Clientes_PDV!$A$2:$J$250,3,FALSE),"")</f>
        <v/>
      </c>
      <c r="G621" s="48">
        <f>IFERROR(VLOOKUP(D621,Clientes_PDV!$A$2:$J$250,4,FALSE),"")</f>
        <v/>
      </c>
      <c r="H621" s="43" t="n"/>
      <c r="I621" s="48">
        <f>IFERROR(VLOOKUP(H621,Maestro_SKU!$A$2:$P$500,2,FALSE),"")</f>
        <v/>
      </c>
      <c r="J621" s="55" t="n"/>
      <c r="K621" s="44" t="n"/>
      <c r="L621" s="51">
        <f>IF(OR(J621="",K621=""),"",J621*K621)</f>
        <v/>
      </c>
      <c r="M621" s="51">
        <f>IF(L621="","",L621*Inicio!$B$13)</f>
        <v/>
      </c>
      <c r="N621" s="51">
        <f>IF(L621="","",L621+M621)</f>
        <v/>
      </c>
      <c r="O621" s="54" t="n"/>
      <c r="P621" s="43" t="n"/>
      <c r="Q621" s="44" t="n"/>
      <c r="R621" s="51">
        <f>IF(N621="","",MAX(N621-Q621,0))</f>
        <v/>
      </c>
      <c r="S621" s="48">
        <f>IF(A621="","",IF(OR(P621="Pagada",R621=0),"Pagada",IF(O621&lt;TODAY(),"Vencida",IF(O621&lt;=TODAY()+Inicio!$B$19,"Próxima a vencer","Vigente"))))</f>
        <v/>
      </c>
      <c r="T621" s="43" t="n"/>
      <c r="U621" s="68">
        <f>IF($B621="","",YEAR($B621))</f>
        <v/>
      </c>
      <c r="V621" s="68">
        <f>IF($B621="","",MONTH($B621))</f>
        <v/>
      </c>
      <c r="W621" s="68">
        <f>IF($B621="","",DAY($B621))</f>
        <v/>
      </c>
      <c r="X621" s="68">
        <f>IF($B621="","",YEAR($B621)&amp;"-"&amp;TEXT(MONTH($B621),"00"))</f>
        <v/>
      </c>
      <c r="Y621" s="68">
        <f>IF(OR($H621="",$J621=""),"",$J621*IFERROR(VLOOKUP($H621,Maestro_SKU!$A$2:$P$500,12,FALSE),1))</f>
        <v/>
      </c>
    </row>
    <row r="622">
      <c r="A622" s="43" t="n"/>
      <c r="B622" s="54" t="n"/>
      <c r="C622" s="43" t="n"/>
      <c r="D622" s="43" t="n"/>
      <c r="E622" s="48">
        <f>IFERROR(VLOOKUP(D622,Clientes_PDV!$A$2:$J$250,2,FALSE),"")</f>
        <v/>
      </c>
      <c r="F622" s="48">
        <f>IFERROR(VLOOKUP(D622,Clientes_PDV!$A$2:$J$250,3,FALSE),"")</f>
        <v/>
      </c>
      <c r="G622" s="48">
        <f>IFERROR(VLOOKUP(D622,Clientes_PDV!$A$2:$J$250,4,FALSE),"")</f>
        <v/>
      </c>
      <c r="H622" s="43" t="n"/>
      <c r="I622" s="48">
        <f>IFERROR(VLOOKUP(H622,Maestro_SKU!$A$2:$P$500,2,FALSE),"")</f>
        <v/>
      </c>
      <c r="J622" s="55" t="n"/>
      <c r="K622" s="44" t="n"/>
      <c r="L622" s="51">
        <f>IF(OR(J622="",K622=""),"",J622*K622)</f>
        <v/>
      </c>
      <c r="M622" s="51">
        <f>IF(L622="","",L622*Inicio!$B$13)</f>
        <v/>
      </c>
      <c r="N622" s="51">
        <f>IF(L622="","",L622+M622)</f>
        <v/>
      </c>
      <c r="O622" s="54" t="n"/>
      <c r="P622" s="43" t="n"/>
      <c r="Q622" s="44" t="n"/>
      <c r="R622" s="51">
        <f>IF(N622="","",MAX(N622-Q622,0))</f>
        <v/>
      </c>
      <c r="S622" s="48">
        <f>IF(A622="","",IF(OR(P622="Pagada",R622=0),"Pagada",IF(O622&lt;TODAY(),"Vencida",IF(O622&lt;=TODAY()+Inicio!$B$19,"Próxima a vencer","Vigente"))))</f>
        <v/>
      </c>
      <c r="T622" s="43" t="n"/>
      <c r="U622" s="68">
        <f>IF($B622="","",YEAR($B622))</f>
        <v/>
      </c>
      <c r="V622" s="68">
        <f>IF($B622="","",MONTH($B622))</f>
        <v/>
      </c>
      <c r="W622" s="68">
        <f>IF($B622="","",DAY($B622))</f>
        <v/>
      </c>
      <c r="X622" s="68">
        <f>IF($B622="","",YEAR($B622)&amp;"-"&amp;TEXT(MONTH($B622),"00"))</f>
        <v/>
      </c>
      <c r="Y622" s="68">
        <f>IF(OR($H622="",$J622=""),"",$J622*IFERROR(VLOOKUP($H622,Maestro_SKU!$A$2:$P$500,12,FALSE),1))</f>
        <v/>
      </c>
    </row>
    <row r="623">
      <c r="A623" s="43" t="n"/>
      <c r="B623" s="54" t="n"/>
      <c r="C623" s="43" t="n"/>
      <c r="D623" s="43" t="n"/>
      <c r="E623" s="48">
        <f>IFERROR(VLOOKUP(D623,Clientes_PDV!$A$2:$J$250,2,FALSE),"")</f>
        <v/>
      </c>
      <c r="F623" s="48">
        <f>IFERROR(VLOOKUP(D623,Clientes_PDV!$A$2:$J$250,3,FALSE),"")</f>
        <v/>
      </c>
      <c r="G623" s="48">
        <f>IFERROR(VLOOKUP(D623,Clientes_PDV!$A$2:$J$250,4,FALSE),"")</f>
        <v/>
      </c>
      <c r="H623" s="43" t="n"/>
      <c r="I623" s="48">
        <f>IFERROR(VLOOKUP(H623,Maestro_SKU!$A$2:$P$500,2,FALSE),"")</f>
        <v/>
      </c>
      <c r="J623" s="55" t="n"/>
      <c r="K623" s="44" t="n"/>
      <c r="L623" s="51">
        <f>IF(OR(J623="",K623=""),"",J623*K623)</f>
        <v/>
      </c>
      <c r="M623" s="51">
        <f>IF(L623="","",L623*Inicio!$B$13)</f>
        <v/>
      </c>
      <c r="N623" s="51">
        <f>IF(L623="","",L623+M623)</f>
        <v/>
      </c>
      <c r="O623" s="54" t="n"/>
      <c r="P623" s="43" t="n"/>
      <c r="Q623" s="44" t="n"/>
      <c r="R623" s="51">
        <f>IF(N623="","",MAX(N623-Q623,0))</f>
        <v/>
      </c>
      <c r="S623" s="48">
        <f>IF(A623="","",IF(OR(P623="Pagada",R623=0),"Pagada",IF(O623&lt;TODAY(),"Vencida",IF(O623&lt;=TODAY()+Inicio!$B$19,"Próxima a vencer","Vigente"))))</f>
        <v/>
      </c>
      <c r="T623" s="43" t="n"/>
      <c r="U623" s="68">
        <f>IF($B623="","",YEAR($B623))</f>
        <v/>
      </c>
      <c r="V623" s="68">
        <f>IF($B623="","",MONTH($B623))</f>
        <v/>
      </c>
      <c r="W623" s="68">
        <f>IF($B623="","",DAY($B623))</f>
        <v/>
      </c>
      <c r="X623" s="68">
        <f>IF($B623="","",YEAR($B623)&amp;"-"&amp;TEXT(MONTH($B623),"00"))</f>
        <v/>
      </c>
      <c r="Y623" s="68">
        <f>IF(OR($H623="",$J623=""),"",$J623*IFERROR(VLOOKUP($H623,Maestro_SKU!$A$2:$P$500,12,FALSE),1))</f>
        <v/>
      </c>
    </row>
    <row r="624">
      <c r="A624" s="43" t="n"/>
      <c r="B624" s="54" t="n"/>
      <c r="C624" s="43" t="n"/>
      <c r="D624" s="43" t="n"/>
      <c r="E624" s="48">
        <f>IFERROR(VLOOKUP(D624,Clientes_PDV!$A$2:$J$250,2,FALSE),"")</f>
        <v/>
      </c>
      <c r="F624" s="48">
        <f>IFERROR(VLOOKUP(D624,Clientes_PDV!$A$2:$J$250,3,FALSE),"")</f>
        <v/>
      </c>
      <c r="G624" s="48">
        <f>IFERROR(VLOOKUP(D624,Clientes_PDV!$A$2:$J$250,4,FALSE),"")</f>
        <v/>
      </c>
      <c r="H624" s="43" t="n"/>
      <c r="I624" s="48">
        <f>IFERROR(VLOOKUP(H624,Maestro_SKU!$A$2:$P$500,2,FALSE),"")</f>
        <v/>
      </c>
      <c r="J624" s="55" t="n"/>
      <c r="K624" s="44" t="n"/>
      <c r="L624" s="51">
        <f>IF(OR(J624="",K624=""),"",J624*K624)</f>
        <v/>
      </c>
      <c r="M624" s="51">
        <f>IF(L624="","",L624*Inicio!$B$13)</f>
        <v/>
      </c>
      <c r="N624" s="51">
        <f>IF(L624="","",L624+M624)</f>
        <v/>
      </c>
      <c r="O624" s="54" t="n"/>
      <c r="P624" s="43" t="n"/>
      <c r="Q624" s="44" t="n"/>
      <c r="R624" s="51">
        <f>IF(N624="","",MAX(N624-Q624,0))</f>
        <v/>
      </c>
      <c r="S624" s="48">
        <f>IF(A624="","",IF(OR(P624="Pagada",R624=0),"Pagada",IF(O624&lt;TODAY(),"Vencida",IF(O624&lt;=TODAY()+Inicio!$B$19,"Próxima a vencer","Vigente"))))</f>
        <v/>
      </c>
      <c r="T624" s="43" t="n"/>
      <c r="U624" s="68">
        <f>IF($B624="","",YEAR($B624))</f>
        <v/>
      </c>
      <c r="V624" s="68">
        <f>IF($B624="","",MONTH($B624))</f>
        <v/>
      </c>
      <c r="W624" s="68">
        <f>IF($B624="","",DAY($B624))</f>
        <v/>
      </c>
      <c r="X624" s="68">
        <f>IF($B624="","",YEAR($B624)&amp;"-"&amp;TEXT(MONTH($B624),"00"))</f>
        <v/>
      </c>
      <c r="Y624" s="68">
        <f>IF(OR($H624="",$J624=""),"",$J624*IFERROR(VLOOKUP($H624,Maestro_SKU!$A$2:$P$500,12,FALSE),1))</f>
        <v/>
      </c>
    </row>
    <row r="625">
      <c r="A625" s="43" t="n"/>
      <c r="B625" s="54" t="n"/>
      <c r="C625" s="43" t="n"/>
      <c r="D625" s="43" t="n"/>
      <c r="E625" s="48">
        <f>IFERROR(VLOOKUP(D625,Clientes_PDV!$A$2:$J$250,2,FALSE),"")</f>
        <v/>
      </c>
      <c r="F625" s="48">
        <f>IFERROR(VLOOKUP(D625,Clientes_PDV!$A$2:$J$250,3,FALSE),"")</f>
        <v/>
      </c>
      <c r="G625" s="48">
        <f>IFERROR(VLOOKUP(D625,Clientes_PDV!$A$2:$J$250,4,FALSE),"")</f>
        <v/>
      </c>
      <c r="H625" s="43" t="n"/>
      <c r="I625" s="48">
        <f>IFERROR(VLOOKUP(H625,Maestro_SKU!$A$2:$P$500,2,FALSE),"")</f>
        <v/>
      </c>
      <c r="J625" s="55" t="n"/>
      <c r="K625" s="44" t="n"/>
      <c r="L625" s="51">
        <f>IF(OR(J625="",K625=""),"",J625*K625)</f>
        <v/>
      </c>
      <c r="M625" s="51">
        <f>IF(L625="","",L625*Inicio!$B$13)</f>
        <v/>
      </c>
      <c r="N625" s="51">
        <f>IF(L625="","",L625+M625)</f>
        <v/>
      </c>
      <c r="O625" s="54" t="n"/>
      <c r="P625" s="43" t="n"/>
      <c r="Q625" s="44" t="n"/>
      <c r="R625" s="51">
        <f>IF(N625="","",MAX(N625-Q625,0))</f>
        <v/>
      </c>
      <c r="S625" s="48">
        <f>IF(A625="","",IF(OR(P625="Pagada",R625=0),"Pagada",IF(O625&lt;TODAY(),"Vencida",IF(O625&lt;=TODAY()+Inicio!$B$19,"Próxima a vencer","Vigente"))))</f>
        <v/>
      </c>
      <c r="T625" s="43" t="n"/>
      <c r="U625" s="68">
        <f>IF($B625="","",YEAR($B625))</f>
        <v/>
      </c>
      <c r="V625" s="68">
        <f>IF($B625="","",MONTH($B625))</f>
        <v/>
      </c>
      <c r="W625" s="68">
        <f>IF($B625="","",DAY($B625))</f>
        <v/>
      </c>
      <c r="X625" s="68">
        <f>IF($B625="","",YEAR($B625)&amp;"-"&amp;TEXT(MONTH($B625),"00"))</f>
        <v/>
      </c>
      <c r="Y625" s="68">
        <f>IF(OR($H625="",$J625=""),"",$J625*IFERROR(VLOOKUP($H625,Maestro_SKU!$A$2:$P$500,12,FALSE),1))</f>
        <v/>
      </c>
    </row>
    <row r="626">
      <c r="A626" s="43" t="n"/>
      <c r="B626" s="54" t="n"/>
      <c r="C626" s="43" t="n"/>
      <c r="D626" s="43" t="n"/>
      <c r="E626" s="48">
        <f>IFERROR(VLOOKUP(D626,Clientes_PDV!$A$2:$J$250,2,FALSE),"")</f>
        <v/>
      </c>
      <c r="F626" s="48">
        <f>IFERROR(VLOOKUP(D626,Clientes_PDV!$A$2:$J$250,3,FALSE),"")</f>
        <v/>
      </c>
      <c r="G626" s="48">
        <f>IFERROR(VLOOKUP(D626,Clientes_PDV!$A$2:$J$250,4,FALSE),"")</f>
        <v/>
      </c>
      <c r="H626" s="43" t="n"/>
      <c r="I626" s="48">
        <f>IFERROR(VLOOKUP(H626,Maestro_SKU!$A$2:$P$500,2,FALSE),"")</f>
        <v/>
      </c>
      <c r="J626" s="55" t="n"/>
      <c r="K626" s="44" t="n"/>
      <c r="L626" s="51">
        <f>IF(OR(J626="",K626=""),"",J626*K626)</f>
        <v/>
      </c>
      <c r="M626" s="51">
        <f>IF(L626="","",L626*Inicio!$B$13)</f>
        <v/>
      </c>
      <c r="N626" s="51">
        <f>IF(L626="","",L626+M626)</f>
        <v/>
      </c>
      <c r="O626" s="54" t="n"/>
      <c r="P626" s="43" t="n"/>
      <c r="Q626" s="44" t="n"/>
      <c r="R626" s="51">
        <f>IF(N626="","",MAX(N626-Q626,0))</f>
        <v/>
      </c>
      <c r="S626" s="48">
        <f>IF(A626="","",IF(OR(P626="Pagada",R626=0),"Pagada",IF(O626&lt;TODAY(),"Vencida",IF(O626&lt;=TODAY()+Inicio!$B$19,"Próxima a vencer","Vigente"))))</f>
        <v/>
      </c>
      <c r="T626" s="43" t="n"/>
      <c r="U626" s="68">
        <f>IF($B626="","",YEAR($B626))</f>
        <v/>
      </c>
      <c r="V626" s="68">
        <f>IF($B626="","",MONTH($B626))</f>
        <v/>
      </c>
      <c r="W626" s="68">
        <f>IF($B626="","",DAY($B626))</f>
        <v/>
      </c>
      <c r="X626" s="68">
        <f>IF($B626="","",YEAR($B626)&amp;"-"&amp;TEXT(MONTH($B626),"00"))</f>
        <v/>
      </c>
      <c r="Y626" s="68">
        <f>IF(OR($H626="",$J626=""),"",$J626*IFERROR(VLOOKUP($H626,Maestro_SKU!$A$2:$P$500,12,FALSE),1))</f>
        <v/>
      </c>
    </row>
    <row r="627">
      <c r="A627" s="43" t="n"/>
      <c r="B627" s="54" t="n"/>
      <c r="C627" s="43" t="n"/>
      <c r="D627" s="43" t="n"/>
      <c r="E627" s="48">
        <f>IFERROR(VLOOKUP(D627,Clientes_PDV!$A$2:$J$250,2,FALSE),"")</f>
        <v/>
      </c>
      <c r="F627" s="48">
        <f>IFERROR(VLOOKUP(D627,Clientes_PDV!$A$2:$J$250,3,FALSE),"")</f>
        <v/>
      </c>
      <c r="G627" s="48">
        <f>IFERROR(VLOOKUP(D627,Clientes_PDV!$A$2:$J$250,4,FALSE),"")</f>
        <v/>
      </c>
      <c r="H627" s="43" t="n"/>
      <c r="I627" s="48">
        <f>IFERROR(VLOOKUP(H627,Maestro_SKU!$A$2:$P$500,2,FALSE),"")</f>
        <v/>
      </c>
      <c r="J627" s="55" t="n"/>
      <c r="K627" s="44" t="n"/>
      <c r="L627" s="51">
        <f>IF(OR(J627="",K627=""),"",J627*K627)</f>
        <v/>
      </c>
      <c r="M627" s="51">
        <f>IF(L627="","",L627*Inicio!$B$13)</f>
        <v/>
      </c>
      <c r="N627" s="51">
        <f>IF(L627="","",L627+M627)</f>
        <v/>
      </c>
      <c r="O627" s="54" t="n"/>
      <c r="P627" s="43" t="n"/>
      <c r="Q627" s="44" t="n"/>
      <c r="R627" s="51">
        <f>IF(N627="","",MAX(N627-Q627,0))</f>
        <v/>
      </c>
      <c r="S627" s="48">
        <f>IF(A627="","",IF(OR(P627="Pagada",R627=0),"Pagada",IF(O627&lt;TODAY(),"Vencida",IF(O627&lt;=TODAY()+Inicio!$B$19,"Próxima a vencer","Vigente"))))</f>
        <v/>
      </c>
      <c r="T627" s="43" t="n"/>
      <c r="U627" s="68">
        <f>IF($B627="","",YEAR($B627))</f>
        <v/>
      </c>
      <c r="V627" s="68">
        <f>IF($B627="","",MONTH($B627))</f>
        <v/>
      </c>
      <c r="W627" s="68">
        <f>IF($B627="","",DAY($B627))</f>
        <v/>
      </c>
      <c r="X627" s="68">
        <f>IF($B627="","",YEAR($B627)&amp;"-"&amp;TEXT(MONTH($B627),"00"))</f>
        <v/>
      </c>
      <c r="Y627" s="68">
        <f>IF(OR($H627="",$J627=""),"",$J627*IFERROR(VLOOKUP($H627,Maestro_SKU!$A$2:$P$500,12,FALSE),1))</f>
        <v/>
      </c>
    </row>
    <row r="628">
      <c r="A628" s="43" t="n"/>
      <c r="B628" s="54" t="n"/>
      <c r="C628" s="43" t="n"/>
      <c r="D628" s="43" t="n"/>
      <c r="E628" s="48">
        <f>IFERROR(VLOOKUP(D628,Clientes_PDV!$A$2:$J$250,2,FALSE),"")</f>
        <v/>
      </c>
      <c r="F628" s="48">
        <f>IFERROR(VLOOKUP(D628,Clientes_PDV!$A$2:$J$250,3,FALSE),"")</f>
        <v/>
      </c>
      <c r="G628" s="48">
        <f>IFERROR(VLOOKUP(D628,Clientes_PDV!$A$2:$J$250,4,FALSE),"")</f>
        <v/>
      </c>
      <c r="H628" s="43" t="n"/>
      <c r="I628" s="48">
        <f>IFERROR(VLOOKUP(H628,Maestro_SKU!$A$2:$P$500,2,FALSE),"")</f>
        <v/>
      </c>
      <c r="J628" s="55" t="n"/>
      <c r="K628" s="44" t="n"/>
      <c r="L628" s="51">
        <f>IF(OR(J628="",K628=""),"",J628*K628)</f>
        <v/>
      </c>
      <c r="M628" s="51">
        <f>IF(L628="","",L628*Inicio!$B$13)</f>
        <v/>
      </c>
      <c r="N628" s="51">
        <f>IF(L628="","",L628+M628)</f>
        <v/>
      </c>
      <c r="O628" s="54" t="n"/>
      <c r="P628" s="43" t="n"/>
      <c r="Q628" s="44" t="n"/>
      <c r="R628" s="51">
        <f>IF(N628="","",MAX(N628-Q628,0))</f>
        <v/>
      </c>
      <c r="S628" s="48">
        <f>IF(A628="","",IF(OR(P628="Pagada",R628=0),"Pagada",IF(O628&lt;TODAY(),"Vencida",IF(O628&lt;=TODAY()+Inicio!$B$19,"Próxima a vencer","Vigente"))))</f>
        <v/>
      </c>
      <c r="T628" s="43" t="n"/>
      <c r="U628" s="68">
        <f>IF($B628="","",YEAR($B628))</f>
        <v/>
      </c>
      <c r="V628" s="68">
        <f>IF($B628="","",MONTH($B628))</f>
        <v/>
      </c>
      <c r="W628" s="68">
        <f>IF($B628="","",DAY($B628))</f>
        <v/>
      </c>
      <c r="X628" s="68">
        <f>IF($B628="","",YEAR($B628)&amp;"-"&amp;TEXT(MONTH($B628),"00"))</f>
        <v/>
      </c>
      <c r="Y628" s="68">
        <f>IF(OR($H628="",$J628=""),"",$J628*IFERROR(VLOOKUP($H628,Maestro_SKU!$A$2:$P$500,12,FALSE),1))</f>
        <v/>
      </c>
    </row>
    <row r="629">
      <c r="A629" s="43" t="n"/>
      <c r="B629" s="54" t="n"/>
      <c r="C629" s="43" t="n"/>
      <c r="D629" s="43" t="n"/>
      <c r="E629" s="48">
        <f>IFERROR(VLOOKUP(D629,Clientes_PDV!$A$2:$J$250,2,FALSE),"")</f>
        <v/>
      </c>
      <c r="F629" s="48">
        <f>IFERROR(VLOOKUP(D629,Clientes_PDV!$A$2:$J$250,3,FALSE),"")</f>
        <v/>
      </c>
      <c r="G629" s="48">
        <f>IFERROR(VLOOKUP(D629,Clientes_PDV!$A$2:$J$250,4,FALSE),"")</f>
        <v/>
      </c>
      <c r="H629" s="43" t="n"/>
      <c r="I629" s="48">
        <f>IFERROR(VLOOKUP(H629,Maestro_SKU!$A$2:$P$500,2,FALSE),"")</f>
        <v/>
      </c>
      <c r="J629" s="55" t="n"/>
      <c r="K629" s="44" t="n"/>
      <c r="L629" s="51">
        <f>IF(OR(J629="",K629=""),"",J629*K629)</f>
        <v/>
      </c>
      <c r="M629" s="51">
        <f>IF(L629="","",L629*Inicio!$B$13)</f>
        <v/>
      </c>
      <c r="N629" s="51">
        <f>IF(L629="","",L629+M629)</f>
        <v/>
      </c>
      <c r="O629" s="54" t="n"/>
      <c r="P629" s="43" t="n"/>
      <c r="Q629" s="44" t="n"/>
      <c r="R629" s="51">
        <f>IF(N629="","",MAX(N629-Q629,0))</f>
        <v/>
      </c>
      <c r="S629" s="48">
        <f>IF(A629="","",IF(OR(P629="Pagada",R629=0),"Pagada",IF(O629&lt;TODAY(),"Vencida",IF(O629&lt;=TODAY()+Inicio!$B$19,"Próxima a vencer","Vigente"))))</f>
        <v/>
      </c>
      <c r="T629" s="43" t="n"/>
      <c r="U629" s="68">
        <f>IF($B629="","",YEAR($B629))</f>
        <v/>
      </c>
      <c r="V629" s="68">
        <f>IF($B629="","",MONTH($B629))</f>
        <v/>
      </c>
      <c r="W629" s="68">
        <f>IF($B629="","",DAY($B629))</f>
        <v/>
      </c>
      <c r="X629" s="68">
        <f>IF($B629="","",YEAR($B629)&amp;"-"&amp;TEXT(MONTH($B629),"00"))</f>
        <v/>
      </c>
      <c r="Y629" s="68">
        <f>IF(OR($H629="",$J629=""),"",$J629*IFERROR(VLOOKUP($H629,Maestro_SKU!$A$2:$P$500,12,FALSE),1))</f>
        <v/>
      </c>
    </row>
    <row r="630">
      <c r="A630" s="43" t="n"/>
      <c r="B630" s="54" t="n"/>
      <c r="C630" s="43" t="n"/>
      <c r="D630" s="43" t="n"/>
      <c r="E630" s="48">
        <f>IFERROR(VLOOKUP(D630,Clientes_PDV!$A$2:$J$250,2,FALSE),"")</f>
        <v/>
      </c>
      <c r="F630" s="48">
        <f>IFERROR(VLOOKUP(D630,Clientes_PDV!$A$2:$J$250,3,FALSE),"")</f>
        <v/>
      </c>
      <c r="G630" s="48">
        <f>IFERROR(VLOOKUP(D630,Clientes_PDV!$A$2:$J$250,4,FALSE),"")</f>
        <v/>
      </c>
      <c r="H630" s="43" t="n"/>
      <c r="I630" s="48">
        <f>IFERROR(VLOOKUP(H630,Maestro_SKU!$A$2:$P$500,2,FALSE),"")</f>
        <v/>
      </c>
      <c r="J630" s="55" t="n"/>
      <c r="K630" s="44" t="n"/>
      <c r="L630" s="51">
        <f>IF(OR(J630="",K630=""),"",J630*K630)</f>
        <v/>
      </c>
      <c r="M630" s="51">
        <f>IF(L630="","",L630*Inicio!$B$13)</f>
        <v/>
      </c>
      <c r="N630" s="51">
        <f>IF(L630="","",L630+M630)</f>
        <v/>
      </c>
      <c r="O630" s="54" t="n"/>
      <c r="P630" s="43" t="n"/>
      <c r="Q630" s="44" t="n"/>
      <c r="R630" s="51">
        <f>IF(N630="","",MAX(N630-Q630,0))</f>
        <v/>
      </c>
      <c r="S630" s="48">
        <f>IF(A630="","",IF(OR(P630="Pagada",R630=0),"Pagada",IF(O630&lt;TODAY(),"Vencida",IF(O630&lt;=TODAY()+Inicio!$B$19,"Próxima a vencer","Vigente"))))</f>
        <v/>
      </c>
      <c r="T630" s="43" t="n"/>
      <c r="U630" s="68">
        <f>IF($B630="","",YEAR($B630))</f>
        <v/>
      </c>
      <c r="V630" s="68">
        <f>IF($B630="","",MONTH($B630))</f>
        <v/>
      </c>
      <c r="W630" s="68">
        <f>IF($B630="","",DAY($B630))</f>
        <v/>
      </c>
      <c r="X630" s="68">
        <f>IF($B630="","",YEAR($B630)&amp;"-"&amp;TEXT(MONTH($B630),"00"))</f>
        <v/>
      </c>
      <c r="Y630" s="68">
        <f>IF(OR($H630="",$J630=""),"",$J630*IFERROR(VLOOKUP($H630,Maestro_SKU!$A$2:$P$500,12,FALSE),1))</f>
        <v/>
      </c>
    </row>
    <row r="631">
      <c r="A631" s="43" t="n"/>
      <c r="B631" s="54" t="n"/>
      <c r="C631" s="43" t="n"/>
      <c r="D631" s="43" t="n"/>
      <c r="E631" s="48">
        <f>IFERROR(VLOOKUP(D631,Clientes_PDV!$A$2:$J$250,2,FALSE),"")</f>
        <v/>
      </c>
      <c r="F631" s="48">
        <f>IFERROR(VLOOKUP(D631,Clientes_PDV!$A$2:$J$250,3,FALSE),"")</f>
        <v/>
      </c>
      <c r="G631" s="48">
        <f>IFERROR(VLOOKUP(D631,Clientes_PDV!$A$2:$J$250,4,FALSE),"")</f>
        <v/>
      </c>
      <c r="H631" s="43" t="n"/>
      <c r="I631" s="48">
        <f>IFERROR(VLOOKUP(H631,Maestro_SKU!$A$2:$P$500,2,FALSE),"")</f>
        <v/>
      </c>
      <c r="J631" s="55" t="n"/>
      <c r="K631" s="44" t="n"/>
      <c r="L631" s="51">
        <f>IF(OR(J631="",K631=""),"",J631*K631)</f>
        <v/>
      </c>
      <c r="M631" s="51">
        <f>IF(L631="","",L631*Inicio!$B$13)</f>
        <v/>
      </c>
      <c r="N631" s="51">
        <f>IF(L631="","",L631+M631)</f>
        <v/>
      </c>
      <c r="O631" s="54" t="n"/>
      <c r="P631" s="43" t="n"/>
      <c r="Q631" s="44" t="n"/>
      <c r="R631" s="51">
        <f>IF(N631="","",MAX(N631-Q631,0))</f>
        <v/>
      </c>
      <c r="S631" s="48">
        <f>IF(A631="","",IF(OR(P631="Pagada",R631=0),"Pagada",IF(O631&lt;TODAY(),"Vencida",IF(O631&lt;=TODAY()+Inicio!$B$19,"Próxima a vencer","Vigente"))))</f>
        <v/>
      </c>
      <c r="T631" s="43" t="n"/>
      <c r="U631" s="68">
        <f>IF($B631="","",YEAR($B631))</f>
        <v/>
      </c>
      <c r="V631" s="68">
        <f>IF($B631="","",MONTH($B631))</f>
        <v/>
      </c>
      <c r="W631" s="68">
        <f>IF($B631="","",DAY($B631))</f>
        <v/>
      </c>
      <c r="X631" s="68">
        <f>IF($B631="","",YEAR($B631)&amp;"-"&amp;TEXT(MONTH($B631),"00"))</f>
        <v/>
      </c>
      <c r="Y631" s="68">
        <f>IF(OR($H631="",$J631=""),"",$J631*IFERROR(VLOOKUP($H631,Maestro_SKU!$A$2:$P$500,12,FALSE),1))</f>
        <v/>
      </c>
    </row>
    <row r="632">
      <c r="A632" s="43" t="n"/>
      <c r="B632" s="54" t="n"/>
      <c r="C632" s="43" t="n"/>
      <c r="D632" s="43" t="n"/>
      <c r="E632" s="48">
        <f>IFERROR(VLOOKUP(D632,Clientes_PDV!$A$2:$J$250,2,FALSE),"")</f>
        <v/>
      </c>
      <c r="F632" s="48">
        <f>IFERROR(VLOOKUP(D632,Clientes_PDV!$A$2:$J$250,3,FALSE),"")</f>
        <v/>
      </c>
      <c r="G632" s="48">
        <f>IFERROR(VLOOKUP(D632,Clientes_PDV!$A$2:$J$250,4,FALSE),"")</f>
        <v/>
      </c>
      <c r="H632" s="43" t="n"/>
      <c r="I632" s="48">
        <f>IFERROR(VLOOKUP(H632,Maestro_SKU!$A$2:$P$500,2,FALSE),"")</f>
        <v/>
      </c>
      <c r="J632" s="55" t="n"/>
      <c r="K632" s="44" t="n"/>
      <c r="L632" s="51">
        <f>IF(OR(J632="",K632=""),"",J632*K632)</f>
        <v/>
      </c>
      <c r="M632" s="51">
        <f>IF(L632="","",L632*Inicio!$B$13)</f>
        <v/>
      </c>
      <c r="N632" s="51">
        <f>IF(L632="","",L632+M632)</f>
        <v/>
      </c>
      <c r="O632" s="54" t="n"/>
      <c r="P632" s="43" t="n"/>
      <c r="Q632" s="44" t="n"/>
      <c r="R632" s="51">
        <f>IF(N632="","",MAX(N632-Q632,0))</f>
        <v/>
      </c>
      <c r="S632" s="48">
        <f>IF(A632="","",IF(OR(P632="Pagada",R632=0),"Pagada",IF(O632&lt;TODAY(),"Vencida",IF(O632&lt;=TODAY()+Inicio!$B$19,"Próxima a vencer","Vigente"))))</f>
        <v/>
      </c>
      <c r="T632" s="43" t="n"/>
      <c r="U632" s="68">
        <f>IF($B632="","",YEAR($B632))</f>
        <v/>
      </c>
      <c r="V632" s="68">
        <f>IF($B632="","",MONTH($B632))</f>
        <v/>
      </c>
      <c r="W632" s="68">
        <f>IF($B632="","",DAY($B632))</f>
        <v/>
      </c>
      <c r="X632" s="68">
        <f>IF($B632="","",YEAR($B632)&amp;"-"&amp;TEXT(MONTH($B632),"00"))</f>
        <v/>
      </c>
      <c r="Y632" s="68">
        <f>IF(OR($H632="",$J632=""),"",$J632*IFERROR(VLOOKUP($H632,Maestro_SKU!$A$2:$P$500,12,FALSE),1))</f>
        <v/>
      </c>
    </row>
    <row r="633">
      <c r="A633" s="43" t="n"/>
      <c r="B633" s="54" t="n"/>
      <c r="C633" s="43" t="n"/>
      <c r="D633" s="43" t="n"/>
      <c r="E633" s="48">
        <f>IFERROR(VLOOKUP(D633,Clientes_PDV!$A$2:$J$250,2,FALSE),"")</f>
        <v/>
      </c>
      <c r="F633" s="48">
        <f>IFERROR(VLOOKUP(D633,Clientes_PDV!$A$2:$J$250,3,FALSE),"")</f>
        <v/>
      </c>
      <c r="G633" s="48">
        <f>IFERROR(VLOOKUP(D633,Clientes_PDV!$A$2:$J$250,4,FALSE),"")</f>
        <v/>
      </c>
      <c r="H633" s="43" t="n"/>
      <c r="I633" s="48">
        <f>IFERROR(VLOOKUP(H633,Maestro_SKU!$A$2:$P$500,2,FALSE),"")</f>
        <v/>
      </c>
      <c r="J633" s="55" t="n"/>
      <c r="K633" s="44" t="n"/>
      <c r="L633" s="51">
        <f>IF(OR(J633="",K633=""),"",J633*K633)</f>
        <v/>
      </c>
      <c r="M633" s="51">
        <f>IF(L633="","",L633*Inicio!$B$13)</f>
        <v/>
      </c>
      <c r="N633" s="51">
        <f>IF(L633="","",L633+M633)</f>
        <v/>
      </c>
      <c r="O633" s="54" t="n"/>
      <c r="P633" s="43" t="n"/>
      <c r="Q633" s="44" t="n"/>
      <c r="R633" s="51">
        <f>IF(N633="","",MAX(N633-Q633,0))</f>
        <v/>
      </c>
      <c r="S633" s="48">
        <f>IF(A633="","",IF(OR(P633="Pagada",R633=0),"Pagada",IF(O633&lt;TODAY(),"Vencida",IF(O633&lt;=TODAY()+Inicio!$B$19,"Próxima a vencer","Vigente"))))</f>
        <v/>
      </c>
      <c r="T633" s="43" t="n"/>
      <c r="U633" s="68">
        <f>IF($B633="","",YEAR($B633))</f>
        <v/>
      </c>
      <c r="V633" s="68">
        <f>IF($B633="","",MONTH($B633))</f>
        <v/>
      </c>
      <c r="W633" s="68">
        <f>IF($B633="","",DAY($B633))</f>
        <v/>
      </c>
      <c r="X633" s="68">
        <f>IF($B633="","",YEAR($B633)&amp;"-"&amp;TEXT(MONTH($B633),"00"))</f>
        <v/>
      </c>
      <c r="Y633" s="68">
        <f>IF(OR($H633="",$J633=""),"",$J633*IFERROR(VLOOKUP($H633,Maestro_SKU!$A$2:$P$500,12,FALSE),1))</f>
        <v/>
      </c>
    </row>
    <row r="634">
      <c r="A634" s="43" t="n"/>
      <c r="B634" s="54" t="n"/>
      <c r="C634" s="43" t="n"/>
      <c r="D634" s="43" t="n"/>
      <c r="E634" s="48">
        <f>IFERROR(VLOOKUP(D634,Clientes_PDV!$A$2:$J$250,2,FALSE),"")</f>
        <v/>
      </c>
      <c r="F634" s="48">
        <f>IFERROR(VLOOKUP(D634,Clientes_PDV!$A$2:$J$250,3,FALSE),"")</f>
        <v/>
      </c>
      <c r="G634" s="48">
        <f>IFERROR(VLOOKUP(D634,Clientes_PDV!$A$2:$J$250,4,FALSE),"")</f>
        <v/>
      </c>
      <c r="H634" s="43" t="n"/>
      <c r="I634" s="48">
        <f>IFERROR(VLOOKUP(H634,Maestro_SKU!$A$2:$P$500,2,FALSE),"")</f>
        <v/>
      </c>
      <c r="J634" s="55" t="n"/>
      <c r="K634" s="44" t="n"/>
      <c r="L634" s="51">
        <f>IF(OR(J634="",K634=""),"",J634*K634)</f>
        <v/>
      </c>
      <c r="M634" s="51">
        <f>IF(L634="","",L634*Inicio!$B$13)</f>
        <v/>
      </c>
      <c r="N634" s="51">
        <f>IF(L634="","",L634+M634)</f>
        <v/>
      </c>
      <c r="O634" s="54" t="n"/>
      <c r="P634" s="43" t="n"/>
      <c r="Q634" s="44" t="n"/>
      <c r="R634" s="51">
        <f>IF(N634="","",MAX(N634-Q634,0))</f>
        <v/>
      </c>
      <c r="S634" s="48">
        <f>IF(A634="","",IF(OR(P634="Pagada",R634=0),"Pagada",IF(O634&lt;TODAY(),"Vencida",IF(O634&lt;=TODAY()+Inicio!$B$19,"Próxima a vencer","Vigente"))))</f>
        <v/>
      </c>
      <c r="T634" s="43" t="n"/>
      <c r="U634" s="68">
        <f>IF($B634="","",YEAR($B634))</f>
        <v/>
      </c>
      <c r="V634" s="68">
        <f>IF($B634="","",MONTH($B634))</f>
        <v/>
      </c>
      <c r="W634" s="68">
        <f>IF($B634="","",DAY($B634))</f>
        <v/>
      </c>
      <c r="X634" s="68">
        <f>IF($B634="","",YEAR($B634)&amp;"-"&amp;TEXT(MONTH($B634),"00"))</f>
        <v/>
      </c>
      <c r="Y634" s="68">
        <f>IF(OR($H634="",$J634=""),"",$J634*IFERROR(VLOOKUP($H634,Maestro_SKU!$A$2:$P$500,12,FALSE),1))</f>
        <v/>
      </c>
    </row>
    <row r="635">
      <c r="A635" s="43" t="n"/>
      <c r="B635" s="54" t="n"/>
      <c r="C635" s="43" t="n"/>
      <c r="D635" s="43" t="n"/>
      <c r="E635" s="48">
        <f>IFERROR(VLOOKUP(D635,Clientes_PDV!$A$2:$J$250,2,FALSE),"")</f>
        <v/>
      </c>
      <c r="F635" s="48">
        <f>IFERROR(VLOOKUP(D635,Clientes_PDV!$A$2:$J$250,3,FALSE),"")</f>
        <v/>
      </c>
      <c r="G635" s="48">
        <f>IFERROR(VLOOKUP(D635,Clientes_PDV!$A$2:$J$250,4,FALSE),"")</f>
        <v/>
      </c>
      <c r="H635" s="43" t="n"/>
      <c r="I635" s="48">
        <f>IFERROR(VLOOKUP(H635,Maestro_SKU!$A$2:$P$500,2,FALSE),"")</f>
        <v/>
      </c>
      <c r="J635" s="55" t="n"/>
      <c r="K635" s="44" t="n"/>
      <c r="L635" s="51">
        <f>IF(OR(J635="",K635=""),"",J635*K635)</f>
        <v/>
      </c>
      <c r="M635" s="51">
        <f>IF(L635="","",L635*Inicio!$B$13)</f>
        <v/>
      </c>
      <c r="N635" s="51">
        <f>IF(L635="","",L635+M635)</f>
        <v/>
      </c>
      <c r="O635" s="54" t="n"/>
      <c r="P635" s="43" t="n"/>
      <c r="Q635" s="44" t="n"/>
      <c r="R635" s="51">
        <f>IF(N635="","",MAX(N635-Q635,0))</f>
        <v/>
      </c>
      <c r="S635" s="48">
        <f>IF(A635="","",IF(OR(P635="Pagada",R635=0),"Pagada",IF(O635&lt;TODAY(),"Vencida",IF(O635&lt;=TODAY()+Inicio!$B$19,"Próxima a vencer","Vigente"))))</f>
        <v/>
      </c>
      <c r="T635" s="43" t="n"/>
      <c r="U635" s="68">
        <f>IF($B635="","",YEAR($B635))</f>
        <v/>
      </c>
      <c r="V635" s="68">
        <f>IF($B635="","",MONTH($B635))</f>
        <v/>
      </c>
      <c r="W635" s="68">
        <f>IF($B635="","",DAY($B635))</f>
        <v/>
      </c>
      <c r="X635" s="68">
        <f>IF($B635="","",YEAR($B635)&amp;"-"&amp;TEXT(MONTH($B635),"00"))</f>
        <v/>
      </c>
      <c r="Y635" s="68">
        <f>IF(OR($H635="",$J635=""),"",$J635*IFERROR(VLOOKUP($H635,Maestro_SKU!$A$2:$P$500,12,FALSE),1))</f>
        <v/>
      </c>
    </row>
    <row r="636">
      <c r="A636" s="43" t="n"/>
      <c r="B636" s="54" t="n"/>
      <c r="C636" s="43" t="n"/>
      <c r="D636" s="43" t="n"/>
      <c r="E636" s="48">
        <f>IFERROR(VLOOKUP(D636,Clientes_PDV!$A$2:$J$250,2,FALSE),"")</f>
        <v/>
      </c>
      <c r="F636" s="48">
        <f>IFERROR(VLOOKUP(D636,Clientes_PDV!$A$2:$J$250,3,FALSE),"")</f>
        <v/>
      </c>
      <c r="G636" s="48">
        <f>IFERROR(VLOOKUP(D636,Clientes_PDV!$A$2:$J$250,4,FALSE),"")</f>
        <v/>
      </c>
      <c r="H636" s="43" t="n"/>
      <c r="I636" s="48">
        <f>IFERROR(VLOOKUP(H636,Maestro_SKU!$A$2:$P$500,2,FALSE),"")</f>
        <v/>
      </c>
      <c r="J636" s="55" t="n"/>
      <c r="K636" s="44" t="n"/>
      <c r="L636" s="51">
        <f>IF(OR(J636="",K636=""),"",J636*K636)</f>
        <v/>
      </c>
      <c r="M636" s="51">
        <f>IF(L636="","",L636*Inicio!$B$13)</f>
        <v/>
      </c>
      <c r="N636" s="51">
        <f>IF(L636="","",L636+M636)</f>
        <v/>
      </c>
      <c r="O636" s="54" t="n"/>
      <c r="P636" s="43" t="n"/>
      <c r="Q636" s="44" t="n"/>
      <c r="R636" s="51">
        <f>IF(N636="","",MAX(N636-Q636,0))</f>
        <v/>
      </c>
      <c r="S636" s="48">
        <f>IF(A636="","",IF(OR(P636="Pagada",R636=0),"Pagada",IF(O636&lt;TODAY(),"Vencida",IF(O636&lt;=TODAY()+Inicio!$B$19,"Próxima a vencer","Vigente"))))</f>
        <v/>
      </c>
      <c r="T636" s="43" t="n"/>
      <c r="U636" s="68">
        <f>IF($B636="","",YEAR($B636))</f>
        <v/>
      </c>
      <c r="V636" s="68">
        <f>IF($B636="","",MONTH($B636))</f>
        <v/>
      </c>
      <c r="W636" s="68">
        <f>IF($B636="","",DAY($B636))</f>
        <v/>
      </c>
      <c r="X636" s="68">
        <f>IF($B636="","",YEAR($B636)&amp;"-"&amp;TEXT(MONTH($B636),"00"))</f>
        <v/>
      </c>
      <c r="Y636" s="68">
        <f>IF(OR($H636="",$J636=""),"",$J636*IFERROR(VLOOKUP($H636,Maestro_SKU!$A$2:$P$500,12,FALSE),1))</f>
        <v/>
      </c>
    </row>
    <row r="637">
      <c r="A637" s="43" t="n"/>
      <c r="B637" s="54" t="n"/>
      <c r="C637" s="43" t="n"/>
      <c r="D637" s="43" t="n"/>
      <c r="E637" s="48">
        <f>IFERROR(VLOOKUP(D637,Clientes_PDV!$A$2:$J$250,2,FALSE),"")</f>
        <v/>
      </c>
      <c r="F637" s="48">
        <f>IFERROR(VLOOKUP(D637,Clientes_PDV!$A$2:$J$250,3,FALSE),"")</f>
        <v/>
      </c>
      <c r="G637" s="48">
        <f>IFERROR(VLOOKUP(D637,Clientes_PDV!$A$2:$J$250,4,FALSE),"")</f>
        <v/>
      </c>
      <c r="H637" s="43" t="n"/>
      <c r="I637" s="48">
        <f>IFERROR(VLOOKUP(H637,Maestro_SKU!$A$2:$P$500,2,FALSE),"")</f>
        <v/>
      </c>
      <c r="J637" s="55" t="n"/>
      <c r="K637" s="44" t="n"/>
      <c r="L637" s="51">
        <f>IF(OR(J637="",K637=""),"",J637*K637)</f>
        <v/>
      </c>
      <c r="M637" s="51">
        <f>IF(L637="","",L637*Inicio!$B$13)</f>
        <v/>
      </c>
      <c r="N637" s="51">
        <f>IF(L637="","",L637+M637)</f>
        <v/>
      </c>
      <c r="O637" s="54" t="n"/>
      <c r="P637" s="43" t="n"/>
      <c r="Q637" s="44" t="n"/>
      <c r="R637" s="51">
        <f>IF(N637="","",MAX(N637-Q637,0))</f>
        <v/>
      </c>
      <c r="S637" s="48">
        <f>IF(A637="","",IF(OR(P637="Pagada",R637=0),"Pagada",IF(O637&lt;TODAY(),"Vencida",IF(O637&lt;=TODAY()+Inicio!$B$19,"Próxima a vencer","Vigente"))))</f>
        <v/>
      </c>
      <c r="T637" s="43" t="n"/>
      <c r="U637" s="68">
        <f>IF($B637="","",YEAR($B637))</f>
        <v/>
      </c>
      <c r="V637" s="68">
        <f>IF($B637="","",MONTH($B637))</f>
        <v/>
      </c>
      <c r="W637" s="68">
        <f>IF($B637="","",DAY($B637))</f>
        <v/>
      </c>
      <c r="X637" s="68">
        <f>IF($B637="","",YEAR($B637)&amp;"-"&amp;TEXT(MONTH($B637),"00"))</f>
        <v/>
      </c>
      <c r="Y637" s="68">
        <f>IF(OR($H637="",$J637=""),"",$J637*IFERROR(VLOOKUP($H637,Maestro_SKU!$A$2:$P$500,12,FALSE),1))</f>
        <v/>
      </c>
    </row>
    <row r="638">
      <c r="A638" s="43" t="n"/>
      <c r="B638" s="54" t="n"/>
      <c r="C638" s="43" t="n"/>
      <c r="D638" s="43" t="n"/>
      <c r="E638" s="48">
        <f>IFERROR(VLOOKUP(D638,Clientes_PDV!$A$2:$J$250,2,FALSE),"")</f>
        <v/>
      </c>
      <c r="F638" s="48">
        <f>IFERROR(VLOOKUP(D638,Clientes_PDV!$A$2:$J$250,3,FALSE),"")</f>
        <v/>
      </c>
      <c r="G638" s="48">
        <f>IFERROR(VLOOKUP(D638,Clientes_PDV!$A$2:$J$250,4,FALSE),"")</f>
        <v/>
      </c>
      <c r="H638" s="43" t="n"/>
      <c r="I638" s="48">
        <f>IFERROR(VLOOKUP(H638,Maestro_SKU!$A$2:$P$500,2,FALSE),"")</f>
        <v/>
      </c>
      <c r="J638" s="55" t="n"/>
      <c r="K638" s="44" t="n"/>
      <c r="L638" s="51">
        <f>IF(OR(J638="",K638=""),"",J638*K638)</f>
        <v/>
      </c>
      <c r="M638" s="51">
        <f>IF(L638="","",L638*Inicio!$B$13)</f>
        <v/>
      </c>
      <c r="N638" s="51">
        <f>IF(L638="","",L638+M638)</f>
        <v/>
      </c>
      <c r="O638" s="54" t="n"/>
      <c r="P638" s="43" t="n"/>
      <c r="Q638" s="44" t="n"/>
      <c r="R638" s="51">
        <f>IF(N638="","",MAX(N638-Q638,0))</f>
        <v/>
      </c>
      <c r="S638" s="48">
        <f>IF(A638="","",IF(OR(P638="Pagada",R638=0),"Pagada",IF(O638&lt;TODAY(),"Vencida",IF(O638&lt;=TODAY()+Inicio!$B$19,"Próxima a vencer","Vigente"))))</f>
        <v/>
      </c>
      <c r="T638" s="43" t="n"/>
      <c r="U638" s="68">
        <f>IF($B638="","",YEAR($B638))</f>
        <v/>
      </c>
      <c r="V638" s="68">
        <f>IF($B638="","",MONTH($B638))</f>
        <v/>
      </c>
      <c r="W638" s="68">
        <f>IF($B638="","",DAY($B638))</f>
        <v/>
      </c>
      <c r="X638" s="68">
        <f>IF($B638="","",YEAR($B638)&amp;"-"&amp;TEXT(MONTH($B638),"00"))</f>
        <v/>
      </c>
      <c r="Y638" s="68">
        <f>IF(OR($H638="",$J638=""),"",$J638*IFERROR(VLOOKUP($H638,Maestro_SKU!$A$2:$P$500,12,FALSE),1))</f>
        <v/>
      </c>
    </row>
    <row r="639">
      <c r="A639" s="43" t="n"/>
      <c r="B639" s="54" t="n"/>
      <c r="C639" s="43" t="n"/>
      <c r="D639" s="43" t="n"/>
      <c r="E639" s="48">
        <f>IFERROR(VLOOKUP(D639,Clientes_PDV!$A$2:$J$250,2,FALSE),"")</f>
        <v/>
      </c>
      <c r="F639" s="48">
        <f>IFERROR(VLOOKUP(D639,Clientes_PDV!$A$2:$J$250,3,FALSE),"")</f>
        <v/>
      </c>
      <c r="G639" s="48">
        <f>IFERROR(VLOOKUP(D639,Clientes_PDV!$A$2:$J$250,4,FALSE),"")</f>
        <v/>
      </c>
      <c r="H639" s="43" t="n"/>
      <c r="I639" s="48">
        <f>IFERROR(VLOOKUP(H639,Maestro_SKU!$A$2:$P$500,2,FALSE),"")</f>
        <v/>
      </c>
      <c r="J639" s="55" t="n"/>
      <c r="K639" s="44" t="n"/>
      <c r="L639" s="51">
        <f>IF(OR(J639="",K639=""),"",J639*K639)</f>
        <v/>
      </c>
      <c r="M639" s="51">
        <f>IF(L639="","",L639*Inicio!$B$13)</f>
        <v/>
      </c>
      <c r="N639" s="51">
        <f>IF(L639="","",L639+M639)</f>
        <v/>
      </c>
      <c r="O639" s="54" t="n"/>
      <c r="P639" s="43" t="n"/>
      <c r="Q639" s="44" t="n"/>
      <c r="R639" s="51">
        <f>IF(N639="","",MAX(N639-Q639,0))</f>
        <v/>
      </c>
      <c r="S639" s="48">
        <f>IF(A639="","",IF(OR(P639="Pagada",R639=0),"Pagada",IF(O639&lt;TODAY(),"Vencida",IF(O639&lt;=TODAY()+Inicio!$B$19,"Próxima a vencer","Vigente"))))</f>
        <v/>
      </c>
      <c r="T639" s="43" t="n"/>
      <c r="U639" s="68">
        <f>IF($B639="","",YEAR($B639))</f>
        <v/>
      </c>
      <c r="V639" s="68">
        <f>IF($B639="","",MONTH($B639))</f>
        <v/>
      </c>
      <c r="W639" s="68">
        <f>IF($B639="","",DAY($B639))</f>
        <v/>
      </c>
      <c r="X639" s="68">
        <f>IF($B639="","",YEAR($B639)&amp;"-"&amp;TEXT(MONTH($B639),"00"))</f>
        <v/>
      </c>
      <c r="Y639" s="68">
        <f>IF(OR($H639="",$J639=""),"",$J639*IFERROR(VLOOKUP($H639,Maestro_SKU!$A$2:$P$500,12,FALSE),1))</f>
        <v/>
      </c>
    </row>
    <row r="640">
      <c r="A640" s="43" t="n"/>
      <c r="B640" s="54" t="n"/>
      <c r="C640" s="43" t="n"/>
      <c r="D640" s="43" t="n"/>
      <c r="E640" s="48">
        <f>IFERROR(VLOOKUP(D640,Clientes_PDV!$A$2:$J$250,2,FALSE),"")</f>
        <v/>
      </c>
      <c r="F640" s="48">
        <f>IFERROR(VLOOKUP(D640,Clientes_PDV!$A$2:$J$250,3,FALSE),"")</f>
        <v/>
      </c>
      <c r="G640" s="48">
        <f>IFERROR(VLOOKUP(D640,Clientes_PDV!$A$2:$J$250,4,FALSE),"")</f>
        <v/>
      </c>
      <c r="H640" s="43" t="n"/>
      <c r="I640" s="48">
        <f>IFERROR(VLOOKUP(H640,Maestro_SKU!$A$2:$P$500,2,FALSE),"")</f>
        <v/>
      </c>
      <c r="J640" s="55" t="n"/>
      <c r="K640" s="44" t="n"/>
      <c r="L640" s="51">
        <f>IF(OR(J640="",K640=""),"",J640*K640)</f>
        <v/>
      </c>
      <c r="M640" s="51">
        <f>IF(L640="","",L640*Inicio!$B$13)</f>
        <v/>
      </c>
      <c r="N640" s="51">
        <f>IF(L640="","",L640+M640)</f>
        <v/>
      </c>
      <c r="O640" s="54" t="n"/>
      <c r="P640" s="43" t="n"/>
      <c r="Q640" s="44" t="n"/>
      <c r="R640" s="51">
        <f>IF(N640="","",MAX(N640-Q640,0))</f>
        <v/>
      </c>
      <c r="S640" s="48">
        <f>IF(A640="","",IF(OR(P640="Pagada",R640=0),"Pagada",IF(O640&lt;TODAY(),"Vencida",IF(O640&lt;=TODAY()+Inicio!$B$19,"Próxima a vencer","Vigente"))))</f>
        <v/>
      </c>
      <c r="T640" s="43" t="n"/>
      <c r="U640" s="68">
        <f>IF($B640="","",YEAR($B640))</f>
        <v/>
      </c>
      <c r="V640" s="68">
        <f>IF($B640="","",MONTH($B640))</f>
        <v/>
      </c>
      <c r="W640" s="68">
        <f>IF($B640="","",DAY($B640))</f>
        <v/>
      </c>
      <c r="X640" s="68">
        <f>IF($B640="","",YEAR($B640)&amp;"-"&amp;TEXT(MONTH($B640),"00"))</f>
        <v/>
      </c>
      <c r="Y640" s="68">
        <f>IF(OR($H640="",$J640=""),"",$J640*IFERROR(VLOOKUP($H640,Maestro_SKU!$A$2:$P$500,12,FALSE),1))</f>
        <v/>
      </c>
    </row>
    <row r="641">
      <c r="A641" s="43" t="n"/>
      <c r="B641" s="54" t="n"/>
      <c r="C641" s="43" t="n"/>
      <c r="D641" s="43" t="n"/>
      <c r="E641" s="48">
        <f>IFERROR(VLOOKUP(D641,Clientes_PDV!$A$2:$J$250,2,FALSE),"")</f>
        <v/>
      </c>
      <c r="F641" s="48">
        <f>IFERROR(VLOOKUP(D641,Clientes_PDV!$A$2:$J$250,3,FALSE),"")</f>
        <v/>
      </c>
      <c r="G641" s="48">
        <f>IFERROR(VLOOKUP(D641,Clientes_PDV!$A$2:$J$250,4,FALSE),"")</f>
        <v/>
      </c>
      <c r="H641" s="43" t="n"/>
      <c r="I641" s="48">
        <f>IFERROR(VLOOKUP(H641,Maestro_SKU!$A$2:$P$500,2,FALSE),"")</f>
        <v/>
      </c>
      <c r="J641" s="55" t="n"/>
      <c r="K641" s="44" t="n"/>
      <c r="L641" s="51">
        <f>IF(OR(J641="",K641=""),"",J641*K641)</f>
        <v/>
      </c>
      <c r="M641" s="51">
        <f>IF(L641="","",L641*Inicio!$B$13)</f>
        <v/>
      </c>
      <c r="N641" s="51">
        <f>IF(L641="","",L641+M641)</f>
        <v/>
      </c>
      <c r="O641" s="54" t="n"/>
      <c r="P641" s="43" t="n"/>
      <c r="Q641" s="44" t="n"/>
      <c r="R641" s="51">
        <f>IF(N641="","",MAX(N641-Q641,0))</f>
        <v/>
      </c>
      <c r="S641" s="48">
        <f>IF(A641="","",IF(OR(P641="Pagada",R641=0),"Pagada",IF(O641&lt;TODAY(),"Vencida",IF(O641&lt;=TODAY()+Inicio!$B$19,"Próxima a vencer","Vigente"))))</f>
        <v/>
      </c>
      <c r="T641" s="43" t="n"/>
      <c r="U641" s="68">
        <f>IF($B641="","",YEAR($B641))</f>
        <v/>
      </c>
      <c r="V641" s="68">
        <f>IF($B641="","",MONTH($B641))</f>
        <v/>
      </c>
      <c r="W641" s="68">
        <f>IF($B641="","",DAY($B641))</f>
        <v/>
      </c>
      <c r="X641" s="68">
        <f>IF($B641="","",YEAR($B641)&amp;"-"&amp;TEXT(MONTH($B641),"00"))</f>
        <v/>
      </c>
      <c r="Y641" s="68">
        <f>IF(OR($H641="",$J641=""),"",$J641*IFERROR(VLOOKUP($H641,Maestro_SKU!$A$2:$P$500,12,FALSE),1))</f>
        <v/>
      </c>
    </row>
    <row r="642">
      <c r="A642" s="43" t="n"/>
      <c r="B642" s="54" t="n"/>
      <c r="C642" s="43" t="n"/>
      <c r="D642" s="43" t="n"/>
      <c r="E642" s="48">
        <f>IFERROR(VLOOKUP(D642,Clientes_PDV!$A$2:$J$250,2,FALSE),"")</f>
        <v/>
      </c>
      <c r="F642" s="48">
        <f>IFERROR(VLOOKUP(D642,Clientes_PDV!$A$2:$J$250,3,FALSE),"")</f>
        <v/>
      </c>
      <c r="G642" s="48">
        <f>IFERROR(VLOOKUP(D642,Clientes_PDV!$A$2:$J$250,4,FALSE),"")</f>
        <v/>
      </c>
      <c r="H642" s="43" t="n"/>
      <c r="I642" s="48">
        <f>IFERROR(VLOOKUP(H642,Maestro_SKU!$A$2:$P$500,2,FALSE),"")</f>
        <v/>
      </c>
      <c r="J642" s="55" t="n"/>
      <c r="K642" s="44" t="n"/>
      <c r="L642" s="51">
        <f>IF(OR(J642="",K642=""),"",J642*K642)</f>
        <v/>
      </c>
      <c r="M642" s="51">
        <f>IF(L642="","",L642*Inicio!$B$13)</f>
        <v/>
      </c>
      <c r="N642" s="51">
        <f>IF(L642="","",L642+M642)</f>
        <v/>
      </c>
      <c r="O642" s="54" t="n"/>
      <c r="P642" s="43" t="n"/>
      <c r="Q642" s="44" t="n"/>
      <c r="R642" s="51">
        <f>IF(N642="","",MAX(N642-Q642,0))</f>
        <v/>
      </c>
      <c r="S642" s="48">
        <f>IF(A642="","",IF(OR(P642="Pagada",R642=0),"Pagada",IF(O642&lt;TODAY(),"Vencida",IF(O642&lt;=TODAY()+Inicio!$B$19,"Próxima a vencer","Vigente"))))</f>
        <v/>
      </c>
      <c r="T642" s="43" t="n"/>
      <c r="U642" s="68">
        <f>IF($B642="","",YEAR($B642))</f>
        <v/>
      </c>
      <c r="V642" s="68">
        <f>IF($B642="","",MONTH($B642))</f>
        <v/>
      </c>
      <c r="W642" s="68">
        <f>IF($B642="","",DAY($B642))</f>
        <v/>
      </c>
      <c r="X642" s="68">
        <f>IF($B642="","",YEAR($B642)&amp;"-"&amp;TEXT(MONTH($B642),"00"))</f>
        <v/>
      </c>
      <c r="Y642" s="68">
        <f>IF(OR($H642="",$J642=""),"",$J642*IFERROR(VLOOKUP($H642,Maestro_SKU!$A$2:$P$500,12,FALSE),1))</f>
        <v/>
      </c>
    </row>
    <row r="643">
      <c r="A643" s="43" t="n"/>
      <c r="B643" s="54" t="n"/>
      <c r="C643" s="43" t="n"/>
      <c r="D643" s="43" t="n"/>
      <c r="E643" s="48">
        <f>IFERROR(VLOOKUP(D643,Clientes_PDV!$A$2:$J$250,2,FALSE),"")</f>
        <v/>
      </c>
      <c r="F643" s="48">
        <f>IFERROR(VLOOKUP(D643,Clientes_PDV!$A$2:$J$250,3,FALSE),"")</f>
        <v/>
      </c>
      <c r="G643" s="48">
        <f>IFERROR(VLOOKUP(D643,Clientes_PDV!$A$2:$J$250,4,FALSE),"")</f>
        <v/>
      </c>
      <c r="H643" s="43" t="n"/>
      <c r="I643" s="48">
        <f>IFERROR(VLOOKUP(H643,Maestro_SKU!$A$2:$P$500,2,FALSE),"")</f>
        <v/>
      </c>
      <c r="J643" s="55" t="n"/>
      <c r="K643" s="44" t="n"/>
      <c r="L643" s="51">
        <f>IF(OR(J643="",K643=""),"",J643*K643)</f>
        <v/>
      </c>
      <c r="M643" s="51">
        <f>IF(L643="","",L643*Inicio!$B$13)</f>
        <v/>
      </c>
      <c r="N643" s="51">
        <f>IF(L643="","",L643+M643)</f>
        <v/>
      </c>
      <c r="O643" s="54" t="n"/>
      <c r="P643" s="43" t="n"/>
      <c r="Q643" s="44" t="n"/>
      <c r="R643" s="51">
        <f>IF(N643="","",MAX(N643-Q643,0))</f>
        <v/>
      </c>
      <c r="S643" s="48">
        <f>IF(A643="","",IF(OR(P643="Pagada",R643=0),"Pagada",IF(O643&lt;TODAY(),"Vencida",IF(O643&lt;=TODAY()+Inicio!$B$19,"Próxima a vencer","Vigente"))))</f>
        <v/>
      </c>
      <c r="T643" s="43" t="n"/>
      <c r="U643" s="68">
        <f>IF($B643="","",YEAR($B643))</f>
        <v/>
      </c>
      <c r="V643" s="68">
        <f>IF($B643="","",MONTH($B643))</f>
        <v/>
      </c>
      <c r="W643" s="68">
        <f>IF($B643="","",DAY($B643))</f>
        <v/>
      </c>
      <c r="X643" s="68">
        <f>IF($B643="","",YEAR($B643)&amp;"-"&amp;TEXT(MONTH($B643),"00"))</f>
        <v/>
      </c>
      <c r="Y643" s="68">
        <f>IF(OR($H643="",$J643=""),"",$J643*IFERROR(VLOOKUP($H643,Maestro_SKU!$A$2:$P$500,12,FALSE),1))</f>
        <v/>
      </c>
    </row>
    <row r="644">
      <c r="A644" s="43" t="n"/>
      <c r="B644" s="54" t="n"/>
      <c r="C644" s="43" t="n"/>
      <c r="D644" s="43" t="n"/>
      <c r="E644" s="48">
        <f>IFERROR(VLOOKUP(D644,Clientes_PDV!$A$2:$J$250,2,FALSE),"")</f>
        <v/>
      </c>
      <c r="F644" s="48">
        <f>IFERROR(VLOOKUP(D644,Clientes_PDV!$A$2:$J$250,3,FALSE),"")</f>
        <v/>
      </c>
      <c r="G644" s="48">
        <f>IFERROR(VLOOKUP(D644,Clientes_PDV!$A$2:$J$250,4,FALSE),"")</f>
        <v/>
      </c>
      <c r="H644" s="43" t="n"/>
      <c r="I644" s="48">
        <f>IFERROR(VLOOKUP(H644,Maestro_SKU!$A$2:$P$500,2,FALSE),"")</f>
        <v/>
      </c>
      <c r="J644" s="55" t="n"/>
      <c r="K644" s="44" t="n"/>
      <c r="L644" s="51">
        <f>IF(OR(J644="",K644=""),"",J644*K644)</f>
        <v/>
      </c>
      <c r="M644" s="51">
        <f>IF(L644="","",L644*Inicio!$B$13)</f>
        <v/>
      </c>
      <c r="N644" s="51">
        <f>IF(L644="","",L644+M644)</f>
        <v/>
      </c>
      <c r="O644" s="54" t="n"/>
      <c r="P644" s="43" t="n"/>
      <c r="Q644" s="44" t="n"/>
      <c r="R644" s="51">
        <f>IF(N644="","",MAX(N644-Q644,0))</f>
        <v/>
      </c>
      <c r="S644" s="48">
        <f>IF(A644="","",IF(OR(P644="Pagada",R644=0),"Pagada",IF(O644&lt;TODAY(),"Vencida",IF(O644&lt;=TODAY()+Inicio!$B$19,"Próxima a vencer","Vigente"))))</f>
        <v/>
      </c>
      <c r="T644" s="43" t="n"/>
      <c r="U644" s="68">
        <f>IF($B644="","",YEAR($B644))</f>
        <v/>
      </c>
      <c r="V644" s="68">
        <f>IF($B644="","",MONTH($B644))</f>
        <v/>
      </c>
      <c r="W644" s="68">
        <f>IF($B644="","",DAY($B644))</f>
        <v/>
      </c>
      <c r="X644" s="68">
        <f>IF($B644="","",YEAR($B644)&amp;"-"&amp;TEXT(MONTH($B644),"00"))</f>
        <v/>
      </c>
      <c r="Y644" s="68">
        <f>IF(OR($H644="",$J644=""),"",$J644*IFERROR(VLOOKUP($H644,Maestro_SKU!$A$2:$P$500,12,FALSE),1))</f>
        <v/>
      </c>
    </row>
    <row r="645">
      <c r="A645" s="43" t="n"/>
      <c r="B645" s="54" t="n"/>
      <c r="C645" s="43" t="n"/>
      <c r="D645" s="43" t="n"/>
      <c r="E645" s="48">
        <f>IFERROR(VLOOKUP(D645,Clientes_PDV!$A$2:$J$250,2,FALSE),"")</f>
        <v/>
      </c>
      <c r="F645" s="48">
        <f>IFERROR(VLOOKUP(D645,Clientes_PDV!$A$2:$J$250,3,FALSE),"")</f>
        <v/>
      </c>
      <c r="G645" s="48">
        <f>IFERROR(VLOOKUP(D645,Clientes_PDV!$A$2:$J$250,4,FALSE),"")</f>
        <v/>
      </c>
      <c r="H645" s="43" t="n"/>
      <c r="I645" s="48">
        <f>IFERROR(VLOOKUP(H645,Maestro_SKU!$A$2:$P$500,2,FALSE),"")</f>
        <v/>
      </c>
      <c r="J645" s="55" t="n"/>
      <c r="K645" s="44" t="n"/>
      <c r="L645" s="51">
        <f>IF(OR(J645="",K645=""),"",J645*K645)</f>
        <v/>
      </c>
      <c r="M645" s="51">
        <f>IF(L645="","",L645*Inicio!$B$13)</f>
        <v/>
      </c>
      <c r="N645" s="51">
        <f>IF(L645="","",L645+M645)</f>
        <v/>
      </c>
      <c r="O645" s="54" t="n"/>
      <c r="P645" s="43" t="n"/>
      <c r="Q645" s="44" t="n"/>
      <c r="R645" s="51">
        <f>IF(N645="","",MAX(N645-Q645,0))</f>
        <v/>
      </c>
      <c r="S645" s="48">
        <f>IF(A645="","",IF(OR(P645="Pagada",R645=0),"Pagada",IF(O645&lt;TODAY(),"Vencida",IF(O645&lt;=TODAY()+Inicio!$B$19,"Próxima a vencer","Vigente"))))</f>
        <v/>
      </c>
      <c r="T645" s="43" t="n"/>
      <c r="U645" s="68">
        <f>IF($B645="","",YEAR($B645))</f>
        <v/>
      </c>
      <c r="V645" s="68">
        <f>IF($B645="","",MONTH($B645))</f>
        <v/>
      </c>
      <c r="W645" s="68">
        <f>IF($B645="","",DAY($B645))</f>
        <v/>
      </c>
      <c r="X645" s="68">
        <f>IF($B645="","",YEAR($B645)&amp;"-"&amp;TEXT(MONTH($B645),"00"))</f>
        <v/>
      </c>
      <c r="Y645" s="68">
        <f>IF(OR($H645="",$J645=""),"",$J645*IFERROR(VLOOKUP($H645,Maestro_SKU!$A$2:$P$500,12,FALSE),1))</f>
        <v/>
      </c>
    </row>
    <row r="646">
      <c r="A646" s="43" t="n"/>
      <c r="B646" s="54" t="n"/>
      <c r="C646" s="43" t="n"/>
      <c r="D646" s="43" t="n"/>
      <c r="E646" s="48">
        <f>IFERROR(VLOOKUP(D646,Clientes_PDV!$A$2:$J$250,2,FALSE),"")</f>
        <v/>
      </c>
      <c r="F646" s="48">
        <f>IFERROR(VLOOKUP(D646,Clientes_PDV!$A$2:$J$250,3,FALSE),"")</f>
        <v/>
      </c>
      <c r="G646" s="48">
        <f>IFERROR(VLOOKUP(D646,Clientes_PDV!$A$2:$J$250,4,FALSE),"")</f>
        <v/>
      </c>
      <c r="H646" s="43" t="n"/>
      <c r="I646" s="48">
        <f>IFERROR(VLOOKUP(H646,Maestro_SKU!$A$2:$P$500,2,FALSE),"")</f>
        <v/>
      </c>
      <c r="J646" s="55" t="n"/>
      <c r="K646" s="44" t="n"/>
      <c r="L646" s="51">
        <f>IF(OR(J646="",K646=""),"",J646*K646)</f>
        <v/>
      </c>
      <c r="M646" s="51">
        <f>IF(L646="","",L646*Inicio!$B$13)</f>
        <v/>
      </c>
      <c r="N646" s="51">
        <f>IF(L646="","",L646+M646)</f>
        <v/>
      </c>
      <c r="O646" s="54" t="n"/>
      <c r="P646" s="43" t="n"/>
      <c r="Q646" s="44" t="n"/>
      <c r="R646" s="51">
        <f>IF(N646="","",MAX(N646-Q646,0))</f>
        <v/>
      </c>
      <c r="S646" s="48">
        <f>IF(A646="","",IF(OR(P646="Pagada",R646=0),"Pagada",IF(O646&lt;TODAY(),"Vencida",IF(O646&lt;=TODAY()+Inicio!$B$19,"Próxima a vencer","Vigente"))))</f>
        <v/>
      </c>
      <c r="T646" s="43" t="n"/>
      <c r="U646" s="68">
        <f>IF($B646="","",YEAR($B646))</f>
        <v/>
      </c>
      <c r="V646" s="68">
        <f>IF($B646="","",MONTH($B646))</f>
        <v/>
      </c>
      <c r="W646" s="68">
        <f>IF($B646="","",DAY($B646))</f>
        <v/>
      </c>
      <c r="X646" s="68">
        <f>IF($B646="","",YEAR($B646)&amp;"-"&amp;TEXT(MONTH($B646),"00"))</f>
        <v/>
      </c>
      <c r="Y646" s="68">
        <f>IF(OR($H646="",$J646=""),"",$J646*IFERROR(VLOOKUP($H646,Maestro_SKU!$A$2:$P$500,12,FALSE),1))</f>
        <v/>
      </c>
    </row>
    <row r="647">
      <c r="A647" s="43" t="n"/>
      <c r="B647" s="54" t="n"/>
      <c r="C647" s="43" t="n"/>
      <c r="D647" s="43" t="n"/>
      <c r="E647" s="48">
        <f>IFERROR(VLOOKUP(D647,Clientes_PDV!$A$2:$J$250,2,FALSE),"")</f>
        <v/>
      </c>
      <c r="F647" s="48">
        <f>IFERROR(VLOOKUP(D647,Clientes_PDV!$A$2:$J$250,3,FALSE),"")</f>
        <v/>
      </c>
      <c r="G647" s="48">
        <f>IFERROR(VLOOKUP(D647,Clientes_PDV!$A$2:$J$250,4,FALSE),"")</f>
        <v/>
      </c>
      <c r="H647" s="43" t="n"/>
      <c r="I647" s="48">
        <f>IFERROR(VLOOKUP(H647,Maestro_SKU!$A$2:$P$500,2,FALSE),"")</f>
        <v/>
      </c>
      <c r="J647" s="55" t="n"/>
      <c r="K647" s="44" t="n"/>
      <c r="L647" s="51">
        <f>IF(OR(J647="",K647=""),"",J647*K647)</f>
        <v/>
      </c>
      <c r="M647" s="51">
        <f>IF(L647="","",L647*Inicio!$B$13)</f>
        <v/>
      </c>
      <c r="N647" s="51">
        <f>IF(L647="","",L647+M647)</f>
        <v/>
      </c>
      <c r="O647" s="54" t="n"/>
      <c r="P647" s="43" t="n"/>
      <c r="Q647" s="44" t="n"/>
      <c r="R647" s="51">
        <f>IF(N647="","",MAX(N647-Q647,0))</f>
        <v/>
      </c>
      <c r="S647" s="48">
        <f>IF(A647="","",IF(OR(P647="Pagada",R647=0),"Pagada",IF(O647&lt;TODAY(),"Vencida",IF(O647&lt;=TODAY()+Inicio!$B$19,"Próxima a vencer","Vigente"))))</f>
        <v/>
      </c>
      <c r="T647" s="43" t="n"/>
      <c r="U647" s="68">
        <f>IF($B647="","",YEAR($B647))</f>
        <v/>
      </c>
      <c r="V647" s="68">
        <f>IF($B647="","",MONTH($B647))</f>
        <v/>
      </c>
      <c r="W647" s="68">
        <f>IF($B647="","",DAY($B647))</f>
        <v/>
      </c>
      <c r="X647" s="68">
        <f>IF($B647="","",YEAR($B647)&amp;"-"&amp;TEXT(MONTH($B647),"00"))</f>
        <v/>
      </c>
      <c r="Y647" s="68">
        <f>IF(OR($H647="",$J647=""),"",$J647*IFERROR(VLOOKUP($H647,Maestro_SKU!$A$2:$P$500,12,FALSE),1))</f>
        <v/>
      </c>
    </row>
    <row r="648">
      <c r="A648" s="43" t="n"/>
      <c r="B648" s="54" t="n"/>
      <c r="C648" s="43" t="n"/>
      <c r="D648" s="43" t="n"/>
      <c r="E648" s="48">
        <f>IFERROR(VLOOKUP(D648,Clientes_PDV!$A$2:$J$250,2,FALSE),"")</f>
        <v/>
      </c>
      <c r="F648" s="48">
        <f>IFERROR(VLOOKUP(D648,Clientes_PDV!$A$2:$J$250,3,FALSE),"")</f>
        <v/>
      </c>
      <c r="G648" s="48">
        <f>IFERROR(VLOOKUP(D648,Clientes_PDV!$A$2:$J$250,4,FALSE),"")</f>
        <v/>
      </c>
      <c r="H648" s="43" t="n"/>
      <c r="I648" s="48">
        <f>IFERROR(VLOOKUP(H648,Maestro_SKU!$A$2:$P$500,2,FALSE),"")</f>
        <v/>
      </c>
      <c r="J648" s="55" t="n"/>
      <c r="K648" s="44" t="n"/>
      <c r="L648" s="51">
        <f>IF(OR(J648="",K648=""),"",J648*K648)</f>
        <v/>
      </c>
      <c r="M648" s="51">
        <f>IF(L648="","",L648*Inicio!$B$13)</f>
        <v/>
      </c>
      <c r="N648" s="51">
        <f>IF(L648="","",L648+M648)</f>
        <v/>
      </c>
      <c r="O648" s="54" t="n"/>
      <c r="P648" s="43" t="n"/>
      <c r="Q648" s="44" t="n"/>
      <c r="R648" s="51">
        <f>IF(N648="","",MAX(N648-Q648,0))</f>
        <v/>
      </c>
      <c r="S648" s="48">
        <f>IF(A648="","",IF(OR(P648="Pagada",R648=0),"Pagada",IF(O648&lt;TODAY(),"Vencida",IF(O648&lt;=TODAY()+Inicio!$B$19,"Próxima a vencer","Vigente"))))</f>
        <v/>
      </c>
      <c r="T648" s="43" t="n"/>
      <c r="U648" s="68">
        <f>IF($B648="","",YEAR($B648))</f>
        <v/>
      </c>
      <c r="V648" s="68">
        <f>IF($B648="","",MONTH($B648))</f>
        <v/>
      </c>
      <c r="W648" s="68">
        <f>IF($B648="","",DAY($B648))</f>
        <v/>
      </c>
      <c r="X648" s="68">
        <f>IF($B648="","",YEAR($B648)&amp;"-"&amp;TEXT(MONTH($B648),"00"))</f>
        <v/>
      </c>
      <c r="Y648" s="68">
        <f>IF(OR($H648="",$J648=""),"",$J648*IFERROR(VLOOKUP($H648,Maestro_SKU!$A$2:$P$500,12,FALSE),1))</f>
        <v/>
      </c>
    </row>
    <row r="649">
      <c r="A649" s="43" t="n"/>
      <c r="B649" s="54" t="n"/>
      <c r="C649" s="43" t="n"/>
      <c r="D649" s="43" t="n"/>
      <c r="E649" s="48">
        <f>IFERROR(VLOOKUP(D649,Clientes_PDV!$A$2:$J$250,2,FALSE),"")</f>
        <v/>
      </c>
      <c r="F649" s="48">
        <f>IFERROR(VLOOKUP(D649,Clientes_PDV!$A$2:$J$250,3,FALSE),"")</f>
        <v/>
      </c>
      <c r="G649" s="48">
        <f>IFERROR(VLOOKUP(D649,Clientes_PDV!$A$2:$J$250,4,FALSE),"")</f>
        <v/>
      </c>
      <c r="H649" s="43" t="n"/>
      <c r="I649" s="48">
        <f>IFERROR(VLOOKUP(H649,Maestro_SKU!$A$2:$P$500,2,FALSE),"")</f>
        <v/>
      </c>
      <c r="J649" s="55" t="n"/>
      <c r="K649" s="44" t="n"/>
      <c r="L649" s="51">
        <f>IF(OR(J649="",K649=""),"",J649*K649)</f>
        <v/>
      </c>
      <c r="M649" s="51">
        <f>IF(L649="","",L649*Inicio!$B$13)</f>
        <v/>
      </c>
      <c r="N649" s="51">
        <f>IF(L649="","",L649+M649)</f>
        <v/>
      </c>
      <c r="O649" s="54" t="n"/>
      <c r="P649" s="43" t="n"/>
      <c r="Q649" s="44" t="n"/>
      <c r="R649" s="51">
        <f>IF(N649="","",MAX(N649-Q649,0))</f>
        <v/>
      </c>
      <c r="S649" s="48">
        <f>IF(A649="","",IF(OR(P649="Pagada",R649=0),"Pagada",IF(O649&lt;TODAY(),"Vencida",IF(O649&lt;=TODAY()+Inicio!$B$19,"Próxima a vencer","Vigente"))))</f>
        <v/>
      </c>
      <c r="T649" s="43" t="n"/>
      <c r="U649" s="68">
        <f>IF($B649="","",YEAR($B649))</f>
        <v/>
      </c>
      <c r="V649" s="68">
        <f>IF($B649="","",MONTH($B649))</f>
        <v/>
      </c>
      <c r="W649" s="68">
        <f>IF($B649="","",DAY($B649))</f>
        <v/>
      </c>
      <c r="X649" s="68">
        <f>IF($B649="","",YEAR($B649)&amp;"-"&amp;TEXT(MONTH($B649),"00"))</f>
        <v/>
      </c>
      <c r="Y649" s="68">
        <f>IF(OR($H649="",$J649=""),"",$J649*IFERROR(VLOOKUP($H649,Maestro_SKU!$A$2:$P$500,12,FALSE),1))</f>
        <v/>
      </c>
    </row>
    <row r="650">
      <c r="A650" s="43" t="n"/>
      <c r="B650" s="54" t="n"/>
      <c r="C650" s="43" t="n"/>
      <c r="D650" s="43" t="n"/>
      <c r="E650" s="48">
        <f>IFERROR(VLOOKUP(D650,Clientes_PDV!$A$2:$J$250,2,FALSE),"")</f>
        <v/>
      </c>
      <c r="F650" s="48">
        <f>IFERROR(VLOOKUP(D650,Clientes_PDV!$A$2:$J$250,3,FALSE),"")</f>
        <v/>
      </c>
      <c r="G650" s="48">
        <f>IFERROR(VLOOKUP(D650,Clientes_PDV!$A$2:$J$250,4,FALSE),"")</f>
        <v/>
      </c>
      <c r="H650" s="43" t="n"/>
      <c r="I650" s="48">
        <f>IFERROR(VLOOKUP(H650,Maestro_SKU!$A$2:$P$500,2,FALSE),"")</f>
        <v/>
      </c>
      <c r="J650" s="55" t="n"/>
      <c r="K650" s="44" t="n"/>
      <c r="L650" s="51">
        <f>IF(OR(J650="",K650=""),"",J650*K650)</f>
        <v/>
      </c>
      <c r="M650" s="51">
        <f>IF(L650="","",L650*Inicio!$B$13)</f>
        <v/>
      </c>
      <c r="N650" s="51">
        <f>IF(L650="","",L650+M650)</f>
        <v/>
      </c>
      <c r="O650" s="54" t="n"/>
      <c r="P650" s="43" t="n"/>
      <c r="Q650" s="44" t="n"/>
      <c r="R650" s="51">
        <f>IF(N650="","",MAX(N650-Q650,0))</f>
        <v/>
      </c>
      <c r="S650" s="48">
        <f>IF(A650="","",IF(OR(P650="Pagada",R650=0),"Pagada",IF(O650&lt;TODAY(),"Vencida",IF(O650&lt;=TODAY()+Inicio!$B$19,"Próxima a vencer","Vigente"))))</f>
        <v/>
      </c>
      <c r="T650" s="43" t="n"/>
      <c r="U650" s="68">
        <f>IF($B650="","",YEAR($B650))</f>
        <v/>
      </c>
      <c r="V650" s="68">
        <f>IF($B650="","",MONTH($B650))</f>
        <v/>
      </c>
      <c r="W650" s="68">
        <f>IF($B650="","",DAY($B650))</f>
        <v/>
      </c>
      <c r="X650" s="68">
        <f>IF($B650="","",YEAR($B650)&amp;"-"&amp;TEXT(MONTH($B650),"00"))</f>
        <v/>
      </c>
      <c r="Y650" s="68">
        <f>IF(OR($H650="",$J650=""),"",$J650*IFERROR(VLOOKUP($H650,Maestro_SKU!$A$2:$P$500,12,FALSE),1))</f>
        <v/>
      </c>
    </row>
    <row r="651">
      <c r="A651" s="43" t="n"/>
      <c r="B651" s="54" t="n"/>
      <c r="C651" s="43" t="n"/>
      <c r="D651" s="43" t="n"/>
      <c r="E651" s="48">
        <f>IFERROR(VLOOKUP(D651,Clientes_PDV!$A$2:$J$250,2,FALSE),"")</f>
        <v/>
      </c>
      <c r="F651" s="48">
        <f>IFERROR(VLOOKUP(D651,Clientes_PDV!$A$2:$J$250,3,FALSE),"")</f>
        <v/>
      </c>
      <c r="G651" s="48">
        <f>IFERROR(VLOOKUP(D651,Clientes_PDV!$A$2:$J$250,4,FALSE),"")</f>
        <v/>
      </c>
      <c r="H651" s="43" t="n"/>
      <c r="I651" s="48">
        <f>IFERROR(VLOOKUP(H651,Maestro_SKU!$A$2:$P$500,2,FALSE),"")</f>
        <v/>
      </c>
      <c r="J651" s="55" t="n"/>
      <c r="K651" s="44" t="n"/>
      <c r="L651" s="51">
        <f>IF(OR(J651="",K651=""),"",J651*K651)</f>
        <v/>
      </c>
      <c r="M651" s="51">
        <f>IF(L651="","",L651*Inicio!$B$13)</f>
        <v/>
      </c>
      <c r="N651" s="51">
        <f>IF(L651="","",L651+M651)</f>
        <v/>
      </c>
      <c r="O651" s="54" t="n"/>
      <c r="P651" s="43" t="n"/>
      <c r="Q651" s="44" t="n"/>
      <c r="R651" s="51">
        <f>IF(N651="","",MAX(N651-Q651,0))</f>
        <v/>
      </c>
      <c r="S651" s="48">
        <f>IF(A651="","",IF(OR(P651="Pagada",R651=0),"Pagada",IF(O651&lt;TODAY(),"Vencida",IF(O651&lt;=TODAY()+Inicio!$B$19,"Próxima a vencer","Vigente"))))</f>
        <v/>
      </c>
      <c r="T651" s="43" t="n"/>
      <c r="U651" s="68">
        <f>IF($B651="","",YEAR($B651))</f>
        <v/>
      </c>
      <c r="V651" s="68">
        <f>IF($B651="","",MONTH($B651))</f>
        <v/>
      </c>
      <c r="W651" s="68">
        <f>IF($B651="","",DAY($B651))</f>
        <v/>
      </c>
      <c r="X651" s="68">
        <f>IF($B651="","",YEAR($B651)&amp;"-"&amp;TEXT(MONTH($B651),"00"))</f>
        <v/>
      </c>
      <c r="Y651" s="68">
        <f>IF(OR($H651="",$J651=""),"",$J651*IFERROR(VLOOKUP($H651,Maestro_SKU!$A$2:$P$500,12,FALSE),1))</f>
        <v/>
      </c>
    </row>
    <row r="652">
      <c r="A652" s="43" t="n"/>
      <c r="B652" s="54" t="n"/>
      <c r="C652" s="43" t="n"/>
      <c r="D652" s="43" t="n"/>
      <c r="E652" s="48">
        <f>IFERROR(VLOOKUP(D652,Clientes_PDV!$A$2:$J$250,2,FALSE),"")</f>
        <v/>
      </c>
      <c r="F652" s="48">
        <f>IFERROR(VLOOKUP(D652,Clientes_PDV!$A$2:$J$250,3,FALSE),"")</f>
        <v/>
      </c>
      <c r="G652" s="48">
        <f>IFERROR(VLOOKUP(D652,Clientes_PDV!$A$2:$J$250,4,FALSE),"")</f>
        <v/>
      </c>
      <c r="H652" s="43" t="n"/>
      <c r="I652" s="48">
        <f>IFERROR(VLOOKUP(H652,Maestro_SKU!$A$2:$P$500,2,FALSE),"")</f>
        <v/>
      </c>
      <c r="J652" s="55" t="n"/>
      <c r="K652" s="44" t="n"/>
      <c r="L652" s="51">
        <f>IF(OR(J652="",K652=""),"",J652*K652)</f>
        <v/>
      </c>
      <c r="M652" s="51">
        <f>IF(L652="","",L652*Inicio!$B$13)</f>
        <v/>
      </c>
      <c r="N652" s="51">
        <f>IF(L652="","",L652+M652)</f>
        <v/>
      </c>
      <c r="O652" s="54" t="n"/>
      <c r="P652" s="43" t="n"/>
      <c r="Q652" s="44" t="n"/>
      <c r="R652" s="51">
        <f>IF(N652="","",MAX(N652-Q652,0))</f>
        <v/>
      </c>
      <c r="S652" s="48">
        <f>IF(A652="","",IF(OR(P652="Pagada",R652=0),"Pagada",IF(O652&lt;TODAY(),"Vencida",IF(O652&lt;=TODAY()+Inicio!$B$19,"Próxima a vencer","Vigente"))))</f>
        <v/>
      </c>
      <c r="T652" s="43" t="n"/>
      <c r="U652" s="68">
        <f>IF($B652="","",YEAR($B652))</f>
        <v/>
      </c>
      <c r="V652" s="68">
        <f>IF($B652="","",MONTH($B652))</f>
        <v/>
      </c>
      <c r="W652" s="68">
        <f>IF($B652="","",DAY($B652))</f>
        <v/>
      </c>
      <c r="X652" s="68">
        <f>IF($B652="","",YEAR($B652)&amp;"-"&amp;TEXT(MONTH($B652),"00"))</f>
        <v/>
      </c>
      <c r="Y652" s="68">
        <f>IF(OR($H652="",$J652=""),"",$J652*IFERROR(VLOOKUP($H652,Maestro_SKU!$A$2:$P$500,12,FALSE),1))</f>
        <v/>
      </c>
    </row>
    <row r="653">
      <c r="A653" s="43" t="n"/>
      <c r="B653" s="54" t="n"/>
      <c r="C653" s="43" t="n"/>
      <c r="D653" s="43" t="n"/>
      <c r="E653" s="48">
        <f>IFERROR(VLOOKUP(D653,Clientes_PDV!$A$2:$J$250,2,FALSE),"")</f>
        <v/>
      </c>
      <c r="F653" s="48">
        <f>IFERROR(VLOOKUP(D653,Clientes_PDV!$A$2:$J$250,3,FALSE),"")</f>
        <v/>
      </c>
      <c r="G653" s="48">
        <f>IFERROR(VLOOKUP(D653,Clientes_PDV!$A$2:$J$250,4,FALSE),"")</f>
        <v/>
      </c>
      <c r="H653" s="43" t="n"/>
      <c r="I653" s="48">
        <f>IFERROR(VLOOKUP(H653,Maestro_SKU!$A$2:$P$500,2,FALSE),"")</f>
        <v/>
      </c>
      <c r="J653" s="55" t="n"/>
      <c r="K653" s="44" t="n"/>
      <c r="L653" s="51">
        <f>IF(OR(J653="",K653=""),"",J653*K653)</f>
        <v/>
      </c>
      <c r="M653" s="51">
        <f>IF(L653="","",L653*Inicio!$B$13)</f>
        <v/>
      </c>
      <c r="N653" s="51">
        <f>IF(L653="","",L653+M653)</f>
        <v/>
      </c>
      <c r="O653" s="54" t="n"/>
      <c r="P653" s="43" t="n"/>
      <c r="Q653" s="44" t="n"/>
      <c r="R653" s="51">
        <f>IF(N653="","",MAX(N653-Q653,0))</f>
        <v/>
      </c>
      <c r="S653" s="48">
        <f>IF(A653="","",IF(OR(P653="Pagada",R653=0),"Pagada",IF(O653&lt;TODAY(),"Vencida",IF(O653&lt;=TODAY()+Inicio!$B$19,"Próxima a vencer","Vigente"))))</f>
        <v/>
      </c>
      <c r="T653" s="43" t="n"/>
      <c r="U653" s="68">
        <f>IF($B653="","",YEAR($B653))</f>
        <v/>
      </c>
      <c r="V653" s="68">
        <f>IF($B653="","",MONTH($B653))</f>
        <v/>
      </c>
      <c r="W653" s="68">
        <f>IF($B653="","",DAY($B653))</f>
        <v/>
      </c>
      <c r="X653" s="68">
        <f>IF($B653="","",YEAR($B653)&amp;"-"&amp;TEXT(MONTH($B653),"00"))</f>
        <v/>
      </c>
      <c r="Y653" s="68">
        <f>IF(OR($H653="",$J653=""),"",$J653*IFERROR(VLOOKUP($H653,Maestro_SKU!$A$2:$P$500,12,FALSE),1))</f>
        <v/>
      </c>
    </row>
    <row r="654">
      <c r="A654" s="43" t="n"/>
      <c r="B654" s="54" t="n"/>
      <c r="C654" s="43" t="n"/>
      <c r="D654" s="43" t="n"/>
      <c r="E654" s="48">
        <f>IFERROR(VLOOKUP(D654,Clientes_PDV!$A$2:$J$250,2,FALSE),"")</f>
        <v/>
      </c>
      <c r="F654" s="48">
        <f>IFERROR(VLOOKUP(D654,Clientes_PDV!$A$2:$J$250,3,FALSE),"")</f>
        <v/>
      </c>
      <c r="G654" s="48">
        <f>IFERROR(VLOOKUP(D654,Clientes_PDV!$A$2:$J$250,4,FALSE),"")</f>
        <v/>
      </c>
      <c r="H654" s="43" t="n"/>
      <c r="I654" s="48">
        <f>IFERROR(VLOOKUP(H654,Maestro_SKU!$A$2:$P$500,2,FALSE),"")</f>
        <v/>
      </c>
      <c r="J654" s="55" t="n"/>
      <c r="K654" s="44" t="n"/>
      <c r="L654" s="51">
        <f>IF(OR(J654="",K654=""),"",J654*K654)</f>
        <v/>
      </c>
      <c r="M654" s="51">
        <f>IF(L654="","",L654*Inicio!$B$13)</f>
        <v/>
      </c>
      <c r="N654" s="51">
        <f>IF(L654="","",L654+M654)</f>
        <v/>
      </c>
      <c r="O654" s="54" t="n"/>
      <c r="P654" s="43" t="n"/>
      <c r="Q654" s="44" t="n"/>
      <c r="R654" s="51">
        <f>IF(N654="","",MAX(N654-Q654,0))</f>
        <v/>
      </c>
      <c r="S654" s="48">
        <f>IF(A654="","",IF(OR(P654="Pagada",R654=0),"Pagada",IF(O654&lt;TODAY(),"Vencida",IF(O654&lt;=TODAY()+Inicio!$B$19,"Próxima a vencer","Vigente"))))</f>
        <v/>
      </c>
      <c r="T654" s="43" t="n"/>
      <c r="U654" s="68">
        <f>IF($B654="","",YEAR($B654))</f>
        <v/>
      </c>
      <c r="V654" s="68">
        <f>IF($B654="","",MONTH($B654))</f>
        <v/>
      </c>
      <c r="W654" s="68">
        <f>IF($B654="","",DAY($B654))</f>
        <v/>
      </c>
      <c r="X654" s="68">
        <f>IF($B654="","",YEAR($B654)&amp;"-"&amp;TEXT(MONTH($B654),"00"))</f>
        <v/>
      </c>
      <c r="Y654" s="68">
        <f>IF(OR($H654="",$J654=""),"",$J654*IFERROR(VLOOKUP($H654,Maestro_SKU!$A$2:$P$500,12,FALSE),1))</f>
        <v/>
      </c>
    </row>
    <row r="655">
      <c r="A655" s="43" t="n"/>
      <c r="B655" s="54" t="n"/>
      <c r="C655" s="43" t="n"/>
      <c r="D655" s="43" t="n"/>
      <c r="E655" s="48">
        <f>IFERROR(VLOOKUP(D655,Clientes_PDV!$A$2:$J$250,2,FALSE),"")</f>
        <v/>
      </c>
      <c r="F655" s="48">
        <f>IFERROR(VLOOKUP(D655,Clientes_PDV!$A$2:$J$250,3,FALSE),"")</f>
        <v/>
      </c>
      <c r="G655" s="48">
        <f>IFERROR(VLOOKUP(D655,Clientes_PDV!$A$2:$J$250,4,FALSE),"")</f>
        <v/>
      </c>
      <c r="H655" s="43" t="n"/>
      <c r="I655" s="48">
        <f>IFERROR(VLOOKUP(H655,Maestro_SKU!$A$2:$P$500,2,FALSE),"")</f>
        <v/>
      </c>
      <c r="J655" s="55" t="n"/>
      <c r="K655" s="44" t="n"/>
      <c r="L655" s="51">
        <f>IF(OR(J655="",K655=""),"",J655*K655)</f>
        <v/>
      </c>
      <c r="M655" s="51">
        <f>IF(L655="","",L655*Inicio!$B$13)</f>
        <v/>
      </c>
      <c r="N655" s="51">
        <f>IF(L655="","",L655+M655)</f>
        <v/>
      </c>
      <c r="O655" s="54" t="n"/>
      <c r="P655" s="43" t="n"/>
      <c r="Q655" s="44" t="n"/>
      <c r="R655" s="51">
        <f>IF(N655="","",MAX(N655-Q655,0))</f>
        <v/>
      </c>
      <c r="S655" s="48">
        <f>IF(A655="","",IF(OR(P655="Pagada",R655=0),"Pagada",IF(O655&lt;TODAY(),"Vencida",IF(O655&lt;=TODAY()+Inicio!$B$19,"Próxima a vencer","Vigente"))))</f>
        <v/>
      </c>
      <c r="T655" s="43" t="n"/>
      <c r="U655" s="68">
        <f>IF($B655="","",YEAR($B655))</f>
        <v/>
      </c>
      <c r="V655" s="68">
        <f>IF($B655="","",MONTH($B655))</f>
        <v/>
      </c>
      <c r="W655" s="68">
        <f>IF($B655="","",DAY($B655))</f>
        <v/>
      </c>
      <c r="X655" s="68">
        <f>IF($B655="","",YEAR($B655)&amp;"-"&amp;TEXT(MONTH($B655),"00"))</f>
        <v/>
      </c>
      <c r="Y655" s="68">
        <f>IF(OR($H655="",$J655=""),"",$J655*IFERROR(VLOOKUP($H655,Maestro_SKU!$A$2:$P$500,12,FALSE),1))</f>
        <v/>
      </c>
    </row>
    <row r="656">
      <c r="A656" s="43" t="n"/>
      <c r="B656" s="54" t="n"/>
      <c r="C656" s="43" t="n"/>
      <c r="D656" s="43" t="n"/>
      <c r="E656" s="48">
        <f>IFERROR(VLOOKUP(D656,Clientes_PDV!$A$2:$J$250,2,FALSE),"")</f>
        <v/>
      </c>
      <c r="F656" s="48">
        <f>IFERROR(VLOOKUP(D656,Clientes_PDV!$A$2:$J$250,3,FALSE),"")</f>
        <v/>
      </c>
      <c r="G656" s="48">
        <f>IFERROR(VLOOKUP(D656,Clientes_PDV!$A$2:$J$250,4,FALSE),"")</f>
        <v/>
      </c>
      <c r="H656" s="43" t="n"/>
      <c r="I656" s="48">
        <f>IFERROR(VLOOKUP(H656,Maestro_SKU!$A$2:$P$500,2,FALSE),"")</f>
        <v/>
      </c>
      <c r="J656" s="55" t="n"/>
      <c r="K656" s="44" t="n"/>
      <c r="L656" s="51">
        <f>IF(OR(J656="",K656=""),"",J656*K656)</f>
        <v/>
      </c>
      <c r="M656" s="51">
        <f>IF(L656="","",L656*Inicio!$B$13)</f>
        <v/>
      </c>
      <c r="N656" s="51">
        <f>IF(L656="","",L656+M656)</f>
        <v/>
      </c>
      <c r="O656" s="54" t="n"/>
      <c r="P656" s="43" t="n"/>
      <c r="Q656" s="44" t="n"/>
      <c r="R656" s="51">
        <f>IF(N656="","",MAX(N656-Q656,0))</f>
        <v/>
      </c>
      <c r="S656" s="48">
        <f>IF(A656="","",IF(OR(P656="Pagada",R656=0),"Pagada",IF(O656&lt;TODAY(),"Vencida",IF(O656&lt;=TODAY()+Inicio!$B$19,"Próxima a vencer","Vigente"))))</f>
        <v/>
      </c>
      <c r="T656" s="43" t="n"/>
      <c r="U656" s="68">
        <f>IF($B656="","",YEAR($B656))</f>
        <v/>
      </c>
      <c r="V656" s="68">
        <f>IF($B656="","",MONTH($B656))</f>
        <v/>
      </c>
      <c r="W656" s="68">
        <f>IF($B656="","",DAY($B656))</f>
        <v/>
      </c>
      <c r="X656" s="68">
        <f>IF($B656="","",YEAR($B656)&amp;"-"&amp;TEXT(MONTH($B656),"00"))</f>
        <v/>
      </c>
      <c r="Y656" s="68">
        <f>IF(OR($H656="",$J656=""),"",$J656*IFERROR(VLOOKUP($H656,Maestro_SKU!$A$2:$P$500,12,FALSE),1))</f>
        <v/>
      </c>
    </row>
    <row r="657">
      <c r="A657" s="43" t="n"/>
      <c r="B657" s="54" t="n"/>
      <c r="C657" s="43" t="n"/>
      <c r="D657" s="43" t="n"/>
      <c r="E657" s="48">
        <f>IFERROR(VLOOKUP(D657,Clientes_PDV!$A$2:$J$250,2,FALSE),"")</f>
        <v/>
      </c>
      <c r="F657" s="48">
        <f>IFERROR(VLOOKUP(D657,Clientes_PDV!$A$2:$J$250,3,FALSE),"")</f>
        <v/>
      </c>
      <c r="G657" s="48">
        <f>IFERROR(VLOOKUP(D657,Clientes_PDV!$A$2:$J$250,4,FALSE),"")</f>
        <v/>
      </c>
      <c r="H657" s="43" t="n"/>
      <c r="I657" s="48">
        <f>IFERROR(VLOOKUP(H657,Maestro_SKU!$A$2:$P$500,2,FALSE),"")</f>
        <v/>
      </c>
      <c r="J657" s="55" t="n"/>
      <c r="K657" s="44" t="n"/>
      <c r="L657" s="51">
        <f>IF(OR(J657="",K657=""),"",J657*K657)</f>
        <v/>
      </c>
      <c r="M657" s="51">
        <f>IF(L657="","",L657*Inicio!$B$13)</f>
        <v/>
      </c>
      <c r="N657" s="51">
        <f>IF(L657="","",L657+M657)</f>
        <v/>
      </c>
      <c r="O657" s="54" t="n"/>
      <c r="P657" s="43" t="n"/>
      <c r="Q657" s="44" t="n"/>
      <c r="R657" s="51">
        <f>IF(N657="","",MAX(N657-Q657,0))</f>
        <v/>
      </c>
      <c r="S657" s="48">
        <f>IF(A657="","",IF(OR(P657="Pagada",R657=0),"Pagada",IF(O657&lt;TODAY(),"Vencida",IF(O657&lt;=TODAY()+Inicio!$B$19,"Próxima a vencer","Vigente"))))</f>
        <v/>
      </c>
      <c r="T657" s="43" t="n"/>
      <c r="U657" s="68">
        <f>IF($B657="","",YEAR($B657))</f>
        <v/>
      </c>
      <c r="V657" s="68">
        <f>IF($B657="","",MONTH($B657))</f>
        <v/>
      </c>
      <c r="W657" s="68">
        <f>IF($B657="","",DAY($B657))</f>
        <v/>
      </c>
      <c r="X657" s="68">
        <f>IF($B657="","",YEAR($B657)&amp;"-"&amp;TEXT(MONTH($B657),"00"))</f>
        <v/>
      </c>
      <c r="Y657" s="68">
        <f>IF(OR($H657="",$J657=""),"",$J657*IFERROR(VLOOKUP($H657,Maestro_SKU!$A$2:$P$500,12,FALSE),1))</f>
        <v/>
      </c>
    </row>
    <row r="658">
      <c r="A658" s="43" t="n"/>
      <c r="B658" s="54" t="n"/>
      <c r="C658" s="43" t="n"/>
      <c r="D658" s="43" t="n"/>
      <c r="E658" s="48">
        <f>IFERROR(VLOOKUP(D658,Clientes_PDV!$A$2:$J$250,2,FALSE),"")</f>
        <v/>
      </c>
      <c r="F658" s="48">
        <f>IFERROR(VLOOKUP(D658,Clientes_PDV!$A$2:$J$250,3,FALSE),"")</f>
        <v/>
      </c>
      <c r="G658" s="48">
        <f>IFERROR(VLOOKUP(D658,Clientes_PDV!$A$2:$J$250,4,FALSE),"")</f>
        <v/>
      </c>
      <c r="H658" s="43" t="n"/>
      <c r="I658" s="48">
        <f>IFERROR(VLOOKUP(H658,Maestro_SKU!$A$2:$P$500,2,FALSE),"")</f>
        <v/>
      </c>
      <c r="J658" s="55" t="n"/>
      <c r="K658" s="44" t="n"/>
      <c r="L658" s="51">
        <f>IF(OR(J658="",K658=""),"",J658*K658)</f>
        <v/>
      </c>
      <c r="M658" s="51">
        <f>IF(L658="","",L658*Inicio!$B$13)</f>
        <v/>
      </c>
      <c r="N658" s="51">
        <f>IF(L658="","",L658+M658)</f>
        <v/>
      </c>
      <c r="O658" s="54" t="n"/>
      <c r="P658" s="43" t="n"/>
      <c r="Q658" s="44" t="n"/>
      <c r="R658" s="51">
        <f>IF(N658="","",MAX(N658-Q658,0))</f>
        <v/>
      </c>
      <c r="S658" s="48">
        <f>IF(A658="","",IF(OR(P658="Pagada",R658=0),"Pagada",IF(O658&lt;TODAY(),"Vencida",IF(O658&lt;=TODAY()+Inicio!$B$19,"Próxima a vencer","Vigente"))))</f>
        <v/>
      </c>
      <c r="T658" s="43" t="n"/>
      <c r="U658" s="68">
        <f>IF($B658="","",YEAR($B658))</f>
        <v/>
      </c>
      <c r="V658" s="68">
        <f>IF($B658="","",MONTH($B658))</f>
        <v/>
      </c>
      <c r="W658" s="68">
        <f>IF($B658="","",DAY($B658))</f>
        <v/>
      </c>
      <c r="X658" s="68">
        <f>IF($B658="","",YEAR($B658)&amp;"-"&amp;TEXT(MONTH($B658),"00"))</f>
        <v/>
      </c>
      <c r="Y658" s="68">
        <f>IF(OR($H658="",$J658=""),"",$J658*IFERROR(VLOOKUP($H658,Maestro_SKU!$A$2:$P$500,12,FALSE),1))</f>
        <v/>
      </c>
    </row>
    <row r="659">
      <c r="A659" s="43" t="n"/>
      <c r="B659" s="54" t="n"/>
      <c r="C659" s="43" t="n"/>
      <c r="D659" s="43" t="n"/>
      <c r="E659" s="48">
        <f>IFERROR(VLOOKUP(D659,Clientes_PDV!$A$2:$J$250,2,FALSE),"")</f>
        <v/>
      </c>
      <c r="F659" s="48">
        <f>IFERROR(VLOOKUP(D659,Clientes_PDV!$A$2:$J$250,3,FALSE),"")</f>
        <v/>
      </c>
      <c r="G659" s="48">
        <f>IFERROR(VLOOKUP(D659,Clientes_PDV!$A$2:$J$250,4,FALSE),"")</f>
        <v/>
      </c>
      <c r="H659" s="43" t="n"/>
      <c r="I659" s="48">
        <f>IFERROR(VLOOKUP(H659,Maestro_SKU!$A$2:$P$500,2,FALSE),"")</f>
        <v/>
      </c>
      <c r="J659" s="55" t="n"/>
      <c r="K659" s="44" t="n"/>
      <c r="L659" s="51">
        <f>IF(OR(J659="",K659=""),"",J659*K659)</f>
        <v/>
      </c>
      <c r="M659" s="51">
        <f>IF(L659="","",L659*Inicio!$B$13)</f>
        <v/>
      </c>
      <c r="N659" s="51">
        <f>IF(L659="","",L659+M659)</f>
        <v/>
      </c>
      <c r="O659" s="54" t="n"/>
      <c r="P659" s="43" t="n"/>
      <c r="Q659" s="44" t="n"/>
      <c r="R659" s="51">
        <f>IF(N659="","",MAX(N659-Q659,0))</f>
        <v/>
      </c>
      <c r="S659" s="48">
        <f>IF(A659="","",IF(OR(P659="Pagada",R659=0),"Pagada",IF(O659&lt;TODAY(),"Vencida",IF(O659&lt;=TODAY()+Inicio!$B$19,"Próxima a vencer","Vigente"))))</f>
        <v/>
      </c>
      <c r="T659" s="43" t="n"/>
      <c r="U659" s="68">
        <f>IF($B659="","",YEAR($B659))</f>
        <v/>
      </c>
      <c r="V659" s="68">
        <f>IF($B659="","",MONTH($B659))</f>
        <v/>
      </c>
      <c r="W659" s="68">
        <f>IF($B659="","",DAY($B659))</f>
        <v/>
      </c>
      <c r="X659" s="68">
        <f>IF($B659="","",YEAR($B659)&amp;"-"&amp;TEXT(MONTH($B659),"00"))</f>
        <v/>
      </c>
      <c r="Y659" s="68">
        <f>IF(OR($H659="",$J659=""),"",$J659*IFERROR(VLOOKUP($H659,Maestro_SKU!$A$2:$P$500,12,FALSE),1))</f>
        <v/>
      </c>
    </row>
    <row r="660">
      <c r="A660" s="43" t="n"/>
      <c r="B660" s="54" t="n"/>
      <c r="C660" s="43" t="n"/>
      <c r="D660" s="43" t="n"/>
      <c r="E660" s="48">
        <f>IFERROR(VLOOKUP(D660,Clientes_PDV!$A$2:$J$250,2,FALSE),"")</f>
        <v/>
      </c>
      <c r="F660" s="48">
        <f>IFERROR(VLOOKUP(D660,Clientes_PDV!$A$2:$J$250,3,FALSE),"")</f>
        <v/>
      </c>
      <c r="G660" s="48">
        <f>IFERROR(VLOOKUP(D660,Clientes_PDV!$A$2:$J$250,4,FALSE),"")</f>
        <v/>
      </c>
      <c r="H660" s="43" t="n"/>
      <c r="I660" s="48">
        <f>IFERROR(VLOOKUP(H660,Maestro_SKU!$A$2:$P$500,2,FALSE),"")</f>
        <v/>
      </c>
      <c r="J660" s="55" t="n"/>
      <c r="K660" s="44" t="n"/>
      <c r="L660" s="51">
        <f>IF(OR(J660="",K660=""),"",J660*K660)</f>
        <v/>
      </c>
      <c r="M660" s="51">
        <f>IF(L660="","",L660*Inicio!$B$13)</f>
        <v/>
      </c>
      <c r="N660" s="51">
        <f>IF(L660="","",L660+M660)</f>
        <v/>
      </c>
      <c r="O660" s="54" t="n"/>
      <c r="P660" s="43" t="n"/>
      <c r="Q660" s="44" t="n"/>
      <c r="R660" s="51">
        <f>IF(N660="","",MAX(N660-Q660,0))</f>
        <v/>
      </c>
      <c r="S660" s="48">
        <f>IF(A660="","",IF(OR(P660="Pagada",R660=0),"Pagada",IF(O660&lt;TODAY(),"Vencida",IF(O660&lt;=TODAY()+Inicio!$B$19,"Próxima a vencer","Vigente"))))</f>
        <v/>
      </c>
      <c r="T660" s="43" t="n"/>
      <c r="U660" s="68">
        <f>IF($B660="","",YEAR($B660))</f>
        <v/>
      </c>
      <c r="V660" s="68">
        <f>IF($B660="","",MONTH($B660))</f>
        <v/>
      </c>
      <c r="W660" s="68">
        <f>IF($B660="","",DAY($B660))</f>
        <v/>
      </c>
      <c r="X660" s="68">
        <f>IF($B660="","",YEAR($B660)&amp;"-"&amp;TEXT(MONTH($B660),"00"))</f>
        <v/>
      </c>
      <c r="Y660" s="68">
        <f>IF(OR($H660="",$J660=""),"",$J660*IFERROR(VLOOKUP($H660,Maestro_SKU!$A$2:$P$500,12,FALSE),1))</f>
        <v/>
      </c>
    </row>
    <row r="661">
      <c r="A661" s="43" t="n"/>
      <c r="B661" s="54" t="n"/>
      <c r="C661" s="43" t="n"/>
      <c r="D661" s="43" t="n"/>
      <c r="E661" s="48">
        <f>IFERROR(VLOOKUP(D661,Clientes_PDV!$A$2:$J$250,2,FALSE),"")</f>
        <v/>
      </c>
      <c r="F661" s="48">
        <f>IFERROR(VLOOKUP(D661,Clientes_PDV!$A$2:$J$250,3,FALSE),"")</f>
        <v/>
      </c>
      <c r="G661" s="48">
        <f>IFERROR(VLOOKUP(D661,Clientes_PDV!$A$2:$J$250,4,FALSE),"")</f>
        <v/>
      </c>
      <c r="H661" s="43" t="n"/>
      <c r="I661" s="48">
        <f>IFERROR(VLOOKUP(H661,Maestro_SKU!$A$2:$P$500,2,FALSE),"")</f>
        <v/>
      </c>
      <c r="J661" s="55" t="n"/>
      <c r="K661" s="44" t="n"/>
      <c r="L661" s="51">
        <f>IF(OR(J661="",K661=""),"",J661*K661)</f>
        <v/>
      </c>
      <c r="M661" s="51">
        <f>IF(L661="","",L661*Inicio!$B$13)</f>
        <v/>
      </c>
      <c r="N661" s="51">
        <f>IF(L661="","",L661+M661)</f>
        <v/>
      </c>
      <c r="O661" s="54" t="n"/>
      <c r="P661" s="43" t="n"/>
      <c r="Q661" s="44" t="n"/>
      <c r="R661" s="51">
        <f>IF(N661="","",MAX(N661-Q661,0))</f>
        <v/>
      </c>
      <c r="S661" s="48">
        <f>IF(A661="","",IF(OR(P661="Pagada",R661=0),"Pagada",IF(O661&lt;TODAY(),"Vencida",IF(O661&lt;=TODAY()+Inicio!$B$19,"Próxima a vencer","Vigente"))))</f>
        <v/>
      </c>
      <c r="T661" s="43" t="n"/>
      <c r="U661" s="68">
        <f>IF($B661="","",YEAR($B661))</f>
        <v/>
      </c>
      <c r="V661" s="68">
        <f>IF($B661="","",MONTH($B661))</f>
        <v/>
      </c>
      <c r="W661" s="68">
        <f>IF($B661="","",DAY($B661))</f>
        <v/>
      </c>
      <c r="X661" s="68">
        <f>IF($B661="","",YEAR($B661)&amp;"-"&amp;TEXT(MONTH($B661),"00"))</f>
        <v/>
      </c>
      <c r="Y661" s="68">
        <f>IF(OR($H661="",$J661=""),"",$J661*IFERROR(VLOOKUP($H661,Maestro_SKU!$A$2:$P$500,12,FALSE),1))</f>
        <v/>
      </c>
    </row>
    <row r="662">
      <c r="A662" s="43" t="n"/>
      <c r="B662" s="54" t="n"/>
      <c r="C662" s="43" t="n"/>
      <c r="D662" s="43" t="n"/>
      <c r="E662" s="48">
        <f>IFERROR(VLOOKUP(D662,Clientes_PDV!$A$2:$J$250,2,FALSE),"")</f>
        <v/>
      </c>
      <c r="F662" s="48">
        <f>IFERROR(VLOOKUP(D662,Clientes_PDV!$A$2:$J$250,3,FALSE),"")</f>
        <v/>
      </c>
      <c r="G662" s="48">
        <f>IFERROR(VLOOKUP(D662,Clientes_PDV!$A$2:$J$250,4,FALSE),"")</f>
        <v/>
      </c>
      <c r="H662" s="43" t="n"/>
      <c r="I662" s="48">
        <f>IFERROR(VLOOKUP(H662,Maestro_SKU!$A$2:$P$500,2,FALSE),"")</f>
        <v/>
      </c>
      <c r="J662" s="55" t="n"/>
      <c r="K662" s="44" t="n"/>
      <c r="L662" s="51">
        <f>IF(OR(J662="",K662=""),"",J662*K662)</f>
        <v/>
      </c>
      <c r="M662" s="51">
        <f>IF(L662="","",L662*Inicio!$B$13)</f>
        <v/>
      </c>
      <c r="N662" s="51">
        <f>IF(L662="","",L662+M662)</f>
        <v/>
      </c>
      <c r="O662" s="54" t="n"/>
      <c r="P662" s="43" t="n"/>
      <c r="Q662" s="44" t="n"/>
      <c r="R662" s="51">
        <f>IF(N662="","",MAX(N662-Q662,0))</f>
        <v/>
      </c>
      <c r="S662" s="48">
        <f>IF(A662="","",IF(OR(P662="Pagada",R662=0),"Pagada",IF(O662&lt;TODAY(),"Vencida",IF(O662&lt;=TODAY()+Inicio!$B$19,"Próxima a vencer","Vigente"))))</f>
        <v/>
      </c>
      <c r="T662" s="43" t="n"/>
      <c r="U662" s="68">
        <f>IF($B662="","",YEAR($B662))</f>
        <v/>
      </c>
      <c r="V662" s="68">
        <f>IF($B662="","",MONTH($B662))</f>
        <v/>
      </c>
      <c r="W662" s="68">
        <f>IF($B662="","",DAY($B662))</f>
        <v/>
      </c>
      <c r="X662" s="68">
        <f>IF($B662="","",YEAR($B662)&amp;"-"&amp;TEXT(MONTH($B662),"00"))</f>
        <v/>
      </c>
      <c r="Y662" s="68">
        <f>IF(OR($H662="",$J662=""),"",$J662*IFERROR(VLOOKUP($H662,Maestro_SKU!$A$2:$P$500,12,FALSE),1))</f>
        <v/>
      </c>
    </row>
    <row r="663">
      <c r="A663" s="43" t="n"/>
      <c r="B663" s="54" t="n"/>
      <c r="C663" s="43" t="n"/>
      <c r="D663" s="43" t="n"/>
      <c r="E663" s="48">
        <f>IFERROR(VLOOKUP(D663,Clientes_PDV!$A$2:$J$250,2,FALSE),"")</f>
        <v/>
      </c>
      <c r="F663" s="48">
        <f>IFERROR(VLOOKUP(D663,Clientes_PDV!$A$2:$J$250,3,FALSE),"")</f>
        <v/>
      </c>
      <c r="G663" s="48">
        <f>IFERROR(VLOOKUP(D663,Clientes_PDV!$A$2:$J$250,4,FALSE),"")</f>
        <v/>
      </c>
      <c r="H663" s="43" t="n"/>
      <c r="I663" s="48">
        <f>IFERROR(VLOOKUP(H663,Maestro_SKU!$A$2:$P$500,2,FALSE),"")</f>
        <v/>
      </c>
      <c r="J663" s="55" t="n"/>
      <c r="K663" s="44" t="n"/>
      <c r="L663" s="51">
        <f>IF(OR(J663="",K663=""),"",J663*K663)</f>
        <v/>
      </c>
      <c r="M663" s="51">
        <f>IF(L663="","",L663*Inicio!$B$13)</f>
        <v/>
      </c>
      <c r="N663" s="51">
        <f>IF(L663="","",L663+M663)</f>
        <v/>
      </c>
      <c r="O663" s="54" t="n"/>
      <c r="P663" s="43" t="n"/>
      <c r="Q663" s="44" t="n"/>
      <c r="R663" s="51">
        <f>IF(N663="","",MAX(N663-Q663,0))</f>
        <v/>
      </c>
      <c r="S663" s="48">
        <f>IF(A663="","",IF(OR(P663="Pagada",R663=0),"Pagada",IF(O663&lt;TODAY(),"Vencida",IF(O663&lt;=TODAY()+Inicio!$B$19,"Próxima a vencer","Vigente"))))</f>
        <v/>
      </c>
      <c r="T663" s="43" t="n"/>
      <c r="U663" s="68">
        <f>IF($B663="","",YEAR($B663))</f>
        <v/>
      </c>
      <c r="V663" s="68">
        <f>IF($B663="","",MONTH($B663))</f>
        <v/>
      </c>
      <c r="W663" s="68">
        <f>IF($B663="","",DAY($B663))</f>
        <v/>
      </c>
      <c r="X663" s="68">
        <f>IF($B663="","",YEAR($B663)&amp;"-"&amp;TEXT(MONTH($B663),"00"))</f>
        <v/>
      </c>
      <c r="Y663" s="68">
        <f>IF(OR($H663="",$J663=""),"",$J663*IFERROR(VLOOKUP($H663,Maestro_SKU!$A$2:$P$500,12,FALSE),1))</f>
        <v/>
      </c>
    </row>
    <row r="664">
      <c r="A664" s="43" t="n"/>
      <c r="B664" s="54" t="n"/>
      <c r="C664" s="43" t="n"/>
      <c r="D664" s="43" t="n"/>
      <c r="E664" s="48">
        <f>IFERROR(VLOOKUP(D664,Clientes_PDV!$A$2:$J$250,2,FALSE),"")</f>
        <v/>
      </c>
      <c r="F664" s="48">
        <f>IFERROR(VLOOKUP(D664,Clientes_PDV!$A$2:$J$250,3,FALSE),"")</f>
        <v/>
      </c>
      <c r="G664" s="48">
        <f>IFERROR(VLOOKUP(D664,Clientes_PDV!$A$2:$J$250,4,FALSE),"")</f>
        <v/>
      </c>
      <c r="H664" s="43" t="n"/>
      <c r="I664" s="48">
        <f>IFERROR(VLOOKUP(H664,Maestro_SKU!$A$2:$P$500,2,FALSE),"")</f>
        <v/>
      </c>
      <c r="J664" s="55" t="n"/>
      <c r="K664" s="44" t="n"/>
      <c r="L664" s="51">
        <f>IF(OR(J664="",K664=""),"",J664*K664)</f>
        <v/>
      </c>
      <c r="M664" s="51">
        <f>IF(L664="","",L664*Inicio!$B$13)</f>
        <v/>
      </c>
      <c r="N664" s="51">
        <f>IF(L664="","",L664+M664)</f>
        <v/>
      </c>
      <c r="O664" s="54" t="n"/>
      <c r="P664" s="43" t="n"/>
      <c r="Q664" s="44" t="n"/>
      <c r="R664" s="51">
        <f>IF(N664="","",MAX(N664-Q664,0))</f>
        <v/>
      </c>
      <c r="S664" s="48">
        <f>IF(A664="","",IF(OR(P664="Pagada",R664=0),"Pagada",IF(O664&lt;TODAY(),"Vencida",IF(O664&lt;=TODAY()+Inicio!$B$19,"Próxima a vencer","Vigente"))))</f>
        <v/>
      </c>
      <c r="T664" s="43" t="n"/>
      <c r="U664" s="68">
        <f>IF($B664="","",YEAR($B664))</f>
        <v/>
      </c>
      <c r="V664" s="68">
        <f>IF($B664="","",MONTH($B664))</f>
        <v/>
      </c>
      <c r="W664" s="68">
        <f>IF($B664="","",DAY($B664))</f>
        <v/>
      </c>
      <c r="X664" s="68">
        <f>IF($B664="","",YEAR($B664)&amp;"-"&amp;TEXT(MONTH($B664),"00"))</f>
        <v/>
      </c>
      <c r="Y664" s="68">
        <f>IF(OR($H664="",$J664=""),"",$J664*IFERROR(VLOOKUP($H664,Maestro_SKU!$A$2:$P$500,12,FALSE),1))</f>
        <v/>
      </c>
    </row>
    <row r="665">
      <c r="A665" s="43" t="n"/>
      <c r="B665" s="54" t="n"/>
      <c r="C665" s="43" t="n"/>
      <c r="D665" s="43" t="n"/>
      <c r="E665" s="48">
        <f>IFERROR(VLOOKUP(D665,Clientes_PDV!$A$2:$J$250,2,FALSE),"")</f>
        <v/>
      </c>
      <c r="F665" s="48">
        <f>IFERROR(VLOOKUP(D665,Clientes_PDV!$A$2:$J$250,3,FALSE),"")</f>
        <v/>
      </c>
      <c r="G665" s="48">
        <f>IFERROR(VLOOKUP(D665,Clientes_PDV!$A$2:$J$250,4,FALSE),"")</f>
        <v/>
      </c>
      <c r="H665" s="43" t="n"/>
      <c r="I665" s="48">
        <f>IFERROR(VLOOKUP(H665,Maestro_SKU!$A$2:$P$500,2,FALSE),"")</f>
        <v/>
      </c>
      <c r="J665" s="55" t="n"/>
      <c r="K665" s="44" t="n"/>
      <c r="L665" s="51">
        <f>IF(OR(J665="",K665=""),"",J665*K665)</f>
        <v/>
      </c>
      <c r="M665" s="51">
        <f>IF(L665="","",L665*Inicio!$B$13)</f>
        <v/>
      </c>
      <c r="N665" s="51">
        <f>IF(L665="","",L665+M665)</f>
        <v/>
      </c>
      <c r="O665" s="54" t="n"/>
      <c r="P665" s="43" t="n"/>
      <c r="Q665" s="44" t="n"/>
      <c r="R665" s="51">
        <f>IF(N665="","",MAX(N665-Q665,0))</f>
        <v/>
      </c>
      <c r="S665" s="48">
        <f>IF(A665="","",IF(OR(P665="Pagada",R665=0),"Pagada",IF(O665&lt;TODAY(),"Vencida",IF(O665&lt;=TODAY()+Inicio!$B$19,"Próxima a vencer","Vigente"))))</f>
        <v/>
      </c>
      <c r="T665" s="43" t="n"/>
      <c r="U665" s="68">
        <f>IF($B665="","",YEAR($B665))</f>
        <v/>
      </c>
      <c r="V665" s="68">
        <f>IF($B665="","",MONTH($B665))</f>
        <v/>
      </c>
      <c r="W665" s="68">
        <f>IF($B665="","",DAY($B665))</f>
        <v/>
      </c>
      <c r="X665" s="68">
        <f>IF($B665="","",YEAR($B665)&amp;"-"&amp;TEXT(MONTH($B665),"00"))</f>
        <v/>
      </c>
      <c r="Y665" s="68">
        <f>IF(OR($H665="",$J665=""),"",$J665*IFERROR(VLOOKUP($H665,Maestro_SKU!$A$2:$P$500,12,FALSE),1))</f>
        <v/>
      </c>
    </row>
    <row r="666">
      <c r="A666" s="43" t="n"/>
      <c r="B666" s="54" t="n"/>
      <c r="C666" s="43" t="n"/>
      <c r="D666" s="43" t="n"/>
      <c r="E666" s="48">
        <f>IFERROR(VLOOKUP(D666,Clientes_PDV!$A$2:$J$250,2,FALSE),"")</f>
        <v/>
      </c>
      <c r="F666" s="48">
        <f>IFERROR(VLOOKUP(D666,Clientes_PDV!$A$2:$J$250,3,FALSE),"")</f>
        <v/>
      </c>
      <c r="G666" s="48">
        <f>IFERROR(VLOOKUP(D666,Clientes_PDV!$A$2:$J$250,4,FALSE),"")</f>
        <v/>
      </c>
      <c r="H666" s="43" t="n"/>
      <c r="I666" s="48">
        <f>IFERROR(VLOOKUP(H666,Maestro_SKU!$A$2:$P$500,2,FALSE),"")</f>
        <v/>
      </c>
      <c r="J666" s="55" t="n"/>
      <c r="K666" s="44" t="n"/>
      <c r="L666" s="51">
        <f>IF(OR(J666="",K666=""),"",J666*K666)</f>
        <v/>
      </c>
      <c r="M666" s="51">
        <f>IF(L666="","",L666*Inicio!$B$13)</f>
        <v/>
      </c>
      <c r="N666" s="51">
        <f>IF(L666="","",L666+M666)</f>
        <v/>
      </c>
      <c r="O666" s="54" t="n"/>
      <c r="P666" s="43" t="n"/>
      <c r="Q666" s="44" t="n"/>
      <c r="R666" s="51">
        <f>IF(N666="","",MAX(N666-Q666,0))</f>
        <v/>
      </c>
      <c r="S666" s="48">
        <f>IF(A666="","",IF(OR(P666="Pagada",R666=0),"Pagada",IF(O666&lt;TODAY(),"Vencida",IF(O666&lt;=TODAY()+Inicio!$B$19,"Próxima a vencer","Vigente"))))</f>
        <v/>
      </c>
      <c r="T666" s="43" t="n"/>
      <c r="U666" s="68">
        <f>IF($B666="","",YEAR($B666))</f>
        <v/>
      </c>
      <c r="V666" s="68">
        <f>IF($B666="","",MONTH($B666))</f>
        <v/>
      </c>
      <c r="W666" s="68">
        <f>IF($B666="","",DAY($B666))</f>
        <v/>
      </c>
      <c r="X666" s="68">
        <f>IF($B666="","",YEAR($B666)&amp;"-"&amp;TEXT(MONTH($B666),"00"))</f>
        <v/>
      </c>
      <c r="Y666" s="68">
        <f>IF(OR($H666="",$J666=""),"",$J666*IFERROR(VLOOKUP($H666,Maestro_SKU!$A$2:$P$500,12,FALSE),1))</f>
        <v/>
      </c>
    </row>
    <row r="667">
      <c r="A667" s="43" t="n"/>
      <c r="B667" s="54" t="n"/>
      <c r="C667" s="43" t="n"/>
      <c r="D667" s="43" t="n"/>
      <c r="E667" s="48">
        <f>IFERROR(VLOOKUP(D667,Clientes_PDV!$A$2:$J$250,2,FALSE),"")</f>
        <v/>
      </c>
      <c r="F667" s="48">
        <f>IFERROR(VLOOKUP(D667,Clientes_PDV!$A$2:$J$250,3,FALSE),"")</f>
        <v/>
      </c>
      <c r="G667" s="48">
        <f>IFERROR(VLOOKUP(D667,Clientes_PDV!$A$2:$J$250,4,FALSE),"")</f>
        <v/>
      </c>
      <c r="H667" s="43" t="n"/>
      <c r="I667" s="48">
        <f>IFERROR(VLOOKUP(H667,Maestro_SKU!$A$2:$P$500,2,FALSE),"")</f>
        <v/>
      </c>
      <c r="J667" s="55" t="n"/>
      <c r="K667" s="44" t="n"/>
      <c r="L667" s="51">
        <f>IF(OR(J667="",K667=""),"",J667*K667)</f>
        <v/>
      </c>
      <c r="M667" s="51">
        <f>IF(L667="","",L667*Inicio!$B$13)</f>
        <v/>
      </c>
      <c r="N667" s="51">
        <f>IF(L667="","",L667+M667)</f>
        <v/>
      </c>
      <c r="O667" s="54" t="n"/>
      <c r="P667" s="43" t="n"/>
      <c r="Q667" s="44" t="n"/>
      <c r="R667" s="51">
        <f>IF(N667="","",MAX(N667-Q667,0))</f>
        <v/>
      </c>
      <c r="S667" s="48">
        <f>IF(A667="","",IF(OR(P667="Pagada",R667=0),"Pagada",IF(O667&lt;TODAY(),"Vencida",IF(O667&lt;=TODAY()+Inicio!$B$19,"Próxima a vencer","Vigente"))))</f>
        <v/>
      </c>
      <c r="T667" s="43" t="n"/>
      <c r="U667" s="68">
        <f>IF($B667="","",YEAR($B667))</f>
        <v/>
      </c>
      <c r="V667" s="68">
        <f>IF($B667="","",MONTH($B667))</f>
        <v/>
      </c>
      <c r="W667" s="68">
        <f>IF($B667="","",DAY($B667))</f>
        <v/>
      </c>
      <c r="X667" s="68">
        <f>IF($B667="","",YEAR($B667)&amp;"-"&amp;TEXT(MONTH($B667),"00"))</f>
        <v/>
      </c>
      <c r="Y667" s="68">
        <f>IF(OR($H667="",$J667=""),"",$J667*IFERROR(VLOOKUP($H667,Maestro_SKU!$A$2:$P$500,12,FALSE),1))</f>
        <v/>
      </c>
    </row>
    <row r="668">
      <c r="A668" s="43" t="n"/>
      <c r="B668" s="54" t="n"/>
      <c r="C668" s="43" t="n"/>
      <c r="D668" s="43" t="n"/>
      <c r="E668" s="48">
        <f>IFERROR(VLOOKUP(D668,Clientes_PDV!$A$2:$J$250,2,FALSE),"")</f>
        <v/>
      </c>
      <c r="F668" s="48">
        <f>IFERROR(VLOOKUP(D668,Clientes_PDV!$A$2:$J$250,3,FALSE),"")</f>
        <v/>
      </c>
      <c r="G668" s="48">
        <f>IFERROR(VLOOKUP(D668,Clientes_PDV!$A$2:$J$250,4,FALSE),"")</f>
        <v/>
      </c>
      <c r="H668" s="43" t="n"/>
      <c r="I668" s="48">
        <f>IFERROR(VLOOKUP(H668,Maestro_SKU!$A$2:$P$500,2,FALSE),"")</f>
        <v/>
      </c>
      <c r="J668" s="55" t="n"/>
      <c r="K668" s="44" t="n"/>
      <c r="L668" s="51">
        <f>IF(OR(J668="",K668=""),"",J668*K668)</f>
        <v/>
      </c>
      <c r="M668" s="51">
        <f>IF(L668="","",L668*Inicio!$B$13)</f>
        <v/>
      </c>
      <c r="N668" s="51">
        <f>IF(L668="","",L668+M668)</f>
        <v/>
      </c>
      <c r="O668" s="54" t="n"/>
      <c r="P668" s="43" t="n"/>
      <c r="Q668" s="44" t="n"/>
      <c r="R668" s="51">
        <f>IF(N668="","",MAX(N668-Q668,0))</f>
        <v/>
      </c>
      <c r="S668" s="48">
        <f>IF(A668="","",IF(OR(P668="Pagada",R668=0),"Pagada",IF(O668&lt;TODAY(),"Vencida",IF(O668&lt;=TODAY()+Inicio!$B$19,"Próxima a vencer","Vigente"))))</f>
        <v/>
      </c>
      <c r="T668" s="43" t="n"/>
      <c r="U668" s="68">
        <f>IF($B668="","",YEAR($B668))</f>
        <v/>
      </c>
      <c r="V668" s="68">
        <f>IF($B668="","",MONTH($B668))</f>
        <v/>
      </c>
      <c r="W668" s="68">
        <f>IF($B668="","",DAY($B668))</f>
        <v/>
      </c>
      <c r="X668" s="68">
        <f>IF($B668="","",YEAR($B668)&amp;"-"&amp;TEXT(MONTH($B668),"00"))</f>
        <v/>
      </c>
      <c r="Y668" s="68">
        <f>IF(OR($H668="",$J668=""),"",$J668*IFERROR(VLOOKUP($H668,Maestro_SKU!$A$2:$P$500,12,FALSE),1))</f>
        <v/>
      </c>
    </row>
    <row r="669">
      <c r="A669" s="43" t="n"/>
      <c r="B669" s="54" t="n"/>
      <c r="C669" s="43" t="n"/>
      <c r="D669" s="43" t="n"/>
      <c r="E669" s="48">
        <f>IFERROR(VLOOKUP(D669,Clientes_PDV!$A$2:$J$250,2,FALSE),"")</f>
        <v/>
      </c>
      <c r="F669" s="48">
        <f>IFERROR(VLOOKUP(D669,Clientes_PDV!$A$2:$J$250,3,FALSE),"")</f>
        <v/>
      </c>
      <c r="G669" s="48">
        <f>IFERROR(VLOOKUP(D669,Clientes_PDV!$A$2:$J$250,4,FALSE),"")</f>
        <v/>
      </c>
      <c r="H669" s="43" t="n"/>
      <c r="I669" s="48">
        <f>IFERROR(VLOOKUP(H669,Maestro_SKU!$A$2:$P$500,2,FALSE),"")</f>
        <v/>
      </c>
      <c r="J669" s="55" t="n"/>
      <c r="K669" s="44" t="n"/>
      <c r="L669" s="51">
        <f>IF(OR(J669="",K669=""),"",J669*K669)</f>
        <v/>
      </c>
      <c r="M669" s="51">
        <f>IF(L669="","",L669*Inicio!$B$13)</f>
        <v/>
      </c>
      <c r="N669" s="51">
        <f>IF(L669="","",L669+M669)</f>
        <v/>
      </c>
      <c r="O669" s="54" t="n"/>
      <c r="P669" s="43" t="n"/>
      <c r="Q669" s="44" t="n"/>
      <c r="R669" s="51">
        <f>IF(N669="","",MAX(N669-Q669,0))</f>
        <v/>
      </c>
      <c r="S669" s="48">
        <f>IF(A669="","",IF(OR(P669="Pagada",R669=0),"Pagada",IF(O669&lt;TODAY(),"Vencida",IF(O669&lt;=TODAY()+Inicio!$B$19,"Próxima a vencer","Vigente"))))</f>
        <v/>
      </c>
      <c r="T669" s="43" t="n"/>
      <c r="U669" s="68">
        <f>IF($B669="","",YEAR($B669))</f>
        <v/>
      </c>
      <c r="V669" s="68">
        <f>IF($B669="","",MONTH($B669))</f>
        <v/>
      </c>
      <c r="W669" s="68">
        <f>IF($B669="","",DAY($B669))</f>
        <v/>
      </c>
      <c r="X669" s="68">
        <f>IF($B669="","",YEAR($B669)&amp;"-"&amp;TEXT(MONTH($B669),"00"))</f>
        <v/>
      </c>
      <c r="Y669" s="68">
        <f>IF(OR($H669="",$J669=""),"",$J669*IFERROR(VLOOKUP($H669,Maestro_SKU!$A$2:$P$500,12,FALSE),1))</f>
        <v/>
      </c>
    </row>
    <row r="670">
      <c r="A670" s="43" t="n"/>
      <c r="B670" s="54" t="n"/>
      <c r="C670" s="43" t="n"/>
      <c r="D670" s="43" t="n"/>
      <c r="E670" s="48">
        <f>IFERROR(VLOOKUP(D670,Clientes_PDV!$A$2:$J$250,2,FALSE),"")</f>
        <v/>
      </c>
      <c r="F670" s="48">
        <f>IFERROR(VLOOKUP(D670,Clientes_PDV!$A$2:$J$250,3,FALSE),"")</f>
        <v/>
      </c>
      <c r="G670" s="48">
        <f>IFERROR(VLOOKUP(D670,Clientes_PDV!$A$2:$J$250,4,FALSE),"")</f>
        <v/>
      </c>
      <c r="H670" s="43" t="n"/>
      <c r="I670" s="48">
        <f>IFERROR(VLOOKUP(H670,Maestro_SKU!$A$2:$P$500,2,FALSE),"")</f>
        <v/>
      </c>
      <c r="J670" s="55" t="n"/>
      <c r="K670" s="44" t="n"/>
      <c r="L670" s="51">
        <f>IF(OR(J670="",K670=""),"",J670*K670)</f>
        <v/>
      </c>
      <c r="M670" s="51">
        <f>IF(L670="","",L670*Inicio!$B$13)</f>
        <v/>
      </c>
      <c r="N670" s="51">
        <f>IF(L670="","",L670+M670)</f>
        <v/>
      </c>
      <c r="O670" s="54" t="n"/>
      <c r="P670" s="43" t="n"/>
      <c r="Q670" s="44" t="n"/>
      <c r="R670" s="51">
        <f>IF(N670="","",MAX(N670-Q670,0))</f>
        <v/>
      </c>
      <c r="S670" s="48">
        <f>IF(A670="","",IF(OR(P670="Pagada",R670=0),"Pagada",IF(O670&lt;TODAY(),"Vencida",IF(O670&lt;=TODAY()+Inicio!$B$19,"Próxima a vencer","Vigente"))))</f>
        <v/>
      </c>
      <c r="T670" s="43" t="n"/>
      <c r="U670" s="68">
        <f>IF($B670="","",YEAR($B670))</f>
        <v/>
      </c>
      <c r="V670" s="68">
        <f>IF($B670="","",MONTH($B670))</f>
        <v/>
      </c>
      <c r="W670" s="68">
        <f>IF($B670="","",DAY($B670))</f>
        <v/>
      </c>
      <c r="X670" s="68">
        <f>IF($B670="","",YEAR($B670)&amp;"-"&amp;TEXT(MONTH($B670),"00"))</f>
        <v/>
      </c>
      <c r="Y670" s="68">
        <f>IF(OR($H670="",$J670=""),"",$J670*IFERROR(VLOOKUP($H670,Maestro_SKU!$A$2:$P$500,12,FALSE),1))</f>
        <v/>
      </c>
    </row>
    <row r="671">
      <c r="A671" s="43" t="n"/>
      <c r="B671" s="54" t="n"/>
      <c r="C671" s="43" t="n"/>
      <c r="D671" s="43" t="n"/>
      <c r="E671" s="48">
        <f>IFERROR(VLOOKUP(D671,Clientes_PDV!$A$2:$J$250,2,FALSE),"")</f>
        <v/>
      </c>
      <c r="F671" s="48">
        <f>IFERROR(VLOOKUP(D671,Clientes_PDV!$A$2:$J$250,3,FALSE),"")</f>
        <v/>
      </c>
      <c r="G671" s="48">
        <f>IFERROR(VLOOKUP(D671,Clientes_PDV!$A$2:$J$250,4,FALSE),"")</f>
        <v/>
      </c>
      <c r="H671" s="43" t="n"/>
      <c r="I671" s="48">
        <f>IFERROR(VLOOKUP(H671,Maestro_SKU!$A$2:$P$500,2,FALSE),"")</f>
        <v/>
      </c>
      <c r="J671" s="55" t="n"/>
      <c r="K671" s="44" t="n"/>
      <c r="L671" s="51">
        <f>IF(OR(J671="",K671=""),"",J671*K671)</f>
        <v/>
      </c>
      <c r="M671" s="51">
        <f>IF(L671="","",L671*Inicio!$B$13)</f>
        <v/>
      </c>
      <c r="N671" s="51">
        <f>IF(L671="","",L671+M671)</f>
        <v/>
      </c>
      <c r="O671" s="54" t="n"/>
      <c r="P671" s="43" t="n"/>
      <c r="Q671" s="44" t="n"/>
      <c r="R671" s="51">
        <f>IF(N671="","",MAX(N671-Q671,0))</f>
        <v/>
      </c>
      <c r="S671" s="48">
        <f>IF(A671="","",IF(OR(P671="Pagada",R671=0),"Pagada",IF(O671&lt;TODAY(),"Vencida",IF(O671&lt;=TODAY()+Inicio!$B$19,"Próxima a vencer","Vigente"))))</f>
        <v/>
      </c>
      <c r="T671" s="43" t="n"/>
      <c r="U671" s="68">
        <f>IF($B671="","",YEAR($B671))</f>
        <v/>
      </c>
      <c r="V671" s="68">
        <f>IF($B671="","",MONTH($B671))</f>
        <v/>
      </c>
      <c r="W671" s="68">
        <f>IF($B671="","",DAY($B671))</f>
        <v/>
      </c>
      <c r="X671" s="68">
        <f>IF($B671="","",YEAR($B671)&amp;"-"&amp;TEXT(MONTH($B671),"00"))</f>
        <v/>
      </c>
      <c r="Y671" s="68">
        <f>IF(OR($H671="",$J671=""),"",$J671*IFERROR(VLOOKUP($H671,Maestro_SKU!$A$2:$P$500,12,FALSE),1))</f>
        <v/>
      </c>
    </row>
    <row r="672">
      <c r="A672" s="43" t="n"/>
      <c r="B672" s="54" t="n"/>
      <c r="C672" s="43" t="n"/>
      <c r="D672" s="43" t="n"/>
      <c r="E672" s="48">
        <f>IFERROR(VLOOKUP(D672,Clientes_PDV!$A$2:$J$250,2,FALSE),"")</f>
        <v/>
      </c>
      <c r="F672" s="48">
        <f>IFERROR(VLOOKUP(D672,Clientes_PDV!$A$2:$J$250,3,FALSE),"")</f>
        <v/>
      </c>
      <c r="G672" s="48">
        <f>IFERROR(VLOOKUP(D672,Clientes_PDV!$A$2:$J$250,4,FALSE),"")</f>
        <v/>
      </c>
      <c r="H672" s="43" t="n"/>
      <c r="I672" s="48">
        <f>IFERROR(VLOOKUP(H672,Maestro_SKU!$A$2:$P$500,2,FALSE),"")</f>
        <v/>
      </c>
      <c r="J672" s="55" t="n"/>
      <c r="K672" s="44" t="n"/>
      <c r="L672" s="51">
        <f>IF(OR(J672="",K672=""),"",J672*K672)</f>
        <v/>
      </c>
      <c r="M672" s="51">
        <f>IF(L672="","",L672*Inicio!$B$13)</f>
        <v/>
      </c>
      <c r="N672" s="51">
        <f>IF(L672="","",L672+M672)</f>
        <v/>
      </c>
      <c r="O672" s="54" t="n"/>
      <c r="P672" s="43" t="n"/>
      <c r="Q672" s="44" t="n"/>
      <c r="R672" s="51">
        <f>IF(N672="","",MAX(N672-Q672,0))</f>
        <v/>
      </c>
      <c r="S672" s="48">
        <f>IF(A672="","",IF(OR(P672="Pagada",R672=0),"Pagada",IF(O672&lt;TODAY(),"Vencida",IF(O672&lt;=TODAY()+Inicio!$B$19,"Próxima a vencer","Vigente"))))</f>
        <v/>
      </c>
      <c r="T672" s="43" t="n"/>
      <c r="U672" s="68">
        <f>IF($B672="","",YEAR($B672))</f>
        <v/>
      </c>
      <c r="V672" s="68">
        <f>IF($B672="","",MONTH($B672))</f>
        <v/>
      </c>
      <c r="W672" s="68">
        <f>IF($B672="","",DAY($B672))</f>
        <v/>
      </c>
      <c r="X672" s="68">
        <f>IF($B672="","",YEAR($B672)&amp;"-"&amp;TEXT(MONTH($B672),"00"))</f>
        <v/>
      </c>
      <c r="Y672" s="68">
        <f>IF(OR($H672="",$J672=""),"",$J672*IFERROR(VLOOKUP($H672,Maestro_SKU!$A$2:$P$500,12,FALSE),1))</f>
        <v/>
      </c>
    </row>
    <row r="673">
      <c r="A673" s="43" t="n"/>
      <c r="B673" s="54" t="n"/>
      <c r="C673" s="43" t="n"/>
      <c r="D673" s="43" t="n"/>
      <c r="E673" s="48">
        <f>IFERROR(VLOOKUP(D673,Clientes_PDV!$A$2:$J$250,2,FALSE),"")</f>
        <v/>
      </c>
      <c r="F673" s="48">
        <f>IFERROR(VLOOKUP(D673,Clientes_PDV!$A$2:$J$250,3,FALSE),"")</f>
        <v/>
      </c>
      <c r="G673" s="48">
        <f>IFERROR(VLOOKUP(D673,Clientes_PDV!$A$2:$J$250,4,FALSE),"")</f>
        <v/>
      </c>
      <c r="H673" s="43" t="n"/>
      <c r="I673" s="48">
        <f>IFERROR(VLOOKUP(H673,Maestro_SKU!$A$2:$P$500,2,FALSE),"")</f>
        <v/>
      </c>
      <c r="J673" s="55" t="n"/>
      <c r="K673" s="44" t="n"/>
      <c r="L673" s="51">
        <f>IF(OR(J673="",K673=""),"",J673*K673)</f>
        <v/>
      </c>
      <c r="M673" s="51">
        <f>IF(L673="","",L673*Inicio!$B$13)</f>
        <v/>
      </c>
      <c r="N673" s="51">
        <f>IF(L673="","",L673+M673)</f>
        <v/>
      </c>
      <c r="O673" s="54" t="n"/>
      <c r="P673" s="43" t="n"/>
      <c r="Q673" s="44" t="n"/>
      <c r="R673" s="51">
        <f>IF(N673="","",MAX(N673-Q673,0))</f>
        <v/>
      </c>
      <c r="S673" s="48">
        <f>IF(A673="","",IF(OR(P673="Pagada",R673=0),"Pagada",IF(O673&lt;TODAY(),"Vencida",IF(O673&lt;=TODAY()+Inicio!$B$19,"Próxima a vencer","Vigente"))))</f>
        <v/>
      </c>
      <c r="T673" s="43" t="n"/>
      <c r="U673" s="68">
        <f>IF($B673="","",YEAR($B673))</f>
        <v/>
      </c>
      <c r="V673" s="68">
        <f>IF($B673="","",MONTH($B673))</f>
        <v/>
      </c>
      <c r="W673" s="68">
        <f>IF($B673="","",DAY($B673))</f>
        <v/>
      </c>
      <c r="X673" s="68">
        <f>IF($B673="","",YEAR($B673)&amp;"-"&amp;TEXT(MONTH($B673),"00"))</f>
        <v/>
      </c>
      <c r="Y673" s="68">
        <f>IF(OR($H673="",$J673=""),"",$J673*IFERROR(VLOOKUP($H673,Maestro_SKU!$A$2:$P$500,12,FALSE),1))</f>
        <v/>
      </c>
    </row>
    <row r="674">
      <c r="A674" s="43" t="n"/>
      <c r="B674" s="54" t="n"/>
      <c r="C674" s="43" t="n"/>
      <c r="D674" s="43" t="n"/>
      <c r="E674" s="48">
        <f>IFERROR(VLOOKUP(D674,Clientes_PDV!$A$2:$J$250,2,FALSE),"")</f>
        <v/>
      </c>
      <c r="F674" s="48">
        <f>IFERROR(VLOOKUP(D674,Clientes_PDV!$A$2:$J$250,3,FALSE),"")</f>
        <v/>
      </c>
      <c r="G674" s="48">
        <f>IFERROR(VLOOKUP(D674,Clientes_PDV!$A$2:$J$250,4,FALSE),"")</f>
        <v/>
      </c>
      <c r="H674" s="43" t="n"/>
      <c r="I674" s="48">
        <f>IFERROR(VLOOKUP(H674,Maestro_SKU!$A$2:$P$500,2,FALSE),"")</f>
        <v/>
      </c>
      <c r="J674" s="55" t="n"/>
      <c r="K674" s="44" t="n"/>
      <c r="L674" s="51">
        <f>IF(OR(J674="",K674=""),"",J674*K674)</f>
        <v/>
      </c>
      <c r="M674" s="51">
        <f>IF(L674="","",L674*Inicio!$B$13)</f>
        <v/>
      </c>
      <c r="N674" s="51">
        <f>IF(L674="","",L674+M674)</f>
        <v/>
      </c>
      <c r="O674" s="54" t="n"/>
      <c r="P674" s="43" t="n"/>
      <c r="Q674" s="44" t="n"/>
      <c r="R674" s="51">
        <f>IF(N674="","",MAX(N674-Q674,0))</f>
        <v/>
      </c>
      <c r="S674" s="48">
        <f>IF(A674="","",IF(OR(P674="Pagada",R674=0),"Pagada",IF(O674&lt;TODAY(),"Vencida",IF(O674&lt;=TODAY()+Inicio!$B$19,"Próxima a vencer","Vigente"))))</f>
        <v/>
      </c>
      <c r="T674" s="43" t="n"/>
      <c r="U674" s="68">
        <f>IF($B674="","",YEAR($B674))</f>
        <v/>
      </c>
      <c r="V674" s="68">
        <f>IF($B674="","",MONTH($B674))</f>
        <v/>
      </c>
      <c r="W674" s="68">
        <f>IF($B674="","",DAY($B674))</f>
        <v/>
      </c>
      <c r="X674" s="68">
        <f>IF($B674="","",YEAR($B674)&amp;"-"&amp;TEXT(MONTH($B674),"00"))</f>
        <v/>
      </c>
      <c r="Y674" s="68">
        <f>IF(OR($H674="",$J674=""),"",$J674*IFERROR(VLOOKUP($H674,Maestro_SKU!$A$2:$P$500,12,FALSE),1))</f>
        <v/>
      </c>
    </row>
    <row r="675">
      <c r="A675" s="43" t="n"/>
      <c r="B675" s="54" t="n"/>
      <c r="C675" s="43" t="n"/>
      <c r="D675" s="43" t="n"/>
      <c r="E675" s="48">
        <f>IFERROR(VLOOKUP(D675,Clientes_PDV!$A$2:$J$250,2,FALSE),"")</f>
        <v/>
      </c>
      <c r="F675" s="48">
        <f>IFERROR(VLOOKUP(D675,Clientes_PDV!$A$2:$J$250,3,FALSE),"")</f>
        <v/>
      </c>
      <c r="G675" s="48">
        <f>IFERROR(VLOOKUP(D675,Clientes_PDV!$A$2:$J$250,4,FALSE),"")</f>
        <v/>
      </c>
      <c r="H675" s="43" t="n"/>
      <c r="I675" s="48">
        <f>IFERROR(VLOOKUP(H675,Maestro_SKU!$A$2:$P$500,2,FALSE),"")</f>
        <v/>
      </c>
      <c r="J675" s="55" t="n"/>
      <c r="K675" s="44" t="n"/>
      <c r="L675" s="51">
        <f>IF(OR(J675="",K675=""),"",J675*K675)</f>
        <v/>
      </c>
      <c r="M675" s="51">
        <f>IF(L675="","",L675*Inicio!$B$13)</f>
        <v/>
      </c>
      <c r="N675" s="51">
        <f>IF(L675="","",L675+M675)</f>
        <v/>
      </c>
      <c r="O675" s="54" t="n"/>
      <c r="P675" s="43" t="n"/>
      <c r="Q675" s="44" t="n"/>
      <c r="R675" s="51">
        <f>IF(N675="","",MAX(N675-Q675,0))</f>
        <v/>
      </c>
      <c r="S675" s="48">
        <f>IF(A675="","",IF(OR(P675="Pagada",R675=0),"Pagada",IF(O675&lt;TODAY(),"Vencida",IF(O675&lt;=TODAY()+Inicio!$B$19,"Próxima a vencer","Vigente"))))</f>
        <v/>
      </c>
      <c r="T675" s="43" t="n"/>
      <c r="U675" s="68">
        <f>IF($B675="","",YEAR($B675))</f>
        <v/>
      </c>
      <c r="V675" s="68">
        <f>IF($B675="","",MONTH($B675))</f>
        <v/>
      </c>
      <c r="W675" s="68">
        <f>IF($B675="","",DAY($B675))</f>
        <v/>
      </c>
      <c r="X675" s="68">
        <f>IF($B675="","",YEAR($B675)&amp;"-"&amp;TEXT(MONTH($B675),"00"))</f>
        <v/>
      </c>
      <c r="Y675" s="68">
        <f>IF(OR($H675="",$J675=""),"",$J675*IFERROR(VLOOKUP($H675,Maestro_SKU!$A$2:$P$500,12,FALSE),1))</f>
        <v/>
      </c>
    </row>
    <row r="676">
      <c r="A676" s="43" t="n"/>
      <c r="B676" s="54" t="n"/>
      <c r="C676" s="43" t="n"/>
      <c r="D676" s="43" t="n"/>
      <c r="E676" s="48">
        <f>IFERROR(VLOOKUP(D676,Clientes_PDV!$A$2:$J$250,2,FALSE),"")</f>
        <v/>
      </c>
      <c r="F676" s="48">
        <f>IFERROR(VLOOKUP(D676,Clientes_PDV!$A$2:$J$250,3,FALSE),"")</f>
        <v/>
      </c>
      <c r="G676" s="48">
        <f>IFERROR(VLOOKUP(D676,Clientes_PDV!$A$2:$J$250,4,FALSE),"")</f>
        <v/>
      </c>
      <c r="H676" s="43" t="n"/>
      <c r="I676" s="48">
        <f>IFERROR(VLOOKUP(H676,Maestro_SKU!$A$2:$P$500,2,FALSE),"")</f>
        <v/>
      </c>
      <c r="J676" s="55" t="n"/>
      <c r="K676" s="44" t="n"/>
      <c r="L676" s="51">
        <f>IF(OR(J676="",K676=""),"",J676*K676)</f>
        <v/>
      </c>
      <c r="M676" s="51">
        <f>IF(L676="","",L676*Inicio!$B$13)</f>
        <v/>
      </c>
      <c r="N676" s="51">
        <f>IF(L676="","",L676+M676)</f>
        <v/>
      </c>
      <c r="O676" s="54" t="n"/>
      <c r="P676" s="43" t="n"/>
      <c r="Q676" s="44" t="n"/>
      <c r="R676" s="51">
        <f>IF(N676="","",MAX(N676-Q676,0))</f>
        <v/>
      </c>
      <c r="S676" s="48">
        <f>IF(A676="","",IF(OR(P676="Pagada",R676=0),"Pagada",IF(O676&lt;TODAY(),"Vencida",IF(O676&lt;=TODAY()+Inicio!$B$19,"Próxima a vencer","Vigente"))))</f>
        <v/>
      </c>
      <c r="T676" s="43" t="n"/>
      <c r="U676" s="68">
        <f>IF($B676="","",YEAR($B676))</f>
        <v/>
      </c>
      <c r="V676" s="68">
        <f>IF($B676="","",MONTH($B676))</f>
        <v/>
      </c>
      <c r="W676" s="68">
        <f>IF($B676="","",DAY($B676))</f>
        <v/>
      </c>
      <c r="X676" s="68">
        <f>IF($B676="","",YEAR($B676)&amp;"-"&amp;TEXT(MONTH($B676),"00"))</f>
        <v/>
      </c>
      <c r="Y676" s="68">
        <f>IF(OR($H676="",$J676=""),"",$J676*IFERROR(VLOOKUP($H676,Maestro_SKU!$A$2:$P$500,12,FALSE),1))</f>
        <v/>
      </c>
    </row>
    <row r="677">
      <c r="A677" s="43" t="n"/>
      <c r="B677" s="54" t="n"/>
      <c r="C677" s="43" t="n"/>
      <c r="D677" s="43" t="n"/>
      <c r="E677" s="48">
        <f>IFERROR(VLOOKUP(D677,Clientes_PDV!$A$2:$J$250,2,FALSE),"")</f>
        <v/>
      </c>
      <c r="F677" s="48">
        <f>IFERROR(VLOOKUP(D677,Clientes_PDV!$A$2:$J$250,3,FALSE),"")</f>
        <v/>
      </c>
      <c r="G677" s="48">
        <f>IFERROR(VLOOKUP(D677,Clientes_PDV!$A$2:$J$250,4,FALSE),"")</f>
        <v/>
      </c>
      <c r="H677" s="43" t="n"/>
      <c r="I677" s="48">
        <f>IFERROR(VLOOKUP(H677,Maestro_SKU!$A$2:$P$500,2,FALSE),"")</f>
        <v/>
      </c>
      <c r="J677" s="55" t="n"/>
      <c r="K677" s="44" t="n"/>
      <c r="L677" s="51">
        <f>IF(OR(J677="",K677=""),"",J677*K677)</f>
        <v/>
      </c>
      <c r="M677" s="51">
        <f>IF(L677="","",L677*Inicio!$B$13)</f>
        <v/>
      </c>
      <c r="N677" s="51">
        <f>IF(L677="","",L677+M677)</f>
        <v/>
      </c>
      <c r="O677" s="54" t="n"/>
      <c r="P677" s="43" t="n"/>
      <c r="Q677" s="44" t="n"/>
      <c r="R677" s="51">
        <f>IF(N677="","",MAX(N677-Q677,0))</f>
        <v/>
      </c>
      <c r="S677" s="48">
        <f>IF(A677="","",IF(OR(P677="Pagada",R677=0),"Pagada",IF(O677&lt;TODAY(),"Vencida",IF(O677&lt;=TODAY()+Inicio!$B$19,"Próxima a vencer","Vigente"))))</f>
        <v/>
      </c>
      <c r="T677" s="43" t="n"/>
      <c r="U677" s="68">
        <f>IF($B677="","",YEAR($B677))</f>
        <v/>
      </c>
      <c r="V677" s="68">
        <f>IF($B677="","",MONTH($B677))</f>
        <v/>
      </c>
      <c r="W677" s="68">
        <f>IF($B677="","",DAY($B677))</f>
        <v/>
      </c>
      <c r="X677" s="68">
        <f>IF($B677="","",YEAR($B677)&amp;"-"&amp;TEXT(MONTH($B677),"00"))</f>
        <v/>
      </c>
      <c r="Y677" s="68">
        <f>IF(OR($H677="",$J677=""),"",$J677*IFERROR(VLOOKUP($H677,Maestro_SKU!$A$2:$P$500,12,FALSE),1))</f>
        <v/>
      </c>
    </row>
    <row r="678">
      <c r="A678" s="43" t="n"/>
      <c r="B678" s="54" t="n"/>
      <c r="C678" s="43" t="n"/>
      <c r="D678" s="43" t="n"/>
      <c r="E678" s="48">
        <f>IFERROR(VLOOKUP(D678,Clientes_PDV!$A$2:$J$250,2,FALSE),"")</f>
        <v/>
      </c>
      <c r="F678" s="48">
        <f>IFERROR(VLOOKUP(D678,Clientes_PDV!$A$2:$J$250,3,FALSE),"")</f>
        <v/>
      </c>
      <c r="G678" s="48">
        <f>IFERROR(VLOOKUP(D678,Clientes_PDV!$A$2:$J$250,4,FALSE),"")</f>
        <v/>
      </c>
      <c r="H678" s="43" t="n"/>
      <c r="I678" s="48">
        <f>IFERROR(VLOOKUP(H678,Maestro_SKU!$A$2:$P$500,2,FALSE),"")</f>
        <v/>
      </c>
      <c r="J678" s="55" t="n"/>
      <c r="K678" s="44" t="n"/>
      <c r="L678" s="51">
        <f>IF(OR(J678="",K678=""),"",J678*K678)</f>
        <v/>
      </c>
      <c r="M678" s="51">
        <f>IF(L678="","",L678*Inicio!$B$13)</f>
        <v/>
      </c>
      <c r="N678" s="51">
        <f>IF(L678="","",L678+M678)</f>
        <v/>
      </c>
      <c r="O678" s="54" t="n"/>
      <c r="P678" s="43" t="n"/>
      <c r="Q678" s="44" t="n"/>
      <c r="R678" s="51">
        <f>IF(N678="","",MAX(N678-Q678,0))</f>
        <v/>
      </c>
      <c r="S678" s="48">
        <f>IF(A678="","",IF(OR(P678="Pagada",R678=0),"Pagada",IF(O678&lt;TODAY(),"Vencida",IF(O678&lt;=TODAY()+Inicio!$B$19,"Próxima a vencer","Vigente"))))</f>
        <v/>
      </c>
      <c r="T678" s="43" t="n"/>
      <c r="U678" s="68">
        <f>IF($B678="","",YEAR($B678))</f>
        <v/>
      </c>
      <c r="V678" s="68">
        <f>IF($B678="","",MONTH($B678))</f>
        <v/>
      </c>
      <c r="W678" s="68">
        <f>IF($B678="","",DAY($B678))</f>
        <v/>
      </c>
      <c r="X678" s="68">
        <f>IF($B678="","",YEAR($B678)&amp;"-"&amp;TEXT(MONTH($B678),"00"))</f>
        <v/>
      </c>
      <c r="Y678" s="68">
        <f>IF(OR($H678="",$J678=""),"",$J678*IFERROR(VLOOKUP($H678,Maestro_SKU!$A$2:$P$500,12,FALSE),1))</f>
        <v/>
      </c>
    </row>
    <row r="679">
      <c r="A679" s="43" t="n"/>
      <c r="B679" s="54" t="n"/>
      <c r="C679" s="43" t="n"/>
      <c r="D679" s="43" t="n"/>
      <c r="E679" s="48">
        <f>IFERROR(VLOOKUP(D679,Clientes_PDV!$A$2:$J$250,2,FALSE),"")</f>
        <v/>
      </c>
      <c r="F679" s="48">
        <f>IFERROR(VLOOKUP(D679,Clientes_PDV!$A$2:$J$250,3,FALSE),"")</f>
        <v/>
      </c>
      <c r="G679" s="48">
        <f>IFERROR(VLOOKUP(D679,Clientes_PDV!$A$2:$J$250,4,FALSE),"")</f>
        <v/>
      </c>
      <c r="H679" s="43" t="n"/>
      <c r="I679" s="48">
        <f>IFERROR(VLOOKUP(H679,Maestro_SKU!$A$2:$P$500,2,FALSE),"")</f>
        <v/>
      </c>
      <c r="J679" s="55" t="n"/>
      <c r="K679" s="44" t="n"/>
      <c r="L679" s="51">
        <f>IF(OR(J679="",K679=""),"",J679*K679)</f>
        <v/>
      </c>
      <c r="M679" s="51">
        <f>IF(L679="","",L679*Inicio!$B$13)</f>
        <v/>
      </c>
      <c r="N679" s="51">
        <f>IF(L679="","",L679+M679)</f>
        <v/>
      </c>
      <c r="O679" s="54" t="n"/>
      <c r="P679" s="43" t="n"/>
      <c r="Q679" s="44" t="n"/>
      <c r="R679" s="51">
        <f>IF(N679="","",MAX(N679-Q679,0))</f>
        <v/>
      </c>
      <c r="S679" s="48">
        <f>IF(A679="","",IF(OR(P679="Pagada",R679=0),"Pagada",IF(O679&lt;TODAY(),"Vencida",IF(O679&lt;=TODAY()+Inicio!$B$19,"Próxima a vencer","Vigente"))))</f>
        <v/>
      </c>
      <c r="T679" s="43" t="n"/>
      <c r="U679" s="68">
        <f>IF($B679="","",YEAR($B679))</f>
        <v/>
      </c>
      <c r="V679" s="68">
        <f>IF($B679="","",MONTH($B679))</f>
        <v/>
      </c>
      <c r="W679" s="68">
        <f>IF($B679="","",DAY($B679))</f>
        <v/>
      </c>
      <c r="X679" s="68">
        <f>IF($B679="","",YEAR($B679)&amp;"-"&amp;TEXT(MONTH($B679),"00"))</f>
        <v/>
      </c>
      <c r="Y679" s="68">
        <f>IF(OR($H679="",$J679=""),"",$J679*IFERROR(VLOOKUP($H679,Maestro_SKU!$A$2:$P$500,12,FALSE),1))</f>
        <v/>
      </c>
    </row>
    <row r="680">
      <c r="A680" s="43" t="n"/>
      <c r="B680" s="54" t="n"/>
      <c r="C680" s="43" t="n"/>
      <c r="D680" s="43" t="n"/>
      <c r="E680" s="48">
        <f>IFERROR(VLOOKUP(D680,Clientes_PDV!$A$2:$J$250,2,FALSE),"")</f>
        <v/>
      </c>
      <c r="F680" s="48">
        <f>IFERROR(VLOOKUP(D680,Clientes_PDV!$A$2:$J$250,3,FALSE),"")</f>
        <v/>
      </c>
      <c r="G680" s="48">
        <f>IFERROR(VLOOKUP(D680,Clientes_PDV!$A$2:$J$250,4,FALSE),"")</f>
        <v/>
      </c>
      <c r="H680" s="43" t="n"/>
      <c r="I680" s="48">
        <f>IFERROR(VLOOKUP(H680,Maestro_SKU!$A$2:$P$500,2,FALSE),"")</f>
        <v/>
      </c>
      <c r="J680" s="55" t="n"/>
      <c r="K680" s="44" t="n"/>
      <c r="L680" s="51">
        <f>IF(OR(J680="",K680=""),"",J680*K680)</f>
        <v/>
      </c>
      <c r="M680" s="51">
        <f>IF(L680="","",L680*Inicio!$B$13)</f>
        <v/>
      </c>
      <c r="N680" s="51">
        <f>IF(L680="","",L680+M680)</f>
        <v/>
      </c>
      <c r="O680" s="54" t="n"/>
      <c r="P680" s="43" t="n"/>
      <c r="Q680" s="44" t="n"/>
      <c r="R680" s="51">
        <f>IF(N680="","",MAX(N680-Q680,0))</f>
        <v/>
      </c>
      <c r="S680" s="48">
        <f>IF(A680="","",IF(OR(P680="Pagada",R680=0),"Pagada",IF(O680&lt;TODAY(),"Vencida",IF(O680&lt;=TODAY()+Inicio!$B$19,"Próxima a vencer","Vigente"))))</f>
        <v/>
      </c>
      <c r="T680" s="43" t="n"/>
      <c r="U680" s="68">
        <f>IF($B680="","",YEAR($B680))</f>
        <v/>
      </c>
      <c r="V680" s="68">
        <f>IF($B680="","",MONTH($B680))</f>
        <v/>
      </c>
      <c r="W680" s="68">
        <f>IF($B680="","",DAY($B680))</f>
        <v/>
      </c>
      <c r="X680" s="68">
        <f>IF($B680="","",YEAR($B680)&amp;"-"&amp;TEXT(MONTH($B680),"00"))</f>
        <v/>
      </c>
      <c r="Y680" s="68">
        <f>IF(OR($H680="",$J680=""),"",$J680*IFERROR(VLOOKUP($H680,Maestro_SKU!$A$2:$P$500,12,FALSE),1))</f>
        <v/>
      </c>
    </row>
    <row r="681">
      <c r="A681" s="43" t="n"/>
      <c r="B681" s="54" t="n"/>
      <c r="C681" s="43" t="n"/>
      <c r="D681" s="43" t="n"/>
      <c r="E681" s="48">
        <f>IFERROR(VLOOKUP(D681,Clientes_PDV!$A$2:$J$250,2,FALSE),"")</f>
        <v/>
      </c>
      <c r="F681" s="48">
        <f>IFERROR(VLOOKUP(D681,Clientes_PDV!$A$2:$J$250,3,FALSE),"")</f>
        <v/>
      </c>
      <c r="G681" s="48">
        <f>IFERROR(VLOOKUP(D681,Clientes_PDV!$A$2:$J$250,4,FALSE),"")</f>
        <v/>
      </c>
      <c r="H681" s="43" t="n"/>
      <c r="I681" s="48">
        <f>IFERROR(VLOOKUP(H681,Maestro_SKU!$A$2:$P$500,2,FALSE),"")</f>
        <v/>
      </c>
      <c r="J681" s="55" t="n"/>
      <c r="K681" s="44" t="n"/>
      <c r="L681" s="51">
        <f>IF(OR(J681="",K681=""),"",J681*K681)</f>
        <v/>
      </c>
      <c r="M681" s="51">
        <f>IF(L681="","",L681*Inicio!$B$13)</f>
        <v/>
      </c>
      <c r="N681" s="51">
        <f>IF(L681="","",L681+M681)</f>
        <v/>
      </c>
      <c r="O681" s="54" t="n"/>
      <c r="P681" s="43" t="n"/>
      <c r="Q681" s="44" t="n"/>
      <c r="R681" s="51">
        <f>IF(N681="","",MAX(N681-Q681,0))</f>
        <v/>
      </c>
      <c r="S681" s="48">
        <f>IF(A681="","",IF(OR(P681="Pagada",R681=0),"Pagada",IF(O681&lt;TODAY(),"Vencida",IF(O681&lt;=TODAY()+Inicio!$B$19,"Próxima a vencer","Vigente"))))</f>
        <v/>
      </c>
      <c r="T681" s="43" t="n"/>
      <c r="U681" s="68">
        <f>IF($B681="","",YEAR($B681))</f>
        <v/>
      </c>
      <c r="V681" s="68">
        <f>IF($B681="","",MONTH($B681))</f>
        <v/>
      </c>
      <c r="W681" s="68">
        <f>IF($B681="","",DAY($B681))</f>
        <v/>
      </c>
      <c r="X681" s="68">
        <f>IF($B681="","",YEAR($B681)&amp;"-"&amp;TEXT(MONTH($B681),"00"))</f>
        <v/>
      </c>
      <c r="Y681" s="68">
        <f>IF(OR($H681="",$J681=""),"",$J681*IFERROR(VLOOKUP($H681,Maestro_SKU!$A$2:$P$500,12,FALSE),1))</f>
        <v/>
      </c>
    </row>
    <row r="682">
      <c r="A682" s="43" t="n"/>
      <c r="B682" s="54" t="n"/>
      <c r="C682" s="43" t="n"/>
      <c r="D682" s="43" t="n"/>
      <c r="E682" s="48">
        <f>IFERROR(VLOOKUP(D682,Clientes_PDV!$A$2:$J$250,2,FALSE),"")</f>
        <v/>
      </c>
      <c r="F682" s="48">
        <f>IFERROR(VLOOKUP(D682,Clientes_PDV!$A$2:$J$250,3,FALSE),"")</f>
        <v/>
      </c>
      <c r="G682" s="48">
        <f>IFERROR(VLOOKUP(D682,Clientes_PDV!$A$2:$J$250,4,FALSE),"")</f>
        <v/>
      </c>
      <c r="H682" s="43" t="n"/>
      <c r="I682" s="48">
        <f>IFERROR(VLOOKUP(H682,Maestro_SKU!$A$2:$P$500,2,FALSE),"")</f>
        <v/>
      </c>
      <c r="J682" s="55" t="n"/>
      <c r="K682" s="44" t="n"/>
      <c r="L682" s="51">
        <f>IF(OR(J682="",K682=""),"",J682*K682)</f>
        <v/>
      </c>
      <c r="M682" s="51">
        <f>IF(L682="","",L682*Inicio!$B$13)</f>
        <v/>
      </c>
      <c r="N682" s="51">
        <f>IF(L682="","",L682+M682)</f>
        <v/>
      </c>
      <c r="O682" s="54" t="n"/>
      <c r="P682" s="43" t="n"/>
      <c r="Q682" s="44" t="n"/>
      <c r="R682" s="51">
        <f>IF(N682="","",MAX(N682-Q682,0))</f>
        <v/>
      </c>
      <c r="S682" s="48">
        <f>IF(A682="","",IF(OR(P682="Pagada",R682=0),"Pagada",IF(O682&lt;TODAY(),"Vencida",IF(O682&lt;=TODAY()+Inicio!$B$19,"Próxima a vencer","Vigente"))))</f>
        <v/>
      </c>
      <c r="T682" s="43" t="n"/>
      <c r="U682" s="68">
        <f>IF($B682="","",YEAR($B682))</f>
        <v/>
      </c>
      <c r="V682" s="68">
        <f>IF($B682="","",MONTH($B682))</f>
        <v/>
      </c>
      <c r="W682" s="68">
        <f>IF($B682="","",DAY($B682))</f>
        <v/>
      </c>
      <c r="X682" s="68">
        <f>IF($B682="","",YEAR($B682)&amp;"-"&amp;TEXT(MONTH($B682),"00"))</f>
        <v/>
      </c>
      <c r="Y682" s="68">
        <f>IF(OR($H682="",$J682=""),"",$J682*IFERROR(VLOOKUP($H682,Maestro_SKU!$A$2:$P$500,12,FALSE),1))</f>
        <v/>
      </c>
    </row>
    <row r="683">
      <c r="A683" s="43" t="n"/>
      <c r="B683" s="54" t="n"/>
      <c r="C683" s="43" t="n"/>
      <c r="D683" s="43" t="n"/>
      <c r="E683" s="48">
        <f>IFERROR(VLOOKUP(D683,Clientes_PDV!$A$2:$J$250,2,FALSE),"")</f>
        <v/>
      </c>
      <c r="F683" s="48">
        <f>IFERROR(VLOOKUP(D683,Clientes_PDV!$A$2:$J$250,3,FALSE),"")</f>
        <v/>
      </c>
      <c r="G683" s="48">
        <f>IFERROR(VLOOKUP(D683,Clientes_PDV!$A$2:$J$250,4,FALSE),"")</f>
        <v/>
      </c>
      <c r="H683" s="43" t="n"/>
      <c r="I683" s="48">
        <f>IFERROR(VLOOKUP(H683,Maestro_SKU!$A$2:$P$500,2,FALSE),"")</f>
        <v/>
      </c>
      <c r="J683" s="55" t="n"/>
      <c r="K683" s="44" t="n"/>
      <c r="L683" s="51">
        <f>IF(OR(J683="",K683=""),"",J683*K683)</f>
        <v/>
      </c>
      <c r="M683" s="51">
        <f>IF(L683="","",L683*Inicio!$B$13)</f>
        <v/>
      </c>
      <c r="N683" s="51">
        <f>IF(L683="","",L683+M683)</f>
        <v/>
      </c>
      <c r="O683" s="54" t="n"/>
      <c r="P683" s="43" t="n"/>
      <c r="Q683" s="44" t="n"/>
      <c r="R683" s="51">
        <f>IF(N683="","",MAX(N683-Q683,0))</f>
        <v/>
      </c>
      <c r="S683" s="48">
        <f>IF(A683="","",IF(OR(P683="Pagada",R683=0),"Pagada",IF(O683&lt;TODAY(),"Vencida",IF(O683&lt;=TODAY()+Inicio!$B$19,"Próxima a vencer","Vigente"))))</f>
        <v/>
      </c>
      <c r="T683" s="43" t="n"/>
      <c r="U683" s="68">
        <f>IF($B683="","",YEAR($B683))</f>
        <v/>
      </c>
      <c r="V683" s="68">
        <f>IF($B683="","",MONTH($B683))</f>
        <v/>
      </c>
      <c r="W683" s="68">
        <f>IF($B683="","",DAY($B683))</f>
        <v/>
      </c>
      <c r="X683" s="68">
        <f>IF($B683="","",YEAR($B683)&amp;"-"&amp;TEXT(MONTH($B683),"00"))</f>
        <v/>
      </c>
      <c r="Y683" s="68">
        <f>IF(OR($H683="",$J683=""),"",$J683*IFERROR(VLOOKUP($H683,Maestro_SKU!$A$2:$P$500,12,FALSE),1))</f>
        <v/>
      </c>
    </row>
    <row r="684">
      <c r="A684" s="43" t="n"/>
      <c r="B684" s="54" t="n"/>
      <c r="C684" s="43" t="n"/>
      <c r="D684" s="43" t="n"/>
      <c r="E684" s="48">
        <f>IFERROR(VLOOKUP(D684,Clientes_PDV!$A$2:$J$250,2,FALSE),"")</f>
        <v/>
      </c>
      <c r="F684" s="48">
        <f>IFERROR(VLOOKUP(D684,Clientes_PDV!$A$2:$J$250,3,FALSE),"")</f>
        <v/>
      </c>
      <c r="G684" s="48">
        <f>IFERROR(VLOOKUP(D684,Clientes_PDV!$A$2:$J$250,4,FALSE),"")</f>
        <v/>
      </c>
      <c r="H684" s="43" t="n"/>
      <c r="I684" s="48">
        <f>IFERROR(VLOOKUP(H684,Maestro_SKU!$A$2:$P$500,2,FALSE),"")</f>
        <v/>
      </c>
      <c r="J684" s="55" t="n"/>
      <c r="K684" s="44" t="n"/>
      <c r="L684" s="51">
        <f>IF(OR(J684="",K684=""),"",J684*K684)</f>
        <v/>
      </c>
      <c r="M684" s="51">
        <f>IF(L684="","",L684*Inicio!$B$13)</f>
        <v/>
      </c>
      <c r="N684" s="51">
        <f>IF(L684="","",L684+M684)</f>
        <v/>
      </c>
      <c r="O684" s="54" t="n"/>
      <c r="P684" s="43" t="n"/>
      <c r="Q684" s="44" t="n"/>
      <c r="R684" s="51">
        <f>IF(N684="","",MAX(N684-Q684,0))</f>
        <v/>
      </c>
      <c r="S684" s="48">
        <f>IF(A684="","",IF(OR(P684="Pagada",R684=0),"Pagada",IF(O684&lt;TODAY(),"Vencida",IF(O684&lt;=TODAY()+Inicio!$B$19,"Próxima a vencer","Vigente"))))</f>
        <v/>
      </c>
      <c r="T684" s="43" t="n"/>
      <c r="U684" s="68">
        <f>IF($B684="","",YEAR($B684))</f>
        <v/>
      </c>
      <c r="V684" s="68">
        <f>IF($B684="","",MONTH($B684))</f>
        <v/>
      </c>
      <c r="W684" s="68">
        <f>IF($B684="","",DAY($B684))</f>
        <v/>
      </c>
      <c r="X684" s="68">
        <f>IF($B684="","",YEAR($B684)&amp;"-"&amp;TEXT(MONTH($B684),"00"))</f>
        <v/>
      </c>
      <c r="Y684" s="68">
        <f>IF(OR($H684="",$J684=""),"",$J684*IFERROR(VLOOKUP($H684,Maestro_SKU!$A$2:$P$500,12,FALSE),1))</f>
        <v/>
      </c>
    </row>
    <row r="685">
      <c r="A685" s="43" t="n"/>
      <c r="B685" s="54" t="n"/>
      <c r="C685" s="43" t="n"/>
      <c r="D685" s="43" t="n"/>
      <c r="E685" s="48">
        <f>IFERROR(VLOOKUP(D685,Clientes_PDV!$A$2:$J$250,2,FALSE),"")</f>
        <v/>
      </c>
      <c r="F685" s="48">
        <f>IFERROR(VLOOKUP(D685,Clientes_PDV!$A$2:$J$250,3,FALSE),"")</f>
        <v/>
      </c>
      <c r="G685" s="48">
        <f>IFERROR(VLOOKUP(D685,Clientes_PDV!$A$2:$J$250,4,FALSE),"")</f>
        <v/>
      </c>
      <c r="H685" s="43" t="n"/>
      <c r="I685" s="48">
        <f>IFERROR(VLOOKUP(H685,Maestro_SKU!$A$2:$P$500,2,FALSE),"")</f>
        <v/>
      </c>
      <c r="J685" s="55" t="n"/>
      <c r="K685" s="44" t="n"/>
      <c r="L685" s="51">
        <f>IF(OR(J685="",K685=""),"",J685*K685)</f>
        <v/>
      </c>
      <c r="M685" s="51">
        <f>IF(L685="","",L685*Inicio!$B$13)</f>
        <v/>
      </c>
      <c r="N685" s="51">
        <f>IF(L685="","",L685+M685)</f>
        <v/>
      </c>
      <c r="O685" s="54" t="n"/>
      <c r="P685" s="43" t="n"/>
      <c r="Q685" s="44" t="n"/>
      <c r="R685" s="51">
        <f>IF(N685="","",MAX(N685-Q685,0))</f>
        <v/>
      </c>
      <c r="S685" s="48">
        <f>IF(A685="","",IF(OR(P685="Pagada",R685=0),"Pagada",IF(O685&lt;TODAY(),"Vencida",IF(O685&lt;=TODAY()+Inicio!$B$19,"Próxima a vencer","Vigente"))))</f>
        <v/>
      </c>
      <c r="T685" s="43" t="n"/>
      <c r="U685" s="68">
        <f>IF($B685="","",YEAR($B685))</f>
        <v/>
      </c>
      <c r="V685" s="68">
        <f>IF($B685="","",MONTH($B685))</f>
        <v/>
      </c>
      <c r="W685" s="68">
        <f>IF($B685="","",DAY($B685))</f>
        <v/>
      </c>
      <c r="X685" s="68">
        <f>IF($B685="","",YEAR($B685)&amp;"-"&amp;TEXT(MONTH($B685),"00"))</f>
        <v/>
      </c>
      <c r="Y685" s="68">
        <f>IF(OR($H685="",$J685=""),"",$J685*IFERROR(VLOOKUP($H685,Maestro_SKU!$A$2:$P$500,12,FALSE),1))</f>
        <v/>
      </c>
    </row>
    <row r="686">
      <c r="A686" s="43" t="n"/>
      <c r="B686" s="54" t="n"/>
      <c r="C686" s="43" t="n"/>
      <c r="D686" s="43" t="n"/>
      <c r="E686" s="48">
        <f>IFERROR(VLOOKUP(D686,Clientes_PDV!$A$2:$J$250,2,FALSE),"")</f>
        <v/>
      </c>
      <c r="F686" s="48">
        <f>IFERROR(VLOOKUP(D686,Clientes_PDV!$A$2:$J$250,3,FALSE),"")</f>
        <v/>
      </c>
      <c r="G686" s="48">
        <f>IFERROR(VLOOKUP(D686,Clientes_PDV!$A$2:$J$250,4,FALSE),"")</f>
        <v/>
      </c>
      <c r="H686" s="43" t="n"/>
      <c r="I686" s="48">
        <f>IFERROR(VLOOKUP(H686,Maestro_SKU!$A$2:$P$500,2,FALSE),"")</f>
        <v/>
      </c>
      <c r="J686" s="55" t="n"/>
      <c r="K686" s="44" t="n"/>
      <c r="L686" s="51">
        <f>IF(OR(J686="",K686=""),"",J686*K686)</f>
        <v/>
      </c>
      <c r="M686" s="51">
        <f>IF(L686="","",L686*Inicio!$B$13)</f>
        <v/>
      </c>
      <c r="N686" s="51">
        <f>IF(L686="","",L686+M686)</f>
        <v/>
      </c>
      <c r="O686" s="54" t="n"/>
      <c r="P686" s="43" t="n"/>
      <c r="Q686" s="44" t="n"/>
      <c r="R686" s="51">
        <f>IF(N686="","",MAX(N686-Q686,0))</f>
        <v/>
      </c>
      <c r="S686" s="48">
        <f>IF(A686="","",IF(OR(P686="Pagada",R686=0),"Pagada",IF(O686&lt;TODAY(),"Vencida",IF(O686&lt;=TODAY()+Inicio!$B$19,"Próxima a vencer","Vigente"))))</f>
        <v/>
      </c>
      <c r="T686" s="43" t="n"/>
      <c r="U686" s="68">
        <f>IF($B686="","",YEAR($B686))</f>
        <v/>
      </c>
      <c r="V686" s="68">
        <f>IF($B686="","",MONTH($B686))</f>
        <v/>
      </c>
      <c r="W686" s="68">
        <f>IF($B686="","",DAY($B686))</f>
        <v/>
      </c>
      <c r="X686" s="68">
        <f>IF($B686="","",YEAR($B686)&amp;"-"&amp;TEXT(MONTH($B686),"00"))</f>
        <v/>
      </c>
      <c r="Y686" s="68">
        <f>IF(OR($H686="",$J686=""),"",$J686*IFERROR(VLOOKUP($H686,Maestro_SKU!$A$2:$P$500,12,FALSE),1))</f>
        <v/>
      </c>
    </row>
    <row r="687">
      <c r="A687" s="43" t="n"/>
      <c r="B687" s="54" t="n"/>
      <c r="C687" s="43" t="n"/>
      <c r="D687" s="43" t="n"/>
      <c r="E687" s="48">
        <f>IFERROR(VLOOKUP(D687,Clientes_PDV!$A$2:$J$250,2,FALSE),"")</f>
        <v/>
      </c>
      <c r="F687" s="48">
        <f>IFERROR(VLOOKUP(D687,Clientes_PDV!$A$2:$J$250,3,FALSE),"")</f>
        <v/>
      </c>
      <c r="G687" s="48">
        <f>IFERROR(VLOOKUP(D687,Clientes_PDV!$A$2:$J$250,4,FALSE),"")</f>
        <v/>
      </c>
      <c r="H687" s="43" t="n"/>
      <c r="I687" s="48">
        <f>IFERROR(VLOOKUP(H687,Maestro_SKU!$A$2:$P$500,2,FALSE),"")</f>
        <v/>
      </c>
      <c r="J687" s="55" t="n"/>
      <c r="K687" s="44" t="n"/>
      <c r="L687" s="51">
        <f>IF(OR(J687="",K687=""),"",J687*K687)</f>
        <v/>
      </c>
      <c r="M687" s="51">
        <f>IF(L687="","",L687*Inicio!$B$13)</f>
        <v/>
      </c>
      <c r="N687" s="51">
        <f>IF(L687="","",L687+M687)</f>
        <v/>
      </c>
      <c r="O687" s="54" t="n"/>
      <c r="P687" s="43" t="n"/>
      <c r="Q687" s="44" t="n"/>
      <c r="R687" s="51">
        <f>IF(N687="","",MAX(N687-Q687,0))</f>
        <v/>
      </c>
      <c r="S687" s="48">
        <f>IF(A687="","",IF(OR(P687="Pagada",R687=0),"Pagada",IF(O687&lt;TODAY(),"Vencida",IF(O687&lt;=TODAY()+Inicio!$B$19,"Próxima a vencer","Vigente"))))</f>
        <v/>
      </c>
      <c r="T687" s="43" t="n"/>
      <c r="U687" s="68">
        <f>IF($B687="","",YEAR($B687))</f>
        <v/>
      </c>
      <c r="V687" s="68">
        <f>IF($B687="","",MONTH($B687))</f>
        <v/>
      </c>
      <c r="W687" s="68">
        <f>IF($B687="","",DAY($B687))</f>
        <v/>
      </c>
      <c r="X687" s="68">
        <f>IF($B687="","",YEAR($B687)&amp;"-"&amp;TEXT(MONTH($B687),"00"))</f>
        <v/>
      </c>
      <c r="Y687" s="68">
        <f>IF(OR($H687="",$J687=""),"",$J687*IFERROR(VLOOKUP($H687,Maestro_SKU!$A$2:$P$500,12,FALSE),1))</f>
        <v/>
      </c>
    </row>
    <row r="688">
      <c r="A688" s="43" t="n"/>
      <c r="B688" s="54" t="n"/>
      <c r="C688" s="43" t="n"/>
      <c r="D688" s="43" t="n"/>
      <c r="E688" s="48">
        <f>IFERROR(VLOOKUP(D688,Clientes_PDV!$A$2:$J$250,2,FALSE),"")</f>
        <v/>
      </c>
      <c r="F688" s="48">
        <f>IFERROR(VLOOKUP(D688,Clientes_PDV!$A$2:$J$250,3,FALSE),"")</f>
        <v/>
      </c>
      <c r="G688" s="48">
        <f>IFERROR(VLOOKUP(D688,Clientes_PDV!$A$2:$J$250,4,FALSE),"")</f>
        <v/>
      </c>
      <c r="H688" s="43" t="n"/>
      <c r="I688" s="48">
        <f>IFERROR(VLOOKUP(H688,Maestro_SKU!$A$2:$P$500,2,FALSE),"")</f>
        <v/>
      </c>
      <c r="J688" s="55" t="n"/>
      <c r="K688" s="44" t="n"/>
      <c r="L688" s="51">
        <f>IF(OR(J688="",K688=""),"",J688*K688)</f>
        <v/>
      </c>
      <c r="M688" s="51">
        <f>IF(L688="","",L688*Inicio!$B$13)</f>
        <v/>
      </c>
      <c r="N688" s="51">
        <f>IF(L688="","",L688+M688)</f>
        <v/>
      </c>
      <c r="O688" s="54" t="n"/>
      <c r="P688" s="43" t="n"/>
      <c r="Q688" s="44" t="n"/>
      <c r="R688" s="51">
        <f>IF(N688="","",MAX(N688-Q688,0))</f>
        <v/>
      </c>
      <c r="S688" s="48">
        <f>IF(A688="","",IF(OR(P688="Pagada",R688=0),"Pagada",IF(O688&lt;TODAY(),"Vencida",IF(O688&lt;=TODAY()+Inicio!$B$19,"Próxima a vencer","Vigente"))))</f>
        <v/>
      </c>
      <c r="T688" s="43" t="n"/>
      <c r="U688" s="68">
        <f>IF($B688="","",YEAR($B688))</f>
        <v/>
      </c>
      <c r="V688" s="68">
        <f>IF($B688="","",MONTH($B688))</f>
        <v/>
      </c>
      <c r="W688" s="68">
        <f>IF($B688="","",DAY($B688))</f>
        <v/>
      </c>
      <c r="X688" s="68">
        <f>IF($B688="","",YEAR($B688)&amp;"-"&amp;TEXT(MONTH($B688),"00"))</f>
        <v/>
      </c>
      <c r="Y688" s="68">
        <f>IF(OR($H688="",$J688=""),"",$J688*IFERROR(VLOOKUP($H688,Maestro_SKU!$A$2:$P$500,12,FALSE),1))</f>
        <v/>
      </c>
    </row>
    <row r="689">
      <c r="A689" s="43" t="n"/>
      <c r="B689" s="54" t="n"/>
      <c r="C689" s="43" t="n"/>
      <c r="D689" s="43" t="n"/>
      <c r="E689" s="48">
        <f>IFERROR(VLOOKUP(D689,Clientes_PDV!$A$2:$J$250,2,FALSE),"")</f>
        <v/>
      </c>
      <c r="F689" s="48">
        <f>IFERROR(VLOOKUP(D689,Clientes_PDV!$A$2:$J$250,3,FALSE),"")</f>
        <v/>
      </c>
      <c r="G689" s="48">
        <f>IFERROR(VLOOKUP(D689,Clientes_PDV!$A$2:$J$250,4,FALSE),"")</f>
        <v/>
      </c>
      <c r="H689" s="43" t="n"/>
      <c r="I689" s="48">
        <f>IFERROR(VLOOKUP(H689,Maestro_SKU!$A$2:$P$500,2,FALSE),"")</f>
        <v/>
      </c>
      <c r="J689" s="55" t="n"/>
      <c r="K689" s="44" t="n"/>
      <c r="L689" s="51">
        <f>IF(OR(J689="",K689=""),"",J689*K689)</f>
        <v/>
      </c>
      <c r="M689" s="51">
        <f>IF(L689="","",L689*Inicio!$B$13)</f>
        <v/>
      </c>
      <c r="N689" s="51">
        <f>IF(L689="","",L689+M689)</f>
        <v/>
      </c>
      <c r="O689" s="54" t="n"/>
      <c r="P689" s="43" t="n"/>
      <c r="Q689" s="44" t="n"/>
      <c r="R689" s="51">
        <f>IF(N689="","",MAX(N689-Q689,0))</f>
        <v/>
      </c>
      <c r="S689" s="48">
        <f>IF(A689="","",IF(OR(P689="Pagada",R689=0),"Pagada",IF(O689&lt;TODAY(),"Vencida",IF(O689&lt;=TODAY()+Inicio!$B$19,"Próxima a vencer","Vigente"))))</f>
        <v/>
      </c>
      <c r="T689" s="43" t="n"/>
      <c r="U689" s="68">
        <f>IF($B689="","",YEAR($B689))</f>
        <v/>
      </c>
      <c r="V689" s="68">
        <f>IF($B689="","",MONTH($B689))</f>
        <v/>
      </c>
      <c r="W689" s="68">
        <f>IF($B689="","",DAY($B689))</f>
        <v/>
      </c>
      <c r="X689" s="68">
        <f>IF($B689="","",YEAR($B689)&amp;"-"&amp;TEXT(MONTH($B689),"00"))</f>
        <v/>
      </c>
      <c r="Y689" s="68">
        <f>IF(OR($H689="",$J689=""),"",$J689*IFERROR(VLOOKUP($H689,Maestro_SKU!$A$2:$P$500,12,FALSE),1))</f>
        <v/>
      </c>
    </row>
    <row r="690">
      <c r="A690" s="43" t="n"/>
      <c r="B690" s="54" t="n"/>
      <c r="C690" s="43" t="n"/>
      <c r="D690" s="43" t="n"/>
      <c r="E690" s="48">
        <f>IFERROR(VLOOKUP(D690,Clientes_PDV!$A$2:$J$250,2,FALSE),"")</f>
        <v/>
      </c>
      <c r="F690" s="48">
        <f>IFERROR(VLOOKUP(D690,Clientes_PDV!$A$2:$J$250,3,FALSE),"")</f>
        <v/>
      </c>
      <c r="G690" s="48">
        <f>IFERROR(VLOOKUP(D690,Clientes_PDV!$A$2:$J$250,4,FALSE),"")</f>
        <v/>
      </c>
      <c r="H690" s="43" t="n"/>
      <c r="I690" s="48">
        <f>IFERROR(VLOOKUP(H690,Maestro_SKU!$A$2:$P$500,2,FALSE),"")</f>
        <v/>
      </c>
      <c r="J690" s="55" t="n"/>
      <c r="K690" s="44" t="n"/>
      <c r="L690" s="51">
        <f>IF(OR(J690="",K690=""),"",J690*K690)</f>
        <v/>
      </c>
      <c r="M690" s="51">
        <f>IF(L690="","",L690*Inicio!$B$13)</f>
        <v/>
      </c>
      <c r="N690" s="51">
        <f>IF(L690="","",L690+M690)</f>
        <v/>
      </c>
      <c r="O690" s="54" t="n"/>
      <c r="P690" s="43" t="n"/>
      <c r="Q690" s="44" t="n"/>
      <c r="R690" s="51">
        <f>IF(N690="","",MAX(N690-Q690,0))</f>
        <v/>
      </c>
      <c r="S690" s="48">
        <f>IF(A690="","",IF(OR(P690="Pagada",R690=0),"Pagada",IF(O690&lt;TODAY(),"Vencida",IF(O690&lt;=TODAY()+Inicio!$B$19,"Próxima a vencer","Vigente"))))</f>
        <v/>
      </c>
      <c r="T690" s="43" t="n"/>
      <c r="U690" s="68">
        <f>IF($B690="","",YEAR($B690))</f>
        <v/>
      </c>
      <c r="V690" s="68">
        <f>IF($B690="","",MONTH($B690))</f>
        <v/>
      </c>
      <c r="W690" s="68">
        <f>IF($B690="","",DAY($B690))</f>
        <v/>
      </c>
      <c r="X690" s="68">
        <f>IF($B690="","",YEAR($B690)&amp;"-"&amp;TEXT(MONTH($B690),"00"))</f>
        <v/>
      </c>
      <c r="Y690" s="68">
        <f>IF(OR($H690="",$J690=""),"",$J690*IFERROR(VLOOKUP($H690,Maestro_SKU!$A$2:$P$500,12,FALSE),1))</f>
        <v/>
      </c>
    </row>
    <row r="691">
      <c r="A691" s="43" t="n"/>
      <c r="B691" s="54" t="n"/>
      <c r="C691" s="43" t="n"/>
      <c r="D691" s="43" t="n"/>
      <c r="E691" s="48">
        <f>IFERROR(VLOOKUP(D691,Clientes_PDV!$A$2:$J$250,2,FALSE),"")</f>
        <v/>
      </c>
      <c r="F691" s="48">
        <f>IFERROR(VLOOKUP(D691,Clientes_PDV!$A$2:$J$250,3,FALSE),"")</f>
        <v/>
      </c>
      <c r="G691" s="48">
        <f>IFERROR(VLOOKUP(D691,Clientes_PDV!$A$2:$J$250,4,FALSE),"")</f>
        <v/>
      </c>
      <c r="H691" s="43" t="n"/>
      <c r="I691" s="48">
        <f>IFERROR(VLOOKUP(H691,Maestro_SKU!$A$2:$P$500,2,FALSE),"")</f>
        <v/>
      </c>
      <c r="J691" s="55" t="n"/>
      <c r="K691" s="44" t="n"/>
      <c r="L691" s="51">
        <f>IF(OR(J691="",K691=""),"",J691*K691)</f>
        <v/>
      </c>
      <c r="M691" s="51">
        <f>IF(L691="","",L691*Inicio!$B$13)</f>
        <v/>
      </c>
      <c r="N691" s="51">
        <f>IF(L691="","",L691+M691)</f>
        <v/>
      </c>
      <c r="O691" s="54" t="n"/>
      <c r="P691" s="43" t="n"/>
      <c r="Q691" s="44" t="n"/>
      <c r="R691" s="51">
        <f>IF(N691="","",MAX(N691-Q691,0))</f>
        <v/>
      </c>
      <c r="S691" s="48">
        <f>IF(A691="","",IF(OR(P691="Pagada",R691=0),"Pagada",IF(O691&lt;TODAY(),"Vencida",IF(O691&lt;=TODAY()+Inicio!$B$19,"Próxima a vencer","Vigente"))))</f>
        <v/>
      </c>
      <c r="T691" s="43" t="n"/>
      <c r="U691" s="68">
        <f>IF($B691="","",YEAR($B691))</f>
        <v/>
      </c>
      <c r="V691" s="68">
        <f>IF($B691="","",MONTH($B691))</f>
        <v/>
      </c>
      <c r="W691" s="68">
        <f>IF($B691="","",DAY($B691))</f>
        <v/>
      </c>
      <c r="X691" s="68">
        <f>IF($B691="","",YEAR($B691)&amp;"-"&amp;TEXT(MONTH($B691),"00"))</f>
        <v/>
      </c>
      <c r="Y691" s="68">
        <f>IF(OR($H691="",$J691=""),"",$J691*IFERROR(VLOOKUP($H691,Maestro_SKU!$A$2:$P$500,12,FALSE),1))</f>
        <v/>
      </c>
    </row>
    <row r="692">
      <c r="A692" s="43" t="n"/>
      <c r="B692" s="54" t="n"/>
      <c r="C692" s="43" t="n"/>
      <c r="D692" s="43" t="n"/>
      <c r="E692" s="48">
        <f>IFERROR(VLOOKUP(D692,Clientes_PDV!$A$2:$J$250,2,FALSE),"")</f>
        <v/>
      </c>
      <c r="F692" s="48">
        <f>IFERROR(VLOOKUP(D692,Clientes_PDV!$A$2:$J$250,3,FALSE),"")</f>
        <v/>
      </c>
      <c r="G692" s="48">
        <f>IFERROR(VLOOKUP(D692,Clientes_PDV!$A$2:$J$250,4,FALSE),"")</f>
        <v/>
      </c>
      <c r="H692" s="43" t="n"/>
      <c r="I692" s="48">
        <f>IFERROR(VLOOKUP(H692,Maestro_SKU!$A$2:$P$500,2,FALSE),"")</f>
        <v/>
      </c>
      <c r="J692" s="55" t="n"/>
      <c r="K692" s="44" t="n"/>
      <c r="L692" s="51">
        <f>IF(OR(J692="",K692=""),"",J692*K692)</f>
        <v/>
      </c>
      <c r="M692" s="51">
        <f>IF(L692="","",L692*Inicio!$B$13)</f>
        <v/>
      </c>
      <c r="N692" s="51">
        <f>IF(L692="","",L692+M692)</f>
        <v/>
      </c>
      <c r="O692" s="54" t="n"/>
      <c r="P692" s="43" t="n"/>
      <c r="Q692" s="44" t="n"/>
      <c r="R692" s="51">
        <f>IF(N692="","",MAX(N692-Q692,0))</f>
        <v/>
      </c>
      <c r="S692" s="48">
        <f>IF(A692="","",IF(OR(P692="Pagada",R692=0),"Pagada",IF(O692&lt;TODAY(),"Vencida",IF(O692&lt;=TODAY()+Inicio!$B$19,"Próxima a vencer","Vigente"))))</f>
        <v/>
      </c>
      <c r="T692" s="43" t="n"/>
      <c r="U692" s="68">
        <f>IF($B692="","",YEAR($B692))</f>
        <v/>
      </c>
      <c r="V692" s="68">
        <f>IF($B692="","",MONTH($B692))</f>
        <v/>
      </c>
      <c r="W692" s="68">
        <f>IF($B692="","",DAY($B692))</f>
        <v/>
      </c>
      <c r="X692" s="68">
        <f>IF($B692="","",YEAR($B692)&amp;"-"&amp;TEXT(MONTH($B692),"00"))</f>
        <v/>
      </c>
      <c r="Y692" s="68">
        <f>IF(OR($H692="",$J692=""),"",$J692*IFERROR(VLOOKUP($H692,Maestro_SKU!$A$2:$P$500,12,FALSE),1))</f>
        <v/>
      </c>
    </row>
    <row r="693">
      <c r="A693" s="43" t="n"/>
      <c r="B693" s="54" t="n"/>
      <c r="C693" s="43" t="n"/>
      <c r="D693" s="43" t="n"/>
      <c r="E693" s="48">
        <f>IFERROR(VLOOKUP(D693,Clientes_PDV!$A$2:$J$250,2,FALSE),"")</f>
        <v/>
      </c>
      <c r="F693" s="48">
        <f>IFERROR(VLOOKUP(D693,Clientes_PDV!$A$2:$J$250,3,FALSE),"")</f>
        <v/>
      </c>
      <c r="G693" s="48">
        <f>IFERROR(VLOOKUP(D693,Clientes_PDV!$A$2:$J$250,4,FALSE),"")</f>
        <v/>
      </c>
      <c r="H693" s="43" t="n"/>
      <c r="I693" s="48">
        <f>IFERROR(VLOOKUP(H693,Maestro_SKU!$A$2:$P$500,2,FALSE),"")</f>
        <v/>
      </c>
      <c r="J693" s="55" t="n"/>
      <c r="K693" s="44" t="n"/>
      <c r="L693" s="51">
        <f>IF(OR(J693="",K693=""),"",J693*K693)</f>
        <v/>
      </c>
      <c r="M693" s="51">
        <f>IF(L693="","",L693*Inicio!$B$13)</f>
        <v/>
      </c>
      <c r="N693" s="51">
        <f>IF(L693="","",L693+M693)</f>
        <v/>
      </c>
      <c r="O693" s="54" t="n"/>
      <c r="P693" s="43" t="n"/>
      <c r="Q693" s="44" t="n"/>
      <c r="R693" s="51">
        <f>IF(N693="","",MAX(N693-Q693,0))</f>
        <v/>
      </c>
      <c r="S693" s="48">
        <f>IF(A693="","",IF(OR(P693="Pagada",R693=0),"Pagada",IF(O693&lt;TODAY(),"Vencida",IF(O693&lt;=TODAY()+Inicio!$B$19,"Próxima a vencer","Vigente"))))</f>
        <v/>
      </c>
      <c r="T693" s="43" t="n"/>
      <c r="U693" s="68">
        <f>IF($B693="","",YEAR($B693))</f>
        <v/>
      </c>
      <c r="V693" s="68">
        <f>IF($B693="","",MONTH($B693))</f>
        <v/>
      </c>
      <c r="W693" s="68">
        <f>IF($B693="","",DAY($B693))</f>
        <v/>
      </c>
      <c r="X693" s="68">
        <f>IF($B693="","",YEAR($B693)&amp;"-"&amp;TEXT(MONTH($B693),"00"))</f>
        <v/>
      </c>
      <c r="Y693" s="68">
        <f>IF(OR($H693="",$J693=""),"",$J693*IFERROR(VLOOKUP($H693,Maestro_SKU!$A$2:$P$500,12,FALSE),1))</f>
        <v/>
      </c>
    </row>
    <row r="694">
      <c r="A694" s="43" t="n"/>
      <c r="B694" s="54" t="n"/>
      <c r="C694" s="43" t="n"/>
      <c r="D694" s="43" t="n"/>
      <c r="E694" s="48">
        <f>IFERROR(VLOOKUP(D694,Clientes_PDV!$A$2:$J$250,2,FALSE),"")</f>
        <v/>
      </c>
      <c r="F694" s="48">
        <f>IFERROR(VLOOKUP(D694,Clientes_PDV!$A$2:$J$250,3,FALSE),"")</f>
        <v/>
      </c>
      <c r="G694" s="48">
        <f>IFERROR(VLOOKUP(D694,Clientes_PDV!$A$2:$J$250,4,FALSE),"")</f>
        <v/>
      </c>
      <c r="H694" s="43" t="n"/>
      <c r="I694" s="48">
        <f>IFERROR(VLOOKUP(H694,Maestro_SKU!$A$2:$P$500,2,FALSE),"")</f>
        <v/>
      </c>
      <c r="J694" s="55" t="n"/>
      <c r="K694" s="44" t="n"/>
      <c r="L694" s="51">
        <f>IF(OR(J694="",K694=""),"",J694*K694)</f>
        <v/>
      </c>
      <c r="M694" s="51">
        <f>IF(L694="","",L694*Inicio!$B$13)</f>
        <v/>
      </c>
      <c r="N694" s="51">
        <f>IF(L694="","",L694+M694)</f>
        <v/>
      </c>
      <c r="O694" s="54" t="n"/>
      <c r="P694" s="43" t="n"/>
      <c r="Q694" s="44" t="n"/>
      <c r="R694" s="51">
        <f>IF(N694="","",MAX(N694-Q694,0))</f>
        <v/>
      </c>
      <c r="S694" s="48">
        <f>IF(A694="","",IF(OR(P694="Pagada",R694=0),"Pagada",IF(O694&lt;TODAY(),"Vencida",IF(O694&lt;=TODAY()+Inicio!$B$19,"Próxima a vencer","Vigente"))))</f>
        <v/>
      </c>
      <c r="T694" s="43" t="n"/>
      <c r="U694" s="68">
        <f>IF($B694="","",YEAR($B694))</f>
        <v/>
      </c>
      <c r="V694" s="68">
        <f>IF($B694="","",MONTH($B694))</f>
        <v/>
      </c>
      <c r="W694" s="68">
        <f>IF($B694="","",DAY($B694))</f>
        <v/>
      </c>
      <c r="X694" s="68">
        <f>IF($B694="","",YEAR($B694)&amp;"-"&amp;TEXT(MONTH($B694),"00"))</f>
        <v/>
      </c>
      <c r="Y694" s="68">
        <f>IF(OR($H694="",$J694=""),"",$J694*IFERROR(VLOOKUP($H694,Maestro_SKU!$A$2:$P$500,12,FALSE),1))</f>
        <v/>
      </c>
    </row>
    <row r="695">
      <c r="A695" s="43" t="n"/>
      <c r="B695" s="54" t="n"/>
      <c r="C695" s="43" t="n"/>
      <c r="D695" s="43" t="n"/>
      <c r="E695" s="48">
        <f>IFERROR(VLOOKUP(D695,Clientes_PDV!$A$2:$J$250,2,FALSE),"")</f>
        <v/>
      </c>
      <c r="F695" s="48">
        <f>IFERROR(VLOOKUP(D695,Clientes_PDV!$A$2:$J$250,3,FALSE),"")</f>
        <v/>
      </c>
      <c r="G695" s="48">
        <f>IFERROR(VLOOKUP(D695,Clientes_PDV!$A$2:$J$250,4,FALSE),"")</f>
        <v/>
      </c>
      <c r="H695" s="43" t="n"/>
      <c r="I695" s="48">
        <f>IFERROR(VLOOKUP(H695,Maestro_SKU!$A$2:$P$500,2,FALSE),"")</f>
        <v/>
      </c>
      <c r="J695" s="55" t="n"/>
      <c r="K695" s="44" t="n"/>
      <c r="L695" s="51">
        <f>IF(OR(J695="",K695=""),"",J695*K695)</f>
        <v/>
      </c>
      <c r="M695" s="51">
        <f>IF(L695="","",L695*Inicio!$B$13)</f>
        <v/>
      </c>
      <c r="N695" s="51">
        <f>IF(L695="","",L695+M695)</f>
        <v/>
      </c>
      <c r="O695" s="54" t="n"/>
      <c r="P695" s="43" t="n"/>
      <c r="Q695" s="44" t="n"/>
      <c r="R695" s="51">
        <f>IF(N695="","",MAX(N695-Q695,0))</f>
        <v/>
      </c>
      <c r="S695" s="48">
        <f>IF(A695="","",IF(OR(P695="Pagada",R695=0),"Pagada",IF(O695&lt;TODAY(),"Vencida",IF(O695&lt;=TODAY()+Inicio!$B$19,"Próxima a vencer","Vigente"))))</f>
        <v/>
      </c>
      <c r="T695" s="43" t="n"/>
      <c r="U695" s="68">
        <f>IF($B695="","",YEAR($B695))</f>
        <v/>
      </c>
      <c r="V695" s="68">
        <f>IF($B695="","",MONTH($B695))</f>
        <v/>
      </c>
      <c r="W695" s="68">
        <f>IF($B695="","",DAY($B695))</f>
        <v/>
      </c>
      <c r="X695" s="68">
        <f>IF($B695="","",YEAR($B695)&amp;"-"&amp;TEXT(MONTH($B695),"00"))</f>
        <v/>
      </c>
      <c r="Y695" s="68">
        <f>IF(OR($H695="",$J695=""),"",$J695*IFERROR(VLOOKUP($H695,Maestro_SKU!$A$2:$P$500,12,FALSE),1))</f>
        <v/>
      </c>
    </row>
    <row r="696">
      <c r="A696" s="43" t="n"/>
      <c r="B696" s="54" t="n"/>
      <c r="C696" s="43" t="n"/>
      <c r="D696" s="43" t="n"/>
      <c r="E696" s="48">
        <f>IFERROR(VLOOKUP(D696,Clientes_PDV!$A$2:$J$250,2,FALSE),"")</f>
        <v/>
      </c>
      <c r="F696" s="48">
        <f>IFERROR(VLOOKUP(D696,Clientes_PDV!$A$2:$J$250,3,FALSE),"")</f>
        <v/>
      </c>
      <c r="G696" s="48">
        <f>IFERROR(VLOOKUP(D696,Clientes_PDV!$A$2:$J$250,4,FALSE),"")</f>
        <v/>
      </c>
      <c r="H696" s="43" t="n"/>
      <c r="I696" s="48">
        <f>IFERROR(VLOOKUP(H696,Maestro_SKU!$A$2:$P$500,2,FALSE),"")</f>
        <v/>
      </c>
      <c r="J696" s="55" t="n"/>
      <c r="K696" s="44" t="n"/>
      <c r="L696" s="51">
        <f>IF(OR(J696="",K696=""),"",J696*K696)</f>
        <v/>
      </c>
      <c r="M696" s="51">
        <f>IF(L696="","",L696*Inicio!$B$13)</f>
        <v/>
      </c>
      <c r="N696" s="51">
        <f>IF(L696="","",L696+M696)</f>
        <v/>
      </c>
      <c r="O696" s="54" t="n"/>
      <c r="P696" s="43" t="n"/>
      <c r="Q696" s="44" t="n"/>
      <c r="R696" s="51">
        <f>IF(N696="","",MAX(N696-Q696,0))</f>
        <v/>
      </c>
      <c r="S696" s="48">
        <f>IF(A696="","",IF(OR(P696="Pagada",R696=0),"Pagada",IF(O696&lt;TODAY(),"Vencida",IF(O696&lt;=TODAY()+Inicio!$B$19,"Próxima a vencer","Vigente"))))</f>
        <v/>
      </c>
      <c r="T696" s="43" t="n"/>
      <c r="U696" s="68">
        <f>IF($B696="","",YEAR($B696))</f>
        <v/>
      </c>
      <c r="V696" s="68">
        <f>IF($B696="","",MONTH($B696))</f>
        <v/>
      </c>
      <c r="W696" s="68">
        <f>IF($B696="","",DAY($B696))</f>
        <v/>
      </c>
      <c r="X696" s="68">
        <f>IF($B696="","",YEAR($B696)&amp;"-"&amp;TEXT(MONTH($B696),"00"))</f>
        <v/>
      </c>
      <c r="Y696" s="68">
        <f>IF(OR($H696="",$J696=""),"",$J696*IFERROR(VLOOKUP($H696,Maestro_SKU!$A$2:$P$500,12,FALSE),1))</f>
        <v/>
      </c>
    </row>
    <row r="697">
      <c r="A697" s="43" t="n"/>
      <c r="B697" s="54" t="n"/>
      <c r="C697" s="43" t="n"/>
      <c r="D697" s="43" t="n"/>
      <c r="E697" s="48">
        <f>IFERROR(VLOOKUP(D697,Clientes_PDV!$A$2:$J$250,2,FALSE),"")</f>
        <v/>
      </c>
      <c r="F697" s="48">
        <f>IFERROR(VLOOKUP(D697,Clientes_PDV!$A$2:$J$250,3,FALSE),"")</f>
        <v/>
      </c>
      <c r="G697" s="48">
        <f>IFERROR(VLOOKUP(D697,Clientes_PDV!$A$2:$J$250,4,FALSE),"")</f>
        <v/>
      </c>
      <c r="H697" s="43" t="n"/>
      <c r="I697" s="48">
        <f>IFERROR(VLOOKUP(H697,Maestro_SKU!$A$2:$P$500,2,FALSE),"")</f>
        <v/>
      </c>
      <c r="J697" s="55" t="n"/>
      <c r="K697" s="44" t="n"/>
      <c r="L697" s="51">
        <f>IF(OR(J697="",K697=""),"",J697*K697)</f>
        <v/>
      </c>
      <c r="M697" s="51">
        <f>IF(L697="","",L697*Inicio!$B$13)</f>
        <v/>
      </c>
      <c r="N697" s="51">
        <f>IF(L697="","",L697+M697)</f>
        <v/>
      </c>
      <c r="O697" s="54" t="n"/>
      <c r="P697" s="43" t="n"/>
      <c r="Q697" s="44" t="n"/>
      <c r="R697" s="51">
        <f>IF(N697="","",MAX(N697-Q697,0))</f>
        <v/>
      </c>
      <c r="S697" s="48">
        <f>IF(A697="","",IF(OR(P697="Pagada",R697=0),"Pagada",IF(O697&lt;TODAY(),"Vencida",IF(O697&lt;=TODAY()+Inicio!$B$19,"Próxima a vencer","Vigente"))))</f>
        <v/>
      </c>
      <c r="T697" s="43" t="n"/>
      <c r="U697" s="68">
        <f>IF($B697="","",YEAR($B697))</f>
        <v/>
      </c>
      <c r="V697" s="68">
        <f>IF($B697="","",MONTH($B697))</f>
        <v/>
      </c>
      <c r="W697" s="68">
        <f>IF($B697="","",DAY($B697))</f>
        <v/>
      </c>
      <c r="X697" s="68">
        <f>IF($B697="","",YEAR($B697)&amp;"-"&amp;TEXT(MONTH($B697),"00"))</f>
        <v/>
      </c>
      <c r="Y697" s="68">
        <f>IF(OR($H697="",$J697=""),"",$J697*IFERROR(VLOOKUP($H697,Maestro_SKU!$A$2:$P$500,12,FALSE),1))</f>
        <v/>
      </c>
    </row>
    <row r="698">
      <c r="A698" s="43" t="n"/>
      <c r="B698" s="54" t="n"/>
      <c r="C698" s="43" t="n"/>
      <c r="D698" s="43" t="n"/>
      <c r="E698" s="48">
        <f>IFERROR(VLOOKUP(D698,Clientes_PDV!$A$2:$J$250,2,FALSE),"")</f>
        <v/>
      </c>
      <c r="F698" s="48">
        <f>IFERROR(VLOOKUP(D698,Clientes_PDV!$A$2:$J$250,3,FALSE),"")</f>
        <v/>
      </c>
      <c r="G698" s="48">
        <f>IFERROR(VLOOKUP(D698,Clientes_PDV!$A$2:$J$250,4,FALSE),"")</f>
        <v/>
      </c>
      <c r="H698" s="43" t="n"/>
      <c r="I698" s="48">
        <f>IFERROR(VLOOKUP(H698,Maestro_SKU!$A$2:$P$500,2,FALSE),"")</f>
        <v/>
      </c>
      <c r="J698" s="55" t="n"/>
      <c r="K698" s="44" t="n"/>
      <c r="L698" s="51">
        <f>IF(OR(J698="",K698=""),"",J698*K698)</f>
        <v/>
      </c>
      <c r="M698" s="51">
        <f>IF(L698="","",L698*Inicio!$B$13)</f>
        <v/>
      </c>
      <c r="N698" s="51">
        <f>IF(L698="","",L698+M698)</f>
        <v/>
      </c>
      <c r="O698" s="54" t="n"/>
      <c r="P698" s="43" t="n"/>
      <c r="Q698" s="44" t="n"/>
      <c r="R698" s="51">
        <f>IF(N698="","",MAX(N698-Q698,0))</f>
        <v/>
      </c>
      <c r="S698" s="48">
        <f>IF(A698="","",IF(OR(P698="Pagada",R698=0),"Pagada",IF(O698&lt;TODAY(),"Vencida",IF(O698&lt;=TODAY()+Inicio!$B$19,"Próxima a vencer","Vigente"))))</f>
        <v/>
      </c>
      <c r="T698" s="43" t="n"/>
      <c r="U698" s="68">
        <f>IF($B698="","",YEAR($B698))</f>
        <v/>
      </c>
      <c r="V698" s="68">
        <f>IF($B698="","",MONTH($B698))</f>
        <v/>
      </c>
      <c r="W698" s="68">
        <f>IF($B698="","",DAY($B698))</f>
        <v/>
      </c>
      <c r="X698" s="68">
        <f>IF($B698="","",YEAR($B698)&amp;"-"&amp;TEXT(MONTH($B698),"00"))</f>
        <v/>
      </c>
      <c r="Y698" s="68">
        <f>IF(OR($H698="",$J698=""),"",$J698*IFERROR(VLOOKUP($H698,Maestro_SKU!$A$2:$P$500,12,FALSE),1))</f>
        <v/>
      </c>
    </row>
    <row r="699">
      <c r="A699" s="43" t="n"/>
      <c r="B699" s="54" t="n"/>
      <c r="C699" s="43" t="n"/>
      <c r="D699" s="43" t="n"/>
      <c r="E699" s="48">
        <f>IFERROR(VLOOKUP(D699,Clientes_PDV!$A$2:$J$250,2,FALSE),"")</f>
        <v/>
      </c>
      <c r="F699" s="48">
        <f>IFERROR(VLOOKUP(D699,Clientes_PDV!$A$2:$J$250,3,FALSE),"")</f>
        <v/>
      </c>
      <c r="G699" s="48">
        <f>IFERROR(VLOOKUP(D699,Clientes_PDV!$A$2:$J$250,4,FALSE),"")</f>
        <v/>
      </c>
      <c r="H699" s="43" t="n"/>
      <c r="I699" s="48">
        <f>IFERROR(VLOOKUP(H699,Maestro_SKU!$A$2:$P$500,2,FALSE),"")</f>
        <v/>
      </c>
      <c r="J699" s="55" t="n"/>
      <c r="K699" s="44" t="n"/>
      <c r="L699" s="51">
        <f>IF(OR(J699="",K699=""),"",J699*K699)</f>
        <v/>
      </c>
      <c r="M699" s="51">
        <f>IF(L699="","",L699*Inicio!$B$13)</f>
        <v/>
      </c>
      <c r="N699" s="51">
        <f>IF(L699="","",L699+M699)</f>
        <v/>
      </c>
      <c r="O699" s="54" t="n"/>
      <c r="P699" s="43" t="n"/>
      <c r="Q699" s="44" t="n"/>
      <c r="R699" s="51">
        <f>IF(N699="","",MAX(N699-Q699,0))</f>
        <v/>
      </c>
      <c r="S699" s="48">
        <f>IF(A699="","",IF(OR(P699="Pagada",R699=0),"Pagada",IF(O699&lt;TODAY(),"Vencida",IF(O699&lt;=TODAY()+Inicio!$B$19,"Próxima a vencer","Vigente"))))</f>
        <v/>
      </c>
      <c r="T699" s="43" t="n"/>
      <c r="U699" s="68">
        <f>IF($B699="","",YEAR($B699))</f>
        <v/>
      </c>
      <c r="V699" s="68">
        <f>IF($B699="","",MONTH($B699))</f>
        <v/>
      </c>
      <c r="W699" s="68">
        <f>IF($B699="","",DAY($B699))</f>
        <v/>
      </c>
      <c r="X699" s="68">
        <f>IF($B699="","",YEAR($B699)&amp;"-"&amp;TEXT(MONTH($B699),"00"))</f>
        <v/>
      </c>
      <c r="Y699" s="68">
        <f>IF(OR($H699="",$J699=""),"",$J699*IFERROR(VLOOKUP($H699,Maestro_SKU!$A$2:$P$500,12,FALSE),1))</f>
        <v/>
      </c>
    </row>
    <row r="700">
      <c r="A700" s="43" t="n"/>
      <c r="B700" s="54" t="n"/>
      <c r="C700" s="43" t="n"/>
      <c r="D700" s="43" t="n"/>
      <c r="E700" s="48">
        <f>IFERROR(VLOOKUP(D700,Clientes_PDV!$A$2:$J$250,2,FALSE),"")</f>
        <v/>
      </c>
      <c r="F700" s="48">
        <f>IFERROR(VLOOKUP(D700,Clientes_PDV!$A$2:$J$250,3,FALSE),"")</f>
        <v/>
      </c>
      <c r="G700" s="48">
        <f>IFERROR(VLOOKUP(D700,Clientes_PDV!$A$2:$J$250,4,FALSE),"")</f>
        <v/>
      </c>
      <c r="H700" s="43" t="n"/>
      <c r="I700" s="48">
        <f>IFERROR(VLOOKUP(H700,Maestro_SKU!$A$2:$P$500,2,FALSE),"")</f>
        <v/>
      </c>
      <c r="J700" s="55" t="n"/>
      <c r="K700" s="44" t="n"/>
      <c r="L700" s="51">
        <f>IF(OR(J700="",K700=""),"",J700*K700)</f>
        <v/>
      </c>
      <c r="M700" s="51">
        <f>IF(L700="","",L700*Inicio!$B$13)</f>
        <v/>
      </c>
      <c r="N700" s="51">
        <f>IF(L700="","",L700+M700)</f>
        <v/>
      </c>
      <c r="O700" s="54" t="n"/>
      <c r="P700" s="43" t="n"/>
      <c r="Q700" s="44" t="n"/>
      <c r="R700" s="51">
        <f>IF(N700="","",MAX(N700-Q700,0))</f>
        <v/>
      </c>
      <c r="S700" s="48">
        <f>IF(A700="","",IF(OR(P700="Pagada",R700=0),"Pagada",IF(O700&lt;TODAY(),"Vencida",IF(O700&lt;=TODAY()+Inicio!$B$19,"Próxima a vencer","Vigente"))))</f>
        <v/>
      </c>
      <c r="T700" s="43" t="n"/>
      <c r="U700" s="68">
        <f>IF($B700="","",YEAR($B700))</f>
        <v/>
      </c>
      <c r="V700" s="68">
        <f>IF($B700="","",MONTH($B700))</f>
        <v/>
      </c>
      <c r="W700" s="68">
        <f>IF($B700="","",DAY($B700))</f>
        <v/>
      </c>
      <c r="X700" s="68">
        <f>IF($B700="","",YEAR($B700)&amp;"-"&amp;TEXT(MONTH($B700),"00"))</f>
        <v/>
      </c>
      <c r="Y700" s="68">
        <f>IF(OR($H700="",$J700=""),"",$J700*IFERROR(VLOOKUP($H700,Maestro_SKU!$A$2:$P$500,12,FALSE),1))</f>
        <v/>
      </c>
    </row>
    <row r="701">
      <c r="A701" s="43" t="n"/>
      <c r="B701" s="54" t="n"/>
      <c r="C701" s="43" t="n"/>
      <c r="D701" s="43" t="n"/>
      <c r="E701" s="48">
        <f>IFERROR(VLOOKUP(D701,Clientes_PDV!$A$2:$J$250,2,FALSE),"")</f>
        <v/>
      </c>
      <c r="F701" s="48">
        <f>IFERROR(VLOOKUP(D701,Clientes_PDV!$A$2:$J$250,3,FALSE),"")</f>
        <v/>
      </c>
      <c r="G701" s="48">
        <f>IFERROR(VLOOKUP(D701,Clientes_PDV!$A$2:$J$250,4,FALSE),"")</f>
        <v/>
      </c>
      <c r="H701" s="43" t="n"/>
      <c r="I701" s="48">
        <f>IFERROR(VLOOKUP(H701,Maestro_SKU!$A$2:$P$500,2,FALSE),"")</f>
        <v/>
      </c>
      <c r="J701" s="55" t="n"/>
      <c r="K701" s="44" t="n"/>
      <c r="L701" s="51">
        <f>IF(OR(J701="",K701=""),"",J701*K701)</f>
        <v/>
      </c>
      <c r="M701" s="51">
        <f>IF(L701="","",L701*Inicio!$B$13)</f>
        <v/>
      </c>
      <c r="N701" s="51">
        <f>IF(L701="","",L701+M701)</f>
        <v/>
      </c>
      <c r="O701" s="54" t="n"/>
      <c r="P701" s="43" t="n"/>
      <c r="Q701" s="44" t="n"/>
      <c r="R701" s="51">
        <f>IF(N701="","",MAX(N701-Q701,0))</f>
        <v/>
      </c>
      <c r="S701" s="48">
        <f>IF(A701="","",IF(OR(P701="Pagada",R701=0),"Pagada",IF(O701&lt;TODAY(),"Vencida",IF(O701&lt;=TODAY()+Inicio!$B$19,"Próxima a vencer","Vigente"))))</f>
        <v/>
      </c>
      <c r="T701" s="43" t="n"/>
      <c r="U701" s="68">
        <f>IF($B701="","",YEAR($B701))</f>
        <v/>
      </c>
      <c r="V701" s="68">
        <f>IF($B701="","",MONTH($B701))</f>
        <v/>
      </c>
      <c r="W701" s="68">
        <f>IF($B701="","",DAY($B701))</f>
        <v/>
      </c>
      <c r="X701" s="68">
        <f>IF($B701="","",YEAR($B701)&amp;"-"&amp;TEXT(MONTH($B701),"00"))</f>
        <v/>
      </c>
      <c r="Y701" s="68">
        <f>IF(OR($H701="",$J701=""),"",$J701*IFERROR(VLOOKUP($H701,Maestro_SKU!$A$2:$P$500,12,FALSE),1))</f>
        <v/>
      </c>
    </row>
    <row r="702">
      <c r="A702" s="43" t="n"/>
      <c r="B702" s="54" t="n"/>
      <c r="C702" s="43" t="n"/>
      <c r="D702" s="43" t="n"/>
      <c r="E702" s="48">
        <f>IFERROR(VLOOKUP(D702,Clientes_PDV!$A$2:$J$250,2,FALSE),"")</f>
        <v/>
      </c>
      <c r="F702" s="48">
        <f>IFERROR(VLOOKUP(D702,Clientes_PDV!$A$2:$J$250,3,FALSE),"")</f>
        <v/>
      </c>
      <c r="G702" s="48">
        <f>IFERROR(VLOOKUP(D702,Clientes_PDV!$A$2:$J$250,4,FALSE),"")</f>
        <v/>
      </c>
      <c r="H702" s="43" t="n"/>
      <c r="I702" s="48">
        <f>IFERROR(VLOOKUP(H702,Maestro_SKU!$A$2:$P$500,2,FALSE),"")</f>
        <v/>
      </c>
      <c r="J702" s="55" t="n"/>
      <c r="K702" s="44" t="n"/>
      <c r="L702" s="51">
        <f>IF(OR(J702="",K702=""),"",J702*K702)</f>
        <v/>
      </c>
      <c r="M702" s="51">
        <f>IF(L702="","",L702*Inicio!$B$13)</f>
        <v/>
      </c>
      <c r="N702" s="51">
        <f>IF(L702="","",L702+M702)</f>
        <v/>
      </c>
      <c r="O702" s="54" t="n"/>
      <c r="P702" s="43" t="n"/>
      <c r="Q702" s="44" t="n"/>
      <c r="R702" s="51">
        <f>IF(N702="","",MAX(N702-Q702,0))</f>
        <v/>
      </c>
      <c r="S702" s="48">
        <f>IF(A702="","",IF(OR(P702="Pagada",R702=0),"Pagada",IF(O702&lt;TODAY(),"Vencida",IF(O702&lt;=TODAY()+Inicio!$B$19,"Próxima a vencer","Vigente"))))</f>
        <v/>
      </c>
      <c r="T702" s="43" t="n"/>
      <c r="U702" s="68">
        <f>IF($B702="","",YEAR($B702))</f>
        <v/>
      </c>
      <c r="V702" s="68">
        <f>IF($B702="","",MONTH($B702))</f>
        <v/>
      </c>
      <c r="W702" s="68">
        <f>IF($B702="","",DAY($B702))</f>
        <v/>
      </c>
      <c r="X702" s="68">
        <f>IF($B702="","",YEAR($B702)&amp;"-"&amp;TEXT(MONTH($B702),"00"))</f>
        <v/>
      </c>
      <c r="Y702" s="68">
        <f>IF(OR($H702="",$J702=""),"",$J702*IFERROR(VLOOKUP($H702,Maestro_SKU!$A$2:$P$500,12,FALSE),1))</f>
        <v/>
      </c>
    </row>
    <row r="703">
      <c r="A703" s="43" t="n"/>
      <c r="B703" s="54" t="n"/>
      <c r="C703" s="43" t="n"/>
      <c r="D703" s="43" t="n"/>
      <c r="E703" s="48">
        <f>IFERROR(VLOOKUP(D703,Clientes_PDV!$A$2:$J$250,2,FALSE),"")</f>
        <v/>
      </c>
      <c r="F703" s="48">
        <f>IFERROR(VLOOKUP(D703,Clientes_PDV!$A$2:$J$250,3,FALSE),"")</f>
        <v/>
      </c>
      <c r="G703" s="48">
        <f>IFERROR(VLOOKUP(D703,Clientes_PDV!$A$2:$J$250,4,FALSE),"")</f>
        <v/>
      </c>
      <c r="H703" s="43" t="n"/>
      <c r="I703" s="48">
        <f>IFERROR(VLOOKUP(H703,Maestro_SKU!$A$2:$P$500,2,FALSE),"")</f>
        <v/>
      </c>
      <c r="J703" s="55" t="n"/>
      <c r="K703" s="44" t="n"/>
      <c r="L703" s="51">
        <f>IF(OR(J703="",K703=""),"",J703*K703)</f>
        <v/>
      </c>
      <c r="M703" s="51">
        <f>IF(L703="","",L703*Inicio!$B$13)</f>
        <v/>
      </c>
      <c r="N703" s="51">
        <f>IF(L703="","",L703+M703)</f>
        <v/>
      </c>
      <c r="O703" s="54" t="n"/>
      <c r="P703" s="43" t="n"/>
      <c r="Q703" s="44" t="n"/>
      <c r="R703" s="51">
        <f>IF(N703="","",MAX(N703-Q703,0))</f>
        <v/>
      </c>
      <c r="S703" s="48">
        <f>IF(A703="","",IF(OR(P703="Pagada",R703=0),"Pagada",IF(O703&lt;TODAY(),"Vencida",IF(O703&lt;=TODAY()+Inicio!$B$19,"Próxima a vencer","Vigente"))))</f>
        <v/>
      </c>
      <c r="T703" s="43" t="n"/>
      <c r="U703" s="68">
        <f>IF($B703="","",YEAR($B703))</f>
        <v/>
      </c>
      <c r="V703" s="68">
        <f>IF($B703="","",MONTH($B703))</f>
        <v/>
      </c>
      <c r="W703" s="68">
        <f>IF($B703="","",DAY($B703))</f>
        <v/>
      </c>
      <c r="X703" s="68">
        <f>IF($B703="","",YEAR($B703)&amp;"-"&amp;TEXT(MONTH($B703),"00"))</f>
        <v/>
      </c>
      <c r="Y703" s="68">
        <f>IF(OR($H703="",$J703=""),"",$J703*IFERROR(VLOOKUP($H703,Maestro_SKU!$A$2:$P$500,12,FALSE),1))</f>
        <v/>
      </c>
    </row>
    <row r="704">
      <c r="A704" s="43" t="n"/>
      <c r="B704" s="54" t="n"/>
      <c r="C704" s="43" t="n"/>
      <c r="D704" s="43" t="n"/>
      <c r="E704" s="48">
        <f>IFERROR(VLOOKUP(D704,Clientes_PDV!$A$2:$J$250,2,FALSE),"")</f>
        <v/>
      </c>
      <c r="F704" s="48">
        <f>IFERROR(VLOOKUP(D704,Clientes_PDV!$A$2:$J$250,3,FALSE),"")</f>
        <v/>
      </c>
      <c r="G704" s="48">
        <f>IFERROR(VLOOKUP(D704,Clientes_PDV!$A$2:$J$250,4,FALSE),"")</f>
        <v/>
      </c>
      <c r="H704" s="43" t="n"/>
      <c r="I704" s="48">
        <f>IFERROR(VLOOKUP(H704,Maestro_SKU!$A$2:$P$500,2,FALSE),"")</f>
        <v/>
      </c>
      <c r="J704" s="55" t="n"/>
      <c r="K704" s="44" t="n"/>
      <c r="L704" s="51">
        <f>IF(OR(J704="",K704=""),"",J704*K704)</f>
        <v/>
      </c>
      <c r="M704" s="51">
        <f>IF(L704="","",L704*Inicio!$B$13)</f>
        <v/>
      </c>
      <c r="N704" s="51">
        <f>IF(L704="","",L704+M704)</f>
        <v/>
      </c>
      <c r="O704" s="54" t="n"/>
      <c r="P704" s="43" t="n"/>
      <c r="Q704" s="44" t="n"/>
      <c r="R704" s="51">
        <f>IF(N704="","",MAX(N704-Q704,0))</f>
        <v/>
      </c>
      <c r="S704" s="48">
        <f>IF(A704="","",IF(OR(P704="Pagada",R704=0),"Pagada",IF(O704&lt;TODAY(),"Vencida",IF(O704&lt;=TODAY()+Inicio!$B$19,"Próxima a vencer","Vigente"))))</f>
        <v/>
      </c>
      <c r="T704" s="43" t="n"/>
      <c r="U704" s="68">
        <f>IF($B704="","",YEAR($B704))</f>
        <v/>
      </c>
      <c r="V704" s="68">
        <f>IF($B704="","",MONTH($B704))</f>
        <v/>
      </c>
      <c r="W704" s="68">
        <f>IF($B704="","",DAY($B704))</f>
        <v/>
      </c>
      <c r="X704" s="68">
        <f>IF($B704="","",YEAR($B704)&amp;"-"&amp;TEXT(MONTH($B704),"00"))</f>
        <v/>
      </c>
      <c r="Y704" s="68">
        <f>IF(OR($H704="",$J704=""),"",$J704*IFERROR(VLOOKUP($H704,Maestro_SKU!$A$2:$P$500,12,FALSE),1))</f>
        <v/>
      </c>
    </row>
    <row r="705">
      <c r="A705" s="43" t="n"/>
      <c r="B705" s="54" t="n"/>
      <c r="C705" s="43" t="n"/>
      <c r="D705" s="43" t="n"/>
      <c r="E705" s="48">
        <f>IFERROR(VLOOKUP(D705,Clientes_PDV!$A$2:$J$250,2,FALSE),"")</f>
        <v/>
      </c>
      <c r="F705" s="48">
        <f>IFERROR(VLOOKUP(D705,Clientes_PDV!$A$2:$J$250,3,FALSE),"")</f>
        <v/>
      </c>
      <c r="G705" s="48">
        <f>IFERROR(VLOOKUP(D705,Clientes_PDV!$A$2:$J$250,4,FALSE),"")</f>
        <v/>
      </c>
      <c r="H705" s="43" t="n"/>
      <c r="I705" s="48">
        <f>IFERROR(VLOOKUP(H705,Maestro_SKU!$A$2:$P$500,2,FALSE),"")</f>
        <v/>
      </c>
      <c r="J705" s="55" t="n"/>
      <c r="K705" s="44" t="n"/>
      <c r="L705" s="51">
        <f>IF(OR(J705="",K705=""),"",J705*K705)</f>
        <v/>
      </c>
      <c r="M705" s="51">
        <f>IF(L705="","",L705*Inicio!$B$13)</f>
        <v/>
      </c>
      <c r="N705" s="51">
        <f>IF(L705="","",L705+M705)</f>
        <v/>
      </c>
      <c r="O705" s="54" t="n"/>
      <c r="P705" s="43" t="n"/>
      <c r="Q705" s="44" t="n"/>
      <c r="R705" s="51">
        <f>IF(N705="","",MAX(N705-Q705,0))</f>
        <v/>
      </c>
      <c r="S705" s="48">
        <f>IF(A705="","",IF(OR(P705="Pagada",R705=0),"Pagada",IF(O705&lt;TODAY(),"Vencida",IF(O705&lt;=TODAY()+Inicio!$B$19,"Próxima a vencer","Vigente"))))</f>
        <v/>
      </c>
      <c r="T705" s="43" t="n"/>
      <c r="U705" s="68">
        <f>IF($B705="","",YEAR($B705))</f>
        <v/>
      </c>
      <c r="V705" s="68">
        <f>IF($B705="","",MONTH($B705))</f>
        <v/>
      </c>
      <c r="W705" s="68">
        <f>IF($B705="","",DAY($B705))</f>
        <v/>
      </c>
      <c r="X705" s="68">
        <f>IF($B705="","",YEAR($B705)&amp;"-"&amp;TEXT(MONTH($B705),"00"))</f>
        <v/>
      </c>
      <c r="Y705" s="68">
        <f>IF(OR($H705="",$J705=""),"",$J705*IFERROR(VLOOKUP($H705,Maestro_SKU!$A$2:$P$500,12,FALSE),1))</f>
        <v/>
      </c>
    </row>
    <row r="706">
      <c r="A706" s="43" t="n"/>
      <c r="B706" s="54" t="n"/>
      <c r="C706" s="43" t="n"/>
      <c r="D706" s="43" t="n"/>
      <c r="E706" s="48">
        <f>IFERROR(VLOOKUP(D706,Clientes_PDV!$A$2:$J$250,2,FALSE),"")</f>
        <v/>
      </c>
      <c r="F706" s="48">
        <f>IFERROR(VLOOKUP(D706,Clientes_PDV!$A$2:$J$250,3,FALSE),"")</f>
        <v/>
      </c>
      <c r="G706" s="48">
        <f>IFERROR(VLOOKUP(D706,Clientes_PDV!$A$2:$J$250,4,FALSE),"")</f>
        <v/>
      </c>
      <c r="H706" s="43" t="n"/>
      <c r="I706" s="48">
        <f>IFERROR(VLOOKUP(H706,Maestro_SKU!$A$2:$P$500,2,FALSE),"")</f>
        <v/>
      </c>
      <c r="J706" s="55" t="n"/>
      <c r="K706" s="44" t="n"/>
      <c r="L706" s="51">
        <f>IF(OR(J706="",K706=""),"",J706*K706)</f>
        <v/>
      </c>
      <c r="M706" s="51">
        <f>IF(L706="","",L706*Inicio!$B$13)</f>
        <v/>
      </c>
      <c r="N706" s="51">
        <f>IF(L706="","",L706+M706)</f>
        <v/>
      </c>
      <c r="O706" s="54" t="n"/>
      <c r="P706" s="43" t="n"/>
      <c r="Q706" s="44" t="n"/>
      <c r="R706" s="51">
        <f>IF(N706="","",MAX(N706-Q706,0))</f>
        <v/>
      </c>
      <c r="S706" s="48">
        <f>IF(A706="","",IF(OR(P706="Pagada",R706=0),"Pagada",IF(O706&lt;TODAY(),"Vencida",IF(O706&lt;=TODAY()+Inicio!$B$19,"Próxima a vencer","Vigente"))))</f>
        <v/>
      </c>
      <c r="T706" s="43" t="n"/>
      <c r="U706" s="68">
        <f>IF($B706="","",YEAR($B706))</f>
        <v/>
      </c>
      <c r="V706" s="68">
        <f>IF($B706="","",MONTH($B706))</f>
        <v/>
      </c>
      <c r="W706" s="68">
        <f>IF($B706="","",DAY($B706))</f>
        <v/>
      </c>
      <c r="X706" s="68">
        <f>IF($B706="","",YEAR($B706)&amp;"-"&amp;TEXT(MONTH($B706),"00"))</f>
        <v/>
      </c>
      <c r="Y706" s="68">
        <f>IF(OR($H706="",$J706=""),"",$J706*IFERROR(VLOOKUP($H706,Maestro_SKU!$A$2:$P$500,12,FALSE),1))</f>
        <v/>
      </c>
    </row>
    <row r="707">
      <c r="A707" s="43" t="n"/>
      <c r="B707" s="54" t="n"/>
      <c r="C707" s="43" t="n"/>
      <c r="D707" s="43" t="n"/>
      <c r="E707" s="48">
        <f>IFERROR(VLOOKUP(D707,Clientes_PDV!$A$2:$J$250,2,FALSE),"")</f>
        <v/>
      </c>
      <c r="F707" s="48">
        <f>IFERROR(VLOOKUP(D707,Clientes_PDV!$A$2:$J$250,3,FALSE),"")</f>
        <v/>
      </c>
      <c r="G707" s="48">
        <f>IFERROR(VLOOKUP(D707,Clientes_PDV!$A$2:$J$250,4,FALSE),"")</f>
        <v/>
      </c>
      <c r="H707" s="43" t="n"/>
      <c r="I707" s="48">
        <f>IFERROR(VLOOKUP(H707,Maestro_SKU!$A$2:$P$500,2,FALSE),"")</f>
        <v/>
      </c>
      <c r="J707" s="55" t="n"/>
      <c r="K707" s="44" t="n"/>
      <c r="L707" s="51">
        <f>IF(OR(J707="",K707=""),"",J707*K707)</f>
        <v/>
      </c>
      <c r="M707" s="51">
        <f>IF(L707="","",L707*Inicio!$B$13)</f>
        <v/>
      </c>
      <c r="N707" s="51">
        <f>IF(L707="","",L707+M707)</f>
        <v/>
      </c>
      <c r="O707" s="54" t="n"/>
      <c r="P707" s="43" t="n"/>
      <c r="Q707" s="44" t="n"/>
      <c r="R707" s="51">
        <f>IF(N707="","",MAX(N707-Q707,0))</f>
        <v/>
      </c>
      <c r="S707" s="48">
        <f>IF(A707="","",IF(OR(P707="Pagada",R707=0),"Pagada",IF(O707&lt;TODAY(),"Vencida",IF(O707&lt;=TODAY()+Inicio!$B$19,"Próxima a vencer","Vigente"))))</f>
        <v/>
      </c>
      <c r="T707" s="43" t="n"/>
      <c r="U707" s="68">
        <f>IF($B707="","",YEAR($B707))</f>
        <v/>
      </c>
      <c r="V707" s="68">
        <f>IF($B707="","",MONTH($B707))</f>
        <v/>
      </c>
      <c r="W707" s="68">
        <f>IF($B707="","",DAY($B707))</f>
        <v/>
      </c>
      <c r="X707" s="68">
        <f>IF($B707="","",YEAR($B707)&amp;"-"&amp;TEXT(MONTH($B707),"00"))</f>
        <v/>
      </c>
      <c r="Y707" s="68">
        <f>IF(OR($H707="",$J707=""),"",$J707*IFERROR(VLOOKUP($H707,Maestro_SKU!$A$2:$P$500,12,FALSE),1))</f>
        <v/>
      </c>
    </row>
    <row r="708">
      <c r="A708" s="43" t="n"/>
      <c r="B708" s="54" t="n"/>
      <c r="C708" s="43" t="n"/>
      <c r="D708" s="43" t="n"/>
      <c r="E708" s="48">
        <f>IFERROR(VLOOKUP(D708,Clientes_PDV!$A$2:$J$250,2,FALSE),"")</f>
        <v/>
      </c>
      <c r="F708" s="48">
        <f>IFERROR(VLOOKUP(D708,Clientes_PDV!$A$2:$J$250,3,FALSE),"")</f>
        <v/>
      </c>
      <c r="G708" s="48">
        <f>IFERROR(VLOOKUP(D708,Clientes_PDV!$A$2:$J$250,4,FALSE),"")</f>
        <v/>
      </c>
      <c r="H708" s="43" t="n"/>
      <c r="I708" s="48">
        <f>IFERROR(VLOOKUP(H708,Maestro_SKU!$A$2:$P$500,2,FALSE),"")</f>
        <v/>
      </c>
      <c r="J708" s="55" t="n"/>
      <c r="K708" s="44" t="n"/>
      <c r="L708" s="51">
        <f>IF(OR(J708="",K708=""),"",J708*K708)</f>
        <v/>
      </c>
      <c r="M708" s="51">
        <f>IF(L708="","",L708*Inicio!$B$13)</f>
        <v/>
      </c>
      <c r="N708" s="51">
        <f>IF(L708="","",L708+M708)</f>
        <v/>
      </c>
      <c r="O708" s="54" t="n"/>
      <c r="P708" s="43" t="n"/>
      <c r="Q708" s="44" t="n"/>
      <c r="R708" s="51">
        <f>IF(N708="","",MAX(N708-Q708,0))</f>
        <v/>
      </c>
      <c r="S708" s="48">
        <f>IF(A708="","",IF(OR(P708="Pagada",R708=0),"Pagada",IF(O708&lt;TODAY(),"Vencida",IF(O708&lt;=TODAY()+Inicio!$B$19,"Próxima a vencer","Vigente"))))</f>
        <v/>
      </c>
      <c r="T708" s="43" t="n"/>
      <c r="U708" s="68">
        <f>IF($B708="","",YEAR($B708))</f>
        <v/>
      </c>
      <c r="V708" s="68">
        <f>IF($B708="","",MONTH($B708))</f>
        <v/>
      </c>
      <c r="W708" s="68">
        <f>IF($B708="","",DAY($B708))</f>
        <v/>
      </c>
      <c r="X708" s="68">
        <f>IF($B708="","",YEAR($B708)&amp;"-"&amp;TEXT(MONTH($B708),"00"))</f>
        <v/>
      </c>
      <c r="Y708" s="68">
        <f>IF(OR($H708="",$J708=""),"",$J708*IFERROR(VLOOKUP($H708,Maestro_SKU!$A$2:$P$500,12,FALSE),1))</f>
        <v/>
      </c>
    </row>
    <row r="709">
      <c r="A709" s="43" t="n"/>
      <c r="B709" s="54" t="n"/>
      <c r="C709" s="43" t="n"/>
      <c r="D709" s="43" t="n"/>
      <c r="E709" s="48">
        <f>IFERROR(VLOOKUP(D709,Clientes_PDV!$A$2:$J$250,2,FALSE),"")</f>
        <v/>
      </c>
      <c r="F709" s="48">
        <f>IFERROR(VLOOKUP(D709,Clientes_PDV!$A$2:$J$250,3,FALSE),"")</f>
        <v/>
      </c>
      <c r="G709" s="48">
        <f>IFERROR(VLOOKUP(D709,Clientes_PDV!$A$2:$J$250,4,FALSE),"")</f>
        <v/>
      </c>
      <c r="H709" s="43" t="n"/>
      <c r="I709" s="48">
        <f>IFERROR(VLOOKUP(H709,Maestro_SKU!$A$2:$P$500,2,FALSE),"")</f>
        <v/>
      </c>
      <c r="J709" s="55" t="n"/>
      <c r="K709" s="44" t="n"/>
      <c r="L709" s="51">
        <f>IF(OR(J709="",K709=""),"",J709*K709)</f>
        <v/>
      </c>
      <c r="M709" s="51">
        <f>IF(L709="","",L709*Inicio!$B$13)</f>
        <v/>
      </c>
      <c r="N709" s="51">
        <f>IF(L709="","",L709+M709)</f>
        <v/>
      </c>
      <c r="O709" s="54" t="n"/>
      <c r="P709" s="43" t="n"/>
      <c r="Q709" s="44" t="n"/>
      <c r="R709" s="51">
        <f>IF(N709="","",MAX(N709-Q709,0))</f>
        <v/>
      </c>
      <c r="S709" s="48">
        <f>IF(A709="","",IF(OR(P709="Pagada",R709=0),"Pagada",IF(O709&lt;TODAY(),"Vencida",IF(O709&lt;=TODAY()+Inicio!$B$19,"Próxima a vencer","Vigente"))))</f>
        <v/>
      </c>
      <c r="T709" s="43" t="n"/>
      <c r="U709" s="68">
        <f>IF($B709="","",YEAR($B709))</f>
        <v/>
      </c>
      <c r="V709" s="68">
        <f>IF($B709="","",MONTH($B709))</f>
        <v/>
      </c>
      <c r="W709" s="68">
        <f>IF($B709="","",DAY($B709))</f>
        <v/>
      </c>
      <c r="X709" s="68">
        <f>IF($B709="","",YEAR($B709)&amp;"-"&amp;TEXT(MONTH($B709),"00"))</f>
        <v/>
      </c>
      <c r="Y709" s="68">
        <f>IF(OR($H709="",$J709=""),"",$J709*IFERROR(VLOOKUP($H709,Maestro_SKU!$A$2:$P$500,12,FALSE),1))</f>
        <v/>
      </c>
    </row>
    <row r="710">
      <c r="A710" s="43" t="n"/>
      <c r="B710" s="54" t="n"/>
      <c r="C710" s="43" t="n"/>
      <c r="D710" s="43" t="n"/>
      <c r="E710" s="48">
        <f>IFERROR(VLOOKUP(D710,Clientes_PDV!$A$2:$J$250,2,FALSE),"")</f>
        <v/>
      </c>
      <c r="F710" s="48">
        <f>IFERROR(VLOOKUP(D710,Clientes_PDV!$A$2:$J$250,3,FALSE),"")</f>
        <v/>
      </c>
      <c r="G710" s="48">
        <f>IFERROR(VLOOKUP(D710,Clientes_PDV!$A$2:$J$250,4,FALSE),"")</f>
        <v/>
      </c>
      <c r="H710" s="43" t="n"/>
      <c r="I710" s="48">
        <f>IFERROR(VLOOKUP(H710,Maestro_SKU!$A$2:$P$500,2,FALSE),"")</f>
        <v/>
      </c>
      <c r="J710" s="55" t="n"/>
      <c r="K710" s="44" t="n"/>
      <c r="L710" s="51">
        <f>IF(OR(J710="",K710=""),"",J710*K710)</f>
        <v/>
      </c>
      <c r="M710" s="51">
        <f>IF(L710="","",L710*Inicio!$B$13)</f>
        <v/>
      </c>
      <c r="N710" s="51">
        <f>IF(L710="","",L710+M710)</f>
        <v/>
      </c>
      <c r="O710" s="54" t="n"/>
      <c r="P710" s="43" t="n"/>
      <c r="Q710" s="44" t="n"/>
      <c r="R710" s="51">
        <f>IF(N710="","",MAX(N710-Q710,0))</f>
        <v/>
      </c>
      <c r="S710" s="48">
        <f>IF(A710="","",IF(OR(P710="Pagada",R710=0),"Pagada",IF(O710&lt;TODAY(),"Vencida",IF(O710&lt;=TODAY()+Inicio!$B$19,"Próxima a vencer","Vigente"))))</f>
        <v/>
      </c>
      <c r="T710" s="43" t="n"/>
      <c r="U710" s="68">
        <f>IF($B710="","",YEAR($B710))</f>
        <v/>
      </c>
      <c r="V710" s="68">
        <f>IF($B710="","",MONTH($B710))</f>
        <v/>
      </c>
      <c r="W710" s="68">
        <f>IF($B710="","",DAY($B710))</f>
        <v/>
      </c>
      <c r="X710" s="68">
        <f>IF($B710="","",YEAR($B710)&amp;"-"&amp;TEXT(MONTH($B710),"00"))</f>
        <v/>
      </c>
      <c r="Y710" s="68">
        <f>IF(OR($H710="",$J710=""),"",$J710*IFERROR(VLOOKUP($H710,Maestro_SKU!$A$2:$P$500,12,FALSE),1))</f>
        <v/>
      </c>
    </row>
    <row r="711">
      <c r="A711" s="43" t="n"/>
      <c r="B711" s="54" t="n"/>
      <c r="C711" s="43" t="n"/>
      <c r="D711" s="43" t="n"/>
      <c r="E711" s="48">
        <f>IFERROR(VLOOKUP(D711,Clientes_PDV!$A$2:$J$250,2,FALSE),"")</f>
        <v/>
      </c>
      <c r="F711" s="48">
        <f>IFERROR(VLOOKUP(D711,Clientes_PDV!$A$2:$J$250,3,FALSE),"")</f>
        <v/>
      </c>
      <c r="G711" s="48">
        <f>IFERROR(VLOOKUP(D711,Clientes_PDV!$A$2:$J$250,4,FALSE),"")</f>
        <v/>
      </c>
      <c r="H711" s="43" t="n"/>
      <c r="I711" s="48">
        <f>IFERROR(VLOOKUP(H711,Maestro_SKU!$A$2:$P$500,2,FALSE),"")</f>
        <v/>
      </c>
      <c r="J711" s="55" t="n"/>
      <c r="K711" s="44" t="n"/>
      <c r="L711" s="51">
        <f>IF(OR(J711="",K711=""),"",J711*K711)</f>
        <v/>
      </c>
      <c r="M711" s="51">
        <f>IF(L711="","",L711*Inicio!$B$13)</f>
        <v/>
      </c>
      <c r="N711" s="51">
        <f>IF(L711="","",L711+M711)</f>
        <v/>
      </c>
      <c r="O711" s="54" t="n"/>
      <c r="P711" s="43" t="n"/>
      <c r="Q711" s="44" t="n"/>
      <c r="R711" s="51">
        <f>IF(N711="","",MAX(N711-Q711,0))</f>
        <v/>
      </c>
      <c r="S711" s="48">
        <f>IF(A711="","",IF(OR(P711="Pagada",R711=0),"Pagada",IF(O711&lt;TODAY(),"Vencida",IF(O711&lt;=TODAY()+Inicio!$B$19,"Próxima a vencer","Vigente"))))</f>
        <v/>
      </c>
      <c r="T711" s="43" t="n"/>
      <c r="U711" s="68">
        <f>IF($B711="","",YEAR($B711))</f>
        <v/>
      </c>
      <c r="V711" s="68">
        <f>IF($B711="","",MONTH($B711))</f>
        <v/>
      </c>
      <c r="W711" s="68">
        <f>IF($B711="","",DAY($B711))</f>
        <v/>
      </c>
      <c r="X711" s="68">
        <f>IF($B711="","",YEAR($B711)&amp;"-"&amp;TEXT(MONTH($B711),"00"))</f>
        <v/>
      </c>
      <c r="Y711" s="68">
        <f>IF(OR($H711="",$J711=""),"",$J711*IFERROR(VLOOKUP($H711,Maestro_SKU!$A$2:$P$500,12,FALSE),1))</f>
        <v/>
      </c>
    </row>
    <row r="712">
      <c r="A712" s="43" t="n"/>
      <c r="B712" s="54" t="n"/>
      <c r="C712" s="43" t="n"/>
      <c r="D712" s="43" t="n"/>
      <c r="E712" s="48">
        <f>IFERROR(VLOOKUP(D712,Clientes_PDV!$A$2:$J$250,2,FALSE),"")</f>
        <v/>
      </c>
      <c r="F712" s="48">
        <f>IFERROR(VLOOKUP(D712,Clientes_PDV!$A$2:$J$250,3,FALSE),"")</f>
        <v/>
      </c>
      <c r="G712" s="48">
        <f>IFERROR(VLOOKUP(D712,Clientes_PDV!$A$2:$J$250,4,FALSE),"")</f>
        <v/>
      </c>
      <c r="H712" s="43" t="n"/>
      <c r="I712" s="48">
        <f>IFERROR(VLOOKUP(H712,Maestro_SKU!$A$2:$P$500,2,FALSE),"")</f>
        <v/>
      </c>
      <c r="J712" s="55" t="n"/>
      <c r="K712" s="44" t="n"/>
      <c r="L712" s="51">
        <f>IF(OR(J712="",K712=""),"",J712*K712)</f>
        <v/>
      </c>
      <c r="M712" s="51">
        <f>IF(L712="","",L712*Inicio!$B$13)</f>
        <v/>
      </c>
      <c r="N712" s="51">
        <f>IF(L712="","",L712+M712)</f>
        <v/>
      </c>
      <c r="O712" s="54" t="n"/>
      <c r="P712" s="43" t="n"/>
      <c r="Q712" s="44" t="n"/>
      <c r="R712" s="51">
        <f>IF(N712="","",MAX(N712-Q712,0))</f>
        <v/>
      </c>
      <c r="S712" s="48">
        <f>IF(A712="","",IF(OR(P712="Pagada",R712=0),"Pagada",IF(O712&lt;TODAY(),"Vencida",IF(O712&lt;=TODAY()+Inicio!$B$19,"Próxima a vencer","Vigente"))))</f>
        <v/>
      </c>
      <c r="T712" s="43" t="n"/>
      <c r="U712" s="68">
        <f>IF($B712="","",YEAR($B712))</f>
        <v/>
      </c>
      <c r="V712" s="68">
        <f>IF($B712="","",MONTH($B712))</f>
        <v/>
      </c>
      <c r="W712" s="68">
        <f>IF($B712="","",DAY($B712))</f>
        <v/>
      </c>
      <c r="X712" s="68">
        <f>IF($B712="","",YEAR($B712)&amp;"-"&amp;TEXT(MONTH($B712),"00"))</f>
        <v/>
      </c>
      <c r="Y712" s="68">
        <f>IF(OR($H712="",$J712=""),"",$J712*IFERROR(VLOOKUP($H712,Maestro_SKU!$A$2:$P$500,12,FALSE),1))</f>
        <v/>
      </c>
    </row>
    <row r="713">
      <c r="A713" s="43" t="n"/>
      <c r="B713" s="54" t="n"/>
      <c r="C713" s="43" t="n"/>
      <c r="D713" s="43" t="n"/>
      <c r="E713" s="48">
        <f>IFERROR(VLOOKUP(D713,Clientes_PDV!$A$2:$J$250,2,FALSE),"")</f>
        <v/>
      </c>
      <c r="F713" s="48">
        <f>IFERROR(VLOOKUP(D713,Clientes_PDV!$A$2:$J$250,3,FALSE),"")</f>
        <v/>
      </c>
      <c r="G713" s="48">
        <f>IFERROR(VLOOKUP(D713,Clientes_PDV!$A$2:$J$250,4,FALSE),"")</f>
        <v/>
      </c>
      <c r="H713" s="43" t="n"/>
      <c r="I713" s="48">
        <f>IFERROR(VLOOKUP(H713,Maestro_SKU!$A$2:$P$500,2,FALSE),"")</f>
        <v/>
      </c>
      <c r="J713" s="55" t="n"/>
      <c r="K713" s="44" t="n"/>
      <c r="L713" s="51">
        <f>IF(OR(J713="",K713=""),"",J713*K713)</f>
        <v/>
      </c>
      <c r="M713" s="51">
        <f>IF(L713="","",L713*Inicio!$B$13)</f>
        <v/>
      </c>
      <c r="N713" s="51">
        <f>IF(L713="","",L713+M713)</f>
        <v/>
      </c>
      <c r="O713" s="54" t="n"/>
      <c r="P713" s="43" t="n"/>
      <c r="Q713" s="44" t="n"/>
      <c r="R713" s="51">
        <f>IF(N713="","",MAX(N713-Q713,0))</f>
        <v/>
      </c>
      <c r="S713" s="48">
        <f>IF(A713="","",IF(OR(P713="Pagada",R713=0),"Pagada",IF(O713&lt;TODAY(),"Vencida",IF(O713&lt;=TODAY()+Inicio!$B$19,"Próxima a vencer","Vigente"))))</f>
        <v/>
      </c>
      <c r="T713" s="43" t="n"/>
      <c r="U713" s="68">
        <f>IF($B713="","",YEAR($B713))</f>
        <v/>
      </c>
      <c r="V713" s="68">
        <f>IF($B713="","",MONTH($B713))</f>
        <v/>
      </c>
      <c r="W713" s="68">
        <f>IF($B713="","",DAY($B713))</f>
        <v/>
      </c>
      <c r="X713" s="68">
        <f>IF($B713="","",YEAR($B713)&amp;"-"&amp;TEXT(MONTH($B713),"00"))</f>
        <v/>
      </c>
      <c r="Y713" s="68">
        <f>IF(OR($H713="",$J713=""),"",$J713*IFERROR(VLOOKUP($H713,Maestro_SKU!$A$2:$P$500,12,FALSE),1))</f>
        <v/>
      </c>
    </row>
    <row r="714">
      <c r="A714" s="43" t="n"/>
      <c r="B714" s="54" t="n"/>
      <c r="C714" s="43" t="n"/>
      <c r="D714" s="43" t="n"/>
      <c r="E714" s="48">
        <f>IFERROR(VLOOKUP(D714,Clientes_PDV!$A$2:$J$250,2,FALSE),"")</f>
        <v/>
      </c>
      <c r="F714" s="48">
        <f>IFERROR(VLOOKUP(D714,Clientes_PDV!$A$2:$J$250,3,FALSE),"")</f>
        <v/>
      </c>
      <c r="G714" s="48">
        <f>IFERROR(VLOOKUP(D714,Clientes_PDV!$A$2:$J$250,4,FALSE),"")</f>
        <v/>
      </c>
      <c r="H714" s="43" t="n"/>
      <c r="I714" s="48">
        <f>IFERROR(VLOOKUP(H714,Maestro_SKU!$A$2:$P$500,2,FALSE),"")</f>
        <v/>
      </c>
      <c r="J714" s="55" t="n"/>
      <c r="K714" s="44" t="n"/>
      <c r="L714" s="51">
        <f>IF(OR(J714="",K714=""),"",J714*K714)</f>
        <v/>
      </c>
      <c r="M714" s="51">
        <f>IF(L714="","",L714*Inicio!$B$13)</f>
        <v/>
      </c>
      <c r="N714" s="51">
        <f>IF(L714="","",L714+M714)</f>
        <v/>
      </c>
      <c r="O714" s="54" t="n"/>
      <c r="P714" s="43" t="n"/>
      <c r="Q714" s="44" t="n"/>
      <c r="R714" s="51">
        <f>IF(N714="","",MAX(N714-Q714,0))</f>
        <v/>
      </c>
      <c r="S714" s="48">
        <f>IF(A714="","",IF(OR(P714="Pagada",R714=0),"Pagada",IF(O714&lt;TODAY(),"Vencida",IF(O714&lt;=TODAY()+Inicio!$B$19,"Próxima a vencer","Vigente"))))</f>
        <v/>
      </c>
      <c r="T714" s="43" t="n"/>
      <c r="U714" s="68">
        <f>IF($B714="","",YEAR($B714))</f>
        <v/>
      </c>
      <c r="V714" s="68">
        <f>IF($B714="","",MONTH($B714))</f>
        <v/>
      </c>
      <c r="W714" s="68">
        <f>IF($B714="","",DAY($B714))</f>
        <v/>
      </c>
      <c r="X714" s="68">
        <f>IF($B714="","",YEAR($B714)&amp;"-"&amp;TEXT(MONTH($B714),"00"))</f>
        <v/>
      </c>
      <c r="Y714" s="68">
        <f>IF(OR($H714="",$J714=""),"",$J714*IFERROR(VLOOKUP($H714,Maestro_SKU!$A$2:$P$500,12,FALSE),1))</f>
        <v/>
      </c>
    </row>
    <row r="715">
      <c r="A715" s="43" t="n"/>
      <c r="B715" s="54" t="n"/>
      <c r="C715" s="43" t="n"/>
      <c r="D715" s="43" t="n"/>
      <c r="E715" s="48">
        <f>IFERROR(VLOOKUP(D715,Clientes_PDV!$A$2:$J$250,2,FALSE),"")</f>
        <v/>
      </c>
      <c r="F715" s="48">
        <f>IFERROR(VLOOKUP(D715,Clientes_PDV!$A$2:$J$250,3,FALSE),"")</f>
        <v/>
      </c>
      <c r="G715" s="48">
        <f>IFERROR(VLOOKUP(D715,Clientes_PDV!$A$2:$J$250,4,FALSE),"")</f>
        <v/>
      </c>
      <c r="H715" s="43" t="n"/>
      <c r="I715" s="48">
        <f>IFERROR(VLOOKUP(H715,Maestro_SKU!$A$2:$P$500,2,FALSE),"")</f>
        <v/>
      </c>
      <c r="J715" s="55" t="n"/>
      <c r="K715" s="44" t="n"/>
      <c r="L715" s="51">
        <f>IF(OR(J715="",K715=""),"",J715*K715)</f>
        <v/>
      </c>
      <c r="M715" s="51">
        <f>IF(L715="","",L715*Inicio!$B$13)</f>
        <v/>
      </c>
      <c r="N715" s="51">
        <f>IF(L715="","",L715+M715)</f>
        <v/>
      </c>
      <c r="O715" s="54" t="n"/>
      <c r="P715" s="43" t="n"/>
      <c r="Q715" s="44" t="n"/>
      <c r="R715" s="51">
        <f>IF(N715="","",MAX(N715-Q715,0))</f>
        <v/>
      </c>
      <c r="S715" s="48">
        <f>IF(A715="","",IF(OR(P715="Pagada",R715=0),"Pagada",IF(O715&lt;TODAY(),"Vencida",IF(O715&lt;=TODAY()+Inicio!$B$19,"Próxima a vencer","Vigente"))))</f>
        <v/>
      </c>
      <c r="T715" s="43" t="n"/>
      <c r="U715" s="68">
        <f>IF($B715="","",YEAR($B715))</f>
        <v/>
      </c>
      <c r="V715" s="68">
        <f>IF($B715="","",MONTH($B715))</f>
        <v/>
      </c>
      <c r="W715" s="68">
        <f>IF($B715="","",DAY($B715))</f>
        <v/>
      </c>
      <c r="X715" s="68">
        <f>IF($B715="","",YEAR($B715)&amp;"-"&amp;TEXT(MONTH($B715),"00"))</f>
        <v/>
      </c>
      <c r="Y715" s="68">
        <f>IF(OR($H715="",$J715=""),"",$J715*IFERROR(VLOOKUP($H715,Maestro_SKU!$A$2:$P$500,12,FALSE),1))</f>
        <v/>
      </c>
    </row>
    <row r="716">
      <c r="A716" s="43" t="n"/>
      <c r="B716" s="54" t="n"/>
      <c r="C716" s="43" t="n"/>
      <c r="D716" s="43" t="n"/>
      <c r="E716" s="48">
        <f>IFERROR(VLOOKUP(D716,Clientes_PDV!$A$2:$J$250,2,FALSE),"")</f>
        <v/>
      </c>
      <c r="F716" s="48">
        <f>IFERROR(VLOOKUP(D716,Clientes_PDV!$A$2:$J$250,3,FALSE),"")</f>
        <v/>
      </c>
      <c r="G716" s="48">
        <f>IFERROR(VLOOKUP(D716,Clientes_PDV!$A$2:$J$250,4,FALSE),"")</f>
        <v/>
      </c>
      <c r="H716" s="43" t="n"/>
      <c r="I716" s="48">
        <f>IFERROR(VLOOKUP(H716,Maestro_SKU!$A$2:$P$500,2,FALSE),"")</f>
        <v/>
      </c>
      <c r="J716" s="55" t="n"/>
      <c r="K716" s="44" t="n"/>
      <c r="L716" s="51">
        <f>IF(OR(J716="",K716=""),"",J716*K716)</f>
        <v/>
      </c>
      <c r="M716" s="51">
        <f>IF(L716="","",L716*Inicio!$B$13)</f>
        <v/>
      </c>
      <c r="N716" s="51">
        <f>IF(L716="","",L716+M716)</f>
        <v/>
      </c>
      <c r="O716" s="54" t="n"/>
      <c r="P716" s="43" t="n"/>
      <c r="Q716" s="44" t="n"/>
      <c r="R716" s="51">
        <f>IF(N716="","",MAX(N716-Q716,0))</f>
        <v/>
      </c>
      <c r="S716" s="48">
        <f>IF(A716="","",IF(OR(P716="Pagada",R716=0),"Pagada",IF(O716&lt;TODAY(),"Vencida",IF(O716&lt;=TODAY()+Inicio!$B$19,"Próxima a vencer","Vigente"))))</f>
        <v/>
      </c>
      <c r="T716" s="43" t="n"/>
      <c r="U716" s="68">
        <f>IF($B716="","",YEAR($B716))</f>
        <v/>
      </c>
      <c r="V716" s="68">
        <f>IF($B716="","",MONTH($B716))</f>
        <v/>
      </c>
      <c r="W716" s="68">
        <f>IF($B716="","",DAY($B716))</f>
        <v/>
      </c>
      <c r="X716" s="68">
        <f>IF($B716="","",YEAR($B716)&amp;"-"&amp;TEXT(MONTH($B716),"00"))</f>
        <v/>
      </c>
      <c r="Y716" s="68">
        <f>IF(OR($H716="",$J716=""),"",$J716*IFERROR(VLOOKUP($H716,Maestro_SKU!$A$2:$P$500,12,FALSE),1))</f>
        <v/>
      </c>
    </row>
    <row r="717">
      <c r="A717" s="43" t="n"/>
      <c r="B717" s="54" t="n"/>
      <c r="C717" s="43" t="n"/>
      <c r="D717" s="43" t="n"/>
      <c r="E717" s="48">
        <f>IFERROR(VLOOKUP(D717,Clientes_PDV!$A$2:$J$250,2,FALSE),"")</f>
        <v/>
      </c>
      <c r="F717" s="48">
        <f>IFERROR(VLOOKUP(D717,Clientes_PDV!$A$2:$J$250,3,FALSE),"")</f>
        <v/>
      </c>
      <c r="G717" s="48">
        <f>IFERROR(VLOOKUP(D717,Clientes_PDV!$A$2:$J$250,4,FALSE),"")</f>
        <v/>
      </c>
      <c r="H717" s="43" t="n"/>
      <c r="I717" s="48">
        <f>IFERROR(VLOOKUP(H717,Maestro_SKU!$A$2:$P$500,2,FALSE),"")</f>
        <v/>
      </c>
      <c r="J717" s="55" t="n"/>
      <c r="K717" s="44" t="n"/>
      <c r="L717" s="51">
        <f>IF(OR(J717="",K717=""),"",J717*K717)</f>
        <v/>
      </c>
      <c r="M717" s="51">
        <f>IF(L717="","",L717*Inicio!$B$13)</f>
        <v/>
      </c>
      <c r="N717" s="51">
        <f>IF(L717="","",L717+M717)</f>
        <v/>
      </c>
      <c r="O717" s="54" t="n"/>
      <c r="P717" s="43" t="n"/>
      <c r="Q717" s="44" t="n"/>
      <c r="R717" s="51">
        <f>IF(N717="","",MAX(N717-Q717,0))</f>
        <v/>
      </c>
      <c r="S717" s="48">
        <f>IF(A717="","",IF(OR(P717="Pagada",R717=0),"Pagada",IF(O717&lt;TODAY(),"Vencida",IF(O717&lt;=TODAY()+Inicio!$B$19,"Próxima a vencer","Vigente"))))</f>
        <v/>
      </c>
      <c r="T717" s="43" t="n"/>
      <c r="U717" s="68">
        <f>IF($B717="","",YEAR($B717))</f>
        <v/>
      </c>
      <c r="V717" s="68">
        <f>IF($B717="","",MONTH($B717))</f>
        <v/>
      </c>
      <c r="W717" s="68">
        <f>IF($B717="","",DAY($B717))</f>
        <v/>
      </c>
      <c r="X717" s="68">
        <f>IF($B717="","",YEAR($B717)&amp;"-"&amp;TEXT(MONTH($B717),"00"))</f>
        <v/>
      </c>
      <c r="Y717" s="68">
        <f>IF(OR($H717="",$J717=""),"",$J717*IFERROR(VLOOKUP($H717,Maestro_SKU!$A$2:$P$500,12,FALSE),1))</f>
        <v/>
      </c>
    </row>
    <row r="718">
      <c r="A718" s="43" t="n"/>
      <c r="B718" s="54" t="n"/>
      <c r="C718" s="43" t="n"/>
      <c r="D718" s="43" t="n"/>
      <c r="E718" s="48">
        <f>IFERROR(VLOOKUP(D718,Clientes_PDV!$A$2:$J$250,2,FALSE),"")</f>
        <v/>
      </c>
      <c r="F718" s="48">
        <f>IFERROR(VLOOKUP(D718,Clientes_PDV!$A$2:$J$250,3,FALSE),"")</f>
        <v/>
      </c>
      <c r="G718" s="48">
        <f>IFERROR(VLOOKUP(D718,Clientes_PDV!$A$2:$J$250,4,FALSE),"")</f>
        <v/>
      </c>
      <c r="H718" s="43" t="n"/>
      <c r="I718" s="48">
        <f>IFERROR(VLOOKUP(H718,Maestro_SKU!$A$2:$P$500,2,FALSE),"")</f>
        <v/>
      </c>
      <c r="J718" s="55" t="n"/>
      <c r="K718" s="44" t="n"/>
      <c r="L718" s="51">
        <f>IF(OR(J718="",K718=""),"",J718*K718)</f>
        <v/>
      </c>
      <c r="M718" s="51">
        <f>IF(L718="","",L718*Inicio!$B$13)</f>
        <v/>
      </c>
      <c r="N718" s="51">
        <f>IF(L718="","",L718+M718)</f>
        <v/>
      </c>
      <c r="O718" s="54" t="n"/>
      <c r="P718" s="43" t="n"/>
      <c r="Q718" s="44" t="n"/>
      <c r="R718" s="51">
        <f>IF(N718="","",MAX(N718-Q718,0))</f>
        <v/>
      </c>
      <c r="S718" s="48">
        <f>IF(A718="","",IF(OR(P718="Pagada",R718=0),"Pagada",IF(O718&lt;TODAY(),"Vencida",IF(O718&lt;=TODAY()+Inicio!$B$19,"Próxima a vencer","Vigente"))))</f>
        <v/>
      </c>
      <c r="T718" s="43" t="n"/>
      <c r="U718" s="68">
        <f>IF($B718="","",YEAR($B718))</f>
        <v/>
      </c>
      <c r="V718" s="68">
        <f>IF($B718="","",MONTH($B718))</f>
        <v/>
      </c>
      <c r="W718" s="68">
        <f>IF($B718="","",DAY($B718))</f>
        <v/>
      </c>
      <c r="X718" s="68">
        <f>IF($B718="","",YEAR($B718)&amp;"-"&amp;TEXT(MONTH($B718),"00"))</f>
        <v/>
      </c>
      <c r="Y718" s="68">
        <f>IF(OR($H718="",$J718=""),"",$J718*IFERROR(VLOOKUP($H718,Maestro_SKU!$A$2:$P$500,12,FALSE),1))</f>
        <v/>
      </c>
    </row>
    <row r="719">
      <c r="A719" s="43" t="n"/>
      <c r="B719" s="54" t="n"/>
      <c r="C719" s="43" t="n"/>
      <c r="D719" s="43" t="n"/>
      <c r="E719" s="48">
        <f>IFERROR(VLOOKUP(D719,Clientes_PDV!$A$2:$J$250,2,FALSE),"")</f>
        <v/>
      </c>
      <c r="F719" s="48">
        <f>IFERROR(VLOOKUP(D719,Clientes_PDV!$A$2:$J$250,3,FALSE),"")</f>
        <v/>
      </c>
      <c r="G719" s="48">
        <f>IFERROR(VLOOKUP(D719,Clientes_PDV!$A$2:$J$250,4,FALSE),"")</f>
        <v/>
      </c>
      <c r="H719" s="43" t="n"/>
      <c r="I719" s="48">
        <f>IFERROR(VLOOKUP(H719,Maestro_SKU!$A$2:$P$500,2,FALSE),"")</f>
        <v/>
      </c>
      <c r="J719" s="55" t="n"/>
      <c r="K719" s="44" t="n"/>
      <c r="L719" s="51">
        <f>IF(OR(J719="",K719=""),"",J719*K719)</f>
        <v/>
      </c>
      <c r="M719" s="51">
        <f>IF(L719="","",L719*Inicio!$B$13)</f>
        <v/>
      </c>
      <c r="N719" s="51">
        <f>IF(L719="","",L719+M719)</f>
        <v/>
      </c>
      <c r="O719" s="54" t="n"/>
      <c r="P719" s="43" t="n"/>
      <c r="Q719" s="44" t="n"/>
      <c r="R719" s="51">
        <f>IF(N719="","",MAX(N719-Q719,0))</f>
        <v/>
      </c>
      <c r="S719" s="48">
        <f>IF(A719="","",IF(OR(P719="Pagada",R719=0),"Pagada",IF(O719&lt;TODAY(),"Vencida",IF(O719&lt;=TODAY()+Inicio!$B$19,"Próxima a vencer","Vigente"))))</f>
        <v/>
      </c>
      <c r="T719" s="43" t="n"/>
      <c r="U719" s="68">
        <f>IF($B719="","",YEAR($B719))</f>
        <v/>
      </c>
      <c r="V719" s="68">
        <f>IF($B719="","",MONTH($B719))</f>
        <v/>
      </c>
      <c r="W719" s="68">
        <f>IF($B719="","",DAY($B719))</f>
        <v/>
      </c>
      <c r="X719" s="68">
        <f>IF($B719="","",YEAR($B719)&amp;"-"&amp;TEXT(MONTH($B719),"00"))</f>
        <v/>
      </c>
      <c r="Y719" s="68">
        <f>IF(OR($H719="",$J719=""),"",$J719*IFERROR(VLOOKUP($H719,Maestro_SKU!$A$2:$P$500,12,FALSE),1))</f>
        <v/>
      </c>
    </row>
    <row r="720">
      <c r="A720" s="43" t="n"/>
      <c r="B720" s="54" t="n"/>
      <c r="C720" s="43" t="n"/>
      <c r="D720" s="43" t="n"/>
      <c r="E720" s="48">
        <f>IFERROR(VLOOKUP(D720,Clientes_PDV!$A$2:$J$250,2,FALSE),"")</f>
        <v/>
      </c>
      <c r="F720" s="48">
        <f>IFERROR(VLOOKUP(D720,Clientes_PDV!$A$2:$J$250,3,FALSE),"")</f>
        <v/>
      </c>
      <c r="G720" s="48">
        <f>IFERROR(VLOOKUP(D720,Clientes_PDV!$A$2:$J$250,4,FALSE),"")</f>
        <v/>
      </c>
      <c r="H720" s="43" t="n"/>
      <c r="I720" s="48">
        <f>IFERROR(VLOOKUP(H720,Maestro_SKU!$A$2:$P$500,2,FALSE),"")</f>
        <v/>
      </c>
      <c r="J720" s="55" t="n"/>
      <c r="K720" s="44" t="n"/>
      <c r="L720" s="51">
        <f>IF(OR(J720="",K720=""),"",J720*K720)</f>
        <v/>
      </c>
      <c r="M720" s="51">
        <f>IF(L720="","",L720*Inicio!$B$13)</f>
        <v/>
      </c>
      <c r="N720" s="51">
        <f>IF(L720="","",L720+M720)</f>
        <v/>
      </c>
      <c r="O720" s="54" t="n"/>
      <c r="P720" s="43" t="n"/>
      <c r="Q720" s="44" t="n"/>
      <c r="R720" s="51">
        <f>IF(N720="","",MAX(N720-Q720,0))</f>
        <v/>
      </c>
      <c r="S720" s="48">
        <f>IF(A720="","",IF(OR(P720="Pagada",R720=0),"Pagada",IF(O720&lt;TODAY(),"Vencida",IF(O720&lt;=TODAY()+Inicio!$B$19,"Próxima a vencer","Vigente"))))</f>
        <v/>
      </c>
      <c r="T720" s="43" t="n"/>
      <c r="U720" s="68">
        <f>IF($B720="","",YEAR($B720))</f>
        <v/>
      </c>
      <c r="V720" s="68">
        <f>IF($B720="","",MONTH($B720))</f>
        <v/>
      </c>
      <c r="W720" s="68">
        <f>IF($B720="","",DAY($B720))</f>
        <v/>
      </c>
      <c r="X720" s="68">
        <f>IF($B720="","",YEAR($B720)&amp;"-"&amp;TEXT(MONTH($B720),"00"))</f>
        <v/>
      </c>
      <c r="Y720" s="68">
        <f>IF(OR($H720="",$J720=""),"",$J720*IFERROR(VLOOKUP($H720,Maestro_SKU!$A$2:$P$500,12,FALSE),1))</f>
        <v/>
      </c>
    </row>
    <row r="721">
      <c r="A721" s="43" t="n"/>
      <c r="B721" s="54" t="n"/>
      <c r="C721" s="43" t="n"/>
      <c r="D721" s="43" t="n"/>
      <c r="E721" s="48">
        <f>IFERROR(VLOOKUP(D721,Clientes_PDV!$A$2:$J$250,2,FALSE),"")</f>
        <v/>
      </c>
      <c r="F721" s="48">
        <f>IFERROR(VLOOKUP(D721,Clientes_PDV!$A$2:$J$250,3,FALSE),"")</f>
        <v/>
      </c>
      <c r="G721" s="48">
        <f>IFERROR(VLOOKUP(D721,Clientes_PDV!$A$2:$J$250,4,FALSE),"")</f>
        <v/>
      </c>
      <c r="H721" s="43" t="n"/>
      <c r="I721" s="48">
        <f>IFERROR(VLOOKUP(H721,Maestro_SKU!$A$2:$P$500,2,FALSE),"")</f>
        <v/>
      </c>
      <c r="J721" s="55" t="n"/>
      <c r="K721" s="44" t="n"/>
      <c r="L721" s="51">
        <f>IF(OR(J721="",K721=""),"",J721*K721)</f>
        <v/>
      </c>
      <c r="M721" s="51">
        <f>IF(L721="","",L721*Inicio!$B$13)</f>
        <v/>
      </c>
      <c r="N721" s="51">
        <f>IF(L721="","",L721+M721)</f>
        <v/>
      </c>
      <c r="O721" s="54" t="n"/>
      <c r="P721" s="43" t="n"/>
      <c r="Q721" s="44" t="n"/>
      <c r="R721" s="51">
        <f>IF(N721="","",MAX(N721-Q721,0))</f>
        <v/>
      </c>
      <c r="S721" s="48">
        <f>IF(A721="","",IF(OR(P721="Pagada",R721=0),"Pagada",IF(O721&lt;TODAY(),"Vencida",IF(O721&lt;=TODAY()+Inicio!$B$19,"Próxima a vencer","Vigente"))))</f>
        <v/>
      </c>
      <c r="T721" s="43" t="n"/>
      <c r="U721" s="68">
        <f>IF($B721="","",YEAR($B721))</f>
        <v/>
      </c>
      <c r="V721" s="68">
        <f>IF($B721="","",MONTH($B721))</f>
        <v/>
      </c>
      <c r="W721" s="68">
        <f>IF($B721="","",DAY($B721))</f>
        <v/>
      </c>
      <c r="X721" s="68">
        <f>IF($B721="","",YEAR($B721)&amp;"-"&amp;TEXT(MONTH($B721),"00"))</f>
        <v/>
      </c>
      <c r="Y721" s="68">
        <f>IF(OR($H721="",$J721=""),"",$J721*IFERROR(VLOOKUP($H721,Maestro_SKU!$A$2:$P$500,12,FALSE),1))</f>
        <v/>
      </c>
    </row>
    <row r="722">
      <c r="A722" s="43" t="n"/>
      <c r="B722" s="54" t="n"/>
      <c r="C722" s="43" t="n"/>
      <c r="D722" s="43" t="n"/>
      <c r="E722" s="48">
        <f>IFERROR(VLOOKUP(D722,Clientes_PDV!$A$2:$J$250,2,FALSE),"")</f>
        <v/>
      </c>
      <c r="F722" s="48">
        <f>IFERROR(VLOOKUP(D722,Clientes_PDV!$A$2:$J$250,3,FALSE),"")</f>
        <v/>
      </c>
      <c r="G722" s="48">
        <f>IFERROR(VLOOKUP(D722,Clientes_PDV!$A$2:$J$250,4,FALSE),"")</f>
        <v/>
      </c>
      <c r="H722" s="43" t="n"/>
      <c r="I722" s="48">
        <f>IFERROR(VLOOKUP(H722,Maestro_SKU!$A$2:$P$500,2,FALSE),"")</f>
        <v/>
      </c>
      <c r="J722" s="55" t="n"/>
      <c r="K722" s="44" t="n"/>
      <c r="L722" s="51">
        <f>IF(OR(J722="",K722=""),"",J722*K722)</f>
        <v/>
      </c>
      <c r="M722" s="51">
        <f>IF(L722="","",L722*Inicio!$B$13)</f>
        <v/>
      </c>
      <c r="N722" s="51">
        <f>IF(L722="","",L722+M722)</f>
        <v/>
      </c>
      <c r="O722" s="54" t="n"/>
      <c r="P722" s="43" t="n"/>
      <c r="Q722" s="44" t="n"/>
      <c r="R722" s="51">
        <f>IF(N722="","",MAX(N722-Q722,0))</f>
        <v/>
      </c>
      <c r="S722" s="48">
        <f>IF(A722="","",IF(OR(P722="Pagada",R722=0),"Pagada",IF(O722&lt;TODAY(),"Vencida",IF(O722&lt;=TODAY()+Inicio!$B$19,"Próxima a vencer","Vigente"))))</f>
        <v/>
      </c>
      <c r="T722" s="43" t="n"/>
      <c r="U722" s="68">
        <f>IF($B722="","",YEAR($B722))</f>
        <v/>
      </c>
      <c r="V722" s="68">
        <f>IF($B722="","",MONTH($B722))</f>
        <v/>
      </c>
      <c r="W722" s="68">
        <f>IF($B722="","",DAY($B722))</f>
        <v/>
      </c>
      <c r="X722" s="68">
        <f>IF($B722="","",YEAR($B722)&amp;"-"&amp;TEXT(MONTH($B722),"00"))</f>
        <v/>
      </c>
      <c r="Y722" s="68">
        <f>IF(OR($H722="",$J722=""),"",$J722*IFERROR(VLOOKUP($H722,Maestro_SKU!$A$2:$P$500,12,FALSE),1))</f>
        <v/>
      </c>
    </row>
    <row r="723">
      <c r="A723" s="43" t="n"/>
      <c r="B723" s="54" t="n"/>
      <c r="C723" s="43" t="n"/>
      <c r="D723" s="43" t="n"/>
      <c r="E723" s="48">
        <f>IFERROR(VLOOKUP(D723,Clientes_PDV!$A$2:$J$250,2,FALSE),"")</f>
        <v/>
      </c>
      <c r="F723" s="48">
        <f>IFERROR(VLOOKUP(D723,Clientes_PDV!$A$2:$J$250,3,FALSE),"")</f>
        <v/>
      </c>
      <c r="G723" s="48">
        <f>IFERROR(VLOOKUP(D723,Clientes_PDV!$A$2:$J$250,4,FALSE),"")</f>
        <v/>
      </c>
      <c r="H723" s="43" t="n"/>
      <c r="I723" s="48">
        <f>IFERROR(VLOOKUP(H723,Maestro_SKU!$A$2:$P$500,2,FALSE),"")</f>
        <v/>
      </c>
      <c r="J723" s="55" t="n"/>
      <c r="K723" s="44" t="n"/>
      <c r="L723" s="51">
        <f>IF(OR(J723="",K723=""),"",J723*K723)</f>
        <v/>
      </c>
      <c r="M723" s="51">
        <f>IF(L723="","",L723*Inicio!$B$13)</f>
        <v/>
      </c>
      <c r="N723" s="51">
        <f>IF(L723="","",L723+M723)</f>
        <v/>
      </c>
      <c r="O723" s="54" t="n"/>
      <c r="P723" s="43" t="n"/>
      <c r="Q723" s="44" t="n"/>
      <c r="R723" s="51">
        <f>IF(N723="","",MAX(N723-Q723,0))</f>
        <v/>
      </c>
      <c r="S723" s="48">
        <f>IF(A723="","",IF(OR(P723="Pagada",R723=0),"Pagada",IF(O723&lt;TODAY(),"Vencida",IF(O723&lt;=TODAY()+Inicio!$B$19,"Próxima a vencer","Vigente"))))</f>
        <v/>
      </c>
      <c r="T723" s="43" t="n"/>
      <c r="U723" s="68">
        <f>IF($B723="","",YEAR($B723))</f>
        <v/>
      </c>
      <c r="V723" s="68">
        <f>IF($B723="","",MONTH($B723))</f>
        <v/>
      </c>
      <c r="W723" s="68">
        <f>IF($B723="","",DAY($B723))</f>
        <v/>
      </c>
      <c r="X723" s="68">
        <f>IF($B723="","",YEAR($B723)&amp;"-"&amp;TEXT(MONTH($B723),"00"))</f>
        <v/>
      </c>
      <c r="Y723" s="68">
        <f>IF(OR($H723="",$J723=""),"",$J723*IFERROR(VLOOKUP($H723,Maestro_SKU!$A$2:$P$500,12,FALSE),1))</f>
        <v/>
      </c>
    </row>
    <row r="724">
      <c r="A724" s="43" t="n"/>
      <c r="B724" s="54" t="n"/>
      <c r="C724" s="43" t="n"/>
      <c r="D724" s="43" t="n"/>
      <c r="E724" s="48">
        <f>IFERROR(VLOOKUP(D724,Clientes_PDV!$A$2:$J$250,2,FALSE),"")</f>
        <v/>
      </c>
      <c r="F724" s="48">
        <f>IFERROR(VLOOKUP(D724,Clientes_PDV!$A$2:$J$250,3,FALSE),"")</f>
        <v/>
      </c>
      <c r="G724" s="48">
        <f>IFERROR(VLOOKUP(D724,Clientes_PDV!$A$2:$J$250,4,FALSE),"")</f>
        <v/>
      </c>
      <c r="H724" s="43" t="n"/>
      <c r="I724" s="48">
        <f>IFERROR(VLOOKUP(H724,Maestro_SKU!$A$2:$P$500,2,FALSE),"")</f>
        <v/>
      </c>
      <c r="J724" s="55" t="n"/>
      <c r="K724" s="44" t="n"/>
      <c r="L724" s="51">
        <f>IF(OR(J724="",K724=""),"",J724*K724)</f>
        <v/>
      </c>
      <c r="M724" s="51">
        <f>IF(L724="","",L724*Inicio!$B$13)</f>
        <v/>
      </c>
      <c r="N724" s="51">
        <f>IF(L724="","",L724+M724)</f>
        <v/>
      </c>
      <c r="O724" s="54" t="n"/>
      <c r="P724" s="43" t="n"/>
      <c r="Q724" s="44" t="n"/>
      <c r="R724" s="51">
        <f>IF(N724="","",MAX(N724-Q724,0))</f>
        <v/>
      </c>
      <c r="S724" s="48">
        <f>IF(A724="","",IF(OR(P724="Pagada",R724=0),"Pagada",IF(O724&lt;TODAY(),"Vencida",IF(O724&lt;=TODAY()+Inicio!$B$19,"Próxima a vencer","Vigente"))))</f>
        <v/>
      </c>
      <c r="T724" s="43" t="n"/>
      <c r="U724" s="68">
        <f>IF($B724="","",YEAR($B724))</f>
        <v/>
      </c>
      <c r="V724" s="68">
        <f>IF($B724="","",MONTH($B724))</f>
        <v/>
      </c>
      <c r="W724" s="68">
        <f>IF($B724="","",DAY($B724))</f>
        <v/>
      </c>
      <c r="X724" s="68">
        <f>IF($B724="","",YEAR($B724)&amp;"-"&amp;TEXT(MONTH($B724),"00"))</f>
        <v/>
      </c>
      <c r="Y724" s="68">
        <f>IF(OR($H724="",$J724=""),"",$J724*IFERROR(VLOOKUP($H724,Maestro_SKU!$A$2:$P$500,12,FALSE),1))</f>
        <v/>
      </c>
    </row>
    <row r="725">
      <c r="A725" s="43" t="n"/>
      <c r="B725" s="54" t="n"/>
      <c r="C725" s="43" t="n"/>
      <c r="D725" s="43" t="n"/>
      <c r="E725" s="48">
        <f>IFERROR(VLOOKUP(D725,Clientes_PDV!$A$2:$J$250,2,FALSE),"")</f>
        <v/>
      </c>
      <c r="F725" s="48">
        <f>IFERROR(VLOOKUP(D725,Clientes_PDV!$A$2:$J$250,3,FALSE),"")</f>
        <v/>
      </c>
      <c r="G725" s="48">
        <f>IFERROR(VLOOKUP(D725,Clientes_PDV!$A$2:$J$250,4,FALSE),"")</f>
        <v/>
      </c>
      <c r="H725" s="43" t="n"/>
      <c r="I725" s="48">
        <f>IFERROR(VLOOKUP(H725,Maestro_SKU!$A$2:$P$500,2,FALSE),"")</f>
        <v/>
      </c>
      <c r="J725" s="55" t="n"/>
      <c r="K725" s="44" t="n"/>
      <c r="L725" s="51">
        <f>IF(OR(J725="",K725=""),"",J725*K725)</f>
        <v/>
      </c>
      <c r="M725" s="51">
        <f>IF(L725="","",L725*Inicio!$B$13)</f>
        <v/>
      </c>
      <c r="N725" s="51">
        <f>IF(L725="","",L725+M725)</f>
        <v/>
      </c>
      <c r="O725" s="54" t="n"/>
      <c r="P725" s="43" t="n"/>
      <c r="Q725" s="44" t="n"/>
      <c r="R725" s="51">
        <f>IF(N725="","",MAX(N725-Q725,0))</f>
        <v/>
      </c>
      <c r="S725" s="48">
        <f>IF(A725="","",IF(OR(P725="Pagada",R725=0),"Pagada",IF(O725&lt;TODAY(),"Vencida",IF(O725&lt;=TODAY()+Inicio!$B$19,"Próxima a vencer","Vigente"))))</f>
        <v/>
      </c>
      <c r="T725" s="43" t="n"/>
      <c r="U725" s="68">
        <f>IF($B725="","",YEAR($B725))</f>
        <v/>
      </c>
      <c r="V725" s="68">
        <f>IF($B725="","",MONTH($B725))</f>
        <v/>
      </c>
      <c r="W725" s="68">
        <f>IF($B725="","",DAY($B725))</f>
        <v/>
      </c>
      <c r="X725" s="68">
        <f>IF($B725="","",YEAR($B725)&amp;"-"&amp;TEXT(MONTH($B725),"00"))</f>
        <v/>
      </c>
      <c r="Y725" s="68">
        <f>IF(OR($H725="",$J725=""),"",$J725*IFERROR(VLOOKUP($H725,Maestro_SKU!$A$2:$P$500,12,FALSE),1))</f>
        <v/>
      </c>
    </row>
    <row r="726">
      <c r="A726" s="43" t="n"/>
      <c r="B726" s="54" t="n"/>
      <c r="C726" s="43" t="n"/>
      <c r="D726" s="43" t="n"/>
      <c r="E726" s="48">
        <f>IFERROR(VLOOKUP(D726,Clientes_PDV!$A$2:$J$250,2,FALSE),"")</f>
        <v/>
      </c>
      <c r="F726" s="48">
        <f>IFERROR(VLOOKUP(D726,Clientes_PDV!$A$2:$J$250,3,FALSE),"")</f>
        <v/>
      </c>
      <c r="G726" s="48">
        <f>IFERROR(VLOOKUP(D726,Clientes_PDV!$A$2:$J$250,4,FALSE),"")</f>
        <v/>
      </c>
      <c r="H726" s="43" t="n"/>
      <c r="I726" s="48">
        <f>IFERROR(VLOOKUP(H726,Maestro_SKU!$A$2:$P$500,2,FALSE),"")</f>
        <v/>
      </c>
      <c r="J726" s="55" t="n"/>
      <c r="K726" s="44" t="n"/>
      <c r="L726" s="51">
        <f>IF(OR(J726="",K726=""),"",J726*K726)</f>
        <v/>
      </c>
      <c r="M726" s="51">
        <f>IF(L726="","",L726*Inicio!$B$13)</f>
        <v/>
      </c>
      <c r="N726" s="51">
        <f>IF(L726="","",L726+M726)</f>
        <v/>
      </c>
      <c r="O726" s="54" t="n"/>
      <c r="P726" s="43" t="n"/>
      <c r="Q726" s="44" t="n"/>
      <c r="R726" s="51">
        <f>IF(N726="","",MAX(N726-Q726,0))</f>
        <v/>
      </c>
      <c r="S726" s="48">
        <f>IF(A726="","",IF(OR(P726="Pagada",R726=0),"Pagada",IF(O726&lt;TODAY(),"Vencida",IF(O726&lt;=TODAY()+Inicio!$B$19,"Próxima a vencer","Vigente"))))</f>
        <v/>
      </c>
      <c r="T726" s="43" t="n"/>
      <c r="U726" s="68">
        <f>IF($B726="","",YEAR($B726))</f>
        <v/>
      </c>
      <c r="V726" s="68">
        <f>IF($B726="","",MONTH($B726))</f>
        <v/>
      </c>
      <c r="W726" s="68">
        <f>IF($B726="","",DAY($B726))</f>
        <v/>
      </c>
      <c r="X726" s="68">
        <f>IF($B726="","",YEAR($B726)&amp;"-"&amp;TEXT(MONTH($B726),"00"))</f>
        <v/>
      </c>
      <c r="Y726" s="68">
        <f>IF(OR($H726="",$J726=""),"",$J726*IFERROR(VLOOKUP($H726,Maestro_SKU!$A$2:$P$500,12,FALSE),1))</f>
        <v/>
      </c>
    </row>
    <row r="727">
      <c r="A727" s="43" t="n"/>
      <c r="B727" s="54" t="n"/>
      <c r="C727" s="43" t="n"/>
      <c r="D727" s="43" t="n"/>
      <c r="E727" s="48">
        <f>IFERROR(VLOOKUP(D727,Clientes_PDV!$A$2:$J$250,2,FALSE),"")</f>
        <v/>
      </c>
      <c r="F727" s="48">
        <f>IFERROR(VLOOKUP(D727,Clientes_PDV!$A$2:$J$250,3,FALSE),"")</f>
        <v/>
      </c>
      <c r="G727" s="48">
        <f>IFERROR(VLOOKUP(D727,Clientes_PDV!$A$2:$J$250,4,FALSE),"")</f>
        <v/>
      </c>
      <c r="H727" s="43" t="n"/>
      <c r="I727" s="48">
        <f>IFERROR(VLOOKUP(H727,Maestro_SKU!$A$2:$P$500,2,FALSE),"")</f>
        <v/>
      </c>
      <c r="J727" s="55" t="n"/>
      <c r="K727" s="44" t="n"/>
      <c r="L727" s="51">
        <f>IF(OR(J727="",K727=""),"",J727*K727)</f>
        <v/>
      </c>
      <c r="M727" s="51">
        <f>IF(L727="","",L727*Inicio!$B$13)</f>
        <v/>
      </c>
      <c r="N727" s="51">
        <f>IF(L727="","",L727+M727)</f>
        <v/>
      </c>
      <c r="O727" s="54" t="n"/>
      <c r="P727" s="43" t="n"/>
      <c r="Q727" s="44" t="n"/>
      <c r="R727" s="51">
        <f>IF(N727="","",MAX(N727-Q727,0))</f>
        <v/>
      </c>
      <c r="S727" s="48">
        <f>IF(A727="","",IF(OR(P727="Pagada",R727=0),"Pagada",IF(O727&lt;TODAY(),"Vencida",IF(O727&lt;=TODAY()+Inicio!$B$19,"Próxima a vencer","Vigente"))))</f>
        <v/>
      </c>
      <c r="T727" s="43" t="n"/>
      <c r="U727" s="68">
        <f>IF($B727="","",YEAR($B727))</f>
        <v/>
      </c>
      <c r="V727" s="68">
        <f>IF($B727="","",MONTH($B727))</f>
        <v/>
      </c>
      <c r="W727" s="68">
        <f>IF($B727="","",DAY($B727))</f>
        <v/>
      </c>
      <c r="X727" s="68">
        <f>IF($B727="","",YEAR($B727)&amp;"-"&amp;TEXT(MONTH($B727),"00"))</f>
        <v/>
      </c>
      <c r="Y727" s="68">
        <f>IF(OR($H727="",$J727=""),"",$J727*IFERROR(VLOOKUP($H727,Maestro_SKU!$A$2:$P$500,12,FALSE),1))</f>
        <v/>
      </c>
    </row>
    <row r="728">
      <c r="A728" s="43" t="n"/>
      <c r="B728" s="54" t="n"/>
      <c r="C728" s="43" t="n"/>
      <c r="D728" s="43" t="n"/>
      <c r="E728" s="48">
        <f>IFERROR(VLOOKUP(D728,Clientes_PDV!$A$2:$J$250,2,FALSE),"")</f>
        <v/>
      </c>
      <c r="F728" s="48">
        <f>IFERROR(VLOOKUP(D728,Clientes_PDV!$A$2:$J$250,3,FALSE),"")</f>
        <v/>
      </c>
      <c r="G728" s="48">
        <f>IFERROR(VLOOKUP(D728,Clientes_PDV!$A$2:$J$250,4,FALSE),"")</f>
        <v/>
      </c>
      <c r="H728" s="43" t="n"/>
      <c r="I728" s="48">
        <f>IFERROR(VLOOKUP(H728,Maestro_SKU!$A$2:$P$500,2,FALSE),"")</f>
        <v/>
      </c>
      <c r="J728" s="55" t="n"/>
      <c r="K728" s="44" t="n"/>
      <c r="L728" s="51">
        <f>IF(OR(J728="",K728=""),"",J728*K728)</f>
        <v/>
      </c>
      <c r="M728" s="51">
        <f>IF(L728="","",L728*Inicio!$B$13)</f>
        <v/>
      </c>
      <c r="N728" s="51">
        <f>IF(L728="","",L728+M728)</f>
        <v/>
      </c>
      <c r="O728" s="54" t="n"/>
      <c r="P728" s="43" t="n"/>
      <c r="Q728" s="44" t="n"/>
      <c r="R728" s="51">
        <f>IF(N728="","",MAX(N728-Q728,0))</f>
        <v/>
      </c>
      <c r="S728" s="48">
        <f>IF(A728="","",IF(OR(P728="Pagada",R728=0),"Pagada",IF(O728&lt;TODAY(),"Vencida",IF(O728&lt;=TODAY()+Inicio!$B$19,"Próxima a vencer","Vigente"))))</f>
        <v/>
      </c>
      <c r="T728" s="43" t="n"/>
      <c r="U728" s="68">
        <f>IF($B728="","",YEAR($B728))</f>
        <v/>
      </c>
      <c r="V728" s="68">
        <f>IF($B728="","",MONTH($B728))</f>
        <v/>
      </c>
      <c r="W728" s="68">
        <f>IF($B728="","",DAY($B728))</f>
        <v/>
      </c>
      <c r="X728" s="68">
        <f>IF($B728="","",YEAR($B728)&amp;"-"&amp;TEXT(MONTH($B728),"00"))</f>
        <v/>
      </c>
      <c r="Y728" s="68">
        <f>IF(OR($H728="",$J728=""),"",$J728*IFERROR(VLOOKUP($H728,Maestro_SKU!$A$2:$P$500,12,FALSE),1))</f>
        <v/>
      </c>
    </row>
    <row r="729">
      <c r="A729" s="43" t="n"/>
      <c r="B729" s="54" t="n"/>
      <c r="C729" s="43" t="n"/>
      <c r="D729" s="43" t="n"/>
      <c r="E729" s="48">
        <f>IFERROR(VLOOKUP(D729,Clientes_PDV!$A$2:$J$250,2,FALSE),"")</f>
        <v/>
      </c>
      <c r="F729" s="48">
        <f>IFERROR(VLOOKUP(D729,Clientes_PDV!$A$2:$J$250,3,FALSE),"")</f>
        <v/>
      </c>
      <c r="G729" s="48">
        <f>IFERROR(VLOOKUP(D729,Clientes_PDV!$A$2:$J$250,4,FALSE),"")</f>
        <v/>
      </c>
      <c r="H729" s="43" t="n"/>
      <c r="I729" s="48">
        <f>IFERROR(VLOOKUP(H729,Maestro_SKU!$A$2:$P$500,2,FALSE),"")</f>
        <v/>
      </c>
      <c r="J729" s="55" t="n"/>
      <c r="K729" s="44" t="n"/>
      <c r="L729" s="51">
        <f>IF(OR(J729="",K729=""),"",J729*K729)</f>
        <v/>
      </c>
      <c r="M729" s="51">
        <f>IF(L729="","",L729*Inicio!$B$13)</f>
        <v/>
      </c>
      <c r="N729" s="51">
        <f>IF(L729="","",L729+M729)</f>
        <v/>
      </c>
      <c r="O729" s="54" t="n"/>
      <c r="P729" s="43" t="n"/>
      <c r="Q729" s="44" t="n"/>
      <c r="R729" s="51">
        <f>IF(N729="","",MAX(N729-Q729,0))</f>
        <v/>
      </c>
      <c r="S729" s="48">
        <f>IF(A729="","",IF(OR(P729="Pagada",R729=0),"Pagada",IF(O729&lt;TODAY(),"Vencida",IF(O729&lt;=TODAY()+Inicio!$B$19,"Próxima a vencer","Vigente"))))</f>
        <v/>
      </c>
      <c r="T729" s="43" t="n"/>
      <c r="U729" s="68">
        <f>IF($B729="","",YEAR($B729))</f>
        <v/>
      </c>
      <c r="V729" s="68">
        <f>IF($B729="","",MONTH($B729))</f>
        <v/>
      </c>
      <c r="W729" s="68">
        <f>IF($B729="","",DAY($B729))</f>
        <v/>
      </c>
      <c r="X729" s="68">
        <f>IF($B729="","",YEAR($B729)&amp;"-"&amp;TEXT(MONTH($B729),"00"))</f>
        <v/>
      </c>
      <c r="Y729" s="68">
        <f>IF(OR($H729="",$J729=""),"",$J729*IFERROR(VLOOKUP($H729,Maestro_SKU!$A$2:$P$500,12,FALSE),1))</f>
        <v/>
      </c>
    </row>
    <row r="730">
      <c r="A730" s="43" t="n"/>
      <c r="B730" s="54" t="n"/>
      <c r="C730" s="43" t="n"/>
      <c r="D730" s="43" t="n"/>
      <c r="E730" s="48">
        <f>IFERROR(VLOOKUP(D730,Clientes_PDV!$A$2:$J$250,2,FALSE),"")</f>
        <v/>
      </c>
      <c r="F730" s="48">
        <f>IFERROR(VLOOKUP(D730,Clientes_PDV!$A$2:$J$250,3,FALSE),"")</f>
        <v/>
      </c>
      <c r="G730" s="48">
        <f>IFERROR(VLOOKUP(D730,Clientes_PDV!$A$2:$J$250,4,FALSE),"")</f>
        <v/>
      </c>
      <c r="H730" s="43" t="n"/>
      <c r="I730" s="48">
        <f>IFERROR(VLOOKUP(H730,Maestro_SKU!$A$2:$P$500,2,FALSE),"")</f>
        <v/>
      </c>
      <c r="J730" s="55" t="n"/>
      <c r="K730" s="44" t="n"/>
      <c r="L730" s="51">
        <f>IF(OR(J730="",K730=""),"",J730*K730)</f>
        <v/>
      </c>
      <c r="M730" s="51">
        <f>IF(L730="","",L730*Inicio!$B$13)</f>
        <v/>
      </c>
      <c r="N730" s="51">
        <f>IF(L730="","",L730+M730)</f>
        <v/>
      </c>
      <c r="O730" s="54" t="n"/>
      <c r="P730" s="43" t="n"/>
      <c r="Q730" s="44" t="n"/>
      <c r="R730" s="51">
        <f>IF(N730="","",MAX(N730-Q730,0))</f>
        <v/>
      </c>
      <c r="S730" s="48">
        <f>IF(A730="","",IF(OR(P730="Pagada",R730=0),"Pagada",IF(O730&lt;TODAY(),"Vencida",IF(O730&lt;=TODAY()+Inicio!$B$19,"Próxima a vencer","Vigente"))))</f>
        <v/>
      </c>
      <c r="T730" s="43" t="n"/>
      <c r="U730" s="68">
        <f>IF($B730="","",YEAR($B730))</f>
        <v/>
      </c>
      <c r="V730" s="68">
        <f>IF($B730="","",MONTH($B730))</f>
        <v/>
      </c>
      <c r="W730" s="68">
        <f>IF($B730="","",DAY($B730))</f>
        <v/>
      </c>
      <c r="X730" s="68">
        <f>IF($B730="","",YEAR($B730)&amp;"-"&amp;TEXT(MONTH($B730),"00"))</f>
        <v/>
      </c>
      <c r="Y730" s="68">
        <f>IF(OR($H730="",$J730=""),"",$J730*IFERROR(VLOOKUP($H730,Maestro_SKU!$A$2:$P$500,12,FALSE),1))</f>
        <v/>
      </c>
    </row>
    <row r="731">
      <c r="A731" s="43" t="n"/>
      <c r="B731" s="54" t="n"/>
      <c r="C731" s="43" t="n"/>
      <c r="D731" s="43" t="n"/>
      <c r="E731" s="48">
        <f>IFERROR(VLOOKUP(D731,Clientes_PDV!$A$2:$J$250,2,FALSE),"")</f>
        <v/>
      </c>
      <c r="F731" s="48">
        <f>IFERROR(VLOOKUP(D731,Clientes_PDV!$A$2:$J$250,3,FALSE),"")</f>
        <v/>
      </c>
      <c r="G731" s="48">
        <f>IFERROR(VLOOKUP(D731,Clientes_PDV!$A$2:$J$250,4,FALSE),"")</f>
        <v/>
      </c>
      <c r="H731" s="43" t="n"/>
      <c r="I731" s="48">
        <f>IFERROR(VLOOKUP(H731,Maestro_SKU!$A$2:$P$500,2,FALSE),"")</f>
        <v/>
      </c>
      <c r="J731" s="55" t="n"/>
      <c r="K731" s="44" t="n"/>
      <c r="L731" s="51">
        <f>IF(OR(J731="",K731=""),"",J731*K731)</f>
        <v/>
      </c>
      <c r="M731" s="51">
        <f>IF(L731="","",L731*Inicio!$B$13)</f>
        <v/>
      </c>
      <c r="N731" s="51">
        <f>IF(L731="","",L731+M731)</f>
        <v/>
      </c>
      <c r="O731" s="54" t="n"/>
      <c r="P731" s="43" t="n"/>
      <c r="Q731" s="44" t="n"/>
      <c r="R731" s="51">
        <f>IF(N731="","",MAX(N731-Q731,0))</f>
        <v/>
      </c>
      <c r="S731" s="48">
        <f>IF(A731="","",IF(OR(P731="Pagada",R731=0),"Pagada",IF(O731&lt;TODAY(),"Vencida",IF(O731&lt;=TODAY()+Inicio!$B$19,"Próxima a vencer","Vigente"))))</f>
        <v/>
      </c>
      <c r="T731" s="43" t="n"/>
      <c r="U731" s="68">
        <f>IF($B731="","",YEAR($B731))</f>
        <v/>
      </c>
      <c r="V731" s="68">
        <f>IF($B731="","",MONTH($B731))</f>
        <v/>
      </c>
      <c r="W731" s="68">
        <f>IF($B731="","",DAY($B731))</f>
        <v/>
      </c>
      <c r="X731" s="68">
        <f>IF($B731="","",YEAR($B731)&amp;"-"&amp;TEXT(MONTH($B731),"00"))</f>
        <v/>
      </c>
      <c r="Y731" s="68">
        <f>IF(OR($H731="",$J731=""),"",$J731*IFERROR(VLOOKUP($H731,Maestro_SKU!$A$2:$P$500,12,FALSE),1))</f>
        <v/>
      </c>
    </row>
    <row r="732">
      <c r="A732" s="43" t="n"/>
      <c r="B732" s="54" t="n"/>
      <c r="C732" s="43" t="n"/>
      <c r="D732" s="43" t="n"/>
      <c r="E732" s="48">
        <f>IFERROR(VLOOKUP(D732,Clientes_PDV!$A$2:$J$250,2,FALSE),"")</f>
        <v/>
      </c>
      <c r="F732" s="48">
        <f>IFERROR(VLOOKUP(D732,Clientes_PDV!$A$2:$J$250,3,FALSE),"")</f>
        <v/>
      </c>
      <c r="G732" s="48">
        <f>IFERROR(VLOOKUP(D732,Clientes_PDV!$A$2:$J$250,4,FALSE),"")</f>
        <v/>
      </c>
      <c r="H732" s="43" t="n"/>
      <c r="I732" s="48">
        <f>IFERROR(VLOOKUP(H732,Maestro_SKU!$A$2:$P$500,2,FALSE),"")</f>
        <v/>
      </c>
      <c r="J732" s="55" t="n"/>
      <c r="K732" s="44" t="n"/>
      <c r="L732" s="51">
        <f>IF(OR(J732="",K732=""),"",J732*K732)</f>
        <v/>
      </c>
      <c r="M732" s="51">
        <f>IF(L732="","",L732*Inicio!$B$13)</f>
        <v/>
      </c>
      <c r="N732" s="51">
        <f>IF(L732="","",L732+M732)</f>
        <v/>
      </c>
      <c r="O732" s="54" t="n"/>
      <c r="P732" s="43" t="n"/>
      <c r="Q732" s="44" t="n"/>
      <c r="R732" s="51">
        <f>IF(N732="","",MAX(N732-Q732,0))</f>
        <v/>
      </c>
      <c r="S732" s="48">
        <f>IF(A732="","",IF(OR(P732="Pagada",R732=0),"Pagada",IF(O732&lt;TODAY(),"Vencida",IF(O732&lt;=TODAY()+Inicio!$B$19,"Próxima a vencer","Vigente"))))</f>
        <v/>
      </c>
      <c r="T732" s="43" t="n"/>
      <c r="U732" s="68">
        <f>IF($B732="","",YEAR($B732))</f>
        <v/>
      </c>
      <c r="V732" s="68">
        <f>IF($B732="","",MONTH($B732))</f>
        <v/>
      </c>
      <c r="W732" s="68">
        <f>IF($B732="","",DAY($B732))</f>
        <v/>
      </c>
      <c r="X732" s="68">
        <f>IF($B732="","",YEAR($B732)&amp;"-"&amp;TEXT(MONTH($B732),"00"))</f>
        <v/>
      </c>
      <c r="Y732" s="68">
        <f>IF(OR($H732="",$J732=""),"",$J732*IFERROR(VLOOKUP($H732,Maestro_SKU!$A$2:$P$500,12,FALSE),1))</f>
        <v/>
      </c>
    </row>
    <row r="733">
      <c r="A733" s="43" t="n"/>
      <c r="B733" s="54" t="n"/>
      <c r="C733" s="43" t="n"/>
      <c r="D733" s="43" t="n"/>
      <c r="E733" s="48">
        <f>IFERROR(VLOOKUP(D733,Clientes_PDV!$A$2:$J$250,2,FALSE),"")</f>
        <v/>
      </c>
      <c r="F733" s="48">
        <f>IFERROR(VLOOKUP(D733,Clientes_PDV!$A$2:$J$250,3,FALSE),"")</f>
        <v/>
      </c>
      <c r="G733" s="48">
        <f>IFERROR(VLOOKUP(D733,Clientes_PDV!$A$2:$J$250,4,FALSE),"")</f>
        <v/>
      </c>
      <c r="H733" s="43" t="n"/>
      <c r="I733" s="48">
        <f>IFERROR(VLOOKUP(H733,Maestro_SKU!$A$2:$P$500,2,FALSE),"")</f>
        <v/>
      </c>
      <c r="J733" s="55" t="n"/>
      <c r="K733" s="44" t="n"/>
      <c r="L733" s="51">
        <f>IF(OR(J733="",K733=""),"",J733*K733)</f>
        <v/>
      </c>
      <c r="M733" s="51">
        <f>IF(L733="","",L733*Inicio!$B$13)</f>
        <v/>
      </c>
      <c r="N733" s="51">
        <f>IF(L733="","",L733+M733)</f>
        <v/>
      </c>
      <c r="O733" s="54" t="n"/>
      <c r="P733" s="43" t="n"/>
      <c r="Q733" s="44" t="n"/>
      <c r="R733" s="51">
        <f>IF(N733="","",MAX(N733-Q733,0))</f>
        <v/>
      </c>
      <c r="S733" s="48">
        <f>IF(A733="","",IF(OR(P733="Pagada",R733=0),"Pagada",IF(O733&lt;TODAY(),"Vencida",IF(O733&lt;=TODAY()+Inicio!$B$19,"Próxima a vencer","Vigente"))))</f>
        <v/>
      </c>
      <c r="T733" s="43" t="n"/>
      <c r="U733" s="68">
        <f>IF($B733="","",YEAR($B733))</f>
        <v/>
      </c>
      <c r="V733" s="68">
        <f>IF($B733="","",MONTH($B733))</f>
        <v/>
      </c>
      <c r="W733" s="68">
        <f>IF($B733="","",DAY($B733))</f>
        <v/>
      </c>
      <c r="X733" s="68">
        <f>IF($B733="","",YEAR($B733)&amp;"-"&amp;TEXT(MONTH($B733),"00"))</f>
        <v/>
      </c>
      <c r="Y733" s="68">
        <f>IF(OR($H733="",$J733=""),"",$J733*IFERROR(VLOOKUP($H733,Maestro_SKU!$A$2:$P$500,12,FALSE),1))</f>
        <v/>
      </c>
    </row>
    <row r="734">
      <c r="A734" s="43" t="n"/>
      <c r="B734" s="54" t="n"/>
      <c r="C734" s="43" t="n"/>
      <c r="D734" s="43" t="n"/>
      <c r="E734" s="48">
        <f>IFERROR(VLOOKUP(D734,Clientes_PDV!$A$2:$J$250,2,FALSE),"")</f>
        <v/>
      </c>
      <c r="F734" s="48">
        <f>IFERROR(VLOOKUP(D734,Clientes_PDV!$A$2:$J$250,3,FALSE),"")</f>
        <v/>
      </c>
      <c r="G734" s="48">
        <f>IFERROR(VLOOKUP(D734,Clientes_PDV!$A$2:$J$250,4,FALSE),"")</f>
        <v/>
      </c>
      <c r="H734" s="43" t="n"/>
      <c r="I734" s="48">
        <f>IFERROR(VLOOKUP(H734,Maestro_SKU!$A$2:$P$500,2,FALSE),"")</f>
        <v/>
      </c>
      <c r="J734" s="55" t="n"/>
      <c r="K734" s="44" t="n"/>
      <c r="L734" s="51">
        <f>IF(OR(J734="",K734=""),"",J734*K734)</f>
        <v/>
      </c>
      <c r="M734" s="51">
        <f>IF(L734="","",L734*Inicio!$B$13)</f>
        <v/>
      </c>
      <c r="N734" s="51">
        <f>IF(L734="","",L734+M734)</f>
        <v/>
      </c>
      <c r="O734" s="54" t="n"/>
      <c r="P734" s="43" t="n"/>
      <c r="Q734" s="44" t="n"/>
      <c r="R734" s="51">
        <f>IF(N734="","",MAX(N734-Q734,0))</f>
        <v/>
      </c>
      <c r="S734" s="48">
        <f>IF(A734="","",IF(OR(P734="Pagada",R734=0),"Pagada",IF(O734&lt;TODAY(),"Vencida",IF(O734&lt;=TODAY()+Inicio!$B$19,"Próxima a vencer","Vigente"))))</f>
        <v/>
      </c>
      <c r="T734" s="43" t="n"/>
      <c r="U734" s="68">
        <f>IF($B734="","",YEAR($B734))</f>
        <v/>
      </c>
      <c r="V734" s="68">
        <f>IF($B734="","",MONTH($B734))</f>
        <v/>
      </c>
      <c r="W734" s="68">
        <f>IF($B734="","",DAY($B734))</f>
        <v/>
      </c>
      <c r="X734" s="68">
        <f>IF($B734="","",YEAR($B734)&amp;"-"&amp;TEXT(MONTH($B734),"00"))</f>
        <v/>
      </c>
      <c r="Y734" s="68">
        <f>IF(OR($H734="",$J734=""),"",$J734*IFERROR(VLOOKUP($H734,Maestro_SKU!$A$2:$P$500,12,FALSE),1))</f>
        <v/>
      </c>
    </row>
    <row r="735">
      <c r="A735" s="43" t="n"/>
      <c r="B735" s="54" t="n"/>
      <c r="C735" s="43" t="n"/>
      <c r="D735" s="43" t="n"/>
      <c r="E735" s="48">
        <f>IFERROR(VLOOKUP(D735,Clientes_PDV!$A$2:$J$250,2,FALSE),"")</f>
        <v/>
      </c>
      <c r="F735" s="48">
        <f>IFERROR(VLOOKUP(D735,Clientes_PDV!$A$2:$J$250,3,FALSE),"")</f>
        <v/>
      </c>
      <c r="G735" s="48">
        <f>IFERROR(VLOOKUP(D735,Clientes_PDV!$A$2:$J$250,4,FALSE),"")</f>
        <v/>
      </c>
      <c r="H735" s="43" t="n"/>
      <c r="I735" s="48">
        <f>IFERROR(VLOOKUP(H735,Maestro_SKU!$A$2:$P$500,2,FALSE),"")</f>
        <v/>
      </c>
      <c r="J735" s="55" t="n"/>
      <c r="K735" s="44" t="n"/>
      <c r="L735" s="51">
        <f>IF(OR(J735="",K735=""),"",J735*K735)</f>
        <v/>
      </c>
      <c r="M735" s="51">
        <f>IF(L735="","",L735*Inicio!$B$13)</f>
        <v/>
      </c>
      <c r="N735" s="51">
        <f>IF(L735="","",L735+M735)</f>
        <v/>
      </c>
      <c r="O735" s="54" t="n"/>
      <c r="P735" s="43" t="n"/>
      <c r="Q735" s="44" t="n"/>
      <c r="R735" s="51">
        <f>IF(N735="","",MAX(N735-Q735,0))</f>
        <v/>
      </c>
      <c r="S735" s="48">
        <f>IF(A735="","",IF(OR(P735="Pagada",R735=0),"Pagada",IF(O735&lt;TODAY(),"Vencida",IF(O735&lt;=TODAY()+Inicio!$B$19,"Próxima a vencer","Vigente"))))</f>
        <v/>
      </c>
      <c r="T735" s="43" t="n"/>
      <c r="U735" s="68">
        <f>IF($B735="","",YEAR($B735))</f>
        <v/>
      </c>
      <c r="V735" s="68">
        <f>IF($B735="","",MONTH($B735))</f>
        <v/>
      </c>
      <c r="W735" s="68">
        <f>IF($B735="","",DAY($B735))</f>
        <v/>
      </c>
      <c r="X735" s="68">
        <f>IF($B735="","",YEAR($B735)&amp;"-"&amp;TEXT(MONTH($B735),"00"))</f>
        <v/>
      </c>
      <c r="Y735" s="68">
        <f>IF(OR($H735="",$J735=""),"",$J735*IFERROR(VLOOKUP($H735,Maestro_SKU!$A$2:$P$500,12,FALSE),1))</f>
        <v/>
      </c>
    </row>
    <row r="736">
      <c r="A736" s="43" t="n"/>
      <c r="B736" s="54" t="n"/>
      <c r="C736" s="43" t="n"/>
      <c r="D736" s="43" t="n"/>
      <c r="E736" s="48">
        <f>IFERROR(VLOOKUP(D736,Clientes_PDV!$A$2:$J$250,2,FALSE),"")</f>
        <v/>
      </c>
      <c r="F736" s="48">
        <f>IFERROR(VLOOKUP(D736,Clientes_PDV!$A$2:$J$250,3,FALSE),"")</f>
        <v/>
      </c>
      <c r="G736" s="48">
        <f>IFERROR(VLOOKUP(D736,Clientes_PDV!$A$2:$J$250,4,FALSE),"")</f>
        <v/>
      </c>
      <c r="H736" s="43" t="n"/>
      <c r="I736" s="48">
        <f>IFERROR(VLOOKUP(H736,Maestro_SKU!$A$2:$P$500,2,FALSE),"")</f>
        <v/>
      </c>
      <c r="J736" s="55" t="n"/>
      <c r="K736" s="44" t="n"/>
      <c r="L736" s="51">
        <f>IF(OR(J736="",K736=""),"",J736*K736)</f>
        <v/>
      </c>
      <c r="M736" s="51">
        <f>IF(L736="","",L736*Inicio!$B$13)</f>
        <v/>
      </c>
      <c r="N736" s="51">
        <f>IF(L736="","",L736+M736)</f>
        <v/>
      </c>
      <c r="O736" s="54" t="n"/>
      <c r="P736" s="43" t="n"/>
      <c r="Q736" s="44" t="n"/>
      <c r="R736" s="51">
        <f>IF(N736="","",MAX(N736-Q736,0))</f>
        <v/>
      </c>
      <c r="S736" s="48">
        <f>IF(A736="","",IF(OR(P736="Pagada",R736=0),"Pagada",IF(O736&lt;TODAY(),"Vencida",IF(O736&lt;=TODAY()+Inicio!$B$19,"Próxima a vencer","Vigente"))))</f>
        <v/>
      </c>
      <c r="T736" s="43" t="n"/>
      <c r="U736" s="68">
        <f>IF($B736="","",YEAR($B736))</f>
        <v/>
      </c>
      <c r="V736" s="68">
        <f>IF($B736="","",MONTH($B736))</f>
        <v/>
      </c>
      <c r="W736" s="68">
        <f>IF($B736="","",DAY($B736))</f>
        <v/>
      </c>
      <c r="X736" s="68">
        <f>IF($B736="","",YEAR($B736)&amp;"-"&amp;TEXT(MONTH($B736),"00"))</f>
        <v/>
      </c>
      <c r="Y736" s="68">
        <f>IF(OR($H736="",$J736=""),"",$J736*IFERROR(VLOOKUP($H736,Maestro_SKU!$A$2:$P$500,12,FALSE),1))</f>
        <v/>
      </c>
    </row>
    <row r="737">
      <c r="A737" s="43" t="n"/>
      <c r="B737" s="54" t="n"/>
      <c r="C737" s="43" t="n"/>
      <c r="D737" s="43" t="n"/>
      <c r="E737" s="48">
        <f>IFERROR(VLOOKUP(D737,Clientes_PDV!$A$2:$J$250,2,FALSE),"")</f>
        <v/>
      </c>
      <c r="F737" s="48">
        <f>IFERROR(VLOOKUP(D737,Clientes_PDV!$A$2:$J$250,3,FALSE),"")</f>
        <v/>
      </c>
      <c r="G737" s="48">
        <f>IFERROR(VLOOKUP(D737,Clientes_PDV!$A$2:$J$250,4,FALSE),"")</f>
        <v/>
      </c>
      <c r="H737" s="43" t="n"/>
      <c r="I737" s="48">
        <f>IFERROR(VLOOKUP(H737,Maestro_SKU!$A$2:$P$500,2,FALSE),"")</f>
        <v/>
      </c>
      <c r="J737" s="55" t="n"/>
      <c r="K737" s="44" t="n"/>
      <c r="L737" s="51">
        <f>IF(OR(J737="",K737=""),"",J737*K737)</f>
        <v/>
      </c>
      <c r="M737" s="51">
        <f>IF(L737="","",L737*Inicio!$B$13)</f>
        <v/>
      </c>
      <c r="N737" s="51">
        <f>IF(L737="","",L737+M737)</f>
        <v/>
      </c>
      <c r="O737" s="54" t="n"/>
      <c r="P737" s="43" t="n"/>
      <c r="Q737" s="44" t="n"/>
      <c r="R737" s="51">
        <f>IF(N737="","",MAX(N737-Q737,0))</f>
        <v/>
      </c>
      <c r="S737" s="48">
        <f>IF(A737="","",IF(OR(P737="Pagada",R737=0),"Pagada",IF(O737&lt;TODAY(),"Vencida",IF(O737&lt;=TODAY()+Inicio!$B$19,"Próxima a vencer","Vigente"))))</f>
        <v/>
      </c>
      <c r="T737" s="43" t="n"/>
      <c r="U737" s="68">
        <f>IF($B737="","",YEAR($B737))</f>
        <v/>
      </c>
      <c r="V737" s="68">
        <f>IF($B737="","",MONTH($B737))</f>
        <v/>
      </c>
      <c r="W737" s="68">
        <f>IF($B737="","",DAY($B737))</f>
        <v/>
      </c>
      <c r="X737" s="68">
        <f>IF($B737="","",YEAR($B737)&amp;"-"&amp;TEXT(MONTH($B737),"00"))</f>
        <v/>
      </c>
      <c r="Y737" s="68">
        <f>IF(OR($H737="",$J737=""),"",$J737*IFERROR(VLOOKUP($H737,Maestro_SKU!$A$2:$P$500,12,FALSE),1))</f>
        <v/>
      </c>
    </row>
    <row r="738">
      <c r="A738" s="43" t="n"/>
      <c r="B738" s="54" t="n"/>
      <c r="C738" s="43" t="n"/>
      <c r="D738" s="43" t="n"/>
      <c r="E738" s="48">
        <f>IFERROR(VLOOKUP(D738,Clientes_PDV!$A$2:$J$250,2,FALSE),"")</f>
        <v/>
      </c>
      <c r="F738" s="48">
        <f>IFERROR(VLOOKUP(D738,Clientes_PDV!$A$2:$J$250,3,FALSE),"")</f>
        <v/>
      </c>
      <c r="G738" s="48">
        <f>IFERROR(VLOOKUP(D738,Clientes_PDV!$A$2:$J$250,4,FALSE),"")</f>
        <v/>
      </c>
      <c r="H738" s="43" t="n"/>
      <c r="I738" s="48">
        <f>IFERROR(VLOOKUP(H738,Maestro_SKU!$A$2:$P$500,2,FALSE),"")</f>
        <v/>
      </c>
      <c r="J738" s="55" t="n"/>
      <c r="K738" s="44" t="n"/>
      <c r="L738" s="51">
        <f>IF(OR(J738="",K738=""),"",J738*K738)</f>
        <v/>
      </c>
      <c r="M738" s="51">
        <f>IF(L738="","",L738*Inicio!$B$13)</f>
        <v/>
      </c>
      <c r="N738" s="51">
        <f>IF(L738="","",L738+M738)</f>
        <v/>
      </c>
      <c r="O738" s="54" t="n"/>
      <c r="P738" s="43" t="n"/>
      <c r="Q738" s="44" t="n"/>
      <c r="R738" s="51">
        <f>IF(N738="","",MAX(N738-Q738,0))</f>
        <v/>
      </c>
      <c r="S738" s="48">
        <f>IF(A738="","",IF(OR(P738="Pagada",R738=0),"Pagada",IF(O738&lt;TODAY(),"Vencida",IF(O738&lt;=TODAY()+Inicio!$B$19,"Próxima a vencer","Vigente"))))</f>
        <v/>
      </c>
      <c r="T738" s="43" t="n"/>
      <c r="U738" s="68">
        <f>IF($B738="","",YEAR($B738))</f>
        <v/>
      </c>
      <c r="V738" s="68">
        <f>IF($B738="","",MONTH($B738))</f>
        <v/>
      </c>
      <c r="W738" s="68">
        <f>IF($B738="","",DAY($B738))</f>
        <v/>
      </c>
      <c r="X738" s="68">
        <f>IF($B738="","",YEAR($B738)&amp;"-"&amp;TEXT(MONTH($B738),"00"))</f>
        <v/>
      </c>
      <c r="Y738" s="68">
        <f>IF(OR($H738="",$J738=""),"",$J738*IFERROR(VLOOKUP($H738,Maestro_SKU!$A$2:$P$500,12,FALSE),1))</f>
        <v/>
      </c>
    </row>
    <row r="739">
      <c r="A739" s="43" t="n"/>
      <c r="B739" s="54" t="n"/>
      <c r="C739" s="43" t="n"/>
      <c r="D739" s="43" t="n"/>
      <c r="E739" s="48">
        <f>IFERROR(VLOOKUP(D739,Clientes_PDV!$A$2:$J$250,2,FALSE),"")</f>
        <v/>
      </c>
      <c r="F739" s="48">
        <f>IFERROR(VLOOKUP(D739,Clientes_PDV!$A$2:$J$250,3,FALSE),"")</f>
        <v/>
      </c>
      <c r="G739" s="48">
        <f>IFERROR(VLOOKUP(D739,Clientes_PDV!$A$2:$J$250,4,FALSE),"")</f>
        <v/>
      </c>
      <c r="H739" s="43" t="n"/>
      <c r="I739" s="48">
        <f>IFERROR(VLOOKUP(H739,Maestro_SKU!$A$2:$P$500,2,FALSE),"")</f>
        <v/>
      </c>
      <c r="J739" s="55" t="n"/>
      <c r="K739" s="44" t="n"/>
      <c r="L739" s="51">
        <f>IF(OR(J739="",K739=""),"",J739*K739)</f>
        <v/>
      </c>
      <c r="M739" s="51">
        <f>IF(L739="","",L739*Inicio!$B$13)</f>
        <v/>
      </c>
      <c r="N739" s="51">
        <f>IF(L739="","",L739+M739)</f>
        <v/>
      </c>
      <c r="O739" s="54" t="n"/>
      <c r="P739" s="43" t="n"/>
      <c r="Q739" s="44" t="n"/>
      <c r="R739" s="51">
        <f>IF(N739="","",MAX(N739-Q739,0))</f>
        <v/>
      </c>
      <c r="S739" s="48">
        <f>IF(A739="","",IF(OR(P739="Pagada",R739=0),"Pagada",IF(O739&lt;TODAY(),"Vencida",IF(O739&lt;=TODAY()+Inicio!$B$19,"Próxima a vencer","Vigente"))))</f>
        <v/>
      </c>
      <c r="T739" s="43" t="n"/>
      <c r="U739" s="68">
        <f>IF($B739="","",YEAR($B739))</f>
        <v/>
      </c>
      <c r="V739" s="68">
        <f>IF($B739="","",MONTH($B739))</f>
        <v/>
      </c>
      <c r="W739" s="68">
        <f>IF($B739="","",DAY($B739))</f>
        <v/>
      </c>
      <c r="X739" s="68">
        <f>IF($B739="","",YEAR($B739)&amp;"-"&amp;TEXT(MONTH($B739),"00"))</f>
        <v/>
      </c>
      <c r="Y739" s="68">
        <f>IF(OR($H739="",$J739=""),"",$J739*IFERROR(VLOOKUP($H739,Maestro_SKU!$A$2:$P$500,12,FALSE),1))</f>
        <v/>
      </c>
    </row>
    <row r="740">
      <c r="A740" s="43" t="n"/>
      <c r="B740" s="54" t="n"/>
      <c r="C740" s="43" t="n"/>
      <c r="D740" s="43" t="n"/>
      <c r="E740" s="48">
        <f>IFERROR(VLOOKUP(D740,Clientes_PDV!$A$2:$J$250,2,FALSE),"")</f>
        <v/>
      </c>
      <c r="F740" s="48">
        <f>IFERROR(VLOOKUP(D740,Clientes_PDV!$A$2:$J$250,3,FALSE),"")</f>
        <v/>
      </c>
      <c r="G740" s="48">
        <f>IFERROR(VLOOKUP(D740,Clientes_PDV!$A$2:$J$250,4,FALSE),"")</f>
        <v/>
      </c>
      <c r="H740" s="43" t="n"/>
      <c r="I740" s="48">
        <f>IFERROR(VLOOKUP(H740,Maestro_SKU!$A$2:$P$500,2,FALSE),"")</f>
        <v/>
      </c>
      <c r="J740" s="55" t="n"/>
      <c r="K740" s="44" t="n"/>
      <c r="L740" s="51">
        <f>IF(OR(J740="",K740=""),"",J740*K740)</f>
        <v/>
      </c>
      <c r="M740" s="51">
        <f>IF(L740="","",L740*Inicio!$B$13)</f>
        <v/>
      </c>
      <c r="N740" s="51">
        <f>IF(L740="","",L740+M740)</f>
        <v/>
      </c>
      <c r="O740" s="54" t="n"/>
      <c r="P740" s="43" t="n"/>
      <c r="Q740" s="44" t="n"/>
      <c r="R740" s="51">
        <f>IF(N740="","",MAX(N740-Q740,0))</f>
        <v/>
      </c>
      <c r="S740" s="48">
        <f>IF(A740="","",IF(OR(P740="Pagada",R740=0),"Pagada",IF(O740&lt;TODAY(),"Vencida",IF(O740&lt;=TODAY()+Inicio!$B$19,"Próxima a vencer","Vigente"))))</f>
        <v/>
      </c>
      <c r="T740" s="43" t="n"/>
      <c r="U740" s="68">
        <f>IF($B740="","",YEAR($B740))</f>
        <v/>
      </c>
      <c r="V740" s="68">
        <f>IF($B740="","",MONTH($B740))</f>
        <v/>
      </c>
      <c r="W740" s="68">
        <f>IF($B740="","",DAY($B740))</f>
        <v/>
      </c>
      <c r="X740" s="68">
        <f>IF($B740="","",YEAR($B740)&amp;"-"&amp;TEXT(MONTH($B740),"00"))</f>
        <v/>
      </c>
      <c r="Y740" s="68">
        <f>IF(OR($H740="",$J740=""),"",$J740*IFERROR(VLOOKUP($H740,Maestro_SKU!$A$2:$P$500,12,FALSE),1))</f>
        <v/>
      </c>
    </row>
    <row r="741">
      <c r="A741" s="43" t="n"/>
      <c r="B741" s="54" t="n"/>
      <c r="C741" s="43" t="n"/>
      <c r="D741" s="43" t="n"/>
      <c r="E741" s="48">
        <f>IFERROR(VLOOKUP(D741,Clientes_PDV!$A$2:$J$250,2,FALSE),"")</f>
        <v/>
      </c>
      <c r="F741" s="48">
        <f>IFERROR(VLOOKUP(D741,Clientes_PDV!$A$2:$J$250,3,FALSE),"")</f>
        <v/>
      </c>
      <c r="G741" s="48">
        <f>IFERROR(VLOOKUP(D741,Clientes_PDV!$A$2:$J$250,4,FALSE),"")</f>
        <v/>
      </c>
      <c r="H741" s="43" t="n"/>
      <c r="I741" s="48">
        <f>IFERROR(VLOOKUP(H741,Maestro_SKU!$A$2:$P$500,2,FALSE),"")</f>
        <v/>
      </c>
      <c r="J741" s="55" t="n"/>
      <c r="K741" s="44" t="n"/>
      <c r="L741" s="51">
        <f>IF(OR(J741="",K741=""),"",J741*K741)</f>
        <v/>
      </c>
      <c r="M741" s="51">
        <f>IF(L741="","",L741*Inicio!$B$13)</f>
        <v/>
      </c>
      <c r="N741" s="51">
        <f>IF(L741="","",L741+M741)</f>
        <v/>
      </c>
      <c r="O741" s="54" t="n"/>
      <c r="P741" s="43" t="n"/>
      <c r="Q741" s="44" t="n"/>
      <c r="R741" s="51">
        <f>IF(N741="","",MAX(N741-Q741,0))</f>
        <v/>
      </c>
      <c r="S741" s="48">
        <f>IF(A741="","",IF(OR(P741="Pagada",R741=0),"Pagada",IF(O741&lt;TODAY(),"Vencida",IF(O741&lt;=TODAY()+Inicio!$B$19,"Próxima a vencer","Vigente"))))</f>
        <v/>
      </c>
      <c r="T741" s="43" t="n"/>
      <c r="U741" s="68">
        <f>IF($B741="","",YEAR($B741))</f>
        <v/>
      </c>
      <c r="V741" s="68">
        <f>IF($B741="","",MONTH($B741))</f>
        <v/>
      </c>
      <c r="W741" s="68">
        <f>IF($B741="","",DAY($B741))</f>
        <v/>
      </c>
      <c r="X741" s="68">
        <f>IF($B741="","",YEAR($B741)&amp;"-"&amp;TEXT(MONTH($B741),"00"))</f>
        <v/>
      </c>
      <c r="Y741" s="68">
        <f>IF(OR($H741="",$J741=""),"",$J741*IFERROR(VLOOKUP($H741,Maestro_SKU!$A$2:$P$500,12,FALSE),1))</f>
        <v/>
      </c>
    </row>
    <row r="742">
      <c r="A742" s="43" t="n"/>
      <c r="B742" s="54" t="n"/>
      <c r="C742" s="43" t="n"/>
      <c r="D742" s="43" t="n"/>
      <c r="E742" s="48">
        <f>IFERROR(VLOOKUP(D742,Clientes_PDV!$A$2:$J$250,2,FALSE),"")</f>
        <v/>
      </c>
      <c r="F742" s="48">
        <f>IFERROR(VLOOKUP(D742,Clientes_PDV!$A$2:$J$250,3,FALSE),"")</f>
        <v/>
      </c>
      <c r="G742" s="48">
        <f>IFERROR(VLOOKUP(D742,Clientes_PDV!$A$2:$J$250,4,FALSE),"")</f>
        <v/>
      </c>
      <c r="H742" s="43" t="n"/>
      <c r="I742" s="48">
        <f>IFERROR(VLOOKUP(H742,Maestro_SKU!$A$2:$P$500,2,FALSE),"")</f>
        <v/>
      </c>
      <c r="J742" s="55" t="n"/>
      <c r="K742" s="44" t="n"/>
      <c r="L742" s="51">
        <f>IF(OR(J742="",K742=""),"",J742*K742)</f>
        <v/>
      </c>
      <c r="M742" s="51">
        <f>IF(L742="","",L742*Inicio!$B$13)</f>
        <v/>
      </c>
      <c r="N742" s="51">
        <f>IF(L742="","",L742+M742)</f>
        <v/>
      </c>
      <c r="O742" s="54" t="n"/>
      <c r="P742" s="43" t="n"/>
      <c r="Q742" s="44" t="n"/>
      <c r="R742" s="51">
        <f>IF(N742="","",MAX(N742-Q742,0))</f>
        <v/>
      </c>
      <c r="S742" s="48">
        <f>IF(A742="","",IF(OR(P742="Pagada",R742=0),"Pagada",IF(O742&lt;TODAY(),"Vencida",IF(O742&lt;=TODAY()+Inicio!$B$19,"Próxima a vencer","Vigente"))))</f>
        <v/>
      </c>
      <c r="T742" s="43" t="n"/>
      <c r="U742" s="68">
        <f>IF($B742="","",YEAR($B742))</f>
        <v/>
      </c>
      <c r="V742" s="68">
        <f>IF($B742="","",MONTH($B742))</f>
        <v/>
      </c>
      <c r="W742" s="68">
        <f>IF($B742="","",DAY($B742))</f>
        <v/>
      </c>
      <c r="X742" s="68">
        <f>IF($B742="","",YEAR($B742)&amp;"-"&amp;TEXT(MONTH($B742),"00"))</f>
        <v/>
      </c>
      <c r="Y742" s="68">
        <f>IF(OR($H742="",$J742=""),"",$J742*IFERROR(VLOOKUP($H742,Maestro_SKU!$A$2:$P$500,12,FALSE),1))</f>
        <v/>
      </c>
    </row>
    <row r="743">
      <c r="A743" s="43" t="n"/>
      <c r="B743" s="54" t="n"/>
      <c r="C743" s="43" t="n"/>
      <c r="D743" s="43" t="n"/>
      <c r="E743" s="48">
        <f>IFERROR(VLOOKUP(D743,Clientes_PDV!$A$2:$J$250,2,FALSE),"")</f>
        <v/>
      </c>
      <c r="F743" s="48">
        <f>IFERROR(VLOOKUP(D743,Clientes_PDV!$A$2:$J$250,3,FALSE),"")</f>
        <v/>
      </c>
      <c r="G743" s="48">
        <f>IFERROR(VLOOKUP(D743,Clientes_PDV!$A$2:$J$250,4,FALSE),"")</f>
        <v/>
      </c>
      <c r="H743" s="43" t="n"/>
      <c r="I743" s="48">
        <f>IFERROR(VLOOKUP(H743,Maestro_SKU!$A$2:$P$500,2,FALSE),"")</f>
        <v/>
      </c>
      <c r="J743" s="55" t="n"/>
      <c r="K743" s="44" t="n"/>
      <c r="L743" s="51">
        <f>IF(OR(J743="",K743=""),"",J743*K743)</f>
        <v/>
      </c>
      <c r="M743" s="51">
        <f>IF(L743="","",L743*Inicio!$B$13)</f>
        <v/>
      </c>
      <c r="N743" s="51">
        <f>IF(L743="","",L743+M743)</f>
        <v/>
      </c>
      <c r="O743" s="54" t="n"/>
      <c r="P743" s="43" t="n"/>
      <c r="Q743" s="44" t="n"/>
      <c r="R743" s="51">
        <f>IF(N743="","",MAX(N743-Q743,0))</f>
        <v/>
      </c>
      <c r="S743" s="48">
        <f>IF(A743="","",IF(OR(P743="Pagada",R743=0),"Pagada",IF(O743&lt;TODAY(),"Vencida",IF(O743&lt;=TODAY()+Inicio!$B$19,"Próxima a vencer","Vigente"))))</f>
        <v/>
      </c>
      <c r="T743" s="43" t="n"/>
      <c r="U743" s="68">
        <f>IF($B743="","",YEAR($B743))</f>
        <v/>
      </c>
      <c r="V743" s="68">
        <f>IF($B743="","",MONTH($B743))</f>
        <v/>
      </c>
      <c r="W743" s="68">
        <f>IF($B743="","",DAY($B743))</f>
        <v/>
      </c>
      <c r="X743" s="68">
        <f>IF($B743="","",YEAR($B743)&amp;"-"&amp;TEXT(MONTH($B743),"00"))</f>
        <v/>
      </c>
      <c r="Y743" s="68">
        <f>IF(OR($H743="",$J743=""),"",$J743*IFERROR(VLOOKUP($H743,Maestro_SKU!$A$2:$P$500,12,FALSE),1))</f>
        <v/>
      </c>
    </row>
    <row r="744">
      <c r="A744" s="43" t="n"/>
      <c r="B744" s="54" t="n"/>
      <c r="C744" s="43" t="n"/>
      <c r="D744" s="43" t="n"/>
      <c r="E744" s="48">
        <f>IFERROR(VLOOKUP(D744,Clientes_PDV!$A$2:$J$250,2,FALSE),"")</f>
        <v/>
      </c>
      <c r="F744" s="48">
        <f>IFERROR(VLOOKUP(D744,Clientes_PDV!$A$2:$J$250,3,FALSE),"")</f>
        <v/>
      </c>
      <c r="G744" s="48">
        <f>IFERROR(VLOOKUP(D744,Clientes_PDV!$A$2:$J$250,4,FALSE),"")</f>
        <v/>
      </c>
      <c r="H744" s="43" t="n"/>
      <c r="I744" s="48">
        <f>IFERROR(VLOOKUP(H744,Maestro_SKU!$A$2:$P$500,2,FALSE),"")</f>
        <v/>
      </c>
      <c r="J744" s="55" t="n"/>
      <c r="K744" s="44" t="n"/>
      <c r="L744" s="51">
        <f>IF(OR(J744="",K744=""),"",J744*K744)</f>
        <v/>
      </c>
      <c r="M744" s="51">
        <f>IF(L744="","",L744*Inicio!$B$13)</f>
        <v/>
      </c>
      <c r="N744" s="51">
        <f>IF(L744="","",L744+M744)</f>
        <v/>
      </c>
      <c r="O744" s="54" t="n"/>
      <c r="P744" s="43" t="n"/>
      <c r="Q744" s="44" t="n"/>
      <c r="R744" s="51">
        <f>IF(N744="","",MAX(N744-Q744,0))</f>
        <v/>
      </c>
      <c r="S744" s="48">
        <f>IF(A744="","",IF(OR(P744="Pagada",R744=0),"Pagada",IF(O744&lt;TODAY(),"Vencida",IF(O744&lt;=TODAY()+Inicio!$B$19,"Próxima a vencer","Vigente"))))</f>
        <v/>
      </c>
      <c r="T744" s="43" t="n"/>
      <c r="U744" s="68">
        <f>IF($B744="","",YEAR($B744))</f>
        <v/>
      </c>
      <c r="V744" s="68">
        <f>IF($B744="","",MONTH($B744))</f>
        <v/>
      </c>
      <c r="W744" s="68">
        <f>IF($B744="","",DAY($B744))</f>
        <v/>
      </c>
      <c r="X744" s="68">
        <f>IF($B744="","",YEAR($B744)&amp;"-"&amp;TEXT(MONTH($B744),"00"))</f>
        <v/>
      </c>
      <c r="Y744" s="68">
        <f>IF(OR($H744="",$J744=""),"",$J744*IFERROR(VLOOKUP($H744,Maestro_SKU!$A$2:$P$500,12,FALSE),1))</f>
        <v/>
      </c>
    </row>
    <row r="745">
      <c r="A745" s="43" t="n"/>
      <c r="B745" s="54" t="n"/>
      <c r="C745" s="43" t="n"/>
      <c r="D745" s="43" t="n"/>
      <c r="E745" s="48">
        <f>IFERROR(VLOOKUP(D745,Clientes_PDV!$A$2:$J$250,2,FALSE),"")</f>
        <v/>
      </c>
      <c r="F745" s="48">
        <f>IFERROR(VLOOKUP(D745,Clientes_PDV!$A$2:$J$250,3,FALSE),"")</f>
        <v/>
      </c>
      <c r="G745" s="48">
        <f>IFERROR(VLOOKUP(D745,Clientes_PDV!$A$2:$J$250,4,FALSE),"")</f>
        <v/>
      </c>
      <c r="H745" s="43" t="n"/>
      <c r="I745" s="48">
        <f>IFERROR(VLOOKUP(H745,Maestro_SKU!$A$2:$P$500,2,FALSE),"")</f>
        <v/>
      </c>
      <c r="J745" s="55" t="n"/>
      <c r="K745" s="44" t="n"/>
      <c r="L745" s="51">
        <f>IF(OR(J745="",K745=""),"",J745*K745)</f>
        <v/>
      </c>
      <c r="M745" s="51">
        <f>IF(L745="","",L745*Inicio!$B$13)</f>
        <v/>
      </c>
      <c r="N745" s="51">
        <f>IF(L745="","",L745+M745)</f>
        <v/>
      </c>
      <c r="O745" s="54" t="n"/>
      <c r="P745" s="43" t="n"/>
      <c r="Q745" s="44" t="n"/>
      <c r="R745" s="51">
        <f>IF(N745="","",MAX(N745-Q745,0))</f>
        <v/>
      </c>
      <c r="S745" s="48">
        <f>IF(A745="","",IF(OR(P745="Pagada",R745=0),"Pagada",IF(O745&lt;TODAY(),"Vencida",IF(O745&lt;=TODAY()+Inicio!$B$19,"Próxima a vencer","Vigente"))))</f>
        <v/>
      </c>
      <c r="T745" s="43" t="n"/>
      <c r="U745" s="68">
        <f>IF($B745="","",YEAR($B745))</f>
        <v/>
      </c>
      <c r="V745" s="68">
        <f>IF($B745="","",MONTH($B745))</f>
        <v/>
      </c>
      <c r="W745" s="68">
        <f>IF($B745="","",DAY($B745))</f>
        <v/>
      </c>
      <c r="X745" s="68">
        <f>IF($B745="","",YEAR($B745)&amp;"-"&amp;TEXT(MONTH($B745),"00"))</f>
        <v/>
      </c>
      <c r="Y745" s="68">
        <f>IF(OR($H745="",$J745=""),"",$J745*IFERROR(VLOOKUP($H745,Maestro_SKU!$A$2:$P$500,12,FALSE),1))</f>
        <v/>
      </c>
    </row>
    <row r="746">
      <c r="A746" s="43" t="n"/>
      <c r="B746" s="54" t="n"/>
      <c r="C746" s="43" t="n"/>
      <c r="D746" s="43" t="n"/>
      <c r="E746" s="48">
        <f>IFERROR(VLOOKUP(D746,Clientes_PDV!$A$2:$J$250,2,FALSE),"")</f>
        <v/>
      </c>
      <c r="F746" s="48">
        <f>IFERROR(VLOOKUP(D746,Clientes_PDV!$A$2:$J$250,3,FALSE),"")</f>
        <v/>
      </c>
      <c r="G746" s="48">
        <f>IFERROR(VLOOKUP(D746,Clientes_PDV!$A$2:$J$250,4,FALSE),"")</f>
        <v/>
      </c>
      <c r="H746" s="43" t="n"/>
      <c r="I746" s="48">
        <f>IFERROR(VLOOKUP(H746,Maestro_SKU!$A$2:$P$500,2,FALSE),"")</f>
        <v/>
      </c>
      <c r="J746" s="55" t="n"/>
      <c r="K746" s="44" t="n"/>
      <c r="L746" s="51">
        <f>IF(OR(J746="",K746=""),"",J746*K746)</f>
        <v/>
      </c>
      <c r="M746" s="51">
        <f>IF(L746="","",L746*Inicio!$B$13)</f>
        <v/>
      </c>
      <c r="N746" s="51">
        <f>IF(L746="","",L746+M746)</f>
        <v/>
      </c>
      <c r="O746" s="54" t="n"/>
      <c r="P746" s="43" t="n"/>
      <c r="Q746" s="44" t="n"/>
      <c r="R746" s="51">
        <f>IF(N746="","",MAX(N746-Q746,0))</f>
        <v/>
      </c>
      <c r="S746" s="48">
        <f>IF(A746="","",IF(OR(P746="Pagada",R746=0),"Pagada",IF(O746&lt;TODAY(),"Vencida",IF(O746&lt;=TODAY()+Inicio!$B$19,"Próxima a vencer","Vigente"))))</f>
        <v/>
      </c>
      <c r="T746" s="43" t="n"/>
      <c r="U746" s="68">
        <f>IF($B746="","",YEAR($B746))</f>
        <v/>
      </c>
      <c r="V746" s="68">
        <f>IF($B746="","",MONTH($B746))</f>
        <v/>
      </c>
      <c r="W746" s="68">
        <f>IF($B746="","",DAY($B746))</f>
        <v/>
      </c>
      <c r="X746" s="68">
        <f>IF($B746="","",YEAR($B746)&amp;"-"&amp;TEXT(MONTH($B746),"00"))</f>
        <v/>
      </c>
      <c r="Y746" s="68">
        <f>IF(OR($H746="",$J746=""),"",$J746*IFERROR(VLOOKUP($H746,Maestro_SKU!$A$2:$P$500,12,FALSE),1))</f>
        <v/>
      </c>
    </row>
    <row r="747">
      <c r="A747" s="43" t="n"/>
      <c r="B747" s="54" t="n"/>
      <c r="C747" s="43" t="n"/>
      <c r="D747" s="43" t="n"/>
      <c r="E747" s="48">
        <f>IFERROR(VLOOKUP(D747,Clientes_PDV!$A$2:$J$250,2,FALSE),"")</f>
        <v/>
      </c>
      <c r="F747" s="48">
        <f>IFERROR(VLOOKUP(D747,Clientes_PDV!$A$2:$J$250,3,FALSE),"")</f>
        <v/>
      </c>
      <c r="G747" s="48">
        <f>IFERROR(VLOOKUP(D747,Clientes_PDV!$A$2:$J$250,4,FALSE),"")</f>
        <v/>
      </c>
      <c r="H747" s="43" t="n"/>
      <c r="I747" s="48">
        <f>IFERROR(VLOOKUP(H747,Maestro_SKU!$A$2:$P$500,2,FALSE),"")</f>
        <v/>
      </c>
      <c r="J747" s="55" t="n"/>
      <c r="K747" s="44" t="n"/>
      <c r="L747" s="51">
        <f>IF(OR(J747="",K747=""),"",J747*K747)</f>
        <v/>
      </c>
      <c r="M747" s="51">
        <f>IF(L747="","",L747*Inicio!$B$13)</f>
        <v/>
      </c>
      <c r="N747" s="51">
        <f>IF(L747="","",L747+M747)</f>
        <v/>
      </c>
      <c r="O747" s="54" t="n"/>
      <c r="P747" s="43" t="n"/>
      <c r="Q747" s="44" t="n"/>
      <c r="R747" s="51">
        <f>IF(N747="","",MAX(N747-Q747,0))</f>
        <v/>
      </c>
      <c r="S747" s="48">
        <f>IF(A747="","",IF(OR(P747="Pagada",R747=0),"Pagada",IF(O747&lt;TODAY(),"Vencida",IF(O747&lt;=TODAY()+Inicio!$B$19,"Próxima a vencer","Vigente"))))</f>
        <v/>
      </c>
      <c r="T747" s="43" t="n"/>
      <c r="U747" s="68">
        <f>IF($B747="","",YEAR($B747))</f>
        <v/>
      </c>
      <c r="V747" s="68">
        <f>IF($B747="","",MONTH($B747))</f>
        <v/>
      </c>
      <c r="W747" s="68">
        <f>IF($B747="","",DAY($B747))</f>
        <v/>
      </c>
      <c r="X747" s="68">
        <f>IF($B747="","",YEAR($B747)&amp;"-"&amp;TEXT(MONTH($B747),"00"))</f>
        <v/>
      </c>
      <c r="Y747" s="68">
        <f>IF(OR($H747="",$J747=""),"",$J747*IFERROR(VLOOKUP($H747,Maestro_SKU!$A$2:$P$500,12,FALSE),1))</f>
        <v/>
      </c>
    </row>
    <row r="748">
      <c r="A748" s="43" t="n"/>
      <c r="B748" s="54" t="n"/>
      <c r="C748" s="43" t="n"/>
      <c r="D748" s="43" t="n"/>
      <c r="E748" s="48">
        <f>IFERROR(VLOOKUP(D748,Clientes_PDV!$A$2:$J$250,2,FALSE),"")</f>
        <v/>
      </c>
      <c r="F748" s="48">
        <f>IFERROR(VLOOKUP(D748,Clientes_PDV!$A$2:$J$250,3,FALSE),"")</f>
        <v/>
      </c>
      <c r="G748" s="48">
        <f>IFERROR(VLOOKUP(D748,Clientes_PDV!$A$2:$J$250,4,FALSE),"")</f>
        <v/>
      </c>
      <c r="H748" s="43" t="n"/>
      <c r="I748" s="48">
        <f>IFERROR(VLOOKUP(H748,Maestro_SKU!$A$2:$P$500,2,FALSE),"")</f>
        <v/>
      </c>
      <c r="J748" s="55" t="n"/>
      <c r="K748" s="44" t="n"/>
      <c r="L748" s="51">
        <f>IF(OR(J748="",K748=""),"",J748*K748)</f>
        <v/>
      </c>
      <c r="M748" s="51">
        <f>IF(L748="","",L748*Inicio!$B$13)</f>
        <v/>
      </c>
      <c r="N748" s="51">
        <f>IF(L748="","",L748+M748)</f>
        <v/>
      </c>
      <c r="O748" s="54" t="n"/>
      <c r="P748" s="43" t="n"/>
      <c r="Q748" s="44" t="n"/>
      <c r="R748" s="51">
        <f>IF(N748="","",MAX(N748-Q748,0))</f>
        <v/>
      </c>
      <c r="S748" s="48">
        <f>IF(A748="","",IF(OR(P748="Pagada",R748=0),"Pagada",IF(O748&lt;TODAY(),"Vencida",IF(O748&lt;=TODAY()+Inicio!$B$19,"Próxima a vencer","Vigente"))))</f>
        <v/>
      </c>
      <c r="T748" s="43" t="n"/>
      <c r="U748" s="68">
        <f>IF($B748="","",YEAR($B748))</f>
        <v/>
      </c>
      <c r="V748" s="68">
        <f>IF($B748="","",MONTH($B748))</f>
        <v/>
      </c>
      <c r="W748" s="68">
        <f>IF($B748="","",DAY($B748))</f>
        <v/>
      </c>
      <c r="X748" s="68">
        <f>IF($B748="","",YEAR($B748)&amp;"-"&amp;TEXT(MONTH($B748),"00"))</f>
        <v/>
      </c>
      <c r="Y748" s="68">
        <f>IF(OR($H748="",$J748=""),"",$J748*IFERROR(VLOOKUP($H748,Maestro_SKU!$A$2:$P$500,12,FALSE),1))</f>
        <v/>
      </c>
    </row>
    <row r="749">
      <c r="A749" s="43" t="n"/>
      <c r="B749" s="54" t="n"/>
      <c r="C749" s="43" t="n"/>
      <c r="D749" s="43" t="n"/>
      <c r="E749" s="48">
        <f>IFERROR(VLOOKUP(D749,Clientes_PDV!$A$2:$J$250,2,FALSE),"")</f>
        <v/>
      </c>
      <c r="F749" s="48">
        <f>IFERROR(VLOOKUP(D749,Clientes_PDV!$A$2:$J$250,3,FALSE),"")</f>
        <v/>
      </c>
      <c r="G749" s="48">
        <f>IFERROR(VLOOKUP(D749,Clientes_PDV!$A$2:$J$250,4,FALSE),"")</f>
        <v/>
      </c>
      <c r="H749" s="43" t="n"/>
      <c r="I749" s="48">
        <f>IFERROR(VLOOKUP(H749,Maestro_SKU!$A$2:$P$500,2,FALSE),"")</f>
        <v/>
      </c>
      <c r="J749" s="55" t="n"/>
      <c r="K749" s="44" t="n"/>
      <c r="L749" s="51">
        <f>IF(OR(J749="",K749=""),"",J749*K749)</f>
        <v/>
      </c>
      <c r="M749" s="51">
        <f>IF(L749="","",L749*Inicio!$B$13)</f>
        <v/>
      </c>
      <c r="N749" s="51">
        <f>IF(L749="","",L749+M749)</f>
        <v/>
      </c>
      <c r="O749" s="54" t="n"/>
      <c r="P749" s="43" t="n"/>
      <c r="Q749" s="44" t="n"/>
      <c r="R749" s="51">
        <f>IF(N749="","",MAX(N749-Q749,0))</f>
        <v/>
      </c>
      <c r="S749" s="48">
        <f>IF(A749="","",IF(OR(P749="Pagada",R749=0),"Pagada",IF(O749&lt;TODAY(),"Vencida",IF(O749&lt;=TODAY()+Inicio!$B$19,"Próxima a vencer","Vigente"))))</f>
        <v/>
      </c>
      <c r="T749" s="43" t="n"/>
      <c r="U749" s="68">
        <f>IF($B749="","",YEAR($B749))</f>
        <v/>
      </c>
      <c r="V749" s="68">
        <f>IF($B749="","",MONTH($B749))</f>
        <v/>
      </c>
      <c r="W749" s="68">
        <f>IF($B749="","",DAY($B749))</f>
        <v/>
      </c>
      <c r="X749" s="68">
        <f>IF($B749="","",YEAR($B749)&amp;"-"&amp;TEXT(MONTH($B749),"00"))</f>
        <v/>
      </c>
      <c r="Y749" s="68">
        <f>IF(OR($H749="",$J749=""),"",$J749*IFERROR(VLOOKUP($H749,Maestro_SKU!$A$2:$P$500,12,FALSE),1))</f>
        <v/>
      </c>
    </row>
    <row r="750">
      <c r="A750" s="43" t="n"/>
      <c r="B750" s="54" t="n"/>
      <c r="C750" s="43" t="n"/>
      <c r="D750" s="43" t="n"/>
      <c r="E750" s="48">
        <f>IFERROR(VLOOKUP(D750,Clientes_PDV!$A$2:$J$250,2,FALSE),"")</f>
        <v/>
      </c>
      <c r="F750" s="48">
        <f>IFERROR(VLOOKUP(D750,Clientes_PDV!$A$2:$J$250,3,FALSE),"")</f>
        <v/>
      </c>
      <c r="G750" s="48">
        <f>IFERROR(VLOOKUP(D750,Clientes_PDV!$A$2:$J$250,4,FALSE),"")</f>
        <v/>
      </c>
      <c r="H750" s="43" t="n"/>
      <c r="I750" s="48">
        <f>IFERROR(VLOOKUP(H750,Maestro_SKU!$A$2:$P$500,2,FALSE),"")</f>
        <v/>
      </c>
      <c r="J750" s="55" t="n"/>
      <c r="K750" s="44" t="n"/>
      <c r="L750" s="51">
        <f>IF(OR(J750="",K750=""),"",J750*K750)</f>
        <v/>
      </c>
      <c r="M750" s="51">
        <f>IF(L750="","",L750*Inicio!$B$13)</f>
        <v/>
      </c>
      <c r="N750" s="51">
        <f>IF(L750="","",L750+M750)</f>
        <v/>
      </c>
      <c r="O750" s="54" t="n"/>
      <c r="P750" s="43" t="n"/>
      <c r="Q750" s="44" t="n"/>
      <c r="R750" s="51">
        <f>IF(N750="","",MAX(N750-Q750,0))</f>
        <v/>
      </c>
      <c r="S750" s="48">
        <f>IF(A750="","",IF(OR(P750="Pagada",R750=0),"Pagada",IF(O750&lt;TODAY(),"Vencida",IF(O750&lt;=TODAY()+Inicio!$B$19,"Próxima a vencer","Vigente"))))</f>
        <v/>
      </c>
      <c r="T750" s="43" t="n"/>
      <c r="U750" s="68">
        <f>IF($B750="","",YEAR($B750))</f>
        <v/>
      </c>
      <c r="V750" s="68">
        <f>IF($B750="","",MONTH($B750))</f>
        <v/>
      </c>
      <c r="W750" s="68">
        <f>IF($B750="","",DAY($B750))</f>
        <v/>
      </c>
      <c r="X750" s="68">
        <f>IF($B750="","",YEAR($B750)&amp;"-"&amp;TEXT(MONTH($B750),"00"))</f>
        <v/>
      </c>
      <c r="Y750" s="68">
        <f>IF(OR($H750="",$J750=""),"",$J750*IFERROR(VLOOKUP($H750,Maestro_SKU!$A$2:$P$500,12,FALSE),1))</f>
        <v/>
      </c>
    </row>
    <row r="751">
      <c r="A751" s="43" t="n"/>
      <c r="B751" s="54" t="n"/>
      <c r="C751" s="43" t="n"/>
      <c r="D751" s="43" t="n"/>
      <c r="E751" s="48">
        <f>IFERROR(VLOOKUP(D751,Clientes_PDV!$A$2:$J$250,2,FALSE),"")</f>
        <v/>
      </c>
      <c r="F751" s="48">
        <f>IFERROR(VLOOKUP(D751,Clientes_PDV!$A$2:$J$250,3,FALSE),"")</f>
        <v/>
      </c>
      <c r="G751" s="48">
        <f>IFERROR(VLOOKUP(D751,Clientes_PDV!$A$2:$J$250,4,FALSE),"")</f>
        <v/>
      </c>
      <c r="H751" s="43" t="n"/>
      <c r="I751" s="48">
        <f>IFERROR(VLOOKUP(H751,Maestro_SKU!$A$2:$P$500,2,FALSE),"")</f>
        <v/>
      </c>
      <c r="J751" s="55" t="n"/>
      <c r="K751" s="44" t="n"/>
      <c r="L751" s="51">
        <f>IF(OR(J751="",K751=""),"",J751*K751)</f>
        <v/>
      </c>
      <c r="M751" s="51">
        <f>IF(L751="","",L751*Inicio!$B$13)</f>
        <v/>
      </c>
      <c r="N751" s="51">
        <f>IF(L751="","",L751+M751)</f>
        <v/>
      </c>
      <c r="O751" s="54" t="n"/>
      <c r="P751" s="43" t="n"/>
      <c r="Q751" s="44" t="n"/>
      <c r="R751" s="51">
        <f>IF(N751="","",MAX(N751-Q751,0))</f>
        <v/>
      </c>
      <c r="S751" s="48">
        <f>IF(A751="","",IF(OR(P751="Pagada",R751=0),"Pagada",IF(O751&lt;TODAY(),"Vencida",IF(O751&lt;=TODAY()+Inicio!$B$19,"Próxima a vencer","Vigente"))))</f>
        <v/>
      </c>
      <c r="T751" s="43" t="n"/>
      <c r="U751" s="68">
        <f>IF($B751="","",YEAR($B751))</f>
        <v/>
      </c>
      <c r="V751" s="68">
        <f>IF($B751="","",MONTH($B751))</f>
        <v/>
      </c>
      <c r="W751" s="68">
        <f>IF($B751="","",DAY($B751))</f>
        <v/>
      </c>
      <c r="X751" s="68">
        <f>IF($B751="","",YEAR($B751)&amp;"-"&amp;TEXT(MONTH($B751),"00"))</f>
        <v/>
      </c>
      <c r="Y751" s="68">
        <f>IF(OR($H751="",$J751=""),"",$J751*IFERROR(VLOOKUP($H751,Maestro_SKU!$A$2:$P$500,12,FALSE),1))</f>
        <v/>
      </c>
    </row>
    <row r="752">
      <c r="A752" s="43" t="n"/>
      <c r="B752" s="54" t="n"/>
      <c r="C752" s="43" t="n"/>
      <c r="D752" s="43" t="n"/>
      <c r="E752" s="48">
        <f>IFERROR(VLOOKUP(D752,Clientes_PDV!$A$2:$J$250,2,FALSE),"")</f>
        <v/>
      </c>
      <c r="F752" s="48">
        <f>IFERROR(VLOOKUP(D752,Clientes_PDV!$A$2:$J$250,3,FALSE),"")</f>
        <v/>
      </c>
      <c r="G752" s="48">
        <f>IFERROR(VLOOKUP(D752,Clientes_PDV!$A$2:$J$250,4,FALSE),"")</f>
        <v/>
      </c>
      <c r="H752" s="43" t="n"/>
      <c r="I752" s="48">
        <f>IFERROR(VLOOKUP(H752,Maestro_SKU!$A$2:$P$500,2,FALSE),"")</f>
        <v/>
      </c>
      <c r="J752" s="55" t="n"/>
      <c r="K752" s="44" t="n"/>
      <c r="L752" s="51">
        <f>IF(OR(J752="",K752=""),"",J752*K752)</f>
        <v/>
      </c>
      <c r="M752" s="51">
        <f>IF(L752="","",L752*Inicio!$B$13)</f>
        <v/>
      </c>
      <c r="N752" s="51">
        <f>IF(L752="","",L752+M752)</f>
        <v/>
      </c>
      <c r="O752" s="54" t="n"/>
      <c r="P752" s="43" t="n"/>
      <c r="Q752" s="44" t="n"/>
      <c r="R752" s="51">
        <f>IF(N752="","",MAX(N752-Q752,0))</f>
        <v/>
      </c>
      <c r="S752" s="48">
        <f>IF(A752="","",IF(OR(P752="Pagada",R752=0),"Pagada",IF(O752&lt;TODAY(),"Vencida",IF(O752&lt;=TODAY()+Inicio!$B$19,"Próxima a vencer","Vigente"))))</f>
        <v/>
      </c>
      <c r="T752" s="43" t="n"/>
      <c r="U752" s="68">
        <f>IF($B752="","",YEAR($B752))</f>
        <v/>
      </c>
      <c r="V752" s="68">
        <f>IF($B752="","",MONTH($B752))</f>
        <v/>
      </c>
      <c r="W752" s="68">
        <f>IF($B752="","",DAY($B752))</f>
        <v/>
      </c>
      <c r="X752" s="68">
        <f>IF($B752="","",YEAR($B752)&amp;"-"&amp;TEXT(MONTH($B752),"00"))</f>
        <v/>
      </c>
      <c r="Y752" s="68">
        <f>IF(OR($H752="",$J752=""),"",$J752*IFERROR(VLOOKUP($H752,Maestro_SKU!$A$2:$P$500,12,FALSE),1))</f>
        <v/>
      </c>
    </row>
    <row r="753">
      <c r="A753" s="43" t="n"/>
      <c r="B753" s="54" t="n"/>
      <c r="C753" s="43" t="n"/>
      <c r="D753" s="43" t="n"/>
      <c r="E753" s="48">
        <f>IFERROR(VLOOKUP(D753,Clientes_PDV!$A$2:$J$250,2,FALSE),"")</f>
        <v/>
      </c>
      <c r="F753" s="48">
        <f>IFERROR(VLOOKUP(D753,Clientes_PDV!$A$2:$J$250,3,FALSE),"")</f>
        <v/>
      </c>
      <c r="G753" s="48">
        <f>IFERROR(VLOOKUP(D753,Clientes_PDV!$A$2:$J$250,4,FALSE),"")</f>
        <v/>
      </c>
      <c r="H753" s="43" t="n"/>
      <c r="I753" s="48">
        <f>IFERROR(VLOOKUP(H753,Maestro_SKU!$A$2:$P$500,2,FALSE),"")</f>
        <v/>
      </c>
      <c r="J753" s="55" t="n"/>
      <c r="K753" s="44" t="n"/>
      <c r="L753" s="51">
        <f>IF(OR(J753="",K753=""),"",J753*K753)</f>
        <v/>
      </c>
      <c r="M753" s="51">
        <f>IF(L753="","",L753*Inicio!$B$13)</f>
        <v/>
      </c>
      <c r="N753" s="51">
        <f>IF(L753="","",L753+M753)</f>
        <v/>
      </c>
      <c r="O753" s="54" t="n"/>
      <c r="P753" s="43" t="n"/>
      <c r="Q753" s="44" t="n"/>
      <c r="R753" s="51">
        <f>IF(N753="","",MAX(N753-Q753,0))</f>
        <v/>
      </c>
      <c r="S753" s="48">
        <f>IF(A753="","",IF(OR(P753="Pagada",R753=0),"Pagada",IF(O753&lt;TODAY(),"Vencida",IF(O753&lt;=TODAY()+Inicio!$B$19,"Próxima a vencer","Vigente"))))</f>
        <v/>
      </c>
      <c r="T753" s="43" t="n"/>
      <c r="U753" s="68">
        <f>IF($B753="","",YEAR($B753))</f>
        <v/>
      </c>
      <c r="V753" s="68">
        <f>IF($B753="","",MONTH($B753))</f>
        <v/>
      </c>
      <c r="W753" s="68">
        <f>IF($B753="","",DAY($B753))</f>
        <v/>
      </c>
      <c r="X753" s="68">
        <f>IF($B753="","",YEAR($B753)&amp;"-"&amp;TEXT(MONTH($B753),"00"))</f>
        <v/>
      </c>
      <c r="Y753" s="68">
        <f>IF(OR($H753="",$J753=""),"",$J753*IFERROR(VLOOKUP($H753,Maestro_SKU!$A$2:$P$500,12,FALSE),1))</f>
        <v/>
      </c>
    </row>
    <row r="754">
      <c r="A754" s="43" t="n"/>
      <c r="B754" s="54" t="n"/>
      <c r="C754" s="43" t="n"/>
      <c r="D754" s="43" t="n"/>
      <c r="E754" s="48">
        <f>IFERROR(VLOOKUP(D754,Clientes_PDV!$A$2:$J$250,2,FALSE),"")</f>
        <v/>
      </c>
      <c r="F754" s="48">
        <f>IFERROR(VLOOKUP(D754,Clientes_PDV!$A$2:$J$250,3,FALSE),"")</f>
        <v/>
      </c>
      <c r="G754" s="48">
        <f>IFERROR(VLOOKUP(D754,Clientes_PDV!$A$2:$J$250,4,FALSE),"")</f>
        <v/>
      </c>
      <c r="H754" s="43" t="n"/>
      <c r="I754" s="48">
        <f>IFERROR(VLOOKUP(H754,Maestro_SKU!$A$2:$P$500,2,FALSE),"")</f>
        <v/>
      </c>
      <c r="J754" s="55" t="n"/>
      <c r="K754" s="44" t="n"/>
      <c r="L754" s="51">
        <f>IF(OR(J754="",K754=""),"",J754*K754)</f>
        <v/>
      </c>
      <c r="M754" s="51">
        <f>IF(L754="","",L754*Inicio!$B$13)</f>
        <v/>
      </c>
      <c r="N754" s="51">
        <f>IF(L754="","",L754+M754)</f>
        <v/>
      </c>
      <c r="O754" s="54" t="n"/>
      <c r="P754" s="43" t="n"/>
      <c r="Q754" s="44" t="n"/>
      <c r="R754" s="51">
        <f>IF(N754="","",MAX(N754-Q754,0))</f>
        <v/>
      </c>
      <c r="S754" s="48">
        <f>IF(A754="","",IF(OR(P754="Pagada",R754=0),"Pagada",IF(O754&lt;TODAY(),"Vencida",IF(O754&lt;=TODAY()+Inicio!$B$19,"Próxima a vencer","Vigente"))))</f>
        <v/>
      </c>
      <c r="T754" s="43" t="n"/>
      <c r="U754" s="68">
        <f>IF($B754="","",YEAR($B754))</f>
        <v/>
      </c>
      <c r="V754" s="68">
        <f>IF($B754="","",MONTH($B754))</f>
        <v/>
      </c>
      <c r="W754" s="68">
        <f>IF($B754="","",DAY($B754))</f>
        <v/>
      </c>
      <c r="X754" s="68">
        <f>IF($B754="","",YEAR($B754)&amp;"-"&amp;TEXT(MONTH($B754),"00"))</f>
        <v/>
      </c>
      <c r="Y754" s="68">
        <f>IF(OR($H754="",$J754=""),"",$J754*IFERROR(VLOOKUP($H754,Maestro_SKU!$A$2:$P$500,12,FALSE),1))</f>
        <v/>
      </c>
    </row>
    <row r="755">
      <c r="A755" s="43" t="n"/>
      <c r="B755" s="54" t="n"/>
      <c r="C755" s="43" t="n"/>
      <c r="D755" s="43" t="n"/>
      <c r="E755" s="48">
        <f>IFERROR(VLOOKUP(D755,Clientes_PDV!$A$2:$J$250,2,FALSE),"")</f>
        <v/>
      </c>
      <c r="F755" s="48">
        <f>IFERROR(VLOOKUP(D755,Clientes_PDV!$A$2:$J$250,3,FALSE),"")</f>
        <v/>
      </c>
      <c r="G755" s="48">
        <f>IFERROR(VLOOKUP(D755,Clientes_PDV!$A$2:$J$250,4,FALSE),"")</f>
        <v/>
      </c>
      <c r="H755" s="43" t="n"/>
      <c r="I755" s="48">
        <f>IFERROR(VLOOKUP(H755,Maestro_SKU!$A$2:$P$500,2,FALSE),"")</f>
        <v/>
      </c>
      <c r="J755" s="55" t="n"/>
      <c r="K755" s="44" t="n"/>
      <c r="L755" s="51">
        <f>IF(OR(J755="",K755=""),"",J755*K755)</f>
        <v/>
      </c>
      <c r="M755" s="51">
        <f>IF(L755="","",L755*Inicio!$B$13)</f>
        <v/>
      </c>
      <c r="N755" s="51">
        <f>IF(L755="","",L755+M755)</f>
        <v/>
      </c>
      <c r="O755" s="54" t="n"/>
      <c r="P755" s="43" t="n"/>
      <c r="Q755" s="44" t="n"/>
      <c r="R755" s="51">
        <f>IF(N755="","",MAX(N755-Q755,0))</f>
        <v/>
      </c>
      <c r="S755" s="48">
        <f>IF(A755="","",IF(OR(P755="Pagada",R755=0),"Pagada",IF(O755&lt;TODAY(),"Vencida",IF(O755&lt;=TODAY()+Inicio!$B$19,"Próxima a vencer","Vigente"))))</f>
        <v/>
      </c>
      <c r="T755" s="43" t="n"/>
      <c r="U755" s="68">
        <f>IF($B755="","",YEAR($B755))</f>
        <v/>
      </c>
      <c r="V755" s="68">
        <f>IF($B755="","",MONTH($B755))</f>
        <v/>
      </c>
      <c r="W755" s="68">
        <f>IF($B755="","",DAY($B755))</f>
        <v/>
      </c>
      <c r="X755" s="68">
        <f>IF($B755="","",YEAR($B755)&amp;"-"&amp;TEXT(MONTH($B755),"00"))</f>
        <v/>
      </c>
      <c r="Y755" s="68">
        <f>IF(OR($H755="",$J755=""),"",$J755*IFERROR(VLOOKUP($H755,Maestro_SKU!$A$2:$P$500,12,FALSE),1))</f>
        <v/>
      </c>
    </row>
    <row r="756">
      <c r="A756" s="43" t="n"/>
      <c r="B756" s="54" t="n"/>
      <c r="C756" s="43" t="n"/>
      <c r="D756" s="43" t="n"/>
      <c r="E756" s="48">
        <f>IFERROR(VLOOKUP(D756,Clientes_PDV!$A$2:$J$250,2,FALSE),"")</f>
        <v/>
      </c>
      <c r="F756" s="48">
        <f>IFERROR(VLOOKUP(D756,Clientes_PDV!$A$2:$J$250,3,FALSE),"")</f>
        <v/>
      </c>
      <c r="G756" s="48">
        <f>IFERROR(VLOOKUP(D756,Clientes_PDV!$A$2:$J$250,4,FALSE),"")</f>
        <v/>
      </c>
      <c r="H756" s="43" t="n"/>
      <c r="I756" s="48">
        <f>IFERROR(VLOOKUP(H756,Maestro_SKU!$A$2:$P$500,2,FALSE),"")</f>
        <v/>
      </c>
      <c r="J756" s="55" t="n"/>
      <c r="K756" s="44" t="n"/>
      <c r="L756" s="51">
        <f>IF(OR(J756="",K756=""),"",J756*K756)</f>
        <v/>
      </c>
      <c r="M756" s="51">
        <f>IF(L756="","",L756*Inicio!$B$13)</f>
        <v/>
      </c>
      <c r="N756" s="51">
        <f>IF(L756="","",L756+M756)</f>
        <v/>
      </c>
      <c r="O756" s="54" t="n"/>
      <c r="P756" s="43" t="n"/>
      <c r="Q756" s="44" t="n"/>
      <c r="R756" s="51">
        <f>IF(N756="","",MAX(N756-Q756,0))</f>
        <v/>
      </c>
      <c r="S756" s="48">
        <f>IF(A756="","",IF(OR(P756="Pagada",R756=0),"Pagada",IF(O756&lt;TODAY(),"Vencida",IF(O756&lt;=TODAY()+Inicio!$B$19,"Próxima a vencer","Vigente"))))</f>
        <v/>
      </c>
      <c r="T756" s="43" t="n"/>
      <c r="U756" s="68">
        <f>IF($B756="","",YEAR($B756))</f>
        <v/>
      </c>
      <c r="V756" s="68">
        <f>IF($B756="","",MONTH($B756))</f>
        <v/>
      </c>
      <c r="W756" s="68">
        <f>IF($B756="","",DAY($B756))</f>
        <v/>
      </c>
      <c r="X756" s="68">
        <f>IF($B756="","",YEAR($B756)&amp;"-"&amp;TEXT(MONTH($B756),"00"))</f>
        <v/>
      </c>
      <c r="Y756" s="68">
        <f>IF(OR($H756="",$J756=""),"",$J756*IFERROR(VLOOKUP($H756,Maestro_SKU!$A$2:$P$500,12,FALSE),1))</f>
        <v/>
      </c>
    </row>
    <row r="757">
      <c r="A757" s="43" t="n"/>
      <c r="B757" s="54" t="n"/>
      <c r="C757" s="43" t="n"/>
      <c r="D757" s="43" t="n"/>
      <c r="E757" s="48">
        <f>IFERROR(VLOOKUP(D757,Clientes_PDV!$A$2:$J$250,2,FALSE),"")</f>
        <v/>
      </c>
      <c r="F757" s="48">
        <f>IFERROR(VLOOKUP(D757,Clientes_PDV!$A$2:$J$250,3,FALSE),"")</f>
        <v/>
      </c>
      <c r="G757" s="48">
        <f>IFERROR(VLOOKUP(D757,Clientes_PDV!$A$2:$J$250,4,FALSE),"")</f>
        <v/>
      </c>
      <c r="H757" s="43" t="n"/>
      <c r="I757" s="48">
        <f>IFERROR(VLOOKUP(H757,Maestro_SKU!$A$2:$P$500,2,FALSE),"")</f>
        <v/>
      </c>
      <c r="J757" s="55" t="n"/>
      <c r="K757" s="44" t="n"/>
      <c r="L757" s="51">
        <f>IF(OR(J757="",K757=""),"",J757*K757)</f>
        <v/>
      </c>
      <c r="M757" s="51">
        <f>IF(L757="","",L757*Inicio!$B$13)</f>
        <v/>
      </c>
      <c r="N757" s="51">
        <f>IF(L757="","",L757+M757)</f>
        <v/>
      </c>
      <c r="O757" s="54" t="n"/>
      <c r="P757" s="43" t="n"/>
      <c r="Q757" s="44" t="n"/>
      <c r="R757" s="51">
        <f>IF(N757="","",MAX(N757-Q757,0))</f>
        <v/>
      </c>
      <c r="S757" s="48">
        <f>IF(A757="","",IF(OR(P757="Pagada",R757=0),"Pagada",IF(O757&lt;TODAY(),"Vencida",IF(O757&lt;=TODAY()+Inicio!$B$19,"Próxima a vencer","Vigente"))))</f>
        <v/>
      </c>
      <c r="T757" s="43" t="n"/>
      <c r="U757" s="68">
        <f>IF($B757="","",YEAR($B757))</f>
        <v/>
      </c>
      <c r="V757" s="68">
        <f>IF($B757="","",MONTH($B757))</f>
        <v/>
      </c>
      <c r="W757" s="68">
        <f>IF($B757="","",DAY($B757))</f>
        <v/>
      </c>
      <c r="X757" s="68">
        <f>IF($B757="","",YEAR($B757)&amp;"-"&amp;TEXT(MONTH($B757),"00"))</f>
        <v/>
      </c>
      <c r="Y757" s="68">
        <f>IF(OR($H757="",$J757=""),"",$J757*IFERROR(VLOOKUP($H757,Maestro_SKU!$A$2:$P$500,12,FALSE),1))</f>
        <v/>
      </c>
    </row>
    <row r="758">
      <c r="A758" s="43" t="n"/>
      <c r="B758" s="54" t="n"/>
      <c r="C758" s="43" t="n"/>
      <c r="D758" s="43" t="n"/>
      <c r="E758" s="48">
        <f>IFERROR(VLOOKUP(D758,Clientes_PDV!$A$2:$J$250,2,FALSE),"")</f>
        <v/>
      </c>
      <c r="F758" s="48">
        <f>IFERROR(VLOOKUP(D758,Clientes_PDV!$A$2:$J$250,3,FALSE),"")</f>
        <v/>
      </c>
      <c r="G758" s="48">
        <f>IFERROR(VLOOKUP(D758,Clientes_PDV!$A$2:$J$250,4,FALSE),"")</f>
        <v/>
      </c>
      <c r="H758" s="43" t="n"/>
      <c r="I758" s="48">
        <f>IFERROR(VLOOKUP(H758,Maestro_SKU!$A$2:$P$500,2,FALSE),"")</f>
        <v/>
      </c>
      <c r="J758" s="55" t="n"/>
      <c r="K758" s="44" t="n"/>
      <c r="L758" s="51">
        <f>IF(OR(J758="",K758=""),"",J758*K758)</f>
        <v/>
      </c>
      <c r="M758" s="51">
        <f>IF(L758="","",L758*Inicio!$B$13)</f>
        <v/>
      </c>
      <c r="N758" s="51">
        <f>IF(L758="","",L758+M758)</f>
        <v/>
      </c>
      <c r="O758" s="54" t="n"/>
      <c r="P758" s="43" t="n"/>
      <c r="Q758" s="44" t="n"/>
      <c r="R758" s="51">
        <f>IF(N758="","",MAX(N758-Q758,0))</f>
        <v/>
      </c>
      <c r="S758" s="48">
        <f>IF(A758="","",IF(OR(P758="Pagada",R758=0),"Pagada",IF(O758&lt;TODAY(),"Vencida",IF(O758&lt;=TODAY()+Inicio!$B$19,"Próxima a vencer","Vigente"))))</f>
        <v/>
      </c>
      <c r="T758" s="43" t="n"/>
      <c r="U758" s="68">
        <f>IF($B758="","",YEAR($B758))</f>
        <v/>
      </c>
      <c r="V758" s="68">
        <f>IF($B758="","",MONTH($B758))</f>
        <v/>
      </c>
      <c r="W758" s="68">
        <f>IF($B758="","",DAY($B758))</f>
        <v/>
      </c>
      <c r="X758" s="68">
        <f>IF($B758="","",YEAR($B758)&amp;"-"&amp;TEXT(MONTH($B758),"00"))</f>
        <v/>
      </c>
      <c r="Y758" s="68">
        <f>IF(OR($H758="",$J758=""),"",$J758*IFERROR(VLOOKUP($H758,Maestro_SKU!$A$2:$P$500,12,FALSE),1))</f>
        <v/>
      </c>
    </row>
    <row r="759">
      <c r="A759" s="43" t="n"/>
      <c r="B759" s="54" t="n"/>
      <c r="C759" s="43" t="n"/>
      <c r="D759" s="43" t="n"/>
      <c r="E759" s="48">
        <f>IFERROR(VLOOKUP(D759,Clientes_PDV!$A$2:$J$250,2,FALSE),"")</f>
        <v/>
      </c>
      <c r="F759" s="48">
        <f>IFERROR(VLOOKUP(D759,Clientes_PDV!$A$2:$J$250,3,FALSE),"")</f>
        <v/>
      </c>
      <c r="G759" s="48">
        <f>IFERROR(VLOOKUP(D759,Clientes_PDV!$A$2:$J$250,4,FALSE),"")</f>
        <v/>
      </c>
      <c r="H759" s="43" t="n"/>
      <c r="I759" s="48">
        <f>IFERROR(VLOOKUP(H759,Maestro_SKU!$A$2:$P$500,2,FALSE),"")</f>
        <v/>
      </c>
      <c r="J759" s="55" t="n"/>
      <c r="K759" s="44" t="n"/>
      <c r="L759" s="51">
        <f>IF(OR(J759="",K759=""),"",J759*K759)</f>
        <v/>
      </c>
      <c r="M759" s="51">
        <f>IF(L759="","",L759*Inicio!$B$13)</f>
        <v/>
      </c>
      <c r="N759" s="51">
        <f>IF(L759="","",L759+M759)</f>
        <v/>
      </c>
      <c r="O759" s="54" t="n"/>
      <c r="P759" s="43" t="n"/>
      <c r="Q759" s="44" t="n"/>
      <c r="R759" s="51">
        <f>IF(N759="","",MAX(N759-Q759,0))</f>
        <v/>
      </c>
      <c r="S759" s="48">
        <f>IF(A759="","",IF(OR(P759="Pagada",R759=0),"Pagada",IF(O759&lt;TODAY(),"Vencida",IF(O759&lt;=TODAY()+Inicio!$B$19,"Próxima a vencer","Vigente"))))</f>
        <v/>
      </c>
      <c r="T759" s="43" t="n"/>
      <c r="U759" s="68">
        <f>IF($B759="","",YEAR($B759))</f>
        <v/>
      </c>
      <c r="V759" s="68">
        <f>IF($B759="","",MONTH($B759))</f>
        <v/>
      </c>
      <c r="W759" s="68">
        <f>IF($B759="","",DAY($B759))</f>
        <v/>
      </c>
      <c r="X759" s="68">
        <f>IF($B759="","",YEAR($B759)&amp;"-"&amp;TEXT(MONTH($B759),"00"))</f>
        <v/>
      </c>
      <c r="Y759" s="68">
        <f>IF(OR($H759="",$J759=""),"",$J759*IFERROR(VLOOKUP($H759,Maestro_SKU!$A$2:$P$500,12,FALSE),1))</f>
        <v/>
      </c>
    </row>
    <row r="760">
      <c r="A760" s="43" t="n"/>
      <c r="B760" s="54" t="n"/>
      <c r="C760" s="43" t="n"/>
      <c r="D760" s="43" t="n"/>
      <c r="E760" s="48">
        <f>IFERROR(VLOOKUP(D760,Clientes_PDV!$A$2:$J$250,2,FALSE),"")</f>
        <v/>
      </c>
      <c r="F760" s="48">
        <f>IFERROR(VLOOKUP(D760,Clientes_PDV!$A$2:$J$250,3,FALSE),"")</f>
        <v/>
      </c>
      <c r="G760" s="48">
        <f>IFERROR(VLOOKUP(D760,Clientes_PDV!$A$2:$J$250,4,FALSE),"")</f>
        <v/>
      </c>
      <c r="H760" s="43" t="n"/>
      <c r="I760" s="48">
        <f>IFERROR(VLOOKUP(H760,Maestro_SKU!$A$2:$P$500,2,FALSE),"")</f>
        <v/>
      </c>
      <c r="J760" s="55" t="n"/>
      <c r="K760" s="44" t="n"/>
      <c r="L760" s="51">
        <f>IF(OR(J760="",K760=""),"",J760*K760)</f>
        <v/>
      </c>
      <c r="M760" s="51">
        <f>IF(L760="","",L760*Inicio!$B$13)</f>
        <v/>
      </c>
      <c r="N760" s="51">
        <f>IF(L760="","",L760+M760)</f>
        <v/>
      </c>
      <c r="O760" s="54" t="n"/>
      <c r="P760" s="43" t="n"/>
      <c r="Q760" s="44" t="n"/>
      <c r="R760" s="51">
        <f>IF(N760="","",MAX(N760-Q760,0))</f>
        <v/>
      </c>
      <c r="S760" s="48">
        <f>IF(A760="","",IF(OR(P760="Pagada",R760=0),"Pagada",IF(O760&lt;TODAY(),"Vencida",IF(O760&lt;=TODAY()+Inicio!$B$19,"Próxima a vencer","Vigente"))))</f>
        <v/>
      </c>
      <c r="T760" s="43" t="n"/>
      <c r="U760" s="68">
        <f>IF($B760="","",YEAR($B760))</f>
        <v/>
      </c>
      <c r="V760" s="68">
        <f>IF($B760="","",MONTH($B760))</f>
        <v/>
      </c>
      <c r="W760" s="68">
        <f>IF($B760="","",DAY($B760))</f>
        <v/>
      </c>
      <c r="X760" s="68">
        <f>IF($B760="","",YEAR($B760)&amp;"-"&amp;TEXT(MONTH($B760),"00"))</f>
        <v/>
      </c>
      <c r="Y760" s="68">
        <f>IF(OR($H760="",$J760=""),"",$J760*IFERROR(VLOOKUP($H760,Maestro_SKU!$A$2:$P$500,12,FALSE),1))</f>
        <v/>
      </c>
    </row>
    <row r="761">
      <c r="A761" s="43" t="n"/>
      <c r="B761" s="54" t="n"/>
      <c r="C761" s="43" t="n"/>
      <c r="D761" s="43" t="n"/>
      <c r="E761" s="48">
        <f>IFERROR(VLOOKUP(D761,Clientes_PDV!$A$2:$J$250,2,FALSE),"")</f>
        <v/>
      </c>
      <c r="F761" s="48">
        <f>IFERROR(VLOOKUP(D761,Clientes_PDV!$A$2:$J$250,3,FALSE),"")</f>
        <v/>
      </c>
      <c r="G761" s="48">
        <f>IFERROR(VLOOKUP(D761,Clientes_PDV!$A$2:$J$250,4,FALSE),"")</f>
        <v/>
      </c>
      <c r="H761" s="43" t="n"/>
      <c r="I761" s="48">
        <f>IFERROR(VLOOKUP(H761,Maestro_SKU!$A$2:$P$500,2,FALSE),"")</f>
        <v/>
      </c>
      <c r="J761" s="55" t="n"/>
      <c r="K761" s="44" t="n"/>
      <c r="L761" s="51">
        <f>IF(OR(J761="",K761=""),"",J761*K761)</f>
        <v/>
      </c>
      <c r="M761" s="51">
        <f>IF(L761="","",L761*Inicio!$B$13)</f>
        <v/>
      </c>
      <c r="N761" s="51">
        <f>IF(L761="","",L761+M761)</f>
        <v/>
      </c>
      <c r="O761" s="54" t="n"/>
      <c r="P761" s="43" t="n"/>
      <c r="Q761" s="44" t="n"/>
      <c r="R761" s="51">
        <f>IF(N761="","",MAX(N761-Q761,0))</f>
        <v/>
      </c>
      <c r="S761" s="48">
        <f>IF(A761="","",IF(OR(P761="Pagada",R761=0),"Pagada",IF(O761&lt;TODAY(),"Vencida",IF(O761&lt;=TODAY()+Inicio!$B$19,"Próxima a vencer","Vigente"))))</f>
        <v/>
      </c>
      <c r="T761" s="43" t="n"/>
      <c r="U761" s="68">
        <f>IF($B761="","",YEAR($B761))</f>
        <v/>
      </c>
      <c r="V761" s="68">
        <f>IF($B761="","",MONTH($B761))</f>
        <v/>
      </c>
      <c r="W761" s="68">
        <f>IF($B761="","",DAY($B761))</f>
        <v/>
      </c>
      <c r="X761" s="68">
        <f>IF($B761="","",YEAR($B761)&amp;"-"&amp;TEXT(MONTH($B761),"00"))</f>
        <v/>
      </c>
      <c r="Y761" s="68">
        <f>IF(OR($H761="",$J761=""),"",$J761*IFERROR(VLOOKUP($H761,Maestro_SKU!$A$2:$P$500,12,FALSE),1))</f>
        <v/>
      </c>
    </row>
    <row r="762">
      <c r="A762" s="43" t="n"/>
      <c r="B762" s="54" t="n"/>
      <c r="C762" s="43" t="n"/>
      <c r="D762" s="43" t="n"/>
      <c r="E762" s="48">
        <f>IFERROR(VLOOKUP(D762,Clientes_PDV!$A$2:$J$250,2,FALSE),"")</f>
        <v/>
      </c>
      <c r="F762" s="48">
        <f>IFERROR(VLOOKUP(D762,Clientes_PDV!$A$2:$J$250,3,FALSE),"")</f>
        <v/>
      </c>
      <c r="G762" s="48">
        <f>IFERROR(VLOOKUP(D762,Clientes_PDV!$A$2:$J$250,4,FALSE),"")</f>
        <v/>
      </c>
      <c r="H762" s="43" t="n"/>
      <c r="I762" s="48">
        <f>IFERROR(VLOOKUP(H762,Maestro_SKU!$A$2:$P$500,2,FALSE),"")</f>
        <v/>
      </c>
      <c r="J762" s="55" t="n"/>
      <c r="K762" s="44" t="n"/>
      <c r="L762" s="51">
        <f>IF(OR(J762="",K762=""),"",J762*K762)</f>
        <v/>
      </c>
      <c r="M762" s="51">
        <f>IF(L762="","",L762*Inicio!$B$13)</f>
        <v/>
      </c>
      <c r="N762" s="51">
        <f>IF(L762="","",L762+M762)</f>
        <v/>
      </c>
      <c r="O762" s="54" t="n"/>
      <c r="P762" s="43" t="n"/>
      <c r="Q762" s="44" t="n"/>
      <c r="R762" s="51">
        <f>IF(N762="","",MAX(N762-Q762,0))</f>
        <v/>
      </c>
      <c r="S762" s="48">
        <f>IF(A762="","",IF(OR(P762="Pagada",R762=0),"Pagada",IF(O762&lt;TODAY(),"Vencida",IF(O762&lt;=TODAY()+Inicio!$B$19,"Próxima a vencer","Vigente"))))</f>
        <v/>
      </c>
      <c r="T762" s="43" t="n"/>
      <c r="U762" s="68">
        <f>IF($B762="","",YEAR($B762))</f>
        <v/>
      </c>
      <c r="V762" s="68">
        <f>IF($B762="","",MONTH($B762))</f>
        <v/>
      </c>
      <c r="W762" s="68">
        <f>IF($B762="","",DAY($B762))</f>
        <v/>
      </c>
      <c r="X762" s="68">
        <f>IF($B762="","",YEAR($B762)&amp;"-"&amp;TEXT(MONTH($B762),"00"))</f>
        <v/>
      </c>
      <c r="Y762" s="68">
        <f>IF(OR($H762="",$J762=""),"",$J762*IFERROR(VLOOKUP($H762,Maestro_SKU!$A$2:$P$500,12,FALSE),1))</f>
        <v/>
      </c>
    </row>
    <row r="763">
      <c r="A763" s="43" t="n"/>
      <c r="B763" s="54" t="n"/>
      <c r="C763" s="43" t="n"/>
      <c r="D763" s="43" t="n"/>
      <c r="E763" s="48">
        <f>IFERROR(VLOOKUP(D763,Clientes_PDV!$A$2:$J$250,2,FALSE),"")</f>
        <v/>
      </c>
      <c r="F763" s="48">
        <f>IFERROR(VLOOKUP(D763,Clientes_PDV!$A$2:$J$250,3,FALSE),"")</f>
        <v/>
      </c>
      <c r="G763" s="48">
        <f>IFERROR(VLOOKUP(D763,Clientes_PDV!$A$2:$J$250,4,FALSE),"")</f>
        <v/>
      </c>
      <c r="H763" s="43" t="n"/>
      <c r="I763" s="48">
        <f>IFERROR(VLOOKUP(H763,Maestro_SKU!$A$2:$P$500,2,FALSE),"")</f>
        <v/>
      </c>
      <c r="J763" s="55" t="n"/>
      <c r="K763" s="44" t="n"/>
      <c r="L763" s="51">
        <f>IF(OR(J763="",K763=""),"",J763*K763)</f>
        <v/>
      </c>
      <c r="M763" s="51">
        <f>IF(L763="","",L763*Inicio!$B$13)</f>
        <v/>
      </c>
      <c r="N763" s="51">
        <f>IF(L763="","",L763+M763)</f>
        <v/>
      </c>
      <c r="O763" s="54" t="n"/>
      <c r="P763" s="43" t="n"/>
      <c r="Q763" s="44" t="n"/>
      <c r="R763" s="51">
        <f>IF(N763="","",MAX(N763-Q763,0))</f>
        <v/>
      </c>
      <c r="S763" s="48">
        <f>IF(A763="","",IF(OR(P763="Pagada",R763=0),"Pagada",IF(O763&lt;TODAY(),"Vencida",IF(O763&lt;=TODAY()+Inicio!$B$19,"Próxima a vencer","Vigente"))))</f>
        <v/>
      </c>
      <c r="T763" s="43" t="n"/>
      <c r="U763" s="68">
        <f>IF($B763="","",YEAR($B763))</f>
        <v/>
      </c>
      <c r="V763" s="68">
        <f>IF($B763="","",MONTH($B763))</f>
        <v/>
      </c>
      <c r="W763" s="68">
        <f>IF($B763="","",DAY($B763))</f>
        <v/>
      </c>
      <c r="X763" s="68">
        <f>IF($B763="","",YEAR($B763)&amp;"-"&amp;TEXT(MONTH($B763),"00"))</f>
        <v/>
      </c>
      <c r="Y763" s="68">
        <f>IF(OR($H763="",$J763=""),"",$J763*IFERROR(VLOOKUP($H763,Maestro_SKU!$A$2:$P$500,12,FALSE),1))</f>
        <v/>
      </c>
    </row>
    <row r="764">
      <c r="A764" s="43" t="n"/>
      <c r="B764" s="54" t="n"/>
      <c r="C764" s="43" t="n"/>
      <c r="D764" s="43" t="n"/>
      <c r="E764" s="48">
        <f>IFERROR(VLOOKUP(D764,Clientes_PDV!$A$2:$J$250,2,FALSE),"")</f>
        <v/>
      </c>
      <c r="F764" s="48">
        <f>IFERROR(VLOOKUP(D764,Clientes_PDV!$A$2:$J$250,3,FALSE),"")</f>
        <v/>
      </c>
      <c r="G764" s="48">
        <f>IFERROR(VLOOKUP(D764,Clientes_PDV!$A$2:$J$250,4,FALSE),"")</f>
        <v/>
      </c>
      <c r="H764" s="43" t="n"/>
      <c r="I764" s="48">
        <f>IFERROR(VLOOKUP(H764,Maestro_SKU!$A$2:$P$500,2,FALSE),"")</f>
        <v/>
      </c>
      <c r="J764" s="55" t="n"/>
      <c r="K764" s="44" t="n"/>
      <c r="L764" s="51">
        <f>IF(OR(J764="",K764=""),"",J764*K764)</f>
        <v/>
      </c>
      <c r="M764" s="51">
        <f>IF(L764="","",L764*Inicio!$B$13)</f>
        <v/>
      </c>
      <c r="N764" s="51">
        <f>IF(L764="","",L764+M764)</f>
        <v/>
      </c>
      <c r="O764" s="54" t="n"/>
      <c r="P764" s="43" t="n"/>
      <c r="Q764" s="44" t="n"/>
      <c r="R764" s="51">
        <f>IF(N764="","",MAX(N764-Q764,0))</f>
        <v/>
      </c>
      <c r="S764" s="48">
        <f>IF(A764="","",IF(OR(P764="Pagada",R764=0),"Pagada",IF(O764&lt;TODAY(),"Vencida",IF(O764&lt;=TODAY()+Inicio!$B$19,"Próxima a vencer","Vigente"))))</f>
        <v/>
      </c>
      <c r="T764" s="43" t="n"/>
      <c r="U764" s="68">
        <f>IF($B764="","",YEAR($B764))</f>
        <v/>
      </c>
      <c r="V764" s="68">
        <f>IF($B764="","",MONTH($B764))</f>
        <v/>
      </c>
      <c r="W764" s="68">
        <f>IF($B764="","",DAY($B764))</f>
        <v/>
      </c>
      <c r="X764" s="68">
        <f>IF($B764="","",YEAR($B764)&amp;"-"&amp;TEXT(MONTH($B764),"00"))</f>
        <v/>
      </c>
      <c r="Y764" s="68">
        <f>IF(OR($H764="",$J764=""),"",$J764*IFERROR(VLOOKUP($H764,Maestro_SKU!$A$2:$P$500,12,FALSE),1))</f>
        <v/>
      </c>
    </row>
    <row r="765">
      <c r="A765" s="43" t="n"/>
      <c r="B765" s="54" t="n"/>
      <c r="C765" s="43" t="n"/>
      <c r="D765" s="43" t="n"/>
      <c r="E765" s="48">
        <f>IFERROR(VLOOKUP(D765,Clientes_PDV!$A$2:$J$250,2,FALSE),"")</f>
        <v/>
      </c>
      <c r="F765" s="48">
        <f>IFERROR(VLOOKUP(D765,Clientes_PDV!$A$2:$J$250,3,FALSE),"")</f>
        <v/>
      </c>
      <c r="G765" s="48">
        <f>IFERROR(VLOOKUP(D765,Clientes_PDV!$A$2:$J$250,4,FALSE),"")</f>
        <v/>
      </c>
      <c r="H765" s="43" t="n"/>
      <c r="I765" s="48">
        <f>IFERROR(VLOOKUP(H765,Maestro_SKU!$A$2:$P$500,2,FALSE),"")</f>
        <v/>
      </c>
      <c r="J765" s="55" t="n"/>
      <c r="K765" s="44" t="n"/>
      <c r="L765" s="51">
        <f>IF(OR(J765="",K765=""),"",J765*K765)</f>
        <v/>
      </c>
      <c r="M765" s="51">
        <f>IF(L765="","",L765*Inicio!$B$13)</f>
        <v/>
      </c>
      <c r="N765" s="51">
        <f>IF(L765="","",L765+M765)</f>
        <v/>
      </c>
      <c r="O765" s="54" t="n"/>
      <c r="P765" s="43" t="n"/>
      <c r="Q765" s="44" t="n"/>
      <c r="R765" s="51">
        <f>IF(N765="","",MAX(N765-Q765,0))</f>
        <v/>
      </c>
      <c r="S765" s="48">
        <f>IF(A765="","",IF(OR(P765="Pagada",R765=0),"Pagada",IF(O765&lt;TODAY(),"Vencida",IF(O765&lt;=TODAY()+Inicio!$B$19,"Próxima a vencer","Vigente"))))</f>
        <v/>
      </c>
      <c r="T765" s="43" t="n"/>
      <c r="U765" s="68">
        <f>IF($B765="","",YEAR($B765))</f>
        <v/>
      </c>
      <c r="V765" s="68">
        <f>IF($B765="","",MONTH($B765))</f>
        <v/>
      </c>
      <c r="W765" s="68">
        <f>IF($B765="","",DAY($B765))</f>
        <v/>
      </c>
      <c r="X765" s="68">
        <f>IF($B765="","",YEAR($B765)&amp;"-"&amp;TEXT(MONTH($B765),"00"))</f>
        <v/>
      </c>
      <c r="Y765" s="68">
        <f>IF(OR($H765="",$J765=""),"",$J765*IFERROR(VLOOKUP($H765,Maestro_SKU!$A$2:$P$500,12,FALSE),1))</f>
        <v/>
      </c>
    </row>
    <row r="766">
      <c r="A766" s="43" t="n"/>
      <c r="B766" s="54" t="n"/>
      <c r="C766" s="43" t="n"/>
      <c r="D766" s="43" t="n"/>
      <c r="E766" s="48">
        <f>IFERROR(VLOOKUP(D766,Clientes_PDV!$A$2:$J$250,2,FALSE),"")</f>
        <v/>
      </c>
      <c r="F766" s="48">
        <f>IFERROR(VLOOKUP(D766,Clientes_PDV!$A$2:$J$250,3,FALSE),"")</f>
        <v/>
      </c>
      <c r="G766" s="48">
        <f>IFERROR(VLOOKUP(D766,Clientes_PDV!$A$2:$J$250,4,FALSE),"")</f>
        <v/>
      </c>
      <c r="H766" s="43" t="n"/>
      <c r="I766" s="48">
        <f>IFERROR(VLOOKUP(H766,Maestro_SKU!$A$2:$P$500,2,FALSE),"")</f>
        <v/>
      </c>
      <c r="J766" s="55" t="n"/>
      <c r="K766" s="44" t="n"/>
      <c r="L766" s="51">
        <f>IF(OR(J766="",K766=""),"",J766*K766)</f>
        <v/>
      </c>
      <c r="M766" s="51">
        <f>IF(L766="","",L766*Inicio!$B$13)</f>
        <v/>
      </c>
      <c r="N766" s="51">
        <f>IF(L766="","",L766+M766)</f>
        <v/>
      </c>
      <c r="O766" s="54" t="n"/>
      <c r="P766" s="43" t="n"/>
      <c r="Q766" s="44" t="n"/>
      <c r="R766" s="51">
        <f>IF(N766="","",MAX(N766-Q766,0))</f>
        <v/>
      </c>
      <c r="S766" s="48">
        <f>IF(A766="","",IF(OR(P766="Pagada",R766=0),"Pagada",IF(O766&lt;TODAY(),"Vencida",IF(O766&lt;=TODAY()+Inicio!$B$19,"Próxima a vencer","Vigente"))))</f>
        <v/>
      </c>
      <c r="T766" s="43" t="n"/>
      <c r="U766" s="68">
        <f>IF($B766="","",YEAR($B766))</f>
        <v/>
      </c>
      <c r="V766" s="68">
        <f>IF($B766="","",MONTH($B766))</f>
        <v/>
      </c>
      <c r="W766" s="68">
        <f>IF($B766="","",DAY($B766))</f>
        <v/>
      </c>
      <c r="X766" s="68">
        <f>IF($B766="","",YEAR($B766)&amp;"-"&amp;TEXT(MONTH($B766),"00"))</f>
        <v/>
      </c>
      <c r="Y766" s="68">
        <f>IF(OR($H766="",$J766=""),"",$J766*IFERROR(VLOOKUP($H766,Maestro_SKU!$A$2:$P$500,12,FALSE),1))</f>
        <v/>
      </c>
    </row>
    <row r="767">
      <c r="A767" s="43" t="n"/>
      <c r="B767" s="54" t="n"/>
      <c r="C767" s="43" t="n"/>
      <c r="D767" s="43" t="n"/>
      <c r="E767" s="48">
        <f>IFERROR(VLOOKUP(D767,Clientes_PDV!$A$2:$J$250,2,FALSE),"")</f>
        <v/>
      </c>
      <c r="F767" s="48">
        <f>IFERROR(VLOOKUP(D767,Clientes_PDV!$A$2:$J$250,3,FALSE),"")</f>
        <v/>
      </c>
      <c r="G767" s="48">
        <f>IFERROR(VLOOKUP(D767,Clientes_PDV!$A$2:$J$250,4,FALSE),"")</f>
        <v/>
      </c>
      <c r="H767" s="43" t="n"/>
      <c r="I767" s="48">
        <f>IFERROR(VLOOKUP(H767,Maestro_SKU!$A$2:$P$500,2,FALSE),"")</f>
        <v/>
      </c>
      <c r="J767" s="55" t="n"/>
      <c r="K767" s="44" t="n"/>
      <c r="L767" s="51">
        <f>IF(OR(J767="",K767=""),"",J767*K767)</f>
        <v/>
      </c>
      <c r="M767" s="51">
        <f>IF(L767="","",L767*Inicio!$B$13)</f>
        <v/>
      </c>
      <c r="N767" s="51">
        <f>IF(L767="","",L767+M767)</f>
        <v/>
      </c>
      <c r="O767" s="54" t="n"/>
      <c r="P767" s="43" t="n"/>
      <c r="Q767" s="44" t="n"/>
      <c r="R767" s="51">
        <f>IF(N767="","",MAX(N767-Q767,0))</f>
        <v/>
      </c>
      <c r="S767" s="48">
        <f>IF(A767="","",IF(OR(P767="Pagada",R767=0),"Pagada",IF(O767&lt;TODAY(),"Vencida",IF(O767&lt;=TODAY()+Inicio!$B$19,"Próxima a vencer","Vigente"))))</f>
        <v/>
      </c>
      <c r="T767" s="43" t="n"/>
      <c r="U767" s="68">
        <f>IF($B767="","",YEAR($B767))</f>
        <v/>
      </c>
      <c r="V767" s="68">
        <f>IF($B767="","",MONTH($B767))</f>
        <v/>
      </c>
      <c r="W767" s="68">
        <f>IF($B767="","",DAY($B767))</f>
        <v/>
      </c>
      <c r="X767" s="68">
        <f>IF($B767="","",YEAR($B767)&amp;"-"&amp;TEXT(MONTH($B767),"00"))</f>
        <v/>
      </c>
      <c r="Y767" s="68">
        <f>IF(OR($H767="",$J767=""),"",$J767*IFERROR(VLOOKUP($H767,Maestro_SKU!$A$2:$P$500,12,FALSE),1))</f>
        <v/>
      </c>
    </row>
    <row r="768">
      <c r="A768" s="43" t="n"/>
      <c r="B768" s="54" t="n"/>
      <c r="C768" s="43" t="n"/>
      <c r="D768" s="43" t="n"/>
      <c r="E768" s="48">
        <f>IFERROR(VLOOKUP(D768,Clientes_PDV!$A$2:$J$250,2,FALSE),"")</f>
        <v/>
      </c>
      <c r="F768" s="48">
        <f>IFERROR(VLOOKUP(D768,Clientes_PDV!$A$2:$J$250,3,FALSE),"")</f>
        <v/>
      </c>
      <c r="G768" s="48">
        <f>IFERROR(VLOOKUP(D768,Clientes_PDV!$A$2:$J$250,4,FALSE),"")</f>
        <v/>
      </c>
      <c r="H768" s="43" t="n"/>
      <c r="I768" s="48">
        <f>IFERROR(VLOOKUP(H768,Maestro_SKU!$A$2:$P$500,2,FALSE),"")</f>
        <v/>
      </c>
      <c r="J768" s="55" t="n"/>
      <c r="K768" s="44" t="n"/>
      <c r="L768" s="51">
        <f>IF(OR(J768="",K768=""),"",J768*K768)</f>
        <v/>
      </c>
      <c r="M768" s="51">
        <f>IF(L768="","",L768*Inicio!$B$13)</f>
        <v/>
      </c>
      <c r="N768" s="51">
        <f>IF(L768="","",L768+M768)</f>
        <v/>
      </c>
      <c r="O768" s="54" t="n"/>
      <c r="P768" s="43" t="n"/>
      <c r="Q768" s="44" t="n"/>
      <c r="R768" s="51">
        <f>IF(N768="","",MAX(N768-Q768,0))</f>
        <v/>
      </c>
      <c r="S768" s="48">
        <f>IF(A768="","",IF(OR(P768="Pagada",R768=0),"Pagada",IF(O768&lt;TODAY(),"Vencida",IF(O768&lt;=TODAY()+Inicio!$B$19,"Próxima a vencer","Vigente"))))</f>
        <v/>
      </c>
      <c r="T768" s="43" t="n"/>
      <c r="U768" s="68">
        <f>IF($B768="","",YEAR($B768))</f>
        <v/>
      </c>
      <c r="V768" s="68">
        <f>IF($B768="","",MONTH($B768))</f>
        <v/>
      </c>
      <c r="W768" s="68">
        <f>IF($B768="","",DAY($B768))</f>
        <v/>
      </c>
      <c r="X768" s="68">
        <f>IF($B768="","",YEAR($B768)&amp;"-"&amp;TEXT(MONTH($B768),"00"))</f>
        <v/>
      </c>
      <c r="Y768" s="68">
        <f>IF(OR($H768="",$J768=""),"",$J768*IFERROR(VLOOKUP($H768,Maestro_SKU!$A$2:$P$500,12,FALSE),1))</f>
        <v/>
      </c>
    </row>
    <row r="769">
      <c r="A769" s="43" t="n"/>
      <c r="B769" s="54" t="n"/>
      <c r="C769" s="43" t="n"/>
      <c r="D769" s="43" t="n"/>
      <c r="E769" s="48">
        <f>IFERROR(VLOOKUP(D769,Clientes_PDV!$A$2:$J$250,2,FALSE),"")</f>
        <v/>
      </c>
      <c r="F769" s="48">
        <f>IFERROR(VLOOKUP(D769,Clientes_PDV!$A$2:$J$250,3,FALSE),"")</f>
        <v/>
      </c>
      <c r="G769" s="48">
        <f>IFERROR(VLOOKUP(D769,Clientes_PDV!$A$2:$J$250,4,FALSE),"")</f>
        <v/>
      </c>
      <c r="H769" s="43" t="n"/>
      <c r="I769" s="48">
        <f>IFERROR(VLOOKUP(H769,Maestro_SKU!$A$2:$P$500,2,FALSE),"")</f>
        <v/>
      </c>
      <c r="J769" s="55" t="n"/>
      <c r="K769" s="44" t="n"/>
      <c r="L769" s="51">
        <f>IF(OR(J769="",K769=""),"",J769*K769)</f>
        <v/>
      </c>
      <c r="M769" s="51">
        <f>IF(L769="","",L769*Inicio!$B$13)</f>
        <v/>
      </c>
      <c r="N769" s="51">
        <f>IF(L769="","",L769+M769)</f>
        <v/>
      </c>
      <c r="O769" s="54" t="n"/>
      <c r="P769" s="43" t="n"/>
      <c r="Q769" s="44" t="n"/>
      <c r="R769" s="51">
        <f>IF(N769="","",MAX(N769-Q769,0))</f>
        <v/>
      </c>
      <c r="S769" s="48">
        <f>IF(A769="","",IF(OR(P769="Pagada",R769=0),"Pagada",IF(O769&lt;TODAY(),"Vencida",IF(O769&lt;=TODAY()+Inicio!$B$19,"Próxima a vencer","Vigente"))))</f>
        <v/>
      </c>
      <c r="T769" s="43" t="n"/>
      <c r="U769" s="68">
        <f>IF($B769="","",YEAR($B769))</f>
        <v/>
      </c>
      <c r="V769" s="68">
        <f>IF($B769="","",MONTH($B769))</f>
        <v/>
      </c>
      <c r="W769" s="68">
        <f>IF($B769="","",DAY($B769))</f>
        <v/>
      </c>
      <c r="X769" s="68">
        <f>IF($B769="","",YEAR($B769)&amp;"-"&amp;TEXT(MONTH($B769),"00"))</f>
        <v/>
      </c>
      <c r="Y769" s="68">
        <f>IF(OR($H769="",$J769=""),"",$J769*IFERROR(VLOOKUP($H769,Maestro_SKU!$A$2:$P$500,12,FALSE),1))</f>
        <v/>
      </c>
    </row>
    <row r="770">
      <c r="A770" s="43" t="n"/>
      <c r="B770" s="54" t="n"/>
      <c r="C770" s="43" t="n"/>
      <c r="D770" s="43" t="n"/>
      <c r="E770" s="48">
        <f>IFERROR(VLOOKUP(D770,Clientes_PDV!$A$2:$J$250,2,FALSE),"")</f>
        <v/>
      </c>
      <c r="F770" s="48">
        <f>IFERROR(VLOOKUP(D770,Clientes_PDV!$A$2:$J$250,3,FALSE),"")</f>
        <v/>
      </c>
      <c r="G770" s="48">
        <f>IFERROR(VLOOKUP(D770,Clientes_PDV!$A$2:$J$250,4,FALSE),"")</f>
        <v/>
      </c>
      <c r="H770" s="43" t="n"/>
      <c r="I770" s="48">
        <f>IFERROR(VLOOKUP(H770,Maestro_SKU!$A$2:$P$500,2,FALSE),"")</f>
        <v/>
      </c>
      <c r="J770" s="55" t="n"/>
      <c r="K770" s="44" t="n"/>
      <c r="L770" s="51">
        <f>IF(OR(J770="",K770=""),"",J770*K770)</f>
        <v/>
      </c>
      <c r="M770" s="51">
        <f>IF(L770="","",L770*Inicio!$B$13)</f>
        <v/>
      </c>
      <c r="N770" s="51">
        <f>IF(L770="","",L770+M770)</f>
        <v/>
      </c>
      <c r="O770" s="54" t="n"/>
      <c r="P770" s="43" t="n"/>
      <c r="Q770" s="44" t="n"/>
      <c r="R770" s="51">
        <f>IF(N770="","",MAX(N770-Q770,0))</f>
        <v/>
      </c>
      <c r="S770" s="48">
        <f>IF(A770="","",IF(OR(P770="Pagada",R770=0),"Pagada",IF(O770&lt;TODAY(),"Vencida",IF(O770&lt;=TODAY()+Inicio!$B$19,"Próxima a vencer","Vigente"))))</f>
        <v/>
      </c>
      <c r="T770" s="43" t="n"/>
      <c r="U770" s="68">
        <f>IF($B770="","",YEAR($B770))</f>
        <v/>
      </c>
      <c r="V770" s="68">
        <f>IF($B770="","",MONTH($B770))</f>
        <v/>
      </c>
      <c r="W770" s="68">
        <f>IF($B770="","",DAY($B770))</f>
        <v/>
      </c>
      <c r="X770" s="68">
        <f>IF($B770="","",YEAR($B770)&amp;"-"&amp;TEXT(MONTH($B770),"00"))</f>
        <v/>
      </c>
      <c r="Y770" s="68">
        <f>IF(OR($H770="",$J770=""),"",$J770*IFERROR(VLOOKUP($H770,Maestro_SKU!$A$2:$P$500,12,FALSE),1))</f>
        <v/>
      </c>
    </row>
    <row r="771">
      <c r="A771" s="43" t="n"/>
      <c r="B771" s="54" t="n"/>
      <c r="C771" s="43" t="n"/>
      <c r="D771" s="43" t="n"/>
      <c r="E771" s="48">
        <f>IFERROR(VLOOKUP(D771,Clientes_PDV!$A$2:$J$250,2,FALSE),"")</f>
        <v/>
      </c>
      <c r="F771" s="48">
        <f>IFERROR(VLOOKUP(D771,Clientes_PDV!$A$2:$J$250,3,FALSE),"")</f>
        <v/>
      </c>
      <c r="G771" s="48">
        <f>IFERROR(VLOOKUP(D771,Clientes_PDV!$A$2:$J$250,4,FALSE),"")</f>
        <v/>
      </c>
      <c r="H771" s="43" t="n"/>
      <c r="I771" s="48">
        <f>IFERROR(VLOOKUP(H771,Maestro_SKU!$A$2:$P$500,2,FALSE),"")</f>
        <v/>
      </c>
      <c r="J771" s="55" t="n"/>
      <c r="K771" s="44" t="n"/>
      <c r="L771" s="51">
        <f>IF(OR(J771="",K771=""),"",J771*K771)</f>
        <v/>
      </c>
      <c r="M771" s="51">
        <f>IF(L771="","",L771*Inicio!$B$13)</f>
        <v/>
      </c>
      <c r="N771" s="51">
        <f>IF(L771="","",L771+M771)</f>
        <v/>
      </c>
      <c r="O771" s="54" t="n"/>
      <c r="P771" s="43" t="n"/>
      <c r="Q771" s="44" t="n"/>
      <c r="R771" s="51">
        <f>IF(N771="","",MAX(N771-Q771,0))</f>
        <v/>
      </c>
      <c r="S771" s="48">
        <f>IF(A771="","",IF(OR(P771="Pagada",R771=0),"Pagada",IF(O771&lt;TODAY(),"Vencida",IF(O771&lt;=TODAY()+Inicio!$B$19,"Próxima a vencer","Vigente"))))</f>
        <v/>
      </c>
      <c r="T771" s="43" t="n"/>
      <c r="U771" s="68">
        <f>IF($B771="","",YEAR($B771))</f>
        <v/>
      </c>
      <c r="V771" s="68">
        <f>IF($B771="","",MONTH($B771))</f>
        <v/>
      </c>
      <c r="W771" s="68">
        <f>IF($B771="","",DAY($B771))</f>
        <v/>
      </c>
      <c r="X771" s="68">
        <f>IF($B771="","",YEAR($B771)&amp;"-"&amp;TEXT(MONTH($B771),"00"))</f>
        <v/>
      </c>
      <c r="Y771" s="68">
        <f>IF(OR($H771="",$J771=""),"",$J771*IFERROR(VLOOKUP($H771,Maestro_SKU!$A$2:$P$500,12,FALSE),1))</f>
        <v/>
      </c>
    </row>
    <row r="772">
      <c r="A772" s="43" t="n"/>
      <c r="B772" s="54" t="n"/>
      <c r="C772" s="43" t="n"/>
      <c r="D772" s="43" t="n"/>
      <c r="E772" s="48">
        <f>IFERROR(VLOOKUP(D772,Clientes_PDV!$A$2:$J$250,2,FALSE),"")</f>
        <v/>
      </c>
      <c r="F772" s="48">
        <f>IFERROR(VLOOKUP(D772,Clientes_PDV!$A$2:$J$250,3,FALSE),"")</f>
        <v/>
      </c>
      <c r="G772" s="48">
        <f>IFERROR(VLOOKUP(D772,Clientes_PDV!$A$2:$J$250,4,FALSE),"")</f>
        <v/>
      </c>
      <c r="H772" s="43" t="n"/>
      <c r="I772" s="48">
        <f>IFERROR(VLOOKUP(H772,Maestro_SKU!$A$2:$P$500,2,FALSE),"")</f>
        <v/>
      </c>
      <c r="J772" s="55" t="n"/>
      <c r="K772" s="44" t="n"/>
      <c r="L772" s="51">
        <f>IF(OR(J772="",K772=""),"",J772*K772)</f>
        <v/>
      </c>
      <c r="M772" s="51">
        <f>IF(L772="","",L772*Inicio!$B$13)</f>
        <v/>
      </c>
      <c r="N772" s="51">
        <f>IF(L772="","",L772+M772)</f>
        <v/>
      </c>
      <c r="O772" s="54" t="n"/>
      <c r="P772" s="43" t="n"/>
      <c r="Q772" s="44" t="n"/>
      <c r="R772" s="51">
        <f>IF(N772="","",MAX(N772-Q772,0))</f>
        <v/>
      </c>
      <c r="S772" s="48">
        <f>IF(A772="","",IF(OR(P772="Pagada",R772=0),"Pagada",IF(O772&lt;TODAY(),"Vencida",IF(O772&lt;=TODAY()+Inicio!$B$19,"Próxima a vencer","Vigente"))))</f>
        <v/>
      </c>
      <c r="T772" s="43" t="n"/>
      <c r="U772" s="68">
        <f>IF($B772="","",YEAR($B772))</f>
        <v/>
      </c>
      <c r="V772" s="68">
        <f>IF($B772="","",MONTH($B772))</f>
        <v/>
      </c>
      <c r="W772" s="68">
        <f>IF($B772="","",DAY($B772))</f>
        <v/>
      </c>
      <c r="X772" s="68">
        <f>IF($B772="","",YEAR($B772)&amp;"-"&amp;TEXT(MONTH($B772),"00"))</f>
        <v/>
      </c>
      <c r="Y772" s="68">
        <f>IF(OR($H772="",$J772=""),"",$J772*IFERROR(VLOOKUP($H772,Maestro_SKU!$A$2:$P$500,12,FALSE),1))</f>
        <v/>
      </c>
    </row>
    <row r="773">
      <c r="A773" s="43" t="n"/>
      <c r="B773" s="54" t="n"/>
      <c r="C773" s="43" t="n"/>
      <c r="D773" s="43" t="n"/>
      <c r="E773" s="48">
        <f>IFERROR(VLOOKUP(D773,Clientes_PDV!$A$2:$J$250,2,FALSE),"")</f>
        <v/>
      </c>
      <c r="F773" s="48">
        <f>IFERROR(VLOOKUP(D773,Clientes_PDV!$A$2:$J$250,3,FALSE),"")</f>
        <v/>
      </c>
      <c r="G773" s="48">
        <f>IFERROR(VLOOKUP(D773,Clientes_PDV!$A$2:$J$250,4,FALSE),"")</f>
        <v/>
      </c>
      <c r="H773" s="43" t="n"/>
      <c r="I773" s="48">
        <f>IFERROR(VLOOKUP(H773,Maestro_SKU!$A$2:$P$500,2,FALSE),"")</f>
        <v/>
      </c>
      <c r="J773" s="55" t="n"/>
      <c r="K773" s="44" t="n"/>
      <c r="L773" s="51">
        <f>IF(OR(J773="",K773=""),"",J773*K773)</f>
        <v/>
      </c>
      <c r="M773" s="51">
        <f>IF(L773="","",L773*Inicio!$B$13)</f>
        <v/>
      </c>
      <c r="N773" s="51">
        <f>IF(L773="","",L773+M773)</f>
        <v/>
      </c>
      <c r="O773" s="54" t="n"/>
      <c r="P773" s="43" t="n"/>
      <c r="Q773" s="44" t="n"/>
      <c r="R773" s="51">
        <f>IF(N773="","",MAX(N773-Q773,0))</f>
        <v/>
      </c>
      <c r="S773" s="48">
        <f>IF(A773="","",IF(OR(P773="Pagada",R773=0),"Pagada",IF(O773&lt;TODAY(),"Vencida",IF(O773&lt;=TODAY()+Inicio!$B$19,"Próxima a vencer","Vigente"))))</f>
        <v/>
      </c>
      <c r="T773" s="43" t="n"/>
      <c r="U773" s="68">
        <f>IF($B773="","",YEAR($B773))</f>
        <v/>
      </c>
      <c r="V773" s="68">
        <f>IF($B773="","",MONTH($B773))</f>
        <v/>
      </c>
      <c r="W773" s="68">
        <f>IF($B773="","",DAY($B773))</f>
        <v/>
      </c>
      <c r="X773" s="68">
        <f>IF($B773="","",YEAR($B773)&amp;"-"&amp;TEXT(MONTH($B773),"00"))</f>
        <v/>
      </c>
      <c r="Y773" s="68">
        <f>IF(OR($H773="",$J773=""),"",$J773*IFERROR(VLOOKUP($H773,Maestro_SKU!$A$2:$P$500,12,FALSE),1))</f>
        <v/>
      </c>
    </row>
    <row r="774">
      <c r="A774" s="43" t="n"/>
      <c r="B774" s="54" t="n"/>
      <c r="C774" s="43" t="n"/>
      <c r="D774" s="43" t="n"/>
      <c r="E774" s="48">
        <f>IFERROR(VLOOKUP(D774,Clientes_PDV!$A$2:$J$250,2,FALSE),"")</f>
        <v/>
      </c>
      <c r="F774" s="48">
        <f>IFERROR(VLOOKUP(D774,Clientes_PDV!$A$2:$J$250,3,FALSE),"")</f>
        <v/>
      </c>
      <c r="G774" s="48">
        <f>IFERROR(VLOOKUP(D774,Clientes_PDV!$A$2:$J$250,4,FALSE),"")</f>
        <v/>
      </c>
      <c r="H774" s="43" t="n"/>
      <c r="I774" s="48">
        <f>IFERROR(VLOOKUP(H774,Maestro_SKU!$A$2:$P$500,2,FALSE),"")</f>
        <v/>
      </c>
      <c r="J774" s="55" t="n"/>
      <c r="K774" s="44" t="n"/>
      <c r="L774" s="51">
        <f>IF(OR(J774="",K774=""),"",J774*K774)</f>
        <v/>
      </c>
      <c r="M774" s="51">
        <f>IF(L774="","",L774*Inicio!$B$13)</f>
        <v/>
      </c>
      <c r="N774" s="51">
        <f>IF(L774="","",L774+M774)</f>
        <v/>
      </c>
      <c r="O774" s="54" t="n"/>
      <c r="P774" s="43" t="n"/>
      <c r="Q774" s="44" t="n"/>
      <c r="R774" s="51">
        <f>IF(N774="","",MAX(N774-Q774,0))</f>
        <v/>
      </c>
      <c r="S774" s="48">
        <f>IF(A774="","",IF(OR(P774="Pagada",R774=0),"Pagada",IF(O774&lt;TODAY(),"Vencida",IF(O774&lt;=TODAY()+Inicio!$B$19,"Próxima a vencer","Vigente"))))</f>
        <v/>
      </c>
      <c r="T774" s="43" t="n"/>
      <c r="U774" s="68">
        <f>IF($B774="","",YEAR($B774))</f>
        <v/>
      </c>
      <c r="V774" s="68">
        <f>IF($B774="","",MONTH($B774))</f>
        <v/>
      </c>
      <c r="W774" s="68">
        <f>IF($B774="","",DAY($B774))</f>
        <v/>
      </c>
      <c r="X774" s="68">
        <f>IF($B774="","",YEAR($B774)&amp;"-"&amp;TEXT(MONTH($B774),"00"))</f>
        <v/>
      </c>
      <c r="Y774" s="68">
        <f>IF(OR($H774="",$J774=""),"",$J774*IFERROR(VLOOKUP($H774,Maestro_SKU!$A$2:$P$500,12,FALSE),1))</f>
        <v/>
      </c>
    </row>
    <row r="775">
      <c r="A775" s="43" t="n"/>
      <c r="B775" s="54" t="n"/>
      <c r="C775" s="43" t="n"/>
      <c r="D775" s="43" t="n"/>
      <c r="E775" s="48">
        <f>IFERROR(VLOOKUP(D775,Clientes_PDV!$A$2:$J$250,2,FALSE),"")</f>
        <v/>
      </c>
      <c r="F775" s="48">
        <f>IFERROR(VLOOKUP(D775,Clientes_PDV!$A$2:$J$250,3,FALSE),"")</f>
        <v/>
      </c>
      <c r="G775" s="48">
        <f>IFERROR(VLOOKUP(D775,Clientes_PDV!$A$2:$J$250,4,FALSE),"")</f>
        <v/>
      </c>
      <c r="H775" s="43" t="n"/>
      <c r="I775" s="48">
        <f>IFERROR(VLOOKUP(H775,Maestro_SKU!$A$2:$P$500,2,FALSE),"")</f>
        <v/>
      </c>
      <c r="J775" s="55" t="n"/>
      <c r="K775" s="44" t="n"/>
      <c r="L775" s="51">
        <f>IF(OR(J775="",K775=""),"",J775*K775)</f>
        <v/>
      </c>
      <c r="M775" s="51">
        <f>IF(L775="","",L775*Inicio!$B$13)</f>
        <v/>
      </c>
      <c r="N775" s="51">
        <f>IF(L775="","",L775+M775)</f>
        <v/>
      </c>
      <c r="O775" s="54" t="n"/>
      <c r="P775" s="43" t="n"/>
      <c r="Q775" s="44" t="n"/>
      <c r="R775" s="51">
        <f>IF(N775="","",MAX(N775-Q775,0))</f>
        <v/>
      </c>
      <c r="S775" s="48">
        <f>IF(A775="","",IF(OR(P775="Pagada",R775=0),"Pagada",IF(O775&lt;TODAY(),"Vencida",IF(O775&lt;=TODAY()+Inicio!$B$19,"Próxima a vencer","Vigente"))))</f>
        <v/>
      </c>
      <c r="T775" s="43" t="n"/>
      <c r="U775" s="68">
        <f>IF($B775="","",YEAR($B775))</f>
        <v/>
      </c>
      <c r="V775" s="68">
        <f>IF($B775="","",MONTH($B775))</f>
        <v/>
      </c>
      <c r="W775" s="68">
        <f>IF($B775="","",DAY($B775))</f>
        <v/>
      </c>
      <c r="X775" s="68">
        <f>IF($B775="","",YEAR($B775)&amp;"-"&amp;TEXT(MONTH($B775),"00"))</f>
        <v/>
      </c>
      <c r="Y775" s="68">
        <f>IF(OR($H775="",$J775=""),"",$J775*IFERROR(VLOOKUP($H775,Maestro_SKU!$A$2:$P$500,12,FALSE),1))</f>
        <v/>
      </c>
    </row>
    <row r="776">
      <c r="A776" s="43" t="n"/>
      <c r="B776" s="54" t="n"/>
      <c r="C776" s="43" t="n"/>
      <c r="D776" s="43" t="n"/>
      <c r="E776" s="48">
        <f>IFERROR(VLOOKUP(D776,Clientes_PDV!$A$2:$J$250,2,FALSE),"")</f>
        <v/>
      </c>
      <c r="F776" s="48">
        <f>IFERROR(VLOOKUP(D776,Clientes_PDV!$A$2:$J$250,3,FALSE),"")</f>
        <v/>
      </c>
      <c r="G776" s="48">
        <f>IFERROR(VLOOKUP(D776,Clientes_PDV!$A$2:$J$250,4,FALSE),"")</f>
        <v/>
      </c>
      <c r="H776" s="43" t="n"/>
      <c r="I776" s="48">
        <f>IFERROR(VLOOKUP(H776,Maestro_SKU!$A$2:$P$500,2,FALSE),"")</f>
        <v/>
      </c>
      <c r="J776" s="55" t="n"/>
      <c r="K776" s="44" t="n"/>
      <c r="L776" s="51">
        <f>IF(OR(J776="",K776=""),"",J776*K776)</f>
        <v/>
      </c>
      <c r="M776" s="51">
        <f>IF(L776="","",L776*Inicio!$B$13)</f>
        <v/>
      </c>
      <c r="N776" s="51">
        <f>IF(L776="","",L776+M776)</f>
        <v/>
      </c>
      <c r="O776" s="54" t="n"/>
      <c r="P776" s="43" t="n"/>
      <c r="Q776" s="44" t="n"/>
      <c r="R776" s="51">
        <f>IF(N776="","",MAX(N776-Q776,0))</f>
        <v/>
      </c>
      <c r="S776" s="48">
        <f>IF(A776="","",IF(OR(P776="Pagada",R776=0),"Pagada",IF(O776&lt;TODAY(),"Vencida",IF(O776&lt;=TODAY()+Inicio!$B$19,"Próxima a vencer","Vigente"))))</f>
        <v/>
      </c>
      <c r="T776" s="43" t="n"/>
      <c r="U776" s="68">
        <f>IF($B776="","",YEAR($B776))</f>
        <v/>
      </c>
      <c r="V776" s="68">
        <f>IF($B776="","",MONTH($B776))</f>
        <v/>
      </c>
      <c r="W776" s="68">
        <f>IF($B776="","",DAY($B776))</f>
        <v/>
      </c>
      <c r="X776" s="68">
        <f>IF($B776="","",YEAR($B776)&amp;"-"&amp;TEXT(MONTH($B776),"00"))</f>
        <v/>
      </c>
      <c r="Y776" s="68">
        <f>IF(OR($H776="",$J776=""),"",$J776*IFERROR(VLOOKUP($H776,Maestro_SKU!$A$2:$P$500,12,FALSE),1))</f>
        <v/>
      </c>
    </row>
    <row r="777">
      <c r="A777" s="43" t="n"/>
      <c r="B777" s="54" t="n"/>
      <c r="C777" s="43" t="n"/>
      <c r="D777" s="43" t="n"/>
      <c r="E777" s="48">
        <f>IFERROR(VLOOKUP(D777,Clientes_PDV!$A$2:$J$250,2,FALSE),"")</f>
        <v/>
      </c>
      <c r="F777" s="48">
        <f>IFERROR(VLOOKUP(D777,Clientes_PDV!$A$2:$J$250,3,FALSE),"")</f>
        <v/>
      </c>
      <c r="G777" s="48">
        <f>IFERROR(VLOOKUP(D777,Clientes_PDV!$A$2:$J$250,4,FALSE),"")</f>
        <v/>
      </c>
      <c r="H777" s="43" t="n"/>
      <c r="I777" s="48">
        <f>IFERROR(VLOOKUP(H777,Maestro_SKU!$A$2:$P$500,2,FALSE),"")</f>
        <v/>
      </c>
      <c r="J777" s="55" t="n"/>
      <c r="K777" s="44" t="n"/>
      <c r="L777" s="51">
        <f>IF(OR(J777="",K777=""),"",J777*K777)</f>
        <v/>
      </c>
      <c r="M777" s="51">
        <f>IF(L777="","",L777*Inicio!$B$13)</f>
        <v/>
      </c>
      <c r="N777" s="51">
        <f>IF(L777="","",L777+M777)</f>
        <v/>
      </c>
      <c r="O777" s="54" t="n"/>
      <c r="P777" s="43" t="n"/>
      <c r="Q777" s="44" t="n"/>
      <c r="R777" s="51">
        <f>IF(N777="","",MAX(N777-Q777,0))</f>
        <v/>
      </c>
      <c r="S777" s="48">
        <f>IF(A777="","",IF(OR(P777="Pagada",R777=0),"Pagada",IF(O777&lt;TODAY(),"Vencida",IF(O777&lt;=TODAY()+Inicio!$B$19,"Próxima a vencer","Vigente"))))</f>
        <v/>
      </c>
      <c r="T777" s="43" t="n"/>
      <c r="U777" s="68">
        <f>IF($B777="","",YEAR($B777))</f>
        <v/>
      </c>
      <c r="V777" s="68">
        <f>IF($B777="","",MONTH($B777))</f>
        <v/>
      </c>
      <c r="W777" s="68">
        <f>IF($B777="","",DAY($B777))</f>
        <v/>
      </c>
      <c r="X777" s="68">
        <f>IF($B777="","",YEAR($B777)&amp;"-"&amp;TEXT(MONTH($B777),"00"))</f>
        <v/>
      </c>
      <c r="Y777" s="68">
        <f>IF(OR($H777="",$J777=""),"",$J777*IFERROR(VLOOKUP($H777,Maestro_SKU!$A$2:$P$500,12,FALSE),1))</f>
        <v/>
      </c>
    </row>
    <row r="778">
      <c r="A778" s="43" t="n"/>
      <c r="B778" s="54" t="n"/>
      <c r="C778" s="43" t="n"/>
      <c r="D778" s="43" t="n"/>
      <c r="E778" s="48">
        <f>IFERROR(VLOOKUP(D778,Clientes_PDV!$A$2:$J$250,2,FALSE),"")</f>
        <v/>
      </c>
      <c r="F778" s="48">
        <f>IFERROR(VLOOKUP(D778,Clientes_PDV!$A$2:$J$250,3,FALSE),"")</f>
        <v/>
      </c>
      <c r="G778" s="48">
        <f>IFERROR(VLOOKUP(D778,Clientes_PDV!$A$2:$J$250,4,FALSE),"")</f>
        <v/>
      </c>
      <c r="H778" s="43" t="n"/>
      <c r="I778" s="48">
        <f>IFERROR(VLOOKUP(H778,Maestro_SKU!$A$2:$P$500,2,FALSE),"")</f>
        <v/>
      </c>
      <c r="J778" s="55" t="n"/>
      <c r="K778" s="44" t="n"/>
      <c r="L778" s="51">
        <f>IF(OR(J778="",K778=""),"",J778*K778)</f>
        <v/>
      </c>
      <c r="M778" s="51">
        <f>IF(L778="","",L778*Inicio!$B$13)</f>
        <v/>
      </c>
      <c r="N778" s="51">
        <f>IF(L778="","",L778+M778)</f>
        <v/>
      </c>
      <c r="O778" s="54" t="n"/>
      <c r="P778" s="43" t="n"/>
      <c r="Q778" s="44" t="n"/>
      <c r="R778" s="51">
        <f>IF(N778="","",MAX(N778-Q778,0))</f>
        <v/>
      </c>
      <c r="S778" s="48">
        <f>IF(A778="","",IF(OR(P778="Pagada",R778=0),"Pagada",IF(O778&lt;TODAY(),"Vencida",IF(O778&lt;=TODAY()+Inicio!$B$19,"Próxima a vencer","Vigente"))))</f>
        <v/>
      </c>
      <c r="T778" s="43" t="n"/>
      <c r="U778" s="68">
        <f>IF($B778="","",YEAR($B778))</f>
        <v/>
      </c>
      <c r="V778" s="68">
        <f>IF($B778="","",MONTH($B778))</f>
        <v/>
      </c>
      <c r="W778" s="68">
        <f>IF($B778="","",DAY($B778))</f>
        <v/>
      </c>
      <c r="X778" s="68">
        <f>IF($B778="","",YEAR($B778)&amp;"-"&amp;TEXT(MONTH($B778),"00"))</f>
        <v/>
      </c>
      <c r="Y778" s="68">
        <f>IF(OR($H778="",$J778=""),"",$J778*IFERROR(VLOOKUP($H778,Maestro_SKU!$A$2:$P$500,12,FALSE),1))</f>
        <v/>
      </c>
    </row>
    <row r="779">
      <c r="A779" s="43" t="n"/>
      <c r="B779" s="54" t="n"/>
      <c r="C779" s="43" t="n"/>
      <c r="D779" s="43" t="n"/>
      <c r="E779" s="48">
        <f>IFERROR(VLOOKUP(D779,Clientes_PDV!$A$2:$J$250,2,FALSE),"")</f>
        <v/>
      </c>
      <c r="F779" s="48">
        <f>IFERROR(VLOOKUP(D779,Clientes_PDV!$A$2:$J$250,3,FALSE),"")</f>
        <v/>
      </c>
      <c r="G779" s="48">
        <f>IFERROR(VLOOKUP(D779,Clientes_PDV!$A$2:$J$250,4,FALSE),"")</f>
        <v/>
      </c>
      <c r="H779" s="43" t="n"/>
      <c r="I779" s="48">
        <f>IFERROR(VLOOKUP(H779,Maestro_SKU!$A$2:$P$500,2,FALSE),"")</f>
        <v/>
      </c>
      <c r="J779" s="55" t="n"/>
      <c r="K779" s="44" t="n"/>
      <c r="L779" s="51">
        <f>IF(OR(J779="",K779=""),"",J779*K779)</f>
        <v/>
      </c>
      <c r="M779" s="51">
        <f>IF(L779="","",L779*Inicio!$B$13)</f>
        <v/>
      </c>
      <c r="N779" s="51">
        <f>IF(L779="","",L779+M779)</f>
        <v/>
      </c>
      <c r="O779" s="54" t="n"/>
      <c r="P779" s="43" t="n"/>
      <c r="Q779" s="44" t="n"/>
      <c r="R779" s="51">
        <f>IF(N779="","",MAX(N779-Q779,0))</f>
        <v/>
      </c>
      <c r="S779" s="48">
        <f>IF(A779="","",IF(OR(P779="Pagada",R779=0),"Pagada",IF(O779&lt;TODAY(),"Vencida",IF(O779&lt;=TODAY()+Inicio!$B$19,"Próxima a vencer","Vigente"))))</f>
        <v/>
      </c>
      <c r="T779" s="43" t="n"/>
      <c r="U779" s="68">
        <f>IF($B779="","",YEAR($B779))</f>
        <v/>
      </c>
      <c r="V779" s="68">
        <f>IF($B779="","",MONTH($B779))</f>
        <v/>
      </c>
      <c r="W779" s="68">
        <f>IF($B779="","",DAY($B779))</f>
        <v/>
      </c>
      <c r="X779" s="68">
        <f>IF($B779="","",YEAR($B779)&amp;"-"&amp;TEXT(MONTH($B779),"00"))</f>
        <v/>
      </c>
      <c r="Y779" s="68">
        <f>IF(OR($H779="",$J779=""),"",$J779*IFERROR(VLOOKUP($H779,Maestro_SKU!$A$2:$P$500,12,FALSE),1))</f>
        <v/>
      </c>
    </row>
    <row r="780">
      <c r="A780" s="43" t="n"/>
      <c r="B780" s="54" t="n"/>
      <c r="C780" s="43" t="n"/>
      <c r="D780" s="43" t="n"/>
      <c r="E780" s="48">
        <f>IFERROR(VLOOKUP(D780,Clientes_PDV!$A$2:$J$250,2,FALSE),"")</f>
        <v/>
      </c>
      <c r="F780" s="48">
        <f>IFERROR(VLOOKUP(D780,Clientes_PDV!$A$2:$J$250,3,FALSE),"")</f>
        <v/>
      </c>
      <c r="G780" s="48">
        <f>IFERROR(VLOOKUP(D780,Clientes_PDV!$A$2:$J$250,4,FALSE),"")</f>
        <v/>
      </c>
      <c r="H780" s="43" t="n"/>
      <c r="I780" s="48">
        <f>IFERROR(VLOOKUP(H780,Maestro_SKU!$A$2:$P$500,2,FALSE),"")</f>
        <v/>
      </c>
      <c r="J780" s="55" t="n"/>
      <c r="K780" s="44" t="n"/>
      <c r="L780" s="51">
        <f>IF(OR(J780="",K780=""),"",J780*K780)</f>
        <v/>
      </c>
      <c r="M780" s="51">
        <f>IF(L780="","",L780*Inicio!$B$13)</f>
        <v/>
      </c>
      <c r="N780" s="51">
        <f>IF(L780="","",L780+M780)</f>
        <v/>
      </c>
      <c r="O780" s="54" t="n"/>
      <c r="P780" s="43" t="n"/>
      <c r="Q780" s="44" t="n"/>
      <c r="R780" s="51">
        <f>IF(N780="","",MAX(N780-Q780,0))</f>
        <v/>
      </c>
      <c r="S780" s="48">
        <f>IF(A780="","",IF(OR(P780="Pagada",R780=0),"Pagada",IF(O780&lt;TODAY(),"Vencida",IF(O780&lt;=TODAY()+Inicio!$B$19,"Próxima a vencer","Vigente"))))</f>
        <v/>
      </c>
      <c r="T780" s="43" t="n"/>
      <c r="U780" s="68">
        <f>IF($B780="","",YEAR($B780))</f>
        <v/>
      </c>
      <c r="V780" s="68">
        <f>IF($B780="","",MONTH($B780))</f>
        <v/>
      </c>
      <c r="W780" s="68">
        <f>IF($B780="","",DAY($B780))</f>
        <v/>
      </c>
      <c r="X780" s="68">
        <f>IF($B780="","",YEAR($B780)&amp;"-"&amp;TEXT(MONTH($B780),"00"))</f>
        <v/>
      </c>
      <c r="Y780" s="68">
        <f>IF(OR($H780="",$J780=""),"",$J780*IFERROR(VLOOKUP($H780,Maestro_SKU!$A$2:$P$500,12,FALSE),1))</f>
        <v/>
      </c>
    </row>
    <row r="781">
      <c r="A781" s="43" t="n"/>
      <c r="B781" s="54" t="n"/>
      <c r="C781" s="43" t="n"/>
      <c r="D781" s="43" t="n"/>
      <c r="E781" s="48">
        <f>IFERROR(VLOOKUP(D781,Clientes_PDV!$A$2:$J$250,2,FALSE),"")</f>
        <v/>
      </c>
      <c r="F781" s="48">
        <f>IFERROR(VLOOKUP(D781,Clientes_PDV!$A$2:$J$250,3,FALSE),"")</f>
        <v/>
      </c>
      <c r="G781" s="48">
        <f>IFERROR(VLOOKUP(D781,Clientes_PDV!$A$2:$J$250,4,FALSE),"")</f>
        <v/>
      </c>
      <c r="H781" s="43" t="n"/>
      <c r="I781" s="48">
        <f>IFERROR(VLOOKUP(H781,Maestro_SKU!$A$2:$P$500,2,FALSE),"")</f>
        <v/>
      </c>
      <c r="J781" s="55" t="n"/>
      <c r="K781" s="44" t="n"/>
      <c r="L781" s="51">
        <f>IF(OR(J781="",K781=""),"",J781*K781)</f>
        <v/>
      </c>
      <c r="M781" s="51">
        <f>IF(L781="","",L781*Inicio!$B$13)</f>
        <v/>
      </c>
      <c r="N781" s="51">
        <f>IF(L781="","",L781+M781)</f>
        <v/>
      </c>
      <c r="O781" s="54" t="n"/>
      <c r="P781" s="43" t="n"/>
      <c r="Q781" s="44" t="n"/>
      <c r="R781" s="51">
        <f>IF(N781="","",MAX(N781-Q781,0))</f>
        <v/>
      </c>
      <c r="S781" s="48">
        <f>IF(A781="","",IF(OR(P781="Pagada",R781=0),"Pagada",IF(O781&lt;TODAY(),"Vencida",IF(O781&lt;=TODAY()+Inicio!$B$19,"Próxima a vencer","Vigente"))))</f>
        <v/>
      </c>
      <c r="T781" s="43" t="n"/>
      <c r="U781" s="68">
        <f>IF($B781="","",YEAR($B781))</f>
        <v/>
      </c>
      <c r="V781" s="68">
        <f>IF($B781="","",MONTH($B781))</f>
        <v/>
      </c>
      <c r="W781" s="68">
        <f>IF($B781="","",DAY($B781))</f>
        <v/>
      </c>
      <c r="X781" s="68">
        <f>IF($B781="","",YEAR($B781)&amp;"-"&amp;TEXT(MONTH($B781),"00"))</f>
        <v/>
      </c>
      <c r="Y781" s="68">
        <f>IF(OR($H781="",$J781=""),"",$J781*IFERROR(VLOOKUP($H781,Maestro_SKU!$A$2:$P$500,12,FALSE),1))</f>
        <v/>
      </c>
    </row>
    <row r="782">
      <c r="A782" s="43" t="n"/>
      <c r="B782" s="54" t="n"/>
      <c r="C782" s="43" t="n"/>
      <c r="D782" s="43" t="n"/>
      <c r="E782" s="48">
        <f>IFERROR(VLOOKUP(D782,Clientes_PDV!$A$2:$J$250,2,FALSE),"")</f>
        <v/>
      </c>
      <c r="F782" s="48">
        <f>IFERROR(VLOOKUP(D782,Clientes_PDV!$A$2:$J$250,3,FALSE),"")</f>
        <v/>
      </c>
      <c r="G782" s="48">
        <f>IFERROR(VLOOKUP(D782,Clientes_PDV!$A$2:$J$250,4,FALSE),"")</f>
        <v/>
      </c>
      <c r="H782" s="43" t="n"/>
      <c r="I782" s="48">
        <f>IFERROR(VLOOKUP(H782,Maestro_SKU!$A$2:$P$500,2,FALSE),"")</f>
        <v/>
      </c>
      <c r="J782" s="55" t="n"/>
      <c r="K782" s="44" t="n"/>
      <c r="L782" s="51">
        <f>IF(OR(J782="",K782=""),"",J782*K782)</f>
        <v/>
      </c>
      <c r="M782" s="51">
        <f>IF(L782="","",L782*Inicio!$B$13)</f>
        <v/>
      </c>
      <c r="N782" s="51">
        <f>IF(L782="","",L782+M782)</f>
        <v/>
      </c>
      <c r="O782" s="54" t="n"/>
      <c r="P782" s="43" t="n"/>
      <c r="Q782" s="44" t="n"/>
      <c r="R782" s="51">
        <f>IF(N782="","",MAX(N782-Q782,0))</f>
        <v/>
      </c>
      <c r="S782" s="48">
        <f>IF(A782="","",IF(OR(P782="Pagada",R782=0),"Pagada",IF(O782&lt;TODAY(),"Vencida",IF(O782&lt;=TODAY()+Inicio!$B$19,"Próxima a vencer","Vigente"))))</f>
        <v/>
      </c>
      <c r="T782" s="43" t="n"/>
      <c r="U782" s="68">
        <f>IF($B782="","",YEAR($B782))</f>
        <v/>
      </c>
      <c r="V782" s="68">
        <f>IF($B782="","",MONTH($B782))</f>
        <v/>
      </c>
      <c r="W782" s="68">
        <f>IF($B782="","",DAY($B782))</f>
        <v/>
      </c>
      <c r="X782" s="68">
        <f>IF($B782="","",YEAR($B782)&amp;"-"&amp;TEXT(MONTH($B782),"00"))</f>
        <v/>
      </c>
      <c r="Y782" s="68">
        <f>IF(OR($H782="",$J782=""),"",$J782*IFERROR(VLOOKUP($H782,Maestro_SKU!$A$2:$P$500,12,FALSE),1))</f>
        <v/>
      </c>
    </row>
    <row r="783">
      <c r="A783" s="43" t="n"/>
      <c r="B783" s="54" t="n"/>
      <c r="C783" s="43" t="n"/>
      <c r="D783" s="43" t="n"/>
      <c r="E783" s="48">
        <f>IFERROR(VLOOKUP(D783,Clientes_PDV!$A$2:$J$250,2,FALSE),"")</f>
        <v/>
      </c>
      <c r="F783" s="48">
        <f>IFERROR(VLOOKUP(D783,Clientes_PDV!$A$2:$J$250,3,FALSE),"")</f>
        <v/>
      </c>
      <c r="G783" s="48">
        <f>IFERROR(VLOOKUP(D783,Clientes_PDV!$A$2:$J$250,4,FALSE),"")</f>
        <v/>
      </c>
      <c r="H783" s="43" t="n"/>
      <c r="I783" s="48">
        <f>IFERROR(VLOOKUP(H783,Maestro_SKU!$A$2:$P$500,2,FALSE),"")</f>
        <v/>
      </c>
      <c r="J783" s="55" t="n"/>
      <c r="K783" s="44" t="n"/>
      <c r="L783" s="51">
        <f>IF(OR(J783="",K783=""),"",J783*K783)</f>
        <v/>
      </c>
      <c r="M783" s="51">
        <f>IF(L783="","",L783*Inicio!$B$13)</f>
        <v/>
      </c>
      <c r="N783" s="51">
        <f>IF(L783="","",L783+M783)</f>
        <v/>
      </c>
      <c r="O783" s="54" t="n"/>
      <c r="P783" s="43" t="n"/>
      <c r="Q783" s="44" t="n"/>
      <c r="R783" s="51">
        <f>IF(N783="","",MAX(N783-Q783,0))</f>
        <v/>
      </c>
      <c r="S783" s="48">
        <f>IF(A783="","",IF(OR(P783="Pagada",R783=0),"Pagada",IF(O783&lt;TODAY(),"Vencida",IF(O783&lt;=TODAY()+Inicio!$B$19,"Próxima a vencer","Vigente"))))</f>
        <v/>
      </c>
      <c r="T783" s="43" t="n"/>
      <c r="U783" s="68">
        <f>IF($B783="","",YEAR($B783))</f>
        <v/>
      </c>
      <c r="V783" s="68">
        <f>IF($B783="","",MONTH($B783))</f>
        <v/>
      </c>
      <c r="W783" s="68">
        <f>IF($B783="","",DAY($B783))</f>
        <v/>
      </c>
      <c r="X783" s="68">
        <f>IF($B783="","",YEAR($B783)&amp;"-"&amp;TEXT(MONTH($B783),"00"))</f>
        <v/>
      </c>
      <c r="Y783" s="68">
        <f>IF(OR($H783="",$J783=""),"",$J783*IFERROR(VLOOKUP($H783,Maestro_SKU!$A$2:$P$500,12,FALSE),1))</f>
        <v/>
      </c>
    </row>
    <row r="784">
      <c r="A784" s="43" t="n"/>
      <c r="B784" s="54" t="n"/>
      <c r="C784" s="43" t="n"/>
      <c r="D784" s="43" t="n"/>
      <c r="E784" s="48">
        <f>IFERROR(VLOOKUP(D784,Clientes_PDV!$A$2:$J$250,2,FALSE),"")</f>
        <v/>
      </c>
      <c r="F784" s="48">
        <f>IFERROR(VLOOKUP(D784,Clientes_PDV!$A$2:$J$250,3,FALSE),"")</f>
        <v/>
      </c>
      <c r="G784" s="48">
        <f>IFERROR(VLOOKUP(D784,Clientes_PDV!$A$2:$J$250,4,FALSE),"")</f>
        <v/>
      </c>
      <c r="H784" s="43" t="n"/>
      <c r="I784" s="48">
        <f>IFERROR(VLOOKUP(H784,Maestro_SKU!$A$2:$P$500,2,FALSE),"")</f>
        <v/>
      </c>
      <c r="J784" s="55" t="n"/>
      <c r="K784" s="44" t="n"/>
      <c r="L784" s="51">
        <f>IF(OR(J784="",K784=""),"",J784*K784)</f>
        <v/>
      </c>
      <c r="M784" s="51">
        <f>IF(L784="","",L784*Inicio!$B$13)</f>
        <v/>
      </c>
      <c r="N784" s="51">
        <f>IF(L784="","",L784+M784)</f>
        <v/>
      </c>
      <c r="O784" s="54" t="n"/>
      <c r="P784" s="43" t="n"/>
      <c r="Q784" s="44" t="n"/>
      <c r="R784" s="51">
        <f>IF(N784="","",MAX(N784-Q784,0))</f>
        <v/>
      </c>
      <c r="S784" s="48">
        <f>IF(A784="","",IF(OR(P784="Pagada",R784=0),"Pagada",IF(O784&lt;TODAY(),"Vencida",IF(O784&lt;=TODAY()+Inicio!$B$19,"Próxima a vencer","Vigente"))))</f>
        <v/>
      </c>
      <c r="T784" s="43" t="n"/>
      <c r="U784" s="68">
        <f>IF($B784="","",YEAR($B784))</f>
        <v/>
      </c>
      <c r="V784" s="68">
        <f>IF($B784="","",MONTH($B784))</f>
        <v/>
      </c>
      <c r="W784" s="68">
        <f>IF($B784="","",DAY($B784))</f>
        <v/>
      </c>
      <c r="X784" s="68">
        <f>IF($B784="","",YEAR($B784)&amp;"-"&amp;TEXT(MONTH($B784),"00"))</f>
        <v/>
      </c>
      <c r="Y784" s="68">
        <f>IF(OR($H784="",$J784=""),"",$J784*IFERROR(VLOOKUP($H784,Maestro_SKU!$A$2:$P$500,12,FALSE),1))</f>
        <v/>
      </c>
    </row>
    <row r="785">
      <c r="A785" s="43" t="n"/>
      <c r="B785" s="54" t="n"/>
      <c r="C785" s="43" t="n"/>
      <c r="D785" s="43" t="n"/>
      <c r="E785" s="48">
        <f>IFERROR(VLOOKUP(D785,Clientes_PDV!$A$2:$J$250,2,FALSE),"")</f>
        <v/>
      </c>
      <c r="F785" s="48">
        <f>IFERROR(VLOOKUP(D785,Clientes_PDV!$A$2:$J$250,3,FALSE),"")</f>
        <v/>
      </c>
      <c r="G785" s="48">
        <f>IFERROR(VLOOKUP(D785,Clientes_PDV!$A$2:$J$250,4,FALSE),"")</f>
        <v/>
      </c>
      <c r="H785" s="43" t="n"/>
      <c r="I785" s="48">
        <f>IFERROR(VLOOKUP(H785,Maestro_SKU!$A$2:$P$500,2,FALSE),"")</f>
        <v/>
      </c>
      <c r="J785" s="55" t="n"/>
      <c r="K785" s="44" t="n"/>
      <c r="L785" s="51">
        <f>IF(OR(J785="",K785=""),"",J785*K785)</f>
        <v/>
      </c>
      <c r="M785" s="51">
        <f>IF(L785="","",L785*Inicio!$B$13)</f>
        <v/>
      </c>
      <c r="N785" s="51">
        <f>IF(L785="","",L785+M785)</f>
        <v/>
      </c>
      <c r="O785" s="54" t="n"/>
      <c r="P785" s="43" t="n"/>
      <c r="Q785" s="44" t="n"/>
      <c r="R785" s="51">
        <f>IF(N785="","",MAX(N785-Q785,0))</f>
        <v/>
      </c>
      <c r="S785" s="48">
        <f>IF(A785="","",IF(OR(P785="Pagada",R785=0),"Pagada",IF(O785&lt;TODAY(),"Vencida",IF(O785&lt;=TODAY()+Inicio!$B$19,"Próxima a vencer","Vigente"))))</f>
        <v/>
      </c>
      <c r="T785" s="43" t="n"/>
      <c r="U785" s="68">
        <f>IF($B785="","",YEAR($B785))</f>
        <v/>
      </c>
      <c r="V785" s="68">
        <f>IF($B785="","",MONTH($B785))</f>
        <v/>
      </c>
      <c r="W785" s="68">
        <f>IF($B785="","",DAY($B785))</f>
        <v/>
      </c>
      <c r="X785" s="68">
        <f>IF($B785="","",YEAR($B785)&amp;"-"&amp;TEXT(MONTH($B785),"00"))</f>
        <v/>
      </c>
      <c r="Y785" s="68">
        <f>IF(OR($H785="",$J785=""),"",$J785*IFERROR(VLOOKUP($H785,Maestro_SKU!$A$2:$P$500,12,FALSE),1))</f>
        <v/>
      </c>
    </row>
    <row r="786">
      <c r="A786" s="43" t="n"/>
      <c r="B786" s="54" t="n"/>
      <c r="C786" s="43" t="n"/>
      <c r="D786" s="43" t="n"/>
      <c r="E786" s="48">
        <f>IFERROR(VLOOKUP(D786,Clientes_PDV!$A$2:$J$250,2,FALSE),"")</f>
        <v/>
      </c>
      <c r="F786" s="48">
        <f>IFERROR(VLOOKUP(D786,Clientes_PDV!$A$2:$J$250,3,FALSE),"")</f>
        <v/>
      </c>
      <c r="G786" s="48">
        <f>IFERROR(VLOOKUP(D786,Clientes_PDV!$A$2:$J$250,4,FALSE),"")</f>
        <v/>
      </c>
      <c r="H786" s="43" t="n"/>
      <c r="I786" s="48">
        <f>IFERROR(VLOOKUP(H786,Maestro_SKU!$A$2:$P$500,2,FALSE),"")</f>
        <v/>
      </c>
      <c r="J786" s="55" t="n"/>
      <c r="K786" s="44" t="n"/>
      <c r="L786" s="51">
        <f>IF(OR(J786="",K786=""),"",J786*K786)</f>
        <v/>
      </c>
      <c r="M786" s="51">
        <f>IF(L786="","",L786*Inicio!$B$13)</f>
        <v/>
      </c>
      <c r="N786" s="51">
        <f>IF(L786="","",L786+M786)</f>
        <v/>
      </c>
      <c r="O786" s="54" t="n"/>
      <c r="P786" s="43" t="n"/>
      <c r="Q786" s="44" t="n"/>
      <c r="R786" s="51">
        <f>IF(N786="","",MAX(N786-Q786,0))</f>
        <v/>
      </c>
      <c r="S786" s="48">
        <f>IF(A786="","",IF(OR(P786="Pagada",R786=0),"Pagada",IF(O786&lt;TODAY(),"Vencida",IF(O786&lt;=TODAY()+Inicio!$B$19,"Próxima a vencer","Vigente"))))</f>
        <v/>
      </c>
      <c r="T786" s="43" t="n"/>
      <c r="U786" s="68">
        <f>IF($B786="","",YEAR($B786))</f>
        <v/>
      </c>
      <c r="V786" s="68">
        <f>IF($B786="","",MONTH($B786))</f>
        <v/>
      </c>
      <c r="W786" s="68">
        <f>IF($B786="","",DAY($B786))</f>
        <v/>
      </c>
      <c r="X786" s="68">
        <f>IF($B786="","",YEAR($B786)&amp;"-"&amp;TEXT(MONTH($B786),"00"))</f>
        <v/>
      </c>
      <c r="Y786" s="68">
        <f>IF(OR($H786="",$J786=""),"",$J786*IFERROR(VLOOKUP($H786,Maestro_SKU!$A$2:$P$500,12,FALSE),1))</f>
        <v/>
      </c>
    </row>
    <row r="787">
      <c r="A787" s="43" t="n"/>
      <c r="B787" s="54" t="n"/>
      <c r="C787" s="43" t="n"/>
      <c r="D787" s="43" t="n"/>
      <c r="E787" s="48">
        <f>IFERROR(VLOOKUP(D787,Clientes_PDV!$A$2:$J$250,2,FALSE),"")</f>
        <v/>
      </c>
      <c r="F787" s="48">
        <f>IFERROR(VLOOKUP(D787,Clientes_PDV!$A$2:$J$250,3,FALSE),"")</f>
        <v/>
      </c>
      <c r="G787" s="48">
        <f>IFERROR(VLOOKUP(D787,Clientes_PDV!$A$2:$J$250,4,FALSE),"")</f>
        <v/>
      </c>
      <c r="H787" s="43" t="n"/>
      <c r="I787" s="48">
        <f>IFERROR(VLOOKUP(H787,Maestro_SKU!$A$2:$P$500,2,FALSE),"")</f>
        <v/>
      </c>
      <c r="J787" s="55" t="n"/>
      <c r="K787" s="44" t="n"/>
      <c r="L787" s="51">
        <f>IF(OR(J787="",K787=""),"",J787*K787)</f>
        <v/>
      </c>
      <c r="M787" s="51">
        <f>IF(L787="","",L787*Inicio!$B$13)</f>
        <v/>
      </c>
      <c r="N787" s="51">
        <f>IF(L787="","",L787+M787)</f>
        <v/>
      </c>
      <c r="O787" s="54" t="n"/>
      <c r="P787" s="43" t="n"/>
      <c r="Q787" s="44" t="n"/>
      <c r="R787" s="51">
        <f>IF(N787="","",MAX(N787-Q787,0))</f>
        <v/>
      </c>
      <c r="S787" s="48">
        <f>IF(A787="","",IF(OR(P787="Pagada",R787=0),"Pagada",IF(O787&lt;TODAY(),"Vencida",IF(O787&lt;=TODAY()+Inicio!$B$19,"Próxima a vencer","Vigente"))))</f>
        <v/>
      </c>
      <c r="T787" s="43" t="n"/>
      <c r="U787" s="68">
        <f>IF($B787="","",YEAR($B787))</f>
        <v/>
      </c>
      <c r="V787" s="68">
        <f>IF($B787="","",MONTH($B787))</f>
        <v/>
      </c>
      <c r="W787" s="68">
        <f>IF($B787="","",DAY($B787))</f>
        <v/>
      </c>
      <c r="X787" s="68">
        <f>IF($B787="","",YEAR($B787)&amp;"-"&amp;TEXT(MONTH($B787),"00"))</f>
        <v/>
      </c>
      <c r="Y787" s="68">
        <f>IF(OR($H787="",$J787=""),"",$J787*IFERROR(VLOOKUP($H787,Maestro_SKU!$A$2:$P$500,12,FALSE),1))</f>
        <v/>
      </c>
    </row>
    <row r="788">
      <c r="A788" s="43" t="n"/>
      <c r="B788" s="54" t="n"/>
      <c r="C788" s="43" t="n"/>
      <c r="D788" s="43" t="n"/>
      <c r="E788" s="48">
        <f>IFERROR(VLOOKUP(D788,Clientes_PDV!$A$2:$J$250,2,FALSE),"")</f>
        <v/>
      </c>
      <c r="F788" s="48">
        <f>IFERROR(VLOOKUP(D788,Clientes_PDV!$A$2:$J$250,3,FALSE),"")</f>
        <v/>
      </c>
      <c r="G788" s="48">
        <f>IFERROR(VLOOKUP(D788,Clientes_PDV!$A$2:$J$250,4,FALSE),"")</f>
        <v/>
      </c>
      <c r="H788" s="43" t="n"/>
      <c r="I788" s="48">
        <f>IFERROR(VLOOKUP(H788,Maestro_SKU!$A$2:$P$500,2,FALSE),"")</f>
        <v/>
      </c>
      <c r="J788" s="55" t="n"/>
      <c r="K788" s="44" t="n"/>
      <c r="L788" s="51">
        <f>IF(OR(J788="",K788=""),"",J788*K788)</f>
        <v/>
      </c>
      <c r="M788" s="51">
        <f>IF(L788="","",L788*Inicio!$B$13)</f>
        <v/>
      </c>
      <c r="N788" s="51">
        <f>IF(L788="","",L788+M788)</f>
        <v/>
      </c>
      <c r="O788" s="54" t="n"/>
      <c r="P788" s="43" t="n"/>
      <c r="Q788" s="44" t="n"/>
      <c r="R788" s="51">
        <f>IF(N788="","",MAX(N788-Q788,0))</f>
        <v/>
      </c>
      <c r="S788" s="48">
        <f>IF(A788="","",IF(OR(P788="Pagada",R788=0),"Pagada",IF(O788&lt;TODAY(),"Vencida",IF(O788&lt;=TODAY()+Inicio!$B$19,"Próxima a vencer","Vigente"))))</f>
        <v/>
      </c>
      <c r="T788" s="43" t="n"/>
      <c r="U788" s="68">
        <f>IF($B788="","",YEAR($B788))</f>
        <v/>
      </c>
      <c r="V788" s="68">
        <f>IF($B788="","",MONTH($B788))</f>
        <v/>
      </c>
      <c r="W788" s="68">
        <f>IF($B788="","",DAY($B788))</f>
        <v/>
      </c>
      <c r="X788" s="68">
        <f>IF($B788="","",YEAR($B788)&amp;"-"&amp;TEXT(MONTH($B788),"00"))</f>
        <v/>
      </c>
      <c r="Y788" s="68">
        <f>IF(OR($H788="",$J788=""),"",$J788*IFERROR(VLOOKUP($H788,Maestro_SKU!$A$2:$P$500,12,FALSE),1))</f>
        <v/>
      </c>
    </row>
    <row r="789">
      <c r="A789" s="43" t="n"/>
      <c r="B789" s="54" t="n"/>
      <c r="C789" s="43" t="n"/>
      <c r="D789" s="43" t="n"/>
      <c r="E789" s="48">
        <f>IFERROR(VLOOKUP(D789,Clientes_PDV!$A$2:$J$250,2,FALSE),"")</f>
        <v/>
      </c>
      <c r="F789" s="48">
        <f>IFERROR(VLOOKUP(D789,Clientes_PDV!$A$2:$J$250,3,FALSE),"")</f>
        <v/>
      </c>
      <c r="G789" s="48">
        <f>IFERROR(VLOOKUP(D789,Clientes_PDV!$A$2:$J$250,4,FALSE),"")</f>
        <v/>
      </c>
      <c r="H789" s="43" t="n"/>
      <c r="I789" s="48">
        <f>IFERROR(VLOOKUP(H789,Maestro_SKU!$A$2:$P$500,2,FALSE),"")</f>
        <v/>
      </c>
      <c r="J789" s="55" t="n"/>
      <c r="K789" s="44" t="n"/>
      <c r="L789" s="51">
        <f>IF(OR(J789="",K789=""),"",J789*K789)</f>
        <v/>
      </c>
      <c r="M789" s="51">
        <f>IF(L789="","",L789*Inicio!$B$13)</f>
        <v/>
      </c>
      <c r="N789" s="51">
        <f>IF(L789="","",L789+M789)</f>
        <v/>
      </c>
      <c r="O789" s="54" t="n"/>
      <c r="P789" s="43" t="n"/>
      <c r="Q789" s="44" t="n"/>
      <c r="R789" s="51">
        <f>IF(N789="","",MAX(N789-Q789,0))</f>
        <v/>
      </c>
      <c r="S789" s="48">
        <f>IF(A789="","",IF(OR(P789="Pagada",R789=0),"Pagada",IF(O789&lt;TODAY(),"Vencida",IF(O789&lt;=TODAY()+Inicio!$B$19,"Próxima a vencer","Vigente"))))</f>
        <v/>
      </c>
      <c r="T789" s="43" t="n"/>
      <c r="U789" s="68">
        <f>IF($B789="","",YEAR($B789))</f>
        <v/>
      </c>
      <c r="V789" s="68">
        <f>IF($B789="","",MONTH($B789))</f>
        <v/>
      </c>
      <c r="W789" s="68">
        <f>IF($B789="","",DAY($B789))</f>
        <v/>
      </c>
      <c r="X789" s="68">
        <f>IF($B789="","",YEAR($B789)&amp;"-"&amp;TEXT(MONTH($B789),"00"))</f>
        <v/>
      </c>
      <c r="Y789" s="68">
        <f>IF(OR($H789="",$J789=""),"",$J789*IFERROR(VLOOKUP($H789,Maestro_SKU!$A$2:$P$500,12,FALSE),1))</f>
        <v/>
      </c>
    </row>
    <row r="790">
      <c r="A790" s="43" t="n"/>
      <c r="B790" s="54" t="n"/>
      <c r="C790" s="43" t="n"/>
      <c r="D790" s="43" t="n"/>
      <c r="E790" s="48">
        <f>IFERROR(VLOOKUP(D790,Clientes_PDV!$A$2:$J$250,2,FALSE),"")</f>
        <v/>
      </c>
      <c r="F790" s="48">
        <f>IFERROR(VLOOKUP(D790,Clientes_PDV!$A$2:$J$250,3,FALSE),"")</f>
        <v/>
      </c>
      <c r="G790" s="48">
        <f>IFERROR(VLOOKUP(D790,Clientes_PDV!$A$2:$J$250,4,FALSE),"")</f>
        <v/>
      </c>
      <c r="H790" s="43" t="n"/>
      <c r="I790" s="48">
        <f>IFERROR(VLOOKUP(H790,Maestro_SKU!$A$2:$P$500,2,FALSE),"")</f>
        <v/>
      </c>
      <c r="J790" s="55" t="n"/>
      <c r="K790" s="44" t="n"/>
      <c r="L790" s="51">
        <f>IF(OR(J790="",K790=""),"",J790*K790)</f>
        <v/>
      </c>
      <c r="M790" s="51">
        <f>IF(L790="","",L790*Inicio!$B$13)</f>
        <v/>
      </c>
      <c r="N790" s="51">
        <f>IF(L790="","",L790+M790)</f>
        <v/>
      </c>
      <c r="O790" s="54" t="n"/>
      <c r="P790" s="43" t="n"/>
      <c r="Q790" s="44" t="n"/>
      <c r="R790" s="51">
        <f>IF(N790="","",MAX(N790-Q790,0))</f>
        <v/>
      </c>
      <c r="S790" s="48">
        <f>IF(A790="","",IF(OR(P790="Pagada",R790=0),"Pagada",IF(O790&lt;TODAY(),"Vencida",IF(O790&lt;=TODAY()+Inicio!$B$19,"Próxima a vencer","Vigente"))))</f>
        <v/>
      </c>
      <c r="T790" s="43" t="n"/>
      <c r="U790" s="68">
        <f>IF($B790="","",YEAR($B790))</f>
        <v/>
      </c>
      <c r="V790" s="68">
        <f>IF($B790="","",MONTH($B790))</f>
        <v/>
      </c>
      <c r="W790" s="68">
        <f>IF($B790="","",DAY($B790))</f>
        <v/>
      </c>
      <c r="X790" s="68">
        <f>IF($B790="","",YEAR($B790)&amp;"-"&amp;TEXT(MONTH($B790),"00"))</f>
        <v/>
      </c>
      <c r="Y790" s="68">
        <f>IF(OR($H790="",$J790=""),"",$J790*IFERROR(VLOOKUP($H790,Maestro_SKU!$A$2:$P$500,12,FALSE),1))</f>
        <v/>
      </c>
    </row>
    <row r="791">
      <c r="A791" s="43" t="n"/>
      <c r="B791" s="54" t="n"/>
      <c r="C791" s="43" t="n"/>
      <c r="D791" s="43" t="n"/>
      <c r="E791" s="48">
        <f>IFERROR(VLOOKUP(D791,Clientes_PDV!$A$2:$J$250,2,FALSE),"")</f>
        <v/>
      </c>
      <c r="F791" s="48">
        <f>IFERROR(VLOOKUP(D791,Clientes_PDV!$A$2:$J$250,3,FALSE),"")</f>
        <v/>
      </c>
      <c r="G791" s="48">
        <f>IFERROR(VLOOKUP(D791,Clientes_PDV!$A$2:$J$250,4,FALSE),"")</f>
        <v/>
      </c>
      <c r="H791" s="43" t="n"/>
      <c r="I791" s="48">
        <f>IFERROR(VLOOKUP(H791,Maestro_SKU!$A$2:$P$500,2,FALSE),"")</f>
        <v/>
      </c>
      <c r="J791" s="55" t="n"/>
      <c r="K791" s="44" t="n"/>
      <c r="L791" s="51">
        <f>IF(OR(J791="",K791=""),"",J791*K791)</f>
        <v/>
      </c>
      <c r="M791" s="51">
        <f>IF(L791="","",L791*Inicio!$B$13)</f>
        <v/>
      </c>
      <c r="N791" s="51">
        <f>IF(L791="","",L791+M791)</f>
        <v/>
      </c>
      <c r="O791" s="54" t="n"/>
      <c r="P791" s="43" t="n"/>
      <c r="Q791" s="44" t="n"/>
      <c r="R791" s="51">
        <f>IF(N791="","",MAX(N791-Q791,0))</f>
        <v/>
      </c>
      <c r="S791" s="48">
        <f>IF(A791="","",IF(OR(P791="Pagada",R791=0),"Pagada",IF(O791&lt;TODAY(),"Vencida",IF(O791&lt;=TODAY()+Inicio!$B$19,"Próxima a vencer","Vigente"))))</f>
        <v/>
      </c>
      <c r="T791" s="43" t="n"/>
      <c r="U791" s="68">
        <f>IF($B791="","",YEAR($B791))</f>
        <v/>
      </c>
      <c r="V791" s="68">
        <f>IF($B791="","",MONTH($B791))</f>
        <v/>
      </c>
      <c r="W791" s="68">
        <f>IF($B791="","",DAY($B791))</f>
        <v/>
      </c>
      <c r="X791" s="68">
        <f>IF($B791="","",YEAR($B791)&amp;"-"&amp;TEXT(MONTH($B791),"00"))</f>
        <v/>
      </c>
      <c r="Y791" s="68">
        <f>IF(OR($H791="",$J791=""),"",$J791*IFERROR(VLOOKUP($H791,Maestro_SKU!$A$2:$P$500,12,FALSE),1))</f>
        <v/>
      </c>
    </row>
    <row r="792">
      <c r="A792" s="43" t="n"/>
      <c r="B792" s="54" t="n"/>
      <c r="C792" s="43" t="n"/>
      <c r="D792" s="43" t="n"/>
      <c r="E792" s="48">
        <f>IFERROR(VLOOKUP(D792,Clientes_PDV!$A$2:$J$250,2,FALSE),"")</f>
        <v/>
      </c>
      <c r="F792" s="48">
        <f>IFERROR(VLOOKUP(D792,Clientes_PDV!$A$2:$J$250,3,FALSE),"")</f>
        <v/>
      </c>
      <c r="G792" s="48">
        <f>IFERROR(VLOOKUP(D792,Clientes_PDV!$A$2:$J$250,4,FALSE),"")</f>
        <v/>
      </c>
      <c r="H792" s="43" t="n"/>
      <c r="I792" s="48">
        <f>IFERROR(VLOOKUP(H792,Maestro_SKU!$A$2:$P$500,2,FALSE),"")</f>
        <v/>
      </c>
      <c r="J792" s="55" t="n"/>
      <c r="K792" s="44" t="n"/>
      <c r="L792" s="51">
        <f>IF(OR(J792="",K792=""),"",J792*K792)</f>
        <v/>
      </c>
      <c r="M792" s="51">
        <f>IF(L792="","",L792*Inicio!$B$13)</f>
        <v/>
      </c>
      <c r="N792" s="51">
        <f>IF(L792="","",L792+M792)</f>
        <v/>
      </c>
      <c r="O792" s="54" t="n"/>
      <c r="P792" s="43" t="n"/>
      <c r="Q792" s="44" t="n"/>
      <c r="R792" s="51">
        <f>IF(N792="","",MAX(N792-Q792,0))</f>
        <v/>
      </c>
      <c r="S792" s="48">
        <f>IF(A792="","",IF(OR(P792="Pagada",R792=0),"Pagada",IF(O792&lt;TODAY(),"Vencida",IF(O792&lt;=TODAY()+Inicio!$B$19,"Próxima a vencer","Vigente"))))</f>
        <v/>
      </c>
      <c r="T792" s="43" t="n"/>
      <c r="U792" s="68">
        <f>IF($B792="","",YEAR($B792))</f>
        <v/>
      </c>
      <c r="V792" s="68">
        <f>IF($B792="","",MONTH($B792))</f>
        <v/>
      </c>
      <c r="W792" s="68">
        <f>IF($B792="","",DAY($B792))</f>
        <v/>
      </c>
      <c r="X792" s="68">
        <f>IF($B792="","",YEAR($B792)&amp;"-"&amp;TEXT(MONTH($B792),"00"))</f>
        <v/>
      </c>
      <c r="Y792" s="68">
        <f>IF(OR($H792="",$J792=""),"",$J792*IFERROR(VLOOKUP($H792,Maestro_SKU!$A$2:$P$500,12,FALSE),1))</f>
        <v/>
      </c>
    </row>
    <row r="793">
      <c r="A793" s="43" t="n"/>
      <c r="B793" s="54" t="n"/>
      <c r="C793" s="43" t="n"/>
      <c r="D793" s="43" t="n"/>
      <c r="E793" s="48">
        <f>IFERROR(VLOOKUP(D793,Clientes_PDV!$A$2:$J$250,2,FALSE),"")</f>
        <v/>
      </c>
      <c r="F793" s="48">
        <f>IFERROR(VLOOKUP(D793,Clientes_PDV!$A$2:$J$250,3,FALSE),"")</f>
        <v/>
      </c>
      <c r="G793" s="48">
        <f>IFERROR(VLOOKUP(D793,Clientes_PDV!$A$2:$J$250,4,FALSE),"")</f>
        <v/>
      </c>
      <c r="H793" s="43" t="n"/>
      <c r="I793" s="48">
        <f>IFERROR(VLOOKUP(H793,Maestro_SKU!$A$2:$P$500,2,FALSE),"")</f>
        <v/>
      </c>
      <c r="J793" s="55" t="n"/>
      <c r="K793" s="44" t="n"/>
      <c r="L793" s="51">
        <f>IF(OR(J793="",K793=""),"",J793*K793)</f>
        <v/>
      </c>
      <c r="M793" s="51">
        <f>IF(L793="","",L793*Inicio!$B$13)</f>
        <v/>
      </c>
      <c r="N793" s="51">
        <f>IF(L793="","",L793+M793)</f>
        <v/>
      </c>
      <c r="O793" s="54" t="n"/>
      <c r="P793" s="43" t="n"/>
      <c r="Q793" s="44" t="n"/>
      <c r="R793" s="51">
        <f>IF(N793="","",MAX(N793-Q793,0))</f>
        <v/>
      </c>
      <c r="S793" s="48">
        <f>IF(A793="","",IF(OR(P793="Pagada",R793=0),"Pagada",IF(O793&lt;TODAY(),"Vencida",IF(O793&lt;=TODAY()+Inicio!$B$19,"Próxima a vencer","Vigente"))))</f>
        <v/>
      </c>
      <c r="T793" s="43" t="n"/>
      <c r="U793" s="68">
        <f>IF($B793="","",YEAR($B793))</f>
        <v/>
      </c>
      <c r="V793" s="68">
        <f>IF($B793="","",MONTH($B793))</f>
        <v/>
      </c>
      <c r="W793" s="68">
        <f>IF($B793="","",DAY($B793))</f>
        <v/>
      </c>
      <c r="X793" s="68">
        <f>IF($B793="","",YEAR($B793)&amp;"-"&amp;TEXT(MONTH($B793),"00"))</f>
        <v/>
      </c>
      <c r="Y793" s="68">
        <f>IF(OR($H793="",$J793=""),"",$J793*IFERROR(VLOOKUP($H793,Maestro_SKU!$A$2:$P$500,12,FALSE),1))</f>
        <v/>
      </c>
    </row>
    <row r="794">
      <c r="A794" s="43" t="n"/>
      <c r="B794" s="54" t="n"/>
      <c r="C794" s="43" t="n"/>
      <c r="D794" s="43" t="n"/>
      <c r="E794" s="48">
        <f>IFERROR(VLOOKUP(D794,Clientes_PDV!$A$2:$J$250,2,FALSE),"")</f>
        <v/>
      </c>
      <c r="F794" s="48">
        <f>IFERROR(VLOOKUP(D794,Clientes_PDV!$A$2:$J$250,3,FALSE),"")</f>
        <v/>
      </c>
      <c r="G794" s="48">
        <f>IFERROR(VLOOKUP(D794,Clientes_PDV!$A$2:$J$250,4,FALSE),"")</f>
        <v/>
      </c>
      <c r="H794" s="43" t="n"/>
      <c r="I794" s="48">
        <f>IFERROR(VLOOKUP(H794,Maestro_SKU!$A$2:$P$500,2,FALSE),"")</f>
        <v/>
      </c>
      <c r="J794" s="55" t="n"/>
      <c r="K794" s="44" t="n"/>
      <c r="L794" s="51">
        <f>IF(OR(J794="",K794=""),"",J794*K794)</f>
        <v/>
      </c>
      <c r="M794" s="51">
        <f>IF(L794="","",L794*Inicio!$B$13)</f>
        <v/>
      </c>
      <c r="N794" s="51">
        <f>IF(L794="","",L794+M794)</f>
        <v/>
      </c>
      <c r="O794" s="54" t="n"/>
      <c r="P794" s="43" t="n"/>
      <c r="Q794" s="44" t="n"/>
      <c r="R794" s="51">
        <f>IF(N794="","",MAX(N794-Q794,0))</f>
        <v/>
      </c>
      <c r="S794" s="48">
        <f>IF(A794="","",IF(OR(P794="Pagada",R794=0),"Pagada",IF(O794&lt;TODAY(),"Vencida",IF(O794&lt;=TODAY()+Inicio!$B$19,"Próxima a vencer","Vigente"))))</f>
        <v/>
      </c>
      <c r="T794" s="43" t="n"/>
      <c r="U794" s="68">
        <f>IF($B794="","",YEAR($B794))</f>
        <v/>
      </c>
      <c r="V794" s="68">
        <f>IF($B794="","",MONTH($B794))</f>
        <v/>
      </c>
      <c r="W794" s="68">
        <f>IF($B794="","",DAY($B794))</f>
        <v/>
      </c>
      <c r="X794" s="68">
        <f>IF($B794="","",YEAR($B794)&amp;"-"&amp;TEXT(MONTH($B794),"00"))</f>
        <v/>
      </c>
      <c r="Y794" s="68">
        <f>IF(OR($H794="",$J794=""),"",$J794*IFERROR(VLOOKUP($H794,Maestro_SKU!$A$2:$P$500,12,FALSE),1))</f>
        <v/>
      </c>
    </row>
    <row r="795">
      <c r="A795" s="43" t="n"/>
      <c r="B795" s="54" t="n"/>
      <c r="C795" s="43" t="n"/>
      <c r="D795" s="43" t="n"/>
      <c r="E795" s="48">
        <f>IFERROR(VLOOKUP(D795,Clientes_PDV!$A$2:$J$250,2,FALSE),"")</f>
        <v/>
      </c>
      <c r="F795" s="48">
        <f>IFERROR(VLOOKUP(D795,Clientes_PDV!$A$2:$J$250,3,FALSE),"")</f>
        <v/>
      </c>
      <c r="G795" s="48">
        <f>IFERROR(VLOOKUP(D795,Clientes_PDV!$A$2:$J$250,4,FALSE),"")</f>
        <v/>
      </c>
      <c r="H795" s="43" t="n"/>
      <c r="I795" s="48">
        <f>IFERROR(VLOOKUP(H795,Maestro_SKU!$A$2:$P$500,2,FALSE),"")</f>
        <v/>
      </c>
      <c r="J795" s="55" t="n"/>
      <c r="K795" s="44" t="n"/>
      <c r="L795" s="51">
        <f>IF(OR(J795="",K795=""),"",J795*K795)</f>
        <v/>
      </c>
      <c r="M795" s="51">
        <f>IF(L795="","",L795*Inicio!$B$13)</f>
        <v/>
      </c>
      <c r="N795" s="51">
        <f>IF(L795="","",L795+M795)</f>
        <v/>
      </c>
      <c r="O795" s="54" t="n"/>
      <c r="P795" s="43" t="n"/>
      <c r="Q795" s="44" t="n"/>
      <c r="R795" s="51">
        <f>IF(N795="","",MAX(N795-Q795,0))</f>
        <v/>
      </c>
      <c r="S795" s="48">
        <f>IF(A795="","",IF(OR(P795="Pagada",R795=0),"Pagada",IF(O795&lt;TODAY(),"Vencida",IF(O795&lt;=TODAY()+Inicio!$B$19,"Próxima a vencer","Vigente"))))</f>
        <v/>
      </c>
      <c r="T795" s="43" t="n"/>
      <c r="U795" s="68">
        <f>IF($B795="","",YEAR($B795))</f>
        <v/>
      </c>
      <c r="V795" s="68">
        <f>IF($B795="","",MONTH($B795))</f>
        <v/>
      </c>
      <c r="W795" s="68">
        <f>IF($B795="","",DAY($B795))</f>
        <v/>
      </c>
      <c r="X795" s="68">
        <f>IF($B795="","",YEAR($B795)&amp;"-"&amp;TEXT(MONTH($B795),"00"))</f>
        <v/>
      </c>
      <c r="Y795" s="68">
        <f>IF(OR($H795="",$J795=""),"",$J795*IFERROR(VLOOKUP($H795,Maestro_SKU!$A$2:$P$500,12,FALSE),1))</f>
        <v/>
      </c>
    </row>
    <row r="796">
      <c r="A796" s="43" t="n"/>
      <c r="B796" s="54" t="n"/>
      <c r="C796" s="43" t="n"/>
      <c r="D796" s="43" t="n"/>
      <c r="E796" s="48">
        <f>IFERROR(VLOOKUP(D796,Clientes_PDV!$A$2:$J$250,2,FALSE),"")</f>
        <v/>
      </c>
      <c r="F796" s="48">
        <f>IFERROR(VLOOKUP(D796,Clientes_PDV!$A$2:$J$250,3,FALSE),"")</f>
        <v/>
      </c>
      <c r="G796" s="48">
        <f>IFERROR(VLOOKUP(D796,Clientes_PDV!$A$2:$J$250,4,FALSE),"")</f>
        <v/>
      </c>
      <c r="H796" s="43" t="n"/>
      <c r="I796" s="48">
        <f>IFERROR(VLOOKUP(H796,Maestro_SKU!$A$2:$P$500,2,FALSE),"")</f>
        <v/>
      </c>
      <c r="J796" s="55" t="n"/>
      <c r="K796" s="44" t="n"/>
      <c r="L796" s="51">
        <f>IF(OR(J796="",K796=""),"",J796*K796)</f>
        <v/>
      </c>
      <c r="M796" s="51">
        <f>IF(L796="","",L796*Inicio!$B$13)</f>
        <v/>
      </c>
      <c r="N796" s="51">
        <f>IF(L796="","",L796+M796)</f>
        <v/>
      </c>
      <c r="O796" s="54" t="n"/>
      <c r="P796" s="43" t="n"/>
      <c r="Q796" s="44" t="n"/>
      <c r="R796" s="51">
        <f>IF(N796="","",MAX(N796-Q796,0))</f>
        <v/>
      </c>
      <c r="S796" s="48">
        <f>IF(A796="","",IF(OR(P796="Pagada",R796=0),"Pagada",IF(O796&lt;TODAY(),"Vencida",IF(O796&lt;=TODAY()+Inicio!$B$19,"Próxima a vencer","Vigente"))))</f>
        <v/>
      </c>
      <c r="T796" s="43" t="n"/>
      <c r="U796" s="68">
        <f>IF($B796="","",YEAR($B796))</f>
        <v/>
      </c>
      <c r="V796" s="68">
        <f>IF($B796="","",MONTH($B796))</f>
        <v/>
      </c>
      <c r="W796" s="68">
        <f>IF($B796="","",DAY($B796))</f>
        <v/>
      </c>
      <c r="X796" s="68">
        <f>IF($B796="","",YEAR($B796)&amp;"-"&amp;TEXT(MONTH($B796),"00"))</f>
        <v/>
      </c>
      <c r="Y796" s="68">
        <f>IF(OR($H796="",$J796=""),"",$J796*IFERROR(VLOOKUP($H796,Maestro_SKU!$A$2:$P$500,12,FALSE),1))</f>
        <v/>
      </c>
    </row>
    <row r="797">
      <c r="A797" s="43" t="n"/>
      <c r="B797" s="54" t="n"/>
      <c r="C797" s="43" t="n"/>
      <c r="D797" s="43" t="n"/>
      <c r="E797" s="48">
        <f>IFERROR(VLOOKUP(D797,Clientes_PDV!$A$2:$J$250,2,FALSE),"")</f>
        <v/>
      </c>
      <c r="F797" s="48">
        <f>IFERROR(VLOOKUP(D797,Clientes_PDV!$A$2:$J$250,3,FALSE),"")</f>
        <v/>
      </c>
      <c r="G797" s="48">
        <f>IFERROR(VLOOKUP(D797,Clientes_PDV!$A$2:$J$250,4,FALSE),"")</f>
        <v/>
      </c>
      <c r="H797" s="43" t="n"/>
      <c r="I797" s="48">
        <f>IFERROR(VLOOKUP(H797,Maestro_SKU!$A$2:$P$500,2,FALSE),"")</f>
        <v/>
      </c>
      <c r="J797" s="55" t="n"/>
      <c r="K797" s="44" t="n"/>
      <c r="L797" s="51">
        <f>IF(OR(J797="",K797=""),"",J797*K797)</f>
        <v/>
      </c>
      <c r="M797" s="51">
        <f>IF(L797="","",L797*Inicio!$B$13)</f>
        <v/>
      </c>
      <c r="N797" s="51">
        <f>IF(L797="","",L797+M797)</f>
        <v/>
      </c>
      <c r="O797" s="54" t="n"/>
      <c r="P797" s="43" t="n"/>
      <c r="Q797" s="44" t="n"/>
      <c r="R797" s="51">
        <f>IF(N797="","",MAX(N797-Q797,0))</f>
        <v/>
      </c>
      <c r="S797" s="48">
        <f>IF(A797="","",IF(OR(P797="Pagada",R797=0),"Pagada",IF(O797&lt;TODAY(),"Vencida",IF(O797&lt;=TODAY()+Inicio!$B$19,"Próxima a vencer","Vigente"))))</f>
        <v/>
      </c>
      <c r="T797" s="43" t="n"/>
      <c r="U797" s="68">
        <f>IF($B797="","",YEAR($B797))</f>
        <v/>
      </c>
      <c r="V797" s="68">
        <f>IF($B797="","",MONTH($B797))</f>
        <v/>
      </c>
      <c r="W797" s="68">
        <f>IF($B797="","",DAY($B797))</f>
        <v/>
      </c>
      <c r="X797" s="68">
        <f>IF($B797="","",YEAR($B797)&amp;"-"&amp;TEXT(MONTH($B797),"00"))</f>
        <v/>
      </c>
      <c r="Y797" s="68">
        <f>IF(OR($H797="",$J797=""),"",$J797*IFERROR(VLOOKUP($H797,Maestro_SKU!$A$2:$P$500,12,FALSE),1))</f>
        <v/>
      </c>
    </row>
    <row r="798">
      <c r="A798" s="43" t="n"/>
      <c r="B798" s="54" t="n"/>
      <c r="C798" s="43" t="n"/>
      <c r="D798" s="43" t="n"/>
      <c r="E798" s="48">
        <f>IFERROR(VLOOKUP(D798,Clientes_PDV!$A$2:$J$250,2,FALSE),"")</f>
        <v/>
      </c>
      <c r="F798" s="48">
        <f>IFERROR(VLOOKUP(D798,Clientes_PDV!$A$2:$J$250,3,FALSE),"")</f>
        <v/>
      </c>
      <c r="G798" s="48">
        <f>IFERROR(VLOOKUP(D798,Clientes_PDV!$A$2:$J$250,4,FALSE),"")</f>
        <v/>
      </c>
      <c r="H798" s="43" t="n"/>
      <c r="I798" s="48">
        <f>IFERROR(VLOOKUP(H798,Maestro_SKU!$A$2:$P$500,2,FALSE),"")</f>
        <v/>
      </c>
      <c r="J798" s="55" t="n"/>
      <c r="K798" s="44" t="n"/>
      <c r="L798" s="51">
        <f>IF(OR(J798="",K798=""),"",J798*K798)</f>
        <v/>
      </c>
      <c r="M798" s="51">
        <f>IF(L798="","",L798*Inicio!$B$13)</f>
        <v/>
      </c>
      <c r="N798" s="51">
        <f>IF(L798="","",L798+M798)</f>
        <v/>
      </c>
      <c r="O798" s="54" t="n"/>
      <c r="P798" s="43" t="n"/>
      <c r="Q798" s="44" t="n"/>
      <c r="R798" s="51">
        <f>IF(N798="","",MAX(N798-Q798,0))</f>
        <v/>
      </c>
      <c r="S798" s="48">
        <f>IF(A798="","",IF(OR(P798="Pagada",R798=0),"Pagada",IF(O798&lt;TODAY(),"Vencida",IF(O798&lt;=TODAY()+Inicio!$B$19,"Próxima a vencer","Vigente"))))</f>
        <v/>
      </c>
      <c r="T798" s="43" t="n"/>
      <c r="U798" s="68">
        <f>IF($B798="","",YEAR($B798))</f>
        <v/>
      </c>
      <c r="V798" s="68">
        <f>IF($B798="","",MONTH($B798))</f>
        <v/>
      </c>
      <c r="W798" s="68">
        <f>IF($B798="","",DAY($B798))</f>
        <v/>
      </c>
      <c r="X798" s="68">
        <f>IF($B798="","",YEAR($B798)&amp;"-"&amp;TEXT(MONTH($B798),"00"))</f>
        <v/>
      </c>
      <c r="Y798" s="68">
        <f>IF(OR($H798="",$J798=""),"",$J798*IFERROR(VLOOKUP($H798,Maestro_SKU!$A$2:$P$500,12,FALSE),1))</f>
        <v/>
      </c>
    </row>
    <row r="799">
      <c r="A799" s="43" t="n"/>
      <c r="B799" s="54" t="n"/>
      <c r="C799" s="43" t="n"/>
      <c r="D799" s="43" t="n"/>
      <c r="E799" s="48">
        <f>IFERROR(VLOOKUP(D799,Clientes_PDV!$A$2:$J$250,2,FALSE),"")</f>
        <v/>
      </c>
      <c r="F799" s="48">
        <f>IFERROR(VLOOKUP(D799,Clientes_PDV!$A$2:$J$250,3,FALSE),"")</f>
        <v/>
      </c>
      <c r="G799" s="48">
        <f>IFERROR(VLOOKUP(D799,Clientes_PDV!$A$2:$J$250,4,FALSE),"")</f>
        <v/>
      </c>
      <c r="H799" s="43" t="n"/>
      <c r="I799" s="48">
        <f>IFERROR(VLOOKUP(H799,Maestro_SKU!$A$2:$P$500,2,FALSE),"")</f>
        <v/>
      </c>
      <c r="J799" s="55" t="n"/>
      <c r="K799" s="44" t="n"/>
      <c r="L799" s="51">
        <f>IF(OR(J799="",K799=""),"",J799*K799)</f>
        <v/>
      </c>
      <c r="M799" s="51">
        <f>IF(L799="","",L799*Inicio!$B$13)</f>
        <v/>
      </c>
      <c r="N799" s="51">
        <f>IF(L799="","",L799+M799)</f>
        <v/>
      </c>
      <c r="O799" s="54" t="n"/>
      <c r="P799" s="43" t="n"/>
      <c r="Q799" s="44" t="n"/>
      <c r="R799" s="51">
        <f>IF(N799="","",MAX(N799-Q799,0))</f>
        <v/>
      </c>
      <c r="S799" s="48">
        <f>IF(A799="","",IF(OR(P799="Pagada",R799=0),"Pagada",IF(O799&lt;TODAY(),"Vencida",IF(O799&lt;=TODAY()+Inicio!$B$19,"Próxima a vencer","Vigente"))))</f>
        <v/>
      </c>
      <c r="T799" s="43" t="n"/>
      <c r="U799" s="68">
        <f>IF($B799="","",YEAR($B799))</f>
        <v/>
      </c>
      <c r="V799" s="68">
        <f>IF($B799="","",MONTH($B799))</f>
        <v/>
      </c>
      <c r="W799" s="68">
        <f>IF($B799="","",DAY($B799))</f>
        <v/>
      </c>
      <c r="X799" s="68">
        <f>IF($B799="","",YEAR($B799)&amp;"-"&amp;TEXT(MONTH($B799),"00"))</f>
        <v/>
      </c>
      <c r="Y799" s="68">
        <f>IF(OR($H799="",$J799=""),"",$J799*IFERROR(VLOOKUP($H799,Maestro_SKU!$A$2:$P$500,12,FALSE),1))</f>
        <v/>
      </c>
    </row>
    <row r="800">
      <c r="A800" s="43" t="n"/>
      <c r="B800" s="54" t="n"/>
      <c r="C800" s="43" t="n"/>
      <c r="D800" s="43" t="n"/>
      <c r="E800" s="48">
        <f>IFERROR(VLOOKUP(D800,Clientes_PDV!$A$2:$J$250,2,FALSE),"")</f>
        <v/>
      </c>
      <c r="F800" s="48">
        <f>IFERROR(VLOOKUP(D800,Clientes_PDV!$A$2:$J$250,3,FALSE),"")</f>
        <v/>
      </c>
      <c r="G800" s="48">
        <f>IFERROR(VLOOKUP(D800,Clientes_PDV!$A$2:$J$250,4,FALSE),"")</f>
        <v/>
      </c>
      <c r="H800" s="43" t="n"/>
      <c r="I800" s="48">
        <f>IFERROR(VLOOKUP(H800,Maestro_SKU!$A$2:$P$500,2,FALSE),"")</f>
        <v/>
      </c>
      <c r="J800" s="55" t="n"/>
      <c r="K800" s="44" t="n"/>
      <c r="L800" s="51">
        <f>IF(OR(J800="",K800=""),"",J800*K800)</f>
        <v/>
      </c>
      <c r="M800" s="51">
        <f>IF(L800="","",L800*Inicio!$B$13)</f>
        <v/>
      </c>
      <c r="N800" s="51">
        <f>IF(L800="","",L800+M800)</f>
        <v/>
      </c>
      <c r="O800" s="54" t="n"/>
      <c r="P800" s="43" t="n"/>
      <c r="Q800" s="44" t="n"/>
      <c r="R800" s="51">
        <f>IF(N800="","",MAX(N800-Q800,0))</f>
        <v/>
      </c>
      <c r="S800" s="48">
        <f>IF(A800="","",IF(OR(P800="Pagada",R800=0),"Pagada",IF(O800&lt;TODAY(),"Vencida",IF(O800&lt;=TODAY()+Inicio!$B$19,"Próxima a vencer","Vigente"))))</f>
        <v/>
      </c>
      <c r="T800" s="43" t="n"/>
      <c r="U800" s="68">
        <f>IF($B800="","",YEAR($B800))</f>
        <v/>
      </c>
      <c r="V800" s="68">
        <f>IF($B800="","",MONTH($B800))</f>
        <v/>
      </c>
      <c r="W800" s="68">
        <f>IF($B800="","",DAY($B800))</f>
        <v/>
      </c>
      <c r="X800" s="68">
        <f>IF($B800="","",YEAR($B800)&amp;"-"&amp;TEXT(MONTH($B800),"00"))</f>
        <v/>
      </c>
      <c r="Y800" s="68">
        <f>IF(OR($H800="",$J800=""),"",$J800*IFERROR(VLOOKUP($H800,Maestro_SKU!$A$2:$P$500,12,FALSE),1))</f>
        <v/>
      </c>
    </row>
  </sheetData>
  <autoFilter ref="A1:Y800"/>
  <dataValidations count="3">
    <dataValidation sqref="D2:D800" showDropDown="0" showInputMessage="0" showErrorMessage="0" allowBlank="1" type="list">
      <formula1>rng_PDV</formula1>
    </dataValidation>
    <dataValidation sqref="H2:H800" showDropDown="0" showInputMessage="0" showErrorMessage="0" allowBlank="1" type="list">
      <formula1>rng_SKU</formula1>
    </dataValidation>
    <dataValidation sqref="P2:P800" showDropDown="0" showInputMessage="0" showErrorMessage="0" allowBlank="1" type="list">
      <formula1>lst_StatusPago</formula1>
    </dataValidation>
  </dataValidations>
  <hyperlinks>
    <hyperlink xmlns:r="http://schemas.openxmlformats.org/officeDocument/2006/relationships" ref="Z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C9A7BC"/>
    <outlinePr summaryBelow="1" summaryRight="1"/>
    <pageSetUpPr/>
  </sheetPr>
  <dimension ref="A1:L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ColWidth="8.7265625" defaultRowHeight="14.5"/>
  <cols>
    <col width="18" customWidth="1" style="36" min="1" max="1"/>
    <col width="16" customWidth="1" style="36" min="2" max="2"/>
    <col width="24" customWidth="1" style="36" min="3" max="3"/>
    <col width="17" customWidth="1" style="36" min="4" max="4"/>
    <col width="18" customWidth="1" style="36" min="5" max="5"/>
    <col width="17" customWidth="1" style="36" min="6" max="6"/>
    <col width="18" customWidth="1" style="36" min="7" max="8"/>
    <col width="17" customWidth="1" style="36" min="9" max="9"/>
    <col width="22" customWidth="1" style="36" min="10" max="10"/>
  </cols>
  <sheetData>
    <row r="1" ht="28" customHeight="1" s="36">
      <c r="A1" s="37" t="inlineStr">
        <is>
          <t>Margen frontal | Simulador separado de ventas</t>
        </is>
      </c>
      <c r="L1" s="47" t="inlineStr">
        <is>
          <t>⚙ Configuración</t>
        </is>
      </c>
    </row>
    <row r="2" ht="20" customHeight="1" s="36">
      <c r="A2" s="40" t="inlineStr">
        <is>
          <t>Esta hoja NO modifica Ventas_SellIn ni Cobertura. Sirve para preparar negociación de precio antes de facturar.</t>
        </is>
      </c>
    </row>
    <row r="3" ht="20" customHeight="1" s="36"/>
    <row r="4" ht="20" customHeight="1" s="36">
      <c r="A4" s="34" t="inlineStr">
        <is>
          <t>1) Calcular precio sugerido desde PVP pensado y margen objetivo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3" t="n"/>
    </row>
    <row r="5" ht="28" customHeight="1" s="36">
      <c r="A5" s="19" t="inlineStr">
        <is>
          <t>Cliente</t>
        </is>
      </c>
      <c r="B5" s="19" t="inlineStr">
        <is>
          <t>Canal</t>
        </is>
      </c>
      <c r="C5" s="19" t="inlineStr">
        <is>
          <t>SKU opcional</t>
        </is>
      </c>
      <c r="D5" s="19" t="inlineStr">
        <is>
          <t>PVP bruto pensado</t>
        </is>
      </c>
      <c r="E5" s="19" t="inlineStr">
        <is>
          <t>Margen frontal objetivo</t>
        </is>
      </c>
      <c r="F5" s="19" t="inlineStr">
        <is>
          <t>PVP neto calculado</t>
        </is>
      </c>
      <c r="G5" s="19" t="inlineStr">
        <is>
          <t>Precio neto sugerido</t>
        </is>
      </c>
      <c r="H5" s="19" t="inlineStr">
        <is>
          <t>Precio bruto equivalente</t>
        </is>
      </c>
      <c r="I5" s="19" t="inlineStr">
        <is>
          <t>Margen calculado</t>
        </is>
      </c>
      <c r="J5" s="19" t="inlineStr">
        <is>
          <t>Comentario</t>
        </is>
      </c>
    </row>
    <row r="6" ht="20" customHeight="1" s="36">
      <c r="A6" s="15" t="inlineStr">
        <is>
          <t>Get It</t>
        </is>
      </c>
      <c r="B6" s="15" t="inlineStr">
        <is>
          <t>Conveniencia</t>
        </is>
      </c>
      <c r="C6" s="15" t="inlineStr">
        <is>
          <t>NUVA-BAR-CC-U-01</t>
        </is>
      </c>
      <c r="D6" s="20" t="n">
        <v>1990</v>
      </c>
      <c r="E6" s="56" t="n">
        <v>0.4</v>
      </c>
      <c r="F6" s="22">
        <f>IF(D6="","",D6/(1+Inicio!$B$13))</f>
        <v/>
      </c>
      <c r="G6" s="22">
        <f>IF(OR(F6="",E6=""),"",F6*(1-E6))</f>
        <v/>
      </c>
      <c r="H6" s="22">
        <f>IF(G6="","",G6*(1+Inicio!$B$13))</f>
        <v/>
      </c>
      <c r="I6" s="57">
        <f>IF(OR(F6="",G6=""),"",(F6-G6)/F6)</f>
        <v/>
      </c>
      <c r="J6" s="15" t="inlineStr">
        <is>
          <t>Ejemplo: si Get It pide 40% de margen frontal</t>
        </is>
      </c>
    </row>
    <row r="7" ht="20" customHeight="1" s="36">
      <c r="A7" s="15" t="inlineStr">
        <is>
          <t>Jumbo</t>
        </is>
      </c>
      <c r="B7" s="15" t="inlineStr">
        <is>
          <t>Retail</t>
        </is>
      </c>
      <c r="C7" s="15" t="inlineStr">
        <is>
          <t>NUVA-BAR-BM-BX-04</t>
        </is>
      </c>
      <c r="D7" s="20" t="n">
        <v>5990</v>
      </c>
      <c r="E7" s="56" t="n">
        <v>0.45</v>
      </c>
      <c r="F7" s="22">
        <f>IF(D7="","",D7/(1+Inicio!$B$13))</f>
        <v/>
      </c>
      <c r="G7" s="22">
        <f>IF(OR(F7="",E7=""),"",F7*(1-E7))</f>
        <v/>
      </c>
      <c r="H7" s="22">
        <f>IF(G7="","",G7*(1+Inicio!$B$13))</f>
        <v/>
      </c>
      <c r="I7" s="57">
        <f>IF(OR(F7="",G7=""),"",(F7-G7)/F7)</f>
        <v/>
      </c>
      <c r="J7" s="15" t="inlineStr">
        <is>
          <t>Ejemplo retail estuche x4</t>
        </is>
      </c>
    </row>
    <row r="8" ht="20" customHeight="1" s="36">
      <c r="A8" s="15" t="inlineStr">
        <is>
          <t>Farmacia Ahumada</t>
        </is>
      </c>
      <c r="B8" s="15" t="inlineStr">
        <is>
          <t>Farmacias</t>
        </is>
      </c>
      <c r="C8" s="15" t="inlineStr">
        <is>
          <t>NUVA-BAR-PB-U-01</t>
        </is>
      </c>
      <c r="D8" s="20" t="n">
        <v>1990</v>
      </c>
      <c r="E8" s="56" t="n">
        <v>0.4</v>
      </c>
      <c r="F8" s="22">
        <f>IF(D8="","",D8/(1+Inicio!$B$13))</f>
        <v/>
      </c>
      <c r="G8" s="22">
        <f>IF(OR(F8="",E8=""),"",F8*(1-E8))</f>
        <v/>
      </c>
      <c r="H8" s="22">
        <f>IF(G8="","",G8*(1+Inicio!$B$13))</f>
        <v/>
      </c>
      <c r="I8" s="57">
        <f>IF(OR(F8="",G8=""),"",(F8-G8)/F8)</f>
        <v/>
      </c>
      <c r="J8" s="15" t="inlineStr">
        <is>
          <t>Ejemplo farmacias</t>
        </is>
      </c>
    </row>
    <row r="9" ht="20" customHeight="1" s="36">
      <c r="A9" s="15" t="n"/>
      <c r="B9" s="15" t="n"/>
      <c r="C9" s="15" t="n"/>
      <c r="D9" s="20" t="n"/>
      <c r="E9" s="56" t="n"/>
      <c r="F9" s="22">
        <f>IF(D9="","",D9/(1+Inicio!$B$13))</f>
        <v/>
      </c>
      <c r="G9" s="22">
        <f>IF(OR(F9="",E9=""),"",F9*(1-E9))</f>
        <v/>
      </c>
      <c r="H9" s="22">
        <f>IF(G9="","",G9*(1+Inicio!$B$13))</f>
        <v/>
      </c>
      <c r="I9" s="57">
        <f>IF(OR(F9="",G9=""),"",(F9-G9)/F9)</f>
        <v/>
      </c>
      <c r="J9" s="15" t="n"/>
    </row>
    <row r="10" ht="20" customHeight="1" s="36">
      <c r="A10" s="15" t="n"/>
      <c r="B10" s="15" t="n"/>
      <c r="C10" s="15" t="n"/>
      <c r="D10" s="20" t="n"/>
      <c r="E10" s="56" t="n"/>
      <c r="F10" s="22">
        <f>IF(D10="","",D10/(1+Inicio!$B$13))</f>
        <v/>
      </c>
      <c r="G10" s="22">
        <f>IF(OR(F10="",E10=""),"",F10*(1-E10))</f>
        <v/>
      </c>
      <c r="H10" s="22">
        <f>IF(G10="","",G10*(1+Inicio!$B$13))</f>
        <v/>
      </c>
      <c r="I10" s="57">
        <f>IF(OR(F10="",G10=""),"",(F10-G10)/F10)</f>
        <v/>
      </c>
      <c r="J10" s="15" t="n"/>
    </row>
    <row r="11" ht="20" customHeight="1" s="36">
      <c r="A11" s="15" t="n"/>
      <c r="B11" s="15" t="n"/>
      <c r="C11" s="15" t="n"/>
      <c r="D11" s="20" t="n"/>
      <c r="E11" s="56" t="n"/>
      <c r="F11" s="22">
        <f>IF(D11="","",D11/(1+Inicio!$B$13))</f>
        <v/>
      </c>
      <c r="G11" s="22">
        <f>IF(OR(F11="",E11=""),"",F11*(1-E11))</f>
        <v/>
      </c>
      <c r="H11" s="22">
        <f>IF(G11="","",G11*(1+Inicio!$B$13))</f>
        <v/>
      </c>
      <c r="I11" s="57">
        <f>IF(OR(F11="",G11=""),"",(F11-G11)/F11)</f>
        <v/>
      </c>
      <c r="J11" s="15" t="n"/>
    </row>
    <row r="12" ht="20" customHeight="1" s="36">
      <c r="A12" s="15" t="n"/>
      <c r="B12" s="15" t="n"/>
      <c r="C12" s="15" t="n"/>
      <c r="D12" s="20" t="n"/>
      <c r="E12" s="56" t="n"/>
      <c r="F12" s="22">
        <f>IF(D12="","",D12/(1+Inicio!$B$13))</f>
        <v/>
      </c>
      <c r="G12" s="22">
        <f>IF(OR(F12="",E12=""),"",F12*(1-E12))</f>
        <v/>
      </c>
      <c r="H12" s="22">
        <f>IF(G12="","",G12*(1+Inicio!$B$13))</f>
        <v/>
      </c>
      <c r="I12" s="57">
        <f>IF(OR(F12="",G12=""),"",(F12-G12)/F12)</f>
        <v/>
      </c>
      <c r="J12" s="15" t="n"/>
    </row>
    <row r="13" ht="20" customHeight="1" s="36">
      <c r="A13" s="15" t="n"/>
      <c r="B13" s="15" t="n"/>
      <c r="C13" s="15" t="n"/>
      <c r="D13" s="20" t="n"/>
      <c r="E13" s="56" t="n"/>
      <c r="F13" s="22">
        <f>IF(D13="","",D13/(1+Inicio!$B$13))</f>
        <v/>
      </c>
      <c r="G13" s="22">
        <f>IF(OR(F13="",E13=""),"",F13*(1-E13))</f>
        <v/>
      </c>
      <c r="H13" s="22">
        <f>IF(G13="","",G13*(1+Inicio!$B$13))</f>
        <v/>
      </c>
      <c r="I13" s="57">
        <f>IF(OR(F13="",G13=""),"",(F13-G13)/F13)</f>
        <v/>
      </c>
      <c r="J13" s="15" t="n"/>
    </row>
    <row r="14" ht="20" customHeight="1" s="36">
      <c r="A14" s="15" t="n"/>
      <c r="B14" s="15" t="n"/>
      <c r="C14" s="15" t="n"/>
      <c r="D14" s="20" t="n"/>
      <c r="E14" s="56" t="n"/>
      <c r="F14" s="22">
        <f>IF(D14="","",D14/(1+Inicio!$B$13))</f>
        <v/>
      </c>
      <c r="G14" s="22">
        <f>IF(OR(F14="",E14=""),"",F14*(1-E14))</f>
        <v/>
      </c>
      <c r="H14" s="22">
        <f>IF(G14="","",G14*(1+Inicio!$B$13))</f>
        <v/>
      </c>
      <c r="I14" s="57">
        <f>IF(OR(F14="",G14=""),"",(F14-G14)/F14)</f>
        <v/>
      </c>
      <c r="J14" s="15" t="n"/>
    </row>
    <row r="15" ht="20" customHeight="1" s="36">
      <c r="A15" s="15" t="n"/>
      <c r="B15" s="15" t="n"/>
      <c r="C15" s="15" t="n"/>
      <c r="D15" s="20" t="n"/>
      <c r="E15" s="56" t="n"/>
      <c r="F15" s="22">
        <f>IF(D15="","",D15/(1+Inicio!$B$13))</f>
        <v/>
      </c>
      <c r="G15" s="22">
        <f>IF(OR(F15="",E15=""),"",F15*(1-E15))</f>
        <v/>
      </c>
      <c r="H15" s="22">
        <f>IF(G15="","",G15*(1+Inicio!$B$13))</f>
        <v/>
      </c>
      <c r="I15" s="57">
        <f>IF(OR(F15="",G15=""),"",(F15-G15)/F15)</f>
        <v/>
      </c>
      <c r="J15" s="15" t="n"/>
    </row>
    <row r="16" ht="20" customHeight="1" s="36">
      <c r="A16" s="15" t="n"/>
      <c r="B16" s="15" t="n"/>
      <c r="C16" s="15" t="n"/>
      <c r="D16" s="20" t="n"/>
      <c r="E16" s="56" t="n"/>
      <c r="F16" s="22">
        <f>IF(D16="","",D16/(1+Inicio!$B$13))</f>
        <v/>
      </c>
      <c r="G16" s="22">
        <f>IF(OR(F16="",E16=""),"",F16*(1-E16))</f>
        <v/>
      </c>
      <c r="H16" s="22">
        <f>IF(G16="","",G16*(1+Inicio!$B$13))</f>
        <v/>
      </c>
      <c r="I16" s="57">
        <f>IF(OR(F16="",G16=""),"",(F16-G16)/F16)</f>
        <v/>
      </c>
      <c r="J16" s="15" t="n"/>
    </row>
    <row r="17" ht="20" customHeight="1" s="36">
      <c r="A17" s="15" t="n"/>
      <c r="B17" s="15" t="n"/>
      <c r="C17" s="15" t="n"/>
      <c r="D17" s="20" t="n"/>
      <c r="E17" s="56" t="n"/>
      <c r="F17" s="22">
        <f>IF(D17="","",D17/(1+Inicio!$B$13))</f>
        <v/>
      </c>
      <c r="G17" s="22">
        <f>IF(OR(F17="",E17=""),"",F17*(1-E17))</f>
        <v/>
      </c>
      <c r="H17" s="22">
        <f>IF(G17="","",G17*(1+Inicio!$B$13))</f>
        <v/>
      </c>
      <c r="I17" s="57">
        <f>IF(OR(F17="",G17=""),"",(F17-G17)/F17)</f>
        <v/>
      </c>
      <c r="J17" s="15" t="n"/>
    </row>
    <row r="18" ht="20" customHeight="1" s="36">
      <c r="A18" s="15" t="n"/>
      <c r="B18" s="15" t="n"/>
      <c r="C18" s="15" t="n"/>
      <c r="D18" s="20" t="n"/>
      <c r="E18" s="56" t="n"/>
      <c r="F18" s="22">
        <f>IF(D18="","",D18/(1+Inicio!$B$13))</f>
        <v/>
      </c>
      <c r="G18" s="22">
        <f>IF(OR(F18="",E18=""),"",F18*(1-E18))</f>
        <v/>
      </c>
      <c r="H18" s="22">
        <f>IF(G18="","",G18*(1+Inicio!$B$13))</f>
        <v/>
      </c>
      <c r="I18" s="57">
        <f>IF(OR(F18="",G18=""),"",(F18-G18)/F18)</f>
        <v/>
      </c>
      <c r="J18" s="15" t="n"/>
    </row>
    <row r="19" ht="20" customHeight="1" s="36">
      <c r="A19" s="15" t="n"/>
      <c r="B19" s="15" t="n"/>
      <c r="C19" s="15" t="n"/>
      <c r="D19" s="20" t="n"/>
      <c r="E19" s="56" t="n"/>
      <c r="F19" s="22">
        <f>IF(D19="","",D19/(1+Inicio!$B$13))</f>
        <v/>
      </c>
      <c r="G19" s="22">
        <f>IF(OR(F19="",E19=""),"",F19*(1-E19))</f>
        <v/>
      </c>
      <c r="H19" s="22">
        <f>IF(G19="","",G19*(1+Inicio!$B$13))</f>
        <v/>
      </c>
      <c r="I19" s="57">
        <f>IF(OR(F19="",G19=""),"",(F19-G19)/F19)</f>
        <v/>
      </c>
      <c r="J19" s="15" t="n"/>
    </row>
    <row r="20" ht="20" customHeight="1" s="36">
      <c r="A20" s="15" t="n"/>
      <c r="B20" s="15" t="n"/>
      <c r="C20" s="15" t="n"/>
      <c r="D20" s="20" t="n"/>
      <c r="E20" s="56" t="n"/>
      <c r="F20" s="22">
        <f>IF(D20="","",D20/(1+Inicio!$B$13))</f>
        <v/>
      </c>
      <c r="G20" s="22">
        <f>IF(OR(F20="",E20=""),"",F20*(1-E20))</f>
        <v/>
      </c>
      <c r="H20" s="22">
        <f>IF(G20="","",G20*(1+Inicio!$B$13))</f>
        <v/>
      </c>
      <c r="I20" s="57">
        <f>IF(OR(F20="",G20=""),"",(F20-G20)/F20)</f>
        <v/>
      </c>
      <c r="J20" s="15" t="n"/>
    </row>
    <row r="21" ht="20" customHeight="1" s="36">
      <c r="A21" s="15" t="n"/>
      <c r="B21" s="15" t="n"/>
      <c r="C21" s="15" t="n"/>
      <c r="D21" s="20" t="n"/>
      <c r="E21" s="56" t="n"/>
      <c r="F21" s="22">
        <f>IF(D21="","",D21/(1+Inicio!$B$13))</f>
        <v/>
      </c>
      <c r="G21" s="22">
        <f>IF(OR(F21="",E21=""),"",F21*(1-E21))</f>
        <v/>
      </c>
      <c r="H21" s="22">
        <f>IF(G21="","",G21*(1+Inicio!$B$13))</f>
        <v/>
      </c>
      <c r="I21" s="57">
        <f>IF(OR(F21="",G21=""),"",(F21-G21)/F21)</f>
        <v/>
      </c>
      <c r="J21" s="15" t="n"/>
    </row>
    <row r="22" ht="20" customHeight="1" s="36">
      <c r="A22" s="15" t="n"/>
      <c r="B22" s="15" t="n"/>
      <c r="C22" s="15" t="n"/>
      <c r="D22" s="20" t="n"/>
      <c r="E22" s="56" t="n"/>
      <c r="F22" s="22">
        <f>IF(D22="","",D22/(1+Inicio!$B$13))</f>
        <v/>
      </c>
      <c r="G22" s="22">
        <f>IF(OR(F22="",E22=""),"",F22*(1-E22))</f>
        <v/>
      </c>
      <c r="H22" s="22">
        <f>IF(G22="","",G22*(1+Inicio!$B$13))</f>
        <v/>
      </c>
      <c r="I22" s="57">
        <f>IF(OR(F22="",G22=""),"",(F22-G22)/F22)</f>
        <v/>
      </c>
      <c r="J22" s="15" t="n"/>
    </row>
    <row r="23" ht="20" customHeight="1" s="36">
      <c r="A23" s="15" t="n"/>
      <c r="B23" s="15" t="n"/>
      <c r="C23" s="15" t="n"/>
      <c r="D23" s="20" t="n"/>
      <c r="E23" s="56" t="n"/>
      <c r="F23" s="22">
        <f>IF(D23="","",D23/(1+Inicio!$B$13))</f>
        <v/>
      </c>
      <c r="G23" s="22">
        <f>IF(OR(F23="",E23=""),"",F23*(1-E23))</f>
        <v/>
      </c>
      <c r="H23" s="22">
        <f>IF(G23="","",G23*(1+Inicio!$B$13))</f>
        <v/>
      </c>
      <c r="I23" s="57">
        <f>IF(OR(F23="",G23=""),"",(F23-G23)/F23)</f>
        <v/>
      </c>
      <c r="J23" s="15" t="n"/>
    </row>
    <row r="24" ht="20" customHeight="1" s="36">
      <c r="A24" s="15" t="n"/>
      <c r="B24" s="15" t="n"/>
      <c r="C24" s="15" t="n"/>
      <c r="D24" s="20" t="n"/>
      <c r="E24" s="56" t="n"/>
      <c r="F24" s="22">
        <f>IF(D24="","",D24/(1+Inicio!$B$13))</f>
        <v/>
      </c>
      <c r="G24" s="22">
        <f>IF(OR(F24="",E24=""),"",F24*(1-E24))</f>
        <v/>
      </c>
      <c r="H24" s="22">
        <f>IF(G24="","",G24*(1+Inicio!$B$13))</f>
        <v/>
      </c>
      <c r="I24" s="57">
        <f>IF(OR(F24="",G24=""),"",(F24-G24)/F24)</f>
        <v/>
      </c>
      <c r="J24" s="15" t="n"/>
    </row>
    <row r="25" ht="20" customHeight="1" s="36">
      <c r="A25" s="15" t="n"/>
      <c r="B25" s="15" t="n"/>
      <c r="C25" s="15" t="n"/>
      <c r="D25" s="20" t="n"/>
      <c r="E25" s="56" t="n"/>
      <c r="F25" s="22">
        <f>IF(D25="","",D25/(1+Inicio!$B$13))</f>
        <v/>
      </c>
      <c r="G25" s="22">
        <f>IF(OR(F25="",E25=""),"",F25*(1-E25))</f>
        <v/>
      </c>
      <c r="H25" s="22">
        <f>IF(G25="","",G25*(1+Inicio!$B$13))</f>
        <v/>
      </c>
      <c r="I25" s="57">
        <f>IF(OR(F25="",G25=""),"",(F25-G25)/F25)</f>
        <v/>
      </c>
      <c r="J25" s="15" t="n"/>
    </row>
    <row r="26" ht="20" customHeight="1" s="36">
      <c r="A26" s="15" t="n"/>
      <c r="B26" s="15" t="n"/>
      <c r="C26" s="15" t="n"/>
      <c r="D26" s="20" t="n"/>
      <c r="E26" s="56" t="n"/>
      <c r="F26" s="22">
        <f>IF(D26="","",D26/(1+Inicio!$B$13))</f>
        <v/>
      </c>
      <c r="G26" s="22">
        <f>IF(OR(F26="",E26=""),"",F26*(1-E26))</f>
        <v/>
      </c>
      <c r="H26" s="22">
        <f>IF(G26="","",G26*(1+Inicio!$B$13))</f>
        <v/>
      </c>
      <c r="I26" s="57">
        <f>IF(OR(F26="",G26=""),"",(F26-G26)/F26)</f>
        <v/>
      </c>
      <c r="J26" s="15" t="n"/>
    </row>
    <row r="27" ht="20" customHeight="1" s="36">
      <c r="A27" s="15" t="n"/>
      <c r="B27" s="15" t="n"/>
      <c r="C27" s="15" t="n"/>
      <c r="D27" s="20" t="n"/>
      <c r="E27" s="56" t="n"/>
      <c r="F27" s="22">
        <f>IF(D27="","",D27/(1+Inicio!$B$13))</f>
        <v/>
      </c>
      <c r="G27" s="22">
        <f>IF(OR(F27="",E27=""),"",F27*(1-E27))</f>
        <v/>
      </c>
      <c r="H27" s="22">
        <f>IF(G27="","",G27*(1+Inicio!$B$13))</f>
        <v/>
      </c>
      <c r="I27" s="57">
        <f>IF(OR(F27="",G27=""),"",(F27-G27)/F27)</f>
        <v/>
      </c>
      <c r="J27" s="15" t="n"/>
    </row>
    <row r="28" ht="20" customHeight="1" s="36">
      <c r="A28" s="15" t="n"/>
      <c r="B28" s="15" t="n"/>
      <c r="C28" s="15" t="n"/>
      <c r="D28" s="20" t="n"/>
      <c r="E28" s="56" t="n"/>
      <c r="F28" s="22">
        <f>IF(D28="","",D28/(1+Inicio!$B$13))</f>
        <v/>
      </c>
      <c r="G28" s="22">
        <f>IF(OR(F28="",E28=""),"",F28*(1-E28))</f>
        <v/>
      </c>
      <c r="H28" s="22">
        <f>IF(G28="","",G28*(1+Inicio!$B$13))</f>
        <v/>
      </c>
      <c r="I28" s="57">
        <f>IF(OR(F28="",G28=""),"",(F28-G28)/F28)</f>
        <v/>
      </c>
      <c r="J28" s="15" t="n"/>
    </row>
    <row r="29" ht="20" customHeight="1" s="36">
      <c r="A29" s="15" t="n"/>
      <c r="B29" s="15" t="n"/>
      <c r="C29" s="15" t="n"/>
      <c r="D29" s="20" t="n"/>
      <c r="E29" s="56" t="n"/>
      <c r="F29" s="22">
        <f>IF(D29="","",D29/(1+Inicio!$B$13))</f>
        <v/>
      </c>
      <c r="G29" s="22">
        <f>IF(OR(F29="",E29=""),"",F29*(1-E29))</f>
        <v/>
      </c>
      <c r="H29" s="22">
        <f>IF(G29="","",G29*(1+Inicio!$B$13))</f>
        <v/>
      </c>
      <c r="I29" s="57">
        <f>IF(OR(F29="",G29=""),"",(F29-G29)/F29)</f>
        <v/>
      </c>
      <c r="J29" s="15" t="n"/>
    </row>
    <row r="30" ht="20" customHeight="1" s="36">
      <c r="A30" s="15" t="n"/>
      <c r="B30" s="15" t="n"/>
      <c r="C30" s="15" t="n"/>
      <c r="D30" s="20" t="n"/>
      <c r="E30" s="56" t="n"/>
      <c r="F30" s="22">
        <f>IF(D30="","",D30/(1+Inicio!$B$13))</f>
        <v/>
      </c>
      <c r="G30" s="22">
        <f>IF(OR(F30="",E30=""),"",F30*(1-E30))</f>
        <v/>
      </c>
      <c r="H30" s="22">
        <f>IF(G30="","",G30*(1+Inicio!$B$13))</f>
        <v/>
      </c>
      <c r="I30" s="57">
        <f>IF(OR(F30="",G30=""),"",(F30-G30)/F30)</f>
        <v/>
      </c>
      <c r="J30" s="15" t="n"/>
    </row>
    <row r="31" ht="20" customHeight="1" s="36">
      <c r="A31" s="15" t="n"/>
      <c r="B31" s="15" t="n"/>
      <c r="C31" s="15" t="n"/>
      <c r="D31" s="20" t="n"/>
      <c r="E31" s="56" t="n"/>
      <c r="F31" s="22">
        <f>IF(D31="","",D31/(1+Inicio!$B$13))</f>
        <v/>
      </c>
      <c r="G31" s="22">
        <f>IF(OR(F31="",E31=""),"",F31*(1-E31))</f>
        <v/>
      </c>
      <c r="H31" s="22">
        <f>IF(G31="","",G31*(1+Inicio!$B$13))</f>
        <v/>
      </c>
      <c r="I31" s="57">
        <f>IF(OR(F31="",G31=""),"",(F31-G31)/F31)</f>
        <v/>
      </c>
      <c r="J31" s="15" t="n"/>
    </row>
    <row r="32" ht="20" customHeight="1" s="36">
      <c r="A32" s="15" t="n"/>
      <c r="B32" s="15" t="n"/>
      <c r="C32" s="15" t="n"/>
      <c r="D32" s="20" t="n"/>
      <c r="E32" s="56" t="n"/>
      <c r="F32" s="22">
        <f>IF(D32="","",D32/(1+Inicio!$B$13))</f>
        <v/>
      </c>
      <c r="G32" s="22">
        <f>IF(OR(F32="",E32=""),"",F32*(1-E32))</f>
        <v/>
      </c>
      <c r="H32" s="22">
        <f>IF(G32="","",G32*(1+Inicio!$B$13))</f>
        <v/>
      </c>
      <c r="I32" s="57">
        <f>IF(OR(F32="",G32=""),"",(F32-G32)/F32)</f>
        <v/>
      </c>
      <c r="J32" s="15" t="n"/>
    </row>
    <row r="33" ht="20" customHeight="1" s="36">
      <c r="A33" s="15" t="n"/>
      <c r="B33" s="15" t="n"/>
      <c r="C33" s="15" t="n"/>
      <c r="D33" s="20" t="n"/>
      <c r="E33" s="56" t="n"/>
      <c r="F33" s="22">
        <f>IF(D33="","",D33/(1+Inicio!$B$13))</f>
        <v/>
      </c>
      <c r="G33" s="22">
        <f>IF(OR(F33="",E33=""),"",F33*(1-E33))</f>
        <v/>
      </c>
      <c r="H33" s="22">
        <f>IF(G33="","",G33*(1+Inicio!$B$13))</f>
        <v/>
      </c>
      <c r="I33" s="57">
        <f>IF(OR(F33="",G33=""),"",(F33-G33)/F33)</f>
        <v/>
      </c>
      <c r="J33" s="15" t="n"/>
    </row>
    <row r="34" ht="20" customHeight="1" s="36">
      <c r="A34" s="15" t="n"/>
      <c r="B34" s="15" t="n"/>
      <c r="C34" s="15" t="n"/>
      <c r="D34" s="20" t="n"/>
      <c r="E34" s="56" t="n"/>
      <c r="F34" s="22">
        <f>IF(D34="","",D34/(1+Inicio!$B$13))</f>
        <v/>
      </c>
      <c r="G34" s="22">
        <f>IF(OR(F34="",E34=""),"",F34*(1-E34))</f>
        <v/>
      </c>
      <c r="H34" s="22">
        <f>IF(G34="","",G34*(1+Inicio!$B$13))</f>
        <v/>
      </c>
      <c r="I34" s="57">
        <f>IF(OR(F34="",G34=""),"",(F34-G34)/F34)</f>
        <v/>
      </c>
      <c r="J34" s="15" t="n"/>
    </row>
    <row r="35" ht="20" customHeight="1" s="36">
      <c r="A35" s="15" t="n"/>
      <c r="B35" s="15" t="n"/>
      <c r="C35" s="15" t="n"/>
      <c r="D35" s="20" t="n"/>
      <c r="E35" s="56" t="n"/>
      <c r="F35" s="22">
        <f>IF(D35="","",D35/(1+Inicio!$B$13))</f>
        <v/>
      </c>
      <c r="G35" s="22">
        <f>IF(OR(F35="",E35=""),"",F35*(1-E35))</f>
        <v/>
      </c>
      <c r="H35" s="22">
        <f>IF(G35="","",G35*(1+Inicio!$B$13))</f>
        <v/>
      </c>
      <c r="I35" s="57">
        <f>IF(OR(F35="",G35=""),"",(F35-G35)/F35)</f>
        <v/>
      </c>
      <c r="J35" s="15" t="n"/>
    </row>
    <row r="36" ht="20" customHeight="1" s="36">
      <c r="A36" s="15" t="n"/>
      <c r="B36" s="15" t="n"/>
      <c r="C36" s="15" t="n"/>
      <c r="D36" s="20" t="n"/>
      <c r="E36" s="56" t="n"/>
      <c r="F36" s="22">
        <f>IF(D36="","",D36/(1+Inicio!$B$13))</f>
        <v/>
      </c>
      <c r="G36" s="22">
        <f>IF(OR(F36="",E36=""),"",F36*(1-E36))</f>
        <v/>
      </c>
      <c r="H36" s="22">
        <f>IF(G36="","",G36*(1+Inicio!$B$13))</f>
        <v/>
      </c>
      <c r="I36" s="57">
        <f>IF(OR(F36="",G36=""),"",(F36-G36)/F36)</f>
        <v/>
      </c>
      <c r="J36" s="15" t="n"/>
    </row>
    <row r="37" ht="20" customHeight="1" s="36">
      <c r="A37" s="15" t="n"/>
      <c r="B37" s="15" t="n"/>
      <c r="C37" s="15" t="n"/>
      <c r="D37" s="20" t="n"/>
      <c r="E37" s="56" t="n"/>
      <c r="F37" s="22">
        <f>IF(D37="","",D37/(1+Inicio!$B$13))</f>
        <v/>
      </c>
      <c r="G37" s="22">
        <f>IF(OR(F37="",E37=""),"",F37*(1-E37))</f>
        <v/>
      </c>
      <c r="H37" s="22">
        <f>IF(G37="","",G37*(1+Inicio!$B$13))</f>
        <v/>
      </c>
      <c r="I37" s="57">
        <f>IF(OR(F37="",G37=""),"",(F37-G37)/F37)</f>
        <v/>
      </c>
      <c r="J37" s="15" t="n"/>
    </row>
    <row r="38" ht="20" customHeight="1" s="36">
      <c r="A38" s="15" t="n"/>
      <c r="B38" s="15" t="n"/>
      <c r="C38" s="15" t="n"/>
      <c r="D38" s="20" t="n"/>
      <c r="E38" s="56" t="n"/>
      <c r="F38" s="22">
        <f>IF(D38="","",D38/(1+Inicio!$B$13))</f>
        <v/>
      </c>
      <c r="G38" s="22">
        <f>IF(OR(F38="",E38=""),"",F38*(1-E38))</f>
        <v/>
      </c>
      <c r="H38" s="22">
        <f>IF(G38="","",G38*(1+Inicio!$B$13))</f>
        <v/>
      </c>
      <c r="I38" s="57">
        <f>IF(OR(F38="",G38=""),"",(F38-G38)/F38)</f>
        <v/>
      </c>
      <c r="J38" s="15" t="n"/>
    </row>
    <row r="39" ht="20" customHeight="1" s="36">
      <c r="A39" s="15" t="n"/>
      <c r="B39" s="15" t="n"/>
      <c r="C39" s="15" t="n"/>
      <c r="D39" s="20" t="n"/>
      <c r="E39" s="56" t="n"/>
      <c r="F39" s="22">
        <f>IF(D39="","",D39/(1+Inicio!$B$13))</f>
        <v/>
      </c>
      <c r="G39" s="22">
        <f>IF(OR(F39="",E39=""),"",F39*(1-E39))</f>
        <v/>
      </c>
      <c r="H39" s="22">
        <f>IF(G39="","",G39*(1+Inicio!$B$13))</f>
        <v/>
      </c>
      <c r="I39" s="57">
        <f>IF(OR(F39="",G39=""),"",(F39-G39)/F39)</f>
        <v/>
      </c>
      <c r="J39" s="15" t="n"/>
    </row>
    <row r="40" ht="20" customHeight="1" s="36">
      <c r="A40" s="15" t="n"/>
      <c r="B40" s="15" t="n"/>
      <c r="C40" s="15" t="n"/>
      <c r="D40" s="20" t="n"/>
      <c r="E40" s="56" t="n"/>
      <c r="F40" s="22">
        <f>IF(D40="","",D40/(1+Inicio!$B$13))</f>
        <v/>
      </c>
      <c r="G40" s="22">
        <f>IF(OR(F40="",E40=""),"",F40*(1-E40))</f>
        <v/>
      </c>
      <c r="H40" s="22">
        <f>IF(G40="","",G40*(1+Inicio!$B$13))</f>
        <v/>
      </c>
      <c r="I40" s="57">
        <f>IF(OR(F40="",G40=""),"",(F40-G40)/F40)</f>
        <v/>
      </c>
      <c r="J40" s="15" t="n"/>
    </row>
    <row r="41" ht="20" customHeight="1" s="36">
      <c r="A41" s="15" t="n"/>
      <c r="B41" s="15" t="n"/>
      <c r="C41" s="15" t="n"/>
      <c r="D41" s="20" t="n"/>
      <c r="E41" s="56" t="n"/>
      <c r="F41" s="22">
        <f>IF(D41="","",D41/(1+Inicio!$B$13))</f>
        <v/>
      </c>
      <c r="G41" s="22">
        <f>IF(OR(F41="",E41=""),"",F41*(1-E41))</f>
        <v/>
      </c>
      <c r="H41" s="22">
        <f>IF(G41="","",G41*(1+Inicio!$B$13))</f>
        <v/>
      </c>
      <c r="I41" s="57">
        <f>IF(OR(F41="",G41=""),"",(F41-G41)/F41)</f>
        <v/>
      </c>
      <c r="J41" s="15" t="n"/>
    </row>
    <row r="42" ht="20" customHeight="1" s="36">
      <c r="A42" s="15" t="n"/>
      <c r="B42" s="15" t="n"/>
      <c r="C42" s="15" t="n"/>
      <c r="D42" s="20" t="n"/>
      <c r="E42" s="56" t="n"/>
      <c r="F42" s="22">
        <f>IF(D42="","",D42/(1+Inicio!$B$13))</f>
        <v/>
      </c>
      <c r="G42" s="22">
        <f>IF(OR(F42="",E42=""),"",F42*(1-E42))</f>
        <v/>
      </c>
      <c r="H42" s="22">
        <f>IF(G42="","",G42*(1+Inicio!$B$13))</f>
        <v/>
      </c>
      <c r="I42" s="57">
        <f>IF(OR(F42="",G42=""),"",(F42-G42)/F42)</f>
        <v/>
      </c>
      <c r="J42" s="15" t="n"/>
    </row>
    <row r="43" ht="20" customHeight="1" s="36">
      <c r="A43" s="15" t="n"/>
      <c r="B43" s="15" t="n"/>
      <c r="C43" s="15" t="n"/>
      <c r="D43" s="20" t="n"/>
      <c r="E43" s="56" t="n"/>
      <c r="F43" s="22">
        <f>IF(D43="","",D43/(1+Inicio!$B$13))</f>
        <v/>
      </c>
      <c r="G43" s="22">
        <f>IF(OR(F43="",E43=""),"",F43*(1-E43))</f>
        <v/>
      </c>
      <c r="H43" s="22">
        <f>IF(G43="","",G43*(1+Inicio!$B$13))</f>
        <v/>
      </c>
      <c r="I43" s="57">
        <f>IF(OR(F43="",G43=""),"",(F43-G43)/F43)</f>
        <v/>
      </c>
      <c r="J43" s="15" t="n"/>
    </row>
    <row r="44" ht="20" customHeight="1" s="36">
      <c r="A44" s="15" t="n"/>
      <c r="B44" s="15" t="n"/>
      <c r="C44" s="15" t="n"/>
      <c r="D44" s="20" t="n"/>
      <c r="E44" s="56" t="n"/>
      <c r="F44" s="22">
        <f>IF(D44="","",D44/(1+Inicio!$B$13))</f>
        <v/>
      </c>
      <c r="G44" s="22">
        <f>IF(OR(F44="",E44=""),"",F44*(1-E44))</f>
        <v/>
      </c>
      <c r="H44" s="22">
        <f>IF(G44="","",G44*(1+Inicio!$B$13))</f>
        <v/>
      </c>
      <c r="I44" s="57">
        <f>IF(OR(F44="",G44=""),"",(F44-G44)/F44)</f>
        <v/>
      </c>
      <c r="J44" s="15" t="n"/>
    </row>
    <row r="45" ht="20" customHeight="1" s="36">
      <c r="A45" s="15" t="n"/>
      <c r="B45" s="15" t="n"/>
      <c r="C45" s="15" t="n"/>
      <c r="D45" s="20" t="n"/>
      <c r="E45" s="56" t="n"/>
      <c r="F45" s="22">
        <f>IF(D45="","",D45/(1+Inicio!$B$13))</f>
        <v/>
      </c>
      <c r="G45" s="22">
        <f>IF(OR(F45="",E45=""),"",F45*(1-E45))</f>
        <v/>
      </c>
      <c r="H45" s="22">
        <f>IF(G45="","",G45*(1+Inicio!$B$13))</f>
        <v/>
      </c>
      <c r="I45" s="57">
        <f>IF(OR(F45="",G45=""),"",(F45-G45)/F45)</f>
        <v/>
      </c>
      <c r="J45" s="15" t="n"/>
    </row>
    <row r="46" ht="20" customHeight="1" s="36">
      <c r="A46" s="15" t="n"/>
      <c r="B46" s="15" t="n"/>
      <c r="C46" s="15" t="n"/>
      <c r="D46" s="20" t="n"/>
      <c r="E46" s="56" t="n"/>
      <c r="F46" s="22">
        <f>IF(D46="","",D46/(1+Inicio!$B$13))</f>
        <v/>
      </c>
      <c r="G46" s="22">
        <f>IF(OR(F46="",E46=""),"",F46*(1-E46))</f>
        <v/>
      </c>
      <c r="H46" s="22">
        <f>IF(G46="","",G46*(1+Inicio!$B$13))</f>
        <v/>
      </c>
      <c r="I46" s="57">
        <f>IF(OR(F46="",G46=""),"",(F46-G46)/F46)</f>
        <v/>
      </c>
      <c r="J46" s="15" t="n"/>
    </row>
    <row r="47" ht="20" customHeight="1" s="36">
      <c r="A47" s="15" t="n"/>
      <c r="B47" s="15" t="n"/>
      <c r="C47" s="15" t="n"/>
      <c r="D47" s="20" t="n"/>
      <c r="E47" s="56" t="n"/>
      <c r="F47" s="22">
        <f>IF(D47="","",D47/(1+Inicio!$B$13))</f>
        <v/>
      </c>
      <c r="G47" s="22">
        <f>IF(OR(F47="",E47=""),"",F47*(1-E47))</f>
        <v/>
      </c>
      <c r="H47" s="22">
        <f>IF(G47="","",G47*(1+Inicio!$B$13))</f>
        <v/>
      </c>
      <c r="I47" s="57">
        <f>IF(OR(F47="",G47=""),"",(F47-G47)/F47)</f>
        <v/>
      </c>
      <c r="J47" s="15" t="n"/>
    </row>
    <row r="48" ht="20" customHeight="1" s="36">
      <c r="A48" s="15" t="n"/>
      <c r="B48" s="15" t="n"/>
      <c r="C48" s="15" t="n"/>
      <c r="D48" s="20" t="n"/>
      <c r="E48" s="56" t="n"/>
      <c r="F48" s="22">
        <f>IF(D48="","",D48/(1+Inicio!$B$13))</f>
        <v/>
      </c>
      <c r="G48" s="22">
        <f>IF(OR(F48="",E48=""),"",F48*(1-E48))</f>
        <v/>
      </c>
      <c r="H48" s="22">
        <f>IF(G48="","",G48*(1+Inicio!$B$13))</f>
        <v/>
      </c>
      <c r="I48" s="57">
        <f>IF(OR(F48="",G48=""),"",(F48-G48)/F48)</f>
        <v/>
      </c>
      <c r="J48" s="15" t="n"/>
    </row>
    <row r="49" ht="20" customHeight="1" s="36">
      <c r="A49" s="15" t="n"/>
      <c r="B49" s="15" t="n"/>
      <c r="C49" s="15" t="n"/>
      <c r="D49" s="20" t="n"/>
      <c r="E49" s="56" t="n"/>
      <c r="F49" s="22">
        <f>IF(D49="","",D49/(1+Inicio!$B$13))</f>
        <v/>
      </c>
      <c r="G49" s="22">
        <f>IF(OR(F49="",E49=""),"",F49*(1-E49))</f>
        <v/>
      </c>
      <c r="H49" s="22">
        <f>IF(G49="","",G49*(1+Inicio!$B$13))</f>
        <v/>
      </c>
      <c r="I49" s="57">
        <f>IF(OR(F49="",G49=""),"",(F49-G49)/F49)</f>
        <v/>
      </c>
      <c r="J49" s="15" t="n"/>
    </row>
    <row r="50" ht="20" customHeight="1" s="36">
      <c r="A50" s="15" t="n"/>
      <c r="B50" s="15" t="n"/>
      <c r="C50" s="15" t="n"/>
      <c r="D50" s="20" t="n"/>
      <c r="E50" s="56" t="n"/>
      <c r="F50" s="22">
        <f>IF(D50="","",D50/(1+Inicio!$B$13))</f>
        <v/>
      </c>
      <c r="G50" s="22">
        <f>IF(OR(F50="",E50=""),"",F50*(1-E50))</f>
        <v/>
      </c>
      <c r="H50" s="22">
        <f>IF(G50="","",G50*(1+Inicio!$B$13))</f>
        <v/>
      </c>
      <c r="I50" s="57">
        <f>IF(OR(F50="",G50=""),"",(F50-G50)/F50)</f>
        <v/>
      </c>
      <c r="J50" s="15" t="n"/>
    </row>
    <row r="51">
      <c r="A51" s="15" t="n"/>
      <c r="B51" s="15" t="n"/>
      <c r="C51" s="15" t="n"/>
      <c r="D51" s="20" t="n"/>
      <c r="E51" s="56" t="n"/>
      <c r="F51" s="22">
        <f>IF(D51="","",D51/(1+Inicio!$B$13))</f>
        <v/>
      </c>
      <c r="G51" s="22">
        <f>IF(OR(F51="",E51=""),"",F51*(1-E51))</f>
        <v/>
      </c>
      <c r="H51" s="22">
        <f>IF(G51="","",G51*(1+Inicio!$B$13))</f>
        <v/>
      </c>
      <c r="I51" s="57">
        <f>IF(OR(F51="",G51=""),"",(F51-G51)/F51)</f>
        <v/>
      </c>
      <c r="J51" s="15" t="n"/>
    </row>
    <row r="52">
      <c r="A52" s="15" t="n"/>
      <c r="B52" s="15" t="n"/>
      <c r="C52" s="15" t="n"/>
      <c r="D52" s="20" t="n"/>
      <c r="E52" s="56" t="n"/>
      <c r="F52" s="22">
        <f>IF(D52="","",D52/(1+Inicio!$B$13))</f>
        <v/>
      </c>
      <c r="G52" s="22">
        <f>IF(OR(F52="",E52=""),"",F52*(1-E52))</f>
        <v/>
      </c>
      <c r="H52" s="22">
        <f>IF(G52="","",G52*(1+Inicio!$B$13))</f>
        <v/>
      </c>
      <c r="I52" s="57">
        <f>IF(OR(F52="",G52=""),"",(F52-G52)/F52)</f>
        <v/>
      </c>
      <c r="J52" s="15" t="n"/>
    </row>
    <row r="53">
      <c r="A53" s="15" t="n"/>
      <c r="B53" s="15" t="n"/>
      <c r="C53" s="15" t="n"/>
      <c r="D53" s="20" t="n"/>
      <c r="E53" s="56" t="n"/>
      <c r="F53" s="22">
        <f>IF(D53="","",D53/(1+Inicio!$B$13))</f>
        <v/>
      </c>
      <c r="G53" s="22">
        <f>IF(OR(F53="",E53=""),"",F53*(1-E53))</f>
        <v/>
      </c>
      <c r="H53" s="22">
        <f>IF(G53="","",G53*(1+Inicio!$B$13))</f>
        <v/>
      </c>
      <c r="I53" s="57">
        <f>IF(OR(F53="",G53=""),"",(F53-G53)/F53)</f>
        <v/>
      </c>
      <c r="J53" s="15" t="n"/>
    </row>
    <row r="54">
      <c r="A54" s="15" t="n"/>
      <c r="B54" s="15" t="n"/>
      <c r="C54" s="15" t="n"/>
      <c r="D54" s="20" t="n"/>
      <c r="E54" s="56" t="n"/>
      <c r="F54" s="22">
        <f>IF(D54="","",D54/(1+Inicio!$B$13))</f>
        <v/>
      </c>
      <c r="G54" s="22">
        <f>IF(OR(F54="",E54=""),"",F54*(1-E54))</f>
        <v/>
      </c>
      <c r="H54" s="22">
        <f>IF(G54="","",G54*(1+Inicio!$B$13))</f>
        <v/>
      </c>
      <c r="I54" s="57">
        <f>IF(OR(F54="",G54=""),"",(F54-G54)/F54)</f>
        <v/>
      </c>
      <c r="J54" s="15" t="n"/>
    </row>
    <row r="55">
      <c r="A55" s="15" t="n"/>
      <c r="B55" s="15" t="n"/>
      <c r="C55" s="15" t="n"/>
      <c r="D55" s="20" t="n"/>
      <c r="E55" s="56" t="n"/>
      <c r="F55" s="22">
        <f>IF(D55="","",D55/(1+Inicio!$B$13))</f>
        <v/>
      </c>
      <c r="G55" s="22">
        <f>IF(OR(F55="",E55=""),"",F55*(1-E55))</f>
        <v/>
      </c>
      <c r="H55" s="22">
        <f>IF(G55="","",G55*(1+Inicio!$B$13))</f>
        <v/>
      </c>
      <c r="I55" s="57">
        <f>IF(OR(F55="",G55=""),"",(F55-G55)/F55)</f>
        <v/>
      </c>
      <c r="J55" s="15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</row>
    <row r="60">
      <c r="A60" s="39" t="inlineStr">
        <is>
          <t>2) Evaluar margen real desde un precio neto que tú decidas ofrecer</t>
        </is>
      </c>
      <c r="B60" s="32" t="n"/>
      <c r="C60" s="32" t="n"/>
      <c r="D60" s="32" t="n"/>
      <c r="E60" s="32" t="n"/>
      <c r="F60" s="32" t="n"/>
      <c r="G60" s="32" t="n"/>
      <c r="H60" s="32" t="n"/>
      <c r="I60" s="32" t="n"/>
      <c r="J60" s="33" t="n"/>
    </row>
    <row r="61" ht="28" customHeight="1" s="36">
      <c r="A61" s="19" t="inlineStr">
        <is>
          <t>Cliente</t>
        </is>
      </c>
      <c r="B61" s="19" t="inlineStr">
        <is>
          <t>Canal</t>
        </is>
      </c>
      <c r="C61" s="19" t="inlineStr">
        <is>
          <t>SKU opcional</t>
        </is>
      </c>
      <c r="D61" s="19" t="inlineStr">
        <is>
          <t>PVP bruto pensado</t>
        </is>
      </c>
      <c r="E61" s="19" t="inlineStr">
        <is>
          <t>Precio neto ofrecido</t>
        </is>
      </c>
      <c r="F61" s="19" t="inlineStr">
        <is>
          <t>Precio bruto equivalente</t>
        </is>
      </c>
      <c r="G61" s="19" t="inlineStr">
        <is>
          <t>PVP neto calculado</t>
        </is>
      </c>
      <c r="H61" s="19" t="inlineStr">
        <is>
          <t>Margen frontal real</t>
        </is>
      </c>
      <c r="I61" s="19" t="inlineStr">
        <is>
          <t>Margen objetivo referencial</t>
        </is>
      </c>
      <c r="J61" s="19" t="inlineStr">
        <is>
          <t>Resultado</t>
        </is>
      </c>
    </row>
    <row r="62">
      <c r="A62" s="15" t="inlineStr">
        <is>
          <t>Get It</t>
        </is>
      </c>
      <c r="B62" s="15" t="inlineStr">
        <is>
          <t>Conveniencia</t>
        </is>
      </c>
      <c r="C62" s="15" t="inlineStr">
        <is>
          <t>NUVA-BAR-CC-U-01</t>
        </is>
      </c>
      <c r="D62" s="20" t="n">
        <v>1990</v>
      </c>
      <c r="E62" s="20" t="n">
        <v>1000</v>
      </c>
      <c r="F62" s="22">
        <f>IF(E62="","",E62*(1+Inicio!$B$13))</f>
        <v/>
      </c>
      <c r="G62" s="22">
        <f>IF(D62="","",D62/(1+Inicio!$B$13))</f>
        <v/>
      </c>
      <c r="H62" s="57">
        <f>IF(OR(G62="",E62=""),"",(G62-E62)/G62)</f>
        <v/>
      </c>
      <c r="I62" s="56" t="n">
        <v>0.4</v>
      </c>
      <c r="J62" s="25">
        <f>IF(OR(H62="",I62=""),"",IF(H62&gt;=I62,"Cumple","Bajo objetivo"))</f>
        <v/>
      </c>
    </row>
    <row r="63">
      <c r="A63" s="15" t="inlineStr">
        <is>
          <t>Jumbo</t>
        </is>
      </c>
      <c r="B63" s="15" t="inlineStr">
        <is>
          <t>Retail</t>
        </is>
      </c>
      <c r="C63" s="15" t="inlineStr">
        <is>
          <t>NUVA-BAR-BM-BX-04</t>
        </is>
      </c>
      <c r="D63" s="20" t="n">
        <v>5990</v>
      </c>
      <c r="E63" s="20" t="n">
        <v>2800</v>
      </c>
      <c r="F63" s="22">
        <f>IF(E63="","",E63*(1+Inicio!$B$13))</f>
        <v/>
      </c>
      <c r="G63" s="22">
        <f>IF(D63="","",D63/(1+Inicio!$B$13))</f>
        <v/>
      </c>
      <c r="H63" s="57">
        <f>IF(OR(G63="",E63=""),"",(G63-E63)/G63)</f>
        <v/>
      </c>
      <c r="I63" s="56" t="n">
        <v>0.45</v>
      </c>
      <c r="J63" s="25">
        <f>IF(OR(H63="",I63=""),"",IF(H63&gt;=I63,"Cumple","Bajo objetivo"))</f>
        <v/>
      </c>
    </row>
    <row r="64">
      <c r="A64" s="15" t="n"/>
      <c r="B64" s="15" t="n"/>
      <c r="C64" s="15" t="n"/>
      <c r="D64" s="20" t="n"/>
      <c r="E64" s="20" t="n"/>
      <c r="F64" s="22">
        <f>IF(E64="","",E64*(1+Inicio!$B$13))</f>
        <v/>
      </c>
      <c r="G64" s="22">
        <f>IF(D64="","",D64/(1+Inicio!$B$13))</f>
        <v/>
      </c>
      <c r="H64" s="57">
        <f>IF(OR(G64="",E64=""),"",(G64-E64)/G64)</f>
        <v/>
      </c>
      <c r="I64" s="56" t="n"/>
      <c r="J64" s="25">
        <f>IF(OR(H64="",I64=""),"",IF(H64&gt;=I64,"Cumple","Bajo objetivo"))</f>
        <v/>
      </c>
    </row>
    <row r="65">
      <c r="A65" s="15" t="n"/>
      <c r="B65" s="15" t="n"/>
      <c r="C65" s="15" t="n"/>
      <c r="D65" s="20" t="n"/>
      <c r="E65" s="20" t="n"/>
      <c r="F65" s="22">
        <f>IF(E65="","",E65*(1+Inicio!$B$13))</f>
        <v/>
      </c>
      <c r="G65" s="22">
        <f>IF(D65="","",D65/(1+Inicio!$B$13))</f>
        <v/>
      </c>
      <c r="H65" s="57">
        <f>IF(OR(G65="",E65=""),"",(G65-E65)/G65)</f>
        <v/>
      </c>
      <c r="I65" s="56" t="n"/>
      <c r="J65" s="25">
        <f>IF(OR(H65="",I65=""),"",IF(H65&gt;=I65,"Cumple","Bajo objetivo"))</f>
        <v/>
      </c>
    </row>
    <row r="66">
      <c r="A66" s="15" t="n"/>
      <c r="B66" s="15" t="n"/>
      <c r="C66" s="15" t="n"/>
      <c r="D66" s="20" t="n"/>
      <c r="E66" s="20" t="n"/>
      <c r="F66" s="22">
        <f>IF(E66="","",E66*(1+Inicio!$B$13))</f>
        <v/>
      </c>
      <c r="G66" s="22">
        <f>IF(D66="","",D66/(1+Inicio!$B$13))</f>
        <v/>
      </c>
      <c r="H66" s="57">
        <f>IF(OR(G66="",E66=""),"",(G66-E66)/G66)</f>
        <v/>
      </c>
      <c r="I66" s="56" t="n"/>
      <c r="J66" s="25">
        <f>IF(OR(H66="",I66=""),"",IF(H66&gt;=I66,"Cumple","Bajo objetivo"))</f>
        <v/>
      </c>
    </row>
    <row r="67">
      <c r="A67" s="15" t="n"/>
      <c r="B67" s="15" t="n"/>
      <c r="C67" s="15" t="n"/>
      <c r="D67" s="20" t="n"/>
      <c r="E67" s="20" t="n"/>
      <c r="F67" s="22">
        <f>IF(E67="","",E67*(1+Inicio!$B$13))</f>
        <v/>
      </c>
      <c r="G67" s="22">
        <f>IF(D67="","",D67/(1+Inicio!$B$13))</f>
        <v/>
      </c>
      <c r="H67" s="57">
        <f>IF(OR(G67="",E67=""),"",(G67-E67)/G67)</f>
        <v/>
      </c>
      <c r="I67" s="56" t="n"/>
      <c r="J67" s="25">
        <f>IF(OR(H67="",I67=""),"",IF(H67&gt;=I67,"Cumple","Bajo objetivo"))</f>
        <v/>
      </c>
    </row>
    <row r="68">
      <c r="A68" s="15" t="n"/>
      <c r="B68" s="15" t="n"/>
      <c r="C68" s="15" t="n"/>
      <c r="D68" s="20" t="n"/>
      <c r="E68" s="20" t="n"/>
      <c r="F68" s="22">
        <f>IF(E68="","",E68*(1+Inicio!$B$13))</f>
        <v/>
      </c>
      <c r="G68" s="22">
        <f>IF(D68="","",D68/(1+Inicio!$B$13))</f>
        <v/>
      </c>
      <c r="H68" s="57">
        <f>IF(OR(G68="",E68=""),"",(G68-E68)/G68)</f>
        <v/>
      </c>
      <c r="I68" s="56" t="n"/>
      <c r="J68" s="25">
        <f>IF(OR(H68="",I68=""),"",IF(H68&gt;=I68,"Cumple","Bajo objetivo"))</f>
        <v/>
      </c>
    </row>
    <row r="69">
      <c r="A69" s="15" t="n"/>
      <c r="B69" s="15" t="n"/>
      <c r="C69" s="15" t="n"/>
      <c r="D69" s="20" t="n"/>
      <c r="E69" s="20" t="n"/>
      <c r="F69" s="22">
        <f>IF(E69="","",E69*(1+Inicio!$B$13))</f>
        <v/>
      </c>
      <c r="G69" s="22">
        <f>IF(D69="","",D69/(1+Inicio!$B$13))</f>
        <v/>
      </c>
      <c r="H69" s="57">
        <f>IF(OR(G69="",E69=""),"",(G69-E69)/G69)</f>
        <v/>
      </c>
      <c r="I69" s="56" t="n"/>
      <c r="J69" s="25">
        <f>IF(OR(H69="",I69=""),"",IF(H69&gt;=I69,"Cumple","Bajo objetivo"))</f>
        <v/>
      </c>
    </row>
    <row r="70">
      <c r="A70" s="15" t="n"/>
      <c r="B70" s="15" t="n"/>
      <c r="C70" s="15" t="n"/>
      <c r="D70" s="20" t="n"/>
      <c r="E70" s="20" t="n"/>
      <c r="F70" s="22">
        <f>IF(E70="","",E70*(1+Inicio!$B$13))</f>
        <v/>
      </c>
      <c r="G70" s="22">
        <f>IF(D70="","",D70/(1+Inicio!$B$13))</f>
        <v/>
      </c>
      <c r="H70" s="57">
        <f>IF(OR(G70="",E70=""),"",(G70-E70)/G70)</f>
        <v/>
      </c>
      <c r="I70" s="56" t="n"/>
      <c r="J70" s="25">
        <f>IF(OR(H70="",I70=""),"",IF(H70&gt;=I70,"Cumple","Bajo objetivo"))</f>
        <v/>
      </c>
    </row>
    <row r="71">
      <c r="A71" s="15" t="n"/>
      <c r="B71" s="15" t="n"/>
      <c r="C71" s="15" t="n"/>
      <c r="D71" s="20" t="n"/>
      <c r="E71" s="20" t="n"/>
      <c r="F71" s="22">
        <f>IF(E71="","",E71*(1+Inicio!$B$13))</f>
        <v/>
      </c>
      <c r="G71" s="22">
        <f>IF(D71="","",D71/(1+Inicio!$B$13))</f>
        <v/>
      </c>
      <c r="H71" s="57">
        <f>IF(OR(G71="",E71=""),"",(G71-E71)/G71)</f>
        <v/>
      </c>
      <c r="I71" s="56" t="n"/>
      <c r="J71" s="25">
        <f>IF(OR(H71="",I71=""),"",IF(H71&gt;=I71,"Cumple","Bajo objetivo"))</f>
        <v/>
      </c>
    </row>
    <row r="72">
      <c r="A72" s="15" t="n"/>
      <c r="B72" s="15" t="n"/>
      <c r="C72" s="15" t="n"/>
      <c r="D72" s="20" t="n"/>
      <c r="E72" s="20" t="n"/>
      <c r="F72" s="22">
        <f>IF(E72="","",E72*(1+Inicio!$B$13))</f>
        <v/>
      </c>
      <c r="G72" s="22">
        <f>IF(D72="","",D72/(1+Inicio!$B$13))</f>
        <v/>
      </c>
      <c r="H72" s="57">
        <f>IF(OR(G72="",E72=""),"",(G72-E72)/G72)</f>
        <v/>
      </c>
      <c r="I72" s="56" t="n"/>
      <c r="J72" s="25">
        <f>IF(OR(H72="",I72=""),"",IF(H72&gt;=I72,"Cumple","Bajo objetivo"))</f>
        <v/>
      </c>
    </row>
    <row r="73">
      <c r="A73" s="15" t="n"/>
      <c r="B73" s="15" t="n"/>
      <c r="C73" s="15" t="n"/>
      <c r="D73" s="20" t="n"/>
      <c r="E73" s="20" t="n"/>
      <c r="F73" s="22">
        <f>IF(E73="","",E73*(1+Inicio!$B$13))</f>
        <v/>
      </c>
      <c r="G73" s="22">
        <f>IF(D73="","",D73/(1+Inicio!$B$13))</f>
        <v/>
      </c>
      <c r="H73" s="57">
        <f>IF(OR(G73="",E73=""),"",(G73-E73)/G73)</f>
        <v/>
      </c>
      <c r="I73" s="56" t="n"/>
      <c r="J73" s="25">
        <f>IF(OR(H73="",I73=""),"",IF(H73&gt;=I73,"Cumple","Bajo objetivo"))</f>
        <v/>
      </c>
    </row>
    <row r="74">
      <c r="A74" s="15" t="n"/>
      <c r="B74" s="15" t="n"/>
      <c r="C74" s="15" t="n"/>
      <c r="D74" s="20" t="n"/>
      <c r="E74" s="20" t="n"/>
      <c r="F74" s="22">
        <f>IF(E74="","",E74*(1+Inicio!$B$13))</f>
        <v/>
      </c>
      <c r="G74" s="22">
        <f>IF(D74="","",D74/(1+Inicio!$B$13))</f>
        <v/>
      </c>
      <c r="H74" s="57">
        <f>IF(OR(G74="",E74=""),"",(G74-E74)/G74)</f>
        <v/>
      </c>
      <c r="I74" s="56" t="n"/>
      <c r="J74" s="25">
        <f>IF(OR(H74="",I74=""),"",IF(H74&gt;=I74,"Cumple","Bajo objetivo"))</f>
        <v/>
      </c>
    </row>
    <row r="75">
      <c r="A75" s="15" t="n"/>
      <c r="B75" s="15" t="n"/>
      <c r="C75" s="15" t="n"/>
      <c r="D75" s="20" t="n"/>
      <c r="E75" s="20" t="n"/>
      <c r="F75" s="22">
        <f>IF(E75="","",E75*(1+Inicio!$B$13))</f>
        <v/>
      </c>
      <c r="G75" s="22">
        <f>IF(D75="","",D75/(1+Inicio!$B$13))</f>
        <v/>
      </c>
      <c r="H75" s="57">
        <f>IF(OR(G75="",E75=""),"",(G75-E75)/G75)</f>
        <v/>
      </c>
      <c r="I75" s="56" t="n"/>
      <c r="J75" s="25">
        <f>IF(OR(H75="",I75=""),"",IF(H75&gt;=I75,"Cumple","Bajo objetivo"))</f>
        <v/>
      </c>
    </row>
    <row r="76">
      <c r="A76" s="15" t="n"/>
      <c r="B76" s="15" t="n"/>
      <c r="C76" s="15" t="n"/>
      <c r="D76" s="20" t="n"/>
      <c r="E76" s="20" t="n"/>
      <c r="F76" s="22">
        <f>IF(E76="","",E76*(1+Inicio!$B$13))</f>
        <v/>
      </c>
      <c r="G76" s="22">
        <f>IF(D76="","",D76/(1+Inicio!$B$13))</f>
        <v/>
      </c>
      <c r="H76" s="57">
        <f>IF(OR(G76="",E76=""),"",(G76-E76)/G76)</f>
        <v/>
      </c>
      <c r="I76" s="56" t="n"/>
      <c r="J76" s="25">
        <f>IF(OR(H76="",I76=""),"",IF(H76&gt;=I76,"Cumple","Bajo objetivo"))</f>
        <v/>
      </c>
    </row>
    <row r="77">
      <c r="A77" s="15" t="n"/>
      <c r="B77" s="15" t="n"/>
      <c r="C77" s="15" t="n"/>
      <c r="D77" s="20" t="n"/>
      <c r="E77" s="20" t="n"/>
      <c r="F77" s="22">
        <f>IF(E77="","",E77*(1+Inicio!$B$13))</f>
        <v/>
      </c>
      <c r="G77" s="22">
        <f>IF(D77="","",D77/(1+Inicio!$B$13))</f>
        <v/>
      </c>
      <c r="H77" s="57">
        <f>IF(OR(G77="",E77=""),"",(G77-E77)/G77)</f>
        <v/>
      </c>
      <c r="I77" s="56" t="n"/>
      <c r="J77" s="25">
        <f>IF(OR(H77="",I77=""),"",IF(H77&gt;=I77,"Cumple","Bajo objetivo"))</f>
        <v/>
      </c>
    </row>
    <row r="78">
      <c r="A78" s="15" t="n"/>
      <c r="B78" s="15" t="n"/>
      <c r="C78" s="15" t="n"/>
      <c r="D78" s="20" t="n"/>
      <c r="E78" s="20" t="n"/>
      <c r="F78" s="22">
        <f>IF(E78="","",E78*(1+Inicio!$B$13))</f>
        <v/>
      </c>
      <c r="G78" s="22">
        <f>IF(D78="","",D78/(1+Inicio!$B$13))</f>
        <v/>
      </c>
      <c r="H78" s="57">
        <f>IF(OR(G78="",E78=""),"",(G78-E78)/G78)</f>
        <v/>
      </c>
      <c r="I78" s="56" t="n"/>
      <c r="J78" s="25">
        <f>IF(OR(H78="",I78=""),"",IF(H78&gt;=I78,"Cumple","Bajo objetivo"))</f>
        <v/>
      </c>
    </row>
    <row r="79">
      <c r="A79" s="15" t="n"/>
      <c r="B79" s="15" t="n"/>
      <c r="C79" s="15" t="n"/>
      <c r="D79" s="20" t="n"/>
      <c r="E79" s="20" t="n"/>
      <c r="F79" s="22">
        <f>IF(E79="","",E79*(1+Inicio!$B$13))</f>
        <v/>
      </c>
      <c r="G79" s="22">
        <f>IF(D79="","",D79/(1+Inicio!$B$13))</f>
        <v/>
      </c>
      <c r="H79" s="57">
        <f>IF(OR(G79="",E79=""),"",(G79-E79)/G79)</f>
        <v/>
      </c>
      <c r="I79" s="56" t="n"/>
      <c r="J79" s="25">
        <f>IF(OR(H79="",I79=""),"",IF(H79&gt;=I79,"Cumple","Bajo objetivo"))</f>
        <v/>
      </c>
    </row>
    <row r="80">
      <c r="A80" s="15" t="n"/>
      <c r="B80" s="15" t="n"/>
      <c r="C80" s="15" t="n"/>
      <c r="D80" s="20" t="n"/>
      <c r="E80" s="20" t="n"/>
      <c r="F80" s="22">
        <f>IF(E80="","",E80*(1+Inicio!$B$13))</f>
        <v/>
      </c>
      <c r="G80" s="22">
        <f>IF(D80="","",D80/(1+Inicio!$B$13))</f>
        <v/>
      </c>
      <c r="H80" s="57">
        <f>IF(OR(G80="",E80=""),"",(G80-E80)/G80)</f>
        <v/>
      </c>
      <c r="I80" s="56" t="n"/>
      <c r="J80" s="25">
        <f>IF(OR(H80="",I80=""),"",IF(H80&gt;=I80,"Cumple","Bajo objetivo"))</f>
        <v/>
      </c>
    </row>
    <row r="81">
      <c r="A81" s="15" t="n"/>
      <c r="B81" s="15" t="n"/>
      <c r="C81" s="15" t="n"/>
      <c r="D81" s="20" t="n"/>
      <c r="E81" s="20" t="n"/>
      <c r="F81" s="22">
        <f>IF(E81="","",E81*(1+Inicio!$B$13))</f>
        <v/>
      </c>
      <c r="G81" s="22">
        <f>IF(D81="","",D81/(1+Inicio!$B$13))</f>
        <v/>
      </c>
      <c r="H81" s="57">
        <f>IF(OR(G81="",E81=""),"",(G81-E81)/G81)</f>
        <v/>
      </c>
      <c r="I81" s="56" t="n"/>
      <c r="J81" s="25">
        <f>IF(OR(H81="",I81=""),"",IF(H81&gt;=I81,"Cumple","Bajo objetivo"))</f>
        <v/>
      </c>
    </row>
    <row r="82">
      <c r="A82" s="15" t="n"/>
      <c r="B82" s="15" t="n"/>
      <c r="C82" s="15" t="n"/>
      <c r="D82" s="20" t="n"/>
      <c r="E82" s="20" t="n"/>
      <c r="F82" s="22">
        <f>IF(E82="","",E82*(1+Inicio!$B$13))</f>
        <v/>
      </c>
      <c r="G82" s="22">
        <f>IF(D82="","",D82/(1+Inicio!$B$13))</f>
        <v/>
      </c>
      <c r="H82" s="57">
        <f>IF(OR(G82="",E82=""),"",(G82-E82)/G82)</f>
        <v/>
      </c>
      <c r="I82" s="56" t="n"/>
      <c r="J82" s="25">
        <f>IF(OR(H82="",I82=""),"",IF(H82&gt;=I82,"Cumple","Bajo objetivo"))</f>
        <v/>
      </c>
    </row>
    <row r="83">
      <c r="A83" s="15" t="n"/>
      <c r="B83" s="15" t="n"/>
      <c r="C83" s="15" t="n"/>
      <c r="D83" s="20" t="n"/>
      <c r="E83" s="20" t="n"/>
      <c r="F83" s="22">
        <f>IF(E83="","",E83*(1+Inicio!$B$13))</f>
        <v/>
      </c>
      <c r="G83" s="22">
        <f>IF(D83="","",D83/(1+Inicio!$B$13))</f>
        <v/>
      </c>
      <c r="H83" s="57">
        <f>IF(OR(G83="",E83=""),"",(G83-E83)/G83)</f>
        <v/>
      </c>
      <c r="I83" s="56" t="n"/>
      <c r="J83" s="25">
        <f>IF(OR(H83="",I83=""),"",IF(H83&gt;=I83,"Cumple","Bajo objetivo"))</f>
        <v/>
      </c>
    </row>
    <row r="84">
      <c r="A84" s="15" t="n"/>
      <c r="B84" s="15" t="n"/>
      <c r="C84" s="15" t="n"/>
      <c r="D84" s="20" t="n"/>
      <c r="E84" s="20" t="n"/>
      <c r="F84" s="22">
        <f>IF(E84="","",E84*(1+Inicio!$B$13))</f>
        <v/>
      </c>
      <c r="G84" s="22">
        <f>IF(D84="","",D84/(1+Inicio!$B$13))</f>
        <v/>
      </c>
      <c r="H84" s="57">
        <f>IF(OR(G84="",E84=""),"",(G84-E84)/G84)</f>
        <v/>
      </c>
      <c r="I84" s="56" t="n"/>
      <c r="J84" s="25">
        <f>IF(OR(H84="",I84=""),"",IF(H84&gt;=I84,"Cumple","Bajo objetivo"))</f>
        <v/>
      </c>
    </row>
    <row r="85">
      <c r="A85" s="15" t="n"/>
      <c r="B85" s="15" t="n"/>
      <c r="C85" s="15" t="n"/>
      <c r="D85" s="20" t="n"/>
      <c r="E85" s="20" t="n"/>
      <c r="F85" s="22">
        <f>IF(E85="","",E85*(1+Inicio!$B$13))</f>
        <v/>
      </c>
      <c r="G85" s="22">
        <f>IF(D85="","",D85/(1+Inicio!$B$13))</f>
        <v/>
      </c>
      <c r="H85" s="57">
        <f>IF(OR(G85="",E85=""),"",(G85-E85)/G85)</f>
        <v/>
      </c>
      <c r="I85" s="56" t="n"/>
      <c r="J85" s="25">
        <f>IF(OR(H85="",I85=""),"",IF(H85&gt;=I85,"Cumple","Bajo objetivo"))</f>
        <v/>
      </c>
    </row>
    <row r="86">
      <c r="A86" s="15" t="n"/>
      <c r="B86" s="15" t="n"/>
      <c r="C86" s="15" t="n"/>
      <c r="D86" s="20" t="n"/>
      <c r="E86" s="20" t="n"/>
      <c r="F86" s="22">
        <f>IF(E86="","",E86*(1+Inicio!$B$13))</f>
        <v/>
      </c>
      <c r="G86" s="22">
        <f>IF(D86="","",D86/(1+Inicio!$B$13))</f>
        <v/>
      </c>
      <c r="H86" s="57">
        <f>IF(OR(G86="",E86=""),"",(G86-E86)/G86)</f>
        <v/>
      </c>
      <c r="I86" s="56" t="n"/>
      <c r="J86" s="25">
        <f>IF(OR(H86="",I86=""),"",IF(H86&gt;=I86,"Cumple","Bajo objetivo"))</f>
        <v/>
      </c>
    </row>
    <row r="87">
      <c r="A87" s="15" t="n"/>
      <c r="B87" s="15" t="n"/>
      <c r="C87" s="15" t="n"/>
      <c r="D87" s="20" t="n"/>
      <c r="E87" s="20" t="n"/>
      <c r="F87" s="22">
        <f>IF(E87="","",E87*(1+Inicio!$B$13))</f>
        <v/>
      </c>
      <c r="G87" s="22">
        <f>IF(D87="","",D87/(1+Inicio!$B$13))</f>
        <v/>
      </c>
      <c r="H87" s="57">
        <f>IF(OR(G87="",E87=""),"",(G87-E87)/G87)</f>
        <v/>
      </c>
      <c r="I87" s="56" t="n"/>
      <c r="J87" s="25">
        <f>IF(OR(H87="",I87=""),"",IF(H87&gt;=I87,"Cumple","Bajo objetivo"))</f>
        <v/>
      </c>
    </row>
    <row r="88">
      <c r="A88" s="15" t="n"/>
      <c r="B88" s="15" t="n"/>
      <c r="C88" s="15" t="n"/>
      <c r="D88" s="20" t="n"/>
      <c r="E88" s="20" t="n"/>
      <c r="F88" s="22">
        <f>IF(E88="","",E88*(1+Inicio!$B$13))</f>
        <v/>
      </c>
      <c r="G88" s="22">
        <f>IF(D88="","",D88/(1+Inicio!$B$13))</f>
        <v/>
      </c>
      <c r="H88" s="57">
        <f>IF(OR(G88="",E88=""),"",(G88-E88)/G88)</f>
        <v/>
      </c>
      <c r="I88" s="56" t="n"/>
      <c r="J88" s="25">
        <f>IF(OR(H88="",I88=""),"",IF(H88&gt;=I88,"Cumple","Bajo objetivo"))</f>
        <v/>
      </c>
    </row>
    <row r="89">
      <c r="A89" s="15" t="n"/>
      <c r="B89" s="15" t="n"/>
      <c r="C89" s="15" t="n"/>
      <c r="D89" s="20" t="n"/>
      <c r="E89" s="20" t="n"/>
      <c r="F89" s="22">
        <f>IF(E89="","",E89*(1+Inicio!$B$13))</f>
        <v/>
      </c>
      <c r="G89" s="22">
        <f>IF(D89="","",D89/(1+Inicio!$B$13))</f>
        <v/>
      </c>
      <c r="H89" s="57">
        <f>IF(OR(G89="",E89=""),"",(G89-E89)/G89)</f>
        <v/>
      </c>
      <c r="I89" s="56" t="n"/>
      <c r="J89" s="25">
        <f>IF(OR(H89="",I89=""),"",IF(H89&gt;=I89,"Cumple","Bajo objetivo"))</f>
        <v/>
      </c>
    </row>
    <row r="90">
      <c r="A90" s="15" t="n"/>
      <c r="B90" s="15" t="n"/>
      <c r="C90" s="15" t="n"/>
      <c r="D90" s="20" t="n"/>
      <c r="E90" s="20" t="n"/>
      <c r="F90" s="22">
        <f>IF(E90="","",E90*(1+Inicio!$B$13))</f>
        <v/>
      </c>
      <c r="G90" s="22">
        <f>IF(D90="","",D90/(1+Inicio!$B$13))</f>
        <v/>
      </c>
      <c r="H90" s="57">
        <f>IF(OR(G90="",E90=""),"",(G90-E90)/G90)</f>
        <v/>
      </c>
      <c r="I90" s="56" t="n"/>
      <c r="J90" s="25">
        <f>IF(OR(H90="",I90=""),"",IF(H90&gt;=I90,"Cumple","Bajo objetivo"))</f>
        <v/>
      </c>
    </row>
    <row r="91">
      <c r="A91" s="15" t="n"/>
      <c r="B91" s="15" t="n"/>
      <c r="C91" s="15" t="n"/>
      <c r="D91" s="20" t="n"/>
      <c r="E91" s="20" t="n"/>
      <c r="F91" s="22">
        <f>IF(E91="","",E91*(1+Inicio!$B$13))</f>
        <v/>
      </c>
      <c r="G91" s="22">
        <f>IF(D91="","",D91/(1+Inicio!$B$13))</f>
        <v/>
      </c>
      <c r="H91" s="57">
        <f>IF(OR(G91="",E91=""),"",(G91-E91)/G91)</f>
        <v/>
      </c>
      <c r="I91" s="56" t="n"/>
      <c r="J91" s="25">
        <f>IF(OR(H91="",I91=""),"",IF(H91&gt;=I91,"Cumple","Bajo objetivo"))</f>
        <v/>
      </c>
    </row>
    <row r="92">
      <c r="A92" s="15" t="n"/>
      <c r="B92" s="15" t="n"/>
      <c r="C92" s="15" t="n"/>
      <c r="D92" s="20" t="n"/>
      <c r="E92" s="20" t="n"/>
      <c r="F92" s="22">
        <f>IF(E92="","",E92*(1+Inicio!$B$13))</f>
        <v/>
      </c>
      <c r="G92" s="22">
        <f>IF(D92="","",D92/(1+Inicio!$B$13))</f>
        <v/>
      </c>
      <c r="H92" s="57">
        <f>IF(OR(G92="",E92=""),"",(G92-E92)/G92)</f>
        <v/>
      </c>
      <c r="I92" s="56" t="n"/>
      <c r="J92" s="25">
        <f>IF(OR(H92="",I92=""),"",IF(H92&gt;=I92,"Cumple","Bajo objetivo"))</f>
        <v/>
      </c>
    </row>
    <row r="93">
      <c r="A93" s="15" t="n"/>
      <c r="B93" s="15" t="n"/>
      <c r="C93" s="15" t="n"/>
      <c r="D93" s="20" t="n"/>
      <c r="E93" s="20" t="n"/>
      <c r="F93" s="22">
        <f>IF(E93="","",E93*(1+Inicio!$B$13))</f>
        <v/>
      </c>
      <c r="G93" s="22">
        <f>IF(D93="","",D93/(1+Inicio!$B$13))</f>
        <v/>
      </c>
      <c r="H93" s="57">
        <f>IF(OR(G93="",E93=""),"",(G93-E93)/G93)</f>
        <v/>
      </c>
      <c r="I93" s="56" t="n"/>
      <c r="J93" s="25">
        <f>IF(OR(H93="",I93=""),"",IF(H93&gt;=I93,"Cumple","Bajo objetivo"))</f>
        <v/>
      </c>
    </row>
    <row r="94">
      <c r="A94" s="15" t="n"/>
      <c r="B94" s="15" t="n"/>
      <c r="C94" s="15" t="n"/>
      <c r="D94" s="20" t="n"/>
      <c r="E94" s="20" t="n"/>
      <c r="F94" s="22">
        <f>IF(E94="","",E94*(1+Inicio!$B$13))</f>
        <v/>
      </c>
      <c r="G94" s="22">
        <f>IF(D94="","",D94/(1+Inicio!$B$13))</f>
        <v/>
      </c>
      <c r="H94" s="57">
        <f>IF(OR(G94="",E94=""),"",(G94-E94)/G94)</f>
        <v/>
      </c>
      <c r="I94" s="56" t="n"/>
      <c r="J94" s="25">
        <f>IF(OR(H94="",I94=""),"",IF(H94&gt;=I94,"Cumple","Bajo objetivo"))</f>
        <v/>
      </c>
    </row>
    <row r="95">
      <c r="A95" s="15" t="n"/>
      <c r="B95" s="15" t="n"/>
      <c r="C95" s="15" t="n"/>
      <c r="D95" s="20" t="n"/>
      <c r="E95" s="20" t="n"/>
      <c r="F95" s="22">
        <f>IF(E95="","",E95*(1+Inicio!$B$13))</f>
        <v/>
      </c>
      <c r="G95" s="22">
        <f>IF(D95="","",D95/(1+Inicio!$B$13))</f>
        <v/>
      </c>
      <c r="H95" s="57">
        <f>IF(OR(G95="",E95=""),"",(G95-E95)/G95)</f>
        <v/>
      </c>
      <c r="I95" s="56" t="n"/>
      <c r="J95" s="25">
        <f>IF(OR(H95="",I95=""),"",IF(H95&gt;=I95,"Cumple","Bajo objetivo"))</f>
        <v/>
      </c>
    </row>
    <row r="96">
      <c r="A96" s="15" t="n"/>
      <c r="B96" s="15" t="n"/>
      <c r="C96" s="15" t="n"/>
      <c r="D96" s="20" t="n"/>
      <c r="E96" s="20" t="n"/>
      <c r="F96" s="22">
        <f>IF(E96="","",E96*(1+Inicio!$B$13))</f>
        <v/>
      </c>
      <c r="G96" s="22">
        <f>IF(D96="","",D96/(1+Inicio!$B$13))</f>
        <v/>
      </c>
      <c r="H96" s="57">
        <f>IF(OR(G96="",E96=""),"",(G96-E96)/G96)</f>
        <v/>
      </c>
      <c r="I96" s="56" t="n"/>
      <c r="J96" s="25">
        <f>IF(OR(H96="",I96=""),"",IF(H96&gt;=I96,"Cumple","Bajo objetivo"))</f>
        <v/>
      </c>
    </row>
    <row r="97">
      <c r="A97" s="15" t="n"/>
      <c r="B97" s="15" t="n"/>
      <c r="C97" s="15" t="n"/>
      <c r="D97" s="20" t="n"/>
      <c r="E97" s="20" t="n"/>
      <c r="F97" s="22">
        <f>IF(E97="","",E97*(1+Inicio!$B$13))</f>
        <v/>
      </c>
      <c r="G97" s="22">
        <f>IF(D97="","",D97/(1+Inicio!$B$13))</f>
        <v/>
      </c>
      <c r="H97" s="57">
        <f>IF(OR(G97="",E97=""),"",(G97-E97)/G97)</f>
        <v/>
      </c>
      <c r="I97" s="56" t="n"/>
      <c r="J97" s="25">
        <f>IF(OR(H97="",I97=""),"",IF(H97&gt;=I97,"Cumple","Bajo objetivo"))</f>
        <v/>
      </c>
    </row>
    <row r="98">
      <c r="A98" s="15" t="n"/>
      <c r="B98" s="15" t="n"/>
      <c r="C98" s="15" t="n"/>
      <c r="D98" s="20" t="n"/>
      <c r="E98" s="20" t="n"/>
      <c r="F98" s="22">
        <f>IF(E98="","",E98*(1+Inicio!$B$13))</f>
        <v/>
      </c>
      <c r="G98" s="22">
        <f>IF(D98="","",D98/(1+Inicio!$B$13))</f>
        <v/>
      </c>
      <c r="H98" s="57">
        <f>IF(OR(G98="",E98=""),"",(G98-E98)/G98)</f>
        <v/>
      </c>
      <c r="I98" s="56" t="n"/>
      <c r="J98" s="25">
        <f>IF(OR(H98="",I98=""),"",IF(H98&gt;=I98,"Cumple","Bajo objetivo"))</f>
        <v/>
      </c>
    </row>
    <row r="99">
      <c r="A99" s="15" t="n"/>
      <c r="B99" s="15" t="n"/>
      <c r="C99" s="15" t="n"/>
      <c r="D99" s="20" t="n"/>
      <c r="E99" s="20" t="n"/>
      <c r="F99" s="22">
        <f>IF(E99="","",E99*(1+Inicio!$B$13))</f>
        <v/>
      </c>
      <c r="G99" s="22">
        <f>IF(D99="","",D99/(1+Inicio!$B$13))</f>
        <v/>
      </c>
      <c r="H99" s="57">
        <f>IF(OR(G99="",E99=""),"",(G99-E99)/G99)</f>
        <v/>
      </c>
      <c r="I99" s="56" t="n"/>
      <c r="J99" s="25">
        <f>IF(OR(H99="",I99=""),"",IF(H99&gt;=I99,"Cumple","Bajo objetivo"))</f>
        <v/>
      </c>
    </row>
    <row r="100">
      <c r="A100" s="15" t="n"/>
      <c r="B100" s="15" t="n"/>
      <c r="C100" s="15" t="n"/>
      <c r="D100" s="20" t="n"/>
      <c r="E100" s="20" t="n"/>
      <c r="F100" s="22">
        <f>IF(E100="","",E100*(1+Inicio!$B$13))</f>
        <v/>
      </c>
      <c r="G100" s="22">
        <f>IF(D100="","",D100/(1+Inicio!$B$13))</f>
        <v/>
      </c>
      <c r="H100" s="57">
        <f>IF(OR(G100="",E100=""),"",(G100-E100)/G100)</f>
        <v/>
      </c>
      <c r="I100" s="56" t="n"/>
      <c r="J100" s="25">
        <f>IF(OR(H100="",I100=""),"",IF(H100&gt;=I100,"Cumple","Bajo objetivo"))</f>
        <v/>
      </c>
    </row>
    <row r="101">
      <c r="A101" s="15" t="n"/>
      <c r="B101" s="15" t="n"/>
      <c r="C101" s="15" t="n"/>
      <c r="D101" s="20" t="n"/>
      <c r="E101" s="20" t="n"/>
      <c r="F101" s="22">
        <f>IF(E101="","",E101*(1+Inicio!$B$13))</f>
        <v/>
      </c>
      <c r="G101" s="22">
        <f>IF(D101="","",D101/(1+Inicio!$B$13))</f>
        <v/>
      </c>
      <c r="H101" s="57">
        <f>IF(OR(G101="",E101=""),"",(G101-E101)/G101)</f>
        <v/>
      </c>
      <c r="I101" s="56" t="n"/>
      <c r="J101" s="25">
        <f>IF(OR(H101="",I101=""),"",IF(H101&gt;=I101,"Cumple","Bajo objetivo"))</f>
        <v/>
      </c>
    </row>
    <row r="102">
      <c r="A102" s="15" t="n"/>
      <c r="B102" s="15" t="n"/>
      <c r="C102" s="15" t="n"/>
      <c r="D102" s="20" t="n"/>
      <c r="E102" s="20" t="n"/>
      <c r="F102" s="22">
        <f>IF(E102="","",E102*(1+Inicio!$B$13))</f>
        <v/>
      </c>
      <c r="G102" s="22">
        <f>IF(D102="","",D102/(1+Inicio!$B$13))</f>
        <v/>
      </c>
      <c r="H102" s="57">
        <f>IF(OR(G102="",E102=""),"",(G102-E102)/G102)</f>
        <v/>
      </c>
      <c r="I102" s="56" t="n"/>
      <c r="J102" s="25">
        <f>IF(OR(H102="",I102=""),"",IF(H102&gt;=I102,"Cumple","Bajo objetivo"))</f>
        <v/>
      </c>
    </row>
    <row r="103">
      <c r="A103" s="15" t="n"/>
      <c r="B103" s="15" t="n"/>
      <c r="C103" s="15" t="n"/>
      <c r="D103" s="20" t="n"/>
      <c r="E103" s="20" t="n"/>
      <c r="F103" s="22">
        <f>IF(E103="","",E103*(1+Inicio!$B$13))</f>
        <v/>
      </c>
      <c r="G103" s="22">
        <f>IF(D103="","",D103/(1+Inicio!$B$13))</f>
        <v/>
      </c>
      <c r="H103" s="57">
        <f>IF(OR(G103="",E103=""),"",(G103-E103)/G103)</f>
        <v/>
      </c>
      <c r="I103" s="56" t="n"/>
      <c r="J103" s="25">
        <f>IF(OR(H103="",I103=""),"",IF(H103&gt;=I103,"Cumple","Bajo objetivo"))</f>
        <v/>
      </c>
    </row>
    <row r="104">
      <c r="A104" s="15" t="n"/>
      <c r="B104" s="15" t="n"/>
      <c r="C104" s="15" t="n"/>
      <c r="D104" s="20" t="n"/>
      <c r="E104" s="20" t="n"/>
      <c r="F104" s="22">
        <f>IF(E104="","",E104*(1+Inicio!$B$13))</f>
        <v/>
      </c>
      <c r="G104" s="22">
        <f>IF(D104="","",D104/(1+Inicio!$B$13))</f>
        <v/>
      </c>
      <c r="H104" s="57">
        <f>IF(OR(G104="",E104=""),"",(G104-E104)/G104)</f>
        <v/>
      </c>
      <c r="I104" s="56" t="n"/>
      <c r="J104" s="25">
        <f>IF(OR(H104="",I104=""),"",IF(H104&gt;=I104,"Cumple","Bajo objetivo"))</f>
        <v/>
      </c>
    </row>
    <row r="105">
      <c r="A105" s="15" t="n"/>
      <c r="B105" s="15" t="n"/>
      <c r="C105" s="15" t="n"/>
      <c r="D105" s="20" t="n"/>
      <c r="E105" s="20" t="n"/>
      <c r="F105" s="22">
        <f>IF(E105="","",E105*(1+Inicio!$B$13))</f>
        <v/>
      </c>
      <c r="G105" s="22">
        <f>IF(D105="","",D105/(1+Inicio!$B$13))</f>
        <v/>
      </c>
      <c r="H105" s="57">
        <f>IF(OR(G105="",E105=""),"",(G105-E105)/G105)</f>
        <v/>
      </c>
      <c r="I105" s="56" t="n"/>
      <c r="J105" s="25">
        <f>IF(OR(H105="",I105=""),"",IF(H105&gt;=I105,"Cumple","Bajo objetivo"))</f>
        <v/>
      </c>
    </row>
    <row r="106">
      <c r="A106" s="15" t="n"/>
      <c r="B106" s="15" t="n"/>
      <c r="C106" s="15" t="n"/>
      <c r="D106" s="20" t="n"/>
      <c r="E106" s="20" t="n"/>
      <c r="F106" s="22">
        <f>IF(E106="","",E106*(1+Inicio!$B$13))</f>
        <v/>
      </c>
      <c r="G106" s="22">
        <f>IF(D106="","",D106/(1+Inicio!$B$13))</f>
        <v/>
      </c>
      <c r="H106" s="57">
        <f>IF(OR(G106="",E106=""),"",(G106-E106)/G106)</f>
        <v/>
      </c>
      <c r="I106" s="56" t="n"/>
      <c r="J106" s="25">
        <f>IF(OR(H106="",I106=""),"",IF(H106&gt;=I106,"Cumple","Bajo objetivo"))</f>
        <v/>
      </c>
    </row>
    <row r="107">
      <c r="A107" s="15" t="n"/>
      <c r="B107" s="15" t="n"/>
      <c r="C107" s="15" t="n"/>
      <c r="D107" s="20" t="n"/>
      <c r="E107" s="20" t="n"/>
      <c r="F107" s="22">
        <f>IF(E107="","",E107*(1+Inicio!$B$13))</f>
        <v/>
      </c>
      <c r="G107" s="22">
        <f>IF(D107="","",D107/(1+Inicio!$B$13))</f>
        <v/>
      </c>
      <c r="H107" s="57">
        <f>IF(OR(G107="",E107=""),"",(G107-E107)/G107)</f>
        <v/>
      </c>
      <c r="I107" s="56" t="n"/>
      <c r="J107" s="25">
        <f>IF(OR(H107="",I107=""),"",IF(H107&gt;=I107,"Cumple","Bajo objetivo"))</f>
        <v/>
      </c>
    </row>
    <row r="108">
      <c r="A108" s="15" t="n"/>
      <c r="B108" s="15" t="n"/>
      <c r="C108" s="15" t="n"/>
      <c r="D108" s="20" t="n"/>
      <c r="E108" s="20" t="n"/>
      <c r="F108" s="22">
        <f>IF(E108="","",E108*(1+Inicio!$B$13))</f>
        <v/>
      </c>
      <c r="G108" s="22">
        <f>IF(D108="","",D108/(1+Inicio!$B$13))</f>
        <v/>
      </c>
      <c r="H108" s="57">
        <f>IF(OR(G108="",E108=""),"",(G108-E108)/G108)</f>
        <v/>
      </c>
      <c r="I108" s="56" t="n"/>
      <c r="J108" s="25">
        <f>IF(OR(H108="",I108=""),"",IF(H108&gt;=I108,"Cumple","Bajo objetivo"))</f>
        <v/>
      </c>
    </row>
    <row r="109">
      <c r="A109" s="15" t="n"/>
      <c r="B109" s="15" t="n"/>
      <c r="C109" s="15" t="n"/>
      <c r="D109" s="20" t="n"/>
      <c r="E109" s="20" t="n"/>
      <c r="F109" s="22">
        <f>IF(E109="","",E109*(1+Inicio!$B$13))</f>
        <v/>
      </c>
      <c r="G109" s="22">
        <f>IF(D109="","",D109/(1+Inicio!$B$13))</f>
        <v/>
      </c>
      <c r="H109" s="57">
        <f>IF(OR(G109="",E109=""),"",(G109-E109)/G109)</f>
        <v/>
      </c>
      <c r="I109" s="56" t="n"/>
      <c r="J109" s="25">
        <f>IF(OR(H109="",I109=""),"",IF(H109&gt;=I109,"Cumple","Bajo objetivo"))</f>
        <v/>
      </c>
    </row>
    <row r="110">
      <c r="A110" s="15" t="n"/>
      <c r="B110" s="15" t="n"/>
      <c r="C110" s="15" t="n"/>
      <c r="D110" s="20" t="n"/>
      <c r="E110" s="20" t="n"/>
      <c r="F110" s="22">
        <f>IF(E110="","",E110*(1+Inicio!$B$13))</f>
        <v/>
      </c>
      <c r="G110" s="22">
        <f>IF(D110="","",D110/(1+Inicio!$B$13))</f>
        <v/>
      </c>
      <c r="H110" s="57">
        <f>IF(OR(G110="",E110=""),"",(G110-E110)/G110)</f>
        <v/>
      </c>
      <c r="I110" s="56" t="n"/>
      <c r="J110" s="25">
        <f>IF(OR(H110="",I110=""),"",IF(H110&gt;=I110,"Cumple","Bajo objetivo"))</f>
        <v/>
      </c>
    </row>
    <row r="111">
      <c r="A111" s="15" t="n"/>
      <c r="B111" s="15" t="n"/>
      <c r="C111" s="15" t="n"/>
      <c r="D111" s="20" t="n"/>
      <c r="E111" s="20" t="n"/>
      <c r="F111" s="22">
        <f>IF(E111="","",E111*(1+Inicio!$B$13))</f>
        <v/>
      </c>
      <c r="G111" s="22">
        <f>IF(D111="","",D111/(1+Inicio!$B$13))</f>
        <v/>
      </c>
      <c r="H111" s="57">
        <f>IF(OR(G111="",E111=""),"",(G111-E111)/G111)</f>
        <v/>
      </c>
      <c r="I111" s="56" t="n"/>
      <c r="J111" s="25">
        <f>IF(OR(H111="",I111=""),"",IF(H111&gt;=I111,"Cumple","Bajo objetivo"))</f>
        <v/>
      </c>
    </row>
  </sheetData>
  <autoFilter ref="A1:G101"/>
  <mergeCells count="4">
    <mergeCell ref="A1:J1"/>
    <mergeCell ref="A4:J4"/>
    <mergeCell ref="A60:J60"/>
    <mergeCell ref="A2:J2"/>
  </mergeCells>
  <dataValidations count="2">
    <dataValidation sqref="B6:B55 B62:B111" showDropDown="0" showInputMessage="0" showErrorMessage="0" allowBlank="1" type="list">
      <formula1>lst_Canal</formula1>
    </dataValidation>
    <dataValidation sqref="C6:C55 C62:C111" showDropDown="0" showInputMessage="0" showErrorMessage="0" allowBlank="1" type="list">
      <formula1>rng_SKU</formula1>
    </dataValidation>
  </dataValidations>
  <hyperlinks>
    <hyperlink xmlns:r="http://schemas.openxmlformats.org/officeDocument/2006/relationships" ref="L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C9A7BC"/>
    <outlinePr summaryBelow="1" summaryRight="1"/>
    <pageSetUpPr/>
  </sheetPr>
  <dimension ref="A1:P8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3" customWidth="1" style="36" min="1" max="1"/>
    <col width="16" customWidth="1" style="36" min="2" max="2"/>
    <col width="24" customWidth="1" style="36" min="3" max="4"/>
    <col width="32" customWidth="1" style="36" min="5" max="5"/>
    <col width="14" customWidth="1" style="36" min="6" max="6"/>
    <col width="16" customWidth="1" style="36" min="7" max="7"/>
    <col width="14" customWidth="1" style="36" min="8" max="8"/>
    <col width="24" customWidth="1" style="36" min="9" max="9"/>
    <col width="28" customWidth="1" style="36" min="10" max="10"/>
  </cols>
  <sheetData>
    <row r="1" ht="28" customHeight="1" s="36">
      <c r="A1" s="26" t="inlineStr">
        <is>
          <t>Fecha</t>
        </is>
      </c>
      <c r="B1" s="26" t="inlineStr">
        <is>
          <t>Cliente</t>
        </is>
      </c>
      <c r="C1" s="26" t="inlineStr">
        <is>
          <t>PDV</t>
        </is>
      </c>
      <c r="D1" s="26" t="inlineStr">
        <is>
          <t>SKU</t>
        </is>
      </c>
      <c r="E1" s="26" t="inlineStr">
        <is>
          <t>Descripción SKU</t>
        </is>
      </c>
      <c r="F1" s="26" t="inlineStr">
        <is>
          <t>Unidades sell-out</t>
        </is>
      </c>
      <c r="G1" s="26" t="inlineStr">
        <is>
          <t>Venta pública bruta</t>
        </is>
      </c>
      <c r="H1" s="26" t="inlineStr">
        <is>
          <t>Stock informado</t>
        </is>
      </c>
      <c r="I1" s="26" t="inlineStr">
        <is>
          <t>Fuente/archivo</t>
        </is>
      </c>
      <c r="J1" s="26" t="inlineStr">
        <is>
          <t>Observaciones</t>
        </is>
      </c>
      <c r="K1" s="67" t="inlineStr">
        <is>
          <t>Año</t>
        </is>
      </c>
      <c r="L1" s="67" t="inlineStr">
        <is>
          <t>Mes</t>
        </is>
      </c>
      <c r="M1" s="67" t="inlineStr">
        <is>
          <t>Día</t>
        </is>
      </c>
      <c r="N1" s="67" t="inlineStr">
        <is>
          <t>Periodo</t>
        </is>
      </c>
      <c r="P1" s="47" t="inlineStr">
        <is>
          <t>⚙ Configuración</t>
        </is>
      </c>
    </row>
    <row r="2" ht="20" customHeight="1" s="36">
      <c r="A2" s="53" t="n">
        <v>46200</v>
      </c>
      <c r="B2" s="52" t="inlineStr">
        <is>
          <t>Jumbo</t>
        </is>
      </c>
      <c r="C2" s="52" t="inlineStr">
        <is>
          <t>Jumbo La Reina</t>
        </is>
      </c>
      <c r="D2" s="52" t="inlineStr">
        <is>
          <t>NUVA-BAR-PB-U-01</t>
        </is>
      </c>
      <c r="E2" s="58">
        <f>IFERROR(VLOOKUP(D2,Maestro_SKU!$A$2:$P$500,2,FALSE),"")</f>
        <v/>
      </c>
      <c r="F2" s="59" t="n">
        <v>2</v>
      </c>
      <c r="G2" s="60" t="n">
        <v>35940</v>
      </c>
      <c r="H2" s="59" t="n">
        <v>16</v>
      </c>
      <c r="I2" s="52" t="inlineStr">
        <is>
          <t>Ejemplo exportación Cencosud</t>
        </is>
      </c>
      <c r="J2" s="52" t="n"/>
      <c r="K2" s="68">
        <f>IF($A2="","",YEAR($A2))</f>
        <v/>
      </c>
      <c r="L2" s="68">
        <f>IF($A2="","",MONTH($A2))</f>
        <v/>
      </c>
      <c r="M2" s="68">
        <f>IF($A2="","",DAY($A2))</f>
        <v/>
      </c>
      <c r="N2" s="68">
        <f>IF($A2="","",YEAR($A2)&amp;"-"&amp;TEXT(MONTH($A2),"00"))</f>
        <v/>
      </c>
    </row>
    <row r="3" ht="20" customHeight="1" s="36">
      <c r="A3" s="53" t="n">
        <v>46209</v>
      </c>
      <c r="B3" s="52" t="inlineStr">
        <is>
          <t>Jumbo</t>
        </is>
      </c>
      <c r="C3" s="52" t="inlineStr">
        <is>
          <t>Jumbo La Reina</t>
        </is>
      </c>
      <c r="D3" s="52" t="inlineStr">
        <is>
          <t>NUVA-BAR-BM-BX-04</t>
        </is>
      </c>
      <c r="E3" s="58">
        <f>IFERROR(VLOOKUP(D3,Maestro_SKU!$A$2:$P$500,2,FALSE),"")</f>
        <v/>
      </c>
      <c r="F3" s="59" t="n">
        <v>12</v>
      </c>
      <c r="G3" s="60" t="n">
        <v>11980</v>
      </c>
      <c r="H3" s="59" t="n">
        <v>8</v>
      </c>
      <c r="I3" s="52" t="inlineStr">
        <is>
          <t>Ejemplo exportación Cencosud</t>
        </is>
      </c>
      <c r="J3" s="52" t="n"/>
      <c r="K3" s="68">
        <f>IF($A3="","",YEAR($A3))</f>
        <v/>
      </c>
      <c r="L3" s="68">
        <f>IF($A3="","",MONTH($A3))</f>
        <v/>
      </c>
      <c r="M3" s="68">
        <f>IF($A3="","",DAY($A3))</f>
        <v/>
      </c>
      <c r="N3" s="68">
        <f>IF($A3="","",YEAR($A3)&amp;"-"&amp;TEXT(MONTH($A3),"00"))</f>
        <v/>
      </c>
    </row>
    <row r="4" ht="20" customHeight="1" s="36">
      <c r="A4" s="53" t="n">
        <v>46201</v>
      </c>
      <c r="B4" s="52" t="inlineStr">
        <is>
          <t>Jumbo</t>
        </is>
      </c>
      <c r="C4" s="52" t="inlineStr">
        <is>
          <t>Jumbo Bilbao</t>
        </is>
      </c>
      <c r="D4" s="52" t="inlineStr">
        <is>
          <t>NUVA-BAR-PB-U-01</t>
        </is>
      </c>
      <c r="E4" s="58">
        <f>IFERROR(VLOOKUP(D4,Maestro_SKU!$A$2:$P$500,2,FALSE),"")</f>
        <v/>
      </c>
      <c r="F4" s="59" t="n">
        <v>12</v>
      </c>
      <c r="G4" s="60" t="n">
        <v>35940</v>
      </c>
      <c r="H4" s="59" t="n">
        <v>32</v>
      </c>
      <c r="I4" s="52" t="inlineStr">
        <is>
          <t>Ejemplo exportación Cencosud</t>
        </is>
      </c>
      <c r="J4" s="52" t="n"/>
      <c r="K4" s="68">
        <f>IF($A4="","",YEAR($A4))</f>
        <v/>
      </c>
      <c r="L4" s="68">
        <f>IF($A4="","",MONTH($A4))</f>
        <v/>
      </c>
      <c r="M4" s="68">
        <f>IF($A4="","",DAY($A4))</f>
        <v/>
      </c>
      <c r="N4" s="68">
        <f>IF($A4="","",YEAR($A4)&amp;"-"&amp;TEXT(MONTH($A4),"00"))</f>
        <v/>
      </c>
    </row>
    <row r="5" ht="20" customHeight="1" s="36">
      <c r="A5" s="53" t="n">
        <v>46212</v>
      </c>
      <c r="B5" s="52" t="inlineStr">
        <is>
          <t>Jumbo</t>
        </is>
      </c>
      <c r="C5" s="52" t="inlineStr">
        <is>
          <t>Jumbo Bilbao</t>
        </is>
      </c>
      <c r="D5" s="52" t="inlineStr">
        <is>
          <t>NUVA-BAR-BM-BX-04</t>
        </is>
      </c>
      <c r="E5" s="58">
        <f>IFERROR(VLOOKUP(D5,Maestro_SKU!$A$2:$P$500,2,FALSE),"")</f>
        <v/>
      </c>
      <c r="F5" s="59" t="n">
        <v>2</v>
      </c>
      <c r="G5" s="60" t="n">
        <v>5990</v>
      </c>
      <c r="H5" s="59" t="n">
        <v>16</v>
      </c>
      <c r="I5" s="52" t="inlineStr">
        <is>
          <t>Ejemplo exportación Cencosud</t>
        </is>
      </c>
      <c r="J5" s="52" t="n"/>
      <c r="K5" s="68">
        <f>IF($A5="","",YEAR($A5))</f>
        <v/>
      </c>
      <c r="L5" s="68">
        <f>IF($A5="","",MONTH($A5))</f>
        <v/>
      </c>
      <c r="M5" s="68">
        <f>IF($A5="","",DAY($A5))</f>
        <v/>
      </c>
      <c r="N5" s="68">
        <f>IF($A5="","",YEAR($A5)&amp;"-"&amp;TEXT(MONTH($A5),"00"))</f>
        <v/>
      </c>
    </row>
    <row r="6" ht="20" customHeight="1" s="36">
      <c r="A6" s="53" t="n">
        <v>46202</v>
      </c>
      <c r="B6" s="52" t="inlineStr">
        <is>
          <t>Jumbo</t>
        </is>
      </c>
      <c r="C6" s="52" t="inlineStr">
        <is>
          <t>Jumbo Bilbao</t>
        </is>
      </c>
      <c r="D6" s="52" t="inlineStr">
        <is>
          <t>NUVA-BAR-CC-BX-04</t>
        </is>
      </c>
      <c r="E6" s="58">
        <f>IFERROR(VLOOKUP(D6,Maestro_SKU!$A$2:$P$500,2,FALSE),"")</f>
        <v/>
      </c>
      <c r="F6" s="59" t="n">
        <v>2</v>
      </c>
      <c r="G6" s="60" t="n">
        <v>17970</v>
      </c>
      <c r="H6" s="59" t="n">
        <v>8</v>
      </c>
      <c r="I6" s="52" t="inlineStr">
        <is>
          <t>Ejemplo exportación Cencosud</t>
        </is>
      </c>
      <c r="J6" s="52" t="n"/>
      <c r="K6" s="68">
        <f>IF($A6="","",YEAR($A6))</f>
        <v/>
      </c>
      <c r="L6" s="68">
        <f>IF($A6="","",MONTH($A6))</f>
        <v/>
      </c>
      <c r="M6" s="68">
        <f>IF($A6="","",DAY($A6))</f>
        <v/>
      </c>
      <c r="N6" s="68">
        <f>IF($A6="","",YEAR($A6)&amp;"-"&amp;TEXT(MONTH($A6),"00"))</f>
        <v/>
      </c>
    </row>
    <row r="7" ht="20" customHeight="1" s="36">
      <c r="A7" s="53" t="n">
        <v>46192</v>
      </c>
      <c r="B7" s="52" t="inlineStr">
        <is>
          <t>Jumbo</t>
        </is>
      </c>
      <c r="C7" s="52" t="inlineStr">
        <is>
          <t>Jumbo Kennedy</t>
        </is>
      </c>
      <c r="D7" s="52" t="inlineStr">
        <is>
          <t>NUVA-BAR-PB-U-01</t>
        </is>
      </c>
      <c r="E7" s="58">
        <f>IFERROR(VLOOKUP(D7,Maestro_SKU!$A$2:$P$500,2,FALSE),"")</f>
        <v/>
      </c>
      <c r="F7" s="59" t="n">
        <v>2</v>
      </c>
      <c r="G7" s="60" t="n">
        <v>11980</v>
      </c>
      <c r="H7" s="59" t="n">
        <v>4</v>
      </c>
      <c r="I7" s="52" t="inlineStr">
        <is>
          <t>Ejemplo exportación Cencosud</t>
        </is>
      </c>
      <c r="J7" s="52" t="n"/>
      <c r="K7" s="68">
        <f>IF($A7="","",YEAR($A7))</f>
        <v/>
      </c>
      <c r="L7" s="68">
        <f>IF($A7="","",MONTH($A7))</f>
        <v/>
      </c>
      <c r="M7" s="68">
        <f>IF($A7="","",DAY($A7))</f>
        <v/>
      </c>
      <c r="N7" s="68">
        <f>IF($A7="","",YEAR($A7)&amp;"-"&amp;TEXT(MONTH($A7),"00"))</f>
        <v/>
      </c>
    </row>
    <row r="8" ht="20" customHeight="1" s="36">
      <c r="A8" s="53" t="n">
        <v>46203</v>
      </c>
      <c r="B8" s="52" t="inlineStr">
        <is>
          <t>Jumbo</t>
        </is>
      </c>
      <c r="C8" s="52" t="inlineStr">
        <is>
          <t>Jumbo Bilbao</t>
        </is>
      </c>
      <c r="D8" s="52" t="inlineStr">
        <is>
          <t>NUVA-BAR-PB-U-01</t>
        </is>
      </c>
      <c r="E8" s="58">
        <f>IFERROR(VLOOKUP(D8,Maestro_SKU!$A$2:$P$500,2,FALSE),"")</f>
        <v/>
      </c>
      <c r="F8" s="59" t="n">
        <v>4</v>
      </c>
      <c r="G8" s="60" t="n">
        <v>23960</v>
      </c>
      <c r="H8" s="59" t="n">
        <v>32</v>
      </c>
      <c r="I8" s="52" t="inlineStr">
        <is>
          <t>Ejemplo exportación Cencosud</t>
        </is>
      </c>
      <c r="J8" s="52" t="n"/>
      <c r="K8" s="68">
        <f>IF($A8="","",YEAR($A8))</f>
        <v/>
      </c>
      <c r="L8" s="68">
        <f>IF($A8="","",MONTH($A8))</f>
        <v/>
      </c>
      <c r="M8" s="68">
        <f>IF($A8="","",DAY($A8))</f>
        <v/>
      </c>
      <c r="N8" s="68">
        <f>IF($A8="","",YEAR($A8)&amp;"-"&amp;TEXT(MONTH($A8),"00"))</f>
        <v/>
      </c>
    </row>
    <row r="9" ht="20" customHeight="1" s="36">
      <c r="A9" s="53" t="n">
        <v>46195</v>
      </c>
      <c r="B9" s="52" t="inlineStr">
        <is>
          <t>Jumbo</t>
        </is>
      </c>
      <c r="C9" s="52" t="inlineStr">
        <is>
          <t>Jumbo La Reina</t>
        </is>
      </c>
      <c r="D9" s="52" t="inlineStr">
        <is>
          <t>NUVA-BAR-PB-BX-04</t>
        </is>
      </c>
      <c r="E9" s="58">
        <f>IFERROR(VLOOKUP(D9,Maestro_SKU!$A$2:$P$500,2,FALSE),"")</f>
        <v/>
      </c>
      <c r="F9" s="59" t="n">
        <v>8</v>
      </c>
      <c r="G9" s="60" t="n">
        <v>35940</v>
      </c>
      <c r="H9" s="59" t="n">
        <v>0</v>
      </c>
      <c r="I9" s="52" t="inlineStr">
        <is>
          <t>Ejemplo exportación Cencosud</t>
        </is>
      </c>
      <c r="J9" s="52" t="n"/>
      <c r="K9" s="68">
        <f>IF($A9="","",YEAR($A9))</f>
        <v/>
      </c>
      <c r="L9" s="68">
        <f>IF($A9="","",MONTH($A9))</f>
        <v/>
      </c>
      <c r="M9" s="68">
        <f>IF($A9="","",DAY($A9))</f>
        <v/>
      </c>
      <c r="N9" s="68">
        <f>IF($A9="","",YEAR($A9)&amp;"-"&amp;TEXT(MONTH($A9),"00"))</f>
        <v/>
      </c>
    </row>
    <row r="10" ht="20" customHeight="1" s="36">
      <c r="A10" s="53" t="n">
        <v>46208</v>
      </c>
      <c r="B10" s="52" t="inlineStr">
        <is>
          <t>Jumbo</t>
        </is>
      </c>
      <c r="C10" s="52" t="inlineStr">
        <is>
          <t>Jumbo Bilbao</t>
        </is>
      </c>
      <c r="D10" s="52" t="inlineStr">
        <is>
          <t>NUVA-BAR-BM-U-01</t>
        </is>
      </c>
      <c r="E10" s="58">
        <f>IFERROR(VLOOKUP(D10,Maestro_SKU!$A$2:$P$500,2,FALSE),"")</f>
        <v/>
      </c>
      <c r="F10" s="59" t="n">
        <v>2</v>
      </c>
      <c r="G10" s="60" t="n">
        <v>5990</v>
      </c>
      <c r="H10" s="59" t="n">
        <v>4</v>
      </c>
      <c r="I10" s="52" t="inlineStr">
        <is>
          <t>Ejemplo exportación Cencosud</t>
        </is>
      </c>
      <c r="J10" s="52" t="n"/>
      <c r="K10" s="68">
        <f>IF($A10="","",YEAR($A10))</f>
        <v/>
      </c>
      <c r="L10" s="68">
        <f>IF($A10="","",MONTH($A10))</f>
        <v/>
      </c>
      <c r="M10" s="68">
        <f>IF($A10="","",DAY($A10))</f>
        <v/>
      </c>
      <c r="N10" s="68">
        <f>IF($A10="","",YEAR($A10)&amp;"-"&amp;TEXT(MONTH($A10),"00"))</f>
        <v/>
      </c>
    </row>
    <row r="11" ht="20" customHeight="1" s="36">
      <c r="A11" s="53" t="n">
        <v>46209</v>
      </c>
      <c r="B11" s="52" t="inlineStr">
        <is>
          <t>Jumbo</t>
        </is>
      </c>
      <c r="C11" s="52" t="inlineStr">
        <is>
          <t>Jumbo La Reina</t>
        </is>
      </c>
      <c r="D11" s="52" t="inlineStr">
        <is>
          <t>NUVA-BAR-BM-BX-04</t>
        </is>
      </c>
      <c r="E11" s="58">
        <f>IFERROR(VLOOKUP(D11,Maestro_SKU!$A$2:$P$500,2,FALSE),"")</f>
        <v/>
      </c>
      <c r="F11" s="59" t="n">
        <v>2</v>
      </c>
      <c r="G11" s="60" t="n">
        <v>5990</v>
      </c>
      <c r="H11" s="59" t="n">
        <v>16</v>
      </c>
      <c r="I11" s="52" t="inlineStr">
        <is>
          <t>Ejemplo exportación Cencosud</t>
        </is>
      </c>
      <c r="J11" s="52" t="n"/>
      <c r="K11" s="68">
        <f>IF($A11="","",YEAR($A11))</f>
        <v/>
      </c>
      <c r="L11" s="68">
        <f>IF($A11="","",MONTH($A11))</f>
        <v/>
      </c>
      <c r="M11" s="68">
        <f>IF($A11="","",DAY($A11))</f>
        <v/>
      </c>
      <c r="N11" s="68">
        <f>IF($A11="","",YEAR($A11)&amp;"-"&amp;TEXT(MONTH($A11),"00"))</f>
        <v/>
      </c>
    </row>
    <row r="12" ht="20" customHeight="1" s="36">
      <c r="A12" s="53" t="n">
        <v>46189</v>
      </c>
      <c r="B12" s="52" t="inlineStr">
        <is>
          <t>Jumbo</t>
        </is>
      </c>
      <c r="C12" s="52" t="inlineStr">
        <is>
          <t>Jumbo La Reina</t>
        </is>
      </c>
      <c r="D12" s="52" t="inlineStr">
        <is>
          <t>NUVA-BAR-PB-U-01</t>
        </is>
      </c>
      <c r="E12" s="58">
        <f>IFERROR(VLOOKUP(D12,Maestro_SKU!$A$2:$P$500,2,FALSE),"")</f>
        <v/>
      </c>
      <c r="F12" s="59" t="n">
        <v>12</v>
      </c>
      <c r="G12" s="60" t="n">
        <v>23960</v>
      </c>
      <c r="H12" s="59" t="n">
        <v>0</v>
      </c>
      <c r="I12" s="52" t="inlineStr">
        <is>
          <t>Ejemplo exportación Cencosud</t>
        </is>
      </c>
      <c r="J12" s="52" t="n"/>
      <c r="K12" s="68">
        <f>IF($A12="","",YEAR($A12))</f>
        <v/>
      </c>
      <c r="L12" s="68">
        <f>IF($A12="","",MONTH($A12))</f>
        <v/>
      </c>
      <c r="M12" s="68">
        <f>IF($A12="","",DAY($A12))</f>
        <v/>
      </c>
      <c r="N12" s="68">
        <f>IF($A12="","",YEAR($A12)&amp;"-"&amp;TEXT(MONTH($A12),"00"))</f>
        <v/>
      </c>
    </row>
    <row r="13" ht="20" customHeight="1" s="36">
      <c r="A13" s="53" t="n">
        <v>46195</v>
      </c>
      <c r="B13" s="52" t="inlineStr">
        <is>
          <t>Jumbo</t>
        </is>
      </c>
      <c r="C13" s="52" t="inlineStr">
        <is>
          <t>Jumbo Bilbao</t>
        </is>
      </c>
      <c r="D13" s="52" t="inlineStr">
        <is>
          <t>NUVA-BAR-BM-U-01</t>
        </is>
      </c>
      <c r="E13" s="58">
        <f>IFERROR(VLOOKUP(D13,Maestro_SKU!$A$2:$P$500,2,FALSE),"")</f>
        <v/>
      </c>
      <c r="F13" s="59" t="n">
        <v>15</v>
      </c>
      <c r="G13" s="60" t="n">
        <v>23960</v>
      </c>
      <c r="H13" s="59" t="n">
        <v>32</v>
      </c>
      <c r="I13" s="52" t="inlineStr">
        <is>
          <t>Ejemplo exportación Cencosud</t>
        </is>
      </c>
      <c r="J13" s="52" t="n"/>
      <c r="K13" s="68">
        <f>IF($A13="","",YEAR($A13))</f>
        <v/>
      </c>
      <c r="L13" s="68">
        <f>IF($A13="","",MONTH($A13))</f>
        <v/>
      </c>
      <c r="M13" s="68">
        <f>IF($A13="","",DAY($A13))</f>
        <v/>
      </c>
      <c r="N13" s="68">
        <f>IF($A13="","",YEAR($A13)&amp;"-"&amp;TEXT(MONTH($A13),"00"))</f>
        <v/>
      </c>
    </row>
    <row r="14" ht="20" customHeight="1" s="36">
      <c r="A14" s="53" t="n">
        <v>46198</v>
      </c>
      <c r="B14" s="52" t="inlineStr">
        <is>
          <t>Jumbo</t>
        </is>
      </c>
      <c r="C14" s="52" t="inlineStr">
        <is>
          <t>Jumbo Kennedy</t>
        </is>
      </c>
      <c r="D14" s="52" t="inlineStr">
        <is>
          <t>NUVA-BAR-CC-U-01</t>
        </is>
      </c>
      <c r="E14" s="58">
        <f>IFERROR(VLOOKUP(D14,Maestro_SKU!$A$2:$P$500,2,FALSE),"")</f>
        <v/>
      </c>
      <c r="F14" s="59" t="n">
        <v>4</v>
      </c>
      <c r="G14" s="60" t="n">
        <v>5990</v>
      </c>
      <c r="H14" s="59" t="n">
        <v>16</v>
      </c>
      <c r="I14" s="52" t="inlineStr">
        <is>
          <t>Ejemplo exportación Cencosud</t>
        </is>
      </c>
      <c r="J14" s="52" t="n"/>
      <c r="K14" s="68">
        <f>IF($A14="","",YEAR($A14))</f>
        <v/>
      </c>
      <c r="L14" s="68">
        <f>IF($A14="","",MONTH($A14))</f>
        <v/>
      </c>
      <c r="M14" s="68">
        <f>IF($A14="","",DAY($A14))</f>
        <v/>
      </c>
      <c r="N14" s="68">
        <f>IF($A14="","",YEAR($A14)&amp;"-"&amp;TEXT(MONTH($A14),"00"))</f>
        <v/>
      </c>
    </row>
    <row r="15" ht="20" customHeight="1" s="36">
      <c r="A15" s="53" t="n">
        <v>46192</v>
      </c>
      <c r="B15" s="52" t="inlineStr">
        <is>
          <t>Jumbo</t>
        </is>
      </c>
      <c r="C15" s="52" t="inlineStr">
        <is>
          <t>Jumbo Kennedy</t>
        </is>
      </c>
      <c r="D15" s="52" t="inlineStr">
        <is>
          <t>NUVA-BAR-BM-BX-04</t>
        </is>
      </c>
      <c r="E15" s="58">
        <f>IFERROR(VLOOKUP(D15,Maestro_SKU!$A$2:$P$500,2,FALSE),"")</f>
        <v/>
      </c>
      <c r="F15" s="59" t="n">
        <v>15</v>
      </c>
      <c r="G15" s="60" t="n">
        <v>17970</v>
      </c>
      <c r="H15" s="59" t="n">
        <v>0</v>
      </c>
      <c r="I15" s="52" t="inlineStr">
        <is>
          <t>Ejemplo exportación Cencosud</t>
        </is>
      </c>
      <c r="J15" s="52" t="n"/>
      <c r="K15" s="68">
        <f>IF($A15="","",YEAR($A15))</f>
        <v/>
      </c>
      <c r="L15" s="68">
        <f>IF($A15="","",MONTH($A15))</f>
        <v/>
      </c>
      <c r="M15" s="68">
        <f>IF($A15="","",DAY($A15))</f>
        <v/>
      </c>
      <c r="N15" s="68">
        <f>IF($A15="","",YEAR($A15)&amp;"-"&amp;TEXT(MONTH($A15),"00"))</f>
        <v/>
      </c>
    </row>
    <row r="16" ht="20" customHeight="1" s="36">
      <c r="A16" s="53" t="n">
        <v>46208</v>
      </c>
      <c r="B16" s="52" t="inlineStr">
        <is>
          <t>Jumbo</t>
        </is>
      </c>
      <c r="C16" s="52" t="inlineStr">
        <is>
          <t>Jumbo Kennedy</t>
        </is>
      </c>
      <c r="D16" s="52" t="inlineStr">
        <is>
          <t>NUVA-BAR-CC-U-01</t>
        </is>
      </c>
      <c r="E16" s="58">
        <f>IFERROR(VLOOKUP(D16,Maestro_SKU!$A$2:$P$500,2,FALSE),"")</f>
        <v/>
      </c>
      <c r="F16" s="59" t="n">
        <v>4</v>
      </c>
      <c r="G16" s="60" t="n">
        <v>5990</v>
      </c>
      <c r="H16" s="59" t="n">
        <v>16</v>
      </c>
      <c r="I16" s="52" t="inlineStr">
        <is>
          <t>Ejemplo exportación Cencosud</t>
        </is>
      </c>
      <c r="J16" s="52" t="n"/>
      <c r="K16" s="68">
        <f>IF($A16="","",YEAR($A16))</f>
        <v/>
      </c>
      <c r="L16" s="68">
        <f>IF($A16="","",MONTH($A16))</f>
        <v/>
      </c>
      <c r="M16" s="68">
        <f>IF($A16="","",DAY($A16))</f>
        <v/>
      </c>
      <c r="N16" s="68">
        <f>IF($A16="","",YEAR($A16)&amp;"-"&amp;TEXT(MONTH($A16),"00"))</f>
        <v/>
      </c>
    </row>
    <row r="17" ht="20" customHeight="1" s="36">
      <c r="A17" s="53" t="n">
        <v>46212</v>
      </c>
      <c r="B17" s="52" t="inlineStr">
        <is>
          <t>Jumbo</t>
        </is>
      </c>
      <c r="C17" s="52" t="inlineStr">
        <is>
          <t>Jumbo Bilbao</t>
        </is>
      </c>
      <c r="D17" s="52" t="inlineStr">
        <is>
          <t>NUVA-BAR-CC-U-01</t>
        </is>
      </c>
      <c r="E17" s="58">
        <f>IFERROR(VLOOKUP(D17,Maestro_SKU!$A$2:$P$500,2,FALSE),"")</f>
        <v/>
      </c>
      <c r="F17" s="59" t="n">
        <v>2</v>
      </c>
      <c r="G17" s="60" t="n">
        <v>35940</v>
      </c>
      <c r="H17" s="59" t="n">
        <v>8</v>
      </c>
      <c r="I17" s="52" t="inlineStr">
        <is>
          <t>Ejemplo exportación Cencosud</t>
        </is>
      </c>
      <c r="J17" s="52" t="n"/>
      <c r="K17" s="68">
        <f>IF($A17="","",YEAR($A17))</f>
        <v/>
      </c>
      <c r="L17" s="68">
        <f>IF($A17="","",MONTH($A17))</f>
        <v/>
      </c>
      <c r="M17" s="68">
        <f>IF($A17="","",DAY($A17))</f>
        <v/>
      </c>
      <c r="N17" s="68">
        <f>IF($A17="","",YEAR($A17)&amp;"-"&amp;TEXT(MONTH($A17),"00"))</f>
        <v/>
      </c>
    </row>
    <row r="18" ht="20" customHeight="1" s="36">
      <c r="A18" s="53" t="n">
        <v>46208</v>
      </c>
      <c r="B18" s="52" t="inlineStr">
        <is>
          <t>Jumbo</t>
        </is>
      </c>
      <c r="C18" s="52" t="inlineStr">
        <is>
          <t>Jumbo Bilbao</t>
        </is>
      </c>
      <c r="D18" s="52" t="inlineStr">
        <is>
          <t>NUVA-BAR-PB-BX-04</t>
        </is>
      </c>
      <c r="E18" s="58">
        <f>IFERROR(VLOOKUP(D18,Maestro_SKU!$A$2:$P$500,2,FALSE),"")</f>
        <v/>
      </c>
      <c r="F18" s="59" t="n">
        <v>2</v>
      </c>
      <c r="G18" s="60" t="n">
        <v>17970</v>
      </c>
      <c r="H18" s="59" t="n">
        <v>32</v>
      </c>
      <c r="I18" s="52" t="inlineStr">
        <is>
          <t>Ejemplo exportación Cencosud</t>
        </is>
      </c>
      <c r="J18" s="52" t="n"/>
      <c r="K18" s="68">
        <f>IF($A18="","",YEAR($A18))</f>
        <v/>
      </c>
      <c r="L18" s="68">
        <f>IF($A18="","",MONTH($A18))</f>
        <v/>
      </c>
      <c r="M18" s="68">
        <f>IF($A18="","",DAY($A18))</f>
        <v/>
      </c>
      <c r="N18" s="68">
        <f>IF($A18="","",YEAR($A18)&amp;"-"&amp;TEXT(MONTH($A18),"00"))</f>
        <v/>
      </c>
    </row>
    <row r="19" ht="20" customHeight="1" s="36">
      <c r="A19" s="53" t="n">
        <v>46187</v>
      </c>
      <c r="B19" s="52" t="inlineStr">
        <is>
          <t>Jumbo</t>
        </is>
      </c>
      <c r="C19" s="52" t="inlineStr">
        <is>
          <t>Jumbo Kennedy</t>
        </is>
      </c>
      <c r="D19" s="52" t="inlineStr">
        <is>
          <t>NUVA-BAR-BM-U-01</t>
        </is>
      </c>
      <c r="E19" s="58">
        <f>IFERROR(VLOOKUP(D19,Maestro_SKU!$A$2:$P$500,2,FALSE),"")</f>
        <v/>
      </c>
      <c r="F19" s="59" t="n">
        <v>12</v>
      </c>
      <c r="G19" s="60" t="n">
        <v>17970</v>
      </c>
      <c r="H19" s="59" t="n">
        <v>32</v>
      </c>
      <c r="I19" s="52" t="inlineStr">
        <is>
          <t>Ejemplo exportación Cencosud</t>
        </is>
      </c>
      <c r="J19" s="52" t="n"/>
      <c r="K19" s="68">
        <f>IF($A19="","",YEAR($A19))</f>
        <v/>
      </c>
      <c r="L19" s="68">
        <f>IF($A19="","",MONTH($A19))</f>
        <v/>
      </c>
      <c r="M19" s="68">
        <f>IF($A19="","",DAY($A19))</f>
        <v/>
      </c>
      <c r="N19" s="68">
        <f>IF($A19="","",YEAR($A19)&amp;"-"&amp;TEXT(MONTH($A19),"00"))</f>
        <v/>
      </c>
    </row>
    <row r="20" ht="20" customHeight="1" s="36">
      <c r="A20" s="53" t="n"/>
      <c r="B20" s="52" t="n"/>
      <c r="C20" s="52" t="n"/>
      <c r="D20" s="52" t="n"/>
      <c r="E20" s="58">
        <f>IFERROR(VLOOKUP(D20,Maestro_SKU!$A$2:$P$500,2,FALSE),"")</f>
        <v/>
      </c>
      <c r="F20" s="52" t="n"/>
      <c r="G20" s="60" t="n"/>
      <c r="H20" s="52" t="n"/>
      <c r="I20" s="52" t="n"/>
      <c r="J20" s="52" t="n"/>
      <c r="K20" s="68">
        <f>IF($A20="","",YEAR($A20))</f>
        <v/>
      </c>
      <c r="L20" s="68">
        <f>IF($A20="","",MONTH($A20))</f>
        <v/>
      </c>
      <c r="M20" s="68">
        <f>IF($A20="","",DAY($A20))</f>
        <v/>
      </c>
      <c r="N20" s="68">
        <f>IF($A20="","",YEAR($A20)&amp;"-"&amp;TEXT(MONTH($A20),"00"))</f>
        <v/>
      </c>
    </row>
    <row r="21" ht="20" customHeight="1" s="36">
      <c r="A21" s="53" t="n"/>
      <c r="B21" s="52" t="n"/>
      <c r="C21" s="52" t="n"/>
      <c r="D21" s="52" t="n"/>
      <c r="E21" s="58">
        <f>IFERROR(VLOOKUP(D21,Maestro_SKU!$A$2:$P$500,2,FALSE),"")</f>
        <v/>
      </c>
      <c r="F21" s="52" t="n"/>
      <c r="G21" s="60" t="n"/>
      <c r="H21" s="52" t="n"/>
      <c r="I21" s="52" t="n"/>
      <c r="J21" s="52" t="n"/>
      <c r="K21" s="68">
        <f>IF($A21="","",YEAR($A21))</f>
        <v/>
      </c>
      <c r="L21" s="68">
        <f>IF($A21="","",MONTH($A21))</f>
        <v/>
      </c>
      <c r="M21" s="68">
        <f>IF($A21="","",DAY($A21))</f>
        <v/>
      </c>
      <c r="N21" s="68">
        <f>IF($A21="","",YEAR($A21)&amp;"-"&amp;TEXT(MONTH($A21),"00"))</f>
        <v/>
      </c>
    </row>
    <row r="22" ht="20" customHeight="1" s="36">
      <c r="A22" s="53" t="n"/>
      <c r="B22" s="52" t="n"/>
      <c r="C22" s="52" t="n"/>
      <c r="D22" s="52" t="n"/>
      <c r="E22" s="58">
        <f>IFERROR(VLOOKUP(D22,Maestro_SKU!$A$2:$P$500,2,FALSE),"")</f>
        <v/>
      </c>
      <c r="F22" s="52" t="n"/>
      <c r="G22" s="60" t="n"/>
      <c r="H22" s="52" t="n"/>
      <c r="I22" s="52" t="n"/>
      <c r="J22" s="52" t="n"/>
      <c r="K22" s="68">
        <f>IF($A22="","",YEAR($A22))</f>
        <v/>
      </c>
      <c r="L22" s="68">
        <f>IF($A22="","",MONTH($A22))</f>
        <v/>
      </c>
      <c r="M22" s="68">
        <f>IF($A22="","",DAY($A22))</f>
        <v/>
      </c>
      <c r="N22" s="68">
        <f>IF($A22="","",YEAR($A22)&amp;"-"&amp;TEXT(MONTH($A22),"00"))</f>
        <v/>
      </c>
    </row>
    <row r="23" ht="20" customHeight="1" s="36">
      <c r="A23" s="53" t="n"/>
      <c r="B23" s="52" t="n"/>
      <c r="C23" s="52" t="n"/>
      <c r="D23" s="52" t="n"/>
      <c r="E23" s="58">
        <f>IFERROR(VLOOKUP(D23,Maestro_SKU!$A$2:$P$500,2,FALSE),"")</f>
        <v/>
      </c>
      <c r="F23" s="52" t="n"/>
      <c r="G23" s="60" t="n"/>
      <c r="H23" s="52" t="n"/>
      <c r="I23" s="52" t="n"/>
      <c r="J23" s="52" t="n"/>
      <c r="K23" s="68">
        <f>IF($A23="","",YEAR($A23))</f>
        <v/>
      </c>
      <c r="L23" s="68">
        <f>IF($A23="","",MONTH($A23))</f>
        <v/>
      </c>
      <c r="M23" s="68">
        <f>IF($A23="","",DAY($A23))</f>
        <v/>
      </c>
      <c r="N23" s="68">
        <f>IF($A23="","",YEAR($A23)&amp;"-"&amp;TEXT(MONTH($A23),"00"))</f>
        <v/>
      </c>
    </row>
    <row r="24" ht="20" customHeight="1" s="36">
      <c r="A24" s="53" t="n"/>
      <c r="B24" s="52" t="n"/>
      <c r="C24" s="52" t="n"/>
      <c r="D24" s="52" t="n"/>
      <c r="E24" s="58">
        <f>IFERROR(VLOOKUP(D24,Maestro_SKU!$A$2:$P$500,2,FALSE),"")</f>
        <v/>
      </c>
      <c r="F24" s="52" t="n"/>
      <c r="G24" s="60" t="n"/>
      <c r="H24" s="52" t="n"/>
      <c r="I24" s="52" t="n"/>
      <c r="J24" s="52" t="n"/>
      <c r="K24" s="68">
        <f>IF($A24="","",YEAR($A24))</f>
        <v/>
      </c>
      <c r="L24" s="68">
        <f>IF($A24="","",MONTH($A24))</f>
        <v/>
      </c>
      <c r="M24" s="68">
        <f>IF($A24="","",DAY($A24))</f>
        <v/>
      </c>
      <c r="N24" s="68">
        <f>IF($A24="","",YEAR($A24)&amp;"-"&amp;TEXT(MONTH($A24),"00"))</f>
        <v/>
      </c>
    </row>
    <row r="25" ht="20" customHeight="1" s="36">
      <c r="A25" s="53" t="n"/>
      <c r="B25" s="52" t="n"/>
      <c r="C25" s="52" t="n"/>
      <c r="D25" s="52" t="n"/>
      <c r="E25" s="58">
        <f>IFERROR(VLOOKUP(D25,Maestro_SKU!$A$2:$P$500,2,FALSE),"")</f>
        <v/>
      </c>
      <c r="F25" s="52" t="n"/>
      <c r="G25" s="60" t="n"/>
      <c r="H25" s="52" t="n"/>
      <c r="I25" s="52" t="n"/>
      <c r="J25" s="52" t="n"/>
      <c r="K25" s="68">
        <f>IF($A25="","",YEAR($A25))</f>
        <v/>
      </c>
      <c r="L25" s="68">
        <f>IF($A25="","",MONTH($A25))</f>
        <v/>
      </c>
      <c r="M25" s="68">
        <f>IF($A25="","",DAY($A25))</f>
        <v/>
      </c>
      <c r="N25" s="68">
        <f>IF($A25="","",YEAR($A25)&amp;"-"&amp;TEXT(MONTH($A25),"00"))</f>
        <v/>
      </c>
    </row>
    <row r="26" ht="20" customHeight="1" s="36">
      <c r="A26" s="53" t="n"/>
      <c r="B26" s="52" t="n"/>
      <c r="C26" s="52" t="n"/>
      <c r="D26" s="52" t="n"/>
      <c r="E26" s="58">
        <f>IFERROR(VLOOKUP(D26,Maestro_SKU!$A$2:$P$500,2,FALSE),"")</f>
        <v/>
      </c>
      <c r="F26" s="52" t="n"/>
      <c r="G26" s="60" t="n"/>
      <c r="H26" s="52" t="n"/>
      <c r="I26" s="52" t="n"/>
      <c r="J26" s="52" t="n"/>
      <c r="K26" s="68">
        <f>IF($A26="","",YEAR($A26))</f>
        <v/>
      </c>
      <c r="L26" s="68">
        <f>IF($A26="","",MONTH($A26))</f>
        <v/>
      </c>
      <c r="M26" s="68">
        <f>IF($A26="","",DAY($A26))</f>
        <v/>
      </c>
      <c r="N26" s="68">
        <f>IF($A26="","",YEAR($A26)&amp;"-"&amp;TEXT(MONTH($A26),"00"))</f>
        <v/>
      </c>
    </row>
    <row r="27" ht="20" customHeight="1" s="36">
      <c r="A27" s="53" t="n"/>
      <c r="B27" s="52" t="n"/>
      <c r="C27" s="52" t="n"/>
      <c r="D27" s="52" t="n"/>
      <c r="E27" s="58">
        <f>IFERROR(VLOOKUP(D27,Maestro_SKU!$A$2:$P$500,2,FALSE),"")</f>
        <v/>
      </c>
      <c r="F27" s="52" t="n"/>
      <c r="G27" s="60" t="n"/>
      <c r="H27" s="52" t="n"/>
      <c r="I27" s="52" t="n"/>
      <c r="J27" s="52" t="n"/>
      <c r="K27" s="68">
        <f>IF($A27="","",YEAR($A27))</f>
        <v/>
      </c>
      <c r="L27" s="68">
        <f>IF($A27="","",MONTH($A27))</f>
        <v/>
      </c>
      <c r="M27" s="68">
        <f>IF($A27="","",DAY($A27))</f>
        <v/>
      </c>
      <c r="N27" s="68">
        <f>IF($A27="","",YEAR($A27)&amp;"-"&amp;TEXT(MONTH($A27),"00"))</f>
        <v/>
      </c>
    </row>
    <row r="28" ht="20" customHeight="1" s="36">
      <c r="A28" s="53" t="n"/>
      <c r="B28" s="52" t="n"/>
      <c r="C28" s="52" t="n"/>
      <c r="D28" s="52" t="n"/>
      <c r="E28" s="58">
        <f>IFERROR(VLOOKUP(D28,Maestro_SKU!$A$2:$P$500,2,FALSE),"")</f>
        <v/>
      </c>
      <c r="F28" s="52" t="n"/>
      <c r="G28" s="60" t="n"/>
      <c r="H28" s="52" t="n"/>
      <c r="I28" s="52" t="n"/>
      <c r="J28" s="52" t="n"/>
      <c r="K28" s="68">
        <f>IF($A28="","",YEAR($A28))</f>
        <v/>
      </c>
      <c r="L28" s="68">
        <f>IF($A28="","",MONTH($A28))</f>
        <v/>
      </c>
      <c r="M28" s="68">
        <f>IF($A28="","",DAY($A28))</f>
        <v/>
      </c>
      <c r="N28" s="68">
        <f>IF($A28="","",YEAR($A28)&amp;"-"&amp;TEXT(MONTH($A28),"00"))</f>
        <v/>
      </c>
    </row>
    <row r="29" ht="20" customHeight="1" s="36">
      <c r="A29" s="53" t="n"/>
      <c r="B29" s="52" t="n"/>
      <c r="C29" s="52" t="n"/>
      <c r="D29" s="52" t="n"/>
      <c r="E29" s="58">
        <f>IFERROR(VLOOKUP(D29,Maestro_SKU!$A$2:$P$500,2,FALSE),"")</f>
        <v/>
      </c>
      <c r="F29" s="52" t="n"/>
      <c r="G29" s="60" t="n"/>
      <c r="H29" s="52" t="n"/>
      <c r="I29" s="52" t="n"/>
      <c r="J29" s="52" t="n"/>
      <c r="K29" s="68">
        <f>IF($A29="","",YEAR($A29))</f>
        <v/>
      </c>
      <c r="L29" s="68">
        <f>IF($A29="","",MONTH($A29))</f>
        <v/>
      </c>
      <c r="M29" s="68">
        <f>IF($A29="","",DAY($A29))</f>
        <v/>
      </c>
      <c r="N29" s="68">
        <f>IF($A29="","",YEAR($A29)&amp;"-"&amp;TEXT(MONTH($A29),"00"))</f>
        <v/>
      </c>
    </row>
    <row r="30" ht="20" customHeight="1" s="36">
      <c r="A30" s="53" t="n"/>
      <c r="B30" s="52" t="n"/>
      <c r="C30" s="52" t="n"/>
      <c r="D30" s="52" t="n"/>
      <c r="E30" s="58">
        <f>IFERROR(VLOOKUP(D30,Maestro_SKU!$A$2:$P$500,2,FALSE),"")</f>
        <v/>
      </c>
      <c r="F30" s="52" t="n"/>
      <c r="G30" s="60" t="n"/>
      <c r="H30" s="52" t="n"/>
      <c r="I30" s="52" t="n"/>
      <c r="J30" s="52" t="n"/>
      <c r="K30" s="68">
        <f>IF($A30="","",YEAR($A30))</f>
        <v/>
      </c>
      <c r="L30" s="68">
        <f>IF($A30="","",MONTH($A30))</f>
        <v/>
      </c>
      <c r="M30" s="68">
        <f>IF($A30="","",DAY($A30))</f>
        <v/>
      </c>
      <c r="N30" s="68">
        <f>IF($A30="","",YEAR($A30)&amp;"-"&amp;TEXT(MONTH($A30),"00"))</f>
        <v/>
      </c>
    </row>
    <row r="31" ht="20" customHeight="1" s="36">
      <c r="A31" s="53" t="n"/>
      <c r="B31" s="52" t="n"/>
      <c r="C31" s="52" t="n"/>
      <c r="D31" s="52" t="n"/>
      <c r="E31" s="58">
        <f>IFERROR(VLOOKUP(D31,Maestro_SKU!$A$2:$P$500,2,FALSE),"")</f>
        <v/>
      </c>
      <c r="F31" s="52" t="n"/>
      <c r="G31" s="60" t="n"/>
      <c r="H31" s="52" t="n"/>
      <c r="I31" s="52" t="n"/>
      <c r="J31" s="52" t="n"/>
      <c r="K31" s="68">
        <f>IF($A31="","",YEAR($A31))</f>
        <v/>
      </c>
      <c r="L31" s="68">
        <f>IF($A31="","",MONTH($A31))</f>
        <v/>
      </c>
      <c r="M31" s="68">
        <f>IF($A31="","",DAY($A31))</f>
        <v/>
      </c>
      <c r="N31" s="68">
        <f>IF($A31="","",YEAR($A31)&amp;"-"&amp;TEXT(MONTH($A31),"00"))</f>
        <v/>
      </c>
    </row>
    <row r="32" ht="20" customHeight="1" s="36">
      <c r="A32" s="53" t="n"/>
      <c r="B32" s="52" t="n"/>
      <c r="C32" s="52" t="n"/>
      <c r="D32" s="52" t="n"/>
      <c r="E32" s="58">
        <f>IFERROR(VLOOKUP(D32,Maestro_SKU!$A$2:$P$500,2,FALSE),"")</f>
        <v/>
      </c>
      <c r="F32" s="52" t="n"/>
      <c r="G32" s="60" t="n"/>
      <c r="H32" s="52" t="n"/>
      <c r="I32" s="52" t="n"/>
      <c r="J32" s="52" t="n"/>
      <c r="K32" s="68">
        <f>IF($A32="","",YEAR($A32))</f>
        <v/>
      </c>
      <c r="L32" s="68">
        <f>IF($A32="","",MONTH($A32))</f>
        <v/>
      </c>
      <c r="M32" s="68">
        <f>IF($A32="","",DAY($A32))</f>
        <v/>
      </c>
      <c r="N32" s="68">
        <f>IF($A32="","",YEAR($A32)&amp;"-"&amp;TEXT(MONTH($A32),"00"))</f>
        <v/>
      </c>
    </row>
    <row r="33" ht="20" customHeight="1" s="36">
      <c r="A33" s="53" t="n"/>
      <c r="B33" s="52" t="n"/>
      <c r="C33" s="52" t="n"/>
      <c r="D33" s="52" t="n"/>
      <c r="E33" s="58">
        <f>IFERROR(VLOOKUP(D33,Maestro_SKU!$A$2:$P$500,2,FALSE),"")</f>
        <v/>
      </c>
      <c r="F33" s="52" t="n"/>
      <c r="G33" s="60" t="n"/>
      <c r="H33" s="52" t="n"/>
      <c r="I33" s="52" t="n"/>
      <c r="J33" s="52" t="n"/>
      <c r="K33" s="68">
        <f>IF($A33="","",YEAR($A33))</f>
        <v/>
      </c>
      <c r="L33" s="68">
        <f>IF($A33="","",MONTH($A33))</f>
        <v/>
      </c>
      <c r="M33" s="68">
        <f>IF($A33="","",DAY($A33))</f>
        <v/>
      </c>
      <c r="N33" s="68">
        <f>IF($A33="","",YEAR($A33)&amp;"-"&amp;TEXT(MONTH($A33),"00"))</f>
        <v/>
      </c>
    </row>
    <row r="34" ht="20" customHeight="1" s="36">
      <c r="A34" s="53" t="n"/>
      <c r="B34" s="52" t="n"/>
      <c r="C34" s="52" t="n"/>
      <c r="D34" s="52" t="n"/>
      <c r="E34" s="58">
        <f>IFERROR(VLOOKUP(D34,Maestro_SKU!$A$2:$P$500,2,FALSE),"")</f>
        <v/>
      </c>
      <c r="F34" s="52" t="n"/>
      <c r="G34" s="60" t="n"/>
      <c r="H34" s="52" t="n"/>
      <c r="I34" s="52" t="n"/>
      <c r="J34" s="52" t="n"/>
      <c r="K34" s="68">
        <f>IF($A34="","",YEAR($A34))</f>
        <v/>
      </c>
      <c r="L34" s="68">
        <f>IF($A34="","",MONTH($A34))</f>
        <v/>
      </c>
      <c r="M34" s="68">
        <f>IF($A34="","",DAY($A34))</f>
        <v/>
      </c>
      <c r="N34" s="68">
        <f>IF($A34="","",YEAR($A34)&amp;"-"&amp;TEXT(MONTH($A34),"00"))</f>
        <v/>
      </c>
    </row>
    <row r="35" ht="20" customHeight="1" s="36">
      <c r="A35" s="53" t="n"/>
      <c r="B35" s="52" t="n"/>
      <c r="C35" s="52" t="n"/>
      <c r="D35" s="52" t="n"/>
      <c r="E35" s="58">
        <f>IFERROR(VLOOKUP(D35,Maestro_SKU!$A$2:$P$500,2,FALSE),"")</f>
        <v/>
      </c>
      <c r="F35" s="52" t="n"/>
      <c r="G35" s="60" t="n"/>
      <c r="H35" s="52" t="n"/>
      <c r="I35" s="52" t="n"/>
      <c r="J35" s="52" t="n"/>
      <c r="K35" s="68">
        <f>IF($A35="","",YEAR($A35))</f>
        <v/>
      </c>
      <c r="L35" s="68">
        <f>IF($A35="","",MONTH($A35))</f>
        <v/>
      </c>
      <c r="M35" s="68">
        <f>IF($A35="","",DAY($A35))</f>
        <v/>
      </c>
      <c r="N35" s="68">
        <f>IF($A35="","",YEAR($A35)&amp;"-"&amp;TEXT(MONTH($A35),"00"))</f>
        <v/>
      </c>
    </row>
    <row r="36" ht="20" customHeight="1" s="36">
      <c r="A36" s="53" t="n"/>
      <c r="B36" s="52" t="n"/>
      <c r="C36" s="52" t="n"/>
      <c r="D36" s="52" t="n"/>
      <c r="E36" s="58">
        <f>IFERROR(VLOOKUP(D36,Maestro_SKU!$A$2:$P$500,2,FALSE),"")</f>
        <v/>
      </c>
      <c r="F36" s="52" t="n"/>
      <c r="G36" s="60" t="n"/>
      <c r="H36" s="52" t="n"/>
      <c r="I36" s="52" t="n"/>
      <c r="J36" s="52" t="n"/>
      <c r="K36" s="68">
        <f>IF($A36="","",YEAR($A36))</f>
        <v/>
      </c>
      <c r="L36" s="68">
        <f>IF($A36="","",MONTH($A36))</f>
        <v/>
      </c>
      <c r="M36" s="68">
        <f>IF($A36="","",DAY($A36))</f>
        <v/>
      </c>
      <c r="N36" s="68">
        <f>IF($A36="","",YEAR($A36)&amp;"-"&amp;TEXT(MONTH($A36),"00"))</f>
        <v/>
      </c>
    </row>
    <row r="37" ht="20" customHeight="1" s="36">
      <c r="A37" s="53" t="n"/>
      <c r="B37" s="52" t="n"/>
      <c r="C37" s="52" t="n"/>
      <c r="D37" s="52" t="n"/>
      <c r="E37" s="58">
        <f>IFERROR(VLOOKUP(D37,Maestro_SKU!$A$2:$P$500,2,FALSE),"")</f>
        <v/>
      </c>
      <c r="F37" s="52" t="n"/>
      <c r="G37" s="60" t="n"/>
      <c r="H37" s="52" t="n"/>
      <c r="I37" s="52" t="n"/>
      <c r="J37" s="52" t="n"/>
      <c r="K37" s="68">
        <f>IF($A37="","",YEAR($A37))</f>
        <v/>
      </c>
      <c r="L37" s="68">
        <f>IF($A37="","",MONTH($A37))</f>
        <v/>
      </c>
      <c r="M37" s="68">
        <f>IF($A37="","",DAY($A37))</f>
        <v/>
      </c>
      <c r="N37" s="68">
        <f>IF($A37="","",YEAR($A37)&amp;"-"&amp;TEXT(MONTH($A37),"00"))</f>
        <v/>
      </c>
    </row>
    <row r="38" ht="20" customHeight="1" s="36">
      <c r="A38" s="53" t="n"/>
      <c r="B38" s="52" t="n"/>
      <c r="C38" s="52" t="n"/>
      <c r="D38" s="52" t="n"/>
      <c r="E38" s="58">
        <f>IFERROR(VLOOKUP(D38,Maestro_SKU!$A$2:$P$500,2,FALSE),"")</f>
        <v/>
      </c>
      <c r="F38" s="52" t="n"/>
      <c r="G38" s="60" t="n"/>
      <c r="H38" s="52" t="n"/>
      <c r="I38" s="52" t="n"/>
      <c r="J38" s="52" t="n"/>
      <c r="K38" s="68">
        <f>IF($A38="","",YEAR($A38))</f>
        <v/>
      </c>
      <c r="L38" s="68">
        <f>IF($A38="","",MONTH($A38))</f>
        <v/>
      </c>
      <c r="M38" s="68">
        <f>IF($A38="","",DAY($A38))</f>
        <v/>
      </c>
      <c r="N38" s="68">
        <f>IF($A38="","",YEAR($A38)&amp;"-"&amp;TEXT(MONTH($A38),"00"))</f>
        <v/>
      </c>
    </row>
    <row r="39" ht="20" customHeight="1" s="36">
      <c r="A39" s="53" t="n"/>
      <c r="B39" s="52" t="n"/>
      <c r="C39" s="52" t="n"/>
      <c r="D39" s="52" t="n"/>
      <c r="E39" s="58">
        <f>IFERROR(VLOOKUP(D39,Maestro_SKU!$A$2:$P$500,2,FALSE),"")</f>
        <v/>
      </c>
      <c r="F39" s="52" t="n"/>
      <c r="G39" s="60" t="n"/>
      <c r="H39" s="52" t="n"/>
      <c r="I39" s="52" t="n"/>
      <c r="J39" s="52" t="n"/>
      <c r="K39" s="68">
        <f>IF($A39="","",YEAR($A39))</f>
        <v/>
      </c>
      <c r="L39" s="68">
        <f>IF($A39="","",MONTH($A39))</f>
        <v/>
      </c>
      <c r="M39" s="68">
        <f>IF($A39="","",DAY($A39))</f>
        <v/>
      </c>
      <c r="N39" s="68">
        <f>IF($A39="","",YEAR($A39)&amp;"-"&amp;TEXT(MONTH($A39),"00"))</f>
        <v/>
      </c>
    </row>
    <row r="40" ht="20" customHeight="1" s="36">
      <c r="A40" s="53" t="n"/>
      <c r="B40" s="52" t="n"/>
      <c r="C40" s="52" t="n"/>
      <c r="D40" s="52" t="n"/>
      <c r="E40" s="58">
        <f>IFERROR(VLOOKUP(D40,Maestro_SKU!$A$2:$P$500,2,FALSE),"")</f>
        <v/>
      </c>
      <c r="F40" s="52" t="n"/>
      <c r="G40" s="60" t="n"/>
      <c r="H40" s="52" t="n"/>
      <c r="I40" s="52" t="n"/>
      <c r="J40" s="52" t="n"/>
      <c r="K40" s="68">
        <f>IF($A40="","",YEAR($A40))</f>
        <v/>
      </c>
      <c r="L40" s="68">
        <f>IF($A40="","",MONTH($A40))</f>
        <v/>
      </c>
      <c r="M40" s="68">
        <f>IF($A40="","",DAY($A40))</f>
        <v/>
      </c>
      <c r="N40" s="68">
        <f>IF($A40="","",YEAR($A40)&amp;"-"&amp;TEXT(MONTH($A40),"00"))</f>
        <v/>
      </c>
    </row>
    <row r="41" ht="20" customHeight="1" s="36">
      <c r="A41" s="53" t="n"/>
      <c r="B41" s="52" t="n"/>
      <c r="C41" s="52" t="n"/>
      <c r="D41" s="52" t="n"/>
      <c r="E41" s="58">
        <f>IFERROR(VLOOKUP(D41,Maestro_SKU!$A$2:$P$500,2,FALSE),"")</f>
        <v/>
      </c>
      <c r="F41" s="52" t="n"/>
      <c r="G41" s="60" t="n"/>
      <c r="H41" s="52" t="n"/>
      <c r="I41" s="52" t="n"/>
      <c r="J41" s="52" t="n"/>
      <c r="K41" s="68">
        <f>IF($A41="","",YEAR($A41))</f>
        <v/>
      </c>
      <c r="L41" s="68">
        <f>IF($A41="","",MONTH($A41))</f>
        <v/>
      </c>
      <c r="M41" s="68">
        <f>IF($A41="","",DAY($A41))</f>
        <v/>
      </c>
      <c r="N41" s="68">
        <f>IF($A41="","",YEAR($A41)&amp;"-"&amp;TEXT(MONTH($A41),"00"))</f>
        <v/>
      </c>
    </row>
    <row r="42" ht="20" customHeight="1" s="36">
      <c r="A42" s="53" t="n"/>
      <c r="B42" s="52" t="n"/>
      <c r="C42" s="52" t="n"/>
      <c r="D42" s="52" t="n"/>
      <c r="E42" s="58">
        <f>IFERROR(VLOOKUP(D42,Maestro_SKU!$A$2:$P$500,2,FALSE),"")</f>
        <v/>
      </c>
      <c r="F42" s="52" t="n"/>
      <c r="G42" s="60" t="n"/>
      <c r="H42" s="52" t="n"/>
      <c r="I42" s="52" t="n"/>
      <c r="J42" s="52" t="n"/>
      <c r="K42" s="68">
        <f>IF($A42="","",YEAR($A42))</f>
        <v/>
      </c>
      <c r="L42" s="68">
        <f>IF($A42="","",MONTH($A42))</f>
        <v/>
      </c>
      <c r="M42" s="68">
        <f>IF($A42="","",DAY($A42))</f>
        <v/>
      </c>
      <c r="N42" s="68">
        <f>IF($A42="","",YEAR($A42)&amp;"-"&amp;TEXT(MONTH($A42),"00"))</f>
        <v/>
      </c>
    </row>
    <row r="43" ht="20" customHeight="1" s="36">
      <c r="A43" s="53" t="n"/>
      <c r="B43" s="52" t="n"/>
      <c r="C43" s="52" t="n"/>
      <c r="D43" s="52" t="n"/>
      <c r="E43" s="58">
        <f>IFERROR(VLOOKUP(D43,Maestro_SKU!$A$2:$P$500,2,FALSE),"")</f>
        <v/>
      </c>
      <c r="F43" s="52" t="n"/>
      <c r="G43" s="60" t="n"/>
      <c r="H43" s="52" t="n"/>
      <c r="I43" s="52" t="n"/>
      <c r="J43" s="52" t="n"/>
      <c r="K43" s="68">
        <f>IF($A43="","",YEAR($A43))</f>
        <v/>
      </c>
      <c r="L43" s="68">
        <f>IF($A43="","",MONTH($A43))</f>
        <v/>
      </c>
      <c r="M43" s="68">
        <f>IF($A43="","",DAY($A43))</f>
        <v/>
      </c>
      <c r="N43" s="68">
        <f>IF($A43="","",YEAR($A43)&amp;"-"&amp;TEXT(MONTH($A43),"00"))</f>
        <v/>
      </c>
    </row>
    <row r="44" ht="20" customHeight="1" s="36">
      <c r="A44" s="53" t="n"/>
      <c r="B44" s="52" t="n"/>
      <c r="C44" s="52" t="n"/>
      <c r="D44" s="52" t="n"/>
      <c r="E44" s="58">
        <f>IFERROR(VLOOKUP(D44,Maestro_SKU!$A$2:$P$500,2,FALSE),"")</f>
        <v/>
      </c>
      <c r="F44" s="52" t="n"/>
      <c r="G44" s="60" t="n"/>
      <c r="H44" s="52" t="n"/>
      <c r="I44" s="52" t="n"/>
      <c r="J44" s="52" t="n"/>
      <c r="K44" s="68">
        <f>IF($A44="","",YEAR($A44))</f>
        <v/>
      </c>
      <c r="L44" s="68">
        <f>IF($A44="","",MONTH($A44))</f>
        <v/>
      </c>
      <c r="M44" s="68">
        <f>IF($A44="","",DAY($A44))</f>
        <v/>
      </c>
      <c r="N44" s="68">
        <f>IF($A44="","",YEAR($A44)&amp;"-"&amp;TEXT(MONTH($A44),"00"))</f>
        <v/>
      </c>
    </row>
    <row r="45" ht="20" customHeight="1" s="36">
      <c r="A45" s="53" t="n"/>
      <c r="B45" s="52" t="n"/>
      <c r="C45" s="52" t="n"/>
      <c r="D45" s="52" t="n"/>
      <c r="E45" s="58">
        <f>IFERROR(VLOOKUP(D45,Maestro_SKU!$A$2:$P$500,2,FALSE),"")</f>
        <v/>
      </c>
      <c r="F45" s="52" t="n"/>
      <c r="G45" s="60" t="n"/>
      <c r="H45" s="52" t="n"/>
      <c r="I45" s="52" t="n"/>
      <c r="J45" s="52" t="n"/>
      <c r="K45" s="68">
        <f>IF($A45="","",YEAR($A45))</f>
        <v/>
      </c>
      <c r="L45" s="68">
        <f>IF($A45="","",MONTH($A45))</f>
        <v/>
      </c>
      <c r="M45" s="68">
        <f>IF($A45="","",DAY($A45))</f>
        <v/>
      </c>
      <c r="N45" s="68">
        <f>IF($A45="","",YEAR($A45)&amp;"-"&amp;TEXT(MONTH($A45),"00"))</f>
        <v/>
      </c>
    </row>
    <row r="46" ht="20" customHeight="1" s="36">
      <c r="A46" s="53" t="n"/>
      <c r="B46" s="52" t="n"/>
      <c r="C46" s="52" t="n"/>
      <c r="D46" s="52" t="n"/>
      <c r="E46" s="58">
        <f>IFERROR(VLOOKUP(D46,Maestro_SKU!$A$2:$P$500,2,FALSE),"")</f>
        <v/>
      </c>
      <c r="F46" s="52" t="n"/>
      <c r="G46" s="60" t="n"/>
      <c r="H46" s="52" t="n"/>
      <c r="I46" s="52" t="n"/>
      <c r="J46" s="52" t="n"/>
      <c r="K46" s="68">
        <f>IF($A46="","",YEAR($A46))</f>
        <v/>
      </c>
      <c r="L46" s="68">
        <f>IF($A46="","",MONTH($A46))</f>
        <v/>
      </c>
      <c r="M46" s="68">
        <f>IF($A46="","",DAY($A46))</f>
        <v/>
      </c>
      <c r="N46" s="68">
        <f>IF($A46="","",YEAR($A46)&amp;"-"&amp;TEXT(MONTH($A46),"00"))</f>
        <v/>
      </c>
    </row>
    <row r="47" ht="20" customHeight="1" s="36">
      <c r="A47" s="53" t="n"/>
      <c r="B47" s="52" t="n"/>
      <c r="C47" s="52" t="n"/>
      <c r="D47" s="52" t="n"/>
      <c r="E47" s="58">
        <f>IFERROR(VLOOKUP(D47,Maestro_SKU!$A$2:$P$500,2,FALSE),"")</f>
        <v/>
      </c>
      <c r="F47" s="52" t="n"/>
      <c r="G47" s="60" t="n"/>
      <c r="H47" s="52" t="n"/>
      <c r="I47" s="52" t="n"/>
      <c r="J47" s="52" t="n"/>
      <c r="K47" s="68">
        <f>IF($A47="","",YEAR($A47))</f>
        <v/>
      </c>
      <c r="L47" s="68">
        <f>IF($A47="","",MONTH($A47))</f>
        <v/>
      </c>
      <c r="M47" s="68">
        <f>IF($A47="","",DAY($A47))</f>
        <v/>
      </c>
      <c r="N47" s="68">
        <f>IF($A47="","",YEAR($A47)&amp;"-"&amp;TEXT(MONTH($A47),"00"))</f>
        <v/>
      </c>
    </row>
    <row r="48" ht="20" customHeight="1" s="36">
      <c r="A48" s="53" t="n"/>
      <c r="B48" s="52" t="n"/>
      <c r="C48" s="52" t="n"/>
      <c r="D48" s="52" t="n"/>
      <c r="E48" s="58">
        <f>IFERROR(VLOOKUP(D48,Maestro_SKU!$A$2:$P$500,2,FALSE),"")</f>
        <v/>
      </c>
      <c r="F48" s="52" t="n"/>
      <c r="G48" s="60" t="n"/>
      <c r="H48" s="52" t="n"/>
      <c r="I48" s="52" t="n"/>
      <c r="J48" s="52" t="n"/>
      <c r="K48" s="68">
        <f>IF($A48="","",YEAR($A48))</f>
        <v/>
      </c>
      <c r="L48" s="68">
        <f>IF($A48="","",MONTH($A48))</f>
        <v/>
      </c>
      <c r="M48" s="68">
        <f>IF($A48="","",DAY($A48))</f>
        <v/>
      </c>
      <c r="N48" s="68">
        <f>IF($A48="","",YEAR($A48)&amp;"-"&amp;TEXT(MONTH($A48),"00"))</f>
        <v/>
      </c>
    </row>
    <row r="49" ht="20" customHeight="1" s="36">
      <c r="A49" s="53" t="n"/>
      <c r="B49" s="52" t="n"/>
      <c r="C49" s="52" t="n"/>
      <c r="D49" s="52" t="n"/>
      <c r="E49" s="58">
        <f>IFERROR(VLOOKUP(D49,Maestro_SKU!$A$2:$P$500,2,FALSE),"")</f>
        <v/>
      </c>
      <c r="F49" s="52" t="n"/>
      <c r="G49" s="60" t="n"/>
      <c r="H49" s="52" t="n"/>
      <c r="I49" s="52" t="n"/>
      <c r="J49" s="52" t="n"/>
      <c r="K49" s="68">
        <f>IF($A49="","",YEAR($A49))</f>
        <v/>
      </c>
      <c r="L49" s="68">
        <f>IF($A49="","",MONTH($A49))</f>
        <v/>
      </c>
      <c r="M49" s="68">
        <f>IF($A49="","",DAY($A49))</f>
        <v/>
      </c>
      <c r="N49" s="68">
        <f>IF($A49="","",YEAR($A49)&amp;"-"&amp;TEXT(MONTH($A49),"00"))</f>
        <v/>
      </c>
    </row>
    <row r="50" ht="20" customHeight="1" s="36">
      <c r="A50" s="53" t="n"/>
      <c r="B50" s="52" t="n"/>
      <c r="C50" s="52" t="n"/>
      <c r="D50" s="52" t="n"/>
      <c r="E50" s="58">
        <f>IFERROR(VLOOKUP(D50,Maestro_SKU!$A$2:$P$500,2,FALSE),"")</f>
        <v/>
      </c>
      <c r="F50" s="52" t="n"/>
      <c r="G50" s="60" t="n"/>
      <c r="H50" s="52" t="n"/>
      <c r="I50" s="52" t="n"/>
      <c r="J50" s="52" t="n"/>
      <c r="K50" s="68">
        <f>IF($A50="","",YEAR($A50))</f>
        <v/>
      </c>
      <c r="L50" s="68">
        <f>IF($A50="","",MONTH($A50))</f>
        <v/>
      </c>
      <c r="M50" s="68">
        <f>IF($A50="","",DAY($A50))</f>
        <v/>
      </c>
      <c r="N50" s="68">
        <f>IF($A50="","",YEAR($A50)&amp;"-"&amp;TEXT(MONTH($A50),"00"))</f>
        <v/>
      </c>
    </row>
    <row r="51">
      <c r="A51" s="53" t="n"/>
      <c r="B51" s="52" t="n"/>
      <c r="C51" s="52" t="n"/>
      <c r="D51" s="52" t="n"/>
      <c r="E51" s="58">
        <f>IFERROR(VLOOKUP(D51,Maestro_SKU!$A$2:$P$500,2,FALSE),"")</f>
        <v/>
      </c>
      <c r="F51" s="52" t="n"/>
      <c r="G51" s="60" t="n"/>
      <c r="H51" s="52" t="n"/>
      <c r="I51" s="52" t="n"/>
      <c r="J51" s="52" t="n"/>
      <c r="K51" s="68">
        <f>IF($A51="","",YEAR($A51))</f>
        <v/>
      </c>
      <c r="L51" s="68">
        <f>IF($A51="","",MONTH($A51))</f>
        <v/>
      </c>
      <c r="M51" s="68">
        <f>IF($A51="","",DAY($A51))</f>
        <v/>
      </c>
      <c r="N51" s="68">
        <f>IF($A51="","",YEAR($A51)&amp;"-"&amp;TEXT(MONTH($A51),"00"))</f>
        <v/>
      </c>
    </row>
    <row r="52">
      <c r="A52" s="53" t="n"/>
      <c r="B52" s="52" t="n"/>
      <c r="C52" s="52" t="n"/>
      <c r="D52" s="52" t="n"/>
      <c r="E52" s="58">
        <f>IFERROR(VLOOKUP(D52,Maestro_SKU!$A$2:$P$500,2,FALSE),"")</f>
        <v/>
      </c>
      <c r="F52" s="52" t="n"/>
      <c r="G52" s="60" t="n"/>
      <c r="H52" s="52" t="n"/>
      <c r="I52" s="52" t="n"/>
      <c r="J52" s="52" t="n"/>
      <c r="K52" s="68">
        <f>IF($A52="","",YEAR($A52))</f>
        <v/>
      </c>
      <c r="L52" s="68">
        <f>IF($A52="","",MONTH($A52))</f>
        <v/>
      </c>
      <c r="M52" s="68">
        <f>IF($A52="","",DAY($A52))</f>
        <v/>
      </c>
      <c r="N52" s="68">
        <f>IF($A52="","",YEAR($A52)&amp;"-"&amp;TEXT(MONTH($A52),"00"))</f>
        <v/>
      </c>
    </row>
    <row r="53">
      <c r="A53" s="53" t="n"/>
      <c r="B53" s="52" t="n"/>
      <c r="C53" s="52" t="n"/>
      <c r="D53" s="52" t="n"/>
      <c r="E53" s="58">
        <f>IFERROR(VLOOKUP(D53,Maestro_SKU!$A$2:$P$500,2,FALSE),"")</f>
        <v/>
      </c>
      <c r="F53" s="52" t="n"/>
      <c r="G53" s="60" t="n"/>
      <c r="H53" s="52" t="n"/>
      <c r="I53" s="52" t="n"/>
      <c r="J53" s="52" t="n"/>
      <c r="K53" s="68">
        <f>IF($A53="","",YEAR($A53))</f>
        <v/>
      </c>
      <c r="L53" s="68">
        <f>IF($A53="","",MONTH($A53))</f>
        <v/>
      </c>
      <c r="M53" s="68">
        <f>IF($A53="","",DAY($A53))</f>
        <v/>
      </c>
      <c r="N53" s="68">
        <f>IF($A53="","",YEAR($A53)&amp;"-"&amp;TEXT(MONTH($A53),"00"))</f>
        <v/>
      </c>
    </row>
    <row r="54">
      <c r="A54" s="53" t="n"/>
      <c r="B54" s="52" t="n"/>
      <c r="C54" s="52" t="n"/>
      <c r="D54" s="52" t="n"/>
      <c r="E54" s="58">
        <f>IFERROR(VLOOKUP(D54,Maestro_SKU!$A$2:$P$500,2,FALSE),"")</f>
        <v/>
      </c>
      <c r="F54" s="52" t="n"/>
      <c r="G54" s="60" t="n"/>
      <c r="H54" s="52" t="n"/>
      <c r="I54" s="52" t="n"/>
      <c r="J54" s="52" t="n"/>
      <c r="K54" s="68">
        <f>IF($A54="","",YEAR($A54))</f>
        <v/>
      </c>
      <c r="L54" s="68">
        <f>IF($A54="","",MONTH($A54))</f>
        <v/>
      </c>
      <c r="M54" s="68">
        <f>IF($A54="","",DAY($A54))</f>
        <v/>
      </c>
      <c r="N54" s="68">
        <f>IF($A54="","",YEAR($A54)&amp;"-"&amp;TEXT(MONTH($A54),"00"))</f>
        <v/>
      </c>
    </row>
    <row r="55">
      <c r="A55" s="53" t="n"/>
      <c r="B55" s="52" t="n"/>
      <c r="C55" s="52" t="n"/>
      <c r="D55" s="52" t="n"/>
      <c r="E55" s="58">
        <f>IFERROR(VLOOKUP(D55,Maestro_SKU!$A$2:$P$500,2,FALSE),"")</f>
        <v/>
      </c>
      <c r="F55" s="52" t="n"/>
      <c r="G55" s="60" t="n"/>
      <c r="H55" s="52" t="n"/>
      <c r="I55" s="52" t="n"/>
      <c r="J55" s="52" t="n"/>
      <c r="K55" s="68">
        <f>IF($A55="","",YEAR($A55))</f>
        <v/>
      </c>
      <c r="L55" s="68">
        <f>IF($A55="","",MONTH($A55))</f>
        <v/>
      </c>
      <c r="M55" s="68">
        <f>IF($A55="","",DAY($A55))</f>
        <v/>
      </c>
      <c r="N55" s="68">
        <f>IF($A55="","",YEAR($A55)&amp;"-"&amp;TEXT(MONTH($A55),"00"))</f>
        <v/>
      </c>
    </row>
    <row r="56">
      <c r="A56" s="53" t="n"/>
      <c r="B56" s="52" t="n"/>
      <c r="C56" s="52" t="n"/>
      <c r="D56" s="52" t="n"/>
      <c r="E56" s="58">
        <f>IFERROR(VLOOKUP(D56,Maestro_SKU!$A$2:$P$500,2,FALSE),"")</f>
        <v/>
      </c>
      <c r="F56" s="52" t="n"/>
      <c r="G56" s="60" t="n"/>
      <c r="H56" s="52" t="n"/>
      <c r="I56" s="52" t="n"/>
      <c r="J56" s="52" t="n"/>
      <c r="K56" s="68">
        <f>IF($A56="","",YEAR($A56))</f>
        <v/>
      </c>
      <c r="L56" s="68">
        <f>IF($A56="","",MONTH($A56))</f>
        <v/>
      </c>
      <c r="M56" s="68">
        <f>IF($A56="","",DAY($A56))</f>
        <v/>
      </c>
      <c r="N56" s="68">
        <f>IF($A56="","",YEAR($A56)&amp;"-"&amp;TEXT(MONTH($A56),"00"))</f>
        <v/>
      </c>
    </row>
    <row r="57">
      <c r="A57" s="53" t="n"/>
      <c r="B57" s="52" t="n"/>
      <c r="C57" s="52" t="n"/>
      <c r="D57" s="52" t="n"/>
      <c r="E57" s="58">
        <f>IFERROR(VLOOKUP(D57,Maestro_SKU!$A$2:$P$500,2,FALSE),"")</f>
        <v/>
      </c>
      <c r="F57" s="52" t="n"/>
      <c r="G57" s="60" t="n"/>
      <c r="H57" s="52" t="n"/>
      <c r="I57" s="52" t="n"/>
      <c r="J57" s="52" t="n"/>
      <c r="K57" s="68">
        <f>IF($A57="","",YEAR($A57))</f>
        <v/>
      </c>
      <c r="L57" s="68">
        <f>IF($A57="","",MONTH($A57))</f>
        <v/>
      </c>
      <c r="M57" s="68">
        <f>IF($A57="","",DAY($A57))</f>
        <v/>
      </c>
      <c r="N57" s="68">
        <f>IF($A57="","",YEAR($A57)&amp;"-"&amp;TEXT(MONTH($A57),"00"))</f>
        <v/>
      </c>
    </row>
    <row r="58">
      <c r="A58" s="53" t="n"/>
      <c r="B58" s="52" t="n"/>
      <c r="C58" s="52" t="n"/>
      <c r="D58" s="52" t="n"/>
      <c r="E58" s="58">
        <f>IFERROR(VLOOKUP(D58,Maestro_SKU!$A$2:$P$500,2,FALSE),"")</f>
        <v/>
      </c>
      <c r="F58" s="52" t="n"/>
      <c r="G58" s="60" t="n"/>
      <c r="H58" s="52" t="n"/>
      <c r="I58" s="52" t="n"/>
      <c r="J58" s="52" t="n"/>
      <c r="K58" s="68">
        <f>IF($A58="","",YEAR($A58))</f>
        <v/>
      </c>
      <c r="L58" s="68">
        <f>IF($A58="","",MONTH($A58))</f>
        <v/>
      </c>
      <c r="M58" s="68">
        <f>IF($A58="","",DAY($A58))</f>
        <v/>
      </c>
      <c r="N58" s="68">
        <f>IF($A58="","",YEAR($A58)&amp;"-"&amp;TEXT(MONTH($A58),"00"))</f>
        <v/>
      </c>
    </row>
    <row r="59">
      <c r="A59" s="53" t="n"/>
      <c r="B59" s="52" t="n"/>
      <c r="C59" s="52" t="n"/>
      <c r="D59" s="52" t="n"/>
      <c r="E59" s="58">
        <f>IFERROR(VLOOKUP(D59,Maestro_SKU!$A$2:$P$500,2,FALSE),"")</f>
        <v/>
      </c>
      <c r="F59" s="52" t="n"/>
      <c r="G59" s="60" t="n"/>
      <c r="H59" s="52" t="n"/>
      <c r="I59" s="52" t="n"/>
      <c r="J59" s="52" t="n"/>
      <c r="K59" s="68">
        <f>IF($A59="","",YEAR($A59))</f>
        <v/>
      </c>
      <c r="L59" s="68">
        <f>IF($A59="","",MONTH($A59))</f>
        <v/>
      </c>
      <c r="M59" s="68">
        <f>IF($A59="","",DAY($A59))</f>
        <v/>
      </c>
      <c r="N59" s="68">
        <f>IF($A59="","",YEAR($A59)&amp;"-"&amp;TEXT(MONTH($A59),"00"))</f>
        <v/>
      </c>
    </row>
    <row r="60">
      <c r="A60" s="53" t="n"/>
      <c r="B60" s="52" t="n"/>
      <c r="C60" s="52" t="n"/>
      <c r="D60" s="52" t="n"/>
      <c r="E60" s="58">
        <f>IFERROR(VLOOKUP(D60,Maestro_SKU!$A$2:$P$500,2,FALSE),"")</f>
        <v/>
      </c>
      <c r="F60" s="52" t="n"/>
      <c r="G60" s="60" t="n"/>
      <c r="H60" s="52" t="n"/>
      <c r="I60" s="52" t="n"/>
      <c r="J60" s="52" t="n"/>
      <c r="K60" s="68">
        <f>IF($A60="","",YEAR($A60))</f>
        <v/>
      </c>
      <c r="L60" s="68">
        <f>IF($A60="","",MONTH($A60))</f>
        <v/>
      </c>
      <c r="M60" s="68">
        <f>IF($A60="","",DAY($A60))</f>
        <v/>
      </c>
      <c r="N60" s="68">
        <f>IF($A60="","",YEAR($A60)&amp;"-"&amp;TEXT(MONTH($A60),"00"))</f>
        <v/>
      </c>
    </row>
    <row r="61">
      <c r="A61" s="53" t="n"/>
      <c r="B61" s="52" t="n"/>
      <c r="C61" s="52" t="n"/>
      <c r="D61" s="52" t="n"/>
      <c r="E61" s="58">
        <f>IFERROR(VLOOKUP(D61,Maestro_SKU!$A$2:$P$500,2,FALSE),"")</f>
        <v/>
      </c>
      <c r="F61" s="52" t="n"/>
      <c r="G61" s="60" t="n"/>
      <c r="H61" s="52" t="n"/>
      <c r="I61" s="52" t="n"/>
      <c r="J61" s="52" t="n"/>
      <c r="K61" s="68">
        <f>IF($A61="","",YEAR($A61))</f>
        <v/>
      </c>
      <c r="L61" s="68">
        <f>IF($A61="","",MONTH($A61))</f>
        <v/>
      </c>
      <c r="M61" s="68">
        <f>IF($A61="","",DAY($A61))</f>
        <v/>
      </c>
      <c r="N61" s="68">
        <f>IF($A61="","",YEAR($A61)&amp;"-"&amp;TEXT(MONTH($A61),"00"))</f>
        <v/>
      </c>
    </row>
    <row r="62">
      <c r="A62" s="53" t="n"/>
      <c r="B62" s="52" t="n"/>
      <c r="C62" s="52" t="n"/>
      <c r="D62" s="52" t="n"/>
      <c r="E62" s="58">
        <f>IFERROR(VLOOKUP(D62,Maestro_SKU!$A$2:$P$500,2,FALSE),"")</f>
        <v/>
      </c>
      <c r="F62" s="52" t="n"/>
      <c r="G62" s="60" t="n"/>
      <c r="H62" s="52" t="n"/>
      <c r="I62" s="52" t="n"/>
      <c r="J62" s="52" t="n"/>
      <c r="K62" s="68">
        <f>IF($A62="","",YEAR($A62))</f>
        <v/>
      </c>
      <c r="L62" s="68">
        <f>IF($A62="","",MONTH($A62))</f>
        <v/>
      </c>
      <c r="M62" s="68">
        <f>IF($A62="","",DAY($A62))</f>
        <v/>
      </c>
      <c r="N62" s="68">
        <f>IF($A62="","",YEAR($A62)&amp;"-"&amp;TEXT(MONTH($A62),"00"))</f>
        <v/>
      </c>
    </row>
    <row r="63">
      <c r="A63" s="53" t="n"/>
      <c r="B63" s="52" t="n"/>
      <c r="C63" s="52" t="n"/>
      <c r="D63" s="52" t="n"/>
      <c r="E63" s="58">
        <f>IFERROR(VLOOKUP(D63,Maestro_SKU!$A$2:$P$500,2,FALSE),"")</f>
        <v/>
      </c>
      <c r="F63" s="52" t="n"/>
      <c r="G63" s="60" t="n"/>
      <c r="H63" s="52" t="n"/>
      <c r="I63" s="52" t="n"/>
      <c r="J63" s="52" t="n"/>
      <c r="K63" s="68">
        <f>IF($A63="","",YEAR($A63))</f>
        <v/>
      </c>
      <c r="L63" s="68">
        <f>IF($A63="","",MONTH($A63))</f>
        <v/>
      </c>
      <c r="M63" s="68">
        <f>IF($A63="","",DAY($A63))</f>
        <v/>
      </c>
      <c r="N63" s="68">
        <f>IF($A63="","",YEAR($A63)&amp;"-"&amp;TEXT(MONTH($A63),"00"))</f>
        <v/>
      </c>
    </row>
    <row r="64">
      <c r="A64" s="53" t="n"/>
      <c r="B64" s="52" t="n"/>
      <c r="C64" s="52" t="n"/>
      <c r="D64" s="52" t="n"/>
      <c r="E64" s="58">
        <f>IFERROR(VLOOKUP(D64,Maestro_SKU!$A$2:$P$500,2,FALSE),"")</f>
        <v/>
      </c>
      <c r="F64" s="52" t="n"/>
      <c r="G64" s="60" t="n"/>
      <c r="H64" s="52" t="n"/>
      <c r="I64" s="52" t="n"/>
      <c r="J64" s="52" t="n"/>
      <c r="K64" s="68">
        <f>IF($A64="","",YEAR($A64))</f>
        <v/>
      </c>
      <c r="L64" s="68">
        <f>IF($A64="","",MONTH($A64))</f>
        <v/>
      </c>
      <c r="M64" s="68">
        <f>IF($A64="","",DAY($A64))</f>
        <v/>
      </c>
      <c r="N64" s="68">
        <f>IF($A64="","",YEAR($A64)&amp;"-"&amp;TEXT(MONTH($A64),"00"))</f>
        <v/>
      </c>
    </row>
    <row r="65">
      <c r="A65" s="53" t="n"/>
      <c r="B65" s="52" t="n"/>
      <c r="C65" s="52" t="n"/>
      <c r="D65" s="52" t="n"/>
      <c r="E65" s="58">
        <f>IFERROR(VLOOKUP(D65,Maestro_SKU!$A$2:$P$500,2,FALSE),"")</f>
        <v/>
      </c>
      <c r="F65" s="52" t="n"/>
      <c r="G65" s="60" t="n"/>
      <c r="H65" s="52" t="n"/>
      <c r="I65" s="52" t="n"/>
      <c r="J65" s="52" t="n"/>
      <c r="K65" s="68">
        <f>IF($A65="","",YEAR($A65))</f>
        <v/>
      </c>
      <c r="L65" s="68">
        <f>IF($A65="","",MONTH($A65))</f>
        <v/>
      </c>
      <c r="M65" s="68">
        <f>IF($A65="","",DAY($A65))</f>
        <v/>
      </c>
      <c r="N65" s="68">
        <f>IF($A65="","",YEAR($A65)&amp;"-"&amp;TEXT(MONTH($A65),"00"))</f>
        <v/>
      </c>
    </row>
    <row r="66">
      <c r="A66" s="53" t="n"/>
      <c r="B66" s="52" t="n"/>
      <c r="C66" s="52" t="n"/>
      <c r="D66" s="52" t="n"/>
      <c r="E66" s="58">
        <f>IFERROR(VLOOKUP(D66,Maestro_SKU!$A$2:$P$500,2,FALSE),"")</f>
        <v/>
      </c>
      <c r="F66" s="52" t="n"/>
      <c r="G66" s="60" t="n"/>
      <c r="H66" s="52" t="n"/>
      <c r="I66" s="52" t="n"/>
      <c r="J66" s="52" t="n"/>
      <c r="K66" s="68">
        <f>IF($A66="","",YEAR($A66))</f>
        <v/>
      </c>
      <c r="L66" s="68">
        <f>IF($A66="","",MONTH($A66))</f>
        <v/>
      </c>
      <c r="M66" s="68">
        <f>IF($A66="","",DAY($A66))</f>
        <v/>
      </c>
      <c r="N66" s="68">
        <f>IF($A66="","",YEAR($A66)&amp;"-"&amp;TEXT(MONTH($A66),"00"))</f>
        <v/>
      </c>
    </row>
    <row r="67">
      <c r="A67" s="53" t="n"/>
      <c r="B67" s="52" t="n"/>
      <c r="C67" s="52" t="n"/>
      <c r="D67" s="52" t="n"/>
      <c r="E67" s="58">
        <f>IFERROR(VLOOKUP(D67,Maestro_SKU!$A$2:$P$500,2,FALSE),"")</f>
        <v/>
      </c>
      <c r="F67" s="52" t="n"/>
      <c r="G67" s="60" t="n"/>
      <c r="H67" s="52" t="n"/>
      <c r="I67" s="52" t="n"/>
      <c r="J67" s="52" t="n"/>
      <c r="K67" s="68">
        <f>IF($A67="","",YEAR($A67))</f>
        <v/>
      </c>
      <c r="L67" s="68">
        <f>IF($A67="","",MONTH($A67))</f>
        <v/>
      </c>
      <c r="M67" s="68">
        <f>IF($A67="","",DAY($A67))</f>
        <v/>
      </c>
      <c r="N67" s="68">
        <f>IF($A67="","",YEAR($A67)&amp;"-"&amp;TEXT(MONTH($A67),"00"))</f>
        <v/>
      </c>
    </row>
    <row r="68">
      <c r="A68" s="53" t="n"/>
      <c r="B68" s="52" t="n"/>
      <c r="C68" s="52" t="n"/>
      <c r="D68" s="52" t="n"/>
      <c r="E68" s="58">
        <f>IFERROR(VLOOKUP(D68,Maestro_SKU!$A$2:$P$500,2,FALSE),"")</f>
        <v/>
      </c>
      <c r="F68" s="52" t="n"/>
      <c r="G68" s="60" t="n"/>
      <c r="H68" s="52" t="n"/>
      <c r="I68" s="52" t="n"/>
      <c r="J68" s="52" t="n"/>
      <c r="K68" s="68">
        <f>IF($A68="","",YEAR($A68))</f>
        <v/>
      </c>
      <c r="L68" s="68">
        <f>IF($A68="","",MONTH($A68))</f>
        <v/>
      </c>
      <c r="M68" s="68">
        <f>IF($A68="","",DAY($A68))</f>
        <v/>
      </c>
      <c r="N68" s="68">
        <f>IF($A68="","",YEAR($A68)&amp;"-"&amp;TEXT(MONTH($A68),"00"))</f>
        <v/>
      </c>
    </row>
    <row r="69">
      <c r="A69" s="53" t="n"/>
      <c r="B69" s="52" t="n"/>
      <c r="C69" s="52" t="n"/>
      <c r="D69" s="52" t="n"/>
      <c r="E69" s="58">
        <f>IFERROR(VLOOKUP(D69,Maestro_SKU!$A$2:$P$500,2,FALSE),"")</f>
        <v/>
      </c>
      <c r="F69" s="52" t="n"/>
      <c r="G69" s="60" t="n"/>
      <c r="H69" s="52" t="n"/>
      <c r="I69" s="52" t="n"/>
      <c r="J69" s="52" t="n"/>
      <c r="K69" s="68">
        <f>IF($A69="","",YEAR($A69))</f>
        <v/>
      </c>
      <c r="L69" s="68">
        <f>IF($A69="","",MONTH($A69))</f>
        <v/>
      </c>
      <c r="M69" s="68">
        <f>IF($A69="","",DAY($A69))</f>
        <v/>
      </c>
      <c r="N69" s="68">
        <f>IF($A69="","",YEAR($A69)&amp;"-"&amp;TEXT(MONTH($A69),"00"))</f>
        <v/>
      </c>
    </row>
    <row r="70">
      <c r="A70" s="53" t="n"/>
      <c r="B70" s="52" t="n"/>
      <c r="C70" s="52" t="n"/>
      <c r="D70" s="52" t="n"/>
      <c r="E70" s="58">
        <f>IFERROR(VLOOKUP(D70,Maestro_SKU!$A$2:$P$500,2,FALSE),"")</f>
        <v/>
      </c>
      <c r="F70" s="52" t="n"/>
      <c r="G70" s="60" t="n"/>
      <c r="H70" s="52" t="n"/>
      <c r="I70" s="52" t="n"/>
      <c r="J70" s="52" t="n"/>
      <c r="K70" s="68">
        <f>IF($A70="","",YEAR($A70))</f>
        <v/>
      </c>
      <c r="L70" s="68">
        <f>IF($A70="","",MONTH($A70))</f>
        <v/>
      </c>
      <c r="M70" s="68">
        <f>IF($A70="","",DAY($A70))</f>
        <v/>
      </c>
      <c r="N70" s="68">
        <f>IF($A70="","",YEAR($A70)&amp;"-"&amp;TEXT(MONTH($A70),"00"))</f>
        <v/>
      </c>
    </row>
    <row r="71">
      <c r="A71" s="53" t="n"/>
      <c r="B71" s="52" t="n"/>
      <c r="C71" s="52" t="n"/>
      <c r="D71" s="52" t="n"/>
      <c r="E71" s="58">
        <f>IFERROR(VLOOKUP(D71,Maestro_SKU!$A$2:$P$500,2,FALSE),"")</f>
        <v/>
      </c>
      <c r="F71" s="52" t="n"/>
      <c r="G71" s="60" t="n"/>
      <c r="H71" s="52" t="n"/>
      <c r="I71" s="52" t="n"/>
      <c r="J71" s="52" t="n"/>
      <c r="K71" s="68">
        <f>IF($A71="","",YEAR($A71))</f>
        <v/>
      </c>
      <c r="L71" s="68">
        <f>IF($A71="","",MONTH($A71))</f>
        <v/>
      </c>
      <c r="M71" s="68">
        <f>IF($A71="","",DAY($A71))</f>
        <v/>
      </c>
      <c r="N71" s="68">
        <f>IF($A71="","",YEAR($A71)&amp;"-"&amp;TEXT(MONTH($A71),"00"))</f>
        <v/>
      </c>
    </row>
    <row r="72">
      <c r="A72" s="53" t="n"/>
      <c r="B72" s="52" t="n"/>
      <c r="C72" s="52" t="n"/>
      <c r="D72" s="52" t="n"/>
      <c r="E72" s="58">
        <f>IFERROR(VLOOKUP(D72,Maestro_SKU!$A$2:$P$500,2,FALSE),"")</f>
        <v/>
      </c>
      <c r="F72" s="52" t="n"/>
      <c r="G72" s="60" t="n"/>
      <c r="H72" s="52" t="n"/>
      <c r="I72" s="52" t="n"/>
      <c r="J72" s="52" t="n"/>
      <c r="K72" s="68">
        <f>IF($A72="","",YEAR($A72))</f>
        <v/>
      </c>
      <c r="L72" s="68">
        <f>IF($A72="","",MONTH($A72))</f>
        <v/>
      </c>
      <c r="M72" s="68">
        <f>IF($A72="","",DAY($A72))</f>
        <v/>
      </c>
      <c r="N72" s="68">
        <f>IF($A72="","",YEAR($A72)&amp;"-"&amp;TEXT(MONTH($A72),"00"))</f>
        <v/>
      </c>
    </row>
    <row r="73">
      <c r="A73" s="53" t="n"/>
      <c r="B73" s="52" t="n"/>
      <c r="C73" s="52" t="n"/>
      <c r="D73" s="52" t="n"/>
      <c r="E73" s="58">
        <f>IFERROR(VLOOKUP(D73,Maestro_SKU!$A$2:$P$500,2,FALSE),"")</f>
        <v/>
      </c>
      <c r="F73" s="52" t="n"/>
      <c r="G73" s="60" t="n"/>
      <c r="H73" s="52" t="n"/>
      <c r="I73" s="52" t="n"/>
      <c r="J73" s="52" t="n"/>
      <c r="K73" s="68">
        <f>IF($A73="","",YEAR($A73))</f>
        <v/>
      </c>
      <c r="L73" s="68">
        <f>IF($A73="","",MONTH($A73))</f>
        <v/>
      </c>
      <c r="M73" s="68">
        <f>IF($A73="","",DAY($A73))</f>
        <v/>
      </c>
      <c r="N73" s="68">
        <f>IF($A73="","",YEAR($A73)&amp;"-"&amp;TEXT(MONTH($A73),"00"))</f>
        <v/>
      </c>
    </row>
    <row r="74">
      <c r="A74" s="53" t="n"/>
      <c r="B74" s="52" t="n"/>
      <c r="C74" s="52" t="n"/>
      <c r="D74" s="52" t="n"/>
      <c r="E74" s="58">
        <f>IFERROR(VLOOKUP(D74,Maestro_SKU!$A$2:$P$500,2,FALSE),"")</f>
        <v/>
      </c>
      <c r="F74" s="52" t="n"/>
      <c r="G74" s="60" t="n"/>
      <c r="H74" s="52" t="n"/>
      <c r="I74" s="52" t="n"/>
      <c r="J74" s="52" t="n"/>
      <c r="K74" s="68">
        <f>IF($A74="","",YEAR($A74))</f>
        <v/>
      </c>
      <c r="L74" s="68">
        <f>IF($A74="","",MONTH($A74))</f>
        <v/>
      </c>
      <c r="M74" s="68">
        <f>IF($A74="","",DAY($A74))</f>
        <v/>
      </c>
      <c r="N74" s="68">
        <f>IF($A74="","",YEAR($A74)&amp;"-"&amp;TEXT(MONTH($A74),"00"))</f>
        <v/>
      </c>
    </row>
    <row r="75">
      <c r="A75" s="53" t="n"/>
      <c r="B75" s="52" t="n"/>
      <c r="C75" s="52" t="n"/>
      <c r="D75" s="52" t="n"/>
      <c r="E75" s="58">
        <f>IFERROR(VLOOKUP(D75,Maestro_SKU!$A$2:$P$500,2,FALSE),"")</f>
        <v/>
      </c>
      <c r="F75" s="52" t="n"/>
      <c r="G75" s="60" t="n"/>
      <c r="H75" s="52" t="n"/>
      <c r="I75" s="52" t="n"/>
      <c r="J75" s="52" t="n"/>
      <c r="K75" s="68">
        <f>IF($A75="","",YEAR($A75))</f>
        <v/>
      </c>
      <c r="L75" s="68">
        <f>IF($A75="","",MONTH($A75))</f>
        <v/>
      </c>
      <c r="M75" s="68">
        <f>IF($A75="","",DAY($A75))</f>
        <v/>
      </c>
      <c r="N75" s="68">
        <f>IF($A75="","",YEAR($A75)&amp;"-"&amp;TEXT(MONTH($A75),"00"))</f>
        <v/>
      </c>
    </row>
    <row r="76">
      <c r="A76" s="53" t="n"/>
      <c r="B76" s="52" t="n"/>
      <c r="C76" s="52" t="n"/>
      <c r="D76" s="52" t="n"/>
      <c r="E76" s="58">
        <f>IFERROR(VLOOKUP(D76,Maestro_SKU!$A$2:$P$500,2,FALSE),"")</f>
        <v/>
      </c>
      <c r="F76" s="52" t="n"/>
      <c r="G76" s="60" t="n"/>
      <c r="H76" s="52" t="n"/>
      <c r="I76" s="52" t="n"/>
      <c r="J76" s="52" t="n"/>
      <c r="K76" s="68">
        <f>IF($A76="","",YEAR($A76))</f>
        <v/>
      </c>
      <c r="L76" s="68">
        <f>IF($A76="","",MONTH($A76))</f>
        <v/>
      </c>
      <c r="M76" s="68">
        <f>IF($A76="","",DAY($A76))</f>
        <v/>
      </c>
      <c r="N76" s="68">
        <f>IF($A76="","",YEAR($A76)&amp;"-"&amp;TEXT(MONTH($A76),"00"))</f>
        <v/>
      </c>
    </row>
    <row r="77">
      <c r="A77" s="53" t="n"/>
      <c r="B77" s="52" t="n"/>
      <c r="C77" s="52" t="n"/>
      <c r="D77" s="52" t="n"/>
      <c r="E77" s="58">
        <f>IFERROR(VLOOKUP(D77,Maestro_SKU!$A$2:$P$500,2,FALSE),"")</f>
        <v/>
      </c>
      <c r="F77" s="52" t="n"/>
      <c r="G77" s="60" t="n"/>
      <c r="H77" s="52" t="n"/>
      <c r="I77" s="52" t="n"/>
      <c r="J77" s="52" t="n"/>
      <c r="K77" s="68">
        <f>IF($A77="","",YEAR($A77))</f>
        <v/>
      </c>
      <c r="L77" s="68">
        <f>IF($A77="","",MONTH($A77))</f>
        <v/>
      </c>
      <c r="M77" s="68">
        <f>IF($A77="","",DAY($A77))</f>
        <v/>
      </c>
      <c r="N77" s="68">
        <f>IF($A77="","",YEAR($A77)&amp;"-"&amp;TEXT(MONTH($A77),"00"))</f>
        <v/>
      </c>
    </row>
    <row r="78">
      <c r="A78" s="53" t="n"/>
      <c r="B78" s="52" t="n"/>
      <c r="C78" s="52" t="n"/>
      <c r="D78" s="52" t="n"/>
      <c r="E78" s="58">
        <f>IFERROR(VLOOKUP(D78,Maestro_SKU!$A$2:$P$500,2,FALSE),"")</f>
        <v/>
      </c>
      <c r="F78" s="52" t="n"/>
      <c r="G78" s="60" t="n"/>
      <c r="H78" s="52" t="n"/>
      <c r="I78" s="52" t="n"/>
      <c r="J78" s="52" t="n"/>
      <c r="K78" s="68">
        <f>IF($A78="","",YEAR($A78))</f>
        <v/>
      </c>
      <c r="L78" s="68">
        <f>IF($A78="","",MONTH($A78))</f>
        <v/>
      </c>
      <c r="M78" s="68">
        <f>IF($A78="","",DAY($A78))</f>
        <v/>
      </c>
      <c r="N78" s="68">
        <f>IF($A78="","",YEAR($A78)&amp;"-"&amp;TEXT(MONTH($A78),"00"))</f>
        <v/>
      </c>
    </row>
    <row r="79">
      <c r="A79" s="53" t="n"/>
      <c r="B79" s="52" t="n"/>
      <c r="C79" s="52" t="n"/>
      <c r="D79" s="52" t="n"/>
      <c r="E79" s="58">
        <f>IFERROR(VLOOKUP(D79,Maestro_SKU!$A$2:$P$500,2,FALSE),"")</f>
        <v/>
      </c>
      <c r="F79" s="52" t="n"/>
      <c r="G79" s="60" t="n"/>
      <c r="H79" s="52" t="n"/>
      <c r="I79" s="52" t="n"/>
      <c r="J79" s="52" t="n"/>
      <c r="K79" s="68">
        <f>IF($A79="","",YEAR($A79))</f>
        <v/>
      </c>
      <c r="L79" s="68">
        <f>IF($A79="","",MONTH($A79))</f>
        <v/>
      </c>
      <c r="M79" s="68">
        <f>IF($A79="","",DAY($A79))</f>
        <v/>
      </c>
      <c r="N79" s="68">
        <f>IF($A79="","",YEAR($A79)&amp;"-"&amp;TEXT(MONTH($A79),"00"))</f>
        <v/>
      </c>
    </row>
    <row r="80">
      <c r="A80" s="53" t="n"/>
      <c r="B80" s="52" t="n"/>
      <c r="C80" s="52" t="n"/>
      <c r="D80" s="52" t="n"/>
      <c r="E80" s="58">
        <f>IFERROR(VLOOKUP(D80,Maestro_SKU!$A$2:$P$500,2,FALSE),"")</f>
        <v/>
      </c>
      <c r="F80" s="52" t="n"/>
      <c r="G80" s="60" t="n"/>
      <c r="H80" s="52" t="n"/>
      <c r="I80" s="52" t="n"/>
      <c r="J80" s="52" t="n"/>
      <c r="K80" s="68">
        <f>IF($A80="","",YEAR($A80))</f>
        <v/>
      </c>
      <c r="L80" s="68">
        <f>IF($A80="","",MONTH($A80))</f>
        <v/>
      </c>
      <c r="M80" s="68">
        <f>IF($A80="","",DAY($A80))</f>
        <v/>
      </c>
      <c r="N80" s="68">
        <f>IF($A80="","",YEAR($A80)&amp;"-"&amp;TEXT(MONTH($A80),"00"))</f>
        <v/>
      </c>
    </row>
    <row r="81">
      <c r="A81" s="53" t="n"/>
      <c r="B81" s="52" t="n"/>
      <c r="C81" s="52" t="n"/>
      <c r="D81" s="52" t="n"/>
      <c r="E81" s="58">
        <f>IFERROR(VLOOKUP(D81,Maestro_SKU!$A$2:$P$500,2,FALSE),"")</f>
        <v/>
      </c>
      <c r="F81" s="52" t="n"/>
      <c r="G81" s="60" t="n"/>
      <c r="H81" s="52" t="n"/>
      <c r="I81" s="52" t="n"/>
      <c r="J81" s="52" t="n"/>
      <c r="K81" s="68">
        <f>IF($A81="","",YEAR($A81))</f>
        <v/>
      </c>
      <c r="L81" s="68">
        <f>IF($A81="","",MONTH($A81))</f>
        <v/>
      </c>
      <c r="M81" s="68">
        <f>IF($A81="","",DAY($A81))</f>
        <v/>
      </c>
      <c r="N81" s="68">
        <f>IF($A81="","",YEAR($A81)&amp;"-"&amp;TEXT(MONTH($A81),"00"))</f>
        <v/>
      </c>
    </row>
    <row r="82">
      <c r="A82" s="53" t="n"/>
      <c r="B82" s="52" t="n"/>
      <c r="C82" s="52" t="n"/>
      <c r="D82" s="52" t="n"/>
      <c r="E82" s="58">
        <f>IFERROR(VLOOKUP(D82,Maestro_SKU!$A$2:$P$500,2,FALSE),"")</f>
        <v/>
      </c>
      <c r="F82" s="52" t="n"/>
      <c r="G82" s="60" t="n"/>
      <c r="H82" s="52" t="n"/>
      <c r="I82" s="52" t="n"/>
      <c r="J82" s="52" t="n"/>
      <c r="K82" s="68">
        <f>IF($A82="","",YEAR($A82))</f>
        <v/>
      </c>
      <c r="L82" s="68">
        <f>IF($A82="","",MONTH($A82))</f>
        <v/>
      </c>
      <c r="M82" s="68">
        <f>IF($A82="","",DAY($A82))</f>
        <v/>
      </c>
      <c r="N82" s="68">
        <f>IF($A82="","",YEAR($A82)&amp;"-"&amp;TEXT(MONTH($A82),"00"))</f>
        <v/>
      </c>
    </row>
    <row r="83">
      <c r="A83" s="53" t="n"/>
      <c r="B83" s="52" t="n"/>
      <c r="C83" s="52" t="n"/>
      <c r="D83" s="52" t="n"/>
      <c r="E83" s="58">
        <f>IFERROR(VLOOKUP(D83,Maestro_SKU!$A$2:$P$500,2,FALSE),"")</f>
        <v/>
      </c>
      <c r="F83" s="52" t="n"/>
      <c r="G83" s="60" t="n"/>
      <c r="H83" s="52" t="n"/>
      <c r="I83" s="52" t="n"/>
      <c r="J83" s="52" t="n"/>
      <c r="K83" s="68">
        <f>IF($A83="","",YEAR($A83))</f>
        <v/>
      </c>
      <c r="L83" s="68">
        <f>IF($A83="","",MONTH($A83))</f>
        <v/>
      </c>
      <c r="M83" s="68">
        <f>IF($A83="","",DAY($A83))</f>
        <v/>
      </c>
      <c r="N83" s="68">
        <f>IF($A83="","",YEAR($A83)&amp;"-"&amp;TEXT(MONTH($A83),"00"))</f>
        <v/>
      </c>
    </row>
    <row r="84">
      <c r="A84" s="53" t="n"/>
      <c r="B84" s="52" t="n"/>
      <c r="C84" s="52" t="n"/>
      <c r="D84" s="52" t="n"/>
      <c r="E84" s="58">
        <f>IFERROR(VLOOKUP(D84,Maestro_SKU!$A$2:$P$500,2,FALSE),"")</f>
        <v/>
      </c>
      <c r="F84" s="52" t="n"/>
      <c r="G84" s="60" t="n"/>
      <c r="H84" s="52" t="n"/>
      <c r="I84" s="52" t="n"/>
      <c r="J84" s="52" t="n"/>
      <c r="K84" s="68">
        <f>IF($A84="","",YEAR($A84))</f>
        <v/>
      </c>
      <c r="L84" s="68">
        <f>IF($A84="","",MONTH($A84))</f>
        <v/>
      </c>
      <c r="M84" s="68">
        <f>IF($A84="","",DAY($A84))</f>
        <v/>
      </c>
      <c r="N84" s="68">
        <f>IF($A84="","",YEAR($A84)&amp;"-"&amp;TEXT(MONTH($A84),"00"))</f>
        <v/>
      </c>
    </row>
    <row r="85">
      <c r="A85" s="53" t="n"/>
      <c r="B85" s="52" t="n"/>
      <c r="C85" s="52" t="n"/>
      <c r="D85" s="52" t="n"/>
      <c r="E85" s="58">
        <f>IFERROR(VLOOKUP(D85,Maestro_SKU!$A$2:$P$500,2,FALSE),"")</f>
        <v/>
      </c>
      <c r="F85" s="52" t="n"/>
      <c r="G85" s="60" t="n"/>
      <c r="H85" s="52" t="n"/>
      <c r="I85" s="52" t="n"/>
      <c r="J85" s="52" t="n"/>
      <c r="K85" s="68">
        <f>IF($A85="","",YEAR($A85))</f>
        <v/>
      </c>
      <c r="L85" s="68">
        <f>IF($A85="","",MONTH($A85))</f>
        <v/>
      </c>
      <c r="M85" s="68">
        <f>IF($A85="","",DAY($A85))</f>
        <v/>
      </c>
      <c r="N85" s="68">
        <f>IF($A85="","",YEAR($A85)&amp;"-"&amp;TEXT(MONTH($A85),"00"))</f>
        <v/>
      </c>
    </row>
    <row r="86">
      <c r="A86" s="53" t="n"/>
      <c r="B86" s="52" t="n"/>
      <c r="C86" s="52" t="n"/>
      <c r="D86" s="52" t="n"/>
      <c r="E86" s="58">
        <f>IFERROR(VLOOKUP(D86,Maestro_SKU!$A$2:$P$500,2,FALSE),"")</f>
        <v/>
      </c>
      <c r="F86" s="52" t="n"/>
      <c r="G86" s="60" t="n"/>
      <c r="H86" s="52" t="n"/>
      <c r="I86" s="52" t="n"/>
      <c r="J86" s="52" t="n"/>
      <c r="K86" s="68">
        <f>IF($A86="","",YEAR($A86))</f>
        <v/>
      </c>
      <c r="L86" s="68">
        <f>IF($A86="","",MONTH($A86))</f>
        <v/>
      </c>
      <c r="M86" s="68">
        <f>IF($A86="","",DAY($A86))</f>
        <v/>
      </c>
      <c r="N86" s="68">
        <f>IF($A86="","",YEAR($A86)&amp;"-"&amp;TEXT(MONTH($A86),"00"))</f>
        <v/>
      </c>
    </row>
    <row r="87">
      <c r="A87" s="53" t="n"/>
      <c r="B87" s="52" t="n"/>
      <c r="C87" s="52" t="n"/>
      <c r="D87" s="52" t="n"/>
      <c r="E87" s="58">
        <f>IFERROR(VLOOKUP(D87,Maestro_SKU!$A$2:$P$500,2,FALSE),"")</f>
        <v/>
      </c>
      <c r="F87" s="52" t="n"/>
      <c r="G87" s="60" t="n"/>
      <c r="H87" s="52" t="n"/>
      <c r="I87" s="52" t="n"/>
      <c r="J87" s="52" t="n"/>
      <c r="K87" s="68">
        <f>IF($A87="","",YEAR($A87))</f>
        <v/>
      </c>
      <c r="L87" s="68">
        <f>IF($A87="","",MONTH($A87))</f>
        <v/>
      </c>
      <c r="M87" s="68">
        <f>IF($A87="","",DAY($A87))</f>
        <v/>
      </c>
      <c r="N87" s="68">
        <f>IF($A87="","",YEAR($A87)&amp;"-"&amp;TEXT(MONTH($A87),"00"))</f>
        <v/>
      </c>
    </row>
    <row r="88">
      <c r="A88" s="53" t="n"/>
      <c r="B88" s="52" t="n"/>
      <c r="C88" s="52" t="n"/>
      <c r="D88" s="52" t="n"/>
      <c r="E88" s="58">
        <f>IFERROR(VLOOKUP(D88,Maestro_SKU!$A$2:$P$500,2,FALSE),"")</f>
        <v/>
      </c>
      <c r="F88" s="52" t="n"/>
      <c r="G88" s="60" t="n"/>
      <c r="H88" s="52" t="n"/>
      <c r="I88" s="52" t="n"/>
      <c r="J88" s="52" t="n"/>
      <c r="K88" s="68">
        <f>IF($A88="","",YEAR($A88))</f>
        <v/>
      </c>
      <c r="L88" s="68">
        <f>IF($A88="","",MONTH($A88))</f>
        <v/>
      </c>
      <c r="M88" s="68">
        <f>IF($A88="","",DAY($A88))</f>
        <v/>
      </c>
      <c r="N88" s="68">
        <f>IF($A88="","",YEAR($A88)&amp;"-"&amp;TEXT(MONTH($A88),"00"))</f>
        <v/>
      </c>
    </row>
    <row r="89">
      <c r="A89" s="53" t="n"/>
      <c r="B89" s="52" t="n"/>
      <c r="C89" s="52" t="n"/>
      <c r="D89" s="52" t="n"/>
      <c r="E89" s="58">
        <f>IFERROR(VLOOKUP(D89,Maestro_SKU!$A$2:$P$500,2,FALSE),"")</f>
        <v/>
      </c>
      <c r="F89" s="52" t="n"/>
      <c r="G89" s="60" t="n"/>
      <c r="H89" s="52" t="n"/>
      <c r="I89" s="52" t="n"/>
      <c r="J89" s="52" t="n"/>
      <c r="K89" s="68">
        <f>IF($A89="","",YEAR($A89))</f>
        <v/>
      </c>
      <c r="L89" s="68">
        <f>IF($A89="","",MONTH($A89))</f>
        <v/>
      </c>
      <c r="M89" s="68">
        <f>IF($A89="","",DAY($A89))</f>
        <v/>
      </c>
      <c r="N89" s="68">
        <f>IF($A89="","",YEAR($A89)&amp;"-"&amp;TEXT(MONTH($A89),"00"))</f>
        <v/>
      </c>
    </row>
    <row r="90">
      <c r="A90" s="53" t="n"/>
      <c r="B90" s="52" t="n"/>
      <c r="C90" s="52" t="n"/>
      <c r="D90" s="52" t="n"/>
      <c r="E90" s="58">
        <f>IFERROR(VLOOKUP(D90,Maestro_SKU!$A$2:$P$500,2,FALSE),"")</f>
        <v/>
      </c>
      <c r="F90" s="52" t="n"/>
      <c r="G90" s="60" t="n"/>
      <c r="H90" s="52" t="n"/>
      <c r="I90" s="52" t="n"/>
      <c r="J90" s="52" t="n"/>
      <c r="K90" s="68">
        <f>IF($A90="","",YEAR($A90))</f>
        <v/>
      </c>
      <c r="L90" s="68">
        <f>IF($A90="","",MONTH($A90))</f>
        <v/>
      </c>
      <c r="M90" s="68">
        <f>IF($A90="","",DAY($A90))</f>
        <v/>
      </c>
      <c r="N90" s="68">
        <f>IF($A90="","",YEAR($A90)&amp;"-"&amp;TEXT(MONTH($A90),"00"))</f>
        <v/>
      </c>
    </row>
    <row r="91">
      <c r="A91" s="53" t="n"/>
      <c r="B91" s="52" t="n"/>
      <c r="C91" s="52" t="n"/>
      <c r="D91" s="52" t="n"/>
      <c r="E91" s="58">
        <f>IFERROR(VLOOKUP(D91,Maestro_SKU!$A$2:$P$500,2,FALSE),"")</f>
        <v/>
      </c>
      <c r="F91" s="52" t="n"/>
      <c r="G91" s="60" t="n"/>
      <c r="H91" s="52" t="n"/>
      <c r="I91" s="52" t="n"/>
      <c r="J91" s="52" t="n"/>
      <c r="K91" s="68">
        <f>IF($A91="","",YEAR($A91))</f>
        <v/>
      </c>
      <c r="L91" s="68">
        <f>IF($A91="","",MONTH($A91))</f>
        <v/>
      </c>
      <c r="M91" s="68">
        <f>IF($A91="","",DAY($A91))</f>
        <v/>
      </c>
      <c r="N91" s="68">
        <f>IF($A91="","",YEAR($A91)&amp;"-"&amp;TEXT(MONTH($A91),"00"))</f>
        <v/>
      </c>
    </row>
    <row r="92">
      <c r="A92" s="53" t="n"/>
      <c r="B92" s="52" t="n"/>
      <c r="C92" s="52" t="n"/>
      <c r="D92" s="52" t="n"/>
      <c r="E92" s="58">
        <f>IFERROR(VLOOKUP(D92,Maestro_SKU!$A$2:$P$500,2,FALSE),"")</f>
        <v/>
      </c>
      <c r="F92" s="52" t="n"/>
      <c r="G92" s="60" t="n"/>
      <c r="H92" s="52" t="n"/>
      <c r="I92" s="52" t="n"/>
      <c r="J92" s="52" t="n"/>
      <c r="K92" s="68">
        <f>IF($A92="","",YEAR($A92))</f>
        <v/>
      </c>
      <c r="L92" s="68">
        <f>IF($A92="","",MONTH($A92))</f>
        <v/>
      </c>
      <c r="M92" s="68">
        <f>IF($A92="","",DAY($A92))</f>
        <v/>
      </c>
      <c r="N92" s="68">
        <f>IF($A92="","",YEAR($A92)&amp;"-"&amp;TEXT(MONTH($A92),"00"))</f>
        <v/>
      </c>
    </row>
    <row r="93">
      <c r="A93" s="53" t="n"/>
      <c r="B93" s="52" t="n"/>
      <c r="C93" s="52" t="n"/>
      <c r="D93" s="52" t="n"/>
      <c r="E93" s="58">
        <f>IFERROR(VLOOKUP(D93,Maestro_SKU!$A$2:$P$500,2,FALSE),"")</f>
        <v/>
      </c>
      <c r="F93" s="52" t="n"/>
      <c r="G93" s="60" t="n"/>
      <c r="H93" s="52" t="n"/>
      <c r="I93" s="52" t="n"/>
      <c r="J93" s="52" t="n"/>
      <c r="K93" s="68">
        <f>IF($A93="","",YEAR($A93))</f>
        <v/>
      </c>
      <c r="L93" s="68">
        <f>IF($A93="","",MONTH($A93))</f>
        <v/>
      </c>
      <c r="M93" s="68">
        <f>IF($A93="","",DAY($A93))</f>
        <v/>
      </c>
      <c r="N93" s="68">
        <f>IF($A93="","",YEAR($A93)&amp;"-"&amp;TEXT(MONTH($A93),"00"))</f>
        <v/>
      </c>
    </row>
    <row r="94">
      <c r="A94" s="53" t="n"/>
      <c r="B94" s="52" t="n"/>
      <c r="C94" s="52" t="n"/>
      <c r="D94" s="52" t="n"/>
      <c r="E94" s="58">
        <f>IFERROR(VLOOKUP(D94,Maestro_SKU!$A$2:$P$500,2,FALSE),"")</f>
        <v/>
      </c>
      <c r="F94" s="52" t="n"/>
      <c r="G94" s="60" t="n"/>
      <c r="H94" s="52" t="n"/>
      <c r="I94" s="52" t="n"/>
      <c r="J94" s="52" t="n"/>
      <c r="K94" s="68">
        <f>IF($A94="","",YEAR($A94))</f>
        <v/>
      </c>
      <c r="L94" s="68">
        <f>IF($A94="","",MONTH($A94))</f>
        <v/>
      </c>
      <c r="M94" s="68">
        <f>IF($A94="","",DAY($A94))</f>
        <v/>
      </c>
      <c r="N94" s="68">
        <f>IF($A94="","",YEAR($A94)&amp;"-"&amp;TEXT(MONTH($A94),"00"))</f>
        <v/>
      </c>
    </row>
    <row r="95">
      <c r="A95" s="53" t="n"/>
      <c r="B95" s="52" t="n"/>
      <c r="C95" s="52" t="n"/>
      <c r="D95" s="52" t="n"/>
      <c r="E95" s="58">
        <f>IFERROR(VLOOKUP(D95,Maestro_SKU!$A$2:$P$500,2,FALSE),"")</f>
        <v/>
      </c>
      <c r="F95" s="52" t="n"/>
      <c r="G95" s="60" t="n"/>
      <c r="H95" s="52" t="n"/>
      <c r="I95" s="52" t="n"/>
      <c r="J95" s="52" t="n"/>
      <c r="K95" s="68">
        <f>IF($A95="","",YEAR($A95))</f>
        <v/>
      </c>
      <c r="L95" s="68">
        <f>IF($A95="","",MONTH($A95))</f>
        <v/>
      </c>
      <c r="M95" s="68">
        <f>IF($A95="","",DAY($A95))</f>
        <v/>
      </c>
      <c r="N95" s="68">
        <f>IF($A95="","",YEAR($A95)&amp;"-"&amp;TEXT(MONTH($A95),"00"))</f>
        <v/>
      </c>
    </row>
    <row r="96">
      <c r="A96" s="53" t="n"/>
      <c r="B96" s="52" t="n"/>
      <c r="C96" s="52" t="n"/>
      <c r="D96" s="52" t="n"/>
      <c r="E96" s="58">
        <f>IFERROR(VLOOKUP(D96,Maestro_SKU!$A$2:$P$500,2,FALSE),"")</f>
        <v/>
      </c>
      <c r="F96" s="52" t="n"/>
      <c r="G96" s="60" t="n"/>
      <c r="H96" s="52" t="n"/>
      <c r="I96" s="52" t="n"/>
      <c r="J96" s="52" t="n"/>
      <c r="K96" s="68">
        <f>IF($A96="","",YEAR($A96))</f>
        <v/>
      </c>
      <c r="L96" s="68">
        <f>IF($A96="","",MONTH($A96))</f>
        <v/>
      </c>
      <c r="M96" s="68">
        <f>IF($A96="","",DAY($A96))</f>
        <v/>
      </c>
      <c r="N96" s="68">
        <f>IF($A96="","",YEAR($A96)&amp;"-"&amp;TEXT(MONTH($A96),"00"))</f>
        <v/>
      </c>
    </row>
    <row r="97">
      <c r="A97" s="53" t="n"/>
      <c r="B97" s="52" t="n"/>
      <c r="C97" s="52" t="n"/>
      <c r="D97" s="52" t="n"/>
      <c r="E97" s="58">
        <f>IFERROR(VLOOKUP(D97,Maestro_SKU!$A$2:$P$500,2,FALSE),"")</f>
        <v/>
      </c>
      <c r="F97" s="52" t="n"/>
      <c r="G97" s="60" t="n"/>
      <c r="H97" s="52" t="n"/>
      <c r="I97" s="52" t="n"/>
      <c r="J97" s="52" t="n"/>
      <c r="K97" s="68">
        <f>IF($A97="","",YEAR($A97))</f>
        <v/>
      </c>
      <c r="L97" s="68">
        <f>IF($A97="","",MONTH($A97))</f>
        <v/>
      </c>
      <c r="M97" s="68">
        <f>IF($A97="","",DAY($A97))</f>
        <v/>
      </c>
      <c r="N97" s="68">
        <f>IF($A97="","",YEAR($A97)&amp;"-"&amp;TEXT(MONTH($A97),"00"))</f>
        <v/>
      </c>
    </row>
    <row r="98">
      <c r="A98" s="53" t="n"/>
      <c r="B98" s="52" t="n"/>
      <c r="C98" s="52" t="n"/>
      <c r="D98" s="52" t="n"/>
      <c r="E98" s="58">
        <f>IFERROR(VLOOKUP(D98,Maestro_SKU!$A$2:$P$500,2,FALSE),"")</f>
        <v/>
      </c>
      <c r="F98" s="52" t="n"/>
      <c r="G98" s="60" t="n"/>
      <c r="H98" s="52" t="n"/>
      <c r="I98" s="52" t="n"/>
      <c r="J98" s="52" t="n"/>
      <c r="K98" s="68">
        <f>IF($A98="","",YEAR($A98))</f>
        <v/>
      </c>
      <c r="L98" s="68">
        <f>IF($A98="","",MONTH($A98))</f>
        <v/>
      </c>
      <c r="M98" s="68">
        <f>IF($A98="","",DAY($A98))</f>
        <v/>
      </c>
      <c r="N98" s="68">
        <f>IF($A98="","",YEAR($A98)&amp;"-"&amp;TEXT(MONTH($A98),"00"))</f>
        <v/>
      </c>
    </row>
    <row r="99">
      <c r="A99" s="53" t="n"/>
      <c r="B99" s="52" t="n"/>
      <c r="C99" s="52" t="n"/>
      <c r="D99" s="52" t="n"/>
      <c r="E99" s="58">
        <f>IFERROR(VLOOKUP(D99,Maestro_SKU!$A$2:$P$500,2,FALSE),"")</f>
        <v/>
      </c>
      <c r="F99" s="52" t="n"/>
      <c r="G99" s="60" t="n"/>
      <c r="H99" s="52" t="n"/>
      <c r="I99" s="52" t="n"/>
      <c r="J99" s="52" t="n"/>
      <c r="K99" s="68">
        <f>IF($A99="","",YEAR($A99))</f>
        <v/>
      </c>
      <c r="L99" s="68">
        <f>IF($A99="","",MONTH($A99))</f>
        <v/>
      </c>
      <c r="M99" s="68">
        <f>IF($A99="","",DAY($A99))</f>
        <v/>
      </c>
      <c r="N99" s="68">
        <f>IF($A99="","",YEAR($A99)&amp;"-"&amp;TEXT(MONTH($A99),"00"))</f>
        <v/>
      </c>
    </row>
    <row r="100">
      <c r="A100" s="53" t="n"/>
      <c r="B100" s="52" t="n"/>
      <c r="C100" s="52" t="n"/>
      <c r="D100" s="52" t="n"/>
      <c r="E100" s="58">
        <f>IFERROR(VLOOKUP(D100,Maestro_SKU!$A$2:$P$500,2,FALSE),"")</f>
        <v/>
      </c>
      <c r="F100" s="52" t="n"/>
      <c r="G100" s="60" t="n"/>
      <c r="H100" s="52" t="n"/>
      <c r="I100" s="52" t="n"/>
      <c r="J100" s="52" t="n"/>
      <c r="K100" s="68">
        <f>IF($A100="","",YEAR($A100))</f>
        <v/>
      </c>
      <c r="L100" s="68">
        <f>IF($A100="","",MONTH($A100))</f>
        <v/>
      </c>
      <c r="M100" s="68">
        <f>IF($A100="","",DAY($A100))</f>
        <v/>
      </c>
      <c r="N100" s="68">
        <f>IF($A100="","",YEAR($A100)&amp;"-"&amp;TEXT(MONTH($A100),"00"))</f>
        <v/>
      </c>
    </row>
    <row r="101">
      <c r="A101" s="53" t="n"/>
      <c r="B101" s="52" t="n"/>
      <c r="C101" s="52" t="n"/>
      <c r="D101" s="52" t="n"/>
      <c r="E101" s="58">
        <f>IFERROR(VLOOKUP(D101,Maestro_SKU!$A$2:$P$500,2,FALSE),"")</f>
        <v/>
      </c>
      <c r="F101" s="52" t="n"/>
      <c r="G101" s="60" t="n"/>
      <c r="H101" s="52" t="n"/>
      <c r="I101" s="52" t="n"/>
      <c r="J101" s="52" t="n"/>
      <c r="K101" s="68">
        <f>IF($A101="","",YEAR($A101))</f>
        <v/>
      </c>
      <c r="L101" s="68">
        <f>IF($A101="","",MONTH($A101))</f>
        <v/>
      </c>
      <c r="M101" s="68">
        <f>IF($A101="","",DAY($A101))</f>
        <v/>
      </c>
      <c r="N101" s="68">
        <f>IF($A101="","",YEAR($A101)&amp;"-"&amp;TEXT(MONTH($A101),"00"))</f>
        <v/>
      </c>
    </row>
    <row r="102">
      <c r="A102" s="53" t="n"/>
      <c r="B102" s="52" t="n"/>
      <c r="C102" s="52" t="n"/>
      <c r="D102" s="52" t="n"/>
      <c r="E102" s="58">
        <f>IFERROR(VLOOKUP(D102,Maestro_SKU!$A$2:$P$500,2,FALSE),"")</f>
        <v/>
      </c>
      <c r="F102" s="52" t="n"/>
      <c r="G102" s="60" t="n"/>
      <c r="H102" s="52" t="n"/>
      <c r="I102" s="52" t="n"/>
      <c r="J102" s="52" t="n"/>
      <c r="K102" s="68">
        <f>IF($A102="","",YEAR($A102))</f>
        <v/>
      </c>
      <c r="L102" s="68">
        <f>IF($A102="","",MONTH($A102))</f>
        <v/>
      </c>
      <c r="M102" s="68">
        <f>IF($A102="","",DAY($A102))</f>
        <v/>
      </c>
      <c r="N102" s="68">
        <f>IF($A102="","",YEAR($A102)&amp;"-"&amp;TEXT(MONTH($A102),"00"))</f>
        <v/>
      </c>
    </row>
    <row r="103">
      <c r="A103" s="53" t="n"/>
      <c r="B103" s="52" t="n"/>
      <c r="C103" s="52" t="n"/>
      <c r="D103" s="52" t="n"/>
      <c r="E103" s="58">
        <f>IFERROR(VLOOKUP(D103,Maestro_SKU!$A$2:$P$500,2,FALSE),"")</f>
        <v/>
      </c>
      <c r="F103" s="52" t="n"/>
      <c r="G103" s="60" t="n"/>
      <c r="H103" s="52" t="n"/>
      <c r="I103" s="52" t="n"/>
      <c r="J103" s="52" t="n"/>
      <c r="K103" s="68">
        <f>IF($A103="","",YEAR($A103))</f>
        <v/>
      </c>
      <c r="L103" s="68">
        <f>IF($A103="","",MONTH($A103))</f>
        <v/>
      </c>
      <c r="M103" s="68">
        <f>IF($A103="","",DAY($A103))</f>
        <v/>
      </c>
      <c r="N103" s="68">
        <f>IF($A103="","",YEAR($A103)&amp;"-"&amp;TEXT(MONTH($A103),"00"))</f>
        <v/>
      </c>
    </row>
    <row r="104">
      <c r="A104" s="53" t="n"/>
      <c r="B104" s="52" t="n"/>
      <c r="C104" s="52" t="n"/>
      <c r="D104" s="52" t="n"/>
      <c r="E104" s="58">
        <f>IFERROR(VLOOKUP(D104,Maestro_SKU!$A$2:$P$500,2,FALSE),"")</f>
        <v/>
      </c>
      <c r="F104" s="52" t="n"/>
      <c r="G104" s="60" t="n"/>
      <c r="H104" s="52" t="n"/>
      <c r="I104" s="52" t="n"/>
      <c r="J104" s="52" t="n"/>
      <c r="K104" s="68">
        <f>IF($A104="","",YEAR($A104))</f>
        <v/>
      </c>
      <c r="L104" s="68">
        <f>IF($A104="","",MONTH($A104))</f>
        <v/>
      </c>
      <c r="M104" s="68">
        <f>IF($A104="","",DAY($A104))</f>
        <v/>
      </c>
      <c r="N104" s="68">
        <f>IF($A104="","",YEAR($A104)&amp;"-"&amp;TEXT(MONTH($A104),"00"))</f>
        <v/>
      </c>
    </row>
    <row r="105">
      <c r="A105" s="53" t="n"/>
      <c r="B105" s="52" t="n"/>
      <c r="C105" s="52" t="n"/>
      <c r="D105" s="52" t="n"/>
      <c r="E105" s="58">
        <f>IFERROR(VLOOKUP(D105,Maestro_SKU!$A$2:$P$500,2,FALSE),"")</f>
        <v/>
      </c>
      <c r="F105" s="52" t="n"/>
      <c r="G105" s="60" t="n"/>
      <c r="H105" s="52" t="n"/>
      <c r="I105" s="52" t="n"/>
      <c r="J105" s="52" t="n"/>
      <c r="K105" s="68">
        <f>IF($A105="","",YEAR($A105))</f>
        <v/>
      </c>
      <c r="L105" s="68">
        <f>IF($A105="","",MONTH($A105))</f>
        <v/>
      </c>
      <c r="M105" s="68">
        <f>IF($A105="","",DAY($A105))</f>
        <v/>
      </c>
      <c r="N105" s="68">
        <f>IF($A105="","",YEAR($A105)&amp;"-"&amp;TEXT(MONTH($A105),"00"))</f>
        <v/>
      </c>
    </row>
    <row r="106">
      <c r="A106" s="53" t="n"/>
      <c r="B106" s="52" t="n"/>
      <c r="C106" s="52" t="n"/>
      <c r="D106" s="52" t="n"/>
      <c r="E106" s="58">
        <f>IFERROR(VLOOKUP(D106,Maestro_SKU!$A$2:$P$500,2,FALSE),"")</f>
        <v/>
      </c>
      <c r="F106" s="52" t="n"/>
      <c r="G106" s="60" t="n"/>
      <c r="H106" s="52" t="n"/>
      <c r="I106" s="52" t="n"/>
      <c r="J106" s="52" t="n"/>
      <c r="K106" s="68">
        <f>IF($A106="","",YEAR($A106))</f>
        <v/>
      </c>
      <c r="L106" s="68">
        <f>IF($A106="","",MONTH($A106))</f>
        <v/>
      </c>
      <c r="M106" s="68">
        <f>IF($A106="","",DAY($A106))</f>
        <v/>
      </c>
      <c r="N106" s="68">
        <f>IF($A106="","",YEAR($A106)&amp;"-"&amp;TEXT(MONTH($A106),"00"))</f>
        <v/>
      </c>
    </row>
    <row r="107">
      <c r="A107" s="53" t="n"/>
      <c r="B107" s="52" t="n"/>
      <c r="C107" s="52" t="n"/>
      <c r="D107" s="52" t="n"/>
      <c r="E107" s="58">
        <f>IFERROR(VLOOKUP(D107,Maestro_SKU!$A$2:$P$500,2,FALSE),"")</f>
        <v/>
      </c>
      <c r="F107" s="52" t="n"/>
      <c r="G107" s="60" t="n"/>
      <c r="H107" s="52" t="n"/>
      <c r="I107" s="52" t="n"/>
      <c r="J107" s="52" t="n"/>
      <c r="K107" s="68">
        <f>IF($A107="","",YEAR($A107))</f>
        <v/>
      </c>
      <c r="L107" s="68">
        <f>IF($A107="","",MONTH($A107))</f>
        <v/>
      </c>
      <c r="M107" s="68">
        <f>IF($A107="","",DAY($A107))</f>
        <v/>
      </c>
      <c r="N107" s="68">
        <f>IF($A107="","",YEAR($A107)&amp;"-"&amp;TEXT(MONTH($A107),"00"))</f>
        <v/>
      </c>
    </row>
    <row r="108">
      <c r="A108" s="53" t="n"/>
      <c r="B108" s="52" t="n"/>
      <c r="C108" s="52" t="n"/>
      <c r="D108" s="52" t="n"/>
      <c r="E108" s="58">
        <f>IFERROR(VLOOKUP(D108,Maestro_SKU!$A$2:$P$500,2,FALSE),"")</f>
        <v/>
      </c>
      <c r="F108" s="52" t="n"/>
      <c r="G108" s="60" t="n"/>
      <c r="H108" s="52" t="n"/>
      <c r="I108" s="52" t="n"/>
      <c r="J108" s="52" t="n"/>
      <c r="K108" s="68">
        <f>IF($A108="","",YEAR($A108))</f>
        <v/>
      </c>
      <c r="L108" s="68">
        <f>IF($A108="","",MONTH($A108))</f>
        <v/>
      </c>
      <c r="M108" s="68">
        <f>IF($A108="","",DAY($A108))</f>
        <v/>
      </c>
      <c r="N108" s="68">
        <f>IF($A108="","",YEAR($A108)&amp;"-"&amp;TEXT(MONTH($A108),"00"))</f>
        <v/>
      </c>
    </row>
    <row r="109">
      <c r="A109" s="53" t="n"/>
      <c r="B109" s="52" t="n"/>
      <c r="C109" s="52" t="n"/>
      <c r="D109" s="52" t="n"/>
      <c r="E109" s="58">
        <f>IFERROR(VLOOKUP(D109,Maestro_SKU!$A$2:$P$500,2,FALSE),"")</f>
        <v/>
      </c>
      <c r="F109" s="52" t="n"/>
      <c r="G109" s="60" t="n"/>
      <c r="H109" s="52" t="n"/>
      <c r="I109" s="52" t="n"/>
      <c r="J109" s="52" t="n"/>
      <c r="K109" s="68">
        <f>IF($A109="","",YEAR($A109))</f>
        <v/>
      </c>
      <c r="L109" s="68">
        <f>IF($A109="","",MONTH($A109))</f>
        <v/>
      </c>
      <c r="M109" s="68">
        <f>IF($A109="","",DAY($A109))</f>
        <v/>
      </c>
      <c r="N109" s="68">
        <f>IF($A109="","",YEAR($A109)&amp;"-"&amp;TEXT(MONTH($A109),"00"))</f>
        <v/>
      </c>
    </row>
    <row r="110">
      <c r="A110" s="53" t="n"/>
      <c r="B110" s="52" t="n"/>
      <c r="C110" s="52" t="n"/>
      <c r="D110" s="52" t="n"/>
      <c r="E110" s="58">
        <f>IFERROR(VLOOKUP(D110,Maestro_SKU!$A$2:$P$500,2,FALSE),"")</f>
        <v/>
      </c>
      <c r="F110" s="52" t="n"/>
      <c r="G110" s="60" t="n"/>
      <c r="H110" s="52" t="n"/>
      <c r="I110" s="52" t="n"/>
      <c r="J110" s="52" t="n"/>
      <c r="K110" s="68">
        <f>IF($A110="","",YEAR($A110))</f>
        <v/>
      </c>
      <c r="L110" s="68">
        <f>IF($A110="","",MONTH($A110))</f>
        <v/>
      </c>
      <c r="M110" s="68">
        <f>IF($A110="","",DAY($A110))</f>
        <v/>
      </c>
      <c r="N110" s="68">
        <f>IF($A110="","",YEAR($A110)&amp;"-"&amp;TEXT(MONTH($A110),"00"))</f>
        <v/>
      </c>
    </row>
    <row r="111">
      <c r="A111" s="53" t="n"/>
      <c r="B111" s="52" t="n"/>
      <c r="C111" s="52" t="n"/>
      <c r="D111" s="52" t="n"/>
      <c r="E111" s="58">
        <f>IFERROR(VLOOKUP(D111,Maestro_SKU!$A$2:$P$500,2,FALSE),"")</f>
        <v/>
      </c>
      <c r="F111" s="52" t="n"/>
      <c r="G111" s="60" t="n"/>
      <c r="H111" s="52" t="n"/>
      <c r="I111" s="52" t="n"/>
      <c r="J111" s="52" t="n"/>
      <c r="K111" s="68">
        <f>IF($A111="","",YEAR($A111))</f>
        <v/>
      </c>
      <c r="L111" s="68">
        <f>IF($A111="","",MONTH($A111))</f>
        <v/>
      </c>
      <c r="M111" s="68">
        <f>IF($A111="","",DAY($A111))</f>
        <v/>
      </c>
      <c r="N111" s="68">
        <f>IF($A111="","",YEAR($A111)&amp;"-"&amp;TEXT(MONTH($A111),"00"))</f>
        <v/>
      </c>
    </row>
    <row r="112">
      <c r="A112" s="53" t="n"/>
      <c r="B112" s="52" t="n"/>
      <c r="C112" s="52" t="n"/>
      <c r="D112" s="52" t="n"/>
      <c r="E112" s="58">
        <f>IFERROR(VLOOKUP(D112,Maestro_SKU!$A$2:$P$500,2,FALSE),"")</f>
        <v/>
      </c>
      <c r="F112" s="52" t="n"/>
      <c r="G112" s="60" t="n"/>
      <c r="H112" s="52" t="n"/>
      <c r="I112" s="52" t="n"/>
      <c r="J112" s="52" t="n"/>
      <c r="K112" s="68">
        <f>IF($A112="","",YEAR($A112))</f>
        <v/>
      </c>
      <c r="L112" s="68">
        <f>IF($A112="","",MONTH($A112))</f>
        <v/>
      </c>
      <c r="M112" s="68">
        <f>IF($A112="","",DAY($A112))</f>
        <v/>
      </c>
      <c r="N112" s="68">
        <f>IF($A112="","",YEAR($A112)&amp;"-"&amp;TEXT(MONTH($A112),"00"))</f>
        <v/>
      </c>
    </row>
    <row r="113">
      <c r="A113" s="53" t="n"/>
      <c r="B113" s="52" t="n"/>
      <c r="C113" s="52" t="n"/>
      <c r="D113" s="52" t="n"/>
      <c r="E113" s="58">
        <f>IFERROR(VLOOKUP(D113,Maestro_SKU!$A$2:$P$500,2,FALSE),"")</f>
        <v/>
      </c>
      <c r="F113" s="52" t="n"/>
      <c r="G113" s="60" t="n"/>
      <c r="H113" s="52" t="n"/>
      <c r="I113" s="52" t="n"/>
      <c r="J113" s="52" t="n"/>
      <c r="K113" s="68">
        <f>IF($A113="","",YEAR($A113))</f>
        <v/>
      </c>
      <c r="L113" s="68">
        <f>IF($A113="","",MONTH($A113))</f>
        <v/>
      </c>
      <c r="M113" s="68">
        <f>IF($A113="","",DAY($A113))</f>
        <v/>
      </c>
      <c r="N113" s="68">
        <f>IF($A113="","",YEAR($A113)&amp;"-"&amp;TEXT(MONTH($A113),"00"))</f>
        <v/>
      </c>
    </row>
    <row r="114">
      <c r="A114" s="53" t="n"/>
      <c r="B114" s="52" t="n"/>
      <c r="C114" s="52" t="n"/>
      <c r="D114" s="52" t="n"/>
      <c r="E114" s="58">
        <f>IFERROR(VLOOKUP(D114,Maestro_SKU!$A$2:$P$500,2,FALSE),"")</f>
        <v/>
      </c>
      <c r="F114" s="52" t="n"/>
      <c r="G114" s="60" t="n"/>
      <c r="H114" s="52" t="n"/>
      <c r="I114" s="52" t="n"/>
      <c r="J114" s="52" t="n"/>
      <c r="K114" s="68">
        <f>IF($A114="","",YEAR($A114))</f>
        <v/>
      </c>
      <c r="L114" s="68">
        <f>IF($A114="","",MONTH($A114))</f>
        <v/>
      </c>
      <c r="M114" s="68">
        <f>IF($A114="","",DAY($A114))</f>
        <v/>
      </c>
      <c r="N114" s="68">
        <f>IF($A114="","",YEAR($A114)&amp;"-"&amp;TEXT(MONTH($A114),"00"))</f>
        <v/>
      </c>
    </row>
    <row r="115">
      <c r="A115" s="53" t="n"/>
      <c r="B115" s="52" t="n"/>
      <c r="C115" s="52" t="n"/>
      <c r="D115" s="52" t="n"/>
      <c r="E115" s="58">
        <f>IFERROR(VLOOKUP(D115,Maestro_SKU!$A$2:$P$500,2,FALSE),"")</f>
        <v/>
      </c>
      <c r="F115" s="52" t="n"/>
      <c r="G115" s="60" t="n"/>
      <c r="H115" s="52" t="n"/>
      <c r="I115" s="52" t="n"/>
      <c r="J115" s="52" t="n"/>
      <c r="K115" s="68">
        <f>IF($A115="","",YEAR($A115))</f>
        <v/>
      </c>
      <c r="L115" s="68">
        <f>IF($A115="","",MONTH($A115))</f>
        <v/>
      </c>
      <c r="M115" s="68">
        <f>IF($A115="","",DAY($A115))</f>
        <v/>
      </c>
      <c r="N115" s="68">
        <f>IF($A115="","",YEAR($A115)&amp;"-"&amp;TEXT(MONTH($A115),"00"))</f>
        <v/>
      </c>
    </row>
    <row r="116">
      <c r="A116" s="53" t="n"/>
      <c r="B116" s="52" t="n"/>
      <c r="C116" s="52" t="n"/>
      <c r="D116" s="52" t="n"/>
      <c r="E116" s="58">
        <f>IFERROR(VLOOKUP(D116,Maestro_SKU!$A$2:$P$500,2,FALSE),"")</f>
        <v/>
      </c>
      <c r="F116" s="52" t="n"/>
      <c r="G116" s="60" t="n"/>
      <c r="H116" s="52" t="n"/>
      <c r="I116" s="52" t="n"/>
      <c r="J116" s="52" t="n"/>
      <c r="K116" s="68">
        <f>IF($A116="","",YEAR($A116))</f>
        <v/>
      </c>
      <c r="L116" s="68">
        <f>IF($A116="","",MONTH($A116))</f>
        <v/>
      </c>
      <c r="M116" s="68">
        <f>IF($A116="","",DAY($A116))</f>
        <v/>
      </c>
      <c r="N116" s="68">
        <f>IF($A116="","",YEAR($A116)&amp;"-"&amp;TEXT(MONTH($A116),"00"))</f>
        <v/>
      </c>
    </row>
    <row r="117">
      <c r="A117" s="53" t="n"/>
      <c r="B117" s="52" t="n"/>
      <c r="C117" s="52" t="n"/>
      <c r="D117" s="52" t="n"/>
      <c r="E117" s="58">
        <f>IFERROR(VLOOKUP(D117,Maestro_SKU!$A$2:$P$500,2,FALSE),"")</f>
        <v/>
      </c>
      <c r="F117" s="52" t="n"/>
      <c r="G117" s="60" t="n"/>
      <c r="H117" s="52" t="n"/>
      <c r="I117" s="52" t="n"/>
      <c r="J117" s="52" t="n"/>
      <c r="K117" s="68">
        <f>IF($A117="","",YEAR($A117))</f>
        <v/>
      </c>
      <c r="L117" s="68">
        <f>IF($A117="","",MONTH($A117))</f>
        <v/>
      </c>
      <c r="M117" s="68">
        <f>IF($A117="","",DAY($A117))</f>
        <v/>
      </c>
      <c r="N117" s="68">
        <f>IF($A117="","",YEAR($A117)&amp;"-"&amp;TEXT(MONTH($A117),"00"))</f>
        <v/>
      </c>
    </row>
    <row r="118">
      <c r="A118" s="53" t="n"/>
      <c r="B118" s="52" t="n"/>
      <c r="C118" s="52" t="n"/>
      <c r="D118" s="52" t="n"/>
      <c r="E118" s="58">
        <f>IFERROR(VLOOKUP(D118,Maestro_SKU!$A$2:$P$500,2,FALSE),"")</f>
        <v/>
      </c>
      <c r="F118" s="52" t="n"/>
      <c r="G118" s="60" t="n"/>
      <c r="H118" s="52" t="n"/>
      <c r="I118" s="52" t="n"/>
      <c r="J118" s="52" t="n"/>
      <c r="K118" s="68">
        <f>IF($A118="","",YEAR($A118))</f>
        <v/>
      </c>
      <c r="L118" s="68">
        <f>IF($A118="","",MONTH($A118))</f>
        <v/>
      </c>
      <c r="M118" s="68">
        <f>IF($A118="","",DAY($A118))</f>
        <v/>
      </c>
      <c r="N118" s="68">
        <f>IF($A118="","",YEAR($A118)&amp;"-"&amp;TEXT(MONTH($A118),"00"))</f>
        <v/>
      </c>
    </row>
    <row r="119">
      <c r="A119" s="53" t="n"/>
      <c r="B119" s="52" t="n"/>
      <c r="C119" s="52" t="n"/>
      <c r="D119" s="52" t="n"/>
      <c r="E119" s="58">
        <f>IFERROR(VLOOKUP(D119,Maestro_SKU!$A$2:$P$500,2,FALSE),"")</f>
        <v/>
      </c>
      <c r="F119" s="52" t="n"/>
      <c r="G119" s="60" t="n"/>
      <c r="H119" s="52" t="n"/>
      <c r="I119" s="52" t="n"/>
      <c r="J119" s="52" t="n"/>
      <c r="K119" s="68">
        <f>IF($A119="","",YEAR($A119))</f>
        <v/>
      </c>
      <c r="L119" s="68">
        <f>IF($A119="","",MONTH($A119))</f>
        <v/>
      </c>
      <c r="M119" s="68">
        <f>IF($A119="","",DAY($A119))</f>
        <v/>
      </c>
      <c r="N119" s="68">
        <f>IF($A119="","",YEAR($A119)&amp;"-"&amp;TEXT(MONTH($A119),"00"))</f>
        <v/>
      </c>
    </row>
    <row r="120">
      <c r="A120" s="53" t="n"/>
      <c r="B120" s="52" t="n"/>
      <c r="C120" s="52" t="n"/>
      <c r="D120" s="52" t="n"/>
      <c r="E120" s="58">
        <f>IFERROR(VLOOKUP(D120,Maestro_SKU!$A$2:$P$500,2,FALSE),"")</f>
        <v/>
      </c>
      <c r="F120" s="52" t="n"/>
      <c r="G120" s="60" t="n"/>
      <c r="H120" s="52" t="n"/>
      <c r="I120" s="52" t="n"/>
      <c r="J120" s="52" t="n"/>
      <c r="K120" s="68">
        <f>IF($A120="","",YEAR($A120))</f>
        <v/>
      </c>
      <c r="L120" s="68">
        <f>IF($A120="","",MONTH($A120))</f>
        <v/>
      </c>
      <c r="M120" s="68">
        <f>IF($A120="","",DAY($A120))</f>
        <v/>
      </c>
      <c r="N120" s="68">
        <f>IF($A120="","",YEAR($A120)&amp;"-"&amp;TEXT(MONTH($A120),"00"))</f>
        <v/>
      </c>
    </row>
    <row r="121">
      <c r="A121" s="53" t="n"/>
      <c r="B121" s="52" t="n"/>
      <c r="C121" s="52" t="n"/>
      <c r="D121" s="52" t="n"/>
      <c r="E121" s="58">
        <f>IFERROR(VLOOKUP(D121,Maestro_SKU!$A$2:$P$500,2,FALSE),"")</f>
        <v/>
      </c>
      <c r="F121" s="52" t="n"/>
      <c r="G121" s="60" t="n"/>
      <c r="H121" s="52" t="n"/>
      <c r="I121" s="52" t="n"/>
      <c r="J121" s="52" t="n"/>
      <c r="K121" s="68">
        <f>IF($A121="","",YEAR($A121))</f>
        <v/>
      </c>
      <c r="L121" s="68">
        <f>IF($A121="","",MONTH($A121))</f>
        <v/>
      </c>
      <c r="M121" s="68">
        <f>IF($A121="","",DAY($A121))</f>
        <v/>
      </c>
      <c r="N121" s="68">
        <f>IF($A121="","",YEAR($A121)&amp;"-"&amp;TEXT(MONTH($A121),"00"))</f>
        <v/>
      </c>
    </row>
    <row r="122">
      <c r="A122" s="53" t="n"/>
      <c r="B122" s="52" t="n"/>
      <c r="C122" s="52" t="n"/>
      <c r="D122" s="52" t="n"/>
      <c r="E122" s="58">
        <f>IFERROR(VLOOKUP(D122,Maestro_SKU!$A$2:$P$500,2,FALSE),"")</f>
        <v/>
      </c>
      <c r="F122" s="52" t="n"/>
      <c r="G122" s="60" t="n"/>
      <c r="H122" s="52" t="n"/>
      <c r="I122" s="52" t="n"/>
      <c r="J122" s="52" t="n"/>
      <c r="K122" s="68">
        <f>IF($A122="","",YEAR($A122))</f>
        <v/>
      </c>
      <c r="L122" s="68">
        <f>IF($A122="","",MONTH($A122))</f>
        <v/>
      </c>
      <c r="M122" s="68">
        <f>IF($A122="","",DAY($A122))</f>
        <v/>
      </c>
      <c r="N122" s="68">
        <f>IF($A122="","",YEAR($A122)&amp;"-"&amp;TEXT(MONTH($A122),"00"))</f>
        <v/>
      </c>
    </row>
    <row r="123">
      <c r="A123" s="53" t="n"/>
      <c r="B123" s="52" t="n"/>
      <c r="C123" s="52" t="n"/>
      <c r="D123" s="52" t="n"/>
      <c r="E123" s="58">
        <f>IFERROR(VLOOKUP(D123,Maestro_SKU!$A$2:$P$500,2,FALSE),"")</f>
        <v/>
      </c>
      <c r="F123" s="52" t="n"/>
      <c r="G123" s="60" t="n"/>
      <c r="H123" s="52" t="n"/>
      <c r="I123" s="52" t="n"/>
      <c r="J123" s="52" t="n"/>
      <c r="K123" s="68">
        <f>IF($A123="","",YEAR($A123))</f>
        <v/>
      </c>
      <c r="L123" s="68">
        <f>IF($A123="","",MONTH($A123))</f>
        <v/>
      </c>
      <c r="M123" s="68">
        <f>IF($A123="","",DAY($A123))</f>
        <v/>
      </c>
      <c r="N123" s="68">
        <f>IF($A123="","",YEAR($A123)&amp;"-"&amp;TEXT(MONTH($A123),"00"))</f>
        <v/>
      </c>
    </row>
    <row r="124">
      <c r="A124" s="53" t="n"/>
      <c r="B124" s="52" t="n"/>
      <c r="C124" s="52" t="n"/>
      <c r="D124" s="52" t="n"/>
      <c r="E124" s="58">
        <f>IFERROR(VLOOKUP(D124,Maestro_SKU!$A$2:$P$500,2,FALSE),"")</f>
        <v/>
      </c>
      <c r="F124" s="52" t="n"/>
      <c r="G124" s="60" t="n"/>
      <c r="H124" s="52" t="n"/>
      <c r="I124" s="52" t="n"/>
      <c r="J124" s="52" t="n"/>
      <c r="K124" s="68">
        <f>IF($A124="","",YEAR($A124))</f>
        <v/>
      </c>
      <c r="L124" s="68">
        <f>IF($A124="","",MONTH($A124))</f>
        <v/>
      </c>
      <c r="M124" s="68">
        <f>IF($A124="","",DAY($A124))</f>
        <v/>
      </c>
      <c r="N124" s="68">
        <f>IF($A124="","",YEAR($A124)&amp;"-"&amp;TEXT(MONTH($A124),"00"))</f>
        <v/>
      </c>
    </row>
    <row r="125">
      <c r="A125" s="53" t="n"/>
      <c r="B125" s="52" t="n"/>
      <c r="C125" s="52" t="n"/>
      <c r="D125" s="52" t="n"/>
      <c r="E125" s="58">
        <f>IFERROR(VLOOKUP(D125,Maestro_SKU!$A$2:$P$500,2,FALSE),"")</f>
        <v/>
      </c>
      <c r="F125" s="52" t="n"/>
      <c r="G125" s="60" t="n"/>
      <c r="H125" s="52" t="n"/>
      <c r="I125" s="52" t="n"/>
      <c r="J125" s="52" t="n"/>
      <c r="K125" s="68">
        <f>IF($A125="","",YEAR($A125))</f>
        <v/>
      </c>
      <c r="L125" s="68">
        <f>IF($A125="","",MONTH($A125))</f>
        <v/>
      </c>
      <c r="M125" s="68">
        <f>IF($A125="","",DAY($A125))</f>
        <v/>
      </c>
      <c r="N125" s="68">
        <f>IF($A125="","",YEAR($A125)&amp;"-"&amp;TEXT(MONTH($A125),"00"))</f>
        <v/>
      </c>
    </row>
    <row r="126">
      <c r="A126" s="53" t="n"/>
      <c r="B126" s="52" t="n"/>
      <c r="C126" s="52" t="n"/>
      <c r="D126" s="52" t="n"/>
      <c r="E126" s="58">
        <f>IFERROR(VLOOKUP(D126,Maestro_SKU!$A$2:$P$500,2,FALSE),"")</f>
        <v/>
      </c>
      <c r="F126" s="52" t="n"/>
      <c r="G126" s="60" t="n"/>
      <c r="H126" s="52" t="n"/>
      <c r="I126" s="52" t="n"/>
      <c r="J126" s="52" t="n"/>
      <c r="K126" s="68">
        <f>IF($A126="","",YEAR($A126))</f>
        <v/>
      </c>
      <c r="L126" s="68">
        <f>IF($A126="","",MONTH($A126))</f>
        <v/>
      </c>
      <c r="M126" s="68">
        <f>IF($A126="","",DAY($A126))</f>
        <v/>
      </c>
      <c r="N126" s="68">
        <f>IF($A126="","",YEAR($A126)&amp;"-"&amp;TEXT(MONTH($A126),"00"))</f>
        <v/>
      </c>
    </row>
    <row r="127">
      <c r="A127" s="53" t="n"/>
      <c r="B127" s="52" t="n"/>
      <c r="C127" s="52" t="n"/>
      <c r="D127" s="52" t="n"/>
      <c r="E127" s="58">
        <f>IFERROR(VLOOKUP(D127,Maestro_SKU!$A$2:$P$500,2,FALSE),"")</f>
        <v/>
      </c>
      <c r="F127" s="52" t="n"/>
      <c r="G127" s="60" t="n"/>
      <c r="H127" s="52" t="n"/>
      <c r="I127" s="52" t="n"/>
      <c r="J127" s="52" t="n"/>
      <c r="K127" s="68">
        <f>IF($A127="","",YEAR($A127))</f>
        <v/>
      </c>
      <c r="L127" s="68">
        <f>IF($A127="","",MONTH($A127))</f>
        <v/>
      </c>
      <c r="M127" s="68">
        <f>IF($A127="","",DAY($A127))</f>
        <v/>
      </c>
      <c r="N127" s="68">
        <f>IF($A127="","",YEAR($A127)&amp;"-"&amp;TEXT(MONTH($A127),"00"))</f>
        <v/>
      </c>
    </row>
    <row r="128">
      <c r="A128" s="53" t="n"/>
      <c r="B128" s="52" t="n"/>
      <c r="C128" s="52" t="n"/>
      <c r="D128" s="52" t="n"/>
      <c r="E128" s="58">
        <f>IFERROR(VLOOKUP(D128,Maestro_SKU!$A$2:$P$500,2,FALSE),"")</f>
        <v/>
      </c>
      <c r="F128" s="52" t="n"/>
      <c r="G128" s="60" t="n"/>
      <c r="H128" s="52" t="n"/>
      <c r="I128" s="52" t="n"/>
      <c r="J128" s="52" t="n"/>
      <c r="K128" s="68">
        <f>IF($A128="","",YEAR($A128))</f>
        <v/>
      </c>
      <c r="L128" s="68">
        <f>IF($A128="","",MONTH($A128))</f>
        <v/>
      </c>
      <c r="M128" s="68">
        <f>IF($A128="","",DAY($A128))</f>
        <v/>
      </c>
      <c r="N128" s="68">
        <f>IF($A128="","",YEAR($A128)&amp;"-"&amp;TEXT(MONTH($A128),"00"))</f>
        <v/>
      </c>
    </row>
    <row r="129">
      <c r="A129" s="53" t="n"/>
      <c r="B129" s="52" t="n"/>
      <c r="C129" s="52" t="n"/>
      <c r="D129" s="52" t="n"/>
      <c r="E129" s="58">
        <f>IFERROR(VLOOKUP(D129,Maestro_SKU!$A$2:$P$500,2,FALSE),"")</f>
        <v/>
      </c>
      <c r="F129" s="52" t="n"/>
      <c r="G129" s="60" t="n"/>
      <c r="H129" s="52" t="n"/>
      <c r="I129" s="52" t="n"/>
      <c r="J129" s="52" t="n"/>
      <c r="K129" s="68">
        <f>IF($A129="","",YEAR($A129))</f>
        <v/>
      </c>
      <c r="L129" s="68">
        <f>IF($A129="","",MONTH($A129))</f>
        <v/>
      </c>
      <c r="M129" s="68">
        <f>IF($A129="","",DAY($A129))</f>
        <v/>
      </c>
      <c r="N129" s="68">
        <f>IF($A129="","",YEAR($A129)&amp;"-"&amp;TEXT(MONTH($A129),"00"))</f>
        <v/>
      </c>
    </row>
    <row r="130">
      <c r="A130" s="53" t="n"/>
      <c r="B130" s="52" t="n"/>
      <c r="C130" s="52" t="n"/>
      <c r="D130" s="52" t="n"/>
      <c r="E130" s="58">
        <f>IFERROR(VLOOKUP(D130,Maestro_SKU!$A$2:$P$500,2,FALSE),"")</f>
        <v/>
      </c>
      <c r="F130" s="52" t="n"/>
      <c r="G130" s="60" t="n"/>
      <c r="H130" s="52" t="n"/>
      <c r="I130" s="52" t="n"/>
      <c r="J130" s="52" t="n"/>
      <c r="K130" s="68">
        <f>IF($A130="","",YEAR($A130))</f>
        <v/>
      </c>
      <c r="L130" s="68">
        <f>IF($A130="","",MONTH($A130))</f>
        <v/>
      </c>
      <c r="M130" s="68">
        <f>IF($A130="","",DAY($A130))</f>
        <v/>
      </c>
      <c r="N130" s="68">
        <f>IF($A130="","",YEAR($A130)&amp;"-"&amp;TEXT(MONTH($A130),"00"))</f>
        <v/>
      </c>
    </row>
    <row r="131">
      <c r="A131" s="53" t="n"/>
      <c r="B131" s="52" t="n"/>
      <c r="C131" s="52" t="n"/>
      <c r="D131" s="52" t="n"/>
      <c r="E131" s="58">
        <f>IFERROR(VLOOKUP(D131,Maestro_SKU!$A$2:$P$500,2,FALSE),"")</f>
        <v/>
      </c>
      <c r="F131" s="52" t="n"/>
      <c r="G131" s="60" t="n"/>
      <c r="H131" s="52" t="n"/>
      <c r="I131" s="52" t="n"/>
      <c r="J131" s="52" t="n"/>
      <c r="K131" s="68">
        <f>IF($A131="","",YEAR($A131))</f>
        <v/>
      </c>
      <c r="L131" s="68">
        <f>IF($A131="","",MONTH($A131))</f>
        <v/>
      </c>
      <c r="M131" s="68">
        <f>IF($A131="","",DAY($A131))</f>
        <v/>
      </c>
      <c r="N131" s="68">
        <f>IF($A131="","",YEAR($A131)&amp;"-"&amp;TEXT(MONTH($A131),"00"))</f>
        <v/>
      </c>
    </row>
    <row r="132">
      <c r="A132" s="53" t="n"/>
      <c r="B132" s="52" t="n"/>
      <c r="C132" s="52" t="n"/>
      <c r="D132" s="52" t="n"/>
      <c r="E132" s="58">
        <f>IFERROR(VLOOKUP(D132,Maestro_SKU!$A$2:$P$500,2,FALSE),"")</f>
        <v/>
      </c>
      <c r="F132" s="52" t="n"/>
      <c r="G132" s="60" t="n"/>
      <c r="H132" s="52" t="n"/>
      <c r="I132" s="52" t="n"/>
      <c r="J132" s="52" t="n"/>
      <c r="K132" s="68">
        <f>IF($A132="","",YEAR($A132))</f>
        <v/>
      </c>
      <c r="L132" s="68">
        <f>IF($A132="","",MONTH($A132))</f>
        <v/>
      </c>
      <c r="M132" s="68">
        <f>IF($A132="","",DAY($A132))</f>
        <v/>
      </c>
      <c r="N132" s="68">
        <f>IF($A132="","",YEAR($A132)&amp;"-"&amp;TEXT(MONTH($A132),"00"))</f>
        <v/>
      </c>
    </row>
    <row r="133">
      <c r="A133" s="53" t="n"/>
      <c r="B133" s="52" t="n"/>
      <c r="C133" s="52" t="n"/>
      <c r="D133" s="52" t="n"/>
      <c r="E133" s="58">
        <f>IFERROR(VLOOKUP(D133,Maestro_SKU!$A$2:$P$500,2,FALSE),"")</f>
        <v/>
      </c>
      <c r="F133" s="52" t="n"/>
      <c r="G133" s="60" t="n"/>
      <c r="H133" s="52" t="n"/>
      <c r="I133" s="52" t="n"/>
      <c r="J133" s="52" t="n"/>
      <c r="K133" s="68">
        <f>IF($A133="","",YEAR($A133))</f>
        <v/>
      </c>
      <c r="L133" s="68">
        <f>IF($A133="","",MONTH($A133))</f>
        <v/>
      </c>
      <c r="M133" s="68">
        <f>IF($A133="","",DAY($A133))</f>
        <v/>
      </c>
      <c r="N133" s="68">
        <f>IF($A133="","",YEAR($A133)&amp;"-"&amp;TEXT(MONTH($A133),"00"))</f>
        <v/>
      </c>
    </row>
    <row r="134">
      <c r="A134" s="53" t="n"/>
      <c r="B134" s="52" t="n"/>
      <c r="C134" s="52" t="n"/>
      <c r="D134" s="52" t="n"/>
      <c r="E134" s="58">
        <f>IFERROR(VLOOKUP(D134,Maestro_SKU!$A$2:$P$500,2,FALSE),"")</f>
        <v/>
      </c>
      <c r="F134" s="52" t="n"/>
      <c r="G134" s="60" t="n"/>
      <c r="H134" s="52" t="n"/>
      <c r="I134" s="52" t="n"/>
      <c r="J134" s="52" t="n"/>
      <c r="K134" s="68">
        <f>IF($A134="","",YEAR($A134))</f>
        <v/>
      </c>
      <c r="L134" s="68">
        <f>IF($A134="","",MONTH($A134))</f>
        <v/>
      </c>
      <c r="M134" s="68">
        <f>IF($A134="","",DAY($A134))</f>
        <v/>
      </c>
      <c r="N134" s="68">
        <f>IF($A134="","",YEAR($A134)&amp;"-"&amp;TEXT(MONTH($A134),"00"))</f>
        <v/>
      </c>
    </row>
    <row r="135">
      <c r="A135" s="53" t="n"/>
      <c r="B135" s="52" t="n"/>
      <c r="C135" s="52" t="n"/>
      <c r="D135" s="52" t="n"/>
      <c r="E135" s="58">
        <f>IFERROR(VLOOKUP(D135,Maestro_SKU!$A$2:$P$500,2,FALSE),"")</f>
        <v/>
      </c>
      <c r="F135" s="52" t="n"/>
      <c r="G135" s="60" t="n"/>
      <c r="H135" s="52" t="n"/>
      <c r="I135" s="52" t="n"/>
      <c r="J135" s="52" t="n"/>
      <c r="K135" s="68">
        <f>IF($A135="","",YEAR($A135))</f>
        <v/>
      </c>
      <c r="L135" s="68">
        <f>IF($A135="","",MONTH($A135))</f>
        <v/>
      </c>
      <c r="M135" s="68">
        <f>IF($A135="","",DAY($A135))</f>
        <v/>
      </c>
      <c r="N135" s="68">
        <f>IF($A135="","",YEAR($A135)&amp;"-"&amp;TEXT(MONTH($A135),"00"))</f>
        <v/>
      </c>
    </row>
    <row r="136">
      <c r="A136" s="53" t="n"/>
      <c r="B136" s="52" t="n"/>
      <c r="C136" s="52" t="n"/>
      <c r="D136" s="52" t="n"/>
      <c r="E136" s="58">
        <f>IFERROR(VLOOKUP(D136,Maestro_SKU!$A$2:$P$500,2,FALSE),"")</f>
        <v/>
      </c>
      <c r="F136" s="52" t="n"/>
      <c r="G136" s="60" t="n"/>
      <c r="H136" s="52" t="n"/>
      <c r="I136" s="52" t="n"/>
      <c r="J136" s="52" t="n"/>
      <c r="K136" s="68">
        <f>IF($A136="","",YEAR($A136))</f>
        <v/>
      </c>
      <c r="L136" s="68">
        <f>IF($A136="","",MONTH($A136))</f>
        <v/>
      </c>
      <c r="M136" s="68">
        <f>IF($A136="","",DAY($A136))</f>
        <v/>
      </c>
      <c r="N136" s="68">
        <f>IF($A136="","",YEAR($A136)&amp;"-"&amp;TEXT(MONTH($A136),"00"))</f>
        <v/>
      </c>
    </row>
    <row r="137">
      <c r="A137" s="53" t="n"/>
      <c r="B137" s="52" t="n"/>
      <c r="C137" s="52" t="n"/>
      <c r="D137" s="52" t="n"/>
      <c r="E137" s="58">
        <f>IFERROR(VLOOKUP(D137,Maestro_SKU!$A$2:$P$500,2,FALSE),"")</f>
        <v/>
      </c>
      <c r="F137" s="52" t="n"/>
      <c r="G137" s="60" t="n"/>
      <c r="H137" s="52" t="n"/>
      <c r="I137" s="52" t="n"/>
      <c r="J137" s="52" t="n"/>
      <c r="K137" s="68">
        <f>IF($A137="","",YEAR($A137))</f>
        <v/>
      </c>
      <c r="L137" s="68">
        <f>IF($A137="","",MONTH($A137))</f>
        <v/>
      </c>
      <c r="M137" s="68">
        <f>IF($A137="","",DAY($A137))</f>
        <v/>
      </c>
      <c r="N137" s="68">
        <f>IF($A137="","",YEAR($A137)&amp;"-"&amp;TEXT(MONTH($A137),"00"))</f>
        <v/>
      </c>
    </row>
    <row r="138">
      <c r="A138" s="53" t="n"/>
      <c r="B138" s="52" t="n"/>
      <c r="C138" s="52" t="n"/>
      <c r="D138" s="52" t="n"/>
      <c r="E138" s="58">
        <f>IFERROR(VLOOKUP(D138,Maestro_SKU!$A$2:$P$500,2,FALSE),"")</f>
        <v/>
      </c>
      <c r="F138" s="52" t="n"/>
      <c r="G138" s="60" t="n"/>
      <c r="H138" s="52" t="n"/>
      <c r="I138" s="52" t="n"/>
      <c r="J138" s="52" t="n"/>
      <c r="K138" s="68">
        <f>IF($A138="","",YEAR($A138))</f>
        <v/>
      </c>
      <c r="L138" s="68">
        <f>IF($A138="","",MONTH($A138))</f>
        <v/>
      </c>
      <c r="M138" s="68">
        <f>IF($A138="","",DAY($A138))</f>
        <v/>
      </c>
      <c r="N138" s="68">
        <f>IF($A138="","",YEAR($A138)&amp;"-"&amp;TEXT(MONTH($A138),"00"))</f>
        <v/>
      </c>
    </row>
    <row r="139">
      <c r="A139" s="53" t="n"/>
      <c r="B139" s="52" t="n"/>
      <c r="C139" s="52" t="n"/>
      <c r="D139" s="52" t="n"/>
      <c r="E139" s="58">
        <f>IFERROR(VLOOKUP(D139,Maestro_SKU!$A$2:$P$500,2,FALSE),"")</f>
        <v/>
      </c>
      <c r="F139" s="52" t="n"/>
      <c r="G139" s="60" t="n"/>
      <c r="H139" s="52" t="n"/>
      <c r="I139" s="52" t="n"/>
      <c r="J139" s="52" t="n"/>
      <c r="K139" s="68">
        <f>IF($A139="","",YEAR($A139))</f>
        <v/>
      </c>
      <c r="L139" s="68">
        <f>IF($A139="","",MONTH($A139))</f>
        <v/>
      </c>
      <c r="M139" s="68">
        <f>IF($A139="","",DAY($A139))</f>
        <v/>
      </c>
      <c r="N139" s="68">
        <f>IF($A139="","",YEAR($A139)&amp;"-"&amp;TEXT(MONTH($A139),"00"))</f>
        <v/>
      </c>
    </row>
    <row r="140">
      <c r="A140" s="53" t="n"/>
      <c r="B140" s="52" t="n"/>
      <c r="C140" s="52" t="n"/>
      <c r="D140" s="52" t="n"/>
      <c r="E140" s="58">
        <f>IFERROR(VLOOKUP(D140,Maestro_SKU!$A$2:$P$500,2,FALSE),"")</f>
        <v/>
      </c>
      <c r="F140" s="52" t="n"/>
      <c r="G140" s="60" t="n"/>
      <c r="H140" s="52" t="n"/>
      <c r="I140" s="52" t="n"/>
      <c r="J140" s="52" t="n"/>
      <c r="K140" s="68">
        <f>IF($A140="","",YEAR($A140))</f>
        <v/>
      </c>
      <c r="L140" s="68">
        <f>IF($A140="","",MONTH($A140))</f>
        <v/>
      </c>
      <c r="M140" s="68">
        <f>IF($A140="","",DAY($A140))</f>
        <v/>
      </c>
      <c r="N140" s="68">
        <f>IF($A140="","",YEAR($A140)&amp;"-"&amp;TEXT(MONTH($A140),"00"))</f>
        <v/>
      </c>
    </row>
    <row r="141">
      <c r="A141" s="53" t="n"/>
      <c r="B141" s="52" t="n"/>
      <c r="C141" s="52" t="n"/>
      <c r="D141" s="52" t="n"/>
      <c r="E141" s="58">
        <f>IFERROR(VLOOKUP(D141,Maestro_SKU!$A$2:$P$500,2,FALSE),"")</f>
        <v/>
      </c>
      <c r="F141" s="52" t="n"/>
      <c r="G141" s="60" t="n"/>
      <c r="H141" s="52" t="n"/>
      <c r="I141" s="52" t="n"/>
      <c r="J141" s="52" t="n"/>
      <c r="K141" s="68">
        <f>IF($A141="","",YEAR($A141))</f>
        <v/>
      </c>
      <c r="L141" s="68">
        <f>IF($A141="","",MONTH($A141))</f>
        <v/>
      </c>
      <c r="M141" s="68">
        <f>IF($A141="","",DAY($A141))</f>
        <v/>
      </c>
      <c r="N141" s="68">
        <f>IF($A141="","",YEAR($A141)&amp;"-"&amp;TEXT(MONTH($A141),"00"))</f>
        <v/>
      </c>
    </row>
    <row r="142">
      <c r="A142" s="53" t="n"/>
      <c r="B142" s="52" t="n"/>
      <c r="C142" s="52" t="n"/>
      <c r="D142" s="52" t="n"/>
      <c r="E142" s="58">
        <f>IFERROR(VLOOKUP(D142,Maestro_SKU!$A$2:$P$500,2,FALSE),"")</f>
        <v/>
      </c>
      <c r="F142" s="52" t="n"/>
      <c r="G142" s="60" t="n"/>
      <c r="H142" s="52" t="n"/>
      <c r="I142" s="52" t="n"/>
      <c r="J142" s="52" t="n"/>
      <c r="K142" s="68">
        <f>IF($A142="","",YEAR($A142))</f>
        <v/>
      </c>
      <c r="L142" s="68">
        <f>IF($A142="","",MONTH($A142))</f>
        <v/>
      </c>
      <c r="M142" s="68">
        <f>IF($A142="","",DAY($A142))</f>
        <v/>
      </c>
      <c r="N142" s="68">
        <f>IF($A142="","",YEAR($A142)&amp;"-"&amp;TEXT(MONTH($A142),"00"))</f>
        <v/>
      </c>
    </row>
    <row r="143">
      <c r="A143" s="53" t="n"/>
      <c r="B143" s="52" t="n"/>
      <c r="C143" s="52" t="n"/>
      <c r="D143" s="52" t="n"/>
      <c r="E143" s="58">
        <f>IFERROR(VLOOKUP(D143,Maestro_SKU!$A$2:$P$500,2,FALSE),"")</f>
        <v/>
      </c>
      <c r="F143" s="52" t="n"/>
      <c r="G143" s="60" t="n"/>
      <c r="H143" s="52" t="n"/>
      <c r="I143" s="52" t="n"/>
      <c r="J143" s="52" t="n"/>
      <c r="K143" s="68">
        <f>IF($A143="","",YEAR($A143))</f>
        <v/>
      </c>
      <c r="L143" s="68">
        <f>IF($A143="","",MONTH($A143))</f>
        <v/>
      </c>
      <c r="M143" s="68">
        <f>IF($A143="","",DAY($A143))</f>
        <v/>
      </c>
      <c r="N143" s="68">
        <f>IF($A143="","",YEAR($A143)&amp;"-"&amp;TEXT(MONTH($A143),"00"))</f>
        <v/>
      </c>
    </row>
    <row r="144">
      <c r="A144" s="53" t="n"/>
      <c r="B144" s="52" t="n"/>
      <c r="C144" s="52" t="n"/>
      <c r="D144" s="52" t="n"/>
      <c r="E144" s="58">
        <f>IFERROR(VLOOKUP(D144,Maestro_SKU!$A$2:$P$500,2,FALSE),"")</f>
        <v/>
      </c>
      <c r="F144" s="52" t="n"/>
      <c r="G144" s="60" t="n"/>
      <c r="H144" s="52" t="n"/>
      <c r="I144" s="52" t="n"/>
      <c r="J144" s="52" t="n"/>
      <c r="K144" s="68">
        <f>IF($A144="","",YEAR($A144))</f>
        <v/>
      </c>
      <c r="L144" s="68">
        <f>IF($A144="","",MONTH($A144))</f>
        <v/>
      </c>
      <c r="M144" s="68">
        <f>IF($A144="","",DAY($A144))</f>
        <v/>
      </c>
      <c r="N144" s="68">
        <f>IF($A144="","",YEAR($A144)&amp;"-"&amp;TEXT(MONTH($A144),"00"))</f>
        <v/>
      </c>
    </row>
    <row r="145">
      <c r="A145" s="53" t="n"/>
      <c r="B145" s="52" t="n"/>
      <c r="C145" s="52" t="n"/>
      <c r="D145" s="52" t="n"/>
      <c r="E145" s="58">
        <f>IFERROR(VLOOKUP(D145,Maestro_SKU!$A$2:$P$500,2,FALSE),"")</f>
        <v/>
      </c>
      <c r="F145" s="52" t="n"/>
      <c r="G145" s="60" t="n"/>
      <c r="H145" s="52" t="n"/>
      <c r="I145" s="52" t="n"/>
      <c r="J145" s="52" t="n"/>
      <c r="K145" s="68">
        <f>IF($A145="","",YEAR($A145))</f>
        <v/>
      </c>
      <c r="L145" s="68">
        <f>IF($A145="","",MONTH($A145))</f>
        <v/>
      </c>
      <c r="M145" s="68">
        <f>IF($A145="","",DAY($A145))</f>
        <v/>
      </c>
      <c r="N145" s="68">
        <f>IF($A145="","",YEAR($A145)&amp;"-"&amp;TEXT(MONTH($A145),"00"))</f>
        <v/>
      </c>
    </row>
    <row r="146">
      <c r="A146" s="53" t="n"/>
      <c r="B146" s="52" t="n"/>
      <c r="C146" s="52" t="n"/>
      <c r="D146" s="52" t="n"/>
      <c r="E146" s="58">
        <f>IFERROR(VLOOKUP(D146,Maestro_SKU!$A$2:$P$500,2,FALSE),"")</f>
        <v/>
      </c>
      <c r="F146" s="52" t="n"/>
      <c r="G146" s="60" t="n"/>
      <c r="H146" s="52" t="n"/>
      <c r="I146" s="52" t="n"/>
      <c r="J146" s="52" t="n"/>
      <c r="K146" s="68">
        <f>IF($A146="","",YEAR($A146))</f>
        <v/>
      </c>
      <c r="L146" s="68">
        <f>IF($A146="","",MONTH($A146))</f>
        <v/>
      </c>
      <c r="M146" s="68">
        <f>IF($A146="","",DAY($A146))</f>
        <v/>
      </c>
      <c r="N146" s="68">
        <f>IF($A146="","",YEAR($A146)&amp;"-"&amp;TEXT(MONTH($A146),"00"))</f>
        <v/>
      </c>
    </row>
    <row r="147">
      <c r="A147" s="53" t="n"/>
      <c r="B147" s="52" t="n"/>
      <c r="C147" s="52" t="n"/>
      <c r="D147" s="52" t="n"/>
      <c r="E147" s="58">
        <f>IFERROR(VLOOKUP(D147,Maestro_SKU!$A$2:$P$500,2,FALSE),"")</f>
        <v/>
      </c>
      <c r="F147" s="52" t="n"/>
      <c r="G147" s="60" t="n"/>
      <c r="H147" s="52" t="n"/>
      <c r="I147" s="52" t="n"/>
      <c r="J147" s="52" t="n"/>
      <c r="K147" s="68">
        <f>IF($A147="","",YEAR($A147))</f>
        <v/>
      </c>
      <c r="L147" s="68">
        <f>IF($A147="","",MONTH($A147))</f>
        <v/>
      </c>
      <c r="M147" s="68">
        <f>IF($A147="","",DAY($A147))</f>
        <v/>
      </c>
      <c r="N147" s="68">
        <f>IF($A147="","",YEAR($A147)&amp;"-"&amp;TEXT(MONTH($A147),"00"))</f>
        <v/>
      </c>
    </row>
    <row r="148">
      <c r="A148" s="53" t="n"/>
      <c r="B148" s="52" t="n"/>
      <c r="C148" s="52" t="n"/>
      <c r="D148" s="52" t="n"/>
      <c r="E148" s="58">
        <f>IFERROR(VLOOKUP(D148,Maestro_SKU!$A$2:$P$500,2,FALSE),"")</f>
        <v/>
      </c>
      <c r="F148" s="52" t="n"/>
      <c r="G148" s="60" t="n"/>
      <c r="H148" s="52" t="n"/>
      <c r="I148" s="52" t="n"/>
      <c r="J148" s="52" t="n"/>
      <c r="K148" s="68">
        <f>IF($A148="","",YEAR($A148))</f>
        <v/>
      </c>
      <c r="L148" s="68">
        <f>IF($A148="","",MONTH($A148))</f>
        <v/>
      </c>
      <c r="M148" s="68">
        <f>IF($A148="","",DAY($A148))</f>
        <v/>
      </c>
      <c r="N148" s="68">
        <f>IF($A148="","",YEAR($A148)&amp;"-"&amp;TEXT(MONTH($A148),"00"))</f>
        <v/>
      </c>
    </row>
    <row r="149">
      <c r="A149" s="53" t="n"/>
      <c r="B149" s="52" t="n"/>
      <c r="C149" s="52" t="n"/>
      <c r="D149" s="52" t="n"/>
      <c r="E149" s="58">
        <f>IFERROR(VLOOKUP(D149,Maestro_SKU!$A$2:$P$500,2,FALSE),"")</f>
        <v/>
      </c>
      <c r="F149" s="52" t="n"/>
      <c r="G149" s="60" t="n"/>
      <c r="H149" s="52" t="n"/>
      <c r="I149" s="52" t="n"/>
      <c r="J149" s="52" t="n"/>
      <c r="K149" s="68">
        <f>IF($A149="","",YEAR($A149))</f>
        <v/>
      </c>
      <c r="L149" s="68">
        <f>IF($A149="","",MONTH($A149))</f>
        <v/>
      </c>
      <c r="M149" s="68">
        <f>IF($A149="","",DAY($A149))</f>
        <v/>
      </c>
      <c r="N149" s="68">
        <f>IF($A149="","",YEAR($A149)&amp;"-"&amp;TEXT(MONTH($A149),"00"))</f>
        <v/>
      </c>
    </row>
    <row r="150">
      <c r="A150" s="53" t="n"/>
      <c r="B150" s="52" t="n"/>
      <c r="C150" s="52" t="n"/>
      <c r="D150" s="52" t="n"/>
      <c r="E150" s="58">
        <f>IFERROR(VLOOKUP(D150,Maestro_SKU!$A$2:$P$500,2,FALSE),"")</f>
        <v/>
      </c>
      <c r="F150" s="52" t="n"/>
      <c r="G150" s="60" t="n"/>
      <c r="H150" s="52" t="n"/>
      <c r="I150" s="52" t="n"/>
      <c r="J150" s="52" t="n"/>
      <c r="K150" s="68">
        <f>IF($A150="","",YEAR($A150))</f>
        <v/>
      </c>
      <c r="L150" s="68">
        <f>IF($A150="","",MONTH($A150))</f>
        <v/>
      </c>
      <c r="M150" s="68">
        <f>IF($A150="","",DAY($A150))</f>
        <v/>
      </c>
      <c r="N150" s="68">
        <f>IF($A150="","",YEAR($A150)&amp;"-"&amp;TEXT(MONTH($A150),"00"))</f>
        <v/>
      </c>
    </row>
    <row r="151">
      <c r="A151" s="53" t="n"/>
      <c r="B151" s="52" t="n"/>
      <c r="C151" s="52" t="n"/>
      <c r="D151" s="52" t="n"/>
      <c r="E151" s="58">
        <f>IFERROR(VLOOKUP(D151,Maestro_SKU!$A$2:$P$500,2,FALSE),"")</f>
        <v/>
      </c>
      <c r="F151" s="52" t="n"/>
      <c r="G151" s="60" t="n"/>
      <c r="H151" s="52" t="n"/>
      <c r="I151" s="52" t="n"/>
      <c r="J151" s="52" t="n"/>
      <c r="K151" s="68">
        <f>IF($A151="","",YEAR($A151))</f>
        <v/>
      </c>
      <c r="L151" s="68">
        <f>IF($A151="","",MONTH($A151))</f>
        <v/>
      </c>
      <c r="M151" s="68">
        <f>IF($A151="","",DAY($A151))</f>
        <v/>
      </c>
      <c r="N151" s="68">
        <f>IF($A151="","",YEAR($A151)&amp;"-"&amp;TEXT(MONTH($A151),"00"))</f>
        <v/>
      </c>
    </row>
    <row r="152">
      <c r="A152" s="53" t="n"/>
      <c r="B152" s="52" t="n"/>
      <c r="C152" s="52" t="n"/>
      <c r="D152" s="52" t="n"/>
      <c r="E152" s="58">
        <f>IFERROR(VLOOKUP(D152,Maestro_SKU!$A$2:$P$500,2,FALSE),"")</f>
        <v/>
      </c>
      <c r="F152" s="52" t="n"/>
      <c r="G152" s="60" t="n"/>
      <c r="H152" s="52" t="n"/>
      <c r="I152" s="52" t="n"/>
      <c r="J152" s="52" t="n"/>
      <c r="K152" s="68">
        <f>IF($A152="","",YEAR($A152))</f>
        <v/>
      </c>
      <c r="L152" s="68">
        <f>IF($A152="","",MONTH($A152))</f>
        <v/>
      </c>
      <c r="M152" s="68">
        <f>IF($A152="","",DAY($A152))</f>
        <v/>
      </c>
      <c r="N152" s="68">
        <f>IF($A152="","",YEAR($A152)&amp;"-"&amp;TEXT(MONTH($A152),"00"))</f>
        <v/>
      </c>
    </row>
    <row r="153">
      <c r="A153" s="53" t="n"/>
      <c r="B153" s="52" t="n"/>
      <c r="C153" s="52" t="n"/>
      <c r="D153" s="52" t="n"/>
      <c r="E153" s="58">
        <f>IFERROR(VLOOKUP(D153,Maestro_SKU!$A$2:$P$500,2,FALSE),"")</f>
        <v/>
      </c>
      <c r="F153" s="52" t="n"/>
      <c r="G153" s="60" t="n"/>
      <c r="H153" s="52" t="n"/>
      <c r="I153" s="52" t="n"/>
      <c r="J153" s="52" t="n"/>
      <c r="K153" s="68">
        <f>IF($A153="","",YEAR($A153))</f>
        <v/>
      </c>
      <c r="L153" s="68">
        <f>IF($A153="","",MONTH($A153))</f>
        <v/>
      </c>
      <c r="M153" s="68">
        <f>IF($A153="","",DAY($A153))</f>
        <v/>
      </c>
      <c r="N153" s="68">
        <f>IF($A153="","",YEAR($A153)&amp;"-"&amp;TEXT(MONTH($A153),"00"))</f>
        <v/>
      </c>
    </row>
    <row r="154">
      <c r="A154" s="53" t="n"/>
      <c r="B154" s="52" t="n"/>
      <c r="C154" s="52" t="n"/>
      <c r="D154" s="52" t="n"/>
      <c r="E154" s="58">
        <f>IFERROR(VLOOKUP(D154,Maestro_SKU!$A$2:$P$500,2,FALSE),"")</f>
        <v/>
      </c>
      <c r="F154" s="52" t="n"/>
      <c r="G154" s="60" t="n"/>
      <c r="H154" s="52" t="n"/>
      <c r="I154" s="52" t="n"/>
      <c r="J154" s="52" t="n"/>
      <c r="K154" s="68">
        <f>IF($A154="","",YEAR($A154))</f>
        <v/>
      </c>
      <c r="L154" s="68">
        <f>IF($A154="","",MONTH($A154))</f>
        <v/>
      </c>
      <c r="M154" s="68">
        <f>IF($A154="","",DAY($A154))</f>
        <v/>
      </c>
      <c r="N154" s="68">
        <f>IF($A154="","",YEAR($A154)&amp;"-"&amp;TEXT(MONTH($A154),"00"))</f>
        <v/>
      </c>
    </row>
    <row r="155">
      <c r="A155" s="53" t="n"/>
      <c r="B155" s="52" t="n"/>
      <c r="C155" s="52" t="n"/>
      <c r="D155" s="52" t="n"/>
      <c r="E155" s="58">
        <f>IFERROR(VLOOKUP(D155,Maestro_SKU!$A$2:$P$500,2,FALSE),"")</f>
        <v/>
      </c>
      <c r="F155" s="52" t="n"/>
      <c r="G155" s="60" t="n"/>
      <c r="H155" s="52" t="n"/>
      <c r="I155" s="52" t="n"/>
      <c r="J155" s="52" t="n"/>
      <c r="K155" s="68">
        <f>IF($A155="","",YEAR($A155))</f>
        <v/>
      </c>
      <c r="L155" s="68">
        <f>IF($A155="","",MONTH($A155))</f>
        <v/>
      </c>
      <c r="M155" s="68">
        <f>IF($A155="","",DAY($A155))</f>
        <v/>
      </c>
      <c r="N155" s="68">
        <f>IF($A155="","",YEAR($A155)&amp;"-"&amp;TEXT(MONTH($A155),"00"))</f>
        <v/>
      </c>
    </row>
    <row r="156">
      <c r="A156" s="53" t="n"/>
      <c r="B156" s="52" t="n"/>
      <c r="C156" s="52" t="n"/>
      <c r="D156" s="52" t="n"/>
      <c r="E156" s="58">
        <f>IFERROR(VLOOKUP(D156,Maestro_SKU!$A$2:$P$500,2,FALSE),"")</f>
        <v/>
      </c>
      <c r="F156" s="52" t="n"/>
      <c r="G156" s="60" t="n"/>
      <c r="H156" s="52" t="n"/>
      <c r="I156" s="52" t="n"/>
      <c r="J156" s="52" t="n"/>
      <c r="K156" s="68">
        <f>IF($A156="","",YEAR($A156))</f>
        <v/>
      </c>
      <c r="L156" s="68">
        <f>IF($A156="","",MONTH($A156))</f>
        <v/>
      </c>
      <c r="M156" s="68">
        <f>IF($A156="","",DAY($A156))</f>
        <v/>
      </c>
      <c r="N156" s="68">
        <f>IF($A156="","",YEAR($A156)&amp;"-"&amp;TEXT(MONTH($A156),"00"))</f>
        <v/>
      </c>
    </row>
    <row r="157">
      <c r="A157" s="53" t="n"/>
      <c r="B157" s="52" t="n"/>
      <c r="C157" s="52" t="n"/>
      <c r="D157" s="52" t="n"/>
      <c r="E157" s="58">
        <f>IFERROR(VLOOKUP(D157,Maestro_SKU!$A$2:$P$500,2,FALSE),"")</f>
        <v/>
      </c>
      <c r="F157" s="52" t="n"/>
      <c r="G157" s="60" t="n"/>
      <c r="H157" s="52" t="n"/>
      <c r="I157" s="52" t="n"/>
      <c r="J157" s="52" t="n"/>
      <c r="K157" s="68">
        <f>IF($A157="","",YEAR($A157))</f>
        <v/>
      </c>
      <c r="L157" s="68">
        <f>IF($A157="","",MONTH($A157))</f>
        <v/>
      </c>
      <c r="M157" s="68">
        <f>IF($A157="","",DAY($A157))</f>
        <v/>
      </c>
      <c r="N157" s="68">
        <f>IF($A157="","",YEAR($A157)&amp;"-"&amp;TEXT(MONTH($A157),"00"))</f>
        <v/>
      </c>
    </row>
    <row r="158">
      <c r="A158" s="53" t="n"/>
      <c r="B158" s="52" t="n"/>
      <c r="C158" s="52" t="n"/>
      <c r="D158" s="52" t="n"/>
      <c r="E158" s="58">
        <f>IFERROR(VLOOKUP(D158,Maestro_SKU!$A$2:$P$500,2,FALSE),"")</f>
        <v/>
      </c>
      <c r="F158" s="52" t="n"/>
      <c r="G158" s="60" t="n"/>
      <c r="H158" s="52" t="n"/>
      <c r="I158" s="52" t="n"/>
      <c r="J158" s="52" t="n"/>
      <c r="K158" s="68">
        <f>IF($A158="","",YEAR($A158))</f>
        <v/>
      </c>
      <c r="L158" s="68">
        <f>IF($A158="","",MONTH($A158))</f>
        <v/>
      </c>
      <c r="M158" s="68">
        <f>IF($A158="","",DAY($A158))</f>
        <v/>
      </c>
      <c r="N158" s="68">
        <f>IF($A158="","",YEAR($A158)&amp;"-"&amp;TEXT(MONTH($A158),"00"))</f>
        <v/>
      </c>
    </row>
    <row r="159">
      <c r="A159" s="53" t="n"/>
      <c r="B159" s="52" t="n"/>
      <c r="C159" s="52" t="n"/>
      <c r="D159" s="52" t="n"/>
      <c r="E159" s="58">
        <f>IFERROR(VLOOKUP(D159,Maestro_SKU!$A$2:$P$500,2,FALSE),"")</f>
        <v/>
      </c>
      <c r="F159" s="52" t="n"/>
      <c r="G159" s="60" t="n"/>
      <c r="H159" s="52" t="n"/>
      <c r="I159" s="52" t="n"/>
      <c r="J159" s="52" t="n"/>
      <c r="K159" s="68">
        <f>IF($A159="","",YEAR($A159))</f>
        <v/>
      </c>
      <c r="L159" s="68">
        <f>IF($A159="","",MONTH($A159))</f>
        <v/>
      </c>
      <c r="M159" s="68">
        <f>IF($A159="","",DAY($A159))</f>
        <v/>
      </c>
      <c r="N159" s="68">
        <f>IF($A159="","",YEAR($A159)&amp;"-"&amp;TEXT(MONTH($A159),"00"))</f>
        <v/>
      </c>
    </row>
    <row r="160">
      <c r="A160" s="53" t="n"/>
      <c r="B160" s="52" t="n"/>
      <c r="C160" s="52" t="n"/>
      <c r="D160" s="52" t="n"/>
      <c r="E160" s="58">
        <f>IFERROR(VLOOKUP(D160,Maestro_SKU!$A$2:$P$500,2,FALSE),"")</f>
        <v/>
      </c>
      <c r="F160" s="52" t="n"/>
      <c r="G160" s="60" t="n"/>
      <c r="H160" s="52" t="n"/>
      <c r="I160" s="52" t="n"/>
      <c r="J160" s="52" t="n"/>
      <c r="K160" s="68">
        <f>IF($A160="","",YEAR($A160))</f>
        <v/>
      </c>
      <c r="L160" s="68">
        <f>IF($A160="","",MONTH($A160))</f>
        <v/>
      </c>
      <c r="M160" s="68">
        <f>IF($A160="","",DAY($A160))</f>
        <v/>
      </c>
      <c r="N160" s="68">
        <f>IF($A160="","",YEAR($A160)&amp;"-"&amp;TEXT(MONTH($A160),"00"))</f>
        <v/>
      </c>
    </row>
    <row r="161">
      <c r="A161" s="53" t="n"/>
      <c r="B161" s="52" t="n"/>
      <c r="C161" s="52" t="n"/>
      <c r="D161" s="52" t="n"/>
      <c r="E161" s="58">
        <f>IFERROR(VLOOKUP(D161,Maestro_SKU!$A$2:$P$500,2,FALSE),"")</f>
        <v/>
      </c>
      <c r="F161" s="52" t="n"/>
      <c r="G161" s="60" t="n"/>
      <c r="H161" s="52" t="n"/>
      <c r="I161" s="52" t="n"/>
      <c r="J161" s="52" t="n"/>
      <c r="K161" s="68">
        <f>IF($A161="","",YEAR($A161))</f>
        <v/>
      </c>
      <c r="L161" s="68">
        <f>IF($A161="","",MONTH($A161))</f>
        <v/>
      </c>
      <c r="M161" s="68">
        <f>IF($A161="","",DAY($A161))</f>
        <v/>
      </c>
      <c r="N161" s="68">
        <f>IF($A161="","",YEAR($A161)&amp;"-"&amp;TEXT(MONTH($A161),"00"))</f>
        <v/>
      </c>
    </row>
    <row r="162">
      <c r="A162" s="53" t="n"/>
      <c r="B162" s="52" t="n"/>
      <c r="C162" s="52" t="n"/>
      <c r="D162" s="52" t="n"/>
      <c r="E162" s="58">
        <f>IFERROR(VLOOKUP(D162,Maestro_SKU!$A$2:$P$500,2,FALSE),"")</f>
        <v/>
      </c>
      <c r="F162" s="52" t="n"/>
      <c r="G162" s="60" t="n"/>
      <c r="H162" s="52" t="n"/>
      <c r="I162" s="52" t="n"/>
      <c r="J162" s="52" t="n"/>
      <c r="K162" s="68">
        <f>IF($A162="","",YEAR($A162))</f>
        <v/>
      </c>
      <c r="L162" s="68">
        <f>IF($A162="","",MONTH($A162))</f>
        <v/>
      </c>
      <c r="M162" s="68">
        <f>IF($A162="","",DAY($A162))</f>
        <v/>
      </c>
      <c r="N162" s="68">
        <f>IF($A162="","",YEAR($A162)&amp;"-"&amp;TEXT(MONTH($A162),"00"))</f>
        <v/>
      </c>
    </row>
    <row r="163">
      <c r="A163" s="53" t="n"/>
      <c r="B163" s="52" t="n"/>
      <c r="C163" s="52" t="n"/>
      <c r="D163" s="52" t="n"/>
      <c r="E163" s="58">
        <f>IFERROR(VLOOKUP(D163,Maestro_SKU!$A$2:$P$500,2,FALSE),"")</f>
        <v/>
      </c>
      <c r="F163" s="52" t="n"/>
      <c r="G163" s="60" t="n"/>
      <c r="H163" s="52" t="n"/>
      <c r="I163" s="52" t="n"/>
      <c r="J163" s="52" t="n"/>
      <c r="K163" s="68">
        <f>IF($A163="","",YEAR($A163))</f>
        <v/>
      </c>
      <c r="L163" s="68">
        <f>IF($A163="","",MONTH($A163))</f>
        <v/>
      </c>
      <c r="M163" s="68">
        <f>IF($A163="","",DAY($A163))</f>
        <v/>
      </c>
      <c r="N163" s="68">
        <f>IF($A163="","",YEAR($A163)&amp;"-"&amp;TEXT(MONTH($A163),"00"))</f>
        <v/>
      </c>
    </row>
    <row r="164">
      <c r="A164" s="53" t="n"/>
      <c r="B164" s="52" t="n"/>
      <c r="C164" s="52" t="n"/>
      <c r="D164" s="52" t="n"/>
      <c r="E164" s="58">
        <f>IFERROR(VLOOKUP(D164,Maestro_SKU!$A$2:$P$500,2,FALSE),"")</f>
        <v/>
      </c>
      <c r="F164" s="52" t="n"/>
      <c r="G164" s="60" t="n"/>
      <c r="H164" s="52" t="n"/>
      <c r="I164" s="52" t="n"/>
      <c r="J164" s="52" t="n"/>
      <c r="K164" s="68">
        <f>IF($A164="","",YEAR($A164))</f>
        <v/>
      </c>
      <c r="L164" s="68">
        <f>IF($A164="","",MONTH($A164))</f>
        <v/>
      </c>
      <c r="M164" s="68">
        <f>IF($A164="","",DAY($A164))</f>
        <v/>
      </c>
      <c r="N164" s="68">
        <f>IF($A164="","",YEAR($A164)&amp;"-"&amp;TEXT(MONTH($A164),"00"))</f>
        <v/>
      </c>
    </row>
    <row r="165">
      <c r="A165" s="53" t="n"/>
      <c r="B165" s="52" t="n"/>
      <c r="C165" s="52" t="n"/>
      <c r="D165" s="52" t="n"/>
      <c r="E165" s="58">
        <f>IFERROR(VLOOKUP(D165,Maestro_SKU!$A$2:$P$500,2,FALSE),"")</f>
        <v/>
      </c>
      <c r="F165" s="52" t="n"/>
      <c r="G165" s="60" t="n"/>
      <c r="H165" s="52" t="n"/>
      <c r="I165" s="52" t="n"/>
      <c r="J165" s="52" t="n"/>
      <c r="K165" s="68">
        <f>IF($A165="","",YEAR($A165))</f>
        <v/>
      </c>
      <c r="L165" s="68">
        <f>IF($A165="","",MONTH($A165))</f>
        <v/>
      </c>
      <c r="M165" s="68">
        <f>IF($A165="","",DAY($A165))</f>
        <v/>
      </c>
      <c r="N165" s="68">
        <f>IF($A165="","",YEAR($A165)&amp;"-"&amp;TEXT(MONTH($A165),"00"))</f>
        <v/>
      </c>
    </row>
    <row r="166">
      <c r="A166" s="53" t="n"/>
      <c r="B166" s="52" t="n"/>
      <c r="C166" s="52" t="n"/>
      <c r="D166" s="52" t="n"/>
      <c r="E166" s="58">
        <f>IFERROR(VLOOKUP(D166,Maestro_SKU!$A$2:$P$500,2,FALSE),"")</f>
        <v/>
      </c>
      <c r="F166" s="52" t="n"/>
      <c r="G166" s="60" t="n"/>
      <c r="H166" s="52" t="n"/>
      <c r="I166" s="52" t="n"/>
      <c r="J166" s="52" t="n"/>
      <c r="K166" s="68">
        <f>IF($A166="","",YEAR($A166))</f>
        <v/>
      </c>
      <c r="L166" s="68">
        <f>IF($A166="","",MONTH($A166))</f>
        <v/>
      </c>
      <c r="M166" s="68">
        <f>IF($A166="","",DAY($A166))</f>
        <v/>
      </c>
      <c r="N166" s="68">
        <f>IF($A166="","",YEAR($A166)&amp;"-"&amp;TEXT(MONTH($A166),"00"))</f>
        <v/>
      </c>
    </row>
    <row r="167">
      <c r="A167" s="53" t="n"/>
      <c r="B167" s="52" t="n"/>
      <c r="C167" s="52" t="n"/>
      <c r="D167" s="52" t="n"/>
      <c r="E167" s="58">
        <f>IFERROR(VLOOKUP(D167,Maestro_SKU!$A$2:$P$500,2,FALSE),"")</f>
        <v/>
      </c>
      <c r="F167" s="52" t="n"/>
      <c r="G167" s="60" t="n"/>
      <c r="H167" s="52" t="n"/>
      <c r="I167" s="52" t="n"/>
      <c r="J167" s="52" t="n"/>
      <c r="K167" s="68">
        <f>IF($A167="","",YEAR($A167))</f>
        <v/>
      </c>
      <c r="L167" s="68">
        <f>IF($A167="","",MONTH($A167))</f>
        <v/>
      </c>
      <c r="M167" s="68">
        <f>IF($A167="","",DAY($A167))</f>
        <v/>
      </c>
      <c r="N167" s="68">
        <f>IF($A167="","",YEAR($A167)&amp;"-"&amp;TEXT(MONTH($A167),"00"))</f>
        <v/>
      </c>
    </row>
    <row r="168">
      <c r="A168" s="53" t="n"/>
      <c r="B168" s="52" t="n"/>
      <c r="C168" s="52" t="n"/>
      <c r="D168" s="52" t="n"/>
      <c r="E168" s="58">
        <f>IFERROR(VLOOKUP(D168,Maestro_SKU!$A$2:$P$500,2,FALSE),"")</f>
        <v/>
      </c>
      <c r="F168" s="52" t="n"/>
      <c r="G168" s="60" t="n"/>
      <c r="H168" s="52" t="n"/>
      <c r="I168" s="52" t="n"/>
      <c r="J168" s="52" t="n"/>
      <c r="K168" s="68">
        <f>IF($A168="","",YEAR($A168))</f>
        <v/>
      </c>
      <c r="L168" s="68">
        <f>IF($A168="","",MONTH($A168))</f>
        <v/>
      </c>
      <c r="M168" s="68">
        <f>IF($A168="","",DAY($A168))</f>
        <v/>
      </c>
      <c r="N168" s="68">
        <f>IF($A168="","",YEAR($A168)&amp;"-"&amp;TEXT(MONTH($A168),"00"))</f>
        <v/>
      </c>
    </row>
    <row r="169">
      <c r="A169" s="53" t="n"/>
      <c r="B169" s="52" t="n"/>
      <c r="C169" s="52" t="n"/>
      <c r="D169" s="52" t="n"/>
      <c r="E169" s="58">
        <f>IFERROR(VLOOKUP(D169,Maestro_SKU!$A$2:$P$500,2,FALSE),"")</f>
        <v/>
      </c>
      <c r="F169" s="52" t="n"/>
      <c r="G169" s="60" t="n"/>
      <c r="H169" s="52" t="n"/>
      <c r="I169" s="52" t="n"/>
      <c r="J169" s="52" t="n"/>
      <c r="K169" s="68">
        <f>IF($A169="","",YEAR($A169))</f>
        <v/>
      </c>
      <c r="L169" s="68">
        <f>IF($A169="","",MONTH($A169))</f>
        <v/>
      </c>
      <c r="M169" s="68">
        <f>IF($A169="","",DAY($A169))</f>
        <v/>
      </c>
      <c r="N169" s="68">
        <f>IF($A169="","",YEAR($A169)&amp;"-"&amp;TEXT(MONTH($A169),"00"))</f>
        <v/>
      </c>
    </row>
    <row r="170">
      <c r="A170" s="53" t="n"/>
      <c r="B170" s="52" t="n"/>
      <c r="C170" s="52" t="n"/>
      <c r="D170" s="52" t="n"/>
      <c r="E170" s="58">
        <f>IFERROR(VLOOKUP(D170,Maestro_SKU!$A$2:$P$500,2,FALSE),"")</f>
        <v/>
      </c>
      <c r="F170" s="52" t="n"/>
      <c r="G170" s="60" t="n"/>
      <c r="H170" s="52" t="n"/>
      <c r="I170" s="52" t="n"/>
      <c r="J170" s="52" t="n"/>
      <c r="K170" s="68">
        <f>IF($A170="","",YEAR($A170))</f>
        <v/>
      </c>
      <c r="L170" s="68">
        <f>IF($A170="","",MONTH($A170))</f>
        <v/>
      </c>
      <c r="M170" s="68">
        <f>IF($A170="","",DAY($A170))</f>
        <v/>
      </c>
      <c r="N170" s="68">
        <f>IF($A170="","",YEAR($A170)&amp;"-"&amp;TEXT(MONTH($A170),"00"))</f>
        <v/>
      </c>
    </row>
    <row r="171">
      <c r="A171" s="53" t="n"/>
      <c r="B171" s="52" t="n"/>
      <c r="C171" s="52" t="n"/>
      <c r="D171" s="52" t="n"/>
      <c r="E171" s="58">
        <f>IFERROR(VLOOKUP(D171,Maestro_SKU!$A$2:$P$500,2,FALSE),"")</f>
        <v/>
      </c>
      <c r="F171" s="52" t="n"/>
      <c r="G171" s="60" t="n"/>
      <c r="H171" s="52" t="n"/>
      <c r="I171" s="52" t="n"/>
      <c r="J171" s="52" t="n"/>
      <c r="K171" s="68">
        <f>IF($A171="","",YEAR($A171))</f>
        <v/>
      </c>
      <c r="L171" s="68">
        <f>IF($A171="","",MONTH($A171))</f>
        <v/>
      </c>
      <c r="M171" s="68">
        <f>IF($A171="","",DAY($A171))</f>
        <v/>
      </c>
      <c r="N171" s="68">
        <f>IF($A171="","",YEAR($A171)&amp;"-"&amp;TEXT(MONTH($A171),"00"))</f>
        <v/>
      </c>
    </row>
    <row r="172">
      <c r="A172" s="53" t="n"/>
      <c r="B172" s="52" t="n"/>
      <c r="C172" s="52" t="n"/>
      <c r="D172" s="52" t="n"/>
      <c r="E172" s="58">
        <f>IFERROR(VLOOKUP(D172,Maestro_SKU!$A$2:$P$500,2,FALSE),"")</f>
        <v/>
      </c>
      <c r="F172" s="52" t="n"/>
      <c r="G172" s="60" t="n"/>
      <c r="H172" s="52" t="n"/>
      <c r="I172" s="52" t="n"/>
      <c r="J172" s="52" t="n"/>
      <c r="K172" s="68">
        <f>IF($A172="","",YEAR($A172))</f>
        <v/>
      </c>
      <c r="L172" s="68">
        <f>IF($A172="","",MONTH($A172))</f>
        <v/>
      </c>
      <c r="M172" s="68">
        <f>IF($A172="","",DAY($A172))</f>
        <v/>
      </c>
      <c r="N172" s="68">
        <f>IF($A172="","",YEAR($A172)&amp;"-"&amp;TEXT(MONTH($A172),"00"))</f>
        <v/>
      </c>
    </row>
    <row r="173">
      <c r="A173" s="53" t="n"/>
      <c r="B173" s="52" t="n"/>
      <c r="C173" s="52" t="n"/>
      <c r="D173" s="52" t="n"/>
      <c r="E173" s="58">
        <f>IFERROR(VLOOKUP(D173,Maestro_SKU!$A$2:$P$500,2,FALSE),"")</f>
        <v/>
      </c>
      <c r="F173" s="52" t="n"/>
      <c r="G173" s="60" t="n"/>
      <c r="H173" s="52" t="n"/>
      <c r="I173" s="52" t="n"/>
      <c r="J173" s="52" t="n"/>
      <c r="K173" s="68">
        <f>IF($A173="","",YEAR($A173))</f>
        <v/>
      </c>
      <c r="L173" s="68">
        <f>IF($A173="","",MONTH($A173))</f>
        <v/>
      </c>
      <c r="M173" s="68">
        <f>IF($A173="","",DAY($A173))</f>
        <v/>
      </c>
      <c r="N173" s="68">
        <f>IF($A173="","",YEAR($A173)&amp;"-"&amp;TEXT(MONTH($A173),"00"))</f>
        <v/>
      </c>
    </row>
    <row r="174">
      <c r="A174" s="53" t="n"/>
      <c r="B174" s="52" t="n"/>
      <c r="C174" s="52" t="n"/>
      <c r="D174" s="52" t="n"/>
      <c r="E174" s="58">
        <f>IFERROR(VLOOKUP(D174,Maestro_SKU!$A$2:$P$500,2,FALSE),"")</f>
        <v/>
      </c>
      <c r="F174" s="52" t="n"/>
      <c r="G174" s="60" t="n"/>
      <c r="H174" s="52" t="n"/>
      <c r="I174" s="52" t="n"/>
      <c r="J174" s="52" t="n"/>
      <c r="K174" s="68">
        <f>IF($A174="","",YEAR($A174))</f>
        <v/>
      </c>
      <c r="L174" s="68">
        <f>IF($A174="","",MONTH($A174))</f>
        <v/>
      </c>
      <c r="M174" s="68">
        <f>IF($A174="","",DAY($A174))</f>
        <v/>
      </c>
      <c r="N174" s="68">
        <f>IF($A174="","",YEAR($A174)&amp;"-"&amp;TEXT(MONTH($A174),"00"))</f>
        <v/>
      </c>
    </row>
    <row r="175">
      <c r="A175" s="53" t="n"/>
      <c r="B175" s="52" t="n"/>
      <c r="C175" s="52" t="n"/>
      <c r="D175" s="52" t="n"/>
      <c r="E175" s="58">
        <f>IFERROR(VLOOKUP(D175,Maestro_SKU!$A$2:$P$500,2,FALSE),"")</f>
        <v/>
      </c>
      <c r="F175" s="52" t="n"/>
      <c r="G175" s="60" t="n"/>
      <c r="H175" s="52" t="n"/>
      <c r="I175" s="52" t="n"/>
      <c r="J175" s="52" t="n"/>
      <c r="K175" s="68">
        <f>IF($A175="","",YEAR($A175))</f>
        <v/>
      </c>
      <c r="L175" s="68">
        <f>IF($A175="","",MONTH($A175))</f>
        <v/>
      </c>
      <c r="M175" s="68">
        <f>IF($A175="","",DAY($A175))</f>
        <v/>
      </c>
      <c r="N175" s="68">
        <f>IF($A175="","",YEAR($A175)&amp;"-"&amp;TEXT(MONTH($A175),"00"))</f>
        <v/>
      </c>
    </row>
    <row r="176">
      <c r="A176" s="53" t="n"/>
      <c r="B176" s="52" t="n"/>
      <c r="C176" s="52" t="n"/>
      <c r="D176" s="52" t="n"/>
      <c r="E176" s="58">
        <f>IFERROR(VLOOKUP(D176,Maestro_SKU!$A$2:$P$500,2,FALSE),"")</f>
        <v/>
      </c>
      <c r="F176" s="52" t="n"/>
      <c r="G176" s="60" t="n"/>
      <c r="H176" s="52" t="n"/>
      <c r="I176" s="52" t="n"/>
      <c r="J176" s="52" t="n"/>
      <c r="K176" s="68">
        <f>IF($A176="","",YEAR($A176))</f>
        <v/>
      </c>
      <c r="L176" s="68">
        <f>IF($A176="","",MONTH($A176))</f>
        <v/>
      </c>
      <c r="M176" s="68">
        <f>IF($A176="","",DAY($A176))</f>
        <v/>
      </c>
      <c r="N176" s="68">
        <f>IF($A176="","",YEAR($A176)&amp;"-"&amp;TEXT(MONTH($A176),"00"))</f>
        <v/>
      </c>
    </row>
    <row r="177">
      <c r="A177" s="53" t="n"/>
      <c r="B177" s="52" t="n"/>
      <c r="C177" s="52" t="n"/>
      <c r="D177" s="52" t="n"/>
      <c r="E177" s="58">
        <f>IFERROR(VLOOKUP(D177,Maestro_SKU!$A$2:$P$500,2,FALSE),"")</f>
        <v/>
      </c>
      <c r="F177" s="52" t="n"/>
      <c r="G177" s="60" t="n"/>
      <c r="H177" s="52" t="n"/>
      <c r="I177" s="52" t="n"/>
      <c r="J177" s="52" t="n"/>
      <c r="K177" s="68">
        <f>IF($A177="","",YEAR($A177))</f>
        <v/>
      </c>
      <c r="L177" s="68">
        <f>IF($A177="","",MONTH($A177))</f>
        <v/>
      </c>
      <c r="M177" s="68">
        <f>IF($A177="","",DAY($A177))</f>
        <v/>
      </c>
      <c r="N177" s="68">
        <f>IF($A177="","",YEAR($A177)&amp;"-"&amp;TEXT(MONTH($A177),"00"))</f>
        <v/>
      </c>
    </row>
    <row r="178">
      <c r="A178" s="53" t="n"/>
      <c r="B178" s="52" t="n"/>
      <c r="C178" s="52" t="n"/>
      <c r="D178" s="52" t="n"/>
      <c r="E178" s="58">
        <f>IFERROR(VLOOKUP(D178,Maestro_SKU!$A$2:$P$500,2,FALSE),"")</f>
        <v/>
      </c>
      <c r="F178" s="52" t="n"/>
      <c r="G178" s="60" t="n"/>
      <c r="H178" s="52" t="n"/>
      <c r="I178" s="52" t="n"/>
      <c r="J178" s="52" t="n"/>
      <c r="K178" s="68">
        <f>IF($A178="","",YEAR($A178))</f>
        <v/>
      </c>
      <c r="L178" s="68">
        <f>IF($A178="","",MONTH($A178))</f>
        <v/>
      </c>
      <c r="M178" s="68">
        <f>IF($A178="","",DAY($A178))</f>
        <v/>
      </c>
      <c r="N178" s="68">
        <f>IF($A178="","",YEAR($A178)&amp;"-"&amp;TEXT(MONTH($A178),"00"))</f>
        <v/>
      </c>
    </row>
    <row r="179">
      <c r="A179" s="53" t="n"/>
      <c r="B179" s="52" t="n"/>
      <c r="C179" s="52" t="n"/>
      <c r="D179" s="52" t="n"/>
      <c r="E179" s="58">
        <f>IFERROR(VLOOKUP(D179,Maestro_SKU!$A$2:$P$500,2,FALSE),"")</f>
        <v/>
      </c>
      <c r="F179" s="52" t="n"/>
      <c r="G179" s="60" t="n"/>
      <c r="H179" s="52" t="n"/>
      <c r="I179" s="52" t="n"/>
      <c r="J179" s="52" t="n"/>
      <c r="K179" s="68">
        <f>IF($A179="","",YEAR($A179))</f>
        <v/>
      </c>
      <c r="L179" s="68">
        <f>IF($A179="","",MONTH($A179))</f>
        <v/>
      </c>
      <c r="M179" s="68">
        <f>IF($A179="","",DAY($A179))</f>
        <v/>
      </c>
      <c r="N179" s="68">
        <f>IF($A179="","",YEAR($A179)&amp;"-"&amp;TEXT(MONTH($A179),"00"))</f>
        <v/>
      </c>
    </row>
    <row r="180">
      <c r="A180" s="53" t="n"/>
      <c r="B180" s="52" t="n"/>
      <c r="C180" s="52" t="n"/>
      <c r="D180" s="52" t="n"/>
      <c r="E180" s="58">
        <f>IFERROR(VLOOKUP(D180,Maestro_SKU!$A$2:$P$500,2,FALSE),"")</f>
        <v/>
      </c>
      <c r="F180" s="52" t="n"/>
      <c r="G180" s="60" t="n"/>
      <c r="H180" s="52" t="n"/>
      <c r="I180" s="52" t="n"/>
      <c r="J180" s="52" t="n"/>
      <c r="K180" s="68">
        <f>IF($A180="","",YEAR($A180))</f>
        <v/>
      </c>
      <c r="L180" s="68">
        <f>IF($A180="","",MONTH($A180))</f>
        <v/>
      </c>
      <c r="M180" s="68">
        <f>IF($A180="","",DAY($A180))</f>
        <v/>
      </c>
      <c r="N180" s="68">
        <f>IF($A180="","",YEAR($A180)&amp;"-"&amp;TEXT(MONTH($A180),"00"))</f>
        <v/>
      </c>
    </row>
    <row r="181">
      <c r="A181" s="53" t="n"/>
      <c r="B181" s="52" t="n"/>
      <c r="C181" s="52" t="n"/>
      <c r="D181" s="52" t="n"/>
      <c r="E181" s="58">
        <f>IFERROR(VLOOKUP(D181,Maestro_SKU!$A$2:$P$500,2,FALSE),"")</f>
        <v/>
      </c>
      <c r="F181" s="52" t="n"/>
      <c r="G181" s="60" t="n"/>
      <c r="H181" s="52" t="n"/>
      <c r="I181" s="52" t="n"/>
      <c r="J181" s="52" t="n"/>
      <c r="K181" s="68">
        <f>IF($A181="","",YEAR($A181))</f>
        <v/>
      </c>
      <c r="L181" s="68">
        <f>IF($A181="","",MONTH($A181))</f>
        <v/>
      </c>
      <c r="M181" s="68">
        <f>IF($A181="","",DAY($A181))</f>
        <v/>
      </c>
      <c r="N181" s="68">
        <f>IF($A181="","",YEAR($A181)&amp;"-"&amp;TEXT(MONTH($A181),"00"))</f>
        <v/>
      </c>
    </row>
    <row r="182">
      <c r="A182" s="53" t="n"/>
      <c r="B182" s="52" t="n"/>
      <c r="C182" s="52" t="n"/>
      <c r="D182" s="52" t="n"/>
      <c r="E182" s="58">
        <f>IFERROR(VLOOKUP(D182,Maestro_SKU!$A$2:$P$500,2,FALSE),"")</f>
        <v/>
      </c>
      <c r="F182" s="52" t="n"/>
      <c r="G182" s="60" t="n"/>
      <c r="H182" s="52" t="n"/>
      <c r="I182" s="52" t="n"/>
      <c r="J182" s="52" t="n"/>
      <c r="K182" s="68">
        <f>IF($A182="","",YEAR($A182))</f>
        <v/>
      </c>
      <c r="L182" s="68">
        <f>IF($A182="","",MONTH($A182))</f>
        <v/>
      </c>
      <c r="M182" s="68">
        <f>IF($A182="","",DAY($A182))</f>
        <v/>
      </c>
      <c r="N182" s="68">
        <f>IF($A182="","",YEAR($A182)&amp;"-"&amp;TEXT(MONTH($A182),"00"))</f>
        <v/>
      </c>
    </row>
    <row r="183">
      <c r="A183" s="53" t="n"/>
      <c r="B183" s="52" t="n"/>
      <c r="C183" s="52" t="n"/>
      <c r="D183" s="52" t="n"/>
      <c r="E183" s="58">
        <f>IFERROR(VLOOKUP(D183,Maestro_SKU!$A$2:$P$500,2,FALSE),"")</f>
        <v/>
      </c>
      <c r="F183" s="52" t="n"/>
      <c r="G183" s="60" t="n"/>
      <c r="H183" s="52" t="n"/>
      <c r="I183" s="52" t="n"/>
      <c r="J183" s="52" t="n"/>
      <c r="K183" s="68">
        <f>IF($A183="","",YEAR($A183))</f>
        <v/>
      </c>
      <c r="L183" s="68">
        <f>IF($A183="","",MONTH($A183))</f>
        <v/>
      </c>
      <c r="M183" s="68">
        <f>IF($A183="","",DAY($A183))</f>
        <v/>
      </c>
      <c r="N183" s="68">
        <f>IF($A183="","",YEAR($A183)&amp;"-"&amp;TEXT(MONTH($A183),"00"))</f>
        <v/>
      </c>
    </row>
    <row r="184">
      <c r="A184" s="53" t="n"/>
      <c r="B184" s="52" t="n"/>
      <c r="C184" s="52" t="n"/>
      <c r="D184" s="52" t="n"/>
      <c r="E184" s="58">
        <f>IFERROR(VLOOKUP(D184,Maestro_SKU!$A$2:$P$500,2,FALSE),"")</f>
        <v/>
      </c>
      <c r="F184" s="52" t="n"/>
      <c r="G184" s="60" t="n"/>
      <c r="H184" s="52" t="n"/>
      <c r="I184" s="52" t="n"/>
      <c r="J184" s="52" t="n"/>
      <c r="K184" s="68">
        <f>IF($A184="","",YEAR($A184))</f>
        <v/>
      </c>
      <c r="L184" s="68">
        <f>IF($A184="","",MONTH($A184))</f>
        <v/>
      </c>
      <c r="M184" s="68">
        <f>IF($A184="","",DAY($A184))</f>
        <v/>
      </c>
      <c r="N184" s="68">
        <f>IF($A184="","",YEAR($A184)&amp;"-"&amp;TEXT(MONTH($A184),"00"))</f>
        <v/>
      </c>
    </row>
    <row r="185">
      <c r="A185" s="53" t="n"/>
      <c r="B185" s="52" t="n"/>
      <c r="C185" s="52" t="n"/>
      <c r="D185" s="52" t="n"/>
      <c r="E185" s="58">
        <f>IFERROR(VLOOKUP(D185,Maestro_SKU!$A$2:$P$500,2,FALSE),"")</f>
        <v/>
      </c>
      <c r="F185" s="52" t="n"/>
      <c r="G185" s="60" t="n"/>
      <c r="H185" s="52" t="n"/>
      <c r="I185" s="52" t="n"/>
      <c r="J185" s="52" t="n"/>
      <c r="K185" s="68">
        <f>IF($A185="","",YEAR($A185))</f>
        <v/>
      </c>
      <c r="L185" s="68">
        <f>IF($A185="","",MONTH($A185))</f>
        <v/>
      </c>
      <c r="M185" s="68">
        <f>IF($A185="","",DAY($A185))</f>
        <v/>
      </c>
      <c r="N185" s="68">
        <f>IF($A185="","",YEAR($A185)&amp;"-"&amp;TEXT(MONTH($A185),"00"))</f>
        <v/>
      </c>
    </row>
    <row r="186">
      <c r="A186" s="53" t="n"/>
      <c r="B186" s="52" t="n"/>
      <c r="C186" s="52" t="n"/>
      <c r="D186" s="52" t="n"/>
      <c r="E186" s="58">
        <f>IFERROR(VLOOKUP(D186,Maestro_SKU!$A$2:$P$500,2,FALSE),"")</f>
        <v/>
      </c>
      <c r="F186" s="52" t="n"/>
      <c r="G186" s="60" t="n"/>
      <c r="H186" s="52" t="n"/>
      <c r="I186" s="52" t="n"/>
      <c r="J186" s="52" t="n"/>
      <c r="K186" s="68">
        <f>IF($A186="","",YEAR($A186))</f>
        <v/>
      </c>
      <c r="L186" s="68">
        <f>IF($A186="","",MONTH($A186))</f>
        <v/>
      </c>
      <c r="M186" s="68">
        <f>IF($A186="","",DAY($A186))</f>
        <v/>
      </c>
      <c r="N186" s="68">
        <f>IF($A186="","",YEAR($A186)&amp;"-"&amp;TEXT(MONTH($A186),"00"))</f>
        <v/>
      </c>
    </row>
    <row r="187">
      <c r="A187" s="53" t="n"/>
      <c r="B187" s="52" t="n"/>
      <c r="C187" s="52" t="n"/>
      <c r="D187" s="52" t="n"/>
      <c r="E187" s="58">
        <f>IFERROR(VLOOKUP(D187,Maestro_SKU!$A$2:$P$500,2,FALSE),"")</f>
        <v/>
      </c>
      <c r="F187" s="52" t="n"/>
      <c r="G187" s="60" t="n"/>
      <c r="H187" s="52" t="n"/>
      <c r="I187" s="52" t="n"/>
      <c r="J187" s="52" t="n"/>
      <c r="K187" s="68">
        <f>IF($A187="","",YEAR($A187))</f>
        <v/>
      </c>
      <c r="L187" s="68">
        <f>IF($A187="","",MONTH($A187))</f>
        <v/>
      </c>
      <c r="M187" s="68">
        <f>IF($A187="","",DAY($A187))</f>
        <v/>
      </c>
      <c r="N187" s="68">
        <f>IF($A187="","",YEAR($A187)&amp;"-"&amp;TEXT(MONTH($A187),"00"))</f>
        <v/>
      </c>
    </row>
    <row r="188">
      <c r="A188" s="53" t="n"/>
      <c r="B188" s="52" t="n"/>
      <c r="C188" s="52" t="n"/>
      <c r="D188" s="52" t="n"/>
      <c r="E188" s="58">
        <f>IFERROR(VLOOKUP(D188,Maestro_SKU!$A$2:$P$500,2,FALSE),"")</f>
        <v/>
      </c>
      <c r="F188" s="52" t="n"/>
      <c r="G188" s="60" t="n"/>
      <c r="H188" s="52" t="n"/>
      <c r="I188" s="52" t="n"/>
      <c r="J188" s="52" t="n"/>
      <c r="K188" s="68">
        <f>IF($A188="","",YEAR($A188))</f>
        <v/>
      </c>
      <c r="L188" s="68">
        <f>IF($A188="","",MONTH($A188))</f>
        <v/>
      </c>
      <c r="M188" s="68">
        <f>IF($A188="","",DAY($A188))</f>
        <v/>
      </c>
      <c r="N188" s="68">
        <f>IF($A188="","",YEAR($A188)&amp;"-"&amp;TEXT(MONTH($A188),"00"))</f>
        <v/>
      </c>
    </row>
    <row r="189">
      <c r="A189" s="53" t="n"/>
      <c r="B189" s="52" t="n"/>
      <c r="C189" s="52" t="n"/>
      <c r="D189" s="52" t="n"/>
      <c r="E189" s="58">
        <f>IFERROR(VLOOKUP(D189,Maestro_SKU!$A$2:$P$500,2,FALSE),"")</f>
        <v/>
      </c>
      <c r="F189" s="52" t="n"/>
      <c r="G189" s="60" t="n"/>
      <c r="H189" s="52" t="n"/>
      <c r="I189" s="52" t="n"/>
      <c r="J189" s="52" t="n"/>
      <c r="K189" s="68">
        <f>IF($A189="","",YEAR($A189))</f>
        <v/>
      </c>
      <c r="L189" s="68">
        <f>IF($A189="","",MONTH($A189))</f>
        <v/>
      </c>
      <c r="M189" s="68">
        <f>IF($A189="","",DAY($A189))</f>
        <v/>
      </c>
      <c r="N189" s="68">
        <f>IF($A189="","",YEAR($A189)&amp;"-"&amp;TEXT(MONTH($A189),"00"))</f>
        <v/>
      </c>
    </row>
    <row r="190">
      <c r="A190" s="53" t="n"/>
      <c r="B190" s="52" t="n"/>
      <c r="C190" s="52" t="n"/>
      <c r="D190" s="52" t="n"/>
      <c r="E190" s="58">
        <f>IFERROR(VLOOKUP(D190,Maestro_SKU!$A$2:$P$500,2,FALSE),"")</f>
        <v/>
      </c>
      <c r="F190" s="52" t="n"/>
      <c r="G190" s="60" t="n"/>
      <c r="H190" s="52" t="n"/>
      <c r="I190" s="52" t="n"/>
      <c r="J190" s="52" t="n"/>
      <c r="K190" s="68">
        <f>IF($A190="","",YEAR($A190))</f>
        <v/>
      </c>
      <c r="L190" s="68">
        <f>IF($A190="","",MONTH($A190))</f>
        <v/>
      </c>
      <c r="M190" s="68">
        <f>IF($A190="","",DAY($A190))</f>
        <v/>
      </c>
      <c r="N190" s="68">
        <f>IF($A190="","",YEAR($A190)&amp;"-"&amp;TEXT(MONTH($A190),"00"))</f>
        <v/>
      </c>
    </row>
    <row r="191">
      <c r="A191" s="53" t="n"/>
      <c r="B191" s="52" t="n"/>
      <c r="C191" s="52" t="n"/>
      <c r="D191" s="52" t="n"/>
      <c r="E191" s="58">
        <f>IFERROR(VLOOKUP(D191,Maestro_SKU!$A$2:$P$500,2,FALSE),"")</f>
        <v/>
      </c>
      <c r="F191" s="52" t="n"/>
      <c r="G191" s="60" t="n"/>
      <c r="H191" s="52" t="n"/>
      <c r="I191" s="52" t="n"/>
      <c r="J191" s="52" t="n"/>
      <c r="K191" s="68">
        <f>IF($A191="","",YEAR($A191))</f>
        <v/>
      </c>
      <c r="L191" s="68">
        <f>IF($A191="","",MONTH($A191))</f>
        <v/>
      </c>
      <c r="M191" s="68">
        <f>IF($A191="","",DAY($A191))</f>
        <v/>
      </c>
      <c r="N191" s="68">
        <f>IF($A191="","",YEAR($A191)&amp;"-"&amp;TEXT(MONTH($A191),"00"))</f>
        <v/>
      </c>
    </row>
    <row r="192">
      <c r="A192" s="53" t="n"/>
      <c r="B192" s="52" t="n"/>
      <c r="C192" s="52" t="n"/>
      <c r="D192" s="52" t="n"/>
      <c r="E192" s="58">
        <f>IFERROR(VLOOKUP(D192,Maestro_SKU!$A$2:$P$500,2,FALSE),"")</f>
        <v/>
      </c>
      <c r="F192" s="52" t="n"/>
      <c r="G192" s="60" t="n"/>
      <c r="H192" s="52" t="n"/>
      <c r="I192" s="52" t="n"/>
      <c r="J192" s="52" t="n"/>
      <c r="K192" s="68">
        <f>IF($A192="","",YEAR($A192))</f>
        <v/>
      </c>
      <c r="L192" s="68">
        <f>IF($A192="","",MONTH($A192))</f>
        <v/>
      </c>
      <c r="M192" s="68">
        <f>IF($A192="","",DAY($A192))</f>
        <v/>
      </c>
      <c r="N192" s="68">
        <f>IF($A192="","",YEAR($A192)&amp;"-"&amp;TEXT(MONTH($A192),"00"))</f>
        <v/>
      </c>
    </row>
    <row r="193">
      <c r="A193" s="53" t="n"/>
      <c r="B193" s="52" t="n"/>
      <c r="C193" s="52" t="n"/>
      <c r="D193" s="52" t="n"/>
      <c r="E193" s="58">
        <f>IFERROR(VLOOKUP(D193,Maestro_SKU!$A$2:$P$500,2,FALSE),"")</f>
        <v/>
      </c>
      <c r="F193" s="52" t="n"/>
      <c r="G193" s="60" t="n"/>
      <c r="H193" s="52" t="n"/>
      <c r="I193" s="52" t="n"/>
      <c r="J193" s="52" t="n"/>
      <c r="K193" s="68">
        <f>IF($A193="","",YEAR($A193))</f>
        <v/>
      </c>
      <c r="L193" s="68">
        <f>IF($A193="","",MONTH($A193))</f>
        <v/>
      </c>
      <c r="M193" s="68">
        <f>IF($A193="","",DAY($A193))</f>
        <v/>
      </c>
      <c r="N193" s="68">
        <f>IF($A193="","",YEAR($A193)&amp;"-"&amp;TEXT(MONTH($A193),"00"))</f>
        <v/>
      </c>
    </row>
    <row r="194">
      <c r="A194" s="53" t="n"/>
      <c r="B194" s="52" t="n"/>
      <c r="C194" s="52" t="n"/>
      <c r="D194" s="52" t="n"/>
      <c r="E194" s="58">
        <f>IFERROR(VLOOKUP(D194,Maestro_SKU!$A$2:$P$500,2,FALSE),"")</f>
        <v/>
      </c>
      <c r="F194" s="52" t="n"/>
      <c r="G194" s="60" t="n"/>
      <c r="H194" s="52" t="n"/>
      <c r="I194" s="52" t="n"/>
      <c r="J194" s="52" t="n"/>
      <c r="K194" s="68">
        <f>IF($A194="","",YEAR($A194))</f>
        <v/>
      </c>
      <c r="L194" s="68">
        <f>IF($A194="","",MONTH($A194))</f>
        <v/>
      </c>
      <c r="M194" s="68">
        <f>IF($A194="","",DAY($A194))</f>
        <v/>
      </c>
      <c r="N194" s="68">
        <f>IF($A194="","",YEAR($A194)&amp;"-"&amp;TEXT(MONTH($A194),"00"))</f>
        <v/>
      </c>
    </row>
    <row r="195">
      <c r="A195" s="53" t="n"/>
      <c r="B195" s="52" t="n"/>
      <c r="C195" s="52" t="n"/>
      <c r="D195" s="52" t="n"/>
      <c r="E195" s="58">
        <f>IFERROR(VLOOKUP(D195,Maestro_SKU!$A$2:$P$500,2,FALSE),"")</f>
        <v/>
      </c>
      <c r="F195" s="52" t="n"/>
      <c r="G195" s="60" t="n"/>
      <c r="H195" s="52" t="n"/>
      <c r="I195" s="52" t="n"/>
      <c r="J195" s="52" t="n"/>
      <c r="K195" s="68">
        <f>IF($A195="","",YEAR($A195))</f>
        <v/>
      </c>
      <c r="L195" s="68">
        <f>IF($A195="","",MONTH($A195))</f>
        <v/>
      </c>
      <c r="M195" s="68">
        <f>IF($A195="","",DAY($A195))</f>
        <v/>
      </c>
      <c r="N195" s="68">
        <f>IF($A195="","",YEAR($A195)&amp;"-"&amp;TEXT(MONTH($A195),"00"))</f>
        <v/>
      </c>
    </row>
    <row r="196">
      <c r="A196" s="53" t="n"/>
      <c r="B196" s="52" t="n"/>
      <c r="C196" s="52" t="n"/>
      <c r="D196" s="52" t="n"/>
      <c r="E196" s="58">
        <f>IFERROR(VLOOKUP(D196,Maestro_SKU!$A$2:$P$500,2,FALSE),"")</f>
        <v/>
      </c>
      <c r="F196" s="52" t="n"/>
      <c r="G196" s="60" t="n"/>
      <c r="H196" s="52" t="n"/>
      <c r="I196" s="52" t="n"/>
      <c r="J196" s="52" t="n"/>
      <c r="K196" s="68">
        <f>IF($A196="","",YEAR($A196))</f>
        <v/>
      </c>
      <c r="L196" s="68">
        <f>IF($A196="","",MONTH($A196))</f>
        <v/>
      </c>
      <c r="M196" s="68">
        <f>IF($A196="","",DAY($A196))</f>
        <v/>
      </c>
      <c r="N196" s="68">
        <f>IF($A196="","",YEAR($A196)&amp;"-"&amp;TEXT(MONTH($A196),"00"))</f>
        <v/>
      </c>
    </row>
    <row r="197">
      <c r="A197" s="53" t="n"/>
      <c r="B197" s="52" t="n"/>
      <c r="C197" s="52" t="n"/>
      <c r="D197" s="52" t="n"/>
      <c r="E197" s="58">
        <f>IFERROR(VLOOKUP(D197,Maestro_SKU!$A$2:$P$500,2,FALSE),"")</f>
        <v/>
      </c>
      <c r="F197" s="52" t="n"/>
      <c r="G197" s="60" t="n"/>
      <c r="H197" s="52" t="n"/>
      <c r="I197" s="52" t="n"/>
      <c r="J197" s="52" t="n"/>
      <c r="K197" s="68">
        <f>IF($A197="","",YEAR($A197))</f>
        <v/>
      </c>
      <c r="L197" s="68">
        <f>IF($A197="","",MONTH($A197))</f>
        <v/>
      </c>
      <c r="M197" s="68">
        <f>IF($A197="","",DAY($A197))</f>
        <v/>
      </c>
      <c r="N197" s="68">
        <f>IF($A197="","",YEAR($A197)&amp;"-"&amp;TEXT(MONTH($A197),"00"))</f>
        <v/>
      </c>
    </row>
    <row r="198">
      <c r="A198" s="53" t="n"/>
      <c r="B198" s="52" t="n"/>
      <c r="C198" s="52" t="n"/>
      <c r="D198" s="52" t="n"/>
      <c r="E198" s="58">
        <f>IFERROR(VLOOKUP(D198,Maestro_SKU!$A$2:$P$500,2,FALSE),"")</f>
        <v/>
      </c>
      <c r="F198" s="52" t="n"/>
      <c r="G198" s="60" t="n"/>
      <c r="H198" s="52" t="n"/>
      <c r="I198" s="52" t="n"/>
      <c r="J198" s="52" t="n"/>
      <c r="K198" s="68">
        <f>IF($A198="","",YEAR($A198))</f>
        <v/>
      </c>
      <c r="L198" s="68">
        <f>IF($A198="","",MONTH($A198))</f>
        <v/>
      </c>
      <c r="M198" s="68">
        <f>IF($A198="","",DAY($A198))</f>
        <v/>
      </c>
      <c r="N198" s="68">
        <f>IF($A198="","",YEAR($A198)&amp;"-"&amp;TEXT(MONTH($A198),"00"))</f>
        <v/>
      </c>
    </row>
    <row r="199">
      <c r="A199" s="53" t="n"/>
      <c r="B199" s="52" t="n"/>
      <c r="C199" s="52" t="n"/>
      <c r="D199" s="52" t="n"/>
      <c r="E199" s="58">
        <f>IFERROR(VLOOKUP(D199,Maestro_SKU!$A$2:$P$500,2,FALSE),"")</f>
        <v/>
      </c>
      <c r="F199" s="52" t="n"/>
      <c r="G199" s="60" t="n"/>
      <c r="H199" s="52" t="n"/>
      <c r="I199" s="52" t="n"/>
      <c r="J199" s="52" t="n"/>
      <c r="K199" s="68">
        <f>IF($A199="","",YEAR($A199))</f>
        <v/>
      </c>
      <c r="L199" s="68">
        <f>IF($A199="","",MONTH($A199))</f>
        <v/>
      </c>
      <c r="M199" s="68">
        <f>IF($A199="","",DAY($A199))</f>
        <v/>
      </c>
      <c r="N199" s="68">
        <f>IF($A199="","",YEAR($A199)&amp;"-"&amp;TEXT(MONTH($A199),"00"))</f>
        <v/>
      </c>
    </row>
    <row r="200">
      <c r="A200" s="53" t="n"/>
      <c r="B200" s="52" t="n"/>
      <c r="C200" s="52" t="n"/>
      <c r="D200" s="52" t="n"/>
      <c r="E200" s="58">
        <f>IFERROR(VLOOKUP(D200,Maestro_SKU!$A$2:$P$500,2,FALSE),"")</f>
        <v/>
      </c>
      <c r="F200" s="52" t="n"/>
      <c r="G200" s="60" t="n"/>
      <c r="H200" s="52" t="n"/>
      <c r="I200" s="52" t="n"/>
      <c r="J200" s="52" t="n"/>
      <c r="K200" s="68">
        <f>IF($A200="","",YEAR($A200))</f>
        <v/>
      </c>
      <c r="L200" s="68">
        <f>IF($A200="","",MONTH($A200))</f>
        <v/>
      </c>
      <c r="M200" s="68">
        <f>IF($A200="","",DAY($A200))</f>
        <v/>
      </c>
      <c r="N200" s="68">
        <f>IF($A200="","",YEAR($A200)&amp;"-"&amp;TEXT(MONTH($A200),"00"))</f>
        <v/>
      </c>
    </row>
    <row r="201">
      <c r="A201" s="53" t="n"/>
      <c r="B201" s="52" t="n"/>
      <c r="C201" s="52" t="n"/>
      <c r="D201" s="52" t="n"/>
      <c r="E201" s="58">
        <f>IFERROR(VLOOKUP(D201,Maestro_SKU!$A$2:$P$500,2,FALSE),"")</f>
        <v/>
      </c>
      <c r="F201" s="52" t="n"/>
      <c r="G201" s="60" t="n"/>
      <c r="H201" s="52" t="n"/>
      <c r="I201" s="52" t="n"/>
      <c r="J201" s="52" t="n"/>
      <c r="K201" s="68">
        <f>IF($A201="","",YEAR($A201))</f>
        <v/>
      </c>
      <c r="L201" s="68">
        <f>IF($A201="","",MONTH($A201))</f>
        <v/>
      </c>
      <c r="M201" s="68">
        <f>IF($A201="","",DAY($A201))</f>
        <v/>
      </c>
      <c r="N201" s="68">
        <f>IF($A201="","",YEAR($A201)&amp;"-"&amp;TEXT(MONTH($A201),"00"))</f>
        <v/>
      </c>
    </row>
    <row r="202">
      <c r="A202" s="53" t="n"/>
      <c r="B202" s="52" t="n"/>
      <c r="C202" s="52" t="n"/>
      <c r="D202" s="52" t="n"/>
      <c r="E202" s="58">
        <f>IFERROR(VLOOKUP(D202,Maestro_SKU!$A$2:$P$500,2,FALSE),"")</f>
        <v/>
      </c>
      <c r="F202" s="52" t="n"/>
      <c r="G202" s="60" t="n"/>
      <c r="H202" s="52" t="n"/>
      <c r="I202" s="52" t="n"/>
      <c r="J202" s="52" t="n"/>
      <c r="K202" s="68">
        <f>IF($A202="","",YEAR($A202))</f>
        <v/>
      </c>
      <c r="L202" s="68">
        <f>IF($A202="","",MONTH($A202))</f>
        <v/>
      </c>
      <c r="M202" s="68">
        <f>IF($A202="","",DAY($A202))</f>
        <v/>
      </c>
      <c r="N202" s="68">
        <f>IF($A202="","",YEAR($A202)&amp;"-"&amp;TEXT(MONTH($A202),"00"))</f>
        <v/>
      </c>
    </row>
    <row r="203">
      <c r="A203" s="53" t="n"/>
      <c r="B203" s="52" t="n"/>
      <c r="C203" s="52" t="n"/>
      <c r="D203" s="52" t="n"/>
      <c r="E203" s="58">
        <f>IFERROR(VLOOKUP(D203,Maestro_SKU!$A$2:$P$500,2,FALSE),"")</f>
        <v/>
      </c>
      <c r="F203" s="52" t="n"/>
      <c r="G203" s="60" t="n"/>
      <c r="H203" s="52" t="n"/>
      <c r="I203" s="52" t="n"/>
      <c r="J203" s="52" t="n"/>
      <c r="K203" s="68">
        <f>IF($A203="","",YEAR($A203))</f>
        <v/>
      </c>
      <c r="L203" s="68">
        <f>IF($A203="","",MONTH($A203))</f>
        <v/>
      </c>
      <c r="M203" s="68">
        <f>IF($A203="","",DAY($A203))</f>
        <v/>
      </c>
      <c r="N203" s="68">
        <f>IF($A203="","",YEAR($A203)&amp;"-"&amp;TEXT(MONTH($A203),"00"))</f>
        <v/>
      </c>
    </row>
    <row r="204">
      <c r="A204" s="53" t="n"/>
      <c r="B204" s="52" t="n"/>
      <c r="C204" s="52" t="n"/>
      <c r="D204" s="52" t="n"/>
      <c r="E204" s="58">
        <f>IFERROR(VLOOKUP(D204,Maestro_SKU!$A$2:$P$500,2,FALSE),"")</f>
        <v/>
      </c>
      <c r="F204" s="52" t="n"/>
      <c r="G204" s="60" t="n"/>
      <c r="H204" s="52" t="n"/>
      <c r="I204" s="52" t="n"/>
      <c r="J204" s="52" t="n"/>
      <c r="K204" s="68">
        <f>IF($A204="","",YEAR($A204))</f>
        <v/>
      </c>
      <c r="L204" s="68">
        <f>IF($A204="","",MONTH($A204))</f>
        <v/>
      </c>
      <c r="M204" s="68">
        <f>IF($A204="","",DAY($A204))</f>
        <v/>
      </c>
      <c r="N204" s="68">
        <f>IF($A204="","",YEAR($A204)&amp;"-"&amp;TEXT(MONTH($A204),"00"))</f>
        <v/>
      </c>
    </row>
    <row r="205">
      <c r="A205" s="53" t="n"/>
      <c r="B205" s="52" t="n"/>
      <c r="C205" s="52" t="n"/>
      <c r="D205" s="52" t="n"/>
      <c r="E205" s="58">
        <f>IFERROR(VLOOKUP(D205,Maestro_SKU!$A$2:$P$500,2,FALSE),"")</f>
        <v/>
      </c>
      <c r="F205" s="52" t="n"/>
      <c r="G205" s="60" t="n"/>
      <c r="H205" s="52" t="n"/>
      <c r="I205" s="52" t="n"/>
      <c r="J205" s="52" t="n"/>
      <c r="K205" s="68">
        <f>IF($A205="","",YEAR($A205))</f>
        <v/>
      </c>
      <c r="L205" s="68">
        <f>IF($A205="","",MONTH($A205))</f>
        <v/>
      </c>
      <c r="M205" s="68">
        <f>IF($A205="","",DAY($A205))</f>
        <v/>
      </c>
      <c r="N205" s="68">
        <f>IF($A205="","",YEAR($A205)&amp;"-"&amp;TEXT(MONTH($A205),"00"))</f>
        <v/>
      </c>
    </row>
    <row r="206">
      <c r="A206" s="53" t="n"/>
      <c r="B206" s="52" t="n"/>
      <c r="C206" s="52" t="n"/>
      <c r="D206" s="52" t="n"/>
      <c r="E206" s="58">
        <f>IFERROR(VLOOKUP(D206,Maestro_SKU!$A$2:$P$500,2,FALSE),"")</f>
        <v/>
      </c>
      <c r="F206" s="52" t="n"/>
      <c r="G206" s="60" t="n"/>
      <c r="H206" s="52" t="n"/>
      <c r="I206" s="52" t="n"/>
      <c r="J206" s="52" t="n"/>
      <c r="K206" s="68">
        <f>IF($A206="","",YEAR($A206))</f>
        <v/>
      </c>
      <c r="L206" s="68">
        <f>IF($A206="","",MONTH($A206))</f>
        <v/>
      </c>
      <c r="M206" s="68">
        <f>IF($A206="","",DAY($A206))</f>
        <v/>
      </c>
      <c r="N206" s="68">
        <f>IF($A206="","",YEAR($A206)&amp;"-"&amp;TEXT(MONTH($A206),"00"))</f>
        <v/>
      </c>
    </row>
    <row r="207">
      <c r="A207" s="53" t="n"/>
      <c r="B207" s="52" t="n"/>
      <c r="C207" s="52" t="n"/>
      <c r="D207" s="52" t="n"/>
      <c r="E207" s="58">
        <f>IFERROR(VLOOKUP(D207,Maestro_SKU!$A$2:$P$500,2,FALSE),"")</f>
        <v/>
      </c>
      <c r="F207" s="52" t="n"/>
      <c r="G207" s="60" t="n"/>
      <c r="H207" s="52" t="n"/>
      <c r="I207" s="52" t="n"/>
      <c r="J207" s="52" t="n"/>
      <c r="K207" s="68">
        <f>IF($A207="","",YEAR($A207))</f>
        <v/>
      </c>
      <c r="L207" s="68">
        <f>IF($A207="","",MONTH($A207))</f>
        <v/>
      </c>
      <c r="M207" s="68">
        <f>IF($A207="","",DAY($A207))</f>
        <v/>
      </c>
      <c r="N207" s="68">
        <f>IF($A207="","",YEAR($A207)&amp;"-"&amp;TEXT(MONTH($A207),"00"))</f>
        <v/>
      </c>
    </row>
    <row r="208">
      <c r="A208" s="53" t="n"/>
      <c r="B208" s="52" t="n"/>
      <c r="C208" s="52" t="n"/>
      <c r="D208" s="52" t="n"/>
      <c r="E208" s="58">
        <f>IFERROR(VLOOKUP(D208,Maestro_SKU!$A$2:$P$500,2,FALSE),"")</f>
        <v/>
      </c>
      <c r="F208" s="52" t="n"/>
      <c r="G208" s="60" t="n"/>
      <c r="H208" s="52" t="n"/>
      <c r="I208" s="52" t="n"/>
      <c r="J208" s="52" t="n"/>
      <c r="K208" s="68">
        <f>IF($A208="","",YEAR($A208))</f>
        <v/>
      </c>
      <c r="L208" s="68">
        <f>IF($A208="","",MONTH($A208))</f>
        <v/>
      </c>
      <c r="M208" s="68">
        <f>IF($A208="","",DAY($A208))</f>
        <v/>
      </c>
      <c r="N208" s="68">
        <f>IF($A208="","",YEAR($A208)&amp;"-"&amp;TEXT(MONTH($A208),"00"))</f>
        <v/>
      </c>
    </row>
    <row r="209">
      <c r="A209" s="53" t="n"/>
      <c r="B209" s="52" t="n"/>
      <c r="C209" s="52" t="n"/>
      <c r="D209" s="52" t="n"/>
      <c r="E209" s="58">
        <f>IFERROR(VLOOKUP(D209,Maestro_SKU!$A$2:$P$500,2,FALSE),"")</f>
        <v/>
      </c>
      <c r="F209" s="52" t="n"/>
      <c r="G209" s="60" t="n"/>
      <c r="H209" s="52" t="n"/>
      <c r="I209" s="52" t="n"/>
      <c r="J209" s="52" t="n"/>
      <c r="K209" s="68">
        <f>IF($A209="","",YEAR($A209))</f>
        <v/>
      </c>
      <c r="L209" s="68">
        <f>IF($A209="","",MONTH($A209))</f>
        <v/>
      </c>
      <c r="M209" s="68">
        <f>IF($A209="","",DAY($A209))</f>
        <v/>
      </c>
      <c r="N209" s="68">
        <f>IF($A209="","",YEAR($A209)&amp;"-"&amp;TEXT(MONTH($A209),"00"))</f>
        <v/>
      </c>
    </row>
    <row r="210">
      <c r="A210" s="53" t="n"/>
      <c r="B210" s="52" t="n"/>
      <c r="C210" s="52" t="n"/>
      <c r="D210" s="52" t="n"/>
      <c r="E210" s="58">
        <f>IFERROR(VLOOKUP(D210,Maestro_SKU!$A$2:$P$500,2,FALSE),"")</f>
        <v/>
      </c>
      <c r="F210" s="52" t="n"/>
      <c r="G210" s="60" t="n"/>
      <c r="H210" s="52" t="n"/>
      <c r="I210" s="52" t="n"/>
      <c r="J210" s="52" t="n"/>
      <c r="K210" s="68">
        <f>IF($A210="","",YEAR($A210))</f>
        <v/>
      </c>
      <c r="L210" s="68">
        <f>IF($A210="","",MONTH($A210))</f>
        <v/>
      </c>
      <c r="M210" s="68">
        <f>IF($A210="","",DAY($A210))</f>
        <v/>
      </c>
      <c r="N210" s="68">
        <f>IF($A210="","",YEAR($A210)&amp;"-"&amp;TEXT(MONTH($A210),"00"))</f>
        <v/>
      </c>
    </row>
    <row r="211">
      <c r="A211" s="53" t="n"/>
      <c r="B211" s="52" t="n"/>
      <c r="C211" s="52" t="n"/>
      <c r="D211" s="52" t="n"/>
      <c r="E211" s="58">
        <f>IFERROR(VLOOKUP(D211,Maestro_SKU!$A$2:$P$500,2,FALSE),"")</f>
        <v/>
      </c>
      <c r="F211" s="52" t="n"/>
      <c r="G211" s="60" t="n"/>
      <c r="H211" s="52" t="n"/>
      <c r="I211" s="52" t="n"/>
      <c r="J211" s="52" t="n"/>
      <c r="K211" s="68">
        <f>IF($A211="","",YEAR($A211))</f>
        <v/>
      </c>
      <c r="L211" s="68">
        <f>IF($A211="","",MONTH($A211))</f>
        <v/>
      </c>
      <c r="M211" s="68">
        <f>IF($A211="","",DAY($A211))</f>
        <v/>
      </c>
      <c r="N211" s="68">
        <f>IF($A211="","",YEAR($A211)&amp;"-"&amp;TEXT(MONTH($A211),"00"))</f>
        <v/>
      </c>
    </row>
    <row r="212">
      <c r="A212" s="53" t="n"/>
      <c r="B212" s="52" t="n"/>
      <c r="C212" s="52" t="n"/>
      <c r="D212" s="52" t="n"/>
      <c r="E212" s="58">
        <f>IFERROR(VLOOKUP(D212,Maestro_SKU!$A$2:$P$500,2,FALSE),"")</f>
        <v/>
      </c>
      <c r="F212" s="52" t="n"/>
      <c r="G212" s="60" t="n"/>
      <c r="H212" s="52" t="n"/>
      <c r="I212" s="52" t="n"/>
      <c r="J212" s="52" t="n"/>
      <c r="K212" s="68">
        <f>IF($A212="","",YEAR($A212))</f>
        <v/>
      </c>
      <c r="L212" s="68">
        <f>IF($A212="","",MONTH($A212))</f>
        <v/>
      </c>
      <c r="M212" s="68">
        <f>IF($A212="","",DAY($A212))</f>
        <v/>
      </c>
      <c r="N212" s="68">
        <f>IF($A212="","",YEAR($A212)&amp;"-"&amp;TEXT(MONTH($A212),"00"))</f>
        <v/>
      </c>
    </row>
    <row r="213">
      <c r="A213" s="53" t="n"/>
      <c r="B213" s="52" t="n"/>
      <c r="C213" s="52" t="n"/>
      <c r="D213" s="52" t="n"/>
      <c r="E213" s="58">
        <f>IFERROR(VLOOKUP(D213,Maestro_SKU!$A$2:$P$500,2,FALSE),"")</f>
        <v/>
      </c>
      <c r="F213" s="52" t="n"/>
      <c r="G213" s="60" t="n"/>
      <c r="H213" s="52" t="n"/>
      <c r="I213" s="52" t="n"/>
      <c r="J213" s="52" t="n"/>
      <c r="K213" s="68">
        <f>IF($A213="","",YEAR($A213))</f>
        <v/>
      </c>
      <c r="L213" s="68">
        <f>IF($A213="","",MONTH($A213))</f>
        <v/>
      </c>
      <c r="M213" s="68">
        <f>IF($A213="","",DAY($A213))</f>
        <v/>
      </c>
      <c r="N213" s="68">
        <f>IF($A213="","",YEAR($A213)&amp;"-"&amp;TEXT(MONTH($A213),"00"))</f>
        <v/>
      </c>
    </row>
    <row r="214">
      <c r="A214" s="53" t="n"/>
      <c r="B214" s="52" t="n"/>
      <c r="C214" s="52" t="n"/>
      <c r="D214" s="52" t="n"/>
      <c r="E214" s="58">
        <f>IFERROR(VLOOKUP(D214,Maestro_SKU!$A$2:$P$500,2,FALSE),"")</f>
        <v/>
      </c>
      <c r="F214" s="52" t="n"/>
      <c r="G214" s="60" t="n"/>
      <c r="H214" s="52" t="n"/>
      <c r="I214" s="52" t="n"/>
      <c r="J214" s="52" t="n"/>
      <c r="K214" s="68">
        <f>IF($A214="","",YEAR($A214))</f>
        <v/>
      </c>
      <c r="L214" s="68">
        <f>IF($A214="","",MONTH($A214))</f>
        <v/>
      </c>
      <c r="M214" s="68">
        <f>IF($A214="","",DAY($A214))</f>
        <v/>
      </c>
      <c r="N214" s="68">
        <f>IF($A214="","",YEAR($A214)&amp;"-"&amp;TEXT(MONTH($A214),"00"))</f>
        <v/>
      </c>
    </row>
    <row r="215">
      <c r="A215" s="53" t="n"/>
      <c r="B215" s="52" t="n"/>
      <c r="C215" s="52" t="n"/>
      <c r="D215" s="52" t="n"/>
      <c r="E215" s="58">
        <f>IFERROR(VLOOKUP(D215,Maestro_SKU!$A$2:$P$500,2,FALSE),"")</f>
        <v/>
      </c>
      <c r="F215" s="52" t="n"/>
      <c r="G215" s="60" t="n"/>
      <c r="H215" s="52" t="n"/>
      <c r="I215" s="52" t="n"/>
      <c r="J215" s="52" t="n"/>
      <c r="K215" s="68">
        <f>IF($A215="","",YEAR($A215))</f>
        <v/>
      </c>
      <c r="L215" s="68">
        <f>IF($A215="","",MONTH($A215))</f>
        <v/>
      </c>
      <c r="M215" s="68">
        <f>IF($A215="","",DAY($A215))</f>
        <v/>
      </c>
      <c r="N215" s="68">
        <f>IF($A215="","",YEAR($A215)&amp;"-"&amp;TEXT(MONTH($A215),"00"))</f>
        <v/>
      </c>
    </row>
    <row r="216">
      <c r="A216" s="53" t="n"/>
      <c r="B216" s="52" t="n"/>
      <c r="C216" s="52" t="n"/>
      <c r="D216" s="52" t="n"/>
      <c r="E216" s="58">
        <f>IFERROR(VLOOKUP(D216,Maestro_SKU!$A$2:$P$500,2,FALSE),"")</f>
        <v/>
      </c>
      <c r="F216" s="52" t="n"/>
      <c r="G216" s="60" t="n"/>
      <c r="H216" s="52" t="n"/>
      <c r="I216" s="52" t="n"/>
      <c r="J216" s="52" t="n"/>
      <c r="K216" s="68">
        <f>IF($A216="","",YEAR($A216))</f>
        <v/>
      </c>
      <c r="L216" s="68">
        <f>IF($A216="","",MONTH($A216))</f>
        <v/>
      </c>
      <c r="M216" s="68">
        <f>IF($A216="","",DAY($A216))</f>
        <v/>
      </c>
      <c r="N216" s="68">
        <f>IF($A216="","",YEAR($A216)&amp;"-"&amp;TEXT(MONTH($A216),"00"))</f>
        <v/>
      </c>
    </row>
    <row r="217">
      <c r="A217" s="53" t="n"/>
      <c r="B217" s="52" t="n"/>
      <c r="C217" s="52" t="n"/>
      <c r="D217" s="52" t="n"/>
      <c r="E217" s="58">
        <f>IFERROR(VLOOKUP(D217,Maestro_SKU!$A$2:$P$500,2,FALSE),"")</f>
        <v/>
      </c>
      <c r="F217" s="52" t="n"/>
      <c r="G217" s="60" t="n"/>
      <c r="H217" s="52" t="n"/>
      <c r="I217" s="52" t="n"/>
      <c r="J217" s="52" t="n"/>
      <c r="K217" s="68">
        <f>IF($A217="","",YEAR($A217))</f>
        <v/>
      </c>
      <c r="L217" s="68">
        <f>IF($A217="","",MONTH($A217))</f>
        <v/>
      </c>
      <c r="M217" s="68">
        <f>IF($A217="","",DAY($A217))</f>
        <v/>
      </c>
      <c r="N217" s="68">
        <f>IF($A217="","",YEAR($A217)&amp;"-"&amp;TEXT(MONTH($A217),"00"))</f>
        <v/>
      </c>
    </row>
    <row r="218">
      <c r="A218" s="53" t="n"/>
      <c r="B218" s="52" t="n"/>
      <c r="C218" s="52" t="n"/>
      <c r="D218" s="52" t="n"/>
      <c r="E218" s="58">
        <f>IFERROR(VLOOKUP(D218,Maestro_SKU!$A$2:$P$500,2,FALSE),"")</f>
        <v/>
      </c>
      <c r="F218" s="52" t="n"/>
      <c r="G218" s="60" t="n"/>
      <c r="H218" s="52" t="n"/>
      <c r="I218" s="52" t="n"/>
      <c r="J218" s="52" t="n"/>
      <c r="K218" s="68">
        <f>IF($A218="","",YEAR($A218))</f>
        <v/>
      </c>
      <c r="L218" s="68">
        <f>IF($A218="","",MONTH($A218))</f>
        <v/>
      </c>
      <c r="M218" s="68">
        <f>IF($A218="","",DAY($A218))</f>
        <v/>
      </c>
      <c r="N218" s="68">
        <f>IF($A218="","",YEAR($A218)&amp;"-"&amp;TEXT(MONTH($A218),"00"))</f>
        <v/>
      </c>
    </row>
    <row r="219">
      <c r="A219" s="53" t="n"/>
      <c r="B219" s="52" t="n"/>
      <c r="C219" s="52" t="n"/>
      <c r="D219" s="52" t="n"/>
      <c r="E219" s="58">
        <f>IFERROR(VLOOKUP(D219,Maestro_SKU!$A$2:$P$500,2,FALSE),"")</f>
        <v/>
      </c>
      <c r="F219" s="52" t="n"/>
      <c r="G219" s="60" t="n"/>
      <c r="H219" s="52" t="n"/>
      <c r="I219" s="52" t="n"/>
      <c r="J219" s="52" t="n"/>
      <c r="K219" s="68">
        <f>IF($A219="","",YEAR($A219))</f>
        <v/>
      </c>
      <c r="L219" s="68">
        <f>IF($A219="","",MONTH($A219))</f>
        <v/>
      </c>
      <c r="M219" s="68">
        <f>IF($A219="","",DAY($A219))</f>
        <v/>
      </c>
      <c r="N219" s="68">
        <f>IF($A219="","",YEAR($A219)&amp;"-"&amp;TEXT(MONTH($A219),"00"))</f>
        <v/>
      </c>
    </row>
    <row r="220">
      <c r="A220" s="53" t="n"/>
      <c r="B220" s="52" t="n"/>
      <c r="C220" s="52" t="n"/>
      <c r="D220" s="52" t="n"/>
      <c r="E220" s="58">
        <f>IFERROR(VLOOKUP(D220,Maestro_SKU!$A$2:$P$500,2,FALSE),"")</f>
        <v/>
      </c>
      <c r="F220" s="52" t="n"/>
      <c r="G220" s="60" t="n"/>
      <c r="H220" s="52" t="n"/>
      <c r="I220" s="52" t="n"/>
      <c r="J220" s="52" t="n"/>
      <c r="K220" s="68">
        <f>IF($A220="","",YEAR($A220))</f>
        <v/>
      </c>
      <c r="L220" s="68">
        <f>IF($A220="","",MONTH($A220))</f>
        <v/>
      </c>
      <c r="M220" s="68">
        <f>IF($A220="","",DAY($A220))</f>
        <v/>
      </c>
      <c r="N220" s="68">
        <f>IF($A220="","",YEAR($A220)&amp;"-"&amp;TEXT(MONTH($A220),"00"))</f>
        <v/>
      </c>
    </row>
    <row r="221">
      <c r="A221" s="53" t="n"/>
      <c r="B221" s="52" t="n"/>
      <c r="C221" s="52" t="n"/>
      <c r="D221" s="52" t="n"/>
      <c r="E221" s="58">
        <f>IFERROR(VLOOKUP(D221,Maestro_SKU!$A$2:$P$500,2,FALSE),"")</f>
        <v/>
      </c>
      <c r="F221" s="52" t="n"/>
      <c r="G221" s="60" t="n"/>
      <c r="H221" s="52" t="n"/>
      <c r="I221" s="52" t="n"/>
      <c r="J221" s="52" t="n"/>
      <c r="K221" s="68">
        <f>IF($A221="","",YEAR($A221))</f>
        <v/>
      </c>
      <c r="L221" s="68">
        <f>IF($A221="","",MONTH($A221))</f>
        <v/>
      </c>
      <c r="M221" s="68">
        <f>IF($A221="","",DAY($A221))</f>
        <v/>
      </c>
      <c r="N221" s="68">
        <f>IF($A221="","",YEAR($A221)&amp;"-"&amp;TEXT(MONTH($A221),"00"))</f>
        <v/>
      </c>
    </row>
    <row r="222">
      <c r="A222" s="53" t="n"/>
      <c r="B222" s="52" t="n"/>
      <c r="C222" s="52" t="n"/>
      <c r="D222" s="52" t="n"/>
      <c r="E222" s="58">
        <f>IFERROR(VLOOKUP(D222,Maestro_SKU!$A$2:$P$500,2,FALSE),"")</f>
        <v/>
      </c>
      <c r="F222" s="52" t="n"/>
      <c r="G222" s="60" t="n"/>
      <c r="H222" s="52" t="n"/>
      <c r="I222" s="52" t="n"/>
      <c r="J222" s="52" t="n"/>
      <c r="K222" s="68">
        <f>IF($A222="","",YEAR($A222))</f>
        <v/>
      </c>
      <c r="L222" s="68">
        <f>IF($A222="","",MONTH($A222))</f>
        <v/>
      </c>
      <c r="M222" s="68">
        <f>IF($A222="","",DAY($A222))</f>
        <v/>
      </c>
      <c r="N222" s="68">
        <f>IF($A222="","",YEAR($A222)&amp;"-"&amp;TEXT(MONTH($A222),"00"))</f>
        <v/>
      </c>
    </row>
    <row r="223">
      <c r="A223" s="53" t="n"/>
      <c r="B223" s="52" t="n"/>
      <c r="C223" s="52" t="n"/>
      <c r="D223" s="52" t="n"/>
      <c r="E223" s="58">
        <f>IFERROR(VLOOKUP(D223,Maestro_SKU!$A$2:$P$500,2,FALSE),"")</f>
        <v/>
      </c>
      <c r="F223" s="52" t="n"/>
      <c r="G223" s="60" t="n"/>
      <c r="H223" s="52" t="n"/>
      <c r="I223" s="52" t="n"/>
      <c r="J223" s="52" t="n"/>
      <c r="K223" s="68">
        <f>IF($A223="","",YEAR($A223))</f>
        <v/>
      </c>
      <c r="L223" s="68">
        <f>IF($A223="","",MONTH($A223))</f>
        <v/>
      </c>
      <c r="M223" s="68">
        <f>IF($A223="","",DAY($A223))</f>
        <v/>
      </c>
      <c r="N223" s="68">
        <f>IF($A223="","",YEAR($A223)&amp;"-"&amp;TEXT(MONTH($A223),"00"))</f>
        <v/>
      </c>
    </row>
    <row r="224">
      <c r="A224" s="53" t="n"/>
      <c r="B224" s="52" t="n"/>
      <c r="C224" s="52" t="n"/>
      <c r="D224" s="52" t="n"/>
      <c r="E224" s="58">
        <f>IFERROR(VLOOKUP(D224,Maestro_SKU!$A$2:$P$500,2,FALSE),"")</f>
        <v/>
      </c>
      <c r="F224" s="52" t="n"/>
      <c r="G224" s="60" t="n"/>
      <c r="H224" s="52" t="n"/>
      <c r="I224" s="52" t="n"/>
      <c r="J224" s="52" t="n"/>
      <c r="K224" s="68">
        <f>IF($A224="","",YEAR($A224))</f>
        <v/>
      </c>
      <c r="L224" s="68">
        <f>IF($A224="","",MONTH($A224))</f>
        <v/>
      </c>
      <c r="M224" s="68">
        <f>IF($A224="","",DAY($A224))</f>
        <v/>
      </c>
      <c r="N224" s="68">
        <f>IF($A224="","",YEAR($A224)&amp;"-"&amp;TEXT(MONTH($A224),"00"))</f>
        <v/>
      </c>
    </row>
    <row r="225">
      <c r="A225" s="53" t="n"/>
      <c r="B225" s="52" t="n"/>
      <c r="C225" s="52" t="n"/>
      <c r="D225" s="52" t="n"/>
      <c r="E225" s="58">
        <f>IFERROR(VLOOKUP(D225,Maestro_SKU!$A$2:$P$500,2,FALSE),"")</f>
        <v/>
      </c>
      <c r="F225" s="52" t="n"/>
      <c r="G225" s="60" t="n"/>
      <c r="H225" s="52" t="n"/>
      <c r="I225" s="52" t="n"/>
      <c r="J225" s="52" t="n"/>
      <c r="K225" s="68">
        <f>IF($A225="","",YEAR($A225))</f>
        <v/>
      </c>
      <c r="L225" s="68">
        <f>IF($A225="","",MONTH($A225))</f>
        <v/>
      </c>
      <c r="M225" s="68">
        <f>IF($A225="","",DAY($A225))</f>
        <v/>
      </c>
      <c r="N225" s="68">
        <f>IF($A225="","",YEAR($A225)&amp;"-"&amp;TEXT(MONTH($A225),"00"))</f>
        <v/>
      </c>
    </row>
    <row r="226">
      <c r="A226" s="53" t="n"/>
      <c r="B226" s="52" t="n"/>
      <c r="C226" s="52" t="n"/>
      <c r="D226" s="52" t="n"/>
      <c r="E226" s="58">
        <f>IFERROR(VLOOKUP(D226,Maestro_SKU!$A$2:$P$500,2,FALSE),"")</f>
        <v/>
      </c>
      <c r="F226" s="52" t="n"/>
      <c r="G226" s="60" t="n"/>
      <c r="H226" s="52" t="n"/>
      <c r="I226" s="52" t="n"/>
      <c r="J226" s="52" t="n"/>
      <c r="K226" s="68">
        <f>IF($A226="","",YEAR($A226))</f>
        <v/>
      </c>
      <c r="L226" s="68">
        <f>IF($A226="","",MONTH($A226))</f>
        <v/>
      </c>
      <c r="M226" s="68">
        <f>IF($A226="","",DAY($A226))</f>
        <v/>
      </c>
      <c r="N226" s="68">
        <f>IF($A226="","",YEAR($A226)&amp;"-"&amp;TEXT(MONTH($A226),"00"))</f>
        <v/>
      </c>
    </row>
    <row r="227">
      <c r="A227" s="53" t="n"/>
      <c r="B227" s="52" t="n"/>
      <c r="C227" s="52" t="n"/>
      <c r="D227" s="52" t="n"/>
      <c r="E227" s="58">
        <f>IFERROR(VLOOKUP(D227,Maestro_SKU!$A$2:$P$500,2,FALSE),"")</f>
        <v/>
      </c>
      <c r="F227" s="52" t="n"/>
      <c r="G227" s="60" t="n"/>
      <c r="H227" s="52" t="n"/>
      <c r="I227" s="52" t="n"/>
      <c r="J227" s="52" t="n"/>
      <c r="K227" s="68">
        <f>IF($A227="","",YEAR($A227))</f>
        <v/>
      </c>
      <c r="L227" s="68">
        <f>IF($A227="","",MONTH($A227))</f>
        <v/>
      </c>
      <c r="M227" s="68">
        <f>IF($A227="","",DAY($A227))</f>
        <v/>
      </c>
      <c r="N227" s="68">
        <f>IF($A227="","",YEAR($A227)&amp;"-"&amp;TEXT(MONTH($A227),"00"))</f>
        <v/>
      </c>
    </row>
    <row r="228">
      <c r="A228" s="53" t="n"/>
      <c r="B228" s="52" t="n"/>
      <c r="C228" s="52" t="n"/>
      <c r="D228" s="52" t="n"/>
      <c r="E228" s="58">
        <f>IFERROR(VLOOKUP(D228,Maestro_SKU!$A$2:$P$500,2,FALSE),"")</f>
        <v/>
      </c>
      <c r="F228" s="52" t="n"/>
      <c r="G228" s="60" t="n"/>
      <c r="H228" s="52" t="n"/>
      <c r="I228" s="52" t="n"/>
      <c r="J228" s="52" t="n"/>
      <c r="K228" s="68">
        <f>IF($A228="","",YEAR($A228))</f>
        <v/>
      </c>
      <c r="L228" s="68">
        <f>IF($A228="","",MONTH($A228))</f>
        <v/>
      </c>
      <c r="M228" s="68">
        <f>IF($A228="","",DAY($A228))</f>
        <v/>
      </c>
      <c r="N228" s="68">
        <f>IF($A228="","",YEAR($A228)&amp;"-"&amp;TEXT(MONTH($A228),"00"))</f>
        <v/>
      </c>
    </row>
    <row r="229">
      <c r="A229" s="53" t="n"/>
      <c r="B229" s="52" t="n"/>
      <c r="C229" s="52" t="n"/>
      <c r="D229" s="52" t="n"/>
      <c r="E229" s="58">
        <f>IFERROR(VLOOKUP(D229,Maestro_SKU!$A$2:$P$500,2,FALSE),"")</f>
        <v/>
      </c>
      <c r="F229" s="52" t="n"/>
      <c r="G229" s="60" t="n"/>
      <c r="H229" s="52" t="n"/>
      <c r="I229" s="52" t="n"/>
      <c r="J229" s="52" t="n"/>
      <c r="K229" s="68">
        <f>IF($A229="","",YEAR($A229))</f>
        <v/>
      </c>
      <c r="L229" s="68">
        <f>IF($A229="","",MONTH($A229))</f>
        <v/>
      </c>
      <c r="M229" s="68">
        <f>IF($A229="","",DAY($A229))</f>
        <v/>
      </c>
      <c r="N229" s="68">
        <f>IF($A229="","",YEAR($A229)&amp;"-"&amp;TEXT(MONTH($A229),"00"))</f>
        <v/>
      </c>
    </row>
    <row r="230">
      <c r="A230" s="53" t="n"/>
      <c r="B230" s="52" t="n"/>
      <c r="C230" s="52" t="n"/>
      <c r="D230" s="52" t="n"/>
      <c r="E230" s="58">
        <f>IFERROR(VLOOKUP(D230,Maestro_SKU!$A$2:$P$500,2,FALSE),"")</f>
        <v/>
      </c>
      <c r="F230" s="52" t="n"/>
      <c r="G230" s="60" t="n"/>
      <c r="H230" s="52" t="n"/>
      <c r="I230" s="52" t="n"/>
      <c r="J230" s="52" t="n"/>
      <c r="K230" s="68">
        <f>IF($A230="","",YEAR($A230))</f>
        <v/>
      </c>
      <c r="L230" s="68">
        <f>IF($A230="","",MONTH($A230))</f>
        <v/>
      </c>
      <c r="M230" s="68">
        <f>IF($A230="","",DAY($A230))</f>
        <v/>
      </c>
      <c r="N230" s="68">
        <f>IF($A230="","",YEAR($A230)&amp;"-"&amp;TEXT(MONTH($A230),"00"))</f>
        <v/>
      </c>
    </row>
    <row r="231">
      <c r="A231" s="53" t="n"/>
      <c r="B231" s="52" t="n"/>
      <c r="C231" s="52" t="n"/>
      <c r="D231" s="52" t="n"/>
      <c r="E231" s="58">
        <f>IFERROR(VLOOKUP(D231,Maestro_SKU!$A$2:$P$500,2,FALSE),"")</f>
        <v/>
      </c>
      <c r="F231" s="52" t="n"/>
      <c r="G231" s="60" t="n"/>
      <c r="H231" s="52" t="n"/>
      <c r="I231" s="52" t="n"/>
      <c r="J231" s="52" t="n"/>
      <c r="K231" s="68">
        <f>IF($A231="","",YEAR($A231))</f>
        <v/>
      </c>
      <c r="L231" s="68">
        <f>IF($A231="","",MONTH($A231))</f>
        <v/>
      </c>
      <c r="M231" s="68">
        <f>IF($A231="","",DAY($A231))</f>
        <v/>
      </c>
      <c r="N231" s="68">
        <f>IF($A231="","",YEAR($A231)&amp;"-"&amp;TEXT(MONTH($A231),"00"))</f>
        <v/>
      </c>
    </row>
    <row r="232">
      <c r="A232" s="53" t="n"/>
      <c r="B232" s="52" t="n"/>
      <c r="C232" s="52" t="n"/>
      <c r="D232" s="52" t="n"/>
      <c r="E232" s="58">
        <f>IFERROR(VLOOKUP(D232,Maestro_SKU!$A$2:$P$500,2,FALSE),"")</f>
        <v/>
      </c>
      <c r="F232" s="52" t="n"/>
      <c r="G232" s="60" t="n"/>
      <c r="H232" s="52" t="n"/>
      <c r="I232" s="52" t="n"/>
      <c r="J232" s="52" t="n"/>
      <c r="K232" s="68">
        <f>IF($A232="","",YEAR($A232))</f>
        <v/>
      </c>
      <c r="L232" s="68">
        <f>IF($A232="","",MONTH($A232))</f>
        <v/>
      </c>
      <c r="M232" s="68">
        <f>IF($A232="","",DAY($A232))</f>
        <v/>
      </c>
      <c r="N232" s="68">
        <f>IF($A232="","",YEAR($A232)&amp;"-"&amp;TEXT(MONTH($A232),"00"))</f>
        <v/>
      </c>
    </row>
    <row r="233">
      <c r="A233" s="53" t="n"/>
      <c r="B233" s="52" t="n"/>
      <c r="C233" s="52" t="n"/>
      <c r="D233" s="52" t="n"/>
      <c r="E233" s="58">
        <f>IFERROR(VLOOKUP(D233,Maestro_SKU!$A$2:$P$500,2,FALSE),"")</f>
        <v/>
      </c>
      <c r="F233" s="52" t="n"/>
      <c r="G233" s="60" t="n"/>
      <c r="H233" s="52" t="n"/>
      <c r="I233" s="52" t="n"/>
      <c r="J233" s="52" t="n"/>
      <c r="K233" s="68">
        <f>IF($A233="","",YEAR($A233))</f>
        <v/>
      </c>
      <c r="L233" s="68">
        <f>IF($A233="","",MONTH($A233))</f>
        <v/>
      </c>
      <c r="M233" s="68">
        <f>IF($A233="","",DAY($A233))</f>
        <v/>
      </c>
      <c r="N233" s="68">
        <f>IF($A233="","",YEAR($A233)&amp;"-"&amp;TEXT(MONTH($A233),"00"))</f>
        <v/>
      </c>
    </row>
    <row r="234">
      <c r="A234" s="53" t="n"/>
      <c r="B234" s="52" t="n"/>
      <c r="C234" s="52" t="n"/>
      <c r="D234" s="52" t="n"/>
      <c r="E234" s="58">
        <f>IFERROR(VLOOKUP(D234,Maestro_SKU!$A$2:$P$500,2,FALSE),"")</f>
        <v/>
      </c>
      <c r="F234" s="52" t="n"/>
      <c r="G234" s="60" t="n"/>
      <c r="H234" s="52" t="n"/>
      <c r="I234" s="52" t="n"/>
      <c r="J234" s="52" t="n"/>
      <c r="K234" s="68">
        <f>IF($A234="","",YEAR($A234))</f>
        <v/>
      </c>
      <c r="L234" s="68">
        <f>IF($A234="","",MONTH($A234))</f>
        <v/>
      </c>
      <c r="M234" s="68">
        <f>IF($A234="","",DAY($A234))</f>
        <v/>
      </c>
      <c r="N234" s="68">
        <f>IF($A234="","",YEAR($A234)&amp;"-"&amp;TEXT(MONTH($A234),"00"))</f>
        <v/>
      </c>
    </row>
    <row r="235">
      <c r="A235" s="53" t="n"/>
      <c r="B235" s="52" t="n"/>
      <c r="C235" s="52" t="n"/>
      <c r="D235" s="52" t="n"/>
      <c r="E235" s="58">
        <f>IFERROR(VLOOKUP(D235,Maestro_SKU!$A$2:$P$500,2,FALSE),"")</f>
        <v/>
      </c>
      <c r="F235" s="52" t="n"/>
      <c r="G235" s="60" t="n"/>
      <c r="H235" s="52" t="n"/>
      <c r="I235" s="52" t="n"/>
      <c r="J235" s="52" t="n"/>
      <c r="K235" s="68">
        <f>IF($A235="","",YEAR($A235))</f>
        <v/>
      </c>
      <c r="L235" s="68">
        <f>IF($A235="","",MONTH($A235))</f>
        <v/>
      </c>
      <c r="M235" s="68">
        <f>IF($A235="","",DAY($A235))</f>
        <v/>
      </c>
      <c r="N235" s="68">
        <f>IF($A235="","",YEAR($A235)&amp;"-"&amp;TEXT(MONTH($A235),"00"))</f>
        <v/>
      </c>
    </row>
    <row r="236">
      <c r="A236" s="53" t="n"/>
      <c r="B236" s="52" t="n"/>
      <c r="C236" s="52" t="n"/>
      <c r="D236" s="52" t="n"/>
      <c r="E236" s="58">
        <f>IFERROR(VLOOKUP(D236,Maestro_SKU!$A$2:$P$500,2,FALSE),"")</f>
        <v/>
      </c>
      <c r="F236" s="52" t="n"/>
      <c r="G236" s="60" t="n"/>
      <c r="H236" s="52" t="n"/>
      <c r="I236" s="52" t="n"/>
      <c r="J236" s="52" t="n"/>
      <c r="K236" s="68">
        <f>IF($A236="","",YEAR($A236))</f>
        <v/>
      </c>
      <c r="L236" s="68">
        <f>IF($A236="","",MONTH($A236))</f>
        <v/>
      </c>
      <c r="M236" s="68">
        <f>IF($A236="","",DAY($A236))</f>
        <v/>
      </c>
      <c r="N236" s="68">
        <f>IF($A236="","",YEAR($A236)&amp;"-"&amp;TEXT(MONTH($A236),"00"))</f>
        <v/>
      </c>
    </row>
    <row r="237">
      <c r="A237" s="53" t="n"/>
      <c r="B237" s="52" t="n"/>
      <c r="C237" s="52" t="n"/>
      <c r="D237" s="52" t="n"/>
      <c r="E237" s="58">
        <f>IFERROR(VLOOKUP(D237,Maestro_SKU!$A$2:$P$500,2,FALSE),"")</f>
        <v/>
      </c>
      <c r="F237" s="52" t="n"/>
      <c r="G237" s="60" t="n"/>
      <c r="H237" s="52" t="n"/>
      <c r="I237" s="52" t="n"/>
      <c r="J237" s="52" t="n"/>
      <c r="K237" s="68">
        <f>IF($A237="","",YEAR($A237))</f>
        <v/>
      </c>
      <c r="L237" s="68">
        <f>IF($A237="","",MONTH($A237))</f>
        <v/>
      </c>
      <c r="M237" s="68">
        <f>IF($A237="","",DAY($A237))</f>
        <v/>
      </c>
      <c r="N237" s="68">
        <f>IF($A237="","",YEAR($A237)&amp;"-"&amp;TEXT(MONTH($A237),"00"))</f>
        <v/>
      </c>
    </row>
    <row r="238">
      <c r="A238" s="53" t="n"/>
      <c r="B238" s="52" t="n"/>
      <c r="C238" s="52" t="n"/>
      <c r="D238" s="52" t="n"/>
      <c r="E238" s="58">
        <f>IFERROR(VLOOKUP(D238,Maestro_SKU!$A$2:$P$500,2,FALSE),"")</f>
        <v/>
      </c>
      <c r="F238" s="52" t="n"/>
      <c r="G238" s="60" t="n"/>
      <c r="H238" s="52" t="n"/>
      <c r="I238" s="52" t="n"/>
      <c r="J238" s="52" t="n"/>
      <c r="K238" s="68">
        <f>IF($A238="","",YEAR($A238))</f>
        <v/>
      </c>
      <c r="L238" s="68">
        <f>IF($A238="","",MONTH($A238))</f>
        <v/>
      </c>
      <c r="M238" s="68">
        <f>IF($A238="","",DAY($A238))</f>
        <v/>
      </c>
      <c r="N238" s="68">
        <f>IF($A238="","",YEAR($A238)&amp;"-"&amp;TEXT(MONTH($A238),"00"))</f>
        <v/>
      </c>
    </row>
    <row r="239">
      <c r="A239" s="53" t="n"/>
      <c r="B239" s="52" t="n"/>
      <c r="C239" s="52" t="n"/>
      <c r="D239" s="52" t="n"/>
      <c r="E239" s="58">
        <f>IFERROR(VLOOKUP(D239,Maestro_SKU!$A$2:$P$500,2,FALSE),"")</f>
        <v/>
      </c>
      <c r="F239" s="52" t="n"/>
      <c r="G239" s="60" t="n"/>
      <c r="H239" s="52" t="n"/>
      <c r="I239" s="52" t="n"/>
      <c r="J239" s="52" t="n"/>
      <c r="K239" s="68">
        <f>IF($A239="","",YEAR($A239))</f>
        <v/>
      </c>
      <c r="L239" s="68">
        <f>IF($A239="","",MONTH($A239))</f>
        <v/>
      </c>
      <c r="M239" s="68">
        <f>IF($A239="","",DAY($A239))</f>
        <v/>
      </c>
      <c r="N239" s="68">
        <f>IF($A239="","",YEAR($A239)&amp;"-"&amp;TEXT(MONTH($A239),"00"))</f>
        <v/>
      </c>
    </row>
    <row r="240">
      <c r="A240" s="53" t="n"/>
      <c r="B240" s="52" t="n"/>
      <c r="C240" s="52" t="n"/>
      <c r="D240" s="52" t="n"/>
      <c r="E240" s="58">
        <f>IFERROR(VLOOKUP(D240,Maestro_SKU!$A$2:$P$500,2,FALSE),"")</f>
        <v/>
      </c>
      <c r="F240" s="52" t="n"/>
      <c r="G240" s="60" t="n"/>
      <c r="H240" s="52" t="n"/>
      <c r="I240" s="52" t="n"/>
      <c r="J240" s="52" t="n"/>
      <c r="K240" s="68">
        <f>IF($A240="","",YEAR($A240))</f>
        <v/>
      </c>
      <c r="L240" s="68">
        <f>IF($A240="","",MONTH($A240))</f>
        <v/>
      </c>
      <c r="M240" s="68">
        <f>IF($A240="","",DAY($A240))</f>
        <v/>
      </c>
      <c r="N240" s="68">
        <f>IF($A240="","",YEAR($A240)&amp;"-"&amp;TEXT(MONTH($A240),"00"))</f>
        <v/>
      </c>
    </row>
    <row r="241">
      <c r="A241" s="53" t="n"/>
      <c r="B241" s="52" t="n"/>
      <c r="C241" s="52" t="n"/>
      <c r="D241" s="52" t="n"/>
      <c r="E241" s="58">
        <f>IFERROR(VLOOKUP(D241,Maestro_SKU!$A$2:$P$500,2,FALSE),"")</f>
        <v/>
      </c>
      <c r="F241" s="52" t="n"/>
      <c r="G241" s="60" t="n"/>
      <c r="H241" s="52" t="n"/>
      <c r="I241" s="52" t="n"/>
      <c r="J241" s="52" t="n"/>
      <c r="K241" s="68">
        <f>IF($A241="","",YEAR($A241))</f>
        <v/>
      </c>
      <c r="L241" s="68">
        <f>IF($A241="","",MONTH($A241))</f>
        <v/>
      </c>
      <c r="M241" s="68">
        <f>IF($A241="","",DAY($A241))</f>
        <v/>
      </c>
      <c r="N241" s="68">
        <f>IF($A241="","",YEAR($A241)&amp;"-"&amp;TEXT(MONTH($A241),"00"))</f>
        <v/>
      </c>
    </row>
    <row r="242">
      <c r="A242" s="53" t="n"/>
      <c r="B242" s="52" t="n"/>
      <c r="C242" s="52" t="n"/>
      <c r="D242" s="52" t="n"/>
      <c r="E242" s="58">
        <f>IFERROR(VLOOKUP(D242,Maestro_SKU!$A$2:$P$500,2,FALSE),"")</f>
        <v/>
      </c>
      <c r="F242" s="52" t="n"/>
      <c r="G242" s="60" t="n"/>
      <c r="H242" s="52" t="n"/>
      <c r="I242" s="52" t="n"/>
      <c r="J242" s="52" t="n"/>
      <c r="K242" s="68">
        <f>IF($A242="","",YEAR($A242))</f>
        <v/>
      </c>
      <c r="L242" s="68">
        <f>IF($A242="","",MONTH($A242))</f>
        <v/>
      </c>
      <c r="M242" s="68">
        <f>IF($A242="","",DAY($A242))</f>
        <v/>
      </c>
      <c r="N242" s="68">
        <f>IF($A242="","",YEAR($A242)&amp;"-"&amp;TEXT(MONTH($A242),"00"))</f>
        <v/>
      </c>
    </row>
    <row r="243">
      <c r="A243" s="53" t="n"/>
      <c r="B243" s="52" t="n"/>
      <c r="C243" s="52" t="n"/>
      <c r="D243" s="52" t="n"/>
      <c r="E243" s="58">
        <f>IFERROR(VLOOKUP(D243,Maestro_SKU!$A$2:$P$500,2,FALSE),"")</f>
        <v/>
      </c>
      <c r="F243" s="52" t="n"/>
      <c r="G243" s="60" t="n"/>
      <c r="H243" s="52" t="n"/>
      <c r="I243" s="52" t="n"/>
      <c r="J243" s="52" t="n"/>
      <c r="K243" s="68">
        <f>IF($A243="","",YEAR($A243))</f>
        <v/>
      </c>
      <c r="L243" s="68">
        <f>IF($A243="","",MONTH($A243))</f>
        <v/>
      </c>
      <c r="M243" s="68">
        <f>IF($A243="","",DAY($A243))</f>
        <v/>
      </c>
      <c r="N243" s="68">
        <f>IF($A243="","",YEAR($A243)&amp;"-"&amp;TEXT(MONTH($A243),"00"))</f>
        <v/>
      </c>
    </row>
    <row r="244">
      <c r="A244" s="53" t="n"/>
      <c r="B244" s="52" t="n"/>
      <c r="C244" s="52" t="n"/>
      <c r="D244" s="52" t="n"/>
      <c r="E244" s="58">
        <f>IFERROR(VLOOKUP(D244,Maestro_SKU!$A$2:$P$500,2,FALSE),"")</f>
        <v/>
      </c>
      <c r="F244" s="52" t="n"/>
      <c r="G244" s="60" t="n"/>
      <c r="H244" s="52" t="n"/>
      <c r="I244" s="52" t="n"/>
      <c r="J244" s="52" t="n"/>
      <c r="K244" s="68">
        <f>IF($A244="","",YEAR($A244))</f>
        <v/>
      </c>
      <c r="L244" s="68">
        <f>IF($A244="","",MONTH($A244))</f>
        <v/>
      </c>
      <c r="M244" s="68">
        <f>IF($A244="","",DAY($A244))</f>
        <v/>
      </c>
      <c r="N244" s="68">
        <f>IF($A244="","",YEAR($A244)&amp;"-"&amp;TEXT(MONTH($A244),"00"))</f>
        <v/>
      </c>
    </row>
    <row r="245">
      <c r="A245" s="53" t="n"/>
      <c r="B245" s="52" t="n"/>
      <c r="C245" s="52" t="n"/>
      <c r="D245" s="52" t="n"/>
      <c r="E245" s="58">
        <f>IFERROR(VLOOKUP(D245,Maestro_SKU!$A$2:$P$500,2,FALSE),"")</f>
        <v/>
      </c>
      <c r="F245" s="52" t="n"/>
      <c r="G245" s="60" t="n"/>
      <c r="H245" s="52" t="n"/>
      <c r="I245" s="52" t="n"/>
      <c r="J245" s="52" t="n"/>
      <c r="K245" s="68">
        <f>IF($A245="","",YEAR($A245))</f>
        <v/>
      </c>
      <c r="L245" s="68">
        <f>IF($A245="","",MONTH($A245))</f>
        <v/>
      </c>
      <c r="M245" s="68">
        <f>IF($A245="","",DAY($A245))</f>
        <v/>
      </c>
      <c r="N245" s="68">
        <f>IF($A245="","",YEAR($A245)&amp;"-"&amp;TEXT(MONTH($A245),"00"))</f>
        <v/>
      </c>
    </row>
    <row r="246">
      <c r="A246" s="53" t="n"/>
      <c r="B246" s="52" t="n"/>
      <c r="C246" s="52" t="n"/>
      <c r="D246" s="52" t="n"/>
      <c r="E246" s="58">
        <f>IFERROR(VLOOKUP(D246,Maestro_SKU!$A$2:$P$500,2,FALSE),"")</f>
        <v/>
      </c>
      <c r="F246" s="52" t="n"/>
      <c r="G246" s="60" t="n"/>
      <c r="H246" s="52" t="n"/>
      <c r="I246" s="52" t="n"/>
      <c r="J246" s="52" t="n"/>
      <c r="K246" s="68">
        <f>IF($A246="","",YEAR($A246))</f>
        <v/>
      </c>
      <c r="L246" s="68">
        <f>IF($A246="","",MONTH($A246))</f>
        <v/>
      </c>
      <c r="M246" s="68">
        <f>IF($A246="","",DAY($A246))</f>
        <v/>
      </c>
      <c r="N246" s="68">
        <f>IF($A246="","",YEAR($A246)&amp;"-"&amp;TEXT(MONTH($A246),"00"))</f>
        <v/>
      </c>
    </row>
    <row r="247">
      <c r="A247" s="53" t="n"/>
      <c r="B247" s="52" t="n"/>
      <c r="C247" s="52" t="n"/>
      <c r="D247" s="52" t="n"/>
      <c r="E247" s="58">
        <f>IFERROR(VLOOKUP(D247,Maestro_SKU!$A$2:$P$500,2,FALSE),"")</f>
        <v/>
      </c>
      <c r="F247" s="52" t="n"/>
      <c r="G247" s="60" t="n"/>
      <c r="H247" s="52" t="n"/>
      <c r="I247" s="52" t="n"/>
      <c r="J247" s="52" t="n"/>
      <c r="K247" s="68">
        <f>IF($A247="","",YEAR($A247))</f>
        <v/>
      </c>
      <c r="L247" s="68">
        <f>IF($A247="","",MONTH($A247))</f>
        <v/>
      </c>
      <c r="M247" s="68">
        <f>IF($A247="","",DAY($A247))</f>
        <v/>
      </c>
      <c r="N247" s="68">
        <f>IF($A247="","",YEAR($A247)&amp;"-"&amp;TEXT(MONTH($A247),"00"))</f>
        <v/>
      </c>
    </row>
    <row r="248">
      <c r="A248" s="53" t="n"/>
      <c r="B248" s="52" t="n"/>
      <c r="C248" s="52" t="n"/>
      <c r="D248" s="52" t="n"/>
      <c r="E248" s="58">
        <f>IFERROR(VLOOKUP(D248,Maestro_SKU!$A$2:$P$500,2,FALSE),"")</f>
        <v/>
      </c>
      <c r="F248" s="52" t="n"/>
      <c r="G248" s="60" t="n"/>
      <c r="H248" s="52" t="n"/>
      <c r="I248" s="52" t="n"/>
      <c r="J248" s="52" t="n"/>
      <c r="K248" s="68">
        <f>IF($A248="","",YEAR($A248))</f>
        <v/>
      </c>
      <c r="L248" s="68">
        <f>IF($A248="","",MONTH($A248))</f>
        <v/>
      </c>
      <c r="M248" s="68">
        <f>IF($A248="","",DAY($A248))</f>
        <v/>
      </c>
      <c r="N248" s="68">
        <f>IF($A248="","",YEAR($A248)&amp;"-"&amp;TEXT(MONTH($A248),"00"))</f>
        <v/>
      </c>
    </row>
    <row r="249">
      <c r="A249" s="53" t="n"/>
      <c r="B249" s="52" t="n"/>
      <c r="C249" s="52" t="n"/>
      <c r="D249" s="52" t="n"/>
      <c r="E249" s="58">
        <f>IFERROR(VLOOKUP(D249,Maestro_SKU!$A$2:$P$500,2,FALSE),"")</f>
        <v/>
      </c>
      <c r="F249" s="52" t="n"/>
      <c r="G249" s="60" t="n"/>
      <c r="H249" s="52" t="n"/>
      <c r="I249" s="52" t="n"/>
      <c r="J249" s="52" t="n"/>
      <c r="K249" s="68">
        <f>IF($A249="","",YEAR($A249))</f>
        <v/>
      </c>
      <c r="L249" s="68">
        <f>IF($A249="","",MONTH($A249))</f>
        <v/>
      </c>
      <c r="M249" s="68">
        <f>IF($A249="","",DAY($A249))</f>
        <v/>
      </c>
      <c r="N249" s="68">
        <f>IF($A249="","",YEAR($A249)&amp;"-"&amp;TEXT(MONTH($A249),"00"))</f>
        <v/>
      </c>
    </row>
    <row r="250">
      <c r="A250" s="53" t="n"/>
      <c r="B250" s="52" t="n"/>
      <c r="C250" s="52" t="n"/>
      <c r="D250" s="52" t="n"/>
      <c r="E250" s="58">
        <f>IFERROR(VLOOKUP(D250,Maestro_SKU!$A$2:$P$500,2,FALSE),"")</f>
        <v/>
      </c>
      <c r="F250" s="52" t="n"/>
      <c r="G250" s="60" t="n"/>
      <c r="H250" s="52" t="n"/>
      <c r="I250" s="52" t="n"/>
      <c r="J250" s="52" t="n"/>
      <c r="K250" s="68">
        <f>IF($A250="","",YEAR($A250))</f>
        <v/>
      </c>
      <c r="L250" s="68">
        <f>IF($A250="","",MONTH($A250))</f>
        <v/>
      </c>
      <c r="M250" s="68">
        <f>IF($A250="","",DAY($A250))</f>
        <v/>
      </c>
      <c r="N250" s="68">
        <f>IF($A250="","",YEAR($A250)&amp;"-"&amp;TEXT(MONTH($A250),"00"))</f>
        <v/>
      </c>
    </row>
    <row r="251">
      <c r="A251" s="53" t="n"/>
      <c r="B251" s="52" t="n"/>
      <c r="C251" s="52" t="n"/>
      <c r="D251" s="52" t="n"/>
      <c r="E251" s="58">
        <f>IFERROR(VLOOKUP(D251,Maestro_SKU!$A$2:$P$500,2,FALSE),"")</f>
        <v/>
      </c>
      <c r="F251" s="52" t="n"/>
      <c r="G251" s="60" t="n"/>
      <c r="H251" s="52" t="n"/>
      <c r="I251" s="52" t="n"/>
      <c r="J251" s="52" t="n"/>
      <c r="K251" s="68">
        <f>IF($A251="","",YEAR($A251))</f>
        <v/>
      </c>
      <c r="L251" s="68">
        <f>IF($A251="","",MONTH($A251))</f>
        <v/>
      </c>
      <c r="M251" s="68">
        <f>IF($A251="","",DAY($A251))</f>
        <v/>
      </c>
      <c r="N251" s="68">
        <f>IF($A251="","",YEAR($A251)&amp;"-"&amp;TEXT(MONTH($A251),"00"))</f>
        <v/>
      </c>
    </row>
    <row r="252">
      <c r="A252" s="53" t="n"/>
      <c r="B252" s="52" t="n"/>
      <c r="C252" s="52" t="n"/>
      <c r="D252" s="52" t="n"/>
      <c r="E252" s="58">
        <f>IFERROR(VLOOKUP(D252,Maestro_SKU!$A$2:$P$500,2,FALSE),"")</f>
        <v/>
      </c>
      <c r="F252" s="52" t="n"/>
      <c r="G252" s="60" t="n"/>
      <c r="H252" s="52" t="n"/>
      <c r="I252" s="52" t="n"/>
      <c r="J252" s="52" t="n"/>
      <c r="K252" s="68">
        <f>IF($A252="","",YEAR($A252))</f>
        <v/>
      </c>
      <c r="L252" s="68">
        <f>IF($A252="","",MONTH($A252))</f>
        <v/>
      </c>
      <c r="M252" s="68">
        <f>IF($A252="","",DAY($A252))</f>
        <v/>
      </c>
      <c r="N252" s="68">
        <f>IF($A252="","",YEAR($A252)&amp;"-"&amp;TEXT(MONTH($A252),"00"))</f>
        <v/>
      </c>
    </row>
    <row r="253">
      <c r="A253" s="53" t="n"/>
      <c r="B253" s="52" t="n"/>
      <c r="C253" s="52" t="n"/>
      <c r="D253" s="52" t="n"/>
      <c r="E253" s="58">
        <f>IFERROR(VLOOKUP(D253,Maestro_SKU!$A$2:$P$500,2,FALSE),"")</f>
        <v/>
      </c>
      <c r="F253" s="52" t="n"/>
      <c r="G253" s="60" t="n"/>
      <c r="H253" s="52" t="n"/>
      <c r="I253" s="52" t="n"/>
      <c r="J253" s="52" t="n"/>
      <c r="K253" s="68">
        <f>IF($A253="","",YEAR($A253))</f>
        <v/>
      </c>
      <c r="L253" s="68">
        <f>IF($A253="","",MONTH($A253))</f>
        <v/>
      </c>
      <c r="M253" s="68">
        <f>IF($A253="","",DAY($A253))</f>
        <v/>
      </c>
      <c r="N253" s="68">
        <f>IF($A253="","",YEAR($A253)&amp;"-"&amp;TEXT(MONTH($A253),"00"))</f>
        <v/>
      </c>
    </row>
    <row r="254">
      <c r="A254" s="53" t="n"/>
      <c r="B254" s="52" t="n"/>
      <c r="C254" s="52" t="n"/>
      <c r="D254" s="52" t="n"/>
      <c r="E254" s="58">
        <f>IFERROR(VLOOKUP(D254,Maestro_SKU!$A$2:$P$500,2,FALSE),"")</f>
        <v/>
      </c>
      <c r="F254" s="52" t="n"/>
      <c r="G254" s="60" t="n"/>
      <c r="H254" s="52" t="n"/>
      <c r="I254" s="52" t="n"/>
      <c r="J254" s="52" t="n"/>
      <c r="K254" s="68">
        <f>IF($A254="","",YEAR($A254))</f>
        <v/>
      </c>
      <c r="L254" s="68">
        <f>IF($A254="","",MONTH($A254))</f>
        <v/>
      </c>
      <c r="M254" s="68">
        <f>IF($A254="","",DAY($A254))</f>
        <v/>
      </c>
      <c r="N254" s="68">
        <f>IF($A254="","",YEAR($A254)&amp;"-"&amp;TEXT(MONTH($A254),"00"))</f>
        <v/>
      </c>
    </row>
    <row r="255">
      <c r="A255" s="53" t="n"/>
      <c r="B255" s="52" t="n"/>
      <c r="C255" s="52" t="n"/>
      <c r="D255" s="52" t="n"/>
      <c r="E255" s="58">
        <f>IFERROR(VLOOKUP(D255,Maestro_SKU!$A$2:$P$500,2,FALSE),"")</f>
        <v/>
      </c>
      <c r="F255" s="52" t="n"/>
      <c r="G255" s="60" t="n"/>
      <c r="H255" s="52" t="n"/>
      <c r="I255" s="52" t="n"/>
      <c r="J255" s="52" t="n"/>
      <c r="K255" s="68">
        <f>IF($A255="","",YEAR($A255))</f>
        <v/>
      </c>
      <c r="L255" s="68">
        <f>IF($A255="","",MONTH($A255))</f>
        <v/>
      </c>
      <c r="M255" s="68">
        <f>IF($A255="","",DAY($A255))</f>
        <v/>
      </c>
      <c r="N255" s="68">
        <f>IF($A255="","",YEAR($A255)&amp;"-"&amp;TEXT(MONTH($A255),"00"))</f>
        <v/>
      </c>
    </row>
    <row r="256">
      <c r="A256" s="53" t="n"/>
      <c r="B256" s="52" t="n"/>
      <c r="C256" s="52" t="n"/>
      <c r="D256" s="52" t="n"/>
      <c r="E256" s="58">
        <f>IFERROR(VLOOKUP(D256,Maestro_SKU!$A$2:$P$500,2,FALSE),"")</f>
        <v/>
      </c>
      <c r="F256" s="52" t="n"/>
      <c r="G256" s="60" t="n"/>
      <c r="H256" s="52" t="n"/>
      <c r="I256" s="52" t="n"/>
      <c r="J256" s="52" t="n"/>
      <c r="K256" s="68">
        <f>IF($A256="","",YEAR($A256))</f>
        <v/>
      </c>
      <c r="L256" s="68">
        <f>IF($A256="","",MONTH($A256))</f>
        <v/>
      </c>
      <c r="M256" s="68">
        <f>IF($A256="","",DAY($A256))</f>
        <v/>
      </c>
      <c r="N256" s="68">
        <f>IF($A256="","",YEAR($A256)&amp;"-"&amp;TEXT(MONTH($A256),"00"))</f>
        <v/>
      </c>
    </row>
    <row r="257">
      <c r="A257" s="53" t="n"/>
      <c r="B257" s="52" t="n"/>
      <c r="C257" s="52" t="n"/>
      <c r="D257" s="52" t="n"/>
      <c r="E257" s="58">
        <f>IFERROR(VLOOKUP(D257,Maestro_SKU!$A$2:$P$500,2,FALSE),"")</f>
        <v/>
      </c>
      <c r="F257" s="52" t="n"/>
      <c r="G257" s="60" t="n"/>
      <c r="H257" s="52" t="n"/>
      <c r="I257" s="52" t="n"/>
      <c r="J257" s="52" t="n"/>
      <c r="K257" s="68">
        <f>IF($A257="","",YEAR($A257))</f>
        <v/>
      </c>
      <c r="L257" s="68">
        <f>IF($A257="","",MONTH($A257))</f>
        <v/>
      </c>
      <c r="M257" s="68">
        <f>IF($A257="","",DAY($A257))</f>
        <v/>
      </c>
      <c r="N257" s="68">
        <f>IF($A257="","",YEAR($A257)&amp;"-"&amp;TEXT(MONTH($A257),"00"))</f>
        <v/>
      </c>
    </row>
    <row r="258">
      <c r="A258" s="53" t="n"/>
      <c r="B258" s="52" t="n"/>
      <c r="C258" s="52" t="n"/>
      <c r="D258" s="52" t="n"/>
      <c r="E258" s="58">
        <f>IFERROR(VLOOKUP(D258,Maestro_SKU!$A$2:$P$500,2,FALSE),"")</f>
        <v/>
      </c>
      <c r="F258" s="52" t="n"/>
      <c r="G258" s="60" t="n"/>
      <c r="H258" s="52" t="n"/>
      <c r="I258" s="52" t="n"/>
      <c r="J258" s="52" t="n"/>
      <c r="K258" s="68">
        <f>IF($A258="","",YEAR($A258))</f>
        <v/>
      </c>
      <c r="L258" s="68">
        <f>IF($A258="","",MONTH($A258))</f>
        <v/>
      </c>
      <c r="M258" s="68">
        <f>IF($A258="","",DAY($A258))</f>
        <v/>
      </c>
      <c r="N258" s="68">
        <f>IF($A258="","",YEAR($A258)&amp;"-"&amp;TEXT(MONTH($A258),"00"))</f>
        <v/>
      </c>
    </row>
    <row r="259">
      <c r="A259" s="53" t="n"/>
      <c r="B259" s="52" t="n"/>
      <c r="C259" s="52" t="n"/>
      <c r="D259" s="52" t="n"/>
      <c r="E259" s="58">
        <f>IFERROR(VLOOKUP(D259,Maestro_SKU!$A$2:$P$500,2,FALSE),"")</f>
        <v/>
      </c>
      <c r="F259" s="52" t="n"/>
      <c r="G259" s="60" t="n"/>
      <c r="H259" s="52" t="n"/>
      <c r="I259" s="52" t="n"/>
      <c r="J259" s="52" t="n"/>
      <c r="K259" s="68">
        <f>IF($A259="","",YEAR($A259))</f>
        <v/>
      </c>
      <c r="L259" s="68">
        <f>IF($A259="","",MONTH($A259))</f>
        <v/>
      </c>
      <c r="M259" s="68">
        <f>IF($A259="","",DAY($A259))</f>
        <v/>
      </c>
      <c r="N259" s="68">
        <f>IF($A259="","",YEAR($A259)&amp;"-"&amp;TEXT(MONTH($A259),"00"))</f>
        <v/>
      </c>
    </row>
    <row r="260">
      <c r="A260" s="53" t="n"/>
      <c r="B260" s="52" t="n"/>
      <c r="C260" s="52" t="n"/>
      <c r="D260" s="52" t="n"/>
      <c r="E260" s="58">
        <f>IFERROR(VLOOKUP(D260,Maestro_SKU!$A$2:$P$500,2,FALSE),"")</f>
        <v/>
      </c>
      <c r="F260" s="52" t="n"/>
      <c r="G260" s="60" t="n"/>
      <c r="H260" s="52" t="n"/>
      <c r="I260" s="52" t="n"/>
      <c r="J260" s="52" t="n"/>
      <c r="K260" s="68">
        <f>IF($A260="","",YEAR($A260))</f>
        <v/>
      </c>
      <c r="L260" s="68">
        <f>IF($A260="","",MONTH($A260))</f>
        <v/>
      </c>
      <c r="M260" s="68">
        <f>IF($A260="","",DAY($A260))</f>
        <v/>
      </c>
      <c r="N260" s="68">
        <f>IF($A260="","",YEAR($A260)&amp;"-"&amp;TEXT(MONTH($A260),"00"))</f>
        <v/>
      </c>
    </row>
    <row r="261">
      <c r="A261" s="53" t="n"/>
      <c r="B261" s="52" t="n"/>
      <c r="C261" s="52" t="n"/>
      <c r="D261" s="52" t="n"/>
      <c r="E261" s="58">
        <f>IFERROR(VLOOKUP(D261,Maestro_SKU!$A$2:$P$500,2,FALSE),"")</f>
        <v/>
      </c>
      <c r="F261" s="52" t="n"/>
      <c r="G261" s="60" t="n"/>
      <c r="H261" s="52" t="n"/>
      <c r="I261" s="52" t="n"/>
      <c r="J261" s="52" t="n"/>
      <c r="K261" s="68">
        <f>IF($A261="","",YEAR($A261))</f>
        <v/>
      </c>
      <c r="L261" s="68">
        <f>IF($A261="","",MONTH($A261))</f>
        <v/>
      </c>
      <c r="M261" s="68">
        <f>IF($A261="","",DAY($A261))</f>
        <v/>
      </c>
      <c r="N261" s="68">
        <f>IF($A261="","",YEAR($A261)&amp;"-"&amp;TEXT(MONTH($A261),"00"))</f>
        <v/>
      </c>
    </row>
    <row r="262">
      <c r="A262" s="53" t="n"/>
      <c r="B262" s="52" t="n"/>
      <c r="C262" s="52" t="n"/>
      <c r="D262" s="52" t="n"/>
      <c r="E262" s="58">
        <f>IFERROR(VLOOKUP(D262,Maestro_SKU!$A$2:$P$500,2,FALSE),"")</f>
        <v/>
      </c>
      <c r="F262" s="52" t="n"/>
      <c r="G262" s="60" t="n"/>
      <c r="H262" s="52" t="n"/>
      <c r="I262" s="52" t="n"/>
      <c r="J262" s="52" t="n"/>
      <c r="K262" s="68">
        <f>IF($A262="","",YEAR($A262))</f>
        <v/>
      </c>
      <c r="L262" s="68">
        <f>IF($A262="","",MONTH($A262))</f>
        <v/>
      </c>
      <c r="M262" s="68">
        <f>IF($A262="","",DAY($A262))</f>
        <v/>
      </c>
      <c r="N262" s="68">
        <f>IF($A262="","",YEAR($A262)&amp;"-"&amp;TEXT(MONTH($A262),"00"))</f>
        <v/>
      </c>
    </row>
    <row r="263">
      <c r="A263" s="53" t="n"/>
      <c r="B263" s="52" t="n"/>
      <c r="C263" s="52" t="n"/>
      <c r="D263" s="52" t="n"/>
      <c r="E263" s="58">
        <f>IFERROR(VLOOKUP(D263,Maestro_SKU!$A$2:$P$500,2,FALSE),"")</f>
        <v/>
      </c>
      <c r="F263" s="52" t="n"/>
      <c r="G263" s="60" t="n"/>
      <c r="H263" s="52" t="n"/>
      <c r="I263" s="52" t="n"/>
      <c r="J263" s="52" t="n"/>
      <c r="K263" s="68">
        <f>IF($A263="","",YEAR($A263))</f>
        <v/>
      </c>
      <c r="L263" s="68">
        <f>IF($A263="","",MONTH($A263))</f>
        <v/>
      </c>
      <c r="M263" s="68">
        <f>IF($A263="","",DAY($A263))</f>
        <v/>
      </c>
      <c r="N263" s="68">
        <f>IF($A263="","",YEAR($A263)&amp;"-"&amp;TEXT(MONTH($A263),"00"))</f>
        <v/>
      </c>
    </row>
    <row r="264">
      <c r="A264" s="53" t="n"/>
      <c r="B264" s="52" t="n"/>
      <c r="C264" s="52" t="n"/>
      <c r="D264" s="52" t="n"/>
      <c r="E264" s="58">
        <f>IFERROR(VLOOKUP(D264,Maestro_SKU!$A$2:$P$500,2,FALSE),"")</f>
        <v/>
      </c>
      <c r="F264" s="52" t="n"/>
      <c r="G264" s="60" t="n"/>
      <c r="H264" s="52" t="n"/>
      <c r="I264" s="52" t="n"/>
      <c r="J264" s="52" t="n"/>
      <c r="K264" s="68">
        <f>IF($A264="","",YEAR($A264))</f>
        <v/>
      </c>
      <c r="L264" s="68">
        <f>IF($A264="","",MONTH($A264))</f>
        <v/>
      </c>
      <c r="M264" s="68">
        <f>IF($A264="","",DAY($A264))</f>
        <v/>
      </c>
      <c r="N264" s="68">
        <f>IF($A264="","",YEAR($A264)&amp;"-"&amp;TEXT(MONTH($A264),"00"))</f>
        <v/>
      </c>
    </row>
    <row r="265">
      <c r="A265" s="53" t="n"/>
      <c r="B265" s="52" t="n"/>
      <c r="C265" s="52" t="n"/>
      <c r="D265" s="52" t="n"/>
      <c r="E265" s="58">
        <f>IFERROR(VLOOKUP(D265,Maestro_SKU!$A$2:$P$500,2,FALSE),"")</f>
        <v/>
      </c>
      <c r="F265" s="52" t="n"/>
      <c r="G265" s="60" t="n"/>
      <c r="H265" s="52" t="n"/>
      <c r="I265" s="52" t="n"/>
      <c r="J265" s="52" t="n"/>
      <c r="K265" s="68">
        <f>IF($A265="","",YEAR($A265))</f>
        <v/>
      </c>
      <c r="L265" s="68">
        <f>IF($A265="","",MONTH($A265))</f>
        <v/>
      </c>
      <c r="M265" s="68">
        <f>IF($A265="","",DAY($A265))</f>
        <v/>
      </c>
      <c r="N265" s="68">
        <f>IF($A265="","",YEAR($A265)&amp;"-"&amp;TEXT(MONTH($A265),"00"))</f>
        <v/>
      </c>
    </row>
    <row r="266">
      <c r="A266" s="53" t="n"/>
      <c r="B266" s="52" t="n"/>
      <c r="C266" s="52" t="n"/>
      <c r="D266" s="52" t="n"/>
      <c r="E266" s="58">
        <f>IFERROR(VLOOKUP(D266,Maestro_SKU!$A$2:$P$500,2,FALSE),"")</f>
        <v/>
      </c>
      <c r="F266" s="52" t="n"/>
      <c r="G266" s="60" t="n"/>
      <c r="H266" s="52" t="n"/>
      <c r="I266" s="52" t="n"/>
      <c r="J266" s="52" t="n"/>
      <c r="K266" s="68">
        <f>IF($A266="","",YEAR($A266))</f>
        <v/>
      </c>
      <c r="L266" s="68">
        <f>IF($A266="","",MONTH($A266))</f>
        <v/>
      </c>
      <c r="M266" s="68">
        <f>IF($A266="","",DAY($A266))</f>
        <v/>
      </c>
      <c r="N266" s="68">
        <f>IF($A266="","",YEAR($A266)&amp;"-"&amp;TEXT(MONTH($A266),"00"))</f>
        <v/>
      </c>
    </row>
    <row r="267">
      <c r="A267" s="53" t="n"/>
      <c r="B267" s="52" t="n"/>
      <c r="C267" s="52" t="n"/>
      <c r="D267" s="52" t="n"/>
      <c r="E267" s="58">
        <f>IFERROR(VLOOKUP(D267,Maestro_SKU!$A$2:$P$500,2,FALSE),"")</f>
        <v/>
      </c>
      <c r="F267" s="52" t="n"/>
      <c r="G267" s="60" t="n"/>
      <c r="H267" s="52" t="n"/>
      <c r="I267" s="52" t="n"/>
      <c r="J267" s="52" t="n"/>
      <c r="K267" s="68">
        <f>IF($A267="","",YEAR($A267))</f>
        <v/>
      </c>
      <c r="L267" s="68">
        <f>IF($A267="","",MONTH($A267))</f>
        <v/>
      </c>
      <c r="M267" s="68">
        <f>IF($A267="","",DAY($A267))</f>
        <v/>
      </c>
      <c r="N267" s="68">
        <f>IF($A267="","",YEAR($A267)&amp;"-"&amp;TEXT(MONTH($A267),"00"))</f>
        <v/>
      </c>
    </row>
    <row r="268">
      <c r="A268" s="53" t="n"/>
      <c r="B268" s="52" t="n"/>
      <c r="C268" s="52" t="n"/>
      <c r="D268" s="52" t="n"/>
      <c r="E268" s="58">
        <f>IFERROR(VLOOKUP(D268,Maestro_SKU!$A$2:$P$500,2,FALSE),"")</f>
        <v/>
      </c>
      <c r="F268" s="52" t="n"/>
      <c r="G268" s="60" t="n"/>
      <c r="H268" s="52" t="n"/>
      <c r="I268" s="52" t="n"/>
      <c r="J268" s="52" t="n"/>
      <c r="K268" s="68">
        <f>IF($A268="","",YEAR($A268))</f>
        <v/>
      </c>
      <c r="L268" s="68">
        <f>IF($A268="","",MONTH($A268))</f>
        <v/>
      </c>
      <c r="M268" s="68">
        <f>IF($A268="","",DAY($A268))</f>
        <v/>
      </c>
      <c r="N268" s="68">
        <f>IF($A268="","",YEAR($A268)&amp;"-"&amp;TEXT(MONTH($A268),"00"))</f>
        <v/>
      </c>
    </row>
    <row r="269">
      <c r="A269" s="53" t="n"/>
      <c r="B269" s="52" t="n"/>
      <c r="C269" s="52" t="n"/>
      <c r="D269" s="52" t="n"/>
      <c r="E269" s="58">
        <f>IFERROR(VLOOKUP(D269,Maestro_SKU!$A$2:$P$500,2,FALSE),"")</f>
        <v/>
      </c>
      <c r="F269" s="52" t="n"/>
      <c r="G269" s="60" t="n"/>
      <c r="H269" s="52" t="n"/>
      <c r="I269" s="52" t="n"/>
      <c r="J269" s="52" t="n"/>
      <c r="K269" s="68">
        <f>IF($A269="","",YEAR($A269))</f>
        <v/>
      </c>
      <c r="L269" s="68">
        <f>IF($A269="","",MONTH($A269))</f>
        <v/>
      </c>
      <c r="M269" s="68">
        <f>IF($A269="","",DAY($A269))</f>
        <v/>
      </c>
      <c r="N269" s="68">
        <f>IF($A269="","",YEAR($A269)&amp;"-"&amp;TEXT(MONTH($A269),"00"))</f>
        <v/>
      </c>
    </row>
    <row r="270">
      <c r="A270" s="53" t="n"/>
      <c r="B270" s="52" t="n"/>
      <c r="C270" s="52" t="n"/>
      <c r="D270" s="52" t="n"/>
      <c r="E270" s="58">
        <f>IFERROR(VLOOKUP(D270,Maestro_SKU!$A$2:$P$500,2,FALSE),"")</f>
        <v/>
      </c>
      <c r="F270" s="52" t="n"/>
      <c r="G270" s="60" t="n"/>
      <c r="H270" s="52" t="n"/>
      <c r="I270" s="52" t="n"/>
      <c r="J270" s="52" t="n"/>
      <c r="K270" s="68">
        <f>IF($A270="","",YEAR($A270))</f>
        <v/>
      </c>
      <c r="L270" s="68">
        <f>IF($A270="","",MONTH($A270))</f>
        <v/>
      </c>
      <c r="M270" s="68">
        <f>IF($A270="","",DAY($A270))</f>
        <v/>
      </c>
      <c r="N270" s="68">
        <f>IF($A270="","",YEAR($A270)&amp;"-"&amp;TEXT(MONTH($A270),"00"))</f>
        <v/>
      </c>
    </row>
    <row r="271">
      <c r="A271" s="53" t="n"/>
      <c r="B271" s="52" t="n"/>
      <c r="C271" s="52" t="n"/>
      <c r="D271" s="52" t="n"/>
      <c r="E271" s="58">
        <f>IFERROR(VLOOKUP(D271,Maestro_SKU!$A$2:$P$500,2,FALSE),"")</f>
        <v/>
      </c>
      <c r="F271" s="52" t="n"/>
      <c r="G271" s="60" t="n"/>
      <c r="H271" s="52" t="n"/>
      <c r="I271" s="52" t="n"/>
      <c r="J271" s="52" t="n"/>
      <c r="K271" s="68">
        <f>IF($A271="","",YEAR($A271))</f>
        <v/>
      </c>
      <c r="L271" s="68">
        <f>IF($A271="","",MONTH($A271))</f>
        <v/>
      </c>
      <c r="M271" s="68">
        <f>IF($A271="","",DAY($A271))</f>
        <v/>
      </c>
      <c r="N271" s="68">
        <f>IF($A271="","",YEAR($A271)&amp;"-"&amp;TEXT(MONTH($A271),"00"))</f>
        <v/>
      </c>
    </row>
    <row r="272">
      <c r="A272" s="53" t="n"/>
      <c r="B272" s="52" t="n"/>
      <c r="C272" s="52" t="n"/>
      <c r="D272" s="52" t="n"/>
      <c r="E272" s="58">
        <f>IFERROR(VLOOKUP(D272,Maestro_SKU!$A$2:$P$500,2,FALSE),"")</f>
        <v/>
      </c>
      <c r="F272" s="52" t="n"/>
      <c r="G272" s="60" t="n"/>
      <c r="H272" s="52" t="n"/>
      <c r="I272" s="52" t="n"/>
      <c r="J272" s="52" t="n"/>
      <c r="K272" s="68">
        <f>IF($A272="","",YEAR($A272))</f>
        <v/>
      </c>
      <c r="L272" s="68">
        <f>IF($A272="","",MONTH($A272))</f>
        <v/>
      </c>
      <c r="M272" s="68">
        <f>IF($A272="","",DAY($A272))</f>
        <v/>
      </c>
      <c r="N272" s="68">
        <f>IF($A272="","",YEAR($A272)&amp;"-"&amp;TEXT(MONTH($A272),"00"))</f>
        <v/>
      </c>
    </row>
    <row r="273">
      <c r="A273" s="53" t="n"/>
      <c r="B273" s="52" t="n"/>
      <c r="C273" s="52" t="n"/>
      <c r="D273" s="52" t="n"/>
      <c r="E273" s="58">
        <f>IFERROR(VLOOKUP(D273,Maestro_SKU!$A$2:$P$500,2,FALSE),"")</f>
        <v/>
      </c>
      <c r="F273" s="52" t="n"/>
      <c r="G273" s="60" t="n"/>
      <c r="H273" s="52" t="n"/>
      <c r="I273" s="52" t="n"/>
      <c r="J273" s="52" t="n"/>
      <c r="K273" s="68">
        <f>IF($A273="","",YEAR($A273))</f>
        <v/>
      </c>
      <c r="L273" s="68">
        <f>IF($A273="","",MONTH($A273))</f>
        <v/>
      </c>
      <c r="M273" s="68">
        <f>IF($A273="","",DAY($A273))</f>
        <v/>
      </c>
      <c r="N273" s="68">
        <f>IF($A273="","",YEAR($A273)&amp;"-"&amp;TEXT(MONTH($A273),"00"))</f>
        <v/>
      </c>
    </row>
    <row r="274">
      <c r="A274" s="53" t="n"/>
      <c r="B274" s="52" t="n"/>
      <c r="C274" s="52" t="n"/>
      <c r="D274" s="52" t="n"/>
      <c r="E274" s="58">
        <f>IFERROR(VLOOKUP(D274,Maestro_SKU!$A$2:$P$500,2,FALSE),"")</f>
        <v/>
      </c>
      <c r="F274" s="52" t="n"/>
      <c r="G274" s="60" t="n"/>
      <c r="H274" s="52" t="n"/>
      <c r="I274" s="52" t="n"/>
      <c r="J274" s="52" t="n"/>
      <c r="K274" s="68">
        <f>IF($A274="","",YEAR($A274))</f>
        <v/>
      </c>
      <c r="L274" s="68">
        <f>IF($A274="","",MONTH($A274))</f>
        <v/>
      </c>
      <c r="M274" s="68">
        <f>IF($A274="","",DAY($A274))</f>
        <v/>
      </c>
      <c r="N274" s="68">
        <f>IF($A274="","",YEAR($A274)&amp;"-"&amp;TEXT(MONTH($A274),"00"))</f>
        <v/>
      </c>
    </row>
    <row r="275">
      <c r="A275" s="53" t="n"/>
      <c r="B275" s="52" t="n"/>
      <c r="C275" s="52" t="n"/>
      <c r="D275" s="52" t="n"/>
      <c r="E275" s="58">
        <f>IFERROR(VLOOKUP(D275,Maestro_SKU!$A$2:$P$500,2,FALSE),"")</f>
        <v/>
      </c>
      <c r="F275" s="52" t="n"/>
      <c r="G275" s="60" t="n"/>
      <c r="H275" s="52" t="n"/>
      <c r="I275" s="52" t="n"/>
      <c r="J275" s="52" t="n"/>
      <c r="K275" s="68">
        <f>IF($A275="","",YEAR($A275))</f>
        <v/>
      </c>
      <c r="L275" s="68">
        <f>IF($A275="","",MONTH($A275))</f>
        <v/>
      </c>
      <c r="M275" s="68">
        <f>IF($A275="","",DAY($A275))</f>
        <v/>
      </c>
      <c r="N275" s="68">
        <f>IF($A275="","",YEAR($A275)&amp;"-"&amp;TEXT(MONTH($A275),"00"))</f>
        <v/>
      </c>
    </row>
    <row r="276">
      <c r="A276" s="53" t="n"/>
      <c r="B276" s="52" t="n"/>
      <c r="C276" s="52" t="n"/>
      <c r="D276" s="52" t="n"/>
      <c r="E276" s="58">
        <f>IFERROR(VLOOKUP(D276,Maestro_SKU!$A$2:$P$500,2,FALSE),"")</f>
        <v/>
      </c>
      <c r="F276" s="52" t="n"/>
      <c r="G276" s="60" t="n"/>
      <c r="H276" s="52" t="n"/>
      <c r="I276" s="52" t="n"/>
      <c r="J276" s="52" t="n"/>
      <c r="K276" s="68">
        <f>IF($A276="","",YEAR($A276))</f>
        <v/>
      </c>
      <c r="L276" s="68">
        <f>IF($A276="","",MONTH($A276))</f>
        <v/>
      </c>
      <c r="M276" s="68">
        <f>IF($A276="","",DAY($A276))</f>
        <v/>
      </c>
      <c r="N276" s="68">
        <f>IF($A276="","",YEAR($A276)&amp;"-"&amp;TEXT(MONTH($A276),"00"))</f>
        <v/>
      </c>
    </row>
    <row r="277">
      <c r="A277" s="53" t="n"/>
      <c r="B277" s="52" t="n"/>
      <c r="C277" s="52" t="n"/>
      <c r="D277" s="52" t="n"/>
      <c r="E277" s="58">
        <f>IFERROR(VLOOKUP(D277,Maestro_SKU!$A$2:$P$500,2,FALSE),"")</f>
        <v/>
      </c>
      <c r="F277" s="52" t="n"/>
      <c r="G277" s="60" t="n"/>
      <c r="H277" s="52" t="n"/>
      <c r="I277" s="52" t="n"/>
      <c r="J277" s="52" t="n"/>
      <c r="K277" s="68">
        <f>IF($A277="","",YEAR($A277))</f>
        <v/>
      </c>
      <c r="L277" s="68">
        <f>IF($A277="","",MONTH($A277))</f>
        <v/>
      </c>
      <c r="M277" s="68">
        <f>IF($A277="","",DAY($A277))</f>
        <v/>
      </c>
      <c r="N277" s="68">
        <f>IF($A277="","",YEAR($A277)&amp;"-"&amp;TEXT(MONTH($A277),"00"))</f>
        <v/>
      </c>
    </row>
    <row r="278">
      <c r="A278" s="53" t="n"/>
      <c r="B278" s="52" t="n"/>
      <c r="C278" s="52" t="n"/>
      <c r="D278" s="52" t="n"/>
      <c r="E278" s="58">
        <f>IFERROR(VLOOKUP(D278,Maestro_SKU!$A$2:$P$500,2,FALSE),"")</f>
        <v/>
      </c>
      <c r="F278" s="52" t="n"/>
      <c r="G278" s="60" t="n"/>
      <c r="H278" s="52" t="n"/>
      <c r="I278" s="52" t="n"/>
      <c r="J278" s="52" t="n"/>
      <c r="K278" s="68">
        <f>IF($A278="","",YEAR($A278))</f>
        <v/>
      </c>
      <c r="L278" s="68">
        <f>IF($A278="","",MONTH($A278))</f>
        <v/>
      </c>
      <c r="M278" s="68">
        <f>IF($A278="","",DAY($A278))</f>
        <v/>
      </c>
      <c r="N278" s="68">
        <f>IF($A278="","",YEAR($A278)&amp;"-"&amp;TEXT(MONTH($A278),"00"))</f>
        <v/>
      </c>
    </row>
    <row r="279">
      <c r="A279" s="53" t="n"/>
      <c r="B279" s="52" t="n"/>
      <c r="C279" s="52" t="n"/>
      <c r="D279" s="52" t="n"/>
      <c r="E279" s="58">
        <f>IFERROR(VLOOKUP(D279,Maestro_SKU!$A$2:$P$500,2,FALSE),"")</f>
        <v/>
      </c>
      <c r="F279" s="52" t="n"/>
      <c r="G279" s="60" t="n"/>
      <c r="H279" s="52" t="n"/>
      <c r="I279" s="52" t="n"/>
      <c r="J279" s="52" t="n"/>
      <c r="K279" s="68">
        <f>IF($A279="","",YEAR($A279))</f>
        <v/>
      </c>
      <c r="L279" s="68">
        <f>IF($A279="","",MONTH($A279))</f>
        <v/>
      </c>
      <c r="M279" s="68">
        <f>IF($A279="","",DAY($A279))</f>
        <v/>
      </c>
      <c r="N279" s="68">
        <f>IF($A279="","",YEAR($A279)&amp;"-"&amp;TEXT(MONTH($A279),"00"))</f>
        <v/>
      </c>
    </row>
    <row r="280">
      <c r="A280" s="53" t="n"/>
      <c r="B280" s="52" t="n"/>
      <c r="C280" s="52" t="n"/>
      <c r="D280" s="52" t="n"/>
      <c r="E280" s="58">
        <f>IFERROR(VLOOKUP(D280,Maestro_SKU!$A$2:$P$500,2,FALSE),"")</f>
        <v/>
      </c>
      <c r="F280" s="52" t="n"/>
      <c r="G280" s="60" t="n"/>
      <c r="H280" s="52" t="n"/>
      <c r="I280" s="52" t="n"/>
      <c r="J280" s="52" t="n"/>
      <c r="K280" s="68">
        <f>IF($A280="","",YEAR($A280))</f>
        <v/>
      </c>
      <c r="L280" s="68">
        <f>IF($A280="","",MONTH($A280))</f>
        <v/>
      </c>
      <c r="M280" s="68">
        <f>IF($A280="","",DAY($A280))</f>
        <v/>
      </c>
      <c r="N280" s="68">
        <f>IF($A280="","",YEAR($A280)&amp;"-"&amp;TEXT(MONTH($A280),"00"))</f>
        <v/>
      </c>
    </row>
    <row r="281">
      <c r="A281" s="53" t="n"/>
      <c r="B281" s="52" t="n"/>
      <c r="C281" s="52" t="n"/>
      <c r="D281" s="52" t="n"/>
      <c r="E281" s="58">
        <f>IFERROR(VLOOKUP(D281,Maestro_SKU!$A$2:$P$500,2,FALSE),"")</f>
        <v/>
      </c>
      <c r="F281" s="52" t="n"/>
      <c r="G281" s="60" t="n"/>
      <c r="H281" s="52" t="n"/>
      <c r="I281" s="52" t="n"/>
      <c r="J281" s="52" t="n"/>
      <c r="K281" s="68">
        <f>IF($A281="","",YEAR($A281))</f>
        <v/>
      </c>
      <c r="L281" s="68">
        <f>IF($A281="","",MONTH($A281))</f>
        <v/>
      </c>
      <c r="M281" s="68">
        <f>IF($A281="","",DAY($A281))</f>
        <v/>
      </c>
      <c r="N281" s="68">
        <f>IF($A281="","",YEAR($A281)&amp;"-"&amp;TEXT(MONTH($A281),"00"))</f>
        <v/>
      </c>
    </row>
    <row r="282">
      <c r="A282" s="53" t="n"/>
      <c r="B282" s="52" t="n"/>
      <c r="C282" s="52" t="n"/>
      <c r="D282" s="52" t="n"/>
      <c r="E282" s="58">
        <f>IFERROR(VLOOKUP(D282,Maestro_SKU!$A$2:$P$500,2,FALSE),"")</f>
        <v/>
      </c>
      <c r="F282" s="52" t="n"/>
      <c r="G282" s="60" t="n"/>
      <c r="H282" s="52" t="n"/>
      <c r="I282" s="52" t="n"/>
      <c r="J282" s="52" t="n"/>
      <c r="K282" s="68">
        <f>IF($A282="","",YEAR($A282))</f>
        <v/>
      </c>
      <c r="L282" s="68">
        <f>IF($A282="","",MONTH($A282))</f>
        <v/>
      </c>
      <c r="M282" s="68">
        <f>IF($A282="","",DAY($A282))</f>
        <v/>
      </c>
      <c r="N282" s="68">
        <f>IF($A282="","",YEAR($A282)&amp;"-"&amp;TEXT(MONTH($A282),"00"))</f>
        <v/>
      </c>
    </row>
    <row r="283">
      <c r="A283" s="53" t="n"/>
      <c r="B283" s="52" t="n"/>
      <c r="C283" s="52" t="n"/>
      <c r="D283" s="52" t="n"/>
      <c r="E283" s="58">
        <f>IFERROR(VLOOKUP(D283,Maestro_SKU!$A$2:$P$500,2,FALSE),"")</f>
        <v/>
      </c>
      <c r="F283" s="52" t="n"/>
      <c r="G283" s="60" t="n"/>
      <c r="H283" s="52" t="n"/>
      <c r="I283" s="52" t="n"/>
      <c r="J283" s="52" t="n"/>
      <c r="K283" s="68">
        <f>IF($A283="","",YEAR($A283))</f>
        <v/>
      </c>
      <c r="L283" s="68">
        <f>IF($A283="","",MONTH($A283))</f>
        <v/>
      </c>
      <c r="M283" s="68">
        <f>IF($A283="","",DAY($A283))</f>
        <v/>
      </c>
      <c r="N283" s="68">
        <f>IF($A283="","",YEAR($A283)&amp;"-"&amp;TEXT(MONTH($A283),"00"))</f>
        <v/>
      </c>
    </row>
    <row r="284">
      <c r="A284" s="53" t="n"/>
      <c r="B284" s="52" t="n"/>
      <c r="C284" s="52" t="n"/>
      <c r="D284" s="52" t="n"/>
      <c r="E284" s="58">
        <f>IFERROR(VLOOKUP(D284,Maestro_SKU!$A$2:$P$500,2,FALSE),"")</f>
        <v/>
      </c>
      <c r="F284" s="52" t="n"/>
      <c r="G284" s="60" t="n"/>
      <c r="H284" s="52" t="n"/>
      <c r="I284" s="52" t="n"/>
      <c r="J284" s="52" t="n"/>
      <c r="K284" s="68">
        <f>IF($A284="","",YEAR($A284))</f>
        <v/>
      </c>
      <c r="L284" s="68">
        <f>IF($A284="","",MONTH($A284))</f>
        <v/>
      </c>
      <c r="M284" s="68">
        <f>IF($A284="","",DAY($A284))</f>
        <v/>
      </c>
      <c r="N284" s="68">
        <f>IF($A284="","",YEAR($A284)&amp;"-"&amp;TEXT(MONTH($A284),"00"))</f>
        <v/>
      </c>
    </row>
    <row r="285">
      <c r="A285" s="53" t="n"/>
      <c r="B285" s="52" t="n"/>
      <c r="C285" s="52" t="n"/>
      <c r="D285" s="52" t="n"/>
      <c r="E285" s="58">
        <f>IFERROR(VLOOKUP(D285,Maestro_SKU!$A$2:$P$500,2,FALSE),"")</f>
        <v/>
      </c>
      <c r="F285" s="52" t="n"/>
      <c r="G285" s="60" t="n"/>
      <c r="H285" s="52" t="n"/>
      <c r="I285" s="52" t="n"/>
      <c r="J285" s="52" t="n"/>
      <c r="K285" s="68">
        <f>IF($A285="","",YEAR($A285))</f>
        <v/>
      </c>
      <c r="L285" s="68">
        <f>IF($A285="","",MONTH($A285))</f>
        <v/>
      </c>
      <c r="M285" s="68">
        <f>IF($A285="","",DAY($A285))</f>
        <v/>
      </c>
      <c r="N285" s="68">
        <f>IF($A285="","",YEAR($A285)&amp;"-"&amp;TEXT(MONTH($A285),"00"))</f>
        <v/>
      </c>
    </row>
    <row r="286">
      <c r="A286" s="53" t="n"/>
      <c r="B286" s="52" t="n"/>
      <c r="C286" s="52" t="n"/>
      <c r="D286" s="52" t="n"/>
      <c r="E286" s="58">
        <f>IFERROR(VLOOKUP(D286,Maestro_SKU!$A$2:$P$500,2,FALSE),"")</f>
        <v/>
      </c>
      <c r="F286" s="52" t="n"/>
      <c r="G286" s="60" t="n"/>
      <c r="H286" s="52" t="n"/>
      <c r="I286" s="52" t="n"/>
      <c r="J286" s="52" t="n"/>
      <c r="K286" s="68">
        <f>IF($A286="","",YEAR($A286))</f>
        <v/>
      </c>
      <c r="L286" s="68">
        <f>IF($A286="","",MONTH($A286))</f>
        <v/>
      </c>
      <c r="M286" s="68">
        <f>IF($A286="","",DAY($A286))</f>
        <v/>
      </c>
      <c r="N286" s="68">
        <f>IF($A286="","",YEAR($A286)&amp;"-"&amp;TEXT(MONTH($A286),"00"))</f>
        <v/>
      </c>
    </row>
    <row r="287">
      <c r="A287" s="53" t="n"/>
      <c r="B287" s="52" t="n"/>
      <c r="C287" s="52" t="n"/>
      <c r="D287" s="52" t="n"/>
      <c r="E287" s="58">
        <f>IFERROR(VLOOKUP(D287,Maestro_SKU!$A$2:$P$500,2,FALSE),"")</f>
        <v/>
      </c>
      <c r="F287" s="52" t="n"/>
      <c r="G287" s="60" t="n"/>
      <c r="H287" s="52" t="n"/>
      <c r="I287" s="52" t="n"/>
      <c r="J287" s="52" t="n"/>
      <c r="K287" s="68">
        <f>IF($A287="","",YEAR($A287))</f>
        <v/>
      </c>
      <c r="L287" s="68">
        <f>IF($A287="","",MONTH($A287))</f>
        <v/>
      </c>
      <c r="M287" s="68">
        <f>IF($A287="","",DAY($A287))</f>
        <v/>
      </c>
      <c r="N287" s="68">
        <f>IF($A287="","",YEAR($A287)&amp;"-"&amp;TEXT(MONTH($A287),"00"))</f>
        <v/>
      </c>
    </row>
    <row r="288">
      <c r="A288" s="53" t="n"/>
      <c r="B288" s="52" t="n"/>
      <c r="C288" s="52" t="n"/>
      <c r="D288" s="52" t="n"/>
      <c r="E288" s="58">
        <f>IFERROR(VLOOKUP(D288,Maestro_SKU!$A$2:$P$500,2,FALSE),"")</f>
        <v/>
      </c>
      <c r="F288" s="52" t="n"/>
      <c r="G288" s="60" t="n"/>
      <c r="H288" s="52" t="n"/>
      <c r="I288" s="52" t="n"/>
      <c r="J288" s="52" t="n"/>
      <c r="K288" s="68">
        <f>IF($A288="","",YEAR($A288))</f>
        <v/>
      </c>
      <c r="L288" s="68">
        <f>IF($A288="","",MONTH($A288))</f>
        <v/>
      </c>
      <c r="M288" s="68">
        <f>IF($A288="","",DAY($A288))</f>
        <v/>
      </c>
      <c r="N288" s="68">
        <f>IF($A288="","",YEAR($A288)&amp;"-"&amp;TEXT(MONTH($A288),"00"))</f>
        <v/>
      </c>
    </row>
    <row r="289">
      <c r="A289" s="53" t="n"/>
      <c r="B289" s="52" t="n"/>
      <c r="C289" s="52" t="n"/>
      <c r="D289" s="52" t="n"/>
      <c r="E289" s="58">
        <f>IFERROR(VLOOKUP(D289,Maestro_SKU!$A$2:$P$500,2,FALSE),"")</f>
        <v/>
      </c>
      <c r="F289" s="52" t="n"/>
      <c r="G289" s="60" t="n"/>
      <c r="H289" s="52" t="n"/>
      <c r="I289" s="52" t="n"/>
      <c r="J289" s="52" t="n"/>
      <c r="K289" s="68">
        <f>IF($A289="","",YEAR($A289))</f>
        <v/>
      </c>
      <c r="L289" s="68">
        <f>IF($A289="","",MONTH($A289))</f>
        <v/>
      </c>
      <c r="M289" s="68">
        <f>IF($A289="","",DAY($A289))</f>
        <v/>
      </c>
      <c r="N289" s="68">
        <f>IF($A289="","",YEAR($A289)&amp;"-"&amp;TEXT(MONTH($A289),"00"))</f>
        <v/>
      </c>
    </row>
    <row r="290">
      <c r="A290" s="53" t="n"/>
      <c r="B290" s="52" t="n"/>
      <c r="C290" s="52" t="n"/>
      <c r="D290" s="52" t="n"/>
      <c r="E290" s="58">
        <f>IFERROR(VLOOKUP(D290,Maestro_SKU!$A$2:$P$500,2,FALSE),"")</f>
        <v/>
      </c>
      <c r="F290" s="52" t="n"/>
      <c r="G290" s="60" t="n"/>
      <c r="H290" s="52" t="n"/>
      <c r="I290" s="52" t="n"/>
      <c r="J290" s="52" t="n"/>
      <c r="K290" s="68">
        <f>IF($A290="","",YEAR($A290))</f>
        <v/>
      </c>
      <c r="L290" s="68">
        <f>IF($A290="","",MONTH($A290))</f>
        <v/>
      </c>
      <c r="M290" s="68">
        <f>IF($A290="","",DAY($A290))</f>
        <v/>
      </c>
      <c r="N290" s="68">
        <f>IF($A290="","",YEAR($A290)&amp;"-"&amp;TEXT(MONTH($A290),"00"))</f>
        <v/>
      </c>
    </row>
    <row r="291">
      <c r="A291" s="53" t="n"/>
      <c r="B291" s="52" t="n"/>
      <c r="C291" s="52" t="n"/>
      <c r="D291" s="52" t="n"/>
      <c r="E291" s="58">
        <f>IFERROR(VLOOKUP(D291,Maestro_SKU!$A$2:$P$500,2,FALSE),"")</f>
        <v/>
      </c>
      <c r="F291" s="52" t="n"/>
      <c r="G291" s="60" t="n"/>
      <c r="H291" s="52" t="n"/>
      <c r="I291" s="52" t="n"/>
      <c r="J291" s="52" t="n"/>
      <c r="K291" s="68">
        <f>IF($A291="","",YEAR($A291))</f>
        <v/>
      </c>
      <c r="L291" s="68">
        <f>IF($A291="","",MONTH($A291))</f>
        <v/>
      </c>
      <c r="M291" s="68">
        <f>IF($A291="","",DAY($A291))</f>
        <v/>
      </c>
      <c r="N291" s="68">
        <f>IF($A291="","",YEAR($A291)&amp;"-"&amp;TEXT(MONTH($A291),"00"))</f>
        <v/>
      </c>
    </row>
    <row r="292">
      <c r="A292" s="53" t="n"/>
      <c r="B292" s="52" t="n"/>
      <c r="C292" s="52" t="n"/>
      <c r="D292" s="52" t="n"/>
      <c r="E292" s="58">
        <f>IFERROR(VLOOKUP(D292,Maestro_SKU!$A$2:$P$500,2,FALSE),"")</f>
        <v/>
      </c>
      <c r="F292" s="52" t="n"/>
      <c r="G292" s="60" t="n"/>
      <c r="H292" s="52" t="n"/>
      <c r="I292" s="52" t="n"/>
      <c r="J292" s="52" t="n"/>
      <c r="K292" s="68">
        <f>IF($A292="","",YEAR($A292))</f>
        <v/>
      </c>
      <c r="L292" s="68">
        <f>IF($A292="","",MONTH($A292))</f>
        <v/>
      </c>
      <c r="M292" s="68">
        <f>IF($A292="","",DAY($A292))</f>
        <v/>
      </c>
      <c r="N292" s="68">
        <f>IF($A292="","",YEAR($A292)&amp;"-"&amp;TEXT(MONTH($A292),"00"))</f>
        <v/>
      </c>
    </row>
    <row r="293">
      <c r="A293" s="53" t="n"/>
      <c r="B293" s="52" t="n"/>
      <c r="C293" s="52" t="n"/>
      <c r="D293" s="52" t="n"/>
      <c r="E293" s="58">
        <f>IFERROR(VLOOKUP(D293,Maestro_SKU!$A$2:$P$500,2,FALSE),"")</f>
        <v/>
      </c>
      <c r="F293" s="52" t="n"/>
      <c r="G293" s="60" t="n"/>
      <c r="H293" s="52" t="n"/>
      <c r="I293" s="52" t="n"/>
      <c r="J293" s="52" t="n"/>
      <c r="K293" s="68">
        <f>IF($A293="","",YEAR($A293))</f>
        <v/>
      </c>
      <c r="L293" s="68">
        <f>IF($A293="","",MONTH($A293))</f>
        <v/>
      </c>
      <c r="M293" s="68">
        <f>IF($A293="","",DAY($A293))</f>
        <v/>
      </c>
      <c r="N293" s="68">
        <f>IF($A293="","",YEAR($A293)&amp;"-"&amp;TEXT(MONTH($A293),"00"))</f>
        <v/>
      </c>
    </row>
    <row r="294">
      <c r="A294" s="53" t="n"/>
      <c r="B294" s="52" t="n"/>
      <c r="C294" s="52" t="n"/>
      <c r="D294" s="52" t="n"/>
      <c r="E294" s="58">
        <f>IFERROR(VLOOKUP(D294,Maestro_SKU!$A$2:$P$500,2,FALSE),"")</f>
        <v/>
      </c>
      <c r="F294" s="52" t="n"/>
      <c r="G294" s="60" t="n"/>
      <c r="H294" s="52" t="n"/>
      <c r="I294" s="52" t="n"/>
      <c r="J294" s="52" t="n"/>
      <c r="K294" s="68">
        <f>IF($A294="","",YEAR($A294))</f>
        <v/>
      </c>
      <c r="L294" s="68">
        <f>IF($A294="","",MONTH($A294))</f>
        <v/>
      </c>
      <c r="M294" s="68">
        <f>IF($A294="","",DAY($A294))</f>
        <v/>
      </c>
      <c r="N294" s="68">
        <f>IF($A294="","",YEAR($A294)&amp;"-"&amp;TEXT(MONTH($A294),"00"))</f>
        <v/>
      </c>
    </row>
    <row r="295">
      <c r="A295" s="53" t="n"/>
      <c r="B295" s="52" t="n"/>
      <c r="C295" s="52" t="n"/>
      <c r="D295" s="52" t="n"/>
      <c r="E295" s="58">
        <f>IFERROR(VLOOKUP(D295,Maestro_SKU!$A$2:$P$500,2,FALSE),"")</f>
        <v/>
      </c>
      <c r="F295" s="52" t="n"/>
      <c r="G295" s="60" t="n"/>
      <c r="H295" s="52" t="n"/>
      <c r="I295" s="52" t="n"/>
      <c r="J295" s="52" t="n"/>
      <c r="K295" s="68">
        <f>IF($A295="","",YEAR($A295))</f>
        <v/>
      </c>
      <c r="L295" s="68">
        <f>IF($A295="","",MONTH($A295))</f>
        <v/>
      </c>
      <c r="M295" s="68">
        <f>IF($A295="","",DAY($A295))</f>
        <v/>
      </c>
      <c r="N295" s="68">
        <f>IF($A295="","",YEAR($A295)&amp;"-"&amp;TEXT(MONTH($A295),"00"))</f>
        <v/>
      </c>
    </row>
    <row r="296">
      <c r="A296" s="53" t="n"/>
      <c r="B296" s="52" t="n"/>
      <c r="C296" s="52" t="n"/>
      <c r="D296" s="52" t="n"/>
      <c r="E296" s="58">
        <f>IFERROR(VLOOKUP(D296,Maestro_SKU!$A$2:$P$500,2,FALSE),"")</f>
        <v/>
      </c>
      <c r="F296" s="52" t="n"/>
      <c r="G296" s="60" t="n"/>
      <c r="H296" s="52" t="n"/>
      <c r="I296" s="52" t="n"/>
      <c r="J296" s="52" t="n"/>
      <c r="K296" s="68">
        <f>IF($A296="","",YEAR($A296))</f>
        <v/>
      </c>
      <c r="L296" s="68">
        <f>IF($A296="","",MONTH($A296))</f>
        <v/>
      </c>
      <c r="M296" s="68">
        <f>IF($A296="","",DAY($A296))</f>
        <v/>
      </c>
      <c r="N296" s="68">
        <f>IF($A296="","",YEAR($A296)&amp;"-"&amp;TEXT(MONTH($A296),"00"))</f>
        <v/>
      </c>
    </row>
    <row r="297">
      <c r="A297" s="53" t="n"/>
      <c r="B297" s="52" t="n"/>
      <c r="C297" s="52" t="n"/>
      <c r="D297" s="52" t="n"/>
      <c r="E297" s="58">
        <f>IFERROR(VLOOKUP(D297,Maestro_SKU!$A$2:$P$500,2,FALSE),"")</f>
        <v/>
      </c>
      <c r="F297" s="52" t="n"/>
      <c r="G297" s="60" t="n"/>
      <c r="H297" s="52" t="n"/>
      <c r="I297" s="52" t="n"/>
      <c r="J297" s="52" t="n"/>
      <c r="K297" s="68">
        <f>IF($A297="","",YEAR($A297))</f>
        <v/>
      </c>
      <c r="L297" s="68">
        <f>IF($A297="","",MONTH($A297))</f>
        <v/>
      </c>
      <c r="M297" s="68">
        <f>IF($A297="","",DAY($A297))</f>
        <v/>
      </c>
      <c r="N297" s="68">
        <f>IF($A297="","",YEAR($A297)&amp;"-"&amp;TEXT(MONTH($A297),"00"))</f>
        <v/>
      </c>
    </row>
    <row r="298">
      <c r="A298" s="53" t="n"/>
      <c r="B298" s="52" t="n"/>
      <c r="C298" s="52" t="n"/>
      <c r="D298" s="52" t="n"/>
      <c r="E298" s="58">
        <f>IFERROR(VLOOKUP(D298,Maestro_SKU!$A$2:$P$500,2,FALSE),"")</f>
        <v/>
      </c>
      <c r="F298" s="52" t="n"/>
      <c r="G298" s="60" t="n"/>
      <c r="H298" s="52" t="n"/>
      <c r="I298" s="52" t="n"/>
      <c r="J298" s="52" t="n"/>
      <c r="K298" s="68">
        <f>IF($A298="","",YEAR($A298))</f>
        <v/>
      </c>
      <c r="L298" s="68">
        <f>IF($A298="","",MONTH($A298))</f>
        <v/>
      </c>
      <c r="M298" s="68">
        <f>IF($A298="","",DAY($A298))</f>
        <v/>
      </c>
      <c r="N298" s="68">
        <f>IF($A298="","",YEAR($A298)&amp;"-"&amp;TEXT(MONTH($A298),"00"))</f>
        <v/>
      </c>
    </row>
    <row r="299">
      <c r="A299" s="53" t="n"/>
      <c r="B299" s="52" t="n"/>
      <c r="C299" s="52" t="n"/>
      <c r="D299" s="52" t="n"/>
      <c r="E299" s="58">
        <f>IFERROR(VLOOKUP(D299,Maestro_SKU!$A$2:$P$500,2,FALSE),"")</f>
        <v/>
      </c>
      <c r="F299" s="52" t="n"/>
      <c r="G299" s="60" t="n"/>
      <c r="H299" s="52" t="n"/>
      <c r="I299" s="52" t="n"/>
      <c r="J299" s="52" t="n"/>
      <c r="K299" s="68">
        <f>IF($A299="","",YEAR($A299))</f>
        <v/>
      </c>
      <c r="L299" s="68">
        <f>IF($A299="","",MONTH($A299))</f>
        <v/>
      </c>
      <c r="M299" s="68">
        <f>IF($A299="","",DAY($A299))</f>
        <v/>
      </c>
      <c r="N299" s="68">
        <f>IF($A299="","",YEAR($A299)&amp;"-"&amp;TEXT(MONTH($A299),"00"))</f>
        <v/>
      </c>
    </row>
    <row r="300">
      <c r="A300" s="53" t="n"/>
      <c r="B300" s="52" t="n"/>
      <c r="C300" s="52" t="n"/>
      <c r="D300" s="52" t="n"/>
      <c r="E300" s="58">
        <f>IFERROR(VLOOKUP(D300,Maestro_SKU!$A$2:$P$500,2,FALSE),"")</f>
        <v/>
      </c>
      <c r="F300" s="52" t="n"/>
      <c r="G300" s="60" t="n"/>
      <c r="H300" s="52" t="n"/>
      <c r="I300" s="52" t="n"/>
      <c r="J300" s="52" t="n"/>
      <c r="K300" s="68">
        <f>IF($A300="","",YEAR($A300))</f>
        <v/>
      </c>
      <c r="L300" s="68">
        <f>IF($A300="","",MONTH($A300))</f>
        <v/>
      </c>
      <c r="M300" s="68">
        <f>IF($A300="","",DAY($A300))</f>
        <v/>
      </c>
      <c r="N300" s="68">
        <f>IF($A300="","",YEAR($A300)&amp;"-"&amp;TEXT(MONTH($A300),"00"))</f>
        <v/>
      </c>
    </row>
    <row r="301">
      <c r="A301" s="53" t="n"/>
      <c r="B301" s="52" t="n"/>
      <c r="C301" s="52" t="n"/>
      <c r="D301" s="52" t="n"/>
      <c r="E301" s="58">
        <f>IFERROR(VLOOKUP(D301,Maestro_SKU!$A$2:$P$500,2,FALSE),"")</f>
        <v/>
      </c>
      <c r="F301" s="52" t="n"/>
      <c r="G301" s="60" t="n"/>
      <c r="H301" s="52" t="n"/>
      <c r="I301" s="52" t="n"/>
      <c r="J301" s="52" t="n"/>
      <c r="K301" s="68">
        <f>IF($A301="","",YEAR($A301))</f>
        <v/>
      </c>
      <c r="L301" s="68">
        <f>IF($A301="","",MONTH($A301))</f>
        <v/>
      </c>
      <c r="M301" s="68">
        <f>IF($A301="","",DAY($A301))</f>
        <v/>
      </c>
      <c r="N301" s="68">
        <f>IF($A301="","",YEAR($A301)&amp;"-"&amp;TEXT(MONTH($A301),"00"))</f>
        <v/>
      </c>
    </row>
    <row r="302">
      <c r="A302" s="53" t="n"/>
      <c r="B302" s="52" t="n"/>
      <c r="C302" s="52" t="n"/>
      <c r="D302" s="52" t="n"/>
      <c r="E302" s="58">
        <f>IFERROR(VLOOKUP(D302,Maestro_SKU!$A$2:$P$500,2,FALSE),"")</f>
        <v/>
      </c>
      <c r="F302" s="52" t="n"/>
      <c r="G302" s="60" t="n"/>
      <c r="H302" s="52" t="n"/>
      <c r="I302" s="52" t="n"/>
      <c r="J302" s="52" t="n"/>
      <c r="K302" s="68">
        <f>IF($A302="","",YEAR($A302))</f>
        <v/>
      </c>
      <c r="L302" s="68">
        <f>IF($A302="","",MONTH($A302))</f>
        <v/>
      </c>
      <c r="M302" s="68">
        <f>IF($A302="","",DAY($A302))</f>
        <v/>
      </c>
      <c r="N302" s="68">
        <f>IF($A302="","",YEAR($A302)&amp;"-"&amp;TEXT(MONTH($A302),"00"))</f>
        <v/>
      </c>
    </row>
    <row r="303">
      <c r="A303" s="53" t="n"/>
      <c r="B303" s="52" t="n"/>
      <c r="C303" s="52" t="n"/>
      <c r="D303" s="52" t="n"/>
      <c r="E303" s="58">
        <f>IFERROR(VLOOKUP(D303,Maestro_SKU!$A$2:$P$500,2,FALSE),"")</f>
        <v/>
      </c>
      <c r="F303" s="52" t="n"/>
      <c r="G303" s="60" t="n"/>
      <c r="H303" s="52" t="n"/>
      <c r="I303" s="52" t="n"/>
      <c r="J303" s="52" t="n"/>
      <c r="K303" s="68">
        <f>IF($A303="","",YEAR($A303))</f>
        <v/>
      </c>
      <c r="L303" s="68">
        <f>IF($A303="","",MONTH($A303))</f>
        <v/>
      </c>
      <c r="M303" s="68">
        <f>IF($A303="","",DAY($A303))</f>
        <v/>
      </c>
      <c r="N303" s="68">
        <f>IF($A303="","",YEAR($A303)&amp;"-"&amp;TEXT(MONTH($A303),"00"))</f>
        <v/>
      </c>
    </row>
    <row r="304">
      <c r="A304" s="53" t="n"/>
      <c r="B304" s="52" t="n"/>
      <c r="C304" s="52" t="n"/>
      <c r="D304" s="52" t="n"/>
      <c r="E304" s="58">
        <f>IFERROR(VLOOKUP(D304,Maestro_SKU!$A$2:$P$500,2,FALSE),"")</f>
        <v/>
      </c>
      <c r="F304" s="52" t="n"/>
      <c r="G304" s="60" t="n"/>
      <c r="H304" s="52" t="n"/>
      <c r="I304" s="52" t="n"/>
      <c r="J304" s="52" t="n"/>
      <c r="K304" s="68">
        <f>IF($A304="","",YEAR($A304))</f>
        <v/>
      </c>
      <c r="L304" s="68">
        <f>IF($A304="","",MONTH($A304))</f>
        <v/>
      </c>
      <c r="M304" s="68">
        <f>IF($A304="","",DAY($A304))</f>
        <v/>
      </c>
      <c r="N304" s="68">
        <f>IF($A304="","",YEAR($A304)&amp;"-"&amp;TEXT(MONTH($A304),"00"))</f>
        <v/>
      </c>
    </row>
    <row r="305">
      <c r="A305" s="53" t="n"/>
      <c r="B305" s="52" t="n"/>
      <c r="C305" s="52" t="n"/>
      <c r="D305" s="52" t="n"/>
      <c r="E305" s="58">
        <f>IFERROR(VLOOKUP(D305,Maestro_SKU!$A$2:$P$500,2,FALSE),"")</f>
        <v/>
      </c>
      <c r="F305" s="52" t="n"/>
      <c r="G305" s="60" t="n"/>
      <c r="H305" s="52" t="n"/>
      <c r="I305" s="52" t="n"/>
      <c r="J305" s="52" t="n"/>
      <c r="K305" s="68">
        <f>IF($A305="","",YEAR($A305))</f>
        <v/>
      </c>
      <c r="L305" s="68">
        <f>IF($A305="","",MONTH($A305))</f>
        <v/>
      </c>
      <c r="M305" s="68">
        <f>IF($A305="","",DAY($A305))</f>
        <v/>
      </c>
      <c r="N305" s="68">
        <f>IF($A305="","",YEAR($A305)&amp;"-"&amp;TEXT(MONTH($A305),"00"))</f>
        <v/>
      </c>
    </row>
    <row r="306">
      <c r="A306" s="53" t="n"/>
      <c r="B306" s="52" t="n"/>
      <c r="C306" s="52" t="n"/>
      <c r="D306" s="52" t="n"/>
      <c r="E306" s="58">
        <f>IFERROR(VLOOKUP(D306,Maestro_SKU!$A$2:$P$500,2,FALSE),"")</f>
        <v/>
      </c>
      <c r="F306" s="52" t="n"/>
      <c r="G306" s="60" t="n"/>
      <c r="H306" s="52" t="n"/>
      <c r="I306" s="52" t="n"/>
      <c r="J306" s="52" t="n"/>
      <c r="K306" s="68">
        <f>IF($A306="","",YEAR($A306))</f>
        <v/>
      </c>
      <c r="L306" s="68">
        <f>IF($A306="","",MONTH($A306))</f>
        <v/>
      </c>
      <c r="M306" s="68">
        <f>IF($A306="","",DAY($A306))</f>
        <v/>
      </c>
      <c r="N306" s="68">
        <f>IF($A306="","",YEAR($A306)&amp;"-"&amp;TEXT(MONTH($A306),"00"))</f>
        <v/>
      </c>
    </row>
    <row r="307">
      <c r="A307" s="53" t="n"/>
      <c r="B307" s="52" t="n"/>
      <c r="C307" s="52" t="n"/>
      <c r="D307" s="52" t="n"/>
      <c r="E307" s="58">
        <f>IFERROR(VLOOKUP(D307,Maestro_SKU!$A$2:$P$500,2,FALSE),"")</f>
        <v/>
      </c>
      <c r="F307" s="52" t="n"/>
      <c r="G307" s="60" t="n"/>
      <c r="H307" s="52" t="n"/>
      <c r="I307" s="52" t="n"/>
      <c r="J307" s="52" t="n"/>
      <c r="K307" s="68">
        <f>IF($A307="","",YEAR($A307))</f>
        <v/>
      </c>
      <c r="L307" s="68">
        <f>IF($A307="","",MONTH($A307))</f>
        <v/>
      </c>
      <c r="M307" s="68">
        <f>IF($A307="","",DAY($A307))</f>
        <v/>
      </c>
      <c r="N307" s="68">
        <f>IF($A307="","",YEAR($A307)&amp;"-"&amp;TEXT(MONTH($A307),"00"))</f>
        <v/>
      </c>
    </row>
    <row r="308">
      <c r="A308" s="53" t="n"/>
      <c r="B308" s="52" t="n"/>
      <c r="C308" s="52" t="n"/>
      <c r="D308" s="52" t="n"/>
      <c r="E308" s="58">
        <f>IFERROR(VLOOKUP(D308,Maestro_SKU!$A$2:$P$500,2,FALSE),"")</f>
        <v/>
      </c>
      <c r="F308" s="52" t="n"/>
      <c r="G308" s="60" t="n"/>
      <c r="H308" s="52" t="n"/>
      <c r="I308" s="52" t="n"/>
      <c r="J308" s="52" t="n"/>
      <c r="K308" s="68">
        <f>IF($A308="","",YEAR($A308))</f>
        <v/>
      </c>
      <c r="L308" s="68">
        <f>IF($A308="","",MONTH($A308))</f>
        <v/>
      </c>
      <c r="M308" s="68">
        <f>IF($A308="","",DAY($A308))</f>
        <v/>
      </c>
      <c r="N308" s="68">
        <f>IF($A308="","",YEAR($A308)&amp;"-"&amp;TEXT(MONTH($A308),"00"))</f>
        <v/>
      </c>
    </row>
    <row r="309">
      <c r="A309" s="53" t="n"/>
      <c r="B309" s="52" t="n"/>
      <c r="C309" s="52" t="n"/>
      <c r="D309" s="52" t="n"/>
      <c r="E309" s="58">
        <f>IFERROR(VLOOKUP(D309,Maestro_SKU!$A$2:$P$500,2,FALSE),"")</f>
        <v/>
      </c>
      <c r="F309" s="52" t="n"/>
      <c r="G309" s="60" t="n"/>
      <c r="H309" s="52" t="n"/>
      <c r="I309" s="52" t="n"/>
      <c r="J309" s="52" t="n"/>
      <c r="K309" s="68">
        <f>IF($A309="","",YEAR($A309))</f>
        <v/>
      </c>
      <c r="L309" s="68">
        <f>IF($A309="","",MONTH($A309))</f>
        <v/>
      </c>
      <c r="M309" s="68">
        <f>IF($A309="","",DAY($A309))</f>
        <v/>
      </c>
      <c r="N309" s="68">
        <f>IF($A309="","",YEAR($A309)&amp;"-"&amp;TEXT(MONTH($A309),"00"))</f>
        <v/>
      </c>
    </row>
    <row r="310">
      <c r="A310" s="53" t="n"/>
      <c r="B310" s="52" t="n"/>
      <c r="C310" s="52" t="n"/>
      <c r="D310" s="52" t="n"/>
      <c r="E310" s="58">
        <f>IFERROR(VLOOKUP(D310,Maestro_SKU!$A$2:$P$500,2,FALSE),"")</f>
        <v/>
      </c>
      <c r="F310" s="52" t="n"/>
      <c r="G310" s="60" t="n"/>
      <c r="H310" s="52" t="n"/>
      <c r="I310" s="52" t="n"/>
      <c r="J310" s="52" t="n"/>
      <c r="K310" s="68">
        <f>IF($A310="","",YEAR($A310))</f>
        <v/>
      </c>
      <c r="L310" s="68">
        <f>IF($A310="","",MONTH($A310))</f>
        <v/>
      </c>
      <c r="M310" s="68">
        <f>IF($A310="","",DAY($A310))</f>
        <v/>
      </c>
      <c r="N310" s="68">
        <f>IF($A310="","",YEAR($A310)&amp;"-"&amp;TEXT(MONTH($A310),"00"))</f>
        <v/>
      </c>
    </row>
    <row r="311">
      <c r="A311" s="53" t="n"/>
      <c r="B311" s="52" t="n"/>
      <c r="C311" s="52" t="n"/>
      <c r="D311" s="52" t="n"/>
      <c r="E311" s="58">
        <f>IFERROR(VLOOKUP(D311,Maestro_SKU!$A$2:$P$500,2,FALSE),"")</f>
        <v/>
      </c>
      <c r="F311" s="52" t="n"/>
      <c r="G311" s="60" t="n"/>
      <c r="H311" s="52" t="n"/>
      <c r="I311" s="52" t="n"/>
      <c r="J311" s="52" t="n"/>
      <c r="K311" s="68">
        <f>IF($A311="","",YEAR($A311))</f>
        <v/>
      </c>
      <c r="L311" s="68">
        <f>IF($A311="","",MONTH($A311))</f>
        <v/>
      </c>
      <c r="M311" s="68">
        <f>IF($A311="","",DAY($A311))</f>
        <v/>
      </c>
      <c r="N311" s="68">
        <f>IF($A311="","",YEAR($A311)&amp;"-"&amp;TEXT(MONTH($A311),"00"))</f>
        <v/>
      </c>
    </row>
    <row r="312">
      <c r="A312" s="53" t="n"/>
      <c r="B312" s="52" t="n"/>
      <c r="C312" s="52" t="n"/>
      <c r="D312" s="52" t="n"/>
      <c r="E312" s="58">
        <f>IFERROR(VLOOKUP(D312,Maestro_SKU!$A$2:$P$500,2,FALSE),"")</f>
        <v/>
      </c>
      <c r="F312" s="52" t="n"/>
      <c r="G312" s="60" t="n"/>
      <c r="H312" s="52" t="n"/>
      <c r="I312" s="52" t="n"/>
      <c r="J312" s="52" t="n"/>
      <c r="K312" s="68">
        <f>IF($A312="","",YEAR($A312))</f>
        <v/>
      </c>
      <c r="L312" s="68">
        <f>IF($A312="","",MONTH($A312))</f>
        <v/>
      </c>
      <c r="M312" s="68">
        <f>IF($A312="","",DAY($A312))</f>
        <v/>
      </c>
      <c r="N312" s="68">
        <f>IF($A312="","",YEAR($A312)&amp;"-"&amp;TEXT(MONTH($A312),"00"))</f>
        <v/>
      </c>
    </row>
    <row r="313">
      <c r="A313" s="53" t="n"/>
      <c r="B313" s="52" t="n"/>
      <c r="C313" s="52" t="n"/>
      <c r="D313" s="52" t="n"/>
      <c r="E313" s="58">
        <f>IFERROR(VLOOKUP(D313,Maestro_SKU!$A$2:$P$500,2,FALSE),"")</f>
        <v/>
      </c>
      <c r="F313" s="52" t="n"/>
      <c r="G313" s="60" t="n"/>
      <c r="H313" s="52" t="n"/>
      <c r="I313" s="52" t="n"/>
      <c r="J313" s="52" t="n"/>
      <c r="K313" s="68">
        <f>IF($A313="","",YEAR($A313))</f>
        <v/>
      </c>
      <c r="L313" s="68">
        <f>IF($A313="","",MONTH($A313))</f>
        <v/>
      </c>
      <c r="M313" s="68">
        <f>IF($A313="","",DAY($A313))</f>
        <v/>
      </c>
      <c r="N313" s="68">
        <f>IF($A313="","",YEAR($A313)&amp;"-"&amp;TEXT(MONTH($A313),"00"))</f>
        <v/>
      </c>
    </row>
    <row r="314">
      <c r="A314" s="53" t="n"/>
      <c r="B314" s="52" t="n"/>
      <c r="C314" s="52" t="n"/>
      <c r="D314" s="52" t="n"/>
      <c r="E314" s="58">
        <f>IFERROR(VLOOKUP(D314,Maestro_SKU!$A$2:$P$500,2,FALSE),"")</f>
        <v/>
      </c>
      <c r="F314" s="52" t="n"/>
      <c r="G314" s="60" t="n"/>
      <c r="H314" s="52" t="n"/>
      <c r="I314" s="52" t="n"/>
      <c r="J314" s="52" t="n"/>
      <c r="K314" s="68">
        <f>IF($A314="","",YEAR($A314))</f>
        <v/>
      </c>
      <c r="L314" s="68">
        <f>IF($A314="","",MONTH($A314))</f>
        <v/>
      </c>
      <c r="M314" s="68">
        <f>IF($A314="","",DAY($A314))</f>
        <v/>
      </c>
      <c r="N314" s="68">
        <f>IF($A314="","",YEAR($A314)&amp;"-"&amp;TEXT(MONTH($A314),"00"))</f>
        <v/>
      </c>
    </row>
    <row r="315">
      <c r="A315" s="53" t="n"/>
      <c r="B315" s="52" t="n"/>
      <c r="C315" s="52" t="n"/>
      <c r="D315" s="52" t="n"/>
      <c r="E315" s="58">
        <f>IFERROR(VLOOKUP(D315,Maestro_SKU!$A$2:$P$500,2,FALSE),"")</f>
        <v/>
      </c>
      <c r="F315" s="52" t="n"/>
      <c r="G315" s="60" t="n"/>
      <c r="H315" s="52" t="n"/>
      <c r="I315" s="52" t="n"/>
      <c r="J315" s="52" t="n"/>
      <c r="K315" s="68">
        <f>IF($A315="","",YEAR($A315))</f>
        <v/>
      </c>
      <c r="L315" s="68">
        <f>IF($A315="","",MONTH($A315))</f>
        <v/>
      </c>
      <c r="M315" s="68">
        <f>IF($A315="","",DAY($A315))</f>
        <v/>
      </c>
      <c r="N315" s="68">
        <f>IF($A315="","",YEAR($A315)&amp;"-"&amp;TEXT(MONTH($A315),"00"))</f>
        <v/>
      </c>
    </row>
    <row r="316">
      <c r="A316" s="53" t="n"/>
      <c r="B316" s="52" t="n"/>
      <c r="C316" s="52" t="n"/>
      <c r="D316" s="52" t="n"/>
      <c r="E316" s="58">
        <f>IFERROR(VLOOKUP(D316,Maestro_SKU!$A$2:$P$500,2,FALSE),"")</f>
        <v/>
      </c>
      <c r="F316" s="52" t="n"/>
      <c r="G316" s="60" t="n"/>
      <c r="H316" s="52" t="n"/>
      <c r="I316" s="52" t="n"/>
      <c r="J316" s="52" t="n"/>
      <c r="K316" s="68">
        <f>IF($A316="","",YEAR($A316))</f>
        <v/>
      </c>
      <c r="L316" s="68">
        <f>IF($A316="","",MONTH($A316))</f>
        <v/>
      </c>
      <c r="M316" s="68">
        <f>IF($A316="","",DAY($A316))</f>
        <v/>
      </c>
      <c r="N316" s="68">
        <f>IF($A316="","",YEAR($A316)&amp;"-"&amp;TEXT(MONTH($A316),"00"))</f>
        <v/>
      </c>
    </row>
    <row r="317">
      <c r="A317" s="53" t="n"/>
      <c r="B317" s="52" t="n"/>
      <c r="C317" s="52" t="n"/>
      <c r="D317" s="52" t="n"/>
      <c r="E317" s="58">
        <f>IFERROR(VLOOKUP(D317,Maestro_SKU!$A$2:$P$500,2,FALSE),"")</f>
        <v/>
      </c>
      <c r="F317" s="52" t="n"/>
      <c r="G317" s="60" t="n"/>
      <c r="H317" s="52" t="n"/>
      <c r="I317" s="52" t="n"/>
      <c r="J317" s="52" t="n"/>
      <c r="K317" s="68">
        <f>IF($A317="","",YEAR($A317))</f>
        <v/>
      </c>
      <c r="L317" s="68">
        <f>IF($A317="","",MONTH($A317))</f>
        <v/>
      </c>
      <c r="M317" s="68">
        <f>IF($A317="","",DAY($A317))</f>
        <v/>
      </c>
      <c r="N317" s="68">
        <f>IF($A317="","",YEAR($A317)&amp;"-"&amp;TEXT(MONTH($A317),"00"))</f>
        <v/>
      </c>
    </row>
    <row r="318">
      <c r="A318" s="53" t="n"/>
      <c r="B318" s="52" t="n"/>
      <c r="C318" s="52" t="n"/>
      <c r="D318" s="52" t="n"/>
      <c r="E318" s="58">
        <f>IFERROR(VLOOKUP(D318,Maestro_SKU!$A$2:$P$500,2,FALSE),"")</f>
        <v/>
      </c>
      <c r="F318" s="52" t="n"/>
      <c r="G318" s="60" t="n"/>
      <c r="H318" s="52" t="n"/>
      <c r="I318" s="52" t="n"/>
      <c r="J318" s="52" t="n"/>
      <c r="K318" s="68">
        <f>IF($A318="","",YEAR($A318))</f>
        <v/>
      </c>
      <c r="L318" s="68">
        <f>IF($A318="","",MONTH($A318))</f>
        <v/>
      </c>
      <c r="M318" s="68">
        <f>IF($A318="","",DAY($A318))</f>
        <v/>
      </c>
      <c r="N318" s="68">
        <f>IF($A318="","",YEAR($A318)&amp;"-"&amp;TEXT(MONTH($A318),"00"))</f>
        <v/>
      </c>
    </row>
    <row r="319">
      <c r="A319" s="53" t="n"/>
      <c r="B319" s="52" t="n"/>
      <c r="C319" s="52" t="n"/>
      <c r="D319" s="52" t="n"/>
      <c r="E319" s="58">
        <f>IFERROR(VLOOKUP(D319,Maestro_SKU!$A$2:$P$500,2,FALSE),"")</f>
        <v/>
      </c>
      <c r="F319" s="52" t="n"/>
      <c r="G319" s="60" t="n"/>
      <c r="H319" s="52" t="n"/>
      <c r="I319" s="52" t="n"/>
      <c r="J319" s="52" t="n"/>
      <c r="K319" s="68">
        <f>IF($A319="","",YEAR($A319))</f>
        <v/>
      </c>
      <c r="L319" s="68">
        <f>IF($A319="","",MONTH($A319))</f>
        <v/>
      </c>
      <c r="M319" s="68">
        <f>IF($A319="","",DAY($A319))</f>
        <v/>
      </c>
      <c r="N319" s="68">
        <f>IF($A319="","",YEAR($A319)&amp;"-"&amp;TEXT(MONTH($A319),"00"))</f>
        <v/>
      </c>
    </row>
    <row r="320">
      <c r="A320" s="53" t="n"/>
      <c r="B320" s="52" t="n"/>
      <c r="C320" s="52" t="n"/>
      <c r="D320" s="52" t="n"/>
      <c r="E320" s="58">
        <f>IFERROR(VLOOKUP(D320,Maestro_SKU!$A$2:$P$500,2,FALSE),"")</f>
        <v/>
      </c>
      <c r="F320" s="52" t="n"/>
      <c r="G320" s="60" t="n"/>
      <c r="H320" s="52" t="n"/>
      <c r="I320" s="52" t="n"/>
      <c r="J320" s="52" t="n"/>
      <c r="K320" s="68">
        <f>IF($A320="","",YEAR($A320))</f>
        <v/>
      </c>
      <c r="L320" s="68">
        <f>IF($A320="","",MONTH($A320))</f>
        <v/>
      </c>
      <c r="M320" s="68">
        <f>IF($A320="","",DAY($A320))</f>
        <v/>
      </c>
      <c r="N320" s="68">
        <f>IF($A320="","",YEAR($A320)&amp;"-"&amp;TEXT(MONTH($A320),"00"))</f>
        <v/>
      </c>
    </row>
    <row r="321">
      <c r="A321" s="53" t="n"/>
      <c r="B321" s="52" t="n"/>
      <c r="C321" s="52" t="n"/>
      <c r="D321" s="52" t="n"/>
      <c r="E321" s="58">
        <f>IFERROR(VLOOKUP(D321,Maestro_SKU!$A$2:$P$500,2,FALSE),"")</f>
        <v/>
      </c>
      <c r="F321" s="52" t="n"/>
      <c r="G321" s="60" t="n"/>
      <c r="H321" s="52" t="n"/>
      <c r="I321" s="52" t="n"/>
      <c r="J321" s="52" t="n"/>
      <c r="K321" s="68">
        <f>IF($A321="","",YEAR($A321))</f>
        <v/>
      </c>
      <c r="L321" s="68">
        <f>IF($A321="","",MONTH($A321))</f>
        <v/>
      </c>
      <c r="M321" s="68">
        <f>IF($A321="","",DAY($A321))</f>
        <v/>
      </c>
      <c r="N321" s="68">
        <f>IF($A321="","",YEAR($A321)&amp;"-"&amp;TEXT(MONTH($A321),"00"))</f>
        <v/>
      </c>
    </row>
    <row r="322">
      <c r="A322" s="53" t="n"/>
      <c r="B322" s="52" t="n"/>
      <c r="C322" s="52" t="n"/>
      <c r="D322" s="52" t="n"/>
      <c r="E322" s="58">
        <f>IFERROR(VLOOKUP(D322,Maestro_SKU!$A$2:$P$500,2,FALSE),"")</f>
        <v/>
      </c>
      <c r="F322" s="52" t="n"/>
      <c r="G322" s="60" t="n"/>
      <c r="H322" s="52" t="n"/>
      <c r="I322" s="52" t="n"/>
      <c r="J322" s="52" t="n"/>
      <c r="K322" s="68">
        <f>IF($A322="","",YEAR($A322))</f>
        <v/>
      </c>
      <c r="L322" s="68">
        <f>IF($A322="","",MONTH($A322))</f>
        <v/>
      </c>
      <c r="M322" s="68">
        <f>IF($A322="","",DAY($A322))</f>
        <v/>
      </c>
      <c r="N322" s="68">
        <f>IF($A322="","",YEAR($A322)&amp;"-"&amp;TEXT(MONTH($A322),"00"))</f>
        <v/>
      </c>
    </row>
    <row r="323">
      <c r="A323" s="53" t="n"/>
      <c r="B323" s="52" t="n"/>
      <c r="C323" s="52" t="n"/>
      <c r="D323" s="52" t="n"/>
      <c r="E323" s="58">
        <f>IFERROR(VLOOKUP(D323,Maestro_SKU!$A$2:$P$500,2,FALSE),"")</f>
        <v/>
      </c>
      <c r="F323" s="52" t="n"/>
      <c r="G323" s="60" t="n"/>
      <c r="H323" s="52" t="n"/>
      <c r="I323" s="52" t="n"/>
      <c r="J323" s="52" t="n"/>
      <c r="K323" s="68">
        <f>IF($A323="","",YEAR($A323))</f>
        <v/>
      </c>
      <c r="L323" s="68">
        <f>IF($A323="","",MONTH($A323))</f>
        <v/>
      </c>
      <c r="M323" s="68">
        <f>IF($A323="","",DAY($A323))</f>
        <v/>
      </c>
      <c r="N323" s="68">
        <f>IF($A323="","",YEAR($A323)&amp;"-"&amp;TEXT(MONTH($A323),"00"))</f>
        <v/>
      </c>
    </row>
    <row r="324">
      <c r="A324" s="53" t="n"/>
      <c r="B324" s="52" t="n"/>
      <c r="C324" s="52" t="n"/>
      <c r="D324" s="52" t="n"/>
      <c r="E324" s="58">
        <f>IFERROR(VLOOKUP(D324,Maestro_SKU!$A$2:$P$500,2,FALSE),"")</f>
        <v/>
      </c>
      <c r="F324" s="52" t="n"/>
      <c r="G324" s="60" t="n"/>
      <c r="H324" s="52" t="n"/>
      <c r="I324" s="52" t="n"/>
      <c r="J324" s="52" t="n"/>
      <c r="K324" s="68">
        <f>IF($A324="","",YEAR($A324))</f>
        <v/>
      </c>
      <c r="L324" s="68">
        <f>IF($A324="","",MONTH($A324))</f>
        <v/>
      </c>
      <c r="M324" s="68">
        <f>IF($A324="","",DAY($A324))</f>
        <v/>
      </c>
      <c r="N324" s="68">
        <f>IF($A324="","",YEAR($A324)&amp;"-"&amp;TEXT(MONTH($A324),"00"))</f>
        <v/>
      </c>
    </row>
    <row r="325">
      <c r="A325" s="53" t="n"/>
      <c r="B325" s="52" t="n"/>
      <c r="C325" s="52" t="n"/>
      <c r="D325" s="52" t="n"/>
      <c r="E325" s="58">
        <f>IFERROR(VLOOKUP(D325,Maestro_SKU!$A$2:$P$500,2,FALSE),"")</f>
        <v/>
      </c>
      <c r="F325" s="52" t="n"/>
      <c r="G325" s="60" t="n"/>
      <c r="H325" s="52" t="n"/>
      <c r="I325" s="52" t="n"/>
      <c r="J325" s="52" t="n"/>
      <c r="K325" s="68">
        <f>IF($A325="","",YEAR($A325))</f>
        <v/>
      </c>
      <c r="L325" s="68">
        <f>IF($A325="","",MONTH($A325))</f>
        <v/>
      </c>
      <c r="M325" s="68">
        <f>IF($A325="","",DAY($A325))</f>
        <v/>
      </c>
      <c r="N325" s="68">
        <f>IF($A325="","",YEAR($A325)&amp;"-"&amp;TEXT(MONTH($A325),"00"))</f>
        <v/>
      </c>
    </row>
    <row r="326">
      <c r="A326" s="53" t="n"/>
      <c r="B326" s="52" t="n"/>
      <c r="C326" s="52" t="n"/>
      <c r="D326" s="52" t="n"/>
      <c r="E326" s="58">
        <f>IFERROR(VLOOKUP(D326,Maestro_SKU!$A$2:$P$500,2,FALSE),"")</f>
        <v/>
      </c>
      <c r="F326" s="52" t="n"/>
      <c r="G326" s="60" t="n"/>
      <c r="H326" s="52" t="n"/>
      <c r="I326" s="52" t="n"/>
      <c r="J326" s="52" t="n"/>
      <c r="K326" s="68">
        <f>IF($A326="","",YEAR($A326))</f>
        <v/>
      </c>
      <c r="L326" s="68">
        <f>IF($A326="","",MONTH($A326))</f>
        <v/>
      </c>
      <c r="M326" s="68">
        <f>IF($A326="","",DAY($A326))</f>
        <v/>
      </c>
      <c r="N326" s="68">
        <f>IF($A326="","",YEAR($A326)&amp;"-"&amp;TEXT(MONTH($A326),"00"))</f>
        <v/>
      </c>
    </row>
    <row r="327">
      <c r="A327" s="53" t="n"/>
      <c r="B327" s="52" t="n"/>
      <c r="C327" s="52" t="n"/>
      <c r="D327" s="52" t="n"/>
      <c r="E327" s="58">
        <f>IFERROR(VLOOKUP(D327,Maestro_SKU!$A$2:$P$500,2,FALSE),"")</f>
        <v/>
      </c>
      <c r="F327" s="52" t="n"/>
      <c r="G327" s="60" t="n"/>
      <c r="H327" s="52" t="n"/>
      <c r="I327" s="52" t="n"/>
      <c r="J327" s="52" t="n"/>
      <c r="K327" s="68">
        <f>IF($A327="","",YEAR($A327))</f>
        <v/>
      </c>
      <c r="L327" s="68">
        <f>IF($A327="","",MONTH($A327))</f>
        <v/>
      </c>
      <c r="M327" s="68">
        <f>IF($A327="","",DAY($A327))</f>
        <v/>
      </c>
      <c r="N327" s="68">
        <f>IF($A327="","",YEAR($A327)&amp;"-"&amp;TEXT(MONTH($A327),"00"))</f>
        <v/>
      </c>
    </row>
    <row r="328">
      <c r="A328" s="53" t="n"/>
      <c r="B328" s="52" t="n"/>
      <c r="C328" s="52" t="n"/>
      <c r="D328" s="52" t="n"/>
      <c r="E328" s="58">
        <f>IFERROR(VLOOKUP(D328,Maestro_SKU!$A$2:$P$500,2,FALSE),"")</f>
        <v/>
      </c>
      <c r="F328" s="52" t="n"/>
      <c r="G328" s="60" t="n"/>
      <c r="H328" s="52" t="n"/>
      <c r="I328" s="52" t="n"/>
      <c r="J328" s="52" t="n"/>
      <c r="K328" s="68">
        <f>IF($A328="","",YEAR($A328))</f>
        <v/>
      </c>
      <c r="L328" s="68">
        <f>IF($A328="","",MONTH($A328))</f>
        <v/>
      </c>
      <c r="M328" s="68">
        <f>IF($A328="","",DAY($A328))</f>
        <v/>
      </c>
      <c r="N328" s="68">
        <f>IF($A328="","",YEAR($A328)&amp;"-"&amp;TEXT(MONTH($A328),"00"))</f>
        <v/>
      </c>
    </row>
    <row r="329">
      <c r="A329" s="53" t="n"/>
      <c r="B329" s="52" t="n"/>
      <c r="C329" s="52" t="n"/>
      <c r="D329" s="52" t="n"/>
      <c r="E329" s="58">
        <f>IFERROR(VLOOKUP(D329,Maestro_SKU!$A$2:$P$500,2,FALSE),"")</f>
        <v/>
      </c>
      <c r="F329" s="52" t="n"/>
      <c r="G329" s="60" t="n"/>
      <c r="H329" s="52" t="n"/>
      <c r="I329" s="52" t="n"/>
      <c r="J329" s="52" t="n"/>
      <c r="K329" s="68">
        <f>IF($A329="","",YEAR($A329))</f>
        <v/>
      </c>
      <c r="L329" s="68">
        <f>IF($A329="","",MONTH($A329))</f>
        <v/>
      </c>
      <c r="M329" s="68">
        <f>IF($A329="","",DAY($A329))</f>
        <v/>
      </c>
      <c r="N329" s="68">
        <f>IF($A329="","",YEAR($A329)&amp;"-"&amp;TEXT(MONTH($A329),"00"))</f>
        <v/>
      </c>
    </row>
    <row r="330">
      <c r="A330" s="53" t="n"/>
      <c r="B330" s="52" t="n"/>
      <c r="C330" s="52" t="n"/>
      <c r="D330" s="52" t="n"/>
      <c r="E330" s="58">
        <f>IFERROR(VLOOKUP(D330,Maestro_SKU!$A$2:$P$500,2,FALSE),"")</f>
        <v/>
      </c>
      <c r="F330" s="52" t="n"/>
      <c r="G330" s="60" t="n"/>
      <c r="H330" s="52" t="n"/>
      <c r="I330" s="52" t="n"/>
      <c r="J330" s="52" t="n"/>
      <c r="K330" s="68">
        <f>IF($A330="","",YEAR($A330))</f>
        <v/>
      </c>
      <c r="L330" s="68">
        <f>IF($A330="","",MONTH($A330))</f>
        <v/>
      </c>
      <c r="M330" s="68">
        <f>IF($A330="","",DAY($A330))</f>
        <v/>
      </c>
      <c r="N330" s="68">
        <f>IF($A330="","",YEAR($A330)&amp;"-"&amp;TEXT(MONTH($A330),"00"))</f>
        <v/>
      </c>
    </row>
    <row r="331">
      <c r="A331" s="53" t="n"/>
      <c r="B331" s="52" t="n"/>
      <c r="C331" s="52" t="n"/>
      <c r="D331" s="52" t="n"/>
      <c r="E331" s="58">
        <f>IFERROR(VLOOKUP(D331,Maestro_SKU!$A$2:$P$500,2,FALSE),"")</f>
        <v/>
      </c>
      <c r="F331" s="52" t="n"/>
      <c r="G331" s="60" t="n"/>
      <c r="H331" s="52" t="n"/>
      <c r="I331" s="52" t="n"/>
      <c r="J331" s="52" t="n"/>
      <c r="K331" s="68">
        <f>IF($A331="","",YEAR($A331))</f>
        <v/>
      </c>
      <c r="L331" s="68">
        <f>IF($A331="","",MONTH($A331))</f>
        <v/>
      </c>
      <c r="M331" s="68">
        <f>IF($A331="","",DAY($A331))</f>
        <v/>
      </c>
      <c r="N331" s="68">
        <f>IF($A331="","",YEAR($A331)&amp;"-"&amp;TEXT(MONTH($A331),"00"))</f>
        <v/>
      </c>
    </row>
    <row r="332">
      <c r="A332" s="53" t="n"/>
      <c r="B332" s="52" t="n"/>
      <c r="C332" s="52" t="n"/>
      <c r="D332" s="52" t="n"/>
      <c r="E332" s="58">
        <f>IFERROR(VLOOKUP(D332,Maestro_SKU!$A$2:$P$500,2,FALSE),"")</f>
        <v/>
      </c>
      <c r="F332" s="52" t="n"/>
      <c r="G332" s="60" t="n"/>
      <c r="H332" s="52" t="n"/>
      <c r="I332" s="52" t="n"/>
      <c r="J332" s="52" t="n"/>
      <c r="K332" s="68">
        <f>IF($A332="","",YEAR($A332))</f>
        <v/>
      </c>
      <c r="L332" s="68">
        <f>IF($A332="","",MONTH($A332))</f>
        <v/>
      </c>
      <c r="M332" s="68">
        <f>IF($A332="","",DAY($A332))</f>
        <v/>
      </c>
      <c r="N332" s="68">
        <f>IF($A332="","",YEAR($A332)&amp;"-"&amp;TEXT(MONTH($A332),"00"))</f>
        <v/>
      </c>
    </row>
    <row r="333">
      <c r="A333" s="53" t="n"/>
      <c r="B333" s="52" t="n"/>
      <c r="C333" s="52" t="n"/>
      <c r="D333" s="52" t="n"/>
      <c r="E333" s="58">
        <f>IFERROR(VLOOKUP(D333,Maestro_SKU!$A$2:$P$500,2,FALSE),"")</f>
        <v/>
      </c>
      <c r="F333" s="52" t="n"/>
      <c r="G333" s="60" t="n"/>
      <c r="H333" s="52" t="n"/>
      <c r="I333" s="52" t="n"/>
      <c r="J333" s="52" t="n"/>
      <c r="K333" s="68">
        <f>IF($A333="","",YEAR($A333))</f>
        <v/>
      </c>
      <c r="L333" s="68">
        <f>IF($A333="","",MONTH($A333))</f>
        <v/>
      </c>
      <c r="M333" s="68">
        <f>IF($A333="","",DAY($A333))</f>
        <v/>
      </c>
      <c r="N333" s="68">
        <f>IF($A333="","",YEAR($A333)&amp;"-"&amp;TEXT(MONTH($A333),"00"))</f>
        <v/>
      </c>
    </row>
    <row r="334">
      <c r="A334" s="53" t="n"/>
      <c r="B334" s="52" t="n"/>
      <c r="C334" s="52" t="n"/>
      <c r="D334" s="52" t="n"/>
      <c r="E334" s="58">
        <f>IFERROR(VLOOKUP(D334,Maestro_SKU!$A$2:$P$500,2,FALSE),"")</f>
        <v/>
      </c>
      <c r="F334" s="52" t="n"/>
      <c r="G334" s="60" t="n"/>
      <c r="H334" s="52" t="n"/>
      <c r="I334" s="52" t="n"/>
      <c r="J334" s="52" t="n"/>
      <c r="K334" s="68">
        <f>IF($A334="","",YEAR($A334))</f>
        <v/>
      </c>
      <c r="L334" s="68">
        <f>IF($A334="","",MONTH($A334))</f>
        <v/>
      </c>
      <c r="M334" s="68">
        <f>IF($A334="","",DAY($A334))</f>
        <v/>
      </c>
      <c r="N334" s="68">
        <f>IF($A334="","",YEAR($A334)&amp;"-"&amp;TEXT(MONTH($A334),"00"))</f>
        <v/>
      </c>
    </row>
    <row r="335">
      <c r="A335" s="53" t="n"/>
      <c r="B335" s="52" t="n"/>
      <c r="C335" s="52" t="n"/>
      <c r="D335" s="52" t="n"/>
      <c r="E335" s="58">
        <f>IFERROR(VLOOKUP(D335,Maestro_SKU!$A$2:$P$500,2,FALSE),"")</f>
        <v/>
      </c>
      <c r="F335" s="52" t="n"/>
      <c r="G335" s="60" t="n"/>
      <c r="H335" s="52" t="n"/>
      <c r="I335" s="52" t="n"/>
      <c r="J335" s="52" t="n"/>
      <c r="K335" s="68">
        <f>IF($A335="","",YEAR($A335))</f>
        <v/>
      </c>
      <c r="L335" s="68">
        <f>IF($A335="","",MONTH($A335))</f>
        <v/>
      </c>
      <c r="M335" s="68">
        <f>IF($A335="","",DAY($A335))</f>
        <v/>
      </c>
      <c r="N335" s="68">
        <f>IF($A335="","",YEAR($A335)&amp;"-"&amp;TEXT(MONTH($A335),"00"))</f>
        <v/>
      </c>
    </row>
    <row r="336">
      <c r="A336" s="53" t="n"/>
      <c r="B336" s="52" t="n"/>
      <c r="C336" s="52" t="n"/>
      <c r="D336" s="52" t="n"/>
      <c r="E336" s="58">
        <f>IFERROR(VLOOKUP(D336,Maestro_SKU!$A$2:$P$500,2,FALSE),"")</f>
        <v/>
      </c>
      <c r="F336" s="52" t="n"/>
      <c r="G336" s="60" t="n"/>
      <c r="H336" s="52" t="n"/>
      <c r="I336" s="52" t="n"/>
      <c r="J336" s="52" t="n"/>
      <c r="K336" s="68">
        <f>IF($A336="","",YEAR($A336))</f>
        <v/>
      </c>
      <c r="L336" s="68">
        <f>IF($A336="","",MONTH($A336))</f>
        <v/>
      </c>
      <c r="M336" s="68">
        <f>IF($A336="","",DAY($A336))</f>
        <v/>
      </c>
      <c r="N336" s="68">
        <f>IF($A336="","",YEAR($A336)&amp;"-"&amp;TEXT(MONTH($A336),"00"))</f>
        <v/>
      </c>
    </row>
    <row r="337">
      <c r="A337" s="53" t="n"/>
      <c r="B337" s="52" t="n"/>
      <c r="C337" s="52" t="n"/>
      <c r="D337" s="52" t="n"/>
      <c r="E337" s="58">
        <f>IFERROR(VLOOKUP(D337,Maestro_SKU!$A$2:$P$500,2,FALSE),"")</f>
        <v/>
      </c>
      <c r="F337" s="52" t="n"/>
      <c r="G337" s="60" t="n"/>
      <c r="H337" s="52" t="n"/>
      <c r="I337" s="52" t="n"/>
      <c r="J337" s="52" t="n"/>
      <c r="K337" s="68">
        <f>IF($A337="","",YEAR($A337))</f>
        <v/>
      </c>
      <c r="L337" s="68">
        <f>IF($A337="","",MONTH($A337))</f>
        <v/>
      </c>
      <c r="M337" s="68">
        <f>IF($A337="","",DAY($A337))</f>
        <v/>
      </c>
      <c r="N337" s="68">
        <f>IF($A337="","",YEAR($A337)&amp;"-"&amp;TEXT(MONTH($A337),"00"))</f>
        <v/>
      </c>
    </row>
    <row r="338">
      <c r="A338" s="53" t="n"/>
      <c r="B338" s="52" t="n"/>
      <c r="C338" s="52" t="n"/>
      <c r="D338" s="52" t="n"/>
      <c r="E338" s="58">
        <f>IFERROR(VLOOKUP(D338,Maestro_SKU!$A$2:$P$500,2,FALSE),"")</f>
        <v/>
      </c>
      <c r="F338" s="52" t="n"/>
      <c r="G338" s="60" t="n"/>
      <c r="H338" s="52" t="n"/>
      <c r="I338" s="52" t="n"/>
      <c r="J338" s="52" t="n"/>
      <c r="K338" s="68">
        <f>IF($A338="","",YEAR($A338))</f>
        <v/>
      </c>
      <c r="L338" s="68">
        <f>IF($A338="","",MONTH($A338))</f>
        <v/>
      </c>
      <c r="M338" s="68">
        <f>IF($A338="","",DAY($A338))</f>
        <v/>
      </c>
      <c r="N338" s="68">
        <f>IF($A338="","",YEAR($A338)&amp;"-"&amp;TEXT(MONTH($A338),"00"))</f>
        <v/>
      </c>
    </row>
    <row r="339">
      <c r="A339" s="53" t="n"/>
      <c r="B339" s="52" t="n"/>
      <c r="C339" s="52" t="n"/>
      <c r="D339" s="52" t="n"/>
      <c r="E339" s="58">
        <f>IFERROR(VLOOKUP(D339,Maestro_SKU!$A$2:$P$500,2,FALSE),"")</f>
        <v/>
      </c>
      <c r="F339" s="52" t="n"/>
      <c r="G339" s="60" t="n"/>
      <c r="H339" s="52" t="n"/>
      <c r="I339" s="52" t="n"/>
      <c r="J339" s="52" t="n"/>
      <c r="K339" s="68">
        <f>IF($A339="","",YEAR($A339))</f>
        <v/>
      </c>
      <c r="L339" s="68">
        <f>IF($A339="","",MONTH($A339))</f>
        <v/>
      </c>
      <c r="M339" s="68">
        <f>IF($A339="","",DAY($A339))</f>
        <v/>
      </c>
      <c r="N339" s="68">
        <f>IF($A339="","",YEAR($A339)&amp;"-"&amp;TEXT(MONTH($A339),"00"))</f>
        <v/>
      </c>
    </row>
    <row r="340">
      <c r="A340" s="53" t="n"/>
      <c r="B340" s="52" t="n"/>
      <c r="C340" s="52" t="n"/>
      <c r="D340" s="52" t="n"/>
      <c r="E340" s="58">
        <f>IFERROR(VLOOKUP(D340,Maestro_SKU!$A$2:$P$500,2,FALSE),"")</f>
        <v/>
      </c>
      <c r="F340" s="52" t="n"/>
      <c r="G340" s="60" t="n"/>
      <c r="H340" s="52" t="n"/>
      <c r="I340" s="52" t="n"/>
      <c r="J340" s="52" t="n"/>
      <c r="K340" s="68">
        <f>IF($A340="","",YEAR($A340))</f>
        <v/>
      </c>
      <c r="L340" s="68">
        <f>IF($A340="","",MONTH($A340))</f>
        <v/>
      </c>
      <c r="M340" s="68">
        <f>IF($A340="","",DAY($A340))</f>
        <v/>
      </c>
      <c r="N340" s="68">
        <f>IF($A340="","",YEAR($A340)&amp;"-"&amp;TEXT(MONTH($A340),"00"))</f>
        <v/>
      </c>
    </row>
    <row r="341">
      <c r="A341" s="53" t="n"/>
      <c r="B341" s="52" t="n"/>
      <c r="C341" s="52" t="n"/>
      <c r="D341" s="52" t="n"/>
      <c r="E341" s="58">
        <f>IFERROR(VLOOKUP(D341,Maestro_SKU!$A$2:$P$500,2,FALSE),"")</f>
        <v/>
      </c>
      <c r="F341" s="52" t="n"/>
      <c r="G341" s="60" t="n"/>
      <c r="H341" s="52" t="n"/>
      <c r="I341" s="52" t="n"/>
      <c r="J341" s="52" t="n"/>
      <c r="K341" s="68">
        <f>IF($A341="","",YEAR($A341))</f>
        <v/>
      </c>
      <c r="L341" s="68">
        <f>IF($A341="","",MONTH($A341))</f>
        <v/>
      </c>
      <c r="M341" s="68">
        <f>IF($A341="","",DAY($A341))</f>
        <v/>
      </c>
      <c r="N341" s="68">
        <f>IF($A341="","",YEAR($A341)&amp;"-"&amp;TEXT(MONTH($A341),"00"))</f>
        <v/>
      </c>
    </row>
    <row r="342">
      <c r="A342" s="53" t="n"/>
      <c r="B342" s="52" t="n"/>
      <c r="C342" s="52" t="n"/>
      <c r="D342" s="52" t="n"/>
      <c r="E342" s="58">
        <f>IFERROR(VLOOKUP(D342,Maestro_SKU!$A$2:$P$500,2,FALSE),"")</f>
        <v/>
      </c>
      <c r="F342" s="52" t="n"/>
      <c r="G342" s="60" t="n"/>
      <c r="H342" s="52" t="n"/>
      <c r="I342" s="52" t="n"/>
      <c r="J342" s="52" t="n"/>
      <c r="K342" s="68">
        <f>IF($A342="","",YEAR($A342))</f>
        <v/>
      </c>
      <c r="L342" s="68">
        <f>IF($A342="","",MONTH($A342))</f>
        <v/>
      </c>
      <c r="M342" s="68">
        <f>IF($A342="","",DAY($A342))</f>
        <v/>
      </c>
      <c r="N342" s="68">
        <f>IF($A342="","",YEAR($A342)&amp;"-"&amp;TEXT(MONTH($A342),"00"))</f>
        <v/>
      </c>
    </row>
    <row r="343">
      <c r="A343" s="53" t="n"/>
      <c r="B343" s="52" t="n"/>
      <c r="C343" s="52" t="n"/>
      <c r="D343" s="52" t="n"/>
      <c r="E343" s="58">
        <f>IFERROR(VLOOKUP(D343,Maestro_SKU!$A$2:$P$500,2,FALSE),"")</f>
        <v/>
      </c>
      <c r="F343" s="52" t="n"/>
      <c r="G343" s="60" t="n"/>
      <c r="H343" s="52" t="n"/>
      <c r="I343" s="52" t="n"/>
      <c r="J343" s="52" t="n"/>
      <c r="K343" s="68">
        <f>IF($A343="","",YEAR($A343))</f>
        <v/>
      </c>
      <c r="L343" s="68">
        <f>IF($A343="","",MONTH($A343))</f>
        <v/>
      </c>
      <c r="M343" s="68">
        <f>IF($A343="","",DAY($A343))</f>
        <v/>
      </c>
      <c r="N343" s="68">
        <f>IF($A343="","",YEAR($A343)&amp;"-"&amp;TEXT(MONTH($A343),"00"))</f>
        <v/>
      </c>
    </row>
    <row r="344">
      <c r="A344" s="53" t="n"/>
      <c r="B344" s="52" t="n"/>
      <c r="C344" s="52" t="n"/>
      <c r="D344" s="52" t="n"/>
      <c r="E344" s="58">
        <f>IFERROR(VLOOKUP(D344,Maestro_SKU!$A$2:$P$500,2,FALSE),"")</f>
        <v/>
      </c>
      <c r="F344" s="52" t="n"/>
      <c r="G344" s="60" t="n"/>
      <c r="H344" s="52" t="n"/>
      <c r="I344" s="52" t="n"/>
      <c r="J344" s="52" t="n"/>
      <c r="K344" s="68">
        <f>IF($A344="","",YEAR($A344))</f>
        <v/>
      </c>
      <c r="L344" s="68">
        <f>IF($A344="","",MONTH($A344))</f>
        <v/>
      </c>
      <c r="M344" s="68">
        <f>IF($A344="","",DAY($A344))</f>
        <v/>
      </c>
      <c r="N344" s="68">
        <f>IF($A344="","",YEAR($A344)&amp;"-"&amp;TEXT(MONTH($A344),"00"))</f>
        <v/>
      </c>
    </row>
    <row r="345">
      <c r="A345" s="53" t="n"/>
      <c r="B345" s="52" t="n"/>
      <c r="C345" s="52" t="n"/>
      <c r="D345" s="52" t="n"/>
      <c r="E345" s="58">
        <f>IFERROR(VLOOKUP(D345,Maestro_SKU!$A$2:$P$500,2,FALSE),"")</f>
        <v/>
      </c>
      <c r="F345" s="52" t="n"/>
      <c r="G345" s="60" t="n"/>
      <c r="H345" s="52" t="n"/>
      <c r="I345" s="52" t="n"/>
      <c r="J345" s="52" t="n"/>
      <c r="K345" s="68">
        <f>IF($A345="","",YEAR($A345))</f>
        <v/>
      </c>
      <c r="L345" s="68">
        <f>IF($A345="","",MONTH($A345))</f>
        <v/>
      </c>
      <c r="M345" s="68">
        <f>IF($A345="","",DAY($A345))</f>
        <v/>
      </c>
      <c r="N345" s="68">
        <f>IF($A345="","",YEAR($A345)&amp;"-"&amp;TEXT(MONTH($A345),"00"))</f>
        <v/>
      </c>
    </row>
    <row r="346">
      <c r="A346" s="53" t="n"/>
      <c r="B346" s="52" t="n"/>
      <c r="C346" s="52" t="n"/>
      <c r="D346" s="52" t="n"/>
      <c r="E346" s="58">
        <f>IFERROR(VLOOKUP(D346,Maestro_SKU!$A$2:$P$500,2,FALSE),"")</f>
        <v/>
      </c>
      <c r="F346" s="52" t="n"/>
      <c r="G346" s="60" t="n"/>
      <c r="H346" s="52" t="n"/>
      <c r="I346" s="52" t="n"/>
      <c r="J346" s="52" t="n"/>
      <c r="K346" s="68">
        <f>IF($A346="","",YEAR($A346))</f>
        <v/>
      </c>
      <c r="L346" s="68">
        <f>IF($A346="","",MONTH($A346))</f>
        <v/>
      </c>
      <c r="M346" s="68">
        <f>IF($A346="","",DAY($A346))</f>
        <v/>
      </c>
      <c r="N346" s="68">
        <f>IF($A346="","",YEAR($A346)&amp;"-"&amp;TEXT(MONTH($A346),"00"))</f>
        <v/>
      </c>
    </row>
    <row r="347">
      <c r="A347" s="53" t="n"/>
      <c r="B347" s="52" t="n"/>
      <c r="C347" s="52" t="n"/>
      <c r="D347" s="52" t="n"/>
      <c r="E347" s="58">
        <f>IFERROR(VLOOKUP(D347,Maestro_SKU!$A$2:$P$500,2,FALSE),"")</f>
        <v/>
      </c>
      <c r="F347" s="52" t="n"/>
      <c r="G347" s="60" t="n"/>
      <c r="H347" s="52" t="n"/>
      <c r="I347" s="52" t="n"/>
      <c r="J347" s="52" t="n"/>
      <c r="K347" s="68">
        <f>IF($A347="","",YEAR($A347))</f>
        <v/>
      </c>
      <c r="L347" s="68">
        <f>IF($A347="","",MONTH($A347))</f>
        <v/>
      </c>
      <c r="M347" s="68">
        <f>IF($A347="","",DAY($A347))</f>
        <v/>
      </c>
      <c r="N347" s="68">
        <f>IF($A347="","",YEAR($A347)&amp;"-"&amp;TEXT(MONTH($A347),"00"))</f>
        <v/>
      </c>
    </row>
    <row r="348">
      <c r="A348" s="53" t="n"/>
      <c r="B348" s="52" t="n"/>
      <c r="C348" s="52" t="n"/>
      <c r="D348" s="52" t="n"/>
      <c r="E348" s="58">
        <f>IFERROR(VLOOKUP(D348,Maestro_SKU!$A$2:$P$500,2,FALSE),"")</f>
        <v/>
      </c>
      <c r="F348" s="52" t="n"/>
      <c r="G348" s="60" t="n"/>
      <c r="H348" s="52" t="n"/>
      <c r="I348" s="52" t="n"/>
      <c r="J348" s="52" t="n"/>
      <c r="K348" s="68">
        <f>IF($A348="","",YEAR($A348))</f>
        <v/>
      </c>
      <c r="L348" s="68">
        <f>IF($A348="","",MONTH($A348))</f>
        <v/>
      </c>
      <c r="M348" s="68">
        <f>IF($A348="","",DAY($A348))</f>
        <v/>
      </c>
      <c r="N348" s="68">
        <f>IF($A348="","",YEAR($A348)&amp;"-"&amp;TEXT(MONTH($A348),"00"))</f>
        <v/>
      </c>
    </row>
    <row r="349">
      <c r="A349" s="53" t="n"/>
      <c r="B349" s="52" t="n"/>
      <c r="C349" s="52" t="n"/>
      <c r="D349" s="52" t="n"/>
      <c r="E349" s="58">
        <f>IFERROR(VLOOKUP(D349,Maestro_SKU!$A$2:$P$500,2,FALSE),"")</f>
        <v/>
      </c>
      <c r="F349" s="52" t="n"/>
      <c r="G349" s="60" t="n"/>
      <c r="H349" s="52" t="n"/>
      <c r="I349" s="52" t="n"/>
      <c r="J349" s="52" t="n"/>
      <c r="K349" s="68">
        <f>IF($A349="","",YEAR($A349))</f>
        <v/>
      </c>
      <c r="L349" s="68">
        <f>IF($A349="","",MONTH($A349))</f>
        <v/>
      </c>
      <c r="M349" s="68">
        <f>IF($A349="","",DAY($A349))</f>
        <v/>
      </c>
      <c r="N349" s="68">
        <f>IF($A349="","",YEAR($A349)&amp;"-"&amp;TEXT(MONTH($A349),"00"))</f>
        <v/>
      </c>
    </row>
    <row r="350">
      <c r="A350" s="53" t="n"/>
      <c r="B350" s="52" t="n"/>
      <c r="C350" s="52" t="n"/>
      <c r="D350" s="52" t="n"/>
      <c r="E350" s="58">
        <f>IFERROR(VLOOKUP(D350,Maestro_SKU!$A$2:$P$500,2,FALSE),"")</f>
        <v/>
      </c>
      <c r="F350" s="52" t="n"/>
      <c r="G350" s="60" t="n"/>
      <c r="H350" s="52" t="n"/>
      <c r="I350" s="52" t="n"/>
      <c r="J350" s="52" t="n"/>
      <c r="K350" s="68">
        <f>IF($A350="","",YEAR($A350))</f>
        <v/>
      </c>
      <c r="L350" s="68">
        <f>IF($A350="","",MONTH($A350))</f>
        <v/>
      </c>
      <c r="M350" s="68">
        <f>IF($A350="","",DAY($A350))</f>
        <v/>
      </c>
      <c r="N350" s="68">
        <f>IF($A350="","",YEAR($A350)&amp;"-"&amp;TEXT(MONTH($A350),"00"))</f>
        <v/>
      </c>
    </row>
    <row r="351">
      <c r="A351" s="53" t="n"/>
      <c r="B351" s="52" t="n"/>
      <c r="C351" s="52" t="n"/>
      <c r="D351" s="52" t="n"/>
      <c r="E351" s="58">
        <f>IFERROR(VLOOKUP(D351,Maestro_SKU!$A$2:$P$500,2,FALSE),"")</f>
        <v/>
      </c>
      <c r="F351" s="52" t="n"/>
      <c r="G351" s="60" t="n"/>
      <c r="H351" s="52" t="n"/>
      <c r="I351" s="52" t="n"/>
      <c r="J351" s="52" t="n"/>
      <c r="K351" s="68">
        <f>IF($A351="","",YEAR($A351))</f>
        <v/>
      </c>
      <c r="L351" s="68">
        <f>IF($A351="","",MONTH($A351))</f>
        <v/>
      </c>
      <c r="M351" s="68">
        <f>IF($A351="","",DAY($A351))</f>
        <v/>
      </c>
      <c r="N351" s="68">
        <f>IF($A351="","",YEAR($A351)&amp;"-"&amp;TEXT(MONTH($A351),"00"))</f>
        <v/>
      </c>
    </row>
    <row r="352">
      <c r="A352" s="53" t="n"/>
      <c r="B352" s="52" t="n"/>
      <c r="C352" s="52" t="n"/>
      <c r="D352" s="52" t="n"/>
      <c r="E352" s="58">
        <f>IFERROR(VLOOKUP(D352,Maestro_SKU!$A$2:$P$500,2,FALSE),"")</f>
        <v/>
      </c>
      <c r="F352" s="52" t="n"/>
      <c r="G352" s="60" t="n"/>
      <c r="H352" s="52" t="n"/>
      <c r="I352" s="52" t="n"/>
      <c r="J352" s="52" t="n"/>
      <c r="K352" s="68">
        <f>IF($A352="","",YEAR($A352))</f>
        <v/>
      </c>
      <c r="L352" s="68">
        <f>IF($A352="","",MONTH($A352))</f>
        <v/>
      </c>
      <c r="M352" s="68">
        <f>IF($A352="","",DAY($A352))</f>
        <v/>
      </c>
      <c r="N352" s="68">
        <f>IF($A352="","",YEAR($A352)&amp;"-"&amp;TEXT(MONTH($A352),"00"))</f>
        <v/>
      </c>
    </row>
    <row r="353">
      <c r="A353" s="53" t="n"/>
      <c r="B353" s="52" t="n"/>
      <c r="C353" s="52" t="n"/>
      <c r="D353" s="52" t="n"/>
      <c r="E353" s="58">
        <f>IFERROR(VLOOKUP(D353,Maestro_SKU!$A$2:$P$500,2,FALSE),"")</f>
        <v/>
      </c>
      <c r="F353" s="52" t="n"/>
      <c r="G353" s="60" t="n"/>
      <c r="H353" s="52" t="n"/>
      <c r="I353" s="52" t="n"/>
      <c r="J353" s="52" t="n"/>
      <c r="K353" s="68">
        <f>IF($A353="","",YEAR($A353))</f>
        <v/>
      </c>
      <c r="L353" s="68">
        <f>IF($A353="","",MONTH($A353))</f>
        <v/>
      </c>
      <c r="M353" s="68">
        <f>IF($A353="","",DAY($A353))</f>
        <v/>
      </c>
      <c r="N353" s="68">
        <f>IF($A353="","",YEAR($A353)&amp;"-"&amp;TEXT(MONTH($A353),"00"))</f>
        <v/>
      </c>
    </row>
    <row r="354">
      <c r="A354" s="53" t="n"/>
      <c r="B354" s="52" t="n"/>
      <c r="C354" s="52" t="n"/>
      <c r="D354" s="52" t="n"/>
      <c r="E354" s="58">
        <f>IFERROR(VLOOKUP(D354,Maestro_SKU!$A$2:$P$500,2,FALSE),"")</f>
        <v/>
      </c>
      <c r="F354" s="52" t="n"/>
      <c r="G354" s="60" t="n"/>
      <c r="H354" s="52" t="n"/>
      <c r="I354" s="52" t="n"/>
      <c r="J354" s="52" t="n"/>
      <c r="K354" s="68">
        <f>IF($A354="","",YEAR($A354))</f>
        <v/>
      </c>
      <c r="L354" s="68">
        <f>IF($A354="","",MONTH($A354))</f>
        <v/>
      </c>
      <c r="M354" s="68">
        <f>IF($A354="","",DAY($A354))</f>
        <v/>
      </c>
      <c r="N354" s="68">
        <f>IF($A354="","",YEAR($A354)&amp;"-"&amp;TEXT(MONTH($A354),"00"))</f>
        <v/>
      </c>
    </row>
    <row r="355">
      <c r="A355" s="53" t="n"/>
      <c r="B355" s="52" t="n"/>
      <c r="C355" s="52" t="n"/>
      <c r="D355" s="52" t="n"/>
      <c r="E355" s="58">
        <f>IFERROR(VLOOKUP(D355,Maestro_SKU!$A$2:$P$500,2,FALSE),"")</f>
        <v/>
      </c>
      <c r="F355" s="52" t="n"/>
      <c r="G355" s="60" t="n"/>
      <c r="H355" s="52" t="n"/>
      <c r="I355" s="52" t="n"/>
      <c r="J355" s="52" t="n"/>
      <c r="K355" s="68">
        <f>IF($A355="","",YEAR($A355))</f>
        <v/>
      </c>
      <c r="L355" s="68">
        <f>IF($A355="","",MONTH($A355))</f>
        <v/>
      </c>
      <c r="M355" s="68">
        <f>IF($A355="","",DAY($A355))</f>
        <v/>
      </c>
      <c r="N355" s="68">
        <f>IF($A355="","",YEAR($A355)&amp;"-"&amp;TEXT(MONTH($A355),"00"))</f>
        <v/>
      </c>
    </row>
    <row r="356">
      <c r="A356" s="53" t="n"/>
      <c r="B356" s="52" t="n"/>
      <c r="C356" s="52" t="n"/>
      <c r="D356" s="52" t="n"/>
      <c r="E356" s="58">
        <f>IFERROR(VLOOKUP(D356,Maestro_SKU!$A$2:$P$500,2,FALSE),"")</f>
        <v/>
      </c>
      <c r="F356" s="52" t="n"/>
      <c r="G356" s="60" t="n"/>
      <c r="H356" s="52" t="n"/>
      <c r="I356" s="52" t="n"/>
      <c r="J356" s="52" t="n"/>
      <c r="K356" s="68">
        <f>IF($A356="","",YEAR($A356))</f>
        <v/>
      </c>
      <c r="L356" s="68">
        <f>IF($A356="","",MONTH($A356))</f>
        <v/>
      </c>
      <c r="M356" s="68">
        <f>IF($A356="","",DAY($A356))</f>
        <v/>
      </c>
      <c r="N356" s="68">
        <f>IF($A356="","",YEAR($A356)&amp;"-"&amp;TEXT(MONTH($A356),"00"))</f>
        <v/>
      </c>
    </row>
    <row r="357">
      <c r="A357" s="53" t="n"/>
      <c r="B357" s="52" t="n"/>
      <c r="C357" s="52" t="n"/>
      <c r="D357" s="52" t="n"/>
      <c r="E357" s="58">
        <f>IFERROR(VLOOKUP(D357,Maestro_SKU!$A$2:$P$500,2,FALSE),"")</f>
        <v/>
      </c>
      <c r="F357" s="52" t="n"/>
      <c r="G357" s="60" t="n"/>
      <c r="H357" s="52" t="n"/>
      <c r="I357" s="52" t="n"/>
      <c r="J357" s="52" t="n"/>
      <c r="K357" s="68">
        <f>IF($A357="","",YEAR($A357))</f>
        <v/>
      </c>
      <c r="L357" s="68">
        <f>IF($A357="","",MONTH($A357))</f>
        <v/>
      </c>
      <c r="M357" s="68">
        <f>IF($A357="","",DAY($A357))</f>
        <v/>
      </c>
      <c r="N357" s="68">
        <f>IF($A357="","",YEAR($A357)&amp;"-"&amp;TEXT(MONTH($A357),"00"))</f>
        <v/>
      </c>
    </row>
    <row r="358">
      <c r="A358" s="53" t="n"/>
      <c r="B358" s="52" t="n"/>
      <c r="C358" s="52" t="n"/>
      <c r="D358" s="52" t="n"/>
      <c r="E358" s="58">
        <f>IFERROR(VLOOKUP(D358,Maestro_SKU!$A$2:$P$500,2,FALSE),"")</f>
        <v/>
      </c>
      <c r="F358" s="52" t="n"/>
      <c r="G358" s="60" t="n"/>
      <c r="H358" s="52" t="n"/>
      <c r="I358" s="52" t="n"/>
      <c r="J358" s="52" t="n"/>
      <c r="K358" s="68">
        <f>IF($A358="","",YEAR($A358))</f>
        <v/>
      </c>
      <c r="L358" s="68">
        <f>IF($A358="","",MONTH($A358))</f>
        <v/>
      </c>
      <c r="M358" s="68">
        <f>IF($A358="","",DAY($A358))</f>
        <v/>
      </c>
      <c r="N358" s="68">
        <f>IF($A358="","",YEAR($A358)&amp;"-"&amp;TEXT(MONTH($A358),"00"))</f>
        <v/>
      </c>
    </row>
    <row r="359">
      <c r="A359" s="53" t="n"/>
      <c r="B359" s="52" t="n"/>
      <c r="C359" s="52" t="n"/>
      <c r="D359" s="52" t="n"/>
      <c r="E359" s="58">
        <f>IFERROR(VLOOKUP(D359,Maestro_SKU!$A$2:$P$500,2,FALSE),"")</f>
        <v/>
      </c>
      <c r="F359" s="52" t="n"/>
      <c r="G359" s="60" t="n"/>
      <c r="H359" s="52" t="n"/>
      <c r="I359" s="52" t="n"/>
      <c r="J359" s="52" t="n"/>
      <c r="K359" s="68">
        <f>IF($A359="","",YEAR($A359))</f>
        <v/>
      </c>
      <c r="L359" s="68">
        <f>IF($A359="","",MONTH($A359))</f>
        <v/>
      </c>
      <c r="M359" s="68">
        <f>IF($A359="","",DAY($A359))</f>
        <v/>
      </c>
      <c r="N359" s="68">
        <f>IF($A359="","",YEAR($A359)&amp;"-"&amp;TEXT(MONTH($A359),"00"))</f>
        <v/>
      </c>
    </row>
    <row r="360">
      <c r="A360" s="53" t="n"/>
      <c r="B360" s="52" t="n"/>
      <c r="C360" s="52" t="n"/>
      <c r="D360" s="52" t="n"/>
      <c r="E360" s="58">
        <f>IFERROR(VLOOKUP(D360,Maestro_SKU!$A$2:$P$500,2,FALSE),"")</f>
        <v/>
      </c>
      <c r="F360" s="52" t="n"/>
      <c r="G360" s="60" t="n"/>
      <c r="H360" s="52" t="n"/>
      <c r="I360" s="52" t="n"/>
      <c r="J360" s="52" t="n"/>
      <c r="K360" s="68">
        <f>IF($A360="","",YEAR($A360))</f>
        <v/>
      </c>
      <c r="L360" s="68">
        <f>IF($A360="","",MONTH($A360))</f>
        <v/>
      </c>
      <c r="M360" s="68">
        <f>IF($A360="","",DAY($A360))</f>
        <v/>
      </c>
      <c r="N360" s="68">
        <f>IF($A360="","",YEAR($A360)&amp;"-"&amp;TEXT(MONTH($A360),"00"))</f>
        <v/>
      </c>
    </row>
    <row r="361">
      <c r="A361" s="53" t="n"/>
      <c r="B361" s="52" t="n"/>
      <c r="C361" s="52" t="n"/>
      <c r="D361" s="52" t="n"/>
      <c r="E361" s="58">
        <f>IFERROR(VLOOKUP(D361,Maestro_SKU!$A$2:$P$500,2,FALSE),"")</f>
        <v/>
      </c>
      <c r="F361" s="52" t="n"/>
      <c r="G361" s="60" t="n"/>
      <c r="H361" s="52" t="n"/>
      <c r="I361" s="52" t="n"/>
      <c r="J361" s="52" t="n"/>
      <c r="K361" s="68">
        <f>IF($A361="","",YEAR($A361))</f>
        <v/>
      </c>
      <c r="L361" s="68">
        <f>IF($A361="","",MONTH($A361))</f>
        <v/>
      </c>
      <c r="M361" s="68">
        <f>IF($A361="","",DAY($A361))</f>
        <v/>
      </c>
      <c r="N361" s="68">
        <f>IF($A361="","",YEAR($A361)&amp;"-"&amp;TEXT(MONTH($A361),"00"))</f>
        <v/>
      </c>
    </row>
    <row r="362">
      <c r="A362" s="53" t="n"/>
      <c r="B362" s="52" t="n"/>
      <c r="C362" s="52" t="n"/>
      <c r="D362" s="52" t="n"/>
      <c r="E362" s="58">
        <f>IFERROR(VLOOKUP(D362,Maestro_SKU!$A$2:$P$500,2,FALSE),"")</f>
        <v/>
      </c>
      <c r="F362" s="52" t="n"/>
      <c r="G362" s="60" t="n"/>
      <c r="H362" s="52" t="n"/>
      <c r="I362" s="52" t="n"/>
      <c r="J362" s="52" t="n"/>
      <c r="K362" s="68">
        <f>IF($A362="","",YEAR($A362))</f>
        <v/>
      </c>
      <c r="L362" s="68">
        <f>IF($A362="","",MONTH($A362))</f>
        <v/>
      </c>
      <c r="M362" s="68">
        <f>IF($A362="","",DAY($A362))</f>
        <v/>
      </c>
      <c r="N362" s="68">
        <f>IF($A362="","",YEAR($A362)&amp;"-"&amp;TEXT(MONTH($A362),"00"))</f>
        <v/>
      </c>
    </row>
    <row r="363">
      <c r="A363" s="53" t="n"/>
      <c r="B363" s="52" t="n"/>
      <c r="C363" s="52" t="n"/>
      <c r="D363" s="52" t="n"/>
      <c r="E363" s="58">
        <f>IFERROR(VLOOKUP(D363,Maestro_SKU!$A$2:$P$500,2,FALSE),"")</f>
        <v/>
      </c>
      <c r="F363" s="52" t="n"/>
      <c r="G363" s="60" t="n"/>
      <c r="H363" s="52" t="n"/>
      <c r="I363" s="52" t="n"/>
      <c r="J363" s="52" t="n"/>
      <c r="K363" s="68">
        <f>IF($A363="","",YEAR($A363))</f>
        <v/>
      </c>
      <c r="L363" s="68">
        <f>IF($A363="","",MONTH($A363))</f>
        <v/>
      </c>
      <c r="M363" s="68">
        <f>IF($A363="","",DAY($A363))</f>
        <v/>
      </c>
      <c r="N363" s="68">
        <f>IF($A363="","",YEAR($A363)&amp;"-"&amp;TEXT(MONTH($A363),"00"))</f>
        <v/>
      </c>
    </row>
    <row r="364">
      <c r="A364" s="53" t="n"/>
      <c r="B364" s="52" t="n"/>
      <c r="C364" s="52" t="n"/>
      <c r="D364" s="52" t="n"/>
      <c r="E364" s="58">
        <f>IFERROR(VLOOKUP(D364,Maestro_SKU!$A$2:$P$500,2,FALSE),"")</f>
        <v/>
      </c>
      <c r="F364" s="52" t="n"/>
      <c r="G364" s="60" t="n"/>
      <c r="H364" s="52" t="n"/>
      <c r="I364" s="52" t="n"/>
      <c r="J364" s="52" t="n"/>
      <c r="K364" s="68">
        <f>IF($A364="","",YEAR($A364))</f>
        <v/>
      </c>
      <c r="L364" s="68">
        <f>IF($A364="","",MONTH($A364))</f>
        <v/>
      </c>
      <c r="M364" s="68">
        <f>IF($A364="","",DAY($A364))</f>
        <v/>
      </c>
      <c r="N364" s="68">
        <f>IF($A364="","",YEAR($A364)&amp;"-"&amp;TEXT(MONTH($A364),"00"))</f>
        <v/>
      </c>
    </row>
    <row r="365">
      <c r="A365" s="53" t="n"/>
      <c r="B365" s="52" t="n"/>
      <c r="C365" s="52" t="n"/>
      <c r="D365" s="52" t="n"/>
      <c r="E365" s="58">
        <f>IFERROR(VLOOKUP(D365,Maestro_SKU!$A$2:$P$500,2,FALSE),"")</f>
        <v/>
      </c>
      <c r="F365" s="52" t="n"/>
      <c r="G365" s="60" t="n"/>
      <c r="H365" s="52" t="n"/>
      <c r="I365" s="52" t="n"/>
      <c r="J365" s="52" t="n"/>
      <c r="K365" s="68">
        <f>IF($A365="","",YEAR($A365))</f>
        <v/>
      </c>
      <c r="L365" s="68">
        <f>IF($A365="","",MONTH($A365))</f>
        <v/>
      </c>
      <c r="M365" s="68">
        <f>IF($A365="","",DAY($A365))</f>
        <v/>
      </c>
      <c r="N365" s="68">
        <f>IF($A365="","",YEAR($A365)&amp;"-"&amp;TEXT(MONTH($A365),"00"))</f>
        <v/>
      </c>
    </row>
    <row r="366">
      <c r="A366" s="53" t="n"/>
      <c r="B366" s="52" t="n"/>
      <c r="C366" s="52" t="n"/>
      <c r="D366" s="52" t="n"/>
      <c r="E366" s="58">
        <f>IFERROR(VLOOKUP(D366,Maestro_SKU!$A$2:$P$500,2,FALSE),"")</f>
        <v/>
      </c>
      <c r="F366" s="52" t="n"/>
      <c r="G366" s="60" t="n"/>
      <c r="H366" s="52" t="n"/>
      <c r="I366" s="52" t="n"/>
      <c r="J366" s="52" t="n"/>
      <c r="K366" s="68">
        <f>IF($A366="","",YEAR($A366))</f>
        <v/>
      </c>
      <c r="L366" s="68">
        <f>IF($A366="","",MONTH($A366))</f>
        <v/>
      </c>
      <c r="M366" s="68">
        <f>IF($A366="","",DAY($A366))</f>
        <v/>
      </c>
      <c r="N366" s="68">
        <f>IF($A366="","",YEAR($A366)&amp;"-"&amp;TEXT(MONTH($A366),"00"))</f>
        <v/>
      </c>
    </row>
    <row r="367">
      <c r="A367" s="53" t="n"/>
      <c r="B367" s="52" t="n"/>
      <c r="C367" s="52" t="n"/>
      <c r="D367" s="52" t="n"/>
      <c r="E367" s="58">
        <f>IFERROR(VLOOKUP(D367,Maestro_SKU!$A$2:$P$500,2,FALSE),"")</f>
        <v/>
      </c>
      <c r="F367" s="52" t="n"/>
      <c r="G367" s="60" t="n"/>
      <c r="H367" s="52" t="n"/>
      <c r="I367" s="52" t="n"/>
      <c r="J367" s="52" t="n"/>
      <c r="K367" s="68">
        <f>IF($A367="","",YEAR($A367))</f>
        <v/>
      </c>
      <c r="L367" s="68">
        <f>IF($A367="","",MONTH($A367))</f>
        <v/>
      </c>
      <c r="M367" s="68">
        <f>IF($A367="","",DAY($A367))</f>
        <v/>
      </c>
      <c r="N367" s="68">
        <f>IF($A367="","",YEAR($A367)&amp;"-"&amp;TEXT(MONTH($A367),"00"))</f>
        <v/>
      </c>
    </row>
    <row r="368">
      <c r="A368" s="53" t="n"/>
      <c r="B368" s="52" t="n"/>
      <c r="C368" s="52" t="n"/>
      <c r="D368" s="52" t="n"/>
      <c r="E368" s="58">
        <f>IFERROR(VLOOKUP(D368,Maestro_SKU!$A$2:$P$500,2,FALSE),"")</f>
        <v/>
      </c>
      <c r="F368" s="52" t="n"/>
      <c r="G368" s="60" t="n"/>
      <c r="H368" s="52" t="n"/>
      <c r="I368" s="52" t="n"/>
      <c r="J368" s="52" t="n"/>
      <c r="K368" s="68">
        <f>IF($A368="","",YEAR($A368))</f>
        <v/>
      </c>
      <c r="L368" s="68">
        <f>IF($A368="","",MONTH($A368))</f>
        <v/>
      </c>
      <c r="M368" s="68">
        <f>IF($A368="","",DAY($A368))</f>
        <v/>
      </c>
      <c r="N368" s="68">
        <f>IF($A368="","",YEAR($A368)&amp;"-"&amp;TEXT(MONTH($A368),"00"))</f>
        <v/>
      </c>
    </row>
    <row r="369">
      <c r="A369" s="53" t="n"/>
      <c r="B369" s="52" t="n"/>
      <c r="C369" s="52" t="n"/>
      <c r="D369" s="52" t="n"/>
      <c r="E369" s="58">
        <f>IFERROR(VLOOKUP(D369,Maestro_SKU!$A$2:$P$500,2,FALSE),"")</f>
        <v/>
      </c>
      <c r="F369" s="52" t="n"/>
      <c r="G369" s="60" t="n"/>
      <c r="H369" s="52" t="n"/>
      <c r="I369" s="52" t="n"/>
      <c r="J369" s="52" t="n"/>
      <c r="K369" s="68">
        <f>IF($A369="","",YEAR($A369))</f>
        <v/>
      </c>
      <c r="L369" s="68">
        <f>IF($A369="","",MONTH($A369))</f>
        <v/>
      </c>
      <c r="M369" s="68">
        <f>IF($A369="","",DAY($A369))</f>
        <v/>
      </c>
      <c r="N369" s="68">
        <f>IF($A369="","",YEAR($A369)&amp;"-"&amp;TEXT(MONTH($A369),"00"))</f>
        <v/>
      </c>
    </row>
    <row r="370">
      <c r="A370" s="53" t="n"/>
      <c r="B370" s="52" t="n"/>
      <c r="C370" s="52" t="n"/>
      <c r="D370" s="52" t="n"/>
      <c r="E370" s="58">
        <f>IFERROR(VLOOKUP(D370,Maestro_SKU!$A$2:$P$500,2,FALSE),"")</f>
        <v/>
      </c>
      <c r="F370" s="52" t="n"/>
      <c r="G370" s="60" t="n"/>
      <c r="H370" s="52" t="n"/>
      <c r="I370" s="52" t="n"/>
      <c r="J370" s="52" t="n"/>
      <c r="K370" s="68">
        <f>IF($A370="","",YEAR($A370))</f>
        <v/>
      </c>
      <c r="L370" s="68">
        <f>IF($A370="","",MONTH($A370))</f>
        <v/>
      </c>
      <c r="M370" s="68">
        <f>IF($A370="","",DAY($A370))</f>
        <v/>
      </c>
      <c r="N370" s="68">
        <f>IF($A370="","",YEAR($A370)&amp;"-"&amp;TEXT(MONTH($A370),"00"))</f>
        <v/>
      </c>
    </row>
    <row r="371">
      <c r="A371" s="53" t="n"/>
      <c r="B371" s="52" t="n"/>
      <c r="C371" s="52" t="n"/>
      <c r="D371" s="52" t="n"/>
      <c r="E371" s="58">
        <f>IFERROR(VLOOKUP(D371,Maestro_SKU!$A$2:$P$500,2,FALSE),"")</f>
        <v/>
      </c>
      <c r="F371" s="52" t="n"/>
      <c r="G371" s="60" t="n"/>
      <c r="H371" s="52" t="n"/>
      <c r="I371" s="52" t="n"/>
      <c r="J371" s="52" t="n"/>
      <c r="K371" s="68">
        <f>IF($A371="","",YEAR($A371))</f>
        <v/>
      </c>
      <c r="L371" s="68">
        <f>IF($A371="","",MONTH($A371))</f>
        <v/>
      </c>
      <c r="M371" s="68">
        <f>IF($A371="","",DAY($A371))</f>
        <v/>
      </c>
      <c r="N371" s="68">
        <f>IF($A371="","",YEAR($A371)&amp;"-"&amp;TEXT(MONTH($A371),"00"))</f>
        <v/>
      </c>
    </row>
    <row r="372">
      <c r="A372" s="53" t="n"/>
      <c r="B372" s="52" t="n"/>
      <c r="C372" s="52" t="n"/>
      <c r="D372" s="52" t="n"/>
      <c r="E372" s="58">
        <f>IFERROR(VLOOKUP(D372,Maestro_SKU!$A$2:$P$500,2,FALSE),"")</f>
        <v/>
      </c>
      <c r="F372" s="52" t="n"/>
      <c r="G372" s="60" t="n"/>
      <c r="H372" s="52" t="n"/>
      <c r="I372" s="52" t="n"/>
      <c r="J372" s="52" t="n"/>
      <c r="K372" s="68">
        <f>IF($A372="","",YEAR($A372))</f>
        <v/>
      </c>
      <c r="L372" s="68">
        <f>IF($A372="","",MONTH($A372))</f>
        <v/>
      </c>
      <c r="M372" s="68">
        <f>IF($A372="","",DAY($A372))</f>
        <v/>
      </c>
      <c r="N372" s="68">
        <f>IF($A372="","",YEAR($A372)&amp;"-"&amp;TEXT(MONTH($A372),"00"))</f>
        <v/>
      </c>
    </row>
    <row r="373">
      <c r="A373" s="53" t="n"/>
      <c r="B373" s="52" t="n"/>
      <c r="C373" s="52" t="n"/>
      <c r="D373" s="52" t="n"/>
      <c r="E373" s="58">
        <f>IFERROR(VLOOKUP(D373,Maestro_SKU!$A$2:$P$500,2,FALSE),"")</f>
        <v/>
      </c>
      <c r="F373" s="52" t="n"/>
      <c r="G373" s="60" t="n"/>
      <c r="H373" s="52" t="n"/>
      <c r="I373" s="52" t="n"/>
      <c r="J373" s="52" t="n"/>
      <c r="K373" s="68">
        <f>IF($A373="","",YEAR($A373))</f>
        <v/>
      </c>
      <c r="L373" s="68">
        <f>IF($A373="","",MONTH($A373))</f>
        <v/>
      </c>
      <c r="M373" s="68">
        <f>IF($A373="","",DAY($A373))</f>
        <v/>
      </c>
      <c r="N373" s="68">
        <f>IF($A373="","",YEAR($A373)&amp;"-"&amp;TEXT(MONTH($A373),"00"))</f>
        <v/>
      </c>
    </row>
    <row r="374">
      <c r="A374" s="53" t="n"/>
      <c r="B374" s="52" t="n"/>
      <c r="C374" s="52" t="n"/>
      <c r="D374" s="52" t="n"/>
      <c r="E374" s="58">
        <f>IFERROR(VLOOKUP(D374,Maestro_SKU!$A$2:$P$500,2,FALSE),"")</f>
        <v/>
      </c>
      <c r="F374" s="52" t="n"/>
      <c r="G374" s="60" t="n"/>
      <c r="H374" s="52" t="n"/>
      <c r="I374" s="52" t="n"/>
      <c r="J374" s="52" t="n"/>
      <c r="K374" s="68">
        <f>IF($A374="","",YEAR($A374))</f>
        <v/>
      </c>
      <c r="L374" s="68">
        <f>IF($A374="","",MONTH($A374))</f>
        <v/>
      </c>
      <c r="M374" s="68">
        <f>IF($A374="","",DAY($A374))</f>
        <v/>
      </c>
      <c r="N374" s="68">
        <f>IF($A374="","",YEAR($A374)&amp;"-"&amp;TEXT(MONTH($A374),"00"))</f>
        <v/>
      </c>
    </row>
    <row r="375">
      <c r="A375" s="53" t="n"/>
      <c r="B375" s="52" t="n"/>
      <c r="C375" s="52" t="n"/>
      <c r="D375" s="52" t="n"/>
      <c r="E375" s="58">
        <f>IFERROR(VLOOKUP(D375,Maestro_SKU!$A$2:$P$500,2,FALSE),"")</f>
        <v/>
      </c>
      <c r="F375" s="52" t="n"/>
      <c r="G375" s="60" t="n"/>
      <c r="H375" s="52" t="n"/>
      <c r="I375" s="52" t="n"/>
      <c r="J375" s="52" t="n"/>
      <c r="K375" s="68">
        <f>IF($A375="","",YEAR($A375))</f>
        <v/>
      </c>
      <c r="L375" s="68">
        <f>IF($A375="","",MONTH($A375))</f>
        <v/>
      </c>
      <c r="M375" s="68">
        <f>IF($A375="","",DAY($A375))</f>
        <v/>
      </c>
      <c r="N375" s="68">
        <f>IF($A375="","",YEAR($A375)&amp;"-"&amp;TEXT(MONTH($A375),"00"))</f>
        <v/>
      </c>
    </row>
    <row r="376">
      <c r="A376" s="53" t="n"/>
      <c r="B376" s="52" t="n"/>
      <c r="C376" s="52" t="n"/>
      <c r="D376" s="52" t="n"/>
      <c r="E376" s="58">
        <f>IFERROR(VLOOKUP(D376,Maestro_SKU!$A$2:$P$500,2,FALSE),"")</f>
        <v/>
      </c>
      <c r="F376" s="52" t="n"/>
      <c r="G376" s="60" t="n"/>
      <c r="H376" s="52" t="n"/>
      <c r="I376" s="52" t="n"/>
      <c r="J376" s="52" t="n"/>
      <c r="K376" s="68">
        <f>IF($A376="","",YEAR($A376))</f>
        <v/>
      </c>
      <c r="L376" s="68">
        <f>IF($A376="","",MONTH($A376))</f>
        <v/>
      </c>
      <c r="M376" s="68">
        <f>IF($A376="","",DAY($A376))</f>
        <v/>
      </c>
      <c r="N376" s="68">
        <f>IF($A376="","",YEAR($A376)&amp;"-"&amp;TEXT(MONTH($A376),"00"))</f>
        <v/>
      </c>
    </row>
    <row r="377">
      <c r="A377" s="53" t="n"/>
      <c r="B377" s="52" t="n"/>
      <c r="C377" s="52" t="n"/>
      <c r="D377" s="52" t="n"/>
      <c r="E377" s="58">
        <f>IFERROR(VLOOKUP(D377,Maestro_SKU!$A$2:$P$500,2,FALSE),"")</f>
        <v/>
      </c>
      <c r="F377" s="52" t="n"/>
      <c r="G377" s="60" t="n"/>
      <c r="H377" s="52" t="n"/>
      <c r="I377" s="52" t="n"/>
      <c r="J377" s="52" t="n"/>
      <c r="K377" s="68">
        <f>IF($A377="","",YEAR($A377))</f>
        <v/>
      </c>
      <c r="L377" s="68">
        <f>IF($A377="","",MONTH($A377))</f>
        <v/>
      </c>
      <c r="M377" s="68">
        <f>IF($A377="","",DAY($A377))</f>
        <v/>
      </c>
      <c r="N377" s="68">
        <f>IF($A377="","",YEAR($A377)&amp;"-"&amp;TEXT(MONTH($A377),"00"))</f>
        <v/>
      </c>
    </row>
    <row r="378">
      <c r="A378" s="53" t="n"/>
      <c r="B378" s="52" t="n"/>
      <c r="C378" s="52" t="n"/>
      <c r="D378" s="52" t="n"/>
      <c r="E378" s="58">
        <f>IFERROR(VLOOKUP(D378,Maestro_SKU!$A$2:$P$500,2,FALSE),"")</f>
        <v/>
      </c>
      <c r="F378" s="52" t="n"/>
      <c r="G378" s="60" t="n"/>
      <c r="H378" s="52" t="n"/>
      <c r="I378" s="52" t="n"/>
      <c r="J378" s="52" t="n"/>
      <c r="K378" s="68">
        <f>IF($A378="","",YEAR($A378))</f>
        <v/>
      </c>
      <c r="L378" s="68">
        <f>IF($A378="","",MONTH($A378))</f>
        <v/>
      </c>
      <c r="M378" s="68">
        <f>IF($A378="","",DAY($A378))</f>
        <v/>
      </c>
      <c r="N378" s="68">
        <f>IF($A378="","",YEAR($A378)&amp;"-"&amp;TEXT(MONTH($A378),"00"))</f>
        <v/>
      </c>
    </row>
    <row r="379">
      <c r="A379" s="53" t="n"/>
      <c r="B379" s="52" t="n"/>
      <c r="C379" s="52" t="n"/>
      <c r="D379" s="52" t="n"/>
      <c r="E379" s="58">
        <f>IFERROR(VLOOKUP(D379,Maestro_SKU!$A$2:$P$500,2,FALSE),"")</f>
        <v/>
      </c>
      <c r="F379" s="52" t="n"/>
      <c r="G379" s="60" t="n"/>
      <c r="H379" s="52" t="n"/>
      <c r="I379" s="52" t="n"/>
      <c r="J379" s="52" t="n"/>
      <c r="K379" s="68">
        <f>IF($A379="","",YEAR($A379))</f>
        <v/>
      </c>
      <c r="L379" s="68">
        <f>IF($A379="","",MONTH($A379))</f>
        <v/>
      </c>
      <c r="M379" s="68">
        <f>IF($A379="","",DAY($A379))</f>
        <v/>
      </c>
      <c r="N379" s="68">
        <f>IF($A379="","",YEAR($A379)&amp;"-"&amp;TEXT(MONTH($A379),"00"))</f>
        <v/>
      </c>
    </row>
    <row r="380">
      <c r="A380" s="53" t="n"/>
      <c r="B380" s="52" t="n"/>
      <c r="C380" s="52" t="n"/>
      <c r="D380" s="52" t="n"/>
      <c r="E380" s="58">
        <f>IFERROR(VLOOKUP(D380,Maestro_SKU!$A$2:$P$500,2,FALSE),"")</f>
        <v/>
      </c>
      <c r="F380" s="52" t="n"/>
      <c r="G380" s="60" t="n"/>
      <c r="H380" s="52" t="n"/>
      <c r="I380" s="52" t="n"/>
      <c r="J380" s="52" t="n"/>
      <c r="K380" s="68">
        <f>IF($A380="","",YEAR($A380))</f>
        <v/>
      </c>
      <c r="L380" s="68">
        <f>IF($A380="","",MONTH($A380))</f>
        <v/>
      </c>
      <c r="M380" s="68">
        <f>IF($A380="","",DAY($A380))</f>
        <v/>
      </c>
      <c r="N380" s="68">
        <f>IF($A380="","",YEAR($A380)&amp;"-"&amp;TEXT(MONTH($A380),"00"))</f>
        <v/>
      </c>
    </row>
    <row r="381">
      <c r="A381" s="53" t="n"/>
      <c r="B381" s="52" t="n"/>
      <c r="C381" s="52" t="n"/>
      <c r="D381" s="52" t="n"/>
      <c r="E381" s="58">
        <f>IFERROR(VLOOKUP(D381,Maestro_SKU!$A$2:$P$500,2,FALSE),"")</f>
        <v/>
      </c>
      <c r="F381" s="52" t="n"/>
      <c r="G381" s="60" t="n"/>
      <c r="H381" s="52" t="n"/>
      <c r="I381" s="52" t="n"/>
      <c r="J381" s="52" t="n"/>
      <c r="K381" s="68">
        <f>IF($A381="","",YEAR($A381))</f>
        <v/>
      </c>
      <c r="L381" s="68">
        <f>IF($A381="","",MONTH($A381))</f>
        <v/>
      </c>
      <c r="M381" s="68">
        <f>IF($A381="","",DAY($A381))</f>
        <v/>
      </c>
      <c r="N381" s="68">
        <f>IF($A381="","",YEAR($A381)&amp;"-"&amp;TEXT(MONTH($A381),"00"))</f>
        <v/>
      </c>
    </row>
    <row r="382">
      <c r="A382" s="53" t="n"/>
      <c r="B382" s="52" t="n"/>
      <c r="C382" s="52" t="n"/>
      <c r="D382" s="52" t="n"/>
      <c r="E382" s="58">
        <f>IFERROR(VLOOKUP(D382,Maestro_SKU!$A$2:$P$500,2,FALSE),"")</f>
        <v/>
      </c>
      <c r="F382" s="52" t="n"/>
      <c r="G382" s="60" t="n"/>
      <c r="H382" s="52" t="n"/>
      <c r="I382" s="52" t="n"/>
      <c r="J382" s="52" t="n"/>
      <c r="K382" s="68">
        <f>IF($A382="","",YEAR($A382))</f>
        <v/>
      </c>
      <c r="L382" s="68">
        <f>IF($A382="","",MONTH($A382))</f>
        <v/>
      </c>
      <c r="M382" s="68">
        <f>IF($A382="","",DAY($A382))</f>
        <v/>
      </c>
      <c r="N382" s="68">
        <f>IF($A382="","",YEAR($A382)&amp;"-"&amp;TEXT(MONTH($A382),"00"))</f>
        <v/>
      </c>
    </row>
    <row r="383">
      <c r="A383" s="53" t="n"/>
      <c r="B383" s="52" t="n"/>
      <c r="C383" s="52" t="n"/>
      <c r="D383" s="52" t="n"/>
      <c r="E383" s="58">
        <f>IFERROR(VLOOKUP(D383,Maestro_SKU!$A$2:$P$500,2,FALSE),"")</f>
        <v/>
      </c>
      <c r="F383" s="52" t="n"/>
      <c r="G383" s="60" t="n"/>
      <c r="H383" s="52" t="n"/>
      <c r="I383" s="52" t="n"/>
      <c r="J383" s="52" t="n"/>
      <c r="K383" s="68">
        <f>IF($A383="","",YEAR($A383))</f>
        <v/>
      </c>
      <c r="L383" s="68">
        <f>IF($A383="","",MONTH($A383))</f>
        <v/>
      </c>
      <c r="M383" s="68">
        <f>IF($A383="","",DAY($A383))</f>
        <v/>
      </c>
      <c r="N383" s="68">
        <f>IF($A383="","",YEAR($A383)&amp;"-"&amp;TEXT(MONTH($A383),"00"))</f>
        <v/>
      </c>
    </row>
    <row r="384">
      <c r="A384" s="53" t="n"/>
      <c r="B384" s="52" t="n"/>
      <c r="C384" s="52" t="n"/>
      <c r="D384" s="52" t="n"/>
      <c r="E384" s="58">
        <f>IFERROR(VLOOKUP(D384,Maestro_SKU!$A$2:$P$500,2,FALSE),"")</f>
        <v/>
      </c>
      <c r="F384" s="52" t="n"/>
      <c r="G384" s="60" t="n"/>
      <c r="H384" s="52" t="n"/>
      <c r="I384" s="52" t="n"/>
      <c r="J384" s="52" t="n"/>
      <c r="K384" s="68">
        <f>IF($A384="","",YEAR($A384))</f>
        <v/>
      </c>
      <c r="L384" s="68">
        <f>IF($A384="","",MONTH($A384))</f>
        <v/>
      </c>
      <c r="M384" s="68">
        <f>IF($A384="","",DAY($A384))</f>
        <v/>
      </c>
      <c r="N384" s="68">
        <f>IF($A384="","",YEAR($A384)&amp;"-"&amp;TEXT(MONTH($A384),"00"))</f>
        <v/>
      </c>
    </row>
    <row r="385">
      <c r="A385" s="53" t="n"/>
      <c r="B385" s="52" t="n"/>
      <c r="C385" s="52" t="n"/>
      <c r="D385" s="52" t="n"/>
      <c r="E385" s="58">
        <f>IFERROR(VLOOKUP(D385,Maestro_SKU!$A$2:$P$500,2,FALSE),"")</f>
        <v/>
      </c>
      <c r="F385" s="52" t="n"/>
      <c r="G385" s="60" t="n"/>
      <c r="H385" s="52" t="n"/>
      <c r="I385" s="52" t="n"/>
      <c r="J385" s="52" t="n"/>
      <c r="K385" s="68">
        <f>IF($A385="","",YEAR($A385))</f>
        <v/>
      </c>
      <c r="L385" s="68">
        <f>IF($A385="","",MONTH($A385))</f>
        <v/>
      </c>
      <c r="M385" s="68">
        <f>IF($A385="","",DAY($A385))</f>
        <v/>
      </c>
      <c r="N385" s="68">
        <f>IF($A385="","",YEAR($A385)&amp;"-"&amp;TEXT(MONTH($A385),"00"))</f>
        <v/>
      </c>
    </row>
    <row r="386">
      <c r="A386" s="53" t="n"/>
      <c r="B386" s="52" t="n"/>
      <c r="C386" s="52" t="n"/>
      <c r="D386" s="52" t="n"/>
      <c r="E386" s="58">
        <f>IFERROR(VLOOKUP(D386,Maestro_SKU!$A$2:$P$500,2,FALSE),"")</f>
        <v/>
      </c>
      <c r="F386" s="52" t="n"/>
      <c r="G386" s="60" t="n"/>
      <c r="H386" s="52" t="n"/>
      <c r="I386" s="52" t="n"/>
      <c r="J386" s="52" t="n"/>
      <c r="K386" s="68">
        <f>IF($A386="","",YEAR($A386))</f>
        <v/>
      </c>
      <c r="L386" s="68">
        <f>IF($A386="","",MONTH($A386))</f>
        <v/>
      </c>
      <c r="M386" s="68">
        <f>IF($A386="","",DAY($A386))</f>
        <v/>
      </c>
      <c r="N386" s="68">
        <f>IF($A386="","",YEAR($A386)&amp;"-"&amp;TEXT(MONTH($A386),"00"))</f>
        <v/>
      </c>
    </row>
    <row r="387">
      <c r="A387" s="53" t="n"/>
      <c r="B387" s="52" t="n"/>
      <c r="C387" s="52" t="n"/>
      <c r="D387" s="52" t="n"/>
      <c r="E387" s="58">
        <f>IFERROR(VLOOKUP(D387,Maestro_SKU!$A$2:$P$500,2,FALSE),"")</f>
        <v/>
      </c>
      <c r="F387" s="52" t="n"/>
      <c r="G387" s="60" t="n"/>
      <c r="H387" s="52" t="n"/>
      <c r="I387" s="52" t="n"/>
      <c r="J387" s="52" t="n"/>
      <c r="K387" s="68">
        <f>IF($A387="","",YEAR($A387))</f>
        <v/>
      </c>
      <c r="L387" s="68">
        <f>IF($A387="","",MONTH($A387))</f>
        <v/>
      </c>
      <c r="M387" s="68">
        <f>IF($A387="","",DAY($A387))</f>
        <v/>
      </c>
      <c r="N387" s="68">
        <f>IF($A387="","",YEAR($A387)&amp;"-"&amp;TEXT(MONTH($A387),"00"))</f>
        <v/>
      </c>
    </row>
    <row r="388">
      <c r="A388" s="53" t="n"/>
      <c r="B388" s="52" t="n"/>
      <c r="C388" s="52" t="n"/>
      <c r="D388" s="52" t="n"/>
      <c r="E388" s="58">
        <f>IFERROR(VLOOKUP(D388,Maestro_SKU!$A$2:$P$500,2,FALSE),"")</f>
        <v/>
      </c>
      <c r="F388" s="52" t="n"/>
      <c r="G388" s="60" t="n"/>
      <c r="H388" s="52" t="n"/>
      <c r="I388" s="52" t="n"/>
      <c r="J388" s="52" t="n"/>
      <c r="K388" s="68">
        <f>IF($A388="","",YEAR($A388))</f>
        <v/>
      </c>
      <c r="L388" s="68">
        <f>IF($A388="","",MONTH($A388))</f>
        <v/>
      </c>
      <c r="M388" s="68">
        <f>IF($A388="","",DAY($A388))</f>
        <v/>
      </c>
      <c r="N388" s="68">
        <f>IF($A388="","",YEAR($A388)&amp;"-"&amp;TEXT(MONTH($A388),"00"))</f>
        <v/>
      </c>
    </row>
    <row r="389">
      <c r="A389" s="53" t="n"/>
      <c r="B389" s="52" t="n"/>
      <c r="C389" s="52" t="n"/>
      <c r="D389" s="52" t="n"/>
      <c r="E389" s="58">
        <f>IFERROR(VLOOKUP(D389,Maestro_SKU!$A$2:$P$500,2,FALSE),"")</f>
        <v/>
      </c>
      <c r="F389" s="52" t="n"/>
      <c r="G389" s="60" t="n"/>
      <c r="H389" s="52" t="n"/>
      <c r="I389" s="52" t="n"/>
      <c r="J389" s="52" t="n"/>
      <c r="K389" s="68">
        <f>IF($A389="","",YEAR($A389))</f>
        <v/>
      </c>
      <c r="L389" s="68">
        <f>IF($A389="","",MONTH($A389))</f>
        <v/>
      </c>
      <c r="M389" s="68">
        <f>IF($A389="","",DAY($A389))</f>
        <v/>
      </c>
      <c r="N389" s="68">
        <f>IF($A389="","",YEAR($A389)&amp;"-"&amp;TEXT(MONTH($A389),"00"))</f>
        <v/>
      </c>
    </row>
    <row r="390">
      <c r="A390" s="53" t="n"/>
      <c r="B390" s="52" t="n"/>
      <c r="C390" s="52" t="n"/>
      <c r="D390" s="52" t="n"/>
      <c r="E390" s="58">
        <f>IFERROR(VLOOKUP(D390,Maestro_SKU!$A$2:$P$500,2,FALSE),"")</f>
        <v/>
      </c>
      <c r="F390" s="52" t="n"/>
      <c r="G390" s="60" t="n"/>
      <c r="H390" s="52" t="n"/>
      <c r="I390" s="52" t="n"/>
      <c r="J390" s="52" t="n"/>
      <c r="K390" s="68">
        <f>IF($A390="","",YEAR($A390))</f>
        <v/>
      </c>
      <c r="L390" s="68">
        <f>IF($A390="","",MONTH($A390))</f>
        <v/>
      </c>
      <c r="M390" s="68">
        <f>IF($A390="","",DAY($A390))</f>
        <v/>
      </c>
      <c r="N390" s="68">
        <f>IF($A390="","",YEAR($A390)&amp;"-"&amp;TEXT(MONTH($A390),"00"))</f>
        <v/>
      </c>
    </row>
    <row r="391">
      <c r="A391" s="53" t="n"/>
      <c r="B391" s="52" t="n"/>
      <c r="C391" s="52" t="n"/>
      <c r="D391" s="52" t="n"/>
      <c r="E391" s="58">
        <f>IFERROR(VLOOKUP(D391,Maestro_SKU!$A$2:$P$500,2,FALSE),"")</f>
        <v/>
      </c>
      <c r="F391" s="52" t="n"/>
      <c r="G391" s="60" t="n"/>
      <c r="H391" s="52" t="n"/>
      <c r="I391" s="52" t="n"/>
      <c r="J391" s="52" t="n"/>
      <c r="K391" s="68">
        <f>IF($A391="","",YEAR($A391))</f>
        <v/>
      </c>
      <c r="L391" s="68">
        <f>IF($A391="","",MONTH($A391))</f>
        <v/>
      </c>
      <c r="M391" s="68">
        <f>IF($A391="","",DAY($A391))</f>
        <v/>
      </c>
      <c r="N391" s="68">
        <f>IF($A391="","",YEAR($A391)&amp;"-"&amp;TEXT(MONTH($A391),"00"))</f>
        <v/>
      </c>
    </row>
    <row r="392">
      <c r="A392" s="53" t="n"/>
      <c r="B392" s="52" t="n"/>
      <c r="C392" s="52" t="n"/>
      <c r="D392" s="52" t="n"/>
      <c r="E392" s="58">
        <f>IFERROR(VLOOKUP(D392,Maestro_SKU!$A$2:$P$500,2,FALSE),"")</f>
        <v/>
      </c>
      <c r="F392" s="52" t="n"/>
      <c r="G392" s="60" t="n"/>
      <c r="H392" s="52" t="n"/>
      <c r="I392" s="52" t="n"/>
      <c r="J392" s="52" t="n"/>
      <c r="K392" s="68">
        <f>IF($A392="","",YEAR($A392))</f>
        <v/>
      </c>
      <c r="L392" s="68">
        <f>IF($A392="","",MONTH($A392))</f>
        <v/>
      </c>
      <c r="M392" s="68">
        <f>IF($A392="","",DAY($A392))</f>
        <v/>
      </c>
      <c r="N392" s="68">
        <f>IF($A392="","",YEAR($A392)&amp;"-"&amp;TEXT(MONTH($A392),"00"))</f>
        <v/>
      </c>
    </row>
    <row r="393">
      <c r="A393" s="53" t="n"/>
      <c r="B393" s="52" t="n"/>
      <c r="C393" s="52" t="n"/>
      <c r="D393" s="52" t="n"/>
      <c r="E393" s="58">
        <f>IFERROR(VLOOKUP(D393,Maestro_SKU!$A$2:$P$500,2,FALSE),"")</f>
        <v/>
      </c>
      <c r="F393" s="52" t="n"/>
      <c r="G393" s="60" t="n"/>
      <c r="H393" s="52" t="n"/>
      <c r="I393" s="52" t="n"/>
      <c r="J393" s="52" t="n"/>
      <c r="K393" s="68">
        <f>IF($A393="","",YEAR($A393))</f>
        <v/>
      </c>
      <c r="L393" s="68">
        <f>IF($A393="","",MONTH($A393))</f>
        <v/>
      </c>
      <c r="M393" s="68">
        <f>IF($A393="","",DAY($A393))</f>
        <v/>
      </c>
      <c r="N393" s="68">
        <f>IF($A393="","",YEAR($A393)&amp;"-"&amp;TEXT(MONTH($A393),"00"))</f>
        <v/>
      </c>
    </row>
    <row r="394">
      <c r="A394" s="53" t="n"/>
      <c r="B394" s="52" t="n"/>
      <c r="C394" s="52" t="n"/>
      <c r="D394" s="52" t="n"/>
      <c r="E394" s="58">
        <f>IFERROR(VLOOKUP(D394,Maestro_SKU!$A$2:$P$500,2,FALSE),"")</f>
        <v/>
      </c>
      <c r="F394" s="52" t="n"/>
      <c r="G394" s="60" t="n"/>
      <c r="H394" s="52" t="n"/>
      <c r="I394" s="52" t="n"/>
      <c r="J394" s="52" t="n"/>
      <c r="K394" s="68">
        <f>IF($A394="","",YEAR($A394))</f>
        <v/>
      </c>
      <c r="L394" s="68">
        <f>IF($A394="","",MONTH($A394))</f>
        <v/>
      </c>
      <c r="M394" s="68">
        <f>IF($A394="","",DAY($A394))</f>
        <v/>
      </c>
      <c r="N394" s="68">
        <f>IF($A394="","",YEAR($A394)&amp;"-"&amp;TEXT(MONTH($A394),"00"))</f>
        <v/>
      </c>
    </row>
    <row r="395">
      <c r="A395" s="53" t="n"/>
      <c r="B395" s="52" t="n"/>
      <c r="C395" s="52" t="n"/>
      <c r="D395" s="52" t="n"/>
      <c r="E395" s="58">
        <f>IFERROR(VLOOKUP(D395,Maestro_SKU!$A$2:$P$500,2,FALSE),"")</f>
        <v/>
      </c>
      <c r="F395" s="52" t="n"/>
      <c r="G395" s="60" t="n"/>
      <c r="H395" s="52" t="n"/>
      <c r="I395" s="52" t="n"/>
      <c r="J395" s="52" t="n"/>
      <c r="K395" s="68">
        <f>IF($A395="","",YEAR($A395))</f>
        <v/>
      </c>
      <c r="L395" s="68">
        <f>IF($A395="","",MONTH($A395))</f>
        <v/>
      </c>
      <c r="M395" s="68">
        <f>IF($A395="","",DAY($A395))</f>
        <v/>
      </c>
      <c r="N395" s="68">
        <f>IF($A395="","",YEAR($A395)&amp;"-"&amp;TEXT(MONTH($A395),"00"))</f>
        <v/>
      </c>
    </row>
    <row r="396">
      <c r="A396" s="53" t="n"/>
      <c r="B396" s="52" t="n"/>
      <c r="C396" s="52" t="n"/>
      <c r="D396" s="52" t="n"/>
      <c r="E396" s="58">
        <f>IFERROR(VLOOKUP(D396,Maestro_SKU!$A$2:$P$500,2,FALSE),"")</f>
        <v/>
      </c>
      <c r="F396" s="52" t="n"/>
      <c r="G396" s="60" t="n"/>
      <c r="H396" s="52" t="n"/>
      <c r="I396" s="52" t="n"/>
      <c r="J396" s="52" t="n"/>
      <c r="K396" s="68">
        <f>IF($A396="","",YEAR($A396))</f>
        <v/>
      </c>
      <c r="L396" s="68">
        <f>IF($A396="","",MONTH($A396))</f>
        <v/>
      </c>
      <c r="M396" s="68">
        <f>IF($A396="","",DAY($A396))</f>
        <v/>
      </c>
      <c r="N396" s="68">
        <f>IF($A396="","",YEAR($A396)&amp;"-"&amp;TEXT(MONTH($A396),"00"))</f>
        <v/>
      </c>
    </row>
    <row r="397">
      <c r="A397" s="53" t="n"/>
      <c r="B397" s="52" t="n"/>
      <c r="C397" s="52" t="n"/>
      <c r="D397" s="52" t="n"/>
      <c r="E397" s="58">
        <f>IFERROR(VLOOKUP(D397,Maestro_SKU!$A$2:$P$500,2,FALSE),"")</f>
        <v/>
      </c>
      <c r="F397" s="52" t="n"/>
      <c r="G397" s="60" t="n"/>
      <c r="H397" s="52" t="n"/>
      <c r="I397" s="52" t="n"/>
      <c r="J397" s="52" t="n"/>
      <c r="K397" s="68">
        <f>IF($A397="","",YEAR($A397))</f>
        <v/>
      </c>
      <c r="L397" s="68">
        <f>IF($A397="","",MONTH($A397))</f>
        <v/>
      </c>
      <c r="M397" s="68">
        <f>IF($A397="","",DAY($A397))</f>
        <v/>
      </c>
      <c r="N397" s="68">
        <f>IF($A397="","",YEAR($A397)&amp;"-"&amp;TEXT(MONTH($A397),"00"))</f>
        <v/>
      </c>
    </row>
    <row r="398">
      <c r="A398" s="53" t="n"/>
      <c r="B398" s="52" t="n"/>
      <c r="C398" s="52" t="n"/>
      <c r="D398" s="52" t="n"/>
      <c r="E398" s="58">
        <f>IFERROR(VLOOKUP(D398,Maestro_SKU!$A$2:$P$500,2,FALSE),"")</f>
        <v/>
      </c>
      <c r="F398" s="52" t="n"/>
      <c r="G398" s="60" t="n"/>
      <c r="H398" s="52" t="n"/>
      <c r="I398" s="52" t="n"/>
      <c r="J398" s="52" t="n"/>
      <c r="K398" s="68">
        <f>IF($A398="","",YEAR($A398))</f>
        <v/>
      </c>
      <c r="L398" s="68">
        <f>IF($A398="","",MONTH($A398))</f>
        <v/>
      </c>
      <c r="M398" s="68">
        <f>IF($A398="","",DAY($A398))</f>
        <v/>
      </c>
      <c r="N398" s="68">
        <f>IF($A398="","",YEAR($A398)&amp;"-"&amp;TEXT(MONTH($A398),"00"))</f>
        <v/>
      </c>
    </row>
    <row r="399">
      <c r="A399" s="53" t="n"/>
      <c r="B399" s="52" t="n"/>
      <c r="C399" s="52" t="n"/>
      <c r="D399" s="52" t="n"/>
      <c r="E399" s="58">
        <f>IFERROR(VLOOKUP(D399,Maestro_SKU!$A$2:$P$500,2,FALSE),"")</f>
        <v/>
      </c>
      <c r="F399" s="52" t="n"/>
      <c r="G399" s="60" t="n"/>
      <c r="H399" s="52" t="n"/>
      <c r="I399" s="52" t="n"/>
      <c r="J399" s="52" t="n"/>
      <c r="K399" s="68">
        <f>IF($A399="","",YEAR($A399))</f>
        <v/>
      </c>
      <c r="L399" s="68">
        <f>IF($A399="","",MONTH($A399))</f>
        <v/>
      </c>
      <c r="M399" s="68">
        <f>IF($A399="","",DAY($A399))</f>
        <v/>
      </c>
      <c r="N399" s="68">
        <f>IF($A399="","",YEAR($A399)&amp;"-"&amp;TEXT(MONTH($A399),"00"))</f>
        <v/>
      </c>
    </row>
    <row r="400">
      <c r="A400" s="53" t="n"/>
      <c r="B400" s="52" t="n"/>
      <c r="C400" s="52" t="n"/>
      <c r="D400" s="52" t="n"/>
      <c r="E400" s="58">
        <f>IFERROR(VLOOKUP(D400,Maestro_SKU!$A$2:$P$500,2,FALSE),"")</f>
        <v/>
      </c>
      <c r="F400" s="52" t="n"/>
      <c r="G400" s="60" t="n"/>
      <c r="H400" s="52" t="n"/>
      <c r="I400" s="52" t="n"/>
      <c r="J400" s="52" t="n"/>
      <c r="K400" s="68">
        <f>IF($A400="","",YEAR($A400))</f>
        <v/>
      </c>
      <c r="L400" s="68">
        <f>IF($A400="","",MONTH($A400))</f>
        <v/>
      </c>
      <c r="M400" s="68">
        <f>IF($A400="","",DAY($A400))</f>
        <v/>
      </c>
      <c r="N400" s="68">
        <f>IF($A400="","",YEAR($A400)&amp;"-"&amp;TEXT(MONTH($A400),"00"))</f>
        <v/>
      </c>
    </row>
    <row r="401">
      <c r="A401" s="53" t="n"/>
      <c r="B401" s="52" t="n"/>
      <c r="C401" s="52" t="n"/>
      <c r="D401" s="52" t="n"/>
      <c r="E401" s="58">
        <f>IFERROR(VLOOKUP(D401,Maestro_SKU!$A$2:$P$500,2,FALSE),"")</f>
        <v/>
      </c>
      <c r="F401" s="52" t="n"/>
      <c r="G401" s="60" t="n"/>
      <c r="H401" s="52" t="n"/>
      <c r="I401" s="52" t="n"/>
      <c r="J401" s="52" t="n"/>
      <c r="K401" s="68">
        <f>IF($A401="","",YEAR($A401))</f>
        <v/>
      </c>
      <c r="L401" s="68">
        <f>IF($A401="","",MONTH($A401))</f>
        <v/>
      </c>
      <c r="M401" s="68">
        <f>IF($A401="","",DAY($A401))</f>
        <v/>
      </c>
      <c r="N401" s="68">
        <f>IF($A401="","",YEAR($A401)&amp;"-"&amp;TEXT(MONTH($A401),"00"))</f>
        <v/>
      </c>
    </row>
    <row r="402">
      <c r="A402" s="53" t="n"/>
      <c r="B402" s="52" t="n"/>
      <c r="C402" s="52" t="n"/>
      <c r="D402" s="52" t="n"/>
      <c r="E402" s="58">
        <f>IFERROR(VLOOKUP(D402,Maestro_SKU!$A$2:$P$500,2,FALSE),"")</f>
        <v/>
      </c>
      <c r="F402" s="52" t="n"/>
      <c r="G402" s="60" t="n"/>
      <c r="H402" s="52" t="n"/>
      <c r="I402" s="52" t="n"/>
      <c r="J402" s="52" t="n"/>
      <c r="K402" s="68">
        <f>IF($A402="","",YEAR($A402))</f>
        <v/>
      </c>
      <c r="L402" s="68">
        <f>IF($A402="","",MONTH($A402))</f>
        <v/>
      </c>
      <c r="M402" s="68">
        <f>IF($A402="","",DAY($A402))</f>
        <v/>
      </c>
      <c r="N402" s="68">
        <f>IF($A402="","",YEAR($A402)&amp;"-"&amp;TEXT(MONTH($A402),"00"))</f>
        <v/>
      </c>
    </row>
    <row r="403">
      <c r="A403" s="53" t="n"/>
      <c r="B403" s="52" t="n"/>
      <c r="C403" s="52" t="n"/>
      <c r="D403" s="52" t="n"/>
      <c r="E403" s="58">
        <f>IFERROR(VLOOKUP(D403,Maestro_SKU!$A$2:$P$500,2,FALSE),"")</f>
        <v/>
      </c>
      <c r="F403" s="52" t="n"/>
      <c r="G403" s="60" t="n"/>
      <c r="H403" s="52" t="n"/>
      <c r="I403" s="52" t="n"/>
      <c r="J403" s="52" t="n"/>
      <c r="K403" s="68">
        <f>IF($A403="","",YEAR($A403))</f>
        <v/>
      </c>
      <c r="L403" s="68">
        <f>IF($A403="","",MONTH($A403))</f>
        <v/>
      </c>
      <c r="M403" s="68">
        <f>IF($A403="","",DAY($A403))</f>
        <v/>
      </c>
      <c r="N403" s="68">
        <f>IF($A403="","",YEAR($A403)&amp;"-"&amp;TEXT(MONTH($A403),"00"))</f>
        <v/>
      </c>
    </row>
    <row r="404">
      <c r="A404" s="53" t="n"/>
      <c r="B404" s="52" t="n"/>
      <c r="C404" s="52" t="n"/>
      <c r="D404" s="52" t="n"/>
      <c r="E404" s="58">
        <f>IFERROR(VLOOKUP(D404,Maestro_SKU!$A$2:$P$500,2,FALSE),"")</f>
        <v/>
      </c>
      <c r="F404" s="52" t="n"/>
      <c r="G404" s="60" t="n"/>
      <c r="H404" s="52" t="n"/>
      <c r="I404" s="52" t="n"/>
      <c r="J404" s="52" t="n"/>
      <c r="K404" s="68">
        <f>IF($A404="","",YEAR($A404))</f>
        <v/>
      </c>
      <c r="L404" s="68">
        <f>IF($A404="","",MONTH($A404))</f>
        <v/>
      </c>
      <c r="M404" s="68">
        <f>IF($A404="","",DAY($A404))</f>
        <v/>
      </c>
      <c r="N404" s="68">
        <f>IF($A404="","",YEAR($A404)&amp;"-"&amp;TEXT(MONTH($A404),"00"))</f>
        <v/>
      </c>
    </row>
    <row r="405">
      <c r="A405" s="53" t="n"/>
      <c r="B405" s="52" t="n"/>
      <c r="C405" s="52" t="n"/>
      <c r="D405" s="52" t="n"/>
      <c r="E405" s="58">
        <f>IFERROR(VLOOKUP(D405,Maestro_SKU!$A$2:$P$500,2,FALSE),"")</f>
        <v/>
      </c>
      <c r="F405" s="52" t="n"/>
      <c r="G405" s="60" t="n"/>
      <c r="H405" s="52" t="n"/>
      <c r="I405" s="52" t="n"/>
      <c r="J405" s="52" t="n"/>
      <c r="K405" s="68">
        <f>IF($A405="","",YEAR($A405))</f>
        <v/>
      </c>
      <c r="L405" s="68">
        <f>IF($A405="","",MONTH($A405))</f>
        <v/>
      </c>
      <c r="M405" s="68">
        <f>IF($A405="","",DAY($A405))</f>
        <v/>
      </c>
      <c r="N405" s="68">
        <f>IF($A405="","",YEAR($A405)&amp;"-"&amp;TEXT(MONTH($A405),"00"))</f>
        <v/>
      </c>
    </row>
    <row r="406">
      <c r="A406" s="53" t="n"/>
      <c r="B406" s="52" t="n"/>
      <c r="C406" s="52" t="n"/>
      <c r="D406" s="52" t="n"/>
      <c r="E406" s="58">
        <f>IFERROR(VLOOKUP(D406,Maestro_SKU!$A$2:$P$500,2,FALSE),"")</f>
        <v/>
      </c>
      <c r="F406" s="52" t="n"/>
      <c r="G406" s="60" t="n"/>
      <c r="H406" s="52" t="n"/>
      <c r="I406" s="52" t="n"/>
      <c r="J406" s="52" t="n"/>
      <c r="K406" s="68">
        <f>IF($A406="","",YEAR($A406))</f>
        <v/>
      </c>
      <c r="L406" s="68">
        <f>IF($A406="","",MONTH($A406))</f>
        <v/>
      </c>
      <c r="M406" s="68">
        <f>IF($A406="","",DAY($A406))</f>
        <v/>
      </c>
      <c r="N406" s="68">
        <f>IF($A406="","",YEAR($A406)&amp;"-"&amp;TEXT(MONTH($A406),"00"))</f>
        <v/>
      </c>
    </row>
    <row r="407">
      <c r="A407" s="53" t="n"/>
      <c r="B407" s="52" t="n"/>
      <c r="C407" s="52" t="n"/>
      <c r="D407" s="52" t="n"/>
      <c r="E407" s="58">
        <f>IFERROR(VLOOKUP(D407,Maestro_SKU!$A$2:$P$500,2,FALSE),"")</f>
        <v/>
      </c>
      <c r="F407" s="52" t="n"/>
      <c r="G407" s="60" t="n"/>
      <c r="H407" s="52" t="n"/>
      <c r="I407" s="52" t="n"/>
      <c r="J407" s="52" t="n"/>
      <c r="K407" s="68">
        <f>IF($A407="","",YEAR($A407))</f>
        <v/>
      </c>
      <c r="L407" s="68">
        <f>IF($A407="","",MONTH($A407))</f>
        <v/>
      </c>
      <c r="M407" s="68">
        <f>IF($A407="","",DAY($A407))</f>
        <v/>
      </c>
      <c r="N407" s="68">
        <f>IF($A407="","",YEAR($A407)&amp;"-"&amp;TEXT(MONTH($A407),"00"))</f>
        <v/>
      </c>
    </row>
    <row r="408">
      <c r="A408" s="53" t="n"/>
      <c r="B408" s="52" t="n"/>
      <c r="C408" s="52" t="n"/>
      <c r="D408" s="52" t="n"/>
      <c r="E408" s="58">
        <f>IFERROR(VLOOKUP(D408,Maestro_SKU!$A$2:$P$500,2,FALSE),"")</f>
        <v/>
      </c>
      <c r="F408" s="52" t="n"/>
      <c r="G408" s="60" t="n"/>
      <c r="H408" s="52" t="n"/>
      <c r="I408" s="52" t="n"/>
      <c r="J408" s="52" t="n"/>
      <c r="K408" s="68">
        <f>IF($A408="","",YEAR($A408))</f>
        <v/>
      </c>
      <c r="L408" s="68">
        <f>IF($A408="","",MONTH($A408))</f>
        <v/>
      </c>
      <c r="M408" s="68">
        <f>IF($A408="","",DAY($A408))</f>
        <v/>
      </c>
      <c r="N408" s="68">
        <f>IF($A408="","",YEAR($A408)&amp;"-"&amp;TEXT(MONTH($A408),"00"))</f>
        <v/>
      </c>
    </row>
    <row r="409">
      <c r="A409" s="53" t="n"/>
      <c r="B409" s="52" t="n"/>
      <c r="C409" s="52" t="n"/>
      <c r="D409" s="52" t="n"/>
      <c r="E409" s="58">
        <f>IFERROR(VLOOKUP(D409,Maestro_SKU!$A$2:$P$500,2,FALSE),"")</f>
        <v/>
      </c>
      <c r="F409" s="52" t="n"/>
      <c r="G409" s="60" t="n"/>
      <c r="H409" s="52" t="n"/>
      <c r="I409" s="52" t="n"/>
      <c r="J409" s="52" t="n"/>
      <c r="K409" s="68">
        <f>IF($A409="","",YEAR($A409))</f>
        <v/>
      </c>
      <c r="L409" s="68">
        <f>IF($A409="","",MONTH($A409))</f>
        <v/>
      </c>
      <c r="M409" s="68">
        <f>IF($A409="","",DAY($A409))</f>
        <v/>
      </c>
      <c r="N409" s="68">
        <f>IF($A409="","",YEAR($A409)&amp;"-"&amp;TEXT(MONTH($A409),"00"))</f>
        <v/>
      </c>
    </row>
    <row r="410">
      <c r="A410" s="53" t="n"/>
      <c r="B410" s="52" t="n"/>
      <c r="C410" s="52" t="n"/>
      <c r="D410" s="52" t="n"/>
      <c r="E410" s="58">
        <f>IFERROR(VLOOKUP(D410,Maestro_SKU!$A$2:$P$500,2,FALSE),"")</f>
        <v/>
      </c>
      <c r="F410" s="52" t="n"/>
      <c r="G410" s="60" t="n"/>
      <c r="H410" s="52" t="n"/>
      <c r="I410" s="52" t="n"/>
      <c r="J410" s="52" t="n"/>
      <c r="K410" s="68">
        <f>IF($A410="","",YEAR($A410))</f>
        <v/>
      </c>
      <c r="L410" s="68">
        <f>IF($A410="","",MONTH($A410))</f>
        <v/>
      </c>
      <c r="M410" s="68">
        <f>IF($A410="","",DAY($A410))</f>
        <v/>
      </c>
      <c r="N410" s="68">
        <f>IF($A410="","",YEAR($A410)&amp;"-"&amp;TEXT(MONTH($A410),"00"))</f>
        <v/>
      </c>
    </row>
    <row r="411">
      <c r="A411" s="53" t="n"/>
      <c r="B411" s="52" t="n"/>
      <c r="C411" s="52" t="n"/>
      <c r="D411" s="52" t="n"/>
      <c r="E411" s="58">
        <f>IFERROR(VLOOKUP(D411,Maestro_SKU!$A$2:$P$500,2,FALSE),"")</f>
        <v/>
      </c>
      <c r="F411" s="52" t="n"/>
      <c r="G411" s="60" t="n"/>
      <c r="H411" s="52" t="n"/>
      <c r="I411" s="52" t="n"/>
      <c r="J411" s="52" t="n"/>
      <c r="K411" s="68">
        <f>IF($A411="","",YEAR($A411))</f>
        <v/>
      </c>
      <c r="L411" s="68">
        <f>IF($A411="","",MONTH($A411))</f>
        <v/>
      </c>
      <c r="M411" s="68">
        <f>IF($A411="","",DAY($A411))</f>
        <v/>
      </c>
      <c r="N411" s="68">
        <f>IF($A411="","",YEAR($A411)&amp;"-"&amp;TEXT(MONTH($A411),"00"))</f>
        <v/>
      </c>
    </row>
    <row r="412">
      <c r="A412" s="53" t="n"/>
      <c r="B412" s="52" t="n"/>
      <c r="C412" s="52" t="n"/>
      <c r="D412" s="52" t="n"/>
      <c r="E412" s="58">
        <f>IFERROR(VLOOKUP(D412,Maestro_SKU!$A$2:$P$500,2,FALSE),"")</f>
        <v/>
      </c>
      <c r="F412" s="52" t="n"/>
      <c r="G412" s="60" t="n"/>
      <c r="H412" s="52" t="n"/>
      <c r="I412" s="52" t="n"/>
      <c r="J412" s="52" t="n"/>
      <c r="K412" s="68">
        <f>IF($A412="","",YEAR($A412))</f>
        <v/>
      </c>
      <c r="L412" s="68">
        <f>IF($A412="","",MONTH($A412))</f>
        <v/>
      </c>
      <c r="M412" s="68">
        <f>IF($A412="","",DAY($A412))</f>
        <v/>
      </c>
      <c r="N412" s="68">
        <f>IF($A412="","",YEAR($A412)&amp;"-"&amp;TEXT(MONTH($A412),"00"))</f>
        <v/>
      </c>
    </row>
    <row r="413">
      <c r="A413" s="53" t="n"/>
      <c r="B413" s="52" t="n"/>
      <c r="C413" s="52" t="n"/>
      <c r="D413" s="52" t="n"/>
      <c r="E413" s="58">
        <f>IFERROR(VLOOKUP(D413,Maestro_SKU!$A$2:$P$500,2,FALSE),"")</f>
        <v/>
      </c>
      <c r="F413" s="52" t="n"/>
      <c r="G413" s="60" t="n"/>
      <c r="H413" s="52" t="n"/>
      <c r="I413" s="52" t="n"/>
      <c r="J413" s="52" t="n"/>
      <c r="K413" s="68">
        <f>IF($A413="","",YEAR($A413))</f>
        <v/>
      </c>
      <c r="L413" s="68">
        <f>IF($A413="","",MONTH($A413))</f>
        <v/>
      </c>
      <c r="M413" s="68">
        <f>IF($A413="","",DAY($A413))</f>
        <v/>
      </c>
      <c r="N413" s="68">
        <f>IF($A413="","",YEAR($A413)&amp;"-"&amp;TEXT(MONTH($A413),"00"))</f>
        <v/>
      </c>
    </row>
    <row r="414">
      <c r="A414" s="53" t="n"/>
      <c r="B414" s="52" t="n"/>
      <c r="C414" s="52" t="n"/>
      <c r="D414" s="52" t="n"/>
      <c r="E414" s="58">
        <f>IFERROR(VLOOKUP(D414,Maestro_SKU!$A$2:$P$500,2,FALSE),"")</f>
        <v/>
      </c>
      <c r="F414" s="52" t="n"/>
      <c r="G414" s="60" t="n"/>
      <c r="H414" s="52" t="n"/>
      <c r="I414" s="52" t="n"/>
      <c r="J414" s="52" t="n"/>
      <c r="K414" s="68">
        <f>IF($A414="","",YEAR($A414))</f>
        <v/>
      </c>
      <c r="L414" s="68">
        <f>IF($A414="","",MONTH($A414))</f>
        <v/>
      </c>
      <c r="M414" s="68">
        <f>IF($A414="","",DAY($A414))</f>
        <v/>
      </c>
      <c r="N414" s="68">
        <f>IF($A414="","",YEAR($A414)&amp;"-"&amp;TEXT(MONTH($A414),"00"))</f>
        <v/>
      </c>
    </row>
    <row r="415">
      <c r="A415" s="53" t="n"/>
      <c r="B415" s="52" t="n"/>
      <c r="C415" s="52" t="n"/>
      <c r="D415" s="52" t="n"/>
      <c r="E415" s="58">
        <f>IFERROR(VLOOKUP(D415,Maestro_SKU!$A$2:$P$500,2,FALSE),"")</f>
        <v/>
      </c>
      <c r="F415" s="52" t="n"/>
      <c r="G415" s="60" t="n"/>
      <c r="H415" s="52" t="n"/>
      <c r="I415" s="52" t="n"/>
      <c r="J415" s="52" t="n"/>
      <c r="K415" s="68">
        <f>IF($A415="","",YEAR($A415))</f>
        <v/>
      </c>
      <c r="L415" s="68">
        <f>IF($A415="","",MONTH($A415))</f>
        <v/>
      </c>
      <c r="M415" s="68">
        <f>IF($A415="","",DAY($A415))</f>
        <v/>
      </c>
      <c r="N415" s="68">
        <f>IF($A415="","",YEAR($A415)&amp;"-"&amp;TEXT(MONTH($A415),"00"))</f>
        <v/>
      </c>
    </row>
    <row r="416">
      <c r="A416" s="53" t="n"/>
      <c r="B416" s="52" t="n"/>
      <c r="C416" s="52" t="n"/>
      <c r="D416" s="52" t="n"/>
      <c r="E416" s="58">
        <f>IFERROR(VLOOKUP(D416,Maestro_SKU!$A$2:$P$500,2,FALSE),"")</f>
        <v/>
      </c>
      <c r="F416" s="52" t="n"/>
      <c r="G416" s="60" t="n"/>
      <c r="H416" s="52" t="n"/>
      <c r="I416" s="52" t="n"/>
      <c r="J416" s="52" t="n"/>
      <c r="K416" s="68">
        <f>IF($A416="","",YEAR($A416))</f>
        <v/>
      </c>
      <c r="L416" s="68">
        <f>IF($A416="","",MONTH($A416))</f>
        <v/>
      </c>
      <c r="M416" s="68">
        <f>IF($A416="","",DAY($A416))</f>
        <v/>
      </c>
      <c r="N416" s="68">
        <f>IF($A416="","",YEAR($A416)&amp;"-"&amp;TEXT(MONTH($A416),"00"))</f>
        <v/>
      </c>
    </row>
    <row r="417">
      <c r="A417" s="53" t="n"/>
      <c r="B417" s="52" t="n"/>
      <c r="C417" s="52" t="n"/>
      <c r="D417" s="52" t="n"/>
      <c r="E417" s="58">
        <f>IFERROR(VLOOKUP(D417,Maestro_SKU!$A$2:$P$500,2,FALSE),"")</f>
        <v/>
      </c>
      <c r="F417" s="52" t="n"/>
      <c r="G417" s="60" t="n"/>
      <c r="H417" s="52" t="n"/>
      <c r="I417" s="52" t="n"/>
      <c r="J417" s="52" t="n"/>
      <c r="K417" s="68">
        <f>IF($A417="","",YEAR($A417))</f>
        <v/>
      </c>
      <c r="L417" s="68">
        <f>IF($A417="","",MONTH($A417))</f>
        <v/>
      </c>
      <c r="M417" s="68">
        <f>IF($A417="","",DAY($A417))</f>
        <v/>
      </c>
      <c r="N417" s="68">
        <f>IF($A417="","",YEAR($A417)&amp;"-"&amp;TEXT(MONTH($A417),"00"))</f>
        <v/>
      </c>
    </row>
    <row r="418">
      <c r="A418" s="53" t="n"/>
      <c r="B418" s="52" t="n"/>
      <c r="C418" s="52" t="n"/>
      <c r="D418" s="52" t="n"/>
      <c r="E418" s="58">
        <f>IFERROR(VLOOKUP(D418,Maestro_SKU!$A$2:$P$500,2,FALSE),"")</f>
        <v/>
      </c>
      <c r="F418" s="52" t="n"/>
      <c r="G418" s="60" t="n"/>
      <c r="H418" s="52" t="n"/>
      <c r="I418" s="52" t="n"/>
      <c r="J418" s="52" t="n"/>
      <c r="K418" s="68">
        <f>IF($A418="","",YEAR($A418))</f>
        <v/>
      </c>
      <c r="L418" s="68">
        <f>IF($A418="","",MONTH($A418))</f>
        <v/>
      </c>
      <c r="M418" s="68">
        <f>IF($A418="","",DAY($A418))</f>
        <v/>
      </c>
      <c r="N418" s="68">
        <f>IF($A418="","",YEAR($A418)&amp;"-"&amp;TEXT(MONTH($A418),"00"))</f>
        <v/>
      </c>
    </row>
    <row r="419">
      <c r="A419" s="53" t="n"/>
      <c r="B419" s="52" t="n"/>
      <c r="C419" s="52" t="n"/>
      <c r="D419" s="52" t="n"/>
      <c r="E419" s="58">
        <f>IFERROR(VLOOKUP(D419,Maestro_SKU!$A$2:$P$500,2,FALSE),"")</f>
        <v/>
      </c>
      <c r="F419" s="52" t="n"/>
      <c r="G419" s="60" t="n"/>
      <c r="H419" s="52" t="n"/>
      <c r="I419" s="52" t="n"/>
      <c r="J419" s="52" t="n"/>
      <c r="K419" s="68">
        <f>IF($A419="","",YEAR($A419))</f>
        <v/>
      </c>
      <c r="L419" s="68">
        <f>IF($A419="","",MONTH($A419))</f>
        <v/>
      </c>
      <c r="M419" s="68">
        <f>IF($A419="","",DAY($A419))</f>
        <v/>
      </c>
      <c r="N419" s="68">
        <f>IF($A419="","",YEAR($A419)&amp;"-"&amp;TEXT(MONTH($A419),"00"))</f>
        <v/>
      </c>
    </row>
    <row r="420">
      <c r="A420" s="53" t="n"/>
      <c r="B420" s="52" t="n"/>
      <c r="C420" s="52" t="n"/>
      <c r="D420" s="52" t="n"/>
      <c r="E420" s="58">
        <f>IFERROR(VLOOKUP(D420,Maestro_SKU!$A$2:$P$500,2,FALSE),"")</f>
        <v/>
      </c>
      <c r="F420" s="52" t="n"/>
      <c r="G420" s="60" t="n"/>
      <c r="H420" s="52" t="n"/>
      <c r="I420" s="52" t="n"/>
      <c r="J420" s="52" t="n"/>
      <c r="K420" s="68">
        <f>IF($A420="","",YEAR($A420))</f>
        <v/>
      </c>
      <c r="L420" s="68">
        <f>IF($A420="","",MONTH($A420))</f>
        <v/>
      </c>
      <c r="M420" s="68">
        <f>IF($A420="","",DAY($A420))</f>
        <v/>
      </c>
      <c r="N420" s="68">
        <f>IF($A420="","",YEAR($A420)&amp;"-"&amp;TEXT(MONTH($A420),"00"))</f>
        <v/>
      </c>
    </row>
    <row r="421">
      <c r="A421" s="53" t="n"/>
      <c r="B421" s="52" t="n"/>
      <c r="C421" s="52" t="n"/>
      <c r="D421" s="52" t="n"/>
      <c r="E421" s="58">
        <f>IFERROR(VLOOKUP(D421,Maestro_SKU!$A$2:$P$500,2,FALSE),"")</f>
        <v/>
      </c>
      <c r="F421" s="52" t="n"/>
      <c r="G421" s="60" t="n"/>
      <c r="H421" s="52" t="n"/>
      <c r="I421" s="52" t="n"/>
      <c r="J421" s="52" t="n"/>
      <c r="K421" s="68">
        <f>IF($A421="","",YEAR($A421))</f>
        <v/>
      </c>
      <c r="L421" s="68">
        <f>IF($A421="","",MONTH($A421))</f>
        <v/>
      </c>
      <c r="M421" s="68">
        <f>IF($A421="","",DAY($A421))</f>
        <v/>
      </c>
      <c r="N421" s="68">
        <f>IF($A421="","",YEAR($A421)&amp;"-"&amp;TEXT(MONTH($A421),"00"))</f>
        <v/>
      </c>
    </row>
    <row r="422">
      <c r="A422" s="53" t="n"/>
      <c r="B422" s="52" t="n"/>
      <c r="C422" s="52" t="n"/>
      <c r="D422" s="52" t="n"/>
      <c r="E422" s="58">
        <f>IFERROR(VLOOKUP(D422,Maestro_SKU!$A$2:$P$500,2,FALSE),"")</f>
        <v/>
      </c>
      <c r="F422" s="52" t="n"/>
      <c r="G422" s="60" t="n"/>
      <c r="H422" s="52" t="n"/>
      <c r="I422" s="52" t="n"/>
      <c r="J422" s="52" t="n"/>
      <c r="K422" s="68">
        <f>IF($A422="","",YEAR($A422))</f>
        <v/>
      </c>
      <c r="L422" s="68">
        <f>IF($A422="","",MONTH($A422))</f>
        <v/>
      </c>
      <c r="M422" s="68">
        <f>IF($A422="","",DAY($A422))</f>
        <v/>
      </c>
      <c r="N422" s="68">
        <f>IF($A422="","",YEAR($A422)&amp;"-"&amp;TEXT(MONTH($A422),"00"))</f>
        <v/>
      </c>
    </row>
    <row r="423">
      <c r="A423" s="53" t="n"/>
      <c r="B423" s="52" t="n"/>
      <c r="C423" s="52" t="n"/>
      <c r="D423" s="52" t="n"/>
      <c r="E423" s="58">
        <f>IFERROR(VLOOKUP(D423,Maestro_SKU!$A$2:$P$500,2,FALSE),"")</f>
        <v/>
      </c>
      <c r="F423" s="52" t="n"/>
      <c r="G423" s="60" t="n"/>
      <c r="H423" s="52" t="n"/>
      <c r="I423" s="52" t="n"/>
      <c r="J423" s="52" t="n"/>
      <c r="K423" s="68">
        <f>IF($A423="","",YEAR($A423))</f>
        <v/>
      </c>
      <c r="L423" s="68">
        <f>IF($A423="","",MONTH($A423))</f>
        <v/>
      </c>
      <c r="M423" s="68">
        <f>IF($A423="","",DAY($A423))</f>
        <v/>
      </c>
      <c r="N423" s="68">
        <f>IF($A423="","",YEAR($A423)&amp;"-"&amp;TEXT(MONTH($A423),"00"))</f>
        <v/>
      </c>
    </row>
    <row r="424">
      <c r="A424" s="53" t="n"/>
      <c r="B424" s="52" t="n"/>
      <c r="C424" s="52" t="n"/>
      <c r="D424" s="52" t="n"/>
      <c r="E424" s="58">
        <f>IFERROR(VLOOKUP(D424,Maestro_SKU!$A$2:$P$500,2,FALSE),"")</f>
        <v/>
      </c>
      <c r="F424" s="52" t="n"/>
      <c r="G424" s="60" t="n"/>
      <c r="H424" s="52" t="n"/>
      <c r="I424" s="52" t="n"/>
      <c r="J424" s="52" t="n"/>
      <c r="K424" s="68">
        <f>IF($A424="","",YEAR($A424))</f>
        <v/>
      </c>
      <c r="L424" s="68">
        <f>IF($A424="","",MONTH($A424))</f>
        <v/>
      </c>
      <c r="M424" s="68">
        <f>IF($A424="","",DAY($A424))</f>
        <v/>
      </c>
      <c r="N424" s="68">
        <f>IF($A424="","",YEAR($A424)&amp;"-"&amp;TEXT(MONTH($A424),"00"))</f>
        <v/>
      </c>
    </row>
    <row r="425">
      <c r="A425" s="53" t="n"/>
      <c r="B425" s="52" t="n"/>
      <c r="C425" s="52" t="n"/>
      <c r="D425" s="52" t="n"/>
      <c r="E425" s="58">
        <f>IFERROR(VLOOKUP(D425,Maestro_SKU!$A$2:$P$500,2,FALSE),"")</f>
        <v/>
      </c>
      <c r="F425" s="52" t="n"/>
      <c r="G425" s="60" t="n"/>
      <c r="H425" s="52" t="n"/>
      <c r="I425" s="52" t="n"/>
      <c r="J425" s="52" t="n"/>
      <c r="K425" s="68">
        <f>IF($A425="","",YEAR($A425))</f>
        <v/>
      </c>
      <c r="L425" s="68">
        <f>IF($A425="","",MONTH($A425))</f>
        <v/>
      </c>
      <c r="M425" s="68">
        <f>IF($A425="","",DAY($A425))</f>
        <v/>
      </c>
      <c r="N425" s="68">
        <f>IF($A425="","",YEAR($A425)&amp;"-"&amp;TEXT(MONTH($A425),"00"))</f>
        <v/>
      </c>
    </row>
    <row r="426">
      <c r="A426" s="53" t="n"/>
      <c r="B426" s="52" t="n"/>
      <c r="C426" s="52" t="n"/>
      <c r="D426" s="52" t="n"/>
      <c r="E426" s="58">
        <f>IFERROR(VLOOKUP(D426,Maestro_SKU!$A$2:$P$500,2,FALSE),"")</f>
        <v/>
      </c>
      <c r="F426" s="52" t="n"/>
      <c r="G426" s="60" t="n"/>
      <c r="H426" s="52" t="n"/>
      <c r="I426" s="52" t="n"/>
      <c r="J426" s="52" t="n"/>
      <c r="K426" s="68">
        <f>IF($A426="","",YEAR($A426))</f>
        <v/>
      </c>
      <c r="L426" s="68">
        <f>IF($A426="","",MONTH($A426))</f>
        <v/>
      </c>
      <c r="M426" s="68">
        <f>IF($A426="","",DAY($A426))</f>
        <v/>
      </c>
      <c r="N426" s="68">
        <f>IF($A426="","",YEAR($A426)&amp;"-"&amp;TEXT(MONTH($A426),"00"))</f>
        <v/>
      </c>
    </row>
    <row r="427">
      <c r="A427" s="53" t="n"/>
      <c r="B427" s="52" t="n"/>
      <c r="C427" s="52" t="n"/>
      <c r="D427" s="52" t="n"/>
      <c r="E427" s="58">
        <f>IFERROR(VLOOKUP(D427,Maestro_SKU!$A$2:$P$500,2,FALSE),"")</f>
        <v/>
      </c>
      <c r="F427" s="52" t="n"/>
      <c r="G427" s="60" t="n"/>
      <c r="H427" s="52" t="n"/>
      <c r="I427" s="52" t="n"/>
      <c r="J427" s="52" t="n"/>
      <c r="K427" s="68">
        <f>IF($A427="","",YEAR($A427))</f>
        <v/>
      </c>
      <c r="L427" s="68">
        <f>IF($A427="","",MONTH($A427))</f>
        <v/>
      </c>
      <c r="M427" s="68">
        <f>IF($A427="","",DAY($A427))</f>
        <v/>
      </c>
      <c r="N427" s="68">
        <f>IF($A427="","",YEAR($A427)&amp;"-"&amp;TEXT(MONTH($A427),"00"))</f>
        <v/>
      </c>
    </row>
    <row r="428">
      <c r="A428" s="53" t="n"/>
      <c r="B428" s="52" t="n"/>
      <c r="C428" s="52" t="n"/>
      <c r="D428" s="52" t="n"/>
      <c r="E428" s="58">
        <f>IFERROR(VLOOKUP(D428,Maestro_SKU!$A$2:$P$500,2,FALSE),"")</f>
        <v/>
      </c>
      <c r="F428" s="52" t="n"/>
      <c r="G428" s="60" t="n"/>
      <c r="H428" s="52" t="n"/>
      <c r="I428" s="52" t="n"/>
      <c r="J428" s="52" t="n"/>
      <c r="K428" s="68">
        <f>IF($A428="","",YEAR($A428))</f>
        <v/>
      </c>
      <c r="L428" s="68">
        <f>IF($A428="","",MONTH($A428))</f>
        <v/>
      </c>
      <c r="M428" s="68">
        <f>IF($A428="","",DAY($A428))</f>
        <v/>
      </c>
      <c r="N428" s="68">
        <f>IF($A428="","",YEAR($A428)&amp;"-"&amp;TEXT(MONTH($A428),"00"))</f>
        <v/>
      </c>
    </row>
    <row r="429">
      <c r="A429" s="53" t="n"/>
      <c r="B429" s="52" t="n"/>
      <c r="C429" s="52" t="n"/>
      <c r="D429" s="52" t="n"/>
      <c r="E429" s="58">
        <f>IFERROR(VLOOKUP(D429,Maestro_SKU!$A$2:$P$500,2,FALSE),"")</f>
        <v/>
      </c>
      <c r="F429" s="52" t="n"/>
      <c r="G429" s="60" t="n"/>
      <c r="H429" s="52" t="n"/>
      <c r="I429" s="52" t="n"/>
      <c r="J429" s="52" t="n"/>
      <c r="K429" s="68">
        <f>IF($A429="","",YEAR($A429))</f>
        <v/>
      </c>
      <c r="L429" s="68">
        <f>IF($A429="","",MONTH($A429))</f>
        <v/>
      </c>
      <c r="M429" s="68">
        <f>IF($A429="","",DAY($A429))</f>
        <v/>
      </c>
      <c r="N429" s="68">
        <f>IF($A429="","",YEAR($A429)&amp;"-"&amp;TEXT(MONTH($A429),"00"))</f>
        <v/>
      </c>
    </row>
    <row r="430">
      <c r="A430" s="53" t="n"/>
      <c r="B430" s="52" t="n"/>
      <c r="C430" s="52" t="n"/>
      <c r="D430" s="52" t="n"/>
      <c r="E430" s="58">
        <f>IFERROR(VLOOKUP(D430,Maestro_SKU!$A$2:$P$500,2,FALSE),"")</f>
        <v/>
      </c>
      <c r="F430" s="52" t="n"/>
      <c r="G430" s="60" t="n"/>
      <c r="H430" s="52" t="n"/>
      <c r="I430" s="52" t="n"/>
      <c r="J430" s="52" t="n"/>
      <c r="K430" s="68">
        <f>IF($A430="","",YEAR($A430))</f>
        <v/>
      </c>
      <c r="L430" s="68">
        <f>IF($A430="","",MONTH($A430))</f>
        <v/>
      </c>
      <c r="M430" s="68">
        <f>IF($A430="","",DAY($A430))</f>
        <v/>
      </c>
      <c r="N430" s="68">
        <f>IF($A430="","",YEAR($A430)&amp;"-"&amp;TEXT(MONTH($A430),"00"))</f>
        <v/>
      </c>
    </row>
    <row r="431">
      <c r="A431" s="53" t="n"/>
      <c r="B431" s="52" t="n"/>
      <c r="C431" s="52" t="n"/>
      <c r="D431" s="52" t="n"/>
      <c r="E431" s="58">
        <f>IFERROR(VLOOKUP(D431,Maestro_SKU!$A$2:$P$500,2,FALSE),"")</f>
        <v/>
      </c>
      <c r="F431" s="52" t="n"/>
      <c r="G431" s="60" t="n"/>
      <c r="H431" s="52" t="n"/>
      <c r="I431" s="52" t="n"/>
      <c r="J431" s="52" t="n"/>
      <c r="K431" s="68">
        <f>IF($A431="","",YEAR($A431))</f>
        <v/>
      </c>
      <c r="L431" s="68">
        <f>IF($A431="","",MONTH($A431))</f>
        <v/>
      </c>
      <c r="M431" s="68">
        <f>IF($A431="","",DAY($A431))</f>
        <v/>
      </c>
      <c r="N431" s="68">
        <f>IF($A431="","",YEAR($A431)&amp;"-"&amp;TEXT(MONTH($A431),"00"))</f>
        <v/>
      </c>
    </row>
    <row r="432">
      <c r="A432" s="53" t="n"/>
      <c r="B432" s="52" t="n"/>
      <c r="C432" s="52" t="n"/>
      <c r="D432" s="52" t="n"/>
      <c r="E432" s="58">
        <f>IFERROR(VLOOKUP(D432,Maestro_SKU!$A$2:$P$500,2,FALSE),"")</f>
        <v/>
      </c>
      <c r="F432" s="52" t="n"/>
      <c r="G432" s="60" t="n"/>
      <c r="H432" s="52" t="n"/>
      <c r="I432" s="52" t="n"/>
      <c r="J432" s="52" t="n"/>
      <c r="K432" s="68">
        <f>IF($A432="","",YEAR($A432))</f>
        <v/>
      </c>
      <c r="L432" s="68">
        <f>IF($A432="","",MONTH($A432))</f>
        <v/>
      </c>
      <c r="M432" s="68">
        <f>IF($A432="","",DAY($A432))</f>
        <v/>
      </c>
      <c r="N432" s="68">
        <f>IF($A432="","",YEAR($A432)&amp;"-"&amp;TEXT(MONTH($A432),"00"))</f>
        <v/>
      </c>
    </row>
    <row r="433">
      <c r="A433" s="53" t="n"/>
      <c r="B433" s="52" t="n"/>
      <c r="C433" s="52" t="n"/>
      <c r="D433" s="52" t="n"/>
      <c r="E433" s="58">
        <f>IFERROR(VLOOKUP(D433,Maestro_SKU!$A$2:$P$500,2,FALSE),"")</f>
        <v/>
      </c>
      <c r="F433" s="52" t="n"/>
      <c r="G433" s="60" t="n"/>
      <c r="H433" s="52" t="n"/>
      <c r="I433" s="52" t="n"/>
      <c r="J433" s="52" t="n"/>
      <c r="K433" s="68">
        <f>IF($A433="","",YEAR($A433))</f>
        <v/>
      </c>
      <c r="L433" s="68">
        <f>IF($A433="","",MONTH($A433))</f>
        <v/>
      </c>
      <c r="M433" s="68">
        <f>IF($A433="","",DAY($A433))</f>
        <v/>
      </c>
      <c r="N433" s="68">
        <f>IF($A433="","",YEAR($A433)&amp;"-"&amp;TEXT(MONTH($A433),"00"))</f>
        <v/>
      </c>
    </row>
    <row r="434">
      <c r="A434" s="53" t="n"/>
      <c r="B434" s="52" t="n"/>
      <c r="C434" s="52" t="n"/>
      <c r="D434" s="52" t="n"/>
      <c r="E434" s="58">
        <f>IFERROR(VLOOKUP(D434,Maestro_SKU!$A$2:$P$500,2,FALSE),"")</f>
        <v/>
      </c>
      <c r="F434" s="52" t="n"/>
      <c r="G434" s="60" t="n"/>
      <c r="H434" s="52" t="n"/>
      <c r="I434" s="52" t="n"/>
      <c r="J434" s="52" t="n"/>
      <c r="K434" s="68">
        <f>IF($A434="","",YEAR($A434))</f>
        <v/>
      </c>
      <c r="L434" s="68">
        <f>IF($A434="","",MONTH($A434))</f>
        <v/>
      </c>
      <c r="M434" s="68">
        <f>IF($A434="","",DAY($A434))</f>
        <v/>
      </c>
      <c r="N434" s="68">
        <f>IF($A434="","",YEAR($A434)&amp;"-"&amp;TEXT(MONTH($A434),"00"))</f>
        <v/>
      </c>
    </row>
    <row r="435">
      <c r="A435" s="53" t="n"/>
      <c r="B435" s="52" t="n"/>
      <c r="C435" s="52" t="n"/>
      <c r="D435" s="52" t="n"/>
      <c r="E435" s="58">
        <f>IFERROR(VLOOKUP(D435,Maestro_SKU!$A$2:$P$500,2,FALSE),"")</f>
        <v/>
      </c>
      <c r="F435" s="52" t="n"/>
      <c r="G435" s="60" t="n"/>
      <c r="H435" s="52" t="n"/>
      <c r="I435" s="52" t="n"/>
      <c r="J435" s="52" t="n"/>
      <c r="K435" s="68">
        <f>IF($A435="","",YEAR($A435))</f>
        <v/>
      </c>
      <c r="L435" s="68">
        <f>IF($A435="","",MONTH($A435))</f>
        <v/>
      </c>
      <c r="M435" s="68">
        <f>IF($A435="","",DAY($A435))</f>
        <v/>
      </c>
      <c r="N435" s="68">
        <f>IF($A435="","",YEAR($A435)&amp;"-"&amp;TEXT(MONTH($A435),"00"))</f>
        <v/>
      </c>
    </row>
    <row r="436">
      <c r="A436" s="53" t="n"/>
      <c r="B436" s="52" t="n"/>
      <c r="C436" s="52" t="n"/>
      <c r="D436" s="52" t="n"/>
      <c r="E436" s="58">
        <f>IFERROR(VLOOKUP(D436,Maestro_SKU!$A$2:$P$500,2,FALSE),"")</f>
        <v/>
      </c>
      <c r="F436" s="52" t="n"/>
      <c r="G436" s="60" t="n"/>
      <c r="H436" s="52" t="n"/>
      <c r="I436" s="52" t="n"/>
      <c r="J436" s="52" t="n"/>
      <c r="K436" s="68">
        <f>IF($A436="","",YEAR($A436))</f>
        <v/>
      </c>
      <c r="L436" s="68">
        <f>IF($A436="","",MONTH($A436))</f>
        <v/>
      </c>
      <c r="M436" s="68">
        <f>IF($A436="","",DAY($A436))</f>
        <v/>
      </c>
      <c r="N436" s="68">
        <f>IF($A436="","",YEAR($A436)&amp;"-"&amp;TEXT(MONTH($A436),"00"))</f>
        <v/>
      </c>
    </row>
    <row r="437">
      <c r="A437" s="53" t="n"/>
      <c r="B437" s="52" t="n"/>
      <c r="C437" s="52" t="n"/>
      <c r="D437" s="52" t="n"/>
      <c r="E437" s="58">
        <f>IFERROR(VLOOKUP(D437,Maestro_SKU!$A$2:$P$500,2,FALSE),"")</f>
        <v/>
      </c>
      <c r="F437" s="52" t="n"/>
      <c r="G437" s="60" t="n"/>
      <c r="H437" s="52" t="n"/>
      <c r="I437" s="52" t="n"/>
      <c r="J437" s="52" t="n"/>
      <c r="K437" s="68">
        <f>IF($A437="","",YEAR($A437))</f>
        <v/>
      </c>
      <c r="L437" s="68">
        <f>IF($A437="","",MONTH($A437))</f>
        <v/>
      </c>
      <c r="M437" s="68">
        <f>IF($A437="","",DAY($A437))</f>
        <v/>
      </c>
      <c r="N437" s="68">
        <f>IF($A437="","",YEAR($A437)&amp;"-"&amp;TEXT(MONTH($A437),"00"))</f>
        <v/>
      </c>
    </row>
    <row r="438">
      <c r="A438" s="53" t="n"/>
      <c r="B438" s="52" t="n"/>
      <c r="C438" s="52" t="n"/>
      <c r="D438" s="52" t="n"/>
      <c r="E438" s="58">
        <f>IFERROR(VLOOKUP(D438,Maestro_SKU!$A$2:$P$500,2,FALSE),"")</f>
        <v/>
      </c>
      <c r="F438" s="52" t="n"/>
      <c r="G438" s="60" t="n"/>
      <c r="H438" s="52" t="n"/>
      <c r="I438" s="52" t="n"/>
      <c r="J438" s="52" t="n"/>
      <c r="K438" s="68">
        <f>IF($A438="","",YEAR($A438))</f>
        <v/>
      </c>
      <c r="L438" s="68">
        <f>IF($A438="","",MONTH($A438))</f>
        <v/>
      </c>
      <c r="M438" s="68">
        <f>IF($A438="","",DAY($A438))</f>
        <v/>
      </c>
      <c r="N438" s="68">
        <f>IF($A438="","",YEAR($A438)&amp;"-"&amp;TEXT(MONTH($A438),"00"))</f>
        <v/>
      </c>
    </row>
    <row r="439">
      <c r="A439" s="53" t="n"/>
      <c r="B439" s="52" t="n"/>
      <c r="C439" s="52" t="n"/>
      <c r="D439" s="52" t="n"/>
      <c r="E439" s="58">
        <f>IFERROR(VLOOKUP(D439,Maestro_SKU!$A$2:$P$500,2,FALSE),"")</f>
        <v/>
      </c>
      <c r="F439" s="52" t="n"/>
      <c r="G439" s="60" t="n"/>
      <c r="H439" s="52" t="n"/>
      <c r="I439" s="52" t="n"/>
      <c r="J439" s="52" t="n"/>
      <c r="K439" s="68">
        <f>IF($A439="","",YEAR($A439))</f>
        <v/>
      </c>
      <c r="L439" s="68">
        <f>IF($A439="","",MONTH($A439))</f>
        <v/>
      </c>
      <c r="M439" s="68">
        <f>IF($A439="","",DAY($A439))</f>
        <v/>
      </c>
      <c r="N439" s="68">
        <f>IF($A439="","",YEAR($A439)&amp;"-"&amp;TEXT(MONTH($A439),"00"))</f>
        <v/>
      </c>
    </row>
    <row r="440">
      <c r="A440" s="53" t="n"/>
      <c r="B440" s="52" t="n"/>
      <c r="C440" s="52" t="n"/>
      <c r="D440" s="52" t="n"/>
      <c r="E440" s="58">
        <f>IFERROR(VLOOKUP(D440,Maestro_SKU!$A$2:$P$500,2,FALSE),"")</f>
        <v/>
      </c>
      <c r="F440" s="52" t="n"/>
      <c r="G440" s="60" t="n"/>
      <c r="H440" s="52" t="n"/>
      <c r="I440" s="52" t="n"/>
      <c r="J440" s="52" t="n"/>
      <c r="K440" s="68">
        <f>IF($A440="","",YEAR($A440))</f>
        <v/>
      </c>
      <c r="L440" s="68">
        <f>IF($A440="","",MONTH($A440))</f>
        <v/>
      </c>
      <c r="M440" s="68">
        <f>IF($A440="","",DAY($A440))</f>
        <v/>
      </c>
      <c r="N440" s="68">
        <f>IF($A440="","",YEAR($A440)&amp;"-"&amp;TEXT(MONTH($A440),"00"))</f>
        <v/>
      </c>
    </row>
    <row r="441">
      <c r="A441" s="53" t="n"/>
      <c r="B441" s="52" t="n"/>
      <c r="C441" s="52" t="n"/>
      <c r="D441" s="52" t="n"/>
      <c r="E441" s="58">
        <f>IFERROR(VLOOKUP(D441,Maestro_SKU!$A$2:$P$500,2,FALSE),"")</f>
        <v/>
      </c>
      <c r="F441" s="52" t="n"/>
      <c r="G441" s="60" t="n"/>
      <c r="H441" s="52" t="n"/>
      <c r="I441" s="52" t="n"/>
      <c r="J441" s="52" t="n"/>
      <c r="K441" s="68">
        <f>IF($A441="","",YEAR($A441))</f>
        <v/>
      </c>
      <c r="L441" s="68">
        <f>IF($A441="","",MONTH($A441))</f>
        <v/>
      </c>
      <c r="M441" s="68">
        <f>IF($A441="","",DAY($A441))</f>
        <v/>
      </c>
      <c r="N441" s="68">
        <f>IF($A441="","",YEAR($A441)&amp;"-"&amp;TEXT(MONTH($A441),"00"))</f>
        <v/>
      </c>
    </row>
    <row r="442">
      <c r="A442" s="53" t="n"/>
      <c r="B442" s="52" t="n"/>
      <c r="C442" s="52" t="n"/>
      <c r="D442" s="52" t="n"/>
      <c r="E442" s="58">
        <f>IFERROR(VLOOKUP(D442,Maestro_SKU!$A$2:$P$500,2,FALSE),"")</f>
        <v/>
      </c>
      <c r="F442" s="52" t="n"/>
      <c r="G442" s="60" t="n"/>
      <c r="H442" s="52" t="n"/>
      <c r="I442" s="52" t="n"/>
      <c r="J442" s="52" t="n"/>
      <c r="K442" s="68">
        <f>IF($A442="","",YEAR($A442))</f>
        <v/>
      </c>
      <c r="L442" s="68">
        <f>IF($A442="","",MONTH($A442))</f>
        <v/>
      </c>
      <c r="M442" s="68">
        <f>IF($A442="","",DAY($A442))</f>
        <v/>
      </c>
      <c r="N442" s="68">
        <f>IF($A442="","",YEAR($A442)&amp;"-"&amp;TEXT(MONTH($A442),"00"))</f>
        <v/>
      </c>
    </row>
    <row r="443">
      <c r="A443" s="53" t="n"/>
      <c r="B443" s="52" t="n"/>
      <c r="C443" s="52" t="n"/>
      <c r="D443" s="52" t="n"/>
      <c r="E443" s="58">
        <f>IFERROR(VLOOKUP(D443,Maestro_SKU!$A$2:$P$500,2,FALSE),"")</f>
        <v/>
      </c>
      <c r="F443" s="52" t="n"/>
      <c r="G443" s="60" t="n"/>
      <c r="H443" s="52" t="n"/>
      <c r="I443" s="52" t="n"/>
      <c r="J443" s="52" t="n"/>
      <c r="K443" s="68">
        <f>IF($A443="","",YEAR($A443))</f>
        <v/>
      </c>
      <c r="L443" s="68">
        <f>IF($A443="","",MONTH($A443))</f>
        <v/>
      </c>
      <c r="M443" s="68">
        <f>IF($A443="","",DAY($A443))</f>
        <v/>
      </c>
      <c r="N443" s="68">
        <f>IF($A443="","",YEAR($A443)&amp;"-"&amp;TEXT(MONTH($A443),"00"))</f>
        <v/>
      </c>
    </row>
    <row r="444">
      <c r="A444" s="53" t="n"/>
      <c r="B444" s="52" t="n"/>
      <c r="C444" s="52" t="n"/>
      <c r="D444" s="52" t="n"/>
      <c r="E444" s="58">
        <f>IFERROR(VLOOKUP(D444,Maestro_SKU!$A$2:$P$500,2,FALSE),"")</f>
        <v/>
      </c>
      <c r="F444" s="52" t="n"/>
      <c r="G444" s="60" t="n"/>
      <c r="H444" s="52" t="n"/>
      <c r="I444" s="52" t="n"/>
      <c r="J444" s="52" t="n"/>
      <c r="K444" s="68">
        <f>IF($A444="","",YEAR($A444))</f>
        <v/>
      </c>
      <c r="L444" s="68">
        <f>IF($A444="","",MONTH($A444))</f>
        <v/>
      </c>
      <c r="M444" s="68">
        <f>IF($A444="","",DAY($A444))</f>
        <v/>
      </c>
      <c r="N444" s="68">
        <f>IF($A444="","",YEAR($A444)&amp;"-"&amp;TEXT(MONTH($A444),"00"))</f>
        <v/>
      </c>
    </row>
    <row r="445">
      <c r="A445" s="53" t="n"/>
      <c r="B445" s="52" t="n"/>
      <c r="C445" s="52" t="n"/>
      <c r="D445" s="52" t="n"/>
      <c r="E445" s="58">
        <f>IFERROR(VLOOKUP(D445,Maestro_SKU!$A$2:$P$500,2,FALSE),"")</f>
        <v/>
      </c>
      <c r="F445" s="52" t="n"/>
      <c r="G445" s="60" t="n"/>
      <c r="H445" s="52" t="n"/>
      <c r="I445" s="52" t="n"/>
      <c r="J445" s="52" t="n"/>
      <c r="K445" s="68">
        <f>IF($A445="","",YEAR($A445))</f>
        <v/>
      </c>
      <c r="L445" s="68">
        <f>IF($A445="","",MONTH($A445))</f>
        <v/>
      </c>
      <c r="M445" s="68">
        <f>IF($A445="","",DAY($A445))</f>
        <v/>
      </c>
      <c r="N445" s="68">
        <f>IF($A445="","",YEAR($A445)&amp;"-"&amp;TEXT(MONTH($A445),"00"))</f>
        <v/>
      </c>
    </row>
    <row r="446">
      <c r="A446" s="53" t="n"/>
      <c r="B446" s="52" t="n"/>
      <c r="C446" s="52" t="n"/>
      <c r="D446" s="52" t="n"/>
      <c r="E446" s="58">
        <f>IFERROR(VLOOKUP(D446,Maestro_SKU!$A$2:$P$500,2,FALSE),"")</f>
        <v/>
      </c>
      <c r="F446" s="52" t="n"/>
      <c r="G446" s="60" t="n"/>
      <c r="H446" s="52" t="n"/>
      <c r="I446" s="52" t="n"/>
      <c r="J446" s="52" t="n"/>
      <c r="K446" s="68">
        <f>IF($A446="","",YEAR($A446))</f>
        <v/>
      </c>
      <c r="L446" s="68">
        <f>IF($A446="","",MONTH($A446))</f>
        <v/>
      </c>
      <c r="M446" s="68">
        <f>IF($A446="","",DAY($A446))</f>
        <v/>
      </c>
      <c r="N446" s="68">
        <f>IF($A446="","",YEAR($A446)&amp;"-"&amp;TEXT(MONTH($A446),"00"))</f>
        <v/>
      </c>
    </row>
    <row r="447">
      <c r="A447" s="53" t="n"/>
      <c r="B447" s="52" t="n"/>
      <c r="C447" s="52" t="n"/>
      <c r="D447" s="52" t="n"/>
      <c r="E447" s="58">
        <f>IFERROR(VLOOKUP(D447,Maestro_SKU!$A$2:$P$500,2,FALSE),"")</f>
        <v/>
      </c>
      <c r="F447" s="52" t="n"/>
      <c r="G447" s="60" t="n"/>
      <c r="H447" s="52" t="n"/>
      <c r="I447" s="52" t="n"/>
      <c r="J447" s="52" t="n"/>
      <c r="K447" s="68">
        <f>IF($A447="","",YEAR($A447))</f>
        <v/>
      </c>
      <c r="L447" s="68">
        <f>IF($A447="","",MONTH($A447))</f>
        <v/>
      </c>
      <c r="M447" s="68">
        <f>IF($A447="","",DAY($A447))</f>
        <v/>
      </c>
      <c r="N447" s="68">
        <f>IF($A447="","",YEAR($A447)&amp;"-"&amp;TEXT(MONTH($A447),"00"))</f>
        <v/>
      </c>
    </row>
    <row r="448">
      <c r="A448" s="53" t="n"/>
      <c r="B448" s="52" t="n"/>
      <c r="C448" s="52" t="n"/>
      <c r="D448" s="52" t="n"/>
      <c r="E448" s="58">
        <f>IFERROR(VLOOKUP(D448,Maestro_SKU!$A$2:$P$500,2,FALSE),"")</f>
        <v/>
      </c>
      <c r="F448" s="52" t="n"/>
      <c r="G448" s="60" t="n"/>
      <c r="H448" s="52" t="n"/>
      <c r="I448" s="52" t="n"/>
      <c r="J448" s="52" t="n"/>
      <c r="K448" s="68">
        <f>IF($A448="","",YEAR($A448))</f>
        <v/>
      </c>
      <c r="L448" s="68">
        <f>IF($A448="","",MONTH($A448))</f>
        <v/>
      </c>
      <c r="M448" s="68">
        <f>IF($A448="","",DAY($A448))</f>
        <v/>
      </c>
      <c r="N448" s="68">
        <f>IF($A448="","",YEAR($A448)&amp;"-"&amp;TEXT(MONTH($A448),"00"))</f>
        <v/>
      </c>
    </row>
    <row r="449">
      <c r="A449" s="53" t="n"/>
      <c r="B449" s="52" t="n"/>
      <c r="C449" s="52" t="n"/>
      <c r="D449" s="52" t="n"/>
      <c r="E449" s="58">
        <f>IFERROR(VLOOKUP(D449,Maestro_SKU!$A$2:$P$500,2,FALSE),"")</f>
        <v/>
      </c>
      <c r="F449" s="52" t="n"/>
      <c r="G449" s="60" t="n"/>
      <c r="H449" s="52" t="n"/>
      <c r="I449" s="52" t="n"/>
      <c r="J449" s="52" t="n"/>
      <c r="K449" s="68">
        <f>IF($A449="","",YEAR($A449))</f>
        <v/>
      </c>
      <c r="L449" s="68">
        <f>IF($A449="","",MONTH($A449))</f>
        <v/>
      </c>
      <c r="M449" s="68">
        <f>IF($A449="","",DAY($A449))</f>
        <v/>
      </c>
      <c r="N449" s="68">
        <f>IF($A449="","",YEAR($A449)&amp;"-"&amp;TEXT(MONTH($A449),"00"))</f>
        <v/>
      </c>
    </row>
    <row r="450">
      <c r="A450" s="53" t="n"/>
      <c r="B450" s="52" t="n"/>
      <c r="C450" s="52" t="n"/>
      <c r="D450" s="52" t="n"/>
      <c r="E450" s="58">
        <f>IFERROR(VLOOKUP(D450,Maestro_SKU!$A$2:$P$500,2,FALSE),"")</f>
        <v/>
      </c>
      <c r="F450" s="52" t="n"/>
      <c r="G450" s="60" t="n"/>
      <c r="H450" s="52" t="n"/>
      <c r="I450" s="52" t="n"/>
      <c r="J450" s="52" t="n"/>
      <c r="K450" s="68">
        <f>IF($A450="","",YEAR($A450))</f>
        <v/>
      </c>
      <c r="L450" s="68">
        <f>IF($A450="","",MONTH($A450))</f>
        <v/>
      </c>
      <c r="M450" s="68">
        <f>IF($A450="","",DAY($A450))</f>
        <v/>
      </c>
      <c r="N450" s="68">
        <f>IF($A450="","",YEAR($A450)&amp;"-"&amp;TEXT(MONTH($A450),"00"))</f>
        <v/>
      </c>
    </row>
    <row r="451">
      <c r="A451" s="53" t="n"/>
      <c r="B451" s="52" t="n"/>
      <c r="C451" s="52" t="n"/>
      <c r="D451" s="52" t="n"/>
      <c r="E451" s="58">
        <f>IFERROR(VLOOKUP(D451,Maestro_SKU!$A$2:$P$500,2,FALSE),"")</f>
        <v/>
      </c>
      <c r="F451" s="52" t="n"/>
      <c r="G451" s="60" t="n"/>
      <c r="H451" s="52" t="n"/>
      <c r="I451" s="52" t="n"/>
      <c r="J451" s="52" t="n"/>
      <c r="K451" s="68">
        <f>IF($A451="","",YEAR($A451))</f>
        <v/>
      </c>
      <c r="L451" s="68">
        <f>IF($A451="","",MONTH($A451))</f>
        <v/>
      </c>
      <c r="M451" s="68">
        <f>IF($A451="","",DAY($A451))</f>
        <v/>
      </c>
      <c r="N451" s="68">
        <f>IF($A451="","",YEAR($A451)&amp;"-"&amp;TEXT(MONTH($A451),"00"))</f>
        <v/>
      </c>
    </row>
    <row r="452">
      <c r="A452" s="53" t="n"/>
      <c r="B452" s="52" t="n"/>
      <c r="C452" s="52" t="n"/>
      <c r="D452" s="52" t="n"/>
      <c r="E452" s="58">
        <f>IFERROR(VLOOKUP(D452,Maestro_SKU!$A$2:$P$500,2,FALSE),"")</f>
        <v/>
      </c>
      <c r="F452" s="52" t="n"/>
      <c r="G452" s="60" t="n"/>
      <c r="H452" s="52" t="n"/>
      <c r="I452" s="52" t="n"/>
      <c r="J452" s="52" t="n"/>
      <c r="K452" s="68">
        <f>IF($A452="","",YEAR($A452))</f>
        <v/>
      </c>
      <c r="L452" s="68">
        <f>IF($A452="","",MONTH($A452))</f>
        <v/>
      </c>
      <c r="M452" s="68">
        <f>IF($A452="","",DAY($A452))</f>
        <v/>
      </c>
      <c r="N452" s="68">
        <f>IF($A452="","",YEAR($A452)&amp;"-"&amp;TEXT(MONTH($A452),"00"))</f>
        <v/>
      </c>
    </row>
    <row r="453">
      <c r="A453" s="53" t="n"/>
      <c r="B453" s="52" t="n"/>
      <c r="C453" s="52" t="n"/>
      <c r="D453" s="52" t="n"/>
      <c r="E453" s="58">
        <f>IFERROR(VLOOKUP(D453,Maestro_SKU!$A$2:$P$500,2,FALSE),"")</f>
        <v/>
      </c>
      <c r="F453" s="52" t="n"/>
      <c r="G453" s="60" t="n"/>
      <c r="H453" s="52" t="n"/>
      <c r="I453" s="52" t="n"/>
      <c r="J453" s="52" t="n"/>
      <c r="K453" s="68">
        <f>IF($A453="","",YEAR($A453))</f>
        <v/>
      </c>
      <c r="L453" s="68">
        <f>IF($A453="","",MONTH($A453))</f>
        <v/>
      </c>
      <c r="M453" s="68">
        <f>IF($A453="","",DAY($A453))</f>
        <v/>
      </c>
      <c r="N453" s="68">
        <f>IF($A453="","",YEAR($A453)&amp;"-"&amp;TEXT(MONTH($A453),"00"))</f>
        <v/>
      </c>
    </row>
    <row r="454">
      <c r="A454" s="53" t="n"/>
      <c r="B454" s="52" t="n"/>
      <c r="C454" s="52" t="n"/>
      <c r="D454" s="52" t="n"/>
      <c r="E454" s="58">
        <f>IFERROR(VLOOKUP(D454,Maestro_SKU!$A$2:$P$500,2,FALSE),"")</f>
        <v/>
      </c>
      <c r="F454" s="52" t="n"/>
      <c r="G454" s="60" t="n"/>
      <c r="H454" s="52" t="n"/>
      <c r="I454" s="52" t="n"/>
      <c r="J454" s="52" t="n"/>
      <c r="K454" s="68">
        <f>IF($A454="","",YEAR($A454))</f>
        <v/>
      </c>
      <c r="L454" s="68">
        <f>IF($A454="","",MONTH($A454))</f>
        <v/>
      </c>
      <c r="M454" s="68">
        <f>IF($A454="","",DAY($A454))</f>
        <v/>
      </c>
      <c r="N454" s="68">
        <f>IF($A454="","",YEAR($A454)&amp;"-"&amp;TEXT(MONTH($A454),"00"))</f>
        <v/>
      </c>
    </row>
    <row r="455">
      <c r="A455" s="53" t="n"/>
      <c r="B455" s="52" t="n"/>
      <c r="C455" s="52" t="n"/>
      <c r="D455" s="52" t="n"/>
      <c r="E455" s="58">
        <f>IFERROR(VLOOKUP(D455,Maestro_SKU!$A$2:$P$500,2,FALSE),"")</f>
        <v/>
      </c>
      <c r="F455" s="52" t="n"/>
      <c r="G455" s="60" t="n"/>
      <c r="H455" s="52" t="n"/>
      <c r="I455" s="52" t="n"/>
      <c r="J455" s="52" t="n"/>
      <c r="K455" s="68">
        <f>IF($A455="","",YEAR($A455))</f>
        <v/>
      </c>
      <c r="L455" s="68">
        <f>IF($A455="","",MONTH($A455))</f>
        <v/>
      </c>
      <c r="M455" s="68">
        <f>IF($A455="","",DAY($A455))</f>
        <v/>
      </c>
      <c r="N455" s="68">
        <f>IF($A455="","",YEAR($A455)&amp;"-"&amp;TEXT(MONTH($A455),"00"))</f>
        <v/>
      </c>
    </row>
    <row r="456">
      <c r="A456" s="53" t="n"/>
      <c r="B456" s="52" t="n"/>
      <c r="C456" s="52" t="n"/>
      <c r="D456" s="52" t="n"/>
      <c r="E456" s="58">
        <f>IFERROR(VLOOKUP(D456,Maestro_SKU!$A$2:$P$500,2,FALSE),"")</f>
        <v/>
      </c>
      <c r="F456" s="52" t="n"/>
      <c r="G456" s="60" t="n"/>
      <c r="H456" s="52" t="n"/>
      <c r="I456" s="52" t="n"/>
      <c r="J456" s="52" t="n"/>
      <c r="K456" s="68">
        <f>IF($A456="","",YEAR($A456))</f>
        <v/>
      </c>
      <c r="L456" s="68">
        <f>IF($A456="","",MONTH($A456))</f>
        <v/>
      </c>
      <c r="M456" s="68">
        <f>IF($A456="","",DAY($A456))</f>
        <v/>
      </c>
      <c r="N456" s="68">
        <f>IF($A456="","",YEAR($A456)&amp;"-"&amp;TEXT(MONTH($A456),"00"))</f>
        <v/>
      </c>
    </row>
    <row r="457">
      <c r="A457" s="53" t="n"/>
      <c r="B457" s="52" t="n"/>
      <c r="C457" s="52" t="n"/>
      <c r="D457" s="52" t="n"/>
      <c r="E457" s="58">
        <f>IFERROR(VLOOKUP(D457,Maestro_SKU!$A$2:$P$500,2,FALSE),"")</f>
        <v/>
      </c>
      <c r="F457" s="52" t="n"/>
      <c r="G457" s="60" t="n"/>
      <c r="H457" s="52" t="n"/>
      <c r="I457" s="52" t="n"/>
      <c r="J457" s="52" t="n"/>
      <c r="K457" s="68">
        <f>IF($A457="","",YEAR($A457))</f>
        <v/>
      </c>
      <c r="L457" s="68">
        <f>IF($A457="","",MONTH($A457))</f>
        <v/>
      </c>
      <c r="M457" s="68">
        <f>IF($A457="","",DAY($A457))</f>
        <v/>
      </c>
      <c r="N457" s="68">
        <f>IF($A457="","",YEAR($A457)&amp;"-"&amp;TEXT(MONTH($A457),"00"))</f>
        <v/>
      </c>
    </row>
    <row r="458">
      <c r="A458" s="53" t="n"/>
      <c r="B458" s="52" t="n"/>
      <c r="C458" s="52" t="n"/>
      <c r="D458" s="52" t="n"/>
      <c r="E458" s="58">
        <f>IFERROR(VLOOKUP(D458,Maestro_SKU!$A$2:$P$500,2,FALSE),"")</f>
        <v/>
      </c>
      <c r="F458" s="52" t="n"/>
      <c r="G458" s="60" t="n"/>
      <c r="H458" s="52" t="n"/>
      <c r="I458" s="52" t="n"/>
      <c r="J458" s="52" t="n"/>
      <c r="K458" s="68">
        <f>IF($A458="","",YEAR($A458))</f>
        <v/>
      </c>
      <c r="L458" s="68">
        <f>IF($A458="","",MONTH($A458))</f>
        <v/>
      </c>
      <c r="M458" s="68">
        <f>IF($A458="","",DAY($A458))</f>
        <v/>
      </c>
      <c r="N458" s="68">
        <f>IF($A458="","",YEAR($A458)&amp;"-"&amp;TEXT(MONTH($A458),"00"))</f>
        <v/>
      </c>
    </row>
    <row r="459">
      <c r="A459" s="53" t="n"/>
      <c r="B459" s="52" t="n"/>
      <c r="C459" s="52" t="n"/>
      <c r="D459" s="52" t="n"/>
      <c r="E459" s="58">
        <f>IFERROR(VLOOKUP(D459,Maestro_SKU!$A$2:$P$500,2,FALSE),"")</f>
        <v/>
      </c>
      <c r="F459" s="52" t="n"/>
      <c r="G459" s="60" t="n"/>
      <c r="H459" s="52" t="n"/>
      <c r="I459" s="52" t="n"/>
      <c r="J459" s="52" t="n"/>
      <c r="K459" s="68">
        <f>IF($A459="","",YEAR($A459))</f>
        <v/>
      </c>
      <c r="L459" s="68">
        <f>IF($A459="","",MONTH($A459))</f>
        <v/>
      </c>
      <c r="M459" s="68">
        <f>IF($A459="","",DAY($A459))</f>
        <v/>
      </c>
      <c r="N459" s="68">
        <f>IF($A459="","",YEAR($A459)&amp;"-"&amp;TEXT(MONTH($A459),"00"))</f>
        <v/>
      </c>
    </row>
    <row r="460">
      <c r="A460" s="53" t="n"/>
      <c r="B460" s="52" t="n"/>
      <c r="C460" s="52" t="n"/>
      <c r="D460" s="52" t="n"/>
      <c r="E460" s="58">
        <f>IFERROR(VLOOKUP(D460,Maestro_SKU!$A$2:$P$500,2,FALSE),"")</f>
        <v/>
      </c>
      <c r="F460" s="52" t="n"/>
      <c r="G460" s="60" t="n"/>
      <c r="H460" s="52" t="n"/>
      <c r="I460" s="52" t="n"/>
      <c r="J460" s="52" t="n"/>
      <c r="K460" s="68">
        <f>IF($A460="","",YEAR($A460))</f>
        <v/>
      </c>
      <c r="L460" s="68">
        <f>IF($A460="","",MONTH($A460))</f>
        <v/>
      </c>
      <c r="M460" s="68">
        <f>IF($A460="","",DAY($A460))</f>
        <v/>
      </c>
      <c r="N460" s="68">
        <f>IF($A460="","",YEAR($A460)&amp;"-"&amp;TEXT(MONTH($A460),"00"))</f>
        <v/>
      </c>
    </row>
    <row r="461">
      <c r="A461" s="53" t="n"/>
      <c r="B461" s="52" t="n"/>
      <c r="C461" s="52" t="n"/>
      <c r="D461" s="52" t="n"/>
      <c r="E461" s="58">
        <f>IFERROR(VLOOKUP(D461,Maestro_SKU!$A$2:$P$500,2,FALSE),"")</f>
        <v/>
      </c>
      <c r="F461" s="52" t="n"/>
      <c r="G461" s="60" t="n"/>
      <c r="H461" s="52" t="n"/>
      <c r="I461" s="52" t="n"/>
      <c r="J461" s="52" t="n"/>
      <c r="K461" s="68">
        <f>IF($A461="","",YEAR($A461))</f>
        <v/>
      </c>
      <c r="L461" s="68">
        <f>IF($A461="","",MONTH($A461))</f>
        <v/>
      </c>
      <c r="M461" s="68">
        <f>IF($A461="","",DAY($A461))</f>
        <v/>
      </c>
      <c r="N461" s="68">
        <f>IF($A461="","",YEAR($A461)&amp;"-"&amp;TEXT(MONTH($A461),"00"))</f>
        <v/>
      </c>
    </row>
    <row r="462">
      <c r="A462" s="53" t="n"/>
      <c r="B462" s="52" t="n"/>
      <c r="C462" s="52" t="n"/>
      <c r="D462" s="52" t="n"/>
      <c r="E462" s="58">
        <f>IFERROR(VLOOKUP(D462,Maestro_SKU!$A$2:$P$500,2,FALSE),"")</f>
        <v/>
      </c>
      <c r="F462" s="52" t="n"/>
      <c r="G462" s="60" t="n"/>
      <c r="H462" s="52" t="n"/>
      <c r="I462" s="52" t="n"/>
      <c r="J462" s="52" t="n"/>
      <c r="K462" s="68">
        <f>IF($A462="","",YEAR($A462))</f>
        <v/>
      </c>
      <c r="L462" s="68">
        <f>IF($A462="","",MONTH($A462))</f>
        <v/>
      </c>
      <c r="M462" s="68">
        <f>IF($A462="","",DAY($A462))</f>
        <v/>
      </c>
      <c r="N462" s="68">
        <f>IF($A462="","",YEAR($A462)&amp;"-"&amp;TEXT(MONTH($A462),"00"))</f>
        <v/>
      </c>
    </row>
    <row r="463">
      <c r="A463" s="53" t="n"/>
      <c r="B463" s="52" t="n"/>
      <c r="C463" s="52" t="n"/>
      <c r="D463" s="52" t="n"/>
      <c r="E463" s="58">
        <f>IFERROR(VLOOKUP(D463,Maestro_SKU!$A$2:$P$500,2,FALSE),"")</f>
        <v/>
      </c>
      <c r="F463" s="52" t="n"/>
      <c r="G463" s="60" t="n"/>
      <c r="H463" s="52" t="n"/>
      <c r="I463" s="52" t="n"/>
      <c r="J463" s="52" t="n"/>
      <c r="K463" s="68">
        <f>IF($A463="","",YEAR($A463))</f>
        <v/>
      </c>
      <c r="L463" s="68">
        <f>IF($A463="","",MONTH($A463))</f>
        <v/>
      </c>
      <c r="M463" s="68">
        <f>IF($A463="","",DAY($A463))</f>
        <v/>
      </c>
      <c r="N463" s="68">
        <f>IF($A463="","",YEAR($A463)&amp;"-"&amp;TEXT(MONTH($A463),"00"))</f>
        <v/>
      </c>
    </row>
    <row r="464">
      <c r="A464" s="53" t="n"/>
      <c r="B464" s="52" t="n"/>
      <c r="C464" s="52" t="n"/>
      <c r="D464" s="52" t="n"/>
      <c r="E464" s="58">
        <f>IFERROR(VLOOKUP(D464,Maestro_SKU!$A$2:$P$500,2,FALSE),"")</f>
        <v/>
      </c>
      <c r="F464" s="52" t="n"/>
      <c r="G464" s="60" t="n"/>
      <c r="H464" s="52" t="n"/>
      <c r="I464" s="52" t="n"/>
      <c r="J464" s="52" t="n"/>
      <c r="K464" s="68">
        <f>IF($A464="","",YEAR($A464))</f>
        <v/>
      </c>
      <c r="L464" s="68">
        <f>IF($A464="","",MONTH($A464))</f>
        <v/>
      </c>
      <c r="M464" s="68">
        <f>IF($A464="","",DAY($A464))</f>
        <v/>
      </c>
      <c r="N464" s="68">
        <f>IF($A464="","",YEAR($A464)&amp;"-"&amp;TEXT(MONTH($A464),"00"))</f>
        <v/>
      </c>
    </row>
    <row r="465">
      <c r="A465" s="53" t="n"/>
      <c r="B465" s="52" t="n"/>
      <c r="C465" s="52" t="n"/>
      <c r="D465" s="52" t="n"/>
      <c r="E465" s="58">
        <f>IFERROR(VLOOKUP(D465,Maestro_SKU!$A$2:$P$500,2,FALSE),"")</f>
        <v/>
      </c>
      <c r="F465" s="52" t="n"/>
      <c r="G465" s="60" t="n"/>
      <c r="H465" s="52" t="n"/>
      <c r="I465" s="52" t="n"/>
      <c r="J465" s="52" t="n"/>
      <c r="K465" s="68">
        <f>IF($A465="","",YEAR($A465))</f>
        <v/>
      </c>
      <c r="L465" s="68">
        <f>IF($A465="","",MONTH($A465))</f>
        <v/>
      </c>
      <c r="M465" s="68">
        <f>IF($A465="","",DAY($A465))</f>
        <v/>
      </c>
      <c r="N465" s="68">
        <f>IF($A465="","",YEAR($A465)&amp;"-"&amp;TEXT(MONTH($A465),"00"))</f>
        <v/>
      </c>
    </row>
    <row r="466">
      <c r="A466" s="53" t="n"/>
      <c r="B466" s="52" t="n"/>
      <c r="C466" s="52" t="n"/>
      <c r="D466" s="52" t="n"/>
      <c r="E466" s="58">
        <f>IFERROR(VLOOKUP(D466,Maestro_SKU!$A$2:$P$500,2,FALSE),"")</f>
        <v/>
      </c>
      <c r="F466" s="52" t="n"/>
      <c r="G466" s="60" t="n"/>
      <c r="H466" s="52" t="n"/>
      <c r="I466" s="52" t="n"/>
      <c r="J466" s="52" t="n"/>
      <c r="K466" s="68">
        <f>IF($A466="","",YEAR($A466))</f>
        <v/>
      </c>
      <c r="L466" s="68">
        <f>IF($A466="","",MONTH($A466))</f>
        <v/>
      </c>
      <c r="M466" s="68">
        <f>IF($A466="","",DAY($A466))</f>
        <v/>
      </c>
      <c r="N466" s="68">
        <f>IF($A466="","",YEAR($A466)&amp;"-"&amp;TEXT(MONTH($A466),"00"))</f>
        <v/>
      </c>
    </row>
    <row r="467">
      <c r="A467" s="53" t="n"/>
      <c r="B467" s="52" t="n"/>
      <c r="C467" s="52" t="n"/>
      <c r="D467" s="52" t="n"/>
      <c r="E467" s="58">
        <f>IFERROR(VLOOKUP(D467,Maestro_SKU!$A$2:$P$500,2,FALSE),"")</f>
        <v/>
      </c>
      <c r="F467" s="52" t="n"/>
      <c r="G467" s="60" t="n"/>
      <c r="H467" s="52" t="n"/>
      <c r="I467" s="52" t="n"/>
      <c r="J467" s="52" t="n"/>
      <c r="K467" s="68">
        <f>IF($A467="","",YEAR($A467))</f>
        <v/>
      </c>
      <c r="L467" s="68">
        <f>IF($A467="","",MONTH($A467))</f>
        <v/>
      </c>
      <c r="M467" s="68">
        <f>IF($A467="","",DAY($A467))</f>
        <v/>
      </c>
      <c r="N467" s="68">
        <f>IF($A467="","",YEAR($A467)&amp;"-"&amp;TEXT(MONTH($A467),"00"))</f>
        <v/>
      </c>
    </row>
    <row r="468">
      <c r="A468" s="53" t="n"/>
      <c r="B468" s="52" t="n"/>
      <c r="C468" s="52" t="n"/>
      <c r="D468" s="52" t="n"/>
      <c r="E468" s="58">
        <f>IFERROR(VLOOKUP(D468,Maestro_SKU!$A$2:$P$500,2,FALSE),"")</f>
        <v/>
      </c>
      <c r="F468" s="52" t="n"/>
      <c r="G468" s="60" t="n"/>
      <c r="H468" s="52" t="n"/>
      <c r="I468" s="52" t="n"/>
      <c r="J468" s="52" t="n"/>
      <c r="K468" s="68">
        <f>IF($A468="","",YEAR($A468))</f>
        <v/>
      </c>
      <c r="L468" s="68">
        <f>IF($A468="","",MONTH($A468))</f>
        <v/>
      </c>
      <c r="M468" s="68">
        <f>IF($A468="","",DAY($A468))</f>
        <v/>
      </c>
      <c r="N468" s="68">
        <f>IF($A468="","",YEAR($A468)&amp;"-"&amp;TEXT(MONTH($A468),"00"))</f>
        <v/>
      </c>
    </row>
    <row r="469">
      <c r="A469" s="53" t="n"/>
      <c r="B469" s="52" t="n"/>
      <c r="C469" s="52" t="n"/>
      <c r="D469" s="52" t="n"/>
      <c r="E469" s="58">
        <f>IFERROR(VLOOKUP(D469,Maestro_SKU!$A$2:$P$500,2,FALSE),"")</f>
        <v/>
      </c>
      <c r="F469" s="52" t="n"/>
      <c r="G469" s="60" t="n"/>
      <c r="H469" s="52" t="n"/>
      <c r="I469" s="52" t="n"/>
      <c r="J469" s="52" t="n"/>
      <c r="K469" s="68">
        <f>IF($A469="","",YEAR($A469))</f>
        <v/>
      </c>
      <c r="L469" s="68">
        <f>IF($A469="","",MONTH($A469))</f>
        <v/>
      </c>
      <c r="M469" s="68">
        <f>IF($A469="","",DAY($A469))</f>
        <v/>
      </c>
      <c r="N469" s="68">
        <f>IF($A469="","",YEAR($A469)&amp;"-"&amp;TEXT(MONTH($A469),"00"))</f>
        <v/>
      </c>
    </row>
    <row r="470">
      <c r="A470" s="53" t="n"/>
      <c r="B470" s="52" t="n"/>
      <c r="C470" s="52" t="n"/>
      <c r="D470" s="52" t="n"/>
      <c r="E470" s="58">
        <f>IFERROR(VLOOKUP(D470,Maestro_SKU!$A$2:$P$500,2,FALSE),"")</f>
        <v/>
      </c>
      <c r="F470" s="52" t="n"/>
      <c r="G470" s="60" t="n"/>
      <c r="H470" s="52" t="n"/>
      <c r="I470" s="52" t="n"/>
      <c r="J470" s="52" t="n"/>
      <c r="K470" s="68">
        <f>IF($A470="","",YEAR($A470))</f>
        <v/>
      </c>
      <c r="L470" s="68">
        <f>IF($A470="","",MONTH($A470))</f>
        <v/>
      </c>
      <c r="M470" s="68">
        <f>IF($A470="","",DAY($A470))</f>
        <v/>
      </c>
      <c r="N470" s="68">
        <f>IF($A470="","",YEAR($A470)&amp;"-"&amp;TEXT(MONTH($A470),"00"))</f>
        <v/>
      </c>
    </row>
    <row r="471">
      <c r="A471" s="53" t="n"/>
      <c r="B471" s="52" t="n"/>
      <c r="C471" s="52" t="n"/>
      <c r="D471" s="52" t="n"/>
      <c r="E471" s="58">
        <f>IFERROR(VLOOKUP(D471,Maestro_SKU!$A$2:$P$500,2,FALSE),"")</f>
        <v/>
      </c>
      <c r="F471" s="52" t="n"/>
      <c r="G471" s="60" t="n"/>
      <c r="H471" s="52" t="n"/>
      <c r="I471" s="52" t="n"/>
      <c r="J471" s="52" t="n"/>
      <c r="K471" s="68">
        <f>IF($A471="","",YEAR($A471))</f>
        <v/>
      </c>
      <c r="L471" s="68">
        <f>IF($A471="","",MONTH($A471))</f>
        <v/>
      </c>
      <c r="M471" s="68">
        <f>IF($A471="","",DAY($A471))</f>
        <v/>
      </c>
      <c r="N471" s="68">
        <f>IF($A471="","",YEAR($A471)&amp;"-"&amp;TEXT(MONTH($A471),"00"))</f>
        <v/>
      </c>
    </row>
    <row r="472">
      <c r="A472" s="53" t="n"/>
      <c r="B472" s="52" t="n"/>
      <c r="C472" s="52" t="n"/>
      <c r="D472" s="52" t="n"/>
      <c r="E472" s="58">
        <f>IFERROR(VLOOKUP(D472,Maestro_SKU!$A$2:$P$500,2,FALSE),"")</f>
        <v/>
      </c>
      <c r="F472" s="52" t="n"/>
      <c r="G472" s="60" t="n"/>
      <c r="H472" s="52" t="n"/>
      <c r="I472" s="52" t="n"/>
      <c r="J472" s="52" t="n"/>
      <c r="K472" s="68">
        <f>IF($A472="","",YEAR($A472))</f>
        <v/>
      </c>
      <c r="L472" s="68">
        <f>IF($A472="","",MONTH($A472))</f>
        <v/>
      </c>
      <c r="M472" s="68">
        <f>IF($A472="","",DAY($A472))</f>
        <v/>
      </c>
      <c r="N472" s="68">
        <f>IF($A472="","",YEAR($A472)&amp;"-"&amp;TEXT(MONTH($A472),"00"))</f>
        <v/>
      </c>
    </row>
    <row r="473">
      <c r="A473" s="53" t="n"/>
      <c r="B473" s="52" t="n"/>
      <c r="C473" s="52" t="n"/>
      <c r="D473" s="52" t="n"/>
      <c r="E473" s="58">
        <f>IFERROR(VLOOKUP(D473,Maestro_SKU!$A$2:$P$500,2,FALSE),"")</f>
        <v/>
      </c>
      <c r="F473" s="52" t="n"/>
      <c r="G473" s="60" t="n"/>
      <c r="H473" s="52" t="n"/>
      <c r="I473" s="52" t="n"/>
      <c r="J473" s="52" t="n"/>
      <c r="K473" s="68">
        <f>IF($A473="","",YEAR($A473))</f>
        <v/>
      </c>
      <c r="L473" s="68">
        <f>IF($A473="","",MONTH($A473))</f>
        <v/>
      </c>
      <c r="M473" s="68">
        <f>IF($A473="","",DAY($A473))</f>
        <v/>
      </c>
      <c r="N473" s="68">
        <f>IF($A473="","",YEAR($A473)&amp;"-"&amp;TEXT(MONTH($A473),"00"))</f>
        <v/>
      </c>
    </row>
    <row r="474">
      <c r="A474" s="53" t="n"/>
      <c r="B474" s="52" t="n"/>
      <c r="C474" s="52" t="n"/>
      <c r="D474" s="52" t="n"/>
      <c r="E474" s="58">
        <f>IFERROR(VLOOKUP(D474,Maestro_SKU!$A$2:$P$500,2,FALSE),"")</f>
        <v/>
      </c>
      <c r="F474" s="52" t="n"/>
      <c r="G474" s="60" t="n"/>
      <c r="H474" s="52" t="n"/>
      <c r="I474" s="52" t="n"/>
      <c r="J474" s="52" t="n"/>
      <c r="K474" s="68">
        <f>IF($A474="","",YEAR($A474))</f>
        <v/>
      </c>
      <c r="L474" s="68">
        <f>IF($A474="","",MONTH($A474))</f>
        <v/>
      </c>
      <c r="M474" s="68">
        <f>IF($A474="","",DAY($A474))</f>
        <v/>
      </c>
      <c r="N474" s="68">
        <f>IF($A474="","",YEAR($A474)&amp;"-"&amp;TEXT(MONTH($A474),"00"))</f>
        <v/>
      </c>
    </row>
    <row r="475">
      <c r="A475" s="53" t="n"/>
      <c r="B475" s="52" t="n"/>
      <c r="C475" s="52" t="n"/>
      <c r="D475" s="52" t="n"/>
      <c r="E475" s="58">
        <f>IFERROR(VLOOKUP(D475,Maestro_SKU!$A$2:$P$500,2,FALSE),"")</f>
        <v/>
      </c>
      <c r="F475" s="52" t="n"/>
      <c r="G475" s="60" t="n"/>
      <c r="H475" s="52" t="n"/>
      <c r="I475" s="52" t="n"/>
      <c r="J475" s="52" t="n"/>
      <c r="K475" s="68">
        <f>IF($A475="","",YEAR($A475))</f>
        <v/>
      </c>
      <c r="L475" s="68">
        <f>IF($A475="","",MONTH($A475))</f>
        <v/>
      </c>
      <c r="M475" s="68">
        <f>IF($A475="","",DAY($A475))</f>
        <v/>
      </c>
      <c r="N475" s="68">
        <f>IF($A475="","",YEAR($A475)&amp;"-"&amp;TEXT(MONTH($A475),"00"))</f>
        <v/>
      </c>
    </row>
    <row r="476">
      <c r="A476" s="53" t="n"/>
      <c r="B476" s="52" t="n"/>
      <c r="C476" s="52" t="n"/>
      <c r="D476" s="52" t="n"/>
      <c r="E476" s="58">
        <f>IFERROR(VLOOKUP(D476,Maestro_SKU!$A$2:$P$500,2,FALSE),"")</f>
        <v/>
      </c>
      <c r="F476" s="52" t="n"/>
      <c r="G476" s="60" t="n"/>
      <c r="H476" s="52" t="n"/>
      <c r="I476" s="52" t="n"/>
      <c r="J476" s="52" t="n"/>
      <c r="K476" s="68">
        <f>IF($A476="","",YEAR($A476))</f>
        <v/>
      </c>
      <c r="L476" s="68">
        <f>IF($A476="","",MONTH($A476))</f>
        <v/>
      </c>
      <c r="M476" s="68">
        <f>IF($A476="","",DAY($A476))</f>
        <v/>
      </c>
      <c r="N476" s="68">
        <f>IF($A476="","",YEAR($A476)&amp;"-"&amp;TEXT(MONTH($A476),"00"))</f>
        <v/>
      </c>
    </row>
    <row r="477">
      <c r="A477" s="53" t="n"/>
      <c r="B477" s="52" t="n"/>
      <c r="C477" s="52" t="n"/>
      <c r="D477" s="52" t="n"/>
      <c r="E477" s="58">
        <f>IFERROR(VLOOKUP(D477,Maestro_SKU!$A$2:$P$500,2,FALSE),"")</f>
        <v/>
      </c>
      <c r="F477" s="52" t="n"/>
      <c r="G477" s="60" t="n"/>
      <c r="H477" s="52" t="n"/>
      <c r="I477" s="52" t="n"/>
      <c r="J477" s="52" t="n"/>
      <c r="K477" s="68">
        <f>IF($A477="","",YEAR($A477))</f>
        <v/>
      </c>
      <c r="L477" s="68">
        <f>IF($A477="","",MONTH($A477))</f>
        <v/>
      </c>
      <c r="M477" s="68">
        <f>IF($A477="","",DAY($A477))</f>
        <v/>
      </c>
      <c r="N477" s="68">
        <f>IF($A477="","",YEAR($A477)&amp;"-"&amp;TEXT(MONTH($A477),"00"))</f>
        <v/>
      </c>
    </row>
    <row r="478">
      <c r="A478" s="53" t="n"/>
      <c r="B478" s="52" t="n"/>
      <c r="C478" s="52" t="n"/>
      <c r="D478" s="52" t="n"/>
      <c r="E478" s="58">
        <f>IFERROR(VLOOKUP(D478,Maestro_SKU!$A$2:$P$500,2,FALSE),"")</f>
        <v/>
      </c>
      <c r="F478" s="52" t="n"/>
      <c r="G478" s="60" t="n"/>
      <c r="H478" s="52" t="n"/>
      <c r="I478" s="52" t="n"/>
      <c r="J478" s="52" t="n"/>
      <c r="K478" s="68">
        <f>IF($A478="","",YEAR($A478))</f>
        <v/>
      </c>
      <c r="L478" s="68">
        <f>IF($A478="","",MONTH($A478))</f>
        <v/>
      </c>
      <c r="M478" s="68">
        <f>IF($A478="","",DAY($A478))</f>
        <v/>
      </c>
      <c r="N478" s="68">
        <f>IF($A478="","",YEAR($A478)&amp;"-"&amp;TEXT(MONTH($A478),"00"))</f>
        <v/>
      </c>
    </row>
    <row r="479">
      <c r="A479" s="53" t="n"/>
      <c r="B479" s="52" t="n"/>
      <c r="C479" s="52" t="n"/>
      <c r="D479" s="52" t="n"/>
      <c r="E479" s="58">
        <f>IFERROR(VLOOKUP(D479,Maestro_SKU!$A$2:$P$500,2,FALSE),"")</f>
        <v/>
      </c>
      <c r="F479" s="52" t="n"/>
      <c r="G479" s="60" t="n"/>
      <c r="H479" s="52" t="n"/>
      <c r="I479" s="52" t="n"/>
      <c r="J479" s="52" t="n"/>
      <c r="K479" s="68">
        <f>IF($A479="","",YEAR($A479))</f>
        <v/>
      </c>
      <c r="L479" s="68">
        <f>IF($A479="","",MONTH($A479))</f>
        <v/>
      </c>
      <c r="M479" s="68">
        <f>IF($A479="","",DAY($A479))</f>
        <v/>
      </c>
      <c r="N479" s="68">
        <f>IF($A479="","",YEAR($A479)&amp;"-"&amp;TEXT(MONTH($A479),"00"))</f>
        <v/>
      </c>
    </row>
    <row r="480">
      <c r="A480" s="53" t="n"/>
      <c r="B480" s="52" t="n"/>
      <c r="C480" s="52" t="n"/>
      <c r="D480" s="52" t="n"/>
      <c r="E480" s="58">
        <f>IFERROR(VLOOKUP(D480,Maestro_SKU!$A$2:$P$500,2,FALSE),"")</f>
        <v/>
      </c>
      <c r="F480" s="52" t="n"/>
      <c r="G480" s="60" t="n"/>
      <c r="H480" s="52" t="n"/>
      <c r="I480" s="52" t="n"/>
      <c r="J480" s="52" t="n"/>
      <c r="K480" s="68">
        <f>IF($A480="","",YEAR($A480))</f>
        <v/>
      </c>
      <c r="L480" s="68">
        <f>IF($A480="","",MONTH($A480))</f>
        <v/>
      </c>
      <c r="M480" s="68">
        <f>IF($A480="","",DAY($A480))</f>
        <v/>
      </c>
      <c r="N480" s="68">
        <f>IF($A480="","",YEAR($A480)&amp;"-"&amp;TEXT(MONTH($A480),"00"))</f>
        <v/>
      </c>
    </row>
    <row r="481">
      <c r="A481" s="53" t="n"/>
      <c r="B481" s="52" t="n"/>
      <c r="C481" s="52" t="n"/>
      <c r="D481" s="52" t="n"/>
      <c r="E481" s="58">
        <f>IFERROR(VLOOKUP(D481,Maestro_SKU!$A$2:$P$500,2,FALSE),"")</f>
        <v/>
      </c>
      <c r="F481" s="52" t="n"/>
      <c r="G481" s="60" t="n"/>
      <c r="H481" s="52" t="n"/>
      <c r="I481" s="52" t="n"/>
      <c r="J481" s="52" t="n"/>
      <c r="K481" s="68">
        <f>IF($A481="","",YEAR($A481))</f>
        <v/>
      </c>
      <c r="L481" s="68">
        <f>IF($A481="","",MONTH($A481))</f>
        <v/>
      </c>
      <c r="M481" s="68">
        <f>IF($A481="","",DAY($A481))</f>
        <v/>
      </c>
      <c r="N481" s="68">
        <f>IF($A481="","",YEAR($A481)&amp;"-"&amp;TEXT(MONTH($A481),"00"))</f>
        <v/>
      </c>
    </row>
    <row r="482">
      <c r="A482" s="53" t="n"/>
      <c r="B482" s="52" t="n"/>
      <c r="C482" s="52" t="n"/>
      <c r="D482" s="52" t="n"/>
      <c r="E482" s="58">
        <f>IFERROR(VLOOKUP(D482,Maestro_SKU!$A$2:$P$500,2,FALSE),"")</f>
        <v/>
      </c>
      <c r="F482" s="52" t="n"/>
      <c r="G482" s="60" t="n"/>
      <c r="H482" s="52" t="n"/>
      <c r="I482" s="52" t="n"/>
      <c r="J482" s="52" t="n"/>
      <c r="K482" s="68">
        <f>IF($A482="","",YEAR($A482))</f>
        <v/>
      </c>
      <c r="L482" s="68">
        <f>IF($A482="","",MONTH($A482))</f>
        <v/>
      </c>
      <c r="M482" s="68">
        <f>IF($A482="","",DAY($A482))</f>
        <v/>
      </c>
      <c r="N482" s="68">
        <f>IF($A482="","",YEAR($A482)&amp;"-"&amp;TEXT(MONTH($A482),"00"))</f>
        <v/>
      </c>
    </row>
    <row r="483">
      <c r="A483" s="53" t="n"/>
      <c r="B483" s="52" t="n"/>
      <c r="C483" s="52" t="n"/>
      <c r="D483" s="52" t="n"/>
      <c r="E483" s="58">
        <f>IFERROR(VLOOKUP(D483,Maestro_SKU!$A$2:$P$500,2,FALSE),"")</f>
        <v/>
      </c>
      <c r="F483" s="52" t="n"/>
      <c r="G483" s="60" t="n"/>
      <c r="H483" s="52" t="n"/>
      <c r="I483" s="52" t="n"/>
      <c r="J483" s="52" t="n"/>
      <c r="K483" s="68">
        <f>IF($A483="","",YEAR($A483))</f>
        <v/>
      </c>
      <c r="L483" s="68">
        <f>IF($A483="","",MONTH($A483))</f>
        <v/>
      </c>
      <c r="M483" s="68">
        <f>IF($A483="","",DAY($A483))</f>
        <v/>
      </c>
      <c r="N483" s="68">
        <f>IF($A483="","",YEAR($A483)&amp;"-"&amp;TEXT(MONTH($A483),"00"))</f>
        <v/>
      </c>
    </row>
    <row r="484">
      <c r="A484" s="53" t="n"/>
      <c r="B484" s="52" t="n"/>
      <c r="C484" s="52" t="n"/>
      <c r="D484" s="52" t="n"/>
      <c r="E484" s="58">
        <f>IFERROR(VLOOKUP(D484,Maestro_SKU!$A$2:$P$500,2,FALSE),"")</f>
        <v/>
      </c>
      <c r="F484" s="52" t="n"/>
      <c r="G484" s="60" t="n"/>
      <c r="H484" s="52" t="n"/>
      <c r="I484" s="52" t="n"/>
      <c r="J484" s="52" t="n"/>
      <c r="K484" s="68">
        <f>IF($A484="","",YEAR($A484))</f>
        <v/>
      </c>
      <c r="L484" s="68">
        <f>IF($A484="","",MONTH($A484))</f>
        <v/>
      </c>
      <c r="M484" s="68">
        <f>IF($A484="","",DAY($A484))</f>
        <v/>
      </c>
      <c r="N484" s="68">
        <f>IF($A484="","",YEAR($A484)&amp;"-"&amp;TEXT(MONTH($A484),"00"))</f>
        <v/>
      </c>
    </row>
    <row r="485">
      <c r="A485" s="53" t="n"/>
      <c r="B485" s="52" t="n"/>
      <c r="C485" s="52" t="n"/>
      <c r="D485" s="52" t="n"/>
      <c r="E485" s="58">
        <f>IFERROR(VLOOKUP(D485,Maestro_SKU!$A$2:$P$500,2,FALSE),"")</f>
        <v/>
      </c>
      <c r="F485" s="52" t="n"/>
      <c r="G485" s="60" t="n"/>
      <c r="H485" s="52" t="n"/>
      <c r="I485" s="52" t="n"/>
      <c r="J485" s="52" t="n"/>
      <c r="K485" s="68">
        <f>IF($A485="","",YEAR($A485))</f>
        <v/>
      </c>
      <c r="L485" s="68">
        <f>IF($A485="","",MONTH($A485))</f>
        <v/>
      </c>
      <c r="M485" s="68">
        <f>IF($A485="","",DAY($A485))</f>
        <v/>
      </c>
      <c r="N485" s="68">
        <f>IF($A485="","",YEAR($A485)&amp;"-"&amp;TEXT(MONTH($A485),"00"))</f>
        <v/>
      </c>
    </row>
    <row r="486">
      <c r="A486" s="53" t="n"/>
      <c r="B486" s="52" t="n"/>
      <c r="C486" s="52" t="n"/>
      <c r="D486" s="52" t="n"/>
      <c r="E486" s="58">
        <f>IFERROR(VLOOKUP(D486,Maestro_SKU!$A$2:$P$500,2,FALSE),"")</f>
        <v/>
      </c>
      <c r="F486" s="52" t="n"/>
      <c r="G486" s="60" t="n"/>
      <c r="H486" s="52" t="n"/>
      <c r="I486" s="52" t="n"/>
      <c r="J486" s="52" t="n"/>
      <c r="K486" s="68">
        <f>IF($A486="","",YEAR($A486))</f>
        <v/>
      </c>
      <c r="L486" s="68">
        <f>IF($A486="","",MONTH($A486))</f>
        <v/>
      </c>
      <c r="M486" s="68">
        <f>IF($A486="","",DAY($A486))</f>
        <v/>
      </c>
      <c r="N486" s="68">
        <f>IF($A486="","",YEAR($A486)&amp;"-"&amp;TEXT(MONTH($A486),"00"))</f>
        <v/>
      </c>
    </row>
    <row r="487">
      <c r="A487" s="53" t="n"/>
      <c r="B487" s="52" t="n"/>
      <c r="C487" s="52" t="n"/>
      <c r="D487" s="52" t="n"/>
      <c r="E487" s="58">
        <f>IFERROR(VLOOKUP(D487,Maestro_SKU!$A$2:$P$500,2,FALSE),"")</f>
        <v/>
      </c>
      <c r="F487" s="52" t="n"/>
      <c r="G487" s="60" t="n"/>
      <c r="H487" s="52" t="n"/>
      <c r="I487" s="52" t="n"/>
      <c r="J487" s="52" t="n"/>
      <c r="K487" s="68">
        <f>IF($A487="","",YEAR($A487))</f>
        <v/>
      </c>
      <c r="L487" s="68">
        <f>IF($A487="","",MONTH($A487))</f>
        <v/>
      </c>
      <c r="M487" s="68">
        <f>IF($A487="","",DAY($A487))</f>
        <v/>
      </c>
      <c r="N487" s="68">
        <f>IF($A487="","",YEAR($A487)&amp;"-"&amp;TEXT(MONTH($A487),"00"))</f>
        <v/>
      </c>
    </row>
    <row r="488">
      <c r="A488" s="53" t="n"/>
      <c r="B488" s="52" t="n"/>
      <c r="C488" s="52" t="n"/>
      <c r="D488" s="52" t="n"/>
      <c r="E488" s="58">
        <f>IFERROR(VLOOKUP(D488,Maestro_SKU!$A$2:$P$500,2,FALSE),"")</f>
        <v/>
      </c>
      <c r="F488" s="52" t="n"/>
      <c r="G488" s="60" t="n"/>
      <c r="H488" s="52" t="n"/>
      <c r="I488" s="52" t="n"/>
      <c r="J488" s="52" t="n"/>
      <c r="K488" s="68">
        <f>IF($A488="","",YEAR($A488))</f>
        <v/>
      </c>
      <c r="L488" s="68">
        <f>IF($A488="","",MONTH($A488))</f>
        <v/>
      </c>
      <c r="M488" s="68">
        <f>IF($A488="","",DAY($A488))</f>
        <v/>
      </c>
      <c r="N488" s="68">
        <f>IF($A488="","",YEAR($A488)&amp;"-"&amp;TEXT(MONTH($A488),"00"))</f>
        <v/>
      </c>
    </row>
    <row r="489">
      <c r="A489" s="53" t="n"/>
      <c r="B489" s="52" t="n"/>
      <c r="C489" s="52" t="n"/>
      <c r="D489" s="52" t="n"/>
      <c r="E489" s="58">
        <f>IFERROR(VLOOKUP(D489,Maestro_SKU!$A$2:$P$500,2,FALSE),"")</f>
        <v/>
      </c>
      <c r="F489" s="52" t="n"/>
      <c r="G489" s="60" t="n"/>
      <c r="H489" s="52" t="n"/>
      <c r="I489" s="52" t="n"/>
      <c r="J489" s="52" t="n"/>
      <c r="K489" s="68">
        <f>IF($A489="","",YEAR($A489))</f>
        <v/>
      </c>
      <c r="L489" s="68">
        <f>IF($A489="","",MONTH($A489))</f>
        <v/>
      </c>
      <c r="M489" s="68">
        <f>IF($A489="","",DAY($A489))</f>
        <v/>
      </c>
      <c r="N489" s="68">
        <f>IF($A489="","",YEAR($A489)&amp;"-"&amp;TEXT(MONTH($A489),"00"))</f>
        <v/>
      </c>
    </row>
    <row r="490">
      <c r="A490" s="53" t="n"/>
      <c r="B490" s="52" t="n"/>
      <c r="C490" s="52" t="n"/>
      <c r="D490" s="52" t="n"/>
      <c r="E490" s="58">
        <f>IFERROR(VLOOKUP(D490,Maestro_SKU!$A$2:$P$500,2,FALSE),"")</f>
        <v/>
      </c>
      <c r="F490" s="52" t="n"/>
      <c r="G490" s="60" t="n"/>
      <c r="H490" s="52" t="n"/>
      <c r="I490" s="52" t="n"/>
      <c r="J490" s="52" t="n"/>
      <c r="K490" s="68">
        <f>IF($A490="","",YEAR($A490))</f>
        <v/>
      </c>
      <c r="L490" s="68">
        <f>IF($A490="","",MONTH($A490))</f>
        <v/>
      </c>
      <c r="M490" s="68">
        <f>IF($A490="","",DAY($A490))</f>
        <v/>
      </c>
      <c r="N490" s="68">
        <f>IF($A490="","",YEAR($A490)&amp;"-"&amp;TEXT(MONTH($A490),"00"))</f>
        <v/>
      </c>
    </row>
    <row r="491">
      <c r="A491" s="53" t="n"/>
      <c r="B491" s="52" t="n"/>
      <c r="C491" s="52" t="n"/>
      <c r="D491" s="52" t="n"/>
      <c r="E491" s="58">
        <f>IFERROR(VLOOKUP(D491,Maestro_SKU!$A$2:$P$500,2,FALSE),"")</f>
        <v/>
      </c>
      <c r="F491" s="52" t="n"/>
      <c r="G491" s="60" t="n"/>
      <c r="H491" s="52" t="n"/>
      <c r="I491" s="52" t="n"/>
      <c r="J491" s="52" t="n"/>
      <c r="K491" s="68">
        <f>IF($A491="","",YEAR($A491))</f>
        <v/>
      </c>
      <c r="L491" s="68">
        <f>IF($A491="","",MONTH($A491))</f>
        <v/>
      </c>
      <c r="M491" s="68">
        <f>IF($A491="","",DAY($A491))</f>
        <v/>
      </c>
      <c r="N491" s="68">
        <f>IF($A491="","",YEAR($A491)&amp;"-"&amp;TEXT(MONTH($A491),"00"))</f>
        <v/>
      </c>
    </row>
    <row r="492">
      <c r="A492" s="53" t="n"/>
      <c r="B492" s="52" t="n"/>
      <c r="C492" s="52" t="n"/>
      <c r="D492" s="52" t="n"/>
      <c r="E492" s="58">
        <f>IFERROR(VLOOKUP(D492,Maestro_SKU!$A$2:$P$500,2,FALSE),"")</f>
        <v/>
      </c>
      <c r="F492" s="52" t="n"/>
      <c r="G492" s="60" t="n"/>
      <c r="H492" s="52" t="n"/>
      <c r="I492" s="52" t="n"/>
      <c r="J492" s="52" t="n"/>
      <c r="K492" s="68">
        <f>IF($A492="","",YEAR($A492))</f>
        <v/>
      </c>
      <c r="L492" s="68">
        <f>IF($A492="","",MONTH($A492))</f>
        <v/>
      </c>
      <c r="M492" s="68">
        <f>IF($A492="","",DAY($A492))</f>
        <v/>
      </c>
      <c r="N492" s="68">
        <f>IF($A492="","",YEAR($A492)&amp;"-"&amp;TEXT(MONTH($A492),"00"))</f>
        <v/>
      </c>
    </row>
    <row r="493">
      <c r="A493" s="53" t="n"/>
      <c r="B493" s="52" t="n"/>
      <c r="C493" s="52" t="n"/>
      <c r="D493" s="52" t="n"/>
      <c r="E493" s="58">
        <f>IFERROR(VLOOKUP(D493,Maestro_SKU!$A$2:$P$500,2,FALSE),"")</f>
        <v/>
      </c>
      <c r="F493" s="52" t="n"/>
      <c r="G493" s="60" t="n"/>
      <c r="H493" s="52" t="n"/>
      <c r="I493" s="52" t="n"/>
      <c r="J493" s="52" t="n"/>
      <c r="K493" s="68">
        <f>IF($A493="","",YEAR($A493))</f>
        <v/>
      </c>
      <c r="L493" s="68">
        <f>IF($A493="","",MONTH($A493))</f>
        <v/>
      </c>
      <c r="M493" s="68">
        <f>IF($A493="","",DAY($A493))</f>
        <v/>
      </c>
      <c r="N493" s="68">
        <f>IF($A493="","",YEAR($A493)&amp;"-"&amp;TEXT(MONTH($A493),"00"))</f>
        <v/>
      </c>
    </row>
    <row r="494">
      <c r="A494" s="53" t="n"/>
      <c r="B494" s="52" t="n"/>
      <c r="C494" s="52" t="n"/>
      <c r="D494" s="52" t="n"/>
      <c r="E494" s="58">
        <f>IFERROR(VLOOKUP(D494,Maestro_SKU!$A$2:$P$500,2,FALSE),"")</f>
        <v/>
      </c>
      <c r="F494" s="52" t="n"/>
      <c r="G494" s="60" t="n"/>
      <c r="H494" s="52" t="n"/>
      <c r="I494" s="52" t="n"/>
      <c r="J494" s="52" t="n"/>
      <c r="K494" s="68">
        <f>IF($A494="","",YEAR($A494))</f>
        <v/>
      </c>
      <c r="L494" s="68">
        <f>IF($A494="","",MONTH($A494))</f>
        <v/>
      </c>
      <c r="M494" s="68">
        <f>IF($A494="","",DAY($A494))</f>
        <v/>
      </c>
      <c r="N494" s="68">
        <f>IF($A494="","",YEAR($A494)&amp;"-"&amp;TEXT(MONTH($A494),"00"))</f>
        <v/>
      </c>
    </row>
    <row r="495">
      <c r="A495" s="53" t="n"/>
      <c r="B495" s="52" t="n"/>
      <c r="C495" s="52" t="n"/>
      <c r="D495" s="52" t="n"/>
      <c r="E495" s="58">
        <f>IFERROR(VLOOKUP(D495,Maestro_SKU!$A$2:$P$500,2,FALSE),"")</f>
        <v/>
      </c>
      <c r="F495" s="52" t="n"/>
      <c r="G495" s="60" t="n"/>
      <c r="H495" s="52" t="n"/>
      <c r="I495" s="52" t="n"/>
      <c r="J495" s="52" t="n"/>
      <c r="K495" s="68">
        <f>IF($A495="","",YEAR($A495))</f>
        <v/>
      </c>
      <c r="L495" s="68">
        <f>IF($A495="","",MONTH($A495))</f>
        <v/>
      </c>
      <c r="M495" s="68">
        <f>IF($A495="","",DAY($A495))</f>
        <v/>
      </c>
      <c r="N495" s="68">
        <f>IF($A495="","",YEAR($A495)&amp;"-"&amp;TEXT(MONTH($A495),"00"))</f>
        <v/>
      </c>
    </row>
    <row r="496">
      <c r="A496" s="53" t="n"/>
      <c r="B496" s="52" t="n"/>
      <c r="C496" s="52" t="n"/>
      <c r="D496" s="52" t="n"/>
      <c r="E496" s="58">
        <f>IFERROR(VLOOKUP(D496,Maestro_SKU!$A$2:$P$500,2,FALSE),"")</f>
        <v/>
      </c>
      <c r="F496" s="52" t="n"/>
      <c r="G496" s="60" t="n"/>
      <c r="H496" s="52" t="n"/>
      <c r="I496" s="52" t="n"/>
      <c r="J496" s="52" t="n"/>
      <c r="K496" s="68">
        <f>IF($A496="","",YEAR($A496))</f>
        <v/>
      </c>
      <c r="L496" s="68">
        <f>IF($A496="","",MONTH($A496))</f>
        <v/>
      </c>
      <c r="M496" s="68">
        <f>IF($A496="","",DAY($A496))</f>
        <v/>
      </c>
      <c r="N496" s="68">
        <f>IF($A496="","",YEAR($A496)&amp;"-"&amp;TEXT(MONTH($A496),"00"))</f>
        <v/>
      </c>
    </row>
    <row r="497">
      <c r="A497" s="53" t="n"/>
      <c r="B497" s="52" t="n"/>
      <c r="C497" s="52" t="n"/>
      <c r="D497" s="52" t="n"/>
      <c r="E497" s="58">
        <f>IFERROR(VLOOKUP(D497,Maestro_SKU!$A$2:$P$500,2,FALSE),"")</f>
        <v/>
      </c>
      <c r="F497" s="52" t="n"/>
      <c r="G497" s="60" t="n"/>
      <c r="H497" s="52" t="n"/>
      <c r="I497" s="52" t="n"/>
      <c r="J497" s="52" t="n"/>
      <c r="K497" s="68">
        <f>IF($A497="","",YEAR($A497))</f>
        <v/>
      </c>
      <c r="L497" s="68">
        <f>IF($A497="","",MONTH($A497))</f>
        <v/>
      </c>
      <c r="M497" s="68">
        <f>IF($A497="","",DAY($A497))</f>
        <v/>
      </c>
      <c r="N497" s="68">
        <f>IF($A497="","",YEAR($A497)&amp;"-"&amp;TEXT(MONTH($A497),"00"))</f>
        <v/>
      </c>
    </row>
    <row r="498">
      <c r="A498" s="53" t="n"/>
      <c r="B498" s="52" t="n"/>
      <c r="C498" s="52" t="n"/>
      <c r="D498" s="52" t="n"/>
      <c r="E498" s="58">
        <f>IFERROR(VLOOKUP(D498,Maestro_SKU!$A$2:$P$500,2,FALSE),"")</f>
        <v/>
      </c>
      <c r="F498" s="52" t="n"/>
      <c r="G498" s="60" t="n"/>
      <c r="H498" s="52" t="n"/>
      <c r="I498" s="52" t="n"/>
      <c r="J498" s="52" t="n"/>
      <c r="K498" s="68">
        <f>IF($A498="","",YEAR($A498))</f>
        <v/>
      </c>
      <c r="L498" s="68">
        <f>IF($A498="","",MONTH($A498))</f>
        <v/>
      </c>
      <c r="M498" s="68">
        <f>IF($A498="","",DAY($A498))</f>
        <v/>
      </c>
      <c r="N498" s="68">
        <f>IF($A498="","",YEAR($A498)&amp;"-"&amp;TEXT(MONTH($A498),"00"))</f>
        <v/>
      </c>
    </row>
    <row r="499">
      <c r="A499" s="53" t="n"/>
      <c r="B499" s="52" t="n"/>
      <c r="C499" s="52" t="n"/>
      <c r="D499" s="52" t="n"/>
      <c r="E499" s="58">
        <f>IFERROR(VLOOKUP(D499,Maestro_SKU!$A$2:$P$500,2,FALSE),"")</f>
        <v/>
      </c>
      <c r="F499" s="52" t="n"/>
      <c r="G499" s="60" t="n"/>
      <c r="H499" s="52" t="n"/>
      <c r="I499" s="52" t="n"/>
      <c r="J499" s="52" t="n"/>
      <c r="K499" s="68">
        <f>IF($A499="","",YEAR($A499))</f>
        <v/>
      </c>
      <c r="L499" s="68">
        <f>IF($A499="","",MONTH($A499))</f>
        <v/>
      </c>
      <c r="M499" s="68">
        <f>IF($A499="","",DAY($A499))</f>
        <v/>
      </c>
      <c r="N499" s="68">
        <f>IF($A499="","",YEAR($A499)&amp;"-"&amp;TEXT(MONTH($A499),"00"))</f>
        <v/>
      </c>
    </row>
    <row r="500">
      <c r="A500" s="53" t="n"/>
      <c r="B500" s="52" t="n"/>
      <c r="C500" s="52" t="n"/>
      <c r="D500" s="52" t="n"/>
      <c r="E500" s="58">
        <f>IFERROR(VLOOKUP(D500,Maestro_SKU!$A$2:$P$500,2,FALSE),"")</f>
        <v/>
      </c>
      <c r="F500" s="52" t="n"/>
      <c r="G500" s="60" t="n"/>
      <c r="H500" s="52" t="n"/>
      <c r="I500" s="52" t="n"/>
      <c r="J500" s="52" t="n"/>
      <c r="K500" s="68">
        <f>IF($A500="","",YEAR($A500))</f>
        <v/>
      </c>
      <c r="L500" s="68">
        <f>IF($A500="","",MONTH($A500))</f>
        <v/>
      </c>
      <c r="M500" s="68">
        <f>IF($A500="","",DAY($A500))</f>
        <v/>
      </c>
      <c r="N500" s="68">
        <f>IF($A500="","",YEAR($A500)&amp;"-"&amp;TEXT(MONTH($A500),"00"))</f>
        <v/>
      </c>
    </row>
    <row r="501">
      <c r="A501" s="53" t="n"/>
      <c r="B501" s="52" t="n"/>
      <c r="C501" s="52" t="n"/>
      <c r="D501" s="52" t="n"/>
      <c r="E501" s="58">
        <f>IFERROR(VLOOKUP(D501,Maestro_SKU!$A$2:$P$500,2,FALSE),"")</f>
        <v/>
      </c>
      <c r="F501" s="52" t="n"/>
      <c r="G501" s="60" t="n"/>
      <c r="H501" s="52" t="n"/>
      <c r="I501" s="52" t="n"/>
      <c r="J501" s="52" t="n"/>
      <c r="K501" s="68">
        <f>IF($A501="","",YEAR($A501))</f>
        <v/>
      </c>
      <c r="L501" s="68">
        <f>IF($A501="","",MONTH($A501))</f>
        <v/>
      </c>
      <c r="M501" s="68">
        <f>IF($A501="","",DAY($A501))</f>
        <v/>
      </c>
      <c r="N501" s="68">
        <f>IF($A501="","",YEAR($A501)&amp;"-"&amp;TEXT(MONTH($A501),"00"))</f>
        <v/>
      </c>
    </row>
    <row r="502">
      <c r="A502" s="53" t="n"/>
      <c r="B502" s="52" t="n"/>
      <c r="C502" s="52" t="n"/>
      <c r="D502" s="52" t="n"/>
      <c r="E502" s="58">
        <f>IFERROR(VLOOKUP(D502,Maestro_SKU!$A$2:$P$500,2,FALSE),"")</f>
        <v/>
      </c>
      <c r="F502" s="52" t="n"/>
      <c r="G502" s="60" t="n"/>
      <c r="H502" s="52" t="n"/>
      <c r="I502" s="52" t="n"/>
      <c r="J502" s="52" t="n"/>
      <c r="K502" s="68">
        <f>IF($A502="","",YEAR($A502))</f>
        <v/>
      </c>
      <c r="L502" s="68">
        <f>IF($A502="","",MONTH($A502))</f>
        <v/>
      </c>
      <c r="M502" s="68">
        <f>IF($A502="","",DAY($A502))</f>
        <v/>
      </c>
      <c r="N502" s="68">
        <f>IF($A502="","",YEAR($A502)&amp;"-"&amp;TEXT(MONTH($A502),"00"))</f>
        <v/>
      </c>
    </row>
    <row r="503">
      <c r="A503" s="53" t="n"/>
      <c r="B503" s="52" t="n"/>
      <c r="C503" s="52" t="n"/>
      <c r="D503" s="52" t="n"/>
      <c r="E503" s="58">
        <f>IFERROR(VLOOKUP(D503,Maestro_SKU!$A$2:$P$500,2,FALSE),"")</f>
        <v/>
      </c>
      <c r="F503" s="52" t="n"/>
      <c r="G503" s="60" t="n"/>
      <c r="H503" s="52" t="n"/>
      <c r="I503" s="52" t="n"/>
      <c r="J503" s="52" t="n"/>
      <c r="K503" s="68">
        <f>IF($A503="","",YEAR($A503))</f>
        <v/>
      </c>
      <c r="L503" s="68">
        <f>IF($A503="","",MONTH($A503))</f>
        <v/>
      </c>
      <c r="M503" s="68">
        <f>IF($A503="","",DAY($A503))</f>
        <v/>
      </c>
      <c r="N503" s="68">
        <f>IF($A503="","",YEAR($A503)&amp;"-"&amp;TEXT(MONTH($A503),"00"))</f>
        <v/>
      </c>
    </row>
    <row r="504">
      <c r="A504" s="53" t="n"/>
      <c r="B504" s="52" t="n"/>
      <c r="C504" s="52" t="n"/>
      <c r="D504" s="52" t="n"/>
      <c r="E504" s="58">
        <f>IFERROR(VLOOKUP(D504,Maestro_SKU!$A$2:$P$500,2,FALSE),"")</f>
        <v/>
      </c>
      <c r="F504" s="52" t="n"/>
      <c r="G504" s="60" t="n"/>
      <c r="H504" s="52" t="n"/>
      <c r="I504" s="52" t="n"/>
      <c r="J504" s="52" t="n"/>
      <c r="K504" s="68">
        <f>IF($A504="","",YEAR($A504))</f>
        <v/>
      </c>
      <c r="L504" s="68">
        <f>IF($A504="","",MONTH($A504))</f>
        <v/>
      </c>
      <c r="M504" s="68">
        <f>IF($A504="","",DAY($A504))</f>
        <v/>
      </c>
      <c r="N504" s="68">
        <f>IF($A504="","",YEAR($A504)&amp;"-"&amp;TEXT(MONTH($A504),"00"))</f>
        <v/>
      </c>
    </row>
    <row r="505">
      <c r="A505" s="53" t="n"/>
      <c r="B505" s="52" t="n"/>
      <c r="C505" s="52" t="n"/>
      <c r="D505" s="52" t="n"/>
      <c r="E505" s="58">
        <f>IFERROR(VLOOKUP(D505,Maestro_SKU!$A$2:$P$500,2,FALSE),"")</f>
        <v/>
      </c>
      <c r="F505" s="52" t="n"/>
      <c r="G505" s="60" t="n"/>
      <c r="H505" s="52" t="n"/>
      <c r="I505" s="52" t="n"/>
      <c r="J505" s="52" t="n"/>
      <c r="K505" s="68">
        <f>IF($A505="","",YEAR($A505))</f>
        <v/>
      </c>
      <c r="L505" s="68">
        <f>IF($A505="","",MONTH($A505))</f>
        <v/>
      </c>
      <c r="M505" s="68">
        <f>IF($A505="","",DAY($A505))</f>
        <v/>
      </c>
      <c r="N505" s="68">
        <f>IF($A505="","",YEAR($A505)&amp;"-"&amp;TEXT(MONTH($A505),"00"))</f>
        <v/>
      </c>
    </row>
    <row r="506">
      <c r="A506" s="53" t="n"/>
      <c r="B506" s="52" t="n"/>
      <c r="C506" s="52" t="n"/>
      <c r="D506" s="52" t="n"/>
      <c r="E506" s="58">
        <f>IFERROR(VLOOKUP(D506,Maestro_SKU!$A$2:$P$500,2,FALSE),"")</f>
        <v/>
      </c>
      <c r="F506" s="52" t="n"/>
      <c r="G506" s="60" t="n"/>
      <c r="H506" s="52" t="n"/>
      <c r="I506" s="52" t="n"/>
      <c r="J506" s="52" t="n"/>
      <c r="K506" s="68">
        <f>IF($A506="","",YEAR($A506))</f>
        <v/>
      </c>
      <c r="L506" s="68">
        <f>IF($A506="","",MONTH($A506))</f>
        <v/>
      </c>
      <c r="M506" s="68">
        <f>IF($A506="","",DAY($A506))</f>
        <v/>
      </c>
      <c r="N506" s="68">
        <f>IF($A506="","",YEAR($A506)&amp;"-"&amp;TEXT(MONTH($A506),"00"))</f>
        <v/>
      </c>
    </row>
    <row r="507">
      <c r="A507" s="53" t="n"/>
      <c r="B507" s="52" t="n"/>
      <c r="C507" s="52" t="n"/>
      <c r="D507" s="52" t="n"/>
      <c r="E507" s="58">
        <f>IFERROR(VLOOKUP(D507,Maestro_SKU!$A$2:$P$500,2,FALSE),"")</f>
        <v/>
      </c>
      <c r="F507" s="52" t="n"/>
      <c r="G507" s="60" t="n"/>
      <c r="H507" s="52" t="n"/>
      <c r="I507" s="52" t="n"/>
      <c r="J507" s="52" t="n"/>
      <c r="K507" s="68">
        <f>IF($A507="","",YEAR($A507))</f>
        <v/>
      </c>
      <c r="L507" s="68">
        <f>IF($A507="","",MONTH($A507))</f>
        <v/>
      </c>
      <c r="M507" s="68">
        <f>IF($A507="","",DAY($A507))</f>
        <v/>
      </c>
      <c r="N507" s="68">
        <f>IF($A507="","",YEAR($A507)&amp;"-"&amp;TEXT(MONTH($A507),"00"))</f>
        <v/>
      </c>
    </row>
    <row r="508">
      <c r="A508" s="53" t="n"/>
      <c r="B508" s="52" t="n"/>
      <c r="C508" s="52" t="n"/>
      <c r="D508" s="52" t="n"/>
      <c r="E508" s="58">
        <f>IFERROR(VLOOKUP(D508,Maestro_SKU!$A$2:$P$500,2,FALSE),"")</f>
        <v/>
      </c>
      <c r="F508" s="52" t="n"/>
      <c r="G508" s="60" t="n"/>
      <c r="H508" s="52" t="n"/>
      <c r="I508" s="52" t="n"/>
      <c r="J508" s="52" t="n"/>
      <c r="K508" s="68">
        <f>IF($A508="","",YEAR($A508))</f>
        <v/>
      </c>
      <c r="L508" s="68">
        <f>IF($A508="","",MONTH($A508))</f>
        <v/>
      </c>
      <c r="M508" s="68">
        <f>IF($A508="","",DAY($A508))</f>
        <v/>
      </c>
      <c r="N508" s="68">
        <f>IF($A508="","",YEAR($A508)&amp;"-"&amp;TEXT(MONTH($A508),"00"))</f>
        <v/>
      </c>
    </row>
    <row r="509">
      <c r="A509" s="53" t="n"/>
      <c r="B509" s="52" t="n"/>
      <c r="C509" s="52" t="n"/>
      <c r="D509" s="52" t="n"/>
      <c r="E509" s="58">
        <f>IFERROR(VLOOKUP(D509,Maestro_SKU!$A$2:$P$500,2,FALSE),"")</f>
        <v/>
      </c>
      <c r="F509" s="52" t="n"/>
      <c r="G509" s="60" t="n"/>
      <c r="H509" s="52" t="n"/>
      <c r="I509" s="52" t="n"/>
      <c r="J509" s="52" t="n"/>
      <c r="K509" s="68">
        <f>IF($A509="","",YEAR($A509))</f>
        <v/>
      </c>
      <c r="L509" s="68">
        <f>IF($A509="","",MONTH($A509))</f>
        <v/>
      </c>
      <c r="M509" s="68">
        <f>IF($A509="","",DAY($A509))</f>
        <v/>
      </c>
      <c r="N509" s="68">
        <f>IF($A509="","",YEAR($A509)&amp;"-"&amp;TEXT(MONTH($A509),"00"))</f>
        <v/>
      </c>
    </row>
    <row r="510">
      <c r="A510" s="53" t="n"/>
      <c r="B510" s="52" t="n"/>
      <c r="C510" s="52" t="n"/>
      <c r="D510" s="52" t="n"/>
      <c r="E510" s="58">
        <f>IFERROR(VLOOKUP(D510,Maestro_SKU!$A$2:$P$500,2,FALSE),"")</f>
        <v/>
      </c>
      <c r="F510" s="52" t="n"/>
      <c r="G510" s="60" t="n"/>
      <c r="H510" s="52" t="n"/>
      <c r="I510" s="52" t="n"/>
      <c r="J510" s="52" t="n"/>
      <c r="K510" s="68">
        <f>IF($A510="","",YEAR($A510))</f>
        <v/>
      </c>
      <c r="L510" s="68">
        <f>IF($A510="","",MONTH($A510))</f>
        <v/>
      </c>
      <c r="M510" s="68">
        <f>IF($A510="","",DAY($A510))</f>
        <v/>
      </c>
      <c r="N510" s="68">
        <f>IF($A510="","",YEAR($A510)&amp;"-"&amp;TEXT(MONTH($A510),"00"))</f>
        <v/>
      </c>
    </row>
    <row r="511">
      <c r="A511" s="53" t="n"/>
      <c r="B511" s="52" t="n"/>
      <c r="C511" s="52" t="n"/>
      <c r="D511" s="52" t="n"/>
      <c r="E511" s="58">
        <f>IFERROR(VLOOKUP(D511,Maestro_SKU!$A$2:$P$500,2,FALSE),"")</f>
        <v/>
      </c>
      <c r="F511" s="52" t="n"/>
      <c r="G511" s="60" t="n"/>
      <c r="H511" s="52" t="n"/>
      <c r="I511" s="52" t="n"/>
      <c r="J511" s="52" t="n"/>
      <c r="K511" s="68">
        <f>IF($A511="","",YEAR($A511))</f>
        <v/>
      </c>
      <c r="L511" s="68">
        <f>IF($A511="","",MONTH($A511))</f>
        <v/>
      </c>
      <c r="M511" s="68">
        <f>IF($A511="","",DAY($A511))</f>
        <v/>
      </c>
      <c r="N511" s="68">
        <f>IF($A511="","",YEAR($A511)&amp;"-"&amp;TEXT(MONTH($A511),"00"))</f>
        <v/>
      </c>
    </row>
    <row r="512">
      <c r="A512" s="53" t="n"/>
      <c r="B512" s="52" t="n"/>
      <c r="C512" s="52" t="n"/>
      <c r="D512" s="52" t="n"/>
      <c r="E512" s="58">
        <f>IFERROR(VLOOKUP(D512,Maestro_SKU!$A$2:$P$500,2,FALSE),"")</f>
        <v/>
      </c>
      <c r="F512" s="52" t="n"/>
      <c r="G512" s="60" t="n"/>
      <c r="H512" s="52" t="n"/>
      <c r="I512" s="52" t="n"/>
      <c r="J512" s="52" t="n"/>
      <c r="K512" s="68">
        <f>IF($A512="","",YEAR($A512))</f>
        <v/>
      </c>
      <c r="L512" s="68">
        <f>IF($A512="","",MONTH($A512))</f>
        <v/>
      </c>
      <c r="M512" s="68">
        <f>IF($A512="","",DAY($A512))</f>
        <v/>
      </c>
      <c r="N512" s="68">
        <f>IF($A512="","",YEAR($A512)&amp;"-"&amp;TEXT(MONTH($A512),"00"))</f>
        <v/>
      </c>
    </row>
    <row r="513">
      <c r="A513" s="53" t="n"/>
      <c r="B513" s="52" t="n"/>
      <c r="C513" s="52" t="n"/>
      <c r="D513" s="52" t="n"/>
      <c r="E513" s="58">
        <f>IFERROR(VLOOKUP(D513,Maestro_SKU!$A$2:$P$500,2,FALSE),"")</f>
        <v/>
      </c>
      <c r="F513" s="52" t="n"/>
      <c r="G513" s="60" t="n"/>
      <c r="H513" s="52" t="n"/>
      <c r="I513" s="52" t="n"/>
      <c r="J513" s="52" t="n"/>
      <c r="K513" s="68">
        <f>IF($A513="","",YEAR($A513))</f>
        <v/>
      </c>
      <c r="L513" s="68">
        <f>IF($A513="","",MONTH($A513))</f>
        <v/>
      </c>
      <c r="M513" s="68">
        <f>IF($A513="","",DAY($A513))</f>
        <v/>
      </c>
      <c r="N513" s="68">
        <f>IF($A513="","",YEAR($A513)&amp;"-"&amp;TEXT(MONTH($A513),"00"))</f>
        <v/>
      </c>
    </row>
    <row r="514">
      <c r="A514" s="53" t="n"/>
      <c r="B514" s="52" t="n"/>
      <c r="C514" s="52" t="n"/>
      <c r="D514" s="52" t="n"/>
      <c r="E514" s="58">
        <f>IFERROR(VLOOKUP(D514,Maestro_SKU!$A$2:$P$500,2,FALSE),"")</f>
        <v/>
      </c>
      <c r="F514" s="52" t="n"/>
      <c r="G514" s="60" t="n"/>
      <c r="H514" s="52" t="n"/>
      <c r="I514" s="52" t="n"/>
      <c r="J514" s="52" t="n"/>
      <c r="K514" s="68">
        <f>IF($A514="","",YEAR($A514))</f>
        <v/>
      </c>
      <c r="L514" s="68">
        <f>IF($A514="","",MONTH($A514))</f>
        <v/>
      </c>
      <c r="M514" s="68">
        <f>IF($A514="","",DAY($A514))</f>
        <v/>
      </c>
      <c r="N514" s="68">
        <f>IF($A514="","",YEAR($A514)&amp;"-"&amp;TEXT(MONTH($A514),"00"))</f>
        <v/>
      </c>
    </row>
    <row r="515">
      <c r="A515" s="53" t="n"/>
      <c r="B515" s="52" t="n"/>
      <c r="C515" s="52" t="n"/>
      <c r="D515" s="52" t="n"/>
      <c r="E515" s="58">
        <f>IFERROR(VLOOKUP(D515,Maestro_SKU!$A$2:$P$500,2,FALSE),"")</f>
        <v/>
      </c>
      <c r="F515" s="52" t="n"/>
      <c r="G515" s="60" t="n"/>
      <c r="H515" s="52" t="n"/>
      <c r="I515" s="52" t="n"/>
      <c r="J515" s="52" t="n"/>
      <c r="K515" s="68">
        <f>IF($A515="","",YEAR($A515))</f>
        <v/>
      </c>
      <c r="L515" s="68">
        <f>IF($A515="","",MONTH($A515))</f>
        <v/>
      </c>
      <c r="M515" s="68">
        <f>IF($A515="","",DAY($A515))</f>
        <v/>
      </c>
      <c r="N515" s="68">
        <f>IF($A515="","",YEAR($A515)&amp;"-"&amp;TEXT(MONTH($A515),"00"))</f>
        <v/>
      </c>
    </row>
    <row r="516">
      <c r="A516" s="53" t="n"/>
      <c r="B516" s="52" t="n"/>
      <c r="C516" s="52" t="n"/>
      <c r="D516" s="52" t="n"/>
      <c r="E516" s="58">
        <f>IFERROR(VLOOKUP(D516,Maestro_SKU!$A$2:$P$500,2,FALSE),"")</f>
        <v/>
      </c>
      <c r="F516" s="52" t="n"/>
      <c r="G516" s="60" t="n"/>
      <c r="H516" s="52" t="n"/>
      <c r="I516" s="52" t="n"/>
      <c r="J516" s="52" t="n"/>
      <c r="K516" s="68">
        <f>IF($A516="","",YEAR($A516))</f>
        <v/>
      </c>
      <c r="L516" s="68">
        <f>IF($A516="","",MONTH($A516))</f>
        <v/>
      </c>
      <c r="M516" s="68">
        <f>IF($A516="","",DAY($A516))</f>
        <v/>
      </c>
      <c r="N516" s="68">
        <f>IF($A516="","",YEAR($A516)&amp;"-"&amp;TEXT(MONTH($A516),"00"))</f>
        <v/>
      </c>
    </row>
    <row r="517">
      <c r="A517" s="53" t="n"/>
      <c r="B517" s="52" t="n"/>
      <c r="C517" s="52" t="n"/>
      <c r="D517" s="52" t="n"/>
      <c r="E517" s="58">
        <f>IFERROR(VLOOKUP(D517,Maestro_SKU!$A$2:$P$500,2,FALSE),"")</f>
        <v/>
      </c>
      <c r="F517" s="52" t="n"/>
      <c r="G517" s="60" t="n"/>
      <c r="H517" s="52" t="n"/>
      <c r="I517" s="52" t="n"/>
      <c r="J517" s="52" t="n"/>
      <c r="K517" s="68">
        <f>IF($A517="","",YEAR($A517))</f>
        <v/>
      </c>
      <c r="L517" s="68">
        <f>IF($A517="","",MONTH($A517))</f>
        <v/>
      </c>
      <c r="M517" s="68">
        <f>IF($A517="","",DAY($A517))</f>
        <v/>
      </c>
      <c r="N517" s="68">
        <f>IF($A517="","",YEAR($A517)&amp;"-"&amp;TEXT(MONTH($A517),"00"))</f>
        <v/>
      </c>
    </row>
    <row r="518">
      <c r="A518" s="53" t="n"/>
      <c r="B518" s="52" t="n"/>
      <c r="C518" s="52" t="n"/>
      <c r="D518" s="52" t="n"/>
      <c r="E518" s="58">
        <f>IFERROR(VLOOKUP(D518,Maestro_SKU!$A$2:$P$500,2,FALSE),"")</f>
        <v/>
      </c>
      <c r="F518" s="52" t="n"/>
      <c r="G518" s="60" t="n"/>
      <c r="H518" s="52" t="n"/>
      <c r="I518" s="52" t="n"/>
      <c r="J518" s="52" t="n"/>
      <c r="K518" s="68">
        <f>IF($A518="","",YEAR($A518))</f>
        <v/>
      </c>
      <c r="L518" s="68">
        <f>IF($A518="","",MONTH($A518))</f>
        <v/>
      </c>
      <c r="M518" s="68">
        <f>IF($A518="","",DAY($A518))</f>
        <v/>
      </c>
      <c r="N518" s="68">
        <f>IF($A518="","",YEAR($A518)&amp;"-"&amp;TEXT(MONTH($A518),"00"))</f>
        <v/>
      </c>
    </row>
    <row r="519">
      <c r="A519" s="53" t="n"/>
      <c r="B519" s="52" t="n"/>
      <c r="C519" s="52" t="n"/>
      <c r="D519" s="52" t="n"/>
      <c r="E519" s="58">
        <f>IFERROR(VLOOKUP(D519,Maestro_SKU!$A$2:$P$500,2,FALSE),"")</f>
        <v/>
      </c>
      <c r="F519" s="52" t="n"/>
      <c r="G519" s="60" t="n"/>
      <c r="H519" s="52" t="n"/>
      <c r="I519" s="52" t="n"/>
      <c r="J519" s="52" t="n"/>
      <c r="K519" s="68">
        <f>IF($A519="","",YEAR($A519))</f>
        <v/>
      </c>
      <c r="L519" s="68">
        <f>IF($A519="","",MONTH($A519))</f>
        <v/>
      </c>
      <c r="M519" s="68">
        <f>IF($A519="","",DAY($A519))</f>
        <v/>
      </c>
      <c r="N519" s="68">
        <f>IF($A519="","",YEAR($A519)&amp;"-"&amp;TEXT(MONTH($A519),"00"))</f>
        <v/>
      </c>
    </row>
    <row r="520">
      <c r="A520" s="53" t="n"/>
      <c r="B520" s="52" t="n"/>
      <c r="C520" s="52" t="n"/>
      <c r="D520" s="52" t="n"/>
      <c r="E520" s="58">
        <f>IFERROR(VLOOKUP(D520,Maestro_SKU!$A$2:$P$500,2,FALSE),"")</f>
        <v/>
      </c>
      <c r="F520" s="52" t="n"/>
      <c r="G520" s="60" t="n"/>
      <c r="H520" s="52" t="n"/>
      <c r="I520" s="52" t="n"/>
      <c r="J520" s="52" t="n"/>
      <c r="K520" s="68">
        <f>IF($A520="","",YEAR($A520))</f>
        <v/>
      </c>
      <c r="L520" s="68">
        <f>IF($A520="","",MONTH($A520))</f>
        <v/>
      </c>
      <c r="M520" s="68">
        <f>IF($A520="","",DAY($A520))</f>
        <v/>
      </c>
      <c r="N520" s="68">
        <f>IF($A520="","",YEAR($A520)&amp;"-"&amp;TEXT(MONTH($A520),"00"))</f>
        <v/>
      </c>
    </row>
    <row r="521">
      <c r="A521" s="53" t="n"/>
      <c r="B521" s="52" t="n"/>
      <c r="C521" s="52" t="n"/>
      <c r="D521" s="52" t="n"/>
      <c r="E521" s="58">
        <f>IFERROR(VLOOKUP(D521,Maestro_SKU!$A$2:$P$500,2,FALSE),"")</f>
        <v/>
      </c>
      <c r="F521" s="52" t="n"/>
      <c r="G521" s="60" t="n"/>
      <c r="H521" s="52" t="n"/>
      <c r="I521" s="52" t="n"/>
      <c r="J521" s="52" t="n"/>
      <c r="K521" s="68">
        <f>IF($A521="","",YEAR($A521))</f>
        <v/>
      </c>
      <c r="L521" s="68">
        <f>IF($A521="","",MONTH($A521))</f>
        <v/>
      </c>
      <c r="M521" s="68">
        <f>IF($A521="","",DAY($A521))</f>
        <v/>
      </c>
      <c r="N521" s="68">
        <f>IF($A521="","",YEAR($A521)&amp;"-"&amp;TEXT(MONTH($A521),"00"))</f>
        <v/>
      </c>
    </row>
    <row r="522">
      <c r="A522" s="53" t="n"/>
      <c r="B522" s="52" t="n"/>
      <c r="C522" s="52" t="n"/>
      <c r="D522" s="52" t="n"/>
      <c r="E522" s="58">
        <f>IFERROR(VLOOKUP(D522,Maestro_SKU!$A$2:$P$500,2,FALSE),"")</f>
        <v/>
      </c>
      <c r="F522" s="52" t="n"/>
      <c r="G522" s="60" t="n"/>
      <c r="H522" s="52" t="n"/>
      <c r="I522" s="52" t="n"/>
      <c r="J522" s="52" t="n"/>
      <c r="K522" s="68">
        <f>IF($A522="","",YEAR($A522))</f>
        <v/>
      </c>
      <c r="L522" s="68">
        <f>IF($A522="","",MONTH($A522))</f>
        <v/>
      </c>
      <c r="M522" s="68">
        <f>IF($A522="","",DAY($A522))</f>
        <v/>
      </c>
      <c r="N522" s="68">
        <f>IF($A522="","",YEAR($A522)&amp;"-"&amp;TEXT(MONTH($A522),"00"))</f>
        <v/>
      </c>
    </row>
    <row r="523">
      <c r="A523" s="53" t="n"/>
      <c r="B523" s="52" t="n"/>
      <c r="C523" s="52" t="n"/>
      <c r="D523" s="52" t="n"/>
      <c r="E523" s="58">
        <f>IFERROR(VLOOKUP(D523,Maestro_SKU!$A$2:$P$500,2,FALSE),"")</f>
        <v/>
      </c>
      <c r="F523" s="52" t="n"/>
      <c r="G523" s="60" t="n"/>
      <c r="H523" s="52" t="n"/>
      <c r="I523" s="52" t="n"/>
      <c r="J523" s="52" t="n"/>
      <c r="K523" s="68">
        <f>IF($A523="","",YEAR($A523))</f>
        <v/>
      </c>
      <c r="L523" s="68">
        <f>IF($A523="","",MONTH($A523))</f>
        <v/>
      </c>
      <c r="M523" s="68">
        <f>IF($A523="","",DAY($A523))</f>
        <v/>
      </c>
      <c r="N523" s="68">
        <f>IF($A523="","",YEAR($A523)&amp;"-"&amp;TEXT(MONTH($A523),"00"))</f>
        <v/>
      </c>
    </row>
    <row r="524">
      <c r="A524" s="53" t="n"/>
      <c r="B524" s="52" t="n"/>
      <c r="C524" s="52" t="n"/>
      <c r="D524" s="52" t="n"/>
      <c r="E524" s="58">
        <f>IFERROR(VLOOKUP(D524,Maestro_SKU!$A$2:$P$500,2,FALSE),"")</f>
        <v/>
      </c>
      <c r="F524" s="52" t="n"/>
      <c r="G524" s="60" t="n"/>
      <c r="H524" s="52" t="n"/>
      <c r="I524" s="52" t="n"/>
      <c r="J524" s="52" t="n"/>
      <c r="K524" s="68">
        <f>IF($A524="","",YEAR($A524))</f>
        <v/>
      </c>
      <c r="L524" s="68">
        <f>IF($A524="","",MONTH($A524))</f>
        <v/>
      </c>
      <c r="M524" s="68">
        <f>IF($A524="","",DAY($A524))</f>
        <v/>
      </c>
      <c r="N524" s="68">
        <f>IF($A524="","",YEAR($A524)&amp;"-"&amp;TEXT(MONTH($A524),"00"))</f>
        <v/>
      </c>
    </row>
    <row r="525">
      <c r="A525" s="53" t="n"/>
      <c r="B525" s="52" t="n"/>
      <c r="C525" s="52" t="n"/>
      <c r="D525" s="52" t="n"/>
      <c r="E525" s="58">
        <f>IFERROR(VLOOKUP(D525,Maestro_SKU!$A$2:$P$500,2,FALSE),"")</f>
        <v/>
      </c>
      <c r="F525" s="52" t="n"/>
      <c r="G525" s="60" t="n"/>
      <c r="H525" s="52" t="n"/>
      <c r="I525" s="52" t="n"/>
      <c r="J525" s="52" t="n"/>
      <c r="K525" s="68">
        <f>IF($A525="","",YEAR($A525))</f>
        <v/>
      </c>
      <c r="L525" s="68">
        <f>IF($A525="","",MONTH($A525))</f>
        <v/>
      </c>
      <c r="M525" s="68">
        <f>IF($A525="","",DAY($A525))</f>
        <v/>
      </c>
      <c r="N525" s="68">
        <f>IF($A525="","",YEAR($A525)&amp;"-"&amp;TEXT(MONTH($A525),"00"))</f>
        <v/>
      </c>
    </row>
    <row r="526">
      <c r="A526" s="53" t="n"/>
      <c r="B526" s="52" t="n"/>
      <c r="C526" s="52" t="n"/>
      <c r="D526" s="52" t="n"/>
      <c r="E526" s="58">
        <f>IFERROR(VLOOKUP(D526,Maestro_SKU!$A$2:$P$500,2,FALSE),"")</f>
        <v/>
      </c>
      <c r="F526" s="52" t="n"/>
      <c r="G526" s="60" t="n"/>
      <c r="H526" s="52" t="n"/>
      <c r="I526" s="52" t="n"/>
      <c r="J526" s="52" t="n"/>
      <c r="K526" s="68">
        <f>IF($A526="","",YEAR($A526))</f>
        <v/>
      </c>
      <c r="L526" s="68">
        <f>IF($A526="","",MONTH($A526))</f>
        <v/>
      </c>
      <c r="M526" s="68">
        <f>IF($A526="","",DAY($A526))</f>
        <v/>
      </c>
      <c r="N526" s="68">
        <f>IF($A526="","",YEAR($A526)&amp;"-"&amp;TEXT(MONTH($A526),"00"))</f>
        <v/>
      </c>
    </row>
    <row r="527">
      <c r="A527" s="53" t="n"/>
      <c r="B527" s="52" t="n"/>
      <c r="C527" s="52" t="n"/>
      <c r="D527" s="52" t="n"/>
      <c r="E527" s="58">
        <f>IFERROR(VLOOKUP(D527,Maestro_SKU!$A$2:$P$500,2,FALSE),"")</f>
        <v/>
      </c>
      <c r="F527" s="52" t="n"/>
      <c r="G527" s="60" t="n"/>
      <c r="H527" s="52" t="n"/>
      <c r="I527" s="52" t="n"/>
      <c r="J527" s="52" t="n"/>
      <c r="K527" s="68">
        <f>IF($A527="","",YEAR($A527))</f>
        <v/>
      </c>
      <c r="L527" s="68">
        <f>IF($A527="","",MONTH($A527))</f>
        <v/>
      </c>
      <c r="M527" s="68">
        <f>IF($A527="","",DAY($A527))</f>
        <v/>
      </c>
      <c r="N527" s="68">
        <f>IF($A527="","",YEAR($A527)&amp;"-"&amp;TEXT(MONTH($A527),"00"))</f>
        <v/>
      </c>
    </row>
    <row r="528">
      <c r="A528" s="53" t="n"/>
      <c r="B528" s="52" t="n"/>
      <c r="C528" s="52" t="n"/>
      <c r="D528" s="52" t="n"/>
      <c r="E528" s="58">
        <f>IFERROR(VLOOKUP(D528,Maestro_SKU!$A$2:$P$500,2,FALSE),"")</f>
        <v/>
      </c>
      <c r="F528" s="52" t="n"/>
      <c r="G528" s="60" t="n"/>
      <c r="H528" s="52" t="n"/>
      <c r="I528" s="52" t="n"/>
      <c r="J528" s="52" t="n"/>
      <c r="K528" s="68">
        <f>IF($A528="","",YEAR($A528))</f>
        <v/>
      </c>
      <c r="L528" s="68">
        <f>IF($A528="","",MONTH($A528))</f>
        <v/>
      </c>
      <c r="M528" s="68">
        <f>IF($A528="","",DAY($A528))</f>
        <v/>
      </c>
      <c r="N528" s="68">
        <f>IF($A528="","",YEAR($A528)&amp;"-"&amp;TEXT(MONTH($A528),"00"))</f>
        <v/>
      </c>
    </row>
    <row r="529">
      <c r="A529" s="53" t="n"/>
      <c r="B529" s="52" t="n"/>
      <c r="C529" s="52" t="n"/>
      <c r="D529" s="52" t="n"/>
      <c r="E529" s="58">
        <f>IFERROR(VLOOKUP(D529,Maestro_SKU!$A$2:$P$500,2,FALSE),"")</f>
        <v/>
      </c>
      <c r="F529" s="52" t="n"/>
      <c r="G529" s="60" t="n"/>
      <c r="H529" s="52" t="n"/>
      <c r="I529" s="52" t="n"/>
      <c r="J529" s="52" t="n"/>
      <c r="K529" s="68">
        <f>IF($A529="","",YEAR($A529))</f>
        <v/>
      </c>
      <c r="L529" s="68">
        <f>IF($A529="","",MONTH($A529))</f>
        <v/>
      </c>
      <c r="M529" s="68">
        <f>IF($A529="","",DAY($A529))</f>
        <v/>
      </c>
      <c r="N529" s="68">
        <f>IF($A529="","",YEAR($A529)&amp;"-"&amp;TEXT(MONTH($A529),"00"))</f>
        <v/>
      </c>
    </row>
    <row r="530">
      <c r="A530" s="53" t="n"/>
      <c r="B530" s="52" t="n"/>
      <c r="C530" s="52" t="n"/>
      <c r="D530" s="52" t="n"/>
      <c r="E530" s="58">
        <f>IFERROR(VLOOKUP(D530,Maestro_SKU!$A$2:$P$500,2,FALSE),"")</f>
        <v/>
      </c>
      <c r="F530" s="52" t="n"/>
      <c r="G530" s="60" t="n"/>
      <c r="H530" s="52" t="n"/>
      <c r="I530" s="52" t="n"/>
      <c r="J530" s="52" t="n"/>
      <c r="K530" s="68">
        <f>IF($A530="","",YEAR($A530))</f>
        <v/>
      </c>
      <c r="L530" s="68">
        <f>IF($A530="","",MONTH($A530))</f>
        <v/>
      </c>
      <c r="M530" s="68">
        <f>IF($A530="","",DAY($A530))</f>
        <v/>
      </c>
      <c r="N530" s="68">
        <f>IF($A530="","",YEAR($A530)&amp;"-"&amp;TEXT(MONTH($A530),"00"))</f>
        <v/>
      </c>
    </row>
    <row r="531">
      <c r="A531" s="53" t="n"/>
      <c r="B531" s="52" t="n"/>
      <c r="C531" s="52" t="n"/>
      <c r="D531" s="52" t="n"/>
      <c r="E531" s="58">
        <f>IFERROR(VLOOKUP(D531,Maestro_SKU!$A$2:$P$500,2,FALSE),"")</f>
        <v/>
      </c>
      <c r="F531" s="52" t="n"/>
      <c r="G531" s="60" t="n"/>
      <c r="H531" s="52" t="n"/>
      <c r="I531" s="52" t="n"/>
      <c r="J531" s="52" t="n"/>
      <c r="K531" s="68">
        <f>IF($A531="","",YEAR($A531))</f>
        <v/>
      </c>
      <c r="L531" s="68">
        <f>IF($A531="","",MONTH($A531))</f>
        <v/>
      </c>
      <c r="M531" s="68">
        <f>IF($A531="","",DAY($A531))</f>
        <v/>
      </c>
      <c r="N531" s="68">
        <f>IF($A531="","",YEAR($A531)&amp;"-"&amp;TEXT(MONTH($A531),"00"))</f>
        <v/>
      </c>
    </row>
    <row r="532">
      <c r="A532" s="53" t="n"/>
      <c r="B532" s="52" t="n"/>
      <c r="C532" s="52" t="n"/>
      <c r="D532" s="52" t="n"/>
      <c r="E532" s="58">
        <f>IFERROR(VLOOKUP(D532,Maestro_SKU!$A$2:$P$500,2,FALSE),"")</f>
        <v/>
      </c>
      <c r="F532" s="52" t="n"/>
      <c r="G532" s="60" t="n"/>
      <c r="H532" s="52" t="n"/>
      <c r="I532" s="52" t="n"/>
      <c r="J532" s="52" t="n"/>
      <c r="K532" s="68">
        <f>IF($A532="","",YEAR($A532))</f>
        <v/>
      </c>
      <c r="L532" s="68">
        <f>IF($A532="","",MONTH($A532))</f>
        <v/>
      </c>
      <c r="M532" s="68">
        <f>IF($A532="","",DAY($A532))</f>
        <v/>
      </c>
      <c r="N532" s="68">
        <f>IF($A532="","",YEAR($A532)&amp;"-"&amp;TEXT(MONTH($A532),"00"))</f>
        <v/>
      </c>
    </row>
    <row r="533">
      <c r="A533" s="53" t="n"/>
      <c r="B533" s="52" t="n"/>
      <c r="C533" s="52" t="n"/>
      <c r="D533" s="52" t="n"/>
      <c r="E533" s="58">
        <f>IFERROR(VLOOKUP(D533,Maestro_SKU!$A$2:$P$500,2,FALSE),"")</f>
        <v/>
      </c>
      <c r="F533" s="52" t="n"/>
      <c r="G533" s="60" t="n"/>
      <c r="H533" s="52" t="n"/>
      <c r="I533" s="52" t="n"/>
      <c r="J533" s="52" t="n"/>
      <c r="K533" s="68">
        <f>IF($A533="","",YEAR($A533))</f>
        <v/>
      </c>
      <c r="L533" s="68">
        <f>IF($A533="","",MONTH($A533))</f>
        <v/>
      </c>
      <c r="M533" s="68">
        <f>IF($A533="","",DAY($A533))</f>
        <v/>
      </c>
      <c r="N533" s="68">
        <f>IF($A533="","",YEAR($A533)&amp;"-"&amp;TEXT(MONTH($A533),"00"))</f>
        <v/>
      </c>
    </row>
    <row r="534">
      <c r="A534" s="53" t="n"/>
      <c r="B534" s="52" t="n"/>
      <c r="C534" s="52" t="n"/>
      <c r="D534" s="52" t="n"/>
      <c r="E534" s="58">
        <f>IFERROR(VLOOKUP(D534,Maestro_SKU!$A$2:$P$500,2,FALSE),"")</f>
        <v/>
      </c>
      <c r="F534" s="52" t="n"/>
      <c r="G534" s="60" t="n"/>
      <c r="H534" s="52" t="n"/>
      <c r="I534" s="52" t="n"/>
      <c r="J534" s="52" t="n"/>
      <c r="K534" s="68">
        <f>IF($A534="","",YEAR($A534))</f>
        <v/>
      </c>
      <c r="L534" s="68">
        <f>IF($A534="","",MONTH($A534))</f>
        <v/>
      </c>
      <c r="M534" s="68">
        <f>IF($A534="","",DAY($A534))</f>
        <v/>
      </c>
      <c r="N534" s="68">
        <f>IF($A534="","",YEAR($A534)&amp;"-"&amp;TEXT(MONTH($A534),"00"))</f>
        <v/>
      </c>
    </row>
    <row r="535">
      <c r="A535" s="53" t="n"/>
      <c r="B535" s="52" t="n"/>
      <c r="C535" s="52" t="n"/>
      <c r="D535" s="52" t="n"/>
      <c r="E535" s="58">
        <f>IFERROR(VLOOKUP(D535,Maestro_SKU!$A$2:$P$500,2,FALSE),"")</f>
        <v/>
      </c>
      <c r="F535" s="52" t="n"/>
      <c r="G535" s="60" t="n"/>
      <c r="H535" s="52" t="n"/>
      <c r="I535" s="52" t="n"/>
      <c r="J535" s="52" t="n"/>
      <c r="K535" s="68">
        <f>IF($A535="","",YEAR($A535))</f>
        <v/>
      </c>
      <c r="L535" s="68">
        <f>IF($A535="","",MONTH($A535))</f>
        <v/>
      </c>
      <c r="M535" s="68">
        <f>IF($A535="","",DAY($A535))</f>
        <v/>
      </c>
      <c r="N535" s="68">
        <f>IF($A535="","",YEAR($A535)&amp;"-"&amp;TEXT(MONTH($A535),"00"))</f>
        <v/>
      </c>
    </row>
    <row r="536">
      <c r="A536" s="53" t="n"/>
      <c r="B536" s="52" t="n"/>
      <c r="C536" s="52" t="n"/>
      <c r="D536" s="52" t="n"/>
      <c r="E536" s="58">
        <f>IFERROR(VLOOKUP(D536,Maestro_SKU!$A$2:$P$500,2,FALSE),"")</f>
        <v/>
      </c>
      <c r="F536" s="52" t="n"/>
      <c r="G536" s="60" t="n"/>
      <c r="H536" s="52" t="n"/>
      <c r="I536" s="52" t="n"/>
      <c r="J536" s="52" t="n"/>
      <c r="K536" s="68">
        <f>IF($A536="","",YEAR($A536))</f>
        <v/>
      </c>
      <c r="L536" s="68">
        <f>IF($A536="","",MONTH($A536))</f>
        <v/>
      </c>
      <c r="M536" s="68">
        <f>IF($A536="","",DAY($A536))</f>
        <v/>
      </c>
      <c r="N536" s="68">
        <f>IF($A536="","",YEAR($A536)&amp;"-"&amp;TEXT(MONTH($A536),"00"))</f>
        <v/>
      </c>
    </row>
    <row r="537">
      <c r="A537" s="53" t="n"/>
      <c r="B537" s="52" t="n"/>
      <c r="C537" s="52" t="n"/>
      <c r="D537" s="52" t="n"/>
      <c r="E537" s="58">
        <f>IFERROR(VLOOKUP(D537,Maestro_SKU!$A$2:$P$500,2,FALSE),"")</f>
        <v/>
      </c>
      <c r="F537" s="52" t="n"/>
      <c r="G537" s="60" t="n"/>
      <c r="H537" s="52" t="n"/>
      <c r="I537" s="52" t="n"/>
      <c r="J537" s="52" t="n"/>
      <c r="K537" s="68">
        <f>IF($A537="","",YEAR($A537))</f>
        <v/>
      </c>
      <c r="L537" s="68">
        <f>IF($A537="","",MONTH($A537))</f>
        <v/>
      </c>
      <c r="M537" s="68">
        <f>IF($A537="","",DAY($A537))</f>
        <v/>
      </c>
      <c r="N537" s="68">
        <f>IF($A537="","",YEAR($A537)&amp;"-"&amp;TEXT(MONTH($A537),"00"))</f>
        <v/>
      </c>
    </row>
    <row r="538">
      <c r="A538" s="53" t="n"/>
      <c r="B538" s="52" t="n"/>
      <c r="C538" s="52" t="n"/>
      <c r="D538" s="52" t="n"/>
      <c r="E538" s="58">
        <f>IFERROR(VLOOKUP(D538,Maestro_SKU!$A$2:$P$500,2,FALSE),"")</f>
        <v/>
      </c>
      <c r="F538" s="52" t="n"/>
      <c r="G538" s="60" t="n"/>
      <c r="H538" s="52" t="n"/>
      <c r="I538" s="52" t="n"/>
      <c r="J538" s="52" t="n"/>
      <c r="K538" s="68">
        <f>IF($A538="","",YEAR($A538))</f>
        <v/>
      </c>
      <c r="L538" s="68">
        <f>IF($A538="","",MONTH($A538))</f>
        <v/>
      </c>
      <c r="M538" s="68">
        <f>IF($A538="","",DAY($A538))</f>
        <v/>
      </c>
      <c r="N538" s="68">
        <f>IF($A538="","",YEAR($A538)&amp;"-"&amp;TEXT(MONTH($A538),"00"))</f>
        <v/>
      </c>
    </row>
    <row r="539">
      <c r="A539" s="53" t="n"/>
      <c r="B539" s="52" t="n"/>
      <c r="C539" s="52" t="n"/>
      <c r="D539" s="52" t="n"/>
      <c r="E539" s="58">
        <f>IFERROR(VLOOKUP(D539,Maestro_SKU!$A$2:$P$500,2,FALSE),"")</f>
        <v/>
      </c>
      <c r="F539" s="52" t="n"/>
      <c r="G539" s="60" t="n"/>
      <c r="H539" s="52" t="n"/>
      <c r="I539" s="52" t="n"/>
      <c r="J539" s="52" t="n"/>
      <c r="K539" s="68">
        <f>IF($A539="","",YEAR($A539))</f>
        <v/>
      </c>
      <c r="L539" s="68">
        <f>IF($A539="","",MONTH($A539))</f>
        <v/>
      </c>
      <c r="M539" s="68">
        <f>IF($A539="","",DAY($A539))</f>
        <v/>
      </c>
      <c r="N539" s="68">
        <f>IF($A539="","",YEAR($A539)&amp;"-"&amp;TEXT(MONTH($A539),"00"))</f>
        <v/>
      </c>
    </row>
    <row r="540">
      <c r="A540" s="53" t="n"/>
      <c r="B540" s="52" t="n"/>
      <c r="C540" s="52" t="n"/>
      <c r="D540" s="52" t="n"/>
      <c r="E540" s="58">
        <f>IFERROR(VLOOKUP(D540,Maestro_SKU!$A$2:$P$500,2,FALSE),"")</f>
        <v/>
      </c>
      <c r="F540" s="52" t="n"/>
      <c r="G540" s="60" t="n"/>
      <c r="H540" s="52" t="n"/>
      <c r="I540" s="52" t="n"/>
      <c r="J540" s="52" t="n"/>
      <c r="K540" s="68">
        <f>IF($A540="","",YEAR($A540))</f>
        <v/>
      </c>
      <c r="L540" s="68">
        <f>IF($A540="","",MONTH($A540))</f>
        <v/>
      </c>
      <c r="M540" s="68">
        <f>IF($A540="","",DAY($A540))</f>
        <v/>
      </c>
      <c r="N540" s="68">
        <f>IF($A540="","",YEAR($A540)&amp;"-"&amp;TEXT(MONTH($A540),"00"))</f>
        <v/>
      </c>
    </row>
    <row r="541">
      <c r="A541" s="53" t="n"/>
      <c r="B541" s="52" t="n"/>
      <c r="C541" s="52" t="n"/>
      <c r="D541" s="52" t="n"/>
      <c r="E541" s="58">
        <f>IFERROR(VLOOKUP(D541,Maestro_SKU!$A$2:$P$500,2,FALSE),"")</f>
        <v/>
      </c>
      <c r="F541" s="52" t="n"/>
      <c r="G541" s="60" t="n"/>
      <c r="H541" s="52" t="n"/>
      <c r="I541" s="52" t="n"/>
      <c r="J541" s="52" t="n"/>
      <c r="K541" s="68">
        <f>IF($A541="","",YEAR($A541))</f>
        <v/>
      </c>
      <c r="L541" s="68">
        <f>IF($A541="","",MONTH($A541))</f>
        <v/>
      </c>
      <c r="M541" s="68">
        <f>IF($A541="","",DAY($A541))</f>
        <v/>
      </c>
      <c r="N541" s="68">
        <f>IF($A541="","",YEAR($A541)&amp;"-"&amp;TEXT(MONTH($A541),"00"))</f>
        <v/>
      </c>
    </row>
    <row r="542">
      <c r="A542" s="53" t="n"/>
      <c r="B542" s="52" t="n"/>
      <c r="C542" s="52" t="n"/>
      <c r="D542" s="52" t="n"/>
      <c r="E542" s="58">
        <f>IFERROR(VLOOKUP(D542,Maestro_SKU!$A$2:$P$500,2,FALSE),"")</f>
        <v/>
      </c>
      <c r="F542" s="52" t="n"/>
      <c r="G542" s="60" t="n"/>
      <c r="H542" s="52" t="n"/>
      <c r="I542" s="52" t="n"/>
      <c r="J542" s="52" t="n"/>
      <c r="K542" s="68">
        <f>IF($A542="","",YEAR($A542))</f>
        <v/>
      </c>
      <c r="L542" s="68">
        <f>IF($A542="","",MONTH($A542))</f>
        <v/>
      </c>
      <c r="M542" s="68">
        <f>IF($A542="","",DAY($A542))</f>
        <v/>
      </c>
      <c r="N542" s="68">
        <f>IF($A542="","",YEAR($A542)&amp;"-"&amp;TEXT(MONTH($A542),"00"))</f>
        <v/>
      </c>
    </row>
    <row r="543">
      <c r="A543" s="53" t="n"/>
      <c r="B543" s="52" t="n"/>
      <c r="C543" s="52" t="n"/>
      <c r="D543" s="52" t="n"/>
      <c r="E543" s="58">
        <f>IFERROR(VLOOKUP(D543,Maestro_SKU!$A$2:$P$500,2,FALSE),"")</f>
        <v/>
      </c>
      <c r="F543" s="52" t="n"/>
      <c r="G543" s="60" t="n"/>
      <c r="H543" s="52" t="n"/>
      <c r="I543" s="52" t="n"/>
      <c r="J543" s="52" t="n"/>
      <c r="K543" s="68">
        <f>IF($A543="","",YEAR($A543))</f>
        <v/>
      </c>
      <c r="L543" s="68">
        <f>IF($A543="","",MONTH($A543))</f>
        <v/>
      </c>
      <c r="M543" s="68">
        <f>IF($A543="","",DAY($A543))</f>
        <v/>
      </c>
      <c r="N543" s="68">
        <f>IF($A543="","",YEAR($A543)&amp;"-"&amp;TEXT(MONTH($A543),"00"))</f>
        <v/>
      </c>
    </row>
    <row r="544">
      <c r="A544" s="53" t="n"/>
      <c r="B544" s="52" t="n"/>
      <c r="C544" s="52" t="n"/>
      <c r="D544" s="52" t="n"/>
      <c r="E544" s="58">
        <f>IFERROR(VLOOKUP(D544,Maestro_SKU!$A$2:$P$500,2,FALSE),"")</f>
        <v/>
      </c>
      <c r="F544" s="52" t="n"/>
      <c r="G544" s="60" t="n"/>
      <c r="H544" s="52" t="n"/>
      <c r="I544" s="52" t="n"/>
      <c r="J544" s="52" t="n"/>
      <c r="K544" s="68">
        <f>IF($A544="","",YEAR($A544))</f>
        <v/>
      </c>
      <c r="L544" s="68">
        <f>IF($A544="","",MONTH($A544))</f>
        <v/>
      </c>
      <c r="M544" s="68">
        <f>IF($A544="","",DAY($A544))</f>
        <v/>
      </c>
      <c r="N544" s="68">
        <f>IF($A544="","",YEAR($A544)&amp;"-"&amp;TEXT(MONTH($A544),"00"))</f>
        <v/>
      </c>
    </row>
    <row r="545">
      <c r="A545" s="53" t="n"/>
      <c r="B545" s="52" t="n"/>
      <c r="C545" s="52" t="n"/>
      <c r="D545" s="52" t="n"/>
      <c r="E545" s="58">
        <f>IFERROR(VLOOKUP(D545,Maestro_SKU!$A$2:$P$500,2,FALSE),"")</f>
        <v/>
      </c>
      <c r="F545" s="52" t="n"/>
      <c r="G545" s="60" t="n"/>
      <c r="H545" s="52" t="n"/>
      <c r="I545" s="52" t="n"/>
      <c r="J545" s="52" t="n"/>
      <c r="K545" s="68">
        <f>IF($A545="","",YEAR($A545))</f>
        <v/>
      </c>
      <c r="L545" s="68">
        <f>IF($A545="","",MONTH($A545))</f>
        <v/>
      </c>
      <c r="M545" s="68">
        <f>IF($A545="","",DAY($A545))</f>
        <v/>
      </c>
      <c r="N545" s="68">
        <f>IF($A545="","",YEAR($A545)&amp;"-"&amp;TEXT(MONTH($A545),"00"))</f>
        <v/>
      </c>
    </row>
    <row r="546">
      <c r="A546" s="53" t="n"/>
      <c r="B546" s="52" t="n"/>
      <c r="C546" s="52" t="n"/>
      <c r="D546" s="52" t="n"/>
      <c r="E546" s="58">
        <f>IFERROR(VLOOKUP(D546,Maestro_SKU!$A$2:$P$500,2,FALSE),"")</f>
        <v/>
      </c>
      <c r="F546" s="52" t="n"/>
      <c r="G546" s="60" t="n"/>
      <c r="H546" s="52" t="n"/>
      <c r="I546" s="52" t="n"/>
      <c r="J546" s="52" t="n"/>
      <c r="K546" s="68">
        <f>IF($A546="","",YEAR($A546))</f>
        <v/>
      </c>
      <c r="L546" s="68">
        <f>IF($A546="","",MONTH($A546))</f>
        <v/>
      </c>
      <c r="M546" s="68">
        <f>IF($A546="","",DAY($A546))</f>
        <v/>
      </c>
      <c r="N546" s="68">
        <f>IF($A546="","",YEAR($A546)&amp;"-"&amp;TEXT(MONTH($A546),"00"))</f>
        <v/>
      </c>
    </row>
    <row r="547">
      <c r="A547" s="53" t="n"/>
      <c r="B547" s="52" t="n"/>
      <c r="C547" s="52" t="n"/>
      <c r="D547" s="52" t="n"/>
      <c r="E547" s="58">
        <f>IFERROR(VLOOKUP(D547,Maestro_SKU!$A$2:$P$500,2,FALSE),"")</f>
        <v/>
      </c>
      <c r="F547" s="52" t="n"/>
      <c r="G547" s="60" t="n"/>
      <c r="H547" s="52" t="n"/>
      <c r="I547" s="52" t="n"/>
      <c r="J547" s="52" t="n"/>
      <c r="K547" s="68">
        <f>IF($A547="","",YEAR($A547))</f>
        <v/>
      </c>
      <c r="L547" s="68">
        <f>IF($A547="","",MONTH($A547))</f>
        <v/>
      </c>
      <c r="M547" s="68">
        <f>IF($A547="","",DAY($A547))</f>
        <v/>
      </c>
      <c r="N547" s="68">
        <f>IF($A547="","",YEAR($A547)&amp;"-"&amp;TEXT(MONTH($A547),"00"))</f>
        <v/>
      </c>
    </row>
    <row r="548">
      <c r="A548" s="53" t="n"/>
      <c r="B548" s="52" t="n"/>
      <c r="C548" s="52" t="n"/>
      <c r="D548" s="52" t="n"/>
      <c r="E548" s="58">
        <f>IFERROR(VLOOKUP(D548,Maestro_SKU!$A$2:$P$500,2,FALSE),"")</f>
        <v/>
      </c>
      <c r="F548" s="52" t="n"/>
      <c r="G548" s="60" t="n"/>
      <c r="H548" s="52" t="n"/>
      <c r="I548" s="52" t="n"/>
      <c r="J548" s="52" t="n"/>
      <c r="K548" s="68">
        <f>IF($A548="","",YEAR($A548))</f>
        <v/>
      </c>
      <c r="L548" s="68">
        <f>IF($A548="","",MONTH($A548))</f>
        <v/>
      </c>
      <c r="M548" s="68">
        <f>IF($A548="","",DAY($A548))</f>
        <v/>
      </c>
      <c r="N548" s="68">
        <f>IF($A548="","",YEAR($A548)&amp;"-"&amp;TEXT(MONTH($A548),"00"))</f>
        <v/>
      </c>
    </row>
    <row r="549">
      <c r="A549" s="53" t="n"/>
      <c r="B549" s="52" t="n"/>
      <c r="C549" s="52" t="n"/>
      <c r="D549" s="52" t="n"/>
      <c r="E549" s="58">
        <f>IFERROR(VLOOKUP(D549,Maestro_SKU!$A$2:$P$500,2,FALSE),"")</f>
        <v/>
      </c>
      <c r="F549" s="52" t="n"/>
      <c r="G549" s="60" t="n"/>
      <c r="H549" s="52" t="n"/>
      <c r="I549" s="52" t="n"/>
      <c r="J549" s="52" t="n"/>
      <c r="K549" s="68">
        <f>IF($A549="","",YEAR($A549))</f>
        <v/>
      </c>
      <c r="L549" s="68">
        <f>IF($A549="","",MONTH($A549))</f>
        <v/>
      </c>
      <c r="M549" s="68">
        <f>IF($A549="","",DAY($A549))</f>
        <v/>
      </c>
      <c r="N549" s="68">
        <f>IF($A549="","",YEAR($A549)&amp;"-"&amp;TEXT(MONTH($A549),"00"))</f>
        <v/>
      </c>
    </row>
    <row r="550">
      <c r="A550" s="53" t="n"/>
      <c r="B550" s="52" t="n"/>
      <c r="C550" s="52" t="n"/>
      <c r="D550" s="52" t="n"/>
      <c r="E550" s="58">
        <f>IFERROR(VLOOKUP(D550,Maestro_SKU!$A$2:$P$500,2,FALSE),"")</f>
        <v/>
      </c>
      <c r="F550" s="52" t="n"/>
      <c r="G550" s="60" t="n"/>
      <c r="H550" s="52" t="n"/>
      <c r="I550" s="52" t="n"/>
      <c r="J550" s="52" t="n"/>
      <c r="K550" s="68">
        <f>IF($A550="","",YEAR($A550))</f>
        <v/>
      </c>
      <c r="L550" s="68">
        <f>IF($A550="","",MONTH($A550))</f>
        <v/>
      </c>
      <c r="M550" s="68">
        <f>IF($A550="","",DAY($A550))</f>
        <v/>
      </c>
      <c r="N550" s="68">
        <f>IF($A550="","",YEAR($A550)&amp;"-"&amp;TEXT(MONTH($A550),"00"))</f>
        <v/>
      </c>
    </row>
    <row r="551">
      <c r="A551" s="53" t="n"/>
      <c r="B551" s="52" t="n"/>
      <c r="C551" s="52" t="n"/>
      <c r="D551" s="52" t="n"/>
      <c r="E551" s="58">
        <f>IFERROR(VLOOKUP(D551,Maestro_SKU!$A$2:$P$500,2,FALSE),"")</f>
        <v/>
      </c>
      <c r="F551" s="52" t="n"/>
      <c r="G551" s="60" t="n"/>
      <c r="H551" s="52" t="n"/>
      <c r="I551" s="52" t="n"/>
      <c r="J551" s="52" t="n"/>
      <c r="K551" s="68">
        <f>IF($A551="","",YEAR($A551))</f>
        <v/>
      </c>
      <c r="L551" s="68">
        <f>IF($A551="","",MONTH($A551))</f>
        <v/>
      </c>
      <c r="M551" s="68">
        <f>IF($A551="","",DAY($A551))</f>
        <v/>
      </c>
      <c r="N551" s="68">
        <f>IF($A551="","",YEAR($A551)&amp;"-"&amp;TEXT(MONTH($A551),"00"))</f>
        <v/>
      </c>
    </row>
    <row r="552">
      <c r="A552" s="53" t="n"/>
      <c r="B552" s="52" t="n"/>
      <c r="C552" s="52" t="n"/>
      <c r="D552" s="52" t="n"/>
      <c r="E552" s="58">
        <f>IFERROR(VLOOKUP(D552,Maestro_SKU!$A$2:$P$500,2,FALSE),"")</f>
        <v/>
      </c>
      <c r="F552" s="52" t="n"/>
      <c r="G552" s="60" t="n"/>
      <c r="H552" s="52" t="n"/>
      <c r="I552" s="52" t="n"/>
      <c r="J552" s="52" t="n"/>
      <c r="K552" s="68">
        <f>IF($A552="","",YEAR($A552))</f>
        <v/>
      </c>
      <c r="L552" s="68">
        <f>IF($A552="","",MONTH($A552))</f>
        <v/>
      </c>
      <c r="M552" s="68">
        <f>IF($A552="","",DAY($A552))</f>
        <v/>
      </c>
      <c r="N552" s="68">
        <f>IF($A552="","",YEAR($A552)&amp;"-"&amp;TEXT(MONTH($A552),"00"))</f>
        <v/>
      </c>
    </row>
    <row r="553">
      <c r="A553" s="53" t="n"/>
      <c r="B553" s="52" t="n"/>
      <c r="C553" s="52" t="n"/>
      <c r="D553" s="52" t="n"/>
      <c r="E553" s="58">
        <f>IFERROR(VLOOKUP(D553,Maestro_SKU!$A$2:$P$500,2,FALSE),"")</f>
        <v/>
      </c>
      <c r="F553" s="52" t="n"/>
      <c r="G553" s="60" t="n"/>
      <c r="H553" s="52" t="n"/>
      <c r="I553" s="52" t="n"/>
      <c r="J553" s="52" t="n"/>
      <c r="K553" s="68">
        <f>IF($A553="","",YEAR($A553))</f>
        <v/>
      </c>
      <c r="L553" s="68">
        <f>IF($A553="","",MONTH($A553))</f>
        <v/>
      </c>
      <c r="M553" s="68">
        <f>IF($A553="","",DAY($A553))</f>
        <v/>
      </c>
      <c r="N553" s="68">
        <f>IF($A553="","",YEAR($A553)&amp;"-"&amp;TEXT(MONTH($A553),"00"))</f>
        <v/>
      </c>
    </row>
    <row r="554">
      <c r="A554" s="53" t="n"/>
      <c r="B554" s="52" t="n"/>
      <c r="C554" s="52" t="n"/>
      <c r="D554" s="52" t="n"/>
      <c r="E554" s="58">
        <f>IFERROR(VLOOKUP(D554,Maestro_SKU!$A$2:$P$500,2,FALSE),"")</f>
        <v/>
      </c>
      <c r="F554" s="52" t="n"/>
      <c r="G554" s="60" t="n"/>
      <c r="H554" s="52" t="n"/>
      <c r="I554" s="52" t="n"/>
      <c r="J554" s="52" t="n"/>
      <c r="K554" s="68">
        <f>IF($A554="","",YEAR($A554))</f>
        <v/>
      </c>
      <c r="L554" s="68">
        <f>IF($A554="","",MONTH($A554))</f>
        <v/>
      </c>
      <c r="M554" s="68">
        <f>IF($A554="","",DAY($A554))</f>
        <v/>
      </c>
      <c r="N554" s="68">
        <f>IF($A554="","",YEAR($A554)&amp;"-"&amp;TEXT(MONTH($A554),"00"))</f>
        <v/>
      </c>
    </row>
    <row r="555">
      <c r="A555" s="53" t="n"/>
      <c r="B555" s="52" t="n"/>
      <c r="C555" s="52" t="n"/>
      <c r="D555" s="52" t="n"/>
      <c r="E555" s="58">
        <f>IFERROR(VLOOKUP(D555,Maestro_SKU!$A$2:$P$500,2,FALSE),"")</f>
        <v/>
      </c>
      <c r="F555" s="52" t="n"/>
      <c r="G555" s="60" t="n"/>
      <c r="H555" s="52" t="n"/>
      <c r="I555" s="52" t="n"/>
      <c r="J555" s="52" t="n"/>
      <c r="K555" s="68">
        <f>IF($A555="","",YEAR($A555))</f>
        <v/>
      </c>
      <c r="L555" s="68">
        <f>IF($A555="","",MONTH($A555))</f>
        <v/>
      </c>
      <c r="M555" s="68">
        <f>IF($A555="","",DAY($A555))</f>
        <v/>
      </c>
      <c r="N555" s="68">
        <f>IF($A555="","",YEAR($A555)&amp;"-"&amp;TEXT(MONTH($A555),"00"))</f>
        <v/>
      </c>
    </row>
    <row r="556">
      <c r="A556" s="53" t="n"/>
      <c r="B556" s="52" t="n"/>
      <c r="C556" s="52" t="n"/>
      <c r="D556" s="52" t="n"/>
      <c r="E556" s="58">
        <f>IFERROR(VLOOKUP(D556,Maestro_SKU!$A$2:$P$500,2,FALSE),"")</f>
        <v/>
      </c>
      <c r="F556" s="52" t="n"/>
      <c r="G556" s="60" t="n"/>
      <c r="H556" s="52" t="n"/>
      <c r="I556" s="52" t="n"/>
      <c r="J556" s="52" t="n"/>
      <c r="K556" s="68">
        <f>IF($A556="","",YEAR($A556))</f>
        <v/>
      </c>
      <c r="L556" s="68">
        <f>IF($A556="","",MONTH($A556))</f>
        <v/>
      </c>
      <c r="M556" s="68">
        <f>IF($A556="","",DAY($A556))</f>
        <v/>
      </c>
      <c r="N556" s="68">
        <f>IF($A556="","",YEAR($A556)&amp;"-"&amp;TEXT(MONTH($A556),"00"))</f>
        <v/>
      </c>
    </row>
    <row r="557">
      <c r="A557" s="53" t="n"/>
      <c r="B557" s="52" t="n"/>
      <c r="C557" s="52" t="n"/>
      <c r="D557" s="52" t="n"/>
      <c r="E557" s="58">
        <f>IFERROR(VLOOKUP(D557,Maestro_SKU!$A$2:$P$500,2,FALSE),"")</f>
        <v/>
      </c>
      <c r="F557" s="52" t="n"/>
      <c r="G557" s="60" t="n"/>
      <c r="H557" s="52" t="n"/>
      <c r="I557" s="52" t="n"/>
      <c r="J557" s="52" t="n"/>
      <c r="K557" s="68">
        <f>IF($A557="","",YEAR($A557))</f>
        <v/>
      </c>
      <c r="L557" s="68">
        <f>IF($A557="","",MONTH($A557))</f>
        <v/>
      </c>
      <c r="M557" s="68">
        <f>IF($A557="","",DAY($A557))</f>
        <v/>
      </c>
      <c r="N557" s="68">
        <f>IF($A557="","",YEAR($A557)&amp;"-"&amp;TEXT(MONTH($A557),"00"))</f>
        <v/>
      </c>
    </row>
    <row r="558">
      <c r="A558" s="53" t="n"/>
      <c r="B558" s="52" t="n"/>
      <c r="C558" s="52" t="n"/>
      <c r="D558" s="52" t="n"/>
      <c r="E558" s="58">
        <f>IFERROR(VLOOKUP(D558,Maestro_SKU!$A$2:$P$500,2,FALSE),"")</f>
        <v/>
      </c>
      <c r="F558" s="52" t="n"/>
      <c r="G558" s="60" t="n"/>
      <c r="H558" s="52" t="n"/>
      <c r="I558" s="52" t="n"/>
      <c r="J558" s="52" t="n"/>
      <c r="K558" s="68">
        <f>IF($A558="","",YEAR($A558))</f>
        <v/>
      </c>
      <c r="L558" s="68">
        <f>IF($A558="","",MONTH($A558))</f>
        <v/>
      </c>
      <c r="M558" s="68">
        <f>IF($A558="","",DAY($A558))</f>
        <v/>
      </c>
      <c r="N558" s="68">
        <f>IF($A558="","",YEAR($A558)&amp;"-"&amp;TEXT(MONTH($A558),"00"))</f>
        <v/>
      </c>
    </row>
    <row r="559">
      <c r="A559" s="53" t="n"/>
      <c r="B559" s="52" t="n"/>
      <c r="C559" s="52" t="n"/>
      <c r="D559" s="52" t="n"/>
      <c r="E559" s="58">
        <f>IFERROR(VLOOKUP(D559,Maestro_SKU!$A$2:$P$500,2,FALSE),"")</f>
        <v/>
      </c>
      <c r="F559" s="52" t="n"/>
      <c r="G559" s="60" t="n"/>
      <c r="H559" s="52" t="n"/>
      <c r="I559" s="52" t="n"/>
      <c r="J559" s="52" t="n"/>
      <c r="K559" s="68">
        <f>IF($A559="","",YEAR($A559))</f>
        <v/>
      </c>
      <c r="L559" s="68">
        <f>IF($A559="","",MONTH($A559))</f>
        <v/>
      </c>
      <c r="M559" s="68">
        <f>IF($A559="","",DAY($A559))</f>
        <v/>
      </c>
      <c r="N559" s="68">
        <f>IF($A559="","",YEAR($A559)&amp;"-"&amp;TEXT(MONTH($A559),"00"))</f>
        <v/>
      </c>
    </row>
    <row r="560">
      <c r="A560" s="53" t="n"/>
      <c r="B560" s="52" t="n"/>
      <c r="C560" s="52" t="n"/>
      <c r="D560" s="52" t="n"/>
      <c r="E560" s="58">
        <f>IFERROR(VLOOKUP(D560,Maestro_SKU!$A$2:$P$500,2,FALSE),"")</f>
        <v/>
      </c>
      <c r="F560" s="52" t="n"/>
      <c r="G560" s="60" t="n"/>
      <c r="H560" s="52" t="n"/>
      <c r="I560" s="52" t="n"/>
      <c r="J560" s="52" t="n"/>
      <c r="K560" s="68">
        <f>IF($A560="","",YEAR($A560))</f>
        <v/>
      </c>
      <c r="L560" s="68">
        <f>IF($A560="","",MONTH($A560))</f>
        <v/>
      </c>
      <c r="M560" s="68">
        <f>IF($A560="","",DAY($A560))</f>
        <v/>
      </c>
      <c r="N560" s="68">
        <f>IF($A560="","",YEAR($A560)&amp;"-"&amp;TEXT(MONTH($A560),"00"))</f>
        <v/>
      </c>
    </row>
    <row r="561">
      <c r="A561" s="53" t="n"/>
      <c r="B561" s="52" t="n"/>
      <c r="C561" s="52" t="n"/>
      <c r="D561" s="52" t="n"/>
      <c r="E561" s="58">
        <f>IFERROR(VLOOKUP(D561,Maestro_SKU!$A$2:$P$500,2,FALSE),"")</f>
        <v/>
      </c>
      <c r="F561" s="52" t="n"/>
      <c r="G561" s="60" t="n"/>
      <c r="H561" s="52" t="n"/>
      <c r="I561" s="52" t="n"/>
      <c r="J561" s="52" t="n"/>
      <c r="K561" s="68">
        <f>IF($A561="","",YEAR($A561))</f>
        <v/>
      </c>
      <c r="L561" s="68">
        <f>IF($A561="","",MONTH($A561))</f>
        <v/>
      </c>
      <c r="M561" s="68">
        <f>IF($A561="","",DAY($A561))</f>
        <v/>
      </c>
      <c r="N561" s="68">
        <f>IF($A561="","",YEAR($A561)&amp;"-"&amp;TEXT(MONTH($A561),"00"))</f>
        <v/>
      </c>
    </row>
    <row r="562">
      <c r="A562" s="53" t="n"/>
      <c r="B562" s="52" t="n"/>
      <c r="C562" s="52" t="n"/>
      <c r="D562" s="52" t="n"/>
      <c r="E562" s="58">
        <f>IFERROR(VLOOKUP(D562,Maestro_SKU!$A$2:$P$500,2,FALSE),"")</f>
        <v/>
      </c>
      <c r="F562" s="52" t="n"/>
      <c r="G562" s="60" t="n"/>
      <c r="H562" s="52" t="n"/>
      <c r="I562" s="52" t="n"/>
      <c r="J562" s="52" t="n"/>
      <c r="K562" s="68">
        <f>IF($A562="","",YEAR($A562))</f>
        <v/>
      </c>
      <c r="L562" s="68">
        <f>IF($A562="","",MONTH($A562))</f>
        <v/>
      </c>
      <c r="M562" s="68">
        <f>IF($A562="","",DAY($A562))</f>
        <v/>
      </c>
      <c r="N562" s="68">
        <f>IF($A562="","",YEAR($A562)&amp;"-"&amp;TEXT(MONTH($A562),"00"))</f>
        <v/>
      </c>
    </row>
    <row r="563">
      <c r="A563" s="53" t="n"/>
      <c r="B563" s="52" t="n"/>
      <c r="C563" s="52" t="n"/>
      <c r="D563" s="52" t="n"/>
      <c r="E563" s="58">
        <f>IFERROR(VLOOKUP(D563,Maestro_SKU!$A$2:$P$500,2,FALSE),"")</f>
        <v/>
      </c>
      <c r="F563" s="52" t="n"/>
      <c r="G563" s="60" t="n"/>
      <c r="H563" s="52" t="n"/>
      <c r="I563" s="52" t="n"/>
      <c r="J563" s="52" t="n"/>
      <c r="K563" s="68">
        <f>IF($A563="","",YEAR($A563))</f>
        <v/>
      </c>
      <c r="L563" s="68">
        <f>IF($A563="","",MONTH($A563))</f>
        <v/>
      </c>
      <c r="M563" s="68">
        <f>IF($A563="","",DAY($A563))</f>
        <v/>
      </c>
      <c r="N563" s="68">
        <f>IF($A563="","",YEAR($A563)&amp;"-"&amp;TEXT(MONTH($A563),"00"))</f>
        <v/>
      </c>
    </row>
    <row r="564">
      <c r="A564" s="53" t="n"/>
      <c r="B564" s="52" t="n"/>
      <c r="C564" s="52" t="n"/>
      <c r="D564" s="52" t="n"/>
      <c r="E564" s="58">
        <f>IFERROR(VLOOKUP(D564,Maestro_SKU!$A$2:$P$500,2,FALSE),"")</f>
        <v/>
      </c>
      <c r="F564" s="52" t="n"/>
      <c r="G564" s="60" t="n"/>
      <c r="H564" s="52" t="n"/>
      <c r="I564" s="52" t="n"/>
      <c r="J564" s="52" t="n"/>
      <c r="K564" s="68">
        <f>IF($A564="","",YEAR($A564))</f>
        <v/>
      </c>
      <c r="L564" s="68">
        <f>IF($A564="","",MONTH($A564))</f>
        <v/>
      </c>
      <c r="M564" s="68">
        <f>IF($A564="","",DAY($A564))</f>
        <v/>
      </c>
      <c r="N564" s="68">
        <f>IF($A564="","",YEAR($A564)&amp;"-"&amp;TEXT(MONTH($A564),"00"))</f>
        <v/>
      </c>
    </row>
    <row r="565">
      <c r="A565" s="53" t="n"/>
      <c r="B565" s="52" t="n"/>
      <c r="C565" s="52" t="n"/>
      <c r="D565" s="52" t="n"/>
      <c r="E565" s="58">
        <f>IFERROR(VLOOKUP(D565,Maestro_SKU!$A$2:$P$500,2,FALSE),"")</f>
        <v/>
      </c>
      <c r="F565" s="52" t="n"/>
      <c r="G565" s="60" t="n"/>
      <c r="H565" s="52" t="n"/>
      <c r="I565" s="52" t="n"/>
      <c r="J565" s="52" t="n"/>
      <c r="K565" s="68">
        <f>IF($A565="","",YEAR($A565))</f>
        <v/>
      </c>
      <c r="L565" s="68">
        <f>IF($A565="","",MONTH($A565))</f>
        <v/>
      </c>
      <c r="M565" s="68">
        <f>IF($A565="","",DAY($A565))</f>
        <v/>
      </c>
      <c r="N565" s="68">
        <f>IF($A565="","",YEAR($A565)&amp;"-"&amp;TEXT(MONTH($A565),"00"))</f>
        <v/>
      </c>
    </row>
    <row r="566">
      <c r="A566" s="53" t="n"/>
      <c r="B566" s="52" t="n"/>
      <c r="C566" s="52" t="n"/>
      <c r="D566" s="52" t="n"/>
      <c r="E566" s="58">
        <f>IFERROR(VLOOKUP(D566,Maestro_SKU!$A$2:$P$500,2,FALSE),"")</f>
        <v/>
      </c>
      <c r="F566" s="52" t="n"/>
      <c r="G566" s="60" t="n"/>
      <c r="H566" s="52" t="n"/>
      <c r="I566" s="52" t="n"/>
      <c r="J566" s="52" t="n"/>
      <c r="K566" s="68">
        <f>IF($A566="","",YEAR($A566))</f>
        <v/>
      </c>
      <c r="L566" s="68">
        <f>IF($A566="","",MONTH($A566))</f>
        <v/>
      </c>
      <c r="M566" s="68">
        <f>IF($A566="","",DAY($A566))</f>
        <v/>
      </c>
      <c r="N566" s="68">
        <f>IF($A566="","",YEAR($A566)&amp;"-"&amp;TEXT(MONTH($A566),"00"))</f>
        <v/>
      </c>
    </row>
    <row r="567">
      <c r="A567" s="53" t="n"/>
      <c r="B567" s="52" t="n"/>
      <c r="C567" s="52" t="n"/>
      <c r="D567" s="52" t="n"/>
      <c r="E567" s="58">
        <f>IFERROR(VLOOKUP(D567,Maestro_SKU!$A$2:$P$500,2,FALSE),"")</f>
        <v/>
      </c>
      <c r="F567" s="52" t="n"/>
      <c r="G567" s="60" t="n"/>
      <c r="H567" s="52" t="n"/>
      <c r="I567" s="52" t="n"/>
      <c r="J567" s="52" t="n"/>
      <c r="K567" s="68">
        <f>IF($A567="","",YEAR($A567))</f>
        <v/>
      </c>
      <c r="L567" s="68">
        <f>IF($A567="","",MONTH($A567))</f>
        <v/>
      </c>
      <c r="M567" s="68">
        <f>IF($A567="","",DAY($A567))</f>
        <v/>
      </c>
      <c r="N567" s="68">
        <f>IF($A567="","",YEAR($A567)&amp;"-"&amp;TEXT(MONTH($A567),"00"))</f>
        <v/>
      </c>
    </row>
    <row r="568">
      <c r="A568" s="53" t="n"/>
      <c r="B568" s="52" t="n"/>
      <c r="C568" s="52" t="n"/>
      <c r="D568" s="52" t="n"/>
      <c r="E568" s="58">
        <f>IFERROR(VLOOKUP(D568,Maestro_SKU!$A$2:$P$500,2,FALSE),"")</f>
        <v/>
      </c>
      <c r="F568" s="52" t="n"/>
      <c r="G568" s="60" t="n"/>
      <c r="H568" s="52" t="n"/>
      <c r="I568" s="52" t="n"/>
      <c r="J568" s="52" t="n"/>
      <c r="K568" s="68">
        <f>IF($A568="","",YEAR($A568))</f>
        <v/>
      </c>
      <c r="L568" s="68">
        <f>IF($A568="","",MONTH($A568))</f>
        <v/>
      </c>
      <c r="M568" s="68">
        <f>IF($A568="","",DAY($A568))</f>
        <v/>
      </c>
      <c r="N568" s="68">
        <f>IF($A568="","",YEAR($A568)&amp;"-"&amp;TEXT(MONTH($A568),"00"))</f>
        <v/>
      </c>
    </row>
    <row r="569">
      <c r="A569" s="53" t="n"/>
      <c r="B569" s="52" t="n"/>
      <c r="C569" s="52" t="n"/>
      <c r="D569" s="52" t="n"/>
      <c r="E569" s="58">
        <f>IFERROR(VLOOKUP(D569,Maestro_SKU!$A$2:$P$500,2,FALSE),"")</f>
        <v/>
      </c>
      <c r="F569" s="52" t="n"/>
      <c r="G569" s="60" t="n"/>
      <c r="H569" s="52" t="n"/>
      <c r="I569" s="52" t="n"/>
      <c r="J569" s="52" t="n"/>
      <c r="K569" s="68">
        <f>IF($A569="","",YEAR($A569))</f>
        <v/>
      </c>
      <c r="L569" s="68">
        <f>IF($A569="","",MONTH($A569))</f>
        <v/>
      </c>
      <c r="M569" s="68">
        <f>IF($A569="","",DAY($A569))</f>
        <v/>
      </c>
      <c r="N569" s="68">
        <f>IF($A569="","",YEAR($A569)&amp;"-"&amp;TEXT(MONTH($A569),"00"))</f>
        <v/>
      </c>
    </row>
    <row r="570">
      <c r="A570" s="53" t="n"/>
      <c r="B570" s="52" t="n"/>
      <c r="C570" s="52" t="n"/>
      <c r="D570" s="52" t="n"/>
      <c r="E570" s="58">
        <f>IFERROR(VLOOKUP(D570,Maestro_SKU!$A$2:$P$500,2,FALSE),"")</f>
        <v/>
      </c>
      <c r="F570" s="52" t="n"/>
      <c r="G570" s="60" t="n"/>
      <c r="H570" s="52" t="n"/>
      <c r="I570" s="52" t="n"/>
      <c r="J570" s="52" t="n"/>
      <c r="K570" s="68">
        <f>IF($A570="","",YEAR($A570))</f>
        <v/>
      </c>
      <c r="L570" s="68">
        <f>IF($A570="","",MONTH($A570))</f>
        <v/>
      </c>
      <c r="M570" s="68">
        <f>IF($A570="","",DAY($A570))</f>
        <v/>
      </c>
      <c r="N570" s="68">
        <f>IF($A570="","",YEAR($A570)&amp;"-"&amp;TEXT(MONTH($A570),"00"))</f>
        <v/>
      </c>
    </row>
    <row r="571">
      <c r="A571" s="53" t="n"/>
      <c r="B571" s="52" t="n"/>
      <c r="C571" s="52" t="n"/>
      <c r="D571" s="52" t="n"/>
      <c r="E571" s="58">
        <f>IFERROR(VLOOKUP(D571,Maestro_SKU!$A$2:$P$500,2,FALSE),"")</f>
        <v/>
      </c>
      <c r="F571" s="52" t="n"/>
      <c r="G571" s="60" t="n"/>
      <c r="H571" s="52" t="n"/>
      <c r="I571" s="52" t="n"/>
      <c r="J571" s="52" t="n"/>
      <c r="K571" s="68">
        <f>IF($A571="","",YEAR($A571))</f>
        <v/>
      </c>
      <c r="L571" s="68">
        <f>IF($A571="","",MONTH($A571))</f>
        <v/>
      </c>
      <c r="M571" s="68">
        <f>IF($A571="","",DAY($A571))</f>
        <v/>
      </c>
      <c r="N571" s="68">
        <f>IF($A571="","",YEAR($A571)&amp;"-"&amp;TEXT(MONTH($A571),"00"))</f>
        <v/>
      </c>
    </row>
    <row r="572">
      <c r="A572" s="53" t="n"/>
      <c r="B572" s="52" t="n"/>
      <c r="C572" s="52" t="n"/>
      <c r="D572" s="52" t="n"/>
      <c r="E572" s="58">
        <f>IFERROR(VLOOKUP(D572,Maestro_SKU!$A$2:$P$500,2,FALSE),"")</f>
        <v/>
      </c>
      <c r="F572" s="52" t="n"/>
      <c r="G572" s="60" t="n"/>
      <c r="H572" s="52" t="n"/>
      <c r="I572" s="52" t="n"/>
      <c r="J572" s="52" t="n"/>
      <c r="K572" s="68">
        <f>IF($A572="","",YEAR($A572))</f>
        <v/>
      </c>
      <c r="L572" s="68">
        <f>IF($A572="","",MONTH($A572))</f>
        <v/>
      </c>
      <c r="M572" s="68">
        <f>IF($A572="","",DAY($A572))</f>
        <v/>
      </c>
      <c r="N572" s="68">
        <f>IF($A572="","",YEAR($A572)&amp;"-"&amp;TEXT(MONTH($A572),"00"))</f>
        <v/>
      </c>
    </row>
    <row r="573">
      <c r="A573" s="53" t="n"/>
      <c r="B573" s="52" t="n"/>
      <c r="C573" s="52" t="n"/>
      <c r="D573" s="52" t="n"/>
      <c r="E573" s="58">
        <f>IFERROR(VLOOKUP(D573,Maestro_SKU!$A$2:$P$500,2,FALSE),"")</f>
        <v/>
      </c>
      <c r="F573" s="52" t="n"/>
      <c r="G573" s="60" t="n"/>
      <c r="H573" s="52" t="n"/>
      <c r="I573" s="52" t="n"/>
      <c r="J573" s="52" t="n"/>
      <c r="K573" s="68">
        <f>IF($A573="","",YEAR($A573))</f>
        <v/>
      </c>
      <c r="L573" s="68">
        <f>IF($A573="","",MONTH($A573))</f>
        <v/>
      </c>
      <c r="M573" s="68">
        <f>IF($A573="","",DAY($A573))</f>
        <v/>
      </c>
      <c r="N573" s="68">
        <f>IF($A573="","",YEAR($A573)&amp;"-"&amp;TEXT(MONTH($A573),"00"))</f>
        <v/>
      </c>
    </row>
    <row r="574">
      <c r="A574" s="53" t="n"/>
      <c r="B574" s="52" t="n"/>
      <c r="C574" s="52" t="n"/>
      <c r="D574" s="52" t="n"/>
      <c r="E574" s="58">
        <f>IFERROR(VLOOKUP(D574,Maestro_SKU!$A$2:$P$500,2,FALSE),"")</f>
        <v/>
      </c>
      <c r="F574" s="52" t="n"/>
      <c r="G574" s="60" t="n"/>
      <c r="H574" s="52" t="n"/>
      <c r="I574" s="52" t="n"/>
      <c r="J574" s="52" t="n"/>
      <c r="K574" s="68">
        <f>IF($A574="","",YEAR($A574))</f>
        <v/>
      </c>
      <c r="L574" s="68">
        <f>IF($A574="","",MONTH($A574))</f>
        <v/>
      </c>
      <c r="M574" s="68">
        <f>IF($A574="","",DAY($A574))</f>
        <v/>
      </c>
      <c r="N574" s="68">
        <f>IF($A574="","",YEAR($A574)&amp;"-"&amp;TEXT(MONTH($A574),"00"))</f>
        <v/>
      </c>
    </row>
    <row r="575">
      <c r="A575" s="53" t="n"/>
      <c r="B575" s="52" t="n"/>
      <c r="C575" s="52" t="n"/>
      <c r="D575" s="52" t="n"/>
      <c r="E575" s="58">
        <f>IFERROR(VLOOKUP(D575,Maestro_SKU!$A$2:$P$500,2,FALSE),"")</f>
        <v/>
      </c>
      <c r="F575" s="52" t="n"/>
      <c r="G575" s="60" t="n"/>
      <c r="H575" s="52" t="n"/>
      <c r="I575" s="52" t="n"/>
      <c r="J575" s="52" t="n"/>
      <c r="K575" s="68">
        <f>IF($A575="","",YEAR($A575))</f>
        <v/>
      </c>
      <c r="L575" s="68">
        <f>IF($A575="","",MONTH($A575))</f>
        <v/>
      </c>
      <c r="M575" s="68">
        <f>IF($A575="","",DAY($A575))</f>
        <v/>
      </c>
      <c r="N575" s="68">
        <f>IF($A575="","",YEAR($A575)&amp;"-"&amp;TEXT(MONTH($A575),"00"))</f>
        <v/>
      </c>
    </row>
    <row r="576">
      <c r="A576" s="53" t="n"/>
      <c r="B576" s="52" t="n"/>
      <c r="C576" s="52" t="n"/>
      <c r="D576" s="52" t="n"/>
      <c r="E576" s="58">
        <f>IFERROR(VLOOKUP(D576,Maestro_SKU!$A$2:$P$500,2,FALSE),"")</f>
        <v/>
      </c>
      <c r="F576" s="52" t="n"/>
      <c r="G576" s="60" t="n"/>
      <c r="H576" s="52" t="n"/>
      <c r="I576" s="52" t="n"/>
      <c r="J576" s="52" t="n"/>
      <c r="K576" s="68">
        <f>IF($A576="","",YEAR($A576))</f>
        <v/>
      </c>
      <c r="L576" s="68">
        <f>IF($A576="","",MONTH($A576))</f>
        <v/>
      </c>
      <c r="M576" s="68">
        <f>IF($A576="","",DAY($A576))</f>
        <v/>
      </c>
      <c r="N576" s="68">
        <f>IF($A576="","",YEAR($A576)&amp;"-"&amp;TEXT(MONTH($A576),"00"))</f>
        <v/>
      </c>
    </row>
    <row r="577">
      <c r="A577" s="53" t="n"/>
      <c r="B577" s="52" t="n"/>
      <c r="C577" s="52" t="n"/>
      <c r="D577" s="52" t="n"/>
      <c r="E577" s="58">
        <f>IFERROR(VLOOKUP(D577,Maestro_SKU!$A$2:$P$500,2,FALSE),"")</f>
        <v/>
      </c>
      <c r="F577" s="52" t="n"/>
      <c r="G577" s="60" t="n"/>
      <c r="H577" s="52" t="n"/>
      <c r="I577" s="52" t="n"/>
      <c r="J577" s="52" t="n"/>
      <c r="K577" s="68">
        <f>IF($A577="","",YEAR($A577))</f>
        <v/>
      </c>
      <c r="L577" s="68">
        <f>IF($A577="","",MONTH($A577))</f>
        <v/>
      </c>
      <c r="M577" s="68">
        <f>IF($A577="","",DAY($A577))</f>
        <v/>
      </c>
      <c r="N577" s="68">
        <f>IF($A577="","",YEAR($A577)&amp;"-"&amp;TEXT(MONTH($A577),"00"))</f>
        <v/>
      </c>
    </row>
    <row r="578">
      <c r="A578" s="53" t="n"/>
      <c r="B578" s="52" t="n"/>
      <c r="C578" s="52" t="n"/>
      <c r="D578" s="52" t="n"/>
      <c r="E578" s="58">
        <f>IFERROR(VLOOKUP(D578,Maestro_SKU!$A$2:$P$500,2,FALSE),"")</f>
        <v/>
      </c>
      <c r="F578" s="52" t="n"/>
      <c r="G578" s="60" t="n"/>
      <c r="H578" s="52" t="n"/>
      <c r="I578" s="52" t="n"/>
      <c r="J578" s="52" t="n"/>
      <c r="K578" s="68">
        <f>IF($A578="","",YEAR($A578))</f>
        <v/>
      </c>
      <c r="L578" s="68">
        <f>IF($A578="","",MONTH($A578))</f>
        <v/>
      </c>
      <c r="M578" s="68">
        <f>IF($A578="","",DAY($A578))</f>
        <v/>
      </c>
      <c r="N578" s="68">
        <f>IF($A578="","",YEAR($A578)&amp;"-"&amp;TEXT(MONTH($A578),"00"))</f>
        <v/>
      </c>
    </row>
    <row r="579">
      <c r="A579" s="53" t="n"/>
      <c r="B579" s="52" t="n"/>
      <c r="C579" s="52" t="n"/>
      <c r="D579" s="52" t="n"/>
      <c r="E579" s="58">
        <f>IFERROR(VLOOKUP(D579,Maestro_SKU!$A$2:$P$500,2,FALSE),"")</f>
        <v/>
      </c>
      <c r="F579" s="52" t="n"/>
      <c r="G579" s="60" t="n"/>
      <c r="H579" s="52" t="n"/>
      <c r="I579" s="52" t="n"/>
      <c r="J579" s="52" t="n"/>
      <c r="K579" s="68">
        <f>IF($A579="","",YEAR($A579))</f>
        <v/>
      </c>
      <c r="L579" s="68">
        <f>IF($A579="","",MONTH($A579))</f>
        <v/>
      </c>
      <c r="M579" s="68">
        <f>IF($A579="","",DAY($A579))</f>
        <v/>
      </c>
      <c r="N579" s="68">
        <f>IF($A579="","",YEAR($A579)&amp;"-"&amp;TEXT(MONTH($A579),"00"))</f>
        <v/>
      </c>
    </row>
    <row r="580">
      <c r="A580" s="53" t="n"/>
      <c r="B580" s="52" t="n"/>
      <c r="C580" s="52" t="n"/>
      <c r="D580" s="52" t="n"/>
      <c r="E580" s="58">
        <f>IFERROR(VLOOKUP(D580,Maestro_SKU!$A$2:$P$500,2,FALSE),"")</f>
        <v/>
      </c>
      <c r="F580" s="52" t="n"/>
      <c r="G580" s="60" t="n"/>
      <c r="H580" s="52" t="n"/>
      <c r="I580" s="52" t="n"/>
      <c r="J580" s="52" t="n"/>
      <c r="K580" s="68">
        <f>IF($A580="","",YEAR($A580))</f>
        <v/>
      </c>
      <c r="L580" s="68">
        <f>IF($A580="","",MONTH($A580))</f>
        <v/>
      </c>
      <c r="M580" s="68">
        <f>IF($A580="","",DAY($A580))</f>
        <v/>
      </c>
      <c r="N580" s="68">
        <f>IF($A580="","",YEAR($A580)&amp;"-"&amp;TEXT(MONTH($A580),"00"))</f>
        <v/>
      </c>
    </row>
    <row r="581">
      <c r="A581" s="53" t="n"/>
      <c r="B581" s="52" t="n"/>
      <c r="C581" s="52" t="n"/>
      <c r="D581" s="52" t="n"/>
      <c r="E581" s="58">
        <f>IFERROR(VLOOKUP(D581,Maestro_SKU!$A$2:$P$500,2,FALSE),"")</f>
        <v/>
      </c>
      <c r="F581" s="52" t="n"/>
      <c r="G581" s="60" t="n"/>
      <c r="H581" s="52" t="n"/>
      <c r="I581" s="52" t="n"/>
      <c r="J581" s="52" t="n"/>
      <c r="K581" s="68">
        <f>IF($A581="","",YEAR($A581))</f>
        <v/>
      </c>
      <c r="L581" s="68">
        <f>IF($A581="","",MONTH($A581))</f>
        <v/>
      </c>
      <c r="M581" s="68">
        <f>IF($A581="","",DAY($A581))</f>
        <v/>
      </c>
      <c r="N581" s="68">
        <f>IF($A581="","",YEAR($A581)&amp;"-"&amp;TEXT(MONTH($A581),"00"))</f>
        <v/>
      </c>
    </row>
    <row r="582">
      <c r="A582" s="53" t="n"/>
      <c r="B582" s="52" t="n"/>
      <c r="C582" s="52" t="n"/>
      <c r="D582" s="52" t="n"/>
      <c r="E582" s="58">
        <f>IFERROR(VLOOKUP(D582,Maestro_SKU!$A$2:$P$500,2,FALSE),"")</f>
        <v/>
      </c>
      <c r="F582" s="52" t="n"/>
      <c r="G582" s="60" t="n"/>
      <c r="H582" s="52" t="n"/>
      <c r="I582" s="52" t="n"/>
      <c r="J582" s="52" t="n"/>
      <c r="K582" s="68">
        <f>IF($A582="","",YEAR($A582))</f>
        <v/>
      </c>
      <c r="L582" s="68">
        <f>IF($A582="","",MONTH($A582))</f>
        <v/>
      </c>
      <c r="M582" s="68">
        <f>IF($A582="","",DAY($A582))</f>
        <v/>
      </c>
      <c r="N582" s="68">
        <f>IF($A582="","",YEAR($A582)&amp;"-"&amp;TEXT(MONTH($A582),"00"))</f>
        <v/>
      </c>
    </row>
    <row r="583">
      <c r="A583" s="53" t="n"/>
      <c r="B583" s="52" t="n"/>
      <c r="C583" s="52" t="n"/>
      <c r="D583" s="52" t="n"/>
      <c r="E583" s="58">
        <f>IFERROR(VLOOKUP(D583,Maestro_SKU!$A$2:$P$500,2,FALSE),"")</f>
        <v/>
      </c>
      <c r="F583" s="52" t="n"/>
      <c r="G583" s="60" t="n"/>
      <c r="H583" s="52" t="n"/>
      <c r="I583" s="52" t="n"/>
      <c r="J583" s="52" t="n"/>
      <c r="K583" s="68">
        <f>IF($A583="","",YEAR($A583))</f>
        <v/>
      </c>
      <c r="L583" s="68">
        <f>IF($A583="","",MONTH($A583))</f>
        <v/>
      </c>
      <c r="M583" s="68">
        <f>IF($A583="","",DAY($A583))</f>
        <v/>
      </c>
      <c r="N583" s="68">
        <f>IF($A583="","",YEAR($A583)&amp;"-"&amp;TEXT(MONTH($A583),"00"))</f>
        <v/>
      </c>
    </row>
    <row r="584">
      <c r="A584" s="53" t="n"/>
      <c r="B584" s="52" t="n"/>
      <c r="C584" s="52" t="n"/>
      <c r="D584" s="52" t="n"/>
      <c r="E584" s="58">
        <f>IFERROR(VLOOKUP(D584,Maestro_SKU!$A$2:$P$500,2,FALSE),"")</f>
        <v/>
      </c>
      <c r="F584" s="52" t="n"/>
      <c r="G584" s="60" t="n"/>
      <c r="H584" s="52" t="n"/>
      <c r="I584" s="52" t="n"/>
      <c r="J584" s="52" t="n"/>
      <c r="K584" s="68">
        <f>IF($A584="","",YEAR($A584))</f>
        <v/>
      </c>
      <c r="L584" s="68">
        <f>IF($A584="","",MONTH($A584))</f>
        <v/>
      </c>
      <c r="M584" s="68">
        <f>IF($A584="","",DAY($A584))</f>
        <v/>
      </c>
      <c r="N584" s="68">
        <f>IF($A584="","",YEAR($A584)&amp;"-"&amp;TEXT(MONTH($A584),"00"))</f>
        <v/>
      </c>
    </row>
    <row r="585">
      <c r="A585" s="53" t="n"/>
      <c r="B585" s="52" t="n"/>
      <c r="C585" s="52" t="n"/>
      <c r="D585" s="52" t="n"/>
      <c r="E585" s="58">
        <f>IFERROR(VLOOKUP(D585,Maestro_SKU!$A$2:$P$500,2,FALSE),"")</f>
        <v/>
      </c>
      <c r="F585" s="52" t="n"/>
      <c r="G585" s="60" t="n"/>
      <c r="H585" s="52" t="n"/>
      <c r="I585" s="52" t="n"/>
      <c r="J585" s="52" t="n"/>
      <c r="K585" s="68">
        <f>IF($A585="","",YEAR($A585))</f>
        <v/>
      </c>
      <c r="L585" s="68">
        <f>IF($A585="","",MONTH($A585))</f>
        <v/>
      </c>
      <c r="M585" s="68">
        <f>IF($A585="","",DAY($A585))</f>
        <v/>
      </c>
      <c r="N585" s="68">
        <f>IF($A585="","",YEAR($A585)&amp;"-"&amp;TEXT(MONTH($A585),"00"))</f>
        <v/>
      </c>
    </row>
    <row r="586">
      <c r="A586" s="53" t="n"/>
      <c r="B586" s="52" t="n"/>
      <c r="C586" s="52" t="n"/>
      <c r="D586" s="52" t="n"/>
      <c r="E586" s="58">
        <f>IFERROR(VLOOKUP(D586,Maestro_SKU!$A$2:$P$500,2,FALSE),"")</f>
        <v/>
      </c>
      <c r="F586" s="52" t="n"/>
      <c r="G586" s="60" t="n"/>
      <c r="H586" s="52" t="n"/>
      <c r="I586" s="52" t="n"/>
      <c r="J586" s="52" t="n"/>
      <c r="K586" s="68">
        <f>IF($A586="","",YEAR($A586))</f>
        <v/>
      </c>
      <c r="L586" s="68">
        <f>IF($A586="","",MONTH($A586))</f>
        <v/>
      </c>
      <c r="M586" s="68">
        <f>IF($A586="","",DAY($A586))</f>
        <v/>
      </c>
      <c r="N586" s="68">
        <f>IF($A586="","",YEAR($A586)&amp;"-"&amp;TEXT(MONTH($A586),"00"))</f>
        <v/>
      </c>
    </row>
    <row r="587">
      <c r="A587" s="53" t="n"/>
      <c r="B587" s="52" t="n"/>
      <c r="C587" s="52" t="n"/>
      <c r="D587" s="52" t="n"/>
      <c r="E587" s="58">
        <f>IFERROR(VLOOKUP(D587,Maestro_SKU!$A$2:$P$500,2,FALSE),"")</f>
        <v/>
      </c>
      <c r="F587" s="52" t="n"/>
      <c r="G587" s="60" t="n"/>
      <c r="H587" s="52" t="n"/>
      <c r="I587" s="52" t="n"/>
      <c r="J587" s="52" t="n"/>
      <c r="K587" s="68">
        <f>IF($A587="","",YEAR($A587))</f>
        <v/>
      </c>
      <c r="L587" s="68">
        <f>IF($A587="","",MONTH($A587))</f>
        <v/>
      </c>
      <c r="M587" s="68">
        <f>IF($A587="","",DAY($A587))</f>
        <v/>
      </c>
      <c r="N587" s="68">
        <f>IF($A587="","",YEAR($A587)&amp;"-"&amp;TEXT(MONTH($A587),"00"))</f>
        <v/>
      </c>
    </row>
    <row r="588">
      <c r="A588" s="53" t="n"/>
      <c r="B588" s="52" t="n"/>
      <c r="C588" s="52" t="n"/>
      <c r="D588" s="52" t="n"/>
      <c r="E588" s="58">
        <f>IFERROR(VLOOKUP(D588,Maestro_SKU!$A$2:$P$500,2,FALSE),"")</f>
        <v/>
      </c>
      <c r="F588" s="52" t="n"/>
      <c r="G588" s="60" t="n"/>
      <c r="H588" s="52" t="n"/>
      <c r="I588" s="52" t="n"/>
      <c r="J588" s="52" t="n"/>
      <c r="K588" s="68">
        <f>IF($A588="","",YEAR($A588))</f>
        <v/>
      </c>
      <c r="L588" s="68">
        <f>IF($A588="","",MONTH($A588))</f>
        <v/>
      </c>
      <c r="M588" s="68">
        <f>IF($A588="","",DAY($A588))</f>
        <v/>
      </c>
      <c r="N588" s="68">
        <f>IF($A588="","",YEAR($A588)&amp;"-"&amp;TEXT(MONTH($A588),"00"))</f>
        <v/>
      </c>
    </row>
    <row r="589">
      <c r="A589" s="53" t="n"/>
      <c r="B589" s="52" t="n"/>
      <c r="C589" s="52" t="n"/>
      <c r="D589" s="52" t="n"/>
      <c r="E589" s="58">
        <f>IFERROR(VLOOKUP(D589,Maestro_SKU!$A$2:$P$500,2,FALSE),"")</f>
        <v/>
      </c>
      <c r="F589" s="52" t="n"/>
      <c r="G589" s="60" t="n"/>
      <c r="H589" s="52" t="n"/>
      <c r="I589" s="52" t="n"/>
      <c r="J589" s="52" t="n"/>
      <c r="K589" s="68">
        <f>IF($A589="","",YEAR($A589))</f>
        <v/>
      </c>
      <c r="L589" s="68">
        <f>IF($A589="","",MONTH($A589))</f>
        <v/>
      </c>
      <c r="M589" s="68">
        <f>IF($A589="","",DAY($A589))</f>
        <v/>
      </c>
      <c r="N589" s="68">
        <f>IF($A589="","",YEAR($A589)&amp;"-"&amp;TEXT(MONTH($A589),"00"))</f>
        <v/>
      </c>
    </row>
    <row r="590">
      <c r="A590" s="53" t="n"/>
      <c r="B590" s="52" t="n"/>
      <c r="C590" s="52" t="n"/>
      <c r="D590" s="52" t="n"/>
      <c r="E590" s="58">
        <f>IFERROR(VLOOKUP(D590,Maestro_SKU!$A$2:$P$500,2,FALSE),"")</f>
        <v/>
      </c>
      <c r="F590" s="52" t="n"/>
      <c r="G590" s="60" t="n"/>
      <c r="H590" s="52" t="n"/>
      <c r="I590" s="52" t="n"/>
      <c r="J590" s="52" t="n"/>
      <c r="K590" s="68">
        <f>IF($A590="","",YEAR($A590))</f>
        <v/>
      </c>
      <c r="L590" s="68">
        <f>IF($A590="","",MONTH($A590))</f>
        <v/>
      </c>
      <c r="M590" s="68">
        <f>IF($A590="","",DAY($A590))</f>
        <v/>
      </c>
      <c r="N590" s="68">
        <f>IF($A590="","",YEAR($A590)&amp;"-"&amp;TEXT(MONTH($A590),"00"))</f>
        <v/>
      </c>
    </row>
    <row r="591">
      <c r="A591" s="53" t="n"/>
      <c r="B591" s="52" t="n"/>
      <c r="C591" s="52" t="n"/>
      <c r="D591" s="52" t="n"/>
      <c r="E591" s="58">
        <f>IFERROR(VLOOKUP(D591,Maestro_SKU!$A$2:$P$500,2,FALSE),"")</f>
        <v/>
      </c>
      <c r="F591" s="52" t="n"/>
      <c r="G591" s="60" t="n"/>
      <c r="H591" s="52" t="n"/>
      <c r="I591" s="52" t="n"/>
      <c r="J591" s="52" t="n"/>
      <c r="K591" s="68">
        <f>IF($A591="","",YEAR($A591))</f>
        <v/>
      </c>
      <c r="L591" s="68">
        <f>IF($A591="","",MONTH($A591))</f>
        <v/>
      </c>
      <c r="M591" s="68">
        <f>IF($A591="","",DAY($A591))</f>
        <v/>
      </c>
      <c r="N591" s="68">
        <f>IF($A591="","",YEAR($A591)&amp;"-"&amp;TEXT(MONTH($A591),"00"))</f>
        <v/>
      </c>
    </row>
    <row r="592">
      <c r="A592" s="53" t="n"/>
      <c r="B592" s="52" t="n"/>
      <c r="C592" s="52" t="n"/>
      <c r="D592" s="52" t="n"/>
      <c r="E592" s="58">
        <f>IFERROR(VLOOKUP(D592,Maestro_SKU!$A$2:$P$500,2,FALSE),"")</f>
        <v/>
      </c>
      <c r="F592" s="52" t="n"/>
      <c r="G592" s="60" t="n"/>
      <c r="H592" s="52" t="n"/>
      <c r="I592" s="52" t="n"/>
      <c r="J592" s="52" t="n"/>
      <c r="K592" s="68">
        <f>IF($A592="","",YEAR($A592))</f>
        <v/>
      </c>
      <c r="L592" s="68">
        <f>IF($A592="","",MONTH($A592))</f>
        <v/>
      </c>
      <c r="M592" s="68">
        <f>IF($A592="","",DAY($A592))</f>
        <v/>
      </c>
      <c r="N592" s="68">
        <f>IF($A592="","",YEAR($A592)&amp;"-"&amp;TEXT(MONTH($A592),"00"))</f>
        <v/>
      </c>
    </row>
    <row r="593">
      <c r="A593" s="53" t="n"/>
      <c r="B593" s="52" t="n"/>
      <c r="C593" s="52" t="n"/>
      <c r="D593" s="52" t="n"/>
      <c r="E593" s="58">
        <f>IFERROR(VLOOKUP(D593,Maestro_SKU!$A$2:$P$500,2,FALSE),"")</f>
        <v/>
      </c>
      <c r="F593" s="52" t="n"/>
      <c r="G593" s="60" t="n"/>
      <c r="H593" s="52" t="n"/>
      <c r="I593" s="52" t="n"/>
      <c r="J593" s="52" t="n"/>
      <c r="K593" s="68">
        <f>IF($A593="","",YEAR($A593))</f>
        <v/>
      </c>
      <c r="L593" s="68">
        <f>IF($A593="","",MONTH($A593))</f>
        <v/>
      </c>
      <c r="M593" s="68">
        <f>IF($A593="","",DAY($A593))</f>
        <v/>
      </c>
      <c r="N593" s="68">
        <f>IF($A593="","",YEAR($A593)&amp;"-"&amp;TEXT(MONTH($A593),"00"))</f>
        <v/>
      </c>
    </row>
    <row r="594">
      <c r="A594" s="53" t="n"/>
      <c r="B594" s="52" t="n"/>
      <c r="C594" s="52" t="n"/>
      <c r="D594" s="52" t="n"/>
      <c r="E594" s="58">
        <f>IFERROR(VLOOKUP(D594,Maestro_SKU!$A$2:$P$500,2,FALSE),"")</f>
        <v/>
      </c>
      <c r="F594" s="52" t="n"/>
      <c r="G594" s="60" t="n"/>
      <c r="H594" s="52" t="n"/>
      <c r="I594" s="52" t="n"/>
      <c r="J594" s="52" t="n"/>
      <c r="K594" s="68">
        <f>IF($A594="","",YEAR($A594))</f>
        <v/>
      </c>
      <c r="L594" s="68">
        <f>IF($A594="","",MONTH($A594))</f>
        <v/>
      </c>
      <c r="M594" s="68">
        <f>IF($A594="","",DAY($A594))</f>
        <v/>
      </c>
      <c r="N594" s="68">
        <f>IF($A594="","",YEAR($A594)&amp;"-"&amp;TEXT(MONTH($A594),"00"))</f>
        <v/>
      </c>
    </row>
    <row r="595">
      <c r="A595" s="53" t="n"/>
      <c r="B595" s="52" t="n"/>
      <c r="C595" s="52" t="n"/>
      <c r="D595" s="52" t="n"/>
      <c r="E595" s="58">
        <f>IFERROR(VLOOKUP(D595,Maestro_SKU!$A$2:$P$500,2,FALSE),"")</f>
        <v/>
      </c>
      <c r="F595" s="52" t="n"/>
      <c r="G595" s="60" t="n"/>
      <c r="H595" s="52" t="n"/>
      <c r="I595" s="52" t="n"/>
      <c r="J595" s="52" t="n"/>
      <c r="K595" s="68">
        <f>IF($A595="","",YEAR($A595))</f>
        <v/>
      </c>
      <c r="L595" s="68">
        <f>IF($A595="","",MONTH($A595))</f>
        <v/>
      </c>
      <c r="M595" s="68">
        <f>IF($A595="","",DAY($A595))</f>
        <v/>
      </c>
      <c r="N595" s="68">
        <f>IF($A595="","",YEAR($A595)&amp;"-"&amp;TEXT(MONTH($A595),"00"))</f>
        <v/>
      </c>
    </row>
    <row r="596">
      <c r="A596" s="53" t="n"/>
      <c r="B596" s="52" t="n"/>
      <c r="C596" s="52" t="n"/>
      <c r="D596" s="52" t="n"/>
      <c r="E596" s="58">
        <f>IFERROR(VLOOKUP(D596,Maestro_SKU!$A$2:$P$500,2,FALSE),"")</f>
        <v/>
      </c>
      <c r="F596" s="52" t="n"/>
      <c r="G596" s="60" t="n"/>
      <c r="H596" s="52" t="n"/>
      <c r="I596" s="52" t="n"/>
      <c r="J596" s="52" t="n"/>
      <c r="K596" s="68">
        <f>IF($A596="","",YEAR($A596))</f>
        <v/>
      </c>
      <c r="L596" s="68">
        <f>IF($A596="","",MONTH($A596))</f>
        <v/>
      </c>
      <c r="M596" s="68">
        <f>IF($A596="","",DAY($A596))</f>
        <v/>
      </c>
      <c r="N596" s="68">
        <f>IF($A596="","",YEAR($A596)&amp;"-"&amp;TEXT(MONTH($A596),"00"))</f>
        <v/>
      </c>
    </row>
    <row r="597">
      <c r="A597" s="53" t="n"/>
      <c r="B597" s="52" t="n"/>
      <c r="C597" s="52" t="n"/>
      <c r="D597" s="52" t="n"/>
      <c r="E597" s="58">
        <f>IFERROR(VLOOKUP(D597,Maestro_SKU!$A$2:$P$500,2,FALSE),"")</f>
        <v/>
      </c>
      <c r="F597" s="52" t="n"/>
      <c r="G597" s="60" t="n"/>
      <c r="H597" s="52" t="n"/>
      <c r="I597" s="52" t="n"/>
      <c r="J597" s="52" t="n"/>
      <c r="K597" s="68">
        <f>IF($A597="","",YEAR($A597))</f>
        <v/>
      </c>
      <c r="L597" s="68">
        <f>IF($A597="","",MONTH($A597))</f>
        <v/>
      </c>
      <c r="M597" s="68">
        <f>IF($A597="","",DAY($A597))</f>
        <v/>
      </c>
      <c r="N597" s="68">
        <f>IF($A597="","",YEAR($A597)&amp;"-"&amp;TEXT(MONTH($A597),"00"))</f>
        <v/>
      </c>
    </row>
    <row r="598">
      <c r="A598" s="53" t="n"/>
      <c r="B598" s="52" t="n"/>
      <c r="C598" s="52" t="n"/>
      <c r="D598" s="52" t="n"/>
      <c r="E598" s="58">
        <f>IFERROR(VLOOKUP(D598,Maestro_SKU!$A$2:$P$500,2,FALSE),"")</f>
        <v/>
      </c>
      <c r="F598" s="52" t="n"/>
      <c r="G598" s="60" t="n"/>
      <c r="H598" s="52" t="n"/>
      <c r="I598" s="52" t="n"/>
      <c r="J598" s="52" t="n"/>
      <c r="K598" s="68">
        <f>IF($A598="","",YEAR($A598))</f>
        <v/>
      </c>
      <c r="L598" s="68">
        <f>IF($A598="","",MONTH($A598))</f>
        <v/>
      </c>
      <c r="M598" s="68">
        <f>IF($A598="","",DAY($A598))</f>
        <v/>
      </c>
      <c r="N598" s="68">
        <f>IF($A598="","",YEAR($A598)&amp;"-"&amp;TEXT(MONTH($A598),"00"))</f>
        <v/>
      </c>
    </row>
    <row r="599">
      <c r="A599" s="53" t="n"/>
      <c r="B599" s="52" t="n"/>
      <c r="C599" s="52" t="n"/>
      <c r="D599" s="52" t="n"/>
      <c r="E599" s="58">
        <f>IFERROR(VLOOKUP(D599,Maestro_SKU!$A$2:$P$500,2,FALSE),"")</f>
        <v/>
      </c>
      <c r="F599" s="52" t="n"/>
      <c r="G599" s="60" t="n"/>
      <c r="H599" s="52" t="n"/>
      <c r="I599" s="52" t="n"/>
      <c r="J599" s="52" t="n"/>
      <c r="K599" s="68">
        <f>IF($A599="","",YEAR($A599))</f>
        <v/>
      </c>
      <c r="L599" s="68">
        <f>IF($A599="","",MONTH($A599))</f>
        <v/>
      </c>
      <c r="M599" s="68">
        <f>IF($A599="","",DAY($A599))</f>
        <v/>
      </c>
      <c r="N599" s="68">
        <f>IF($A599="","",YEAR($A599)&amp;"-"&amp;TEXT(MONTH($A599),"00"))</f>
        <v/>
      </c>
    </row>
    <row r="600">
      <c r="A600" s="53" t="n"/>
      <c r="B600" s="52" t="n"/>
      <c r="C600" s="52" t="n"/>
      <c r="D600" s="52" t="n"/>
      <c r="E600" s="58">
        <f>IFERROR(VLOOKUP(D600,Maestro_SKU!$A$2:$P$500,2,FALSE),"")</f>
        <v/>
      </c>
      <c r="F600" s="52" t="n"/>
      <c r="G600" s="60" t="n"/>
      <c r="H600" s="52" t="n"/>
      <c r="I600" s="52" t="n"/>
      <c r="J600" s="52" t="n"/>
      <c r="K600" s="68">
        <f>IF($A600="","",YEAR($A600))</f>
        <v/>
      </c>
      <c r="L600" s="68">
        <f>IF($A600="","",MONTH($A600))</f>
        <v/>
      </c>
      <c r="M600" s="68">
        <f>IF($A600="","",DAY($A600))</f>
        <v/>
      </c>
      <c r="N600" s="68">
        <f>IF($A600="","",YEAR($A600)&amp;"-"&amp;TEXT(MONTH($A600),"00"))</f>
        <v/>
      </c>
    </row>
    <row r="601">
      <c r="A601" s="53" t="n"/>
      <c r="B601" s="52" t="n"/>
      <c r="C601" s="52" t="n"/>
      <c r="D601" s="52" t="n"/>
      <c r="E601" s="58">
        <f>IFERROR(VLOOKUP(D601,Maestro_SKU!$A$2:$P$500,2,FALSE),"")</f>
        <v/>
      </c>
      <c r="F601" s="52" t="n"/>
      <c r="G601" s="60" t="n"/>
      <c r="H601" s="52" t="n"/>
      <c r="I601" s="52" t="n"/>
      <c r="J601" s="52" t="n"/>
      <c r="K601" s="68">
        <f>IF($A601="","",YEAR($A601))</f>
        <v/>
      </c>
      <c r="L601" s="68">
        <f>IF($A601="","",MONTH($A601))</f>
        <v/>
      </c>
      <c r="M601" s="68">
        <f>IF($A601="","",DAY($A601))</f>
        <v/>
      </c>
      <c r="N601" s="68">
        <f>IF($A601="","",YEAR($A601)&amp;"-"&amp;TEXT(MONTH($A601),"00"))</f>
        <v/>
      </c>
    </row>
    <row r="602">
      <c r="A602" s="53" t="n"/>
      <c r="B602" s="52" t="n"/>
      <c r="C602" s="52" t="n"/>
      <c r="D602" s="52" t="n"/>
      <c r="E602" s="58">
        <f>IFERROR(VLOOKUP(D602,Maestro_SKU!$A$2:$P$500,2,FALSE),"")</f>
        <v/>
      </c>
      <c r="F602" s="52" t="n"/>
      <c r="G602" s="60" t="n"/>
      <c r="H602" s="52" t="n"/>
      <c r="I602" s="52" t="n"/>
      <c r="J602" s="52" t="n"/>
      <c r="K602" s="68">
        <f>IF($A602="","",YEAR($A602))</f>
        <v/>
      </c>
      <c r="L602" s="68">
        <f>IF($A602="","",MONTH($A602))</f>
        <v/>
      </c>
      <c r="M602" s="68">
        <f>IF($A602="","",DAY($A602))</f>
        <v/>
      </c>
      <c r="N602" s="68">
        <f>IF($A602="","",YEAR($A602)&amp;"-"&amp;TEXT(MONTH($A602),"00"))</f>
        <v/>
      </c>
    </row>
    <row r="603">
      <c r="A603" s="53" t="n"/>
      <c r="B603" s="52" t="n"/>
      <c r="C603" s="52" t="n"/>
      <c r="D603" s="52" t="n"/>
      <c r="E603" s="58">
        <f>IFERROR(VLOOKUP(D603,Maestro_SKU!$A$2:$P$500,2,FALSE),"")</f>
        <v/>
      </c>
      <c r="F603" s="52" t="n"/>
      <c r="G603" s="60" t="n"/>
      <c r="H603" s="52" t="n"/>
      <c r="I603" s="52" t="n"/>
      <c r="J603" s="52" t="n"/>
      <c r="K603" s="68">
        <f>IF($A603="","",YEAR($A603))</f>
        <v/>
      </c>
      <c r="L603" s="68">
        <f>IF($A603="","",MONTH($A603))</f>
        <v/>
      </c>
      <c r="M603" s="68">
        <f>IF($A603="","",DAY($A603))</f>
        <v/>
      </c>
      <c r="N603" s="68">
        <f>IF($A603="","",YEAR($A603)&amp;"-"&amp;TEXT(MONTH($A603),"00"))</f>
        <v/>
      </c>
    </row>
    <row r="604">
      <c r="A604" s="53" t="n"/>
      <c r="B604" s="52" t="n"/>
      <c r="C604" s="52" t="n"/>
      <c r="D604" s="52" t="n"/>
      <c r="E604" s="58">
        <f>IFERROR(VLOOKUP(D604,Maestro_SKU!$A$2:$P$500,2,FALSE),"")</f>
        <v/>
      </c>
      <c r="F604" s="52" t="n"/>
      <c r="G604" s="60" t="n"/>
      <c r="H604" s="52" t="n"/>
      <c r="I604" s="52" t="n"/>
      <c r="J604" s="52" t="n"/>
      <c r="K604" s="68">
        <f>IF($A604="","",YEAR($A604))</f>
        <v/>
      </c>
      <c r="L604" s="68">
        <f>IF($A604="","",MONTH($A604))</f>
        <v/>
      </c>
      <c r="M604" s="68">
        <f>IF($A604="","",DAY($A604))</f>
        <v/>
      </c>
      <c r="N604" s="68">
        <f>IF($A604="","",YEAR($A604)&amp;"-"&amp;TEXT(MONTH($A604),"00"))</f>
        <v/>
      </c>
    </row>
    <row r="605">
      <c r="A605" s="53" t="n"/>
      <c r="B605" s="52" t="n"/>
      <c r="C605" s="52" t="n"/>
      <c r="D605" s="52" t="n"/>
      <c r="E605" s="58">
        <f>IFERROR(VLOOKUP(D605,Maestro_SKU!$A$2:$P$500,2,FALSE),"")</f>
        <v/>
      </c>
      <c r="F605" s="52" t="n"/>
      <c r="G605" s="60" t="n"/>
      <c r="H605" s="52" t="n"/>
      <c r="I605" s="52" t="n"/>
      <c r="J605" s="52" t="n"/>
      <c r="K605" s="68">
        <f>IF($A605="","",YEAR($A605))</f>
        <v/>
      </c>
      <c r="L605" s="68">
        <f>IF($A605="","",MONTH($A605))</f>
        <v/>
      </c>
      <c r="M605" s="68">
        <f>IF($A605="","",DAY($A605))</f>
        <v/>
      </c>
      <c r="N605" s="68">
        <f>IF($A605="","",YEAR($A605)&amp;"-"&amp;TEXT(MONTH($A605),"00"))</f>
        <v/>
      </c>
    </row>
    <row r="606">
      <c r="A606" s="53" t="n"/>
      <c r="B606" s="52" t="n"/>
      <c r="C606" s="52" t="n"/>
      <c r="D606" s="52" t="n"/>
      <c r="E606" s="58">
        <f>IFERROR(VLOOKUP(D606,Maestro_SKU!$A$2:$P$500,2,FALSE),"")</f>
        <v/>
      </c>
      <c r="F606" s="52" t="n"/>
      <c r="G606" s="60" t="n"/>
      <c r="H606" s="52" t="n"/>
      <c r="I606" s="52" t="n"/>
      <c r="J606" s="52" t="n"/>
      <c r="K606" s="68">
        <f>IF($A606="","",YEAR($A606))</f>
        <v/>
      </c>
      <c r="L606" s="68">
        <f>IF($A606="","",MONTH($A606))</f>
        <v/>
      </c>
      <c r="M606" s="68">
        <f>IF($A606="","",DAY($A606))</f>
        <v/>
      </c>
      <c r="N606" s="68">
        <f>IF($A606="","",YEAR($A606)&amp;"-"&amp;TEXT(MONTH($A606),"00"))</f>
        <v/>
      </c>
    </row>
    <row r="607">
      <c r="A607" s="53" t="n"/>
      <c r="B607" s="52" t="n"/>
      <c r="C607" s="52" t="n"/>
      <c r="D607" s="52" t="n"/>
      <c r="E607" s="58">
        <f>IFERROR(VLOOKUP(D607,Maestro_SKU!$A$2:$P$500,2,FALSE),"")</f>
        <v/>
      </c>
      <c r="F607" s="52" t="n"/>
      <c r="G607" s="60" t="n"/>
      <c r="H607" s="52" t="n"/>
      <c r="I607" s="52" t="n"/>
      <c r="J607" s="52" t="n"/>
      <c r="K607" s="68">
        <f>IF($A607="","",YEAR($A607))</f>
        <v/>
      </c>
      <c r="L607" s="68">
        <f>IF($A607="","",MONTH($A607))</f>
        <v/>
      </c>
      <c r="M607" s="68">
        <f>IF($A607="","",DAY($A607))</f>
        <v/>
      </c>
      <c r="N607" s="68">
        <f>IF($A607="","",YEAR($A607)&amp;"-"&amp;TEXT(MONTH($A607),"00"))</f>
        <v/>
      </c>
    </row>
    <row r="608">
      <c r="A608" s="53" t="n"/>
      <c r="B608" s="52" t="n"/>
      <c r="C608" s="52" t="n"/>
      <c r="D608" s="52" t="n"/>
      <c r="E608" s="58">
        <f>IFERROR(VLOOKUP(D608,Maestro_SKU!$A$2:$P$500,2,FALSE),"")</f>
        <v/>
      </c>
      <c r="F608" s="52" t="n"/>
      <c r="G608" s="60" t="n"/>
      <c r="H608" s="52" t="n"/>
      <c r="I608" s="52" t="n"/>
      <c r="J608" s="52" t="n"/>
      <c r="K608" s="68">
        <f>IF($A608="","",YEAR($A608))</f>
        <v/>
      </c>
      <c r="L608" s="68">
        <f>IF($A608="","",MONTH($A608))</f>
        <v/>
      </c>
      <c r="M608" s="68">
        <f>IF($A608="","",DAY($A608))</f>
        <v/>
      </c>
      <c r="N608" s="68">
        <f>IF($A608="","",YEAR($A608)&amp;"-"&amp;TEXT(MONTH($A608),"00"))</f>
        <v/>
      </c>
    </row>
    <row r="609">
      <c r="A609" s="53" t="n"/>
      <c r="B609" s="52" t="n"/>
      <c r="C609" s="52" t="n"/>
      <c r="D609" s="52" t="n"/>
      <c r="E609" s="58">
        <f>IFERROR(VLOOKUP(D609,Maestro_SKU!$A$2:$P$500,2,FALSE),"")</f>
        <v/>
      </c>
      <c r="F609" s="52" t="n"/>
      <c r="G609" s="60" t="n"/>
      <c r="H609" s="52" t="n"/>
      <c r="I609" s="52" t="n"/>
      <c r="J609" s="52" t="n"/>
      <c r="K609" s="68">
        <f>IF($A609="","",YEAR($A609))</f>
        <v/>
      </c>
      <c r="L609" s="68">
        <f>IF($A609="","",MONTH($A609))</f>
        <v/>
      </c>
      <c r="M609" s="68">
        <f>IF($A609="","",DAY($A609))</f>
        <v/>
      </c>
      <c r="N609" s="68">
        <f>IF($A609="","",YEAR($A609)&amp;"-"&amp;TEXT(MONTH($A609),"00"))</f>
        <v/>
      </c>
    </row>
    <row r="610">
      <c r="A610" s="53" t="n"/>
      <c r="B610" s="52" t="n"/>
      <c r="C610" s="52" t="n"/>
      <c r="D610" s="52" t="n"/>
      <c r="E610" s="58">
        <f>IFERROR(VLOOKUP(D610,Maestro_SKU!$A$2:$P$500,2,FALSE),"")</f>
        <v/>
      </c>
      <c r="F610" s="52" t="n"/>
      <c r="G610" s="60" t="n"/>
      <c r="H610" s="52" t="n"/>
      <c r="I610" s="52" t="n"/>
      <c r="J610" s="52" t="n"/>
      <c r="K610" s="68">
        <f>IF($A610="","",YEAR($A610))</f>
        <v/>
      </c>
      <c r="L610" s="68">
        <f>IF($A610="","",MONTH($A610))</f>
        <v/>
      </c>
      <c r="M610" s="68">
        <f>IF($A610="","",DAY($A610))</f>
        <v/>
      </c>
      <c r="N610" s="68">
        <f>IF($A610="","",YEAR($A610)&amp;"-"&amp;TEXT(MONTH($A610),"00"))</f>
        <v/>
      </c>
    </row>
    <row r="611">
      <c r="A611" s="53" t="n"/>
      <c r="B611" s="52" t="n"/>
      <c r="C611" s="52" t="n"/>
      <c r="D611" s="52" t="n"/>
      <c r="E611" s="58">
        <f>IFERROR(VLOOKUP(D611,Maestro_SKU!$A$2:$P$500,2,FALSE),"")</f>
        <v/>
      </c>
      <c r="F611" s="52" t="n"/>
      <c r="G611" s="60" t="n"/>
      <c r="H611" s="52" t="n"/>
      <c r="I611" s="52" t="n"/>
      <c r="J611" s="52" t="n"/>
      <c r="K611" s="68">
        <f>IF($A611="","",YEAR($A611))</f>
        <v/>
      </c>
      <c r="L611" s="68">
        <f>IF($A611="","",MONTH($A611))</f>
        <v/>
      </c>
      <c r="M611" s="68">
        <f>IF($A611="","",DAY($A611))</f>
        <v/>
      </c>
      <c r="N611" s="68">
        <f>IF($A611="","",YEAR($A611)&amp;"-"&amp;TEXT(MONTH($A611),"00"))</f>
        <v/>
      </c>
    </row>
    <row r="612">
      <c r="A612" s="53" t="n"/>
      <c r="B612" s="52" t="n"/>
      <c r="C612" s="52" t="n"/>
      <c r="D612" s="52" t="n"/>
      <c r="E612" s="58">
        <f>IFERROR(VLOOKUP(D612,Maestro_SKU!$A$2:$P$500,2,FALSE),"")</f>
        <v/>
      </c>
      <c r="F612" s="52" t="n"/>
      <c r="G612" s="60" t="n"/>
      <c r="H612" s="52" t="n"/>
      <c r="I612" s="52" t="n"/>
      <c r="J612" s="52" t="n"/>
      <c r="K612" s="68">
        <f>IF($A612="","",YEAR($A612))</f>
        <v/>
      </c>
      <c r="L612" s="68">
        <f>IF($A612="","",MONTH($A612))</f>
        <v/>
      </c>
      <c r="M612" s="68">
        <f>IF($A612="","",DAY($A612))</f>
        <v/>
      </c>
      <c r="N612" s="68">
        <f>IF($A612="","",YEAR($A612)&amp;"-"&amp;TEXT(MONTH($A612),"00"))</f>
        <v/>
      </c>
    </row>
    <row r="613">
      <c r="A613" s="53" t="n"/>
      <c r="B613" s="52" t="n"/>
      <c r="C613" s="52" t="n"/>
      <c r="D613" s="52" t="n"/>
      <c r="E613" s="58">
        <f>IFERROR(VLOOKUP(D613,Maestro_SKU!$A$2:$P$500,2,FALSE),"")</f>
        <v/>
      </c>
      <c r="F613" s="52" t="n"/>
      <c r="G613" s="60" t="n"/>
      <c r="H613" s="52" t="n"/>
      <c r="I613" s="52" t="n"/>
      <c r="J613" s="52" t="n"/>
      <c r="K613" s="68">
        <f>IF($A613="","",YEAR($A613))</f>
        <v/>
      </c>
      <c r="L613" s="68">
        <f>IF($A613="","",MONTH($A613))</f>
        <v/>
      </c>
      <c r="M613" s="68">
        <f>IF($A613="","",DAY($A613))</f>
        <v/>
      </c>
      <c r="N613" s="68">
        <f>IF($A613="","",YEAR($A613)&amp;"-"&amp;TEXT(MONTH($A613),"00"))</f>
        <v/>
      </c>
    </row>
    <row r="614">
      <c r="A614" s="53" t="n"/>
      <c r="B614" s="52" t="n"/>
      <c r="C614" s="52" t="n"/>
      <c r="D614" s="52" t="n"/>
      <c r="E614" s="58">
        <f>IFERROR(VLOOKUP(D614,Maestro_SKU!$A$2:$P$500,2,FALSE),"")</f>
        <v/>
      </c>
      <c r="F614" s="52" t="n"/>
      <c r="G614" s="60" t="n"/>
      <c r="H614" s="52" t="n"/>
      <c r="I614" s="52" t="n"/>
      <c r="J614" s="52" t="n"/>
      <c r="K614" s="68">
        <f>IF($A614="","",YEAR($A614))</f>
        <v/>
      </c>
      <c r="L614" s="68">
        <f>IF($A614="","",MONTH($A614))</f>
        <v/>
      </c>
      <c r="M614" s="68">
        <f>IF($A614="","",DAY($A614))</f>
        <v/>
      </c>
      <c r="N614" s="68">
        <f>IF($A614="","",YEAR($A614)&amp;"-"&amp;TEXT(MONTH($A614),"00"))</f>
        <v/>
      </c>
    </row>
    <row r="615">
      <c r="A615" s="53" t="n"/>
      <c r="B615" s="52" t="n"/>
      <c r="C615" s="52" t="n"/>
      <c r="D615" s="52" t="n"/>
      <c r="E615" s="58">
        <f>IFERROR(VLOOKUP(D615,Maestro_SKU!$A$2:$P$500,2,FALSE),"")</f>
        <v/>
      </c>
      <c r="F615" s="52" t="n"/>
      <c r="G615" s="60" t="n"/>
      <c r="H615" s="52" t="n"/>
      <c r="I615" s="52" t="n"/>
      <c r="J615" s="52" t="n"/>
      <c r="K615" s="68">
        <f>IF($A615="","",YEAR($A615))</f>
        <v/>
      </c>
      <c r="L615" s="68">
        <f>IF($A615="","",MONTH($A615))</f>
        <v/>
      </c>
      <c r="M615" s="68">
        <f>IF($A615="","",DAY($A615))</f>
        <v/>
      </c>
      <c r="N615" s="68">
        <f>IF($A615="","",YEAR($A615)&amp;"-"&amp;TEXT(MONTH($A615),"00"))</f>
        <v/>
      </c>
    </row>
    <row r="616">
      <c r="A616" s="53" t="n"/>
      <c r="B616" s="52" t="n"/>
      <c r="C616" s="52" t="n"/>
      <c r="D616" s="52" t="n"/>
      <c r="E616" s="58">
        <f>IFERROR(VLOOKUP(D616,Maestro_SKU!$A$2:$P$500,2,FALSE),"")</f>
        <v/>
      </c>
      <c r="F616" s="52" t="n"/>
      <c r="G616" s="60" t="n"/>
      <c r="H616" s="52" t="n"/>
      <c r="I616" s="52" t="n"/>
      <c r="J616" s="52" t="n"/>
      <c r="K616" s="68">
        <f>IF($A616="","",YEAR($A616))</f>
        <v/>
      </c>
      <c r="L616" s="68">
        <f>IF($A616="","",MONTH($A616))</f>
        <v/>
      </c>
      <c r="M616" s="68">
        <f>IF($A616="","",DAY($A616))</f>
        <v/>
      </c>
      <c r="N616" s="68">
        <f>IF($A616="","",YEAR($A616)&amp;"-"&amp;TEXT(MONTH($A616),"00"))</f>
        <v/>
      </c>
    </row>
    <row r="617">
      <c r="A617" s="53" t="n"/>
      <c r="B617" s="52" t="n"/>
      <c r="C617" s="52" t="n"/>
      <c r="D617" s="52" t="n"/>
      <c r="E617" s="58">
        <f>IFERROR(VLOOKUP(D617,Maestro_SKU!$A$2:$P$500,2,FALSE),"")</f>
        <v/>
      </c>
      <c r="F617" s="52" t="n"/>
      <c r="G617" s="60" t="n"/>
      <c r="H617" s="52" t="n"/>
      <c r="I617" s="52" t="n"/>
      <c r="J617" s="52" t="n"/>
      <c r="K617" s="68">
        <f>IF($A617="","",YEAR($A617))</f>
        <v/>
      </c>
      <c r="L617" s="68">
        <f>IF($A617="","",MONTH($A617))</f>
        <v/>
      </c>
      <c r="M617" s="68">
        <f>IF($A617="","",DAY($A617))</f>
        <v/>
      </c>
      <c r="N617" s="68">
        <f>IF($A617="","",YEAR($A617)&amp;"-"&amp;TEXT(MONTH($A617),"00"))</f>
        <v/>
      </c>
    </row>
    <row r="618">
      <c r="A618" s="53" t="n"/>
      <c r="B618" s="52" t="n"/>
      <c r="C618" s="52" t="n"/>
      <c r="D618" s="52" t="n"/>
      <c r="E618" s="58">
        <f>IFERROR(VLOOKUP(D618,Maestro_SKU!$A$2:$P$500,2,FALSE),"")</f>
        <v/>
      </c>
      <c r="F618" s="52" t="n"/>
      <c r="G618" s="60" t="n"/>
      <c r="H618" s="52" t="n"/>
      <c r="I618" s="52" t="n"/>
      <c r="J618" s="52" t="n"/>
      <c r="K618" s="68">
        <f>IF($A618="","",YEAR($A618))</f>
        <v/>
      </c>
      <c r="L618" s="68">
        <f>IF($A618="","",MONTH($A618))</f>
        <v/>
      </c>
      <c r="M618" s="68">
        <f>IF($A618="","",DAY($A618))</f>
        <v/>
      </c>
      <c r="N618" s="68">
        <f>IF($A618="","",YEAR($A618)&amp;"-"&amp;TEXT(MONTH($A618),"00"))</f>
        <v/>
      </c>
    </row>
    <row r="619">
      <c r="A619" s="53" t="n"/>
      <c r="B619" s="52" t="n"/>
      <c r="C619" s="52" t="n"/>
      <c r="D619" s="52" t="n"/>
      <c r="E619" s="58">
        <f>IFERROR(VLOOKUP(D619,Maestro_SKU!$A$2:$P$500,2,FALSE),"")</f>
        <v/>
      </c>
      <c r="F619" s="52" t="n"/>
      <c r="G619" s="60" t="n"/>
      <c r="H619" s="52" t="n"/>
      <c r="I619" s="52" t="n"/>
      <c r="J619" s="52" t="n"/>
      <c r="K619" s="68">
        <f>IF($A619="","",YEAR($A619))</f>
        <v/>
      </c>
      <c r="L619" s="68">
        <f>IF($A619="","",MONTH($A619))</f>
        <v/>
      </c>
      <c r="M619" s="68">
        <f>IF($A619="","",DAY($A619))</f>
        <v/>
      </c>
      <c r="N619" s="68">
        <f>IF($A619="","",YEAR($A619)&amp;"-"&amp;TEXT(MONTH($A619),"00"))</f>
        <v/>
      </c>
    </row>
    <row r="620">
      <c r="A620" s="53" t="n"/>
      <c r="B620" s="52" t="n"/>
      <c r="C620" s="52" t="n"/>
      <c r="D620" s="52" t="n"/>
      <c r="E620" s="58">
        <f>IFERROR(VLOOKUP(D620,Maestro_SKU!$A$2:$P$500,2,FALSE),"")</f>
        <v/>
      </c>
      <c r="F620" s="52" t="n"/>
      <c r="G620" s="60" t="n"/>
      <c r="H620" s="52" t="n"/>
      <c r="I620" s="52" t="n"/>
      <c r="J620" s="52" t="n"/>
      <c r="K620" s="68">
        <f>IF($A620="","",YEAR($A620))</f>
        <v/>
      </c>
      <c r="L620" s="68">
        <f>IF($A620="","",MONTH($A620))</f>
        <v/>
      </c>
      <c r="M620" s="68">
        <f>IF($A620="","",DAY($A620))</f>
        <v/>
      </c>
      <c r="N620" s="68">
        <f>IF($A620="","",YEAR($A620)&amp;"-"&amp;TEXT(MONTH($A620),"00"))</f>
        <v/>
      </c>
    </row>
    <row r="621">
      <c r="A621" s="53" t="n"/>
      <c r="B621" s="52" t="n"/>
      <c r="C621" s="52" t="n"/>
      <c r="D621" s="52" t="n"/>
      <c r="E621" s="58">
        <f>IFERROR(VLOOKUP(D621,Maestro_SKU!$A$2:$P$500,2,FALSE),"")</f>
        <v/>
      </c>
      <c r="F621" s="52" t="n"/>
      <c r="G621" s="60" t="n"/>
      <c r="H621" s="52" t="n"/>
      <c r="I621" s="52" t="n"/>
      <c r="J621" s="52" t="n"/>
      <c r="K621" s="68">
        <f>IF($A621="","",YEAR($A621))</f>
        <v/>
      </c>
      <c r="L621" s="68">
        <f>IF($A621="","",MONTH($A621))</f>
        <v/>
      </c>
      <c r="M621" s="68">
        <f>IF($A621="","",DAY($A621))</f>
        <v/>
      </c>
      <c r="N621" s="68">
        <f>IF($A621="","",YEAR($A621)&amp;"-"&amp;TEXT(MONTH($A621),"00"))</f>
        <v/>
      </c>
    </row>
    <row r="622">
      <c r="A622" s="53" t="n"/>
      <c r="B622" s="52" t="n"/>
      <c r="C622" s="52" t="n"/>
      <c r="D622" s="52" t="n"/>
      <c r="E622" s="58">
        <f>IFERROR(VLOOKUP(D622,Maestro_SKU!$A$2:$P$500,2,FALSE),"")</f>
        <v/>
      </c>
      <c r="F622" s="52" t="n"/>
      <c r="G622" s="60" t="n"/>
      <c r="H622" s="52" t="n"/>
      <c r="I622" s="52" t="n"/>
      <c r="J622" s="52" t="n"/>
      <c r="K622" s="68">
        <f>IF($A622="","",YEAR($A622))</f>
        <v/>
      </c>
      <c r="L622" s="68">
        <f>IF($A622="","",MONTH($A622))</f>
        <v/>
      </c>
      <c r="M622" s="68">
        <f>IF($A622="","",DAY($A622))</f>
        <v/>
      </c>
      <c r="N622" s="68">
        <f>IF($A622="","",YEAR($A622)&amp;"-"&amp;TEXT(MONTH($A622),"00"))</f>
        <v/>
      </c>
    </row>
    <row r="623">
      <c r="A623" s="53" t="n"/>
      <c r="B623" s="52" t="n"/>
      <c r="C623" s="52" t="n"/>
      <c r="D623" s="52" t="n"/>
      <c r="E623" s="58">
        <f>IFERROR(VLOOKUP(D623,Maestro_SKU!$A$2:$P$500,2,FALSE),"")</f>
        <v/>
      </c>
      <c r="F623" s="52" t="n"/>
      <c r="G623" s="60" t="n"/>
      <c r="H623" s="52" t="n"/>
      <c r="I623" s="52" t="n"/>
      <c r="J623" s="52" t="n"/>
      <c r="K623" s="68">
        <f>IF($A623="","",YEAR($A623))</f>
        <v/>
      </c>
      <c r="L623" s="68">
        <f>IF($A623="","",MONTH($A623))</f>
        <v/>
      </c>
      <c r="M623" s="68">
        <f>IF($A623="","",DAY($A623))</f>
        <v/>
      </c>
      <c r="N623" s="68">
        <f>IF($A623="","",YEAR($A623)&amp;"-"&amp;TEXT(MONTH($A623),"00"))</f>
        <v/>
      </c>
    </row>
    <row r="624">
      <c r="A624" s="53" t="n"/>
      <c r="B624" s="52" t="n"/>
      <c r="C624" s="52" t="n"/>
      <c r="D624" s="52" t="n"/>
      <c r="E624" s="58">
        <f>IFERROR(VLOOKUP(D624,Maestro_SKU!$A$2:$P$500,2,FALSE),"")</f>
        <v/>
      </c>
      <c r="F624" s="52" t="n"/>
      <c r="G624" s="60" t="n"/>
      <c r="H624" s="52" t="n"/>
      <c r="I624" s="52" t="n"/>
      <c r="J624" s="52" t="n"/>
      <c r="K624" s="68">
        <f>IF($A624="","",YEAR($A624))</f>
        <v/>
      </c>
      <c r="L624" s="68">
        <f>IF($A624="","",MONTH($A624))</f>
        <v/>
      </c>
      <c r="M624" s="68">
        <f>IF($A624="","",DAY($A624))</f>
        <v/>
      </c>
      <c r="N624" s="68">
        <f>IF($A624="","",YEAR($A624)&amp;"-"&amp;TEXT(MONTH($A624),"00"))</f>
        <v/>
      </c>
    </row>
    <row r="625">
      <c r="A625" s="53" t="n"/>
      <c r="B625" s="52" t="n"/>
      <c r="C625" s="52" t="n"/>
      <c r="D625" s="52" t="n"/>
      <c r="E625" s="58">
        <f>IFERROR(VLOOKUP(D625,Maestro_SKU!$A$2:$P$500,2,FALSE),"")</f>
        <v/>
      </c>
      <c r="F625" s="52" t="n"/>
      <c r="G625" s="60" t="n"/>
      <c r="H625" s="52" t="n"/>
      <c r="I625" s="52" t="n"/>
      <c r="J625" s="52" t="n"/>
      <c r="K625" s="68">
        <f>IF($A625="","",YEAR($A625))</f>
        <v/>
      </c>
      <c r="L625" s="68">
        <f>IF($A625="","",MONTH($A625))</f>
        <v/>
      </c>
      <c r="M625" s="68">
        <f>IF($A625="","",DAY($A625))</f>
        <v/>
      </c>
      <c r="N625" s="68">
        <f>IF($A625="","",YEAR($A625)&amp;"-"&amp;TEXT(MONTH($A625),"00"))</f>
        <v/>
      </c>
    </row>
    <row r="626">
      <c r="A626" s="53" t="n"/>
      <c r="B626" s="52" t="n"/>
      <c r="C626" s="52" t="n"/>
      <c r="D626" s="52" t="n"/>
      <c r="E626" s="58">
        <f>IFERROR(VLOOKUP(D626,Maestro_SKU!$A$2:$P$500,2,FALSE),"")</f>
        <v/>
      </c>
      <c r="F626" s="52" t="n"/>
      <c r="G626" s="60" t="n"/>
      <c r="H626" s="52" t="n"/>
      <c r="I626" s="52" t="n"/>
      <c r="J626" s="52" t="n"/>
      <c r="K626" s="68">
        <f>IF($A626="","",YEAR($A626))</f>
        <v/>
      </c>
      <c r="L626" s="68">
        <f>IF($A626="","",MONTH($A626))</f>
        <v/>
      </c>
      <c r="M626" s="68">
        <f>IF($A626="","",DAY($A626))</f>
        <v/>
      </c>
      <c r="N626" s="68">
        <f>IF($A626="","",YEAR($A626)&amp;"-"&amp;TEXT(MONTH($A626),"00"))</f>
        <v/>
      </c>
    </row>
    <row r="627">
      <c r="A627" s="53" t="n"/>
      <c r="B627" s="52" t="n"/>
      <c r="C627" s="52" t="n"/>
      <c r="D627" s="52" t="n"/>
      <c r="E627" s="58">
        <f>IFERROR(VLOOKUP(D627,Maestro_SKU!$A$2:$P$500,2,FALSE),"")</f>
        <v/>
      </c>
      <c r="F627" s="52" t="n"/>
      <c r="G627" s="60" t="n"/>
      <c r="H627" s="52" t="n"/>
      <c r="I627" s="52" t="n"/>
      <c r="J627" s="52" t="n"/>
      <c r="K627" s="68">
        <f>IF($A627="","",YEAR($A627))</f>
        <v/>
      </c>
      <c r="L627" s="68">
        <f>IF($A627="","",MONTH($A627))</f>
        <v/>
      </c>
      <c r="M627" s="68">
        <f>IF($A627="","",DAY($A627))</f>
        <v/>
      </c>
      <c r="N627" s="68">
        <f>IF($A627="","",YEAR($A627)&amp;"-"&amp;TEXT(MONTH($A627),"00"))</f>
        <v/>
      </c>
    </row>
    <row r="628">
      <c r="A628" s="53" t="n"/>
      <c r="B628" s="52" t="n"/>
      <c r="C628" s="52" t="n"/>
      <c r="D628" s="52" t="n"/>
      <c r="E628" s="58">
        <f>IFERROR(VLOOKUP(D628,Maestro_SKU!$A$2:$P$500,2,FALSE),"")</f>
        <v/>
      </c>
      <c r="F628" s="52" t="n"/>
      <c r="G628" s="60" t="n"/>
      <c r="H628" s="52" t="n"/>
      <c r="I628" s="52" t="n"/>
      <c r="J628" s="52" t="n"/>
      <c r="K628" s="68">
        <f>IF($A628="","",YEAR($A628))</f>
        <v/>
      </c>
      <c r="L628" s="68">
        <f>IF($A628="","",MONTH($A628))</f>
        <v/>
      </c>
      <c r="M628" s="68">
        <f>IF($A628="","",DAY($A628))</f>
        <v/>
      </c>
      <c r="N628" s="68">
        <f>IF($A628="","",YEAR($A628)&amp;"-"&amp;TEXT(MONTH($A628),"00"))</f>
        <v/>
      </c>
    </row>
    <row r="629">
      <c r="A629" s="53" t="n"/>
      <c r="B629" s="52" t="n"/>
      <c r="C629" s="52" t="n"/>
      <c r="D629" s="52" t="n"/>
      <c r="E629" s="58">
        <f>IFERROR(VLOOKUP(D629,Maestro_SKU!$A$2:$P$500,2,FALSE),"")</f>
        <v/>
      </c>
      <c r="F629" s="52" t="n"/>
      <c r="G629" s="60" t="n"/>
      <c r="H629" s="52" t="n"/>
      <c r="I629" s="52" t="n"/>
      <c r="J629" s="52" t="n"/>
      <c r="K629" s="68">
        <f>IF($A629="","",YEAR($A629))</f>
        <v/>
      </c>
      <c r="L629" s="68">
        <f>IF($A629="","",MONTH($A629))</f>
        <v/>
      </c>
      <c r="M629" s="68">
        <f>IF($A629="","",DAY($A629))</f>
        <v/>
      </c>
      <c r="N629" s="68">
        <f>IF($A629="","",YEAR($A629)&amp;"-"&amp;TEXT(MONTH($A629),"00"))</f>
        <v/>
      </c>
    </row>
    <row r="630">
      <c r="A630" s="53" t="n"/>
      <c r="B630" s="52" t="n"/>
      <c r="C630" s="52" t="n"/>
      <c r="D630" s="52" t="n"/>
      <c r="E630" s="58">
        <f>IFERROR(VLOOKUP(D630,Maestro_SKU!$A$2:$P$500,2,FALSE),"")</f>
        <v/>
      </c>
      <c r="F630" s="52" t="n"/>
      <c r="G630" s="60" t="n"/>
      <c r="H630" s="52" t="n"/>
      <c r="I630" s="52" t="n"/>
      <c r="J630" s="52" t="n"/>
      <c r="K630" s="68">
        <f>IF($A630="","",YEAR($A630))</f>
        <v/>
      </c>
      <c r="L630" s="68">
        <f>IF($A630="","",MONTH($A630))</f>
        <v/>
      </c>
      <c r="M630" s="68">
        <f>IF($A630="","",DAY($A630))</f>
        <v/>
      </c>
      <c r="N630" s="68">
        <f>IF($A630="","",YEAR($A630)&amp;"-"&amp;TEXT(MONTH($A630),"00"))</f>
        <v/>
      </c>
    </row>
    <row r="631">
      <c r="A631" s="53" t="n"/>
      <c r="B631" s="52" t="n"/>
      <c r="C631" s="52" t="n"/>
      <c r="D631" s="52" t="n"/>
      <c r="E631" s="58">
        <f>IFERROR(VLOOKUP(D631,Maestro_SKU!$A$2:$P$500,2,FALSE),"")</f>
        <v/>
      </c>
      <c r="F631" s="52" t="n"/>
      <c r="G631" s="60" t="n"/>
      <c r="H631" s="52" t="n"/>
      <c r="I631" s="52" t="n"/>
      <c r="J631" s="52" t="n"/>
      <c r="K631" s="68">
        <f>IF($A631="","",YEAR($A631))</f>
        <v/>
      </c>
      <c r="L631" s="68">
        <f>IF($A631="","",MONTH($A631))</f>
        <v/>
      </c>
      <c r="M631" s="68">
        <f>IF($A631="","",DAY($A631))</f>
        <v/>
      </c>
      <c r="N631" s="68">
        <f>IF($A631="","",YEAR($A631)&amp;"-"&amp;TEXT(MONTH($A631),"00"))</f>
        <v/>
      </c>
    </row>
    <row r="632">
      <c r="A632" s="53" t="n"/>
      <c r="B632" s="52" t="n"/>
      <c r="C632" s="52" t="n"/>
      <c r="D632" s="52" t="n"/>
      <c r="E632" s="58">
        <f>IFERROR(VLOOKUP(D632,Maestro_SKU!$A$2:$P$500,2,FALSE),"")</f>
        <v/>
      </c>
      <c r="F632" s="52" t="n"/>
      <c r="G632" s="60" t="n"/>
      <c r="H632" s="52" t="n"/>
      <c r="I632" s="52" t="n"/>
      <c r="J632" s="52" t="n"/>
      <c r="K632" s="68">
        <f>IF($A632="","",YEAR($A632))</f>
        <v/>
      </c>
      <c r="L632" s="68">
        <f>IF($A632="","",MONTH($A632))</f>
        <v/>
      </c>
      <c r="M632" s="68">
        <f>IF($A632="","",DAY($A632))</f>
        <v/>
      </c>
      <c r="N632" s="68">
        <f>IF($A632="","",YEAR($A632)&amp;"-"&amp;TEXT(MONTH($A632),"00"))</f>
        <v/>
      </c>
    </row>
    <row r="633">
      <c r="A633" s="53" t="n"/>
      <c r="B633" s="52" t="n"/>
      <c r="C633" s="52" t="n"/>
      <c r="D633" s="52" t="n"/>
      <c r="E633" s="58">
        <f>IFERROR(VLOOKUP(D633,Maestro_SKU!$A$2:$P$500,2,FALSE),"")</f>
        <v/>
      </c>
      <c r="F633" s="52" t="n"/>
      <c r="G633" s="60" t="n"/>
      <c r="H633" s="52" t="n"/>
      <c r="I633" s="52" t="n"/>
      <c r="J633" s="52" t="n"/>
      <c r="K633" s="68">
        <f>IF($A633="","",YEAR($A633))</f>
        <v/>
      </c>
      <c r="L633" s="68">
        <f>IF($A633="","",MONTH($A633))</f>
        <v/>
      </c>
      <c r="M633" s="68">
        <f>IF($A633="","",DAY($A633))</f>
        <v/>
      </c>
      <c r="N633" s="68">
        <f>IF($A633="","",YEAR($A633)&amp;"-"&amp;TEXT(MONTH($A633),"00"))</f>
        <v/>
      </c>
    </row>
    <row r="634">
      <c r="A634" s="53" t="n"/>
      <c r="B634" s="52" t="n"/>
      <c r="C634" s="52" t="n"/>
      <c r="D634" s="52" t="n"/>
      <c r="E634" s="58">
        <f>IFERROR(VLOOKUP(D634,Maestro_SKU!$A$2:$P$500,2,FALSE),"")</f>
        <v/>
      </c>
      <c r="F634" s="52" t="n"/>
      <c r="G634" s="60" t="n"/>
      <c r="H634" s="52" t="n"/>
      <c r="I634" s="52" t="n"/>
      <c r="J634" s="52" t="n"/>
      <c r="K634" s="68">
        <f>IF($A634="","",YEAR($A634))</f>
        <v/>
      </c>
      <c r="L634" s="68">
        <f>IF($A634="","",MONTH($A634))</f>
        <v/>
      </c>
      <c r="M634" s="68">
        <f>IF($A634="","",DAY($A634))</f>
        <v/>
      </c>
      <c r="N634" s="68">
        <f>IF($A634="","",YEAR($A634)&amp;"-"&amp;TEXT(MONTH($A634),"00"))</f>
        <v/>
      </c>
    </row>
    <row r="635">
      <c r="A635" s="53" t="n"/>
      <c r="B635" s="52" t="n"/>
      <c r="C635" s="52" t="n"/>
      <c r="D635" s="52" t="n"/>
      <c r="E635" s="58">
        <f>IFERROR(VLOOKUP(D635,Maestro_SKU!$A$2:$P$500,2,FALSE),"")</f>
        <v/>
      </c>
      <c r="F635" s="52" t="n"/>
      <c r="G635" s="60" t="n"/>
      <c r="H635" s="52" t="n"/>
      <c r="I635" s="52" t="n"/>
      <c r="J635" s="52" t="n"/>
      <c r="K635" s="68">
        <f>IF($A635="","",YEAR($A635))</f>
        <v/>
      </c>
      <c r="L635" s="68">
        <f>IF($A635="","",MONTH($A635))</f>
        <v/>
      </c>
      <c r="M635" s="68">
        <f>IF($A635="","",DAY($A635))</f>
        <v/>
      </c>
      <c r="N635" s="68">
        <f>IF($A635="","",YEAR($A635)&amp;"-"&amp;TEXT(MONTH($A635),"00"))</f>
        <v/>
      </c>
    </row>
    <row r="636">
      <c r="A636" s="53" t="n"/>
      <c r="B636" s="52" t="n"/>
      <c r="C636" s="52" t="n"/>
      <c r="D636" s="52" t="n"/>
      <c r="E636" s="58">
        <f>IFERROR(VLOOKUP(D636,Maestro_SKU!$A$2:$P$500,2,FALSE),"")</f>
        <v/>
      </c>
      <c r="F636" s="52" t="n"/>
      <c r="G636" s="60" t="n"/>
      <c r="H636" s="52" t="n"/>
      <c r="I636" s="52" t="n"/>
      <c r="J636" s="52" t="n"/>
      <c r="K636" s="68">
        <f>IF($A636="","",YEAR($A636))</f>
        <v/>
      </c>
      <c r="L636" s="68">
        <f>IF($A636="","",MONTH($A636))</f>
        <v/>
      </c>
      <c r="M636" s="68">
        <f>IF($A636="","",DAY($A636))</f>
        <v/>
      </c>
      <c r="N636" s="68">
        <f>IF($A636="","",YEAR($A636)&amp;"-"&amp;TEXT(MONTH($A636),"00"))</f>
        <v/>
      </c>
    </row>
    <row r="637">
      <c r="A637" s="53" t="n"/>
      <c r="B637" s="52" t="n"/>
      <c r="C637" s="52" t="n"/>
      <c r="D637" s="52" t="n"/>
      <c r="E637" s="58">
        <f>IFERROR(VLOOKUP(D637,Maestro_SKU!$A$2:$P$500,2,FALSE),"")</f>
        <v/>
      </c>
      <c r="F637" s="52" t="n"/>
      <c r="G637" s="60" t="n"/>
      <c r="H637" s="52" t="n"/>
      <c r="I637" s="52" t="n"/>
      <c r="J637" s="52" t="n"/>
      <c r="K637" s="68">
        <f>IF($A637="","",YEAR($A637))</f>
        <v/>
      </c>
      <c r="L637" s="68">
        <f>IF($A637="","",MONTH($A637))</f>
        <v/>
      </c>
      <c r="M637" s="68">
        <f>IF($A637="","",DAY($A637))</f>
        <v/>
      </c>
      <c r="N637" s="68">
        <f>IF($A637="","",YEAR($A637)&amp;"-"&amp;TEXT(MONTH($A637),"00"))</f>
        <v/>
      </c>
    </row>
    <row r="638">
      <c r="A638" s="53" t="n"/>
      <c r="B638" s="52" t="n"/>
      <c r="C638" s="52" t="n"/>
      <c r="D638" s="52" t="n"/>
      <c r="E638" s="58">
        <f>IFERROR(VLOOKUP(D638,Maestro_SKU!$A$2:$P$500,2,FALSE),"")</f>
        <v/>
      </c>
      <c r="F638" s="52" t="n"/>
      <c r="G638" s="60" t="n"/>
      <c r="H638" s="52" t="n"/>
      <c r="I638" s="52" t="n"/>
      <c r="J638" s="52" t="n"/>
      <c r="K638" s="68">
        <f>IF($A638="","",YEAR($A638))</f>
        <v/>
      </c>
      <c r="L638" s="68">
        <f>IF($A638="","",MONTH($A638))</f>
        <v/>
      </c>
      <c r="M638" s="68">
        <f>IF($A638="","",DAY($A638))</f>
        <v/>
      </c>
      <c r="N638" s="68">
        <f>IF($A638="","",YEAR($A638)&amp;"-"&amp;TEXT(MONTH($A638),"00"))</f>
        <v/>
      </c>
    </row>
    <row r="639">
      <c r="A639" s="53" t="n"/>
      <c r="B639" s="52" t="n"/>
      <c r="C639" s="52" t="n"/>
      <c r="D639" s="52" t="n"/>
      <c r="E639" s="58">
        <f>IFERROR(VLOOKUP(D639,Maestro_SKU!$A$2:$P$500,2,FALSE),"")</f>
        <v/>
      </c>
      <c r="F639" s="52" t="n"/>
      <c r="G639" s="60" t="n"/>
      <c r="H639" s="52" t="n"/>
      <c r="I639" s="52" t="n"/>
      <c r="J639" s="52" t="n"/>
      <c r="K639" s="68">
        <f>IF($A639="","",YEAR($A639))</f>
        <v/>
      </c>
      <c r="L639" s="68">
        <f>IF($A639="","",MONTH($A639))</f>
        <v/>
      </c>
      <c r="M639" s="68">
        <f>IF($A639="","",DAY($A639))</f>
        <v/>
      </c>
      <c r="N639" s="68">
        <f>IF($A639="","",YEAR($A639)&amp;"-"&amp;TEXT(MONTH($A639),"00"))</f>
        <v/>
      </c>
    </row>
    <row r="640">
      <c r="A640" s="53" t="n"/>
      <c r="B640" s="52" t="n"/>
      <c r="C640" s="52" t="n"/>
      <c r="D640" s="52" t="n"/>
      <c r="E640" s="58">
        <f>IFERROR(VLOOKUP(D640,Maestro_SKU!$A$2:$P$500,2,FALSE),"")</f>
        <v/>
      </c>
      <c r="F640" s="52" t="n"/>
      <c r="G640" s="60" t="n"/>
      <c r="H640" s="52" t="n"/>
      <c r="I640" s="52" t="n"/>
      <c r="J640" s="52" t="n"/>
      <c r="K640" s="68">
        <f>IF($A640="","",YEAR($A640))</f>
        <v/>
      </c>
      <c r="L640" s="68">
        <f>IF($A640="","",MONTH($A640))</f>
        <v/>
      </c>
      <c r="M640" s="68">
        <f>IF($A640="","",DAY($A640))</f>
        <v/>
      </c>
      <c r="N640" s="68">
        <f>IF($A640="","",YEAR($A640)&amp;"-"&amp;TEXT(MONTH($A640),"00"))</f>
        <v/>
      </c>
    </row>
    <row r="641">
      <c r="A641" s="53" t="n"/>
      <c r="B641" s="52" t="n"/>
      <c r="C641" s="52" t="n"/>
      <c r="D641" s="52" t="n"/>
      <c r="E641" s="58">
        <f>IFERROR(VLOOKUP(D641,Maestro_SKU!$A$2:$P$500,2,FALSE),"")</f>
        <v/>
      </c>
      <c r="F641" s="52" t="n"/>
      <c r="G641" s="60" t="n"/>
      <c r="H641" s="52" t="n"/>
      <c r="I641" s="52" t="n"/>
      <c r="J641" s="52" t="n"/>
      <c r="K641" s="68">
        <f>IF($A641="","",YEAR($A641))</f>
        <v/>
      </c>
      <c r="L641" s="68">
        <f>IF($A641="","",MONTH($A641))</f>
        <v/>
      </c>
      <c r="M641" s="68">
        <f>IF($A641="","",DAY($A641))</f>
        <v/>
      </c>
      <c r="N641" s="68">
        <f>IF($A641="","",YEAR($A641)&amp;"-"&amp;TEXT(MONTH($A641),"00"))</f>
        <v/>
      </c>
    </row>
    <row r="642">
      <c r="A642" s="53" t="n"/>
      <c r="B642" s="52" t="n"/>
      <c r="C642" s="52" t="n"/>
      <c r="D642" s="52" t="n"/>
      <c r="E642" s="58">
        <f>IFERROR(VLOOKUP(D642,Maestro_SKU!$A$2:$P$500,2,FALSE),"")</f>
        <v/>
      </c>
      <c r="F642" s="52" t="n"/>
      <c r="G642" s="60" t="n"/>
      <c r="H642" s="52" t="n"/>
      <c r="I642" s="52" t="n"/>
      <c r="J642" s="52" t="n"/>
      <c r="K642" s="68">
        <f>IF($A642="","",YEAR($A642))</f>
        <v/>
      </c>
      <c r="L642" s="68">
        <f>IF($A642="","",MONTH($A642))</f>
        <v/>
      </c>
      <c r="M642" s="68">
        <f>IF($A642="","",DAY($A642))</f>
        <v/>
      </c>
      <c r="N642" s="68">
        <f>IF($A642="","",YEAR($A642)&amp;"-"&amp;TEXT(MONTH($A642),"00"))</f>
        <v/>
      </c>
    </row>
    <row r="643">
      <c r="A643" s="53" t="n"/>
      <c r="B643" s="52" t="n"/>
      <c r="C643" s="52" t="n"/>
      <c r="D643" s="52" t="n"/>
      <c r="E643" s="58">
        <f>IFERROR(VLOOKUP(D643,Maestro_SKU!$A$2:$P$500,2,FALSE),"")</f>
        <v/>
      </c>
      <c r="F643" s="52" t="n"/>
      <c r="G643" s="60" t="n"/>
      <c r="H643" s="52" t="n"/>
      <c r="I643" s="52" t="n"/>
      <c r="J643" s="52" t="n"/>
      <c r="K643" s="68">
        <f>IF($A643="","",YEAR($A643))</f>
        <v/>
      </c>
      <c r="L643" s="68">
        <f>IF($A643="","",MONTH($A643))</f>
        <v/>
      </c>
      <c r="M643" s="68">
        <f>IF($A643="","",DAY($A643))</f>
        <v/>
      </c>
      <c r="N643" s="68">
        <f>IF($A643="","",YEAR($A643)&amp;"-"&amp;TEXT(MONTH($A643),"00"))</f>
        <v/>
      </c>
    </row>
    <row r="644">
      <c r="A644" s="53" t="n"/>
      <c r="B644" s="52" t="n"/>
      <c r="C644" s="52" t="n"/>
      <c r="D644" s="52" t="n"/>
      <c r="E644" s="58">
        <f>IFERROR(VLOOKUP(D644,Maestro_SKU!$A$2:$P$500,2,FALSE),"")</f>
        <v/>
      </c>
      <c r="F644" s="52" t="n"/>
      <c r="G644" s="60" t="n"/>
      <c r="H644" s="52" t="n"/>
      <c r="I644" s="52" t="n"/>
      <c r="J644" s="52" t="n"/>
      <c r="K644" s="68">
        <f>IF($A644="","",YEAR($A644))</f>
        <v/>
      </c>
      <c r="L644" s="68">
        <f>IF($A644="","",MONTH($A644))</f>
        <v/>
      </c>
      <c r="M644" s="68">
        <f>IF($A644="","",DAY($A644))</f>
        <v/>
      </c>
      <c r="N644" s="68">
        <f>IF($A644="","",YEAR($A644)&amp;"-"&amp;TEXT(MONTH($A644),"00"))</f>
        <v/>
      </c>
    </row>
    <row r="645">
      <c r="A645" s="53" t="n"/>
      <c r="B645" s="52" t="n"/>
      <c r="C645" s="52" t="n"/>
      <c r="D645" s="52" t="n"/>
      <c r="E645" s="58">
        <f>IFERROR(VLOOKUP(D645,Maestro_SKU!$A$2:$P$500,2,FALSE),"")</f>
        <v/>
      </c>
      <c r="F645" s="52" t="n"/>
      <c r="G645" s="60" t="n"/>
      <c r="H645" s="52" t="n"/>
      <c r="I645" s="52" t="n"/>
      <c r="J645" s="52" t="n"/>
      <c r="K645" s="68">
        <f>IF($A645="","",YEAR($A645))</f>
        <v/>
      </c>
      <c r="L645" s="68">
        <f>IF($A645="","",MONTH($A645))</f>
        <v/>
      </c>
      <c r="M645" s="68">
        <f>IF($A645="","",DAY($A645))</f>
        <v/>
      </c>
      <c r="N645" s="68">
        <f>IF($A645="","",YEAR($A645)&amp;"-"&amp;TEXT(MONTH($A645),"00"))</f>
        <v/>
      </c>
    </row>
    <row r="646">
      <c r="A646" s="53" t="n"/>
      <c r="B646" s="52" t="n"/>
      <c r="C646" s="52" t="n"/>
      <c r="D646" s="52" t="n"/>
      <c r="E646" s="58">
        <f>IFERROR(VLOOKUP(D646,Maestro_SKU!$A$2:$P$500,2,FALSE),"")</f>
        <v/>
      </c>
      <c r="F646" s="52" t="n"/>
      <c r="G646" s="60" t="n"/>
      <c r="H646" s="52" t="n"/>
      <c r="I646" s="52" t="n"/>
      <c r="J646" s="52" t="n"/>
      <c r="K646" s="68">
        <f>IF($A646="","",YEAR($A646))</f>
        <v/>
      </c>
      <c r="L646" s="68">
        <f>IF($A646="","",MONTH($A646))</f>
        <v/>
      </c>
      <c r="M646" s="68">
        <f>IF($A646="","",DAY($A646))</f>
        <v/>
      </c>
      <c r="N646" s="68">
        <f>IF($A646="","",YEAR($A646)&amp;"-"&amp;TEXT(MONTH($A646),"00"))</f>
        <v/>
      </c>
    </row>
    <row r="647">
      <c r="A647" s="53" t="n"/>
      <c r="B647" s="52" t="n"/>
      <c r="C647" s="52" t="n"/>
      <c r="D647" s="52" t="n"/>
      <c r="E647" s="58">
        <f>IFERROR(VLOOKUP(D647,Maestro_SKU!$A$2:$P$500,2,FALSE),"")</f>
        <v/>
      </c>
      <c r="F647" s="52" t="n"/>
      <c r="G647" s="60" t="n"/>
      <c r="H647" s="52" t="n"/>
      <c r="I647" s="52" t="n"/>
      <c r="J647" s="52" t="n"/>
      <c r="K647" s="68">
        <f>IF($A647="","",YEAR($A647))</f>
        <v/>
      </c>
      <c r="L647" s="68">
        <f>IF($A647="","",MONTH($A647))</f>
        <v/>
      </c>
      <c r="M647" s="68">
        <f>IF($A647="","",DAY($A647))</f>
        <v/>
      </c>
      <c r="N647" s="68">
        <f>IF($A647="","",YEAR($A647)&amp;"-"&amp;TEXT(MONTH($A647),"00"))</f>
        <v/>
      </c>
    </row>
    <row r="648">
      <c r="A648" s="53" t="n"/>
      <c r="B648" s="52" t="n"/>
      <c r="C648" s="52" t="n"/>
      <c r="D648" s="52" t="n"/>
      <c r="E648" s="58">
        <f>IFERROR(VLOOKUP(D648,Maestro_SKU!$A$2:$P$500,2,FALSE),"")</f>
        <v/>
      </c>
      <c r="F648" s="52" t="n"/>
      <c r="G648" s="60" t="n"/>
      <c r="H648" s="52" t="n"/>
      <c r="I648" s="52" t="n"/>
      <c r="J648" s="52" t="n"/>
      <c r="K648" s="68">
        <f>IF($A648="","",YEAR($A648))</f>
        <v/>
      </c>
      <c r="L648" s="68">
        <f>IF($A648="","",MONTH($A648))</f>
        <v/>
      </c>
      <c r="M648" s="68">
        <f>IF($A648="","",DAY($A648))</f>
        <v/>
      </c>
      <c r="N648" s="68">
        <f>IF($A648="","",YEAR($A648)&amp;"-"&amp;TEXT(MONTH($A648),"00"))</f>
        <v/>
      </c>
    </row>
    <row r="649">
      <c r="A649" s="53" t="n"/>
      <c r="B649" s="52" t="n"/>
      <c r="C649" s="52" t="n"/>
      <c r="D649" s="52" t="n"/>
      <c r="E649" s="58">
        <f>IFERROR(VLOOKUP(D649,Maestro_SKU!$A$2:$P$500,2,FALSE),"")</f>
        <v/>
      </c>
      <c r="F649" s="52" t="n"/>
      <c r="G649" s="60" t="n"/>
      <c r="H649" s="52" t="n"/>
      <c r="I649" s="52" t="n"/>
      <c r="J649" s="52" t="n"/>
      <c r="K649" s="68">
        <f>IF($A649="","",YEAR($A649))</f>
        <v/>
      </c>
      <c r="L649" s="68">
        <f>IF($A649="","",MONTH($A649))</f>
        <v/>
      </c>
      <c r="M649" s="68">
        <f>IF($A649="","",DAY($A649))</f>
        <v/>
      </c>
      <c r="N649" s="68">
        <f>IF($A649="","",YEAR($A649)&amp;"-"&amp;TEXT(MONTH($A649),"00"))</f>
        <v/>
      </c>
    </row>
    <row r="650">
      <c r="A650" s="53" t="n"/>
      <c r="B650" s="52" t="n"/>
      <c r="C650" s="52" t="n"/>
      <c r="D650" s="52" t="n"/>
      <c r="E650" s="58">
        <f>IFERROR(VLOOKUP(D650,Maestro_SKU!$A$2:$P$500,2,FALSE),"")</f>
        <v/>
      </c>
      <c r="F650" s="52" t="n"/>
      <c r="G650" s="60" t="n"/>
      <c r="H650" s="52" t="n"/>
      <c r="I650" s="52" t="n"/>
      <c r="J650" s="52" t="n"/>
      <c r="K650" s="68">
        <f>IF($A650="","",YEAR($A650))</f>
        <v/>
      </c>
      <c r="L650" s="68">
        <f>IF($A650="","",MONTH($A650))</f>
        <v/>
      </c>
      <c r="M650" s="68">
        <f>IF($A650="","",DAY($A650))</f>
        <v/>
      </c>
      <c r="N650" s="68">
        <f>IF($A650="","",YEAR($A650)&amp;"-"&amp;TEXT(MONTH($A650),"00"))</f>
        <v/>
      </c>
    </row>
    <row r="651">
      <c r="A651" s="53" t="n"/>
      <c r="B651" s="52" t="n"/>
      <c r="C651" s="52" t="n"/>
      <c r="D651" s="52" t="n"/>
      <c r="E651" s="58">
        <f>IFERROR(VLOOKUP(D651,Maestro_SKU!$A$2:$P$500,2,FALSE),"")</f>
        <v/>
      </c>
      <c r="F651" s="52" t="n"/>
      <c r="G651" s="60" t="n"/>
      <c r="H651" s="52" t="n"/>
      <c r="I651" s="52" t="n"/>
      <c r="J651" s="52" t="n"/>
      <c r="K651" s="68">
        <f>IF($A651="","",YEAR($A651))</f>
        <v/>
      </c>
      <c r="L651" s="68">
        <f>IF($A651="","",MONTH($A651))</f>
        <v/>
      </c>
      <c r="M651" s="68">
        <f>IF($A651="","",DAY($A651))</f>
        <v/>
      </c>
      <c r="N651" s="68">
        <f>IF($A651="","",YEAR($A651)&amp;"-"&amp;TEXT(MONTH($A651),"00"))</f>
        <v/>
      </c>
    </row>
    <row r="652">
      <c r="A652" s="53" t="n"/>
      <c r="B652" s="52" t="n"/>
      <c r="C652" s="52" t="n"/>
      <c r="D652" s="52" t="n"/>
      <c r="E652" s="58">
        <f>IFERROR(VLOOKUP(D652,Maestro_SKU!$A$2:$P$500,2,FALSE),"")</f>
        <v/>
      </c>
      <c r="F652" s="52" t="n"/>
      <c r="G652" s="60" t="n"/>
      <c r="H652" s="52" t="n"/>
      <c r="I652" s="52" t="n"/>
      <c r="J652" s="52" t="n"/>
      <c r="K652" s="68">
        <f>IF($A652="","",YEAR($A652))</f>
        <v/>
      </c>
      <c r="L652" s="68">
        <f>IF($A652="","",MONTH($A652))</f>
        <v/>
      </c>
      <c r="M652" s="68">
        <f>IF($A652="","",DAY($A652))</f>
        <v/>
      </c>
      <c r="N652" s="68">
        <f>IF($A652="","",YEAR($A652)&amp;"-"&amp;TEXT(MONTH($A652),"00"))</f>
        <v/>
      </c>
    </row>
    <row r="653">
      <c r="A653" s="53" t="n"/>
      <c r="B653" s="52" t="n"/>
      <c r="C653" s="52" t="n"/>
      <c r="D653" s="52" t="n"/>
      <c r="E653" s="58">
        <f>IFERROR(VLOOKUP(D653,Maestro_SKU!$A$2:$P$500,2,FALSE),"")</f>
        <v/>
      </c>
      <c r="F653" s="52" t="n"/>
      <c r="G653" s="60" t="n"/>
      <c r="H653" s="52" t="n"/>
      <c r="I653" s="52" t="n"/>
      <c r="J653" s="52" t="n"/>
      <c r="K653" s="68">
        <f>IF($A653="","",YEAR($A653))</f>
        <v/>
      </c>
      <c r="L653" s="68">
        <f>IF($A653="","",MONTH($A653))</f>
        <v/>
      </c>
      <c r="M653" s="68">
        <f>IF($A653="","",DAY($A653))</f>
        <v/>
      </c>
      <c r="N653" s="68">
        <f>IF($A653="","",YEAR($A653)&amp;"-"&amp;TEXT(MONTH($A653),"00"))</f>
        <v/>
      </c>
    </row>
    <row r="654">
      <c r="A654" s="53" t="n"/>
      <c r="B654" s="52" t="n"/>
      <c r="C654" s="52" t="n"/>
      <c r="D654" s="52" t="n"/>
      <c r="E654" s="58">
        <f>IFERROR(VLOOKUP(D654,Maestro_SKU!$A$2:$P$500,2,FALSE),"")</f>
        <v/>
      </c>
      <c r="F654" s="52" t="n"/>
      <c r="G654" s="60" t="n"/>
      <c r="H654" s="52" t="n"/>
      <c r="I654" s="52" t="n"/>
      <c r="J654" s="52" t="n"/>
      <c r="K654" s="68">
        <f>IF($A654="","",YEAR($A654))</f>
        <v/>
      </c>
      <c r="L654" s="68">
        <f>IF($A654="","",MONTH($A654))</f>
        <v/>
      </c>
      <c r="M654" s="68">
        <f>IF($A654="","",DAY($A654))</f>
        <v/>
      </c>
      <c r="N654" s="68">
        <f>IF($A654="","",YEAR($A654)&amp;"-"&amp;TEXT(MONTH($A654),"00"))</f>
        <v/>
      </c>
    </row>
    <row r="655">
      <c r="A655" s="53" t="n"/>
      <c r="B655" s="52" t="n"/>
      <c r="C655" s="52" t="n"/>
      <c r="D655" s="52" t="n"/>
      <c r="E655" s="58">
        <f>IFERROR(VLOOKUP(D655,Maestro_SKU!$A$2:$P$500,2,FALSE),"")</f>
        <v/>
      </c>
      <c r="F655" s="52" t="n"/>
      <c r="G655" s="60" t="n"/>
      <c r="H655" s="52" t="n"/>
      <c r="I655" s="52" t="n"/>
      <c r="J655" s="52" t="n"/>
      <c r="K655" s="68">
        <f>IF($A655="","",YEAR($A655))</f>
        <v/>
      </c>
      <c r="L655" s="68">
        <f>IF($A655="","",MONTH($A655))</f>
        <v/>
      </c>
      <c r="M655" s="68">
        <f>IF($A655="","",DAY($A655))</f>
        <v/>
      </c>
      <c r="N655" s="68">
        <f>IF($A655="","",YEAR($A655)&amp;"-"&amp;TEXT(MONTH($A655),"00"))</f>
        <v/>
      </c>
    </row>
    <row r="656">
      <c r="A656" s="53" t="n"/>
      <c r="B656" s="52" t="n"/>
      <c r="C656" s="52" t="n"/>
      <c r="D656" s="52" t="n"/>
      <c r="E656" s="58">
        <f>IFERROR(VLOOKUP(D656,Maestro_SKU!$A$2:$P$500,2,FALSE),"")</f>
        <v/>
      </c>
      <c r="F656" s="52" t="n"/>
      <c r="G656" s="60" t="n"/>
      <c r="H656" s="52" t="n"/>
      <c r="I656" s="52" t="n"/>
      <c r="J656" s="52" t="n"/>
      <c r="K656" s="68">
        <f>IF($A656="","",YEAR($A656))</f>
        <v/>
      </c>
      <c r="L656" s="68">
        <f>IF($A656="","",MONTH($A656))</f>
        <v/>
      </c>
      <c r="M656" s="68">
        <f>IF($A656="","",DAY($A656))</f>
        <v/>
      </c>
      <c r="N656" s="68">
        <f>IF($A656="","",YEAR($A656)&amp;"-"&amp;TEXT(MONTH($A656),"00"))</f>
        <v/>
      </c>
    </row>
    <row r="657">
      <c r="A657" s="53" t="n"/>
      <c r="B657" s="52" t="n"/>
      <c r="C657" s="52" t="n"/>
      <c r="D657" s="52" t="n"/>
      <c r="E657" s="58">
        <f>IFERROR(VLOOKUP(D657,Maestro_SKU!$A$2:$P$500,2,FALSE),"")</f>
        <v/>
      </c>
      <c r="F657" s="52" t="n"/>
      <c r="G657" s="60" t="n"/>
      <c r="H657" s="52" t="n"/>
      <c r="I657" s="52" t="n"/>
      <c r="J657" s="52" t="n"/>
      <c r="K657" s="68">
        <f>IF($A657="","",YEAR($A657))</f>
        <v/>
      </c>
      <c r="L657" s="68">
        <f>IF($A657="","",MONTH($A657))</f>
        <v/>
      </c>
      <c r="M657" s="68">
        <f>IF($A657="","",DAY($A657))</f>
        <v/>
      </c>
      <c r="N657" s="68">
        <f>IF($A657="","",YEAR($A657)&amp;"-"&amp;TEXT(MONTH($A657),"00"))</f>
        <v/>
      </c>
    </row>
    <row r="658">
      <c r="A658" s="53" t="n"/>
      <c r="B658" s="52" t="n"/>
      <c r="C658" s="52" t="n"/>
      <c r="D658" s="52" t="n"/>
      <c r="E658" s="58">
        <f>IFERROR(VLOOKUP(D658,Maestro_SKU!$A$2:$P$500,2,FALSE),"")</f>
        <v/>
      </c>
      <c r="F658" s="52" t="n"/>
      <c r="G658" s="60" t="n"/>
      <c r="H658" s="52" t="n"/>
      <c r="I658" s="52" t="n"/>
      <c r="J658" s="52" t="n"/>
      <c r="K658" s="68">
        <f>IF($A658="","",YEAR($A658))</f>
        <v/>
      </c>
      <c r="L658" s="68">
        <f>IF($A658="","",MONTH($A658))</f>
        <v/>
      </c>
      <c r="M658" s="68">
        <f>IF($A658="","",DAY($A658))</f>
        <v/>
      </c>
      <c r="N658" s="68">
        <f>IF($A658="","",YEAR($A658)&amp;"-"&amp;TEXT(MONTH($A658),"00"))</f>
        <v/>
      </c>
    </row>
    <row r="659">
      <c r="A659" s="53" t="n"/>
      <c r="B659" s="52" t="n"/>
      <c r="C659" s="52" t="n"/>
      <c r="D659" s="52" t="n"/>
      <c r="E659" s="58">
        <f>IFERROR(VLOOKUP(D659,Maestro_SKU!$A$2:$P$500,2,FALSE),"")</f>
        <v/>
      </c>
      <c r="F659" s="52" t="n"/>
      <c r="G659" s="60" t="n"/>
      <c r="H659" s="52" t="n"/>
      <c r="I659" s="52" t="n"/>
      <c r="J659" s="52" t="n"/>
      <c r="K659" s="68">
        <f>IF($A659="","",YEAR($A659))</f>
        <v/>
      </c>
      <c r="L659" s="68">
        <f>IF($A659="","",MONTH($A659))</f>
        <v/>
      </c>
      <c r="M659" s="68">
        <f>IF($A659="","",DAY($A659))</f>
        <v/>
      </c>
      <c r="N659" s="68">
        <f>IF($A659="","",YEAR($A659)&amp;"-"&amp;TEXT(MONTH($A659),"00"))</f>
        <v/>
      </c>
    </row>
    <row r="660">
      <c r="A660" s="53" t="n"/>
      <c r="B660" s="52" t="n"/>
      <c r="C660" s="52" t="n"/>
      <c r="D660" s="52" t="n"/>
      <c r="E660" s="58">
        <f>IFERROR(VLOOKUP(D660,Maestro_SKU!$A$2:$P$500,2,FALSE),"")</f>
        <v/>
      </c>
      <c r="F660" s="52" t="n"/>
      <c r="G660" s="60" t="n"/>
      <c r="H660" s="52" t="n"/>
      <c r="I660" s="52" t="n"/>
      <c r="J660" s="52" t="n"/>
      <c r="K660" s="68">
        <f>IF($A660="","",YEAR($A660))</f>
        <v/>
      </c>
      <c r="L660" s="68">
        <f>IF($A660="","",MONTH($A660))</f>
        <v/>
      </c>
      <c r="M660" s="68">
        <f>IF($A660="","",DAY($A660))</f>
        <v/>
      </c>
      <c r="N660" s="68">
        <f>IF($A660="","",YEAR($A660)&amp;"-"&amp;TEXT(MONTH($A660),"00"))</f>
        <v/>
      </c>
    </row>
    <row r="661">
      <c r="A661" s="53" t="n"/>
      <c r="B661" s="52" t="n"/>
      <c r="C661" s="52" t="n"/>
      <c r="D661" s="52" t="n"/>
      <c r="E661" s="58">
        <f>IFERROR(VLOOKUP(D661,Maestro_SKU!$A$2:$P$500,2,FALSE),"")</f>
        <v/>
      </c>
      <c r="F661" s="52" t="n"/>
      <c r="G661" s="60" t="n"/>
      <c r="H661" s="52" t="n"/>
      <c r="I661" s="52" t="n"/>
      <c r="J661" s="52" t="n"/>
      <c r="K661" s="68">
        <f>IF($A661="","",YEAR($A661))</f>
        <v/>
      </c>
      <c r="L661" s="68">
        <f>IF($A661="","",MONTH($A661))</f>
        <v/>
      </c>
      <c r="M661" s="68">
        <f>IF($A661="","",DAY($A661))</f>
        <v/>
      </c>
      <c r="N661" s="68">
        <f>IF($A661="","",YEAR($A661)&amp;"-"&amp;TEXT(MONTH($A661),"00"))</f>
        <v/>
      </c>
    </row>
    <row r="662">
      <c r="A662" s="53" t="n"/>
      <c r="B662" s="52" t="n"/>
      <c r="C662" s="52" t="n"/>
      <c r="D662" s="52" t="n"/>
      <c r="E662" s="58">
        <f>IFERROR(VLOOKUP(D662,Maestro_SKU!$A$2:$P$500,2,FALSE),"")</f>
        <v/>
      </c>
      <c r="F662" s="52" t="n"/>
      <c r="G662" s="60" t="n"/>
      <c r="H662" s="52" t="n"/>
      <c r="I662" s="52" t="n"/>
      <c r="J662" s="52" t="n"/>
      <c r="K662" s="68">
        <f>IF($A662="","",YEAR($A662))</f>
        <v/>
      </c>
      <c r="L662" s="68">
        <f>IF($A662="","",MONTH($A662))</f>
        <v/>
      </c>
      <c r="M662" s="68">
        <f>IF($A662="","",DAY($A662))</f>
        <v/>
      </c>
      <c r="N662" s="68">
        <f>IF($A662="","",YEAR($A662)&amp;"-"&amp;TEXT(MONTH($A662),"00"))</f>
        <v/>
      </c>
    </row>
    <row r="663">
      <c r="A663" s="53" t="n"/>
      <c r="B663" s="52" t="n"/>
      <c r="C663" s="52" t="n"/>
      <c r="D663" s="52" t="n"/>
      <c r="E663" s="58">
        <f>IFERROR(VLOOKUP(D663,Maestro_SKU!$A$2:$P$500,2,FALSE),"")</f>
        <v/>
      </c>
      <c r="F663" s="52" t="n"/>
      <c r="G663" s="60" t="n"/>
      <c r="H663" s="52" t="n"/>
      <c r="I663" s="52" t="n"/>
      <c r="J663" s="52" t="n"/>
      <c r="K663" s="68">
        <f>IF($A663="","",YEAR($A663))</f>
        <v/>
      </c>
      <c r="L663" s="68">
        <f>IF($A663="","",MONTH($A663))</f>
        <v/>
      </c>
      <c r="M663" s="68">
        <f>IF($A663="","",DAY($A663))</f>
        <v/>
      </c>
      <c r="N663" s="68">
        <f>IF($A663="","",YEAR($A663)&amp;"-"&amp;TEXT(MONTH($A663),"00"))</f>
        <v/>
      </c>
    </row>
    <row r="664">
      <c r="A664" s="53" t="n"/>
      <c r="B664" s="52" t="n"/>
      <c r="C664" s="52" t="n"/>
      <c r="D664" s="52" t="n"/>
      <c r="E664" s="58">
        <f>IFERROR(VLOOKUP(D664,Maestro_SKU!$A$2:$P$500,2,FALSE),"")</f>
        <v/>
      </c>
      <c r="F664" s="52" t="n"/>
      <c r="G664" s="60" t="n"/>
      <c r="H664" s="52" t="n"/>
      <c r="I664" s="52" t="n"/>
      <c r="J664" s="52" t="n"/>
      <c r="K664" s="68">
        <f>IF($A664="","",YEAR($A664))</f>
        <v/>
      </c>
      <c r="L664" s="68">
        <f>IF($A664="","",MONTH($A664))</f>
        <v/>
      </c>
      <c r="M664" s="68">
        <f>IF($A664="","",DAY($A664))</f>
        <v/>
      </c>
      <c r="N664" s="68">
        <f>IF($A664="","",YEAR($A664)&amp;"-"&amp;TEXT(MONTH($A664),"00"))</f>
        <v/>
      </c>
    </row>
    <row r="665">
      <c r="A665" s="53" t="n"/>
      <c r="B665" s="52" t="n"/>
      <c r="C665" s="52" t="n"/>
      <c r="D665" s="52" t="n"/>
      <c r="E665" s="58">
        <f>IFERROR(VLOOKUP(D665,Maestro_SKU!$A$2:$P$500,2,FALSE),"")</f>
        <v/>
      </c>
      <c r="F665" s="52" t="n"/>
      <c r="G665" s="60" t="n"/>
      <c r="H665" s="52" t="n"/>
      <c r="I665" s="52" t="n"/>
      <c r="J665" s="52" t="n"/>
      <c r="K665" s="68">
        <f>IF($A665="","",YEAR($A665))</f>
        <v/>
      </c>
      <c r="L665" s="68">
        <f>IF($A665="","",MONTH($A665))</f>
        <v/>
      </c>
      <c r="M665" s="68">
        <f>IF($A665="","",DAY($A665))</f>
        <v/>
      </c>
      <c r="N665" s="68">
        <f>IF($A665="","",YEAR($A665)&amp;"-"&amp;TEXT(MONTH($A665),"00"))</f>
        <v/>
      </c>
    </row>
    <row r="666">
      <c r="A666" s="53" t="n"/>
      <c r="B666" s="52" t="n"/>
      <c r="C666" s="52" t="n"/>
      <c r="D666" s="52" t="n"/>
      <c r="E666" s="58">
        <f>IFERROR(VLOOKUP(D666,Maestro_SKU!$A$2:$P$500,2,FALSE),"")</f>
        <v/>
      </c>
      <c r="F666" s="52" t="n"/>
      <c r="G666" s="60" t="n"/>
      <c r="H666" s="52" t="n"/>
      <c r="I666" s="52" t="n"/>
      <c r="J666" s="52" t="n"/>
      <c r="K666" s="68">
        <f>IF($A666="","",YEAR($A666))</f>
        <v/>
      </c>
      <c r="L666" s="68">
        <f>IF($A666="","",MONTH($A666))</f>
        <v/>
      </c>
      <c r="M666" s="68">
        <f>IF($A666="","",DAY($A666))</f>
        <v/>
      </c>
      <c r="N666" s="68">
        <f>IF($A666="","",YEAR($A666)&amp;"-"&amp;TEXT(MONTH($A666),"00"))</f>
        <v/>
      </c>
    </row>
    <row r="667">
      <c r="A667" s="53" t="n"/>
      <c r="B667" s="52" t="n"/>
      <c r="C667" s="52" t="n"/>
      <c r="D667" s="52" t="n"/>
      <c r="E667" s="58">
        <f>IFERROR(VLOOKUP(D667,Maestro_SKU!$A$2:$P$500,2,FALSE),"")</f>
        <v/>
      </c>
      <c r="F667" s="52" t="n"/>
      <c r="G667" s="60" t="n"/>
      <c r="H667" s="52" t="n"/>
      <c r="I667" s="52" t="n"/>
      <c r="J667" s="52" t="n"/>
      <c r="K667" s="68">
        <f>IF($A667="","",YEAR($A667))</f>
        <v/>
      </c>
      <c r="L667" s="68">
        <f>IF($A667="","",MONTH($A667))</f>
        <v/>
      </c>
      <c r="M667" s="68">
        <f>IF($A667="","",DAY($A667))</f>
        <v/>
      </c>
      <c r="N667" s="68">
        <f>IF($A667="","",YEAR($A667)&amp;"-"&amp;TEXT(MONTH($A667),"00"))</f>
        <v/>
      </c>
    </row>
    <row r="668">
      <c r="A668" s="53" t="n"/>
      <c r="B668" s="52" t="n"/>
      <c r="C668" s="52" t="n"/>
      <c r="D668" s="52" t="n"/>
      <c r="E668" s="58">
        <f>IFERROR(VLOOKUP(D668,Maestro_SKU!$A$2:$P$500,2,FALSE),"")</f>
        <v/>
      </c>
      <c r="F668" s="52" t="n"/>
      <c r="G668" s="60" t="n"/>
      <c r="H668" s="52" t="n"/>
      <c r="I668" s="52" t="n"/>
      <c r="J668" s="52" t="n"/>
      <c r="K668" s="68">
        <f>IF($A668="","",YEAR($A668))</f>
        <v/>
      </c>
      <c r="L668" s="68">
        <f>IF($A668="","",MONTH($A668))</f>
        <v/>
      </c>
      <c r="M668" s="68">
        <f>IF($A668="","",DAY($A668))</f>
        <v/>
      </c>
      <c r="N668" s="68">
        <f>IF($A668="","",YEAR($A668)&amp;"-"&amp;TEXT(MONTH($A668),"00"))</f>
        <v/>
      </c>
    </row>
    <row r="669">
      <c r="A669" s="53" t="n"/>
      <c r="B669" s="52" t="n"/>
      <c r="C669" s="52" t="n"/>
      <c r="D669" s="52" t="n"/>
      <c r="E669" s="58">
        <f>IFERROR(VLOOKUP(D669,Maestro_SKU!$A$2:$P$500,2,FALSE),"")</f>
        <v/>
      </c>
      <c r="F669" s="52" t="n"/>
      <c r="G669" s="60" t="n"/>
      <c r="H669" s="52" t="n"/>
      <c r="I669" s="52" t="n"/>
      <c r="J669" s="52" t="n"/>
      <c r="K669" s="68">
        <f>IF($A669="","",YEAR($A669))</f>
        <v/>
      </c>
      <c r="L669" s="68">
        <f>IF($A669="","",MONTH($A669))</f>
        <v/>
      </c>
      <c r="M669" s="68">
        <f>IF($A669="","",DAY($A669))</f>
        <v/>
      </c>
      <c r="N669" s="68">
        <f>IF($A669="","",YEAR($A669)&amp;"-"&amp;TEXT(MONTH($A669),"00"))</f>
        <v/>
      </c>
    </row>
    <row r="670">
      <c r="A670" s="53" t="n"/>
      <c r="B670" s="52" t="n"/>
      <c r="C670" s="52" t="n"/>
      <c r="D670" s="52" t="n"/>
      <c r="E670" s="58">
        <f>IFERROR(VLOOKUP(D670,Maestro_SKU!$A$2:$P$500,2,FALSE),"")</f>
        <v/>
      </c>
      <c r="F670" s="52" t="n"/>
      <c r="G670" s="60" t="n"/>
      <c r="H670" s="52" t="n"/>
      <c r="I670" s="52" t="n"/>
      <c r="J670" s="52" t="n"/>
      <c r="K670" s="68">
        <f>IF($A670="","",YEAR($A670))</f>
        <v/>
      </c>
      <c r="L670" s="68">
        <f>IF($A670="","",MONTH($A670))</f>
        <v/>
      </c>
      <c r="M670" s="68">
        <f>IF($A670="","",DAY($A670))</f>
        <v/>
      </c>
      <c r="N670" s="68">
        <f>IF($A670="","",YEAR($A670)&amp;"-"&amp;TEXT(MONTH($A670),"00"))</f>
        <v/>
      </c>
    </row>
    <row r="671">
      <c r="A671" s="53" t="n"/>
      <c r="B671" s="52" t="n"/>
      <c r="C671" s="52" t="n"/>
      <c r="D671" s="52" t="n"/>
      <c r="E671" s="58">
        <f>IFERROR(VLOOKUP(D671,Maestro_SKU!$A$2:$P$500,2,FALSE),"")</f>
        <v/>
      </c>
      <c r="F671" s="52" t="n"/>
      <c r="G671" s="60" t="n"/>
      <c r="H671" s="52" t="n"/>
      <c r="I671" s="52" t="n"/>
      <c r="J671" s="52" t="n"/>
      <c r="K671" s="68">
        <f>IF($A671="","",YEAR($A671))</f>
        <v/>
      </c>
      <c r="L671" s="68">
        <f>IF($A671="","",MONTH($A671))</f>
        <v/>
      </c>
      <c r="M671" s="68">
        <f>IF($A671="","",DAY($A671))</f>
        <v/>
      </c>
      <c r="N671" s="68">
        <f>IF($A671="","",YEAR($A671)&amp;"-"&amp;TEXT(MONTH($A671),"00"))</f>
        <v/>
      </c>
    </row>
    <row r="672">
      <c r="A672" s="53" t="n"/>
      <c r="B672" s="52" t="n"/>
      <c r="C672" s="52" t="n"/>
      <c r="D672" s="52" t="n"/>
      <c r="E672" s="58">
        <f>IFERROR(VLOOKUP(D672,Maestro_SKU!$A$2:$P$500,2,FALSE),"")</f>
        <v/>
      </c>
      <c r="F672" s="52" t="n"/>
      <c r="G672" s="60" t="n"/>
      <c r="H672" s="52" t="n"/>
      <c r="I672" s="52" t="n"/>
      <c r="J672" s="52" t="n"/>
      <c r="K672" s="68">
        <f>IF($A672="","",YEAR($A672))</f>
        <v/>
      </c>
      <c r="L672" s="68">
        <f>IF($A672="","",MONTH($A672))</f>
        <v/>
      </c>
      <c r="M672" s="68">
        <f>IF($A672="","",DAY($A672))</f>
        <v/>
      </c>
      <c r="N672" s="68">
        <f>IF($A672="","",YEAR($A672)&amp;"-"&amp;TEXT(MONTH($A672),"00"))</f>
        <v/>
      </c>
    </row>
    <row r="673">
      <c r="A673" s="53" t="n"/>
      <c r="B673" s="52" t="n"/>
      <c r="C673" s="52" t="n"/>
      <c r="D673" s="52" t="n"/>
      <c r="E673" s="58">
        <f>IFERROR(VLOOKUP(D673,Maestro_SKU!$A$2:$P$500,2,FALSE),"")</f>
        <v/>
      </c>
      <c r="F673" s="52" t="n"/>
      <c r="G673" s="60" t="n"/>
      <c r="H673" s="52" t="n"/>
      <c r="I673" s="52" t="n"/>
      <c r="J673" s="52" t="n"/>
      <c r="K673" s="68">
        <f>IF($A673="","",YEAR($A673))</f>
        <v/>
      </c>
      <c r="L673" s="68">
        <f>IF($A673="","",MONTH($A673))</f>
        <v/>
      </c>
      <c r="M673" s="68">
        <f>IF($A673="","",DAY($A673))</f>
        <v/>
      </c>
      <c r="N673" s="68">
        <f>IF($A673="","",YEAR($A673)&amp;"-"&amp;TEXT(MONTH($A673),"00"))</f>
        <v/>
      </c>
    </row>
    <row r="674">
      <c r="A674" s="53" t="n"/>
      <c r="B674" s="52" t="n"/>
      <c r="C674" s="52" t="n"/>
      <c r="D674" s="52" t="n"/>
      <c r="E674" s="58">
        <f>IFERROR(VLOOKUP(D674,Maestro_SKU!$A$2:$P$500,2,FALSE),"")</f>
        <v/>
      </c>
      <c r="F674" s="52" t="n"/>
      <c r="G674" s="60" t="n"/>
      <c r="H674" s="52" t="n"/>
      <c r="I674" s="52" t="n"/>
      <c r="J674" s="52" t="n"/>
      <c r="K674" s="68">
        <f>IF($A674="","",YEAR($A674))</f>
        <v/>
      </c>
      <c r="L674" s="68">
        <f>IF($A674="","",MONTH($A674))</f>
        <v/>
      </c>
      <c r="M674" s="68">
        <f>IF($A674="","",DAY($A674))</f>
        <v/>
      </c>
      <c r="N674" s="68">
        <f>IF($A674="","",YEAR($A674)&amp;"-"&amp;TEXT(MONTH($A674),"00"))</f>
        <v/>
      </c>
    </row>
    <row r="675">
      <c r="A675" s="53" t="n"/>
      <c r="B675" s="52" t="n"/>
      <c r="C675" s="52" t="n"/>
      <c r="D675" s="52" t="n"/>
      <c r="E675" s="58">
        <f>IFERROR(VLOOKUP(D675,Maestro_SKU!$A$2:$P$500,2,FALSE),"")</f>
        <v/>
      </c>
      <c r="F675" s="52" t="n"/>
      <c r="G675" s="60" t="n"/>
      <c r="H675" s="52" t="n"/>
      <c r="I675" s="52" t="n"/>
      <c r="J675" s="52" t="n"/>
      <c r="K675" s="68">
        <f>IF($A675="","",YEAR($A675))</f>
        <v/>
      </c>
      <c r="L675" s="68">
        <f>IF($A675="","",MONTH($A675))</f>
        <v/>
      </c>
      <c r="M675" s="68">
        <f>IF($A675="","",DAY($A675))</f>
        <v/>
      </c>
      <c r="N675" s="68">
        <f>IF($A675="","",YEAR($A675)&amp;"-"&amp;TEXT(MONTH($A675),"00"))</f>
        <v/>
      </c>
    </row>
    <row r="676">
      <c r="A676" s="53" t="n"/>
      <c r="B676" s="52" t="n"/>
      <c r="C676" s="52" t="n"/>
      <c r="D676" s="52" t="n"/>
      <c r="E676" s="58">
        <f>IFERROR(VLOOKUP(D676,Maestro_SKU!$A$2:$P$500,2,FALSE),"")</f>
        <v/>
      </c>
      <c r="F676" s="52" t="n"/>
      <c r="G676" s="60" t="n"/>
      <c r="H676" s="52" t="n"/>
      <c r="I676" s="52" t="n"/>
      <c r="J676" s="52" t="n"/>
      <c r="K676" s="68">
        <f>IF($A676="","",YEAR($A676))</f>
        <v/>
      </c>
      <c r="L676" s="68">
        <f>IF($A676="","",MONTH($A676))</f>
        <v/>
      </c>
      <c r="M676" s="68">
        <f>IF($A676="","",DAY($A676))</f>
        <v/>
      </c>
      <c r="N676" s="68">
        <f>IF($A676="","",YEAR($A676)&amp;"-"&amp;TEXT(MONTH($A676),"00"))</f>
        <v/>
      </c>
    </row>
    <row r="677">
      <c r="A677" s="53" t="n"/>
      <c r="B677" s="52" t="n"/>
      <c r="C677" s="52" t="n"/>
      <c r="D677" s="52" t="n"/>
      <c r="E677" s="58">
        <f>IFERROR(VLOOKUP(D677,Maestro_SKU!$A$2:$P$500,2,FALSE),"")</f>
        <v/>
      </c>
      <c r="F677" s="52" t="n"/>
      <c r="G677" s="60" t="n"/>
      <c r="H677" s="52" t="n"/>
      <c r="I677" s="52" t="n"/>
      <c r="J677" s="52" t="n"/>
      <c r="K677" s="68">
        <f>IF($A677="","",YEAR($A677))</f>
        <v/>
      </c>
      <c r="L677" s="68">
        <f>IF($A677="","",MONTH($A677))</f>
        <v/>
      </c>
      <c r="M677" s="68">
        <f>IF($A677="","",DAY($A677))</f>
        <v/>
      </c>
      <c r="N677" s="68">
        <f>IF($A677="","",YEAR($A677)&amp;"-"&amp;TEXT(MONTH($A677),"00"))</f>
        <v/>
      </c>
    </row>
    <row r="678">
      <c r="A678" s="53" t="n"/>
      <c r="B678" s="52" t="n"/>
      <c r="C678" s="52" t="n"/>
      <c r="D678" s="52" t="n"/>
      <c r="E678" s="58">
        <f>IFERROR(VLOOKUP(D678,Maestro_SKU!$A$2:$P$500,2,FALSE),"")</f>
        <v/>
      </c>
      <c r="F678" s="52" t="n"/>
      <c r="G678" s="60" t="n"/>
      <c r="H678" s="52" t="n"/>
      <c r="I678" s="52" t="n"/>
      <c r="J678" s="52" t="n"/>
      <c r="K678" s="68">
        <f>IF($A678="","",YEAR($A678))</f>
        <v/>
      </c>
      <c r="L678" s="68">
        <f>IF($A678="","",MONTH($A678))</f>
        <v/>
      </c>
      <c r="M678" s="68">
        <f>IF($A678="","",DAY($A678))</f>
        <v/>
      </c>
      <c r="N678" s="68">
        <f>IF($A678="","",YEAR($A678)&amp;"-"&amp;TEXT(MONTH($A678),"00"))</f>
        <v/>
      </c>
    </row>
    <row r="679">
      <c r="A679" s="53" t="n"/>
      <c r="B679" s="52" t="n"/>
      <c r="C679" s="52" t="n"/>
      <c r="D679" s="52" t="n"/>
      <c r="E679" s="58">
        <f>IFERROR(VLOOKUP(D679,Maestro_SKU!$A$2:$P$500,2,FALSE),"")</f>
        <v/>
      </c>
      <c r="F679" s="52" t="n"/>
      <c r="G679" s="60" t="n"/>
      <c r="H679" s="52" t="n"/>
      <c r="I679" s="52" t="n"/>
      <c r="J679" s="52" t="n"/>
      <c r="K679" s="68">
        <f>IF($A679="","",YEAR($A679))</f>
        <v/>
      </c>
      <c r="L679" s="68">
        <f>IF($A679="","",MONTH($A679))</f>
        <v/>
      </c>
      <c r="M679" s="68">
        <f>IF($A679="","",DAY($A679))</f>
        <v/>
      </c>
      <c r="N679" s="68">
        <f>IF($A679="","",YEAR($A679)&amp;"-"&amp;TEXT(MONTH($A679),"00"))</f>
        <v/>
      </c>
    </row>
    <row r="680">
      <c r="A680" s="53" t="n"/>
      <c r="B680" s="52" t="n"/>
      <c r="C680" s="52" t="n"/>
      <c r="D680" s="52" t="n"/>
      <c r="E680" s="58">
        <f>IFERROR(VLOOKUP(D680,Maestro_SKU!$A$2:$P$500,2,FALSE),"")</f>
        <v/>
      </c>
      <c r="F680" s="52" t="n"/>
      <c r="G680" s="60" t="n"/>
      <c r="H680" s="52" t="n"/>
      <c r="I680" s="52" t="n"/>
      <c r="J680" s="52" t="n"/>
      <c r="K680" s="68">
        <f>IF($A680="","",YEAR($A680))</f>
        <v/>
      </c>
      <c r="L680" s="68">
        <f>IF($A680="","",MONTH($A680))</f>
        <v/>
      </c>
      <c r="M680" s="68">
        <f>IF($A680="","",DAY($A680))</f>
        <v/>
      </c>
      <c r="N680" s="68">
        <f>IF($A680="","",YEAR($A680)&amp;"-"&amp;TEXT(MONTH($A680),"00"))</f>
        <v/>
      </c>
    </row>
    <row r="681">
      <c r="A681" s="53" t="n"/>
      <c r="B681" s="52" t="n"/>
      <c r="C681" s="52" t="n"/>
      <c r="D681" s="52" t="n"/>
      <c r="E681" s="58">
        <f>IFERROR(VLOOKUP(D681,Maestro_SKU!$A$2:$P$500,2,FALSE),"")</f>
        <v/>
      </c>
      <c r="F681" s="52" t="n"/>
      <c r="G681" s="60" t="n"/>
      <c r="H681" s="52" t="n"/>
      <c r="I681" s="52" t="n"/>
      <c r="J681" s="52" t="n"/>
      <c r="K681" s="68">
        <f>IF($A681="","",YEAR($A681))</f>
        <v/>
      </c>
      <c r="L681" s="68">
        <f>IF($A681="","",MONTH($A681))</f>
        <v/>
      </c>
      <c r="M681" s="68">
        <f>IF($A681="","",DAY($A681))</f>
        <v/>
      </c>
      <c r="N681" s="68">
        <f>IF($A681="","",YEAR($A681)&amp;"-"&amp;TEXT(MONTH($A681),"00"))</f>
        <v/>
      </c>
    </row>
    <row r="682">
      <c r="A682" s="53" t="n"/>
      <c r="B682" s="52" t="n"/>
      <c r="C682" s="52" t="n"/>
      <c r="D682" s="52" t="n"/>
      <c r="E682" s="58">
        <f>IFERROR(VLOOKUP(D682,Maestro_SKU!$A$2:$P$500,2,FALSE),"")</f>
        <v/>
      </c>
      <c r="F682" s="52" t="n"/>
      <c r="G682" s="60" t="n"/>
      <c r="H682" s="52" t="n"/>
      <c r="I682" s="52" t="n"/>
      <c r="J682" s="52" t="n"/>
      <c r="K682" s="68">
        <f>IF($A682="","",YEAR($A682))</f>
        <v/>
      </c>
      <c r="L682" s="68">
        <f>IF($A682="","",MONTH($A682))</f>
        <v/>
      </c>
      <c r="M682" s="68">
        <f>IF($A682="","",DAY($A682))</f>
        <v/>
      </c>
      <c r="N682" s="68">
        <f>IF($A682="","",YEAR($A682)&amp;"-"&amp;TEXT(MONTH($A682),"00"))</f>
        <v/>
      </c>
    </row>
    <row r="683">
      <c r="A683" s="53" t="n"/>
      <c r="B683" s="52" t="n"/>
      <c r="C683" s="52" t="n"/>
      <c r="D683" s="52" t="n"/>
      <c r="E683" s="58">
        <f>IFERROR(VLOOKUP(D683,Maestro_SKU!$A$2:$P$500,2,FALSE),"")</f>
        <v/>
      </c>
      <c r="F683" s="52" t="n"/>
      <c r="G683" s="60" t="n"/>
      <c r="H683" s="52" t="n"/>
      <c r="I683" s="52" t="n"/>
      <c r="J683" s="52" t="n"/>
      <c r="K683" s="68">
        <f>IF($A683="","",YEAR($A683))</f>
        <v/>
      </c>
      <c r="L683" s="68">
        <f>IF($A683="","",MONTH($A683))</f>
        <v/>
      </c>
      <c r="M683" s="68">
        <f>IF($A683="","",DAY($A683))</f>
        <v/>
      </c>
      <c r="N683" s="68">
        <f>IF($A683="","",YEAR($A683)&amp;"-"&amp;TEXT(MONTH($A683),"00"))</f>
        <v/>
      </c>
    </row>
    <row r="684">
      <c r="A684" s="53" t="n"/>
      <c r="B684" s="52" t="n"/>
      <c r="C684" s="52" t="n"/>
      <c r="D684" s="52" t="n"/>
      <c r="E684" s="58">
        <f>IFERROR(VLOOKUP(D684,Maestro_SKU!$A$2:$P$500,2,FALSE),"")</f>
        <v/>
      </c>
      <c r="F684" s="52" t="n"/>
      <c r="G684" s="60" t="n"/>
      <c r="H684" s="52" t="n"/>
      <c r="I684" s="52" t="n"/>
      <c r="J684" s="52" t="n"/>
      <c r="K684" s="68">
        <f>IF($A684="","",YEAR($A684))</f>
        <v/>
      </c>
      <c r="L684" s="68">
        <f>IF($A684="","",MONTH($A684))</f>
        <v/>
      </c>
      <c r="M684" s="68">
        <f>IF($A684="","",DAY($A684))</f>
        <v/>
      </c>
      <c r="N684" s="68">
        <f>IF($A684="","",YEAR($A684)&amp;"-"&amp;TEXT(MONTH($A684),"00"))</f>
        <v/>
      </c>
    </row>
    <row r="685">
      <c r="A685" s="53" t="n"/>
      <c r="B685" s="52" t="n"/>
      <c r="C685" s="52" t="n"/>
      <c r="D685" s="52" t="n"/>
      <c r="E685" s="58">
        <f>IFERROR(VLOOKUP(D685,Maestro_SKU!$A$2:$P$500,2,FALSE),"")</f>
        <v/>
      </c>
      <c r="F685" s="52" t="n"/>
      <c r="G685" s="60" t="n"/>
      <c r="H685" s="52" t="n"/>
      <c r="I685" s="52" t="n"/>
      <c r="J685" s="52" t="n"/>
      <c r="K685" s="68">
        <f>IF($A685="","",YEAR($A685))</f>
        <v/>
      </c>
      <c r="L685" s="68">
        <f>IF($A685="","",MONTH($A685))</f>
        <v/>
      </c>
      <c r="M685" s="68">
        <f>IF($A685="","",DAY($A685))</f>
        <v/>
      </c>
      <c r="N685" s="68">
        <f>IF($A685="","",YEAR($A685)&amp;"-"&amp;TEXT(MONTH($A685),"00"))</f>
        <v/>
      </c>
    </row>
    <row r="686">
      <c r="A686" s="53" t="n"/>
      <c r="B686" s="52" t="n"/>
      <c r="C686" s="52" t="n"/>
      <c r="D686" s="52" t="n"/>
      <c r="E686" s="58">
        <f>IFERROR(VLOOKUP(D686,Maestro_SKU!$A$2:$P$500,2,FALSE),"")</f>
        <v/>
      </c>
      <c r="F686" s="52" t="n"/>
      <c r="G686" s="60" t="n"/>
      <c r="H686" s="52" t="n"/>
      <c r="I686" s="52" t="n"/>
      <c r="J686" s="52" t="n"/>
      <c r="K686" s="68">
        <f>IF($A686="","",YEAR($A686))</f>
        <v/>
      </c>
      <c r="L686" s="68">
        <f>IF($A686="","",MONTH($A686))</f>
        <v/>
      </c>
      <c r="M686" s="68">
        <f>IF($A686="","",DAY($A686))</f>
        <v/>
      </c>
      <c r="N686" s="68">
        <f>IF($A686="","",YEAR($A686)&amp;"-"&amp;TEXT(MONTH($A686),"00"))</f>
        <v/>
      </c>
    </row>
    <row r="687">
      <c r="A687" s="53" t="n"/>
      <c r="B687" s="52" t="n"/>
      <c r="C687" s="52" t="n"/>
      <c r="D687" s="52" t="n"/>
      <c r="E687" s="58">
        <f>IFERROR(VLOOKUP(D687,Maestro_SKU!$A$2:$P$500,2,FALSE),"")</f>
        <v/>
      </c>
      <c r="F687" s="52" t="n"/>
      <c r="G687" s="60" t="n"/>
      <c r="H687" s="52" t="n"/>
      <c r="I687" s="52" t="n"/>
      <c r="J687" s="52" t="n"/>
      <c r="K687" s="68">
        <f>IF($A687="","",YEAR($A687))</f>
        <v/>
      </c>
      <c r="L687" s="68">
        <f>IF($A687="","",MONTH($A687))</f>
        <v/>
      </c>
      <c r="M687" s="68">
        <f>IF($A687="","",DAY($A687))</f>
        <v/>
      </c>
      <c r="N687" s="68">
        <f>IF($A687="","",YEAR($A687)&amp;"-"&amp;TEXT(MONTH($A687),"00"))</f>
        <v/>
      </c>
    </row>
    <row r="688">
      <c r="A688" s="53" t="n"/>
      <c r="B688" s="52" t="n"/>
      <c r="C688" s="52" t="n"/>
      <c r="D688" s="52" t="n"/>
      <c r="E688" s="58">
        <f>IFERROR(VLOOKUP(D688,Maestro_SKU!$A$2:$P$500,2,FALSE),"")</f>
        <v/>
      </c>
      <c r="F688" s="52" t="n"/>
      <c r="G688" s="60" t="n"/>
      <c r="H688" s="52" t="n"/>
      <c r="I688" s="52" t="n"/>
      <c r="J688" s="52" t="n"/>
      <c r="K688" s="68">
        <f>IF($A688="","",YEAR($A688))</f>
        <v/>
      </c>
      <c r="L688" s="68">
        <f>IF($A688="","",MONTH($A688))</f>
        <v/>
      </c>
      <c r="M688" s="68">
        <f>IF($A688="","",DAY($A688))</f>
        <v/>
      </c>
      <c r="N688" s="68">
        <f>IF($A688="","",YEAR($A688)&amp;"-"&amp;TEXT(MONTH($A688),"00"))</f>
        <v/>
      </c>
    </row>
    <row r="689">
      <c r="A689" s="53" t="n"/>
      <c r="B689" s="52" t="n"/>
      <c r="C689" s="52" t="n"/>
      <c r="D689" s="52" t="n"/>
      <c r="E689" s="58">
        <f>IFERROR(VLOOKUP(D689,Maestro_SKU!$A$2:$P$500,2,FALSE),"")</f>
        <v/>
      </c>
      <c r="F689" s="52" t="n"/>
      <c r="G689" s="60" t="n"/>
      <c r="H689" s="52" t="n"/>
      <c r="I689" s="52" t="n"/>
      <c r="J689" s="52" t="n"/>
      <c r="K689" s="68">
        <f>IF($A689="","",YEAR($A689))</f>
        <v/>
      </c>
      <c r="L689" s="68">
        <f>IF($A689="","",MONTH($A689))</f>
        <v/>
      </c>
      <c r="M689" s="68">
        <f>IF($A689="","",DAY($A689))</f>
        <v/>
      </c>
      <c r="N689" s="68">
        <f>IF($A689="","",YEAR($A689)&amp;"-"&amp;TEXT(MONTH($A689),"00"))</f>
        <v/>
      </c>
    </row>
    <row r="690">
      <c r="A690" s="53" t="n"/>
      <c r="B690" s="52" t="n"/>
      <c r="C690" s="52" t="n"/>
      <c r="D690" s="52" t="n"/>
      <c r="E690" s="58">
        <f>IFERROR(VLOOKUP(D690,Maestro_SKU!$A$2:$P$500,2,FALSE),"")</f>
        <v/>
      </c>
      <c r="F690" s="52" t="n"/>
      <c r="G690" s="60" t="n"/>
      <c r="H690" s="52" t="n"/>
      <c r="I690" s="52" t="n"/>
      <c r="J690" s="52" t="n"/>
      <c r="K690" s="68">
        <f>IF($A690="","",YEAR($A690))</f>
        <v/>
      </c>
      <c r="L690" s="68">
        <f>IF($A690="","",MONTH($A690))</f>
        <v/>
      </c>
      <c r="M690" s="68">
        <f>IF($A690="","",DAY($A690))</f>
        <v/>
      </c>
      <c r="N690" s="68">
        <f>IF($A690="","",YEAR($A690)&amp;"-"&amp;TEXT(MONTH($A690),"00"))</f>
        <v/>
      </c>
    </row>
    <row r="691">
      <c r="A691" s="53" t="n"/>
      <c r="B691" s="52" t="n"/>
      <c r="C691" s="52" t="n"/>
      <c r="D691" s="52" t="n"/>
      <c r="E691" s="58">
        <f>IFERROR(VLOOKUP(D691,Maestro_SKU!$A$2:$P$500,2,FALSE),"")</f>
        <v/>
      </c>
      <c r="F691" s="52" t="n"/>
      <c r="G691" s="60" t="n"/>
      <c r="H691" s="52" t="n"/>
      <c r="I691" s="52" t="n"/>
      <c r="J691" s="52" t="n"/>
      <c r="K691" s="68">
        <f>IF($A691="","",YEAR($A691))</f>
        <v/>
      </c>
      <c r="L691" s="68">
        <f>IF($A691="","",MONTH($A691))</f>
        <v/>
      </c>
      <c r="M691" s="68">
        <f>IF($A691="","",DAY($A691))</f>
        <v/>
      </c>
      <c r="N691" s="68">
        <f>IF($A691="","",YEAR($A691)&amp;"-"&amp;TEXT(MONTH($A691),"00"))</f>
        <v/>
      </c>
    </row>
    <row r="692">
      <c r="A692" s="53" t="n"/>
      <c r="B692" s="52" t="n"/>
      <c r="C692" s="52" t="n"/>
      <c r="D692" s="52" t="n"/>
      <c r="E692" s="58">
        <f>IFERROR(VLOOKUP(D692,Maestro_SKU!$A$2:$P$500,2,FALSE),"")</f>
        <v/>
      </c>
      <c r="F692" s="52" t="n"/>
      <c r="G692" s="60" t="n"/>
      <c r="H692" s="52" t="n"/>
      <c r="I692" s="52" t="n"/>
      <c r="J692" s="52" t="n"/>
      <c r="K692" s="68">
        <f>IF($A692="","",YEAR($A692))</f>
        <v/>
      </c>
      <c r="L692" s="68">
        <f>IF($A692="","",MONTH($A692))</f>
        <v/>
      </c>
      <c r="M692" s="68">
        <f>IF($A692="","",DAY($A692))</f>
        <v/>
      </c>
      <c r="N692" s="68">
        <f>IF($A692="","",YEAR($A692)&amp;"-"&amp;TEXT(MONTH($A692),"00"))</f>
        <v/>
      </c>
    </row>
    <row r="693">
      <c r="A693" s="53" t="n"/>
      <c r="B693" s="52" t="n"/>
      <c r="C693" s="52" t="n"/>
      <c r="D693" s="52" t="n"/>
      <c r="E693" s="58">
        <f>IFERROR(VLOOKUP(D693,Maestro_SKU!$A$2:$P$500,2,FALSE),"")</f>
        <v/>
      </c>
      <c r="F693" s="52" t="n"/>
      <c r="G693" s="60" t="n"/>
      <c r="H693" s="52" t="n"/>
      <c r="I693" s="52" t="n"/>
      <c r="J693" s="52" t="n"/>
      <c r="K693" s="68">
        <f>IF($A693="","",YEAR($A693))</f>
        <v/>
      </c>
      <c r="L693" s="68">
        <f>IF($A693="","",MONTH($A693))</f>
        <v/>
      </c>
      <c r="M693" s="68">
        <f>IF($A693="","",DAY($A693))</f>
        <v/>
      </c>
      <c r="N693" s="68">
        <f>IF($A693="","",YEAR($A693)&amp;"-"&amp;TEXT(MONTH($A693),"00"))</f>
        <v/>
      </c>
    </row>
    <row r="694">
      <c r="A694" s="53" t="n"/>
      <c r="B694" s="52" t="n"/>
      <c r="C694" s="52" t="n"/>
      <c r="D694" s="52" t="n"/>
      <c r="E694" s="58">
        <f>IFERROR(VLOOKUP(D694,Maestro_SKU!$A$2:$P$500,2,FALSE),"")</f>
        <v/>
      </c>
      <c r="F694" s="52" t="n"/>
      <c r="G694" s="60" t="n"/>
      <c r="H694" s="52" t="n"/>
      <c r="I694" s="52" t="n"/>
      <c r="J694" s="52" t="n"/>
      <c r="K694" s="68">
        <f>IF($A694="","",YEAR($A694))</f>
        <v/>
      </c>
      <c r="L694" s="68">
        <f>IF($A694="","",MONTH($A694))</f>
        <v/>
      </c>
      <c r="M694" s="68">
        <f>IF($A694="","",DAY($A694))</f>
        <v/>
      </c>
      <c r="N694" s="68">
        <f>IF($A694="","",YEAR($A694)&amp;"-"&amp;TEXT(MONTH($A694),"00"))</f>
        <v/>
      </c>
    </row>
    <row r="695">
      <c r="A695" s="53" t="n"/>
      <c r="B695" s="52" t="n"/>
      <c r="C695" s="52" t="n"/>
      <c r="D695" s="52" t="n"/>
      <c r="E695" s="58">
        <f>IFERROR(VLOOKUP(D695,Maestro_SKU!$A$2:$P$500,2,FALSE),"")</f>
        <v/>
      </c>
      <c r="F695" s="52" t="n"/>
      <c r="G695" s="60" t="n"/>
      <c r="H695" s="52" t="n"/>
      <c r="I695" s="52" t="n"/>
      <c r="J695" s="52" t="n"/>
      <c r="K695" s="68">
        <f>IF($A695="","",YEAR($A695))</f>
        <v/>
      </c>
      <c r="L695" s="68">
        <f>IF($A695="","",MONTH($A695))</f>
        <v/>
      </c>
      <c r="M695" s="68">
        <f>IF($A695="","",DAY($A695))</f>
        <v/>
      </c>
      <c r="N695" s="68">
        <f>IF($A695="","",YEAR($A695)&amp;"-"&amp;TEXT(MONTH($A695),"00"))</f>
        <v/>
      </c>
    </row>
    <row r="696">
      <c r="A696" s="53" t="n"/>
      <c r="B696" s="52" t="n"/>
      <c r="C696" s="52" t="n"/>
      <c r="D696" s="52" t="n"/>
      <c r="E696" s="58">
        <f>IFERROR(VLOOKUP(D696,Maestro_SKU!$A$2:$P$500,2,FALSE),"")</f>
        <v/>
      </c>
      <c r="F696" s="52" t="n"/>
      <c r="G696" s="60" t="n"/>
      <c r="H696" s="52" t="n"/>
      <c r="I696" s="52" t="n"/>
      <c r="J696" s="52" t="n"/>
      <c r="K696" s="68">
        <f>IF($A696="","",YEAR($A696))</f>
        <v/>
      </c>
      <c r="L696" s="68">
        <f>IF($A696="","",MONTH($A696))</f>
        <v/>
      </c>
      <c r="M696" s="68">
        <f>IF($A696="","",DAY($A696))</f>
        <v/>
      </c>
      <c r="N696" s="68">
        <f>IF($A696="","",YEAR($A696)&amp;"-"&amp;TEXT(MONTH($A696),"00"))</f>
        <v/>
      </c>
    </row>
    <row r="697">
      <c r="A697" s="53" t="n"/>
      <c r="B697" s="52" t="n"/>
      <c r="C697" s="52" t="n"/>
      <c r="D697" s="52" t="n"/>
      <c r="E697" s="58">
        <f>IFERROR(VLOOKUP(D697,Maestro_SKU!$A$2:$P$500,2,FALSE),"")</f>
        <v/>
      </c>
      <c r="F697" s="52" t="n"/>
      <c r="G697" s="60" t="n"/>
      <c r="H697" s="52" t="n"/>
      <c r="I697" s="52" t="n"/>
      <c r="J697" s="52" t="n"/>
      <c r="K697" s="68">
        <f>IF($A697="","",YEAR($A697))</f>
        <v/>
      </c>
      <c r="L697" s="68">
        <f>IF($A697="","",MONTH($A697))</f>
        <v/>
      </c>
      <c r="M697" s="68">
        <f>IF($A697="","",DAY($A697))</f>
        <v/>
      </c>
      <c r="N697" s="68">
        <f>IF($A697="","",YEAR($A697)&amp;"-"&amp;TEXT(MONTH($A697),"00"))</f>
        <v/>
      </c>
    </row>
    <row r="698">
      <c r="A698" s="53" t="n"/>
      <c r="B698" s="52" t="n"/>
      <c r="C698" s="52" t="n"/>
      <c r="D698" s="52" t="n"/>
      <c r="E698" s="58">
        <f>IFERROR(VLOOKUP(D698,Maestro_SKU!$A$2:$P$500,2,FALSE),"")</f>
        <v/>
      </c>
      <c r="F698" s="52" t="n"/>
      <c r="G698" s="60" t="n"/>
      <c r="H698" s="52" t="n"/>
      <c r="I698" s="52" t="n"/>
      <c r="J698" s="52" t="n"/>
      <c r="K698" s="68">
        <f>IF($A698="","",YEAR($A698))</f>
        <v/>
      </c>
      <c r="L698" s="68">
        <f>IF($A698="","",MONTH($A698))</f>
        <v/>
      </c>
      <c r="M698" s="68">
        <f>IF($A698="","",DAY($A698))</f>
        <v/>
      </c>
      <c r="N698" s="68">
        <f>IF($A698="","",YEAR($A698)&amp;"-"&amp;TEXT(MONTH($A698),"00"))</f>
        <v/>
      </c>
    </row>
    <row r="699">
      <c r="A699" s="53" t="n"/>
      <c r="B699" s="52" t="n"/>
      <c r="C699" s="52" t="n"/>
      <c r="D699" s="52" t="n"/>
      <c r="E699" s="58">
        <f>IFERROR(VLOOKUP(D699,Maestro_SKU!$A$2:$P$500,2,FALSE),"")</f>
        <v/>
      </c>
      <c r="F699" s="52" t="n"/>
      <c r="G699" s="60" t="n"/>
      <c r="H699" s="52" t="n"/>
      <c r="I699" s="52" t="n"/>
      <c r="J699" s="52" t="n"/>
      <c r="K699" s="68">
        <f>IF($A699="","",YEAR($A699))</f>
        <v/>
      </c>
      <c r="L699" s="68">
        <f>IF($A699="","",MONTH($A699))</f>
        <v/>
      </c>
      <c r="M699" s="68">
        <f>IF($A699="","",DAY($A699))</f>
        <v/>
      </c>
      <c r="N699" s="68">
        <f>IF($A699="","",YEAR($A699)&amp;"-"&amp;TEXT(MONTH($A699),"00"))</f>
        <v/>
      </c>
    </row>
    <row r="700">
      <c r="A700" s="53" t="n"/>
      <c r="B700" s="52" t="n"/>
      <c r="C700" s="52" t="n"/>
      <c r="D700" s="52" t="n"/>
      <c r="E700" s="58">
        <f>IFERROR(VLOOKUP(D700,Maestro_SKU!$A$2:$P$500,2,FALSE),"")</f>
        <v/>
      </c>
      <c r="F700" s="52" t="n"/>
      <c r="G700" s="60" t="n"/>
      <c r="H700" s="52" t="n"/>
      <c r="I700" s="52" t="n"/>
      <c r="J700" s="52" t="n"/>
      <c r="K700" s="68">
        <f>IF($A700="","",YEAR($A700))</f>
        <v/>
      </c>
      <c r="L700" s="68">
        <f>IF($A700="","",MONTH($A700))</f>
        <v/>
      </c>
      <c r="M700" s="68">
        <f>IF($A700="","",DAY($A700))</f>
        <v/>
      </c>
      <c r="N700" s="68">
        <f>IF($A700="","",YEAR($A700)&amp;"-"&amp;TEXT(MONTH($A700),"00"))</f>
        <v/>
      </c>
    </row>
    <row r="701">
      <c r="A701" s="53" t="n"/>
      <c r="B701" s="52" t="n"/>
      <c r="C701" s="52" t="n"/>
      <c r="D701" s="52" t="n"/>
      <c r="E701" s="58">
        <f>IFERROR(VLOOKUP(D701,Maestro_SKU!$A$2:$P$500,2,FALSE),"")</f>
        <v/>
      </c>
      <c r="F701" s="52" t="n"/>
      <c r="G701" s="60" t="n"/>
      <c r="H701" s="52" t="n"/>
      <c r="I701" s="52" t="n"/>
      <c r="J701" s="52" t="n"/>
      <c r="K701" s="68">
        <f>IF($A701="","",YEAR($A701))</f>
        <v/>
      </c>
      <c r="L701" s="68">
        <f>IF($A701="","",MONTH($A701))</f>
        <v/>
      </c>
      <c r="M701" s="68">
        <f>IF($A701="","",DAY($A701))</f>
        <v/>
      </c>
      <c r="N701" s="68">
        <f>IF($A701="","",YEAR($A701)&amp;"-"&amp;TEXT(MONTH($A701),"00"))</f>
        <v/>
      </c>
    </row>
    <row r="702">
      <c r="A702" s="53" t="n"/>
      <c r="B702" s="52" t="n"/>
      <c r="C702" s="52" t="n"/>
      <c r="D702" s="52" t="n"/>
      <c r="E702" s="58">
        <f>IFERROR(VLOOKUP(D702,Maestro_SKU!$A$2:$P$500,2,FALSE),"")</f>
        <v/>
      </c>
      <c r="F702" s="52" t="n"/>
      <c r="G702" s="60" t="n"/>
      <c r="H702" s="52" t="n"/>
      <c r="I702" s="52" t="n"/>
      <c r="J702" s="52" t="n"/>
      <c r="K702" s="68">
        <f>IF($A702="","",YEAR($A702))</f>
        <v/>
      </c>
      <c r="L702" s="68">
        <f>IF($A702="","",MONTH($A702))</f>
        <v/>
      </c>
      <c r="M702" s="68">
        <f>IF($A702="","",DAY($A702))</f>
        <v/>
      </c>
      <c r="N702" s="68">
        <f>IF($A702="","",YEAR($A702)&amp;"-"&amp;TEXT(MONTH($A702),"00"))</f>
        <v/>
      </c>
    </row>
    <row r="703">
      <c r="A703" s="53" t="n"/>
      <c r="B703" s="52" t="n"/>
      <c r="C703" s="52" t="n"/>
      <c r="D703" s="52" t="n"/>
      <c r="E703" s="58">
        <f>IFERROR(VLOOKUP(D703,Maestro_SKU!$A$2:$P$500,2,FALSE),"")</f>
        <v/>
      </c>
      <c r="F703" s="52" t="n"/>
      <c r="G703" s="60" t="n"/>
      <c r="H703" s="52" t="n"/>
      <c r="I703" s="52" t="n"/>
      <c r="J703" s="52" t="n"/>
      <c r="K703" s="68">
        <f>IF($A703="","",YEAR($A703))</f>
        <v/>
      </c>
      <c r="L703" s="68">
        <f>IF($A703="","",MONTH($A703))</f>
        <v/>
      </c>
      <c r="M703" s="68">
        <f>IF($A703="","",DAY($A703))</f>
        <v/>
      </c>
      <c r="N703" s="68">
        <f>IF($A703="","",YEAR($A703)&amp;"-"&amp;TEXT(MONTH($A703),"00"))</f>
        <v/>
      </c>
    </row>
    <row r="704">
      <c r="A704" s="53" t="n"/>
      <c r="B704" s="52" t="n"/>
      <c r="C704" s="52" t="n"/>
      <c r="D704" s="52" t="n"/>
      <c r="E704" s="58">
        <f>IFERROR(VLOOKUP(D704,Maestro_SKU!$A$2:$P$500,2,FALSE),"")</f>
        <v/>
      </c>
      <c r="F704" s="52" t="n"/>
      <c r="G704" s="60" t="n"/>
      <c r="H704" s="52" t="n"/>
      <c r="I704" s="52" t="n"/>
      <c r="J704" s="52" t="n"/>
      <c r="K704" s="68">
        <f>IF($A704="","",YEAR($A704))</f>
        <v/>
      </c>
      <c r="L704" s="68">
        <f>IF($A704="","",MONTH($A704))</f>
        <v/>
      </c>
      <c r="M704" s="68">
        <f>IF($A704="","",DAY($A704))</f>
        <v/>
      </c>
      <c r="N704" s="68">
        <f>IF($A704="","",YEAR($A704)&amp;"-"&amp;TEXT(MONTH($A704),"00"))</f>
        <v/>
      </c>
    </row>
    <row r="705">
      <c r="A705" s="53" t="n"/>
      <c r="B705" s="52" t="n"/>
      <c r="C705" s="52" t="n"/>
      <c r="D705" s="52" t="n"/>
      <c r="E705" s="58">
        <f>IFERROR(VLOOKUP(D705,Maestro_SKU!$A$2:$P$500,2,FALSE),"")</f>
        <v/>
      </c>
      <c r="F705" s="52" t="n"/>
      <c r="G705" s="60" t="n"/>
      <c r="H705" s="52" t="n"/>
      <c r="I705" s="52" t="n"/>
      <c r="J705" s="52" t="n"/>
      <c r="K705" s="68">
        <f>IF($A705="","",YEAR($A705))</f>
        <v/>
      </c>
      <c r="L705" s="68">
        <f>IF($A705="","",MONTH($A705))</f>
        <v/>
      </c>
      <c r="M705" s="68">
        <f>IF($A705="","",DAY($A705))</f>
        <v/>
      </c>
      <c r="N705" s="68">
        <f>IF($A705="","",YEAR($A705)&amp;"-"&amp;TEXT(MONTH($A705),"00"))</f>
        <v/>
      </c>
    </row>
    <row r="706">
      <c r="A706" s="53" t="n"/>
      <c r="B706" s="52" t="n"/>
      <c r="C706" s="52" t="n"/>
      <c r="D706" s="52" t="n"/>
      <c r="E706" s="58">
        <f>IFERROR(VLOOKUP(D706,Maestro_SKU!$A$2:$P$500,2,FALSE),"")</f>
        <v/>
      </c>
      <c r="F706" s="52" t="n"/>
      <c r="G706" s="60" t="n"/>
      <c r="H706" s="52" t="n"/>
      <c r="I706" s="52" t="n"/>
      <c r="J706" s="52" t="n"/>
      <c r="K706" s="68">
        <f>IF($A706="","",YEAR($A706))</f>
        <v/>
      </c>
      <c r="L706" s="68">
        <f>IF($A706="","",MONTH($A706))</f>
        <v/>
      </c>
      <c r="M706" s="68">
        <f>IF($A706="","",DAY($A706))</f>
        <v/>
      </c>
      <c r="N706" s="68">
        <f>IF($A706="","",YEAR($A706)&amp;"-"&amp;TEXT(MONTH($A706),"00"))</f>
        <v/>
      </c>
    </row>
    <row r="707">
      <c r="A707" s="53" t="n"/>
      <c r="B707" s="52" t="n"/>
      <c r="C707" s="52" t="n"/>
      <c r="D707" s="52" t="n"/>
      <c r="E707" s="58">
        <f>IFERROR(VLOOKUP(D707,Maestro_SKU!$A$2:$P$500,2,FALSE),"")</f>
        <v/>
      </c>
      <c r="F707" s="52" t="n"/>
      <c r="G707" s="60" t="n"/>
      <c r="H707" s="52" t="n"/>
      <c r="I707" s="52" t="n"/>
      <c r="J707" s="52" t="n"/>
      <c r="K707" s="68">
        <f>IF($A707="","",YEAR($A707))</f>
        <v/>
      </c>
      <c r="L707" s="68">
        <f>IF($A707="","",MONTH($A707))</f>
        <v/>
      </c>
      <c r="M707" s="68">
        <f>IF($A707="","",DAY($A707))</f>
        <v/>
      </c>
      <c r="N707" s="68">
        <f>IF($A707="","",YEAR($A707)&amp;"-"&amp;TEXT(MONTH($A707),"00"))</f>
        <v/>
      </c>
    </row>
    <row r="708">
      <c r="A708" s="53" t="n"/>
      <c r="B708" s="52" t="n"/>
      <c r="C708" s="52" t="n"/>
      <c r="D708" s="52" t="n"/>
      <c r="E708" s="58">
        <f>IFERROR(VLOOKUP(D708,Maestro_SKU!$A$2:$P$500,2,FALSE),"")</f>
        <v/>
      </c>
      <c r="F708" s="52" t="n"/>
      <c r="G708" s="60" t="n"/>
      <c r="H708" s="52" t="n"/>
      <c r="I708" s="52" t="n"/>
      <c r="J708" s="52" t="n"/>
      <c r="K708" s="68">
        <f>IF($A708="","",YEAR($A708))</f>
        <v/>
      </c>
      <c r="L708" s="68">
        <f>IF($A708="","",MONTH($A708))</f>
        <v/>
      </c>
      <c r="M708" s="68">
        <f>IF($A708="","",DAY($A708))</f>
        <v/>
      </c>
      <c r="N708" s="68">
        <f>IF($A708="","",YEAR($A708)&amp;"-"&amp;TEXT(MONTH($A708),"00"))</f>
        <v/>
      </c>
    </row>
    <row r="709">
      <c r="A709" s="53" t="n"/>
      <c r="B709" s="52" t="n"/>
      <c r="C709" s="52" t="n"/>
      <c r="D709" s="52" t="n"/>
      <c r="E709" s="58">
        <f>IFERROR(VLOOKUP(D709,Maestro_SKU!$A$2:$P$500,2,FALSE),"")</f>
        <v/>
      </c>
      <c r="F709" s="52" t="n"/>
      <c r="G709" s="60" t="n"/>
      <c r="H709" s="52" t="n"/>
      <c r="I709" s="52" t="n"/>
      <c r="J709" s="52" t="n"/>
      <c r="K709" s="68">
        <f>IF($A709="","",YEAR($A709))</f>
        <v/>
      </c>
      <c r="L709" s="68">
        <f>IF($A709="","",MONTH($A709))</f>
        <v/>
      </c>
      <c r="M709" s="68">
        <f>IF($A709="","",DAY($A709))</f>
        <v/>
      </c>
      <c r="N709" s="68">
        <f>IF($A709="","",YEAR($A709)&amp;"-"&amp;TEXT(MONTH($A709),"00"))</f>
        <v/>
      </c>
    </row>
    <row r="710">
      <c r="A710" s="53" t="n"/>
      <c r="B710" s="52" t="n"/>
      <c r="C710" s="52" t="n"/>
      <c r="D710" s="52" t="n"/>
      <c r="E710" s="58">
        <f>IFERROR(VLOOKUP(D710,Maestro_SKU!$A$2:$P$500,2,FALSE),"")</f>
        <v/>
      </c>
      <c r="F710" s="52" t="n"/>
      <c r="G710" s="60" t="n"/>
      <c r="H710" s="52" t="n"/>
      <c r="I710" s="52" t="n"/>
      <c r="J710" s="52" t="n"/>
      <c r="K710" s="68">
        <f>IF($A710="","",YEAR($A710))</f>
        <v/>
      </c>
      <c r="L710" s="68">
        <f>IF($A710="","",MONTH($A710))</f>
        <v/>
      </c>
      <c r="M710" s="68">
        <f>IF($A710="","",DAY($A710))</f>
        <v/>
      </c>
      <c r="N710" s="68">
        <f>IF($A710="","",YEAR($A710)&amp;"-"&amp;TEXT(MONTH($A710),"00"))</f>
        <v/>
      </c>
    </row>
    <row r="711">
      <c r="A711" s="53" t="n"/>
      <c r="B711" s="52" t="n"/>
      <c r="C711" s="52" t="n"/>
      <c r="D711" s="52" t="n"/>
      <c r="E711" s="58">
        <f>IFERROR(VLOOKUP(D711,Maestro_SKU!$A$2:$P$500,2,FALSE),"")</f>
        <v/>
      </c>
      <c r="F711" s="52" t="n"/>
      <c r="G711" s="60" t="n"/>
      <c r="H711" s="52" t="n"/>
      <c r="I711" s="52" t="n"/>
      <c r="J711" s="52" t="n"/>
      <c r="K711" s="68">
        <f>IF($A711="","",YEAR($A711))</f>
        <v/>
      </c>
      <c r="L711" s="68">
        <f>IF($A711="","",MONTH($A711))</f>
        <v/>
      </c>
      <c r="M711" s="68">
        <f>IF($A711="","",DAY($A711))</f>
        <v/>
      </c>
      <c r="N711" s="68">
        <f>IF($A711="","",YEAR($A711)&amp;"-"&amp;TEXT(MONTH($A711),"00"))</f>
        <v/>
      </c>
    </row>
    <row r="712">
      <c r="A712" s="53" t="n"/>
      <c r="B712" s="52" t="n"/>
      <c r="C712" s="52" t="n"/>
      <c r="D712" s="52" t="n"/>
      <c r="E712" s="58">
        <f>IFERROR(VLOOKUP(D712,Maestro_SKU!$A$2:$P$500,2,FALSE),"")</f>
        <v/>
      </c>
      <c r="F712" s="52" t="n"/>
      <c r="G712" s="60" t="n"/>
      <c r="H712" s="52" t="n"/>
      <c r="I712" s="52" t="n"/>
      <c r="J712" s="52" t="n"/>
      <c r="K712" s="68">
        <f>IF($A712="","",YEAR($A712))</f>
        <v/>
      </c>
      <c r="L712" s="68">
        <f>IF($A712="","",MONTH($A712))</f>
        <v/>
      </c>
      <c r="M712" s="68">
        <f>IF($A712="","",DAY($A712))</f>
        <v/>
      </c>
      <c r="N712" s="68">
        <f>IF($A712="","",YEAR($A712)&amp;"-"&amp;TEXT(MONTH($A712),"00"))</f>
        <v/>
      </c>
    </row>
    <row r="713">
      <c r="A713" s="53" t="n"/>
      <c r="B713" s="52" t="n"/>
      <c r="C713" s="52" t="n"/>
      <c r="D713" s="52" t="n"/>
      <c r="E713" s="58">
        <f>IFERROR(VLOOKUP(D713,Maestro_SKU!$A$2:$P$500,2,FALSE),"")</f>
        <v/>
      </c>
      <c r="F713" s="52" t="n"/>
      <c r="G713" s="60" t="n"/>
      <c r="H713" s="52" t="n"/>
      <c r="I713" s="52" t="n"/>
      <c r="J713" s="52" t="n"/>
      <c r="K713" s="68">
        <f>IF($A713="","",YEAR($A713))</f>
        <v/>
      </c>
      <c r="L713" s="68">
        <f>IF($A713="","",MONTH($A713))</f>
        <v/>
      </c>
      <c r="M713" s="68">
        <f>IF($A713="","",DAY($A713))</f>
        <v/>
      </c>
      <c r="N713" s="68">
        <f>IF($A713="","",YEAR($A713)&amp;"-"&amp;TEXT(MONTH($A713),"00"))</f>
        <v/>
      </c>
    </row>
    <row r="714">
      <c r="A714" s="53" t="n"/>
      <c r="B714" s="52" t="n"/>
      <c r="C714" s="52" t="n"/>
      <c r="D714" s="52" t="n"/>
      <c r="E714" s="58">
        <f>IFERROR(VLOOKUP(D714,Maestro_SKU!$A$2:$P$500,2,FALSE),"")</f>
        <v/>
      </c>
      <c r="F714" s="52" t="n"/>
      <c r="G714" s="60" t="n"/>
      <c r="H714" s="52" t="n"/>
      <c r="I714" s="52" t="n"/>
      <c r="J714" s="52" t="n"/>
      <c r="K714" s="68">
        <f>IF($A714="","",YEAR($A714))</f>
        <v/>
      </c>
      <c r="L714" s="68">
        <f>IF($A714="","",MONTH($A714))</f>
        <v/>
      </c>
      <c r="M714" s="68">
        <f>IF($A714="","",DAY($A714))</f>
        <v/>
      </c>
      <c r="N714" s="68">
        <f>IF($A714="","",YEAR($A714)&amp;"-"&amp;TEXT(MONTH($A714),"00"))</f>
        <v/>
      </c>
    </row>
    <row r="715">
      <c r="A715" s="53" t="n"/>
      <c r="B715" s="52" t="n"/>
      <c r="C715" s="52" t="n"/>
      <c r="D715" s="52" t="n"/>
      <c r="E715" s="58">
        <f>IFERROR(VLOOKUP(D715,Maestro_SKU!$A$2:$P$500,2,FALSE),"")</f>
        <v/>
      </c>
      <c r="F715" s="52" t="n"/>
      <c r="G715" s="60" t="n"/>
      <c r="H715" s="52" t="n"/>
      <c r="I715" s="52" t="n"/>
      <c r="J715" s="52" t="n"/>
      <c r="K715" s="68">
        <f>IF($A715="","",YEAR($A715))</f>
        <v/>
      </c>
      <c r="L715" s="68">
        <f>IF($A715="","",MONTH($A715))</f>
        <v/>
      </c>
      <c r="M715" s="68">
        <f>IF($A715="","",DAY($A715))</f>
        <v/>
      </c>
      <c r="N715" s="68">
        <f>IF($A715="","",YEAR($A715)&amp;"-"&amp;TEXT(MONTH($A715),"00"))</f>
        <v/>
      </c>
    </row>
    <row r="716">
      <c r="A716" s="53" t="n"/>
      <c r="B716" s="52" t="n"/>
      <c r="C716" s="52" t="n"/>
      <c r="D716" s="52" t="n"/>
      <c r="E716" s="58">
        <f>IFERROR(VLOOKUP(D716,Maestro_SKU!$A$2:$P$500,2,FALSE),"")</f>
        <v/>
      </c>
      <c r="F716" s="52" t="n"/>
      <c r="G716" s="60" t="n"/>
      <c r="H716" s="52" t="n"/>
      <c r="I716" s="52" t="n"/>
      <c r="J716" s="52" t="n"/>
      <c r="K716" s="68">
        <f>IF($A716="","",YEAR($A716))</f>
        <v/>
      </c>
      <c r="L716" s="68">
        <f>IF($A716="","",MONTH($A716))</f>
        <v/>
      </c>
      <c r="M716" s="68">
        <f>IF($A716="","",DAY($A716))</f>
        <v/>
      </c>
      <c r="N716" s="68">
        <f>IF($A716="","",YEAR($A716)&amp;"-"&amp;TEXT(MONTH($A716),"00"))</f>
        <v/>
      </c>
    </row>
    <row r="717">
      <c r="A717" s="53" t="n"/>
      <c r="B717" s="52" t="n"/>
      <c r="C717" s="52" t="n"/>
      <c r="D717" s="52" t="n"/>
      <c r="E717" s="58">
        <f>IFERROR(VLOOKUP(D717,Maestro_SKU!$A$2:$P$500,2,FALSE),"")</f>
        <v/>
      </c>
      <c r="F717" s="52" t="n"/>
      <c r="G717" s="60" t="n"/>
      <c r="H717" s="52" t="n"/>
      <c r="I717" s="52" t="n"/>
      <c r="J717" s="52" t="n"/>
      <c r="K717" s="68">
        <f>IF($A717="","",YEAR($A717))</f>
        <v/>
      </c>
      <c r="L717" s="68">
        <f>IF($A717="","",MONTH($A717))</f>
        <v/>
      </c>
      <c r="M717" s="68">
        <f>IF($A717="","",DAY($A717))</f>
        <v/>
      </c>
      <c r="N717" s="68">
        <f>IF($A717="","",YEAR($A717)&amp;"-"&amp;TEXT(MONTH($A717),"00"))</f>
        <v/>
      </c>
    </row>
    <row r="718">
      <c r="A718" s="53" t="n"/>
      <c r="B718" s="52" t="n"/>
      <c r="C718" s="52" t="n"/>
      <c r="D718" s="52" t="n"/>
      <c r="E718" s="58">
        <f>IFERROR(VLOOKUP(D718,Maestro_SKU!$A$2:$P$500,2,FALSE),"")</f>
        <v/>
      </c>
      <c r="F718" s="52" t="n"/>
      <c r="G718" s="60" t="n"/>
      <c r="H718" s="52" t="n"/>
      <c r="I718" s="52" t="n"/>
      <c r="J718" s="52" t="n"/>
      <c r="K718" s="68">
        <f>IF($A718="","",YEAR($A718))</f>
        <v/>
      </c>
      <c r="L718" s="68">
        <f>IF($A718="","",MONTH($A718))</f>
        <v/>
      </c>
      <c r="M718" s="68">
        <f>IF($A718="","",DAY($A718))</f>
        <v/>
      </c>
      <c r="N718" s="68">
        <f>IF($A718="","",YEAR($A718)&amp;"-"&amp;TEXT(MONTH($A718),"00"))</f>
        <v/>
      </c>
    </row>
    <row r="719">
      <c r="A719" s="53" t="n"/>
      <c r="B719" s="52" t="n"/>
      <c r="C719" s="52" t="n"/>
      <c r="D719" s="52" t="n"/>
      <c r="E719" s="58">
        <f>IFERROR(VLOOKUP(D719,Maestro_SKU!$A$2:$P$500,2,FALSE),"")</f>
        <v/>
      </c>
      <c r="F719" s="52" t="n"/>
      <c r="G719" s="60" t="n"/>
      <c r="H719" s="52" t="n"/>
      <c r="I719" s="52" t="n"/>
      <c r="J719" s="52" t="n"/>
      <c r="K719" s="68">
        <f>IF($A719="","",YEAR($A719))</f>
        <v/>
      </c>
      <c r="L719" s="68">
        <f>IF($A719="","",MONTH($A719))</f>
        <v/>
      </c>
      <c r="M719" s="68">
        <f>IF($A719="","",DAY($A719))</f>
        <v/>
      </c>
      <c r="N719" s="68">
        <f>IF($A719="","",YEAR($A719)&amp;"-"&amp;TEXT(MONTH($A719),"00"))</f>
        <v/>
      </c>
    </row>
    <row r="720">
      <c r="A720" s="53" t="n"/>
      <c r="B720" s="52" t="n"/>
      <c r="C720" s="52" t="n"/>
      <c r="D720" s="52" t="n"/>
      <c r="E720" s="58">
        <f>IFERROR(VLOOKUP(D720,Maestro_SKU!$A$2:$P$500,2,FALSE),"")</f>
        <v/>
      </c>
      <c r="F720" s="52" t="n"/>
      <c r="G720" s="60" t="n"/>
      <c r="H720" s="52" t="n"/>
      <c r="I720" s="52" t="n"/>
      <c r="J720" s="52" t="n"/>
      <c r="K720" s="68">
        <f>IF($A720="","",YEAR($A720))</f>
        <v/>
      </c>
      <c r="L720" s="68">
        <f>IF($A720="","",MONTH($A720))</f>
        <v/>
      </c>
      <c r="M720" s="68">
        <f>IF($A720="","",DAY($A720))</f>
        <v/>
      </c>
      <c r="N720" s="68">
        <f>IF($A720="","",YEAR($A720)&amp;"-"&amp;TEXT(MONTH($A720),"00"))</f>
        <v/>
      </c>
    </row>
    <row r="721">
      <c r="A721" s="53" t="n"/>
      <c r="B721" s="52" t="n"/>
      <c r="C721" s="52" t="n"/>
      <c r="D721" s="52" t="n"/>
      <c r="E721" s="58">
        <f>IFERROR(VLOOKUP(D721,Maestro_SKU!$A$2:$P$500,2,FALSE),"")</f>
        <v/>
      </c>
      <c r="F721" s="52" t="n"/>
      <c r="G721" s="60" t="n"/>
      <c r="H721" s="52" t="n"/>
      <c r="I721" s="52" t="n"/>
      <c r="J721" s="52" t="n"/>
      <c r="K721" s="68">
        <f>IF($A721="","",YEAR($A721))</f>
        <v/>
      </c>
      <c r="L721" s="68">
        <f>IF($A721="","",MONTH($A721))</f>
        <v/>
      </c>
      <c r="M721" s="68">
        <f>IF($A721="","",DAY($A721))</f>
        <v/>
      </c>
      <c r="N721" s="68">
        <f>IF($A721="","",YEAR($A721)&amp;"-"&amp;TEXT(MONTH($A721),"00"))</f>
        <v/>
      </c>
    </row>
    <row r="722">
      <c r="A722" s="53" t="n"/>
      <c r="B722" s="52" t="n"/>
      <c r="C722" s="52" t="n"/>
      <c r="D722" s="52" t="n"/>
      <c r="E722" s="58">
        <f>IFERROR(VLOOKUP(D722,Maestro_SKU!$A$2:$P$500,2,FALSE),"")</f>
        <v/>
      </c>
      <c r="F722" s="52" t="n"/>
      <c r="G722" s="60" t="n"/>
      <c r="H722" s="52" t="n"/>
      <c r="I722" s="52" t="n"/>
      <c r="J722" s="52" t="n"/>
      <c r="K722" s="68">
        <f>IF($A722="","",YEAR($A722))</f>
        <v/>
      </c>
      <c r="L722" s="68">
        <f>IF($A722="","",MONTH($A722))</f>
        <v/>
      </c>
      <c r="M722" s="68">
        <f>IF($A722="","",DAY($A722))</f>
        <v/>
      </c>
      <c r="N722" s="68">
        <f>IF($A722="","",YEAR($A722)&amp;"-"&amp;TEXT(MONTH($A722),"00"))</f>
        <v/>
      </c>
    </row>
    <row r="723">
      <c r="A723" s="53" t="n"/>
      <c r="B723" s="52" t="n"/>
      <c r="C723" s="52" t="n"/>
      <c r="D723" s="52" t="n"/>
      <c r="E723" s="58">
        <f>IFERROR(VLOOKUP(D723,Maestro_SKU!$A$2:$P$500,2,FALSE),"")</f>
        <v/>
      </c>
      <c r="F723" s="52" t="n"/>
      <c r="G723" s="60" t="n"/>
      <c r="H723" s="52" t="n"/>
      <c r="I723" s="52" t="n"/>
      <c r="J723" s="52" t="n"/>
      <c r="K723" s="68">
        <f>IF($A723="","",YEAR($A723))</f>
        <v/>
      </c>
      <c r="L723" s="68">
        <f>IF($A723="","",MONTH($A723))</f>
        <v/>
      </c>
      <c r="M723" s="68">
        <f>IF($A723="","",DAY($A723))</f>
        <v/>
      </c>
      <c r="N723" s="68">
        <f>IF($A723="","",YEAR($A723)&amp;"-"&amp;TEXT(MONTH($A723),"00"))</f>
        <v/>
      </c>
    </row>
    <row r="724">
      <c r="A724" s="53" t="n"/>
      <c r="B724" s="52" t="n"/>
      <c r="C724" s="52" t="n"/>
      <c r="D724" s="52" t="n"/>
      <c r="E724" s="58">
        <f>IFERROR(VLOOKUP(D724,Maestro_SKU!$A$2:$P$500,2,FALSE),"")</f>
        <v/>
      </c>
      <c r="F724" s="52" t="n"/>
      <c r="G724" s="60" t="n"/>
      <c r="H724" s="52" t="n"/>
      <c r="I724" s="52" t="n"/>
      <c r="J724" s="52" t="n"/>
      <c r="K724" s="68">
        <f>IF($A724="","",YEAR($A724))</f>
        <v/>
      </c>
      <c r="L724" s="68">
        <f>IF($A724="","",MONTH($A724))</f>
        <v/>
      </c>
      <c r="M724" s="68">
        <f>IF($A724="","",DAY($A724))</f>
        <v/>
      </c>
      <c r="N724" s="68">
        <f>IF($A724="","",YEAR($A724)&amp;"-"&amp;TEXT(MONTH($A724),"00"))</f>
        <v/>
      </c>
    </row>
    <row r="725">
      <c r="A725" s="53" t="n"/>
      <c r="B725" s="52" t="n"/>
      <c r="C725" s="52" t="n"/>
      <c r="D725" s="52" t="n"/>
      <c r="E725" s="58">
        <f>IFERROR(VLOOKUP(D725,Maestro_SKU!$A$2:$P$500,2,FALSE),"")</f>
        <v/>
      </c>
      <c r="F725" s="52" t="n"/>
      <c r="G725" s="60" t="n"/>
      <c r="H725" s="52" t="n"/>
      <c r="I725" s="52" t="n"/>
      <c r="J725" s="52" t="n"/>
      <c r="K725" s="68">
        <f>IF($A725="","",YEAR($A725))</f>
        <v/>
      </c>
      <c r="L725" s="68">
        <f>IF($A725="","",MONTH($A725))</f>
        <v/>
      </c>
      <c r="M725" s="68">
        <f>IF($A725="","",DAY($A725))</f>
        <v/>
      </c>
      <c r="N725" s="68">
        <f>IF($A725="","",YEAR($A725)&amp;"-"&amp;TEXT(MONTH($A725),"00"))</f>
        <v/>
      </c>
    </row>
    <row r="726">
      <c r="A726" s="53" t="n"/>
      <c r="B726" s="52" t="n"/>
      <c r="C726" s="52" t="n"/>
      <c r="D726" s="52" t="n"/>
      <c r="E726" s="58">
        <f>IFERROR(VLOOKUP(D726,Maestro_SKU!$A$2:$P$500,2,FALSE),"")</f>
        <v/>
      </c>
      <c r="F726" s="52" t="n"/>
      <c r="G726" s="60" t="n"/>
      <c r="H726" s="52" t="n"/>
      <c r="I726" s="52" t="n"/>
      <c r="J726" s="52" t="n"/>
      <c r="K726" s="68">
        <f>IF($A726="","",YEAR($A726))</f>
        <v/>
      </c>
      <c r="L726" s="68">
        <f>IF($A726="","",MONTH($A726))</f>
        <v/>
      </c>
      <c r="M726" s="68">
        <f>IF($A726="","",DAY($A726))</f>
        <v/>
      </c>
      <c r="N726" s="68">
        <f>IF($A726="","",YEAR($A726)&amp;"-"&amp;TEXT(MONTH($A726),"00"))</f>
        <v/>
      </c>
    </row>
    <row r="727">
      <c r="A727" s="53" t="n"/>
      <c r="B727" s="52" t="n"/>
      <c r="C727" s="52" t="n"/>
      <c r="D727" s="52" t="n"/>
      <c r="E727" s="58">
        <f>IFERROR(VLOOKUP(D727,Maestro_SKU!$A$2:$P$500,2,FALSE),"")</f>
        <v/>
      </c>
      <c r="F727" s="52" t="n"/>
      <c r="G727" s="60" t="n"/>
      <c r="H727" s="52" t="n"/>
      <c r="I727" s="52" t="n"/>
      <c r="J727" s="52" t="n"/>
      <c r="K727" s="68">
        <f>IF($A727="","",YEAR($A727))</f>
        <v/>
      </c>
      <c r="L727" s="68">
        <f>IF($A727="","",MONTH($A727))</f>
        <v/>
      </c>
      <c r="M727" s="68">
        <f>IF($A727="","",DAY($A727))</f>
        <v/>
      </c>
      <c r="N727" s="68">
        <f>IF($A727="","",YEAR($A727)&amp;"-"&amp;TEXT(MONTH($A727),"00"))</f>
        <v/>
      </c>
    </row>
    <row r="728">
      <c r="A728" s="53" t="n"/>
      <c r="B728" s="52" t="n"/>
      <c r="C728" s="52" t="n"/>
      <c r="D728" s="52" t="n"/>
      <c r="E728" s="58">
        <f>IFERROR(VLOOKUP(D728,Maestro_SKU!$A$2:$P$500,2,FALSE),"")</f>
        <v/>
      </c>
      <c r="F728" s="52" t="n"/>
      <c r="G728" s="60" t="n"/>
      <c r="H728" s="52" t="n"/>
      <c r="I728" s="52" t="n"/>
      <c r="J728" s="52" t="n"/>
      <c r="K728" s="68">
        <f>IF($A728="","",YEAR($A728))</f>
        <v/>
      </c>
      <c r="L728" s="68">
        <f>IF($A728="","",MONTH($A728))</f>
        <v/>
      </c>
      <c r="M728" s="68">
        <f>IF($A728="","",DAY($A728))</f>
        <v/>
      </c>
      <c r="N728" s="68">
        <f>IF($A728="","",YEAR($A728)&amp;"-"&amp;TEXT(MONTH($A728),"00"))</f>
        <v/>
      </c>
    </row>
    <row r="729">
      <c r="A729" s="53" t="n"/>
      <c r="B729" s="52" t="n"/>
      <c r="C729" s="52" t="n"/>
      <c r="D729" s="52" t="n"/>
      <c r="E729" s="58">
        <f>IFERROR(VLOOKUP(D729,Maestro_SKU!$A$2:$P$500,2,FALSE),"")</f>
        <v/>
      </c>
      <c r="F729" s="52" t="n"/>
      <c r="G729" s="60" t="n"/>
      <c r="H729" s="52" t="n"/>
      <c r="I729" s="52" t="n"/>
      <c r="J729" s="52" t="n"/>
      <c r="K729" s="68">
        <f>IF($A729="","",YEAR($A729))</f>
        <v/>
      </c>
      <c r="L729" s="68">
        <f>IF($A729="","",MONTH($A729))</f>
        <v/>
      </c>
      <c r="M729" s="68">
        <f>IF($A729="","",DAY($A729))</f>
        <v/>
      </c>
      <c r="N729" s="68">
        <f>IF($A729="","",YEAR($A729)&amp;"-"&amp;TEXT(MONTH($A729),"00"))</f>
        <v/>
      </c>
    </row>
    <row r="730">
      <c r="A730" s="53" t="n"/>
      <c r="B730" s="52" t="n"/>
      <c r="C730" s="52" t="n"/>
      <c r="D730" s="52" t="n"/>
      <c r="E730" s="58">
        <f>IFERROR(VLOOKUP(D730,Maestro_SKU!$A$2:$P$500,2,FALSE),"")</f>
        <v/>
      </c>
      <c r="F730" s="52" t="n"/>
      <c r="G730" s="60" t="n"/>
      <c r="H730" s="52" t="n"/>
      <c r="I730" s="52" t="n"/>
      <c r="J730" s="52" t="n"/>
      <c r="K730" s="68">
        <f>IF($A730="","",YEAR($A730))</f>
        <v/>
      </c>
      <c r="L730" s="68">
        <f>IF($A730="","",MONTH($A730))</f>
        <v/>
      </c>
      <c r="M730" s="68">
        <f>IF($A730="","",DAY($A730))</f>
        <v/>
      </c>
      <c r="N730" s="68">
        <f>IF($A730="","",YEAR($A730)&amp;"-"&amp;TEXT(MONTH($A730),"00"))</f>
        <v/>
      </c>
    </row>
    <row r="731">
      <c r="A731" s="53" t="n"/>
      <c r="B731" s="52" t="n"/>
      <c r="C731" s="52" t="n"/>
      <c r="D731" s="52" t="n"/>
      <c r="E731" s="58">
        <f>IFERROR(VLOOKUP(D731,Maestro_SKU!$A$2:$P$500,2,FALSE),"")</f>
        <v/>
      </c>
      <c r="F731" s="52" t="n"/>
      <c r="G731" s="60" t="n"/>
      <c r="H731" s="52" t="n"/>
      <c r="I731" s="52" t="n"/>
      <c r="J731" s="52" t="n"/>
      <c r="K731" s="68">
        <f>IF($A731="","",YEAR($A731))</f>
        <v/>
      </c>
      <c r="L731" s="68">
        <f>IF($A731="","",MONTH($A731))</f>
        <v/>
      </c>
      <c r="M731" s="68">
        <f>IF($A731="","",DAY($A731))</f>
        <v/>
      </c>
      <c r="N731" s="68">
        <f>IF($A731="","",YEAR($A731)&amp;"-"&amp;TEXT(MONTH($A731),"00"))</f>
        <v/>
      </c>
    </row>
    <row r="732">
      <c r="A732" s="53" t="n"/>
      <c r="B732" s="52" t="n"/>
      <c r="C732" s="52" t="n"/>
      <c r="D732" s="52" t="n"/>
      <c r="E732" s="58">
        <f>IFERROR(VLOOKUP(D732,Maestro_SKU!$A$2:$P$500,2,FALSE),"")</f>
        <v/>
      </c>
      <c r="F732" s="52" t="n"/>
      <c r="G732" s="60" t="n"/>
      <c r="H732" s="52" t="n"/>
      <c r="I732" s="52" t="n"/>
      <c r="J732" s="52" t="n"/>
      <c r="K732" s="68">
        <f>IF($A732="","",YEAR($A732))</f>
        <v/>
      </c>
      <c r="L732" s="68">
        <f>IF($A732="","",MONTH($A732))</f>
        <v/>
      </c>
      <c r="M732" s="68">
        <f>IF($A732="","",DAY($A732))</f>
        <v/>
      </c>
      <c r="N732" s="68">
        <f>IF($A732="","",YEAR($A732)&amp;"-"&amp;TEXT(MONTH($A732),"00"))</f>
        <v/>
      </c>
    </row>
    <row r="733">
      <c r="A733" s="53" t="n"/>
      <c r="B733" s="52" t="n"/>
      <c r="C733" s="52" t="n"/>
      <c r="D733" s="52" t="n"/>
      <c r="E733" s="58">
        <f>IFERROR(VLOOKUP(D733,Maestro_SKU!$A$2:$P$500,2,FALSE),"")</f>
        <v/>
      </c>
      <c r="F733" s="52" t="n"/>
      <c r="G733" s="60" t="n"/>
      <c r="H733" s="52" t="n"/>
      <c r="I733" s="52" t="n"/>
      <c r="J733" s="52" t="n"/>
      <c r="K733" s="68">
        <f>IF($A733="","",YEAR($A733))</f>
        <v/>
      </c>
      <c r="L733" s="68">
        <f>IF($A733="","",MONTH($A733))</f>
        <v/>
      </c>
      <c r="M733" s="68">
        <f>IF($A733="","",DAY($A733))</f>
        <v/>
      </c>
      <c r="N733" s="68">
        <f>IF($A733="","",YEAR($A733)&amp;"-"&amp;TEXT(MONTH($A733),"00"))</f>
        <v/>
      </c>
    </row>
    <row r="734">
      <c r="A734" s="53" t="n"/>
      <c r="B734" s="52" t="n"/>
      <c r="C734" s="52" t="n"/>
      <c r="D734" s="52" t="n"/>
      <c r="E734" s="58">
        <f>IFERROR(VLOOKUP(D734,Maestro_SKU!$A$2:$P$500,2,FALSE),"")</f>
        <v/>
      </c>
      <c r="F734" s="52" t="n"/>
      <c r="G734" s="60" t="n"/>
      <c r="H734" s="52" t="n"/>
      <c r="I734" s="52" t="n"/>
      <c r="J734" s="52" t="n"/>
      <c r="K734" s="68">
        <f>IF($A734="","",YEAR($A734))</f>
        <v/>
      </c>
      <c r="L734" s="68">
        <f>IF($A734="","",MONTH($A734))</f>
        <v/>
      </c>
      <c r="M734" s="68">
        <f>IF($A734="","",DAY($A734))</f>
        <v/>
      </c>
      <c r="N734" s="68">
        <f>IF($A734="","",YEAR($A734)&amp;"-"&amp;TEXT(MONTH($A734),"00"))</f>
        <v/>
      </c>
    </row>
    <row r="735">
      <c r="A735" s="53" t="n"/>
      <c r="B735" s="52" t="n"/>
      <c r="C735" s="52" t="n"/>
      <c r="D735" s="52" t="n"/>
      <c r="E735" s="58">
        <f>IFERROR(VLOOKUP(D735,Maestro_SKU!$A$2:$P$500,2,FALSE),"")</f>
        <v/>
      </c>
      <c r="F735" s="52" t="n"/>
      <c r="G735" s="60" t="n"/>
      <c r="H735" s="52" t="n"/>
      <c r="I735" s="52" t="n"/>
      <c r="J735" s="52" t="n"/>
      <c r="K735" s="68">
        <f>IF($A735="","",YEAR($A735))</f>
        <v/>
      </c>
      <c r="L735" s="68">
        <f>IF($A735="","",MONTH($A735))</f>
        <v/>
      </c>
      <c r="M735" s="68">
        <f>IF($A735="","",DAY($A735))</f>
        <v/>
      </c>
      <c r="N735" s="68">
        <f>IF($A735="","",YEAR($A735)&amp;"-"&amp;TEXT(MONTH($A735),"00"))</f>
        <v/>
      </c>
    </row>
    <row r="736">
      <c r="A736" s="53" t="n"/>
      <c r="B736" s="52" t="n"/>
      <c r="C736" s="52" t="n"/>
      <c r="D736" s="52" t="n"/>
      <c r="E736" s="58">
        <f>IFERROR(VLOOKUP(D736,Maestro_SKU!$A$2:$P$500,2,FALSE),"")</f>
        <v/>
      </c>
      <c r="F736" s="52" t="n"/>
      <c r="G736" s="60" t="n"/>
      <c r="H736" s="52" t="n"/>
      <c r="I736" s="52" t="n"/>
      <c r="J736" s="52" t="n"/>
      <c r="K736" s="68">
        <f>IF($A736="","",YEAR($A736))</f>
        <v/>
      </c>
      <c r="L736" s="68">
        <f>IF($A736="","",MONTH($A736))</f>
        <v/>
      </c>
      <c r="M736" s="68">
        <f>IF($A736="","",DAY($A736))</f>
        <v/>
      </c>
      <c r="N736" s="68">
        <f>IF($A736="","",YEAR($A736)&amp;"-"&amp;TEXT(MONTH($A736),"00"))</f>
        <v/>
      </c>
    </row>
    <row r="737">
      <c r="A737" s="53" t="n"/>
      <c r="B737" s="52" t="n"/>
      <c r="C737" s="52" t="n"/>
      <c r="D737" s="52" t="n"/>
      <c r="E737" s="58">
        <f>IFERROR(VLOOKUP(D737,Maestro_SKU!$A$2:$P$500,2,FALSE),"")</f>
        <v/>
      </c>
      <c r="F737" s="52" t="n"/>
      <c r="G737" s="60" t="n"/>
      <c r="H737" s="52" t="n"/>
      <c r="I737" s="52" t="n"/>
      <c r="J737" s="52" t="n"/>
      <c r="K737" s="68">
        <f>IF($A737="","",YEAR($A737))</f>
        <v/>
      </c>
      <c r="L737" s="68">
        <f>IF($A737="","",MONTH($A737))</f>
        <v/>
      </c>
      <c r="M737" s="68">
        <f>IF($A737="","",DAY($A737))</f>
        <v/>
      </c>
      <c r="N737" s="68">
        <f>IF($A737="","",YEAR($A737)&amp;"-"&amp;TEXT(MONTH($A737),"00"))</f>
        <v/>
      </c>
    </row>
    <row r="738">
      <c r="A738" s="53" t="n"/>
      <c r="B738" s="52" t="n"/>
      <c r="C738" s="52" t="n"/>
      <c r="D738" s="52" t="n"/>
      <c r="E738" s="58">
        <f>IFERROR(VLOOKUP(D738,Maestro_SKU!$A$2:$P$500,2,FALSE),"")</f>
        <v/>
      </c>
      <c r="F738" s="52" t="n"/>
      <c r="G738" s="60" t="n"/>
      <c r="H738" s="52" t="n"/>
      <c r="I738" s="52" t="n"/>
      <c r="J738" s="52" t="n"/>
      <c r="K738" s="68">
        <f>IF($A738="","",YEAR($A738))</f>
        <v/>
      </c>
      <c r="L738" s="68">
        <f>IF($A738="","",MONTH($A738))</f>
        <v/>
      </c>
      <c r="M738" s="68">
        <f>IF($A738="","",DAY($A738))</f>
        <v/>
      </c>
      <c r="N738" s="68">
        <f>IF($A738="","",YEAR($A738)&amp;"-"&amp;TEXT(MONTH($A738),"00"))</f>
        <v/>
      </c>
    </row>
    <row r="739">
      <c r="A739" s="53" t="n"/>
      <c r="B739" s="52" t="n"/>
      <c r="C739" s="52" t="n"/>
      <c r="D739" s="52" t="n"/>
      <c r="E739" s="58">
        <f>IFERROR(VLOOKUP(D739,Maestro_SKU!$A$2:$P$500,2,FALSE),"")</f>
        <v/>
      </c>
      <c r="F739" s="52" t="n"/>
      <c r="G739" s="60" t="n"/>
      <c r="H739" s="52" t="n"/>
      <c r="I739" s="52" t="n"/>
      <c r="J739" s="52" t="n"/>
      <c r="K739" s="68">
        <f>IF($A739="","",YEAR($A739))</f>
        <v/>
      </c>
      <c r="L739" s="68">
        <f>IF($A739="","",MONTH($A739))</f>
        <v/>
      </c>
      <c r="M739" s="68">
        <f>IF($A739="","",DAY($A739))</f>
        <v/>
      </c>
      <c r="N739" s="68">
        <f>IF($A739="","",YEAR($A739)&amp;"-"&amp;TEXT(MONTH($A739),"00"))</f>
        <v/>
      </c>
    </row>
    <row r="740">
      <c r="A740" s="53" t="n"/>
      <c r="B740" s="52" t="n"/>
      <c r="C740" s="52" t="n"/>
      <c r="D740" s="52" t="n"/>
      <c r="E740" s="58">
        <f>IFERROR(VLOOKUP(D740,Maestro_SKU!$A$2:$P$500,2,FALSE),"")</f>
        <v/>
      </c>
      <c r="F740" s="52" t="n"/>
      <c r="G740" s="60" t="n"/>
      <c r="H740" s="52" t="n"/>
      <c r="I740" s="52" t="n"/>
      <c r="J740" s="52" t="n"/>
      <c r="K740" s="68">
        <f>IF($A740="","",YEAR($A740))</f>
        <v/>
      </c>
      <c r="L740" s="68">
        <f>IF($A740="","",MONTH($A740))</f>
        <v/>
      </c>
      <c r="M740" s="68">
        <f>IF($A740="","",DAY($A740))</f>
        <v/>
      </c>
      <c r="N740" s="68">
        <f>IF($A740="","",YEAR($A740)&amp;"-"&amp;TEXT(MONTH($A740),"00"))</f>
        <v/>
      </c>
    </row>
    <row r="741">
      <c r="A741" s="53" t="n"/>
      <c r="B741" s="52" t="n"/>
      <c r="C741" s="52" t="n"/>
      <c r="D741" s="52" t="n"/>
      <c r="E741" s="58">
        <f>IFERROR(VLOOKUP(D741,Maestro_SKU!$A$2:$P$500,2,FALSE),"")</f>
        <v/>
      </c>
      <c r="F741" s="52" t="n"/>
      <c r="G741" s="60" t="n"/>
      <c r="H741" s="52" t="n"/>
      <c r="I741" s="52" t="n"/>
      <c r="J741" s="52" t="n"/>
      <c r="K741" s="68">
        <f>IF($A741="","",YEAR($A741))</f>
        <v/>
      </c>
      <c r="L741" s="68">
        <f>IF($A741="","",MONTH($A741))</f>
        <v/>
      </c>
      <c r="M741" s="68">
        <f>IF($A741="","",DAY($A741))</f>
        <v/>
      </c>
      <c r="N741" s="68">
        <f>IF($A741="","",YEAR($A741)&amp;"-"&amp;TEXT(MONTH($A741),"00"))</f>
        <v/>
      </c>
    </row>
    <row r="742">
      <c r="A742" s="53" t="n"/>
      <c r="B742" s="52" t="n"/>
      <c r="C742" s="52" t="n"/>
      <c r="D742" s="52" t="n"/>
      <c r="E742" s="58">
        <f>IFERROR(VLOOKUP(D742,Maestro_SKU!$A$2:$P$500,2,FALSE),"")</f>
        <v/>
      </c>
      <c r="F742" s="52" t="n"/>
      <c r="G742" s="60" t="n"/>
      <c r="H742" s="52" t="n"/>
      <c r="I742" s="52" t="n"/>
      <c r="J742" s="52" t="n"/>
      <c r="K742" s="68">
        <f>IF($A742="","",YEAR($A742))</f>
        <v/>
      </c>
      <c r="L742" s="68">
        <f>IF($A742="","",MONTH($A742))</f>
        <v/>
      </c>
      <c r="M742" s="68">
        <f>IF($A742="","",DAY($A742))</f>
        <v/>
      </c>
      <c r="N742" s="68">
        <f>IF($A742="","",YEAR($A742)&amp;"-"&amp;TEXT(MONTH($A742),"00"))</f>
        <v/>
      </c>
    </row>
    <row r="743">
      <c r="A743" s="53" t="n"/>
      <c r="B743" s="52" t="n"/>
      <c r="C743" s="52" t="n"/>
      <c r="D743" s="52" t="n"/>
      <c r="E743" s="58">
        <f>IFERROR(VLOOKUP(D743,Maestro_SKU!$A$2:$P$500,2,FALSE),"")</f>
        <v/>
      </c>
      <c r="F743" s="52" t="n"/>
      <c r="G743" s="60" t="n"/>
      <c r="H743" s="52" t="n"/>
      <c r="I743" s="52" t="n"/>
      <c r="J743" s="52" t="n"/>
      <c r="K743" s="68">
        <f>IF($A743="","",YEAR($A743))</f>
        <v/>
      </c>
      <c r="L743" s="68">
        <f>IF($A743="","",MONTH($A743))</f>
        <v/>
      </c>
      <c r="M743" s="68">
        <f>IF($A743="","",DAY($A743))</f>
        <v/>
      </c>
      <c r="N743" s="68">
        <f>IF($A743="","",YEAR($A743)&amp;"-"&amp;TEXT(MONTH($A743),"00"))</f>
        <v/>
      </c>
    </row>
    <row r="744">
      <c r="A744" s="53" t="n"/>
      <c r="B744" s="52" t="n"/>
      <c r="C744" s="52" t="n"/>
      <c r="D744" s="52" t="n"/>
      <c r="E744" s="58">
        <f>IFERROR(VLOOKUP(D744,Maestro_SKU!$A$2:$P$500,2,FALSE),"")</f>
        <v/>
      </c>
      <c r="F744" s="52" t="n"/>
      <c r="G744" s="60" t="n"/>
      <c r="H744" s="52" t="n"/>
      <c r="I744" s="52" t="n"/>
      <c r="J744" s="52" t="n"/>
      <c r="K744" s="68">
        <f>IF($A744="","",YEAR($A744))</f>
        <v/>
      </c>
      <c r="L744" s="68">
        <f>IF($A744="","",MONTH($A744))</f>
        <v/>
      </c>
      <c r="M744" s="68">
        <f>IF($A744="","",DAY($A744))</f>
        <v/>
      </c>
      <c r="N744" s="68">
        <f>IF($A744="","",YEAR($A744)&amp;"-"&amp;TEXT(MONTH($A744),"00"))</f>
        <v/>
      </c>
    </row>
    <row r="745">
      <c r="A745" s="53" t="n"/>
      <c r="B745" s="52" t="n"/>
      <c r="C745" s="52" t="n"/>
      <c r="D745" s="52" t="n"/>
      <c r="E745" s="58">
        <f>IFERROR(VLOOKUP(D745,Maestro_SKU!$A$2:$P$500,2,FALSE),"")</f>
        <v/>
      </c>
      <c r="F745" s="52" t="n"/>
      <c r="G745" s="60" t="n"/>
      <c r="H745" s="52" t="n"/>
      <c r="I745" s="52" t="n"/>
      <c r="J745" s="52" t="n"/>
      <c r="K745" s="68">
        <f>IF($A745="","",YEAR($A745))</f>
        <v/>
      </c>
      <c r="L745" s="68">
        <f>IF($A745="","",MONTH($A745))</f>
        <v/>
      </c>
      <c r="M745" s="68">
        <f>IF($A745="","",DAY($A745))</f>
        <v/>
      </c>
      <c r="N745" s="68">
        <f>IF($A745="","",YEAR($A745)&amp;"-"&amp;TEXT(MONTH($A745),"00"))</f>
        <v/>
      </c>
    </row>
    <row r="746">
      <c r="A746" s="53" t="n"/>
      <c r="B746" s="52" t="n"/>
      <c r="C746" s="52" t="n"/>
      <c r="D746" s="52" t="n"/>
      <c r="E746" s="58">
        <f>IFERROR(VLOOKUP(D746,Maestro_SKU!$A$2:$P$500,2,FALSE),"")</f>
        <v/>
      </c>
      <c r="F746" s="52" t="n"/>
      <c r="G746" s="60" t="n"/>
      <c r="H746" s="52" t="n"/>
      <c r="I746" s="52" t="n"/>
      <c r="J746" s="52" t="n"/>
      <c r="K746" s="68">
        <f>IF($A746="","",YEAR($A746))</f>
        <v/>
      </c>
      <c r="L746" s="68">
        <f>IF($A746="","",MONTH($A746))</f>
        <v/>
      </c>
      <c r="M746" s="68">
        <f>IF($A746="","",DAY($A746))</f>
        <v/>
      </c>
      <c r="N746" s="68">
        <f>IF($A746="","",YEAR($A746)&amp;"-"&amp;TEXT(MONTH($A746),"00"))</f>
        <v/>
      </c>
    </row>
    <row r="747">
      <c r="A747" s="53" t="n"/>
      <c r="B747" s="52" t="n"/>
      <c r="C747" s="52" t="n"/>
      <c r="D747" s="52" t="n"/>
      <c r="E747" s="58">
        <f>IFERROR(VLOOKUP(D747,Maestro_SKU!$A$2:$P$500,2,FALSE),"")</f>
        <v/>
      </c>
      <c r="F747" s="52" t="n"/>
      <c r="G747" s="60" t="n"/>
      <c r="H747" s="52" t="n"/>
      <c r="I747" s="52" t="n"/>
      <c r="J747" s="52" t="n"/>
      <c r="K747" s="68">
        <f>IF($A747="","",YEAR($A747))</f>
        <v/>
      </c>
      <c r="L747" s="68">
        <f>IF($A747="","",MONTH($A747))</f>
        <v/>
      </c>
      <c r="M747" s="68">
        <f>IF($A747="","",DAY($A747))</f>
        <v/>
      </c>
      <c r="N747" s="68">
        <f>IF($A747="","",YEAR($A747)&amp;"-"&amp;TEXT(MONTH($A747),"00"))</f>
        <v/>
      </c>
    </row>
    <row r="748">
      <c r="A748" s="53" t="n"/>
      <c r="B748" s="52" t="n"/>
      <c r="C748" s="52" t="n"/>
      <c r="D748" s="52" t="n"/>
      <c r="E748" s="58">
        <f>IFERROR(VLOOKUP(D748,Maestro_SKU!$A$2:$P$500,2,FALSE),"")</f>
        <v/>
      </c>
      <c r="F748" s="52" t="n"/>
      <c r="G748" s="60" t="n"/>
      <c r="H748" s="52" t="n"/>
      <c r="I748" s="52" t="n"/>
      <c r="J748" s="52" t="n"/>
      <c r="K748" s="68">
        <f>IF($A748="","",YEAR($A748))</f>
        <v/>
      </c>
      <c r="L748" s="68">
        <f>IF($A748="","",MONTH($A748))</f>
        <v/>
      </c>
      <c r="M748" s="68">
        <f>IF($A748="","",DAY($A748))</f>
        <v/>
      </c>
      <c r="N748" s="68">
        <f>IF($A748="","",YEAR($A748)&amp;"-"&amp;TEXT(MONTH($A748),"00"))</f>
        <v/>
      </c>
    </row>
    <row r="749">
      <c r="A749" s="53" t="n"/>
      <c r="B749" s="52" t="n"/>
      <c r="C749" s="52" t="n"/>
      <c r="D749" s="52" t="n"/>
      <c r="E749" s="58">
        <f>IFERROR(VLOOKUP(D749,Maestro_SKU!$A$2:$P$500,2,FALSE),"")</f>
        <v/>
      </c>
      <c r="F749" s="52" t="n"/>
      <c r="G749" s="60" t="n"/>
      <c r="H749" s="52" t="n"/>
      <c r="I749" s="52" t="n"/>
      <c r="J749" s="52" t="n"/>
      <c r="K749" s="68">
        <f>IF($A749="","",YEAR($A749))</f>
        <v/>
      </c>
      <c r="L749" s="68">
        <f>IF($A749="","",MONTH($A749))</f>
        <v/>
      </c>
      <c r="M749" s="68">
        <f>IF($A749="","",DAY($A749))</f>
        <v/>
      </c>
      <c r="N749" s="68">
        <f>IF($A749="","",YEAR($A749)&amp;"-"&amp;TEXT(MONTH($A749),"00"))</f>
        <v/>
      </c>
    </row>
    <row r="750">
      <c r="A750" s="53" t="n"/>
      <c r="B750" s="52" t="n"/>
      <c r="C750" s="52" t="n"/>
      <c r="D750" s="52" t="n"/>
      <c r="E750" s="58">
        <f>IFERROR(VLOOKUP(D750,Maestro_SKU!$A$2:$P$500,2,FALSE),"")</f>
        <v/>
      </c>
      <c r="F750" s="52" t="n"/>
      <c r="G750" s="60" t="n"/>
      <c r="H750" s="52" t="n"/>
      <c r="I750" s="52" t="n"/>
      <c r="J750" s="52" t="n"/>
      <c r="K750" s="68">
        <f>IF($A750="","",YEAR($A750))</f>
        <v/>
      </c>
      <c r="L750" s="68">
        <f>IF($A750="","",MONTH($A750))</f>
        <v/>
      </c>
      <c r="M750" s="68">
        <f>IF($A750="","",DAY($A750))</f>
        <v/>
      </c>
      <c r="N750" s="68">
        <f>IF($A750="","",YEAR($A750)&amp;"-"&amp;TEXT(MONTH($A750),"00"))</f>
        <v/>
      </c>
    </row>
    <row r="751">
      <c r="A751" s="53" t="n"/>
      <c r="B751" s="52" t="n"/>
      <c r="C751" s="52" t="n"/>
      <c r="D751" s="52" t="n"/>
      <c r="E751" s="58">
        <f>IFERROR(VLOOKUP(D751,Maestro_SKU!$A$2:$P$500,2,FALSE),"")</f>
        <v/>
      </c>
      <c r="F751" s="52" t="n"/>
      <c r="G751" s="60" t="n"/>
      <c r="H751" s="52" t="n"/>
      <c r="I751" s="52" t="n"/>
      <c r="J751" s="52" t="n"/>
      <c r="K751" s="68">
        <f>IF($A751="","",YEAR($A751))</f>
        <v/>
      </c>
      <c r="L751" s="68">
        <f>IF($A751="","",MONTH($A751))</f>
        <v/>
      </c>
      <c r="M751" s="68">
        <f>IF($A751="","",DAY($A751))</f>
        <v/>
      </c>
      <c r="N751" s="68">
        <f>IF($A751="","",YEAR($A751)&amp;"-"&amp;TEXT(MONTH($A751),"00"))</f>
        <v/>
      </c>
    </row>
    <row r="752">
      <c r="A752" s="53" t="n"/>
      <c r="B752" s="52" t="n"/>
      <c r="C752" s="52" t="n"/>
      <c r="D752" s="52" t="n"/>
      <c r="E752" s="58">
        <f>IFERROR(VLOOKUP(D752,Maestro_SKU!$A$2:$P$500,2,FALSE),"")</f>
        <v/>
      </c>
      <c r="F752" s="52" t="n"/>
      <c r="G752" s="60" t="n"/>
      <c r="H752" s="52" t="n"/>
      <c r="I752" s="52" t="n"/>
      <c r="J752" s="52" t="n"/>
      <c r="K752" s="68">
        <f>IF($A752="","",YEAR($A752))</f>
        <v/>
      </c>
      <c r="L752" s="68">
        <f>IF($A752="","",MONTH($A752))</f>
        <v/>
      </c>
      <c r="M752" s="68">
        <f>IF($A752="","",DAY($A752))</f>
        <v/>
      </c>
      <c r="N752" s="68">
        <f>IF($A752="","",YEAR($A752)&amp;"-"&amp;TEXT(MONTH($A752),"00"))</f>
        <v/>
      </c>
    </row>
    <row r="753">
      <c r="A753" s="53" t="n"/>
      <c r="B753" s="52" t="n"/>
      <c r="C753" s="52" t="n"/>
      <c r="D753" s="52" t="n"/>
      <c r="E753" s="58">
        <f>IFERROR(VLOOKUP(D753,Maestro_SKU!$A$2:$P$500,2,FALSE),"")</f>
        <v/>
      </c>
      <c r="F753" s="52" t="n"/>
      <c r="G753" s="60" t="n"/>
      <c r="H753" s="52" t="n"/>
      <c r="I753" s="52" t="n"/>
      <c r="J753" s="52" t="n"/>
      <c r="K753" s="68">
        <f>IF($A753="","",YEAR($A753))</f>
        <v/>
      </c>
      <c r="L753" s="68">
        <f>IF($A753="","",MONTH($A753))</f>
        <v/>
      </c>
      <c r="M753" s="68">
        <f>IF($A753="","",DAY($A753))</f>
        <v/>
      </c>
      <c r="N753" s="68">
        <f>IF($A753="","",YEAR($A753)&amp;"-"&amp;TEXT(MONTH($A753),"00"))</f>
        <v/>
      </c>
    </row>
    <row r="754">
      <c r="A754" s="53" t="n"/>
      <c r="B754" s="52" t="n"/>
      <c r="C754" s="52" t="n"/>
      <c r="D754" s="52" t="n"/>
      <c r="E754" s="58">
        <f>IFERROR(VLOOKUP(D754,Maestro_SKU!$A$2:$P$500,2,FALSE),"")</f>
        <v/>
      </c>
      <c r="F754" s="52" t="n"/>
      <c r="G754" s="60" t="n"/>
      <c r="H754" s="52" t="n"/>
      <c r="I754" s="52" t="n"/>
      <c r="J754" s="52" t="n"/>
      <c r="K754" s="68">
        <f>IF($A754="","",YEAR($A754))</f>
        <v/>
      </c>
      <c r="L754" s="68">
        <f>IF($A754="","",MONTH($A754))</f>
        <v/>
      </c>
      <c r="M754" s="68">
        <f>IF($A754="","",DAY($A754))</f>
        <v/>
      </c>
      <c r="N754" s="68">
        <f>IF($A754="","",YEAR($A754)&amp;"-"&amp;TEXT(MONTH($A754),"00"))</f>
        <v/>
      </c>
    </row>
    <row r="755">
      <c r="A755" s="53" t="n"/>
      <c r="B755" s="52" t="n"/>
      <c r="C755" s="52" t="n"/>
      <c r="D755" s="52" t="n"/>
      <c r="E755" s="58">
        <f>IFERROR(VLOOKUP(D755,Maestro_SKU!$A$2:$P$500,2,FALSE),"")</f>
        <v/>
      </c>
      <c r="F755" s="52" t="n"/>
      <c r="G755" s="60" t="n"/>
      <c r="H755" s="52" t="n"/>
      <c r="I755" s="52" t="n"/>
      <c r="J755" s="52" t="n"/>
      <c r="K755" s="68">
        <f>IF($A755="","",YEAR($A755))</f>
        <v/>
      </c>
      <c r="L755" s="68">
        <f>IF($A755="","",MONTH($A755))</f>
        <v/>
      </c>
      <c r="M755" s="68">
        <f>IF($A755="","",DAY($A755))</f>
        <v/>
      </c>
      <c r="N755" s="68">
        <f>IF($A755="","",YEAR($A755)&amp;"-"&amp;TEXT(MONTH($A755),"00"))</f>
        <v/>
      </c>
    </row>
    <row r="756">
      <c r="A756" s="53" t="n"/>
      <c r="B756" s="52" t="n"/>
      <c r="C756" s="52" t="n"/>
      <c r="D756" s="52" t="n"/>
      <c r="E756" s="58">
        <f>IFERROR(VLOOKUP(D756,Maestro_SKU!$A$2:$P$500,2,FALSE),"")</f>
        <v/>
      </c>
      <c r="F756" s="52" t="n"/>
      <c r="G756" s="60" t="n"/>
      <c r="H756" s="52" t="n"/>
      <c r="I756" s="52" t="n"/>
      <c r="J756" s="52" t="n"/>
      <c r="K756" s="68">
        <f>IF($A756="","",YEAR($A756))</f>
        <v/>
      </c>
      <c r="L756" s="68">
        <f>IF($A756="","",MONTH($A756))</f>
        <v/>
      </c>
      <c r="M756" s="68">
        <f>IF($A756="","",DAY($A756))</f>
        <v/>
      </c>
      <c r="N756" s="68">
        <f>IF($A756="","",YEAR($A756)&amp;"-"&amp;TEXT(MONTH($A756),"00"))</f>
        <v/>
      </c>
    </row>
    <row r="757">
      <c r="A757" s="53" t="n"/>
      <c r="B757" s="52" t="n"/>
      <c r="C757" s="52" t="n"/>
      <c r="D757" s="52" t="n"/>
      <c r="E757" s="58">
        <f>IFERROR(VLOOKUP(D757,Maestro_SKU!$A$2:$P$500,2,FALSE),"")</f>
        <v/>
      </c>
      <c r="F757" s="52" t="n"/>
      <c r="G757" s="60" t="n"/>
      <c r="H757" s="52" t="n"/>
      <c r="I757" s="52" t="n"/>
      <c r="J757" s="52" t="n"/>
      <c r="K757" s="68">
        <f>IF($A757="","",YEAR($A757))</f>
        <v/>
      </c>
      <c r="L757" s="68">
        <f>IF($A757="","",MONTH($A757))</f>
        <v/>
      </c>
      <c r="M757" s="68">
        <f>IF($A757="","",DAY($A757))</f>
        <v/>
      </c>
      <c r="N757" s="68">
        <f>IF($A757="","",YEAR($A757)&amp;"-"&amp;TEXT(MONTH($A757),"00"))</f>
        <v/>
      </c>
    </row>
    <row r="758">
      <c r="A758" s="53" t="n"/>
      <c r="B758" s="52" t="n"/>
      <c r="C758" s="52" t="n"/>
      <c r="D758" s="52" t="n"/>
      <c r="E758" s="58">
        <f>IFERROR(VLOOKUP(D758,Maestro_SKU!$A$2:$P$500,2,FALSE),"")</f>
        <v/>
      </c>
      <c r="F758" s="52" t="n"/>
      <c r="G758" s="60" t="n"/>
      <c r="H758" s="52" t="n"/>
      <c r="I758" s="52" t="n"/>
      <c r="J758" s="52" t="n"/>
      <c r="K758" s="68">
        <f>IF($A758="","",YEAR($A758))</f>
        <v/>
      </c>
      <c r="L758" s="68">
        <f>IF($A758="","",MONTH($A758))</f>
        <v/>
      </c>
      <c r="M758" s="68">
        <f>IF($A758="","",DAY($A758))</f>
        <v/>
      </c>
      <c r="N758" s="68">
        <f>IF($A758="","",YEAR($A758)&amp;"-"&amp;TEXT(MONTH($A758),"00"))</f>
        <v/>
      </c>
    </row>
    <row r="759">
      <c r="A759" s="53" t="n"/>
      <c r="B759" s="52" t="n"/>
      <c r="C759" s="52" t="n"/>
      <c r="D759" s="52" t="n"/>
      <c r="E759" s="58">
        <f>IFERROR(VLOOKUP(D759,Maestro_SKU!$A$2:$P$500,2,FALSE),"")</f>
        <v/>
      </c>
      <c r="F759" s="52" t="n"/>
      <c r="G759" s="60" t="n"/>
      <c r="H759" s="52" t="n"/>
      <c r="I759" s="52" t="n"/>
      <c r="J759" s="52" t="n"/>
      <c r="K759" s="68">
        <f>IF($A759="","",YEAR($A759))</f>
        <v/>
      </c>
      <c r="L759" s="68">
        <f>IF($A759="","",MONTH($A759))</f>
        <v/>
      </c>
      <c r="M759" s="68">
        <f>IF($A759="","",DAY($A759))</f>
        <v/>
      </c>
      <c r="N759" s="68">
        <f>IF($A759="","",YEAR($A759)&amp;"-"&amp;TEXT(MONTH($A759),"00"))</f>
        <v/>
      </c>
    </row>
    <row r="760">
      <c r="A760" s="53" t="n"/>
      <c r="B760" s="52" t="n"/>
      <c r="C760" s="52" t="n"/>
      <c r="D760" s="52" t="n"/>
      <c r="E760" s="58">
        <f>IFERROR(VLOOKUP(D760,Maestro_SKU!$A$2:$P$500,2,FALSE),"")</f>
        <v/>
      </c>
      <c r="F760" s="52" t="n"/>
      <c r="G760" s="60" t="n"/>
      <c r="H760" s="52" t="n"/>
      <c r="I760" s="52" t="n"/>
      <c r="J760" s="52" t="n"/>
      <c r="K760" s="68">
        <f>IF($A760="","",YEAR($A760))</f>
        <v/>
      </c>
      <c r="L760" s="68">
        <f>IF($A760="","",MONTH($A760))</f>
        <v/>
      </c>
      <c r="M760" s="68">
        <f>IF($A760="","",DAY($A760))</f>
        <v/>
      </c>
      <c r="N760" s="68">
        <f>IF($A760="","",YEAR($A760)&amp;"-"&amp;TEXT(MONTH($A760),"00"))</f>
        <v/>
      </c>
    </row>
    <row r="761">
      <c r="A761" s="53" t="n"/>
      <c r="B761" s="52" t="n"/>
      <c r="C761" s="52" t="n"/>
      <c r="D761" s="52" t="n"/>
      <c r="E761" s="58">
        <f>IFERROR(VLOOKUP(D761,Maestro_SKU!$A$2:$P$500,2,FALSE),"")</f>
        <v/>
      </c>
      <c r="F761" s="52" t="n"/>
      <c r="G761" s="60" t="n"/>
      <c r="H761" s="52" t="n"/>
      <c r="I761" s="52" t="n"/>
      <c r="J761" s="52" t="n"/>
      <c r="K761" s="68">
        <f>IF($A761="","",YEAR($A761))</f>
        <v/>
      </c>
      <c r="L761" s="68">
        <f>IF($A761="","",MONTH($A761))</f>
        <v/>
      </c>
      <c r="M761" s="68">
        <f>IF($A761="","",DAY($A761))</f>
        <v/>
      </c>
      <c r="N761" s="68">
        <f>IF($A761="","",YEAR($A761)&amp;"-"&amp;TEXT(MONTH($A761),"00"))</f>
        <v/>
      </c>
    </row>
    <row r="762">
      <c r="A762" s="53" t="n"/>
      <c r="B762" s="52" t="n"/>
      <c r="C762" s="52" t="n"/>
      <c r="D762" s="52" t="n"/>
      <c r="E762" s="58">
        <f>IFERROR(VLOOKUP(D762,Maestro_SKU!$A$2:$P$500,2,FALSE),"")</f>
        <v/>
      </c>
      <c r="F762" s="52" t="n"/>
      <c r="G762" s="60" t="n"/>
      <c r="H762" s="52" t="n"/>
      <c r="I762" s="52" t="n"/>
      <c r="J762" s="52" t="n"/>
      <c r="K762" s="68">
        <f>IF($A762="","",YEAR($A762))</f>
        <v/>
      </c>
      <c r="L762" s="68">
        <f>IF($A762="","",MONTH($A762))</f>
        <v/>
      </c>
      <c r="M762" s="68">
        <f>IF($A762="","",DAY($A762))</f>
        <v/>
      </c>
      <c r="N762" s="68">
        <f>IF($A762="","",YEAR($A762)&amp;"-"&amp;TEXT(MONTH($A762),"00"))</f>
        <v/>
      </c>
    </row>
    <row r="763">
      <c r="A763" s="53" t="n"/>
      <c r="B763" s="52" t="n"/>
      <c r="C763" s="52" t="n"/>
      <c r="D763" s="52" t="n"/>
      <c r="E763" s="58">
        <f>IFERROR(VLOOKUP(D763,Maestro_SKU!$A$2:$P$500,2,FALSE),"")</f>
        <v/>
      </c>
      <c r="F763" s="52" t="n"/>
      <c r="G763" s="60" t="n"/>
      <c r="H763" s="52" t="n"/>
      <c r="I763" s="52" t="n"/>
      <c r="J763" s="52" t="n"/>
      <c r="K763" s="68">
        <f>IF($A763="","",YEAR($A763))</f>
        <v/>
      </c>
      <c r="L763" s="68">
        <f>IF($A763="","",MONTH($A763))</f>
        <v/>
      </c>
      <c r="M763" s="68">
        <f>IF($A763="","",DAY($A763))</f>
        <v/>
      </c>
      <c r="N763" s="68">
        <f>IF($A763="","",YEAR($A763)&amp;"-"&amp;TEXT(MONTH($A763),"00"))</f>
        <v/>
      </c>
    </row>
    <row r="764">
      <c r="A764" s="53" t="n"/>
      <c r="B764" s="52" t="n"/>
      <c r="C764" s="52" t="n"/>
      <c r="D764" s="52" t="n"/>
      <c r="E764" s="58">
        <f>IFERROR(VLOOKUP(D764,Maestro_SKU!$A$2:$P$500,2,FALSE),"")</f>
        <v/>
      </c>
      <c r="F764" s="52" t="n"/>
      <c r="G764" s="60" t="n"/>
      <c r="H764" s="52" t="n"/>
      <c r="I764" s="52" t="n"/>
      <c r="J764" s="52" t="n"/>
      <c r="K764" s="68">
        <f>IF($A764="","",YEAR($A764))</f>
        <v/>
      </c>
      <c r="L764" s="68">
        <f>IF($A764="","",MONTH($A764))</f>
        <v/>
      </c>
      <c r="M764" s="68">
        <f>IF($A764="","",DAY($A764))</f>
        <v/>
      </c>
      <c r="N764" s="68">
        <f>IF($A764="","",YEAR($A764)&amp;"-"&amp;TEXT(MONTH($A764),"00"))</f>
        <v/>
      </c>
    </row>
    <row r="765">
      <c r="A765" s="53" t="n"/>
      <c r="B765" s="52" t="n"/>
      <c r="C765" s="52" t="n"/>
      <c r="D765" s="52" t="n"/>
      <c r="E765" s="58">
        <f>IFERROR(VLOOKUP(D765,Maestro_SKU!$A$2:$P$500,2,FALSE),"")</f>
        <v/>
      </c>
      <c r="F765" s="52" t="n"/>
      <c r="G765" s="60" t="n"/>
      <c r="H765" s="52" t="n"/>
      <c r="I765" s="52" t="n"/>
      <c r="J765" s="52" t="n"/>
      <c r="K765" s="68">
        <f>IF($A765="","",YEAR($A765))</f>
        <v/>
      </c>
      <c r="L765" s="68">
        <f>IF($A765="","",MONTH($A765))</f>
        <v/>
      </c>
      <c r="M765" s="68">
        <f>IF($A765="","",DAY($A765))</f>
        <v/>
      </c>
      <c r="N765" s="68">
        <f>IF($A765="","",YEAR($A765)&amp;"-"&amp;TEXT(MONTH($A765),"00"))</f>
        <v/>
      </c>
    </row>
    <row r="766">
      <c r="A766" s="53" t="n"/>
      <c r="B766" s="52" t="n"/>
      <c r="C766" s="52" t="n"/>
      <c r="D766" s="52" t="n"/>
      <c r="E766" s="58">
        <f>IFERROR(VLOOKUP(D766,Maestro_SKU!$A$2:$P$500,2,FALSE),"")</f>
        <v/>
      </c>
      <c r="F766" s="52" t="n"/>
      <c r="G766" s="60" t="n"/>
      <c r="H766" s="52" t="n"/>
      <c r="I766" s="52" t="n"/>
      <c r="J766" s="52" t="n"/>
      <c r="K766" s="68">
        <f>IF($A766="","",YEAR($A766))</f>
        <v/>
      </c>
      <c r="L766" s="68">
        <f>IF($A766="","",MONTH($A766))</f>
        <v/>
      </c>
      <c r="M766" s="68">
        <f>IF($A766="","",DAY($A766))</f>
        <v/>
      </c>
      <c r="N766" s="68">
        <f>IF($A766="","",YEAR($A766)&amp;"-"&amp;TEXT(MONTH($A766),"00"))</f>
        <v/>
      </c>
    </row>
    <row r="767">
      <c r="A767" s="53" t="n"/>
      <c r="B767" s="52" t="n"/>
      <c r="C767" s="52" t="n"/>
      <c r="D767" s="52" t="n"/>
      <c r="E767" s="58">
        <f>IFERROR(VLOOKUP(D767,Maestro_SKU!$A$2:$P$500,2,FALSE),"")</f>
        <v/>
      </c>
      <c r="F767" s="52" t="n"/>
      <c r="G767" s="60" t="n"/>
      <c r="H767" s="52" t="n"/>
      <c r="I767" s="52" t="n"/>
      <c r="J767" s="52" t="n"/>
      <c r="K767" s="68">
        <f>IF($A767="","",YEAR($A767))</f>
        <v/>
      </c>
      <c r="L767" s="68">
        <f>IF($A767="","",MONTH($A767))</f>
        <v/>
      </c>
      <c r="M767" s="68">
        <f>IF($A767="","",DAY($A767))</f>
        <v/>
      </c>
      <c r="N767" s="68">
        <f>IF($A767="","",YEAR($A767)&amp;"-"&amp;TEXT(MONTH($A767),"00"))</f>
        <v/>
      </c>
    </row>
    <row r="768">
      <c r="A768" s="53" t="n"/>
      <c r="B768" s="52" t="n"/>
      <c r="C768" s="52" t="n"/>
      <c r="D768" s="52" t="n"/>
      <c r="E768" s="58">
        <f>IFERROR(VLOOKUP(D768,Maestro_SKU!$A$2:$P$500,2,FALSE),"")</f>
        <v/>
      </c>
      <c r="F768" s="52" t="n"/>
      <c r="G768" s="60" t="n"/>
      <c r="H768" s="52" t="n"/>
      <c r="I768" s="52" t="n"/>
      <c r="J768" s="52" t="n"/>
      <c r="K768" s="68">
        <f>IF($A768="","",YEAR($A768))</f>
        <v/>
      </c>
      <c r="L768" s="68">
        <f>IF($A768="","",MONTH($A768))</f>
        <v/>
      </c>
      <c r="M768" s="68">
        <f>IF($A768="","",DAY($A768))</f>
        <v/>
      </c>
      <c r="N768" s="68">
        <f>IF($A768="","",YEAR($A768)&amp;"-"&amp;TEXT(MONTH($A768),"00"))</f>
        <v/>
      </c>
    </row>
    <row r="769">
      <c r="A769" s="53" t="n"/>
      <c r="B769" s="52" t="n"/>
      <c r="C769" s="52" t="n"/>
      <c r="D769" s="52" t="n"/>
      <c r="E769" s="58">
        <f>IFERROR(VLOOKUP(D769,Maestro_SKU!$A$2:$P$500,2,FALSE),"")</f>
        <v/>
      </c>
      <c r="F769" s="52" t="n"/>
      <c r="G769" s="60" t="n"/>
      <c r="H769" s="52" t="n"/>
      <c r="I769" s="52" t="n"/>
      <c r="J769" s="52" t="n"/>
      <c r="K769" s="68">
        <f>IF($A769="","",YEAR($A769))</f>
        <v/>
      </c>
      <c r="L769" s="68">
        <f>IF($A769="","",MONTH($A769))</f>
        <v/>
      </c>
      <c r="M769" s="68">
        <f>IF($A769="","",DAY($A769))</f>
        <v/>
      </c>
      <c r="N769" s="68">
        <f>IF($A769="","",YEAR($A769)&amp;"-"&amp;TEXT(MONTH($A769),"00"))</f>
        <v/>
      </c>
    </row>
    <row r="770">
      <c r="A770" s="53" t="n"/>
      <c r="B770" s="52" t="n"/>
      <c r="C770" s="52" t="n"/>
      <c r="D770" s="52" t="n"/>
      <c r="E770" s="58">
        <f>IFERROR(VLOOKUP(D770,Maestro_SKU!$A$2:$P$500,2,FALSE),"")</f>
        <v/>
      </c>
      <c r="F770" s="52" t="n"/>
      <c r="G770" s="60" t="n"/>
      <c r="H770" s="52" t="n"/>
      <c r="I770" s="52" t="n"/>
      <c r="J770" s="52" t="n"/>
      <c r="K770" s="68">
        <f>IF($A770="","",YEAR($A770))</f>
        <v/>
      </c>
      <c r="L770" s="68">
        <f>IF($A770="","",MONTH($A770))</f>
        <v/>
      </c>
      <c r="M770" s="68">
        <f>IF($A770="","",DAY($A770))</f>
        <v/>
      </c>
      <c r="N770" s="68">
        <f>IF($A770="","",YEAR($A770)&amp;"-"&amp;TEXT(MONTH($A770),"00"))</f>
        <v/>
      </c>
    </row>
    <row r="771">
      <c r="A771" s="53" t="n"/>
      <c r="B771" s="52" t="n"/>
      <c r="C771" s="52" t="n"/>
      <c r="D771" s="52" t="n"/>
      <c r="E771" s="58">
        <f>IFERROR(VLOOKUP(D771,Maestro_SKU!$A$2:$P$500,2,FALSE),"")</f>
        <v/>
      </c>
      <c r="F771" s="52" t="n"/>
      <c r="G771" s="60" t="n"/>
      <c r="H771" s="52" t="n"/>
      <c r="I771" s="52" t="n"/>
      <c r="J771" s="52" t="n"/>
      <c r="K771" s="68">
        <f>IF($A771="","",YEAR($A771))</f>
        <v/>
      </c>
      <c r="L771" s="68">
        <f>IF($A771="","",MONTH($A771))</f>
        <v/>
      </c>
      <c r="M771" s="68">
        <f>IF($A771="","",DAY($A771))</f>
        <v/>
      </c>
      <c r="N771" s="68">
        <f>IF($A771="","",YEAR($A771)&amp;"-"&amp;TEXT(MONTH($A771),"00"))</f>
        <v/>
      </c>
    </row>
    <row r="772">
      <c r="A772" s="53" t="n"/>
      <c r="B772" s="52" t="n"/>
      <c r="C772" s="52" t="n"/>
      <c r="D772" s="52" t="n"/>
      <c r="E772" s="58">
        <f>IFERROR(VLOOKUP(D772,Maestro_SKU!$A$2:$P$500,2,FALSE),"")</f>
        <v/>
      </c>
      <c r="F772" s="52" t="n"/>
      <c r="G772" s="60" t="n"/>
      <c r="H772" s="52" t="n"/>
      <c r="I772" s="52" t="n"/>
      <c r="J772" s="52" t="n"/>
      <c r="K772" s="68">
        <f>IF($A772="","",YEAR($A772))</f>
        <v/>
      </c>
      <c r="L772" s="68">
        <f>IF($A772="","",MONTH($A772))</f>
        <v/>
      </c>
      <c r="M772" s="68">
        <f>IF($A772="","",DAY($A772))</f>
        <v/>
      </c>
      <c r="N772" s="68">
        <f>IF($A772="","",YEAR($A772)&amp;"-"&amp;TEXT(MONTH($A772),"00"))</f>
        <v/>
      </c>
    </row>
    <row r="773">
      <c r="A773" s="53" t="n"/>
      <c r="B773" s="52" t="n"/>
      <c r="C773" s="52" t="n"/>
      <c r="D773" s="52" t="n"/>
      <c r="E773" s="58">
        <f>IFERROR(VLOOKUP(D773,Maestro_SKU!$A$2:$P$500,2,FALSE),"")</f>
        <v/>
      </c>
      <c r="F773" s="52" t="n"/>
      <c r="G773" s="60" t="n"/>
      <c r="H773" s="52" t="n"/>
      <c r="I773" s="52" t="n"/>
      <c r="J773" s="52" t="n"/>
      <c r="K773" s="68">
        <f>IF($A773="","",YEAR($A773))</f>
        <v/>
      </c>
      <c r="L773" s="68">
        <f>IF($A773="","",MONTH($A773))</f>
        <v/>
      </c>
      <c r="M773" s="68">
        <f>IF($A773="","",DAY($A773))</f>
        <v/>
      </c>
      <c r="N773" s="68">
        <f>IF($A773="","",YEAR($A773)&amp;"-"&amp;TEXT(MONTH($A773),"00"))</f>
        <v/>
      </c>
    </row>
    <row r="774">
      <c r="A774" s="53" t="n"/>
      <c r="B774" s="52" t="n"/>
      <c r="C774" s="52" t="n"/>
      <c r="D774" s="52" t="n"/>
      <c r="E774" s="58">
        <f>IFERROR(VLOOKUP(D774,Maestro_SKU!$A$2:$P$500,2,FALSE),"")</f>
        <v/>
      </c>
      <c r="F774" s="52" t="n"/>
      <c r="G774" s="60" t="n"/>
      <c r="H774" s="52" t="n"/>
      <c r="I774" s="52" t="n"/>
      <c r="J774" s="52" t="n"/>
      <c r="K774" s="68">
        <f>IF($A774="","",YEAR($A774))</f>
        <v/>
      </c>
      <c r="L774" s="68">
        <f>IF($A774="","",MONTH($A774))</f>
        <v/>
      </c>
      <c r="M774" s="68">
        <f>IF($A774="","",DAY($A774))</f>
        <v/>
      </c>
      <c r="N774" s="68">
        <f>IF($A774="","",YEAR($A774)&amp;"-"&amp;TEXT(MONTH($A774),"00"))</f>
        <v/>
      </c>
    </row>
    <row r="775">
      <c r="A775" s="53" t="n"/>
      <c r="B775" s="52" t="n"/>
      <c r="C775" s="52" t="n"/>
      <c r="D775" s="52" t="n"/>
      <c r="E775" s="58">
        <f>IFERROR(VLOOKUP(D775,Maestro_SKU!$A$2:$P$500,2,FALSE),"")</f>
        <v/>
      </c>
      <c r="F775" s="52" t="n"/>
      <c r="G775" s="60" t="n"/>
      <c r="H775" s="52" t="n"/>
      <c r="I775" s="52" t="n"/>
      <c r="J775" s="52" t="n"/>
      <c r="K775" s="68">
        <f>IF($A775="","",YEAR($A775))</f>
        <v/>
      </c>
      <c r="L775" s="68">
        <f>IF($A775="","",MONTH($A775))</f>
        <v/>
      </c>
      <c r="M775" s="68">
        <f>IF($A775="","",DAY($A775))</f>
        <v/>
      </c>
      <c r="N775" s="68">
        <f>IF($A775="","",YEAR($A775)&amp;"-"&amp;TEXT(MONTH($A775),"00"))</f>
        <v/>
      </c>
    </row>
    <row r="776">
      <c r="A776" s="53" t="n"/>
      <c r="B776" s="52" t="n"/>
      <c r="C776" s="52" t="n"/>
      <c r="D776" s="52" t="n"/>
      <c r="E776" s="58">
        <f>IFERROR(VLOOKUP(D776,Maestro_SKU!$A$2:$P$500,2,FALSE),"")</f>
        <v/>
      </c>
      <c r="F776" s="52" t="n"/>
      <c r="G776" s="60" t="n"/>
      <c r="H776" s="52" t="n"/>
      <c r="I776" s="52" t="n"/>
      <c r="J776" s="52" t="n"/>
      <c r="K776" s="68">
        <f>IF($A776="","",YEAR($A776))</f>
        <v/>
      </c>
      <c r="L776" s="68">
        <f>IF($A776="","",MONTH($A776))</f>
        <v/>
      </c>
      <c r="M776" s="68">
        <f>IF($A776="","",DAY($A776))</f>
        <v/>
      </c>
      <c r="N776" s="68">
        <f>IF($A776="","",YEAR($A776)&amp;"-"&amp;TEXT(MONTH($A776),"00"))</f>
        <v/>
      </c>
    </row>
    <row r="777">
      <c r="A777" s="53" t="n"/>
      <c r="B777" s="52" t="n"/>
      <c r="C777" s="52" t="n"/>
      <c r="D777" s="52" t="n"/>
      <c r="E777" s="58">
        <f>IFERROR(VLOOKUP(D777,Maestro_SKU!$A$2:$P$500,2,FALSE),"")</f>
        <v/>
      </c>
      <c r="F777" s="52" t="n"/>
      <c r="G777" s="60" t="n"/>
      <c r="H777" s="52" t="n"/>
      <c r="I777" s="52" t="n"/>
      <c r="J777" s="52" t="n"/>
      <c r="K777" s="68">
        <f>IF($A777="","",YEAR($A777))</f>
        <v/>
      </c>
      <c r="L777" s="68">
        <f>IF($A777="","",MONTH($A777))</f>
        <v/>
      </c>
      <c r="M777" s="68">
        <f>IF($A777="","",DAY($A777))</f>
        <v/>
      </c>
      <c r="N777" s="68">
        <f>IF($A777="","",YEAR($A777)&amp;"-"&amp;TEXT(MONTH($A777),"00"))</f>
        <v/>
      </c>
    </row>
    <row r="778">
      <c r="A778" s="53" t="n"/>
      <c r="B778" s="52" t="n"/>
      <c r="C778" s="52" t="n"/>
      <c r="D778" s="52" t="n"/>
      <c r="E778" s="58">
        <f>IFERROR(VLOOKUP(D778,Maestro_SKU!$A$2:$P$500,2,FALSE),"")</f>
        <v/>
      </c>
      <c r="F778" s="52" t="n"/>
      <c r="G778" s="60" t="n"/>
      <c r="H778" s="52" t="n"/>
      <c r="I778" s="52" t="n"/>
      <c r="J778" s="52" t="n"/>
      <c r="K778" s="68">
        <f>IF($A778="","",YEAR($A778))</f>
        <v/>
      </c>
      <c r="L778" s="68">
        <f>IF($A778="","",MONTH($A778))</f>
        <v/>
      </c>
      <c r="M778" s="68">
        <f>IF($A778="","",DAY($A778))</f>
        <v/>
      </c>
      <c r="N778" s="68">
        <f>IF($A778="","",YEAR($A778)&amp;"-"&amp;TEXT(MONTH($A778),"00"))</f>
        <v/>
      </c>
    </row>
    <row r="779">
      <c r="A779" s="53" t="n"/>
      <c r="B779" s="52" t="n"/>
      <c r="C779" s="52" t="n"/>
      <c r="D779" s="52" t="n"/>
      <c r="E779" s="58">
        <f>IFERROR(VLOOKUP(D779,Maestro_SKU!$A$2:$P$500,2,FALSE),"")</f>
        <v/>
      </c>
      <c r="F779" s="52" t="n"/>
      <c r="G779" s="60" t="n"/>
      <c r="H779" s="52" t="n"/>
      <c r="I779" s="52" t="n"/>
      <c r="J779" s="52" t="n"/>
      <c r="K779" s="68">
        <f>IF($A779="","",YEAR($A779))</f>
        <v/>
      </c>
      <c r="L779" s="68">
        <f>IF($A779="","",MONTH($A779))</f>
        <v/>
      </c>
      <c r="M779" s="68">
        <f>IF($A779="","",DAY($A779))</f>
        <v/>
      </c>
      <c r="N779" s="68">
        <f>IF($A779="","",YEAR($A779)&amp;"-"&amp;TEXT(MONTH($A779),"00"))</f>
        <v/>
      </c>
    </row>
    <row r="780">
      <c r="A780" s="53" t="n"/>
      <c r="B780" s="52" t="n"/>
      <c r="C780" s="52" t="n"/>
      <c r="D780" s="52" t="n"/>
      <c r="E780" s="58">
        <f>IFERROR(VLOOKUP(D780,Maestro_SKU!$A$2:$P$500,2,FALSE),"")</f>
        <v/>
      </c>
      <c r="F780" s="52" t="n"/>
      <c r="G780" s="60" t="n"/>
      <c r="H780" s="52" t="n"/>
      <c r="I780" s="52" t="n"/>
      <c r="J780" s="52" t="n"/>
      <c r="K780" s="68">
        <f>IF($A780="","",YEAR($A780))</f>
        <v/>
      </c>
      <c r="L780" s="68">
        <f>IF($A780="","",MONTH($A780))</f>
        <v/>
      </c>
      <c r="M780" s="68">
        <f>IF($A780="","",DAY($A780))</f>
        <v/>
      </c>
      <c r="N780" s="68">
        <f>IF($A780="","",YEAR($A780)&amp;"-"&amp;TEXT(MONTH($A780),"00"))</f>
        <v/>
      </c>
    </row>
    <row r="781">
      <c r="A781" s="53" t="n"/>
      <c r="B781" s="52" t="n"/>
      <c r="C781" s="52" t="n"/>
      <c r="D781" s="52" t="n"/>
      <c r="E781" s="58">
        <f>IFERROR(VLOOKUP(D781,Maestro_SKU!$A$2:$P$500,2,FALSE),"")</f>
        <v/>
      </c>
      <c r="F781" s="52" t="n"/>
      <c r="G781" s="60" t="n"/>
      <c r="H781" s="52" t="n"/>
      <c r="I781" s="52" t="n"/>
      <c r="J781" s="52" t="n"/>
      <c r="K781" s="68">
        <f>IF($A781="","",YEAR($A781))</f>
        <v/>
      </c>
      <c r="L781" s="68">
        <f>IF($A781="","",MONTH($A781))</f>
        <v/>
      </c>
      <c r="M781" s="68">
        <f>IF($A781="","",DAY($A781))</f>
        <v/>
      </c>
      <c r="N781" s="68">
        <f>IF($A781="","",YEAR($A781)&amp;"-"&amp;TEXT(MONTH($A781),"00"))</f>
        <v/>
      </c>
    </row>
    <row r="782">
      <c r="A782" s="53" t="n"/>
      <c r="B782" s="52" t="n"/>
      <c r="C782" s="52" t="n"/>
      <c r="D782" s="52" t="n"/>
      <c r="E782" s="58">
        <f>IFERROR(VLOOKUP(D782,Maestro_SKU!$A$2:$P$500,2,FALSE),"")</f>
        <v/>
      </c>
      <c r="F782" s="52" t="n"/>
      <c r="G782" s="60" t="n"/>
      <c r="H782" s="52" t="n"/>
      <c r="I782" s="52" t="n"/>
      <c r="J782" s="52" t="n"/>
      <c r="K782" s="68">
        <f>IF($A782="","",YEAR($A782))</f>
        <v/>
      </c>
      <c r="L782" s="68">
        <f>IF($A782="","",MONTH($A782))</f>
        <v/>
      </c>
      <c r="M782" s="68">
        <f>IF($A782="","",DAY($A782))</f>
        <v/>
      </c>
      <c r="N782" s="68">
        <f>IF($A782="","",YEAR($A782)&amp;"-"&amp;TEXT(MONTH($A782),"00"))</f>
        <v/>
      </c>
    </row>
    <row r="783">
      <c r="A783" s="53" t="n"/>
      <c r="B783" s="52" t="n"/>
      <c r="C783" s="52" t="n"/>
      <c r="D783" s="52" t="n"/>
      <c r="E783" s="58">
        <f>IFERROR(VLOOKUP(D783,Maestro_SKU!$A$2:$P$500,2,FALSE),"")</f>
        <v/>
      </c>
      <c r="F783" s="52" t="n"/>
      <c r="G783" s="60" t="n"/>
      <c r="H783" s="52" t="n"/>
      <c r="I783" s="52" t="n"/>
      <c r="J783" s="52" t="n"/>
      <c r="K783" s="68">
        <f>IF($A783="","",YEAR($A783))</f>
        <v/>
      </c>
      <c r="L783" s="68">
        <f>IF($A783="","",MONTH($A783))</f>
        <v/>
      </c>
      <c r="M783" s="68">
        <f>IF($A783="","",DAY($A783))</f>
        <v/>
      </c>
      <c r="N783" s="68">
        <f>IF($A783="","",YEAR($A783)&amp;"-"&amp;TEXT(MONTH($A783),"00"))</f>
        <v/>
      </c>
    </row>
    <row r="784">
      <c r="A784" s="53" t="n"/>
      <c r="B784" s="52" t="n"/>
      <c r="C784" s="52" t="n"/>
      <c r="D784" s="52" t="n"/>
      <c r="E784" s="58">
        <f>IFERROR(VLOOKUP(D784,Maestro_SKU!$A$2:$P$500,2,FALSE),"")</f>
        <v/>
      </c>
      <c r="F784" s="52" t="n"/>
      <c r="G784" s="60" t="n"/>
      <c r="H784" s="52" t="n"/>
      <c r="I784" s="52" t="n"/>
      <c r="J784" s="52" t="n"/>
      <c r="K784" s="68">
        <f>IF($A784="","",YEAR($A784))</f>
        <v/>
      </c>
      <c r="L784" s="68">
        <f>IF($A784="","",MONTH($A784))</f>
        <v/>
      </c>
      <c r="M784" s="68">
        <f>IF($A784="","",DAY($A784))</f>
        <v/>
      </c>
      <c r="N784" s="68">
        <f>IF($A784="","",YEAR($A784)&amp;"-"&amp;TEXT(MONTH($A784),"00"))</f>
        <v/>
      </c>
    </row>
    <row r="785">
      <c r="A785" s="53" t="n"/>
      <c r="B785" s="52" t="n"/>
      <c r="C785" s="52" t="n"/>
      <c r="D785" s="52" t="n"/>
      <c r="E785" s="58">
        <f>IFERROR(VLOOKUP(D785,Maestro_SKU!$A$2:$P$500,2,FALSE),"")</f>
        <v/>
      </c>
      <c r="F785" s="52" t="n"/>
      <c r="G785" s="60" t="n"/>
      <c r="H785" s="52" t="n"/>
      <c r="I785" s="52" t="n"/>
      <c r="J785" s="52" t="n"/>
      <c r="K785" s="68">
        <f>IF($A785="","",YEAR($A785))</f>
        <v/>
      </c>
      <c r="L785" s="68">
        <f>IF($A785="","",MONTH($A785))</f>
        <v/>
      </c>
      <c r="M785" s="68">
        <f>IF($A785="","",DAY($A785))</f>
        <v/>
      </c>
      <c r="N785" s="68">
        <f>IF($A785="","",YEAR($A785)&amp;"-"&amp;TEXT(MONTH($A785),"00"))</f>
        <v/>
      </c>
    </row>
    <row r="786">
      <c r="A786" s="53" t="n"/>
      <c r="B786" s="52" t="n"/>
      <c r="C786" s="52" t="n"/>
      <c r="D786" s="52" t="n"/>
      <c r="E786" s="58">
        <f>IFERROR(VLOOKUP(D786,Maestro_SKU!$A$2:$P$500,2,FALSE),"")</f>
        <v/>
      </c>
      <c r="F786" s="52" t="n"/>
      <c r="G786" s="60" t="n"/>
      <c r="H786" s="52" t="n"/>
      <c r="I786" s="52" t="n"/>
      <c r="J786" s="52" t="n"/>
      <c r="K786" s="68">
        <f>IF($A786="","",YEAR($A786))</f>
        <v/>
      </c>
      <c r="L786" s="68">
        <f>IF($A786="","",MONTH($A786))</f>
        <v/>
      </c>
      <c r="M786" s="68">
        <f>IF($A786="","",DAY($A786))</f>
        <v/>
      </c>
      <c r="N786" s="68">
        <f>IF($A786="","",YEAR($A786)&amp;"-"&amp;TEXT(MONTH($A786),"00"))</f>
        <v/>
      </c>
    </row>
    <row r="787">
      <c r="A787" s="53" t="n"/>
      <c r="B787" s="52" t="n"/>
      <c r="C787" s="52" t="n"/>
      <c r="D787" s="52" t="n"/>
      <c r="E787" s="58">
        <f>IFERROR(VLOOKUP(D787,Maestro_SKU!$A$2:$P$500,2,FALSE),"")</f>
        <v/>
      </c>
      <c r="F787" s="52" t="n"/>
      <c r="G787" s="60" t="n"/>
      <c r="H787" s="52" t="n"/>
      <c r="I787" s="52" t="n"/>
      <c r="J787" s="52" t="n"/>
      <c r="K787" s="68">
        <f>IF($A787="","",YEAR($A787))</f>
        <v/>
      </c>
      <c r="L787" s="68">
        <f>IF($A787="","",MONTH($A787))</f>
        <v/>
      </c>
      <c r="M787" s="68">
        <f>IF($A787="","",DAY($A787))</f>
        <v/>
      </c>
      <c r="N787" s="68">
        <f>IF($A787="","",YEAR($A787)&amp;"-"&amp;TEXT(MONTH($A787),"00"))</f>
        <v/>
      </c>
    </row>
    <row r="788">
      <c r="A788" s="53" t="n"/>
      <c r="B788" s="52" t="n"/>
      <c r="C788" s="52" t="n"/>
      <c r="D788" s="52" t="n"/>
      <c r="E788" s="58">
        <f>IFERROR(VLOOKUP(D788,Maestro_SKU!$A$2:$P$500,2,FALSE),"")</f>
        <v/>
      </c>
      <c r="F788" s="52" t="n"/>
      <c r="G788" s="60" t="n"/>
      <c r="H788" s="52" t="n"/>
      <c r="I788" s="52" t="n"/>
      <c r="J788" s="52" t="n"/>
      <c r="K788" s="68">
        <f>IF($A788="","",YEAR($A788))</f>
        <v/>
      </c>
      <c r="L788" s="68">
        <f>IF($A788="","",MONTH($A788))</f>
        <v/>
      </c>
      <c r="M788" s="68">
        <f>IF($A788="","",DAY($A788))</f>
        <v/>
      </c>
      <c r="N788" s="68">
        <f>IF($A788="","",YEAR($A788)&amp;"-"&amp;TEXT(MONTH($A788),"00"))</f>
        <v/>
      </c>
    </row>
    <row r="789">
      <c r="A789" s="53" t="n"/>
      <c r="B789" s="52" t="n"/>
      <c r="C789" s="52" t="n"/>
      <c r="D789" s="52" t="n"/>
      <c r="E789" s="58">
        <f>IFERROR(VLOOKUP(D789,Maestro_SKU!$A$2:$P$500,2,FALSE),"")</f>
        <v/>
      </c>
      <c r="F789" s="52" t="n"/>
      <c r="G789" s="60" t="n"/>
      <c r="H789" s="52" t="n"/>
      <c r="I789" s="52" t="n"/>
      <c r="J789" s="52" t="n"/>
      <c r="K789" s="68">
        <f>IF($A789="","",YEAR($A789))</f>
        <v/>
      </c>
      <c r="L789" s="68">
        <f>IF($A789="","",MONTH($A789))</f>
        <v/>
      </c>
      <c r="M789" s="68">
        <f>IF($A789="","",DAY($A789))</f>
        <v/>
      </c>
      <c r="N789" s="68">
        <f>IF($A789="","",YEAR($A789)&amp;"-"&amp;TEXT(MONTH($A789),"00"))</f>
        <v/>
      </c>
    </row>
    <row r="790">
      <c r="A790" s="53" t="n"/>
      <c r="B790" s="52" t="n"/>
      <c r="C790" s="52" t="n"/>
      <c r="D790" s="52" t="n"/>
      <c r="E790" s="58">
        <f>IFERROR(VLOOKUP(D790,Maestro_SKU!$A$2:$P$500,2,FALSE),"")</f>
        <v/>
      </c>
      <c r="F790" s="52" t="n"/>
      <c r="G790" s="60" t="n"/>
      <c r="H790" s="52" t="n"/>
      <c r="I790" s="52" t="n"/>
      <c r="J790" s="52" t="n"/>
      <c r="K790" s="68">
        <f>IF($A790="","",YEAR($A790))</f>
        <v/>
      </c>
      <c r="L790" s="68">
        <f>IF($A790="","",MONTH($A790))</f>
        <v/>
      </c>
      <c r="M790" s="68">
        <f>IF($A790="","",DAY($A790))</f>
        <v/>
      </c>
      <c r="N790" s="68">
        <f>IF($A790="","",YEAR($A790)&amp;"-"&amp;TEXT(MONTH($A790),"00"))</f>
        <v/>
      </c>
    </row>
    <row r="791">
      <c r="A791" s="53" t="n"/>
      <c r="B791" s="52" t="n"/>
      <c r="C791" s="52" t="n"/>
      <c r="D791" s="52" t="n"/>
      <c r="E791" s="58">
        <f>IFERROR(VLOOKUP(D791,Maestro_SKU!$A$2:$P$500,2,FALSE),"")</f>
        <v/>
      </c>
      <c r="F791" s="52" t="n"/>
      <c r="G791" s="60" t="n"/>
      <c r="H791" s="52" t="n"/>
      <c r="I791" s="52" t="n"/>
      <c r="J791" s="52" t="n"/>
      <c r="K791" s="68">
        <f>IF($A791="","",YEAR($A791))</f>
        <v/>
      </c>
      <c r="L791" s="68">
        <f>IF($A791="","",MONTH($A791))</f>
        <v/>
      </c>
      <c r="M791" s="68">
        <f>IF($A791="","",DAY($A791))</f>
        <v/>
      </c>
      <c r="N791" s="68">
        <f>IF($A791="","",YEAR($A791)&amp;"-"&amp;TEXT(MONTH($A791),"00"))</f>
        <v/>
      </c>
    </row>
    <row r="792">
      <c r="A792" s="53" t="n"/>
      <c r="B792" s="52" t="n"/>
      <c r="C792" s="52" t="n"/>
      <c r="D792" s="52" t="n"/>
      <c r="E792" s="58">
        <f>IFERROR(VLOOKUP(D792,Maestro_SKU!$A$2:$P$500,2,FALSE),"")</f>
        <v/>
      </c>
      <c r="F792" s="52" t="n"/>
      <c r="G792" s="60" t="n"/>
      <c r="H792" s="52" t="n"/>
      <c r="I792" s="52" t="n"/>
      <c r="J792" s="52" t="n"/>
      <c r="K792" s="68">
        <f>IF($A792="","",YEAR($A792))</f>
        <v/>
      </c>
      <c r="L792" s="68">
        <f>IF($A792="","",MONTH($A792))</f>
        <v/>
      </c>
      <c r="M792" s="68">
        <f>IF($A792="","",DAY($A792))</f>
        <v/>
      </c>
      <c r="N792" s="68">
        <f>IF($A792="","",YEAR($A792)&amp;"-"&amp;TEXT(MONTH($A792),"00"))</f>
        <v/>
      </c>
    </row>
    <row r="793">
      <c r="A793" s="53" t="n"/>
      <c r="B793" s="52" t="n"/>
      <c r="C793" s="52" t="n"/>
      <c r="D793" s="52" t="n"/>
      <c r="E793" s="58">
        <f>IFERROR(VLOOKUP(D793,Maestro_SKU!$A$2:$P$500,2,FALSE),"")</f>
        <v/>
      </c>
      <c r="F793" s="52" t="n"/>
      <c r="G793" s="60" t="n"/>
      <c r="H793" s="52" t="n"/>
      <c r="I793" s="52" t="n"/>
      <c r="J793" s="52" t="n"/>
      <c r="K793" s="68">
        <f>IF($A793="","",YEAR($A793))</f>
        <v/>
      </c>
      <c r="L793" s="68">
        <f>IF($A793="","",MONTH($A793))</f>
        <v/>
      </c>
      <c r="M793" s="68">
        <f>IF($A793="","",DAY($A793))</f>
        <v/>
      </c>
      <c r="N793" s="68">
        <f>IF($A793="","",YEAR($A793)&amp;"-"&amp;TEXT(MONTH($A793),"00"))</f>
        <v/>
      </c>
    </row>
    <row r="794">
      <c r="A794" s="53" t="n"/>
      <c r="B794" s="52" t="n"/>
      <c r="C794" s="52" t="n"/>
      <c r="D794" s="52" t="n"/>
      <c r="E794" s="58">
        <f>IFERROR(VLOOKUP(D794,Maestro_SKU!$A$2:$P$500,2,FALSE),"")</f>
        <v/>
      </c>
      <c r="F794" s="52" t="n"/>
      <c r="G794" s="60" t="n"/>
      <c r="H794" s="52" t="n"/>
      <c r="I794" s="52" t="n"/>
      <c r="J794" s="52" t="n"/>
      <c r="K794" s="68">
        <f>IF($A794="","",YEAR($A794))</f>
        <v/>
      </c>
      <c r="L794" s="68">
        <f>IF($A794="","",MONTH($A794))</f>
        <v/>
      </c>
      <c r="M794" s="68">
        <f>IF($A794="","",DAY($A794))</f>
        <v/>
      </c>
      <c r="N794" s="68">
        <f>IF($A794="","",YEAR($A794)&amp;"-"&amp;TEXT(MONTH($A794),"00"))</f>
        <v/>
      </c>
    </row>
    <row r="795">
      <c r="A795" s="53" t="n"/>
      <c r="B795" s="52" t="n"/>
      <c r="C795" s="52" t="n"/>
      <c r="D795" s="52" t="n"/>
      <c r="E795" s="58">
        <f>IFERROR(VLOOKUP(D795,Maestro_SKU!$A$2:$P$500,2,FALSE),"")</f>
        <v/>
      </c>
      <c r="F795" s="52" t="n"/>
      <c r="G795" s="60" t="n"/>
      <c r="H795" s="52" t="n"/>
      <c r="I795" s="52" t="n"/>
      <c r="J795" s="52" t="n"/>
      <c r="K795" s="68">
        <f>IF($A795="","",YEAR($A795))</f>
        <v/>
      </c>
      <c r="L795" s="68">
        <f>IF($A795="","",MONTH($A795))</f>
        <v/>
      </c>
      <c r="M795" s="68">
        <f>IF($A795="","",DAY($A795))</f>
        <v/>
      </c>
      <c r="N795" s="68">
        <f>IF($A795="","",YEAR($A795)&amp;"-"&amp;TEXT(MONTH($A795),"00"))</f>
        <v/>
      </c>
    </row>
    <row r="796">
      <c r="A796" s="53" t="n"/>
      <c r="B796" s="52" t="n"/>
      <c r="C796" s="52" t="n"/>
      <c r="D796" s="52" t="n"/>
      <c r="E796" s="58">
        <f>IFERROR(VLOOKUP(D796,Maestro_SKU!$A$2:$P$500,2,FALSE),"")</f>
        <v/>
      </c>
      <c r="F796" s="52" t="n"/>
      <c r="G796" s="60" t="n"/>
      <c r="H796" s="52" t="n"/>
      <c r="I796" s="52" t="n"/>
      <c r="J796" s="52" t="n"/>
      <c r="K796" s="68">
        <f>IF($A796="","",YEAR($A796))</f>
        <v/>
      </c>
      <c r="L796" s="68">
        <f>IF($A796="","",MONTH($A796))</f>
        <v/>
      </c>
      <c r="M796" s="68">
        <f>IF($A796="","",DAY($A796))</f>
        <v/>
      </c>
      <c r="N796" s="68">
        <f>IF($A796="","",YEAR($A796)&amp;"-"&amp;TEXT(MONTH($A796),"00"))</f>
        <v/>
      </c>
    </row>
    <row r="797">
      <c r="A797" s="53" t="n"/>
      <c r="B797" s="52" t="n"/>
      <c r="C797" s="52" t="n"/>
      <c r="D797" s="52" t="n"/>
      <c r="E797" s="58">
        <f>IFERROR(VLOOKUP(D797,Maestro_SKU!$A$2:$P$500,2,FALSE),"")</f>
        <v/>
      </c>
      <c r="F797" s="52" t="n"/>
      <c r="G797" s="60" t="n"/>
      <c r="H797" s="52" t="n"/>
      <c r="I797" s="52" t="n"/>
      <c r="J797" s="52" t="n"/>
      <c r="K797" s="68">
        <f>IF($A797="","",YEAR($A797))</f>
        <v/>
      </c>
      <c r="L797" s="68">
        <f>IF($A797="","",MONTH($A797))</f>
        <v/>
      </c>
      <c r="M797" s="68">
        <f>IF($A797="","",DAY($A797))</f>
        <v/>
      </c>
      <c r="N797" s="68">
        <f>IF($A797="","",YEAR($A797)&amp;"-"&amp;TEXT(MONTH($A797),"00"))</f>
        <v/>
      </c>
    </row>
    <row r="798">
      <c r="A798" s="53" t="n"/>
      <c r="B798" s="52" t="n"/>
      <c r="C798" s="52" t="n"/>
      <c r="D798" s="52" t="n"/>
      <c r="E798" s="58">
        <f>IFERROR(VLOOKUP(D798,Maestro_SKU!$A$2:$P$500,2,FALSE),"")</f>
        <v/>
      </c>
      <c r="F798" s="52" t="n"/>
      <c r="G798" s="60" t="n"/>
      <c r="H798" s="52" t="n"/>
      <c r="I798" s="52" t="n"/>
      <c r="J798" s="52" t="n"/>
      <c r="K798" s="68">
        <f>IF($A798="","",YEAR($A798))</f>
        <v/>
      </c>
      <c r="L798" s="68">
        <f>IF($A798="","",MONTH($A798))</f>
        <v/>
      </c>
      <c r="M798" s="68">
        <f>IF($A798="","",DAY($A798))</f>
        <v/>
      </c>
      <c r="N798" s="68">
        <f>IF($A798="","",YEAR($A798)&amp;"-"&amp;TEXT(MONTH($A798),"00"))</f>
        <v/>
      </c>
    </row>
    <row r="799">
      <c r="A799" s="53" t="n"/>
      <c r="B799" s="52" t="n"/>
      <c r="C799" s="52" t="n"/>
      <c r="D799" s="52" t="n"/>
      <c r="E799" s="58">
        <f>IFERROR(VLOOKUP(D799,Maestro_SKU!$A$2:$P$500,2,FALSE),"")</f>
        <v/>
      </c>
      <c r="F799" s="52" t="n"/>
      <c r="G799" s="60" t="n"/>
      <c r="H799" s="52" t="n"/>
      <c r="I799" s="52" t="n"/>
      <c r="J799" s="52" t="n"/>
      <c r="K799" s="68">
        <f>IF($A799="","",YEAR($A799))</f>
        <v/>
      </c>
      <c r="L799" s="68">
        <f>IF($A799="","",MONTH($A799))</f>
        <v/>
      </c>
      <c r="M799" s="68">
        <f>IF($A799="","",DAY($A799))</f>
        <v/>
      </c>
      <c r="N799" s="68">
        <f>IF($A799="","",YEAR($A799)&amp;"-"&amp;TEXT(MONTH($A799),"00"))</f>
        <v/>
      </c>
    </row>
    <row r="800">
      <c r="A800" s="53" t="n"/>
      <c r="B800" s="52" t="n"/>
      <c r="C800" s="52" t="n"/>
      <c r="D800" s="52" t="n"/>
      <c r="E800" s="58">
        <f>IFERROR(VLOOKUP(D800,Maestro_SKU!$A$2:$P$500,2,FALSE),"")</f>
        <v/>
      </c>
      <c r="F800" s="52" t="n"/>
      <c r="G800" s="60" t="n"/>
      <c r="H800" s="52" t="n"/>
      <c r="I800" s="52" t="n"/>
      <c r="J800" s="52" t="n"/>
      <c r="K800" s="68">
        <f>IF($A800="","",YEAR($A800))</f>
        <v/>
      </c>
      <c r="L800" s="68">
        <f>IF($A800="","",MONTH($A800))</f>
        <v/>
      </c>
      <c r="M800" s="68">
        <f>IF($A800="","",DAY($A800))</f>
        <v/>
      </c>
      <c r="N800" s="68">
        <f>IF($A800="","",YEAR($A800)&amp;"-"&amp;TEXT(MONTH($A800),"00"))</f>
        <v/>
      </c>
    </row>
  </sheetData>
  <autoFilter ref="A1:N800"/>
  <dataValidations count="1">
    <dataValidation sqref="D2:D800" showDropDown="0" showInputMessage="0" showErrorMessage="0" allowBlank="1" type="list">
      <formula1>rng_SKU</formula1>
    </dataValidation>
  </dataValidations>
  <hyperlinks>
    <hyperlink xmlns:r="http://schemas.openxmlformats.org/officeDocument/2006/relationships" ref="P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C9A7BC"/>
    <outlinePr summaryBelow="1" summaryRight="1"/>
    <pageSetUpPr/>
  </sheetPr>
  <dimension ref="A1:M8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2" customWidth="1" style="36" min="1" max="1"/>
    <col width="16" customWidth="1" style="36" min="2" max="3"/>
    <col width="24" customWidth="1" style="36" min="4" max="5"/>
    <col width="32" customWidth="1" style="36" min="6" max="6"/>
    <col width="14" customWidth="1" style="36" min="7" max="7"/>
    <col width="16" customWidth="1" style="36" min="8" max="8"/>
    <col width="13" customWidth="1" style="36" min="9" max="9"/>
    <col width="14" customWidth="1" style="36" min="10" max="10"/>
    <col width="28" customWidth="1" style="36" min="11" max="11"/>
  </cols>
  <sheetData>
    <row r="1" ht="28" customHeight="1" s="36">
      <c r="A1" s="10" t="inlineStr">
        <is>
          <t>PDV_ID</t>
        </is>
      </c>
      <c r="B1" s="10" t="inlineStr">
        <is>
          <t>Cliente</t>
        </is>
      </c>
      <c r="C1" s="10" t="inlineStr">
        <is>
          <t>Canal</t>
        </is>
      </c>
      <c r="D1" s="10" t="inlineStr">
        <is>
          <t>Punto de venta</t>
        </is>
      </c>
      <c r="E1" s="10" t="inlineStr">
        <is>
          <t>SKU</t>
        </is>
      </c>
      <c r="F1" s="10" t="inlineStr">
        <is>
          <t>Descripción SKU</t>
        </is>
      </c>
      <c r="G1" s="10" t="inlineStr">
        <is>
          <t>Stock unidades</t>
        </is>
      </c>
      <c r="H1" s="10" t="inlineStr">
        <is>
          <t>Barras equivalentes</t>
        </is>
      </c>
      <c r="I1" s="10" t="inlineStr">
        <is>
          <t>Fecha conteo</t>
        </is>
      </c>
      <c r="J1" s="10" t="inlineStr">
        <is>
          <t>Estado stock</t>
        </is>
      </c>
      <c r="K1" s="10" t="inlineStr">
        <is>
          <t>Observaciones</t>
        </is>
      </c>
      <c r="M1" s="47" t="inlineStr">
        <is>
          <t>⚙ Configuración</t>
        </is>
      </c>
    </row>
    <row r="2" ht="20" customHeight="1" s="36">
      <c r="A2" s="52" t="inlineStr">
        <is>
          <t>PDV-001</t>
        </is>
      </c>
      <c r="B2" s="61">
        <f>IFERROR(VLOOKUP(A2,Clientes_PDV!$A$2:$J$250,2,FALSE),"")</f>
        <v/>
      </c>
      <c r="C2" s="61">
        <f>IFERROR(VLOOKUP(A2,Clientes_PDV!$A$2:$J$250,3,FALSE),"")</f>
        <v/>
      </c>
      <c r="D2" s="61">
        <f>IFERROR(VLOOKUP(A2,Clientes_PDV!$A$2:$J$250,4,FALSE),"")</f>
        <v/>
      </c>
      <c r="E2" s="52" t="inlineStr">
        <is>
          <t>NUVA-BAR-BM-U-01</t>
        </is>
      </c>
      <c r="F2" s="61">
        <f>IFERROR(VLOOKUP(E2,Maestro_SKU!$A$2:$P$500,2,FALSE),"")</f>
        <v/>
      </c>
      <c r="G2" s="59" t="n">
        <v>5</v>
      </c>
      <c r="H2" s="62">
        <f>IF(OR(G2="",E2=""),"",G2*IFERROR(VLOOKUP(E2,Maestro_SKU!$A$2:$P$500,12,FALSE),1))</f>
        <v/>
      </c>
      <c r="I2" s="53" t="n">
        <v>46201</v>
      </c>
      <c r="J2" s="61">
        <f>IF(A2="","",IF(H2&lt;=Inicio!$B$16,"Crítico",IF(H2&lt;=Inicio!$B$17,"Observar","OK")))</f>
        <v/>
      </c>
      <c r="K2" s="52" t="n"/>
    </row>
    <row r="3" ht="20" customHeight="1" s="36">
      <c r="A3" s="52" t="inlineStr">
        <is>
          <t>PDV-001</t>
        </is>
      </c>
      <c r="B3" s="61">
        <f>IFERROR(VLOOKUP(A3,Clientes_PDV!$A$2:$J$250,2,FALSE),"")</f>
        <v/>
      </c>
      <c r="C3" s="61">
        <f>IFERROR(VLOOKUP(A3,Clientes_PDV!$A$2:$J$250,3,FALSE),"")</f>
        <v/>
      </c>
      <c r="D3" s="61">
        <f>IFERROR(VLOOKUP(A3,Clientes_PDV!$A$2:$J$250,4,FALSE),"")</f>
        <v/>
      </c>
      <c r="E3" s="52" t="inlineStr">
        <is>
          <t>NUVA-BAR-PB-U-01</t>
        </is>
      </c>
      <c r="F3" s="61">
        <f>IFERROR(VLOOKUP(E3,Maestro_SKU!$A$2:$P$500,2,FALSE),"")</f>
        <v/>
      </c>
      <c r="G3" s="59" t="n">
        <v>0</v>
      </c>
      <c r="H3" s="62">
        <f>IF(OR(G3="",E3=""),"",G3*IFERROR(VLOOKUP(E3,Maestro_SKU!$A$2:$P$500,12,FALSE),1))</f>
        <v/>
      </c>
      <c r="I3" s="53" t="n">
        <v>46203</v>
      </c>
      <c r="J3" s="61">
        <f>IF(A3="","",IF(H3&lt;=Inicio!$B$16,"Crítico",IF(H3&lt;=Inicio!$B$17,"Observar","OK")))</f>
        <v/>
      </c>
      <c r="K3" s="52" t="n"/>
    </row>
    <row r="4" ht="20" customHeight="1" s="36">
      <c r="A4" s="52" t="inlineStr">
        <is>
          <t>PDV-001</t>
        </is>
      </c>
      <c r="B4" s="61">
        <f>IFERROR(VLOOKUP(A4,Clientes_PDV!$A$2:$J$250,2,FALSE),"")</f>
        <v/>
      </c>
      <c r="C4" s="61">
        <f>IFERROR(VLOOKUP(A4,Clientes_PDV!$A$2:$J$250,3,FALSE),"")</f>
        <v/>
      </c>
      <c r="D4" s="61">
        <f>IFERROR(VLOOKUP(A4,Clientes_PDV!$A$2:$J$250,4,FALSE),"")</f>
        <v/>
      </c>
      <c r="E4" s="52" t="inlineStr">
        <is>
          <t>NUVA-BAR-CC-U-01</t>
        </is>
      </c>
      <c r="F4" s="61">
        <f>IFERROR(VLOOKUP(E4,Maestro_SKU!$A$2:$P$500,2,FALSE),"")</f>
        <v/>
      </c>
      <c r="G4" s="59" t="n">
        <v>8</v>
      </c>
      <c r="H4" s="62">
        <f>IF(OR(G4="",E4=""),"",G4*IFERROR(VLOOKUP(E4,Maestro_SKU!$A$2:$P$500,12,FALSE),1))</f>
        <v/>
      </c>
      <c r="I4" s="53" t="n">
        <v>46204</v>
      </c>
      <c r="J4" s="61">
        <f>IF(A4="","",IF(H4&lt;=Inicio!$B$16,"Crítico",IF(H4&lt;=Inicio!$B$17,"Observar","OK")))</f>
        <v/>
      </c>
      <c r="K4" s="52" t="n"/>
    </row>
    <row r="5" ht="20" customHeight="1" s="36">
      <c r="A5" s="52" t="inlineStr">
        <is>
          <t>PDV-001</t>
        </is>
      </c>
      <c r="B5" s="61">
        <f>IFERROR(VLOOKUP(A5,Clientes_PDV!$A$2:$J$250,2,FALSE),"")</f>
        <v/>
      </c>
      <c r="C5" s="61">
        <f>IFERROR(VLOOKUP(A5,Clientes_PDV!$A$2:$J$250,3,FALSE),"")</f>
        <v/>
      </c>
      <c r="D5" s="61">
        <f>IFERROR(VLOOKUP(A5,Clientes_PDV!$A$2:$J$250,4,FALSE),"")</f>
        <v/>
      </c>
      <c r="E5" s="52" t="inlineStr">
        <is>
          <t>NUVA-BAR-BM-BX-04</t>
        </is>
      </c>
      <c r="F5" s="61">
        <f>IFERROR(VLOOKUP(E5,Maestro_SKU!$A$2:$P$500,2,FALSE),"")</f>
        <v/>
      </c>
      <c r="G5" s="59" t="n">
        <v>5</v>
      </c>
      <c r="H5" s="62">
        <f>IF(OR(G5="",E5=""),"",G5*IFERROR(VLOOKUP(E5,Maestro_SKU!$A$2:$P$500,12,FALSE),1))</f>
        <v/>
      </c>
      <c r="I5" s="53" t="n">
        <v>46208</v>
      </c>
      <c r="J5" s="61">
        <f>IF(A5="","",IF(H5&lt;=Inicio!$B$16,"Crítico",IF(H5&lt;=Inicio!$B$17,"Observar","OK")))</f>
        <v/>
      </c>
      <c r="K5" s="52" t="n"/>
    </row>
    <row r="6" ht="20" customHeight="1" s="36">
      <c r="A6" s="52" t="inlineStr">
        <is>
          <t>PDV-002</t>
        </is>
      </c>
      <c r="B6" s="61">
        <f>IFERROR(VLOOKUP(A6,Clientes_PDV!$A$2:$J$250,2,FALSE),"")</f>
        <v/>
      </c>
      <c r="C6" s="61">
        <f>IFERROR(VLOOKUP(A6,Clientes_PDV!$A$2:$J$250,3,FALSE),"")</f>
        <v/>
      </c>
      <c r="D6" s="61">
        <f>IFERROR(VLOOKUP(A6,Clientes_PDV!$A$2:$J$250,4,FALSE),"")</f>
        <v/>
      </c>
      <c r="E6" s="52" t="inlineStr">
        <is>
          <t>NUVA-BAR-BM-U-01</t>
        </is>
      </c>
      <c r="F6" s="61">
        <f>IFERROR(VLOOKUP(E6,Maestro_SKU!$A$2:$P$500,2,FALSE),"")</f>
        <v/>
      </c>
      <c r="G6" s="59" t="n">
        <v>0</v>
      </c>
      <c r="H6" s="62">
        <f>IF(OR(G6="",E6=""),"",G6*IFERROR(VLOOKUP(E6,Maestro_SKU!$A$2:$P$500,12,FALSE),1))</f>
        <v/>
      </c>
      <c r="I6" s="53" t="n">
        <v>46207</v>
      </c>
      <c r="J6" s="61">
        <f>IF(A6="","",IF(H6&lt;=Inicio!$B$16,"Crítico",IF(H6&lt;=Inicio!$B$17,"Observar","OK")))</f>
        <v/>
      </c>
      <c r="K6" s="52" t="n"/>
    </row>
    <row r="7" ht="20" customHeight="1" s="36">
      <c r="A7" s="52" t="inlineStr">
        <is>
          <t>PDV-003</t>
        </is>
      </c>
      <c r="B7" s="61">
        <f>IFERROR(VLOOKUP(A7,Clientes_PDV!$A$2:$J$250,2,FALSE),"")</f>
        <v/>
      </c>
      <c r="C7" s="61">
        <f>IFERROR(VLOOKUP(A7,Clientes_PDV!$A$2:$J$250,3,FALSE),"")</f>
        <v/>
      </c>
      <c r="D7" s="61">
        <f>IFERROR(VLOOKUP(A7,Clientes_PDV!$A$2:$J$250,4,FALSE),"")</f>
        <v/>
      </c>
      <c r="E7" s="52" t="inlineStr">
        <is>
          <t>NUVA-BAR-PB-U-01</t>
        </is>
      </c>
      <c r="F7" s="61">
        <f>IFERROR(VLOOKUP(E7,Maestro_SKU!$A$2:$P$500,2,FALSE),"")</f>
        <v/>
      </c>
      <c r="G7" s="59" t="n">
        <v>30</v>
      </c>
      <c r="H7" s="62">
        <f>IF(OR(G7="",E7=""),"",G7*IFERROR(VLOOKUP(E7,Maestro_SKU!$A$2:$P$500,12,FALSE),1))</f>
        <v/>
      </c>
      <c r="I7" s="53" t="n">
        <v>46203</v>
      </c>
      <c r="J7" s="61">
        <f>IF(A7="","",IF(H7&lt;=Inicio!$B$16,"Crítico",IF(H7&lt;=Inicio!$B$17,"Observar","OK")))</f>
        <v/>
      </c>
      <c r="K7" s="52" t="n"/>
    </row>
    <row r="8" ht="20" customHeight="1" s="36">
      <c r="A8" s="52" t="inlineStr">
        <is>
          <t>PDV-003</t>
        </is>
      </c>
      <c r="B8" s="61">
        <f>IFERROR(VLOOKUP(A8,Clientes_PDV!$A$2:$J$250,2,FALSE),"")</f>
        <v/>
      </c>
      <c r="C8" s="61">
        <f>IFERROR(VLOOKUP(A8,Clientes_PDV!$A$2:$J$250,3,FALSE),"")</f>
        <v/>
      </c>
      <c r="D8" s="61">
        <f>IFERROR(VLOOKUP(A8,Clientes_PDV!$A$2:$J$250,4,FALSE),"")</f>
        <v/>
      </c>
      <c r="E8" s="52" t="inlineStr">
        <is>
          <t>NUVA-BAR-CC-U-01</t>
        </is>
      </c>
      <c r="F8" s="61">
        <f>IFERROR(VLOOKUP(E8,Maestro_SKU!$A$2:$P$500,2,FALSE),"")</f>
        <v/>
      </c>
      <c r="G8" s="59" t="n">
        <v>5</v>
      </c>
      <c r="H8" s="62">
        <f>IF(OR(G8="",E8=""),"",G8*IFERROR(VLOOKUP(E8,Maestro_SKU!$A$2:$P$500,12,FALSE),1))</f>
        <v/>
      </c>
      <c r="I8" s="53" t="n">
        <v>46207</v>
      </c>
      <c r="J8" s="61">
        <f>IF(A8="","",IF(H8&lt;=Inicio!$B$16,"Crítico",IF(H8&lt;=Inicio!$B$17,"Observar","OK")))</f>
        <v/>
      </c>
      <c r="K8" s="52" t="n"/>
    </row>
    <row r="9" ht="20" customHeight="1" s="36">
      <c r="A9" s="52" t="inlineStr">
        <is>
          <t>PDV-003</t>
        </is>
      </c>
      <c r="B9" s="61">
        <f>IFERROR(VLOOKUP(A9,Clientes_PDV!$A$2:$J$250,2,FALSE),"")</f>
        <v/>
      </c>
      <c r="C9" s="61">
        <f>IFERROR(VLOOKUP(A9,Clientes_PDV!$A$2:$J$250,3,FALSE),"")</f>
        <v/>
      </c>
      <c r="D9" s="61">
        <f>IFERROR(VLOOKUP(A9,Clientes_PDV!$A$2:$J$250,4,FALSE),"")</f>
        <v/>
      </c>
      <c r="E9" s="52" t="inlineStr">
        <is>
          <t>NUVA-BAR-CC-BX-04</t>
        </is>
      </c>
      <c r="F9" s="61">
        <f>IFERROR(VLOOKUP(E9,Maestro_SKU!$A$2:$P$500,2,FALSE),"")</f>
        <v/>
      </c>
      <c r="G9" s="59" t="n">
        <v>30</v>
      </c>
      <c r="H9" s="62">
        <f>IF(OR(G9="",E9=""),"",G9*IFERROR(VLOOKUP(E9,Maestro_SKU!$A$2:$P$500,12,FALSE),1))</f>
        <v/>
      </c>
      <c r="I9" s="53" t="n">
        <v>46210</v>
      </c>
      <c r="J9" s="61">
        <f>IF(A9="","",IF(H9&lt;=Inicio!$B$16,"Crítico",IF(H9&lt;=Inicio!$B$17,"Observar","OK")))</f>
        <v/>
      </c>
      <c r="K9" s="52" t="n"/>
    </row>
    <row r="10" ht="20" customHeight="1" s="36">
      <c r="A10" s="52" t="inlineStr">
        <is>
          <t>PDV-004</t>
        </is>
      </c>
      <c r="B10" s="61">
        <f>IFERROR(VLOOKUP(A10,Clientes_PDV!$A$2:$J$250,2,FALSE),"")</f>
        <v/>
      </c>
      <c r="C10" s="61">
        <f>IFERROR(VLOOKUP(A10,Clientes_PDV!$A$2:$J$250,3,FALSE),"")</f>
        <v/>
      </c>
      <c r="D10" s="61">
        <f>IFERROR(VLOOKUP(A10,Clientes_PDV!$A$2:$J$250,4,FALSE),"")</f>
        <v/>
      </c>
      <c r="E10" s="52" t="inlineStr">
        <is>
          <t>NUVA-BAR-PB-U-01</t>
        </is>
      </c>
      <c r="F10" s="61">
        <f>IFERROR(VLOOKUP(E10,Maestro_SKU!$A$2:$P$500,2,FALSE),"")</f>
        <v/>
      </c>
      <c r="G10" s="59" t="n">
        <v>8</v>
      </c>
      <c r="H10" s="62">
        <f>IF(OR(G10="",E10=""),"",G10*IFERROR(VLOOKUP(E10,Maestro_SKU!$A$2:$P$500,12,FALSE),1))</f>
        <v/>
      </c>
      <c r="I10" s="53" t="n">
        <v>46205</v>
      </c>
      <c r="J10" s="61">
        <f>IF(A10="","",IF(H10&lt;=Inicio!$B$16,"Crítico",IF(H10&lt;=Inicio!$B$17,"Observar","OK")))</f>
        <v/>
      </c>
      <c r="K10" s="52" t="n"/>
    </row>
    <row r="11" ht="20" customHeight="1" s="36">
      <c r="A11" s="52" t="inlineStr">
        <is>
          <t>PDV-005</t>
        </is>
      </c>
      <c r="B11" s="61">
        <f>IFERROR(VLOOKUP(A11,Clientes_PDV!$A$2:$J$250,2,FALSE),"")</f>
        <v/>
      </c>
      <c r="C11" s="61">
        <f>IFERROR(VLOOKUP(A11,Clientes_PDV!$A$2:$J$250,3,FALSE),"")</f>
        <v/>
      </c>
      <c r="D11" s="61">
        <f>IFERROR(VLOOKUP(A11,Clientes_PDV!$A$2:$J$250,4,FALSE),"")</f>
        <v/>
      </c>
      <c r="E11" s="52" t="inlineStr">
        <is>
          <t>NUVA-BAR-PB-U-01</t>
        </is>
      </c>
      <c r="F11" s="61">
        <f>IFERROR(VLOOKUP(E11,Maestro_SKU!$A$2:$P$500,2,FALSE),"")</f>
        <v/>
      </c>
      <c r="G11" s="59" t="n">
        <v>20</v>
      </c>
      <c r="H11" s="62">
        <f>IF(OR(G11="",E11=""),"",G11*IFERROR(VLOOKUP(E11,Maestro_SKU!$A$2:$P$500,12,FALSE),1))</f>
        <v/>
      </c>
      <c r="I11" s="53" t="n">
        <v>46201</v>
      </c>
      <c r="J11" s="61">
        <f>IF(A11="","",IF(H11&lt;=Inicio!$B$16,"Crítico",IF(H11&lt;=Inicio!$B$17,"Observar","OK")))</f>
        <v/>
      </c>
      <c r="K11" s="52" t="n"/>
    </row>
    <row r="12" ht="20" customHeight="1" s="36">
      <c r="A12" s="52" t="inlineStr">
        <is>
          <t>PDV-005</t>
        </is>
      </c>
      <c r="B12" s="61">
        <f>IFERROR(VLOOKUP(A12,Clientes_PDV!$A$2:$J$250,2,FALSE),"")</f>
        <v/>
      </c>
      <c r="C12" s="61">
        <f>IFERROR(VLOOKUP(A12,Clientes_PDV!$A$2:$J$250,3,FALSE),"")</f>
        <v/>
      </c>
      <c r="D12" s="61">
        <f>IFERROR(VLOOKUP(A12,Clientes_PDV!$A$2:$J$250,4,FALSE),"")</f>
        <v/>
      </c>
      <c r="E12" s="52" t="inlineStr">
        <is>
          <t>NUVA-BAR-BM-BX-04</t>
        </is>
      </c>
      <c r="F12" s="61">
        <f>IFERROR(VLOOKUP(E12,Maestro_SKU!$A$2:$P$500,2,FALSE),"")</f>
        <v/>
      </c>
      <c r="G12" s="59" t="n">
        <v>45</v>
      </c>
      <c r="H12" s="62">
        <f>IF(OR(G12="",E12=""),"",G12*IFERROR(VLOOKUP(E12,Maestro_SKU!$A$2:$P$500,12,FALSE),1))</f>
        <v/>
      </c>
      <c r="I12" s="53" t="n">
        <v>46212</v>
      </c>
      <c r="J12" s="61">
        <f>IF(A12="","",IF(H12&lt;=Inicio!$B$16,"Crítico",IF(H12&lt;=Inicio!$B$17,"Observar","OK")))</f>
        <v/>
      </c>
      <c r="K12" s="52" t="n"/>
    </row>
    <row r="13" ht="20" customHeight="1" s="36">
      <c r="A13" s="52" t="inlineStr">
        <is>
          <t>PDV-006</t>
        </is>
      </c>
      <c r="B13" s="61">
        <f>IFERROR(VLOOKUP(A13,Clientes_PDV!$A$2:$J$250,2,FALSE),"")</f>
        <v/>
      </c>
      <c r="C13" s="61">
        <f>IFERROR(VLOOKUP(A13,Clientes_PDV!$A$2:$J$250,3,FALSE),"")</f>
        <v/>
      </c>
      <c r="D13" s="61">
        <f>IFERROR(VLOOKUP(A13,Clientes_PDV!$A$2:$J$250,4,FALSE),"")</f>
        <v/>
      </c>
      <c r="E13" s="52" t="inlineStr">
        <is>
          <t>NUVA-BAR-PB-U-01</t>
        </is>
      </c>
      <c r="F13" s="61">
        <f>IFERROR(VLOOKUP(E13,Maestro_SKU!$A$2:$P$500,2,FALSE),"")</f>
        <v/>
      </c>
      <c r="G13" s="59" t="n">
        <v>3</v>
      </c>
      <c r="H13" s="62">
        <f>IF(OR(G13="",E13=""),"",G13*IFERROR(VLOOKUP(E13,Maestro_SKU!$A$2:$P$500,12,FALSE),1))</f>
        <v/>
      </c>
      <c r="I13" s="53" t="n">
        <v>46198</v>
      </c>
      <c r="J13" s="61">
        <f>IF(A13="","",IF(H13&lt;=Inicio!$B$16,"Crítico",IF(H13&lt;=Inicio!$B$17,"Observar","OK")))</f>
        <v/>
      </c>
      <c r="K13" s="52" t="n"/>
    </row>
    <row r="14" ht="20" customHeight="1" s="36">
      <c r="A14" s="52" t="inlineStr">
        <is>
          <t>PDV-006</t>
        </is>
      </c>
      <c r="B14" s="61">
        <f>IFERROR(VLOOKUP(A14,Clientes_PDV!$A$2:$J$250,2,FALSE),"")</f>
        <v/>
      </c>
      <c r="C14" s="61">
        <f>IFERROR(VLOOKUP(A14,Clientes_PDV!$A$2:$J$250,3,FALSE),"")</f>
        <v/>
      </c>
      <c r="D14" s="61">
        <f>IFERROR(VLOOKUP(A14,Clientes_PDV!$A$2:$J$250,4,FALSE),"")</f>
        <v/>
      </c>
      <c r="E14" s="52" t="inlineStr">
        <is>
          <t>NUVA-BAR-BM-BX-04</t>
        </is>
      </c>
      <c r="F14" s="61">
        <f>IFERROR(VLOOKUP(E14,Maestro_SKU!$A$2:$P$500,2,FALSE),"")</f>
        <v/>
      </c>
      <c r="G14" s="59" t="n">
        <v>0</v>
      </c>
      <c r="H14" s="62">
        <f>IF(OR(G14="",E14=""),"",G14*IFERROR(VLOOKUP(E14,Maestro_SKU!$A$2:$P$500,12,FALSE),1))</f>
        <v/>
      </c>
      <c r="I14" s="53" t="n">
        <v>46212</v>
      </c>
      <c r="J14" s="61">
        <f>IF(A14="","",IF(H14&lt;=Inicio!$B$16,"Crítico",IF(H14&lt;=Inicio!$B$17,"Observar","OK")))</f>
        <v/>
      </c>
      <c r="K14" s="52" t="n"/>
    </row>
    <row r="15" ht="20" customHeight="1" s="36">
      <c r="A15" s="52" t="inlineStr">
        <is>
          <t>PDV-006</t>
        </is>
      </c>
      <c r="B15" s="61">
        <f>IFERROR(VLOOKUP(A15,Clientes_PDV!$A$2:$J$250,2,FALSE),"")</f>
        <v/>
      </c>
      <c r="C15" s="61">
        <f>IFERROR(VLOOKUP(A15,Clientes_PDV!$A$2:$J$250,3,FALSE),"")</f>
        <v/>
      </c>
      <c r="D15" s="61">
        <f>IFERROR(VLOOKUP(A15,Clientes_PDV!$A$2:$J$250,4,FALSE),"")</f>
        <v/>
      </c>
      <c r="E15" s="52" t="inlineStr">
        <is>
          <t>NUVA-BAR-CC-BX-04</t>
        </is>
      </c>
      <c r="F15" s="61">
        <f>IFERROR(VLOOKUP(E15,Maestro_SKU!$A$2:$P$500,2,FALSE),"")</f>
        <v/>
      </c>
      <c r="G15" s="59" t="n">
        <v>45</v>
      </c>
      <c r="H15" s="62">
        <f>IF(OR(G15="",E15=""),"",G15*IFERROR(VLOOKUP(E15,Maestro_SKU!$A$2:$P$500,12,FALSE),1))</f>
        <v/>
      </c>
      <c r="I15" s="53" t="n">
        <v>46199</v>
      </c>
      <c r="J15" s="61">
        <f>IF(A15="","",IF(H15&lt;=Inicio!$B$16,"Crítico",IF(H15&lt;=Inicio!$B$17,"Observar","OK")))</f>
        <v/>
      </c>
      <c r="K15" s="52" t="n"/>
    </row>
    <row r="16" ht="20" customHeight="1" s="36">
      <c r="A16" s="52" t="inlineStr">
        <is>
          <t>PDV-007</t>
        </is>
      </c>
      <c r="B16" s="61">
        <f>IFERROR(VLOOKUP(A16,Clientes_PDV!$A$2:$J$250,2,FALSE),"")</f>
        <v/>
      </c>
      <c r="C16" s="61">
        <f>IFERROR(VLOOKUP(A16,Clientes_PDV!$A$2:$J$250,3,FALSE),"")</f>
        <v/>
      </c>
      <c r="D16" s="61">
        <f>IFERROR(VLOOKUP(A16,Clientes_PDV!$A$2:$J$250,4,FALSE),"")</f>
        <v/>
      </c>
      <c r="E16" s="52" t="inlineStr">
        <is>
          <t>NUVA-BAR-BM-BX-04</t>
        </is>
      </c>
      <c r="F16" s="61">
        <f>IFERROR(VLOOKUP(E16,Maestro_SKU!$A$2:$P$500,2,FALSE),"")</f>
        <v/>
      </c>
      <c r="G16" s="59" t="n">
        <v>20</v>
      </c>
      <c r="H16" s="62">
        <f>IF(OR(G16="",E16=""),"",G16*IFERROR(VLOOKUP(E16,Maestro_SKU!$A$2:$P$500,12,FALSE),1))</f>
        <v/>
      </c>
      <c r="I16" s="53" t="n">
        <v>46200</v>
      </c>
      <c r="J16" s="61">
        <f>IF(A16="","",IF(H16&lt;=Inicio!$B$16,"Crítico",IF(H16&lt;=Inicio!$B$17,"Observar","OK")))</f>
        <v/>
      </c>
      <c r="K16" s="52" t="n"/>
    </row>
    <row r="17" ht="20" customHeight="1" s="36">
      <c r="A17" s="52" t="inlineStr">
        <is>
          <t>PDV-007</t>
        </is>
      </c>
      <c r="B17" s="61">
        <f>IFERROR(VLOOKUP(A17,Clientes_PDV!$A$2:$J$250,2,FALSE),"")</f>
        <v/>
      </c>
      <c r="C17" s="61">
        <f>IFERROR(VLOOKUP(A17,Clientes_PDV!$A$2:$J$250,3,FALSE),"")</f>
        <v/>
      </c>
      <c r="D17" s="61">
        <f>IFERROR(VLOOKUP(A17,Clientes_PDV!$A$2:$J$250,4,FALSE),"")</f>
        <v/>
      </c>
      <c r="E17" s="52" t="inlineStr">
        <is>
          <t>NUVA-BAR-CC-BX-04</t>
        </is>
      </c>
      <c r="F17" s="61">
        <f>IFERROR(VLOOKUP(E17,Maestro_SKU!$A$2:$P$500,2,FALSE),"")</f>
        <v/>
      </c>
      <c r="G17" s="59" t="n">
        <v>5</v>
      </c>
      <c r="H17" s="62">
        <f>IF(OR(G17="",E17=""),"",G17*IFERROR(VLOOKUP(E17,Maestro_SKU!$A$2:$P$500,12,FALSE),1))</f>
        <v/>
      </c>
      <c r="I17" s="53" t="n">
        <v>46200</v>
      </c>
      <c r="J17" s="61">
        <f>IF(A17="","",IF(H17&lt;=Inicio!$B$16,"Crítico",IF(H17&lt;=Inicio!$B$17,"Observar","OK")))</f>
        <v/>
      </c>
      <c r="K17" s="52" t="n"/>
    </row>
    <row r="18" ht="20" customHeight="1" s="36">
      <c r="A18" s="52" t="inlineStr">
        <is>
          <t>PDV-009</t>
        </is>
      </c>
      <c r="B18" s="61">
        <f>IFERROR(VLOOKUP(A18,Clientes_PDV!$A$2:$J$250,2,FALSE),"")</f>
        <v/>
      </c>
      <c r="C18" s="61">
        <f>IFERROR(VLOOKUP(A18,Clientes_PDV!$A$2:$J$250,3,FALSE),"")</f>
        <v/>
      </c>
      <c r="D18" s="61">
        <f>IFERROR(VLOOKUP(A18,Clientes_PDV!$A$2:$J$250,4,FALSE),"")</f>
        <v/>
      </c>
      <c r="E18" s="52" t="inlineStr">
        <is>
          <t>NUVA-BAR-PB-U-01</t>
        </is>
      </c>
      <c r="F18" s="61">
        <f>IFERROR(VLOOKUP(E18,Maestro_SKU!$A$2:$P$500,2,FALSE),"")</f>
        <v/>
      </c>
      <c r="G18" s="59" t="n">
        <v>45</v>
      </c>
      <c r="H18" s="62">
        <f>IF(OR(G18="",E18=""),"",G18*IFERROR(VLOOKUP(E18,Maestro_SKU!$A$2:$P$500,12,FALSE),1))</f>
        <v/>
      </c>
      <c r="I18" s="53" t="n">
        <v>46202</v>
      </c>
      <c r="J18" s="61">
        <f>IF(A18="","",IF(H18&lt;=Inicio!$B$16,"Crítico",IF(H18&lt;=Inicio!$B$17,"Observar","OK")))</f>
        <v/>
      </c>
      <c r="K18" s="52" t="n"/>
    </row>
    <row r="19" ht="20" customHeight="1" s="36">
      <c r="A19" s="52" t="inlineStr">
        <is>
          <t>PDV-009</t>
        </is>
      </c>
      <c r="B19" s="61">
        <f>IFERROR(VLOOKUP(A19,Clientes_PDV!$A$2:$J$250,2,FALSE),"")</f>
        <v/>
      </c>
      <c r="C19" s="61">
        <f>IFERROR(VLOOKUP(A19,Clientes_PDV!$A$2:$J$250,3,FALSE),"")</f>
        <v/>
      </c>
      <c r="D19" s="61">
        <f>IFERROR(VLOOKUP(A19,Clientes_PDV!$A$2:$J$250,4,FALSE),"")</f>
        <v/>
      </c>
      <c r="E19" s="52" t="inlineStr">
        <is>
          <t>NUVA-BAR-CC-BX-04</t>
        </is>
      </c>
      <c r="F19" s="61">
        <f>IFERROR(VLOOKUP(E19,Maestro_SKU!$A$2:$P$500,2,FALSE),"")</f>
        <v/>
      </c>
      <c r="G19" s="59" t="n">
        <v>3</v>
      </c>
      <c r="H19" s="62">
        <f>IF(OR(G19="",E19=""),"",G19*IFERROR(VLOOKUP(E19,Maestro_SKU!$A$2:$P$500,12,FALSE),1))</f>
        <v/>
      </c>
      <c r="I19" s="53" t="n">
        <v>46204</v>
      </c>
      <c r="J19" s="61">
        <f>IF(A19="","",IF(H19&lt;=Inicio!$B$16,"Crítico",IF(H19&lt;=Inicio!$B$17,"Observar","OK")))</f>
        <v/>
      </c>
      <c r="K19" s="52" t="n"/>
    </row>
    <row r="20" ht="20" customHeight="1" s="36">
      <c r="A20" s="52" t="inlineStr">
        <is>
          <t>PDV-010</t>
        </is>
      </c>
      <c r="B20" s="61">
        <f>IFERROR(VLOOKUP(A20,Clientes_PDV!$A$2:$J$250,2,FALSE),"")</f>
        <v/>
      </c>
      <c r="C20" s="61">
        <f>IFERROR(VLOOKUP(A20,Clientes_PDV!$A$2:$J$250,3,FALSE),"")</f>
        <v/>
      </c>
      <c r="D20" s="61">
        <f>IFERROR(VLOOKUP(A20,Clientes_PDV!$A$2:$J$250,4,FALSE),"")</f>
        <v/>
      </c>
      <c r="E20" s="52" t="inlineStr">
        <is>
          <t>NUVA-BAR-PB-U-01</t>
        </is>
      </c>
      <c r="F20" s="61">
        <f>IFERROR(VLOOKUP(E20,Maestro_SKU!$A$2:$P$500,2,FALSE),"")</f>
        <v/>
      </c>
      <c r="G20" s="59" t="n">
        <v>5</v>
      </c>
      <c r="H20" s="62">
        <f>IF(OR(G20="",E20=""),"",G20*IFERROR(VLOOKUP(E20,Maestro_SKU!$A$2:$P$500,12,FALSE),1))</f>
        <v/>
      </c>
      <c r="I20" s="53" t="n">
        <v>46211</v>
      </c>
      <c r="J20" s="61">
        <f>IF(A20="","",IF(H20&lt;=Inicio!$B$16,"Crítico",IF(H20&lt;=Inicio!$B$17,"Observar","OK")))</f>
        <v/>
      </c>
      <c r="K20" s="52" t="n"/>
    </row>
    <row r="21" ht="20" customHeight="1" s="36">
      <c r="A21" s="52" t="inlineStr">
        <is>
          <t>PDV-010</t>
        </is>
      </c>
      <c r="B21" s="61">
        <f>IFERROR(VLOOKUP(A21,Clientes_PDV!$A$2:$J$250,2,FALSE),"")</f>
        <v/>
      </c>
      <c r="C21" s="61">
        <f>IFERROR(VLOOKUP(A21,Clientes_PDV!$A$2:$J$250,3,FALSE),"")</f>
        <v/>
      </c>
      <c r="D21" s="61">
        <f>IFERROR(VLOOKUP(A21,Clientes_PDV!$A$2:$J$250,4,FALSE),"")</f>
        <v/>
      </c>
      <c r="E21" s="52" t="inlineStr">
        <is>
          <t>NUVA-BAR-CC-BX-04</t>
        </is>
      </c>
      <c r="F21" s="61">
        <f>IFERROR(VLOOKUP(E21,Maestro_SKU!$A$2:$P$500,2,FALSE),"")</f>
        <v/>
      </c>
      <c r="G21" s="59" t="n">
        <v>0</v>
      </c>
      <c r="H21" s="62">
        <f>IF(OR(G21="",E21=""),"",G21*IFERROR(VLOOKUP(E21,Maestro_SKU!$A$2:$P$500,12,FALSE),1))</f>
        <v/>
      </c>
      <c r="I21" s="53" t="n">
        <v>46205</v>
      </c>
      <c r="J21" s="61">
        <f>IF(A21="","",IF(H21&lt;=Inicio!$B$16,"Crítico",IF(H21&lt;=Inicio!$B$17,"Observar","OK")))</f>
        <v/>
      </c>
      <c r="K21" s="52" t="n"/>
    </row>
    <row r="22" ht="20" customHeight="1" s="36">
      <c r="A22" s="52" t="inlineStr">
        <is>
          <t>PDV-011</t>
        </is>
      </c>
      <c r="B22" s="61">
        <f>IFERROR(VLOOKUP(A22,Clientes_PDV!$A$2:$J$250,2,FALSE),"")</f>
        <v/>
      </c>
      <c r="C22" s="61">
        <f>IFERROR(VLOOKUP(A22,Clientes_PDV!$A$2:$J$250,3,FALSE),"")</f>
        <v/>
      </c>
      <c r="D22" s="61">
        <f>IFERROR(VLOOKUP(A22,Clientes_PDV!$A$2:$J$250,4,FALSE),"")</f>
        <v/>
      </c>
      <c r="E22" s="52" t="inlineStr">
        <is>
          <t>NUVA-BAR-BM-U-01</t>
        </is>
      </c>
      <c r="F22" s="61">
        <f>IFERROR(VLOOKUP(E22,Maestro_SKU!$A$2:$P$500,2,FALSE),"")</f>
        <v/>
      </c>
      <c r="G22" s="59" t="n">
        <v>5</v>
      </c>
      <c r="H22" s="62">
        <f>IF(OR(G22="",E22=""),"",G22*IFERROR(VLOOKUP(E22,Maestro_SKU!$A$2:$P$500,12,FALSE),1))</f>
        <v/>
      </c>
      <c r="I22" s="53" t="n">
        <v>46207</v>
      </c>
      <c r="J22" s="61">
        <f>IF(A22="","",IF(H22&lt;=Inicio!$B$16,"Crítico",IF(H22&lt;=Inicio!$B$17,"Observar","OK")))</f>
        <v/>
      </c>
      <c r="K22" s="52" t="n"/>
    </row>
    <row r="23" ht="20" customHeight="1" s="36">
      <c r="A23" s="52" t="inlineStr">
        <is>
          <t>PDV-011</t>
        </is>
      </c>
      <c r="B23" s="61">
        <f>IFERROR(VLOOKUP(A23,Clientes_PDV!$A$2:$J$250,2,FALSE),"")</f>
        <v/>
      </c>
      <c r="C23" s="61">
        <f>IFERROR(VLOOKUP(A23,Clientes_PDV!$A$2:$J$250,3,FALSE),"")</f>
        <v/>
      </c>
      <c r="D23" s="61">
        <f>IFERROR(VLOOKUP(A23,Clientes_PDV!$A$2:$J$250,4,FALSE),"")</f>
        <v/>
      </c>
      <c r="E23" s="52" t="inlineStr">
        <is>
          <t>NUVA-BAR-PB-U-01</t>
        </is>
      </c>
      <c r="F23" s="61">
        <f>IFERROR(VLOOKUP(E23,Maestro_SKU!$A$2:$P$500,2,FALSE),"")</f>
        <v/>
      </c>
      <c r="G23" s="59" t="n">
        <v>8</v>
      </c>
      <c r="H23" s="62">
        <f>IF(OR(G23="",E23=""),"",G23*IFERROR(VLOOKUP(E23,Maestro_SKU!$A$2:$P$500,12,FALSE),1))</f>
        <v/>
      </c>
      <c r="I23" s="53" t="n">
        <v>46209</v>
      </c>
      <c r="J23" s="61">
        <f>IF(A23="","",IF(H23&lt;=Inicio!$B$16,"Crítico",IF(H23&lt;=Inicio!$B$17,"Observar","OK")))</f>
        <v/>
      </c>
      <c r="K23" s="52" t="n"/>
    </row>
    <row r="24" ht="20" customHeight="1" s="36">
      <c r="A24" s="52" t="inlineStr">
        <is>
          <t>PDV-011</t>
        </is>
      </c>
      <c r="B24" s="61">
        <f>IFERROR(VLOOKUP(A24,Clientes_PDV!$A$2:$J$250,2,FALSE),"")</f>
        <v/>
      </c>
      <c r="C24" s="61">
        <f>IFERROR(VLOOKUP(A24,Clientes_PDV!$A$2:$J$250,3,FALSE),"")</f>
        <v/>
      </c>
      <c r="D24" s="61">
        <f>IFERROR(VLOOKUP(A24,Clientes_PDV!$A$2:$J$250,4,FALSE),"")</f>
        <v/>
      </c>
      <c r="E24" s="52" t="inlineStr">
        <is>
          <t>NUVA-BAR-CC-U-01</t>
        </is>
      </c>
      <c r="F24" s="61">
        <f>IFERROR(VLOOKUP(E24,Maestro_SKU!$A$2:$P$500,2,FALSE),"")</f>
        <v/>
      </c>
      <c r="G24" s="59" t="n">
        <v>12</v>
      </c>
      <c r="H24" s="62">
        <f>IF(OR(G24="",E24=""),"",G24*IFERROR(VLOOKUP(E24,Maestro_SKU!$A$2:$P$500,12,FALSE),1))</f>
        <v/>
      </c>
      <c r="I24" s="53" t="n">
        <v>46210</v>
      </c>
      <c r="J24" s="61">
        <f>IF(A24="","",IF(H24&lt;=Inicio!$B$16,"Crítico",IF(H24&lt;=Inicio!$B$17,"Observar","OK")))</f>
        <v/>
      </c>
      <c r="K24" s="52" t="n"/>
    </row>
    <row r="25" ht="20" customHeight="1" s="36">
      <c r="A25" s="52" t="inlineStr">
        <is>
          <t>PDV-011</t>
        </is>
      </c>
      <c r="B25" s="61">
        <f>IFERROR(VLOOKUP(A25,Clientes_PDV!$A$2:$J$250,2,FALSE),"")</f>
        <v/>
      </c>
      <c r="C25" s="61">
        <f>IFERROR(VLOOKUP(A25,Clientes_PDV!$A$2:$J$250,3,FALSE),"")</f>
        <v/>
      </c>
      <c r="D25" s="61">
        <f>IFERROR(VLOOKUP(A25,Clientes_PDV!$A$2:$J$250,4,FALSE),"")</f>
        <v/>
      </c>
      <c r="E25" s="52" t="inlineStr">
        <is>
          <t>NUVA-BAR-BM-BX-04</t>
        </is>
      </c>
      <c r="F25" s="61">
        <f>IFERROR(VLOOKUP(E25,Maestro_SKU!$A$2:$P$500,2,FALSE),"")</f>
        <v/>
      </c>
      <c r="G25" s="59" t="n">
        <v>30</v>
      </c>
      <c r="H25" s="62">
        <f>IF(OR(G25="",E25=""),"",G25*IFERROR(VLOOKUP(E25,Maestro_SKU!$A$2:$P$500,12,FALSE),1))</f>
        <v/>
      </c>
      <c r="I25" s="53" t="n">
        <v>46207</v>
      </c>
      <c r="J25" s="61">
        <f>IF(A25="","",IF(H25&lt;=Inicio!$B$16,"Crítico",IF(H25&lt;=Inicio!$B$17,"Observar","OK")))</f>
        <v/>
      </c>
      <c r="K25" s="52" t="n"/>
    </row>
    <row r="26" ht="20" customHeight="1" s="36">
      <c r="A26" s="52" t="inlineStr">
        <is>
          <t>PDV-011</t>
        </is>
      </c>
      <c r="B26" s="61">
        <f>IFERROR(VLOOKUP(A26,Clientes_PDV!$A$2:$J$250,2,FALSE),"")</f>
        <v/>
      </c>
      <c r="C26" s="61">
        <f>IFERROR(VLOOKUP(A26,Clientes_PDV!$A$2:$J$250,3,FALSE),"")</f>
        <v/>
      </c>
      <c r="D26" s="61">
        <f>IFERROR(VLOOKUP(A26,Clientes_PDV!$A$2:$J$250,4,FALSE),"")</f>
        <v/>
      </c>
      <c r="E26" s="52" t="inlineStr">
        <is>
          <t>NUVA-BAR-PB-BX-04</t>
        </is>
      </c>
      <c r="F26" s="61">
        <f>IFERROR(VLOOKUP(E26,Maestro_SKU!$A$2:$P$500,2,FALSE),"")</f>
        <v/>
      </c>
      <c r="G26" s="59" t="n">
        <v>20</v>
      </c>
      <c r="H26" s="62">
        <f>IF(OR(G26="",E26=""),"",G26*IFERROR(VLOOKUP(E26,Maestro_SKU!$A$2:$P$500,12,FALSE),1))</f>
        <v/>
      </c>
      <c r="I26" s="53" t="n">
        <v>46202</v>
      </c>
      <c r="J26" s="61">
        <f>IF(A26="","",IF(H26&lt;=Inicio!$B$16,"Crítico",IF(H26&lt;=Inicio!$B$17,"Observar","OK")))</f>
        <v/>
      </c>
      <c r="K26" s="52" t="n"/>
    </row>
    <row r="27" ht="20" customHeight="1" s="36">
      <c r="A27" s="52" t="inlineStr">
        <is>
          <t>PDV-011</t>
        </is>
      </c>
      <c r="B27" s="61">
        <f>IFERROR(VLOOKUP(A27,Clientes_PDV!$A$2:$J$250,2,FALSE),"")</f>
        <v/>
      </c>
      <c r="C27" s="61">
        <f>IFERROR(VLOOKUP(A27,Clientes_PDV!$A$2:$J$250,3,FALSE),"")</f>
        <v/>
      </c>
      <c r="D27" s="61">
        <f>IFERROR(VLOOKUP(A27,Clientes_PDV!$A$2:$J$250,4,FALSE),"")</f>
        <v/>
      </c>
      <c r="E27" s="52" t="inlineStr">
        <is>
          <t>NUVA-BAR-CC-BX-04</t>
        </is>
      </c>
      <c r="F27" s="61">
        <f>IFERROR(VLOOKUP(E27,Maestro_SKU!$A$2:$P$500,2,FALSE),"")</f>
        <v/>
      </c>
      <c r="G27" s="59" t="n">
        <v>0</v>
      </c>
      <c r="H27" s="62">
        <f>IF(OR(G27="",E27=""),"",G27*IFERROR(VLOOKUP(E27,Maestro_SKU!$A$2:$P$500,12,FALSE),1))</f>
        <v/>
      </c>
      <c r="I27" s="53" t="n">
        <v>46206</v>
      </c>
      <c r="J27" s="61">
        <f>IF(A27="","",IF(H27&lt;=Inicio!$B$16,"Crítico",IF(H27&lt;=Inicio!$B$17,"Observar","OK")))</f>
        <v/>
      </c>
      <c r="K27" s="52" t="n"/>
    </row>
    <row r="28" ht="20" customHeight="1" s="36">
      <c r="A28" s="52" t="inlineStr">
        <is>
          <t>PDV-012</t>
        </is>
      </c>
      <c r="B28" s="61">
        <f>IFERROR(VLOOKUP(A28,Clientes_PDV!$A$2:$J$250,2,FALSE),"")</f>
        <v/>
      </c>
      <c r="C28" s="61">
        <f>IFERROR(VLOOKUP(A28,Clientes_PDV!$A$2:$J$250,3,FALSE),"")</f>
        <v/>
      </c>
      <c r="D28" s="61">
        <f>IFERROR(VLOOKUP(A28,Clientes_PDV!$A$2:$J$250,4,FALSE),"")</f>
        <v/>
      </c>
      <c r="E28" s="52" t="inlineStr">
        <is>
          <t>NUVA-BAR-BM-BX-04</t>
        </is>
      </c>
      <c r="F28" s="61">
        <f>IFERROR(VLOOKUP(E28,Maestro_SKU!$A$2:$P$500,2,FALSE),"")</f>
        <v/>
      </c>
      <c r="G28" s="59" t="n">
        <v>30</v>
      </c>
      <c r="H28" s="62">
        <f>IF(OR(G28="",E28=""),"",G28*IFERROR(VLOOKUP(E28,Maestro_SKU!$A$2:$P$500,12,FALSE),1))</f>
        <v/>
      </c>
      <c r="I28" s="53" t="n">
        <v>46206</v>
      </c>
      <c r="J28" s="61">
        <f>IF(A28="","",IF(H28&lt;=Inicio!$B$16,"Crítico",IF(H28&lt;=Inicio!$B$17,"Observar","OK")))</f>
        <v/>
      </c>
      <c r="K28" s="52" t="n"/>
    </row>
    <row r="29" ht="20" customHeight="1" s="36">
      <c r="A29" s="52" t="inlineStr">
        <is>
          <t>PDV-012</t>
        </is>
      </c>
      <c r="B29" s="61">
        <f>IFERROR(VLOOKUP(A29,Clientes_PDV!$A$2:$J$250,2,FALSE),"")</f>
        <v/>
      </c>
      <c r="C29" s="61">
        <f>IFERROR(VLOOKUP(A29,Clientes_PDV!$A$2:$J$250,3,FALSE),"")</f>
        <v/>
      </c>
      <c r="D29" s="61">
        <f>IFERROR(VLOOKUP(A29,Clientes_PDV!$A$2:$J$250,4,FALSE),"")</f>
        <v/>
      </c>
      <c r="E29" s="52" t="inlineStr">
        <is>
          <t>NUVA-BAR-CC-BX-04</t>
        </is>
      </c>
      <c r="F29" s="61">
        <f>IFERROR(VLOOKUP(E29,Maestro_SKU!$A$2:$P$500,2,FALSE),"")</f>
        <v/>
      </c>
      <c r="G29" s="59" t="n">
        <v>5</v>
      </c>
      <c r="H29" s="62">
        <f>IF(OR(G29="",E29=""),"",G29*IFERROR(VLOOKUP(E29,Maestro_SKU!$A$2:$P$500,12,FALSE),1))</f>
        <v/>
      </c>
      <c r="I29" s="53" t="n">
        <v>46198</v>
      </c>
      <c r="J29" s="61">
        <f>IF(A29="","",IF(H29&lt;=Inicio!$B$16,"Crítico",IF(H29&lt;=Inicio!$B$17,"Observar","OK")))</f>
        <v/>
      </c>
      <c r="K29" s="52" t="n"/>
    </row>
    <row r="30" ht="20" customHeight="1" s="36">
      <c r="A30" s="52" t="n"/>
      <c r="B30" s="61">
        <f>IFERROR(VLOOKUP(A30,Clientes_PDV!$A$2:$J$250,2,FALSE),"")</f>
        <v/>
      </c>
      <c r="C30" s="61">
        <f>IFERROR(VLOOKUP(A30,Clientes_PDV!$A$2:$J$250,3,FALSE),"")</f>
        <v/>
      </c>
      <c r="D30" s="61">
        <f>IFERROR(VLOOKUP(A30,Clientes_PDV!$A$2:$J$250,4,FALSE),"")</f>
        <v/>
      </c>
      <c r="E30" s="52" t="n"/>
      <c r="F30" s="61">
        <f>IFERROR(VLOOKUP(E30,Maestro_SKU!$A$2:$P$500,2,FALSE),"")</f>
        <v/>
      </c>
      <c r="G30" s="59" t="n"/>
      <c r="H30" s="62">
        <f>IF(OR(G30="",E30=""),"",G30*IFERROR(VLOOKUP(E30,Maestro_SKU!$A$2:$P$500,12,FALSE),1))</f>
        <v/>
      </c>
      <c r="I30" s="53" t="n"/>
      <c r="J30" s="61">
        <f>IF(A30="","",IF(H30&lt;=Inicio!$B$16,"Crítico",IF(H30&lt;=Inicio!$B$17,"Observar","OK")))</f>
        <v/>
      </c>
      <c r="K30" s="52" t="n"/>
    </row>
    <row r="31" ht="20" customHeight="1" s="36">
      <c r="A31" s="52" t="n"/>
      <c r="B31" s="61">
        <f>IFERROR(VLOOKUP(A31,Clientes_PDV!$A$2:$J$250,2,FALSE),"")</f>
        <v/>
      </c>
      <c r="C31" s="61">
        <f>IFERROR(VLOOKUP(A31,Clientes_PDV!$A$2:$J$250,3,FALSE),"")</f>
        <v/>
      </c>
      <c r="D31" s="61">
        <f>IFERROR(VLOOKUP(A31,Clientes_PDV!$A$2:$J$250,4,FALSE),"")</f>
        <v/>
      </c>
      <c r="E31" s="52" t="n"/>
      <c r="F31" s="61">
        <f>IFERROR(VLOOKUP(E31,Maestro_SKU!$A$2:$P$500,2,FALSE),"")</f>
        <v/>
      </c>
      <c r="G31" s="59" t="n"/>
      <c r="H31" s="62">
        <f>IF(OR(G31="",E31=""),"",G31*IFERROR(VLOOKUP(E31,Maestro_SKU!$A$2:$P$500,12,FALSE),1))</f>
        <v/>
      </c>
      <c r="I31" s="53" t="n"/>
      <c r="J31" s="61">
        <f>IF(A31="","",IF(H31&lt;=Inicio!$B$16,"Crítico",IF(H31&lt;=Inicio!$B$17,"Observar","OK")))</f>
        <v/>
      </c>
      <c r="K31" s="52" t="n"/>
    </row>
    <row r="32" ht="20" customHeight="1" s="36">
      <c r="A32" s="52" t="n"/>
      <c r="B32" s="61">
        <f>IFERROR(VLOOKUP(A32,Clientes_PDV!$A$2:$J$250,2,FALSE),"")</f>
        <v/>
      </c>
      <c r="C32" s="61">
        <f>IFERROR(VLOOKUP(A32,Clientes_PDV!$A$2:$J$250,3,FALSE),"")</f>
        <v/>
      </c>
      <c r="D32" s="61">
        <f>IFERROR(VLOOKUP(A32,Clientes_PDV!$A$2:$J$250,4,FALSE),"")</f>
        <v/>
      </c>
      <c r="E32" s="52" t="n"/>
      <c r="F32" s="61">
        <f>IFERROR(VLOOKUP(E32,Maestro_SKU!$A$2:$P$500,2,FALSE),"")</f>
        <v/>
      </c>
      <c r="G32" s="59" t="n"/>
      <c r="H32" s="62">
        <f>IF(OR(G32="",E32=""),"",G32*IFERROR(VLOOKUP(E32,Maestro_SKU!$A$2:$P$500,12,FALSE),1))</f>
        <v/>
      </c>
      <c r="I32" s="53" t="n"/>
      <c r="J32" s="61">
        <f>IF(A32="","",IF(H32&lt;=Inicio!$B$16,"Crítico",IF(H32&lt;=Inicio!$B$17,"Observar","OK")))</f>
        <v/>
      </c>
      <c r="K32" s="52" t="n"/>
    </row>
    <row r="33" ht="20" customHeight="1" s="36">
      <c r="A33" s="52" t="n"/>
      <c r="B33" s="61">
        <f>IFERROR(VLOOKUP(A33,Clientes_PDV!$A$2:$J$250,2,FALSE),"")</f>
        <v/>
      </c>
      <c r="C33" s="61">
        <f>IFERROR(VLOOKUP(A33,Clientes_PDV!$A$2:$J$250,3,FALSE),"")</f>
        <v/>
      </c>
      <c r="D33" s="61">
        <f>IFERROR(VLOOKUP(A33,Clientes_PDV!$A$2:$J$250,4,FALSE),"")</f>
        <v/>
      </c>
      <c r="E33" s="52" t="n"/>
      <c r="F33" s="61">
        <f>IFERROR(VLOOKUP(E33,Maestro_SKU!$A$2:$P$500,2,FALSE),"")</f>
        <v/>
      </c>
      <c r="G33" s="59" t="n"/>
      <c r="H33" s="62">
        <f>IF(OR(G33="",E33=""),"",G33*IFERROR(VLOOKUP(E33,Maestro_SKU!$A$2:$P$500,12,FALSE),1))</f>
        <v/>
      </c>
      <c r="I33" s="53" t="n"/>
      <c r="J33" s="61">
        <f>IF(A33="","",IF(H33&lt;=Inicio!$B$16,"Crítico",IF(H33&lt;=Inicio!$B$17,"Observar","OK")))</f>
        <v/>
      </c>
      <c r="K33" s="52" t="n"/>
    </row>
    <row r="34" ht="20" customHeight="1" s="36">
      <c r="A34" s="52" t="n"/>
      <c r="B34" s="61">
        <f>IFERROR(VLOOKUP(A34,Clientes_PDV!$A$2:$J$250,2,FALSE),"")</f>
        <v/>
      </c>
      <c r="C34" s="61">
        <f>IFERROR(VLOOKUP(A34,Clientes_PDV!$A$2:$J$250,3,FALSE),"")</f>
        <v/>
      </c>
      <c r="D34" s="61">
        <f>IFERROR(VLOOKUP(A34,Clientes_PDV!$A$2:$J$250,4,FALSE),"")</f>
        <v/>
      </c>
      <c r="E34" s="52" t="n"/>
      <c r="F34" s="61">
        <f>IFERROR(VLOOKUP(E34,Maestro_SKU!$A$2:$P$500,2,FALSE),"")</f>
        <v/>
      </c>
      <c r="G34" s="59" t="n"/>
      <c r="H34" s="62">
        <f>IF(OR(G34="",E34=""),"",G34*IFERROR(VLOOKUP(E34,Maestro_SKU!$A$2:$P$500,12,FALSE),1))</f>
        <v/>
      </c>
      <c r="I34" s="53" t="n"/>
      <c r="J34" s="61">
        <f>IF(A34="","",IF(H34&lt;=Inicio!$B$16,"Crítico",IF(H34&lt;=Inicio!$B$17,"Observar","OK")))</f>
        <v/>
      </c>
      <c r="K34" s="52" t="n"/>
    </row>
    <row r="35" ht="20" customHeight="1" s="36">
      <c r="A35" s="52" t="n"/>
      <c r="B35" s="61">
        <f>IFERROR(VLOOKUP(A35,Clientes_PDV!$A$2:$J$250,2,FALSE),"")</f>
        <v/>
      </c>
      <c r="C35" s="61">
        <f>IFERROR(VLOOKUP(A35,Clientes_PDV!$A$2:$J$250,3,FALSE),"")</f>
        <v/>
      </c>
      <c r="D35" s="61">
        <f>IFERROR(VLOOKUP(A35,Clientes_PDV!$A$2:$J$250,4,FALSE),"")</f>
        <v/>
      </c>
      <c r="E35" s="52" t="n"/>
      <c r="F35" s="61">
        <f>IFERROR(VLOOKUP(E35,Maestro_SKU!$A$2:$P$500,2,FALSE),"")</f>
        <v/>
      </c>
      <c r="G35" s="59" t="n"/>
      <c r="H35" s="62">
        <f>IF(OR(G35="",E35=""),"",G35*IFERROR(VLOOKUP(E35,Maestro_SKU!$A$2:$P$500,12,FALSE),1))</f>
        <v/>
      </c>
      <c r="I35" s="53" t="n"/>
      <c r="J35" s="61">
        <f>IF(A35="","",IF(H35&lt;=Inicio!$B$16,"Crítico",IF(H35&lt;=Inicio!$B$17,"Observar","OK")))</f>
        <v/>
      </c>
      <c r="K35" s="52" t="n"/>
    </row>
    <row r="36" ht="20" customHeight="1" s="36">
      <c r="A36" s="52" t="n"/>
      <c r="B36" s="61">
        <f>IFERROR(VLOOKUP(A36,Clientes_PDV!$A$2:$J$250,2,FALSE),"")</f>
        <v/>
      </c>
      <c r="C36" s="61">
        <f>IFERROR(VLOOKUP(A36,Clientes_PDV!$A$2:$J$250,3,FALSE),"")</f>
        <v/>
      </c>
      <c r="D36" s="61">
        <f>IFERROR(VLOOKUP(A36,Clientes_PDV!$A$2:$J$250,4,FALSE),"")</f>
        <v/>
      </c>
      <c r="E36" s="52" t="n"/>
      <c r="F36" s="61">
        <f>IFERROR(VLOOKUP(E36,Maestro_SKU!$A$2:$P$500,2,FALSE),"")</f>
        <v/>
      </c>
      <c r="G36" s="59" t="n"/>
      <c r="H36" s="62">
        <f>IF(OR(G36="",E36=""),"",G36*IFERROR(VLOOKUP(E36,Maestro_SKU!$A$2:$P$500,12,FALSE),1))</f>
        <v/>
      </c>
      <c r="I36" s="53" t="n"/>
      <c r="J36" s="61">
        <f>IF(A36="","",IF(H36&lt;=Inicio!$B$16,"Crítico",IF(H36&lt;=Inicio!$B$17,"Observar","OK")))</f>
        <v/>
      </c>
      <c r="K36" s="52" t="n"/>
    </row>
    <row r="37" ht="20" customHeight="1" s="36">
      <c r="A37" s="52" t="n"/>
      <c r="B37" s="61">
        <f>IFERROR(VLOOKUP(A37,Clientes_PDV!$A$2:$J$250,2,FALSE),"")</f>
        <v/>
      </c>
      <c r="C37" s="61">
        <f>IFERROR(VLOOKUP(A37,Clientes_PDV!$A$2:$J$250,3,FALSE),"")</f>
        <v/>
      </c>
      <c r="D37" s="61">
        <f>IFERROR(VLOOKUP(A37,Clientes_PDV!$A$2:$J$250,4,FALSE),"")</f>
        <v/>
      </c>
      <c r="E37" s="52" t="n"/>
      <c r="F37" s="61">
        <f>IFERROR(VLOOKUP(E37,Maestro_SKU!$A$2:$P$500,2,FALSE),"")</f>
        <v/>
      </c>
      <c r="G37" s="59" t="n"/>
      <c r="H37" s="62">
        <f>IF(OR(G37="",E37=""),"",G37*IFERROR(VLOOKUP(E37,Maestro_SKU!$A$2:$P$500,12,FALSE),1))</f>
        <v/>
      </c>
      <c r="I37" s="53" t="n"/>
      <c r="J37" s="61">
        <f>IF(A37="","",IF(H37&lt;=Inicio!$B$16,"Crítico",IF(H37&lt;=Inicio!$B$17,"Observar","OK")))</f>
        <v/>
      </c>
      <c r="K37" s="52" t="n"/>
    </row>
    <row r="38" ht="20" customHeight="1" s="36">
      <c r="A38" s="52" t="n"/>
      <c r="B38" s="61">
        <f>IFERROR(VLOOKUP(A38,Clientes_PDV!$A$2:$J$250,2,FALSE),"")</f>
        <v/>
      </c>
      <c r="C38" s="61">
        <f>IFERROR(VLOOKUP(A38,Clientes_PDV!$A$2:$J$250,3,FALSE),"")</f>
        <v/>
      </c>
      <c r="D38" s="61">
        <f>IFERROR(VLOOKUP(A38,Clientes_PDV!$A$2:$J$250,4,FALSE),"")</f>
        <v/>
      </c>
      <c r="E38" s="52" t="n"/>
      <c r="F38" s="61">
        <f>IFERROR(VLOOKUP(E38,Maestro_SKU!$A$2:$P$500,2,FALSE),"")</f>
        <v/>
      </c>
      <c r="G38" s="59" t="n"/>
      <c r="H38" s="62">
        <f>IF(OR(G38="",E38=""),"",G38*IFERROR(VLOOKUP(E38,Maestro_SKU!$A$2:$P$500,12,FALSE),1))</f>
        <v/>
      </c>
      <c r="I38" s="53" t="n"/>
      <c r="J38" s="61">
        <f>IF(A38="","",IF(H38&lt;=Inicio!$B$16,"Crítico",IF(H38&lt;=Inicio!$B$17,"Observar","OK")))</f>
        <v/>
      </c>
      <c r="K38" s="52" t="n"/>
    </row>
    <row r="39" ht="20" customHeight="1" s="36">
      <c r="A39" s="52" t="n"/>
      <c r="B39" s="61">
        <f>IFERROR(VLOOKUP(A39,Clientes_PDV!$A$2:$J$250,2,FALSE),"")</f>
        <v/>
      </c>
      <c r="C39" s="61">
        <f>IFERROR(VLOOKUP(A39,Clientes_PDV!$A$2:$J$250,3,FALSE),"")</f>
        <v/>
      </c>
      <c r="D39" s="61">
        <f>IFERROR(VLOOKUP(A39,Clientes_PDV!$A$2:$J$250,4,FALSE),"")</f>
        <v/>
      </c>
      <c r="E39" s="52" t="n"/>
      <c r="F39" s="61">
        <f>IFERROR(VLOOKUP(E39,Maestro_SKU!$A$2:$P$500,2,FALSE),"")</f>
        <v/>
      </c>
      <c r="G39" s="59" t="n"/>
      <c r="H39" s="62">
        <f>IF(OR(G39="",E39=""),"",G39*IFERROR(VLOOKUP(E39,Maestro_SKU!$A$2:$P$500,12,FALSE),1))</f>
        <v/>
      </c>
      <c r="I39" s="53" t="n"/>
      <c r="J39" s="61">
        <f>IF(A39="","",IF(H39&lt;=Inicio!$B$16,"Crítico",IF(H39&lt;=Inicio!$B$17,"Observar","OK")))</f>
        <v/>
      </c>
      <c r="K39" s="52" t="n"/>
    </row>
    <row r="40" ht="20" customHeight="1" s="36">
      <c r="A40" s="52" t="n"/>
      <c r="B40" s="61">
        <f>IFERROR(VLOOKUP(A40,Clientes_PDV!$A$2:$J$250,2,FALSE),"")</f>
        <v/>
      </c>
      <c r="C40" s="61">
        <f>IFERROR(VLOOKUP(A40,Clientes_PDV!$A$2:$J$250,3,FALSE),"")</f>
        <v/>
      </c>
      <c r="D40" s="61">
        <f>IFERROR(VLOOKUP(A40,Clientes_PDV!$A$2:$J$250,4,FALSE),"")</f>
        <v/>
      </c>
      <c r="E40" s="52" t="n"/>
      <c r="F40" s="61">
        <f>IFERROR(VLOOKUP(E40,Maestro_SKU!$A$2:$P$500,2,FALSE),"")</f>
        <v/>
      </c>
      <c r="G40" s="59" t="n"/>
      <c r="H40" s="62">
        <f>IF(OR(G40="",E40=""),"",G40*IFERROR(VLOOKUP(E40,Maestro_SKU!$A$2:$P$500,12,FALSE),1))</f>
        <v/>
      </c>
      <c r="I40" s="53" t="n"/>
      <c r="J40" s="61">
        <f>IF(A40="","",IF(H40&lt;=Inicio!$B$16,"Crítico",IF(H40&lt;=Inicio!$B$17,"Observar","OK")))</f>
        <v/>
      </c>
      <c r="K40" s="52" t="n"/>
    </row>
    <row r="41" ht="20" customHeight="1" s="36">
      <c r="A41" s="52" t="n"/>
      <c r="B41" s="61">
        <f>IFERROR(VLOOKUP(A41,Clientes_PDV!$A$2:$J$250,2,FALSE),"")</f>
        <v/>
      </c>
      <c r="C41" s="61">
        <f>IFERROR(VLOOKUP(A41,Clientes_PDV!$A$2:$J$250,3,FALSE),"")</f>
        <v/>
      </c>
      <c r="D41" s="61">
        <f>IFERROR(VLOOKUP(A41,Clientes_PDV!$A$2:$J$250,4,FALSE),"")</f>
        <v/>
      </c>
      <c r="E41" s="52" t="n"/>
      <c r="F41" s="61">
        <f>IFERROR(VLOOKUP(E41,Maestro_SKU!$A$2:$P$500,2,FALSE),"")</f>
        <v/>
      </c>
      <c r="G41" s="59" t="n"/>
      <c r="H41" s="62">
        <f>IF(OR(G41="",E41=""),"",G41*IFERROR(VLOOKUP(E41,Maestro_SKU!$A$2:$P$500,12,FALSE),1))</f>
        <v/>
      </c>
      <c r="I41" s="53" t="n"/>
      <c r="J41" s="61">
        <f>IF(A41="","",IF(H41&lt;=Inicio!$B$16,"Crítico",IF(H41&lt;=Inicio!$B$17,"Observar","OK")))</f>
        <v/>
      </c>
      <c r="K41" s="52" t="n"/>
    </row>
    <row r="42" ht="20" customHeight="1" s="36">
      <c r="A42" s="52" t="n"/>
      <c r="B42" s="61">
        <f>IFERROR(VLOOKUP(A42,Clientes_PDV!$A$2:$J$250,2,FALSE),"")</f>
        <v/>
      </c>
      <c r="C42" s="61">
        <f>IFERROR(VLOOKUP(A42,Clientes_PDV!$A$2:$J$250,3,FALSE),"")</f>
        <v/>
      </c>
      <c r="D42" s="61">
        <f>IFERROR(VLOOKUP(A42,Clientes_PDV!$A$2:$J$250,4,FALSE),"")</f>
        <v/>
      </c>
      <c r="E42" s="52" t="n"/>
      <c r="F42" s="61">
        <f>IFERROR(VLOOKUP(E42,Maestro_SKU!$A$2:$P$500,2,FALSE),"")</f>
        <v/>
      </c>
      <c r="G42" s="59" t="n"/>
      <c r="H42" s="62">
        <f>IF(OR(G42="",E42=""),"",G42*IFERROR(VLOOKUP(E42,Maestro_SKU!$A$2:$P$500,12,FALSE),1))</f>
        <v/>
      </c>
      <c r="I42" s="53" t="n"/>
      <c r="J42" s="61">
        <f>IF(A42="","",IF(H42&lt;=Inicio!$B$16,"Crítico",IF(H42&lt;=Inicio!$B$17,"Observar","OK")))</f>
        <v/>
      </c>
      <c r="K42" s="52" t="n"/>
    </row>
    <row r="43" ht="20" customHeight="1" s="36">
      <c r="A43" s="52" t="n"/>
      <c r="B43" s="61">
        <f>IFERROR(VLOOKUP(A43,Clientes_PDV!$A$2:$J$250,2,FALSE),"")</f>
        <v/>
      </c>
      <c r="C43" s="61">
        <f>IFERROR(VLOOKUP(A43,Clientes_PDV!$A$2:$J$250,3,FALSE),"")</f>
        <v/>
      </c>
      <c r="D43" s="61">
        <f>IFERROR(VLOOKUP(A43,Clientes_PDV!$A$2:$J$250,4,FALSE),"")</f>
        <v/>
      </c>
      <c r="E43" s="52" t="n"/>
      <c r="F43" s="61">
        <f>IFERROR(VLOOKUP(E43,Maestro_SKU!$A$2:$P$500,2,FALSE),"")</f>
        <v/>
      </c>
      <c r="G43" s="59" t="n"/>
      <c r="H43" s="62">
        <f>IF(OR(G43="",E43=""),"",G43*IFERROR(VLOOKUP(E43,Maestro_SKU!$A$2:$P$500,12,FALSE),1))</f>
        <v/>
      </c>
      <c r="I43" s="53" t="n"/>
      <c r="J43" s="61">
        <f>IF(A43="","",IF(H43&lt;=Inicio!$B$16,"Crítico",IF(H43&lt;=Inicio!$B$17,"Observar","OK")))</f>
        <v/>
      </c>
      <c r="K43" s="52" t="n"/>
    </row>
    <row r="44" ht="20" customHeight="1" s="36">
      <c r="A44" s="52" t="n"/>
      <c r="B44" s="61">
        <f>IFERROR(VLOOKUP(A44,Clientes_PDV!$A$2:$J$250,2,FALSE),"")</f>
        <v/>
      </c>
      <c r="C44" s="61">
        <f>IFERROR(VLOOKUP(A44,Clientes_PDV!$A$2:$J$250,3,FALSE),"")</f>
        <v/>
      </c>
      <c r="D44" s="61">
        <f>IFERROR(VLOOKUP(A44,Clientes_PDV!$A$2:$J$250,4,FALSE),"")</f>
        <v/>
      </c>
      <c r="E44" s="52" t="n"/>
      <c r="F44" s="61">
        <f>IFERROR(VLOOKUP(E44,Maestro_SKU!$A$2:$P$500,2,FALSE),"")</f>
        <v/>
      </c>
      <c r="G44" s="59" t="n"/>
      <c r="H44" s="62">
        <f>IF(OR(G44="",E44=""),"",G44*IFERROR(VLOOKUP(E44,Maestro_SKU!$A$2:$P$500,12,FALSE),1))</f>
        <v/>
      </c>
      <c r="I44" s="53" t="n"/>
      <c r="J44" s="61">
        <f>IF(A44="","",IF(H44&lt;=Inicio!$B$16,"Crítico",IF(H44&lt;=Inicio!$B$17,"Observar","OK")))</f>
        <v/>
      </c>
      <c r="K44" s="52" t="n"/>
    </row>
    <row r="45" ht="20" customHeight="1" s="36">
      <c r="A45" s="52" t="n"/>
      <c r="B45" s="61">
        <f>IFERROR(VLOOKUP(A45,Clientes_PDV!$A$2:$J$250,2,FALSE),"")</f>
        <v/>
      </c>
      <c r="C45" s="61">
        <f>IFERROR(VLOOKUP(A45,Clientes_PDV!$A$2:$J$250,3,FALSE),"")</f>
        <v/>
      </c>
      <c r="D45" s="61">
        <f>IFERROR(VLOOKUP(A45,Clientes_PDV!$A$2:$J$250,4,FALSE),"")</f>
        <v/>
      </c>
      <c r="E45" s="52" t="n"/>
      <c r="F45" s="61">
        <f>IFERROR(VLOOKUP(E45,Maestro_SKU!$A$2:$P$500,2,FALSE),"")</f>
        <v/>
      </c>
      <c r="G45" s="59" t="n"/>
      <c r="H45" s="62">
        <f>IF(OR(G45="",E45=""),"",G45*IFERROR(VLOOKUP(E45,Maestro_SKU!$A$2:$P$500,12,FALSE),1))</f>
        <v/>
      </c>
      <c r="I45" s="53" t="n"/>
      <c r="J45" s="61">
        <f>IF(A45="","",IF(H45&lt;=Inicio!$B$16,"Crítico",IF(H45&lt;=Inicio!$B$17,"Observar","OK")))</f>
        <v/>
      </c>
      <c r="K45" s="52" t="n"/>
    </row>
    <row r="46" ht="20" customHeight="1" s="36">
      <c r="A46" s="52" t="n"/>
      <c r="B46" s="61">
        <f>IFERROR(VLOOKUP(A46,Clientes_PDV!$A$2:$J$250,2,FALSE),"")</f>
        <v/>
      </c>
      <c r="C46" s="61">
        <f>IFERROR(VLOOKUP(A46,Clientes_PDV!$A$2:$J$250,3,FALSE),"")</f>
        <v/>
      </c>
      <c r="D46" s="61">
        <f>IFERROR(VLOOKUP(A46,Clientes_PDV!$A$2:$J$250,4,FALSE),"")</f>
        <v/>
      </c>
      <c r="E46" s="52" t="n"/>
      <c r="F46" s="61">
        <f>IFERROR(VLOOKUP(E46,Maestro_SKU!$A$2:$P$500,2,FALSE),"")</f>
        <v/>
      </c>
      <c r="G46" s="59" t="n"/>
      <c r="H46" s="62">
        <f>IF(OR(G46="",E46=""),"",G46*IFERROR(VLOOKUP(E46,Maestro_SKU!$A$2:$P$500,12,FALSE),1))</f>
        <v/>
      </c>
      <c r="I46" s="53" t="n"/>
      <c r="J46" s="61">
        <f>IF(A46="","",IF(H46&lt;=Inicio!$B$16,"Crítico",IF(H46&lt;=Inicio!$B$17,"Observar","OK")))</f>
        <v/>
      </c>
      <c r="K46" s="52" t="n"/>
    </row>
    <row r="47" ht="20" customHeight="1" s="36">
      <c r="A47" s="52" t="n"/>
      <c r="B47" s="61">
        <f>IFERROR(VLOOKUP(A47,Clientes_PDV!$A$2:$J$250,2,FALSE),"")</f>
        <v/>
      </c>
      <c r="C47" s="61">
        <f>IFERROR(VLOOKUP(A47,Clientes_PDV!$A$2:$J$250,3,FALSE),"")</f>
        <v/>
      </c>
      <c r="D47" s="61">
        <f>IFERROR(VLOOKUP(A47,Clientes_PDV!$A$2:$J$250,4,FALSE),"")</f>
        <v/>
      </c>
      <c r="E47" s="52" t="n"/>
      <c r="F47" s="61">
        <f>IFERROR(VLOOKUP(E47,Maestro_SKU!$A$2:$P$500,2,FALSE),"")</f>
        <v/>
      </c>
      <c r="G47" s="59" t="n"/>
      <c r="H47" s="62">
        <f>IF(OR(G47="",E47=""),"",G47*IFERROR(VLOOKUP(E47,Maestro_SKU!$A$2:$P$500,12,FALSE),1))</f>
        <v/>
      </c>
      <c r="I47" s="53" t="n"/>
      <c r="J47" s="61">
        <f>IF(A47="","",IF(H47&lt;=Inicio!$B$16,"Crítico",IF(H47&lt;=Inicio!$B$17,"Observar","OK")))</f>
        <v/>
      </c>
      <c r="K47" s="52" t="n"/>
    </row>
    <row r="48" ht="20" customHeight="1" s="36">
      <c r="A48" s="52" t="n"/>
      <c r="B48" s="61">
        <f>IFERROR(VLOOKUP(A48,Clientes_PDV!$A$2:$J$250,2,FALSE),"")</f>
        <v/>
      </c>
      <c r="C48" s="61">
        <f>IFERROR(VLOOKUP(A48,Clientes_PDV!$A$2:$J$250,3,FALSE),"")</f>
        <v/>
      </c>
      <c r="D48" s="61">
        <f>IFERROR(VLOOKUP(A48,Clientes_PDV!$A$2:$J$250,4,FALSE),"")</f>
        <v/>
      </c>
      <c r="E48" s="52" t="n"/>
      <c r="F48" s="61">
        <f>IFERROR(VLOOKUP(E48,Maestro_SKU!$A$2:$P$500,2,FALSE),"")</f>
        <v/>
      </c>
      <c r="G48" s="59" t="n"/>
      <c r="H48" s="62">
        <f>IF(OR(G48="",E48=""),"",G48*IFERROR(VLOOKUP(E48,Maestro_SKU!$A$2:$P$500,12,FALSE),1))</f>
        <v/>
      </c>
      <c r="I48" s="53" t="n"/>
      <c r="J48" s="61">
        <f>IF(A48="","",IF(H48&lt;=Inicio!$B$16,"Crítico",IF(H48&lt;=Inicio!$B$17,"Observar","OK")))</f>
        <v/>
      </c>
      <c r="K48" s="52" t="n"/>
    </row>
    <row r="49" ht="20" customHeight="1" s="36">
      <c r="A49" s="52" t="n"/>
      <c r="B49" s="61">
        <f>IFERROR(VLOOKUP(A49,Clientes_PDV!$A$2:$J$250,2,FALSE),"")</f>
        <v/>
      </c>
      <c r="C49" s="61">
        <f>IFERROR(VLOOKUP(A49,Clientes_PDV!$A$2:$J$250,3,FALSE),"")</f>
        <v/>
      </c>
      <c r="D49" s="61">
        <f>IFERROR(VLOOKUP(A49,Clientes_PDV!$A$2:$J$250,4,FALSE),"")</f>
        <v/>
      </c>
      <c r="E49" s="52" t="n"/>
      <c r="F49" s="61">
        <f>IFERROR(VLOOKUP(E49,Maestro_SKU!$A$2:$P$500,2,FALSE),"")</f>
        <v/>
      </c>
      <c r="G49" s="59" t="n"/>
      <c r="H49" s="62">
        <f>IF(OR(G49="",E49=""),"",G49*IFERROR(VLOOKUP(E49,Maestro_SKU!$A$2:$P$500,12,FALSE),1))</f>
        <v/>
      </c>
      <c r="I49" s="53" t="n"/>
      <c r="J49" s="61">
        <f>IF(A49="","",IF(H49&lt;=Inicio!$B$16,"Crítico",IF(H49&lt;=Inicio!$B$17,"Observar","OK")))</f>
        <v/>
      </c>
      <c r="K49" s="52" t="n"/>
    </row>
    <row r="50" ht="20" customHeight="1" s="36">
      <c r="A50" s="52" t="n"/>
      <c r="B50" s="61">
        <f>IFERROR(VLOOKUP(A50,Clientes_PDV!$A$2:$J$250,2,FALSE),"")</f>
        <v/>
      </c>
      <c r="C50" s="61">
        <f>IFERROR(VLOOKUP(A50,Clientes_PDV!$A$2:$J$250,3,FALSE),"")</f>
        <v/>
      </c>
      <c r="D50" s="61">
        <f>IFERROR(VLOOKUP(A50,Clientes_PDV!$A$2:$J$250,4,FALSE),"")</f>
        <v/>
      </c>
      <c r="E50" s="52" t="n"/>
      <c r="F50" s="61">
        <f>IFERROR(VLOOKUP(E50,Maestro_SKU!$A$2:$P$500,2,FALSE),"")</f>
        <v/>
      </c>
      <c r="G50" s="59" t="n"/>
      <c r="H50" s="62">
        <f>IF(OR(G50="",E50=""),"",G50*IFERROR(VLOOKUP(E50,Maestro_SKU!$A$2:$P$500,12,FALSE),1))</f>
        <v/>
      </c>
      <c r="I50" s="53" t="n"/>
      <c r="J50" s="61">
        <f>IF(A50="","",IF(H50&lt;=Inicio!$B$16,"Crítico",IF(H50&lt;=Inicio!$B$17,"Observar","OK")))</f>
        <v/>
      </c>
      <c r="K50" s="52" t="n"/>
    </row>
    <row r="51">
      <c r="A51" s="52" t="n"/>
      <c r="B51" s="61">
        <f>IFERROR(VLOOKUP(A51,Clientes_PDV!$A$2:$J$250,2,FALSE),"")</f>
        <v/>
      </c>
      <c r="C51" s="61">
        <f>IFERROR(VLOOKUP(A51,Clientes_PDV!$A$2:$J$250,3,FALSE),"")</f>
        <v/>
      </c>
      <c r="D51" s="61">
        <f>IFERROR(VLOOKUP(A51,Clientes_PDV!$A$2:$J$250,4,FALSE),"")</f>
        <v/>
      </c>
      <c r="E51" s="52" t="n"/>
      <c r="F51" s="61">
        <f>IFERROR(VLOOKUP(E51,Maestro_SKU!$A$2:$P$500,2,FALSE),"")</f>
        <v/>
      </c>
      <c r="G51" s="59" t="n"/>
      <c r="H51" s="62">
        <f>IF(OR(G51="",E51=""),"",G51*IFERROR(VLOOKUP(E51,Maestro_SKU!$A$2:$P$500,12,FALSE),1))</f>
        <v/>
      </c>
      <c r="I51" s="53" t="n"/>
      <c r="J51" s="61">
        <f>IF(A51="","",IF(H51&lt;=Inicio!$B$16,"Crítico",IF(H51&lt;=Inicio!$B$17,"Observar","OK")))</f>
        <v/>
      </c>
      <c r="K51" s="52" t="n"/>
    </row>
    <row r="52">
      <c r="A52" s="52" t="n"/>
      <c r="B52" s="61">
        <f>IFERROR(VLOOKUP(A52,Clientes_PDV!$A$2:$J$250,2,FALSE),"")</f>
        <v/>
      </c>
      <c r="C52" s="61">
        <f>IFERROR(VLOOKUP(A52,Clientes_PDV!$A$2:$J$250,3,FALSE),"")</f>
        <v/>
      </c>
      <c r="D52" s="61">
        <f>IFERROR(VLOOKUP(A52,Clientes_PDV!$A$2:$J$250,4,FALSE),"")</f>
        <v/>
      </c>
      <c r="E52" s="52" t="n"/>
      <c r="F52" s="61">
        <f>IFERROR(VLOOKUP(E52,Maestro_SKU!$A$2:$P$500,2,FALSE),"")</f>
        <v/>
      </c>
      <c r="G52" s="59" t="n"/>
      <c r="H52" s="62">
        <f>IF(OR(G52="",E52=""),"",G52*IFERROR(VLOOKUP(E52,Maestro_SKU!$A$2:$P$500,12,FALSE),1))</f>
        <v/>
      </c>
      <c r="I52" s="53" t="n"/>
      <c r="J52" s="61">
        <f>IF(A52="","",IF(H52&lt;=Inicio!$B$16,"Crítico",IF(H52&lt;=Inicio!$B$17,"Observar","OK")))</f>
        <v/>
      </c>
      <c r="K52" s="52" t="n"/>
    </row>
    <row r="53">
      <c r="A53" s="52" t="n"/>
      <c r="B53" s="61">
        <f>IFERROR(VLOOKUP(A53,Clientes_PDV!$A$2:$J$250,2,FALSE),"")</f>
        <v/>
      </c>
      <c r="C53" s="61">
        <f>IFERROR(VLOOKUP(A53,Clientes_PDV!$A$2:$J$250,3,FALSE),"")</f>
        <v/>
      </c>
      <c r="D53" s="61">
        <f>IFERROR(VLOOKUP(A53,Clientes_PDV!$A$2:$J$250,4,FALSE),"")</f>
        <v/>
      </c>
      <c r="E53" s="52" t="n"/>
      <c r="F53" s="61">
        <f>IFERROR(VLOOKUP(E53,Maestro_SKU!$A$2:$P$500,2,FALSE),"")</f>
        <v/>
      </c>
      <c r="G53" s="59" t="n"/>
      <c r="H53" s="62">
        <f>IF(OR(G53="",E53=""),"",G53*IFERROR(VLOOKUP(E53,Maestro_SKU!$A$2:$P$500,12,FALSE),1))</f>
        <v/>
      </c>
      <c r="I53" s="53" t="n"/>
      <c r="J53" s="61">
        <f>IF(A53="","",IF(H53&lt;=Inicio!$B$16,"Crítico",IF(H53&lt;=Inicio!$B$17,"Observar","OK")))</f>
        <v/>
      </c>
      <c r="K53" s="52" t="n"/>
    </row>
    <row r="54">
      <c r="A54" s="52" t="n"/>
      <c r="B54" s="61">
        <f>IFERROR(VLOOKUP(A54,Clientes_PDV!$A$2:$J$250,2,FALSE),"")</f>
        <v/>
      </c>
      <c r="C54" s="61">
        <f>IFERROR(VLOOKUP(A54,Clientes_PDV!$A$2:$J$250,3,FALSE),"")</f>
        <v/>
      </c>
      <c r="D54" s="61">
        <f>IFERROR(VLOOKUP(A54,Clientes_PDV!$A$2:$J$250,4,FALSE),"")</f>
        <v/>
      </c>
      <c r="E54" s="52" t="n"/>
      <c r="F54" s="61">
        <f>IFERROR(VLOOKUP(E54,Maestro_SKU!$A$2:$P$500,2,FALSE),"")</f>
        <v/>
      </c>
      <c r="G54" s="59" t="n"/>
      <c r="H54" s="62">
        <f>IF(OR(G54="",E54=""),"",G54*IFERROR(VLOOKUP(E54,Maestro_SKU!$A$2:$P$500,12,FALSE),1))</f>
        <v/>
      </c>
      <c r="I54" s="53" t="n"/>
      <c r="J54" s="61">
        <f>IF(A54="","",IF(H54&lt;=Inicio!$B$16,"Crítico",IF(H54&lt;=Inicio!$B$17,"Observar","OK")))</f>
        <v/>
      </c>
      <c r="K54" s="52" t="n"/>
    </row>
    <row r="55">
      <c r="A55" s="52" t="n"/>
      <c r="B55" s="61">
        <f>IFERROR(VLOOKUP(A55,Clientes_PDV!$A$2:$J$250,2,FALSE),"")</f>
        <v/>
      </c>
      <c r="C55" s="61">
        <f>IFERROR(VLOOKUP(A55,Clientes_PDV!$A$2:$J$250,3,FALSE),"")</f>
        <v/>
      </c>
      <c r="D55" s="61">
        <f>IFERROR(VLOOKUP(A55,Clientes_PDV!$A$2:$J$250,4,FALSE),"")</f>
        <v/>
      </c>
      <c r="E55" s="52" t="n"/>
      <c r="F55" s="61">
        <f>IFERROR(VLOOKUP(E55,Maestro_SKU!$A$2:$P$500,2,FALSE),"")</f>
        <v/>
      </c>
      <c r="G55" s="59" t="n"/>
      <c r="H55" s="62">
        <f>IF(OR(G55="",E55=""),"",G55*IFERROR(VLOOKUP(E55,Maestro_SKU!$A$2:$P$500,12,FALSE),1))</f>
        <v/>
      </c>
      <c r="I55" s="53" t="n"/>
      <c r="J55" s="61">
        <f>IF(A55="","",IF(H55&lt;=Inicio!$B$16,"Crítico",IF(H55&lt;=Inicio!$B$17,"Observar","OK")))</f>
        <v/>
      </c>
      <c r="K55" s="52" t="n"/>
    </row>
    <row r="56">
      <c r="A56" s="52" t="n"/>
      <c r="B56" s="61">
        <f>IFERROR(VLOOKUP(A56,Clientes_PDV!$A$2:$J$250,2,FALSE),"")</f>
        <v/>
      </c>
      <c r="C56" s="61">
        <f>IFERROR(VLOOKUP(A56,Clientes_PDV!$A$2:$J$250,3,FALSE),"")</f>
        <v/>
      </c>
      <c r="D56" s="61">
        <f>IFERROR(VLOOKUP(A56,Clientes_PDV!$A$2:$J$250,4,FALSE),"")</f>
        <v/>
      </c>
      <c r="E56" s="52" t="n"/>
      <c r="F56" s="61">
        <f>IFERROR(VLOOKUP(E56,Maestro_SKU!$A$2:$P$500,2,FALSE),"")</f>
        <v/>
      </c>
      <c r="G56" s="59" t="n"/>
      <c r="H56" s="62">
        <f>IF(OR(G56="",E56=""),"",G56*IFERROR(VLOOKUP(E56,Maestro_SKU!$A$2:$P$500,12,FALSE),1))</f>
        <v/>
      </c>
      <c r="I56" s="53" t="n"/>
      <c r="J56" s="61">
        <f>IF(A56="","",IF(H56&lt;=Inicio!$B$16,"Crítico",IF(H56&lt;=Inicio!$B$17,"Observar","OK")))</f>
        <v/>
      </c>
      <c r="K56" s="52" t="n"/>
    </row>
    <row r="57">
      <c r="A57" s="52" t="n"/>
      <c r="B57" s="61">
        <f>IFERROR(VLOOKUP(A57,Clientes_PDV!$A$2:$J$250,2,FALSE),"")</f>
        <v/>
      </c>
      <c r="C57" s="61">
        <f>IFERROR(VLOOKUP(A57,Clientes_PDV!$A$2:$J$250,3,FALSE),"")</f>
        <v/>
      </c>
      <c r="D57" s="61">
        <f>IFERROR(VLOOKUP(A57,Clientes_PDV!$A$2:$J$250,4,FALSE),"")</f>
        <v/>
      </c>
      <c r="E57" s="52" t="n"/>
      <c r="F57" s="61">
        <f>IFERROR(VLOOKUP(E57,Maestro_SKU!$A$2:$P$500,2,FALSE),"")</f>
        <v/>
      </c>
      <c r="G57" s="59" t="n"/>
      <c r="H57" s="62">
        <f>IF(OR(G57="",E57=""),"",G57*IFERROR(VLOOKUP(E57,Maestro_SKU!$A$2:$P$500,12,FALSE),1))</f>
        <v/>
      </c>
      <c r="I57" s="53" t="n"/>
      <c r="J57" s="61">
        <f>IF(A57="","",IF(H57&lt;=Inicio!$B$16,"Crítico",IF(H57&lt;=Inicio!$B$17,"Observar","OK")))</f>
        <v/>
      </c>
      <c r="K57" s="52" t="n"/>
    </row>
    <row r="58">
      <c r="A58" s="52" t="n"/>
      <c r="B58" s="61">
        <f>IFERROR(VLOOKUP(A58,Clientes_PDV!$A$2:$J$250,2,FALSE),"")</f>
        <v/>
      </c>
      <c r="C58" s="61">
        <f>IFERROR(VLOOKUP(A58,Clientes_PDV!$A$2:$J$250,3,FALSE),"")</f>
        <v/>
      </c>
      <c r="D58" s="61">
        <f>IFERROR(VLOOKUP(A58,Clientes_PDV!$A$2:$J$250,4,FALSE),"")</f>
        <v/>
      </c>
      <c r="E58" s="52" t="n"/>
      <c r="F58" s="61">
        <f>IFERROR(VLOOKUP(E58,Maestro_SKU!$A$2:$P$500,2,FALSE),"")</f>
        <v/>
      </c>
      <c r="G58" s="59" t="n"/>
      <c r="H58" s="62">
        <f>IF(OR(G58="",E58=""),"",G58*IFERROR(VLOOKUP(E58,Maestro_SKU!$A$2:$P$500,12,FALSE),1))</f>
        <v/>
      </c>
      <c r="I58" s="53" t="n"/>
      <c r="J58" s="61">
        <f>IF(A58="","",IF(H58&lt;=Inicio!$B$16,"Crítico",IF(H58&lt;=Inicio!$B$17,"Observar","OK")))</f>
        <v/>
      </c>
      <c r="K58" s="52" t="n"/>
    </row>
    <row r="59">
      <c r="A59" s="52" t="n"/>
      <c r="B59" s="61">
        <f>IFERROR(VLOOKUP(A59,Clientes_PDV!$A$2:$J$250,2,FALSE),"")</f>
        <v/>
      </c>
      <c r="C59" s="61">
        <f>IFERROR(VLOOKUP(A59,Clientes_PDV!$A$2:$J$250,3,FALSE),"")</f>
        <v/>
      </c>
      <c r="D59" s="61">
        <f>IFERROR(VLOOKUP(A59,Clientes_PDV!$A$2:$J$250,4,FALSE),"")</f>
        <v/>
      </c>
      <c r="E59" s="52" t="n"/>
      <c r="F59" s="61">
        <f>IFERROR(VLOOKUP(E59,Maestro_SKU!$A$2:$P$500,2,FALSE),"")</f>
        <v/>
      </c>
      <c r="G59" s="59" t="n"/>
      <c r="H59" s="62">
        <f>IF(OR(G59="",E59=""),"",G59*IFERROR(VLOOKUP(E59,Maestro_SKU!$A$2:$P$500,12,FALSE),1))</f>
        <v/>
      </c>
      <c r="I59" s="53" t="n"/>
      <c r="J59" s="61">
        <f>IF(A59="","",IF(H59&lt;=Inicio!$B$16,"Crítico",IF(H59&lt;=Inicio!$B$17,"Observar","OK")))</f>
        <v/>
      </c>
      <c r="K59" s="52" t="n"/>
    </row>
    <row r="60">
      <c r="A60" s="52" t="n"/>
      <c r="B60" s="61">
        <f>IFERROR(VLOOKUP(A60,Clientes_PDV!$A$2:$J$250,2,FALSE),"")</f>
        <v/>
      </c>
      <c r="C60" s="61">
        <f>IFERROR(VLOOKUP(A60,Clientes_PDV!$A$2:$J$250,3,FALSE),"")</f>
        <v/>
      </c>
      <c r="D60" s="61">
        <f>IFERROR(VLOOKUP(A60,Clientes_PDV!$A$2:$J$250,4,FALSE),"")</f>
        <v/>
      </c>
      <c r="E60" s="52" t="n"/>
      <c r="F60" s="61">
        <f>IFERROR(VLOOKUP(E60,Maestro_SKU!$A$2:$P$500,2,FALSE),"")</f>
        <v/>
      </c>
      <c r="G60" s="59" t="n"/>
      <c r="H60" s="62">
        <f>IF(OR(G60="",E60=""),"",G60*IFERROR(VLOOKUP(E60,Maestro_SKU!$A$2:$P$500,12,FALSE),1))</f>
        <v/>
      </c>
      <c r="I60" s="53" t="n"/>
      <c r="J60" s="61">
        <f>IF(A60="","",IF(H60&lt;=Inicio!$B$16,"Crítico",IF(H60&lt;=Inicio!$B$17,"Observar","OK")))</f>
        <v/>
      </c>
      <c r="K60" s="52" t="n"/>
    </row>
    <row r="61">
      <c r="A61" s="52" t="n"/>
      <c r="B61" s="61">
        <f>IFERROR(VLOOKUP(A61,Clientes_PDV!$A$2:$J$250,2,FALSE),"")</f>
        <v/>
      </c>
      <c r="C61" s="61">
        <f>IFERROR(VLOOKUP(A61,Clientes_PDV!$A$2:$J$250,3,FALSE),"")</f>
        <v/>
      </c>
      <c r="D61" s="61">
        <f>IFERROR(VLOOKUP(A61,Clientes_PDV!$A$2:$J$250,4,FALSE),"")</f>
        <v/>
      </c>
      <c r="E61" s="52" t="n"/>
      <c r="F61" s="61">
        <f>IFERROR(VLOOKUP(E61,Maestro_SKU!$A$2:$P$500,2,FALSE),"")</f>
        <v/>
      </c>
      <c r="G61" s="59" t="n"/>
      <c r="H61" s="62">
        <f>IF(OR(G61="",E61=""),"",G61*IFERROR(VLOOKUP(E61,Maestro_SKU!$A$2:$P$500,12,FALSE),1))</f>
        <v/>
      </c>
      <c r="I61" s="53" t="n"/>
      <c r="J61" s="61">
        <f>IF(A61="","",IF(H61&lt;=Inicio!$B$16,"Crítico",IF(H61&lt;=Inicio!$B$17,"Observar","OK")))</f>
        <v/>
      </c>
      <c r="K61" s="52" t="n"/>
    </row>
    <row r="62">
      <c r="A62" s="52" t="n"/>
      <c r="B62" s="61">
        <f>IFERROR(VLOOKUP(A62,Clientes_PDV!$A$2:$J$250,2,FALSE),"")</f>
        <v/>
      </c>
      <c r="C62" s="61">
        <f>IFERROR(VLOOKUP(A62,Clientes_PDV!$A$2:$J$250,3,FALSE),"")</f>
        <v/>
      </c>
      <c r="D62" s="61">
        <f>IFERROR(VLOOKUP(A62,Clientes_PDV!$A$2:$J$250,4,FALSE),"")</f>
        <v/>
      </c>
      <c r="E62" s="52" t="n"/>
      <c r="F62" s="61">
        <f>IFERROR(VLOOKUP(E62,Maestro_SKU!$A$2:$P$500,2,FALSE),"")</f>
        <v/>
      </c>
      <c r="G62" s="59" t="n"/>
      <c r="H62" s="62">
        <f>IF(OR(G62="",E62=""),"",G62*IFERROR(VLOOKUP(E62,Maestro_SKU!$A$2:$P$500,12,FALSE),1))</f>
        <v/>
      </c>
      <c r="I62" s="53" t="n"/>
      <c r="J62" s="61">
        <f>IF(A62="","",IF(H62&lt;=Inicio!$B$16,"Crítico",IF(H62&lt;=Inicio!$B$17,"Observar","OK")))</f>
        <v/>
      </c>
      <c r="K62" s="52" t="n"/>
    </row>
    <row r="63">
      <c r="A63" s="52" t="n"/>
      <c r="B63" s="61">
        <f>IFERROR(VLOOKUP(A63,Clientes_PDV!$A$2:$J$250,2,FALSE),"")</f>
        <v/>
      </c>
      <c r="C63" s="61">
        <f>IFERROR(VLOOKUP(A63,Clientes_PDV!$A$2:$J$250,3,FALSE),"")</f>
        <v/>
      </c>
      <c r="D63" s="61">
        <f>IFERROR(VLOOKUP(A63,Clientes_PDV!$A$2:$J$250,4,FALSE),"")</f>
        <v/>
      </c>
      <c r="E63" s="52" t="n"/>
      <c r="F63" s="61">
        <f>IFERROR(VLOOKUP(E63,Maestro_SKU!$A$2:$P$500,2,FALSE),"")</f>
        <v/>
      </c>
      <c r="G63" s="59" t="n"/>
      <c r="H63" s="62">
        <f>IF(OR(G63="",E63=""),"",G63*IFERROR(VLOOKUP(E63,Maestro_SKU!$A$2:$P$500,12,FALSE),1))</f>
        <v/>
      </c>
      <c r="I63" s="53" t="n"/>
      <c r="J63" s="61">
        <f>IF(A63="","",IF(H63&lt;=Inicio!$B$16,"Crítico",IF(H63&lt;=Inicio!$B$17,"Observar","OK")))</f>
        <v/>
      </c>
      <c r="K63" s="52" t="n"/>
    </row>
    <row r="64">
      <c r="A64" s="52" t="n"/>
      <c r="B64" s="61">
        <f>IFERROR(VLOOKUP(A64,Clientes_PDV!$A$2:$J$250,2,FALSE),"")</f>
        <v/>
      </c>
      <c r="C64" s="61">
        <f>IFERROR(VLOOKUP(A64,Clientes_PDV!$A$2:$J$250,3,FALSE),"")</f>
        <v/>
      </c>
      <c r="D64" s="61">
        <f>IFERROR(VLOOKUP(A64,Clientes_PDV!$A$2:$J$250,4,FALSE),"")</f>
        <v/>
      </c>
      <c r="E64" s="52" t="n"/>
      <c r="F64" s="61">
        <f>IFERROR(VLOOKUP(E64,Maestro_SKU!$A$2:$P$500,2,FALSE),"")</f>
        <v/>
      </c>
      <c r="G64" s="59" t="n"/>
      <c r="H64" s="62">
        <f>IF(OR(G64="",E64=""),"",G64*IFERROR(VLOOKUP(E64,Maestro_SKU!$A$2:$P$500,12,FALSE),1))</f>
        <v/>
      </c>
      <c r="I64" s="53" t="n"/>
      <c r="J64" s="61">
        <f>IF(A64="","",IF(H64&lt;=Inicio!$B$16,"Crítico",IF(H64&lt;=Inicio!$B$17,"Observar","OK")))</f>
        <v/>
      </c>
      <c r="K64" s="52" t="n"/>
    </row>
    <row r="65">
      <c r="A65" s="52" t="n"/>
      <c r="B65" s="61">
        <f>IFERROR(VLOOKUP(A65,Clientes_PDV!$A$2:$J$250,2,FALSE),"")</f>
        <v/>
      </c>
      <c r="C65" s="61">
        <f>IFERROR(VLOOKUP(A65,Clientes_PDV!$A$2:$J$250,3,FALSE),"")</f>
        <v/>
      </c>
      <c r="D65" s="61">
        <f>IFERROR(VLOOKUP(A65,Clientes_PDV!$A$2:$J$250,4,FALSE),"")</f>
        <v/>
      </c>
      <c r="E65" s="52" t="n"/>
      <c r="F65" s="61">
        <f>IFERROR(VLOOKUP(E65,Maestro_SKU!$A$2:$P$500,2,FALSE),"")</f>
        <v/>
      </c>
      <c r="G65" s="59" t="n"/>
      <c r="H65" s="62">
        <f>IF(OR(G65="",E65=""),"",G65*IFERROR(VLOOKUP(E65,Maestro_SKU!$A$2:$P$500,12,FALSE),1))</f>
        <v/>
      </c>
      <c r="I65" s="53" t="n"/>
      <c r="J65" s="61">
        <f>IF(A65="","",IF(H65&lt;=Inicio!$B$16,"Crítico",IF(H65&lt;=Inicio!$B$17,"Observar","OK")))</f>
        <v/>
      </c>
      <c r="K65" s="52" t="n"/>
    </row>
    <row r="66">
      <c r="A66" s="52" t="n"/>
      <c r="B66" s="61">
        <f>IFERROR(VLOOKUP(A66,Clientes_PDV!$A$2:$J$250,2,FALSE),"")</f>
        <v/>
      </c>
      <c r="C66" s="61">
        <f>IFERROR(VLOOKUP(A66,Clientes_PDV!$A$2:$J$250,3,FALSE),"")</f>
        <v/>
      </c>
      <c r="D66" s="61">
        <f>IFERROR(VLOOKUP(A66,Clientes_PDV!$A$2:$J$250,4,FALSE),"")</f>
        <v/>
      </c>
      <c r="E66" s="52" t="n"/>
      <c r="F66" s="61">
        <f>IFERROR(VLOOKUP(E66,Maestro_SKU!$A$2:$P$500,2,FALSE),"")</f>
        <v/>
      </c>
      <c r="G66" s="59" t="n"/>
      <c r="H66" s="62">
        <f>IF(OR(G66="",E66=""),"",G66*IFERROR(VLOOKUP(E66,Maestro_SKU!$A$2:$P$500,12,FALSE),1))</f>
        <v/>
      </c>
      <c r="I66" s="53" t="n"/>
      <c r="J66" s="61">
        <f>IF(A66="","",IF(H66&lt;=Inicio!$B$16,"Crítico",IF(H66&lt;=Inicio!$B$17,"Observar","OK")))</f>
        <v/>
      </c>
      <c r="K66" s="52" t="n"/>
    </row>
    <row r="67">
      <c r="A67" s="52" t="n"/>
      <c r="B67" s="61">
        <f>IFERROR(VLOOKUP(A67,Clientes_PDV!$A$2:$J$250,2,FALSE),"")</f>
        <v/>
      </c>
      <c r="C67" s="61">
        <f>IFERROR(VLOOKUP(A67,Clientes_PDV!$A$2:$J$250,3,FALSE),"")</f>
        <v/>
      </c>
      <c r="D67" s="61">
        <f>IFERROR(VLOOKUP(A67,Clientes_PDV!$A$2:$J$250,4,FALSE),"")</f>
        <v/>
      </c>
      <c r="E67" s="52" t="n"/>
      <c r="F67" s="61">
        <f>IFERROR(VLOOKUP(E67,Maestro_SKU!$A$2:$P$500,2,FALSE),"")</f>
        <v/>
      </c>
      <c r="G67" s="59" t="n"/>
      <c r="H67" s="62">
        <f>IF(OR(G67="",E67=""),"",G67*IFERROR(VLOOKUP(E67,Maestro_SKU!$A$2:$P$500,12,FALSE),1))</f>
        <v/>
      </c>
      <c r="I67" s="53" t="n"/>
      <c r="J67" s="61">
        <f>IF(A67="","",IF(H67&lt;=Inicio!$B$16,"Crítico",IF(H67&lt;=Inicio!$B$17,"Observar","OK")))</f>
        <v/>
      </c>
      <c r="K67" s="52" t="n"/>
    </row>
    <row r="68">
      <c r="A68" s="52" t="n"/>
      <c r="B68" s="61">
        <f>IFERROR(VLOOKUP(A68,Clientes_PDV!$A$2:$J$250,2,FALSE),"")</f>
        <v/>
      </c>
      <c r="C68" s="61">
        <f>IFERROR(VLOOKUP(A68,Clientes_PDV!$A$2:$J$250,3,FALSE),"")</f>
        <v/>
      </c>
      <c r="D68" s="61">
        <f>IFERROR(VLOOKUP(A68,Clientes_PDV!$A$2:$J$250,4,FALSE),"")</f>
        <v/>
      </c>
      <c r="E68" s="52" t="n"/>
      <c r="F68" s="61">
        <f>IFERROR(VLOOKUP(E68,Maestro_SKU!$A$2:$P$500,2,FALSE),"")</f>
        <v/>
      </c>
      <c r="G68" s="59" t="n"/>
      <c r="H68" s="62">
        <f>IF(OR(G68="",E68=""),"",G68*IFERROR(VLOOKUP(E68,Maestro_SKU!$A$2:$P$500,12,FALSE),1))</f>
        <v/>
      </c>
      <c r="I68" s="53" t="n"/>
      <c r="J68" s="61">
        <f>IF(A68="","",IF(H68&lt;=Inicio!$B$16,"Crítico",IF(H68&lt;=Inicio!$B$17,"Observar","OK")))</f>
        <v/>
      </c>
      <c r="K68" s="52" t="n"/>
    </row>
    <row r="69">
      <c r="A69" s="52" t="n"/>
      <c r="B69" s="61">
        <f>IFERROR(VLOOKUP(A69,Clientes_PDV!$A$2:$J$250,2,FALSE),"")</f>
        <v/>
      </c>
      <c r="C69" s="61">
        <f>IFERROR(VLOOKUP(A69,Clientes_PDV!$A$2:$J$250,3,FALSE),"")</f>
        <v/>
      </c>
      <c r="D69" s="61">
        <f>IFERROR(VLOOKUP(A69,Clientes_PDV!$A$2:$J$250,4,FALSE),"")</f>
        <v/>
      </c>
      <c r="E69" s="52" t="n"/>
      <c r="F69" s="61">
        <f>IFERROR(VLOOKUP(E69,Maestro_SKU!$A$2:$P$500,2,FALSE),"")</f>
        <v/>
      </c>
      <c r="G69" s="59" t="n"/>
      <c r="H69" s="62">
        <f>IF(OR(G69="",E69=""),"",G69*IFERROR(VLOOKUP(E69,Maestro_SKU!$A$2:$P$500,12,FALSE),1))</f>
        <v/>
      </c>
      <c r="I69" s="53" t="n"/>
      <c r="J69" s="61">
        <f>IF(A69="","",IF(H69&lt;=Inicio!$B$16,"Crítico",IF(H69&lt;=Inicio!$B$17,"Observar","OK")))</f>
        <v/>
      </c>
      <c r="K69" s="52" t="n"/>
    </row>
    <row r="70">
      <c r="A70" s="52" t="n"/>
      <c r="B70" s="61">
        <f>IFERROR(VLOOKUP(A70,Clientes_PDV!$A$2:$J$250,2,FALSE),"")</f>
        <v/>
      </c>
      <c r="C70" s="61">
        <f>IFERROR(VLOOKUP(A70,Clientes_PDV!$A$2:$J$250,3,FALSE),"")</f>
        <v/>
      </c>
      <c r="D70" s="61">
        <f>IFERROR(VLOOKUP(A70,Clientes_PDV!$A$2:$J$250,4,FALSE),"")</f>
        <v/>
      </c>
      <c r="E70" s="52" t="n"/>
      <c r="F70" s="61">
        <f>IFERROR(VLOOKUP(E70,Maestro_SKU!$A$2:$P$500,2,FALSE),"")</f>
        <v/>
      </c>
      <c r="G70" s="59" t="n"/>
      <c r="H70" s="62">
        <f>IF(OR(G70="",E70=""),"",G70*IFERROR(VLOOKUP(E70,Maestro_SKU!$A$2:$P$500,12,FALSE),1))</f>
        <v/>
      </c>
      <c r="I70" s="53" t="n"/>
      <c r="J70" s="61">
        <f>IF(A70="","",IF(H70&lt;=Inicio!$B$16,"Crítico",IF(H70&lt;=Inicio!$B$17,"Observar","OK")))</f>
        <v/>
      </c>
      <c r="K70" s="52" t="n"/>
    </row>
    <row r="71">
      <c r="A71" s="52" t="n"/>
      <c r="B71" s="61">
        <f>IFERROR(VLOOKUP(A71,Clientes_PDV!$A$2:$J$250,2,FALSE),"")</f>
        <v/>
      </c>
      <c r="C71" s="61">
        <f>IFERROR(VLOOKUP(A71,Clientes_PDV!$A$2:$J$250,3,FALSE),"")</f>
        <v/>
      </c>
      <c r="D71" s="61">
        <f>IFERROR(VLOOKUP(A71,Clientes_PDV!$A$2:$J$250,4,FALSE),"")</f>
        <v/>
      </c>
      <c r="E71" s="52" t="n"/>
      <c r="F71" s="61">
        <f>IFERROR(VLOOKUP(E71,Maestro_SKU!$A$2:$P$500,2,FALSE),"")</f>
        <v/>
      </c>
      <c r="G71" s="59" t="n"/>
      <c r="H71" s="62">
        <f>IF(OR(G71="",E71=""),"",G71*IFERROR(VLOOKUP(E71,Maestro_SKU!$A$2:$P$500,12,FALSE),1))</f>
        <v/>
      </c>
      <c r="I71" s="53" t="n"/>
      <c r="J71" s="61">
        <f>IF(A71="","",IF(H71&lt;=Inicio!$B$16,"Crítico",IF(H71&lt;=Inicio!$B$17,"Observar","OK")))</f>
        <v/>
      </c>
      <c r="K71" s="52" t="n"/>
    </row>
    <row r="72">
      <c r="A72" s="52" t="n"/>
      <c r="B72" s="61">
        <f>IFERROR(VLOOKUP(A72,Clientes_PDV!$A$2:$J$250,2,FALSE),"")</f>
        <v/>
      </c>
      <c r="C72" s="61">
        <f>IFERROR(VLOOKUP(A72,Clientes_PDV!$A$2:$J$250,3,FALSE),"")</f>
        <v/>
      </c>
      <c r="D72" s="61">
        <f>IFERROR(VLOOKUP(A72,Clientes_PDV!$A$2:$J$250,4,FALSE),"")</f>
        <v/>
      </c>
      <c r="E72" s="52" t="n"/>
      <c r="F72" s="61">
        <f>IFERROR(VLOOKUP(E72,Maestro_SKU!$A$2:$P$500,2,FALSE),"")</f>
        <v/>
      </c>
      <c r="G72" s="59" t="n"/>
      <c r="H72" s="62">
        <f>IF(OR(G72="",E72=""),"",G72*IFERROR(VLOOKUP(E72,Maestro_SKU!$A$2:$P$500,12,FALSE),1))</f>
        <v/>
      </c>
      <c r="I72" s="53" t="n"/>
      <c r="J72" s="61">
        <f>IF(A72="","",IF(H72&lt;=Inicio!$B$16,"Crítico",IF(H72&lt;=Inicio!$B$17,"Observar","OK")))</f>
        <v/>
      </c>
      <c r="K72" s="52" t="n"/>
    </row>
    <row r="73">
      <c r="A73" s="52" t="n"/>
      <c r="B73" s="61">
        <f>IFERROR(VLOOKUP(A73,Clientes_PDV!$A$2:$J$250,2,FALSE),"")</f>
        <v/>
      </c>
      <c r="C73" s="61">
        <f>IFERROR(VLOOKUP(A73,Clientes_PDV!$A$2:$J$250,3,FALSE),"")</f>
        <v/>
      </c>
      <c r="D73" s="61">
        <f>IFERROR(VLOOKUP(A73,Clientes_PDV!$A$2:$J$250,4,FALSE),"")</f>
        <v/>
      </c>
      <c r="E73" s="52" t="n"/>
      <c r="F73" s="61">
        <f>IFERROR(VLOOKUP(E73,Maestro_SKU!$A$2:$P$500,2,FALSE),"")</f>
        <v/>
      </c>
      <c r="G73" s="59" t="n"/>
      <c r="H73" s="62">
        <f>IF(OR(G73="",E73=""),"",G73*IFERROR(VLOOKUP(E73,Maestro_SKU!$A$2:$P$500,12,FALSE),1))</f>
        <v/>
      </c>
      <c r="I73" s="53" t="n"/>
      <c r="J73" s="61">
        <f>IF(A73="","",IF(H73&lt;=Inicio!$B$16,"Crítico",IF(H73&lt;=Inicio!$B$17,"Observar","OK")))</f>
        <v/>
      </c>
      <c r="K73" s="52" t="n"/>
    </row>
    <row r="74">
      <c r="A74" s="52" t="n"/>
      <c r="B74" s="61">
        <f>IFERROR(VLOOKUP(A74,Clientes_PDV!$A$2:$J$250,2,FALSE),"")</f>
        <v/>
      </c>
      <c r="C74" s="61">
        <f>IFERROR(VLOOKUP(A74,Clientes_PDV!$A$2:$J$250,3,FALSE),"")</f>
        <v/>
      </c>
      <c r="D74" s="61">
        <f>IFERROR(VLOOKUP(A74,Clientes_PDV!$A$2:$J$250,4,FALSE),"")</f>
        <v/>
      </c>
      <c r="E74" s="52" t="n"/>
      <c r="F74" s="61">
        <f>IFERROR(VLOOKUP(E74,Maestro_SKU!$A$2:$P$500,2,FALSE),"")</f>
        <v/>
      </c>
      <c r="G74" s="59" t="n"/>
      <c r="H74" s="62">
        <f>IF(OR(G74="",E74=""),"",G74*IFERROR(VLOOKUP(E74,Maestro_SKU!$A$2:$P$500,12,FALSE),1))</f>
        <v/>
      </c>
      <c r="I74" s="53" t="n"/>
      <c r="J74" s="61">
        <f>IF(A74="","",IF(H74&lt;=Inicio!$B$16,"Crítico",IF(H74&lt;=Inicio!$B$17,"Observar","OK")))</f>
        <v/>
      </c>
      <c r="K74" s="52" t="n"/>
    </row>
    <row r="75">
      <c r="A75" s="52" t="n"/>
      <c r="B75" s="61">
        <f>IFERROR(VLOOKUP(A75,Clientes_PDV!$A$2:$J$250,2,FALSE),"")</f>
        <v/>
      </c>
      <c r="C75" s="61">
        <f>IFERROR(VLOOKUP(A75,Clientes_PDV!$A$2:$J$250,3,FALSE),"")</f>
        <v/>
      </c>
      <c r="D75" s="61">
        <f>IFERROR(VLOOKUP(A75,Clientes_PDV!$A$2:$J$250,4,FALSE),"")</f>
        <v/>
      </c>
      <c r="E75" s="52" t="n"/>
      <c r="F75" s="61">
        <f>IFERROR(VLOOKUP(E75,Maestro_SKU!$A$2:$P$500,2,FALSE),"")</f>
        <v/>
      </c>
      <c r="G75" s="59" t="n"/>
      <c r="H75" s="62">
        <f>IF(OR(G75="",E75=""),"",G75*IFERROR(VLOOKUP(E75,Maestro_SKU!$A$2:$P$500,12,FALSE),1))</f>
        <v/>
      </c>
      <c r="I75" s="53" t="n"/>
      <c r="J75" s="61">
        <f>IF(A75="","",IF(H75&lt;=Inicio!$B$16,"Crítico",IF(H75&lt;=Inicio!$B$17,"Observar","OK")))</f>
        <v/>
      </c>
      <c r="K75" s="52" t="n"/>
    </row>
    <row r="76">
      <c r="A76" s="52" t="n"/>
      <c r="B76" s="61">
        <f>IFERROR(VLOOKUP(A76,Clientes_PDV!$A$2:$J$250,2,FALSE),"")</f>
        <v/>
      </c>
      <c r="C76" s="61">
        <f>IFERROR(VLOOKUP(A76,Clientes_PDV!$A$2:$J$250,3,FALSE),"")</f>
        <v/>
      </c>
      <c r="D76" s="61">
        <f>IFERROR(VLOOKUP(A76,Clientes_PDV!$A$2:$J$250,4,FALSE),"")</f>
        <v/>
      </c>
      <c r="E76" s="52" t="n"/>
      <c r="F76" s="61">
        <f>IFERROR(VLOOKUP(E76,Maestro_SKU!$A$2:$P$500,2,FALSE),"")</f>
        <v/>
      </c>
      <c r="G76" s="59" t="n"/>
      <c r="H76" s="62">
        <f>IF(OR(G76="",E76=""),"",G76*IFERROR(VLOOKUP(E76,Maestro_SKU!$A$2:$P$500,12,FALSE),1))</f>
        <v/>
      </c>
      <c r="I76" s="53" t="n"/>
      <c r="J76" s="61">
        <f>IF(A76="","",IF(H76&lt;=Inicio!$B$16,"Crítico",IF(H76&lt;=Inicio!$B$17,"Observar","OK")))</f>
        <v/>
      </c>
      <c r="K76" s="52" t="n"/>
    </row>
    <row r="77">
      <c r="A77" s="52" t="n"/>
      <c r="B77" s="61">
        <f>IFERROR(VLOOKUP(A77,Clientes_PDV!$A$2:$J$250,2,FALSE),"")</f>
        <v/>
      </c>
      <c r="C77" s="61">
        <f>IFERROR(VLOOKUP(A77,Clientes_PDV!$A$2:$J$250,3,FALSE),"")</f>
        <v/>
      </c>
      <c r="D77" s="61">
        <f>IFERROR(VLOOKUP(A77,Clientes_PDV!$A$2:$J$250,4,FALSE),"")</f>
        <v/>
      </c>
      <c r="E77" s="52" t="n"/>
      <c r="F77" s="61">
        <f>IFERROR(VLOOKUP(E77,Maestro_SKU!$A$2:$P$500,2,FALSE),"")</f>
        <v/>
      </c>
      <c r="G77" s="59" t="n"/>
      <c r="H77" s="62">
        <f>IF(OR(G77="",E77=""),"",G77*IFERROR(VLOOKUP(E77,Maestro_SKU!$A$2:$P$500,12,FALSE),1))</f>
        <v/>
      </c>
      <c r="I77" s="53" t="n"/>
      <c r="J77" s="61">
        <f>IF(A77="","",IF(H77&lt;=Inicio!$B$16,"Crítico",IF(H77&lt;=Inicio!$B$17,"Observar","OK")))</f>
        <v/>
      </c>
      <c r="K77" s="52" t="n"/>
    </row>
    <row r="78">
      <c r="A78" s="52" t="n"/>
      <c r="B78" s="61">
        <f>IFERROR(VLOOKUP(A78,Clientes_PDV!$A$2:$J$250,2,FALSE),"")</f>
        <v/>
      </c>
      <c r="C78" s="61">
        <f>IFERROR(VLOOKUP(A78,Clientes_PDV!$A$2:$J$250,3,FALSE),"")</f>
        <v/>
      </c>
      <c r="D78" s="61">
        <f>IFERROR(VLOOKUP(A78,Clientes_PDV!$A$2:$J$250,4,FALSE),"")</f>
        <v/>
      </c>
      <c r="E78" s="52" t="n"/>
      <c r="F78" s="61">
        <f>IFERROR(VLOOKUP(E78,Maestro_SKU!$A$2:$P$500,2,FALSE),"")</f>
        <v/>
      </c>
      <c r="G78" s="59" t="n"/>
      <c r="H78" s="62">
        <f>IF(OR(G78="",E78=""),"",G78*IFERROR(VLOOKUP(E78,Maestro_SKU!$A$2:$P$500,12,FALSE),1))</f>
        <v/>
      </c>
      <c r="I78" s="53" t="n"/>
      <c r="J78" s="61">
        <f>IF(A78="","",IF(H78&lt;=Inicio!$B$16,"Crítico",IF(H78&lt;=Inicio!$B$17,"Observar","OK")))</f>
        <v/>
      </c>
      <c r="K78" s="52" t="n"/>
    </row>
    <row r="79">
      <c r="A79" s="52" t="n"/>
      <c r="B79" s="61">
        <f>IFERROR(VLOOKUP(A79,Clientes_PDV!$A$2:$J$250,2,FALSE),"")</f>
        <v/>
      </c>
      <c r="C79" s="61">
        <f>IFERROR(VLOOKUP(A79,Clientes_PDV!$A$2:$J$250,3,FALSE),"")</f>
        <v/>
      </c>
      <c r="D79" s="61">
        <f>IFERROR(VLOOKUP(A79,Clientes_PDV!$A$2:$J$250,4,FALSE),"")</f>
        <v/>
      </c>
      <c r="E79" s="52" t="n"/>
      <c r="F79" s="61">
        <f>IFERROR(VLOOKUP(E79,Maestro_SKU!$A$2:$P$500,2,FALSE),"")</f>
        <v/>
      </c>
      <c r="G79" s="59" t="n"/>
      <c r="H79" s="62">
        <f>IF(OR(G79="",E79=""),"",G79*IFERROR(VLOOKUP(E79,Maestro_SKU!$A$2:$P$500,12,FALSE),1))</f>
        <v/>
      </c>
      <c r="I79" s="53" t="n"/>
      <c r="J79" s="61">
        <f>IF(A79="","",IF(H79&lt;=Inicio!$B$16,"Crítico",IF(H79&lt;=Inicio!$B$17,"Observar","OK")))</f>
        <v/>
      </c>
      <c r="K79" s="52" t="n"/>
    </row>
    <row r="80">
      <c r="A80" s="52" t="n"/>
      <c r="B80" s="61">
        <f>IFERROR(VLOOKUP(A80,Clientes_PDV!$A$2:$J$250,2,FALSE),"")</f>
        <v/>
      </c>
      <c r="C80" s="61">
        <f>IFERROR(VLOOKUP(A80,Clientes_PDV!$A$2:$J$250,3,FALSE),"")</f>
        <v/>
      </c>
      <c r="D80" s="61">
        <f>IFERROR(VLOOKUP(A80,Clientes_PDV!$A$2:$J$250,4,FALSE),"")</f>
        <v/>
      </c>
      <c r="E80" s="52" t="n"/>
      <c r="F80" s="61">
        <f>IFERROR(VLOOKUP(E80,Maestro_SKU!$A$2:$P$500,2,FALSE),"")</f>
        <v/>
      </c>
      <c r="G80" s="59" t="n"/>
      <c r="H80" s="62">
        <f>IF(OR(G80="",E80=""),"",G80*IFERROR(VLOOKUP(E80,Maestro_SKU!$A$2:$P$500,12,FALSE),1))</f>
        <v/>
      </c>
      <c r="I80" s="53" t="n"/>
      <c r="J80" s="61">
        <f>IF(A80="","",IF(H80&lt;=Inicio!$B$16,"Crítico",IF(H80&lt;=Inicio!$B$17,"Observar","OK")))</f>
        <v/>
      </c>
      <c r="K80" s="52" t="n"/>
    </row>
    <row r="81">
      <c r="A81" s="52" t="n"/>
      <c r="B81" s="61">
        <f>IFERROR(VLOOKUP(A81,Clientes_PDV!$A$2:$J$250,2,FALSE),"")</f>
        <v/>
      </c>
      <c r="C81" s="61">
        <f>IFERROR(VLOOKUP(A81,Clientes_PDV!$A$2:$J$250,3,FALSE),"")</f>
        <v/>
      </c>
      <c r="D81" s="61">
        <f>IFERROR(VLOOKUP(A81,Clientes_PDV!$A$2:$J$250,4,FALSE),"")</f>
        <v/>
      </c>
      <c r="E81" s="52" t="n"/>
      <c r="F81" s="61">
        <f>IFERROR(VLOOKUP(E81,Maestro_SKU!$A$2:$P$500,2,FALSE),"")</f>
        <v/>
      </c>
      <c r="G81" s="59" t="n"/>
      <c r="H81" s="62">
        <f>IF(OR(G81="",E81=""),"",G81*IFERROR(VLOOKUP(E81,Maestro_SKU!$A$2:$P$500,12,FALSE),1))</f>
        <v/>
      </c>
      <c r="I81" s="53" t="n"/>
      <c r="J81" s="61">
        <f>IF(A81="","",IF(H81&lt;=Inicio!$B$16,"Crítico",IF(H81&lt;=Inicio!$B$17,"Observar","OK")))</f>
        <v/>
      </c>
      <c r="K81" s="52" t="n"/>
    </row>
    <row r="82">
      <c r="A82" s="52" t="n"/>
      <c r="B82" s="61">
        <f>IFERROR(VLOOKUP(A82,Clientes_PDV!$A$2:$J$250,2,FALSE),"")</f>
        <v/>
      </c>
      <c r="C82" s="61">
        <f>IFERROR(VLOOKUP(A82,Clientes_PDV!$A$2:$J$250,3,FALSE),"")</f>
        <v/>
      </c>
      <c r="D82" s="61">
        <f>IFERROR(VLOOKUP(A82,Clientes_PDV!$A$2:$J$250,4,FALSE),"")</f>
        <v/>
      </c>
      <c r="E82" s="52" t="n"/>
      <c r="F82" s="61">
        <f>IFERROR(VLOOKUP(E82,Maestro_SKU!$A$2:$P$500,2,FALSE),"")</f>
        <v/>
      </c>
      <c r="G82" s="59" t="n"/>
      <c r="H82" s="62">
        <f>IF(OR(G82="",E82=""),"",G82*IFERROR(VLOOKUP(E82,Maestro_SKU!$A$2:$P$500,12,FALSE),1))</f>
        <v/>
      </c>
      <c r="I82" s="53" t="n"/>
      <c r="J82" s="61">
        <f>IF(A82="","",IF(H82&lt;=Inicio!$B$16,"Crítico",IF(H82&lt;=Inicio!$B$17,"Observar","OK")))</f>
        <v/>
      </c>
      <c r="K82" s="52" t="n"/>
    </row>
    <row r="83">
      <c r="A83" s="52" t="n"/>
      <c r="B83" s="61">
        <f>IFERROR(VLOOKUP(A83,Clientes_PDV!$A$2:$J$250,2,FALSE),"")</f>
        <v/>
      </c>
      <c r="C83" s="61">
        <f>IFERROR(VLOOKUP(A83,Clientes_PDV!$A$2:$J$250,3,FALSE),"")</f>
        <v/>
      </c>
      <c r="D83" s="61">
        <f>IFERROR(VLOOKUP(A83,Clientes_PDV!$A$2:$J$250,4,FALSE),"")</f>
        <v/>
      </c>
      <c r="E83" s="52" t="n"/>
      <c r="F83" s="61">
        <f>IFERROR(VLOOKUP(E83,Maestro_SKU!$A$2:$P$500,2,FALSE),"")</f>
        <v/>
      </c>
      <c r="G83" s="59" t="n"/>
      <c r="H83" s="62">
        <f>IF(OR(G83="",E83=""),"",G83*IFERROR(VLOOKUP(E83,Maestro_SKU!$A$2:$P$500,12,FALSE),1))</f>
        <v/>
      </c>
      <c r="I83" s="53" t="n"/>
      <c r="J83" s="61">
        <f>IF(A83="","",IF(H83&lt;=Inicio!$B$16,"Crítico",IF(H83&lt;=Inicio!$B$17,"Observar","OK")))</f>
        <v/>
      </c>
      <c r="K83" s="52" t="n"/>
    </row>
    <row r="84">
      <c r="A84" s="52" t="n"/>
      <c r="B84" s="61">
        <f>IFERROR(VLOOKUP(A84,Clientes_PDV!$A$2:$J$250,2,FALSE),"")</f>
        <v/>
      </c>
      <c r="C84" s="61">
        <f>IFERROR(VLOOKUP(A84,Clientes_PDV!$A$2:$J$250,3,FALSE),"")</f>
        <v/>
      </c>
      <c r="D84" s="61">
        <f>IFERROR(VLOOKUP(A84,Clientes_PDV!$A$2:$J$250,4,FALSE),"")</f>
        <v/>
      </c>
      <c r="E84" s="52" t="n"/>
      <c r="F84" s="61">
        <f>IFERROR(VLOOKUP(E84,Maestro_SKU!$A$2:$P$500,2,FALSE),"")</f>
        <v/>
      </c>
      <c r="G84" s="59" t="n"/>
      <c r="H84" s="62">
        <f>IF(OR(G84="",E84=""),"",G84*IFERROR(VLOOKUP(E84,Maestro_SKU!$A$2:$P$500,12,FALSE),1))</f>
        <v/>
      </c>
      <c r="I84" s="53" t="n"/>
      <c r="J84" s="61">
        <f>IF(A84="","",IF(H84&lt;=Inicio!$B$16,"Crítico",IF(H84&lt;=Inicio!$B$17,"Observar","OK")))</f>
        <v/>
      </c>
      <c r="K84" s="52" t="n"/>
    </row>
    <row r="85">
      <c r="A85" s="52" t="n"/>
      <c r="B85" s="61">
        <f>IFERROR(VLOOKUP(A85,Clientes_PDV!$A$2:$J$250,2,FALSE),"")</f>
        <v/>
      </c>
      <c r="C85" s="61">
        <f>IFERROR(VLOOKUP(A85,Clientes_PDV!$A$2:$J$250,3,FALSE),"")</f>
        <v/>
      </c>
      <c r="D85" s="61">
        <f>IFERROR(VLOOKUP(A85,Clientes_PDV!$A$2:$J$250,4,FALSE),"")</f>
        <v/>
      </c>
      <c r="E85" s="52" t="n"/>
      <c r="F85" s="61">
        <f>IFERROR(VLOOKUP(E85,Maestro_SKU!$A$2:$P$500,2,FALSE),"")</f>
        <v/>
      </c>
      <c r="G85" s="59" t="n"/>
      <c r="H85" s="62">
        <f>IF(OR(G85="",E85=""),"",G85*IFERROR(VLOOKUP(E85,Maestro_SKU!$A$2:$P$500,12,FALSE),1))</f>
        <v/>
      </c>
      <c r="I85" s="53" t="n"/>
      <c r="J85" s="61">
        <f>IF(A85="","",IF(H85&lt;=Inicio!$B$16,"Crítico",IF(H85&lt;=Inicio!$B$17,"Observar","OK")))</f>
        <v/>
      </c>
      <c r="K85" s="52" t="n"/>
    </row>
    <row r="86">
      <c r="A86" s="52" t="n"/>
      <c r="B86" s="61">
        <f>IFERROR(VLOOKUP(A86,Clientes_PDV!$A$2:$J$250,2,FALSE),"")</f>
        <v/>
      </c>
      <c r="C86" s="61">
        <f>IFERROR(VLOOKUP(A86,Clientes_PDV!$A$2:$J$250,3,FALSE),"")</f>
        <v/>
      </c>
      <c r="D86" s="61">
        <f>IFERROR(VLOOKUP(A86,Clientes_PDV!$A$2:$J$250,4,FALSE),"")</f>
        <v/>
      </c>
      <c r="E86" s="52" t="n"/>
      <c r="F86" s="61">
        <f>IFERROR(VLOOKUP(E86,Maestro_SKU!$A$2:$P$500,2,FALSE),"")</f>
        <v/>
      </c>
      <c r="G86" s="59" t="n"/>
      <c r="H86" s="62">
        <f>IF(OR(G86="",E86=""),"",G86*IFERROR(VLOOKUP(E86,Maestro_SKU!$A$2:$P$500,12,FALSE),1))</f>
        <v/>
      </c>
      <c r="I86" s="53" t="n"/>
      <c r="J86" s="61">
        <f>IF(A86="","",IF(H86&lt;=Inicio!$B$16,"Crítico",IF(H86&lt;=Inicio!$B$17,"Observar","OK")))</f>
        <v/>
      </c>
      <c r="K86" s="52" t="n"/>
    </row>
    <row r="87">
      <c r="A87" s="52" t="n"/>
      <c r="B87" s="61">
        <f>IFERROR(VLOOKUP(A87,Clientes_PDV!$A$2:$J$250,2,FALSE),"")</f>
        <v/>
      </c>
      <c r="C87" s="61">
        <f>IFERROR(VLOOKUP(A87,Clientes_PDV!$A$2:$J$250,3,FALSE),"")</f>
        <v/>
      </c>
      <c r="D87" s="61">
        <f>IFERROR(VLOOKUP(A87,Clientes_PDV!$A$2:$J$250,4,FALSE),"")</f>
        <v/>
      </c>
      <c r="E87" s="52" t="n"/>
      <c r="F87" s="61">
        <f>IFERROR(VLOOKUP(E87,Maestro_SKU!$A$2:$P$500,2,FALSE),"")</f>
        <v/>
      </c>
      <c r="G87" s="59" t="n"/>
      <c r="H87" s="62">
        <f>IF(OR(G87="",E87=""),"",G87*IFERROR(VLOOKUP(E87,Maestro_SKU!$A$2:$P$500,12,FALSE),1))</f>
        <v/>
      </c>
      <c r="I87" s="53" t="n"/>
      <c r="J87" s="61">
        <f>IF(A87="","",IF(H87&lt;=Inicio!$B$16,"Crítico",IF(H87&lt;=Inicio!$B$17,"Observar","OK")))</f>
        <v/>
      </c>
      <c r="K87" s="52" t="n"/>
    </row>
    <row r="88">
      <c r="A88" s="52" t="n"/>
      <c r="B88" s="61">
        <f>IFERROR(VLOOKUP(A88,Clientes_PDV!$A$2:$J$250,2,FALSE),"")</f>
        <v/>
      </c>
      <c r="C88" s="61">
        <f>IFERROR(VLOOKUP(A88,Clientes_PDV!$A$2:$J$250,3,FALSE),"")</f>
        <v/>
      </c>
      <c r="D88" s="61">
        <f>IFERROR(VLOOKUP(A88,Clientes_PDV!$A$2:$J$250,4,FALSE),"")</f>
        <v/>
      </c>
      <c r="E88" s="52" t="n"/>
      <c r="F88" s="61">
        <f>IFERROR(VLOOKUP(E88,Maestro_SKU!$A$2:$P$500,2,FALSE),"")</f>
        <v/>
      </c>
      <c r="G88" s="59" t="n"/>
      <c r="H88" s="62">
        <f>IF(OR(G88="",E88=""),"",G88*IFERROR(VLOOKUP(E88,Maestro_SKU!$A$2:$P$500,12,FALSE),1))</f>
        <v/>
      </c>
      <c r="I88" s="53" t="n"/>
      <c r="J88" s="61">
        <f>IF(A88="","",IF(H88&lt;=Inicio!$B$16,"Crítico",IF(H88&lt;=Inicio!$B$17,"Observar","OK")))</f>
        <v/>
      </c>
      <c r="K88" s="52" t="n"/>
    </row>
    <row r="89">
      <c r="A89" s="52" t="n"/>
      <c r="B89" s="61">
        <f>IFERROR(VLOOKUP(A89,Clientes_PDV!$A$2:$J$250,2,FALSE),"")</f>
        <v/>
      </c>
      <c r="C89" s="61">
        <f>IFERROR(VLOOKUP(A89,Clientes_PDV!$A$2:$J$250,3,FALSE),"")</f>
        <v/>
      </c>
      <c r="D89" s="61">
        <f>IFERROR(VLOOKUP(A89,Clientes_PDV!$A$2:$J$250,4,FALSE),"")</f>
        <v/>
      </c>
      <c r="E89" s="52" t="n"/>
      <c r="F89" s="61">
        <f>IFERROR(VLOOKUP(E89,Maestro_SKU!$A$2:$P$500,2,FALSE),"")</f>
        <v/>
      </c>
      <c r="G89" s="59" t="n"/>
      <c r="H89" s="62">
        <f>IF(OR(G89="",E89=""),"",G89*IFERROR(VLOOKUP(E89,Maestro_SKU!$A$2:$P$500,12,FALSE),1))</f>
        <v/>
      </c>
      <c r="I89" s="53" t="n"/>
      <c r="J89" s="61">
        <f>IF(A89="","",IF(H89&lt;=Inicio!$B$16,"Crítico",IF(H89&lt;=Inicio!$B$17,"Observar","OK")))</f>
        <v/>
      </c>
      <c r="K89" s="52" t="n"/>
    </row>
    <row r="90">
      <c r="A90" s="52" t="n"/>
      <c r="B90" s="61">
        <f>IFERROR(VLOOKUP(A90,Clientes_PDV!$A$2:$J$250,2,FALSE),"")</f>
        <v/>
      </c>
      <c r="C90" s="61">
        <f>IFERROR(VLOOKUP(A90,Clientes_PDV!$A$2:$J$250,3,FALSE),"")</f>
        <v/>
      </c>
      <c r="D90" s="61">
        <f>IFERROR(VLOOKUP(A90,Clientes_PDV!$A$2:$J$250,4,FALSE),"")</f>
        <v/>
      </c>
      <c r="E90" s="52" t="n"/>
      <c r="F90" s="61">
        <f>IFERROR(VLOOKUP(E90,Maestro_SKU!$A$2:$P$500,2,FALSE),"")</f>
        <v/>
      </c>
      <c r="G90" s="59" t="n"/>
      <c r="H90" s="62">
        <f>IF(OR(G90="",E90=""),"",G90*IFERROR(VLOOKUP(E90,Maestro_SKU!$A$2:$P$500,12,FALSE),1))</f>
        <v/>
      </c>
      <c r="I90" s="53" t="n"/>
      <c r="J90" s="61">
        <f>IF(A90="","",IF(H90&lt;=Inicio!$B$16,"Crítico",IF(H90&lt;=Inicio!$B$17,"Observar","OK")))</f>
        <v/>
      </c>
      <c r="K90" s="52" t="n"/>
    </row>
    <row r="91">
      <c r="A91" s="52" t="n"/>
      <c r="B91" s="61">
        <f>IFERROR(VLOOKUP(A91,Clientes_PDV!$A$2:$J$250,2,FALSE),"")</f>
        <v/>
      </c>
      <c r="C91" s="61">
        <f>IFERROR(VLOOKUP(A91,Clientes_PDV!$A$2:$J$250,3,FALSE),"")</f>
        <v/>
      </c>
      <c r="D91" s="61">
        <f>IFERROR(VLOOKUP(A91,Clientes_PDV!$A$2:$J$250,4,FALSE),"")</f>
        <v/>
      </c>
      <c r="E91" s="52" t="n"/>
      <c r="F91" s="61">
        <f>IFERROR(VLOOKUP(E91,Maestro_SKU!$A$2:$P$500,2,FALSE),"")</f>
        <v/>
      </c>
      <c r="G91" s="59" t="n"/>
      <c r="H91" s="62">
        <f>IF(OR(G91="",E91=""),"",G91*IFERROR(VLOOKUP(E91,Maestro_SKU!$A$2:$P$500,12,FALSE),1))</f>
        <v/>
      </c>
      <c r="I91" s="53" t="n"/>
      <c r="J91" s="61">
        <f>IF(A91="","",IF(H91&lt;=Inicio!$B$16,"Crítico",IF(H91&lt;=Inicio!$B$17,"Observar","OK")))</f>
        <v/>
      </c>
      <c r="K91" s="52" t="n"/>
    </row>
    <row r="92">
      <c r="A92" s="52" t="n"/>
      <c r="B92" s="61">
        <f>IFERROR(VLOOKUP(A92,Clientes_PDV!$A$2:$J$250,2,FALSE),"")</f>
        <v/>
      </c>
      <c r="C92" s="61">
        <f>IFERROR(VLOOKUP(A92,Clientes_PDV!$A$2:$J$250,3,FALSE),"")</f>
        <v/>
      </c>
      <c r="D92" s="61">
        <f>IFERROR(VLOOKUP(A92,Clientes_PDV!$A$2:$J$250,4,FALSE),"")</f>
        <v/>
      </c>
      <c r="E92" s="52" t="n"/>
      <c r="F92" s="61">
        <f>IFERROR(VLOOKUP(E92,Maestro_SKU!$A$2:$P$500,2,FALSE),"")</f>
        <v/>
      </c>
      <c r="G92" s="59" t="n"/>
      <c r="H92" s="62">
        <f>IF(OR(G92="",E92=""),"",G92*IFERROR(VLOOKUP(E92,Maestro_SKU!$A$2:$P$500,12,FALSE),1))</f>
        <v/>
      </c>
      <c r="I92" s="53" t="n"/>
      <c r="J92" s="61">
        <f>IF(A92="","",IF(H92&lt;=Inicio!$B$16,"Crítico",IF(H92&lt;=Inicio!$B$17,"Observar","OK")))</f>
        <v/>
      </c>
      <c r="K92" s="52" t="n"/>
    </row>
    <row r="93">
      <c r="A93" s="52" t="n"/>
      <c r="B93" s="61">
        <f>IFERROR(VLOOKUP(A93,Clientes_PDV!$A$2:$J$250,2,FALSE),"")</f>
        <v/>
      </c>
      <c r="C93" s="61">
        <f>IFERROR(VLOOKUP(A93,Clientes_PDV!$A$2:$J$250,3,FALSE),"")</f>
        <v/>
      </c>
      <c r="D93" s="61">
        <f>IFERROR(VLOOKUP(A93,Clientes_PDV!$A$2:$J$250,4,FALSE),"")</f>
        <v/>
      </c>
      <c r="E93" s="52" t="n"/>
      <c r="F93" s="61">
        <f>IFERROR(VLOOKUP(E93,Maestro_SKU!$A$2:$P$500,2,FALSE),"")</f>
        <v/>
      </c>
      <c r="G93" s="59" t="n"/>
      <c r="H93" s="62">
        <f>IF(OR(G93="",E93=""),"",G93*IFERROR(VLOOKUP(E93,Maestro_SKU!$A$2:$P$500,12,FALSE),1))</f>
        <v/>
      </c>
      <c r="I93" s="53" t="n"/>
      <c r="J93" s="61">
        <f>IF(A93="","",IF(H93&lt;=Inicio!$B$16,"Crítico",IF(H93&lt;=Inicio!$B$17,"Observar","OK")))</f>
        <v/>
      </c>
      <c r="K93" s="52" t="n"/>
    </row>
    <row r="94">
      <c r="A94" s="52" t="n"/>
      <c r="B94" s="61">
        <f>IFERROR(VLOOKUP(A94,Clientes_PDV!$A$2:$J$250,2,FALSE),"")</f>
        <v/>
      </c>
      <c r="C94" s="61">
        <f>IFERROR(VLOOKUP(A94,Clientes_PDV!$A$2:$J$250,3,FALSE),"")</f>
        <v/>
      </c>
      <c r="D94" s="61">
        <f>IFERROR(VLOOKUP(A94,Clientes_PDV!$A$2:$J$250,4,FALSE),"")</f>
        <v/>
      </c>
      <c r="E94" s="52" t="n"/>
      <c r="F94" s="61">
        <f>IFERROR(VLOOKUP(E94,Maestro_SKU!$A$2:$P$500,2,FALSE),"")</f>
        <v/>
      </c>
      <c r="G94" s="59" t="n"/>
      <c r="H94" s="62">
        <f>IF(OR(G94="",E94=""),"",G94*IFERROR(VLOOKUP(E94,Maestro_SKU!$A$2:$P$500,12,FALSE),1))</f>
        <v/>
      </c>
      <c r="I94" s="53" t="n"/>
      <c r="J94" s="61">
        <f>IF(A94="","",IF(H94&lt;=Inicio!$B$16,"Crítico",IF(H94&lt;=Inicio!$B$17,"Observar","OK")))</f>
        <v/>
      </c>
      <c r="K94" s="52" t="n"/>
    </row>
    <row r="95">
      <c r="A95" s="52" t="n"/>
      <c r="B95" s="61">
        <f>IFERROR(VLOOKUP(A95,Clientes_PDV!$A$2:$J$250,2,FALSE),"")</f>
        <v/>
      </c>
      <c r="C95" s="61">
        <f>IFERROR(VLOOKUP(A95,Clientes_PDV!$A$2:$J$250,3,FALSE),"")</f>
        <v/>
      </c>
      <c r="D95" s="61">
        <f>IFERROR(VLOOKUP(A95,Clientes_PDV!$A$2:$J$250,4,FALSE),"")</f>
        <v/>
      </c>
      <c r="E95" s="52" t="n"/>
      <c r="F95" s="61">
        <f>IFERROR(VLOOKUP(E95,Maestro_SKU!$A$2:$P$500,2,FALSE),"")</f>
        <v/>
      </c>
      <c r="G95" s="59" t="n"/>
      <c r="H95" s="62">
        <f>IF(OR(G95="",E95=""),"",G95*IFERROR(VLOOKUP(E95,Maestro_SKU!$A$2:$P$500,12,FALSE),1))</f>
        <v/>
      </c>
      <c r="I95" s="53" t="n"/>
      <c r="J95" s="61">
        <f>IF(A95="","",IF(H95&lt;=Inicio!$B$16,"Crítico",IF(H95&lt;=Inicio!$B$17,"Observar","OK")))</f>
        <v/>
      </c>
      <c r="K95" s="52" t="n"/>
    </row>
    <row r="96">
      <c r="A96" s="52" t="n"/>
      <c r="B96" s="61">
        <f>IFERROR(VLOOKUP(A96,Clientes_PDV!$A$2:$J$250,2,FALSE),"")</f>
        <v/>
      </c>
      <c r="C96" s="61">
        <f>IFERROR(VLOOKUP(A96,Clientes_PDV!$A$2:$J$250,3,FALSE),"")</f>
        <v/>
      </c>
      <c r="D96" s="61">
        <f>IFERROR(VLOOKUP(A96,Clientes_PDV!$A$2:$J$250,4,FALSE),"")</f>
        <v/>
      </c>
      <c r="E96" s="52" t="n"/>
      <c r="F96" s="61">
        <f>IFERROR(VLOOKUP(E96,Maestro_SKU!$A$2:$P$500,2,FALSE),"")</f>
        <v/>
      </c>
      <c r="G96" s="59" t="n"/>
      <c r="H96" s="62">
        <f>IF(OR(G96="",E96=""),"",G96*IFERROR(VLOOKUP(E96,Maestro_SKU!$A$2:$P$500,12,FALSE),1))</f>
        <v/>
      </c>
      <c r="I96" s="53" t="n"/>
      <c r="J96" s="61">
        <f>IF(A96="","",IF(H96&lt;=Inicio!$B$16,"Crítico",IF(H96&lt;=Inicio!$B$17,"Observar","OK")))</f>
        <v/>
      </c>
      <c r="K96" s="52" t="n"/>
    </row>
    <row r="97">
      <c r="A97" s="52" t="n"/>
      <c r="B97" s="61">
        <f>IFERROR(VLOOKUP(A97,Clientes_PDV!$A$2:$J$250,2,FALSE),"")</f>
        <v/>
      </c>
      <c r="C97" s="61">
        <f>IFERROR(VLOOKUP(A97,Clientes_PDV!$A$2:$J$250,3,FALSE),"")</f>
        <v/>
      </c>
      <c r="D97" s="61">
        <f>IFERROR(VLOOKUP(A97,Clientes_PDV!$A$2:$J$250,4,FALSE),"")</f>
        <v/>
      </c>
      <c r="E97" s="52" t="n"/>
      <c r="F97" s="61">
        <f>IFERROR(VLOOKUP(E97,Maestro_SKU!$A$2:$P$500,2,FALSE),"")</f>
        <v/>
      </c>
      <c r="G97" s="59" t="n"/>
      <c r="H97" s="62">
        <f>IF(OR(G97="",E97=""),"",G97*IFERROR(VLOOKUP(E97,Maestro_SKU!$A$2:$P$500,12,FALSE),1))</f>
        <v/>
      </c>
      <c r="I97" s="53" t="n"/>
      <c r="J97" s="61">
        <f>IF(A97="","",IF(H97&lt;=Inicio!$B$16,"Crítico",IF(H97&lt;=Inicio!$B$17,"Observar","OK")))</f>
        <v/>
      </c>
      <c r="K97" s="52" t="n"/>
    </row>
    <row r="98">
      <c r="A98" s="52" t="n"/>
      <c r="B98" s="61">
        <f>IFERROR(VLOOKUP(A98,Clientes_PDV!$A$2:$J$250,2,FALSE),"")</f>
        <v/>
      </c>
      <c r="C98" s="61">
        <f>IFERROR(VLOOKUP(A98,Clientes_PDV!$A$2:$J$250,3,FALSE),"")</f>
        <v/>
      </c>
      <c r="D98" s="61">
        <f>IFERROR(VLOOKUP(A98,Clientes_PDV!$A$2:$J$250,4,FALSE),"")</f>
        <v/>
      </c>
      <c r="E98" s="52" t="n"/>
      <c r="F98" s="61">
        <f>IFERROR(VLOOKUP(E98,Maestro_SKU!$A$2:$P$500,2,FALSE),"")</f>
        <v/>
      </c>
      <c r="G98" s="59" t="n"/>
      <c r="H98" s="62">
        <f>IF(OR(G98="",E98=""),"",G98*IFERROR(VLOOKUP(E98,Maestro_SKU!$A$2:$P$500,12,FALSE),1))</f>
        <v/>
      </c>
      <c r="I98" s="53" t="n"/>
      <c r="J98" s="61">
        <f>IF(A98="","",IF(H98&lt;=Inicio!$B$16,"Crítico",IF(H98&lt;=Inicio!$B$17,"Observar","OK")))</f>
        <v/>
      </c>
      <c r="K98" s="52" t="n"/>
    </row>
    <row r="99">
      <c r="A99" s="52" t="n"/>
      <c r="B99" s="61">
        <f>IFERROR(VLOOKUP(A99,Clientes_PDV!$A$2:$J$250,2,FALSE),"")</f>
        <v/>
      </c>
      <c r="C99" s="61">
        <f>IFERROR(VLOOKUP(A99,Clientes_PDV!$A$2:$J$250,3,FALSE),"")</f>
        <v/>
      </c>
      <c r="D99" s="61">
        <f>IFERROR(VLOOKUP(A99,Clientes_PDV!$A$2:$J$250,4,FALSE),"")</f>
        <v/>
      </c>
      <c r="E99" s="52" t="n"/>
      <c r="F99" s="61">
        <f>IFERROR(VLOOKUP(E99,Maestro_SKU!$A$2:$P$500,2,FALSE),"")</f>
        <v/>
      </c>
      <c r="G99" s="59" t="n"/>
      <c r="H99" s="62">
        <f>IF(OR(G99="",E99=""),"",G99*IFERROR(VLOOKUP(E99,Maestro_SKU!$A$2:$P$500,12,FALSE),1))</f>
        <v/>
      </c>
      <c r="I99" s="53" t="n"/>
      <c r="J99" s="61">
        <f>IF(A99="","",IF(H99&lt;=Inicio!$B$16,"Crítico",IF(H99&lt;=Inicio!$B$17,"Observar","OK")))</f>
        <v/>
      </c>
      <c r="K99" s="52" t="n"/>
    </row>
    <row r="100">
      <c r="A100" s="52" t="n"/>
      <c r="B100" s="61">
        <f>IFERROR(VLOOKUP(A100,Clientes_PDV!$A$2:$J$250,2,FALSE),"")</f>
        <v/>
      </c>
      <c r="C100" s="61">
        <f>IFERROR(VLOOKUP(A100,Clientes_PDV!$A$2:$J$250,3,FALSE),"")</f>
        <v/>
      </c>
      <c r="D100" s="61">
        <f>IFERROR(VLOOKUP(A100,Clientes_PDV!$A$2:$J$250,4,FALSE),"")</f>
        <v/>
      </c>
      <c r="E100" s="52" t="n"/>
      <c r="F100" s="61">
        <f>IFERROR(VLOOKUP(E100,Maestro_SKU!$A$2:$P$500,2,FALSE),"")</f>
        <v/>
      </c>
      <c r="G100" s="59" t="n"/>
      <c r="H100" s="62">
        <f>IF(OR(G100="",E100=""),"",G100*IFERROR(VLOOKUP(E100,Maestro_SKU!$A$2:$P$500,12,FALSE),1))</f>
        <v/>
      </c>
      <c r="I100" s="53" t="n"/>
      <c r="J100" s="61">
        <f>IF(A100="","",IF(H100&lt;=Inicio!$B$16,"Crítico",IF(H100&lt;=Inicio!$B$17,"Observar","OK")))</f>
        <v/>
      </c>
      <c r="K100" s="52" t="n"/>
    </row>
    <row r="101">
      <c r="A101" s="52" t="n"/>
      <c r="B101" s="61">
        <f>IFERROR(VLOOKUP(A101,Clientes_PDV!$A$2:$J$250,2,FALSE),"")</f>
        <v/>
      </c>
      <c r="C101" s="61">
        <f>IFERROR(VLOOKUP(A101,Clientes_PDV!$A$2:$J$250,3,FALSE),"")</f>
        <v/>
      </c>
      <c r="D101" s="61">
        <f>IFERROR(VLOOKUP(A101,Clientes_PDV!$A$2:$J$250,4,FALSE),"")</f>
        <v/>
      </c>
      <c r="E101" s="52" t="n"/>
      <c r="F101" s="61">
        <f>IFERROR(VLOOKUP(E101,Maestro_SKU!$A$2:$P$500,2,FALSE),"")</f>
        <v/>
      </c>
      <c r="G101" s="59" t="n"/>
      <c r="H101" s="62">
        <f>IF(OR(G101="",E101=""),"",G101*IFERROR(VLOOKUP(E101,Maestro_SKU!$A$2:$P$500,12,FALSE),1))</f>
        <v/>
      </c>
      <c r="I101" s="53" t="n"/>
      <c r="J101" s="61">
        <f>IF(A101="","",IF(H101&lt;=Inicio!$B$16,"Crítico",IF(H101&lt;=Inicio!$B$17,"Observar","OK")))</f>
        <v/>
      </c>
      <c r="K101" s="52" t="n"/>
    </row>
    <row r="102">
      <c r="A102" s="52" t="n"/>
      <c r="B102" s="61">
        <f>IFERROR(VLOOKUP(A102,Clientes_PDV!$A$2:$J$250,2,FALSE),"")</f>
        <v/>
      </c>
      <c r="C102" s="61">
        <f>IFERROR(VLOOKUP(A102,Clientes_PDV!$A$2:$J$250,3,FALSE),"")</f>
        <v/>
      </c>
      <c r="D102" s="61">
        <f>IFERROR(VLOOKUP(A102,Clientes_PDV!$A$2:$J$250,4,FALSE),"")</f>
        <v/>
      </c>
      <c r="E102" s="52" t="n"/>
      <c r="F102" s="61">
        <f>IFERROR(VLOOKUP(E102,Maestro_SKU!$A$2:$P$500,2,FALSE),"")</f>
        <v/>
      </c>
      <c r="G102" s="59" t="n"/>
      <c r="H102" s="62">
        <f>IF(OR(G102="",E102=""),"",G102*IFERROR(VLOOKUP(E102,Maestro_SKU!$A$2:$P$500,12,FALSE),1))</f>
        <v/>
      </c>
      <c r="I102" s="53" t="n"/>
      <c r="J102" s="61">
        <f>IF(A102="","",IF(H102&lt;=Inicio!$B$16,"Crítico",IF(H102&lt;=Inicio!$B$17,"Observar","OK")))</f>
        <v/>
      </c>
      <c r="K102" s="52" t="n"/>
    </row>
    <row r="103">
      <c r="A103" s="52" t="n"/>
      <c r="B103" s="61">
        <f>IFERROR(VLOOKUP(A103,Clientes_PDV!$A$2:$J$250,2,FALSE),"")</f>
        <v/>
      </c>
      <c r="C103" s="61">
        <f>IFERROR(VLOOKUP(A103,Clientes_PDV!$A$2:$J$250,3,FALSE),"")</f>
        <v/>
      </c>
      <c r="D103" s="61">
        <f>IFERROR(VLOOKUP(A103,Clientes_PDV!$A$2:$J$250,4,FALSE),"")</f>
        <v/>
      </c>
      <c r="E103" s="52" t="n"/>
      <c r="F103" s="61">
        <f>IFERROR(VLOOKUP(E103,Maestro_SKU!$A$2:$P$500,2,FALSE),"")</f>
        <v/>
      </c>
      <c r="G103" s="59" t="n"/>
      <c r="H103" s="62">
        <f>IF(OR(G103="",E103=""),"",G103*IFERROR(VLOOKUP(E103,Maestro_SKU!$A$2:$P$500,12,FALSE),1))</f>
        <v/>
      </c>
      <c r="I103" s="53" t="n"/>
      <c r="J103" s="61">
        <f>IF(A103="","",IF(H103&lt;=Inicio!$B$16,"Crítico",IF(H103&lt;=Inicio!$B$17,"Observar","OK")))</f>
        <v/>
      </c>
      <c r="K103" s="52" t="n"/>
    </row>
    <row r="104">
      <c r="A104" s="52" t="n"/>
      <c r="B104" s="61">
        <f>IFERROR(VLOOKUP(A104,Clientes_PDV!$A$2:$J$250,2,FALSE),"")</f>
        <v/>
      </c>
      <c r="C104" s="61">
        <f>IFERROR(VLOOKUP(A104,Clientes_PDV!$A$2:$J$250,3,FALSE),"")</f>
        <v/>
      </c>
      <c r="D104" s="61">
        <f>IFERROR(VLOOKUP(A104,Clientes_PDV!$A$2:$J$250,4,FALSE),"")</f>
        <v/>
      </c>
      <c r="E104" s="52" t="n"/>
      <c r="F104" s="61">
        <f>IFERROR(VLOOKUP(E104,Maestro_SKU!$A$2:$P$500,2,FALSE),"")</f>
        <v/>
      </c>
      <c r="G104" s="59" t="n"/>
      <c r="H104" s="62">
        <f>IF(OR(G104="",E104=""),"",G104*IFERROR(VLOOKUP(E104,Maestro_SKU!$A$2:$P$500,12,FALSE),1))</f>
        <v/>
      </c>
      <c r="I104" s="53" t="n"/>
      <c r="J104" s="61">
        <f>IF(A104="","",IF(H104&lt;=Inicio!$B$16,"Crítico",IF(H104&lt;=Inicio!$B$17,"Observar","OK")))</f>
        <v/>
      </c>
      <c r="K104" s="52" t="n"/>
    </row>
    <row r="105">
      <c r="A105" s="52" t="n"/>
      <c r="B105" s="61">
        <f>IFERROR(VLOOKUP(A105,Clientes_PDV!$A$2:$J$250,2,FALSE),"")</f>
        <v/>
      </c>
      <c r="C105" s="61">
        <f>IFERROR(VLOOKUP(A105,Clientes_PDV!$A$2:$J$250,3,FALSE),"")</f>
        <v/>
      </c>
      <c r="D105" s="61">
        <f>IFERROR(VLOOKUP(A105,Clientes_PDV!$A$2:$J$250,4,FALSE),"")</f>
        <v/>
      </c>
      <c r="E105" s="52" t="n"/>
      <c r="F105" s="61">
        <f>IFERROR(VLOOKUP(E105,Maestro_SKU!$A$2:$P$500,2,FALSE),"")</f>
        <v/>
      </c>
      <c r="G105" s="59" t="n"/>
      <c r="H105" s="62">
        <f>IF(OR(G105="",E105=""),"",G105*IFERROR(VLOOKUP(E105,Maestro_SKU!$A$2:$P$500,12,FALSE),1))</f>
        <v/>
      </c>
      <c r="I105" s="53" t="n"/>
      <c r="J105" s="61">
        <f>IF(A105="","",IF(H105&lt;=Inicio!$B$16,"Crítico",IF(H105&lt;=Inicio!$B$17,"Observar","OK")))</f>
        <v/>
      </c>
      <c r="K105" s="52" t="n"/>
    </row>
    <row r="106">
      <c r="A106" s="52" t="n"/>
      <c r="B106" s="61">
        <f>IFERROR(VLOOKUP(A106,Clientes_PDV!$A$2:$J$250,2,FALSE),"")</f>
        <v/>
      </c>
      <c r="C106" s="61">
        <f>IFERROR(VLOOKUP(A106,Clientes_PDV!$A$2:$J$250,3,FALSE),"")</f>
        <v/>
      </c>
      <c r="D106" s="61">
        <f>IFERROR(VLOOKUP(A106,Clientes_PDV!$A$2:$J$250,4,FALSE),"")</f>
        <v/>
      </c>
      <c r="E106" s="52" t="n"/>
      <c r="F106" s="61">
        <f>IFERROR(VLOOKUP(E106,Maestro_SKU!$A$2:$P$500,2,FALSE),"")</f>
        <v/>
      </c>
      <c r="G106" s="59" t="n"/>
      <c r="H106" s="62">
        <f>IF(OR(G106="",E106=""),"",G106*IFERROR(VLOOKUP(E106,Maestro_SKU!$A$2:$P$500,12,FALSE),1))</f>
        <v/>
      </c>
      <c r="I106" s="53" t="n"/>
      <c r="J106" s="61">
        <f>IF(A106="","",IF(H106&lt;=Inicio!$B$16,"Crítico",IF(H106&lt;=Inicio!$B$17,"Observar","OK")))</f>
        <v/>
      </c>
      <c r="K106" s="52" t="n"/>
    </row>
    <row r="107">
      <c r="A107" s="52" t="n"/>
      <c r="B107" s="61">
        <f>IFERROR(VLOOKUP(A107,Clientes_PDV!$A$2:$J$250,2,FALSE),"")</f>
        <v/>
      </c>
      <c r="C107" s="61">
        <f>IFERROR(VLOOKUP(A107,Clientes_PDV!$A$2:$J$250,3,FALSE),"")</f>
        <v/>
      </c>
      <c r="D107" s="61">
        <f>IFERROR(VLOOKUP(A107,Clientes_PDV!$A$2:$J$250,4,FALSE),"")</f>
        <v/>
      </c>
      <c r="E107" s="52" t="n"/>
      <c r="F107" s="61">
        <f>IFERROR(VLOOKUP(E107,Maestro_SKU!$A$2:$P$500,2,FALSE),"")</f>
        <v/>
      </c>
      <c r="G107" s="59" t="n"/>
      <c r="H107" s="62">
        <f>IF(OR(G107="",E107=""),"",G107*IFERROR(VLOOKUP(E107,Maestro_SKU!$A$2:$P$500,12,FALSE),1))</f>
        <v/>
      </c>
      <c r="I107" s="53" t="n"/>
      <c r="J107" s="61">
        <f>IF(A107="","",IF(H107&lt;=Inicio!$B$16,"Crítico",IF(H107&lt;=Inicio!$B$17,"Observar","OK")))</f>
        <v/>
      </c>
      <c r="K107" s="52" t="n"/>
    </row>
    <row r="108">
      <c r="A108" s="52" t="n"/>
      <c r="B108" s="61">
        <f>IFERROR(VLOOKUP(A108,Clientes_PDV!$A$2:$J$250,2,FALSE),"")</f>
        <v/>
      </c>
      <c r="C108" s="61">
        <f>IFERROR(VLOOKUP(A108,Clientes_PDV!$A$2:$J$250,3,FALSE),"")</f>
        <v/>
      </c>
      <c r="D108" s="61">
        <f>IFERROR(VLOOKUP(A108,Clientes_PDV!$A$2:$J$250,4,FALSE),"")</f>
        <v/>
      </c>
      <c r="E108" s="52" t="n"/>
      <c r="F108" s="61">
        <f>IFERROR(VLOOKUP(E108,Maestro_SKU!$A$2:$P$500,2,FALSE),"")</f>
        <v/>
      </c>
      <c r="G108" s="59" t="n"/>
      <c r="H108" s="62">
        <f>IF(OR(G108="",E108=""),"",G108*IFERROR(VLOOKUP(E108,Maestro_SKU!$A$2:$P$500,12,FALSE),1))</f>
        <v/>
      </c>
      <c r="I108" s="53" t="n"/>
      <c r="J108" s="61">
        <f>IF(A108="","",IF(H108&lt;=Inicio!$B$16,"Crítico",IF(H108&lt;=Inicio!$B$17,"Observar","OK")))</f>
        <v/>
      </c>
      <c r="K108" s="52" t="n"/>
    </row>
    <row r="109">
      <c r="A109" s="52" t="n"/>
      <c r="B109" s="61">
        <f>IFERROR(VLOOKUP(A109,Clientes_PDV!$A$2:$J$250,2,FALSE),"")</f>
        <v/>
      </c>
      <c r="C109" s="61">
        <f>IFERROR(VLOOKUP(A109,Clientes_PDV!$A$2:$J$250,3,FALSE),"")</f>
        <v/>
      </c>
      <c r="D109" s="61">
        <f>IFERROR(VLOOKUP(A109,Clientes_PDV!$A$2:$J$250,4,FALSE),"")</f>
        <v/>
      </c>
      <c r="E109" s="52" t="n"/>
      <c r="F109" s="61">
        <f>IFERROR(VLOOKUP(E109,Maestro_SKU!$A$2:$P$500,2,FALSE),"")</f>
        <v/>
      </c>
      <c r="G109" s="59" t="n"/>
      <c r="H109" s="62">
        <f>IF(OR(G109="",E109=""),"",G109*IFERROR(VLOOKUP(E109,Maestro_SKU!$A$2:$P$500,12,FALSE),1))</f>
        <v/>
      </c>
      <c r="I109" s="53" t="n"/>
      <c r="J109" s="61">
        <f>IF(A109="","",IF(H109&lt;=Inicio!$B$16,"Crítico",IF(H109&lt;=Inicio!$B$17,"Observar","OK")))</f>
        <v/>
      </c>
      <c r="K109" s="52" t="n"/>
    </row>
    <row r="110">
      <c r="A110" s="52" t="n"/>
      <c r="B110" s="61">
        <f>IFERROR(VLOOKUP(A110,Clientes_PDV!$A$2:$J$250,2,FALSE),"")</f>
        <v/>
      </c>
      <c r="C110" s="61">
        <f>IFERROR(VLOOKUP(A110,Clientes_PDV!$A$2:$J$250,3,FALSE),"")</f>
        <v/>
      </c>
      <c r="D110" s="61">
        <f>IFERROR(VLOOKUP(A110,Clientes_PDV!$A$2:$J$250,4,FALSE),"")</f>
        <v/>
      </c>
      <c r="E110" s="52" t="n"/>
      <c r="F110" s="61">
        <f>IFERROR(VLOOKUP(E110,Maestro_SKU!$A$2:$P$500,2,FALSE),"")</f>
        <v/>
      </c>
      <c r="G110" s="59" t="n"/>
      <c r="H110" s="62">
        <f>IF(OR(G110="",E110=""),"",G110*IFERROR(VLOOKUP(E110,Maestro_SKU!$A$2:$P$500,12,FALSE),1))</f>
        <v/>
      </c>
      <c r="I110" s="53" t="n"/>
      <c r="J110" s="61">
        <f>IF(A110="","",IF(H110&lt;=Inicio!$B$16,"Crítico",IF(H110&lt;=Inicio!$B$17,"Observar","OK")))</f>
        <v/>
      </c>
      <c r="K110" s="52" t="n"/>
    </row>
    <row r="111">
      <c r="A111" s="52" t="n"/>
      <c r="B111" s="61">
        <f>IFERROR(VLOOKUP(A111,Clientes_PDV!$A$2:$J$250,2,FALSE),"")</f>
        <v/>
      </c>
      <c r="C111" s="61">
        <f>IFERROR(VLOOKUP(A111,Clientes_PDV!$A$2:$J$250,3,FALSE),"")</f>
        <v/>
      </c>
      <c r="D111" s="61">
        <f>IFERROR(VLOOKUP(A111,Clientes_PDV!$A$2:$J$250,4,FALSE),"")</f>
        <v/>
      </c>
      <c r="E111" s="52" t="n"/>
      <c r="F111" s="61">
        <f>IFERROR(VLOOKUP(E111,Maestro_SKU!$A$2:$P$500,2,FALSE),"")</f>
        <v/>
      </c>
      <c r="G111" s="59" t="n"/>
      <c r="H111" s="62">
        <f>IF(OR(G111="",E111=""),"",G111*IFERROR(VLOOKUP(E111,Maestro_SKU!$A$2:$P$500,12,FALSE),1))</f>
        <v/>
      </c>
      <c r="I111" s="53" t="n"/>
      <c r="J111" s="61">
        <f>IF(A111="","",IF(H111&lt;=Inicio!$B$16,"Crítico",IF(H111&lt;=Inicio!$B$17,"Observar","OK")))</f>
        <v/>
      </c>
      <c r="K111" s="52" t="n"/>
    </row>
    <row r="112">
      <c r="A112" s="52" t="n"/>
      <c r="B112" s="61">
        <f>IFERROR(VLOOKUP(A112,Clientes_PDV!$A$2:$J$250,2,FALSE),"")</f>
        <v/>
      </c>
      <c r="C112" s="61">
        <f>IFERROR(VLOOKUP(A112,Clientes_PDV!$A$2:$J$250,3,FALSE),"")</f>
        <v/>
      </c>
      <c r="D112" s="61">
        <f>IFERROR(VLOOKUP(A112,Clientes_PDV!$A$2:$J$250,4,FALSE),"")</f>
        <v/>
      </c>
      <c r="E112" s="52" t="n"/>
      <c r="F112" s="61">
        <f>IFERROR(VLOOKUP(E112,Maestro_SKU!$A$2:$P$500,2,FALSE),"")</f>
        <v/>
      </c>
      <c r="G112" s="59" t="n"/>
      <c r="H112" s="62">
        <f>IF(OR(G112="",E112=""),"",G112*IFERROR(VLOOKUP(E112,Maestro_SKU!$A$2:$P$500,12,FALSE),1))</f>
        <v/>
      </c>
      <c r="I112" s="53" t="n"/>
      <c r="J112" s="61">
        <f>IF(A112="","",IF(H112&lt;=Inicio!$B$16,"Crítico",IF(H112&lt;=Inicio!$B$17,"Observar","OK")))</f>
        <v/>
      </c>
      <c r="K112" s="52" t="n"/>
    </row>
    <row r="113">
      <c r="A113" s="52" t="n"/>
      <c r="B113" s="61">
        <f>IFERROR(VLOOKUP(A113,Clientes_PDV!$A$2:$J$250,2,FALSE),"")</f>
        <v/>
      </c>
      <c r="C113" s="61">
        <f>IFERROR(VLOOKUP(A113,Clientes_PDV!$A$2:$J$250,3,FALSE),"")</f>
        <v/>
      </c>
      <c r="D113" s="61">
        <f>IFERROR(VLOOKUP(A113,Clientes_PDV!$A$2:$J$250,4,FALSE),"")</f>
        <v/>
      </c>
      <c r="E113" s="52" t="n"/>
      <c r="F113" s="61">
        <f>IFERROR(VLOOKUP(E113,Maestro_SKU!$A$2:$P$500,2,FALSE),"")</f>
        <v/>
      </c>
      <c r="G113" s="59" t="n"/>
      <c r="H113" s="62">
        <f>IF(OR(G113="",E113=""),"",G113*IFERROR(VLOOKUP(E113,Maestro_SKU!$A$2:$P$500,12,FALSE),1))</f>
        <v/>
      </c>
      <c r="I113" s="53" t="n"/>
      <c r="J113" s="61">
        <f>IF(A113="","",IF(H113&lt;=Inicio!$B$16,"Crítico",IF(H113&lt;=Inicio!$B$17,"Observar","OK")))</f>
        <v/>
      </c>
      <c r="K113" s="52" t="n"/>
    </row>
    <row r="114">
      <c r="A114" s="52" t="n"/>
      <c r="B114" s="61">
        <f>IFERROR(VLOOKUP(A114,Clientes_PDV!$A$2:$J$250,2,FALSE),"")</f>
        <v/>
      </c>
      <c r="C114" s="61">
        <f>IFERROR(VLOOKUP(A114,Clientes_PDV!$A$2:$J$250,3,FALSE),"")</f>
        <v/>
      </c>
      <c r="D114" s="61">
        <f>IFERROR(VLOOKUP(A114,Clientes_PDV!$A$2:$J$250,4,FALSE),"")</f>
        <v/>
      </c>
      <c r="E114" s="52" t="n"/>
      <c r="F114" s="61">
        <f>IFERROR(VLOOKUP(E114,Maestro_SKU!$A$2:$P$500,2,FALSE),"")</f>
        <v/>
      </c>
      <c r="G114" s="59" t="n"/>
      <c r="H114" s="62">
        <f>IF(OR(G114="",E114=""),"",G114*IFERROR(VLOOKUP(E114,Maestro_SKU!$A$2:$P$500,12,FALSE),1))</f>
        <v/>
      </c>
      <c r="I114" s="53" t="n"/>
      <c r="J114" s="61">
        <f>IF(A114="","",IF(H114&lt;=Inicio!$B$16,"Crítico",IF(H114&lt;=Inicio!$B$17,"Observar","OK")))</f>
        <v/>
      </c>
      <c r="K114" s="52" t="n"/>
    </row>
    <row r="115">
      <c r="A115" s="52" t="n"/>
      <c r="B115" s="61">
        <f>IFERROR(VLOOKUP(A115,Clientes_PDV!$A$2:$J$250,2,FALSE),"")</f>
        <v/>
      </c>
      <c r="C115" s="61">
        <f>IFERROR(VLOOKUP(A115,Clientes_PDV!$A$2:$J$250,3,FALSE),"")</f>
        <v/>
      </c>
      <c r="D115" s="61">
        <f>IFERROR(VLOOKUP(A115,Clientes_PDV!$A$2:$J$250,4,FALSE),"")</f>
        <v/>
      </c>
      <c r="E115" s="52" t="n"/>
      <c r="F115" s="61">
        <f>IFERROR(VLOOKUP(E115,Maestro_SKU!$A$2:$P$500,2,FALSE),"")</f>
        <v/>
      </c>
      <c r="G115" s="59" t="n"/>
      <c r="H115" s="62">
        <f>IF(OR(G115="",E115=""),"",G115*IFERROR(VLOOKUP(E115,Maestro_SKU!$A$2:$P$500,12,FALSE),1))</f>
        <v/>
      </c>
      <c r="I115" s="53" t="n"/>
      <c r="J115" s="61">
        <f>IF(A115="","",IF(H115&lt;=Inicio!$B$16,"Crítico",IF(H115&lt;=Inicio!$B$17,"Observar","OK")))</f>
        <v/>
      </c>
      <c r="K115" s="52" t="n"/>
    </row>
    <row r="116">
      <c r="A116" s="52" t="n"/>
      <c r="B116" s="61">
        <f>IFERROR(VLOOKUP(A116,Clientes_PDV!$A$2:$J$250,2,FALSE),"")</f>
        <v/>
      </c>
      <c r="C116" s="61">
        <f>IFERROR(VLOOKUP(A116,Clientes_PDV!$A$2:$J$250,3,FALSE),"")</f>
        <v/>
      </c>
      <c r="D116" s="61">
        <f>IFERROR(VLOOKUP(A116,Clientes_PDV!$A$2:$J$250,4,FALSE),"")</f>
        <v/>
      </c>
      <c r="E116" s="52" t="n"/>
      <c r="F116" s="61">
        <f>IFERROR(VLOOKUP(E116,Maestro_SKU!$A$2:$P$500,2,FALSE),"")</f>
        <v/>
      </c>
      <c r="G116" s="59" t="n"/>
      <c r="H116" s="62">
        <f>IF(OR(G116="",E116=""),"",G116*IFERROR(VLOOKUP(E116,Maestro_SKU!$A$2:$P$500,12,FALSE),1))</f>
        <v/>
      </c>
      <c r="I116" s="53" t="n"/>
      <c r="J116" s="61">
        <f>IF(A116="","",IF(H116&lt;=Inicio!$B$16,"Crítico",IF(H116&lt;=Inicio!$B$17,"Observar","OK")))</f>
        <v/>
      </c>
      <c r="K116" s="52" t="n"/>
    </row>
    <row r="117">
      <c r="A117" s="52" t="n"/>
      <c r="B117" s="61">
        <f>IFERROR(VLOOKUP(A117,Clientes_PDV!$A$2:$J$250,2,FALSE),"")</f>
        <v/>
      </c>
      <c r="C117" s="61">
        <f>IFERROR(VLOOKUP(A117,Clientes_PDV!$A$2:$J$250,3,FALSE),"")</f>
        <v/>
      </c>
      <c r="D117" s="61">
        <f>IFERROR(VLOOKUP(A117,Clientes_PDV!$A$2:$J$250,4,FALSE),"")</f>
        <v/>
      </c>
      <c r="E117" s="52" t="n"/>
      <c r="F117" s="61">
        <f>IFERROR(VLOOKUP(E117,Maestro_SKU!$A$2:$P$500,2,FALSE),"")</f>
        <v/>
      </c>
      <c r="G117" s="59" t="n"/>
      <c r="H117" s="62">
        <f>IF(OR(G117="",E117=""),"",G117*IFERROR(VLOOKUP(E117,Maestro_SKU!$A$2:$P$500,12,FALSE),1))</f>
        <v/>
      </c>
      <c r="I117" s="53" t="n"/>
      <c r="J117" s="61">
        <f>IF(A117="","",IF(H117&lt;=Inicio!$B$16,"Crítico",IF(H117&lt;=Inicio!$B$17,"Observar","OK")))</f>
        <v/>
      </c>
      <c r="K117" s="52" t="n"/>
    </row>
    <row r="118">
      <c r="A118" s="52" t="n"/>
      <c r="B118" s="61">
        <f>IFERROR(VLOOKUP(A118,Clientes_PDV!$A$2:$J$250,2,FALSE),"")</f>
        <v/>
      </c>
      <c r="C118" s="61">
        <f>IFERROR(VLOOKUP(A118,Clientes_PDV!$A$2:$J$250,3,FALSE),"")</f>
        <v/>
      </c>
      <c r="D118" s="61">
        <f>IFERROR(VLOOKUP(A118,Clientes_PDV!$A$2:$J$250,4,FALSE),"")</f>
        <v/>
      </c>
      <c r="E118" s="52" t="n"/>
      <c r="F118" s="61">
        <f>IFERROR(VLOOKUP(E118,Maestro_SKU!$A$2:$P$500,2,FALSE),"")</f>
        <v/>
      </c>
      <c r="G118" s="59" t="n"/>
      <c r="H118" s="62">
        <f>IF(OR(G118="",E118=""),"",G118*IFERROR(VLOOKUP(E118,Maestro_SKU!$A$2:$P$500,12,FALSE),1))</f>
        <v/>
      </c>
      <c r="I118" s="53" t="n"/>
      <c r="J118" s="61">
        <f>IF(A118="","",IF(H118&lt;=Inicio!$B$16,"Crítico",IF(H118&lt;=Inicio!$B$17,"Observar","OK")))</f>
        <v/>
      </c>
      <c r="K118" s="52" t="n"/>
    </row>
    <row r="119">
      <c r="A119" s="52" t="n"/>
      <c r="B119" s="61">
        <f>IFERROR(VLOOKUP(A119,Clientes_PDV!$A$2:$J$250,2,FALSE),"")</f>
        <v/>
      </c>
      <c r="C119" s="61">
        <f>IFERROR(VLOOKUP(A119,Clientes_PDV!$A$2:$J$250,3,FALSE),"")</f>
        <v/>
      </c>
      <c r="D119" s="61">
        <f>IFERROR(VLOOKUP(A119,Clientes_PDV!$A$2:$J$250,4,FALSE),"")</f>
        <v/>
      </c>
      <c r="E119" s="52" t="n"/>
      <c r="F119" s="61">
        <f>IFERROR(VLOOKUP(E119,Maestro_SKU!$A$2:$P$500,2,FALSE),"")</f>
        <v/>
      </c>
      <c r="G119" s="59" t="n"/>
      <c r="H119" s="62">
        <f>IF(OR(G119="",E119=""),"",G119*IFERROR(VLOOKUP(E119,Maestro_SKU!$A$2:$P$500,12,FALSE),1))</f>
        <v/>
      </c>
      <c r="I119" s="53" t="n"/>
      <c r="J119" s="61">
        <f>IF(A119="","",IF(H119&lt;=Inicio!$B$16,"Crítico",IF(H119&lt;=Inicio!$B$17,"Observar","OK")))</f>
        <v/>
      </c>
      <c r="K119" s="52" t="n"/>
    </row>
    <row r="120">
      <c r="A120" s="52" t="n"/>
      <c r="B120" s="61">
        <f>IFERROR(VLOOKUP(A120,Clientes_PDV!$A$2:$J$250,2,FALSE),"")</f>
        <v/>
      </c>
      <c r="C120" s="61">
        <f>IFERROR(VLOOKUP(A120,Clientes_PDV!$A$2:$J$250,3,FALSE),"")</f>
        <v/>
      </c>
      <c r="D120" s="61">
        <f>IFERROR(VLOOKUP(A120,Clientes_PDV!$A$2:$J$250,4,FALSE),"")</f>
        <v/>
      </c>
      <c r="E120" s="52" t="n"/>
      <c r="F120" s="61">
        <f>IFERROR(VLOOKUP(E120,Maestro_SKU!$A$2:$P$500,2,FALSE),"")</f>
        <v/>
      </c>
      <c r="G120" s="59" t="n"/>
      <c r="H120" s="62">
        <f>IF(OR(G120="",E120=""),"",G120*IFERROR(VLOOKUP(E120,Maestro_SKU!$A$2:$P$500,12,FALSE),1))</f>
        <v/>
      </c>
      <c r="I120" s="53" t="n"/>
      <c r="J120" s="61">
        <f>IF(A120="","",IF(H120&lt;=Inicio!$B$16,"Crítico",IF(H120&lt;=Inicio!$B$17,"Observar","OK")))</f>
        <v/>
      </c>
      <c r="K120" s="52" t="n"/>
    </row>
    <row r="121">
      <c r="A121" s="52" t="n"/>
      <c r="B121" s="61">
        <f>IFERROR(VLOOKUP(A121,Clientes_PDV!$A$2:$J$250,2,FALSE),"")</f>
        <v/>
      </c>
      <c r="C121" s="61">
        <f>IFERROR(VLOOKUP(A121,Clientes_PDV!$A$2:$J$250,3,FALSE),"")</f>
        <v/>
      </c>
      <c r="D121" s="61">
        <f>IFERROR(VLOOKUP(A121,Clientes_PDV!$A$2:$J$250,4,FALSE),"")</f>
        <v/>
      </c>
      <c r="E121" s="52" t="n"/>
      <c r="F121" s="61">
        <f>IFERROR(VLOOKUP(E121,Maestro_SKU!$A$2:$P$500,2,FALSE),"")</f>
        <v/>
      </c>
      <c r="G121" s="59" t="n"/>
      <c r="H121" s="62">
        <f>IF(OR(G121="",E121=""),"",G121*IFERROR(VLOOKUP(E121,Maestro_SKU!$A$2:$P$500,12,FALSE),1))</f>
        <v/>
      </c>
      <c r="I121" s="53" t="n"/>
      <c r="J121" s="61">
        <f>IF(A121="","",IF(H121&lt;=Inicio!$B$16,"Crítico",IF(H121&lt;=Inicio!$B$17,"Observar","OK")))</f>
        <v/>
      </c>
      <c r="K121" s="52" t="n"/>
    </row>
    <row r="122">
      <c r="A122" s="52" t="n"/>
      <c r="B122" s="61">
        <f>IFERROR(VLOOKUP(A122,Clientes_PDV!$A$2:$J$250,2,FALSE),"")</f>
        <v/>
      </c>
      <c r="C122" s="61">
        <f>IFERROR(VLOOKUP(A122,Clientes_PDV!$A$2:$J$250,3,FALSE),"")</f>
        <v/>
      </c>
      <c r="D122" s="61">
        <f>IFERROR(VLOOKUP(A122,Clientes_PDV!$A$2:$J$250,4,FALSE),"")</f>
        <v/>
      </c>
      <c r="E122" s="52" t="n"/>
      <c r="F122" s="61">
        <f>IFERROR(VLOOKUP(E122,Maestro_SKU!$A$2:$P$500,2,FALSE),"")</f>
        <v/>
      </c>
      <c r="G122" s="59" t="n"/>
      <c r="H122" s="62">
        <f>IF(OR(G122="",E122=""),"",G122*IFERROR(VLOOKUP(E122,Maestro_SKU!$A$2:$P$500,12,FALSE),1))</f>
        <v/>
      </c>
      <c r="I122" s="53" t="n"/>
      <c r="J122" s="61">
        <f>IF(A122="","",IF(H122&lt;=Inicio!$B$16,"Crítico",IF(H122&lt;=Inicio!$B$17,"Observar","OK")))</f>
        <v/>
      </c>
      <c r="K122" s="52" t="n"/>
    </row>
    <row r="123">
      <c r="A123" s="52" t="n"/>
      <c r="B123" s="61">
        <f>IFERROR(VLOOKUP(A123,Clientes_PDV!$A$2:$J$250,2,FALSE),"")</f>
        <v/>
      </c>
      <c r="C123" s="61">
        <f>IFERROR(VLOOKUP(A123,Clientes_PDV!$A$2:$J$250,3,FALSE),"")</f>
        <v/>
      </c>
      <c r="D123" s="61">
        <f>IFERROR(VLOOKUP(A123,Clientes_PDV!$A$2:$J$250,4,FALSE),"")</f>
        <v/>
      </c>
      <c r="E123" s="52" t="n"/>
      <c r="F123" s="61">
        <f>IFERROR(VLOOKUP(E123,Maestro_SKU!$A$2:$P$500,2,FALSE),"")</f>
        <v/>
      </c>
      <c r="G123" s="59" t="n"/>
      <c r="H123" s="62">
        <f>IF(OR(G123="",E123=""),"",G123*IFERROR(VLOOKUP(E123,Maestro_SKU!$A$2:$P$500,12,FALSE),1))</f>
        <v/>
      </c>
      <c r="I123" s="53" t="n"/>
      <c r="J123" s="61">
        <f>IF(A123="","",IF(H123&lt;=Inicio!$B$16,"Crítico",IF(H123&lt;=Inicio!$B$17,"Observar","OK")))</f>
        <v/>
      </c>
      <c r="K123" s="52" t="n"/>
    </row>
    <row r="124">
      <c r="A124" s="52" t="n"/>
      <c r="B124" s="61">
        <f>IFERROR(VLOOKUP(A124,Clientes_PDV!$A$2:$J$250,2,FALSE),"")</f>
        <v/>
      </c>
      <c r="C124" s="61">
        <f>IFERROR(VLOOKUP(A124,Clientes_PDV!$A$2:$J$250,3,FALSE),"")</f>
        <v/>
      </c>
      <c r="D124" s="61">
        <f>IFERROR(VLOOKUP(A124,Clientes_PDV!$A$2:$J$250,4,FALSE),"")</f>
        <v/>
      </c>
      <c r="E124" s="52" t="n"/>
      <c r="F124" s="61">
        <f>IFERROR(VLOOKUP(E124,Maestro_SKU!$A$2:$P$500,2,FALSE),"")</f>
        <v/>
      </c>
      <c r="G124" s="59" t="n"/>
      <c r="H124" s="62">
        <f>IF(OR(G124="",E124=""),"",G124*IFERROR(VLOOKUP(E124,Maestro_SKU!$A$2:$P$500,12,FALSE),1))</f>
        <v/>
      </c>
      <c r="I124" s="53" t="n"/>
      <c r="J124" s="61">
        <f>IF(A124="","",IF(H124&lt;=Inicio!$B$16,"Crítico",IF(H124&lt;=Inicio!$B$17,"Observar","OK")))</f>
        <v/>
      </c>
      <c r="K124" s="52" t="n"/>
    </row>
    <row r="125">
      <c r="A125" s="52" t="n"/>
      <c r="B125" s="61">
        <f>IFERROR(VLOOKUP(A125,Clientes_PDV!$A$2:$J$250,2,FALSE),"")</f>
        <v/>
      </c>
      <c r="C125" s="61">
        <f>IFERROR(VLOOKUP(A125,Clientes_PDV!$A$2:$J$250,3,FALSE),"")</f>
        <v/>
      </c>
      <c r="D125" s="61">
        <f>IFERROR(VLOOKUP(A125,Clientes_PDV!$A$2:$J$250,4,FALSE),"")</f>
        <v/>
      </c>
      <c r="E125" s="52" t="n"/>
      <c r="F125" s="61">
        <f>IFERROR(VLOOKUP(E125,Maestro_SKU!$A$2:$P$500,2,FALSE),"")</f>
        <v/>
      </c>
      <c r="G125" s="59" t="n"/>
      <c r="H125" s="62">
        <f>IF(OR(G125="",E125=""),"",G125*IFERROR(VLOOKUP(E125,Maestro_SKU!$A$2:$P$500,12,FALSE),1))</f>
        <v/>
      </c>
      <c r="I125" s="53" t="n"/>
      <c r="J125" s="61">
        <f>IF(A125="","",IF(H125&lt;=Inicio!$B$16,"Crítico",IF(H125&lt;=Inicio!$B$17,"Observar","OK")))</f>
        <v/>
      </c>
      <c r="K125" s="52" t="n"/>
    </row>
    <row r="126">
      <c r="A126" s="52" t="n"/>
      <c r="B126" s="61">
        <f>IFERROR(VLOOKUP(A126,Clientes_PDV!$A$2:$J$250,2,FALSE),"")</f>
        <v/>
      </c>
      <c r="C126" s="61">
        <f>IFERROR(VLOOKUP(A126,Clientes_PDV!$A$2:$J$250,3,FALSE),"")</f>
        <v/>
      </c>
      <c r="D126" s="61">
        <f>IFERROR(VLOOKUP(A126,Clientes_PDV!$A$2:$J$250,4,FALSE),"")</f>
        <v/>
      </c>
      <c r="E126" s="52" t="n"/>
      <c r="F126" s="61">
        <f>IFERROR(VLOOKUP(E126,Maestro_SKU!$A$2:$P$500,2,FALSE),"")</f>
        <v/>
      </c>
      <c r="G126" s="59" t="n"/>
      <c r="H126" s="62">
        <f>IF(OR(G126="",E126=""),"",G126*IFERROR(VLOOKUP(E126,Maestro_SKU!$A$2:$P$500,12,FALSE),1))</f>
        <v/>
      </c>
      <c r="I126" s="53" t="n"/>
      <c r="J126" s="61">
        <f>IF(A126="","",IF(H126&lt;=Inicio!$B$16,"Crítico",IF(H126&lt;=Inicio!$B$17,"Observar","OK")))</f>
        <v/>
      </c>
      <c r="K126" s="52" t="n"/>
    </row>
    <row r="127">
      <c r="A127" s="52" t="n"/>
      <c r="B127" s="61">
        <f>IFERROR(VLOOKUP(A127,Clientes_PDV!$A$2:$J$250,2,FALSE),"")</f>
        <v/>
      </c>
      <c r="C127" s="61">
        <f>IFERROR(VLOOKUP(A127,Clientes_PDV!$A$2:$J$250,3,FALSE),"")</f>
        <v/>
      </c>
      <c r="D127" s="61">
        <f>IFERROR(VLOOKUP(A127,Clientes_PDV!$A$2:$J$250,4,FALSE),"")</f>
        <v/>
      </c>
      <c r="E127" s="52" t="n"/>
      <c r="F127" s="61">
        <f>IFERROR(VLOOKUP(E127,Maestro_SKU!$A$2:$P$500,2,FALSE),"")</f>
        <v/>
      </c>
      <c r="G127" s="59" t="n"/>
      <c r="H127" s="62">
        <f>IF(OR(G127="",E127=""),"",G127*IFERROR(VLOOKUP(E127,Maestro_SKU!$A$2:$P$500,12,FALSE),1))</f>
        <v/>
      </c>
      <c r="I127" s="53" t="n"/>
      <c r="J127" s="61">
        <f>IF(A127="","",IF(H127&lt;=Inicio!$B$16,"Crítico",IF(H127&lt;=Inicio!$B$17,"Observar","OK")))</f>
        <v/>
      </c>
      <c r="K127" s="52" t="n"/>
    </row>
    <row r="128">
      <c r="A128" s="52" t="n"/>
      <c r="B128" s="61">
        <f>IFERROR(VLOOKUP(A128,Clientes_PDV!$A$2:$J$250,2,FALSE),"")</f>
        <v/>
      </c>
      <c r="C128" s="61">
        <f>IFERROR(VLOOKUP(A128,Clientes_PDV!$A$2:$J$250,3,FALSE),"")</f>
        <v/>
      </c>
      <c r="D128" s="61">
        <f>IFERROR(VLOOKUP(A128,Clientes_PDV!$A$2:$J$250,4,FALSE),"")</f>
        <v/>
      </c>
      <c r="E128" s="52" t="n"/>
      <c r="F128" s="61">
        <f>IFERROR(VLOOKUP(E128,Maestro_SKU!$A$2:$P$500,2,FALSE),"")</f>
        <v/>
      </c>
      <c r="G128" s="59" t="n"/>
      <c r="H128" s="62">
        <f>IF(OR(G128="",E128=""),"",G128*IFERROR(VLOOKUP(E128,Maestro_SKU!$A$2:$P$500,12,FALSE),1))</f>
        <v/>
      </c>
      <c r="I128" s="53" t="n"/>
      <c r="J128" s="61">
        <f>IF(A128="","",IF(H128&lt;=Inicio!$B$16,"Crítico",IF(H128&lt;=Inicio!$B$17,"Observar","OK")))</f>
        <v/>
      </c>
      <c r="K128" s="52" t="n"/>
    </row>
    <row r="129">
      <c r="A129" s="52" t="n"/>
      <c r="B129" s="61">
        <f>IFERROR(VLOOKUP(A129,Clientes_PDV!$A$2:$J$250,2,FALSE),"")</f>
        <v/>
      </c>
      <c r="C129" s="61">
        <f>IFERROR(VLOOKUP(A129,Clientes_PDV!$A$2:$J$250,3,FALSE),"")</f>
        <v/>
      </c>
      <c r="D129" s="61">
        <f>IFERROR(VLOOKUP(A129,Clientes_PDV!$A$2:$J$250,4,FALSE),"")</f>
        <v/>
      </c>
      <c r="E129" s="52" t="n"/>
      <c r="F129" s="61">
        <f>IFERROR(VLOOKUP(E129,Maestro_SKU!$A$2:$P$500,2,FALSE),"")</f>
        <v/>
      </c>
      <c r="G129" s="59" t="n"/>
      <c r="H129" s="62">
        <f>IF(OR(G129="",E129=""),"",G129*IFERROR(VLOOKUP(E129,Maestro_SKU!$A$2:$P$500,12,FALSE),1))</f>
        <v/>
      </c>
      <c r="I129" s="53" t="n"/>
      <c r="J129" s="61">
        <f>IF(A129="","",IF(H129&lt;=Inicio!$B$16,"Crítico",IF(H129&lt;=Inicio!$B$17,"Observar","OK")))</f>
        <v/>
      </c>
      <c r="K129" s="52" t="n"/>
    </row>
    <row r="130">
      <c r="A130" s="52" t="n"/>
      <c r="B130" s="61">
        <f>IFERROR(VLOOKUP(A130,Clientes_PDV!$A$2:$J$250,2,FALSE),"")</f>
        <v/>
      </c>
      <c r="C130" s="61">
        <f>IFERROR(VLOOKUP(A130,Clientes_PDV!$A$2:$J$250,3,FALSE),"")</f>
        <v/>
      </c>
      <c r="D130" s="61">
        <f>IFERROR(VLOOKUP(A130,Clientes_PDV!$A$2:$J$250,4,FALSE),"")</f>
        <v/>
      </c>
      <c r="E130" s="52" t="n"/>
      <c r="F130" s="61">
        <f>IFERROR(VLOOKUP(E130,Maestro_SKU!$A$2:$P$500,2,FALSE),"")</f>
        <v/>
      </c>
      <c r="G130" s="59" t="n"/>
      <c r="H130" s="62">
        <f>IF(OR(G130="",E130=""),"",G130*IFERROR(VLOOKUP(E130,Maestro_SKU!$A$2:$P$500,12,FALSE),1))</f>
        <v/>
      </c>
      <c r="I130" s="53" t="n"/>
      <c r="J130" s="61">
        <f>IF(A130="","",IF(H130&lt;=Inicio!$B$16,"Crítico",IF(H130&lt;=Inicio!$B$17,"Observar","OK")))</f>
        <v/>
      </c>
      <c r="K130" s="52" t="n"/>
    </row>
    <row r="131">
      <c r="A131" s="52" t="n"/>
      <c r="B131" s="61">
        <f>IFERROR(VLOOKUP(A131,Clientes_PDV!$A$2:$J$250,2,FALSE),"")</f>
        <v/>
      </c>
      <c r="C131" s="61">
        <f>IFERROR(VLOOKUP(A131,Clientes_PDV!$A$2:$J$250,3,FALSE),"")</f>
        <v/>
      </c>
      <c r="D131" s="61">
        <f>IFERROR(VLOOKUP(A131,Clientes_PDV!$A$2:$J$250,4,FALSE),"")</f>
        <v/>
      </c>
      <c r="E131" s="52" t="n"/>
      <c r="F131" s="61">
        <f>IFERROR(VLOOKUP(E131,Maestro_SKU!$A$2:$P$500,2,FALSE),"")</f>
        <v/>
      </c>
      <c r="G131" s="59" t="n"/>
      <c r="H131" s="62">
        <f>IF(OR(G131="",E131=""),"",G131*IFERROR(VLOOKUP(E131,Maestro_SKU!$A$2:$P$500,12,FALSE),1))</f>
        <v/>
      </c>
      <c r="I131" s="53" t="n"/>
      <c r="J131" s="61">
        <f>IF(A131="","",IF(H131&lt;=Inicio!$B$16,"Crítico",IF(H131&lt;=Inicio!$B$17,"Observar","OK")))</f>
        <v/>
      </c>
      <c r="K131" s="52" t="n"/>
    </row>
    <row r="132">
      <c r="A132" s="52" t="n"/>
      <c r="B132" s="61">
        <f>IFERROR(VLOOKUP(A132,Clientes_PDV!$A$2:$J$250,2,FALSE),"")</f>
        <v/>
      </c>
      <c r="C132" s="61">
        <f>IFERROR(VLOOKUP(A132,Clientes_PDV!$A$2:$J$250,3,FALSE),"")</f>
        <v/>
      </c>
      <c r="D132" s="61">
        <f>IFERROR(VLOOKUP(A132,Clientes_PDV!$A$2:$J$250,4,FALSE),"")</f>
        <v/>
      </c>
      <c r="E132" s="52" t="n"/>
      <c r="F132" s="61">
        <f>IFERROR(VLOOKUP(E132,Maestro_SKU!$A$2:$P$500,2,FALSE),"")</f>
        <v/>
      </c>
      <c r="G132" s="59" t="n"/>
      <c r="H132" s="62">
        <f>IF(OR(G132="",E132=""),"",G132*IFERROR(VLOOKUP(E132,Maestro_SKU!$A$2:$P$500,12,FALSE),1))</f>
        <v/>
      </c>
      <c r="I132" s="53" t="n"/>
      <c r="J132" s="61">
        <f>IF(A132="","",IF(H132&lt;=Inicio!$B$16,"Crítico",IF(H132&lt;=Inicio!$B$17,"Observar","OK")))</f>
        <v/>
      </c>
      <c r="K132" s="52" t="n"/>
    </row>
    <row r="133">
      <c r="A133" s="52" t="n"/>
      <c r="B133" s="61">
        <f>IFERROR(VLOOKUP(A133,Clientes_PDV!$A$2:$J$250,2,FALSE),"")</f>
        <v/>
      </c>
      <c r="C133" s="61">
        <f>IFERROR(VLOOKUP(A133,Clientes_PDV!$A$2:$J$250,3,FALSE),"")</f>
        <v/>
      </c>
      <c r="D133" s="61">
        <f>IFERROR(VLOOKUP(A133,Clientes_PDV!$A$2:$J$250,4,FALSE),"")</f>
        <v/>
      </c>
      <c r="E133" s="52" t="n"/>
      <c r="F133" s="61">
        <f>IFERROR(VLOOKUP(E133,Maestro_SKU!$A$2:$P$500,2,FALSE),"")</f>
        <v/>
      </c>
      <c r="G133" s="59" t="n"/>
      <c r="H133" s="62">
        <f>IF(OR(G133="",E133=""),"",G133*IFERROR(VLOOKUP(E133,Maestro_SKU!$A$2:$P$500,12,FALSE),1))</f>
        <v/>
      </c>
      <c r="I133" s="53" t="n"/>
      <c r="J133" s="61">
        <f>IF(A133="","",IF(H133&lt;=Inicio!$B$16,"Crítico",IF(H133&lt;=Inicio!$B$17,"Observar","OK")))</f>
        <v/>
      </c>
      <c r="K133" s="52" t="n"/>
    </row>
    <row r="134">
      <c r="A134" s="52" t="n"/>
      <c r="B134" s="61">
        <f>IFERROR(VLOOKUP(A134,Clientes_PDV!$A$2:$J$250,2,FALSE),"")</f>
        <v/>
      </c>
      <c r="C134" s="61">
        <f>IFERROR(VLOOKUP(A134,Clientes_PDV!$A$2:$J$250,3,FALSE),"")</f>
        <v/>
      </c>
      <c r="D134" s="61">
        <f>IFERROR(VLOOKUP(A134,Clientes_PDV!$A$2:$J$250,4,FALSE),"")</f>
        <v/>
      </c>
      <c r="E134" s="52" t="n"/>
      <c r="F134" s="61">
        <f>IFERROR(VLOOKUP(E134,Maestro_SKU!$A$2:$P$500,2,FALSE),"")</f>
        <v/>
      </c>
      <c r="G134" s="59" t="n"/>
      <c r="H134" s="62">
        <f>IF(OR(G134="",E134=""),"",G134*IFERROR(VLOOKUP(E134,Maestro_SKU!$A$2:$P$500,12,FALSE),1))</f>
        <v/>
      </c>
      <c r="I134" s="53" t="n"/>
      <c r="J134" s="61">
        <f>IF(A134="","",IF(H134&lt;=Inicio!$B$16,"Crítico",IF(H134&lt;=Inicio!$B$17,"Observar","OK")))</f>
        <v/>
      </c>
      <c r="K134" s="52" t="n"/>
    </row>
    <row r="135">
      <c r="A135" s="52" t="n"/>
      <c r="B135" s="61">
        <f>IFERROR(VLOOKUP(A135,Clientes_PDV!$A$2:$J$250,2,FALSE),"")</f>
        <v/>
      </c>
      <c r="C135" s="61">
        <f>IFERROR(VLOOKUP(A135,Clientes_PDV!$A$2:$J$250,3,FALSE),"")</f>
        <v/>
      </c>
      <c r="D135" s="61">
        <f>IFERROR(VLOOKUP(A135,Clientes_PDV!$A$2:$J$250,4,FALSE),"")</f>
        <v/>
      </c>
      <c r="E135" s="52" t="n"/>
      <c r="F135" s="61">
        <f>IFERROR(VLOOKUP(E135,Maestro_SKU!$A$2:$P$500,2,FALSE),"")</f>
        <v/>
      </c>
      <c r="G135" s="59" t="n"/>
      <c r="H135" s="62">
        <f>IF(OR(G135="",E135=""),"",G135*IFERROR(VLOOKUP(E135,Maestro_SKU!$A$2:$P$500,12,FALSE),1))</f>
        <v/>
      </c>
      <c r="I135" s="53" t="n"/>
      <c r="J135" s="61">
        <f>IF(A135="","",IF(H135&lt;=Inicio!$B$16,"Crítico",IF(H135&lt;=Inicio!$B$17,"Observar","OK")))</f>
        <v/>
      </c>
      <c r="K135" s="52" t="n"/>
    </row>
    <row r="136">
      <c r="A136" s="52" t="n"/>
      <c r="B136" s="61">
        <f>IFERROR(VLOOKUP(A136,Clientes_PDV!$A$2:$J$250,2,FALSE),"")</f>
        <v/>
      </c>
      <c r="C136" s="61">
        <f>IFERROR(VLOOKUP(A136,Clientes_PDV!$A$2:$J$250,3,FALSE),"")</f>
        <v/>
      </c>
      <c r="D136" s="61">
        <f>IFERROR(VLOOKUP(A136,Clientes_PDV!$A$2:$J$250,4,FALSE),"")</f>
        <v/>
      </c>
      <c r="E136" s="52" t="n"/>
      <c r="F136" s="61">
        <f>IFERROR(VLOOKUP(E136,Maestro_SKU!$A$2:$P$500,2,FALSE),"")</f>
        <v/>
      </c>
      <c r="G136" s="59" t="n"/>
      <c r="H136" s="62">
        <f>IF(OR(G136="",E136=""),"",G136*IFERROR(VLOOKUP(E136,Maestro_SKU!$A$2:$P$500,12,FALSE),1))</f>
        <v/>
      </c>
      <c r="I136" s="53" t="n"/>
      <c r="J136" s="61">
        <f>IF(A136="","",IF(H136&lt;=Inicio!$B$16,"Crítico",IF(H136&lt;=Inicio!$B$17,"Observar","OK")))</f>
        <v/>
      </c>
      <c r="K136" s="52" t="n"/>
    </row>
    <row r="137">
      <c r="A137" s="52" t="n"/>
      <c r="B137" s="61">
        <f>IFERROR(VLOOKUP(A137,Clientes_PDV!$A$2:$J$250,2,FALSE),"")</f>
        <v/>
      </c>
      <c r="C137" s="61">
        <f>IFERROR(VLOOKUP(A137,Clientes_PDV!$A$2:$J$250,3,FALSE),"")</f>
        <v/>
      </c>
      <c r="D137" s="61">
        <f>IFERROR(VLOOKUP(A137,Clientes_PDV!$A$2:$J$250,4,FALSE),"")</f>
        <v/>
      </c>
      <c r="E137" s="52" t="n"/>
      <c r="F137" s="61">
        <f>IFERROR(VLOOKUP(E137,Maestro_SKU!$A$2:$P$500,2,FALSE),"")</f>
        <v/>
      </c>
      <c r="G137" s="59" t="n"/>
      <c r="H137" s="62">
        <f>IF(OR(G137="",E137=""),"",G137*IFERROR(VLOOKUP(E137,Maestro_SKU!$A$2:$P$500,12,FALSE),1))</f>
        <v/>
      </c>
      <c r="I137" s="53" t="n"/>
      <c r="J137" s="61">
        <f>IF(A137="","",IF(H137&lt;=Inicio!$B$16,"Crítico",IF(H137&lt;=Inicio!$B$17,"Observar","OK")))</f>
        <v/>
      </c>
      <c r="K137" s="52" t="n"/>
    </row>
    <row r="138">
      <c r="A138" s="52" t="n"/>
      <c r="B138" s="61">
        <f>IFERROR(VLOOKUP(A138,Clientes_PDV!$A$2:$J$250,2,FALSE),"")</f>
        <v/>
      </c>
      <c r="C138" s="61">
        <f>IFERROR(VLOOKUP(A138,Clientes_PDV!$A$2:$J$250,3,FALSE),"")</f>
        <v/>
      </c>
      <c r="D138" s="61">
        <f>IFERROR(VLOOKUP(A138,Clientes_PDV!$A$2:$J$250,4,FALSE),"")</f>
        <v/>
      </c>
      <c r="E138" s="52" t="n"/>
      <c r="F138" s="61">
        <f>IFERROR(VLOOKUP(E138,Maestro_SKU!$A$2:$P$500,2,FALSE),"")</f>
        <v/>
      </c>
      <c r="G138" s="59" t="n"/>
      <c r="H138" s="62">
        <f>IF(OR(G138="",E138=""),"",G138*IFERROR(VLOOKUP(E138,Maestro_SKU!$A$2:$P$500,12,FALSE),1))</f>
        <v/>
      </c>
      <c r="I138" s="53" t="n"/>
      <c r="J138" s="61">
        <f>IF(A138="","",IF(H138&lt;=Inicio!$B$16,"Crítico",IF(H138&lt;=Inicio!$B$17,"Observar","OK")))</f>
        <v/>
      </c>
      <c r="K138" s="52" t="n"/>
    </row>
    <row r="139">
      <c r="A139" s="52" t="n"/>
      <c r="B139" s="61">
        <f>IFERROR(VLOOKUP(A139,Clientes_PDV!$A$2:$J$250,2,FALSE),"")</f>
        <v/>
      </c>
      <c r="C139" s="61">
        <f>IFERROR(VLOOKUP(A139,Clientes_PDV!$A$2:$J$250,3,FALSE),"")</f>
        <v/>
      </c>
      <c r="D139" s="61">
        <f>IFERROR(VLOOKUP(A139,Clientes_PDV!$A$2:$J$250,4,FALSE),"")</f>
        <v/>
      </c>
      <c r="E139" s="52" t="n"/>
      <c r="F139" s="61">
        <f>IFERROR(VLOOKUP(E139,Maestro_SKU!$A$2:$P$500,2,FALSE),"")</f>
        <v/>
      </c>
      <c r="G139" s="59" t="n"/>
      <c r="H139" s="62">
        <f>IF(OR(G139="",E139=""),"",G139*IFERROR(VLOOKUP(E139,Maestro_SKU!$A$2:$P$500,12,FALSE),1))</f>
        <v/>
      </c>
      <c r="I139" s="53" t="n"/>
      <c r="J139" s="61">
        <f>IF(A139="","",IF(H139&lt;=Inicio!$B$16,"Crítico",IF(H139&lt;=Inicio!$B$17,"Observar","OK")))</f>
        <v/>
      </c>
      <c r="K139" s="52" t="n"/>
    </row>
    <row r="140">
      <c r="A140" s="52" t="n"/>
      <c r="B140" s="61">
        <f>IFERROR(VLOOKUP(A140,Clientes_PDV!$A$2:$J$250,2,FALSE),"")</f>
        <v/>
      </c>
      <c r="C140" s="61">
        <f>IFERROR(VLOOKUP(A140,Clientes_PDV!$A$2:$J$250,3,FALSE),"")</f>
        <v/>
      </c>
      <c r="D140" s="61">
        <f>IFERROR(VLOOKUP(A140,Clientes_PDV!$A$2:$J$250,4,FALSE),"")</f>
        <v/>
      </c>
      <c r="E140" s="52" t="n"/>
      <c r="F140" s="61">
        <f>IFERROR(VLOOKUP(E140,Maestro_SKU!$A$2:$P$500,2,FALSE),"")</f>
        <v/>
      </c>
      <c r="G140" s="59" t="n"/>
      <c r="H140" s="62">
        <f>IF(OR(G140="",E140=""),"",G140*IFERROR(VLOOKUP(E140,Maestro_SKU!$A$2:$P$500,12,FALSE),1))</f>
        <v/>
      </c>
      <c r="I140" s="53" t="n"/>
      <c r="J140" s="61">
        <f>IF(A140="","",IF(H140&lt;=Inicio!$B$16,"Crítico",IF(H140&lt;=Inicio!$B$17,"Observar","OK")))</f>
        <v/>
      </c>
      <c r="K140" s="52" t="n"/>
    </row>
    <row r="141">
      <c r="A141" s="52" t="n"/>
      <c r="B141" s="61">
        <f>IFERROR(VLOOKUP(A141,Clientes_PDV!$A$2:$J$250,2,FALSE),"")</f>
        <v/>
      </c>
      <c r="C141" s="61">
        <f>IFERROR(VLOOKUP(A141,Clientes_PDV!$A$2:$J$250,3,FALSE),"")</f>
        <v/>
      </c>
      <c r="D141" s="61">
        <f>IFERROR(VLOOKUP(A141,Clientes_PDV!$A$2:$J$250,4,FALSE),"")</f>
        <v/>
      </c>
      <c r="E141" s="52" t="n"/>
      <c r="F141" s="61">
        <f>IFERROR(VLOOKUP(E141,Maestro_SKU!$A$2:$P$500,2,FALSE),"")</f>
        <v/>
      </c>
      <c r="G141" s="59" t="n"/>
      <c r="H141" s="62">
        <f>IF(OR(G141="",E141=""),"",G141*IFERROR(VLOOKUP(E141,Maestro_SKU!$A$2:$P$500,12,FALSE),1))</f>
        <v/>
      </c>
      <c r="I141" s="53" t="n"/>
      <c r="J141" s="61">
        <f>IF(A141="","",IF(H141&lt;=Inicio!$B$16,"Crítico",IF(H141&lt;=Inicio!$B$17,"Observar","OK")))</f>
        <v/>
      </c>
      <c r="K141" s="52" t="n"/>
    </row>
    <row r="142">
      <c r="A142" s="52" t="n"/>
      <c r="B142" s="61">
        <f>IFERROR(VLOOKUP(A142,Clientes_PDV!$A$2:$J$250,2,FALSE),"")</f>
        <v/>
      </c>
      <c r="C142" s="61">
        <f>IFERROR(VLOOKUP(A142,Clientes_PDV!$A$2:$J$250,3,FALSE),"")</f>
        <v/>
      </c>
      <c r="D142" s="61">
        <f>IFERROR(VLOOKUP(A142,Clientes_PDV!$A$2:$J$250,4,FALSE),"")</f>
        <v/>
      </c>
      <c r="E142" s="52" t="n"/>
      <c r="F142" s="61">
        <f>IFERROR(VLOOKUP(E142,Maestro_SKU!$A$2:$P$500,2,FALSE),"")</f>
        <v/>
      </c>
      <c r="G142" s="59" t="n"/>
      <c r="H142" s="62">
        <f>IF(OR(G142="",E142=""),"",G142*IFERROR(VLOOKUP(E142,Maestro_SKU!$A$2:$P$500,12,FALSE),1))</f>
        <v/>
      </c>
      <c r="I142" s="53" t="n"/>
      <c r="J142" s="61">
        <f>IF(A142="","",IF(H142&lt;=Inicio!$B$16,"Crítico",IF(H142&lt;=Inicio!$B$17,"Observar","OK")))</f>
        <v/>
      </c>
      <c r="K142" s="52" t="n"/>
    </row>
    <row r="143">
      <c r="A143" s="52" t="n"/>
      <c r="B143" s="61">
        <f>IFERROR(VLOOKUP(A143,Clientes_PDV!$A$2:$J$250,2,FALSE),"")</f>
        <v/>
      </c>
      <c r="C143" s="61">
        <f>IFERROR(VLOOKUP(A143,Clientes_PDV!$A$2:$J$250,3,FALSE),"")</f>
        <v/>
      </c>
      <c r="D143" s="61">
        <f>IFERROR(VLOOKUP(A143,Clientes_PDV!$A$2:$J$250,4,FALSE),"")</f>
        <v/>
      </c>
      <c r="E143" s="52" t="n"/>
      <c r="F143" s="61">
        <f>IFERROR(VLOOKUP(E143,Maestro_SKU!$A$2:$P$500,2,FALSE),"")</f>
        <v/>
      </c>
      <c r="G143" s="59" t="n"/>
      <c r="H143" s="62">
        <f>IF(OR(G143="",E143=""),"",G143*IFERROR(VLOOKUP(E143,Maestro_SKU!$A$2:$P$500,12,FALSE),1))</f>
        <v/>
      </c>
      <c r="I143" s="53" t="n"/>
      <c r="J143" s="61">
        <f>IF(A143="","",IF(H143&lt;=Inicio!$B$16,"Crítico",IF(H143&lt;=Inicio!$B$17,"Observar","OK")))</f>
        <v/>
      </c>
      <c r="K143" s="52" t="n"/>
    </row>
    <row r="144">
      <c r="A144" s="52" t="n"/>
      <c r="B144" s="61">
        <f>IFERROR(VLOOKUP(A144,Clientes_PDV!$A$2:$J$250,2,FALSE),"")</f>
        <v/>
      </c>
      <c r="C144" s="61">
        <f>IFERROR(VLOOKUP(A144,Clientes_PDV!$A$2:$J$250,3,FALSE),"")</f>
        <v/>
      </c>
      <c r="D144" s="61">
        <f>IFERROR(VLOOKUP(A144,Clientes_PDV!$A$2:$J$250,4,FALSE),"")</f>
        <v/>
      </c>
      <c r="E144" s="52" t="n"/>
      <c r="F144" s="61">
        <f>IFERROR(VLOOKUP(E144,Maestro_SKU!$A$2:$P$500,2,FALSE),"")</f>
        <v/>
      </c>
      <c r="G144" s="59" t="n"/>
      <c r="H144" s="62">
        <f>IF(OR(G144="",E144=""),"",G144*IFERROR(VLOOKUP(E144,Maestro_SKU!$A$2:$P$500,12,FALSE),1))</f>
        <v/>
      </c>
      <c r="I144" s="53" t="n"/>
      <c r="J144" s="61">
        <f>IF(A144="","",IF(H144&lt;=Inicio!$B$16,"Crítico",IF(H144&lt;=Inicio!$B$17,"Observar","OK")))</f>
        <v/>
      </c>
      <c r="K144" s="52" t="n"/>
    </row>
    <row r="145">
      <c r="A145" s="52" t="n"/>
      <c r="B145" s="61">
        <f>IFERROR(VLOOKUP(A145,Clientes_PDV!$A$2:$J$250,2,FALSE),"")</f>
        <v/>
      </c>
      <c r="C145" s="61">
        <f>IFERROR(VLOOKUP(A145,Clientes_PDV!$A$2:$J$250,3,FALSE),"")</f>
        <v/>
      </c>
      <c r="D145" s="61">
        <f>IFERROR(VLOOKUP(A145,Clientes_PDV!$A$2:$J$250,4,FALSE),"")</f>
        <v/>
      </c>
      <c r="E145" s="52" t="n"/>
      <c r="F145" s="61">
        <f>IFERROR(VLOOKUP(E145,Maestro_SKU!$A$2:$P$500,2,FALSE),"")</f>
        <v/>
      </c>
      <c r="G145" s="59" t="n"/>
      <c r="H145" s="62">
        <f>IF(OR(G145="",E145=""),"",G145*IFERROR(VLOOKUP(E145,Maestro_SKU!$A$2:$P$500,12,FALSE),1))</f>
        <v/>
      </c>
      <c r="I145" s="53" t="n"/>
      <c r="J145" s="61">
        <f>IF(A145="","",IF(H145&lt;=Inicio!$B$16,"Crítico",IF(H145&lt;=Inicio!$B$17,"Observar","OK")))</f>
        <v/>
      </c>
      <c r="K145" s="52" t="n"/>
    </row>
    <row r="146">
      <c r="A146" s="52" t="n"/>
      <c r="B146" s="61">
        <f>IFERROR(VLOOKUP(A146,Clientes_PDV!$A$2:$J$250,2,FALSE),"")</f>
        <v/>
      </c>
      <c r="C146" s="61">
        <f>IFERROR(VLOOKUP(A146,Clientes_PDV!$A$2:$J$250,3,FALSE),"")</f>
        <v/>
      </c>
      <c r="D146" s="61">
        <f>IFERROR(VLOOKUP(A146,Clientes_PDV!$A$2:$J$250,4,FALSE),"")</f>
        <v/>
      </c>
      <c r="E146" s="52" t="n"/>
      <c r="F146" s="61">
        <f>IFERROR(VLOOKUP(E146,Maestro_SKU!$A$2:$P$500,2,FALSE),"")</f>
        <v/>
      </c>
      <c r="G146" s="59" t="n"/>
      <c r="H146" s="62">
        <f>IF(OR(G146="",E146=""),"",G146*IFERROR(VLOOKUP(E146,Maestro_SKU!$A$2:$P$500,12,FALSE),1))</f>
        <v/>
      </c>
      <c r="I146" s="53" t="n"/>
      <c r="J146" s="61">
        <f>IF(A146="","",IF(H146&lt;=Inicio!$B$16,"Crítico",IF(H146&lt;=Inicio!$B$17,"Observar","OK")))</f>
        <v/>
      </c>
      <c r="K146" s="52" t="n"/>
    </row>
    <row r="147">
      <c r="A147" s="52" t="n"/>
      <c r="B147" s="61">
        <f>IFERROR(VLOOKUP(A147,Clientes_PDV!$A$2:$J$250,2,FALSE),"")</f>
        <v/>
      </c>
      <c r="C147" s="61">
        <f>IFERROR(VLOOKUP(A147,Clientes_PDV!$A$2:$J$250,3,FALSE),"")</f>
        <v/>
      </c>
      <c r="D147" s="61">
        <f>IFERROR(VLOOKUP(A147,Clientes_PDV!$A$2:$J$250,4,FALSE),"")</f>
        <v/>
      </c>
      <c r="E147" s="52" t="n"/>
      <c r="F147" s="61">
        <f>IFERROR(VLOOKUP(E147,Maestro_SKU!$A$2:$P$500,2,FALSE),"")</f>
        <v/>
      </c>
      <c r="G147" s="59" t="n"/>
      <c r="H147" s="62">
        <f>IF(OR(G147="",E147=""),"",G147*IFERROR(VLOOKUP(E147,Maestro_SKU!$A$2:$P$500,12,FALSE),1))</f>
        <v/>
      </c>
      <c r="I147" s="53" t="n"/>
      <c r="J147" s="61">
        <f>IF(A147="","",IF(H147&lt;=Inicio!$B$16,"Crítico",IF(H147&lt;=Inicio!$B$17,"Observar","OK")))</f>
        <v/>
      </c>
      <c r="K147" s="52" t="n"/>
    </row>
    <row r="148">
      <c r="A148" s="52" t="n"/>
      <c r="B148" s="61">
        <f>IFERROR(VLOOKUP(A148,Clientes_PDV!$A$2:$J$250,2,FALSE),"")</f>
        <v/>
      </c>
      <c r="C148" s="61">
        <f>IFERROR(VLOOKUP(A148,Clientes_PDV!$A$2:$J$250,3,FALSE),"")</f>
        <v/>
      </c>
      <c r="D148" s="61">
        <f>IFERROR(VLOOKUP(A148,Clientes_PDV!$A$2:$J$250,4,FALSE),"")</f>
        <v/>
      </c>
      <c r="E148" s="52" t="n"/>
      <c r="F148" s="61">
        <f>IFERROR(VLOOKUP(E148,Maestro_SKU!$A$2:$P$500,2,FALSE),"")</f>
        <v/>
      </c>
      <c r="G148" s="59" t="n"/>
      <c r="H148" s="62">
        <f>IF(OR(G148="",E148=""),"",G148*IFERROR(VLOOKUP(E148,Maestro_SKU!$A$2:$P$500,12,FALSE),1))</f>
        <v/>
      </c>
      <c r="I148" s="53" t="n"/>
      <c r="J148" s="61">
        <f>IF(A148="","",IF(H148&lt;=Inicio!$B$16,"Crítico",IF(H148&lt;=Inicio!$B$17,"Observar","OK")))</f>
        <v/>
      </c>
      <c r="K148" s="52" t="n"/>
    </row>
    <row r="149">
      <c r="A149" s="52" t="n"/>
      <c r="B149" s="61">
        <f>IFERROR(VLOOKUP(A149,Clientes_PDV!$A$2:$J$250,2,FALSE),"")</f>
        <v/>
      </c>
      <c r="C149" s="61">
        <f>IFERROR(VLOOKUP(A149,Clientes_PDV!$A$2:$J$250,3,FALSE),"")</f>
        <v/>
      </c>
      <c r="D149" s="61">
        <f>IFERROR(VLOOKUP(A149,Clientes_PDV!$A$2:$J$250,4,FALSE),"")</f>
        <v/>
      </c>
      <c r="E149" s="52" t="n"/>
      <c r="F149" s="61">
        <f>IFERROR(VLOOKUP(E149,Maestro_SKU!$A$2:$P$500,2,FALSE),"")</f>
        <v/>
      </c>
      <c r="G149" s="59" t="n"/>
      <c r="H149" s="62">
        <f>IF(OR(G149="",E149=""),"",G149*IFERROR(VLOOKUP(E149,Maestro_SKU!$A$2:$P$500,12,FALSE),1))</f>
        <v/>
      </c>
      <c r="I149" s="53" t="n"/>
      <c r="J149" s="61">
        <f>IF(A149="","",IF(H149&lt;=Inicio!$B$16,"Crítico",IF(H149&lt;=Inicio!$B$17,"Observar","OK")))</f>
        <v/>
      </c>
      <c r="K149" s="52" t="n"/>
    </row>
    <row r="150">
      <c r="A150" s="52" t="n"/>
      <c r="B150" s="61">
        <f>IFERROR(VLOOKUP(A150,Clientes_PDV!$A$2:$J$250,2,FALSE),"")</f>
        <v/>
      </c>
      <c r="C150" s="61">
        <f>IFERROR(VLOOKUP(A150,Clientes_PDV!$A$2:$J$250,3,FALSE),"")</f>
        <v/>
      </c>
      <c r="D150" s="61">
        <f>IFERROR(VLOOKUP(A150,Clientes_PDV!$A$2:$J$250,4,FALSE),"")</f>
        <v/>
      </c>
      <c r="E150" s="52" t="n"/>
      <c r="F150" s="61">
        <f>IFERROR(VLOOKUP(E150,Maestro_SKU!$A$2:$P$500,2,FALSE),"")</f>
        <v/>
      </c>
      <c r="G150" s="59" t="n"/>
      <c r="H150" s="62">
        <f>IF(OR(G150="",E150=""),"",G150*IFERROR(VLOOKUP(E150,Maestro_SKU!$A$2:$P$500,12,FALSE),1))</f>
        <v/>
      </c>
      <c r="I150" s="53" t="n"/>
      <c r="J150" s="61">
        <f>IF(A150="","",IF(H150&lt;=Inicio!$B$16,"Crítico",IF(H150&lt;=Inicio!$B$17,"Observar","OK")))</f>
        <v/>
      </c>
      <c r="K150" s="52" t="n"/>
    </row>
    <row r="151">
      <c r="A151" s="52" t="n"/>
      <c r="B151" s="61">
        <f>IFERROR(VLOOKUP(A151,Clientes_PDV!$A$2:$J$250,2,FALSE),"")</f>
        <v/>
      </c>
      <c r="C151" s="61">
        <f>IFERROR(VLOOKUP(A151,Clientes_PDV!$A$2:$J$250,3,FALSE),"")</f>
        <v/>
      </c>
      <c r="D151" s="61">
        <f>IFERROR(VLOOKUP(A151,Clientes_PDV!$A$2:$J$250,4,FALSE),"")</f>
        <v/>
      </c>
      <c r="E151" s="52" t="n"/>
      <c r="F151" s="61">
        <f>IFERROR(VLOOKUP(E151,Maestro_SKU!$A$2:$P$500,2,FALSE),"")</f>
        <v/>
      </c>
      <c r="G151" s="59" t="n"/>
      <c r="H151" s="62">
        <f>IF(OR(G151="",E151=""),"",G151*IFERROR(VLOOKUP(E151,Maestro_SKU!$A$2:$P$500,12,FALSE),1))</f>
        <v/>
      </c>
      <c r="I151" s="53" t="n"/>
      <c r="J151" s="61">
        <f>IF(A151="","",IF(H151&lt;=Inicio!$B$16,"Crítico",IF(H151&lt;=Inicio!$B$17,"Observar","OK")))</f>
        <v/>
      </c>
      <c r="K151" s="52" t="n"/>
    </row>
    <row r="152">
      <c r="A152" s="52" t="n"/>
      <c r="B152" s="61">
        <f>IFERROR(VLOOKUP(A152,Clientes_PDV!$A$2:$J$250,2,FALSE),"")</f>
        <v/>
      </c>
      <c r="C152" s="61">
        <f>IFERROR(VLOOKUP(A152,Clientes_PDV!$A$2:$J$250,3,FALSE),"")</f>
        <v/>
      </c>
      <c r="D152" s="61">
        <f>IFERROR(VLOOKUP(A152,Clientes_PDV!$A$2:$J$250,4,FALSE),"")</f>
        <v/>
      </c>
      <c r="E152" s="52" t="n"/>
      <c r="F152" s="61">
        <f>IFERROR(VLOOKUP(E152,Maestro_SKU!$A$2:$P$500,2,FALSE),"")</f>
        <v/>
      </c>
      <c r="G152" s="59" t="n"/>
      <c r="H152" s="62">
        <f>IF(OR(G152="",E152=""),"",G152*IFERROR(VLOOKUP(E152,Maestro_SKU!$A$2:$P$500,12,FALSE),1))</f>
        <v/>
      </c>
      <c r="I152" s="53" t="n"/>
      <c r="J152" s="61">
        <f>IF(A152="","",IF(H152&lt;=Inicio!$B$16,"Crítico",IF(H152&lt;=Inicio!$B$17,"Observar","OK")))</f>
        <v/>
      </c>
      <c r="K152" s="52" t="n"/>
    </row>
    <row r="153">
      <c r="A153" s="52" t="n"/>
      <c r="B153" s="61">
        <f>IFERROR(VLOOKUP(A153,Clientes_PDV!$A$2:$J$250,2,FALSE),"")</f>
        <v/>
      </c>
      <c r="C153" s="61">
        <f>IFERROR(VLOOKUP(A153,Clientes_PDV!$A$2:$J$250,3,FALSE),"")</f>
        <v/>
      </c>
      <c r="D153" s="61">
        <f>IFERROR(VLOOKUP(A153,Clientes_PDV!$A$2:$J$250,4,FALSE),"")</f>
        <v/>
      </c>
      <c r="E153" s="52" t="n"/>
      <c r="F153" s="61">
        <f>IFERROR(VLOOKUP(E153,Maestro_SKU!$A$2:$P$500,2,FALSE),"")</f>
        <v/>
      </c>
      <c r="G153" s="59" t="n"/>
      <c r="H153" s="62">
        <f>IF(OR(G153="",E153=""),"",G153*IFERROR(VLOOKUP(E153,Maestro_SKU!$A$2:$P$500,12,FALSE),1))</f>
        <v/>
      </c>
      <c r="I153" s="53" t="n"/>
      <c r="J153" s="61">
        <f>IF(A153="","",IF(H153&lt;=Inicio!$B$16,"Crítico",IF(H153&lt;=Inicio!$B$17,"Observar","OK")))</f>
        <v/>
      </c>
      <c r="K153" s="52" t="n"/>
    </row>
    <row r="154">
      <c r="A154" s="52" t="n"/>
      <c r="B154" s="61">
        <f>IFERROR(VLOOKUP(A154,Clientes_PDV!$A$2:$J$250,2,FALSE),"")</f>
        <v/>
      </c>
      <c r="C154" s="61">
        <f>IFERROR(VLOOKUP(A154,Clientes_PDV!$A$2:$J$250,3,FALSE),"")</f>
        <v/>
      </c>
      <c r="D154" s="61">
        <f>IFERROR(VLOOKUP(A154,Clientes_PDV!$A$2:$J$250,4,FALSE),"")</f>
        <v/>
      </c>
      <c r="E154" s="52" t="n"/>
      <c r="F154" s="61">
        <f>IFERROR(VLOOKUP(E154,Maestro_SKU!$A$2:$P$500,2,FALSE),"")</f>
        <v/>
      </c>
      <c r="G154" s="59" t="n"/>
      <c r="H154" s="62">
        <f>IF(OR(G154="",E154=""),"",G154*IFERROR(VLOOKUP(E154,Maestro_SKU!$A$2:$P$500,12,FALSE),1))</f>
        <v/>
      </c>
      <c r="I154" s="53" t="n"/>
      <c r="J154" s="61">
        <f>IF(A154="","",IF(H154&lt;=Inicio!$B$16,"Crítico",IF(H154&lt;=Inicio!$B$17,"Observar","OK")))</f>
        <v/>
      </c>
      <c r="K154" s="52" t="n"/>
    </row>
    <row r="155">
      <c r="A155" s="52" t="n"/>
      <c r="B155" s="61">
        <f>IFERROR(VLOOKUP(A155,Clientes_PDV!$A$2:$J$250,2,FALSE),"")</f>
        <v/>
      </c>
      <c r="C155" s="61">
        <f>IFERROR(VLOOKUP(A155,Clientes_PDV!$A$2:$J$250,3,FALSE),"")</f>
        <v/>
      </c>
      <c r="D155" s="61">
        <f>IFERROR(VLOOKUP(A155,Clientes_PDV!$A$2:$J$250,4,FALSE),"")</f>
        <v/>
      </c>
      <c r="E155" s="52" t="n"/>
      <c r="F155" s="61">
        <f>IFERROR(VLOOKUP(E155,Maestro_SKU!$A$2:$P$500,2,FALSE),"")</f>
        <v/>
      </c>
      <c r="G155" s="59" t="n"/>
      <c r="H155" s="62">
        <f>IF(OR(G155="",E155=""),"",G155*IFERROR(VLOOKUP(E155,Maestro_SKU!$A$2:$P$500,12,FALSE),1))</f>
        <v/>
      </c>
      <c r="I155" s="53" t="n"/>
      <c r="J155" s="61">
        <f>IF(A155="","",IF(H155&lt;=Inicio!$B$16,"Crítico",IF(H155&lt;=Inicio!$B$17,"Observar","OK")))</f>
        <v/>
      </c>
      <c r="K155" s="52" t="n"/>
    </row>
    <row r="156">
      <c r="A156" s="52" t="n"/>
      <c r="B156" s="61">
        <f>IFERROR(VLOOKUP(A156,Clientes_PDV!$A$2:$J$250,2,FALSE),"")</f>
        <v/>
      </c>
      <c r="C156" s="61">
        <f>IFERROR(VLOOKUP(A156,Clientes_PDV!$A$2:$J$250,3,FALSE),"")</f>
        <v/>
      </c>
      <c r="D156" s="61">
        <f>IFERROR(VLOOKUP(A156,Clientes_PDV!$A$2:$J$250,4,FALSE),"")</f>
        <v/>
      </c>
      <c r="E156" s="52" t="n"/>
      <c r="F156" s="61">
        <f>IFERROR(VLOOKUP(E156,Maestro_SKU!$A$2:$P$500,2,FALSE),"")</f>
        <v/>
      </c>
      <c r="G156" s="59" t="n"/>
      <c r="H156" s="62">
        <f>IF(OR(G156="",E156=""),"",G156*IFERROR(VLOOKUP(E156,Maestro_SKU!$A$2:$P$500,12,FALSE),1))</f>
        <v/>
      </c>
      <c r="I156" s="53" t="n"/>
      <c r="J156" s="61">
        <f>IF(A156="","",IF(H156&lt;=Inicio!$B$16,"Crítico",IF(H156&lt;=Inicio!$B$17,"Observar","OK")))</f>
        <v/>
      </c>
      <c r="K156" s="52" t="n"/>
    </row>
    <row r="157">
      <c r="A157" s="52" t="n"/>
      <c r="B157" s="61">
        <f>IFERROR(VLOOKUP(A157,Clientes_PDV!$A$2:$J$250,2,FALSE),"")</f>
        <v/>
      </c>
      <c r="C157" s="61">
        <f>IFERROR(VLOOKUP(A157,Clientes_PDV!$A$2:$J$250,3,FALSE),"")</f>
        <v/>
      </c>
      <c r="D157" s="61">
        <f>IFERROR(VLOOKUP(A157,Clientes_PDV!$A$2:$J$250,4,FALSE),"")</f>
        <v/>
      </c>
      <c r="E157" s="52" t="n"/>
      <c r="F157" s="61">
        <f>IFERROR(VLOOKUP(E157,Maestro_SKU!$A$2:$P$500,2,FALSE),"")</f>
        <v/>
      </c>
      <c r="G157" s="59" t="n"/>
      <c r="H157" s="62">
        <f>IF(OR(G157="",E157=""),"",G157*IFERROR(VLOOKUP(E157,Maestro_SKU!$A$2:$P$500,12,FALSE),1))</f>
        <v/>
      </c>
      <c r="I157" s="53" t="n"/>
      <c r="J157" s="61">
        <f>IF(A157="","",IF(H157&lt;=Inicio!$B$16,"Crítico",IF(H157&lt;=Inicio!$B$17,"Observar","OK")))</f>
        <v/>
      </c>
      <c r="K157" s="52" t="n"/>
    </row>
    <row r="158">
      <c r="A158" s="52" t="n"/>
      <c r="B158" s="61">
        <f>IFERROR(VLOOKUP(A158,Clientes_PDV!$A$2:$J$250,2,FALSE),"")</f>
        <v/>
      </c>
      <c r="C158" s="61">
        <f>IFERROR(VLOOKUP(A158,Clientes_PDV!$A$2:$J$250,3,FALSE),"")</f>
        <v/>
      </c>
      <c r="D158" s="61">
        <f>IFERROR(VLOOKUP(A158,Clientes_PDV!$A$2:$J$250,4,FALSE),"")</f>
        <v/>
      </c>
      <c r="E158" s="52" t="n"/>
      <c r="F158" s="61">
        <f>IFERROR(VLOOKUP(E158,Maestro_SKU!$A$2:$P$500,2,FALSE),"")</f>
        <v/>
      </c>
      <c r="G158" s="59" t="n"/>
      <c r="H158" s="62">
        <f>IF(OR(G158="",E158=""),"",G158*IFERROR(VLOOKUP(E158,Maestro_SKU!$A$2:$P$500,12,FALSE),1))</f>
        <v/>
      </c>
      <c r="I158" s="53" t="n"/>
      <c r="J158" s="61">
        <f>IF(A158="","",IF(H158&lt;=Inicio!$B$16,"Crítico",IF(H158&lt;=Inicio!$B$17,"Observar","OK")))</f>
        <v/>
      </c>
      <c r="K158" s="52" t="n"/>
    </row>
    <row r="159">
      <c r="A159" s="52" t="n"/>
      <c r="B159" s="61">
        <f>IFERROR(VLOOKUP(A159,Clientes_PDV!$A$2:$J$250,2,FALSE),"")</f>
        <v/>
      </c>
      <c r="C159" s="61">
        <f>IFERROR(VLOOKUP(A159,Clientes_PDV!$A$2:$J$250,3,FALSE),"")</f>
        <v/>
      </c>
      <c r="D159" s="61">
        <f>IFERROR(VLOOKUP(A159,Clientes_PDV!$A$2:$J$250,4,FALSE),"")</f>
        <v/>
      </c>
      <c r="E159" s="52" t="n"/>
      <c r="F159" s="61">
        <f>IFERROR(VLOOKUP(E159,Maestro_SKU!$A$2:$P$500,2,FALSE),"")</f>
        <v/>
      </c>
      <c r="G159" s="59" t="n"/>
      <c r="H159" s="62">
        <f>IF(OR(G159="",E159=""),"",G159*IFERROR(VLOOKUP(E159,Maestro_SKU!$A$2:$P$500,12,FALSE),1))</f>
        <v/>
      </c>
      <c r="I159" s="53" t="n"/>
      <c r="J159" s="61">
        <f>IF(A159="","",IF(H159&lt;=Inicio!$B$16,"Crítico",IF(H159&lt;=Inicio!$B$17,"Observar","OK")))</f>
        <v/>
      </c>
      <c r="K159" s="52" t="n"/>
    </row>
    <row r="160">
      <c r="A160" s="52" t="n"/>
      <c r="B160" s="61">
        <f>IFERROR(VLOOKUP(A160,Clientes_PDV!$A$2:$J$250,2,FALSE),"")</f>
        <v/>
      </c>
      <c r="C160" s="61">
        <f>IFERROR(VLOOKUP(A160,Clientes_PDV!$A$2:$J$250,3,FALSE),"")</f>
        <v/>
      </c>
      <c r="D160" s="61">
        <f>IFERROR(VLOOKUP(A160,Clientes_PDV!$A$2:$J$250,4,FALSE),"")</f>
        <v/>
      </c>
      <c r="E160" s="52" t="n"/>
      <c r="F160" s="61">
        <f>IFERROR(VLOOKUP(E160,Maestro_SKU!$A$2:$P$500,2,FALSE),"")</f>
        <v/>
      </c>
      <c r="G160" s="59" t="n"/>
      <c r="H160" s="62">
        <f>IF(OR(G160="",E160=""),"",G160*IFERROR(VLOOKUP(E160,Maestro_SKU!$A$2:$P$500,12,FALSE),1))</f>
        <v/>
      </c>
      <c r="I160" s="53" t="n"/>
      <c r="J160" s="61">
        <f>IF(A160="","",IF(H160&lt;=Inicio!$B$16,"Crítico",IF(H160&lt;=Inicio!$B$17,"Observar","OK")))</f>
        <v/>
      </c>
      <c r="K160" s="52" t="n"/>
    </row>
    <row r="161">
      <c r="A161" s="52" t="n"/>
      <c r="B161" s="61">
        <f>IFERROR(VLOOKUP(A161,Clientes_PDV!$A$2:$J$250,2,FALSE),"")</f>
        <v/>
      </c>
      <c r="C161" s="61">
        <f>IFERROR(VLOOKUP(A161,Clientes_PDV!$A$2:$J$250,3,FALSE),"")</f>
        <v/>
      </c>
      <c r="D161" s="61">
        <f>IFERROR(VLOOKUP(A161,Clientes_PDV!$A$2:$J$250,4,FALSE),"")</f>
        <v/>
      </c>
      <c r="E161" s="52" t="n"/>
      <c r="F161" s="61">
        <f>IFERROR(VLOOKUP(E161,Maestro_SKU!$A$2:$P$500,2,FALSE),"")</f>
        <v/>
      </c>
      <c r="G161" s="59" t="n"/>
      <c r="H161" s="62">
        <f>IF(OR(G161="",E161=""),"",G161*IFERROR(VLOOKUP(E161,Maestro_SKU!$A$2:$P$500,12,FALSE),1))</f>
        <v/>
      </c>
      <c r="I161" s="53" t="n"/>
      <c r="J161" s="61">
        <f>IF(A161="","",IF(H161&lt;=Inicio!$B$16,"Crítico",IF(H161&lt;=Inicio!$B$17,"Observar","OK")))</f>
        <v/>
      </c>
      <c r="K161" s="52" t="n"/>
    </row>
    <row r="162">
      <c r="A162" s="52" t="n"/>
      <c r="B162" s="61">
        <f>IFERROR(VLOOKUP(A162,Clientes_PDV!$A$2:$J$250,2,FALSE),"")</f>
        <v/>
      </c>
      <c r="C162" s="61">
        <f>IFERROR(VLOOKUP(A162,Clientes_PDV!$A$2:$J$250,3,FALSE),"")</f>
        <v/>
      </c>
      <c r="D162" s="61">
        <f>IFERROR(VLOOKUP(A162,Clientes_PDV!$A$2:$J$250,4,FALSE),"")</f>
        <v/>
      </c>
      <c r="E162" s="52" t="n"/>
      <c r="F162" s="61">
        <f>IFERROR(VLOOKUP(E162,Maestro_SKU!$A$2:$P$500,2,FALSE),"")</f>
        <v/>
      </c>
      <c r="G162" s="59" t="n"/>
      <c r="H162" s="62">
        <f>IF(OR(G162="",E162=""),"",G162*IFERROR(VLOOKUP(E162,Maestro_SKU!$A$2:$P$500,12,FALSE),1))</f>
        <v/>
      </c>
      <c r="I162" s="53" t="n"/>
      <c r="J162" s="61">
        <f>IF(A162="","",IF(H162&lt;=Inicio!$B$16,"Crítico",IF(H162&lt;=Inicio!$B$17,"Observar","OK")))</f>
        <v/>
      </c>
      <c r="K162" s="52" t="n"/>
    </row>
    <row r="163">
      <c r="A163" s="52" t="n"/>
      <c r="B163" s="61">
        <f>IFERROR(VLOOKUP(A163,Clientes_PDV!$A$2:$J$250,2,FALSE),"")</f>
        <v/>
      </c>
      <c r="C163" s="61">
        <f>IFERROR(VLOOKUP(A163,Clientes_PDV!$A$2:$J$250,3,FALSE),"")</f>
        <v/>
      </c>
      <c r="D163" s="61">
        <f>IFERROR(VLOOKUP(A163,Clientes_PDV!$A$2:$J$250,4,FALSE),"")</f>
        <v/>
      </c>
      <c r="E163" s="52" t="n"/>
      <c r="F163" s="61">
        <f>IFERROR(VLOOKUP(E163,Maestro_SKU!$A$2:$P$500,2,FALSE),"")</f>
        <v/>
      </c>
      <c r="G163" s="59" t="n"/>
      <c r="H163" s="62">
        <f>IF(OR(G163="",E163=""),"",G163*IFERROR(VLOOKUP(E163,Maestro_SKU!$A$2:$P$500,12,FALSE),1))</f>
        <v/>
      </c>
      <c r="I163" s="53" t="n"/>
      <c r="J163" s="61">
        <f>IF(A163="","",IF(H163&lt;=Inicio!$B$16,"Crítico",IF(H163&lt;=Inicio!$B$17,"Observar","OK")))</f>
        <v/>
      </c>
      <c r="K163" s="52" t="n"/>
    </row>
    <row r="164">
      <c r="A164" s="52" t="n"/>
      <c r="B164" s="61">
        <f>IFERROR(VLOOKUP(A164,Clientes_PDV!$A$2:$J$250,2,FALSE),"")</f>
        <v/>
      </c>
      <c r="C164" s="61">
        <f>IFERROR(VLOOKUP(A164,Clientes_PDV!$A$2:$J$250,3,FALSE),"")</f>
        <v/>
      </c>
      <c r="D164" s="61">
        <f>IFERROR(VLOOKUP(A164,Clientes_PDV!$A$2:$J$250,4,FALSE),"")</f>
        <v/>
      </c>
      <c r="E164" s="52" t="n"/>
      <c r="F164" s="61">
        <f>IFERROR(VLOOKUP(E164,Maestro_SKU!$A$2:$P$500,2,FALSE),"")</f>
        <v/>
      </c>
      <c r="G164" s="59" t="n"/>
      <c r="H164" s="62">
        <f>IF(OR(G164="",E164=""),"",G164*IFERROR(VLOOKUP(E164,Maestro_SKU!$A$2:$P$500,12,FALSE),1))</f>
        <v/>
      </c>
      <c r="I164" s="53" t="n"/>
      <c r="J164" s="61">
        <f>IF(A164="","",IF(H164&lt;=Inicio!$B$16,"Crítico",IF(H164&lt;=Inicio!$B$17,"Observar","OK")))</f>
        <v/>
      </c>
      <c r="K164" s="52" t="n"/>
    </row>
    <row r="165">
      <c r="A165" s="52" t="n"/>
      <c r="B165" s="61">
        <f>IFERROR(VLOOKUP(A165,Clientes_PDV!$A$2:$J$250,2,FALSE),"")</f>
        <v/>
      </c>
      <c r="C165" s="61">
        <f>IFERROR(VLOOKUP(A165,Clientes_PDV!$A$2:$J$250,3,FALSE),"")</f>
        <v/>
      </c>
      <c r="D165" s="61">
        <f>IFERROR(VLOOKUP(A165,Clientes_PDV!$A$2:$J$250,4,FALSE),"")</f>
        <v/>
      </c>
      <c r="E165" s="52" t="n"/>
      <c r="F165" s="61">
        <f>IFERROR(VLOOKUP(E165,Maestro_SKU!$A$2:$P$500,2,FALSE),"")</f>
        <v/>
      </c>
      <c r="G165" s="59" t="n"/>
      <c r="H165" s="62">
        <f>IF(OR(G165="",E165=""),"",G165*IFERROR(VLOOKUP(E165,Maestro_SKU!$A$2:$P$500,12,FALSE),1))</f>
        <v/>
      </c>
      <c r="I165" s="53" t="n"/>
      <c r="J165" s="61">
        <f>IF(A165="","",IF(H165&lt;=Inicio!$B$16,"Crítico",IF(H165&lt;=Inicio!$B$17,"Observar","OK")))</f>
        <v/>
      </c>
      <c r="K165" s="52" t="n"/>
    </row>
    <row r="166">
      <c r="A166" s="52" t="n"/>
      <c r="B166" s="61">
        <f>IFERROR(VLOOKUP(A166,Clientes_PDV!$A$2:$J$250,2,FALSE),"")</f>
        <v/>
      </c>
      <c r="C166" s="61">
        <f>IFERROR(VLOOKUP(A166,Clientes_PDV!$A$2:$J$250,3,FALSE),"")</f>
        <v/>
      </c>
      <c r="D166" s="61">
        <f>IFERROR(VLOOKUP(A166,Clientes_PDV!$A$2:$J$250,4,FALSE),"")</f>
        <v/>
      </c>
      <c r="E166" s="52" t="n"/>
      <c r="F166" s="61">
        <f>IFERROR(VLOOKUP(E166,Maestro_SKU!$A$2:$P$500,2,FALSE),"")</f>
        <v/>
      </c>
      <c r="G166" s="59" t="n"/>
      <c r="H166" s="62">
        <f>IF(OR(G166="",E166=""),"",G166*IFERROR(VLOOKUP(E166,Maestro_SKU!$A$2:$P$500,12,FALSE),1))</f>
        <v/>
      </c>
      <c r="I166" s="53" t="n"/>
      <c r="J166" s="61">
        <f>IF(A166="","",IF(H166&lt;=Inicio!$B$16,"Crítico",IF(H166&lt;=Inicio!$B$17,"Observar","OK")))</f>
        <v/>
      </c>
      <c r="K166" s="52" t="n"/>
    </row>
    <row r="167">
      <c r="A167" s="52" t="n"/>
      <c r="B167" s="61">
        <f>IFERROR(VLOOKUP(A167,Clientes_PDV!$A$2:$J$250,2,FALSE),"")</f>
        <v/>
      </c>
      <c r="C167" s="61">
        <f>IFERROR(VLOOKUP(A167,Clientes_PDV!$A$2:$J$250,3,FALSE),"")</f>
        <v/>
      </c>
      <c r="D167" s="61">
        <f>IFERROR(VLOOKUP(A167,Clientes_PDV!$A$2:$J$250,4,FALSE),"")</f>
        <v/>
      </c>
      <c r="E167" s="52" t="n"/>
      <c r="F167" s="61">
        <f>IFERROR(VLOOKUP(E167,Maestro_SKU!$A$2:$P$500,2,FALSE),"")</f>
        <v/>
      </c>
      <c r="G167" s="59" t="n"/>
      <c r="H167" s="62">
        <f>IF(OR(G167="",E167=""),"",G167*IFERROR(VLOOKUP(E167,Maestro_SKU!$A$2:$P$500,12,FALSE),1))</f>
        <v/>
      </c>
      <c r="I167" s="53" t="n"/>
      <c r="J167" s="61">
        <f>IF(A167="","",IF(H167&lt;=Inicio!$B$16,"Crítico",IF(H167&lt;=Inicio!$B$17,"Observar","OK")))</f>
        <v/>
      </c>
      <c r="K167" s="52" t="n"/>
    </row>
    <row r="168">
      <c r="A168" s="52" t="n"/>
      <c r="B168" s="61">
        <f>IFERROR(VLOOKUP(A168,Clientes_PDV!$A$2:$J$250,2,FALSE),"")</f>
        <v/>
      </c>
      <c r="C168" s="61">
        <f>IFERROR(VLOOKUP(A168,Clientes_PDV!$A$2:$J$250,3,FALSE),"")</f>
        <v/>
      </c>
      <c r="D168" s="61">
        <f>IFERROR(VLOOKUP(A168,Clientes_PDV!$A$2:$J$250,4,FALSE),"")</f>
        <v/>
      </c>
      <c r="E168" s="52" t="n"/>
      <c r="F168" s="61">
        <f>IFERROR(VLOOKUP(E168,Maestro_SKU!$A$2:$P$500,2,FALSE),"")</f>
        <v/>
      </c>
      <c r="G168" s="59" t="n"/>
      <c r="H168" s="62">
        <f>IF(OR(G168="",E168=""),"",G168*IFERROR(VLOOKUP(E168,Maestro_SKU!$A$2:$P$500,12,FALSE),1))</f>
        <v/>
      </c>
      <c r="I168" s="53" t="n"/>
      <c r="J168" s="61">
        <f>IF(A168="","",IF(H168&lt;=Inicio!$B$16,"Crítico",IF(H168&lt;=Inicio!$B$17,"Observar","OK")))</f>
        <v/>
      </c>
      <c r="K168" s="52" t="n"/>
    </row>
    <row r="169">
      <c r="A169" s="52" t="n"/>
      <c r="B169" s="61">
        <f>IFERROR(VLOOKUP(A169,Clientes_PDV!$A$2:$J$250,2,FALSE),"")</f>
        <v/>
      </c>
      <c r="C169" s="61">
        <f>IFERROR(VLOOKUP(A169,Clientes_PDV!$A$2:$J$250,3,FALSE),"")</f>
        <v/>
      </c>
      <c r="D169" s="61">
        <f>IFERROR(VLOOKUP(A169,Clientes_PDV!$A$2:$J$250,4,FALSE),"")</f>
        <v/>
      </c>
      <c r="E169" s="52" t="n"/>
      <c r="F169" s="61">
        <f>IFERROR(VLOOKUP(E169,Maestro_SKU!$A$2:$P$500,2,FALSE),"")</f>
        <v/>
      </c>
      <c r="G169" s="59" t="n"/>
      <c r="H169" s="62">
        <f>IF(OR(G169="",E169=""),"",G169*IFERROR(VLOOKUP(E169,Maestro_SKU!$A$2:$P$500,12,FALSE),1))</f>
        <v/>
      </c>
      <c r="I169" s="53" t="n"/>
      <c r="J169" s="61">
        <f>IF(A169="","",IF(H169&lt;=Inicio!$B$16,"Crítico",IF(H169&lt;=Inicio!$B$17,"Observar","OK")))</f>
        <v/>
      </c>
      <c r="K169" s="52" t="n"/>
    </row>
    <row r="170">
      <c r="A170" s="52" t="n"/>
      <c r="B170" s="61">
        <f>IFERROR(VLOOKUP(A170,Clientes_PDV!$A$2:$J$250,2,FALSE),"")</f>
        <v/>
      </c>
      <c r="C170" s="61">
        <f>IFERROR(VLOOKUP(A170,Clientes_PDV!$A$2:$J$250,3,FALSE),"")</f>
        <v/>
      </c>
      <c r="D170" s="61">
        <f>IFERROR(VLOOKUP(A170,Clientes_PDV!$A$2:$J$250,4,FALSE),"")</f>
        <v/>
      </c>
      <c r="E170" s="52" t="n"/>
      <c r="F170" s="61">
        <f>IFERROR(VLOOKUP(E170,Maestro_SKU!$A$2:$P$500,2,FALSE),"")</f>
        <v/>
      </c>
      <c r="G170" s="59" t="n"/>
      <c r="H170" s="62">
        <f>IF(OR(G170="",E170=""),"",G170*IFERROR(VLOOKUP(E170,Maestro_SKU!$A$2:$P$500,12,FALSE),1))</f>
        <v/>
      </c>
      <c r="I170" s="53" t="n"/>
      <c r="J170" s="61">
        <f>IF(A170="","",IF(H170&lt;=Inicio!$B$16,"Crítico",IF(H170&lt;=Inicio!$B$17,"Observar","OK")))</f>
        <v/>
      </c>
      <c r="K170" s="52" t="n"/>
    </row>
    <row r="171">
      <c r="A171" s="52" t="n"/>
      <c r="B171" s="61">
        <f>IFERROR(VLOOKUP(A171,Clientes_PDV!$A$2:$J$250,2,FALSE),"")</f>
        <v/>
      </c>
      <c r="C171" s="61">
        <f>IFERROR(VLOOKUP(A171,Clientes_PDV!$A$2:$J$250,3,FALSE),"")</f>
        <v/>
      </c>
      <c r="D171" s="61">
        <f>IFERROR(VLOOKUP(A171,Clientes_PDV!$A$2:$J$250,4,FALSE),"")</f>
        <v/>
      </c>
      <c r="E171" s="52" t="n"/>
      <c r="F171" s="61">
        <f>IFERROR(VLOOKUP(E171,Maestro_SKU!$A$2:$P$500,2,FALSE),"")</f>
        <v/>
      </c>
      <c r="G171" s="59" t="n"/>
      <c r="H171" s="62">
        <f>IF(OR(G171="",E171=""),"",G171*IFERROR(VLOOKUP(E171,Maestro_SKU!$A$2:$P$500,12,FALSE),1))</f>
        <v/>
      </c>
      <c r="I171" s="53" t="n"/>
      <c r="J171" s="61">
        <f>IF(A171="","",IF(H171&lt;=Inicio!$B$16,"Crítico",IF(H171&lt;=Inicio!$B$17,"Observar","OK")))</f>
        <v/>
      </c>
      <c r="K171" s="52" t="n"/>
    </row>
    <row r="172">
      <c r="A172" s="52" t="n"/>
      <c r="B172" s="61">
        <f>IFERROR(VLOOKUP(A172,Clientes_PDV!$A$2:$J$250,2,FALSE),"")</f>
        <v/>
      </c>
      <c r="C172" s="61">
        <f>IFERROR(VLOOKUP(A172,Clientes_PDV!$A$2:$J$250,3,FALSE),"")</f>
        <v/>
      </c>
      <c r="D172" s="61">
        <f>IFERROR(VLOOKUP(A172,Clientes_PDV!$A$2:$J$250,4,FALSE),"")</f>
        <v/>
      </c>
      <c r="E172" s="52" t="n"/>
      <c r="F172" s="61">
        <f>IFERROR(VLOOKUP(E172,Maestro_SKU!$A$2:$P$500,2,FALSE),"")</f>
        <v/>
      </c>
      <c r="G172" s="59" t="n"/>
      <c r="H172" s="62">
        <f>IF(OR(G172="",E172=""),"",G172*IFERROR(VLOOKUP(E172,Maestro_SKU!$A$2:$P$500,12,FALSE),1))</f>
        <v/>
      </c>
      <c r="I172" s="53" t="n"/>
      <c r="J172" s="61">
        <f>IF(A172="","",IF(H172&lt;=Inicio!$B$16,"Crítico",IF(H172&lt;=Inicio!$B$17,"Observar","OK")))</f>
        <v/>
      </c>
      <c r="K172" s="52" t="n"/>
    </row>
    <row r="173">
      <c r="A173" s="52" t="n"/>
      <c r="B173" s="61">
        <f>IFERROR(VLOOKUP(A173,Clientes_PDV!$A$2:$J$250,2,FALSE),"")</f>
        <v/>
      </c>
      <c r="C173" s="61">
        <f>IFERROR(VLOOKUP(A173,Clientes_PDV!$A$2:$J$250,3,FALSE),"")</f>
        <v/>
      </c>
      <c r="D173" s="61">
        <f>IFERROR(VLOOKUP(A173,Clientes_PDV!$A$2:$J$250,4,FALSE),"")</f>
        <v/>
      </c>
      <c r="E173" s="52" t="n"/>
      <c r="F173" s="61">
        <f>IFERROR(VLOOKUP(E173,Maestro_SKU!$A$2:$P$500,2,FALSE),"")</f>
        <v/>
      </c>
      <c r="G173" s="59" t="n"/>
      <c r="H173" s="62">
        <f>IF(OR(G173="",E173=""),"",G173*IFERROR(VLOOKUP(E173,Maestro_SKU!$A$2:$P$500,12,FALSE),1))</f>
        <v/>
      </c>
      <c r="I173" s="53" t="n"/>
      <c r="J173" s="61">
        <f>IF(A173="","",IF(H173&lt;=Inicio!$B$16,"Crítico",IF(H173&lt;=Inicio!$B$17,"Observar","OK")))</f>
        <v/>
      </c>
      <c r="K173" s="52" t="n"/>
    </row>
    <row r="174">
      <c r="A174" s="52" t="n"/>
      <c r="B174" s="61">
        <f>IFERROR(VLOOKUP(A174,Clientes_PDV!$A$2:$J$250,2,FALSE),"")</f>
        <v/>
      </c>
      <c r="C174" s="61">
        <f>IFERROR(VLOOKUP(A174,Clientes_PDV!$A$2:$J$250,3,FALSE),"")</f>
        <v/>
      </c>
      <c r="D174" s="61">
        <f>IFERROR(VLOOKUP(A174,Clientes_PDV!$A$2:$J$250,4,FALSE),"")</f>
        <v/>
      </c>
      <c r="E174" s="52" t="n"/>
      <c r="F174" s="61">
        <f>IFERROR(VLOOKUP(E174,Maestro_SKU!$A$2:$P$500,2,FALSE),"")</f>
        <v/>
      </c>
      <c r="G174" s="59" t="n"/>
      <c r="H174" s="62">
        <f>IF(OR(G174="",E174=""),"",G174*IFERROR(VLOOKUP(E174,Maestro_SKU!$A$2:$P$500,12,FALSE),1))</f>
        <v/>
      </c>
      <c r="I174" s="53" t="n"/>
      <c r="J174" s="61">
        <f>IF(A174="","",IF(H174&lt;=Inicio!$B$16,"Crítico",IF(H174&lt;=Inicio!$B$17,"Observar","OK")))</f>
        <v/>
      </c>
      <c r="K174" s="52" t="n"/>
    </row>
    <row r="175">
      <c r="A175" s="52" t="n"/>
      <c r="B175" s="61">
        <f>IFERROR(VLOOKUP(A175,Clientes_PDV!$A$2:$J$250,2,FALSE),"")</f>
        <v/>
      </c>
      <c r="C175" s="61">
        <f>IFERROR(VLOOKUP(A175,Clientes_PDV!$A$2:$J$250,3,FALSE),"")</f>
        <v/>
      </c>
      <c r="D175" s="61">
        <f>IFERROR(VLOOKUP(A175,Clientes_PDV!$A$2:$J$250,4,FALSE),"")</f>
        <v/>
      </c>
      <c r="E175" s="52" t="n"/>
      <c r="F175" s="61">
        <f>IFERROR(VLOOKUP(E175,Maestro_SKU!$A$2:$P$500,2,FALSE),"")</f>
        <v/>
      </c>
      <c r="G175" s="59" t="n"/>
      <c r="H175" s="62">
        <f>IF(OR(G175="",E175=""),"",G175*IFERROR(VLOOKUP(E175,Maestro_SKU!$A$2:$P$500,12,FALSE),1))</f>
        <v/>
      </c>
      <c r="I175" s="53" t="n"/>
      <c r="J175" s="61">
        <f>IF(A175="","",IF(H175&lt;=Inicio!$B$16,"Crítico",IF(H175&lt;=Inicio!$B$17,"Observar","OK")))</f>
        <v/>
      </c>
      <c r="K175" s="52" t="n"/>
    </row>
    <row r="176">
      <c r="A176" s="52" t="n"/>
      <c r="B176" s="61">
        <f>IFERROR(VLOOKUP(A176,Clientes_PDV!$A$2:$J$250,2,FALSE),"")</f>
        <v/>
      </c>
      <c r="C176" s="61">
        <f>IFERROR(VLOOKUP(A176,Clientes_PDV!$A$2:$J$250,3,FALSE),"")</f>
        <v/>
      </c>
      <c r="D176" s="61">
        <f>IFERROR(VLOOKUP(A176,Clientes_PDV!$A$2:$J$250,4,FALSE),"")</f>
        <v/>
      </c>
      <c r="E176" s="52" t="n"/>
      <c r="F176" s="61">
        <f>IFERROR(VLOOKUP(E176,Maestro_SKU!$A$2:$P$500,2,FALSE),"")</f>
        <v/>
      </c>
      <c r="G176" s="59" t="n"/>
      <c r="H176" s="62">
        <f>IF(OR(G176="",E176=""),"",G176*IFERROR(VLOOKUP(E176,Maestro_SKU!$A$2:$P$500,12,FALSE),1))</f>
        <v/>
      </c>
      <c r="I176" s="53" t="n"/>
      <c r="J176" s="61">
        <f>IF(A176="","",IF(H176&lt;=Inicio!$B$16,"Crítico",IF(H176&lt;=Inicio!$B$17,"Observar","OK")))</f>
        <v/>
      </c>
      <c r="K176" s="52" t="n"/>
    </row>
    <row r="177">
      <c r="A177" s="52" t="n"/>
      <c r="B177" s="61">
        <f>IFERROR(VLOOKUP(A177,Clientes_PDV!$A$2:$J$250,2,FALSE),"")</f>
        <v/>
      </c>
      <c r="C177" s="61">
        <f>IFERROR(VLOOKUP(A177,Clientes_PDV!$A$2:$J$250,3,FALSE),"")</f>
        <v/>
      </c>
      <c r="D177" s="61">
        <f>IFERROR(VLOOKUP(A177,Clientes_PDV!$A$2:$J$250,4,FALSE),"")</f>
        <v/>
      </c>
      <c r="E177" s="52" t="n"/>
      <c r="F177" s="61">
        <f>IFERROR(VLOOKUP(E177,Maestro_SKU!$A$2:$P$500,2,FALSE),"")</f>
        <v/>
      </c>
      <c r="G177" s="59" t="n"/>
      <c r="H177" s="62">
        <f>IF(OR(G177="",E177=""),"",G177*IFERROR(VLOOKUP(E177,Maestro_SKU!$A$2:$P$500,12,FALSE),1))</f>
        <v/>
      </c>
      <c r="I177" s="53" t="n"/>
      <c r="J177" s="61">
        <f>IF(A177="","",IF(H177&lt;=Inicio!$B$16,"Crítico",IF(H177&lt;=Inicio!$B$17,"Observar","OK")))</f>
        <v/>
      </c>
      <c r="K177" s="52" t="n"/>
    </row>
    <row r="178">
      <c r="A178" s="52" t="n"/>
      <c r="B178" s="61">
        <f>IFERROR(VLOOKUP(A178,Clientes_PDV!$A$2:$J$250,2,FALSE),"")</f>
        <v/>
      </c>
      <c r="C178" s="61">
        <f>IFERROR(VLOOKUP(A178,Clientes_PDV!$A$2:$J$250,3,FALSE),"")</f>
        <v/>
      </c>
      <c r="D178" s="61">
        <f>IFERROR(VLOOKUP(A178,Clientes_PDV!$A$2:$J$250,4,FALSE),"")</f>
        <v/>
      </c>
      <c r="E178" s="52" t="n"/>
      <c r="F178" s="61">
        <f>IFERROR(VLOOKUP(E178,Maestro_SKU!$A$2:$P$500,2,FALSE),"")</f>
        <v/>
      </c>
      <c r="G178" s="59" t="n"/>
      <c r="H178" s="62">
        <f>IF(OR(G178="",E178=""),"",G178*IFERROR(VLOOKUP(E178,Maestro_SKU!$A$2:$P$500,12,FALSE),1))</f>
        <v/>
      </c>
      <c r="I178" s="53" t="n"/>
      <c r="J178" s="61">
        <f>IF(A178="","",IF(H178&lt;=Inicio!$B$16,"Crítico",IF(H178&lt;=Inicio!$B$17,"Observar","OK")))</f>
        <v/>
      </c>
      <c r="K178" s="52" t="n"/>
    </row>
    <row r="179">
      <c r="A179" s="52" t="n"/>
      <c r="B179" s="61">
        <f>IFERROR(VLOOKUP(A179,Clientes_PDV!$A$2:$J$250,2,FALSE),"")</f>
        <v/>
      </c>
      <c r="C179" s="61">
        <f>IFERROR(VLOOKUP(A179,Clientes_PDV!$A$2:$J$250,3,FALSE),"")</f>
        <v/>
      </c>
      <c r="D179" s="61">
        <f>IFERROR(VLOOKUP(A179,Clientes_PDV!$A$2:$J$250,4,FALSE),"")</f>
        <v/>
      </c>
      <c r="E179" s="52" t="n"/>
      <c r="F179" s="61">
        <f>IFERROR(VLOOKUP(E179,Maestro_SKU!$A$2:$P$500,2,FALSE),"")</f>
        <v/>
      </c>
      <c r="G179" s="59" t="n"/>
      <c r="H179" s="62">
        <f>IF(OR(G179="",E179=""),"",G179*IFERROR(VLOOKUP(E179,Maestro_SKU!$A$2:$P$500,12,FALSE),1))</f>
        <v/>
      </c>
      <c r="I179" s="53" t="n"/>
      <c r="J179" s="61">
        <f>IF(A179="","",IF(H179&lt;=Inicio!$B$16,"Crítico",IF(H179&lt;=Inicio!$B$17,"Observar","OK")))</f>
        <v/>
      </c>
      <c r="K179" s="52" t="n"/>
    </row>
    <row r="180">
      <c r="A180" s="52" t="n"/>
      <c r="B180" s="61">
        <f>IFERROR(VLOOKUP(A180,Clientes_PDV!$A$2:$J$250,2,FALSE),"")</f>
        <v/>
      </c>
      <c r="C180" s="61">
        <f>IFERROR(VLOOKUP(A180,Clientes_PDV!$A$2:$J$250,3,FALSE),"")</f>
        <v/>
      </c>
      <c r="D180" s="61">
        <f>IFERROR(VLOOKUP(A180,Clientes_PDV!$A$2:$J$250,4,FALSE),"")</f>
        <v/>
      </c>
      <c r="E180" s="52" t="n"/>
      <c r="F180" s="61">
        <f>IFERROR(VLOOKUP(E180,Maestro_SKU!$A$2:$P$500,2,FALSE),"")</f>
        <v/>
      </c>
      <c r="G180" s="59" t="n"/>
      <c r="H180" s="62">
        <f>IF(OR(G180="",E180=""),"",G180*IFERROR(VLOOKUP(E180,Maestro_SKU!$A$2:$P$500,12,FALSE),1))</f>
        <v/>
      </c>
      <c r="I180" s="53" t="n"/>
      <c r="J180" s="61">
        <f>IF(A180="","",IF(H180&lt;=Inicio!$B$16,"Crítico",IF(H180&lt;=Inicio!$B$17,"Observar","OK")))</f>
        <v/>
      </c>
      <c r="K180" s="52" t="n"/>
    </row>
    <row r="181">
      <c r="A181" s="52" t="n"/>
      <c r="B181" s="61">
        <f>IFERROR(VLOOKUP(A181,Clientes_PDV!$A$2:$J$250,2,FALSE),"")</f>
        <v/>
      </c>
      <c r="C181" s="61">
        <f>IFERROR(VLOOKUP(A181,Clientes_PDV!$A$2:$J$250,3,FALSE),"")</f>
        <v/>
      </c>
      <c r="D181" s="61">
        <f>IFERROR(VLOOKUP(A181,Clientes_PDV!$A$2:$J$250,4,FALSE),"")</f>
        <v/>
      </c>
      <c r="E181" s="52" t="n"/>
      <c r="F181" s="61">
        <f>IFERROR(VLOOKUP(E181,Maestro_SKU!$A$2:$P$500,2,FALSE),"")</f>
        <v/>
      </c>
      <c r="G181" s="59" t="n"/>
      <c r="H181" s="62">
        <f>IF(OR(G181="",E181=""),"",G181*IFERROR(VLOOKUP(E181,Maestro_SKU!$A$2:$P$500,12,FALSE),1))</f>
        <v/>
      </c>
      <c r="I181" s="53" t="n"/>
      <c r="J181" s="61">
        <f>IF(A181="","",IF(H181&lt;=Inicio!$B$16,"Crítico",IF(H181&lt;=Inicio!$B$17,"Observar","OK")))</f>
        <v/>
      </c>
      <c r="K181" s="52" t="n"/>
    </row>
    <row r="182">
      <c r="A182" s="52" t="n"/>
      <c r="B182" s="61">
        <f>IFERROR(VLOOKUP(A182,Clientes_PDV!$A$2:$J$250,2,FALSE),"")</f>
        <v/>
      </c>
      <c r="C182" s="61">
        <f>IFERROR(VLOOKUP(A182,Clientes_PDV!$A$2:$J$250,3,FALSE),"")</f>
        <v/>
      </c>
      <c r="D182" s="61">
        <f>IFERROR(VLOOKUP(A182,Clientes_PDV!$A$2:$J$250,4,FALSE),"")</f>
        <v/>
      </c>
      <c r="E182" s="52" t="n"/>
      <c r="F182" s="61">
        <f>IFERROR(VLOOKUP(E182,Maestro_SKU!$A$2:$P$500,2,FALSE),"")</f>
        <v/>
      </c>
      <c r="G182" s="59" t="n"/>
      <c r="H182" s="62">
        <f>IF(OR(G182="",E182=""),"",G182*IFERROR(VLOOKUP(E182,Maestro_SKU!$A$2:$P$500,12,FALSE),1))</f>
        <v/>
      </c>
      <c r="I182" s="53" t="n"/>
      <c r="J182" s="61">
        <f>IF(A182="","",IF(H182&lt;=Inicio!$B$16,"Crítico",IF(H182&lt;=Inicio!$B$17,"Observar","OK")))</f>
        <v/>
      </c>
      <c r="K182" s="52" t="n"/>
    </row>
    <row r="183">
      <c r="A183" s="52" t="n"/>
      <c r="B183" s="61">
        <f>IFERROR(VLOOKUP(A183,Clientes_PDV!$A$2:$J$250,2,FALSE),"")</f>
        <v/>
      </c>
      <c r="C183" s="61">
        <f>IFERROR(VLOOKUP(A183,Clientes_PDV!$A$2:$J$250,3,FALSE),"")</f>
        <v/>
      </c>
      <c r="D183" s="61">
        <f>IFERROR(VLOOKUP(A183,Clientes_PDV!$A$2:$J$250,4,FALSE),"")</f>
        <v/>
      </c>
      <c r="E183" s="52" t="n"/>
      <c r="F183" s="61">
        <f>IFERROR(VLOOKUP(E183,Maestro_SKU!$A$2:$P$500,2,FALSE),"")</f>
        <v/>
      </c>
      <c r="G183" s="59" t="n"/>
      <c r="H183" s="62">
        <f>IF(OR(G183="",E183=""),"",G183*IFERROR(VLOOKUP(E183,Maestro_SKU!$A$2:$P$500,12,FALSE),1))</f>
        <v/>
      </c>
      <c r="I183" s="53" t="n"/>
      <c r="J183" s="61">
        <f>IF(A183="","",IF(H183&lt;=Inicio!$B$16,"Crítico",IF(H183&lt;=Inicio!$B$17,"Observar","OK")))</f>
        <v/>
      </c>
      <c r="K183" s="52" t="n"/>
    </row>
    <row r="184">
      <c r="A184" s="52" t="n"/>
      <c r="B184" s="61">
        <f>IFERROR(VLOOKUP(A184,Clientes_PDV!$A$2:$J$250,2,FALSE),"")</f>
        <v/>
      </c>
      <c r="C184" s="61">
        <f>IFERROR(VLOOKUP(A184,Clientes_PDV!$A$2:$J$250,3,FALSE),"")</f>
        <v/>
      </c>
      <c r="D184" s="61">
        <f>IFERROR(VLOOKUP(A184,Clientes_PDV!$A$2:$J$250,4,FALSE),"")</f>
        <v/>
      </c>
      <c r="E184" s="52" t="n"/>
      <c r="F184" s="61">
        <f>IFERROR(VLOOKUP(E184,Maestro_SKU!$A$2:$P$500,2,FALSE),"")</f>
        <v/>
      </c>
      <c r="G184" s="59" t="n"/>
      <c r="H184" s="62">
        <f>IF(OR(G184="",E184=""),"",G184*IFERROR(VLOOKUP(E184,Maestro_SKU!$A$2:$P$500,12,FALSE),1))</f>
        <v/>
      </c>
      <c r="I184" s="53" t="n"/>
      <c r="J184" s="61">
        <f>IF(A184="","",IF(H184&lt;=Inicio!$B$16,"Crítico",IF(H184&lt;=Inicio!$B$17,"Observar","OK")))</f>
        <v/>
      </c>
      <c r="K184" s="52" t="n"/>
    </row>
    <row r="185">
      <c r="A185" s="52" t="n"/>
      <c r="B185" s="61">
        <f>IFERROR(VLOOKUP(A185,Clientes_PDV!$A$2:$J$250,2,FALSE),"")</f>
        <v/>
      </c>
      <c r="C185" s="61">
        <f>IFERROR(VLOOKUP(A185,Clientes_PDV!$A$2:$J$250,3,FALSE),"")</f>
        <v/>
      </c>
      <c r="D185" s="61">
        <f>IFERROR(VLOOKUP(A185,Clientes_PDV!$A$2:$J$250,4,FALSE),"")</f>
        <v/>
      </c>
      <c r="E185" s="52" t="n"/>
      <c r="F185" s="61">
        <f>IFERROR(VLOOKUP(E185,Maestro_SKU!$A$2:$P$500,2,FALSE),"")</f>
        <v/>
      </c>
      <c r="G185" s="59" t="n"/>
      <c r="H185" s="62">
        <f>IF(OR(G185="",E185=""),"",G185*IFERROR(VLOOKUP(E185,Maestro_SKU!$A$2:$P$500,12,FALSE),1))</f>
        <v/>
      </c>
      <c r="I185" s="53" t="n"/>
      <c r="J185" s="61">
        <f>IF(A185="","",IF(H185&lt;=Inicio!$B$16,"Crítico",IF(H185&lt;=Inicio!$B$17,"Observar","OK")))</f>
        <v/>
      </c>
      <c r="K185" s="52" t="n"/>
    </row>
    <row r="186">
      <c r="A186" s="52" t="n"/>
      <c r="B186" s="61">
        <f>IFERROR(VLOOKUP(A186,Clientes_PDV!$A$2:$J$250,2,FALSE),"")</f>
        <v/>
      </c>
      <c r="C186" s="61">
        <f>IFERROR(VLOOKUP(A186,Clientes_PDV!$A$2:$J$250,3,FALSE),"")</f>
        <v/>
      </c>
      <c r="D186" s="61">
        <f>IFERROR(VLOOKUP(A186,Clientes_PDV!$A$2:$J$250,4,FALSE),"")</f>
        <v/>
      </c>
      <c r="E186" s="52" t="n"/>
      <c r="F186" s="61">
        <f>IFERROR(VLOOKUP(E186,Maestro_SKU!$A$2:$P$500,2,FALSE),"")</f>
        <v/>
      </c>
      <c r="G186" s="59" t="n"/>
      <c r="H186" s="62">
        <f>IF(OR(G186="",E186=""),"",G186*IFERROR(VLOOKUP(E186,Maestro_SKU!$A$2:$P$500,12,FALSE),1))</f>
        <v/>
      </c>
      <c r="I186" s="53" t="n"/>
      <c r="J186" s="61">
        <f>IF(A186="","",IF(H186&lt;=Inicio!$B$16,"Crítico",IF(H186&lt;=Inicio!$B$17,"Observar","OK")))</f>
        <v/>
      </c>
      <c r="K186" s="52" t="n"/>
    </row>
    <row r="187">
      <c r="A187" s="52" t="n"/>
      <c r="B187" s="61">
        <f>IFERROR(VLOOKUP(A187,Clientes_PDV!$A$2:$J$250,2,FALSE),"")</f>
        <v/>
      </c>
      <c r="C187" s="61">
        <f>IFERROR(VLOOKUP(A187,Clientes_PDV!$A$2:$J$250,3,FALSE),"")</f>
        <v/>
      </c>
      <c r="D187" s="61">
        <f>IFERROR(VLOOKUP(A187,Clientes_PDV!$A$2:$J$250,4,FALSE),"")</f>
        <v/>
      </c>
      <c r="E187" s="52" t="n"/>
      <c r="F187" s="61">
        <f>IFERROR(VLOOKUP(E187,Maestro_SKU!$A$2:$P$500,2,FALSE),"")</f>
        <v/>
      </c>
      <c r="G187" s="59" t="n"/>
      <c r="H187" s="62">
        <f>IF(OR(G187="",E187=""),"",G187*IFERROR(VLOOKUP(E187,Maestro_SKU!$A$2:$P$500,12,FALSE),1))</f>
        <v/>
      </c>
      <c r="I187" s="53" t="n"/>
      <c r="J187" s="61">
        <f>IF(A187="","",IF(H187&lt;=Inicio!$B$16,"Crítico",IF(H187&lt;=Inicio!$B$17,"Observar","OK")))</f>
        <v/>
      </c>
      <c r="K187" s="52" t="n"/>
    </row>
    <row r="188">
      <c r="A188" s="52" t="n"/>
      <c r="B188" s="61">
        <f>IFERROR(VLOOKUP(A188,Clientes_PDV!$A$2:$J$250,2,FALSE),"")</f>
        <v/>
      </c>
      <c r="C188" s="61">
        <f>IFERROR(VLOOKUP(A188,Clientes_PDV!$A$2:$J$250,3,FALSE),"")</f>
        <v/>
      </c>
      <c r="D188" s="61">
        <f>IFERROR(VLOOKUP(A188,Clientes_PDV!$A$2:$J$250,4,FALSE),"")</f>
        <v/>
      </c>
      <c r="E188" s="52" t="n"/>
      <c r="F188" s="61">
        <f>IFERROR(VLOOKUP(E188,Maestro_SKU!$A$2:$P$500,2,FALSE),"")</f>
        <v/>
      </c>
      <c r="G188" s="59" t="n"/>
      <c r="H188" s="62">
        <f>IF(OR(G188="",E188=""),"",G188*IFERROR(VLOOKUP(E188,Maestro_SKU!$A$2:$P$500,12,FALSE),1))</f>
        <v/>
      </c>
      <c r="I188" s="53" t="n"/>
      <c r="J188" s="61">
        <f>IF(A188="","",IF(H188&lt;=Inicio!$B$16,"Crítico",IF(H188&lt;=Inicio!$B$17,"Observar","OK")))</f>
        <v/>
      </c>
      <c r="K188" s="52" t="n"/>
    </row>
    <row r="189">
      <c r="A189" s="52" t="n"/>
      <c r="B189" s="61">
        <f>IFERROR(VLOOKUP(A189,Clientes_PDV!$A$2:$J$250,2,FALSE),"")</f>
        <v/>
      </c>
      <c r="C189" s="61">
        <f>IFERROR(VLOOKUP(A189,Clientes_PDV!$A$2:$J$250,3,FALSE),"")</f>
        <v/>
      </c>
      <c r="D189" s="61">
        <f>IFERROR(VLOOKUP(A189,Clientes_PDV!$A$2:$J$250,4,FALSE),"")</f>
        <v/>
      </c>
      <c r="E189" s="52" t="n"/>
      <c r="F189" s="61">
        <f>IFERROR(VLOOKUP(E189,Maestro_SKU!$A$2:$P$500,2,FALSE),"")</f>
        <v/>
      </c>
      <c r="G189" s="59" t="n"/>
      <c r="H189" s="62">
        <f>IF(OR(G189="",E189=""),"",G189*IFERROR(VLOOKUP(E189,Maestro_SKU!$A$2:$P$500,12,FALSE),1))</f>
        <v/>
      </c>
      <c r="I189" s="53" t="n"/>
      <c r="J189" s="61">
        <f>IF(A189="","",IF(H189&lt;=Inicio!$B$16,"Crítico",IF(H189&lt;=Inicio!$B$17,"Observar","OK")))</f>
        <v/>
      </c>
      <c r="K189" s="52" t="n"/>
    </row>
    <row r="190">
      <c r="A190" s="52" t="n"/>
      <c r="B190" s="61">
        <f>IFERROR(VLOOKUP(A190,Clientes_PDV!$A$2:$J$250,2,FALSE),"")</f>
        <v/>
      </c>
      <c r="C190" s="61">
        <f>IFERROR(VLOOKUP(A190,Clientes_PDV!$A$2:$J$250,3,FALSE),"")</f>
        <v/>
      </c>
      <c r="D190" s="61">
        <f>IFERROR(VLOOKUP(A190,Clientes_PDV!$A$2:$J$250,4,FALSE),"")</f>
        <v/>
      </c>
      <c r="E190" s="52" t="n"/>
      <c r="F190" s="61">
        <f>IFERROR(VLOOKUP(E190,Maestro_SKU!$A$2:$P$500,2,FALSE),"")</f>
        <v/>
      </c>
      <c r="G190" s="59" t="n"/>
      <c r="H190" s="62">
        <f>IF(OR(G190="",E190=""),"",G190*IFERROR(VLOOKUP(E190,Maestro_SKU!$A$2:$P$500,12,FALSE),1))</f>
        <v/>
      </c>
      <c r="I190" s="53" t="n"/>
      <c r="J190" s="61">
        <f>IF(A190="","",IF(H190&lt;=Inicio!$B$16,"Crítico",IF(H190&lt;=Inicio!$B$17,"Observar","OK")))</f>
        <v/>
      </c>
      <c r="K190" s="52" t="n"/>
    </row>
    <row r="191">
      <c r="A191" s="52" t="n"/>
      <c r="B191" s="61">
        <f>IFERROR(VLOOKUP(A191,Clientes_PDV!$A$2:$J$250,2,FALSE),"")</f>
        <v/>
      </c>
      <c r="C191" s="61">
        <f>IFERROR(VLOOKUP(A191,Clientes_PDV!$A$2:$J$250,3,FALSE),"")</f>
        <v/>
      </c>
      <c r="D191" s="61">
        <f>IFERROR(VLOOKUP(A191,Clientes_PDV!$A$2:$J$250,4,FALSE),"")</f>
        <v/>
      </c>
      <c r="E191" s="52" t="n"/>
      <c r="F191" s="61">
        <f>IFERROR(VLOOKUP(E191,Maestro_SKU!$A$2:$P$500,2,FALSE),"")</f>
        <v/>
      </c>
      <c r="G191" s="59" t="n"/>
      <c r="H191" s="62">
        <f>IF(OR(G191="",E191=""),"",G191*IFERROR(VLOOKUP(E191,Maestro_SKU!$A$2:$P$500,12,FALSE),1))</f>
        <v/>
      </c>
      <c r="I191" s="53" t="n"/>
      <c r="J191" s="61">
        <f>IF(A191="","",IF(H191&lt;=Inicio!$B$16,"Crítico",IF(H191&lt;=Inicio!$B$17,"Observar","OK")))</f>
        <v/>
      </c>
      <c r="K191" s="52" t="n"/>
    </row>
    <row r="192">
      <c r="A192" s="52" t="n"/>
      <c r="B192" s="61">
        <f>IFERROR(VLOOKUP(A192,Clientes_PDV!$A$2:$J$250,2,FALSE),"")</f>
        <v/>
      </c>
      <c r="C192" s="61">
        <f>IFERROR(VLOOKUP(A192,Clientes_PDV!$A$2:$J$250,3,FALSE),"")</f>
        <v/>
      </c>
      <c r="D192" s="61">
        <f>IFERROR(VLOOKUP(A192,Clientes_PDV!$A$2:$J$250,4,FALSE),"")</f>
        <v/>
      </c>
      <c r="E192" s="52" t="n"/>
      <c r="F192" s="61">
        <f>IFERROR(VLOOKUP(E192,Maestro_SKU!$A$2:$P$500,2,FALSE),"")</f>
        <v/>
      </c>
      <c r="G192" s="59" t="n"/>
      <c r="H192" s="62">
        <f>IF(OR(G192="",E192=""),"",G192*IFERROR(VLOOKUP(E192,Maestro_SKU!$A$2:$P$500,12,FALSE),1))</f>
        <v/>
      </c>
      <c r="I192" s="53" t="n"/>
      <c r="J192" s="61">
        <f>IF(A192="","",IF(H192&lt;=Inicio!$B$16,"Crítico",IF(H192&lt;=Inicio!$B$17,"Observar","OK")))</f>
        <v/>
      </c>
      <c r="K192" s="52" t="n"/>
    </row>
    <row r="193">
      <c r="A193" s="52" t="n"/>
      <c r="B193" s="61">
        <f>IFERROR(VLOOKUP(A193,Clientes_PDV!$A$2:$J$250,2,FALSE),"")</f>
        <v/>
      </c>
      <c r="C193" s="61">
        <f>IFERROR(VLOOKUP(A193,Clientes_PDV!$A$2:$J$250,3,FALSE),"")</f>
        <v/>
      </c>
      <c r="D193" s="61">
        <f>IFERROR(VLOOKUP(A193,Clientes_PDV!$A$2:$J$250,4,FALSE),"")</f>
        <v/>
      </c>
      <c r="E193" s="52" t="n"/>
      <c r="F193" s="61">
        <f>IFERROR(VLOOKUP(E193,Maestro_SKU!$A$2:$P$500,2,FALSE),"")</f>
        <v/>
      </c>
      <c r="G193" s="59" t="n"/>
      <c r="H193" s="62">
        <f>IF(OR(G193="",E193=""),"",G193*IFERROR(VLOOKUP(E193,Maestro_SKU!$A$2:$P$500,12,FALSE),1))</f>
        <v/>
      </c>
      <c r="I193" s="53" t="n"/>
      <c r="J193" s="61">
        <f>IF(A193="","",IF(H193&lt;=Inicio!$B$16,"Crítico",IF(H193&lt;=Inicio!$B$17,"Observar","OK")))</f>
        <v/>
      </c>
      <c r="K193" s="52" t="n"/>
    </row>
    <row r="194">
      <c r="A194" s="52" t="n"/>
      <c r="B194" s="61">
        <f>IFERROR(VLOOKUP(A194,Clientes_PDV!$A$2:$J$250,2,FALSE),"")</f>
        <v/>
      </c>
      <c r="C194" s="61">
        <f>IFERROR(VLOOKUP(A194,Clientes_PDV!$A$2:$J$250,3,FALSE),"")</f>
        <v/>
      </c>
      <c r="D194" s="61">
        <f>IFERROR(VLOOKUP(A194,Clientes_PDV!$A$2:$J$250,4,FALSE),"")</f>
        <v/>
      </c>
      <c r="E194" s="52" t="n"/>
      <c r="F194" s="61">
        <f>IFERROR(VLOOKUP(E194,Maestro_SKU!$A$2:$P$500,2,FALSE),"")</f>
        <v/>
      </c>
      <c r="G194" s="59" t="n"/>
      <c r="H194" s="62">
        <f>IF(OR(G194="",E194=""),"",G194*IFERROR(VLOOKUP(E194,Maestro_SKU!$A$2:$P$500,12,FALSE),1))</f>
        <v/>
      </c>
      <c r="I194" s="53" t="n"/>
      <c r="J194" s="61">
        <f>IF(A194="","",IF(H194&lt;=Inicio!$B$16,"Crítico",IF(H194&lt;=Inicio!$B$17,"Observar","OK")))</f>
        <v/>
      </c>
      <c r="K194" s="52" t="n"/>
    </row>
    <row r="195">
      <c r="A195" s="52" t="n"/>
      <c r="B195" s="61">
        <f>IFERROR(VLOOKUP(A195,Clientes_PDV!$A$2:$J$250,2,FALSE),"")</f>
        <v/>
      </c>
      <c r="C195" s="61">
        <f>IFERROR(VLOOKUP(A195,Clientes_PDV!$A$2:$J$250,3,FALSE),"")</f>
        <v/>
      </c>
      <c r="D195" s="61">
        <f>IFERROR(VLOOKUP(A195,Clientes_PDV!$A$2:$J$250,4,FALSE),"")</f>
        <v/>
      </c>
      <c r="E195" s="52" t="n"/>
      <c r="F195" s="61">
        <f>IFERROR(VLOOKUP(E195,Maestro_SKU!$A$2:$P$500,2,FALSE),"")</f>
        <v/>
      </c>
      <c r="G195" s="59" t="n"/>
      <c r="H195" s="62">
        <f>IF(OR(G195="",E195=""),"",G195*IFERROR(VLOOKUP(E195,Maestro_SKU!$A$2:$P$500,12,FALSE),1))</f>
        <v/>
      </c>
      <c r="I195" s="53" t="n"/>
      <c r="J195" s="61">
        <f>IF(A195="","",IF(H195&lt;=Inicio!$B$16,"Crítico",IF(H195&lt;=Inicio!$B$17,"Observar","OK")))</f>
        <v/>
      </c>
      <c r="K195" s="52" t="n"/>
    </row>
    <row r="196">
      <c r="A196" s="52" t="n"/>
      <c r="B196" s="61">
        <f>IFERROR(VLOOKUP(A196,Clientes_PDV!$A$2:$J$250,2,FALSE),"")</f>
        <v/>
      </c>
      <c r="C196" s="61">
        <f>IFERROR(VLOOKUP(A196,Clientes_PDV!$A$2:$J$250,3,FALSE),"")</f>
        <v/>
      </c>
      <c r="D196" s="61">
        <f>IFERROR(VLOOKUP(A196,Clientes_PDV!$A$2:$J$250,4,FALSE),"")</f>
        <v/>
      </c>
      <c r="E196" s="52" t="n"/>
      <c r="F196" s="61">
        <f>IFERROR(VLOOKUP(E196,Maestro_SKU!$A$2:$P$500,2,FALSE),"")</f>
        <v/>
      </c>
      <c r="G196" s="59" t="n"/>
      <c r="H196" s="62">
        <f>IF(OR(G196="",E196=""),"",G196*IFERROR(VLOOKUP(E196,Maestro_SKU!$A$2:$P$500,12,FALSE),1))</f>
        <v/>
      </c>
      <c r="I196" s="53" t="n"/>
      <c r="J196" s="61">
        <f>IF(A196="","",IF(H196&lt;=Inicio!$B$16,"Crítico",IF(H196&lt;=Inicio!$B$17,"Observar","OK")))</f>
        <v/>
      </c>
      <c r="K196" s="52" t="n"/>
    </row>
    <row r="197">
      <c r="A197" s="52" t="n"/>
      <c r="B197" s="61">
        <f>IFERROR(VLOOKUP(A197,Clientes_PDV!$A$2:$J$250,2,FALSE),"")</f>
        <v/>
      </c>
      <c r="C197" s="61">
        <f>IFERROR(VLOOKUP(A197,Clientes_PDV!$A$2:$J$250,3,FALSE),"")</f>
        <v/>
      </c>
      <c r="D197" s="61">
        <f>IFERROR(VLOOKUP(A197,Clientes_PDV!$A$2:$J$250,4,FALSE),"")</f>
        <v/>
      </c>
      <c r="E197" s="52" t="n"/>
      <c r="F197" s="61">
        <f>IFERROR(VLOOKUP(E197,Maestro_SKU!$A$2:$P$500,2,FALSE),"")</f>
        <v/>
      </c>
      <c r="G197" s="59" t="n"/>
      <c r="H197" s="62">
        <f>IF(OR(G197="",E197=""),"",G197*IFERROR(VLOOKUP(E197,Maestro_SKU!$A$2:$P$500,12,FALSE),1))</f>
        <v/>
      </c>
      <c r="I197" s="53" t="n"/>
      <c r="J197" s="61">
        <f>IF(A197="","",IF(H197&lt;=Inicio!$B$16,"Crítico",IF(H197&lt;=Inicio!$B$17,"Observar","OK")))</f>
        <v/>
      </c>
      <c r="K197" s="52" t="n"/>
    </row>
    <row r="198">
      <c r="A198" s="52" t="n"/>
      <c r="B198" s="61">
        <f>IFERROR(VLOOKUP(A198,Clientes_PDV!$A$2:$J$250,2,FALSE),"")</f>
        <v/>
      </c>
      <c r="C198" s="61">
        <f>IFERROR(VLOOKUP(A198,Clientes_PDV!$A$2:$J$250,3,FALSE),"")</f>
        <v/>
      </c>
      <c r="D198" s="61">
        <f>IFERROR(VLOOKUP(A198,Clientes_PDV!$A$2:$J$250,4,FALSE),"")</f>
        <v/>
      </c>
      <c r="E198" s="52" t="n"/>
      <c r="F198" s="61">
        <f>IFERROR(VLOOKUP(E198,Maestro_SKU!$A$2:$P$500,2,FALSE),"")</f>
        <v/>
      </c>
      <c r="G198" s="59" t="n"/>
      <c r="H198" s="62">
        <f>IF(OR(G198="",E198=""),"",G198*IFERROR(VLOOKUP(E198,Maestro_SKU!$A$2:$P$500,12,FALSE),1))</f>
        <v/>
      </c>
      <c r="I198" s="53" t="n"/>
      <c r="J198" s="61">
        <f>IF(A198="","",IF(H198&lt;=Inicio!$B$16,"Crítico",IF(H198&lt;=Inicio!$B$17,"Observar","OK")))</f>
        <v/>
      </c>
      <c r="K198" s="52" t="n"/>
    </row>
    <row r="199">
      <c r="A199" s="52" t="n"/>
      <c r="B199" s="61">
        <f>IFERROR(VLOOKUP(A199,Clientes_PDV!$A$2:$J$250,2,FALSE),"")</f>
        <v/>
      </c>
      <c r="C199" s="61">
        <f>IFERROR(VLOOKUP(A199,Clientes_PDV!$A$2:$J$250,3,FALSE),"")</f>
        <v/>
      </c>
      <c r="D199" s="61">
        <f>IFERROR(VLOOKUP(A199,Clientes_PDV!$A$2:$J$250,4,FALSE),"")</f>
        <v/>
      </c>
      <c r="E199" s="52" t="n"/>
      <c r="F199" s="61">
        <f>IFERROR(VLOOKUP(E199,Maestro_SKU!$A$2:$P$500,2,FALSE),"")</f>
        <v/>
      </c>
      <c r="G199" s="59" t="n"/>
      <c r="H199" s="62">
        <f>IF(OR(G199="",E199=""),"",G199*IFERROR(VLOOKUP(E199,Maestro_SKU!$A$2:$P$500,12,FALSE),1))</f>
        <v/>
      </c>
      <c r="I199" s="53" t="n"/>
      <c r="J199" s="61">
        <f>IF(A199="","",IF(H199&lt;=Inicio!$B$16,"Crítico",IF(H199&lt;=Inicio!$B$17,"Observar","OK")))</f>
        <v/>
      </c>
      <c r="K199" s="52" t="n"/>
    </row>
    <row r="200">
      <c r="A200" s="52" t="n"/>
      <c r="B200" s="61">
        <f>IFERROR(VLOOKUP(A200,Clientes_PDV!$A$2:$J$250,2,FALSE),"")</f>
        <v/>
      </c>
      <c r="C200" s="61">
        <f>IFERROR(VLOOKUP(A200,Clientes_PDV!$A$2:$J$250,3,FALSE),"")</f>
        <v/>
      </c>
      <c r="D200" s="61">
        <f>IFERROR(VLOOKUP(A200,Clientes_PDV!$A$2:$J$250,4,FALSE),"")</f>
        <v/>
      </c>
      <c r="E200" s="52" t="n"/>
      <c r="F200" s="61">
        <f>IFERROR(VLOOKUP(E200,Maestro_SKU!$A$2:$P$500,2,FALSE),"")</f>
        <v/>
      </c>
      <c r="G200" s="59" t="n"/>
      <c r="H200" s="62">
        <f>IF(OR(G200="",E200=""),"",G200*IFERROR(VLOOKUP(E200,Maestro_SKU!$A$2:$P$500,12,FALSE),1))</f>
        <v/>
      </c>
      <c r="I200" s="53" t="n"/>
      <c r="J200" s="61">
        <f>IF(A200="","",IF(H200&lt;=Inicio!$B$16,"Crítico",IF(H200&lt;=Inicio!$B$17,"Observar","OK")))</f>
        <v/>
      </c>
      <c r="K200" s="52" t="n"/>
    </row>
    <row r="201">
      <c r="A201" s="52" t="n"/>
      <c r="B201" s="61">
        <f>IFERROR(VLOOKUP(A201,Clientes_PDV!$A$2:$J$250,2,FALSE),"")</f>
        <v/>
      </c>
      <c r="C201" s="61">
        <f>IFERROR(VLOOKUP(A201,Clientes_PDV!$A$2:$J$250,3,FALSE),"")</f>
        <v/>
      </c>
      <c r="D201" s="61">
        <f>IFERROR(VLOOKUP(A201,Clientes_PDV!$A$2:$J$250,4,FALSE),"")</f>
        <v/>
      </c>
      <c r="E201" s="52" t="n"/>
      <c r="F201" s="61">
        <f>IFERROR(VLOOKUP(E201,Maestro_SKU!$A$2:$P$500,2,FALSE),"")</f>
        <v/>
      </c>
      <c r="G201" s="59" t="n"/>
      <c r="H201" s="62">
        <f>IF(OR(G201="",E201=""),"",G201*IFERROR(VLOOKUP(E201,Maestro_SKU!$A$2:$P$500,12,FALSE),1))</f>
        <v/>
      </c>
      <c r="I201" s="53" t="n"/>
      <c r="J201" s="61">
        <f>IF(A201="","",IF(H201&lt;=Inicio!$B$16,"Crítico",IF(H201&lt;=Inicio!$B$17,"Observar","OK")))</f>
        <v/>
      </c>
      <c r="K201" s="52" t="n"/>
    </row>
    <row r="202">
      <c r="A202" s="52" t="n"/>
      <c r="B202" s="61">
        <f>IFERROR(VLOOKUP(A202,Clientes_PDV!$A$2:$J$250,2,FALSE),"")</f>
        <v/>
      </c>
      <c r="C202" s="61">
        <f>IFERROR(VLOOKUP(A202,Clientes_PDV!$A$2:$J$250,3,FALSE),"")</f>
        <v/>
      </c>
      <c r="D202" s="61">
        <f>IFERROR(VLOOKUP(A202,Clientes_PDV!$A$2:$J$250,4,FALSE),"")</f>
        <v/>
      </c>
      <c r="E202" s="52" t="n"/>
      <c r="F202" s="61">
        <f>IFERROR(VLOOKUP(E202,Maestro_SKU!$A$2:$P$500,2,FALSE),"")</f>
        <v/>
      </c>
      <c r="G202" s="59" t="n"/>
      <c r="H202" s="62">
        <f>IF(OR(G202="",E202=""),"",G202*IFERROR(VLOOKUP(E202,Maestro_SKU!$A$2:$P$500,12,FALSE),1))</f>
        <v/>
      </c>
      <c r="I202" s="53" t="n"/>
      <c r="J202" s="61">
        <f>IF(A202="","",IF(H202&lt;=Inicio!$B$16,"Crítico",IF(H202&lt;=Inicio!$B$17,"Observar","OK")))</f>
        <v/>
      </c>
      <c r="K202" s="52" t="n"/>
    </row>
    <row r="203">
      <c r="A203" s="52" t="n"/>
      <c r="B203" s="61">
        <f>IFERROR(VLOOKUP(A203,Clientes_PDV!$A$2:$J$250,2,FALSE),"")</f>
        <v/>
      </c>
      <c r="C203" s="61">
        <f>IFERROR(VLOOKUP(A203,Clientes_PDV!$A$2:$J$250,3,FALSE),"")</f>
        <v/>
      </c>
      <c r="D203" s="61">
        <f>IFERROR(VLOOKUP(A203,Clientes_PDV!$A$2:$J$250,4,FALSE),"")</f>
        <v/>
      </c>
      <c r="E203" s="52" t="n"/>
      <c r="F203" s="61">
        <f>IFERROR(VLOOKUP(E203,Maestro_SKU!$A$2:$P$500,2,FALSE),"")</f>
        <v/>
      </c>
      <c r="G203" s="59" t="n"/>
      <c r="H203" s="62">
        <f>IF(OR(G203="",E203=""),"",G203*IFERROR(VLOOKUP(E203,Maestro_SKU!$A$2:$P$500,12,FALSE),1))</f>
        <v/>
      </c>
      <c r="I203" s="53" t="n"/>
      <c r="J203" s="61">
        <f>IF(A203="","",IF(H203&lt;=Inicio!$B$16,"Crítico",IF(H203&lt;=Inicio!$B$17,"Observar","OK")))</f>
        <v/>
      </c>
      <c r="K203" s="52" t="n"/>
    </row>
    <row r="204">
      <c r="A204" s="52" t="n"/>
      <c r="B204" s="61">
        <f>IFERROR(VLOOKUP(A204,Clientes_PDV!$A$2:$J$250,2,FALSE),"")</f>
        <v/>
      </c>
      <c r="C204" s="61">
        <f>IFERROR(VLOOKUP(A204,Clientes_PDV!$A$2:$J$250,3,FALSE),"")</f>
        <v/>
      </c>
      <c r="D204" s="61">
        <f>IFERROR(VLOOKUP(A204,Clientes_PDV!$A$2:$J$250,4,FALSE),"")</f>
        <v/>
      </c>
      <c r="E204" s="52" t="n"/>
      <c r="F204" s="61">
        <f>IFERROR(VLOOKUP(E204,Maestro_SKU!$A$2:$P$500,2,FALSE),"")</f>
        <v/>
      </c>
      <c r="G204" s="59" t="n"/>
      <c r="H204" s="62">
        <f>IF(OR(G204="",E204=""),"",G204*IFERROR(VLOOKUP(E204,Maestro_SKU!$A$2:$P$500,12,FALSE),1))</f>
        <v/>
      </c>
      <c r="I204" s="53" t="n"/>
      <c r="J204" s="61">
        <f>IF(A204="","",IF(H204&lt;=Inicio!$B$16,"Crítico",IF(H204&lt;=Inicio!$B$17,"Observar","OK")))</f>
        <v/>
      </c>
      <c r="K204" s="52" t="n"/>
    </row>
    <row r="205">
      <c r="A205" s="52" t="n"/>
      <c r="B205" s="61">
        <f>IFERROR(VLOOKUP(A205,Clientes_PDV!$A$2:$J$250,2,FALSE),"")</f>
        <v/>
      </c>
      <c r="C205" s="61">
        <f>IFERROR(VLOOKUP(A205,Clientes_PDV!$A$2:$J$250,3,FALSE),"")</f>
        <v/>
      </c>
      <c r="D205" s="61">
        <f>IFERROR(VLOOKUP(A205,Clientes_PDV!$A$2:$J$250,4,FALSE),"")</f>
        <v/>
      </c>
      <c r="E205" s="52" t="n"/>
      <c r="F205" s="61">
        <f>IFERROR(VLOOKUP(E205,Maestro_SKU!$A$2:$P$500,2,FALSE),"")</f>
        <v/>
      </c>
      <c r="G205" s="59" t="n"/>
      <c r="H205" s="62">
        <f>IF(OR(G205="",E205=""),"",G205*IFERROR(VLOOKUP(E205,Maestro_SKU!$A$2:$P$500,12,FALSE),1))</f>
        <v/>
      </c>
      <c r="I205" s="53" t="n"/>
      <c r="J205" s="61">
        <f>IF(A205="","",IF(H205&lt;=Inicio!$B$16,"Crítico",IF(H205&lt;=Inicio!$B$17,"Observar","OK")))</f>
        <v/>
      </c>
      <c r="K205" s="52" t="n"/>
    </row>
    <row r="206">
      <c r="A206" s="52" t="n"/>
      <c r="B206" s="61">
        <f>IFERROR(VLOOKUP(A206,Clientes_PDV!$A$2:$J$250,2,FALSE),"")</f>
        <v/>
      </c>
      <c r="C206" s="61">
        <f>IFERROR(VLOOKUP(A206,Clientes_PDV!$A$2:$J$250,3,FALSE),"")</f>
        <v/>
      </c>
      <c r="D206" s="61">
        <f>IFERROR(VLOOKUP(A206,Clientes_PDV!$A$2:$J$250,4,FALSE),"")</f>
        <v/>
      </c>
      <c r="E206" s="52" t="n"/>
      <c r="F206" s="61">
        <f>IFERROR(VLOOKUP(E206,Maestro_SKU!$A$2:$P$500,2,FALSE),"")</f>
        <v/>
      </c>
      <c r="G206" s="59" t="n"/>
      <c r="H206" s="62">
        <f>IF(OR(G206="",E206=""),"",G206*IFERROR(VLOOKUP(E206,Maestro_SKU!$A$2:$P$500,12,FALSE),1))</f>
        <v/>
      </c>
      <c r="I206" s="53" t="n"/>
      <c r="J206" s="61">
        <f>IF(A206="","",IF(H206&lt;=Inicio!$B$16,"Crítico",IF(H206&lt;=Inicio!$B$17,"Observar","OK")))</f>
        <v/>
      </c>
      <c r="K206" s="52" t="n"/>
    </row>
    <row r="207">
      <c r="A207" s="52" t="n"/>
      <c r="B207" s="61">
        <f>IFERROR(VLOOKUP(A207,Clientes_PDV!$A$2:$J$250,2,FALSE),"")</f>
        <v/>
      </c>
      <c r="C207" s="61">
        <f>IFERROR(VLOOKUP(A207,Clientes_PDV!$A$2:$J$250,3,FALSE),"")</f>
        <v/>
      </c>
      <c r="D207" s="61">
        <f>IFERROR(VLOOKUP(A207,Clientes_PDV!$A$2:$J$250,4,FALSE),"")</f>
        <v/>
      </c>
      <c r="E207" s="52" t="n"/>
      <c r="F207" s="61">
        <f>IFERROR(VLOOKUP(E207,Maestro_SKU!$A$2:$P$500,2,FALSE),"")</f>
        <v/>
      </c>
      <c r="G207" s="59" t="n"/>
      <c r="H207" s="62">
        <f>IF(OR(G207="",E207=""),"",G207*IFERROR(VLOOKUP(E207,Maestro_SKU!$A$2:$P$500,12,FALSE),1))</f>
        <v/>
      </c>
      <c r="I207" s="53" t="n"/>
      <c r="J207" s="61">
        <f>IF(A207="","",IF(H207&lt;=Inicio!$B$16,"Crítico",IF(H207&lt;=Inicio!$B$17,"Observar","OK")))</f>
        <v/>
      </c>
      <c r="K207" s="52" t="n"/>
    </row>
    <row r="208">
      <c r="A208" s="52" t="n"/>
      <c r="B208" s="61">
        <f>IFERROR(VLOOKUP(A208,Clientes_PDV!$A$2:$J$250,2,FALSE),"")</f>
        <v/>
      </c>
      <c r="C208" s="61">
        <f>IFERROR(VLOOKUP(A208,Clientes_PDV!$A$2:$J$250,3,FALSE),"")</f>
        <v/>
      </c>
      <c r="D208" s="61">
        <f>IFERROR(VLOOKUP(A208,Clientes_PDV!$A$2:$J$250,4,FALSE),"")</f>
        <v/>
      </c>
      <c r="E208" s="52" t="n"/>
      <c r="F208" s="61">
        <f>IFERROR(VLOOKUP(E208,Maestro_SKU!$A$2:$P$500,2,FALSE),"")</f>
        <v/>
      </c>
      <c r="G208" s="59" t="n"/>
      <c r="H208" s="62">
        <f>IF(OR(G208="",E208=""),"",G208*IFERROR(VLOOKUP(E208,Maestro_SKU!$A$2:$P$500,12,FALSE),1))</f>
        <v/>
      </c>
      <c r="I208" s="53" t="n"/>
      <c r="J208" s="61">
        <f>IF(A208="","",IF(H208&lt;=Inicio!$B$16,"Crítico",IF(H208&lt;=Inicio!$B$17,"Observar","OK")))</f>
        <v/>
      </c>
      <c r="K208" s="52" t="n"/>
    </row>
    <row r="209">
      <c r="A209" s="52" t="n"/>
      <c r="B209" s="61">
        <f>IFERROR(VLOOKUP(A209,Clientes_PDV!$A$2:$J$250,2,FALSE),"")</f>
        <v/>
      </c>
      <c r="C209" s="61">
        <f>IFERROR(VLOOKUP(A209,Clientes_PDV!$A$2:$J$250,3,FALSE),"")</f>
        <v/>
      </c>
      <c r="D209" s="61">
        <f>IFERROR(VLOOKUP(A209,Clientes_PDV!$A$2:$J$250,4,FALSE),"")</f>
        <v/>
      </c>
      <c r="E209" s="52" t="n"/>
      <c r="F209" s="61">
        <f>IFERROR(VLOOKUP(E209,Maestro_SKU!$A$2:$P$500,2,FALSE),"")</f>
        <v/>
      </c>
      <c r="G209" s="59" t="n"/>
      <c r="H209" s="62">
        <f>IF(OR(G209="",E209=""),"",G209*IFERROR(VLOOKUP(E209,Maestro_SKU!$A$2:$P$500,12,FALSE),1))</f>
        <v/>
      </c>
      <c r="I209" s="53" t="n"/>
      <c r="J209" s="61">
        <f>IF(A209="","",IF(H209&lt;=Inicio!$B$16,"Crítico",IF(H209&lt;=Inicio!$B$17,"Observar","OK")))</f>
        <v/>
      </c>
      <c r="K209" s="52" t="n"/>
    </row>
    <row r="210">
      <c r="A210" s="52" t="n"/>
      <c r="B210" s="61">
        <f>IFERROR(VLOOKUP(A210,Clientes_PDV!$A$2:$J$250,2,FALSE),"")</f>
        <v/>
      </c>
      <c r="C210" s="61">
        <f>IFERROR(VLOOKUP(A210,Clientes_PDV!$A$2:$J$250,3,FALSE),"")</f>
        <v/>
      </c>
      <c r="D210" s="61">
        <f>IFERROR(VLOOKUP(A210,Clientes_PDV!$A$2:$J$250,4,FALSE),"")</f>
        <v/>
      </c>
      <c r="E210" s="52" t="n"/>
      <c r="F210" s="61">
        <f>IFERROR(VLOOKUP(E210,Maestro_SKU!$A$2:$P$500,2,FALSE),"")</f>
        <v/>
      </c>
      <c r="G210" s="59" t="n"/>
      <c r="H210" s="62">
        <f>IF(OR(G210="",E210=""),"",G210*IFERROR(VLOOKUP(E210,Maestro_SKU!$A$2:$P$500,12,FALSE),1))</f>
        <v/>
      </c>
      <c r="I210" s="53" t="n"/>
      <c r="J210" s="61">
        <f>IF(A210="","",IF(H210&lt;=Inicio!$B$16,"Crítico",IF(H210&lt;=Inicio!$B$17,"Observar","OK")))</f>
        <v/>
      </c>
      <c r="K210" s="52" t="n"/>
    </row>
    <row r="211">
      <c r="A211" s="52" t="n"/>
      <c r="B211" s="61">
        <f>IFERROR(VLOOKUP(A211,Clientes_PDV!$A$2:$J$250,2,FALSE),"")</f>
        <v/>
      </c>
      <c r="C211" s="61">
        <f>IFERROR(VLOOKUP(A211,Clientes_PDV!$A$2:$J$250,3,FALSE),"")</f>
        <v/>
      </c>
      <c r="D211" s="61">
        <f>IFERROR(VLOOKUP(A211,Clientes_PDV!$A$2:$J$250,4,FALSE),"")</f>
        <v/>
      </c>
      <c r="E211" s="52" t="n"/>
      <c r="F211" s="61">
        <f>IFERROR(VLOOKUP(E211,Maestro_SKU!$A$2:$P$500,2,FALSE),"")</f>
        <v/>
      </c>
      <c r="G211" s="59" t="n"/>
      <c r="H211" s="62">
        <f>IF(OR(G211="",E211=""),"",G211*IFERROR(VLOOKUP(E211,Maestro_SKU!$A$2:$P$500,12,FALSE),1))</f>
        <v/>
      </c>
      <c r="I211" s="53" t="n"/>
      <c r="J211" s="61">
        <f>IF(A211="","",IF(H211&lt;=Inicio!$B$16,"Crítico",IF(H211&lt;=Inicio!$B$17,"Observar","OK")))</f>
        <v/>
      </c>
      <c r="K211" s="52" t="n"/>
    </row>
    <row r="212">
      <c r="A212" s="52" t="n"/>
      <c r="B212" s="61">
        <f>IFERROR(VLOOKUP(A212,Clientes_PDV!$A$2:$J$250,2,FALSE),"")</f>
        <v/>
      </c>
      <c r="C212" s="61">
        <f>IFERROR(VLOOKUP(A212,Clientes_PDV!$A$2:$J$250,3,FALSE),"")</f>
        <v/>
      </c>
      <c r="D212" s="61">
        <f>IFERROR(VLOOKUP(A212,Clientes_PDV!$A$2:$J$250,4,FALSE),"")</f>
        <v/>
      </c>
      <c r="E212" s="52" t="n"/>
      <c r="F212" s="61">
        <f>IFERROR(VLOOKUP(E212,Maestro_SKU!$A$2:$P$500,2,FALSE),"")</f>
        <v/>
      </c>
      <c r="G212" s="59" t="n"/>
      <c r="H212" s="62">
        <f>IF(OR(G212="",E212=""),"",G212*IFERROR(VLOOKUP(E212,Maestro_SKU!$A$2:$P$500,12,FALSE),1))</f>
        <v/>
      </c>
      <c r="I212" s="53" t="n"/>
      <c r="J212" s="61">
        <f>IF(A212="","",IF(H212&lt;=Inicio!$B$16,"Crítico",IF(H212&lt;=Inicio!$B$17,"Observar","OK")))</f>
        <v/>
      </c>
      <c r="K212" s="52" t="n"/>
    </row>
    <row r="213">
      <c r="A213" s="52" t="n"/>
      <c r="B213" s="61">
        <f>IFERROR(VLOOKUP(A213,Clientes_PDV!$A$2:$J$250,2,FALSE),"")</f>
        <v/>
      </c>
      <c r="C213" s="61">
        <f>IFERROR(VLOOKUP(A213,Clientes_PDV!$A$2:$J$250,3,FALSE),"")</f>
        <v/>
      </c>
      <c r="D213" s="61">
        <f>IFERROR(VLOOKUP(A213,Clientes_PDV!$A$2:$J$250,4,FALSE),"")</f>
        <v/>
      </c>
      <c r="E213" s="52" t="n"/>
      <c r="F213" s="61">
        <f>IFERROR(VLOOKUP(E213,Maestro_SKU!$A$2:$P$500,2,FALSE),"")</f>
        <v/>
      </c>
      <c r="G213" s="59" t="n"/>
      <c r="H213" s="62">
        <f>IF(OR(G213="",E213=""),"",G213*IFERROR(VLOOKUP(E213,Maestro_SKU!$A$2:$P$500,12,FALSE),1))</f>
        <v/>
      </c>
      <c r="I213" s="53" t="n"/>
      <c r="J213" s="61">
        <f>IF(A213="","",IF(H213&lt;=Inicio!$B$16,"Crítico",IF(H213&lt;=Inicio!$B$17,"Observar","OK")))</f>
        <v/>
      </c>
      <c r="K213" s="52" t="n"/>
    </row>
    <row r="214">
      <c r="A214" s="52" t="n"/>
      <c r="B214" s="61">
        <f>IFERROR(VLOOKUP(A214,Clientes_PDV!$A$2:$J$250,2,FALSE),"")</f>
        <v/>
      </c>
      <c r="C214" s="61">
        <f>IFERROR(VLOOKUP(A214,Clientes_PDV!$A$2:$J$250,3,FALSE),"")</f>
        <v/>
      </c>
      <c r="D214" s="61">
        <f>IFERROR(VLOOKUP(A214,Clientes_PDV!$A$2:$J$250,4,FALSE),"")</f>
        <v/>
      </c>
      <c r="E214" s="52" t="n"/>
      <c r="F214" s="61">
        <f>IFERROR(VLOOKUP(E214,Maestro_SKU!$A$2:$P$500,2,FALSE),"")</f>
        <v/>
      </c>
      <c r="G214" s="59" t="n"/>
      <c r="H214" s="62">
        <f>IF(OR(G214="",E214=""),"",G214*IFERROR(VLOOKUP(E214,Maestro_SKU!$A$2:$P$500,12,FALSE),1))</f>
        <v/>
      </c>
      <c r="I214" s="53" t="n"/>
      <c r="J214" s="61">
        <f>IF(A214="","",IF(H214&lt;=Inicio!$B$16,"Crítico",IF(H214&lt;=Inicio!$B$17,"Observar","OK")))</f>
        <v/>
      </c>
      <c r="K214" s="52" t="n"/>
    </row>
    <row r="215">
      <c r="A215" s="52" t="n"/>
      <c r="B215" s="61">
        <f>IFERROR(VLOOKUP(A215,Clientes_PDV!$A$2:$J$250,2,FALSE),"")</f>
        <v/>
      </c>
      <c r="C215" s="61">
        <f>IFERROR(VLOOKUP(A215,Clientes_PDV!$A$2:$J$250,3,FALSE),"")</f>
        <v/>
      </c>
      <c r="D215" s="61">
        <f>IFERROR(VLOOKUP(A215,Clientes_PDV!$A$2:$J$250,4,FALSE),"")</f>
        <v/>
      </c>
      <c r="E215" s="52" t="n"/>
      <c r="F215" s="61">
        <f>IFERROR(VLOOKUP(E215,Maestro_SKU!$A$2:$P$500,2,FALSE),"")</f>
        <v/>
      </c>
      <c r="G215" s="59" t="n"/>
      <c r="H215" s="62">
        <f>IF(OR(G215="",E215=""),"",G215*IFERROR(VLOOKUP(E215,Maestro_SKU!$A$2:$P$500,12,FALSE),1))</f>
        <v/>
      </c>
      <c r="I215" s="53" t="n"/>
      <c r="J215" s="61">
        <f>IF(A215="","",IF(H215&lt;=Inicio!$B$16,"Crítico",IF(H215&lt;=Inicio!$B$17,"Observar","OK")))</f>
        <v/>
      </c>
      <c r="K215" s="52" t="n"/>
    </row>
    <row r="216">
      <c r="A216" s="52" t="n"/>
      <c r="B216" s="61">
        <f>IFERROR(VLOOKUP(A216,Clientes_PDV!$A$2:$J$250,2,FALSE),"")</f>
        <v/>
      </c>
      <c r="C216" s="61">
        <f>IFERROR(VLOOKUP(A216,Clientes_PDV!$A$2:$J$250,3,FALSE),"")</f>
        <v/>
      </c>
      <c r="D216" s="61">
        <f>IFERROR(VLOOKUP(A216,Clientes_PDV!$A$2:$J$250,4,FALSE),"")</f>
        <v/>
      </c>
      <c r="E216" s="52" t="n"/>
      <c r="F216" s="61">
        <f>IFERROR(VLOOKUP(E216,Maestro_SKU!$A$2:$P$500,2,FALSE),"")</f>
        <v/>
      </c>
      <c r="G216" s="59" t="n"/>
      <c r="H216" s="62">
        <f>IF(OR(G216="",E216=""),"",G216*IFERROR(VLOOKUP(E216,Maestro_SKU!$A$2:$P$500,12,FALSE),1))</f>
        <v/>
      </c>
      <c r="I216" s="53" t="n"/>
      <c r="J216" s="61">
        <f>IF(A216="","",IF(H216&lt;=Inicio!$B$16,"Crítico",IF(H216&lt;=Inicio!$B$17,"Observar","OK")))</f>
        <v/>
      </c>
      <c r="K216" s="52" t="n"/>
    </row>
    <row r="217">
      <c r="A217" s="52" t="n"/>
      <c r="B217" s="61">
        <f>IFERROR(VLOOKUP(A217,Clientes_PDV!$A$2:$J$250,2,FALSE),"")</f>
        <v/>
      </c>
      <c r="C217" s="61">
        <f>IFERROR(VLOOKUP(A217,Clientes_PDV!$A$2:$J$250,3,FALSE),"")</f>
        <v/>
      </c>
      <c r="D217" s="61">
        <f>IFERROR(VLOOKUP(A217,Clientes_PDV!$A$2:$J$250,4,FALSE),"")</f>
        <v/>
      </c>
      <c r="E217" s="52" t="n"/>
      <c r="F217" s="61">
        <f>IFERROR(VLOOKUP(E217,Maestro_SKU!$A$2:$P$500,2,FALSE),"")</f>
        <v/>
      </c>
      <c r="G217" s="59" t="n"/>
      <c r="H217" s="62">
        <f>IF(OR(G217="",E217=""),"",G217*IFERROR(VLOOKUP(E217,Maestro_SKU!$A$2:$P$500,12,FALSE),1))</f>
        <v/>
      </c>
      <c r="I217" s="53" t="n"/>
      <c r="J217" s="61">
        <f>IF(A217="","",IF(H217&lt;=Inicio!$B$16,"Crítico",IF(H217&lt;=Inicio!$B$17,"Observar","OK")))</f>
        <v/>
      </c>
      <c r="K217" s="52" t="n"/>
    </row>
    <row r="218">
      <c r="A218" s="52" t="n"/>
      <c r="B218" s="61">
        <f>IFERROR(VLOOKUP(A218,Clientes_PDV!$A$2:$J$250,2,FALSE),"")</f>
        <v/>
      </c>
      <c r="C218" s="61">
        <f>IFERROR(VLOOKUP(A218,Clientes_PDV!$A$2:$J$250,3,FALSE),"")</f>
        <v/>
      </c>
      <c r="D218" s="61">
        <f>IFERROR(VLOOKUP(A218,Clientes_PDV!$A$2:$J$250,4,FALSE),"")</f>
        <v/>
      </c>
      <c r="E218" s="52" t="n"/>
      <c r="F218" s="61">
        <f>IFERROR(VLOOKUP(E218,Maestro_SKU!$A$2:$P$500,2,FALSE),"")</f>
        <v/>
      </c>
      <c r="G218" s="59" t="n"/>
      <c r="H218" s="62">
        <f>IF(OR(G218="",E218=""),"",G218*IFERROR(VLOOKUP(E218,Maestro_SKU!$A$2:$P$500,12,FALSE),1))</f>
        <v/>
      </c>
      <c r="I218" s="53" t="n"/>
      <c r="J218" s="61">
        <f>IF(A218="","",IF(H218&lt;=Inicio!$B$16,"Crítico",IF(H218&lt;=Inicio!$B$17,"Observar","OK")))</f>
        <v/>
      </c>
      <c r="K218" s="52" t="n"/>
    </row>
    <row r="219">
      <c r="A219" s="52" t="n"/>
      <c r="B219" s="61">
        <f>IFERROR(VLOOKUP(A219,Clientes_PDV!$A$2:$J$250,2,FALSE),"")</f>
        <v/>
      </c>
      <c r="C219" s="61">
        <f>IFERROR(VLOOKUP(A219,Clientes_PDV!$A$2:$J$250,3,FALSE),"")</f>
        <v/>
      </c>
      <c r="D219" s="61">
        <f>IFERROR(VLOOKUP(A219,Clientes_PDV!$A$2:$J$250,4,FALSE),"")</f>
        <v/>
      </c>
      <c r="E219" s="52" t="n"/>
      <c r="F219" s="61">
        <f>IFERROR(VLOOKUP(E219,Maestro_SKU!$A$2:$P$500,2,FALSE),"")</f>
        <v/>
      </c>
      <c r="G219" s="59" t="n"/>
      <c r="H219" s="62">
        <f>IF(OR(G219="",E219=""),"",G219*IFERROR(VLOOKUP(E219,Maestro_SKU!$A$2:$P$500,12,FALSE),1))</f>
        <v/>
      </c>
      <c r="I219" s="53" t="n"/>
      <c r="J219" s="61">
        <f>IF(A219="","",IF(H219&lt;=Inicio!$B$16,"Crítico",IF(H219&lt;=Inicio!$B$17,"Observar","OK")))</f>
        <v/>
      </c>
      <c r="K219" s="52" t="n"/>
    </row>
    <row r="220">
      <c r="A220" s="52" t="n"/>
      <c r="B220" s="61">
        <f>IFERROR(VLOOKUP(A220,Clientes_PDV!$A$2:$J$250,2,FALSE),"")</f>
        <v/>
      </c>
      <c r="C220" s="61">
        <f>IFERROR(VLOOKUP(A220,Clientes_PDV!$A$2:$J$250,3,FALSE),"")</f>
        <v/>
      </c>
      <c r="D220" s="61">
        <f>IFERROR(VLOOKUP(A220,Clientes_PDV!$A$2:$J$250,4,FALSE),"")</f>
        <v/>
      </c>
      <c r="E220" s="52" t="n"/>
      <c r="F220" s="61">
        <f>IFERROR(VLOOKUP(E220,Maestro_SKU!$A$2:$P$500,2,FALSE),"")</f>
        <v/>
      </c>
      <c r="G220" s="59" t="n"/>
      <c r="H220" s="62">
        <f>IF(OR(G220="",E220=""),"",G220*IFERROR(VLOOKUP(E220,Maestro_SKU!$A$2:$P$500,12,FALSE),1))</f>
        <v/>
      </c>
      <c r="I220" s="53" t="n"/>
      <c r="J220" s="61">
        <f>IF(A220="","",IF(H220&lt;=Inicio!$B$16,"Crítico",IF(H220&lt;=Inicio!$B$17,"Observar","OK")))</f>
        <v/>
      </c>
      <c r="K220" s="52" t="n"/>
    </row>
    <row r="221">
      <c r="A221" s="52" t="n"/>
      <c r="B221" s="61">
        <f>IFERROR(VLOOKUP(A221,Clientes_PDV!$A$2:$J$250,2,FALSE),"")</f>
        <v/>
      </c>
      <c r="C221" s="61">
        <f>IFERROR(VLOOKUP(A221,Clientes_PDV!$A$2:$J$250,3,FALSE),"")</f>
        <v/>
      </c>
      <c r="D221" s="61">
        <f>IFERROR(VLOOKUP(A221,Clientes_PDV!$A$2:$J$250,4,FALSE),"")</f>
        <v/>
      </c>
      <c r="E221" s="52" t="n"/>
      <c r="F221" s="61">
        <f>IFERROR(VLOOKUP(E221,Maestro_SKU!$A$2:$P$500,2,FALSE),"")</f>
        <v/>
      </c>
      <c r="G221" s="59" t="n"/>
      <c r="H221" s="62">
        <f>IF(OR(G221="",E221=""),"",G221*IFERROR(VLOOKUP(E221,Maestro_SKU!$A$2:$P$500,12,FALSE),1))</f>
        <v/>
      </c>
      <c r="I221" s="53" t="n"/>
      <c r="J221" s="61">
        <f>IF(A221="","",IF(H221&lt;=Inicio!$B$16,"Crítico",IF(H221&lt;=Inicio!$B$17,"Observar","OK")))</f>
        <v/>
      </c>
      <c r="K221" s="52" t="n"/>
    </row>
    <row r="222">
      <c r="A222" s="52" t="n"/>
      <c r="B222" s="61">
        <f>IFERROR(VLOOKUP(A222,Clientes_PDV!$A$2:$J$250,2,FALSE),"")</f>
        <v/>
      </c>
      <c r="C222" s="61">
        <f>IFERROR(VLOOKUP(A222,Clientes_PDV!$A$2:$J$250,3,FALSE),"")</f>
        <v/>
      </c>
      <c r="D222" s="61">
        <f>IFERROR(VLOOKUP(A222,Clientes_PDV!$A$2:$J$250,4,FALSE),"")</f>
        <v/>
      </c>
      <c r="E222" s="52" t="n"/>
      <c r="F222" s="61">
        <f>IFERROR(VLOOKUP(E222,Maestro_SKU!$A$2:$P$500,2,FALSE),"")</f>
        <v/>
      </c>
      <c r="G222" s="59" t="n"/>
      <c r="H222" s="62">
        <f>IF(OR(G222="",E222=""),"",G222*IFERROR(VLOOKUP(E222,Maestro_SKU!$A$2:$P$500,12,FALSE),1))</f>
        <v/>
      </c>
      <c r="I222" s="53" t="n"/>
      <c r="J222" s="61">
        <f>IF(A222="","",IF(H222&lt;=Inicio!$B$16,"Crítico",IF(H222&lt;=Inicio!$B$17,"Observar","OK")))</f>
        <v/>
      </c>
      <c r="K222" s="52" t="n"/>
    </row>
    <row r="223">
      <c r="A223" s="52" t="n"/>
      <c r="B223" s="61">
        <f>IFERROR(VLOOKUP(A223,Clientes_PDV!$A$2:$J$250,2,FALSE),"")</f>
        <v/>
      </c>
      <c r="C223" s="61">
        <f>IFERROR(VLOOKUP(A223,Clientes_PDV!$A$2:$J$250,3,FALSE),"")</f>
        <v/>
      </c>
      <c r="D223" s="61">
        <f>IFERROR(VLOOKUP(A223,Clientes_PDV!$A$2:$J$250,4,FALSE),"")</f>
        <v/>
      </c>
      <c r="E223" s="52" t="n"/>
      <c r="F223" s="61">
        <f>IFERROR(VLOOKUP(E223,Maestro_SKU!$A$2:$P$500,2,FALSE),"")</f>
        <v/>
      </c>
      <c r="G223" s="59" t="n"/>
      <c r="H223" s="62">
        <f>IF(OR(G223="",E223=""),"",G223*IFERROR(VLOOKUP(E223,Maestro_SKU!$A$2:$P$500,12,FALSE),1))</f>
        <v/>
      </c>
      <c r="I223" s="53" t="n"/>
      <c r="J223" s="61">
        <f>IF(A223="","",IF(H223&lt;=Inicio!$B$16,"Crítico",IF(H223&lt;=Inicio!$B$17,"Observar","OK")))</f>
        <v/>
      </c>
      <c r="K223" s="52" t="n"/>
    </row>
    <row r="224">
      <c r="A224" s="52" t="n"/>
      <c r="B224" s="61">
        <f>IFERROR(VLOOKUP(A224,Clientes_PDV!$A$2:$J$250,2,FALSE),"")</f>
        <v/>
      </c>
      <c r="C224" s="61">
        <f>IFERROR(VLOOKUP(A224,Clientes_PDV!$A$2:$J$250,3,FALSE),"")</f>
        <v/>
      </c>
      <c r="D224" s="61">
        <f>IFERROR(VLOOKUP(A224,Clientes_PDV!$A$2:$J$250,4,FALSE),"")</f>
        <v/>
      </c>
      <c r="E224" s="52" t="n"/>
      <c r="F224" s="61">
        <f>IFERROR(VLOOKUP(E224,Maestro_SKU!$A$2:$P$500,2,FALSE),"")</f>
        <v/>
      </c>
      <c r="G224" s="59" t="n"/>
      <c r="H224" s="62">
        <f>IF(OR(G224="",E224=""),"",G224*IFERROR(VLOOKUP(E224,Maestro_SKU!$A$2:$P$500,12,FALSE),1))</f>
        <v/>
      </c>
      <c r="I224" s="53" t="n"/>
      <c r="J224" s="61">
        <f>IF(A224="","",IF(H224&lt;=Inicio!$B$16,"Crítico",IF(H224&lt;=Inicio!$B$17,"Observar","OK")))</f>
        <v/>
      </c>
      <c r="K224" s="52" t="n"/>
    </row>
    <row r="225">
      <c r="A225" s="52" t="n"/>
      <c r="B225" s="61">
        <f>IFERROR(VLOOKUP(A225,Clientes_PDV!$A$2:$J$250,2,FALSE),"")</f>
        <v/>
      </c>
      <c r="C225" s="61">
        <f>IFERROR(VLOOKUP(A225,Clientes_PDV!$A$2:$J$250,3,FALSE),"")</f>
        <v/>
      </c>
      <c r="D225" s="61">
        <f>IFERROR(VLOOKUP(A225,Clientes_PDV!$A$2:$J$250,4,FALSE),"")</f>
        <v/>
      </c>
      <c r="E225" s="52" t="n"/>
      <c r="F225" s="61">
        <f>IFERROR(VLOOKUP(E225,Maestro_SKU!$A$2:$P$500,2,FALSE),"")</f>
        <v/>
      </c>
      <c r="G225" s="59" t="n"/>
      <c r="H225" s="62">
        <f>IF(OR(G225="",E225=""),"",G225*IFERROR(VLOOKUP(E225,Maestro_SKU!$A$2:$P$500,12,FALSE),1))</f>
        <v/>
      </c>
      <c r="I225" s="53" t="n"/>
      <c r="J225" s="61">
        <f>IF(A225="","",IF(H225&lt;=Inicio!$B$16,"Crítico",IF(H225&lt;=Inicio!$B$17,"Observar","OK")))</f>
        <v/>
      </c>
      <c r="K225" s="52" t="n"/>
    </row>
    <row r="226">
      <c r="A226" s="52" t="n"/>
      <c r="B226" s="61">
        <f>IFERROR(VLOOKUP(A226,Clientes_PDV!$A$2:$J$250,2,FALSE),"")</f>
        <v/>
      </c>
      <c r="C226" s="61">
        <f>IFERROR(VLOOKUP(A226,Clientes_PDV!$A$2:$J$250,3,FALSE),"")</f>
        <v/>
      </c>
      <c r="D226" s="61">
        <f>IFERROR(VLOOKUP(A226,Clientes_PDV!$A$2:$J$250,4,FALSE),"")</f>
        <v/>
      </c>
      <c r="E226" s="52" t="n"/>
      <c r="F226" s="61">
        <f>IFERROR(VLOOKUP(E226,Maestro_SKU!$A$2:$P$500,2,FALSE),"")</f>
        <v/>
      </c>
      <c r="G226" s="59" t="n"/>
      <c r="H226" s="62">
        <f>IF(OR(G226="",E226=""),"",G226*IFERROR(VLOOKUP(E226,Maestro_SKU!$A$2:$P$500,12,FALSE),1))</f>
        <v/>
      </c>
      <c r="I226" s="53" t="n"/>
      <c r="J226" s="61">
        <f>IF(A226="","",IF(H226&lt;=Inicio!$B$16,"Crítico",IF(H226&lt;=Inicio!$B$17,"Observar","OK")))</f>
        <v/>
      </c>
      <c r="K226" s="52" t="n"/>
    </row>
    <row r="227">
      <c r="A227" s="52" t="n"/>
      <c r="B227" s="61">
        <f>IFERROR(VLOOKUP(A227,Clientes_PDV!$A$2:$J$250,2,FALSE),"")</f>
        <v/>
      </c>
      <c r="C227" s="61">
        <f>IFERROR(VLOOKUP(A227,Clientes_PDV!$A$2:$J$250,3,FALSE),"")</f>
        <v/>
      </c>
      <c r="D227" s="61">
        <f>IFERROR(VLOOKUP(A227,Clientes_PDV!$A$2:$J$250,4,FALSE),"")</f>
        <v/>
      </c>
      <c r="E227" s="52" t="n"/>
      <c r="F227" s="61">
        <f>IFERROR(VLOOKUP(E227,Maestro_SKU!$A$2:$P$500,2,FALSE),"")</f>
        <v/>
      </c>
      <c r="G227" s="59" t="n"/>
      <c r="H227" s="62">
        <f>IF(OR(G227="",E227=""),"",G227*IFERROR(VLOOKUP(E227,Maestro_SKU!$A$2:$P$500,12,FALSE),1))</f>
        <v/>
      </c>
      <c r="I227" s="53" t="n"/>
      <c r="J227" s="61">
        <f>IF(A227="","",IF(H227&lt;=Inicio!$B$16,"Crítico",IF(H227&lt;=Inicio!$B$17,"Observar","OK")))</f>
        <v/>
      </c>
      <c r="K227" s="52" t="n"/>
    </row>
    <row r="228">
      <c r="A228" s="52" t="n"/>
      <c r="B228" s="61">
        <f>IFERROR(VLOOKUP(A228,Clientes_PDV!$A$2:$J$250,2,FALSE),"")</f>
        <v/>
      </c>
      <c r="C228" s="61">
        <f>IFERROR(VLOOKUP(A228,Clientes_PDV!$A$2:$J$250,3,FALSE),"")</f>
        <v/>
      </c>
      <c r="D228" s="61">
        <f>IFERROR(VLOOKUP(A228,Clientes_PDV!$A$2:$J$250,4,FALSE),"")</f>
        <v/>
      </c>
      <c r="E228" s="52" t="n"/>
      <c r="F228" s="61">
        <f>IFERROR(VLOOKUP(E228,Maestro_SKU!$A$2:$P$500,2,FALSE),"")</f>
        <v/>
      </c>
      <c r="G228" s="59" t="n"/>
      <c r="H228" s="62">
        <f>IF(OR(G228="",E228=""),"",G228*IFERROR(VLOOKUP(E228,Maestro_SKU!$A$2:$P$500,12,FALSE),1))</f>
        <v/>
      </c>
      <c r="I228" s="53" t="n"/>
      <c r="J228" s="61">
        <f>IF(A228="","",IF(H228&lt;=Inicio!$B$16,"Crítico",IF(H228&lt;=Inicio!$B$17,"Observar","OK")))</f>
        <v/>
      </c>
      <c r="K228" s="52" t="n"/>
    </row>
    <row r="229">
      <c r="A229" s="52" t="n"/>
      <c r="B229" s="61">
        <f>IFERROR(VLOOKUP(A229,Clientes_PDV!$A$2:$J$250,2,FALSE),"")</f>
        <v/>
      </c>
      <c r="C229" s="61">
        <f>IFERROR(VLOOKUP(A229,Clientes_PDV!$A$2:$J$250,3,FALSE),"")</f>
        <v/>
      </c>
      <c r="D229" s="61">
        <f>IFERROR(VLOOKUP(A229,Clientes_PDV!$A$2:$J$250,4,FALSE),"")</f>
        <v/>
      </c>
      <c r="E229" s="52" t="n"/>
      <c r="F229" s="61">
        <f>IFERROR(VLOOKUP(E229,Maestro_SKU!$A$2:$P$500,2,FALSE),"")</f>
        <v/>
      </c>
      <c r="G229" s="59" t="n"/>
      <c r="H229" s="62">
        <f>IF(OR(G229="",E229=""),"",G229*IFERROR(VLOOKUP(E229,Maestro_SKU!$A$2:$P$500,12,FALSE),1))</f>
        <v/>
      </c>
      <c r="I229" s="53" t="n"/>
      <c r="J229" s="61">
        <f>IF(A229="","",IF(H229&lt;=Inicio!$B$16,"Crítico",IF(H229&lt;=Inicio!$B$17,"Observar","OK")))</f>
        <v/>
      </c>
      <c r="K229" s="52" t="n"/>
    </row>
    <row r="230">
      <c r="A230" s="52" t="n"/>
      <c r="B230" s="61">
        <f>IFERROR(VLOOKUP(A230,Clientes_PDV!$A$2:$J$250,2,FALSE),"")</f>
        <v/>
      </c>
      <c r="C230" s="61">
        <f>IFERROR(VLOOKUP(A230,Clientes_PDV!$A$2:$J$250,3,FALSE),"")</f>
        <v/>
      </c>
      <c r="D230" s="61">
        <f>IFERROR(VLOOKUP(A230,Clientes_PDV!$A$2:$J$250,4,FALSE),"")</f>
        <v/>
      </c>
      <c r="E230" s="52" t="n"/>
      <c r="F230" s="61">
        <f>IFERROR(VLOOKUP(E230,Maestro_SKU!$A$2:$P$500,2,FALSE),"")</f>
        <v/>
      </c>
      <c r="G230" s="59" t="n"/>
      <c r="H230" s="62">
        <f>IF(OR(G230="",E230=""),"",G230*IFERROR(VLOOKUP(E230,Maestro_SKU!$A$2:$P$500,12,FALSE),1))</f>
        <v/>
      </c>
      <c r="I230" s="53" t="n"/>
      <c r="J230" s="61">
        <f>IF(A230="","",IF(H230&lt;=Inicio!$B$16,"Crítico",IF(H230&lt;=Inicio!$B$17,"Observar","OK")))</f>
        <v/>
      </c>
      <c r="K230" s="52" t="n"/>
    </row>
    <row r="231">
      <c r="A231" s="52" t="n"/>
      <c r="B231" s="61">
        <f>IFERROR(VLOOKUP(A231,Clientes_PDV!$A$2:$J$250,2,FALSE),"")</f>
        <v/>
      </c>
      <c r="C231" s="61">
        <f>IFERROR(VLOOKUP(A231,Clientes_PDV!$A$2:$J$250,3,FALSE),"")</f>
        <v/>
      </c>
      <c r="D231" s="61">
        <f>IFERROR(VLOOKUP(A231,Clientes_PDV!$A$2:$J$250,4,FALSE),"")</f>
        <v/>
      </c>
      <c r="E231" s="52" t="n"/>
      <c r="F231" s="61">
        <f>IFERROR(VLOOKUP(E231,Maestro_SKU!$A$2:$P$500,2,FALSE),"")</f>
        <v/>
      </c>
      <c r="G231" s="59" t="n"/>
      <c r="H231" s="62">
        <f>IF(OR(G231="",E231=""),"",G231*IFERROR(VLOOKUP(E231,Maestro_SKU!$A$2:$P$500,12,FALSE),1))</f>
        <v/>
      </c>
      <c r="I231" s="53" t="n"/>
      <c r="J231" s="61">
        <f>IF(A231="","",IF(H231&lt;=Inicio!$B$16,"Crítico",IF(H231&lt;=Inicio!$B$17,"Observar","OK")))</f>
        <v/>
      </c>
      <c r="K231" s="52" t="n"/>
    </row>
    <row r="232">
      <c r="A232" s="52" t="n"/>
      <c r="B232" s="61">
        <f>IFERROR(VLOOKUP(A232,Clientes_PDV!$A$2:$J$250,2,FALSE),"")</f>
        <v/>
      </c>
      <c r="C232" s="61">
        <f>IFERROR(VLOOKUP(A232,Clientes_PDV!$A$2:$J$250,3,FALSE),"")</f>
        <v/>
      </c>
      <c r="D232" s="61">
        <f>IFERROR(VLOOKUP(A232,Clientes_PDV!$A$2:$J$250,4,FALSE),"")</f>
        <v/>
      </c>
      <c r="E232" s="52" t="n"/>
      <c r="F232" s="61">
        <f>IFERROR(VLOOKUP(E232,Maestro_SKU!$A$2:$P$500,2,FALSE),"")</f>
        <v/>
      </c>
      <c r="G232" s="59" t="n"/>
      <c r="H232" s="62">
        <f>IF(OR(G232="",E232=""),"",G232*IFERROR(VLOOKUP(E232,Maestro_SKU!$A$2:$P$500,12,FALSE),1))</f>
        <v/>
      </c>
      <c r="I232" s="53" t="n"/>
      <c r="J232" s="61">
        <f>IF(A232="","",IF(H232&lt;=Inicio!$B$16,"Crítico",IF(H232&lt;=Inicio!$B$17,"Observar","OK")))</f>
        <v/>
      </c>
      <c r="K232" s="52" t="n"/>
    </row>
    <row r="233">
      <c r="A233" s="52" t="n"/>
      <c r="B233" s="61">
        <f>IFERROR(VLOOKUP(A233,Clientes_PDV!$A$2:$J$250,2,FALSE),"")</f>
        <v/>
      </c>
      <c r="C233" s="61">
        <f>IFERROR(VLOOKUP(A233,Clientes_PDV!$A$2:$J$250,3,FALSE),"")</f>
        <v/>
      </c>
      <c r="D233" s="61">
        <f>IFERROR(VLOOKUP(A233,Clientes_PDV!$A$2:$J$250,4,FALSE),"")</f>
        <v/>
      </c>
      <c r="E233" s="52" t="n"/>
      <c r="F233" s="61">
        <f>IFERROR(VLOOKUP(E233,Maestro_SKU!$A$2:$P$500,2,FALSE),"")</f>
        <v/>
      </c>
      <c r="G233" s="59" t="n"/>
      <c r="H233" s="62">
        <f>IF(OR(G233="",E233=""),"",G233*IFERROR(VLOOKUP(E233,Maestro_SKU!$A$2:$P$500,12,FALSE),1))</f>
        <v/>
      </c>
      <c r="I233" s="53" t="n"/>
      <c r="J233" s="61">
        <f>IF(A233="","",IF(H233&lt;=Inicio!$B$16,"Crítico",IF(H233&lt;=Inicio!$B$17,"Observar","OK")))</f>
        <v/>
      </c>
      <c r="K233" s="52" t="n"/>
    </row>
    <row r="234">
      <c r="A234" s="52" t="n"/>
      <c r="B234" s="61">
        <f>IFERROR(VLOOKUP(A234,Clientes_PDV!$A$2:$J$250,2,FALSE),"")</f>
        <v/>
      </c>
      <c r="C234" s="61">
        <f>IFERROR(VLOOKUP(A234,Clientes_PDV!$A$2:$J$250,3,FALSE),"")</f>
        <v/>
      </c>
      <c r="D234" s="61">
        <f>IFERROR(VLOOKUP(A234,Clientes_PDV!$A$2:$J$250,4,FALSE),"")</f>
        <v/>
      </c>
      <c r="E234" s="52" t="n"/>
      <c r="F234" s="61">
        <f>IFERROR(VLOOKUP(E234,Maestro_SKU!$A$2:$P$500,2,FALSE),"")</f>
        <v/>
      </c>
      <c r="G234" s="59" t="n"/>
      <c r="H234" s="62">
        <f>IF(OR(G234="",E234=""),"",G234*IFERROR(VLOOKUP(E234,Maestro_SKU!$A$2:$P$500,12,FALSE),1))</f>
        <v/>
      </c>
      <c r="I234" s="53" t="n"/>
      <c r="J234" s="61">
        <f>IF(A234="","",IF(H234&lt;=Inicio!$B$16,"Crítico",IF(H234&lt;=Inicio!$B$17,"Observar","OK")))</f>
        <v/>
      </c>
      <c r="K234" s="52" t="n"/>
    </row>
    <row r="235">
      <c r="A235" s="52" t="n"/>
      <c r="B235" s="61">
        <f>IFERROR(VLOOKUP(A235,Clientes_PDV!$A$2:$J$250,2,FALSE),"")</f>
        <v/>
      </c>
      <c r="C235" s="61">
        <f>IFERROR(VLOOKUP(A235,Clientes_PDV!$A$2:$J$250,3,FALSE),"")</f>
        <v/>
      </c>
      <c r="D235" s="61">
        <f>IFERROR(VLOOKUP(A235,Clientes_PDV!$A$2:$J$250,4,FALSE),"")</f>
        <v/>
      </c>
      <c r="E235" s="52" t="n"/>
      <c r="F235" s="61">
        <f>IFERROR(VLOOKUP(E235,Maestro_SKU!$A$2:$P$500,2,FALSE),"")</f>
        <v/>
      </c>
      <c r="G235" s="59" t="n"/>
      <c r="H235" s="62">
        <f>IF(OR(G235="",E235=""),"",G235*IFERROR(VLOOKUP(E235,Maestro_SKU!$A$2:$P$500,12,FALSE),1))</f>
        <v/>
      </c>
      <c r="I235" s="53" t="n"/>
      <c r="J235" s="61">
        <f>IF(A235="","",IF(H235&lt;=Inicio!$B$16,"Crítico",IF(H235&lt;=Inicio!$B$17,"Observar","OK")))</f>
        <v/>
      </c>
      <c r="K235" s="52" t="n"/>
    </row>
    <row r="236">
      <c r="A236" s="52" t="n"/>
      <c r="B236" s="61">
        <f>IFERROR(VLOOKUP(A236,Clientes_PDV!$A$2:$J$250,2,FALSE),"")</f>
        <v/>
      </c>
      <c r="C236" s="61">
        <f>IFERROR(VLOOKUP(A236,Clientes_PDV!$A$2:$J$250,3,FALSE),"")</f>
        <v/>
      </c>
      <c r="D236" s="61">
        <f>IFERROR(VLOOKUP(A236,Clientes_PDV!$A$2:$J$250,4,FALSE),"")</f>
        <v/>
      </c>
      <c r="E236" s="52" t="n"/>
      <c r="F236" s="61">
        <f>IFERROR(VLOOKUP(E236,Maestro_SKU!$A$2:$P$500,2,FALSE),"")</f>
        <v/>
      </c>
      <c r="G236" s="59" t="n"/>
      <c r="H236" s="62">
        <f>IF(OR(G236="",E236=""),"",G236*IFERROR(VLOOKUP(E236,Maestro_SKU!$A$2:$P$500,12,FALSE),1))</f>
        <v/>
      </c>
      <c r="I236" s="53" t="n"/>
      <c r="J236" s="61">
        <f>IF(A236="","",IF(H236&lt;=Inicio!$B$16,"Crítico",IF(H236&lt;=Inicio!$B$17,"Observar","OK")))</f>
        <v/>
      </c>
      <c r="K236" s="52" t="n"/>
    </row>
    <row r="237">
      <c r="A237" s="52" t="n"/>
      <c r="B237" s="61">
        <f>IFERROR(VLOOKUP(A237,Clientes_PDV!$A$2:$J$250,2,FALSE),"")</f>
        <v/>
      </c>
      <c r="C237" s="61">
        <f>IFERROR(VLOOKUP(A237,Clientes_PDV!$A$2:$J$250,3,FALSE),"")</f>
        <v/>
      </c>
      <c r="D237" s="61">
        <f>IFERROR(VLOOKUP(A237,Clientes_PDV!$A$2:$J$250,4,FALSE),"")</f>
        <v/>
      </c>
      <c r="E237" s="52" t="n"/>
      <c r="F237" s="61">
        <f>IFERROR(VLOOKUP(E237,Maestro_SKU!$A$2:$P$500,2,FALSE),"")</f>
        <v/>
      </c>
      <c r="G237" s="59" t="n"/>
      <c r="H237" s="62">
        <f>IF(OR(G237="",E237=""),"",G237*IFERROR(VLOOKUP(E237,Maestro_SKU!$A$2:$P$500,12,FALSE),1))</f>
        <v/>
      </c>
      <c r="I237" s="53" t="n"/>
      <c r="J237" s="61">
        <f>IF(A237="","",IF(H237&lt;=Inicio!$B$16,"Crítico",IF(H237&lt;=Inicio!$B$17,"Observar","OK")))</f>
        <v/>
      </c>
      <c r="K237" s="52" t="n"/>
    </row>
    <row r="238">
      <c r="A238" s="52" t="n"/>
      <c r="B238" s="61">
        <f>IFERROR(VLOOKUP(A238,Clientes_PDV!$A$2:$J$250,2,FALSE),"")</f>
        <v/>
      </c>
      <c r="C238" s="61">
        <f>IFERROR(VLOOKUP(A238,Clientes_PDV!$A$2:$J$250,3,FALSE),"")</f>
        <v/>
      </c>
      <c r="D238" s="61">
        <f>IFERROR(VLOOKUP(A238,Clientes_PDV!$A$2:$J$250,4,FALSE),"")</f>
        <v/>
      </c>
      <c r="E238" s="52" t="n"/>
      <c r="F238" s="61">
        <f>IFERROR(VLOOKUP(E238,Maestro_SKU!$A$2:$P$500,2,FALSE),"")</f>
        <v/>
      </c>
      <c r="G238" s="59" t="n"/>
      <c r="H238" s="62">
        <f>IF(OR(G238="",E238=""),"",G238*IFERROR(VLOOKUP(E238,Maestro_SKU!$A$2:$P$500,12,FALSE),1))</f>
        <v/>
      </c>
      <c r="I238" s="53" t="n"/>
      <c r="J238" s="61">
        <f>IF(A238="","",IF(H238&lt;=Inicio!$B$16,"Crítico",IF(H238&lt;=Inicio!$B$17,"Observar","OK")))</f>
        <v/>
      </c>
      <c r="K238" s="52" t="n"/>
    </row>
    <row r="239">
      <c r="A239" s="52" t="n"/>
      <c r="B239" s="61">
        <f>IFERROR(VLOOKUP(A239,Clientes_PDV!$A$2:$J$250,2,FALSE),"")</f>
        <v/>
      </c>
      <c r="C239" s="61">
        <f>IFERROR(VLOOKUP(A239,Clientes_PDV!$A$2:$J$250,3,FALSE),"")</f>
        <v/>
      </c>
      <c r="D239" s="61">
        <f>IFERROR(VLOOKUP(A239,Clientes_PDV!$A$2:$J$250,4,FALSE),"")</f>
        <v/>
      </c>
      <c r="E239" s="52" t="n"/>
      <c r="F239" s="61">
        <f>IFERROR(VLOOKUP(E239,Maestro_SKU!$A$2:$P$500,2,FALSE),"")</f>
        <v/>
      </c>
      <c r="G239" s="59" t="n"/>
      <c r="H239" s="62">
        <f>IF(OR(G239="",E239=""),"",G239*IFERROR(VLOOKUP(E239,Maestro_SKU!$A$2:$P$500,12,FALSE),1))</f>
        <v/>
      </c>
      <c r="I239" s="53" t="n"/>
      <c r="J239" s="61">
        <f>IF(A239="","",IF(H239&lt;=Inicio!$B$16,"Crítico",IF(H239&lt;=Inicio!$B$17,"Observar","OK")))</f>
        <v/>
      </c>
      <c r="K239" s="52" t="n"/>
    </row>
    <row r="240">
      <c r="A240" s="52" t="n"/>
      <c r="B240" s="61">
        <f>IFERROR(VLOOKUP(A240,Clientes_PDV!$A$2:$J$250,2,FALSE),"")</f>
        <v/>
      </c>
      <c r="C240" s="61">
        <f>IFERROR(VLOOKUP(A240,Clientes_PDV!$A$2:$J$250,3,FALSE),"")</f>
        <v/>
      </c>
      <c r="D240" s="61">
        <f>IFERROR(VLOOKUP(A240,Clientes_PDV!$A$2:$J$250,4,FALSE),"")</f>
        <v/>
      </c>
      <c r="E240" s="52" t="n"/>
      <c r="F240" s="61">
        <f>IFERROR(VLOOKUP(E240,Maestro_SKU!$A$2:$P$500,2,FALSE),"")</f>
        <v/>
      </c>
      <c r="G240" s="59" t="n"/>
      <c r="H240" s="62">
        <f>IF(OR(G240="",E240=""),"",G240*IFERROR(VLOOKUP(E240,Maestro_SKU!$A$2:$P$500,12,FALSE),1))</f>
        <v/>
      </c>
      <c r="I240" s="53" t="n"/>
      <c r="J240" s="61">
        <f>IF(A240="","",IF(H240&lt;=Inicio!$B$16,"Crítico",IF(H240&lt;=Inicio!$B$17,"Observar","OK")))</f>
        <v/>
      </c>
      <c r="K240" s="52" t="n"/>
    </row>
    <row r="241">
      <c r="A241" s="52" t="n"/>
      <c r="B241" s="61">
        <f>IFERROR(VLOOKUP(A241,Clientes_PDV!$A$2:$J$250,2,FALSE),"")</f>
        <v/>
      </c>
      <c r="C241" s="61">
        <f>IFERROR(VLOOKUP(A241,Clientes_PDV!$A$2:$J$250,3,FALSE),"")</f>
        <v/>
      </c>
      <c r="D241" s="61">
        <f>IFERROR(VLOOKUP(A241,Clientes_PDV!$A$2:$J$250,4,FALSE),"")</f>
        <v/>
      </c>
      <c r="E241" s="52" t="n"/>
      <c r="F241" s="61">
        <f>IFERROR(VLOOKUP(E241,Maestro_SKU!$A$2:$P$500,2,FALSE),"")</f>
        <v/>
      </c>
      <c r="G241" s="59" t="n"/>
      <c r="H241" s="62">
        <f>IF(OR(G241="",E241=""),"",G241*IFERROR(VLOOKUP(E241,Maestro_SKU!$A$2:$P$500,12,FALSE),1))</f>
        <v/>
      </c>
      <c r="I241" s="53" t="n"/>
      <c r="J241" s="61">
        <f>IF(A241="","",IF(H241&lt;=Inicio!$B$16,"Crítico",IF(H241&lt;=Inicio!$B$17,"Observar","OK")))</f>
        <v/>
      </c>
      <c r="K241" s="52" t="n"/>
    </row>
    <row r="242">
      <c r="A242" s="52" t="n"/>
      <c r="B242" s="61">
        <f>IFERROR(VLOOKUP(A242,Clientes_PDV!$A$2:$J$250,2,FALSE),"")</f>
        <v/>
      </c>
      <c r="C242" s="61">
        <f>IFERROR(VLOOKUP(A242,Clientes_PDV!$A$2:$J$250,3,FALSE),"")</f>
        <v/>
      </c>
      <c r="D242" s="61">
        <f>IFERROR(VLOOKUP(A242,Clientes_PDV!$A$2:$J$250,4,FALSE),"")</f>
        <v/>
      </c>
      <c r="E242" s="52" t="n"/>
      <c r="F242" s="61">
        <f>IFERROR(VLOOKUP(E242,Maestro_SKU!$A$2:$P$500,2,FALSE),"")</f>
        <v/>
      </c>
      <c r="G242" s="59" t="n"/>
      <c r="H242" s="62">
        <f>IF(OR(G242="",E242=""),"",G242*IFERROR(VLOOKUP(E242,Maestro_SKU!$A$2:$P$500,12,FALSE),1))</f>
        <v/>
      </c>
      <c r="I242" s="53" t="n"/>
      <c r="J242" s="61">
        <f>IF(A242="","",IF(H242&lt;=Inicio!$B$16,"Crítico",IF(H242&lt;=Inicio!$B$17,"Observar","OK")))</f>
        <v/>
      </c>
      <c r="K242" s="52" t="n"/>
    </row>
    <row r="243">
      <c r="A243" s="52" t="n"/>
      <c r="B243" s="61">
        <f>IFERROR(VLOOKUP(A243,Clientes_PDV!$A$2:$J$250,2,FALSE),"")</f>
        <v/>
      </c>
      <c r="C243" s="61">
        <f>IFERROR(VLOOKUP(A243,Clientes_PDV!$A$2:$J$250,3,FALSE),"")</f>
        <v/>
      </c>
      <c r="D243" s="61">
        <f>IFERROR(VLOOKUP(A243,Clientes_PDV!$A$2:$J$250,4,FALSE),"")</f>
        <v/>
      </c>
      <c r="E243" s="52" t="n"/>
      <c r="F243" s="61">
        <f>IFERROR(VLOOKUP(E243,Maestro_SKU!$A$2:$P$500,2,FALSE),"")</f>
        <v/>
      </c>
      <c r="G243" s="59" t="n"/>
      <c r="H243" s="62">
        <f>IF(OR(G243="",E243=""),"",G243*IFERROR(VLOOKUP(E243,Maestro_SKU!$A$2:$P$500,12,FALSE),1))</f>
        <v/>
      </c>
      <c r="I243" s="53" t="n"/>
      <c r="J243" s="61">
        <f>IF(A243="","",IF(H243&lt;=Inicio!$B$16,"Crítico",IF(H243&lt;=Inicio!$B$17,"Observar","OK")))</f>
        <v/>
      </c>
      <c r="K243" s="52" t="n"/>
    </row>
    <row r="244">
      <c r="A244" s="52" t="n"/>
      <c r="B244" s="61">
        <f>IFERROR(VLOOKUP(A244,Clientes_PDV!$A$2:$J$250,2,FALSE),"")</f>
        <v/>
      </c>
      <c r="C244" s="61">
        <f>IFERROR(VLOOKUP(A244,Clientes_PDV!$A$2:$J$250,3,FALSE),"")</f>
        <v/>
      </c>
      <c r="D244" s="61">
        <f>IFERROR(VLOOKUP(A244,Clientes_PDV!$A$2:$J$250,4,FALSE),"")</f>
        <v/>
      </c>
      <c r="E244" s="52" t="n"/>
      <c r="F244" s="61">
        <f>IFERROR(VLOOKUP(E244,Maestro_SKU!$A$2:$P$500,2,FALSE),"")</f>
        <v/>
      </c>
      <c r="G244" s="59" t="n"/>
      <c r="H244" s="62">
        <f>IF(OR(G244="",E244=""),"",G244*IFERROR(VLOOKUP(E244,Maestro_SKU!$A$2:$P$500,12,FALSE),1))</f>
        <v/>
      </c>
      <c r="I244" s="53" t="n"/>
      <c r="J244" s="61">
        <f>IF(A244="","",IF(H244&lt;=Inicio!$B$16,"Crítico",IF(H244&lt;=Inicio!$B$17,"Observar","OK")))</f>
        <v/>
      </c>
      <c r="K244" s="52" t="n"/>
    </row>
    <row r="245">
      <c r="A245" s="52" t="n"/>
      <c r="B245" s="61">
        <f>IFERROR(VLOOKUP(A245,Clientes_PDV!$A$2:$J$250,2,FALSE),"")</f>
        <v/>
      </c>
      <c r="C245" s="61">
        <f>IFERROR(VLOOKUP(A245,Clientes_PDV!$A$2:$J$250,3,FALSE),"")</f>
        <v/>
      </c>
      <c r="D245" s="61">
        <f>IFERROR(VLOOKUP(A245,Clientes_PDV!$A$2:$J$250,4,FALSE),"")</f>
        <v/>
      </c>
      <c r="E245" s="52" t="n"/>
      <c r="F245" s="61">
        <f>IFERROR(VLOOKUP(E245,Maestro_SKU!$A$2:$P$500,2,FALSE),"")</f>
        <v/>
      </c>
      <c r="G245" s="59" t="n"/>
      <c r="H245" s="62">
        <f>IF(OR(G245="",E245=""),"",G245*IFERROR(VLOOKUP(E245,Maestro_SKU!$A$2:$P$500,12,FALSE),1))</f>
        <v/>
      </c>
      <c r="I245" s="53" t="n"/>
      <c r="J245" s="61">
        <f>IF(A245="","",IF(H245&lt;=Inicio!$B$16,"Crítico",IF(H245&lt;=Inicio!$B$17,"Observar","OK")))</f>
        <v/>
      </c>
      <c r="K245" s="52" t="n"/>
    </row>
    <row r="246">
      <c r="A246" s="52" t="n"/>
      <c r="B246" s="61">
        <f>IFERROR(VLOOKUP(A246,Clientes_PDV!$A$2:$J$250,2,FALSE),"")</f>
        <v/>
      </c>
      <c r="C246" s="61">
        <f>IFERROR(VLOOKUP(A246,Clientes_PDV!$A$2:$J$250,3,FALSE),"")</f>
        <v/>
      </c>
      <c r="D246" s="61">
        <f>IFERROR(VLOOKUP(A246,Clientes_PDV!$A$2:$J$250,4,FALSE),"")</f>
        <v/>
      </c>
      <c r="E246" s="52" t="n"/>
      <c r="F246" s="61">
        <f>IFERROR(VLOOKUP(E246,Maestro_SKU!$A$2:$P$500,2,FALSE),"")</f>
        <v/>
      </c>
      <c r="G246" s="59" t="n"/>
      <c r="H246" s="62">
        <f>IF(OR(G246="",E246=""),"",G246*IFERROR(VLOOKUP(E246,Maestro_SKU!$A$2:$P$500,12,FALSE),1))</f>
        <v/>
      </c>
      <c r="I246" s="53" t="n"/>
      <c r="J246" s="61">
        <f>IF(A246="","",IF(H246&lt;=Inicio!$B$16,"Crítico",IF(H246&lt;=Inicio!$B$17,"Observar","OK")))</f>
        <v/>
      </c>
      <c r="K246" s="52" t="n"/>
    </row>
    <row r="247">
      <c r="A247" s="52" t="n"/>
      <c r="B247" s="61">
        <f>IFERROR(VLOOKUP(A247,Clientes_PDV!$A$2:$J$250,2,FALSE),"")</f>
        <v/>
      </c>
      <c r="C247" s="61">
        <f>IFERROR(VLOOKUP(A247,Clientes_PDV!$A$2:$J$250,3,FALSE),"")</f>
        <v/>
      </c>
      <c r="D247" s="61">
        <f>IFERROR(VLOOKUP(A247,Clientes_PDV!$A$2:$J$250,4,FALSE),"")</f>
        <v/>
      </c>
      <c r="E247" s="52" t="n"/>
      <c r="F247" s="61">
        <f>IFERROR(VLOOKUP(E247,Maestro_SKU!$A$2:$P$500,2,FALSE),"")</f>
        <v/>
      </c>
      <c r="G247" s="59" t="n"/>
      <c r="H247" s="62">
        <f>IF(OR(G247="",E247=""),"",G247*IFERROR(VLOOKUP(E247,Maestro_SKU!$A$2:$P$500,12,FALSE),1))</f>
        <v/>
      </c>
      <c r="I247" s="53" t="n"/>
      <c r="J247" s="61">
        <f>IF(A247="","",IF(H247&lt;=Inicio!$B$16,"Crítico",IF(H247&lt;=Inicio!$B$17,"Observar","OK")))</f>
        <v/>
      </c>
      <c r="K247" s="52" t="n"/>
    </row>
    <row r="248">
      <c r="A248" s="52" t="n"/>
      <c r="B248" s="61">
        <f>IFERROR(VLOOKUP(A248,Clientes_PDV!$A$2:$J$250,2,FALSE),"")</f>
        <v/>
      </c>
      <c r="C248" s="61">
        <f>IFERROR(VLOOKUP(A248,Clientes_PDV!$A$2:$J$250,3,FALSE),"")</f>
        <v/>
      </c>
      <c r="D248" s="61">
        <f>IFERROR(VLOOKUP(A248,Clientes_PDV!$A$2:$J$250,4,FALSE),"")</f>
        <v/>
      </c>
      <c r="E248" s="52" t="n"/>
      <c r="F248" s="61">
        <f>IFERROR(VLOOKUP(E248,Maestro_SKU!$A$2:$P$500,2,FALSE),"")</f>
        <v/>
      </c>
      <c r="G248" s="59" t="n"/>
      <c r="H248" s="62">
        <f>IF(OR(G248="",E248=""),"",G248*IFERROR(VLOOKUP(E248,Maestro_SKU!$A$2:$P$500,12,FALSE),1))</f>
        <v/>
      </c>
      <c r="I248" s="53" t="n"/>
      <c r="J248" s="61">
        <f>IF(A248="","",IF(H248&lt;=Inicio!$B$16,"Crítico",IF(H248&lt;=Inicio!$B$17,"Observar","OK")))</f>
        <v/>
      </c>
      <c r="K248" s="52" t="n"/>
    </row>
    <row r="249">
      <c r="A249" s="52" t="n"/>
      <c r="B249" s="61">
        <f>IFERROR(VLOOKUP(A249,Clientes_PDV!$A$2:$J$250,2,FALSE),"")</f>
        <v/>
      </c>
      <c r="C249" s="61">
        <f>IFERROR(VLOOKUP(A249,Clientes_PDV!$A$2:$J$250,3,FALSE),"")</f>
        <v/>
      </c>
      <c r="D249" s="61">
        <f>IFERROR(VLOOKUP(A249,Clientes_PDV!$A$2:$J$250,4,FALSE),"")</f>
        <v/>
      </c>
      <c r="E249" s="52" t="n"/>
      <c r="F249" s="61">
        <f>IFERROR(VLOOKUP(E249,Maestro_SKU!$A$2:$P$500,2,FALSE),"")</f>
        <v/>
      </c>
      <c r="G249" s="59" t="n"/>
      <c r="H249" s="62">
        <f>IF(OR(G249="",E249=""),"",G249*IFERROR(VLOOKUP(E249,Maestro_SKU!$A$2:$P$500,12,FALSE),1))</f>
        <v/>
      </c>
      <c r="I249" s="53" t="n"/>
      <c r="J249" s="61">
        <f>IF(A249="","",IF(H249&lt;=Inicio!$B$16,"Crítico",IF(H249&lt;=Inicio!$B$17,"Observar","OK")))</f>
        <v/>
      </c>
      <c r="K249" s="52" t="n"/>
    </row>
    <row r="250">
      <c r="A250" s="52" t="n"/>
      <c r="B250" s="61">
        <f>IFERROR(VLOOKUP(A250,Clientes_PDV!$A$2:$J$250,2,FALSE),"")</f>
        <v/>
      </c>
      <c r="C250" s="61">
        <f>IFERROR(VLOOKUP(A250,Clientes_PDV!$A$2:$J$250,3,FALSE),"")</f>
        <v/>
      </c>
      <c r="D250" s="61">
        <f>IFERROR(VLOOKUP(A250,Clientes_PDV!$A$2:$J$250,4,FALSE),"")</f>
        <v/>
      </c>
      <c r="E250" s="52" t="n"/>
      <c r="F250" s="61">
        <f>IFERROR(VLOOKUP(E250,Maestro_SKU!$A$2:$P$500,2,FALSE),"")</f>
        <v/>
      </c>
      <c r="G250" s="59" t="n"/>
      <c r="H250" s="62">
        <f>IF(OR(G250="",E250=""),"",G250*IFERROR(VLOOKUP(E250,Maestro_SKU!$A$2:$P$500,12,FALSE),1))</f>
        <v/>
      </c>
      <c r="I250" s="53" t="n"/>
      <c r="J250" s="61">
        <f>IF(A250="","",IF(H250&lt;=Inicio!$B$16,"Crítico",IF(H250&lt;=Inicio!$B$17,"Observar","OK")))</f>
        <v/>
      </c>
      <c r="K250" s="52" t="n"/>
    </row>
    <row r="251">
      <c r="A251" s="52" t="n"/>
      <c r="B251" s="61">
        <f>IFERROR(VLOOKUP(A251,Clientes_PDV!$A$2:$J$250,2,FALSE),"")</f>
        <v/>
      </c>
      <c r="C251" s="61">
        <f>IFERROR(VLOOKUP(A251,Clientes_PDV!$A$2:$J$250,3,FALSE),"")</f>
        <v/>
      </c>
      <c r="D251" s="61">
        <f>IFERROR(VLOOKUP(A251,Clientes_PDV!$A$2:$J$250,4,FALSE),"")</f>
        <v/>
      </c>
      <c r="E251" s="52" t="n"/>
      <c r="F251" s="61">
        <f>IFERROR(VLOOKUP(E251,Maestro_SKU!$A$2:$P$500,2,FALSE),"")</f>
        <v/>
      </c>
      <c r="G251" s="59" t="n"/>
      <c r="H251" s="62">
        <f>IF(OR(G251="",E251=""),"",G251*IFERROR(VLOOKUP(E251,Maestro_SKU!$A$2:$P$500,12,FALSE),1))</f>
        <v/>
      </c>
      <c r="I251" s="53" t="n"/>
      <c r="J251" s="61">
        <f>IF(A251="","",IF(H251&lt;=Inicio!$B$16,"Crítico",IF(H251&lt;=Inicio!$B$17,"Observar","OK")))</f>
        <v/>
      </c>
      <c r="K251" s="52" t="n"/>
    </row>
    <row r="252">
      <c r="A252" s="52" t="n"/>
      <c r="B252" s="61">
        <f>IFERROR(VLOOKUP(A252,Clientes_PDV!$A$2:$J$250,2,FALSE),"")</f>
        <v/>
      </c>
      <c r="C252" s="61">
        <f>IFERROR(VLOOKUP(A252,Clientes_PDV!$A$2:$J$250,3,FALSE),"")</f>
        <v/>
      </c>
      <c r="D252" s="61">
        <f>IFERROR(VLOOKUP(A252,Clientes_PDV!$A$2:$J$250,4,FALSE),"")</f>
        <v/>
      </c>
      <c r="E252" s="52" t="n"/>
      <c r="F252" s="61">
        <f>IFERROR(VLOOKUP(E252,Maestro_SKU!$A$2:$P$500,2,FALSE),"")</f>
        <v/>
      </c>
      <c r="G252" s="59" t="n"/>
      <c r="H252" s="62">
        <f>IF(OR(G252="",E252=""),"",G252*IFERROR(VLOOKUP(E252,Maestro_SKU!$A$2:$P$500,12,FALSE),1))</f>
        <v/>
      </c>
      <c r="I252" s="53" t="n"/>
      <c r="J252" s="61">
        <f>IF(A252="","",IF(H252&lt;=Inicio!$B$16,"Crítico",IF(H252&lt;=Inicio!$B$17,"Observar","OK")))</f>
        <v/>
      </c>
      <c r="K252" s="52" t="n"/>
    </row>
    <row r="253">
      <c r="A253" s="52" t="n"/>
      <c r="B253" s="61">
        <f>IFERROR(VLOOKUP(A253,Clientes_PDV!$A$2:$J$250,2,FALSE),"")</f>
        <v/>
      </c>
      <c r="C253" s="61">
        <f>IFERROR(VLOOKUP(A253,Clientes_PDV!$A$2:$J$250,3,FALSE),"")</f>
        <v/>
      </c>
      <c r="D253" s="61">
        <f>IFERROR(VLOOKUP(A253,Clientes_PDV!$A$2:$J$250,4,FALSE),"")</f>
        <v/>
      </c>
      <c r="E253" s="52" t="n"/>
      <c r="F253" s="61">
        <f>IFERROR(VLOOKUP(E253,Maestro_SKU!$A$2:$P$500,2,FALSE),"")</f>
        <v/>
      </c>
      <c r="G253" s="59" t="n"/>
      <c r="H253" s="62">
        <f>IF(OR(G253="",E253=""),"",G253*IFERROR(VLOOKUP(E253,Maestro_SKU!$A$2:$P$500,12,FALSE),1))</f>
        <v/>
      </c>
      <c r="I253" s="53" t="n"/>
      <c r="J253" s="61">
        <f>IF(A253="","",IF(H253&lt;=Inicio!$B$16,"Crítico",IF(H253&lt;=Inicio!$B$17,"Observar","OK")))</f>
        <v/>
      </c>
      <c r="K253" s="52" t="n"/>
    </row>
    <row r="254">
      <c r="A254" s="52" t="n"/>
      <c r="B254" s="61">
        <f>IFERROR(VLOOKUP(A254,Clientes_PDV!$A$2:$J$250,2,FALSE),"")</f>
        <v/>
      </c>
      <c r="C254" s="61">
        <f>IFERROR(VLOOKUP(A254,Clientes_PDV!$A$2:$J$250,3,FALSE),"")</f>
        <v/>
      </c>
      <c r="D254" s="61">
        <f>IFERROR(VLOOKUP(A254,Clientes_PDV!$A$2:$J$250,4,FALSE),"")</f>
        <v/>
      </c>
      <c r="E254" s="52" t="n"/>
      <c r="F254" s="61">
        <f>IFERROR(VLOOKUP(E254,Maestro_SKU!$A$2:$P$500,2,FALSE),"")</f>
        <v/>
      </c>
      <c r="G254" s="59" t="n"/>
      <c r="H254" s="62">
        <f>IF(OR(G254="",E254=""),"",G254*IFERROR(VLOOKUP(E254,Maestro_SKU!$A$2:$P$500,12,FALSE),1))</f>
        <v/>
      </c>
      <c r="I254" s="53" t="n"/>
      <c r="J254" s="61">
        <f>IF(A254="","",IF(H254&lt;=Inicio!$B$16,"Crítico",IF(H254&lt;=Inicio!$B$17,"Observar","OK")))</f>
        <v/>
      </c>
      <c r="K254" s="52" t="n"/>
    </row>
    <row r="255">
      <c r="A255" s="52" t="n"/>
      <c r="B255" s="61">
        <f>IFERROR(VLOOKUP(A255,Clientes_PDV!$A$2:$J$250,2,FALSE),"")</f>
        <v/>
      </c>
      <c r="C255" s="61">
        <f>IFERROR(VLOOKUP(A255,Clientes_PDV!$A$2:$J$250,3,FALSE),"")</f>
        <v/>
      </c>
      <c r="D255" s="61">
        <f>IFERROR(VLOOKUP(A255,Clientes_PDV!$A$2:$J$250,4,FALSE),"")</f>
        <v/>
      </c>
      <c r="E255" s="52" t="n"/>
      <c r="F255" s="61">
        <f>IFERROR(VLOOKUP(E255,Maestro_SKU!$A$2:$P$500,2,FALSE),"")</f>
        <v/>
      </c>
      <c r="G255" s="59" t="n"/>
      <c r="H255" s="62">
        <f>IF(OR(G255="",E255=""),"",G255*IFERROR(VLOOKUP(E255,Maestro_SKU!$A$2:$P$500,12,FALSE),1))</f>
        <v/>
      </c>
      <c r="I255" s="53" t="n"/>
      <c r="J255" s="61">
        <f>IF(A255="","",IF(H255&lt;=Inicio!$B$16,"Crítico",IF(H255&lt;=Inicio!$B$17,"Observar","OK")))</f>
        <v/>
      </c>
      <c r="K255" s="52" t="n"/>
    </row>
    <row r="256">
      <c r="A256" s="52" t="n"/>
      <c r="B256" s="61">
        <f>IFERROR(VLOOKUP(A256,Clientes_PDV!$A$2:$J$250,2,FALSE),"")</f>
        <v/>
      </c>
      <c r="C256" s="61">
        <f>IFERROR(VLOOKUP(A256,Clientes_PDV!$A$2:$J$250,3,FALSE),"")</f>
        <v/>
      </c>
      <c r="D256" s="61">
        <f>IFERROR(VLOOKUP(A256,Clientes_PDV!$A$2:$J$250,4,FALSE),"")</f>
        <v/>
      </c>
      <c r="E256" s="52" t="n"/>
      <c r="F256" s="61">
        <f>IFERROR(VLOOKUP(E256,Maestro_SKU!$A$2:$P$500,2,FALSE),"")</f>
        <v/>
      </c>
      <c r="G256" s="59" t="n"/>
      <c r="H256" s="62">
        <f>IF(OR(G256="",E256=""),"",G256*IFERROR(VLOOKUP(E256,Maestro_SKU!$A$2:$P$500,12,FALSE),1))</f>
        <v/>
      </c>
      <c r="I256" s="53" t="n"/>
      <c r="J256" s="61">
        <f>IF(A256="","",IF(H256&lt;=Inicio!$B$16,"Crítico",IF(H256&lt;=Inicio!$B$17,"Observar","OK")))</f>
        <v/>
      </c>
      <c r="K256" s="52" t="n"/>
    </row>
    <row r="257">
      <c r="A257" s="52" t="n"/>
      <c r="B257" s="61">
        <f>IFERROR(VLOOKUP(A257,Clientes_PDV!$A$2:$J$250,2,FALSE),"")</f>
        <v/>
      </c>
      <c r="C257" s="61">
        <f>IFERROR(VLOOKUP(A257,Clientes_PDV!$A$2:$J$250,3,FALSE),"")</f>
        <v/>
      </c>
      <c r="D257" s="61">
        <f>IFERROR(VLOOKUP(A257,Clientes_PDV!$A$2:$J$250,4,FALSE),"")</f>
        <v/>
      </c>
      <c r="E257" s="52" t="n"/>
      <c r="F257" s="61">
        <f>IFERROR(VLOOKUP(E257,Maestro_SKU!$A$2:$P$500,2,FALSE),"")</f>
        <v/>
      </c>
      <c r="G257" s="59" t="n"/>
      <c r="H257" s="62">
        <f>IF(OR(G257="",E257=""),"",G257*IFERROR(VLOOKUP(E257,Maestro_SKU!$A$2:$P$500,12,FALSE),1))</f>
        <v/>
      </c>
      <c r="I257" s="53" t="n"/>
      <c r="J257" s="61">
        <f>IF(A257="","",IF(H257&lt;=Inicio!$B$16,"Crítico",IF(H257&lt;=Inicio!$B$17,"Observar","OK")))</f>
        <v/>
      </c>
      <c r="K257" s="52" t="n"/>
    </row>
    <row r="258">
      <c r="A258" s="52" t="n"/>
      <c r="B258" s="61">
        <f>IFERROR(VLOOKUP(A258,Clientes_PDV!$A$2:$J$250,2,FALSE),"")</f>
        <v/>
      </c>
      <c r="C258" s="61">
        <f>IFERROR(VLOOKUP(A258,Clientes_PDV!$A$2:$J$250,3,FALSE),"")</f>
        <v/>
      </c>
      <c r="D258" s="61">
        <f>IFERROR(VLOOKUP(A258,Clientes_PDV!$A$2:$J$250,4,FALSE),"")</f>
        <v/>
      </c>
      <c r="E258" s="52" t="n"/>
      <c r="F258" s="61">
        <f>IFERROR(VLOOKUP(E258,Maestro_SKU!$A$2:$P$500,2,FALSE),"")</f>
        <v/>
      </c>
      <c r="G258" s="59" t="n"/>
      <c r="H258" s="62">
        <f>IF(OR(G258="",E258=""),"",G258*IFERROR(VLOOKUP(E258,Maestro_SKU!$A$2:$P$500,12,FALSE),1))</f>
        <v/>
      </c>
      <c r="I258" s="53" t="n"/>
      <c r="J258" s="61">
        <f>IF(A258="","",IF(H258&lt;=Inicio!$B$16,"Crítico",IF(H258&lt;=Inicio!$B$17,"Observar","OK")))</f>
        <v/>
      </c>
      <c r="K258" s="52" t="n"/>
    </row>
    <row r="259">
      <c r="A259" s="52" t="n"/>
      <c r="B259" s="61">
        <f>IFERROR(VLOOKUP(A259,Clientes_PDV!$A$2:$J$250,2,FALSE),"")</f>
        <v/>
      </c>
      <c r="C259" s="61">
        <f>IFERROR(VLOOKUP(A259,Clientes_PDV!$A$2:$J$250,3,FALSE),"")</f>
        <v/>
      </c>
      <c r="D259" s="61">
        <f>IFERROR(VLOOKUP(A259,Clientes_PDV!$A$2:$J$250,4,FALSE),"")</f>
        <v/>
      </c>
      <c r="E259" s="52" t="n"/>
      <c r="F259" s="61">
        <f>IFERROR(VLOOKUP(E259,Maestro_SKU!$A$2:$P$500,2,FALSE),"")</f>
        <v/>
      </c>
      <c r="G259" s="59" t="n"/>
      <c r="H259" s="62">
        <f>IF(OR(G259="",E259=""),"",G259*IFERROR(VLOOKUP(E259,Maestro_SKU!$A$2:$P$500,12,FALSE),1))</f>
        <v/>
      </c>
      <c r="I259" s="53" t="n"/>
      <c r="J259" s="61">
        <f>IF(A259="","",IF(H259&lt;=Inicio!$B$16,"Crítico",IF(H259&lt;=Inicio!$B$17,"Observar","OK")))</f>
        <v/>
      </c>
      <c r="K259" s="52" t="n"/>
    </row>
    <row r="260">
      <c r="A260" s="52" t="n"/>
      <c r="B260" s="61">
        <f>IFERROR(VLOOKUP(A260,Clientes_PDV!$A$2:$J$250,2,FALSE),"")</f>
        <v/>
      </c>
      <c r="C260" s="61">
        <f>IFERROR(VLOOKUP(A260,Clientes_PDV!$A$2:$J$250,3,FALSE),"")</f>
        <v/>
      </c>
      <c r="D260" s="61">
        <f>IFERROR(VLOOKUP(A260,Clientes_PDV!$A$2:$J$250,4,FALSE),"")</f>
        <v/>
      </c>
      <c r="E260" s="52" t="n"/>
      <c r="F260" s="61">
        <f>IFERROR(VLOOKUP(E260,Maestro_SKU!$A$2:$P$500,2,FALSE),"")</f>
        <v/>
      </c>
      <c r="G260" s="59" t="n"/>
      <c r="H260" s="62">
        <f>IF(OR(G260="",E260=""),"",G260*IFERROR(VLOOKUP(E260,Maestro_SKU!$A$2:$P$500,12,FALSE),1))</f>
        <v/>
      </c>
      <c r="I260" s="53" t="n"/>
      <c r="J260" s="61">
        <f>IF(A260="","",IF(H260&lt;=Inicio!$B$16,"Crítico",IF(H260&lt;=Inicio!$B$17,"Observar","OK")))</f>
        <v/>
      </c>
      <c r="K260" s="52" t="n"/>
    </row>
    <row r="261">
      <c r="A261" s="52" t="n"/>
      <c r="B261" s="61">
        <f>IFERROR(VLOOKUP(A261,Clientes_PDV!$A$2:$J$250,2,FALSE),"")</f>
        <v/>
      </c>
      <c r="C261" s="61">
        <f>IFERROR(VLOOKUP(A261,Clientes_PDV!$A$2:$J$250,3,FALSE),"")</f>
        <v/>
      </c>
      <c r="D261" s="61">
        <f>IFERROR(VLOOKUP(A261,Clientes_PDV!$A$2:$J$250,4,FALSE),"")</f>
        <v/>
      </c>
      <c r="E261" s="52" t="n"/>
      <c r="F261" s="61">
        <f>IFERROR(VLOOKUP(E261,Maestro_SKU!$A$2:$P$500,2,FALSE),"")</f>
        <v/>
      </c>
      <c r="G261" s="59" t="n"/>
      <c r="H261" s="62">
        <f>IF(OR(G261="",E261=""),"",G261*IFERROR(VLOOKUP(E261,Maestro_SKU!$A$2:$P$500,12,FALSE),1))</f>
        <v/>
      </c>
      <c r="I261" s="53" t="n"/>
      <c r="J261" s="61">
        <f>IF(A261="","",IF(H261&lt;=Inicio!$B$16,"Crítico",IF(H261&lt;=Inicio!$B$17,"Observar","OK")))</f>
        <v/>
      </c>
      <c r="K261" s="52" t="n"/>
    </row>
    <row r="262">
      <c r="A262" s="52" t="n"/>
      <c r="B262" s="61">
        <f>IFERROR(VLOOKUP(A262,Clientes_PDV!$A$2:$J$250,2,FALSE),"")</f>
        <v/>
      </c>
      <c r="C262" s="61">
        <f>IFERROR(VLOOKUP(A262,Clientes_PDV!$A$2:$J$250,3,FALSE),"")</f>
        <v/>
      </c>
      <c r="D262" s="61">
        <f>IFERROR(VLOOKUP(A262,Clientes_PDV!$A$2:$J$250,4,FALSE),"")</f>
        <v/>
      </c>
      <c r="E262" s="52" t="n"/>
      <c r="F262" s="61">
        <f>IFERROR(VLOOKUP(E262,Maestro_SKU!$A$2:$P$500,2,FALSE),"")</f>
        <v/>
      </c>
      <c r="G262" s="59" t="n"/>
      <c r="H262" s="62">
        <f>IF(OR(G262="",E262=""),"",G262*IFERROR(VLOOKUP(E262,Maestro_SKU!$A$2:$P$500,12,FALSE),1))</f>
        <v/>
      </c>
      <c r="I262" s="53" t="n"/>
      <c r="J262" s="61">
        <f>IF(A262="","",IF(H262&lt;=Inicio!$B$16,"Crítico",IF(H262&lt;=Inicio!$B$17,"Observar","OK")))</f>
        <v/>
      </c>
      <c r="K262" s="52" t="n"/>
    </row>
    <row r="263">
      <c r="A263" s="52" t="n"/>
      <c r="B263" s="61">
        <f>IFERROR(VLOOKUP(A263,Clientes_PDV!$A$2:$J$250,2,FALSE),"")</f>
        <v/>
      </c>
      <c r="C263" s="61">
        <f>IFERROR(VLOOKUP(A263,Clientes_PDV!$A$2:$J$250,3,FALSE),"")</f>
        <v/>
      </c>
      <c r="D263" s="61">
        <f>IFERROR(VLOOKUP(A263,Clientes_PDV!$A$2:$J$250,4,FALSE),"")</f>
        <v/>
      </c>
      <c r="E263" s="52" t="n"/>
      <c r="F263" s="61">
        <f>IFERROR(VLOOKUP(E263,Maestro_SKU!$A$2:$P$500,2,FALSE),"")</f>
        <v/>
      </c>
      <c r="G263" s="59" t="n"/>
      <c r="H263" s="62">
        <f>IF(OR(G263="",E263=""),"",G263*IFERROR(VLOOKUP(E263,Maestro_SKU!$A$2:$P$500,12,FALSE),1))</f>
        <v/>
      </c>
      <c r="I263" s="53" t="n"/>
      <c r="J263" s="61">
        <f>IF(A263="","",IF(H263&lt;=Inicio!$B$16,"Crítico",IF(H263&lt;=Inicio!$B$17,"Observar","OK")))</f>
        <v/>
      </c>
      <c r="K263" s="52" t="n"/>
    </row>
    <row r="264">
      <c r="A264" s="52" t="n"/>
      <c r="B264" s="61">
        <f>IFERROR(VLOOKUP(A264,Clientes_PDV!$A$2:$J$250,2,FALSE),"")</f>
        <v/>
      </c>
      <c r="C264" s="61">
        <f>IFERROR(VLOOKUP(A264,Clientes_PDV!$A$2:$J$250,3,FALSE),"")</f>
        <v/>
      </c>
      <c r="D264" s="61">
        <f>IFERROR(VLOOKUP(A264,Clientes_PDV!$A$2:$J$250,4,FALSE),"")</f>
        <v/>
      </c>
      <c r="E264" s="52" t="n"/>
      <c r="F264" s="61">
        <f>IFERROR(VLOOKUP(E264,Maestro_SKU!$A$2:$P$500,2,FALSE),"")</f>
        <v/>
      </c>
      <c r="G264" s="59" t="n"/>
      <c r="H264" s="62">
        <f>IF(OR(G264="",E264=""),"",G264*IFERROR(VLOOKUP(E264,Maestro_SKU!$A$2:$P$500,12,FALSE),1))</f>
        <v/>
      </c>
      <c r="I264" s="53" t="n"/>
      <c r="J264" s="61">
        <f>IF(A264="","",IF(H264&lt;=Inicio!$B$16,"Crítico",IF(H264&lt;=Inicio!$B$17,"Observar","OK")))</f>
        <v/>
      </c>
      <c r="K264" s="52" t="n"/>
    </row>
    <row r="265">
      <c r="A265" s="52" t="n"/>
      <c r="B265" s="61">
        <f>IFERROR(VLOOKUP(A265,Clientes_PDV!$A$2:$J$250,2,FALSE),"")</f>
        <v/>
      </c>
      <c r="C265" s="61">
        <f>IFERROR(VLOOKUP(A265,Clientes_PDV!$A$2:$J$250,3,FALSE),"")</f>
        <v/>
      </c>
      <c r="D265" s="61">
        <f>IFERROR(VLOOKUP(A265,Clientes_PDV!$A$2:$J$250,4,FALSE),"")</f>
        <v/>
      </c>
      <c r="E265" s="52" t="n"/>
      <c r="F265" s="61">
        <f>IFERROR(VLOOKUP(E265,Maestro_SKU!$A$2:$P$500,2,FALSE),"")</f>
        <v/>
      </c>
      <c r="G265" s="59" t="n"/>
      <c r="H265" s="62">
        <f>IF(OR(G265="",E265=""),"",G265*IFERROR(VLOOKUP(E265,Maestro_SKU!$A$2:$P$500,12,FALSE),1))</f>
        <v/>
      </c>
      <c r="I265" s="53" t="n"/>
      <c r="J265" s="61">
        <f>IF(A265="","",IF(H265&lt;=Inicio!$B$16,"Crítico",IF(H265&lt;=Inicio!$B$17,"Observar","OK")))</f>
        <v/>
      </c>
      <c r="K265" s="52" t="n"/>
    </row>
    <row r="266">
      <c r="A266" s="52" t="n"/>
      <c r="B266" s="61">
        <f>IFERROR(VLOOKUP(A266,Clientes_PDV!$A$2:$J$250,2,FALSE),"")</f>
        <v/>
      </c>
      <c r="C266" s="61">
        <f>IFERROR(VLOOKUP(A266,Clientes_PDV!$A$2:$J$250,3,FALSE),"")</f>
        <v/>
      </c>
      <c r="D266" s="61">
        <f>IFERROR(VLOOKUP(A266,Clientes_PDV!$A$2:$J$250,4,FALSE),"")</f>
        <v/>
      </c>
      <c r="E266" s="52" t="n"/>
      <c r="F266" s="61">
        <f>IFERROR(VLOOKUP(E266,Maestro_SKU!$A$2:$P$500,2,FALSE),"")</f>
        <v/>
      </c>
      <c r="G266" s="59" t="n"/>
      <c r="H266" s="62">
        <f>IF(OR(G266="",E266=""),"",G266*IFERROR(VLOOKUP(E266,Maestro_SKU!$A$2:$P$500,12,FALSE),1))</f>
        <v/>
      </c>
      <c r="I266" s="53" t="n"/>
      <c r="J266" s="61">
        <f>IF(A266="","",IF(H266&lt;=Inicio!$B$16,"Crítico",IF(H266&lt;=Inicio!$B$17,"Observar","OK")))</f>
        <v/>
      </c>
      <c r="K266" s="52" t="n"/>
    </row>
    <row r="267">
      <c r="A267" s="52" t="n"/>
      <c r="B267" s="61">
        <f>IFERROR(VLOOKUP(A267,Clientes_PDV!$A$2:$J$250,2,FALSE),"")</f>
        <v/>
      </c>
      <c r="C267" s="61">
        <f>IFERROR(VLOOKUP(A267,Clientes_PDV!$A$2:$J$250,3,FALSE),"")</f>
        <v/>
      </c>
      <c r="D267" s="61">
        <f>IFERROR(VLOOKUP(A267,Clientes_PDV!$A$2:$J$250,4,FALSE),"")</f>
        <v/>
      </c>
      <c r="E267" s="52" t="n"/>
      <c r="F267" s="61">
        <f>IFERROR(VLOOKUP(E267,Maestro_SKU!$A$2:$P$500,2,FALSE),"")</f>
        <v/>
      </c>
      <c r="G267" s="59" t="n"/>
      <c r="H267" s="62">
        <f>IF(OR(G267="",E267=""),"",G267*IFERROR(VLOOKUP(E267,Maestro_SKU!$A$2:$P$500,12,FALSE),1))</f>
        <v/>
      </c>
      <c r="I267" s="53" t="n"/>
      <c r="J267" s="61">
        <f>IF(A267="","",IF(H267&lt;=Inicio!$B$16,"Crítico",IF(H267&lt;=Inicio!$B$17,"Observar","OK")))</f>
        <v/>
      </c>
      <c r="K267" s="52" t="n"/>
    </row>
    <row r="268">
      <c r="A268" s="52" t="n"/>
      <c r="B268" s="61">
        <f>IFERROR(VLOOKUP(A268,Clientes_PDV!$A$2:$J$250,2,FALSE),"")</f>
        <v/>
      </c>
      <c r="C268" s="61">
        <f>IFERROR(VLOOKUP(A268,Clientes_PDV!$A$2:$J$250,3,FALSE),"")</f>
        <v/>
      </c>
      <c r="D268" s="61">
        <f>IFERROR(VLOOKUP(A268,Clientes_PDV!$A$2:$J$250,4,FALSE),"")</f>
        <v/>
      </c>
      <c r="E268" s="52" t="n"/>
      <c r="F268" s="61">
        <f>IFERROR(VLOOKUP(E268,Maestro_SKU!$A$2:$P$500,2,FALSE),"")</f>
        <v/>
      </c>
      <c r="G268" s="59" t="n"/>
      <c r="H268" s="62">
        <f>IF(OR(G268="",E268=""),"",G268*IFERROR(VLOOKUP(E268,Maestro_SKU!$A$2:$P$500,12,FALSE),1))</f>
        <v/>
      </c>
      <c r="I268" s="53" t="n"/>
      <c r="J268" s="61">
        <f>IF(A268="","",IF(H268&lt;=Inicio!$B$16,"Crítico",IF(H268&lt;=Inicio!$B$17,"Observar","OK")))</f>
        <v/>
      </c>
      <c r="K268" s="52" t="n"/>
    </row>
    <row r="269">
      <c r="A269" s="52" t="n"/>
      <c r="B269" s="61">
        <f>IFERROR(VLOOKUP(A269,Clientes_PDV!$A$2:$J$250,2,FALSE),"")</f>
        <v/>
      </c>
      <c r="C269" s="61">
        <f>IFERROR(VLOOKUP(A269,Clientes_PDV!$A$2:$J$250,3,FALSE),"")</f>
        <v/>
      </c>
      <c r="D269" s="61">
        <f>IFERROR(VLOOKUP(A269,Clientes_PDV!$A$2:$J$250,4,FALSE),"")</f>
        <v/>
      </c>
      <c r="E269" s="52" t="n"/>
      <c r="F269" s="61">
        <f>IFERROR(VLOOKUP(E269,Maestro_SKU!$A$2:$P$500,2,FALSE),"")</f>
        <v/>
      </c>
      <c r="G269" s="59" t="n"/>
      <c r="H269" s="62">
        <f>IF(OR(G269="",E269=""),"",G269*IFERROR(VLOOKUP(E269,Maestro_SKU!$A$2:$P$500,12,FALSE),1))</f>
        <v/>
      </c>
      <c r="I269" s="53" t="n"/>
      <c r="J269" s="61">
        <f>IF(A269="","",IF(H269&lt;=Inicio!$B$16,"Crítico",IF(H269&lt;=Inicio!$B$17,"Observar","OK")))</f>
        <v/>
      </c>
      <c r="K269" s="52" t="n"/>
    </row>
    <row r="270">
      <c r="A270" s="52" t="n"/>
      <c r="B270" s="61">
        <f>IFERROR(VLOOKUP(A270,Clientes_PDV!$A$2:$J$250,2,FALSE),"")</f>
        <v/>
      </c>
      <c r="C270" s="61">
        <f>IFERROR(VLOOKUP(A270,Clientes_PDV!$A$2:$J$250,3,FALSE),"")</f>
        <v/>
      </c>
      <c r="D270" s="61">
        <f>IFERROR(VLOOKUP(A270,Clientes_PDV!$A$2:$J$250,4,FALSE),"")</f>
        <v/>
      </c>
      <c r="E270" s="52" t="n"/>
      <c r="F270" s="61">
        <f>IFERROR(VLOOKUP(E270,Maestro_SKU!$A$2:$P$500,2,FALSE),"")</f>
        <v/>
      </c>
      <c r="G270" s="59" t="n"/>
      <c r="H270" s="62">
        <f>IF(OR(G270="",E270=""),"",G270*IFERROR(VLOOKUP(E270,Maestro_SKU!$A$2:$P$500,12,FALSE),1))</f>
        <v/>
      </c>
      <c r="I270" s="53" t="n"/>
      <c r="J270" s="61">
        <f>IF(A270="","",IF(H270&lt;=Inicio!$B$16,"Crítico",IF(H270&lt;=Inicio!$B$17,"Observar","OK")))</f>
        <v/>
      </c>
      <c r="K270" s="52" t="n"/>
    </row>
    <row r="271">
      <c r="A271" s="52" t="n"/>
      <c r="B271" s="61">
        <f>IFERROR(VLOOKUP(A271,Clientes_PDV!$A$2:$J$250,2,FALSE),"")</f>
        <v/>
      </c>
      <c r="C271" s="61">
        <f>IFERROR(VLOOKUP(A271,Clientes_PDV!$A$2:$J$250,3,FALSE),"")</f>
        <v/>
      </c>
      <c r="D271" s="61">
        <f>IFERROR(VLOOKUP(A271,Clientes_PDV!$A$2:$J$250,4,FALSE),"")</f>
        <v/>
      </c>
      <c r="E271" s="52" t="n"/>
      <c r="F271" s="61">
        <f>IFERROR(VLOOKUP(E271,Maestro_SKU!$A$2:$P$500,2,FALSE),"")</f>
        <v/>
      </c>
      <c r="G271" s="59" t="n"/>
      <c r="H271" s="62">
        <f>IF(OR(G271="",E271=""),"",G271*IFERROR(VLOOKUP(E271,Maestro_SKU!$A$2:$P$500,12,FALSE),1))</f>
        <v/>
      </c>
      <c r="I271" s="53" t="n"/>
      <c r="J271" s="61">
        <f>IF(A271="","",IF(H271&lt;=Inicio!$B$16,"Crítico",IF(H271&lt;=Inicio!$B$17,"Observar","OK")))</f>
        <v/>
      </c>
      <c r="K271" s="52" t="n"/>
    </row>
    <row r="272">
      <c r="A272" s="52" t="n"/>
      <c r="B272" s="61">
        <f>IFERROR(VLOOKUP(A272,Clientes_PDV!$A$2:$J$250,2,FALSE),"")</f>
        <v/>
      </c>
      <c r="C272" s="61">
        <f>IFERROR(VLOOKUP(A272,Clientes_PDV!$A$2:$J$250,3,FALSE),"")</f>
        <v/>
      </c>
      <c r="D272" s="61">
        <f>IFERROR(VLOOKUP(A272,Clientes_PDV!$A$2:$J$250,4,FALSE),"")</f>
        <v/>
      </c>
      <c r="E272" s="52" t="n"/>
      <c r="F272" s="61">
        <f>IFERROR(VLOOKUP(E272,Maestro_SKU!$A$2:$P$500,2,FALSE),"")</f>
        <v/>
      </c>
      <c r="G272" s="59" t="n"/>
      <c r="H272" s="62">
        <f>IF(OR(G272="",E272=""),"",G272*IFERROR(VLOOKUP(E272,Maestro_SKU!$A$2:$P$500,12,FALSE),1))</f>
        <v/>
      </c>
      <c r="I272" s="53" t="n"/>
      <c r="J272" s="61">
        <f>IF(A272="","",IF(H272&lt;=Inicio!$B$16,"Crítico",IF(H272&lt;=Inicio!$B$17,"Observar","OK")))</f>
        <v/>
      </c>
      <c r="K272" s="52" t="n"/>
    </row>
    <row r="273">
      <c r="A273" s="52" t="n"/>
      <c r="B273" s="61">
        <f>IFERROR(VLOOKUP(A273,Clientes_PDV!$A$2:$J$250,2,FALSE),"")</f>
        <v/>
      </c>
      <c r="C273" s="61">
        <f>IFERROR(VLOOKUP(A273,Clientes_PDV!$A$2:$J$250,3,FALSE),"")</f>
        <v/>
      </c>
      <c r="D273" s="61">
        <f>IFERROR(VLOOKUP(A273,Clientes_PDV!$A$2:$J$250,4,FALSE),"")</f>
        <v/>
      </c>
      <c r="E273" s="52" t="n"/>
      <c r="F273" s="61">
        <f>IFERROR(VLOOKUP(E273,Maestro_SKU!$A$2:$P$500,2,FALSE),"")</f>
        <v/>
      </c>
      <c r="G273" s="59" t="n"/>
      <c r="H273" s="62">
        <f>IF(OR(G273="",E273=""),"",G273*IFERROR(VLOOKUP(E273,Maestro_SKU!$A$2:$P$500,12,FALSE),1))</f>
        <v/>
      </c>
      <c r="I273" s="53" t="n"/>
      <c r="J273" s="61">
        <f>IF(A273="","",IF(H273&lt;=Inicio!$B$16,"Crítico",IF(H273&lt;=Inicio!$B$17,"Observar","OK")))</f>
        <v/>
      </c>
      <c r="K273" s="52" t="n"/>
    </row>
    <row r="274">
      <c r="A274" s="52" t="n"/>
      <c r="B274" s="61">
        <f>IFERROR(VLOOKUP(A274,Clientes_PDV!$A$2:$J$250,2,FALSE),"")</f>
        <v/>
      </c>
      <c r="C274" s="61">
        <f>IFERROR(VLOOKUP(A274,Clientes_PDV!$A$2:$J$250,3,FALSE),"")</f>
        <v/>
      </c>
      <c r="D274" s="61">
        <f>IFERROR(VLOOKUP(A274,Clientes_PDV!$A$2:$J$250,4,FALSE),"")</f>
        <v/>
      </c>
      <c r="E274" s="52" t="n"/>
      <c r="F274" s="61">
        <f>IFERROR(VLOOKUP(E274,Maestro_SKU!$A$2:$P$500,2,FALSE),"")</f>
        <v/>
      </c>
      <c r="G274" s="59" t="n"/>
      <c r="H274" s="62">
        <f>IF(OR(G274="",E274=""),"",G274*IFERROR(VLOOKUP(E274,Maestro_SKU!$A$2:$P$500,12,FALSE),1))</f>
        <v/>
      </c>
      <c r="I274" s="53" t="n"/>
      <c r="J274" s="61">
        <f>IF(A274="","",IF(H274&lt;=Inicio!$B$16,"Crítico",IF(H274&lt;=Inicio!$B$17,"Observar","OK")))</f>
        <v/>
      </c>
      <c r="K274" s="52" t="n"/>
    </row>
    <row r="275">
      <c r="A275" s="52" t="n"/>
      <c r="B275" s="61">
        <f>IFERROR(VLOOKUP(A275,Clientes_PDV!$A$2:$J$250,2,FALSE),"")</f>
        <v/>
      </c>
      <c r="C275" s="61">
        <f>IFERROR(VLOOKUP(A275,Clientes_PDV!$A$2:$J$250,3,FALSE),"")</f>
        <v/>
      </c>
      <c r="D275" s="61">
        <f>IFERROR(VLOOKUP(A275,Clientes_PDV!$A$2:$J$250,4,FALSE),"")</f>
        <v/>
      </c>
      <c r="E275" s="52" t="n"/>
      <c r="F275" s="61">
        <f>IFERROR(VLOOKUP(E275,Maestro_SKU!$A$2:$P$500,2,FALSE),"")</f>
        <v/>
      </c>
      <c r="G275" s="59" t="n"/>
      <c r="H275" s="62">
        <f>IF(OR(G275="",E275=""),"",G275*IFERROR(VLOOKUP(E275,Maestro_SKU!$A$2:$P$500,12,FALSE),1))</f>
        <v/>
      </c>
      <c r="I275" s="53" t="n"/>
      <c r="J275" s="61">
        <f>IF(A275="","",IF(H275&lt;=Inicio!$B$16,"Crítico",IF(H275&lt;=Inicio!$B$17,"Observar","OK")))</f>
        <v/>
      </c>
      <c r="K275" s="52" t="n"/>
    </row>
    <row r="276">
      <c r="A276" s="52" t="n"/>
      <c r="B276" s="61">
        <f>IFERROR(VLOOKUP(A276,Clientes_PDV!$A$2:$J$250,2,FALSE),"")</f>
        <v/>
      </c>
      <c r="C276" s="61">
        <f>IFERROR(VLOOKUP(A276,Clientes_PDV!$A$2:$J$250,3,FALSE),"")</f>
        <v/>
      </c>
      <c r="D276" s="61">
        <f>IFERROR(VLOOKUP(A276,Clientes_PDV!$A$2:$J$250,4,FALSE),"")</f>
        <v/>
      </c>
      <c r="E276" s="52" t="n"/>
      <c r="F276" s="61">
        <f>IFERROR(VLOOKUP(E276,Maestro_SKU!$A$2:$P$500,2,FALSE),"")</f>
        <v/>
      </c>
      <c r="G276" s="59" t="n"/>
      <c r="H276" s="62">
        <f>IF(OR(G276="",E276=""),"",G276*IFERROR(VLOOKUP(E276,Maestro_SKU!$A$2:$P$500,12,FALSE),1))</f>
        <v/>
      </c>
      <c r="I276" s="53" t="n"/>
      <c r="J276" s="61">
        <f>IF(A276="","",IF(H276&lt;=Inicio!$B$16,"Crítico",IF(H276&lt;=Inicio!$B$17,"Observar","OK")))</f>
        <v/>
      </c>
      <c r="K276" s="52" t="n"/>
    </row>
    <row r="277">
      <c r="A277" s="52" t="n"/>
      <c r="B277" s="61">
        <f>IFERROR(VLOOKUP(A277,Clientes_PDV!$A$2:$J$250,2,FALSE),"")</f>
        <v/>
      </c>
      <c r="C277" s="61">
        <f>IFERROR(VLOOKUP(A277,Clientes_PDV!$A$2:$J$250,3,FALSE),"")</f>
        <v/>
      </c>
      <c r="D277" s="61">
        <f>IFERROR(VLOOKUP(A277,Clientes_PDV!$A$2:$J$250,4,FALSE),"")</f>
        <v/>
      </c>
      <c r="E277" s="52" t="n"/>
      <c r="F277" s="61">
        <f>IFERROR(VLOOKUP(E277,Maestro_SKU!$A$2:$P$500,2,FALSE),"")</f>
        <v/>
      </c>
      <c r="G277" s="59" t="n"/>
      <c r="H277" s="62">
        <f>IF(OR(G277="",E277=""),"",G277*IFERROR(VLOOKUP(E277,Maestro_SKU!$A$2:$P$500,12,FALSE),1))</f>
        <v/>
      </c>
      <c r="I277" s="53" t="n"/>
      <c r="J277" s="61">
        <f>IF(A277="","",IF(H277&lt;=Inicio!$B$16,"Crítico",IF(H277&lt;=Inicio!$B$17,"Observar","OK")))</f>
        <v/>
      </c>
      <c r="K277" s="52" t="n"/>
    </row>
    <row r="278">
      <c r="A278" s="52" t="n"/>
      <c r="B278" s="61">
        <f>IFERROR(VLOOKUP(A278,Clientes_PDV!$A$2:$J$250,2,FALSE),"")</f>
        <v/>
      </c>
      <c r="C278" s="61">
        <f>IFERROR(VLOOKUP(A278,Clientes_PDV!$A$2:$J$250,3,FALSE),"")</f>
        <v/>
      </c>
      <c r="D278" s="61">
        <f>IFERROR(VLOOKUP(A278,Clientes_PDV!$A$2:$J$250,4,FALSE),"")</f>
        <v/>
      </c>
      <c r="E278" s="52" t="n"/>
      <c r="F278" s="61">
        <f>IFERROR(VLOOKUP(E278,Maestro_SKU!$A$2:$P$500,2,FALSE),"")</f>
        <v/>
      </c>
      <c r="G278" s="59" t="n"/>
      <c r="H278" s="62">
        <f>IF(OR(G278="",E278=""),"",G278*IFERROR(VLOOKUP(E278,Maestro_SKU!$A$2:$P$500,12,FALSE),1))</f>
        <v/>
      </c>
      <c r="I278" s="53" t="n"/>
      <c r="J278" s="61">
        <f>IF(A278="","",IF(H278&lt;=Inicio!$B$16,"Crítico",IF(H278&lt;=Inicio!$B$17,"Observar","OK")))</f>
        <v/>
      </c>
      <c r="K278" s="52" t="n"/>
    </row>
    <row r="279">
      <c r="A279" s="52" t="n"/>
      <c r="B279" s="61">
        <f>IFERROR(VLOOKUP(A279,Clientes_PDV!$A$2:$J$250,2,FALSE),"")</f>
        <v/>
      </c>
      <c r="C279" s="61">
        <f>IFERROR(VLOOKUP(A279,Clientes_PDV!$A$2:$J$250,3,FALSE),"")</f>
        <v/>
      </c>
      <c r="D279" s="61">
        <f>IFERROR(VLOOKUP(A279,Clientes_PDV!$A$2:$J$250,4,FALSE),"")</f>
        <v/>
      </c>
      <c r="E279" s="52" t="n"/>
      <c r="F279" s="61">
        <f>IFERROR(VLOOKUP(E279,Maestro_SKU!$A$2:$P$500,2,FALSE),"")</f>
        <v/>
      </c>
      <c r="G279" s="59" t="n"/>
      <c r="H279" s="62">
        <f>IF(OR(G279="",E279=""),"",G279*IFERROR(VLOOKUP(E279,Maestro_SKU!$A$2:$P$500,12,FALSE),1))</f>
        <v/>
      </c>
      <c r="I279" s="53" t="n"/>
      <c r="J279" s="61">
        <f>IF(A279="","",IF(H279&lt;=Inicio!$B$16,"Crítico",IF(H279&lt;=Inicio!$B$17,"Observar","OK")))</f>
        <v/>
      </c>
      <c r="K279" s="52" t="n"/>
    </row>
    <row r="280">
      <c r="A280" s="52" t="n"/>
      <c r="B280" s="61">
        <f>IFERROR(VLOOKUP(A280,Clientes_PDV!$A$2:$J$250,2,FALSE),"")</f>
        <v/>
      </c>
      <c r="C280" s="61">
        <f>IFERROR(VLOOKUP(A280,Clientes_PDV!$A$2:$J$250,3,FALSE),"")</f>
        <v/>
      </c>
      <c r="D280" s="61">
        <f>IFERROR(VLOOKUP(A280,Clientes_PDV!$A$2:$J$250,4,FALSE),"")</f>
        <v/>
      </c>
      <c r="E280" s="52" t="n"/>
      <c r="F280" s="61">
        <f>IFERROR(VLOOKUP(E280,Maestro_SKU!$A$2:$P$500,2,FALSE),"")</f>
        <v/>
      </c>
      <c r="G280" s="59" t="n"/>
      <c r="H280" s="62">
        <f>IF(OR(G280="",E280=""),"",G280*IFERROR(VLOOKUP(E280,Maestro_SKU!$A$2:$P$500,12,FALSE),1))</f>
        <v/>
      </c>
      <c r="I280" s="53" t="n"/>
      <c r="J280" s="61">
        <f>IF(A280="","",IF(H280&lt;=Inicio!$B$16,"Crítico",IF(H280&lt;=Inicio!$B$17,"Observar","OK")))</f>
        <v/>
      </c>
      <c r="K280" s="52" t="n"/>
    </row>
    <row r="281">
      <c r="A281" s="52" t="n"/>
      <c r="B281" s="61">
        <f>IFERROR(VLOOKUP(A281,Clientes_PDV!$A$2:$J$250,2,FALSE),"")</f>
        <v/>
      </c>
      <c r="C281" s="61">
        <f>IFERROR(VLOOKUP(A281,Clientes_PDV!$A$2:$J$250,3,FALSE),"")</f>
        <v/>
      </c>
      <c r="D281" s="61">
        <f>IFERROR(VLOOKUP(A281,Clientes_PDV!$A$2:$J$250,4,FALSE),"")</f>
        <v/>
      </c>
      <c r="E281" s="52" t="n"/>
      <c r="F281" s="61">
        <f>IFERROR(VLOOKUP(E281,Maestro_SKU!$A$2:$P$500,2,FALSE),"")</f>
        <v/>
      </c>
      <c r="G281" s="59" t="n"/>
      <c r="H281" s="62">
        <f>IF(OR(G281="",E281=""),"",G281*IFERROR(VLOOKUP(E281,Maestro_SKU!$A$2:$P$500,12,FALSE),1))</f>
        <v/>
      </c>
      <c r="I281" s="53" t="n"/>
      <c r="J281" s="61">
        <f>IF(A281="","",IF(H281&lt;=Inicio!$B$16,"Crítico",IF(H281&lt;=Inicio!$B$17,"Observar","OK")))</f>
        <v/>
      </c>
      <c r="K281" s="52" t="n"/>
    </row>
    <row r="282">
      <c r="A282" s="52" t="n"/>
      <c r="B282" s="61">
        <f>IFERROR(VLOOKUP(A282,Clientes_PDV!$A$2:$J$250,2,FALSE),"")</f>
        <v/>
      </c>
      <c r="C282" s="61">
        <f>IFERROR(VLOOKUP(A282,Clientes_PDV!$A$2:$J$250,3,FALSE),"")</f>
        <v/>
      </c>
      <c r="D282" s="61">
        <f>IFERROR(VLOOKUP(A282,Clientes_PDV!$A$2:$J$250,4,FALSE),"")</f>
        <v/>
      </c>
      <c r="E282" s="52" t="n"/>
      <c r="F282" s="61">
        <f>IFERROR(VLOOKUP(E282,Maestro_SKU!$A$2:$P$500,2,FALSE),"")</f>
        <v/>
      </c>
      <c r="G282" s="59" t="n"/>
      <c r="H282" s="62">
        <f>IF(OR(G282="",E282=""),"",G282*IFERROR(VLOOKUP(E282,Maestro_SKU!$A$2:$P$500,12,FALSE),1))</f>
        <v/>
      </c>
      <c r="I282" s="53" t="n"/>
      <c r="J282" s="61">
        <f>IF(A282="","",IF(H282&lt;=Inicio!$B$16,"Crítico",IF(H282&lt;=Inicio!$B$17,"Observar","OK")))</f>
        <v/>
      </c>
      <c r="K282" s="52" t="n"/>
    </row>
    <row r="283">
      <c r="A283" s="52" t="n"/>
      <c r="B283" s="61">
        <f>IFERROR(VLOOKUP(A283,Clientes_PDV!$A$2:$J$250,2,FALSE),"")</f>
        <v/>
      </c>
      <c r="C283" s="61">
        <f>IFERROR(VLOOKUP(A283,Clientes_PDV!$A$2:$J$250,3,FALSE),"")</f>
        <v/>
      </c>
      <c r="D283" s="61">
        <f>IFERROR(VLOOKUP(A283,Clientes_PDV!$A$2:$J$250,4,FALSE),"")</f>
        <v/>
      </c>
      <c r="E283" s="52" t="n"/>
      <c r="F283" s="61">
        <f>IFERROR(VLOOKUP(E283,Maestro_SKU!$A$2:$P$500,2,FALSE),"")</f>
        <v/>
      </c>
      <c r="G283" s="59" t="n"/>
      <c r="H283" s="62">
        <f>IF(OR(G283="",E283=""),"",G283*IFERROR(VLOOKUP(E283,Maestro_SKU!$A$2:$P$500,12,FALSE),1))</f>
        <v/>
      </c>
      <c r="I283" s="53" t="n"/>
      <c r="J283" s="61">
        <f>IF(A283="","",IF(H283&lt;=Inicio!$B$16,"Crítico",IF(H283&lt;=Inicio!$B$17,"Observar","OK")))</f>
        <v/>
      </c>
      <c r="K283" s="52" t="n"/>
    </row>
    <row r="284">
      <c r="A284" s="52" t="n"/>
      <c r="B284" s="61">
        <f>IFERROR(VLOOKUP(A284,Clientes_PDV!$A$2:$J$250,2,FALSE),"")</f>
        <v/>
      </c>
      <c r="C284" s="61">
        <f>IFERROR(VLOOKUP(A284,Clientes_PDV!$A$2:$J$250,3,FALSE),"")</f>
        <v/>
      </c>
      <c r="D284" s="61">
        <f>IFERROR(VLOOKUP(A284,Clientes_PDV!$A$2:$J$250,4,FALSE),"")</f>
        <v/>
      </c>
      <c r="E284" s="52" t="n"/>
      <c r="F284" s="61">
        <f>IFERROR(VLOOKUP(E284,Maestro_SKU!$A$2:$P$500,2,FALSE),"")</f>
        <v/>
      </c>
      <c r="G284" s="59" t="n"/>
      <c r="H284" s="62">
        <f>IF(OR(G284="",E284=""),"",G284*IFERROR(VLOOKUP(E284,Maestro_SKU!$A$2:$P$500,12,FALSE),1))</f>
        <v/>
      </c>
      <c r="I284" s="53" t="n"/>
      <c r="J284" s="61">
        <f>IF(A284="","",IF(H284&lt;=Inicio!$B$16,"Crítico",IF(H284&lt;=Inicio!$B$17,"Observar","OK")))</f>
        <v/>
      </c>
      <c r="K284" s="52" t="n"/>
    </row>
    <row r="285">
      <c r="A285" s="52" t="n"/>
      <c r="B285" s="61">
        <f>IFERROR(VLOOKUP(A285,Clientes_PDV!$A$2:$J$250,2,FALSE),"")</f>
        <v/>
      </c>
      <c r="C285" s="61">
        <f>IFERROR(VLOOKUP(A285,Clientes_PDV!$A$2:$J$250,3,FALSE),"")</f>
        <v/>
      </c>
      <c r="D285" s="61">
        <f>IFERROR(VLOOKUP(A285,Clientes_PDV!$A$2:$J$250,4,FALSE),"")</f>
        <v/>
      </c>
      <c r="E285" s="52" t="n"/>
      <c r="F285" s="61">
        <f>IFERROR(VLOOKUP(E285,Maestro_SKU!$A$2:$P$500,2,FALSE),"")</f>
        <v/>
      </c>
      <c r="G285" s="59" t="n"/>
      <c r="H285" s="62">
        <f>IF(OR(G285="",E285=""),"",G285*IFERROR(VLOOKUP(E285,Maestro_SKU!$A$2:$P$500,12,FALSE),1))</f>
        <v/>
      </c>
      <c r="I285" s="53" t="n"/>
      <c r="J285" s="61">
        <f>IF(A285="","",IF(H285&lt;=Inicio!$B$16,"Crítico",IF(H285&lt;=Inicio!$B$17,"Observar","OK")))</f>
        <v/>
      </c>
      <c r="K285" s="52" t="n"/>
    </row>
    <row r="286">
      <c r="A286" s="52" t="n"/>
      <c r="B286" s="61">
        <f>IFERROR(VLOOKUP(A286,Clientes_PDV!$A$2:$J$250,2,FALSE),"")</f>
        <v/>
      </c>
      <c r="C286" s="61">
        <f>IFERROR(VLOOKUP(A286,Clientes_PDV!$A$2:$J$250,3,FALSE),"")</f>
        <v/>
      </c>
      <c r="D286" s="61">
        <f>IFERROR(VLOOKUP(A286,Clientes_PDV!$A$2:$J$250,4,FALSE),"")</f>
        <v/>
      </c>
      <c r="E286" s="52" t="n"/>
      <c r="F286" s="61">
        <f>IFERROR(VLOOKUP(E286,Maestro_SKU!$A$2:$P$500,2,FALSE),"")</f>
        <v/>
      </c>
      <c r="G286" s="59" t="n"/>
      <c r="H286" s="62">
        <f>IF(OR(G286="",E286=""),"",G286*IFERROR(VLOOKUP(E286,Maestro_SKU!$A$2:$P$500,12,FALSE),1))</f>
        <v/>
      </c>
      <c r="I286" s="53" t="n"/>
      <c r="J286" s="61">
        <f>IF(A286="","",IF(H286&lt;=Inicio!$B$16,"Crítico",IF(H286&lt;=Inicio!$B$17,"Observar","OK")))</f>
        <v/>
      </c>
      <c r="K286" s="52" t="n"/>
    </row>
    <row r="287">
      <c r="A287" s="52" t="n"/>
      <c r="B287" s="61">
        <f>IFERROR(VLOOKUP(A287,Clientes_PDV!$A$2:$J$250,2,FALSE),"")</f>
        <v/>
      </c>
      <c r="C287" s="61">
        <f>IFERROR(VLOOKUP(A287,Clientes_PDV!$A$2:$J$250,3,FALSE),"")</f>
        <v/>
      </c>
      <c r="D287" s="61">
        <f>IFERROR(VLOOKUP(A287,Clientes_PDV!$A$2:$J$250,4,FALSE),"")</f>
        <v/>
      </c>
      <c r="E287" s="52" t="n"/>
      <c r="F287" s="61">
        <f>IFERROR(VLOOKUP(E287,Maestro_SKU!$A$2:$P$500,2,FALSE),"")</f>
        <v/>
      </c>
      <c r="G287" s="59" t="n"/>
      <c r="H287" s="62">
        <f>IF(OR(G287="",E287=""),"",G287*IFERROR(VLOOKUP(E287,Maestro_SKU!$A$2:$P$500,12,FALSE),1))</f>
        <v/>
      </c>
      <c r="I287" s="53" t="n"/>
      <c r="J287" s="61">
        <f>IF(A287="","",IF(H287&lt;=Inicio!$B$16,"Crítico",IF(H287&lt;=Inicio!$B$17,"Observar","OK")))</f>
        <v/>
      </c>
      <c r="K287" s="52" t="n"/>
    </row>
    <row r="288">
      <c r="A288" s="52" t="n"/>
      <c r="B288" s="61">
        <f>IFERROR(VLOOKUP(A288,Clientes_PDV!$A$2:$J$250,2,FALSE),"")</f>
        <v/>
      </c>
      <c r="C288" s="61">
        <f>IFERROR(VLOOKUP(A288,Clientes_PDV!$A$2:$J$250,3,FALSE),"")</f>
        <v/>
      </c>
      <c r="D288" s="61">
        <f>IFERROR(VLOOKUP(A288,Clientes_PDV!$A$2:$J$250,4,FALSE),"")</f>
        <v/>
      </c>
      <c r="E288" s="52" t="n"/>
      <c r="F288" s="61">
        <f>IFERROR(VLOOKUP(E288,Maestro_SKU!$A$2:$P$500,2,FALSE),"")</f>
        <v/>
      </c>
      <c r="G288" s="59" t="n"/>
      <c r="H288" s="62">
        <f>IF(OR(G288="",E288=""),"",G288*IFERROR(VLOOKUP(E288,Maestro_SKU!$A$2:$P$500,12,FALSE),1))</f>
        <v/>
      </c>
      <c r="I288" s="53" t="n"/>
      <c r="J288" s="61">
        <f>IF(A288="","",IF(H288&lt;=Inicio!$B$16,"Crítico",IF(H288&lt;=Inicio!$B$17,"Observar","OK")))</f>
        <v/>
      </c>
      <c r="K288" s="52" t="n"/>
    </row>
    <row r="289">
      <c r="A289" s="52" t="n"/>
      <c r="B289" s="61">
        <f>IFERROR(VLOOKUP(A289,Clientes_PDV!$A$2:$J$250,2,FALSE),"")</f>
        <v/>
      </c>
      <c r="C289" s="61">
        <f>IFERROR(VLOOKUP(A289,Clientes_PDV!$A$2:$J$250,3,FALSE),"")</f>
        <v/>
      </c>
      <c r="D289" s="61">
        <f>IFERROR(VLOOKUP(A289,Clientes_PDV!$A$2:$J$250,4,FALSE),"")</f>
        <v/>
      </c>
      <c r="E289" s="52" t="n"/>
      <c r="F289" s="61">
        <f>IFERROR(VLOOKUP(E289,Maestro_SKU!$A$2:$P$500,2,FALSE),"")</f>
        <v/>
      </c>
      <c r="G289" s="59" t="n"/>
      <c r="H289" s="62">
        <f>IF(OR(G289="",E289=""),"",G289*IFERROR(VLOOKUP(E289,Maestro_SKU!$A$2:$P$500,12,FALSE),1))</f>
        <v/>
      </c>
      <c r="I289" s="53" t="n"/>
      <c r="J289" s="61">
        <f>IF(A289="","",IF(H289&lt;=Inicio!$B$16,"Crítico",IF(H289&lt;=Inicio!$B$17,"Observar","OK")))</f>
        <v/>
      </c>
      <c r="K289" s="52" t="n"/>
    </row>
    <row r="290">
      <c r="A290" s="52" t="n"/>
      <c r="B290" s="61">
        <f>IFERROR(VLOOKUP(A290,Clientes_PDV!$A$2:$J$250,2,FALSE),"")</f>
        <v/>
      </c>
      <c r="C290" s="61">
        <f>IFERROR(VLOOKUP(A290,Clientes_PDV!$A$2:$J$250,3,FALSE),"")</f>
        <v/>
      </c>
      <c r="D290" s="61">
        <f>IFERROR(VLOOKUP(A290,Clientes_PDV!$A$2:$J$250,4,FALSE),"")</f>
        <v/>
      </c>
      <c r="E290" s="52" t="n"/>
      <c r="F290" s="61">
        <f>IFERROR(VLOOKUP(E290,Maestro_SKU!$A$2:$P$500,2,FALSE),"")</f>
        <v/>
      </c>
      <c r="G290" s="59" t="n"/>
      <c r="H290" s="62">
        <f>IF(OR(G290="",E290=""),"",G290*IFERROR(VLOOKUP(E290,Maestro_SKU!$A$2:$P$500,12,FALSE),1))</f>
        <v/>
      </c>
      <c r="I290" s="53" t="n"/>
      <c r="J290" s="61">
        <f>IF(A290="","",IF(H290&lt;=Inicio!$B$16,"Crítico",IF(H290&lt;=Inicio!$B$17,"Observar","OK")))</f>
        <v/>
      </c>
      <c r="K290" s="52" t="n"/>
    </row>
    <row r="291">
      <c r="A291" s="52" t="n"/>
      <c r="B291" s="61">
        <f>IFERROR(VLOOKUP(A291,Clientes_PDV!$A$2:$J$250,2,FALSE),"")</f>
        <v/>
      </c>
      <c r="C291" s="61">
        <f>IFERROR(VLOOKUP(A291,Clientes_PDV!$A$2:$J$250,3,FALSE),"")</f>
        <v/>
      </c>
      <c r="D291" s="61">
        <f>IFERROR(VLOOKUP(A291,Clientes_PDV!$A$2:$J$250,4,FALSE),"")</f>
        <v/>
      </c>
      <c r="E291" s="52" t="n"/>
      <c r="F291" s="61">
        <f>IFERROR(VLOOKUP(E291,Maestro_SKU!$A$2:$P$500,2,FALSE),"")</f>
        <v/>
      </c>
      <c r="G291" s="59" t="n"/>
      <c r="H291" s="62">
        <f>IF(OR(G291="",E291=""),"",G291*IFERROR(VLOOKUP(E291,Maestro_SKU!$A$2:$P$500,12,FALSE),1))</f>
        <v/>
      </c>
      <c r="I291" s="53" t="n"/>
      <c r="J291" s="61">
        <f>IF(A291="","",IF(H291&lt;=Inicio!$B$16,"Crítico",IF(H291&lt;=Inicio!$B$17,"Observar","OK")))</f>
        <v/>
      </c>
      <c r="K291" s="52" t="n"/>
    </row>
    <row r="292">
      <c r="A292" s="52" t="n"/>
      <c r="B292" s="61">
        <f>IFERROR(VLOOKUP(A292,Clientes_PDV!$A$2:$J$250,2,FALSE),"")</f>
        <v/>
      </c>
      <c r="C292" s="61">
        <f>IFERROR(VLOOKUP(A292,Clientes_PDV!$A$2:$J$250,3,FALSE),"")</f>
        <v/>
      </c>
      <c r="D292" s="61">
        <f>IFERROR(VLOOKUP(A292,Clientes_PDV!$A$2:$J$250,4,FALSE),"")</f>
        <v/>
      </c>
      <c r="E292" s="52" t="n"/>
      <c r="F292" s="61">
        <f>IFERROR(VLOOKUP(E292,Maestro_SKU!$A$2:$P$500,2,FALSE),"")</f>
        <v/>
      </c>
      <c r="G292" s="59" t="n"/>
      <c r="H292" s="62">
        <f>IF(OR(G292="",E292=""),"",G292*IFERROR(VLOOKUP(E292,Maestro_SKU!$A$2:$P$500,12,FALSE),1))</f>
        <v/>
      </c>
      <c r="I292" s="53" t="n"/>
      <c r="J292" s="61">
        <f>IF(A292="","",IF(H292&lt;=Inicio!$B$16,"Crítico",IF(H292&lt;=Inicio!$B$17,"Observar","OK")))</f>
        <v/>
      </c>
      <c r="K292" s="52" t="n"/>
    </row>
    <row r="293">
      <c r="A293" s="52" t="n"/>
      <c r="B293" s="61">
        <f>IFERROR(VLOOKUP(A293,Clientes_PDV!$A$2:$J$250,2,FALSE),"")</f>
        <v/>
      </c>
      <c r="C293" s="61">
        <f>IFERROR(VLOOKUP(A293,Clientes_PDV!$A$2:$J$250,3,FALSE),"")</f>
        <v/>
      </c>
      <c r="D293" s="61">
        <f>IFERROR(VLOOKUP(A293,Clientes_PDV!$A$2:$J$250,4,FALSE),"")</f>
        <v/>
      </c>
      <c r="E293" s="52" t="n"/>
      <c r="F293" s="61">
        <f>IFERROR(VLOOKUP(E293,Maestro_SKU!$A$2:$P$500,2,FALSE),"")</f>
        <v/>
      </c>
      <c r="G293" s="59" t="n"/>
      <c r="H293" s="62">
        <f>IF(OR(G293="",E293=""),"",G293*IFERROR(VLOOKUP(E293,Maestro_SKU!$A$2:$P$500,12,FALSE),1))</f>
        <v/>
      </c>
      <c r="I293" s="53" t="n"/>
      <c r="J293" s="61">
        <f>IF(A293="","",IF(H293&lt;=Inicio!$B$16,"Crítico",IF(H293&lt;=Inicio!$B$17,"Observar","OK")))</f>
        <v/>
      </c>
      <c r="K293" s="52" t="n"/>
    </row>
    <row r="294">
      <c r="A294" s="52" t="n"/>
      <c r="B294" s="61">
        <f>IFERROR(VLOOKUP(A294,Clientes_PDV!$A$2:$J$250,2,FALSE),"")</f>
        <v/>
      </c>
      <c r="C294" s="61">
        <f>IFERROR(VLOOKUP(A294,Clientes_PDV!$A$2:$J$250,3,FALSE),"")</f>
        <v/>
      </c>
      <c r="D294" s="61">
        <f>IFERROR(VLOOKUP(A294,Clientes_PDV!$A$2:$J$250,4,FALSE),"")</f>
        <v/>
      </c>
      <c r="E294" s="52" t="n"/>
      <c r="F294" s="61">
        <f>IFERROR(VLOOKUP(E294,Maestro_SKU!$A$2:$P$500,2,FALSE),"")</f>
        <v/>
      </c>
      <c r="G294" s="59" t="n"/>
      <c r="H294" s="62">
        <f>IF(OR(G294="",E294=""),"",G294*IFERROR(VLOOKUP(E294,Maestro_SKU!$A$2:$P$500,12,FALSE),1))</f>
        <v/>
      </c>
      <c r="I294" s="53" t="n"/>
      <c r="J294" s="61">
        <f>IF(A294="","",IF(H294&lt;=Inicio!$B$16,"Crítico",IF(H294&lt;=Inicio!$B$17,"Observar","OK")))</f>
        <v/>
      </c>
      <c r="K294" s="52" t="n"/>
    </row>
    <row r="295">
      <c r="A295" s="52" t="n"/>
      <c r="B295" s="61">
        <f>IFERROR(VLOOKUP(A295,Clientes_PDV!$A$2:$J$250,2,FALSE),"")</f>
        <v/>
      </c>
      <c r="C295" s="61">
        <f>IFERROR(VLOOKUP(A295,Clientes_PDV!$A$2:$J$250,3,FALSE),"")</f>
        <v/>
      </c>
      <c r="D295" s="61">
        <f>IFERROR(VLOOKUP(A295,Clientes_PDV!$A$2:$J$250,4,FALSE),"")</f>
        <v/>
      </c>
      <c r="E295" s="52" t="n"/>
      <c r="F295" s="61">
        <f>IFERROR(VLOOKUP(E295,Maestro_SKU!$A$2:$P$500,2,FALSE),"")</f>
        <v/>
      </c>
      <c r="G295" s="59" t="n"/>
      <c r="H295" s="62">
        <f>IF(OR(G295="",E295=""),"",G295*IFERROR(VLOOKUP(E295,Maestro_SKU!$A$2:$P$500,12,FALSE),1))</f>
        <v/>
      </c>
      <c r="I295" s="53" t="n"/>
      <c r="J295" s="61">
        <f>IF(A295="","",IF(H295&lt;=Inicio!$B$16,"Crítico",IF(H295&lt;=Inicio!$B$17,"Observar","OK")))</f>
        <v/>
      </c>
      <c r="K295" s="52" t="n"/>
    </row>
    <row r="296">
      <c r="A296" s="52" t="n"/>
      <c r="B296" s="61">
        <f>IFERROR(VLOOKUP(A296,Clientes_PDV!$A$2:$J$250,2,FALSE),"")</f>
        <v/>
      </c>
      <c r="C296" s="61">
        <f>IFERROR(VLOOKUP(A296,Clientes_PDV!$A$2:$J$250,3,FALSE),"")</f>
        <v/>
      </c>
      <c r="D296" s="61">
        <f>IFERROR(VLOOKUP(A296,Clientes_PDV!$A$2:$J$250,4,FALSE),"")</f>
        <v/>
      </c>
      <c r="E296" s="52" t="n"/>
      <c r="F296" s="61">
        <f>IFERROR(VLOOKUP(E296,Maestro_SKU!$A$2:$P$500,2,FALSE),"")</f>
        <v/>
      </c>
      <c r="G296" s="59" t="n"/>
      <c r="H296" s="62">
        <f>IF(OR(G296="",E296=""),"",G296*IFERROR(VLOOKUP(E296,Maestro_SKU!$A$2:$P$500,12,FALSE),1))</f>
        <v/>
      </c>
      <c r="I296" s="53" t="n"/>
      <c r="J296" s="61">
        <f>IF(A296="","",IF(H296&lt;=Inicio!$B$16,"Crítico",IF(H296&lt;=Inicio!$B$17,"Observar","OK")))</f>
        <v/>
      </c>
      <c r="K296" s="52" t="n"/>
    </row>
    <row r="297">
      <c r="A297" s="52" t="n"/>
      <c r="B297" s="61">
        <f>IFERROR(VLOOKUP(A297,Clientes_PDV!$A$2:$J$250,2,FALSE),"")</f>
        <v/>
      </c>
      <c r="C297" s="61">
        <f>IFERROR(VLOOKUP(A297,Clientes_PDV!$A$2:$J$250,3,FALSE),"")</f>
        <v/>
      </c>
      <c r="D297" s="61">
        <f>IFERROR(VLOOKUP(A297,Clientes_PDV!$A$2:$J$250,4,FALSE),"")</f>
        <v/>
      </c>
      <c r="E297" s="52" t="n"/>
      <c r="F297" s="61">
        <f>IFERROR(VLOOKUP(E297,Maestro_SKU!$A$2:$P$500,2,FALSE),"")</f>
        <v/>
      </c>
      <c r="G297" s="59" t="n"/>
      <c r="H297" s="62">
        <f>IF(OR(G297="",E297=""),"",G297*IFERROR(VLOOKUP(E297,Maestro_SKU!$A$2:$P$500,12,FALSE),1))</f>
        <v/>
      </c>
      <c r="I297" s="53" t="n"/>
      <c r="J297" s="61">
        <f>IF(A297="","",IF(H297&lt;=Inicio!$B$16,"Crítico",IF(H297&lt;=Inicio!$B$17,"Observar","OK")))</f>
        <v/>
      </c>
      <c r="K297" s="52" t="n"/>
    </row>
    <row r="298">
      <c r="A298" s="52" t="n"/>
      <c r="B298" s="61">
        <f>IFERROR(VLOOKUP(A298,Clientes_PDV!$A$2:$J$250,2,FALSE),"")</f>
        <v/>
      </c>
      <c r="C298" s="61">
        <f>IFERROR(VLOOKUP(A298,Clientes_PDV!$A$2:$J$250,3,FALSE),"")</f>
        <v/>
      </c>
      <c r="D298" s="61">
        <f>IFERROR(VLOOKUP(A298,Clientes_PDV!$A$2:$J$250,4,FALSE),"")</f>
        <v/>
      </c>
      <c r="E298" s="52" t="n"/>
      <c r="F298" s="61">
        <f>IFERROR(VLOOKUP(E298,Maestro_SKU!$A$2:$P$500,2,FALSE),"")</f>
        <v/>
      </c>
      <c r="G298" s="59" t="n"/>
      <c r="H298" s="62">
        <f>IF(OR(G298="",E298=""),"",G298*IFERROR(VLOOKUP(E298,Maestro_SKU!$A$2:$P$500,12,FALSE),1))</f>
        <v/>
      </c>
      <c r="I298" s="53" t="n"/>
      <c r="J298" s="61">
        <f>IF(A298="","",IF(H298&lt;=Inicio!$B$16,"Crítico",IF(H298&lt;=Inicio!$B$17,"Observar","OK")))</f>
        <v/>
      </c>
      <c r="K298" s="52" t="n"/>
    </row>
    <row r="299">
      <c r="A299" s="52" t="n"/>
      <c r="B299" s="61">
        <f>IFERROR(VLOOKUP(A299,Clientes_PDV!$A$2:$J$250,2,FALSE),"")</f>
        <v/>
      </c>
      <c r="C299" s="61">
        <f>IFERROR(VLOOKUP(A299,Clientes_PDV!$A$2:$J$250,3,FALSE),"")</f>
        <v/>
      </c>
      <c r="D299" s="61">
        <f>IFERROR(VLOOKUP(A299,Clientes_PDV!$A$2:$J$250,4,FALSE),"")</f>
        <v/>
      </c>
      <c r="E299" s="52" t="n"/>
      <c r="F299" s="61">
        <f>IFERROR(VLOOKUP(E299,Maestro_SKU!$A$2:$P$500,2,FALSE),"")</f>
        <v/>
      </c>
      <c r="G299" s="59" t="n"/>
      <c r="H299" s="62">
        <f>IF(OR(G299="",E299=""),"",G299*IFERROR(VLOOKUP(E299,Maestro_SKU!$A$2:$P$500,12,FALSE),1))</f>
        <v/>
      </c>
      <c r="I299" s="53" t="n"/>
      <c r="J299" s="61">
        <f>IF(A299="","",IF(H299&lt;=Inicio!$B$16,"Crítico",IF(H299&lt;=Inicio!$B$17,"Observar","OK")))</f>
        <v/>
      </c>
      <c r="K299" s="52" t="n"/>
    </row>
    <row r="300">
      <c r="A300" s="52" t="n"/>
      <c r="B300" s="61">
        <f>IFERROR(VLOOKUP(A300,Clientes_PDV!$A$2:$J$250,2,FALSE),"")</f>
        <v/>
      </c>
      <c r="C300" s="61">
        <f>IFERROR(VLOOKUP(A300,Clientes_PDV!$A$2:$J$250,3,FALSE),"")</f>
        <v/>
      </c>
      <c r="D300" s="61">
        <f>IFERROR(VLOOKUP(A300,Clientes_PDV!$A$2:$J$250,4,FALSE),"")</f>
        <v/>
      </c>
      <c r="E300" s="52" t="n"/>
      <c r="F300" s="61">
        <f>IFERROR(VLOOKUP(E300,Maestro_SKU!$A$2:$P$500,2,FALSE),"")</f>
        <v/>
      </c>
      <c r="G300" s="59" t="n"/>
      <c r="H300" s="62">
        <f>IF(OR(G300="",E300=""),"",G300*IFERROR(VLOOKUP(E300,Maestro_SKU!$A$2:$P$500,12,FALSE),1))</f>
        <v/>
      </c>
      <c r="I300" s="53" t="n"/>
      <c r="J300" s="61">
        <f>IF(A300="","",IF(H300&lt;=Inicio!$B$16,"Crítico",IF(H300&lt;=Inicio!$B$17,"Observar","OK")))</f>
        <v/>
      </c>
      <c r="K300" s="52" t="n"/>
    </row>
    <row r="301">
      <c r="A301" s="52" t="n"/>
      <c r="B301" s="61">
        <f>IFERROR(VLOOKUP(A301,Clientes_PDV!$A$2:$J$250,2,FALSE),"")</f>
        <v/>
      </c>
      <c r="C301" s="61">
        <f>IFERROR(VLOOKUP(A301,Clientes_PDV!$A$2:$J$250,3,FALSE),"")</f>
        <v/>
      </c>
      <c r="D301" s="61">
        <f>IFERROR(VLOOKUP(A301,Clientes_PDV!$A$2:$J$250,4,FALSE),"")</f>
        <v/>
      </c>
      <c r="E301" s="52" t="n"/>
      <c r="F301" s="61">
        <f>IFERROR(VLOOKUP(E301,Maestro_SKU!$A$2:$P$500,2,FALSE),"")</f>
        <v/>
      </c>
      <c r="G301" s="59" t="n"/>
      <c r="H301" s="62">
        <f>IF(OR(G301="",E301=""),"",G301*IFERROR(VLOOKUP(E301,Maestro_SKU!$A$2:$P$500,12,FALSE),1))</f>
        <v/>
      </c>
      <c r="I301" s="53" t="n"/>
      <c r="J301" s="61">
        <f>IF(A301="","",IF(H301&lt;=Inicio!$B$16,"Crítico",IF(H301&lt;=Inicio!$B$17,"Observar","OK")))</f>
        <v/>
      </c>
      <c r="K301" s="52" t="n"/>
    </row>
    <row r="302">
      <c r="A302" s="52" t="n"/>
      <c r="B302" s="61">
        <f>IFERROR(VLOOKUP(A302,Clientes_PDV!$A$2:$J$250,2,FALSE),"")</f>
        <v/>
      </c>
      <c r="C302" s="61">
        <f>IFERROR(VLOOKUP(A302,Clientes_PDV!$A$2:$J$250,3,FALSE),"")</f>
        <v/>
      </c>
      <c r="D302" s="61">
        <f>IFERROR(VLOOKUP(A302,Clientes_PDV!$A$2:$J$250,4,FALSE),"")</f>
        <v/>
      </c>
      <c r="E302" s="52" t="n"/>
      <c r="F302" s="61">
        <f>IFERROR(VLOOKUP(E302,Maestro_SKU!$A$2:$P$500,2,FALSE),"")</f>
        <v/>
      </c>
      <c r="G302" s="59" t="n"/>
      <c r="H302" s="62">
        <f>IF(OR(G302="",E302=""),"",G302*IFERROR(VLOOKUP(E302,Maestro_SKU!$A$2:$P$500,12,FALSE),1))</f>
        <v/>
      </c>
      <c r="I302" s="53" t="n"/>
      <c r="J302" s="61">
        <f>IF(A302="","",IF(H302&lt;=Inicio!$B$16,"Crítico",IF(H302&lt;=Inicio!$B$17,"Observar","OK")))</f>
        <v/>
      </c>
      <c r="K302" s="52" t="n"/>
    </row>
    <row r="303">
      <c r="A303" s="52" t="n"/>
      <c r="B303" s="61">
        <f>IFERROR(VLOOKUP(A303,Clientes_PDV!$A$2:$J$250,2,FALSE),"")</f>
        <v/>
      </c>
      <c r="C303" s="61">
        <f>IFERROR(VLOOKUP(A303,Clientes_PDV!$A$2:$J$250,3,FALSE),"")</f>
        <v/>
      </c>
      <c r="D303" s="61">
        <f>IFERROR(VLOOKUP(A303,Clientes_PDV!$A$2:$J$250,4,FALSE),"")</f>
        <v/>
      </c>
      <c r="E303" s="52" t="n"/>
      <c r="F303" s="61">
        <f>IFERROR(VLOOKUP(E303,Maestro_SKU!$A$2:$P$500,2,FALSE),"")</f>
        <v/>
      </c>
      <c r="G303" s="59" t="n"/>
      <c r="H303" s="62">
        <f>IF(OR(G303="",E303=""),"",G303*IFERROR(VLOOKUP(E303,Maestro_SKU!$A$2:$P$500,12,FALSE),1))</f>
        <v/>
      </c>
      <c r="I303" s="53" t="n"/>
      <c r="J303" s="61">
        <f>IF(A303="","",IF(H303&lt;=Inicio!$B$16,"Crítico",IF(H303&lt;=Inicio!$B$17,"Observar","OK")))</f>
        <v/>
      </c>
      <c r="K303" s="52" t="n"/>
    </row>
    <row r="304">
      <c r="A304" s="52" t="n"/>
      <c r="B304" s="61">
        <f>IFERROR(VLOOKUP(A304,Clientes_PDV!$A$2:$J$250,2,FALSE),"")</f>
        <v/>
      </c>
      <c r="C304" s="61">
        <f>IFERROR(VLOOKUP(A304,Clientes_PDV!$A$2:$J$250,3,FALSE),"")</f>
        <v/>
      </c>
      <c r="D304" s="61">
        <f>IFERROR(VLOOKUP(A304,Clientes_PDV!$A$2:$J$250,4,FALSE),"")</f>
        <v/>
      </c>
      <c r="E304" s="52" t="n"/>
      <c r="F304" s="61">
        <f>IFERROR(VLOOKUP(E304,Maestro_SKU!$A$2:$P$500,2,FALSE),"")</f>
        <v/>
      </c>
      <c r="G304" s="59" t="n"/>
      <c r="H304" s="62">
        <f>IF(OR(G304="",E304=""),"",G304*IFERROR(VLOOKUP(E304,Maestro_SKU!$A$2:$P$500,12,FALSE),1))</f>
        <v/>
      </c>
      <c r="I304" s="53" t="n"/>
      <c r="J304" s="61">
        <f>IF(A304="","",IF(H304&lt;=Inicio!$B$16,"Crítico",IF(H304&lt;=Inicio!$B$17,"Observar","OK")))</f>
        <v/>
      </c>
      <c r="K304" s="52" t="n"/>
    </row>
    <row r="305">
      <c r="A305" s="52" t="n"/>
      <c r="B305" s="61">
        <f>IFERROR(VLOOKUP(A305,Clientes_PDV!$A$2:$J$250,2,FALSE),"")</f>
        <v/>
      </c>
      <c r="C305" s="61">
        <f>IFERROR(VLOOKUP(A305,Clientes_PDV!$A$2:$J$250,3,FALSE),"")</f>
        <v/>
      </c>
      <c r="D305" s="61">
        <f>IFERROR(VLOOKUP(A305,Clientes_PDV!$A$2:$J$250,4,FALSE),"")</f>
        <v/>
      </c>
      <c r="E305" s="52" t="n"/>
      <c r="F305" s="61">
        <f>IFERROR(VLOOKUP(E305,Maestro_SKU!$A$2:$P$500,2,FALSE),"")</f>
        <v/>
      </c>
      <c r="G305" s="59" t="n"/>
      <c r="H305" s="62">
        <f>IF(OR(G305="",E305=""),"",G305*IFERROR(VLOOKUP(E305,Maestro_SKU!$A$2:$P$500,12,FALSE),1))</f>
        <v/>
      </c>
      <c r="I305" s="53" t="n"/>
      <c r="J305" s="61">
        <f>IF(A305="","",IF(H305&lt;=Inicio!$B$16,"Crítico",IF(H305&lt;=Inicio!$B$17,"Observar","OK")))</f>
        <v/>
      </c>
      <c r="K305" s="52" t="n"/>
    </row>
    <row r="306">
      <c r="A306" s="52" t="n"/>
      <c r="B306" s="61">
        <f>IFERROR(VLOOKUP(A306,Clientes_PDV!$A$2:$J$250,2,FALSE),"")</f>
        <v/>
      </c>
      <c r="C306" s="61">
        <f>IFERROR(VLOOKUP(A306,Clientes_PDV!$A$2:$J$250,3,FALSE),"")</f>
        <v/>
      </c>
      <c r="D306" s="61">
        <f>IFERROR(VLOOKUP(A306,Clientes_PDV!$A$2:$J$250,4,FALSE),"")</f>
        <v/>
      </c>
      <c r="E306" s="52" t="n"/>
      <c r="F306" s="61">
        <f>IFERROR(VLOOKUP(E306,Maestro_SKU!$A$2:$P$500,2,FALSE),"")</f>
        <v/>
      </c>
      <c r="G306" s="59" t="n"/>
      <c r="H306" s="62">
        <f>IF(OR(G306="",E306=""),"",G306*IFERROR(VLOOKUP(E306,Maestro_SKU!$A$2:$P$500,12,FALSE),1))</f>
        <v/>
      </c>
      <c r="I306" s="53" t="n"/>
      <c r="J306" s="61">
        <f>IF(A306="","",IF(H306&lt;=Inicio!$B$16,"Crítico",IF(H306&lt;=Inicio!$B$17,"Observar","OK")))</f>
        <v/>
      </c>
      <c r="K306" s="52" t="n"/>
    </row>
    <row r="307">
      <c r="A307" s="52" t="n"/>
      <c r="B307" s="61">
        <f>IFERROR(VLOOKUP(A307,Clientes_PDV!$A$2:$J$250,2,FALSE),"")</f>
        <v/>
      </c>
      <c r="C307" s="61">
        <f>IFERROR(VLOOKUP(A307,Clientes_PDV!$A$2:$J$250,3,FALSE),"")</f>
        <v/>
      </c>
      <c r="D307" s="61">
        <f>IFERROR(VLOOKUP(A307,Clientes_PDV!$A$2:$J$250,4,FALSE),"")</f>
        <v/>
      </c>
      <c r="E307" s="52" t="n"/>
      <c r="F307" s="61">
        <f>IFERROR(VLOOKUP(E307,Maestro_SKU!$A$2:$P$500,2,FALSE),"")</f>
        <v/>
      </c>
      <c r="G307" s="59" t="n"/>
      <c r="H307" s="62">
        <f>IF(OR(G307="",E307=""),"",G307*IFERROR(VLOOKUP(E307,Maestro_SKU!$A$2:$P$500,12,FALSE),1))</f>
        <v/>
      </c>
      <c r="I307" s="53" t="n"/>
      <c r="J307" s="61">
        <f>IF(A307="","",IF(H307&lt;=Inicio!$B$16,"Crítico",IF(H307&lt;=Inicio!$B$17,"Observar","OK")))</f>
        <v/>
      </c>
      <c r="K307" s="52" t="n"/>
    </row>
    <row r="308">
      <c r="A308" s="52" t="n"/>
      <c r="B308" s="61">
        <f>IFERROR(VLOOKUP(A308,Clientes_PDV!$A$2:$J$250,2,FALSE),"")</f>
        <v/>
      </c>
      <c r="C308" s="61">
        <f>IFERROR(VLOOKUP(A308,Clientes_PDV!$A$2:$J$250,3,FALSE),"")</f>
        <v/>
      </c>
      <c r="D308" s="61">
        <f>IFERROR(VLOOKUP(A308,Clientes_PDV!$A$2:$J$250,4,FALSE),"")</f>
        <v/>
      </c>
      <c r="E308" s="52" t="n"/>
      <c r="F308" s="61">
        <f>IFERROR(VLOOKUP(E308,Maestro_SKU!$A$2:$P$500,2,FALSE),"")</f>
        <v/>
      </c>
      <c r="G308" s="59" t="n"/>
      <c r="H308" s="62">
        <f>IF(OR(G308="",E308=""),"",G308*IFERROR(VLOOKUP(E308,Maestro_SKU!$A$2:$P$500,12,FALSE),1))</f>
        <v/>
      </c>
      <c r="I308" s="53" t="n"/>
      <c r="J308" s="61">
        <f>IF(A308="","",IF(H308&lt;=Inicio!$B$16,"Crítico",IF(H308&lt;=Inicio!$B$17,"Observar","OK")))</f>
        <v/>
      </c>
      <c r="K308" s="52" t="n"/>
    </row>
    <row r="309">
      <c r="A309" s="52" t="n"/>
      <c r="B309" s="61">
        <f>IFERROR(VLOOKUP(A309,Clientes_PDV!$A$2:$J$250,2,FALSE),"")</f>
        <v/>
      </c>
      <c r="C309" s="61">
        <f>IFERROR(VLOOKUP(A309,Clientes_PDV!$A$2:$J$250,3,FALSE),"")</f>
        <v/>
      </c>
      <c r="D309" s="61">
        <f>IFERROR(VLOOKUP(A309,Clientes_PDV!$A$2:$J$250,4,FALSE),"")</f>
        <v/>
      </c>
      <c r="E309" s="52" t="n"/>
      <c r="F309" s="61">
        <f>IFERROR(VLOOKUP(E309,Maestro_SKU!$A$2:$P$500,2,FALSE),"")</f>
        <v/>
      </c>
      <c r="G309" s="59" t="n"/>
      <c r="H309" s="62">
        <f>IF(OR(G309="",E309=""),"",G309*IFERROR(VLOOKUP(E309,Maestro_SKU!$A$2:$P$500,12,FALSE),1))</f>
        <v/>
      </c>
      <c r="I309" s="53" t="n"/>
      <c r="J309" s="61">
        <f>IF(A309="","",IF(H309&lt;=Inicio!$B$16,"Crítico",IF(H309&lt;=Inicio!$B$17,"Observar","OK")))</f>
        <v/>
      </c>
      <c r="K309" s="52" t="n"/>
    </row>
    <row r="310">
      <c r="A310" s="52" t="n"/>
      <c r="B310" s="61">
        <f>IFERROR(VLOOKUP(A310,Clientes_PDV!$A$2:$J$250,2,FALSE),"")</f>
        <v/>
      </c>
      <c r="C310" s="61">
        <f>IFERROR(VLOOKUP(A310,Clientes_PDV!$A$2:$J$250,3,FALSE),"")</f>
        <v/>
      </c>
      <c r="D310" s="61">
        <f>IFERROR(VLOOKUP(A310,Clientes_PDV!$A$2:$J$250,4,FALSE),"")</f>
        <v/>
      </c>
      <c r="E310" s="52" t="n"/>
      <c r="F310" s="61">
        <f>IFERROR(VLOOKUP(E310,Maestro_SKU!$A$2:$P$500,2,FALSE),"")</f>
        <v/>
      </c>
      <c r="G310" s="59" t="n"/>
      <c r="H310" s="62">
        <f>IF(OR(G310="",E310=""),"",G310*IFERROR(VLOOKUP(E310,Maestro_SKU!$A$2:$P$500,12,FALSE),1))</f>
        <v/>
      </c>
      <c r="I310" s="53" t="n"/>
      <c r="J310" s="61">
        <f>IF(A310="","",IF(H310&lt;=Inicio!$B$16,"Crítico",IF(H310&lt;=Inicio!$B$17,"Observar","OK")))</f>
        <v/>
      </c>
      <c r="K310" s="52" t="n"/>
    </row>
    <row r="311">
      <c r="A311" s="52" t="n"/>
      <c r="B311" s="61">
        <f>IFERROR(VLOOKUP(A311,Clientes_PDV!$A$2:$J$250,2,FALSE),"")</f>
        <v/>
      </c>
      <c r="C311" s="61">
        <f>IFERROR(VLOOKUP(A311,Clientes_PDV!$A$2:$J$250,3,FALSE),"")</f>
        <v/>
      </c>
      <c r="D311" s="61">
        <f>IFERROR(VLOOKUP(A311,Clientes_PDV!$A$2:$J$250,4,FALSE),"")</f>
        <v/>
      </c>
      <c r="E311" s="52" t="n"/>
      <c r="F311" s="61">
        <f>IFERROR(VLOOKUP(E311,Maestro_SKU!$A$2:$P$500,2,FALSE),"")</f>
        <v/>
      </c>
      <c r="G311" s="59" t="n"/>
      <c r="H311" s="62">
        <f>IF(OR(G311="",E311=""),"",G311*IFERROR(VLOOKUP(E311,Maestro_SKU!$A$2:$P$500,12,FALSE),1))</f>
        <v/>
      </c>
      <c r="I311" s="53" t="n"/>
      <c r="J311" s="61">
        <f>IF(A311="","",IF(H311&lt;=Inicio!$B$16,"Crítico",IF(H311&lt;=Inicio!$B$17,"Observar","OK")))</f>
        <v/>
      </c>
      <c r="K311" s="52" t="n"/>
    </row>
    <row r="312">
      <c r="A312" s="52" t="n"/>
      <c r="B312" s="61">
        <f>IFERROR(VLOOKUP(A312,Clientes_PDV!$A$2:$J$250,2,FALSE),"")</f>
        <v/>
      </c>
      <c r="C312" s="61">
        <f>IFERROR(VLOOKUP(A312,Clientes_PDV!$A$2:$J$250,3,FALSE),"")</f>
        <v/>
      </c>
      <c r="D312" s="61">
        <f>IFERROR(VLOOKUP(A312,Clientes_PDV!$A$2:$J$250,4,FALSE),"")</f>
        <v/>
      </c>
      <c r="E312" s="52" t="n"/>
      <c r="F312" s="61">
        <f>IFERROR(VLOOKUP(E312,Maestro_SKU!$A$2:$P$500,2,FALSE),"")</f>
        <v/>
      </c>
      <c r="G312" s="59" t="n"/>
      <c r="H312" s="62">
        <f>IF(OR(G312="",E312=""),"",G312*IFERROR(VLOOKUP(E312,Maestro_SKU!$A$2:$P$500,12,FALSE),1))</f>
        <v/>
      </c>
      <c r="I312" s="53" t="n"/>
      <c r="J312" s="61">
        <f>IF(A312="","",IF(H312&lt;=Inicio!$B$16,"Crítico",IF(H312&lt;=Inicio!$B$17,"Observar","OK")))</f>
        <v/>
      </c>
      <c r="K312" s="52" t="n"/>
    </row>
    <row r="313">
      <c r="A313" s="52" t="n"/>
      <c r="B313" s="61">
        <f>IFERROR(VLOOKUP(A313,Clientes_PDV!$A$2:$J$250,2,FALSE),"")</f>
        <v/>
      </c>
      <c r="C313" s="61">
        <f>IFERROR(VLOOKUP(A313,Clientes_PDV!$A$2:$J$250,3,FALSE),"")</f>
        <v/>
      </c>
      <c r="D313" s="61">
        <f>IFERROR(VLOOKUP(A313,Clientes_PDV!$A$2:$J$250,4,FALSE),"")</f>
        <v/>
      </c>
      <c r="E313" s="52" t="n"/>
      <c r="F313" s="61">
        <f>IFERROR(VLOOKUP(E313,Maestro_SKU!$A$2:$P$500,2,FALSE),"")</f>
        <v/>
      </c>
      <c r="G313" s="59" t="n"/>
      <c r="H313" s="62">
        <f>IF(OR(G313="",E313=""),"",G313*IFERROR(VLOOKUP(E313,Maestro_SKU!$A$2:$P$500,12,FALSE),1))</f>
        <v/>
      </c>
      <c r="I313" s="53" t="n"/>
      <c r="J313" s="61">
        <f>IF(A313="","",IF(H313&lt;=Inicio!$B$16,"Crítico",IF(H313&lt;=Inicio!$B$17,"Observar","OK")))</f>
        <v/>
      </c>
      <c r="K313" s="52" t="n"/>
    </row>
    <row r="314">
      <c r="A314" s="52" t="n"/>
      <c r="B314" s="61">
        <f>IFERROR(VLOOKUP(A314,Clientes_PDV!$A$2:$J$250,2,FALSE),"")</f>
        <v/>
      </c>
      <c r="C314" s="61">
        <f>IFERROR(VLOOKUP(A314,Clientes_PDV!$A$2:$J$250,3,FALSE),"")</f>
        <v/>
      </c>
      <c r="D314" s="61">
        <f>IFERROR(VLOOKUP(A314,Clientes_PDV!$A$2:$J$250,4,FALSE),"")</f>
        <v/>
      </c>
      <c r="E314" s="52" t="n"/>
      <c r="F314" s="61">
        <f>IFERROR(VLOOKUP(E314,Maestro_SKU!$A$2:$P$500,2,FALSE),"")</f>
        <v/>
      </c>
      <c r="G314" s="59" t="n"/>
      <c r="H314" s="62">
        <f>IF(OR(G314="",E314=""),"",G314*IFERROR(VLOOKUP(E314,Maestro_SKU!$A$2:$P$500,12,FALSE),1))</f>
        <v/>
      </c>
      <c r="I314" s="53" t="n"/>
      <c r="J314" s="61">
        <f>IF(A314="","",IF(H314&lt;=Inicio!$B$16,"Crítico",IF(H314&lt;=Inicio!$B$17,"Observar","OK")))</f>
        <v/>
      </c>
      <c r="K314" s="52" t="n"/>
    </row>
    <row r="315">
      <c r="A315" s="52" t="n"/>
      <c r="B315" s="61">
        <f>IFERROR(VLOOKUP(A315,Clientes_PDV!$A$2:$J$250,2,FALSE),"")</f>
        <v/>
      </c>
      <c r="C315" s="61">
        <f>IFERROR(VLOOKUP(A315,Clientes_PDV!$A$2:$J$250,3,FALSE),"")</f>
        <v/>
      </c>
      <c r="D315" s="61">
        <f>IFERROR(VLOOKUP(A315,Clientes_PDV!$A$2:$J$250,4,FALSE),"")</f>
        <v/>
      </c>
      <c r="E315" s="52" t="n"/>
      <c r="F315" s="61">
        <f>IFERROR(VLOOKUP(E315,Maestro_SKU!$A$2:$P$500,2,FALSE),"")</f>
        <v/>
      </c>
      <c r="G315" s="59" t="n"/>
      <c r="H315" s="62">
        <f>IF(OR(G315="",E315=""),"",G315*IFERROR(VLOOKUP(E315,Maestro_SKU!$A$2:$P$500,12,FALSE),1))</f>
        <v/>
      </c>
      <c r="I315" s="53" t="n"/>
      <c r="J315" s="61">
        <f>IF(A315="","",IF(H315&lt;=Inicio!$B$16,"Crítico",IF(H315&lt;=Inicio!$B$17,"Observar","OK")))</f>
        <v/>
      </c>
      <c r="K315" s="52" t="n"/>
    </row>
    <row r="316">
      <c r="A316" s="52" t="n"/>
      <c r="B316" s="61">
        <f>IFERROR(VLOOKUP(A316,Clientes_PDV!$A$2:$J$250,2,FALSE),"")</f>
        <v/>
      </c>
      <c r="C316" s="61">
        <f>IFERROR(VLOOKUP(A316,Clientes_PDV!$A$2:$J$250,3,FALSE),"")</f>
        <v/>
      </c>
      <c r="D316" s="61">
        <f>IFERROR(VLOOKUP(A316,Clientes_PDV!$A$2:$J$250,4,FALSE),"")</f>
        <v/>
      </c>
      <c r="E316" s="52" t="n"/>
      <c r="F316" s="61">
        <f>IFERROR(VLOOKUP(E316,Maestro_SKU!$A$2:$P$500,2,FALSE),"")</f>
        <v/>
      </c>
      <c r="G316" s="59" t="n"/>
      <c r="H316" s="62">
        <f>IF(OR(G316="",E316=""),"",G316*IFERROR(VLOOKUP(E316,Maestro_SKU!$A$2:$P$500,12,FALSE),1))</f>
        <v/>
      </c>
      <c r="I316" s="53" t="n"/>
      <c r="J316" s="61">
        <f>IF(A316="","",IF(H316&lt;=Inicio!$B$16,"Crítico",IF(H316&lt;=Inicio!$B$17,"Observar","OK")))</f>
        <v/>
      </c>
      <c r="K316" s="52" t="n"/>
    </row>
    <row r="317">
      <c r="A317" s="52" t="n"/>
      <c r="B317" s="61">
        <f>IFERROR(VLOOKUP(A317,Clientes_PDV!$A$2:$J$250,2,FALSE),"")</f>
        <v/>
      </c>
      <c r="C317" s="61">
        <f>IFERROR(VLOOKUP(A317,Clientes_PDV!$A$2:$J$250,3,FALSE),"")</f>
        <v/>
      </c>
      <c r="D317" s="61">
        <f>IFERROR(VLOOKUP(A317,Clientes_PDV!$A$2:$J$250,4,FALSE),"")</f>
        <v/>
      </c>
      <c r="E317" s="52" t="n"/>
      <c r="F317" s="61">
        <f>IFERROR(VLOOKUP(E317,Maestro_SKU!$A$2:$P$500,2,FALSE),"")</f>
        <v/>
      </c>
      <c r="G317" s="59" t="n"/>
      <c r="H317" s="62">
        <f>IF(OR(G317="",E317=""),"",G317*IFERROR(VLOOKUP(E317,Maestro_SKU!$A$2:$P$500,12,FALSE),1))</f>
        <v/>
      </c>
      <c r="I317" s="53" t="n"/>
      <c r="J317" s="61">
        <f>IF(A317="","",IF(H317&lt;=Inicio!$B$16,"Crítico",IF(H317&lt;=Inicio!$B$17,"Observar","OK")))</f>
        <v/>
      </c>
      <c r="K317" s="52" t="n"/>
    </row>
    <row r="318">
      <c r="A318" s="52" t="n"/>
      <c r="B318" s="61">
        <f>IFERROR(VLOOKUP(A318,Clientes_PDV!$A$2:$J$250,2,FALSE),"")</f>
        <v/>
      </c>
      <c r="C318" s="61">
        <f>IFERROR(VLOOKUP(A318,Clientes_PDV!$A$2:$J$250,3,FALSE),"")</f>
        <v/>
      </c>
      <c r="D318" s="61">
        <f>IFERROR(VLOOKUP(A318,Clientes_PDV!$A$2:$J$250,4,FALSE),"")</f>
        <v/>
      </c>
      <c r="E318" s="52" t="n"/>
      <c r="F318" s="61">
        <f>IFERROR(VLOOKUP(E318,Maestro_SKU!$A$2:$P$500,2,FALSE),"")</f>
        <v/>
      </c>
      <c r="G318" s="59" t="n"/>
      <c r="H318" s="62">
        <f>IF(OR(G318="",E318=""),"",G318*IFERROR(VLOOKUP(E318,Maestro_SKU!$A$2:$P$500,12,FALSE),1))</f>
        <v/>
      </c>
      <c r="I318" s="53" t="n"/>
      <c r="J318" s="61">
        <f>IF(A318="","",IF(H318&lt;=Inicio!$B$16,"Crítico",IF(H318&lt;=Inicio!$B$17,"Observar","OK")))</f>
        <v/>
      </c>
      <c r="K318" s="52" t="n"/>
    </row>
    <row r="319">
      <c r="A319" s="52" t="n"/>
      <c r="B319" s="61">
        <f>IFERROR(VLOOKUP(A319,Clientes_PDV!$A$2:$J$250,2,FALSE),"")</f>
        <v/>
      </c>
      <c r="C319" s="61">
        <f>IFERROR(VLOOKUP(A319,Clientes_PDV!$A$2:$J$250,3,FALSE),"")</f>
        <v/>
      </c>
      <c r="D319" s="61">
        <f>IFERROR(VLOOKUP(A319,Clientes_PDV!$A$2:$J$250,4,FALSE),"")</f>
        <v/>
      </c>
      <c r="E319" s="52" t="n"/>
      <c r="F319" s="61">
        <f>IFERROR(VLOOKUP(E319,Maestro_SKU!$A$2:$P$500,2,FALSE),"")</f>
        <v/>
      </c>
      <c r="G319" s="59" t="n"/>
      <c r="H319" s="62">
        <f>IF(OR(G319="",E319=""),"",G319*IFERROR(VLOOKUP(E319,Maestro_SKU!$A$2:$P$500,12,FALSE),1))</f>
        <v/>
      </c>
      <c r="I319" s="53" t="n"/>
      <c r="J319" s="61">
        <f>IF(A319="","",IF(H319&lt;=Inicio!$B$16,"Crítico",IF(H319&lt;=Inicio!$B$17,"Observar","OK")))</f>
        <v/>
      </c>
      <c r="K319" s="52" t="n"/>
    </row>
    <row r="320">
      <c r="A320" s="52" t="n"/>
      <c r="B320" s="61">
        <f>IFERROR(VLOOKUP(A320,Clientes_PDV!$A$2:$J$250,2,FALSE),"")</f>
        <v/>
      </c>
      <c r="C320" s="61">
        <f>IFERROR(VLOOKUP(A320,Clientes_PDV!$A$2:$J$250,3,FALSE),"")</f>
        <v/>
      </c>
      <c r="D320" s="61">
        <f>IFERROR(VLOOKUP(A320,Clientes_PDV!$A$2:$J$250,4,FALSE),"")</f>
        <v/>
      </c>
      <c r="E320" s="52" t="n"/>
      <c r="F320" s="61">
        <f>IFERROR(VLOOKUP(E320,Maestro_SKU!$A$2:$P$500,2,FALSE),"")</f>
        <v/>
      </c>
      <c r="G320" s="59" t="n"/>
      <c r="H320" s="62">
        <f>IF(OR(G320="",E320=""),"",G320*IFERROR(VLOOKUP(E320,Maestro_SKU!$A$2:$P$500,12,FALSE),1))</f>
        <v/>
      </c>
      <c r="I320" s="53" t="n"/>
      <c r="J320" s="61">
        <f>IF(A320="","",IF(H320&lt;=Inicio!$B$16,"Crítico",IF(H320&lt;=Inicio!$B$17,"Observar","OK")))</f>
        <v/>
      </c>
      <c r="K320" s="52" t="n"/>
    </row>
    <row r="321">
      <c r="A321" s="52" t="n"/>
      <c r="B321" s="61">
        <f>IFERROR(VLOOKUP(A321,Clientes_PDV!$A$2:$J$250,2,FALSE),"")</f>
        <v/>
      </c>
      <c r="C321" s="61">
        <f>IFERROR(VLOOKUP(A321,Clientes_PDV!$A$2:$J$250,3,FALSE),"")</f>
        <v/>
      </c>
      <c r="D321" s="61">
        <f>IFERROR(VLOOKUP(A321,Clientes_PDV!$A$2:$J$250,4,FALSE),"")</f>
        <v/>
      </c>
      <c r="E321" s="52" t="n"/>
      <c r="F321" s="61">
        <f>IFERROR(VLOOKUP(E321,Maestro_SKU!$A$2:$P$500,2,FALSE),"")</f>
        <v/>
      </c>
      <c r="G321" s="59" t="n"/>
      <c r="H321" s="62">
        <f>IF(OR(G321="",E321=""),"",G321*IFERROR(VLOOKUP(E321,Maestro_SKU!$A$2:$P$500,12,FALSE),1))</f>
        <v/>
      </c>
      <c r="I321" s="53" t="n"/>
      <c r="J321" s="61">
        <f>IF(A321="","",IF(H321&lt;=Inicio!$B$16,"Crítico",IF(H321&lt;=Inicio!$B$17,"Observar","OK")))</f>
        <v/>
      </c>
      <c r="K321" s="52" t="n"/>
    </row>
    <row r="322">
      <c r="A322" s="52" t="n"/>
      <c r="B322" s="61">
        <f>IFERROR(VLOOKUP(A322,Clientes_PDV!$A$2:$J$250,2,FALSE),"")</f>
        <v/>
      </c>
      <c r="C322" s="61">
        <f>IFERROR(VLOOKUP(A322,Clientes_PDV!$A$2:$J$250,3,FALSE),"")</f>
        <v/>
      </c>
      <c r="D322" s="61">
        <f>IFERROR(VLOOKUP(A322,Clientes_PDV!$A$2:$J$250,4,FALSE),"")</f>
        <v/>
      </c>
      <c r="E322" s="52" t="n"/>
      <c r="F322" s="61">
        <f>IFERROR(VLOOKUP(E322,Maestro_SKU!$A$2:$P$500,2,FALSE),"")</f>
        <v/>
      </c>
      <c r="G322" s="59" t="n"/>
      <c r="H322" s="62">
        <f>IF(OR(G322="",E322=""),"",G322*IFERROR(VLOOKUP(E322,Maestro_SKU!$A$2:$P$500,12,FALSE),1))</f>
        <v/>
      </c>
      <c r="I322" s="53" t="n"/>
      <c r="J322" s="61">
        <f>IF(A322="","",IF(H322&lt;=Inicio!$B$16,"Crítico",IF(H322&lt;=Inicio!$B$17,"Observar","OK")))</f>
        <v/>
      </c>
      <c r="K322" s="52" t="n"/>
    </row>
    <row r="323">
      <c r="A323" s="52" t="n"/>
      <c r="B323" s="61">
        <f>IFERROR(VLOOKUP(A323,Clientes_PDV!$A$2:$J$250,2,FALSE),"")</f>
        <v/>
      </c>
      <c r="C323" s="61">
        <f>IFERROR(VLOOKUP(A323,Clientes_PDV!$A$2:$J$250,3,FALSE),"")</f>
        <v/>
      </c>
      <c r="D323" s="61">
        <f>IFERROR(VLOOKUP(A323,Clientes_PDV!$A$2:$J$250,4,FALSE),"")</f>
        <v/>
      </c>
      <c r="E323" s="52" t="n"/>
      <c r="F323" s="61">
        <f>IFERROR(VLOOKUP(E323,Maestro_SKU!$A$2:$P$500,2,FALSE),"")</f>
        <v/>
      </c>
      <c r="G323" s="59" t="n"/>
      <c r="H323" s="62">
        <f>IF(OR(G323="",E323=""),"",G323*IFERROR(VLOOKUP(E323,Maestro_SKU!$A$2:$P$500,12,FALSE),1))</f>
        <v/>
      </c>
      <c r="I323" s="53" t="n"/>
      <c r="J323" s="61">
        <f>IF(A323="","",IF(H323&lt;=Inicio!$B$16,"Crítico",IF(H323&lt;=Inicio!$B$17,"Observar","OK")))</f>
        <v/>
      </c>
      <c r="K323" s="52" t="n"/>
    </row>
    <row r="324">
      <c r="A324" s="52" t="n"/>
      <c r="B324" s="61">
        <f>IFERROR(VLOOKUP(A324,Clientes_PDV!$A$2:$J$250,2,FALSE),"")</f>
        <v/>
      </c>
      <c r="C324" s="61">
        <f>IFERROR(VLOOKUP(A324,Clientes_PDV!$A$2:$J$250,3,FALSE),"")</f>
        <v/>
      </c>
      <c r="D324" s="61">
        <f>IFERROR(VLOOKUP(A324,Clientes_PDV!$A$2:$J$250,4,FALSE),"")</f>
        <v/>
      </c>
      <c r="E324" s="52" t="n"/>
      <c r="F324" s="61">
        <f>IFERROR(VLOOKUP(E324,Maestro_SKU!$A$2:$P$500,2,FALSE),"")</f>
        <v/>
      </c>
      <c r="G324" s="59" t="n"/>
      <c r="H324" s="62">
        <f>IF(OR(G324="",E324=""),"",G324*IFERROR(VLOOKUP(E324,Maestro_SKU!$A$2:$P$500,12,FALSE),1))</f>
        <v/>
      </c>
      <c r="I324" s="53" t="n"/>
      <c r="J324" s="61">
        <f>IF(A324="","",IF(H324&lt;=Inicio!$B$16,"Crítico",IF(H324&lt;=Inicio!$B$17,"Observar","OK")))</f>
        <v/>
      </c>
      <c r="K324" s="52" t="n"/>
    </row>
    <row r="325">
      <c r="A325" s="52" t="n"/>
      <c r="B325" s="61">
        <f>IFERROR(VLOOKUP(A325,Clientes_PDV!$A$2:$J$250,2,FALSE),"")</f>
        <v/>
      </c>
      <c r="C325" s="61">
        <f>IFERROR(VLOOKUP(A325,Clientes_PDV!$A$2:$J$250,3,FALSE),"")</f>
        <v/>
      </c>
      <c r="D325" s="61">
        <f>IFERROR(VLOOKUP(A325,Clientes_PDV!$A$2:$J$250,4,FALSE),"")</f>
        <v/>
      </c>
      <c r="E325" s="52" t="n"/>
      <c r="F325" s="61">
        <f>IFERROR(VLOOKUP(E325,Maestro_SKU!$A$2:$P$500,2,FALSE),"")</f>
        <v/>
      </c>
      <c r="G325" s="59" t="n"/>
      <c r="H325" s="62">
        <f>IF(OR(G325="",E325=""),"",G325*IFERROR(VLOOKUP(E325,Maestro_SKU!$A$2:$P$500,12,FALSE),1))</f>
        <v/>
      </c>
      <c r="I325" s="53" t="n"/>
      <c r="J325" s="61">
        <f>IF(A325="","",IF(H325&lt;=Inicio!$B$16,"Crítico",IF(H325&lt;=Inicio!$B$17,"Observar","OK")))</f>
        <v/>
      </c>
      <c r="K325" s="52" t="n"/>
    </row>
    <row r="326">
      <c r="A326" s="52" t="n"/>
      <c r="B326" s="61">
        <f>IFERROR(VLOOKUP(A326,Clientes_PDV!$A$2:$J$250,2,FALSE),"")</f>
        <v/>
      </c>
      <c r="C326" s="61">
        <f>IFERROR(VLOOKUP(A326,Clientes_PDV!$A$2:$J$250,3,FALSE),"")</f>
        <v/>
      </c>
      <c r="D326" s="61">
        <f>IFERROR(VLOOKUP(A326,Clientes_PDV!$A$2:$J$250,4,FALSE),"")</f>
        <v/>
      </c>
      <c r="E326" s="52" t="n"/>
      <c r="F326" s="61">
        <f>IFERROR(VLOOKUP(E326,Maestro_SKU!$A$2:$P$500,2,FALSE),"")</f>
        <v/>
      </c>
      <c r="G326" s="59" t="n"/>
      <c r="H326" s="62">
        <f>IF(OR(G326="",E326=""),"",G326*IFERROR(VLOOKUP(E326,Maestro_SKU!$A$2:$P$500,12,FALSE),1))</f>
        <v/>
      </c>
      <c r="I326" s="53" t="n"/>
      <c r="J326" s="61">
        <f>IF(A326="","",IF(H326&lt;=Inicio!$B$16,"Crítico",IF(H326&lt;=Inicio!$B$17,"Observar","OK")))</f>
        <v/>
      </c>
      <c r="K326" s="52" t="n"/>
    </row>
    <row r="327">
      <c r="A327" s="52" t="n"/>
      <c r="B327" s="61">
        <f>IFERROR(VLOOKUP(A327,Clientes_PDV!$A$2:$J$250,2,FALSE),"")</f>
        <v/>
      </c>
      <c r="C327" s="61">
        <f>IFERROR(VLOOKUP(A327,Clientes_PDV!$A$2:$J$250,3,FALSE),"")</f>
        <v/>
      </c>
      <c r="D327" s="61">
        <f>IFERROR(VLOOKUP(A327,Clientes_PDV!$A$2:$J$250,4,FALSE),"")</f>
        <v/>
      </c>
      <c r="E327" s="52" t="n"/>
      <c r="F327" s="61">
        <f>IFERROR(VLOOKUP(E327,Maestro_SKU!$A$2:$P$500,2,FALSE),"")</f>
        <v/>
      </c>
      <c r="G327" s="59" t="n"/>
      <c r="H327" s="62">
        <f>IF(OR(G327="",E327=""),"",G327*IFERROR(VLOOKUP(E327,Maestro_SKU!$A$2:$P$500,12,FALSE),1))</f>
        <v/>
      </c>
      <c r="I327" s="53" t="n"/>
      <c r="J327" s="61">
        <f>IF(A327="","",IF(H327&lt;=Inicio!$B$16,"Crítico",IF(H327&lt;=Inicio!$B$17,"Observar","OK")))</f>
        <v/>
      </c>
      <c r="K327" s="52" t="n"/>
    </row>
    <row r="328">
      <c r="A328" s="52" t="n"/>
      <c r="B328" s="61">
        <f>IFERROR(VLOOKUP(A328,Clientes_PDV!$A$2:$J$250,2,FALSE),"")</f>
        <v/>
      </c>
      <c r="C328" s="61">
        <f>IFERROR(VLOOKUP(A328,Clientes_PDV!$A$2:$J$250,3,FALSE),"")</f>
        <v/>
      </c>
      <c r="D328" s="61">
        <f>IFERROR(VLOOKUP(A328,Clientes_PDV!$A$2:$J$250,4,FALSE),"")</f>
        <v/>
      </c>
      <c r="E328" s="52" t="n"/>
      <c r="F328" s="61">
        <f>IFERROR(VLOOKUP(E328,Maestro_SKU!$A$2:$P$500,2,FALSE),"")</f>
        <v/>
      </c>
      <c r="G328" s="59" t="n"/>
      <c r="H328" s="62">
        <f>IF(OR(G328="",E328=""),"",G328*IFERROR(VLOOKUP(E328,Maestro_SKU!$A$2:$P$500,12,FALSE),1))</f>
        <v/>
      </c>
      <c r="I328" s="53" t="n"/>
      <c r="J328" s="61">
        <f>IF(A328="","",IF(H328&lt;=Inicio!$B$16,"Crítico",IF(H328&lt;=Inicio!$B$17,"Observar","OK")))</f>
        <v/>
      </c>
      <c r="K328" s="52" t="n"/>
    </row>
    <row r="329">
      <c r="A329" s="52" t="n"/>
      <c r="B329" s="61">
        <f>IFERROR(VLOOKUP(A329,Clientes_PDV!$A$2:$J$250,2,FALSE),"")</f>
        <v/>
      </c>
      <c r="C329" s="61">
        <f>IFERROR(VLOOKUP(A329,Clientes_PDV!$A$2:$J$250,3,FALSE),"")</f>
        <v/>
      </c>
      <c r="D329" s="61">
        <f>IFERROR(VLOOKUP(A329,Clientes_PDV!$A$2:$J$250,4,FALSE),"")</f>
        <v/>
      </c>
      <c r="E329" s="52" t="n"/>
      <c r="F329" s="61">
        <f>IFERROR(VLOOKUP(E329,Maestro_SKU!$A$2:$P$500,2,FALSE),"")</f>
        <v/>
      </c>
      <c r="G329" s="59" t="n"/>
      <c r="H329" s="62">
        <f>IF(OR(G329="",E329=""),"",G329*IFERROR(VLOOKUP(E329,Maestro_SKU!$A$2:$P$500,12,FALSE),1))</f>
        <v/>
      </c>
      <c r="I329" s="53" t="n"/>
      <c r="J329" s="61">
        <f>IF(A329="","",IF(H329&lt;=Inicio!$B$16,"Crítico",IF(H329&lt;=Inicio!$B$17,"Observar","OK")))</f>
        <v/>
      </c>
      <c r="K329" s="52" t="n"/>
    </row>
    <row r="330">
      <c r="A330" s="52" t="n"/>
      <c r="B330" s="61">
        <f>IFERROR(VLOOKUP(A330,Clientes_PDV!$A$2:$J$250,2,FALSE),"")</f>
        <v/>
      </c>
      <c r="C330" s="61">
        <f>IFERROR(VLOOKUP(A330,Clientes_PDV!$A$2:$J$250,3,FALSE),"")</f>
        <v/>
      </c>
      <c r="D330" s="61">
        <f>IFERROR(VLOOKUP(A330,Clientes_PDV!$A$2:$J$250,4,FALSE),"")</f>
        <v/>
      </c>
      <c r="E330" s="52" t="n"/>
      <c r="F330" s="61">
        <f>IFERROR(VLOOKUP(E330,Maestro_SKU!$A$2:$P$500,2,FALSE),"")</f>
        <v/>
      </c>
      <c r="G330" s="59" t="n"/>
      <c r="H330" s="62">
        <f>IF(OR(G330="",E330=""),"",G330*IFERROR(VLOOKUP(E330,Maestro_SKU!$A$2:$P$500,12,FALSE),1))</f>
        <v/>
      </c>
      <c r="I330" s="53" t="n"/>
      <c r="J330" s="61">
        <f>IF(A330="","",IF(H330&lt;=Inicio!$B$16,"Crítico",IF(H330&lt;=Inicio!$B$17,"Observar","OK")))</f>
        <v/>
      </c>
      <c r="K330" s="52" t="n"/>
    </row>
    <row r="331">
      <c r="A331" s="52" t="n"/>
      <c r="B331" s="61">
        <f>IFERROR(VLOOKUP(A331,Clientes_PDV!$A$2:$J$250,2,FALSE),"")</f>
        <v/>
      </c>
      <c r="C331" s="61">
        <f>IFERROR(VLOOKUP(A331,Clientes_PDV!$A$2:$J$250,3,FALSE),"")</f>
        <v/>
      </c>
      <c r="D331" s="61">
        <f>IFERROR(VLOOKUP(A331,Clientes_PDV!$A$2:$J$250,4,FALSE),"")</f>
        <v/>
      </c>
      <c r="E331" s="52" t="n"/>
      <c r="F331" s="61">
        <f>IFERROR(VLOOKUP(E331,Maestro_SKU!$A$2:$P$500,2,FALSE),"")</f>
        <v/>
      </c>
      <c r="G331" s="59" t="n"/>
      <c r="H331" s="62">
        <f>IF(OR(G331="",E331=""),"",G331*IFERROR(VLOOKUP(E331,Maestro_SKU!$A$2:$P$500,12,FALSE),1))</f>
        <v/>
      </c>
      <c r="I331" s="53" t="n"/>
      <c r="J331" s="61">
        <f>IF(A331="","",IF(H331&lt;=Inicio!$B$16,"Crítico",IF(H331&lt;=Inicio!$B$17,"Observar","OK")))</f>
        <v/>
      </c>
      <c r="K331" s="52" t="n"/>
    </row>
    <row r="332">
      <c r="A332" s="52" t="n"/>
      <c r="B332" s="61">
        <f>IFERROR(VLOOKUP(A332,Clientes_PDV!$A$2:$J$250,2,FALSE),"")</f>
        <v/>
      </c>
      <c r="C332" s="61">
        <f>IFERROR(VLOOKUP(A332,Clientes_PDV!$A$2:$J$250,3,FALSE),"")</f>
        <v/>
      </c>
      <c r="D332" s="61">
        <f>IFERROR(VLOOKUP(A332,Clientes_PDV!$A$2:$J$250,4,FALSE),"")</f>
        <v/>
      </c>
      <c r="E332" s="52" t="n"/>
      <c r="F332" s="61">
        <f>IFERROR(VLOOKUP(E332,Maestro_SKU!$A$2:$P$500,2,FALSE),"")</f>
        <v/>
      </c>
      <c r="G332" s="59" t="n"/>
      <c r="H332" s="62">
        <f>IF(OR(G332="",E332=""),"",G332*IFERROR(VLOOKUP(E332,Maestro_SKU!$A$2:$P$500,12,FALSE),1))</f>
        <v/>
      </c>
      <c r="I332" s="53" t="n"/>
      <c r="J332" s="61">
        <f>IF(A332="","",IF(H332&lt;=Inicio!$B$16,"Crítico",IF(H332&lt;=Inicio!$B$17,"Observar","OK")))</f>
        <v/>
      </c>
      <c r="K332" s="52" t="n"/>
    </row>
    <row r="333">
      <c r="A333" s="52" t="n"/>
      <c r="B333" s="61">
        <f>IFERROR(VLOOKUP(A333,Clientes_PDV!$A$2:$J$250,2,FALSE),"")</f>
        <v/>
      </c>
      <c r="C333" s="61">
        <f>IFERROR(VLOOKUP(A333,Clientes_PDV!$A$2:$J$250,3,FALSE),"")</f>
        <v/>
      </c>
      <c r="D333" s="61">
        <f>IFERROR(VLOOKUP(A333,Clientes_PDV!$A$2:$J$250,4,FALSE),"")</f>
        <v/>
      </c>
      <c r="E333" s="52" t="n"/>
      <c r="F333" s="61">
        <f>IFERROR(VLOOKUP(E333,Maestro_SKU!$A$2:$P$500,2,FALSE),"")</f>
        <v/>
      </c>
      <c r="G333" s="59" t="n"/>
      <c r="H333" s="62">
        <f>IF(OR(G333="",E333=""),"",G333*IFERROR(VLOOKUP(E333,Maestro_SKU!$A$2:$P$500,12,FALSE),1))</f>
        <v/>
      </c>
      <c r="I333" s="53" t="n"/>
      <c r="J333" s="61">
        <f>IF(A333="","",IF(H333&lt;=Inicio!$B$16,"Crítico",IF(H333&lt;=Inicio!$B$17,"Observar","OK")))</f>
        <v/>
      </c>
      <c r="K333" s="52" t="n"/>
    </row>
    <row r="334">
      <c r="A334" s="52" t="n"/>
      <c r="B334" s="61">
        <f>IFERROR(VLOOKUP(A334,Clientes_PDV!$A$2:$J$250,2,FALSE),"")</f>
        <v/>
      </c>
      <c r="C334" s="61">
        <f>IFERROR(VLOOKUP(A334,Clientes_PDV!$A$2:$J$250,3,FALSE),"")</f>
        <v/>
      </c>
      <c r="D334" s="61">
        <f>IFERROR(VLOOKUP(A334,Clientes_PDV!$A$2:$J$250,4,FALSE),"")</f>
        <v/>
      </c>
      <c r="E334" s="52" t="n"/>
      <c r="F334" s="61">
        <f>IFERROR(VLOOKUP(E334,Maestro_SKU!$A$2:$P$500,2,FALSE),"")</f>
        <v/>
      </c>
      <c r="G334" s="59" t="n"/>
      <c r="H334" s="62">
        <f>IF(OR(G334="",E334=""),"",G334*IFERROR(VLOOKUP(E334,Maestro_SKU!$A$2:$P$500,12,FALSE),1))</f>
        <v/>
      </c>
      <c r="I334" s="53" t="n"/>
      <c r="J334" s="61">
        <f>IF(A334="","",IF(H334&lt;=Inicio!$B$16,"Crítico",IF(H334&lt;=Inicio!$B$17,"Observar","OK")))</f>
        <v/>
      </c>
      <c r="K334" s="52" t="n"/>
    </row>
    <row r="335">
      <c r="A335" s="52" t="n"/>
      <c r="B335" s="61">
        <f>IFERROR(VLOOKUP(A335,Clientes_PDV!$A$2:$J$250,2,FALSE),"")</f>
        <v/>
      </c>
      <c r="C335" s="61">
        <f>IFERROR(VLOOKUP(A335,Clientes_PDV!$A$2:$J$250,3,FALSE),"")</f>
        <v/>
      </c>
      <c r="D335" s="61">
        <f>IFERROR(VLOOKUP(A335,Clientes_PDV!$A$2:$J$250,4,FALSE),"")</f>
        <v/>
      </c>
      <c r="E335" s="52" t="n"/>
      <c r="F335" s="61">
        <f>IFERROR(VLOOKUP(E335,Maestro_SKU!$A$2:$P$500,2,FALSE),"")</f>
        <v/>
      </c>
      <c r="G335" s="59" t="n"/>
      <c r="H335" s="62">
        <f>IF(OR(G335="",E335=""),"",G335*IFERROR(VLOOKUP(E335,Maestro_SKU!$A$2:$P$500,12,FALSE),1))</f>
        <v/>
      </c>
      <c r="I335" s="53" t="n"/>
      <c r="J335" s="61">
        <f>IF(A335="","",IF(H335&lt;=Inicio!$B$16,"Crítico",IF(H335&lt;=Inicio!$B$17,"Observar","OK")))</f>
        <v/>
      </c>
      <c r="K335" s="52" t="n"/>
    </row>
    <row r="336">
      <c r="A336" s="52" t="n"/>
      <c r="B336" s="61">
        <f>IFERROR(VLOOKUP(A336,Clientes_PDV!$A$2:$J$250,2,FALSE),"")</f>
        <v/>
      </c>
      <c r="C336" s="61">
        <f>IFERROR(VLOOKUP(A336,Clientes_PDV!$A$2:$J$250,3,FALSE),"")</f>
        <v/>
      </c>
      <c r="D336" s="61">
        <f>IFERROR(VLOOKUP(A336,Clientes_PDV!$A$2:$J$250,4,FALSE),"")</f>
        <v/>
      </c>
      <c r="E336" s="52" t="n"/>
      <c r="F336" s="61">
        <f>IFERROR(VLOOKUP(E336,Maestro_SKU!$A$2:$P$500,2,FALSE),"")</f>
        <v/>
      </c>
      <c r="G336" s="59" t="n"/>
      <c r="H336" s="62">
        <f>IF(OR(G336="",E336=""),"",G336*IFERROR(VLOOKUP(E336,Maestro_SKU!$A$2:$P$500,12,FALSE),1))</f>
        <v/>
      </c>
      <c r="I336" s="53" t="n"/>
      <c r="J336" s="61">
        <f>IF(A336="","",IF(H336&lt;=Inicio!$B$16,"Crítico",IF(H336&lt;=Inicio!$B$17,"Observar","OK")))</f>
        <v/>
      </c>
      <c r="K336" s="52" t="n"/>
    </row>
    <row r="337">
      <c r="A337" s="52" t="n"/>
      <c r="B337" s="61">
        <f>IFERROR(VLOOKUP(A337,Clientes_PDV!$A$2:$J$250,2,FALSE),"")</f>
        <v/>
      </c>
      <c r="C337" s="61">
        <f>IFERROR(VLOOKUP(A337,Clientes_PDV!$A$2:$J$250,3,FALSE),"")</f>
        <v/>
      </c>
      <c r="D337" s="61">
        <f>IFERROR(VLOOKUP(A337,Clientes_PDV!$A$2:$J$250,4,FALSE),"")</f>
        <v/>
      </c>
      <c r="E337" s="52" t="n"/>
      <c r="F337" s="61">
        <f>IFERROR(VLOOKUP(E337,Maestro_SKU!$A$2:$P$500,2,FALSE),"")</f>
        <v/>
      </c>
      <c r="G337" s="59" t="n"/>
      <c r="H337" s="62">
        <f>IF(OR(G337="",E337=""),"",G337*IFERROR(VLOOKUP(E337,Maestro_SKU!$A$2:$P$500,12,FALSE),1))</f>
        <v/>
      </c>
      <c r="I337" s="53" t="n"/>
      <c r="J337" s="61">
        <f>IF(A337="","",IF(H337&lt;=Inicio!$B$16,"Crítico",IF(H337&lt;=Inicio!$B$17,"Observar","OK")))</f>
        <v/>
      </c>
      <c r="K337" s="52" t="n"/>
    </row>
    <row r="338">
      <c r="A338" s="52" t="n"/>
      <c r="B338" s="61">
        <f>IFERROR(VLOOKUP(A338,Clientes_PDV!$A$2:$J$250,2,FALSE),"")</f>
        <v/>
      </c>
      <c r="C338" s="61">
        <f>IFERROR(VLOOKUP(A338,Clientes_PDV!$A$2:$J$250,3,FALSE),"")</f>
        <v/>
      </c>
      <c r="D338" s="61">
        <f>IFERROR(VLOOKUP(A338,Clientes_PDV!$A$2:$J$250,4,FALSE),"")</f>
        <v/>
      </c>
      <c r="E338" s="52" t="n"/>
      <c r="F338" s="61">
        <f>IFERROR(VLOOKUP(E338,Maestro_SKU!$A$2:$P$500,2,FALSE),"")</f>
        <v/>
      </c>
      <c r="G338" s="59" t="n"/>
      <c r="H338" s="62">
        <f>IF(OR(G338="",E338=""),"",G338*IFERROR(VLOOKUP(E338,Maestro_SKU!$A$2:$P$500,12,FALSE),1))</f>
        <v/>
      </c>
      <c r="I338" s="53" t="n"/>
      <c r="J338" s="61">
        <f>IF(A338="","",IF(H338&lt;=Inicio!$B$16,"Crítico",IF(H338&lt;=Inicio!$B$17,"Observar","OK")))</f>
        <v/>
      </c>
      <c r="K338" s="52" t="n"/>
    </row>
    <row r="339">
      <c r="A339" s="52" t="n"/>
      <c r="B339" s="61">
        <f>IFERROR(VLOOKUP(A339,Clientes_PDV!$A$2:$J$250,2,FALSE),"")</f>
        <v/>
      </c>
      <c r="C339" s="61">
        <f>IFERROR(VLOOKUP(A339,Clientes_PDV!$A$2:$J$250,3,FALSE),"")</f>
        <v/>
      </c>
      <c r="D339" s="61">
        <f>IFERROR(VLOOKUP(A339,Clientes_PDV!$A$2:$J$250,4,FALSE),"")</f>
        <v/>
      </c>
      <c r="E339" s="52" t="n"/>
      <c r="F339" s="61">
        <f>IFERROR(VLOOKUP(E339,Maestro_SKU!$A$2:$P$500,2,FALSE),"")</f>
        <v/>
      </c>
      <c r="G339" s="59" t="n"/>
      <c r="H339" s="62">
        <f>IF(OR(G339="",E339=""),"",G339*IFERROR(VLOOKUP(E339,Maestro_SKU!$A$2:$P$500,12,FALSE),1))</f>
        <v/>
      </c>
      <c r="I339" s="53" t="n"/>
      <c r="J339" s="61">
        <f>IF(A339="","",IF(H339&lt;=Inicio!$B$16,"Crítico",IF(H339&lt;=Inicio!$B$17,"Observar","OK")))</f>
        <v/>
      </c>
      <c r="K339" s="52" t="n"/>
    </row>
    <row r="340">
      <c r="A340" s="52" t="n"/>
      <c r="B340" s="61">
        <f>IFERROR(VLOOKUP(A340,Clientes_PDV!$A$2:$J$250,2,FALSE),"")</f>
        <v/>
      </c>
      <c r="C340" s="61">
        <f>IFERROR(VLOOKUP(A340,Clientes_PDV!$A$2:$J$250,3,FALSE),"")</f>
        <v/>
      </c>
      <c r="D340" s="61">
        <f>IFERROR(VLOOKUP(A340,Clientes_PDV!$A$2:$J$250,4,FALSE),"")</f>
        <v/>
      </c>
      <c r="E340" s="52" t="n"/>
      <c r="F340" s="61">
        <f>IFERROR(VLOOKUP(E340,Maestro_SKU!$A$2:$P$500,2,FALSE),"")</f>
        <v/>
      </c>
      <c r="G340" s="59" t="n"/>
      <c r="H340" s="62">
        <f>IF(OR(G340="",E340=""),"",G340*IFERROR(VLOOKUP(E340,Maestro_SKU!$A$2:$P$500,12,FALSE),1))</f>
        <v/>
      </c>
      <c r="I340" s="53" t="n"/>
      <c r="J340" s="61">
        <f>IF(A340="","",IF(H340&lt;=Inicio!$B$16,"Crítico",IF(H340&lt;=Inicio!$B$17,"Observar","OK")))</f>
        <v/>
      </c>
      <c r="K340" s="52" t="n"/>
    </row>
    <row r="341">
      <c r="A341" s="52" t="n"/>
      <c r="B341" s="61">
        <f>IFERROR(VLOOKUP(A341,Clientes_PDV!$A$2:$J$250,2,FALSE),"")</f>
        <v/>
      </c>
      <c r="C341" s="61">
        <f>IFERROR(VLOOKUP(A341,Clientes_PDV!$A$2:$J$250,3,FALSE),"")</f>
        <v/>
      </c>
      <c r="D341" s="61">
        <f>IFERROR(VLOOKUP(A341,Clientes_PDV!$A$2:$J$250,4,FALSE),"")</f>
        <v/>
      </c>
      <c r="E341" s="52" t="n"/>
      <c r="F341" s="61">
        <f>IFERROR(VLOOKUP(E341,Maestro_SKU!$A$2:$P$500,2,FALSE),"")</f>
        <v/>
      </c>
      <c r="G341" s="59" t="n"/>
      <c r="H341" s="62">
        <f>IF(OR(G341="",E341=""),"",G341*IFERROR(VLOOKUP(E341,Maestro_SKU!$A$2:$P$500,12,FALSE),1))</f>
        <v/>
      </c>
      <c r="I341" s="53" t="n"/>
      <c r="J341" s="61">
        <f>IF(A341="","",IF(H341&lt;=Inicio!$B$16,"Crítico",IF(H341&lt;=Inicio!$B$17,"Observar","OK")))</f>
        <v/>
      </c>
      <c r="K341" s="52" t="n"/>
    </row>
    <row r="342">
      <c r="A342" s="52" t="n"/>
      <c r="B342" s="61">
        <f>IFERROR(VLOOKUP(A342,Clientes_PDV!$A$2:$J$250,2,FALSE),"")</f>
        <v/>
      </c>
      <c r="C342" s="61">
        <f>IFERROR(VLOOKUP(A342,Clientes_PDV!$A$2:$J$250,3,FALSE),"")</f>
        <v/>
      </c>
      <c r="D342" s="61">
        <f>IFERROR(VLOOKUP(A342,Clientes_PDV!$A$2:$J$250,4,FALSE),"")</f>
        <v/>
      </c>
      <c r="E342" s="52" t="n"/>
      <c r="F342" s="61">
        <f>IFERROR(VLOOKUP(E342,Maestro_SKU!$A$2:$P$500,2,FALSE),"")</f>
        <v/>
      </c>
      <c r="G342" s="59" t="n"/>
      <c r="H342" s="62">
        <f>IF(OR(G342="",E342=""),"",G342*IFERROR(VLOOKUP(E342,Maestro_SKU!$A$2:$P$500,12,FALSE),1))</f>
        <v/>
      </c>
      <c r="I342" s="53" t="n"/>
      <c r="J342" s="61">
        <f>IF(A342="","",IF(H342&lt;=Inicio!$B$16,"Crítico",IF(H342&lt;=Inicio!$B$17,"Observar","OK")))</f>
        <v/>
      </c>
      <c r="K342" s="52" t="n"/>
    </row>
    <row r="343">
      <c r="A343" s="52" t="n"/>
      <c r="B343" s="61">
        <f>IFERROR(VLOOKUP(A343,Clientes_PDV!$A$2:$J$250,2,FALSE),"")</f>
        <v/>
      </c>
      <c r="C343" s="61">
        <f>IFERROR(VLOOKUP(A343,Clientes_PDV!$A$2:$J$250,3,FALSE),"")</f>
        <v/>
      </c>
      <c r="D343" s="61">
        <f>IFERROR(VLOOKUP(A343,Clientes_PDV!$A$2:$J$250,4,FALSE),"")</f>
        <v/>
      </c>
      <c r="E343" s="52" t="n"/>
      <c r="F343" s="61">
        <f>IFERROR(VLOOKUP(E343,Maestro_SKU!$A$2:$P$500,2,FALSE),"")</f>
        <v/>
      </c>
      <c r="G343" s="59" t="n"/>
      <c r="H343" s="62">
        <f>IF(OR(G343="",E343=""),"",G343*IFERROR(VLOOKUP(E343,Maestro_SKU!$A$2:$P$500,12,FALSE),1))</f>
        <v/>
      </c>
      <c r="I343" s="53" t="n"/>
      <c r="J343" s="61">
        <f>IF(A343="","",IF(H343&lt;=Inicio!$B$16,"Crítico",IF(H343&lt;=Inicio!$B$17,"Observar","OK")))</f>
        <v/>
      </c>
      <c r="K343" s="52" t="n"/>
    </row>
    <row r="344">
      <c r="A344" s="52" t="n"/>
      <c r="B344" s="61">
        <f>IFERROR(VLOOKUP(A344,Clientes_PDV!$A$2:$J$250,2,FALSE),"")</f>
        <v/>
      </c>
      <c r="C344" s="61">
        <f>IFERROR(VLOOKUP(A344,Clientes_PDV!$A$2:$J$250,3,FALSE),"")</f>
        <v/>
      </c>
      <c r="D344" s="61">
        <f>IFERROR(VLOOKUP(A344,Clientes_PDV!$A$2:$J$250,4,FALSE),"")</f>
        <v/>
      </c>
      <c r="E344" s="52" t="n"/>
      <c r="F344" s="61">
        <f>IFERROR(VLOOKUP(E344,Maestro_SKU!$A$2:$P$500,2,FALSE),"")</f>
        <v/>
      </c>
      <c r="G344" s="59" t="n"/>
      <c r="H344" s="62">
        <f>IF(OR(G344="",E344=""),"",G344*IFERROR(VLOOKUP(E344,Maestro_SKU!$A$2:$P$500,12,FALSE),1))</f>
        <v/>
      </c>
      <c r="I344" s="53" t="n"/>
      <c r="J344" s="61">
        <f>IF(A344="","",IF(H344&lt;=Inicio!$B$16,"Crítico",IF(H344&lt;=Inicio!$B$17,"Observar","OK")))</f>
        <v/>
      </c>
      <c r="K344" s="52" t="n"/>
    </row>
    <row r="345">
      <c r="A345" s="52" t="n"/>
      <c r="B345" s="61">
        <f>IFERROR(VLOOKUP(A345,Clientes_PDV!$A$2:$J$250,2,FALSE),"")</f>
        <v/>
      </c>
      <c r="C345" s="61">
        <f>IFERROR(VLOOKUP(A345,Clientes_PDV!$A$2:$J$250,3,FALSE),"")</f>
        <v/>
      </c>
      <c r="D345" s="61">
        <f>IFERROR(VLOOKUP(A345,Clientes_PDV!$A$2:$J$250,4,FALSE),"")</f>
        <v/>
      </c>
      <c r="E345" s="52" t="n"/>
      <c r="F345" s="61">
        <f>IFERROR(VLOOKUP(E345,Maestro_SKU!$A$2:$P$500,2,FALSE),"")</f>
        <v/>
      </c>
      <c r="G345" s="59" t="n"/>
      <c r="H345" s="62">
        <f>IF(OR(G345="",E345=""),"",G345*IFERROR(VLOOKUP(E345,Maestro_SKU!$A$2:$P$500,12,FALSE),1))</f>
        <v/>
      </c>
      <c r="I345" s="53" t="n"/>
      <c r="J345" s="61">
        <f>IF(A345="","",IF(H345&lt;=Inicio!$B$16,"Crítico",IF(H345&lt;=Inicio!$B$17,"Observar","OK")))</f>
        <v/>
      </c>
      <c r="K345" s="52" t="n"/>
    </row>
    <row r="346">
      <c r="A346" s="52" t="n"/>
      <c r="B346" s="61">
        <f>IFERROR(VLOOKUP(A346,Clientes_PDV!$A$2:$J$250,2,FALSE),"")</f>
        <v/>
      </c>
      <c r="C346" s="61">
        <f>IFERROR(VLOOKUP(A346,Clientes_PDV!$A$2:$J$250,3,FALSE),"")</f>
        <v/>
      </c>
      <c r="D346" s="61">
        <f>IFERROR(VLOOKUP(A346,Clientes_PDV!$A$2:$J$250,4,FALSE),"")</f>
        <v/>
      </c>
      <c r="E346" s="52" t="n"/>
      <c r="F346" s="61">
        <f>IFERROR(VLOOKUP(E346,Maestro_SKU!$A$2:$P$500,2,FALSE),"")</f>
        <v/>
      </c>
      <c r="G346" s="59" t="n"/>
      <c r="H346" s="62">
        <f>IF(OR(G346="",E346=""),"",G346*IFERROR(VLOOKUP(E346,Maestro_SKU!$A$2:$P$500,12,FALSE),1))</f>
        <v/>
      </c>
      <c r="I346" s="53" t="n"/>
      <c r="J346" s="61">
        <f>IF(A346="","",IF(H346&lt;=Inicio!$B$16,"Crítico",IF(H346&lt;=Inicio!$B$17,"Observar","OK")))</f>
        <v/>
      </c>
      <c r="K346" s="52" t="n"/>
    </row>
    <row r="347">
      <c r="A347" s="52" t="n"/>
      <c r="B347" s="61">
        <f>IFERROR(VLOOKUP(A347,Clientes_PDV!$A$2:$J$250,2,FALSE),"")</f>
        <v/>
      </c>
      <c r="C347" s="61">
        <f>IFERROR(VLOOKUP(A347,Clientes_PDV!$A$2:$J$250,3,FALSE),"")</f>
        <v/>
      </c>
      <c r="D347" s="61">
        <f>IFERROR(VLOOKUP(A347,Clientes_PDV!$A$2:$J$250,4,FALSE),"")</f>
        <v/>
      </c>
      <c r="E347" s="52" t="n"/>
      <c r="F347" s="61">
        <f>IFERROR(VLOOKUP(E347,Maestro_SKU!$A$2:$P$500,2,FALSE),"")</f>
        <v/>
      </c>
      <c r="G347" s="59" t="n"/>
      <c r="H347" s="62">
        <f>IF(OR(G347="",E347=""),"",G347*IFERROR(VLOOKUP(E347,Maestro_SKU!$A$2:$P$500,12,FALSE),1))</f>
        <v/>
      </c>
      <c r="I347" s="53" t="n"/>
      <c r="J347" s="61">
        <f>IF(A347="","",IF(H347&lt;=Inicio!$B$16,"Crítico",IF(H347&lt;=Inicio!$B$17,"Observar","OK")))</f>
        <v/>
      </c>
      <c r="K347" s="52" t="n"/>
    </row>
    <row r="348">
      <c r="A348" s="52" t="n"/>
      <c r="B348" s="61">
        <f>IFERROR(VLOOKUP(A348,Clientes_PDV!$A$2:$J$250,2,FALSE),"")</f>
        <v/>
      </c>
      <c r="C348" s="61">
        <f>IFERROR(VLOOKUP(A348,Clientes_PDV!$A$2:$J$250,3,FALSE),"")</f>
        <v/>
      </c>
      <c r="D348" s="61">
        <f>IFERROR(VLOOKUP(A348,Clientes_PDV!$A$2:$J$250,4,FALSE),"")</f>
        <v/>
      </c>
      <c r="E348" s="52" t="n"/>
      <c r="F348" s="61">
        <f>IFERROR(VLOOKUP(E348,Maestro_SKU!$A$2:$P$500,2,FALSE),"")</f>
        <v/>
      </c>
      <c r="G348" s="59" t="n"/>
      <c r="H348" s="62">
        <f>IF(OR(G348="",E348=""),"",G348*IFERROR(VLOOKUP(E348,Maestro_SKU!$A$2:$P$500,12,FALSE),1))</f>
        <v/>
      </c>
      <c r="I348" s="53" t="n"/>
      <c r="J348" s="61">
        <f>IF(A348="","",IF(H348&lt;=Inicio!$B$16,"Crítico",IF(H348&lt;=Inicio!$B$17,"Observar","OK")))</f>
        <v/>
      </c>
      <c r="K348" s="52" t="n"/>
    </row>
    <row r="349">
      <c r="A349" s="52" t="n"/>
      <c r="B349" s="61">
        <f>IFERROR(VLOOKUP(A349,Clientes_PDV!$A$2:$J$250,2,FALSE),"")</f>
        <v/>
      </c>
      <c r="C349" s="61">
        <f>IFERROR(VLOOKUP(A349,Clientes_PDV!$A$2:$J$250,3,FALSE),"")</f>
        <v/>
      </c>
      <c r="D349" s="61">
        <f>IFERROR(VLOOKUP(A349,Clientes_PDV!$A$2:$J$250,4,FALSE),"")</f>
        <v/>
      </c>
      <c r="E349" s="52" t="n"/>
      <c r="F349" s="61">
        <f>IFERROR(VLOOKUP(E349,Maestro_SKU!$A$2:$P$500,2,FALSE),"")</f>
        <v/>
      </c>
      <c r="G349" s="59" t="n"/>
      <c r="H349" s="62">
        <f>IF(OR(G349="",E349=""),"",G349*IFERROR(VLOOKUP(E349,Maestro_SKU!$A$2:$P$500,12,FALSE),1))</f>
        <v/>
      </c>
      <c r="I349" s="53" t="n"/>
      <c r="J349" s="61">
        <f>IF(A349="","",IF(H349&lt;=Inicio!$B$16,"Crítico",IF(H349&lt;=Inicio!$B$17,"Observar","OK")))</f>
        <v/>
      </c>
      <c r="K349" s="52" t="n"/>
    </row>
    <row r="350">
      <c r="A350" s="52" t="n"/>
      <c r="B350" s="61">
        <f>IFERROR(VLOOKUP(A350,Clientes_PDV!$A$2:$J$250,2,FALSE),"")</f>
        <v/>
      </c>
      <c r="C350" s="61">
        <f>IFERROR(VLOOKUP(A350,Clientes_PDV!$A$2:$J$250,3,FALSE),"")</f>
        <v/>
      </c>
      <c r="D350" s="61">
        <f>IFERROR(VLOOKUP(A350,Clientes_PDV!$A$2:$J$250,4,FALSE),"")</f>
        <v/>
      </c>
      <c r="E350" s="52" t="n"/>
      <c r="F350" s="61">
        <f>IFERROR(VLOOKUP(E350,Maestro_SKU!$A$2:$P$500,2,FALSE),"")</f>
        <v/>
      </c>
      <c r="G350" s="59" t="n"/>
      <c r="H350" s="62">
        <f>IF(OR(G350="",E350=""),"",G350*IFERROR(VLOOKUP(E350,Maestro_SKU!$A$2:$P$500,12,FALSE),1))</f>
        <v/>
      </c>
      <c r="I350" s="53" t="n"/>
      <c r="J350" s="61">
        <f>IF(A350="","",IF(H350&lt;=Inicio!$B$16,"Crítico",IF(H350&lt;=Inicio!$B$17,"Observar","OK")))</f>
        <v/>
      </c>
      <c r="K350" s="52" t="n"/>
    </row>
    <row r="351">
      <c r="A351" s="52" t="n"/>
      <c r="B351" s="61">
        <f>IFERROR(VLOOKUP(A351,Clientes_PDV!$A$2:$J$250,2,FALSE),"")</f>
        <v/>
      </c>
      <c r="C351" s="61">
        <f>IFERROR(VLOOKUP(A351,Clientes_PDV!$A$2:$J$250,3,FALSE),"")</f>
        <v/>
      </c>
      <c r="D351" s="61">
        <f>IFERROR(VLOOKUP(A351,Clientes_PDV!$A$2:$J$250,4,FALSE),"")</f>
        <v/>
      </c>
      <c r="E351" s="52" t="n"/>
      <c r="F351" s="61">
        <f>IFERROR(VLOOKUP(E351,Maestro_SKU!$A$2:$P$500,2,FALSE),"")</f>
        <v/>
      </c>
      <c r="G351" s="59" t="n"/>
      <c r="H351" s="62">
        <f>IF(OR(G351="",E351=""),"",G351*IFERROR(VLOOKUP(E351,Maestro_SKU!$A$2:$P$500,12,FALSE),1))</f>
        <v/>
      </c>
      <c r="I351" s="53" t="n"/>
      <c r="J351" s="61">
        <f>IF(A351="","",IF(H351&lt;=Inicio!$B$16,"Crítico",IF(H351&lt;=Inicio!$B$17,"Observar","OK")))</f>
        <v/>
      </c>
      <c r="K351" s="52" t="n"/>
    </row>
    <row r="352">
      <c r="A352" s="52" t="n"/>
      <c r="B352" s="61">
        <f>IFERROR(VLOOKUP(A352,Clientes_PDV!$A$2:$J$250,2,FALSE),"")</f>
        <v/>
      </c>
      <c r="C352" s="61">
        <f>IFERROR(VLOOKUP(A352,Clientes_PDV!$A$2:$J$250,3,FALSE),"")</f>
        <v/>
      </c>
      <c r="D352" s="61">
        <f>IFERROR(VLOOKUP(A352,Clientes_PDV!$A$2:$J$250,4,FALSE),"")</f>
        <v/>
      </c>
      <c r="E352" s="52" t="n"/>
      <c r="F352" s="61">
        <f>IFERROR(VLOOKUP(E352,Maestro_SKU!$A$2:$P$500,2,FALSE),"")</f>
        <v/>
      </c>
      <c r="G352" s="59" t="n"/>
      <c r="H352" s="62">
        <f>IF(OR(G352="",E352=""),"",G352*IFERROR(VLOOKUP(E352,Maestro_SKU!$A$2:$P$500,12,FALSE),1))</f>
        <v/>
      </c>
      <c r="I352" s="53" t="n"/>
      <c r="J352" s="61">
        <f>IF(A352="","",IF(H352&lt;=Inicio!$B$16,"Crítico",IF(H352&lt;=Inicio!$B$17,"Observar","OK")))</f>
        <v/>
      </c>
      <c r="K352" s="52" t="n"/>
    </row>
    <row r="353">
      <c r="A353" s="52" t="n"/>
      <c r="B353" s="61">
        <f>IFERROR(VLOOKUP(A353,Clientes_PDV!$A$2:$J$250,2,FALSE),"")</f>
        <v/>
      </c>
      <c r="C353" s="61">
        <f>IFERROR(VLOOKUP(A353,Clientes_PDV!$A$2:$J$250,3,FALSE),"")</f>
        <v/>
      </c>
      <c r="D353" s="61">
        <f>IFERROR(VLOOKUP(A353,Clientes_PDV!$A$2:$J$250,4,FALSE),"")</f>
        <v/>
      </c>
      <c r="E353" s="52" t="n"/>
      <c r="F353" s="61">
        <f>IFERROR(VLOOKUP(E353,Maestro_SKU!$A$2:$P$500,2,FALSE),"")</f>
        <v/>
      </c>
      <c r="G353" s="59" t="n"/>
      <c r="H353" s="62">
        <f>IF(OR(G353="",E353=""),"",G353*IFERROR(VLOOKUP(E353,Maestro_SKU!$A$2:$P$500,12,FALSE),1))</f>
        <v/>
      </c>
      <c r="I353" s="53" t="n"/>
      <c r="J353" s="61">
        <f>IF(A353="","",IF(H353&lt;=Inicio!$B$16,"Crítico",IF(H353&lt;=Inicio!$B$17,"Observar","OK")))</f>
        <v/>
      </c>
      <c r="K353" s="52" t="n"/>
    </row>
    <row r="354">
      <c r="A354" s="52" t="n"/>
      <c r="B354" s="61">
        <f>IFERROR(VLOOKUP(A354,Clientes_PDV!$A$2:$J$250,2,FALSE),"")</f>
        <v/>
      </c>
      <c r="C354" s="61">
        <f>IFERROR(VLOOKUP(A354,Clientes_PDV!$A$2:$J$250,3,FALSE),"")</f>
        <v/>
      </c>
      <c r="D354" s="61">
        <f>IFERROR(VLOOKUP(A354,Clientes_PDV!$A$2:$J$250,4,FALSE),"")</f>
        <v/>
      </c>
      <c r="E354" s="52" t="n"/>
      <c r="F354" s="61">
        <f>IFERROR(VLOOKUP(E354,Maestro_SKU!$A$2:$P$500,2,FALSE),"")</f>
        <v/>
      </c>
      <c r="G354" s="59" t="n"/>
      <c r="H354" s="62">
        <f>IF(OR(G354="",E354=""),"",G354*IFERROR(VLOOKUP(E354,Maestro_SKU!$A$2:$P$500,12,FALSE),1))</f>
        <v/>
      </c>
      <c r="I354" s="53" t="n"/>
      <c r="J354" s="61">
        <f>IF(A354="","",IF(H354&lt;=Inicio!$B$16,"Crítico",IF(H354&lt;=Inicio!$B$17,"Observar","OK")))</f>
        <v/>
      </c>
      <c r="K354" s="52" t="n"/>
    </row>
    <row r="355">
      <c r="A355" s="52" t="n"/>
      <c r="B355" s="61">
        <f>IFERROR(VLOOKUP(A355,Clientes_PDV!$A$2:$J$250,2,FALSE),"")</f>
        <v/>
      </c>
      <c r="C355" s="61">
        <f>IFERROR(VLOOKUP(A355,Clientes_PDV!$A$2:$J$250,3,FALSE),"")</f>
        <v/>
      </c>
      <c r="D355" s="61">
        <f>IFERROR(VLOOKUP(A355,Clientes_PDV!$A$2:$J$250,4,FALSE),"")</f>
        <v/>
      </c>
      <c r="E355" s="52" t="n"/>
      <c r="F355" s="61">
        <f>IFERROR(VLOOKUP(E355,Maestro_SKU!$A$2:$P$500,2,FALSE),"")</f>
        <v/>
      </c>
      <c r="G355" s="59" t="n"/>
      <c r="H355" s="62">
        <f>IF(OR(G355="",E355=""),"",G355*IFERROR(VLOOKUP(E355,Maestro_SKU!$A$2:$P$500,12,FALSE),1))</f>
        <v/>
      </c>
      <c r="I355" s="53" t="n"/>
      <c r="J355" s="61">
        <f>IF(A355="","",IF(H355&lt;=Inicio!$B$16,"Crítico",IF(H355&lt;=Inicio!$B$17,"Observar","OK")))</f>
        <v/>
      </c>
      <c r="K355" s="52" t="n"/>
    </row>
    <row r="356">
      <c r="A356" s="52" t="n"/>
      <c r="B356" s="61">
        <f>IFERROR(VLOOKUP(A356,Clientes_PDV!$A$2:$J$250,2,FALSE),"")</f>
        <v/>
      </c>
      <c r="C356" s="61">
        <f>IFERROR(VLOOKUP(A356,Clientes_PDV!$A$2:$J$250,3,FALSE),"")</f>
        <v/>
      </c>
      <c r="D356" s="61">
        <f>IFERROR(VLOOKUP(A356,Clientes_PDV!$A$2:$J$250,4,FALSE),"")</f>
        <v/>
      </c>
      <c r="E356" s="52" t="n"/>
      <c r="F356" s="61">
        <f>IFERROR(VLOOKUP(E356,Maestro_SKU!$A$2:$P$500,2,FALSE),"")</f>
        <v/>
      </c>
      <c r="G356" s="59" t="n"/>
      <c r="H356" s="62">
        <f>IF(OR(G356="",E356=""),"",G356*IFERROR(VLOOKUP(E356,Maestro_SKU!$A$2:$P$500,12,FALSE),1))</f>
        <v/>
      </c>
      <c r="I356" s="53" t="n"/>
      <c r="J356" s="61">
        <f>IF(A356="","",IF(H356&lt;=Inicio!$B$16,"Crítico",IF(H356&lt;=Inicio!$B$17,"Observar","OK")))</f>
        <v/>
      </c>
      <c r="K356" s="52" t="n"/>
    </row>
    <row r="357">
      <c r="A357" s="52" t="n"/>
      <c r="B357" s="61">
        <f>IFERROR(VLOOKUP(A357,Clientes_PDV!$A$2:$J$250,2,FALSE),"")</f>
        <v/>
      </c>
      <c r="C357" s="61">
        <f>IFERROR(VLOOKUP(A357,Clientes_PDV!$A$2:$J$250,3,FALSE),"")</f>
        <v/>
      </c>
      <c r="D357" s="61">
        <f>IFERROR(VLOOKUP(A357,Clientes_PDV!$A$2:$J$250,4,FALSE),"")</f>
        <v/>
      </c>
      <c r="E357" s="52" t="n"/>
      <c r="F357" s="61">
        <f>IFERROR(VLOOKUP(E357,Maestro_SKU!$A$2:$P$500,2,FALSE),"")</f>
        <v/>
      </c>
      <c r="G357" s="59" t="n"/>
      <c r="H357" s="62">
        <f>IF(OR(G357="",E357=""),"",G357*IFERROR(VLOOKUP(E357,Maestro_SKU!$A$2:$P$500,12,FALSE),1))</f>
        <v/>
      </c>
      <c r="I357" s="53" t="n"/>
      <c r="J357" s="61">
        <f>IF(A357="","",IF(H357&lt;=Inicio!$B$16,"Crítico",IF(H357&lt;=Inicio!$B$17,"Observar","OK")))</f>
        <v/>
      </c>
      <c r="K357" s="52" t="n"/>
    </row>
    <row r="358">
      <c r="A358" s="52" t="n"/>
      <c r="B358" s="61">
        <f>IFERROR(VLOOKUP(A358,Clientes_PDV!$A$2:$J$250,2,FALSE),"")</f>
        <v/>
      </c>
      <c r="C358" s="61">
        <f>IFERROR(VLOOKUP(A358,Clientes_PDV!$A$2:$J$250,3,FALSE),"")</f>
        <v/>
      </c>
      <c r="D358" s="61">
        <f>IFERROR(VLOOKUP(A358,Clientes_PDV!$A$2:$J$250,4,FALSE),"")</f>
        <v/>
      </c>
      <c r="E358" s="52" t="n"/>
      <c r="F358" s="61">
        <f>IFERROR(VLOOKUP(E358,Maestro_SKU!$A$2:$P$500,2,FALSE),"")</f>
        <v/>
      </c>
      <c r="G358" s="59" t="n"/>
      <c r="H358" s="62">
        <f>IF(OR(G358="",E358=""),"",G358*IFERROR(VLOOKUP(E358,Maestro_SKU!$A$2:$P$500,12,FALSE),1))</f>
        <v/>
      </c>
      <c r="I358" s="53" t="n"/>
      <c r="J358" s="61">
        <f>IF(A358="","",IF(H358&lt;=Inicio!$B$16,"Crítico",IF(H358&lt;=Inicio!$B$17,"Observar","OK")))</f>
        <v/>
      </c>
      <c r="K358" s="52" t="n"/>
    </row>
    <row r="359">
      <c r="A359" s="52" t="n"/>
      <c r="B359" s="61">
        <f>IFERROR(VLOOKUP(A359,Clientes_PDV!$A$2:$J$250,2,FALSE),"")</f>
        <v/>
      </c>
      <c r="C359" s="61">
        <f>IFERROR(VLOOKUP(A359,Clientes_PDV!$A$2:$J$250,3,FALSE),"")</f>
        <v/>
      </c>
      <c r="D359" s="61">
        <f>IFERROR(VLOOKUP(A359,Clientes_PDV!$A$2:$J$250,4,FALSE),"")</f>
        <v/>
      </c>
      <c r="E359" s="52" t="n"/>
      <c r="F359" s="61">
        <f>IFERROR(VLOOKUP(E359,Maestro_SKU!$A$2:$P$500,2,FALSE),"")</f>
        <v/>
      </c>
      <c r="G359" s="59" t="n"/>
      <c r="H359" s="62">
        <f>IF(OR(G359="",E359=""),"",G359*IFERROR(VLOOKUP(E359,Maestro_SKU!$A$2:$P$500,12,FALSE),1))</f>
        <v/>
      </c>
      <c r="I359" s="53" t="n"/>
      <c r="J359" s="61">
        <f>IF(A359="","",IF(H359&lt;=Inicio!$B$16,"Crítico",IF(H359&lt;=Inicio!$B$17,"Observar","OK")))</f>
        <v/>
      </c>
      <c r="K359" s="52" t="n"/>
    </row>
    <row r="360">
      <c r="A360" s="52" t="n"/>
      <c r="B360" s="61">
        <f>IFERROR(VLOOKUP(A360,Clientes_PDV!$A$2:$J$250,2,FALSE),"")</f>
        <v/>
      </c>
      <c r="C360" s="61">
        <f>IFERROR(VLOOKUP(A360,Clientes_PDV!$A$2:$J$250,3,FALSE),"")</f>
        <v/>
      </c>
      <c r="D360" s="61">
        <f>IFERROR(VLOOKUP(A360,Clientes_PDV!$A$2:$J$250,4,FALSE),"")</f>
        <v/>
      </c>
      <c r="E360" s="52" t="n"/>
      <c r="F360" s="61">
        <f>IFERROR(VLOOKUP(E360,Maestro_SKU!$A$2:$P$500,2,FALSE),"")</f>
        <v/>
      </c>
      <c r="G360" s="59" t="n"/>
      <c r="H360" s="62">
        <f>IF(OR(G360="",E360=""),"",G360*IFERROR(VLOOKUP(E360,Maestro_SKU!$A$2:$P$500,12,FALSE),1))</f>
        <v/>
      </c>
      <c r="I360" s="53" t="n"/>
      <c r="J360" s="61">
        <f>IF(A360="","",IF(H360&lt;=Inicio!$B$16,"Crítico",IF(H360&lt;=Inicio!$B$17,"Observar","OK")))</f>
        <v/>
      </c>
      <c r="K360" s="52" t="n"/>
    </row>
    <row r="361">
      <c r="A361" s="52" t="n"/>
      <c r="B361" s="61">
        <f>IFERROR(VLOOKUP(A361,Clientes_PDV!$A$2:$J$250,2,FALSE),"")</f>
        <v/>
      </c>
      <c r="C361" s="61">
        <f>IFERROR(VLOOKUP(A361,Clientes_PDV!$A$2:$J$250,3,FALSE),"")</f>
        <v/>
      </c>
      <c r="D361" s="61">
        <f>IFERROR(VLOOKUP(A361,Clientes_PDV!$A$2:$J$250,4,FALSE),"")</f>
        <v/>
      </c>
      <c r="E361" s="52" t="n"/>
      <c r="F361" s="61">
        <f>IFERROR(VLOOKUP(E361,Maestro_SKU!$A$2:$P$500,2,FALSE),"")</f>
        <v/>
      </c>
      <c r="G361" s="59" t="n"/>
      <c r="H361" s="62">
        <f>IF(OR(G361="",E361=""),"",G361*IFERROR(VLOOKUP(E361,Maestro_SKU!$A$2:$P$500,12,FALSE),1))</f>
        <v/>
      </c>
      <c r="I361" s="53" t="n"/>
      <c r="J361" s="61">
        <f>IF(A361="","",IF(H361&lt;=Inicio!$B$16,"Crítico",IF(H361&lt;=Inicio!$B$17,"Observar","OK")))</f>
        <v/>
      </c>
      <c r="K361" s="52" t="n"/>
    </row>
    <row r="362">
      <c r="A362" s="52" t="n"/>
      <c r="B362" s="61">
        <f>IFERROR(VLOOKUP(A362,Clientes_PDV!$A$2:$J$250,2,FALSE),"")</f>
        <v/>
      </c>
      <c r="C362" s="61">
        <f>IFERROR(VLOOKUP(A362,Clientes_PDV!$A$2:$J$250,3,FALSE),"")</f>
        <v/>
      </c>
      <c r="D362" s="61">
        <f>IFERROR(VLOOKUP(A362,Clientes_PDV!$A$2:$J$250,4,FALSE),"")</f>
        <v/>
      </c>
      <c r="E362" s="52" t="n"/>
      <c r="F362" s="61">
        <f>IFERROR(VLOOKUP(E362,Maestro_SKU!$A$2:$P$500,2,FALSE),"")</f>
        <v/>
      </c>
      <c r="G362" s="59" t="n"/>
      <c r="H362" s="62">
        <f>IF(OR(G362="",E362=""),"",G362*IFERROR(VLOOKUP(E362,Maestro_SKU!$A$2:$P$500,12,FALSE),1))</f>
        <v/>
      </c>
      <c r="I362" s="53" t="n"/>
      <c r="J362" s="61">
        <f>IF(A362="","",IF(H362&lt;=Inicio!$B$16,"Crítico",IF(H362&lt;=Inicio!$B$17,"Observar","OK")))</f>
        <v/>
      </c>
      <c r="K362" s="52" t="n"/>
    </row>
    <row r="363">
      <c r="A363" s="52" t="n"/>
      <c r="B363" s="61">
        <f>IFERROR(VLOOKUP(A363,Clientes_PDV!$A$2:$J$250,2,FALSE),"")</f>
        <v/>
      </c>
      <c r="C363" s="61">
        <f>IFERROR(VLOOKUP(A363,Clientes_PDV!$A$2:$J$250,3,FALSE),"")</f>
        <v/>
      </c>
      <c r="D363" s="61">
        <f>IFERROR(VLOOKUP(A363,Clientes_PDV!$A$2:$J$250,4,FALSE),"")</f>
        <v/>
      </c>
      <c r="E363" s="52" t="n"/>
      <c r="F363" s="61">
        <f>IFERROR(VLOOKUP(E363,Maestro_SKU!$A$2:$P$500,2,FALSE),"")</f>
        <v/>
      </c>
      <c r="G363" s="59" t="n"/>
      <c r="H363" s="62">
        <f>IF(OR(G363="",E363=""),"",G363*IFERROR(VLOOKUP(E363,Maestro_SKU!$A$2:$P$500,12,FALSE),1))</f>
        <v/>
      </c>
      <c r="I363" s="53" t="n"/>
      <c r="J363" s="61">
        <f>IF(A363="","",IF(H363&lt;=Inicio!$B$16,"Crítico",IF(H363&lt;=Inicio!$B$17,"Observar","OK")))</f>
        <v/>
      </c>
      <c r="K363" s="52" t="n"/>
    </row>
    <row r="364">
      <c r="A364" s="52" t="n"/>
      <c r="B364" s="61">
        <f>IFERROR(VLOOKUP(A364,Clientes_PDV!$A$2:$J$250,2,FALSE),"")</f>
        <v/>
      </c>
      <c r="C364" s="61">
        <f>IFERROR(VLOOKUP(A364,Clientes_PDV!$A$2:$J$250,3,FALSE),"")</f>
        <v/>
      </c>
      <c r="D364" s="61">
        <f>IFERROR(VLOOKUP(A364,Clientes_PDV!$A$2:$J$250,4,FALSE),"")</f>
        <v/>
      </c>
      <c r="E364" s="52" t="n"/>
      <c r="F364" s="61">
        <f>IFERROR(VLOOKUP(E364,Maestro_SKU!$A$2:$P$500,2,FALSE),"")</f>
        <v/>
      </c>
      <c r="G364" s="59" t="n"/>
      <c r="H364" s="62">
        <f>IF(OR(G364="",E364=""),"",G364*IFERROR(VLOOKUP(E364,Maestro_SKU!$A$2:$P$500,12,FALSE),1))</f>
        <v/>
      </c>
      <c r="I364" s="53" t="n"/>
      <c r="J364" s="61">
        <f>IF(A364="","",IF(H364&lt;=Inicio!$B$16,"Crítico",IF(H364&lt;=Inicio!$B$17,"Observar","OK")))</f>
        <v/>
      </c>
      <c r="K364" s="52" t="n"/>
    </row>
    <row r="365">
      <c r="A365" s="52" t="n"/>
      <c r="B365" s="61">
        <f>IFERROR(VLOOKUP(A365,Clientes_PDV!$A$2:$J$250,2,FALSE),"")</f>
        <v/>
      </c>
      <c r="C365" s="61">
        <f>IFERROR(VLOOKUP(A365,Clientes_PDV!$A$2:$J$250,3,FALSE),"")</f>
        <v/>
      </c>
      <c r="D365" s="61">
        <f>IFERROR(VLOOKUP(A365,Clientes_PDV!$A$2:$J$250,4,FALSE),"")</f>
        <v/>
      </c>
      <c r="E365" s="52" t="n"/>
      <c r="F365" s="61">
        <f>IFERROR(VLOOKUP(E365,Maestro_SKU!$A$2:$P$500,2,FALSE),"")</f>
        <v/>
      </c>
      <c r="G365" s="59" t="n"/>
      <c r="H365" s="62">
        <f>IF(OR(G365="",E365=""),"",G365*IFERROR(VLOOKUP(E365,Maestro_SKU!$A$2:$P$500,12,FALSE),1))</f>
        <v/>
      </c>
      <c r="I365" s="53" t="n"/>
      <c r="J365" s="61">
        <f>IF(A365="","",IF(H365&lt;=Inicio!$B$16,"Crítico",IF(H365&lt;=Inicio!$B$17,"Observar","OK")))</f>
        <v/>
      </c>
      <c r="K365" s="52" t="n"/>
    </row>
    <row r="366">
      <c r="A366" s="52" t="n"/>
      <c r="B366" s="61">
        <f>IFERROR(VLOOKUP(A366,Clientes_PDV!$A$2:$J$250,2,FALSE),"")</f>
        <v/>
      </c>
      <c r="C366" s="61">
        <f>IFERROR(VLOOKUP(A366,Clientes_PDV!$A$2:$J$250,3,FALSE),"")</f>
        <v/>
      </c>
      <c r="D366" s="61">
        <f>IFERROR(VLOOKUP(A366,Clientes_PDV!$A$2:$J$250,4,FALSE),"")</f>
        <v/>
      </c>
      <c r="E366" s="52" t="n"/>
      <c r="F366" s="61">
        <f>IFERROR(VLOOKUP(E366,Maestro_SKU!$A$2:$P$500,2,FALSE),"")</f>
        <v/>
      </c>
      <c r="G366" s="59" t="n"/>
      <c r="H366" s="62">
        <f>IF(OR(G366="",E366=""),"",G366*IFERROR(VLOOKUP(E366,Maestro_SKU!$A$2:$P$500,12,FALSE),1))</f>
        <v/>
      </c>
      <c r="I366" s="53" t="n"/>
      <c r="J366" s="61">
        <f>IF(A366="","",IF(H366&lt;=Inicio!$B$16,"Crítico",IF(H366&lt;=Inicio!$B$17,"Observar","OK")))</f>
        <v/>
      </c>
      <c r="K366" s="52" t="n"/>
    </row>
    <row r="367">
      <c r="A367" s="52" t="n"/>
      <c r="B367" s="61">
        <f>IFERROR(VLOOKUP(A367,Clientes_PDV!$A$2:$J$250,2,FALSE),"")</f>
        <v/>
      </c>
      <c r="C367" s="61">
        <f>IFERROR(VLOOKUP(A367,Clientes_PDV!$A$2:$J$250,3,FALSE),"")</f>
        <v/>
      </c>
      <c r="D367" s="61">
        <f>IFERROR(VLOOKUP(A367,Clientes_PDV!$A$2:$J$250,4,FALSE),"")</f>
        <v/>
      </c>
      <c r="E367" s="52" t="n"/>
      <c r="F367" s="61">
        <f>IFERROR(VLOOKUP(E367,Maestro_SKU!$A$2:$P$500,2,FALSE),"")</f>
        <v/>
      </c>
      <c r="G367" s="59" t="n"/>
      <c r="H367" s="62">
        <f>IF(OR(G367="",E367=""),"",G367*IFERROR(VLOOKUP(E367,Maestro_SKU!$A$2:$P$500,12,FALSE),1))</f>
        <v/>
      </c>
      <c r="I367" s="53" t="n"/>
      <c r="J367" s="61">
        <f>IF(A367="","",IF(H367&lt;=Inicio!$B$16,"Crítico",IF(H367&lt;=Inicio!$B$17,"Observar","OK")))</f>
        <v/>
      </c>
      <c r="K367" s="52" t="n"/>
    </row>
    <row r="368">
      <c r="A368" s="52" t="n"/>
      <c r="B368" s="61">
        <f>IFERROR(VLOOKUP(A368,Clientes_PDV!$A$2:$J$250,2,FALSE),"")</f>
        <v/>
      </c>
      <c r="C368" s="61">
        <f>IFERROR(VLOOKUP(A368,Clientes_PDV!$A$2:$J$250,3,FALSE),"")</f>
        <v/>
      </c>
      <c r="D368" s="61">
        <f>IFERROR(VLOOKUP(A368,Clientes_PDV!$A$2:$J$250,4,FALSE),"")</f>
        <v/>
      </c>
      <c r="E368" s="52" t="n"/>
      <c r="F368" s="61">
        <f>IFERROR(VLOOKUP(E368,Maestro_SKU!$A$2:$P$500,2,FALSE),"")</f>
        <v/>
      </c>
      <c r="G368" s="59" t="n"/>
      <c r="H368" s="62">
        <f>IF(OR(G368="",E368=""),"",G368*IFERROR(VLOOKUP(E368,Maestro_SKU!$A$2:$P$500,12,FALSE),1))</f>
        <v/>
      </c>
      <c r="I368" s="53" t="n"/>
      <c r="J368" s="61">
        <f>IF(A368="","",IF(H368&lt;=Inicio!$B$16,"Crítico",IF(H368&lt;=Inicio!$B$17,"Observar","OK")))</f>
        <v/>
      </c>
      <c r="K368" s="52" t="n"/>
    </row>
    <row r="369">
      <c r="A369" s="52" t="n"/>
      <c r="B369" s="61">
        <f>IFERROR(VLOOKUP(A369,Clientes_PDV!$A$2:$J$250,2,FALSE),"")</f>
        <v/>
      </c>
      <c r="C369" s="61">
        <f>IFERROR(VLOOKUP(A369,Clientes_PDV!$A$2:$J$250,3,FALSE),"")</f>
        <v/>
      </c>
      <c r="D369" s="61">
        <f>IFERROR(VLOOKUP(A369,Clientes_PDV!$A$2:$J$250,4,FALSE),"")</f>
        <v/>
      </c>
      <c r="E369" s="52" t="n"/>
      <c r="F369" s="61">
        <f>IFERROR(VLOOKUP(E369,Maestro_SKU!$A$2:$P$500,2,FALSE),"")</f>
        <v/>
      </c>
      <c r="G369" s="59" t="n"/>
      <c r="H369" s="62">
        <f>IF(OR(G369="",E369=""),"",G369*IFERROR(VLOOKUP(E369,Maestro_SKU!$A$2:$P$500,12,FALSE),1))</f>
        <v/>
      </c>
      <c r="I369" s="53" t="n"/>
      <c r="J369" s="61">
        <f>IF(A369="","",IF(H369&lt;=Inicio!$B$16,"Crítico",IF(H369&lt;=Inicio!$B$17,"Observar","OK")))</f>
        <v/>
      </c>
      <c r="K369" s="52" t="n"/>
    </row>
    <row r="370">
      <c r="A370" s="52" t="n"/>
      <c r="B370" s="61">
        <f>IFERROR(VLOOKUP(A370,Clientes_PDV!$A$2:$J$250,2,FALSE),"")</f>
        <v/>
      </c>
      <c r="C370" s="61">
        <f>IFERROR(VLOOKUP(A370,Clientes_PDV!$A$2:$J$250,3,FALSE),"")</f>
        <v/>
      </c>
      <c r="D370" s="61">
        <f>IFERROR(VLOOKUP(A370,Clientes_PDV!$A$2:$J$250,4,FALSE),"")</f>
        <v/>
      </c>
      <c r="E370" s="52" t="n"/>
      <c r="F370" s="61">
        <f>IFERROR(VLOOKUP(E370,Maestro_SKU!$A$2:$P$500,2,FALSE),"")</f>
        <v/>
      </c>
      <c r="G370" s="59" t="n"/>
      <c r="H370" s="62">
        <f>IF(OR(G370="",E370=""),"",G370*IFERROR(VLOOKUP(E370,Maestro_SKU!$A$2:$P$500,12,FALSE),1))</f>
        <v/>
      </c>
      <c r="I370" s="53" t="n"/>
      <c r="J370" s="61">
        <f>IF(A370="","",IF(H370&lt;=Inicio!$B$16,"Crítico",IF(H370&lt;=Inicio!$B$17,"Observar","OK")))</f>
        <v/>
      </c>
      <c r="K370" s="52" t="n"/>
    </row>
    <row r="371">
      <c r="A371" s="52" t="n"/>
      <c r="B371" s="61">
        <f>IFERROR(VLOOKUP(A371,Clientes_PDV!$A$2:$J$250,2,FALSE),"")</f>
        <v/>
      </c>
      <c r="C371" s="61">
        <f>IFERROR(VLOOKUP(A371,Clientes_PDV!$A$2:$J$250,3,FALSE),"")</f>
        <v/>
      </c>
      <c r="D371" s="61">
        <f>IFERROR(VLOOKUP(A371,Clientes_PDV!$A$2:$J$250,4,FALSE),"")</f>
        <v/>
      </c>
      <c r="E371" s="52" t="n"/>
      <c r="F371" s="61">
        <f>IFERROR(VLOOKUP(E371,Maestro_SKU!$A$2:$P$500,2,FALSE),"")</f>
        <v/>
      </c>
      <c r="G371" s="59" t="n"/>
      <c r="H371" s="62">
        <f>IF(OR(G371="",E371=""),"",G371*IFERROR(VLOOKUP(E371,Maestro_SKU!$A$2:$P$500,12,FALSE),1))</f>
        <v/>
      </c>
      <c r="I371" s="53" t="n"/>
      <c r="J371" s="61">
        <f>IF(A371="","",IF(H371&lt;=Inicio!$B$16,"Crítico",IF(H371&lt;=Inicio!$B$17,"Observar","OK")))</f>
        <v/>
      </c>
      <c r="K371" s="52" t="n"/>
    </row>
    <row r="372">
      <c r="A372" s="52" t="n"/>
      <c r="B372" s="61">
        <f>IFERROR(VLOOKUP(A372,Clientes_PDV!$A$2:$J$250,2,FALSE),"")</f>
        <v/>
      </c>
      <c r="C372" s="61">
        <f>IFERROR(VLOOKUP(A372,Clientes_PDV!$A$2:$J$250,3,FALSE),"")</f>
        <v/>
      </c>
      <c r="D372" s="61">
        <f>IFERROR(VLOOKUP(A372,Clientes_PDV!$A$2:$J$250,4,FALSE),"")</f>
        <v/>
      </c>
      <c r="E372" s="52" t="n"/>
      <c r="F372" s="61">
        <f>IFERROR(VLOOKUP(E372,Maestro_SKU!$A$2:$P$500,2,FALSE),"")</f>
        <v/>
      </c>
      <c r="G372" s="59" t="n"/>
      <c r="H372" s="62">
        <f>IF(OR(G372="",E372=""),"",G372*IFERROR(VLOOKUP(E372,Maestro_SKU!$A$2:$P$500,12,FALSE),1))</f>
        <v/>
      </c>
      <c r="I372" s="53" t="n"/>
      <c r="J372" s="61">
        <f>IF(A372="","",IF(H372&lt;=Inicio!$B$16,"Crítico",IF(H372&lt;=Inicio!$B$17,"Observar","OK")))</f>
        <v/>
      </c>
      <c r="K372" s="52" t="n"/>
    </row>
    <row r="373">
      <c r="A373" s="52" t="n"/>
      <c r="B373" s="61">
        <f>IFERROR(VLOOKUP(A373,Clientes_PDV!$A$2:$J$250,2,FALSE),"")</f>
        <v/>
      </c>
      <c r="C373" s="61">
        <f>IFERROR(VLOOKUP(A373,Clientes_PDV!$A$2:$J$250,3,FALSE),"")</f>
        <v/>
      </c>
      <c r="D373" s="61">
        <f>IFERROR(VLOOKUP(A373,Clientes_PDV!$A$2:$J$250,4,FALSE),"")</f>
        <v/>
      </c>
      <c r="E373" s="52" t="n"/>
      <c r="F373" s="61">
        <f>IFERROR(VLOOKUP(E373,Maestro_SKU!$A$2:$P$500,2,FALSE),"")</f>
        <v/>
      </c>
      <c r="G373" s="59" t="n"/>
      <c r="H373" s="62">
        <f>IF(OR(G373="",E373=""),"",G373*IFERROR(VLOOKUP(E373,Maestro_SKU!$A$2:$P$500,12,FALSE),1))</f>
        <v/>
      </c>
      <c r="I373" s="53" t="n"/>
      <c r="J373" s="61">
        <f>IF(A373="","",IF(H373&lt;=Inicio!$B$16,"Crítico",IF(H373&lt;=Inicio!$B$17,"Observar","OK")))</f>
        <v/>
      </c>
      <c r="K373" s="52" t="n"/>
    </row>
    <row r="374">
      <c r="A374" s="52" t="n"/>
      <c r="B374" s="61">
        <f>IFERROR(VLOOKUP(A374,Clientes_PDV!$A$2:$J$250,2,FALSE),"")</f>
        <v/>
      </c>
      <c r="C374" s="61">
        <f>IFERROR(VLOOKUP(A374,Clientes_PDV!$A$2:$J$250,3,FALSE),"")</f>
        <v/>
      </c>
      <c r="D374" s="61">
        <f>IFERROR(VLOOKUP(A374,Clientes_PDV!$A$2:$J$250,4,FALSE),"")</f>
        <v/>
      </c>
      <c r="E374" s="52" t="n"/>
      <c r="F374" s="61">
        <f>IFERROR(VLOOKUP(E374,Maestro_SKU!$A$2:$P$500,2,FALSE),"")</f>
        <v/>
      </c>
      <c r="G374" s="59" t="n"/>
      <c r="H374" s="62">
        <f>IF(OR(G374="",E374=""),"",G374*IFERROR(VLOOKUP(E374,Maestro_SKU!$A$2:$P$500,12,FALSE),1))</f>
        <v/>
      </c>
      <c r="I374" s="53" t="n"/>
      <c r="J374" s="61">
        <f>IF(A374="","",IF(H374&lt;=Inicio!$B$16,"Crítico",IF(H374&lt;=Inicio!$B$17,"Observar","OK")))</f>
        <v/>
      </c>
      <c r="K374" s="52" t="n"/>
    </row>
    <row r="375">
      <c r="A375" s="52" t="n"/>
      <c r="B375" s="61">
        <f>IFERROR(VLOOKUP(A375,Clientes_PDV!$A$2:$J$250,2,FALSE),"")</f>
        <v/>
      </c>
      <c r="C375" s="61">
        <f>IFERROR(VLOOKUP(A375,Clientes_PDV!$A$2:$J$250,3,FALSE),"")</f>
        <v/>
      </c>
      <c r="D375" s="61">
        <f>IFERROR(VLOOKUP(A375,Clientes_PDV!$A$2:$J$250,4,FALSE),"")</f>
        <v/>
      </c>
      <c r="E375" s="52" t="n"/>
      <c r="F375" s="61">
        <f>IFERROR(VLOOKUP(E375,Maestro_SKU!$A$2:$P$500,2,FALSE),"")</f>
        <v/>
      </c>
      <c r="G375" s="59" t="n"/>
      <c r="H375" s="62">
        <f>IF(OR(G375="",E375=""),"",G375*IFERROR(VLOOKUP(E375,Maestro_SKU!$A$2:$P$500,12,FALSE),1))</f>
        <v/>
      </c>
      <c r="I375" s="53" t="n"/>
      <c r="J375" s="61">
        <f>IF(A375="","",IF(H375&lt;=Inicio!$B$16,"Crítico",IF(H375&lt;=Inicio!$B$17,"Observar","OK")))</f>
        <v/>
      </c>
      <c r="K375" s="52" t="n"/>
    </row>
    <row r="376">
      <c r="A376" s="52" t="n"/>
      <c r="B376" s="61">
        <f>IFERROR(VLOOKUP(A376,Clientes_PDV!$A$2:$J$250,2,FALSE),"")</f>
        <v/>
      </c>
      <c r="C376" s="61">
        <f>IFERROR(VLOOKUP(A376,Clientes_PDV!$A$2:$J$250,3,FALSE),"")</f>
        <v/>
      </c>
      <c r="D376" s="61">
        <f>IFERROR(VLOOKUP(A376,Clientes_PDV!$A$2:$J$250,4,FALSE),"")</f>
        <v/>
      </c>
      <c r="E376" s="52" t="n"/>
      <c r="F376" s="61">
        <f>IFERROR(VLOOKUP(E376,Maestro_SKU!$A$2:$P$500,2,FALSE),"")</f>
        <v/>
      </c>
      <c r="G376" s="59" t="n"/>
      <c r="H376" s="62">
        <f>IF(OR(G376="",E376=""),"",G376*IFERROR(VLOOKUP(E376,Maestro_SKU!$A$2:$P$500,12,FALSE),1))</f>
        <v/>
      </c>
      <c r="I376" s="53" t="n"/>
      <c r="J376" s="61">
        <f>IF(A376="","",IF(H376&lt;=Inicio!$B$16,"Crítico",IF(H376&lt;=Inicio!$B$17,"Observar","OK")))</f>
        <v/>
      </c>
      <c r="K376" s="52" t="n"/>
    </row>
    <row r="377">
      <c r="A377" s="52" t="n"/>
      <c r="B377" s="61">
        <f>IFERROR(VLOOKUP(A377,Clientes_PDV!$A$2:$J$250,2,FALSE),"")</f>
        <v/>
      </c>
      <c r="C377" s="61">
        <f>IFERROR(VLOOKUP(A377,Clientes_PDV!$A$2:$J$250,3,FALSE),"")</f>
        <v/>
      </c>
      <c r="D377" s="61">
        <f>IFERROR(VLOOKUP(A377,Clientes_PDV!$A$2:$J$250,4,FALSE),"")</f>
        <v/>
      </c>
      <c r="E377" s="52" t="n"/>
      <c r="F377" s="61">
        <f>IFERROR(VLOOKUP(E377,Maestro_SKU!$A$2:$P$500,2,FALSE),"")</f>
        <v/>
      </c>
      <c r="G377" s="59" t="n"/>
      <c r="H377" s="62">
        <f>IF(OR(G377="",E377=""),"",G377*IFERROR(VLOOKUP(E377,Maestro_SKU!$A$2:$P$500,12,FALSE),1))</f>
        <v/>
      </c>
      <c r="I377" s="53" t="n"/>
      <c r="J377" s="61">
        <f>IF(A377="","",IF(H377&lt;=Inicio!$B$16,"Crítico",IF(H377&lt;=Inicio!$B$17,"Observar","OK")))</f>
        <v/>
      </c>
      <c r="K377" s="52" t="n"/>
    </row>
    <row r="378">
      <c r="A378" s="52" t="n"/>
      <c r="B378" s="61">
        <f>IFERROR(VLOOKUP(A378,Clientes_PDV!$A$2:$J$250,2,FALSE),"")</f>
        <v/>
      </c>
      <c r="C378" s="61">
        <f>IFERROR(VLOOKUP(A378,Clientes_PDV!$A$2:$J$250,3,FALSE),"")</f>
        <v/>
      </c>
      <c r="D378" s="61">
        <f>IFERROR(VLOOKUP(A378,Clientes_PDV!$A$2:$J$250,4,FALSE),"")</f>
        <v/>
      </c>
      <c r="E378" s="52" t="n"/>
      <c r="F378" s="61">
        <f>IFERROR(VLOOKUP(E378,Maestro_SKU!$A$2:$P$500,2,FALSE),"")</f>
        <v/>
      </c>
      <c r="G378" s="59" t="n"/>
      <c r="H378" s="62">
        <f>IF(OR(G378="",E378=""),"",G378*IFERROR(VLOOKUP(E378,Maestro_SKU!$A$2:$P$500,12,FALSE),1))</f>
        <v/>
      </c>
      <c r="I378" s="53" t="n"/>
      <c r="J378" s="61">
        <f>IF(A378="","",IF(H378&lt;=Inicio!$B$16,"Crítico",IF(H378&lt;=Inicio!$B$17,"Observar","OK")))</f>
        <v/>
      </c>
      <c r="K378" s="52" t="n"/>
    </row>
    <row r="379">
      <c r="A379" s="52" t="n"/>
      <c r="B379" s="61">
        <f>IFERROR(VLOOKUP(A379,Clientes_PDV!$A$2:$J$250,2,FALSE),"")</f>
        <v/>
      </c>
      <c r="C379" s="61">
        <f>IFERROR(VLOOKUP(A379,Clientes_PDV!$A$2:$J$250,3,FALSE),"")</f>
        <v/>
      </c>
      <c r="D379" s="61">
        <f>IFERROR(VLOOKUP(A379,Clientes_PDV!$A$2:$J$250,4,FALSE),"")</f>
        <v/>
      </c>
      <c r="E379" s="52" t="n"/>
      <c r="F379" s="61">
        <f>IFERROR(VLOOKUP(E379,Maestro_SKU!$A$2:$P$500,2,FALSE),"")</f>
        <v/>
      </c>
      <c r="G379" s="59" t="n"/>
      <c r="H379" s="62">
        <f>IF(OR(G379="",E379=""),"",G379*IFERROR(VLOOKUP(E379,Maestro_SKU!$A$2:$P$500,12,FALSE),1))</f>
        <v/>
      </c>
      <c r="I379" s="53" t="n"/>
      <c r="J379" s="61">
        <f>IF(A379="","",IF(H379&lt;=Inicio!$B$16,"Crítico",IF(H379&lt;=Inicio!$B$17,"Observar","OK")))</f>
        <v/>
      </c>
      <c r="K379" s="52" t="n"/>
    </row>
    <row r="380">
      <c r="A380" s="52" t="n"/>
      <c r="B380" s="61">
        <f>IFERROR(VLOOKUP(A380,Clientes_PDV!$A$2:$J$250,2,FALSE),"")</f>
        <v/>
      </c>
      <c r="C380" s="61">
        <f>IFERROR(VLOOKUP(A380,Clientes_PDV!$A$2:$J$250,3,FALSE),"")</f>
        <v/>
      </c>
      <c r="D380" s="61">
        <f>IFERROR(VLOOKUP(A380,Clientes_PDV!$A$2:$J$250,4,FALSE),"")</f>
        <v/>
      </c>
      <c r="E380" s="52" t="n"/>
      <c r="F380" s="61">
        <f>IFERROR(VLOOKUP(E380,Maestro_SKU!$A$2:$P$500,2,FALSE),"")</f>
        <v/>
      </c>
      <c r="G380" s="59" t="n"/>
      <c r="H380" s="62">
        <f>IF(OR(G380="",E380=""),"",G380*IFERROR(VLOOKUP(E380,Maestro_SKU!$A$2:$P$500,12,FALSE),1))</f>
        <v/>
      </c>
      <c r="I380" s="53" t="n"/>
      <c r="J380" s="61">
        <f>IF(A380="","",IF(H380&lt;=Inicio!$B$16,"Crítico",IF(H380&lt;=Inicio!$B$17,"Observar","OK")))</f>
        <v/>
      </c>
      <c r="K380" s="52" t="n"/>
    </row>
    <row r="381">
      <c r="A381" s="52" t="n"/>
      <c r="B381" s="61">
        <f>IFERROR(VLOOKUP(A381,Clientes_PDV!$A$2:$J$250,2,FALSE),"")</f>
        <v/>
      </c>
      <c r="C381" s="61">
        <f>IFERROR(VLOOKUP(A381,Clientes_PDV!$A$2:$J$250,3,FALSE),"")</f>
        <v/>
      </c>
      <c r="D381" s="61">
        <f>IFERROR(VLOOKUP(A381,Clientes_PDV!$A$2:$J$250,4,FALSE),"")</f>
        <v/>
      </c>
      <c r="E381" s="52" t="n"/>
      <c r="F381" s="61">
        <f>IFERROR(VLOOKUP(E381,Maestro_SKU!$A$2:$P$500,2,FALSE),"")</f>
        <v/>
      </c>
      <c r="G381" s="59" t="n"/>
      <c r="H381" s="62">
        <f>IF(OR(G381="",E381=""),"",G381*IFERROR(VLOOKUP(E381,Maestro_SKU!$A$2:$P$500,12,FALSE),1))</f>
        <v/>
      </c>
      <c r="I381" s="53" t="n"/>
      <c r="J381" s="61">
        <f>IF(A381="","",IF(H381&lt;=Inicio!$B$16,"Crítico",IF(H381&lt;=Inicio!$B$17,"Observar","OK")))</f>
        <v/>
      </c>
      <c r="K381" s="52" t="n"/>
    </row>
    <row r="382">
      <c r="A382" s="52" t="n"/>
      <c r="B382" s="61">
        <f>IFERROR(VLOOKUP(A382,Clientes_PDV!$A$2:$J$250,2,FALSE),"")</f>
        <v/>
      </c>
      <c r="C382" s="61">
        <f>IFERROR(VLOOKUP(A382,Clientes_PDV!$A$2:$J$250,3,FALSE),"")</f>
        <v/>
      </c>
      <c r="D382" s="61">
        <f>IFERROR(VLOOKUP(A382,Clientes_PDV!$A$2:$J$250,4,FALSE),"")</f>
        <v/>
      </c>
      <c r="E382" s="52" t="n"/>
      <c r="F382" s="61">
        <f>IFERROR(VLOOKUP(E382,Maestro_SKU!$A$2:$P$500,2,FALSE),"")</f>
        <v/>
      </c>
      <c r="G382" s="59" t="n"/>
      <c r="H382" s="62">
        <f>IF(OR(G382="",E382=""),"",G382*IFERROR(VLOOKUP(E382,Maestro_SKU!$A$2:$P$500,12,FALSE),1))</f>
        <v/>
      </c>
      <c r="I382" s="53" t="n"/>
      <c r="J382" s="61">
        <f>IF(A382="","",IF(H382&lt;=Inicio!$B$16,"Crítico",IF(H382&lt;=Inicio!$B$17,"Observar","OK")))</f>
        <v/>
      </c>
      <c r="K382" s="52" t="n"/>
    </row>
    <row r="383">
      <c r="A383" s="52" t="n"/>
      <c r="B383" s="61">
        <f>IFERROR(VLOOKUP(A383,Clientes_PDV!$A$2:$J$250,2,FALSE),"")</f>
        <v/>
      </c>
      <c r="C383" s="61">
        <f>IFERROR(VLOOKUP(A383,Clientes_PDV!$A$2:$J$250,3,FALSE),"")</f>
        <v/>
      </c>
      <c r="D383" s="61">
        <f>IFERROR(VLOOKUP(A383,Clientes_PDV!$A$2:$J$250,4,FALSE),"")</f>
        <v/>
      </c>
      <c r="E383" s="52" t="n"/>
      <c r="F383" s="61">
        <f>IFERROR(VLOOKUP(E383,Maestro_SKU!$A$2:$P$500,2,FALSE),"")</f>
        <v/>
      </c>
      <c r="G383" s="59" t="n"/>
      <c r="H383" s="62">
        <f>IF(OR(G383="",E383=""),"",G383*IFERROR(VLOOKUP(E383,Maestro_SKU!$A$2:$P$500,12,FALSE),1))</f>
        <v/>
      </c>
      <c r="I383" s="53" t="n"/>
      <c r="J383" s="61">
        <f>IF(A383="","",IF(H383&lt;=Inicio!$B$16,"Crítico",IF(H383&lt;=Inicio!$B$17,"Observar","OK")))</f>
        <v/>
      </c>
      <c r="K383" s="52" t="n"/>
    </row>
    <row r="384">
      <c r="A384" s="52" t="n"/>
      <c r="B384" s="61">
        <f>IFERROR(VLOOKUP(A384,Clientes_PDV!$A$2:$J$250,2,FALSE),"")</f>
        <v/>
      </c>
      <c r="C384" s="61">
        <f>IFERROR(VLOOKUP(A384,Clientes_PDV!$A$2:$J$250,3,FALSE),"")</f>
        <v/>
      </c>
      <c r="D384" s="61">
        <f>IFERROR(VLOOKUP(A384,Clientes_PDV!$A$2:$J$250,4,FALSE),"")</f>
        <v/>
      </c>
      <c r="E384" s="52" t="n"/>
      <c r="F384" s="61">
        <f>IFERROR(VLOOKUP(E384,Maestro_SKU!$A$2:$P$500,2,FALSE),"")</f>
        <v/>
      </c>
      <c r="G384" s="59" t="n"/>
      <c r="H384" s="62">
        <f>IF(OR(G384="",E384=""),"",G384*IFERROR(VLOOKUP(E384,Maestro_SKU!$A$2:$P$500,12,FALSE),1))</f>
        <v/>
      </c>
      <c r="I384" s="53" t="n"/>
      <c r="J384" s="61">
        <f>IF(A384="","",IF(H384&lt;=Inicio!$B$16,"Crítico",IF(H384&lt;=Inicio!$B$17,"Observar","OK")))</f>
        <v/>
      </c>
      <c r="K384" s="52" t="n"/>
    </row>
    <row r="385">
      <c r="A385" s="52" t="n"/>
      <c r="B385" s="61">
        <f>IFERROR(VLOOKUP(A385,Clientes_PDV!$A$2:$J$250,2,FALSE),"")</f>
        <v/>
      </c>
      <c r="C385" s="61">
        <f>IFERROR(VLOOKUP(A385,Clientes_PDV!$A$2:$J$250,3,FALSE),"")</f>
        <v/>
      </c>
      <c r="D385" s="61">
        <f>IFERROR(VLOOKUP(A385,Clientes_PDV!$A$2:$J$250,4,FALSE),"")</f>
        <v/>
      </c>
      <c r="E385" s="52" t="n"/>
      <c r="F385" s="61">
        <f>IFERROR(VLOOKUP(E385,Maestro_SKU!$A$2:$P$500,2,FALSE),"")</f>
        <v/>
      </c>
      <c r="G385" s="59" t="n"/>
      <c r="H385" s="62">
        <f>IF(OR(G385="",E385=""),"",G385*IFERROR(VLOOKUP(E385,Maestro_SKU!$A$2:$P$500,12,FALSE),1))</f>
        <v/>
      </c>
      <c r="I385" s="53" t="n"/>
      <c r="J385" s="61">
        <f>IF(A385="","",IF(H385&lt;=Inicio!$B$16,"Crítico",IF(H385&lt;=Inicio!$B$17,"Observar","OK")))</f>
        <v/>
      </c>
      <c r="K385" s="52" t="n"/>
    </row>
    <row r="386">
      <c r="A386" s="52" t="n"/>
      <c r="B386" s="61">
        <f>IFERROR(VLOOKUP(A386,Clientes_PDV!$A$2:$J$250,2,FALSE),"")</f>
        <v/>
      </c>
      <c r="C386" s="61">
        <f>IFERROR(VLOOKUP(A386,Clientes_PDV!$A$2:$J$250,3,FALSE),"")</f>
        <v/>
      </c>
      <c r="D386" s="61">
        <f>IFERROR(VLOOKUP(A386,Clientes_PDV!$A$2:$J$250,4,FALSE),"")</f>
        <v/>
      </c>
      <c r="E386" s="52" t="n"/>
      <c r="F386" s="61">
        <f>IFERROR(VLOOKUP(E386,Maestro_SKU!$A$2:$P$500,2,FALSE),"")</f>
        <v/>
      </c>
      <c r="G386" s="59" t="n"/>
      <c r="H386" s="62">
        <f>IF(OR(G386="",E386=""),"",G386*IFERROR(VLOOKUP(E386,Maestro_SKU!$A$2:$P$500,12,FALSE),1))</f>
        <v/>
      </c>
      <c r="I386" s="53" t="n"/>
      <c r="J386" s="61">
        <f>IF(A386="","",IF(H386&lt;=Inicio!$B$16,"Crítico",IF(H386&lt;=Inicio!$B$17,"Observar","OK")))</f>
        <v/>
      </c>
      <c r="K386" s="52" t="n"/>
    </row>
    <row r="387">
      <c r="A387" s="52" t="n"/>
      <c r="B387" s="61">
        <f>IFERROR(VLOOKUP(A387,Clientes_PDV!$A$2:$J$250,2,FALSE),"")</f>
        <v/>
      </c>
      <c r="C387" s="61">
        <f>IFERROR(VLOOKUP(A387,Clientes_PDV!$A$2:$J$250,3,FALSE),"")</f>
        <v/>
      </c>
      <c r="D387" s="61">
        <f>IFERROR(VLOOKUP(A387,Clientes_PDV!$A$2:$J$250,4,FALSE),"")</f>
        <v/>
      </c>
      <c r="E387" s="52" t="n"/>
      <c r="F387" s="61">
        <f>IFERROR(VLOOKUP(E387,Maestro_SKU!$A$2:$P$500,2,FALSE),"")</f>
        <v/>
      </c>
      <c r="G387" s="59" t="n"/>
      <c r="H387" s="62">
        <f>IF(OR(G387="",E387=""),"",G387*IFERROR(VLOOKUP(E387,Maestro_SKU!$A$2:$P$500,12,FALSE),1))</f>
        <v/>
      </c>
      <c r="I387" s="53" t="n"/>
      <c r="J387" s="61">
        <f>IF(A387="","",IF(H387&lt;=Inicio!$B$16,"Crítico",IF(H387&lt;=Inicio!$B$17,"Observar","OK")))</f>
        <v/>
      </c>
      <c r="K387" s="52" t="n"/>
    </row>
    <row r="388">
      <c r="A388" s="52" t="n"/>
      <c r="B388" s="61">
        <f>IFERROR(VLOOKUP(A388,Clientes_PDV!$A$2:$J$250,2,FALSE),"")</f>
        <v/>
      </c>
      <c r="C388" s="61">
        <f>IFERROR(VLOOKUP(A388,Clientes_PDV!$A$2:$J$250,3,FALSE),"")</f>
        <v/>
      </c>
      <c r="D388" s="61">
        <f>IFERROR(VLOOKUP(A388,Clientes_PDV!$A$2:$J$250,4,FALSE),"")</f>
        <v/>
      </c>
      <c r="E388" s="52" t="n"/>
      <c r="F388" s="61">
        <f>IFERROR(VLOOKUP(E388,Maestro_SKU!$A$2:$P$500,2,FALSE),"")</f>
        <v/>
      </c>
      <c r="G388" s="59" t="n"/>
      <c r="H388" s="62">
        <f>IF(OR(G388="",E388=""),"",G388*IFERROR(VLOOKUP(E388,Maestro_SKU!$A$2:$P$500,12,FALSE),1))</f>
        <v/>
      </c>
      <c r="I388" s="53" t="n"/>
      <c r="J388" s="61">
        <f>IF(A388="","",IF(H388&lt;=Inicio!$B$16,"Crítico",IF(H388&lt;=Inicio!$B$17,"Observar","OK")))</f>
        <v/>
      </c>
      <c r="K388" s="52" t="n"/>
    </row>
    <row r="389">
      <c r="A389" s="52" t="n"/>
      <c r="B389" s="61">
        <f>IFERROR(VLOOKUP(A389,Clientes_PDV!$A$2:$J$250,2,FALSE),"")</f>
        <v/>
      </c>
      <c r="C389" s="61">
        <f>IFERROR(VLOOKUP(A389,Clientes_PDV!$A$2:$J$250,3,FALSE),"")</f>
        <v/>
      </c>
      <c r="D389" s="61">
        <f>IFERROR(VLOOKUP(A389,Clientes_PDV!$A$2:$J$250,4,FALSE),"")</f>
        <v/>
      </c>
      <c r="E389" s="52" t="n"/>
      <c r="F389" s="61">
        <f>IFERROR(VLOOKUP(E389,Maestro_SKU!$A$2:$P$500,2,FALSE),"")</f>
        <v/>
      </c>
      <c r="G389" s="59" t="n"/>
      <c r="H389" s="62">
        <f>IF(OR(G389="",E389=""),"",G389*IFERROR(VLOOKUP(E389,Maestro_SKU!$A$2:$P$500,12,FALSE),1))</f>
        <v/>
      </c>
      <c r="I389" s="53" t="n"/>
      <c r="J389" s="61">
        <f>IF(A389="","",IF(H389&lt;=Inicio!$B$16,"Crítico",IF(H389&lt;=Inicio!$B$17,"Observar","OK")))</f>
        <v/>
      </c>
      <c r="K389" s="52" t="n"/>
    </row>
    <row r="390">
      <c r="A390" s="52" t="n"/>
      <c r="B390" s="61">
        <f>IFERROR(VLOOKUP(A390,Clientes_PDV!$A$2:$J$250,2,FALSE),"")</f>
        <v/>
      </c>
      <c r="C390" s="61">
        <f>IFERROR(VLOOKUP(A390,Clientes_PDV!$A$2:$J$250,3,FALSE),"")</f>
        <v/>
      </c>
      <c r="D390" s="61">
        <f>IFERROR(VLOOKUP(A390,Clientes_PDV!$A$2:$J$250,4,FALSE),"")</f>
        <v/>
      </c>
      <c r="E390" s="52" t="n"/>
      <c r="F390" s="61">
        <f>IFERROR(VLOOKUP(E390,Maestro_SKU!$A$2:$P$500,2,FALSE),"")</f>
        <v/>
      </c>
      <c r="G390" s="59" t="n"/>
      <c r="H390" s="62">
        <f>IF(OR(G390="",E390=""),"",G390*IFERROR(VLOOKUP(E390,Maestro_SKU!$A$2:$P$500,12,FALSE),1))</f>
        <v/>
      </c>
      <c r="I390" s="53" t="n"/>
      <c r="J390" s="61">
        <f>IF(A390="","",IF(H390&lt;=Inicio!$B$16,"Crítico",IF(H390&lt;=Inicio!$B$17,"Observar","OK")))</f>
        <v/>
      </c>
      <c r="K390" s="52" t="n"/>
    </row>
    <row r="391">
      <c r="A391" s="52" t="n"/>
      <c r="B391" s="61">
        <f>IFERROR(VLOOKUP(A391,Clientes_PDV!$A$2:$J$250,2,FALSE),"")</f>
        <v/>
      </c>
      <c r="C391" s="61">
        <f>IFERROR(VLOOKUP(A391,Clientes_PDV!$A$2:$J$250,3,FALSE),"")</f>
        <v/>
      </c>
      <c r="D391" s="61">
        <f>IFERROR(VLOOKUP(A391,Clientes_PDV!$A$2:$J$250,4,FALSE),"")</f>
        <v/>
      </c>
      <c r="E391" s="52" t="n"/>
      <c r="F391" s="61">
        <f>IFERROR(VLOOKUP(E391,Maestro_SKU!$A$2:$P$500,2,FALSE),"")</f>
        <v/>
      </c>
      <c r="G391" s="59" t="n"/>
      <c r="H391" s="62">
        <f>IF(OR(G391="",E391=""),"",G391*IFERROR(VLOOKUP(E391,Maestro_SKU!$A$2:$P$500,12,FALSE),1))</f>
        <v/>
      </c>
      <c r="I391" s="53" t="n"/>
      <c r="J391" s="61">
        <f>IF(A391="","",IF(H391&lt;=Inicio!$B$16,"Crítico",IF(H391&lt;=Inicio!$B$17,"Observar","OK")))</f>
        <v/>
      </c>
      <c r="K391" s="52" t="n"/>
    </row>
    <row r="392">
      <c r="A392" s="52" t="n"/>
      <c r="B392" s="61">
        <f>IFERROR(VLOOKUP(A392,Clientes_PDV!$A$2:$J$250,2,FALSE),"")</f>
        <v/>
      </c>
      <c r="C392" s="61">
        <f>IFERROR(VLOOKUP(A392,Clientes_PDV!$A$2:$J$250,3,FALSE),"")</f>
        <v/>
      </c>
      <c r="D392" s="61">
        <f>IFERROR(VLOOKUP(A392,Clientes_PDV!$A$2:$J$250,4,FALSE),"")</f>
        <v/>
      </c>
      <c r="E392" s="52" t="n"/>
      <c r="F392" s="61">
        <f>IFERROR(VLOOKUP(E392,Maestro_SKU!$A$2:$P$500,2,FALSE),"")</f>
        <v/>
      </c>
      <c r="G392" s="59" t="n"/>
      <c r="H392" s="62">
        <f>IF(OR(G392="",E392=""),"",G392*IFERROR(VLOOKUP(E392,Maestro_SKU!$A$2:$P$500,12,FALSE),1))</f>
        <v/>
      </c>
      <c r="I392" s="53" t="n"/>
      <c r="J392" s="61">
        <f>IF(A392="","",IF(H392&lt;=Inicio!$B$16,"Crítico",IF(H392&lt;=Inicio!$B$17,"Observar","OK")))</f>
        <v/>
      </c>
      <c r="K392" s="52" t="n"/>
    </row>
    <row r="393">
      <c r="A393" s="52" t="n"/>
      <c r="B393" s="61">
        <f>IFERROR(VLOOKUP(A393,Clientes_PDV!$A$2:$J$250,2,FALSE),"")</f>
        <v/>
      </c>
      <c r="C393" s="61">
        <f>IFERROR(VLOOKUP(A393,Clientes_PDV!$A$2:$J$250,3,FALSE),"")</f>
        <v/>
      </c>
      <c r="D393" s="61">
        <f>IFERROR(VLOOKUP(A393,Clientes_PDV!$A$2:$J$250,4,FALSE),"")</f>
        <v/>
      </c>
      <c r="E393" s="52" t="n"/>
      <c r="F393" s="61">
        <f>IFERROR(VLOOKUP(E393,Maestro_SKU!$A$2:$P$500,2,FALSE),"")</f>
        <v/>
      </c>
      <c r="G393" s="59" t="n"/>
      <c r="H393" s="62">
        <f>IF(OR(G393="",E393=""),"",G393*IFERROR(VLOOKUP(E393,Maestro_SKU!$A$2:$P$500,12,FALSE),1))</f>
        <v/>
      </c>
      <c r="I393" s="53" t="n"/>
      <c r="J393" s="61">
        <f>IF(A393="","",IF(H393&lt;=Inicio!$B$16,"Crítico",IF(H393&lt;=Inicio!$B$17,"Observar","OK")))</f>
        <v/>
      </c>
      <c r="K393" s="52" t="n"/>
    </row>
    <row r="394">
      <c r="A394" s="52" t="n"/>
      <c r="B394" s="61">
        <f>IFERROR(VLOOKUP(A394,Clientes_PDV!$A$2:$J$250,2,FALSE),"")</f>
        <v/>
      </c>
      <c r="C394" s="61">
        <f>IFERROR(VLOOKUP(A394,Clientes_PDV!$A$2:$J$250,3,FALSE),"")</f>
        <v/>
      </c>
      <c r="D394" s="61">
        <f>IFERROR(VLOOKUP(A394,Clientes_PDV!$A$2:$J$250,4,FALSE),"")</f>
        <v/>
      </c>
      <c r="E394" s="52" t="n"/>
      <c r="F394" s="61">
        <f>IFERROR(VLOOKUP(E394,Maestro_SKU!$A$2:$P$500,2,FALSE),"")</f>
        <v/>
      </c>
      <c r="G394" s="59" t="n"/>
      <c r="H394" s="62">
        <f>IF(OR(G394="",E394=""),"",G394*IFERROR(VLOOKUP(E394,Maestro_SKU!$A$2:$P$500,12,FALSE),1))</f>
        <v/>
      </c>
      <c r="I394" s="53" t="n"/>
      <c r="J394" s="61">
        <f>IF(A394="","",IF(H394&lt;=Inicio!$B$16,"Crítico",IF(H394&lt;=Inicio!$B$17,"Observar","OK")))</f>
        <v/>
      </c>
      <c r="K394" s="52" t="n"/>
    </row>
    <row r="395">
      <c r="A395" s="52" t="n"/>
      <c r="B395" s="61">
        <f>IFERROR(VLOOKUP(A395,Clientes_PDV!$A$2:$J$250,2,FALSE),"")</f>
        <v/>
      </c>
      <c r="C395" s="61">
        <f>IFERROR(VLOOKUP(A395,Clientes_PDV!$A$2:$J$250,3,FALSE),"")</f>
        <v/>
      </c>
      <c r="D395" s="61">
        <f>IFERROR(VLOOKUP(A395,Clientes_PDV!$A$2:$J$250,4,FALSE),"")</f>
        <v/>
      </c>
      <c r="E395" s="52" t="n"/>
      <c r="F395" s="61">
        <f>IFERROR(VLOOKUP(E395,Maestro_SKU!$A$2:$P$500,2,FALSE),"")</f>
        <v/>
      </c>
      <c r="G395" s="59" t="n"/>
      <c r="H395" s="62">
        <f>IF(OR(G395="",E395=""),"",G395*IFERROR(VLOOKUP(E395,Maestro_SKU!$A$2:$P$500,12,FALSE),1))</f>
        <v/>
      </c>
      <c r="I395" s="53" t="n"/>
      <c r="J395" s="61">
        <f>IF(A395="","",IF(H395&lt;=Inicio!$B$16,"Crítico",IF(H395&lt;=Inicio!$B$17,"Observar","OK")))</f>
        <v/>
      </c>
      <c r="K395" s="52" t="n"/>
    </row>
    <row r="396">
      <c r="A396" s="52" t="n"/>
      <c r="B396" s="61">
        <f>IFERROR(VLOOKUP(A396,Clientes_PDV!$A$2:$J$250,2,FALSE),"")</f>
        <v/>
      </c>
      <c r="C396" s="61">
        <f>IFERROR(VLOOKUP(A396,Clientes_PDV!$A$2:$J$250,3,FALSE),"")</f>
        <v/>
      </c>
      <c r="D396" s="61">
        <f>IFERROR(VLOOKUP(A396,Clientes_PDV!$A$2:$J$250,4,FALSE),"")</f>
        <v/>
      </c>
      <c r="E396" s="52" t="n"/>
      <c r="F396" s="61">
        <f>IFERROR(VLOOKUP(E396,Maestro_SKU!$A$2:$P$500,2,FALSE),"")</f>
        <v/>
      </c>
      <c r="G396" s="59" t="n"/>
      <c r="H396" s="62">
        <f>IF(OR(G396="",E396=""),"",G396*IFERROR(VLOOKUP(E396,Maestro_SKU!$A$2:$P$500,12,FALSE),1))</f>
        <v/>
      </c>
      <c r="I396" s="53" t="n"/>
      <c r="J396" s="61">
        <f>IF(A396="","",IF(H396&lt;=Inicio!$B$16,"Crítico",IF(H396&lt;=Inicio!$B$17,"Observar","OK")))</f>
        <v/>
      </c>
      <c r="K396" s="52" t="n"/>
    </row>
    <row r="397">
      <c r="A397" s="52" t="n"/>
      <c r="B397" s="61">
        <f>IFERROR(VLOOKUP(A397,Clientes_PDV!$A$2:$J$250,2,FALSE),"")</f>
        <v/>
      </c>
      <c r="C397" s="61">
        <f>IFERROR(VLOOKUP(A397,Clientes_PDV!$A$2:$J$250,3,FALSE),"")</f>
        <v/>
      </c>
      <c r="D397" s="61">
        <f>IFERROR(VLOOKUP(A397,Clientes_PDV!$A$2:$J$250,4,FALSE),"")</f>
        <v/>
      </c>
      <c r="E397" s="52" t="n"/>
      <c r="F397" s="61">
        <f>IFERROR(VLOOKUP(E397,Maestro_SKU!$A$2:$P$500,2,FALSE),"")</f>
        <v/>
      </c>
      <c r="G397" s="59" t="n"/>
      <c r="H397" s="62">
        <f>IF(OR(G397="",E397=""),"",G397*IFERROR(VLOOKUP(E397,Maestro_SKU!$A$2:$P$500,12,FALSE),1))</f>
        <v/>
      </c>
      <c r="I397" s="53" t="n"/>
      <c r="J397" s="61">
        <f>IF(A397="","",IF(H397&lt;=Inicio!$B$16,"Crítico",IF(H397&lt;=Inicio!$B$17,"Observar","OK")))</f>
        <v/>
      </c>
      <c r="K397" s="52" t="n"/>
    </row>
    <row r="398">
      <c r="A398" s="52" t="n"/>
      <c r="B398" s="61">
        <f>IFERROR(VLOOKUP(A398,Clientes_PDV!$A$2:$J$250,2,FALSE),"")</f>
        <v/>
      </c>
      <c r="C398" s="61">
        <f>IFERROR(VLOOKUP(A398,Clientes_PDV!$A$2:$J$250,3,FALSE),"")</f>
        <v/>
      </c>
      <c r="D398" s="61">
        <f>IFERROR(VLOOKUP(A398,Clientes_PDV!$A$2:$J$250,4,FALSE),"")</f>
        <v/>
      </c>
      <c r="E398" s="52" t="n"/>
      <c r="F398" s="61">
        <f>IFERROR(VLOOKUP(E398,Maestro_SKU!$A$2:$P$500,2,FALSE),"")</f>
        <v/>
      </c>
      <c r="G398" s="59" t="n"/>
      <c r="H398" s="62">
        <f>IF(OR(G398="",E398=""),"",G398*IFERROR(VLOOKUP(E398,Maestro_SKU!$A$2:$P$500,12,FALSE),1))</f>
        <v/>
      </c>
      <c r="I398" s="53" t="n"/>
      <c r="J398" s="61">
        <f>IF(A398="","",IF(H398&lt;=Inicio!$B$16,"Crítico",IF(H398&lt;=Inicio!$B$17,"Observar","OK")))</f>
        <v/>
      </c>
      <c r="K398" s="52" t="n"/>
    </row>
    <row r="399">
      <c r="A399" s="52" t="n"/>
      <c r="B399" s="61">
        <f>IFERROR(VLOOKUP(A399,Clientes_PDV!$A$2:$J$250,2,FALSE),"")</f>
        <v/>
      </c>
      <c r="C399" s="61">
        <f>IFERROR(VLOOKUP(A399,Clientes_PDV!$A$2:$J$250,3,FALSE),"")</f>
        <v/>
      </c>
      <c r="D399" s="61">
        <f>IFERROR(VLOOKUP(A399,Clientes_PDV!$A$2:$J$250,4,FALSE),"")</f>
        <v/>
      </c>
      <c r="E399" s="52" t="n"/>
      <c r="F399" s="61">
        <f>IFERROR(VLOOKUP(E399,Maestro_SKU!$A$2:$P$500,2,FALSE),"")</f>
        <v/>
      </c>
      <c r="G399" s="59" t="n"/>
      <c r="H399" s="62">
        <f>IF(OR(G399="",E399=""),"",G399*IFERROR(VLOOKUP(E399,Maestro_SKU!$A$2:$P$500,12,FALSE),1))</f>
        <v/>
      </c>
      <c r="I399" s="53" t="n"/>
      <c r="J399" s="61">
        <f>IF(A399="","",IF(H399&lt;=Inicio!$B$16,"Crítico",IF(H399&lt;=Inicio!$B$17,"Observar","OK")))</f>
        <v/>
      </c>
      <c r="K399" s="52" t="n"/>
    </row>
    <row r="400">
      <c r="A400" s="52" t="n"/>
      <c r="B400" s="61">
        <f>IFERROR(VLOOKUP(A400,Clientes_PDV!$A$2:$J$250,2,FALSE),"")</f>
        <v/>
      </c>
      <c r="C400" s="61">
        <f>IFERROR(VLOOKUP(A400,Clientes_PDV!$A$2:$J$250,3,FALSE),"")</f>
        <v/>
      </c>
      <c r="D400" s="61">
        <f>IFERROR(VLOOKUP(A400,Clientes_PDV!$A$2:$J$250,4,FALSE),"")</f>
        <v/>
      </c>
      <c r="E400" s="52" t="n"/>
      <c r="F400" s="61">
        <f>IFERROR(VLOOKUP(E400,Maestro_SKU!$A$2:$P$500,2,FALSE),"")</f>
        <v/>
      </c>
      <c r="G400" s="59" t="n"/>
      <c r="H400" s="62">
        <f>IF(OR(G400="",E400=""),"",G400*IFERROR(VLOOKUP(E400,Maestro_SKU!$A$2:$P$500,12,FALSE),1))</f>
        <v/>
      </c>
      <c r="I400" s="53" t="n"/>
      <c r="J400" s="61">
        <f>IF(A400="","",IF(H400&lt;=Inicio!$B$16,"Crítico",IF(H400&lt;=Inicio!$B$17,"Observar","OK")))</f>
        <v/>
      </c>
      <c r="K400" s="52" t="n"/>
    </row>
    <row r="401">
      <c r="A401" s="52" t="n"/>
      <c r="B401" s="61">
        <f>IFERROR(VLOOKUP(A401,Clientes_PDV!$A$2:$J$250,2,FALSE),"")</f>
        <v/>
      </c>
      <c r="C401" s="61">
        <f>IFERROR(VLOOKUP(A401,Clientes_PDV!$A$2:$J$250,3,FALSE),"")</f>
        <v/>
      </c>
      <c r="D401" s="61">
        <f>IFERROR(VLOOKUP(A401,Clientes_PDV!$A$2:$J$250,4,FALSE),"")</f>
        <v/>
      </c>
      <c r="E401" s="52" t="n"/>
      <c r="F401" s="61">
        <f>IFERROR(VLOOKUP(E401,Maestro_SKU!$A$2:$P$500,2,FALSE),"")</f>
        <v/>
      </c>
      <c r="G401" s="59" t="n"/>
      <c r="H401" s="62">
        <f>IF(OR(G401="",E401=""),"",G401*IFERROR(VLOOKUP(E401,Maestro_SKU!$A$2:$P$500,12,FALSE),1))</f>
        <v/>
      </c>
      <c r="I401" s="53" t="n"/>
      <c r="J401" s="61">
        <f>IF(A401="","",IF(H401&lt;=Inicio!$B$16,"Crítico",IF(H401&lt;=Inicio!$B$17,"Observar","OK")))</f>
        <v/>
      </c>
      <c r="K401" s="52" t="n"/>
    </row>
    <row r="402">
      <c r="A402" s="52" t="n"/>
      <c r="B402" s="61">
        <f>IFERROR(VLOOKUP(A402,Clientes_PDV!$A$2:$J$250,2,FALSE),"")</f>
        <v/>
      </c>
      <c r="C402" s="61">
        <f>IFERROR(VLOOKUP(A402,Clientes_PDV!$A$2:$J$250,3,FALSE),"")</f>
        <v/>
      </c>
      <c r="D402" s="61">
        <f>IFERROR(VLOOKUP(A402,Clientes_PDV!$A$2:$J$250,4,FALSE),"")</f>
        <v/>
      </c>
      <c r="E402" s="52" t="n"/>
      <c r="F402" s="61">
        <f>IFERROR(VLOOKUP(E402,Maestro_SKU!$A$2:$P$500,2,FALSE),"")</f>
        <v/>
      </c>
      <c r="G402" s="59" t="n"/>
      <c r="H402" s="62">
        <f>IF(OR(G402="",E402=""),"",G402*IFERROR(VLOOKUP(E402,Maestro_SKU!$A$2:$P$500,12,FALSE),1))</f>
        <v/>
      </c>
      <c r="I402" s="53" t="n"/>
      <c r="J402" s="61">
        <f>IF(A402="","",IF(H402&lt;=Inicio!$B$16,"Crítico",IF(H402&lt;=Inicio!$B$17,"Observar","OK")))</f>
        <v/>
      </c>
      <c r="K402" s="52" t="n"/>
    </row>
    <row r="403">
      <c r="A403" s="52" t="n"/>
      <c r="B403" s="61">
        <f>IFERROR(VLOOKUP(A403,Clientes_PDV!$A$2:$J$250,2,FALSE),"")</f>
        <v/>
      </c>
      <c r="C403" s="61">
        <f>IFERROR(VLOOKUP(A403,Clientes_PDV!$A$2:$J$250,3,FALSE),"")</f>
        <v/>
      </c>
      <c r="D403" s="61">
        <f>IFERROR(VLOOKUP(A403,Clientes_PDV!$A$2:$J$250,4,FALSE),"")</f>
        <v/>
      </c>
      <c r="E403" s="52" t="n"/>
      <c r="F403" s="61">
        <f>IFERROR(VLOOKUP(E403,Maestro_SKU!$A$2:$P$500,2,FALSE),"")</f>
        <v/>
      </c>
      <c r="G403" s="59" t="n"/>
      <c r="H403" s="62">
        <f>IF(OR(G403="",E403=""),"",G403*IFERROR(VLOOKUP(E403,Maestro_SKU!$A$2:$P$500,12,FALSE),1))</f>
        <v/>
      </c>
      <c r="I403" s="53" t="n"/>
      <c r="J403" s="61">
        <f>IF(A403="","",IF(H403&lt;=Inicio!$B$16,"Crítico",IF(H403&lt;=Inicio!$B$17,"Observar","OK")))</f>
        <v/>
      </c>
      <c r="K403" s="52" t="n"/>
    </row>
    <row r="404">
      <c r="A404" s="52" t="n"/>
      <c r="B404" s="61">
        <f>IFERROR(VLOOKUP(A404,Clientes_PDV!$A$2:$J$250,2,FALSE),"")</f>
        <v/>
      </c>
      <c r="C404" s="61">
        <f>IFERROR(VLOOKUP(A404,Clientes_PDV!$A$2:$J$250,3,FALSE),"")</f>
        <v/>
      </c>
      <c r="D404" s="61">
        <f>IFERROR(VLOOKUP(A404,Clientes_PDV!$A$2:$J$250,4,FALSE),"")</f>
        <v/>
      </c>
      <c r="E404" s="52" t="n"/>
      <c r="F404" s="61">
        <f>IFERROR(VLOOKUP(E404,Maestro_SKU!$A$2:$P$500,2,FALSE),"")</f>
        <v/>
      </c>
      <c r="G404" s="59" t="n"/>
      <c r="H404" s="62">
        <f>IF(OR(G404="",E404=""),"",G404*IFERROR(VLOOKUP(E404,Maestro_SKU!$A$2:$P$500,12,FALSE),1))</f>
        <v/>
      </c>
      <c r="I404" s="53" t="n"/>
      <c r="J404" s="61">
        <f>IF(A404="","",IF(H404&lt;=Inicio!$B$16,"Crítico",IF(H404&lt;=Inicio!$B$17,"Observar","OK")))</f>
        <v/>
      </c>
      <c r="K404" s="52" t="n"/>
    </row>
    <row r="405">
      <c r="A405" s="52" t="n"/>
      <c r="B405" s="61">
        <f>IFERROR(VLOOKUP(A405,Clientes_PDV!$A$2:$J$250,2,FALSE),"")</f>
        <v/>
      </c>
      <c r="C405" s="61">
        <f>IFERROR(VLOOKUP(A405,Clientes_PDV!$A$2:$J$250,3,FALSE),"")</f>
        <v/>
      </c>
      <c r="D405" s="61">
        <f>IFERROR(VLOOKUP(A405,Clientes_PDV!$A$2:$J$250,4,FALSE),"")</f>
        <v/>
      </c>
      <c r="E405" s="52" t="n"/>
      <c r="F405" s="61">
        <f>IFERROR(VLOOKUP(E405,Maestro_SKU!$A$2:$P$500,2,FALSE),"")</f>
        <v/>
      </c>
      <c r="G405" s="59" t="n"/>
      <c r="H405" s="62">
        <f>IF(OR(G405="",E405=""),"",G405*IFERROR(VLOOKUP(E405,Maestro_SKU!$A$2:$P$500,12,FALSE),1))</f>
        <v/>
      </c>
      <c r="I405" s="53" t="n"/>
      <c r="J405" s="61">
        <f>IF(A405="","",IF(H405&lt;=Inicio!$B$16,"Crítico",IF(H405&lt;=Inicio!$B$17,"Observar","OK")))</f>
        <v/>
      </c>
      <c r="K405" s="52" t="n"/>
    </row>
    <row r="406">
      <c r="A406" s="52" t="n"/>
      <c r="B406" s="61">
        <f>IFERROR(VLOOKUP(A406,Clientes_PDV!$A$2:$J$250,2,FALSE),"")</f>
        <v/>
      </c>
      <c r="C406" s="61">
        <f>IFERROR(VLOOKUP(A406,Clientes_PDV!$A$2:$J$250,3,FALSE),"")</f>
        <v/>
      </c>
      <c r="D406" s="61">
        <f>IFERROR(VLOOKUP(A406,Clientes_PDV!$A$2:$J$250,4,FALSE),"")</f>
        <v/>
      </c>
      <c r="E406" s="52" t="n"/>
      <c r="F406" s="61">
        <f>IFERROR(VLOOKUP(E406,Maestro_SKU!$A$2:$P$500,2,FALSE),"")</f>
        <v/>
      </c>
      <c r="G406" s="59" t="n"/>
      <c r="H406" s="62">
        <f>IF(OR(G406="",E406=""),"",G406*IFERROR(VLOOKUP(E406,Maestro_SKU!$A$2:$P$500,12,FALSE),1))</f>
        <v/>
      </c>
      <c r="I406" s="53" t="n"/>
      <c r="J406" s="61">
        <f>IF(A406="","",IF(H406&lt;=Inicio!$B$16,"Crítico",IF(H406&lt;=Inicio!$B$17,"Observar","OK")))</f>
        <v/>
      </c>
      <c r="K406" s="52" t="n"/>
    </row>
    <row r="407">
      <c r="A407" s="52" t="n"/>
      <c r="B407" s="61">
        <f>IFERROR(VLOOKUP(A407,Clientes_PDV!$A$2:$J$250,2,FALSE),"")</f>
        <v/>
      </c>
      <c r="C407" s="61">
        <f>IFERROR(VLOOKUP(A407,Clientes_PDV!$A$2:$J$250,3,FALSE),"")</f>
        <v/>
      </c>
      <c r="D407" s="61">
        <f>IFERROR(VLOOKUP(A407,Clientes_PDV!$A$2:$J$250,4,FALSE),"")</f>
        <v/>
      </c>
      <c r="E407" s="52" t="n"/>
      <c r="F407" s="61">
        <f>IFERROR(VLOOKUP(E407,Maestro_SKU!$A$2:$P$500,2,FALSE),"")</f>
        <v/>
      </c>
      <c r="G407" s="59" t="n"/>
      <c r="H407" s="62">
        <f>IF(OR(G407="",E407=""),"",G407*IFERROR(VLOOKUP(E407,Maestro_SKU!$A$2:$P$500,12,FALSE),1))</f>
        <v/>
      </c>
      <c r="I407" s="53" t="n"/>
      <c r="J407" s="61">
        <f>IF(A407="","",IF(H407&lt;=Inicio!$B$16,"Crítico",IF(H407&lt;=Inicio!$B$17,"Observar","OK")))</f>
        <v/>
      </c>
      <c r="K407" s="52" t="n"/>
    </row>
    <row r="408">
      <c r="A408" s="52" t="n"/>
      <c r="B408" s="61">
        <f>IFERROR(VLOOKUP(A408,Clientes_PDV!$A$2:$J$250,2,FALSE),"")</f>
        <v/>
      </c>
      <c r="C408" s="61">
        <f>IFERROR(VLOOKUP(A408,Clientes_PDV!$A$2:$J$250,3,FALSE),"")</f>
        <v/>
      </c>
      <c r="D408" s="61">
        <f>IFERROR(VLOOKUP(A408,Clientes_PDV!$A$2:$J$250,4,FALSE),"")</f>
        <v/>
      </c>
      <c r="E408" s="52" t="n"/>
      <c r="F408" s="61">
        <f>IFERROR(VLOOKUP(E408,Maestro_SKU!$A$2:$P$500,2,FALSE),"")</f>
        <v/>
      </c>
      <c r="G408" s="59" t="n"/>
      <c r="H408" s="62">
        <f>IF(OR(G408="",E408=""),"",G408*IFERROR(VLOOKUP(E408,Maestro_SKU!$A$2:$P$500,12,FALSE),1))</f>
        <v/>
      </c>
      <c r="I408" s="53" t="n"/>
      <c r="J408" s="61">
        <f>IF(A408="","",IF(H408&lt;=Inicio!$B$16,"Crítico",IF(H408&lt;=Inicio!$B$17,"Observar","OK")))</f>
        <v/>
      </c>
      <c r="K408" s="52" t="n"/>
    </row>
    <row r="409">
      <c r="A409" s="52" t="n"/>
      <c r="B409" s="61">
        <f>IFERROR(VLOOKUP(A409,Clientes_PDV!$A$2:$J$250,2,FALSE),"")</f>
        <v/>
      </c>
      <c r="C409" s="61">
        <f>IFERROR(VLOOKUP(A409,Clientes_PDV!$A$2:$J$250,3,FALSE),"")</f>
        <v/>
      </c>
      <c r="D409" s="61">
        <f>IFERROR(VLOOKUP(A409,Clientes_PDV!$A$2:$J$250,4,FALSE),"")</f>
        <v/>
      </c>
      <c r="E409" s="52" t="n"/>
      <c r="F409" s="61">
        <f>IFERROR(VLOOKUP(E409,Maestro_SKU!$A$2:$P$500,2,FALSE),"")</f>
        <v/>
      </c>
      <c r="G409" s="59" t="n"/>
      <c r="H409" s="62">
        <f>IF(OR(G409="",E409=""),"",G409*IFERROR(VLOOKUP(E409,Maestro_SKU!$A$2:$P$500,12,FALSE),1))</f>
        <v/>
      </c>
      <c r="I409" s="53" t="n"/>
      <c r="J409" s="61">
        <f>IF(A409="","",IF(H409&lt;=Inicio!$B$16,"Crítico",IF(H409&lt;=Inicio!$B$17,"Observar","OK")))</f>
        <v/>
      </c>
      <c r="K409" s="52" t="n"/>
    </row>
    <row r="410">
      <c r="A410" s="52" t="n"/>
      <c r="B410" s="61">
        <f>IFERROR(VLOOKUP(A410,Clientes_PDV!$A$2:$J$250,2,FALSE),"")</f>
        <v/>
      </c>
      <c r="C410" s="61">
        <f>IFERROR(VLOOKUP(A410,Clientes_PDV!$A$2:$J$250,3,FALSE),"")</f>
        <v/>
      </c>
      <c r="D410" s="61">
        <f>IFERROR(VLOOKUP(A410,Clientes_PDV!$A$2:$J$250,4,FALSE),"")</f>
        <v/>
      </c>
      <c r="E410" s="52" t="n"/>
      <c r="F410" s="61">
        <f>IFERROR(VLOOKUP(E410,Maestro_SKU!$A$2:$P$500,2,FALSE),"")</f>
        <v/>
      </c>
      <c r="G410" s="59" t="n"/>
      <c r="H410" s="62">
        <f>IF(OR(G410="",E410=""),"",G410*IFERROR(VLOOKUP(E410,Maestro_SKU!$A$2:$P$500,12,FALSE),1))</f>
        <v/>
      </c>
      <c r="I410" s="53" t="n"/>
      <c r="J410" s="61">
        <f>IF(A410="","",IF(H410&lt;=Inicio!$B$16,"Crítico",IF(H410&lt;=Inicio!$B$17,"Observar","OK")))</f>
        <v/>
      </c>
      <c r="K410" s="52" t="n"/>
    </row>
    <row r="411">
      <c r="A411" s="52" t="n"/>
      <c r="B411" s="61">
        <f>IFERROR(VLOOKUP(A411,Clientes_PDV!$A$2:$J$250,2,FALSE),"")</f>
        <v/>
      </c>
      <c r="C411" s="61">
        <f>IFERROR(VLOOKUP(A411,Clientes_PDV!$A$2:$J$250,3,FALSE),"")</f>
        <v/>
      </c>
      <c r="D411" s="61">
        <f>IFERROR(VLOOKUP(A411,Clientes_PDV!$A$2:$J$250,4,FALSE),"")</f>
        <v/>
      </c>
      <c r="E411" s="52" t="n"/>
      <c r="F411" s="61">
        <f>IFERROR(VLOOKUP(E411,Maestro_SKU!$A$2:$P$500,2,FALSE),"")</f>
        <v/>
      </c>
      <c r="G411" s="59" t="n"/>
      <c r="H411" s="62">
        <f>IF(OR(G411="",E411=""),"",G411*IFERROR(VLOOKUP(E411,Maestro_SKU!$A$2:$P$500,12,FALSE),1))</f>
        <v/>
      </c>
      <c r="I411" s="53" t="n"/>
      <c r="J411" s="61">
        <f>IF(A411="","",IF(H411&lt;=Inicio!$B$16,"Crítico",IF(H411&lt;=Inicio!$B$17,"Observar","OK")))</f>
        <v/>
      </c>
      <c r="K411" s="52" t="n"/>
    </row>
    <row r="412">
      <c r="A412" s="52" t="n"/>
      <c r="B412" s="61">
        <f>IFERROR(VLOOKUP(A412,Clientes_PDV!$A$2:$J$250,2,FALSE),"")</f>
        <v/>
      </c>
      <c r="C412" s="61">
        <f>IFERROR(VLOOKUP(A412,Clientes_PDV!$A$2:$J$250,3,FALSE),"")</f>
        <v/>
      </c>
      <c r="D412" s="61">
        <f>IFERROR(VLOOKUP(A412,Clientes_PDV!$A$2:$J$250,4,FALSE),"")</f>
        <v/>
      </c>
      <c r="E412" s="52" t="n"/>
      <c r="F412" s="61">
        <f>IFERROR(VLOOKUP(E412,Maestro_SKU!$A$2:$P$500,2,FALSE),"")</f>
        <v/>
      </c>
      <c r="G412" s="59" t="n"/>
      <c r="H412" s="62">
        <f>IF(OR(G412="",E412=""),"",G412*IFERROR(VLOOKUP(E412,Maestro_SKU!$A$2:$P$500,12,FALSE),1))</f>
        <v/>
      </c>
      <c r="I412" s="53" t="n"/>
      <c r="J412" s="61">
        <f>IF(A412="","",IF(H412&lt;=Inicio!$B$16,"Crítico",IF(H412&lt;=Inicio!$B$17,"Observar","OK")))</f>
        <v/>
      </c>
      <c r="K412" s="52" t="n"/>
    </row>
    <row r="413">
      <c r="A413" s="52" t="n"/>
      <c r="B413" s="61">
        <f>IFERROR(VLOOKUP(A413,Clientes_PDV!$A$2:$J$250,2,FALSE),"")</f>
        <v/>
      </c>
      <c r="C413" s="61">
        <f>IFERROR(VLOOKUP(A413,Clientes_PDV!$A$2:$J$250,3,FALSE),"")</f>
        <v/>
      </c>
      <c r="D413" s="61">
        <f>IFERROR(VLOOKUP(A413,Clientes_PDV!$A$2:$J$250,4,FALSE),"")</f>
        <v/>
      </c>
      <c r="E413" s="52" t="n"/>
      <c r="F413" s="61">
        <f>IFERROR(VLOOKUP(E413,Maestro_SKU!$A$2:$P$500,2,FALSE),"")</f>
        <v/>
      </c>
      <c r="G413" s="59" t="n"/>
      <c r="H413" s="62">
        <f>IF(OR(G413="",E413=""),"",G413*IFERROR(VLOOKUP(E413,Maestro_SKU!$A$2:$P$500,12,FALSE),1))</f>
        <v/>
      </c>
      <c r="I413" s="53" t="n"/>
      <c r="J413" s="61">
        <f>IF(A413="","",IF(H413&lt;=Inicio!$B$16,"Crítico",IF(H413&lt;=Inicio!$B$17,"Observar","OK")))</f>
        <v/>
      </c>
      <c r="K413" s="52" t="n"/>
    </row>
    <row r="414">
      <c r="A414" s="52" t="n"/>
      <c r="B414" s="61">
        <f>IFERROR(VLOOKUP(A414,Clientes_PDV!$A$2:$J$250,2,FALSE),"")</f>
        <v/>
      </c>
      <c r="C414" s="61">
        <f>IFERROR(VLOOKUP(A414,Clientes_PDV!$A$2:$J$250,3,FALSE),"")</f>
        <v/>
      </c>
      <c r="D414" s="61">
        <f>IFERROR(VLOOKUP(A414,Clientes_PDV!$A$2:$J$250,4,FALSE),"")</f>
        <v/>
      </c>
      <c r="E414" s="52" t="n"/>
      <c r="F414" s="61">
        <f>IFERROR(VLOOKUP(E414,Maestro_SKU!$A$2:$P$500,2,FALSE),"")</f>
        <v/>
      </c>
      <c r="G414" s="59" t="n"/>
      <c r="H414" s="62">
        <f>IF(OR(G414="",E414=""),"",G414*IFERROR(VLOOKUP(E414,Maestro_SKU!$A$2:$P$500,12,FALSE),1))</f>
        <v/>
      </c>
      <c r="I414" s="53" t="n"/>
      <c r="J414" s="61">
        <f>IF(A414="","",IF(H414&lt;=Inicio!$B$16,"Crítico",IF(H414&lt;=Inicio!$B$17,"Observar","OK")))</f>
        <v/>
      </c>
      <c r="K414" s="52" t="n"/>
    </row>
    <row r="415">
      <c r="A415" s="52" t="n"/>
      <c r="B415" s="61">
        <f>IFERROR(VLOOKUP(A415,Clientes_PDV!$A$2:$J$250,2,FALSE),"")</f>
        <v/>
      </c>
      <c r="C415" s="61">
        <f>IFERROR(VLOOKUP(A415,Clientes_PDV!$A$2:$J$250,3,FALSE),"")</f>
        <v/>
      </c>
      <c r="D415" s="61">
        <f>IFERROR(VLOOKUP(A415,Clientes_PDV!$A$2:$J$250,4,FALSE),"")</f>
        <v/>
      </c>
      <c r="E415" s="52" t="n"/>
      <c r="F415" s="61">
        <f>IFERROR(VLOOKUP(E415,Maestro_SKU!$A$2:$P$500,2,FALSE),"")</f>
        <v/>
      </c>
      <c r="G415" s="59" t="n"/>
      <c r="H415" s="62">
        <f>IF(OR(G415="",E415=""),"",G415*IFERROR(VLOOKUP(E415,Maestro_SKU!$A$2:$P$500,12,FALSE),1))</f>
        <v/>
      </c>
      <c r="I415" s="53" t="n"/>
      <c r="J415" s="61">
        <f>IF(A415="","",IF(H415&lt;=Inicio!$B$16,"Crítico",IF(H415&lt;=Inicio!$B$17,"Observar","OK")))</f>
        <v/>
      </c>
      <c r="K415" s="52" t="n"/>
    </row>
    <row r="416">
      <c r="A416" s="52" t="n"/>
      <c r="B416" s="61">
        <f>IFERROR(VLOOKUP(A416,Clientes_PDV!$A$2:$J$250,2,FALSE),"")</f>
        <v/>
      </c>
      <c r="C416" s="61">
        <f>IFERROR(VLOOKUP(A416,Clientes_PDV!$A$2:$J$250,3,FALSE),"")</f>
        <v/>
      </c>
      <c r="D416" s="61">
        <f>IFERROR(VLOOKUP(A416,Clientes_PDV!$A$2:$J$250,4,FALSE),"")</f>
        <v/>
      </c>
      <c r="E416" s="52" t="n"/>
      <c r="F416" s="61">
        <f>IFERROR(VLOOKUP(E416,Maestro_SKU!$A$2:$P$500,2,FALSE),"")</f>
        <v/>
      </c>
      <c r="G416" s="59" t="n"/>
      <c r="H416" s="62">
        <f>IF(OR(G416="",E416=""),"",G416*IFERROR(VLOOKUP(E416,Maestro_SKU!$A$2:$P$500,12,FALSE),1))</f>
        <v/>
      </c>
      <c r="I416" s="53" t="n"/>
      <c r="J416" s="61">
        <f>IF(A416="","",IF(H416&lt;=Inicio!$B$16,"Crítico",IF(H416&lt;=Inicio!$B$17,"Observar","OK")))</f>
        <v/>
      </c>
      <c r="K416" s="52" t="n"/>
    </row>
    <row r="417">
      <c r="A417" s="52" t="n"/>
      <c r="B417" s="61">
        <f>IFERROR(VLOOKUP(A417,Clientes_PDV!$A$2:$J$250,2,FALSE),"")</f>
        <v/>
      </c>
      <c r="C417" s="61">
        <f>IFERROR(VLOOKUP(A417,Clientes_PDV!$A$2:$J$250,3,FALSE),"")</f>
        <v/>
      </c>
      <c r="D417" s="61">
        <f>IFERROR(VLOOKUP(A417,Clientes_PDV!$A$2:$J$250,4,FALSE),"")</f>
        <v/>
      </c>
      <c r="E417" s="52" t="n"/>
      <c r="F417" s="61">
        <f>IFERROR(VLOOKUP(E417,Maestro_SKU!$A$2:$P$500,2,FALSE),"")</f>
        <v/>
      </c>
      <c r="G417" s="59" t="n"/>
      <c r="H417" s="62">
        <f>IF(OR(G417="",E417=""),"",G417*IFERROR(VLOOKUP(E417,Maestro_SKU!$A$2:$P$500,12,FALSE),1))</f>
        <v/>
      </c>
      <c r="I417" s="53" t="n"/>
      <c r="J417" s="61">
        <f>IF(A417="","",IF(H417&lt;=Inicio!$B$16,"Crítico",IF(H417&lt;=Inicio!$B$17,"Observar","OK")))</f>
        <v/>
      </c>
      <c r="K417" s="52" t="n"/>
    </row>
    <row r="418">
      <c r="A418" s="52" t="n"/>
      <c r="B418" s="61">
        <f>IFERROR(VLOOKUP(A418,Clientes_PDV!$A$2:$J$250,2,FALSE),"")</f>
        <v/>
      </c>
      <c r="C418" s="61">
        <f>IFERROR(VLOOKUP(A418,Clientes_PDV!$A$2:$J$250,3,FALSE),"")</f>
        <v/>
      </c>
      <c r="D418" s="61">
        <f>IFERROR(VLOOKUP(A418,Clientes_PDV!$A$2:$J$250,4,FALSE),"")</f>
        <v/>
      </c>
      <c r="E418" s="52" t="n"/>
      <c r="F418" s="61">
        <f>IFERROR(VLOOKUP(E418,Maestro_SKU!$A$2:$P$500,2,FALSE),"")</f>
        <v/>
      </c>
      <c r="G418" s="59" t="n"/>
      <c r="H418" s="62">
        <f>IF(OR(G418="",E418=""),"",G418*IFERROR(VLOOKUP(E418,Maestro_SKU!$A$2:$P$500,12,FALSE),1))</f>
        <v/>
      </c>
      <c r="I418" s="53" t="n"/>
      <c r="J418" s="61">
        <f>IF(A418="","",IF(H418&lt;=Inicio!$B$16,"Crítico",IF(H418&lt;=Inicio!$B$17,"Observar","OK")))</f>
        <v/>
      </c>
      <c r="K418" s="52" t="n"/>
    </row>
    <row r="419">
      <c r="A419" s="52" t="n"/>
      <c r="B419" s="61">
        <f>IFERROR(VLOOKUP(A419,Clientes_PDV!$A$2:$J$250,2,FALSE),"")</f>
        <v/>
      </c>
      <c r="C419" s="61">
        <f>IFERROR(VLOOKUP(A419,Clientes_PDV!$A$2:$J$250,3,FALSE),"")</f>
        <v/>
      </c>
      <c r="D419" s="61">
        <f>IFERROR(VLOOKUP(A419,Clientes_PDV!$A$2:$J$250,4,FALSE),"")</f>
        <v/>
      </c>
      <c r="E419" s="52" t="n"/>
      <c r="F419" s="61">
        <f>IFERROR(VLOOKUP(E419,Maestro_SKU!$A$2:$P$500,2,FALSE),"")</f>
        <v/>
      </c>
      <c r="G419" s="59" t="n"/>
      <c r="H419" s="62">
        <f>IF(OR(G419="",E419=""),"",G419*IFERROR(VLOOKUP(E419,Maestro_SKU!$A$2:$P$500,12,FALSE),1))</f>
        <v/>
      </c>
      <c r="I419" s="53" t="n"/>
      <c r="J419" s="61">
        <f>IF(A419="","",IF(H419&lt;=Inicio!$B$16,"Crítico",IF(H419&lt;=Inicio!$B$17,"Observar","OK")))</f>
        <v/>
      </c>
      <c r="K419" s="52" t="n"/>
    </row>
    <row r="420">
      <c r="A420" s="52" t="n"/>
      <c r="B420" s="61">
        <f>IFERROR(VLOOKUP(A420,Clientes_PDV!$A$2:$J$250,2,FALSE),"")</f>
        <v/>
      </c>
      <c r="C420" s="61">
        <f>IFERROR(VLOOKUP(A420,Clientes_PDV!$A$2:$J$250,3,FALSE),"")</f>
        <v/>
      </c>
      <c r="D420" s="61">
        <f>IFERROR(VLOOKUP(A420,Clientes_PDV!$A$2:$J$250,4,FALSE),"")</f>
        <v/>
      </c>
      <c r="E420" s="52" t="n"/>
      <c r="F420" s="61">
        <f>IFERROR(VLOOKUP(E420,Maestro_SKU!$A$2:$P$500,2,FALSE),"")</f>
        <v/>
      </c>
      <c r="G420" s="59" t="n"/>
      <c r="H420" s="62">
        <f>IF(OR(G420="",E420=""),"",G420*IFERROR(VLOOKUP(E420,Maestro_SKU!$A$2:$P$500,12,FALSE),1))</f>
        <v/>
      </c>
      <c r="I420" s="53" t="n"/>
      <c r="J420" s="61">
        <f>IF(A420="","",IF(H420&lt;=Inicio!$B$16,"Crítico",IF(H420&lt;=Inicio!$B$17,"Observar","OK")))</f>
        <v/>
      </c>
      <c r="K420" s="52" t="n"/>
    </row>
    <row r="421">
      <c r="A421" s="52" t="n"/>
      <c r="B421" s="61">
        <f>IFERROR(VLOOKUP(A421,Clientes_PDV!$A$2:$J$250,2,FALSE),"")</f>
        <v/>
      </c>
      <c r="C421" s="61">
        <f>IFERROR(VLOOKUP(A421,Clientes_PDV!$A$2:$J$250,3,FALSE),"")</f>
        <v/>
      </c>
      <c r="D421" s="61">
        <f>IFERROR(VLOOKUP(A421,Clientes_PDV!$A$2:$J$250,4,FALSE),"")</f>
        <v/>
      </c>
      <c r="E421" s="52" t="n"/>
      <c r="F421" s="61">
        <f>IFERROR(VLOOKUP(E421,Maestro_SKU!$A$2:$P$500,2,FALSE),"")</f>
        <v/>
      </c>
      <c r="G421" s="59" t="n"/>
      <c r="H421" s="62">
        <f>IF(OR(G421="",E421=""),"",G421*IFERROR(VLOOKUP(E421,Maestro_SKU!$A$2:$P$500,12,FALSE),1))</f>
        <v/>
      </c>
      <c r="I421" s="53" t="n"/>
      <c r="J421" s="61">
        <f>IF(A421="","",IF(H421&lt;=Inicio!$B$16,"Crítico",IF(H421&lt;=Inicio!$B$17,"Observar","OK")))</f>
        <v/>
      </c>
      <c r="K421" s="52" t="n"/>
    </row>
    <row r="422">
      <c r="A422" s="52" t="n"/>
      <c r="B422" s="61">
        <f>IFERROR(VLOOKUP(A422,Clientes_PDV!$A$2:$J$250,2,FALSE),"")</f>
        <v/>
      </c>
      <c r="C422" s="61">
        <f>IFERROR(VLOOKUP(A422,Clientes_PDV!$A$2:$J$250,3,FALSE),"")</f>
        <v/>
      </c>
      <c r="D422" s="61">
        <f>IFERROR(VLOOKUP(A422,Clientes_PDV!$A$2:$J$250,4,FALSE),"")</f>
        <v/>
      </c>
      <c r="E422" s="52" t="n"/>
      <c r="F422" s="61">
        <f>IFERROR(VLOOKUP(E422,Maestro_SKU!$A$2:$P$500,2,FALSE),"")</f>
        <v/>
      </c>
      <c r="G422" s="59" t="n"/>
      <c r="H422" s="62">
        <f>IF(OR(G422="",E422=""),"",G422*IFERROR(VLOOKUP(E422,Maestro_SKU!$A$2:$P$500,12,FALSE),1))</f>
        <v/>
      </c>
      <c r="I422" s="53" t="n"/>
      <c r="J422" s="61">
        <f>IF(A422="","",IF(H422&lt;=Inicio!$B$16,"Crítico",IF(H422&lt;=Inicio!$B$17,"Observar","OK")))</f>
        <v/>
      </c>
      <c r="K422" s="52" t="n"/>
    </row>
    <row r="423">
      <c r="A423" s="52" t="n"/>
      <c r="B423" s="61">
        <f>IFERROR(VLOOKUP(A423,Clientes_PDV!$A$2:$J$250,2,FALSE),"")</f>
        <v/>
      </c>
      <c r="C423" s="61">
        <f>IFERROR(VLOOKUP(A423,Clientes_PDV!$A$2:$J$250,3,FALSE),"")</f>
        <v/>
      </c>
      <c r="D423" s="61">
        <f>IFERROR(VLOOKUP(A423,Clientes_PDV!$A$2:$J$250,4,FALSE),"")</f>
        <v/>
      </c>
      <c r="E423" s="52" t="n"/>
      <c r="F423" s="61">
        <f>IFERROR(VLOOKUP(E423,Maestro_SKU!$A$2:$P$500,2,FALSE),"")</f>
        <v/>
      </c>
      <c r="G423" s="59" t="n"/>
      <c r="H423" s="62">
        <f>IF(OR(G423="",E423=""),"",G423*IFERROR(VLOOKUP(E423,Maestro_SKU!$A$2:$P$500,12,FALSE),1))</f>
        <v/>
      </c>
      <c r="I423" s="53" t="n"/>
      <c r="J423" s="61">
        <f>IF(A423="","",IF(H423&lt;=Inicio!$B$16,"Crítico",IF(H423&lt;=Inicio!$B$17,"Observar","OK")))</f>
        <v/>
      </c>
      <c r="K423" s="52" t="n"/>
    </row>
    <row r="424">
      <c r="A424" s="52" t="n"/>
      <c r="B424" s="61">
        <f>IFERROR(VLOOKUP(A424,Clientes_PDV!$A$2:$J$250,2,FALSE),"")</f>
        <v/>
      </c>
      <c r="C424" s="61">
        <f>IFERROR(VLOOKUP(A424,Clientes_PDV!$A$2:$J$250,3,FALSE),"")</f>
        <v/>
      </c>
      <c r="D424" s="61">
        <f>IFERROR(VLOOKUP(A424,Clientes_PDV!$A$2:$J$250,4,FALSE),"")</f>
        <v/>
      </c>
      <c r="E424" s="52" t="n"/>
      <c r="F424" s="61">
        <f>IFERROR(VLOOKUP(E424,Maestro_SKU!$A$2:$P$500,2,FALSE),"")</f>
        <v/>
      </c>
      <c r="G424" s="59" t="n"/>
      <c r="H424" s="62">
        <f>IF(OR(G424="",E424=""),"",G424*IFERROR(VLOOKUP(E424,Maestro_SKU!$A$2:$P$500,12,FALSE),1))</f>
        <v/>
      </c>
      <c r="I424" s="53" t="n"/>
      <c r="J424" s="61">
        <f>IF(A424="","",IF(H424&lt;=Inicio!$B$16,"Crítico",IF(H424&lt;=Inicio!$B$17,"Observar","OK")))</f>
        <v/>
      </c>
      <c r="K424" s="52" t="n"/>
    </row>
    <row r="425">
      <c r="A425" s="52" t="n"/>
      <c r="B425" s="61">
        <f>IFERROR(VLOOKUP(A425,Clientes_PDV!$A$2:$J$250,2,FALSE),"")</f>
        <v/>
      </c>
      <c r="C425" s="61">
        <f>IFERROR(VLOOKUP(A425,Clientes_PDV!$A$2:$J$250,3,FALSE),"")</f>
        <v/>
      </c>
      <c r="D425" s="61">
        <f>IFERROR(VLOOKUP(A425,Clientes_PDV!$A$2:$J$250,4,FALSE),"")</f>
        <v/>
      </c>
      <c r="E425" s="52" t="n"/>
      <c r="F425" s="61">
        <f>IFERROR(VLOOKUP(E425,Maestro_SKU!$A$2:$P$500,2,FALSE),"")</f>
        <v/>
      </c>
      <c r="G425" s="59" t="n"/>
      <c r="H425" s="62">
        <f>IF(OR(G425="",E425=""),"",G425*IFERROR(VLOOKUP(E425,Maestro_SKU!$A$2:$P$500,12,FALSE),1))</f>
        <v/>
      </c>
      <c r="I425" s="53" t="n"/>
      <c r="J425" s="61">
        <f>IF(A425="","",IF(H425&lt;=Inicio!$B$16,"Crítico",IF(H425&lt;=Inicio!$B$17,"Observar","OK")))</f>
        <v/>
      </c>
      <c r="K425" s="52" t="n"/>
    </row>
    <row r="426">
      <c r="A426" s="52" t="n"/>
      <c r="B426" s="61">
        <f>IFERROR(VLOOKUP(A426,Clientes_PDV!$A$2:$J$250,2,FALSE),"")</f>
        <v/>
      </c>
      <c r="C426" s="61">
        <f>IFERROR(VLOOKUP(A426,Clientes_PDV!$A$2:$J$250,3,FALSE),"")</f>
        <v/>
      </c>
      <c r="D426" s="61">
        <f>IFERROR(VLOOKUP(A426,Clientes_PDV!$A$2:$J$250,4,FALSE),"")</f>
        <v/>
      </c>
      <c r="E426" s="52" t="n"/>
      <c r="F426" s="61">
        <f>IFERROR(VLOOKUP(E426,Maestro_SKU!$A$2:$P$500,2,FALSE),"")</f>
        <v/>
      </c>
      <c r="G426" s="59" t="n"/>
      <c r="H426" s="62">
        <f>IF(OR(G426="",E426=""),"",G426*IFERROR(VLOOKUP(E426,Maestro_SKU!$A$2:$P$500,12,FALSE),1))</f>
        <v/>
      </c>
      <c r="I426" s="53" t="n"/>
      <c r="J426" s="61">
        <f>IF(A426="","",IF(H426&lt;=Inicio!$B$16,"Crítico",IF(H426&lt;=Inicio!$B$17,"Observar","OK")))</f>
        <v/>
      </c>
      <c r="K426" s="52" t="n"/>
    </row>
    <row r="427">
      <c r="A427" s="52" t="n"/>
      <c r="B427" s="61">
        <f>IFERROR(VLOOKUP(A427,Clientes_PDV!$A$2:$J$250,2,FALSE),"")</f>
        <v/>
      </c>
      <c r="C427" s="61">
        <f>IFERROR(VLOOKUP(A427,Clientes_PDV!$A$2:$J$250,3,FALSE),"")</f>
        <v/>
      </c>
      <c r="D427" s="61">
        <f>IFERROR(VLOOKUP(A427,Clientes_PDV!$A$2:$J$250,4,FALSE),"")</f>
        <v/>
      </c>
      <c r="E427" s="52" t="n"/>
      <c r="F427" s="61">
        <f>IFERROR(VLOOKUP(E427,Maestro_SKU!$A$2:$P$500,2,FALSE),"")</f>
        <v/>
      </c>
      <c r="G427" s="59" t="n"/>
      <c r="H427" s="62">
        <f>IF(OR(G427="",E427=""),"",G427*IFERROR(VLOOKUP(E427,Maestro_SKU!$A$2:$P$500,12,FALSE),1))</f>
        <v/>
      </c>
      <c r="I427" s="53" t="n"/>
      <c r="J427" s="61">
        <f>IF(A427="","",IF(H427&lt;=Inicio!$B$16,"Crítico",IF(H427&lt;=Inicio!$B$17,"Observar","OK")))</f>
        <v/>
      </c>
      <c r="K427" s="52" t="n"/>
    </row>
    <row r="428">
      <c r="A428" s="52" t="n"/>
      <c r="B428" s="61">
        <f>IFERROR(VLOOKUP(A428,Clientes_PDV!$A$2:$J$250,2,FALSE),"")</f>
        <v/>
      </c>
      <c r="C428" s="61">
        <f>IFERROR(VLOOKUP(A428,Clientes_PDV!$A$2:$J$250,3,FALSE),"")</f>
        <v/>
      </c>
      <c r="D428" s="61">
        <f>IFERROR(VLOOKUP(A428,Clientes_PDV!$A$2:$J$250,4,FALSE),"")</f>
        <v/>
      </c>
      <c r="E428" s="52" t="n"/>
      <c r="F428" s="61">
        <f>IFERROR(VLOOKUP(E428,Maestro_SKU!$A$2:$P$500,2,FALSE),"")</f>
        <v/>
      </c>
      <c r="G428" s="59" t="n"/>
      <c r="H428" s="62">
        <f>IF(OR(G428="",E428=""),"",G428*IFERROR(VLOOKUP(E428,Maestro_SKU!$A$2:$P$500,12,FALSE),1))</f>
        <v/>
      </c>
      <c r="I428" s="53" t="n"/>
      <c r="J428" s="61">
        <f>IF(A428="","",IF(H428&lt;=Inicio!$B$16,"Crítico",IF(H428&lt;=Inicio!$B$17,"Observar","OK")))</f>
        <v/>
      </c>
      <c r="K428" s="52" t="n"/>
    </row>
    <row r="429">
      <c r="A429" s="52" t="n"/>
      <c r="B429" s="61">
        <f>IFERROR(VLOOKUP(A429,Clientes_PDV!$A$2:$J$250,2,FALSE),"")</f>
        <v/>
      </c>
      <c r="C429" s="61">
        <f>IFERROR(VLOOKUP(A429,Clientes_PDV!$A$2:$J$250,3,FALSE),"")</f>
        <v/>
      </c>
      <c r="D429" s="61">
        <f>IFERROR(VLOOKUP(A429,Clientes_PDV!$A$2:$J$250,4,FALSE),"")</f>
        <v/>
      </c>
      <c r="E429" s="52" t="n"/>
      <c r="F429" s="61">
        <f>IFERROR(VLOOKUP(E429,Maestro_SKU!$A$2:$P$500,2,FALSE),"")</f>
        <v/>
      </c>
      <c r="G429" s="59" t="n"/>
      <c r="H429" s="62">
        <f>IF(OR(G429="",E429=""),"",G429*IFERROR(VLOOKUP(E429,Maestro_SKU!$A$2:$P$500,12,FALSE),1))</f>
        <v/>
      </c>
      <c r="I429" s="53" t="n"/>
      <c r="J429" s="61">
        <f>IF(A429="","",IF(H429&lt;=Inicio!$B$16,"Crítico",IF(H429&lt;=Inicio!$B$17,"Observar","OK")))</f>
        <v/>
      </c>
      <c r="K429" s="52" t="n"/>
    </row>
    <row r="430">
      <c r="A430" s="52" t="n"/>
      <c r="B430" s="61">
        <f>IFERROR(VLOOKUP(A430,Clientes_PDV!$A$2:$J$250,2,FALSE),"")</f>
        <v/>
      </c>
      <c r="C430" s="61">
        <f>IFERROR(VLOOKUP(A430,Clientes_PDV!$A$2:$J$250,3,FALSE),"")</f>
        <v/>
      </c>
      <c r="D430" s="61">
        <f>IFERROR(VLOOKUP(A430,Clientes_PDV!$A$2:$J$250,4,FALSE),"")</f>
        <v/>
      </c>
      <c r="E430" s="52" t="n"/>
      <c r="F430" s="61">
        <f>IFERROR(VLOOKUP(E430,Maestro_SKU!$A$2:$P$500,2,FALSE),"")</f>
        <v/>
      </c>
      <c r="G430" s="59" t="n"/>
      <c r="H430" s="62">
        <f>IF(OR(G430="",E430=""),"",G430*IFERROR(VLOOKUP(E430,Maestro_SKU!$A$2:$P$500,12,FALSE),1))</f>
        <v/>
      </c>
      <c r="I430" s="53" t="n"/>
      <c r="J430" s="61">
        <f>IF(A430="","",IF(H430&lt;=Inicio!$B$16,"Crítico",IF(H430&lt;=Inicio!$B$17,"Observar","OK")))</f>
        <v/>
      </c>
      <c r="K430" s="52" t="n"/>
    </row>
    <row r="431">
      <c r="A431" s="52" t="n"/>
      <c r="B431" s="61">
        <f>IFERROR(VLOOKUP(A431,Clientes_PDV!$A$2:$J$250,2,FALSE),"")</f>
        <v/>
      </c>
      <c r="C431" s="61">
        <f>IFERROR(VLOOKUP(A431,Clientes_PDV!$A$2:$J$250,3,FALSE),"")</f>
        <v/>
      </c>
      <c r="D431" s="61">
        <f>IFERROR(VLOOKUP(A431,Clientes_PDV!$A$2:$J$250,4,FALSE),"")</f>
        <v/>
      </c>
      <c r="E431" s="52" t="n"/>
      <c r="F431" s="61">
        <f>IFERROR(VLOOKUP(E431,Maestro_SKU!$A$2:$P$500,2,FALSE),"")</f>
        <v/>
      </c>
      <c r="G431" s="59" t="n"/>
      <c r="H431" s="62">
        <f>IF(OR(G431="",E431=""),"",G431*IFERROR(VLOOKUP(E431,Maestro_SKU!$A$2:$P$500,12,FALSE),1))</f>
        <v/>
      </c>
      <c r="I431" s="53" t="n"/>
      <c r="J431" s="61">
        <f>IF(A431="","",IF(H431&lt;=Inicio!$B$16,"Crítico",IF(H431&lt;=Inicio!$B$17,"Observar","OK")))</f>
        <v/>
      </c>
      <c r="K431" s="52" t="n"/>
    </row>
    <row r="432">
      <c r="A432" s="52" t="n"/>
      <c r="B432" s="61">
        <f>IFERROR(VLOOKUP(A432,Clientes_PDV!$A$2:$J$250,2,FALSE),"")</f>
        <v/>
      </c>
      <c r="C432" s="61">
        <f>IFERROR(VLOOKUP(A432,Clientes_PDV!$A$2:$J$250,3,FALSE),"")</f>
        <v/>
      </c>
      <c r="D432" s="61">
        <f>IFERROR(VLOOKUP(A432,Clientes_PDV!$A$2:$J$250,4,FALSE),"")</f>
        <v/>
      </c>
      <c r="E432" s="52" t="n"/>
      <c r="F432" s="61">
        <f>IFERROR(VLOOKUP(E432,Maestro_SKU!$A$2:$P$500,2,FALSE),"")</f>
        <v/>
      </c>
      <c r="G432" s="59" t="n"/>
      <c r="H432" s="62">
        <f>IF(OR(G432="",E432=""),"",G432*IFERROR(VLOOKUP(E432,Maestro_SKU!$A$2:$P$500,12,FALSE),1))</f>
        <v/>
      </c>
      <c r="I432" s="53" t="n"/>
      <c r="J432" s="61">
        <f>IF(A432="","",IF(H432&lt;=Inicio!$B$16,"Crítico",IF(H432&lt;=Inicio!$B$17,"Observar","OK")))</f>
        <v/>
      </c>
      <c r="K432" s="52" t="n"/>
    </row>
    <row r="433">
      <c r="A433" s="52" t="n"/>
      <c r="B433" s="61">
        <f>IFERROR(VLOOKUP(A433,Clientes_PDV!$A$2:$J$250,2,FALSE),"")</f>
        <v/>
      </c>
      <c r="C433" s="61">
        <f>IFERROR(VLOOKUP(A433,Clientes_PDV!$A$2:$J$250,3,FALSE),"")</f>
        <v/>
      </c>
      <c r="D433" s="61">
        <f>IFERROR(VLOOKUP(A433,Clientes_PDV!$A$2:$J$250,4,FALSE),"")</f>
        <v/>
      </c>
      <c r="E433" s="52" t="n"/>
      <c r="F433" s="61">
        <f>IFERROR(VLOOKUP(E433,Maestro_SKU!$A$2:$P$500,2,FALSE),"")</f>
        <v/>
      </c>
      <c r="G433" s="59" t="n"/>
      <c r="H433" s="62">
        <f>IF(OR(G433="",E433=""),"",G433*IFERROR(VLOOKUP(E433,Maestro_SKU!$A$2:$P$500,12,FALSE),1))</f>
        <v/>
      </c>
      <c r="I433" s="53" t="n"/>
      <c r="J433" s="61">
        <f>IF(A433="","",IF(H433&lt;=Inicio!$B$16,"Crítico",IF(H433&lt;=Inicio!$B$17,"Observar","OK")))</f>
        <v/>
      </c>
      <c r="K433" s="52" t="n"/>
    </row>
    <row r="434">
      <c r="A434" s="52" t="n"/>
      <c r="B434" s="61">
        <f>IFERROR(VLOOKUP(A434,Clientes_PDV!$A$2:$J$250,2,FALSE),"")</f>
        <v/>
      </c>
      <c r="C434" s="61">
        <f>IFERROR(VLOOKUP(A434,Clientes_PDV!$A$2:$J$250,3,FALSE),"")</f>
        <v/>
      </c>
      <c r="D434" s="61">
        <f>IFERROR(VLOOKUP(A434,Clientes_PDV!$A$2:$J$250,4,FALSE),"")</f>
        <v/>
      </c>
      <c r="E434" s="52" t="n"/>
      <c r="F434" s="61">
        <f>IFERROR(VLOOKUP(E434,Maestro_SKU!$A$2:$P$500,2,FALSE),"")</f>
        <v/>
      </c>
      <c r="G434" s="59" t="n"/>
      <c r="H434" s="62">
        <f>IF(OR(G434="",E434=""),"",G434*IFERROR(VLOOKUP(E434,Maestro_SKU!$A$2:$P$500,12,FALSE),1))</f>
        <v/>
      </c>
      <c r="I434" s="53" t="n"/>
      <c r="J434" s="61">
        <f>IF(A434="","",IF(H434&lt;=Inicio!$B$16,"Crítico",IF(H434&lt;=Inicio!$B$17,"Observar","OK")))</f>
        <v/>
      </c>
      <c r="K434" s="52" t="n"/>
    </row>
    <row r="435">
      <c r="A435" s="52" t="n"/>
      <c r="B435" s="61">
        <f>IFERROR(VLOOKUP(A435,Clientes_PDV!$A$2:$J$250,2,FALSE),"")</f>
        <v/>
      </c>
      <c r="C435" s="61">
        <f>IFERROR(VLOOKUP(A435,Clientes_PDV!$A$2:$J$250,3,FALSE),"")</f>
        <v/>
      </c>
      <c r="D435" s="61">
        <f>IFERROR(VLOOKUP(A435,Clientes_PDV!$A$2:$J$250,4,FALSE),"")</f>
        <v/>
      </c>
      <c r="E435" s="52" t="n"/>
      <c r="F435" s="61">
        <f>IFERROR(VLOOKUP(E435,Maestro_SKU!$A$2:$P$500,2,FALSE),"")</f>
        <v/>
      </c>
      <c r="G435" s="59" t="n"/>
      <c r="H435" s="62">
        <f>IF(OR(G435="",E435=""),"",G435*IFERROR(VLOOKUP(E435,Maestro_SKU!$A$2:$P$500,12,FALSE),1))</f>
        <v/>
      </c>
      <c r="I435" s="53" t="n"/>
      <c r="J435" s="61">
        <f>IF(A435="","",IF(H435&lt;=Inicio!$B$16,"Crítico",IF(H435&lt;=Inicio!$B$17,"Observar","OK")))</f>
        <v/>
      </c>
      <c r="K435" s="52" t="n"/>
    </row>
    <row r="436">
      <c r="A436" s="52" t="n"/>
      <c r="B436" s="61">
        <f>IFERROR(VLOOKUP(A436,Clientes_PDV!$A$2:$J$250,2,FALSE),"")</f>
        <v/>
      </c>
      <c r="C436" s="61">
        <f>IFERROR(VLOOKUP(A436,Clientes_PDV!$A$2:$J$250,3,FALSE),"")</f>
        <v/>
      </c>
      <c r="D436" s="61">
        <f>IFERROR(VLOOKUP(A436,Clientes_PDV!$A$2:$J$250,4,FALSE),"")</f>
        <v/>
      </c>
      <c r="E436" s="52" t="n"/>
      <c r="F436" s="61">
        <f>IFERROR(VLOOKUP(E436,Maestro_SKU!$A$2:$P$500,2,FALSE),"")</f>
        <v/>
      </c>
      <c r="G436" s="59" t="n"/>
      <c r="H436" s="62">
        <f>IF(OR(G436="",E436=""),"",G436*IFERROR(VLOOKUP(E436,Maestro_SKU!$A$2:$P$500,12,FALSE),1))</f>
        <v/>
      </c>
      <c r="I436" s="53" t="n"/>
      <c r="J436" s="61">
        <f>IF(A436="","",IF(H436&lt;=Inicio!$B$16,"Crítico",IF(H436&lt;=Inicio!$B$17,"Observar","OK")))</f>
        <v/>
      </c>
      <c r="K436" s="52" t="n"/>
    </row>
    <row r="437">
      <c r="A437" s="52" t="n"/>
      <c r="B437" s="61">
        <f>IFERROR(VLOOKUP(A437,Clientes_PDV!$A$2:$J$250,2,FALSE),"")</f>
        <v/>
      </c>
      <c r="C437" s="61">
        <f>IFERROR(VLOOKUP(A437,Clientes_PDV!$A$2:$J$250,3,FALSE),"")</f>
        <v/>
      </c>
      <c r="D437" s="61">
        <f>IFERROR(VLOOKUP(A437,Clientes_PDV!$A$2:$J$250,4,FALSE),"")</f>
        <v/>
      </c>
      <c r="E437" s="52" t="n"/>
      <c r="F437" s="61">
        <f>IFERROR(VLOOKUP(E437,Maestro_SKU!$A$2:$P$500,2,FALSE),"")</f>
        <v/>
      </c>
      <c r="G437" s="59" t="n"/>
      <c r="H437" s="62">
        <f>IF(OR(G437="",E437=""),"",G437*IFERROR(VLOOKUP(E437,Maestro_SKU!$A$2:$P$500,12,FALSE),1))</f>
        <v/>
      </c>
      <c r="I437" s="53" t="n"/>
      <c r="J437" s="61">
        <f>IF(A437="","",IF(H437&lt;=Inicio!$B$16,"Crítico",IF(H437&lt;=Inicio!$B$17,"Observar","OK")))</f>
        <v/>
      </c>
      <c r="K437" s="52" t="n"/>
    </row>
    <row r="438">
      <c r="A438" s="52" t="n"/>
      <c r="B438" s="61">
        <f>IFERROR(VLOOKUP(A438,Clientes_PDV!$A$2:$J$250,2,FALSE),"")</f>
        <v/>
      </c>
      <c r="C438" s="61">
        <f>IFERROR(VLOOKUP(A438,Clientes_PDV!$A$2:$J$250,3,FALSE),"")</f>
        <v/>
      </c>
      <c r="D438" s="61">
        <f>IFERROR(VLOOKUP(A438,Clientes_PDV!$A$2:$J$250,4,FALSE),"")</f>
        <v/>
      </c>
      <c r="E438" s="52" t="n"/>
      <c r="F438" s="61">
        <f>IFERROR(VLOOKUP(E438,Maestro_SKU!$A$2:$P$500,2,FALSE),"")</f>
        <v/>
      </c>
      <c r="G438" s="59" t="n"/>
      <c r="H438" s="62">
        <f>IF(OR(G438="",E438=""),"",G438*IFERROR(VLOOKUP(E438,Maestro_SKU!$A$2:$P$500,12,FALSE),1))</f>
        <v/>
      </c>
      <c r="I438" s="53" t="n"/>
      <c r="J438" s="61">
        <f>IF(A438="","",IF(H438&lt;=Inicio!$B$16,"Crítico",IF(H438&lt;=Inicio!$B$17,"Observar","OK")))</f>
        <v/>
      </c>
      <c r="K438" s="52" t="n"/>
    </row>
    <row r="439">
      <c r="A439" s="52" t="n"/>
      <c r="B439" s="61">
        <f>IFERROR(VLOOKUP(A439,Clientes_PDV!$A$2:$J$250,2,FALSE),"")</f>
        <v/>
      </c>
      <c r="C439" s="61">
        <f>IFERROR(VLOOKUP(A439,Clientes_PDV!$A$2:$J$250,3,FALSE),"")</f>
        <v/>
      </c>
      <c r="D439" s="61">
        <f>IFERROR(VLOOKUP(A439,Clientes_PDV!$A$2:$J$250,4,FALSE),"")</f>
        <v/>
      </c>
      <c r="E439" s="52" t="n"/>
      <c r="F439" s="61">
        <f>IFERROR(VLOOKUP(E439,Maestro_SKU!$A$2:$P$500,2,FALSE),"")</f>
        <v/>
      </c>
      <c r="G439" s="59" t="n"/>
      <c r="H439" s="62">
        <f>IF(OR(G439="",E439=""),"",G439*IFERROR(VLOOKUP(E439,Maestro_SKU!$A$2:$P$500,12,FALSE),1))</f>
        <v/>
      </c>
      <c r="I439" s="53" t="n"/>
      <c r="J439" s="61">
        <f>IF(A439="","",IF(H439&lt;=Inicio!$B$16,"Crítico",IF(H439&lt;=Inicio!$B$17,"Observar","OK")))</f>
        <v/>
      </c>
      <c r="K439" s="52" t="n"/>
    </row>
    <row r="440">
      <c r="A440" s="52" t="n"/>
      <c r="B440" s="61">
        <f>IFERROR(VLOOKUP(A440,Clientes_PDV!$A$2:$J$250,2,FALSE),"")</f>
        <v/>
      </c>
      <c r="C440" s="61">
        <f>IFERROR(VLOOKUP(A440,Clientes_PDV!$A$2:$J$250,3,FALSE),"")</f>
        <v/>
      </c>
      <c r="D440" s="61">
        <f>IFERROR(VLOOKUP(A440,Clientes_PDV!$A$2:$J$250,4,FALSE),"")</f>
        <v/>
      </c>
      <c r="E440" s="52" t="n"/>
      <c r="F440" s="61">
        <f>IFERROR(VLOOKUP(E440,Maestro_SKU!$A$2:$P$500,2,FALSE),"")</f>
        <v/>
      </c>
      <c r="G440" s="59" t="n"/>
      <c r="H440" s="62">
        <f>IF(OR(G440="",E440=""),"",G440*IFERROR(VLOOKUP(E440,Maestro_SKU!$A$2:$P$500,12,FALSE),1))</f>
        <v/>
      </c>
      <c r="I440" s="53" t="n"/>
      <c r="J440" s="61">
        <f>IF(A440="","",IF(H440&lt;=Inicio!$B$16,"Crítico",IF(H440&lt;=Inicio!$B$17,"Observar","OK")))</f>
        <v/>
      </c>
      <c r="K440" s="52" t="n"/>
    </row>
    <row r="441">
      <c r="A441" s="52" t="n"/>
      <c r="B441" s="61">
        <f>IFERROR(VLOOKUP(A441,Clientes_PDV!$A$2:$J$250,2,FALSE),"")</f>
        <v/>
      </c>
      <c r="C441" s="61">
        <f>IFERROR(VLOOKUP(A441,Clientes_PDV!$A$2:$J$250,3,FALSE),"")</f>
        <v/>
      </c>
      <c r="D441" s="61">
        <f>IFERROR(VLOOKUP(A441,Clientes_PDV!$A$2:$J$250,4,FALSE),"")</f>
        <v/>
      </c>
      <c r="E441" s="52" t="n"/>
      <c r="F441" s="61">
        <f>IFERROR(VLOOKUP(E441,Maestro_SKU!$A$2:$P$500,2,FALSE),"")</f>
        <v/>
      </c>
      <c r="G441" s="59" t="n"/>
      <c r="H441" s="62">
        <f>IF(OR(G441="",E441=""),"",G441*IFERROR(VLOOKUP(E441,Maestro_SKU!$A$2:$P$500,12,FALSE),1))</f>
        <v/>
      </c>
      <c r="I441" s="53" t="n"/>
      <c r="J441" s="61">
        <f>IF(A441="","",IF(H441&lt;=Inicio!$B$16,"Crítico",IF(H441&lt;=Inicio!$B$17,"Observar","OK")))</f>
        <v/>
      </c>
      <c r="K441" s="52" t="n"/>
    </row>
    <row r="442">
      <c r="A442" s="52" t="n"/>
      <c r="B442" s="61">
        <f>IFERROR(VLOOKUP(A442,Clientes_PDV!$A$2:$J$250,2,FALSE),"")</f>
        <v/>
      </c>
      <c r="C442" s="61">
        <f>IFERROR(VLOOKUP(A442,Clientes_PDV!$A$2:$J$250,3,FALSE),"")</f>
        <v/>
      </c>
      <c r="D442" s="61">
        <f>IFERROR(VLOOKUP(A442,Clientes_PDV!$A$2:$J$250,4,FALSE),"")</f>
        <v/>
      </c>
      <c r="E442" s="52" t="n"/>
      <c r="F442" s="61">
        <f>IFERROR(VLOOKUP(E442,Maestro_SKU!$A$2:$P$500,2,FALSE),"")</f>
        <v/>
      </c>
      <c r="G442" s="59" t="n"/>
      <c r="H442" s="62">
        <f>IF(OR(G442="",E442=""),"",G442*IFERROR(VLOOKUP(E442,Maestro_SKU!$A$2:$P$500,12,FALSE),1))</f>
        <v/>
      </c>
      <c r="I442" s="53" t="n"/>
      <c r="J442" s="61">
        <f>IF(A442="","",IF(H442&lt;=Inicio!$B$16,"Crítico",IF(H442&lt;=Inicio!$B$17,"Observar","OK")))</f>
        <v/>
      </c>
      <c r="K442" s="52" t="n"/>
    </row>
    <row r="443">
      <c r="A443" s="52" t="n"/>
      <c r="B443" s="61">
        <f>IFERROR(VLOOKUP(A443,Clientes_PDV!$A$2:$J$250,2,FALSE),"")</f>
        <v/>
      </c>
      <c r="C443" s="61">
        <f>IFERROR(VLOOKUP(A443,Clientes_PDV!$A$2:$J$250,3,FALSE),"")</f>
        <v/>
      </c>
      <c r="D443" s="61">
        <f>IFERROR(VLOOKUP(A443,Clientes_PDV!$A$2:$J$250,4,FALSE),"")</f>
        <v/>
      </c>
      <c r="E443" s="52" t="n"/>
      <c r="F443" s="61">
        <f>IFERROR(VLOOKUP(E443,Maestro_SKU!$A$2:$P$500,2,FALSE),"")</f>
        <v/>
      </c>
      <c r="G443" s="59" t="n"/>
      <c r="H443" s="62">
        <f>IF(OR(G443="",E443=""),"",G443*IFERROR(VLOOKUP(E443,Maestro_SKU!$A$2:$P$500,12,FALSE),1))</f>
        <v/>
      </c>
      <c r="I443" s="53" t="n"/>
      <c r="J443" s="61">
        <f>IF(A443="","",IF(H443&lt;=Inicio!$B$16,"Crítico",IF(H443&lt;=Inicio!$B$17,"Observar","OK")))</f>
        <v/>
      </c>
      <c r="K443" s="52" t="n"/>
    </row>
    <row r="444">
      <c r="A444" s="52" t="n"/>
      <c r="B444" s="61">
        <f>IFERROR(VLOOKUP(A444,Clientes_PDV!$A$2:$J$250,2,FALSE),"")</f>
        <v/>
      </c>
      <c r="C444" s="61">
        <f>IFERROR(VLOOKUP(A444,Clientes_PDV!$A$2:$J$250,3,FALSE),"")</f>
        <v/>
      </c>
      <c r="D444" s="61">
        <f>IFERROR(VLOOKUP(A444,Clientes_PDV!$A$2:$J$250,4,FALSE),"")</f>
        <v/>
      </c>
      <c r="E444" s="52" t="n"/>
      <c r="F444" s="61">
        <f>IFERROR(VLOOKUP(E444,Maestro_SKU!$A$2:$P$500,2,FALSE),"")</f>
        <v/>
      </c>
      <c r="G444" s="59" t="n"/>
      <c r="H444" s="62">
        <f>IF(OR(G444="",E444=""),"",G444*IFERROR(VLOOKUP(E444,Maestro_SKU!$A$2:$P$500,12,FALSE),1))</f>
        <v/>
      </c>
      <c r="I444" s="53" t="n"/>
      <c r="J444" s="61">
        <f>IF(A444="","",IF(H444&lt;=Inicio!$B$16,"Crítico",IF(H444&lt;=Inicio!$B$17,"Observar","OK")))</f>
        <v/>
      </c>
      <c r="K444" s="52" t="n"/>
    </row>
    <row r="445">
      <c r="A445" s="52" t="n"/>
      <c r="B445" s="61">
        <f>IFERROR(VLOOKUP(A445,Clientes_PDV!$A$2:$J$250,2,FALSE),"")</f>
        <v/>
      </c>
      <c r="C445" s="61">
        <f>IFERROR(VLOOKUP(A445,Clientes_PDV!$A$2:$J$250,3,FALSE),"")</f>
        <v/>
      </c>
      <c r="D445" s="61">
        <f>IFERROR(VLOOKUP(A445,Clientes_PDV!$A$2:$J$250,4,FALSE),"")</f>
        <v/>
      </c>
      <c r="E445" s="52" t="n"/>
      <c r="F445" s="61">
        <f>IFERROR(VLOOKUP(E445,Maestro_SKU!$A$2:$P$500,2,FALSE),"")</f>
        <v/>
      </c>
      <c r="G445" s="59" t="n"/>
      <c r="H445" s="62">
        <f>IF(OR(G445="",E445=""),"",G445*IFERROR(VLOOKUP(E445,Maestro_SKU!$A$2:$P$500,12,FALSE),1))</f>
        <v/>
      </c>
      <c r="I445" s="53" t="n"/>
      <c r="J445" s="61">
        <f>IF(A445="","",IF(H445&lt;=Inicio!$B$16,"Crítico",IF(H445&lt;=Inicio!$B$17,"Observar","OK")))</f>
        <v/>
      </c>
      <c r="K445" s="52" t="n"/>
    </row>
    <row r="446">
      <c r="A446" s="52" t="n"/>
      <c r="B446" s="61">
        <f>IFERROR(VLOOKUP(A446,Clientes_PDV!$A$2:$J$250,2,FALSE),"")</f>
        <v/>
      </c>
      <c r="C446" s="61">
        <f>IFERROR(VLOOKUP(A446,Clientes_PDV!$A$2:$J$250,3,FALSE),"")</f>
        <v/>
      </c>
      <c r="D446" s="61">
        <f>IFERROR(VLOOKUP(A446,Clientes_PDV!$A$2:$J$250,4,FALSE),"")</f>
        <v/>
      </c>
      <c r="E446" s="52" t="n"/>
      <c r="F446" s="61">
        <f>IFERROR(VLOOKUP(E446,Maestro_SKU!$A$2:$P$500,2,FALSE),"")</f>
        <v/>
      </c>
      <c r="G446" s="59" t="n"/>
      <c r="H446" s="62">
        <f>IF(OR(G446="",E446=""),"",G446*IFERROR(VLOOKUP(E446,Maestro_SKU!$A$2:$P$500,12,FALSE),1))</f>
        <v/>
      </c>
      <c r="I446" s="53" t="n"/>
      <c r="J446" s="61">
        <f>IF(A446="","",IF(H446&lt;=Inicio!$B$16,"Crítico",IF(H446&lt;=Inicio!$B$17,"Observar","OK")))</f>
        <v/>
      </c>
      <c r="K446" s="52" t="n"/>
    </row>
    <row r="447">
      <c r="A447" s="52" t="n"/>
      <c r="B447" s="61">
        <f>IFERROR(VLOOKUP(A447,Clientes_PDV!$A$2:$J$250,2,FALSE),"")</f>
        <v/>
      </c>
      <c r="C447" s="61">
        <f>IFERROR(VLOOKUP(A447,Clientes_PDV!$A$2:$J$250,3,FALSE),"")</f>
        <v/>
      </c>
      <c r="D447" s="61">
        <f>IFERROR(VLOOKUP(A447,Clientes_PDV!$A$2:$J$250,4,FALSE),"")</f>
        <v/>
      </c>
      <c r="E447" s="52" t="n"/>
      <c r="F447" s="61">
        <f>IFERROR(VLOOKUP(E447,Maestro_SKU!$A$2:$P$500,2,FALSE),"")</f>
        <v/>
      </c>
      <c r="G447" s="59" t="n"/>
      <c r="H447" s="62">
        <f>IF(OR(G447="",E447=""),"",G447*IFERROR(VLOOKUP(E447,Maestro_SKU!$A$2:$P$500,12,FALSE),1))</f>
        <v/>
      </c>
      <c r="I447" s="53" t="n"/>
      <c r="J447" s="61">
        <f>IF(A447="","",IF(H447&lt;=Inicio!$B$16,"Crítico",IF(H447&lt;=Inicio!$B$17,"Observar","OK")))</f>
        <v/>
      </c>
      <c r="K447" s="52" t="n"/>
    </row>
    <row r="448">
      <c r="A448" s="52" t="n"/>
      <c r="B448" s="61">
        <f>IFERROR(VLOOKUP(A448,Clientes_PDV!$A$2:$J$250,2,FALSE),"")</f>
        <v/>
      </c>
      <c r="C448" s="61">
        <f>IFERROR(VLOOKUP(A448,Clientes_PDV!$A$2:$J$250,3,FALSE),"")</f>
        <v/>
      </c>
      <c r="D448" s="61">
        <f>IFERROR(VLOOKUP(A448,Clientes_PDV!$A$2:$J$250,4,FALSE),"")</f>
        <v/>
      </c>
      <c r="E448" s="52" t="n"/>
      <c r="F448" s="61">
        <f>IFERROR(VLOOKUP(E448,Maestro_SKU!$A$2:$P$500,2,FALSE),"")</f>
        <v/>
      </c>
      <c r="G448" s="59" t="n"/>
      <c r="H448" s="62">
        <f>IF(OR(G448="",E448=""),"",G448*IFERROR(VLOOKUP(E448,Maestro_SKU!$A$2:$P$500,12,FALSE),1))</f>
        <v/>
      </c>
      <c r="I448" s="53" t="n"/>
      <c r="J448" s="61">
        <f>IF(A448="","",IF(H448&lt;=Inicio!$B$16,"Crítico",IF(H448&lt;=Inicio!$B$17,"Observar","OK")))</f>
        <v/>
      </c>
      <c r="K448" s="52" t="n"/>
    </row>
    <row r="449">
      <c r="A449" s="52" t="n"/>
      <c r="B449" s="61">
        <f>IFERROR(VLOOKUP(A449,Clientes_PDV!$A$2:$J$250,2,FALSE),"")</f>
        <v/>
      </c>
      <c r="C449" s="61">
        <f>IFERROR(VLOOKUP(A449,Clientes_PDV!$A$2:$J$250,3,FALSE),"")</f>
        <v/>
      </c>
      <c r="D449" s="61">
        <f>IFERROR(VLOOKUP(A449,Clientes_PDV!$A$2:$J$250,4,FALSE),"")</f>
        <v/>
      </c>
      <c r="E449" s="52" t="n"/>
      <c r="F449" s="61">
        <f>IFERROR(VLOOKUP(E449,Maestro_SKU!$A$2:$P$500,2,FALSE),"")</f>
        <v/>
      </c>
      <c r="G449" s="59" t="n"/>
      <c r="H449" s="62">
        <f>IF(OR(G449="",E449=""),"",G449*IFERROR(VLOOKUP(E449,Maestro_SKU!$A$2:$P$500,12,FALSE),1))</f>
        <v/>
      </c>
      <c r="I449" s="53" t="n"/>
      <c r="J449" s="61">
        <f>IF(A449="","",IF(H449&lt;=Inicio!$B$16,"Crítico",IF(H449&lt;=Inicio!$B$17,"Observar","OK")))</f>
        <v/>
      </c>
      <c r="K449" s="52" t="n"/>
    </row>
    <row r="450">
      <c r="A450" s="52" t="n"/>
      <c r="B450" s="61">
        <f>IFERROR(VLOOKUP(A450,Clientes_PDV!$A$2:$J$250,2,FALSE),"")</f>
        <v/>
      </c>
      <c r="C450" s="61">
        <f>IFERROR(VLOOKUP(A450,Clientes_PDV!$A$2:$J$250,3,FALSE),"")</f>
        <v/>
      </c>
      <c r="D450" s="61">
        <f>IFERROR(VLOOKUP(A450,Clientes_PDV!$A$2:$J$250,4,FALSE),"")</f>
        <v/>
      </c>
      <c r="E450" s="52" t="n"/>
      <c r="F450" s="61">
        <f>IFERROR(VLOOKUP(E450,Maestro_SKU!$A$2:$P$500,2,FALSE),"")</f>
        <v/>
      </c>
      <c r="G450" s="59" t="n"/>
      <c r="H450" s="62">
        <f>IF(OR(G450="",E450=""),"",G450*IFERROR(VLOOKUP(E450,Maestro_SKU!$A$2:$P$500,12,FALSE),1))</f>
        <v/>
      </c>
      <c r="I450" s="53" t="n"/>
      <c r="J450" s="61">
        <f>IF(A450="","",IF(H450&lt;=Inicio!$B$16,"Crítico",IF(H450&lt;=Inicio!$B$17,"Observar","OK")))</f>
        <v/>
      </c>
      <c r="K450" s="52" t="n"/>
    </row>
    <row r="451">
      <c r="A451" s="52" t="n"/>
      <c r="B451" s="61">
        <f>IFERROR(VLOOKUP(A451,Clientes_PDV!$A$2:$J$250,2,FALSE),"")</f>
        <v/>
      </c>
      <c r="C451" s="61">
        <f>IFERROR(VLOOKUP(A451,Clientes_PDV!$A$2:$J$250,3,FALSE),"")</f>
        <v/>
      </c>
      <c r="D451" s="61">
        <f>IFERROR(VLOOKUP(A451,Clientes_PDV!$A$2:$J$250,4,FALSE),"")</f>
        <v/>
      </c>
      <c r="E451" s="52" t="n"/>
      <c r="F451" s="61">
        <f>IFERROR(VLOOKUP(E451,Maestro_SKU!$A$2:$P$500,2,FALSE),"")</f>
        <v/>
      </c>
      <c r="G451" s="59" t="n"/>
      <c r="H451" s="62">
        <f>IF(OR(G451="",E451=""),"",G451*IFERROR(VLOOKUP(E451,Maestro_SKU!$A$2:$P$500,12,FALSE),1))</f>
        <v/>
      </c>
      <c r="I451" s="53" t="n"/>
      <c r="J451" s="61">
        <f>IF(A451="","",IF(H451&lt;=Inicio!$B$16,"Crítico",IF(H451&lt;=Inicio!$B$17,"Observar","OK")))</f>
        <v/>
      </c>
      <c r="K451" s="52" t="n"/>
    </row>
    <row r="452">
      <c r="A452" s="52" t="n"/>
      <c r="B452" s="61">
        <f>IFERROR(VLOOKUP(A452,Clientes_PDV!$A$2:$J$250,2,FALSE),"")</f>
        <v/>
      </c>
      <c r="C452" s="61">
        <f>IFERROR(VLOOKUP(A452,Clientes_PDV!$A$2:$J$250,3,FALSE),"")</f>
        <v/>
      </c>
      <c r="D452" s="61">
        <f>IFERROR(VLOOKUP(A452,Clientes_PDV!$A$2:$J$250,4,FALSE),"")</f>
        <v/>
      </c>
      <c r="E452" s="52" t="n"/>
      <c r="F452" s="61">
        <f>IFERROR(VLOOKUP(E452,Maestro_SKU!$A$2:$P$500,2,FALSE),"")</f>
        <v/>
      </c>
      <c r="G452" s="59" t="n"/>
      <c r="H452" s="62">
        <f>IF(OR(G452="",E452=""),"",G452*IFERROR(VLOOKUP(E452,Maestro_SKU!$A$2:$P$500,12,FALSE),1))</f>
        <v/>
      </c>
      <c r="I452" s="53" t="n"/>
      <c r="J452" s="61">
        <f>IF(A452="","",IF(H452&lt;=Inicio!$B$16,"Crítico",IF(H452&lt;=Inicio!$B$17,"Observar","OK")))</f>
        <v/>
      </c>
      <c r="K452" s="52" t="n"/>
    </row>
    <row r="453">
      <c r="A453" s="52" t="n"/>
      <c r="B453" s="61">
        <f>IFERROR(VLOOKUP(A453,Clientes_PDV!$A$2:$J$250,2,FALSE),"")</f>
        <v/>
      </c>
      <c r="C453" s="61">
        <f>IFERROR(VLOOKUP(A453,Clientes_PDV!$A$2:$J$250,3,FALSE),"")</f>
        <v/>
      </c>
      <c r="D453" s="61">
        <f>IFERROR(VLOOKUP(A453,Clientes_PDV!$A$2:$J$250,4,FALSE),"")</f>
        <v/>
      </c>
      <c r="E453" s="52" t="n"/>
      <c r="F453" s="61">
        <f>IFERROR(VLOOKUP(E453,Maestro_SKU!$A$2:$P$500,2,FALSE),"")</f>
        <v/>
      </c>
      <c r="G453" s="59" t="n"/>
      <c r="H453" s="62">
        <f>IF(OR(G453="",E453=""),"",G453*IFERROR(VLOOKUP(E453,Maestro_SKU!$A$2:$P$500,12,FALSE),1))</f>
        <v/>
      </c>
      <c r="I453" s="53" t="n"/>
      <c r="J453" s="61">
        <f>IF(A453="","",IF(H453&lt;=Inicio!$B$16,"Crítico",IF(H453&lt;=Inicio!$B$17,"Observar","OK")))</f>
        <v/>
      </c>
      <c r="K453" s="52" t="n"/>
    </row>
    <row r="454">
      <c r="A454" s="52" t="n"/>
      <c r="B454" s="61">
        <f>IFERROR(VLOOKUP(A454,Clientes_PDV!$A$2:$J$250,2,FALSE),"")</f>
        <v/>
      </c>
      <c r="C454" s="61">
        <f>IFERROR(VLOOKUP(A454,Clientes_PDV!$A$2:$J$250,3,FALSE),"")</f>
        <v/>
      </c>
      <c r="D454" s="61">
        <f>IFERROR(VLOOKUP(A454,Clientes_PDV!$A$2:$J$250,4,FALSE),"")</f>
        <v/>
      </c>
      <c r="E454" s="52" t="n"/>
      <c r="F454" s="61">
        <f>IFERROR(VLOOKUP(E454,Maestro_SKU!$A$2:$P$500,2,FALSE),"")</f>
        <v/>
      </c>
      <c r="G454" s="59" t="n"/>
      <c r="H454" s="62">
        <f>IF(OR(G454="",E454=""),"",G454*IFERROR(VLOOKUP(E454,Maestro_SKU!$A$2:$P$500,12,FALSE),1))</f>
        <v/>
      </c>
      <c r="I454" s="53" t="n"/>
      <c r="J454" s="61">
        <f>IF(A454="","",IF(H454&lt;=Inicio!$B$16,"Crítico",IF(H454&lt;=Inicio!$B$17,"Observar","OK")))</f>
        <v/>
      </c>
      <c r="K454" s="52" t="n"/>
    </row>
    <row r="455">
      <c r="A455" s="52" t="n"/>
      <c r="B455" s="61">
        <f>IFERROR(VLOOKUP(A455,Clientes_PDV!$A$2:$J$250,2,FALSE),"")</f>
        <v/>
      </c>
      <c r="C455" s="61">
        <f>IFERROR(VLOOKUP(A455,Clientes_PDV!$A$2:$J$250,3,FALSE),"")</f>
        <v/>
      </c>
      <c r="D455" s="61">
        <f>IFERROR(VLOOKUP(A455,Clientes_PDV!$A$2:$J$250,4,FALSE),"")</f>
        <v/>
      </c>
      <c r="E455" s="52" t="n"/>
      <c r="F455" s="61">
        <f>IFERROR(VLOOKUP(E455,Maestro_SKU!$A$2:$P$500,2,FALSE),"")</f>
        <v/>
      </c>
      <c r="G455" s="59" t="n"/>
      <c r="H455" s="62">
        <f>IF(OR(G455="",E455=""),"",G455*IFERROR(VLOOKUP(E455,Maestro_SKU!$A$2:$P$500,12,FALSE),1))</f>
        <v/>
      </c>
      <c r="I455" s="53" t="n"/>
      <c r="J455" s="61">
        <f>IF(A455="","",IF(H455&lt;=Inicio!$B$16,"Crítico",IF(H455&lt;=Inicio!$B$17,"Observar","OK")))</f>
        <v/>
      </c>
      <c r="K455" s="52" t="n"/>
    </row>
    <row r="456">
      <c r="A456" s="52" t="n"/>
      <c r="B456" s="61">
        <f>IFERROR(VLOOKUP(A456,Clientes_PDV!$A$2:$J$250,2,FALSE),"")</f>
        <v/>
      </c>
      <c r="C456" s="61">
        <f>IFERROR(VLOOKUP(A456,Clientes_PDV!$A$2:$J$250,3,FALSE),"")</f>
        <v/>
      </c>
      <c r="D456" s="61">
        <f>IFERROR(VLOOKUP(A456,Clientes_PDV!$A$2:$J$250,4,FALSE),"")</f>
        <v/>
      </c>
      <c r="E456" s="52" t="n"/>
      <c r="F456" s="61">
        <f>IFERROR(VLOOKUP(E456,Maestro_SKU!$A$2:$P$500,2,FALSE),"")</f>
        <v/>
      </c>
      <c r="G456" s="59" t="n"/>
      <c r="H456" s="62">
        <f>IF(OR(G456="",E456=""),"",G456*IFERROR(VLOOKUP(E456,Maestro_SKU!$A$2:$P$500,12,FALSE),1))</f>
        <v/>
      </c>
      <c r="I456" s="53" t="n"/>
      <c r="J456" s="61">
        <f>IF(A456="","",IF(H456&lt;=Inicio!$B$16,"Crítico",IF(H456&lt;=Inicio!$B$17,"Observar","OK")))</f>
        <v/>
      </c>
      <c r="K456" s="52" t="n"/>
    </row>
    <row r="457">
      <c r="A457" s="52" t="n"/>
      <c r="B457" s="61">
        <f>IFERROR(VLOOKUP(A457,Clientes_PDV!$A$2:$J$250,2,FALSE),"")</f>
        <v/>
      </c>
      <c r="C457" s="61">
        <f>IFERROR(VLOOKUP(A457,Clientes_PDV!$A$2:$J$250,3,FALSE),"")</f>
        <v/>
      </c>
      <c r="D457" s="61">
        <f>IFERROR(VLOOKUP(A457,Clientes_PDV!$A$2:$J$250,4,FALSE),"")</f>
        <v/>
      </c>
      <c r="E457" s="52" t="n"/>
      <c r="F457" s="61">
        <f>IFERROR(VLOOKUP(E457,Maestro_SKU!$A$2:$P$500,2,FALSE),"")</f>
        <v/>
      </c>
      <c r="G457" s="59" t="n"/>
      <c r="H457" s="62">
        <f>IF(OR(G457="",E457=""),"",G457*IFERROR(VLOOKUP(E457,Maestro_SKU!$A$2:$P$500,12,FALSE),1))</f>
        <v/>
      </c>
      <c r="I457" s="53" t="n"/>
      <c r="J457" s="61">
        <f>IF(A457="","",IF(H457&lt;=Inicio!$B$16,"Crítico",IF(H457&lt;=Inicio!$B$17,"Observar","OK")))</f>
        <v/>
      </c>
      <c r="K457" s="52" t="n"/>
    </row>
    <row r="458">
      <c r="A458" s="52" t="n"/>
      <c r="B458" s="61">
        <f>IFERROR(VLOOKUP(A458,Clientes_PDV!$A$2:$J$250,2,FALSE),"")</f>
        <v/>
      </c>
      <c r="C458" s="61">
        <f>IFERROR(VLOOKUP(A458,Clientes_PDV!$A$2:$J$250,3,FALSE),"")</f>
        <v/>
      </c>
      <c r="D458" s="61">
        <f>IFERROR(VLOOKUP(A458,Clientes_PDV!$A$2:$J$250,4,FALSE),"")</f>
        <v/>
      </c>
      <c r="E458" s="52" t="n"/>
      <c r="F458" s="61">
        <f>IFERROR(VLOOKUP(E458,Maestro_SKU!$A$2:$P$500,2,FALSE),"")</f>
        <v/>
      </c>
      <c r="G458" s="59" t="n"/>
      <c r="H458" s="62">
        <f>IF(OR(G458="",E458=""),"",G458*IFERROR(VLOOKUP(E458,Maestro_SKU!$A$2:$P$500,12,FALSE),1))</f>
        <v/>
      </c>
      <c r="I458" s="53" t="n"/>
      <c r="J458" s="61">
        <f>IF(A458="","",IF(H458&lt;=Inicio!$B$16,"Crítico",IF(H458&lt;=Inicio!$B$17,"Observar","OK")))</f>
        <v/>
      </c>
      <c r="K458" s="52" t="n"/>
    </row>
    <row r="459">
      <c r="A459" s="52" t="n"/>
      <c r="B459" s="61">
        <f>IFERROR(VLOOKUP(A459,Clientes_PDV!$A$2:$J$250,2,FALSE),"")</f>
        <v/>
      </c>
      <c r="C459" s="61">
        <f>IFERROR(VLOOKUP(A459,Clientes_PDV!$A$2:$J$250,3,FALSE),"")</f>
        <v/>
      </c>
      <c r="D459" s="61">
        <f>IFERROR(VLOOKUP(A459,Clientes_PDV!$A$2:$J$250,4,FALSE),"")</f>
        <v/>
      </c>
      <c r="E459" s="52" t="n"/>
      <c r="F459" s="61">
        <f>IFERROR(VLOOKUP(E459,Maestro_SKU!$A$2:$P$500,2,FALSE),"")</f>
        <v/>
      </c>
      <c r="G459" s="59" t="n"/>
      <c r="H459" s="62">
        <f>IF(OR(G459="",E459=""),"",G459*IFERROR(VLOOKUP(E459,Maestro_SKU!$A$2:$P$500,12,FALSE),1))</f>
        <v/>
      </c>
      <c r="I459" s="53" t="n"/>
      <c r="J459" s="61">
        <f>IF(A459="","",IF(H459&lt;=Inicio!$B$16,"Crítico",IF(H459&lt;=Inicio!$B$17,"Observar","OK")))</f>
        <v/>
      </c>
      <c r="K459" s="52" t="n"/>
    </row>
    <row r="460">
      <c r="A460" s="52" t="n"/>
      <c r="B460" s="61">
        <f>IFERROR(VLOOKUP(A460,Clientes_PDV!$A$2:$J$250,2,FALSE),"")</f>
        <v/>
      </c>
      <c r="C460" s="61">
        <f>IFERROR(VLOOKUP(A460,Clientes_PDV!$A$2:$J$250,3,FALSE),"")</f>
        <v/>
      </c>
      <c r="D460" s="61">
        <f>IFERROR(VLOOKUP(A460,Clientes_PDV!$A$2:$J$250,4,FALSE),"")</f>
        <v/>
      </c>
      <c r="E460" s="52" t="n"/>
      <c r="F460" s="61">
        <f>IFERROR(VLOOKUP(E460,Maestro_SKU!$A$2:$P$500,2,FALSE),"")</f>
        <v/>
      </c>
      <c r="G460" s="59" t="n"/>
      <c r="H460" s="62">
        <f>IF(OR(G460="",E460=""),"",G460*IFERROR(VLOOKUP(E460,Maestro_SKU!$A$2:$P$500,12,FALSE),1))</f>
        <v/>
      </c>
      <c r="I460" s="53" t="n"/>
      <c r="J460" s="61">
        <f>IF(A460="","",IF(H460&lt;=Inicio!$B$16,"Crítico",IF(H460&lt;=Inicio!$B$17,"Observar","OK")))</f>
        <v/>
      </c>
      <c r="K460" s="52" t="n"/>
    </row>
    <row r="461">
      <c r="A461" s="52" t="n"/>
      <c r="B461" s="61">
        <f>IFERROR(VLOOKUP(A461,Clientes_PDV!$A$2:$J$250,2,FALSE),"")</f>
        <v/>
      </c>
      <c r="C461" s="61">
        <f>IFERROR(VLOOKUP(A461,Clientes_PDV!$A$2:$J$250,3,FALSE),"")</f>
        <v/>
      </c>
      <c r="D461" s="61">
        <f>IFERROR(VLOOKUP(A461,Clientes_PDV!$A$2:$J$250,4,FALSE),"")</f>
        <v/>
      </c>
      <c r="E461" s="52" t="n"/>
      <c r="F461" s="61">
        <f>IFERROR(VLOOKUP(E461,Maestro_SKU!$A$2:$P$500,2,FALSE),"")</f>
        <v/>
      </c>
      <c r="G461" s="59" t="n"/>
      <c r="H461" s="62">
        <f>IF(OR(G461="",E461=""),"",G461*IFERROR(VLOOKUP(E461,Maestro_SKU!$A$2:$P$500,12,FALSE),1))</f>
        <v/>
      </c>
      <c r="I461" s="53" t="n"/>
      <c r="J461" s="61">
        <f>IF(A461="","",IF(H461&lt;=Inicio!$B$16,"Crítico",IF(H461&lt;=Inicio!$B$17,"Observar","OK")))</f>
        <v/>
      </c>
      <c r="K461" s="52" t="n"/>
    </row>
    <row r="462">
      <c r="A462" s="52" t="n"/>
      <c r="B462" s="61">
        <f>IFERROR(VLOOKUP(A462,Clientes_PDV!$A$2:$J$250,2,FALSE),"")</f>
        <v/>
      </c>
      <c r="C462" s="61">
        <f>IFERROR(VLOOKUP(A462,Clientes_PDV!$A$2:$J$250,3,FALSE),"")</f>
        <v/>
      </c>
      <c r="D462" s="61">
        <f>IFERROR(VLOOKUP(A462,Clientes_PDV!$A$2:$J$250,4,FALSE),"")</f>
        <v/>
      </c>
      <c r="E462" s="52" t="n"/>
      <c r="F462" s="61">
        <f>IFERROR(VLOOKUP(E462,Maestro_SKU!$A$2:$P$500,2,FALSE),"")</f>
        <v/>
      </c>
      <c r="G462" s="59" t="n"/>
      <c r="H462" s="62">
        <f>IF(OR(G462="",E462=""),"",G462*IFERROR(VLOOKUP(E462,Maestro_SKU!$A$2:$P$500,12,FALSE),1))</f>
        <v/>
      </c>
      <c r="I462" s="53" t="n"/>
      <c r="J462" s="61">
        <f>IF(A462="","",IF(H462&lt;=Inicio!$B$16,"Crítico",IF(H462&lt;=Inicio!$B$17,"Observar","OK")))</f>
        <v/>
      </c>
      <c r="K462" s="52" t="n"/>
    </row>
    <row r="463">
      <c r="A463" s="52" t="n"/>
      <c r="B463" s="61">
        <f>IFERROR(VLOOKUP(A463,Clientes_PDV!$A$2:$J$250,2,FALSE),"")</f>
        <v/>
      </c>
      <c r="C463" s="61">
        <f>IFERROR(VLOOKUP(A463,Clientes_PDV!$A$2:$J$250,3,FALSE),"")</f>
        <v/>
      </c>
      <c r="D463" s="61">
        <f>IFERROR(VLOOKUP(A463,Clientes_PDV!$A$2:$J$250,4,FALSE),"")</f>
        <v/>
      </c>
      <c r="E463" s="52" t="n"/>
      <c r="F463" s="61">
        <f>IFERROR(VLOOKUP(E463,Maestro_SKU!$A$2:$P$500,2,FALSE),"")</f>
        <v/>
      </c>
      <c r="G463" s="59" t="n"/>
      <c r="H463" s="62">
        <f>IF(OR(G463="",E463=""),"",G463*IFERROR(VLOOKUP(E463,Maestro_SKU!$A$2:$P$500,12,FALSE),1))</f>
        <v/>
      </c>
      <c r="I463" s="53" t="n"/>
      <c r="J463" s="61">
        <f>IF(A463="","",IF(H463&lt;=Inicio!$B$16,"Crítico",IF(H463&lt;=Inicio!$B$17,"Observar","OK")))</f>
        <v/>
      </c>
      <c r="K463" s="52" t="n"/>
    </row>
    <row r="464">
      <c r="A464" s="52" t="n"/>
      <c r="B464" s="61">
        <f>IFERROR(VLOOKUP(A464,Clientes_PDV!$A$2:$J$250,2,FALSE),"")</f>
        <v/>
      </c>
      <c r="C464" s="61">
        <f>IFERROR(VLOOKUP(A464,Clientes_PDV!$A$2:$J$250,3,FALSE),"")</f>
        <v/>
      </c>
      <c r="D464" s="61">
        <f>IFERROR(VLOOKUP(A464,Clientes_PDV!$A$2:$J$250,4,FALSE),"")</f>
        <v/>
      </c>
      <c r="E464" s="52" t="n"/>
      <c r="F464" s="61">
        <f>IFERROR(VLOOKUP(E464,Maestro_SKU!$A$2:$P$500,2,FALSE),"")</f>
        <v/>
      </c>
      <c r="G464" s="59" t="n"/>
      <c r="H464" s="62">
        <f>IF(OR(G464="",E464=""),"",G464*IFERROR(VLOOKUP(E464,Maestro_SKU!$A$2:$P$500,12,FALSE),1))</f>
        <v/>
      </c>
      <c r="I464" s="53" t="n"/>
      <c r="J464" s="61">
        <f>IF(A464="","",IF(H464&lt;=Inicio!$B$16,"Crítico",IF(H464&lt;=Inicio!$B$17,"Observar","OK")))</f>
        <v/>
      </c>
      <c r="K464" s="52" t="n"/>
    </row>
    <row r="465">
      <c r="A465" s="52" t="n"/>
      <c r="B465" s="61">
        <f>IFERROR(VLOOKUP(A465,Clientes_PDV!$A$2:$J$250,2,FALSE),"")</f>
        <v/>
      </c>
      <c r="C465" s="61">
        <f>IFERROR(VLOOKUP(A465,Clientes_PDV!$A$2:$J$250,3,FALSE),"")</f>
        <v/>
      </c>
      <c r="D465" s="61">
        <f>IFERROR(VLOOKUP(A465,Clientes_PDV!$A$2:$J$250,4,FALSE),"")</f>
        <v/>
      </c>
      <c r="E465" s="52" t="n"/>
      <c r="F465" s="61">
        <f>IFERROR(VLOOKUP(E465,Maestro_SKU!$A$2:$P$500,2,FALSE),"")</f>
        <v/>
      </c>
      <c r="G465" s="59" t="n"/>
      <c r="H465" s="62">
        <f>IF(OR(G465="",E465=""),"",G465*IFERROR(VLOOKUP(E465,Maestro_SKU!$A$2:$P$500,12,FALSE),1))</f>
        <v/>
      </c>
      <c r="I465" s="53" t="n"/>
      <c r="J465" s="61">
        <f>IF(A465="","",IF(H465&lt;=Inicio!$B$16,"Crítico",IF(H465&lt;=Inicio!$B$17,"Observar","OK")))</f>
        <v/>
      </c>
      <c r="K465" s="52" t="n"/>
    </row>
    <row r="466">
      <c r="A466" s="52" t="n"/>
      <c r="B466" s="61">
        <f>IFERROR(VLOOKUP(A466,Clientes_PDV!$A$2:$J$250,2,FALSE),"")</f>
        <v/>
      </c>
      <c r="C466" s="61">
        <f>IFERROR(VLOOKUP(A466,Clientes_PDV!$A$2:$J$250,3,FALSE),"")</f>
        <v/>
      </c>
      <c r="D466" s="61">
        <f>IFERROR(VLOOKUP(A466,Clientes_PDV!$A$2:$J$250,4,FALSE),"")</f>
        <v/>
      </c>
      <c r="E466" s="52" t="n"/>
      <c r="F466" s="61">
        <f>IFERROR(VLOOKUP(E466,Maestro_SKU!$A$2:$P$500,2,FALSE),"")</f>
        <v/>
      </c>
      <c r="G466" s="59" t="n"/>
      <c r="H466" s="62">
        <f>IF(OR(G466="",E466=""),"",G466*IFERROR(VLOOKUP(E466,Maestro_SKU!$A$2:$P$500,12,FALSE),1))</f>
        <v/>
      </c>
      <c r="I466" s="53" t="n"/>
      <c r="J466" s="61">
        <f>IF(A466="","",IF(H466&lt;=Inicio!$B$16,"Crítico",IF(H466&lt;=Inicio!$B$17,"Observar","OK")))</f>
        <v/>
      </c>
      <c r="K466" s="52" t="n"/>
    </row>
    <row r="467">
      <c r="A467" s="52" t="n"/>
      <c r="B467" s="61">
        <f>IFERROR(VLOOKUP(A467,Clientes_PDV!$A$2:$J$250,2,FALSE),"")</f>
        <v/>
      </c>
      <c r="C467" s="61">
        <f>IFERROR(VLOOKUP(A467,Clientes_PDV!$A$2:$J$250,3,FALSE),"")</f>
        <v/>
      </c>
      <c r="D467" s="61">
        <f>IFERROR(VLOOKUP(A467,Clientes_PDV!$A$2:$J$250,4,FALSE),"")</f>
        <v/>
      </c>
      <c r="E467" s="52" t="n"/>
      <c r="F467" s="61">
        <f>IFERROR(VLOOKUP(E467,Maestro_SKU!$A$2:$P$500,2,FALSE),"")</f>
        <v/>
      </c>
      <c r="G467" s="59" t="n"/>
      <c r="H467" s="62">
        <f>IF(OR(G467="",E467=""),"",G467*IFERROR(VLOOKUP(E467,Maestro_SKU!$A$2:$P$500,12,FALSE),1))</f>
        <v/>
      </c>
      <c r="I467" s="53" t="n"/>
      <c r="J467" s="61">
        <f>IF(A467="","",IF(H467&lt;=Inicio!$B$16,"Crítico",IF(H467&lt;=Inicio!$B$17,"Observar","OK")))</f>
        <v/>
      </c>
      <c r="K467" s="52" t="n"/>
    </row>
    <row r="468">
      <c r="A468" s="52" t="n"/>
      <c r="B468" s="61">
        <f>IFERROR(VLOOKUP(A468,Clientes_PDV!$A$2:$J$250,2,FALSE),"")</f>
        <v/>
      </c>
      <c r="C468" s="61">
        <f>IFERROR(VLOOKUP(A468,Clientes_PDV!$A$2:$J$250,3,FALSE),"")</f>
        <v/>
      </c>
      <c r="D468" s="61">
        <f>IFERROR(VLOOKUP(A468,Clientes_PDV!$A$2:$J$250,4,FALSE),"")</f>
        <v/>
      </c>
      <c r="E468" s="52" t="n"/>
      <c r="F468" s="61">
        <f>IFERROR(VLOOKUP(E468,Maestro_SKU!$A$2:$P$500,2,FALSE),"")</f>
        <v/>
      </c>
      <c r="G468" s="59" t="n"/>
      <c r="H468" s="62">
        <f>IF(OR(G468="",E468=""),"",G468*IFERROR(VLOOKUP(E468,Maestro_SKU!$A$2:$P$500,12,FALSE),1))</f>
        <v/>
      </c>
      <c r="I468" s="53" t="n"/>
      <c r="J468" s="61">
        <f>IF(A468="","",IF(H468&lt;=Inicio!$B$16,"Crítico",IF(H468&lt;=Inicio!$B$17,"Observar","OK")))</f>
        <v/>
      </c>
      <c r="K468" s="52" t="n"/>
    </row>
    <row r="469">
      <c r="A469" s="52" t="n"/>
      <c r="B469" s="61">
        <f>IFERROR(VLOOKUP(A469,Clientes_PDV!$A$2:$J$250,2,FALSE),"")</f>
        <v/>
      </c>
      <c r="C469" s="61">
        <f>IFERROR(VLOOKUP(A469,Clientes_PDV!$A$2:$J$250,3,FALSE),"")</f>
        <v/>
      </c>
      <c r="D469" s="61">
        <f>IFERROR(VLOOKUP(A469,Clientes_PDV!$A$2:$J$250,4,FALSE),"")</f>
        <v/>
      </c>
      <c r="E469" s="52" t="n"/>
      <c r="F469" s="61">
        <f>IFERROR(VLOOKUP(E469,Maestro_SKU!$A$2:$P$500,2,FALSE),"")</f>
        <v/>
      </c>
      <c r="G469" s="59" t="n"/>
      <c r="H469" s="62">
        <f>IF(OR(G469="",E469=""),"",G469*IFERROR(VLOOKUP(E469,Maestro_SKU!$A$2:$P$500,12,FALSE),1))</f>
        <v/>
      </c>
      <c r="I469" s="53" t="n"/>
      <c r="J469" s="61">
        <f>IF(A469="","",IF(H469&lt;=Inicio!$B$16,"Crítico",IF(H469&lt;=Inicio!$B$17,"Observar","OK")))</f>
        <v/>
      </c>
      <c r="K469" s="52" t="n"/>
    </row>
    <row r="470">
      <c r="A470" s="52" t="n"/>
      <c r="B470" s="61">
        <f>IFERROR(VLOOKUP(A470,Clientes_PDV!$A$2:$J$250,2,FALSE),"")</f>
        <v/>
      </c>
      <c r="C470" s="61">
        <f>IFERROR(VLOOKUP(A470,Clientes_PDV!$A$2:$J$250,3,FALSE),"")</f>
        <v/>
      </c>
      <c r="D470" s="61">
        <f>IFERROR(VLOOKUP(A470,Clientes_PDV!$A$2:$J$250,4,FALSE),"")</f>
        <v/>
      </c>
      <c r="E470" s="52" t="n"/>
      <c r="F470" s="61">
        <f>IFERROR(VLOOKUP(E470,Maestro_SKU!$A$2:$P$500,2,FALSE),"")</f>
        <v/>
      </c>
      <c r="G470" s="59" t="n"/>
      <c r="H470" s="62">
        <f>IF(OR(G470="",E470=""),"",G470*IFERROR(VLOOKUP(E470,Maestro_SKU!$A$2:$P$500,12,FALSE),1))</f>
        <v/>
      </c>
      <c r="I470" s="53" t="n"/>
      <c r="J470" s="61">
        <f>IF(A470="","",IF(H470&lt;=Inicio!$B$16,"Crítico",IF(H470&lt;=Inicio!$B$17,"Observar","OK")))</f>
        <v/>
      </c>
      <c r="K470" s="52" t="n"/>
    </row>
    <row r="471">
      <c r="A471" s="52" t="n"/>
      <c r="B471" s="61">
        <f>IFERROR(VLOOKUP(A471,Clientes_PDV!$A$2:$J$250,2,FALSE),"")</f>
        <v/>
      </c>
      <c r="C471" s="61">
        <f>IFERROR(VLOOKUP(A471,Clientes_PDV!$A$2:$J$250,3,FALSE),"")</f>
        <v/>
      </c>
      <c r="D471" s="61">
        <f>IFERROR(VLOOKUP(A471,Clientes_PDV!$A$2:$J$250,4,FALSE),"")</f>
        <v/>
      </c>
      <c r="E471" s="52" t="n"/>
      <c r="F471" s="61">
        <f>IFERROR(VLOOKUP(E471,Maestro_SKU!$A$2:$P$500,2,FALSE),"")</f>
        <v/>
      </c>
      <c r="G471" s="59" t="n"/>
      <c r="H471" s="62">
        <f>IF(OR(G471="",E471=""),"",G471*IFERROR(VLOOKUP(E471,Maestro_SKU!$A$2:$P$500,12,FALSE),1))</f>
        <v/>
      </c>
      <c r="I471" s="53" t="n"/>
      <c r="J471" s="61">
        <f>IF(A471="","",IF(H471&lt;=Inicio!$B$16,"Crítico",IF(H471&lt;=Inicio!$B$17,"Observar","OK")))</f>
        <v/>
      </c>
      <c r="K471" s="52" t="n"/>
    </row>
    <row r="472">
      <c r="A472" s="52" t="n"/>
      <c r="B472" s="61">
        <f>IFERROR(VLOOKUP(A472,Clientes_PDV!$A$2:$J$250,2,FALSE),"")</f>
        <v/>
      </c>
      <c r="C472" s="61">
        <f>IFERROR(VLOOKUP(A472,Clientes_PDV!$A$2:$J$250,3,FALSE),"")</f>
        <v/>
      </c>
      <c r="D472" s="61">
        <f>IFERROR(VLOOKUP(A472,Clientes_PDV!$A$2:$J$250,4,FALSE),"")</f>
        <v/>
      </c>
      <c r="E472" s="52" t="n"/>
      <c r="F472" s="61">
        <f>IFERROR(VLOOKUP(E472,Maestro_SKU!$A$2:$P$500,2,FALSE),"")</f>
        <v/>
      </c>
      <c r="G472" s="59" t="n"/>
      <c r="H472" s="62">
        <f>IF(OR(G472="",E472=""),"",G472*IFERROR(VLOOKUP(E472,Maestro_SKU!$A$2:$P$500,12,FALSE),1))</f>
        <v/>
      </c>
      <c r="I472" s="53" t="n"/>
      <c r="J472" s="61">
        <f>IF(A472="","",IF(H472&lt;=Inicio!$B$16,"Crítico",IF(H472&lt;=Inicio!$B$17,"Observar","OK")))</f>
        <v/>
      </c>
      <c r="K472" s="52" t="n"/>
    </row>
    <row r="473">
      <c r="A473" s="52" t="n"/>
      <c r="B473" s="61">
        <f>IFERROR(VLOOKUP(A473,Clientes_PDV!$A$2:$J$250,2,FALSE),"")</f>
        <v/>
      </c>
      <c r="C473" s="61">
        <f>IFERROR(VLOOKUP(A473,Clientes_PDV!$A$2:$J$250,3,FALSE),"")</f>
        <v/>
      </c>
      <c r="D473" s="61">
        <f>IFERROR(VLOOKUP(A473,Clientes_PDV!$A$2:$J$250,4,FALSE),"")</f>
        <v/>
      </c>
      <c r="E473" s="52" t="n"/>
      <c r="F473" s="61">
        <f>IFERROR(VLOOKUP(E473,Maestro_SKU!$A$2:$P$500,2,FALSE),"")</f>
        <v/>
      </c>
      <c r="G473" s="59" t="n"/>
      <c r="H473" s="62">
        <f>IF(OR(G473="",E473=""),"",G473*IFERROR(VLOOKUP(E473,Maestro_SKU!$A$2:$P$500,12,FALSE),1))</f>
        <v/>
      </c>
      <c r="I473" s="53" t="n"/>
      <c r="J473" s="61">
        <f>IF(A473="","",IF(H473&lt;=Inicio!$B$16,"Crítico",IF(H473&lt;=Inicio!$B$17,"Observar","OK")))</f>
        <v/>
      </c>
      <c r="K473" s="52" t="n"/>
    </row>
    <row r="474">
      <c r="A474" s="52" t="n"/>
      <c r="B474" s="61">
        <f>IFERROR(VLOOKUP(A474,Clientes_PDV!$A$2:$J$250,2,FALSE),"")</f>
        <v/>
      </c>
      <c r="C474" s="61">
        <f>IFERROR(VLOOKUP(A474,Clientes_PDV!$A$2:$J$250,3,FALSE),"")</f>
        <v/>
      </c>
      <c r="D474" s="61">
        <f>IFERROR(VLOOKUP(A474,Clientes_PDV!$A$2:$J$250,4,FALSE),"")</f>
        <v/>
      </c>
      <c r="E474" s="52" t="n"/>
      <c r="F474" s="61">
        <f>IFERROR(VLOOKUP(E474,Maestro_SKU!$A$2:$P$500,2,FALSE),"")</f>
        <v/>
      </c>
      <c r="G474" s="59" t="n"/>
      <c r="H474" s="62">
        <f>IF(OR(G474="",E474=""),"",G474*IFERROR(VLOOKUP(E474,Maestro_SKU!$A$2:$P$500,12,FALSE),1))</f>
        <v/>
      </c>
      <c r="I474" s="53" t="n"/>
      <c r="J474" s="61">
        <f>IF(A474="","",IF(H474&lt;=Inicio!$B$16,"Crítico",IF(H474&lt;=Inicio!$B$17,"Observar","OK")))</f>
        <v/>
      </c>
      <c r="K474" s="52" t="n"/>
    </row>
    <row r="475">
      <c r="A475" s="52" t="n"/>
      <c r="B475" s="61">
        <f>IFERROR(VLOOKUP(A475,Clientes_PDV!$A$2:$J$250,2,FALSE),"")</f>
        <v/>
      </c>
      <c r="C475" s="61">
        <f>IFERROR(VLOOKUP(A475,Clientes_PDV!$A$2:$J$250,3,FALSE),"")</f>
        <v/>
      </c>
      <c r="D475" s="61">
        <f>IFERROR(VLOOKUP(A475,Clientes_PDV!$A$2:$J$250,4,FALSE),"")</f>
        <v/>
      </c>
      <c r="E475" s="52" t="n"/>
      <c r="F475" s="61">
        <f>IFERROR(VLOOKUP(E475,Maestro_SKU!$A$2:$P$500,2,FALSE),"")</f>
        <v/>
      </c>
      <c r="G475" s="59" t="n"/>
      <c r="H475" s="62">
        <f>IF(OR(G475="",E475=""),"",G475*IFERROR(VLOOKUP(E475,Maestro_SKU!$A$2:$P$500,12,FALSE),1))</f>
        <v/>
      </c>
      <c r="I475" s="53" t="n"/>
      <c r="J475" s="61">
        <f>IF(A475="","",IF(H475&lt;=Inicio!$B$16,"Crítico",IF(H475&lt;=Inicio!$B$17,"Observar","OK")))</f>
        <v/>
      </c>
      <c r="K475" s="52" t="n"/>
    </row>
    <row r="476">
      <c r="A476" s="52" t="n"/>
      <c r="B476" s="61">
        <f>IFERROR(VLOOKUP(A476,Clientes_PDV!$A$2:$J$250,2,FALSE),"")</f>
        <v/>
      </c>
      <c r="C476" s="61">
        <f>IFERROR(VLOOKUP(A476,Clientes_PDV!$A$2:$J$250,3,FALSE),"")</f>
        <v/>
      </c>
      <c r="D476" s="61">
        <f>IFERROR(VLOOKUP(A476,Clientes_PDV!$A$2:$J$250,4,FALSE),"")</f>
        <v/>
      </c>
      <c r="E476" s="52" t="n"/>
      <c r="F476" s="61">
        <f>IFERROR(VLOOKUP(E476,Maestro_SKU!$A$2:$P$500,2,FALSE),"")</f>
        <v/>
      </c>
      <c r="G476" s="59" t="n"/>
      <c r="H476" s="62">
        <f>IF(OR(G476="",E476=""),"",G476*IFERROR(VLOOKUP(E476,Maestro_SKU!$A$2:$P$500,12,FALSE),1))</f>
        <v/>
      </c>
      <c r="I476" s="53" t="n"/>
      <c r="J476" s="61">
        <f>IF(A476="","",IF(H476&lt;=Inicio!$B$16,"Crítico",IF(H476&lt;=Inicio!$B$17,"Observar","OK")))</f>
        <v/>
      </c>
      <c r="K476" s="52" t="n"/>
    </row>
    <row r="477">
      <c r="A477" s="52" t="n"/>
      <c r="B477" s="61">
        <f>IFERROR(VLOOKUP(A477,Clientes_PDV!$A$2:$J$250,2,FALSE),"")</f>
        <v/>
      </c>
      <c r="C477" s="61">
        <f>IFERROR(VLOOKUP(A477,Clientes_PDV!$A$2:$J$250,3,FALSE),"")</f>
        <v/>
      </c>
      <c r="D477" s="61">
        <f>IFERROR(VLOOKUP(A477,Clientes_PDV!$A$2:$J$250,4,FALSE),"")</f>
        <v/>
      </c>
      <c r="E477" s="52" t="n"/>
      <c r="F477" s="61">
        <f>IFERROR(VLOOKUP(E477,Maestro_SKU!$A$2:$P$500,2,FALSE),"")</f>
        <v/>
      </c>
      <c r="G477" s="59" t="n"/>
      <c r="H477" s="62">
        <f>IF(OR(G477="",E477=""),"",G477*IFERROR(VLOOKUP(E477,Maestro_SKU!$A$2:$P$500,12,FALSE),1))</f>
        <v/>
      </c>
      <c r="I477" s="53" t="n"/>
      <c r="J477" s="61">
        <f>IF(A477="","",IF(H477&lt;=Inicio!$B$16,"Crítico",IF(H477&lt;=Inicio!$B$17,"Observar","OK")))</f>
        <v/>
      </c>
      <c r="K477" s="52" t="n"/>
    </row>
    <row r="478">
      <c r="A478" s="52" t="n"/>
      <c r="B478" s="61">
        <f>IFERROR(VLOOKUP(A478,Clientes_PDV!$A$2:$J$250,2,FALSE),"")</f>
        <v/>
      </c>
      <c r="C478" s="61">
        <f>IFERROR(VLOOKUP(A478,Clientes_PDV!$A$2:$J$250,3,FALSE),"")</f>
        <v/>
      </c>
      <c r="D478" s="61">
        <f>IFERROR(VLOOKUP(A478,Clientes_PDV!$A$2:$J$250,4,FALSE),"")</f>
        <v/>
      </c>
      <c r="E478" s="52" t="n"/>
      <c r="F478" s="61">
        <f>IFERROR(VLOOKUP(E478,Maestro_SKU!$A$2:$P$500,2,FALSE),"")</f>
        <v/>
      </c>
      <c r="G478" s="59" t="n"/>
      <c r="H478" s="62">
        <f>IF(OR(G478="",E478=""),"",G478*IFERROR(VLOOKUP(E478,Maestro_SKU!$A$2:$P$500,12,FALSE),1))</f>
        <v/>
      </c>
      <c r="I478" s="53" t="n"/>
      <c r="J478" s="61">
        <f>IF(A478="","",IF(H478&lt;=Inicio!$B$16,"Crítico",IF(H478&lt;=Inicio!$B$17,"Observar","OK")))</f>
        <v/>
      </c>
      <c r="K478" s="52" t="n"/>
    </row>
    <row r="479">
      <c r="A479" s="52" t="n"/>
      <c r="B479" s="61">
        <f>IFERROR(VLOOKUP(A479,Clientes_PDV!$A$2:$J$250,2,FALSE),"")</f>
        <v/>
      </c>
      <c r="C479" s="61">
        <f>IFERROR(VLOOKUP(A479,Clientes_PDV!$A$2:$J$250,3,FALSE),"")</f>
        <v/>
      </c>
      <c r="D479" s="61">
        <f>IFERROR(VLOOKUP(A479,Clientes_PDV!$A$2:$J$250,4,FALSE),"")</f>
        <v/>
      </c>
      <c r="E479" s="52" t="n"/>
      <c r="F479" s="61">
        <f>IFERROR(VLOOKUP(E479,Maestro_SKU!$A$2:$P$500,2,FALSE),"")</f>
        <v/>
      </c>
      <c r="G479" s="59" t="n"/>
      <c r="H479" s="62">
        <f>IF(OR(G479="",E479=""),"",G479*IFERROR(VLOOKUP(E479,Maestro_SKU!$A$2:$P$500,12,FALSE),1))</f>
        <v/>
      </c>
      <c r="I479" s="53" t="n"/>
      <c r="J479" s="61">
        <f>IF(A479="","",IF(H479&lt;=Inicio!$B$16,"Crítico",IF(H479&lt;=Inicio!$B$17,"Observar","OK")))</f>
        <v/>
      </c>
      <c r="K479" s="52" t="n"/>
    </row>
    <row r="480">
      <c r="A480" s="52" t="n"/>
      <c r="B480" s="61">
        <f>IFERROR(VLOOKUP(A480,Clientes_PDV!$A$2:$J$250,2,FALSE),"")</f>
        <v/>
      </c>
      <c r="C480" s="61">
        <f>IFERROR(VLOOKUP(A480,Clientes_PDV!$A$2:$J$250,3,FALSE),"")</f>
        <v/>
      </c>
      <c r="D480" s="61">
        <f>IFERROR(VLOOKUP(A480,Clientes_PDV!$A$2:$J$250,4,FALSE),"")</f>
        <v/>
      </c>
      <c r="E480" s="52" t="n"/>
      <c r="F480" s="61">
        <f>IFERROR(VLOOKUP(E480,Maestro_SKU!$A$2:$P$500,2,FALSE),"")</f>
        <v/>
      </c>
      <c r="G480" s="59" t="n"/>
      <c r="H480" s="62">
        <f>IF(OR(G480="",E480=""),"",G480*IFERROR(VLOOKUP(E480,Maestro_SKU!$A$2:$P$500,12,FALSE),1))</f>
        <v/>
      </c>
      <c r="I480" s="53" t="n"/>
      <c r="J480" s="61">
        <f>IF(A480="","",IF(H480&lt;=Inicio!$B$16,"Crítico",IF(H480&lt;=Inicio!$B$17,"Observar","OK")))</f>
        <v/>
      </c>
      <c r="K480" s="52" t="n"/>
    </row>
    <row r="481">
      <c r="A481" s="52" t="n"/>
      <c r="B481" s="61">
        <f>IFERROR(VLOOKUP(A481,Clientes_PDV!$A$2:$J$250,2,FALSE),"")</f>
        <v/>
      </c>
      <c r="C481" s="61">
        <f>IFERROR(VLOOKUP(A481,Clientes_PDV!$A$2:$J$250,3,FALSE),"")</f>
        <v/>
      </c>
      <c r="D481" s="61">
        <f>IFERROR(VLOOKUP(A481,Clientes_PDV!$A$2:$J$250,4,FALSE),"")</f>
        <v/>
      </c>
      <c r="E481" s="52" t="n"/>
      <c r="F481" s="61">
        <f>IFERROR(VLOOKUP(E481,Maestro_SKU!$A$2:$P$500,2,FALSE),"")</f>
        <v/>
      </c>
      <c r="G481" s="59" t="n"/>
      <c r="H481" s="62">
        <f>IF(OR(G481="",E481=""),"",G481*IFERROR(VLOOKUP(E481,Maestro_SKU!$A$2:$P$500,12,FALSE),1))</f>
        <v/>
      </c>
      <c r="I481" s="53" t="n"/>
      <c r="J481" s="61">
        <f>IF(A481="","",IF(H481&lt;=Inicio!$B$16,"Crítico",IF(H481&lt;=Inicio!$B$17,"Observar","OK")))</f>
        <v/>
      </c>
      <c r="K481" s="52" t="n"/>
    </row>
    <row r="482">
      <c r="A482" s="52" t="n"/>
      <c r="B482" s="61">
        <f>IFERROR(VLOOKUP(A482,Clientes_PDV!$A$2:$J$250,2,FALSE),"")</f>
        <v/>
      </c>
      <c r="C482" s="61">
        <f>IFERROR(VLOOKUP(A482,Clientes_PDV!$A$2:$J$250,3,FALSE),"")</f>
        <v/>
      </c>
      <c r="D482" s="61">
        <f>IFERROR(VLOOKUP(A482,Clientes_PDV!$A$2:$J$250,4,FALSE),"")</f>
        <v/>
      </c>
      <c r="E482" s="52" t="n"/>
      <c r="F482" s="61">
        <f>IFERROR(VLOOKUP(E482,Maestro_SKU!$A$2:$P$500,2,FALSE),"")</f>
        <v/>
      </c>
      <c r="G482" s="59" t="n"/>
      <c r="H482" s="62">
        <f>IF(OR(G482="",E482=""),"",G482*IFERROR(VLOOKUP(E482,Maestro_SKU!$A$2:$P$500,12,FALSE),1))</f>
        <v/>
      </c>
      <c r="I482" s="53" t="n"/>
      <c r="J482" s="61">
        <f>IF(A482="","",IF(H482&lt;=Inicio!$B$16,"Crítico",IF(H482&lt;=Inicio!$B$17,"Observar","OK")))</f>
        <v/>
      </c>
      <c r="K482" s="52" t="n"/>
    </row>
    <row r="483">
      <c r="A483" s="52" t="n"/>
      <c r="B483" s="61">
        <f>IFERROR(VLOOKUP(A483,Clientes_PDV!$A$2:$J$250,2,FALSE),"")</f>
        <v/>
      </c>
      <c r="C483" s="61">
        <f>IFERROR(VLOOKUP(A483,Clientes_PDV!$A$2:$J$250,3,FALSE),"")</f>
        <v/>
      </c>
      <c r="D483" s="61">
        <f>IFERROR(VLOOKUP(A483,Clientes_PDV!$A$2:$J$250,4,FALSE),"")</f>
        <v/>
      </c>
      <c r="E483" s="52" t="n"/>
      <c r="F483" s="61">
        <f>IFERROR(VLOOKUP(E483,Maestro_SKU!$A$2:$P$500,2,FALSE),"")</f>
        <v/>
      </c>
      <c r="G483" s="59" t="n"/>
      <c r="H483" s="62">
        <f>IF(OR(G483="",E483=""),"",G483*IFERROR(VLOOKUP(E483,Maestro_SKU!$A$2:$P$500,12,FALSE),1))</f>
        <v/>
      </c>
      <c r="I483" s="53" t="n"/>
      <c r="J483" s="61">
        <f>IF(A483="","",IF(H483&lt;=Inicio!$B$16,"Crítico",IF(H483&lt;=Inicio!$B$17,"Observar","OK")))</f>
        <v/>
      </c>
      <c r="K483" s="52" t="n"/>
    </row>
    <row r="484">
      <c r="A484" s="52" t="n"/>
      <c r="B484" s="61">
        <f>IFERROR(VLOOKUP(A484,Clientes_PDV!$A$2:$J$250,2,FALSE),"")</f>
        <v/>
      </c>
      <c r="C484" s="61">
        <f>IFERROR(VLOOKUP(A484,Clientes_PDV!$A$2:$J$250,3,FALSE),"")</f>
        <v/>
      </c>
      <c r="D484" s="61">
        <f>IFERROR(VLOOKUP(A484,Clientes_PDV!$A$2:$J$250,4,FALSE),"")</f>
        <v/>
      </c>
      <c r="E484" s="52" t="n"/>
      <c r="F484" s="61">
        <f>IFERROR(VLOOKUP(E484,Maestro_SKU!$A$2:$P$500,2,FALSE),"")</f>
        <v/>
      </c>
      <c r="G484" s="59" t="n"/>
      <c r="H484" s="62">
        <f>IF(OR(G484="",E484=""),"",G484*IFERROR(VLOOKUP(E484,Maestro_SKU!$A$2:$P$500,12,FALSE),1))</f>
        <v/>
      </c>
      <c r="I484" s="53" t="n"/>
      <c r="J484" s="61">
        <f>IF(A484="","",IF(H484&lt;=Inicio!$B$16,"Crítico",IF(H484&lt;=Inicio!$B$17,"Observar","OK")))</f>
        <v/>
      </c>
      <c r="K484" s="52" t="n"/>
    </row>
    <row r="485">
      <c r="A485" s="52" t="n"/>
      <c r="B485" s="61">
        <f>IFERROR(VLOOKUP(A485,Clientes_PDV!$A$2:$J$250,2,FALSE),"")</f>
        <v/>
      </c>
      <c r="C485" s="61">
        <f>IFERROR(VLOOKUP(A485,Clientes_PDV!$A$2:$J$250,3,FALSE),"")</f>
        <v/>
      </c>
      <c r="D485" s="61">
        <f>IFERROR(VLOOKUP(A485,Clientes_PDV!$A$2:$J$250,4,FALSE),"")</f>
        <v/>
      </c>
      <c r="E485" s="52" t="n"/>
      <c r="F485" s="61">
        <f>IFERROR(VLOOKUP(E485,Maestro_SKU!$A$2:$P$500,2,FALSE),"")</f>
        <v/>
      </c>
      <c r="G485" s="59" t="n"/>
      <c r="H485" s="62">
        <f>IF(OR(G485="",E485=""),"",G485*IFERROR(VLOOKUP(E485,Maestro_SKU!$A$2:$P$500,12,FALSE),1))</f>
        <v/>
      </c>
      <c r="I485" s="53" t="n"/>
      <c r="J485" s="61">
        <f>IF(A485="","",IF(H485&lt;=Inicio!$B$16,"Crítico",IF(H485&lt;=Inicio!$B$17,"Observar","OK")))</f>
        <v/>
      </c>
      <c r="K485" s="52" t="n"/>
    </row>
    <row r="486">
      <c r="A486" s="52" t="n"/>
      <c r="B486" s="61">
        <f>IFERROR(VLOOKUP(A486,Clientes_PDV!$A$2:$J$250,2,FALSE),"")</f>
        <v/>
      </c>
      <c r="C486" s="61">
        <f>IFERROR(VLOOKUP(A486,Clientes_PDV!$A$2:$J$250,3,FALSE),"")</f>
        <v/>
      </c>
      <c r="D486" s="61">
        <f>IFERROR(VLOOKUP(A486,Clientes_PDV!$A$2:$J$250,4,FALSE),"")</f>
        <v/>
      </c>
      <c r="E486" s="52" t="n"/>
      <c r="F486" s="61">
        <f>IFERROR(VLOOKUP(E486,Maestro_SKU!$A$2:$P$500,2,FALSE),"")</f>
        <v/>
      </c>
      <c r="G486" s="59" t="n"/>
      <c r="H486" s="62">
        <f>IF(OR(G486="",E486=""),"",G486*IFERROR(VLOOKUP(E486,Maestro_SKU!$A$2:$P$500,12,FALSE),1))</f>
        <v/>
      </c>
      <c r="I486" s="53" t="n"/>
      <c r="J486" s="61">
        <f>IF(A486="","",IF(H486&lt;=Inicio!$B$16,"Crítico",IF(H486&lt;=Inicio!$B$17,"Observar","OK")))</f>
        <v/>
      </c>
      <c r="K486" s="52" t="n"/>
    </row>
    <row r="487">
      <c r="A487" s="52" t="n"/>
      <c r="B487" s="61">
        <f>IFERROR(VLOOKUP(A487,Clientes_PDV!$A$2:$J$250,2,FALSE),"")</f>
        <v/>
      </c>
      <c r="C487" s="61">
        <f>IFERROR(VLOOKUP(A487,Clientes_PDV!$A$2:$J$250,3,FALSE),"")</f>
        <v/>
      </c>
      <c r="D487" s="61">
        <f>IFERROR(VLOOKUP(A487,Clientes_PDV!$A$2:$J$250,4,FALSE),"")</f>
        <v/>
      </c>
      <c r="E487" s="52" t="n"/>
      <c r="F487" s="61">
        <f>IFERROR(VLOOKUP(E487,Maestro_SKU!$A$2:$P$500,2,FALSE),"")</f>
        <v/>
      </c>
      <c r="G487" s="59" t="n"/>
      <c r="H487" s="62">
        <f>IF(OR(G487="",E487=""),"",G487*IFERROR(VLOOKUP(E487,Maestro_SKU!$A$2:$P$500,12,FALSE),1))</f>
        <v/>
      </c>
      <c r="I487" s="53" t="n"/>
      <c r="J487" s="61">
        <f>IF(A487="","",IF(H487&lt;=Inicio!$B$16,"Crítico",IF(H487&lt;=Inicio!$B$17,"Observar","OK")))</f>
        <v/>
      </c>
      <c r="K487" s="52" t="n"/>
    </row>
    <row r="488">
      <c r="A488" s="52" t="n"/>
      <c r="B488" s="61">
        <f>IFERROR(VLOOKUP(A488,Clientes_PDV!$A$2:$J$250,2,FALSE),"")</f>
        <v/>
      </c>
      <c r="C488" s="61">
        <f>IFERROR(VLOOKUP(A488,Clientes_PDV!$A$2:$J$250,3,FALSE),"")</f>
        <v/>
      </c>
      <c r="D488" s="61">
        <f>IFERROR(VLOOKUP(A488,Clientes_PDV!$A$2:$J$250,4,FALSE),"")</f>
        <v/>
      </c>
      <c r="E488" s="52" t="n"/>
      <c r="F488" s="61">
        <f>IFERROR(VLOOKUP(E488,Maestro_SKU!$A$2:$P$500,2,FALSE),"")</f>
        <v/>
      </c>
      <c r="G488" s="59" t="n"/>
      <c r="H488" s="62">
        <f>IF(OR(G488="",E488=""),"",G488*IFERROR(VLOOKUP(E488,Maestro_SKU!$A$2:$P$500,12,FALSE),1))</f>
        <v/>
      </c>
      <c r="I488" s="53" t="n"/>
      <c r="J488" s="61">
        <f>IF(A488="","",IF(H488&lt;=Inicio!$B$16,"Crítico",IF(H488&lt;=Inicio!$B$17,"Observar","OK")))</f>
        <v/>
      </c>
      <c r="K488" s="52" t="n"/>
    </row>
    <row r="489">
      <c r="A489" s="52" t="n"/>
      <c r="B489" s="61">
        <f>IFERROR(VLOOKUP(A489,Clientes_PDV!$A$2:$J$250,2,FALSE),"")</f>
        <v/>
      </c>
      <c r="C489" s="61">
        <f>IFERROR(VLOOKUP(A489,Clientes_PDV!$A$2:$J$250,3,FALSE),"")</f>
        <v/>
      </c>
      <c r="D489" s="61">
        <f>IFERROR(VLOOKUP(A489,Clientes_PDV!$A$2:$J$250,4,FALSE),"")</f>
        <v/>
      </c>
      <c r="E489" s="52" t="n"/>
      <c r="F489" s="61">
        <f>IFERROR(VLOOKUP(E489,Maestro_SKU!$A$2:$P$500,2,FALSE),"")</f>
        <v/>
      </c>
      <c r="G489" s="59" t="n"/>
      <c r="H489" s="62">
        <f>IF(OR(G489="",E489=""),"",G489*IFERROR(VLOOKUP(E489,Maestro_SKU!$A$2:$P$500,12,FALSE),1))</f>
        <v/>
      </c>
      <c r="I489" s="53" t="n"/>
      <c r="J489" s="61">
        <f>IF(A489="","",IF(H489&lt;=Inicio!$B$16,"Crítico",IF(H489&lt;=Inicio!$B$17,"Observar","OK")))</f>
        <v/>
      </c>
      <c r="K489" s="52" t="n"/>
    </row>
    <row r="490">
      <c r="A490" s="52" t="n"/>
      <c r="B490" s="61">
        <f>IFERROR(VLOOKUP(A490,Clientes_PDV!$A$2:$J$250,2,FALSE),"")</f>
        <v/>
      </c>
      <c r="C490" s="61">
        <f>IFERROR(VLOOKUP(A490,Clientes_PDV!$A$2:$J$250,3,FALSE),"")</f>
        <v/>
      </c>
      <c r="D490" s="61">
        <f>IFERROR(VLOOKUP(A490,Clientes_PDV!$A$2:$J$250,4,FALSE),"")</f>
        <v/>
      </c>
      <c r="E490" s="52" t="n"/>
      <c r="F490" s="61">
        <f>IFERROR(VLOOKUP(E490,Maestro_SKU!$A$2:$P$500,2,FALSE),"")</f>
        <v/>
      </c>
      <c r="G490" s="59" t="n"/>
      <c r="H490" s="62">
        <f>IF(OR(G490="",E490=""),"",G490*IFERROR(VLOOKUP(E490,Maestro_SKU!$A$2:$P$500,12,FALSE),1))</f>
        <v/>
      </c>
      <c r="I490" s="53" t="n"/>
      <c r="J490" s="61">
        <f>IF(A490="","",IF(H490&lt;=Inicio!$B$16,"Crítico",IF(H490&lt;=Inicio!$B$17,"Observar","OK")))</f>
        <v/>
      </c>
      <c r="K490" s="52" t="n"/>
    </row>
    <row r="491">
      <c r="A491" s="52" t="n"/>
      <c r="B491" s="61">
        <f>IFERROR(VLOOKUP(A491,Clientes_PDV!$A$2:$J$250,2,FALSE),"")</f>
        <v/>
      </c>
      <c r="C491" s="61">
        <f>IFERROR(VLOOKUP(A491,Clientes_PDV!$A$2:$J$250,3,FALSE),"")</f>
        <v/>
      </c>
      <c r="D491" s="61">
        <f>IFERROR(VLOOKUP(A491,Clientes_PDV!$A$2:$J$250,4,FALSE),"")</f>
        <v/>
      </c>
      <c r="E491" s="52" t="n"/>
      <c r="F491" s="61">
        <f>IFERROR(VLOOKUP(E491,Maestro_SKU!$A$2:$P$500,2,FALSE),"")</f>
        <v/>
      </c>
      <c r="G491" s="59" t="n"/>
      <c r="H491" s="62">
        <f>IF(OR(G491="",E491=""),"",G491*IFERROR(VLOOKUP(E491,Maestro_SKU!$A$2:$P$500,12,FALSE),1))</f>
        <v/>
      </c>
      <c r="I491" s="53" t="n"/>
      <c r="J491" s="61">
        <f>IF(A491="","",IF(H491&lt;=Inicio!$B$16,"Crítico",IF(H491&lt;=Inicio!$B$17,"Observar","OK")))</f>
        <v/>
      </c>
      <c r="K491" s="52" t="n"/>
    </row>
    <row r="492">
      <c r="A492" s="52" t="n"/>
      <c r="B492" s="61">
        <f>IFERROR(VLOOKUP(A492,Clientes_PDV!$A$2:$J$250,2,FALSE),"")</f>
        <v/>
      </c>
      <c r="C492" s="61">
        <f>IFERROR(VLOOKUP(A492,Clientes_PDV!$A$2:$J$250,3,FALSE),"")</f>
        <v/>
      </c>
      <c r="D492" s="61">
        <f>IFERROR(VLOOKUP(A492,Clientes_PDV!$A$2:$J$250,4,FALSE),"")</f>
        <v/>
      </c>
      <c r="E492" s="52" t="n"/>
      <c r="F492" s="61">
        <f>IFERROR(VLOOKUP(E492,Maestro_SKU!$A$2:$P$500,2,FALSE),"")</f>
        <v/>
      </c>
      <c r="G492" s="59" t="n"/>
      <c r="H492" s="62">
        <f>IF(OR(G492="",E492=""),"",G492*IFERROR(VLOOKUP(E492,Maestro_SKU!$A$2:$P$500,12,FALSE),1))</f>
        <v/>
      </c>
      <c r="I492" s="53" t="n"/>
      <c r="J492" s="61">
        <f>IF(A492="","",IF(H492&lt;=Inicio!$B$16,"Crítico",IF(H492&lt;=Inicio!$B$17,"Observar","OK")))</f>
        <v/>
      </c>
      <c r="K492" s="52" t="n"/>
    </row>
    <row r="493">
      <c r="A493" s="52" t="n"/>
      <c r="B493" s="61">
        <f>IFERROR(VLOOKUP(A493,Clientes_PDV!$A$2:$J$250,2,FALSE),"")</f>
        <v/>
      </c>
      <c r="C493" s="61">
        <f>IFERROR(VLOOKUP(A493,Clientes_PDV!$A$2:$J$250,3,FALSE),"")</f>
        <v/>
      </c>
      <c r="D493" s="61">
        <f>IFERROR(VLOOKUP(A493,Clientes_PDV!$A$2:$J$250,4,FALSE),"")</f>
        <v/>
      </c>
      <c r="E493" s="52" t="n"/>
      <c r="F493" s="61">
        <f>IFERROR(VLOOKUP(E493,Maestro_SKU!$A$2:$P$500,2,FALSE),"")</f>
        <v/>
      </c>
      <c r="G493" s="59" t="n"/>
      <c r="H493" s="62">
        <f>IF(OR(G493="",E493=""),"",G493*IFERROR(VLOOKUP(E493,Maestro_SKU!$A$2:$P$500,12,FALSE),1))</f>
        <v/>
      </c>
      <c r="I493" s="53" t="n"/>
      <c r="J493" s="61">
        <f>IF(A493="","",IF(H493&lt;=Inicio!$B$16,"Crítico",IF(H493&lt;=Inicio!$B$17,"Observar","OK")))</f>
        <v/>
      </c>
      <c r="K493" s="52" t="n"/>
    </row>
    <row r="494">
      <c r="A494" s="52" t="n"/>
      <c r="B494" s="61">
        <f>IFERROR(VLOOKUP(A494,Clientes_PDV!$A$2:$J$250,2,FALSE),"")</f>
        <v/>
      </c>
      <c r="C494" s="61">
        <f>IFERROR(VLOOKUP(A494,Clientes_PDV!$A$2:$J$250,3,FALSE),"")</f>
        <v/>
      </c>
      <c r="D494" s="61">
        <f>IFERROR(VLOOKUP(A494,Clientes_PDV!$A$2:$J$250,4,FALSE),"")</f>
        <v/>
      </c>
      <c r="E494" s="52" t="n"/>
      <c r="F494" s="61">
        <f>IFERROR(VLOOKUP(E494,Maestro_SKU!$A$2:$P$500,2,FALSE),"")</f>
        <v/>
      </c>
      <c r="G494" s="59" t="n"/>
      <c r="H494" s="62">
        <f>IF(OR(G494="",E494=""),"",G494*IFERROR(VLOOKUP(E494,Maestro_SKU!$A$2:$P$500,12,FALSE),1))</f>
        <v/>
      </c>
      <c r="I494" s="53" t="n"/>
      <c r="J494" s="61">
        <f>IF(A494="","",IF(H494&lt;=Inicio!$B$16,"Crítico",IF(H494&lt;=Inicio!$B$17,"Observar","OK")))</f>
        <v/>
      </c>
      <c r="K494" s="52" t="n"/>
    </row>
    <row r="495">
      <c r="A495" s="52" t="n"/>
      <c r="B495" s="61">
        <f>IFERROR(VLOOKUP(A495,Clientes_PDV!$A$2:$J$250,2,FALSE),"")</f>
        <v/>
      </c>
      <c r="C495" s="61">
        <f>IFERROR(VLOOKUP(A495,Clientes_PDV!$A$2:$J$250,3,FALSE),"")</f>
        <v/>
      </c>
      <c r="D495" s="61">
        <f>IFERROR(VLOOKUP(A495,Clientes_PDV!$A$2:$J$250,4,FALSE),"")</f>
        <v/>
      </c>
      <c r="E495" s="52" t="n"/>
      <c r="F495" s="61">
        <f>IFERROR(VLOOKUP(E495,Maestro_SKU!$A$2:$P$500,2,FALSE),"")</f>
        <v/>
      </c>
      <c r="G495" s="59" t="n"/>
      <c r="H495" s="62">
        <f>IF(OR(G495="",E495=""),"",G495*IFERROR(VLOOKUP(E495,Maestro_SKU!$A$2:$P$500,12,FALSE),1))</f>
        <v/>
      </c>
      <c r="I495" s="53" t="n"/>
      <c r="J495" s="61">
        <f>IF(A495="","",IF(H495&lt;=Inicio!$B$16,"Crítico",IF(H495&lt;=Inicio!$B$17,"Observar","OK")))</f>
        <v/>
      </c>
      <c r="K495" s="52" t="n"/>
    </row>
    <row r="496">
      <c r="A496" s="52" t="n"/>
      <c r="B496" s="61">
        <f>IFERROR(VLOOKUP(A496,Clientes_PDV!$A$2:$J$250,2,FALSE),"")</f>
        <v/>
      </c>
      <c r="C496" s="61">
        <f>IFERROR(VLOOKUP(A496,Clientes_PDV!$A$2:$J$250,3,FALSE),"")</f>
        <v/>
      </c>
      <c r="D496" s="61">
        <f>IFERROR(VLOOKUP(A496,Clientes_PDV!$A$2:$J$250,4,FALSE),"")</f>
        <v/>
      </c>
      <c r="E496" s="52" t="n"/>
      <c r="F496" s="61">
        <f>IFERROR(VLOOKUP(E496,Maestro_SKU!$A$2:$P$500,2,FALSE),"")</f>
        <v/>
      </c>
      <c r="G496" s="59" t="n"/>
      <c r="H496" s="62">
        <f>IF(OR(G496="",E496=""),"",G496*IFERROR(VLOOKUP(E496,Maestro_SKU!$A$2:$P$500,12,FALSE),1))</f>
        <v/>
      </c>
      <c r="I496" s="53" t="n"/>
      <c r="J496" s="61">
        <f>IF(A496="","",IF(H496&lt;=Inicio!$B$16,"Crítico",IF(H496&lt;=Inicio!$B$17,"Observar","OK")))</f>
        <v/>
      </c>
      <c r="K496" s="52" t="n"/>
    </row>
    <row r="497">
      <c r="A497" s="52" t="n"/>
      <c r="B497" s="61">
        <f>IFERROR(VLOOKUP(A497,Clientes_PDV!$A$2:$J$250,2,FALSE),"")</f>
        <v/>
      </c>
      <c r="C497" s="61">
        <f>IFERROR(VLOOKUP(A497,Clientes_PDV!$A$2:$J$250,3,FALSE),"")</f>
        <v/>
      </c>
      <c r="D497" s="61">
        <f>IFERROR(VLOOKUP(A497,Clientes_PDV!$A$2:$J$250,4,FALSE),"")</f>
        <v/>
      </c>
      <c r="E497" s="52" t="n"/>
      <c r="F497" s="61">
        <f>IFERROR(VLOOKUP(E497,Maestro_SKU!$A$2:$P$500,2,FALSE),"")</f>
        <v/>
      </c>
      <c r="G497" s="59" t="n"/>
      <c r="H497" s="62">
        <f>IF(OR(G497="",E497=""),"",G497*IFERROR(VLOOKUP(E497,Maestro_SKU!$A$2:$P$500,12,FALSE),1))</f>
        <v/>
      </c>
      <c r="I497" s="53" t="n"/>
      <c r="J497" s="61">
        <f>IF(A497="","",IF(H497&lt;=Inicio!$B$16,"Crítico",IF(H497&lt;=Inicio!$B$17,"Observar","OK")))</f>
        <v/>
      </c>
      <c r="K497" s="52" t="n"/>
    </row>
    <row r="498">
      <c r="A498" s="52" t="n"/>
      <c r="B498" s="61">
        <f>IFERROR(VLOOKUP(A498,Clientes_PDV!$A$2:$J$250,2,FALSE),"")</f>
        <v/>
      </c>
      <c r="C498" s="61">
        <f>IFERROR(VLOOKUP(A498,Clientes_PDV!$A$2:$J$250,3,FALSE),"")</f>
        <v/>
      </c>
      <c r="D498" s="61">
        <f>IFERROR(VLOOKUP(A498,Clientes_PDV!$A$2:$J$250,4,FALSE),"")</f>
        <v/>
      </c>
      <c r="E498" s="52" t="n"/>
      <c r="F498" s="61">
        <f>IFERROR(VLOOKUP(E498,Maestro_SKU!$A$2:$P$500,2,FALSE),"")</f>
        <v/>
      </c>
      <c r="G498" s="59" t="n"/>
      <c r="H498" s="62">
        <f>IF(OR(G498="",E498=""),"",G498*IFERROR(VLOOKUP(E498,Maestro_SKU!$A$2:$P$500,12,FALSE),1))</f>
        <v/>
      </c>
      <c r="I498" s="53" t="n"/>
      <c r="J498" s="61">
        <f>IF(A498="","",IF(H498&lt;=Inicio!$B$16,"Crítico",IF(H498&lt;=Inicio!$B$17,"Observar","OK")))</f>
        <v/>
      </c>
      <c r="K498" s="52" t="n"/>
    </row>
    <row r="499">
      <c r="A499" s="52" t="n"/>
      <c r="B499" s="61">
        <f>IFERROR(VLOOKUP(A499,Clientes_PDV!$A$2:$J$250,2,FALSE),"")</f>
        <v/>
      </c>
      <c r="C499" s="61">
        <f>IFERROR(VLOOKUP(A499,Clientes_PDV!$A$2:$J$250,3,FALSE),"")</f>
        <v/>
      </c>
      <c r="D499" s="61">
        <f>IFERROR(VLOOKUP(A499,Clientes_PDV!$A$2:$J$250,4,FALSE),"")</f>
        <v/>
      </c>
      <c r="E499" s="52" t="n"/>
      <c r="F499" s="61">
        <f>IFERROR(VLOOKUP(E499,Maestro_SKU!$A$2:$P$500,2,FALSE),"")</f>
        <v/>
      </c>
      <c r="G499" s="59" t="n"/>
      <c r="H499" s="62">
        <f>IF(OR(G499="",E499=""),"",G499*IFERROR(VLOOKUP(E499,Maestro_SKU!$A$2:$P$500,12,FALSE),1))</f>
        <v/>
      </c>
      <c r="I499" s="53" t="n"/>
      <c r="J499" s="61">
        <f>IF(A499="","",IF(H499&lt;=Inicio!$B$16,"Crítico",IF(H499&lt;=Inicio!$B$17,"Observar","OK")))</f>
        <v/>
      </c>
      <c r="K499" s="52" t="n"/>
    </row>
    <row r="500">
      <c r="A500" s="52" t="n"/>
      <c r="B500" s="61">
        <f>IFERROR(VLOOKUP(A500,Clientes_PDV!$A$2:$J$250,2,FALSE),"")</f>
        <v/>
      </c>
      <c r="C500" s="61">
        <f>IFERROR(VLOOKUP(A500,Clientes_PDV!$A$2:$J$250,3,FALSE),"")</f>
        <v/>
      </c>
      <c r="D500" s="61">
        <f>IFERROR(VLOOKUP(A500,Clientes_PDV!$A$2:$J$250,4,FALSE),"")</f>
        <v/>
      </c>
      <c r="E500" s="52" t="n"/>
      <c r="F500" s="61">
        <f>IFERROR(VLOOKUP(E500,Maestro_SKU!$A$2:$P$500,2,FALSE),"")</f>
        <v/>
      </c>
      <c r="G500" s="59" t="n"/>
      <c r="H500" s="62">
        <f>IF(OR(G500="",E500=""),"",G500*IFERROR(VLOOKUP(E500,Maestro_SKU!$A$2:$P$500,12,FALSE),1))</f>
        <v/>
      </c>
      <c r="I500" s="53" t="n"/>
      <c r="J500" s="61">
        <f>IF(A500="","",IF(H500&lt;=Inicio!$B$16,"Crítico",IF(H500&lt;=Inicio!$B$17,"Observar","OK")))</f>
        <v/>
      </c>
      <c r="K500" s="52" t="n"/>
    </row>
    <row r="501">
      <c r="A501" s="52" t="n"/>
      <c r="B501" s="61">
        <f>IFERROR(VLOOKUP(A501,Clientes_PDV!$A$2:$J$250,2,FALSE),"")</f>
        <v/>
      </c>
      <c r="C501" s="61">
        <f>IFERROR(VLOOKUP(A501,Clientes_PDV!$A$2:$J$250,3,FALSE),"")</f>
        <v/>
      </c>
      <c r="D501" s="61">
        <f>IFERROR(VLOOKUP(A501,Clientes_PDV!$A$2:$J$250,4,FALSE),"")</f>
        <v/>
      </c>
      <c r="E501" s="52" t="n"/>
      <c r="F501" s="61">
        <f>IFERROR(VLOOKUP(E501,Maestro_SKU!$A$2:$P$500,2,FALSE),"")</f>
        <v/>
      </c>
      <c r="G501" s="59" t="n"/>
      <c r="H501" s="62">
        <f>IF(OR(G501="",E501=""),"",G501*IFERROR(VLOOKUP(E501,Maestro_SKU!$A$2:$P$500,12,FALSE),1))</f>
        <v/>
      </c>
      <c r="I501" s="53" t="n"/>
      <c r="J501" s="61">
        <f>IF(A501="","",IF(H501&lt;=Inicio!$B$16,"Crítico",IF(H501&lt;=Inicio!$B$17,"Observar","OK")))</f>
        <v/>
      </c>
      <c r="K501" s="52" t="n"/>
    </row>
    <row r="502">
      <c r="A502" s="52" t="n"/>
      <c r="B502" s="61">
        <f>IFERROR(VLOOKUP(A502,Clientes_PDV!$A$2:$J$250,2,FALSE),"")</f>
        <v/>
      </c>
      <c r="C502" s="61">
        <f>IFERROR(VLOOKUP(A502,Clientes_PDV!$A$2:$J$250,3,FALSE),"")</f>
        <v/>
      </c>
      <c r="D502" s="61">
        <f>IFERROR(VLOOKUP(A502,Clientes_PDV!$A$2:$J$250,4,FALSE),"")</f>
        <v/>
      </c>
      <c r="E502" s="52" t="n"/>
      <c r="F502" s="61">
        <f>IFERROR(VLOOKUP(E502,Maestro_SKU!$A$2:$P$500,2,FALSE),"")</f>
        <v/>
      </c>
      <c r="G502" s="52" t="n"/>
      <c r="H502" s="61">
        <f>IF(OR(G502="",E502=""),"",G502*IFERROR(VLOOKUP(E502,Maestro_SKU!$A$2:$P$500,12,FALSE),1))</f>
        <v/>
      </c>
      <c r="I502" s="53" t="n"/>
      <c r="J502" s="61">
        <f>IF(A502="","",IF(H502&lt;=Inicio!$B$16,"Crítico",IF(H502&lt;=Inicio!$B$17,"Observar","OK")))</f>
        <v/>
      </c>
      <c r="K502" s="52" t="n"/>
    </row>
    <row r="503">
      <c r="A503" s="52" t="n"/>
      <c r="B503" s="61">
        <f>IFERROR(VLOOKUP(A503,Clientes_PDV!$A$2:$J$250,2,FALSE),"")</f>
        <v/>
      </c>
      <c r="C503" s="61">
        <f>IFERROR(VLOOKUP(A503,Clientes_PDV!$A$2:$J$250,3,FALSE),"")</f>
        <v/>
      </c>
      <c r="D503" s="61">
        <f>IFERROR(VLOOKUP(A503,Clientes_PDV!$A$2:$J$250,4,FALSE),"")</f>
        <v/>
      </c>
      <c r="E503" s="52" t="n"/>
      <c r="F503" s="61">
        <f>IFERROR(VLOOKUP(E503,Maestro_SKU!$A$2:$P$500,2,FALSE),"")</f>
        <v/>
      </c>
      <c r="G503" s="52" t="n"/>
      <c r="H503" s="61">
        <f>IF(OR(G503="",E503=""),"",G503*IFERROR(VLOOKUP(E503,Maestro_SKU!$A$2:$P$500,12,FALSE),1))</f>
        <v/>
      </c>
      <c r="I503" s="53" t="n"/>
      <c r="J503" s="61">
        <f>IF(A503="","",IF(H503&lt;=Inicio!$B$16,"Crítico",IF(H503&lt;=Inicio!$B$17,"Observar","OK")))</f>
        <v/>
      </c>
      <c r="K503" s="52" t="n"/>
    </row>
    <row r="504">
      <c r="A504" s="52" t="n"/>
      <c r="B504" s="61">
        <f>IFERROR(VLOOKUP(A504,Clientes_PDV!$A$2:$J$250,2,FALSE),"")</f>
        <v/>
      </c>
      <c r="C504" s="61">
        <f>IFERROR(VLOOKUP(A504,Clientes_PDV!$A$2:$J$250,3,FALSE),"")</f>
        <v/>
      </c>
      <c r="D504" s="61">
        <f>IFERROR(VLOOKUP(A504,Clientes_PDV!$A$2:$J$250,4,FALSE),"")</f>
        <v/>
      </c>
      <c r="E504" s="52" t="n"/>
      <c r="F504" s="61">
        <f>IFERROR(VLOOKUP(E504,Maestro_SKU!$A$2:$P$500,2,FALSE),"")</f>
        <v/>
      </c>
      <c r="G504" s="52" t="n"/>
      <c r="H504" s="61">
        <f>IF(OR(G504="",E504=""),"",G504*IFERROR(VLOOKUP(E504,Maestro_SKU!$A$2:$P$500,12,FALSE),1))</f>
        <v/>
      </c>
      <c r="I504" s="53" t="n"/>
      <c r="J504" s="61">
        <f>IF(A504="","",IF(H504&lt;=Inicio!$B$16,"Crítico",IF(H504&lt;=Inicio!$B$17,"Observar","OK")))</f>
        <v/>
      </c>
      <c r="K504" s="52" t="n"/>
    </row>
    <row r="505">
      <c r="A505" s="52" t="n"/>
      <c r="B505" s="61">
        <f>IFERROR(VLOOKUP(A505,Clientes_PDV!$A$2:$J$250,2,FALSE),"")</f>
        <v/>
      </c>
      <c r="C505" s="61">
        <f>IFERROR(VLOOKUP(A505,Clientes_PDV!$A$2:$J$250,3,FALSE),"")</f>
        <v/>
      </c>
      <c r="D505" s="61">
        <f>IFERROR(VLOOKUP(A505,Clientes_PDV!$A$2:$J$250,4,FALSE),"")</f>
        <v/>
      </c>
      <c r="E505" s="52" t="n"/>
      <c r="F505" s="61">
        <f>IFERROR(VLOOKUP(E505,Maestro_SKU!$A$2:$P$500,2,FALSE),"")</f>
        <v/>
      </c>
      <c r="G505" s="52" t="n"/>
      <c r="H505" s="61">
        <f>IF(OR(G505="",E505=""),"",G505*IFERROR(VLOOKUP(E505,Maestro_SKU!$A$2:$P$500,12,FALSE),1))</f>
        <v/>
      </c>
      <c r="I505" s="53" t="n"/>
      <c r="J505" s="61">
        <f>IF(A505="","",IF(H505&lt;=Inicio!$B$16,"Crítico",IF(H505&lt;=Inicio!$B$17,"Observar","OK")))</f>
        <v/>
      </c>
      <c r="K505" s="52" t="n"/>
    </row>
    <row r="506">
      <c r="A506" s="52" t="n"/>
      <c r="B506" s="61">
        <f>IFERROR(VLOOKUP(A506,Clientes_PDV!$A$2:$J$250,2,FALSE),"")</f>
        <v/>
      </c>
      <c r="C506" s="61">
        <f>IFERROR(VLOOKUP(A506,Clientes_PDV!$A$2:$J$250,3,FALSE),"")</f>
        <v/>
      </c>
      <c r="D506" s="61">
        <f>IFERROR(VLOOKUP(A506,Clientes_PDV!$A$2:$J$250,4,FALSE),"")</f>
        <v/>
      </c>
      <c r="E506" s="52" t="n"/>
      <c r="F506" s="61">
        <f>IFERROR(VLOOKUP(E506,Maestro_SKU!$A$2:$P$500,2,FALSE),"")</f>
        <v/>
      </c>
      <c r="G506" s="52" t="n"/>
      <c r="H506" s="61">
        <f>IF(OR(G506="",E506=""),"",G506*IFERROR(VLOOKUP(E506,Maestro_SKU!$A$2:$P$500,12,FALSE),1))</f>
        <v/>
      </c>
      <c r="I506" s="53" t="n"/>
      <c r="J506" s="61">
        <f>IF(A506="","",IF(H506&lt;=Inicio!$B$16,"Crítico",IF(H506&lt;=Inicio!$B$17,"Observar","OK")))</f>
        <v/>
      </c>
      <c r="K506" s="52" t="n"/>
    </row>
    <row r="507">
      <c r="A507" s="52" t="n"/>
      <c r="B507" s="61">
        <f>IFERROR(VLOOKUP(A507,Clientes_PDV!$A$2:$J$250,2,FALSE),"")</f>
        <v/>
      </c>
      <c r="C507" s="61">
        <f>IFERROR(VLOOKUP(A507,Clientes_PDV!$A$2:$J$250,3,FALSE),"")</f>
        <v/>
      </c>
      <c r="D507" s="61">
        <f>IFERROR(VLOOKUP(A507,Clientes_PDV!$A$2:$J$250,4,FALSE),"")</f>
        <v/>
      </c>
      <c r="E507" s="52" t="n"/>
      <c r="F507" s="61">
        <f>IFERROR(VLOOKUP(E507,Maestro_SKU!$A$2:$P$500,2,FALSE),"")</f>
        <v/>
      </c>
      <c r="G507" s="52" t="n"/>
      <c r="H507" s="61">
        <f>IF(OR(G507="",E507=""),"",G507*IFERROR(VLOOKUP(E507,Maestro_SKU!$A$2:$P$500,12,FALSE),1))</f>
        <v/>
      </c>
      <c r="I507" s="53" t="n"/>
      <c r="J507" s="61">
        <f>IF(A507="","",IF(H507&lt;=Inicio!$B$16,"Crítico",IF(H507&lt;=Inicio!$B$17,"Observar","OK")))</f>
        <v/>
      </c>
      <c r="K507" s="52" t="n"/>
    </row>
    <row r="508">
      <c r="A508" s="52" t="n"/>
      <c r="B508" s="61">
        <f>IFERROR(VLOOKUP(A508,Clientes_PDV!$A$2:$J$250,2,FALSE),"")</f>
        <v/>
      </c>
      <c r="C508" s="61">
        <f>IFERROR(VLOOKUP(A508,Clientes_PDV!$A$2:$J$250,3,FALSE),"")</f>
        <v/>
      </c>
      <c r="D508" s="61">
        <f>IFERROR(VLOOKUP(A508,Clientes_PDV!$A$2:$J$250,4,FALSE),"")</f>
        <v/>
      </c>
      <c r="E508" s="52" t="n"/>
      <c r="F508" s="61">
        <f>IFERROR(VLOOKUP(E508,Maestro_SKU!$A$2:$P$500,2,FALSE),"")</f>
        <v/>
      </c>
      <c r="G508" s="52" t="n"/>
      <c r="H508" s="61">
        <f>IF(OR(G508="",E508=""),"",G508*IFERROR(VLOOKUP(E508,Maestro_SKU!$A$2:$P$500,12,FALSE),1))</f>
        <v/>
      </c>
      <c r="I508" s="53" t="n"/>
      <c r="J508" s="61">
        <f>IF(A508="","",IF(H508&lt;=Inicio!$B$16,"Crítico",IF(H508&lt;=Inicio!$B$17,"Observar","OK")))</f>
        <v/>
      </c>
      <c r="K508" s="52" t="n"/>
    </row>
    <row r="509">
      <c r="A509" s="52" t="n"/>
      <c r="B509" s="61">
        <f>IFERROR(VLOOKUP(A509,Clientes_PDV!$A$2:$J$250,2,FALSE),"")</f>
        <v/>
      </c>
      <c r="C509" s="61">
        <f>IFERROR(VLOOKUP(A509,Clientes_PDV!$A$2:$J$250,3,FALSE),"")</f>
        <v/>
      </c>
      <c r="D509" s="61">
        <f>IFERROR(VLOOKUP(A509,Clientes_PDV!$A$2:$J$250,4,FALSE),"")</f>
        <v/>
      </c>
      <c r="E509" s="52" t="n"/>
      <c r="F509" s="61">
        <f>IFERROR(VLOOKUP(E509,Maestro_SKU!$A$2:$P$500,2,FALSE),"")</f>
        <v/>
      </c>
      <c r="G509" s="52" t="n"/>
      <c r="H509" s="61">
        <f>IF(OR(G509="",E509=""),"",G509*IFERROR(VLOOKUP(E509,Maestro_SKU!$A$2:$P$500,12,FALSE),1))</f>
        <v/>
      </c>
      <c r="I509" s="53" t="n"/>
      <c r="J509" s="61">
        <f>IF(A509="","",IF(H509&lt;=Inicio!$B$16,"Crítico",IF(H509&lt;=Inicio!$B$17,"Observar","OK")))</f>
        <v/>
      </c>
      <c r="K509" s="52" t="n"/>
    </row>
    <row r="510">
      <c r="A510" s="52" t="n"/>
      <c r="B510" s="61">
        <f>IFERROR(VLOOKUP(A510,Clientes_PDV!$A$2:$J$250,2,FALSE),"")</f>
        <v/>
      </c>
      <c r="C510" s="61">
        <f>IFERROR(VLOOKUP(A510,Clientes_PDV!$A$2:$J$250,3,FALSE),"")</f>
        <v/>
      </c>
      <c r="D510" s="61">
        <f>IFERROR(VLOOKUP(A510,Clientes_PDV!$A$2:$J$250,4,FALSE),"")</f>
        <v/>
      </c>
      <c r="E510" s="52" t="n"/>
      <c r="F510" s="61">
        <f>IFERROR(VLOOKUP(E510,Maestro_SKU!$A$2:$P$500,2,FALSE),"")</f>
        <v/>
      </c>
      <c r="G510" s="52" t="n"/>
      <c r="H510" s="61">
        <f>IF(OR(G510="",E510=""),"",G510*IFERROR(VLOOKUP(E510,Maestro_SKU!$A$2:$P$500,12,FALSE),1))</f>
        <v/>
      </c>
      <c r="I510" s="53" t="n"/>
      <c r="J510" s="61">
        <f>IF(A510="","",IF(H510&lt;=Inicio!$B$16,"Crítico",IF(H510&lt;=Inicio!$B$17,"Observar","OK")))</f>
        <v/>
      </c>
      <c r="K510" s="52" t="n"/>
    </row>
    <row r="511">
      <c r="A511" s="52" t="n"/>
      <c r="B511" s="61">
        <f>IFERROR(VLOOKUP(A511,Clientes_PDV!$A$2:$J$250,2,FALSE),"")</f>
        <v/>
      </c>
      <c r="C511" s="61">
        <f>IFERROR(VLOOKUP(A511,Clientes_PDV!$A$2:$J$250,3,FALSE),"")</f>
        <v/>
      </c>
      <c r="D511" s="61">
        <f>IFERROR(VLOOKUP(A511,Clientes_PDV!$A$2:$J$250,4,FALSE),"")</f>
        <v/>
      </c>
      <c r="E511" s="52" t="n"/>
      <c r="F511" s="61">
        <f>IFERROR(VLOOKUP(E511,Maestro_SKU!$A$2:$P$500,2,FALSE),"")</f>
        <v/>
      </c>
      <c r="G511" s="52" t="n"/>
      <c r="H511" s="61">
        <f>IF(OR(G511="",E511=""),"",G511*IFERROR(VLOOKUP(E511,Maestro_SKU!$A$2:$P$500,12,FALSE),1))</f>
        <v/>
      </c>
      <c r="I511" s="53" t="n"/>
      <c r="J511" s="61">
        <f>IF(A511="","",IF(H511&lt;=Inicio!$B$16,"Crítico",IF(H511&lt;=Inicio!$B$17,"Observar","OK")))</f>
        <v/>
      </c>
      <c r="K511" s="52" t="n"/>
    </row>
    <row r="512">
      <c r="A512" s="52" t="n"/>
      <c r="B512" s="61">
        <f>IFERROR(VLOOKUP(A512,Clientes_PDV!$A$2:$J$250,2,FALSE),"")</f>
        <v/>
      </c>
      <c r="C512" s="61">
        <f>IFERROR(VLOOKUP(A512,Clientes_PDV!$A$2:$J$250,3,FALSE),"")</f>
        <v/>
      </c>
      <c r="D512" s="61">
        <f>IFERROR(VLOOKUP(A512,Clientes_PDV!$A$2:$J$250,4,FALSE),"")</f>
        <v/>
      </c>
      <c r="E512" s="52" t="n"/>
      <c r="F512" s="61">
        <f>IFERROR(VLOOKUP(E512,Maestro_SKU!$A$2:$P$500,2,FALSE),"")</f>
        <v/>
      </c>
      <c r="G512" s="52" t="n"/>
      <c r="H512" s="61">
        <f>IF(OR(G512="",E512=""),"",G512*IFERROR(VLOOKUP(E512,Maestro_SKU!$A$2:$P$500,12,FALSE),1))</f>
        <v/>
      </c>
      <c r="I512" s="53" t="n"/>
      <c r="J512" s="61">
        <f>IF(A512="","",IF(H512&lt;=Inicio!$B$16,"Crítico",IF(H512&lt;=Inicio!$B$17,"Observar","OK")))</f>
        <v/>
      </c>
      <c r="K512" s="52" t="n"/>
    </row>
    <row r="513">
      <c r="A513" s="52" t="n"/>
      <c r="B513" s="61">
        <f>IFERROR(VLOOKUP(A513,Clientes_PDV!$A$2:$J$250,2,FALSE),"")</f>
        <v/>
      </c>
      <c r="C513" s="61">
        <f>IFERROR(VLOOKUP(A513,Clientes_PDV!$A$2:$J$250,3,FALSE),"")</f>
        <v/>
      </c>
      <c r="D513" s="61">
        <f>IFERROR(VLOOKUP(A513,Clientes_PDV!$A$2:$J$250,4,FALSE),"")</f>
        <v/>
      </c>
      <c r="E513" s="52" t="n"/>
      <c r="F513" s="61">
        <f>IFERROR(VLOOKUP(E513,Maestro_SKU!$A$2:$P$500,2,FALSE),"")</f>
        <v/>
      </c>
      <c r="G513" s="52" t="n"/>
      <c r="H513" s="61">
        <f>IF(OR(G513="",E513=""),"",G513*IFERROR(VLOOKUP(E513,Maestro_SKU!$A$2:$P$500,12,FALSE),1))</f>
        <v/>
      </c>
      <c r="I513" s="53" t="n"/>
      <c r="J513" s="61">
        <f>IF(A513="","",IF(H513&lt;=Inicio!$B$16,"Crítico",IF(H513&lt;=Inicio!$B$17,"Observar","OK")))</f>
        <v/>
      </c>
      <c r="K513" s="52" t="n"/>
    </row>
    <row r="514">
      <c r="A514" s="52" t="n"/>
      <c r="B514" s="61">
        <f>IFERROR(VLOOKUP(A514,Clientes_PDV!$A$2:$J$250,2,FALSE),"")</f>
        <v/>
      </c>
      <c r="C514" s="61">
        <f>IFERROR(VLOOKUP(A514,Clientes_PDV!$A$2:$J$250,3,FALSE),"")</f>
        <v/>
      </c>
      <c r="D514" s="61">
        <f>IFERROR(VLOOKUP(A514,Clientes_PDV!$A$2:$J$250,4,FALSE),"")</f>
        <v/>
      </c>
      <c r="E514" s="52" t="n"/>
      <c r="F514" s="61">
        <f>IFERROR(VLOOKUP(E514,Maestro_SKU!$A$2:$P$500,2,FALSE),"")</f>
        <v/>
      </c>
      <c r="G514" s="52" t="n"/>
      <c r="H514" s="61">
        <f>IF(OR(G514="",E514=""),"",G514*IFERROR(VLOOKUP(E514,Maestro_SKU!$A$2:$P$500,12,FALSE),1))</f>
        <v/>
      </c>
      <c r="I514" s="53" t="n"/>
      <c r="J514" s="61">
        <f>IF(A514="","",IF(H514&lt;=Inicio!$B$16,"Crítico",IF(H514&lt;=Inicio!$B$17,"Observar","OK")))</f>
        <v/>
      </c>
      <c r="K514" s="52" t="n"/>
    </row>
    <row r="515">
      <c r="A515" s="52" t="n"/>
      <c r="B515" s="61">
        <f>IFERROR(VLOOKUP(A515,Clientes_PDV!$A$2:$J$250,2,FALSE),"")</f>
        <v/>
      </c>
      <c r="C515" s="61">
        <f>IFERROR(VLOOKUP(A515,Clientes_PDV!$A$2:$J$250,3,FALSE),"")</f>
        <v/>
      </c>
      <c r="D515" s="61">
        <f>IFERROR(VLOOKUP(A515,Clientes_PDV!$A$2:$J$250,4,FALSE),"")</f>
        <v/>
      </c>
      <c r="E515" s="52" t="n"/>
      <c r="F515" s="61">
        <f>IFERROR(VLOOKUP(E515,Maestro_SKU!$A$2:$P$500,2,FALSE),"")</f>
        <v/>
      </c>
      <c r="G515" s="52" t="n"/>
      <c r="H515" s="61">
        <f>IF(OR(G515="",E515=""),"",G515*IFERROR(VLOOKUP(E515,Maestro_SKU!$A$2:$P$500,12,FALSE),1))</f>
        <v/>
      </c>
      <c r="I515" s="53" t="n"/>
      <c r="J515" s="61">
        <f>IF(A515="","",IF(H515&lt;=Inicio!$B$16,"Crítico",IF(H515&lt;=Inicio!$B$17,"Observar","OK")))</f>
        <v/>
      </c>
      <c r="K515" s="52" t="n"/>
    </row>
    <row r="516">
      <c r="A516" s="52" t="n"/>
      <c r="B516" s="61">
        <f>IFERROR(VLOOKUP(A516,Clientes_PDV!$A$2:$J$250,2,FALSE),"")</f>
        <v/>
      </c>
      <c r="C516" s="61">
        <f>IFERROR(VLOOKUP(A516,Clientes_PDV!$A$2:$J$250,3,FALSE),"")</f>
        <v/>
      </c>
      <c r="D516" s="61">
        <f>IFERROR(VLOOKUP(A516,Clientes_PDV!$A$2:$J$250,4,FALSE),"")</f>
        <v/>
      </c>
      <c r="E516" s="52" t="n"/>
      <c r="F516" s="61">
        <f>IFERROR(VLOOKUP(E516,Maestro_SKU!$A$2:$P$500,2,FALSE),"")</f>
        <v/>
      </c>
      <c r="G516" s="52" t="n"/>
      <c r="H516" s="61">
        <f>IF(OR(G516="",E516=""),"",G516*IFERROR(VLOOKUP(E516,Maestro_SKU!$A$2:$P$500,12,FALSE),1))</f>
        <v/>
      </c>
      <c r="I516" s="53" t="n"/>
      <c r="J516" s="61">
        <f>IF(A516="","",IF(H516&lt;=Inicio!$B$16,"Crítico",IF(H516&lt;=Inicio!$B$17,"Observar","OK")))</f>
        <v/>
      </c>
      <c r="K516" s="52" t="n"/>
    </row>
    <row r="517">
      <c r="A517" s="52" t="n"/>
      <c r="B517" s="61">
        <f>IFERROR(VLOOKUP(A517,Clientes_PDV!$A$2:$J$250,2,FALSE),"")</f>
        <v/>
      </c>
      <c r="C517" s="61">
        <f>IFERROR(VLOOKUP(A517,Clientes_PDV!$A$2:$J$250,3,FALSE),"")</f>
        <v/>
      </c>
      <c r="D517" s="61">
        <f>IFERROR(VLOOKUP(A517,Clientes_PDV!$A$2:$J$250,4,FALSE),"")</f>
        <v/>
      </c>
      <c r="E517" s="52" t="n"/>
      <c r="F517" s="61">
        <f>IFERROR(VLOOKUP(E517,Maestro_SKU!$A$2:$P$500,2,FALSE),"")</f>
        <v/>
      </c>
      <c r="G517" s="52" t="n"/>
      <c r="H517" s="61">
        <f>IF(OR(G517="",E517=""),"",G517*IFERROR(VLOOKUP(E517,Maestro_SKU!$A$2:$P$500,12,FALSE),1))</f>
        <v/>
      </c>
      <c r="I517" s="53" t="n"/>
      <c r="J517" s="61">
        <f>IF(A517="","",IF(H517&lt;=Inicio!$B$16,"Crítico",IF(H517&lt;=Inicio!$B$17,"Observar","OK")))</f>
        <v/>
      </c>
      <c r="K517" s="52" t="n"/>
    </row>
    <row r="518">
      <c r="A518" s="52" t="n"/>
      <c r="B518" s="61">
        <f>IFERROR(VLOOKUP(A518,Clientes_PDV!$A$2:$J$250,2,FALSE),"")</f>
        <v/>
      </c>
      <c r="C518" s="61">
        <f>IFERROR(VLOOKUP(A518,Clientes_PDV!$A$2:$J$250,3,FALSE),"")</f>
        <v/>
      </c>
      <c r="D518" s="61">
        <f>IFERROR(VLOOKUP(A518,Clientes_PDV!$A$2:$J$250,4,FALSE),"")</f>
        <v/>
      </c>
      <c r="E518" s="52" t="n"/>
      <c r="F518" s="61">
        <f>IFERROR(VLOOKUP(E518,Maestro_SKU!$A$2:$P$500,2,FALSE),"")</f>
        <v/>
      </c>
      <c r="G518" s="52" t="n"/>
      <c r="H518" s="61">
        <f>IF(OR(G518="",E518=""),"",G518*IFERROR(VLOOKUP(E518,Maestro_SKU!$A$2:$P$500,12,FALSE),1))</f>
        <v/>
      </c>
      <c r="I518" s="53" t="n"/>
      <c r="J518" s="61">
        <f>IF(A518="","",IF(H518&lt;=Inicio!$B$16,"Crítico",IF(H518&lt;=Inicio!$B$17,"Observar","OK")))</f>
        <v/>
      </c>
      <c r="K518" s="52" t="n"/>
    </row>
    <row r="519">
      <c r="A519" s="52" t="n"/>
      <c r="B519" s="61">
        <f>IFERROR(VLOOKUP(A519,Clientes_PDV!$A$2:$J$250,2,FALSE),"")</f>
        <v/>
      </c>
      <c r="C519" s="61">
        <f>IFERROR(VLOOKUP(A519,Clientes_PDV!$A$2:$J$250,3,FALSE),"")</f>
        <v/>
      </c>
      <c r="D519" s="61">
        <f>IFERROR(VLOOKUP(A519,Clientes_PDV!$A$2:$J$250,4,FALSE),"")</f>
        <v/>
      </c>
      <c r="E519" s="52" t="n"/>
      <c r="F519" s="61">
        <f>IFERROR(VLOOKUP(E519,Maestro_SKU!$A$2:$P$500,2,FALSE),"")</f>
        <v/>
      </c>
      <c r="G519" s="52" t="n"/>
      <c r="H519" s="61">
        <f>IF(OR(G519="",E519=""),"",G519*IFERROR(VLOOKUP(E519,Maestro_SKU!$A$2:$P$500,12,FALSE),1))</f>
        <v/>
      </c>
      <c r="I519" s="53" t="n"/>
      <c r="J519" s="61">
        <f>IF(A519="","",IF(H519&lt;=Inicio!$B$16,"Crítico",IF(H519&lt;=Inicio!$B$17,"Observar","OK")))</f>
        <v/>
      </c>
      <c r="K519" s="52" t="n"/>
    </row>
    <row r="520">
      <c r="A520" s="52" t="n"/>
      <c r="B520" s="61">
        <f>IFERROR(VLOOKUP(A520,Clientes_PDV!$A$2:$J$250,2,FALSE),"")</f>
        <v/>
      </c>
      <c r="C520" s="61">
        <f>IFERROR(VLOOKUP(A520,Clientes_PDV!$A$2:$J$250,3,FALSE),"")</f>
        <v/>
      </c>
      <c r="D520" s="61">
        <f>IFERROR(VLOOKUP(A520,Clientes_PDV!$A$2:$J$250,4,FALSE),"")</f>
        <v/>
      </c>
      <c r="E520" s="52" t="n"/>
      <c r="F520" s="61">
        <f>IFERROR(VLOOKUP(E520,Maestro_SKU!$A$2:$P$500,2,FALSE),"")</f>
        <v/>
      </c>
      <c r="G520" s="52" t="n"/>
      <c r="H520" s="61">
        <f>IF(OR(G520="",E520=""),"",G520*IFERROR(VLOOKUP(E520,Maestro_SKU!$A$2:$P$500,12,FALSE),1))</f>
        <v/>
      </c>
      <c r="I520" s="53" t="n"/>
      <c r="J520" s="61">
        <f>IF(A520="","",IF(H520&lt;=Inicio!$B$16,"Crítico",IF(H520&lt;=Inicio!$B$17,"Observar","OK")))</f>
        <v/>
      </c>
      <c r="K520" s="52" t="n"/>
    </row>
    <row r="521">
      <c r="A521" s="52" t="n"/>
      <c r="B521" s="61">
        <f>IFERROR(VLOOKUP(A521,Clientes_PDV!$A$2:$J$250,2,FALSE),"")</f>
        <v/>
      </c>
      <c r="C521" s="61">
        <f>IFERROR(VLOOKUP(A521,Clientes_PDV!$A$2:$J$250,3,FALSE),"")</f>
        <v/>
      </c>
      <c r="D521" s="61">
        <f>IFERROR(VLOOKUP(A521,Clientes_PDV!$A$2:$J$250,4,FALSE),"")</f>
        <v/>
      </c>
      <c r="E521" s="52" t="n"/>
      <c r="F521" s="61">
        <f>IFERROR(VLOOKUP(E521,Maestro_SKU!$A$2:$P$500,2,FALSE),"")</f>
        <v/>
      </c>
      <c r="G521" s="52" t="n"/>
      <c r="H521" s="61">
        <f>IF(OR(G521="",E521=""),"",G521*IFERROR(VLOOKUP(E521,Maestro_SKU!$A$2:$P$500,12,FALSE),1))</f>
        <v/>
      </c>
      <c r="I521" s="53" t="n"/>
      <c r="J521" s="61">
        <f>IF(A521="","",IF(H521&lt;=Inicio!$B$16,"Crítico",IF(H521&lt;=Inicio!$B$17,"Observar","OK")))</f>
        <v/>
      </c>
      <c r="K521" s="52" t="n"/>
    </row>
    <row r="522">
      <c r="A522" s="52" t="n"/>
      <c r="B522" s="61">
        <f>IFERROR(VLOOKUP(A522,Clientes_PDV!$A$2:$J$250,2,FALSE),"")</f>
        <v/>
      </c>
      <c r="C522" s="61">
        <f>IFERROR(VLOOKUP(A522,Clientes_PDV!$A$2:$J$250,3,FALSE),"")</f>
        <v/>
      </c>
      <c r="D522" s="61">
        <f>IFERROR(VLOOKUP(A522,Clientes_PDV!$A$2:$J$250,4,FALSE),"")</f>
        <v/>
      </c>
      <c r="E522" s="52" t="n"/>
      <c r="F522" s="61">
        <f>IFERROR(VLOOKUP(E522,Maestro_SKU!$A$2:$P$500,2,FALSE),"")</f>
        <v/>
      </c>
      <c r="G522" s="52" t="n"/>
      <c r="H522" s="61">
        <f>IF(OR(G522="",E522=""),"",G522*IFERROR(VLOOKUP(E522,Maestro_SKU!$A$2:$P$500,12,FALSE),1))</f>
        <v/>
      </c>
      <c r="I522" s="53" t="n"/>
      <c r="J522" s="61">
        <f>IF(A522="","",IF(H522&lt;=Inicio!$B$16,"Crítico",IF(H522&lt;=Inicio!$B$17,"Observar","OK")))</f>
        <v/>
      </c>
      <c r="K522" s="52" t="n"/>
    </row>
    <row r="523">
      <c r="A523" s="52" t="n"/>
      <c r="B523" s="61">
        <f>IFERROR(VLOOKUP(A523,Clientes_PDV!$A$2:$J$250,2,FALSE),"")</f>
        <v/>
      </c>
      <c r="C523" s="61">
        <f>IFERROR(VLOOKUP(A523,Clientes_PDV!$A$2:$J$250,3,FALSE),"")</f>
        <v/>
      </c>
      <c r="D523" s="61">
        <f>IFERROR(VLOOKUP(A523,Clientes_PDV!$A$2:$J$250,4,FALSE),"")</f>
        <v/>
      </c>
      <c r="E523" s="52" t="n"/>
      <c r="F523" s="61">
        <f>IFERROR(VLOOKUP(E523,Maestro_SKU!$A$2:$P$500,2,FALSE),"")</f>
        <v/>
      </c>
      <c r="G523" s="52" t="n"/>
      <c r="H523" s="61">
        <f>IF(OR(G523="",E523=""),"",G523*IFERROR(VLOOKUP(E523,Maestro_SKU!$A$2:$P$500,12,FALSE),1))</f>
        <v/>
      </c>
      <c r="I523" s="53" t="n"/>
      <c r="J523" s="61">
        <f>IF(A523="","",IF(H523&lt;=Inicio!$B$16,"Crítico",IF(H523&lt;=Inicio!$B$17,"Observar","OK")))</f>
        <v/>
      </c>
      <c r="K523" s="52" t="n"/>
    </row>
    <row r="524">
      <c r="A524" s="52" t="n"/>
      <c r="B524" s="61">
        <f>IFERROR(VLOOKUP(A524,Clientes_PDV!$A$2:$J$250,2,FALSE),"")</f>
        <v/>
      </c>
      <c r="C524" s="61">
        <f>IFERROR(VLOOKUP(A524,Clientes_PDV!$A$2:$J$250,3,FALSE),"")</f>
        <v/>
      </c>
      <c r="D524" s="61">
        <f>IFERROR(VLOOKUP(A524,Clientes_PDV!$A$2:$J$250,4,FALSE),"")</f>
        <v/>
      </c>
      <c r="E524" s="52" t="n"/>
      <c r="F524" s="61">
        <f>IFERROR(VLOOKUP(E524,Maestro_SKU!$A$2:$P$500,2,FALSE),"")</f>
        <v/>
      </c>
      <c r="G524" s="52" t="n"/>
      <c r="H524" s="61">
        <f>IF(OR(G524="",E524=""),"",G524*IFERROR(VLOOKUP(E524,Maestro_SKU!$A$2:$P$500,12,FALSE),1))</f>
        <v/>
      </c>
      <c r="I524" s="53" t="n"/>
      <c r="J524" s="61">
        <f>IF(A524="","",IF(H524&lt;=Inicio!$B$16,"Crítico",IF(H524&lt;=Inicio!$B$17,"Observar","OK")))</f>
        <v/>
      </c>
      <c r="K524" s="52" t="n"/>
    </row>
    <row r="525">
      <c r="A525" s="52" t="n"/>
      <c r="B525" s="61">
        <f>IFERROR(VLOOKUP(A525,Clientes_PDV!$A$2:$J$250,2,FALSE),"")</f>
        <v/>
      </c>
      <c r="C525" s="61">
        <f>IFERROR(VLOOKUP(A525,Clientes_PDV!$A$2:$J$250,3,FALSE),"")</f>
        <v/>
      </c>
      <c r="D525" s="61">
        <f>IFERROR(VLOOKUP(A525,Clientes_PDV!$A$2:$J$250,4,FALSE),"")</f>
        <v/>
      </c>
      <c r="E525" s="52" t="n"/>
      <c r="F525" s="61">
        <f>IFERROR(VLOOKUP(E525,Maestro_SKU!$A$2:$P$500,2,FALSE),"")</f>
        <v/>
      </c>
      <c r="G525" s="52" t="n"/>
      <c r="H525" s="61">
        <f>IF(OR(G525="",E525=""),"",G525*IFERROR(VLOOKUP(E525,Maestro_SKU!$A$2:$P$500,12,FALSE),1))</f>
        <v/>
      </c>
      <c r="I525" s="53" t="n"/>
      <c r="J525" s="61">
        <f>IF(A525="","",IF(H525&lt;=Inicio!$B$16,"Crítico",IF(H525&lt;=Inicio!$B$17,"Observar","OK")))</f>
        <v/>
      </c>
      <c r="K525" s="52" t="n"/>
    </row>
    <row r="526">
      <c r="A526" s="52" t="n"/>
      <c r="B526" s="61">
        <f>IFERROR(VLOOKUP(A526,Clientes_PDV!$A$2:$J$250,2,FALSE),"")</f>
        <v/>
      </c>
      <c r="C526" s="61">
        <f>IFERROR(VLOOKUP(A526,Clientes_PDV!$A$2:$J$250,3,FALSE),"")</f>
        <v/>
      </c>
      <c r="D526" s="61">
        <f>IFERROR(VLOOKUP(A526,Clientes_PDV!$A$2:$J$250,4,FALSE),"")</f>
        <v/>
      </c>
      <c r="E526" s="52" t="n"/>
      <c r="F526" s="61">
        <f>IFERROR(VLOOKUP(E526,Maestro_SKU!$A$2:$P$500,2,FALSE),"")</f>
        <v/>
      </c>
      <c r="G526" s="52" t="n"/>
      <c r="H526" s="61">
        <f>IF(OR(G526="",E526=""),"",G526*IFERROR(VLOOKUP(E526,Maestro_SKU!$A$2:$P$500,12,FALSE),1))</f>
        <v/>
      </c>
      <c r="I526" s="53" t="n"/>
      <c r="J526" s="61">
        <f>IF(A526="","",IF(H526&lt;=Inicio!$B$16,"Crítico",IF(H526&lt;=Inicio!$B$17,"Observar","OK")))</f>
        <v/>
      </c>
      <c r="K526" s="52" t="n"/>
    </row>
    <row r="527">
      <c r="A527" s="52" t="n"/>
      <c r="B527" s="61">
        <f>IFERROR(VLOOKUP(A527,Clientes_PDV!$A$2:$J$250,2,FALSE),"")</f>
        <v/>
      </c>
      <c r="C527" s="61">
        <f>IFERROR(VLOOKUP(A527,Clientes_PDV!$A$2:$J$250,3,FALSE),"")</f>
        <v/>
      </c>
      <c r="D527" s="61">
        <f>IFERROR(VLOOKUP(A527,Clientes_PDV!$A$2:$J$250,4,FALSE),"")</f>
        <v/>
      </c>
      <c r="E527" s="52" t="n"/>
      <c r="F527" s="61">
        <f>IFERROR(VLOOKUP(E527,Maestro_SKU!$A$2:$P$500,2,FALSE),"")</f>
        <v/>
      </c>
      <c r="G527" s="52" t="n"/>
      <c r="H527" s="61">
        <f>IF(OR(G527="",E527=""),"",G527*IFERROR(VLOOKUP(E527,Maestro_SKU!$A$2:$P$500,12,FALSE),1))</f>
        <v/>
      </c>
      <c r="I527" s="53" t="n"/>
      <c r="J527" s="61">
        <f>IF(A527="","",IF(H527&lt;=Inicio!$B$16,"Crítico",IF(H527&lt;=Inicio!$B$17,"Observar","OK")))</f>
        <v/>
      </c>
      <c r="K527" s="52" t="n"/>
    </row>
    <row r="528">
      <c r="A528" s="52" t="n"/>
      <c r="B528" s="61">
        <f>IFERROR(VLOOKUP(A528,Clientes_PDV!$A$2:$J$250,2,FALSE),"")</f>
        <v/>
      </c>
      <c r="C528" s="61">
        <f>IFERROR(VLOOKUP(A528,Clientes_PDV!$A$2:$J$250,3,FALSE),"")</f>
        <v/>
      </c>
      <c r="D528" s="61">
        <f>IFERROR(VLOOKUP(A528,Clientes_PDV!$A$2:$J$250,4,FALSE),"")</f>
        <v/>
      </c>
      <c r="E528" s="52" t="n"/>
      <c r="F528" s="61">
        <f>IFERROR(VLOOKUP(E528,Maestro_SKU!$A$2:$P$500,2,FALSE),"")</f>
        <v/>
      </c>
      <c r="G528" s="52" t="n"/>
      <c r="H528" s="61">
        <f>IF(OR(G528="",E528=""),"",G528*IFERROR(VLOOKUP(E528,Maestro_SKU!$A$2:$P$500,12,FALSE),1))</f>
        <v/>
      </c>
      <c r="I528" s="53" t="n"/>
      <c r="J528" s="61">
        <f>IF(A528="","",IF(H528&lt;=Inicio!$B$16,"Crítico",IF(H528&lt;=Inicio!$B$17,"Observar","OK")))</f>
        <v/>
      </c>
      <c r="K528" s="52" t="n"/>
    </row>
    <row r="529">
      <c r="A529" s="52" t="n"/>
      <c r="B529" s="61">
        <f>IFERROR(VLOOKUP(A529,Clientes_PDV!$A$2:$J$250,2,FALSE),"")</f>
        <v/>
      </c>
      <c r="C529" s="61">
        <f>IFERROR(VLOOKUP(A529,Clientes_PDV!$A$2:$J$250,3,FALSE),"")</f>
        <v/>
      </c>
      <c r="D529" s="61">
        <f>IFERROR(VLOOKUP(A529,Clientes_PDV!$A$2:$J$250,4,FALSE),"")</f>
        <v/>
      </c>
      <c r="E529" s="52" t="n"/>
      <c r="F529" s="61">
        <f>IFERROR(VLOOKUP(E529,Maestro_SKU!$A$2:$P$500,2,FALSE),"")</f>
        <v/>
      </c>
      <c r="G529" s="52" t="n"/>
      <c r="H529" s="61">
        <f>IF(OR(G529="",E529=""),"",G529*IFERROR(VLOOKUP(E529,Maestro_SKU!$A$2:$P$500,12,FALSE),1))</f>
        <v/>
      </c>
      <c r="I529" s="53" t="n"/>
      <c r="J529" s="61">
        <f>IF(A529="","",IF(H529&lt;=Inicio!$B$16,"Crítico",IF(H529&lt;=Inicio!$B$17,"Observar","OK")))</f>
        <v/>
      </c>
      <c r="K529" s="52" t="n"/>
    </row>
    <row r="530">
      <c r="A530" s="52" t="n"/>
      <c r="B530" s="61">
        <f>IFERROR(VLOOKUP(A530,Clientes_PDV!$A$2:$J$250,2,FALSE),"")</f>
        <v/>
      </c>
      <c r="C530" s="61">
        <f>IFERROR(VLOOKUP(A530,Clientes_PDV!$A$2:$J$250,3,FALSE),"")</f>
        <v/>
      </c>
      <c r="D530" s="61">
        <f>IFERROR(VLOOKUP(A530,Clientes_PDV!$A$2:$J$250,4,FALSE),"")</f>
        <v/>
      </c>
      <c r="E530" s="52" t="n"/>
      <c r="F530" s="61">
        <f>IFERROR(VLOOKUP(E530,Maestro_SKU!$A$2:$P$500,2,FALSE),"")</f>
        <v/>
      </c>
      <c r="G530" s="52" t="n"/>
      <c r="H530" s="61">
        <f>IF(OR(G530="",E530=""),"",G530*IFERROR(VLOOKUP(E530,Maestro_SKU!$A$2:$P$500,12,FALSE),1))</f>
        <v/>
      </c>
      <c r="I530" s="53" t="n"/>
      <c r="J530" s="61">
        <f>IF(A530="","",IF(H530&lt;=Inicio!$B$16,"Crítico",IF(H530&lt;=Inicio!$B$17,"Observar","OK")))</f>
        <v/>
      </c>
      <c r="K530" s="52" t="n"/>
    </row>
    <row r="531">
      <c r="A531" s="52" t="n"/>
      <c r="B531" s="61">
        <f>IFERROR(VLOOKUP(A531,Clientes_PDV!$A$2:$J$250,2,FALSE),"")</f>
        <v/>
      </c>
      <c r="C531" s="61">
        <f>IFERROR(VLOOKUP(A531,Clientes_PDV!$A$2:$J$250,3,FALSE),"")</f>
        <v/>
      </c>
      <c r="D531" s="61">
        <f>IFERROR(VLOOKUP(A531,Clientes_PDV!$A$2:$J$250,4,FALSE),"")</f>
        <v/>
      </c>
      <c r="E531" s="52" t="n"/>
      <c r="F531" s="61">
        <f>IFERROR(VLOOKUP(E531,Maestro_SKU!$A$2:$P$500,2,FALSE),"")</f>
        <v/>
      </c>
      <c r="G531" s="52" t="n"/>
      <c r="H531" s="61">
        <f>IF(OR(G531="",E531=""),"",G531*IFERROR(VLOOKUP(E531,Maestro_SKU!$A$2:$P$500,12,FALSE),1))</f>
        <v/>
      </c>
      <c r="I531" s="53" t="n"/>
      <c r="J531" s="61">
        <f>IF(A531="","",IF(H531&lt;=Inicio!$B$16,"Crítico",IF(H531&lt;=Inicio!$B$17,"Observar","OK")))</f>
        <v/>
      </c>
      <c r="K531" s="52" t="n"/>
    </row>
    <row r="532">
      <c r="A532" s="52" t="n"/>
      <c r="B532" s="61">
        <f>IFERROR(VLOOKUP(A532,Clientes_PDV!$A$2:$J$250,2,FALSE),"")</f>
        <v/>
      </c>
      <c r="C532" s="61">
        <f>IFERROR(VLOOKUP(A532,Clientes_PDV!$A$2:$J$250,3,FALSE),"")</f>
        <v/>
      </c>
      <c r="D532" s="61">
        <f>IFERROR(VLOOKUP(A532,Clientes_PDV!$A$2:$J$250,4,FALSE),"")</f>
        <v/>
      </c>
      <c r="E532" s="52" t="n"/>
      <c r="F532" s="61">
        <f>IFERROR(VLOOKUP(E532,Maestro_SKU!$A$2:$P$500,2,FALSE),"")</f>
        <v/>
      </c>
      <c r="G532" s="52" t="n"/>
      <c r="H532" s="61">
        <f>IF(OR(G532="",E532=""),"",G532*IFERROR(VLOOKUP(E532,Maestro_SKU!$A$2:$P$500,12,FALSE),1))</f>
        <v/>
      </c>
      <c r="I532" s="53" t="n"/>
      <c r="J532" s="61">
        <f>IF(A532="","",IF(H532&lt;=Inicio!$B$16,"Crítico",IF(H532&lt;=Inicio!$B$17,"Observar","OK")))</f>
        <v/>
      </c>
      <c r="K532" s="52" t="n"/>
    </row>
    <row r="533">
      <c r="A533" s="52" t="n"/>
      <c r="B533" s="61">
        <f>IFERROR(VLOOKUP(A533,Clientes_PDV!$A$2:$J$250,2,FALSE),"")</f>
        <v/>
      </c>
      <c r="C533" s="61">
        <f>IFERROR(VLOOKUP(A533,Clientes_PDV!$A$2:$J$250,3,FALSE),"")</f>
        <v/>
      </c>
      <c r="D533" s="61">
        <f>IFERROR(VLOOKUP(A533,Clientes_PDV!$A$2:$J$250,4,FALSE),"")</f>
        <v/>
      </c>
      <c r="E533" s="52" t="n"/>
      <c r="F533" s="61">
        <f>IFERROR(VLOOKUP(E533,Maestro_SKU!$A$2:$P$500,2,FALSE),"")</f>
        <v/>
      </c>
      <c r="G533" s="52" t="n"/>
      <c r="H533" s="61">
        <f>IF(OR(G533="",E533=""),"",G533*IFERROR(VLOOKUP(E533,Maestro_SKU!$A$2:$P$500,12,FALSE),1))</f>
        <v/>
      </c>
      <c r="I533" s="53" t="n"/>
      <c r="J533" s="61">
        <f>IF(A533="","",IF(H533&lt;=Inicio!$B$16,"Crítico",IF(H533&lt;=Inicio!$B$17,"Observar","OK")))</f>
        <v/>
      </c>
      <c r="K533" s="52" t="n"/>
    </row>
    <row r="534">
      <c r="A534" s="52" t="n"/>
      <c r="B534" s="61">
        <f>IFERROR(VLOOKUP(A534,Clientes_PDV!$A$2:$J$250,2,FALSE),"")</f>
        <v/>
      </c>
      <c r="C534" s="61">
        <f>IFERROR(VLOOKUP(A534,Clientes_PDV!$A$2:$J$250,3,FALSE),"")</f>
        <v/>
      </c>
      <c r="D534" s="61">
        <f>IFERROR(VLOOKUP(A534,Clientes_PDV!$A$2:$J$250,4,FALSE),"")</f>
        <v/>
      </c>
      <c r="E534" s="52" t="n"/>
      <c r="F534" s="61">
        <f>IFERROR(VLOOKUP(E534,Maestro_SKU!$A$2:$P$500,2,FALSE),"")</f>
        <v/>
      </c>
      <c r="G534" s="52" t="n"/>
      <c r="H534" s="61">
        <f>IF(OR(G534="",E534=""),"",G534*IFERROR(VLOOKUP(E534,Maestro_SKU!$A$2:$P$500,12,FALSE),1))</f>
        <v/>
      </c>
      <c r="I534" s="53" t="n"/>
      <c r="J534" s="61">
        <f>IF(A534="","",IF(H534&lt;=Inicio!$B$16,"Crítico",IF(H534&lt;=Inicio!$B$17,"Observar","OK")))</f>
        <v/>
      </c>
      <c r="K534" s="52" t="n"/>
    </row>
    <row r="535">
      <c r="A535" s="52" t="n"/>
      <c r="B535" s="61">
        <f>IFERROR(VLOOKUP(A535,Clientes_PDV!$A$2:$J$250,2,FALSE),"")</f>
        <v/>
      </c>
      <c r="C535" s="61">
        <f>IFERROR(VLOOKUP(A535,Clientes_PDV!$A$2:$J$250,3,FALSE),"")</f>
        <v/>
      </c>
      <c r="D535" s="61">
        <f>IFERROR(VLOOKUP(A535,Clientes_PDV!$A$2:$J$250,4,FALSE),"")</f>
        <v/>
      </c>
      <c r="E535" s="52" t="n"/>
      <c r="F535" s="61">
        <f>IFERROR(VLOOKUP(E535,Maestro_SKU!$A$2:$P$500,2,FALSE),"")</f>
        <v/>
      </c>
      <c r="G535" s="52" t="n"/>
      <c r="H535" s="61">
        <f>IF(OR(G535="",E535=""),"",G535*IFERROR(VLOOKUP(E535,Maestro_SKU!$A$2:$P$500,12,FALSE),1))</f>
        <v/>
      </c>
      <c r="I535" s="53" t="n"/>
      <c r="J535" s="61">
        <f>IF(A535="","",IF(H535&lt;=Inicio!$B$16,"Crítico",IF(H535&lt;=Inicio!$B$17,"Observar","OK")))</f>
        <v/>
      </c>
      <c r="K535" s="52" t="n"/>
    </row>
    <row r="536">
      <c r="A536" s="52" t="n"/>
      <c r="B536" s="61">
        <f>IFERROR(VLOOKUP(A536,Clientes_PDV!$A$2:$J$250,2,FALSE),"")</f>
        <v/>
      </c>
      <c r="C536" s="61">
        <f>IFERROR(VLOOKUP(A536,Clientes_PDV!$A$2:$J$250,3,FALSE),"")</f>
        <v/>
      </c>
      <c r="D536" s="61">
        <f>IFERROR(VLOOKUP(A536,Clientes_PDV!$A$2:$J$250,4,FALSE),"")</f>
        <v/>
      </c>
      <c r="E536" s="52" t="n"/>
      <c r="F536" s="61">
        <f>IFERROR(VLOOKUP(E536,Maestro_SKU!$A$2:$P$500,2,FALSE),"")</f>
        <v/>
      </c>
      <c r="G536" s="52" t="n"/>
      <c r="H536" s="61">
        <f>IF(OR(G536="",E536=""),"",G536*IFERROR(VLOOKUP(E536,Maestro_SKU!$A$2:$P$500,12,FALSE),1))</f>
        <v/>
      </c>
      <c r="I536" s="53" t="n"/>
      <c r="J536" s="61">
        <f>IF(A536="","",IF(H536&lt;=Inicio!$B$16,"Crítico",IF(H536&lt;=Inicio!$B$17,"Observar","OK")))</f>
        <v/>
      </c>
      <c r="K536" s="52" t="n"/>
    </row>
    <row r="537">
      <c r="A537" s="52" t="n"/>
      <c r="B537" s="61">
        <f>IFERROR(VLOOKUP(A537,Clientes_PDV!$A$2:$J$250,2,FALSE),"")</f>
        <v/>
      </c>
      <c r="C537" s="61">
        <f>IFERROR(VLOOKUP(A537,Clientes_PDV!$A$2:$J$250,3,FALSE),"")</f>
        <v/>
      </c>
      <c r="D537" s="61">
        <f>IFERROR(VLOOKUP(A537,Clientes_PDV!$A$2:$J$250,4,FALSE),"")</f>
        <v/>
      </c>
      <c r="E537" s="52" t="n"/>
      <c r="F537" s="61">
        <f>IFERROR(VLOOKUP(E537,Maestro_SKU!$A$2:$P$500,2,FALSE),"")</f>
        <v/>
      </c>
      <c r="G537" s="52" t="n"/>
      <c r="H537" s="61">
        <f>IF(OR(G537="",E537=""),"",G537*IFERROR(VLOOKUP(E537,Maestro_SKU!$A$2:$P$500,12,FALSE),1))</f>
        <v/>
      </c>
      <c r="I537" s="53" t="n"/>
      <c r="J537" s="61">
        <f>IF(A537="","",IF(H537&lt;=Inicio!$B$16,"Crítico",IF(H537&lt;=Inicio!$B$17,"Observar","OK")))</f>
        <v/>
      </c>
      <c r="K537" s="52" t="n"/>
    </row>
    <row r="538">
      <c r="A538" s="52" t="n"/>
      <c r="B538" s="61">
        <f>IFERROR(VLOOKUP(A538,Clientes_PDV!$A$2:$J$250,2,FALSE),"")</f>
        <v/>
      </c>
      <c r="C538" s="61">
        <f>IFERROR(VLOOKUP(A538,Clientes_PDV!$A$2:$J$250,3,FALSE),"")</f>
        <v/>
      </c>
      <c r="D538" s="61">
        <f>IFERROR(VLOOKUP(A538,Clientes_PDV!$A$2:$J$250,4,FALSE),"")</f>
        <v/>
      </c>
      <c r="E538" s="52" t="n"/>
      <c r="F538" s="61">
        <f>IFERROR(VLOOKUP(E538,Maestro_SKU!$A$2:$P$500,2,FALSE),"")</f>
        <v/>
      </c>
      <c r="G538" s="52" t="n"/>
      <c r="H538" s="61">
        <f>IF(OR(G538="",E538=""),"",G538*IFERROR(VLOOKUP(E538,Maestro_SKU!$A$2:$P$500,12,FALSE),1))</f>
        <v/>
      </c>
      <c r="I538" s="53" t="n"/>
      <c r="J538" s="61">
        <f>IF(A538="","",IF(H538&lt;=Inicio!$B$16,"Crítico",IF(H538&lt;=Inicio!$B$17,"Observar","OK")))</f>
        <v/>
      </c>
      <c r="K538" s="52" t="n"/>
    </row>
    <row r="539">
      <c r="A539" s="52" t="n"/>
      <c r="B539" s="61">
        <f>IFERROR(VLOOKUP(A539,Clientes_PDV!$A$2:$J$250,2,FALSE),"")</f>
        <v/>
      </c>
      <c r="C539" s="61">
        <f>IFERROR(VLOOKUP(A539,Clientes_PDV!$A$2:$J$250,3,FALSE),"")</f>
        <v/>
      </c>
      <c r="D539" s="61">
        <f>IFERROR(VLOOKUP(A539,Clientes_PDV!$A$2:$J$250,4,FALSE),"")</f>
        <v/>
      </c>
      <c r="E539" s="52" t="n"/>
      <c r="F539" s="61">
        <f>IFERROR(VLOOKUP(E539,Maestro_SKU!$A$2:$P$500,2,FALSE),"")</f>
        <v/>
      </c>
      <c r="G539" s="52" t="n"/>
      <c r="H539" s="61">
        <f>IF(OR(G539="",E539=""),"",G539*IFERROR(VLOOKUP(E539,Maestro_SKU!$A$2:$P$500,12,FALSE),1))</f>
        <v/>
      </c>
      <c r="I539" s="53" t="n"/>
      <c r="J539" s="61">
        <f>IF(A539="","",IF(H539&lt;=Inicio!$B$16,"Crítico",IF(H539&lt;=Inicio!$B$17,"Observar","OK")))</f>
        <v/>
      </c>
      <c r="K539" s="52" t="n"/>
    </row>
    <row r="540">
      <c r="A540" s="52" t="n"/>
      <c r="B540" s="61">
        <f>IFERROR(VLOOKUP(A540,Clientes_PDV!$A$2:$J$250,2,FALSE),"")</f>
        <v/>
      </c>
      <c r="C540" s="61">
        <f>IFERROR(VLOOKUP(A540,Clientes_PDV!$A$2:$J$250,3,FALSE),"")</f>
        <v/>
      </c>
      <c r="D540" s="61">
        <f>IFERROR(VLOOKUP(A540,Clientes_PDV!$A$2:$J$250,4,FALSE),"")</f>
        <v/>
      </c>
      <c r="E540" s="52" t="n"/>
      <c r="F540" s="61">
        <f>IFERROR(VLOOKUP(E540,Maestro_SKU!$A$2:$P$500,2,FALSE),"")</f>
        <v/>
      </c>
      <c r="G540" s="52" t="n"/>
      <c r="H540" s="61">
        <f>IF(OR(G540="",E540=""),"",G540*IFERROR(VLOOKUP(E540,Maestro_SKU!$A$2:$P$500,12,FALSE),1))</f>
        <v/>
      </c>
      <c r="I540" s="53" t="n"/>
      <c r="J540" s="61">
        <f>IF(A540="","",IF(H540&lt;=Inicio!$B$16,"Crítico",IF(H540&lt;=Inicio!$B$17,"Observar","OK")))</f>
        <v/>
      </c>
      <c r="K540" s="52" t="n"/>
    </row>
    <row r="541">
      <c r="A541" s="52" t="n"/>
      <c r="B541" s="61">
        <f>IFERROR(VLOOKUP(A541,Clientes_PDV!$A$2:$J$250,2,FALSE),"")</f>
        <v/>
      </c>
      <c r="C541" s="61">
        <f>IFERROR(VLOOKUP(A541,Clientes_PDV!$A$2:$J$250,3,FALSE),"")</f>
        <v/>
      </c>
      <c r="D541" s="61">
        <f>IFERROR(VLOOKUP(A541,Clientes_PDV!$A$2:$J$250,4,FALSE),"")</f>
        <v/>
      </c>
      <c r="E541" s="52" t="n"/>
      <c r="F541" s="61">
        <f>IFERROR(VLOOKUP(E541,Maestro_SKU!$A$2:$P$500,2,FALSE),"")</f>
        <v/>
      </c>
      <c r="G541" s="52" t="n"/>
      <c r="H541" s="61">
        <f>IF(OR(G541="",E541=""),"",G541*IFERROR(VLOOKUP(E541,Maestro_SKU!$A$2:$P$500,12,FALSE),1))</f>
        <v/>
      </c>
      <c r="I541" s="53" t="n"/>
      <c r="J541" s="61">
        <f>IF(A541="","",IF(H541&lt;=Inicio!$B$16,"Crítico",IF(H541&lt;=Inicio!$B$17,"Observar","OK")))</f>
        <v/>
      </c>
      <c r="K541" s="52" t="n"/>
    </row>
    <row r="542">
      <c r="A542" s="52" t="n"/>
      <c r="B542" s="61">
        <f>IFERROR(VLOOKUP(A542,Clientes_PDV!$A$2:$J$250,2,FALSE),"")</f>
        <v/>
      </c>
      <c r="C542" s="61">
        <f>IFERROR(VLOOKUP(A542,Clientes_PDV!$A$2:$J$250,3,FALSE),"")</f>
        <v/>
      </c>
      <c r="D542" s="61">
        <f>IFERROR(VLOOKUP(A542,Clientes_PDV!$A$2:$J$250,4,FALSE),"")</f>
        <v/>
      </c>
      <c r="E542" s="52" t="n"/>
      <c r="F542" s="61">
        <f>IFERROR(VLOOKUP(E542,Maestro_SKU!$A$2:$P$500,2,FALSE),"")</f>
        <v/>
      </c>
      <c r="G542" s="52" t="n"/>
      <c r="H542" s="61">
        <f>IF(OR(G542="",E542=""),"",G542*IFERROR(VLOOKUP(E542,Maestro_SKU!$A$2:$P$500,12,FALSE),1))</f>
        <v/>
      </c>
      <c r="I542" s="53" t="n"/>
      <c r="J542" s="61">
        <f>IF(A542="","",IF(H542&lt;=Inicio!$B$16,"Crítico",IF(H542&lt;=Inicio!$B$17,"Observar","OK")))</f>
        <v/>
      </c>
      <c r="K542" s="52" t="n"/>
    </row>
    <row r="543">
      <c r="A543" s="52" t="n"/>
      <c r="B543" s="61">
        <f>IFERROR(VLOOKUP(A543,Clientes_PDV!$A$2:$J$250,2,FALSE),"")</f>
        <v/>
      </c>
      <c r="C543" s="61">
        <f>IFERROR(VLOOKUP(A543,Clientes_PDV!$A$2:$J$250,3,FALSE),"")</f>
        <v/>
      </c>
      <c r="D543" s="61">
        <f>IFERROR(VLOOKUP(A543,Clientes_PDV!$A$2:$J$250,4,FALSE),"")</f>
        <v/>
      </c>
      <c r="E543" s="52" t="n"/>
      <c r="F543" s="61">
        <f>IFERROR(VLOOKUP(E543,Maestro_SKU!$A$2:$P$500,2,FALSE),"")</f>
        <v/>
      </c>
      <c r="G543" s="52" t="n"/>
      <c r="H543" s="61">
        <f>IF(OR(G543="",E543=""),"",G543*IFERROR(VLOOKUP(E543,Maestro_SKU!$A$2:$P$500,12,FALSE),1))</f>
        <v/>
      </c>
      <c r="I543" s="53" t="n"/>
      <c r="J543" s="61">
        <f>IF(A543="","",IF(H543&lt;=Inicio!$B$16,"Crítico",IF(H543&lt;=Inicio!$B$17,"Observar","OK")))</f>
        <v/>
      </c>
      <c r="K543" s="52" t="n"/>
    </row>
    <row r="544">
      <c r="A544" s="52" t="n"/>
      <c r="B544" s="61">
        <f>IFERROR(VLOOKUP(A544,Clientes_PDV!$A$2:$J$250,2,FALSE),"")</f>
        <v/>
      </c>
      <c r="C544" s="61">
        <f>IFERROR(VLOOKUP(A544,Clientes_PDV!$A$2:$J$250,3,FALSE),"")</f>
        <v/>
      </c>
      <c r="D544" s="61">
        <f>IFERROR(VLOOKUP(A544,Clientes_PDV!$A$2:$J$250,4,FALSE),"")</f>
        <v/>
      </c>
      <c r="E544" s="52" t="n"/>
      <c r="F544" s="61">
        <f>IFERROR(VLOOKUP(E544,Maestro_SKU!$A$2:$P$500,2,FALSE),"")</f>
        <v/>
      </c>
      <c r="G544" s="52" t="n"/>
      <c r="H544" s="61">
        <f>IF(OR(G544="",E544=""),"",G544*IFERROR(VLOOKUP(E544,Maestro_SKU!$A$2:$P$500,12,FALSE),1))</f>
        <v/>
      </c>
      <c r="I544" s="53" t="n"/>
      <c r="J544" s="61">
        <f>IF(A544="","",IF(H544&lt;=Inicio!$B$16,"Crítico",IF(H544&lt;=Inicio!$B$17,"Observar","OK")))</f>
        <v/>
      </c>
      <c r="K544" s="52" t="n"/>
    </row>
    <row r="545">
      <c r="A545" s="52" t="n"/>
      <c r="B545" s="61">
        <f>IFERROR(VLOOKUP(A545,Clientes_PDV!$A$2:$J$250,2,FALSE),"")</f>
        <v/>
      </c>
      <c r="C545" s="61">
        <f>IFERROR(VLOOKUP(A545,Clientes_PDV!$A$2:$J$250,3,FALSE),"")</f>
        <v/>
      </c>
      <c r="D545" s="61">
        <f>IFERROR(VLOOKUP(A545,Clientes_PDV!$A$2:$J$250,4,FALSE),"")</f>
        <v/>
      </c>
      <c r="E545" s="52" t="n"/>
      <c r="F545" s="61">
        <f>IFERROR(VLOOKUP(E545,Maestro_SKU!$A$2:$P$500,2,FALSE),"")</f>
        <v/>
      </c>
      <c r="G545" s="52" t="n"/>
      <c r="H545" s="61">
        <f>IF(OR(G545="",E545=""),"",G545*IFERROR(VLOOKUP(E545,Maestro_SKU!$A$2:$P$500,12,FALSE),1))</f>
        <v/>
      </c>
      <c r="I545" s="53" t="n"/>
      <c r="J545" s="61">
        <f>IF(A545="","",IF(H545&lt;=Inicio!$B$16,"Crítico",IF(H545&lt;=Inicio!$B$17,"Observar","OK")))</f>
        <v/>
      </c>
      <c r="K545" s="52" t="n"/>
    </row>
    <row r="546">
      <c r="A546" s="52" t="n"/>
      <c r="B546" s="61">
        <f>IFERROR(VLOOKUP(A546,Clientes_PDV!$A$2:$J$250,2,FALSE),"")</f>
        <v/>
      </c>
      <c r="C546" s="61">
        <f>IFERROR(VLOOKUP(A546,Clientes_PDV!$A$2:$J$250,3,FALSE),"")</f>
        <v/>
      </c>
      <c r="D546" s="61">
        <f>IFERROR(VLOOKUP(A546,Clientes_PDV!$A$2:$J$250,4,FALSE),"")</f>
        <v/>
      </c>
      <c r="E546" s="52" t="n"/>
      <c r="F546" s="61">
        <f>IFERROR(VLOOKUP(E546,Maestro_SKU!$A$2:$P$500,2,FALSE),"")</f>
        <v/>
      </c>
      <c r="G546" s="52" t="n"/>
      <c r="H546" s="61">
        <f>IF(OR(G546="",E546=""),"",G546*IFERROR(VLOOKUP(E546,Maestro_SKU!$A$2:$P$500,12,FALSE),1))</f>
        <v/>
      </c>
      <c r="I546" s="53" t="n"/>
      <c r="J546" s="61">
        <f>IF(A546="","",IF(H546&lt;=Inicio!$B$16,"Crítico",IF(H546&lt;=Inicio!$B$17,"Observar","OK")))</f>
        <v/>
      </c>
      <c r="K546" s="52" t="n"/>
    </row>
    <row r="547">
      <c r="A547" s="52" t="n"/>
      <c r="B547" s="61">
        <f>IFERROR(VLOOKUP(A547,Clientes_PDV!$A$2:$J$250,2,FALSE),"")</f>
        <v/>
      </c>
      <c r="C547" s="61">
        <f>IFERROR(VLOOKUP(A547,Clientes_PDV!$A$2:$J$250,3,FALSE),"")</f>
        <v/>
      </c>
      <c r="D547" s="61">
        <f>IFERROR(VLOOKUP(A547,Clientes_PDV!$A$2:$J$250,4,FALSE),"")</f>
        <v/>
      </c>
      <c r="E547" s="52" t="n"/>
      <c r="F547" s="61">
        <f>IFERROR(VLOOKUP(E547,Maestro_SKU!$A$2:$P$500,2,FALSE),"")</f>
        <v/>
      </c>
      <c r="G547" s="52" t="n"/>
      <c r="H547" s="61">
        <f>IF(OR(G547="",E547=""),"",G547*IFERROR(VLOOKUP(E547,Maestro_SKU!$A$2:$P$500,12,FALSE),1))</f>
        <v/>
      </c>
      <c r="I547" s="53" t="n"/>
      <c r="J547" s="61">
        <f>IF(A547="","",IF(H547&lt;=Inicio!$B$16,"Crítico",IF(H547&lt;=Inicio!$B$17,"Observar","OK")))</f>
        <v/>
      </c>
      <c r="K547" s="52" t="n"/>
    </row>
    <row r="548">
      <c r="A548" s="52" t="n"/>
      <c r="B548" s="61">
        <f>IFERROR(VLOOKUP(A548,Clientes_PDV!$A$2:$J$250,2,FALSE),"")</f>
        <v/>
      </c>
      <c r="C548" s="61">
        <f>IFERROR(VLOOKUP(A548,Clientes_PDV!$A$2:$J$250,3,FALSE),"")</f>
        <v/>
      </c>
      <c r="D548" s="61">
        <f>IFERROR(VLOOKUP(A548,Clientes_PDV!$A$2:$J$250,4,FALSE),"")</f>
        <v/>
      </c>
      <c r="E548" s="52" t="n"/>
      <c r="F548" s="61">
        <f>IFERROR(VLOOKUP(E548,Maestro_SKU!$A$2:$P$500,2,FALSE),"")</f>
        <v/>
      </c>
      <c r="G548" s="52" t="n"/>
      <c r="H548" s="61">
        <f>IF(OR(G548="",E548=""),"",G548*IFERROR(VLOOKUP(E548,Maestro_SKU!$A$2:$P$500,12,FALSE),1))</f>
        <v/>
      </c>
      <c r="I548" s="53" t="n"/>
      <c r="J548" s="61">
        <f>IF(A548="","",IF(H548&lt;=Inicio!$B$16,"Crítico",IF(H548&lt;=Inicio!$B$17,"Observar","OK")))</f>
        <v/>
      </c>
      <c r="K548" s="52" t="n"/>
    </row>
    <row r="549">
      <c r="A549" s="52" t="n"/>
      <c r="B549" s="61">
        <f>IFERROR(VLOOKUP(A549,Clientes_PDV!$A$2:$J$250,2,FALSE),"")</f>
        <v/>
      </c>
      <c r="C549" s="61">
        <f>IFERROR(VLOOKUP(A549,Clientes_PDV!$A$2:$J$250,3,FALSE),"")</f>
        <v/>
      </c>
      <c r="D549" s="61">
        <f>IFERROR(VLOOKUP(A549,Clientes_PDV!$A$2:$J$250,4,FALSE),"")</f>
        <v/>
      </c>
      <c r="E549" s="52" t="n"/>
      <c r="F549" s="61">
        <f>IFERROR(VLOOKUP(E549,Maestro_SKU!$A$2:$P$500,2,FALSE),"")</f>
        <v/>
      </c>
      <c r="G549" s="52" t="n"/>
      <c r="H549" s="61">
        <f>IF(OR(G549="",E549=""),"",G549*IFERROR(VLOOKUP(E549,Maestro_SKU!$A$2:$P$500,12,FALSE),1))</f>
        <v/>
      </c>
      <c r="I549" s="53" t="n"/>
      <c r="J549" s="61">
        <f>IF(A549="","",IF(H549&lt;=Inicio!$B$16,"Crítico",IF(H549&lt;=Inicio!$B$17,"Observar","OK")))</f>
        <v/>
      </c>
      <c r="K549" s="52" t="n"/>
    </row>
    <row r="550">
      <c r="A550" s="52" t="n"/>
      <c r="B550" s="61">
        <f>IFERROR(VLOOKUP(A550,Clientes_PDV!$A$2:$J$250,2,FALSE),"")</f>
        <v/>
      </c>
      <c r="C550" s="61">
        <f>IFERROR(VLOOKUP(A550,Clientes_PDV!$A$2:$J$250,3,FALSE),"")</f>
        <v/>
      </c>
      <c r="D550" s="61">
        <f>IFERROR(VLOOKUP(A550,Clientes_PDV!$A$2:$J$250,4,FALSE),"")</f>
        <v/>
      </c>
      <c r="E550" s="52" t="n"/>
      <c r="F550" s="61">
        <f>IFERROR(VLOOKUP(E550,Maestro_SKU!$A$2:$P$500,2,FALSE),"")</f>
        <v/>
      </c>
      <c r="G550" s="52" t="n"/>
      <c r="H550" s="61">
        <f>IF(OR(G550="",E550=""),"",G550*IFERROR(VLOOKUP(E550,Maestro_SKU!$A$2:$P$500,12,FALSE),1))</f>
        <v/>
      </c>
      <c r="I550" s="53" t="n"/>
      <c r="J550" s="61">
        <f>IF(A550="","",IF(H550&lt;=Inicio!$B$16,"Crítico",IF(H550&lt;=Inicio!$B$17,"Observar","OK")))</f>
        <v/>
      </c>
      <c r="K550" s="52" t="n"/>
    </row>
    <row r="551">
      <c r="A551" s="52" t="n"/>
      <c r="B551" s="61">
        <f>IFERROR(VLOOKUP(A551,Clientes_PDV!$A$2:$J$250,2,FALSE),"")</f>
        <v/>
      </c>
      <c r="C551" s="61">
        <f>IFERROR(VLOOKUP(A551,Clientes_PDV!$A$2:$J$250,3,FALSE),"")</f>
        <v/>
      </c>
      <c r="D551" s="61">
        <f>IFERROR(VLOOKUP(A551,Clientes_PDV!$A$2:$J$250,4,FALSE),"")</f>
        <v/>
      </c>
      <c r="E551" s="52" t="n"/>
      <c r="F551" s="61">
        <f>IFERROR(VLOOKUP(E551,Maestro_SKU!$A$2:$P$500,2,FALSE),"")</f>
        <v/>
      </c>
      <c r="G551" s="52" t="n"/>
      <c r="H551" s="61">
        <f>IF(OR(G551="",E551=""),"",G551*IFERROR(VLOOKUP(E551,Maestro_SKU!$A$2:$P$500,12,FALSE),1))</f>
        <v/>
      </c>
      <c r="I551" s="53" t="n"/>
      <c r="J551" s="61">
        <f>IF(A551="","",IF(H551&lt;=Inicio!$B$16,"Crítico",IF(H551&lt;=Inicio!$B$17,"Observar","OK")))</f>
        <v/>
      </c>
      <c r="K551" s="52" t="n"/>
    </row>
    <row r="552">
      <c r="A552" s="52" t="n"/>
      <c r="B552" s="61">
        <f>IFERROR(VLOOKUP(A552,Clientes_PDV!$A$2:$J$250,2,FALSE),"")</f>
        <v/>
      </c>
      <c r="C552" s="61">
        <f>IFERROR(VLOOKUP(A552,Clientes_PDV!$A$2:$J$250,3,FALSE),"")</f>
        <v/>
      </c>
      <c r="D552" s="61">
        <f>IFERROR(VLOOKUP(A552,Clientes_PDV!$A$2:$J$250,4,FALSE),"")</f>
        <v/>
      </c>
      <c r="E552" s="52" t="n"/>
      <c r="F552" s="61">
        <f>IFERROR(VLOOKUP(E552,Maestro_SKU!$A$2:$P$500,2,FALSE),"")</f>
        <v/>
      </c>
      <c r="G552" s="52" t="n"/>
      <c r="H552" s="61">
        <f>IF(OR(G552="",E552=""),"",G552*IFERROR(VLOOKUP(E552,Maestro_SKU!$A$2:$P$500,12,FALSE),1))</f>
        <v/>
      </c>
      <c r="I552" s="53" t="n"/>
      <c r="J552" s="61">
        <f>IF(A552="","",IF(H552&lt;=Inicio!$B$16,"Crítico",IF(H552&lt;=Inicio!$B$17,"Observar","OK")))</f>
        <v/>
      </c>
      <c r="K552" s="52" t="n"/>
    </row>
    <row r="553">
      <c r="A553" s="52" t="n"/>
      <c r="B553" s="61">
        <f>IFERROR(VLOOKUP(A553,Clientes_PDV!$A$2:$J$250,2,FALSE),"")</f>
        <v/>
      </c>
      <c r="C553" s="61">
        <f>IFERROR(VLOOKUP(A553,Clientes_PDV!$A$2:$J$250,3,FALSE),"")</f>
        <v/>
      </c>
      <c r="D553" s="61">
        <f>IFERROR(VLOOKUP(A553,Clientes_PDV!$A$2:$J$250,4,FALSE),"")</f>
        <v/>
      </c>
      <c r="E553" s="52" t="n"/>
      <c r="F553" s="61">
        <f>IFERROR(VLOOKUP(E553,Maestro_SKU!$A$2:$P$500,2,FALSE),"")</f>
        <v/>
      </c>
      <c r="G553" s="52" t="n"/>
      <c r="H553" s="61">
        <f>IF(OR(G553="",E553=""),"",G553*IFERROR(VLOOKUP(E553,Maestro_SKU!$A$2:$P$500,12,FALSE),1))</f>
        <v/>
      </c>
      <c r="I553" s="53" t="n"/>
      <c r="J553" s="61">
        <f>IF(A553="","",IF(H553&lt;=Inicio!$B$16,"Crítico",IF(H553&lt;=Inicio!$B$17,"Observar","OK")))</f>
        <v/>
      </c>
      <c r="K553" s="52" t="n"/>
    </row>
    <row r="554">
      <c r="A554" s="52" t="n"/>
      <c r="B554" s="61">
        <f>IFERROR(VLOOKUP(A554,Clientes_PDV!$A$2:$J$250,2,FALSE),"")</f>
        <v/>
      </c>
      <c r="C554" s="61">
        <f>IFERROR(VLOOKUP(A554,Clientes_PDV!$A$2:$J$250,3,FALSE),"")</f>
        <v/>
      </c>
      <c r="D554" s="61">
        <f>IFERROR(VLOOKUP(A554,Clientes_PDV!$A$2:$J$250,4,FALSE),"")</f>
        <v/>
      </c>
      <c r="E554" s="52" t="n"/>
      <c r="F554" s="61">
        <f>IFERROR(VLOOKUP(E554,Maestro_SKU!$A$2:$P$500,2,FALSE),"")</f>
        <v/>
      </c>
      <c r="G554" s="52" t="n"/>
      <c r="H554" s="61">
        <f>IF(OR(G554="",E554=""),"",G554*IFERROR(VLOOKUP(E554,Maestro_SKU!$A$2:$P$500,12,FALSE),1))</f>
        <v/>
      </c>
      <c r="I554" s="53" t="n"/>
      <c r="J554" s="61">
        <f>IF(A554="","",IF(H554&lt;=Inicio!$B$16,"Crítico",IF(H554&lt;=Inicio!$B$17,"Observar","OK")))</f>
        <v/>
      </c>
      <c r="K554" s="52" t="n"/>
    </row>
    <row r="555">
      <c r="A555" s="52" t="n"/>
      <c r="B555" s="61">
        <f>IFERROR(VLOOKUP(A555,Clientes_PDV!$A$2:$J$250,2,FALSE),"")</f>
        <v/>
      </c>
      <c r="C555" s="61">
        <f>IFERROR(VLOOKUP(A555,Clientes_PDV!$A$2:$J$250,3,FALSE),"")</f>
        <v/>
      </c>
      <c r="D555" s="61">
        <f>IFERROR(VLOOKUP(A555,Clientes_PDV!$A$2:$J$250,4,FALSE),"")</f>
        <v/>
      </c>
      <c r="E555" s="52" t="n"/>
      <c r="F555" s="61">
        <f>IFERROR(VLOOKUP(E555,Maestro_SKU!$A$2:$P$500,2,FALSE),"")</f>
        <v/>
      </c>
      <c r="G555" s="52" t="n"/>
      <c r="H555" s="61">
        <f>IF(OR(G555="",E555=""),"",G555*IFERROR(VLOOKUP(E555,Maestro_SKU!$A$2:$P$500,12,FALSE),1))</f>
        <v/>
      </c>
      <c r="I555" s="53" t="n"/>
      <c r="J555" s="61">
        <f>IF(A555="","",IF(H555&lt;=Inicio!$B$16,"Crítico",IF(H555&lt;=Inicio!$B$17,"Observar","OK")))</f>
        <v/>
      </c>
      <c r="K555" s="52" t="n"/>
    </row>
    <row r="556">
      <c r="A556" s="52" t="n"/>
      <c r="B556" s="61">
        <f>IFERROR(VLOOKUP(A556,Clientes_PDV!$A$2:$J$250,2,FALSE),"")</f>
        <v/>
      </c>
      <c r="C556" s="61">
        <f>IFERROR(VLOOKUP(A556,Clientes_PDV!$A$2:$J$250,3,FALSE),"")</f>
        <v/>
      </c>
      <c r="D556" s="61">
        <f>IFERROR(VLOOKUP(A556,Clientes_PDV!$A$2:$J$250,4,FALSE),"")</f>
        <v/>
      </c>
      <c r="E556" s="52" t="n"/>
      <c r="F556" s="61">
        <f>IFERROR(VLOOKUP(E556,Maestro_SKU!$A$2:$P$500,2,FALSE),"")</f>
        <v/>
      </c>
      <c r="G556" s="52" t="n"/>
      <c r="H556" s="61">
        <f>IF(OR(G556="",E556=""),"",G556*IFERROR(VLOOKUP(E556,Maestro_SKU!$A$2:$P$500,12,FALSE),1))</f>
        <v/>
      </c>
      <c r="I556" s="53" t="n"/>
      <c r="J556" s="61">
        <f>IF(A556="","",IF(H556&lt;=Inicio!$B$16,"Crítico",IF(H556&lt;=Inicio!$B$17,"Observar","OK")))</f>
        <v/>
      </c>
      <c r="K556" s="52" t="n"/>
    </row>
    <row r="557">
      <c r="A557" s="52" t="n"/>
      <c r="B557" s="61">
        <f>IFERROR(VLOOKUP(A557,Clientes_PDV!$A$2:$J$250,2,FALSE),"")</f>
        <v/>
      </c>
      <c r="C557" s="61">
        <f>IFERROR(VLOOKUP(A557,Clientes_PDV!$A$2:$J$250,3,FALSE),"")</f>
        <v/>
      </c>
      <c r="D557" s="61">
        <f>IFERROR(VLOOKUP(A557,Clientes_PDV!$A$2:$J$250,4,FALSE),"")</f>
        <v/>
      </c>
      <c r="E557" s="52" t="n"/>
      <c r="F557" s="61">
        <f>IFERROR(VLOOKUP(E557,Maestro_SKU!$A$2:$P$500,2,FALSE),"")</f>
        <v/>
      </c>
      <c r="G557" s="52" t="n"/>
      <c r="H557" s="61">
        <f>IF(OR(G557="",E557=""),"",G557*IFERROR(VLOOKUP(E557,Maestro_SKU!$A$2:$P$500,12,FALSE),1))</f>
        <v/>
      </c>
      <c r="I557" s="53" t="n"/>
      <c r="J557" s="61">
        <f>IF(A557="","",IF(H557&lt;=Inicio!$B$16,"Crítico",IF(H557&lt;=Inicio!$B$17,"Observar","OK")))</f>
        <v/>
      </c>
      <c r="K557" s="52" t="n"/>
    </row>
    <row r="558">
      <c r="A558" s="52" t="n"/>
      <c r="B558" s="61">
        <f>IFERROR(VLOOKUP(A558,Clientes_PDV!$A$2:$J$250,2,FALSE),"")</f>
        <v/>
      </c>
      <c r="C558" s="61">
        <f>IFERROR(VLOOKUP(A558,Clientes_PDV!$A$2:$J$250,3,FALSE),"")</f>
        <v/>
      </c>
      <c r="D558" s="61">
        <f>IFERROR(VLOOKUP(A558,Clientes_PDV!$A$2:$J$250,4,FALSE),"")</f>
        <v/>
      </c>
      <c r="E558" s="52" t="n"/>
      <c r="F558" s="61">
        <f>IFERROR(VLOOKUP(E558,Maestro_SKU!$A$2:$P$500,2,FALSE),"")</f>
        <v/>
      </c>
      <c r="G558" s="52" t="n"/>
      <c r="H558" s="61">
        <f>IF(OR(G558="",E558=""),"",G558*IFERROR(VLOOKUP(E558,Maestro_SKU!$A$2:$P$500,12,FALSE),1))</f>
        <v/>
      </c>
      <c r="I558" s="53" t="n"/>
      <c r="J558" s="61">
        <f>IF(A558="","",IF(H558&lt;=Inicio!$B$16,"Crítico",IF(H558&lt;=Inicio!$B$17,"Observar","OK")))</f>
        <v/>
      </c>
      <c r="K558" s="52" t="n"/>
    </row>
    <row r="559">
      <c r="A559" s="52" t="n"/>
      <c r="B559" s="61">
        <f>IFERROR(VLOOKUP(A559,Clientes_PDV!$A$2:$J$250,2,FALSE),"")</f>
        <v/>
      </c>
      <c r="C559" s="61">
        <f>IFERROR(VLOOKUP(A559,Clientes_PDV!$A$2:$J$250,3,FALSE),"")</f>
        <v/>
      </c>
      <c r="D559" s="61">
        <f>IFERROR(VLOOKUP(A559,Clientes_PDV!$A$2:$J$250,4,FALSE),"")</f>
        <v/>
      </c>
      <c r="E559" s="52" t="n"/>
      <c r="F559" s="61">
        <f>IFERROR(VLOOKUP(E559,Maestro_SKU!$A$2:$P$500,2,FALSE),"")</f>
        <v/>
      </c>
      <c r="G559" s="52" t="n"/>
      <c r="H559" s="61">
        <f>IF(OR(G559="",E559=""),"",G559*IFERROR(VLOOKUP(E559,Maestro_SKU!$A$2:$P$500,12,FALSE),1))</f>
        <v/>
      </c>
      <c r="I559" s="53" t="n"/>
      <c r="J559" s="61">
        <f>IF(A559="","",IF(H559&lt;=Inicio!$B$16,"Crítico",IF(H559&lt;=Inicio!$B$17,"Observar","OK")))</f>
        <v/>
      </c>
      <c r="K559" s="52" t="n"/>
    </row>
    <row r="560">
      <c r="A560" s="52" t="n"/>
      <c r="B560" s="61">
        <f>IFERROR(VLOOKUP(A560,Clientes_PDV!$A$2:$J$250,2,FALSE),"")</f>
        <v/>
      </c>
      <c r="C560" s="61">
        <f>IFERROR(VLOOKUP(A560,Clientes_PDV!$A$2:$J$250,3,FALSE),"")</f>
        <v/>
      </c>
      <c r="D560" s="61">
        <f>IFERROR(VLOOKUP(A560,Clientes_PDV!$A$2:$J$250,4,FALSE),"")</f>
        <v/>
      </c>
      <c r="E560" s="52" t="n"/>
      <c r="F560" s="61">
        <f>IFERROR(VLOOKUP(E560,Maestro_SKU!$A$2:$P$500,2,FALSE),"")</f>
        <v/>
      </c>
      <c r="G560" s="52" t="n"/>
      <c r="H560" s="61">
        <f>IF(OR(G560="",E560=""),"",G560*IFERROR(VLOOKUP(E560,Maestro_SKU!$A$2:$P$500,12,FALSE),1))</f>
        <v/>
      </c>
      <c r="I560" s="53" t="n"/>
      <c r="J560" s="61">
        <f>IF(A560="","",IF(H560&lt;=Inicio!$B$16,"Crítico",IF(H560&lt;=Inicio!$B$17,"Observar","OK")))</f>
        <v/>
      </c>
      <c r="K560" s="52" t="n"/>
    </row>
    <row r="561">
      <c r="A561" s="52" t="n"/>
      <c r="B561" s="61">
        <f>IFERROR(VLOOKUP(A561,Clientes_PDV!$A$2:$J$250,2,FALSE),"")</f>
        <v/>
      </c>
      <c r="C561" s="61">
        <f>IFERROR(VLOOKUP(A561,Clientes_PDV!$A$2:$J$250,3,FALSE),"")</f>
        <v/>
      </c>
      <c r="D561" s="61">
        <f>IFERROR(VLOOKUP(A561,Clientes_PDV!$A$2:$J$250,4,FALSE),"")</f>
        <v/>
      </c>
      <c r="E561" s="52" t="n"/>
      <c r="F561" s="61">
        <f>IFERROR(VLOOKUP(E561,Maestro_SKU!$A$2:$P$500,2,FALSE),"")</f>
        <v/>
      </c>
      <c r="G561" s="52" t="n"/>
      <c r="H561" s="61">
        <f>IF(OR(G561="",E561=""),"",G561*IFERROR(VLOOKUP(E561,Maestro_SKU!$A$2:$P$500,12,FALSE),1))</f>
        <v/>
      </c>
      <c r="I561" s="53" t="n"/>
      <c r="J561" s="61">
        <f>IF(A561="","",IF(H561&lt;=Inicio!$B$16,"Crítico",IF(H561&lt;=Inicio!$B$17,"Observar","OK")))</f>
        <v/>
      </c>
      <c r="K561" s="52" t="n"/>
    </row>
    <row r="562">
      <c r="A562" s="52" t="n"/>
      <c r="B562" s="61">
        <f>IFERROR(VLOOKUP(A562,Clientes_PDV!$A$2:$J$250,2,FALSE),"")</f>
        <v/>
      </c>
      <c r="C562" s="61">
        <f>IFERROR(VLOOKUP(A562,Clientes_PDV!$A$2:$J$250,3,FALSE),"")</f>
        <v/>
      </c>
      <c r="D562" s="61">
        <f>IFERROR(VLOOKUP(A562,Clientes_PDV!$A$2:$J$250,4,FALSE),"")</f>
        <v/>
      </c>
      <c r="E562" s="52" t="n"/>
      <c r="F562" s="61">
        <f>IFERROR(VLOOKUP(E562,Maestro_SKU!$A$2:$P$500,2,FALSE),"")</f>
        <v/>
      </c>
      <c r="G562" s="52" t="n"/>
      <c r="H562" s="61">
        <f>IF(OR(G562="",E562=""),"",G562*IFERROR(VLOOKUP(E562,Maestro_SKU!$A$2:$P$500,12,FALSE),1))</f>
        <v/>
      </c>
      <c r="I562" s="53" t="n"/>
      <c r="J562" s="61">
        <f>IF(A562="","",IF(H562&lt;=Inicio!$B$16,"Crítico",IF(H562&lt;=Inicio!$B$17,"Observar","OK")))</f>
        <v/>
      </c>
      <c r="K562" s="52" t="n"/>
    </row>
    <row r="563">
      <c r="A563" s="52" t="n"/>
      <c r="B563" s="61">
        <f>IFERROR(VLOOKUP(A563,Clientes_PDV!$A$2:$J$250,2,FALSE),"")</f>
        <v/>
      </c>
      <c r="C563" s="61">
        <f>IFERROR(VLOOKUP(A563,Clientes_PDV!$A$2:$J$250,3,FALSE),"")</f>
        <v/>
      </c>
      <c r="D563" s="61">
        <f>IFERROR(VLOOKUP(A563,Clientes_PDV!$A$2:$J$250,4,FALSE),"")</f>
        <v/>
      </c>
      <c r="E563" s="52" t="n"/>
      <c r="F563" s="61">
        <f>IFERROR(VLOOKUP(E563,Maestro_SKU!$A$2:$P$500,2,FALSE),"")</f>
        <v/>
      </c>
      <c r="G563" s="52" t="n"/>
      <c r="H563" s="61">
        <f>IF(OR(G563="",E563=""),"",G563*IFERROR(VLOOKUP(E563,Maestro_SKU!$A$2:$P$500,12,FALSE),1))</f>
        <v/>
      </c>
      <c r="I563" s="53" t="n"/>
      <c r="J563" s="61">
        <f>IF(A563="","",IF(H563&lt;=Inicio!$B$16,"Crítico",IF(H563&lt;=Inicio!$B$17,"Observar","OK")))</f>
        <v/>
      </c>
      <c r="K563" s="52" t="n"/>
    </row>
    <row r="564">
      <c r="A564" s="52" t="n"/>
      <c r="B564" s="61">
        <f>IFERROR(VLOOKUP(A564,Clientes_PDV!$A$2:$J$250,2,FALSE),"")</f>
        <v/>
      </c>
      <c r="C564" s="61">
        <f>IFERROR(VLOOKUP(A564,Clientes_PDV!$A$2:$J$250,3,FALSE),"")</f>
        <v/>
      </c>
      <c r="D564" s="61">
        <f>IFERROR(VLOOKUP(A564,Clientes_PDV!$A$2:$J$250,4,FALSE),"")</f>
        <v/>
      </c>
      <c r="E564" s="52" t="n"/>
      <c r="F564" s="61">
        <f>IFERROR(VLOOKUP(E564,Maestro_SKU!$A$2:$P$500,2,FALSE),"")</f>
        <v/>
      </c>
      <c r="G564" s="52" t="n"/>
      <c r="H564" s="61">
        <f>IF(OR(G564="",E564=""),"",G564*IFERROR(VLOOKUP(E564,Maestro_SKU!$A$2:$P$500,12,FALSE),1))</f>
        <v/>
      </c>
      <c r="I564" s="53" t="n"/>
      <c r="J564" s="61">
        <f>IF(A564="","",IF(H564&lt;=Inicio!$B$16,"Crítico",IF(H564&lt;=Inicio!$B$17,"Observar","OK")))</f>
        <v/>
      </c>
      <c r="K564" s="52" t="n"/>
    </row>
    <row r="565">
      <c r="A565" s="52" t="n"/>
      <c r="B565" s="61">
        <f>IFERROR(VLOOKUP(A565,Clientes_PDV!$A$2:$J$250,2,FALSE),"")</f>
        <v/>
      </c>
      <c r="C565" s="61">
        <f>IFERROR(VLOOKUP(A565,Clientes_PDV!$A$2:$J$250,3,FALSE),"")</f>
        <v/>
      </c>
      <c r="D565" s="61">
        <f>IFERROR(VLOOKUP(A565,Clientes_PDV!$A$2:$J$250,4,FALSE),"")</f>
        <v/>
      </c>
      <c r="E565" s="52" t="n"/>
      <c r="F565" s="61">
        <f>IFERROR(VLOOKUP(E565,Maestro_SKU!$A$2:$P$500,2,FALSE),"")</f>
        <v/>
      </c>
      <c r="G565" s="52" t="n"/>
      <c r="H565" s="61">
        <f>IF(OR(G565="",E565=""),"",G565*IFERROR(VLOOKUP(E565,Maestro_SKU!$A$2:$P$500,12,FALSE),1))</f>
        <v/>
      </c>
      <c r="I565" s="53" t="n"/>
      <c r="J565" s="61">
        <f>IF(A565="","",IF(H565&lt;=Inicio!$B$16,"Crítico",IF(H565&lt;=Inicio!$B$17,"Observar","OK")))</f>
        <v/>
      </c>
      <c r="K565" s="52" t="n"/>
    </row>
    <row r="566">
      <c r="A566" s="52" t="n"/>
      <c r="B566" s="61">
        <f>IFERROR(VLOOKUP(A566,Clientes_PDV!$A$2:$J$250,2,FALSE),"")</f>
        <v/>
      </c>
      <c r="C566" s="61">
        <f>IFERROR(VLOOKUP(A566,Clientes_PDV!$A$2:$J$250,3,FALSE),"")</f>
        <v/>
      </c>
      <c r="D566" s="61">
        <f>IFERROR(VLOOKUP(A566,Clientes_PDV!$A$2:$J$250,4,FALSE),"")</f>
        <v/>
      </c>
      <c r="E566" s="52" t="n"/>
      <c r="F566" s="61">
        <f>IFERROR(VLOOKUP(E566,Maestro_SKU!$A$2:$P$500,2,FALSE),"")</f>
        <v/>
      </c>
      <c r="G566" s="52" t="n"/>
      <c r="H566" s="61">
        <f>IF(OR(G566="",E566=""),"",G566*IFERROR(VLOOKUP(E566,Maestro_SKU!$A$2:$P$500,12,FALSE),1))</f>
        <v/>
      </c>
      <c r="I566" s="53" t="n"/>
      <c r="J566" s="61">
        <f>IF(A566="","",IF(H566&lt;=Inicio!$B$16,"Crítico",IF(H566&lt;=Inicio!$B$17,"Observar","OK")))</f>
        <v/>
      </c>
      <c r="K566" s="52" t="n"/>
    </row>
    <row r="567">
      <c r="A567" s="52" t="n"/>
      <c r="B567" s="61">
        <f>IFERROR(VLOOKUP(A567,Clientes_PDV!$A$2:$J$250,2,FALSE),"")</f>
        <v/>
      </c>
      <c r="C567" s="61">
        <f>IFERROR(VLOOKUP(A567,Clientes_PDV!$A$2:$J$250,3,FALSE),"")</f>
        <v/>
      </c>
      <c r="D567" s="61">
        <f>IFERROR(VLOOKUP(A567,Clientes_PDV!$A$2:$J$250,4,FALSE),"")</f>
        <v/>
      </c>
      <c r="E567" s="52" t="n"/>
      <c r="F567" s="61">
        <f>IFERROR(VLOOKUP(E567,Maestro_SKU!$A$2:$P$500,2,FALSE),"")</f>
        <v/>
      </c>
      <c r="G567" s="52" t="n"/>
      <c r="H567" s="61">
        <f>IF(OR(G567="",E567=""),"",G567*IFERROR(VLOOKUP(E567,Maestro_SKU!$A$2:$P$500,12,FALSE),1))</f>
        <v/>
      </c>
      <c r="I567" s="53" t="n"/>
      <c r="J567" s="61">
        <f>IF(A567="","",IF(H567&lt;=Inicio!$B$16,"Crítico",IF(H567&lt;=Inicio!$B$17,"Observar","OK")))</f>
        <v/>
      </c>
      <c r="K567" s="52" t="n"/>
    </row>
    <row r="568">
      <c r="A568" s="52" t="n"/>
      <c r="B568" s="61">
        <f>IFERROR(VLOOKUP(A568,Clientes_PDV!$A$2:$J$250,2,FALSE),"")</f>
        <v/>
      </c>
      <c r="C568" s="61">
        <f>IFERROR(VLOOKUP(A568,Clientes_PDV!$A$2:$J$250,3,FALSE),"")</f>
        <v/>
      </c>
      <c r="D568" s="61">
        <f>IFERROR(VLOOKUP(A568,Clientes_PDV!$A$2:$J$250,4,FALSE),"")</f>
        <v/>
      </c>
      <c r="E568" s="52" t="n"/>
      <c r="F568" s="61">
        <f>IFERROR(VLOOKUP(E568,Maestro_SKU!$A$2:$P$500,2,FALSE),"")</f>
        <v/>
      </c>
      <c r="G568" s="52" t="n"/>
      <c r="H568" s="61">
        <f>IF(OR(G568="",E568=""),"",G568*IFERROR(VLOOKUP(E568,Maestro_SKU!$A$2:$P$500,12,FALSE),1))</f>
        <v/>
      </c>
      <c r="I568" s="53" t="n"/>
      <c r="J568" s="61">
        <f>IF(A568="","",IF(H568&lt;=Inicio!$B$16,"Crítico",IF(H568&lt;=Inicio!$B$17,"Observar","OK")))</f>
        <v/>
      </c>
      <c r="K568" s="52" t="n"/>
    </row>
    <row r="569">
      <c r="A569" s="52" t="n"/>
      <c r="B569" s="61">
        <f>IFERROR(VLOOKUP(A569,Clientes_PDV!$A$2:$J$250,2,FALSE),"")</f>
        <v/>
      </c>
      <c r="C569" s="61">
        <f>IFERROR(VLOOKUP(A569,Clientes_PDV!$A$2:$J$250,3,FALSE),"")</f>
        <v/>
      </c>
      <c r="D569" s="61">
        <f>IFERROR(VLOOKUP(A569,Clientes_PDV!$A$2:$J$250,4,FALSE),"")</f>
        <v/>
      </c>
      <c r="E569" s="52" t="n"/>
      <c r="F569" s="61">
        <f>IFERROR(VLOOKUP(E569,Maestro_SKU!$A$2:$P$500,2,FALSE),"")</f>
        <v/>
      </c>
      <c r="G569" s="52" t="n"/>
      <c r="H569" s="61">
        <f>IF(OR(G569="",E569=""),"",G569*IFERROR(VLOOKUP(E569,Maestro_SKU!$A$2:$P$500,12,FALSE),1))</f>
        <v/>
      </c>
      <c r="I569" s="53" t="n"/>
      <c r="J569" s="61">
        <f>IF(A569="","",IF(H569&lt;=Inicio!$B$16,"Crítico",IF(H569&lt;=Inicio!$B$17,"Observar","OK")))</f>
        <v/>
      </c>
      <c r="K569" s="52" t="n"/>
    </row>
    <row r="570">
      <c r="A570" s="52" t="n"/>
      <c r="B570" s="61">
        <f>IFERROR(VLOOKUP(A570,Clientes_PDV!$A$2:$J$250,2,FALSE),"")</f>
        <v/>
      </c>
      <c r="C570" s="61">
        <f>IFERROR(VLOOKUP(A570,Clientes_PDV!$A$2:$J$250,3,FALSE),"")</f>
        <v/>
      </c>
      <c r="D570" s="61">
        <f>IFERROR(VLOOKUP(A570,Clientes_PDV!$A$2:$J$250,4,FALSE),"")</f>
        <v/>
      </c>
      <c r="E570" s="52" t="n"/>
      <c r="F570" s="61">
        <f>IFERROR(VLOOKUP(E570,Maestro_SKU!$A$2:$P$500,2,FALSE),"")</f>
        <v/>
      </c>
      <c r="G570" s="52" t="n"/>
      <c r="H570" s="61">
        <f>IF(OR(G570="",E570=""),"",G570*IFERROR(VLOOKUP(E570,Maestro_SKU!$A$2:$P$500,12,FALSE),1))</f>
        <v/>
      </c>
      <c r="I570" s="53" t="n"/>
      <c r="J570" s="61">
        <f>IF(A570="","",IF(H570&lt;=Inicio!$B$16,"Crítico",IF(H570&lt;=Inicio!$B$17,"Observar","OK")))</f>
        <v/>
      </c>
      <c r="K570" s="52" t="n"/>
    </row>
    <row r="571">
      <c r="A571" s="52" t="n"/>
      <c r="B571" s="61">
        <f>IFERROR(VLOOKUP(A571,Clientes_PDV!$A$2:$J$250,2,FALSE),"")</f>
        <v/>
      </c>
      <c r="C571" s="61">
        <f>IFERROR(VLOOKUP(A571,Clientes_PDV!$A$2:$J$250,3,FALSE),"")</f>
        <v/>
      </c>
      <c r="D571" s="61">
        <f>IFERROR(VLOOKUP(A571,Clientes_PDV!$A$2:$J$250,4,FALSE),"")</f>
        <v/>
      </c>
      <c r="E571" s="52" t="n"/>
      <c r="F571" s="61">
        <f>IFERROR(VLOOKUP(E571,Maestro_SKU!$A$2:$P$500,2,FALSE),"")</f>
        <v/>
      </c>
      <c r="G571" s="52" t="n"/>
      <c r="H571" s="61">
        <f>IF(OR(G571="",E571=""),"",G571*IFERROR(VLOOKUP(E571,Maestro_SKU!$A$2:$P$500,12,FALSE),1))</f>
        <v/>
      </c>
      <c r="I571" s="53" t="n"/>
      <c r="J571" s="61">
        <f>IF(A571="","",IF(H571&lt;=Inicio!$B$16,"Crítico",IF(H571&lt;=Inicio!$B$17,"Observar","OK")))</f>
        <v/>
      </c>
      <c r="K571" s="52" t="n"/>
    </row>
    <row r="572">
      <c r="A572" s="52" t="n"/>
      <c r="B572" s="61">
        <f>IFERROR(VLOOKUP(A572,Clientes_PDV!$A$2:$J$250,2,FALSE),"")</f>
        <v/>
      </c>
      <c r="C572" s="61">
        <f>IFERROR(VLOOKUP(A572,Clientes_PDV!$A$2:$J$250,3,FALSE),"")</f>
        <v/>
      </c>
      <c r="D572" s="61">
        <f>IFERROR(VLOOKUP(A572,Clientes_PDV!$A$2:$J$250,4,FALSE),"")</f>
        <v/>
      </c>
      <c r="E572" s="52" t="n"/>
      <c r="F572" s="61">
        <f>IFERROR(VLOOKUP(E572,Maestro_SKU!$A$2:$P$500,2,FALSE),"")</f>
        <v/>
      </c>
      <c r="G572" s="52" t="n"/>
      <c r="H572" s="61">
        <f>IF(OR(G572="",E572=""),"",G572*IFERROR(VLOOKUP(E572,Maestro_SKU!$A$2:$P$500,12,FALSE),1))</f>
        <v/>
      </c>
      <c r="I572" s="53" t="n"/>
      <c r="J572" s="61">
        <f>IF(A572="","",IF(H572&lt;=Inicio!$B$16,"Crítico",IF(H572&lt;=Inicio!$B$17,"Observar","OK")))</f>
        <v/>
      </c>
      <c r="K572" s="52" t="n"/>
    </row>
    <row r="573">
      <c r="A573" s="52" t="n"/>
      <c r="B573" s="61">
        <f>IFERROR(VLOOKUP(A573,Clientes_PDV!$A$2:$J$250,2,FALSE),"")</f>
        <v/>
      </c>
      <c r="C573" s="61">
        <f>IFERROR(VLOOKUP(A573,Clientes_PDV!$A$2:$J$250,3,FALSE),"")</f>
        <v/>
      </c>
      <c r="D573" s="61">
        <f>IFERROR(VLOOKUP(A573,Clientes_PDV!$A$2:$J$250,4,FALSE),"")</f>
        <v/>
      </c>
      <c r="E573" s="52" t="n"/>
      <c r="F573" s="61">
        <f>IFERROR(VLOOKUP(E573,Maestro_SKU!$A$2:$P$500,2,FALSE),"")</f>
        <v/>
      </c>
      <c r="G573" s="52" t="n"/>
      <c r="H573" s="61">
        <f>IF(OR(G573="",E573=""),"",G573*IFERROR(VLOOKUP(E573,Maestro_SKU!$A$2:$P$500,12,FALSE),1))</f>
        <v/>
      </c>
      <c r="I573" s="53" t="n"/>
      <c r="J573" s="61">
        <f>IF(A573="","",IF(H573&lt;=Inicio!$B$16,"Crítico",IF(H573&lt;=Inicio!$B$17,"Observar","OK")))</f>
        <v/>
      </c>
      <c r="K573" s="52" t="n"/>
    </row>
    <row r="574">
      <c r="A574" s="52" t="n"/>
      <c r="B574" s="61">
        <f>IFERROR(VLOOKUP(A574,Clientes_PDV!$A$2:$J$250,2,FALSE),"")</f>
        <v/>
      </c>
      <c r="C574" s="61">
        <f>IFERROR(VLOOKUP(A574,Clientes_PDV!$A$2:$J$250,3,FALSE),"")</f>
        <v/>
      </c>
      <c r="D574" s="61">
        <f>IFERROR(VLOOKUP(A574,Clientes_PDV!$A$2:$J$250,4,FALSE),"")</f>
        <v/>
      </c>
      <c r="E574" s="52" t="n"/>
      <c r="F574" s="61">
        <f>IFERROR(VLOOKUP(E574,Maestro_SKU!$A$2:$P$500,2,FALSE),"")</f>
        <v/>
      </c>
      <c r="G574" s="52" t="n"/>
      <c r="H574" s="61">
        <f>IF(OR(G574="",E574=""),"",G574*IFERROR(VLOOKUP(E574,Maestro_SKU!$A$2:$P$500,12,FALSE),1))</f>
        <v/>
      </c>
      <c r="I574" s="53" t="n"/>
      <c r="J574" s="61">
        <f>IF(A574="","",IF(H574&lt;=Inicio!$B$16,"Crítico",IF(H574&lt;=Inicio!$B$17,"Observar","OK")))</f>
        <v/>
      </c>
      <c r="K574" s="52" t="n"/>
    </row>
    <row r="575">
      <c r="A575" s="52" t="n"/>
      <c r="B575" s="61">
        <f>IFERROR(VLOOKUP(A575,Clientes_PDV!$A$2:$J$250,2,FALSE),"")</f>
        <v/>
      </c>
      <c r="C575" s="61">
        <f>IFERROR(VLOOKUP(A575,Clientes_PDV!$A$2:$J$250,3,FALSE),"")</f>
        <v/>
      </c>
      <c r="D575" s="61">
        <f>IFERROR(VLOOKUP(A575,Clientes_PDV!$A$2:$J$250,4,FALSE),"")</f>
        <v/>
      </c>
      <c r="E575" s="52" t="n"/>
      <c r="F575" s="61">
        <f>IFERROR(VLOOKUP(E575,Maestro_SKU!$A$2:$P$500,2,FALSE),"")</f>
        <v/>
      </c>
      <c r="G575" s="52" t="n"/>
      <c r="H575" s="61">
        <f>IF(OR(G575="",E575=""),"",G575*IFERROR(VLOOKUP(E575,Maestro_SKU!$A$2:$P$500,12,FALSE),1))</f>
        <v/>
      </c>
      <c r="I575" s="53" t="n"/>
      <c r="J575" s="61">
        <f>IF(A575="","",IF(H575&lt;=Inicio!$B$16,"Crítico",IF(H575&lt;=Inicio!$B$17,"Observar","OK")))</f>
        <v/>
      </c>
      <c r="K575" s="52" t="n"/>
    </row>
    <row r="576">
      <c r="A576" s="52" t="n"/>
      <c r="B576" s="61">
        <f>IFERROR(VLOOKUP(A576,Clientes_PDV!$A$2:$J$250,2,FALSE),"")</f>
        <v/>
      </c>
      <c r="C576" s="61">
        <f>IFERROR(VLOOKUP(A576,Clientes_PDV!$A$2:$J$250,3,FALSE),"")</f>
        <v/>
      </c>
      <c r="D576" s="61">
        <f>IFERROR(VLOOKUP(A576,Clientes_PDV!$A$2:$J$250,4,FALSE),"")</f>
        <v/>
      </c>
      <c r="E576" s="52" t="n"/>
      <c r="F576" s="61">
        <f>IFERROR(VLOOKUP(E576,Maestro_SKU!$A$2:$P$500,2,FALSE),"")</f>
        <v/>
      </c>
      <c r="G576" s="52" t="n"/>
      <c r="H576" s="61">
        <f>IF(OR(G576="",E576=""),"",G576*IFERROR(VLOOKUP(E576,Maestro_SKU!$A$2:$P$500,12,FALSE),1))</f>
        <v/>
      </c>
      <c r="I576" s="53" t="n"/>
      <c r="J576" s="61">
        <f>IF(A576="","",IF(H576&lt;=Inicio!$B$16,"Crítico",IF(H576&lt;=Inicio!$B$17,"Observar","OK")))</f>
        <v/>
      </c>
      <c r="K576" s="52" t="n"/>
    </row>
    <row r="577">
      <c r="A577" s="52" t="n"/>
      <c r="B577" s="61">
        <f>IFERROR(VLOOKUP(A577,Clientes_PDV!$A$2:$J$250,2,FALSE),"")</f>
        <v/>
      </c>
      <c r="C577" s="61">
        <f>IFERROR(VLOOKUP(A577,Clientes_PDV!$A$2:$J$250,3,FALSE),"")</f>
        <v/>
      </c>
      <c r="D577" s="61">
        <f>IFERROR(VLOOKUP(A577,Clientes_PDV!$A$2:$J$250,4,FALSE),"")</f>
        <v/>
      </c>
      <c r="E577" s="52" t="n"/>
      <c r="F577" s="61">
        <f>IFERROR(VLOOKUP(E577,Maestro_SKU!$A$2:$P$500,2,FALSE),"")</f>
        <v/>
      </c>
      <c r="G577" s="52" t="n"/>
      <c r="H577" s="61">
        <f>IF(OR(G577="",E577=""),"",G577*IFERROR(VLOOKUP(E577,Maestro_SKU!$A$2:$P$500,12,FALSE),1))</f>
        <v/>
      </c>
      <c r="I577" s="53" t="n"/>
      <c r="J577" s="61">
        <f>IF(A577="","",IF(H577&lt;=Inicio!$B$16,"Crítico",IF(H577&lt;=Inicio!$B$17,"Observar","OK")))</f>
        <v/>
      </c>
      <c r="K577" s="52" t="n"/>
    </row>
    <row r="578">
      <c r="A578" s="52" t="n"/>
      <c r="B578" s="61">
        <f>IFERROR(VLOOKUP(A578,Clientes_PDV!$A$2:$J$250,2,FALSE),"")</f>
        <v/>
      </c>
      <c r="C578" s="61">
        <f>IFERROR(VLOOKUP(A578,Clientes_PDV!$A$2:$J$250,3,FALSE),"")</f>
        <v/>
      </c>
      <c r="D578" s="61">
        <f>IFERROR(VLOOKUP(A578,Clientes_PDV!$A$2:$J$250,4,FALSE),"")</f>
        <v/>
      </c>
      <c r="E578" s="52" t="n"/>
      <c r="F578" s="61">
        <f>IFERROR(VLOOKUP(E578,Maestro_SKU!$A$2:$P$500,2,FALSE),"")</f>
        <v/>
      </c>
      <c r="G578" s="52" t="n"/>
      <c r="H578" s="61">
        <f>IF(OR(G578="",E578=""),"",G578*IFERROR(VLOOKUP(E578,Maestro_SKU!$A$2:$P$500,12,FALSE),1))</f>
        <v/>
      </c>
      <c r="I578" s="53" t="n"/>
      <c r="J578" s="61">
        <f>IF(A578="","",IF(H578&lt;=Inicio!$B$16,"Crítico",IF(H578&lt;=Inicio!$B$17,"Observar","OK")))</f>
        <v/>
      </c>
      <c r="K578" s="52" t="n"/>
    </row>
    <row r="579">
      <c r="A579" s="52" t="n"/>
      <c r="B579" s="61">
        <f>IFERROR(VLOOKUP(A579,Clientes_PDV!$A$2:$J$250,2,FALSE),"")</f>
        <v/>
      </c>
      <c r="C579" s="61">
        <f>IFERROR(VLOOKUP(A579,Clientes_PDV!$A$2:$J$250,3,FALSE),"")</f>
        <v/>
      </c>
      <c r="D579" s="61">
        <f>IFERROR(VLOOKUP(A579,Clientes_PDV!$A$2:$J$250,4,FALSE),"")</f>
        <v/>
      </c>
      <c r="E579" s="52" t="n"/>
      <c r="F579" s="61">
        <f>IFERROR(VLOOKUP(E579,Maestro_SKU!$A$2:$P$500,2,FALSE),"")</f>
        <v/>
      </c>
      <c r="G579" s="52" t="n"/>
      <c r="H579" s="61">
        <f>IF(OR(G579="",E579=""),"",G579*IFERROR(VLOOKUP(E579,Maestro_SKU!$A$2:$P$500,12,FALSE),1))</f>
        <v/>
      </c>
      <c r="I579" s="53" t="n"/>
      <c r="J579" s="61">
        <f>IF(A579="","",IF(H579&lt;=Inicio!$B$16,"Crítico",IF(H579&lt;=Inicio!$B$17,"Observar","OK")))</f>
        <v/>
      </c>
      <c r="K579" s="52" t="n"/>
    </row>
    <row r="580">
      <c r="A580" s="52" t="n"/>
      <c r="B580" s="61">
        <f>IFERROR(VLOOKUP(A580,Clientes_PDV!$A$2:$J$250,2,FALSE),"")</f>
        <v/>
      </c>
      <c r="C580" s="61">
        <f>IFERROR(VLOOKUP(A580,Clientes_PDV!$A$2:$J$250,3,FALSE),"")</f>
        <v/>
      </c>
      <c r="D580" s="61">
        <f>IFERROR(VLOOKUP(A580,Clientes_PDV!$A$2:$J$250,4,FALSE),"")</f>
        <v/>
      </c>
      <c r="E580" s="52" t="n"/>
      <c r="F580" s="61">
        <f>IFERROR(VLOOKUP(E580,Maestro_SKU!$A$2:$P$500,2,FALSE),"")</f>
        <v/>
      </c>
      <c r="G580" s="52" t="n"/>
      <c r="H580" s="61">
        <f>IF(OR(G580="",E580=""),"",G580*IFERROR(VLOOKUP(E580,Maestro_SKU!$A$2:$P$500,12,FALSE),1))</f>
        <v/>
      </c>
      <c r="I580" s="53" t="n"/>
      <c r="J580" s="61">
        <f>IF(A580="","",IF(H580&lt;=Inicio!$B$16,"Crítico",IF(H580&lt;=Inicio!$B$17,"Observar","OK")))</f>
        <v/>
      </c>
      <c r="K580" s="52" t="n"/>
    </row>
    <row r="581">
      <c r="A581" s="52" t="n"/>
      <c r="B581" s="61">
        <f>IFERROR(VLOOKUP(A581,Clientes_PDV!$A$2:$J$250,2,FALSE),"")</f>
        <v/>
      </c>
      <c r="C581" s="61">
        <f>IFERROR(VLOOKUP(A581,Clientes_PDV!$A$2:$J$250,3,FALSE),"")</f>
        <v/>
      </c>
      <c r="D581" s="61">
        <f>IFERROR(VLOOKUP(A581,Clientes_PDV!$A$2:$J$250,4,FALSE),"")</f>
        <v/>
      </c>
      <c r="E581" s="52" t="n"/>
      <c r="F581" s="61">
        <f>IFERROR(VLOOKUP(E581,Maestro_SKU!$A$2:$P$500,2,FALSE),"")</f>
        <v/>
      </c>
      <c r="G581" s="52" t="n"/>
      <c r="H581" s="61">
        <f>IF(OR(G581="",E581=""),"",G581*IFERROR(VLOOKUP(E581,Maestro_SKU!$A$2:$P$500,12,FALSE),1))</f>
        <v/>
      </c>
      <c r="I581" s="53" t="n"/>
      <c r="J581" s="61">
        <f>IF(A581="","",IF(H581&lt;=Inicio!$B$16,"Crítico",IF(H581&lt;=Inicio!$B$17,"Observar","OK")))</f>
        <v/>
      </c>
      <c r="K581" s="52" t="n"/>
    </row>
    <row r="582">
      <c r="A582" s="52" t="n"/>
      <c r="B582" s="61">
        <f>IFERROR(VLOOKUP(A582,Clientes_PDV!$A$2:$J$250,2,FALSE),"")</f>
        <v/>
      </c>
      <c r="C582" s="61">
        <f>IFERROR(VLOOKUP(A582,Clientes_PDV!$A$2:$J$250,3,FALSE),"")</f>
        <v/>
      </c>
      <c r="D582" s="61">
        <f>IFERROR(VLOOKUP(A582,Clientes_PDV!$A$2:$J$250,4,FALSE),"")</f>
        <v/>
      </c>
      <c r="E582" s="52" t="n"/>
      <c r="F582" s="61">
        <f>IFERROR(VLOOKUP(E582,Maestro_SKU!$A$2:$P$500,2,FALSE),"")</f>
        <v/>
      </c>
      <c r="G582" s="52" t="n"/>
      <c r="H582" s="61">
        <f>IF(OR(G582="",E582=""),"",G582*IFERROR(VLOOKUP(E582,Maestro_SKU!$A$2:$P$500,12,FALSE),1))</f>
        <v/>
      </c>
      <c r="I582" s="53" t="n"/>
      <c r="J582" s="61">
        <f>IF(A582="","",IF(H582&lt;=Inicio!$B$16,"Crítico",IF(H582&lt;=Inicio!$B$17,"Observar","OK")))</f>
        <v/>
      </c>
      <c r="K582" s="52" t="n"/>
    </row>
    <row r="583">
      <c r="A583" s="52" t="n"/>
      <c r="B583" s="61">
        <f>IFERROR(VLOOKUP(A583,Clientes_PDV!$A$2:$J$250,2,FALSE),"")</f>
        <v/>
      </c>
      <c r="C583" s="61">
        <f>IFERROR(VLOOKUP(A583,Clientes_PDV!$A$2:$J$250,3,FALSE),"")</f>
        <v/>
      </c>
      <c r="D583" s="61">
        <f>IFERROR(VLOOKUP(A583,Clientes_PDV!$A$2:$J$250,4,FALSE),"")</f>
        <v/>
      </c>
      <c r="E583" s="52" t="n"/>
      <c r="F583" s="61">
        <f>IFERROR(VLOOKUP(E583,Maestro_SKU!$A$2:$P$500,2,FALSE),"")</f>
        <v/>
      </c>
      <c r="G583" s="52" t="n"/>
      <c r="H583" s="61">
        <f>IF(OR(G583="",E583=""),"",G583*IFERROR(VLOOKUP(E583,Maestro_SKU!$A$2:$P$500,12,FALSE),1))</f>
        <v/>
      </c>
      <c r="I583" s="53" t="n"/>
      <c r="J583" s="61">
        <f>IF(A583="","",IF(H583&lt;=Inicio!$B$16,"Crítico",IF(H583&lt;=Inicio!$B$17,"Observar","OK")))</f>
        <v/>
      </c>
      <c r="K583" s="52" t="n"/>
    </row>
    <row r="584">
      <c r="A584" s="52" t="n"/>
      <c r="B584" s="61">
        <f>IFERROR(VLOOKUP(A584,Clientes_PDV!$A$2:$J$250,2,FALSE),"")</f>
        <v/>
      </c>
      <c r="C584" s="61">
        <f>IFERROR(VLOOKUP(A584,Clientes_PDV!$A$2:$J$250,3,FALSE),"")</f>
        <v/>
      </c>
      <c r="D584" s="61">
        <f>IFERROR(VLOOKUP(A584,Clientes_PDV!$A$2:$J$250,4,FALSE),"")</f>
        <v/>
      </c>
      <c r="E584" s="52" t="n"/>
      <c r="F584" s="61">
        <f>IFERROR(VLOOKUP(E584,Maestro_SKU!$A$2:$P$500,2,FALSE),"")</f>
        <v/>
      </c>
      <c r="G584" s="52" t="n"/>
      <c r="H584" s="61">
        <f>IF(OR(G584="",E584=""),"",G584*IFERROR(VLOOKUP(E584,Maestro_SKU!$A$2:$P$500,12,FALSE),1))</f>
        <v/>
      </c>
      <c r="I584" s="53" t="n"/>
      <c r="J584" s="61">
        <f>IF(A584="","",IF(H584&lt;=Inicio!$B$16,"Crítico",IF(H584&lt;=Inicio!$B$17,"Observar","OK")))</f>
        <v/>
      </c>
      <c r="K584" s="52" t="n"/>
    </row>
    <row r="585">
      <c r="A585" s="52" t="n"/>
      <c r="B585" s="61">
        <f>IFERROR(VLOOKUP(A585,Clientes_PDV!$A$2:$J$250,2,FALSE),"")</f>
        <v/>
      </c>
      <c r="C585" s="61">
        <f>IFERROR(VLOOKUP(A585,Clientes_PDV!$A$2:$J$250,3,FALSE),"")</f>
        <v/>
      </c>
      <c r="D585" s="61">
        <f>IFERROR(VLOOKUP(A585,Clientes_PDV!$A$2:$J$250,4,FALSE),"")</f>
        <v/>
      </c>
      <c r="E585" s="52" t="n"/>
      <c r="F585" s="61">
        <f>IFERROR(VLOOKUP(E585,Maestro_SKU!$A$2:$P$500,2,FALSE),"")</f>
        <v/>
      </c>
      <c r="G585" s="52" t="n"/>
      <c r="H585" s="61">
        <f>IF(OR(G585="",E585=""),"",G585*IFERROR(VLOOKUP(E585,Maestro_SKU!$A$2:$P$500,12,FALSE),1))</f>
        <v/>
      </c>
      <c r="I585" s="53" t="n"/>
      <c r="J585" s="61">
        <f>IF(A585="","",IF(H585&lt;=Inicio!$B$16,"Crítico",IF(H585&lt;=Inicio!$B$17,"Observar","OK")))</f>
        <v/>
      </c>
      <c r="K585" s="52" t="n"/>
    </row>
    <row r="586">
      <c r="A586" s="52" t="n"/>
      <c r="B586" s="61">
        <f>IFERROR(VLOOKUP(A586,Clientes_PDV!$A$2:$J$250,2,FALSE),"")</f>
        <v/>
      </c>
      <c r="C586" s="61">
        <f>IFERROR(VLOOKUP(A586,Clientes_PDV!$A$2:$J$250,3,FALSE),"")</f>
        <v/>
      </c>
      <c r="D586" s="61">
        <f>IFERROR(VLOOKUP(A586,Clientes_PDV!$A$2:$J$250,4,FALSE),"")</f>
        <v/>
      </c>
      <c r="E586" s="52" t="n"/>
      <c r="F586" s="61">
        <f>IFERROR(VLOOKUP(E586,Maestro_SKU!$A$2:$P$500,2,FALSE),"")</f>
        <v/>
      </c>
      <c r="G586" s="52" t="n"/>
      <c r="H586" s="61">
        <f>IF(OR(G586="",E586=""),"",G586*IFERROR(VLOOKUP(E586,Maestro_SKU!$A$2:$P$500,12,FALSE),1))</f>
        <v/>
      </c>
      <c r="I586" s="53" t="n"/>
      <c r="J586" s="61">
        <f>IF(A586="","",IF(H586&lt;=Inicio!$B$16,"Crítico",IF(H586&lt;=Inicio!$B$17,"Observar","OK")))</f>
        <v/>
      </c>
      <c r="K586" s="52" t="n"/>
    </row>
    <row r="587">
      <c r="A587" s="52" t="n"/>
      <c r="B587" s="61">
        <f>IFERROR(VLOOKUP(A587,Clientes_PDV!$A$2:$J$250,2,FALSE),"")</f>
        <v/>
      </c>
      <c r="C587" s="61">
        <f>IFERROR(VLOOKUP(A587,Clientes_PDV!$A$2:$J$250,3,FALSE),"")</f>
        <v/>
      </c>
      <c r="D587" s="61">
        <f>IFERROR(VLOOKUP(A587,Clientes_PDV!$A$2:$J$250,4,FALSE),"")</f>
        <v/>
      </c>
      <c r="E587" s="52" t="n"/>
      <c r="F587" s="61">
        <f>IFERROR(VLOOKUP(E587,Maestro_SKU!$A$2:$P$500,2,FALSE),"")</f>
        <v/>
      </c>
      <c r="G587" s="52" t="n"/>
      <c r="H587" s="61">
        <f>IF(OR(G587="",E587=""),"",G587*IFERROR(VLOOKUP(E587,Maestro_SKU!$A$2:$P$500,12,FALSE),1))</f>
        <v/>
      </c>
      <c r="I587" s="53" t="n"/>
      <c r="J587" s="61">
        <f>IF(A587="","",IF(H587&lt;=Inicio!$B$16,"Crítico",IF(H587&lt;=Inicio!$B$17,"Observar","OK")))</f>
        <v/>
      </c>
      <c r="K587" s="52" t="n"/>
    </row>
    <row r="588">
      <c r="A588" s="52" t="n"/>
      <c r="B588" s="61">
        <f>IFERROR(VLOOKUP(A588,Clientes_PDV!$A$2:$J$250,2,FALSE),"")</f>
        <v/>
      </c>
      <c r="C588" s="61">
        <f>IFERROR(VLOOKUP(A588,Clientes_PDV!$A$2:$J$250,3,FALSE),"")</f>
        <v/>
      </c>
      <c r="D588" s="61">
        <f>IFERROR(VLOOKUP(A588,Clientes_PDV!$A$2:$J$250,4,FALSE),"")</f>
        <v/>
      </c>
      <c r="E588" s="52" t="n"/>
      <c r="F588" s="61">
        <f>IFERROR(VLOOKUP(E588,Maestro_SKU!$A$2:$P$500,2,FALSE),"")</f>
        <v/>
      </c>
      <c r="G588" s="52" t="n"/>
      <c r="H588" s="61">
        <f>IF(OR(G588="",E588=""),"",G588*IFERROR(VLOOKUP(E588,Maestro_SKU!$A$2:$P$500,12,FALSE),1))</f>
        <v/>
      </c>
      <c r="I588" s="53" t="n"/>
      <c r="J588" s="61">
        <f>IF(A588="","",IF(H588&lt;=Inicio!$B$16,"Crítico",IF(H588&lt;=Inicio!$B$17,"Observar","OK")))</f>
        <v/>
      </c>
      <c r="K588" s="52" t="n"/>
    </row>
    <row r="589">
      <c r="A589" s="52" t="n"/>
      <c r="B589" s="61">
        <f>IFERROR(VLOOKUP(A589,Clientes_PDV!$A$2:$J$250,2,FALSE),"")</f>
        <v/>
      </c>
      <c r="C589" s="61">
        <f>IFERROR(VLOOKUP(A589,Clientes_PDV!$A$2:$J$250,3,FALSE),"")</f>
        <v/>
      </c>
      <c r="D589" s="61">
        <f>IFERROR(VLOOKUP(A589,Clientes_PDV!$A$2:$J$250,4,FALSE),"")</f>
        <v/>
      </c>
      <c r="E589" s="52" t="n"/>
      <c r="F589" s="61">
        <f>IFERROR(VLOOKUP(E589,Maestro_SKU!$A$2:$P$500,2,FALSE),"")</f>
        <v/>
      </c>
      <c r="G589" s="52" t="n"/>
      <c r="H589" s="61">
        <f>IF(OR(G589="",E589=""),"",G589*IFERROR(VLOOKUP(E589,Maestro_SKU!$A$2:$P$500,12,FALSE),1))</f>
        <v/>
      </c>
      <c r="I589" s="53" t="n"/>
      <c r="J589" s="61">
        <f>IF(A589="","",IF(H589&lt;=Inicio!$B$16,"Crítico",IF(H589&lt;=Inicio!$B$17,"Observar","OK")))</f>
        <v/>
      </c>
      <c r="K589" s="52" t="n"/>
    </row>
    <row r="590">
      <c r="A590" s="52" t="n"/>
      <c r="B590" s="61">
        <f>IFERROR(VLOOKUP(A590,Clientes_PDV!$A$2:$J$250,2,FALSE),"")</f>
        <v/>
      </c>
      <c r="C590" s="61">
        <f>IFERROR(VLOOKUP(A590,Clientes_PDV!$A$2:$J$250,3,FALSE),"")</f>
        <v/>
      </c>
      <c r="D590" s="61">
        <f>IFERROR(VLOOKUP(A590,Clientes_PDV!$A$2:$J$250,4,FALSE),"")</f>
        <v/>
      </c>
      <c r="E590" s="52" t="n"/>
      <c r="F590" s="61">
        <f>IFERROR(VLOOKUP(E590,Maestro_SKU!$A$2:$P$500,2,FALSE),"")</f>
        <v/>
      </c>
      <c r="G590" s="52" t="n"/>
      <c r="H590" s="61">
        <f>IF(OR(G590="",E590=""),"",G590*IFERROR(VLOOKUP(E590,Maestro_SKU!$A$2:$P$500,12,FALSE),1))</f>
        <v/>
      </c>
      <c r="I590" s="53" t="n"/>
      <c r="J590" s="61">
        <f>IF(A590="","",IF(H590&lt;=Inicio!$B$16,"Crítico",IF(H590&lt;=Inicio!$B$17,"Observar","OK")))</f>
        <v/>
      </c>
      <c r="K590" s="52" t="n"/>
    </row>
    <row r="591">
      <c r="A591" s="52" t="n"/>
      <c r="B591" s="61">
        <f>IFERROR(VLOOKUP(A591,Clientes_PDV!$A$2:$J$250,2,FALSE),"")</f>
        <v/>
      </c>
      <c r="C591" s="61">
        <f>IFERROR(VLOOKUP(A591,Clientes_PDV!$A$2:$J$250,3,FALSE),"")</f>
        <v/>
      </c>
      <c r="D591" s="61">
        <f>IFERROR(VLOOKUP(A591,Clientes_PDV!$A$2:$J$250,4,FALSE),"")</f>
        <v/>
      </c>
      <c r="E591" s="52" t="n"/>
      <c r="F591" s="61">
        <f>IFERROR(VLOOKUP(E591,Maestro_SKU!$A$2:$P$500,2,FALSE),"")</f>
        <v/>
      </c>
      <c r="G591" s="52" t="n"/>
      <c r="H591" s="61">
        <f>IF(OR(G591="",E591=""),"",G591*IFERROR(VLOOKUP(E591,Maestro_SKU!$A$2:$P$500,12,FALSE),1))</f>
        <v/>
      </c>
      <c r="I591" s="53" t="n"/>
      <c r="J591" s="61">
        <f>IF(A591="","",IF(H591&lt;=Inicio!$B$16,"Crítico",IF(H591&lt;=Inicio!$B$17,"Observar","OK")))</f>
        <v/>
      </c>
      <c r="K591" s="52" t="n"/>
    </row>
    <row r="592">
      <c r="A592" s="52" t="n"/>
      <c r="B592" s="61">
        <f>IFERROR(VLOOKUP(A592,Clientes_PDV!$A$2:$J$250,2,FALSE),"")</f>
        <v/>
      </c>
      <c r="C592" s="61">
        <f>IFERROR(VLOOKUP(A592,Clientes_PDV!$A$2:$J$250,3,FALSE),"")</f>
        <v/>
      </c>
      <c r="D592" s="61">
        <f>IFERROR(VLOOKUP(A592,Clientes_PDV!$A$2:$J$250,4,FALSE),"")</f>
        <v/>
      </c>
      <c r="E592" s="52" t="n"/>
      <c r="F592" s="61">
        <f>IFERROR(VLOOKUP(E592,Maestro_SKU!$A$2:$P$500,2,FALSE),"")</f>
        <v/>
      </c>
      <c r="G592" s="52" t="n"/>
      <c r="H592" s="61">
        <f>IF(OR(G592="",E592=""),"",G592*IFERROR(VLOOKUP(E592,Maestro_SKU!$A$2:$P$500,12,FALSE),1))</f>
        <v/>
      </c>
      <c r="I592" s="53" t="n"/>
      <c r="J592" s="61">
        <f>IF(A592="","",IF(H592&lt;=Inicio!$B$16,"Crítico",IF(H592&lt;=Inicio!$B$17,"Observar","OK")))</f>
        <v/>
      </c>
      <c r="K592" s="52" t="n"/>
    </row>
    <row r="593">
      <c r="A593" s="52" t="n"/>
      <c r="B593" s="61">
        <f>IFERROR(VLOOKUP(A593,Clientes_PDV!$A$2:$J$250,2,FALSE),"")</f>
        <v/>
      </c>
      <c r="C593" s="61">
        <f>IFERROR(VLOOKUP(A593,Clientes_PDV!$A$2:$J$250,3,FALSE),"")</f>
        <v/>
      </c>
      <c r="D593" s="61">
        <f>IFERROR(VLOOKUP(A593,Clientes_PDV!$A$2:$J$250,4,FALSE),"")</f>
        <v/>
      </c>
      <c r="E593" s="52" t="n"/>
      <c r="F593" s="61">
        <f>IFERROR(VLOOKUP(E593,Maestro_SKU!$A$2:$P$500,2,FALSE),"")</f>
        <v/>
      </c>
      <c r="G593" s="52" t="n"/>
      <c r="H593" s="61">
        <f>IF(OR(G593="",E593=""),"",G593*IFERROR(VLOOKUP(E593,Maestro_SKU!$A$2:$P$500,12,FALSE),1))</f>
        <v/>
      </c>
      <c r="I593" s="53" t="n"/>
      <c r="J593" s="61">
        <f>IF(A593="","",IF(H593&lt;=Inicio!$B$16,"Crítico",IF(H593&lt;=Inicio!$B$17,"Observar","OK")))</f>
        <v/>
      </c>
      <c r="K593" s="52" t="n"/>
    </row>
    <row r="594">
      <c r="A594" s="52" t="n"/>
      <c r="B594" s="61">
        <f>IFERROR(VLOOKUP(A594,Clientes_PDV!$A$2:$J$250,2,FALSE),"")</f>
        <v/>
      </c>
      <c r="C594" s="61">
        <f>IFERROR(VLOOKUP(A594,Clientes_PDV!$A$2:$J$250,3,FALSE),"")</f>
        <v/>
      </c>
      <c r="D594" s="61">
        <f>IFERROR(VLOOKUP(A594,Clientes_PDV!$A$2:$J$250,4,FALSE),"")</f>
        <v/>
      </c>
      <c r="E594" s="52" t="n"/>
      <c r="F594" s="61">
        <f>IFERROR(VLOOKUP(E594,Maestro_SKU!$A$2:$P$500,2,FALSE),"")</f>
        <v/>
      </c>
      <c r="G594" s="52" t="n"/>
      <c r="H594" s="61">
        <f>IF(OR(G594="",E594=""),"",G594*IFERROR(VLOOKUP(E594,Maestro_SKU!$A$2:$P$500,12,FALSE),1))</f>
        <v/>
      </c>
      <c r="I594" s="53" t="n"/>
      <c r="J594" s="61">
        <f>IF(A594="","",IF(H594&lt;=Inicio!$B$16,"Crítico",IF(H594&lt;=Inicio!$B$17,"Observar","OK")))</f>
        <v/>
      </c>
      <c r="K594" s="52" t="n"/>
    </row>
    <row r="595">
      <c r="A595" s="52" t="n"/>
      <c r="B595" s="61">
        <f>IFERROR(VLOOKUP(A595,Clientes_PDV!$A$2:$J$250,2,FALSE),"")</f>
        <v/>
      </c>
      <c r="C595" s="61">
        <f>IFERROR(VLOOKUP(A595,Clientes_PDV!$A$2:$J$250,3,FALSE),"")</f>
        <v/>
      </c>
      <c r="D595" s="61">
        <f>IFERROR(VLOOKUP(A595,Clientes_PDV!$A$2:$J$250,4,FALSE),"")</f>
        <v/>
      </c>
      <c r="E595" s="52" t="n"/>
      <c r="F595" s="61">
        <f>IFERROR(VLOOKUP(E595,Maestro_SKU!$A$2:$P$500,2,FALSE),"")</f>
        <v/>
      </c>
      <c r="G595" s="52" t="n"/>
      <c r="H595" s="61">
        <f>IF(OR(G595="",E595=""),"",G595*IFERROR(VLOOKUP(E595,Maestro_SKU!$A$2:$P$500,12,FALSE),1))</f>
        <v/>
      </c>
      <c r="I595" s="53" t="n"/>
      <c r="J595" s="61">
        <f>IF(A595="","",IF(H595&lt;=Inicio!$B$16,"Crítico",IF(H595&lt;=Inicio!$B$17,"Observar","OK")))</f>
        <v/>
      </c>
      <c r="K595" s="52" t="n"/>
    </row>
    <row r="596">
      <c r="A596" s="52" t="n"/>
      <c r="B596" s="61">
        <f>IFERROR(VLOOKUP(A596,Clientes_PDV!$A$2:$J$250,2,FALSE),"")</f>
        <v/>
      </c>
      <c r="C596" s="61">
        <f>IFERROR(VLOOKUP(A596,Clientes_PDV!$A$2:$J$250,3,FALSE),"")</f>
        <v/>
      </c>
      <c r="D596" s="61">
        <f>IFERROR(VLOOKUP(A596,Clientes_PDV!$A$2:$J$250,4,FALSE),"")</f>
        <v/>
      </c>
      <c r="E596" s="52" t="n"/>
      <c r="F596" s="61">
        <f>IFERROR(VLOOKUP(E596,Maestro_SKU!$A$2:$P$500,2,FALSE),"")</f>
        <v/>
      </c>
      <c r="G596" s="52" t="n"/>
      <c r="H596" s="61">
        <f>IF(OR(G596="",E596=""),"",G596*IFERROR(VLOOKUP(E596,Maestro_SKU!$A$2:$P$500,12,FALSE),1))</f>
        <v/>
      </c>
      <c r="I596" s="53" t="n"/>
      <c r="J596" s="61">
        <f>IF(A596="","",IF(H596&lt;=Inicio!$B$16,"Crítico",IF(H596&lt;=Inicio!$B$17,"Observar","OK")))</f>
        <v/>
      </c>
      <c r="K596" s="52" t="n"/>
    </row>
    <row r="597">
      <c r="A597" s="52" t="n"/>
      <c r="B597" s="61">
        <f>IFERROR(VLOOKUP(A597,Clientes_PDV!$A$2:$J$250,2,FALSE),"")</f>
        <v/>
      </c>
      <c r="C597" s="61">
        <f>IFERROR(VLOOKUP(A597,Clientes_PDV!$A$2:$J$250,3,FALSE),"")</f>
        <v/>
      </c>
      <c r="D597" s="61">
        <f>IFERROR(VLOOKUP(A597,Clientes_PDV!$A$2:$J$250,4,FALSE),"")</f>
        <v/>
      </c>
      <c r="E597" s="52" t="n"/>
      <c r="F597" s="61">
        <f>IFERROR(VLOOKUP(E597,Maestro_SKU!$A$2:$P$500,2,FALSE),"")</f>
        <v/>
      </c>
      <c r="G597" s="52" t="n"/>
      <c r="H597" s="61">
        <f>IF(OR(G597="",E597=""),"",G597*IFERROR(VLOOKUP(E597,Maestro_SKU!$A$2:$P$500,12,FALSE),1))</f>
        <v/>
      </c>
      <c r="I597" s="53" t="n"/>
      <c r="J597" s="61">
        <f>IF(A597="","",IF(H597&lt;=Inicio!$B$16,"Crítico",IF(H597&lt;=Inicio!$B$17,"Observar","OK")))</f>
        <v/>
      </c>
      <c r="K597" s="52" t="n"/>
    </row>
    <row r="598">
      <c r="A598" s="52" t="n"/>
      <c r="B598" s="61">
        <f>IFERROR(VLOOKUP(A598,Clientes_PDV!$A$2:$J$250,2,FALSE),"")</f>
        <v/>
      </c>
      <c r="C598" s="61">
        <f>IFERROR(VLOOKUP(A598,Clientes_PDV!$A$2:$J$250,3,FALSE),"")</f>
        <v/>
      </c>
      <c r="D598" s="61">
        <f>IFERROR(VLOOKUP(A598,Clientes_PDV!$A$2:$J$250,4,FALSE),"")</f>
        <v/>
      </c>
      <c r="E598" s="52" t="n"/>
      <c r="F598" s="61">
        <f>IFERROR(VLOOKUP(E598,Maestro_SKU!$A$2:$P$500,2,FALSE),"")</f>
        <v/>
      </c>
      <c r="G598" s="52" t="n"/>
      <c r="H598" s="61">
        <f>IF(OR(G598="",E598=""),"",G598*IFERROR(VLOOKUP(E598,Maestro_SKU!$A$2:$P$500,12,FALSE),1))</f>
        <v/>
      </c>
      <c r="I598" s="53" t="n"/>
      <c r="J598" s="61">
        <f>IF(A598="","",IF(H598&lt;=Inicio!$B$16,"Crítico",IF(H598&lt;=Inicio!$B$17,"Observar","OK")))</f>
        <v/>
      </c>
      <c r="K598" s="52" t="n"/>
    </row>
    <row r="599">
      <c r="A599" s="52" t="n"/>
      <c r="B599" s="61">
        <f>IFERROR(VLOOKUP(A599,Clientes_PDV!$A$2:$J$250,2,FALSE),"")</f>
        <v/>
      </c>
      <c r="C599" s="61">
        <f>IFERROR(VLOOKUP(A599,Clientes_PDV!$A$2:$J$250,3,FALSE),"")</f>
        <v/>
      </c>
      <c r="D599" s="61">
        <f>IFERROR(VLOOKUP(A599,Clientes_PDV!$A$2:$J$250,4,FALSE),"")</f>
        <v/>
      </c>
      <c r="E599" s="52" t="n"/>
      <c r="F599" s="61">
        <f>IFERROR(VLOOKUP(E599,Maestro_SKU!$A$2:$P$500,2,FALSE),"")</f>
        <v/>
      </c>
      <c r="G599" s="52" t="n"/>
      <c r="H599" s="61">
        <f>IF(OR(G599="",E599=""),"",G599*IFERROR(VLOOKUP(E599,Maestro_SKU!$A$2:$P$500,12,FALSE),1))</f>
        <v/>
      </c>
      <c r="I599" s="53" t="n"/>
      <c r="J599" s="61">
        <f>IF(A599="","",IF(H599&lt;=Inicio!$B$16,"Crítico",IF(H599&lt;=Inicio!$B$17,"Observar","OK")))</f>
        <v/>
      </c>
      <c r="K599" s="52" t="n"/>
    </row>
    <row r="600">
      <c r="A600" s="52" t="n"/>
      <c r="B600" s="61">
        <f>IFERROR(VLOOKUP(A600,Clientes_PDV!$A$2:$J$250,2,FALSE),"")</f>
        <v/>
      </c>
      <c r="C600" s="61">
        <f>IFERROR(VLOOKUP(A600,Clientes_PDV!$A$2:$J$250,3,FALSE),"")</f>
        <v/>
      </c>
      <c r="D600" s="61">
        <f>IFERROR(VLOOKUP(A600,Clientes_PDV!$A$2:$J$250,4,FALSE),"")</f>
        <v/>
      </c>
      <c r="E600" s="52" t="n"/>
      <c r="F600" s="61">
        <f>IFERROR(VLOOKUP(E600,Maestro_SKU!$A$2:$P$500,2,FALSE),"")</f>
        <v/>
      </c>
      <c r="G600" s="52" t="n"/>
      <c r="H600" s="61">
        <f>IF(OR(G600="",E600=""),"",G600*IFERROR(VLOOKUP(E600,Maestro_SKU!$A$2:$P$500,12,FALSE),1))</f>
        <v/>
      </c>
      <c r="I600" s="53" t="n"/>
      <c r="J600" s="61">
        <f>IF(A600="","",IF(H600&lt;=Inicio!$B$16,"Crítico",IF(H600&lt;=Inicio!$B$17,"Observar","OK")))</f>
        <v/>
      </c>
      <c r="K600" s="52" t="n"/>
    </row>
    <row r="601">
      <c r="A601" s="52" t="n"/>
      <c r="B601" s="61">
        <f>IFERROR(VLOOKUP(A601,Clientes_PDV!$A$2:$J$250,2,FALSE),"")</f>
        <v/>
      </c>
      <c r="C601" s="61">
        <f>IFERROR(VLOOKUP(A601,Clientes_PDV!$A$2:$J$250,3,FALSE),"")</f>
        <v/>
      </c>
      <c r="D601" s="61">
        <f>IFERROR(VLOOKUP(A601,Clientes_PDV!$A$2:$J$250,4,FALSE),"")</f>
        <v/>
      </c>
      <c r="E601" s="52" t="n"/>
      <c r="F601" s="61">
        <f>IFERROR(VLOOKUP(E601,Maestro_SKU!$A$2:$P$500,2,FALSE),"")</f>
        <v/>
      </c>
      <c r="G601" s="52" t="n"/>
      <c r="H601" s="61">
        <f>IF(OR(G601="",E601=""),"",G601*IFERROR(VLOOKUP(E601,Maestro_SKU!$A$2:$P$500,12,FALSE),1))</f>
        <v/>
      </c>
      <c r="I601" s="53" t="n"/>
      <c r="J601" s="61">
        <f>IF(A601="","",IF(H601&lt;=Inicio!$B$16,"Crítico",IF(H601&lt;=Inicio!$B$17,"Observar","OK")))</f>
        <v/>
      </c>
      <c r="K601" s="52" t="n"/>
    </row>
    <row r="602">
      <c r="A602" s="52" t="n"/>
      <c r="B602" s="61">
        <f>IFERROR(VLOOKUP(A602,Clientes_PDV!$A$2:$J$250,2,FALSE),"")</f>
        <v/>
      </c>
      <c r="C602" s="61">
        <f>IFERROR(VLOOKUP(A602,Clientes_PDV!$A$2:$J$250,3,FALSE),"")</f>
        <v/>
      </c>
      <c r="D602" s="61">
        <f>IFERROR(VLOOKUP(A602,Clientes_PDV!$A$2:$J$250,4,FALSE),"")</f>
        <v/>
      </c>
      <c r="E602" s="52" t="n"/>
      <c r="F602" s="61">
        <f>IFERROR(VLOOKUP(E602,Maestro_SKU!$A$2:$P$500,2,FALSE),"")</f>
        <v/>
      </c>
      <c r="G602" s="52" t="n"/>
      <c r="H602" s="61">
        <f>IF(OR(G602="",E602=""),"",G602*IFERROR(VLOOKUP(E602,Maestro_SKU!$A$2:$P$500,12,FALSE),1))</f>
        <v/>
      </c>
      <c r="I602" s="53" t="n"/>
      <c r="J602" s="61">
        <f>IF(A602="","",IF(H602&lt;=Inicio!$B$16,"Crítico",IF(H602&lt;=Inicio!$B$17,"Observar","OK")))</f>
        <v/>
      </c>
      <c r="K602" s="52" t="n"/>
    </row>
    <row r="603">
      <c r="A603" s="52" t="n"/>
      <c r="B603" s="61">
        <f>IFERROR(VLOOKUP(A603,Clientes_PDV!$A$2:$J$250,2,FALSE),"")</f>
        <v/>
      </c>
      <c r="C603" s="61">
        <f>IFERROR(VLOOKUP(A603,Clientes_PDV!$A$2:$J$250,3,FALSE),"")</f>
        <v/>
      </c>
      <c r="D603" s="61">
        <f>IFERROR(VLOOKUP(A603,Clientes_PDV!$A$2:$J$250,4,FALSE),"")</f>
        <v/>
      </c>
      <c r="E603" s="52" t="n"/>
      <c r="F603" s="61">
        <f>IFERROR(VLOOKUP(E603,Maestro_SKU!$A$2:$P$500,2,FALSE),"")</f>
        <v/>
      </c>
      <c r="G603" s="52" t="n"/>
      <c r="H603" s="61">
        <f>IF(OR(G603="",E603=""),"",G603*IFERROR(VLOOKUP(E603,Maestro_SKU!$A$2:$P$500,12,FALSE),1))</f>
        <v/>
      </c>
      <c r="I603" s="53" t="n"/>
      <c r="J603" s="61">
        <f>IF(A603="","",IF(H603&lt;=Inicio!$B$16,"Crítico",IF(H603&lt;=Inicio!$B$17,"Observar","OK")))</f>
        <v/>
      </c>
      <c r="K603" s="52" t="n"/>
    </row>
    <row r="604">
      <c r="A604" s="52" t="n"/>
      <c r="B604" s="61">
        <f>IFERROR(VLOOKUP(A604,Clientes_PDV!$A$2:$J$250,2,FALSE),"")</f>
        <v/>
      </c>
      <c r="C604" s="61">
        <f>IFERROR(VLOOKUP(A604,Clientes_PDV!$A$2:$J$250,3,FALSE),"")</f>
        <v/>
      </c>
      <c r="D604" s="61">
        <f>IFERROR(VLOOKUP(A604,Clientes_PDV!$A$2:$J$250,4,FALSE),"")</f>
        <v/>
      </c>
      <c r="E604" s="52" t="n"/>
      <c r="F604" s="61">
        <f>IFERROR(VLOOKUP(E604,Maestro_SKU!$A$2:$P$500,2,FALSE),"")</f>
        <v/>
      </c>
      <c r="G604" s="52" t="n"/>
      <c r="H604" s="61">
        <f>IF(OR(G604="",E604=""),"",G604*IFERROR(VLOOKUP(E604,Maestro_SKU!$A$2:$P$500,12,FALSE),1))</f>
        <v/>
      </c>
      <c r="I604" s="53" t="n"/>
      <c r="J604" s="61">
        <f>IF(A604="","",IF(H604&lt;=Inicio!$B$16,"Crítico",IF(H604&lt;=Inicio!$B$17,"Observar","OK")))</f>
        <v/>
      </c>
      <c r="K604" s="52" t="n"/>
    </row>
    <row r="605">
      <c r="A605" s="52" t="n"/>
      <c r="B605" s="61">
        <f>IFERROR(VLOOKUP(A605,Clientes_PDV!$A$2:$J$250,2,FALSE),"")</f>
        <v/>
      </c>
      <c r="C605" s="61">
        <f>IFERROR(VLOOKUP(A605,Clientes_PDV!$A$2:$J$250,3,FALSE),"")</f>
        <v/>
      </c>
      <c r="D605" s="61">
        <f>IFERROR(VLOOKUP(A605,Clientes_PDV!$A$2:$J$250,4,FALSE),"")</f>
        <v/>
      </c>
      <c r="E605" s="52" t="n"/>
      <c r="F605" s="61">
        <f>IFERROR(VLOOKUP(E605,Maestro_SKU!$A$2:$P$500,2,FALSE),"")</f>
        <v/>
      </c>
      <c r="G605" s="52" t="n"/>
      <c r="H605" s="61">
        <f>IF(OR(G605="",E605=""),"",G605*IFERROR(VLOOKUP(E605,Maestro_SKU!$A$2:$P$500,12,FALSE),1))</f>
        <v/>
      </c>
      <c r="I605" s="53" t="n"/>
      <c r="J605" s="61">
        <f>IF(A605="","",IF(H605&lt;=Inicio!$B$16,"Crítico",IF(H605&lt;=Inicio!$B$17,"Observar","OK")))</f>
        <v/>
      </c>
      <c r="K605" s="52" t="n"/>
    </row>
    <row r="606">
      <c r="A606" s="52" t="n"/>
      <c r="B606" s="61">
        <f>IFERROR(VLOOKUP(A606,Clientes_PDV!$A$2:$J$250,2,FALSE),"")</f>
        <v/>
      </c>
      <c r="C606" s="61">
        <f>IFERROR(VLOOKUP(A606,Clientes_PDV!$A$2:$J$250,3,FALSE),"")</f>
        <v/>
      </c>
      <c r="D606" s="61">
        <f>IFERROR(VLOOKUP(A606,Clientes_PDV!$A$2:$J$250,4,FALSE),"")</f>
        <v/>
      </c>
      <c r="E606" s="52" t="n"/>
      <c r="F606" s="61">
        <f>IFERROR(VLOOKUP(E606,Maestro_SKU!$A$2:$P$500,2,FALSE),"")</f>
        <v/>
      </c>
      <c r="G606" s="52" t="n"/>
      <c r="H606" s="61">
        <f>IF(OR(G606="",E606=""),"",G606*IFERROR(VLOOKUP(E606,Maestro_SKU!$A$2:$P$500,12,FALSE),1))</f>
        <v/>
      </c>
      <c r="I606" s="53" t="n"/>
      <c r="J606" s="61">
        <f>IF(A606="","",IF(H606&lt;=Inicio!$B$16,"Crítico",IF(H606&lt;=Inicio!$B$17,"Observar","OK")))</f>
        <v/>
      </c>
      <c r="K606" s="52" t="n"/>
    </row>
    <row r="607">
      <c r="A607" s="52" t="n"/>
      <c r="B607" s="61">
        <f>IFERROR(VLOOKUP(A607,Clientes_PDV!$A$2:$J$250,2,FALSE),"")</f>
        <v/>
      </c>
      <c r="C607" s="61">
        <f>IFERROR(VLOOKUP(A607,Clientes_PDV!$A$2:$J$250,3,FALSE),"")</f>
        <v/>
      </c>
      <c r="D607" s="61">
        <f>IFERROR(VLOOKUP(A607,Clientes_PDV!$A$2:$J$250,4,FALSE),"")</f>
        <v/>
      </c>
      <c r="E607" s="52" t="n"/>
      <c r="F607" s="61">
        <f>IFERROR(VLOOKUP(E607,Maestro_SKU!$A$2:$P$500,2,FALSE),"")</f>
        <v/>
      </c>
      <c r="G607" s="52" t="n"/>
      <c r="H607" s="61">
        <f>IF(OR(G607="",E607=""),"",G607*IFERROR(VLOOKUP(E607,Maestro_SKU!$A$2:$P$500,12,FALSE),1))</f>
        <v/>
      </c>
      <c r="I607" s="53" t="n"/>
      <c r="J607" s="61">
        <f>IF(A607="","",IF(H607&lt;=Inicio!$B$16,"Crítico",IF(H607&lt;=Inicio!$B$17,"Observar","OK")))</f>
        <v/>
      </c>
      <c r="K607" s="52" t="n"/>
    </row>
    <row r="608">
      <c r="A608" s="52" t="n"/>
      <c r="B608" s="61">
        <f>IFERROR(VLOOKUP(A608,Clientes_PDV!$A$2:$J$250,2,FALSE),"")</f>
        <v/>
      </c>
      <c r="C608" s="61">
        <f>IFERROR(VLOOKUP(A608,Clientes_PDV!$A$2:$J$250,3,FALSE),"")</f>
        <v/>
      </c>
      <c r="D608" s="61">
        <f>IFERROR(VLOOKUP(A608,Clientes_PDV!$A$2:$J$250,4,FALSE),"")</f>
        <v/>
      </c>
      <c r="E608" s="52" t="n"/>
      <c r="F608" s="61">
        <f>IFERROR(VLOOKUP(E608,Maestro_SKU!$A$2:$P$500,2,FALSE),"")</f>
        <v/>
      </c>
      <c r="G608" s="52" t="n"/>
      <c r="H608" s="61">
        <f>IF(OR(G608="",E608=""),"",G608*IFERROR(VLOOKUP(E608,Maestro_SKU!$A$2:$P$500,12,FALSE),1))</f>
        <v/>
      </c>
      <c r="I608" s="53" t="n"/>
      <c r="J608" s="61">
        <f>IF(A608="","",IF(H608&lt;=Inicio!$B$16,"Crítico",IF(H608&lt;=Inicio!$B$17,"Observar","OK")))</f>
        <v/>
      </c>
      <c r="K608" s="52" t="n"/>
    </row>
    <row r="609">
      <c r="A609" s="52" t="n"/>
      <c r="B609" s="61">
        <f>IFERROR(VLOOKUP(A609,Clientes_PDV!$A$2:$J$250,2,FALSE),"")</f>
        <v/>
      </c>
      <c r="C609" s="61">
        <f>IFERROR(VLOOKUP(A609,Clientes_PDV!$A$2:$J$250,3,FALSE),"")</f>
        <v/>
      </c>
      <c r="D609" s="61">
        <f>IFERROR(VLOOKUP(A609,Clientes_PDV!$A$2:$J$250,4,FALSE),"")</f>
        <v/>
      </c>
      <c r="E609" s="52" t="n"/>
      <c r="F609" s="61">
        <f>IFERROR(VLOOKUP(E609,Maestro_SKU!$A$2:$P$500,2,FALSE),"")</f>
        <v/>
      </c>
      <c r="G609" s="52" t="n"/>
      <c r="H609" s="61">
        <f>IF(OR(G609="",E609=""),"",G609*IFERROR(VLOOKUP(E609,Maestro_SKU!$A$2:$P$500,12,FALSE),1))</f>
        <v/>
      </c>
      <c r="I609" s="53" t="n"/>
      <c r="J609" s="61">
        <f>IF(A609="","",IF(H609&lt;=Inicio!$B$16,"Crítico",IF(H609&lt;=Inicio!$B$17,"Observar","OK")))</f>
        <v/>
      </c>
      <c r="K609" s="52" t="n"/>
    </row>
    <row r="610">
      <c r="A610" s="52" t="n"/>
      <c r="B610" s="61">
        <f>IFERROR(VLOOKUP(A610,Clientes_PDV!$A$2:$J$250,2,FALSE),"")</f>
        <v/>
      </c>
      <c r="C610" s="61">
        <f>IFERROR(VLOOKUP(A610,Clientes_PDV!$A$2:$J$250,3,FALSE),"")</f>
        <v/>
      </c>
      <c r="D610" s="61">
        <f>IFERROR(VLOOKUP(A610,Clientes_PDV!$A$2:$J$250,4,FALSE),"")</f>
        <v/>
      </c>
      <c r="E610" s="52" t="n"/>
      <c r="F610" s="61">
        <f>IFERROR(VLOOKUP(E610,Maestro_SKU!$A$2:$P$500,2,FALSE),"")</f>
        <v/>
      </c>
      <c r="G610" s="52" t="n"/>
      <c r="H610" s="61">
        <f>IF(OR(G610="",E610=""),"",G610*IFERROR(VLOOKUP(E610,Maestro_SKU!$A$2:$P$500,12,FALSE),1))</f>
        <v/>
      </c>
      <c r="I610" s="53" t="n"/>
      <c r="J610" s="61">
        <f>IF(A610="","",IF(H610&lt;=Inicio!$B$16,"Crítico",IF(H610&lt;=Inicio!$B$17,"Observar","OK")))</f>
        <v/>
      </c>
      <c r="K610" s="52" t="n"/>
    </row>
    <row r="611">
      <c r="A611" s="52" t="n"/>
      <c r="B611" s="61">
        <f>IFERROR(VLOOKUP(A611,Clientes_PDV!$A$2:$J$250,2,FALSE),"")</f>
        <v/>
      </c>
      <c r="C611" s="61">
        <f>IFERROR(VLOOKUP(A611,Clientes_PDV!$A$2:$J$250,3,FALSE),"")</f>
        <v/>
      </c>
      <c r="D611" s="61">
        <f>IFERROR(VLOOKUP(A611,Clientes_PDV!$A$2:$J$250,4,FALSE),"")</f>
        <v/>
      </c>
      <c r="E611" s="52" t="n"/>
      <c r="F611" s="61">
        <f>IFERROR(VLOOKUP(E611,Maestro_SKU!$A$2:$P$500,2,FALSE),"")</f>
        <v/>
      </c>
      <c r="G611" s="52" t="n"/>
      <c r="H611" s="61">
        <f>IF(OR(G611="",E611=""),"",G611*IFERROR(VLOOKUP(E611,Maestro_SKU!$A$2:$P$500,12,FALSE),1))</f>
        <v/>
      </c>
      <c r="I611" s="53" t="n"/>
      <c r="J611" s="61">
        <f>IF(A611="","",IF(H611&lt;=Inicio!$B$16,"Crítico",IF(H611&lt;=Inicio!$B$17,"Observar","OK")))</f>
        <v/>
      </c>
      <c r="K611" s="52" t="n"/>
    </row>
    <row r="612">
      <c r="A612" s="52" t="n"/>
      <c r="B612" s="61">
        <f>IFERROR(VLOOKUP(A612,Clientes_PDV!$A$2:$J$250,2,FALSE),"")</f>
        <v/>
      </c>
      <c r="C612" s="61">
        <f>IFERROR(VLOOKUP(A612,Clientes_PDV!$A$2:$J$250,3,FALSE),"")</f>
        <v/>
      </c>
      <c r="D612" s="61">
        <f>IFERROR(VLOOKUP(A612,Clientes_PDV!$A$2:$J$250,4,FALSE),"")</f>
        <v/>
      </c>
      <c r="E612" s="52" t="n"/>
      <c r="F612" s="61">
        <f>IFERROR(VLOOKUP(E612,Maestro_SKU!$A$2:$P$500,2,FALSE),"")</f>
        <v/>
      </c>
      <c r="G612" s="52" t="n"/>
      <c r="H612" s="61">
        <f>IF(OR(G612="",E612=""),"",G612*IFERROR(VLOOKUP(E612,Maestro_SKU!$A$2:$P$500,12,FALSE),1))</f>
        <v/>
      </c>
      <c r="I612" s="53" t="n"/>
      <c r="J612" s="61">
        <f>IF(A612="","",IF(H612&lt;=Inicio!$B$16,"Crítico",IF(H612&lt;=Inicio!$B$17,"Observar","OK")))</f>
        <v/>
      </c>
      <c r="K612" s="52" t="n"/>
    </row>
    <row r="613">
      <c r="A613" s="52" t="n"/>
      <c r="B613" s="61">
        <f>IFERROR(VLOOKUP(A613,Clientes_PDV!$A$2:$J$250,2,FALSE),"")</f>
        <v/>
      </c>
      <c r="C613" s="61">
        <f>IFERROR(VLOOKUP(A613,Clientes_PDV!$A$2:$J$250,3,FALSE),"")</f>
        <v/>
      </c>
      <c r="D613" s="61">
        <f>IFERROR(VLOOKUP(A613,Clientes_PDV!$A$2:$J$250,4,FALSE),"")</f>
        <v/>
      </c>
      <c r="E613" s="52" t="n"/>
      <c r="F613" s="61">
        <f>IFERROR(VLOOKUP(E613,Maestro_SKU!$A$2:$P$500,2,FALSE),"")</f>
        <v/>
      </c>
      <c r="G613" s="52" t="n"/>
      <c r="H613" s="61">
        <f>IF(OR(G613="",E613=""),"",G613*IFERROR(VLOOKUP(E613,Maestro_SKU!$A$2:$P$500,12,FALSE),1))</f>
        <v/>
      </c>
      <c r="I613" s="53" t="n"/>
      <c r="J613" s="61">
        <f>IF(A613="","",IF(H613&lt;=Inicio!$B$16,"Crítico",IF(H613&lt;=Inicio!$B$17,"Observar","OK")))</f>
        <v/>
      </c>
      <c r="K613" s="52" t="n"/>
    </row>
    <row r="614">
      <c r="A614" s="52" t="n"/>
      <c r="B614" s="61">
        <f>IFERROR(VLOOKUP(A614,Clientes_PDV!$A$2:$J$250,2,FALSE),"")</f>
        <v/>
      </c>
      <c r="C614" s="61">
        <f>IFERROR(VLOOKUP(A614,Clientes_PDV!$A$2:$J$250,3,FALSE),"")</f>
        <v/>
      </c>
      <c r="D614" s="61">
        <f>IFERROR(VLOOKUP(A614,Clientes_PDV!$A$2:$J$250,4,FALSE),"")</f>
        <v/>
      </c>
      <c r="E614" s="52" t="n"/>
      <c r="F614" s="61">
        <f>IFERROR(VLOOKUP(E614,Maestro_SKU!$A$2:$P$500,2,FALSE),"")</f>
        <v/>
      </c>
      <c r="G614" s="52" t="n"/>
      <c r="H614" s="61">
        <f>IF(OR(G614="",E614=""),"",G614*IFERROR(VLOOKUP(E614,Maestro_SKU!$A$2:$P$500,12,FALSE),1))</f>
        <v/>
      </c>
      <c r="I614" s="53" t="n"/>
      <c r="J614" s="61">
        <f>IF(A614="","",IF(H614&lt;=Inicio!$B$16,"Crítico",IF(H614&lt;=Inicio!$B$17,"Observar","OK")))</f>
        <v/>
      </c>
      <c r="K614" s="52" t="n"/>
    </row>
    <row r="615">
      <c r="A615" s="52" t="n"/>
      <c r="B615" s="61">
        <f>IFERROR(VLOOKUP(A615,Clientes_PDV!$A$2:$J$250,2,FALSE),"")</f>
        <v/>
      </c>
      <c r="C615" s="61">
        <f>IFERROR(VLOOKUP(A615,Clientes_PDV!$A$2:$J$250,3,FALSE),"")</f>
        <v/>
      </c>
      <c r="D615" s="61">
        <f>IFERROR(VLOOKUP(A615,Clientes_PDV!$A$2:$J$250,4,FALSE),"")</f>
        <v/>
      </c>
      <c r="E615" s="52" t="n"/>
      <c r="F615" s="61">
        <f>IFERROR(VLOOKUP(E615,Maestro_SKU!$A$2:$P$500,2,FALSE),"")</f>
        <v/>
      </c>
      <c r="G615" s="52" t="n"/>
      <c r="H615" s="61">
        <f>IF(OR(G615="",E615=""),"",G615*IFERROR(VLOOKUP(E615,Maestro_SKU!$A$2:$P$500,12,FALSE),1))</f>
        <v/>
      </c>
      <c r="I615" s="53" t="n"/>
      <c r="J615" s="61">
        <f>IF(A615="","",IF(H615&lt;=Inicio!$B$16,"Crítico",IF(H615&lt;=Inicio!$B$17,"Observar","OK")))</f>
        <v/>
      </c>
      <c r="K615" s="52" t="n"/>
    </row>
    <row r="616">
      <c r="A616" s="52" t="n"/>
      <c r="B616" s="61">
        <f>IFERROR(VLOOKUP(A616,Clientes_PDV!$A$2:$J$250,2,FALSE),"")</f>
        <v/>
      </c>
      <c r="C616" s="61">
        <f>IFERROR(VLOOKUP(A616,Clientes_PDV!$A$2:$J$250,3,FALSE),"")</f>
        <v/>
      </c>
      <c r="D616" s="61">
        <f>IFERROR(VLOOKUP(A616,Clientes_PDV!$A$2:$J$250,4,FALSE),"")</f>
        <v/>
      </c>
      <c r="E616" s="52" t="n"/>
      <c r="F616" s="61">
        <f>IFERROR(VLOOKUP(E616,Maestro_SKU!$A$2:$P$500,2,FALSE),"")</f>
        <v/>
      </c>
      <c r="G616" s="52" t="n"/>
      <c r="H616" s="61">
        <f>IF(OR(G616="",E616=""),"",G616*IFERROR(VLOOKUP(E616,Maestro_SKU!$A$2:$P$500,12,FALSE),1))</f>
        <v/>
      </c>
      <c r="I616" s="53" t="n"/>
      <c r="J616" s="61">
        <f>IF(A616="","",IF(H616&lt;=Inicio!$B$16,"Crítico",IF(H616&lt;=Inicio!$B$17,"Observar","OK")))</f>
        <v/>
      </c>
      <c r="K616" s="52" t="n"/>
    </row>
    <row r="617">
      <c r="A617" s="52" t="n"/>
      <c r="B617" s="61">
        <f>IFERROR(VLOOKUP(A617,Clientes_PDV!$A$2:$J$250,2,FALSE),"")</f>
        <v/>
      </c>
      <c r="C617" s="61">
        <f>IFERROR(VLOOKUP(A617,Clientes_PDV!$A$2:$J$250,3,FALSE),"")</f>
        <v/>
      </c>
      <c r="D617" s="61">
        <f>IFERROR(VLOOKUP(A617,Clientes_PDV!$A$2:$J$250,4,FALSE),"")</f>
        <v/>
      </c>
      <c r="E617" s="52" t="n"/>
      <c r="F617" s="61">
        <f>IFERROR(VLOOKUP(E617,Maestro_SKU!$A$2:$P$500,2,FALSE),"")</f>
        <v/>
      </c>
      <c r="G617" s="52" t="n"/>
      <c r="H617" s="61">
        <f>IF(OR(G617="",E617=""),"",G617*IFERROR(VLOOKUP(E617,Maestro_SKU!$A$2:$P$500,12,FALSE),1))</f>
        <v/>
      </c>
      <c r="I617" s="53" t="n"/>
      <c r="J617" s="61">
        <f>IF(A617="","",IF(H617&lt;=Inicio!$B$16,"Crítico",IF(H617&lt;=Inicio!$B$17,"Observar","OK")))</f>
        <v/>
      </c>
      <c r="K617" s="52" t="n"/>
    </row>
    <row r="618">
      <c r="A618" s="52" t="n"/>
      <c r="B618" s="61">
        <f>IFERROR(VLOOKUP(A618,Clientes_PDV!$A$2:$J$250,2,FALSE),"")</f>
        <v/>
      </c>
      <c r="C618" s="61">
        <f>IFERROR(VLOOKUP(A618,Clientes_PDV!$A$2:$J$250,3,FALSE),"")</f>
        <v/>
      </c>
      <c r="D618" s="61">
        <f>IFERROR(VLOOKUP(A618,Clientes_PDV!$A$2:$J$250,4,FALSE),"")</f>
        <v/>
      </c>
      <c r="E618" s="52" t="n"/>
      <c r="F618" s="61">
        <f>IFERROR(VLOOKUP(E618,Maestro_SKU!$A$2:$P$500,2,FALSE),"")</f>
        <v/>
      </c>
      <c r="G618" s="52" t="n"/>
      <c r="H618" s="61">
        <f>IF(OR(G618="",E618=""),"",G618*IFERROR(VLOOKUP(E618,Maestro_SKU!$A$2:$P$500,12,FALSE),1))</f>
        <v/>
      </c>
      <c r="I618" s="53" t="n"/>
      <c r="J618" s="61">
        <f>IF(A618="","",IF(H618&lt;=Inicio!$B$16,"Crítico",IF(H618&lt;=Inicio!$B$17,"Observar","OK")))</f>
        <v/>
      </c>
      <c r="K618" s="52" t="n"/>
    </row>
    <row r="619">
      <c r="A619" s="52" t="n"/>
      <c r="B619" s="61">
        <f>IFERROR(VLOOKUP(A619,Clientes_PDV!$A$2:$J$250,2,FALSE),"")</f>
        <v/>
      </c>
      <c r="C619" s="61">
        <f>IFERROR(VLOOKUP(A619,Clientes_PDV!$A$2:$J$250,3,FALSE),"")</f>
        <v/>
      </c>
      <c r="D619" s="61">
        <f>IFERROR(VLOOKUP(A619,Clientes_PDV!$A$2:$J$250,4,FALSE),"")</f>
        <v/>
      </c>
      <c r="E619" s="52" t="n"/>
      <c r="F619" s="61">
        <f>IFERROR(VLOOKUP(E619,Maestro_SKU!$A$2:$P$500,2,FALSE),"")</f>
        <v/>
      </c>
      <c r="G619" s="52" t="n"/>
      <c r="H619" s="61">
        <f>IF(OR(G619="",E619=""),"",G619*IFERROR(VLOOKUP(E619,Maestro_SKU!$A$2:$P$500,12,FALSE),1))</f>
        <v/>
      </c>
      <c r="I619" s="53" t="n"/>
      <c r="J619" s="61">
        <f>IF(A619="","",IF(H619&lt;=Inicio!$B$16,"Crítico",IF(H619&lt;=Inicio!$B$17,"Observar","OK")))</f>
        <v/>
      </c>
      <c r="K619" s="52" t="n"/>
    </row>
    <row r="620">
      <c r="A620" s="52" t="n"/>
      <c r="B620" s="61">
        <f>IFERROR(VLOOKUP(A620,Clientes_PDV!$A$2:$J$250,2,FALSE),"")</f>
        <v/>
      </c>
      <c r="C620" s="61">
        <f>IFERROR(VLOOKUP(A620,Clientes_PDV!$A$2:$J$250,3,FALSE),"")</f>
        <v/>
      </c>
      <c r="D620" s="61">
        <f>IFERROR(VLOOKUP(A620,Clientes_PDV!$A$2:$J$250,4,FALSE),"")</f>
        <v/>
      </c>
      <c r="E620" s="52" t="n"/>
      <c r="F620" s="61">
        <f>IFERROR(VLOOKUP(E620,Maestro_SKU!$A$2:$P$500,2,FALSE),"")</f>
        <v/>
      </c>
      <c r="G620" s="52" t="n"/>
      <c r="H620" s="61">
        <f>IF(OR(G620="",E620=""),"",G620*IFERROR(VLOOKUP(E620,Maestro_SKU!$A$2:$P$500,12,FALSE),1))</f>
        <v/>
      </c>
      <c r="I620" s="53" t="n"/>
      <c r="J620" s="61">
        <f>IF(A620="","",IF(H620&lt;=Inicio!$B$16,"Crítico",IF(H620&lt;=Inicio!$B$17,"Observar","OK")))</f>
        <v/>
      </c>
      <c r="K620" s="52" t="n"/>
    </row>
    <row r="621">
      <c r="A621" s="52" t="n"/>
      <c r="B621" s="61">
        <f>IFERROR(VLOOKUP(A621,Clientes_PDV!$A$2:$J$250,2,FALSE),"")</f>
        <v/>
      </c>
      <c r="C621" s="61">
        <f>IFERROR(VLOOKUP(A621,Clientes_PDV!$A$2:$J$250,3,FALSE),"")</f>
        <v/>
      </c>
      <c r="D621" s="61">
        <f>IFERROR(VLOOKUP(A621,Clientes_PDV!$A$2:$J$250,4,FALSE),"")</f>
        <v/>
      </c>
      <c r="E621" s="52" t="n"/>
      <c r="F621" s="61">
        <f>IFERROR(VLOOKUP(E621,Maestro_SKU!$A$2:$P$500,2,FALSE),"")</f>
        <v/>
      </c>
      <c r="G621" s="52" t="n"/>
      <c r="H621" s="61">
        <f>IF(OR(G621="",E621=""),"",G621*IFERROR(VLOOKUP(E621,Maestro_SKU!$A$2:$P$500,12,FALSE),1))</f>
        <v/>
      </c>
      <c r="I621" s="53" t="n"/>
      <c r="J621" s="61">
        <f>IF(A621="","",IF(H621&lt;=Inicio!$B$16,"Crítico",IF(H621&lt;=Inicio!$B$17,"Observar","OK")))</f>
        <v/>
      </c>
      <c r="K621" s="52" t="n"/>
    </row>
    <row r="622">
      <c r="A622" s="52" t="n"/>
      <c r="B622" s="61">
        <f>IFERROR(VLOOKUP(A622,Clientes_PDV!$A$2:$J$250,2,FALSE),"")</f>
        <v/>
      </c>
      <c r="C622" s="61">
        <f>IFERROR(VLOOKUP(A622,Clientes_PDV!$A$2:$J$250,3,FALSE),"")</f>
        <v/>
      </c>
      <c r="D622" s="61">
        <f>IFERROR(VLOOKUP(A622,Clientes_PDV!$A$2:$J$250,4,FALSE),"")</f>
        <v/>
      </c>
      <c r="E622" s="52" t="n"/>
      <c r="F622" s="61">
        <f>IFERROR(VLOOKUP(E622,Maestro_SKU!$A$2:$P$500,2,FALSE),"")</f>
        <v/>
      </c>
      <c r="G622" s="52" t="n"/>
      <c r="H622" s="61">
        <f>IF(OR(G622="",E622=""),"",G622*IFERROR(VLOOKUP(E622,Maestro_SKU!$A$2:$P$500,12,FALSE),1))</f>
        <v/>
      </c>
      <c r="I622" s="53" t="n"/>
      <c r="J622" s="61">
        <f>IF(A622="","",IF(H622&lt;=Inicio!$B$16,"Crítico",IF(H622&lt;=Inicio!$B$17,"Observar","OK")))</f>
        <v/>
      </c>
      <c r="K622" s="52" t="n"/>
    </row>
    <row r="623">
      <c r="A623" s="52" t="n"/>
      <c r="B623" s="61">
        <f>IFERROR(VLOOKUP(A623,Clientes_PDV!$A$2:$J$250,2,FALSE),"")</f>
        <v/>
      </c>
      <c r="C623" s="61">
        <f>IFERROR(VLOOKUP(A623,Clientes_PDV!$A$2:$J$250,3,FALSE),"")</f>
        <v/>
      </c>
      <c r="D623" s="61">
        <f>IFERROR(VLOOKUP(A623,Clientes_PDV!$A$2:$J$250,4,FALSE),"")</f>
        <v/>
      </c>
      <c r="E623" s="52" t="n"/>
      <c r="F623" s="61">
        <f>IFERROR(VLOOKUP(E623,Maestro_SKU!$A$2:$P$500,2,FALSE),"")</f>
        <v/>
      </c>
      <c r="G623" s="52" t="n"/>
      <c r="H623" s="61">
        <f>IF(OR(G623="",E623=""),"",G623*IFERROR(VLOOKUP(E623,Maestro_SKU!$A$2:$P$500,12,FALSE),1))</f>
        <v/>
      </c>
      <c r="I623" s="53" t="n"/>
      <c r="J623" s="61">
        <f>IF(A623="","",IF(H623&lt;=Inicio!$B$16,"Crítico",IF(H623&lt;=Inicio!$B$17,"Observar","OK")))</f>
        <v/>
      </c>
      <c r="K623" s="52" t="n"/>
    </row>
    <row r="624">
      <c r="A624" s="52" t="n"/>
      <c r="B624" s="61">
        <f>IFERROR(VLOOKUP(A624,Clientes_PDV!$A$2:$J$250,2,FALSE),"")</f>
        <v/>
      </c>
      <c r="C624" s="61">
        <f>IFERROR(VLOOKUP(A624,Clientes_PDV!$A$2:$J$250,3,FALSE),"")</f>
        <v/>
      </c>
      <c r="D624" s="61">
        <f>IFERROR(VLOOKUP(A624,Clientes_PDV!$A$2:$J$250,4,FALSE),"")</f>
        <v/>
      </c>
      <c r="E624" s="52" t="n"/>
      <c r="F624" s="61">
        <f>IFERROR(VLOOKUP(E624,Maestro_SKU!$A$2:$P$500,2,FALSE),"")</f>
        <v/>
      </c>
      <c r="G624" s="52" t="n"/>
      <c r="H624" s="61">
        <f>IF(OR(G624="",E624=""),"",G624*IFERROR(VLOOKUP(E624,Maestro_SKU!$A$2:$P$500,12,FALSE),1))</f>
        <v/>
      </c>
      <c r="I624" s="53" t="n"/>
      <c r="J624" s="61">
        <f>IF(A624="","",IF(H624&lt;=Inicio!$B$16,"Crítico",IF(H624&lt;=Inicio!$B$17,"Observar","OK")))</f>
        <v/>
      </c>
      <c r="K624" s="52" t="n"/>
    </row>
    <row r="625">
      <c r="A625" s="52" t="n"/>
      <c r="B625" s="61">
        <f>IFERROR(VLOOKUP(A625,Clientes_PDV!$A$2:$J$250,2,FALSE),"")</f>
        <v/>
      </c>
      <c r="C625" s="61">
        <f>IFERROR(VLOOKUP(A625,Clientes_PDV!$A$2:$J$250,3,FALSE),"")</f>
        <v/>
      </c>
      <c r="D625" s="61">
        <f>IFERROR(VLOOKUP(A625,Clientes_PDV!$A$2:$J$250,4,FALSE),"")</f>
        <v/>
      </c>
      <c r="E625" s="52" t="n"/>
      <c r="F625" s="61">
        <f>IFERROR(VLOOKUP(E625,Maestro_SKU!$A$2:$P$500,2,FALSE),"")</f>
        <v/>
      </c>
      <c r="G625" s="52" t="n"/>
      <c r="H625" s="61">
        <f>IF(OR(G625="",E625=""),"",G625*IFERROR(VLOOKUP(E625,Maestro_SKU!$A$2:$P$500,12,FALSE),1))</f>
        <v/>
      </c>
      <c r="I625" s="53" t="n"/>
      <c r="J625" s="61">
        <f>IF(A625="","",IF(H625&lt;=Inicio!$B$16,"Crítico",IF(H625&lt;=Inicio!$B$17,"Observar","OK")))</f>
        <v/>
      </c>
      <c r="K625" s="52" t="n"/>
    </row>
    <row r="626">
      <c r="A626" s="52" t="n"/>
      <c r="B626" s="61">
        <f>IFERROR(VLOOKUP(A626,Clientes_PDV!$A$2:$J$250,2,FALSE),"")</f>
        <v/>
      </c>
      <c r="C626" s="61">
        <f>IFERROR(VLOOKUP(A626,Clientes_PDV!$A$2:$J$250,3,FALSE),"")</f>
        <v/>
      </c>
      <c r="D626" s="61">
        <f>IFERROR(VLOOKUP(A626,Clientes_PDV!$A$2:$J$250,4,FALSE),"")</f>
        <v/>
      </c>
      <c r="E626" s="52" t="n"/>
      <c r="F626" s="61">
        <f>IFERROR(VLOOKUP(E626,Maestro_SKU!$A$2:$P$500,2,FALSE),"")</f>
        <v/>
      </c>
      <c r="G626" s="52" t="n"/>
      <c r="H626" s="61">
        <f>IF(OR(G626="",E626=""),"",G626*IFERROR(VLOOKUP(E626,Maestro_SKU!$A$2:$P$500,12,FALSE),1))</f>
        <v/>
      </c>
      <c r="I626" s="53" t="n"/>
      <c r="J626" s="61">
        <f>IF(A626="","",IF(H626&lt;=Inicio!$B$16,"Crítico",IF(H626&lt;=Inicio!$B$17,"Observar","OK")))</f>
        <v/>
      </c>
      <c r="K626" s="52" t="n"/>
    </row>
    <row r="627">
      <c r="A627" s="52" t="n"/>
      <c r="B627" s="61">
        <f>IFERROR(VLOOKUP(A627,Clientes_PDV!$A$2:$J$250,2,FALSE),"")</f>
        <v/>
      </c>
      <c r="C627" s="61">
        <f>IFERROR(VLOOKUP(A627,Clientes_PDV!$A$2:$J$250,3,FALSE),"")</f>
        <v/>
      </c>
      <c r="D627" s="61">
        <f>IFERROR(VLOOKUP(A627,Clientes_PDV!$A$2:$J$250,4,FALSE),"")</f>
        <v/>
      </c>
      <c r="E627" s="52" t="n"/>
      <c r="F627" s="61">
        <f>IFERROR(VLOOKUP(E627,Maestro_SKU!$A$2:$P$500,2,FALSE),"")</f>
        <v/>
      </c>
      <c r="G627" s="52" t="n"/>
      <c r="H627" s="61">
        <f>IF(OR(G627="",E627=""),"",G627*IFERROR(VLOOKUP(E627,Maestro_SKU!$A$2:$P$500,12,FALSE),1))</f>
        <v/>
      </c>
      <c r="I627" s="53" t="n"/>
      <c r="J627" s="61">
        <f>IF(A627="","",IF(H627&lt;=Inicio!$B$16,"Crítico",IF(H627&lt;=Inicio!$B$17,"Observar","OK")))</f>
        <v/>
      </c>
      <c r="K627" s="52" t="n"/>
    </row>
    <row r="628">
      <c r="A628" s="52" t="n"/>
      <c r="B628" s="61">
        <f>IFERROR(VLOOKUP(A628,Clientes_PDV!$A$2:$J$250,2,FALSE),"")</f>
        <v/>
      </c>
      <c r="C628" s="61">
        <f>IFERROR(VLOOKUP(A628,Clientes_PDV!$A$2:$J$250,3,FALSE),"")</f>
        <v/>
      </c>
      <c r="D628" s="61">
        <f>IFERROR(VLOOKUP(A628,Clientes_PDV!$A$2:$J$250,4,FALSE),"")</f>
        <v/>
      </c>
      <c r="E628" s="52" t="n"/>
      <c r="F628" s="61">
        <f>IFERROR(VLOOKUP(E628,Maestro_SKU!$A$2:$P$500,2,FALSE),"")</f>
        <v/>
      </c>
      <c r="G628" s="52" t="n"/>
      <c r="H628" s="61">
        <f>IF(OR(G628="",E628=""),"",G628*IFERROR(VLOOKUP(E628,Maestro_SKU!$A$2:$P$500,12,FALSE),1))</f>
        <v/>
      </c>
      <c r="I628" s="53" t="n"/>
      <c r="J628" s="61">
        <f>IF(A628="","",IF(H628&lt;=Inicio!$B$16,"Crítico",IF(H628&lt;=Inicio!$B$17,"Observar","OK")))</f>
        <v/>
      </c>
      <c r="K628" s="52" t="n"/>
    </row>
    <row r="629">
      <c r="A629" s="52" t="n"/>
      <c r="B629" s="61">
        <f>IFERROR(VLOOKUP(A629,Clientes_PDV!$A$2:$J$250,2,FALSE),"")</f>
        <v/>
      </c>
      <c r="C629" s="61">
        <f>IFERROR(VLOOKUP(A629,Clientes_PDV!$A$2:$J$250,3,FALSE),"")</f>
        <v/>
      </c>
      <c r="D629" s="61">
        <f>IFERROR(VLOOKUP(A629,Clientes_PDV!$A$2:$J$250,4,FALSE),"")</f>
        <v/>
      </c>
      <c r="E629" s="52" t="n"/>
      <c r="F629" s="61">
        <f>IFERROR(VLOOKUP(E629,Maestro_SKU!$A$2:$P$500,2,FALSE),"")</f>
        <v/>
      </c>
      <c r="G629" s="52" t="n"/>
      <c r="H629" s="61">
        <f>IF(OR(G629="",E629=""),"",G629*IFERROR(VLOOKUP(E629,Maestro_SKU!$A$2:$P$500,12,FALSE),1))</f>
        <v/>
      </c>
      <c r="I629" s="53" t="n"/>
      <c r="J629" s="61">
        <f>IF(A629="","",IF(H629&lt;=Inicio!$B$16,"Crítico",IF(H629&lt;=Inicio!$B$17,"Observar","OK")))</f>
        <v/>
      </c>
      <c r="K629" s="52" t="n"/>
    </row>
    <row r="630">
      <c r="A630" s="52" t="n"/>
      <c r="B630" s="61">
        <f>IFERROR(VLOOKUP(A630,Clientes_PDV!$A$2:$J$250,2,FALSE),"")</f>
        <v/>
      </c>
      <c r="C630" s="61">
        <f>IFERROR(VLOOKUP(A630,Clientes_PDV!$A$2:$J$250,3,FALSE),"")</f>
        <v/>
      </c>
      <c r="D630" s="61">
        <f>IFERROR(VLOOKUP(A630,Clientes_PDV!$A$2:$J$250,4,FALSE),"")</f>
        <v/>
      </c>
      <c r="E630" s="52" t="n"/>
      <c r="F630" s="61">
        <f>IFERROR(VLOOKUP(E630,Maestro_SKU!$A$2:$P$500,2,FALSE),"")</f>
        <v/>
      </c>
      <c r="G630" s="52" t="n"/>
      <c r="H630" s="61">
        <f>IF(OR(G630="",E630=""),"",G630*IFERROR(VLOOKUP(E630,Maestro_SKU!$A$2:$P$500,12,FALSE),1))</f>
        <v/>
      </c>
      <c r="I630" s="53" t="n"/>
      <c r="J630" s="61">
        <f>IF(A630="","",IF(H630&lt;=Inicio!$B$16,"Crítico",IF(H630&lt;=Inicio!$B$17,"Observar","OK")))</f>
        <v/>
      </c>
      <c r="K630" s="52" t="n"/>
    </row>
    <row r="631">
      <c r="A631" s="52" t="n"/>
      <c r="B631" s="61">
        <f>IFERROR(VLOOKUP(A631,Clientes_PDV!$A$2:$J$250,2,FALSE),"")</f>
        <v/>
      </c>
      <c r="C631" s="61">
        <f>IFERROR(VLOOKUP(A631,Clientes_PDV!$A$2:$J$250,3,FALSE),"")</f>
        <v/>
      </c>
      <c r="D631" s="61">
        <f>IFERROR(VLOOKUP(A631,Clientes_PDV!$A$2:$J$250,4,FALSE),"")</f>
        <v/>
      </c>
      <c r="E631" s="52" t="n"/>
      <c r="F631" s="61">
        <f>IFERROR(VLOOKUP(E631,Maestro_SKU!$A$2:$P$500,2,FALSE),"")</f>
        <v/>
      </c>
      <c r="G631" s="52" t="n"/>
      <c r="H631" s="61">
        <f>IF(OR(G631="",E631=""),"",G631*IFERROR(VLOOKUP(E631,Maestro_SKU!$A$2:$P$500,12,FALSE),1))</f>
        <v/>
      </c>
      <c r="I631" s="53" t="n"/>
      <c r="J631" s="61">
        <f>IF(A631="","",IF(H631&lt;=Inicio!$B$16,"Crítico",IF(H631&lt;=Inicio!$B$17,"Observar","OK")))</f>
        <v/>
      </c>
      <c r="K631" s="52" t="n"/>
    </row>
    <row r="632">
      <c r="A632" s="52" t="n"/>
      <c r="B632" s="61">
        <f>IFERROR(VLOOKUP(A632,Clientes_PDV!$A$2:$J$250,2,FALSE),"")</f>
        <v/>
      </c>
      <c r="C632" s="61">
        <f>IFERROR(VLOOKUP(A632,Clientes_PDV!$A$2:$J$250,3,FALSE),"")</f>
        <v/>
      </c>
      <c r="D632" s="61">
        <f>IFERROR(VLOOKUP(A632,Clientes_PDV!$A$2:$J$250,4,FALSE),"")</f>
        <v/>
      </c>
      <c r="E632" s="52" t="n"/>
      <c r="F632" s="61">
        <f>IFERROR(VLOOKUP(E632,Maestro_SKU!$A$2:$P$500,2,FALSE),"")</f>
        <v/>
      </c>
      <c r="G632" s="52" t="n"/>
      <c r="H632" s="61">
        <f>IF(OR(G632="",E632=""),"",G632*IFERROR(VLOOKUP(E632,Maestro_SKU!$A$2:$P$500,12,FALSE),1))</f>
        <v/>
      </c>
      <c r="I632" s="53" t="n"/>
      <c r="J632" s="61">
        <f>IF(A632="","",IF(H632&lt;=Inicio!$B$16,"Crítico",IF(H632&lt;=Inicio!$B$17,"Observar","OK")))</f>
        <v/>
      </c>
      <c r="K632" s="52" t="n"/>
    </row>
    <row r="633">
      <c r="A633" s="52" t="n"/>
      <c r="B633" s="61">
        <f>IFERROR(VLOOKUP(A633,Clientes_PDV!$A$2:$J$250,2,FALSE),"")</f>
        <v/>
      </c>
      <c r="C633" s="61">
        <f>IFERROR(VLOOKUP(A633,Clientes_PDV!$A$2:$J$250,3,FALSE),"")</f>
        <v/>
      </c>
      <c r="D633" s="61">
        <f>IFERROR(VLOOKUP(A633,Clientes_PDV!$A$2:$J$250,4,FALSE),"")</f>
        <v/>
      </c>
      <c r="E633" s="52" t="n"/>
      <c r="F633" s="61">
        <f>IFERROR(VLOOKUP(E633,Maestro_SKU!$A$2:$P$500,2,FALSE),"")</f>
        <v/>
      </c>
      <c r="G633" s="52" t="n"/>
      <c r="H633" s="61">
        <f>IF(OR(G633="",E633=""),"",G633*IFERROR(VLOOKUP(E633,Maestro_SKU!$A$2:$P$500,12,FALSE),1))</f>
        <v/>
      </c>
      <c r="I633" s="53" t="n"/>
      <c r="J633" s="61">
        <f>IF(A633="","",IF(H633&lt;=Inicio!$B$16,"Crítico",IF(H633&lt;=Inicio!$B$17,"Observar","OK")))</f>
        <v/>
      </c>
      <c r="K633" s="52" t="n"/>
    </row>
    <row r="634">
      <c r="A634" s="52" t="n"/>
      <c r="B634" s="61">
        <f>IFERROR(VLOOKUP(A634,Clientes_PDV!$A$2:$J$250,2,FALSE),"")</f>
        <v/>
      </c>
      <c r="C634" s="61">
        <f>IFERROR(VLOOKUP(A634,Clientes_PDV!$A$2:$J$250,3,FALSE),"")</f>
        <v/>
      </c>
      <c r="D634" s="61">
        <f>IFERROR(VLOOKUP(A634,Clientes_PDV!$A$2:$J$250,4,FALSE),"")</f>
        <v/>
      </c>
      <c r="E634" s="52" t="n"/>
      <c r="F634" s="61">
        <f>IFERROR(VLOOKUP(E634,Maestro_SKU!$A$2:$P$500,2,FALSE),"")</f>
        <v/>
      </c>
      <c r="G634" s="52" t="n"/>
      <c r="H634" s="61">
        <f>IF(OR(G634="",E634=""),"",G634*IFERROR(VLOOKUP(E634,Maestro_SKU!$A$2:$P$500,12,FALSE),1))</f>
        <v/>
      </c>
      <c r="I634" s="53" t="n"/>
      <c r="J634" s="61">
        <f>IF(A634="","",IF(H634&lt;=Inicio!$B$16,"Crítico",IF(H634&lt;=Inicio!$B$17,"Observar","OK")))</f>
        <v/>
      </c>
      <c r="K634" s="52" t="n"/>
    </row>
    <row r="635">
      <c r="A635" s="52" t="n"/>
      <c r="B635" s="61">
        <f>IFERROR(VLOOKUP(A635,Clientes_PDV!$A$2:$J$250,2,FALSE),"")</f>
        <v/>
      </c>
      <c r="C635" s="61">
        <f>IFERROR(VLOOKUP(A635,Clientes_PDV!$A$2:$J$250,3,FALSE),"")</f>
        <v/>
      </c>
      <c r="D635" s="61">
        <f>IFERROR(VLOOKUP(A635,Clientes_PDV!$A$2:$J$250,4,FALSE),"")</f>
        <v/>
      </c>
      <c r="E635" s="52" t="n"/>
      <c r="F635" s="61">
        <f>IFERROR(VLOOKUP(E635,Maestro_SKU!$A$2:$P$500,2,FALSE),"")</f>
        <v/>
      </c>
      <c r="G635" s="52" t="n"/>
      <c r="H635" s="61">
        <f>IF(OR(G635="",E635=""),"",G635*IFERROR(VLOOKUP(E635,Maestro_SKU!$A$2:$P$500,12,FALSE),1))</f>
        <v/>
      </c>
      <c r="I635" s="53" t="n"/>
      <c r="J635" s="61">
        <f>IF(A635="","",IF(H635&lt;=Inicio!$B$16,"Crítico",IF(H635&lt;=Inicio!$B$17,"Observar","OK")))</f>
        <v/>
      </c>
      <c r="K635" s="52" t="n"/>
    </row>
    <row r="636">
      <c r="A636" s="52" t="n"/>
      <c r="B636" s="61">
        <f>IFERROR(VLOOKUP(A636,Clientes_PDV!$A$2:$J$250,2,FALSE),"")</f>
        <v/>
      </c>
      <c r="C636" s="61">
        <f>IFERROR(VLOOKUP(A636,Clientes_PDV!$A$2:$J$250,3,FALSE),"")</f>
        <v/>
      </c>
      <c r="D636" s="61">
        <f>IFERROR(VLOOKUP(A636,Clientes_PDV!$A$2:$J$250,4,FALSE),"")</f>
        <v/>
      </c>
      <c r="E636" s="52" t="n"/>
      <c r="F636" s="61">
        <f>IFERROR(VLOOKUP(E636,Maestro_SKU!$A$2:$P$500,2,FALSE),"")</f>
        <v/>
      </c>
      <c r="G636" s="52" t="n"/>
      <c r="H636" s="61">
        <f>IF(OR(G636="",E636=""),"",G636*IFERROR(VLOOKUP(E636,Maestro_SKU!$A$2:$P$500,12,FALSE),1))</f>
        <v/>
      </c>
      <c r="I636" s="53" t="n"/>
      <c r="J636" s="61">
        <f>IF(A636="","",IF(H636&lt;=Inicio!$B$16,"Crítico",IF(H636&lt;=Inicio!$B$17,"Observar","OK")))</f>
        <v/>
      </c>
      <c r="K636" s="52" t="n"/>
    </row>
    <row r="637">
      <c r="A637" s="52" t="n"/>
      <c r="B637" s="61">
        <f>IFERROR(VLOOKUP(A637,Clientes_PDV!$A$2:$J$250,2,FALSE),"")</f>
        <v/>
      </c>
      <c r="C637" s="61">
        <f>IFERROR(VLOOKUP(A637,Clientes_PDV!$A$2:$J$250,3,FALSE),"")</f>
        <v/>
      </c>
      <c r="D637" s="61">
        <f>IFERROR(VLOOKUP(A637,Clientes_PDV!$A$2:$J$250,4,FALSE),"")</f>
        <v/>
      </c>
      <c r="E637" s="52" t="n"/>
      <c r="F637" s="61">
        <f>IFERROR(VLOOKUP(E637,Maestro_SKU!$A$2:$P$500,2,FALSE),"")</f>
        <v/>
      </c>
      <c r="G637" s="52" t="n"/>
      <c r="H637" s="61">
        <f>IF(OR(G637="",E637=""),"",G637*IFERROR(VLOOKUP(E637,Maestro_SKU!$A$2:$P$500,12,FALSE),1))</f>
        <v/>
      </c>
      <c r="I637" s="53" t="n"/>
      <c r="J637" s="61">
        <f>IF(A637="","",IF(H637&lt;=Inicio!$B$16,"Crítico",IF(H637&lt;=Inicio!$B$17,"Observar","OK")))</f>
        <v/>
      </c>
      <c r="K637" s="52" t="n"/>
    </row>
    <row r="638">
      <c r="A638" s="52" t="n"/>
      <c r="B638" s="61">
        <f>IFERROR(VLOOKUP(A638,Clientes_PDV!$A$2:$J$250,2,FALSE),"")</f>
        <v/>
      </c>
      <c r="C638" s="61">
        <f>IFERROR(VLOOKUP(A638,Clientes_PDV!$A$2:$J$250,3,FALSE),"")</f>
        <v/>
      </c>
      <c r="D638" s="61">
        <f>IFERROR(VLOOKUP(A638,Clientes_PDV!$A$2:$J$250,4,FALSE),"")</f>
        <v/>
      </c>
      <c r="E638" s="52" t="n"/>
      <c r="F638" s="61">
        <f>IFERROR(VLOOKUP(E638,Maestro_SKU!$A$2:$P$500,2,FALSE),"")</f>
        <v/>
      </c>
      <c r="G638" s="52" t="n"/>
      <c r="H638" s="61">
        <f>IF(OR(G638="",E638=""),"",G638*IFERROR(VLOOKUP(E638,Maestro_SKU!$A$2:$P$500,12,FALSE),1))</f>
        <v/>
      </c>
      <c r="I638" s="53" t="n"/>
      <c r="J638" s="61">
        <f>IF(A638="","",IF(H638&lt;=Inicio!$B$16,"Crítico",IF(H638&lt;=Inicio!$B$17,"Observar","OK")))</f>
        <v/>
      </c>
      <c r="K638" s="52" t="n"/>
    </row>
    <row r="639">
      <c r="A639" s="52" t="n"/>
      <c r="B639" s="61">
        <f>IFERROR(VLOOKUP(A639,Clientes_PDV!$A$2:$J$250,2,FALSE),"")</f>
        <v/>
      </c>
      <c r="C639" s="61">
        <f>IFERROR(VLOOKUP(A639,Clientes_PDV!$A$2:$J$250,3,FALSE),"")</f>
        <v/>
      </c>
      <c r="D639" s="61">
        <f>IFERROR(VLOOKUP(A639,Clientes_PDV!$A$2:$J$250,4,FALSE),"")</f>
        <v/>
      </c>
      <c r="E639" s="52" t="n"/>
      <c r="F639" s="61">
        <f>IFERROR(VLOOKUP(E639,Maestro_SKU!$A$2:$P$500,2,FALSE),"")</f>
        <v/>
      </c>
      <c r="G639" s="52" t="n"/>
      <c r="H639" s="61">
        <f>IF(OR(G639="",E639=""),"",G639*IFERROR(VLOOKUP(E639,Maestro_SKU!$A$2:$P$500,12,FALSE),1))</f>
        <v/>
      </c>
      <c r="I639" s="53" t="n"/>
      <c r="J639" s="61">
        <f>IF(A639="","",IF(H639&lt;=Inicio!$B$16,"Crítico",IF(H639&lt;=Inicio!$B$17,"Observar","OK")))</f>
        <v/>
      </c>
      <c r="K639" s="52" t="n"/>
    </row>
    <row r="640">
      <c r="A640" s="52" t="n"/>
      <c r="B640" s="61">
        <f>IFERROR(VLOOKUP(A640,Clientes_PDV!$A$2:$J$250,2,FALSE),"")</f>
        <v/>
      </c>
      <c r="C640" s="61">
        <f>IFERROR(VLOOKUP(A640,Clientes_PDV!$A$2:$J$250,3,FALSE),"")</f>
        <v/>
      </c>
      <c r="D640" s="61">
        <f>IFERROR(VLOOKUP(A640,Clientes_PDV!$A$2:$J$250,4,FALSE),"")</f>
        <v/>
      </c>
      <c r="E640" s="52" t="n"/>
      <c r="F640" s="61">
        <f>IFERROR(VLOOKUP(E640,Maestro_SKU!$A$2:$P$500,2,FALSE),"")</f>
        <v/>
      </c>
      <c r="G640" s="52" t="n"/>
      <c r="H640" s="61">
        <f>IF(OR(G640="",E640=""),"",G640*IFERROR(VLOOKUP(E640,Maestro_SKU!$A$2:$P$500,12,FALSE),1))</f>
        <v/>
      </c>
      <c r="I640" s="53" t="n"/>
      <c r="J640" s="61">
        <f>IF(A640="","",IF(H640&lt;=Inicio!$B$16,"Crítico",IF(H640&lt;=Inicio!$B$17,"Observar","OK")))</f>
        <v/>
      </c>
      <c r="K640" s="52" t="n"/>
    </row>
    <row r="641">
      <c r="A641" s="52" t="n"/>
      <c r="B641" s="61">
        <f>IFERROR(VLOOKUP(A641,Clientes_PDV!$A$2:$J$250,2,FALSE),"")</f>
        <v/>
      </c>
      <c r="C641" s="61">
        <f>IFERROR(VLOOKUP(A641,Clientes_PDV!$A$2:$J$250,3,FALSE),"")</f>
        <v/>
      </c>
      <c r="D641" s="61">
        <f>IFERROR(VLOOKUP(A641,Clientes_PDV!$A$2:$J$250,4,FALSE),"")</f>
        <v/>
      </c>
      <c r="E641" s="52" t="n"/>
      <c r="F641" s="61">
        <f>IFERROR(VLOOKUP(E641,Maestro_SKU!$A$2:$P$500,2,FALSE),"")</f>
        <v/>
      </c>
      <c r="G641" s="52" t="n"/>
      <c r="H641" s="61">
        <f>IF(OR(G641="",E641=""),"",G641*IFERROR(VLOOKUP(E641,Maestro_SKU!$A$2:$P$500,12,FALSE),1))</f>
        <v/>
      </c>
      <c r="I641" s="53" t="n"/>
      <c r="J641" s="61">
        <f>IF(A641="","",IF(H641&lt;=Inicio!$B$16,"Crítico",IF(H641&lt;=Inicio!$B$17,"Observar","OK")))</f>
        <v/>
      </c>
      <c r="K641" s="52" t="n"/>
    </row>
    <row r="642">
      <c r="A642" s="52" t="n"/>
      <c r="B642" s="61">
        <f>IFERROR(VLOOKUP(A642,Clientes_PDV!$A$2:$J$250,2,FALSE),"")</f>
        <v/>
      </c>
      <c r="C642" s="61">
        <f>IFERROR(VLOOKUP(A642,Clientes_PDV!$A$2:$J$250,3,FALSE),"")</f>
        <v/>
      </c>
      <c r="D642" s="61">
        <f>IFERROR(VLOOKUP(A642,Clientes_PDV!$A$2:$J$250,4,FALSE),"")</f>
        <v/>
      </c>
      <c r="E642" s="52" t="n"/>
      <c r="F642" s="61">
        <f>IFERROR(VLOOKUP(E642,Maestro_SKU!$A$2:$P$500,2,FALSE),"")</f>
        <v/>
      </c>
      <c r="G642" s="52" t="n"/>
      <c r="H642" s="61">
        <f>IF(OR(G642="",E642=""),"",G642*IFERROR(VLOOKUP(E642,Maestro_SKU!$A$2:$P$500,12,FALSE),1))</f>
        <v/>
      </c>
      <c r="I642" s="53" t="n"/>
      <c r="J642" s="61">
        <f>IF(A642="","",IF(H642&lt;=Inicio!$B$16,"Crítico",IF(H642&lt;=Inicio!$B$17,"Observar","OK")))</f>
        <v/>
      </c>
      <c r="K642" s="52" t="n"/>
    </row>
    <row r="643">
      <c r="A643" s="52" t="n"/>
      <c r="B643" s="61">
        <f>IFERROR(VLOOKUP(A643,Clientes_PDV!$A$2:$J$250,2,FALSE),"")</f>
        <v/>
      </c>
      <c r="C643" s="61">
        <f>IFERROR(VLOOKUP(A643,Clientes_PDV!$A$2:$J$250,3,FALSE),"")</f>
        <v/>
      </c>
      <c r="D643" s="61">
        <f>IFERROR(VLOOKUP(A643,Clientes_PDV!$A$2:$J$250,4,FALSE),"")</f>
        <v/>
      </c>
      <c r="E643" s="52" t="n"/>
      <c r="F643" s="61">
        <f>IFERROR(VLOOKUP(E643,Maestro_SKU!$A$2:$P$500,2,FALSE),"")</f>
        <v/>
      </c>
      <c r="G643" s="52" t="n"/>
      <c r="H643" s="61">
        <f>IF(OR(G643="",E643=""),"",G643*IFERROR(VLOOKUP(E643,Maestro_SKU!$A$2:$P$500,12,FALSE),1))</f>
        <v/>
      </c>
      <c r="I643" s="53" t="n"/>
      <c r="J643" s="61">
        <f>IF(A643="","",IF(H643&lt;=Inicio!$B$16,"Crítico",IF(H643&lt;=Inicio!$B$17,"Observar","OK")))</f>
        <v/>
      </c>
      <c r="K643" s="52" t="n"/>
    </row>
    <row r="644">
      <c r="A644" s="52" t="n"/>
      <c r="B644" s="61">
        <f>IFERROR(VLOOKUP(A644,Clientes_PDV!$A$2:$J$250,2,FALSE),"")</f>
        <v/>
      </c>
      <c r="C644" s="61">
        <f>IFERROR(VLOOKUP(A644,Clientes_PDV!$A$2:$J$250,3,FALSE),"")</f>
        <v/>
      </c>
      <c r="D644" s="61">
        <f>IFERROR(VLOOKUP(A644,Clientes_PDV!$A$2:$J$250,4,FALSE),"")</f>
        <v/>
      </c>
      <c r="E644" s="52" t="n"/>
      <c r="F644" s="61">
        <f>IFERROR(VLOOKUP(E644,Maestro_SKU!$A$2:$P$500,2,FALSE),"")</f>
        <v/>
      </c>
      <c r="G644" s="52" t="n"/>
      <c r="H644" s="61">
        <f>IF(OR(G644="",E644=""),"",G644*IFERROR(VLOOKUP(E644,Maestro_SKU!$A$2:$P$500,12,FALSE),1))</f>
        <v/>
      </c>
      <c r="I644" s="53" t="n"/>
      <c r="J644" s="61">
        <f>IF(A644="","",IF(H644&lt;=Inicio!$B$16,"Crítico",IF(H644&lt;=Inicio!$B$17,"Observar","OK")))</f>
        <v/>
      </c>
      <c r="K644" s="52" t="n"/>
    </row>
    <row r="645">
      <c r="A645" s="52" t="n"/>
      <c r="B645" s="61">
        <f>IFERROR(VLOOKUP(A645,Clientes_PDV!$A$2:$J$250,2,FALSE),"")</f>
        <v/>
      </c>
      <c r="C645" s="61">
        <f>IFERROR(VLOOKUP(A645,Clientes_PDV!$A$2:$J$250,3,FALSE),"")</f>
        <v/>
      </c>
      <c r="D645" s="61">
        <f>IFERROR(VLOOKUP(A645,Clientes_PDV!$A$2:$J$250,4,FALSE),"")</f>
        <v/>
      </c>
      <c r="E645" s="52" t="n"/>
      <c r="F645" s="61">
        <f>IFERROR(VLOOKUP(E645,Maestro_SKU!$A$2:$P$500,2,FALSE),"")</f>
        <v/>
      </c>
      <c r="G645" s="52" t="n"/>
      <c r="H645" s="61">
        <f>IF(OR(G645="",E645=""),"",G645*IFERROR(VLOOKUP(E645,Maestro_SKU!$A$2:$P$500,12,FALSE),1))</f>
        <v/>
      </c>
      <c r="I645" s="53" t="n"/>
      <c r="J645" s="61">
        <f>IF(A645="","",IF(H645&lt;=Inicio!$B$16,"Crítico",IF(H645&lt;=Inicio!$B$17,"Observar","OK")))</f>
        <v/>
      </c>
      <c r="K645" s="52" t="n"/>
    </row>
    <row r="646">
      <c r="A646" s="52" t="n"/>
      <c r="B646" s="61">
        <f>IFERROR(VLOOKUP(A646,Clientes_PDV!$A$2:$J$250,2,FALSE),"")</f>
        <v/>
      </c>
      <c r="C646" s="61">
        <f>IFERROR(VLOOKUP(A646,Clientes_PDV!$A$2:$J$250,3,FALSE),"")</f>
        <v/>
      </c>
      <c r="D646" s="61">
        <f>IFERROR(VLOOKUP(A646,Clientes_PDV!$A$2:$J$250,4,FALSE),"")</f>
        <v/>
      </c>
      <c r="E646" s="52" t="n"/>
      <c r="F646" s="61">
        <f>IFERROR(VLOOKUP(E646,Maestro_SKU!$A$2:$P$500,2,FALSE),"")</f>
        <v/>
      </c>
      <c r="G646" s="52" t="n"/>
      <c r="H646" s="61">
        <f>IF(OR(G646="",E646=""),"",G646*IFERROR(VLOOKUP(E646,Maestro_SKU!$A$2:$P$500,12,FALSE),1))</f>
        <v/>
      </c>
      <c r="I646" s="53" t="n"/>
      <c r="J646" s="61">
        <f>IF(A646="","",IF(H646&lt;=Inicio!$B$16,"Crítico",IF(H646&lt;=Inicio!$B$17,"Observar","OK")))</f>
        <v/>
      </c>
      <c r="K646" s="52" t="n"/>
    </row>
    <row r="647">
      <c r="A647" s="52" t="n"/>
      <c r="B647" s="61">
        <f>IFERROR(VLOOKUP(A647,Clientes_PDV!$A$2:$J$250,2,FALSE),"")</f>
        <v/>
      </c>
      <c r="C647" s="61">
        <f>IFERROR(VLOOKUP(A647,Clientes_PDV!$A$2:$J$250,3,FALSE),"")</f>
        <v/>
      </c>
      <c r="D647" s="61">
        <f>IFERROR(VLOOKUP(A647,Clientes_PDV!$A$2:$J$250,4,FALSE),"")</f>
        <v/>
      </c>
      <c r="E647" s="52" t="n"/>
      <c r="F647" s="61">
        <f>IFERROR(VLOOKUP(E647,Maestro_SKU!$A$2:$P$500,2,FALSE),"")</f>
        <v/>
      </c>
      <c r="G647" s="52" t="n"/>
      <c r="H647" s="61">
        <f>IF(OR(G647="",E647=""),"",G647*IFERROR(VLOOKUP(E647,Maestro_SKU!$A$2:$P$500,12,FALSE),1))</f>
        <v/>
      </c>
      <c r="I647" s="53" t="n"/>
      <c r="J647" s="61">
        <f>IF(A647="","",IF(H647&lt;=Inicio!$B$16,"Crítico",IF(H647&lt;=Inicio!$B$17,"Observar","OK")))</f>
        <v/>
      </c>
      <c r="K647" s="52" t="n"/>
    </row>
    <row r="648">
      <c r="A648" s="52" t="n"/>
      <c r="B648" s="61">
        <f>IFERROR(VLOOKUP(A648,Clientes_PDV!$A$2:$J$250,2,FALSE),"")</f>
        <v/>
      </c>
      <c r="C648" s="61">
        <f>IFERROR(VLOOKUP(A648,Clientes_PDV!$A$2:$J$250,3,FALSE),"")</f>
        <v/>
      </c>
      <c r="D648" s="61">
        <f>IFERROR(VLOOKUP(A648,Clientes_PDV!$A$2:$J$250,4,FALSE),"")</f>
        <v/>
      </c>
      <c r="E648" s="52" t="n"/>
      <c r="F648" s="61">
        <f>IFERROR(VLOOKUP(E648,Maestro_SKU!$A$2:$P$500,2,FALSE),"")</f>
        <v/>
      </c>
      <c r="G648" s="52" t="n"/>
      <c r="H648" s="61">
        <f>IF(OR(G648="",E648=""),"",G648*IFERROR(VLOOKUP(E648,Maestro_SKU!$A$2:$P$500,12,FALSE),1))</f>
        <v/>
      </c>
      <c r="I648" s="53" t="n"/>
      <c r="J648" s="61">
        <f>IF(A648="","",IF(H648&lt;=Inicio!$B$16,"Crítico",IF(H648&lt;=Inicio!$B$17,"Observar","OK")))</f>
        <v/>
      </c>
      <c r="K648" s="52" t="n"/>
    </row>
    <row r="649">
      <c r="A649" s="52" t="n"/>
      <c r="B649" s="61">
        <f>IFERROR(VLOOKUP(A649,Clientes_PDV!$A$2:$J$250,2,FALSE),"")</f>
        <v/>
      </c>
      <c r="C649" s="61">
        <f>IFERROR(VLOOKUP(A649,Clientes_PDV!$A$2:$J$250,3,FALSE),"")</f>
        <v/>
      </c>
      <c r="D649" s="61">
        <f>IFERROR(VLOOKUP(A649,Clientes_PDV!$A$2:$J$250,4,FALSE),"")</f>
        <v/>
      </c>
      <c r="E649" s="52" t="n"/>
      <c r="F649" s="61">
        <f>IFERROR(VLOOKUP(E649,Maestro_SKU!$A$2:$P$500,2,FALSE),"")</f>
        <v/>
      </c>
      <c r="G649" s="52" t="n"/>
      <c r="H649" s="61">
        <f>IF(OR(G649="",E649=""),"",G649*IFERROR(VLOOKUP(E649,Maestro_SKU!$A$2:$P$500,12,FALSE),1))</f>
        <v/>
      </c>
      <c r="I649" s="53" t="n"/>
      <c r="J649" s="61">
        <f>IF(A649="","",IF(H649&lt;=Inicio!$B$16,"Crítico",IF(H649&lt;=Inicio!$B$17,"Observar","OK")))</f>
        <v/>
      </c>
      <c r="K649" s="52" t="n"/>
    </row>
    <row r="650">
      <c r="A650" s="52" t="n"/>
      <c r="B650" s="61">
        <f>IFERROR(VLOOKUP(A650,Clientes_PDV!$A$2:$J$250,2,FALSE),"")</f>
        <v/>
      </c>
      <c r="C650" s="61">
        <f>IFERROR(VLOOKUP(A650,Clientes_PDV!$A$2:$J$250,3,FALSE),"")</f>
        <v/>
      </c>
      <c r="D650" s="61">
        <f>IFERROR(VLOOKUP(A650,Clientes_PDV!$A$2:$J$250,4,FALSE),"")</f>
        <v/>
      </c>
      <c r="E650" s="52" t="n"/>
      <c r="F650" s="61">
        <f>IFERROR(VLOOKUP(E650,Maestro_SKU!$A$2:$P$500,2,FALSE),"")</f>
        <v/>
      </c>
      <c r="G650" s="52" t="n"/>
      <c r="H650" s="61">
        <f>IF(OR(G650="",E650=""),"",G650*IFERROR(VLOOKUP(E650,Maestro_SKU!$A$2:$P$500,12,FALSE),1))</f>
        <v/>
      </c>
      <c r="I650" s="53" t="n"/>
      <c r="J650" s="61">
        <f>IF(A650="","",IF(H650&lt;=Inicio!$B$16,"Crítico",IF(H650&lt;=Inicio!$B$17,"Observar","OK")))</f>
        <v/>
      </c>
      <c r="K650" s="52" t="n"/>
    </row>
    <row r="651">
      <c r="A651" s="52" t="n"/>
      <c r="B651" s="61">
        <f>IFERROR(VLOOKUP(A651,Clientes_PDV!$A$2:$J$250,2,FALSE),"")</f>
        <v/>
      </c>
      <c r="C651" s="61">
        <f>IFERROR(VLOOKUP(A651,Clientes_PDV!$A$2:$J$250,3,FALSE),"")</f>
        <v/>
      </c>
      <c r="D651" s="61">
        <f>IFERROR(VLOOKUP(A651,Clientes_PDV!$A$2:$J$250,4,FALSE),"")</f>
        <v/>
      </c>
      <c r="E651" s="52" t="n"/>
      <c r="F651" s="61">
        <f>IFERROR(VLOOKUP(E651,Maestro_SKU!$A$2:$P$500,2,FALSE),"")</f>
        <v/>
      </c>
      <c r="G651" s="52" t="n"/>
      <c r="H651" s="61">
        <f>IF(OR(G651="",E651=""),"",G651*IFERROR(VLOOKUP(E651,Maestro_SKU!$A$2:$P$500,12,FALSE),1))</f>
        <v/>
      </c>
      <c r="I651" s="53" t="n"/>
      <c r="J651" s="61">
        <f>IF(A651="","",IF(H651&lt;=Inicio!$B$16,"Crítico",IF(H651&lt;=Inicio!$B$17,"Observar","OK")))</f>
        <v/>
      </c>
      <c r="K651" s="52" t="n"/>
    </row>
    <row r="652">
      <c r="A652" s="52" t="n"/>
      <c r="B652" s="61">
        <f>IFERROR(VLOOKUP(A652,Clientes_PDV!$A$2:$J$250,2,FALSE),"")</f>
        <v/>
      </c>
      <c r="C652" s="61">
        <f>IFERROR(VLOOKUP(A652,Clientes_PDV!$A$2:$J$250,3,FALSE),"")</f>
        <v/>
      </c>
      <c r="D652" s="61">
        <f>IFERROR(VLOOKUP(A652,Clientes_PDV!$A$2:$J$250,4,FALSE),"")</f>
        <v/>
      </c>
      <c r="E652" s="52" t="n"/>
      <c r="F652" s="61">
        <f>IFERROR(VLOOKUP(E652,Maestro_SKU!$A$2:$P$500,2,FALSE),"")</f>
        <v/>
      </c>
      <c r="G652" s="52" t="n"/>
      <c r="H652" s="61">
        <f>IF(OR(G652="",E652=""),"",G652*IFERROR(VLOOKUP(E652,Maestro_SKU!$A$2:$P$500,12,FALSE),1))</f>
        <v/>
      </c>
      <c r="I652" s="53" t="n"/>
      <c r="J652" s="61">
        <f>IF(A652="","",IF(H652&lt;=Inicio!$B$16,"Crítico",IF(H652&lt;=Inicio!$B$17,"Observar","OK")))</f>
        <v/>
      </c>
      <c r="K652" s="52" t="n"/>
    </row>
    <row r="653">
      <c r="A653" s="52" t="n"/>
      <c r="B653" s="61">
        <f>IFERROR(VLOOKUP(A653,Clientes_PDV!$A$2:$J$250,2,FALSE),"")</f>
        <v/>
      </c>
      <c r="C653" s="61">
        <f>IFERROR(VLOOKUP(A653,Clientes_PDV!$A$2:$J$250,3,FALSE),"")</f>
        <v/>
      </c>
      <c r="D653" s="61">
        <f>IFERROR(VLOOKUP(A653,Clientes_PDV!$A$2:$J$250,4,FALSE),"")</f>
        <v/>
      </c>
      <c r="E653" s="52" t="n"/>
      <c r="F653" s="61">
        <f>IFERROR(VLOOKUP(E653,Maestro_SKU!$A$2:$P$500,2,FALSE),"")</f>
        <v/>
      </c>
      <c r="G653" s="52" t="n"/>
      <c r="H653" s="61">
        <f>IF(OR(G653="",E653=""),"",G653*IFERROR(VLOOKUP(E653,Maestro_SKU!$A$2:$P$500,12,FALSE),1))</f>
        <v/>
      </c>
      <c r="I653" s="53" t="n"/>
      <c r="J653" s="61">
        <f>IF(A653="","",IF(H653&lt;=Inicio!$B$16,"Crítico",IF(H653&lt;=Inicio!$B$17,"Observar","OK")))</f>
        <v/>
      </c>
      <c r="K653" s="52" t="n"/>
    </row>
    <row r="654">
      <c r="A654" s="52" t="n"/>
      <c r="B654" s="61">
        <f>IFERROR(VLOOKUP(A654,Clientes_PDV!$A$2:$J$250,2,FALSE),"")</f>
        <v/>
      </c>
      <c r="C654" s="61">
        <f>IFERROR(VLOOKUP(A654,Clientes_PDV!$A$2:$J$250,3,FALSE),"")</f>
        <v/>
      </c>
      <c r="D654" s="61">
        <f>IFERROR(VLOOKUP(A654,Clientes_PDV!$A$2:$J$250,4,FALSE),"")</f>
        <v/>
      </c>
      <c r="E654" s="52" t="n"/>
      <c r="F654" s="61">
        <f>IFERROR(VLOOKUP(E654,Maestro_SKU!$A$2:$P$500,2,FALSE),"")</f>
        <v/>
      </c>
      <c r="G654" s="52" t="n"/>
      <c r="H654" s="61">
        <f>IF(OR(G654="",E654=""),"",G654*IFERROR(VLOOKUP(E654,Maestro_SKU!$A$2:$P$500,12,FALSE),1))</f>
        <v/>
      </c>
      <c r="I654" s="53" t="n"/>
      <c r="J654" s="61">
        <f>IF(A654="","",IF(H654&lt;=Inicio!$B$16,"Crítico",IF(H654&lt;=Inicio!$B$17,"Observar","OK")))</f>
        <v/>
      </c>
      <c r="K654" s="52" t="n"/>
    </row>
    <row r="655">
      <c r="A655" s="52" t="n"/>
      <c r="B655" s="61">
        <f>IFERROR(VLOOKUP(A655,Clientes_PDV!$A$2:$J$250,2,FALSE),"")</f>
        <v/>
      </c>
      <c r="C655" s="61">
        <f>IFERROR(VLOOKUP(A655,Clientes_PDV!$A$2:$J$250,3,FALSE),"")</f>
        <v/>
      </c>
      <c r="D655" s="61">
        <f>IFERROR(VLOOKUP(A655,Clientes_PDV!$A$2:$J$250,4,FALSE),"")</f>
        <v/>
      </c>
      <c r="E655" s="52" t="n"/>
      <c r="F655" s="61">
        <f>IFERROR(VLOOKUP(E655,Maestro_SKU!$A$2:$P$500,2,FALSE),"")</f>
        <v/>
      </c>
      <c r="G655" s="52" t="n"/>
      <c r="H655" s="61">
        <f>IF(OR(G655="",E655=""),"",G655*IFERROR(VLOOKUP(E655,Maestro_SKU!$A$2:$P$500,12,FALSE),1))</f>
        <v/>
      </c>
      <c r="I655" s="53" t="n"/>
      <c r="J655" s="61">
        <f>IF(A655="","",IF(H655&lt;=Inicio!$B$16,"Crítico",IF(H655&lt;=Inicio!$B$17,"Observar","OK")))</f>
        <v/>
      </c>
      <c r="K655" s="52" t="n"/>
    </row>
    <row r="656">
      <c r="A656" s="52" t="n"/>
      <c r="B656" s="61">
        <f>IFERROR(VLOOKUP(A656,Clientes_PDV!$A$2:$J$250,2,FALSE),"")</f>
        <v/>
      </c>
      <c r="C656" s="61">
        <f>IFERROR(VLOOKUP(A656,Clientes_PDV!$A$2:$J$250,3,FALSE),"")</f>
        <v/>
      </c>
      <c r="D656" s="61">
        <f>IFERROR(VLOOKUP(A656,Clientes_PDV!$A$2:$J$250,4,FALSE),"")</f>
        <v/>
      </c>
      <c r="E656" s="52" t="n"/>
      <c r="F656" s="61">
        <f>IFERROR(VLOOKUP(E656,Maestro_SKU!$A$2:$P$500,2,FALSE),"")</f>
        <v/>
      </c>
      <c r="G656" s="52" t="n"/>
      <c r="H656" s="61">
        <f>IF(OR(G656="",E656=""),"",G656*IFERROR(VLOOKUP(E656,Maestro_SKU!$A$2:$P$500,12,FALSE),1))</f>
        <v/>
      </c>
      <c r="I656" s="53" t="n"/>
      <c r="J656" s="61">
        <f>IF(A656="","",IF(H656&lt;=Inicio!$B$16,"Crítico",IF(H656&lt;=Inicio!$B$17,"Observar","OK")))</f>
        <v/>
      </c>
      <c r="K656" s="52" t="n"/>
    </row>
    <row r="657">
      <c r="A657" s="52" t="n"/>
      <c r="B657" s="61">
        <f>IFERROR(VLOOKUP(A657,Clientes_PDV!$A$2:$J$250,2,FALSE),"")</f>
        <v/>
      </c>
      <c r="C657" s="61">
        <f>IFERROR(VLOOKUP(A657,Clientes_PDV!$A$2:$J$250,3,FALSE),"")</f>
        <v/>
      </c>
      <c r="D657" s="61">
        <f>IFERROR(VLOOKUP(A657,Clientes_PDV!$A$2:$J$250,4,FALSE),"")</f>
        <v/>
      </c>
      <c r="E657" s="52" t="n"/>
      <c r="F657" s="61">
        <f>IFERROR(VLOOKUP(E657,Maestro_SKU!$A$2:$P$500,2,FALSE),"")</f>
        <v/>
      </c>
      <c r="G657" s="52" t="n"/>
      <c r="H657" s="61">
        <f>IF(OR(G657="",E657=""),"",G657*IFERROR(VLOOKUP(E657,Maestro_SKU!$A$2:$P$500,12,FALSE),1))</f>
        <v/>
      </c>
      <c r="I657" s="53" t="n"/>
      <c r="J657" s="61">
        <f>IF(A657="","",IF(H657&lt;=Inicio!$B$16,"Crítico",IF(H657&lt;=Inicio!$B$17,"Observar","OK")))</f>
        <v/>
      </c>
      <c r="K657" s="52" t="n"/>
    </row>
    <row r="658">
      <c r="A658" s="52" t="n"/>
      <c r="B658" s="61">
        <f>IFERROR(VLOOKUP(A658,Clientes_PDV!$A$2:$J$250,2,FALSE),"")</f>
        <v/>
      </c>
      <c r="C658" s="61">
        <f>IFERROR(VLOOKUP(A658,Clientes_PDV!$A$2:$J$250,3,FALSE),"")</f>
        <v/>
      </c>
      <c r="D658" s="61">
        <f>IFERROR(VLOOKUP(A658,Clientes_PDV!$A$2:$J$250,4,FALSE),"")</f>
        <v/>
      </c>
      <c r="E658" s="52" t="n"/>
      <c r="F658" s="61">
        <f>IFERROR(VLOOKUP(E658,Maestro_SKU!$A$2:$P$500,2,FALSE),"")</f>
        <v/>
      </c>
      <c r="G658" s="52" t="n"/>
      <c r="H658" s="61">
        <f>IF(OR(G658="",E658=""),"",G658*IFERROR(VLOOKUP(E658,Maestro_SKU!$A$2:$P$500,12,FALSE),1))</f>
        <v/>
      </c>
      <c r="I658" s="53" t="n"/>
      <c r="J658" s="61">
        <f>IF(A658="","",IF(H658&lt;=Inicio!$B$16,"Crítico",IF(H658&lt;=Inicio!$B$17,"Observar","OK")))</f>
        <v/>
      </c>
      <c r="K658" s="52" t="n"/>
    </row>
    <row r="659">
      <c r="A659" s="52" t="n"/>
      <c r="B659" s="61">
        <f>IFERROR(VLOOKUP(A659,Clientes_PDV!$A$2:$J$250,2,FALSE),"")</f>
        <v/>
      </c>
      <c r="C659" s="61">
        <f>IFERROR(VLOOKUP(A659,Clientes_PDV!$A$2:$J$250,3,FALSE),"")</f>
        <v/>
      </c>
      <c r="D659" s="61">
        <f>IFERROR(VLOOKUP(A659,Clientes_PDV!$A$2:$J$250,4,FALSE),"")</f>
        <v/>
      </c>
      <c r="E659" s="52" t="n"/>
      <c r="F659" s="61">
        <f>IFERROR(VLOOKUP(E659,Maestro_SKU!$A$2:$P$500,2,FALSE),"")</f>
        <v/>
      </c>
      <c r="G659" s="52" t="n"/>
      <c r="H659" s="61">
        <f>IF(OR(G659="",E659=""),"",G659*IFERROR(VLOOKUP(E659,Maestro_SKU!$A$2:$P$500,12,FALSE),1))</f>
        <v/>
      </c>
      <c r="I659" s="53" t="n"/>
      <c r="J659" s="61">
        <f>IF(A659="","",IF(H659&lt;=Inicio!$B$16,"Crítico",IF(H659&lt;=Inicio!$B$17,"Observar","OK")))</f>
        <v/>
      </c>
      <c r="K659" s="52" t="n"/>
    </row>
    <row r="660">
      <c r="A660" s="52" t="n"/>
      <c r="B660" s="61">
        <f>IFERROR(VLOOKUP(A660,Clientes_PDV!$A$2:$J$250,2,FALSE),"")</f>
        <v/>
      </c>
      <c r="C660" s="61">
        <f>IFERROR(VLOOKUP(A660,Clientes_PDV!$A$2:$J$250,3,FALSE),"")</f>
        <v/>
      </c>
      <c r="D660" s="61">
        <f>IFERROR(VLOOKUP(A660,Clientes_PDV!$A$2:$J$250,4,FALSE),"")</f>
        <v/>
      </c>
      <c r="E660" s="52" t="n"/>
      <c r="F660" s="61">
        <f>IFERROR(VLOOKUP(E660,Maestro_SKU!$A$2:$P$500,2,FALSE),"")</f>
        <v/>
      </c>
      <c r="G660" s="52" t="n"/>
      <c r="H660" s="61">
        <f>IF(OR(G660="",E660=""),"",G660*IFERROR(VLOOKUP(E660,Maestro_SKU!$A$2:$P$500,12,FALSE),1))</f>
        <v/>
      </c>
      <c r="I660" s="53" t="n"/>
      <c r="J660" s="61">
        <f>IF(A660="","",IF(H660&lt;=Inicio!$B$16,"Crítico",IF(H660&lt;=Inicio!$B$17,"Observar","OK")))</f>
        <v/>
      </c>
      <c r="K660" s="52" t="n"/>
    </row>
    <row r="661">
      <c r="A661" s="52" t="n"/>
      <c r="B661" s="61">
        <f>IFERROR(VLOOKUP(A661,Clientes_PDV!$A$2:$J$250,2,FALSE),"")</f>
        <v/>
      </c>
      <c r="C661" s="61">
        <f>IFERROR(VLOOKUP(A661,Clientes_PDV!$A$2:$J$250,3,FALSE),"")</f>
        <v/>
      </c>
      <c r="D661" s="61">
        <f>IFERROR(VLOOKUP(A661,Clientes_PDV!$A$2:$J$250,4,FALSE),"")</f>
        <v/>
      </c>
      <c r="E661" s="52" t="n"/>
      <c r="F661" s="61">
        <f>IFERROR(VLOOKUP(E661,Maestro_SKU!$A$2:$P$500,2,FALSE),"")</f>
        <v/>
      </c>
      <c r="G661" s="52" t="n"/>
      <c r="H661" s="61">
        <f>IF(OR(G661="",E661=""),"",G661*IFERROR(VLOOKUP(E661,Maestro_SKU!$A$2:$P$500,12,FALSE),1))</f>
        <v/>
      </c>
      <c r="I661" s="53" t="n"/>
      <c r="J661" s="61">
        <f>IF(A661="","",IF(H661&lt;=Inicio!$B$16,"Crítico",IF(H661&lt;=Inicio!$B$17,"Observar","OK")))</f>
        <v/>
      </c>
      <c r="K661" s="52" t="n"/>
    </row>
    <row r="662">
      <c r="A662" s="52" t="n"/>
      <c r="B662" s="61">
        <f>IFERROR(VLOOKUP(A662,Clientes_PDV!$A$2:$J$250,2,FALSE),"")</f>
        <v/>
      </c>
      <c r="C662" s="61">
        <f>IFERROR(VLOOKUP(A662,Clientes_PDV!$A$2:$J$250,3,FALSE),"")</f>
        <v/>
      </c>
      <c r="D662" s="61">
        <f>IFERROR(VLOOKUP(A662,Clientes_PDV!$A$2:$J$250,4,FALSE),"")</f>
        <v/>
      </c>
      <c r="E662" s="52" t="n"/>
      <c r="F662" s="61">
        <f>IFERROR(VLOOKUP(E662,Maestro_SKU!$A$2:$P$500,2,FALSE),"")</f>
        <v/>
      </c>
      <c r="G662" s="52" t="n"/>
      <c r="H662" s="61">
        <f>IF(OR(G662="",E662=""),"",G662*IFERROR(VLOOKUP(E662,Maestro_SKU!$A$2:$P$500,12,FALSE),1))</f>
        <v/>
      </c>
      <c r="I662" s="53" t="n"/>
      <c r="J662" s="61">
        <f>IF(A662="","",IF(H662&lt;=Inicio!$B$16,"Crítico",IF(H662&lt;=Inicio!$B$17,"Observar","OK")))</f>
        <v/>
      </c>
      <c r="K662" s="52" t="n"/>
    </row>
    <row r="663">
      <c r="A663" s="52" t="n"/>
      <c r="B663" s="61">
        <f>IFERROR(VLOOKUP(A663,Clientes_PDV!$A$2:$J$250,2,FALSE),"")</f>
        <v/>
      </c>
      <c r="C663" s="61">
        <f>IFERROR(VLOOKUP(A663,Clientes_PDV!$A$2:$J$250,3,FALSE),"")</f>
        <v/>
      </c>
      <c r="D663" s="61">
        <f>IFERROR(VLOOKUP(A663,Clientes_PDV!$A$2:$J$250,4,FALSE),"")</f>
        <v/>
      </c>
      <c r="E663" s="52" t="n"/>
      <c r="F663" s="61">
        <f>IFERROR(VLOOKUP(E663,Maestro_SKU!$A$2:$P$500,2,FALSE),"")</f>
        <v/>
      </c>
      <c r="G663" s="52" t="n"/>
      <c r="H663" s="61">
        <f>IF(OR(G663="",E663=""),"",G663*IFERROR(VLOOKUP(E663,Maestro_SKU!$A$2:$P$500,12,FALSE),1))</f>
        <v/>
      </c>
      <c r="I663" s="53" t="n"/>
      <c r="J663" s="61">
        <f>IF(A663="","",IF(H663&lt;=Inicio!$B$16,"Crítico",IF(H663&lt;=Inicio!$B$17,"Observar","OK")))</f>
        <v/>
      </c>
      <c r="K663" s="52" t="n"/>
    </row>
    <row r="664">
      <c r="A664" s="52" t="n"/>
      <c r="B664" s="61">
        <f>IFERROR(VLOOKUP(A664,Clientes_PDV!$A$2:$J$250,2,FALSE),"")</f>
        <v/>
      </c>
      <c r="C664" s="61">
        <f>IFERROR(VLOOKUP(A664,Clientes_PDV!$A$2:$J$250,3,FALSE),"")</f>
        <v/>
      </c>
      <c r="D664" s="61">
        <f>IFERROR(VLOOKUP(A664,Clientes_PDV!$A$2:$J$250,4,FALSE),"")</f>
        <v/>
      </c>
      <c r="E664" s="52" t="n"/>
      <c r="F664" s="61">
        <f>IFERROR(VLOOKUP(E664,Maestro_SKU!$A$2:$P$500,2,FALSE),"")</f>
        <v/>
      </c>
      <c r="G664" s="52" t="n"/>
      <c r="H664" s="61">
        <f>IF(OR(G664="",E664=""),"",G664*IFERROR(VLOOKUP(E664,Maestro_SKU!$A$2:$P$500,12,FALSE),1))</f>
        <v/>
      </c>
      <c r="I664" s="53" t="n"/>
      <c r="J664" s="61">
        <f>IF(A664="","",IF(H664&lt;=Inicio!$B$16,"Crítico",IF(H664&lt;=Inicio!$B$17,"Observar","OK")))</f>
        <v/>
      </c>
      <c r="K664" s="52" t="n"/>
    </row>
    <row r="665">
      <c r="A665" s="52" t="n"/>
      <c r="B665" s="61">
        <f>IFERROR(VLOOKUP(A665,Clientes_PDV!$A$2:$J$250,2,FALSE),"")</f>
        <v/>
      </c>
      <c r="C665" s="61">
        <f>IFERROR(VLOOKUP(A665,Clientes_PDV!$A$2:$J$250,3,FALSE),"")</f>
        <v/>
      </c>
      <c r="D665" s="61">
        <f>IFERROR(VLOOKUP(A665,Clientes_PDV!$A$2:$J$250,4,FALSE),"")</f>
        <v/>
      </c>
      <c r="E665" s="52" t="n"/>
      <c r="F665" s="61">
        <f>IFERROR(VLOOKUP(E665,Maestro_SKU!$A$2:$P$500,2,FALSE),"")</f>
        <v/>
      </c>
      <c r="G665" s="52" t="n"/>
      <c r="H665" s="61">
        <f>IF(OR(G665="",E665=""),"",G665*IFERROR(VLOOKUP(E665,Maestro_SKU!$A$2:$P$500,12,FALSE),1))</f>
        <v/>
      </c>
      <c r="I665" s="53" t="n"/>
      <c r="J665" s="61">
        <f>IF(A665="","",IF(H665&lt;=Inicio!$B$16,"Crítico",IF(H665&lt;=Inicio!$B$17,"Observar","OK")))</f>
        <v/>
      </c>
      <c r="K665" s="52" t="n"/>
    </row>
    <row r="666">
      <c r="A666" s="52" t="n"/>
      <c r="B666" s="61">
        <f>IFERROR(VLOOKUP(A666,Clientes_PDV!$A$2:$J$250,2,FALSE),"")</f>
        <v/>
      </c>
      <c r="C666" s="61">
        <f>IFERROR(VLOOKUP(A666,Clientes_PDV!$A$2:$J$250,3,FALSE),"")</f>
        <v/>
      </c>
      <c r="D666" s="61">
        <f>IFERROR(VLOOKUP(A666,Clientes_PDV!$A$2:$J$250,4,FALSE),"")</f>
        <v/>
      </c>
      <c r="E666" s="52" t="n"/>
      <c r="F666" s="61">
        <f>IFERROR(VLOOKUP(E666,Maestro_SKU!$A$2:$P$500,2,FALSE),"")</f>
        <v/>
      </c>
      <c r="G666" s="52" t="n"/>
      <c r="H666" s="61">
        <f>IF(OR(G666="",E666=""),"",G666*IFERROR(VLOOKUP(E666,Maestro_SKU!$A$2:$P$500,12,FALSE),1))</f>
        <v/>
      </c>
      <c r="I666" s="53" t="n"/>
      <c r="J666" s="61">
        <f>IF(A666="","",IF(H666&lt;=Inicio!$B$16,"Crítico",IF(H666&lt;=Inicio!$B$17,"Observar","OK")))</f>
        <v/>
      </c>
      <c r="K666" s="52" t="n"/>
    </row>
    <row r="667">
      <c r="A667" s="52" t="n"/>
      <c r="B667" s="61">
        <f>IFERROR(VLOOKUP(A667,Clientes_PDV!$A$2:$J$250,2,FALSE),"")</f>
        <v/>
      </c>
      <c r="C667" s="61">
        <f>IFERROR(VLOOKUP(A667,Clientes_PDV!$A$2:$J$250,3,FALSE),"")</f>
        <v/>
      </c>
      <c r="D667" s="61">
        <f>IFERROR(VLOOKUP(A667,Clientes_PDV!$A$2:$J$250,4,FALSE),"")</f>
        <v/>
      </c>
      <c r="E667" s="52" t="n"/>
      <c r="F667" s="61">
        <f>IFERROR(VLOOKUP(E667,Maestro_SKU!$A$2:$P$500,2,FALSE),"")</f>
        <v/>
      </c>
      <c r="G667" s="52" t="n"/>
      <c r="H667" s="61">
        <f>IF(OR(G667="",E667=""),"",G667*IFERROR(VLOOKUP(E667,Maestro_SKU!$A$2:$P$500,12,FALSE),1))</f>
        <v/>
      </c>
      <c r="I667" s="53" t="n"/>
      <c r="J667" s="61">
        <f>IF(A667="","",IF(H667&lt;=Inicio!$B$16,"Crítico",IF(H667&lt;=Inicio!$B$17,"Observar","OK")))</f>
        <v/>
      </c>
      <c r="K667" s="52" t="n"/>
    </row>
    <row r="668">
      <c r="A668" s="52" t="n"/>
      <c r="B668" s="61">
        <f>IFERROR(VLOOKUP(A668,Clientes_PDV!$A$2:$J$250,2,FALSE),"")</f>
        <v/>
      </c>
      <c r="C668" s="61">
        <f>IFERROR(VLOOKUP(A668,Clientes_PDV!$A$2:$J$250,3,FALSE),"")</f>
        <v/>
      </c>
      <c r="D668" s="61">
        <f>IFERROR(VLOOKUP(A668,Clientes_PDV!$A$2:$J$250,4,FALSE),"")</f>
        <v/>
      </c>
      <c r="E668" s="52" t="n"/>
      <c r="F668" s="61">
        <f>IFERROR(VLOOKUP(E668,Maestro_SKU!$A$2:$P$500,2,FALSE),"")</f>
        <v/>
      </c>
      <c r="G668" s="52" t="n"/>
      <c r="H668" s="61">
        <f>IF(OR(G668="",E668=""),"",G668*IFERROR(VLOOKUP(E668,Maestro_SKU!$A$2:$P$500,12,FALSE),1))</f>
        <v/>
      </c>
      <c r="I668" s="53" t="n"/>
      <c r="J668" s="61">
        <f>IF(A668="","",IF(H668&lt;=Inicio!$B$16,"Crítico",IF(H668&lt;=Inicio!$B$17,"Observar","OK")))</f>
        <v/>
      </c>
      <c r="K668" s="52" t="n"/>
    </row>
    <row r="669">
      <c r="A669" s="52" t="n"/>
      <c r="B669" s="61">
        <f>IFERROR(VLOOKUP(A669,Clientes_PDV!$A$2:$J$250,2,FALSE),"")</f>
        <v/>
      </c>
      <c r="C669" s="61">
        <f>IFERROR(VLOOKUP(A669,Clientes_PDV!$A$2:$J$250,3,FALSE),"")</f>
        <v/>
      </c>
      <c r="D669" s="61">
        <f>IFERROR(VLOOKUP(A669,Clientes_PDV!$A$2:$J$250,4,FALSE),"")</f>
        <v/>
      </c>
      <c r="E669" s="52" t="n"/>
      <c r="F669" s="61">
        <f>IFERROR(VLOOKUP(E669,Maestro_SKU!$A$2:$P$500,2,FALSE),"")</f>
        <v/>
      </c>
      <c r="G669" s="52" t="n"/>
      <c r="H669" s="61">
        <f>IF(OR(G669="",E669=""),"",G669*IFERROR(VLOOKUP(E669,Maestro_SKU!$A$2:$P$500,12,FALSE),1))</f>
        <v/>
      </c>
      <c r="I669" s="53" t="n"/>
      <c r="J669" s="61">
        <f>IF(A669="","",IF(H669&lt;=Inicio!$B$16,"Crítico",IF(H669&lt;=Inicio!$B$17,"Observar","OK")))</f>
        <v/>
      </c>
      <c r="K669" s="52" t="n"/>
    </row>
    <row r="670">
      <c r="A670" s="52" t="n"/>
      <c r="B670" s="61">
        <f>IFERROR(VLOOKUP(A670,Clientes_PDV!$A$2:$J$250,2,FALSE),"")</f>
        <v/>
      </c>
      <c r="C670" s="61">
        <f>IFERROR(VLOOKUP(A670,Clientes_PDV!$A$2:$J$250,3,FALSE),"")</f>
        <v/>
      </c>
      <c r="D670" s="61">
        <f>IFERROR(VLOOKUP(A670,Clientes_PDV!$A$2:$J$250,4,FALSE),"")</f>
        <v/>
      </c>
      <c r="E670" s="52" t="n"/>
      <c r="F670" s="61">
        <f>IFERROR(VLOOKUP(E670,Maestro_SKU!$A$2:$P$500,2,FALSE),"")</f>
        <v/>
      </c>
      <c r="G670" s="52" t="n"/>
      <c r="H670" s="61">
        <f>IF(OR(G670="",E670=""),"",G670*IFERROR(VLOOKUP(E670,Maestro_SKU!$A$2:$P$500,12,FALSE),1))</f>
        <v/>
      </c>
      <c r="I670" s="53" t="n"/>
      <c r="J670" s="61">
        <f>IF(A670="","",IF(H670&lt;=Inicio!$B$16,"Crítico",IF(H670&lt;=Inicio!$B$17,"Observar","OK")))</f>
        <v/>
      </c>
      <c r="K670" s="52" t="n"/>
    </row>
    <row r="671">
      <c r="A671" s="52" t="n"/>
      <c r="B671" s="61">
        <f>IFERROR(VLOOKUP(A671,Clientes_PDV!$A$2:$J$250,2,FALSE),"")</f>
        <v/>
      </c>
      <c r="C671" s="61">
        <f>IFERROR(VLOOKUP(A671,Clientes_PDV!$A$2:$J$250,3,FALSE),"")</f>
        <v/>
      </c>
      <c r="D671" s="61">
        <f>IFERROR(VLOOKUP(A671,Clientes_PDV!$A$2:$J$250,4,FALSE),"")</f>
        <v/>
      </c>
      <c r="E671" s="52" t="n"/>
      <c r="F671" s="61">
        <f>IFERROR(VLOOKUP(E671,Maestro_SKU!$A$2:$P$500,2,FALSE),"")</f>
        <v/>
      </c>
      <c r="G671" s="52" t="n"/>
      <c r="H671" s="61">
        <f>IF(OR(G671="",E671=""),"",G671*IFERROR(VLOOKUP(E671,Maestro_SKU!$A$2:$P$500,12,FALSE),1))</f>
        <v/>
      </c>
      <c r="I671" s="53" t="n"/>
      <c r="J671" s="61">
        <f>IF(A671="","",IF(H671&lt;=Inicio!$B$16,"Crítico",IF(H671&lt;=Inicio!$B$17,"Observar","OK")))</f>
        <v/>
      </c>
      <c r="K671" s="52" t="n"/>
    </row>
    <row r="672">
      <c r="A672" s="52" t="n"/>
      <c r="B672" s="61">
        <f>IFERROR(VLOOKUP(A672,Clientes_PDV!$A$2:$J$250,2,FALSE),"")</f>
        <v/>
      </c>
      <c r="C672" s="61">
        <f>IFERROR(VLOOKUP(A672,Clientes_PDV!$A$2:$J$250,3,FALSE),"")</f>
        <v/>
      </c>
      <c r="D672" s="61">
        <f>IFERROR(VLOOKUP(A672,Clientes_PDV!$A$2:$J$250,4,FALSE),"")</f>
        <v/>
      </c>
      <c r="E672" s="52" t="n"/>
      <c r="F672" s="61">
        <f>IFERROR(VLOOKUP(E672,Maestro_SKU!$A$2:$P$500,2,FALSE),"")</f>
        <v/>
      </c>
      <c r="G672" s="52" t="n"/>
      <c r="H672" s="61">
        <f>IF(OR(G672="",E672=""),"",G672*IFERROR(VLOOKUP(E672,Maestro_SKU!$A$2:$P$500,12,FALSE),1))</f>
        <v/>
      </c>
      <c r="I672" s="53" t="n"/>
      <c r="J672" s="61">
        <f>IF(A672="","",IF(H672&lt;=Inicio!$B$16,"Crítico",IF(H672&lt;=Inicio!$B$17,"Observar","OK")))</f>
        <v/>
      </c>
      <c r="K672" s="52" t="n"/>
    </row>
    <row r="673">
      <c r="A673" s="52" t="n"/>
      <c r="B673" s="61">
        <f>IFERROR(VLOOKUP(A673,Clientes_PDV!$A$2:$J$250,2,FALSE),"")</f>
        <v/>
      </c>
      <c r="C673" s="61">
        <f>IFERROR(VLOOKUP(A673,Clientes_PDV!$A$2:$J$250,3,FALSE),"")</f>
        <v/>
      </c>
      <c r="D673" s="61">
        <f>IFERROR(VLOOKUP(A673,Clientes_PDV!$A$2:$J$250,4,FALSE),"")</f>
        <v/>
      </c>
      <c r="E673" s="52" t="n"/>
      <c r="F673" s="61">
        <f>IFERROR(VLOOKUP(E673,Maestro_SKU!$A$2:$P$500,2,FALSE),"")</f>
        <v/>
      </c>
      <c r="G673" s="52" t="n"/>
      <c r="H673" s="61">
        <f>IF(OR(G673="",E673=""),"",G673*IFERROR(VLOOKUP(E673,Maestro_SKU!$A$2:$P$500,12,FALSE),1))</f>
        <v/>
      </c>
      <c r="I673" s="53" t="n"/>
      <c r="J673" s="61">
        <f>IF(A673="","",IF(H673&lt;=Inicio!$B$16,"Crítico",IF(H673&lt;=Inicio!$B$17,"Observar","OK")))</f>
        <v/>
      </c>
      <c r="K673" s="52" t="n"/>
    </row>
    <row r="674">
      <c r="A674" s="52" t="n"/>
      <c r="B674" s="61">
        <f>IFERROR(VLOOKUP(A674,Clientes_PDV!$A$2:$J$250,2,FALSE),"")</f>
        <v/>
      </c>
      <c r="C674" s="61">
        <f>IFERROR(VLOOKUP(A674,Clientes_PDV!$A$2:$J$250,3,FALSE),"")</f>
        <v/>
      </c>
      <c r="D674" s="61">
        <f>IFERROR(VLOOKUP(A674,Clientes_PDV!$A$2:$J$250,4,FALSE),"")</f>
        <v/>
      </c>
      <c r="E674" s="52" t="n"/>
      <c r="F674" s="61">
        <f>IFERROR(VLOOKUP(E674,Maestro_SKU!$A$2:$P$500,2,FALSE),"")</f>
        <v/>
      </c>
      <c r="G674" s="52" t="n"/>
      <c r="H674" s="61">
        <f>IF(OR(G674="",E674=""),"",G674*IFERROR(VLOOKUP(E674,Maestro_SKU!$A$2:$P$500,12,FALSE),1))</f>
        <v/>
      </c>
      <c r="I674" s="53" t="n"/>
      <c r="J674" s="61">
        <f>IF(A674="","",IF(H674&lt;=Inicio!$B$16,"Crítico",IF(H674&lt;=Inicio!$B$17,"Observar","OK")))</f>
        <v/>
      </c>
      <c r="K674" s="52" t="n"/>
    </row>
    <row r="675">
      <c r="A675" s="52" t="n"/>
      <c r="B675" s="61">
        <f>IFERROR(VLOOKUP(A675,Clientes_PDV!$A$2:$J$250,2,FALSE),"")</f>
        <v/>
      </c>
      <c r="C675" s="61">
        <f>IFERROR(VLOOKUP(A675,Clientes_PDV!$A$2:$J$250,3,FALSE),"")</f>
        <v/>
      </c>
      <c r="D675" s="61">
        <f>IFERROR(VLOOKUP(A675,Clientes_PDV!$A$2:$J$250,4,FALSE),"")</f>
        <v/>
      </c>
      <c r="E675" s="52" t="n"/>
      <c r="F675" s="61">
        <f>IFERROR(VLOOKUP(E675,Maestro_SKU!$A$2:$P$500,2,FALSE),"")</f>
        <v/>
      </c>
      <c r="G675" s="52" t="n"/>
      <c r="H675" s="61">
        <f>IF(OR(G675="",E675=""),"",G675*IFERROR(VLOOKUP(E675,Maestro_SKU!$A$2:$P$500,12,FALSE),1))</f>
        <v/>
      </c>
      <c r="I675" s="53" t="n"/>
      <c r="J675" s="61">
        <f>IF(A675="","",IF(H675&lt;=Inicio!$B$16,"Crítico",IF(H675&lt;=Inicio!$B$17,"Observar","OK")))</f>
        <v/>
      </c>
      <c r="K675" s="52" t="n"/>
    </row>
    <row r="676">
      <c r="A676" s="52" t="n"/>
      <c r="B676" s="61">
        <f>IFERROR(VLOOKUP(A676,Clientes_PDV!$A$2:$J$250,2,FALSE),"")</f>
        <v/>
      </c>
      <c r="C676" s="61">
        <f>IFERROR(VLOOKUP(A676,Clientes_PDV!$A$2:$J$250,3,FALSE),"")</f>
        <v/>
      </c>
      <c r="D676" s="61">
        <f>IFERROR(VLOOKUP(A676,Clientes_PDV!$A$2:$J$250,4,FALSE),"")</f>
        <v/>
      </c>
      <c r="E676" s="52" t="n"/>
      <c r="F676" s="61">
        <f>IFERROR(VLOOKUP(E676,Maestro_SKU!$A$2:$P$500,2,FALSE),"")</f>
        <v/>
      </c>
      <c r="G676" s="52" t="n"/>
      <c r="H676" s="61">
        <f>IF(OR(G676="",E676=""),"",G676*IFERROR(VLOOKUP(E676,Maestro_SKU!$A$2:$P$500,12,FALSE),1))</f>
        <v/>
      </c>
      <c r="I676" s="53" t="n"/>
      <c r="J676" s="61">
        <f>IF(A676="","",IF(H676&lt;=Inicio!$B$16,"Crítico",IF(H676&lt;=Inicio!$B$17,"Observar","OK")))</f>
        <v/>
      </c>
      <c r="K676" s="52" t="n"/>
    </row>
    <row r="677">
      <c r="A677" s="52" t="n"/>
      <c r="B677" s="61">
        <f>IFERROR(VLOOKUP(A677,Clientes_PDV!$A$2:$J$250,2,FALSE),"")</f>
        <v/>
      </c>
      <c r="C677" s="61">
        <f>IFERROR(VLOOKUP(A677,Clientes_PDV!$A$2:$J$250,3,FALSE),"")</f>
        <v/>
      </c>
      <c r="D677" s="61">
        <f>IFERROR(VLOOKUP(A677,Clientes_PDV!$A$2:$J$250,4,FALSE),"")</f>
        <v/>
      </c>
      <c r="E677" s="52" t="n"/>
      <c r="F677" s="61">
        <f>IFERROR(VLOOKUP(E677,Maestro_SKU!$A$2:$P$500,2,FALSE),"")</f>
        <v/>
      </c>
      <c r="G677" s="52" t="n"/>
      <c r="H677" s="61">
        <f>IF(OR(G677="",E677=""),"",G677*IFERROR(VLOOKUP(E677,Maestro_SKU!$A$2:$P$500,12,FALSE),1))</f>
        <v/>
      </c>
      <c r="I677" s="53" t="n"/>
      <c r="J677" s="61">
        <f>IF(A677="","",IF(H677&lt;=Inicio!$B$16,"Crítico",IF(H677&lt;=Inicio!$B$17,"Observar","OK")))</f>
        <v/>
      </c>
      <c r="K677" s="52" t="n"/>
    </row>
    <row r="678">
      <c r="A678" s="52" t="n"/>
      <c r="B678" s="61">
        <f>IFERROR(VLOOKUP(A678,Clientes_PDV!$A$2:$J$250,2,FALSE),"")</f>
        <v/>
      </c>
      <c r="C678" s="61">
        <f>IFERROR(VLOOKUP(A678,Clientes_PDV!$A$2:$J$250,3,FALSE),"")</f>
        <v/>
      </c>
      <c r="D678" s="61">
        <f>IFERROR(VLOOKUP(A678,Clientes_PDV!$A$2:$J$250,4,FALSE),"")</f>
        <v/>
      </c>
      <c r="E678" s="52" t="n"/>
      <c r="F678" s="61">
        <f>IFERROR(VLOOKUP(E678,Maestro_SKU!$A$2:$P$500,2,FALSE),"")</f>
        <v/>
      </c>
      <c r="G678" s="52" t="n"/>
      <c r="H678" s="61">
        <f>IF(OR(G678="",E678=""),"",G678*IFERROR(VLOOKUP(E678,Maestro_SKU!$A$2:$P$500,12,FALSE),1))</f>
        <v/>
      </c>
      <c r="I678" s="53" t="n"/>
      <c r="J678" s="61">
        <f>IF(A678="","",IF(H678&lt;=Inicio!$B$16,"Crítico",IF(H678&lt;=Inicio!$B$17,"Observar","OK")))</f>
        <v/>
      </c>
      <c r="K678" s="52" t="n"/>
    </row>
    <row r="679">
      <c r="A679" s="52" t="n"/>
      <c r="B679" s="61">
        <f>IFERROR(VLOOKUP(A679,Clientes_PDV!$A$2:$J$250,2,FALSE),"")</f>
        <v/>
      </c>
      <c r="C679" s="61">
        <f>IFERROR(VLOOKUP(A679,Clientes_PDV!$A$2:$J$250,3,FALSE),"")</f>
        <v/>
      </c>
      <c r="D679" s="61">
        <f>IFERROR(VLOOKUP(A679,Clientes_PDV!$A$2:$J$250,4,FALSE),"")</f>
        <v/>
      </c>
      <c r="E679" s="52" t="n"/>
      <c r="F679" s="61">
        <f>IFERROR(VLOOKUP(E679,Maestro_SKU!$A$2:$P$500,2,FALSE),"")</f>
        <v/>
      </c>
      <c r="G679" s="52" t="n"/>
      <c r="H679" s="61">
        <f>IF(OR(G679="",E679=""),"",G679*IFERROR(VLOOKUP(E679,Maestro_SKU!$A$2:$P$500,12,FALSE),1))</f>
        <v/>
      </c>
      <c r="I679" s="53" t="n"/>
      <c r="J679" s="61">
        <f>IF(A679="","",IF(H679&lt;=Inicio!$B$16,"Crítico",IF(H679&lt;=Inicio!$B$17,"Observar","OK")))</f>
        <v/>
      </c>
      <c r="K679" s="52" t="n"/>
    </row>
    <row r="680">
      <c r="A680" s="52" t="n"/>
      <c r="B680" s="61">
        <f>IFERROR(VLOOKUP(A680,Clientes_PDV!$A$2:$J$250,2,FALSE),"")</f>
        <v/>
      </c>
      <c r="C680" s="61">
        <f>IFERROR(VLOOKUP(A680,Clientes_PDV!$A$2:$J$250,3,FALSE),"")</f>
        <v/>
      </c>
      <c r="D680" s="61">
        <f>IFERROR(VLOOKUP(A680,Clientes_PDV!$A$2:$J$250,4,FALSE),"")</f>
        <v/>
      </c>
      <c r="E680" s="52" t="n"/>
      <c r="F680" s="61">
        <f>IFERROR(VLOOKUP(E680,Maestro_SKU!$A$2:$P$500,2,FALSE),"")</f>
        <v/>
      </c>
      <c r="G680" s="52" t="n"/>
      <c r="H680" s="61">
        <f>IF(OR(G680="",E680=""),"",G680*IFERROR(VLOOKUP(E680,Maestro_SKU!$A$2:$P$500,12,FALSE),1))</f>
        <v/>
      </c>
      <c r="I680" s="53" t="n"/>
      <c r="J680" s="61">
        <f>IF(A680="","",IF(H680&lt;=Inicio!$B$16,"Crítico",IF(H680&lt;=Inicio!$B$17,"Observar","OK")))</f>
        <v/>
      </c>
      <c r="K680" s="52" t="n"/>
    </row>
    <row r="681">
      <c r="A681" s="52" t="n"/>
      <c r="B681" s="61">
        <f>IFERROR(VLOOKUP(A681,Clientes_PDV!$A$2:$J$250,2,FALSE),"")</f>
        <v/>
      </c>
      <c r="C681" s="61">
        <f>IFERROR(VLOOKUP(A681,Clientes_PDV!$A$2:$J$250,3,FALSE),"")</f>
        <v/>
      </c>
      <c r="D681" s="61">
        <f>IFERROR(VLOOKUP(A681,Clientes_PDV!$A$2:$J$250,4,FALSE),"")</f>
        <v/>
      </c>
      <c r="E681" s="52" t="n"/>
      <c r="F681" s="61">
        <f>IFERROR(VLOOKUP(E681,Maestro_SKU!$A$2:$P$500,2,FALSE),"")</f>
        <v/>
      </c>
      <c r="G681" s="52" t="n"/>
      <c r="H681" s="61">
        <f>IF(OR(G681="",E681=""),"",G681*IFERROR(VLOOKUP(E681,Maestro_SKU!$A$2:$P$500,12,FALSE),1))</f>
        <v/>
      </c>
      <c r="I681" s="53" t="n"/>
      <c r="J681" s="61">
        <f>IF(A681="","",IF(H681&lt;=Inicio!$B$16,"Crítico",IF(H681&lt;=Inicio!$B$17,"Observar","OK")))</f>
        <v/>
      </c>
      <c r="K681" s="52" t="n"/>
    </row>
    <row r="682">
      <c r="A682" s="52" t="n"/>
      <c r="B682" s="61">
        <f>IFERROR(VLOOKUP(A682,Clientes_PDV!$A$2:$J$250,2,FALSE),"")</f>
        <v/>
      </c>
      <c r="C682" s="61">
        <f>IFERROR(VLOOKUP(A682,Clientes_PDV!$A$2:$J$250,3,FALSE),"")</f>
        <v/>
      </c>
      <c r="D682" s="61">
        <f>IFERROR(VLOOKUP(A682,Clientes_PDV!$A$2:$J$250,4,FALSE),"")</f>
        <v/>
      </c>
      <c r="E682" s="52" t="n"/>
      <c r="F682" s="61">
        <f>IFERROR(VLOOKUP(E682,Maestro_SKU!$A$2:$P$500,2,FALSE),"")</f>
        <v/>
      </c>
      <c r="G682" s="52" t="n"/>
      <c r="H682" s="61">
        <f>IF(OR(G682="",E682=""),"",G682*IFERROR(VLOOKUP(E682,Maestro_SKU!$A$2:$P$500,12,FALSE),1))</f>
        <v/>
      </c>
      <c r="I682" s="53" t="n"/>
      <c r="J682" s="61">
        <f>IF(A682="","",IF(H682&lt;=Inicio!$B$16,"Crítico",IF(H682&lt;=Inicio!$B$17,"Observar","OK")))</f>
        <v/>
      </c>
      <c r="K682" s="52" t="n"/>
    </row>
    <row r="683">
      <c r="A683" s="52" t="n"/>
      <c r="B683" s="61">
        <f>IFERROR(VLOOKUP(A683,Clientes_PDV!$A$2:$J$250,2,FALSE),"")</f>
        <v/>
      </c>
      <c r="C683" s="61">
        <f>IFERROR(VLOOKUP(A683,Clientes_PDV!$A$2:$J$250,3,FALSE),"")</f>
        <v/>
      </c>
      <c r="D683" s="61">
        <f>IFERROR(VLOOKUP(A683,Clientes_PDV!$A$2:$J$250,4,FALSE),"")</f>
        <v/>
      </c>
      <c r="E683" s="52" t="n"/>
      <c r="F683" s="61">
        <f>IFERROR(VLOOKUP(E683,Maestro_SKU!$A$2:$P$500,2,FALSE),"")</f>
        <v/>
      </c>
      <c r="G683" s="52" t="n"/>
      <c r="H683" s="61">
        <f>IF(OR(G683="",E683=""),"",G683*IFERROR(VLOOKUP(E683,Maestro_SKU!$A$2:$P$500,12,FALSE),1))</f>
        <v/>
      </c>
      <c r="I683" s="53" t="n"/>
      <c r="J683" s="61">
        <f>IF(A683="","",IF(H683&lt;=Inicio!$B$16,"Crítico",IF(H683&lt;=Inicio!$B$17,"Observar","OK")))</f>
        <v/>
      </c>
      <c r="K683" s="52" t="n"/>
    </row>
    <row r="684">
      <c r="A684" s="52" t="n"/>
      <c r="B684" s="61">
        <f>IFERROR(VLOOKUP(A684,Clientes_PDV!$A$2:$J$250,2,FALSE),"")</f>
        <v/>
      </c>
      <c r="C684" s="61">
        <f>IFERROR(VLOOKUP(A684,Clientes_PDV!$A$2:$J$250,3,FALSE),"")</f>
        <v/>
      </c>
      <c r="D684" s="61">
        <f>IFERROR(VLOOKUP(A684,Clientes_PDV!$A$2:$J$250,4,FALSE),"")</f>
        <v/>
      </c>
      <c r="E684" s="52" t="n"/>
      <c r="F684" s="61">
        <f>IFERROR(VLOOKUP(E684,Maestro_SKU!$A$2:$P$500,2,FALSE),"")</f>
        <v/>
      </c>
      <c r="G684" s="52" t="n"/>
      <c r="H684" s="61">
        <f>IF(OR(G684="",E684=""),"",G684*IFERROR(VLOOKUP(E684,Maestro_SKU!$A$2:$P$500,12,FALSE),1))</f>
        <v/>
      </c>
      <c r="I684" s="53" t="n"/>
      <c r="J684" s="61">
        <f>IF(A684="","",IF(H684&lt;=Inicio!$B$16,"Crítico",IF(H684&lt;=Inicio!$B$17,"Observar","OK")))</f>
        <v/>
      </c>
      <c r="K684" s="52" t="n"/>
    </row>
    <row r="685">
      <c r="A685" s="52" t="n"/>
      <c r="B685" s="61">
        <f>IFERROR(VLOOKUP(A685,Clientes_PDV!$A$2:$J$250,2,FALSE),"")</f>
        <v/>
      </c>
      <c r="C685" s="61">
        <f>IFERROR(VLOOKUP(A685,Clientes_PDV!$A$2:$J$250,3,FALSE),"")</f>
        <v/>
      </c>
      <c r="D685" s="61">
        <f>IFERROR(VLOOKUP(A685,Clientes_PDV!$A$2:$J$250,4,FALSE),"")</f>
        <v/>
      </c>
      <c r="E685" s="52" t="n"/>
      <c r="F685" s="61">
        <f>IFERROR(VLOOKUP(E685,Maestro_SKU!$A$2:$P$500,2,FALSE),"")</f>
        <v/>
      </c>
      <c r="G685" s="52" t="n"/>
      <c r="H685" s="61">
        <f>IF(OR(G685="",E685=""),"",G685*IFERROR(VLOOKUP(E685,Maestro_SKU!$A$2:$P$500,12,FALSE),1))</f>
        <v/>
      </c>
      <c r="I685" s="53" t="n"/>
      <c r="J685" s="61">
        <f>IF(A685="","",IF(H685&lt;=Inicio!$B$16,"Crítico",IF(H685&lt;=Inicio!$B$17,"Observar","OK")))</f>
        <v/>
      </c>
      <c r="K685" s="52" t="n"/>
    </row>
    <row r="686">
      <c r="A686" s="52" t="n"/>
      <c r="B686" s="61">
        <f>IFERROR(VLOOKUP(A686,Clientes_PDV!$A$2:$J$250,2,FALSE),"")</f>
        <v/>
      </c>
      <c r="C686" s="61">
        <f>IFERROR(VLOOKUP(A686,Clientes_PDV!$A$2:$J$250,3,FALSE),"")</f>
        <v/>
      </c>
      <c r="D686" s="61">
        <f>IFERROR(VLOOKUP(A686,Clientes_PDV!$A$2:$J$250,4,FALSE),"")</f>
        <v/>
      </c>
      <c r="E686" s="52" t="n"/>
      <c r="F686" s="61">
        <f>IFERROR(VLOOKUP(E686,Maestro_SKU!$A$2:$P$500,2,FALSE),"")</f>
        <v/>
      </c>
      <c r="G686" s="52" t="n"/>
      <c r="H686" s="61">
        <f>IF(OR(G686="",E686=""),"",G686*IFERROR(VLOOKUP(E686,Maestro_SKU!$A$2:$P$500,12,FALSE),1))</f>
        <v/>
      </c>
      <c r="I686" s="53" t="n"/>
      <c r="J686" s="61">
        <f>IF(A686="","",IF(H686&lt;=Inicio!$B$16,"Crítico",IF(H686&lt;=Inicio!$B$17,"Observar","OK")))</f>
        <v/>
      </c>
      <c r="K686" s="52" t="n"/>
    </row>
    <row r="687">
      <c r="A687" s="52" t="n"/>
      <c r="B687" s="61">
        <f>IFERROR(VLOOKUP(A687,Clientes_PDV!$A$2:$J$250,2,FALSE),"")</f>
        <v/>
      </c>
      <c r="C687" s="61">
        <f>IFERROR(VLOOKUP(A687,Clientes_PDV!$A$2:$J$250,3,FALSE),"")</f>
        <v/>
      </c>
      <c r="D687" s="61">
        <f>IFERROR(VLOOKUP(A687,Clientes_PDV!$A$2:$J$250,4,FALSE),"")</f>
        <v/>
      </c>
      <c r="E687" s="52" t="n"/>
      <c r="F687" s="61">
        <f>IFERROR(VLOOKUP(E687,Maestro_SKU!$A$2:$P$500,2,FALSE),"")</f>
        <v/>
      </c>
      <c r="G687" s="52" t="n"/>
      <c r="H687" s="61">
        <f>IF(OR(G687="",E687=""),"",G687*IFERROR(VLOOKUP(E687,Maestro_SKU!$A$2:$P$500,12,FALSE),1))</f>
        <v/>
      </c>
      <c r="I687" s="53" t="n"/>
      <c r="J687" s="61">
        <f>IF(A687="","",IF(H687&lt;=Inicio!$B$16,"Crítico",IF(H687&lt;=Inicio!$B$17,"Observar","OK")))</f>
        <v/>
      </c>
      <c r="K687" s="52" t="n"/>
    </row>
    <row r="688">
      <c r="A688" s="52" t="n"/>
      <c r="B688" s="61">
        <f>IFERROR(VLOOKUP(A688,Clientes_PDV!$A$2:$J$250,2,FALSE),"")</f>
        <v/>
      </c>
      <c r="C688" s="61">
        <f>IFERROR(VLOOKUP(A688,Clientes_PDV!$A$2:$J$250,3,FALSE),"")</f>
        <v/>
      </c>
      <c r="D688" s="61">
        <f>IFERROR(VLOOKUP(A688,Clientes_PDV!$A$2:$J$250,4,FALSE),"")</f>
        <v/>
      </c>
      <c r="E688" s="52" t="n"/>
      <c r="F688" s="61">
        <f>IFERROR(VLOOKUP(E688,Maestro_SKU!$A$2:$P$500,2,FALSE),"")</f>
        <v/>
      </c>
      <c r="G688" s="52" t="n"/>
      <c r="H688" s="61">
        <f>IF(OR(G688="",E688=""),"",G688*IFERROR(VLOOKUP(E688,Maestro_SKU!$A$2:$P$500,12,FALSE),1))</f>
        <v/>
      </c>
      <c r="I688" s="53" t="n"/>
      <c r="J688" s="61">
        <f>IF(A688="","",IF(H688&lt;=Inicio!$B$16,"Crítico",IF(H688&lt;=Inicio!$B$17,"Observar","OK")))</f>
        <v/>
      </c>
      <c r="K688" s="52" t="n"/>
    </row>
    <row r="689">
      <c r="A689" s="52" t="n"/>
      <c r="B689" s="61">
        <f>IFERROR(VLOOKUP(A689,Clientes_PDV!$A$2:$J$250,2,FALSE),"")</f>
        <v/>
      </c>
      <c r="C689" s="61">
        <f>IFERROR(VLOOKUP(A689,Clientes_PDV!$A$2:$J$250,3,FALSE),"")</f>
        <v/>
      </c>
      <c r="D689" s="61">
        <f>IFERROR(VLOOKUP(A689,Clientes_PDV!$A$2:$J$250,4,FALSE),"")</f>
        <v/>
      </c>
      <c r="E689" s="52" t="n"/>
      <c r="F689" s="61">
        <f>IFERROR(VLOOKUP(E689,Maestro_SKU!$A$2:$P$500,2,FALSE),"")</f>
        <v/>
      </c>
      <c r="G689" s="52" t="n"/>
      <c r="H689" s="61">
        <f>IF(OR(G689="",E689=""),"",G689*IFERROR(VLOOKUP(E689,Maestro_SKU!$A$2:$P$500,12,FALSE),1))</f>
        <v/>
      </c>
      <c r="I689" s="53" t="n"/>
      <c r="J689" s="61">
        <f>IF(A689="","",IF(H689&lt;=Inicio!$B$16,"Crítico",IF(H689&lt;=Inicio!$B$17,"Observar","OK")))</f>
        <v/>
      </c>
      <c r="K689" s="52" t="n"/>
    </row>
    <row r="690">
      <c r="A690" s="52" t="n"/>
      <c r="B690" s="61">
        <f>IFERROR(VLOOKUP(A690,Clientes_PDV!$A$2:$J$250,2,FALSE),"")</f>
        <v/>
      </c>
      <c r="C690" s="61">
        <f>IFERROR(VLOOKUP(A690,Clientes_PDV!$A$2:$J$250,3,FALSE),"")</f>
        <v/>
      </c>
      <c r="D690" s="61">
        <f>IFERROR(VLOOKUP(A690,Clientes_PDV!$A$2:$J$250,4,FALSE),"")</f>
        <v/>
      </c>
      <c r="E690" s="52" t="n"/>
      <c r="F690" s="61">
        <f>IFERROR(VLOOKUP(E690,Maestro_SKU!$A$2:$P$500,2,FALSE),"")</f>
        <v/>
      </c>
      <c r="G690" s="52" t="n"/>
      <c r="H690" s="61">
        <f>IF(OR(G690="",E690=""),"",G690*IFERROR(VLOOKUP(E690,Maestro_SKU!$A$2:$P$500,12,FALSE),1))</f>
        <v/>
      </c>
      <c r="I690" s="53" t="n"/>
      <c r="J690" s="61">
        <f>IF(A690="","",IF(H690&lt;=Inicio!$B$16,"Crítico",IF(H690&lt;=Inicio!$B$17,"Observar","OK")))</f>
        <v/>
      </c>
      <c r="K690" s="52" t="n"/>
    </row>
    <row r="691">
      <c r="A691" s="52" t="n"/>
      <c r="B691" s="61">
        <f>IFERROR(VLOOKUP(A691,Clientes_PDV!$A$2:$J$250,2,FALSE),"")</f>
        <v/>
      </c>
      <c r="C691" s="61">
        <f>IFERROR(VLOOKUP(A691,Clientes_PDV!$A$2:$J$250,3,FALSE),"")</f>
        <v/>
      </c>
      <c r="D691" s="61">
        <f>IFERROR(VLOOKUP(A691,Clientes_PDV!$A$2:$J$250,4,FALSE),"")</f>
        <v/>
      </c>
      <c r="E691" s="52" t="n"/>
      <c r="F691" s="61">
        <f>IFERROR(VLOOKUP(E691,Maestro_SKU!$A$2:$P$500,2,FALSE),"")</f>
        <v/>
      </c>
      <c r="G691" s="52" t="n"/>
      <c r="H691" s="61">
        <f>IF(OR(G691="",E691=""),"",G691*IFERROR(VLOOKUP(E691,Maestro_SKU!$A$2:$P$500,12,FALSE),1))</f>
        <v/>
      </c>
      <c r="I691" s="53" t="n"/>
      <c r="J691" s="61">
        <f>IF(A691="","",IF(H691&lt;=Inicio!$B$16,"Crítico",IF(H691&lt;=Inicio!$B$17,"Observar","OK")))</f>
        <v/>
      </c>
      <c r="K691" s="52" t="n"/>
    </row>
    <row r="692">
      <c r="A692" s="52" t="n"/>
      <c r="B692" s="61">
        <f>IFERROR(VLOOKUP(A692,Clientes_PDV!$A$2:$J$250,2,FALSE),"")</f>
        <v/>
      </c>
      <c r="C692" s="61">
        <f>IFERROR(VLOOKUP(A692,Clientes_PDV!$A$2:$J$250,3,FALSE),"")</f>
        <v/>
      </c>
      <c r="D692" s="61">
        <f>IFERROR(VLOOKUP(A692,Clientes_PDV!$A$2:$J$250,4,FALSE),"")</f>
        <v/>
      </c>
      <c r="E692" s="52" t="n"/>
      <c r="F692" s="61">
        <f>IFERROR(VLOOKUP(E692,Maestro_SKU!$A$2:$P$500,2,FALSE),"")</f>
        <v/>
      </c>
      <c r="G692" s="52" t="n"/>
      <c r="H692" s="61">
        <f>IF(OR(G692="",E692=""),"",G692*IFERROR(VLOOKUP(E692,Maestro_SKU!$A$2:$P$500,12,FALSE),1))</f>
        <v/>
      </c>
      <c r="I692" s="53" t="n"/>
      <c r="J692" s="61">
        <f>IF(A692="","",IF(H692&lt;=Inicio!$B$16,"Crítico",IF(H692&lt;=Inicio!$B$17,"Observar","OK")))</f>
        <v/>
      </c>
      <c r="K692" s="52" t="n"/>
    </row>
    <row r="693">
      <c r="A693" s="52" t="n"/>
      <c r="B693" s="61">
        <f>IFERROR(VLOOKUP(A693,Clientes_PDV!$A$2:$J$250,2,FALSE),"")</f>
        <v/>
      </c>
      <c r="C693" s="61">
        <f>IFERROR(VLOOKUP(A693,Clientes_PDV!$A$2:$J$250,3,FALSE),"")</f>
        <v/>
      </c>
      <c r="D693" s="61">
        <f>IFERROR(VLOOKUP(A693,Clientes_PDV!$A$2:$J$250,4,FALSE),"")</f>
        <v/>
      </c>
      <c r="E693" s="52" t="n"/>
      <c r="F693" s="61">
        <f>IFERROR(VLOOKUP(E693,Maestro_SKU!$A$2:$P$500,2,FALSE),"")</f>
        <v/>
      </c>
      <c r="G693" s="52" t="n"/>
      <c r="H693" s="61">
        <f>IF(OR(G693="",E693=""),"",G693*IFERROR(VLOOKUP(E693,Maestro_SKU!$A$2:$P$500,12,FALSE),1))</f>
        <v/>
      </c>
      <c r="I693" s="53" t="n"/>
      <c r="J693" s="61">
        <f>IF(A693="","",IF(H693&lt;=Inicio!$B$16,"Crítico",IF(H693&lt;=Inicio!$B$17,"Observar","OK")))</f>
        <v/>
      </c>
      <c r="K693" s="52" t="n"/>
    </row>
    <row r="694">
      <c r="A694" s="52" t="n"/>
      <c r="B694" s="61">
        <f>IFERROR(VLOOKUP(A694,Clientes_PDV!$A$2:$J$250,2,FALSE),"")</f>
        <v/>
      </c>
      <c r="C694" s="61">
        <f>IFERROR(VLOOKUP(A694,Clientes_PDV!$A$2:$J$250,3,FALSE),"")</f>
        <v/>
      </c>
      <c r="D694" s="61">
        <f>IFERROR(VLOOKUP(A694,Clientes_PDV!$A$2:$J$250,4,FALSE),"")</f>
        <v/>
      </c>
      <c r="E694" s="52" t="n"/>
      <c r="F694" s="61">
        <f>IFERROR(VLOOKUP(E694,Maestro_SKU!$A$2:$P$500,2,FALSE),"")</f>
        <v/>
      </c>
      <c r="G694" s="52" t="n"/>
      <c r="H694" s="61">
        <f>IF(OR(G694="",E694=""),"",G694*IFERROR(VLOOKUP(E694,Maestro_SKU!$A$2:$P$500,12,FALSE),1))</f>
        <v/>
      </c>
      <c r="I694" s="53" t="n"/>
      <c r="J694" s="61">
        <f>IF(A694="","",IF(H694&lt;=Inicio!$B$16,"Crítico",IF(H694&lt;=Inicio!$B$17,"Observar","OK")))</f>
        <v/>
      </c>
      <c r="K694" s="52" t="n"/>
    </row>
    <row r="695">
      <c r="A695" s="52" t="n"/>
      <c r="B695" s="61">
        <f>IFERROR(VLOOKUP(A695,Clientes_PDV!$A$2:$J$250,2,FALSE),"")</f>
        <v/>
      </c>
      <c r="C695" s="61">
        <f>IFERROR(VLOOKUP(A695,Clientes_PDV!$A$2:$J$250,3,FALSE),"")</f>
        <v/>
      </c>
      <c r="D695" s="61">
        <f>IFERROR(VLOOKUP(A695,Clientes_PDV!$A$2:$J$250,4,FALSE),"")</f>
        <v/>
      </c>
      <c r="E695" s="52" t="n"/>
      <c r="F695" s="61">
        <f>IFERROR(VLOOKUP(E695,Maestro_SKU!$A$2:$P$500,2,FALSE),"")</f>
        <v/>
      </c>
      <c r="G695" s="52" t="n"/>
      <c r="H695" s="61">
        <f>IF(OR(G695="",E695=""),"",G695*IFERROR(VLOOKUP(E695,Maestro_SKU!$A$2:$P$500,12,FALSE),1))</f>
        <v/>
      </c>
      <c r="I695" s="53" t="n"/>
      <c r="J695" s="61">
        <f>IF(A695="","",IF(H695&lt;=Inicio!$B$16,"Crítico",IF(H695&lt;=Inicio!$B$17,"Observar","OK")))</f>
        <v/>
      </c>
      <c r="K695" s="52" t="n"/>
    </row>
    <row r="696">
      <c r="A696" s="52" t="n"/>
      <c r="B696" s="61">
        <f>IFERROR(VLOOKUP(A696,Clientes_PDV!$A$2:$J$250,2,FALSE),"")</f>
        <v/>
      </c>
      <c r="C696" s="61">
        <f>IFERROR(VLOOKUP(A696,Clientes_PDV!$A$2:$J$250,3,FALSE),"")</f>
        <v/>
      </c>
      <c r="D696" s="61">
        <f>IFERROR(VLOOKUP(A696,Clientes_PDV!$A$2:$J$250,4,FALSE),"")</f>
        <v/>
      </c>
      <c r="E696" s="52" t="n"/>
      <c r="F696" s="61">
        <f>IFERROR(VLOOKUP(E696,Maestro_SKU!$A$2:$P$500,2,FALSE),"")</f>
        <v/>
      </c>
      <c r="G696" s="52" t="n"/>
      <c r="H696" s="61">
        <f>IF(OR(G696="",E696=""),"",G696*IFERROR(VLOOKUP(E696,Maestro_SKU!$A$2:$P$500,12,FALSE),1))</f>
        <v/>
      </c>
      <c r="I696" s="53" t="n"/>
      <c r="J696" s="61">
        <f>IF(A696="","",IF(H696&lt;=Inicio!$B$16,"Crítico",IF(H696&lt;=Inicio!$B$17,"Observar","OK")))</f>
        <v/>
      </c>
      <c r="K696" s="52" t="n"/>
    </row>
    <row r="697">
      <c r="A697" s="52" t="n"/>
      <c r="B697" s="61">
        <f>IFERROR(VLOOKUP(A697,Clientes_PDV!$A$2:$J$250,2,FALSE),"")</f>
        <v/>
      </c>
      <c r="C697" s="61">
        <f>IFERROR(VLOOKUP(A697,Clientes_PDV!$A$2:$J$250,3,FALSE),"")</f>
        <v/>
      </c>
      <c r="D697" s="61">
        <f>IFERROR(VLOOKUP(A697,Clientes_PDV!$A$2:$J$250,4,FALSE),"")</f>
        <v/>
      </c>
      <c r="E697" s="52" t="n"/>
      <c r="F697" s="61">
        <f>IFERROR(VLOOKUP(E697,Maestro_SKU!$A$2:$P$500,2,FALSE),"")</f>
        <v/>
      </c>
      <c r="G697" s="52" t="n"/>
      <c r="H697" s="61">
        <f>IF(OR(G697="",E697=""),"",G697*IFERROR(VLOOKUP(E697,Maestro_SKU!$A$2:$P$500,12,FALSE),1))</f>
        <v/>
      </c>
      <c r="I697" s="53" t="n"/>
      <c r="J697" s="61">
        <f>IF(A697="","",IF(H697&lt;=Inicio!$B$16,"Crítico",IF(H697&lt;=Inicio!$B$17,"Observar","OK")))</f>
        <v/>
      </c>
      <c r="K697" s="52" t="n"/>
    </row>
    <row r="698">
      <c r="A698" s="52" t="n"/>
      <c r="B698" s="61">
        <f>IFERROR(VLOOKUP(A698,Clientes_PDV!$A$2:$J$250,2,FALSE),"")</f>
        <v/>
      </c>
      <c r="C698" s="61">
        <f>IFERROR(VLOOKUP(A698,Clientes_PDV!$A$2:$J$250,3,FALSE),"")</f>
        <v/>
      </c>
      <c r="D698" s="61">
        <f>IFERROR(VLOOKUP(A698,Clientes_PDV!$A$2:$J$250,4,FALSE),"")</f>
        <v/>
      </c>
      <c r="E698" s="52" t="n"/>
      <c r="F698" s="61">
        <f>IFERROR(VLOOKUP(E698,Maestro_SKU!$A$2:$P$500,2,FALSE),"")</f>
        <v/>
      </c>
      <c r="G698" s="52" t="n"/>
      <c r="H698" s="61">
        <f>IF(OR(G698="",E698=""),"",G698*IFERROR(VLOOKUP(E698,Maestro_SKU!$A$2:$P$500,12,FALSE),1))</f>
        <v/>
      </c>
      <c r="I698" s="53" t="n"/>
      <c r="J698" s="61">
        <f>IF(A698="","",IF(H698&lt;=Inicio!$B$16,"Crítico",IF(H698&lt;=Inicio!$B$17,"Observar","OK")))</f>
        <v/>
      </c>
      <c r="K698" s="52" t="n"/>
    </row>
    <row r="699">
      <c r="A699" s="52" t="n"/>
      <c r="B699" s="61">
        <f>IFERROR(VLOOKUP(A699,Clientes_PDV!$A$2:$J$250,2,FALSE),"")</f>
        <v/>
      </c>
      <c r="C699" s="61">
        <f>IFERROR(VLOOKUP(A699,Clientes_PDV!$A$2:$J$250,3,FALSE),"")</f>
        <v/>
      </c>
      <c r="D699" s="61">
        <f>IFERROR(VLOOKUP(A699,Clientes_PDV!$A$2:$J$250,4,FALSE),"")</f>
        <v/>
      </c>
      <c r="E699" s="52" t="n"/>
      <c r="F699" s="61">
        <f>IFERROR(VLOOKUP(E699,Maestro_SKU!$A$2:$P$500,2,FALSE),"")</f>
        <v/>
      </c>
      <c r="G699" s="52" t="n"/>
      <c r="H699" s="61">
        <f>IF(OR(G699="",E699=""),"",G699*IFERROR(VLOOKUP(E699,Maestro_SKU!$A$2:$P$500,12,FALSE),1))</f>
        <v/>
      </c>
      <c r="I699" s="53" t="n"/>
      <c r="J699" s="61">
        <f>IF(A699="","",IF(H699&lt;=Inicio!$B$16,"Crítico",IF(H699&lt;=Inicio!$B$17,"Observar","OK")))</f>
        <v/>
      </c>
      <c r="K699" s="52" t="n"/>
    </row>
    <row r="700">
      <c r="A700" s="52" t="n"/>
      <c r="B700" s="61">
        <f>IFERROR(VLOOKUP(A700,Clientes_PDV!$A$2:$J$250,2,FALSE),"")</f>
        <v/>
      </c>
      <c r="C700" s="61">
        <f>IFERROR(VLOOKUP(A700,Clientes_PDV!$A$2:$J$250,3,FALSE),"")</f>
        <v/>
      </c>
      <c r="D700" s="61">
        <f>IFERROR(VLOOKUP(A700,Clientes_PDV!$A$2:$J$250,4,FALSE),"")</f>
        <v/>
      </c>
      <c r="E700" s="52" t="n"/>
      <c r="F700" s="61">
        <f>IFERROR(VLOOKUP(E700,Maestro_SKU!$A$2:$P$500,2,FALSE),"")</f>
        <v/>
      </c>
      <c r="G700" s="52" t="n"/>
      <c r="H700" s="61">
        <f>IF(OR(G700="",E700=""),"",G700*IFERROR(VLOOKUP(E700,Maestro_SKU!$A$2:$P$500,12,FALSE),1))</f>
        <v/>
      </c>
      <c r="I700" s="53" t="n"/>
      <c r="J700" s="61">
        <f>IF(A700="","",IF(H700&lt;=Inicio!$B$16,"Crítico",IF(H700&lt;=Inicio!$B$17,"Observar","OK")))</f>
        <v/>
      </c>
      <c r="K700" s="52" t="n"/>
    </row>
    <row r="701">
      <c r="A701" s="52" t="n"/>
      <c r="B701" s="61">
        <f>IFERROR(VLOOKUP(A701,Clientes_PDV!$A$2:$J$250,2,FALSE),"")</f>
        <v/>
      </c>
      <c r="C701" s="61">
        <f>IFERROR(VLOOKUP(A701,Clientes_PDV!$A$2:$J$250,3,FALSE),"")</f>
        <v/>
      </c>
      <c r="D701" s="61">
        <f>IFERROR(VLOOKUP(A701,Clientes_PDV!$A$2:$J$250,4,FALSE),"")</f>
        <v/>
      </c>
      <c r="E701" s="52" t="n"/>
      <c r="F701" s="61">
        <f>IFERROR(VLOOKUP(E701,Maestro_SKU!$A$2:$P$500,2,FALSE),"")</f>
        <v/>
      </c>
      <c r="G701" s="52" t="n"/>
      <c r="H701" s="61">
        <f>IF(OR(G701="",E701=""),"",G701*IFERROR(VLOOKUP(E701,Maestro_SKU!$A$2:$P$500,12,FALSE),1))</f>
        <v/>
      </c>
      <c r="I701" s="53" t="n"/>
      <c r="J701" s="61">
        <f>IF(A701="","",IF(H701&lt;=Inicio!$B$16,"Crítico",IF(H701&lt;=Inicio!$B$17,"Observar","OK")))</f>
        <v/>
      </c>
      <c r="K701" s="52" t="n"/>
    </row>
    <row r="702">
      <c r="A702" s="52" t="n"/>
      <c r="B702" s="61">
        <f>IFERROR(VLOOKUP(A702,Clientes_PDV!$A$2:$J$250,2,FALSE),"")</f>
        <v/>
      </c>
      <c r="C702" s="61">
        <f>IFERROR(VLOOKUP(A702,Clientes_PDV!$A$2:$J$250,3,FALSE),"")</f>
        <v/>
      </c>
      <c r="D702" s="61">
        <f>IFERROR(VLOOKUP(A702,Clientes_PDV!$A$2:$J$250,4,FALSE),"")</f>
        <v/>
      </c>
      <c r="E702" s="52" t="n"/>
      <c r="F702" s="61">
        <f>IFERROR(VLOOKUP(E702,Maestro_SKU!$A$2:$P$500,2,FALSE),"")</f>
        <v/>
      </c>
      <c r="G702" s="52" t="n"/>
      <c r="H702" s="61">
        <f>IF(OR(G702="",E702=""),"",G702*IFERROR(VLOOKUP(E702,Maestro_SKU!$A$2:$P$500,12,FALSE),1))</f>
        <v/>
      </c>
      <c r="I702" s="53" t="n"/>
      <c r="J702" s="61">
        <f>IF(A702="","",IF(H702&lt;=Inicio!$B$16,"Crítico",IF(H702&lt;=Inicio!$B$17,"Observar","OK")))</f>
        <v/>
      </c>
      <c r="K702" s="52" t="n"/>
    </row>
    <row r="703">
      <c r="A703" s="52" t="n"/>
      <c r="B703" s="61">
        <f>IFERROR(VLOOKUP(A703,Clientes_PDV!$A$2:$J$250,2,FALSE),"")</f>
        <v/>
      </c>
      <c r="C703" s="61">
        <f>IFERROR(VLOOKUP(A703,Clientes_PDV!$A$2:$J$250,3,FALSE),"")</f>
        <v/>
      </c>
      <c r="D703" s="61">
        <f>IFERROR(VLOOKUP(A703,Clientes_PDV!$A$2:$J$250,4,FALSE),"")</f>
        <v/>
      </c>
      <c r="E703" s="52" t="n"/>
      <c r="F703" s="61">
        <f>IFERROR(VLOOKUP(E703,Maestro_SKU!$A$2:$P$500,2,FALSE),"")</f>
        <v/>
      </c>
      <c r="G703" s="52" t="n"/>
      <c r="H703" s="61">
        <f>IF(OR(G703="",E703=""),"",G703*IFERROR(VLOOKUP(E703,Maestro_SKU!$A$2:$P$500,12,FALSE),1))</f>
        <v/>
      </c>
      <c r="I703" s="53" t="n"/>
      <c r="J703" s="61">
        <f>IF(A703="","",IF(H703&lt;=Inicio!$B$16,"Crítico",IF(H703&lt;=Inicio!$B$17,"Observar","OK")))</f>
        <v/>
      </c>
      <c r="K703" s="52" t="n"/>
    </row>
    <row r="704">
      <c r="A704" s="52" t="n"/>
      <c r="B704" s="61">
        <f>IFERROR(VLOOKUP(A704,Clientes_PDV!$A$2:$J$250,2,FALSE),"")</f>
        <v/>
      </c>
      <c r="C704" s="61">
        <f>IFERROR(VLOOKUP(A704,Clientes_PDV!$A$2:$J$250,3,FALSE),"")</f>
        <v/>
      </c>
      <c r="D704" s="61">
        <f>IFERROR(VLOOKUP(A704,Clientes_PDV!$A$2:$J$250,4,FALSE),"")</f>
        <v/>
      </c>
      <c r="E704" s="52" t="n"/>
      <c r="F704" s="61">
        <f>IFERROR(VLOOKUP(E704,Maestro_SKU!$A$2:$P$500,2,FALSE),"")</f>
        <v/>
      </c>
      <c r="G704" s="52" t="n"/>
      <c r="H704" s="61">
        <f>IF(OR(G704="",E704=""),"",G704*IFERROR(VLOOKUP(E704,Maestro_SKU!$A$2:$P$500,12,FALSE),1))</f>
        <v/>
      </c>
      <c r="I704" s="53" t="n"/>
      <c r="J704" s="61">
        <f>IF(A704="","",IF(H704&lt;=Inicio!$B$16,"Crítico",IF(H704&lt;=Inicio!$B$17,"Observar","OK")))</f>
        <v/>
      </c>
      <c r="K704" s="52" t="n"/>
    </row>
    <row r="705">
      <c r="A705" s="52" t="n"/>
      <c r="B705" s="61">
        <f>IFERROR(VLOOKUP(A705,Clientes_PDV!$A$2:$J$250,2,FALSE),"")</f>
        <v/>
      </c>
      <c r="C705" s="61">
        <f>IFERROR(VLOOKUP(A705,Clientes_PDV!$A$2:$J$250,3,FALSE),"")</f>
        <v/>
      </c>
      <c r="D705" s="61">
        <f>IFERROR(VLOOKUP(A705,Clientes_PDV!$A$2:$J$250,4,FALSE),"")</f>
        <v/>
      </c>
      <c r="E705" s="52" t="n"/>
      <c r="F705" s="61">
        <f>IFERROR(VLOOKUP(E705,Maestro_SKU!$A$2:$P$500,2,FALSE),"")</f>
        <v/>
      </c>
      <c r="G705" s="52" t="n"/>
      <c r="H705" s="61">
        <f>IF(OR(G705="",E705=""),"",G705*IFERROR(VLOOKUP(E705,Maestro_SKU!$A$2:$P$500,12,FALSE),1))</f>
        <v/>
      </c>
      <c r="I705" s="53" t="n"/>
      <c r="J705" s="61">
        <f>IF(A705="","",IF(H705&lt;=Inicio!$B$16,"Crítico",IF(H705&lt;=Inicio!$B$17,"Observar","OK")))</f>
        <v/>
      </c>
      <c r="K705" s="52" t="n"/>
    </row>
    <row r="706">
      <c r="A706" s="52" t="n"/>
      <c r="B706" s="61">
        <f>IFERROR(VLOOKUP(A706,Clientes_PDV!$A$2:$J$250,2,FALSE),"")</f>
        <v/>
      </c>
      <c r="C706" s="61">
        <f>IFERROR(VLOOKUP(A706,Clientes_PDV!$A$2:$J$250,3,FALSE),"")</f>
        <v/>
      </c>
      <c r="D706" s="61">
        <f>IFERROR(VLOOKUP(A706,Clientes_PDV!$A$2:$J$250,4,FALSE),"")</f>
        <v/>
      </c>
      <c r="E706" s="52" t="n"/>
      <c r="F706" s="61">
        <f>IFERROR(VLOOKUP(E706,Maestro_SKU!$A$2:$P$500,2,FALSE),"")</f>
        <v/>
      </c>
      <c r="G706" s="52" t="n"/>
      <c r="H706" s="61">
        <f>IF(OR(G706="",E706=""),"",G706*IFERROR(VLOOKUP(E706,Maestro_SKU!$A$2:$P$500,12,FALSE),1))</f>
        <v/>
      </c>
      <c r="I706" s="53" t="n"/>
      <c r="J706" s="61">
        <f>IF(A706="","",IF(H706&lt;=Inicio!$B$16,"Crítico",IF(H706&lt;=Inicio!$B$17,"Observar","OK")))</f>
        <v/>
      </c>
      <c r="K706" s="52" t="n"/>
    </row>
    <row r="707">
      <c r="A707" s="52" t="n"/>
      <c r="B707" s="61">
        <f>IFERROR(VLOOKUP(A707,Clientes_PDV!$A$2:$J$250,2,FALSE),"")</f>
        <v/>
      </c>
      <c r="C707" s="61">
        <f>IFERROR(VLOOKUP(A707,Clientes_PDV!$A$2:$J$250,3,FALSE),"")</f>
        <v/>
      </c>
      <c r="D707" s="61">
        <f>IFERROR(VLOOKUP(A707,Clientes_PDV!$A$2:$J$250,4,FALSE),"")</f>
        <v/>
      </c>
      <c r="E707" s="52" t="n"/>
      <c r="F707" s="61">
        <f>IFERROR(VLOOKUP(E707,Maestro_SKU!$A$2:$P$500,2,FALSE),"")</f>
        <v/>
      </c>
      <c r="G707" s="52" t="n"/>
      <c r="H707" s="61">
        <f>IF(OR(G707="",E707=""),"",G707*IFERROR(VLOOKUP(E707,Maestro_SKU!$A$2:$P$500,12,FALSE),1))</f>
        <v/>
      </c>
      <c r="I707" s="53" t="n"/>
      <c r="J707" s="61">
        <f>IF(A707="","",IF(H707&lt;=Inicio!$B$16,"Crítico",IF(H707&lt;=Inicio!$B$17,"Observar","OK")))</f>
        <v/>
      </c>
      <c r="K707" s="52" t="n"/>
    </row>
    <row r="708">
      <c r="A708" s="52" t="n"/>
      <c r="B708" s="61">
        <f>IFERROR(VLOOKUP(A708,Clientes_PDV!$A$2:$J$250,2,FALSE),"")</f>
        <v/>
      </c>
      <c r="C708" s="61">
        <f>IFERROR(VLOOKUP(A708,Clientes_PDV!$A$2:$J$250,3,FALSE),"")</f>
        <v/>
      </c>
      <c r="D708" s="61">
        <f>IFERROR(VLOOKUP(A708,Clientes_PDV!$A$2:$J$250,4,FALSE),"")</f>
        <v/>
      </c>
      <c r="E708" s="52" t="n"/>
      <c r="F708" s="61">
        <f>IFERROR(VLOOKUP(E708,Maestro_SKU!$A$2:$P$500,2,FALSE),"")</f>
        <v/>
      </c>
      <c r="G708" s="52" t="n"/>
      <c r="H708" s="61">
        <f>IF(OR(G708="",E708=""),"",G708*IFERROR(VLOOKUP(E708,Maestro_SKU!$A$2:$P$500,12,FALSE),1))</f>
        <v/>
      </c>
      <c r="I708" s="53" t="n"/>
      <c r="J708" s="61">
        <f>IF(A708="","",IF(H708&lt;=Inicio!$B$16,"Crítico",IF(H708&lt;=Inicio!$B$17,"Observar","OK")))</f>
        <v/>
      </c>
      <c r="K708" s="52" t="n"/>
    </row>
    <row r="709">
      <c r="A709" s="52" t="n"/>
      <c r="B709" s="61">
        <f>IFERROR(VLOOKUP(A709,Clientes_PDV!$A$2:$J$250,2,FALSE),"")</f>
        <v/>
      </c>
      <c r="C709" s="61">
        <f>IFERROR(VLOOKUP(A709,Clientes_PDV!$A$2:$J$250,3,FALSE),"")</f>
        <v/>
      </c>
      <c r="D709" s="61">
        <f>IFERROR(VLOOKUP(A709,Clientes_PDV!$A$2:$J$250,4,FALSE),"")</f>
        <v/>
      </c>
      <c r="E709" s="52" t="n"/>
      <c r="F709" s="61">
        <f>IFERROR(VLOOKUP(E709,Maestro_SKU!$A$2:$P$500,2,FALSE),"")</f>
        <v/>
      </c>
      <c r="G709" s="52" t="n"/>
      <c r="H709" s="61">
        <f>IF(OR(G709="",E709=""),"",G709*IFERROR(VLOOKUP(E709,Maestro_SKU!$A$2:$P$500,12,FALSE),1))</f>
        <v/>
      </c>
      <c r="I709" s="53" t="n"/>
      <c r="J709" s="61">
        <f>IF(A709="","",IF(H709&lt;=Inicio!$B$16,"Crítico",IF(H709&lt;=Inicio!$B$17,"Observar","OK")))</f>
        <v/>
      </c>
      <c r="K709" s="52" t="n"/>
    </row>
    <row r="710">
      <c r="A710" s="52" t="n"/>
      <c r="B710" s="61">
        <f>IFERROR(VLOOKUP(A710,Clientes_PDV!$A$2:$J$250,2,FALSE),"")</f>
        <v/>
      </c>
      <c r="C710" s="61">
        <f>IFERROR(VLOOKUP(A710,Clientes_PDV!$A$2:$J$250,3,FALSE),"")</f>
        <v/>
      </c>
      <c r="D710" s="61">
        <f>IFERROR(VLOOKUP(A710,Clientes_PDV!$A$2:$J$250,4,FALSE),"")</f>
        <v/>
      </c>
      <c r="E710" s="52" t="n"/>
      <c r="F710" s="61">
        <f>IFERROR(VLOOKUP(E710,Maestro_SKU!$A$2:$P$500,2,FALSE),"")</f>
        <v/>
      </c>
      <c r="G710" s="52" t="n"/>
      <c r="H710" s="61">
        <f>IF(OR(G710="",E710=""),"",G710*IFERROR(VLOOKUP(E710,Maestro_SKU!$A$2:$P$500,12,FALSE),1))</f>
        <v/>
      </c>
      <c r="I710" s="53" t="n"/>
      <c r="J710" s="61">
        <f>IF(A710="","",IF(H710&lt;=Inicio!$B$16,"Crítico",IF(H710&lt;=Inicio!$B$17,"Observar","OK")))</f>
        <v/>
      </c>
      <c r="K710" s="52" t="n"/>
    </row>
    <row r="711">
      <c r="A711" s="52" t="n"/>
      <c r="B711" s="61">
        <f>IFERROR(VLOOKUP(A711,Clientes_PDV!$A$2:$J$250,2,FALSE),"")</f>
        <v/>
      </c>
      <c r="C711" s="61">
        <f>IFERROR(VLOOKUP(A711,Clientes_PDV!$A$2:$J$250,3,FALSE),"")</f>
        <v/>
      </c>
      <c r="D711" s="61">
        <f>IFERROR(VLOOKUP(A711,Clientes_PDV!$A$2:$J$250,4,FALSE),"")</f>
        <v/>
      </c>
      <c r="E711" s="52" t="n"/>
      <c r="F711" s="61">
        <f>IFERROR(VLOOKUP(E711,Maestro_SKU!$A$2:$P$500,2,FALSE),"")</f>
        <v/>
      </c>
      <c r="G711" s="52" t="n"/>
      <c r="H711" s="61">
        <f>IF(OR(G711="",E711=""),"",G711*IFERROR(VLOOKUP(E711,Maestro_SKU!$A$2:$P$500,12,FALSE),1))</f>
        <v/>
      </c>
      <c r="I711" s="53" t="n"/>
      <c r="J711" s="61">
        <f>IF(A711="","",IF(H711&lt;=Inicio!$B$16,"Crítico",IF(H711&lt;=Inicio!$B$17,"Observar","OK")))</f>
        <v/>
      </c>
      <c r="K711" s="52" t="n"/>
    </row>
    <row r="712">
      <c r="A712" s="52" t="n"/>
      <c r="B712" s="61">
        <f>IFERROR(VLOOKUP(A712,Clientes_PDV!$A$2:$J$250,2,FALSE),"")</f>
        <v/>
      </c>
      <c r="C712" s="61">
        <f>IFERROR(VLOOKUP(A712,Clientes_PDV!$A$2:$J$250,3,FALSE),"")</f>
        <v/>
      </c>
      <c r="D712" s="61">
        <f>IFERROR(VLOOKUP(A712,Clientes_PDV!$A$2:$J$250,4,FALSE),"")</f>
        <v/>
      </c>
      <c r="E712" s="52" t="n"/>
      <c r="F712" s="61">
        <f>IFERROR(VLOOKUP(E712,Maestro_SKU!$A$2:$P$500,2,FALSE),"")</f>
        <v/>
      </c>
      <c r="G712" s="52" t="n"/>
      <c r="H712" s="61">
        <f>IF(OR(G712="",E712=""),"",G712*IFERROR(VLOOKUP(E712,Maestro_SKU!$A$2:$P$500,12,FALSE),1))</f>
        <v/>
      </c>
      <c r="I712" s="53" t="n"/>
      <c r="J712" s="61">
        <f>IF(A712="","",IF(H712&lt;=Inicio!$B$16,"Crítico",IF(H712&lt;=Inicio!$B$17,"Observar","OK")))</f>
        <v/>
      </c>
      <c r="K712" s="52" t="n"/>
    </row>
    <row r="713">
      <c r="A713" s="52" t="n"/>
      <c r="B713" s="61">
        <f>IFERROR(VLOOKUP(A713,Clientes_PDV!$A$2:$J$250,2,FALSE),"")</f>
        <v/>
      </c>
      <c r="C713" s="61">
        <f>IFERROR(VLOOKUP(A713,Clientes_PDV!$A$2:$J$250,3,FALSE),"")</f>
        <v/>
      </c>
      <c r="D713" s="61">
        <f>IFERROR(VLOOKUP(A713,Clientes_PDV!$A$2:$J$250,4,FALSE),"")</f>
        <v/>
      </c>
      <c r="E713" s="52" t="n"/>
      <c r="F713" s="61">
        <f>IFERROR(VLOOKUP(E713,Maestro_SKU!$A$2:$P$500,2,FALSE),"")</f>
        <v/>
      </c>
      <c r="G713" s="52" t="n"/>
      <c r="H713" s="61">
        <f>IF(OR(G713="",E713=""),"",G713*IFERROR(VLOOKUP(E713,Maestro_SKU!$A$2:$P$500,12,FALSE),1))</f>
        <v/>
      </c>
      <c r="I713" s="53" t="n"/>
      <c r="J713" s="61">
        <f>IF(A713="","",IF(H713&lt;=Inicio!$B$16,"Crítico",IF(H713&lt;=Inicio!$B$17,"Observar","OK")))</f>
        <v/>
      </c>
      <c r="K713" s="52" t="n"/>
    </row>
    <row r="714">
      <c r="A714" s="52" t="n"/>
      <c r="B714" s="61">
        <f>IFERROR(VLOOKUP(A714,Clientes_PDV!$A$2:$J$250,2,FALSE),"")</f>
        <v/>
      </c>
      <c r="C714" s="61">
        <f>IFERROR(VLOOKUP(A714,Clientes_PDV!$A$2:$J$250,3,FALSE),"")</f>
        <v/>
      </c>
      <c r="D714" s="61">
        <f>IFERROR(VLOOKUP(A714,Clientes_PDV!$A$2:$J$250,4,FALSE),"")</f>
        <v/>
      </c>
      <c r="E714" s="52" t="n"/>
      <c r="F714" s="61">
        <f>IFERROR(VLOOKUP(E714,Maestro_SKU!$A$2:$P$500,2,FALSE),"")</f>
        <v/>
      </c>
      <c r="G714" s="52" t="n"/>
      <c r="H714" s="61">
        <f>IF(OR(G714="",E714=""),"",G714*IFERROR(VLOOKUP(E714,Maestro_SKU!$A$2:$P$500,12,FALSE),1))</f>
        <v/>
      </c>
      <c r="I714" s="53" t="n"/>
      <c r="J714" s="61">
        <f>IF(A714="","",IF(H714&lt;=Inicio!$B$16,"Crítico",IF(H714&lt;=Inicio!$B$17,"Observar","OK")))</f>
        <v/>
      </c>
      <c r="K714" s="52" t="n"/>
    </row>
    <row r="715">
      <c r="A715" s="52" t="n"/>
      <c r="B715" s="61">
        <f>IFERROR(VLOOKUP(A715,Clientes_PDV!$A$2:$J$250,2,FALSE),"")</f>
        <v/>
      </c>
      <c r="C715" s="61">
        <f>IFERROR(VLOOKUP(A715,Clientes_PDV!$A$2:$J$250,3,FALSE),"")</f>
        <v/>
      </c>
      <c r="D715" s="61">
        <f>IFERROR(VLOOKUP(A715,Clientes_PDV!$A$2:$J$250,4,FALSE),"")</f>
        <v/>
      </c>
      <c r="E715" s="52" t="n"/>
      <c r="F715" s="61">
        <f>IFERROR(VLOOKUP(E715,Maestro_SKU!$A$2:$P$500,2,FALSE),"")</f>
        <v/>
      </c>
      <c r="G715" s="52" t="n"/>
      <c r="H715" s="61">
        <f>IF(OR(G715="",E715=""),"",G715*IFERROR(VLOOKUP(E715,Maestro_SKU!$A$2:$P$500,12,FALSE),1))</f>
        <v/>
      </c>
      <c r="I715" s="53" t="n"/>
      <c r="J715" s="61">
        <f>IF(A715="","",IF(H715&lt;=Inicio!$B$16,"Crítico",IF(H715&lt;=Inicio!$B$17,"Observar","OK")))</f>
        <v/>
      </c>
      <c r="K715" s="52" t="n"/>
    </row>
    <row r="716">
      <c r="A716" s="52" t="n"/>
      <c r="B716" s="61">
        <f>IFERROR(VLOOKUP(A716,Clientes_PDV!$A$2:$J$250,2,FALSE),"")</f>
        <v/>
      </c>
      <c r="C716" s="61">
        <f>IFERROR(VLOOKUP(A716,Clientes_PDV!$A$2:$J$250,3,FALSE),"")</f>
        <v/>
      </c>
      <c r="D716" s="61">
        <f>IFERROR(VLOOKUP(A716,Clientes_PDV!$A$2:$J$250,4,FALSE),"")</f>
        <v/>
      </c>
      <c r="E716" s="52" t="n"/>
      <c r="F716" s="61">
        <f>IFERROR(VLOOKUP(E716,Maestro_SKU!$A$2:$P$500,2,FALSE),"")</f>
        <v/>
      </c>
      <c r="G716" s="52" t="n"/>
      <c r="H716" s="61">
        <f>IF(OR(G716="",E716=""),"",G716*IFERROR(VLOOKUP(E716,Maestro_SKU!$A$2:$P$500,12,FALSE),1))</f>
        <v/>
      </c>
      <c r="I716" s="53" t="n"/>
      <c r="J716" s="61">
        <f>IF(A716="","",IF(H716&lt;=Inicio!$B$16,"Crítico",IF(H716&lt;=Inicio!$B$17,"Observar","OK")))</f>
        <v/>
      </c>
      <c r="K716" s="52" t="n"/>
    </row>
    <row r="717">
      <c r="A717" s="52" t="n"/>
      <c r="B717" s="61">
        <f>IFERROR(VLOOKUP(A717,Clientes_PDV!$A$2:$J$250,2,FALSE),"")</f>
        <v/>
      </c>
      <c r="C717" s="61">
        <f>IFERROR(VLOOKUP(A717,Clientes_PDV!$A$2:$J$250,3,FALSE),"")</f>
        <v/>
      </c>
      <c r="D717" s="61">
        <f>IFERROR(VLOOKUP(A717,Clientes_PDV!$A$2:$J$250,4,FALSE),"")</f>
        <v/>
      </c>
      <c r="E717" s="52" t="n"/>
      <c r="F717" s="61">
        <f>IFERROR(VLOOKUP(E717,Maestro_SKU!$A$2:$P$500,2,FALSE),"")</f>
        <v/>
      </c>
      <c r="G717" s="52" t="n"/>
      <c r="H717" s="61">
        <f>IF(OR(G717="",E717=""),"",G717*IFERROR(VLOOKUP(E717,Maestro_SKU!$A$2:$P$500,12,FALSE),1))</f>
        <v/>
      </c>
      <c r="I717" s="53" t="n"/>
      <c r="J717" s="61">
        <f>IF(A717="","",IF(H717&lt;=Inicio!$B$16,"Crítico",IF(H717&lt;=Inicio!$B$17,"Observar","OK")))</f>
        <v/>
      </c>
      <c r="K717" s="52" t="n"/>
    </row>
    <row r="718">
      <c r="A718" s="52" t="n"/>
      <c r="B718" s="61">
        <f>IFERROR(VLOOKUP(A718,Clientes_PDV!$A$2:$J$250,2,FALSE),"")</f>
        <v/>
      </c>
      <c r="C718" s="61">
        <f>IFERROR(VLOOKUP(A718,Clientes_PDV!$A$2:$J$250,3,FALSE),"")</f>
        <v/>
      </c>
      <c r="D718" s="61">
        <f>IFERROR(VLOOKUP(A718,Clientes_PDV!$A$2:$J$250,4,FALSE),"")</f>
        <v/>
      </c>
      <c r="E718" s="52" t="n"/>
      <c r="F718" s="61">
        <f>IFERROR(VLOOKUP(E718,Maestro_SKU!$A$2:$P$500,2,FALSE),"")</f>
        <v/>
      </c>
      <c r="G718" s="52" t="n"/>
      <c r="H718" s="61">
        <f>IF(OR(G718="",E718=""),"",G718*IFERROR(VLOOKUP(E718,Maestro_SKU!$A$2:$P$500,12,FALSE),1))</f>
        <v/>
      </c>
      <c r="I718" s="53" t="n"/>
      <c r="J718" s="61">
        <f>IF(A718="","",IF(H718&lt;=Inicio!$B$16,"Crítico",IF(H718&lt;=Inicio!$B$17,"Observar","OK")))</f>
        <v/>
      </c>
      <c r="K718" s="52" t="n"/>
    </row>
    <row r="719">
      <c r="A719" s="52" t="n"/>
      <c r="B719" s="61">
        <f>IFERROR(VLOOKUP(A719,Clientes_PDV!$A$2:$J$250,2,FALSE),"")</f>
        <v/>
      </c>
      <c r="C719" s="61">
        <f>IFERROR(VLOOKUP(A719,Clientes_PDV!$A$2:$J$250,3,FALSE),"")</f>
        <v/>
      </c>
      <c r="D719" s="61">
        <f>IFERROR(VLOOKUP(A719,Clientes_PDV!$A$2:$J$250,4,FALSE),"")</f>
        <v/>
      </c>
      <c r="E719" s="52" t="n"/>
      <c r="F719" s="61">
        <f>IFERROR(VLOOKUP(E719,Maestro_SKU!$A$2:$P$500,2,FALSE),"")</f>
        <v/>
      </c>
      <c r="G719" s="52" t="n"/>
      <c r="H719" s="61">
        <f>IF(OR(G719="",E719=""),"",G719*IFERROR(VLOOKUP(E719,Maestro_SKU!$A$2:$P$500,12,FALSE),1))</f>
        <v/>
      </c>
      <c r="I719" s="53" t="n"/>
      <c r="J719" s="61">
        <f>IF(A719="","",IF(H719&lt;=Inicio!$B$16,"Crítico",IF(H719&lt;=Inicio!$B$17,"Observar","OK")))</f>
        <v/>
      </c>
      <c r="K719" s="52" t="n"/>
    </row>
    <row r="720">
      <c r="A720" s="52" t="n"/>
      <c r="B720" s="61">
        <f>IFERROR(VLOOKUP(A720,Clientes_PDV!$A$2:$J$250,2,FALSE),"")</f>
        <v/>
      </c>
      <c r="C720" s="61">
        <f>IFERROR(VLOOKUP(A720,Clientes_PDV!$A$2:$J$250,3,FALSE),"")</f>
        <v/>
      </c>
      <c r="D720" s="61">
        <f>IFERROR(VLOOKUP(A720,Clientes_PDV!$A$2:$J$250,4,FALSE),"")</f>
        <v/>
      </c>
      <c r="E720" s="52" t="n"/>
      <c r="F720" s="61">
        <f>IFERROR(VLOOKUP(E720,Maestro_SKU!$A$2:$P$500,2,FALSE),"")</f>
        <v/>
      </c>
      <c r="G720" s="52" t="n"/>
      <c r="H720" s="61">
        <f>IF(OR(G720="",E720=""),"",G720*IFERROR(VLOOKUP(E720,Maestro_SKU!$A$2:$P$500,12,FALSE),1))</f>
        <v/>
      </c>
      <c r="I720" s="53" t="n"/>
      <c r="J720" s="61">
        <f>IF(A720="","",IF(H720&lt;=Inicio!$B$16,"Crítico",IF(H720&lt;=Inicio!$B$17,"Observar","OK")))</f>
        <v/>
      </c>
      <c r="K720" s="52" t="n"/>
    </row>
    <row r="721">
      <c r="A721" s="52" t="n"/>
      <c r="B721" s="61">
        <f>IFERROR(VLOOKUP(A721,Clientes_PDV!$A$2:$J$250,2,FALSE),"")</f>
        <v/>
      </c>
      <c r="C721" s="61">
        <f>IFERROR(VLOOKUP(A721,Clientes_PDV!$A$2:$J$250,3,FALSE),"")</f>
        <v/>
      </c>
      <c r="D721" s="61">
        <f>IFERROR(VLOOKUP(A721,Clientes_PDV!$A$2:$J$250,4,FALSE),"")</f>
        <v/>
      </c>
      <c r="E721" s="52" t="n"/>
      <c r="F721" s="61">
        <f>IFERROR(VLOOKUP(E721,Maestro_SKU!$A$2:$P$500,2,FALSE),"")</f>
        <v/>
      </c>
      <c r="G721" s="52" t="n"/>
      <c r="H721" s="61">
        <f>IF(OR(G721="",E721=""),"",G721*IFERROR(VLOOKUP(E721,Maestro_SKU!$A$2:$P$500,12,FALSE),1))</f>
        <v/>
      </c>
      <c r="I721" s="53" t="n"/>
      <c r="J721" s="61">
        <f>IF(A721="","",IF(H721&lt;=Inicio!$B$16,"Crítico",IF(H721&lt;=Inicio!$B$17,"Observar","OK")))</f>
        <v/>
      </c>
      <c r="K721" s="52" t="n"/>
    </row>
    <row r="722">
      <c r="A722" s="52" t="n"/>
      <c r="B722" s="61">
        <f>IFERROR(VLOOKUP(A722,Clientes_PDV!$A$2:$J$250,2,FALSE),"")</f>
        <v/>
      </c>
      <c r="C722" s="61">
        <f>IFERROR(VLOOKUP(A722,Clientes_PDV!$A$2:$J$250,3,FALSE),"")</f>
        <v/>
      </c>
      <c r="D722" s="61">
        <f>IFERROR(VLOOKUP(A722,Clientes_PDV!$A$2:$J$250,4,FALSE),"")</f>
        <v/>
      </c>
      <c r="E722" s="52" t="n"/>
      <c r="F722" s="61">
        <f>IFERROR(VLOOKUP(E722,Maestro_SKU!$A$2:$P$500,2,FALSE),"")</f>
        <v/>
      </c>
      <c r="G722" s="52" t="n"/>
      <c r="H722" s="61">
        <f>IF(OR(G722="",E722=""),"",G722*IFERROR(VLOOKUP(E722,Maestro_SKU!$A$2:$P$500,12,FALSE),1))</f>
        <v/>
      </c>
      <c r="I722" s="53" t="n"/>
      <c r="J722" s="61">
        <f>IF(A722="","",IF(H722&lt;=Inicio!$B$16,"Crítico",IF(H722&lt;=Inicio!$B$17,"Observar","OK")))</f>
        <v/>
      </c>
      <c r="K722" s="52" t="n"/>
    </row>
    <row r="723">
      <c r="A723" s="52" t="n"/>
      <c r="B723" s="61">
        <f>IFERROR(VLOOKUP(A723,Clientes_PDV!$A$2:$J$250,2,FALSE),"")</f>
        <v/>
      </c>
      <c r="C723" s="61">
        <f>IFERROR(VLOOKUP(A723,Clientes_PDV!$A$2:$J$250,3,FALSE),"")</f>
        <v/>
      </c>
      <c r="D723" s="61">
        <f>IFERROR(VLOOKUP(A723,Clientes_PDV!$A$2:$J$250,4,FALSE),"")</f>
        <v/>
      </c>
      <c r="E723" s="52" t="n"/>
      <c r="F723" s="61">
        <f>IFERROR(VLOOKUP(E723,Maestro_SKU!$A$2:$P$500,2,FALSE),"")</f>
        <v/>
      </c>
      <c r="G723" s="52" t="n"/>
      <c r="H723" s="61">
        <f>IF(OR(G723="",E723=""),"",G723*IFERROR(VLOOKUP(E723,Maestro_SKU!$A$2:$P$500,12,FALSE),1))</f>
        <v/>
      </c>
      <c r="I723" s="53" t="n"/>
      <c r="J723" s="61">
        <f>IF(A723="","",IF(H723&lt;=Inicio!$B$16,"Crítico",IF(H723&lt;=Inicio!$B$17,"Observar","OK")))</f>
        <v/>
      </c>
      <c r="K723" s="52" t="n"/>
    </row>
    <row r="724">
      <c r="A724" s="52" t="n"/>
      <c r="B724" s="61">
        <f>IFERROR(VLOOKUP(A724,Clientes_PDV!$A$2:$J$250,2,FALSE),"")</f>
        <v/>
      </c>
      <c r="C724" s="61">
        <f>IFERROR(VLOOKUP(A724,Clientes_PDV!$A$2:$J$250,3,FALSE),"")</f>
        <v/>
      </c>
      <c r="D724" s="61">
        <f>IFERROR(VLOOKUP(A724,Clientes_PDV!$A$2:$J$250,4,FALSE),"")</f>
        <v/>
      </c>
      <c r="E724" s="52" t="n"/>
      <c r="F724" s="61">
        <f>IFERROR(VLOOKUP(E724,Maestro_SKU!$A$2:$P$500,2,FALSE),"")</f>
        <v/>
      </c>
      <c r="G724" s="52" t="n"/>
      <c r="H724" s="61">
        <f>IF(OR(G724="",E724=""),"",G724*IFERROR(VLOOKUP(E724,Maestro_SKU!$A$2:$P$500,12,FALSE),1))</f>
        <v/>
      </c>
      <c r="I724" s="53" t="n"/>
      <c r="J724" s="61">
        <f>IF(A724="","",IF(H724&lt;=Inicio!$B$16,"Crítico",IF(H724&lt;=Inicio!$B$17,"Observar","OK")))</f>
        <v/>
      </c>
      <c r="K724" s="52" t="n"/>
    </row>
    <row r="725">
      <c r="A725" s="52" t="n"/>
      <c r="B725" s="61">
        <f>IFERROR(VLOOKUP(A725,Clientes_PDV!$A$2:$J$250,2,FALSE),"")</f>
        <v/>
      </c>
      <c r="C725" s="61">
        <f>IFERROR(VLOOKUP(A725,Clientes_PDV!$A$2:$J$250,3,FALSE),"")</f>
        <v/>
      </c>
      <c r="D725" s="61">
        <f>IFERROR(VLOOKUP(A725,Clientes_PDV!$A$2:$J$250,4,FALSE),"")</f>
        <v/>
      </c>
      <c r="E725" s="52" t="n"/>
      <c r="F725" s="61">
        <f>IFERROR(VLOOKUP(E725,Maestro_SKU!$A$2:$P$500,2,FALSE),"")</f>
        <v/>
      </c>
      <c r="G725" s="52" t="n"/>
      <c r="H725" s="61">
        <f>IF(OR(G725="",E725=""),"",G725*IFERROR(VLOOKUP(E725,Maestro_SKU!$A$2:$P$500,12,FALSE),1))</f>
        <v/>
      </c>
      <c r="I725" s="53" t="n"/>
      <c r="J725" s="61">
        <f>IF(A725="","",IF(H725&lt;=Inicio!$B$16,"Crítico",IF(H725&lt;=Inicio!$B$17,"Observar","OK")))</f>
        <v/>
      </c>
      <c r="K725" s="52" t="n"/>
    </row>
    <row r="726">
      <c r="A726" s="52" t="n"/>
      <c r="B726" s="61">
        <f>IFERROR(VLOOKUP(A726,Clientes_PDV!$A$2:$J$250,2,FALSE),"")</f>
        <v/>
      </c>
      <c r="C726" s="61">
        <f>IFERROR(VLOOKUP(A726,Clientes_PDV!$A$2:$J$250,3,FALSE),"")</f>
        <v/>
      </c>
      <c r="D726" s="61">
        <f>IFERROR(VLOOKUP(A726,Clientes_PDV!$A$2:$J$250,4,FALSE),"")</f>
        <v/>
      </c>
      <c r="E726" s="52" t="n"/>
      <c r="F726" s="61">
        <f>IFERROR(VLOOKUP(E726,Maestro_SKU!$A$2:$P$500,2,FALSE),"")</f>
        <v/>
      </c>
      <c r="G726" s="52" t="n"/>
      <c r="H726" s="61">
        <f>IF(OR(G726="",E726=""),"",G726*IFERROR(VLOOKUP(E726,Maestro_SKU!$A$2:$P$500,12,FALSE),1))</f>
        <v/>
      </c>
      <c r="I726" s="53" t="n"/>
      <c r="J726" s="61">
        <f>IF(A726="","",IF(H726&lt;=Inicio!$B$16,"Crítico",IF(H726&lt;=Inicio!$B$17,"Observar","OK")))</f>
        <v/>
      </c>
      <c r="K726" s="52" t="n"/>
    </row>
    <row r="727">
      <c r="A727" s="52" t="n"/>
      <c r="B727" s="61">
        <f>IFERROR(VLOOKUP(A727,Clientes_PDV!$A$2:$J$250,2,FALSE),"")</f>
        <v/>
      </c>
      <c r="C727" s="61">
        <f>IFERROR(VLOOKUP(A727,Clientes_PDV!$A$2:$J$250,3,FALSE),"")</f>
        <v/>
      </c>
      <c r="D727" s="61">
        <f>IFERROR(VLOOKUP(A727,Clientes_PDV!$A$2:$J$250,4,FALSE),"")</f>
        <v/>
      </c>
      <c r="E727" s="52" t="n"/>
      <c r="F727" s="61">
        <f>IFERROR(VLOOKUP(E727,Maestro_SKU!$A$2:$P$500,2,FALSE),"")</f>
        <v/>
      </c>
      <c r="G727" s="52" t="n"/>
      <c r="H727" s="61">
        <f>IF(OR(G727="",E727=""),"",G727*IFERROR(VLOOKUP(E727,Maestro_SKU!$A$2:$P$500,12,FALSE),1))</f>
        <v/>
      </c>
      <c r="I727" s="53" t="n"/>
      <c r="J727" s="61">
        <f>IF(A727="","",IF(H727&lt;=Inicio!$B$16,"Crítico",IF(H727&lt;=Inicio!$B$17,"Observar","OK")))</f>
        <v/>
      </c>
      <c r="K727" s="52" t="n"/>
    </row>
    <row r="728">
      <c r="A728" s="52" t="n"/>
      <c r="B728" s="61">
        <f>IFERROR(VLOOKUP(A728,Clientes_PDV!$A$2:$J$250,2,FALSE),"")</f>
        <v/>
      </c>
      <c r="C728" s="61">
        <f>IFERROR(VLOOKUP(A728,Clientes_PDV!$A$2:$J$250,3,FALSE),"")</f>
        <v/>
      </c>
      <c r="D728" s="61">
        <f>IFERROR(VLOOKUP(A728,Clientes_PDV!$A$2:$J$250,4,FALSE),"")</f>
        <v/>
      </c>
      <c r="E728" s="52" t="n"/>
      <c r="F728" s="61">
        <f>IFERROR(VLOOKUP(E728,Maestro_SKU!$A$2:$P$500,2,FALSE),"")</f>
        <v/>
      </c>
      <c r="G728" s="52" t="n"/>
      <c r="H728" s="61">
        <f>IF(OR(G728="",E728=""),"",G728*IFERROR(VLOOKUP(E728,Maestro_SKU!$A$2:$P$500,12,FALSE),1))</f>
        <v/>
      </c>
      <c r="I728" s="53" t="n"/>
      <c r="J728" s="61">
        <f>IF(A728="","",IF(H728&lt;=Inicio!$B$16,"Crítico",IF(H728&lt;=Inicio!$B$17,"Observar","OK")))</f>
        <v/>
      </c>
      <c r="K728" s="52" t="n"/>
    </row>
    <row r="729">
      <c r="A729" s="52" t="n"/>
      <c r="B729" s="61">
        <f>IFERROR(VLOOKUP(A729,Clientes_PDV!$A$2:$J$250,2,FALSE),"")</f>
        <v/>
      </c>
      <c r="C729" s="61">
        <f>IFERROR(VLOOKUP(A729,Clientes_PDV!$A$2:$J$250,3,FALSE),"")</f>
        <v/>
      </c>
      <c r="D729" s="61">
        <f>IFERROR(VLOOKUP(A729,Clientes_PDV!$A$2:$J$250,4,FALSE),"")</f>
        <v/>
      </c>
      <c r="E729" s="52" t="n"/>
      <c r="F729" s="61">
        <f>IFERROR(VLOOKUP(E729,Maestro_SKU!$A$2:$P$500,2,FALSE),"")</f>
        <v/>
      </c>
      <c r="G729" s="52" t="n"/>
      <c r="H729" s="61">
        <f>IF(OR(G729="",E729=""),"",G729*IFERROR(VLOOKUP(E729,Maestro_SKU!$A$2:$P$500,12,FALSE),1))</f>
        <v/>
      </c>
      <c r="I729" s="53" t="n"/>
      <c r="J729" s="61">
        <f>IF(A729="","",IF(H729&lt;=Inicio!$B$16,"Crítico",IF(H729&lt;=Inicio!$B$17,"Observar","OK")))</f>
        <v/>
      </c>
      <c r="K729" s="52" t="n"/>
    </row>
    <row r="730">
      <c r="A730" s="52" t="n"/>
      <c r="B730" s="61">
        <f>IFERROR(VLOOKUP(A730,Clientes_PDV!$A$2:$J$250,2,FALSE),"")</f>
        <v/>
      </c>
      <c r="C730" s="61">
        <f>IFERROR(VLOOKUP(A730,Clientes_PDV!$A$2:$J$250,3,FALSE),"")</f>
        <v/>
      </c>
      <c r="D730" s="61">
        <f>IFERROR(VLOOKUP(A730,Clientes_PDV!$A$2:$J$250,4,FALSE),"")</f>
        <v/>
      </c>
      <c r="E730" s="52" t="n"/>
      <c r="F730" s="61">
        <f>IFERROR(VLOOKUP(E730,Maestro_SKU!$A$2:$P$500,2,FALSE),"")</f>
        <v/>
      </c>
      <c r="G730" s="52" t="n"/>
      <c r="H730" s="61">
        <f>IF(OR(G730="",E730=""),"",G730*IFERROR(VLOOKUP(E730,Maestro_SKU!$A$2:$P$500,12,FALSE),1))</f>
        <v/>
      </c>
      <c r="I730" s="53" t="n"/>
      <c r="J730" s="61">
        <f>IF(A730="","",IF(H730&lt;=Inicio!$B$16,"Crítico",IF(H730&lt;=Inicio!$B$17,"Observar","OK")))</f>
        <v/>
      </c>
      <c r="K730" s="52" t="n"/>
    </row>
    <row r="731">
      <c r="A731" s="52" t="n"/>
      <c r="B731" s="61">
        <f>IFERROR(VLOOKUP(A731,Clientes_PDV!$A$2:$J$250,2,FALSE),"")</f>
        <v/>
      </c>
      <c r="C731" s="61">
        <f>IFERROR(VLOOKUP(A731,Clientes_PDV!$A$2:$J$250,3,FALSE),"")</f>
        <v/>
      </c>
      <c r="D731" s="61">
        <f>IFERROR(VLOOKUP(A731,Clientes_PDV!$A$2:$J$250,4,FALSE),"")</f>
        <v/>
      </c>
      <c r="E731" s="52" t="n"/>
      <c r="F731" s="61">
        <f>IFERROR(VLOOKUP(E731,Maestro_SKU!$A$2:$P$500,2,FALSE),"")</f>
        <v/>
      </c>
      <c r="G731" s="52" t="n"/>
      <c r="H731" s="61">
        <f>IF(OR(G731="",E731=""),"",G731*IFERROR(VLOOKUP(E731,Maestro_SKU!$A$2:$P$500,12,FALSE),1))</f>
        <v/>
      </c>
      <c r="I731" s="53" t="n"/>
      <c r="J731" s="61">
        <f>IF(A731="","",IF(H731&lt;=Inicio!$B$16,"Crítico",IF(H731&lt;=Inicio!$B$17,"Observar","OK")))</f>
        <v/>
      </c>
      <c r="K731" s="52" t="n"/>
    </row>
    <row r="732">
      <c r="A732" s="52" t="n"/>
      <c r="B732" s="61">
        <f>IFERROR(VLOOKUP(A732,Clientes_PDV!$A$2:$J$250,2,FALSE),"")</f>
        <v/>
      </c>
      <c r="C732" s="61">
        <f>IFERROR(VLOOKUP(A732,Clientes_PDV!$A$2:$J$250,3,FALSE),"")</f>
        <v/>
      </c>
      <c r="D732" s="61">
        <f>IFERROR(VLOOKUP(A732,Clientes_PDV!$A$2:$J$250,4,FALSE),"")</f>
        <v/>
      </c>
      <c r="E732" s="52" t="n"/>
      <c r="F732" s="61">
        <f>IFERROR(VLOOKUP(E732,Maestro_SKU!$A$2:$P$500,2,FALSE),"")</f>
        <v/>
      </c>
      <c r="G732" s="52" t="n"/>
      <c r="H732" s="61">
        <f>IF(OR(G732="",E732=""),"",G732*IFERROR(VLOOKUP(E732,Maestro_SKU!$A$2:$P$500,12,FALSE),1))</f>
        <v/>
      </c>
      <c r="I732" s="53" t="n"/>
      <c r="J732" s="61">
        <f>IF(A732="","",IF(H732&lt;=Inicio!$B$16,"Crítico",IF(H732&lt;=Inicio!$B$17,"Observar","OK")))</f>
        <v/>
      </c>
      <c r="K732" s="52" t="n"/>
    </row>
    <row r="733">
      <c r="A733" s="52" t="n"/>
      <c r="B733" s="61">
        <f>IFERROR(VLOOKUP(A733,Clientes_PDV!$A$2:$J$250,2,FALSE),"")</f>
        <v/>
      </c>
      <c r="C733" s="61">
        <f>IFERROR(VLOOKUP(A733,Clientes_PDV!$A$2:$J$250,3,FALSE),"")</f>
        <v/>
      </c>
      <c r="D733" s="61">
        <f>IFERROR(VLOOKUP(A733,Clientes_PDV!$A$2:$J$250,4,FALSE),"")</f>
        <v/>
      </c>
      <c r="E733" s="52" t="n"/>
      <c r="F733" s="61">
        <f>IFERROR(VLOOKUP(E733,Maestro_SKU!$A$2:$P$500,2,FALSE),"")</f>
        <v/>
      </c>
      <c r="G733" s="52" t="n"/>
      <c r="H733" s="61">
        <f>IF(OR(G733="",E733=""),"",G733*IFERROR(VLOOKUP(E733,Maestro_SKU!$A$2:$P$500,12,FALSE),1))</f>
        <v/>
      </c>
      <c r="I733" s="53" t="n"/>
      <c r="J733" s="61">
        <f>IF(A733="","",IF(H733&lt;=Inicio!$B$16,"Crítico",IF(H733&lt;=Inicio!$B$17,"Observar","OK")))</f>
        <v/>
      </c>
      <c r="K733" s="52" t="n"/>
    </row>
    <row r="734">
      <c r="A734" s="52" t="n"/>
      <c r="B734" s="61">
        <f>IFERROR(VLOOKUP(A734,Clientes_PDV!$A$2:$J$250,2,FALSE),"")</f>
        <v/>
      </c>
      <c r="C734" s="61">
        <f>IFERROR(VLOOKUP(A734,Clientes_PDV!$A$2:$J$250,3,FALSE),"")</f>
        <v/>
      </c>
      <c r="D734" s="61">
        <f>IFERROR(VLOOKUP(A734,Clientes_PDV!$A$2:$J$250,4,FALSE),"")</f>
        <v/>
      </c>
      <c r="E734" s="52" t="n"/>
      <c r="F734" s="61">
        <f>IFERROR(VLOOKUP(E734,Maestro_SKU!$A$2:$P$500,2,FALSE),"")</f>
        <v/>
      </c>
      <c r="G734" s="52" t="n"/>
      <c r="H734" s="61">
        <f>IF(OR(G734="",E734=""),"",G734*IFERROR(VLOOKUP(E734,Maestro_SKU!$A$2:$P$500,12,FALSE),1))</f>
        <v/>
      </c>
      <c r="I734" s="53" t="n"/>
      <c r="J734" s="61">
        <f>IF(A734="","",IF(H734&lt;=Inicio!$B$16,"Crítico",IF(H734&lt;=Inicio!$B$17,"Observar","OK")))</f>
        <v/>
      </c>
      <c r="K734" s="52" t="n"/>
    </row>
    <row r="735">
      <c r="A735" s="52" t="n"/>
      <c r="B735" s="61">
        <f>IFERROR(VLOOKUP(A735,Clientes_PDV!$A$2:$J$250,2,FALSE),"")</f>
        <v/>
      </c>
      <c r="C735" s="61">
        <f>IFERROR(VLOOKUP(A735,Clientes_PDV!$A$2:$J$250,3,FALSE),"")</f>
        <v/>
      </c>
      <c r="D735" s="61">
        <f>IFERROR(VLOOKUP(A735,Clientes_PDV!$A$2:$J$250,4,FALSE),"")</f>
        <v/>
      </c>
      <c r="E735" s="52" t="n"/>
      <c r="F735" s="61">
        <f>IFERROR(VLOOKUP(E735,Maestro_SKU!$A$2:$P$500,2,FALSE),"")</f>
        <v/>
      </c>
      <c r="G735" s="52" t="n"/>
      <c r="H735" s="61">
        <f>IF(OR(G735="",E735=""),"",G735*IFERROR(VLOOKUP(E735,Maestro_SKU!$A$2:$P$500,12,FALSE),1))</f>
        <v/>
      </c>
      <c r="I735" s="53" t="n"/>
      <c r="J735" s="61">
        <f>IF(A735="","",IF(H735&lt;=Inicio!$B$16,"Crítico",IF(H735&lt;=Inicio!$B$17,"Observar","OK")))</f>
        <v/>
      </c>
      <c r="K735" s="52" t="n"/>
    </row>
    <row r="736">
      <c r="A736" s="52" t="n"/>
      <c r="B736" s="61">
        <f>IFERROR(VLOOKUP(A736,Clientes_PDV!$A$2:$J$250,2,FALSE),"")</f>
        <v/>
      </c>
      <c r="C736" s="61">
        <f>IFERROR(VLOOKUP(A736,Clientes_PDV!$A$2:$J$250,3,FALSE),"")</f>
        <v/>
      </c>
      <c r="D736" s="61">
        <f>IFERROR(VLOOKUP(A736,Clientes_PDV!$A$2:$J$250,4,FALSE),"")</f>
        <v/>
      </c>
      <c r="E736" s="52" t="n"/>
      <c r="F736" s="61">
        <f>IFERROR(VLOOKUP(E736,Maestro_SKU!$A$2:$P$500,2,FALSE),"")</f>
        <v/>
      </c>
      <c r="G736" s="52" t="n"/>
      <c r="H736" s="61">
        <f>IF(OR(G736="",E736=""),"",G736*IFERROR(VLOOKUP(E736,Maestro_SKU!$A$2:$P$500,12,FALSE),1))</f>
        <v/>
      </c>
      <c r="I736" s="53" t="n"/>
      <c r="J736" s="61">
        <f>IF(A736="","",IF(H736&lt;=Inicio!$B$16,"Crítico",IF(H736&lt;=Inicio!$B$17,"Observar","OK")))</f>
        <v/>
      </c>
      <c r="K736" s="52" t="n"/>
    </row>
    <row r="737">
      <c r="A737" s="52" t="n"/>
      <c r="B737" s="61">
        <f>IFERROR(VLOOKUP(A737,Clientes_PDV!$A$2:$J$250,2,FALSE),"")</f>
        <v/>
      </c>
      <c r="C737" s="61">
        <f>IFERROR(VLOOKUP(A737,Clientes_PDV!$A$2:$J$250,3,FALSE),"")</f>
        <v/>
      </c>
      <c r="D737" s="61">
        <f>IFERROR(VLOOKUP(A737,Clientes_PDV!$A$2:$J$250,4,FALSE),"")</f>
        <v/>
      </c>
      <c r="E737" s="52" t="n"/>
      <c r="F737" s="61">
        <f>IFERROR(VLOOKUP(E737,Maestro_SKU!$A$2:$P$500,2,FALSE),"")</f>
        <v/>
      </c>
      <c r="G737" s="52" t="n"/>
      <c r="H737" s="61">
        <f>IF(OR(G737="",E737=""),"",G737*IFERROR(VLOOKUP(E737,Maestro_SKU!$A$2:$P$500,12,FALSE),1))</f>
        <v/>
      </c>
      <c r="I737" s="53" t="n"/>
      <c r="J737" s="61">
        <f>IF(A737="","",IF(H737&lt;=Inicio!$B$16,"Crítico",IF(H737&lt;=Inicio!$B$17,"Observar","OK")))</f>
        <v/>
      </c>
      <c r="K737" s="52" t="n"/>
    </row>
    <row r="738">
      <c r="A738" s="52" t="n"/>
      <c r="B738" s="61">
        <f>IFERROR(VLOOKUP(A738,Clientes_PDV!$A$2:$J$250,2,FALSE),"")</f>
        <v/>
      </c>
      <c r="C738" s="61">
        <f>IFERROR(VLOOKUP(A738,Clientes_PDV!$A$2:$J$250,3,FALSE),"")</f>
        <v/>
      </c>
      <c r="D738" s="61">
        <f>IFERROR(VLOOKUP(A738,Clientes_PDV!$A$2:$J$250,4,FALSE),"")</f>
        <v/>
      </c>
      <c r="E738" s="52" t="n"/>
      <c r="F738" s="61">
        <f>IFERROR(VLOOKUP(E738,Maestro_SKU!$A$2:$P$500,2,FALSE),"")</f>
        <v/>
      </c>
      <c r="G738" s="52" t="n"/>
      <c r="H738" s="61">
        <f>IF(OR(G738="",E738=""),"",G738*IFERROR(VLOOKUP(E738,Maestro_SKU!$A$2:$P$500,12,FALSE),1))</f>
        <v/>
      </c>
      <c r="I738" s="53" t="n"/>
      <c r="J738" s="61">
        <f>IF(A738="","",IF(H738&lt;=Inicio!$B$16,"Crítico",IF(H738&lt;=Inicio!$B$17,"Observar","OK")))</f>
        <v/>
      </c>
      <c r="K738" s="52" t="n"/>
    </row>
    <row r="739">
      <c r="A739" s="52" t="n"/>
      <c r="B739" s="61">
        <f>IFERROR(VLOOKUP(A739,Clientes_PDV!$A$2:$J$250,2,FALSE),"")</f>
        <v/>
      </c>
      <c r="C739" s="61">
        <f>IFERROR(VLOOKUP(A739,Clientes_PDV!$A$2:$J$250,3,FALSE),"")</f>
        <v/>
      </c>
      <c r="D739" s="61">
        <f>IFERROR(VLOOKUP(A739,Clientes_PDV!$A$2:$J$250,4,FALSE),"")</f>
        <v/>
      </c>
      <c r="E739" s="52" t="n"/>
      <c r="F739" s="61">
        <f>IFERROR(VLOOKUP(E739,Maestro_SKU!$A$2:$P$500,2,FALSE),"")</f>
        <v/>
      </c>
      <c r="G739" s="52" t="n"/>
      <c r="H739" s="61">
        <f>IF(OR(G739="",E739=""),"",G739*IFERROR(VLOOKUP(E739,Maestro_SKU!$A$2:$P$500,12,FALSE),1))</f>
        <v/>
      </c>
      <c r="I739" s="53" t="n"/>
      <c r="J739" s="61">
        <f>IF(A739="","",IF(H739&lt;=Inicio!$B$16,"Crítico",IF(H739&lt;=Inicio!$B$17,"Observar","OK")))</f>
        <v/>
      </c>
      <c r="K739" s="52" t="n"/>
    </row>
    <row r="740">
      <c r="A740" s="52" t="n"/>
      <c r="B740" s="61">
        <f>IFERROR(VLOOKUP(A740,Clientes_PDV!$A$2:$J$250,2,FALSE),"")</f>
        <v/>
      </c>
      <c r="C740" s="61">
        <f>IFERROR(VLOOKUP(A740,Clientes_PDV!$A$2:$J$250,3,FALSE),"")</f>
        <v/>
      </c>
      <c r="D740" s="61">
        <f>IFERROR(VLOOKUP(A740,Clientes_PDV!$A$2:$J$250,4,FALSE),"")</f>
        <v/>
      </c>
      <c r="E740" s="52" t="n"/>
      <c r="F740" s="61">
        <f>IFERROR(VLOOKUP(E740,Maestro_SKU!$A$2:$P$500,2,FALSE),"")</f>
        <v/>
      </c>
      <c r="G740" s="52" t="n"/>
      <c r="H740" s="61">
        <f>IF(OR(G740="",E740=""),"",G740*IFERROR(VLOOKUP(E740,Maestro_SKU!$A$2:$P$500,12,FALSE),1))</f>
        <v/>
      </c>
      <c r="I740" s="53" t="n"/>
      <c r="J740" s="61">
        <f>IF(A740="","",IF(H740&lt;=Inicio!$B$16,"Crítico",IF(H740&lt;=Inicio!$B$17,"Observar","OK")))</f>
        <v/>
      </c>
      <c r="K740" s="52" t="n"/>
    </row>
    <row r="741">
      <c r="A741" s="52" t="n"/>
      <c r="B741" s="61">
        <f>IFERROR(VLOOKUP(A741,Clientes_PDV!$A$2:$J$250,2,FALSE),"")</f>
        <v/>
      </c>
      <c r="C741" s="61">
        <f>IFERROR(VLOOKUP(A741,Clientes_PDV!$A$2:$J$250,3,FALSE),"")</f>
        <v/>
      </c>
      <c r="D741" s="61">
        <f>IFERROR(VLOOKUP(A741,Clientes_PDV!$A$2:$J$250,4,FALSE),"")</f>
        <v/>
      </c>
      <c r="E741" s="52" t="n"/>
      <c r="F741" s="61">
        <f>IFERROR(VLOOKUP(E741,Maestro_SKU!$A$2:$P$500,2,FALSE),"")</f>
        <v/>
      </c>
      <c r="G741" s="52" t="n"/>
      <c r="H741" s="61">
        <f>IF(OR(G741="",E741=""),"",G741*IFERROR(VLOOKUP(E741,Maestro_SKU!$A$2:$P$500,12,FALSE),1))</f>
        <v/>
      </c>
      <c r="I741" s="53" t="n"/>
      <c r="J741" s="61">
        <f>IF(A741="","",IF(H741&lt;=Inicio!$B$16,"Crítico",IF(H741&lt;=Inicio!$B$17,"Observar","OK")))</f>
        <v/>
      </c>
      <c r="K741" s="52" t="n"/>
    </row>
    <row r="742">
      <c r="A742" s="52" t="n"/>
      <c r="B742" s="61">
        <f>IFERROR(VLOOKUP(A742,Clientes_PDV!$A$2:$J$250,2,FALSE),"")</f>
        <v/>
      </c>
      <c r="C742" s="61">
        <f>IFERROR(VLOOKUP(A742,Clientes_PDV!$A$2:$J$250,3,FALSE),"")</f>
        <v/>
      </c>
      <c r="D742" s="61">
        <f>IFERROR(VLOOKUP(A742,Clientes_PDV!$A$2:$J$250,4,FALSE),"")</f>
        <v/>
      </c>
      <c r="E742" s="52" t="n"/>
      <c r="F742" s="61">
        <f>IFERROR(VLOOKUP(E742,Maestro_SKU!$A$2:$P$500,2,FALSE),"")</f>
        <v/>
      </c>
      <c r="G742" s="52" t="n"/>
      <c r="H742" s="61">
        <f>IF(OR(G742="",E742=""),"",G742*IFERROR(VLOOKUP(E742,Maestro_SKU!$A$2:$P$500,12,FALSE),1))</f>
        <v/>
      </c>
      <c r="I742" s="53" t="n"/>
      <c r="J742" s="61">
        <f>IF(A742="","",IF(H742&lt;=Inicio!$B$16,"Crítico",IF(H742&lt;=Inicio!$B$17,"Observar","OK")))</f>
        <v/>
      </c>
      <c r="K742" s="52" t="n"/>
    </row>
    <row r="743">
      <c r="A743" s="52" t="n"/>
      <c r="B743" s="61">
        <f>IFERROR(VLOOKUP(A743,Clientes_PDV!$A$2:$J$250,2,FALSE),"")</f>
        <v/>
      </c>
      <c r="C743" s="61">
        <f>IFERROR(VLOOKUP(A743,Clientes_PDV!$A$2:$J$250,3,FALSE),"")</f>
        <v/>
      </c>
      <c r="D743" s="61">
        <f>IFERROR(VLOOKUP(A743,Clientes_PDV!$A$2:$J$250,4,FALSE),"")</f>
        <v/>
      </c>
      <c r="E743" s="52" t="n"/>
      <c r="F743" s="61">
        <f>IFERROR(VLOOKUP(E743,Maestro_SKU!$A$2:$P$500,2,FALSE),"")</f>
        <v/>
      </c>
      <c r="G743" s="52" t="n"/>
      <c r="H743" s="61">
        <f>IF(OR(G743="",E743=""),"",G743*IFERROR(VLOOKUP(E743,Maestro_SKU!$A$2:$P$500,12,FALSE),1))</f>
        <v/>
      </c>
      <c r="I743" s="53" t="n"/>
      <c r="J743" s="61">
        <f>IF(A743="","",IF(H743&lt;=Inicio!$B$16,"Crítico",IF(H743&lt;=Inicio!$B$17,"Observar","OK")))</f>
        <v/>
      </c>
      <c r="K743" s="52" t="n"/>
    </row>
    <row r="744">
      <c r="A744" s="52" t="n"/>
      <c r="B744" s="61">
        <f>IFERROR(VLOOKUP(A744,Clientes_PDV!$A$2:$J$250,2,FALSE),"")</f>
        <v/>
      </c>
      <c r="C744" s="61">
        <f>IFERROR(VLOOKUP(A744,Clientes_PDV!$A$2:$J$250,3,FALSE),"")</f>
        <v/>
      </c>
      <c r="D744" s="61">
        <f>IFERROR(VLOOKUP(A744,Clientes_PDV!$A$2:$J$250,4,FALSE),"")</f>
        <v/>
      </c>
      <c r="E744" s="52" t="n"/>
      <c r="F744" s="61">
        <f>IFERROR(VLOOKUP(E744,Maestro_SKU!$A$2:$P$500,2,FALSE),"")</f>
        <v/>
      </c>
      <c r="G744" s="52" t="n"/>
      <c r="H744" s="61">
        <f>IF(OR(G744="",E744=""),"",G744*IFERROR(VLOOKUP(E744,Maestro_SKU!$A$2:$P$500,12,FALSE),1))</f>
        <v/>
      </c>
      <c r="I744" s="53" t="n"/>
      <c r="J744" s="61">
        <f>IF(A744="","",IF(H744&lt;=Inicio!$B$16,"Crítico",IF(H744&lt;=Inicio!$B$17,"Observar","OK")))</f>
        <v/>
      </c>
      <c r="K744" s="52" t="n"/>
    </row>
    <row r="745">
      <c r="A745" s="52" t="n"/>
      <c r="B745" s="61">
        <f>IFERROR(VLOOKUP(A745,Clientes_PDV!$A$2:$J$250,2,FALSE),"")</f>
        <v/>
      </c>
      <c r="C745" s="61">
        <f>IFERROR(VLOOKUP(A745,Clientes_PDV!$A$2:$J$250,3,FALSE),"")</f>
        <v/>
      </c>
      <c r="D745" s="61">
        <f>IFERROR(VLOOKUP(A745,Clientes_PDV!$A$2:$J$250,4,FALSE),"")</f>
        <v/>
      </c>
      <c r="E745" s="52" t="n"/>
      <c r="F745" s="61">
        <f>IFERROR(VLOOKUP(E745,Maestro_SKU!$A$2:$P$500,2,FALSE),"")</f>
        <v/>
      </c>
      <c r="G745" s="52" t="n"/>
      <c r="H745" s="61">
        <f>IF(OR(G745="",E745=""),"",G745*IFERROR(VLOOKUP(E745,Maestro_SKU!$A$2:$P$500,12,FALSE),1))</f>
        <v/>
      </c>
      <c r="I745" s="53" t="n"/>
      <c r="J745" s="61">
        <f>IF(A745="","",IF(H745&lt;=Inicio!$B$16,"Crítico",IF(H745&lt;=Inicio!$B$17,"Observar","OK")))</f>
        <v/>
      </c>
      <c r="K745" s="52" t="n"/>
    </row>
    <row r="746">
      <c r="A746" s="52" t="n"/>
      <c r="B746" s="61">
        <f>IFERROR(VLOOKUP(A746,Clientes_PDV!$A$2:$J$250,2,FALSE),"")</f>
        <v/>
      </c>
      <c r="C746" s="61">
        <f>IFERROR(VLOOKUP(A746,Clientes_PDV!$A$2:$J$250,3,FALSE),"")</f>
        <v/>
      </c>
      <c r="D746" s="61">
        <f>IFERROR(VLOOKUP(A746,Clientes_PDV!$A$2:$J$250,4,FALSE),"")</f>
        <v/>
      </c>
      <c r="E746" s="52" t="n"/>
      <c r="F746" s="61">
        <f>IFERROR(VLOOKUP(E746,Maestro_SKU!$A$2:$P$500,2,FALSE),"")</f>
        <v/>
      </c>
      <c r="G746" s="52" t="n"/>
      <c r="H746" s="61">
        <f>IF(OR(G746="",E746=""),"",G746*IFERROR(VLOOKUP(E746,Maestro_SKU!$A$2:$P$500,12,FALSE),1))</f>
        <v/>
      </c>
      <c r="I746" s="53" t="n"/>
      <c r="J746" s="61">
        <f>IF(A746="","",IF(H746&lt;=Inicio!$B$16,"Crítico",IF(H746&lt;=Inicio!$B$17,"Observar","OK")))</f>
        <v/>
      </c>
      <c r="K746" s="52" t="n"/>
    </row>
    <row r="747">
      <c r="A747" s="52" t="n"/>
      <c r="B747" s="61">
        <f>IFERROR(VLOOKUP(A747,Clientes_PDV!$A$2:$J$250,2,FALSE),"")</f>
        <v/>
      </c>
      <c r="C747" s="61">
        <f>IFERROR(VLOOKUP(A747,Clientes_PDV!$A$2:$J$250,3,FALSE),"")</f>
        <v/>
      </c>
      <c r="D747" s="61">
        <f>IFERROR(VLOOKUP(A747,Clientes_PDV!$A$2:$J$250,4,FALSE),"")</f>
        <v/>
      </c>
      <c r="E747" s="52" t="n"/>
      <c r="F747" s="61">
        <f>IFERROR(VLOOKUP(E747,Maestro_SKU!$A$2:$P$500,2,FALSE),"")</f>
        <v/>
      </c>
      <c r="G747" s="52" t="n"/>
      <c r="H747" s="61">
        <f>IF(OR(G747="",E747=""),"",G747*IFERROR(VLOOKUP(E747,Maestro_SKU!$A$2:$P$500,12,FALSE),1))</f>
        <v/>
      </c>
      <c r="I747" s="53" t="n"/>
      <c r="J747" s="61">
        <f>IF(A747="","",IF(H747&lt;=Inicio!$B$16,"Crítico",IF(H747&lt;=Inicio!$B$17,"Observar","OK")))</f>
        <v/>
      </c>
      <c r="K747" s="52" t="n"/>
    </row>
    <row r="748">
      <c r="A748" s="52" t="n"/>
      <c r="B748" s="61">
        <f>IFERROR(VLOOKUP(A748,Clientes_PDV!$A$2:$J$250,2,FALSE),"")</f>
        <v/>
      </c>
      <c r="C748" s="61">
        <f>IFERROR(VLOOKUP(A748,Clientes_PDV!$A$2:$J$250,3,FALSE),"")</f>
        <v/>
      </c>
      <c r="D748" s="61">
        <f>IFERROR(VLOOKUP(A748,Clientes_PDV!$A$2:$J$250,4,FALSE),"")</f>
        <v/>
      </c>
      <c r="E748" s="52" t="n"/>
      <c r="F748" s="61">
        <f>IFERROR(VLOOKUP(E748,Maestro_SKU!$A$2:$P$500,2,FALSE),"")</f>
        <v/>
      </c>
      <c r="G748" s="52" t="n"/>
      <c r="H748" s="61">
        <f>IF(OR(G748="",E748=""),"",G748*IFERROR(VLOOKUP(E748,Maestro_SKU!$A$2:$P$500,12,FALSE),1))</f>
        <v/>
      </c>
      <c r="I748" s="53" t="n"/>
      <c r="J748" s="61">
        <f>IF(A748="","",IF(H748&lt;=Inicio!$B$16,"Crítico",IF(H748&lt;=Inicio!$B$17,"Observar","OK")))</f>
        <v/>
      </c>
      <c r="K748" s="52" t="n"/>
    </row>
    <row r="749">
      <c r="A749" s="52" t="n"/>
      <c r="B749" s="61">
        <f>IFERROR(VLOOKUP(A749,Clientes_PDV!$A$2:$J$250,2,FALSE),"")</f>
        <v/>
      </c>
      <c r="C749" s="61">
        <f>IFERROR(VLOOKUP(A749,Clientes_PDV!$A$2:$J$250,3,FALSE),"")</f>
        <v/>
      </c>
      <c r="D749" s="61">
        <f>IFERROR(VLOOKUP(A749,Clientes_PDV!$A$2:$J$250,4,FALSE),"")</f>
        <v/>
      </c>
      <c r="E749" s="52" t="n"/>
      <c r="F749" s="61">
        <f>IFERROR(VLOOKUP(E749,Maestro_SKU!$A$2:$P$500,2,FALSE),"")</f>
        <v/>
      </c>
      <c r="G749" s="52" t="n"/>
      <c r="H749" s="61">
        <f>IF(OR(G749="",E749=""),"",G749*IFERROR(VLOOKUP(E749,Maestro_SKU!$A$2:$P$500,12,FALSE),1))</f>
        <v/>
      </c>
      <c r="I749" s="53" t="n"/>
      <c r="J749" s="61">
        <f>IF(A749="","",IF(H749&lt;=Inicio!$B$16,"Crítico",IF(H749&lt;=Inicio!$B$17,"Observar","OK")))</f>
        <v/>
      </c>
      <c r="K749" s="52" t="n"/>
    </row>
    <row r="750">
      <c r="A750" s="52" t="n"/>
      <c r="B750" s="61">
        <f>IFERROR(VLOOKUP(A750,Clientes_PDV!$A$2:$J$250,2,FALSE),"")</f>
        <v/>
      </c>
      <c r="C750" s="61">
        <f>IFERROR(VLOOKUP(A750,Clientes_PDV!$A$2:$J$250,3,FALSE),"")</f>
        <v/>
      </c>
      <c r="D750" s="61">
        <f>IFERROR(VLOOKUP(A750,Clientes_PDV!$A$2:$J$250,4,FALSE),"")</f>
        <v/>
      </c>
      <c r="E750" s="52" t="n"/>
      <c r="F750" s="61">
        <f>IFERROR(VLOOKUP(E750,Maestro_SKU!$A$2:$P$500,2,FALSE),"")</f>
        <v/>
      </c>
      <c r="G750" s="52" t="n"/>
      <c r="H750" s="61">
        <f>IF(OR(G750="",E750=""),"",G750*IFERROR(VLOOKUP(E750,Maestro_SKU!$A$2:$P$500,12,FALSE),1))</f>
        <v/>
      </c>
      <c r="I750" s="53" t="n"/>
      <c r="J750" s="61">
        <f>IF(A750="","",IF(H750&lt;=Inicio!$B$16,"Crítico",IF(H750&lt;=Inicio!$B$17,"Observar","OK")))</f>
        <v/>
      </c>
      <c r="K750" s="52" t="n"/>
    </row>
    <row r="751">
      <c r="A751" s="52" t="n"/>
      <c r="B751" s="61">
        <f>IFERROR(VLOOKUP(A751,Clientes_PDV!$A$2:$J$250,2,FALSE),"")</f>
        <v/>
      </c>
      <c r="C751" s="61">
        <f>IFERROR(VLOOKUP(A751,Clientes_PDV!$A$2:$J$250,3,FALSE),"")</f>
        <v/>
      </c>
      <c r="D751" s="61">
        <f>IFERROR(VLOOKUP(A751,Clientes_PDV!$A$2:$J$250,4,FALSE),"")</f>
        <v/>
      </c>
      <c r="E751" s="52" t="n"/>
      <c r="F751" s="61">
        <f>IFERROR(VLOOKUP(E751,Maestro_SKU!$A$2:$P$500,2,FALSE),"")</f>
        <v/>
      </c>
      <c r="G751" s="52" t="n"/>
      <c r="H751" s="61">
        <f>IF(OR(G751="",E751=""),"",G751*IFERROR(VLOOKUP(E751,Maestro_SKU!$A$2:$P$500,12,FALSE),1))</f>
        <v/>
      </c>
      <c r="I751" s="53" t="n"/>
      <c r="J751" s="61">
        <f>IF(A751="","",IF(H751&lt;=Inicio!$B$16,"Crítico",IF(H751&lt;=Inicio!$B$17,"Observar","OK")))</f>
        <v/>
      </c>
      <c r="K751" s="52" t="n"/>
    </row>
    <row r="752">
      <c r="A752" s="52" t="n"/>
      <c r="B752" s="61">
        <f>IFERROR(VLOOKUP(A752,Clientes_PDV!$A$2:$J$250,2,FALSE),"")</f>
        <v/>
      </c>
      <c r="C752" s="61">
        <f>IFERROR(VLOOKUP(A752,Clientes_PDV!$A$2:$J$250,3,FALSE),"")</f>
        <v/>
      </c>
      <c r="D752" s="61">
        <f>IFERROR(VLOOKUP(A752,Clientes_PDV!$A$2:$J$250,4,FALSE),"")</f>
        <v/>
      </c>
      <c r="E752" s="52" t="n"/>
      <c r="F752" s="61">
        <f>IFERROR(VLOOKUP(E752,Maestro_SKU!$A$2:$P$500,2,FALSE),"")</f>
        <v/>
      </c>
      <c r="G752" s="52" t="n"/>
      <c r="H752" s="61">
        <f>IF(OR(G752="",E752=""),"",G752*IFERROR(VLOOKUP(E752,Maestro_SKU!$A$2:$P$500,12,FALSE),1))</f>
        <v/>
      </c>
      <c r="I752" s="53" t="n"/>
      <c r="J752" s="61">
        <f>IF(A752="","",IF(H752&lt;=Inicio!$B$16,"Crítico",IF(H752&lt;=Inicio!$B$17,"Observar","OK")))</f>
        <v/>
      </c>
      <c r="K752" s="52" t="n"/>
    </row>
    <row r="753">
      <c r="A753" s="52" t="n"/>
      <c r="B753" s="61">
        <f>IFERROR(VLOOKUP(A753,Clientes_PDV!$A$2:$J$250,2,FALSE),"")</f>
        <v/>
      </c>
      <c r="C753" s="61">
        <f>IFERROR(VLOOKUP(A753,Clientes_PDV!$A$2:$J$250,3,FALSE),"")</f>
        <v/>
      </c>
      <c r="D753" s="61">
        <f>IFERROR(VLOOKUP(A753,Clientes_PDV!$A$2:$J$250,4,FALSE),"")</f>
        <v/>
      </c>
      <c r="E753" s="52" t="n"/>
      <c r="F753" s="61">
        <f>IFERROR(VLOOKUP(E753,Maestro_SKU!$A$2:$P$500,2,FALSE),"")</f>
        <v/>
      </c>
      <c r="G753" s="52" t="n"/>
      <c r="H753" s="61">
        <f>IF(OR(G753="",E753=""),"",G753*IFERROR(VLOOKUP(E753,Maestro_SKU!$A$2:$P$500,12,FALSE),1))</f>
        <v/>
      </c>
      <c r="I753" s="53" t="n"/>
      <c r="J753" s="61">
        <f>IF(A753="","",IF(H753&lt;=Inicio!$B$16,"Crítico",IF(H753&lt;=Inicio!$B$17,"Observar","OK")))</f>
        <v/>
      </c>
      <c r="K753" s="52" t="n"/>
    </row>
    <row r="754">
      <c r="A754" s="52" t="n"/>
      <c r="B754" s="61">
        <f>IFERROR(VLOOKUP(A754,Clientes_PDV!$A$2:$J$250,2,FALSE),"")</f>
        <v/>
      </c>
      <c r="C754" s="61">
        <f>IFERROR(VLOOKUP(A754,Clientes_PDV!$A$2:$J$250,3,FALSE),"")</f>
        <v/>
      </c>
      <c r="D754" s="61">
        <f>IFERROR(VLOOKUP(A754,Clientes_PDV!$A$2:$J$250,4,FALSE),"")</f>
        <v/>
      </c>
      <c r="E754" s="52" t="n"/>
      <c r="F754" s="61">
        <f>IFERROR(VLOOKUP(E754,Maestro_SKU!$A$2:$P$500,2,FALSE),"")</f>
        <v/>
      </c>
      <c r="G754" s="52" t="n"/>
      <c r="H754" s="61">
        <f>IF(OR(G754="",E754=""),"",G754*IFERROR(VLOOKUP(E754,Maestro_SKU!$A$2:$P$500,12,FALSE),1))</f>
        <v/>
      </c>
      <c r="I754" s="53" t="n"/>
      <c r="J754" s="61">
        <f>IF(A754="","",IF(H754&lt;=Inicio!$B$16,"Crítico",IF(H754&lt;=Inicio!$B$17,"Observar","OK")))</f>
        <v/>
      </c>
      <c r="K754" s="52" t="n"/>
    </row>
    <row r="755">
      <c r="A755" s="52" t="n"/>
      <c r="B755" s="61">
        <f>IFERROR(VLOOKUP(A755,Clientes_PDV!$A$2:$J$250,2,FALSE),"")</f>
        <v/>
      </c>
      <c r="C755" s="61">
        <f>IFERROR(VLOOKUP(A755,Clientes_PDV!$A$2:$J$250,3,FALSE),"")</f>
        <v/>
      </c>
      <c r="D755" s="61">
        <f>IFERROR(VLOOKUP(A755,Clientes_PDV!$A$2:$J$250,4,FALSE),"")</f>
        <v/>
      </c>
      <c r="E755" s="52" t="n"/>
      <c r="F755" s="61">
        <f>IFERROR(VLOOKUP(E755,Maestro_SKU!$A$2:$P$500,2,FALSE),"")</f>
        <v/>
      </c>
      <c r="G755" s="52" t="n"/>
      <c r="H755" s="61">
        <f>IF(OR(G755="",E755=""),"",G755*IFERROR(VLOOKUP(E755,Maestro_SKU!$A$2:$P$500,12,FALSE),1))</f>
        <v/>
      </c>
      <c r="I755" s="53" t="n"/>
      <c r="J755" s="61">
        <f>IF(A755="","",IF(H755&lt;=Inicio!$B$16,"Crítico",IF(H755&lt;=Inicio!$B$17,"Observar","OK")))</f>
        <v/>
      </c>
      <c r="K755" s="52" t="n"/>
    </row>
    <row r="756">
      <c r="A756" s="52" t="n"/>
      <c r="B756" s="61">
        <f>IFERROR(VLOOKUP(A756,Clientes_PDV!$A$2:$J$250,2,FALSE),"")</f>
        <v/>
      </c>
      <c r="C756" s="61">
        <f>IFERROR(VLOOKUP(A756,Clientes_PDV!$A$2:$J$250,3,FALSE),"")</f>
        <v/>
      </c>
      <c r="D756" s="61">
        <f>IFERROR(VLOOKUP(A756,Clientes_PDV!$A$2:$J$250,4,FALSE),"")</f>
        <v/>
      </c>
      <c r="E756" s="52" t="n"/>
      <c r="F756" s="61">
        <f>IFERROR(VLOOKUP(E756,Maestro_SKU!$A$2:$P$500,2,FALSE),"")</f>
        <v/>
      </c>
      <c r="G756" s="52" t="n"/>
      <c r="H756" s="61">
        <f>IF(OR(G756="",E756=""),"",G756*IFERROR(VLOOKUP(E756,Maestro_SKU!$A$2:$P$500,12,FALSE),1))</f>
        <v/>
      </c>
      <c r="I756" s="53" t="n"/>
      <c r="J756" s="61">
        <f>IF(A756="","",IF(H756&lt;=Inicio!$B$16,"Crítico",IF(H756&lt;=Inicio!$B$17,"Observar","OK")))</f>
        <v/>
      </c>
      <c r="K756" s="52" t="n"/>
    </row>
    <row r="757">
      <c r="A757" s="52" t="n"/>
      <c r="B757" s="61">
        <f>IFERROR(VLOOKUP(A757,Clientes_PDV!$A$2:$J$250,2,FALSE),"")</f>
        <v/>
      </c>
      <c r="C757" s="61">
        <f>IFERROR(VLOOKUP(A757,Clientes_PDV!$A$2:$J$250,3,FALSE),"")</f>
        <v/>
      </c>
      <c r="D757" s="61">
        <f>IFERROR(VLOOKUP(A757,Clientes_PDV!$A$2:$J$250,4,FALSE),"")</f>
        <v/>
      </c>
      <c r="E757" s="52" t="n"/>
      <c r="F757" s="61">
        <f>IFERROR(VLOOKUP(E757,Maestro_SKU!$A$2:$P$500,2,FALSE),"")</f>
        <v/>
      </c>
      <c r="G757" s="52" t="n"/>
      <c r="H757" s="61">
        <f>IF(OR(G757="",E757=""),"",G757*IFERROR(VLOOKUP(E757,Maestro_SKU!$A$2:$P$500,12,FALSE),1))</f>
        <v/>
      </c>
      <c r="I757" s="53" t="n"/>
      <c r="J757" s="61">
        <f>IF(A757="","",IF(H757&lt;=Inicio!$B$16,"Crítico",IF(H757&lt;=Inicio!$B$17,"Observar","OK")))</f>
        <v/>
      </c>
      <c r="K757" s="52" t="n"/>
    </row>
    <row r="758">
      <c r="A758" s="52" t="n"/>
      <c r="B758" s="61">
        <f>IFERROR(VLOOKUP(A758,Clientes_PDV!$A$2:$J$250,2,FALSE),"")</f>
        <v/>
      </c>
      <c r="C758" s="61">
        <f>IFERROR(VLOOKUP(A758,Clientes_PDV!$A$2:$J$250,3,FALSE),"")</f>
        <v/>
      </c>
      <c r="D758" s="61">
        <f>IFERROR(VLOOKUP(A758,Clientes_PDV!$A$2:$J$250,4,FALSE),"")</f>
        <v/>
      </c>
      <c r="E758" s="52" t="n"/>
      <c r="F758" s="61">
        <f>IFERROR(VLOOKUP(E758,Maestro_SKU!$A$2:$P$500,2,FALSE),"")</f>
        <v/>
      </c>
      <c r="G758" s="52" t="n"/>
      <c r="H758" s="61">
        <f>IF(OR(G758="",E758=""),"",G758*IFERROR(VLOOKUP(E758,Maestro_SKU!$A$2:$P$500,12,FALSE),1))</f>
        <v/>
      </c>
      <c r="I758" s="53" t="n"/>
      <c r="J758" s="61">
        <f>IF(A758="","",IF(H758&lt;=Inicio!$B$16,"Crítico",IF(H758&lt;=Inicio!$B$17,"Observar","OK")))</f>
        <v/>
      </c>
      <c r="K758" s="52" t="n"/>
    </row>
    <row r="759">
      <c r="A759" s="52" t="n"/>
      <c r="B759" s="61">
        <f>IFERROR(VLOOKUP(A759,Clientes_PDV!$A$2:$J$250,2,FALSE),"")</f>
        <v/>
      </c>
      <c r="C759" s="61">
        <f>IFERROR(VLOOKUP(A759,Clientes_PDV!$A$2:$J$250,3,FALSE),"")</f>
        <v/>
      </c>
      <c r="D759" s="61">
        <f>IFERROR(VLOOKUP(A759,Clientes_PDV!$A$2:$J$250,4,FALSE),"")</f>
        <v/>
      </c>
      <c r="E759" s="52" t="n"/>
      <c r="F759" s="61">
        <f>IFERROR(VLOOKUP(E759,Maestro_SKU!$A$2:$P$500,2,FALSE),"")</f>
        <v/>
      </c>
      <c r="G759" s="52" t="n"/>
      <c r="H759" s="61">
        <f>IF(OR(G759="",E759=""),"",G759*IFERROR(VLOOKUP(E759,Maestro_SKU!$A$2:$P$500,12,FALSE),1))</f>
        <v/>
      </c>
      <c r="I759" s="53" t="n"/>
      <c r="J759" s="61">
        <f>IF(A759="","",IF(H759&lt;=Inicio!$B$16,"Crítico",IF(H759&lt;=Inicio!$B$17,"Observar","OK")))</f>
        <v/>
      </c>
      <c r="K759" s="52" t="n"/>
    </row>
    <row r="760">
      <c r="A760" s="52" t="n"/>
      <c r="B760" s="61">
        <f>IFERROR(VLOOKUP(A760,Clientes_PDV!$A$2:$J$250,2,FALSE),"")</f>
        <v/>
      </c>
      <c r="C760" s="61">
        <f>IFERROR(VLOOKUP(A760,Clientes_PDV!$A$2:$J$250,3,FALSE),"")</f>
        <v/>
      </c>
      <c r="D760" s="61">
        <f>IFERROR(VLOOKUP(A760,Clientes_PDV!$A$2:$J$250,4,FALSE),"")</f>
        <v/>
      </c>
      <c r="E760" s="52" t="n"/>
      <c r="F760" s="61">
        <f>IFERROR(VLOOKUP(E760,Maestro_SKU!$A$2:$P$500,2,FALSE),"")</f>
        <v/>
      </c>
      <c r="G760" s="52" t="n"/>
      <c r="H760" s="61">
        <f>IF(OR(G760="",E760=""),"",G760*IFERROR(VLOOKUP(E760,Maestro_SKU!$A$2:$P$500,12,FALSE),1))</f>
        <v/>
      </c>
      <c r="I760" s="53" t="n"/>
      <c r="J760" s="61">
        <f>IF(A760="","",IF(H760&lt;=Inicio!$B$16,"Crítico",IF(H760&lt;=Inicio!$B$17,"Observar","OK")))</f>
        <v/>
      </c>
      <c r="K760" s="52" t="n"/>
    </row>
    <row r="761">
      <c r="A761" s="52" t="n"/>
      <c r="B761" s="61">
        <f>IFERROR(VLOOKUP(A761,Clientes_PDV!$A$2:$J$250,2,FALSE),"")</f>
        <v/>
      </c>
      <c r="C761" s="61">
        <f>IFERROR(VLOOKUP(A761,Clientes_PDV!$A$2:$J$250,3,FALSE),"")</f>
        <v/>
      </c>
      <c r="D761" s="61">
        <f>IFERROR(VLOOKUP(A761,Clientes_PDV!$A$2:$J$250,4,FALSE),"")</f>
        <v/>
      </c>
      <c r="E761" s="52" t="n"/>
      <c r="F761" s="61">
        <f>IFERROR(VLOOKUP(E761,Maestro_SKU!$A$2:$P$500,2,FALSE),"")</f>
        <v/>
      </c>
      <c r="G761" s="52" t="n"/>
      <c r="H761" s="61">
        <f>IF(OR(G761="",E761=""),"",G761*IFERROR(VLOOKUP(E761,Maestro_SKU!$A$2:$P$500,12,FALSE),1))</f>
        <v/>
      </c>
      <c r="I761" s="53" t="n"/>
      <c r="J761" s="61">
        <f>IF(A761="","",IF(H761&lt;=Inicio!$B$16,"Crítico",IF(H761&lt;=Inicio!$B$17,"Observar","OK")))</f>
        <v/>
      </c>
      <c r="K761" s="52" t="n"/>
    </row>
    <row r="762">
      <c r="A762" s="52" t="n"/>
      <c r="B762" s="61">
        <f>IFERROR(VLOOKUP(A762,Clientes_PDV!$A$2:$J$250,2,FALSE),"")</f>
        <v/>
      </c>
      <c r="C762" s="61">
        <f>IFERROR(VLOOKUP(A762,Clientes_PDV!$A$2:$J$250,3,FALSE),"")</f>
        <v/>
      </c>
      <c r="D762" s="61">
        <f>IFERROR(VLOOKUP(A762,Clientes_PDV!$A$2:$J$250,4,FALSE),"")</f>
        <v/>
      </c>
      <c r="E762" s="52" t="n"/>
      <c r="F762" s="61">
        <f>IFERROR(VLOOKUP(E762,Maestro_SKU!$A$2:$P$500,2,FALSE),"")</f>
        <v/>
      </c>
      <c r="G762" s="52" t="n"/>
      <c r="H762" s="61">
        <f>IF(OR(G762="",E762=""),"",G762*IFERROR(VLOOKUP(E762,Maestro_SKU!$A$2:$P$500,12,FALSE),1))</f>
        <v/>
      </c>
      <c r="I762" s="53" t="n"/>
      <c r="J762" s="61">
        <f>IF(A762="","",IF(H762&lt;=Inicio!$B$16,"Crítico",IF(H762&lt;=Inicio!$B$17,"Observar","OK")))</f>
        <v/>
      </c>
      <c r="K762" s="52" t="n"/>
    </row>
    <row r="763">
      <c r="A763" s="52" t="n"/>
      <c r="B763" s="61">
        <f>IFERROR(VLOOKUP(A763,Clientes_PDV!$A$2:$J$250,2,FALSE),"")</f>
        <v/>
      </c>
      <c r="C763" s="61">
        <f>IFERROR(VLOOKUP(A763,Clientes_PDV!$A$2:$J$250,3,FALSE),"")</f>
        <v/>
      </c>
      <c r="D763" s="61">
        <f>IFERROR(VLOOKUP(A763,Clientes_PDV!$A$2:$J$250,4,FALSE),"")</f>
        <v/>
      </c>
      <c r="E763" s="52" t="n"/>
      <c r="F763" s="61">
        <f>IFERROR(VLOOKUP(E763,Maestro_SKU!$A$2:$P$500,2,FALSE),"")</f>
        <v/>
      </c>
      <c r="G763" s="52" t="n"/>
      <c r="H763" s="61">
        <f>IF(OR(G763="",E763=""),"",G763*IFERROR(VLOOKUP(E763,Maestro_SKU!$A$2:$P$500,12,FALSE),1))</f>
        <v/>
      </c>
      <c r="I763" s="53" t="n"/>
      <c r="J763" s="61">
        <f>IF(A763="","",IF(H763&lt;=Inicio!$B$16,"Crítico",IF(H763&lt;=Inicio!$B$17,"Observar","OK")))</f>
        <v/>
      </c>
      <c r="K763" s="52" t="n"/>
    </row>
    <row r="764">
      <c r="A764" s="52" t="n"/>
      <c r="B764" s="61">
        <f>IFERROR(VLOOKUP(A764,Clientes_PDV!$A$2:$J$250,2,FALSE),"")</f>
        <v/>
      </c>
      <c r="C764" s="61">
        <f>IFERROR(VLOOKUP(A764,Clientes_PDV!$A$2:$J$250,3,FALSE),"")</f>
        <v/>
      </c>
      <c r="D764" s="61">
        <f>IFERROR(VLOOKUP(A764,Clientes_PDV!$A$2:$J$250,4,FALSE),"")</f>
        <v/>
      </c>
      <c r="E764" s="52" t="n"/>
      <c r="F764" s="61">
        <f>IFERROR(VLOOKUP(E764,Maestro_SKU!$A$2:$P$500,2,FALSE),"")</f>
        <v/>
      </c>
      <c r="G764" s="52" t="n"/>
      <c r="H764" s="61">
        <f>IF(OR(G764="",E764=""),"",G764*IFERROR(VLOOKUP(E764,Maestro_SKU!$A$2:$P$500,12,FALSE),1))</f>
        <v/>
      </c>
      <c r="I764" s="53" t="n"/>
      <c r="J764" s="61">
        <f>IF(A764="","",IF(H764&lt;=Inicio!$B$16,"Crítico",IF(H764&lt;=Inicio!$B$17,"Observar","OK")))</f>
        <v/>
      </c>
      <c r="K764" s="52" t="n"/>
    </row>
    <row r="765">
      <c r="A765" s="52" t="n"/>
      <c r="B765" s="61">
        <f>IFERROR(VLOOKUP(A765,Clientes_PDV!$A$2:$J$250,2,FALSE),"")</f>
        <v/>
      </c>
      <c r="C765" s="61">
        <f>IFERROR(VLOOKUP(A765,Clientes_PDV!$A$2:$J$250,3,FALSE),"")</f>
        <v/>
      </c>
      <c r="D765" s="61">
        <f>IFERROR(VLOOKUP(A765,Clientes_PDV!$A$2:$J$250,4,FALSE),"")</f>
        <v/>
      </c>
      <c r="E765" s="52" t="n"/>
      <c r="F765" s="61">
        <f>IFERROR(VLOOKUP(E765,Maestro_SKU!$A$2:$P$500,2,FALSE),"")</f>
        <v/>
      </c>
      <c r="G765" s="52" t="n"/>
      <c r="H765" s="61">
        <f>IF(OR(G765="",E765=""),"",G765*IFERROR(VLOOKUP(E765,Maestro_SKU!$A$2:$P$500,12,FALSE),1))</f>
        <v/>
      </c>
      <c r="I765" s="53" t="n"/>
      <c r="J765" s="61">
        <f>IF(A765="","",IF(H765&lt;=Inicio!$B$16,"Crítico",IF(H765&lt;=Inicio!$B$17,"Observar","OK")))</f>
        <v/>
      </c>
      <c r="K765" s="52" t="n"/>
    </row>
    <row r="766">
      <c r="A766" s="52" t="n"/>
      <c r="B766" s="61">
        <f>IFERROR(VLOOKUP(A766,Clientes_PDV!$A$2:$J$250,2,FALSE),"")</f>
        <v/>
      </c>
      <c r="C766" s="61">
        <f>IFERROR(VLOOKUP(A766,Clientes_PDV!$A$2:$J$250,3,FALSE),"")</f>
        <v/>
      </c>
      <c r="D766" s="61">
        <f>IFERROR(VLOOKUP(A766,Clientes_PDV!$A$2:$J$250,4,FALSE),"")</f>
        <v/>
      </c>
      <c r="E766" s="52" t="n"/>
      <c r="F766" s="61">
        <f>IFERROR(VLOOKUP(E766,Maestro_SKU!$A$2:$P$500,2,FALSE),"")</f>
        <v/>
      </c>
      <c r="G766" s="52" t="n"/>
      <c r="H766" s="61">
        <f>IF(OR(G766="",E766=""),"",G766*IFERROR(VLOOKUP(E766,Maestro_SKU!$A$2:$P$500,12,FALSE),1))</f>
        <v/>
      </c>
      <c r="I766" s="53" t="n"/>
      <c r="J766" s="61">
        <f>IF(A766="","",IF(H766&lt;=Inicio!$B$16,"Crítico",IF(H766&lt;=Inicio!$B$17,"Observar","OK")))</f>
        <v/>
      </c>
      <c r="K766" s="52" t="n"/>
    </row>
    <row r="767">
      <c r="A767" s="52" t="n"/>
      <c r="B767" s="61">
        <f>IFERROR(VLOOKUP(A767,Clientes_PDV!$A$2:$J$250,2,FALSE),"")</f>
        <v/>
      </c>
      <c r="C767" s="61">
        <f>IFERROR(VLOOKUP(A767,Clientes_PDV!$A$2:$J$250,3,FALSE),"")</f>
        <v/>
      </c>
      <c r="D767" s="61">
        <f>IFERROR(VLOOKUP(A767,Clientes_PDV!$A$2:$J$250,4,FALSE),"")</f>
        <v/>
      </c>
      <c r="E767" s="52" t="n"/>
      <c r="F767" s="61">
        <f>IFERROR(VLOOKUP(E767,Maestro_SKU!$A$2:$P$500,2,FALSE),"")</f>
        <v/>
      </c>
      <c r="G767" s="52" t="n"/>
      <c r="H767" s="61">
        <f>IF(OR(G767="",E767=""),"",G767*IFERROR(VLOOKUP(E767,Maestro_SKU!$A$2:$P$500,12,FALSE),1))</f>
        <v/>
      </c>
      <c r="I767" s="53" t="n"/>
      <c r="J767" s="61">
        <f>IF(A767="","",IF(H767&lt;=Inicio!$B$16,"Crítico",IF(H767&lt;=Inicio!$B$17,"Observar","OK")))</f>
        <v/>
      </c>
      <c r="K767" s="52" t="n"/>
    </row>
    <row r="768">
      <c r="A768" s="52" t="n"/>
      <c r="B768" s="61">
        <f>IFERROR(VLOOKUP(A768,Clientes_PDV!$A$2:$J$250,2,FALSE),"")</f>
        <v/>
      </c>
      <c r="C768" s="61">
        <f>IFERROR(VLOOKUP(A768,Clientes_PDV!$A$2:$J$250,3,FALSE),"")</f>
        <v/>
      </c>
      <c r="D768" s="61">
        <f>IFERROR(VLOOKUP(A768,Clientes_PDV!$A$2:$J$250,4,FALSE),"")</f>
        <v/>
      </c>
      <c r="E768" s="52" t="n"/>
      <c r="F768" s="61">
        <f>IFERROR(VLOOKUP(E768,Maestro_SKU!$A$2:$P$500,2,FALSE),"")</f>
        <v/>
      </c>
      <c r="G768" s="52" t="n"/>
      <c r="H768" s="61">
        <f>IF(OR(G768="",E768=""),"",G768*IFERROR(VLOOKUP(E768,Maestro_SKU!$A$2:$P$500,12,FALSE),1))</f>
        <v/>
      </c>
      <c r="I768" s="53" t="n"/>
      <c r="J768" s="61">
        <f>IF(A768="","",IF(H768&lt;=Inicio!$B$16,"Crítico",IF(H768&lt;=Inicio!$B$17,"Observar","OK")))</f>
        <v/>
      </c>
      <c r="K768" s="52" t="n"/>
    </row>
    <row r="769">
      <c r="A769" s="52" t="n"/>
      <c r="B769" s="61">
        <f>IFERROR(VLOOKUP(A769,Clientes_PDV!$A$2:$J$250,2,FALSE),"")</f>
        <v/>
      </c>
      <c r="C769" s="61">
        <f>IFERROR(VLOOKUP(A769,Clientes_PDV!$A$2:$J$250,3,FALSE),"")</f>
        <v/>
      </c>
      <c r="D769" s="61">
        <f>IFERROR(VLOOKUP(A769,Clientes_PDV!$A$2:$J$250,4,FALSE),"")</f>
        <v/>
      </c>
      <c r="E769" s="52" t="n"/>
      <c r="F769" s="61">
        <f>IFERROR(VLOOKUP(E769,Maestro_SKU!$A$2:$P$500,2,FALSE),"")</f>
        <v/>
      </c>
      <c r="G769" s="52" t="n"/>
      <c r="H769" s="61">
        <f>IF(OR(G769="",E769=""),"",G769*IFERROR(VLOOKUP(E769,Maestro_SKU!$A$2:$P$500,12,FALSE),1))</f>
        <v/>
      </c>
      <c r="I769" s="53" t="n"/>
      <c r="J769" s="61">
        <f>IF(A769="","",IF(H769&lt;=Inicio!$B$16,"Crítico",IF(H769&lt;=Inicio!$B$17,"Observar","OK")))</f>
        <v/>
      </c>
      <c r="K769" s="52" t="n"/>
    </row>
    <row r="770">
      <c r="A770" s="52" t="n"/>
      <c r="B770" s="61">
        <f>IFERROR(VLOOKUP(A770,Clientes_PDV!$A$2:$J$250,2,FALSE),"")</f>
        <v/>
      </c>
      <c r="C770" s="61">
        <f>IFERROR(VLOOKUP(A770,Clientes_PDV!$A$2:$J$250,3,FALSE),"")</f>
        <v/>
      </c>
      <c r="D770" s="61">
        <f>IFERROR(VLOOKUP(A770,Clientes_PDV!$A$2:$J$250,4,FALSE),"")</f>
        <v/>
      </c>
      <c r="E770" s="52" t="n"/>
      <c r="F770" s="61">
        <f>IFERROR(VLOOKUP(E770,Maestro_SKU!$A$2:$P$500,2,FALSE),"")</f>
        <v/>
      </c>
      <c r="G770" s="52" t="n"/>
      <c r="H770" s="61">
        <f>IF(OR(G770="",E770=""),"",G770*IFERROR(VLOOKUP(E770,Maestro_SKU!$A$2:$P$500,12,FALSE),1))</f>
        <v/>
      </c>
      <c r="I770" s="53" t="n"/>
      <c r="J770" s="61">
        <f>IF(A770="","",IF(H770&lt;=Inicio!$B$16,"Crítico",IF(H770&lt;=Inicio!$B$17,"Observar","OK")))</f>
        <v/>
      </c>
      <c r="K770" s="52" t="n"/>
    </row>
    <row r="771">
      <c r="A771" s="52" t="n"/>
      <c r="B771" s="61">
        <f>IFERROR(VLOOKUP(A771,Clientes_PDV!$A$2:$J$250,2,FALSE),"")</f>
        <v/>
      </c>
      <c r="C771" s="61">
        <f>IFERROR(VLOOKUP(A771,Clientes_PDV!$A$2:$J$250,3,FALSE),"")</f>
        <v/>
      </c>
      <c r="D771" s="61">
        <f>IFERROR(VLOOKUP(A771,Clientes_PDV!$A$2:$J$250,4,FALSE),"")</f>
        <v/>
      </c>
      <c r="E771" s="52" t="n"/>
      <c r="F771" s="61">
        <f>IFERROR(VLOOKUP(E771,Maestro_SKU!$A$2:$P$500,2,FALSE),"")</f>
        <v/>
      </c>
      <c r="G771" s="52" t="n"/>
      <c r="H771" s="61">
        <f>IF(OR(G771="",E771=""),"",G771*IFERROR(VLOOKUP(E771,Maestro_SKU!$A$2:$P$500,12,FALSE),1))</f>
        <v/>
      </c>
      <c r="I771" s="53" t="n"/>
      <c r="J771" s="61">
        <f>IF(A771="","",IF(H771&lt;=Inicio!$B$16,"Crítico",IF(H771&lt;=Inicio!$B$17,"Observar","OK")))</f>
        <v/>
      </c>
      <c r="K771" s="52" t="n"/>
    </row>
    <row r="772">
      <c r="A772" s="52" t="n"/>
      <c r="B772" s="61">
        <f>IFERROR(VLOOKUP(A772,Clientes_PDV!$A$2:$J$250,2,FALSE),"")</f>
        <v/>
      </c>
      <c r="C772" s="61">
        <f>IFERROR(VLOOKUP(A772,Clientes_PDV!$A$2:$J$250,3,FALSE),"")</f>
        <v/>
      </c>
      <c r="D772" s="61">
        <f>IFERROR(VLOOKUP(A772,Clientes_PDV!$A$2:$J$250,4,FALSE),"")</f>
        <v/>
      </c>
      <c r="E772" s="52" t="n"/>
      <c r="F772" s="61">
        <f>IFERROR(VLOOKUP(E772,Maestro_SKU!$A$2:$P$500,2,FALSE),"")</f>
        <v/>
      </c>
      <c r="G772" s="52" t="n"/>
      <c r="H772" s="61">
        <f>IF(OR(G772="",E772=""),"",G772*IFERROR(VLOOKUP(E772,Maestro_SKU!$A$2:$P$500,12,FALSE),1))</f>
        <v/>
      </c>
      <c r="I772" s="53" t="n"/>
      <c r="J772" s="61">
        <f>IF(A772="","",IF(H772&lt;=Inicio!$B$16,"Crítico",IF(H772&lt;=Inicio!$B$17,"Observar","OK")))</f>
        <v/>
      </c>
      <c r="K772" s="52" t="n"/>
    </row>
    <row r="773">
      <c r="A773" s="52" t="n"/>
      <c r="B773" s="61">
        <f>IFERROR(VLOOKUP(A773,Clientes_PDV!$A$2:$J$250,2,FALSE),"")</f>
        <v/>
      </c>
      <c r="C773" s="61">
        <f>IFERROR(VLOOKUP(A773,Clientes_PDV!$A$2:$J$250,3,FALSE),"")</f>
        <v/>
      </c>
      <c r="D773" s="61">
        <f>IFERROR(VLOOKUP(A773,Clientes_PDV!$A$2:$J$250,4,FALSE),"")</f>
        <v/>
      </c>
      <c r="E773" s="52" t="n"/>
      <c r="F773" s="61">
        <f>IFERROR(VLOOKUP(E773,Maestro_SKU!$A$2:$P$500,2,FALSE),"")</f>
        <v/>
      </c>
      <c r="G773" s="52" t="n"/>
      <c r="H773" s="61">
        <f>IF(OR(G773="",E773=""),"",G773*IFERROR(VLOOKUP(E773,Maestro_SKU!$A$2:$P$500,12,FALSE),1))</f>
        <v/>
      </c>
      <c r="I773" s="53" t="n"/>
      <c r="J773" s="61">
        <f>IF(A773="","",IF(H773&lt;=Inicio!$B$16,"Crítico",IF(H773&lt;=Inicio!$B$17,"Observar","OK")))</f>
        <v/>
      </c>
      <c r="K773" s="52" t="n"/>
    </row>
    <row r="774">
      <c r="A774" s="52" t="n"/>
      <c r="B774" s="61">
        <f>IFERROR(VLOOKUP(A774,Clientes_PDV!$A$2:$J$250,2,FALSE),"")</f>
        <v/>
      </c>
      <c r="C774" s="61">
        <f>IFERROR(VLOOKUP(A774,Clientes_PDV!$A$2:$J$250,3,FALSE),"")</f>
        <v/>
      </c>
      <c r="D774" s="61">
        <f>IFERROR(VLOOKUP(A774,Clientes_PDV!$A$2:$J$250,4,FALSE),"")</f>
        <v/>
      </c>
      <c r="E774" s="52" t="n"/>
      <c r="F774" s="61">
        <f>IFERROR(VLOOKUP(E774,Maestro_SKU!$A$2:$P$500,2,FALSE),"")</f>
        <v/>
      </c>
      <c r="G774" s="52" t="n"/>
      <c r="H774" s="61">
        <f>IF(OR(G774="",E774=""),"",G774*IFERROR(VLOOKUP(E774,Maestro_SKU!$A$2:$P$500,12,FALSE),1))</f>
        <v/>
      </c>
      <c r="I774" s="53" t="n"/>
      <c r="J774" s="61">
        <f>IF(A774="","",IF(H774&lt;=Inicio!$B$16,"Crítico",IF(H774&lt;=Inicio!$B$17,"Observar","OK")))</f>
        <v/>
      </c>
      <c r="K774" s="52" t="n"/>
    </row>
    <row r="775">
      <c r="A775" s="52" t="n"/>
      <c r="B775" s="61">
        <f>IFERROR(VLOOKUP(A775,Clientes_PDV!$A$2:$J$250,2,FALSE),"")</f>
        <v/>
      </c>
      <c r="C775" s="61">
        <f>IFERROR(VLOOKUP(A775,Clientes_PDV!$A$2:$J$250,3,FALSE),"")</f>
        <v/>
      </c>
      <c r="D775" s="61">
        <f>IFERROR(VLOOKUP(A775,Clientes_PDV!$A$2:$J$250,4,FALSE),"")</f>
        <v/>
      </c>
      <c r="E775" s="52" t="n"/>
      <c r="F775" s="61">
        <f>IFERROR(VLOOKUP(E775,Maestro_SKU!$A$2:$P$500,2,FALSE),"")</f>
        <v/>
      </c>
      <c r="G775" s="52" t="n"/>
      <c r="H775" s="61">
        <f>IF(OR(G775="",E775=""),"",G775*IFERROR(VLOOKUP(E775,Maestro_SKU!$A$2:$P$500,12,FALSE),1))</f>
        <v/>
      </c>
      <c r="I775" s="53" t="n"/>
      <c r="J775" s="61">
        <f>IF(A775="","",IF(H775&lt;=Inicio!$B$16,"Crítico",IF(H775&lt;=Inicio!$B$17,"Observar","OK")))</f>
        <v/>
      </c>
      <c r="K775" s="52" t="n"/>
    </row>
    <row r="776">
      <c r="A776" s="52" t="n"/>
      <c r="B776" s="61">
        <f>IFERROR(VLOOKUP(A776,Clientes_PDV!$A$2:$J$250,2,FALSE),"")</f>
        <v/>
      </c>
      <c r="C776" s="61">
        <f>IFERROR(VLOOKUP(A776,Clientes_PDV!$A$2:$J$250,3,FALSE),"")</f>
        <v/>
      </c>
      <c r="D776" s="61">
        <f>IFERROR(VLOOKUP(A776,Clientes_PDV!$A$2:$J$250,4,FALSE),"")</f>
        <v/>
      </c>
      <c r="E776" s="52" t="n"/>
      <c r="F776" s="61">
        <f>IFERROR(VLOOKUP(E776,Maestro_SKU!$A$2:$P$500,2,FALSE),"")</f>
        <v/>
      </c>
      <c r="G776" s="52" t="n"/>
      <c r="H776" s="61">
        <f>IF(OR(G776="",E776=""),"",G776*IFERROR(VLOOKUP(E776,Maestro_SKU!$A$2:$P$500,12,FALSE),1))</f>
        <v/>
      </c>
      <c r="I776" s="53" t="n"/>
      <c r="J776" s="61">
        <f>IF(A776="","",IF(H776&lt;=Inicio!$B$16,"Crítico",IF(H776&lt;=Inicio!$B$17,"Observar","OK")))</f>
        <v/>
      </c>
      <c r="K776" s="52" t="n"/>
    </row>
    <row r="777">
      <c r="A777" s="52" t="n"/>
      <c r="B777" s="61">
        <f>IFERROR(VLOOKUP(A777,Clientes_PDV!$A$2:$J$250,2,FALSE),"")</f>
        <v/>
      </c>
      <c r="C777" s="61">
        <f>IFERROR(VLOOKUP(A777,Clientes_PDV!$A$2:$J$250,3,FALSE),"")</f>
        <v/>
      </c>
      <c r="D777" s="61">
        <f>IFERROR(VLOOKUP(A777,Clientes_PDV!$A$2:$J$250,4,FALSE),"")</f>
        <v/>
      </c>
      <c r="E777" s="52" t="n"/>
      <c r="F777" s="61">
        <f>IFERROR(VLOOKUP(E777,Maestro_SKU!$A$2:$P$500,2,FALSE),"")</f>
        <v/>
      </c>
      <c r="G777" s="52" t="n"/>
      <c r="H777" s="61">
        <f>IF(OR(G777="",E777=""),"",G777*IFERROR(VLOOKUP(E777,Maestro_SKU!$A$2:$P$500,12,FALSE),1))</f>
        <v/>
      </c>
      <c r="I777" s="53" t="n"/>
      <c r="J777" s="61">
        <f>IF(A777="","",IF(H777&lt;=Inicio!$B$16,"Crítico",IF(H777&lt;=Inicio!$B$17,"Observar","OK")))</f>
        <v/>
      </c>
      <c r="K777" s="52" t="n"/>
    </row>
    <row r="778">
      <c r="A778" s="52" t="n"/>
      <c r="B778" s="61">
        <f>IFERROR(VLOOKUP(A778,Clientes_PDV!$A$2:$J$250,2,FALSE),"")</f>
        <v/>
      </c>
      <c r="C778" s="61">
        <f>IFERROR(VLOOKUP(A778,Clientes_PDV!$A$2:$J$250,3,FALSE),"")</f>
        <v/>
      </c>
      <c r="D778" s="61">
        <f>IFERROR(VLOOKUP(A778,Clientes_PDV!$A$2:$J$250,4,FALSE),"")</f>
        <v/>
      </c>
      <c r="E778" s="52" t="n"/>
      <c r="F778" s="61">
        <f>IFERROR(VLOOKUP(E778,Maestro_SKU!$A$2:$P$500,2,FALSE),"")</f>
        <v/>
      </c>
      <c r="G778" s="52" t="n"/>
      <c r="H778" s="61">
        <f>IF(OR(G778="",E778=""),"",G778*IFERROR(VLOOKUP(E778,Maestro_SKU!$A$2:$P$500,12,FALSE),1))</f>
        <v/>
      </c>
      <c r="I778" s="53" t="n"/>
      <c r="J778" s="61">
        <f>IF(A778="","",IF(H778&lt;=Inicio!$B$16,"Crítico",IF(H778&lt;=Inicio!$B$17,"Observar","OK")))</f>
        <v/>
      </c>
      <c r="K778" s="52" t="n"/>
    </row>
    <row r="779">
      <c r="A779" s="52" t="n"/>
      <c r="B779" s="61">
        <f>IFERROR(VLOOKUP(A779,Clientes_PDV!$A$2:$J$250,2,FALSE),"")</f>
        <v/>
      </c>
      <c r="C779" s="61">
        <f>IFERROR(VLOOKUP(A779,Clientes_PDV!$A$2:$J$250,3,FALSE),"")</f>
        <v/>
      </c>
      <c r="D779" s="61">
        <f>IFERROR(VLOOKUP(A779,Clientes_PDV!$A$2:$J$250,4,FALSE),"")</f>
        <v/>
      </c>
      <c r="E779" s="52" t="n"/>
      <c r="F779" s="61">
        <f>IFERROR(VLOOKUP(E779,Maestro_SKU!$A$2:$P$500,2,FALSE),"")</f>
        <v/>
      </c>
      <c r="G779" s="52" t="n"/>
      <c r="H779" s="61">
        <f>IF(OR(G779="",E779=""),"",G779*IFERROR(VLOOKUP(E779,Maestro_SKU!$A$2:$P$500,12,FALSE),1))</f>
        <v/>
      </c>
      <c r="I779" s="53" t="n"/>
      <c r="J779" s="61">
        <f>IF(A779="","",IF(H779&lt;=Inicio!$B$16,"Crítico",IF(H779&lt;=Inicio!$B$17,"Observar","OK")))</f>
        <v/>
      </c>
      <c r="K779" s="52" t="n"/>
    </row>
    <row r="780">
      <c r="A780" s="52" t="n"/>
      <c r="B780" s="61">
        <f>IFERROR(VLOOKUP(A780,Clientes_PDV!$A$2:$J$250,2,FALSE),"")</f>
        <v/>
      </c>
      <c r="C780" s="61">
        <f>IFERROR(VLOOKUP(A780,Clientes_PDV!$A$2:$J$250,3,FALSE),"")</f>
        <v/>
      </c>
      <c r="D780" s="61">
        <f>IFERROR(VLOOKUP(A780,Clientes_PDV!$A$2:$J$250,4,FALSE),"")</f>
        <v/>
      </c>
      <c r="E780" s="52" t="n"/>
      <c r="F780" s="61">
        <f>IFERROR(VLOOKUP(E780,Maestro_SKU!$A$2:$P$500,2,FALSE),"")</f>
        <v/>
      </c>
      <c r="G780" s="52" t="n"/>
      <c r="H780" s="61">
        <f>IF(OR(G780="",E780=""),"",G780*IFERROR(VLOOKUP(E780,Maestro_SKU!$A$2:$P$500,12,FALSE),1))</f>
        <v/>
      </c>
      <c r="I780" s="53" t="n"/>
      <c r="J780" s="61">
        <f>IF(A780="","",IF(H780&lt;=Inicio!$B$16,"Crítico",IF(H780&lt;=Inicio!$B$17,"Observar","OK")))</f>
        <v/>
      </c>
      <c r="K780" s="52" t="n"/>
    </row>
    <row r="781">
      <c r="A781" s="52" t="n"/>
      <c r="B781" s="61">
        <f>IFERROR(VLOOKUP(A781,Clientes_PDV!$A$2:$J$250,2,FALSE),"")</f>
        <v/>
      </c>
      <c r="C781" s="61">
        <f>IFERROR(VLOOKUP(A781,Clientes_PDV!$A$2:$J$250,3,FALSE),"")</f>
        <v/>
      </c>
      <c r="D781" s="61">
        <f>IFERROR(VLOOKUP(A781,Clientes_PDV!$A$2:$J$250,4,FALSE),"")</f>
        <v/>
      </c>
      <c r="E781" s="52" t="n"/>
      <c r="F781" s="61">
        <f>IFERROR(VLOOKUP(E781,Maestro_SKU!$A$2:$P$500,2,FALSE),"")</f>
        <v/>
      </c>
      <c r="G781" s="52" t="n"/>
      <c r="H781" s="61">
        <f>IF(OR(G781="",E781=""),"",G781*IFERROR(VLOOKUP(E781,Maestro_SKU!$A$2:$P$500,12,FALSE),1))</f>
        <v/>
      </c>
      <c r="I781" s="53" t="n"/>
      <c r="J781" s="61">
        <f>IF(A781="","",IF(H781&lt;=Inicio!$B$16,"Crítico",IF(H781&lt;=Inicio!$B$17,"Observar","OK")))</f>
        <v/>
      </c>
      <c r="K781" s="52" t="n"/>
    </row>
    <row r="782">
      <c r="A782" s="52" t="n"/>
      <c r="B782" s="61">
        <f>IFERROR(VLOOKUP(A782,Clientes_PDV!$A$2:$J$250,2,FALSE),"")</f>
        <v/>
      </c>
      <c r="C782" s="61">
        <f>IFERROR(VLOOKUP(A782,Clientes_PDV!$A$2:$J$250,3,FALSE),"")</f>
        <v/>
      </c>
      <c r="D782" s="61">
        <f>IFERROR(VLOOKUP(A782,Clientes_PDV!$A$2:$J$250,4,FALSE),"")</f>
        <v/>
      </c>
      <c r="E782" s="52" t="n"/>
      <c r="F782" s="61">
        <f>IFERROR(VLOOKUP(E782,Maestro_SKU!$A$2:$P$500,2,FALSE),"")</f>
        <v/>
      </c>
      <c r="G782" s="52" t="n"/>
      <c r="H782" s="61">
        <f>IF(OR(G782="",E782=""),"",G782*IFERROR(VLOOKUP(E782,Maestro_SKU!$A$2:$P$500,12,FALSE),1))</f>
        <v/>
      </c>
      <c r="I782" s="53" t="n"/>
      <c r="J782" s="61">
        <f>IF(A782="","",IF(H782&lt;=Inicio!$B$16,"Crítico",IF(H782&lt;=Inicio!$B$17,"Observar","OK")))</f>
        <v/>
      </c>
      <c r="K782" s="52" t="n"/>
    </row>
    <row r="783">
      <c r="A783" s="52" t="n"/>
      <c r="B783" s="61">
        <f>IFERROR(VLOOKUP(A783,Clientes_PDV!$A$2:$J$250,2,FALSE),"")</f>
        <v/>
      </c>
      <c r="C783" s="61">
        <f>IFERROR(VLOOKUP(A783,Clientes_PDV!$A$2:$J$250,3,FALSE),"")</f>
        <v/>
      </c>
      <c r="D783" s="61">
        <f>IFERROR(VLOOKUP(A783,Clientes_PDV!$A$2:$J$250,4,FALSE),"")</f>
        <v/>
      </c>
      <c r="E783" s="52" t="n"/>
      <c r="F783" s="61">
        <f>IFERROR(VLOOKUP(E783,Maestro_SKU!$A$2:$P$500,2,FALSE),"")</f>
        <v/>
      </c>
      <c r="G783" s="52" t="n"/>
      <c r="H783" s="61">
        <f>IF(OR(G783="",E783=""),"",G783*IFERROR(VLOOKUP(E783,Maestro_SKU!$A$2:$P$500,12,FALSE),1))</f>
        <v/>
      </c>
      <c r="I783" s="53" t="n"/>
      <c r="J783" s="61">
        <f>IF(A783="","",IF(H783&lt;=Inicio!$B$16,"Crítico",IF(H783&lt;=Inicio!$B$17,"Observar","OK")))</f>
        <v/>
      </c>
      <c r="K783" s="52" t="n"/>
    </row>
    <row r="784">
      <c r="A784" s="52" t="n"/>
      <c r="B784" s="61">
        <f>IFERROR(VLOOKUP(A784,Clientes_PDV!$A$2:$J$250,2,FALSE),"")</f>
        <v/>
      </c>
      <c r="C784" s="61">
        <f>IFERROR(VLOOKUP(A784,Clientes_PDV!$A$2:$J$250,3,FALSE),"")</f>
        <v/>
      </c>
      <c r="D784" s="61">
        <f>IFERROR(VLOOKUP(A784,Clientes_PDV!$A$2:$J$250,4,FALSE),"")</f>
        <v/>
      </c>
      <c r="E784" s="52" t="n"/>
      <c r="F784" s="61">
        <f>IFERROR(VLOOKUP(E784,Maestro_SKU!$A$2:$P$500,2,FALSE),"")</f>
        <v/>
      </c>
      <c r="G784" s="52" t="n"/>
      <c r="H784" s="61">
        <f>IF(OR(G784="",E784=""),"",G784*IFERROR(VLOOKUP(E784,Maestro_SKU!$A$2:$P$500,12,FALSE),1))</f>
        <v/>
      </c>
      <c r="I784" s="53" t="n"/>
      <c r="J784" s="61">
        <f>IF(A784="","",IF(H784&lt;=Inicio!$B$16,"Crítico",IF(H784&lt;=Inicio!$B$17,"Observar","OK")))</f>
        <v/>
      </c>
      <c r="K784" s="52" t="n"/>
    </row>
    <row r="785">
      <c r="A785" s="52" t="n"/>
      <c r="B785" s="61">
        <f>IFERROR(VLOOKUP(A785,Clientes_PDV!$A$2:$J$250,2,FALSE),"")</f>
        <v/>
      </c>
      <c r="C785" s="61">
        <f>IFERROR(VLOOKUP(A785,Clientes_PDV!$A$2:$J$250,3,FALSE),"")</f>
        <v/>
      </c>
      <c r="D785" s="61">
        <f>IFERROR(VLOOKUP(A785,Clientes_PDV!$A$2:$J$250,4,FALSE),"")</f>
        <v/>
      </c>
      <c r="E785" s="52" t="n"/>
      <c r="F785" s="61">
        <f>IFERROR(VLOOKUP(E785,Maestro_SKU!$A$2:$P$500,2,FALSE),"")</f>
        <v/>
      </c>
      <c r="G785" s="52" t="n"/>
      <c r="H785" s="61">
        <f>IF(OR(G785="",E785=""),"",G785*IFERROR(VLOOKUP(E785,Maestro_SKU!$A$2:$P$500,12,FALSE),1))</f>
        <v/>
      </c>
      <c r="I785" s="53" t="n"/>
      <c r="J785" s="61">
        <f>IF(A785="","",IF(H785&lt;=Inicio!$B$16,"Crítico",IF(H785&lt;=Inicio!$B$17,"Observar","OK")))</f>
        <v/>
      </c>
      <c r="K785" s="52" t="n"/>
    </row>
    <row r="786">
      <c r="A786" s="52" t="n"/>
      <c r="B786" s="61">
        <f>IFERROR(VLOOKUP(A786,Clientes_PDV!$A$2:$J$250,2,FALSE),"")</f>
        <v/>
      </c>
      <c r="C786" s="61">
        <f>IFERROR(VLOOKUP(A786,Clientes_PDV!$A$2:$J$250,3,FALSE),"")</f>
        <v/>
      </c>
      <c r="D786" s="61">
        <f>IFERROR(VLOOKUP(A786,Clientes_PDV!$A$2:$J$250,4,FALSE),"")</f>
        <v/>
      </c>
      <c r="E786" s="52" t="n"/>
      <c r="F786" s="61">
        <f>IFERROR(VLOOKUP(E786,Maestro_SKU!$A$2:$P$500,2,FALSE),"")</f>
        <v/>
      </c>
      <c r="G786" s="52" t="n"/>
      <c r="H786" s="61">
        <f>IF(OR(G786="",E786=""),"",G786*IFERROR(VLOOKUP(E786,Maestro_SKU!$A$2:$P$500,12,FALSE),1))</f>
        <v/>
      </c>
      <c r="I786" s="53" t="n"/>
      <c r="J786" s="61">
        <f>IF(A786="","",IF(H786&lt;=Inicio!$B$16,"Crítico",IF(H786&lt;=Inicio!$B$17,"Observar","OK")))</f>
        <v/>
      </c>
      <c r="K786" s="52" t="n"/>
    </row>
    <row r="787">
      <c r="A787" s="52" t="n"/>
      <c r="B787" s="61">
        <f>IFERROR(VLOOKUP(A787,Clientes_PDV!$A$2:$J$250,2,FALSE),"")</f>
        <v/>
      </c>
      <c r="C787" s="61">
        <f>IFERROR(VLOOKUP(A787,Clientes_PDV!$A$2:$J$250,3,FALSE),"")</f>
        <v/>
      </c>
      <c r="D787" s="61">
        <f>IFERROR(VLOOKUP(A787,Clientes_PDV!$A$2:$J$250,4,FALSE),"")</f>
        <v/>
      </c>
      <c r="E787" s="52" t="n"/>
      <c r="F787" s="61">
        <f>IFERROR(VLOOKUP(E787,Maestro_SKU!$A$2:$P$500,2,FALSE),"")</f>
        <v/>
      </c>
      <c r="G787" s="52" t="n"/>
      <c r="H787" s="61">
        <f>IF(OR(G787="",E787=""),"",G787*IFERROR(VLOOKUP(E787,Maestro_SKU!$A$2:$P$500,12,FALSE),1))</f>
        <v/>
      </c>
      <c r="I787" s="53" t="n"/>
      <c r="J787" s="61">
        <f>IF(A787="","",IF(H787&lt;=Inicio!$B$16,"Crítico",IF(H787&lt;=Inicio!$B$17,"Observar","OK")))</f>
        <v/>
      </c>
      <c r="K787" s="52" t="n"/>
    </row>
    <row r="788">
      <c r="A788" s="52" t="n"/>
      <c r="B788" s="61">
        <f>IFERROR(VLOOKUP(A788,Clientes_PDV!$A$2:$J$250,2,FALSE),"")</f>
        <v/>
      </c>
      <c r="C788" s="61">
        <f>IFERROR(VLOOKUP(A788,Clientes_PDV!$A$2:$J$250,3,FALSE),"")</f>
        <v/>
      </c>
      <c r="D788" s="61">
        <f>IFERROR(VLOOKUP(A788,Clientes_PDV!$A$2:$J$250,4,FALSE),"")</f>
        <v/>
      </c>
      <c r="E788" s="52" t="n"/>
      <c r="F788" s="61">
        <f>IFERROR(VLOOKUP(E788,Maestro_SKU!$A$2:$P$500,2,FALSE),"")</f>
        <v/>
      </c>
      <c r="G788" s="52" t="n"/>
      <c r="H788" s="61">
        <f>IF(OR(G788="",E788=""),"",G788*IFERROR(VLOOKUP(E788,Maestro_SKU!$A$2:$P$500,12,FALSE),1))</f>
        <v/>
      </c>
      <c r="I788" s="53" t="n"/>
      <c r="J788" s="61">
        <f>IF(A788="","",IF(H788&lt;=Inicio!$B$16,"Crítico",IF(H788&lt;=Inicio!$B$17,"Observar","OK")))</f>
        <v/>
      </c>
      <c r="K788" s="52" t="n"/>
    </row>
    <row r="789">
      <c r="A789" s="52" t="n"/>
      <c r="B789" s="61">
        <f>IFERROR(VLOOKUP(A789,Clientes_PDV!$A$2:$J$250,2,FALSE),"")</f>
        <v/>
      </c>
      <c r="C789" s="61">
        <f>IFERROR(VLOOKUP(A789,Clientes_PDV!$A$2:$J$250,3,FALSE),"")</f>
        <v/>
      </c>
      <c r="D789" s="61">
        <f>IFERROR(VLOOKUP(A789,Clientes_PDV!$A$2:$J$250,4,FALSE),"")</f>
        <v/>
      </c>
      <c r="E789" s="52" t="n"/>
      <c r="F789" s="61">
        <f>IFERROR(VLOOKUP(E789,Maestro_SKU!$A$2:$P$500,2,FALSE),"")</f>
        <v/>
      </c>
      <c r="G789" s="52" t="n"/>
      <c r="H789" s="61">
        <f>IF(OR(G789="",E789=""),"",G789*IFERROR(VLOOKUP(E789,Maestro_SKU!$A$2:$P$500,12,FALSE),1))</f>
        <v/>
      </c>
      <c r="I789" s="53" t="n"/>
      <c r="J789" s="61">
        <f>IF(A789="","",IF(H789&lt;=Inicio!$B$16,"Crítico",IF(H789&lt;=Inicio!$B$17,"Observar","OK")))</f>
        <v/>
      </c>
      <c r="K789" s="52" t="n"/>
    </row>
    <row r="790">
      <c r="A790" s="52" t="n"/>
      <c r="B790" s="61">
        <f>IFERROR(VLOOKUP(A790,Clientes_PDV!$A$2:$J$250,2,FALSE),"")</f>
        <v/>
      </c>
      <c r="C790" s="61">
        <f>IFERROR(VLOOKUP(A790,Clientes_PDV!$A$2:$J$250,3,FALSE),"")</f>
        <v/>
      </c>
      <c r="D790" s="61">
        <f>IFERROR(VLOOKUP(A790,Clientes_PDV!$A$2:$J$250,4,FALSE),"")</f>
        <v/>
      </c>
      <c r="E790" s="52" t="n"/>
      <c r="F790" s="61">
        <f>IFERROR(VLOOKUP(E790,Maestro_SKU!$A$2:$P$500,2,FALSE),"")</f>
        <v/>
      </c>
      <c r="G790" s="52" t="n"/>
      <c r="H790" s="61">
        <f>IF(OR(G790="",E790=""),"",G790*IFERROR(VLOOKUP(E790,Maestro_SKU!$A$2:$P$500,12,FALSE),1))</f>
        <v/>
      </c>
      <c r="I790" s="53" t="n"/>
      <c r="J790" s="61">
        <f>IF(A790="","",IF(H790&lt;=Inicio!$B$16,"Crítico",IF(H790&lt;=Inicio!$B$17,"Observar","OK")))</f>
        <v/>
      </c>
      <c r="K790" s="52" t="n"/>
    </row>
    <row r="791">
      <c r="A791" s="52" t="n"/>
      <c r="B791" s="61">
        <f>IFERROR(VLOOKUP(A791,Clientes_PDV!$A$2:$J$250,2,FALSE),"")</f>
        <v/>
      </c>
      <c r="C791" s="61">
        <f>IFERROR(VLOOKUP(A791,Clientes_PDV!$A$2:$J$250,3,FALSE),"")</f>
        <v/>
      </c>
      <c r="D791" s="61">
        <f>IFERROR(VLOOKUP(A791,Clientes_PDV!$A$2:$J$250,4,FALSE),"")</f>
        <v/>
      </c>
      <c r="E791" s="52" t="n"/>
      <c r="F791" s="61">
        <f>IFERROR(VLOOKUP(E791,Maestro_SKU!$A$2:$P$500,2,FALSE),"")</f>
        <v/>
      </c>
      <c r="G791" s="52" t="n"/>
      <c r="H791" s="61">
        <f>IF(OR(G791="",E791=""),"",G791*IFERROR(VLOOKUP(E791,Maestro_SKU!$A$2:$P$500,12,FALSE),1))</f>
        <v/>
      </c>
      <c r="I791" s="53" t="n"/>
      <c r="J791" s="61">
        <f>IF(A791="","",IF(H791&lt;=Inicio!$B$16,"Crítico",IF(H791&lt;=Inicio!$B$17,"Observar","OK")))</f>
        <v/>
      </c>
      <c r="K791" s="52" t="n"/>
    </row>
    <row r="792">
      <c r="A792" s="52" t="n"/>
      <c r="B792" s="61">
        <f>IFERROR(VLOOKUP(A792,Clientes_PDV!$A$2:$J$250,2,FALSE),"")</f>
        <v/>
      </c>
      <c r="C792" s="61">
        <f>IFERROR(VLOOKUP(A792,Clientes_PDV!$A$2:$J$250,3,FALSE),"")</f>
        <v/>
      </c>
      <c r="D792" s="61">
        <f>IFERROR(VLOOKUP(A792,Clientes_PDV!$A$2:$J$250,4,FALSE),"")</f>
        <v/>
      </c>
      <c r="E792" s="52" t="n"/>
      <c r="F792" s="61">
        <f>IFERROR(VLOOKUP(E792,Maestro_SKU!$A$2:$P$500,2,FALSE),"")</f>
        <v/>
      </c>
      <c r="G792" s="52" t="n"/>
      <c r="H792" s="61">
        <f>IF(OR(G792="",E792=""),"",G792*IFERROR(VLOOKUP(E792,Maestro_SKU!$A$2:$P$500,12,FALSE),1))</f>
        <v/>
      </c>
      <c r="I792" s="53" t="n"/>
      <c r="J792" s="61">
        <f>IF(A792="","",IF(H792&lt;=Inicio!$B$16,"Crítico",IF(H792&lt;=Inicio!$B$17,"Observar","OK")))</f>
        <v/>
      </c>
      <c r="K792" s="52" t="n"/>
    </row>
    <row r="793">
      <c r="A793" s="52" t="n"/>
      <c r="B793" s="61">
        <f>IFERROR(VLOOKUP(A793,Clientes_PDV!$A$2:$J$250,2,FALSE),"")</f>
        <v/>
      </c>
      <c r="C793" s="61">
        <f>IFERROR(VLOOKUP(A793,Clientes_PDV!$A$2:$J$250,3,FALSE),"")</f>
        <v/>
      </c>
      <c r="D793" s="61">
        <f>IFERROR(VLOOKUP(A793,Clientes_PDV!$A$2:$J$250,4,FALSE),"")</f>
        <v/>
      </c>
      <c r="E793" s="52" t="n"/>
      <c r="F793" s="61">
        <f>IFERROR(VLOOKUP(E793,Maestro_SKU!$A$2:$P$500,2,FALSE),"")</f>
        <v/>
      </c>
      <c r="G793" s="52" t="n"/>
      <c r="H793" s="61">
        <f>IF(OR(G793="",E793=""),"",G793*IFERROR(VLOOKUP(E793,Maestro_SKU!$A$2:$P$500,12,FALSE),1))</f>
        <v/>
      </c>
      <c r="I793" s="53" t="n"/>
      <c r="J793" s="61">
        <f>IF(A793="","",IF(H793&lt;=Inicio!$B$16,"Crítico",IF(H793&lt;=Inicio!$B$17,"Observar","OK")))</f>
        <v/>
      </c>
      <c r="K793" s="52" t="n"/>
    </row>
    <row r="794">
      <c r="A794" s="52" t="n"/>
      <c r="B794" s="61">
        <f>IFERROR(VLOOKUP(A794,Clientes_PDV!$A$2:$J$250,2,FALSE),"")</f>
        <v/>
      </c>
      <c r="C794" s="61">
        <f>IFERROR(VLOOKUP(A794,Clientes_PDV!$A$2:$J$250,3,FALSE),"")</f>
        <v/>
      </c>
      <c r="D794" s="61">
        <f>IFERROR(VLOOKUP(A794,Clientes_PDV!$A$2:$J$250,4,FALSE),"")</f>
        <v/>
      </c>
      <c r="E794" s="52" t="n"/>
      <c r="F794" s="61">
        <f>IFERROR(VLOOKUP(E794,Maestro_SKU!$A$2:$P$500,2,FALSE),"")</f>
        <v/>
      </c>
      <c r="G794" s="52" t="n"/>
      <c r="H794" s="61">
        <f>IF(OR(G794="",E794=""),"",G794*IFERROR(VLOOKUP(E794,Maestro_SKU!$A$2:$P$500,12,FALSE),1))</f>
        <v/>
      </c>
      <c r="I794" s="53" t="n"/>
      <c r="J794" s="61">
        <f>IF(A794="","",IF(H794&lt;=Inicio!$B$16,"Crítico",IF(H794&lt;=Inicio!$B$17,"Observar","OK")))</f>
        <v/>
      </c>
      <c r="K794" s="52" t="n"/>
    </row>
    <row r="795">
      <c r="A795" s="52" t="n"/>
      <c r="B795" s="61">
        <f>IFERROR(VLOOKUP(A795,Clientes_PDV!$A$2:$J$250,2,FALSE),"")</f>
        <v/>
      </c>
      <c r="C795" s="61">
        <f>IFERROR(VLOOKUP(A795,Clientes_PDV!$A$2:$J$250,3,FALSE),"")</f>
        <v/>
      </c>
      <c r="D795" s="61">
        <f>IFERROR(VLOOKUP(A795,Clientes_PDV!$A$2:$J$250,4,FALSE),"")</f>
        <v/>
      </c>
      <c r="E795" s="52" t="n"/>
      <c r="F795" s="61">
        <f>IFERROR(VLOOKUP(E795,Maestro_SKU!$A$2:$P$500,2,FALSE),"")</f>
        <v/>
      </c>
      <c r="G795" s="52" t="n"/>
      <c r="H795" s="61">
        <f>IF(OR(G795="",E795=""),"",G795*IFERROR(VLOOKUP(E795,Maestro_SKU!$A$2:$P$500,12,FALSE),1))</f>
        <v/>
      </c>
      <c r="I795" s="53" t="n"/>
      <c r="J795" s="61">
        <f>IF(A795="","",IF(H795&lt;=Inicio!$B$16,"Crítico",IF(H795&lt;=Inicio!$B$17,"Observar","OK")))</f>
        <v/>
      </c>
      <c r="K795" s="52" t="n"/>
    </row>
    <row r="796">
      <c r="A796" s="52" t="n"/>
      <c r="B796" s="61">
        <f>IFERROR(VLOOKUP(A796,Clientes_PDV!$A$2:$J$250,2,FALSE),"")</f>
        <v/>
      </c>
      <c r="C796" s="61">
        <f>IFERROR(VLOOKUP(A796,Clientes_PDV!$A$2:$J$250,3,FALSE),"")</f>
        <v/>
      </c>
      <c r="D796" s="61">
        <f>IFERROR(VLOOKUP(A796,Clientes_PDV!$A$2:$J$250,4,FALSE),"")</f>
        <v/>
      </c>
      <c r="E796" s="52" t="n"/>
      <c r="F796" s="61">
        <f>IFERROR(VLOOKUP(E796,Maestro_SKU!$A$2:$P$500,2,FALSE),"")</f>
        <v/>
      </c>
      <c r="G796" s="52" t="n"/>
      <c r="H796" s="61">
        <f>IF(OR(G796="",E796=""),"",G796*IFERROR(VLOOKUP(E796,Maestro_SKU!$A$2:$P$500,12,FALSE),1))</f>
        <v/>
      </c>
      <c r="I796" s="53" t="n"/>
      <c r="J796" s="61">
        <f>IF(A796="","",IF(H796&lt;=Inicio!$B$16,"Crítico",IF(H796&lt;=Inicio!$B$17,"Observar","OK")))</f>
        <v/>
      </c>
      <c r="K796" s="52" t="n"/>
    </row>
    <row r="797">
      <c r="A797" s="52" t="n"/>
      <c r="B797" s="61">
        <f>IFERROR(VLOOKUP(A797,Clientes_PDV!$A$2:$J$250,2,FALSE),"")</f>
        <v/>
      </c>
      <c r="C797" s="61">
        <f>IFERROR(VLOOKUP(A797,Clientes_PDV!$A$2:$J$250,3,FALSE),"")</f>
        <v/>
      </c>
      <c r="D797" s="61">
        <f>IFERROR(VLOOKUP(A797,Clientes_PDV!$A$2:$J$250,4,FALSE),"")</f>
        <v/>
      </c>
      <c r="E797" s="52" t="n"/>
      <c r="F797" s="61">
        <f>IFERROR(VLOOKUP(E797,Maestro_SKU!$A$2:$P$500,2,FALSE),"")</f>
        <v/>
      </c>
      <c r="G797" s="52" t="n"/>
      <c r="H797" s="61">
        <f>IF(OR(G797="",E797=""),"",G797*IFERROR(VLOOKUP(E797,Maestro_SKU!$A$2:$P$500,12,FALSE),1))</f>
        <v/>
      </c>
      <c r="I797" s="53" t="n"/>
      <c r="J797" s="61">
        <f>IF(A797="","",IF(H797&lt;=Inicio!$B$16,"Crítico",IF(H797&lt;=Inicio!$B$17,"Observar","OK")))</f>
        <v/>
      </c>
      <c r="K797" s="52" t="n"/>
    </row>
    <row r="798">
      <c r="A798" s="52" t="n"/>
      <c r="B798" s="61">
        <f>IFERROR(VLOOKUP(A798,Clientes_PDV!$A$2:$J$250,2,FALSE),"")</f>
        <v/>
      </c>
      <c r="C798" s="61">
        <f>IFERROR(VLOOKUP(A798,Clientes_PDV!$A$2:$J$250,3,FALSE),"")</f>
        <v/>
      </c>
      <c r="D798" s="61">
        <f>IFERROR(VLOOKUP(A798,Clientes_PDV!$A$2:$J$250,4,FALSE),"")</f>
        <v/>
      </c>
      <c r="E798" s="52" t="n"/>
      <c r="F798" s="61">
        <f>IFERROR(VLOOKUP(E798,Maestro_SKU!$A$2:$P$500,2,FALSE),"")</f>
        <v/>
      </c>
      <c r="G798" s="52" t="n"/>
      <c r="H798" s="61">
        <f>IF(OR(G798="",E798=""),"",G798*IFERROR(VLOOKUP(E798,Maestro_SKU!$A$2:$P$500,12,FALSE),1))</f>
        <v/>
      </c>
      <c r="I798" s="53" t="n"/>
      <c r="J798" s="61">
        <f>IF(A798="","",IF(H798&lt;=Inicio!$B$16,"Crítico",IF(H798&lt;=Inicio!$B$17,"Observar","OK")))</f>
        <v/>
      </c>
      <c r="K798" s="52" t="n"/>
    </row>
    <row r="799">
      <c r="A799" s="52" t="n"/>
      <c r="B799" s="61">
        <f>IFERROR(VLOOKUP(A799,Clientes_PDV!$A$2:$J$250,2,FALSE),"")</f>
        <v/>
      </c>
      <c r="C799" s="61">
        <f>IFERROR(VLOOKUP(A799,Clientes_PDV!$A$2:$J$250,3,FALSE),"")</f>
        <v/>
      </c>
      <c r="D799" s="61">
        <f>IFERROR(VLOOKUP(A799,Clientes_PDV!$A$2:$J$250,4,FALSE),"")</f>
        <v/>
      </c>
      <c r="E799" s="52" t="n"/>
      <c r="F799" s="61">
        <f>IFERROR(VLOOKUP(E799,Maestro_SKU!$A$2:$P$500,2,FALSE),"")</f>
        <v/>
      </c>
      <c r="G799" s="52" t="n"/>
      <c r="H799" s="61">
        <f>IF(OR(G799="",E799=""),"",G799*IFERROR(VLOOKUP(E799,Maestro_SKU!$A$2:$P$500,12,FALSE),1))</f>
        <v/>
      </c>
      <c r="I799" s="53" t="n"/>
      <c r="J799" s="61">
        <f>IF(A799="","",IF(H799&lt;=Inicio!$B$16,"Crítico",IF(H799&lt;=Inicio!$B$17,"Observar","OK")))</f>
        <v/>
      </c>
      <c r="K799" s="52" t="n"/>
    </row>
    <row r="800">
      <c r="A800" s="52" t="n"/>
      <c r="B800" s="61">
        <f>IFERROR(VLOOKUP(A800,Clientes_PDV!$A$2:$J$250,2,FALSE),"")</f>
        <v/>
      </c>
      <c r="C800" s="61">
        <f>IFERROR(VLOOKUP(A800,Clientes_PDV!$A$2:$J$250,3,FALSE),"")</f>
        <v/>
      </c>
      <c r="D800" s="61">
        <f>IFERROR(VLOOKUP(A800,Clientes_PDV!$A$2:$J$250,4,FALSE),"")</f>
        <v/>
      </c>
      <c r="E800" s="52" t="n"/>
      <c r="F800" s="61">
        <f>IFERROR(VLOOKUP(E800,Maestro_SKU!$A$2:$P$500,2,FALSE),"")</f>
        <v/>
      </c>
      <c r="G800" s="52" t="n"/>
      <c r="H800" s="61">
        <f>IF(OR(G800="",E800=""),"",G800*IFERROR(VLOOKUP(E800,Maestro_SKU!$A$2:$P$500,12,FALSE),1))</f>
        <v/>
      </c>
      <c r="I800" s="53" t="n"/>
      <c r="J800" s="61">
        <f>IF(A800="","",IF(H800&lt;=Inicio!$B$16,"Crítico",IF(H800&lt;=Inicio!$B$17,"Observar","OK")))</f>
        <v/>
      </c>
      <c r="K800" s="52" t="n"/>
    </row>
  </sheetData>
  <autoFilter ref="A1:K800"/>
  <dataValidations count="2">
    <dataValidation sqref="A2:A800" showDropDown="0" showInputMessage="0" showErrorMessage="0" allowBlank="1" type="list">
      <formula1>rng_PDV</formula1>
    </dataValidation>
    <dataValidation sqref="E2:E800" showDropDown="0" showInputMessage="0" showErrorMessage="0" allowBlank="1" type="list">
      <formula1>rng_SKU</formula1>
    </dataValidation>
  </dataValidations>
  <hyperlinks>
    <hyperlink xmlns:r="http://schemas.openxmlformats.org/officeDocument/2006/relationships" ref="M1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C9A7BC"/>
    <outlinePr summaryBelow="1" summaryRight="1"/>
    <pageSetUpPr/>
  </sheetPr>
  <dimension ref="A1:P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2" customWidth="1" style="36" min="1" max="1"/>
    <col width="34" customWidth="1" style="36" min="2" max="2"/>
    <col width="15" customWidth="1" style="36" min="3" max="3"/>
    <col width="10" customWidth="1" style="36" min="4" max="4"/>
    <col width="14" customWidth="1" style="36" min="5" max="5"/>
    <col width="16" customWidth="1" style="36" min="6" max="7"/>
    <col width="18" customWidth="1" style="36" min="8" max="8"/>
    <col width="12" customWidth="1" style="36" min="9" max="9"/>
    <col width="16" customWidth="1" style="36" min="10" max="10"/>
    <col width="12" customWidth="1" style="36" min="11" max="11"/>
    <col width="14" customWidth="1" style="36" min="12" max="12"/>
    <col width="10" customWidth="1" style="36" min="13" max="15"/>
    <col width="28" customWidth="1" style="36" min="16" max="16"/>
  </cols>
  <sheetData>
    <row r="1" ht="28" customHeight="1" s="36">
      <c r="A1" s="10" t="inlineStr">
        <is>
          <t>SKU</t>
        </is>
      </c>
      <c r="B1" s="10" t="inlineStr">
        <is>
          <t>Descripción SKU</t>
        </is>
      </c>
      <c r="C1" s="10" t="inlineStr">
        <is>
          <t>Cód. barra</t>
        </is>
      </c>
      <c r="D1" s="10" t="inlineStr">
        <is>
          <t>Marca</t>
        </is>
      </c>
      <c r="E1" s="10" t="inlineStr">
        <is>
          <t>Categoría</t>
        </is>
      </c>
      <c r="F1" s="10" t="inlineStr">
        <is>
          <t>Código Categoría</t>
        </is>
      </c>
      <c r="G1" s="10" t="inlineStr">
        <is>
          <t>Subcategoría</t>
        </is>
      </c>
      <c r="H1" s="10" t="inlineStr">
        <is>
          <t>Sabor</t>
        </is>
      </c>
      <c r="I1" s="10" t="inlineStr">
        <is>
          <t>Código sabor</t>
        </is>
      </c>
      <c r="J1" s="10" t="inlineStr">
        <is>
          <t>Nivel logístico</t>
        </is>
      </c>
      <c r="K1" s="10" t="inlineStr">
        <is>
          <t>Formato</t>
        </is>
      </c>
      <c r="L1" s="10" t="inlineStr">
        <is>
          <t>Unidades por pack</t>
        </is>
      </c>
      <c r="M1" s="10" t="inlineStr">
        <is>
          <t>Mercado</t>
        </is>
      </c>
      <c r="N1" s="10" t="inlineStr">
        <is>
          <t>UM venta</t>
        </is>
      </c>
      <c r="O1" s="10" t="inlineStr">
        <is>
          <t>Estado</t>
        </is>
      </c>
      <c r="P1" s="10" t="inlineStr">
        <is>
          <t>Observación</t>
        </is>
      </c>
    </row>
    <row r="2" ht="20" customHeight="1" s="36">
      <c r="A2" s="43" t="inlineStr">
        <is>
          <t>NUVA-BAR-BM-U-01</t>
        </is>
      </c>
      <c r="B2" s="43" t="inlineStr">
        <is>
          <t>Barra Berry Mix unidad</t>
        </is>
      </c>
      <c r="C2" s="43" t="n"/>
      <c r="D2" s="43" t="inlineStr">
        <is>
          <t>NUVA</t>
        </is>
      </c>
      <c r="E2" s="43" t="inlineStr">
        <is>
          <t>Barritas</t>
        </is>
      </c>
      <c r="F2" s="43" t="inlineStr">
        <is>
          <t>BAR</t>
        </is>
      </c>
      <c r="G2" s="43" t="inlineStr">
        <is>
          <t>Funcionales</t>
        </is>
      </c>
      <c r="H2" s="43" t="inlineStr">
        <is>
          <t>Berry Mix</t>
        </is>
      </c>
      <c r="I2" s="43" t="inlineStr">
        <is>
          <t>BM</t>
        </is>
      </c>
      <c r="J2" s="43" t="inlineStr">
        <is>
          <t>Unitario</t>
        </is>
      </c>
      <c r="K2" s="43" t="inlineStr">
        <is>
          <t>U</t>
        </is>
      </c>
      <c r="L2" s="43" t="n">
        <v>1</v>
      </c>
      <c r="M2" s="43" t="inlineStr">
        <is>
          <t>CL</t>
        </is>
      </c>
      <c r="N2" s="43" t="inlineStr">
        <is>
          <t>un</t>
        </is>
      </c>
      <c r="O2" s="43" t="inlineStr">
        <is>
          <t>Activo</t>
        </is>
      </c>
      <c r="P2" s="43" t="inlineStr">
        <is>
          <t>SKU de venta unitario</t>
        </is>
      </c>
    </row>
    <row r="3" ht="20" customHeight="1" s="36">
      <c r="A3" s="43" t="inlineStr">
        <is>
          <t>NUVA-BAR-PB-U-01</t>
        </is>
      </c>
      <c r="B3" s="43" t="inlineStr">
        <is>
          <t>Barra Peanut Boost unidad</t>
        </is>
      </c>
      <c r="C3" s="43" t="n"/>
      <c r="D3" s="43" t="inlineStr">
        <is>
          <t>NUVA</t>
        </is>
      </c>
      <c r="E3" s="43" t="inlineStr">
        <is>
          <t>Barritas</t>
        </is>
      </c>
      <c r="F3" s="43" t="inlineStr">
        <is>
          <t>BAR</t>
        </is>
      </c>
      <c r="G3" s="43" t="inlineStr">
        <is>
          <t>Funcionales</t>
        </is>
      </c>
      <c r="H3" s="43" t="inlineStr">
        <is>
          <t>Peanut Boost</t>
        </is>
      </c>
      <c r="I3" s="43" t="inlineStr">
        <is>
          <t>PB</t>
        </is>
      </c>
      <c r="J3" s="43" t="inlineStr">
        <is>
          <t>Unitario</t>
        </is>
      </c>
      <c r="K3" s="43" t="inlineStr">
        <is>
          <t>U</t>
        </is>
      </c>
      <c r="L3" s="43" t="n">
        <v>1</v>
      </c>
      <c r="M3" s="43" t="inlineStr">
        <is>
          <t>CL</t>
        </is>
      </c>
      <c r="N3" s="43" t="inlineStr">
        <is>
          <t>un</t>
        </is>
      </c>
      <c r="O3" s="43" t="inlineStr">
        <is>
          <t>Activo</t>
        </is>
      </c>
      <c r="P3" s="43" t="inlineStr">
        <is>
          <t>SKU de venta unitario</t>
        </is>
      </c>
    </row>
    <row r="4" ht="20" customHeight="1" s="36">
      <c r="A4" s="43" t="inlineStr">
        <is>
          <t>NUVA-BAR-CC-U-01</t>
        </is>
      </c>
      <c r="B4" s="43" t="inlineStr">
        <is>
          <t>Barra Cacao Crispy unidad</t>
        </is>
      </c>
      <c r="C4" s="43" t="n"/>
      <c r="D4" s="43" t="inlineStr">
        <is>
          <t>NUVA</t>
        </is>
      </c>
      <c r="E4" s="43" t="inlineStr">
        <is>
          <t>Barritas</t>
        </is>
      </c>
      <c r="F4" s="43" t="inlineStr">
        <is>
          <t>BAR</t>
        </is>
      </c>
      <c r="G4" s="43" t="inlineStr">
        <is>
          <t>Funcionales</t>
        </is>
      </c>
      <c r="H4" s="43" t="inlineStr">
        <is>
          <t>Cacao Crispy</t>
        </is>
      </c>
      <c r="I4" s="43" t="inlineStr">
        <is>
          <t>CC</t>
        </is>
      </c>
      <c r="J4" s="43" t="inlineStr">
        <is>
          <t>Unitario</t>
        </is>
      </c>
      <c r="K4" s="43" t="inlineStr">
        <is>
          <t>U</t>
        </is>
      </c>
      <c r="L4" s="43" t="n">
        <v>1</v>
      </c>
      <c r="M4" s="43" t="inlineStr">
        <is>
          <t>CL</t>
        </is>
      </c>
      <c r="N4" s="43" t="inlineStr">
        <is>
          <t>un</t>
        </is>
      </c>
      <c r="O4" s="43" t="inlineStr">
        <is>
          <t>Activo</t>
        </is>
      </c>
      <c r="P4" s="43" t="inlineStr">
        <is>
          <t>SKU de venta unitario</t>
        </is>
      </c>
    </row>
    <row r="5" ht="20" customHeight="1" s="36">
      <c r="A5" s="43" t="inlineStr">
        <is>
          <t>NUVA-BAR-BM-BX-04</t>
        </is>
      </c>
      <c r="B5" s="43" t="inlineStr">
        <is>
          <t>Estuche Berry Mix 4 unidades</t>
        </is>
      </c>
      <c r="C5" s="43" t="n"/>
      <c r="D5" s="43" t="inlineStr">
        <is>
          <t>NUVA</t>
        </is>
      </c>
      <c r="E5" s="43" t="inlineStr">
        <is>
          <t>Barritas</t>
        </is>
      </c>
      <c r="F5" s="43" t="inlineStr">
        <is>
          <t>BAR</t>
        </is>
      </c>
      <c r="G5" s="43" t="inlineStr">
        <is>
          <t>Funcionales</t>
        </is>
      </c>
      <c r="H5" s="43" t="inlineStr">
        <is>
          <t>Berry Mix</t>
        </is>
      </c>
      <c r="I5" s="43" t="inlineStr">
        <is>
          <t>BM</t>
        </is>
      </c>
      <c r="J5" s="43" t="inlineStr">
        <is>
          <t>Estuche</t>
        </is>
      </c>
      <c r="K5" s="43" t="inlineStr">
        <is>
          <t>BX</t>
        </is>
      </c>
      <c r="L5" s="43" t="n">
        <v>4</v>
      </c>
      <c r="M5" s="43" t="inlineStr">
        <is>
          <t>CL</t>
        </is>
      </c>
      <c r="N5" s="43" t="inlineStr">
        <is>
          <t>un</t>
        </is>
      </c>
      <c r="O5" s="43" t="inlineStr">
        <is>
          <t>Activo</t>
        </is>
      </c>
      <c r="P5" s="43" t="inlineStr">
        <is>
          <t>SKU pack comercial</t>
        </is>
      </c>
    </row>
    <row r="6" ht="20" customHeight="1" s="36">
      <c r="A6" s="43" t="inlineStr">
        <is>
          <t>NUVA-BAR-PB-BX-04</t>
        </is>
      </c>
      <c r="B6" s="43" t="inlineStr">
        <is>
          <t>Estuche Peanut Boost 4 unidades</t>
        </is>
      </c>
      <c r="C6" s="43" t="n"/>
      <c r="D6" s="43" t="inlineStr">
        <is>
          <t>NUVA</t>
        </is>
      </c>
      <c r="E6" s="43" t="inlineStr">
        <is>
          <t>Barritas</t>
        </is>
      </c>
      <c r="F6" s="43" t="inlineStr">
        <is>
          <t>BAR</t>
        </is>
      </c>
      <c r="G6" s="43" t="inlineStr">
        <is>
          <t>Funcionales</t>
        </is>
      </c>
      <c r="H6" s="43" t="inlineStr">
        <is>
          <t>Peanut Boost</t>
        </is>
      </c>
      <c r="I6" s="43" t="inlineStr">
        <is>
          <t>PB</t>
        </is>
      </c>
      <c r="J6" s="43" t="inlineStr">
        <is>
          <t>Estuche</t>
        </is>
      </c>
      <c r="K6" s="43" t="inlineStr">
        <is>
          <t>BX</t>
        </is>
      </c>
      <c r="L6" s="43" t="n">
        <v>4</v>
      </c>
      <c r="M6" s="43" t="inlineStr">
        <is>
          <t>CL</t>
        </is>
      </c>
      <c r="N6" s="43" t="inlineStr">
        <is>
          <t>un</t>
        </is>
      </c>
      <c r="O6" s="43" t="inlineStr">
        <is>
          <t>Activo</t>
        </is>
      </c>
      <c r="P6" s="43" t="inlineStr">
        <is>
          <t>SKU pack comercial</t>
        </is>
      </c>
    </row>
    <row r="7" ht="20" customHeight="1" s="36">
      <c r="A7" s="43" t="inlineStr">
        <is>
          <t>NUVA-BAR-CC-BX-04</t>
        </is>
      </c>
      <c r="B7" s="43" t="inlineStr">
        <is>
          <t>Estuche Cacao Crispy 4 unidades</t>
        </is>
      </c>
      <c r="C7" s="43" t="n"/>
      <c r="D7" s="43" t="inlineStr">
        <is>
          <t>NUVA</t>
        </is>
      </c>
      <c r="E7" s="43" t="inlineStr">
        <is>
          <t>Barritas</t>
        </is>
      </c>
      <c r="F7" s="43" t="inlineStr">
        <is>
          <t>BAR</t>
        </is>
      </c>
      <c r="G7" s="43" t="inlineStr">
        <is>
          <t>Funcionales</t>
        </is>
      </c>
      <c r="H7" s="43" t="inlineStr">
        <is>
          <t>Cacao Crispy</t>
        </is>
      </c>
      <c r="I7" s="43" t="inlineStr">
        <is>
          <t>CC</t>
        </is>
      </c>
      <c r="J7" s="43" t="inlineStr">
        <is>
          <t>Estuche</t>
        </is>
      </c>
      <c r="K7" s="43" t="inlineStr">
        <is>
          <t>BX</t>
        </is>
      </c>
      <c r="L7" s="43" t="n">
        <v>4</v>
      </c>
      <c r="M7" s="43" t="inlineStr">
        <is>
          <t>CL</t>
        </is>
      </c>
      <c r="N7" s="43" t="inlineStr">
        <is>
          <t>un</t>
        </is>
      </c>
      <c r="O7" s="43" t="inlineStr">
        <is>
          <t>Activo</t>
        </is>
      </c>
      <c r="P7" s="43" t="inlineStr">
        <is>
          <t>SKU pack comercial</t>
        </is>
      </c>
    </row>
    <row r="8" ht="20" customHeight="1" s="36">
      <c r="A8" s="43" t="inlineStr">
        <is>
          <t>NUVA-BAR-BM-CS-24</t>
        </is>
      </c>
      <c r="B8" s="43" t="inlineStr">
        <is>
          <t>Caja master Berry Mix 24 unidades</t>
        </is>
      </c>
      <c r="C8" s="43" t="n"/>
      <c r="D8" s="43" t="inlineStr">
        <is>
          <t>NUVA</t>
        </is>
      </c>
      <c r="E8" s="43" t="inlineStr">
        <is>
          <t>Barritas</t>
        </is>
      </c>
      <c r="F8" s="43" t="inlineStr">
        <is>
          <t>BAR</t>
        </is>
      </c>
      <c r="G8" s="43" t="inlineStr">
        <is>
          <t>Funcionales</t>
        </is>
      </c>
      <c r="H8" s="43" t="inlineStr">
        <is>
          <t>Berry Mix</t>
        </is>
      </c>
      <c r="I8" s="43" t="inlineStr">
        <is>
          <t>BM</t>
        </is>
      </c>
      <c r="J8" s="43" t="inlineStr">
        <is>
          <t>Caja master</t>
        </is>
      </c>
      <c r="K8" s="43" t="inlineStr">
        <is>
          <t>CS</t>
        </is>
      </c>
      <c r="L8" s="43" t="n">
        <v>24</v>
      </c>
      <c r="M8" s="43" t="inlineStr">
        <is>
          <t>CL</t>
        </is>
      </c>
      <c r="N8" s="43" t="inlineStr">
        <is>
          <t>un</t>
        </is>
      </c>
      <c r="O8" s="43" t="inlineStr">
        <is>
          <t>Activo</t>
        </is>
      </c>
      <c r="P8" s="43" t="inlineStr">
        <is>
          <t>SKU pack comercial</t>
        </is>
      </c>
    </row>
    <row r="9" ht="20" customHeight="1" s="36">
      <c r="A9" s="43" t="inlineStr">
        <is>
          <t>NUVA-BAR-PB-CS-24</t>
        </is>
      </c>
      <c r="B9" s="43" t="inlineStr">
        <is>
          <t>Caja master Peanut Boost 24 unidades</t>
        </is>
      </c>
      <c r="C9" s="43" t="n"/>
      <c r="D9" s="43" t="inlineStr">
        <is>
          <t>NUVA</t>
        </is>
      </c>
      <c r="E9" s="43" t="inlineStr">
        <is>
          <t>Barritas</t>
        </is>
      </c>
      <c r="F9" s="43" t="inlineStr">
        <is>
          <t>BAR</t>
        </is>
      </c>
      <c r="G9" s="43" t="inlineStr">
        <is>
          <t>Funcionales</t>
        </is>
      </c>
      <c r="H9" s="43" t="inlineStr">
        <is>
          <t>Peanut Boost</t>
        </is>
      </c>
      <c r="I9" s="43" t="inlineStr">
        <is>
          <t>PB</t>
        </is>
      </c>
      <c r="J9" s="43" t="inlineStr">
        <is>
          <t>Caja master</t>
        </is>
      </c>
      <c r="K9" s="43" t="inlineStr">
        <is>
          <t>CS</t>
        </is>
      </c>
      <c r="L9" s="43" t="n">
        <v>24</v>
      </c>
      <c r="M9" s="43" t="inlineStr">
        <is>
          <t>CL</t>
        </is>
      </c>
      <c r="N9" s="43" t="inlineStr">
        <is>
          <t>un</t>
        </is>
      </c>
      <c r="O9" s="43" t="inlineStr">
        <is>
          <t>Activo</t>
        </is>
      </c>
      <c r="P9" s="43" t="inlineStr">
        <is>
          <t>SKU pack comercial</t>
        </is>
      </c>
    </row>
    <row r="10" ht="20" customHeight="1" s="36">
      <c r="A10" s="43" t="inlineStr">
        <is>
          <t>NUVA-BAR-CC-CS-24</t>
        </is>
      </c>
      <c r="B10" s="43" t="inlineStr">
        <is>
          <t>Caja master Cacao Crispy 24 unidades</t>
        </is>
      </c>
      <c r="C10" s="43" t="n"/>
      <c r="D10" s="43" t="inlineStr">
        <is>
          <t>NUVA</t>
        </is>
      </c>
      <c r="E10" s="43" t="inlineStr">
        <is>
          <t>Barritas</t>
        </is>
      </c>
      <c r="F10" s="43" t="inlineStr">
        <is>
          <t>BAR</t>
        </is>
      </c>
      <c r="G10" s="43" t="inlineStr">
        <is>
          <t>Funcionales</t>
        </is>
      </c>
      <c r="H10" s="43" t="inlineStr">
        <is>
          <t>Cacao Crispy</t>
        </is>
      </c>
      <c r="I10" s="43" t="inlineStr">
        <is>
          <t>CC</t>
        </is>
      </c>
      <c r="J10" s="43" t="inlineStr">
        <is>
          <t>Caja master</t>
        </is>
      </c>
      <c r="K10" s="43" t="inlineStr">
        <is>
          <t>CS</t>
        </is>
      </c>
      <c r="L10" s="43" t="n">
        <v>24</v>
      </c>
      <c r="M10" s="43" t="inlineStr">
        <is>
          <t>CL</t>
        </is>
      </c>
      <c r="N10" s="43" t="inlineStr">
        <is>
          <t>un</t>
        </is>
      </c>
      <c r="O10" s="43" t="inlineStr">
        <is>
          <t>Activo</t>
        </is>
      </c>
      <c r="P10" s="43" t="inlineStr">
        <is>
          <t>SKU pack comercial</t>
        </is>
      </c>
    </row>
    <row r="11" ht="20" customHeight="1" s="36">
      <c r="A11" s="43" t="inlineStr">
        <is>
          <t>NUVA-BAR-BM-CS-60</t>
        </is>
      </c>
      <c r="B11" s="43" t="inlineStr">
        <is>
          <t>Caja master Berry Mix 15x4 unidades</t>
        </is>
      </c>
      <c r="C11" s="43" t="n"/>
      <c r="D11" s="43" t="inlineStr">
        <is>
          <t>NUVA</t>
        </is>
      </c>
      <c r="E11" s="43" t="inlineStr">
        <is>
          <t>Barritas</t>
        </is>
      </c>
      <c r="F11" s="43" t="inlineStr">
        <is>
          <t>BAR</t>
        </is>
      </c>
      <c r="G11" s="43" t="inlineStr">
        <is>
          <t>Funcionales</t>
        </is>
      </c>
      <c r="H11" s="43" t="inlineStr">
        <is>
          <t>Berry Mix</t>
        </is>
      </c>
      <c r="I11" s="43" t="inlineStr">
        <is>
          <t>BM</t>
        </is>
      </c>
      <c r="J11" s="43" t="inlineStr">
        <is>
          <t>Caja master</t>
        </is>
      </c>
      <c r="K11" s="43" t="inlineStr">
        <is>
          <t>CS</t>
        </is>
      </c>
      <c r="L11" s="43" t="n">
        <v>60</v>
      </c>
      <c r="M11" s="43" t="inlineStr">
        <is>
          <t>CL</t>
        </is>
      </c>
      <c r="N11" s="43" t="inlineStr">
        <is>
          <t>un</t>
        </is>
      </c>
      <c r="O11" s="43" t="inlineStr">
        <is>
          <t>Activo</t>
        </is>
      </c>
      <c r="P11" s="43" t="inlineStr">
        <is>
          <t>SKU logístico</t>
        </is>
      </c>
    </row>
    <row r="12" ht="20" customHeight="1" s="36">
      <c r="A12" s="43" t="inlineStr">
        <is>
          <t>NUVA-BAR-PB-CS-60</t>
        </is>
      </c>
      <c r="B12" s="43" t="inlineStr">
        <is>
          <t>Caja master Peanut Boost 15x4 unidades</t>
        </is>
      </c>
      <c r="C12" s="43" t="n"/>
      <c r="D12" s="43" t="inlineStr">
        <is>
          <t>NUVA</t>
        </is>
      </c>
      <c r="E12" s="43" t="inlineStr">
        <is>
          <t>Barritas</t>
        </is>
      </c>
      <c r="F12" s="43" t="inlineStr">
        <is>
          <t>BAR</t>
        </is>
      </c>
      <c r="G12" s="43" t="inlineStr">
        <is>
          <t>Funcionales</t>
        </is>
      </c>
      <c r="H12" s="43" t="inlineStr">
        <is>
          <t>Peanut Boost</t>
        </is>
      </c>
      <c r="I12" s="43" t="inlineStr">
        <is>
          <t>PB</t>
        </is>
      </c>
      <c r="J12" s="43" t="inlineStr">
        <is>
          <t>Caja master</t>
        </is>
      </c>
      <c r="K12" s="43" t="inlineStr">
        <is>
          <t>CS</t>
        </is>
      </c>
      <c r="L12" s="43" t="n">
        <v>60</v>
      </c>
      <c r="M12" s="43" t="inlineStr">
        <is>
          <t>CL</t>
        </is>
      </c>
      <c r="N12" s="43" t="inlineStr">
        <is>
          <t>un</t>
        </is>
      </c>
      <c r="O12" s="43" t="inlineStr">
        <is>
          <t>Activo</t>
        </is>
      </c>
      <c r="P12" s="43" t="inlineStr">
        <is>
          <t>SKU logístico</t>
        </is>
      </c>
    </row>
    <row r="13" ht="20" customHeight="1" s="36">
      <c r="A13" s="43" t="inlineStr">
        <is>
          <t>NUVA-BAR-CC-CS-60</t>
        </is>
      </c>
      <c r="B13" s="43" t="inlineStr">
        <is>
          <t>Caja master Cacao Crispy 15x4 unidades</t>
        </is>
      </c>
      <c r="C13" s="43" t="n"/>
      <c r="D13" s="43" t="inlineStr">
        <is>
          <t>NUVA</t>
        </is>
      </c>
      <c r="E13" s="43" t="inlineStr">
        <is>
          <t>Barritas</t>
        </is>
      </c>
      <c r="F13" s="43" t="inlineStr">
        <is>
          <t>BAR</t>
        </is>
      </c>
      <c r="G13" s="43" t="inlineStr">
        <is>
          <t>Funcionales</t>
        </is>
      </c>
      <c r="H13" s="43" t="inlineStr">
        <is>
          <t>Cacao Crispy</t>
        </is>
      </c>
      <c r="I13" s="43" t="inlineStr">
        <is>
          <t>CC</t>
        </is>
      </c>
      <c r="J13" s="43" t="inlineStr">
        <is>
          <t>Caja master</t>
        </is>
      </c>
      <c r="K13" s="43" t="inlineStr">
        <is>
          <t>CS</t>
        </is>
      </c>
      <c r="L13" s="43" t="n">
        <v>60</v>
      </c>
      <c r="M13" s="43" t="inlineStr">
        <is>
          <t>CL</t>
        </is>
      </c>
      <c r="N13" s="43" t="inlineStr">
        <is>
          <t>un</t>
        </is>
      </c>
      <c r="O13" s="43" t="inlineStr">
        <is>
          <t>Activo</t>
        </is>
      </c>
      <c r="P13" s="43" t="inlineStr">
        <is>
          <t>SKU logístico</t>
        </is>
      </c>
    </row>
    <row r="14" ht="20" customHeight="1" s="36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t="20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</row>
    <row r="16" ht="20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</row>
    <row r="17" ht="20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</row>
    <row r="18" ht="20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</row>
    <row r="19" ht="20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</row>
    <row r="20" ht="20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</row>
    <row r="21" ht="20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</row>
    <row r="22" ht="20" customHeight="1" s="36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</row>
    <row r="23" ht="20" customHeight="1" s="36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</row>
    <row r="24" ht="20" customHeight="1" s="36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</row>
    <row r="25" ht="20" customHeight="1" s="36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</row>
    <row r="26" ht="20" customHeight="1" s="36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</row>
    <row r="27" ht="20" customHeight="1" s="36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</row>
    <row r="28" ht="20" customHeight="1" s="36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</row>
    <row r="29" ht="20" customHeight="1" s="36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</row>
    <row r="30" ht="20" customHeight="1" s="36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</row>
    <row r="31" ht="20" customHeight="1" s="36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</row>
    <row r="32" ht="20" customHeight="1" s="36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</row>
    <row r="33" ht="20" customHeight="1" s="36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</row>
    <row r="34" ht="20" customHeight="1" s="36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</row>
    <row r="35" ht="20" customHeight="1" s="36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</row>
    <row r="36" ht="20" customHeight="1" s="36">
      <c r="A36" s="43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</row>
    <row r="37" ht="20" customHeight="1" s="36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</row>
    <row r="38" ht="20" customHeight="1" s="36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</row>
    <row r="39" ht="20" customHeight="1" s="36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</row>
    <row r="40" ht="20" customHeight="1" s="36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</row>
    <row r="41" ht="20" customHeight="1" s="36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</row>
    <row r="42" ht="20" customHeight="1" s="36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</row>
    <row r="43" ht="20" customHeight="1" s="36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</row>
    <row r="44" ht="20" customHeight="1" s="36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</row>
    <row r="45" ht="20" customHeight="1" s="36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</row>
    <row r="46" ht="20" customHeight="1" s="36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</row>
    <row r="47" ht="20" customHeight="1" s="36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</row>
    <row r="48" ht="20" customHeight="1" s="36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</row>
    <row r="49" ht="20" customHeight="1" s="36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</row>
    <row r="50" ht="20" customHeight="1" s="36">
      <c r="A50" s="43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</row>
    <row r="51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</row>
    <row r="53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</row>
    <row r="54">
      <c r="A54" s="43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</row>
    <row r="55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</row>
    <row r="56">
      <c r="A56" s="43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</row>
    <row r="57">
      <c r="A57" s="43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</row>
    <row r="58">
      <c r="A58" s="43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</row>
    <row r="59">
      <c r="A59" s="43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</row>
    <row r="60">
      <c r="A60" s="43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</row>
    <row r="61">
      <c r="A61" s="43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</row>
    <row r="62">
      <c r="A62" s="43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</row>
    <row r="63">
      <c r="A63" s="43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</row>
    <row r="64">
      <c r="A64" s="43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</row>
    <row r="65">
      <c r="A65" s="43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</row>
    <row r="66">
      <c r="A66" s="43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</row>
    <row r="67">
      <c r="A67" s="43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</row>
    <row r="68">
      <c r="A68" s="43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</row>
    <row r="69">
      <c r="A69" s="43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</row>
    <row r="70">
      <c r="A70" s="43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</row>
    <row r="71">
      <c r="A71" s="43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</row>
    <row r="72">
      <c r="A72" s="43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</row>
    <row r="73">
      <c r="A73" s="43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</row>
    <row r="74">
      <c r="A74" s="43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</row>
    <row r="75">
      <c r="A75" s="43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</row>
    <row r="76">
      <c r="A76" s="43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</row>
    <row r="77">
      <c r="A77" s="43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</row>
    <row r="78">
      <c r="A78" s="43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</row>
    <row r="79">
      <c r="A79" s="43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</row>
    <row r="80">
      <c r="A80" s="43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</row>
    <row r="81">
      <c r="A81" s="43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</row>
    <row r="82">
      <c r="A82" s="43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</row>
    <row r="83">
      <c r="A83" s="43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</row>
    <row r="84">
      <c r="A84" s="43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</row>
    <row r="85">
      <c r="A85" s="43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</row>
    <row r="86">
      <c r="A86" s="43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</row>
    <row r="87">
      <c r="A87" s="43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</row>
    <row r="88">
      <c r="A88" s="43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</row>
    <row r="89">
      <c r="A89" s="43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</row>
    <row r="90">
      <c r="A90" s="43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</row>
    <row r="91">
      <c r="A91" s="43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</row>
    <row r="92">
      <c r="A92" s="43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</row>
    <row r="93">
      <c r="A93" s="43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</row>
    <row r="94">
      <c r="A94" s="43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</row>
    <row r="95">
      <c r="A95" s="43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</row>
    <row r="96">
      <c r="A96" s="43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</row>
    <row r="97">
      <c r="A97" s="43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</row>
    <row r="98">
      <c r="A98" s="43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</row>
    <row r="99">
      <c r="A99" s="43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</row>
    <row r="100">
      <c r="A100" s="43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</row>
    <row r="101">
      <c r="A101" s="43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</row>
    <row r="102">
      <c r="A102" s="43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</row>
    <row r="103">
      <c r="A103" s="43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</row>
    <row r="104">
      <c r="A104" s="43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</row>
    <row r="105">
      <c r="A105" s="43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</row>
    <row r="106">
      <c r="A106" s="43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</row>
    <row r="107">
      <c r="A107" s="43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</row>
    <row r="108">
      <c r="A108" s="43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</row>
    <row r="109">
      <c r="A109" s="43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</row>
    <row r="110">
      <c r="A110" s="43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</row>
    <row r="111">
      <c r="A111" s="43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</row>
    <row r="112">
      <c r="A112" s="43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</row>
    <row r="113">
      <c r="A113" s="43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</row>
    <row r="114">
      <c r="A114" s="43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</row>
    <row r="115">
      <c r="A115" s="43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</row>
    <row r="116">
      <c r="A116" s="43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</row>
    <row r="117">
      <c r="A117" s="43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</row>
    <row r="118">
      <c r="A118" s="43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</row>
    <row r="119">
      <c r="A119" s="43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</row>
    <row r="120">
      <c r="A120" s="43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</row>
    <row r="121">
      <c r="A121" s="43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</row>
    <row r="122">
      <c r="A122" s="43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</row>
    <row r="123">
      <c r="A123" s="43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</row>
    <row r="124">
      <c r="A124" s="43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</row>
    <row r="125">
      <c r="A125" s="43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</row>
    <row r="126">
      <c r="A126" s="43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</row>
    <row r="127">
      <c r="A127" s="43" t="n"/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</row>
    <row r="128">
      <c r="A128" s="43" t="n"/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</row>
    <row r="129">
      <c r="A129" s="43" t="n"/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</row>
    <row r="130">
      <c r="A130" s="43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</row>
    <row r="131">
      <c r="A131" s="43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</row>
    <row r="132">
      <c r="A132" s="43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</row>
    <row r="133">
      <c r="A133" s="43" t="n"/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</row>
    <row r="134">
      <c r="A134" s="43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</row>
    <row r="135">
      <c r="A135" s="43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</row>
    <row r="136">
      <c r="A136" s="43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</row>
    <row r="137">
      <c r="A137" s="43" t="n"/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</row>
    <row r="138">
      <c r="A138" s="43" t="n"/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</row>
    <row r="139">
      <c r="A139" s="43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</row>
    <row r="140">
      <c r="A140" s="43" t="n"/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</row>
    <row r="141">
      <c r="A141" s="43" t="n"/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</row>
    <row r="142">
      <c r="A142" s="43" t="n"/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</row>
    <row r="143">
      <c r="A143" s="43" t="n"/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</row>
    <row r="144">
      <c r="A144" s="43" t="n"/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</row>
    <row r="145">
      <c r="A145" s="43" t="n"/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</row>
    <row r="146">
      <c r="A146" s="43" t="n"/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</row>
    <row r="147">
      <c r="A147" s="43" t="n"/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</row>
    <row r="148">
      <c r="A148" s="43" t="n"/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</row>
    <row r="149">
      <c r="A149" s="43" t="n"/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</row>
    <row r="150">
      <c r="A150" s="43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</row>
    <row r="151">
      <c r="A151" s="43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</row>
    <row r="152">
      <c r="A152" s="43" t="n"/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</row>
    <row r="153">
      <c r="A153" s="43" t="n"/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</row>
    <row r="154">
      <c r="A154" s="43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</row>
    <row r="155">
      <c r="A155" s="43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</row>
    <row r="156">
      <c r="A156" s="43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</row>
    <row r="157">
      <c r="A157" s="43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</row>
    <row r="158">
      <c r="A158" s="43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</row>
    <row r="159">
      <c r="A159" s="43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</row>
    <row r="160">
      <c r="A160" s="43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</row>
    <row r="161">
      <c r="A161" s="43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</row>
    <row r="162">
      <c r="A162" s="43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</row>
    <row r="163">
      <c r="A163" s="43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</row>
    <row r="164">
      <c r="A164" s="43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</row>
    <row r="165">
      <c r="A165" s="43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</row>
    <row r="166">
      <c r="A166" s="43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</row>
    <row r="167">
      <c r="A167" s="43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</row>
    <row r="168">
      <c r="A168" s="43" t="n"/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</row>
    <row r="169">
      <c r="A169" s="43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</row>
    <row r="170">
      <c r="A170" s="43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</row>
    <row r="171">
      <c r="A171" s="43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</row>
    <row r="172">
      <c r="A172" s="43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</row>
    <row r="173">
      <c r="A173" s="43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</row>
    <row r="174">
      <c r="A174" s="43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</row>
    <row r="175">
      <c r="A175" s="43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</row>
    <row r="176">
      <c r="A176" s="43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</row>
    <row r="177">
      <c r="A177" s="43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</row>
    <row r="178">
      <c r="A178" s="43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</row>
    <row r="179">
      <c r="A179" s="43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</row>
    <row r="180">
      <c r="A180" s="43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</row>
    <row r="181">
      <c r="A181" s="43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</row>
    <row r="182">
      <c r="A182" s="43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</row>
    <row r="183">
      <c r="A183" s="43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</row>
    <row r="184">
      <c r="A184" s="43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</row>
    <row r="185">
      <c r="A185" s="43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</row>
    <row r="186">
      <c r="A186" s="43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</row>
    <row r="187">
      <c r="A187" s="43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</row>
    <row r="188">
      <c r="A188" s="43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</row>
    <row r="189">
      <c r="A189" s="43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</row>
    <row r="190">
      <c r="A190" s="43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</row>
    <row r="191">
      <c r="A191" s="43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</row>
    <row r="192">
      <c r="A192" s="43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</row>
    <row r="193">
      <c r="A193" s="43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</row>
    <row r="194">
      <c r="A194" s="43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</row>
    <row r="195">
      <c r="A195" s="43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</row>
    <row r="196">
      <c r="A196" s="43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</row>
    <row r="197">
      <c r="A197" s="43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</row>
    <row r="198">
      <c r="A198" s="43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</row>
    <row r="199">
      <c r="A199" s="43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</row>
    <row r="200">
      <c r="A200" s="43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</row>
    <row r="201">
      <c r="A201" s="43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</row>
    <row r="202">
      <c r="A202" s="43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</row>
    <row r="203">
      <c r="A203" s="43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</row>
    <row r="204">
      <c r="A204" s="43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</row>
    <row r="205">
      <c r="A205" s="43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</row>
    <row r="206">
      <c r="A206" s="43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</row>
    <row r="207">
      <c r="A207" s="43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</row>
    <row r="208">
      <c r="A208" s="43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</row>
    <row r="209">
      <c r="A209" s="43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</row>
    <row r="210">
      <c r="A210" s="43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</row>
    <row r="211">
      <c r="A211" s="43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</row>
    <row r="212">
      <c r="A212" s="43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</row>
    <row r="213">
      <c r="A213" s="43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</row>
    <row r="214">
      <c r="A214" s="43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</row>
    <row r="215">
      <c r="A215" s="43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</row>
    <row r="216">
      <c r="A216" s="43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</row>
    <row r="217">
      <c r="A217" s="43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</row>
    <row r="218">
      <c r="A218" s="43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</row>
    <row r="219">
      <c r="A219" s="43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</row>
    <row r="220">
      <c r="A220" s="43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</row>
    <row r="221">
      <c r="A221" s="43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</row>
    <row r="222">
      <c r="A222" s="43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</row>
    <row r="223">
      <c r="A223" s="43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</row>
    <row r="224">
      <c r="A224" s="43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</row>
    <row r="225">
      <c r="A225" s="43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</row>
    <row r="226">
      <c r="A226" s="43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</row>
    <row r="227">
      <c r="A227" s="43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</row>
    <row r="228">
      <c r="A228" s="43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</row>
    <row r="229">
      <c r="A229" s="43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</row>
    <row r="230">
      <c r="A230" s="43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</row>
    <row r="231">
      <c r="A231" s="43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</row>
    <row r="232">
      <c r="A232" s="43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</row>
    <row r="233">
      <c r="A233" s="43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</row>
    <row r="234">
      <c r="A234" s="43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</row>
    <row r="235">
      <c r="A235" s="43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</row>
    <row r="236">
      <c r="A236" s="43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</row>
    <row r="237">
      <c r="A237" s="43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</row>
    <row r="238">
      <c r="A238" s="43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</row>
    <row r="239">
      <c r="A239" s="43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</row>
    <row r="240">
      <c r="A240" s="43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</row>
    <row r="241">
      <c r="A241" s="43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</row>
    <row r="242">
      <c r="A242" s="43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</row>
    <row r="243">
      <c r="A243" s="43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</row>
    <row r="244">
      <c r="A244" s="43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</row>
    <row r="245">
      <c r="A245" s="43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</row>
    <row r="246">
      <c r="A246" s="43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</row>
    <row r="247">
      <c r="A247" s="43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</row>
    <row r="248">
      <c r="A248" s="43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</row>
    <row r="249">
      <c r="A249" s="43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</row>
    <row r="250">
      <c r="A250" s="43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</row>
    <row r="251">
      <c r="A251" s="43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</row>
    <row r="252">
      <c r="A252" s="43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</row>
    <row r="253">
      <c r="A253" s="43" t="n"/>
      <c r="B253" s="43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</row>
    <row r="254">
      <c r="A254" s="43" t="n"/>
      <c r="B254" s="43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</row>
    <row r="255">
      <c r="A255" s="43" t="n"/>
      <c r="B255" s="43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</row>
    <row r="256">
      <c r="A256" s="43" t="n"/>
      <c r="B256" s="43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</row>
    <row r="257">
      <c r="A257" s="43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</row>
    <row r="258">
      <c r="A258" s="43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</row>
    <row r="259">
      <c r="A259" s="43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</row>
    <row r="260">
      <c r="A260" s="43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</row>
    <row r="261">
      <c r="A261" s="43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</row>
    <row r="262">
      <c r="A262" s="43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</row>
    <row r="263">
      <c r="A263" s="43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</row>
    <row r="264">
      <c r="A264" s="43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</row>
    <row r="265">
      <c r="A265" s="43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</row>
    <row r="266">
      <c r="A266" s="43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</row>
    <row r="267">
      <c r="A267" s="43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</row>
    <row r="268">
      <c r="A268" s="43" t="n"/>
      <c r="B268" s="43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</row>
    <row r="269">
      <c r="A269" s="43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</row>
    <row r="270">
      <c r="A270" s="43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</row>
    <row r="271">
      <c r="A271" s="43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</row>
    <row r="272">
      <c r="A272" s="43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</row>
    <row r="273">
      <c r="A273" s="43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</row>
    <row r="274">
      <c r="A274" s="43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</row>
    <row r="275">
      <c r="A275" s="43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</row>
    <row r="276">
      <c r="A276" s="43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</row>
    <row r="277">
      <c r="A277" s="43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</row>
    <row r="278">
      <c r="A278" s="43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</row>
    <row r="279">
      <c r="A279" s="43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</row>
    <row r="280">
      <c r="A280" s="43" t="n"/>
      <c r="B280" s="43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</row>
    <row r="281">
      <c r="A281" s="43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</row>
    <row r="282">
      <c r="A282" s="43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</row>
    <row r="283">
      <c r="A283" s="43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</row>
    <row r="284">
      <c r="A284" s="43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</row>
    <row r="285">
      <c r="A285" s="43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</row>
    <row r="286">
      <c r="A286" s="43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</row>
    <row r="287">
      <c r="A287" s="43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</row>
    <row r="288">
      <c r="A288" s="43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</row>
    <row r="289">
      <c r="A289" s="43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</row>
    <row r="290">
      <c r="A290" s="43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</row>
    <row r="291">
      <c r="A291" s="43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</row>
    <row r="292">
      <c r="A292" s="43" t="n"/>
      <c r="B292" s="43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</row>
    <row r="293">
      <c r="A293" s="43" t="n"/>
      <c r="B293" s="43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</row>
    <row r="294">
      <c r="A294" s="43" t="n"/>
      <c r="B294" s="43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</row>
    <row r="295">
      <c r="A295" s="43" t="n"/>
      <c r="B295" s="43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</row>
    <row r="296">
      <c r="A296" s="43" t="n"/>
      <c r="B296" s="43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</row>
    <row r="297">
      <c r="A297" s="43" t="n"/>
      <c r="B297" s="43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</row>
    <row r="298">
      <c r="A298" s="43" t="n"/>
      <c r="B298" s="43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</row>
    <row r="299">
      <c r="A299" s="43" t="n"/>
      <c r="B299" s="43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</row>
    <row r="300">
      <c r="A300" s="43" t="n"/>
      <c r="B300" s="43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</row>
    <row r="301">
      <c r="A301" s="43" t="n"/>
      <c r="B301" s="43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</row>
    <row r="302">
      <c r="A302" s="43" t="n"/>
      <c r="B302" s="43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</row>
    <row r="303">
      <c r="A303" s="43" t="n"/>
      <c r="B303" s="43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</row>
    <row r="304">
      <c r="A304" s="43" t="n"/>
      <c r="B304" s="43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</row>
    <row r="305">
      <c r="A305" s="43" t="n"/>
      <c r="B305" s="43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</row>
    <row r="306">
      <c r="A306" s="43" t="n"/>
      <c r="B306" s="43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</row>
    <row r="307">
      <c r="A307" s="43" t="n"/>
      <c r="B307" s="43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</row>
    <row r="308">
      <c r="A308" s="43" t="n"/>
      <c r="B308" s="43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</row>
    <row r="309">
      <c r="A309" s="43" t="n"/>
      <c r="B309" s="43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</row>
    <row r="310">
      <c r="A310" s="43" t="n"/>
      <c r="B310" s="43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</row>
    <row r="311">
      <c r="A311" s="43" t="n"/>
      <c r="B311" s="43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</row>
    <row r="312">
      <c r="A312" s="43" t="n"/>
      <c r="B312" s="43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</row>
    <row r="313">
      <c r="A313" s="43" t="n"/>
      <c r="B313" s="43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</row>
    <row r="314">
      <c r="A314" s="43" t="n"/>
      <c r="B314" s="43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</row>
    <row r="315">
      <c r="A315" s="43" t="n"/>
      <c r="B315" s="43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</row>
    <row r="316">
      <c r="A316" s="43" t="n"/>
      <c r="B316" s="43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</row>
    <row r="317">
      <c r="A317" s="43" t="n"/>
      <c r="B317" s="43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</row>
    <row r="318">
      <c r="A318" s="43" t="n"/>
      <c r="B318" s="43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</row>
    <row r="319">
      <c r="A319" s="43" t="n"/>
      <c r="B319" s="43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</row>
    <row r="320">
      <c r="A320" s="43" t="n"/>
      <c r="B320" s="43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</row>
    <row r="321">
      <c r="A321" s="43" t="n"/>
      <c r="B321" s="43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</row>
    <row r="322">
      <c r="A322" s="43" t="n"/>
      <c r="B322" s="43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</row>
    <row r="323">
      <c r="A323" s="43" t="n"/>
      <c r="B323" s="43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</row>
    <row r="324">
      <c r="A324" s="43" t="n"/>
      <c r="B324" s="43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</row>
    <row r="325">
      <c r="A325" s="43" t="n"/>
      <c r="B325" s="43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</row>
    <row r="326">
      <c r="A326" s="43" t="n"/>
      <c r="B326" s="43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</row>
    <row r="327">
      <c r="A327" s="43" t="n"/>
      <c r="B327" s="43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</row>
    <row r="328">
      <c r="A328" s="43" t="n"/>
      <c r="B328" s="43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</row>
    <row r="329">
      <c r="A329" s="43" t="n"/>
      <c r="B329" s="43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</row>
    <row r="330">
      <c r="A330" s="43" t="n"/>
      <c r="B330" s="43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</row>
    <row r="331">
      <c r="A331" s="43" t="n"/>
      <c r="B331" s="43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</row>
    <row r="332">
      <c r="A332" s="43" t="n"/>
      <c r="B332" s="43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</row>
    <row r="333">
      <c r="A333" s="43" t="n"/>
      <c r="B333" s="43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</row>
    <row r="334">
      <c r="A334" s="43" t="n"/>
      <c r="B334" s="43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</row>
    <row r="335">
      <c r="A335" s="43" t="n"/>
      <c r="B335" s="43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</row>
    <row r="336">
      <c r="A336" s="43" t="n"/>
      <c r="B336" s="43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</row>
    <row r="337">
      <c r="A337" s="43" t="n"/>
      <c r="B337" s="43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</row>
    <row r="338">
      <c r="A338" s="43" t="n"/>
      <c r="B338" s="43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</row>
    <row r="339">
      <c r="A339" s="43" t="n"/>
      <c r="B339" s="43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</row>
    <row r="340">
      <c r="A340" s="43" t="n"/>
      <c r="B340" s="43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</row>
    <row r="341">
      <c r="A341" s="43" t="n"/>
      <c r="B341" s="43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</row>
    <row r="342">
      <c r="A342" s="43" t="n"/>
      <c r="B342" s="43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</row>
    <row r="343">
      <c r="A343" s="43" t="n"/>
      <c r="B343" s="43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</row>
    <row r="344">
      <c r="A344" s="43" t="n"/>
      <c r="B344" s="43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</row>
    <row r="345">
      <c r="A345" s="43" t="n"/>
      <c r="B345" s="43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</row>
    <row r="346">
      <c r="A346" s="43" t="n"/>
      <c r="B346" s="43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</row>
    <row r="347">
      <c r="A347" s="43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</row>
    <row r="348">
      <c r="A348" s="43" t="n"/>
      <c r="B348" s="43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</row>
    <row r="349">
      <c r="A349" s="43" t="n"/>
      <c r="B349" s="43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</row>
    <row r="350">
      <c r="A350" s="43" t="n"/>
      <c r="B350" s="43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</row>
    <row r="351">
      <c r="A351" s="43" t="n"/>
      <c r="B351" s="43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</row>
    <row r="352">
      <c r="A352" s="43" t="n"/>
      <c r="B352" s="43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</row>
    <row r="353">
      <c r="A353" s="43" t="n"/>
      <c r="B353" s="43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</row>
    <row r="354">
      <c r="A354" s="43" t="n"/>
      <c r="B354" s="43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</row>
    <row r="355">
      <c r="A355" s="43" t="n"/>
      <c r="B355" s="43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</row>
    <row r="356">
      <c r="A356" s="43" t="n"/>
      <c r="B356" s="43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</row>
    <row r="357">
      <c r="A357" s="43" t="n"/>
      <c r="B357" s="43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</row>
    <row r="358">
      <c r="A358" s="43" t="n"/>
      <c r="B358" s="43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</row>
    <row r="359">
      <c r="A359" s="43" t="n"/>
      <c r="B359" s="43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</row>
    <row r="360">
      <c r="A360" s="43" t="n"/>
      <c r="B360" s="43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</row>
    <row r="361">
      <c r="A361" s="43" t="n"/>
      <c r="B361" s="43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</row>
    <row r="362">
      <c r="A362" s="43" t="n"/>
      <c r="B362" s="43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</row>
    <row r="363">
      <c r="A363" s="43" t="n"/>
      <c r="B363" s="43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</row>
    <row r="364">
      <c r="A364" s="43" t="n"/>
      <c r="B364" s="43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</row>
    <row r="365">
      <c r="A365" s="43" t="n"/>
      <c r="B365" s="43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</row>
    <row r="366">
      <c r="A366" s="43" t="n"/>
      <c r="B366" s="43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</row>
    <row r="367">
      <c r="A367" s="43" t="n"/>
      <c r="B367" s="43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</row>
    <row r="368">
      <c r="A368" s="43" t="n"/>
      <c r="B368" s="43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</row>
    <row r="369">
      <c r="A369" s="43" t="n"/>
      <c r="B369" s="43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</row>
    <row r="370">
      <c r="A370" s="43" t="n"/>
      <c r="B370" s="43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</row>
    <row r="371">
      <c r="A371" s="43" t="n"/>
      <c r="B371" s="43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</row>
    <row r="372">
      <c r="A372" s="43" t="n"/>
      <c r="B372" s="43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</row>
    <row r="373">
      <c r="A373" s="43" t="n"/>
      <c r="B373" s="43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</row>
    <row r="374">
      <c r="A374" s="43" t="n"/>
      <c r="B374" s="43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</row>
    <row r="375">
      <c r="A375" s="43" t="n"/>
      <c r="B375" s="43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</row>
    <row r="376">
      <c r="A376" s="43" t="n"/>
      <c r="B376" s="43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</row>
    <row r="377">
      <c r="A377" s="43" t="n"/>
      <c r="B377" s="43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</row>
    <row r="378">
      <c r="A378" s="43" t="n"/>
      <c r="B378" s="43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</row>
    <row r="379">
      <c r="A379" s="43" t="n"/>
      <c r="B379" s="43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</row>
    <row r="380">
      <c r="A380" s="43" t="n"/>
      <c r="B380" s="43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</row>
    <row r="381">
      <c r="A381" s="43" t="n"/>
      <c r="B381" s="43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</row>
    <row r="382">
      <c r="A382" s="43" t="n"/>
      <c r="B382" s="43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</row>
    <row r="383">
      <c r="A383" s="43" t="n"/>
      <c r="B383" s="43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</row>
    <row r="384">
      <c r="A384" s="43" t="n"/>
      <c r="B384" s="43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</row>
    <row r="385">
      <c r="A385" s="43" t="n"/>
      <c r="B385" s="43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</row>
    <row r="386">
      <c r="A386" s="43" t="n"/>
      <c r="B386" s="43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</row>
    <row r="387">
      <c r="A387" s="43" t="n"/>
      <c r="B387" s="43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</row>
    <row r="388">
      <c r="A388" s="43" t="n"/>
      <c r="B388" s="43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</row>
    <row r="389">
      <c r="A389" s="43" t="n"/>
      <c r="B389" s="43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</row>
    <row r="390">
      <c r="A390" s="43" t="n"/>
      <c r="B390" s="43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</row>
    <row r="391">
      <c r="A391" s="43" t="n"/>
      <c r="B391" s="43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</row>
    <row r="392">
      <c r="A392" s="43" t="n"/>
      <c r="B392" s="43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</row>
    <row r="393">
      <c r="A393" s="43" t="n"/>
      <c r="B393" s="43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</row>
    <row r="394">
      <c r="A394" s="43" t="n"/>
      <c r="B394" s="43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</row>
    <row r="395">
      <c r="A395" s="43" t="n"/>
      <c r="B395" s="43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</row>
    <row r="396">
      <c r="A396" s="43" t="n"/>
      <c r="B396" s="43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</row>
    <row r="397">
      <c r="A397" s="43" t="n"/>
      <c r="B397" s="43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</row>
    <row r="398">
      <c r="A398" s="43" t="n"/>
      <c r="B398" s="43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</row>
    <row r="399">
      <c r="A399" s="43" t="n"/>
      <c r="B399" s="43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</row>
    <row r="400">
      <c r="A400" s="43" t="n"/>
      <c r="B400" s="43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</row>
    <row r="401">
      <c r="A401" s="43" t="n"/>
      <c r="B401" s="43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</row>
    <row r="402">
      <c r="A402" s="43" t="n"/>
      <c r="B402" s="43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</row>
    <row r="403">
      <c r="A403" s="43" t="n"/>
      <c r="B403" s="43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</row>
    <row r="404">
      <c r="A404" s="43" t="n"/>
      <c r="B404" s="43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</row>
    <row r="405">
      <c r="A405" s="43" t="n"/>
      <c r="B405" s="43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</row>
    <row r="406">
      <c r="A406" s="43" t="n"/>
      <c r="B406" s="43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</row>
    <row r="407">
      <c r="A407" s="43" t="n"/>
      <c r="B407" s="43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</row>
    <row r="408">
      <c r="A408" s="43" t="n"/>
      <c r="B408" s="43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</row>
    <row r="409">
      <c r="A409" s="43" t="n"/>
      <c r="B409" s="43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</row>
    <row r="410">
      <c r="A410" s="43" t="n"/>
      <c r="B410" s="43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</row>
    <row r="411">
      <c r="A411" s="43" t="n"/>
      <c r="B411" s="43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</row>
    <row r="412">
      <c r="A412" s="43" t="n"/>
      <c r="B412" s="43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</row>
    <row r="413">
      <c r="A413" s="43" t="n"/>
      <c r="B413" s="43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</row>
    <row r="414">
      <c r="A414" s="43" t="n"/>
      <c r="B414" s="43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</row>
    <row r="415">
      <c r="A415" s="43" t="n"/>
      <c r="B415" s="43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</row>
    <row r="416">
      <c r="A416" s="43" t="n"/>
      <c r="B416" s="43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</row>
    <row r="417">
      <c r="A417" s="43" t="n"/>
      <c r="B417" s="43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</row>
    <row r="418">
      <c r="A418" s="43" t="n"/>
      <c r="B418" s="43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</row>
    <row r="419">
      <c r="A419" s="43" t="n"/>
      <c r="B419" s="43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</row>
    <row r="420">
      <c r="A420" s="43" t="n"/>
      <c r="B420" s="43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</row>
    <row r="421">
      <c r="A421" s="43" t="n"/>
      <c r="B421" s="43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</row>
    <row r="422">
      <c r="A422" s="43" t="n"/>
      <c r="B422" s="43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</row>
    <row r="423">
      <c r="A423" s="43" t="n"/>
      <c r="B423" s="43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</row>
    <row r="424">
      <c r="A424" s="43" t="n"/>
      <c r="B424" s="43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</row>
    <row r="425">
      <c r="A425" s="43" t="n"/>
      <c r="B425" s="43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</row>
    <row r="426">
      <c r="A426" s="43" t="n"/>
      <c r="B426" s="43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</row>
    <row r="427">
      <c r="A427" s="43" t="n"/>
      <c r="B427" s="43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</row>
    <row r="428">
      <c r="A428" s="43" t="n"/>
      <c r="B428" s="43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</row>
    <row r="429">
      <c r="A429" s="43" t="n"/>
      <c r="B429" s="43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</row>
    <row r="430">
      <c r="A430" s="43" t="n"/>
      <c r="B430" s="43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</row>
    <row r="431">
      <c r="A431" s="43" t="n"/>
      <c r="B431" s="43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</row>
    <row r="432">
      <c r="A432" s="43" t="n"/>
      <c r="B432" s="43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</row>
    <row r="433">
      <c r="A433" s="43" t="n"/>
      <c r="B433" s="43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</row>
    <row r="434">
      <c r="A434" s="43" t="n"/>
      <c r="B434" s="43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</row>
    <row r="435">
      <c r="A435" s="43" t="n"/>
      <c r="B435" s="43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</row>
    <row r="436">
      <c r="A436" s="43" t="n"/>
      <c r="B436" s="43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</row>
    <row r="437">
      <c r="A437" s="43" t="n"/>
      <c r="B437" s="43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</row>
    <row r="438">
      <c r="A438" s="43" t="n"/>
      <c r="B438" s="43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</row>
    <row r="439">
      <c r="A439" s="43" t="n"/>
      <c r="B439" s="43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</row>
    <row r="440">
      <c r="A440" s="43" t="n"/>
      <c r="B440" s="43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</row>
    <row r="441">
      <c r="A441" s="43" t="n"/>
      <c r="B441" s="43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</row>
    <row r="442">
      <c r="A442" s="43" t="n"/>
      <c r="B442" s="43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</row>
    <row r="443">
      <c r="A443" s="43" t="n"/>
      <c r="B443" s="43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</row>
    <row r="444">
      <c r="A444" s="43" t="n"/>
      <c r="B444" s="43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</row>
    <row r="445">
      <c r="A445" s="43" t="n"/>
      <c r="B445" s="43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</row>
    <row r="446">
      <c r="A446" s="43" t="n"/>
      <c r="B446" s="43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</row>
    <row r="447">
      <c r="A447" s="43" t="n"/>
      <c r="B447" s="43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</row>
    <row r="448">
      <c r="A448" s="43" t="n"/>
      <c r="B448" s="43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</row>
    <row r="449">
      <c r="A449" s="43" t="n"/>
      <c r="B449" s="43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</row>
    <row r="450">
      <c r="A450" s="43" t="n"/>
      <c r="B450" s="43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</row>
    <row r="451">
      <c r="A451" s="43" t="n"/>
      <c r="B451" s="43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</row>
    <row r="452">
      <c r="A452" s="43" t="n"/>
      <c r="B452" s="43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</row>
    <row r="453">
      <c r="A453" s="43" t="n"/>
      <c r="B453" s="43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</row>
    <row r="454">
      <c r="A454" s="43" t="n"/>
      <c r="B454" s="43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</row>
    <row r="455">
      <c r="A455" s="43" t="n"/>
      <c r="B455" s="43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</row>
    <row r="456">
      <c r="A456" s="43" t="n"/>
      <c r="B456" s="43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</row>
    <row r="457">
      <c r="A457" s="43" t="n"/>
      <c r="B457" s="43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</row>
    <row r="458">
      <c r="A458" s="43" t="n"/>
      <c r="B458" s="43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</row>
    <row r="459">
      <c r="A459" s="43" t="n"/>
      <c r="B459" s="43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</row>
    <row r="460">
      <c r="A460" s="43" t="n"/>
      <c r="B460" s="43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</row>
    <row r="461">
      <c r="A461" s="43" t="n"/>
      <c r="B461" s="43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</row>
    <row r="462">
      <c r="A462" s="43" t="n"/>
      <c r="B462" s="43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</row>
    <row r="463">
      <c r="A463" s="43" t="n"/>
      <c r="B463" s="43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</row>
    <row r="464">
      <c r="A464" s="43" t="n"/>
      <c r="B464" s="43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</row>
    <row r="465">
      <c r="A465" s="43" t="n"/>
      <c r="B465" s="43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</row>
    <row r="466">
      <c r="A466" s="43" t="n"/>
      <c r="B466" s="43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</row>
    <row r="467">
      <c r="A467" s="43" t="n"/>
      <c r="B467" s="43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</row>
    <row r="468">
      <c r="A468" s="43" t="n"/>
      <c r="B468" s="43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</row>
    <row r="469">
      <c r="A469" s="43" t="n"/>
      <c r="B469" s="43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</row>
    <row r="470">
      <c r="A470" s="43" t="n"/>
      <c r="B470" s="43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</row>
    <row r="471">
      <c r="A471" s="43" t="n"/>
      <c r="B471" s="43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</row>
    <row r="472">
      <c r="A472" s="43" t="n"/>
      <c r="B472" s="43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</row>
    <row r="473">
      <c r="A473" s="43" t="n"/>
      <c r="B473" s="43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</row>
    <row r="474">
      <c r="A474" s="43" t="n"/>
      <c r="B474" s="43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</row>
    <row r="475">
      <c r="A475" s="43" t="n"/>
      <c r="B475" s="43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</row>
    <row r="476">
      <c r="A476" s="43" t="n"/>
      <c r="B476" s="43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</row>
    <row r="477">
      <c r="A477" s="43" t="n"/>
      <c r="B477" s="43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</row>
    <row r="478">
      <c r="A478" s="43" t="n"/>
      <c r="B478" s="43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</row>
    <row r="479">
      <c r="A479" s="43" t="n"/>
      <c r="B479" s="43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</row>
    <row r="480">
      <c r="A480" s="43" t="n"/>
      <c r="B480" s="43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</row>
    <row r="481">
      <c r="A481" s="43" t="n"/>
      <c r="B481" s="43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</row>
    <row r="482">
      <c r="A482" s="43" t="n"/>
      <c r="B482" s="43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</row>
    <row r="483">
      <c r="A483" s="43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</row>
    <row r="484">
      <c r="A484" s="43" t="n"/>
      <c r="B484" s="43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</row>
    <row r="485">
      <c r="A485" s="43" t="n"/>
      <c r="B485" s="43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</row>
    <row r="486">
      <c r="A486" s="43" t="n"/>
      <c r="B486" s="43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</row>
    <row r="487">
      <c r="A487" s="43" t="n"/>
      <c r="B487" s="43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</row>
    <row r="488">
      <c r="A488" s="43" t="n"/>
      <c r="B488" s="43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</row>
    <row r="489">
      <c r="A489" s="43" t="n"/>
      <c r="B489" s="43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</row>
    <row r="490">
      <c r="A490" s="43" t="n"/>
      <c r="B490" s="43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</row>
    <row r="491">
      <c r="A491" s="43" t="n"/>
      <c r="B491" s="43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</row>
    <row r="492">
      <c r="A492" s="43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</row>
    <row r="493">
      <c r="A493" s="43" t="n"/>
      <c r="B493" s="43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</row>
    <row r="494">
      <c r="A494" s="43" t="n"/>
      <c r="B494" s="43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</row>
    <row r="495">
      <c r="A495" s="43" t="n"/>
      <c r="B495" s="43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</row>
    <row r="496">
      <c r="A496" s="43" t="n"/>
      <c r="B496" s="43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</row>
    <row r="497">
      <c r="A497" s="43" t="n"/>
      <c r="B497" s="43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</row>
    <row r="498">
      <c r="A498" s="43" t="n"/>
      <c r="B498" s="43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</row>
    <row r="499">
      <c r="A499" s="43" t="n"/>
      <c r="B499" s="43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</row>
    <row r="500">
      <c r="A500" s="43" t="n"/>
      <c r="B500" s="43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</row>
  </sheetData>
  <autoFilter ref="A1:P80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2026-07-09T18:47:50Z</dcterms:created>
  <dcterms:modified xsi:type="dcterms:W3CDTF">2026-07-09T23:26:44Z</dcterms:modified>
  <cp:lastModifiedBy>Contacto Nuvaoxi</cp:lastModifiedBy>
</cp:coreProperties>
</file>