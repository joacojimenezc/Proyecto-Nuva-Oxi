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conchaytoro365-my.sharepoint.com/personal/jose_vidal_conchaytoro_cl/Documents/Escritorio/CRM v2/store/"/>
    </mc:Choice>
  </mc:AlternateContent>
  <xr:revisionPtr revIDLastSave="0" documentId="14_{FBA644F4-18AE-4F18-98E8-91FC14B9D719}" xr6:coauthVersionLast="47" xr6:coauthVersionMax="47" xr10:uidLastSave="{00000000-0000-0000-0000-000000000000}"/>
  <bookViews>
    <workbookView xWindow="28680" yWindow="2175" windowWidth="29040" windowHeight="15720" activeTab="4" xr2:uid="{00000000-000D-0000-FFFF-FFFF00000000}"/>
  </bookViews>
  <sheets>
    <sheet name="Inicio" sheetId="1" r:id="rId1"/>
    <sheet name="Guia" sheetId="2" r:id="rId2"/>
    <sheet name="Dashboard" sheetId="3" r:id="rId3"/>
    <sheet name="Resumen" sheetId="4" r:id="rId4"/>
    <sheet name="Plan_Inventario" sheetId="5" r:id="rId5"/>
    <sheet name="Bodegas" sheetId="6" r:id="rId6"/>
    <sheet name="Cobertura" sheetId="7" r:id="rId7"/>
    <sheet name="Clientes_PDV" sheetId="8" r:id="rId8"/>
    <sheet name="Ventas_SellIn" sheetId="9" r:id="rId9"/>
    <sheet name="Condiciones Clientes" sheetId="10" r:id="rId10"/>
    <sheet name="SellOut_Jumbo" sheetId="11" r:id="rId11"/>
    <sheet name="Stock_PDV" sheetId="12" r:id="rId12"/>
    <sheet name="Maestro_SKU" sheetId="13" r:id="rId13"/>
  </sheets>
  <definedNames>
    <definedName name="_xlnm._FilterDatabase" localSheetId="5" hidden="1">Bodegas!$A$1:$H$50</definedName>
    <definedName name="_xlnm._FilterDatabase" localSheetId="7" hidden="1">Clientes_PDV!$A$1:$P$250</definedName>
    <definedName name="_xlnm._FilterDatabase" localSheetId="6" hidden="1">Cobertura!$A$1:$T$250</definedName>
    <definedName name="_xlnm._FilterDatabase" localSheetId="9" hidden="1">'Condiciones Clientes'!$A$1:$G$101</definedName>
    <definedName name="_xlnm._FilterDatabase" localSheetId="12" hidden="1">Maestro_SKU!$A$1:$P$80</definedName>
    <definedName name="_xlnm._FilterDatabase" localSheetId="4" hidden="1">Plan_Inventario!$A$1:$I$81</definedName>
    <definedName name="_xlnm._FilterDatabase" localSheetId="10" hidden="1">SellOut_Jumbo!$A$1:$O$800</definedName>
    <definedName name="_xlnm._FilterDatabase" localSheetId="11" hidden="1">Stock_PDV!$A$1:$K$800</definedName>
    <definedName name="_xlnm._FilterDatabase" localSheetId="8" hidden="1">Ventas_SellIn!$A$1:$Z$800</definedName>
    <definedName name="cfg_AnioResumen">Resumen!$B$3</definedName>
    <definedName name="cfg_DiasCobertura">Inicio!$B$29</definedName>
    <definedName name="cfg_DiasVencer">Inicio!$B$19</definedName>
    <definedName name="cfg_IVA">Inicio!$B$13</definedName>
    <definedName name="cfg_MontoPendiente">Inicio!$B$18</definedName>
    <definedName name="cfg_PctSeguridad">Inicio!$B$30</definedName>
    <definedName name="cfg_StockCritico">Inicio!$B$16</definedName>
    <definedName name="cfg_StockObservar">Inicio!$B$17</definedName>
    <definedName name="cfg_VentaAlta">Inicio!$B$34</definedName>
    <definedName name="cfg_VentaBaja">Inicio!$B$15</definedName>
    <definedName name="cfg_VentanaDemanda">Inicio!$B$31</definedName>
    <definedName name="cfg_VentaRecienteDias">Inicio!$B$14</definedName>
    <definedName name="lst_Bodega">Bodegas!$A$2:$A$50</definedName>
    <definedName name="lst_Canal">Inicio!$E$5:$E$13</definedName>
    <definedName name="lst_CondPago">Inicio!$H$5:$H$9</definedName>
    <definedName name="lst_EstadoCliente">Inicio!$G$5:$G$8</definedName>
    <definedName name="lst_Frecuencia">Inicio!$K$5:$K$7</definedName>
    <definedName name="lst_StatusPago">Inicio!$F$5:$F$9</definedName>
    <definedName name="rng_PDV">Clientes_PDV!$A$2:$A$250</definedName>
    <definedName name="rng_SKU">Maestro_SKU!$A$2:$A$500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9" l="1"/>
  <c r="J800" i="12"/>
  <c r="H800" i="12"/>
  <c r="F800" i="12"/>
  <c r="D800" i="12"/>
  <c r="C800" i="12"/>
  <c r="B800" i="12"/>
  <c r="J799" i="12"/>
  <c r="H799" i="12"/>
  <c r="F799" i="12"/>
  <c r="D799" i="12"/>
  <c r="C799" i="12"/>
  <c r="B799" i="12"/>
  <c r="J798" i="12"/>
  <c r="H798" i="12"/>
  <c r="F798" i="12"/>
  <c r="D798" i="12"/>
  <c r="C798" i="12"/>
  <c r="B798" i="12"/>
  <c r="J797" i="12"/>
  <c r="H797" i="12"/>
  <c r="F797" i="12"/>
  <c r="D797" i="12"/>
  <c r="C797" i="12"/>
  <c r="B797" i="12"/>
  <c r="J796" i="12"/>
  <c r="H796" i="12"/>
  <c r="F796" i="12"/>
  <c r="D796" i="12"/>
  <c r="C796" i="12"/>
  <c r="B796" i="12"/>
  <c r="J795" i="12"/>
  <c r="H795" i="12"/>
  <c r="F795" i="12"/>
  <c r="D795" i="12"/>
  <c r="C795" i="12"/>
  <c r="B795" i="12"/>
  <c r="J794" i="12"/>
  <c r="H794" i="12"/>
  <c r="F794" i="12"/>
  <c r="D794" i="12"/>
  <c r="C794" i="12"/>
  <c r="B794" i="12"/>
  <c r="J793" i="12"/>
  <c r="H793" i="12"/>
  <c r="F793" i="12"/>
  <c r="D793" i="12"/>
  <c r="C793" i="12"/>
  <c r="B793" i="12"/>
  <c r="J792" i="12"/>
  <c r="H792" i="12"/>
  <c r="F792" i="12"/>
  <c r="D792" i="12"/>
  <c r="C792" i="12"/>
  <c r="B792" i="12"/>
  <c r="J791" i="12"/>
  <c r="H791" i="12"/>
  <c r="F791" i="12"/>
  <c r="D791" i="12"/>
  <c r="C791" i="12"/>
  <c r="B791" i="12"/>
  <c r="J790" i="12"/>
  <c r="H790" i="12"/>
  <c r="F790" i="12"/>
  <c r="D790" i="12"/>
  <c r="C790" i="12"/>
  <c r="B790" i="12"/>
  <c r="J789" i="12"/>
  <c r="H789" i="12"/>
  <c r="F789" i="12"/>
  <c r="D789" i="12"/>
  <c r="C789" i="12"/>
  <c r="B789" i="12"/>
  <c r="J788" i="12"/>
  <c r="H788" i="12"/>
  <c r="F788" i="12"/>
  <c r="D788" i="12"/>
  <c r="C788" i="12"/>
  <c r="B788" i="12"/>
  <c r="J787" i="12"/>
  <c r="H787" i="12"/>
  <c r="F787" i="12"/>
  <c r="D787" i="12"/>
  <c r="C787" i="12"/>
  <c r="B787" i="12"/>
  <c r="J786" i="12"/>
  <c r="H786" i="12"/>
  <c r="F786" i="12"/>
  <c r="D786" i="12"/>
  <c r="C786" i="12"/>
  <c r="B786" i="12"/>
  <c r="J785" i="12"/>
  <c r="H785" i="12"/>
  <c r="F785" i="12"/>
  <c r="D785" i="12"/>
  <c r="C785" i="12"/>
  <c r="B785" i="12"/>
  <c r="J784" i="12"/>
  <c r="H784" i="12"/>
  <c r="F784" i="12"/>
  <c r="D784" i="12"/>
  <c r="C784" i="12"/>
  <c r="B784" i="12"/>
  <c r="J783" i="12"/>
  <c r="H783" i="12"/>
  <c r="F783" i="12"/>
  <c r="D783" i="12"/>
  <c r="C783" i="12"/>
  <c r="B783" i="12"/>
  <c r="J782" i="12"/>
  <c r="H782" i="12"/>
  <c r="F782" i="12"/>
  <c r="D782" i="12"/>
  <c r="C782" i="12"/>
  <c r="B782" i="12"/>
  <c r="J781" i="12"/>
  <c r="H781" i="12"/>
  <c r="F781" i="12"/>
  <c r="D781" i="12"/>
  <c r="C781" i="12"/>
  <c r="B781" i="12"/>
  <c r="J780" i="12"/>
  <c r="H780" i="12"/>
  <c r="F780" i="12"/>
  <c r="D780" i="12"/>
  <c r="C780" i="12"/>
  <c r="B780" i="12"/>
  <c r="J779" i="12"/>
  <c r="H779" i="12"/>
  <c r="F779" i="12"/>
  <c r="D779" i="12"/>
  <c r="C779" i="12"/>
  <c r="B779" i="12"/>
  <c r="J778" i="12"/>
  <c r="H778" i="12"/>
  <c r="F778" i="12"/>
  <c r="D778" i="12"/>
  <c r="C778" i="12"/>
  <c r="B778" i="12"/>
  <c r="J777" i="12"/>
  <c r="H777" i="12"/>
  <c r="F777" i="12"/>
  <c r="D777" i="12"/>
  <c r="C777" i="12"/>
  <c r="B777" i="12"/>
  <c r="J776" i="12"/>
  <c r="H776" i="12"/>
  <c r="F776" i="12"/>
  <c r="D776" i="12"/>
  <c r="C776" i="12"/>
  <c r="B776" i="12"/>
  <c r="J775" i="12"/>
  <c r="H775" i="12"/>
  <c r="F775" i="12"/>
  <c r="D775" i="12"/>
  <c r="C775" i="12"/>
  <c r="B775" i="12"/>
  <c r="J774" i="12"/>
  <c r="H774" i="12"/>
  <c r="F774" i="12"/>
  <c r="D774" i="12"/>
  <c r="C774" i="12"/>
  <c r="B774" i="12"/>
  <c r="J773" i="12"/>
  <c r="H773" i="12"/>
  <c r="F773" i="12"/>
  <c r="D773" i="12"/>
  <c r="C773" i="12"/>
  <c r="B773" i="12"/>
  <c r="J772" i="12"/>
  <c r="H772" i="12"/>
  <c r="F772" i="12"/>
  <c r="D772" i="12"/>
  <c r="C772" i="12"/>
  <c r="B772" i="12"/>
  <c r="J771" i="12"/>
  <c r="H771" i="12"/>
  <c r="F771" i="12"/>
  <c r="D771" i="12"/>
  <c r="C771" i="12"/>
  <c r="B771" i="12"/>
  <c r="J770" i="12"/>
  <c r="H770" i="12"/>
  <c r="F770" i="12"/>
  <c r="D770" i="12"/>
  <c r="C770" i="12"/>
  <c r="B770" i="12"/>
  <c r="J769" i="12"/>
  <c r="H769" i="12"/>
  <c r="F769" i="12"/>
  <c r="D769" i="12"/>
  <c r="C769" i="12"/>
  <c r="B769" i="12"/>
  <c r="J768" i="12"/>
  <c r="H768" i="12"/>
  <c r="F768" i="12"/>
  <c r="D768" i="12"/>
  <c r="C768" i="12"/>
  <c r="B768" i="12"/>
  <c r="J767" i="12"/>
  <c r="H767" i="12"/>
  <c r="F767" i="12"/>
  <c r="D767" i="12"/>
  <c r="C767" i="12"/>
  <c r="B767" i="12"/>
  <c r="J766" i="12"/>
  <c r="H766" i="12"/>
  <c r="F766" i="12"/>
  <c r="D766" i="12"/>
  <c r="C766" i="12"/>
  <c r="B766" i="12"/>
  <c r="J765" i="12"/>
  <c r="H765" i="12"/>
  <c r="F765" i="12"/>
  <c r="D765" i="12"/>
  <c r="C765" i="12"/>
  <c r="B765" i="12"/>
  <c r="J764" i="12"/>
  <c r="H764" i="12"/>
  <c r="F764" i="12"/>
  <c r="D764" i="12"/>
  <c r="C764" i="12"/>
  <c r="B764" i="12"/>
  <c r="J763" i="12"/>
  <c r="H763" i="12"/>
  <c r="F763" i="12"/>
  <c r="D763" i="12"/>
  <c r="C763" i="12"/>
  <c r="B763" i="12"/>
  <c r="J762" i="12"/>
  <c r="H762" i="12"/>
  <c r="F762" i="12"/>
  <c r="D762" i="12"/>
  <c r="C762" i="12"/>
  <c r="B762" i="12"/>
  <c r="J761" i="12"/>
  <c r="H761" i="12"/>
  <c r="F761" i="12"/>
  <c r="D761" i="12"/>
  <c r="C761" i="12"/>
  <c r="B761" i="12"/>
  <c r="J760" i="12"/>
  <c r="H760" i="12"/>
  <c r="F760" i="12"/>
  <c r="D760" i="12"/>
  <c r="C760" i="12"/>
  <c r="B760" i="12"/>
  <c r="J759" i="12"/>
  <c r="H759" i="12"/>
  <c r="F759" i="12"/>
  <c r="D759" i="12"/>
  <c r="C759" i="12"/>
  <c r="B759" i="12"/>
  <c r="J758" i="12"/>
  <c r="H758" i="12"/>
  <c r="F758" i="12"/>
  <c r="D758" i="12"/>
  <c r="C758" i="12"/>
  <c r="B758" i="12"/>
  <c r="J757" i="12"/>
  <c r="H757" i="12"/>
  <c r="F757" i="12"/>
  <c r="D757" i="12"/>
  <c r="C757" i="12"/>
  <c r="B757" i="12"/>
  <c r="J756" i="12"/>
  <c r="H756" i="12"/>
  <c r="F756" i="12"/>
  <c r="D756" i="12"/>
  <c r="C756" i="12"/>
  <c r="B756" i="12"/>
  <c r="J755" i="12"/>
  <c r="H755" i="12"/>
  <c r="F755" i="12"/>
  <c r="D755" i="12"/>
  <c r="C755" i="12"/>
  <c r="B755" i="12"/>
  <c r="J754" i="12"/>
  <c r="H754" i="12"/>
  <c r="F754" i="12"/>
  <c r="D754" i="12"/>
  <c r="C754" i="12"/>
  <c r="B754" i="12"/>
  <c r="J753" i="12"/>
  <c r="H753" i="12"/>
  <c r="F753" i="12"/>
  <c r="D753" i="12"/>
  <c r="C753" i="12"/>
  <c r="B753" i="12"/>
  <c r="J752" i="12"/>
  <c r="H752" i="12"/>
  <c r="F752" i="12"/>
  <c r="D752" i="12"/>
  <c r="C752" i="12"/>
  <c r="B752" i="12"/>
  <c r="J751" i="12"/>
  <c r="H751" i="12"/>
  <c r="F751" i="12"/>
  <c r="D751" i="12"/>
  <c r="C751" i="12"/>
  <c r="B751" i="12"/>
  <c r="J750" i="12"/>
  <c r="H750" i="12"/>
  <c r="F750" i="12"/>
  <c r="D750" i="12"/>
  <c r="C750" i="12"/>
  <c r="B750" i="12"/>
  <c r="J749" i="12"/>
  <c r="H749" i="12"/>
  <c r="F749" i="12"/>
  <c r="D749" i="12"/>
  <c r="C749" i="12"/>
  <c r="B749" i="12"/>
  <c r="J748" i="12"/>
  <c r="H748" i="12"/>
  <c r="F748" i="12"/>
  <c r="D748" i="12"/>
  <c r="C748" i="12"/>
  <c r="B748" i="12"/>
  <c r="J747" i="12"/>
  <c r="H747" i="12"/>
  <c r="F747" i="12"/>
  <c r="D747" i="12"/>
  <c r="C747" i="12"/>
  <c r="B747" i="12"/>
  <c r="J746" i="12"/>
  <c r="H746" i="12"/>
  <c r="F746" i="12"/>
  <c r="D746" i="12"/>
  <c r="C746" i="12"/>
  <c r="B746" i="12"/>
  <c r="J745" i="12"/>
  <c r="H745" i="12"/>
  <c r="F745" i="12"/>
  <c r="D745" i="12"/>
  <c r="C745" i="12"/>
  <c r="B745" i="12"/>
  <c r="J744" i="12"/>
  <c r="H744" i="12"/>
  <c r="F744" i="12"/>
  <c r="D744" i="12"/>
  <c r="C744" i="12"/>
  <c r="B744" i="12"/>
  <c r="J743" i="12"/>
  <c r="H743" i="12"/>
  <c r="F743" i="12"/>
  <c r="D743" i="12"/>
  <c r="C743" i="12"/>
  <c r="B743" i="12"/>
  <c r="J742" i="12"/>
  <c r="H742" i="12"/>
  <c r="F742" i="12"/>
  <c r="D742" i="12"/>
  <c r="C742" i="12"/>
  <c r="B742" i="12"/>
  <c r="J741" i="12"/>
  <c r="H741" i="12"/>
  <c r="F741" i="12"/>
  <c r="D741" i="12"/>
  <c r="C741" i="12"/>
  <c r="B741" i="12"/>
  <c r="J740" i="12"/>
  <c r="H740" i="12"/>
  <c r="F740" i="12"/>
  <c r="D740" i="12"/>
  <c r="C740" i="12"/>
  <c r="B740" i="12"/>
  <c r="J739" i="12"/>
  <c r="H739" i="12"/>
  <c r="F739" i="12"/>
  <c r="D739" i="12"/>
  <c r="C739" i="12"/>
  <c r="B739" i="12"/>
  <c r="J738" i="12"/>
  <c r="H738" i="12"/>
  <c r="F738" i="12"/>
  <c r="D738" i="12"/>
  <c r="C738" i="12"/>
  <c r="B738" i="12"/>
  <c r="J737" i="12"/>
  <c r="H737" i="12"/>
  <c r="F737" i="12"/>
  <c r="D737" i="12"/>
  <c r="C737" i="12"/>
  <c r="B737" i="12"/>
  <c r="J736" i="12"/>
  <c r="H736" i="12"/>
  <c r="F736" i="12"/>
  <c r="D736" i="12"/>
  <c r="C736" i="12"/>
  <c r="B736" i="12"/>
  <c r="J735" i="12"/>
  <c r="H735" i="12"/>
  <c r="F735" i="12"/>
  <c r="D735" i="12"/>
  <c r="C735" i="12"/>
  <c r="B735" i="12"/>
  <c r="J734" i="12"/>
  <c r="H734" i="12"/>
  <c r="F734" i="12"/>
  <c r="D734" i="12"/>
  <c r="C734" i="12"/>
  <c r="B734" i="12"/>
  <c r="J733" i="12"/>
  <c r="H733" i="12"/>
  <c r="F733" i="12"/>
  <c r="D733" i="12"/>
  <c r="C733" i="12"/>
  <c r="B733" i="12"/>
  <c r="J732" i="12"/>
  <c r="H732" i="12"/>
  <c r="F732" i="12"/>
  <c r="D732" i="12"/>
  <c r="C732" i="12"/>
  <c r="B732" i="12"/>
  <c r="J731" i="12"/>
  <c r="H731" i="12"/>
  <c r="F731" i="12"/>
  <c r="D731" i="12"/>
  <c r="C731" i="12"/>
  <c r="B731" i="12"/>
  <c r="J730" i="12"/>
  <c r="H730" i="12"/>
  <c r="F730" i="12"/>
  <c r="D730" i="12"/>
  <c r="C730" i="12"/>
  <c r="B730" i="12"/>
  <c r="J729" i="12"/>
  <c r="H729" i="12"/>
  <c r="F729" i="12"/>
  <c r="D729" i="12"/>
  <c r="C729" i="12"/>
  <c r="B729" i="12"/>
  <c r="J728" i="12"/>
  <c r="H728" i="12"/>
  <c r="F728" i="12"/>
  <c r="D728" i="12"/>
  <c r="C728" i="12"/>
  <c r="B728" i="12"/>
  <c r="J727" i="12"/>
  <c r="H727" i="12"/>
  <c r="F727" i="12"/>
  <c r="D727" i="12"/>
  <c r="C727" i="12"/>
  <c r="B727" i="12"/>
  <c r="J726" i="12"/>
  <c r="H726" i="12"/>
  <c r="F726" i="12"/>
  <c r="D726" i="12"/>
  <c r="C726" i="12"/>
  <c r="B726" i="12"/>
  <c r="J725" i="12"/>
  <c r="H725" i="12"/>
  <c r="F725" i="12"/>
  <c r="D725" i="12"/>
  <c r="C725" i="12"/>
  <c r="B725" i="12"/>
  <c r="J724" i="12"/>
  <c r="H724" i="12"/>
  <c r="F724" i="12"/>
  <c r="D724" i="12"/>
  <c r="C724" i="12"/>
  <c r="B724" i="12"/>
  <c r="J723" i="12"/>
  <c r="H723" i="12"/>
  <c r="F723" i="12"/>
  <c r="D723" i="12"/>
  <c r="C723" i="12"/>
  <c r="B723" i="12"/>
  <c r="J722" i="12"/>
  <c r="H722" i="12"/>
  <c r="F722" i="12"/>
  <c r="D722" i="12"/>
  <c r="C722" i="12"/>
  <c r="B722" i="12"/>
  <c r="J721" i="12"/>
  <c r="H721" i="12"/>
  <c r="F721" i="12"/>
  <c r="D721" i="12"/>
  <c r="C721" i="12"/>
  <c r="B721" i="12"/>
  <c r="J720" i="12"/>
  <c r="H720" i="12"/>
  <c r="F720" i="12"/>
  <c r="D720" i="12"/>
  <c r="C720" i="12"/>
  <c r="B720" i="12"/>
  <c r="J719" i="12"/>
  <c r="H719" i="12"/>
  <c r="F719" i="12"/>
  <c r="D719" i="12"/>
  <c r="C719" i="12"/>
  <c r="B719" i="12"/>
  <c r="J718" i="12"/>
  <c r="H718" i="12"/>
  <c r="F718" i="12"/>
  <c r="D718" i="12"/>
  <c r="C718" i="12"/>
  <c r="B718" i="12"/>
  <c r="J717" i="12"/>
  <c r="H717" i="12"/>
  <c r="F717" i="12"/>
  <c r="D717" i="12"/>
  <c r="C717" i="12"/>
  <c r="B717" i="12"/>
  <c r="J716" i="12"/>
  <c r="H716" i="12"/>
  <c r="F716" i="12"/>
  <c r="D716" i="12"/>
  <c r="C716" i="12"/>
  <c r="B716" i="12"/>
  <c r="J715" i="12"/>
  <c r="H715" i="12"/>
  <c r="F715" i="12"/>
  <c r="D715" i="12"/>
  <c r="C715" i="12"/>
  <c r="B715" i="12"/>
  <c r="J714" i="12"/>
  <c r="H714" i="12"/>
  <c r="F714" i="12"/>
  <c r="D714" i="12"/>
  <c r="C714" i="12"/>
  <c r="B714" i="12"/>
  <c r="J713" i="12"/>
  <c r="H713" i="12"/>
  <c r="F713" i="12"/>
  <c r="D713" i="12"/>
  <c r="C713" i="12"/>
  <c r="B713" i="12"/>
  <c r="J712" i="12"/>
  <c r="H712" i="12"/>
  <c r="F712" i="12"/>
  <c r="D712" i="12"/>
  <c r="C712" i="12"/>
  <c r="B712" i="12"/>
  <c r="J711" i="12"/>
  <c r="H711" i="12"/>
  <c r="F711" i="12"/>
  <c r="D711" i="12"/>
  <c r="C711" i="12"/>
  <c r="B711" i="12"/>
  <c r="J710" i="12"/>
  <c r="H710" i="12"/>
  <c r="F710" i="12"/>
  <c r="D710" i="12"/>
  <c r="C710" i="12"/>
  <c r="B710" i="12"/>
  <c r="J709" i="12"/>
  <c r="H709" i="12"/>
  <c r="F709" i="12"/>
  <c r="D709" i="12"/>
  <c r="C709" i="12"/>
  <c r="B709" i="12"/>
  <c r="J708" i="12"/>
  <c r="H708" i="12"/>
  <c r="F708" i="12"/>
  <c r="D708" i="12"/>
  <c r="C708" i="12"/>
  <c r="B708" i="12"/>
  <c r="J707" i="12"/>
  <c r="H707" i="12"/>
  <c r="F707" i="12"/>
  <c r="D707" i="12"/>
  <c r="C707" i="12"/>
  <c r="B707" i="12"/>
  <c r="J706" i="12"/>
  <c r="H706" i="12"/>
  <c r="F706" i="12"/>
  <c r="D706" i="12"/>
  <c r="C706" i="12"/>
  <c r="B706" i="12"/>
  <c r="J705" i="12"/>
  <c r="H705" i="12"/>
  <c r="F705" i="12"/>
  <c r="D705" i="12"/>
  <c r="C705" i="12"/>
  <c r="B705" i="12"/>
  <c r="J704" i="12"/>
  <c r="H704" i="12"/>
  <c r="F704" i="12"/>
  <c r="D704" i="12"/>
  <c r="C704" i="12"/>
  <c r="B704" i="12"/>
  <c r="J703" i="12"/>
  <c r="H703" i="12"/>
  <c r="F703" i="12"/>
  <c r="D703" i="12"/>
  <c r="C703" i="12"/>
  <c r="B703" i="12"/>
  <c r="J702" i="12"/>
  <c r="H702" i="12"/>
  <c r="F702" i="12"/>
  <c r="D702" i="12"/>
  <c r="C702" i="12"/>
  <c r="B702" i="12"/>
  <c r="J701" i="12"/>
  <c r="H701" i="12"/>
  <c r="F701" i="12"/>
  <c r="D701" i="12"/>
  <c r="C701" i="12"/>
  <c r="B701" i="12"/>
  <c r="J700" i="12"/>
  <c r="H700" i="12"/>
  <c r="F700" i="12"/>
  <c r="D700" i="12"/>
  <c r="C700" i="12"/>
  <c r="B700" i="12"/>
  <c r="J699" i="12"/>
  <c r="H699" i="12"/>
  <c r="F699" i="12"/>
  <c r="D699" i="12"/>
  <c r="C699" i="12"/>
  <c r="B699" i="12"/>
  <c r="J698" i="12"/>
  <c r="H698" i="12"/>
  <c r="F698" i="12"/>
  <c r="D698" i="12"/>
  <c r="C698" i="12"/>
  <c r="B698" i="12"/>
  <c r="J697" i="12"/>
  <c r="H697" i="12"/>
  <c r="F697" i="12"/>
  <c r="D697" i="12"/>
  <c r="C697" i="12"/>
  <c r="B697" i="12"/>
  <c r="J696" i="12"/>
  <c r="H696" i="12"/>
  <c r="F696" i="12"/>
  <c r="D696" i="12"/>
  <c r="C696" i="12"/>
  <c r="B696" i="12"/>
  <c r="J695" i="12"/>
  <c r="H695" i="12"/>
  <c r="F695" i="12"/>
  <c r="D695" i="12"/>
  <c r="C695" i="12"/>
  <c r="B695" i="12"/>
  <c r="J694" i="12"/>
  <c r="H694" i="12"/>
  <c r="F694" i="12"/>
  <c r="D694" i="12"/>
  <c r="C694" i="12"/>
  <c r="B694" i="12"/>
  <c r="J693" i="12"/>
  <c r="H693" i="12"/>
  <c r="F693" i="12"/>
  <c r="D693" i="12"/>
  <c r="C693" i="12"/>
  <c r="B693" i="12"/>
  <c r="J692" i="12"/>
  <c r="H692" i="12"/>
  <c r="F692" i="12"/>
  <c r="D692" i="12"/>
  <c r="C692" i="12"/>
  <c r="B692" i="12"/>
  <c r="J691" i="12"/>
  <c r="H691" i="12"/>
  <c r="F691" i="12"/>
  <c r="D691" i="12"/>
  <c r="C691" i="12"/>
  <c r="B691" i="12"/>
  <c r="J690" i="12"/>
  <c r="H690" i="12"/>
  <c r="F690" i="12"/>
  <c r="D690" i="12"/>
  <c r="C690" i="12"/>
  <c r="B690" i="12"/>
  <c r="J689" i="12"/>
  <c r="H689" i="12"/>
  <c r="F689" i="12"/>
  <c r="D689" i="12"/>
  <c r="C689" i="12"/>
  <c r="B689" i="12"/>
  <c r="J688" i="12"/>
  <c r="H688" i="12"/>
  <c r="F688" i="12"/>
  <c r="D688" i="12"/>
  <c r="C688" i="12"/>
  <c r="B688" i="12"/>
  <c r="J687" i="12"/>
  <c r="H687" i="12"/>
  <c r="F687" i="12"/>
  <c r="D687" i="12"/>
  <c r="C687" i="12"/>
  <c r="B687" i="12"/>
  <c r="J686" i="12"/>
  <c r="H686" i="12"/>
  <c r="F686" i="12"/>
  <c r="D686" i="12"/>
  <c r="C686" i="12"/>
  <c r="B686" i="12"/>
  <c r="J685" i="12"/>
  <c r="H685" i="12"/>
  <c r="F685" i="12"/>
  <c r="D685" i="12"/>
  <c r="C685" i="12"/>
  <c r="B685" i="12"/>
  <c r="J684" i="12"/>
  <c r="H684" i="12"/>
  <c r="F684" i="12"/>
  <c r="D684" i="12"/>
  <c r="C684" i="12"/>
  <c r="B684" i="12"/>
  <c r="J683" i="12"/>
  <c r="H683" i="12"/>
  <c r="F683" i="12"/>
  <c r="D683" i="12"/>
  <c r="C683" i="12"/>
  <c r="B683" i="12"/>
  <c r="J682" i="12"/>
  <c r="H682" i="12"/>
  <c r="F682" i="12"/>
  <c r="D682" i="12"/>
  <c r="C682" i="12"/>
  <c r="B682" i="12"/>
  <c r="J681" i="12"/>
  <c r="H681" i="12"/>
  <c r="F681" i="12"/>
  <c r="D681" i="12"/>
  <c r="C681" i="12"/>
  <c r="B681" i="12"/>
  <c r="J680" i="12"/>
  <c r="H680" i="12"/>
  <c r="F680" i="12"/>
  <c r="D680" i="12"/>
  <c r="C680" i="12"/>
  <c r="B680" i="12"/>
  <c r="J679" i="12"/>
  <c r="H679" i="12"/>
  <c r="F679" i="12"/>
  <c r="D679" i="12"/>
  <c r="C679" i="12"/>
  <c r="B679" i="12"/>
  <c r="J678" i="12"/>
  <c r="H678" i="12"/>
  <c r="F678" i="12"/>
  <c r="D678" i="12"/>
  <c r="C678" i="12"/>
  <c r="B678" i="12"/>
  <c r="J677" i="12"/>
  <c r="H677" i="12"/>
  <c r="F677" i="12"/>
  <c r="D677" i="12"/>
  <c r="C677" i="12"/>
  <c r="B677" i="12"/>
  <c r="J676" i="12"/>
  <c r="H676" i="12"/>
  <c r="F676" i="12"/>
  <c r="D676" i="12"/>
  <c r="C676" i="12"/>
  <c r="B676" i="12"/>
  <c r="J675" i="12"/>
  <c r="H675" i="12"/>
  <c r="F675" i="12"/>
  <c r="D675" i="12"/>
  <c r="C675" i="12"/>
  <c r="B675" i="12"/>
  <c r="J674" i="12"/>
  <c r="H674" i="12"/>
  <c r="F674" i="12"/>
  <c r="D674" i="12"/>
  <c r="C674" i="12"/>
  <c r="B674" i="12"/>
  <c r="J673" i="12"/>
  <c r="H673" i="12"/>
  <c r="F673" i="12"/>
  <c r="D673" i="12"/>
  <c r="C673" i="12"/>
  <c r="B673" i="12"/>
  <c r="J672" i="12"/>
  <c r="H672" i="12"/>
  <c r="F672" i="12"/>
  <c r="D672" i="12"/>
  <c r="C672" i="12"/>
  <c r="B672" i="12"/>
  <c r="J671" i="12"/>
  <c r="H671" i="12"/>
  <c r="F671" i="12"/>
  <c r="D671" i="12"/>
  <c r="C671" i="12"/>
  <c r="B671" i="12"/>
  <c r="J670" i="12"/>
  <c r="H670" i="12"/>
  <c r="F670" i="12"/>
  <c r="D670" i="12"/>
  <c r="C670" i="12"/>
  <c r="B670" i="12"/>
  <c r="J669" i="12"/>
  <c r="H669" i="12"/>
  <c r="F669" i="12"/>
  <c r="D669" i="12"/>
  <c r="C669" i="12"/>
  <c r="B669" i="12"/>
  <c r="J668" i="12"/>
  <c r="H668" i="12"/>
  <c r="F668" i="12"/>
  <c r="D668" i="12"/>
  <c r="C668" i="12"/>
  <c r="B668" i="12"/>
  <c r="J667" i="12"/>
  <c r="H667" i="12"/>
  <c r="F667" i="12"/>
  <c r="D667" i="12"/>
  <c r="C667" i="12"/>
  <c r="B667" i="12"/>
  <c r="J666" i="12"/>
  <c r="H666" i="12"/>
  <c r="F666" i="12"/>
  <c r="D666" i="12"/>
  <c r="C666" i="12"/>
  <c r="B666" i="12"/>
  <c r="J665" i="12"/>
  <c r="H665" i="12"/>
  <c r="F665" i="12"/>
  <c r="D665" i="12"/>
  <c r="C665" i="12"/>
  <c r="B665" i="12"/>
  <c r="J664" i="12"/>
  <c r="H664" i="12"/>
  <c r="F664" i="12"/>
  <c r="D664" i="12"/>
  <c r="C664" i="12"/>
  <c r="B664" i="12"/>
  <c r="J663" i="12"/>
  <c r="H663" i="12"/>
  <c r="F663" i="12"/>
  <c r="D663" i="12"/>
  <c r="C663" i="12"/>
  <c r="B663" i="12"/>
  <c r="J662" i="12"/>
  <c r="H662" i="12"/>
  <c r="F662" i="12"/>
  <c r="D662" i="12"/>
  <c r="C662" i="12"/>
  <c r="B662" i="12"/>
  <c r="J661" i="12"/>
  <c r="H661" i="12"/>
  <c r="F661" i="12"/>
  <c r="D661" i="12"/>
  <c r="C661" i="12"/>
  <c r="B661" i="12"/>
  <c r="J660" i="12"/>
  <c r="H660" i="12"/>
  <c r="F660" i="12"/>
  <c r="D660" i="12"/>
  <c r="C660" i="12"/>
  <c r="B660" i="12"/>
  <c r="J659" i="12"/>
  <c r="H659" i="12"/>
  <c r="F659" i="12"/>
  <c r="D659" i="12"/>
  <c r="C659" i="12"/>
  <c r="B659" i="12"/>
  <c r="J658" i="12"/>
  <c r="H658" i="12"/>
  <c r="F658" i="12"/>
  <c r="D658" i="12"/>
  <c r="C658" i="12"/>
  <c r="B658" i="12"/>
  <c r="J657" i="12"/>
  <c r="H657" i="12"/>
  <c r="F657" i="12"/>
  <c r="D657" i="12"/>
  <c r="C657" i="12"/>
  <c r="B657" i="12"/>
  <c r="J656" i="12"/>
  <c r="H656" i="12"/>
  <c r="F656" i="12"/>
  <c r="D656" i="12"/>
  <c r="C656" i="12"/>
  <c r="B656" i="12"/>
  <c r="J655" i="12"/>
  <c r="H655" i="12"/>
  <c r="F655" i="12"/>
  <c r="D655" i="12"/>
  <c r="C655" i="12"/>
  <c r="B655" i="12"/>
  <c r="J654" i="12"/>
  <c r="H654" i="12"/>
  <c r="F654" i="12"/>
  <c r="D654" i="12"/>
  <c r="C654" i="12"/>
  <c r="B654" i="12"/>
  <c r="J653" i="12"/>
  <c r="H653" i="12"/>
  <c r="F653" i="12"/>
  <c r="D653" i="12"/>
  <c r="C653" i="12"/>
  <c r="B653" i="12"/>
  <c r="J652" i="12"/>
  <c r="H652" i="12"/>
  <c r="F652" i="12"/>
  <c r="D652" i="12"/>
  <c r="C652" i="12"/>
  <c r="B652" i="12"/>
  <c r="J651" i="12"/>
  <c r="H651" i="12"/>
  <c r="F651" i="12"/>
  <c r="D651" i="12"/>
  <c r="C651" i="12"/>
  <c r="B651" i="12"/>
  <c r="J650" i="12"/>
  <c r="H650" i="12"/>
  <c r="F650" i="12"/>
  <c r="D650" i="12"/>
  <c r="C650" i="12"/>
  <c r="B650" i="12"/>
  <c r="J649" i="12"/>
  <c r="H649" i="12"/>
  <c r="F649" i="12"/>
  <c r="D649" i="12"/>
  <c r="C649" i="12"/>
  <c r="B649" i="12"/>
  <c r="J648" i="12"/>
  <c r="H648" i="12"/>
  <c r="F648" i="12"/>
  <c r="D648" i="12"/>
  <c r="C648" i="12"/>
  <c r="B648" i="12"/>
  <c r="J647" i="12"/>
  <c r="H647" i="12"/>
  <c r="F647" i="12"/>
  <c r="D647" i="12"/>
  <c r="C647" i="12"/>
  <c r="B647" i="12"/>
  <c r="J646" i="12"/>
  <c r="H646" i="12"/>
  <c r="F646" i="12"/>
  <c r="D646" i="12"/>
  <c r="C646" i="12"/>
  <c r="B646" i="12"/>
  <c r="J645" i="12"/>
  <c r="H645" i="12"/>
  <c r="F645" i="12"/>
  <c r="D645" i="12"/>
  <c r="C645" i="12"/>
  <c r="B645" i="12"/>
  <c r="J644" i="12"/>
  <c r="H644" i="12"/>
  <c r="F644" i="12"/>
  <c r="D644" i="12"/>
  <c r="C644" i="12"/>
  <c r="B644" i="12"/>
  <c r="J643" i="12"/>
  <c r="H643" i="12"/>
  <c r="F643" i="12"/>
  <c r="D643" i="12"/>
  <c r="C643" i="12"/>
  <c r="B643" i="12"/>
  <c r="J642" i="12"/>
  <c r="H642" i="12"/>
  <c r="F642" i="12"/>
  <c r="D642" i="12"/>
  <c r="C642" i="12"/>
  <c r="B642" i="12"/>
  <c r="J641" i="12"/>
  <c r="H641" i="12"/>
  <c r="F641" i="12"/>
  <c r="D641" i="12"/>
  <c r="C641" i="12"/>
  <c r="B641" i="12"/>
  <c r="J640" i="12"/>
  <c r="H640" i="12"/>
  <c r="F640" i="12"/>
  <c r="D640" i="12"/>
  <c r="C640" i="12"/>
  <c r="B640" i="12"/>
  <c r="J639" i="12"/>
  <c r="H639" i="12"/>
  <c r="F639" i="12"/>
  <c r="D639" i="12"/>
  <c r="C639" i="12"/>
  <c r="B639" i="12"/>
  <c r="J638" i="12"/>
  <c r="H638" i="12"/>
  <c r="F638" i="12"/>
  <c r="D638" i="12"/>
  <c r="C638" i="12"/>
  <c r="B638" i="12"/>
  <c r="J637" i="12"/>
  <c r="H637" i="12"/>
  <c r="F637" i="12"/>
  <c r="D637" i="12"/>
  <c r="C637" i="12"/>
  <c r="B637" i="12"/>
  <c r="J636" i="12"/>
  <c r="H636" i="12"/>
  <c r="F636" i="12"/>
  <c r="D636" i="12"/>
  <c r="C636" i="12"/>
  <c r="B636" i="12"/>
  <c r="J635" i="12"/>
  <c r="H635" i="12"/>
  <c r="F635" i="12"/>
  <c r="D635" i="12"/>
  <c r="C635" i="12"/>
  <c r="B635" i="12"/>
  <c r="J634" i="12"/>
  <c r="H634" i="12"/>
  <c r="F634" i="12"/>
  <c r="D634" i="12"/>
  <c r="C634" i="12"/>
  <c r="B634" i="12"/>
  <c r="J633" i="12"/>
  <c r="H633" i="12"/>
  <c r="F633" i="12"/>
  <c r="D633" i="12"/>
  <c r="C633" i="12"/>
  <c r="B633" i="12"/>
  <c r="J632" i="12"/>
  <c r="H632" i="12"/>
  <c r="F632" i="12"/>
  <c r="D632" i="12"/>
  <c r="C632" i="12"/>
  <c r="B632" i="12"/>
  <c r="J631" i="12"/>
  <c r="H631" i="12"/>
  <c r="F631" i="12"/>
  <c r="D631" i="12"/>
  <c r="C631" i="12"/>
  <c r="B631" i="12"/>
  <c r="J630" i="12"/>
  <c r="H630" i="12"/>
  <c r="F630" i="12"/>
  <c r="D630" i="12"/>
  <c r="C630" i="12"/>
  <c r="B630" i="12"/>
  <c r="J629" i="12"/>
  <c r="H629" i="12"/>
  <c r="F629" i="12"/>
  <c r="D629" i="12"/>
  <c r="C629" i="12"/>
  <c r="B629" i="12"/>
  <c r="J628" i="12"/>
  <c r="H628" i="12"/>
  <c r="F628" i="12"/>
  <c r="D628" i="12"/>
  <c r="C628" i="12"/>
  <c r="B628" i="12"/>
  <c r="J627" i="12"/>
  <c r="H627" i="12"/>
  <c r="F627" i="12"/>
  <c r="D627" i="12"/>
  <c r="C627" i="12"/>
  <c r="B627" i="12"/>
  <c r="J626" i="12"/>
  <c r="H626" i="12"/>
  <c r="F626" i="12"/>
  <c r="D626" i="12"/>
  <c r="C626" i="12"/>
  <c r="B626" i="12"/>
  <c r="J625" i="12"/>
  <c r="H625" i="12"/>
  <c r="F625" i="12"/>
  <c r="D625" i="12"/>
  <c r="C625" i="12"/>
  <c r="B625" i="12"/>
  <c r="J624" i="12"/>
  <c r="H624" i="12"/>
  <c r="F624" i="12"/>
  <c r="D624" i="12"/>
  <c r="C624" i="12"/>
  <c r="B624" i="12"/>
  <c r="J623" i="12"/>
  <c r="H623" i="12"/>
  <c r="F623" i="12"/>
  <c r="D623" i="12"/>
  <c r="C623" i="12"/>
  <c r="B623" i="12"/>
  <c r="J622" i="12"/>
  <c r="H622" i="12"/>
  <c r="F622" i="12"/>
  <c r="D622" i="12"/>
  <c r="C622" i="12"/>
  <c r="B622" i="12"/>
  <c r="J621" i="12"/>
  <c r="H621" i="12"/>
  <c r="F621" i="12"/>
  <c r="D621" i="12"/>
  <c r="C621" i="12"/>
  <c r="B621" i="12"/>
  <c r="J620" i="12"/>
  <c r="H620" i="12"/>
  <c r="F620" i="12"/>
  <c r="D620" i="12"/>
  <c r="C620" i="12"/>
  <c r="B620" i="12"/>
  <c r="J619" i="12"/>
  <c r="H619" i="12"/>
  <c r="F619" i="12"/>
  <c r="D619" i="12"/>
  <c r="C619" i="12"/>
  <c r="B619" i="12"/>
  <c r="J618" i="12"/>
  <c r="H618" i="12"/>
  <c r="F618" i="12"/>
  <c r="D618" i="12"/>
  <c r="C618" i="12"/>
  <c r="B618" i="12"/>
  <c r="J617" i="12"/>
  <c r="H617" i="12"/>
  <c r="F617" i="12"/>
  <c r="D617" i="12"/>
  <c r="C617" i="12"/>
  <c r="B617" i="12"/>
  <c r="J616" i="12"/>
  <c r="H616" i="12"/>
  <c r="F616" i="12"/>
  <c r="D616" i="12"/>
  <c r="C616" i="12"/>
  <c r="B616" i="12"/>
  <c r="J615" i="12"/>
  <c r="H615" i="12"/>
  <c r="F615" i="12"/>
  <c r="D615" i="12"/>
  <c r="C615" i="12"/>
  <c r="B615" i="12"/>
  <c r="J614" i="12"/>
  <c r="H614" i="12"/>
  <c r="F614" i="12"/>
  <c r="D614" i="12"/>
  <c r="C614" i="12"/>
  <c r="B614" i="12"/>
  <c r="J613" i="12"/>
  <c r="H613" i="12"/>
  <c r="F613" i="12"/>
  <c r="D613" i="12"/>
  <c r="C613" i="12"/>
  <c r="B613" i="12"/>
  <c r="J612" i="12"/>
  <c r="H612" i="12"/>
  <c r="F612" i="12"/>
  <c r="D612" i="12"/>
  <c r="C612" i="12"/>
  <c r="B612" i="12"/>
  <c r="J611" i="12"/>
  <c r="H611" i="12"/>
  <c r="F611" i="12"/>
  <c r="D611" i="12"/>
  <c r="C611" i="12"/>
  <c r="B611" i="12"/>
  <c r="J610" i="12"/>
  <c r="H610" i="12"/>
  <c r="F610" i="12"/>
  <c r="D610" i="12"/>
  <c r="C610" i="12"/>
  <c r="B610" i="12"/>
  <c r="J609" i="12"/>
  <c r="H609" i="12"/>
  <c r="F609" i="12"/>
  <c r="D609" i="12"/>
  <c r="C609" i="12"/>
  <c r="B609" i="12"/>
  <c r="J608" i="12"/>
  <c r="H608" i="12"/>
  <c r="F608" i="12"/>
  <c r="D608" i="12"/>
  <c r="C608" i="12"/>
  <c r="B608" i="12"/>
  <c r="J607" i="12"/>
  <c r="H607" i="12"/>
  <c r="F607" i="12"/>
  <c r="D607" i="12"/>
  <c r="C607" i="12"/>
  <c r="B607" i="12"/>
  <c r="J606" i="12"/>
  <c r="H606" i="12"/>
  <c r="F606" i="12"/>
  <c r="D606" i="12"/>
  <c r="C606" i="12"/>
  <c r="B606" i="12"/>
  <c r="J605" i="12"/>
  <c r="H605" i="12"/>
  <c r="F605" i="12"/>
  <c r="D605" i="12"/>
  <c r="C605" i="12"/>
  <c r="B605" i="12"/>
  <c r="J604" i="12"/>
  <c r="H604" i="12"/>
  <c r="F604" i="12"/>
  <c r="D604" i="12"/>
  <c r="C604" i="12"/>
  <c r="B604" i="12"/>
  <c r="J603" i="12"/>
  <c r="H603" i="12"/>
  <c r="F603" i="12"/>
  <c r="D603" i="12"/>
  <c r="C603" i="12"/>
  <c r="B603" i="12"/>
  <c r="J602" i="12"/>
  <c r="H602" i="12"/>
  <c r="F602" i="12"/>
  <c r="D602" i="12"/>
  <c r="C602" i="12"/>
  <c r="B602" i="12"/>
  <c r="J601" i="12"/>
  <c r="H601" i="12"/>
  <c r="F601" i="12"/>
  <c r="D601" i="12"/>
  <c r="C601" i="12"/>
  <c r="B601" i="12"/>
  <c r="J600" i="12"/>
  <c r="H600" i="12"/>
  <c r="F600" i="12"/>
  <c r="D600" i="12"/>
  <c r="C600" i="12"/>
  <c r="B600" i="12"/>
  <c r="J599" i="12"/>
  <c r="H599" i="12"/>
  <c r="F599" i="12"/>
  <c r="D599" i="12"/>
  <c r="C599" i="12"/>
  <c r="B599" i="12"/>
  <c r="J598" i="12"/>
  <c r="H598" i="12"/>
  <c r="F598" i="12"/>
  <c r="D598" i="12"/>
  <c r="C598" i="12"/>
  <c r="B598" i="12"/>
  <c r="J597" i="12"/>
  <c r="H597" i="12"/>
  <c r="F597" i="12"/>
  <c r="D597" i="12"/>
  <c r="C597" i="12"/>
  <c r="B597" i="12"/>
  <c r="J596" i="12"/>
  <c r="H596" i="12"/>
  <c r="F596" i="12"/>
  <c r="D596" i="12"/>
  <c r="C596" i="12"/>
  <c r="B596" i="12"/>
  <c r="J595" i="12"/>
  <c r="H595" i="12"/>
  <c r="F595" i="12"/>
  <c r="D595" i="12"/>
  <c r="C595" i="12"/>
  <c r="B595" i="12"/>
  <c r="J594" i="12"/>
  <c r="H594" i="12"/>
  <c r="F594" i="12"/>
  <c r="D594" i="12"/>
  <c r="C594" i="12"/>
  <c r="B594" i="12"/>
  <c r="J593" i="12"/>
  <c r="H593" i="12"/>
  <c r="F593" i="12"/>
  <c r="D593" i="12"/>
  <c r="C593" i="12"/>
  <c r="B593" i="12"/>
  <c r="J592" i="12"/>
  <c r="H592" i="12"/>
  <c r="F592" i="12"/>
  <c r="D592" i="12"/>
  <c r="C592" i="12"/>
  <c r="B592" i="12"/>
  <c r="J591" i="12"/>
  <c r="H591" i="12"/>
  <c r="F591" i="12"/>
  <c r="D591" i="12"/>
  <c r="C591" i="12"/>
  <c r="B591" i="12"/>
  <c r="J590" i="12"/>
  <c r="H590" i="12"/>
  <c r="F590" i="12"/>
  <c r="D590" i="12"/>
  <c r="C590" i="12"/>
  <c r="B590" i="12"/>
  <c r="J589" i="12"/>
  <c r="H589" i="12"/>
  <c r="F589" i="12"/>
  <c r="D589" i="12"/>
  <c r="C589" i="12"/>
  <c r="B589" i="12"/>
  <c r="J588" i="12"/>
  <c r="H588" i="12"/>
  <c r="F588" i="12"/>
  <c r="D588" i="12"/>
  <c r="C588" i="12"/>
  <c r="B588" i="12"/>
  <c r="J587" i="12"/>
  <c r="H587" i="12"/>
  <c r="F587" i="12"/>
  <c r="D587" i="12"/>
  <c r="C587" i="12"/>
  <c r="B587" i="12"/>
  <c r="J586" i="12"/>
  <c r="H586" i="12"/>
  <c r="F586" i="12"/>
  <c r="D586" i="12"/>
  <c r="C586" i="12"/>
  <c r="B586" i="12"/>
  <c r="J585" i="12"/>
  <c r="H585" i="12"/>
  <c r="F585" i="12"/>
  <c r="D585" i="12"/>
  <c r="C585" i="12"/>
  <c r="B585" i="12"/>
  <c r="J584" i="12"/>
  <c r="H584" i="12"/>
  <c r="F584" i="12"/>
  <c r="D584" i="12"/>
  <c r="C584" i="12"/>
  <c r="B584" i="12"/>
  <c r="J583" i="12"/>
  <c r="H583" i="12"/>
  <c r="F583" i="12"/>
  <c r="D583" i="12"/>
  <c r="C583" i="12"/>
  <c r="B583" i="12"/>
  <c r="J582" i="12"/>
  <c r="H582" i="12"/>
  <c r="F582" i="12"/>
  <c r="D582" i="12"/>
  <c r="C582" i="12"/>
  <c r="B582" i="12"/>
  <c r="J581" i="12"/>
  <c r="H581" i="12"/>
  <c r="F581" i="12"/>
  <c r="D581" i="12"/>
  <c r="C581" i="12"/>
  <c r="B581" i="12"/>
  <c r="J580" i="12"/>
  <c r="H580" i="12"/>
  <c r="F580" i="12"/>
  <c r="D580" i="12"/>
  <c r="C580" i="12"/>
  <c r="B580" i="12"/>
  <c r="J579" i="12"/>
  <c r="H579" i="12"/>
  <c r="F579" i="12"/>
  <c r="D579" i="12"/>
  <c r="C579" i="12"/>
  <c r="B579" i="12"/>
  <c r="J578" i="12"/>
  <c r="H578" i="12"/>
  <c r="F578" i="12"/>
  <c r="D578" i="12"/>
  <c r="C578" i="12"/>
  <c r="B578" i="12"/>
  <c r="J577" i="12"/>
  <c r="H577" i="12"/>
  <c r="F577" i="12"/>
  <c r="D577" i="12"/>
  <c r="C577" i="12"/>
  <c r="B577" i="12"/>
  <c r="J576" i="12"/>
  <c r="H576" i="12"/>
  <c r="F576" i="12"/>
  <c r="D576" i="12"/>
  <c r="C576" i="12"/>
  <c r="B576" i="12"/>
  <c r="J575" i="12"/>
  <c r="H575" i="12"/>
  <c r="F575" i="12"/>
  <c r="D575" i="12"/>
  <c r="C575" i="12"/>
  <c r="B575" i="12"/>
  <c r="J574" i="12"/>
  <c r="H574" i="12"/>
  <c r="F574" i="12"/>
  <c r="D574" i="12"/>
  <c r="C574" i="12"/>
  <c r="B574" i="12"/>
  <c r="J573" i="12"/>
  <c r="H573" i="12"/>
  <c r="F573" i="12"/>
  <c r="D573" i="12"/>
  <c r="C573" i="12"/>
  <c r="B573" i="12"/>
  <c r="J572" i="12"/>
  <c r="H572" i="12"/>
  <c r="F572" i="12"/>
  <c r="D572" i="12"/>
  <c r="C572" i="12"/>
  <c r="B572" i="12"/>
  <c r="J571" i="12"/>
  <c r="H571" i="12"/>
  <c r="F571" i="12"/>
  <c r="D571" i="12"/>
  <c r="C571" i="12"/>
  <c r="B571" i="12"/>
  <c r="J570" i="12"/>
  <c r="H570" i="12"/>
  <c r="F570" i="12"/>
  <c r="D570" i="12"/>
  <c r="C570" i="12"/>
  <c r="B570" i="12"/>
  <c r="J569" i="12"/>
  <c r="H569" i="12"/>
  <c r="F569" i="12"/>
  <c r="D569" i="12"/>
  <c r="C569" i="12"/>
  <c r="B569" i="12"/>
  <c r="J568" i="12"/>
  <c r="H568" i="12"/>
  <c r="F568" i="12"/>
  <c r="D568" i="12"/>
  <c r="C568" i="12"/>
  <c r="B568" i="12"/>
  <c r="J567" i="12"/>
  <c r="H567" i="12"/>
  <c r="F567" i="12"/>
  <c r="D567" i="12"/>
  <c r="C567" i="12"/>
  <c r="B567" i="12"/>
  <c r="J566" i="12"/>
  <c r="H566" i="12"/>
  <c r="F566" i="12"/>
  <c r="D566" i="12"/>
  <c r="C566" i="12"/>
  <c r="B566" i="12"/>
  <c r="J565" i="12"/>
  <c r="H565" i="12"/>
  <c r="F565" i="12"/>
  <c r="D565" i="12"/>
  <c r="C565" i="12"/>
  <c r="B565" i="12"/>
  <c r="J564" i="12"/>
  <c r="H564" i="12"/>
  <c r="F564" i="12"/>
  <c r="D564" i="12"/>
  <c r="C564" i="12"/>
  <c r="B564" i="12"/>
  <c r="J563" i="12"/>
  <c r="H563" i="12"/>
  <c r="F563" i="12"/>
  <c r="D563" i="12"/>
  <c r="C563" i="12"/>
  <c r="B563" i="12"/>
  <c r="J562" i="12"/>
  <c r="H562" i="12"/>
  <c r="F562" i="12"/>
  <c r="D562" i="12"/>
  <c r="C562" i="12"/>
  <c r="B562" i="12"/>
  <c r="J561" i="12"/>
  <c r="H561" i="12"/>
  <c r="F561" i="12"/>
  <c r="D561" i="12"/>
  <c r="C561" i="12"/>
  <c r="B561" i="12"/>
  <c r="J560" i="12"/>
  <c r="H560" i="12"/>
  <c r="F560" i="12"/>
  <c r="D560" i="12"/>
  <c r="C560" i="12"/>
  <c r="B560" i="12"/>
  <c r="J559" i="12"/>
  <c r="H559" i="12"/>
  <c r="F559" i="12"/>
  <c r="D559" i="12"/>
  <c r="C559" i="12"/>
  <c r="B559" i="12"/>
  <c r="J558" i="12"/>
  <c r="H558" i="12"/>
  <c r="F558" i="12"/>
  <c r="D558" i="12"/>
  <c r="C558" i="12"/>
  <c r="B558" i="12"/>
  <c r="J557" i="12"/>
  <c r="H557" i="12"/>
  <c r="F557" i="12"/>
  <c r="D557" i="12"/>
  <c r="C557" i="12"/>
  <c r="B557" i="12"/>
  <c r="J556" i="12"/>
  <c r="H556" i="12"/>
  <c r="F556" i="12"/>
  <c r="D556" i="12"/>
  <c r="C556" i="12"/>
  <c r="B556" i="12"/>
  <c r="J555" i="12"/>
  <c r="H555" i="12"/>
  <c r="F555" i="12"/>
  <c r="D555" i="12"/>
  <c r="C555" i="12"/>
  <c r="B555" i="12"/>
  <c r="J554" i="12"/>
  <c r="H554" i="12"/>
  <c r="F554" i="12"/>
  <c r="D554" i="12"/>
  <c r="C554" i="12"/>
  <c r="B554" i="12"/>
  <c r="J553" i="12"/>
  <c r="H553" i="12"/>
  <c r="F553" i="12"/>
  <c r="D553" i="12"/>
  <c r="C553" i="12"/>
  <c r="B553" i="12"/>
  <c r="J552" i="12"/>
  <c r="H552" i="12"/>
  <c r="F552" i="12"/>
  <c r="D552" i="12"/>
  <c r="C552" i="12"/>
  <c r="B552" i="12"/>
  <c r="J551" i="12"/>
  <c r="H551" i="12"/>
  <c r="F551" i="12"/>
  <c r="D551" i="12"/>
  <c r="C551" i="12"/>
  <c r="B551" i="12"/>
  <c r="J550" i="12"/>
  <c r="H550" i="12"/>
  <c r="F550" i="12"/>
  <c r="D550" i="12"/>
  <c r="C550" i="12"/>
  <c r="B550" i="12"/>
  <c r="J549" i="12"/>
  <c r="H549" i="12"/>
  <c r="F549" i="12"/>
  <c r="D549" i="12"/>
  <c r="C549" i="12"/>
  <c r="B549" i="12"/>
  <c r="J548" i="12"/>
  <c r="H548" i="12"/>
  <c r="F548" i="12"/>
  <c r="D548" i="12"/>
  <c r="C548" i="12"/>
  <c r="B548" i="12"/>
  <c r="J547" i="12"/>
  <c r="H547" i="12"/>
  <c r="F547" i="12"/>
  <c r="D547" i="12"/>
  <c r="C547" i="12"/>
  <c r="B547" i="12"/>
  <c r="J546" i="12"/>
  <c r="H546" i="12"/>
  <c r="F546" i="12"/>
  <c r="D546" i="12"/>
  <c r="C546" i="12"/>
  <c r="B546" i="12"/>
  <c r="J545" i="12"/>
  <c r="H545" i="12"/>
  <c r="F545" i="12"/>
  <c r="D545" i="12"/>
  <c r="C545" i="12"/>
  <c r="B545" i="12"/>
  <c r="J544" i="12"/>
  <c r="H544" i="12"/>
  <c r="F544" i="12"/>
  <c r="D544" i="12"/>
  <c r="C544" i="12"/>
  <c r="B544" i="12"/>
  <c r="J543" i="12"/>
  <c r="H543" i="12"/>
  <c r="F543" i="12"/>
  <c r="D543" i="12"/>
  <c r="C543" i="12"/>
  <c r="B543" i="12"/>
  <c r="J542" i="12"/>
  <c r="H542" i="12"/>
  <c r="F542" i="12"/>
  <c r="D542" i="12"/>
  <c r="C542" i="12"/>
  <c r="B542" i="12"/>
  <c r="J541" i="12"/>
  <c r="H541" i="12"/>
  <c r="F541" i="12"/>
  <c r="D541" i="12"/>
  <c r="C541" i="12"/>
  <c r="B541" i="12"/>
  <c r="J540" i="12"/>
  <c r="H540" i="12"/>
  <c r="F540" i="12"/>
  <c r="D540" i="12"/>
  <c r="C540" i="12"/>
  <c r="B540" i="12"/>
  <c r="J539" i="12"/>
  <c r="H539" i="12"/>
  <c r="F539" i="12"/>
  <c r="D539" i="12"/>
  <c r="C539" i="12"/>
  <c r="B539" i="12"/>
  <c r="J538" i="12"/>
  <c r="H538" i="12"/>
  <c r="F538" i="12"/>
  <c r="D538" i="12"/>
  <c r="C538" i="12"/>
  <c r="B538" i="12"/>
  <c r="J537" i="12"/>
  <c r="H537" i="12"/>
  <c r="F537" i="12"/>
  <c r="D537" i="12"/>
  <c r="C537" i="12"/>
  <c r="B537" i="12"/>
  <c r="J536" i="12"/>
  <c r="H536" i="12"/>
  <c r="F536" i="12"/>
  <c r="D536" i="12"/>
  <c r="C536" i="12"/>
  <c r="B536" i="12"/>
  <c r="J535" i="12"/>
  <c r="H535" i="12"/>
  <c r="F535" i="12"/>
  <c r="D535" i="12"/>
  <c r="C535" i="12"/>
  <c r="B535" i="12"/>
  <c r="J534" i="12"/>
  <c r="H534" i="12"/>
  <c r="F534" i="12"/>
  <c r="D534" i="12"/>
  <c r="C534" i="12"/>
  <c r="B534" i="12"/>
  <c r="J533" i="12"/>
  <c r="H533" i="12"/>
  <c r="F533" i="12"/>
  <c r="D533" i="12"/>
  <c r="C533" i="12"/>
  <c r="B533" i="12"/>
  <c r="J532" i="12"/>
  <c r="H532" i="12"/>
  <c r="F532" i="12"/>
  <c r="D532" i="12"/>
  <c r="C532" i="12"/>
  <c r="B532" i="12"/>
  <c r="J531" i="12"/>
  <c r="H531" i="12"/>
  <c r="F531" i="12"/>
  <c r="D531" i="12"/>
  <c r="C531" i="12"/>
  <c r="B531" i="12"/>
  <c r="J530" i="12"/>
  <c r="H530" i="12"/>
  <c r="F530" i="12"/>
  <c r="D530" i="12"/>
  <c r="C530" i="12"/>
  <c r="B530" i="12"/>
  <c r="J529" i="12"/>
  <c r="H529" i="12"/>
  <c r="F529" i="12"/>
  <c r="D529" i="12"/>
  <c r="C529" i="12"/>
  <c r="B529" i="12"/>
  <c r="J528" i="12"/>
  <c r="H528" i="12"/>
  <c r="F528" i="12"/>
  <c r="D528" i="12"/>
  <c r="C528" i="12"/>
  <c r="B528" i="12"/>
  <c r="J527" i="12"/>
  <c r="H527" i="12"/>
  <c r="F527" i="12"/>
  <c r="D527" i="12"/>
  <c r="C527" i="12"/>
  <c r="B527" i="12"/>
  <c r="J526" i="12"/>
  <c r="H526" i="12"/>
  <c r="F526" i="12"/>
  <c r="D526" i="12"/>
  <c r="C526" i="12"/>
  <c r="B526" i="12"/>
  <c r="J525" i="12"/>
  <c r="H525" i="12"/>
  <c r="F525" i="12"/>
  <c r="D525" i="12"/>
  <c r="C525" i="12"/>
  <c r="B525" i="12"/>
  <c r="J524" i="12"/>
  <c r="H524" i="12"/>
  <c r="F524" i="12"/>
  <c r="D524" i="12"/>
  <c r="C524" i="12"/>
  <c r="B524" i="12"/>
  <c r="J523" i="12"/>
  <c r="H523" i="12"/>
  <c r="F523" i="12"/>
  <c r="D523" i="12"/>
  <c r="C523" i="12"/>
  <c r="B523" i="12"/>
  <c r="J522" i="12"/>
  <c r="H522" i="12"/>
  <c r="F522" i="12"/>
  <c r="D522" i="12"/>
  <c r="C522" i="12"/>
  <c r="B522" i="12"/>
  <c r="J521" i="12"/>
  <c r="H521" i="12"/>
  <c r="F521" i="12"/>
  <c r="D521" i="12"/>
  <c r="C521" i="12"/>
  <c r="B521" i="12"/>
  <c r="J520" i="12"/>
  <c r="H520" i="12"/>
  <c r="F520" i="12"/>
  <c r="D520" i="12"/>
  <c r="C520" i="12"/>
  <c r="B520" i="12"/>
  <c r="J519" i="12"/>
  <c r="H519" i="12"/>
  <c r="F519" i="12"/>
  <c r="D519" i="12"/>
  <c r="C519" i="12"/>
  <c r="B519" i="12"/>
  <c r="J518" i="12"/>
  <c r="H518" i="12"/>
  <c r="F518" i="12"/>
  <c r="D518" i="12"/>
  <c r="C518" i="12"/>
  <c r="B518" i="12"/>
  <c r="J517" i="12"/>
  <c r="H517" i="12"/>
  <c r="F517" i="12"/>
  <c r="D517" i="12"/>
  <c r="C517" i="12"/>
  <c r="B517" i="12"/>
  <c r="J516" i="12"/>
  <c r="H516" i="12"/>
  <c r="F516" i="12"/>
  <c r="D516" i="12"/>
  <c r="C516" i="12"/>
  <c r="B516" i="12"/>
  <c r="J515" i="12"/>
  <c r="H515" i="12"/>
  <c r="F515" i="12"/>
  <c r="D515" i="12"/>
  <c r="C515" i="12"/>
  <c r="B515" i="12"/>
  <c r="J514" i="12"/>
  <c r="H514" i="12"/>
  <c r="F514" i="12"/>
  <c r="D514" i="12"/>
  <c r="C514" i="12"/>
  <c r="B514" i="12"/>
  <c r="J513" i="12"/>
  <c r="H513" i="12"/>
  <c r="F513" i="12"/>
  <c r="D513" i="12"/>
  <c r="C513" i="12"/>
  <c r="B513" i="12"/>
  <c r="J512" i="12"/>
  <c r="H512" i="12"/>
  <c r="F512" i="12"/>
  <c r="D512" i="12"/>
  <c r="C512" i="12"/>
  <c r="B512" i="12"/>
  <c r="J511" i="12"/>
  <c r="H511" i="12"/>
  <c r="F511" i="12"/>
  <c r="D511" i="12"/>
  <c r="C511" i="12"/>
  <c r="B511" i="12"/>
  <c r="J510" i="12"/>
  <c r="H510" i="12"/>
  <c r="F510" i="12"/>
  <c r="D510" i="12"/>
  <c r="C510" i="12"/>
  <c r="B510" i="12"/>
  <c r="J509" i="12"/>
  <c r="H509" i="12"/>
  <c r="F509" i="12"/>
  <c r="D509" i="12"/>
  <c r="C509" i="12"/>
  <c r="B509" i="12"/>
  <c r="J508" i="12"/>
  <c r="H508" i="12"/>
  <c r="F508" i="12"/>
  <c r="D508" i="12"/>
  <c r="C508" i="12"/>
  <c r="B508" i="12"/>
  <c r="J507" i="12"/>
  <c r="H507" i="12"/>
  <c r="F507" i="12"/>
  <c r="D507" i="12"/>
  <c r="C507" i="12"/>
  <c r="B507" i="12"/>
  <c r="J506" i="12"/>
  <c r="H506" i="12"/>
  <c r="F506" i="12"/>
  <c r="D506" i="12"/>
  <c r="C506" i="12"/>
  <c r="B506" i="12"/>
  <c r="J505" i="12"/>
  <c r="H505" i="12"/>
  <c r="F505" i="12"/>
  <c r="D505" i="12"/>
  <c r="C505" i="12"/>
  <c r="B505" i="12"/>
  <c r="J504" i="12"/>
  <c r="H504" i="12"/>
  <c r="F504" i="12"/>
  <c r="D504" i="12"/>
  <c r="C504" i="12"/>
  <c r="B504" i="12"/>
  <c r="J503" i="12"/>
  <c r="H503" i="12"/>
  <c r="F503" i="12"/>
  <c r="D503" i="12"/>
  <c r="C503" i="12"/>
  <c r="B503" i="12"/>
  <c r="J502" i="12"/>
  <c r="H502" i="12"/>
  <c r="F502" i="12"/>
  <c r="D502" i="12"/>
  <c r="C502" i="12"/>
  <c r="B502" i="12"/>
  <c r="J501" i="12"/>
  <c r="H501" i="12"/>
  <c r="F501" i="12"/>
  <c r="D501" i="12"/>
  <c r="C501" i="12"/>
  <c r="B501" i="12"/>
  <c r="J500" i="12"/>
  <c r="H500" i="12"/>
  <c r="F500" i="12"/>
  <c r="D500" i="12"/>
  <c r="C500" i="12"/>
  <c r="B500" i="12"/>
  <c r="J499" i="12"/>
  <c r="H499" i="12"/>
  <c r="F499" i="12"/>
  <c r="D499" i="12"/>
  <c r="C499" i="12"/>
  <c r="B499" i="12"/>
  <c r="J498" i="12"/>
  <c r="H498" i="12"/>
  <c r="F498" i="12"/>
  <c r="D498" i="12"/>
  <c r="C498" i="12"/>
  <c r="B498" i="12"/>
  <c r="J497" i="12"/>
  <c r="H497" i="12"/>
  <c r="F497" i="12"/>
  <c r="D497" i="12"/>
  <c r="C497" i="12"/>
  <c r="B497" i="12"/>
  <c r="J496" i="12"/>
  <c r="H496" i="12"/>
  <c r="F496" i="12"/>
  <c r="D496" i="12"/>
  <c r="C496" i="12"/>
  <c r="B496" i="12"/>
  <c r="J495" i="12"/>
  <c r="H495" i="12"/>
  <c r="F495" i="12"/>
  <c r="D495" i="12"/>
  <c r="C495" i="12"/>
  <c r="B495" i="12"/>
  <c r="J494" i="12"/>
  <c r="H494" i="12"/>
  <c r="F494" i="12"/>
  <c r="D494" i="12"/>
  <c r="C494" i="12"/>
  <c r="B494" i="12"/>
  <c r="J493" i="12"/>
  <c r="H493" i="12"/>
  <c r="F493" i="12"/>
  <c r="D493" i="12"/>
  <c r="C493" i="12"/>
  <c r="B493" i="12"/>
  <c r="J492" i="12"/>
  <c r="H492" i="12"/>
  <c r="F492" i="12"/>
  <c r="D492" i="12"/>
  <c r="C492" i="12"/>
  <c r="B492" i="12"/>
  <c r="J491" i="12"/>
  <c r="H491" i="12"/>
  <c r="F491" i="12"/>
  <c r="D491" i="12"/>
  <c r="C491" i="12"/>
  <c r="B491" i="12"/>
  <c r="J490" i="12"/>
  <c r="H490" i="12"/>
  <c r="F490" i="12"/>
  <c r="D490" i="12"/>
  <c r="C490" i="12"/>
  <c r="B490" i="12"/>
  <c r="J489" i="12"/>
  <c r="H489" i="12"/>
  <c r="F489" i="12"/>
  <c r="D489" i="12"/>
  <c r="C489" i="12"/>
  <c r="B489" i="12"/>
  <c r="J488" i="12"/>
  <c r="H488" i="12"/>
  <c r="F488" i="12"/>
  <c r="D488" i="12"/>
  <c r="C488" i="12"/>
  <c r="B488" i="12"/>
  <c r="J487" i="12"/>
  <c r="H487" i="12"/>
  <c r="F487" i="12"/>
  <c r="D487" i="12"/>
  <c r="C487" i="12"/>
  <c r="B487" i="12"/>
  <c r="J486" i="12"/>
  <c r="H486" i="12"/>
  <c r="F486" i="12"/>
  <c r="D486" i="12"/>
  <c r="C486" i="12"/>
  <c r="B486" i="12"/>
  <c r="J485" i="12"/>
  <c r="H485" i="12"/>
  <c r="F485" i="12"/>
  <c r="D485" i="12"/>
  <c r="C485" i="12"/>
  <c r="B485" i="12"/>
  <c r="J484" i="12"/>
  <c r="H484" i="12"/>
  <c r="F484" i="12"/>
  <c r="D484" i="12"/>
  <c r="C484" i="12"/>
  <c r="B484" i="12"/>
  <c r="J483" i="12"/>
  <c r="H483" i="12"/>
  <c r="F483" i="12"/>
  <c r="D483" i="12"/>
  <c r="C483" i="12"/>
  <c r="B483" i="12"/>
  <c r="J482" i="12"/>
  <c r="H482" i="12"/>
  <c r="F482" i="12"/>
  <c r="D482" i="12"/>
  <c r="C482" i="12"/>
  <c r="B482" i="12"/>
  <c r="J481" i="12"/>
  <c r="H481" i="12"/>
  <c r="F481" i="12"/>
  <c r="D481" i="12"/>
  <c r="C481" i="12"/>
  <c r="B481" i="12"/>
  <c r="J480" i="12"/>
  <c r="H480" i="12"/>
  <c r="F480" i="12"/>
  <c r="D480" i="12"/>
  <c r="C480" i="12"/>
  <c r="B480" i="12"/>
  <c r="J479" i="12"/>
  <c r="H479" i="12"/>
  <c r="F479" i="12"/>
  <c r="D479" i="12"/>
  <c r="C479" i="12"/>
  <c r="B479" i="12"/>
  <c r="J478" i="12"/>
  <c r="H478" i="12"/>
  <c r="F478" i="12"/>
  <c r="D478" i="12"/>
  <c r="C478" i="12"/>
  <c r="B478" i="12"/>
  <c r="J477" i="12"/>
  <c r="H477" i="12"/>
  <c r="F477" i="12"/>
  <c r="D477" i="12"/>
  <c r="C477" i="12"/>
  <c r="B477" i="12"/>
  <c r="J476" i="12"/>
  <c r="H476" i="12"/>
  <c r="F476" i="12"/>
  <c r="D476" i="12"/>
  <c r="C476" i="12"/>
  <c r="B476" i="12"/>
  <c r="J475" i="12"/>
  <c r="H475" i="12"/>
  <c r="F475" i="12"/>
  <c r="D475" i="12"/>
  <c r="C475" i="12"/>
  <c r="B475" i="12"/>
  <c r="J474" i="12"/>
  <c r="H474" i="12"/>
  <c r="F474" i="12"/>
  <c r="D474" i="12"/>
  <c r="C474" i="12"/>
  <c r="B474" i="12"/>
  <c r="J473" i="12"/>
  <c r="H473" i="12"/>
  <c r="F473" i="12"/>
  <c r="D473" i="12"/>
  <c r="C473" i="12"/>
  <c r="B473" i="12"/>
  <c r="J472" i="12"/>
  <c r="H472" i="12"/>
  <c r="F472" i="12"/>
  <c r="D472" i="12"/>
  <c r="C472" i="12"/>
  <c r="B472" i="12"/>
  <c r="J471" i="12"/>
  <c r="H471" i="12"/>
  <c r="F471" i="12"/>
  <c r="D471" i="12"/>
  <c r="C471" i="12"/>
  <c r="B471" i="12"/>
  <c r="J470" i="12"/>
  <c r="H470" i="12"/>
  <c r="F470" i="12"/>
  <c r="D470" i="12"/>
  <c r="C470" i="12"/>
  <c r="B470" i="12"/>
  <c r="J469" i="12"/>
  <c r="H469" i="12"/>
  <c r="F469" i="12"/>
  <c r="D469" i="12"/>
  <c r="C469" i="12"/>
  <c r="B469" i="12"/>
  <c r="J468" i="12"/>
  <c r="H468" i="12"/>
  <c r="F468" i="12"/>
  <c r="D468" i="12"/>
  <c r="C468" i="12"/>
  <c r="B468" i="12"/>
  <c r="J467" i="12"/>
  <c r="H467" i="12"/>
  <c r="F467" i="12"/>
  <c r="D467" i="12"/>
  <c r="C467" i="12"/>
  <c r="B467" i="12"/>
  <c r="J466" i="12"/>
  <c r="H466" i="12"/>
  <c r="F466" i="12"/>
  <c r="D466" i="12"/>
  <c r="C466" i="12"/>
  <c r="B466" i="12"/>
  <c r="J465" i="12"/>
  <c r="H465" i="12"/>
  <c r="F465" i="12"/>
  <c r="D465" i="12"/>
  <c r="C465" i="12"/>
  <c r="B465" i="12"/>
  <c r="J464" i="12"/>
  <c r="H464" i="12"/>
  <c r="F464" i="12"/>
  <c r="D464" i="12"/>
  <c r="C464" i="12"/>
  <c r="B464" i="12"/>
  <c r="J463" i="12"/>
  <c r="H463" i="12"/>
  <c r="F463" i="12"/>
  <c r="D463" i="12"/>
  <c r="C463" i="12"/>
  <c r="B463" i="12"/>
  <c r="J462" i="12"/>
  <c r="H462" i="12"/>
  <c r="F462" i="12"/>
  <c r="D462" i="12"/>
  <c r="C462" i="12"/>
  <c r="B462" i="12"/>
  <c r="J461" i="12"/>
  <c r="H461" i="12"/>
  <c r="F461" i="12"/>
  <c r="D461" i="12"/>
  <c r="C461" i="12"/>
  <c r="B461" i="12"/>
  <c r="J460" i="12"/>
  <c r="H460" i="12"/>
  <c r="F460" i="12"/>
  <c r="D460" i="12"/>
  <c r="C460" i="12"/>
  <c r="B460" i="12"/>
  <c r="J459" i="12"/>
  <c r="H459" i="12"/>
  <c r="F459" i="12"/>
  <c r="D459" i="12"/>
  <c r="C459" i="12"/>
  <c r="B459" i="12"/>
  <c r="J458" i="12"/>
  <c r="H458" i="12"/>
  <c r="F458" i="12"/>
  <c r="D458" i="12"/>
  <c r="C458" i="12"/>
  <c r="B458" i="12"/>
  <c r="J457" i="12"/>
  <c r="H457" i="12"/>
  <c r="F457" i="12"/>
  <c r="D457" i="12"/>
  <c r="C457" i="12"/>
  <c r="B457" i="12"/>
  <c r="J456" i="12"/>
  <c r="H456" i="12"/>
  <c r="F456" i="12"/>
  <c r="D456" i="12"/>
  <c r="C456" i="12"/>
  <c r="B456" i="12"/>
  <c r="J455" i="12"/>
  <c r="H455" i="12"/>
  <c r="F455" i="12"/>
  <c r="D455" i="12"/>
  <c r="C455" i="12"/>
  <c r="B455" i="12"/>
  <c r="J454" i="12"/>
  <c r="H454" i="12"/>
  <c r="F454" i="12"/>
  <c r="D454" i="12"/>
  <c r="C454" i="12"/>
  <c r="B454" i="12"/>
  <c r="J453" i="12"/>
  <c r="H453" i="12"/>
  <c r="F453" i="12"/>
  <c r="D453" i="12"/>
  <c r="C453" i="12"/>
  <c r="B453" i="12"/>
  <c r="J452" i="12"/>
  <c r="H452" i="12"/>
  <c r="F452" i="12"/>
  <c r="D452" i="12"/>
  <c r="C452" i="12"/>
  <c r="B452" i="12"/>
  <c r="J451" i="12"/>
  <c r="H451" i="12"/>
  <c r="F451" i="12"/>
  <c r="D451" i="12"/>
  <c r="C451" i="12"/>
  <c r="B451" i="12"/>
  <c r="J450" i="12"/>
  <c r="H450" i="12"/>
  <c r="F450" i="12"/>
  <c r="D450" i="12"/>
  <c r="C450" i="12"/>
  <c r="B450" i="12"/>
  <c r="J449" i="12"/>
  <c r="H449" i="12"/>
  <c r="F449" i="12"/>
  <c r="D449" i="12"/>
  <c r="C449" i="12"/>
  <c r="B449" i="12"/>
  <c r="J448" i="12"/>
  <c r="H448" i="12"/>
  <c r="F448" i="12"/>
  <c r="D448" i="12"/>
  <c r="C448" i="12"/>
  <c r="B448" i="12"/>
  <c r="J447" i="12"/>
  <c r="H447" i="12"/>
  <c r="F447" i="12"/>
  <c r="D447" i="12"/>
  <c r="C447" i="12"/>
  <c r="B447" i="12"/>
  <c r="J446" i="12"/>
  <c r="H446" i="12"/>
  <c r="F446" i="12"/>
  <c r="D446" i="12"/>
  <c r="C446" i="12"/>
  <c r="B446" i="12"/>
  <c r="J445" i="12"/>
  <c r="H445" i="12"/>
  <c r="F445" i="12"/>
  <c r="D445" i="12"/>
  <c r="C445" i="12"/>
  <c r="B445" i="12"/>
  <c r="J444" i="12"/>
  <c r="H444" i="12"/>
  <c r="F444" i="12"/>
  <c r="D444" i="12"/>
  <c r="C444" i="12"/>
  <c r="B444" i="12"/>
  <c r="J443" i="12"/>
  <c r="H443" i="12"/>
  <c r="F443" i="12"/>
  <c r="D443" i="12"/>
  <c r="C443" i="12"/>
  <c r="B443" i="12"/>
  <c r="J442" i="12"/>
  <c r="H442" i="12"/>
  <c r="F442" i="12"/>
  <c r="D442" i="12"/>
  <c r="C442" i="12"/>
  <c r="B442" i="12"/>
  <c r="J441" i="12"/>
  <c r="H441" i="12"/>
  <c r="F441" i="12"/>
  <c r="D441" i="12"/>
  <c r="C441" i="12"/>
  <c r="B441" i="12"/>
  <c r="J440" i="12"/>
  <c r="H440" i="12"/>
  <c r="F440" i="12"/>
  <c r="D440" i="12"/>
  <c r="C440" i="12"/>
  <c r="B440" i="12"/>
  <c r="J439" i="12"/>
  <c r="H439" i="12"/>
  <c r="F439" i="12"/>
  <c r="D439" i="12"/>
  <c r="C439" i="12"/>
  <c r="B439" i="12"/>
  <c r="J438" i="12"/>
  <c r="H438" i="12"/>
  <c r="F438" i="12"/>
  <c r="D438" i="12"/>
  <c r="C438" i="12"/>
  <c r="B438" i="12"/>
  <c r="J437" i="12"/>
  <c r="H437" i="12"/>
  <c r="F437" i="12"/>
  <c r="D437" i="12"/>
  <c r="C437" i="12"/>
  <c r="B437" i="12"/>
  <c r="J436" i="12"/>
  <c r="H436" i="12"/>
  <c r="F436" i="12"/>
  <c r="D436" i="12"/>
  <c r="C436" i="12"/>
  <c r="B436" i="12"/>
  <c r="J435" i="12"/>
  <c r="H435" i="12"/>
  <c r="F435" i="12"/>
  <c r="D435" i="12"/>
  <c r="C435" i="12"/>
  <c r="B435" i="12"/>
  <c r="J434" i="12"/>
  <c r="H434" i="12"/>
  <c r="F434" i="12"/>
  <c r="D434" i="12"/>
  <c r="C434" i="12"/>
  <c r="B434" i="12"/>
  <c r="J433" i="12"/>
  <c r="H433" i="12"/>
  <c r="F433" i="12"/>
  <c r="D433" i="12"/>
  <c r="C433" i="12"/>
  <c r="B433" i="12"/>
  <c r="J432" i="12"/>
  <c r="H432" i="12"/>
  <c r="F432" i="12"/>
  <c r="D432" i="12"/>
  <c r="C432" i="12"/>
  <c r="B432" i="12"/>
  <c r="J431" i="12"/>
  <c r="H431" i="12"/>
  <c r="F431" i="12"/>
  <c r="D431" i="12"/>
  <c r="C431" i="12"/>
  <c r="B431" i="12"/>
  <c r="J430" i="12"/>
  <c r="H430" i="12"/>
  <c r="F430" i="12"/>
  <c r="D430" i="12"/>
  <c r="C430" i="12"/>
  <c r="B430" i="12"/>
  <c r="J429" i="12"/>
  <c r="H429" i="12"/>
  <c r="F429" i="12"/>
  <c r="D429" i="12"/>
  <c r="C429" i="12"/>
  <c r="B429" i="12"/>
  <c r="J428" i="12"/>
  <c r="H428" i="12"/>
  <c r="F428" i="12"/>
  <c r="D428" i="12"/>
  <c r="C428" i="12"/>
  <c r="B428" i="12"/>
  <c r="J427" i="12"/>
  <c r="H427" i="12"/>
  <c r="F427" i="12"/>
  <c r="D427" i="12"/>
  <c r="C427" i="12"/>
  <c r="B427" i="12"/>
  <c r="J426" i="12"/>
  <c r="H426" i="12"/>
  <c r="F426" i="12"/>
  <c r="D426" i="12"/>
  <c r="C426" i="12"/>
  <c r="B426" i="12"/>
  <c r="J425" i="12"/>
  <c r="H425" i="12"/>
  <c r="F425" i="12"/>
  <c r="D425" i="12"/>
  <c r="C425" i="12"/>
  <c r="B425" i="12"/>
  <c r="J424" i="12"/>
  <c r="H424" i="12"/>
  <c r="F424" i="12"/>
  <c r="D424" i="12"/>
  <c r="C424" i="12"/>
  <c r="B424" i="12"/>
  <c r="J423" i="12"/>
  <c r="H423" i="12"/>
  <c r="F423" i="12"/>
  <c r="D423" i="12"/>
  <c r="C423" i="12"/>
  <c r="B423" i="12"/>
  <c r="J422" i="12"/>
  <c r="H422" i="12"/>
  <c r="F422" i="12"/>
  <c r="D422" i="12"/>
  <c r="C422" i="12"/>
  <c r="B422" i="12"/>
  <c r="J421" i="12"/>
  <c r="H421" i="12"/>
  <c r="F421" i="12"/>
  <c r="D421" i="12"/>
  <c r="C421" i="12"/>
  <c r="B421" i="12"/>
  <c r="J420" i="12"/>
  <c r="H420" i="12"/>
  <c r="F420" i="12"/>
  <c r="D420" i="12"/>
  <c r="C420" i="12"/>
  <c r="B420" i="12"/>
  <c r="J419" i="12"/>
  <c r="H419" i="12"/>
  <c r="F419" i="12"/>
  <c r="D419" i="12"/>
  <c r="C419" i="12"/>
  <c r="B419" i="12"/>
  <c r="J418" i="12"/>
  <c r="H418" i="12"/>
  <c r="F418" i="12"/>
  <c r="D418" i="12"/>
  <c r="C418" i="12"/>
  <c r="B418" i="12"/>
  <c r="J417" i="12"/>
  <c r="H417" i="12"/>
  <c r="F417" i="12"/>
  <c r="D417" i="12"/>
  <c r="C417" i="12"/>
  <c r="B417" i="12"/>
  <c r="J416" i="12"/>
  <c r="H416" i="12"/>
  <c r="F416" i="12"/>
  <c r="D416" i="12"/>
  <c r="C416" i="12"/>
  <c r="B416" i="12"/>
  <c r="J415" i="12"/>
  <c r="H415" i="12"/>
  <c r="F415" i="12"/>
  <c r="D415" i="12"/>
  <c r="C415" i="12"/>
  <c r="B415" i="12"/>
  <c r="J414" i="12"/>
  <c r="H414" i="12"/>
  <c r="F414" i="12"/>
  <c r="D414" i="12"/>
  <c r="C414" i="12"/>
  <c r="B414" i="12"/>
  <c r="J413" i="12"/>
  <c r="H413" i="12"/>
  <c r="F413" i="12"/>
  <c r="D413" i="12"/>
  <c r="C413" i="12"/>
  <c r="B413" i="12"/>
  <c r="J412" i="12"/>
  <c r="H412" i="12"/>
  <c r="F412" i="12"/>
  <c r="D412" i="12"/>
  <c r="C412" i="12"/>
  <c r="B412" i="12"/>
  <c r="J411" i="12"/>
  <c r="H411" i="12"/>
  <c r="F411" i="12"/>
  <c r="D411" i="12"/>
  <c r="C411" i="12"/>
  <c r="B411" i="12"/>
  <c r="J410" i="12"/>
  <c r="H410" i="12"/>
  <c r="F410" i="12"/>
  <c r="D410" i="12"/>
  <c r="C410" i="12"/>
  <c r="B410" i="12"/>
  <c r="J409" i="12"/>
  <c r="H409" i="12"/>
  <c r="F409" i="12"/>
  <c r="D409" i="12"/>
  <c r="C409" i="12"/>
  <c r="B409" i="12"/>
  <c r="J408" i="12"/>
  <c r="H408" i="12"/>
  <c r="F408" i="12"/>
  <c r="D408" i="12"/>
  <c r="C408" i="12"/>
  <c r="B408" i="12"/>
  <c r="J407" i="12"/>
  <c r="H407" i="12"/>
  <c r="F407" i="12"/>
  <c r="D407" i="12"/>
  <c r="C407" i="12"/>
  <c r="B407" i="12"/>
  <c r="J406" i="12"/>
  <c r="H406" i="12"/>
  <c r="F406" i="12"/>
  <c r="D406" i="12"/>
  <c r="C406" i="12"/>
  <c r="B406" i="12"/>
  <c r="J405" i="12"/>
  <c r="H405" i="12"/>
  <c r="F405" i="12"/>
  <c r="D405" i="12"/>
  <c r="C405" i="12"/>
  <c r="B405" i="12"/>
  <c r="J404" i="12"/>
  <c r="H404" i="12"/>
  <c r="F404" i="12"/>
  <c r="D404" i="12"/>
  <c r="C404" i="12"/>
  <c r="B404" i="12"/>
  <c r="J403" i="12"/>
  <c r="H403" i="12"/>
  <c r="F403" i="12"/>
  <c r="D403" i="12"/>
  <c r="C403" i="12"/>
  <c r="B403" i="12"/>
  <c r="J402" i="12"/>
  <c r="H402" i="12"/>
  <c r="F402" i="12"/>
  <c r="D402" i="12"/>
  <c r="C402" i="12"/>
  <c r="B402" i="12"/>
  <c r="J401" i="12"/>
  <c r="H401" i="12"/>
  <c r="F401" i="12"/>
  <c r="D401" i="12"/>
  <c r="C401" i="12"/>
  <c r="B401" i="12"/>
  <c r="J400" i="12"/>
  <c r="H400" i="12"/>
  <c r="F400" i="12"/>
  <c r="D400" i="12"/>
  <c r="C400" i="12"/>
  <c r="B400" i="12"/>
  <c r="J399" i="12"/>
  <c r="H399" i="12"/>
  <c r="F399" i="12"/>
  <c r="D399" i="12"/>
  <c r="C399" i="12"/>
  <c r="B399" i="12"/>
  <c r="J398" i="12"/>
  <c r="H398" i="12"/>
  <c r="F398" i="12"/>
  <c r="D398" i="12"/>
  <c r="C398" i="12"/>
  <c r="B398" i="12"/>
  <c r="J397" i="12"/>
  <c r="H397" i="12"/>
  <c r="F397" i="12"/>
  <c r="D397" i="12"/>
  <c r="C397" i="12"/>
  <c r="B397" i="12"/>
  <c r="J396" i="12"/>
  <c r="H396" i="12"/>
  <c r="F396" i="12"/>
  <c r="D396" i="12"/>
  <c r="C396" i="12"/>
  <c r="B396" i="12"/>
  <c r="J395" i="12"/>
  <c r="H395" i="12"/>
  <c r="F395" i="12"/>
  <c r="D395" i="12"/>
  <c r="C395" i="12"/>
  <c r="B395" i="12"/>
  <c r="J394" i="12"/>
  <c r="H394" i="12"/>
  <c r="F394" i="12"/>
  <c r="D394" i="12"/>
  <c r="C394" i="12"/>
  <c r="B394" i="12"/>
  <c r="J393" i="12"/>
  <c r="H393" i="12"/>
  <c r="F393" i="12"/>
  <c r="D393" i="12"/>
  <c r="C393" i="12"/>
  <c r="B393" i="12"/>
  <c r="J392" i="12"/>
  <c r="H392" i="12"/>
  <c r="F392" i="12"/>
  <c r="D392" i="12"/>
  <c r="C392" i="12"/>
  <c r="B392" i="12"/>
  <c r="J391" i="12"/>
  <c r="H391" i="12"/>
  <c r="F391" i="12"/>
  <c r="D391" i="12"/>
  <c r="C391" i="12"/>
  <c r="B391" i="12"/>
  <c r="J390" i="12"/>
  <c r="H390" i="12"/>
  <c r="F390" i="12"/>
  <c r="D390" i="12"/>
  <c r="C390" i="12"/>
  <c r="B390" i="12"/>
  <c r="J389" i="12"/>
  <c r="H389" i="12"/>
  <c r="F389" i="12"/>
  <c r="D389" i="12"/>
  <c r="C389" i="12"/>
  <c r="B389" i="12"/>
  <c r="J388" i="12"/>
  <c r="H388" i="12"/>
  <c r="F388" i="12"/>
  <c r="D388" i="12"/>
  <c r="C388" i="12"/>
  <c r="B388" i="12"/>
  <c r="J387" i="12"/>
  <c r="H387" i="12"/>
  <c r="F387" i="12"/>
  <c r="D387" i="12"/>
  <c r="C387" i="12"/>
  <c r="B387" i="12"/>
  <c r="J386" i="12"/>
  <c r="H386" i="12"/>
  <c r="F386" i="12"/>
  <c r="D386" i="12"/>
  <c r="C386" i="12"/>
  <c r="B386" i="12"/>
  <c r="J385" i="12"/>
  <c r="H385" i="12"/>
  <c r="F385" i="12"/>
  <c r="D385" i="12"/>
  <c r="C385" i="12"/>
  <c r="B385" i="12"/>
  <c r="J384" i="12"/>
  <c r="H384" i="12"/>
  <c r="F384" i="12"/>
  <c r="D384" i="12"/>
  <c r="C384" i="12"/>
  <c r="B384" i="12"/>
  <c r="J383" i="12"/>
  <c r="H383" i="12"/>
  <c r="F383" i="12"/>
  <c r="D383" i="12"/>
  <c r="C383" i="12"/>
  <c r="B383" i="12"/>
  <c r="J382" i="12"/>
  <c r="H382" i="12"/>
  <c r="F382" i="12"/>
  <c r="D382" i="12"/>
  <c r="C382" i="12"/>
  <c r="B382" i="12"/>
  <c r="J381" i="12"/>
  <c r="H381" i="12"/>
  <c r="F381" i="12"/>
  <c r="D381" i="12"/>
  <c r="C381" i="12"/>
  <c r="B381" i="12"/>
  <c r="J380" i="12"/>
  <c r="H380" i="12"/>
  <c r="F380" i="12"/>
  <c r="D380" i="12"/>
  <c r="C380" i="12"/>
  <c r="B380" i="12"/>
  <c r="J379" i="12"/>
  <c r="H379" i="12"/>
  <c r="F379" i="12"/>
  <c r="D379" i="12"/>
  <c r="C379" i="12"/>
  <c r="B379" i="12"/>
  <c r="J378" i="12"/>
  <c r="H378" i="12"/>
  <c r="F378" i="12"/>
  <c r="D378" i="12"/>
  <c r="C378" i="12"/>
  <c r="B378" i="12"/>
  <c r="J377" i="12"/>
  <c r="H377" i="12"/>
  <c r="F377" i="12"/>
  <c r="D377" i="12"/>
  <c r="C377" i="12"/>
  <c r="B377" i="12"/>
  <c r="J376" i="12"/>
  <c r="H376" i="12"/>
  <c r="F376" i="12"/>
  <c r="D376" i="12"/>
  <c r="C376" i="12"/>
  <c r="B376" i="12"/>
  <c r="J375" i="12"/>
  <c r="H375" i="12"/>
  <c r="F375" i="12"/>
  <c r="D375" i="12"/>
  <c r="C375" i="12"/>
  <c r="B375" i="12"/>
  <c r="J374" i="12"/>
  <c r="H374" i="12"/>
  <c r="F374" i="12"/>
  <c r="D374" i="12"/>
  <c r="C374" i="12"/>
  <c r="B374" i="12"/>
  <c r="J373" i="12"/>
  <c r="H373" i="12"/>
  <c r="F373" i="12"/>
  <c r="D373" i="12"/>
  <c r="C373" i="12"/>
  <c r="B373" i="12"/>
  <c r="J372" i="12"/>
  <c r="H372" i="12"/>
  <c r="F372" i="12"/>
  <c r="D372" i="12"/>
  <c r="C372" i="12"/>
  <c r="B372" i="12"/>
  <c r="J371" i="12"/>
  <c r="H371" i="12"/>
  <c r="F371" i="12"/>
  <c r="D371" i="12"/>
  <c r="C371" i="12"/>
  <c r="B371" i="12"/>
  <c r="J370" i="12"/>
  <c r="H370" i="12"/>
  <c r="F370" i="12"/>
  <c r="D370" i="12"/>
  <c r="C370" i="12"/>
  <c r="B370" i="12"/>
  <c r="J369" i="12"/>
  <c r="H369" i="12"/>
  <c r="F369" i="12"/>
  <c r="D369" i="12"/>
  <c r="C369" i="12"/>
  <c r="B369" i="12"/>
  <c r="J368" i="12"/>
  <c r="H368" i="12"/>
  <c r="F368" i="12"/>
  <c r="D368" i="12"/>
  <c r="C368" i="12"/>
  <c r="B368" i="12"/>
  <c r="J367" i="12"/>
  <c r="H367" i="12"/>
  <c r="F367" i="12"/>
  <c r="D367" i="12"/>
  <c r="C367" i="12"/>
  <c r="B367" i="12"/>
  <c r="J366" i="12"/>
  <c r="H366" i="12"/>
  <c r="F366" i="12"/>
  <c r="D366" i="12"/>
  <c r="C366" i="12"/>
  <c r="B366" i="12"/>
  <c r="J365" i="12"/>
  <c r="H365" i="12"/>
  <c r="F365" i="12"/>
  <c r="D365" i="12"/>
  <c r="C365" i="12"/>
  <c r="B365" i="12"/>
  <c r="J364" i="12"/>
  <c r="H364" i="12"/>
  <c r="F364" i="12"/>
  <c r="D364" i="12"/>
  <c r="C364" i="12"/>
  <c r="B364" i="12"/>
  <c r="J363" i="12"/>
  <c r="H363" i="12"/>
  <c r="F363" i="12"/>
  <c r="D363" i="12"/>
  <c r="C363" i="12"/>
  <c r="B363" i="12"/>
  <c r="J362" i="12"/>
  <c r="H362" i="12"/>
  <c r="F362" i="12"/>
  <c r="D362" i="12"/>
  <c r="C362" i="12"/>
  <c r="B362" i="12"/>
  <c r="J361" i="12"/>
  <c r="H361" i="12"/>
  <c r="F361" i="12"/>
  <c r="D361" i="12"/>
  <c r="C361" i="12"/>
  <c r="B361" i="12"/>
  <c r="J360" i="12"/>
  <c r="H360" i="12"/>
  <c r="F360" i="12"/>
  <c r="D360" i="12"/>
  <c r="C360" i="12"/>
  <c r="B360" i="12"/>
  <c r="J359" i="12"/>
  <c r="H359" i="12"/>
  <c r="F359" i="12"/>
  <c r="D359" i="12"/>
  <c r="C359" i="12"/>
  <c r="B359" i="12"/>
  <c r="J358" i="12"/>
  <c r="H358" i="12"/>
  <c r="F358" i="12"/>
  <c r="D358" i="12"/>
  <c r="C358" i="12"/>
  <c r="B358" i="12"/>
  <c r="J357" i="12"/>
  <c r="H357" i="12"/>
  <c r="F357" i="12"/>
  <c r="D357" i="12"/>
  <c r="C357" i="12"/>
  <c r="B357" i="12"/>
  <c r="J356" i="12"/>
  <c r="H356" i="12"/>
  <c r="F356" i="12"/>
  <c r="D356" i="12"/>
  <c r="C356" i="12"/>
  <c r="B356" i="12"/>
  <c r="J355" i="12"/>
  <c r="H355" i="12"/>
  <c r="F355" i="12"/>
  <c r="D355" i="12"/>
  <c r="C355" i="12"/>
  <c r="B355" i="12"/>
  <c r="J354" i="12"/>
  <c r="H354" i="12"/>
  <c r="F354" i="12"/>
  <c r="D354" i="12"/>
  <c r="C354" i="12"/>
  <c r="B354" i="12"/>
  <c r="J353" i="12"/>
  <c r="H353" i="12"/>
  <c r="F353" i="12"/>
  <c r="D353" i="12"/>
  <c r="C353" i="12"/>
  <c r="B353" i="12"/>
  <c r="J352" i="12"/>
  <c r="H352" i="12"/>
  <c r="F352" i="12"/>
  <c r="D352" i="12"/>
  <c r="C352" i="12"/>
  <c r="B352" i="12"/>
  <c r="J351" i="12"/>
  <c r="H351" i="12"/>
  <c r="F351" i="12"/>
  <c r="D351" i="12"/>
  <c r="C351" i="12"/>
  <c r="B351" i="12"/>
  <c r="J350" i="12"/>
  <c r="H350" i="12"/>
  <c r="F350" i="12"/>
  <c r="D350" i="12"/>
  <c r="C350" i="12"/>
  <c r="B350" i="12"/>
  <c r="J349" i="12"/>
  <c r="H349" i="12"/>
  <c r="F349" i="12"/>
  <c r="D349" i="12"/>
  <c r="C349" i="12"/>
  <c r="B349" i="12"/>
  <c r="J348" i="12"/>
  <c r="H348" i="12"/>
  <c r="F348" i="12"/>
  <c r="D348" i="12"/>
  <c r="C348" i="12"/>
  <c r="B348" i="12"/>
  <c r="J347" i="12"/>
  <c r="H347" i="12"/>
  <c r="F347" i="12"/>
  <c r="D347" i="12"/>
  <c r="C347" i="12"/>
  <c r="B347" i="12"/>
  <c r="J346" i="12"/>
  <c r="H346" i="12"/>
  <c r="F346" i="12"/>
  <c r="D346" i="12"/>
  <c r="C346" i="12"/>
  <c r="B346" i="12"/>
  <c r="J345" i="12"/>
  <c r="H345" i="12"/>
  <c r="F345" i="12"/>
  <c r="D345" i="12"/>
  <c r="C345" i="12"/>
  <c r="B345" i="12"/>
  <c r="J344" i="12"/>
  <c r="H344" i="12"/>
  <c r="F344" i="12"/>
  <c r="D344" i="12"/>
  <c r="C344" i="12"/>
  <c r="B344" i="12"/>
  <c r="J343" i="12"/>
  <c r="H343" i="12"/>
  <c r="F343" i="12"/>
  <c r="D343" i="12"/>
  <c r="C343" i="12"/>
  <c r="B343" i="12"/>
  <c r="J342" i="12"/>
  <c r="H342" i="12"/>
  <c r="F342" i="12"/>
  <c r="D342" i="12"/>
  <c r="C342" i="12"/>
  <c r="B342" i="12"/>
  <c r="J341" i="12"/>
  <c r="H341" i="12"/>
  <c r="F341" i="12"/>
  <c r="D341" i="12"/>
  <c r="C341" i="12"/>
  <c r="B341" i="12"/>
  <c r="J340" i="12"/>
  <c r="H340" i="12"/>
  <c r="F340" i="12"/>
  <c r="D340" i="12"/>
  <c r="C340" i="12"/>
  <c r="B340" i="12"/>
  <c r="J339" i="12"/>
  <c r="H339" i="12"/>
  <c r="F339" i="12"/>
  <c r="D339" i="12"/>
  <c r="C339" i="12"/>
  <c r="B339" i="12"/>
  <c r="J338" i="12"/>
  <c r="H338" i="12"/>
  <c r="F338" i="12"/>
  <c r="D338" i="12"/>
  <c r="C338" i="12"/>
  <c r="B338" i="12"/>
  <c r="J337" i="12"/>
  <c r="H337" i="12"/>
  <c r="F337" i="12"/>
  <c r="D337" i="12"/>
  <c r="C337" i="12"/>
  <c r="B337" i="12"/>
  <c r="J336" i="12"/>
  <c r="H336" i="12"/>
  <c r="F336" i="12"/>
  <c r="D336" i="12"/>
  <c r="C336" i="12"/>
  <c r="B336" i="12"/>
  <c r="J335" i="12"/>
  <c r="H335" i="12"/>
  <c r="F335" i="12"/>
  <c r="D335" i="12"/>
  <c r="C335" i="12"/>
  <c r="B335" i="12"/>
  <c r="J334" i="12"/>
  <c r="H334" i="12"/>
  <c r="F334" i="12"/>
  <c r="D334" i="12"/>
  <c r="C334" i="12"/>
  <c r="B334" i="12"/>
  <c r="J333" i="12"/>
  <c r="H333" i="12"/>
  <c r="F333" i="12"/>
  <c r="D333" i="12"/>
  <c r="C333" i="12"/>
  <c r="B333" i="12"/>
  <c r="J332" i="12"/>
  <c r="H332" i="12"/>
  <c r="F332" i="12"/>
  <c r="D332" i="12"/>
  <c r="C332" i="12"/>
  <c r="B332" i="12"/>
  <c r="J331" i="12"/>
  <c r="H331" i="12"/>
  <c r="F331" i="12"/>
  <c r="D331" i="12"/>
  <c r="C331" i="12"/>
  <c r="B331" i="12"/>
  <c r="J330" i="12"/>
  <c r="H330" i="12"/>
  <c r="F330" i="12"/>
  <c r="D330" i="12"/>
  <c r="C330" i="12"/>
  <c r="B330" i="12"/>
  <c r="J329" i="12"/>
  <c r="H329" i="12"/>
  <c r="F329" i="12"/>
  <c r="D329" i="12"/>
  <c r="C329" i="12"/>
  <c r="B329" i="12"/>
  <c r="J328" i="12"/>
  <c r="H328" i="12"/>
  <c r="F328" i="12"/>
  <c r="D328" i="12"/>
  <c r="C328" i="12"/>
  <c r="B328" i="12"/>
  <c r="J327" i="12"/>
  <c r="H327" i="12"/>
  <c r="F327" i="12"/>
  <c r="D327" i="12"/>
  <c r="C327" i="12"/>
  <c r="B327" i="12"/>
  <c r="J326" i="12"/>
  <c r="H326" i="12"/>
  <c r="F326" i="12"/>
  <c r="D326" i="12"/>
  <c r="C326" i="12"/>
  <c r="B326" i="12"/>
  <c r="J325" i="12"/>
  <c r="H325" i="12"/>
  <c r="F325" i="12"/>
  <c r="D325" i="12"/>
  <c r="C325" i="12"/>
  <c r="B325" i="12"/>
  <c r="J324" i="12"/>
  <c r="H324" i="12"/>
  <c r="F324" i="12"/>
  <c r="D324" i="12"/>
  <c r="C324" i="12"/>
  <c r="B324" i="12"/>
  <c r="J323" i="12"/>
  <c r="H323" i="12"/>
  <c r="F323" i="12"/>
  <c r="D323" i="12"/>
  <c r="C323" i="12"/>
  <c r="B323" i="12"/>
  <c r="J322" i="12"/>
  <c r="H322" i="12"/>
  <c r="F322" i="12"/>
  <c r="D322" i="12"/>
  <c r="C322" i="12"/>
  <c r="B322" i="12"/>
  <c r="J321" i="12"/>
  <c r="H321" i="12"/>
  <c r="F321" i="12"/>
  <c r="D321" i="12"/>
  <c r="C321" i="12"/>
  <c r="B321" i="12"/>
  <c r="J320" i="12"/>
  <c r="H320" i="12"/>
  <c r="F320" i="12"/>
  <c r="D320" i="12"/>
  <c r="C320" i="12"/>
  <c r="B320" i="12"/>
  <c r="J319" i="12"/>
  <c r="H319" i="12"/>
  <c r="F319" i="12"/>
  <c r="D319" i="12"/>
  <c r="C319" i="12"/>
  <c r="B319" i="12"/>
  <c r="J318" i="12"/>
  <c r="H318" i="12"/>
  <c r="F318" i="12"/>
  <c r="D318" i="12"/>
  <c r="C318" i="12"/>
  <c r="B318" i="12"/>
  <c r="J317" i="12"/>
  <c r="H317" i="12"/>
  <c r="F317" i="12"/>
  <c r="D317" i="12"/>
  <c r="C317" i="12"/>
  <c r="B317" i="12"/>
  <c r="J316" i="12"/>
  <c r="H316" i="12"/>
  <c r="F316" i="12"/>
  <c r="D316" i="12"/>
  <c r="C316" i="12"/>
  <c r="B316" i="12"/>
  <c r="J315" i="12"/>
  <c r="H315" i="12"/>
  <c r="F315" i="12"/>
  <c r="D315" i="12"/>
  <c r="C315" i="12"/>
  <c r="B315" i="12"/>
  <c r="J314" i="12"/>
  <c r="H314" i="12"/>
  <c r="F314" i="12"/>
  <c r="D314" i="12"/>
  <c r="C314" i="12"/>
  <c r="B314" i="12"/>
  <c r="J313" i="12"/>
  <c r="H313" i="12"/>
  <c r="F313" i="12"/>
  <c r="D313" i="12"/>
  <c r="C313" i="12"/>
  <c r="B313" i="12"/>
  <c r="J312" i="12"/>
  <c r="H312" i="12"/>
  <c r="F312" i="12"/>
  <c r="D312" i="12"/>
  <c r="C312" i="12"/>
  <c r="B312" i="12"/>
  <c r="J311" i="12"/>
  <c r="H311" i="12"/>
  <c r="F311" i="12"/>
  <c r="D311" i="12"/>
  <c r="C311" i="12"/>
  <c r="B311" i="12"/>
  <c r="J310" i="12"/>
  <c r="H310" i="12"/>
  <c r="F310" i="12"/>
  <c r="D310" i="12"/>
  <c r="C310" i="12"/>
  <c r="B310" i="12"/>
  <c r="J309" i="12"/>
  <c r="H309" i="12"/>
  <c r="F309" i="12"/>
  <c r="D309" i="12"/>
  <c r="C309" i="12"/>
  <c r="B309" i="12"/>
  <c r="J308" i="12"/>
  <c r="H308" i="12"/>
  <c r="F308" i="12"/>
  <c r="D308" i="12"/>
  <c r="C308" i="12"/>
  <c r="B308" i="12"/>
  <c r="J307" i="12"/>
  <c r="H307" i="12"/>
  <c r="F307" i="12"/>
  <c r="D307" i="12"/>
  <c r="C307" i="12"/>
  <c r="B307" i="12"/>
  <c r="J306" i="12"/>
  <c r="H306" i="12"/>
  <c r="F306" i="12"/>
  <c r="D306" i="12"/>
  <c r="C306" i="12"/>
  <c r="B306" i="12"/>
  <c r="J305" i="12"/>
  <c r="H305" i="12"/>
  <c r="F305" i="12"/>
  <c r="D305" i="12"/>
  <c r="C305" i="12"/>
  <c r="B305" i="12"/>
  <c r="J304" i="12"/>
  <c r="H304" i="12"/>
  <c r="F304" i="12"/>
  <c r="D304" i="12"/>
  <c r="C304" i="12"/>
  <c r="B304" i="12"/>
  <c r="J303" i="12"/>
  <c r="H303" i="12"/>
  <c r="F303" i="12"/>
  <c r="D303" i="12"/>
  <c r="C303" i="12"/>
  <c r="B303" i="12"/>
  <c r="J302" i="12"/>
  <c r="H302" i="12"/>
  <c r="F302" i="12"/>
  <c r="D302" i="12"/>
  <c r="C302" i="12"/>
  <c r="B302" i="12"/>
  <c r="J301" i="12"/>
  <c r="H301" i="12"/>
  <c r="F301" i="12"/>
  <c r="D301" i="12"/>
  <c r="C301" i="12"/>
  <c r="B301" i="12"/>
  <c r="J300" i="12"/>
  <c r="H300" i="12"/>
  <c r="F300" i="12"/>
  <c r="D300" i="12"/>
  <c r="C300" i="12"/>
  <c r="B300" i="12"/>
  <c r="J299" i="12"/>
  <c r="H299" i="12"/>
  <c r="F299" i="12"/>
  <c r="D299" i="12"/>
  <c r="C299" i="12"/>
  <c r="B299" i="12"/>
  <c r="J298" i="12"/>
  <c r="H298" i="12"/>
  <c r="F298" i="12"/>
  <c r="D298" i="12"/>
  <c r="C298" i="12"/>
  <c r="B298" i="12"/>
  <c r="J297" i="12"/>
  <c r="H297" i="12"/>
  <c r="F297" i="12"/>
  <c r="D297" i="12"/>
  <c r="C297" i="12"/>
  <c r="B297" i="12"/>
  <c r="J296" i="12"/>
  <c r="H296" i="12"/>
  <c r="F296" i="12"/>
  <c r="D296" i="12"/>
  <c r="C296" i="12"/>
  <c r="B296" i="12"/>
  <c r="J295" i="12"/>
  <c r="H295" i="12"/>
  <c r="F295" i="12"/>
  <c r="D295" i="12"/>
  <c r="C295" i="12"/>
  <c r="B295" i="12"/>
  <c r="J294" i="12"/>
  <c r="H294" i="12"/>
  <c r="F294" i="12"/>
  <c r="D294" i="12"/>
  <c r="C294" i="12"/>
  <c r="B294" i="12"/>
  <c r="J293" i="12"/>
  <c r="H293" i="12"/>
  <c r="F293" i="12"/>
  <c r="D293" i="12"/>
  <c r="C293" i="12"/>
  <c r="B293" i="12"/>
  <c r="J292" i="12"/>
  <c r="H292" i="12"/>
  <c r="F292" i="12"/>
  <c r="D292" i="12"/>
  <c r="C292" i="12"/>
  <c r="B292" i="12"/>
  <c r="J291" i="12"/>
  <c r="H291" i="12"/>
  <c r="F291" i="12"/>
  <c r="D291" i="12"/>
  <c r="C291" i="12"/>
  <c r="B291" i="12"/>
  <c r="J290" i="12"/>
  <c r="H290" i="12"/>
  <c r="F290" i="12"/>
  <c r="D290" i="12"/>
  <c r="C290" i="12"/>
  <c r="B290" i="12"/>
  <c r="J289" i="12"/>
  <c r="H289" i="12"/>
  <c r="F289" i="12"/>
  <c r="D289" i="12"/>
  <c r="C289" i="12"/>
  <c r="B289" i="12"/>
  <c r="J288" i="12"/>
  <c r="H288" i="12"/>
  <c r="F288" i="12"/>
  <c r="D288" i="12"/>
  <c r="C288" i="12"/>
  <c r="B288" i="12"/>
  <c r="J287" i="12"/>
  <c r="H287" i="12"/>
  <c r="F287" i="12"/>
  <c r="D287" i="12"/>
  <c r="C287" i="12"/>
  <c r="B287" i="12"/>
  <c r="J286" i="12"/>
  <c r="H286" i="12"/>
  <c r="F286" i="12"/>
  <c r="D286" i="12"/>
  <c r="C286" i="12"/>
  <c r="B286" i="12"/>
  <c r="J285" i="12"/>
  <c r="H285" i="12"/>
  <c r="F285" i="12"/>
  <c r="D285" i="12"/>
  <c r="C285" i="12"/>
  <c r="B285" i="12"/>
  <c r="J284" i="12"/>
  <c r="H284" i="12"/>
  <c r="F284" i="12"/>
  <c r="D284" i="12"/>
  <c r="C284" i="12"/>
  <c r="B284" i="12"/>
  <c r="J283" i="12"/>
  <c r="H283" i="12"/>
  <c r="F283" i="12"/>
  <c r="D283" i="12"/>
  <c r="C283" i="12"/>
  <c r="B283" i="12"/>
  <c r="J282" i="12"/>
  <c r="H282" i="12"/>
  <c r="F282" i="12"/>
  <c r="D282" i="12"/>
  <c r="C282" i="12"/>
  <c r="B282" i="12"/>
  <c r="J281" i="12"/>
  <c r="H281" i="12"/>
  <c r="F281" i="12"/>
  <c r="D281" i="12"/>
  <c r="C281" i="12"/>
  <c r="B281" i="12"/>
  <c r="J280" i="12"/>
  <c r="H280" i="12"/>
  <c r="F280" i="12"/>
  <c r="D280" i="12"/>
  <c r="C280" i="12"/>
  <c r="B280" i="12"/>
  <c r="J279" i="12"/>
  <c r="H279" i="12"/>
  <c r="F279" i="12"/>
  <c r="D279" i="12"/>
  <c r="C279" i="12"/>
  <c r="B279" i="12"/>
  <c r="J278" i="12"/>
  <c r="H278" i="12"/>
  <c r="F278" i="12"/>
  <c r="D278" i="12"/>
  <c r="C278" i="12"/>
  <c r="B278" i="12"/>
  <c r="J277" i="12"/>
  <c r="H277" i="12"/>
  <c r="F277" i="12"/>
  <c r="D277" i="12"/>
  <c r="C277" i="12"/>
  <c r="B277" i="12"/>
  <c r="J276" i="12"/>
  <c r="H276" i="12"/>
  <c r="F276" i="12"/>
  <c r="D276" i="12"/>
  <c r="C276" i="12"/>
  <c r="B276" i="12"/>
  <c r="J275" i="12"/>
  <c r="H275" i="12"/>
  <c r="F275" i="12"/>
  <c r="D275" i="12"/>
  <c r="C275" i="12"/>
  <c r="B275" i="12"/>
  <c r="J274" i="12"/>
  <c r="H274" i="12"/>
  <c r="F274" i="12"/>
  <c r="D274" i="12"/>
  <c r="C274" i="12"/>
  <c r="B274" i="12"/>
  <c r="J273" i="12"/>
  <c r="H273" i="12"/>
  <c r="F273" i="12"/>
  <c r="D273" i="12"/>
  <c r="C273" i="12"/>
  <c r="B273" i="12"/>
  <c r="J272" i="12"/>
  <c r="H272" i="12"/>
  <c r="F272" i="12"/>
  <c r="D272" i="12"/>
  <c r="C272" i="12"/>
  <c r="B272" i="12"/>
  <c r="J271" i="12"/>
  <c r="H271" i="12"/>
  <c r="F271" i="12"/>
  <c r="D271" i="12"/>
  <c r="C271" i="12"/>
  <c r="B271" i="12"/>
  <c r="J270" i="12"/>
  <c r="H270" i="12"/>
  <c r="F270" i="12"/>
  <c r="D270" i="12"/>
  <c r="C270" i="12"/>
  <c r="B270" i="12"/>
  <c r="J269" i="12"/>
  <c r="H269" i="12"/>
  <c r="F269" i="12"/>
  <c r="D269" i="12"/>
  <c r="C269" i="12"/>
  <c r="B269" i="12"/>
  <c r="J268" i="12"/>
  <c r="H268" i="12"/>
  <c r="F268" i="12"/>
  <c r="D268" i="12"/>
  <c r="C268" i="12"/>
  <c r="B268" i="12"/>
  <c r="J267" i="12"/>
  <c r="H267" i="12"/>
  <c r="F267" i="12"/>
  <c r="D267" i="12"/>
  <c r="C267" i="12"/>
  <c r="B267" i="12"/>
  <c r="J266" i="12"/>
  <c r="H266" i="12"/>
  <c r="F266" i="12"/>
  <c r="D266" i="12"/>
  <c r="C266" i="12"/>
  <c r="B266" i="12"/>
  <c r="J265" i="12"/>
  <c r="H265" i="12"/>
  <c r="F265" i="12"/>
  <c r="D265" i="12"/>
  <c r="C265" i="12"/>
  <c r="B265" i="12"/>
  <c r="J264" i="12"/>
  <c r="H264" i="12"/>
  <c r="F264" i="12"/>
  <c r="D264" i="12"/>
  <c r="C264" i="12"/>
  <c r="B264" i="12"/>
  <c r="J263" i="12"/>
  <c r="H263" i="12"/>
  <c r="F263" i="12"/>
  <c r="D263" i="12"/>
  <c r="C263" i="12"/>
  <c r="B263" i="12"/>
  <c r="J262" i="12"/>
  <c r="H262" i="12"/>
  <c r="F262" i="12"/>
  <c r="D262" i="12"/>
  <c r="C262" i="12"/>
  <c r="B262" i="12"/>
  <c r="J261" i="12"/>
  <c r="H261" i="12"/>
  <c r="F261" i="12"/>
  <c r="D261" i="12"/>
  <c r="C261" i="12"/>
  <c r="B261" i="12"/>
  <c r="J260" i="12"/>
  <c r="H260" i="12"/>
  <c r="F260" i="12"/>
  <c r="D260" i="12"/>
  <c r="C260" i="12"/>
  <c r="B260" i="12"/>
  <c r="J259" i="12"/>
  <c r="H259" i="12"/>
  <c r="F259" i="12"/>
  <c r="D259" i="12"/>
  <c r="C259" i="12"/>
  <c r="B259" i="12"/>
  <c r="J258" i="12"/>
  <c r="H258" i="12"/>
  <c r="F258" i="12"/>
  <c r="D258" i="12"/>
  <c r="C258" i="12"/>
  <c r="B258" i="12"/>
  <c r="J257" i="12"/>
  <c r="H257" i="12"/>
  <c r="F257" i="12"/>
  <c r="D257" i="12"/>
  <c r="C257" i="12"/>
  <c r="B257" i="12"/>
  <c r="J256" i="12"/>
  <c r="H256" i="12"/>
  <c r="F256" i="12"/>
  <c r="D256" i="12"/>
  <c r="C256" i="12"/>
  <c r="B256" i="12"/>
  <c r="J255" i="12"/>
  <c r="H255" i="12"/>
  <c r="F255" i="12"/>
  <c r="D255" i="12"/>
  <c r="C255" i="12"/>
  <c r="B255" i="12"/>
  <c r="J254" i="12"/>
  <c r="H254" i="12"/>
  <c r="F254" i="12"/>
  <c r="D254" i="12"/>
  <c r="C254" i="12"/>
  <c r="B254" i="12"/>
  <c r="J253" i="12"/>
  <c r="H253" i="12"/>
  <c r="F253" i="12"/>
  <c r="D253" i="12"/>
  <c r="C253" i="12"/>
  <c r="B253" i="12"/>
  <c r="J252" i="12"/>
  <c r="H252" i="12"/>
  <c r="F252" i="12"/>
  <c r="D252" i="12"/>
  <c r="C252" i="12"/>
  <c r="B252" i="12"/>
  <c r="J251" i="12"/>
  <c r="H251" i="12"/>
  <c r="F251" i="12"/>
  <c r="D251" i="12"/>
  <c r="C251" i="12"/>
  <c r="B251" i="12"/>
  <c r="J250" i="12"/>
  <c r="H250" i="12"/>
  <c r="F250" i="12"/>
  <c r="D250" i="12"/>
  <c r="C250" i="12"/>
  <c r="B250" i="12"/>
  <c r="J249" i="12"/>
  <c r="H249" i="12"/>
  <c r="F249" i="12"/>
  <c r="D249" i="12"/>
  <c r="C249" i="12"/>
  <c r="B249" i="12"/>
  <c r="J248" i="12"/>
  <c r="H248" i="12"/>
  <c r="F248" i="12"/>
  <c r="D248" i="12"/>
  <c r="C248" i="12"/>
  <c r="B248" i="12"/>
  <c r="J247" i="12"/>
  <c r="H247" i="12"/>
  <c r="F247" i="12"/>
  <c r="D247" i="12"/>
  <c r="C247" i="12"/>
  <c r="B247" i="12"/>
  <c r="J246" i="12"/>
  <c r="H246" i="12"/>
  <c r="F246" i="12"/>
  <c r="D246" i="12"/>
  <c r="C246" i="12"/>
  <c r="B246" i="12"/>
  <c r="J245" i="12"/>
  <c r="H245" i="12"/>
  <c r="F245" i="12"/>
  <c r="D245" i="12"/>
  <c r="C245" i="12"/>
  <c r="B245" i="12"/>
  <c r="J244" i="12"/>
  <c r="H244" i="12"/>
  <c r="F244" i="12"/>
  <c r="D244" i="12"/>
  <c r="C244" i="12"/>
  <c r="B244" i="12"/>
  <c r="J243" i="12"/>
  <c r="H243" i="12"/>
  <c r="F243" i="12"/>
  <c r="D243" i="12"/>
  <c r="C243" i="12"/>
  <c r="B243" i="12"/>
  <c r="J242" i="12"/>
  <c r="H242" i="12"/>
  <c r="F242" i="12"/>
  <c r="D242" i="12"/>
  <c r="C242" i="12"/>
  <c r="B242" i="12"/>
  <c r="J241" i="12"/>
  <c r="H241" i="12"/>
  <c r="F241" i="12"/>
  <c r="D241" i="12"/>
  <c r="C241" i="12"/>
  <c r="B241" i="12"/>
  <c r="J240" i="12"/>
  <c r="H240" i="12"/>
  <c r="F240" i="12"/>
  <c r="D240" i="12"/>
  <c r="C240" i="12"/>
  <c r="B240" i="12"/>
  <c r="J239" i="12"/>
  <c r="H239" i="12"/>
  <c r="F239" i="12"/>
  <c r="D239" i="12"/>
  <c r="C239" i="12"/>
  <c r="B239" i="12"/>
  <c r="J238" i="12"/>
  <c r="H238" i="12"/>
  <c r="F238" i="12"/>
  <c r="D238" i="12"/>
  <c r="C238" i="12"/>
  <c r="B238" i="12"/>
  <c r="J237" i="12"/>
  <c r="H237" i="12"/>
  <c r="F237" i="12"/>
  <c r="D237" i="12"/>
  <c r="C237" i="12"/>
  <c r="B237" i="12"/>
  <c r="J236" i="12"/>
  <c r="H236" i="12"/>
  <c r="F236" i="12"/>
  <c r="D236" i="12"/>
  <c r="C236" i="12"/>
  <c r="B236" i="12"/>
  <c r="J235" i="12"/>
  <c r="H235" i="12"/>
  <c r="F235" i="12"/>
  <c r="D235" i="12"/>
  <c r="C235" i="12"/>
  <c r="B235" i="12"/>
  <c r="J234" i="12"/>
  <c r="H234" i="12"/>
  <c r="F234" i="12"/>
  <c r="D234" i="12"/>
  <c r="C234" i="12"/>
  <c r="B234" i="12"/>
  <c r="J233" i="12"/>
  <c r="H233" i="12"/>
  <c r="F233" i="12"/>
  <c r="D233" i="12"/>
  <c r="C233" i="12"/>
  <c r="B233" i="12"/>
  <c r="J232" i="12"/>
  <c r="H232" i="12"/>
  <c r="F232" i="12"/>
  <c r="D232" i="12"/>
  <c r="C232" i="12"/>
  <c r="B232" i="12"/>
  <c r="J231" i="12"/>
  <c r="H231" i="12"/>
  <c r="F231" i="12"/>
  <c r="D231" i="12"/>
  <c r="C231" i="12"/>
  <c r="B231" i="12"/>
  <c r="J230" i="12"/>
  <c r="H230" i="12"/>
  <c r="F230" i="12"/>
  <c r="D230" i="12"/>
  <c r="C230" i="12"/>
  <c r="B230" i="12"/>
  <c r="J229" i="12"/>
  <c r="H229" i="12"/>
  <c r="F229" i="12"/>
  <c r="D229" i="12"/>
  <c r="C229" i="12"/>
  <c r="B229" i="12"/>
  <c r="J228" i="12"/>
  <c r="H228" i="12"/>
  <c r="F228" i="12"/>
  <c r="D228" i="12"/>
  <c r="C228" i="12"/>
  <c r="B228" i="12"/>
  <c r="J227" i="12"/>
  <c r="H227" i="12"/>
  <c r="F227" i="12"/>
  <c r="D227" i="12"/>
  <c r="C227" i="12"/>
  <c r="B227" i="12"/>
  <c r="J226" i="12"/>
  <c r="H226" i="12"/>
  <c r="F226" i="12"/>
  <c r="D226" i="12"/>
  <c r="C226" i="12"/>
  <c r="B226" i="12"/>
  <c r="J225" i="12"/>
  <c r="H225" i="12"/>
  <c r="F225" i="12"/>
  <c r="D225" i="12"/>
  <c r="C225" i="12"/>
  <c r="B225" i="12"/>
  <c r="J224" i="12"/>
  <c r="H224" i="12"/>
  <c r="F224" i="12"/>
  <c r="D224" i="12"/>
  <c r="C224" i="12"/>
  <c r="B224" i="12"/>
  <c r="J223" i="12"/>
  <c r="H223" i="12"/>
  <c r="F223" i="12"/>
  <c r="D223" i="12"/>
  <c r="C223" i="12"/>
  <c r="B223" i="12"/>
  <c r="J222" i="12"/>
  <c r="H222" i="12"/>
  <c r="F222" i="12"/>
  <c r="D222" i="12"/>
  <c r="C222" i="12"/>
  <c r="B222" i="12"/>
  <c r="J221" i="12"/>
  <c r="H221" i="12"/>
  <c r="F221" i="12"/>
  <c r="D221" i="12"/>
  <c r="C221" i="12"/>
  <c r="B221" i="12"/>
  <c r="J220" i="12"/>
  <c r="H220" i="12"/>
  <c r="F220" i="12"/>
  <c r="D220" i="12"/>
  <c r="C220" i="12"/>
  <c r="B220" i="12"/>
  <c r="J219" i="12"/>
  <c r="H219" i="12"/>
  <c r="F219" i="12"/>
  <c r="D219" i="12"/>
  <c r="C219" i="12"/>
  <c r="B219" i="12"/>
  <c r="J218" i="12"/>
  <c r="H218" i="12"/>
  <c r="F218" i="12"/>
  <c r="D218" i="12"/>
  <c r="C218" i="12"/>
  <c r="B218" i="12"/>
  <c r="J217" i="12"/>
  <c r="H217" i="12"/>
  <c r="F217" i="12"/>
  <c r="D217" i="12"/>
  <c r="C217" i="12"/>
  <c r="B217" i="12"/>
  <c r="J216" i="12"/>
  <c r="H216" i="12"/>
  <c r="F216" i="12"/>
  <c r="D216" i="12"/>
  <c r="C216" i="12"/>
  <c r="B216" i="12"/>
  <c r="J215" i="12"/>
  <c r="H215" i="12"/>
  <c r="F215" i="12"/>
  <c r="D215" i="12"/>
  <c r="C215" i="12"/>
  <c r="B215" i="12"/>
  <c r="J214" i="12"/>
  <c r="H214" i="12"/>
  <c r="F214" i="12"/>
  <c r="D214" i="12"/>
  <c r="C214" i="12"/>
  <c r="B214" i="12"/>
  <c r="J213" i="12"/>
  <c r="H213" i="12"/>
  <c r="F213" i="12"/>
  <c r="D213" i="12"/>
  <c r="C213" i="12"/>
  <c r="B213" i="12"/>
  <c r="J212" i="12"/>
  <c r="H212" i="12"/>
  <c r="F212" i="12"/>
  <c r="D212" i="12"/>
  <c r="C212" i="12"/>
  <c r="B212" i="12"/>
  <c r="J211" i="12"/>
  <c r="H211" i="12"/>
  <c r="F211" i="12"/>
  <c r="D211" i="12"/>
  <c r="C211" i="12"/>
  <c r="B211" i="12"/>
  <c r="J210" i="12"/>
  <c r="H210" i="12"/>
  <c r="F210" i="12"/>
  <c r="D210" i="12"/>
  <c r="C210" i="12"/>
  <c r="B210" i="12"/>
  <c r="J209" i="12"/>
  <c r="H209" i="12"/>
  <c r="F209" i="12"/>
  <c r="D209" i="12"/>
  <c r="C209" i="12"/>
  <c r="B209" i="12"/>
  <c r="J208" i="12"/>
  <c r="H208" i="12"/>
  <c r="F208" i="12"/>
  <c r="D208" i="12"/>
  <c r="C208" i="12"/>
  <c r="B208" i="12"/>
  <c r="J207" i="12"/>
  <c r="H207" i="12"/>
  <c r="F207" i="12"/>
  <c r="D207" i="12"/>
  <c r="C207" i="12"/>
  <c r="B207" i="12"/>
  <c r="J206" i="12"/>
  <c r="H206" i="12"/>
  <c r="F206" i="12"/>
  <c r="D206" i="12"/>
  <c r="C206" i="12"/>
  <c r="B206" i="12"/>
  <c r="J205" i="12"/>
  <c r="H205" i="12"/>
  <c r="F205" i="12"/>
  <c r="D205" i="12"/>
  <c r="C205" i="12"/>
  <c r="B205" i="12"/>
  <c r="J204" i="12"/>
  <c r="H204" i="12"/>
  <c r="F204" i="12"/>
  <c r="D204" i="12"/>
  <c r="C204" i="12"/>
  <c r="B204" i="12"/>
  <c r="J203" i="12"/>
  <c r="H203" i="12"/>
  <c r="F203" i="12"/>
  <c r="D203" i="12"/>
  <c r="C203" i="12"/>
  <c r="B203" i="12"/>
  <c r="J202" i="12"/>
  <c r="H202" i="12"/>
  <c r="F202" i="12"/>
  <c r="D202" i="12"/>
  <c r="C202" i="12"/>
  <c r="B202" i="12"/>
  <c r="J201" i="12"/>
  <c r="H201" i="12"/>
  <c r="F201" i="12"/>
  <c r="D201" i="12"/>
  <c r="C201" i="12"/>
  <c r="B201" i="12"/>
  <c r="J200" i="12"/>
  <c r="H200" i="12"/>
  <c r="F200" i="12"/>
  <c r="D200" i="12"/>
  <c r="C200" i="12"/>
  <c r="B200" i="12"/>
  <c r="J199" i="12"/>
  <c r="H199" i="12"/>
  <c r="F199" i="12"/>
  <c r="D199" i="12"/>
  <c r="C199" i="12"/>
  <c r="B199" i="12"/>
  <c r="J198" i="12"/>
  <c r="H198" i="12"/>
  <c r="F198" i="12"/>
  <c r="D198" i="12"/>
  <c r="C198" i="12"/>
  <c r="B198" i="12"/>
  <c r="J197" i="12"/>
  <c r="H197" i="12"/>
  <c r="F197" i="12"/>
  <c r="D197" i="12"/>
  <c r="C197" i="12"/>
  <c r="B197" i="12"/>
  <c r="J196" i="12"/>
  <c r="H196" i="12"/>
  <c r="F196" i="12"/>
  <c r="D196" i="12"/>
  <c r="C196" i="12"/>
  <c r="B196" i="12"/>
  <c r="J195" i="12"/>
  <c r="H195" i="12"/>
  <c r="F195" i="12"/>
  <c r="D195" i="12"/>
  <c r="C195" i="12"/>
  <c r="B195" i="12"/>
  <c r="J194" i="12"/>
  <c r="H194" i="12"/>
  <c r="F194" i="12"/>
  <c r="D194" i="12"/>
  <c r="C194" i="12"/>
  <c r="B194" i="12"/>
  <c r="J193" i="12"/>
  <c r="H193" i="12"/>
  <c r="F193" i="12"/>
  <c r="D193" i="12"/>
  <c r="C193" i="12"/>
  <c r="B193" i="12"/>
  <c r="J192" i="12"/>
  <c r="H192" i="12"/>
  <c r="F192" i="12"/>
  <c r="D192" i="12"/>
  <c r="C192" i="12"/>
  <c r="B192" i="12"/>
  <c r="J191" i="12"/>
  <c r="H191" i="12"/>
  <c r="F191" i="12"/>
  <c r="D191" i="12"/>
  <c r="C191" i="12"/>
  <c r="B191" i="12"/>
  <c r="J190" i="12"/>
  <c r="H190" i="12"/>
  <c r="F190" i="12"/>
  <c r="D190" i="12"/>
  <c r="C190" i="12"/>
  <c r="B190" i="12"/>
  <c r="J189" i="12"/>
  <c r="H189" i="12"/>
  <c r="F189" i="12"/>
  <c r="D189" i="12"/>
  <c r="C189" i="12"/>
  <c r="B189" i="12"/>
  <c r="J188" i="12"/>
  <c r="H188" i="12"/>
  <c r="F188" i="12"/>
  <c r="D188" i="12"/>
  <c r="C188" i="12"/>
  <c r="B188" i="12"/>
  <c r="J187" i="12"/>
  <c r="H187" i="12"/>
  <c r="F187" i="12"/>
  <c r="D187" i="12"/>
  <c r="C187" i="12"/>
  <c r="B187" i="12"/>
  <c r="J186" i="12"/>
  <c r="H186" i="12"/>
  <c r="F186" i="12"/>
  <c r="D186" i="12"/>
  <c r="C186" i="12"/>
  <c r="B186" i="12"/>
  <c r="J185" i="12"/>
  <c r="H185" i="12"/>
  <c r="F185" i="12"/>
  <c r="D185" i="12"/>
  <c r="C185" i="12"/>
  <c r="B185" i="12"/>
  <c r="J184" i="12"/>
  <c r="H184" i="12"/>
  <c r="F184" i="12"/>
  <c r="D184" i="12"/>
  <c r="C184" i="12"/>
  <c r="B184" i="12"/>
  <c r="J183" i="12"/>
  <c r="H183" i="12"/>
  <c r="F183" i="12"/>
  <c r="D183" i="12"/>
  <c r="C183" i="12"/>
  <c r="B183" i="12"/>
  <c r="J182" i="12"/>
  <c r="H182" i="12"/>
  <c r="F182" i="12"/>
  <c r="D182" i="12"/>
  <c r="C182" i="12"/>
  <c r="B182" i="12"/>
  <c r="J181" i="12"/>
  <c r="H181" i="12"/>
  <c r="F181" i="12"/>
  <c r="D181" i="12"/>
  <c r="C181" i="12"/>
  <c r="B181" i="12"/>
  <c r="J180" i="12"/>
  <c r="H180" i="12"/>
  <c r="F180" i="12"/>
  <c r="D180" i="12"/>
  <c r="C180" i="12"/>
  <c r="B180" i="12"/>
  <c r="J179" i="12"/>
  <c r="H179" i="12"/>
  <c r="F179" i="12"/>
  <c r="D179" i="12"/>
  <c r="C179" i="12"/>
  <c r="B179" i="12"/>
  <c r="J178" i="12"/>
  <c r="H178" i="12"/>
  <c r="F178" i="12"/>
  <c r="D178" i="12"/>
  <c r="C178" i="12"/>
  <c r="B178" i="12"/>
  <c r="J177" i="12"/>
  <c r="H177" i="12"/>
  <c r="F177" i="12"/>
  <c r="D177" i="12"/>
  <c r="C177" i="12"/>
  <c r="B177" i="12"/>
  <c r="J176" i="12"/>
  <c r="H176" i="12"/>
  <c r="F176" i="12"/>
  <c r="D176" i="12"/>
  <c r="C176" i="12"/>
  <c r="B176" i="12"/>
  <c r="J175" i="12"/>
  <c r="H175" i="12"/>
  <c r="F175" i="12"/>
  <c r="D175" i="12"/>
  <c r="C175" i="12"/>
  <c r="B175" i="12"/>
  <c r="J174" i="12"/>
  <c r="H174" i="12"/>
  <c r="F174" i="12"/>
  <c r="D174" i="12"/>
  <c r="C174" i="12"/>
  <c r="B174" i="12"/>
  <c r="J173" i="12"/>
  <c r="H173" i="12"/>
  <c r="F173" i="12"/>
  <c r="D173" i="12"/>
  <c r="C173" i="12"/>
  <c r="B173" i="12"/>
  <c r="J172" i="12"/>
  <c r="H172" i="12"/>
  <c r="F172" i="12"/>
  <c r="D172" i="12"/>
  <c r="C172" i="12"/>
  <c r="B172" i="12"/>
  <c r="J171" i="12"/>
  <c r="H171" i="12"/>
  <c r="F171" i="12"/>
  <c r="D171" i="12"/>
  <c r="C171" i="12"/>
  <c r="B171" i="12"/>
  <c r="J170" i="12"/>
  <c r="H170" i="12"/>
  <c r="F170" i="12"/>
  <c r="D170" i="12"/>
  <c r="C170" i="12"/>
  <c r="B170" i="12"/>
  <c r="J169" i="12"/>
  <c r="H169" i="12"/>
  <c r="F169" i="12"/>
  <c r="D169" i="12"/>
  <c r="C169" i="12"/>
  <c r="B169" i="12"/>
  <c r="J168" i="12"/>
  <c r="H168" i="12"/>
  <c r="F168" i="12"/>
  <c r="D168" i="12"/>
  <c r="C168" i="12"/>
  <c r="B168" i="12"/>
  <c r="J167" i="12"/>
  <c r="H167" i="12"/>
  <c r="F167" i="12"/>
  <c r="D167" i="12"/>
  <c r="C167" i="12"/>
  <c r="B167" i="12"/>
  <c r="J166" i="12"/>
  <c r="H166" i="12"/>
  <c r="F166" i="12"/>
  <c r="D166" i="12"/>
  <c r="C166" i="12"/>
  <c r="B166" i="12"/>
  <c r="J165" i="12"/>
  <c r="H165" i="12"/>
  <c r="F165" i="12"/>
  <c r="D165" i="12"/>
  <c r="C165" i="12"/>
  <c r="B165" i="12"/>
  <c r="J164" i="12"/>
  <c r="H164" i="12"/>
  <c r="F164" i="12"/>
  <c r="D164" i="12"/>
  <c r="C164" i="12"/>
  <c r="B164" i="12"/>
  <c r="J163" i="12"/>
  <c r="H163" i="12"/>
  <c r="F163" i="12"/>
  <c r="D163" i="12"/>
  <c r="C163" i="12"/>
  <c r="B163" i="12"/>
  <c r="J162" i="12"/>
  <c r="H162" i="12"/>
  <c r="F162" i="12"/>
  <c r="D162" i="12"/>
  <c r="C162" i="12"/>
  <c r="B162" i="12"/>
  <c r="J161" i="12"/>
  <c r="H161" i="12"/>
  <c r="F161" i="12"/>
  <c r="D161" i="12"/>
  <c r="C161" i="12"/>
  <c r="B161" i="12"/>
  <c r="J160" i="12"/>
  <c r="H160" i="12"/>
  <c r="F160" i="12"/>
  <c r="D160" i="12"/>
  <c r="C160" i="12"/>
  <c r="B160" i="12"/>
  <c r="J159" i="12"/>
  <c r="H159" i="12"/>
  <c r="F159" i="12"/>
  <c r="D159" i="12"/>
  <c r="C159" i="12"/>
  <c r="B159" i="12"/>
  <c r="J158" i="12"/>
  <c r="H158" i="12"/>
  <c r="F158" i="12"/>
  <c r="D158" i="12"/>
  <c r="C158" i="12"/>
  <c r="B158" i="12"/>
  <c r="J157" i="12"/>
  <c r="H157" i="12"/>
  <c r="F157" i="12"/>
  <c r="D157" i="12"/>
  <c r="C157" i="12"/>
  <c r="B157" i="12"/>
  <c r="J156" i="12"/>
  <c r="H156" i="12"/>
  <c r="F156" i="12"/>
  <c r="D156" i="12"/>
  <c r="C156" i="12"/>
  <c r="B156" i="12"/>
  <c r="J155" i="12"/>
  <c r="H155" i="12"/>
  <c r="F155" i="12"/>
  <c r="D155" i="12"/>
  <c r="C155" i="12"/>
  <c r="B155" i="12"/>
  <c r="J154" i="12"/>
  <c r="H154" i="12"/>
  <c r="F154" i="12"/>
  <c r="D154" i="12"/>
  <c r="C154" i="12"/>
  <c r="B154" i="12"/>
  <c r="J153" i="12"/>
  <c r="H153" i="12"/>
  <c r="F153" i="12"/>
  <c r="D153" i="12"/>
  <c r="C153" i="12"/>
  <c r="B153" i="12"/>
  <c r="J152" i="12"/>
  <c r="H152" i="12"/>
  <c r="F152" i="12"/>
  <c r="D152" i="12"/>
  <c r="C152" i="12"/>
  <c r="B152" i="12"/>
  <c r="J151" i="12"/>
  <c r="H151" i="12"/>
  <c r="F151" i="12"/>
  <c r="D151" i="12"/>
  <c r="C151" i="12"/>
  <c r="B151" i="12"/>
  <c r="J150" i="12"/>
  <c r="H150" i="12"/>
  <c r="F150" i="12"/>
  <c r="D150" i="12"/>
  <c r="C150" i="12"/>
  <c r="B150" i="12"/>
  <c r="J149" i="12"/>
  <c r="H149" i="12"/>
  <c r="F149" i="12"/>
  <c r="D149" i="12"/>
  <c r="C149" i="12"/>
  <c r="B149" i="12"/>
  <c r="J148" i="12"/>
  <c r="H148" i="12"/>
  <c r="F148" i="12"/>
  <c r="D148" i="12"/>
  <c r="C148" i="12"/>
  <c r="B148" i="12"/>
  <c r="J147" i="12"/>
  <c r="H147" i="12"/>
  <c r="F147" i="12"/>
  <c r="D147" i="12"/>
  <c r="C147" i="12"/>
  <c r="B147" i="12"/>
  <c r="J146" i="12"/>
  <c r="H146" i="12"/>
  <c r="F146" i="12"/>
  <c r="D146" i="12"/>
  <c r="C146" i="12"/>
  <c r="B146" i="12"/>
  <c r="J145" i="12"/>
  <c r="H145" i="12"/>
  <c r="F145" i="12"/>
  <c r="D145" i="12"/>
  <c r="C145" i="12"/>
  <c r="B145" i="12"/>
  <c r="J144" i="12"/>
  <c r="H144" i="12"/>
  <c r="F144" i="12"/>
  <c r="D144" i="12"/>
  <c r="C144" i="12"/>
  <c r="B144" i="12"/>
  <c r="J143" i="12"/>
  <c r="H143" i="12"/>
  <c r="F143" i="12"/>
  <c r="D143" i="12"/>
  <c r="C143" i="12"/>
  <c r="B143" i="12"/>
  <c r="J142" i="12"/>
  <c r="H142" i="12"/>
  <c r="F142" i="12"/>
  <c r="D142" i="12"/>
  <c r="C142" i="12"/>
  <c r="B142" i="12"/>
  <c r="J141" i="12"/>
  <c r="H141" i="12"/>
  <c r="F141" i="12"/>
  <c r="D141" i="12"/>
  <c r="C141" i="12"/>
  <c r="B141" i="12"/>
  <c r="J140" i="12"/>
  <c r="H140" i="12"/>
  <c r="F140" i="12"/>
  <c r="D140" i="12"/>
  <c r="C140" i="12"/>
  <c r="B140" i="12"/>
  <c r="J139" i="12"/>
  <c r="H139" i="12"/>
  <c r="F139" i="12"/>
  <c r="D139" i="12"/>
  <c r="C139" i="12"/>
  <c r="B139" i="12"/>
  <c r="J138" i="12"/>
  <c r="H138" i="12"/>
  <c r="F138" i="12"/>
  <c r="D138" i="12"/>
  <c r="C138" i="12"/>
  <c r="B138" i="12"/>
  <c r="J137" i="12"/>
  <c r="H137" i="12"/>
  <c r="F137" i="12"/>
  <c r="D137" i="12"/>
  <c r="C137" i="12"/>
  <c r="B137" i="12"/>
  <c r="J136" i="12"/>
  <c r="H136" i="12"/>
  <c r="F136" i="12"/>
  <c r="D136" i="12"/>
  <c r="C136" i="12"/>
  <c r="B136" i="12"/>
  <c r="J135" i="12"/>
  <c r="H135" i="12"/>
  <c r="F135" i="12"/>
  <c r="D135" i="12"/>
  <c r="C135" i="12"/>
  <c r="B135" i="12"/>
  <c r="J134" i="12"/>
  <c r="H134" i="12"/>
  <c r="F134" i="12"/>
  <c r="D134" i="12"/>
  <c r="C134" i="12"/>
  <c r="B134" i="12"/>
  <c r="J133" i="12"/>
  <c r="H133" i="12"/>
  <c r="F133" i="12"/>
  <c r="D133" i="12"/>
  <c r="C133" i="12"/>
  <c r="B133" i="12"/>
  <c r="J132" i="12"/>
  <c r="H132" i="12"/>
  <c r="F132" i="12"/>
  <c r="D132" i="12"/>
  <c r="C132" i="12"/>
  <c r="B132" i="12"/>
  <c r="J131" i="12"/>
  <c r="H131" i="12"/>
  <c r="F131" i="12"/>
  <c r="D131" i="12"/>
  <c r="C131" i="12"/>
  <c r="B131" i="12"/>
  <c r="J130" i="12"/>
  <c r="H130" i="12"/>
  <c r="F130" i="12"/>
  <c r="D130" i="12"/>
  <c r="C130" i="12"/>
  <c r="B130" i="12"/>
  <c r="J129" i="12"/>
  <c r="H129" i="12"/>
  <c r="F129" i="12"/>
  <c r="D129" i="12"/>
  <c r="C129" i="12"/>
  <c r="B129" i="12"/>
  <c r="J128" i="12"/>
  <c r="H128" i="12"/>
  <c r="F128" i="12"/>
  <c r="D128" i="12"/>
  <c r="C128" i="12"/>
  <c r="B128" i="12"/>
  <c r="J127" i="12"/>
  <c r="H127" i="12"/>
  <c r="F127" i="12"/>
  <c r="D127" i="12"/>
  <c r="C127" i="12"/>
  <c r="B127" i="12"/>
  <c r="J126" i="12"/>
  <c r="H126" i="12"/>
  <c r="F126" i="12"/>
  <c r="D126" i="12"/>
  <c r="C126" i="12"/>
  <c r="B126" i="12"/>
  <c r="J125" i="12"/>
  <c r="H125" i="12"/>
  <c r="F125" i="12"/>
  <c r="D125" i="12"/>
  <c r="C125" i="12"/>
  <c r="B125" i="12"/>
  <c r="J124" i="12"/>
  <c r="H124" i="12"/>
  <c r="F124" i="12"/>
  <c r="D124" i="12"/>
  <c r="C124" i="12"/>
  <c r="B124" i="12"/>
  <c r="J123" i="12"/>
  <c r="H123" i="12"/>
  <c r="F123" i="12"/>
  <c r="D123" i="12"/>
  <c r="C123" i="12"/>
  <c r="B123" i="12"/>
  <c r="J122" i="12"/>
  <c r="H122" i="12"/>
  <c r="F122" i="12"/>
  <c r="D122" i="12"/>
  <c r="C122" i="12"/>
  <c r="B122" i="12"/>
  <c r="J121" i="12"/>
  <c r="H121" i="12"/>
  <c r="F121" i="12"/>
  <c r="D121" i="12"/>
  <c r="C121" i="12"/>
  <c r="B121" i="12"/>
  <c r="J120" i="12"/>
  <c r="H120" i="12"/>
  <c r="F120" i="12"/>
  <c r="D120" i="12"/>
  <c r="C120" i="12"/>
  <c r="B120" i="12"/>
  <c r="J119" i="12"/>
  <c r="H119" i="12"/>
  <c r="F119" i="12"/>
  <c r="D119" i="12"/>
  <c r="C119" i="12"/>
  <c r="B119" i="12"/>
  <c r="J118" i="12"/>
  <c r="H118" i="12"/>
  <c r="F118" i="12"/>
  <c r="D118" i="12"/>
  <c r="C118" i="12"/>
  <c r="B118" i="12"/>
  <c r="J117" i="12"/>
  <c r="H117" i="12"/>
  <c r="F117" i="12"/>
  <c r="D117" i="12"/>
  <c r="C117" i="12"/>
  <c r="B117" i="12"/>
  <c r="J116" i="12"/>
  <c r="H116" i="12"/>
  <c r="F116" i="12"/>
  <c r="D116" i="12"/>
  <c r="C116" i="12"/>
  <c r="B116" i="12"/>
  <c r="J115" i="12"/>
  <c r="H115" i="12"/>
  <c r="F115" i="12"/>
  <c r="D115" i="12"/>
  <c r="C115" i="12"/>
  <c r="B115" i="12"/>
  <c r="J114" i="12"/>
  <c r="H114" i="12"/>
  <c r="F114" i="12"/>
  <c r="D114" i="12"/>
  <c r="C114" i="12"/>
  <c r="B114" i="12"/>
  <c r="J113" i="12"/>
  <c r="H113" i="12"/>
  <c r="F113" i="12"/>
  <c r="D113" i="12"/>
  <c r="C113" i="12"/>
  <c r="B113" i="12"/>
  <c r="J112" i="12"/>
  <c r="H112" i="12"/>
  <c r="F112" i="12"/>
  <c r="D112" i="12"/>
  <c r="C112" i="12"/>
  <c r="B112" i="12"/>
  <c r="J111" i="12"/>
  <c r="H111" i="12"/>
  <c r="F111" i="12"/>
  <c r="D111" i="12"/>
  <c r="C111" i="12"/>
  <c r="B111" i="12"/>
  <c r="J110" i="12"/>
  <c r="H110" i="12"/>
  <c r="F110" i="12"/>
  <c r="D110" i="12"/>
  <c r="C110" i="12"/>
  <c r="B110" i="12"/>
  <c r="J109" i="12"/>
  <c r="H109" i="12"/>
  <c r="F109" i="12"/>
  <c r="D109" i="12"/>
  <c r="C109" i="12"/>
  <c r="B109" i="12"/>
  <c r="J108" i="12"/>
  <c r="H108" i="12"/>
  <c r="F108" i="12"/>
  <c r="D108" i="12"/>
  <c r="C108" i="12"/>
  <c r="B108" i="12"/>
  <c r="J107" i="12"/>
  <c r="H107" i="12"/>
  <c r="F107" i="12"/>
  <c r="D107" i="12"/>
  <c r="C107" i="12"/>
  <c r="B107" i="12"/>
  <c r="J106" i="12"/>
  <c r="H106" i="12"/>
  <c r="F106" i="12"/>
  <c r="D106" i="12"/>
  <c r="C106" i="12"/>
  <c r="B106" i="12"/>
  <c r="J105" i="12"/>
  <c r="H105" i="12"/>
  <c r="F105" i="12"/>
  <c r="D105" i="12"/>
  <c r="C105" i="12"/>
  <c r="B105" i="12"/>
  <c r="J104" i="12"/>
  <c r="H104" i="12"/>
  <c r="F104" i="12"/>
  <c r="D104" i="12"/>
  <c r="C104" i="12"/>
  <c r="B104" i="12"/>
  <c r="J103" i="12"/>
  <c r="H103" i="12"/>
  <c r="F103" i="12"/>
  <c r="D103" i="12"/>
  <c r="C103" i="12"/>
  <c r="B103" i="12"/>
  <c r="J102" i="12"/>
  <c r="H102" i="12"/>
  <c r="F102" i="12"/>
  <c r="D102" i="12"/>
  <c r="C102" i="12"/>
  <c r="B102" i="12"/>
  <c r="J101" i="12"/>
  <c r="H101" i="12"/>
  <c r="F101" i="12"/>
  <c r="D101" i="12"/>
  <c r="C101" i="12"/>
  <c r="B101" i="12"/>
  <c r="J100" i="12"/>
  <c r="H100" i="12"/>
  <c r="F100" i="12"/>
  <c r="D100" i="12"/>
  <c r="C100" i="12"/>
  <c r="B100" i="12"/>
  <c r="J99" i="12"/>
  <c r="H99" i="12"/>
  <c r="F99" i="12"/>
  <c r="D99" i="12"/>
  <c r="C99" i="12"/>
  <c r="B99" i="12"/>
  <c r="J98" i="12"/>
  <c r="H98" i="12"/>
  <c r="F98" i="12"/>
  <c r="D98" i="12"/>
  <c r="C98" i="12"/>
  <c r="B98" i="12"/>
  <c r="J97" i="12"/>
  <c r="H97" i="12"/>
  <c r="F97" i="12"/>
  <c r="D97" i="12"/>
  <c r="C97" i="12"/>
  <c r="B97" i="12"/>
  <c r="J96" i="12"/>
  <c r="H96" i="12"/>
  <c r="F96" i="12"/>
  <c r="D96" i="12"/>
  <c r="C96" i="12"/>
  <c r="B96" i="12"/>
  <c r="J95" i="12"/>
  <c r="H95" i="12"/>
  <c r="F95" i="12"/>
  <c r="D95" i="12"/>
  <c r="C95" i="12"/>
  <c r="B95" i="12"/>
  <c r="J94" i="12"/>
  <c r="H94" i="12"/>
  <c r="F94" i="12"/>
  <c r="D94" i="12"/>
  <c r="C94" i="12"/>
  <c r="B94" i="12"/>
  <c r="J93" i="12"/>
  <c r="H93" i="12"/>
  <c r="F93" i="12"/>
  <c r="D93" i="12"/>
  <c r="C93" i="12"/>
  <c r="B93" i="12"/>
  <c r="J92" i="12"/>
  <c r="H92" i="12"/>
  <c r="F92" i="12"/>
  <c r="D92" i="12"/>
  <c r="C92" i="12"/>
  <c r="B92" i="12"/>
  <c r="J91" i="12"/>
  <c r="H91" i="12"/>
  <c r="F91" i="12"/>
  <c r="D91" i="12"/>
  <c r="C91" i="12"/>
  <c r="B91" i="12"/>
  <c r="J90" i="12"/>
  <c r="H90" i="12"/>
  <c r="F90" i="12"/>
  <c r="D90" i="12"/>
  <c r="C90" i="12"/>
  <c r="B90" i="12"/>
  <c r="J89" i="12"/>
  <c r="H89" i="12"/>
  <c r="F89" i="12"/>
  <c r="D89" i="12"/>
  <c r="C89" i="12"/>
  <c r="B89" i="12"/>
  <c r="J88" i="12"/>
  <c r="H88" i="12"/>
  <c r="F88" i="12"/>
  <c r="D88" i="12"/>
  <c r="C88" i="12"/>
  <c r="B88" i="12"/>
  <c r="J87" i="12"/>
  <c r="H87" i="12"/>
  <c r="F87" i="12"/>
  <c r="D87" i="12"/>
  <c r="C87" i="12"/>
  <c r="B87" i="12"/>
  <c r="J86" i="12"/>
  <c r="H86" i="12"/>
  <c r="F86" i="12"/>
  <c r="D86" i="12"/>
  <c r="C86" i="12"/>
  <c r="B86" i="12"/>
  <c r="J85" i="12"/>
  <c r="H85" i="12"/>
  <c r="F85" i="12"/>
  <c r="D85" i="12"/>
  <c r="C85" i="12"/>
  <c r="B85" i="12"/>
  <c r="J84" i="12"/>
  <c r="H84" i="12"/>
  <c r="F84" i="12"/>
  <c r="D84" i="12"/>
  <c r="C84" i="12"/>
  <c r="B84" i="12"/>
  <c r="J83" i="12"/>
  <c r="H83" i="12"/>
  <c r="F83" i="12"/>
  <c r="D83" i="12"/>
  <c r="C83" i="12"/>
  <c r="B83" i="12"/>
  <c r="J82" i="12"/>
  <c r="H82" i="12"/>
  <c r="F82" i="12"/>
  <c r="D82" i="12"/>
  <c r="C82" i="12"/>
  <c r="B82" i="12"/>
  <c r="J81" i="12"/>
  <c r="H81" i="12"/>
  <c r="F81" i="12"/>
  <c r="D81" i="12"/>
  <c r="C81" i="12"/>
  <c r="B81" i="12"/>
  <c r="J80" i="12"/>
  <c r="H80" i="12"/>
  <c r="F80" i="12"/>
  <c r="D80" i="12"/>
  <c r="C80" i="12"/>
  <c r="B80" i="12"/>
  <c r="J79" i="12"/>
  <c r="H79" i="12"/>
  <c r="F79" i="12"/>
  <c r="D79" i="12"/>
  <c r="C79" i="12"/>
  <c r="B79" i="12"/>
  <c r="J78" i="12"/>
  <c r="H78" i="12"/>
  <c r="F78" i="12"/>
  <c r="D78" i="12"/>
  <c r="C78" i="12"/>
  <c r="B78" i="12"/>
  <c r="J77" i="12"/>
  <c r="H77" i="12"/>
  <c r="F77" i="12"/>
  <c r="D77" i="12"/>
  <c r="C77" i="12"/>
  <c r="B77" i="12"/>
  <c r="J76" i="12"/>
  <c r="H76" i="12"/>
  <c r="F76" i="12"/>
  <c r="D76" i="12"/>
  <c r="C76" i="12"/>
  <c r="B76" i="12"/>
  <c r="J75" i="12"/>
  <c r="H75" i="12"/>
  <c r="F75" i="12"/>
  <c r="D75" i="12"/>
  <c r="C75" i="12"/>
  <c r="B75" i="12"/>
  <c r="J74" i="12"/>
  <c r="H74" i="12"/>
  <c r="F74" i="12"/>
  <c r="D74" i="12"/>
  <c r="C74" i="12"/>
  <c r="B74" i="12"/>
  <c r="J73" i="12"/>
  <c r="H73" i="12"/>
  <c r="F73" i="12"/>
  <c r="D73" i="12"/>
  <c r="C73" i="12"/>
  <c r="B73" i="12"/>
  <c r="J72" i="12"/>
  <c r="H72" i="12"/>
  <c r="F72" i="12"/>
  <c r="D72" i="12"/>
  <c r="C72" i="12"/>
  <c r="B72" i="12"/>
  <c r="J71" i="12"/>
  <c r="H71" i="12"/>
  <c r="F71" i="12"/>
  <c r="D71" i="12"/>
  <c r="C71" i="12"/>
  <c r="B71" i="12"/>
  <c r="J70" i="12"/>
  <c r="H70" i="12"/>
  <c r="F70" i="12"/>
  <c r="D70" i="12"/>
  <c r="C70" i="12"/>
  <c r="B70" i="12"/>
  <c r="J69" i="12"/>
  <c r="H69" i="12"/>
  <c r="F69" i="12"/>
  <c r="D69" i="12"/>
  <c r="C69" i="12"/>
  <c r="B69" i="12"/>
  <c r="J68" i="12"/>
  <c r="H68" i="12"/>
  <c r="F68" i="12"/>
  <c r="D68" i="12"/>
  <c r="C68" i="12"/>
  <c r="B68" i="12"/>
  <c r="J67" i="12"/>
  <c r="H67" i="12"/>
  <c r="F67" i="12"/>
  <c r="D67" i="12"/>
  <c r="C67" i="12"/>
  <c r="B67" i="12"/>
  <c r="J66" i="12"/>
  <c r="H66" i="12"/>
  <c r="F66" i="12"/>
  <c r="D66" i="12"/>
  <c r="C66" i="12"/>
  <c r="B66" i="12"/>
  <c r="J65" i="12"/>
  <c r="H65" i="12"/>
  <c r="F65" i="12"/>
  <c r="D65" i="12"/>
  <c r="C65" i="12"/>
  <c r="B65" i="12"/>
  <c r="J64" i="12"/>
  <c r="H64" i="12"/>
  <c r="F64" i="12"/>
  <c r="D64" i="12"/>
  <c r="C64" i="12"/>
  <c r="B64" i="12"/>
  <c r="J63" i="12"/>
  <c r="H63" i="12"/>
  <c r="F63" i="12"/>
  <c r="D63" i="12"/>
  <c r="C63" i="12"/>
  <c r="B63" i="12"/>
  <c r="J62" i="12"/>
  <c r="H62" i="12"/>
  <c r="F62" i="12"/>
  <c r="D62" i="12"/>
  <c r="C62" i="12"/>
  <c r="B62" i="12"/>
  <c r="J61" i="12"/>
  <c r="H61" i="12"/>
  <c r="F61" i="12"/>
  <c r="D61" i="12"/>
  <c r="C61" i="12"/>
  <c r="B61" i="12"/>
  <c r="J60" i="12"/>
  <c r="H60" i="12"/>
  <c r="F60" i="12"/>
  <c r="D60" i="12"/>
  <c r="C60" i="12"/>
  <c r="B60" i="12"/>
  <c r="J59" i="12"/>
  <c r="H59" i="12"/>
  <c r="F59" i="12"/>
  <c r="D59" i="12"/>
  <c r="C59" i="12"/>
  <c r="B59" i="12"/>
  <c r="J58" i="12"/>
  <c r="H58" i="12"/>
  <c r="F58" i="12"/>
  <c r="D58" i="12"/>
  <c r="C58" i="12"/>
  <c r="B58" i="12"/>
  <c r="J57" i="12"/>
  <c r="H57" i="12"/>
  <c r="F57" i="12"/>
  <c r="D57" i="12"/>
  <c r="C57" i="12"/>
  <c r="B57" i="12"/>
  <c r="J56" i="12"/>
  <c r="H56" i="12"/>
  <c r="F56" i="12"/>
  <c r="D56" i="12"/>
  <c r="C56" i="12"/>
  <c r="B56" i="12"/>
  <c r="J55" i="12"/>
  <c r="H55" i="12"/>
  <c r="F55" i="12"/>
  <c r="D55" i="12"/>
  <c r="C55" i="12"/>
  <c r="B55" i="12"/>
  <c r="J54" i="12"/>
  <c r="H54" i="12"/>
  <c r="F54" i="12"/>
  <c r="D54" i="12"/>
  <c r="C54" i="12"/>
  <c r="B54" i="12"/>
  <c r="J53" i="12"/>
  <c r="H53" i="12"/>
  <c r="F53" i="12"/>
  <c r="D53" i="12"/>
  <c r="C53" i="12"/>
  <c r="B53" i="12"/>
  <c r="J52" i="12"/>
  <c r="H52" i="12"/>
  <c r="F52" i="12"/>
  <c r="D52" i="12"/>
  <c r="C52" i="12"/>
  <c r="B52" i="12"/>
  <c r="J51" i="12"/>
  <c r="H51" i="12"/>
  <c r="F51" i="12"/>
  <c r="D51" i="12"/>
  <c r="C51" i="12"/>
  <c r="B51" i="12"/>
  <c r="J50" i="12"/>
  <c r="H50" i="12"/>
  <c r="F50" i="12"/>
  <c r="D50" i="12"/>
  <c r="C50" i="12"/>
  <c r="B50" i="12"/>
  <c r="J49" i="12"/>
  <c r="H49" i="12"/>
  <c r="F49" i="12"/>
  <c r="D49" i="12"/>
  <c r="C49" i="12"/>
  <c r="B49" i="12"/>
  <c r="J48" i="12"/>
  <c r="H48" i="12"/>
  <c r="F48" i="12"/>
  <c r="D48" i="12"/>
  <c r="C48" i="12"/>
  <c r="B48" i="12"/>
  <c r="J47" i="12"/>
  <c r="H47" i="12"/>
  <c r="F47" i="12"/>
  <c r="D47" i="12"/>
  <c r="C47" i="12"/>
  <c r="B47" i="12"/>
  <c r="J46" i="12"/>
  <c r="H46" i="12"/>
  <c r="F46" i="12"/>
  <c r="D46" i="12"/>
  <c r="C46" i="12"/>
  <c r="B46" i="12"/>
  <c r="J45" i="12"/>
  <c r="H45" i="12"/>
  <c r="F45" i="12"/>
  <c r="D45" i="12"/>
  <c r="C45" i="12"/>
  <c r="B45" i="12"/>
  <c r="J44" i="12"/>
  <c r="H44" i="12"/>
  <c r="F44" i="12"/>
  <c r="D44" i="12"/>
  <c r="C44" i="12"/>
  <c r="B44" i="12"/>
  <c r="J43" i="12"/>
  <c r="H43" i="12"/>
  <c r="F43" i="12"/>
  <c r="D43" i="12"/>
  <c r="C43" i="12"/>
  <c r="B43" i="12"/>
  <c r="J42" i="12"/>
  <c r="H42" i="12"/>
  <c r="F42" i="12"/>
  <c r="D42" i="12"/>
  <c r="C42" i="12"/>
  <c r="B42" i="12"/>
  <c r="J41" i="12"/>
  <c r="H41" i="12"/>
  <c r="F41" i="12"/>
  <c r="D41" i="12"/>
  <c r="C41" i="12"/>
  <c r="B41" i="12"/>
  <c r="J40" i="12"/>
  <c r="H40" i="12"/>
  <c r="F40" i="12"/>
  <c r="D40" i="12"/>
  <c r="C40" i="12"/>
  <c r="B40" i="12"/>
  <c r="J39" i="12"/>
  <c r="H39" i="12"/>
  <c r="F39" i="12"/>
  <c r="D39" i="12"/>
  <c r="C39" i="12"/>
  <c r="B39" i="12"/>
  <c r="J38" i="12"/>
  <c r="H38" i="12"/>
  <c r="F38" i="12"/>
  <c r="D38" i="12"/>
  <c r="C38" i="12"/>
  <c r="B38" i="12"/>
  <c r="J37" i="12"/>
  <c r="H37" i="12"/>
  <c r="F37" i="12"/>
  <c r="D37" i="12"/>
  <c r="C37" i="12"/>
  <c r="B37" i="12"/>
  <c r="J36" i="12"/>
  <c r="H36" i="12"/>
  <c r="F36" i="12"/>
  <c r="D36" i="12"/>
  <c r="C36" i="12"/>
  <c r="B36" i="12"/>
  <c r="J35" i="12"/>
  <c r="H35" i="12"/>
  <c r="F35" i="12"/>
  <c r="D35" i="12"/>
  <c r="C35" i="12"/>
  <c r="B35" i="12"/>
  <c r="J34" i="12"/>
  <c r="H34" i="12"/>
  <c r="F34" i="12"/>
  <c r="D34" i="12"/>
  <c r="C34" i="12"/>
  <c r="B34" i="12"/>
  <c r="J33" i="12"/>
  <c r="H33" i="12"/>
  <c r="F33" i="12"/>
  <c r="D33" i="12"/>
  <c r="C33" i="12"/>
  <c r="B33" i="12"/>
  <c r="J32" i="12"/>
  <c r="H32" i="12"/>
  <c r="F32" i="12"/>
  <c r="D32" i="12"/>
  <c r="C32" i="12"/>
  <c r="B32" i="12"/>
  <c r="J31" i="12"/>
  <c r="H31" i="12"/>
  <c r="F31" i="12"/>
  <c r="D31" i="12"/>
  <c r="C31" i="12"/>
  <c r="B31" i="12"/>
  <c r="J30" i="12"/>
  <c r="H30" i="12"/>
  <c r="F30" i="12"/>
  <c r="D30" i="12"/>
  <c r="C30" i="12"/>
  <c r="B30" i="12"/>
  <c r="H29" i="12"/>
  <c r="J29" i="12" s="1"/>
  <c r="F29" i="12"/>
  <c r="D29" i="12"/>
  <c r="C29" i="12"/>
  <c r="B29" i="12"/>
  <c r="H28" i="12"/>
  <c r="J28" i="12" s="1"/>
  <c r="F28" i="12"/>
  <c r="D28" i="12"/>
  <c r="C28" i="12"/>
  <c r="B28" i="12"/>
  <c r="H27" i="12"/>
  <c r="J27" i="12" s="1"/>
  <c r="F27" i="12"/>
  <c r="D27" i="12"/>
  <c r="C27" i="12"/>
  <c r="B27" i="12"/>
  <c r="H26" i="12"/>
  <c r="J26" i="12" s="1"/>
  <c r="F26" i="12"/>
  <c r="D26" i="12"/>
  <c r="C26" i="12"/>
  <c r="B26" i="12"/>
  <c r="H25" i="12"/>
  <c r="J25" i="12" s="1"/>
  <c r="F25" i="12"/>
  <c r="D25" i="12"/>
  <c r="C25" i="12"/>
  <c r="B25" i="12"/>
  <c r="H24" i="12"/>
  <c r="J24" i="12" s="1"/>
  <c r="F24" i="12"/>
  <c r="D24" i="12"/>
  <c r="C24" i="12"/>
  <c r="B24" i="12"/>
  <c r="H23" i="12"/>
  <c r="J23" i="12" s="1"/>
  <c r="F23" i="12"/>
  <c r="D23" i="12"/>
  <c r="C23" i="12"/>
  <c r="B23" i="12"/>
  <c r="H22" i="12"/>
  <c r="J22" i="12" s="1"/>
  <c r="F22" i="12"/>
  <c r="D22" i="12"/>
  <c r="C22" i="12"/>
  <c r="B22" i="12"/>
  <c r="H21" i="12"/>
  <c r="J21" i="12" s="1"/>
  <c r="F21" i="12"/>
  <c r="D21" i="12"/>
  <c r="C21" i="12"/>
  <c r="B21" i="12"/>
  <c r="H20" i="12"/>
  <c r="J20" i="12" s="1"/>
  <c r="F20" i="12"/>
  <c r="D20" i="12"/>
  <c r="C20" i="12"/>
  <c r="B20" i="12"/>
  <c r="H19" i="12"/>
  <c r="J19" i="12" s="1"/>
  <c r="F19" i="12"/>
  <c r="D19" i="12"/>
  <c r="C19" i="12"/>
  <c r="B19" i="12"/>
  <c r="H18" i="12"/>
  <c r="J18" i="12" s="1"/>
  <c r="F18" i="12"/>
  <c r="D18" i="12"/>
  <c r="C18" i="12"/>
  <c r="B18" i="12"/>
  <c r="H17" i="12"/>
  <c r="J17" i="12" s="1"/>
  <c r="F17" i="12"/>
  <c r="D17" i="12"/>
  <c r="C17" i="12"/>
  <c r="B17" i="12"/>
  <c r="H16" i="12"/>
  <c r="J16" i="12" s="1"/>
  <c r="F16" i="12"/>
  <c r="D16" i="12"/>
  <c r="C16" i="12"/>
  <c r="B16" i="12"/>
  <c r="H15" i="12"/>
  <c r="J15" i="12" s="1"/>
  <c r="F15" i="12"/>
  <c r="D15" i="12"/>
  <c r="C15" i="12"/>
  <c r="B15" i="12"/>
  <c r="H14" i="12"/>
  <c r="J14" i="12" s="1"/>
  <c r="F14" i="12"/>
  <c r="D14" i="12"/>
  <c r="C14" i="12"/>
  <c r="B14" i="12"/>
  <c r="H13" i="12"/>
  <c r="J13" i="12" s="1"/>
  <c r="F13" i="12"/>
  <c r="D13" i="12"/>
  <c r="C13" i="12"/>
  <c r="B13" i="12"/>
  <c r="H12" i="12"/>
  <c r="J12" i="12" s="1"/>
  <c r="F12" i="12"/>
  <c r="D12" i="12"/>
  <c r="C12" i="12"/>
  <c r="B12" i="12"/>
  <c r="H11" i="12"/>
  <c r="J11" i="12" s="1"/>
  <c r="F11" i="12"/>
  <c r="D11" i="12"/>
  <c r="C11" i="12"/>
  <c r="B11" i="12"/>
  <c r="H10" i="12"/>
  <c r="J10" i="12" s="1"/>
  <c r="F10" i="12"/>
  <c r="D10" i="12"/>
  <c r="C10" i="12"/>
  <c r="B10" i="12"/>
  <c r="H9" i="12"/>
  <c r="J9" i="12" s="1"/>
  <c r="F9" i="12"/>
  <c r="D9" i="12"/>
  <c r="C9" i="12"/>
  <c r="B9" i="12"/>
  <c r="H8" i="12"/>
  <c r="J8" i="12" s="1"/>
  <c r="F8" i="12"/>
  <c r="D8" i="12"/>
  <c r="C8" i="12"/>
  <c r="B8" i="12"/>
  <c r="H7" i="12"/>
  <c r="J7" i="12" s="1"/>
  <c r="F7" i="12"/>
  <c r="D7" i="12"/>
  <c r="C7" i="12"/>
  <c r="B7" i="12"/>
  <c r="H6" i="12"/>
  <c r="J6" i="12" s="1"/>
  <c r="F6" i="12"/>
  <c r="D6" i="12"/>
  <c r="C6" i="12"/>
  <c r="B6" i="12"/>
  <c r="H5" i="12"/>
  <c r="J5" i="12" s="1"/>
  <c r="F5" i="12"/>
  <c r="D5" i="12"/>
  <c r="C5" i="12"/>
  <c r="B5" i="12"/>
  <c r="H4" i="12"/>
  <c r="J4" i="12" s="1"/>
  <c r="F4" i="12"/>
  <c r="D4" i="12"/>
  <c r="C4" i="12"/>
  <c r="B4" i="12"/>
  <c r="H3" i="12"/>
  <c r="J3" i="12" s="1"/>
  <c r="F3" i="12"/>
  <c r="D3" i="12"/>
  <c r="C3" i="12"/>
  <c r="B3" i="12"/>
  <c r="H2" i="12"/>
  <c r="J2" i="12" s="1"/>
  <c r="F2" i="12"/>
  <c r="D2" i="12"/>
  <c r="C2" i="12"/>
  <c r="B2" i="12"/>
  <c r="O800" i="11"/>
  <c r="N800" i="11"/>
  <c r="M800" i="11"/>
  <c r="L800" i="11"/>
  <c r="K800" i="11"/>
  <c r="E800" i="11"/>
  <c r="O799" i="11"/>
  <c r="N799" i="11"/>
  <c r="M799" i="11"/>
  <c r="L799" i="11"/>
  <c r="K799" i="11"/>
  <c r="E799" i="11"/>
  <c r="O798" i="11"/>
  <c r="N798" i="11"/>
  <c r="M798" i="11"/>
  <c r="L798" i="11"/>
  <c r="K798" i="11"/>
  <c r="E798" i="11"/>
  <c r="O797" i="11"/>
  <c r="N797" i="11"/>
  <c r="M797" i="11"/>
  <c r="L797" i="11"/>
  <c r="K797" i="11"/>
  <c r="E797" i="11"/>
  <c r="O796" i="11"/>
  <c r="N796" i="11"/>
  <c r="M796" i="11"/>
  <c r="L796" i="11"/>
  <c r="K796" i="11"/>
  <c r="E796" i="11"/>
  <c r="O795" i="11"/>
  <c r="N795" i="11"/>
  <c r="M795" i="11"/>
  <c r="L795" i="11"/>
  <c r="K795" i="11"/>
  <c r="E795" i="11"/>
  <c r="O794" i="11"/>
  <c r="N794" i="11"/>
  <c r="M794" i="11"/>
  <c r="L794" i="11"/>
  <c r="K794" i="11"/>
  <c r="E794" i="11"/>
  <c r="O793" i="11"/>
  <c r="N793" i="11"/>
  <c r="M793" i="11"/>
  <c r="L793" i="11"/>
  <c r="K793" i="11"/>
  <c r="E793" i="11"/>
  <c r="O792" i="11"/>
  <c r="N792" i="11"/>
  <c r="M792" i="11"/>
  <c r="L792" i="11"/>
  <c r="K792" i="11"/>
  <c r="E792" i="11"/>
  <c r="O791" i="11"/>
  <c r="N791" i="11"/>
  <c r="M791" i="11"/>
  <c r="L791" i="11"/>
  <c r="K791" i="11"/>
  <c r="E791" i="11"/>
  <c r="O790" i="11"/>
  <c r="N790" i="11"/>
  <c r="M790" i="11"/>
  <c r="L790" i="11"/>
  <c r="K790" i="11"/>
  <c r="E790" i="11"/>
  <c r="O789" i="11"/>
  <c r="N789" i="11"/>
  <c r="M789" i="11"/>
  <c r="L789" i="11"/>
  <c r="K789" i="11"/>
  <c r="E789" i="11"/>
  <c r="O788" i="11"/>
  <c r="N788" i="11"/>
  <c r="M788" i="11"/>
  <c r="L788" i="11"/>
  <c r="K788" i="11"/>
  <c r="E788" i="11"/>
  <c r="O787" i="11"/>
  <c r="N787" i="11"/>
  <c r="M787" i="11"/>
  <c r="L787" i="11"/>
  <c r="K787" i="11"/>
  <c r="E787" i="11"/>
  <c r="O786" i="11"/>
  <c r="N786" i="11"/>
  <c r="M786" i="11"/>
  <c r="L786" i="11"/>
  <c r="K786" i="11"/>
  <c r="E786" i="11"/>
  <c r="O785" i="11"/>
  <c r="N785" i="11"/>
  <c r="M785" i="11"/>
  <c r="L785" i="11"/>
  <c r="K785" i="11"/>
  <c r="E785" i="11"/>
  <c r="O784" i="11"/>
  <c r="N784" i="11"/>
  <c r="M784" i="11"/>
  <c r="L784" i="11"/>
  <c r="K784" i="11"/>
  <c r="E784" i="11"/>
  <c r="O783" i="11"/>
  <c r="N783" i="11"/>
  <c r="M783" i="11"/>
  <c r="L783" i="11"/>
  <c r="K783" i="11"/>
  <c r="E783" i="11"/>
  <c r="O782" i="11"/>
  <c r="N782" i="11"/>
  <c r="M782" i="11"/>
  <c r="L782" i="11"/>
  <c r="K782" i="11"/>
  <c r="E782" i="11"/>
  <c r="O781" i="11"/>
  <c r="N781" i="11"/>
  <c r="M781" i="11"/>
  <c r="L781" i="11"/>
  <c r="K781" i="11"/>
  <c r="E781" i="11"/>
  <c r="O780" i="11"/>
  <c r="N780" i="11"/>
  <c r="M780" i="11"/>
  <c r="L780" i="11"/>
  <c r="K780" i="11"/>
  <c r="E780" i="11"/>
  <c r="O779" i="11"/>
  <c r="N779" i="11"/>
  <c r="M779" i="11"/>
  <c r="L779" i="11"/>
  <c r="K779" i="11"/>
  <c r="E779" i="11"/>
  <c r="O778" i="11"/>
  <c r="N778" i="11"/>
  <c r="M778" i="11"/>
  <c r="L778" i="11"/>
  <c r="K778" i="11"/>
  <c r="E778" i="11"/>
  <c r="O777" i="11"/>
  <c r="N777" i="11"/>
  <c r="M777" i="11"/>
  <c r="L777" i="11"/>
  <c r="K777" i="11"/>
  <c r="E777" i="11"/>
  <c r="O776" i="11"/>
  <c r="N776" i="11"/>
  <c r="M776" i="11"/>
  <c r="L776" i="11"/>
  <c r="K776" i="11"/>
  <c r="E776" i="11"/>
  <c r="O775" i="11"/>
  <c r="N775" i="11"/>
  <c r="M775" i="11"/>
  <c r="L775" i="11"/>
  <c r="K775" i="11"/>
  <c r="E775" i="11"/>
  <c r="O774" i="11"/>
  <c r="N774" i="11"/>
  <c r="M774" i="11"/>
  <c r="L774" i="11"/>
  <c r="K774" i="11"/>
  <c r="E774" i="11"/>
  <c r="O773" i="11"/>
  <c r="N773" i="11"/>
  <c r="M773" i="11"/>
  <c r="L773" i="11"/>
  <c r="K773" i="11"/>
  <c r="E773" i="11"/>
  <c r="O772" i="11"/>
  <c r="N772" i="11"/>
  <c r="M772" i="11"/>
  <c r="L772" i="11"/>
  <c r="K772" i="11"/>
  <c r="E772" i="11"/>
  <c r="O771" i="11"/>
  <c r="N771" i="11"/>
  <c r="M771" i="11"/>
  <c r="L771" i="11"/>
  <c r="K771" i="11"/>
  <c r="E771" i="11"/>
  <c r="O770" i="11"/>
  <c r="N770" i="11"/>
  <c r="M770" i="11"/>
  <c r="L770" i="11"/>
  <c r="K770" i="11"/>
  <c r="E770" i="11"/>
  <c r="O769" i="11"/>
  <c r="N769" i="11"/>
  <c r="M769" i="11"/>
  <c r="L769" i="11"/>
  <c r="K769" i="11"/>
  <c r="E769" i="11"/>
  <c r="O768" i="11"/>
  <c r="N768" i="11"/>
  <c r="M768" i="11"/>
  <c r="L768" i="11"/>
  <c r="K768" i="11"/>
  <c r="E768" i="11"/>
  <c r="O767" i="11"/>
  <c r="N767" i="11"/>
  <c r="M767" i="11"/>
  <c r="L767" i="11"/>
  <c r="K767" i="11"/>
  <c r="E767" i="11"/>
  <c r="O766" i="11"/>
  <c r="N766" i="11"/>
  <c r="M766" i="11"/>
  <c r="L766" i="11"/>
  <c r="K766" i="11"/>
  <c r="E766" i="11"/>
  <c r="O765" i="11"/>
  <c r="N765" i="11"/>
  <c r="M765" i="11"/>
  <c r="L765" i="11"/>
  <c r="K765" i="11"/>
  <c r="E765" i="11"/>
  <c r="O764" i="11"/>
  <c r="N764" i="11"/>
  <c r="M764" i="11"/>
  <c r="L764" i="11"/>
  <c r="K764" i="11"/>
  <c r="E764" i="11"/>
  <c r="O763" i="11"/>
  <c r="N763" i="11"/>
  <c r="M763" i="11"/>
  <c r="L763" i="11"/>
  <c r="K763" i="11"/>
  <c r="E763" i="11"/>
  <c r="O762" i="11"/>
  <c r="N762" i="11"/>
  <c r="M762" i="11"/>
  <c r="L762" i="11"/>
  <c r="K762" i="11"/>
  <c r="E762" i="11"/>
  <c r="O761" i="11"/>
  <c r="N761" i="11"/>
  <c r="M761" i="11"/>
  <c r="L761" i="11"/>
  <c r="K761" i="11"/>
  <c r="E761" i="11"/>
  <c r="O760" i="11"/>
  <c r="N760" i="11"/>
  <c r="M760" i="11"/>
  <c r="L760" i="11"/>
  <c r="K760" i="11"/>
  <c r="E760" i="11"/>
  <c r="O759" i="11"/>
  <c r="N759" i="11"/>
  <c r="M759" i="11"/>
  <c r="L759" i="11"/>
  <c r="K759" i="11"/>
  <c r="E759" i="11"/>
  <c r="O758" i="11"/>
  <c r="N758" i="11"/>
  <c r="M758" i="11"/>
  <c r="L758" i="11"/>
  <c r="K758" i="11"/>
  <c r="E758" i="11"/>
  <c r="O757" i="11"/>
  <c r="N757" i="11"/>
  <c r="M757" i="11"/>
  <c r="L757" i="11"/>
  <c r="K757" i="11"/>
  <c r="E757" i="11"/>
  <c r="O756" i="11"/>
  <c r="N756" i="11"/>
  <c r="M756" i="11"/>
  <c r="L756" i="11"/>
  <c r="K756" i="11"/>
  <c r="E756" i="11"/>
  <c r="O755" i="11"/>
  <c r="N755" i="11"/>
  <c r="M755" i="11"/>
  <c r="L755" i="11"/>
  <c r="K755" i="11"/>
  <c r="E755" i="11"/>
  <c r="O754" i="11"/>
  <c r="N754" i="11"/>
  <c r="M754" i="11"/>
  <c r="L754" i="11"/>
  <c r="K754" i="11"/>
  <c r="E754" i="11"/>
  <c r="O753" i="11"/>
  <c r="N753" i="11"/>
  <c r="M753" i="11"/>
  <c r="L753" i="11"/>
  <c r="K753" i="11"/>
  <c r="E753" i="11"/>
  <c r="O752" i="11"/>
  <c r="N752" i="11"/>
  <c r="M752" i="11"/>
  <c r="L752" i="11"/>
  <c r="K752" i="11"/>
  <c r="E752" i="11"/>
  <c r="O751" i="11"/>
  <c r="N751" i="11"/>
  <c r="M751" i="11"/>
  <c r="L751" i="11"/>
  <c r="K751" i="11"/>
  <c r="E751" i="11"/>
  <c r="O750" i="11"/>
  <c r="N750" i="11"/>
  <c r="M750" i="11"/>
  <c r="L750" i="11"/>
  <c r="K750" i="11"/>
  <c r="E750" i="11"/>
  <c r="O749" i="11"/>
  <c r="N749" i="11"/>
  <c r="M749" i="11"/>
  <c r="L749" i="11"/>
  <c r="K749" i="11"/>
  <c r="E749" i="11"/>
  <c r="O748" i="11"/>
  <c r="N748" i="11"/>
  <c r="M748" i="11"/>
  <c r="L748" i="11"/>
  <c r="K748" i="11"/>
  <c r="E748" i="11"/>
  <c r="O747" i="11"/>
  <c r="N747" i="11"/>
  <c r="M747" i="11"/>
  <c r="L747" i="11"/>
  <c r="K747" i="11"/>
  <c r="E747" i="11"/>
  <c r="O746" i="11"/>
  <c r="N746" i="11"/>
  <c r="M746" i="11"/>
  <c r="L746" i="11"/>
  <c r="K746" i="11"/>
  <c r="E746" i="11"/>
  <c r="O745" i="11"/>
  <c r="N745" i="11"/>
  <c r="M745" i="11"/>
  <c r="L745" i="11"/>
  <c r="K745" i="11"/>
  <c r="E745" i="11"/>
  <c r="O744" i="11"/>
  <c r="N744" i="11"/>
  <c r="M744" i="11"/>
  <c r="L744" i="11"/>
  <c r="K744" i="11"/>
  <c r="E744" i="11"/>
  <c r="O743" i="11"/>
  <c r="N743" i="11"/>
  <c r="M743" i="11"/>
  <c r="L743" i="11"/>
  <c r="K743" i="11"/>
  <c r="E743" i="11"/>
  <c r="O742" i="11"/>
  <c r="N742" i="11"/>
  <c r="M742" i="11"/>
  <c r="L742" i="11"/>
  <c r="K742" i="11"/>
  <c r="E742" i="11"/>
  <c r="O741" i="11"/>
  <c r="N741" i="11"/>
  <c r="M741" i="11"/>
  <c r="L741" i="11"/>
  <c r="K741" i="11"/>
  <c r="E741" i="11"/>
  <c r="O740" i="11"/>
  <c r="N740" i="11"/>
  <c r="M740" i="11"/>
  <c r="L740" i="11"/>
  <c r="K740" i="11"/>
  <c r="E740" i="11"/>
  <c r="O739" i="11"/>
  <c r="N739" i="11"/>
  <c r="M739" i="11"/>
  <c r="L739" i="11"/>
  <c r="K739" i="11"/>
  <c r="E739" i="11"/>
  <c r="O738" i="11"/>
  <c r="N738" i="11"/>
  <c r="M738" i="11"/>
  <c r="L738" i="11"/>
  <c r="K738" i="11"/>
  <c r="E738" i="11"/>
  <c r="O737" i="11"/>
  <c r="N737" i="11"/>
  <c r="M737" i="11"/>
  <c r="L737" i="11"/>
  <c r="K737" i="11"/>
  <c r="E737" i="11"/>
  <c r="O736" i="11"/>
  <c r="N736" i="11"/>
  <c r="M736" i="11"/>
  <c r="L736" i="11"/>
  <c r="K736" i="11"/>
  <c r="E736" i="11"/>
  <c r="O735" i="11"/>
  <c r="N735" i="11"/>
  <c r="M735" i="11"/>
  <c r="L735" i="11"/>
  <c r="K735" i="11"/>
  <c r="E735" i="11"/>
  <c r="O734" i="11"/>
  <c r="N734" i="11"/>
  <c r="M734" i="11"/>
  <c r="L734" i="11"/>
  <c r="K734" i="11"/>
  <c r="E734" i="11"/>
  <c r="O733" i="11"/>
  <c r="N733" i="11"/>
  <c r="M733" i="11"/>
  <c r="L733" i="11"/>
  <c r="K733" i="11"/>
  <c r="E733" i="11"/>
  <c r="O732" i="11"/>
  <c r="N732" i="11"/>
  <c r="M732" i="11"/>
  <c r="L732" i="11"/>
  <c r="K732" i="11"/>
  <c r="E732" i="11"/>
  <c r="O731" i="11"/>
  <c r="N731" i="11"/>
  <c r="M731" i="11"/>
  <c r="L731" i="11"/>
  <c r="K731" i="11"/>
  <c r="E731" i="11"/>
  <c r="O730" i="11"/>
  <c r="N730" i="11"/>
  <c r="M730" i="11"/>
  <c r="L730" i="11"/>
  <c r="K730" i="11"/>
  <c r="E730" i="11"/>
  <c r="O729" i="11"/>
  <c r="N729" i="11"/>
  <c r="M729" i="11"/>
  <c r="L729" i="11"/>
  <c r="K729" i="11"/>
  <c r="E729" i="11"/>
  <c r="O728" i="11"/>
  <c r="N728" i="11"/>
  <c r="M728" i="11"/>
  <c r="L728" i="11"/>
  <c r="K728" i="11"/>
  <c r="E728" i="11"/>
  <c r="O727" i="11"/>
  <c r="N727" i="11"/>
  <c r="M727" i="11"/>
  <c r="L727" i="11"/>
  <c r="K727" i="11"/>
  <c r="E727" i="11"/>
  <c r="O726" i="11"/>
  <c r="N726" i="11"/>
  <c r="M726" i="11"/>
  <c r="L726" i="11"/>
  <c r="K726" i="11"/>
  <c r="E726" i="11"/>
  <c r="O725" i="11"/>
  <c r="N725" i="11"/>
  <c r="M725" i="11"/>
  <c r="L725" i="11"/>
  <c r="K725" i="11"/>
  <c r="E725" i="11"/>
  <c r="O724" i="11"/>
  <c r="N724" i="11"/>
  <c r="M724" i="11"/>
  <c r="L724" i="11"/>
  <c r="K724" i="11"/>
  <c r="E724" i="11"/>
  <c r="O723" i="11"/>
  <c r="N723" i="11"/>
  <c r="M723" i="11"/>
  <c r="L723" i="11"/>
  <c r="K723" i="11"/>
  <c r="E723" i="11"/>
  <c r="O722" i="11"/>
  <c r="N722" i="11"/>
  <c r="M722" i="11"/>
  <c r="L722" i="11"/>
  <c r="K722" i="11"/>
  <c r="E722" i="11"/>
  <c r="O721" i="11"/>
  <c r="N721" i="11"/>
  <c r="M721" i="11"/>
  <c r="L721" i="11"/>
  <c r="K721" i="11"/>
  <c r="E721" i="11"/>
  <c r="O720" i="11"/>
  <c r="N720" i="11"/>
  <c r="M720" i="11"/>
  <c r="L720" i="11"/>
  <c r="K720" i="11"/>
  <c r="E720" i="11"/>
  <c r="O719" i="11"/>
  <c r="N719" i="11"/>
  <c r="M719" i="11"/>
  <c r="L719" i="11"/>
  <c r="K719" i="11"/>
  <c r="E719" i="11"/>
  <c r="O718" i="11"/>
  <c r="N718" i="11"/>
  <c r="M718" i="11"/>
  <c r="L718" i="11"/>
  <c r="K718" i="11"/>
  <c r="E718" i="11"/>
  <c r="O717" i="11"/>
  <c r="N717" i="11"/>
  <c r="M717" i="11"/>
  <c r="L717" i="11"/>
  <c r="K717" i="11"/>
  <c r="E717" i="11"/>
  <c r="O716" i="11"/>
  <c r="N716" i="11"/>
  <c r="M716" i="11"/>
  <c r="L716" i="11"/>
  <c r="K716" i="11"/>
  <c r="E716" i="11"/>
  <c r="O715" i="11"/>
  <c r="N715" i="11"/>
  <c r="M715" i="11"/>
  <c r="L715" i="11"/>
  <c r="K715" i="11"/>
  <c r="E715" i="11"/>
  <c r="O714" i="11"/>
  <c r="N714" i="11"/>
  <c r="M714" i="11"/>
  <c r="L714" i="11"/>
  <c r="K714" i="11"/>
  <c r="E714" i="11"/>
  <c r="O713" i="11"/>
  <c r="N713" i="11"/>
  <c r="M713" i="11"/>
  <c r="L713" i="11"/>
  <c r="K713" i="11"/>
  <c r="E713" i="11"/>
  <c r="O712" i="11"/>
  <c r="N712" i="11"/>
  <c r="M712" i="11"/>
  <c r="L712" i="11"/>
  <c r="K712" i="11"/>
  <c r="E712" i="11"/>
  <c r="O711" i="11"/>
  <c r="N711" i="11"/>
  <c r="M711" i="11"/>
  <c r="L711" i="11"/>
  <c r="K711" i="11"/>
  <c r="E711" i="11"/>
  <c r="O710" i="11"/>
  <c r="N710" i="11"/>
  <c r="M710" i="11"/>
  <c r="L710" i="11"/>
  <c r="K710" i="11"/>
  <c r="E710" i="11"/>
  <c r="O709" i="11"/>
  <c r="N709" i="11"/>
  <c r="M709" i="11"/>
  <c r="L709" i="11"/>
  <c r="K709" i="11"/>
  <c r="E709" i="11"/>
  <c r="O708" i="11"/>
  <c r="N708" i="11"/>
  <c r="M708" i="11"/>
  <c r="L708" i="11"/>
  <c r="K708" i="11"/>
  <c r="E708" i="11"/>
  <c r="O707" i="11"/>
  <c r="N707" i="11"/>
  <c r="M707" i="11"/>
  <c r="L707" i="11"/>
  <c r="K707" i="11"/>
  <c r="E707" i="11"/>
  <c r="O706" i="11"/>
  <c r="N706" i="11"/>
  <c r="M706" i="11"/>
  <c r="L706" i="11"/>
  <c r="K706" i="11"/>
  <c r="E706" i="11"/>
  <c r="O705" i="11"/>
  <c r="N705" i="11"/>
  <c r="M705" i="11"/>
  <c r="L705" i="11"/>
  <c r="K705" i="11"/>
  <c r="E705" i="11"/>
  <c r="O704" i="11"/>
  <c r="N704" i="11"/>
  <c r="M704" i="11"/>
  <c r="L704" i="11"/>
  <c r="K704" i="11"/>
  <c r="E704" i="11"/>
  <c r="O703" i="11"/>
  <c r="N703" i="11"/>
  <c r="M703" i="11"/>
  <c r="L703" i="11"/>
  <c r="K703" i="11"/>
  <c r="E703" i="11"/>
  <c r="O702" i="11"/>
  <c r="N702" i="11"/>
  <c r="M702" i="11"/>
  <c r="L702" i="11"/>
  <c r="K702" i="11"/>
  <c r="E702" i="11"/>
  <c r="O701" i="11"/>
  <c r="N701" i="11"/>
  <c r="M701" i="11"/>
  <c r="L701" i="11"/>
  <c r="K701" i="11"/>
  <c r="E701" i="11"/>
  <c r="O700" i="11"/>
  <c r="N700" i="11"/>
  <c r="M700" i="11"/>
  <c r="L700" i="11"/>
  <c r="K700" i="11"/>
  <c r="E700" i="11"/>
  <c r="O699" i="11"/>
  <c r="N699" i="11"/>
  <c r="M699" i="11"/>
  <c r="L699" i="11"/>
  <c r="K699" i="11"/>
  <c r="E699" i="11"/>
  <c r="O698" i="11"/>
  <c r="N698" i="11"/>
  <c r="M698" i="11"/>
  <c r="L698" i="11"/>
  <c r="K698" i="11"/>
  <c r="E698" i="11"/>
  <c r="O697" i="11"/>
  <c r="N697" i="11"/>
  <c r="M697" i="11"/>
  <c r="L697" i="11"/>
  <c r="K697" i="11"/>
  <c r="E697" i="11"/>
  <c r="O696" i="11"/>
  <c r="N696" i="11"/>
  <c r="M696" i="11"/>
  <c r="L696" i="11"/>
  <c r="K696" i="11"/>
  <c r="E696" i="11"/>
  <c r="O695" i="11"/>
  <c r="N695" i="11"/>
  <c r="M695" i="11"/>
  <c r="L695" i="11"/>
  <c r="K695" i="11"/>
  <c r="E695" i="11"/>
  <c r="O694" i="11"/>
  <c r="N694" i="11"/>
  <c r="M694" i="11"/>
  <c r="L694" i="11"/>
  <c r="K694" i="11"/>
  <c r="E694" i="11"/>
  <c r="O693" i="11"/>
  <c r="N693" i="11"/>
  <c r="M693" i="11"/>
  <c r="L693" i="11"/>
  <c r="K693" i="11"/>
  <c r="E693" i="11"/>
  <c r="O692" i="11"/>
  <c r="N692" i="11"/>
  <c r="M692" i="11"/>
  <c r="L692" i="11"/>
  <c r="K692" i="11"/>
  <c r="E692" i="11"/>
  <c r="O691" i="11"/>
  <c r="N691" i="11"/>
  <c r="M691" i="11"/>
  <c r="L691" i="11"/>
  <c r="K691" i="11"/>
  <c r="E691" i="11"/>
  <c r="O690" i="11"/>
  <c r="N690" i="11"/>
  <c r="M690" i="11"/>
  <c r="L690" i="11"/>
  <c r="K690" i="11"/>
  <c r="E690" i="11"/>
  <c r="O689" i="11"/>
  <c r="N689" i="11"/>
  <c r="M689" i="11"/>
  <c r="L689" i="11"/>
  <c r="K689" i="11"/>
  <c r="E689" i="11"/>
  <c r="O688" i="11"/>
  <c r="N688" i="11"/>
  <c r="M688" i="11"/>
  <c r="L688" i="11"/>
  <c r="K688" i="11"/>
  <c r="E688" i="11"/>
  <c r="O687" i="11"/>
  <c r="N687" i="11"/>
  <c r="M687" i="11"/>
  <c r="L687" i="11"/>
  <c r="K687" i="11"/>
  <c r="E687" i="11"/>
  <c r="O686" i="11"/>
  <c r="N686" i="11"/>
  <c r="M686" i="11"/>
  <c r="L686" i="11"/>
  <c r="K686" i="11"/>
  <c r="E686" i="11"/>
  <c r="O685" i="11"/>
  <c r="N685" i="11"/>
  <c r="M685" i="11"/>
  <c r="L685" i="11"/>
  <c r="K685" i="11"/>
  <c r="E685" i="11"/>
  <c r="O684" i="11"/>
  <c r="N684" i="11"/>
  <c r="M684" i="11"/>
  <c r="L684" i="11"/>
  <c r="K684" i="11"/>
  <c r="E684" i="11"/>
  <c r="O683" i="11"/>
  <c r="N683" i="11"/>
  <c r="M683" i="11"/>
  <c r="L683" i="11"/>
  <c r="K683" i="11"/>
  <c r="E683" i="11"/>
  <c r="O682" i="11"/>
  <c r="N682" i="11"/>
  <c r="M682" i="11"/>
  <c r="L682" i="11"/>
  <c r="K682" i="11"/>
  <c r="E682" i="11"/>
  <c r="O681" i="11"/>
  <c r="N681" i="11"/>
  <c r="M681" i="11"/>
  <c r="L681" i="11"/>
  <c r="K681" i="11"/>
  <c r="E681" i="11"/>
  <c r="O680" i="11"/>
  <c r="N680" i="11"/>
  <c r="M680" i="11"/>
  <c r="L680" i="11"/>
  <c r="K680" i="11"/>
  <c r="E680" i="11"/>
  <c r="O679" i="11"/>
  <c r="N679" i="11"/>
  <c r="M679" i="11"/>
  <c r="L679" i="11"/>
  <c r="K679" i="11"/>
  <c r="E679" i="11"/>
  <c r="O678" i="11"/>
  <c r="N678" i="11"/>
  <c r="M678" i="11"/>
  <c r="L678" i="11"/>
  <c r="K678" i="11"/>
  <c r="E678" i="11"/>
  <c r="O677" i="11"/>
  <c r="N677" i="11"/>
  <c r="M677" i="11"/>
  <c r="L677" i="11"/>
  <c r="K677" i="11"/>
  <c r="E677" i="11"/>
  <c r="O676" i="11"/>
  <c r="N676" i="11"/>
  <c r="M676" i="11"/>
  <c r="L676" i="11"/>
  <c r="K676" i="11"/>
  <c r="E676" i="11"/>
  <c r="O675" i="11"/>
  <c r="N675" i="11"/>
  <c r="M675" i="11"/>
  <c r="L675" i="11"/>
  <c r="K675" i="11"/>
  <c r="E675" i="11"/>
  <c r="O674" i="11"/>
  <c r="N674" i="11"/>
  <c r="M674" i="11"/>
  <c r="L674" i="11"/>
  <c r="K674" i="11"/>
  <c r="E674" i="11"/>
  <c r="O673" i="11"/>
  <c r="N673" i="11"/>
  <c r="M673" i="11"/>
  <c r="L673" i="11"/>
  <c r="K673" i="11"/>
  <c r="E673" i="11"/>
  <c r="O672" i="11"/>
  <c r="N672" i="11"/>
  <c r="M672" i="11"/>
  <c r="L672" i="11"/>
  <c r="K672" i="11"/>
  <c r="E672" i="11"/>
  <c r="O671" i="11"/>
  <c r="N671" i="11"/>
  <c r="M671" i="11"/>
  <c r="L671" i="11"/>
  <c r="K671" i="11"/>
  <c r="E671" i="11"/>
  <c r="O670" i="11"/>
  <c r="N670" i="11"/>
  <c r="M670" i="11"/>
  <c r="L670" i="11"/>
  <c r="K670" i="11"/>
  <c r="E670" i="11"/>
  <c r="O669" i="11"/>
  <c r="N669" i="11"/>
  <c r="M669" i="11"/>
  <c r="L669" i="11"/>
  <c r="K669" i="11"/>
  <c r="E669" i="11"/>
  <c r="O668" i="11"/>
  <c r="N668" i="11"/>
  <c r="M668" i="11"/>
  <c r="L668" i="11"/>
  <c r="K668" i="11"/>
  <c r="E668" i="11"/>
  <c r="O667" i="11"/>
  <c r="N667" i="11"/>
  <c r="M667" i="11"/>
  <c r="L667" i="11"/>
  <c r="K667" i="11"/>
  <c r="E667" i="11"/>
  <c r="O666" i="11"/>
  <c r="N666" i="11"/>
  <c r="M666" i="11"/>
  <c r="L666" i="11"/>
  <c r="K666" i="11"/>
  <c r="E666" i="11"/>
  <c r="O665" i="11"/>
  <c r="N665" i="11"/>
  <c r="M665" i="11"/>
  <c r="L665" i="11"/>
  <c r="K665" i="11"/>
  <c r="E665" i="11"/>
  <c r="O664" i="11"/>
  <c r="N664" i="11"/>
  <c r="M664" i="11"/>
  <c r="L664" i="11"/>
  <c r="K664" i="11"/>
  <c r="E664" i="11"/>
  <c r="O663" i="11"/>
  <c r="N663" i="11"/>
  <c r="M663" i="11"/>
  <c r="L663" i="11"/>
  <c r="K663" i="11"/>
  <c r="E663" i="11"/>
  <c r="O662" i="11"/>
  <c r="N662" i="11"/>
  <c r="M662" i="11"/>
  <c r="L662" i="11"/>
  <c r="K662" i="11"/>
  <c r="E662" i="11"/>
  <c r="O661" i="11"/>
  <c r="N661" i="11"/>
  <c r="M661" i="11"/>
  <c r="L661" i="11"/>
  <c r="K661" i="11"/>
  <c r="E661" i="11"/>
  <c r="O660" i="11"/>
  <c r="N660" i="11"/>
  <c r="M660" i="11"/>
  <c r="L660" i="11"/>
  <c r="K660" i="11"/>
  <c r="E660" i="11"/>
  <c r="O659" i="11"/>
  <c r="N659" i="11"/>
  <c r="M659" i="11"/>
  <c r="L659" i="11"/>
  <c r="K659" i="11"/>
  <c r="E659" i="11"/>
  <c r="O658" i="11"/>
  <c r="N658" i="11"/>
  <c r="M658" i="11"/>
  <c r="L658" i="11"/>
  <c r="K658" i="11"/>
  <c r="E658" i="11"/>
  <c r="O657" i="11"/>
  <c r="N657" i="11"/>
  <c r="M657" i="11"/>
  <c r="L657" i="11"/>
  <c r="K657" i="11"/>
  <c r="E657" i="11"/>
  <c r="O656" i="11"/>
  <c r="N656" i="11"/>
  <c r="M656" i="11"/>
  <c r="L656" i="11"/>
  <c r="K656" i="11"/>
  <c r="E656" i="11"/>
  <c r="O655" i="11"/>
  <c r="N655" i="11"/>
  <c r="M655" i="11"/>
  <c r="L655" i="11"/>
  <c r="K655" i="11"/>
  <c r="E655" i="11"/>
  <c r="O654" i="11"/>
  <c r="N654" i="11"/>
  <c r="M654" i="11"/>
  <c r="L654" i="11"/>
  <c r="K654" i="11"/>
  <c r="E654" i="11"/>
  <c r="O653" i="11"/>
  <c r="N653" i="11"/>
  <c r="M653" i="11"/>
  <c r="L653" i="11"/>
  <c r="K653" i="11"/>
  <c r="E653" i="11"/>
  <c r="O652" i="11"/>
  <c r="N652" i="11"/>
  <c r="M652" i="11"/>
  <c r="L652" i="11"/>
  <c r="K652" i="11"/>
  <c r="E652" i="11"/>
  <c r="O651" i="11"/>
  <c r="N651" i="11"/>
  <c r="M651" i="11"/>
  <c r="L651" i="11"/>
  <c r="K651" i="11"/>
  <c r="E651" i="11"/>
  <c r="O650" i="11"/>
  <c r="N650" i="11"/>
  <c r="M650" i="11"/>
  <c r="L650" i="11"/>
  <c r="K650" i="11"/>
  <c r="E650" i="11"/>
  <c r="O649" i="11"/>
  <c r="N649" i="11"/>
  <c r="M649" i="11"/>
  <c r="L649" i="11"/>
  <c r="K649" i="11"/>
  <c r="E649" i="11"/>
  <c r="O648" i="11"/>
  <c r="N648" i="11"/>
  <c r="M648" i="11"/>
  <c r="L648" i="11"/>
  <c r="K648" i="11"/>
  <c r="E648" i="11"/>
  <c r="O647" i="11"/>
  <c r="N647" i="11"/>
  <c r="M647" i="11"/>
  <c r="L647" i="11"/>
  <c r="K647" i="11"/>
  <c r="E647" i="11"/>
  <c r="O646" i="11"/>
  <c r="N646" i="11"/>
  <c r="M646" i="11"/>
  <c r="L646" i="11"/>
  <c r="K646" i="11"/>
  <c r="E646" i="11"/>
  <c r="O645" i="11"/>
  <c r="N645" i="11"/>
  <c r="M645" i="11"/>
  <c r="L645" i="11"/>
  <c r="K645" i="11"/>
  <c r="E645" i="11"/>
  <c r="O644" i="11"/>
  <c r="N644" i="11"/>
  <c r="M644" i="11"/>
  <c r="L644" i="11"/>
  <c r="K644" i="11"/>
  <c r="E644" i="11"/>
  <c r="O643" i="11"/>
  <c r="N643" i="11"/>
  <c r="M643" i="11"/>
  <c r="L643" i="11"/>
  <c r="K643" i="11"/>
  <c r="E643" i="11"/>
  <c r="O642" i="11"/>
  <c r="N642" i="11"/>
  <c r="M642" i="11"/>
  <c r="L642" i="11"/>
  <c r="K642" i="11"/>
  <c r="E642" i="11"/>
  <c r="O641" i="11"/>
  <c r="N641" i="11"/>
  <c r="M641" i="11"/>
  <c r="L641" i="11"/>
  <c r="K641" i="11"/>
  <c r="E641" i="11"/>
  <c r="O640" i="11"/>
  <c r="N640" i="11"/>
  <c r="M640" i="11"/>
  <c r="L640" i="11"/>
  <c r="K640" i="11"/>
  <c r="E640" i="11"/>
  <c r="O639" i="11"/>
  <c r="N639" i="11"/>
  <c r="M639" i="11"/>
  <c r="L639" i="11"/>
  <c r="K639" i="11"/>
  <c r="E639" i="11"/>
  <c r="O638" i="11"/>
  <c r="N638" i="11"/>
  <c r="M638" i="11"/>
  <c r="L638" i="11"/>
  <c r="K638" i="11"/>
  <c r="E638" i="11"/>
  <c r="O637" i="11"/>
  <c r="N637" i="11"/>
  <c r="M637" i="11"/>
  <c r="L637" i="11"/>
  <c r="K637" i="11"/>
  <c r="E637" i="11"/>
  <c r="O636" i="11"/>
  <c r="N636" i="11"/>
  <c r="M636" i="11"/>
  <c r="L636" i="11"/>
  <c r="K636" i="11"/>
  <c r="E636" i="11"/>
  <c r="O635" i="11"/>
  <c r="N635" i="11"/>
  <c r="M635" i="11"/>
  <c r="L635" i="11"/>
  <c r="K635" i="11"/>
  <c r="E635" i="11"/>
  <c r="O634" i="11"/>
  <c r="N634" i="11"/>
  <c r="M634" i="11"/>
  <c r="L634" i="11"/>
  <c r="K634" i="11"/>
  <c r="E634" i="11"/>
  <c r="O633" i="11"/>
  <c r="N633" i="11"/>
  <c r="M633" i="11"/>
  <c r="L633" i="11"/>
  <c r="K633" i="11"/>
  <c r="E633" i="11"/>
  <c r="O632" i="11"/>
  <c r="N632" i="11"/>
  <c r="M632" i="11"/>
  <c r="L632" i="11"/>
  <c r="K632" i="11"/>
  <c r="E632" i="11"/>
  <c r="O631" i="11"/>
  <c r="N631" i="11"/>
  <c r="M631" i="11"/>
  <c r="L631" i="11"/>
  <c r="K631" i="11"/>
  <c r="E631" i="11"/>
  <c r="O630" i="11"/>
  <c r="N630" i="11"/>
  <c r="M630" i="11"/>
  <c r="L630" i="11"/>
  <c r="K630" i="11"/>
  <c r="E630" i="11"/>
  <c r="O629" i="11"/>
  <c r="N629" i="11"/>
  <c r="M629" i="11"/>
  <c r="L629" i="11"/>
  <c r="K629" i="11"/>
  <c r="E629" i="11"/>
  <c r="O628" i="11"/>
  <c r="N628" i="11"/>
  <c r="M628" i="11"/>
  <c r="L628" i="11"/>
  <c r="K628" i="11"/>
  <c r="E628" i="11"/>
  <c r="O627" i="11"/>
  <c r="N627" i="11"/>
  <c r="M627" i="11"/>
  <c r="L627" i="11"/>
  <c r="K627" i="11"/>
  <c r="E627" i="11"/>
  <c r="O626" i="11"/>
  <c r="N626" i="11"/>
  <c r="M626" i="11"/>
  <c r="L626" i="11"/>
  <c r="K626" i="11"/>
  <c r="E626" i="11"/>
  <c r="O625" i="11"/>
  <c r="N625" i="11"/>
  <c r="M625" i="11"/>
  <c r="L625" i="11"/>
  <c r="K625" i="11"/>
  <c r="E625" i="11"/>
  <c r="O624" i="11"/>
  <c r="N624" i="11"/>
  <c r="M624" i="11"/>
  <c r="L624" i="11"/>
  <c r="K624" i="11"/>
  <c r="E624" i="11"/>
  <c r="O623" i="11"/>
  <c r="N623" i="11"/>
  <c r="M623" i="11"/>
  <c r="L623" i="11"/>
  <c r="K623" i="11"/>
  <c r="E623" i="11"/>
  <c r="O622" i="11"/>
  <c r="N622" i="11"/>
  <c r="M622" i="11"/>
  <c r="L622" i="11"/>
  <c r="K622" i="11"/>
  <c r="E622" i="11"/>
  <c r="O621" i="11"/>
  <c r="N621" i="11"/>
  <c r="M621" i="11"/>
  <c r="L621" i="11"/>
  <c r="K621" i="11"/>
  <c r="E621" i="11"/>
  <c r="O620" i="11"/>
  <c r="N620" i="11"/>
  <c r="M620" i="11"/>
  <c r="L620" i="11"/>
  <c r="K620" i="11"/>
  <c r="E620" i="11"/>
  <c r="O619" i="11"/>
  <c r="N619" i="11"/>
  <c r="M619" i="11"/>
  <c r="L619" i="11"/>
  <c r="K619" i="11"/>
  <c r="E619" i="11"/>
  <c r="O618" i="11"/>
  <c r="N618" i="11"/>
  <c r="M618" i="11"/>
  <c r="L618" i="11"/>
  <c r="K618" i="11"/>
  <c r="E618" i="11"/>
  <c r="O617" i="11"/>
  <c r="N617" i="11"/>
  <c r="M617" i="11"/>
  <c r="L617" i="11"/>
  <c r="K617" i="11"/>
  <c r="E617" i="11"/>
  <c r="O616" i="11"/>
  <c r="N616" i="11"/>
  <c r="M616" i="11"/>
  <c r="L616" i="11"/>
  <c r="K616" i="11"/>
  <c r="E616" i="11"/>
  <c r="O615" i="11"/>
  <c r="N615" i="11"/>
  <c r="M615" i="11"/>
  <c r="L615" i="11"/>
  <c r="K615" i="11"/>
  <c r="E615" i="11"/>
  <c r="O614" i="11"/>
  <c r="N614" i="11"/>
  <c r="M614" i="11"/>
  <c r="L614" i="11"/>
  <c r="K614" i="11"/>
  <c r="E614" i="11"/>
  <c r="O613" i="11"/>
  <c r="N613" i="11"/>
  <c r="M613" i="11"/>
  <c r="L613" i="11"/>
  <c r="K613" i="11"/>
  <c r="E613" i="11"/>
  <c r="O612" i="11"/>
  <c r="N612" i="11"/>
  <c r="M612" i="11"/>
  <c r="L612" i="11"/>
  <c r="K612" i="11"/>
  <c r="E612" i="11"/>
  <c r="O611" i="11"/>
  <c r="N611" i="11"/>
  <c r="M611" i="11"/>
  <c r="L611" i="11"/>
  <c r="K611" i="11"/>
  <c r="E611" i="11"/>
  <c r="O610" i="11"/>
  <c r="N610" i="11"/>
  <c r="M610" i="11"/>
  <c r="L610" i="11"/>
  <c r="K610" i="11"/>
  <c r="E610" i="11"/>
  <c r="O609" i="11"/>
  <c r="N609" i="11"/>
  <c r="M609" i="11"/>
  <c r="L609" i="11"/>
  <c r="K609" i="11"/>
  <c r="E609" i="11"/>
  <c r="O608" i="11"/>
  <c r="N608" i="11"/>
  <c r="M608" i="11"/>
  <c r="L608" i="11"/>
  <c r="K608" i="11"/>
  <c r="E608" i="11"/>
  <c r="O607" i="11"/>
  <c r="N607" i="11"/>
  <c r="M607" i="11"/>
  <c r="L607" i="11"/>
  <c r="K607" i="11"/>
  <c r="E607" i="11"/>
  <c r="O606" i="11"/>
  <c r="N606" i="11"/>
  <c r="M606" i="11"/>
  <c r="L606" i="11"/>
  <c r="K606" i="11"/>
  <c r="E606" i="11"/>
  <c r="O605" i="11"/>
  <c r="N605" i="11"/>
  <c r="M605" i="11"/>
  <c r="L605" i="11"/>
  <c r="K605" i="11"/>
  <c r="E605" i="11"/>
  <c r="O604" i="11"/>
  <c r="N604" i="11"/>
  <c r="M604" i="11"/>
  <c r="L604" i="11"/>
  <c r="K604" i="11"/>
  <c r="E604" i="11"/>
  <c r="O603" i="11"/>
  <c r="N603" i="11"/>
  <c r="M603" i="11"/>
  <c r="L603" i="11"/>
  <c r="K603" i="11"/>
  <c r="E603" i="11"/>
  <c r="O602" i="11"/>
  <c r="N602" i="11"/>
  <c r="M602" i="11"/>
  <c r="L602" i="11"/>
  <c r="K602" i="11"/>
  <c r="E602" i="11"/>
  <c r="O601" i="11"/>
  <c r="N601" i="11"/>
  <c r="M601" i="11"/>
  <c r="L601" i="11"/>
  <c r="K601" i="11"/>
  <c r="E601" i="11"/>
  <c r="O600" i="11"/>
  <c r="N600" i="11"/>
  <c r="M600" i="11"/>
  <c r="L600" i="11"/>
  <c r="K600" i="11"/>
  <c r="E600" i="11"/>
  <c r="O599" i="11"/>
  <c r="N599" i="11"/>
  <c r="M599" i="11"/>
  <c r="L599" i="11"/>
  <c r="K599" i="11"/>
  <c r="E599" i="11"/>
  <c r="O598" i="11"/>
  <c r="N598" i="11"/>
  <c r="M598" i="11"/>
  <c r="L598" i="11"/>
  <c r="K598" i="11"/>
  <c r="E598" i="11"/>
  <c r="O597" i="11"/>
  <c r="N597" i="11"/>
  <c r="M597" i="11"/>
  <c r="L597" i="11"/>
  <c r="K597" i="11"/>
  <c r="E597" i="11"/>
  <c r="O596" i="11"/>
  <c r="N596" i="11"/>
  <c r="M596" i="11"/>
  <c r="L596" i="11"/>
  <c r="K596" i="11"/>
  <c r="E596" i="11"/>
  <c r="O595" i="11"/>
  <c r="N595" i="11"/>
  <c r="M595" i="11"/>
  <c r="L595" i="11"/>
  <c r="K595" i="11"/>
  <c r="E595" i="11"/>
  <c r="O594" i="11"/>
  <c r="N594" i="11"/>
  <c r="M594" i="11"/>
  <c r="L594" i="11"/>
  <c r="K594" i="11"/>
  <c r="E594" i="11"/>
  <c r="O593" i="11"/>
  <c r="N593" i="11"/>
  <c r="M593" i="11"/>
  <c r="L593" i="11"/>
  <c r="K593" i="11"/>
  <c r="E593" i="11"/>
  <c r="O592" i="11"/>
  <c r="N592" i="11"/>
  <c r="M592" i="11"/>
  <c r="L592" i="11"/>
  <c r="K592" i="11"/>
  <c r="E592" i="11"/>
  <c r="O591" i="11"/>
  <c r="N591" i="11"/>
  <c r="M591" i="11"/>
  <c r="L591" i="11"/>
  <c r="K591" i="11"/>
  <c r="E591" i="11"/>
  <c r="O590" i="11"/>
  <c r="N590" i="11"/>
  <c r="M590" i="11"/>
  <c r="L590" i="11"/>
  <c r="K590" i="11"/>
  <c r="E590" i="11"/>
  <c r="O589" i="11"/>
  <c r="N589" i="11"/>
  <c r="M589" i="11"/>
  <c r="L589" i="11"/>
  <c r="K589" i="11"/>
  <c r="E589" i="11"/>
  <c r="O588" i="11"/>
  <c r="N588" i="11"/>
  <c r="M588" i="11"/>
  <c r="L588" i="11"/>
  <c r="K588" i="11"/>
  <c r="E588" i="11"/>
  <c r="O587" i="11"/>
  <c r="N587" i="11"/>
  <c r="M587" i="11"/>
  <c r="L587" i="11"/>
  <c r="K587" i="11"/>
  <c r="E587" i="11"/>
  <c r="O586" i="11"/>
  <c r="N586" i="11"/>
  <c r="M586" i="11"/>
  <c r="L586" i="11"/>
  <c r="K586" i="11"/>
  <c r="E586" i="11"/>
  <c r="O585" i="11"/>
  <c r="N585" i="11"/>
  <c r="M585" i="11"/>
  <c r="L585" i="11"/>
  <c r="K585" i="11"/>
  <c r="E585" i="11"/>
  <c r="O584" i="11"/>
  <c r="N584" i="11"/>
  <c r="M584" i="11"/>
  <c r="L584" i="11"/>
  <c r="K584" i="11"/>
  <c r="E584" i="11"/>
  <c r="O583" i="11"/>
  <c r="N583" i="11"/>
  <c r="M583" i="11"/>
  <c r="L583" i="11"/>
  <c r="K583" i="11"/>
  <c r="E583" i="11"/>
  <c r="O582" i="11"/>
  <c r="N582" i="11"/>
  <c r="M582" i="11"/>
  <c r="L582" i="11"/>
  <c r="K582" i="11"/>
  <c r="E582" i="11"/>
  <c r="O581" i="11"/>
  <c r="N581" i="11"/>
  <c r="M581" i="11"/>
  <c r="L581" i="11"/>
  <c r="K581" i="11"/>
  <c r="E581" i="11"/>
  <c r="O580" i="11"/>
  <c r="N580" i="11"/>
  <c r="M580" i="11"/>
  <c r="L580" i="11"/>
  <c r="K580" i="11"/>
  <c r="E580" i="11"/>
  <c r="O579" i="11"/>
  <c r="N579" i="11"/>
  <c r="M579" i="11"/>
  <c r="L579" i="11"/>
  <c r="K579" i="11"/>
  <c r="E579" i="11"/>
  <c r="O578" i="11"/>
  <c r="N578" i="11"/>
  <c r="M578" i="11"/>
  <c r="L578" i="11"/>
  <c r="K578" i="11"/>
  <c r="E578" i="11"/>
  <c r="O577" i="11"/>
  <c r="N577" i="11"/>
  <c r="M577" i="11"/>
  <c r="L577" i="11"/>
  <c r="K577" i="11"/>
  <c r="E577" i="11"/>
  <c r="O576" i="11"/>
  <c r="N576" i="11"/>
  <c r="M576" i="11"/>
  <c r="L576" i="11"/>
  <c r="K576" i="11"/>
  <c r="E576" i="11"/>
  <c r="O575" i="11"/>
  <c r="N575" i="11"/>
  <c r="M575" i="11"/>
  <c r="L575" i="11"/>
  <c r="K575" i="11"/>
  <c r="E575" i="11"/>
  <c r="O574" i="11"/>
  <c r="N574" i="11"/>
  <c r="M574" i="11"/>
  <c r="L574" i="11"/>
  <c r="K574" i="11"/>
  <c r="E574" i="11"/>
  <c r="O573" i="11"/>
  <c r="N573" i="11"/>
  <c r="M573" i="11"/>
  <c r="L573" i="11"/>
  <c r="K573" i="11"/>
  <c r="E573" i="11"/>
  <c r="O572" i="11"/>
  <c r="N572" i="11"/>
  <c r="M572" i="11"/>
  <c r="L572" i="11"/>
  <c r="K572" i="11"/>
  <c r="E572" i="11"/>
  <c r="O571" i="11"/>
  <c r="N571" i="11"/>
  <c r="M571" i="11"/>
  <c r="L571" i="11"/>
  <c r="K571" i="11"/>
  <c r="E571" i="11"/>
  <c r="O570" i="11"/>
  <c r="N570" i="11"/>
  <c r="M570" i="11"/>
  <c r="L570" i="11"/>
  <c r="K570" i="11"/>
  <c r="E570" i="11"/>
  <c r="O569" i="11"/>
  <c r="N569" i="11"/>
  <c r="M569" i="11"/>
  <c r="L569" i="11"/>
  <c r="K569" i="11"/>
  <c r="E569" i="11"/>
  <c r="O568" i="11"/>
  <c r="N568" i="11"/>
  <c r="M568" i="11"/>
  <c r="L568" i="11"/>
  <c r="K568" i="11"/>
  <c r="E568" i="11"/>
  <c r="O567" i="11"/>
  <c r="N567" i="11"/>
  <c r="M567" i="11"/>
  <c r="L567" i="11"/>
  <c r="K567" i="11"/>
  <c r="E567" i="11"/>
  <c r="O566" i="11"/>
  <c r="N566" i="11"/>
  <c r="M566" i="11"/>
  <c r="L566" i="11"/>
  <c r="K566" i="11"/>
  <c r="E566" i="11"/>
  <c r="O565" i="11"/>
  <c r="N565" i="11"/>
  <c r="M565" i="11"/>
  <c r="L565" i="11"/>
  <c r="K565" i="11"/>
  <c r="E565" i="11"/>
  <c r="O564" i="11"/>
  <c r="N564" i="11"/>
  <c r="M564" i="11"/>
  <c r="L564" i="11"/>
  <c r="K564" i="11"/>
  <c r="E564" i="11"/>
  <c r="O563" i="11"/>
  <c r="N563" i="11"/>
  <c r="M563" i="11"/>
  <c r="L563" i="11"/>
  <c r="K563" i="11"/>
  <c r="E563" i="11"/>
  <c r="O562" i="11"/>
  <c r="N562" i="11"/>
  <c r="M562" i="11"/>
  <c r="L562" i="11"/>
  <c r="K562" i="11"/>
  <c r="E562" i="11"/>
  <c r="O561" i="11"/>
  <c r="N561" i="11"/>
  <c r="M561" i="11"/>
  <c r="L561" i="11"/>
  <c r="K561" i="11"/>
  <c r="E561" i="11"/>
  <c r="O560" i="11"/>
  <c r="N560" i="11"/>
  <c r="M560" i="11"/>
  <c r="L560" i="11"/>
  <c r="K560" i="11"/>
  <c r="E560" i="11"/>
  <c r="O559" i="11"/>
  <c r="N559" i="11"/>
  <c r="M559" i="11"/>
  <c r="L559" i="11"/>
  <c r="K559" i="11"/>
  <c r="E559" i="11"/>
  <c r="O558" i="11"/>
  <c r="N558" i="11"/>
  <c r="M558" i="11"/>
  <c r="L558" i="11"/>
  <c r="K558" i="11"/>
  <c r="E558" i="11"/>
  <c r="O557" i="11"/>
  <c r="N557" i="11"/>
  <c r="M557" i="11"/>
  <c r="L557" i="11"/>
  <c r="K557" i="11"/>
  <c r="E557" i="11"/>
  <c r="O556" i="11"/>
  <c r="N556" i="11"/>
  <c r="M556" i="11"/>
  <c r="L556" i="11"/>
  <c r="K556" i="11"/>
  <c r="E556" i="11"/>
  <c r="O555" i="11"/>
  <c r="N555" i="11"/>
  <c r="M555" i="11"/>
  <c r="L555" i="11"/>
  <c r="K555" i="11"/>
  <c r="E555" i="11"/>
  <c r="O554" i="11"/>
  <c r="N554" i="11"/>
  <c r="M554" i="11"/>
  <c r="L554" i="11"/>
  <c r="K554" i="11"/>
  <c r="E554" i="11"/>
  <c r="O553" i="11"/>
  <c r="N553" i="11"/>
  <c r="M553" i="11"/>
  <c r="L553" i="11"/>
  <c r="K553" i="11"/>
  <c r="E553" i="11"/>
  <c r="O552" i="11"/>
  <c r="N552" i="11"/>
  <c r="M552" i="11"/>
  <c r="L552" i="11"/>
  <c r="K552" i="11"/>
  <c r="E552" i="11"/>
  <c r="O551" i="11"/>
  <c r="N551" i="11"/>
  <c r="M551" i="11"/>
  <c r="L551" i="11"/>
  <c r="K551" i="11"/>
  <c r="E551" i="11"/>
  <c r="O550" i="11"/>
  <c r="N550" i="11"/>
  <c r="M550" i="11"/>
  <c r="L550" i="11"/>
  <c r="K550" i="11"/>
  <c r="E550" i="11"/>
  <c r="O549" i="11"/>
  <c r="N549" i="11"/>
  <c r="M549" i="11"/>
  <c r="L549" i="11"/>
  <c r="K549" i="11"/>
  <c r="E549" i="11"/>
  <c r="O548" i="11"/>
  <c r="N548" i="11"/>
  <c r="M548" i="11"/>
  <c r="L548" i="11"/>
  <c r="K548" i="11"/>
  <c r="E548" i="11"/>
  <c r="O547" i="11"/>
  <c r="N547" i="11"/>
  <c r="M547" i="11"/>
  <c r="L547" i="11"/>
  <c r="K547" i="11"/>
  <c r="E547" i="11"/>
  <c r="O546" i="11"/>
  <c r="N546" i="11"/>
  <c r="M546" i="11"/>
  <c r="L546" i="11"/>
  <c r="K546" i="11"/>
  <c r="E546" i="11"/>
  <c r="O545" i="11"/>
  <c r="N545" i="11"/>
  <c r="M545" i="11"/>
  <c r="L545" i="11"/>
  <c r="K545" i="11"/>
  <c r="E545" i="11"/>
  <c r="O544" i="11"/>
  <c r="N544" i="11"/>
  <c r="M544" i="11"/>
  <c r="L544" i="11"/>
  <c r="K544" i="11"/>
  <c r="E544" i="11"/>
  <c r="O543" i="11"/>
  <c r="N543" i="11"/>
  <c r="M543" i="11"/>
  <c r="L543" i="11"/>
  <c r="K543" i="11"/>
  <c r="E543" i="11"/>
  <c r="O542" i="11"/>
  <c r="N542" i="11"/>
  <c r="M542" i="11"/>
  <c r="L542" i="11"/>
  <c r="K542" i="11"/>
  <c r="E542" i="11"/>
  <c r="O541" i="11"/>
  <c r="N541" i="11"/>
  <c r="M541" i="11"/>
  <c r="L541" i="11"/>
  <c r="K541" i="11"/>
  <c r="E541" i="11"/>
  <c r="O540" i="11"/>
  <c r="N540" i="11"/>
  <c r="M540" i="11"/>
  <c r="L540" i="11"/>
  <c r="K540" i="11"/>
  <c r="E540" i="11"/>
  <c r="O539" i="11"/>
  <c r="N539" i="11"/>
  <c r="M539" i="11"/>
  <c r="L539" i="11"/>
  <c r="K539" i="11"/>
  <c r="E539" i="11"/>
  <c r="O538" i="11"/>
  <c r="N538" i="11"/>
  <c r="M538" i="11"/>
  <c r="L538" i="11"/>
  <c r="K538" i="11"/>
  <c r="E538" i="11"/>
  <c r="O537" i="11"/>
  <c r="N537" i="11"/>
  <c r="M537" i="11"/>
  <c r="L537" i="11"/>
  <c r="K537" i="11"/>
  <c r="E537" i="11"/>
  <c r="O536" i="11"/>
  <c r="N536" i="11"/>
  <c r="M536" i="11"/>
  <c r="L536" i="11"/>
  <c r="K536" i="11"/>
  <c r="E536" i="11"/>
  <c r="O535" i="11"/>
  <c r="N535" i="11"/>
  <c r="M535" i="11"/>
  <c r="L535" i="11"/>
  <c r="K535" i="11"/>
  <c r="E535" i="11"/>
  <c r="O534" i="11"/>
  <c r="N534" i="11"/>
  <c r="M534" i="11"/>
  <c r="L534" i="11"/>
  <c r="K534" i="11"/>
  <c r="E534" i="11"/>
  <c r="O533" i="11"/>
  <c r="N533" i="11"/>
  <c r="M533" i="11"/>
  <c r="L533" i="11"/>
  <c r="K533" i="11"/>
  <c r="E533" i="11"/>
  <c r="O532" i="11"/>
  <c r="N532" i="11"/>
  <c r="M532" i="11"/>
  <c r="L532" i="11"/>
  <c r="K532" i="11"/>
  <c r="E532" i="11"/>
  <c r="O531" i="11"/>
  <c r="N531" i="11"/>
  <c r="M531" i="11"/>
  <c r="L531" i="11"/>
  <c r="K531" i="11"/>
  <c r="E531" i="11"/>
  <c r="O530" i="11"/>
  <c r="N530" i="11"/>
  <c r="M530" i="11"/>
  <c r="L530" i="11"/>
  <c r="K530" i="11"/>
  <c r="E530" i="11"/>
  <c r="O529" i="11"/>
  <c r="N529" i="11"/>
  <c r="M529" i="11"/>
  <c r="L529" i="11"/>
  <c r="K529" i="11"/>
  <c r="E529" i="11"/>
  <c r="O528" i="11"/>
  <c r="N528" i="11"/>
  <c r="M528" i="11"/>
  <c r="L528" i="11"/>
  <c r="K528" i="11"/>
  <c r="E528" i="11"/>
  <c r="O527" i="11"/>
  <c r="N527" i="11"/>
  <c r="M527" i="11"/>
  <c r="L527" i="11"/>
  <c r="K527" i="11"/>
  <c r="E527" i="11"/>
  <c r="O526" i="11"/>
  <c r="N526" i="11"/>
  <c r="M526" i="11"/>
  <c r="L526" i="11"/>
  <c r="K526" i="11"/>
  <c r="E526" i="11"/>
  <c r="O525" i="11"/>
  <c r="N525" i="11"/>
  <c r="M525" i="11"/>
  <c r="L525" i="11"/>
  <c r="K525" i="11"/>
  <c r="E525" i="11"/>
  <c r="O524" i="11"/>
  <c r="N524" i="11"/>
  <c r="M524" i="11"/>
  <c r="L524" i="11"/>
  <c r="K524" i="11"/>
  <c r="E524" i="11"/>
  <c r="O523" i="11"/>
  <c r="N523" i="11"/>
  <c r="M523" i="11"/>
  <c r="L523" i="11"/>
  <c r="K523" i="11"/>
  <c r="E523" i="11"/>
  <c r="O522" i="11"/>
  <c r="N522" i="11"/>
  <c r="M522" i="11"/>
  <c r="L522" i="11"/>
  <c r="K522" i="11"/>
  <c r="E522" i="11"/>
  <c r="O521" i="11"/>
  <c r="N521" i="11"/>
  <c r="M521" i="11"/>
  <c r="L521" i="11"/>
  <c r="K521" i="11"/>
  <c r="E521" i="11"/>
  <c r="O520" i="11"/>
  <c r="N520" i="11"/>
  <c r="M520" i="11"/>
  <c r="L520" i="11"/>
  <c r="K520" i="11"/>
  <c r="E520" i="11"/>
  <c r="O519" i="11"/>
  <c r="N519" i="11"/>
  <c r="M519" i="11"/>
  <c r="L519" i="11"/>
  <c r="K519" i="11"/>
  <c r="E519" i="11"/>
  <c r="O518" i="11"/>
  <c r="N518" i="11"/>
  <c r="M518" i="11"/>
  <c r="L518" i="11"/>
  <c r="K518" i="11"/>
  <c r="E518" i="11"/>
  <c r="O517" i="11"/>
  <c r="N517" i="11"/>
  <c r="M517" i="11"/>
  <c r="L517" i="11"/>
  <c r="K517" i="11"/>
  <c r="E517" i="11"/>
  <c r="O516" i="11"/>
  <c r="N516" i="11"/>
  <c r="M516" i="11"/>
  <c r="L516" i="11"/>
  <c r="K516" i="11"/>
  <c r="E516" i="11"/>
  <c r="O515" i="11"/>
  <c r="N515" i="11"/>
  <c r="M515" i="11"/>
  <c r="L515" i="11"/>
  <c r="K515" i="11"/>
  <c r="E515" i="11"/>
  <c r="O514" i="11"/>
  <c r="N514" i="11"/>
  <c r="M514" i="11"/>
  <c r="L514" i="11"/>
  <c r="K514" i="11"/>
  <c r="E514" i="11"/>
  <c r="O513" i="11"/>
  <c r="N513" i="11"/>
  <c r="M513" i="11"/>
  <c r="L513" i="11"/>
  <c r="K513" i="11"/>
  <c r="E513" i="11"/>
  <c r="O512" i="11"/>
  <c r="N512" i="11"/>
  <c r="M512" i="11"/>
  <c r="L512" i="11"/>
  <c r="K512" i="11"/>
  <c r="E512" i="11"/>
  <c r="O511" i="11"/>
  <c r="N511" i="11"/>
  <c r="M511" i="11"/>
  <c r="L511" i="11"/>
  <c r="K511" i="11"/>
  <c r="E511" i="11"/>
  <c r="O510" i="11"/>
  <c r="N510" i="11"/>
  <c r="M510" i="11"/>
  <c r="L510" i="11"/>
  <c r="K510" i="11"/>
  <c r="E510" i="11"/>
  <c r="O509" i="11"/>
  <c r="N509" i="11"/>
  <c r="M509" i="11"/>
  <c r="L509" i="11"/>
  <c r="K509" i="11"/>
  <c r="E509" i="11"/>
  <c r="O508" i="11"/>
  <c r="N508" i="11"/>
  <c r="M508" i="11"/>
  <c r="L508" i="11"/>
  <c r="K508" i="11"/>
  <c r="E508" i="11"/>
  <c r="O507" i="11"/>
  <c r="N507" i="11"/>
  <c r="M507" i="11"/>
  <c r="L507" i="11"/>
  <c r="K507" i="11"/>
  <c r="E507" i="11"/>
  <c r="O506" i="11"/>
  <c r="N506" i="11"/>
  <c r="M506" i="11"/>
  <c r="L506" i="11"/>
  <c r="K506" i="11"/>
  <c r="E506" i="11"/>
  <c r="O505" i="11"/>
  <c r="N505" i="11"/>
  <c r="M505" i="11"/>
  <c r="L505" i="11"/>
  <c r="K505" i="11"/>
  <c r="E505" i="11"/>
  <c r="O504" i="11"/>
  <c r="N504" i="11"/>
  <c r="M504" i="11"/>
  <c r="L504" i="11"/>
  <c r="K504" i="11"/>
  <c r="E504" i="11"/>
  <c r="O503" i="11"/>
  <c r="N503" i="11"/>
  <c r="M503" i="11"/>
  <c r="L503" i="11"/>
  <c r="K503" i="11"/>
  <c r="E503" i="11"/>
  <c r="O502" i="11"/>
  <c r="N502" i="11"/>
  <c r="M502" i="11"/>
  <c r="L502" i="11"/>
  <c r="K502" i="11"/>
  <c r="E502" i="11"/>
  <c r="O501" i="11"/>
  <c r="N501" i="11"/>
  <c r="M501" i="11"/>
  <c r="L501" i="11"/>
  <c r="K501" i="11"/>
  <c r="E501" i="11"/>
  <c r="O500" i="11"/>
  <c r="N500" i="11"/>
  <c r="M500" i="11"/>
  <c r="L500" i="11"/>
  <c r="K500" i="11"/>
  <c r="E500" i="11"/>
  <c r="O499" i="11"/>
  <c r="N499" i="11"/>
  <c r="M499" i="11"/>
  <c r="L499" i="11"/>
  <c r="K499" i="11"/>
  <c r="E499" i="11"/>
  <c r="O498" i="11"/>
  <c r="N498" i="11"/>
  <c r="M498" i="11"/>
  <c r="L498" i="11"/>
  <c r="K498" i="11"/>
  <c r="E498" i="11"/>
  <c r="O497" i="11"/>
  <c r="N497" i="11"/>
  <c r="M497" i="11"/>
  <c r="L497" i="11"/>
  <c r="K497" i="11"/>
  <c r="E497" i="11"/>
  <c r="O496" i="11"/>
  <c r="N496" i="11"/>
  <c r="M496" i="11"/>
  <c r="L496" i="11"/>
  <c r="K496" i="11"/>
  <c r="E496" i="11"/>
  <c r="O495" i="11"/>
  <c r="N495" i="11"/>
  <c r="M495" i="11"/>
  <c r="L495" i="11"/>
  <c r="K495" i="11"/>
  <c r="E495" i="11"/>
  <c r="O494" i="11"/>
  <c r="N494" i="11"/>
  <c r="M494" i="11"/>
  <c r="L494" i="11"/>
  <c r="K494" i="11"/>
  <c r="E494" i="11"/>
  <c r="O493" i="11"/>
  <c r="N493" i="11"/>
  <c r="M493" i="11"/>
  <c r="L493" i="11"/>
  <c r="K493" i="11"/>
  <c r="E493" i="11"/>
  <c r="O492" i="11"/>
  <c r="N492" i="11"/>
  <c r="M492" i="11"/>
  <c r="L492" i="11"/>
  <c r="K492" i="11"/>
  <c r="E492" i="11"/>
  <c r="O491" i="11"/>
  <c r="N491" i="11"/>
  <c r="M491" i="11"/>
  <c r="L491" i="11"/>
  <c r="K491" i="11"/>
  <c r="E491" i="11"/>
  <c r="O490" i="11"/>
  <c r="N490" i="11"/>
  <c r="M490" i="11"/>
  <c r="L490" i="11"/>
  <c r="K490" i="11"/>
  <c r="E490" i="11"/>
  <c r="O489" i="11"/>
  <c r="N489" i="11"/>
  <c r="M489" i="11"/>
  <c r="L489" i="11"/>
  <c r="K489" i="11"/>
  <c r="E489" i="11"/>
  <c r="O488" i="11"/>
  <c r="N488" i="11"/>
  <c r="M488" i="11"/>
  <c r="L488" i="11"/>
  <c r="K488" i="11"/>
  <c r="E488" i="11"/>
  <c r="O487" i="11"/>
  <c r="N487" i="11"/>
  <c r="M487" i="11"/>
  <c r="L487" i="11"/>
  <c r="K487" i="11"/>
  <c r="E487" i="11"/>
  <c r="O486" i="11"/>
  <c r="N486" i="11"/>
  <c r="M486" i="11"/>
  <c r="L486" i="11"/>
  <c r="K486" i="11"/>
  <c r="E486" i="11"/>
  <c r="O485" i="11"/>
  <c r="N485" i="11"/>
  <c r="M485" i="11"/>
  <c r="L485" i="11"/>
  <c r="K485" i="11"/>
  <c r="E485" i="11"/>
  <c r="O484" i="11"/>
  <c r="N484" i="11"/>
  <c r="M484" i="11"/>
  <c r="L484" i="11"/>
  <c r="K484" i="11"/>
  <c r="E484" i="11"/>
  <c r="O483" i="11"/>
  <c r="N483" i="11"/>
  <c r="M483" i="11"/>
  <c r="L483" i="11"/>
  <c r="K483" i="11"/>
  <c r="E483" i="11"/>
  <c r="O482" i="11"/>
  <c r="N482" i="11"/>
  <c r="M482" i="11"/>
  <c r="L482" i="11"/>
  <c r="K482" i="11"/>
  <c r="E482" i="11"/>
  <c r="O481" i="11"/>
  <c r="N481" i="11"/>
  <c r="M481" i="11"/>
  <c r="L481" i="11"/>
  <c r="K481" i="11"/>
  <c r="E481" i="11"/>
  <c r="O480" i="11"/>
  <c r="N480" i="11"/>
  <c r="M480" i="11"/>
  <c r="L480" i="11"/>
  <c r="K480" i="11"/>
  <c r="E480" i="11"/>
  <c r="O479" i="11"/>
  <c r="N479" i="11"/>
  <c r="M479" i="11"/>
  <c r="L479" i="11"/>
  <c r="K479" i="11"/>
  <c r="E479" i="11"/>
  <c r="O478" i="11"/>
  <c r="N478" i="11"/>
  <c r="M478" i="11"/>
  <c r="L478" i="11"/>
  <c r="K478" i="11"/>
  <c r="E478" i="11"/>
  <c r="O477" i="11"/>
  <c r="N477" i="11"/>
  <c r="M477" i="11"/>
  <c r="L477" i="11"/>
  <c r="K477" i="11"/>
  <c r="E477" i="11"/>
  <c r="O476" i="11"/>
  <c r="N476" i="11"/>
  <c r="M476" i="11"/>
  <c r="L476" i="11"/>
  <c r="K476" i="11"/>
  <c r="E476" i="11"/>
  <c r="O475" i="11"/>
  <c r="N475" i="11"/>
  <c r="M475" i="11"/>
  <c r="L475" i="11"/>
  <c r="K475" i="11"/>
  <c r="E475" i="11"/>
  <c r="O474" i="11"/>
  <c r="N474" i="11"/>
  <c r="M474" i="11"/>
  <c r="L474" i="11"/>
  <c r="K474" i="11"/>
  <c r="E474" i="11"/>
  <c r="O473" i="11"/>
  <c r="N473" i="11"/>
  <c r="M473" i="11"/>
  <c r="L473" i="11"/>
  <c r="K473" i="11"/>
  <c r="E473" i="11"/>
  <c r="O472" i="11"/>
  <c r="N472" i="11"/>
  <c r="M472" i="11"/>
  <c r="L472" i="11"/>
  <c r="K472" i="11"/>
  <c r="E472" i="11"/>
  <c r="O471" i="11"/>
  <c r="N471" i="11"/>
  <c r="M471" i="11"/>
  <c r="L471" i="11"/>
  <c r="K471" i="11"/>
  <c r="E471" i="11"/>
  <c r="O470" i="11"/>
  <c r="N470" i="11"/>
  <c r="M470" i="11"/>
  <c r="L470" i="11"/>
  <c r="K470" i="11"/>
  <c r="E470" i="11"/>
  <c r="O469" i="11"/>
  <c r="N469" i="11"/>
  <c r="M469" i="11"/>
  <c r="L469" i="11"/>
  <c r="K469" i="11"/>
  <c r="E469" i="11"/>
  <c r="O468" i="11"/>
  <c r="N468" i="11"/>
  <c r="M468" i="11"/>
  <c r="L468" i="11"/>
  <c r="K468" i="11"/>
  <c r="E468" i="11"/>
  <c r="O467" i="11"/>
  <c r="N467" i="11"/>
  <c r="M467" i="11"/>
  <c r="L467" i="11"/>
  <c r="K467" i="11"/>
  <c r="E467" i="11"/>
  <c r="O466" i="11"/>
  <c r="N466" i="11"/>
  <c r="M466" i="11"/>
  <c r="L466" i="11"/>
  <c r="K466" i="11"/>
  <c r="E466" i="11"/>
  <c r="O465" i="11"/>
  <c r="N465" i="11"/>
  <c r="M465" i="11"/>
  <c r="L465" i="11"/>
  <c r="K465" i="11"/>
  <c r="E465" i="11"/>
  <c r="O464" i="11"/>
  <c r="N464" i="11"/>
  <c r="M464" i="11"/>
  <c r="L464" i="11"/>
  <c r="K464" i="11"/>
  <c r="E464" i="11"/>
  <c r="O463" i="11"/>
  <c r="N463" i="11"/>
  <c r="M463" i="11"/>
  <c r="L463" i="11"/>
  <c r="K463" i="11"/>
  <c r="E463" i="11"/>
  <c r="O462" i="11"/>
  <c r="N462" i="11"/>
  <c r="M462" i="11"/>
  <c r="L462" i="11"/>
  <c r="K462" i="11"/>
  <c r="E462" i="11"/>
  <c r="O461" i="11"/>
  <c r="N461" i="11"/>
  <c r="M461" i="11"/>
  <c r="L461" i="11"/>
  <c r="K461" i="11"/>
  <c r="E461" i="11"/>
  <c r="O460" i="11"/>
  <c r="N460" i="11"/>
  <c r="M460" i="11"/>
  <c r="L460" i="11"/>
  <c r="K460" i="11"/>
  <c r="E460" i="11"/>
  <c r="O459" i="11"/>
  <c r="N459" i="11"/>
  <c r="M459" i="11"/>
  <c r="L459" i="11"/>
  <c r="K459" i="11"/>
  <c r="E459" i="11"/>
  <c r="O458" i="11"/>
  <c r="N458" i="11"/>
  <c r="M458" i="11"/>
  <c r="L458" i="11"/>
  <c r="K458" i="11"/>
  <c r="E458" i="11"/>
  <c r="O457" i="11"/>
  <c r="N457" i="11"/>
  <c r="M457" i="11"/>
  <c r="L457" i="11"/>
  <c r="K457" i="11"/>
  <c r="E457" i="11"/>
  <c r="O456" i="11"/>
  <c r="N456" i="11"/>
  <c r="M456" i="11"/>
  <c r="L456" i="11"/>
  <c r="K456" i="11"/>
  <c r="E456" i="11"/>
  <c r="O455" i="11"/>
  <c r="N455" i="11"/>
  <c r="M455" i="11"/>
  <c r="L455" i="11"/>
  <c r="K455" i="11"/>
  <c r="E455" i="11"/>
  <c r="O454" i="11"/>
  <c r="N454" i="11"/>
  <c r="M454" i="11"/>
  <c r="L454" i="11"/>
  <c r="K454" i="11"/>
  <c r="E454" i="11"/>
  <c r="O453" i="11"/>
  <c r="N453" i="11"/>
  <c r="M453" i="11"/>
  <c r="L453" i="11"/>
  <c r="K453" i="11"/>
  <c r="E453" i="11"/>
  <c r="O452" i="11"/>
  <c r="N452" i="11"/>
  <c r="M452" i="11"/>
  <c r="L452" i="11"/>
  <c r="K452" i="11"/>
  <c r="E452" i="11"/>
  <c r="O451" i="11"/>
  <c r="N451" i="11"/>
  <c r="M451" i="11"/>
  <c r="L451" i="11"/>
  <c r="K451" i="11"/>
  <c r="E451" i="11"/>
  <c r="O450" i="11"/>
  <c r="N450" i="11"/>
  <c r="M450" i="11"/>
  <c r="L450" i="11"/>
  <c r="K450" i="11"/>
  <c r="E450" i="11"/>
  <c r="O449" i="11"/>
  <c r="N449" i="11"/>
  <c r="M449" i="11"/>
  <c r="L449" i="11"/>
  <c r="K449" i="11"/>
  <c r="E449" i="11"/>
  <c r="O448" i="11"/>
  <c r="N448" i="11"/>
  <c r="M448" i="11"/>
  <c r="L448" i="11"/>
  <c r="K448" i="11"/>
  <c r="E448" i="11"/>
  <c r="O447" i="11"/>
  <c r="N447" i="11"/>
  <c r="M447" i="11"/>
  <c r="L447" i="11"/>
  <c r="K447" i="11"/>
  <c r="E447" i="11"/>
  <c r="O446" i="11"/>
  <c r="N446" i="11"/>
  <c r="M446" i="11"/>
  <c r="L446" i="11"/>
  <c r="K446" i="11"/>
  <c r="E446" i="11"/>
  <c r="O445" i="11"/>
  <c r="N445" i="11"/>
  <c r="M445" i="11"/>
  <c r="L445" i="11"/>
  <c r="K445" i="11"/>
  <c r="E445" i="11"/>
  <c r="O444" i="11"/>
  <c r="N444" i="11"/>
  <c r="M444" i="11"/>
  <c r="L444" i="11"/>
  <c r="K444" i="11"/>
  <c r="E444" i="11"/>
  <c r="O443" i="11"/>
  <c r="N443" i="11"/>
  <c r="M443" i="11"/>
  <c r="L443" i="11"/>
  <c r="K443" i="11"/>
  <c r="E443" i="11"/>
  <c r="O442" i="11"/>
  <c r="N442" i="11"/>
  <c r="M442" i="11"/>
  <c r="L442" i="11"/>
  <c r="K442" i="11"/>
  <c r="E442" i="11"/>
  <c r="O441" i="11"/>
  <c r="N441" i="11"/>
  <c r="M441" i="11"/>
  <c r="L441" i="11"/>
  <c r="K441" i="11"/>
  <c r="E441" i="11"/>
  <c r="O440" i="11"/>
  <c r="N440" i="11"/>
  <c r="M440" i="11"/>
  <c r="L440" i="11"/>
  <c r="K440" i="11"/>
  <c r="E440" i="11"/>
  <c r="O439" i="11"/>
  <c r="N439" i="11"/>
  <c r="M439" i="11"/>
  <c r="L439" i="11"/>
  <c r="K439" i="11"/>
  <c r="E439" i="11"/>
  <c r="O438" i="11"/>
  <c r="N438" i="11"/>
  <c r="M438" i="11"/>
  <c r="L438" i="11"/>
  <c r="K438" i="11"/>
  <c r="E438" i="11"/>
  <c r="O437" i="11"/>
  <c r="N437" i="11"/>
  <c r="M437" i="11"/>
  <c r="L437" i="11"/>
  <c r="K437" i="11"/>
  <c r="E437" i="11"/>
  <c r="O436" i="11"/>
  <c r="N436" i="11"/>
  <c r="M436" i="11"/>
  <c r="L436" i="11"/>
  <c r="K436" i="11"/>
  <c r="E436" i="11"/>
  <c r="O435" i="11"/>
  <c r="N435" i="11"/>
  <c r="M435" i="11"/>
  <c r="L435" i="11"/>
  <c r="K435" i="11"/>
  <c r="E435" i="11"/>
  <c r="O434" i="11"/>
  <c r="N434" i="11"/>
  <c r="M434" i="11"/>
  <c r="L434" i="11"/>
  <c r="K434" i="11"/>
  <c r="E434" i="11"/>
  <c r="O433" i="11"/>
  <c r="N433" i="11"/>
  <c r="M433" i="11"/>
  <c r="L433" i="11"/>
  <c r="K433" i="11"/>
  <c r="E433" i="11"/>
  <c r="O432" i="11"/>
  <c r="N432" i="11"/>
  <c r="M432" i="11"/>
  <c r="L432" i="11"/>
  <c r="K432" i="11"/>
  <c r="E432" i="11"/>
  <c r="O431" i="11"/>
  <c r="N431" i="11"/>
  <c r="M431" i="11"/>
  <c r="L431" i="11"/>
  <c r="K431" i="11"/>
  <c r="E431" i="11"/>
  <c r="O430" i="11"/>
  <c r="N430" i="11"/>
  <c r="M430" i="11"/>
  <c r="L430" i="11"/>
  <c r="K430" i="11"/>
  <c r="E430" i="11"/>
  <c r="O429" i="11"/>
  <c r="N429" i="11"/>
  <c r="M429" i="11"/>
  <c r="L429" i="11"/>
  <c r="K429" i="11"/>
  <c r="E429" i="11"/>
  <c r="O428" i="11"/>
  <c r="N428" i="11"/>
  <c r="M428" i="11"/>
  <c r="L428" i="11"/>
  <c r="K428" i="11"/>
  <c r="E428" i="11"/>
  <c r="O427" i="11"/>
  <c r="N427" i="11"/>
  <c r="M427" i="11"/>
  <c r="L427" i="11"/>
  <c r="K427" i="11"/>
  <c r="E427" i="11"/>
  <c r="O426" i="11"/>
  <c r="N426" i="11"/>
  <c r="M426" i="11"/>
  <c r="L426" i="11"/>
  <c r="K426" i="11"/>
  <c r="E426" i="11"/>
  <c r="O425" i="11"/>
  <c r="N425" i="11"/>
  <c r="M425" i="11"/>
  <c r="L425" i="11"/>
  <c r="K425" i="11"/>
  <c r="E425" i="11"/>
  <c r="O424" i="11"/>
  <c r="N424" i="11"/>
  <c r="M424" i="11"/>
  <c r="L424" i="11"/>
  <c r="K424" i="11"/>
  <c r="E424" i="11"/>
  <c r="O423" i="11"/>
  <c r="N423" i="11"/>
  <c r="M423" i="11"/>
  <c r="L423" i="11"/>
  <c r="K423" i="11"/>
  <c r="E423" i="11"/>
  <c r="O422" i="11"/>
  <c r="N422" i="11"/>
  <c r="M422" i="11"/>
  <c r="L422" i="11"/>
  <c r="K422" i="11"/>
  <c r="E422" i="11"/>
  <c r="O421" i="11"/>
  <c r="N421" i="11"/>
  <c r="M421" i="11"/>
  <c r="L421" i="11"/>
  <c r="K421" i="11"/>
  <c r="E421" i="11"/>
  <c r="O420" i="11"/>
  <c r="N420" i="11"/>
  <c r="M420" i="11"/>
  <c r="L420" i="11"/>
  <c r="K420" i="11"/>
  <c r="E420" i="11"/>
  <c r="O419" i="11"/>
  <c r="N419" i="11"/>
  <c r="M419" i="11"/>
  <c r="L419" i="11"/>
  <c r="K419" i="11"/>
  <c r="E419" i="11"/>
  <c r="O418" i="11"/>
  <c r="N418" i="11"/>
  <c r="M418" i="11"/>
  <c r="L418" i="11"/>
  <c r="K418" i="11"/>
  <c r="E418" i="11"/>
  <c r="O417" i="11"/>
  <c r="N417" i="11"/>
  <c r="M417" i="11"/>
  <c r="L417" i="11"/>
  <c r="K417" i="11"/>
  <c r="E417" i="11"/>
  <c r="O416" i="11"/>
  <c r="N416" i="11"/>
  <c r="M416" i="11"/>
  <c r="L416" i="11"/>
  <c r="K416" i="11"/>
  <c r="E416" i="11"/>
  <c r="O415" i="11"/>
  <c r="N415" i="11"/>
  <c r="M415" i="11"/>
  <c r="L415" i="11"/>
  <c r="K415" i="11"/>
  <c r="E415" i="11"/>
  <c r="O414" i="11"/>
  <c r="N414" i="11"/>
  <c r="M414" i="11"/>
  <c r="L414" i="11"/>
  <c r="K414" i="11"/>
  <c r="E414" i="11"/>
  <c r="O413" i="11"/>
  <c r="N413" i="11"/>
  <c r="M413" i="11"/>
  <c r="L413" i="11"/>
  <c r="K413" i="11"/>
  <c r="E413" i="11"/>
  <c r="O412" i="11"/>
  <c r="N412" i="11"/>
  <c r="M412" i="11"/>
  <c r="L412" i="11"/>
  <c r="K412" i="11"/>
  <c r="E412" i="11"/>
  <c r="O411" i="11"/>
  <c r="N411" i="11"/>
  <c r="M411" i="11"/>
  <c r="L411" i="11"/>
  <c r="K411" i="11"/>
  <c r="E411" i="11"/>
  <c r="O410" i="11"/>
  <c r="N410" i="11"/>
  <c r="M410" i="11"/>
  <c r="L410" i="11"/>
  <c r="K410" i="11"/>
  <c r="E410" i="11"/>
  <c r="O409" i="11"/>
  <c r="N409" i="11"/>
  <c r="M409" i="11"/>
  <c r="L409" i="11"/>
  <c r="K409" i="11"/>
  <c r="E409" i="11"/>
  <c r="O408" i="11"/>
  <c r="N408" i="11"/>
  <c r="M408" i="11"/>
  <c r="L408" i="11"/>
  <c r="K408" i="11"/>
  <c r="E408" i="11"/>
  <c r="O407" i="11"/>
  <c r="N407" i="11"/>
  <c r="M407" i="11"/>
  <c r="L407" i="11"/>
  <c r="K407" i="11"/>
  <c r="E407" i="11"/>
  <c r="O406" i="11"/>
  <c r="N406" i="11"/>
  <c r="M406" i="11"/>
  <c r="L406" i="11"/>
  <c r="K406" i="11"/>
  <c r="E406" i="11"/>
  <c r="O405" i="11"/>
  <c r="N405" i="11"/>
  <c r="M405" i="11"/>
  <c r="L405" i="11"/>
  <c r="K405" i="11"/>
  <c r="E405" i="11"/>
  <c r="O404" i="11"/>
  <c r="N404" i="11"/>
  <c r="M404" i="11"/>
  <c r="L404" i="11"/>
  <c r="K404" i="11"/>
  <c r="E404" i="11"/>
  <c r="O403" i="11"/>
  <c r="N403" i="11"/>
  <c r="M403" i="11"/>
  <c r="L403" i="11"/>
  <c r="K403" i="11"/>
  <c r="E403" i="11"/>
  <c r="O402" i="11"/>
  <c r="N402" i="11"/>
  <c r="M402" i="11"/>
  <c r="L402" i="11"/>
  <c r="K402" i="11"/>
  <c r="E402" i="11"/>
  <c r="O401" i="11"/>
  <c r="N401" i="11"/>
  <c r="M401" i="11"/>
  <c r="L401" i="11"/>
  <c r="K401" i="11"/>
  <c r="E401" i="11"/>
  <c r="O400" i="11"/>
  <c r="N400" i="11"/>
  <c r="M400" i="11"/>
  <c r="L400" i="11"/>
  <c r="K400" i="11"/>
  <c r="E400" i="11"/>
  <c r="O399" i="11"/>
  <c r="N399" i="11"/>
  <c r="M399" i="11"/>
  <c r="L399" i="11"/>
  <c r="K399" i="11"/>
  <c r="E399" i="11"/>
  <c r="O398" i="11"/>
  <c r="N398" i="11"/>
  <c r="M398" i="11"/>
  <c r="L398" i="11"/>
  <c r="K398" i="11"/>
  <c r="E398" i="11"/>
  <c r="O397" i="11"/>
  <c r="N397" i="11"/>
  <c r="M397" i="11"/>
  <c r="L397" i="11"/>
  <c r="K397" i="11"/>
  <c r="E397" i="11"/>
  <c r="O396" i="11"/>
  <c r="N396" i="11"/>
  <c r="M396" i="11"/>
  <c r="L396" i="11"/>
  <c r="K396" i="11"/>
  <c r="E396" i="11"/>
  <c r="O395" i="11"/>
  <c r="N395" i="11"/>
  <c r="M395" i="11"/>
  <c r="L395" i="11"/>
  <c r="K395" i="11"/>
  <c r="E395" i="11"/>
  <c r="O394" i="11"/>
  <c r="N394" i="11"/>
  <c r="M394" i="11"/>
  <c r="L394" i="11"/>
  <c r="K394" i="11"/>
  <c r="E394" i="11"/>
  <c r="O393" i="11"/>
  <c r="N393" i="11"/>
  <c r="M393" i="11"/>
  <c r="L393" i="11"/>
  <c r="K393" i="11"/>
  <c r="E393" i="11"/>
  <c r="O392" i="11"/>
  <c r="N392" i="11"/>
  <c r="M392" i="11"/>
  <c r="L392" i="11"/>
  <c r="K392" i="11"/>
  <c r="E392" i="11"/>
  <c r="O391" i="11"/>
  <c r="N391" i="11"/>
  <c r="M391" i="11"/>
  <c r="L391" i="11"/>
  <c r="K391" i="11"/>
  <c r="E391" i="11"/>
  <c r="O390" i="11"/>
  <c r="N390" i="11"/>
  <c r="M390" i="11"/>
  <c r="L390" i="11"/>
  <c r="K390" i="11"/>
  <c r="E390" i="11"/>
  <c r="O389" i="11"/>
  <c r="N389" i="11"/>
  <c r="M389" i="11"/>
  <c r="L389" i="11"/>
  <c r="K389" i="11"/>
  <c r="E389" i="11"/>
  <c r="O388" i="11"/>
  <c r="N388" i="11"/>
  <c r="M388" i="11"/>
  <c r="L388" i="11"/>
  <c r="K388" i="11"/>
  <c r="E388" i="11"/>
  <c r="O387" i="11"/>
  <c r="N387" i="11"/>
  <c r="M387" i="11"/>
  <c r="L387" i="11"/>
  <c r="K387" i="11"/>
  <c r="E387" i="11"/>
  <c r="O386" i="11"/>
  <c r="N386" i="11"/>
  <c r="M386" i="11"/>
  <c r="L386" i="11"/>
  <c r="K386" i="11"/>
  <c r="E386" i="11"/>
  <c r="O385" i="11"/>
  <c r="N385" i="11"/>
  <c r="M385" i="11"/>
  <c r="L385" i="11"/>
  <c r="K385" i="11"/>
  <c r="E385" i="11"/>
  <c r="O384" i="11"/>
  <c r="N384" i="11"/>
  <c r="M384" i="11"/>
  <c r="L384" i="11"/>
  <c r="K384" i="11"/>
  <c r="E384" i="11"/>
  <c r="O383" i="11"/>
  <c r="N383" i="11"/>
  <c r="M383" i="11"/>
  <c r="L383" i="11"/>
  <c r="K383" i="11"/>
  <c r="E383" i="11"/>
  <c r="O382" i="11"/>
  <c r="N382" i="11"/>
  <c r="M382" i="11"/>
  <c r="L382" i="11"/>
  <c r="K382" i="11"/>
  <c r="E382" i="11"/>
  <c r="O381" i="11"/>
  <c r="N381" i="11"/>
  <c r="M381" i="11"/>
  <c r="L381" i="11"/>
  <c r="K381" i="11"/>
  <c r="E381" i="11"/>
  <c r="O380" i="11"/>
  <c r="N380" i="11"/>
  <c r="M380" i="11"/>
  <c r="L380" i="11"/>
  <c r="K380" i="11"/>
  <c r="E380" i="11"/>
  <c r="O379" i="11"/>
  <c r="N379" i="11"/>
  <c r="M379" i="11"/>
  <c r="L379" i="11"/>
  <c r="K379" i="11"/>
  <c r="E379" i="11"/>
  <c r="O378" i="11"/>
  <c r="N378" i="11"/>
  <c r="M378" i="11"/>
  <c r="L378" i="11"/>
  <c r="K378" i="11"/>
  <c r="E378" i="11"/>
  <c r="O377" i="11"/>
  <c r="N377" i="11"/>
  <c r="M377" i="11"/>
  <c r="L377" i="11"/>
  <c r="K377" i="11"/>
  <c r="E377" i="11"/>
  <c r="O376" i="11"/>
  <c r="N376" i="11"/>
  <c r="M376" i="11"/>
  <c r="L376" i="11"/>
  <c r="K376" i="11"/>
  <c r="E376" i="11"/>
  <c r="O375" i="11"/>
  <c r="N375" i="11"/>
  <c r="M375" i="11"/>
  <c r="L375" i="11"/>
  <c r="K375" i="11"/>
  <c r="E375" i="11"/>
  <c r="O374" i="11"/>
  <c r="N374" i="11"/>
  <c r="M374" i="11"/>
  <c r="L374" i="11"/>
  <c r="K374" i="11"/>
  <c r="E374" i="11"/>
  <c r="O373" i="11"/>
  <c r="N373" i="11"/>
  <c r="M373" i="11"/>
  <c r="L373" i="11"/>
  <c r="K373" i="11"/>
  <c r="E373" i="11"/>
  <c r="O372" i="11"/>
  <c r="N372" i="11"/>
  <c r="M372" i="11"/>
  <c r="L372" i="11"/>
  <c r="K372" i="11"/>
  <c r="E372" i="11"/>
  <c r="O371" i="11"/>
  <c r="N371" i="11"/>
  <c r="M371" i="11"/>
  <c r="L371" i="11"/>
  <c r="K371" i="11"/>
  <c r="E371" i="11"/>
  <c r="O370" i="11"/>
  <c r="N370" i="11"/>
  <c r="M370" i="11"/>
  <c r="L370" i="11"/>
  <c r="K370" i="11"/>
  <c r="E370" i="11"/>
  <c r="O369" i="11"/>
  <c r="N369" i="11"/>
  <c r="M369" i="11"/>
  <c r="L369" i="11"/>
  <c r="K369" i="11"/>
  <c r="E369" i="11"/>
  <c r="O368" i="11"/>
  <c r="N368" i="11"/>
  <c r="M368" i="11"/>
  <c r="L368" i="11"/>
  <c r="K368" i="11"/>
  <c r="E368" i="11"/>
  <c r="O367" i="11"/>
  <c r="N367" i="11"/>
  <c r="M367" i="11"/>
  <c r="L367" i="11"/>
  <c r="K367" i="11"/>
  <c r="E367" i="11"/>
  <c r="O366" i="11"/>
  <c r="N366" i="11"/>
  <c r="M366" i="11"/>
  <c r="L366" i="11"/>
  <c r="K366" i="11"/>
  <c r="E366" i="11"/>
  <c r="O365" i="11"/>
  <c r="N365" i="11"/>
  <c r="M365" i="11"/>
  <c r="L365" i="11"/>
  <c r="K365" i="11"/>
  <c r="E365" i="11"/>
  <c r="O364" i="11"/>
  <c r="N364" i="11"/>
  <c r="M364" i="11"/>
  <c r="L364" i="11"/>
  <c r="K364" i="11"/>
  <c r="E364" i="11"/>
  <c r="O363" i="11"/>
  <c r="N363" i="11"/>
  <c r="M363" i="11"/>
  <c r="L363" i="11"/>
  <c r="K363" i="11"/>
  <c r="E363" i="11"/>
  <c r="O362" i="11"/>
  <c r="N362" i="11"/>
  <c r="M362" i="11"/>
  <c r="L362" i="11"/>
  <c r="K362" i="11"/>
  <c r="E362" i="11"/>
  <c r="O361" i="11"/>
  <c r="N361" i="11"/>
  <c r="M361" i="11"/>
  <c r="L361" i="11"/>
  <c r="K361" i="11"/>
  <c r="E361" i="11"/>
  <c r="O360" i="11"/>
  <c r="N360" i="11"/>
  <c r="M360" i="11"/>
  <c r="L360" i="11"/>
  <c r="K360" i="11"/>
  <c r="E360" i="11"/>
  <c r="O359" i="11"/>
  <c r="N359" i="11"/>
  <c r="M359" i="11"/>
  <c r="L359" i="11"/>
  <c r="K359" i="11"/>
  <c r="E359" i="11"/>
  <c r="O358" i="11"/>
  <c r="N358" i="11"/>
  <c r="M358" i="11"/>
  <c r="L358" i="11"/>
  <c r="K358" i="11"/>
  <c r="E358" i="11"/>
  <c r="O357" i="11"/>
  <c r="N357" i="11"/>
  <c r="M357" i="11"/>
  <c r="L357" i="11"/>
  <c r="K357" i="11"/>
  <c r="E357" i="11"/>
  <c r="O356" i="11"/>
  <c r="N356" i="11"/>
  <c r="M356" i="11"/>
  <c r="L356" i="11"/>
  <c r="K356" i="11"/>
  <c r="E356" i="11"/>
  <c r="O355" i="11"/>
  <c r="N355" i="11"/>
  <c r="M355" i="11"/>
  <c r="L355" i="11"/>
  <c r="K355" i="11"/>
  <c r="E355" i="11"/>
  <c r="O354" i="11"/>
  <c r="N354" i="11"/>
  <c r="M354" i="11"/>
  <c r="L354" i="11"/>
  <c r="K354" i="11"/>
  <c r="E354" i="11"/>
  <c r="O353" i="11"/>
  <c r="N353" i="11"/>
  <c r="M353" i="11"/>
  <c r="L353" i="11"/>
  <c r="K353" i="11"/>
  <c r="E353" i="11"/>
  <c r="O352" i="11"/>
  <c r="N352" i="11"/>
  <c r="M352" i="11"/>
  <c r="L352" i="11"/>
  <c r="K352" i="11"/>
  <c r="E352" i="11"/>
  <c r="O351" i="11"/>
  <c r="N351" i="11"/>
  <c r="M351" i="11"/>
  <c r="L351" i="11"/>
  <c r="K351" i="11"/>
  <c r="E351" i="11"/>
  <c r="O350" i="11"/>
  <c r="N350" i="11"/>
  <c r="M350" i="11"/>
  <c r="L350" i="11"/>
  <c r="K350" i="11"/>
  <c r="E350" i="11"/>
  <c r="O349" i="11"/>
  <c r="N349" i="11"/>
  <c r="M349" i="11"/>
  <c r="L349" i="11"/>
  <c r="K349" i="11"/>
  <c r="E349" i="11"/>
  <c r="O348" i="11"/>
  <c r="N348" i="11"/>
  <c r="M348" i="11"/>
  <c r="L348" i="11"/>
  <c r="K348" i="11"/>
  <c r="E348" i="11"/>
  <c r="O347" i="11"/>
  <c r="N347" i="11"/>
  <c r="M347" i="11"/>
  <c r="L347" i="11"/>
  <c r="K347" i="11"/>
  <c r="E347" i="11"/>
  <c r="O346" i="11"/>
  <c r="N346" i="11"/>
  <c r="M346" i="11"/>
  <c r="L346" i="11"/>
  <c r="K346" i="11"/>
  <c r="E346" i="11"/>
  <c r="O345" i="11"/>
  <c r="N345" i="11"/>
  <c r="M345" i="11"/>
  <c r="L345" i="11"/>
  <c r="K345" i="11"/>
  <c r="E345" i="11"/>
  <c r="O344" i="11"/>
  <c r="N344" i="11"/>
  <c r="M344" i="11"/>
  <c r="L344" i="11"/>
  <c r="K344" i="11"/>
  <c r="E344" i="11"/>
  <c r="O343" i="11"/>
  <c r="N343" i="11"/>
  <c r="M343" i="11"/>
  <c r="L343" i="11"/>
  <c r="K343" i="11"/>
  <c r="E343" i="11"/>
  <c r="O342" i="11"/>
  <c r="N342" i="11"/>
  <c r="M342" i="11"/>
  <c r="L342" i="11"/>
  <c r="K342" i="11"/>
  <c r="E342" i="11"/>
  <c r="O341" i="11"/>
  <c r="N341" i="11"/>
  <c r="M341" i="11"/>
  <c r="L341" i="11"/>
  <c r="K341" i="11"/>
  <c r="E341" i="11"/>
  <c r="O340" i="11"/>
  <c r="N340" i="11"/>
  <c r="M340" i="11"/>
  <c r="L340" i="11"/>
  <c r="K340" i="11"/>
  <c r="E340" i="11"/>
  <c r="O339" i="11"/>
  <c r="N339" i="11"/>
  <c r="M339" i="11"/>
  <c r="L339" i="11"/>
  <c r="K339" i="11"/>
  <c r="E339" i="11"/>
  <c r="O338" i="11"/>
  <c r="N338" i="11"/>
  <c r="M338" i="11"/>
  <c r="L338" i="11"/>
  <c r="K338" i="11"/>
  <c r="E338" i="11"/>
  <c r="O337" i="11"/>
  <c r="N337" i="11"/>
  <c r="M337" i="11"/>
  <c r="L337" i="11"/>
  <c r="K337" i="11"/>
  <c r="E337" i="11"/>
  <c r="O336" i="11"/>
  <c r="N336" i="11"/>
  <c r="M336" i="11"/>
  <c r="L336" i="11"/>
  <c r="K336" i="11"/>
  <c r="E336" i="11"/>
  <c r="O335" i="11"/>
  <c r="N335" i="11"/>
  <c r="M335" i="11"/>
  <c r="L335" i="11"/>
  <c r="K335" i="11"/>
  <c r="E335" i="11"/>
  <c r="O334" i="11"/>
  <c r="N334" i="11"/>
  <c r="M334" i="11"/>
  <c r="L334" i="11"/>
  <c r="K334" i="11"/>
  <c r="E334" i="11"/>
  <c r="O333" i="11"/>
  <c r="N333" i="11"/>
  <c r="M333" i="11"/>
  <c r="L333" i="11"/>
  <c r="K333" i="11"/>
  <c r="E333" i="11"/>
  <c r="O332" i="11"/>
  <c r="N332" i="11"/>
  <c r="M332" i="11"/>
  <c r="L332" i="11"/>
  <c r="K332" i="11"/>
  <c r="E332" i="11"/>
  <c r="O331" i="11"/>
  <c r="N331" i="11"/>
  <c r="M331" i="11"/>
  <c r="L331" i="11"/>
  <c r="K331" i="11"/>
  <c r="E331" i="11"/>
  <c r="O330" i="11"/>
  <c r="N330" i="11"/>
  <c r="M330" i="11"/>
  <c r="L330" i="11"/>
  <c r="K330" i="11"/>
  <c r="E330" i="11"/>
  <c r="O329" i="11"/>
  <c r="N329" i="11"/>
  <c r="M329" i="11"/>
  <c r="L329" i="11"/>
  <c r="K329" i="11"/>
  <c r="E329" i="11"/>
  <c r="O328" i="11"/>
  <c r="N328" i="11"/>
  <c r="M328" i="11"/>
  <c r="L328" i="11"/>
  <c r="K328" i="11"/>
  <c r="E328" i="11"/>
  <c r="O327" i="11"/>
  <c r="N327" i="11"/>
  <c r="M327" i="11"/>
  <c r="L327" i="11"/>
  <c r="K327" i="11"/>
  <c r="E327" i="11"/>
  <c r="O326" i="11"/>
  <c r="N326" i="11"/>
  <c r="M326" i="11"/>
  <c r="L326" i="11"/>
  <c r="K326" i="11"/>
  <c r="E326" i="11"/>
  <c r="O325" i="11"/>
  <c r="N325" i="11"/>
  <c r="M325" i="11"/>
  <c r="L325" i="11"/>
  <c r="K325" i="11"/>
  <c r="E325" i="11"/>
  <c r="O324" i="11"/>
  <c r="N324" i="11"/>
  <c r="M324" i="11"/>
  <c r="L324" i="11"/>
  <c r="K324" i="11"/>
  <c r="E324" i="11"/>
  <c r="O323" i="11"/>
  <c r="N323" i="11"/>
  <c r="M323" i="11"/>
  <c r="L323" i="11"/>
  <c r="K323" i="11"/>
  <c r="E323" i="11"/>
  <c r="O322" i="11"/>
  <c r="N322" i="11"/>
  <c r="M322" i="11"/>
  <c r="L322" i="11"/>
  <c r="K322" i="11"/>
  <c r="E322" i="11"/>
  <c r="O321" i="11"/>
  <c r="N321" i="11"/>
  <c r="M321" i="11"/>
  <c r="L321" i="11"/>
  <c r="K321" i="11"/>
  <c r="E321" i="11"/>
  <c r="O320" i="11"/>
  <c r="N320" i="11"/>
  <c r="M320" i="11"/>
  <c r="L320" i="11"/>
  <c r="K320" i="11"/>
  <c r="E320" i="11"/>
  <c r="O319" i="11"/>
  <c r="N319" i="11"/>
  <c r="M319" i="11"/>
  <c r="L319" i="11"/>
  <c r="K319" i="11"/>
  <c r="E319" i="11"/>
  <c r="O318" i="11"/>
  <c r="N318" i="11"/>
  <c r="M318" i="11"/>
  <c r="L318" i="11"/>
  <c r="K318" i="11"/>
  <c r="E318" i="11"/>
  <c r="O317" i="11"/>
  <c r="N317" i="11"/>
  <c r="M317" i="11"/>
  <c r="L317" i="11"/>
  <c r="K317" i="11"/>
  <c r="E317" i="11"/>
  <c r="O316" i="11"/>
  <c r="N316" i="11"/>
  <c r="M316" i="11"/>
  <c r="L316" i="11"/>
  <c r="K316" i="11"/>
  <c r="E316" i="11"/>
  <c r="O315" i="11"/>
  <c r="N315" i="11"/>
  <c r="M315" i="11"/>
  <c r="L315" i="11"/>
  <c r="K315" i="11"/>
  <c r="E315" i="11"/>
  <c r="O314" i="11"/>
  <c r="N314" i="11"/>
  <c r="M314" i="11"/>
  <c r="L314" i="11"/>
  <c r="K314" i="11"/>
  <c r="E314" i="11"/>
  <c r="O313" i="11"/>
  <c r="N313" i="11"/>
  <c r="M313" i="11"/>
  <c r="L313" i="11"/>
  <c r="K313" i="11"/>
  <c r="E313" i="11"/>
  <c r="O312" i="11"/>
  <c r="N312" i="11"/>
  <c r="M312" i="11"/>
  <c r="L312" i="11"/>
  <c r="K312" i="11"/>
  <c r="E312" i="11"/>
  <c r="O311" i="11"/>
  <c r="N311" i="11"/>
  <c r="M311" i="11"/>
  <c r="L311" i="11"/>
  <c r="K311" i="11"/>
  <c r="E311" i="11"/>
  <c r="O310" i="11"/>
  <c r="N310" i="11"/>
  <c r="M310" i="11"/>
  <c r="L310" i="11"/>
  <c r="K310" i="11"/>
  <c r="E310" i="11"/>
  <c r="O309" i="11"/>
  <c r="N309" i="11"/>
  <c r="M309" i="11"/>
  <c r="L309" i="11"/>
  <c r="K309" i="11"/>
  <c r="E309" i="11"/>
  <c r="O308" i="11"/>
  <c r="N308" i="11"/>
  <c r="M308" i="11"/>
  <c r="L308" i="11"/>
  <c r="K308" i="11"/>
  <c r="E308" i="11"/>
  <c r="O307" i="11"/>
  <c r="N307" i="11"/>
  <c r="M307" i="11"/>
  <c r="L307" i="11"/>
  <c r="K307" i="11"/>
  <c r="E307" i="11"/>
  <c r="O306" i="11"/>
  <c r="N306" i="11"/>
  <c r="M306" i="11"/>
  <c r="L306" i="11"/>
  <c r="K306" i="11"/>
  <c r="E306" i="11"/>
  <c r="O305" i="11"/>
  <c r="N305" i="11"/>
  <c r="M305" i="11"/>
  <c r="L305" i="11"/>
  <c r="K305" i="11"/>
  <c r="E305" i="11"/>
  <c r="O304" i="11"/>
  <c r="N304" i="11"/>
  <c r="M304" i="11"/>
  <c r="L304" i="11"/>
  <c r="K304" i="11"/>
  <c r="E304" i="11"/>
  <c r="O303" i="11"/>
  <c r="N303" i="11"/>
  <c r="M303" i="11"/>
  <c r="L303" i="11"/>
  <c r="K303" i="11"/>
  <c r="E303" i="11"/>
  <c r="O302" i="11"/>
  <c r="N302" i="11"/>
  <c r="M302" i="11"/>
  <c r="L302" i="11"/>
  <c r="K302" i="11"/>
  <c r="E302" i="11"/>
  <c r="O301" i="11"/>
  <c r="N301" i="11"/>
  <c r="M301" i="11"/>
  <c r="L301" i="11"/>
  <c r="K301" i="11"/>
  <c r="E301" i="11"/>
  <c r="O300" i="11"/>
  <c r="N300" i="11"/>
  <c r="M300" i="11"/>
  <c r="L300" i="11"/>
  <c r="K300" i="11"/>
  <c r="E300" i="11"/>
  <c r="O299" i="11"/>
  <c r="N299" i="11"/>
  <c r="M299" i="11"/>
  <c r="L299" i="11"/>
  <c r="K299" i="11"/>
  <c r="E299" i="11"/>
  <c r="O298" i="11"/>
  <c r="N298" i="11"/>
  <c r="M298" i="11"/>
  <c r="L298" i="11"/>
  <c r="K298" i="11"/>
  <c r="E298" i="11"/>
  <c r="O297" i="11"/>
  <c r="N297" i="11"/>
  <c r="M297" i="11"/>
  <c r="L297" i="11"/>
  <c r="K297" i="11"/>
  <c r="E297" i="11"/>
  <c r="O296" i="11"/>
  <c r="N296" i="11"/>
  <c r="M296" i="11"/>
  <c r="L296" i="11"/>
  <c r="K296" i="11"/>
  <c r="E296" i="11"/>
  <c r="O295" i="11"/>
  <c r="N295" i="11"/>
  <c r="M295" i="11"/>
  <c r="L295" i="11"/>
  <c r="K295" i="11"/>
  <c r="E295" i="11"/>
  <c r="O294" i="11"/>
  <c r="N294" i="11"/>
  <c r="M294" i="11"/>
  <c r="L294" i="11"/>
  <c r="K294" i="11"/>
  <c r="E294" i="11"/>
  <c r="O293" i="11"/>
  <c r="N293" i="11"/>
  <c r="M293" i="11"/>
  <c r="L293" i="11"/>
  <c r="K293" i="11"/>
  <c r="E293" i="11"/>
  <c r="O292" i="11"/>
  <c r="N292" i="11"/>
  <c r="M292" i="11"/>
  <c r="L292" i="11"/>
  <c r="K292" i="11"/>
  <c r="E292" i="11"/>
  <c r="O291" i="11"/>
  <c r="N291" i="11"/>
  <c r="M291" i="11"/>
  <c r="L291" i="11"/>
  <c r="K291" i="11"/>
  <c r="E291" i="11"/>
  <c r="O290" i="11"/>
  <c r="N290" i="11"/>
  <c r="M290" i="11"/>
  <c r="L290" i="11"/>
  <c r="K290" i="11"/>
  <c r="E290" i="11"/>
  <c r="O289" i="11"/>
  <c r="N289" i="11"/>
  <c r="M289" i="11"/>
  <c r="L289" i="11"/>
  <c r="K289" i="11"/>
  <c r="E289" i="11"/>
  <c r="O288" i="11"/>
  <c r="N288" i="11"/>
  <c r="M288" i="11"/>
  <c r="L288" i="11"/>
  <c r="K288" i="11"/>
  <c r="E288" i="11"/>
  <c r="O287" i="11"/>
  <c r="N287" i="11"/>
  <c r="M287" i="11"/>
  <c r="L287" i="11"/>
  <c r="K287" i="11"/>
  <c r="E287" i="11"/>
  <c r="O286" i="11"/>
  <c r="N286" i="11"/>
  <c r="M286" i="11"/>
  <c r="L286" i="11"/>
  <c r="K286" i="11"/>
  <c r="E286" i="11"/>
  <c r="O285" i="11"/>
  <c r="N285" i="11"/>
  <c r="M285" i="11"/>
  <c r="L285" i="11"/>
  <c r="K285" i="11"/>
  <c r="E285" i="11"/>
  <c r="O284" i="11"/>
  <c r="N284" i="11"/>
  <c r="M284" i="11"/>
  <c r="L284" i="11"/>
  <c r="K284" i="11"/>
  <c r="E284" i="11"/>
  <c r="O283" i="11"/>
  <c r="N283" i="11"/>
  <c r="M283" i="11"/>
  <c r="L283" i="11"/>
  <c r="K283" i="11"/>
  <c r="E283" i="11"/>
  <c r="O282" i="11"/>
  <c r="N282" i="11"/>
  <c r="M282" i="11"/>
  <c r="L282" i="11"/>
  <c r="K282" i="11"/>
  <c r="E282" i="11"/>
  <c r="O281" i="11"/>
  <c r="N281" i="11"/>
  <c r="M281" i="11"/>
  <c r="L281" i="11"/>
  <c r="K281" i="11"/>
  <c r="E281" i="11"/>
  <c r="O280" i="11"/>
  <c r="N280" i="11"/>
  <c r="M280" i="11"/>
  <c r="L280" i="11"/>
  <c r="K280" i="11"/>
  <c r="E280" i="11"/>
  <c r="O279" i="11"/>
  <c r="N279" i="11"/>
  <c r="M279" i="11"/>
  <c r="L279" i="11"/>
  <c r="K279" i="11"/>
  <c r="E279" i="11"/>
  <c r="O278" i="11"/>
  <c r="N278" i="11"/>
  <c r="M278" i="11"/>
  <c r="L278" i="11"/>
  <c r="K278" i="11"/>
  <c r="E278" i="11"/>
  <c r="O277" i="11"/>
  <c r="N277" i="11"/>
  <c r="M277" i="11"/>
  <c r="L277" i="11"/>
  <c r="K277" i="11"/>
  <c r="E277" i="11"/>
  <c r="O276" i="11"/>
  <c r="N276" i="11"/>
  <c r="M276" i="11"/>
  <c r="L276" i="11"/>
  <c r="K276" i="11"/>
  <c r="E276" i="11"/>
  <c r="O275" i="11"/>
  <c r="N275" i="11"/>
  <c r="M275" i="11"/>
  <c r="L275" i="11"/>
  <c r="K275" i="11"/>
  <c r="E275" i="11"/>
  <c r="O274" i="11"/>
  <c r="N274" i="11"/>
  <c r="M274" i="11"/>
  <c r="L274" i="11"/>
  <c r="K274" i="11"/>
  <c r="E274" i="11"/>
  <c r="O273" i="11"/>
  <c r="N273" i="11"/>
  <c r="M273" i="11"/>
  <c r="L273" i="11"/>
  <c r="K273" i="11"/>
  <c r="E273" i="11"/>
  <c r="O272" i="11"/>
  <c r="N272" i="11"/>
  <c r="M272" i="11"/>
  <c r="L272" i="11"/>
  <c r="K272" i="11"/>
  <c r="E272" i="11"/>
  <c r="O271" i="11"/>
  <c r="N271" i="11"/>
  <c r="M271" i="11"/>
  <c r="L271" i="11"/>
  <c r="K271" i="11"/>
  <c r="E271" i="11"/>
  <c r="O270" i="11"/>
  <c r="N270" i="11"/>
  <c r="M270" i="11"/>
  <c r="L270" i="11"/>
  <c r="K270" i="11"/>
  <c r="E270" i="11"/>
  <c r="O269" i="11"/>
  <c r="N269" i="11"/>
  <c r="M269" i="11"/>
  <c r="L269" i="11"/>
  <c r="K269" i="11"/>
  <c r="E269" i="11"/>
  <c r="O268" i="11"/>
  <c r="N268" i="11"/>
  <c r="M268" i="11"/>
  <c r="L268" i="11"/>
  <c r="K268" i="11"/>
  <c r="E268" i="11"/>
  <c r="O267" i="11"/>
  <c r="N267" i="11"/>
  <c r="M267" i="11"/>
  <c r="L267" i="11"/>
  <c r="K267" i="11"/>
  <c r="E267" i="11"/>
  <c r="O266" i="11"/>
  <c r="N266" i="11"/>
  <c r="M266" i="11"/>
  <c r="L266" i="11"/>
  <c r="K266" i="11"/>
  <c r="E266" i="11"/>
  <c r="O265" i="11"/>
  <c r="N265" i="11"/>
  <c r="M265" i="11"/>
  <c r="L265" i="11"/>
  <c r="K265" i="11"/>
  <c r="E265" i="11"/>
  <c r="O264" i="11"/>
  <c r="N264" i="11"/>
  <c r="M264" i="11"/>
  <c r="L264" i="11"/>
  <c r="K264" i="11"/>
  <c r="E264" i="11"/>
  <c r="O263" i="11"/>
  <c r="N263" i="11"/>
  <c r="M263" i="11"/>
  <c r="L263" i="11"/>
  <c r="K263" i="11"/>
  <c r="E263" i="11"/>
  <c r="O262" i="11"/>
  <c r="N262" i="11"/>
  <c r="M262" i="11"/>
  <c r="L262" i="11"/>
  <c r="K262" i="11"/>
  <c r="E262" i="11"/>
  <c r="O261" i="11"/>
  <c r="N261" i="11"/>
  <c r="M261" i="11"/>
  <c r="L261" i="11"/>
  <c r="K261" i="11"/>
  <c r="E261" i="11"/>
  <c r="O260" i="11"/>
  <c r="N260" i="11"/>
  <c r="M260" i="11"/>
  <c r="L260" i="11"/>
  <c r="K260" i="11"/>
  <c r="E260" i="11"/>
  <c r="O259" i="11"/>
  <c r="N259" i="11"/>
  <c r="M259" i="11"/>
  <c r="L259" i="11"/>
  <c r="K259" i="11"/>
  <c r="E259" i="11"/>
  <c r="O258" i="11"/>
  <c r="N258" i="11"/>
  <c r="M258" i="11"/>
  <c r="L258" i="11"/>
  <c r="K258" i="11"/>
  <c r="E258" i="11"/>
  <c r="O257" i="11"/>
  <c r="N257" i="11"/>
  <c r="M257" i="11"/>
  <c r="L257" i="11"/>
  <c r="K257" i="11"/>
  <c r="E257" i="11"/>
  <c r="O256" i="11"/>
  <c r="N256" i="11"/>
  <c r="M256" i="11"/>
  <c r="L256" i="11"/>
  <c r="K256" i="11"/>
  <c r="E256" i="11"/>
  <c r="O255" i="11"/>
  <c r="N255" i="11"/>
  <c r="M255" i="11"/>
  <c r="L255" i="11"/>
  <c r="K255" i="11"/>
  <c r="E255" i="11"/>
  <c r="O254" i="11"/>
  <c r="N254" i="11"/>
  <c r="M254" i="11"/>
  <c r="L254" i="11"/>
  <c r="K254" i="11"/>
  <c r="E254" i="11"/>
  <c r="O253" i="11"/>
  <c r="N253" i="11"/>
  <c r="M253" i="11"/>
  <c r="L253" i="11"/>
  <c r="K253" i="11"/>
  <c r="E253" i="11"/>
  <c r="O252" i="11"/>
  <c r="N252" i="11"/>
  <c r="M252" i="11"/>
  <c r="L252" i="11"/>
  <c r="K252" i="11"/>
  <c r="E252" i="11"/>
  <c r="O251" i="11"/>
  <c r="N251" i="11"/>
  <c r="M251" i="11"/>
  <c r="L251" i="11"/>
  <c r="K251" i="11"/>
  <c r="E251" i="11"/>
  <c r="O250" i="11"/>
  <c r="N250" i="11"/>
  <c r="M250" i="11"/>
  <c r="L250" i="11"/>
  <c r="K250" i="11"/>
  <c r="E250" i="11"/>
  <c r="O249" i="11"/>
  <c r="N249" i="11"/>
  <c r="M249" i="11"/>
  <c r="L249" i="11"/>
  <c r="K249" i="11"/>
  <c r="E249" i="11"/>
  <c r="O248" i="11"/>
  <c r="N248" i="11"/>
  <c r="M248" i="11"/>
  <c r="L248" i="11"/>
  <c r="K248" i="11"/>
  <c r="E248" i="11"/>
  <c r="O247" i="11"/>
  <c r="N247" i="11"/>
  <c r="M247" i="11"/>
  <c r="L247" i="11"/>
  <c r="K247" i="11"/>
  <c r="E247" i="11"/>
  <c r="O246" i="11"/>
  <c r="N246" i="11"/>
  <c r="M246" i="11"/>
  <c r="L246" i="11"/>
  <c r="K246" i="11"/>
  <c r="E246" i="11"/>
  <c r="O245" i="11"/>
  <c r="N245" i="11"/>
  <c r="M245" i="11"/>
  <c r="L245" i="11"/>
  <c r="K245" i="11"/>
  <c r="E245" i="11"/>
  <c r="O244" i="11"/>
  <c r="N244" i="11"/>
  <c r="M244" i="11"/>
  <c r="L244" i="11"/>
  <c r="K244" i="11"/>
  <c r="E244" i="11"/>
  <c r="O243" i="11"/>
  <c r="N243" i="11"/>
  <c r="M243" i="11"/>
  <c r="L243" i="11"/>
  <c r="K243" i="11"/>
  <c r="E243" i="11"/>
  <c r="O242" i="11"/>
  <c r="N242" i="11"/>
  <c r="M242" i="11"/>
  <c r="L242" i="11"/>
  <c r="K242" i="11"/>
  <c r="E242" i="11"/>
  <c r="O241" i="11"/>
  <c r="N241" i="11"/>
  <c r="M241" i="11"/>
  <c r="L241" i="11"/>
  <c r="K241" i="11"/>
  <c r="E241" i="11"/>
  <c r="O240" i="11"/>
  <c r="N240" i="11"/>
  <c r="M240" i="11"/>
  <c r="L240" i="11"/>
  <c r="K240" i="11"/>
  <c r="E240" i="11"/>
  <c r="O239" i="11"/>
  <c r="N239" i="11"/>
  <c r="M239" i="11"/>
  <c r="L239" i="11"/>
  <c r="K239" i="11"/>
  <c r="E239" i="11"/>
  <c r="O238" i="11"/>
  <c r="N238" i="11"/>
  <c r="M238" i="11"/>
  <c r="L238" i="11"/>
  <c r="K238" i="11"/>
  <c r="E238" i="11"/>
  <c r="O237" i="11"/>
  <c r="N237" i="11"/>
  <c r="M237" i="11"/>
  <c r="L237" i="11"/>
  <c r="K237" i="11"/>
  <c r="E237" i="11"/>
  <c r="O236" i="11"/>
  <c r="N236" i="11"/>
  <c r="M236" i="11"/>
  <c r="L236" i="11"/>
  <c r="K236" i="11"/>
  <c r="E236" i="11"/>
  <c r="O235" i="11"/>
  <c r="N235" i="11"/>
  <c r="M235" i="11"/>
  <c r="L235" i="11"/>
  <c r="K235" i="11"/>
  <c r="E235" i="11"/>
  <c r="O234" i="11"/>
  <c r="N234" i="11"/>
  <c r="M234" i="11"/>
  <c r="L234" i="11"/>
  <c r="K234" i="11"/>
  <c r="E234" i="11"/>
  <c r="O233" i="11"/>
  <c r="N233" i="11"/>
  <c r="M233" i="11"/>
  <c r="L233" i="11"/>
  <c r="K233" i="11"/>
  <c r="E233" i="11"/>
  <c r="O232" i="11"/>
  <c r="N232" i="11"/>
  <c r="M232" i="11"/>
  <c r="L232" i="11"/>
  <c r="K232" i="11"/>
  <c r="E232" i="11"/>
  <c r="O231" i="11"/>
  <c r="N231" i="11"/>
  <c r="M231" i="11"/>
  <c r="L231" i="11"/>
  <c r="K231" i="11"/>
  <c r="E231" i="11"/>
  <c r="O230" i="11"/>
  <c r="N230" i="11"/>
  <c r="M230" i="11"/>
  <c r="L230" i="11"/>
  <c r="K230" i="11"/>
  <c r="E230" i="11"/>
  <c r="O229" i="11"/>
  <c r="N229" i="11"/>
  <c r="M229" i="11"/>
  <c r="L229" i="11"/>
  <c r="K229" i="11"/>
  <c r="E229" i="11"/>
  <c r="O228" i="11"/>
  <c r="N228" i="11"/>
  <c r="M228" i="11"/>
  <c r="L228" i="11"/>
  <c r="K228" i="11"/>
  <c r="E228" i="11"/>
  <c r="O227" i="11"/>
  <c r="N227" i="11"/>
  <c r="M227" i="11"/>
  <c r="L227" i="11"/>
  <c r="K227" i="11"/>
  <c r="E227" i="11"/>
  <c r="O226" i="11"/>
  <c r="N226" i="11"/>
  <c r="M226" i="11"/>
  <c r="L226" i="11"/>
  <c r="K226" i="11"/>
  <c r="E226" i="11"/>
  <c r="O225" i="11"/>
  <c r="N225" i="11"/>
  <c r="M225" i="11"/>
  <c r="L225" i="11"/>
  <c r="K225" i="11"/>
  <c r="E225" i="11"/>
  <c r="O224" i="11"/>
  <c r="N224" i="11"/>
  <c r="M224" i="11"/>
  <c r="L224" i="11"/>
  <c r="K224" i="11"/>
  <c r="E224" i="11"/>
  <c r="O223" i="11"/>
  <c r="N223" i="11"/>
  <c r="M223" i="11"/>
  <c r="L223" i="11"/>
  <c r="K223" i="11"/>
  <c r="E223" i="11"/>
  <c r="O222" i="11"/>
  <c r="N222" i="11"/>
  <c r="M222" i="11"/>
  <c r="L222" i="11"/>
  <c r="K222" i="11"/>
  <c r="E222" i="11"/>
  <c r="O221" i="11"/>
  <c r="N221" i="11"/>
  <c r="M221" i="11"/>
  <c r="L221" i="11"/>
  <c r="K221" i="11"/>
  <c r="E221" i="11"/>
  <c r="O220" i="11"/>
  <c r="N220" i="11"/>
  <c r="M220" i="11"/>
  <c r="L220" i="11"/>
  <c r="K220" i="11"/>
  <c r="E220" i="11"/>
  <c r="O219" i="11"/>
  <c r="N219" i="11"/>
  <c r="M219" i="11"/>
  <c r="L219" i="11"/>
  <c r="K219" i="11"/>
  <c r="E219" i="11"/>
  <c r="O218" i="11"/>
  <c r="N218" i="11"/>
  <c r="M218" i="11"/>
  <c r="L218" i="11"/>
  <c r="K218" i="11"/>
  <c r="E218" i="11"/>
  <c r="O217" i="11"/>
  <c r="N217" i="11"/>
  <c r="M217" i="11"/>
  <c r="L217" i="11"/>
  <c r="K217" i="11"/>
  <c r="E217" i="11"/>
  <c r="O216" i="11"/>
  <c r="N216" i="11"/>
  <c r="M216" i="11"/>
  <c r="L216" i="11"/>
  <c r="K216" i="11"/>
  <c r="E216" i="11"/>
  <c r="O215" i="11"/>
  <c r="N215" i="11"/>
  <c r="M215" i="11"/>
  <c r="L215" i="11"/>
  <c r="K215" i="11"/>
  <c r="E215" i="11"/>
  <c r="O214" i="11"/>
  <c r="N214" i="11"/>
  <c r="M214" i="11"/>
  <c r="L214" i="11"/>
  <c r="K214" i="11"/>
  <c r="E214" i="11"/>
  <c r="O213" i="11"/>
  <c r="N213" i="11"/>
  <c r="M213" i="11"/>
  <c r="L213" i="11"/>
  <c r="K213" i="11"/>
  <c r="E213" i="11"/>
  <c r="O212" i="11"/>
  <c r="N212" i="11"/>
  <c r="M212" i="11"/>
  <c r="L212" i="11"/>
  <c r="K212" i="11"/>
  <c r="E212" i="11"/>
  <c r="O211" i="11"/>
  <c r="N211" i="11"/>
  <c r="M211" i="11"/>
  <c r="L211" i="11"/>
  <c r="K211" i="11"/>
  <c r="E211" i="11"/>
  <c r="O210" i="11"/>
  <c r="N210" i="11"/>
  <c r="M210" i="11"/>
  <c r="L210" i="11"/>
  <c r="K210" i="11"/>
  <c r="E210" i="11"/>
  <c r="O209" i="11"/>
  <c r="N209" i="11"/>
  <c r="M209" i="11"/>
  <c r="L209" i="11"/>
  <c r="K209" i="11"/>
  <c r="E209" i="11"/>
  <c r="O208" i="11"/>
  <c r="N208" i="11"/>
  <c r="M208" i="11"/>
  <c r="L208" i="11"/>
  <c r="K208" i="11"/>
  <c r="E208" i="11"/>
  <c r="O207" i="11"/>
  <c r="N207" i="11"/>
  <c r="M207" i="11"/>
  <c r="L207" i="11"/>
  <c r="K207" i="11"/>
  <c r="E207" i="11"/>
  <c r="O206" i="11"/>
  <c r="N206" i="11"/>
  <c r="M206" i="11"/>
  <c r="L206" i="11"/>
  <c r="K206" i="11"/>
  <c r="E206" i="11"/>
  <c r="O205" i="11"/>
  <c r="N205" i="11"/>
  <c r="M205" i="11"/>
  <c r="L205" i="11"/>
  <c r="K205" i="11"/>
  <c r="E205" i="11"/>
  <c r="O204" i="11"/>
  <c r="N204" i="11"/>
  <c r="M204" i="11"/>
  <c r="L204" i="11"/>
  <c r="K204" i="11"/>
  <c r="E204" i="11"/>
  <c r="O203" i="11"/>
  <c r="N203" i="11"/>
  <c r="M203" i="11"/>
  <c r="L203" i="11"/>
  <c r="K203" i="11"/>
  <c r="E203" i="11"/>
  <c r="O202" i="11"/>
  <c r="N202" i="11"/>
  <c r="M202" i="11"/>
  <c r="L202" i="11"/>
  <c r="K202" i="11"/>
  <c r="E202" i="11"/>
  <c r="O201" i="11"/>
  <c r="N201" i="11"/>
  <c r="M201" i="11"/>
  <c r="L201" i="11"/>
  <c r="K201" i="11"/>
  <c r="E201" i="11"/>
  <c r="O200" i="11"/>
  <c r="N200" i="11"/>
  <c r="M200" i="11"/>
  <c r="L200" i="11"/>
  <c r="K200" i="11"/>
  <c r="E200" i="11"/>
  <c r="O199" i="11"/>
  <c r="N199" i="11"/>
  <c r="M199" i="11"/>
  <c r="L199" i="11"/>
  <c r="K199" i="11"/>
  <c r="E199" i="11"/>
  <c r="O198" i="11"/>
  <c r="N198" i="11"/>
  <c r="M198" i="11"/>
  <c r="L198" i="11"/>
  <c r="K198" i="11"/>
  <c r="E198" i="11"/>
  <c r="O197" i="11"/>
  <c r="N197" i="11"/>
  <c r="M197" i="11"/>
  <c r="L197" i="11"/>
  <c r="K197" i="11"/>
  <c r="E197" i="11"/>
  <c r="O196" i="11"/>
  <c r="N196" i="11"/>
  <c r="M196" i="11"/>
  <c r="L196" i="11"/>
  <c r="K196" i="11"/>
  <c r="E196" i="11"/>
  <c r="O195" i="11"/>
  <c r="N195" i="11"/>
  <c r="M195" i="11"/>
  <c r="L195" i="11"/>
  <c r="K195" i="11"/>
  <c r="E195" i="11"/>
  <c r="O194" i="11"/>
  <c r="N194" i="11"/>
  <c r="M194" i="11"/>
  <c r="L194" i="11"/>
  <c r="K194" i="11"/>
  <c r="E194" i="11"/>
  <c r="O193" i="11"/>
  <c r="N193" i="11"/>
  <c r="M193" i="11"/>
  <c r="L193" i="11"/>
  <c r="K193" i="11"/>
  <c r="E193" i="11"/>
  <c r="O192" i="11"/>
  <c r="N192" i="11"/>
  <c r="M192" i="11"/>
  <c r="L192" i="11"/>
  <c r="K192" i="11"/>
  <c r="E192" i="11"/>
  <c r="O191" i="11"/>
  <c r="N191" i="11"/>
  <c r="M191" i="11"/>
  <c r="L191" i="11"/>
  <c r="K191" i="11"/>
  <c r="E191" i="11"/>
  <c r="O190" i="11"/>
  <c r="N190" i="11"/>
  <c r="M190" i="11"/>
  <c r="L190" i="11"/>
  <c r="K190" i="11"/>
  <c r="E190" i="11"/>
  <c r="O189" i="11"/>
  <c r="N189" i="11"/>
  <c r="M189" i="11"/>
  <c r="L189" i="11"/>
  <c r="K189" i="11"/>
  <c r="E189" i="11"/>
  <c r="O188" i="11"/>
  <c r="N188" i="11"/>
  <c r="M188" i="11"/>
  <c r="L188" i="11"/>
  <c r="K188" i="11"/>
  <c r="E188" i="11"/>
  <c r="O187" i="11"/>
  <c r="N187" i="11"/>
  <c r="M187" i="11"/>
  <c r="L187" i="11"/>
  <c r="K187" i="11"/>
  <c r="E187" i="11"/>
  <c r="O186" i="11"/>
  <c r="N186" i="11"/>
  <c r="M186" i="11"/>
  <c r="L186" i="11"/>
  <c r="K186" i="11"/>
  <c r="E186" i="11"/>
  <c r="O185" i="11"/>
  <c r="N185" i="11"/>
  <c r="M185" i="11"/>
  <c r="L185" i="11"/>
  <c r="K185" i="11"/>
  <c r="E185" i="11"/>
  <c r="O184" i="11"/>
  <c r="N184" i="11"/>
  <c r="M184" i="11"/>
  <c r="L184" i="11"/>
  <c r="K184" i="11"/>
  <c r="E184" i="11"/>
  <c r="O183" i="11"/>
  <c r="N183" i="11"/>
  <c r="M183" i="11"/>
  <c r="L183" i="11"/>
  <c r="K183" i="11"/>
  <c r="E183" i="11"/>
  <c r="O182" i="11"/>
  <c r="N182" i="11"/>
  <c r="M182" i="11"/>
  <c r="L182" i="11"/>
  <c r="K182" i="11"/>
  <c r="E182" i="11"/>
  <c r="O181" i="11"/>
  <c r="N181" i="11"/>
  <c r="M181" i="11"/>
  <c r="L181" i="11"/>
  <c r="K181" i="11"/>
  <c r="E181" i="11"/>
  <c r="O180" i="11"/>
  <c r="N180" i="11"/>
  <c r="M180" i="11"/>
  <c r="L180" i="11"/>
  <c r="K180" i="11"/>
  <c r="E180" i="11"/>
  <c r="O179" i="11"/>
  <c r="N179" i="11"/>
  <c r="M179" i="11"/>
  <c r="L179" i="11"/>
  <c r="K179" i="11"/>
  <c r="E179" i="11"/>
  <c r="O178" i="11"/>
  <c r="N178" i="11"/>
  <c r="M178" i="11"/>
  <c r="L178" i="11"/>
  <c r="K178" i="11"/>
  <c r="E178" i="11"/>
  <c r="O177" i="11"/>
  <c r="N177" i="11"/>
  <c r="M177" i="11"/>
  <c r="L177" i="11"/>
  <c r="K177" i="11"/>
  <c r="E177" i="11"/>
  <c r="O176" i="11"/>
  <c r="N176" i="11"/>
  <c r="M176" i="11"/>
  <c r="L176" i="11"/>
  <c r="K176" i="11"/>
  <c r="E176" i="11"/>
  <c r="O175" i="11"/>
  <c r="N175" i="11"/>
  <c r="M175" i="11"/>
  <c r="L175" i="11"/>
  <c r="K175" i="11"/>
  <c r="E175" i="11"/>
  <c r="O174" i="11"/>
  <c r="N174" i="11"/>
  <c r="M174" i="11"/>
  <c r="L174" i="11"/>
  <c r="K174" i="11"/>
  <c r="E174" i="11"/>
  <c r="O173" i="11"/>
  <c r="N173" i="11"/>
  <c r="M173" i="11"/>
  <c r="L173" i="11"/>
  <c r="K173" i="11"/>
  <c r="E173" i="11"/>
  <c r="O172" i="11"/>
  <c r="N172" i="11"/>
  <c r="M172" i="11"/>
  <c r="L172" i="11"/>
  <c r="K172" i="11"/>
  <c r="E172" i="11"/>
  <c r="O171" i="11"/>
  <c r="N171" i="11"/>
  <c r="M171" i="11"/>
  <c r="L171" i="11"/>
  <c r="K171" i="11"/>
  <c r="E171" i="11"/>
  <c r="O170" i="11"/>
  <c r="N170" i="11"/>
  <c r="M170" i="11"/>
  <c r="L170" i="11"/>
  <c r="K170" i="11"/>
  <c r="E170" i="11"/>
  <c r="O169" i="11"/>
  <c r="N169" i="11"/>
  <c r="M169" i="11"/>
  <c r="L169" i="11"/>
  <c r="K169" i="11"/>
  <c r="E169" i="11"/>
  <c r="O168" i="11"/>
  <c r="N168" i="11"/>
  <c r="M168" i="11"/>
  <c r="L168" i="11"/>
  <c r="K168" i="11"/>
  <c r="E168" i="11"/>
  <c r="O167" i="11"/>
  <c r="N167" i="11"/>
  <c r="M167" i="11"/>
  <c r="L167" i="11"/>
  <c r="K167" i="11"/>
  <c r="E167" i="11"/>
  <c r="O166" i="11"/>
  <c r="N166" i="11"/>
  <c r="M166" i="11"/>
  <c r="L166" i="11"/>
  <c r="K166" i="11"/>
  <c r="E166" i="11"/>
  <c r="O165" i="11"/>
  <c r="N165" i="11"/>
  <c r="M165" i="11"/>
  <c r="L165" i="11"/>
  <c r="K165" i="11"/>
  <c r="E165" i="11"/>
  <c r="O164" i="11"/>
  <c r="N164" i="11"/>
  <c r="M164" i="11"/>
  <c r="L164" i="11"/>
  <c r="K164" i="11"/>
  <c r="E164" i="11"/>
  <c r="O163" i="11"/>
  <c r="N163" i="11"/>
  <c r="M163" i="11"/>
  <c r="L163" i="11"/>
  <c r="K163" i="11"/>
  <c r="E163" i="11"/>
  <c r="O162" i="11"/>
  <c r="N162" i="11"/>
  <c r="M162" i="11"/>
  <c r="L162" i="11"/>
  <c r="K162" i="11"/>
  <c r="E162" i="11"/>
  <c r="O161" i="11"/>
  <c r="N161" i="11"/>
  <c r="M161" i="11"/>
  <c r="L161" i="11"/>
  <c r="K161" i="11"/>
  <c r="E161" i="11"/>
  <c r="O160" i="11"/>
  <c r="N160" i="11"/>
  <c r="M160" i="11"/>
  <c r="L160" i="11"/>
  <c r="K160" i="11"/>
  <c r="E160" i="11"/>
  <c r="O159" i="11"/>
  <c r="N159" i="11"/>
  <c r="M159" i="11"/>
  <c r="L159" i="11"/>
  <c r="K159" i="11"/>
  <c r="E159" i="11"/>
  <c r="O158" i="11"/>
  <c r="N158" i="11"/>
  <c r="M158" i="11"/>
  <c r="L158" i="11"/>
  <c r="K158" i="11"/>
  <c r="E158" i="11"/>
  <c r="O157" i="11"/>
  <c r="N157" i="11"/>
  <c r="M157" i="11"/>
  <c r="L157" i="11"/>
  <c r="K157" i="11"/>
  <c r="E157" i="11"/>
  <c r="O156" i="11"/>
  <c r="N156" i="11"/>
  <c r="M156" i="11"/>
  <c r="L156" i="11"/>
  <c r="K156" i="11"/>
  <c r="E156" i="11"/>
  <c r="O155" i="11"/>
  <c r="N155" i="11"/>
  <c r="M155" i="11"/>
  <c r="L155" i="11"/>
  <c r="K155" i="11"/>
  <c r="E155" i="11"/>
  <c r="O154" i="11"/>
  <c r="N154" i="11"/>
  <c r="M154" i="11"/>
  <c r="L154" i="11"/>
  <c r="K154" i="11"/>
  <c r="E154" i="11"/>
  <c r="O153" i="11"/>
  <c r="N153" i="11"/>
  <c r="M153" i="11"/>
  <c r="L153" i="11"/>
  <c r="K153" i="11"/>
  <c r="E153" i="11"/>
  <c r="O152" i="11"/>
  <c r="N152" i="11"/>
  <c r="M152" i="11"/>
  <c r="L152" i="11"/>
  <c r="K152" i="11"/>
  <c r="E152" i="11"/>
  <c r="O151" i="11"/>
  <c r="N151" i="11"/>
  <c r="M151" i="11"/>
  <c r="L151" i="11"/>
  <c r="K151" i="11"/>
  <c r="E151" i="11"/>
  <c r="O150" i="11"/>
  <c r="N150" i="11"/>
  <c r="M150" i="11"/>
  <c r="L150" i="11"/>
  <c r="K150" i="11"/>
  <c r="E150" i="11"/>
  <c r="O149" i="11"/>
  <c r="N149" i="11"/>
  <c r="M149" i="11"/>
  <c r="L149" i="11"/>
  <c r="K149" i="11"/>
  <c r="E149" i="11"/>
  <c r="O148" i="11"/>
  <c r="N148" i="11"/>
  <c r="M148" i="11"/>
  <c r="L148" i="11"/>
  <c r="K148" i="11"/>
  <c r="E148" i="11"/>
  <c r="O147" i="11"/>
  <c r="N147" i="11"/>
  <c r="M147" i="11"/>
  <c r="L147" i="11"/>
  <c r="K147" i="11"/>
  <c r="E147" i="11"/>
  <c r="O146" i="11"/>
  <c r="N146" i="11"/>
  <c r="M146" i="11"/>
  <c r="L146" i="11"/>
  <c r="K146" i="11"/>
  <c r="E146" i="11"/>
  <c r="O145" i="11"/>
  <c r="N145" i="11"/>
  <c r="M145" i="11"/>
  <c r="L145" i="11"/>
  <c r="K145" i="11"/>
  <c r="E145" i="11"/>
  <c r="O144" i="11"/>
  <c r="N144" i="11"/>
  <c r="M144" i="11"/>
  <c r="L144" i="11"/>
  <c r="K144" i="11"/>
  <c r="E144" i="11"/>
  <c r="O143" i="11"/>
  <c r="N143" i="11"/>
  <c r="M143" i="11"/>
  <c r="L143" i="11"/>
  <c r="K143" i="11"/>
  <c r="E143" i="11"/>
  <c r="O142" i="11"/>
  <c r="N142" i="11"/>
  <c r="M142" i="11"/>
  <c r="L142" i="11"/>
  <c r="K142" i="11"/>
  <c r="E142" i="11"/>
  <c r="O141" i="11"/>
  <c r="N141" i="11"/>
  <c r="M141" i="11"/>
  <c r="L141" i="11"/>
  <c r="K141" i="11"/>
  <c r="E141" i="11"/>
  <c r="O140" i="11"/>
  <c r="N140" i="11"/>
  <c r="M140" i="11"/>
  <c r="L140" i="11"/>
  <c r="K140" i="11"/>
  <c r="E140" i="11"/>
  <c r="O139" i="11"/>
  <c r="N139" i="11"/>
  <c r="M139" i="11"/>
  <c r="L139" i="11"/>
  <c r="K139" i="11"/>
  <c r="E139" i="11"/>
  <c r="O138" i="11"/>
  <c r="N138" i="11"/>
  <c r="M138" i="11"/>
  <c r="L138" i="11"/>
  <c r="K138" i="11"/>
  <c r="E138" i="11"/>
  <c r="O137" i="11"/>
  <c r="N137" i="11"/>
  <c r="M137" i="11"/>
  <c r="L137" i="11"/>
  <c r="K137" i="11"/>
  <c r="E137" i="11"/>
  <c r="O136" i="11"/>
  <c r="N136" i="11"/>
  <c r="M136" i="11"/>
  <c r="L136" i="11"/>
  <c r="K136" i="11"/>
  <c r="E136" i="11"/>
  <c r="O135" i="11"/>
  <c r="N135" i="11"/>
  <c r="M135" i="11"/>
  <c r="L135" i="11"/>
  <c r="K135" i="11"/>
  <c r="E135" i="11"/>
  <c r="O134" i="11"/>
  <c r="N134" i="11"/>
  <c r="M134" i="11"/>
  <c r="L134" i="11"/>
  <c r="K134" i="11"/>
  <c r="E134" i="11"/>
  <c r="O133" i="11"/>
  <c r="N133" i="11"/>
  <c r="M133" i="11"/>
  <c r="L133" i="11"/>
  <c r="K133" i="11"/>
  <c r="E133" i="11"/>
  <c r="O132" i="11"/>
  <c r="N132" i="11"/>
  <c r="M132" i="11"/>
  <c r="L132" i="11"/>
  <c r="K132" i="11"/>
  <c r="E132" i="11"/>
  <c r="O131" i="11"/>
  <c r="N131" i="11"/>
  <c r="M131" i="11"/>
  <c r="L131" i="11"/>
  <c r="K131" i="11"/>
  <c r="E131" i="11"/>
  <c r="O130" i="11"/>
  <c r="N130" i="11"/>
  <c r="M130" i="11"/>
  <c r="L130" i="11"/>
  <c r="K130" i="11"/>
  <c r="E130" i="11"/>
  <c r="O129" i="11"/>
  <c r="N129" i="11"/>
  <c r="M129" i="11"/>
  <c r="L129" i="11"/>
  <c r="K129" i="11"/>
  <c r="E129" i="11"/>
  <c r="O128" i="11"/>
  <c r="N128" i="11"/>
  <c r="M128" i="11"/>
  <c r="L128" i="11"/>
  <c r="K128" i="11"/>
  <c r="E128" i="11"/>
  <c r="O127" i="11"/>
  <c r="N127" i="11"/>
  <c r="M127" i="11"/>
  <c r="L127" i="11"/>
  <c r="K127" i="11"/>
  <c r="E127" i="11"/>
  <c r="O126" i="11"/>
  <c r="N126" i="11"/>
  <c r="M126" i="11"/>
  <c r="L126" i="11"/>
  <c r="K126" i="11"/>
  <c r="E126" i="11"/>
  <c r="O125" i="11"/>
  <c r="N125" i="11"/>
  <c r="M125" i="11"/>
  <c r="L125" i="11"/>
  <c r="K125" i="11"/>
  <c r="E125" i="11"/>
  <c r="O124" i="11"/>
  <c r="N124" i="11"/>
  <c r="M124" i="11"/>
  <c r="L124" i="11"/>
  <c r="K124" i="11"/>
  <c r="E124" i="11"/>
  <c r="O123" i="11"/>
  <c r="N123" i="11"/>
  <c r="M123" i="11"/>
  <c r="L123" i="11"/>
  <c r="K123" i="11"/>
  <c r="E123" i="11"/>
  <c r="O122" i="11"/>
  <c r="N122" i="11"/>
  <c r="M122" i="11"/>
  <c r="L122" i="11"/>
  <c r="K122" i="11"/>
  <c r="E122" i="11"/>
  <c r="O121" i="11"/>
  <c r="N121" i="11"/>
  <c r="M121" i="11"/>
  <c r="L121" i="11"/>
  <c r="K121" i="11"/>
  <c r="E121" i="11"/>
  <c r="O120" i="11"/>
  <c r="N120" i="11"/>
  <c r="M120" i="11"/>
  <c r="L120" i="11"/>
  <c r="K120" i="11"/>
  <c r="E120" i="11"/>
  <c r="O119" i="11"/>
  <c r="N119" i="11"/>
  <c r="M119" i="11"/>
  <c r="L119" i="11"/>
  <c r="K119" i="11"/>
  <c r="E119" i="11"/>
  <c r="O118" i="11"/>
  <c r="N118" i="11"/>
  <c r="M118" i="11"/>
  <c r="L118" i="11"/>
  <c r="K118" i="11"/>
  <c r="E118" i="11"/>
  <c r="O117" i="11"/>
  <c r="N117" i="11"/>
  <c r="M117" i="11"/>
  <c r="L117" i="11"/>
  <c r="K117" i="11"/>
  <c r="E117" i="11"/>
  <c r="O116" i="11"/>
  <c r="N116" i="11"/>
  <c r="M116" i="11"/>
  <c r="L116" i="11"/>
  <c r="K116" i="11"/>
  <c r="E116" i="11"/>
  <c r="O115" i="11"/>
  <c r="N115" i="11"/>
  <c r="M115" i="11"/>
  <c r="L115" i="11"/>
  <c r="K115" i="11"/>
  <c r="E115" i="11"/>
  <c r="O114" i="11"/>
  <c r="N114" i="11"/>
  <c r="M114" i="11"/>
  <c r="L114" i="11"/>
  <c r="K114" i="11"/>
  <c r="E114" i="11"/>
  <c r="O113" i="11"/>
  <c r="N113" i="11"/>
  <c r="M113" i="11"/>
  <c r="L113" i="11"/>
  <c r="K113" i="11"/>
  <c r="E113" i="11"/>
  <c r="O112" i="11"/>
  <c r="N112" i="11"/>
  <c r="M112" i="11"/>
  <c r="L112" i="11"/>
  <c r="K112" i="11"/>
  <c r="E112" i="11"/>
  <c r="O111" i="11"/>
  <c r="N111" i="11"/>
  <c r="M111" i="11"/>
  <c r="L111" i="11"/>
  <c r="K111" i="11"/>
  <c r="E111" i="11"/>
  <c r="O110" i="11"/>
  <c r="N110" i="11"/>
  <c r="M110" i="11"/>
  <c r="L110" i="11"/>
  <c r="K110" i="11"/>
  <c r="E110" i="11"/>
  <c r="O109" i="11"/>
  <c r="N109" i="11"/>
  <c r="M109" i="11"/>
  <c r="L109" i="11"/>
  <c r="K109" i="11"/>
  <c r="E109" i="11"/>
  <c r="O108" i="11"/>
  <c r="N108" i="11"/>
  <c r="M108" i="11"/>
  <c r="L108" i="11"/>
  <c r="K108" i="11"/>
  <c r="E108" i="11"/>
  <c r="O107" i="11"/>
  <c r="N107" i="11"/>
  <c r="M107" i="11"/>
  <c r="L107" i="11"/>
  <c r="K107" i="11"/>
  <c r="E107" i="11"/>
  <c r="O106" i="11"/>
  <c r="N106" i="11"/>
  <c r="M106" i="11"/>
  <c r="L106" i="11"/>
  <c r="K106" i="11"/>
  <c r="E106" i="11"/>
  <c r="O105" i="11"/>
  <c r="N105" i="11"/>
  <c r="M105" i="11"/>
  <c r="L105" i="11"/>
  <c r="K105" i="11"/>
  <c r="E105" i="11"/>
  <c r="O104" i="11"/>
  <c r="N104" i="11"/>
  <c r="M104" i="11"/>
  <c r="L104" i="11"/>
  <c r="K104" i="11"/>
  <c r="E104" i="11"/>
  <c r="O103" i="11"/>
  <c r="N103" i="11"/>
  <c r="M103" i="11"/>
  <c r="L103" i="11"/>
  <c r="K103" i="11"/>
  <c r="E103" i="11"/>
  <c r="O102" i="11"/>
  <c r="N102" i="11"/>
  <c r="M102" i="11"/>
  <c r="L102" i="11"/>
  <c r="K102" i="11"/>
  <c r="E102" i="11"/>
  <c r="O101" i="11"/>
  <c r="N101" i="11"/>
  <c r="M101" i="11"/>
  <c r="L101" i="11"/>
  <c r="K101" i="11"/>
  <c r="E101" i="11"/>
  <c r="O100" i="11"/>
  <c r="N100" i="11"/>
  <c r="M100" i="11"/>
  <c r="L100" i="11"/>
  <c r="K100" i="11"/>
  <c r="E100" i="11"/>
  <c r="O99" i="11"/>
  <c r="N99" i="11"/>
  <c r="M99" i="11"/>
  <c r="L99" i="11"/>
  <c r="K99" i="11"/>
  <c r="E99" i="11"/>
  <c r="O98" i="11"/>
  <c r="N98" i="11"/>
  <c r="M98" i="11"/>
  <c r="L98" i="11"/>
  <c r="K98" i="11"/>
  <c r="E98" i="11"/>
  <c r="O97" i="11"/>
  <c r="N97" i="11"/>
  <c r="M97" i="11"/>
  <c r="L97" i="11"/>
  <c r="K97" i="11"/>
  <c r="E97" i="11"/>
  <c r="O96" i="11"/>
  <c r="N96" i="11"/>
  <c r="M96" i="11"/>
  <c r="L96" i="11"/>
  <c r="K96" i="11"/>
  <c r="E96" i="11"/>
  <c r="O95" i="11"/>
  <c r="N95" i="11"/>
  <c r="M95" i="11"/>
  <c r="L95" i="11"/>
  <c r="K95" i="11"/>
  <c r="E95" i="11"/>
  <c r="O94" i="11"/>
  <c r="N94" i="11"/>
  <c r="M94" i="11"/>
  <c r="L94" i="11"/>
  <c r="K94" i="11"/>
  <c r="E94" i="11"/>
  <c r="O93" i="11"/>
  <c r="N93" i="11"/>
  <c r="M93" i="11"/>
  <c r="L93" i="11"/>
  <c r="K93" i="11"/>
  <c r="E93" i="11"/>
  <c r="O92" i="11"/>
  <c r="N92" i="11"/>
  <c r="M92" i="11"/>
  <c r="L92" i="11"/>
  <c r="K92" i="11"/>
  <c r="E92" i="11"/>
  <c r="O91" i="11"/>
  <c r="N91" i="11"/>
  <c r="M91" i="11"/>
  <c r="L91" i="11"/>
  <c r="K91" i="11"/>
  <c r="E91" i="11"/>
  <c r="O90" i="11"/>
  <c r="N90" i="11"/>
  <c r="M90" i="11"/>
  <c r="L90" i="11"/>
  <c r="K90" i="11"/>
  <c r="E90" i="11"/>
  <c r="O89" i="11"/>
  <c r="N89" i="11"/>
  <c r="M89" i="11"/>
  <c r="L89" i="11"/>
  <c r="K89" i="11"/>
  <c r="E89" i="11"/>
  <c r="O88" i="11"/>
  <c r="N88" i="11"/>
  <c r="M88" i="11"/>
  <c r="L88" i="11"/>
  <c r="K88" i="11"/>
  <c r="E88" i="11"/>
  <c r="O87" i="11"/>
  <c r="N87" i="11"/>
  <c r="M87" i="11"/>
  <c r="L87" i="11"/>
  <c r="K87" i="11"/>
  <c r="E87" i="11"/>
  <c r="O86" i="11"/>
  <c r="N86" i="11"/>
  <c r="M86" i="11"/>
  <c r="L86" i="11"/>
  <c r="K86" i="11"/>
  <c r="E86" i="11"/>
  <c r="O85" i="11"/>
  <c r="N85" i="11"/>
  <c r="M85" i="11"/>
  <c r="L85" i="11"/>
  <c r="K85" i="11"/>
  <c r="E85" i="11"/>
  <c r="O84" i="11"/>
  <c r="N84" i="11"/>
  <c r="M84" i="11"/>
  <c r="L84" i="11"/>
  <c r="K84" i="11"/>
  <c r="E84" i="11"/>
  <c r="O83" i="11"/>
  <c r="N83" i="11"/>
  <c r="M83" i="11"/>
  <c r="L83" i="11"/>
  <c r="K83" i="11"/>
  <c r="E83" i="11"/>
  <c r="O82" i="11"/>
  <c r="N82" i="11"/>
  <c r="M82" i="11"/>
  <c r="L82" i="11"/>
  <c r="K82" i="11"/>
  <c r="E82" i="11"/>
  <c r="O81" i="11"/>
  <c r="N81" i="11"/>
  <c r="M81" i="11"/>
  <c r="L81" i="11"/>
  <c r="K81" i="11"/>
  <c r="E81" i="11"/>
  <c r="O80" i="11"/>
  <c r="N80" i="11"/>
  <c r="M80" i="11"/>
  <c r="L80" i="11"/>
  <c r="K80" i="11"/>
  <c r="E80" i="11"/>
  <c r="O79" i="11"/>
  <c r="N79" i="11"/>
  <c r="M79" i="11"/>
  <c r="L79" i="11"/>
  <c r="K79" i="11"/>
  <c r="E79" i="11"/>
  <c r="O78" i="11"/>
  <c r="N78" i="11"/>
  <c r="M78" i="11"/>
  <c r="L78" i="11"/>
  <c r="K78" i="11"/>
  <c r="E78" i="11"/>
  <c r="O77" i="11"/>
  <c r="N77" i="11"/>
  <c r="M77" i="11"/>
  <c r="L77" i="11"/>
  <c r="K77" i="11"/>
  <c r="E77" i="11"/>
  <c r="O76" i="11"/>
  <c r="N76" i="11"/>
  <c r="M76" i="11"/>
  <c r="L76" i="11"/>
  <c r="K76" i="11"/>
  <c r="E76" i="11"/>
  <c r="O75" i="11"/>
  <c r="N75" i="11"/>
  <c r="M75" i="11"/>
  <c r="L75" i="11"/>
  <c r="K75" i="11"/>
  <c r="E75" i="11"/>
  <c r="O74" i="11"/>
  <c r="N74" i="11"/>
  <c r="M74" i="11"/>
  <c r="L74" i="11"/>
  <c r="K74" i="11"/>
  <c r="E74" i="11"/>
  <c r="O73" i="11"/>
  <c r="N73" i="11"/>
  <c r="M73" i="11"/>
  <c r="L73" i="11"/>
  <c r="K73" i="11"/>
  <c r="E73" i="11"/>
  <c r="O72" i="11"/>
  <c r="N72" i="11"/>
  <c r="M72" i="11"/>
  <c r="L72" i="11"/>
  <c r="K72" i="11"/>
  <c r="E72" i="11"/>
  <c r="O71" i="11"/>
  <c r="N71" i="11"/>
  <c r="M71" i="11"/>
  <c r="L71" i="11"/>
  <c r="K71" i="11"/>
  <c r="E71" i="11"/>
  <c r="O70" i="11"/>
  <c r="N70" i="11"/>
  <c r="M70" i="11"/>
  <c r="L70" i="11"/>
  <c r="K70" i="11"/>
  <c r="E70" i="11"/>
  <c r="O69" i="11"/>
  <c r="N69" i="11"/>
  <c r="M69" i="11"/>
  <c r="L69" i="11"/>
  <c r="K69" i="11"/>
  <c r="E69" i="11"/>
  <c r="O68" i="11"/>
  <c r="N68" i="11"/>
  <c r="M68" i="11"/>
  <c r="L68" i="11"/>
  <c r="K68" i="11"/>
  <c r="E68" i="11"/>
  <c r="O67" i="11"/>
  <c r="N67" i="11"/>
  <c r="M67" i="11"/>
  <c r="L67" i="11"/>
  <c r="K67" i="11"/>
  <c r="E67" i="11"/>
  <c r="O66" i="11"/>
  <c r="N66" i="11"/>
  <c r="M66" i="11"/>
  <c r="L66" i="11"/>
  <c r="K66" i="11"/>
  <c r="E66" i="11"/>
  <c r="O65" i="11"/>
  <c r="N65" i="11"/>
  <c r="M65" i="11"/>
  <c r="L65" i="11"/>
  <c r="K65" i="11"/>
  <c r="E65" i="11"/>
  <c r="O64" i="11"/>
  <c r="N64" i="11"/>
  <c r="M64" i="11"/>
  <c r="L64" i="11"/>
  <c r="K64" i="11"/>
  <c r="E64" i="11"/>
  <c r="O63" i="11"/>
  <c r="N63" i="11"/>
  <c r="M63" i="11"/>
  <c r="L63" i="11"/>
  <c r="K63" i="11"/>
  <c r="E63" i="11"/>
  <c r="O62" i="11"/>
  <c r="N62" i="11"/>
  <c r="M62" i="11"/>
  <c r="L62" i="11"/>
  <c r="K62" i="11"/>
  <c r="E62" i="11"/>
  <c r="O61" i="11"/>
  <c r="N61" i="11"/>
  <c r="M61" i="11"/>
  <c r="L61" i="11"/>
  <c r="K61" i="11"/>
  <c r="E61" i="11"/>
  <c r="O60" i="11"/>
  <c r="N60" i="11"/>
  <c r="M60" i="11"/>
  <c r="L60" i="11"/>
  <c r="K60" i="11"/>
  <c r="E60" i="11"/>
  <c r="O59" i="11"/>
  <c r="N59" i="11"/>
  <c r="M59" i="11"/>
  <c r="L59" i="11"/>
  <c r="K59" i="11"/>
  <c r="E59" i="11"/>
  <c r="O58" i="11"/>
  <c r="N58" i="11"/>
  <c r="M58" i="11"/>
  <c r="L58" i="11"/>
  <c r="K58" i="11"/>
  <c r="E58" i="11"/>
  <c r="O57" i="11"/>
  <c r="N57" i="11"/>
  <c r="M57" i="11"/>
  <c r="L57" i="11"/>
  <c r="K57" i="11"/>
  <c r="E57" i="11"/>
  <c r="O56" i="11"/>
  <c r="N56" i="11"/>
  <c r="M56" i="11"/>
  <c r="L56" i="11"/>
  <c r="K56" i="11"/>
  <c r="E56" i="11"/>
  <c r="O55" i="11"/>
  <c r="N55" i="11"/>
  <c r="M55" i="11"/>
  <c r="L55" i="11"/>
  <c r="K55" i="11"/>
  <c r="E55" i="11"/>
  <c r="O54" i="11"/>
  <c r="N54" i="11"/>
  <c r="M54" i="11"/>
  <c r="L54" i="11"/>
  <c r="K54" i="11"/>
  <c r="E54" i="11"/>
  <c r="O53" i="11"/>
  <c r="N53" i="11"/>
  <c r="M53" i="11"/>
  <c r="L53" i="11"/>
  <c r="K53" i="11"/>
  <c r="E53" i="11"/>
  <c r="O52" i="11"/>
  <c r="N52" i="11"/>
  <c r="M52" i="11"/>
  <c r="L52" i="11"/>
  <c r="K52" i="11"/>
  <c r="E52" i="11"/>
  <c r="O51" i="11"/>
  <c r="N51" i="11"/>
  <c r="M51" i="11"/>
  <c r="L51" i="11"/>
  <c r="K51" i="11"/>
  <c r="E51" i="11"/>
  <c r="O50" i="11"/>
  <c r="N50" i="11"/>
  <c r="M50" i="11"/>
  <c r="L50" i="11"/>
  <c r="K50" i="11"/>
  <c r="E50" i="11"/>
  <c r="O49" i="11"/>
  <c r="N49" i="11"/>
  <c r="M49" i="11"/>
  <c r="L49" i="11"/>
  <c r="K49" i="11"/>
  <c r="E49" i="11"/>
  <c r="O48" i="11"/>
  <c r="N48" i="11"/>
  <c r="M48" i="11"/>
  <c r="L48" i="11"/>
  <c r="K48" i="11"/>
  <c r="E48" i="11"/>
  <c r="O47" i="11"/>
  <c r="N47" i="11"/>
  <c r="M47" i="11"/>
  <c r="L47" i="11"/>
  <c r="K47" i="11"/>
  <c r="E47" i="11"/>
  <c r="O46" i="11"/>
  <c r="N46" i="11"/>
  <c r="M46" i="11"/>
  <c r="L46" i="11"/>
  <c r="K46" i="11"/>
  <c r="E46" i="11"/>
  <c r="O45" i="11"/>
  <c r="N45" i="11"/>
  <c r="M45" i="11"/>
  <c r="L45" i="11"/>
  <c r="K45" i="11"/>
  <c r="E45" i="11"/>
  <c r="O44" i="11"/>
  <c r="N44" i="11"/>
  <c r="M44" i="11"/>
  <c r="L44" i="11"/>
  <c r="K44" i="11"/>
  <c r="E44" i="11"/>
  <c r="O43" i="11"/>
  <c r="N43" i="11"/>
  <c r="M43" i="11"/>
  <c r="L43" i="11"/>
  <c r="K43" i="11"/>
  <c r="E43" i="11"/>
  <c r="O42" i="11"/>
  <c r="N42" i="11"/>
  <c r="M42" i="11"/>
  <c r="L42" i="11"/>
  <c r="K42" i="11"/>
  <c r="E42" i="11"/>
  <c r="O41" i="11"/>
  <c r="N41" i="11"/>
  <c r="M41" i="11"/>
  <c r="L41" i="11"/>
  <c r="K41" i="11"/>
  <c r="E41" i="11"/>
  <c r="O40" i="11"/>
  <c r="N40" i="11"/>
  <c r="M40" i="11"/>
  <c r="L40" i="11"/>
  <c r="K40" i="11"/>
  <c r="E40" i="11"/>
  <c r="O39" i="11"/>
  <c r="N39" i="11"/>
  <c r="M39" i="11"/>
  <c r="L39" i="11"/>
  <c r="K39" i="11"/>
  <c r="E39" i="11"/>
  <c r="O38" i="11"/>
  <c r="N38" i="11"/>
  <c r="M38" i="11"/>
  <c r="L38" i="11"/>
  <c r="K38" i="11"/>
  <c r="E38" i="11"/>
  <c r="O37" i="11"/>
  <c r="N37" i="11"/>
  <c r="M37" i="11"/>
  <c r="L37" i="11"/>
  <c r="K37" i="11"/>
  <c r="E37" i="11"/>
  <c r="O36" i="11"/>
  <c r="N36" i="11"/>
  <c r="M36" i="11"/>
  <c r="L36" i="11"/>
  <c r="K36" i="11"/>
  <c r="E36" i="11"/>
  <c r="O35" i="11"/>
  <c r="N35" i="11"/>
  <c r="M35" i="11"/>
  <c r="L35" i="11"/>
  <c r="K35" i="11"/>
  <c r="E35" i="11"/>
  <c r="O34" i="11"/>
  <c r="N34" i="11"/>
  <c r="M34" i="11"/>
  <c r="L34" i="11"/>
  <c r="K34" i="11"/>
  <c r="E34" i="11"/>
  <c r="O33" i="11"/>
  <c r="N33" i="11"/>
  <c r="M33" i="11"/>
  <c r="L33" i="11"/>
  <c r="K33" i="11"/>
  <c r="E33" i="11"/>
  <c r="O32" i="11"/>
  <c r="N32" i="11"/>
  <c r="M32" i="11"/>
  <c r="L32" i="11"/>
  <c r="K32" i="11"/>
  <c r="E32" i="11"/>
  <c r="O31" i="11"/>
  <c r="N31" i="11"/>
  <c r="M31" i="11"/>
  <c r="L31" i="11"/>
  <c r="K31" i="11"/>
  <c r="E31" i="11"/>
  <c r="O30" i="11"/>
  <c r="N30" i="11"/>
  <c r="M30" i="11"/>
  <c r="L30" i="11"/>
  <c r="K30" i="11"/>
  <c r="E30" i="11"/>
  <c r="O29" i="11"/>
  <c r="N29" i="11"/>
  <c r="M29" i="11"/>
  <c r="L29" i="11"/>
  <c r="K29" i="11"/>
  <c r="E29" i="11"/>
  <c r="O28" i="11"/>
  <c r="N28" i="11"/>
  <c r="M28" i="11"/>
  <c r="L28" i="11"/>
  <c r="K28" i="11"/>
  <c r="E28" i="11"/>
  <c r="O27" i="11"/>
  <c r="N27" i="11"/>
  <c r="M27" i="11"/>
  <c r="L27" i="11"/>
  <c r="K27" i="11"/>
  <c r="E27" i="11"/>
  <c r="O26" i="11"/>
  <c r="N26" i="11"/>
  <c r="M26" i="11"/>
  <c r="L26" i="11"/>
  <c r="K26" i="11"/>
  <c r="E26" i="11"/>
  <c r="O25" i="11"/>
  <c r="N25" i="11"/>
  <c r="M25" i="11"/>
  <c r="L25" i="11"/>
  <c r="K25" i="11"/>
  <c r="E25" i="11"/>
  <c r="O24" i="11"/>
  <c r="N24" i="11"/>
  <c r="M24" i="11"/>
  <c r="L24" i="11"/>
  <c r="K24" i="11"/>
  <c r="E24" i="11"/>
  <c r="O23" i="11"/>
  <c r="N23" i="11"/>
  <c r="M23" i="11"/>
  <c r="L23" i="11"/>
  <c r="K23" i="11"/>
  <c r="E23" i="11"/>
  <c r="O22" i="11"/>
  <c r="N22" i="11"/>
  <c r="M22" i="11"/>
  <c r="L22" i="11"/>
  <c r="K22" i="11"/>
  <c r="E22" i="11"/>
  <c r="O21" i="11"/>
  <c r="N21" i="11"/>
  <c r="M21" i="11"/>
  <c r="L21" i="11"/>
  <c r="K21" i="11"/>
  <c r="E21" i="11"/>
  <c r="O20" i="11"/>
  <c r="N20" i="11"/>
  <c r="M20" i="11"/>
  <c r="L20" i="11"/>
  <c r="K20" i="11"/>
  <c r="E20" i="11"/>
  <c r="O19" i="11"/>
  <c r="N19" i="11"/>
  <c r="M19" i="11"/>
  <c r="L19" i="11"/>
  <c r="K19" i="11"/>
  <c r="E19" i="11"/>
  <c r="O18" i="11"/>
  <c r="N18" i="11"/>
  <c r="M18" i="11"/>
  <c r="L18" i="11"/>
  <c r="K18" i="11"/>
  <c r="E18" i="11"/>
  <c r="O17" i="11"/>
  <c r="N17" i="11"/>
  <c r="M17" i="11"/>
  <c r="L17" i="11"/>
  <c r="K17" i="11"/>
  <c r="E17" i="11"/>
  <c r="O16" i="11"/>
  <c r="N16" i="11"/>
  <c r="M16" i="11"/>
  <c r="L16" i="11"/>
  <c r="K16" i="11"/>
  <c r="E16" i="11"/>
  <c r="O15" i="11"/>
  <c r="N15" i="11"/>
  <c r="M15" i="11"/>
  <c r="L15" i="11"/>
  <c r="K15" i="11"/>
  <c r="E15" i="11"/>
  <c r="O14" i="11"/>
  <c r="N14" i="11"/>
  <c r="M14" i="11"/>
  <c r="L14" i="11"/>
  <c r="K14" i="11"/>
  <c r="E14" i="11"/>
  <c r="O13" i="11"/>
  <c r="N13" i="11"/>
  <c r="M13" i="11"/>
  <c r="L13" i="11"/>
  <c r="K13" i="11"/>
  <c r="E13" i="11"/>
  <c r="O12" i="11"/>
  <c r="N12" i="11"/>
  <c r="M12" i="11"/>
  <c r="L12" i="11"/>
  <c r="K12" i="11"/>
  <c r="E12" i="11"/>
  <c r="O11" i="11"/>
  <c r="N11" i="11"/>
  <c r="M11" i="11"/>
  <c r="L11" i="11"/>
  <c r="K11" i="11"/>
  <c r="E11" i="11"/>
  <c r="O10" i="11"/>
  <c r="N10" i="11"/>
  <c r="M10" i="11"/>
  <c r="L10" i="11"/>
  <c r="K10" i="11"/>
  <c r="E10" i="11"/>
  <c r="O9" i="11"/>
  <c r="N9" i="11"/>
  <c r="M9" i="11"/>
  <c r="L9" i="11"/>
  <c r="K9" i="11"/>
  <c r="E9" i="11"/>
  <c r="O8" i="11"/>
  <c r="N8" i="11"/>
  <c r="M8" i="11"/>
  <c r="L8" i="11"/>
  <c r="K8" i="11"/>
  <c r="E8" i="11"/>
  <c r="O7" i="11"/>
  <c r="N7" i="11"/>
  <c r="M7" i="11"/>
  <c r="L7" i="11"/>
  <c r="K7" i="11"/>
  <c r="E7" i="11"/>
  <c r="O6" i="11"/>
  <c r="N6" i="11"/>
  <c r="M6" i="11"/>
  <c r="L6" i="11"/>
  <c r="K6" i="11"/>
  <c r="E6" i="11"/>
  <c r="O5" i="11"/>
  <c r="N5" i="11"/>
  <c r="M5" i="11"/>
  <c r="L5" i="11"/>
  <c r="K5" i="11"/>
  <c r="E5" i="11"/>
  <c r="O4" i="11"/>
  <c r="N4" i="11"/>
  <c r="M4" i="11"/>
  <c r="L4" i="11"/>
  <c r="K4" i="11"/>
  <c r="E4" i="11"/>
  <c r="O3" i="11"/>
  <c r="N3" i="11"/>
  <c r="M3" i="11"/>
  <c r="L3" i="11"/>
  <c r="K3" i="11"/>
  <c r="E3" i="11"/>
  <c r="O2" i="11"/>
  <c r="F2" i="6" s="1"/>
  <c r="N2" i="11"/>
  <c r="M2" i="11"/>
  <c r="L2" i="11"/>
  <c r="K2" i="11"/>
  <c r="E2" i="11"/>
  <c r="G111" i="10"/>
  <c r="H111" i="10" s="1"/>
  <c r="J111" i="10" s="1"/>
  <c r="F111" i="10"/>
  <c r="G110" i="10"/>
  <c r="H110" i="10" s="1"/>
  <c r="J110" i="10" s="1"/>
  <c r="F110" i="10"/>
  <c r="G109" i="10"/>
  <c r="H109" i="10" s="1"/>
  <c r="J109" i="10" s="1"/>
  <c r="F109" i="10"/>
  <c r="G108" i="10"/>
  <c r="H108" i="10" s="1"/>
  <c r="J108" i="10" s="1"/>
  <c r="F108" i="10"/>
  <c r="G107" i="10"/>
  <c r="H107" i="10" s="1"/>
  <c r="J107" i="10" s="1"/>
  <c r="F107" i="10"/>
  <c r="G106" i="10"/>
  <c r="H106" i="10" s="1"/>
  <c r="J106" i="10" s="1"/>
  <c r="F106" i="10"/>
  <c r="G105" i="10"/>
  <c r="H105" i="10" s="1"/>
  <c r="J105" i="10" s="1"/>
  <c r="F105" i="10"/>
  <c r="G104" i="10"/>
  <c r="H104" i="10" s="1"/>
  <c r="J104" i="10" s="1"/>
  <c r="F104" i="10"/>
  <c r="G103" i="10"/>
  <c r="H103" i="10" s="1"/>
  <c r="J103" i="10" s="1"/>
  <c r="F103" i="10"/>
  <c r="G102" i="10"/>
  <c r="H102" i="10" s="1"/>
  <c r="J102" i="10" s="1"/>
  <c r="F102" i="10"/>
  <c r="G101" i="10"/>
  <c r="H101" i="10" s="1"/>
  <c r="J101" i="10" s="1"/>
  <c r="F101" i="10"/>
  <c r="G100" i="10"/>
  <c r="H100" i="10" s="1"/>
  <c r="J100" i="10" s="1"/>
  <c r="F100" i="10"/>
  <c r="G99" i="10"/>
  <c r="H99" i="10" s="1"/>
  <c r="J99" i="10" s="1"/>
  <c r="F99" i="10"/>
  <c r="G98" i="10"/>
  <c r="H98" i="10" s="1"/>
  <c r="J98" i="10" s="1"/>
  <c r="F98" i="10"/>
  <c r="G97" i="10"/>
  <c r="H97" i="10" s="1"/>
  <c r="J97" i="10" s="1"/>
  <c r="F97" i="10"/>
  <c r="G96" i="10"/>
  <c r="H96" i="10" s="1"/>
  <c r="J96" i="10" s="1"/>
  <c r="F96" i="10"/>
  <c r="G95" i="10"/>
  <c r="H95" i="10" s="1"/>
  <c r="J95" i="10" s="1"/>
  <c r="F95" i="10"/>
  <c r="G94" i="10"/>
  <c r="H94" i="10" s="1"/>
  <c r="J94" i="10" s="1"/>
  <c r="F94" i="10"/>
  <c r="G93" i="10"/>
  <c r="H93" i="10" s="1"/>
  <c r="J93" i="10" s="1"/>
  <c r="F93" i="10"/>
  <c r="G92" i="10"/>
  <c r="H92" i="10" s="1"/>
  <c r="J92" i="10" s="1"/>
  <c r="F92" i="10"/>
  <c r="G91" i="10"/>
  <c r="H91" i="10" s="1"/>
  <c r="J91" i="10" s="1"/>
  <c r="F91" i="10"/>
  <c r="G90" i="10"/>
  <c r="H90" i="10" s="1"/>
  <c r="J90" i="10" s="1"/>
  <c r="F90" i="10"/>
  <c r="G89" i="10"/>
  <c r="H89" i="10" s="1"/>
  <c r="J89" i="10" s="1"/>
  <c r="F89" i="10"/>
  <c r="G88" i="10"/>
  <c r="H88" i="10" s="1"/>
  <c r="J88" i="10" s="1"/>
  <c r="F88" i="10"/>
  <c r="G87" i="10"/>
  <c r="H87" i="10" s="1"/>
  <c r="J87" i="10" s="1"/>
  <c r="F87" i="10"/>
  <c r="G86" i="10"/>
  <c r="H86" i="10" s="1"/>
  <c r="J86" i="10" s="1"/>
  <c r="F86" i="10"/>
  <c r="G85" i="10"/>
  <c r="H85" i="10" s="1"/>
  <c r="J85" i="10" s="1"/>
  <c r="F85" i="10"/>
  <c r="G84" i="10"/>
  <c r="H84" i="10" s="1"/>
  <c r="J84" i="10" s="1"/>
  <c r="F84" i="10"/>
  <c r="G83" i="10"/>
  <c r="H83" i="10" s="1"/>
  <c r="J83" i="10" s="1"/>
  <c r="F83" i="10"/>
  <c r="G82" i="10"/>
  <c r="H82" i="10" s="1"/>
  <c r="J82" i="10" s="1"/>
  <c r="F82" i="10"/>
  <c r="G81" i="10"/>
  <c r="H81" i="10" s="1"/>
  <c r="J81" i="10" s="1"/>
  <c r="F81" i="10"/>
  <c r="G80" i="10"/>
  <c r="H80" i="10" s="1"/>
  <c r="J80" i="10" s="1"/>
  <c r="F80" i="10"/>
  <c r="G79" i="10"/>
  <c r="H79" i="10" s="1"/>
  <c r="J79" i="10" s="1"/>
  <c r="F79" i="10"/>
  <c r="G78" i="10"/>
  <c r="H78" i="10" s="1"/>
  <c r="J78" i="10" s="1"/>
  <c r="F78" i="10"/>
  <c r="G77" i="10"/>
  <c r="H77" i="10" s="1"/>
  <c r="J77" i="10" s="1"/>
  <c r="F77" i="10"/>
  <c r="G76" i="10"/>
  <c r="H76" i="10" s="1"/>
  <c r="J76" i="10" s="1"/>
  <c r="F76" i="10"/>
  <c r="G75" i="10"/>
  <c r="H75" i="10" s="1"/>
  <c r="J75" i="10" s="1"/>
  <c r="F75" i="10"/>
  <c r="G74" i="10"/>
  <c r="H74" i="10" s="1"/>
  <c r="J74" i="10" s="1"/>
  <c r="F74" i="10"/>
  <c r="G73" i="10"/>
  <c r="H73" i="10" s="1"/>
  <c r="J73" i="10" s="1"/>
  <c r="F73" i="10"/>
  <c r="G72" i="10"/>
  <c r="H72" i="10" s="1"/>
  <c r="J72" i="10" s="1"/>
  <c r="F72" i="10"/>
  <c r="G71" i="10"/>
  <c r="H71" i="10" s="1"/>
  <c r="J71" i="10" s="1"/>
  <c r="F71" i="10"/>
  <c r="G70" i="10"/>
  <c r="H70" i="10" s="1"/>
  <c r="J70" i="10" s="1"/>
  <c r="F70" i="10"/>
  <c r="G69" i="10"/>
  <c r="H69" i="10" s="1"/>
  <c r="J69" i="10" s="1"/>
  <c r="F69" i="10"/>
  <c r="G68" i="10"/>
  <c r="H68" i="10" s="1"/>
  <c r="J68" i="10" s="1"/>
  <c r="F68" i="10"/>
  <c r="G67" i="10"/>
  <c r="H67" i="10" s="1"/>
  <c r="J67" i="10" s="1"/>
  <c r="F67" i="10"/>
  <c r="G66" i="10"/>
  <c r="H66" i="10" s="1"/>
  <c r="J66" i="10" s="1"/>
  <c r="F66" i="10"/>
  <c r="G65" i="10"/>
  <c r="H65" i="10" s="1"/>
  <c r="J65" i="10" s="1"/>
  <c r="F65" i="10"/>
  <c r="G64" i="10"/>
  <c r="H64" i="10" s="1"/>
  <c r="J64" i="10" s="1"/>
  <c r="F64" i="10"/>
  <c r="G63" i="10"/>
  <c r="H63" i="10" s="1"/>
  <c r="J63" i="10" s="1"/>
  <c r="F63" i="10"/>
  <c r="G62" i="10"/>
  <c r="H62" i="10" s="1"/>
  <c r="J62" i="10" s="1"/>
  <c r="F62" i="10"/>
  <c r="F55" i="10"/>
  <c r="F54" i="10"/>
  <c r="F53" i="10"/>
  <c r="F52" i="10"/>
  <c r="F51" i="10"/>
  <c r="F50" i="10"/>
  <c r="F49" i="10"/>
  <c r="F48" i="10"/>
  <c r="F47" i="10"/>
  <c r="F46" i="10"/>
  <c r="F45" i="10"/>
  <c r="F44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F6" i="10"/>
  <c r="Y800" i="9"/>
  <c r="X800" i="9"/>
  <c r="W800" i="9"/>
  <c r="V800" i="9"/>
  <c r="U800" i="9"/>
  <c r="S800" i="9"/>
  <c r="Z800" i="9" s="1"/>
  <c r="L800" i="9"/>
  <c r="I800" i="9"/>
  <c r="G800" i="9"/>
  <c r="F800" i="9"/>
  <c r="E800" i="9"/>
  <c r="Y799" i="9"/>
  <c r="X799" i="9"/>
  <c r="W799" i="9"/>
  <c r="V799" i="9"/>
  <c r="U799" i="9"/>
  <c r="S799" i="9"/>
  <c r="Z799" i="9" s="1"/>
  <c r="L799" i="9"/>
  <c r="I799" i="9"/>
  <c r="G799" i="9"/>
  <c r="F799" i="9"/>
  <c r="E799" i="9"/>
  <c r="Y798" i="9"/>
  <c r="X798" i="9"/>
  <c r="W798" i="9"/>
  <c r="V798" i="9"/>
  <c r="U798" i="9"/>
  <c r="S798" i="9"/>
  <c r="Z798" i="9" s="1"/>
  <c r="L798" i="9"/>
  <c r="I798" i="9"/>
  <c r="G798" i="9"/>
  <c r="F798" i="9"/>
  <c r="E798" i="9"/>
  <c r="Y797" i="9"/>
  <c r="X797" i="9"/>
  <c r="W797" i="9"/>
  <c r="V797" i="9"/>
  <c r="U797" i="9"/>
  <c r="S797" i="9"/>
  <c r="Z797" i="9" s="1"/>
  <c r="L797" i="9"/>
  <c r="I797" i="9"/>
  <c r="G797" i="9"/>
  <c r="F797" i="9"/>
  <c r="E797" i="9"/>
  <c r="Y796" i="9"/>
  <c r="X796" i="9"/>
  <c r="W796" i="9"/>
  <c r="V796" i="9"/>
  <c r="U796" i="9"/>
  <c r="S796" i="9"/>
  <c r="Z796" i="9" s="1"/>
  <c r="L796" i="9"/>
  <c r="I796" i="9"/>
  <c r="G796" i="9"/>
  <c r="F796" i="9"/>
  <c r="E796" i="9"/>
  <c r="Y795" i="9"/>
  <c r="X795" i="9"/>
  <c r="W795" i="9"/>
  <c r="V795" i="9"/>
  <c r="U795" i="9"/>
  <c r="S795" i="9"/>
  <c r="Z795" i="9" s="1"/>
  <c r="L795" i="9"/>
  <c r="I795" i="9"/>
  <c r="G795" i="9"/>
  <c r="F795" i="9"/>
  <c r="E795" i="9"/>
  <c r="Y794" i="9"/>
  <c r="X794" i="9"/>
  <c r="W794" i="9"/>
  <c r="V794" i="9"/>
  <c r="U794" i="9"/>
  <c r="S794" i="9"/>
  <c r="Z794" i="9" s="1"/>
  <c r="L794" i="9"/>
  <c r="I794" i="9"/>
  <c r="G794" i="9"/>
  <c r="F794" i="9"/>
  <c r="E794" i="9"/>
  <c r="Y793" i="9"/>
  <c r="X793" i="9"/>
  <c r="W793" i="9"/>
  <c r="V793" i="9"/>
  <c r="U793" i="9"/>
  <c r="S793" i="9"/>
  <c r="Z793" i="9" s="1"/>
  <c r="L793" i="9"/>
  <c r="I793" i="9"/>
  <c r="G793" i="9"/>
  <c r="F793" i="9"/>
  <c r="E793" i="9"/>
  <c r="Y792" i="9"/>
  <c r="X792" i="9"/>
  <c r="W792" i="9"/>
  <c r="V792" i="9"/>
  <c r="U792" i="9"/>
  <c r="S792" i="9"/>
  <c r="Z792" i="9" s="1"/>
  <c r="L792" i="9"/>
  <c r="I792" i="9"/>
  <c r="G792" i="9"/>
  <c r="F792" i="9"/>
  <c r="E792" i="9"/>
  <c r="Y791" i="9"/>
  <c r="X791" i="9"/>
  <c r="W791" i="9"/>
  <c r="V791" i="9"/>
  <c r="U791" i="9"/>
  <c r="S791" i="9"/>
  <c r="Z791" i="9" s="1"/>
  <c r="L791" i="9"/>
  <c r="I791" i="9"/>
  <c r="G791" i="9"/>
  <c r="F791" i="9"/>
  <c r="E791" i="9"/>
  <c r="Y790" i="9"/>
  <c r="X790" i="9"/>
  <c r="W790" i="9"/>
  <c r="V790" i="9"/>
  <c r="U790" i="9"/>
  <c r="S790" i="9"/>
  <c r="Z790" i="9" s="1"/>
  <c r="L790" i="9"/>
  <c r="I790" i="9"/>
  <c r="G790" i="9"/>
  <c r="F790" i="9"/>
  <c r="E790" i="9"/>
  <c r="Y789" i="9"/>
  <c r="X789" i="9"/>
  <c r="W789" i="9"/>
  <c r="V789" i="9"/>
  <c r="U789" i="9"/>
  <c r="S789" i="9"/>
  <c r="Z789" i="9" s="1"/>
  <c r="L789" i="9"/>
  <c r="I789" i="9"/>
  <c r="G789" i="9"/>
  <c r="F789" i="9"/>
  <c r="E789" i="9"/>
  <c r="Y788" i="9"/>
  <c r="X788" i="9"/>
  <c r="W788" i="9"/>
  <c r="V788" i="9"/>
  <c r="U788" i="9"/>
  <c r="S788" i="9"/>
  <c r="Z788" i="9" s="1"/>
  <c r="L788" i="9"/>
  <c r="I788" i="9"/>
  <c r="G788" i="9"/>
  <c r="F788" i="9"/>
  <c r="E788" i="9"/>
  <c r="Y787" i="9"/>
  <c r="X787" i="9"/>
  <c r="W787" i="9"/>
  <c r="V787" i="9"/>
  <c r="U787" i="9"/>
  <c r="S787" i="9"/>
  <c r="Z787" i="9" s="1"/>
  <c r="L787" i="9"/>
  <c r="I787" i="9"/>
  <c r="G787" i="9"/>
  <c r="F787" i="9"/>
  <c r="E787" i="9"/>
  <c r="Y786" i="9"/>
  <c r="X786" i="9"/>
  <c r="W786" i="9"/>
  <c r="V786" i="9"/>
  <c r="U786" i="9"/>
  <c r="S786" i="9"/>
  <c r="Z786" i="9" s="1"/>
  <c r="L786" i="9"/>
  <c r="I786" i="9"/>
  <c r="G786" i="9"/>
  <c r="F786" i="9"/>
  <c r="E786" i="9"/>
  <c r="Y785" i="9"/>
  <c r="X785" i="9"/>
  <c r="W785" i="9"/>
  <c r="V785" i="9"/>
  <c r="U785" i="9"/>
  <c r="S785" i="9"/>
  <c r="Z785" i="9" s="1"/>
  <c r="L785" i="9"/>
  <c r="I785" i="9"/>
  <c r="G785" i="9"/>
  <c r="F785" i="9"/>
  <c r="E785" i="9"/>
  <c r="Y784" i="9"/>
  <c r="X784" i="9"/>
  <c r="W784" i="9"/>
  <c r="V784" i="9"/>
  <c r="U784" i="9"/>
  <c r="S784" i="9"/>
  <c r="Z784" i="9" s="1"/>
  <c r="L784" i="9"/>
  <c r="I784" i="9"/>
  <c r="G784" i="9"/>
  <c r="F784" i="9"/>
  <c r="E784" i="9"/>
  <c r="Y783" i="9"/>
  <c r="X783" i="9"/>
  <c r="W783" i="9"/>
  <c r="V783" i="9"/>
  <c r="U783" i="9"/>
  <c r="S783" i="9"/>
  <c r="Z783" i="9" s="1"/>
  <c r="L783" i="9"/>
  <c r="I783" i="9"/>
  <c r="G783" i="9"/>
  <c r="F783" i="9"/>
  <c r="E783" i="9"/>
  <c r="Y782" i="9"/>
  <c r="X782" i="9"/>
  <c r="W782" i="9"/>
  <c r="V782" i="9"/>
  <c r="U782" i="9"/>
  <c r="S782" i="9"/>
  <c r="Z782" i="9" s="1"/>
  <c r="L782" i="9"/>
  <c r="I782" i="9"/>
  <c r="G782" i="9"/>
  <c r="F782" i="9"/>
  <c r="E782" i="9"/>
  <c r="Y781" i="9"/>
  <c r="X781" i="9"/>
  <c r="W781" i="9"/>
  <c r="V781" i="9"/>
  <c r="U781" i="9"/>
  <c r="S781" i="9"/>
  <c r="Z781" i="9" s="1"/>
  <c r="L781" i="9"/>
  <c r="I781" i="9"/>
  <c r="G781" i="9"/>
  <c r="F781" i="9"/>
  <c r="E781" i="9"/>
  <c r="Y780" i="9"/>
  <c r="X780" i="9"/>
  <c r="W780" i="9"/>
  <c r="V780" i="9"/>
  <c r="U780" i="9"/>
  <c r="S780" i="9"/>
  <c r="Z780" i="9" s="1"/>
  <c r="L780" i="9"/>
  <c r="I780" i="9"/>
  <c r="G780" i="9"/>
  <c r="F780" i="9"/>
  <c r="E780" i="9"/>
  <c r="Y779" i="9"/>
  <c r="X779" i="9"/>
  <c r="W779" i="9"/>
  <c r="V779" i="9"/>
  <c r="U779" i="9"/>
  <c r="S779" i="9"/>
  <c r="Z779" i="9" s="1"/>
  <c r="L779" i="9"/>
  <c r="I779" i="9"/>
  <c r="G779" i="9"/>
  <c r="F779" i="9"/>
  <c r="E779" i="9"/>
  <c r="Y778" i="9"/>
  <c r="X778" i="9"/>
  <c r="W778" i="9"/>
  <c r="V778" i="9"/>
  <c r="U778" i="9"/>
  <c r="S778" i="9"/>
  <c r="Z778" i="9" s="1"/>
  <c r="L778" i="9"/>
  <c r="I778" i="9"/>
  <c r="G778" i="9"/>
  <c r="F778" i="9"/>
  <c r="E778" i="9"/>
  <c r="Y777" i="9"/>
  <c r="X777" i="9"/>
  <c r="W777" i="9"/>
  <c r="V777" i="9"/>
  <c r="U777" i="9"/>
  <c r="S777" i="9"/>
  <c r="Z777" i="9" s="1"/>
  <c r="L777" i="9"/>
  <c r="I777" i="9"/>
  <c r="G777" i="9"/>
  <c r="F777" i="9"/>
  <c r="E777" i="9"/>
  <c r="Y776" i="9"/>
  <c r="X776" i="9"/>
  <c r="W776" i="9"/>
  <c r="V776" i="9"/>
  <c r="U776" i="9"/>
  <c r="S776" i="9"/>
  <c r="Z776" i="9" s="1"/>
  <c r="L776" i="9"/>
  <c r="I776" i="9"/>
  <c r="G776" i="9"/>
  <c r="F776" i="9"/>
  <c r="E776" i="9"/>
  <c r="Y775" i="9"/>
  <c r="X775" i="9"/>
  <c r="W775" i="9"/>
  <c r="V775" i="9"/>
  <c r="U775" i="9"/>
  <c r="S775" i="9"/>
  <c r="Z775" i="9" s="1"/>
  <c r="L775" i="9"/>
  <c r="I775" i="9"/>
  <c r="G775" i="9"/>
  <c r="F775" i="9"/>
  <c r="E775" i="9"/>
  <c r="Y774" i="9"/>
  <c r="X774" i="9"/>
  <c r="W774" i="9"/>
  <c r="V774" i="9"/>
  <c r="U774" i="9"/>
  <c r="S774" i="9"/>
  <c r="Z774" i="9" s="1"/>
  <c r="L774" i="9"/>
  <c r="I774" i="9"/>
  <c r="G774" i="9"/>
  <c r="F774" i="9"/>
  <c r="E774" i="9"/>
  <c r="Y773" i="9"/>
  <c r="X773" i="9"/>
  <c r="W773" i="9"/>
  <c r="V773" i="9"/>
  <c r="U773" i="9"/>
  <c r="S773" i="9"/>
  <c r="Z773" i="9" s="1"/>
  <c r="L773" i="9"/>
  <c r="I773" i="9"/>
  <c r="G773" i="9"/>
  <c r="F773" i="9"/>
  <c r="E773" i="9"/>
  <c r="Y772" i="9"/>
  <c r="X772" i="9"/>
  <c r="W772" i="9"/>
  <c r="V772" i="9"/>
  <c r="U772" i="9"/>
  <c r="S772" i="9"/>
  <c r="Z772" i="9" s="1"/>
  <c r="L772" i="9"/>
  <c r="I772" i="9"/>
  <c r="G772" i="9"/>
  <c r="F772" i="9"/>
  <c r="E772" i="9"/>
  <c r="Y771" i="9"/>
  <c r="X771" i="9"/>
  <c r="W771" i="9"/>
  <c r="V771" i="9"/>
  <c r="U771" i="9"/>
  <c r="S771" i="9"/>
  <c r="Z771" i="9" s="1"/>
  <c r="L771" i="9"/>
  <c r="I771" i="9"/>
  <c r="G771" i="9"/>
  <c r="F771" i="9"/>
  <c r="E771" i="9"/>
  <c r="Y770" i="9"/>
  <c r="X770" i="9"/>
  <c r="W770" i="9"/>
  <c r="V770" i="9"/>
  <c r="U770" i="9"/>
  <c r="S770" i="9"/>
  <c r="Z770" i="9" s="1"/>
  <c r="L770" i="9"/>
  <c r="I770" i="9"/>
  <c r="G770" i="9"/>
  <c r="F770" i="9"/>
  <c r="E770" i="9"/>
  <c r="Y769" i="9"/>
  <c r="X769" i="9"/>
  <c r="W769" i="9"/>
  <c r="V769" i="9"/>
  <c r="U769" i="9"/>
  <c r="S769" i="9"/>
  <c r="Z769" i="9" s="1"/>
  <c r="L769" i="9"/>
  <c r="I769" i="9"/>
  <c r="G769" i="9"/>
  <c r="F769" i="9"/>
  <c r="E769" i="9"/>
  <c r="Y768" i="9"/>
  <c r="X768" i="9"/>
  <c r="W768" i="9"/>
  <c r="V768" i="9"/>
  <c r="U768" i="9"/>
  <c r="S768" i="9"/>
  <c r="Z768" i="9" s="1"/>
  <c r="L768" i="9"/>
  <c r="I768" i="9"/>
  <c r="G768" i="9"/>
  <c r="F768" i="9"/>
  <c r="E768" i="9"/>
  <c r="Y767" i="9"/>
  <c r="X767" i="9"/>
  <c r="W767" i="9"/>
  <c r="V767" i="9"/>
  <c r="U767" i="9"/>
  <c r="S767" i="9"/>
  <c r="Z767" i="9" s="1"/>
  <c r="L767" i="9"/>
  <c r="I767" i="9"/>
  <c r="G767" i="9"/>
  <c r="F767" i="9"/>
  <c r="E767" i="9"/>
  <c r="Y766" i="9"/>
  <c r="X766" i="9"/>
  <c r="W766" i="9"/>
  <c r="V766" i="9"/>
  <c r="U766" i="9"/>
  <c r="S766" i="9"/>
  <c r="Z766" i="9" s="1"/>
  <c r="L766" i="9"/>
  <c r="I766" i="9"/>
  <c r="G766" i="9"/>
  <c r="F766" i="9"/>
  <c r="E766" i="9"/>
  <c r="Y765" i="9"/>
  <c r="X765" i="9"/>
  <c r="W765" i="9"/>
  <c r="V765" i="9"/>
  <c r="U765" i="9"/>
  <c r="S765" i="9"/>
  <c r="Z765" i="9" s="1"/>
  <c r="L765" i="9"/>
  <c r="I765" i="9"/>
  <c r="G765" i="9"/>
  <c r="F765" i="9"/>
  <c r="E765" i="9"/>
  <c r="Y764" i="9"/>
  <c r="X764" i="9"/>
  <c r="W764" i="9"/>
  <c r="V764" i="9"/>
  <c r="U764" i="9"/>
  <c r="S764" i="9"/>
  <c r="Z764" i="9" s="1"/>
  <c r="L764" i="9"/>
  <c r="I764" i="9"/>
  <c r="G764" i="9"/>
  <c r="F764" i="9"/>
  <c r="E764" i="9"/>
  <c r="Y763" i="9"/>
  <c r="X763" i="9"/>
  <c r="W763" i="9"/>
  <c r="V763" i="9"/>
  <c r="U763" i="9"/>
  <c r="S763" i="9"/>
  <c r="Z763" i="9" s="1"/>
  <c r="L763" i="9"/>
  <c r="I763" i="9"/>
  <c r="G763" i="9"/>
  <c r="F763" i="9"/>
  <c r="E763" i="9"/>
  <c r="Y762" i="9"/>
  <c r="X762" i="9"/>
  <c r="W762" i="9"/>
  <c r="V762" i="9"/>
  <c r="U762" i="9"/>
  <c r="S762" i="9"/>
  <c r="Z762" i="9" s="1"/>
  <c r="L762" i="9"/>
  <c r="I762" i="9"/>
  <c r="G762" i="9"/>
  <c r="F762" i="9"/>
  <c r="E762" i="9"/>
  <c r="Y761" i="9"/>
  <c r="X761" i="9"/>
  <c r="W761" i="9"/>
  <c r="V761" i="9"/>
  <c r="U761" i="9"/>
  <c r="S761" i="9"/>
  <c r="Z761" i="9" s="1"/>
  <c r="L761" i="9"/>
  <c r="I761" i="9"/>
  <c r="G761" i="9"/>
  <c r="F761" i="9"/>
  <c r="E761" i="9"/>
  <c r="Y760" i="9"/>
  <c r="X760" i="9"/>
  <c r="W760" i="9"/>
  <c r="V760" i="9"/>
  <c r="U760" i="9"/>
  <c r="S760" i="9"/>
  <c r="Z760" i="9" s="1"/>
  <c r="L760" i="9"/>
  <c r="I760" i="9"/>
  <c r="G760" i="9"/>
  <c r="F760" i="9"/>
  <c r="E760" i="9"/>
  <c r="Y759" i="9"/>
  <c r="X759" i="9"/>
  <c r="W759" i="9"/>
  <c r="V759" i="9"/>
  <c r="U759" i="9"/>
  <c r="S759" i="9"/>
  <c r="Z759" i="9" s="1"/>
  <c r="L759" i="9"/>
  <c r="I759" i="9"/>
  <c r="G759" i="9"/>
  <c r="F759" i="9"/>
  <c r="E759" i="9"/>
  <c r="Y758" i="9"/>
  <c r="X758" i="9"/>
  <c r="W758" i="9"/>
  <c r="V758" i="9"/>
  <c r="U758" i="9"/>
  <c r="S758" i="9"/>
  <c r="Z758" i="9" s="1"/>
  <c r="L758" i="9"/>
  <c r="I758" i="9"/>
  <c r="G758" i="9"/>
  <c r="F758" i="9"/>
  <c r="E758" i="9"/>
  <c r="Y757" i="9"/>
  <c r="X757" i="9"/>
  <c r="W757" i="9"/>
  <c r="V757" i="9"/>
  <c r="U757" i="9"/>
  <c r="S757" i="9"/>
  <c r="Z757" i="9" s="1"/>
  <c r="L757" i="9"/>
  <c r="I757" i="9"/>
  <c r="G757" i="9"/>
  <c r="F757" i="9"/>
  <c r="E757" i="9"/>
  <c r="Y756" i="9"/>
  <c r="X756" i="9"/>
  <c r="W756" i="9"/>
  <c r="V756" i="9"/>
  <c r="U756" i="9"/>
  <c r="S756" i="9"/>
  <c r="Z756" i="9" s="1"/>
  <c r="L756" i="9"/>
  <c r="I756" i="9"/>
  <c r="G756" i="9"/>
  <c r="F756" i="9"/>
  <c r="E756" i="9"/>
  <c r="Y755" i="9"/>
  <c r="X755" i="9"/>
  <c r="W755" i="9"/>
  <c r="V755" i="9"/>
  <c r="U755" i="9"/>
  <c r="S755" i="9"/>
  <c r="Z755" i="9" s="1"/>
  <c r="L755" i="9"/>
  <c r="I755" i="9"/>
  <c r="G755" i="9"/>
  <c r="F755" i="9"/>
  <c r="E755" i="9"/>
  <c r="Y754" i="9"/>
  <c r="X754" i="9"/>
  <c r="W754" i="9"/>
  <c r="V754" i="9"/>
  <c r="U754" i="9"/>
  <c r="S754" i="9"/>
  <c r="Z754" i="9" s="1"/>
  <c r="L754" i="9"/>
  <c r="I754" i="9"/>
  <c r="G754" i="9"/>
  <c r="F754" i="9"/>
  <c r="E754" i="9"/>
  <c r="Y753" i="9"/>
  <c r="X753" i="9"/>
  <c r="W753" i="9"/>
  <c r="V753" i="9"/>
  <c r="U753" i="9"/>
  <c r="S753" i="9"/>
  <c r="Z753" i="9" s="1"/>
  <c r="L753" i="9"/>
  <c r="I753" i="9"/>
  <c r="G753" i="9"/>
  <c r="F753" i="9"/>
  <c r="E753" i="9"/>
  <c r="Y752" i="9"/>
  <c r="X752" i="9"/>
  <c r="W752" i="9"/>
  <c r="V752" i="9"/>
  <c r="U752" i="9"/>
  <c r="S752" i="9"/>
  <c r="Z752" i="9" s="1"/>
  <c r="L752" i="9"/>
  <c r="I752" i="9"/>
  <c r="G752" i="9"/>
  <c r="F752" i="9"/>
  <c r="E752" i="9"/>
  <c r="Y751" i="9"/>
  <c r="X751" i="9"/>
  <c r="W751" i="9"/>
  <c r="V751" i="9"/>
  <c r="U751" i="9"/>
  <c r="S751" i="9"/>
  <c r="Z751" i="9" s="1"/>
  <c r="L751" i="9"/>
  <c r="I751" i="9"/>
  <c r="G751" i="9"/>
  <c r="F751" i="9"/>
  <c r="E751" i="9"/>
  <c r="Y750" i="9"/>
  <c r="X750" i="9"/>
  <c r="W750" i="9"/>
  <c r="V750" i="9"/>
  <c r="U750" i="9"/>
  <c r="S750" i="9"/>
  <c r="Z750" i="9" s="1"/>
  <c r="L750" i="9"/>
  <c r="I750" i="9"/>
  <c r="G750" i="9"/>
  <c r="F750" i="9"/>
  <c r="E750" i="9"/>
  <c r="Y749" i="9"/>
  <c r="X749" i="9"/>
  <c r="W749" i="9"/>
  <c r="V749" i="9"/>
  <c r="U749" i="9"/>
  <c r="S749" i="9"/>
  <c r="Z749" i="9" s="1"/>
  <c r="L749" i="9"/>
  <c r="I749" i="9"/>
  <c r="G749" i="9"/>
  <c r="F749" i="9"/>
  <c r="E749" i="9"/>
  <c r="Y748" i="9"/>
  <c r="X748" i="9"/>
  <c r="W748" i="9"/>
  <c r="V748" i="9"/>
  <c r="U748" i="9"/>
  <c r="S748" i="9"/>
  <c r="Z748" i="9" s="1"/>
  <c r="L748" i="9"/>
  <c r="I748" i="9"/>
  <c r="G748" i="9"/>
  <c r="F748" i="9"/>
  <c r="E748" i="9"/>
  <c r="Y747" i="9"/>
  <c r="X747" i="9"/>
  <c r="W747" i="9"/>
  <c r="V747" i="9"/>
  <c r="U747" i="9"/>
  <c r="S747" i="9"/>
  <c r="Z747" i="9" s="1"/>
  <c r="L747" i="9"/>
  <c r="I747" i="9"/>
  <c r="G747" i="9"/>
  <c r="F747" i="9"/>
  <c r="E747" i="9"/>
  <c r="Y746" i="9"/>
  <c r="X746" i="9"/>
  <c r="W746" i="9"/>
  <c r="V746" i="9"/>
  <c r="U746" i="9"/>
  <c r="S746" i="9"/>
  <c r="Z746" i="9" s="1"/>
  <c r="L746" i="9"/>
  <c r="I746" i="9"/>
  <c r="G746" i="9"/>
  <c r="F746" i="9"/>
  <c r="E746" i="9"/>
  <c r="Y745" i="9"/>
  <c r="X745" i="9"/>
  <c r="W745" i="9"/>
  <c r="V745" i="9"/>
  <c r="U745" i="9"/>
  <c r="S745" i="9"/>
  <c r="Z745" i="9" s="1"/>
  <c r="L745" i="9"/>
  <c r="I745" i="9"/>
  <c r="G745" i="9"/>
  <c r="F745" i="9"/>
  <c r="E745" i="9"/>
  <c r="Y744" i="9"/>
  <c r="X744" i="9"/>
  <c r="W744" i="9"/>
  <c r="V744" i="9"/>
  <c r="U744" i="9"/>
  <c r="S744" i="9"/>
  <c r="Z744" i="9" s="1"/>
  <c r="L744" i="9"/>
  <c r="I744" i="9"/>
  <c r="G744" i="9"/>
  <c r="F744" i="9"/>
  <c r="E744" i="9"/>
  <c r="Y743" i="9"/>
  <c r="X743" i="9"/>
  <c r="W743" i="9"/>
  <c r="V743" i="9"/>
  <c r="U743" i="9"/>
  <c r="S743" i="9"/>
  <c r="Z743" i="9" s="1"/>
  <c r="L743" i="9"/>
  <c r="I743" i="9"/>
  <c r="G743" i="9"/>
  <c r="F743" i="9"/>
  <c r="E743" i="9"/>
  <c r="Y742" i="9"/>
  <c r="X742" i="9"/>
  <c r="W742" i="9"/>
  <c r="V742" i="9"/>
  <c r="U742" i="9"/>
  <c r="S742" i="9"/>
  <c r="Z742" i="9" s="1"/>
  <c r="L742" i="9"/>
  <c r="I742" i="9"/>
  <c r="G742" i="9"/>
  <c r="F742" i="9"/>
  <c r="E742" i="9"/>
  <c r="Y741" i="9"/>
  <c r="X741" i="9"/>
  <c r="W741" i="9"/>
  <c r="V741" i="9"/>
  <c r="U741" i="9"/>
  <c r="S741" i="9"/>
  <c r="Z741" i="9" s="1"/>
  <c r="L741" i="9"/>
  <c r="I741" i="9"/>
  <c r="G741" i="9"/>
  <c r="F741" i="9"/>
  <c r="E741" i="9"/>
  <c r="Y740" i="9"/>
  <c r="X740" i="9"/>
  <c r="W740" i="9"/>
  <c r="V740" i="9"/>
  <c r="U740" i="9"/>
  <c r="S740" i="9"/>
  <c r="Z740" i="9" s="1"/>
  <c r="L740" i="9"/>
  <c r="I740" i="9"/>
  <c r="G740" i="9"/>
  <c r="F740" i="9"/>
  <c r="E740" i="9"/>
  <c r="Y739" i="9"/>
  <c r="X739" i="9"/>
  <c r="W739" i="9"/>
  <c r="V739" i="9"/>
  <c r="U739" i="9"/>
  <c r="S739" i="9"/>
  <c r="Z739" i="9" s="1"/>
  <c r="L739" i="9"/>
  <c r="I739" i="9"/>
  <c r="G739" i="9"/>
  <c r="F739" i="9"/>
  <c r="E739" i="9"/>
  <c r="Y738" i="9"/>
  <c r="X738" i="9"/>
  <c r="W738" i="9"/>
  <c r="V738" i="9"/>
  <c r="U738" i="9"/>
  <c r="S738" i="9"/>
  <c r="Z738" i="9" s="1"/>
  <c r="L738" i="9"/>
  <c r="I738" i="9"/>
  <c r="G738" i="9"/>
  <c r="F738" i="9"/>
  <c r="E738" i="9"/>
  <c r="Y737" i="9"/>
  <c r="X737" i="9"/>
  <c r="W737" i="9"/>
  <c r="V737" i="9"/>
  <c r="U737" i="9"/>
  <c r="S737" i="9"/>
  <c r="Z737" i="9" s="1"/>
  <c r="L737" i="9"/>
  <c r="I737" i="9"/>
  <c r="G737" i="9"/>
  <c r="F737" i="9"/>
  <c r="E737" i="9"/>
  <c r="Y736" i="9"/>
  <c r="X736" i="9"/>
  <c r="W736" i="9"/>
  <c r="V736" i="9"/>
  <c r="U736" i="9"/>
  <c r="S736" i="9"/>
  <c r="Z736" i="9" s="1"/>
  <c r="L736" i="9"/>
  <c r="I736" i="9"/>
  <c r="G736" i="9"/>
  <c r="F736" i="9"/>
  <c r="E736" i="9"/>
  <c r="Y735" i="9"/>
  <c r="X735" i="9"/>
  <c r="W735" i="9"/>
  <c r="V735" i="9"/>
  <c r="U735" i="9"/>
  <c r="S735" i="9"/>
  <c r="Z735" i="9" s="1"/>
  <c r="L735" i="9"/>
  <c r="I735" i="9"/>
  <c r="G735" i="9"/>
  <c r="F735" i="9"/>
  <c r="E735" i="9"/>
  <c r="Y734" i="9"/>
  <c r="X734" i="9"/>
  <c r="W734" i="9"/>
  <c r="V734" i="9"/>
  <c r="U734" i="9"/>
  <c r="S734" i="9"/>
  <c r="Z734" i="9" s="1"/>
  <c r="L734" i="9"/>
  <c r="I734" i="9"/>
  <c r="G734" i="9"/>
  <c r="F734" i="9"/>
  <c r="E734" i="9"/>
  <c r="Y733" i="9"/>
  <c r="X733" i="9"/>
  <c r="W733" i="9"/>
  <c r="V733" i="9"/>
  <c r="U733" i="9"/>
  <c r="S733" i="9"/>
  <c r="Z733" i="9" s="1"/>
  <c r="L733" i="9"/>
  <c r="I733" i="9"/>
  <c r="G733" i="9"/>
  <c r="F733" i="9"/>
  <c r="E733" i="9"/>
  <c r="Y732" i="9"/>
  <c r="X732" i="9"/>
  <c r="W732" i="9"/>
  <c r="V732" i="9"/>
  <c r="U732" i="9"/>
  <c r="S732" i="9"/>
  <c r="Z732" i="9" s="1"/>
  <c r="L732" i="9"/>
  <c r="I732" i="9"/>
  <c r="G732" i="9"/>
  <c r="F732" i="9"/>
  <c r="E732" i="9"/>
  <c r="Y731" i="9"/>
  <c r="X731" i="9"/>
  <c r="W731" i="9"/>
  <c r="V731" i="9"/>
  <c r="U731" i="9"/>
  <c r="S731" i="9"/>
  <c r="Z731" i="9" s="1"/>
  <c r="L731" i="9"/>
  <c r="I731" i="9"/>
  <c r="G731" i="9"/>
  <c r="F731" i="9"/>
  <c r="E731" i="9"/>
  <c r="Y730" i="9"/>
  <c r="X730" i="9"/>
  <c r="W730" i="9"/>
  <c r="V730" i="9"/>
  <c r="U730" i="9"/>
  <c r="S730" i="9"/>
  <c r="Z730" i="9" s="1"/>
  <c r="L730" i="9"/>
  <c r="I730" i="9"/>
  <c r="G730" i="9"/>
  <c r="F730" i="9"/>
  <c r="E730" i="9"/>
  <c r="Y729" i="9"/>
  <c r="X729" i="9"/>
  <c r="W729" i="9"/>
  <c r="V729" i="9"/>
  <c r="U729" i="9"/>
  <c r="S729" i="9"/>
  <c r="Z729" i="9" s="1"/>
  <c r="L729" i="9"/>
  <c r="I729" i="9"/>
  <c r="G729" i="9"/>
  <c r="F729" i="9"/>
  <c r="E729" i="9"/>
  <c r="Y728" i="9"/>
  <c r="X728" i="9"/>
  <c r="W728" i="9"/>
  <c r="V728" i="9"/>
  <c r="U728" i="9"/>
  <c r="S728" i="9"/>
  <c r="Z728" i="9" s="1"/>
  <c r="L728" i="9"/>
  <c r="I728" i="9"/>
  <c r="G728" i="9"/>
  <c r="F728" i="9"/>
  <c r="E728" i="9"/>
  <c r="Y727" i="9"/>
  <c r="X727" i="9"/>
  <c r="W727" i="9"/>
  <c r="V727" i="9"/>
  <c r="U727" i="9"/>
  <c r="S727" i="9"/>
  <c r="Z727" i="9" s="1"/>
  <c r="L727" i="9"/>
  <c r="I727" i="9"/>
  <c r="G727" i="9"/>
  <c r="F727" i="9"/>
  <c r="E727" i="9"/>
  <c r="Y726" i="9"/>
  <c r="X726" i="9"/>
  <c r="W726" i="9"/>
  <c r="V726" i="9"/>
  <c r="U726" i="9"/>
  <c r="S726" i="9"/>
  <c r="Z726" i="9" s="1"/>
  <c r="L726" i="9"/>
  <c r="I726" i="9"/>
  <c r="G726" i="9"/>
  <c r="F726" i="9"/>
  <c r="E726" i="9"/>
  <c r="Y725" i="9"/>
  <c r="X725" i="9"/>
  <c r="W725" i="9"/>
  <c r="V725" i="9"/>
  <c r="U725" i="9"/>
  <c r="S725" i="9"/>
  <c r="Z725" i="9" s="1"/>
  <c r="L725" i="9"/>
  <c r="I725" i="9"/>
  <c r="G725" i="9"/>
  <c r="F725" i="9"/>
  <c r="E725" i="9"/>
  <c r="Y724" i="9"/>
  <c r="X724" i="9"/>
  <c r="W724" i="9"/>
  <c r="V724" i="9"/>
  <c r="U724" i="9"/>
  <c r="S724" i="9"/>
  <c r="Z724" i="9" s="1"/>
  <c r="L724" i="9"/>
  <c r="I724" i="9"/>
  <c r="G724" i="9"/>
  <c r="F724" i="9"/>
  <c r="E724" i="9"/>
  <c r="Y723" i="9"/>
  <c r="X723" i="9"/>
  <c r="W723" i="9"/>
  <c r="V723" i="9"/>
  <c r="U723" i="9"/>
  <c r="S723" i="9"/>
  <c r="Z723" i="9" s="1"/>
  <c r="L723" i="9"/>
  <c r="I723" i="9"/>
  <c r="G723" i="9"/>
  <c r="F723" i="9"/>
  <c r="E723" i="9"/>
  <c r="Y722" i="9"/>
  <c r="X722" i="9"/>
  <c r="W722" i="9"/>
  <c r="V722" i="9"/>
  <c r="U722" i="9"/>
  <c r="S722" i="9"/>
  <c r="Z722" i="9" s="1"/>
  <c r="L722" i="9"/>
  <c r="I722" i="9"/>
  <c r="G722" i="9"/>
  <c r="F722" i="9"/>
  <c r="E722" i="9"/>
  <c r="Y721" i="9"/>
  <c r="X721" i="9"/>
  <c r="W721" i="9"/>
  <c r="V721" i="9"/>
  <c r="U721" i="9"/>
  <c r="S721" i="9"/>
  <c r="Z721" i="9" s="1"/>
  <c r="L721" i="9"/>
  <c r="I721" i="9"/>
  <c r="G721" i="9"/>
  <c r="F721" i="9"/>
  <c r="E721" i="9"/>
  <c r="Y720" i="9"/>
  <c r="X720" i="9"/>
  <c r="W720" i="9"/>
  <c r="V720" i="9"/>
  <c r="U720" i="9"/>
  <c r="S720" i="9"/>
  <c r="Z720" i="9" s="1"/>
  <c r="L720" i="9"/>
  <c r="I720" i="9"/>
  <c r="G720" i="9"/>
  <c r="F720" i="9"/>
  <c r="E720" i="9"/>
  <c r="Y719" i="9"/>
  <c r="X719" i="9"/>
  <c r="W719" i="9"/>
  <c r="V719" i="9"/>
  <c r="U719" i="9"/>
  <c r="S719" i="9"/>
  <c r="Z719" i="9" s="1"/>
  <c r="L719" i="9"/>
  <c r="I719" i="9"/>
  <c r="G719" i="9"/>
  <c r="F719" i="9"/>
  <c r="E719" i="9"/>
  <c r="Y718" i="9"/>
  <c r="X718" i="9"/>
  <c r="W718" i="9"/>
  <c r="V718" i="9"/>
  <c r="U718" i="9"/>
  <c r="S718" i="9"/>
  <c r="Z718" i="9" s="1"/>
  <c r="L718" i="9"/>
  <c r="I718" i="9"/>
  <c r="G718" i="9"/>
  <c r="F718" i="9"/>
  <c r="E718" i="9"/>
  <c r="Y717" i="9"/>
  <c r="X717" i="9"/>
  <c r="W717" i="9"/>
  <c r="V717" i="9"/>
  <c r="U717" i="9"/>
  <c r="S717" i="9"/>
  <c r="Z717" i="9" s="1"/>
  <c r="L717" i="9"/>
  <c r="I717" i="9"/>
  <c r="G717" i="9"/>
  <c r="F717" i="9"/>
  <c r="E717" i="9"/>
  <c r="Y716" i="9"/>
  <c r="X716" i="9"/>
  <c r="W716" i="9"/>
  <c r="V716" i="9"/>
  <c r="U716" i="9"/>
  <c r="S716" i="9"/>
  <c r="Z716" i="9" s="1"/>
  <c r="L716" i="9"/>
  <c r="I716" i="9"/>
  <c r="G716" i="9"/>
  <c r="F716" i="9"/>
  <c r="E716" i="9"/>
  <c r="Y715" i="9"/>
  <c r="X715" i="9"/>
  <c r="W715" i="9"/>
  <c r="V715" i="9"/>
  <c r="U715" i="9"/>
  <c r="S715" i="9"/>
  <c r="Z715" i="9" s="1"/>
  <c r="L715" i="9"/>
  <c r="I715" i="9"/>
  <c r="G715" i="9"/>
  <c r="F715" i="9"/>
  <c r="E715" i="9"/>
  <c r="Y714" i="9"/>
  <c r="X714" i="9"/>
  <c r="W714" i="9"/>
  <c r="V714" i="9"/>
  <c r="U714" i="9"/>
  <c r="S714" i="9"/>
  <c r="Z714" i="9" s="1"/>
  <c r="L714" i="9"/>
  <c r="I714" i="9"/>
  <c r="G714" i="9"/>
  <c r="F714" i="9"/>
  <c r="E714" i="9"/>
  <c r="Y713" i="9"/>
  <c r="X713" i="9"/>
  <c r="W713" i="9"/>
  <c r="V713" i="9"/>
  <c r="U713" i="9"/>
  <c r="S713" i="9"/>
  <c r="Z713" i="9" s="1"/>
  <c r="L713" i="9"/>
  <c r="I713" i="9"/>
  <c r="G713" i="9"/>
  <c r="F713" i="9"/>
  <c r="E713" i="9"/>
  <c r="Y712" i="9"/>
  <c r="X712" i="9"/>
  <c r="W712" i="9"/>
  <c r="V712" i="9"/>
  <c r="U712" i="9"/>
  <c r="S712" i="9"/>
  <c r="Z712" i="9" s="1"/>
  <c r="L712" i="9"/>
  <c r="I712" i="9"/>
  <c r="G712" i="9"/>
  <c r="F712" i="9"/>
  <c r="E712" i="9"/>
  <c r="Y711" i="9"/>
  <c r="X711" i="9"/>
  <c r="W711" i="9"/>
  <c r="V711" i="9"/>
  <c r="U711" i="9"/>
  <c r="S711" i="9"/>
  <c r="Z711" i="9" s="1"/>
  <c r="L711" i="9"/>
  <c r="I711" i="9"/>
  <c r="G711" i="9"/>
  <c r="F711" i="9"/>
  <c r="E711" i="9"/>
  <c r="Y710" i="9"/>
  <c r="X710" i="9"/>
  <c r="W710" i="9"/>
  <c r="V710" i="9"/>
  <c r="U710" i="9"/>
  <c r="S710" i="9"/>
  <c r="Z710" i="9" s="1"/>
  <c r="L710" i="9"/>
  <c r="I710" i="9"/>
  <c r="G710" i="9"/>
  <c r="F710" i="9"/>
  <c r="E710" i="9"/>
  <c r="Y709" i="9"/>
  <c r="X709" i="9"/>
  <c r="W709" i="9"/>
  <c r="V709" i="9"/>
  <c r="U709" i="9"/>
  <c r="S709" i="9"/>
  <c r="Z709" i="9" s="1"/>
  <c r="L709" i="9"/>
  <c r="I709" i="9"/>
  <c r="G709" i="9"/>
  <c r="F709" i="9"/>
  <c r="E709" i="9"/>
  <c r="Y708" i="9"/>
  <c r="X708" i="9"/>
  <c r="W708" i="9"/>
  <c r="V708" i="9"/>
  <c r="U708" i="9"/>
  <c r="S708" i="9"/>
  <c r="Z708" i="9" s="1"/>
  <c r="L708" i="9"/>
  <c r="I708" i="9"/>
  <c r="G708" i="9"/>
  <c r="F708" i="9"/>
  <c r="E708" i="9"/>
  <c r="Y707" i="9"/>
  <c r="X707" i="9"/>
  <c r="W707" i="9"/>
  <c r="V707" i="9"/>
  <c r="U707" i="9"/>
  <c r="S707" i="9"/>
  <c r="Z707" i="9" s="1"/>
  <c r="L707" i="9"/>
  <c r="I707" i="9"/>
  <c r="G707" i="9"/>
  <c r="F707" i="9"/>
  <c r="E707" i="9"/>
  <c r="Y706" i="9"/>
  <c r="X706" i="9"/>
  <c r="W706" i="9"/>
  <c r="V706" i="9"/>
  <c r="U706" i="9"/>
  <c r="S706" i="9"/>
  <c r="Z706" i="9" s="1"/>
  <c r="L706" i="9"/>
  <c r="I706" i="9"/>
  <c r="G706" i="9"/>
  <c r="F706" i="9"/>
  <c r="E706" i="9"/>
  <c r="Y705" i="9"/>
  <c r="X705" i="9"/>
  <c r="W705" i="9"/>
  <c r="V705" i="9"/>
  <c r="U705" i="9"/>
  <c r="S705" i="9"/>
  <c r="Z705" i="9" s="1"/>
  <c r="L705" i="9"/>
  <c r="I705" i="9"/>
  <c r="G705" i="9"/>
  <c r="F705" i="9"/>
  <c r="E705" i="9"/>
  <c r="Y704" i="9"/>
  <c r="X704" i="9"/>
  <c r="W704" i="9"/>
  <c r="V704" i="9"/>
  <c r="U704" i="9"/>
  <c r="S704" i="9"/>
  <c r="Z704" i="9" s="1"/>
  <c r="L704" i="9"/>
  <c r="I704" i="9"/>
  <c r="G704" i="9"/>
  <c r="F704" i="9"/>
  <c r="E704" i="9"/>
  <c r="Y703" i="9"/>
  <c r="X703" i="9"/>
  <c r="W703" i="9"/>
  <c r="V703" i="9"/>
  <c r="U703" i="9"/>
  <c r="S703" i="9"/>
  <c r="Z703" i="9" s="1"/>
  <c r="L703" i="9"/>
  <c r="I703" i="9"/>
  <c r="G703" i="9"/>
  <c r="F703" i="9"/>
  <c r="E703" i="9"/>
  <c r="Y702" i="9"/>
  <c r="X702" i="9"/>
  <c r="W702" i="9"/>
  <c r="V702" i="9"/>
  <c r="U702" i="9"/>
  <c r="S702" i="9"/>
  <c r="Z702" i="9" s="1"/>
  <c r="L702" i="9"/>
  <c r="I702" i="9"/>
  <c r="G702" i="9"/>
  <c r="F702" i="9"/>
  <c r="E702" i="9"/>
  <c r="Y701" i="9"/>
  <c r="X701" i="9"/>
  <c r="W701" i="9"/>
  <c r="V701" i="9"/>
  <c r="U701" i="9"/>
  <c r="S701" i="9"/>
  <c r="Z701" i="9" s="1"/>
  <c r="L701" i="9"/>
  <c r="I701" i="9"/>
  <c r="G701" i="9"/>
  <c r="F701" i="9"/>
  <c r="E701" i="9"/>
  <c r="Y700" i="9"/>
  <c r="X700" i="9"/>
  <c r="W700" i="9"/>
  <c r="V700" i="9"/>
  <c r="U700" i="9"/>
  <c r="S700" i="9"/>
  <c r="Z700" i="9" s="1"/>
  <c r="L700" i="9"/>
  <c r="I700" i="9"/>
  <c r="G700" i="9"/>
  <c r="F700" i="9"/>
  <c r="E700" i="9"/>
  <c r="Y699" i="9"/>
  <c r="X699" i="9"/>
  <c r="W699" i="9"/>
  <c r="V699" i="9"/>
  <c r="U699" i="9"/>
  <c r="S699" i="9"/>
  <c r="Z699" i="9" s="1"/>
  <c r="L699" i="9"/>
  <c r="I699" i="9"/>
  <c r="G699" i="9"/>
  <c r="F699" i="9"/>
  <c r="E699" i="9"/>
  <c r="Y698" i="9"/>
  <c r="X698" i="9"/>
  <c r="W698" i="9"/>
  <c r="V698" i="9"/>
  <c r="U698" i="9"/>
  <c r="S698" i="9"/>
  <c r="Z698" i="9" s="1"/>
  <c r="L698" i="9"/>
  <c r="I698" i="9"/>
  <c r="G698" i="9"/>
  <c r="F698" i="9"/>
  <c r="E698" i="9"/>
  <c r="Y697" i="9"/>
  <c r="X697" i="9"/>
  <c r="W697" i="9"/>
  <c r="V697" i="9"/>
  <c r="U697" i="9"/>
  <c r="S697" i="9"/>
  <c r="Z697" i="9" s="1"/>
  <c r="L697" i="9"/>
  <c r="I697" i="9"/>
  <c r="G697" i="9"/>
  <c r="F697" i="9"/>
  <c r="E697" i="9"/>
  <c r="Y696" i="9"/>
  <c r="X696" i="9"/>
  <c r="W696" i="9"/>
  <c r="V696" i="9"/>
  <c r="U696" i="9"/>
  <c r="S696" i="9"/>
  <c r="Z696" i="9" s="1"/>
  <c r="L696" i="9"/>
  <c r="I696" i="9"/>
  <c r="G696" i="9"/>
  <c r="F696" i="9"/>
  <c r="E696" i="9"/>
  <c r="Y695" i="9"/>
  <c r="X695" i="9"/>
  <c r="W695" i="9"/>
  <c r="V695" i="9"/>
  <c r="U695" i="9"/>
  <c r="S695" i="9"/>
  <c r="Z695" i="9" s="1"/>
  <c r="L695" i="9"/>
  <c r="I695" i="9"/>
  <c r="G695" i="9"/>
  <c r="F695" i="9"/>
  <c r="E695" i="9"/>
  <c r="Y694" i="9"/>
  <c r="X694" i="9"/>
  <c r="W694" i="9"/>
  <c r="V694" i="9"/>
  <c r="U694" i="9"/>
  <c r="S694" i="9"/>
  <c r="Z694" i="9" s="1"/>
  <c r="L694" i="9"/>
  <c r="I694" i="9"/>
  <c r="G694" i="9"/>
  <c r="F694" i="9"/>
  <c r="E694" i="9"/>
  <c r="Y693" i="9"/>
  <c r="X693" i="9"/>
  <c r="W693" i="9"/>
  <c r="V693" i="9"/>
  <c r="U693" i="9"/>
  <c r="S693" i="9"/>
  <c r="Z693" i="9" s="1"/>
  <c r="L693" i="9"/>
  <c r="I693" i="9"/>
  <c r="G693" i="9"/>
  <c r="F693" i="9"/>
  <c r="E693" i="9"/>
  <c r="Y692" i="9"/>
  <c r="X692" i="9"/>
  <c r="W692" i="9"/>
  <c r="V692" i="9"/>
  <c r="U692" i="9"/>
  <c r="S692" i="9"/>
  <c r="Z692" i="9" s="1"/>
  <c r="L692" i="9"/>
  <c r="I692" i="9"/>
  <c r="G692" i="9"/>
  <c r="F692" i="9"/>
  <c r="E692" i="9"/>
  <c r="Y691" i="9"/>
  <c r="X691" i="9"/>
  <c r="W691" i="9"/>
  <c r="V691" i="9"/>
  <c r="U691" i="9"/>
  <c r="S691" i="9"/>
  <c r="Z691" i="9" s="1"/>
  <c r="L691" i="9"/>
  <c r="I691" i="9"/>
  <c r="G691" i="9"/>
  <c r="F691" i="9"/>
  <c r="E691" i="9"/>
  <c r="Y690" i="9"/>
  <c r="X690" i="9"/>
  <c r="W690" i="9"/>
  <c r="V690" i="9"/>
  <c r="U690" i="9"/>
  <c r="S690" i="9"/>
  <c r="Z690" i="9" s="1"/>
  <c r="L690" i="9"/>
  <c r="I690" i="9"/>
  <c r="G690" i="9"/>
  <c r="F690" i="9"/>
  <c r="E690" i="9"/>
  <c r="Y689" i="9"/>
  <c r="X689" i="9"/>
  <c r="W689" i="9"/>
  <c r="V689" i="9"/>
  <c r="U689" i="9"/>
  <c r="S689" i="9"/>
  <c r="Z689" i="9" s="1"/>
  <c r="L689" i="9"/>
  <c r="I689" i="9"/>
  <c r="G689" i="9"/>
  <c r="F689" i="9"/>
  <c r="E689" i="9"/>
  <c r="Y688" i="9"/>
  <c r="X688" i="9"/>
  <c r="W688" i="9"/>
  <c r="V688" i="9"/>
  <c r="U688" i="9"/>
  <c r="S688" i="9"/>
  <c r="Z688" i="9" s="1"/>
  <c r="L688" i="9"/>
  <c r="I688" i="9"/>
  <c r="G688" i="9"/>
  <c r="F688" i="9"/>
  <c r="E688" i="9"/>
  <c r="Y687" i="9"/>
  <c r="X687" i="9"/>
  <c r="W687" i="9"/>
  <c r="V687" i="9"/>
  <c r="U687" i="9"/>
  <c r="S687" i="9"/>
  <c r="Z687" i="9" s="1"/>
  <c r="L687" i="9"/>
  <c r="I687" i="9"/>
  <c r="G687" i="9"/>
  <c r="F687" i="9"/>
  <c r="E687" i="9"/>
  <c r="Y686" i="9"/>
  <c r="X686" i="9"/>
  <c r="W686" i="9"/>
  <c r="V686" i="9"/>
  <c r="U686" i="9"/>
  <c r="S686" i="9"/>
  <c r="Z686" i="9" s="1"/>
  <c r="L686" i="9"/>
  <c r="I686" i="9"/>
  <c r="G686" i="9"/>
  <c r="F686" i="9"/>
  <c r="E686" i="9"/>
  <c r="Y685" i="9"/>
  <c r="X685" i="9"/>
  <c r="W685" i="9"/>
  <c r="V685" i="9"/>
  <c r="U685" i="9"/>
  <c r="S685" i="9"/>
  <c r="Z685" i="9" s="1"/>
  <c r="L685" i="9"/>
  <c r="I685" i="9"/>
  <c r="G685" i="9"/>
  <c r="F685" i="9"/>
  <c r="E685" i="9"/>
  <c r="Y684" i="9"/>
  <c r="X684" i="9"/>
  <c r="W684" i="9"/>
  <c r="V684" i="9"/>
  <c r="U684" i="9"/>
  <c r="S684" i="9"/>
  <c r="Z684" i="9" s="1"/>
  <c r="L684" i="9"/>
  <c r="I684" i="9"/>
  <c r="G684" i="9"/>
  <c r="F684" i="9"/>
  <c r="E684" i="9"/>
  <c r="Y683" i="9"/>
  <c r="X683" i="9"/>
  <c r="W683" i="9"/>
  <c r="V683" i="9"/>
  <c r="U683" i="9"/>
  <c r="S683" i="9"/>
  <c r="Z683" i="9" s="1"/>
  <c r="L683" i="9"/>
  <c r="I683" i="9"/>
  <c r="G683" i="9"/>
  <c r="F683" i="9"/>
  <c r="E683" i="9"/>
  <c r="Y682" i="9"/>
  <c r="X682" i="9"/>
  <c r="W682" i="9"/>
  <c r="V682" i="9"/>
  <c r="U682" i="9"/>
  <c r="S682" i="9"/>
  <c r="Z682" i="9" s="1"/>
  <c r="L682" i="9"/>
  <c r="I682" i="9"/>
  <c r="G682" i="9"/>
  <c r="F682" i="9"/>
  <c r="E682" i="9"/>
  <c r="Y681" i="9"/>
  <c r="X681" i="9"/>
  <c r="W681" i="9"/>
  <c r="V681" i="9"/>
  <c r="U681" i="9"/>
  <c r="S681" i="9"/>
  <c r="Z681" i="9" s="1"/>
  <c r="L681" i="9"/>
  <c r="I681" i="9"/>
  <c r="G681" i="9"/>
  <c r="F681" i="9"/>
  <c r="E681" i="9"/>
  <c r="Y680" i="9"/>
  <c r="X680" i="9"/>
  <c r="W680" i="9"/>
  <c r="V680" i="9"/>
  <c r="U680" i="9"/>
  <c r="S680" i="9"/>
  <c r="Z680" i="9" s="1"/>
  <c r="L680" i="9"/>
  <c r="I680" i="9"/>
  <c r="G680" i="9"/>
  <c r="F680" i="9"/>
  <c r="E680" i="9"/>
  <c r="Y679" i="9"/>
  <c r="X679" i="9"/>
  <c r="W679" i="9"/>
  <c r="V679" i="9"/>
  <c r="U679" i="9"/>
  <c r="S679" i="9"/>
  <c r="Z679" i="9" s="1"/>
  <c r="L679" i="9"/>
  <c r="I679" i="9"/>
  <c r="G679" i="9"/>
  <c r="F679" i="9"/>
  <c r="E679" i="9"/>
  <c r="Y678" i="9"/>
  <c r="X678" i="9"/>
  <c r="W678" i="9"/>
  <c r="V678" i="9"/>
  <c r="U678" i="9"/>
  <c r="S678" i="9"/>
  <c r="Z678" i="9" s="1"/>
  <c r="L678" i="9"/>
  <c r="I678" i="9"/>
  <c r="G678" i="9"/>
  <c r="F678" i="9"/>
  <c r="E678" i="9"/>
  <c r="Y677" i="9"/>
  <c r="X677" i="9"/>
  <c r="W677" i="9"/>
  <c r="V677" i="9"/>
  <c r="U677" i="9"/>
  <c r="S677" i="9"/>
  <c r="Z677" i="9" s="1"/>
  <c r="L677" i="9"/>
  <c r="I677" i="9"/>
  <c r="G677" i="9"/>
  <c r="F677" i="9"/>
  <c r="E677" i="9"/>
  <c r="Y676" i="9"/>
  <c r="X676" i="9"/>
  <c r="W676" i="9"/>
  <c r="V676" i="9"/>
  <c r="U676" i="9"/>
  <c r="S676" i="9"/>
  <c r="Z676" i="9" s="1"/>
  <c r="L676" i="9"/>
  <c r="I676" i="9"/>
  <c r="G676" i="9"/>
  <c r="F676" i="9"/>
  <c r="E676" i="9"/>
  <c r="Y675" i="9"/>
  <c r="X675" i="9"/>
  <c r="W675" i="9"/>
  <c r="V675" i="9"/>
  <c r="U675" i="9"/>
  <c r="S675" i="9"/>
  <c r="Z675" i="9" s="1"/>
  <c r="L675" i="9"/>
  <c r="I675" i="9"/>
  <c r="G675" i="9"/>
  <c r="F675" i="9"/>
  <c r="E675" i="9"/>
  <c r="Y674" i="9"/>
  <c r="X674" i="9"/>
  <c r="W674" i="9"/>
  <c r="V674" i="9"/>
  <c r="U674" i="9"/>
  <c r="S674" i="9"/>
  <c r="Z674" i="9" s="1"/>
  <c r="L674" i="9"/>
  <c r="I674" i="9"/>
  <c r="G674" i="9"/>
  <c r="F674" i="9"/>
  <c r="E674" i="9"/>
  <c r="Y673" i="9"/>
  <c r="X673" i="9"/>
  <c r="W673" i="9"/>
  <c r="V673" i="9"/>
  <c r="U673" i="9"/>
  <c r="S673" i="9"/>
  <c r="Z673" i="9" s="1"/>
  <c r="L673" i="9"/>
  <c r="I673" i="9"/>
  <c r="G673" i="9"/>
  <c r="F673" i="9"/>
  <c r="E673" i="9"/>
  <c r="Y672" i="9"/>
  <c r="X672" i="9"/>
  <c r="W672" i="9"/>
  <c r="V672" i="9"/>
  <c r="U672" i="9"/>
  <c r="S672" i="9"/>
  <c r="Z672" i="9" s="1"/>
  <c r="L672" i="9"/>
  <c r="I672" i="9"/>
  <c r="G672" i="9"/>
  <c r="F672" i="9"/>
  <c r="E672" i="9"/>
  <c r="Y671" i="9"/>
  <c r="X671" i="9"/>
  <c r="W671" i="9"/>
  <c r="V671" i="9"/>
  <c r="U671" i="9"/>
  <c r="S671" i="9"/>
  <c r="Z671" i="9" s="1"/>
  <c r="L671" i="9"/>
  <c r="I671" i="9"/>
  <c r="G671" i="9"/>
  <c r="F671" i="9"/>
  <c r="E671" i="9"/>
  <c r="Y670" i="9"/>
  <c r="X670" i="9"/>
  <c r="W670" i="9"/>
  <c r="V670" i="9"/>
  <c r="U670" i="9"/>
  <c r="S670" i="9"/>
  <c r="Z670" i="9" s="1"/>
  <c r="L670" i="9"/>
  <c r="I670" i="9"/>
  <c r="G670" i="9"/>
  <c r="F670" i="9"/>
  <c r="E670" i="9"/>
  <c r="Y669" i="9"/>
  <c r="X669" i="9"/>
  <c r="W669" i="9"/>
  <c r="V669" i="9"/>
  <c r="U669" i="9"/>
  <c r="S669" i="9"/>
  <c r="Z669" i="9" s="1"/>
  <c r="L669" i="9"/>
  <c r="I669" i="9"/>
  <c r="G669" i="9"/>
  <c r="F669" i="9"/>
  <c r="E669" i="9"/>
  <c r="Y668" i="9"/>
  <c r="X668" i="9"/>
  <c r="W668" i="9"/>
  <c r="V668" i="9"/>
  <c r="U668" i="9"/>
  <c r="S668" i="9"/>
  <c r="Z668" i="9" s="1"/>
  <c r="L668" i="9"/>
  <c r="I668" i="9"/>
  <c r="G668" i="9"/>
  <c r="F668" i="9"/>
  <c r="E668" i="9"/>
  <c r="Y667" i="9"/>
  <c r="X667" i="9"/>
  <c r="W667" i="9"/>
  <c r="V667" i="9"/>
  <c r="U667" i="9"/>
  <c r="S667" i="9"/>
  <c r="Z667" i="9" s="1"/>
  <c r="L667" i="9"/>
  <c r="I667" i="9"/>
  <c r="G667" i="9"/>
  <c r="F667" i="9"/>
  <c r="E667" i="9"/>
  <c r="Y666" i="9"/>
  <c r="X666" i="9"/>
  <c r="W666" i="9"/>
  <c r="V666" i="9"/>
  <c r="U666" i="9"/>
  <c r="S666" i="9"/>
  <c r="Z666" i="9" s="1"/>
  <c r="L666" i="9"/>
  <c r="I666" i="9"/>
  <c r="G666" i="9"/>
  <c r="F666" i="9"/>
  <c r="E666" i="9"/>
  <c r="Y665" i="9"/>
  <c r="X665" i="9"/>
  <c r="W665" i="9"/>
  <c r="V665" i="9"/>
  <c r="U665" i="9"/>
  <c r="S665" i="9"/>
  <c r="Z665" i="9" s="1"/>
  <c r="L665" i="9"/>
  <c r="I665" i="9"/>
  <c r="G665" i="9"/>
  <c r="F665" i="9"/>
  <c r="E665" i="9"/>
  <c r="Y664" i="9"/>
  <c r="X664" i="9"/>
  <c r="W664" i="9"/>
  <c r="V664" i="9"/>
  <c r="U664" i="9"/>
  <c r="S664" i="9"/>
  <c r="Z664" i="9" s="1"/>
  <c r="L664" i="9"/>
  <c r="I664" i="9"/>
  <c r="G664" i="9"/>
  <c r="F664" i="9"/>
  <c r="E664" i="9"/>
  <c r="Y663" i="9"/>
  <c r="X663" i="9"/>
  <c r="W663" i="9"/>
  <c r="V663" i="9"/>
  <c r="U663" i="9"/>
  <c r="S663" i="9"/>
  <c r="Z663" i="9" s="1"/>
  <c r="L663" i="9"/>
  <c r="I663" i="9"/>
  <c r="G663" i="9"/>
  <c r="F663" i="9"/>
  <c r="E663" i="9"/>
  <c r="Y662" i="9"/>
  <c r="X662" i="9"/>
  <c r="W662" i="9"/>
  <c r="V662" i="9"/>
  <c r="U662" i="9"/>
  <c r="S662" i="9"/>
  <c r="Z662" i="9" s="1"/>
  <c r="L662" i="9"/>
  <c r="I662" i="9"/>
  <c r="G662" i="9"/>
  <c r="F662" i="9"/>
  <c r="E662" i="9"/>
  <c r="Y661" i="9"/>
  <c r="X661" i="9"/>
  <c r="W661" i="9"/>
  <c r="V661" i="9"/>
  <c r="U661" i="9"/>
  <c r="S661" i="9"/>
  <c r="Z661" i="9" s="1"/>
  <c r="L661" i="9"/>
  <c r="I661" i="9"/>
  <c r="G661" i="9"/>
  <c r="F661" i="9"/>
  <c r="E661" i="9"/>
  <c r="Y660" i="9"/>
  <c r="X660" i="9"/>
  <c r="W660" i="9"/>
  <c r="V660" i="9"/>
  <c r="U660" i="9"/>
  <c r="S660" i="9"/>
  <c r="Z660" i="9" s="1"/>
  <c r="L660" i="9"/>
  <c r="I660" i="9"/>
  <c r="G660" i="9"/>
  <c r="F660" i="9"/>
  <c r="E660" i="9"/>
  <c r="Y659" i="9"/>
  <c r="X659" i="9"/>
  <c r="W659" i="9"/>
  <c r="V659" i="9"/>
  <c r="U659" i="9"/>
  <c r="S659" i="9"/>
  <c r="Z659" i="9" s="1"/>
  <c r="L659" i="9"/>
  <c r="I659" i="9"/>
  <c r="G659" i="9"/>
  <c r="F659" i="9"/>
  <c r="E659" i="9"/>
  <c r="Y658" i="9"/>
  <c r="X658" i="9"/>
  <c r="W658" i="9"/>
  <c r="V658" i="9"/>
  <c r="U658" i="9"/>
  <c r="S658" i="9"/>
  <c r="Z658" i="9" s="1"/>
  <c r="L658" i="9"/>
  <c r="I658" i="9"/>
  <c r="G658" i="9"/>
  <c r="F658" i="9"/>
  <c r="E658" i="9"/>
  <c r="Y657" i="9"/>
  <c r="X657" i="9"/>
  <c r="W657" i="9"/>
  <c r="V657" i="9"/>
  <c r="U657" i="9"/>
  <c r="S657" i="9"/>
  <c r="Z657" i="9" s="1"/>
  <c r="L657" i="9"/>
  <c r="I657" i="9"/>
  <c r="G657" i="9"/>
  <c r="F657" i="9"/>
  <c r="E657" i="9"/>
  <c r="Y656" i="9"/>
  <c r="X656" i="9"/>
  <c r="W656" i="9"/>
  <c r="V656" i="9"/>
  <c r="U656" i="9"/>
  <c r="S656" i="9"/>
  <c r="Z656" i="9" s="1"/>
  <c r="L656" i="9"/>
  <c r="I656" i="9"/>
  <c r="G656" i="9"/>
  <c r="F656" i="9"/>
  <c r="E656" i="9"/>
  <c r="Y655" i="9"/>
  <c r="X655" i="9"/>
  <c r="W655" i="9"/>
  <c r="V655" i="9"/>
  <c r="U655" i="9"/>
  <c r="S655" i="9"/>
  <c r="Z655" i="9" s="1"/>
  <c r="L655" i="9"/>
  <c r="I655" i="9"/>
  <c r="G655" i="9"/>
  <c r="F655" i="9"/>
  <c r="E655" i="9"/>
  <c r="Y654" i="9"/>
  <c r="X654" i="9"/>
  <c r="W654" i="9"/>
  <c r="V654" i="9"/>
  <c r="U654" i="9"/>
  <c r="S654" i="9"/>
  <c r="Z654" i="9" s="1"/>
  <c r="L654" i="9"/>
  <c r="I654" i="9"/>
  <c r="G654" i="9"/>
  <c r="F654" i="9"/>
  <c r="E654" i="9"/>
  <c r="Y653" i="9"/>
  <c r="X653" i="9"/>
  <c r="W653" i="9"/>
  <c r="V653" i="9"/>
  <c r="U653" i="9"/>
  <c r="S653" i="9"/>
  <c r="Z653" i="9" s="1"/>
  <c r="L653" i="9"/>
  <c r="I653" i="9"/>
  <c r="G653" i="9"/>
  <c r="F653" i="9"/>
  <c r="E653" i="9"/>
  <c r="Y652" i="9"/>
  <c r="X652" i="9"/>
  <c r="W652" i="9"/>
  <c r="V652" i="9"/>
  <c r="U652" i="9"/>
  <c r="S652" i="9"/>
  <c r="Z652" i="9" s="1"/>
  <c r="L652" i="9"/>
  <c r="I652" i="9"/>
  <c r="G652" i="9"/>
  <c r="F652" i="9"/>
  <c r="E652" i="9"/>
  <c r="Y651" i="9"/>
  <c r="X651" i="9"/>
  <c r="W651" i="9"/>
  <c r="V651" i="9"/>
  <c r="U651" i="9"/>
  <c r="S651" i="9"/>
  <c r="Z651" i="9" s="1"/>
  <c r="L651" i="9"/>
  <c r="I651" i="9"/>
  <c r="G651" i="9"/>
  <c r="F651" i="9"/>
  <c r="E651" i="9"/>
  <c r="Y650" i="9"/>
  <c r="X650" i="9"/>
  <c r="W650" i="9"/>
  <c r="V650" i="9"/>
  <c r="U650" i="9"/>
  <c r="S650" i="9"/>
  <c r="Z650" i="9" s="1"/>
  <c r="L650" i="9"/>
  <c r="I650" i="9"/>
  <c r="G650" i="9"/>
  <c r="F650" i="9"/>
  <c r="E650" i="9"/>
  <c r="Y649" i="9"/>
  <c r="X649" i="9"/>
  <c r="W649" i="9"/>
  <c r="V649" i="9"/>
  <c r="U649" i="9"/>
  <c r="S649" i="9"/>
  <c r="Z649" i="9" s="1"/>
  <c r="L649" i="9"/>
  <c r="I649" i="9"/>
  <c r="G649" i="9"/>
  <c r="F649" i="9"/>
  <c r="E649" i="9"/>
  <c r="Y648" i="9"/>
  <c r="X648" i="9"/>
  <c r="W648" i="9"/>
  <c r="V648" i="9"/>
  <c r="U648" i="9"/>
  <c r="S648" i="9"/>
  <c r="Z648" i="9" s="1"/>
  <c r="L648" i="9"/>
  <c r="I648" i="9"/>
  <c r="G648" i="9"/>
  <c r="F648" i="9"/>
  <c r="E648" i="9"/>
  <c r="Y647" i="9"/>
  <c r="X647" i="9"/>
  <c r="W647" i="9"/>
  <c r="V647" i="9"/>
  <c r="U647" i="9"/>
  <c r="S647" i="9"/>
  <c r="Z647" i="9" s="1"/>
  <c r="L647" i="9"/>
  <c r="I647" i="9"/>
  <c r="G647" i="9"/>
  <c r="F647" i="9"/>
  <c r="E647" i="9"/>
  <c r="Y646" i="9"/>
  <c r="X646" i="9"/>
  <c r="W646" i="9"/>
  <c r="V646" i="9"/>
  <c r="U646" i="9"/>
  <c r="S646" i="9"/>
  <c r="Z646" i="9" s="1"/>
  <c r="L646" i="9"/>
  <c r="I646" i="9"/>
  <c r="G646" i="9"/>
  <c r="F646" i="9"/>
  <c r="E646" i="9"/>
  <c r="Y645" i="9"/>
  <c r="X645" i="9"/>
  <c r="W645" i="9"/>
  <c r="V645" i="9"/>
  <c r="U645" i="9"/>
  <c r="S645" i="9"/>
  <c r="Z645" i="9" s="1"/>
  <c r="L645" i="9"/>
  <c r="I645" i="9"/>
  <c r="G645" i="9"/>
  <c r="F645" i="9"/>
  <c r="E645" i="9"/>
  <c r="Y644" i="9"/>
  <c r="X644" i="9"/>
  <c r="W644" i="9"/>
  <c r="V644" i="9"/>
  <c r="U644" i="9"/>
  <c r="S644" i="9"/>
  <c r="Z644" i="9" s="1"/>
  <c r="L644" i="9"/>
  <c r="I644" i="9"/>
  <c r="G644" i="9"/>
  <c r="F644" i="9"/>
  <c r="E644" i="9"/>
  <c r="Y643" i="9"/>
  <c r="X643" i="9"/>
  <c r="W643" i="9"/>
  <c r="V643" i="9"/>
  <c r="U643" i="9"/>
  <c r="S643" i="9"/>
  <c r="Z643" i="9" s="1"/>
  <c r="L643" i="9"/>
  <c r="I643" i="9"/>
  <c r="G643" i="9"/>
  <c r="F643" i="9"/>
  <c r="E643" i="9"/>
  <c r="Y642" i="9"/>
  <c r="X642" i="9"/>
  <c r="W642" i="9"/>
  <c r="V642" i="9"/>
  <c r="U642" i="9"/>
  <c r="S642" i="9"/>
  <c r="Z642" i="9" s="1"/>
  <c r="L642" i="9"/>
  <c r="I642" i="9"/>
  <c r="G642" i="9"/>
  <c r="F642" i="9"/>
  <c r="E642" i="9"/>
  <c r="Y641" i="9"/>
  <c r="X641" i="9"/>
  <c r="W641" i="9"/>
  <c r="V641" i="9"/>
  <c r="U641" i="9"/>
  <c r="S641" i="9"/>
  <c r="Z641" i="9" s="1"/>
  <c r="L641" i="9"/>
  <c r="I641" i="9"/>
  <c r="G641" i="9"/>
  <c r="F641" i="9"/>
  <c r="E641" i="9"/>
  <c r="Y640" i="9"/>
  <c r="X640" i="9"/>
  <c r="W640" i="9"/>
  <c r="V640" i="9"/>
  <c r="U640" i="9"/>
  <c r="S640" i="9"/>
  <c r="Z640" i="9" s="1"/>
  <c r="L640" i="9"/>
  <c r="I640" i="9"/>
  <c r="G640" i="9"/>
  <c r="F640" i="9"/>
  <c r="E640" i="9"/>
  <c r="Y639" i="9"/>
  <c r="X639" i="9"/>
  <c r="W639" i="9"/>
  <c r="V639" i="9"/>
  <c r="U639" i="9"/>
  <c r="S639" i="9"/>
  <c r="Z639" i="9" s="1"/>
  <c r="L639" i="9"/>
  <c r="I639" i="9"/>
  <c r="G639" i="9"/>
  <c r="F639" i="9"/>
  <c r="E639" i="9"/>
  <c r="Y638" i="9"/>
  <c r="X638" i="9"/>
  <c r="W638" i="9"/>
  <c r="V638" i="9"/>
  <c r="U638" i="9"/>
  <c r="S638" i="9"/>
  <c r="Z638" i="9" s="1"/>
  <c r="L638" i="9"/>
  <c r="I638" i="9"/>
  <c r="G638" i="9"/>
  <c r="F638" i="9"/>
  <c r="E638" i="9"/>
  <c r="Y637" i="9"/>
  <c r="X637" i="9"/>
  <c r="W637" i="9"/>
  <c r="V637" i="9"/>
  <c r="U637" i="9"/>
  <c r="S637" i="9"/>
  <c r="Z637" i="9" s="1"/>
  <c r="L637" i="9"/>
  <c r="I637" i="9"/>
  <c r="G637" i="9"/>
  <c r="F637" i="9"/>
  <c r="E637" i="9"/>
  <c r="Y636" i="9"/>
  <c r="X636" i="9"/>
  <c r="W636" i="9"/>
  <c r="V636" i="9"/>
  <c r="U636" i="9"/>
  <c r="S636" i="9"/>
  <c r="Z636" i="9" s="1"/>
  <c r="L636" i="9"/>
  <c r="I636" i="9"/>
  <c r="G636" i="9"/>
  <c r="F636" i="9"/>
  <c r="E636" i="9"/>
  <c r="Y635" i="9"/>
  <c r="X635" i="9"/>
  <c r="W635" i="9"/>
  <c r="V635" i="9"/>
  <c r="U635" i="9"/>
  <c r="S635" i="9"/>
  <c r="Z635" i="9" s="1"/>
  <c r="L635" i="9"/>
  <c r="I635" i="9"/>
  <c r="G635" i="9"/>
  <c r="F635" i="9"/>
  <c r="E635" i="9"/>
  <c r="Y634" i="9"/>
  <c r="X634" i="9"/>
  <c r="W634" i="9"/>
  <c r="V634" i="9"/>
  <c r="U634" i="9"/>
  <c r="S634" i="9"/>
  <c r="Z634" i="9" s="1"/>
  <c r="L634" i="9"/>
  <c r="I634" i="9"/>
  <c r="G634" i="9"/>
  <c r="F634" i="9"/>
  <c r="E634" i="9"/>
  <c r="Y633" i="9"/>
  <c r="X633" i="9"/>
  <c r="W633" i="9"/>
  <c r="V633" i="9"/>
  <c r="U633" i="9"/>
  <c r="S633" i="9"/>
  <c r="Z633" i="9" s="1"/>
  <c r="L633" i="9"/>
  <c r="I633" i="9"/>
  <c r="G633" i="9"/>
  <c r="F633" i="9"/>
  <c r="E633" i="9"/>
  <c r="Y632" i="9"/>
  <c r="X632" i="9"/>
  <c r="W632" i="9"/>
  <c r="V632" i="9"/>
  <c r="U632" i="9"/>
  <c r="S632" i="9"/>
  <c r="Z632" i="9" s="1"/>
  <c r="L632" i="9"/>
  <c r="I632" i="9"/>
  <c r="G632" i="9"/>
  <c r="F632" i="9"/>
  <c r="E632" i="9"/>
  <c r="Y631" i="9"/>
  <c r="X631" i="9"/>
  <c r="W631" i="9"/>
  <c r="V631" i="9"/>
  <c r="U631" i="9"/>
  <c r="S631" i="9"/>
  <c r="Z631" i="9" s="1"/>
  <c r="L631" i="9"/>
  <c r="I631" i="9"/>
  <c r="G631" i="9"/>
  <c r="F631" i="9"/>
  <c r="E631" i="9"/>
  <c r="Y630" i="9"/>
  <c r="X630" i="9"/>
  <c r="W630" i="9"/>
  <c r="V630" i="9"/>
  <c r="U630" i="9"/>
  <c r="S630" i="9"/>
  <c r="Z630" i="9" s="1"/>
  <c r="L630" i="9"/>
  <c r="I630" i="9"/>
  <c r="G630" i="9"/>
  <c r="F630" i="9"/>
  <c r="E630" i="9"/>
  <c r="Y629" i="9"/>
  <c r="X629" i="9"/>
  <c r="W629" i="9"/>
  <c r="V629" i="9"/>
  <c r="U629" i="9"/>
  <c r="S629" i="9"/>
  <c r="Z629" i="9" s="1"/>
  <c r="L629" i="9"/>
  <c r="I629" i="9"/>
  <c r="G629" i="9"/>
  <c r="F629" i="9"/>
  <c r="E629" i="9"/>
  <c r="Y628" i="9"/>
  <c r="X628" i="9"/>
  <c r="W628" i="9"/>
  <c r="V628" i="9"/>
  <c r="U628" i="9"/>
  <c r="S628" i="9"/>
  <c r="Z628" i="9" s="1"/>
  <c r="L628" i="9"/>
  <c r="I628" i="9"/>
  <c r="G628" i="9"/>
  <c r="F628" i="9"/>
  <c r="E628" i="9"/>
  <c r="Y627" i="9"/>
  <c r="X627" i="9"/>
  <c r="W627" i="9"/>
  <c r="V627" i="9"/>
  <c r="U627" i="9"/>
  <c r="S627" i="9"/>
  <c r="Z627" i="9" s="1"/>
  <c r="L627" i="9"/>
  <c r="I627" i="9"/>
  <c r="G627" i="9"/>
  <c r="F627" i="9"/>
  <c r="E627" i="9"/>
  <c r="Y626" i="9"/>
  <c r="X626" i="9"/>
  <c r="W626" i="9"/>
  <c r="V626" i="9"/>
  <c r="U626" i="9"/>
  <c r="S626" i="9"/>
  <c r="Z626" i="9" s="1"/>
  <c r="L626" i="9"/>
  <c r="I626" i="9"/>
  <c r="G626" i="9"/>
  <c r="F626" i="9"/>
  <c r="E626" i="9"/>
  <c r="Y625" i="9"/>
  <c r="X625" i="9"/>
  <c r="W625" i="9"/>
  <c r="V625" i="9"/>
  <c r="U625" i="9"/>
  <c r="S625" i="9"/>
  <c r="Z625" i="9" s="1"/>
  <c r="L625" i="9"/>
  <c r="I625" i="9"/>
  <c r="G625" i="9"/>
  <c r="F625" i="9"/>
  <c r="E625" i="9"/>
  <c r="Y624" i="9"/>
  <c r="X624" i="9"/>
  <c r="W624" i="9"/>
  <c r="V624" i="9"/>
  <c r="U624" i="9"/>
  <c r="S624" i="9"/>
  <c r="Z624" i="9" s="1"/>
  <c r="L624" i="9"/>
  <c r="I624" i="9"/>
  <c r="G624" i="9"/>
  <c r="F624" i="9"/>
  <c r="E624" i="9"/>
  <c r="Y623" i="9"/>
  <c r="X623" i="9"/>
  <c r="W623" i="9"/>
  <c r="V623" i="9"/>
  <c r="U623" i="9"/>
  <c r="S623" i="9"/>
  <c r="Z623" i="9" s="1"/>
  <c r="L623" i="9"/>
  <c r="I623" i="9"/>
  <c r="G623" i="9"/>
  <c r="F623" i="9"/>
  <c r="E623" i="9"/>
  <c r="Y622" i="9"/>
  <c r="X622" i="9"/>
  <c r="W622" i="9"/>
  <c r="V622" i="9"/>
  <c r="U622" i="9"/>
  <c r="S622" i="9"/>
  <c r="Z622" i="9" s="1"/>
  <c r="L622" i="9"/>
  <c r="I622" i="9"/>
  <c r="G622" i="9"/>
  <c r="F622" i="9"/>
  <c r="E622" i="9"/>
  <c r="Y621" i="9"/>
  <c r="X621" i="9"/>
  <c r="W621" i="9"/>
  <c r="V621" i="9"/>
  <c r="U621" i="9"/>
  <c r="S621" i="9"/>
  <c r="Z621" i="9" s="1"/>
  <c r="L621" i="9"/>
  <c r="I621" i="9"/>
  <c r="G621" i="9"/>
  <c r="F621" i="9"/>
  <c r="E621" i="9"/>
  <c r="Y620" i="9"/>
  <c r="X620" i="9"/>
  <c r="W620" i="9"/>
  <c r="V620" i="9"/>
  <c r="U620" i="9"/>
  <c r="S620" i="9"/>
  <c r="Z620" i="9" s="1"/>
  <c r="L620" i="9"/>
  <c r="I620" i="9"/>
  <c r="G620" i="9"/>
  <c r="F620" i="9"/>
  <c r="E620" i="9"/>
  <c r="Y619" i="9"/>
  <c r="X619" i="9"/>
  <c r="W619" i="9"/>
  <c r="V619" i="9"/>
  <c r="U619" i="9"/>
  <c r="S619" i="9"/>
  <c r="Z619" i="9" s="1"/>
  <c r="L619" i="9"/>
  <c r="I619" i="9"/>
  <c r="G619" i="9"/>
  <c r="F619" i="9"/>
  <c r="E619" i="9"/>
  <c r="Y618" i="9"/>
  <c r="X618" i="9"/>
  <c r="W618" i="9"/>
  <c r="V618" i="9"/>
  <c r="U618" i="9"/>
  <c r="S618" i="9"/>
  <c r="Z618" i="9" s="1"/>
  <c r="L618" i="9"/>
  <c r="I618" i="9"/>
  <c r="G618" i="9"/>
  <c r="F618" i="9"/>
  <c r="E618" i="9"/>
  <c r="Y617" i="9"/>
  <c r="X617" i="9"/>
  <c r="W617" i="9"/>
  <c r="V617" i="9"/>
  <c r="U617" i="9"/>
  <c r="S617" i="9"/>
  <c r="Z617" i="9" s="1"/>
  <c r="L617" i="9"/>
  <c r="I617" i="9"/>
  <c r="G617" i="9"/>
  <c r="F617" i="9"/>
  <c r="E617" i="9"/>
  <c r="Y616" i="9"/>
  <c r="X616" i="9"/>
  <c r="W616" i="9"/>
  <c r="V616" i="9"/>
  <c r="U616" i="9"/>
  <c r="S616" i="9"/>
  <c r="Z616" i="9" s="1"/>
  <c r="L616" i="9"/>
  <c r="I616" i="9"/>
  <c r="G616" i="9"/>
  <c r="F616" i="9"/>
  <c r="E616" i="9"/>
  <c r="Y615" i="9"/>
  <c r="X615" i="9"/>
  <c r="W615" i="9"/>
  <c r="V615" i="9"/>
  <c r="U615" i="9"/>
  <c r="S615" i="9"/>
  <c r="Z615" i="9" s="1"/>
  <c r="L615" i="9"/>
  <c r="I615" i="9"/>
  <c r="G615" i="9"/>
  <c r="F615" i="9"/>
  <c r="E615" i="9"/>
  <c r="Y614" i="9"/>
  <c r="X614" i="9"/>
  <c r="W614" i="9"/>
  <c r="V614" i="9"/>
  <c r="U614" i="9"/>
  <c r="S614" i="9"/>
  <c r="Z614" i="9" s="1"/>
  <c r="L614" i="9"/>
  <c r="I614" i="9"/>
  <c r="G614" i="9"/>
  <c r="F614" i="9"/>
  <c r="E614" i="9"/>
  <c r="Y613" i="9"/>
  <c r="X613" i="9"/>
  <c r="W613" i="9"/>
  <c r="V613" i="9"/>
  <c r="U613" i="9"/>
  <c r="S613" i="9"/>
  <c r="Z613" i="9" s="1"/>
  <c r="L613" i="9"/>
  <c r="I613" i="9"/>
  <c r="G613" i="9"/>
  <c r="F613" i="9"/>
  <c r="E613" i="9"/>
  <c r="Y612" i="9"/>
  <c r="X612" i="9"/>
  <c r="W612" i="9"/>
  <c r="V612" i="9"/>
  <c r="U612" i="9"/>
  <c r="S612" i="9"/>
  <c r="Z612" i="9" s="1"/>
  <c r="L612" i="9"/>
  <c r="I612" i="9"/>
  <c r="G612" i="9"/>
  <c r="F612" i="9"/>
  <c r="E612" i="9"/>
  <c r="Y611" i="9"/>
  <c r="X611" i="9"/>
  <c r="W611" i="9"/>
  <c r="V611" i="9"/>
  <c r="U611" i="9"/>
  <c r="S611" i="9"/>
  <c r="Z611" i="9" s="1"/>
  <c r="L611" i="9"/>
  <c r="I611" i="9"/>
  <c r="G611" i="9"/>
  <c r="F611" i="9"/>
  <c r="E611" i="9"/>
  <c r="Y610" i="9"/>
  <c r="X610" i="9"/>
  <c r="W610" i="9"/>
  <c r="V610" i="9"/>
  <c r="U610" i="9"/>
  <c r="S610" i="9"/>
  <c r="Z610" i="9" s="1"/>
  <c r="L610" i="9"/>
  <c r="I610" i="9"/>
  <c r="G610" i="9"/>
  <c r="F610" i="9"/>
  <c r="E610" i="9"/>
  <c r="Y609" i="9"/>
  <c r="X609" i="9"/>
  <c r="W609" i="9"/>
  <c r="V609" i="9"/>
  <c r="U609" i="9"/>
  <c r="S609" i="9"/>
  <c r="Z609" i="9" s="1"/>
  <c r="L609" i="9"/>
  <c r="I609" i="9"/>
  <c r="G609" i="9"/>
  <c r="F609" i="9"/>
  <c r="E609" i="9"/>
  <c r="Y608" i="9"/>
  <c r="X608" i="9"/>
  <c r="W608" i="9"/>
  <c r="V608" i="9"/>
  <c r="U608" i="9"/>
  <c r="S608" i="9"/>
  <c r="Z608" i="9" s="1"/>
  <c r="L608" i="9"/>
  <c r="I608" i="9"/>
  <c r="G608" i="9"/>
  <c r="F608" i="9"/>
  <c r="E608" i="9"/>
  <c r="Y607" i="9"/>
  <c r="X607" i="9"/>
  <c r="W607" i="9"/>
  <c r="V607" i="9"/>
  <c r="U607" i="9"/>
  <c r="S607" i="9"/>
  <c r="Z607" i="9" s="1"/>
  <c r="L607" i="9"/>
  <c r="I607" i="9"/>
  <c r="G607" i="9"/>
  <c r="F607" i="9"/>
  <c r="E607" i="9"/>
  <c r="Y606" i="9"/>
  <c r="X606" i="9"/>
  <c r="W606" i="9"/>
  <c r="V606" i="9"/>
  <c r="U606" i="9"/>
  <c r="S606" i="9"/>
  <c r="Z606" i="9" s="1"/>
  <c r="L606" i="9"/>
  <c r="I606" i="9"/>
  <c r="G606" i="9"/>
  <c r="F606" i="9"/>
  <c r="E606" i="9"/>
  <c r="Y605" i="9"/>
  <c r="X605" i="9"/>
  <c r="W605" i="9"/>
  <c r="V605" i="9"/>
  <c r="U605" i="9"/>
  <c r="S605" i="9"/>
  <c r="Z605" i="9" s="1"/>
  <c r="L605" i="9"/>
  <c r="I605" i="9"/>
  <c r="G605" i="9"/>
  <c r="F605" i="9"/>
  <c r="E605" i="9"/>
  <c r="Y604" i="9"/>
  <c r="X604" i="9"/>
  <c r="W604" i="9"/>
  <c r="V604" i="9"/>
  <c r="U604" i="9"/>
  <c r="S604" i="9"/>
  <c r="Z604" i="9" s="1"/>
  <c r="L604" i="9"/>
  <c r="I604" i="9"/>
  <c r="G604" i="9"/>
  <c r="F604" i="9"/>
  <c r="E604" i="9"/>
  <c r="Y603" i="9"/>
  <c r="X603" i="9"/>
  <c r="W603" i="9"/>
  <c r="V603" i="9"/>
  <c r="U603" i="9"/>
  <c r="S603" i="9"/>
  <c r="Z603" i="9" s="1"/>
  <c r="L603" i="9"/>
  <c r="I603" i="9"/>
  <c r="G603" i="9"/>
  <c r="F603" i="9"/>
  <c r="E603" i="9"/>
  <c r="Y602" i="9"/>
  <c r="X602" i="9"/>
  <c r="W602" i="9"/>
  <c r="V602" i="9"/>
  <c r="U602" i="9"/>
  <c r="S602" i="9"/>
  <c r="Z602" i="9" s="1"/>
  <c r="L602" i="9"/>
  <c r="I602" i="9"/>
  <c r="G602" i="9"/>
  <c r="F602" i="9"/>
  <c r="E602" i="9"/>
  <c r="Y601" i="9"/>
  <c r="X601" i="9"/>
  <c r="W601" i="9"/>
  <c r="V601" i="9"/>
  <c r="U601" i="9"/>
  <c r="S601" i="9"/>
  <c r="Z601" i="9" s="1"/>
  <c r="L601" i="9"/>
  <c r="I601" i="9"/>
  <c r="G601" i="9"/>
  <c r="F601" i="9"/>
  <c r="E601" i="9"/>
  <c r="Y600" i="9"/>
  <c r="X600" i="9"/>
  <c r="W600" i="9"/>
  <c r="V600" i="9"/>
  <c r="U600" i="9"/>
  <c r="S600" i="9"/>
  <c r="Z600" i="9" s="1"/>
  <c r="L600" i="9"/>
  <c r="I600" i="9"/>
  <c r="G600" i="9"/>
  <c r="F600" i="9"/>
  <c r="E600" i="9"/>
  <c r="Y599" i="9"/>
  <c r="X599" i="9"/>
  <c r="W599" i="9"/>
  <c r="V599" i="9"/>
  <c r="U599" i="9"/>
  <c r="S599" i="9"/>
  <c r="Z599" i="9" s="1"/>
  <c r="L599" i="9"/>
  <c r="I599" i="9"/>
  <c r="G599" i="9"/>
  <c r="F599" i="9"/>
  <c r="E599" i="9"/>
  <c r="Y598" i="9"/>
  <c r="X598" i="9"/>
  <c r="W598" i="9"/>
  <c r="V598" i="9"/>
  <c r="U598" i="9"/>
  <c r="S598" i="9"/>
  <c r="Z598" i="9" s="1"/>
  <c r="L598" i="9"/>
  <c r="I598" i="9"/>
  <c r="G598" i="9"/>
  <c r="F598" i="9"/>
  <c r="E598" i="9"/>
  <c r="Y597" i="9"/>
  <c r="X597" i="9"/>
  <c r="W597" i="9"/>
  <c r="V597" i="9"/>
  <c r="U597" i="9"/>
  <c r="S597" i="9"/>
  <c r="Z597" i="9" s="1"/>
  <c r="L597" i="9"/>
  <c r="I597" i="9"/>
  <c r="G597" i="9"/>
  <c r="F597" i="9"/>
  <c r="E597" i="9"/>
  <c r="Y596" i="9"/>
  <c r="X596" i="9"/>
  <c r="W596" i="9"/>
  <c r="V596" i="9"/>
  <c r="U596" i="9"/>
  <c r="S596" i="9"/>
  <c r="Z596" i="9" s="1"/>
  <c r="L596" i="9"/>
  <c r="I596" i="9"/>
  <c r="G596" i="9"/>
  <c r="F596" i="9"/>
  <c r="E596" i="9"/>
  <c r="Y595" i="9"/>
  <c r="X595" i="9"/>
  <c r="W595" i="9"/>
  <c r="V595" i="9"/>
  <c r="U595" i="9"/>
  <c r="S595" i="9"/>
  <c r="Z595" i="9" s="1"/>
  <c r="L595" i="9"/>
  <c r="I595" i="9"/>
  <c r="G595" i="9"/>
  <c r="F595" i="9"/>
  <c r="E595" i="9"/>
  <c r="Y594" i="9"/>
  <c r="X594" i="9"/>
  <c r="W594" i="9"/>
  <c r="V594" i="9"/>
  <c r="U594" i="9"/>
  <c r="S594" i="9"/>
  <c r="Z594" i="9" s="1"/>
  <c r="L594" i="9"/>
  <c r="I594" i="9"/>
  <c r="G594" i="9"/>
  <c r="F594" i="9"/>
  <c r="E594" i="9"/>
  <c r="Y593" i="9"/>
  <c r="X593" i="9"/>
  <c r="W593" i="9"/>
  <c r="V593" i="9"/>
  <c r="U593" i="9"/>
  <c r="S593" i="9"/>
  <c r="Z593" i="9" s="1"/>
  <c r="L593" i="9"/>
  <c r="I593" i="9"/>
  <c r="G593" i="9"/>
  <c r="F593" i="9"/>
  <c r="E593" i="9"/>
  <c r="Y592" i="9"/>
  <c r="X592" i="9"/>
  <c r="W592" i="9"/>
  <c r="V592" i="9"/>
  <c r="U592" i="9"/>
  <c r="S592" i="9"/>
  <c r="Z592" i="9" s="1"/>
  <c r="L592" i="9"/>
  <c r="I592" i="9"/>
  <c r="G592" i="9"/>
  <c r="F592" i="9"/>
  <c r="E592" i="9"/>
  <c r="Y591" i="9"/>
  <c r="X591" i="9"/>
  <c r="W591" i="9"/>
  <c r="V591" i="9"/>
  <c r="U591" i="9"/>
  <c r="S591" i="9"/>
  <c r="Z591" i="9" s="1"/>
  <c r="L591" i="9"/>
  <c r="I591" i="9"/>
  <c r="G591" i="9"/>
  <c r="F591" i="9"/>
  <c r="E591" i="9"/>
  <c r="Y590" i="9"/>
  <c r="X590" i="9"/>
  <c r="W590" i="9"/>
  <c r="V590" i="9"/>
  <c r="U590" i="9"/>
  <c r="S590" i="9"/>
  <c r="Z590" i="9" s="1"/>
  <c r="L590" i="9"/>
  <c r="I590" i="9"/>
  <c r="G590" i="9"/>
  <c r="F590" i="9"/>
  <c r="E590" i="9"/>
  <c r="Y589" i="9"/>
  <c r="X589" i="9"/>
  <c r="W589" i="9"/>
  <c r="V589" i="9"/>
  <c r="U589" i="9"/>
  <c r="S589" i="9"/>
  <c r="Z589" i="9" s="1"/>
  <c r="L589" i="9"/>
  <c r="I589" i="9"/>
  <c r="G589" i="9"/>
  <c r="F589" i="9"/>
  <c r="E589" i="9"/>
  <c r="Y588" i="9"/>
  <c r="X588" i="9"/>
  <c r="W588" i="9"/>
  <c r="V588" i="9"/>
  <c r="U588" i="9"/>
  <c r="S588" i="9"/>
  <c r="Z588" i="9" s="1"/>
  <c r="L588" i="9"/>
  <c r="I588" i="9"/>
  <c r="G588" i="9"/>
  <c r="F588" i="9"/>
  <c r="E588" i="9"/>
  <c r="Y587" i="9"/>
  <c r="X587" i="9"/>
  <c r="W587" i="9"/>
  <c r="V587" i="9"/>
  <c r="U587" i="9"/>
  <c r="S587" i="9"/>
  <c r="Z587" i="9" s="1"/>
  <c r="L587" i="9"/>
  <c r="I587" i="9"/>
  <c r="G587" i="9"/>
  <c r="F587" i="9"/>
  <c r="E587" i="9"/>
  <c r="Y586" i="9"/>
  <c r="X586" i="9"/>
  <c r="W586" i="9"/>
  <c r="V586" i="9"/>
  <c r="U586" i="9"/>
  <c r="S586" i="9"/>
  <c r="Z586" i="9" s="1"/>
  <c r="L586" i="9"/>
  <c r="I586" i="9"/>
  <c r="G586" i="9"/>
  <c r="F586" i="9"/>
  <c r="E586" i="9"/>
  <c r="Y585" i="9"/>
  <c r="X585" i="9"/>
  <c r="W585" i="9"/>
  <c r="V585" i="9"/>
  <c r="U585" i="9"/>
  <c r="S585" i="9"/>
  <c r="Z585" i="9" s="1"/>
  <c r="L585" i="9"/>
  <c r="I585" i="9"/>
  <c r="G585" i="9"/>
  <c r="F585" i="9"/>
  <c r="E585" i="9"/>
  <c r="Y584" i="9"/>
  <c r="X584" i="9"/>
  <c r="W584" i="9"/>
  <c r="V584" i="9"/>
  <c r="U584" i="9"/>
  <c r="S584" i="9"/>
  <c r="Z584" i="9" s="1"/>
  <c r="L584" i="9"/>
  <c r="I584" i="9"/>
  <c r="G584" i="9"/>
  <c r="F584" i="9"/>
  <c r="E584" i="9"/>
  <c r="Y583" i="9"/>
  <c r="X583" i="9"/>
  <c r="W583" i="9"/>
  <c r="V583" i="9"/>
  <c r="U583" i="9"/>
  <c r="S583" i="9"/>
  <c r="Z583" i="9" s="1"/>
  <c r="L583" i="9"/>
  <c r="I583" i="9"/>
  <c r="G583" i="9"/>
  <c r="F583" i="9"/>
  <c r="E583" i="9"/>
  <c r="Y582" i="9"/>
  <c r="X582" i="9"/>
  <c r="W582" i="9"/>
  <c r="V582" i="9"/>
  <c r="U582" i="9"/>
  <c r="S582" i="9"/>
  <c r="Z582" i="9" s="1"/>
  <c r="L582" i="9"/>
  <c r="I582" i="9"/>
  <c r="G582" i="9"/>
  <c r="F582" i="9"/>
  <c r="E582" i="9"/>
  <c r="Y581" i="9"/>
  <c r="X581" i="9"/>
  <c r="W581" i="9"/>
  <c r="V581" i="9"/>
  <c r="U581" i="9"/>
  <c r="S581" i="9"/>
  <c r="Z581" i="9" s="1"/>
  <c r="L581" i="9"/>
  <c r="I581" i="9"/>
  <c r="G581" i="9"/>
  <c r="F581" i="9"/>
  <c r="E581" i="9"/>
  <c r="Y580" i="9"/>
  <c r="X580" i="9"/>
  <c r="W580" i="9"/>
  <c r="V580" i="9"/>
  <c r="U580" i="9"/>
  <c r="S580" i="9"/>
  <c r="Z580" i="9" s="1"/>
  <c r="L580" i="9"/>
  <c r="I580" i="9"/>
  <c r="G580" i="9"/>
  <c r="F580" i="9"/>
  <c r="E580" i="9"/>
  <c r="Y579" i="9"/>
  <c r="X579" i="9"/>
  <c r="W579" i="9"/>
  <c r="V579" i="9"/>
  <c r="U579" i="9"/>
  <c r="S579" i="9"/>
  <c r="Z579" i="9" s="1"/>
  <c r="L579" i="9"/>
  <c r="I579" i="9"/>
  <c r="G579" i="9"/>
  <c r="F579" i="9"/>
  <c r="E579" i="9"/>
  <c r="Y578" i="9"/>
  <c r="X578" i="9"/>
  <c r="W578" i="9"/>
  <c r="V578" i="9"/>
  <c r="U578" i="9"/>
  <c r="S578" i="9"/>
  <c r="Z578" i="9" s="1"/>
  <c r="L578" i="9"/>
  <c r="I578" i="9"/>
  <c r="G578" i="9"/>
  <c r="F578" i="9"/>
  <c r="E578" i="9"/>
  <c r="Y577" i="9"/>
  <c r="X577" i="9"/>
  <c r="W577" i="9"/>
  <c r="V577" i="9"/>
  <c r="U577" i="9"/>
  <c r="S577" i="9"/>
  <c r="Z577" i="9" s="1"/>
  <c r="L577" i="9"/>
  <c r="I577" i="9"/>
  <c r="G577" i="9"/>
  <c r="F577" i="9"/>
  <c r="E577" i="9"/>
  <c r="Y576" i="9"/>
  <c r="X576" i="9"/>
  <c r="W576" i="9"/>
  <c r="V576" i="9"/>
  <c r="U576" i="9"/>
  <c r="S576" i="9"/>
  <c r="Z576" i="9" s="1"/>
  <c r="L576" i="9"/>
  <c r="I576" i="9"/>
  <c r="G576" i="9"/>
  <c r="F576" i="9"/>
  <c r="E576" i="9"/>
  <c r="Y575" i="9"/>
  <c r="X575" i="9"/>
  <c r="W575" i="9"/>
  <c r="V575" i="9"/>
  <c r="U575" i="9"/>
  <c r="S575" i="9"/>
  <c r="Z575" i="9" s="1"/>
  <c r="L575" i="9"/>
  <c r="I575" i="9"/>
  <c r="G575" i="9"/>
  <c r="F575" i="9"/>
  <c r="E575" i="9"/>
  <c r="Y574" i="9"/>
  <c r="X574" i="9"/>
  <c r="W574" i="9"/>
  <c r="V574" i="9"/>
  <c r="U574" i="9"/>
  <c r="S574" i="9"/>
  <c r="Z574" i="9" s="1"/>
  <c r="L574" i="9"/>
  <c r="I574" i="9"/>
  <c r="G574" i="9"/>
  <c r="F574" i="9"/>
  <c r="E574" i="9"/>
  <c r="Y573" i="9"/>
  <c r="X573" i="9"/>
  <c r="W573" i="9"/>
  <c r="V573" i="9"/>
  <c r="U573" i="9"/>
  <c r="S573" i="9"/>
  <c r="Z573" i="9" s="1"/>
  <c r="L573" i="9"/>
  <c r="I573" i="9"/>
  <c r="G573" i="9"/>
  <c r="F573" i="9"/>
  <c r="E573" i="9"/>
  <c r="Y572" i="9"/>
  <c r="X572" i="9"/>
  <c r="W572" i="9"/>
  <c r="V572" i="9"/>
  <c r="U572" i="9"/>
  <c r="S572" i="9"/>
  <c r="Z572" i="9" s="1"/>
  <c r="L572" i="9"/>
  <c r="I572" i="9"/>
  <c r="G572" i="9"/>
  <c r="F572" i="9"/>
  <c r="E572" i="9"/>
  <c r="Y571" i="9"/>
  <c r="X571" i="9"/>
  <c r="W571" i="9"/>
  <c r="V571" i="9"/>
  <c r="U571" i="9"/>
  <c r="S571" i="9"/>
  <c r="Z571" i="9" s="1"/>
  <c r="L571" i="9"/>
  <c r="I571" i="9"/>
  <c r="G571" i="9"/>
  <c r="F571" i="9"/>
  <c r="E571" i="9"/>
  <c r="Y570" i="9"/>
  <c r="X570" i="9"/>
  <c r="W570" i="9"/>
  <c r="V570" i="9"/>
  <c r="U570" i="9"/>
  <c r="S570" i="9"/>
  <c r="Z570" i="9" s="1"/>
  <c r="L570" i="9"/>
  <c r="I570" i="9"/>
  <c r="G570" i="9"/>
  <c r="F570" i="9"/>
  <c r="E570" i="9"/>
  <c r="Y569" i="9"/>
  <c r="X569" i="9"/>
  <c r="W569" i="9"/>
  <c r="V569" i="9"/>
  <c r="U569" i="9"/>
  <c r="S569" i="9"/>
  <c r="Z569" i="9" s="1"/>
  <c r="L569" i="9"/>
  <c r="I569" i="9"/>
  <c r="G569" i="9"/>
  <c r="F569" i="9"/>
  <c r="E569" i="9"/>
  <c r="Y568" i="9"/>
  <c r="X568" i="9"/>
  <c r="W568" i="9"/>
  <c r="V568" i="9"/>
  <c r="U568" i="9"/>
  <c r="S568" i="9"/>
  <c r="Z568" i="9" s="1"/>
  <c r="L568" i="9"/>
  <c r="I568" i="9"/>
  <c r="G568" i="9"/>
  <c r="F568" i="9"/>
  <c r="E568" i="9"/>
  <c r="Y567" i="9"/>
  <c r="X567" i="9"/>
  <c r="W567" i="9"/>
  <c r="V567" i="9"/>
  <c r="U567" i="9"/>
  <c r="S567" i="9"/>
  <c r="Z567" i="9" s="1"/>
  <c r="L567" i="9"/>
  <c r="I567" i="9"/>
  <c r="G567" i="9"/>
  <c r="F567" i="9"/>
  <c r="E567" i="9"/>
  <c r="Y566" i="9"/>
  <c r="X566" i="9"/>
  <c r="W566" i="9"/>
  <c r="V566" i="9"/>
  <c r="U566" i="9"/>
  <c r="S566" i="9"/>
  <c r="Z566" i="9" s="1"/>
  <c r="L566" i="9"/>
  <c r="I566" i="9"/>
  <c r="G566" i="9"/>
  <c r="F566" i="9"/>
  <c r="E566" i="9"/>
  <c r="Y565" i="9"/>
  <c r="X565" i="9"/>
  <c r="W565" i="9"/>
  <c r="V565" i="9"/>
  <c r="U565" i="9"/>
  <c r="S565" i="9"/>
  <c r="Z565" i="9" s="1"/>
  <c r="L565" i="9"/>
  <c r="I565" i="9"/>
  <c r="G565" i="9"/>
  <c r="F565" i="9"/>
  <c r="E565" i="9"/>
  <c r="Y564" i="9"/>
  <c r="X564" i="9"/>
  <c r="W564" i="9"/>
  <c r="V564" i="9"/>
  <c r="U564" i="9"/>
  <c r="S564" i="9"/>
  <c r="Z564" i="9" s="1"/>
  <c r="L564" i="9"/>
  <c r="I564" i="9"/>
  <c r="G564" i="9"/>
  <c r="F564" i="9"/>
  <c r="E564" i="9"/>
  <c r="Y563" i="9"/>
  <c r="X563" i="9"/>
  <c r="W563" i="9"/>
  <c r="V563" i="9"/>
  <c r="U563" i="9"/>
  <c r="S563" i="9"/>
  <c r="Z563" i="9" s="1"/>
  <c r="L563" i="9"/>
  <c r="I563" i="9"/>
  <c r="G563" i="9"/>
  <c r="F563" i="9"/>
  <c r="E563" i="9"/>
  <c r="Y562" i="9"/>
  <c r="X562" i="9"/>
  <c r="W562" i="9"/>
  <c r="V562" i="9"/>
  <c r="U562" i="9"/>
  <c r="S562" i="9"/>
  <c r="Z562" i="9" s="1"/>
  <c r="L562" i="9"/>
  <c r="I562" i="9"/>
  <c r="G562" i="9"/>
  <c r="F562" i="9"/>
  <c r="E562" i="9"/>
  <c r="Y561" i="9"/>
  <c r="X561" i="9"/>
  <c r="W561" i="9"/>
  <c r="V561" i="9"/>
  <c r="U561" i="9"/>
  <c r="S561" i="9"/>
  <c r="Z561" i="9" s="1"/>
  <c r="L561" i="9"/>
  <c r="I561" i="9"/>
  <c r="G561" i="9"/>
  <c r="F561" i="9"/>
  <c r="E561" i="9"/>
  <c r="Y560" i="9"/>
  <c r="X560" i="9"/>
  <c r="W560" i="9"/>
  <c r="V560" i="9"/>
  <c r="U560" i="9"/>
  <c r="S560" i="9"/>
  <c r="Z560" i="9" s="1"/>
  <c r="L560" i="9"/>
  <c r="I560" i="9"/>
  <c r="G560" i="9"/>
  <c r="F560" i="9"/>
  <c r="E560" i="9"/>
  <c r="Y559" i="9"/>
  <c r="X559" i="9"/>
  <c r="W559" i="9"/>
  <c r="V559" i="9"/>
  <c r="U559" i="9"/>
  <c r="S559" i="9"/>
  <c r="Z559" i="9" s="1"/>
  <c r="L559" i="9"/>
  <c r="I559" i="9"/>
  <c r="G559" i="9"/>
  <c r="F559" i="9"/>
  <c r="E559" i="9"/>
  <c r="Y558" i="9"/>
  <c r="X558" i="9"/>
  <c r="W558" i="9"/>
  <c r="V558" i="9"/>
  <c r="U558" i="9"/>
  <c r="S558" i="9"/>
  <c r="Z558" i="9" s="1"/>
  <c r="L558" i="9"/>
  <c r="I558" i="9"/>
  <c r="G558" i="9"/>
  <c r="F558" i="9"/>
  <c r="E558" i="9"/>
  <c r="Y557" i="9"/>
  <c r="X557" i="9"/>
  <c r="W557" i="9"/>
  <c r="V557" i="9"/>
  <c r="U557" i="9"/>
  <c r="S557" i="9"/>
  <c r="Z557" i="9" s="1"/>
  <c r="L557" i="9"/>
  <c r="I557" i="9"/>
  <c r="G557" i="9"/>
  <c r="F557" i="9"/>
  <c r="E557" i="9"/>
  <c r="Y556" i="9"/>
  <c r="X556" i="9"/>
  <c r="W556" i="9"/>
  <c r="V556" i="9"/>
  <c r="U556" i="9"/>
  <c r="S556" i="9"/>
  <c r="Z556" i="9" s="1"/>
  <c r="L556" i="9"/>
  <c r="I556" i="9"/>
  <c r="G556" i="9"/>
  <c r="F556" i="9"/>
  <c r="E556" i="9"/>
  <c r="Y555" i="9"/>
  <c r="X555" i="9"/>
  <c r="W555" i="9"/>
  <c r="V555" i="9"/>
  <c r="U555" i="9"/>
  <c r="S555" i="9"/>
  <c r="Z555" i="9" s="1"/>
  <c r="L555" i="9"/>
  <c r="I555" i="9"/>
  <c r="G555" i="9"/>
  <c r="F555" i="9"/>
  <c r="E555" i="9"/>
  <c r="Y554" i="9"/>
  <c r="X554" i="9"/>
  <c r="W554" i="9"/>
  <c r="V554" i="9"/>
  <c r="U554" i="9"/>
  <c r="S554" i="9"/>
  <c r="Z554" i="9" s="1"/>
  <c r="L554" i="9"/>
  <c r="I554" i="9"/>
  <c r="G554" i="9"/>
  <c r="F554" i="9"/>
  <c r="E554" i="9"/>
  <c r="Y553" i="9"/>
  <c r="X553" i="9"/>
  <c r="W553" i="9"/>
  <c r="V553" i="9"/>
  <c r="U553" i="9"/>
  <c r="S553" i="9"/>
  <c r="Z553" i="9" s="1"/>
  <c r="L553" i="9"/>
  <c r="I553" i="9"/>
  <c r="G553" i="9"/>
  <c r="F553" i="9"/>
  <c r="E553" i="9"/>
  <c r="Y552" i="9"/>
  <c r="X552" i="9"/>
  <c r="W552" i="9"/>
  <c r="V552" i="9"/>
  <c r="U552" i="9"/>
  <c r="S552" i="9"/>
  <c r="Z552" i="9" s="1"/>
  <c r="L552" i="9"/>
  <c r="I552" i="9"/>
  <c r="G552" i="9"/>
  <c r="F552" i="9"/>
  <c r="E552" i="9"/>
  <c r="Y551" i="9"/>
  <c r="X551" i="9"/>
  <c r="W551" i="9"/>
  <c r="V551" i="9"/>
  <c r="U551" i="9"/>
  <c r="S551" i="9"/>
  <c r="Z551" i="9" s="1"/>
  <c r="L551" i="9"/>
  <c r="I551" i="9"/>
  <c r="G551" i="9"/>
  <c r="F551" i="9"/>
  <c r="E551" i="9"/>
  <c r="Y550" i="9"/>
  <c r="X550" i="9"/>
  <c r="W550" i="9"/>
  <c r="V550" i="9"/>
  <c r="U550" i="9"/>
  <c r="S550" i="9"/>
  <c r="Z550" i="9" s="1"/>
  <c r="L550" i="9"/>
  <c r="I550" i="9"/>
  <c r="G550" i="9"/>
  <c r="F550" i="9"/>
  <c r="E550" i="9"/>
  <c r="Y549" i="9"/>
  <c r="X549" i="9"/>
  <c r="W549" i="9"/>
  <c r="V549" i="9"/>
  <c r="U549" i="9"/>
  <c r="S549" i="9"/>
  <c r="Z549" i="9" s="1"/>
  <c r="L549" i="9"/>
  <c r="I549" i="9"/>
  <c r="G549" i="9"/>
  <c r="F549" i="9"/>
  <c r="E549" i="9"/>
  <c r="Y548" i="9"/>
  <c r="X548" i="9"/>
  <c r="W548" i="9"/>
  <c r="V548" i="9"/>
  <c r="U548" i="9"/>
  <c r="S548" i="9"/>
  <c r="Z548" i="9" s="1"/>
  <c r="L548" i="9"/>
  <c r="I548" i="9"/>
  <c r="G548" i="9"/>
  <c r="F548" i="9"/>
  <c r="E548" i="9"/>
  <c r="Y547" i="9"/>
  <c r="X547" i="9"/>
  <c r="W547" i="9"/>
  <c r="V547" i="9"/>
  <c r="U547" i="9"/>
  <c r="S547" i="9"/>
  <c r="Z547" i="9" s="1"/>
  <c r="L547" i="9"/>
  <c r="I547" i="9"/>
  <c r="G547" i="9"/>
  <c r="F547" i="9"/>
  <c r="E547" i="9"/>
  <c r="Y546" i="9"/>
  <c r="X546" i="9"/>
  <c r="W546" i="9"/>
  <c r="V546" i="9"/>
  <c r="U546" i="9"/>
  <c r="S546" i="9"/>
  <c r="Z546" i="9" s="1"/>
  <c r="L546" i="9"/>
  <c r="I546" i="9"/>
  <c r="G546" i="9"/>
  <c r="F546" i="9"/>
  <c r="E546" i="9"/>
  <c r="Y545" i="9"/>
  <c r="X545" i="9"/>
  <c r="W545" i="9"/>
  <c r="V545" i="9"/>
  <c r="U545" i="9"/>
  <c r="S545" i="9"/>
  <c r="Z545" i="9" s="1"/>
  <c r="L545" i="9"/>
  <c r="I545" i="9"/>
  <c r="G545" i="9"/>
  <c r="F545" i="9"/>
  <c r="E545" i="9"/>
  <c r="Y544" i="9"/>
  <c r="X544" i="9"/>
  <c r="W544" i="9"/>
  <c r="V544" i="9"/>
  <c r="U544" i="9"/>
  <c r="S544" i="9"/>
  <c r="Z544" i="9" s="1"/>
  <c r="L544" i="9"/>
  <c r="I544" i="9"/>
  <c r="G544" i="9"/>
  <c r="F544" i="9"/>
  <c r="E544" i="9"/>
  <c r="Y543" i="9"/>
  <c r="X543" i="9"/>
  <c r="W543" i="9"/>
  <c r="V543" i="9"/>
  <c r="U543" i="9"/>
  <c r="S543" i="9"/>
  <c r="Z543" i="9" s="1"/>
  <c r="L543" i="9"/>
  <c r="I543" i="9"/>
  <c r="G543" i="9"/>
  <c r="F543" i="9"/>
  <c r="E543" i="9"/>
  <c r="Y542" i="9"/>
  <c r="X542" i="9"/>
  <c r="W542" i="9"/>
  <c r="V542" i="9"/>
  <c r="U542" i="9"/>
  <c r="S542" i="9"/>
  <c r="Z542" i="9" s="1"/>
  <c r="L542" i="9"/>
  <c r="I542" i="9"/>
  <c r="G542" i="9"/>
  <c r="F542" i="9"/>
  <c r="E542" i="9"/>
  <c r="Y541" i="9"/>
  <c r="X541" i="9"/>
  <c r="W541" i="9"/>
  <c r="V541" i="9"/>
  <c r="U541" i="9"/>
  <c r="S541" i="9"/>
  <c r="Z541" i="9" s="1"/>
  <c r="L541" i="9"/>
  <c r="I541" i="9"/>
  <c r="G541" i="9"/>
  <c r="F541" i="9"/>
  <c r="E541" i="9"/>
  <c r="Y540" i="9"/>
  <c r="X540" i="9"/>
  <c r="W540" i="9"/>
  <c r="V540" i="9"/>
  <c r="U540" i="9"/>
  <c r="S540" i="9"/>
  <c r="Z540" i="9" s="1"/>
  <c r="L540" i="9"/>
  <c r="I540" i="9"/>
  <c r="G540" i="9"/>
  <c r="F540" i="9"/>
  <c r="E540" i="9"/>
  <c r="Y539" i="9"/>
  <c r="X539" i="9"/>
  <c r="W539" i="9"/>
  <c r="V539" i="9"/>
  <c r="U539" i="9"/>
  <c r="S539" i="9"/>
  <c r="Z539" i="9" s="1"/>
  <c r="L539" i="9"/>
  <c r="I539" i="9"/>
  <c r="G539" i="9"/>
  <c r="F539" i="9"/>
  <c r="E539" i="9"/>
  <c r="Y538" i="9"/>
  <c r="X538" i="9"/>
  <c r="W538" i="9"/>
  <c r="V538" i="9"/>
  <c r="U538" i="9"/>
  <c r="S538" i="9"/>
  <c r="Z538" i="9" s="1"/>
  <c r="L538" i="9"/>
  <c r="I538" i="9"/>
  <c r="G538" i="9"/>
  <c r="F538" i="9"/>
  <c r="E538" i="9"/>
  <c r="Y537" i="9"/>
  <c r="X537" i="9"/>
  <c r="W537" i="9"/>
  <c r="V537" i="9"/>
  <c r="U537" i="9"/>
  <c r="S537" i="9"/>
  <c r="Z537" i="9" s="1"/>
  <c r="L537" i="9"/>
  <c r="I537" i="9"/>
  <c r="G537" i="9"/>
  <c r="F537" i="9"/>
  <c r="E537" i="9"/>
  <c r="Y536" i="9"/>
  <c r="X536" i="9"/>
  <c r="W536" i="9"/>
  <c r="V536" i="9"/>
  <c r="U536" i="9"/>
  <c r="S536" i="9"/>
  <c r="Z536" i="9" s="1"/>
  <c r="L536" i="9"/>
  <c r="I536" i="9"/>
  <c r="G536" i="9"/>
  <c r="F536" i="9"/>
  <c r="E536" i="9"/>
  <c r="Y535" i="9"/>
  <c r="X535" i="9"/>
  <c r="W535" i="9"/>
  <c r="V535" i="9"/>
  <c r="U535" i="9"/>
  <c r="S535" i="9"/>
  <c r="Z535" i="9" s="1"/>
  <c r="L535" i="9"/>
  <c r="I535" i="9"/>
  <c r="G535" i="9"/>
  <c r="F535" i="9"/>
  <c r="E535" i="9"/>
  <c r="Y534" i="9"/>
  <c r="X534" i="9"/>
  <c r="W534" i="9"/>
  <c r="V534" i="9"/>
  <c r="U534" i="9"/>
  <c r="S534" i="9"/>
  <c r="Z534" i="9" s="1"/>
  <c r="L534" i="9"/>
  <c r="I534" i="9"/>
  <c r="G534" i="9"/>
  <c r="F534" i="9"/>
  <c r="E534" i="9"/>
  <c r="Y533" i="9"/>
  <c r="X533" i="9"/>
  <c r="W533" i="9"/>
  <c r="V533" i="9"/>
  <c r="U533" i="9"/>
  <c r="S533" i="9"/>
  <c r="Z533" i="9" s="1"/>
  <c r="L533" i="9"/>
  <c r="I533" i="9"/>
  <c r="G533" i="9"/>
  <c r="F533" i="9"/>
  <c r="E533" i="9"/>
  <c r="Y532" i="9"/>
  <c r="X532" i="9"/>
  <c r="W532" i="9"/>
  <c r="V532" i="9"/>
  <c r="U532" i="9"/>
  <c r="S532" i="9"/>
  <c r="Z532" i="9" s="1"/>
  <c r="L532" i="9"/>
  <c r="I532" i="9"/>
  <c r="G532" i="9"/>
  <c r="F532" i="9"/>
  <c r="E532" i="9"/>
  <c r="Y531" i="9"/>
  <c r="X531" i="9"/>
  <c r="W531" i="9"/>
  <c r="V531" i="9"/>
  <c r="U531" i="9"/>
  <c r="S531" i="9"/>
  <c r="Z531" i="9" s="1"/>
  <c r="L531" i="9"/>
  <c r="I531" i="9"/>
  <c r="G531" i="9"/>
  <c r="F531" i="9"/>
  <c r="E531" i="9"/>
  <c r="Y530" i="9"/>
  <c r="X530" i="9"/>
  <c r="W530" i="9"/>
  <c r="V530" i="9"/>
  <c r="U530" i="9"/>
  <c r="S530" i="9"/>
  <c r="Z530" i="9" s="1"/>
  <c r="L530" i="9"/>
  <c r="I530" i="9"/>
  <c r="G530" i="9"/>
  <c r="F530" i="9"/>
  <c r="E530" i="9"/>
  <c r="Y529" i="9"/>
  <c r="X529" i="9"/>
  <c r="W529" i="9"/>
  <c r="V529" i="9"/>
  <c r="U529" i="9"/>
  <c r="S529" i="9"/>
  <c r="Z529" i="9" s="1"/>
  <c r="L529" i="9"/>
  <c r="I529" i="9"/>
  <c r="G529" i="9"/>
  <c r="F529" i="9"/>
  <c r="E529" i="9"/>
  <c r="Y528" i="9"/>
  <c r="X528" i="9"/>
  <c r="W528" i="9"/>
  <c r="V528" i="9"/>
  <c r="U528" i="9"/>
  <c r="S528" i="9"/>
  <c r="Z528" i="9" s="1"/>
  <c r="L528" i="9"/>
  <c r="I528" i="9"/>
  <c r="G528" i="9"/>
  <c r="F528" i="9"/>
  <c r="E528" i="9"/>
  <c r="Y527" i="9"/>
  <c r="X527" i="9"/>
  <c r="W527" i="9"/>
  <c r="V527" i="9"/>
  <c r="U527" i="9"/>
  <c r="S527" i="9"/>
  <c r="Z527" i="9" s="1"/>
  <c r="L527" i="9"/>
  <c r="I527" i="9"/>
  <c r="G527" i="9"/>
  <c r="F527" i="9"/>
  <c r="E527" i="9"/>
  <c r="Y526" i="9"/>
  <c r="X526" i="9"/>
  <c r="W526" i="9"/>
  <c r="V526" i="9"/>
  <c r="U526" i="9"/>
  <c r="S526" i="9"/>
  <c r="Z526" i="9" s="1"/>
  <c r="L526" i="9"/>
  <c r="I526" i="9"/>
  <c r="G526" i="9"/>
  <c r="F526" i="9"/>
  <c r="E526" i="9"/>
  <c r="Y525" i="9"/>
  <c r="X525" i="9"/>
  <c r="W525" i="9"/>
  <c r="V525" i="9"/>
  <c r="U525" i="9"/>
  <c r="S525" i="9"/>
  <c r="Z525" i="9" s="1"/>
  <c r="L525" i="9"/>
  <c r="I525" i="9"/>
  <c r="G525" i="9"/>
  <c r="F525" i="9"/>
  <c r="E525" i="9"/>
  <c r="Y524" i="9"/>
  <c r="X524" i="9"/>
  <c r="W524" i="9"/>
  <c r="V524" i="9"/>
  <c r="U524" i="9"/>
  <c r="S524" i="9"/>
  <c r="Z524" i="9" s="1"/>
  <c r="L524" i="9"/>
  <c r="I524" i="9"/>
  <c r="G524" i="9"/>
  <c r="F524" i="9"/>
  <c r="E524" i="9"/>
  <c r="Y523" i="9"/>
  <c r="X523" i="9"/>
  <c r="W523" i="9"/>
  <c r="V523" i="9"/>
  <c r="U523" i="9"/>
  <c r="S523" i="9"/>
  <c r="Z523" i="9" s="1"/>
  <c r="L523" i="9"/>
  <c r="I523" i="9"/>
  <c r="G523" i="9"/>
  <c r="F523" i="9"/>
  <c r="E523" i="9"/>
  <c r="Y522" i="9"/>
  <c r="X522" i="9"/>
  <c r="W522" i="9"/>
  <c r="V522" i="9"/>
  <c r="U522" i="9"/>
  <c r="S522" i="9"/>
  <c r="Z522" i="9" s="1"/>
  <c r="L522" i="9"/>
  <c r="I522" i="9"/>
  <c r="G522" i="9"/>
  <c r="F522" i="9"/>
  <c r="E522" i="9"/>
  <c r="Y521" i="9"/>
  <c r="X521" i="9"/>
  <c r="W521" i="9"/>
  <c r="V521" i="9"/>
  <c r="U521" i="9"/>
  <c r="S521" i="9"/>
  <c r="Z521" i="9" s="1"/>
  <c r="L521" i="9"/>
  <c r="I521" i="9"/>
  <c r="G521" i="9"/>
  <c r="F521" i="9"/>
  <c r="E521" i="9"/>
  <c r="Y520" i="9"/>
  <c r="X520" i="9"/>
  <c r="W520" i="9"/>
  <c r="V520" i="9"/>
  <c r="U520" i="9"/>
  <c r="S520" i="9"/>
  <c r="Z520" i="9" s="1"/>
  <c r="L520" i="9"/>
  <c r="I520" i="9"/>
  <c r="G520" i="9"/>
  <c r="F520" i="9"/>
  <c r="E520" i="9"/>
  <c r="Y519" i="9"/>
  <c r="X519" i="9"/>
  <c r="W519" i="9"/>
  <c r="V519" i="9"/>
  <c r="U519" i="9"/>
  <c r="S519" i="9"/>
  <c r="Z519" i="9" s="1"/>
  <c r="L519" i="9"/>
  <c r="I519" i="9"/>
  <c r="G519" i="9"/>
  <c r="F519" i="9"/>
  <c r="E519" i="9"/>
  <c r="Y518" i="9"/>
  <c r="X518" i="9"/>
  <c r="W518" i="9"/>
  <c r="V518" i="9"/>
  <c r="U518" i="9"/>
  <c r="S518" i="9"/>
  <c r="Z518" i="9" s="1"/>
  <c r="L518" i="9"/>
  <c r="I518" i="9"/>
  <c r="G518" i="9"/>
  <c r="F518" i="9"/>
  <c r="E518" i="9"/>
  <c r="Y517" i="9"/>
  <c r="X517" i="9"/>
  <c r="W517" i="9"/>
  <c r="V517" i="9"/>
  <c r="U517" i="9"/>
  <c r="S517" i="9"/>
  <c r="Z517" i="9" s="1"/>
  <c r="L517" i="9"/>
  <c r="I517" i="9"/>
  <c r="G517" i="9"/>
  <c r="F517" i="9"/>
  <c r="E517" i="9"/>
  <c r="Y516" i="9"/>
  <c r="X516" i="9"/>
  <c r="W516" i="9"/>
  <c r="V516" i="9"/>
  <c r="U516" i="9"/>
  <c r="S516" i="9"/>
  <c r="Z516" i="9" s="1"/>
  <c r="L516" i="9"/>
  <c r="I516" i="9"/>
  <c r="G516" i="9"/>
  <c r="F516" i="9"/>
  <c r="E516" i="9"/>
  <c r="Y515" i="9"/>
  <c r="X515" i="9"/>
  <c r="W515" i="9"/>
  <c r="V515" i="9"/>
  <c r="U515" i="9"/>
  <c r="S515" i="9"/>
  <c r="Z515" i="9" s="1"/>
  <c r="L515" i="9"/>
  <c r="I515" i="9"/>
  <c r="G515" i="9"/>
  <c r="F515" i="9"/>
  <c r="E515" i="9"/>
  <c r="Y514" i="9"/>
  <c r="X514" i="9"/>
  <c r="W514" i="9"/>
  <c r="V514" i="9"/>
  <c r="U514" i="9"/>
  <c r="S514" i="9"/>
  <c r="Z514" i="9" s="1"/>
  <c r="L514" i="9"/>
  <c r="I514" i="9"/>
  <c r="G514" i="9"/>
  <c r="F514" i="9"/>
  <c r="E514" i="9"/>
  <c r="Y513" i="9"/>
  <c r="X513" i="9"/>
  <c r="W513" i="9"/>
  <c r="V513" i="9"/>
  <c r="U513" i="9"/>
  <c r="S513" i="9"/>
  <c r="Z513" i="9" s="1"/>
  <c r="L513" i="9"/>
  <c r="I513" i="9"/>
  <c r="G513" i="9"/>
  <c r="F513" i="9"/>
  <c r="E513" i="9"/>
  <c r="Y512" i="9"/>
  <c r="X512" i="9"/>
  <c r="W512" i="9"/>
  <c r="V512" i="9"/>
  <c r="U512" i="9"/>
  <c r="S512" i="9"/>
  <c r="Z512" i="9" s="1"/>
  <c r="L512" i="9"/>
  <c r="I512" i="9"/>
  <c r="G512" i="9"/>
  <c r="F512" i="9"/>
  <c r="E512" i="9"/>
  <c r="Y511" i="9"/>
  <c r="X511" i="9"/>
  <c r="W511" i="9"/>
  <c r="V511" i="9"/>
  <c r="U511" i="9"/>
  <c r="S511" i="9"/>
  <c r="Z511" i="9" s="1"/>
  <c r="L511" i="9"/>
  <c r="I511" i="9"/>
  <c r="G511" i="9"/>
  <c r="F511" i="9"/>
  <c r="E511" i="9"/>
  <c r="Y510" i="9"/>
  <c r="X510" i="9"/>
  <c r="W510" i="9"/>
  <c r="V510" i="9"/>
  <c r="U510" i="9"/>
  <c r="S510" i="9"/>
  <c r="Z510" i="9" s="1"/>
  <c r="L510" i="9"/>
  <c r="I510" i="9"/>
  <c r="G510" i="9"/>
  <c r="F510" i="9"/>
  <c r="E510" i="9"/>
  <c r="Y509" i="9"/>
  <c r="X509" i="9"/>
  <c r="W509" i="9"/>
  <c r="V509" i="9"/>
  <c r="U509" i="9"/>
  <c r="S509" i="9"/>
  <c r="Z509" i="9" s="1"/>
  <c r="L509" i="9"/>
  <c r="I509" i="9"/>
  <c r="G509" i="9"/>
  <c r="F509" i="9"/>
  <c r="E509" i="9"/>
  <c r="Y508" i="9"/>
  <c r="X508" i="9"/>
  <c r="W508" i="9"/>
  <c r="V508" i="9"/>
  <c r="U508" i="9"/>
  <c r="S508" i="9"/>
  <c r="Z508" i="9" s="1"/>
  <c r="L508" i="9"/>
  <c r="I508" i="9"/>
  <c r="G508" i="9"/>
  <c r="F508" i="9"/>
  <c r="E508" i="9"/>
  <c r="Y507" i="9"/>
  <c r="X507" i="9"/>
  <c r="W507" i="9"/>
  <c r="V507" i="9"/>
  <c r="U507" i="9"/>
  <c r="S507" i="9"/>
  <c r="Z507" i="9" s="1"/>
  <c r="L507" i="9"/>
  <c r="I507" i="9"/>
  <c r="G507" i="9"/>
  <c r="F507" i="9"/>
  <c r="E507" i="9"/>
  <c r="Y506" i="9"/>
  <c r="X506" i="9"/>
  <c r="W506" i="9"/>
  <c r="V506" i="9"/>
  <c r="U506" i="9"/>
  <c r="S506" i="9"/>
  <c r="Z506" i="9" s="1"/>
  <c r="L506" i="9"/>
  <c r="I506" i="9"/>
  <c r="G506" i="9"/>
  <c r="F506" i="9"/>
  <c r="E506" i="9"/>
  <c r="Y505" i="9"/>
  <c r="X505" i="9"/>
  <c r="W505" i="9"/>
  <c r="V505" i="9"/>
  <c r="U505" i="9"/>
  <c r="S505" i="9"/>
  <c r="Z505" i="9" s="1"/>
  <c r="L505" i="9"/>
  <c r="I505" i="9"/>
  <c r="G505" i="9"/>
  <c r="F505" i="9"/>
  <c r="E505" i="9"/>
  <c r="Y504" i="9"/>
  <c r="X504" i="9"/>
  <c r="W504" i="9"/>
  <c r="V504" i="9"/>
  <c r="U504" i="9"/>
  <c r="S504" i="9"/>
  <c r="Z504" i="9" s="1"/>
  <c r="L504" i="9"/>
  <c r="I504" i="9"/>
  <c r="G504" i="9"/>
  <c r="F504" i="9"/>
  <c r="E504" i="9"/>
  <c r="Y503" i="9"/>
  <c r="X503" i="9"/>
  <c r="W503" i="9"/>
  <c r="V503" i="9"/>
  <c r="U503" i="9"/>
  <c r="S503" i="9"/>
  <c r="Z503" i="9" s="1"/>
  <c r="L503" i="9"/>
  <c r="I503" i="9"/>
  <c r="G503" i="9"/>
  <c r="F503" i="9"/>
  <c r="E503" i="9"/>
  <c r="Y502" i="9"/>
  <c r="X502" i="9"/>
  <c r="W502" i="9"/>
  <c r="V502" i="9"/>
  <c r="U502" i="9"/>
  <c r="S502" i="9"/>
  <c r="Z502" i="9" s="1"/>
  <c r="L502" i="9"/>
  <c r="I502" i="9"/>
  <c r="G502" i="9"/>
  <c r="F502" i="9"/>
  <c r="E502" i="9"/>
  <c r="Y501" i="9"/>
  <c r="X501" i="9"/>
  <c r="W501" i="9"/>
  <c r="V501" i="9"/>
  <c r="U501" i="9"/>
  <c r="S501" i="9"/>
  <c r="Z501" i="9" s="1"/>
  <c r="L501" i="9"/>
  <c r="I501" i="9"/>
  <c r="G501" i="9"/>
  <c r="F501" i="9"/>
  <c r="E501" i="9"/>
  <c r="Y500" i="9"/>
  <c r="X500" i="9"/>
  <c r="W500" i="9"/>
  <c r="V500" i="9"/>
  <c r="U500" i="9"/>
  <c r="S500" i="9"/>
  <c r="Z500" i="9" s="1"/>
  <c r="L500" i="9"/>
  <c r="I500" i="9"/>
  <c r="G500" i="9"/>
  <c r="F500" i="9"/>
  <c r="E500" i="9"/>
  <c r="Y499" i="9"/>
  <c r="X499" i="9"/>
  <c r="W499" i="9"/>
  <c r="V499" i="9"/>
  <c r="U499" i="9"/>
  <c r="S499" i="9"/>
  <c r="Z499" i="9" s="1"/>
  <c r="L499" i="9"/>
  <c r="I499" i="9"/>
  <c r="G499" i="9"/>
  <c r="F499" i="9"/>
  <c r="E499" i="9"/>
  <c r="Y498" i="9"/>
  <c r="X498" i="9"/>
  <c r="W498" i="9"/>
  <c r="V498" i="9"/>
  <c r="U498" i="9"/>
  <c r="S498" i="9"/>
  <c r="Z498" i="9" s="1"/>
  <c r="L498" i="9"/>
  <c r="I498" i="9"/>
  <c r="G498" i="9"/>
  <c r="F498" i="9"/>
  <c r="E498" i="9"/>
  <c r="Y497" i="9"/>
  <c r="X497" i="9"/>
  <c r="W497" i="9"/>
  <c r="V497" i="9"/>
  <c r="U497" i="9"/>
  <c r="S497" i="9"/>
  <c r="Z497" i="9" s="1"/>
  <c r="L497" i="9"/>
  <c r="I497" i="9"/>
  <c r="G497" i="9"/>
  <c r="F497" i="9"/>
  <c r="E497" i="9"/>
  <c r="Y496" i="9"/>
  <c r="X496" i="9"/>
  <c r="W496" i="9"/>
  <c r="V496" i="9"/>
  <c r="U496" i="9"/>
  <c r="S496" i="9"/>
  <c r="Z496" i="9" s="1"/>
  <c r="L496" i="9"/>
  <c r="I496" i="9"/>
  <c r="G496" i="9"/>
  <c r="F496" i="9"/>
  <c r="E496" i="9"/>
  <c r="Y495" i="9"/>
  <c r="X495" i="9"/>
  <c r="W495" i="9"/>
  <c r="V495" i="9"/>
  <c r="U495" i="9"/>
  <c r="S495" i="9"/>
  <c r="Z495" i="9" s="1"/>
  <c r="L495" i="9"/>
  <c r="I495" i="9"/>
  <c r="G495" i="9"/>
  <c r="F495" i="9"/>
  <c r="E495" i="9"/>
  <c r="Y494" i="9"/>
  <c r="X494" i="9"/>
  <c r="W494" i="9"/>
  <c r="V494" i="9"/>
  <c r="U494" i="9"/>
  <c r="S494" i="9"/>
  <c r="Z494" i="9" s="1"/>
  <c r="L494" i="9"/>
  <c r="I494" i="9"/>
  <c r="G494" i="9"/>
  <c r="F494" i="9"/>
  <c r="E494" i="9"/>
  <c r="Y493" i="9"/>
  <c r="X493" i="9"/>
  <c r="W493" i="9"/>
  <c r="V493" i="9"/>
  <c r="U493" i="9"/>
  <c r="S493" i="9"/>
  <c r="Z493" i="9" s="1"/>
  <c r="L493" i="9"/>
  <c r="I493" i="9"/>
  <c r="G493" i="9"/>
  <c r="F493" i="9"/>
  <c r="E493" i="9"/>
  <c r="Y492" i="9"/>
  <c r="X492" i="9"/>
  <c r="W492" i="9"/>
  <c r="V492" i="9"/>
  <c r="U492" i="9"/>
  <c r="S492" i="9"/>
  <c r="Z492" i="9" s="1"/>
  <c r="L492" i="9"/>
  <c r="I492" i="9"/>
  <c r="G492" i="9"/>
  <c r="F492" i="9"/>
  <c r="E492" i="9"/>
  <c r="Y491" i="9"/>
  <c r="X491" i="9"/>
  <c r="W491" i="9"/>
  <c r="V491" i="9"/>
  <c r="U491" i="9"/>
  <c r="S491" i="9"/>
  <c r="Z491" i="9" s="1"/>
  <c r="L491" i="9"/>
  <c r="I491" i="9"/>
  <c r="G491" i="9"/>
  <c r="F491" i="9"/>
  <c r="E491" i="9"/>
  <c r="Y490" i="9"/>
  <c r="X490" i="9"/>
  <c r="W490" i="9"/>
  <c r="V490" i="9"/>
  <c r="U490" i="9"/>
  <c r="S490" i="9"/>
  <c r="Z490" i="9" s="1"/>
  <c r="L490" i="9"/>
  <c r="I490" i="9"/>
  <c r="G490" i="9"/>
  <c r="F490" i="9"/>
  <c r="E490" i="9"/>
  <c r="Y489" i="9"/>
  <c r="X489" i="9"/>
  <c r="W489" i="9"/>
  <c r="V489" i="9"/>
  <c r="U489" i="9"/>
  <c r="S489" i="9"/>
  <c r="Z489" i="9" s="1"/>
  <c r="L489" i="9"/>
  <c r="I489" i="9"/>
  <c r="G489" i="9"/>
  <c r="F489" i="9"/>
  <c r="E489" i="9"/>
  <c r="Y488" i="9"/>
  <c r="X488" i="9"/>
  <c r="W488" i="9"/>
  <c r="V488" i="9"/>
  <c r="U488" i="9"/>
  <c r="S488" i="9"/>
  <c r="Z488" i="9" s="1"/>
  <c r="L488" i="9"/>
  <c r="I488" i="9"/>
  <c r="G488" i="9"/>
  <c r="F488" i="9"/>
  <c r="E488" i="9"/>
  <c r="Y487" i="9"/>
  <c r="X487" i="9"/>
  <c r="W487" i="9"/>
  <c r="V487" i="9"/>
  <c r="U487" i="9"/>
  <c r="S487" i="9"/>
  <c r="Z487" i="9" s="1"/>
  <c r="L487" i="9"/>
  <c r="I487" i="9"/>
  <c r="G487" i="9"/>
  <c r="F487" i="9"/>
  <c r="E487" i="9"/>
  <c r="Y486" i="9"/>
  <c r="X486" i="9"/>
  <c r="W486" i="9"/>
  <c r="V486" i="9"/>
  <c r="U486" i="9"/>
  <c r="S486" i="9"/>
  <c r="Z486" i="9" s="1"/>
  <c r="L486" i="9"/>
  <c r="I486" i="9"/>
  <c r="G486" i="9"/>
  <c r="F486" i="9"/>
  <c r="E486" i="9"/>
  <c r="Y485" i="9"/>
  <c r="X485" i="9"/>
  <c r="W485" i="9"/>
  <c r="V485" i="9"/>
  <c r="U485" i="9"/>
  <c r="S485" i="9"/>
  <c r="Z485" i="9" s="1"/>
  <c r="L485" i="9"/>
  <c r="I485" i="9"/>
  <c r="G485" i="9"/>
  <c r="F485" i="9"/>
  <c r="E485" i="9"/>
  <c r="Y484" i="9"/>
  <c r="X484" i="9"/>
  <c r="W484" i="9"/>
  <c r="V484" i="9"/>
  <c r="U484" i="9"/>
  <c r="S484" i="9"/>
  <c r="Z484" i="9" s="1"/>
  <c r="L484" i="9"/>
  <c r="I484" i="9"/>
  <c r="G484" i="9"/>
  <c r="F484" i="9"/>
  <c r="E484" i="9"/>
  <c r="Y483" i="9"/>
  <c r="X483" i="9"/>
  <c r="W483" i="9"/>
  <c r="V483" i="9"/>
  <c r="U483" i="9"/>
  <c r="S483" i="9"/>
  <c r="Z483" i="9" s="1"/>
  <c r="L483" i="9"/>
  <c r="I483" i="9"/>
  <c r="G483" i="9"/>
  <c r="F483" i="9"/>
  <c r="E483" i="9"/>
  <c r="Y482" i="9"/>
  <c r="X482" i="9"/>
  <c r="W482" i="9"/>
  <c r="V482" i="9"/>
  <c r="U482" i="9"/>
  <c r="S482" i="9"/>
  <c r="Z482" i="9" s="1"/>
  <c r="L482" i="9"/>
  <c r="I482" i="9"/>
  <c r="G482" i="9"/>
  <c r="F482" i="9"/>
  <c r="E482" i="9"/>
  <c r="Y481" i="9"/>
  <c r="X481" i="9"/>
  <c r="W481" i="9"/>
  <c r="V481" i="9"/>
  <c r="U481" i="9"/>
  <c r="S481" i="9"/>
  <c r="Z481" i="9" s="1"/>
  <c r="L481" i="9"/>
  <c r="I481" i="9"/>
  <c r="G481" i="9"/>
  <c r="F481" i="9"/>
  <c r="E481" i="9"/>
  <c r="Y480" i="9"/>
  <c r="X480" i="9"/>
  <c r="W480" i="9"/>
  <c r="V480" i="9"/>
  <c r="U480" i="9"/>
  <c r="S480" i="9"/>
  <c r="Z480" i="9" s="1"/>
  <c r="L480" i="9"/>
  <c r="I480" i="9"/>
  <c r="G480" i="9"/>
  <c r="F480" i="9"/>
  <c r="E480" i="9"/>
  <c r="Y479" i="9"/>
  <c r="X479" i="9"/>
  <c r="W479" i="9"/>
  <c r="V479" i="9"/>
  <c r="U479" i="9"/>
  <c r="S479" i="9"/>
  <c r="Z479" i="9" s="1"/>
  <c r="L479" i="9"/>
  <c r="I479" i="9"/>
  <c r="G479" i="9"/>
  <c r="F479" i="9"/>
  <c r="E479" i="9"/>
  <c r="Y478" i="9"/>
  <c r="X478" i="9"/>
  <c r="W478" i="9"/>
  <c r="V478" i="9"/>
  <c r="U478" i="9"/>
  <c r="S478" i="9"/>
  <c r="Z478" i="9" s="1"/>
  <c r="L478" i="9"/>
  <c r="I478" i="9"/>
  <c r="G478" i="9"/>
  <c r="F478" i="9"/>
  <c r="E478" i="9"/>
  <c r="Y477" i="9"/>
  <c r="X477" i="9"/>
  <c r="W477" i="9"/>
  <c r="V477" i="9"/>
  <c r="U477" i="9"/>
  <c r="S477" i="9"/>
  <c r="Z477" i="9" s="1"/>
  <c r="L477" i="9"/>
  <c r="I477" i="9"/>
  <c r="G477" i="9"/>
  <c r="F477" i="9"/>
  <c r="E477" i="9"/>
  <c r="Y476" i="9"/>
  <c r="X476" i="9"/>
  <c r="W476" i="9"/>
  <c r="V476" i="9"/>
  <c r="U476" i="9"/>
  <c r="S476" i="9"/>
  <c r="Z476" i="9" s="1"/>
  <c r="L476" i="9"/>
  <c r="I476" i="9"/>
  <c r="G476" i="9"/>
  <c r="F476" i="9"/>
  <c r="E476" i="9"/>
  <c r="Y475" i="9"/>
  <c r="X475" i="9"/>
  <c r="W475" i="9"/>
  <c r="V475" i="9"/>
  <c r="U475" i="9"/>
  <c r="S475" i="9"/>
  <c r="Z475" i="9" s="1"/>
  <c r="L475" i="9"/>
  <c r="I475" i="9"/>
  <c r="G475" i="9"/>
  <c r="F475" i="9"/>
  <c r="E475" i="9"/>
  <c r="Y474" i="9"/>
  <c r="X474" i="9"/>
  <c r="W474" i="9"/>
  <c r="V474" i="9"/>
  <c r="U474" i="9"/>
  <c r="S474" i="9"/>
  <c r="Z474" i="9" s="1"/>
  <c r="L474" i="9"/>
  <c r="I474" i="9"/>
  <c r="G474" i="9"/>
  <c r="F474" i="9"/>
  <c r="E474" i="9"/>
  <c r="Y473" i="9"/>
  <c r="X473" i="9"/>
  <c r="W473" i="9"/>
  <c r="V473" i="9"/>
  <c r="U473" i="9"/>
  <c r="S473" i="9"/>
  <c r="Z473" i="9" s="1"/>
  <c r="L473" i="9"/>
  <c r="I473" i="9"/>
  <c r="G473" i="9"/>
  <c r="F473" i="9"/>
  <c r="E473" i="9"/>
  <c r="Y472" i="9"/>
  <c r="X472" i="9"/>
  <c r="W472" i="9"/>
  <c r="V472" i="9"/>
  <c r="U472" i="9"/>
  <c r="S472" i="9"/>
  <c r="Z472" i="9" s="1"/>
  <c r="L472" i="9"/>
  <c r="I472" i="9"/>
  <c r="G472" i="9"/>
  <c r="F472" i="9"/>
  <c r="E472" i="9"/>
  <c r="Y471" i="9"/>
  <c r="X471" i="9"/>
  <c r="W471" i="9"/>
  <c r="V471" i="9"/>
  <c r="U471" i="9"/>
  <c r="S471" i="9"/>
  <c r="Z471" i="9" s="1"/>
  <c r="L471" i="9"/>
  <c r="I471" i="9"/>
  <c r="G471" i="9"/>
  <c r="F471" i="9"/>
  <c r="E471" i="9"/>
  <c r="Y470" i="9"/>
  <c r="X470" i="9"/>
  <c r="W470" i="9"/>
  <c r="V470" i="9"/>
  <c r="U470" i="9"/>
  <c r="S470" i="9"/>
  <c r="Z470" i="9" s="1"/>
  <c r="L470" i="9"/>
  <c r="I470" i="9"/>
  <c r="G470" i="9"/>
  <c r="F470" i="9"/>
  <c r="E470" i="9"/>
  <c r="Y469" i="9"/>
  <c r="X469" i="9"/>
  <c r="W469" i="9"/>
  <c r="V469" i="9"/>
  <c r="U469" i="9"/>
  <c r="S469" i="9"/>
  <c r="Z469" i="9" s="1"/>
  <c r="L469" i="9"/>
  <c r="I469" i="9"/>
  <c r="G469" i="9"/>
  <c r="F469" i="9"/>
  <c r="E469" i="9"/>
  <c r="Y468" i="9"/>
  <c r="X468" i="9"/>
  <c r="W468" i="9"/>
  <c r="V468" i="9"/>
  <c r="U468" i="9"/>
  <c r="S468" i="9"/>
  <c r="Z468" i="9" s="1"/>
  <c r="L468" i="9"/>
  <c r="I468" i="9"/>
  <c r="G468" i="9"/>
  <c r="F468" i="9"/>
  <c r="E468" i="9"/>
  <c r="Y467" i="9"/>
  <c r="X467" i="9"/>
  <c r="W467" i="9"/>
  <c r="V467" i="9"/>
  <c r="U467" i="9"/>
  <c r="S467" i="9"/>
  <c r="Z467" i="9" s="1"/>
  <c r="L467" i="9"/>
  <c r="I467" i="9"/>
  <c r="G467" i="9"/>
  <c r="F467" i="9"/>
  <c r="E467" i="9"/>
  <c r="Y466" i="9"/>
  <c r="X466" i="9"/>
  <c r="W466" i="9"/>
  <c r="V466" i="9"/>
  <c r="U466" i="9"/>
  <c r="S466" i="9"/>
  <c r="Z466" i="9" s="1"/>
  <c r="L466" i="9"/>
  <c r="I466" i="9"/>
  <c r="G466" i="9"/>
  <c r="F466" i="9"/>
  <c r="E466" i="9"/>
  <c r="Y465" i="9"/>
  <c r="X465" i="9"/>
  <c r="W465" i="9"/>
  <c r="V465" i="9"/>
  <c r="U465" i="9"/>
  <c r="S465" i="9"/>
  <c r="Z465" i="9" s="1"/>
  <c r="L465" i="9"/>
  <c r="I465" i="9"/>
  <c r="G465" i="9"/>
  <c r="F465" i="9"/>
  <c r="E465" i="9"/>
  <c r="Y464" i="9"/>
  <c r="X464" i="9"/>
  <c r="W464" i="9"/>
  <c r="V464" i="9"/>
  <c r="U464" i="9"/>
  <c r="S464" i="9"/>
  <c r="Z464" i="9" s="1"/>
  <c r="L464" i="9"/>
  <c r="I464" i="9"/>
  <c r="G464" i="9"/>
  <c r="F464" i="9"/>
  <c r="E464" i="9"/>
  <c r="Y463" i="9"/>
  <c r="X463" i="9"/>
  <c r="W463" i="9"/>
  <c r="V463" i="9"/>
  <c r="U463" i="9"/>
  <c r="S463" i="9"/>
  <c r="Z463" i="9" s="1"/>
  <c r="L463" i="9"/>
  <c r="I463" i="9"/>
  <c r="G463" i="9"/>
  <c r="F463" i="9"/>
  <c r="E463" i="9"/>
  <c r="Y462" i="9"/>
  <c r="X462" i="9"/>
  <c r="W462" i="9"/>
  <c r="V462" i="9"/>
  <c r="U462" i="9"/>
  <c r="S462" i="9"/>
  <c r="Z462" i="9" s="1"/>
  <c r="L462" i="9"/>
  <c r="I462" i="9"/>
  <c r="G462" i="9"/>
  <c r="F462" i="9"/>
  <c r="E462" i="9"/>
  <c r="Y461" i="9"/>
  <c r="X461" i="9"/>
  <c r="W461" i="9"/>
  <c r="V461" i="9"/>
  <c r="U461" i="9"/>
  <c r="S461" i="9"/>
  <c r="Z461" i="9" s="1"/>
  <c r="L461" i="9"/>
  <c r="I461" i="9"/>
  <c r="G461" i="9"/>
  <c r="F461" i="9"/>
  <c r="E461" i="9"/>
  <c r="Y460" i="9"/>
  <c r="X460" i="9"/>
  <c r="W460" i="9"/>
  <c r="V460" i="9"/>
  <c r="U460" i="9"/>
  <c r="S460" i="9"/>
  <c r="Z460" i="9" s="1"/>
  <c r="L460" i="9"/>
  <c r="I460" i="9"/>
  <c r="G460" i="9"/>
  <c r="F460" i="9"/>
  <c r="E460" i="9"/>
  <c r="Y459" i="9"/>
  <c r="X459" i="9"/>
  <c r="W459" i="9"/>
  <c r="V459" i="9"/>
  <c r="U459" i="9"/>
  <c r="S459" i="9"/>
  <c r="Z459" i="9" s="1"/>
  <c r="L459" i="9"/>
  <c r="I459" i="9"/>
  <c r="G459" i="9"/>
  <c r="F459" i="9"/>
  <c r="E459" i="9"/>
  <c r="Y458" i="9"/>
  <c r="X458" i="9"/>
  <c r="W458" i="9"/>
  <c r="V458" i="9"/>
  <c r="U458" i="9"/>
  <c r="S458" i="9"/>
  <c r="Z458" i="9" s="1"/>
  <c r="L458" i="9"/>
  <c r="I458" i="9"/>
  <c r="G458" i="9"/>
  <c r="F458" i="9"/>
  <c r="E458" i="9"/>
  <c r="Y457" i="9"/>
  <c r="X457" i="9"/>
  <c r="W457" i="9"/>
  <c r="V457" i="9"/>
  <c r="U457" i="9"/>
  <c r="S457" i="9"/>
  <c r="Z457" i="9" s="1"/>
  <c r="L457" i="9"/>
  <c r="I457" i="9"/>
  <c r="G457" i="9"/>
  <c r="F457" i="9"/>
  <c r="E457" i="9"/>
  <c r="Y456" i="9"/>
  <c r="X456" i="9"/>
  <c r="W456" i="9"/>
  <c r="V456" i="9"/>
  <c r="U456" i="9"/>
  <c r="S456" i="9"/>
  <c r="Z456" i="9" s="1"/>
  <c r="L456" i="9"/>
  <c r="I456" i="9"/>
  <c r="G456" i="9"/>
  <c r="F456" i="9"/>
  <c r="E456" i="9"/>
  <c r="Y455" i="9"/>
  <c r="X455" i="9"/>
  <c r="W455" i="9"/>
  <c r="V455" i="9"/>
  <c r="U455" i="9"/>
  <c r="S455" i="9"/>
  <c r="Z455" i="9" s="1"/>
  <c r="L455" i="9"/>
  <c r="I455" i="9"/>
  <c r="G455" i="9"/>
  <c r="F455" i="9"/>
  <c r="E455" i="9"/>
  <c r="Y454" i="9"/>
  <c r="X454" i="9"/>
  <c r="W454" i="9"/>
  <c r="V454" i="9"/>
  <c r="U454" i="9"/>
  <c r="S454" i="9"/>
  <c r="Z454" i="9" s="1"/>
  <c r="L454" i="9"/>
  <c r="I454" i="9"/>
  <c r="G454" i="9"/>
  <c r="F454" i="9"/>
  <c r="E454" i="9"/>
  <c r="Y453" i="9"/>
  <c r="X453" i="9"/>
  <c r="W453" i="9"/>
  <c r="V453" i="9"/>
  <c r="U453" i="9"/>
  <c r="S453" i="9"/>
  <c r="Z453" i="9" s="1"/>
  <c r="L453" i="9"/>
  <c r="I453" i="9"/>
  <c r="G453" i="9"/>
  <c r="F453" i="9"/>
  <c r="E453" i="9"/>
  <c r="Y452" i="9"/>
  <c r="X452" i="9"/>
  <c r="W452" i="9"/>
  <c r="V452" i="9"/>
  <c r="U452" i="9"/>
  <c r="S452" i="9"/>
  <c r="Z452" i="9" s="1"/>
  <c r="L452" i="9"/>
  <c r="I452" i="9"/>
  <c r="G452" i="9"/>
  <c r="F452" i="9"/>
  <c r="E452" i="9"/>
  <c r="Y451" i="9"/>
  <c r="X451" i="9"/>
  <c r="W451" i="9"/>
  <c r="V451" i="9"/>
  <c r="U451" i="9"/>
  <c r="S451" i="9"/>
  <c r="Z451" i="9" s="1"/>
  <c r="L451" i="9"/>
  <c r="I451" i="9"/>
  <c r="G451" i="9"/>
  <c r="F451" i="9"/>
  <c r="E451" i="9"/>
  <c r="Y450" i="9"/>
  <c r="X450" i="9"/>
  <c r="W450" i="9"/>
  <c r="V450" i="9"/>
  <c r="U450" i="9"/>
  <c r="S450" i="9"/>
  <c r="Z450" i="9" s="1"/>
  <c r="L450" i="9"/>
  <c r="I450" i="9"/>
  <c r="G450" i="9"/>
  <c r="F450" i="9"/>
  <c r="E450" i="9"/>
  <c r="Y449" i="9"/>
  <c r="X449" i="9"/>
  <c r="W449" i="9"/>
  <c r="V449" i="9"/>
  <c r="U449" i="9"/>
  <c r="S449" i="9"/>
  <c r="Z449" i="9" s="1"/>
  <c r="L449" i="9"/>
  <c r="I449" i="9"/>
  <c r="G449" i="9"/>
  <c r="F449" i="9"/>
  <c r="E449" i="9"/>
  <c r="Y448" i="9"/>
  <c r="X448" i="9"/>
  <c r="W448" i="9"/>
  <c r="V448" i="9"/>
  <c r="U448" i="9"/>
  <c r="S448" i="9"/>
  <c r="Z448" i="9" s="1"/>
  <c r="L448" i="9"/>
  <c r="I448" i="9"/>
  <c r="G448" i="9"/>
  <c r="F448" i="9"/>
  <c r="E448" i="9"/>
  <c r="Y447" i="9"/>
  <c r="X447" i="9"/>
  <c r="W447" i="9"/>
  <c r="V447" i="9"/>
  <c r="U447" i="9"/>
  <c r="S447" i="9"/>
  <c r="Z447" i="9" s="1"/>
  <c r="L447" i="9"/>
  <c r="I447" i="9"/>
  <c r="G447" i="9"/>
  <c r="F447" i="9"/>
  <c r="E447" i="9"/>
  <c r="Y446" i="9"/>
  <c r="X446" i="9"/>
  <c r="W446" i="9"/>
  <c r="V446" i="9"/>
  <c r="U446" i="9"/>
  <c r="S446" i="9"/>
  <c r="Z446" i="9" s="1"/>
  <c r="L446" i="9"/>
  <c r="I446" i="9"/>
  <c r="G446" i="9"/>
  <c r="F446" i="9"/>
  <c r="E446" i="9"/>
  <c r="Y445" i="9"/>
  <c r="X445" i="9"/>
  <c r="W445" i="9"/>
  <c r="V445" i="9"/>
  <c r="U445" i="9"/>
  <c r="S445" i="9"/>
  <c r="Z445" i="9" s="1"/>
  <c r="L445" i="9"/>
  <c r="I445" i="9"/>
  <c r="G445" i="9"/>
  <c r="F445" i="9"/>
  <c r="E445" i="9"/>
  <c r="Y444" i="9"/>
  <c r="X444" i="9"/>
  <c r="W444" i="9"/>
  <c r="V444" i="9"/>
  <c r="U444" i="9"/>
  <c r="S444" i="9"/>
  <c r="Z444" i="9" s="1"/>
  <c r="L444" i="9"/>
  <c r="I444" i="9"/>
  <c r="G444" i="9"/>
  <c r="F444" i="9"/>
  <c r="E444" i="9"/>
  <c r="Y443" i="9"/>
  <c r="X443" i="9"/>
  <c r="W443" i="9"/>
  <c r="V443" i="9"/>
  <c r="U443" i="9"/>
  <c r="S443" i="9"/>
  <c r="Z443" i="9" s="1"/>
  <c r="L443" i="9"/>
  <c r="I443" i="9"/>
  <c r="G443" i="9"/>
  <c r="F443" i="9"/>
  <c r="E443" i="9"/>
  <c r="Y442" i="9"/>
  <c r="X442" i="9"/>
  <c r="W442" i="9"/>
  <c r="V442" i="9"/>
  <c r="U442" i="9"/>
  <c r="S442" i="9"/>
  <c r="Z442" i="9" s="1"/>
  <c r="L442" i="9"/>
  <c r="I442" i="9"/>
  <c r="G442" i="9"/>
  <c r="F442" i="9"/>
  <c r="E442" i="9"/>
  <c r="Y441" i="9"/>
  <c r="X441" i="9"/>
  <c r="W441" i="9"/>
  <c r="V441" i="9"/>
  <c r="U441" i="9"/>
  <c r="S441" i="9"/>
  <c r="Z441" i="9" s="1"/>
  <c r="L441" i="9"/>
  <c r="I441" i="9"/>
  <c r="G441" i="9"/>
  <c r="F441" i="9"/>
  <c r="E441" i="9"/>
  <c r="Y440" i="9"/>
  <c r="X440" i="9"/>
  <c r="W440" i="9"/>
  <c r="V440" i="9"/>
  <c r="U440" i="9"/>
  <c r="S440" i="9"/>
  <c r="Z440" i="9" s="1"/>
  <c r="L440" i="9"/>
  <c r="I440" i="9"/>
  <c r="G440" i="9"/>
  <c r="F440" i="9"/>
  <c r="E440" i="9"/>
  <c r="Y439" i="9"/>
  <c r="X439" i="9"/>
  <c r="W439" i="9"/>
  <c r="V439" i="9"/>
  <c r="U439" i="9"/>
  <c r="S439" i="9"/>
  <c r="Z439" i="9" s="1"/>
  <c r="L439" i="9"/>
  <c r="I439" i="9"/>
  <c r="G439" i="9"/>
  <c r="F439" i="9"/>
  <c r="E439" i="9"/>
  <c r="Y438" i="9"/>
  <c r="X438" i="9"/>
  <c r="W438" i="9"/>
  <c r="V438" i="9"/>
  <c r="U438" i="9"/>
  <c r="S438" i="9"/>
  <c r="Z438" i="9" s="1"/>
  <c r="L438" i="9"/>
  <c r="I438" i="9"/>
  <c r="G438" i="9"/>
  <c r="F438" i="9"/>
  <c r="E438" i="9"/>
  <c r="Y437" i="9"/>
  <c r="X437" i="9"/>
  <c r="W437" i="9"/>
  <c r="V437" i="9"/>
  <c r="U437" i="9"/>
  <c r="S437" i="9"/>
  <c r="Z437" i="9" s="1"/>
  <c r="L437" i="9"/>
  <c r="I437" i="9"/>
  <c r="G437" i="9"/>
  <c r="F437" i="9"/>
  <c r="E437" i="9"/>
  <c r="Y436" i="9"/>
  <c r="X436" i="9"/>
  <c r="W436" i="9"/>
  <c r="V436" i="9"/>
  <c r="U436" i="9"/>
  <c r="S436" i="9"/>
  <c r="Z436" i="9" s="1"/>
  <c r="L436" i="9"/>
  <c r="I436" i="9"/>
  <c r="G436" i="9"/>
  <c r="F436" i="9"/>
  <c r="E436" i="9"/>
  <c r="Y435" i="9"/>
  <c r="X435" i="9"/>
  <c r="W435" i="9"/>
  <c r="V435" i="9"/>
  <c r="U435" i="9"/>
  <c r="S435" i="9"/>
  <c r="Z435" i="9" s="1"/>
  <c r="L435" i="9"/>
  <c r="I435" i="9"/>
  <c r="G435" i="9"/>
  <c r="F435" i="9"/>
  <c r="E435" i="9"/>
  <c r="Y434" i="9"/>
  <c r="X434" i="9"/>
  <c r="W434" i="9"/>
  <c r="V434" i="9"/>
  <c r="U434" i="9"/>
  <c r="S434" i="9"/>
  <c r="Z434" i="9" s="1"/>
  <c r="L434" i="9"/>
  <c r="I434" i="9"/>
  <c r="G434" i="9"/>
  <c r="F434" i="9"/>
  <c r="E434" i="9"/>
  <c r="Y433" i="9"/>
  <c r="X433" i="9"/>
  <c r="W433" i="9"/>
  <c r="V433" i="9"/>
  <c r="U433" i="9"/>
  <c r="S433" i="9"/>
  <c r="Z433" i="9" s="1"/>
  <c r="L433" i="9"/>
  <c r="I433" i="9"/>
  <c r="G433" i="9"/>
  <c r="F433" i="9"/>
  <c r="E433" i="9"/>
  <c r="Y432" i="9"/>
  <c r="X432" i="9"/>
  <c r="W432" i="9"/>
  <c r="V432" i="9"/>
  <c r="U432" i="9"/>
  <c r="S432" i="9"/>
  <c r="Z432" i="9" s="1"/>
  <c r="L432" i="9"/>
  <c r="I432" i="9"/>
  <c r="G432" i="9"/>
  <c r="F432" i="9"/>
  <c r="E432" i="9"/>
  <c r="Y431" i="9"/>
  <c r="X431" i="9"/>
  <c r="W431" i="9"/>
  <c r="V431" i="9"/>
  <c r="U431" i="9"/>
  <c r="S431" i="9"/>
  <c r="Z431" i="9" s="1"/>
  <c r="L431" i="9"/>
  <c r="I431" i="9"/>
  <c r="G431" i="9"/>
  <c r="F431" i="9"/>
  <c r="E431" i="9"/>
  <c r="Y430" i="9"/>
  <c r="X430" i="9"/>
  <c r="W430" i="9"/>
  <c r="V430" i="9"/>
  <c r="U430" i="9"/>
  <c r="S430" i="9"/>
  <c r="Z430" i="9" s="1"/>
  <c r="L430" i="9"/>
  <c r="I430" i="9"/>
  <c r="G430" i="9"/>
  <c r="F430" i="9"/>
  <c r="E430" i="9"/>
  <c r="Y429" i="9"/>
  <c r="X429" i="9"/>
  <c r="W429" i="9"/>
  <c r="V429" i="9"/>
  <c r="U429" i="9"/>
  <c r="S429" i="9"/>
  <c r="Z429" i="9" s="1"/>
  <c r="L429" i="9"/>
  <c r="I429" i="9"/>
  <c r="G429" i="9"/>
  <c r="F429" i="9"/>
  <c r="E429" i="9"/>
  <c r="Y428" i="9"/>
  <c r="X428" i="9"/>
  <c r="W428" i="9"/>
  <c r="V428" i="9"/>
  <c r="U428" i="9"/>
  <c r="S428" i="9"/>
  <c r="Z428" i="9" s="1"/>
  <c r="L428" i="9"/>
  <c r="I428" i="9"/>
  <c r="G428" i="9"/>
  <c r="F428" i="9"/>
  <c r="E428" i="9"/>
  <c r="Y427" i="9"/>
  <c r="X427" i="9"/>
  <c r="W427" i="9"/>
  <c r="V427" i="9"/>
  <c r="U427" i="9"/>
  <c r="S427" i="9"/>
  <c r="Z427" i="9" s="1"/>
  <c r="L427" i="9"/>
  <c r="I427" i="9"/>
  <c r="G427" i="9"/>
  <c r="F427" i="9"/>
  <c r="E427" i="9"/>
  <c r="Y426" i="9"/>
  <c r="X426" i="9"/>
  <c r="W426" i="9"/>
  <c r="V426" i="9"/>
  <c r="U426" i="9"/>
  <c r="S426" i="9"/>
  <c r="Z426" i="9" s="1"/>
  <c r="L426" i="9"/>
  <c r="I426" i="9"/>
  <c r="G426" i="9"/>
  <c r="F426" i="9"/>
  <c r="E426" i="9"/>
  <c r="Y425" i="9"/>
  <c r="X425" i="9"/>
  <c r="W425" i="9"/>
  <c r="V425" i="9"/>
  <c r="U425" i="9"/>
  <c r="S425" i="9"/>
  <c r="Z425" i="9" s="1"/>
  <c r="L425" i="9"/>
  <c r="I425" i="9"/>
  <c r="G425" i="9"/>
  <c r="F425" i="9"/>
  <c r="E425" i="9"/>
  <c r="Y424" i="9"/>
  <c r="X424" i="9"/>
  <c r="W424" i="9"/>
  <c r="V424" i="9"/>
  <c r="U424" i="9"/>
  <c r="S424" i="9"/>
  <c r="Z424" i="9" s="1"/>
  <c r="L424" i="9"/>
  <c r="I424" i="9"/>
  <c r="G424" i="9"/>
  <c r="F424" i="9"/>
  <c r="E424" i="9"/>
  <c r="Y423" i="9"/>
  <c r="X423" i="9"/>
  <c r="W423" i="9"/>
  <c r="V423" i="9"/>
  <c r="U423" i="9"/>
  <c r="S423" i="9"/>
  <c r="Z423" i="9" s="1"/>
  <c r="L423" i="9"/>
  <c r="I423" i="9"/>
  <c r="G423" i="9"/>
  <c r="F423" i="9"/>
  <c r="E423" i="9"/>
  <c r="Y422" i="9"/>
  <c r="X422" i="9"/>
  <c r="W422" i="9"/>
  <c r="V422" i="9"/>
  <c r="U422" i="9"/>
  <c r="S422" i="9"/>
  <c r="Z422" i="9" s="1"/>
  <c r="L422" i="9"/>
  <c r="I422" i="9"/>
  <c r="G422" i="9"/>
  <c r="F422" i="9"/>
  <c r="E422" i="9"/>
  <c r="Y421" i="9"/>
  <c r="X421" i="9"/>
  <c r="W421" i="9"/>
  <c r="V421" i="9"/>
  <c r="U421" i="9"/>
  <c r="S421" i="9"/>
  <c r="Z421" i="9" s="1"/>
  <c r="L421" i="9"/>
  <c r="I421" i="9"/>
  <c r="G421" i="9"/>
  <c r="F421" i="9"/>
  <c r="E421" i="9"/>
  <c r="Y420" i="9"/>
  <c r="X420" i="9"/>
  <c r="W420" i="9"/>
  <c r="V420" i="9"/>
  <c r="U420" i="9"/>
  <c r="S420" i="9"/>
  <c r="Z420" i="9" s="1"/>
  <c r="L420" i="9"/>
  <c r="I420" i="9"/>
  <c r="G420" i="9"/>
  <c r="F420" i="9"/>
  <c r="E420" i="9"/>
  <c r="Y419" i="9"/>
  <c r="X419" i="9"/>
  <c r="W419" i="9"/>
  <c r="V419" i="9"/>
  <c r="U419" i="9"/>
  <c r="S419" i="9"/>
  <c r="Z419" i="9" s="1"/>
  <c r="L419" i="9"/>
  <c r="I419" i="9"/>
  <c r="G419" i="9"/>
  <c r="F419" i="9"/>
  <c r="E419" i="9"/>
  <c r="Y418" i="9"/>
  <c r="X418" i="9"/>
  <c r="W418" i="9"/>
  <c r="V418" i="9"/>
  <c r="U418" i="9"/>
  <c r="S418" i="9"/>
  <c r="Z418" i="9" s="1"/>
  <c r="L418" i="9"/>
  <c r="I418" i="9"/>
  <c r="G418" i="9"/>
  <c r="F418" i="9"/>
  <c r="E418" i="9"/>
  <c r="Y417" i="9"/>
  <c r="X417" i="9"/>
  <c r="W417" i="9"/>
  <c r="V417" i="9"/>
  <c r="U417" i="9"/>
  <c r="S417" i="9"/>
  <c r="Z417" i="9" s="1"/>
  <c r="L417" i="9"/>
  <c r="I417" i="9"/>
  <c r="G417" i="9"/>
  <c r="F417" i="9"/>
  <c r="E417" i="9"/>
  <c r="Y416" i="9"/>
  <c r="X416" i="9"/>
  <c r="W416" i="9"/>
  <c r="V416" i="9"/>
  <c r="U416" i="9"/>
  <c r="S416" i="9"/>
  <c r="Z416" i="9" s="1"/>
  <c r="L416" i="9"/>
  <c r="I416" i="9"/>
  <c r="G416" i="9"/>
  <c r="F416" i="9"/>
  <c r="E416" i="9"/>
  <c r="Y415" i="9"/>
  <c r="X415" i="9"/>
  <c r="W415" i="9"/>
  <c r="V415" i="9"/>
  <c r="U415" i="9"/>
  <c r="S415" i="9"/>
  <c r="Z415" i="9" s="1"/>
  <c r="L415" i="9"/>
  <c r="I415" i="9"/>
  <c r="G415" i="9"/>
  <c r="F415" i="9"/>
  <c r="E415" i="9"/>
  <c r="Y414" i="9"/>
  <c r="X414" i="9"/>
  <c r="W414" i="9"/>
  <c r="V414" i="9"/>
  <c r="U414" i="9"/>
  <c r="S414" i="9"/>
  <c r="Z414" i="9" s="1"/>
  <c r="L414" i="9"/>
  <c r="I414" i="9"/>
  <c r="G414" i="9"/>
  <c r="F414" i="9"/>
  <c r="E414" i="9"/>
  <c r="Y413" i="9"/>
  <c r="X413" i="9"/>
  <c r="W413" i="9"/>
  <c r="V413" i="9"/>
  <c r="U413" i="9"/>
  <c r="S413" i="9"/>
  <c r="Z413" i="9" s="1"/>
  <c r="L413" i="9"/>
  <c r="I413" i="9"/>
  <c r="G413" i="9"/>
  <c r="F413" i="9"/>
  <c r="E413" i="9"/>
  <c r="Y412" i="9"/>
  <c r="X412" i="9"/>
  <c r="W412" i="9"/>
  <c r="V412" i="9"/>
  <c r="U412" i="9"/>
  <c r="S412" i="9"/>
  <c r="Z412" i="9" s="1"/>
  <c r="L412" i="9"/>
  <c r="I412" i="9"/>
  <c r="G412" i="9"/>
  <c r="F412" i="9"/>
  <c r="E412" i="9"/>
  <c r="Y411" i="9"/>
  <c r="X411" i="9"/>
  <c r="W411" i="9"/>
  <c r="V411" i="9"/>
  <c r="U411" i="9"/>
  <c r="S411" i="9"/>
  <c r="Z411" i="9" s="1"/>
  <c r="L411" i="9"/>
  <c r="I411" i="9"/>
  <c r="G411" i="9"/>
  <c r="F411" i="9"/>
  <c r="E411" i="9"/>
  <c r="Y410" i="9"/>
  <c r="X410" i="9"/>
  <c r="W410" i="9"/>
  <c r="V410" i="9"/>
  <c r="U410" i="9"/>
  <c r="S410" i="9"/>
  <c r="Z410" i="9" s="1"/>
  <c r="L410" i="9"/>
  <c r="I410" i="9"/>
  <c r="G410" i="9"/>
  <c r="F410" i="9"/>
  <c r="E410" i="9"/>
  <c r="Y409" i="9"/>
  <c r="X409" i="9"/>
  <c r="W409" i="9"/>
  <c r="V409" i="9"/>
  <c r="U409" i="9"/>
  <c r="S409" i="9"/>
  <c r="Z409" i="9" s="1"/>
  <c r="L409" i="9"/>
  <c r="I409" i="9"/>
  <c r="G409" i="9"/>
  <c r="F409" i="9"/>
  <c r="E409" i="9"/>
  <c r="Y408" i="9"/>
  <c r="X408" i="9"/>
  <c r="W408" i="9"/>
  <c r="V408" i="9"/>
  <c r="U408" i="9"/>
  <c r="S408" i="9"/>
  <c r="Z408" i="9" s="1"/>
  <c r="L408" i="9"/>
  <c r="I408" i="9"/>
  <c r="G408" i="9"/>
  <c r="F408" i="9"/>
  <c r="E408" i="9"/>
  <c r="Y407" i="9"/>
  <c r="X407" i="9"/>
  <c r="W407" i="9"/>
  <c r="V407" i="9"/>
  <c r="U407" i="9"/>
  <c r="S407" i="9"/>
  <c r="Z407" i="9" s="1"/>
  <c r="L407" i="9"/>
  <c r="I407" i="9"/>
  <c r="G407" i="9"/>
  <c r="F407" i="9"/>
  <c r="E407" i="9"/>
  <c r="Y406" i="9"/>
  <c r="X406" i="9"/>
  <c r="W406" i="9"/>
  <c r="V406" i="9"/>
  <c r="U406" i="9"/>
  <c r="S406" i="9"/>
  <c r="Z406" i="9" s="1"/>
  <c r="L406" i="9"/>
  <c r="I406" i="9"/>
  <c r="G406" i="9"/>
  <c r="F406" i="9"/>
  <c r="E406" i="9"/>
  <c r="Y405" i="9"/>
  <c r="X405" i="9"/>
  <c r="W405" i="9"/>
  <c r="V405" i="9"/>
  <c r="U405" i="9"/>
  <c r="S405" i="9"/>
  <c r="Z405" i="9" s="1"/>
  <c r="L405" i="9"/>
  <c r="I405" i="9"/>
  <c r="G405" i="9"/>
  <c r="F405" i="9"/>
  <c r="E405" i="9"/>
  <c r="Y404" i="9"/>
  <c r="X404" i="9"/>
  <c r="W404" i="9"/>
  <c r="V404" i="9"/>
  <c r="U404" i="9"/>
  <c r="S404" i="9"/>
  <c r="Z404" i="9" s="1"/>
  <c r="L404" i="9"/>
  <c r="I404" i="9"/>
  <c r="G404" i="9"/>
  <c r="F404" i="9"/>
  <c r="E404" i="9"/>
  <c r="Y403" i="9"/>
  <c r="X403" i="9"/>
  <c r="W403" i="9"/>
  <c r="V403" i="9"/>
  <c r="U403" i="9"/>
  <c r="S403" i="9"/>
  <c r="Z403" i="9" s="1"/>
  <c r="L403" i="9"/>
  <c r="I403" i="9"/>
  <c r="G403" i="9"/>
  <c r="F403" i="9"/>
  <c r="E403" i="9"/>
  <c r="Y402" i="9"/>
  <c r="X402" i="9"/>
  <c r="W402" i="9"/>
  <c r="V402" i="9"/>
  <c r="U402" i="9"/>
  <c r="S402" i="9"/>
  <c r="Z402" i="9" s="1"/>
  <c r="L402" i="9"/>
  <c r="I402" i="9"/>
  <c r="G402" i="9"/>
  <c r="F402" i="9"/>
  <c r="E402" i="9"/>
  <c r="Y401" i="9"/>
  <c r="X401" i="9"/>
  <c r="W401" i="9"/>
  <c r="V401" i="9"/>
  <c r="U401" i="9"/>
  <c r="S401" i="9"/>
  <c r="Z401" i="9" s="1"/>
  <c r="L401" i="9"/>
  <c r="I401" i="9"/>
  <c r="G401" i="9"/>
  <c r="F401" i="9"/>
  <c r="E401" i="9"/>
  <c r="Y400" i="9"/>
  <c r="X400" i="9"/>
  <c r="W400" i="9"/>
  <c r="V400" i="9"/>
  <c r="U400" i="9"/>
  <c r="S400" i="9"/>
  <c r="Z400" i="9" s="1"/>
  <c r="L400" i="9"/>
  <c r="I400" i="9"/>
  <c r="G400" i="9"/>
  <c r="F400" i="9"/>
  <c r="E400" i="9"/>
  <c r="Y399" i="9"/>
  <c r="X399" i="9"/>
  <c r="W399" i="9"/>
  <c r="V399" i="9"/>
  <c r="U399" i="9"/>
  <c r="S399" i="9"/>
  <c r="Z399" i="9" s="1"/>
  <c r="L399" i="9"/>
  <c r="I399" i="9"/>
  <c r="G399" i="9"/>
  <c r="F399" i="9"/>
  <c r="E399" i="9"/>
  <c r="Y398" i="9"/>
  <c r="X398" i="9"/>
  <c r="W398" i="9"/>
  <c r="V398" i="9"/>
  <c r="U398" i="9"/>
  <c r="S398" i="9"/>
  <c r="Z398" i="9" s="1"/>
  <c r="L398" i="9"/>
  <c r="I398" i="9"/>
  <c r="G398" i="9"/>
  <c r="F398" i="9"/>
  <c r="E398" i="9"/>
  <c r="Y397" i="9"/>
  <c r="X397" i="9"/>
  <c r="W397" i="9"/>
  <c r="V397" i="9"/>
  <c r="U397" i="9"/>
  <c r="S397" i="9"/>
  <c r="Z397" i="9" s="1"/>
  <c r="L397" i="9"/>
  <c r="I397" i="9"/>
  <c r="G397" i="9"/>
  <c r="F397" i="9"/>
  <c r="E397" i="9"/>
  <c r="Y396" i="9"/>
  <c r="X396" i="9"/>
  <c r="W396" i="9"/>
  <c r="V396" i="9"/>
  <c r="U396" i="9"/>
  <c r="S396" i="9"/>
  <c r="Z396" i="9" s="1"/>
  <c r="L396" i="9"/>
  <c r="I396" i="9"/>
  <c r="G396" i="9"/>
  <c r="F396" i="9"/>
  <c r="E396" i="9"/>
  <c r="Y395" i="9"/>
  <c r="X395" i="9"/>
  <c r="W395" i="9"/>
  <c r="V395" i="9"/>
  <c r="U395" i="9"/>
  <c r="S395" i="9"/>
  <c r="Z395" i="9" s="1"/>
  <c r="L395" i="9"/>
  <c r="I395" i="9"/>
  <c r="G395" i="9"/>
  <c r="F395" i="9"/>
  <c r="E395" i="9"/>
  <c r="Y394" i="9"/>
  <c r="X394" i="9"/>
  <c r="W394" i="9"/>
  <c r="V394" i="9"/>
  <c r="U394" i="9"/>
  <c r="S394" i="9"/>
  <c r="Z394" i="9" s="1"/>
  <c r="L394" i="9"/>
  <c r="I394" i="9"/>
  <c r="G394" i="9"/>
  <c r="F394" i="9"/>
  <c r="E394" i="9"/>
  <c r="Y393" i="9"/>
  <c r="X393" i="9"/>
  <c r="W393" i="9"/>
  <c r="V393" i="9"/>
  <c r="U393" i="9"/>
  <c r="S393" i="9"/>
  <c r="Z393" i="9" s="1"/>
  <c r="L393" i="9"/>
  <c r="I393" i="9"/>
  <c r="G393" i="9"/>
  <c r="F393" i="9"/>
  <c r="E393" i="9"/>
  <c r="Y392" i="9"/>
  <c r="X392" i="9"/>
  <c r="W392" i="9"/>
  <c r="V392" i="9"/>
  <c r="U392" i="9"/>
  <c r="S392" i="9"/>
  <c r="Z392" i="9" s="1"/>
  <c r="L392" i="9"/>
  <c r="I392" i="9"/>
  <c r="G392" i="9"/>
  <c r="F392" i="9"/>
  <c r="E392" i="9"/>
  <c r="Y391" i="9"/>
  <c r="X391" i="9"/>
  <c r="W391" i="9"/>
  <c r="V391" i="9"/>
  <c r="U391" i="9"/>
  <c r="S391" i="9"/>
  <c r="Z391" i="9" s="1"/>
  <c r="L391" i="9"/>
  <c r="I391" i="9"/>
  <c r="G391" i="9"/>
  <c r="F391" i="9"/>
  <c r="E391" i="9"/>
  <c r="Y390" i="9"/>
  <c r="X390" i="9"/>
  <c r="W390" i="9"/>
  <c r="V390" i="9"/>
  <c r="U390" i="9"/>
  <c r="S390" i="9"/>
  <c r="Z390" i="9" s="1"/>
  <c r="L390" i="9"/>
  <c r="I390" i="9"/>
  <c r="G390" i="9"/>
  <c r="F390" i="9"/>
  <c r="E390" i="9"/>
  <c r="Y389" i="9"/>
  <c r="X389" i="9"/>
  <c r="W389" i="9"/>
  <c r="V389" i="9"/>
  <c r="U389" i="9"/>
  <c r="S389" i="9"/>
  <c r="Z389" i="9" s="1"/>
  <c r="L389" i="9"/>
  <c r="I389" i="9"/>
  <c r="G389" i="9"/>
  <c r="F389" i="9"/>
  <c r="E389" i="9"/>
  <c r="Y388" i="9"/>
  <c r="X388" i="9"/>
  <c r="W388" i="9"/>
  <c r="V388" i="9"/>
  <c r="U388" i="9"/>
  <c r="S388" i="9"/>
  <c r="Z388" i="9" s="1"/>
  <c r="L388" i="9"/>
  <c r="I388" i="9"/>
  <c r="G388" i="9"/>
  <c r="F388" i="9"/>
  <c r="E388" i="9"/>
  <c r="Y387" i="9"/>
  <c r="X387" i="9"/>
  <c r="W387" i="9"/>
  <c r="V387" i="9"/>
  <c r="U387" i="9"/>
  <c r="S387" i="9"/>
  <c r="Z387" i="9" s="1"/>
  <c r="L387" i="9"/>
  <c r="I387" i="9"/>
  <c r="G387" i="9"/>
  <c r="F387" i="9"/>
  <c r="E387" i="9"/>
  <c r="Y386" i="9"/>
  <c r="X386" i="9"/>
  <c r="W386" i="9"/>
  <c r="V386" i="9"/>
  <c r="U386" i="9"/>
  <c r="S386" i="9"/>
  <c r="Z386" i="9" s="1"/>
  <c r="L386" i="9"/>
  <c r="I386" i="9"/>
  <c r="G386" i="9"/>
  <c r="F386" i="9"/>
  <c r="E386" i="9"/>
  <c r="Y385" i="9"/>
  <c r="X385" i="9"/>
  <c r="W385" i="9"/>
  <c r="V385" i="9"/>
  <c r="U385" i="9"/>
  <c r="S385" i="9"/>
  <c r="Z385" i="9" s="1"/>
  <c r="L385" i="9"/>
  <c r="I385" i="9"/>
  <c r="G385" i="9"/>
  <c r="F385" i="9"/>
  <c r="E385" i="9"/>
  <c r="Y384" i="9"/>
  <c r="X384" i="9"/>
  <c r="W384" i="9"/>
  <c r="V384" i="9"/>
  <c r="U384" i="9"/>
  <c r="S384" i="9"/>
  <c r="Z384" i="9" s="1"/>
  <c r="L384" i="9"/>
  <c r="I384" i="9"/>
  <c r="G384" i="9"/>
  <c r="F384" i="9"/>
  <c r="E384" i="9"/>
  <c r="Y383" i="9"/>
  <c r="X383" i="9"/>
  <c r="W383" i="9"/>
  <c r="V383" i="9"/>
  <c r="U383" i="9"/>
  <c r="S383" i="9"/>
  <c r="Z383" i="9" s="1"/>
  <c r="L383" i="9"/>
  <c r="I383" i="9"/>
  <c r="G383" i="9"/>
  <c r="F383" i="9"/>
  <c r="E383" i="9"/>
  <c r="Y382" i="9"/>
  <c r="X382" i="9"/>
  <c r="W382" i="9"/>
  <c r="V382" i="9"/>
  <c r="U382" i="9"/>
  <c r="S382" i="9"/>
  <c r="Z382" i="9" s="1"/>
  <c r="L382" i="9"/>
  <c r="I382" i="9"/>
  <c r="G382" i="9"/>
  <c r="F382" i="9"/>
  <c r="E382" i="9"/>
  <c r="Y381" i="9"/>
  <c r="X381" i="9"/>
  <c r="W381" i="9"/>
  <c r="V381" i="9"/>
  <c r="U381" i="9"/>
  <c r="S381" i="9"/>
  <c r="Z381" i="9" s="1"/>
  <c r="L381" i="9"/>
  <c r="I381" i="9"/>
  <c r="G381" i="9"/>
  <c r="F381" i="9"/>
  <c r="E381" i="9"/>
  <c r="Y380" i="9"/>
  <c r="X380" i="9"/>
  <c r="W380" i="9"/>
  <c r="V380" i="9"/>
  <c r="U380" i="9"/>
  <c r="S380" i="9"/>
  <c r="Z380" i="9" s="1"/>
  <c r="L380" i="9"/>
  <c r="I380" i="9"/>
  <c r="G380" i="9"/>
  <c r="F380" i="9"/>
  <c r="E380" i="9"/>
  <c r="Y379" i="9"/>
  <c r="X379" i="9"/>
  <c r="W379" i="9"/>
  <c r="V379" i="9"/>
  <c r="U379" i="9"/>
  <c r="S379" i="9"/>
  <c r="Z379" i="9" s="1"/>
  <c r="L379" i="9"/>
  <c r="I379" i="9"/>
  <c r="G379" i="9"/>
  <c r="F379" i="9"/>
  <c r="E379" i="9"/>
  <c r="Y378" i="9"/>
  <c r="X378" i="9"/>
  <c r="W378" i="9"/>
  <c r="V378" i="9"/>
  <c r="U378" i="9"/>
  <c r="S378" i="9"/>
  <c r="Z378" i="9" s="1"/>
  <c r="L378" i="9"/>
  <c r="I378" i="9"/>
  <c r="G378" i="9"/>
  <c r="F378" i="9"/>
  <c r="E378" i="9"/>
  <c r="Y377" i="9"/>
  <c r="X377" i="9"/>
  <c r="W377" i="9"/>
  <c r="V377" i="9"/>
  <c r="U377" i="9"/>
  <c r="S377" i="9"/>
  <c r="Z377" i="9" s="1"/>
  <c r="L377" i="9"/>
  <c r="I377" i="9"/>
  <c r="G377" i="9"/>
  <c r="F377" i="9"/>
  <c r="E377" i="9"/>
  <c r="Y376" i="9"/>
  <c r="X376" i="9"/>
  <c r="W376" i="9"/>
  <c r="V376" i="9"/>
  <c r="U376" i="9"/>
  <c r="S376" i="9"/>
  <c r="Z376" i="9" s="1"/>
  <c r="L376" i="9"/>
  <c r="I376" i="9"/>
  <c r="G376" i="9"/>
  <c r="F376" i="9"/>
  <c r="E376" i="9"/>
  <c r="Y375" i="9"/>
  <c r="X375" i="9"/>
  <c r="W375" i="9"/>
  <c r="V375" i="9"/>
  <c r="U375" i="9"/>
  <c r="S375" i="9"/>
  <c r="Z375" i="9" s="1"/>
  <c r="L375" i="9"/>
  <c r="I375" i="9"/>
  <c r="G375" i="9"/>
  <c r="F375" i="9"/>
  <c r="E375" i="9"/>
  <c r="Y374" i="9"/>
  <c r="X374" i="9"/>
  <c r="W374" i="9"/>
  <c r="V374" i="9"/>
  <c r="U374" i="9"/>
  <c r="S374" i="9"/>
  <c r="Z374" i="9" s="1"/>
  <c r="L374" i="9"/>
  <c r="I374" i="9"/>
  <c r="G374" i="9"/>
  <c r="F374" i="9"/>
  <c r="E374" i="9"/>
  <c r="Y373" i="9"/>
  <c r="X373" i="9"/>
  <c r="W373" i="9"/>
  <c r="V373" i="9"/>
  <c r="U373" i="9"/>
  <c r="S373" i="9"/>
  <c r="Z373" i="9" s="1"/>
  <c r="L373" i="9"/>
  <c r="I373" i="9"/>
  <c r="G373" i="9"/>
  <c r="F373" i="9"/>
  <c r="E373" i="9"/>
  <c r="Y372" i="9"/>
  <c r="X372" i="9"/>
  <c r="W372" i="9"/>
  <c r="V372" i="9"/>
  <c r="U372" i="9"/>
  <c r="S372" i="9"/>
  <c r="Z372" i="9" s="1"/>
  <c r="L372" i="9"/>
  <c r="I372" i="9"/>
  <c r="G372" i="9"/>
  <c r="F372" i="9"/>
  <c r="E372" i="9"/>
  <c r="Y371" i="9"/>
  <c r="X371" i="9"/>
  <c r="W371" i="9"/>
  <c r="V371" i="9"/>
  <c r="U371" i="9"/>
  <c r="S371" i="9"/>
  <c r="Z371" i="9" s="1"/>
  <c r="L371" i="9"/>
  <c r="I371" i="9"/>
  <c r="G371" i="9"/>
  <c r="F371" i="9"/>
  <c r="E371" i="9"/>
  <c r="Y370" i="9"/>
  <c r="X370" i="9"/>
  <c r="W370" i="9"/>
  <c r="V370" i="9"/>
  <c r="U370" i="9"/>
  <c r="S370" i="9"/>
  <c r="Z370" i="9" s="1"/>
  <c r="L370" i="9"/>
  <c r="I370" i="9"/>
  <c r="G370" i="9"/>
  <c r="F370" i="9"/>
  <c r="E370" i="9"/>
  <c r="Y369" i="9"/>
  <c r="X369" i="9"/>
  <c r="W369" i="9"/>
  <c r="V369" i="9"/>
  <c r="U369" i="9"/>
  <c r="S369" i="9"/>
  <c r="Z369" i="9" s="1"/>
  <c r="L369" i="9"/>
  <c r="I369" i="9"/>
  <c r="G369" i="9"/>
  <c r="F369" i="9"/>
  <c r="E369" i="9"/>
  <c r="Y368" i="9"/>
  <c r="X368" i="9"/>
  <c r="W368" i="9"/>
  <c r="V368" i="9"/>
  <c r="U368" i="9"/>
  <c r="S368" i="9"/>
  <c r="Z368" i="9" s="1"/>
  <c r="L368" i="9"/>
  <c r="I368" i="9"/>
  <c r="G368" i="9"/>
  <c r="F368" i="9"/>
  <c r="E368" i="9"/>
  <c r="Y367" i="9"/>
  <c r="X367" i="9"/>
  <c r="W367" i="9"/>
  <c r="V367" i="9"/>
  <c r="U367" i="9"/>
  <c r="S367" i="9"/>
  <c r="Z367" i="9" s="1"/>
  <c r="L367" i="9"/>
  <c r="I367" i="9"/>
  <c r="G367" i="9"/>
  <c r="F367" i="9"/>
  <c r="E367" i="9"/>
  <c r="Y366" i="9"/>
  <c r="X366" i="9"/>
  <c r="W366" i="9"/>
  <c r="V366" i="9"/>
  <c r="U366" i="9"/>
  <c r="S366" i="9"/>
  <c r="Z366" i="9" s="1"/>
  <c r="L366" i="9"/>
  <c r="I366" i="9"/>
  <c r="G366" i="9"/>
  <c r="F366" i="9"/>
  <c r="E366" i="9"/>
  <c r="Y365" i="9"/>
  <c r="X365" i="9"/>
  <c r="W365" i="9"/>
  <c r="V365" i="9"/>
  <c r="U365" i="9"/>
  <c r="S365" i="9"/>
  <c r="Z365" i="9" s="1"/>
  <c r="L365" i="9"/>
  <c r="I365" i="9"/>
  <c r="G365" i="9"/>
  <c r="F365" i="9"/>
  <c r="E365" i="9"/>
  <c r="Y364" i="9"/>
  <c r="X364" i="9"/>
  <c r="W364" i="9"/>
  <c r="V364" i="9"/>
  <c r="U364" i="9"/>
  <c r="S364" i="9"/>
  <c r="Z364" i="9" s="1"/>
  <c r="L364" i="9"/>
  <c r="I364" i="9"/>
  <c r="G364" i="9"/>
  <c r="F364" i="9"/>
  <c r="E364" i="9"/>
  <c r="Y363" i="9"/>
  <c r="X363" i="9"/>
  <c r="W363" i="9"/>
  <c r="V363" i="9"/>
  <c r="U363" i="9"/>
  <c r="S363" i="9"/>
  <c r="Z363" i="9" s="1"/>
  <c r="L363" i="9"/>
  <c r="I363" i="9"/>
  <c r="G363" i="9"/>
  <c r="F363" i="9"/>
  <c r="E363" i="9"/>
  <c r="Y362" i="9"/>
  <c r="X362" i="9"/>
  <c r="W362" i="9"/>
  <c r="V362" i="9"/>
  <c r="U362" i="9"/>
  <c r="S362" i="9"/>
  <c r="Z362" i="9" s="1"/>
  <c r="L362" i="9"/>
  <c r="I362" i="9"/>
  <c r="G362" i="9"/>
  <c r="F362" i="9"/>
  <c r="E362" i="9"/>
  <c r="Y361" i="9"/>
  <c r="X361" i="9"/>
  <c r="W361" i="9"/>
  <c r="V361" i="9"/>
  <c r="U361" i="9"/>
  <c r="S361" i="9"/>
  <c r="Z361" i="9" s="1"/>
  <c r="L361" i="9"/>
  <c r="I361" i="9"/>
  <c r="G361" i="9"/>
  <c r="F361" i="9"/>
  <c r="E361" i="9"/>
  <c r="Y360" i="9"/>
  <c r="X360" i="9"/>
  <c r="W360" i="9"/>
  <c r="V360" i="9"/>
  <c r="U360" i="9"/>
  <c r="S360" i="9"/>
  <c r="Z360" i="9" s="1"/>
  <c r="L360" i="9"/>
  <c r="I360" i="9"/>
  <c r="G360" i="9"/>
  <c r="F360" i="9"/>
  <c r="E360" i="9"/>
  <c r="Y359" i="9"/>
  <c r="X359" i="9"/>
  <c r="W359" i="9"/>
  <c r="V359" i="9"/>
  <c r="U359" i="9"/>
  <c r="S359" i="9"/>
  <c r="Z359" i="9" s="1"/>
  <c r="L359" i="9"/>
  <c r="I359" i="9"/>
  <c r="G359" i="9"/>
  <c r="F359" i="9"/>
  <c r="E359" i="9"/>
  <c r="Y358" i="9"/>
  <c r="X358" i="9"/>
  <c r="W358" i="9"/>
  <c r="V358" i="9"/>
  <c r="U358" i="9"/>
  <c r="S358" i="9"/>
  <c r="Z358" i="9" s="1"/>
  <c r="L358" i="9"/>
  <c r="I358" i="9"/>
  <c r="G358" i="9"/>
  <c r="F358" i="9"/>
  <c r="E358" i="9"/>
  <c r="Y357" i="9"/>
  <c r="X357" i="9"/>
  <c r="W357" i="9"/>
  <c r="V357" i="9"/>
  <c r="U357" i="9"/>
  <c r="S357" i="9"/>
  <c r="Z357" i="9" s="1"/>
  <c r="L357" i="9"/>
  <c r="I357" i="9"/>
  <c r="G357" i="9"/>
  <c r="F357" i="9"/>
  <c r="E357" i="9"/>
  <c r="Y356" i="9"/>
  <c r="X356" i="9"/>
  <c r="W356" i="9"/>
  <c r="V356" i="9"/>
  <c r="U356" i="9"/>
  <c r="S356" i="9"/>
  <c r="Z356" i="9" s="1"/>
  <c r="L356" i="9"/>
  <c r="I356" i="9"/>
  <c r="G356" i="9"/>
  <c r="F356" i="9"/>
  <c r="E356" i="9"/>
  <c r="Y355" i="9"/>
  <c r="X355" i="9"/>
  <c r="W355" i="9"/>
  <c r="V355" i="9"/>
  <c r="U355" i="9"/>
  <c r="S355" i="9"/>
  <c r="Z355" i="9" s="1"/>
  <c r="L355" i="9"/>
  <c r="I355" i="9"/>
  <c r="G355" i="9"/>
  <c r="F355" i="9"/>
  <c r="E355" i="9"/>
  <c r="Y354" i="9"/>
  <c r="X354" i="9"/>
  <c r="W354" i="9"/>
  <c r="V354" i="9"/>
  <c r="U354" i="9"/>
  <c r="S354" i="9"/>
  <c r="Z354" i="9" s="1"/>
  <c r="L354" i="9"/>
  <c r="I354" i="9"/>
  <c r="G354" i="9"/>
  <c r="F354" i="9"/>
  <c r="E354" i="9"/>
  <c r="Y353" i="9"/>
  <c r="X353" i="9"/>
  <c r="W353" i="9"/>
  <c r="V353" i="9"/>
  <c r="U353" i="9"/>
  <c r="S353" i="9"/>
  <c r="Z353" i="9" s="1"/>
  <c r="L353" i="9"/>
  <c r="I353" i="9"/>
  <c r="G353" i="9"/>
  <c r="F353" i="9"/>
  <c r="E353" i="9"/>
  <c r="Y352" i="9"/>
  <c r="X352" i="9"/>
  <c r="W352" i="9"/>
  <c r="V352" i="9"/>
  <c r="U352" i="9"/>
  <c r="S352" i="9"/>
  <c r="Z352" i="9" s="1"/>
  <c r="L352" i="9"/>
  <c r="I352" i="9"/>
  <c r="G352" i="9"/>
  <c r="F352" i="9"/>
  <c r="E352" i="9"/>
  <c r="Y351" i="9"/>
  <c r="X351" i="9"/>
  <c r="W351" i="9"/>
  <c r="V351" i="9"/>
  <c r="U351" i="9"/>
  <c r="S351" i="9"/>
  <c r="Z351" i="9" s="1"/>
  <c r="L351" i="9"/>
  <c r="I351" i="9"/>
  <c r="G351" i="9"/>
  <c r="F351" i="9"/>
  <c r="E351" i="9"/>
  <c r="Y350" i="9"/>
  <c r="X350" i="9"/>
  <c r="W350" i="9"/>
  <c r="V350" i="9"/>
  <c r="U350" i="9"/>
  <c r="S350" i="9"/>
  <c r="Z350" i="9" s="1"/>
  <c r="L350" i="9"/>
  <c r="I350" i="9"/>
  <c r="G350" i="9"/>
  <c r="F350" i="9"/>
  <c r="E350" i="9"/>
  <c r="Y349" i="9"/>
  <c r="X349" i="9"/>
  <c r="W349" i="9"/>
  <c r="V349" i="9"/>
  <c r="U349" i="9"/>
  <c r="S349" i="9"/>
  <c r="Z349" i="9" s="1"/>
  <c r="L349" i="9"/>
  <c r="I349" i="9"/>
  <c r="G349" i="9"/>
  <c r="F349" i="9"/>
  <c r="E349" i="9"/>
  <c r="Y348" i="9"/>
  <c r="X348" i="9"/>
  <c r="W348" i="9"/>
  <c r="V348" i="9"/>
  <c r="U348" i="9"/>
  <c r="S348" i="9"/>
  <c r="Z348" i="9" s="1"/>
  <c r="L348" i="9"/>
  <c r="I348" i="9"/>
  <c r="G348" i="9"/>
  <c r="F348" i="9"/>
  <c r="E348" i="9"/>
  <c r="Y347" i="9"/>
  <c r="X347" i="9"/>
  <c r="W347" i="9"/>
  <c r="V347" i="9"/>
  <c r="U347" i="9"/>
  <c r="S347" i="9"/>
  <c r="Z347" i="9" s="1"/>
  <c r="L347" i="9"/>
  <c r="I347" i="9"/>
  <c r="G347" i="9"/>
  <c r="F347" i="9"/>
  <c r="E347" i="9"/>
  <c r="Y346" i="9"/>
  <c r="X346" i="9"/>
  <c r="W346" i="9"/>
  <c r="V346" i="9"/>
  <c r="U346" i="9"/>
  <c r="S346" i="9"/>
  <c r="Z346" i="9" s="1"/>
  <c r="L346" i="9"/>
  <c r="I346" i="9"/>
  <c r="G346" i="9"/>
  <c r="F346" i="9"/>
  <c r="E346" i="9"/>
  <c r="Y345" i="9"/>
  <c r="X345" i="9"/>
  <c r="W345" i="9"/>
  <c r="V345" i="9"/>
  <c r="U345" i="9"/>
  <c r="S345" i="9"/>
  <c r="Z345" i="9" s="1"/>
  <c r="L345" i="9"/>
  <c r="I345" i="9"/>
  <c r="G345" i="9"/>
  <c r="F345" i="9"/>
  <c r="E345" i="9"/>
  <c r="Y344" i="9"/>
  <c r="X344" i="9"/>
  <c r="W344" i="9"/>
  <c r="V344" i="9"/>
  <c r="U344" i="9"/>
  <c r="S344" i="9"/>
  <c r="Z344" i="9" s="1"/>
  <c r="L344" i="9"/>
  <c r="I344" i="9"/>
  <c r="G344" i="9"/>
  <c r="F344" i="9"/>
  <c r="E344" i="9"/>
  <c r="Y343" i="9"/>
  <c r="X343" i="9"/>
  <c r="W343" i="9"/>
  <c r="V343" i="9"/>
  <c r="U343" i="9"/>
  <c r="S343" i="9"/>
  <c r="Z343" i="9" s="1"/>
  <c r="L343" i="9"/>
  <c r="I343" i="9"/>
  <c r="G343" i="9"/>
  <c r="F343" i="9"/>
  <c r="E343" i="9"/>
  <c r="Y342" i="9"/>
  <c r="X342" i="9"/>
  <c r="W342" i="9"/>
  <c r="V342" i="9"/>
  <c r="U342" i="9"/>
  <c r="S342" i="9"/>
  <c r="Z342" i="9" s="1"/>
  <c r="L342" i="9"/>
  <c r="I342" i="9"/>
  <c r="G342" i="9"/>
  <c r="F342" i="9"/>
  <c r="E342" i="9"/>
  <c r="Y341" i="9"/>
  <c r="X341" i="9"/>
  <c r="W341" i="9"/>
  <c r="V341" i="9"/>
  <c r="U341" i="9"/>
  <c r="S341" i="9"/>
  <c r="Z341" i="9" s="1"/>
  <c r="L341" i="9"/>
  <c r="I341" i="9"/>
  <c r="G341" i="9"/>
  <c r="F341" i="9"/>
  <c r="E341" i="9"/>
  <c r="Y340" i="9"/>
  <c r="X340" i="9"/>
  <c r="W340" i="9"/>
  <c r="V340" i="9"/>
  <c r="U340" i="9"/>
  <c r="S340" i="9"/>
  <c r="Z340" i="9" s="1"/>
  <c r="L340" i="9"/>
  <c r="I340" i="9"/>
  <c r="G340" i="9"/>
  <c r="F340" i="9"/>
  <c r="E340" i="9"/>
  <c r="Y339" i="9"/>
  <c r="X339" i="9"/>
  <c r="W339" i="9"/>
  <c r="V339" i="9"/>
  <c r="U339" i="9"/>
  <c r="S339" i="9"/>
  <c r="Z339" i="9" s="1"/>
  <c r="L339" i="9"/>
  <c r="I339" i="9"/>
  <c r="G339" i="9"/>
  <c r="F339" i="9"/>
  <c r="E339" i="9"/>
  <c r="Y338" i="9"/>
  <c r="X338" i="9"/>
  <c r="W338" i="9"/>
  <c r="V338" i="9"/>
  <c r="U338" i="9"/>
  <c r="S338" i="9"/>
  <c r="Z338" i="9" s="1"/>
  <c r="L338" i="9"/>
  <c r="I338" i="9"/>
  <c r="G338" i="9"/>
  <c r="F338" i="9"/>
  <c r="E338" i="9"/>
  <c r="Y337" i="9"/>
  <c r="X337" i="9"/>
  <c r="W337" i="9"/>
  <c r="V337" i="9"/>
  <c r="U337" i="9"/>
  <c r="S337" i="9"/>
  <c r="Z337" i="9" s="1"/>
  <c r="L337" i="9"/>
  <c r="I337" i="9"/>
  <c r="G337" i="9"/>
  <c r="F337" i="9"/>
  <c r="E337" i="9"/>
  <c r="Y336" i="9"/>
  <c r="X336" i="9"/>
  <c r="W336" i="9"/>
  <c r="V336" i="9"/>
  <c r="U336" i="9"/>
  <c r="S336" i="9"/>
  <c r="Z336" i="9" s="1"/>
  <c r="L336" i="9"/>
  <c r="I336" i="9"/>
  <c r="G336" i="9"/>
  <c r="F336" i="9"/>
  <c r="E336" i="9"/>
  <c r="Y335" i="9"/>
  <c r="X335" i="9"/>
  <c r="W335" i="9"/>
  <c r="V335" i="9"/>
  <c r="U335" i="9"/>
  <c r="S335" i="9"/>
  <c r="Z335" i="9" s="1"/>
  <c r="L335" i="9"/>
  <c r="I335" i="9"/>
  <c r="G335" i="9"/>
  <c r="F335" i="9"/>
  <c r="E335" i="9"/>
  <c r="Y334" i="9"/>
  <c r="X334" i="9"/>
  <c r="W334" i="9"/>
  <c r="V334" i="9"/>
  <c r="U334" i="9"/>
  <c r="S334" i="9"/>
  <c r="Z334" i="9" s="1"/>
  <c r="L334" i="9"/>
  <c r="I334" i="9"/>
  <c r="G334" i="9"/>
  <c r="F334" i="9"/>
  <c r="E334" i="9"/>
  <c r="Y333" i="9"/>
  <c r="X333" i="9"/>
  <c r="W333" i="9"/>
  <c r="V333" i="9"/>
  <c r="U333" i="9"/>
  <c r="S333" i="9"/>
  <c r="Z333" i="9" s="1"/>
  <c r="L333" i="9"/>
  <c r="I333" i="9"/>
  <c r="G333" i="9"/>
  <c r="F333" i="9"/>
  <c r="E333" i="9"/>
  <c r="Y332" i="9"/>
  <c r="X332" i="9"/>
  <c r="W332" i="9"/>
  <c r="V332" i="9"/>
  <c r="U332" i="9"/>
  <c r="S332" i="9"/>
  <c r="Z332" i="9" s="1"/>
  <c r="L332" i="9"/>
  <c r="I332" i="9"/>
  <c r="G332" i="9"/>
  <c r="F332" i="9"/>
  <c r="E332" i="9"/>
  <c r="Y331" i="9"/>
  <c r="X331" i="9"/>
  <c r="W331" i="9"/>
  <c r="V331" i="9"/>
  <c r="U331" i="9"/>
  <c r="S331" i="9"/>
  <c r="Z331" i="9" s="1"/>
  <c r="L331" i="9"/>
  <c r="I331" i="9"/>
  <c r="G331" i="9"/>
  <c r="F331" i="9"/>
  <c r="E331" i="9"/>
  <c r="Y330" i="9"/>
  <c r="X330" i="9"/>
  <c r="W330" i="9"/>
  <c r="V330" i="9"/>
  <c r="U330" i="9"/>
  <c r="S330" i="9"/>
  <c r="Z330" i="9" s="1"/>
  <c r="L330" i="9"/>
  <c r="I330" i="9"/>
  <c r="G330" i="9"/>
  <c r="F330" i="9"/>
  <c r="E330" i="9"/>
  <c r="Y329" i="9"/>
  <c r="X329" i="9"/>
  <c r="W329" i="9"/>
  <c r="V329" i="9"/>
  <c r="U329" i="9"/>
  <c r="S329" i="9"/>
  <c r="Z329" i="9" s="1"/>
  <c r="L329" i="9"/>
  <c r="I329" i="9"/>
  <c r="G329" i="9"/>
  <c r="F329" i="9"/>
  <c r="E329" i="9"/>
  <c r="Y328" i="9"/>
  <c r="X328" i="9"/>
  <c r="W328" i="9"/>
  <c r="V328" i="9"/>
  <c r="U328" i="9"/>
  <c r="S328" i="9"/>
  <c r="Z328" i="9" s="1"/>
  <c r="L328" i="9"/>
  <c r="I328" i="9"/>
  <c r="G328" i="9"/>
  <c r="F328" i="9"/>
  <c r="E328" i="9"/>
  <c r="Y327" i="9"/>
  <c r="X327" i="9"/>
  <c r="W327" i="9"/>
  <c r="V327" i="9"/>
  <c r="U327" i="9"/>
  <c r="S327" i="9"/>
  <c r="Z327" i="9" s="1"/>
  <c r="L327" i="9"/>
  <c r="I327" i="9"/>
  <c r="G327" i="9"/>
  <c r="F327" i="9"/>
  <c r="E327" i="9"/>
  <c r="Y326" i="9"/>
  <c r="X326" i="9"/>
  <c r="W326" i="9"/>
  <c r="V326" i="9"/>
  <c r="U326" i="9"/>
  <c r="S326" i="9"/>
  <c r="Z326" i="9" s="1"/>
  <c r="L326" i="9"/>
  <c r="I326" i="9"/>
  <c r="G326" i="9"/>
  <c r="F326" i="9"/>
  <c r="E326" i="9"/>
  <c r="Y325" i="9"/>
  <c r="X325" i="9"/>
  <c r="W325" i="9"/>
  <c r="V325" i="9"/>
  <c r="U325" i="9"/>
  <c r="S325" i="9"/>
  <c r="Z325" i="9" s="1"/>
  <c r="L325" i="9"/>
  <c r="I325" i="9"/>
  <c r="G325" i="9"/>
  <c r="F325" i="9"/>
  <c r="E325" i="9"/>
  <c r="Y324" i="9"/>
  <c r="X324" i="9"/>
  <c r="W324" i="9"/>
  <c r="V324" i="9"/>
  <c r="U324" i="9"/>
  <c r="S324" i="9"/>
  <c r="Z324" i="9" s="1"/>
  <c r="L324" i="9"/>
  <c r="I324" i="9"/>
  <c r="G324" i="9"/>
  <c r="F324" i="9"/>
  <c r="E324" i="9"/>
  <c r="Y323" i="9"/>
  <c r="X323" i="9"/>
  <c r="W323" i="9"/>
  <c r="V323" i="9"/>
  <c r="U323" i="9"/>
  <c r="S323" i="9"/>
  <c r="Z323" i="9" s="1"/>
  <c r="L323" i="9"/>
  <c r="I323" i="9"/>
  <c r="G323" i="9"/>
  <c r="F323" i="9"/>
  <c r="E323" i="9"/>
  <c r="Y322" i="9"/>
  <c r="X322" i="9"/>
  <c r="W322" i="9"/>
  <c r="V322" i="9"/>
  <c r="U322" i="9"/>
  <c r="S322" i="9"/>
  <c r="Z322" i="9" s="1"/>
  <c r="L322" i="9"/>
  <c r="I322" i="9"/>
  <c r="G322" i="9"/>
  <c r="F322" i="9"/>
  <c r="E322" i="9"/>
  <c r="Y321" i="9"/>
  <c r="X321" i="9"/>
  <c r="W321" i="9"/>
  <c r="V321" i="9"/>
  <c r="U321" i="9"/>
  <c r="S321" i="9"/>
  <c r="Z321" i="9" s="1"/>
  <c r="L321" i="9"/>
  <c r="I321" i="9"/>
  <c r="G321" i="9"/>
  <c r="F321" i="9"/>
  <c r="E321" i="9"/>
  <c r="Y320" i="9"/>
  <c r="X320" i="9"/>
  <c r="W320" i="9"/>
  <c r="V320" i="9"/>
  <c r="U320" i="9"/>
  <c r="S320" i="9"/>
  <c r="Z320" i="9" s="1"/>
  <c r="L320" i="9"/>
  <c r="I320" i="9"/>
  <c r="G320" i="9"/>
  <c r="F320" i="9"/>
  <c r="E320" i="9"/>
  <c r="Y319" i="9"/>
  <c r="X319" i="9"/>
  <c r="W319" i="9"/>
  <c r="V319" i="9"/>
  <c r="U319" i="9"/>
  <c r="S319" i="9"/>
  <c r="Z319" i="9" s="1"/>
  <c r="L319" i="9"/>
  <c r="I319" i="9"/>
  <c r="G319" i="9"/>
  <c r="F319" i="9"/>
  <c r="E319" i="9"/>
  <c r="Y318" i="9"/>
  <c r="X318" i="9"/>
  <c r="W318" i="9"/>
  <c r="V318" i="9"/>
  <c r="U318" i="9"/>
  <c r="S318" i="9"/>
  <c r="Z318" i="9" s="1"/>
  <c r="L318" i="9"/>
  <c r="I318" i="9"/>
  <c r="G318" i="9"/>
  <c r="F318" i="9"/>
  <c r="E318" i="9"/>
  <c r="Y317" i="9"/>
  <c r="X317" i="9"/>
  <c r="W317" i="9"/>
  <c r="V317" i="9"/>
  <c r="U317" i="9"/>
  <c r="S317" i="9"/>
  <c r="Z317" i="9" s="1"/>
  <c r="L317" i="9"/>
  <c r="I317" i="9"/>
  <c r="G317" i="9"/>
  <c r="F317" i="9"/>
  <c r="E317" i="9"/>
  <c r="Y316" i="9"/>
  <c r="X316" i="9"/>
  <c r="W316" i="9"/>
  <c r="V316" i="9"/>
  <c r="U316" i="9"/>
  <c r="S316" i="9"/>
  <c r="Z316" i="9" s="1"/>
  <c r="L316" i="9"/>
  <c r="I316" i="9"/>
  <c r="G316" i="9"/>
  <c r="F316" i="9"/>
  <c r="E316" i="9"/>
  <c r="Y315" i="9"/>
  <c r="X315" i="9"/>
  <c r="W315" i="9"/>
  <c r="V315" i="9"/>
  <c r="U315" i="9"/>
  <c r="S315" i="9"/>
  <c r="Z315" i="9" s="1"/>
  <c r="L315" i="9"/>
  <c r="I315" i="9"/>
  <c r="G315" i="9"/>
  <c r="F315" i="9"/>
  <c r="E315" i="9"/>
  <c r="Y314" i="9"/>
  <c r="X314" i="9"/>
  <c r="W314" i="9"/>
  <c r="V314" i="9"/>
  <c r="U314" i="9"/>
  <c r="S314" i="9"/>
  <c r="Z314" i="9" s="1"/>
  <c r="L314" i="9"/>
  <c r="I314" i="9"/>
  <c r="G314" i="9"/>
  <c r="F314" i="9"/>
  <c r="E314" i="9"/>
  <c r="Y313" i="9"/>
  <c r="X313" i="9"/>
  <c r="W313" i="9"/>
  <c r="V313" i="9"/>
  <c r="U313" i="9"/>
  <c r="S313" i="9"/>
  <c r="Z313" i="9" s="1"/>
  <c r="L313" i="9"/>
  <c r="I313" i="9"/>
  <c r="G313" i="9"/>
  <c r="F313" i="9"/>
  <c r="E313" i="9"/>
  <c r="Y312" i="9"/>
  <c r="X312" i="9"/>
  <c r="W312" i="9"/>
  <c r="V312" i="9"/>
  <c r="U312" i="9"/>
  <c r="S312" i="9"/>
  <c r="Z312" i="9" s="1"/>
  <c r="L312" i="9"/>
  <c r="I312" i="9"/>
  <c r="G312" i="9"/>
  <c r="F312" i="9"/>
  <c r="E312" i="9"/>
  <c r="Y311" i="9"/>
  <c r="X311" i="9"/>
  <c r="W311" i="9"/>
  <c r="V311" i="9"/>
  <c r="U311" i="9"/>
  <c r="S311" i="9"/>
  <c r="Z311" i="9" s="1"/>
  <c r="L311" i="9"/>
  <c r="I311" i="9"/>
  <c r="G311" i="9"/>
  <c r="F311" i="9"/>
  <c r="E311" i="9"/>
  <c r="Y310" i="9"/>
  <c r="X310" i="9"/>
  <c r="W310" i="9"/>
  <c r="V310" i="9"/>
  <c r="U310" i="9"/>
  <c r="S310" i="9"/>
  <c r="Z310" i="9" s="1"/>
  <c r="L310" i="9"/>
  <c r="I310" i="9"/>
  <c r="G310" i="9"/>
  <c r="F310" i="9"/>
  <c r="E310" i="9"/>
  <c r="Y309" i="9"/>
  <c r="X309" i="9"/>
  <c r="W309" i="9"/>
  <c r="V309" i="9"/>
  <c r="U309" i="9"/>
  <c r="S309" i="9"/>
  <c r="Z309" i="9" s="1"/>
  <c r="L309" i="9"/>
  <c r="I309" i="9"/>
  <c r="G309" i="9"/>
  <c r="F309" i="9"/>
  <c r="E309" i="9"/>
  <c r="Y308" i="9"/>
  <c r="X308" i="9"/>
  <c r="W308" i="9"/>
  <c r="V308" i="9"/>
  <c r="U308" i="9"/>
  <c r="S308" i="9"/>
  <c r="Z308" i="9" s="1"/>
  <c r="L308" i="9"/>
  <c r="I308" i="9"/>
  <c r="G308" i="9"/>
  <c r="F308" i="9"/>
  <c r="E308" i="9"/>
  <c r="Y307" i="9"/>
  <c r="X307" i="9"/>
  <c r="W307" i="9"/>
  <c r="V307" i="9"/>
  <c r="U307" i="9"/>
  <c r="S307" i="9"/>
  <c r="Z307" i="9" s="1"/>
  <c r="L307" i="9"/>
  <c r="I307" i="9"/>
  <c r="G307" i="9"/>
  <c r="F307" i="9"/>
  <c r="E307" i="9"/>
  <c r="Y306" i="9"/>
  <c r="X306" i="9"/>
  <c r="W306" i="9"/>
  <c r="V306" i="9"/>
  <c r="U306" i="9"/>
  <c r="S306" i="9"/>
  <c r="Z306" i="9" s="1"/>
  <c r="L306" i="9"/>
  <c r="I306" i="9"/>
  <c r="G306" i="9"/>
  <c r="F306" i="9"/>
  <c r="E306" i="9"/>
  <c r="Y305" i="9"/>
  <c r="X305" i="9"/>
  <c r="W305" i="9"/>
  <c r="V305" i="9"/>
  <c r="U305" i="9"/>
  <c r="S305" i="9"/>
  <c r="Z305" i="9" s="1"/>
  <c r="L305" i="9"/>
  <c r="I305" i="9"/>
  <c r="G305" i="9"/>
  <c r="F305" i="9"/>
  <c r="E305" i="9"/>
  <c r="Y304" i="9"/>
  <c r="X304" i="9"/>
  <c r="W304" i="9"/>
  <c r="V304" i="9"/>
  <c r="U304" i="9"/>
  <c r="S304" i="9"/>
  <c r="Z304" i="9" s="1"/>
  <c r="L304" i="9"/>
  <c r="I304" i="9"/>
  <c r="G304" i="9"/>
  <c r="F304" i="9"/>
  <c r="E304" i="9"/>
  <c r="Y303" i="9"/>
  <c r="X303" i="9"/>
  <c r="W303" i="9"/>
  <c r="V303" i="9"/>
  <c r="U303" i="9"/>
  <c r="S303" i="9"/>
  <c r="Z303" i="9" s="1"/>
  <c r="L303" i="9"/>
  <c r="I303" i="9"/>
  <c r="G303" i="9"/>
  <c r="F303" i="9"/>
  <c r="E303" i="9"/>
  <c r="Y302" i="9"/>
  <c r="X302" i="9"/>
  <c r="W302" i="9"/>
  <c r="V302" i="9"/>
  <c r="U302" i="9"/>
  <c r="S302" i="9"/>
  <c r="Z302" i="9" s="1"/>
  <c r="L302" i="9"/>
  <c r="I302" i="9"/>
  <c r="G302" i="9"/>
  <c r="F302" i="9"/>
  <c r="E302" i="9"/>
  <c r="Y301" i="9"/>
  <c r="X301" i="9"/>
  <c r="W301" i="9"/>
  <c r="V301" i="9"/>
  <c r="U301" i="9"/>
  <c r="S301" i="9"/>
  <c r="Z301" i="9" s="1"/>
  <c r="L301" i="9"/>
  <c r="I301" i="9"/>
  <c r="G301" i="9"/>
  <c r="F301" i="9"/>
  <c r="E301" i="9"/>
  <c r="Y300" i="9"/>
  <c r="X300" i="9"/>
  <c r="W300" i="9"/>
  <c r="V300" i="9"/>
  <c r="U300" i="9"/>
  <c r="S300" i="9"/>
  <c r="Z300" i="9" s="1"/>
  <c r="L300" i="9"/>
  <c r="I300" i="9"/>
  <c r="G300" i="9"/>
  <c r="F300" i="9"/>
  <c r="E300" i="9"/>
  <c r="Y299" i="9"/>
  <c r="X299" i="9"/>
  <c r="W299" i="9"/>
  <c r="V299" i="9"/>
  <c r="U299" i="9"/>
  <c r="S299" i="9"/>
  <c r="Z299" i="9" s="1"/>
  <c r="L299" i="9"/>
  <c r="I299" i="9"/>
  <c r="G299" i="9"/>
  <c r="F299" i="9"/>
  <c r="E299" i="9"/>
  <c r="Y298" i="9"/>
  <c r="X298" i="9"/>
  <c r="W298" i="9"/>
  <c r="V298" i="9"/>
  <c r="U298" i="9"/>
  <c r="S298" i="9"/>
  <c r="Z298" i="9" s="1"/>
  <c r="L298" i="9"/>
  <c r="I298" i="9"/>
  <c r="G298" i="9"/>
  <c r="F298" i="9"/>
  <c r="E298" i="9"/>
  <c r="Y297" i="9"/>
  <c r="X297" i="9"/>
  <c r="W297" i="9"/>
  <c r="V297" i="9"/>
  <c r="U297" i="9"/>
  <c r="S297" i="9"/>
  <c r="Z297" i="9" s="1"/>
  <c r="L297" i="9"/>
  <c r="I297" i="9"/>
  <c r="G297" i="9"/>
  <c r="F297" i="9"/>
  <c r="E297" i="9"/>
  <c r="Y296" i="9"/>
  <c r="X296" i="9"/>
  <c r="W296" i="9"/>
  <c r="V296" i="9"/>
  <c r="U296" i="9"/>
  <c r="S296" i="9"/>
  <c r="Z296" i="9" s="1"/>
  <c r="L296" i="9"/>
  <c r="I296" i="9"/>
  <c r="G296" i="9"/>
  <c r="F296" i="9"/>
  <c r="E296" i="9"/>
  <c r="Y295" i="9"/>
  <c r="X295" i="9"/>
  <c r="W295" i="9"/>
  <c r="V295" i="9"/>
  <c r="U295" i="9"/>
  <c r="S295" i="9"/>
  <c r="Z295" i="9" s="1"/>
  <c r="L295" i="9"/>
  <c r="I295" i="9"/>
  <c r="G295" i="9"/>
  <c r="F295" i="9"/>
  <c r="E295" i="9"/>
  <c r="Y294" i="9"/>
  <c r="X294" i="9"/>
  <c r="W294" i="9"/>
  <c r="V294" i="9"/>
  <c r="U294" i="9"/>
  <c r="S294" i="9"/>
  <c r="Z294" i="9" s="1"/>
  <c r="L294" i="9"/>
  <c r="I294" i="9"/>
  <c r="G294" i="9"/>
  <c r="F294" i="9"/>
  <c r="E294" i="9"/>
  <c r="Y293" i="9"/>
  <c r="X293" i="9"/>
  <c r="W293" i="9"/>
  <c r="V293" i="9"/>
  <c r="U293" i="9"/>
  <c r="S293" i="9"/>
  <c r="Z293" i="9" s="1"/>
  <c r="L293" i="9"/>
  <c r="I293" i="9"/>
  <c r="G293" i="9"/>
  <c r="F293" i="9"/>
  <c r="E293" i="9"/>
  <c r="Y292" i="9"/>
  <c r="X292" i="9"/>
  <c r="W292" i="9"/>
  <c r="V292" i="9"/>
  <c r="U292" i="9"/>
  <c r="S292" i="9"/>
  <c r="Z292" i="9" s="1"/>
  <c r="L292" i="9"/>
  <c r="I292" i="9"/>
  <c r="G292" i="9"/>
  <c r="F292" i="9"/>
  <c r="E292" i="9"/>
  <c r="Y291" i="9"/>
  <c r="X291" i="9"/>
  <c r="W291" i="9"/>
  <c r="V291" i="9"/>
  <c r="U291" i="9"/>
  <c r="S291" i="9"/>
  <c r="Z291" i="9" s="1"/>
  <c r="L291" i="9"/>
  <c r="I291" i="9"/>
  <c r="G291" i="9"/>
  <c r="F291" i="9"/>
  <c r="E291" i="9"/>
  <c r="Y290" i="9"/>
  <c r="X290" i="9"/>
  <c r="W290" i="9"/>
  <c r="V290" i="9"/>
  <c r="U290" i="9"/>
  <c r="S290" i="9"/>
  <c r="Z290" i="9" s="1"/>
  <c r="L290" i="9"/>
  <c r="I290" i="9"/>
  <c r="G290" i="9"/>
  <c r="F290" i="9"/>
  <c r="E290" i="9"/>
  <c r="Y289" i="9"/>
  <c r="X289" i="9"/>
  <c r="W289" i="9"/>
  <c r="V289" i="9"/>
  <c r="U289" i="9"/>
  <c r="S289" i="9"/>
  <c r="Z289" i="9" s="1"/>
  <c r="L289" i="9"/>
  <c r="I289" i="9"/>
  <c r="G289" i="9"/>
  <c r="F289" i="9"/>
  <c r="E289" i="9"/>
  <c r="Y288" i="9"/>
  <c r="X288" i="9"/>
  <c r="W288" i="9"/>
  <c r="V288" i="9"/>
  <c r="U288" i="9"/>
  <c r="S288" i="9"/>
  <c r="Z288" i="9" s="1"/>
  <c r="L288" i="9"/>
  <c r="I288" i="9"/>
  <c r="G288" i="9"/>
  <c r="F288" i="9"/>
  <c r="E288" i="9"/>
  <c r="Y287" i="9"/>
  <c r="X287" i="9"/>
  <c r="W287" i="9"/>
  <c r="V287" i="9"/>
  <c r="U287" i="9"/>
  <c r="S287" i="9"/>
  <c r="Z287" i="9" s="1"/>
  <c r="L287" i="9"/>
  <c r="I287" i="9"/>
  <c r="G287" i="9"/>
  <c r="F287" i="9"/>
  <c r="E287" i="9"/>
  <c r="Y286" i="9"/>
  <c r="X286" i="9"/>
  <c r="W286" i="9"/>
  <c r="V286" i="9"/>
  <c r="U286" i="9"/>
  <c r="S286" i="9"/>
  <c r="Z286" i="9" s="1"/>
  <c r="L286" i="9"/>
  <c r="I286" i="9"/>
  <c r="G286" i="9"/>
  <c r="F286" i="9"/>
  <c r="E286" i="9"/>
  <c r="Y285" i="9"/>
  <c r="X285" i="9"/>
  <c r="W285" i="9"/>
  <c r="V285" i="9"/>
  <c r="U285" i="9"/>
  <c r="S285" i="9"/>
  <c r="Z285" i="9" s="1"/>
  <c r="L285" i="9"/>
  <c r="I285" i="9"/>
  <c r="G285" i="9"/>
  <c r="F285" i="9"/>
  <c r="E285" i="9"/>
  <c r="Y284" i="9"/>
  <c r="X284" i="9"/>
  <c r="W284" i="9"/>
  <c r="V284" i="9"/>
  <c r="U284" i="9"/>
  <c r="S284" i="9"/>
  <c r="Z284" i="9" s="1"/>
  <c r="L284" i="9"/>
  <c r="I284" i="9"/>
  <c r="G284" i="9"/>
  <c r="F284" i="9"/>
  <c r="E284" i="9"/>
  <c r="Y283" i="9"/>
  <c r="X283" i="9"/>
  <c r="W283" i="9"/>
  <c r="V283" i="9"/>
  <c r="U283" i="9"/>
  <c r="S283" i="9"/>
  <c r="Z283" i="9" s="1"/>
  <c r="L283" i="9"/>
  <c r="I283" i="9"/>
  <c r="G283" i="9"/>
  <c r="F283" i="9"/>
  <c r="E283" i="9"/>
  <c r="Y282" i="9"/>
  <c r="X282" i="9"/>
  <c r="W282" i="9"/>
  <c r="V282" i="9"/>
  <c r="U282" i="9"/>
  <c r="S282" i="9"/>
  <c r="Z282" i="9" s="1"/>
  <c r="L282" i="9"/>
  <c r="I282" i="9"/>
  <c r="G282" i="9"/>
  <c r="F282" i="9"/>
  <c r="E282" i="9"/>
  <c r="Y281" i="9"/>
  <c r="X281" i="9"/>
  <c r="W281" i="9"/>
  <c r="V281" i="9"/>
  <c r="U281" i="9"/>
  <c r="S281" i="9"/>
  <c r="Z281" i="9" s="1"/>
  <c r="L281" i="9"/>
  <c r="I281" i="9"/>
  <c r="G281" i="9"/>
  <c r="F281" i="9"/>
  <c r="E281" i="9"/>
  <c r="Y280" i="9"/>
  <c r="X280" i="9"/>
  <c r="W280" i="9"/>
  <c r="V280" i="9"/>
  <c r="U280" i="9"/>
  <c r="S280" i="9"/>
  <c r="Z280" i="9" s="1"/>
  <c r="L280" i="9"/>
  <c r="I280" i="9"/>
  <c r="G280" i="9"/>
  <c r="F280" i="9"/>
  <c r="E280" i="9"/>
  <c r="Y279" i="9"/>
  <c r="X279" i="9"/>
  <c r="W279" i="9"/>
  <c r="V279" i="9"/>
  <c r="U279" i="9"/>
  <c r="S279" i="9"/>
  <c r="Z279" i="9" s="1"/>
  <c r="L279" i="9"/>
  <c r="I279" i="9"/>
  <c r="G279" i="9"/>
  <c r="F279" i="9"/>
  <c r="E279" i="9"/>
  <c r="Y278" i="9"/>
  <c r="X278" i="9"/>
  <c r="W278" i="9"/>
  <c r="V278" i="9"/>
  <c r="U278" i="9"/>
  <c r="S278" i="9"/>
  <c r="Z278" i="9" s="1"/>
  <c r="L278" i="9"/>
  <c r="I278" i="9"/>
  <c r="G278" i="9"/>
  <c r="F278" i="9"/>
  <c r="E278" i="9"/>
  <c r="Y277" i="9"/>
  <c r="X277" i="9"/>
  <c r="W277" i="9"/>
  <c r="V277" i="9"/>
  <c r="U277" i="9"/>
  <c r="S277" i="9"/>
  <c r="Z277" i="9" s="1"/>
  <c r="L277" i="9"/>
  <c r="I277" i="9"/>
  <c r="G277" i="9"/>
  <c r="F277" i="9"/>
  <c r="E277" i="9"/>
  <c r="Y276" i="9"/>
  <c r="X276" i="9"/>
  <c r="W276" i="9"/>
  <c r="V276" i="9"/>
  <c r="U276" i="9"/>
  <c r="S276" i="9"/>
  <c r="Z276" i="9" s="1"/>
  <c r="L276" i="9"/>
  <c r="I276" i="9"/>
  <c r="G276" i="9"/>
  <c r="F276" i="9"/>
  <c r="E276" i="9"/>
  <c r="Y275" i="9"/>
  <c r="X275" i="9"/>
  <c r="W275" i="9"/>
  <c r="V275" i="9"/>
  <c r="U275" i="9"/>
  <c r="S275" i="9"/>
  <c r="Z275" i="9" s="1"/>
  <c r="L275" i="9"/>
  <c r="I275" i="9"/>
  <c r="G275" i="9"/>
  <c r="F275" i="9"/>
  <c r="E275" i="9"/>
  <c r="Y274" i="9"/>
  <c r="X274" i="9"/>
  <c r="W274" i="9"/>
  <c r="V274" i="9"/>
  <c r="U274" i="9"/>
  <c r="S274" i="9"/>
  <c r="Z274" i="9" s="1"/>
  <c r="L274" i="9"/>
  <c r="I274" i="9"/>
  <c r="G274" i="9"/>
  <c r="F274" i="9"/>
  <c r="E274" i="9"/>
  <c r="Y273" i="9"/>
  <c r="X273" i="9"/>
  <c r="W273" i="9"/>
  <c r="V273" i="9"/>
  <c r="U273" i="9"/>
  <c r="S273" i="9"/>
  <c r="Z273" i="9" s="1"/>
  <c r="L273" i="9"/>
  <c r="I273" i="9"/>
  <c r="G273" i="9"/>
  <c r="F273" i="9"/>
  <c r="E273" i="9"/>
  <c r="Y272" i="9"/>
  <c r="X272" i="9"/>
  <c r="W272" i="9"/>
  <c r="V272" i="9"/>
  <c r="U272" i="9"/>
  <c r="S272" i="9"/>
  <c r="Z272" i="9" s="1"/>
  <c r="L272" i="9"/>
  <c r="I272" i="9"/>
  <c r="G272" i="9"/>
  <c r="F272" i="9"/>
  <c r="E272" i="9"/>
  <c r="Y271" i="9"/>
  <c r="X271" i="9"/>
  <c r="W271" i="9"/>
  <c r="V271" i="9"/>
  <c r="U271" i="9"/>
  <c r="S271" i="9"/>
  <c r="Z271" i="9" s="1"/>
  <c r="L271" i="9"/>
  <c r="I271" i="9"/>
  <c r="G271" i="9"/>
  <c r="F271" i="9"/>
  <c r="E271" i="9"/>
  <c r="Y270" i="9"/>
  <c r="X270" i="9"/>
  <c r="W270" i="9"/>
  <c r="V270" i="9"/>
  <c r="U270" i="9"/>
  <c r="S270" i="9"/>
  <c r="Z270" i="9" s="1"/>
  <c r="L270" i="9"/>
  <c r="I270" i="9"/>
  <c r="G270" i="9"/>
  <c r="F270" i="9"/>
  <c r="E270" i="9"/>
  <c r="Y269" i="9"/>
  <c r="X269" i="9"/>
  <c r="W269" i="9"/>
  <c r="V269" i="9"/>
  <c r="U269" i="9"/>
  <c r="S269" i="9"/>
  <c r="Z269" i="9" s="1"/>
  <c r="L269" i="9"/>
  <c r="I269" i="9"/>
  <c r="G269" i="9"/>
  <c r="F269" i="9"/>
  <c r="E269" i="9"/>
  <c r="Y268" i="9"/>
  <c r="X268" i="9"/>
  <c r="W268" i="9"/>
  <c r="V268" i="9"/>
  <c r="U268" i="9"/>
  <c r="S268" i="9"/>
  <c r="Z268" i="9" s="1"/>
  <c r="L268" i="9"/>
  <c r="I268" i="9"/>
  <c r="G268" i="9"/>
  <c r="F268" i="9"/>
  <c r="E268" i="9"/>
  <c r="Y267" i="9"/>
  <c r="X267" i="9"/>
  <c r="W267" i="9"/>
  <c r="V267" i="9"/>
  <c r="U267" i="9"/>
  <c r="S267" i="9"/>
  <c r="Z267" i="9" s="1"/>
  <c r="L267" i="9"/>
  <c r="I267" i="9"/>
  <c r="G267" i="9"/>
  <c r="F267" i="9"/>
  <c r="E267" i="9"/>
  <c r="Y266" i="9"/>
  <c r="X266" i="9"/>
  <c r="W266" i="9"/>
  <c r="V266" i="9"/>
  <c r="U266" i="9"/>
  <c r="S266" i="9"/>
  <c r="Z266" i="9" s="1"/>
  <c r="L266" i="9"/>
  <c r="I266" i="9"/>
  <c r="G266" i="9"/>
  <c r="F266" i="9"/>
  <c r="E266" i="9"/>
  <c r="Y265" i="9"/>
  <c r="X265" i="9"/>
  <c r="W265" i="9"/>
  <c r="V265" i="9"/>
  <c r="U265" i="9"/>
  <c r="S265" i="9"/>
  <c r="Z265" i="9" s="1"/>
  <c r="L265" i="9"/>
  <c r="I265" i="9"/>
  <c r="G265" i="9"/>
  <c r="F265" i="9"/>
  <c r="E265" i="9"/>
  <c r="Y264" i="9"/>
  <c r="X264" i="9"/>
  <c r="W264" i="9"/>
  <c r="V264" i="9"/>
  <c r="U264" i="9"/>
  <c r="S264" i="9"/>
  <c r="Z264" i="9" s="1"/>
  <c r="L264" i="9"/>
  <c r="I264" i="9"/>
  <c r="G264" i="9"/>
  <c r="F264" i="9"/>
  <c r="E264" i="9"/>
  <c r="Y263" i="9"/>
  <c r="X263" i="9"/>
  <c r="W263" i="9"/>
  <c r="V263" i="9"/>
  <c r="U263" i="9"/>
  <c r="S263" i="9"/>
  <c r="Z263" i="9" s="1"/>
  <c r="L263" i="9"/>
  <c r="I263" i="9"/>
  <c r="G263" i="9"/>
  <c r="F263" i="9"/>
  <c r="E263" i="9"/>
  <c r="Y262" i="9"/>
  <c r="X262" i="9"/>
  <c r="W262" i="9"/>
  <c r="V262" i="9"/>
  <c r="U262" i="9"/>
  <c r="S262" i="9"/>
  <c r="Z262" i="9" s="1"/>
  <c r="L262" i="9"/>
  <c r="I262" i="9"/>
  <c r="G262" i="9"/>
  <c r="F262" i="9"/>
  <c r="E262" i="9"/>
  <c r="Y261" i="9"/>
  <c r="X261" i="9"/>
  <c r="W261" i="9"/>
  <c r="V261" i="9"/>
  <c r="U261" i="9"/>
  <c r="S261" i="9"/>
  <c r="Z261" i="9" s="1"/>
  <c r="L261" i="9"/>
  <c r="I261" i="9"/>
  <c r="G261" i="9"/>
  <c r="F261" i="9"/>
  <c r="E261" i="9"/>
  <c r="Y260" i="9"/>
  <c r="X260" i="9"/>
  <c r="W260" i="9"/>
  <c r="V260" i="9"/>
  <c r="U260" i="9"/>
  <c r="S260" i="9"/>
  <c r="Z260" i="9" s="1"/>
  <c r="L260" i="9"/>
  <c r="I260" i="9"/>
  <c r="G260" i="9"/>
  <c r="F260" i="9"/>
  <c r="E260" i="9"/>
  <c r="Y259" i="9"/>
  <c r="X259" i="9"/>
  <c r="W259" i="9"/>
  <c r="V259" i="9"/>
  <c r="U259" i="9"/>
  <c r="S259" i="9"/>
  <c r="Z259" i="9" s="1"/>
  <c r="L259" i="9"/>
  <c r="I259" i="9"/>
  <c r="G259" i="9"/>
  <c r="F259" i="9"/>
  <c r="E259" i="9"/>
  <c r="Y258" i="9"/>
  <c r="X258" i="9"/>
  <c r="W258" i="9"/>
  <c r="V258" i="9"/>
  <c r="U258" i="9"/>
  <c r="S258" i="9"/>
  <c r="Z258" i="9" s="1"/>
  <c r="L258" i="9"/>
  <c r="I258" i="9"/>
  <c r="G258" i="9"/>
  <c r="F258" i="9"/>
  <c r="E258" i="9"/>
  <c r="Y257" i="9"/>
  <c r="X257" i="9"/>
  <c r="W257" i="9"/>
  <c r="V257" i="9"/>
  <c r="U257" i="9"/>
  <c r="S257" i="9"/>
  <c r="Z257" i="9" s="1"/>
  <c r="L257" i="9"/>
  <c r="I257" i="9"/>
  <c r="G257" i="9"/>
  <c r="F257" i="9"/>
  <c r="E257" i="9"/>
  <c r="Y256" i="9"/>
  <c r="X256" i="9"/>
  <c r="W256" i="9"/>
  <c r="V256" i="9"/>
  <c r="U256" i="9"/>
  <c r="S256" i="9"/>
  <c r="Z256" i="9" s="1"/>
  <c r="L256" i="9"/>
  <c r="I256" i="9"/>
  <c r="G256" i="9"/>
  <c r="F256" i="9"/>
  <c r="E256" i="9"/>
  <c r="Y255" i="9"/>
  <c r="X255" i="9"/>
  <c r="W255" i="9"/>
  <c r="V255" i="9"/>
  <c r="U255" i="9"/>
  <c r="S255" i="9"/>
  <c r="Z255" i="9" s="1"/>
  <c r="L255" i="9"/>
  <c r="I255" i="9"/>
  <c r="G255" i="9"/>
  <c r="F255" i="9"/>
  <c r="E255" i="9"/>
  <c r="Y254" i="9"/>
  <c r="X254" i="9"/>
  <c r="W254" i="9"/>
  <c r="V254" i="9"/>
  <c r="U254" i="9"/>
  <c r="S254" i="9"/>
  <c r="Z254" i="9" s="1"/>
  <c r="L254" i="9"/>
  <c r="I254" i="9"/>
  <c r="G254" i="9"/>
  <c r="F254" i="9"/>
  <c r="E254" i="9"/>
  <c r="Y253" i="9"/>
  <c r="X253" i="9"/>
  <c r="W253" i="9"/>
  <c r="V253" i="9"/>
  <c r="U253" i="9"/>
  <c r="S253" i="9"/>
  <c r="Z253" i="9" s="1"/>
  <c r="L253" i="9"/>
  <c r="I253" i="9"/>
  <c r="G253" i="9"/>
  <c r="F253" i="9"/>
  <c r="E253" i="9"/>
  <c r="Y252" i="9"/>
  <c r="X252" i="9"/>
  <c r="W252" i="9"/>
  <c r="V252" i="9"/>
  <c r="U252" i="9"/>
  <c r="S252" i="9"/>
  <c r="Z252" i="9" s="1"/>
  <c r="L252" i="9"/>
  <c r="I252" i="9"/>
  <c r="G252" i="9"/>
  <c r="F252" i="9"/>
  <c r="E252" i="9"/>
  <c r="Y251" i="9"/>
  <c r="X251" i="9"/>
  <c r="W251" i="9"/>
  <c r="V251" i="9"/>
  <c r="U251" i="9"/>
  <c r="S251" i="9"/>
  <c r="Z251" i="9" s="1"/>
  <c r="L251" i="9"/>
  <c r="I251" i="9"/>
  <c r="G251" i="9"/>
  <c r="F251" i="9"/>
  <c r="E251" i="9"/>
  <c r="Y250" i="9"/>
  <c r="X250" i="9"/>
  <c r="W250" i="9"/>
  <c r="V250" i="9"/>
  <c r="U250" i="9"/>
  <c r="S250" i="9"/>
  <c r="Z250" i="9" s="1"/>
  <c r="L250" i="9"/>
  <c r="I250" i="9"/>
  <c r="G250" i="9"/>
  <c r="F250" i="9"/>
  <c r="E250" i="9"/>
  <c r="Y249" i="9"/>
  <c r="X249" i="9"/>
  <c r="W249" i="9"/>
  <c r="V249" i="9"/>
  <c r="U249" i="9"/>
  <c r="S249" i="9"/>
  <c r="Z249" i="9" s="1"/>
  <c r="L249" i="9"/>
  <c r="I249" i="9"/>
  <c r="G249" i="9"/>
  <c r="F249" i="9"/>
  <c r="E249" i="9"/>
  <c r="Y248" i="9"/>
  <c r="X248" i="9"/>
  <c r="W248" i="9"/>
  <c r="V248" i="9"/>
  <c r="U248" i="9"/>
  <c r="S248" i="9"/>
  <c r="Z248" i="9" s="1"/>
  <c r="L248" i="9"/>
  <c r="I248" i="9"/>
  <c r="G248" i="9"/>
  <c r="F248" i="9"/>
  <c r="E248" i="9"/>
  <c r="Y247" i="9"/>
  <c r="X247" i="9"/>
  <c r="W247" i="9"/>
  <c r="V247" i="9"/>
  <c r="U247" i="9"/>
  <c r="S247" i="9"/>
  <c r="Z247" i="9" s="1"/>
  <c r="L247" i="9"/>
  <c r="I247" i="9"/>
  <c r="G247" i="9"/>
  <c r="F247" i="9"/>
  <c r="E247" i="9"/>
  <c r="Y246" i="9"/>
  <c r="X246" i="9"/>
  <c r="W246" i="9"/>
  <c r="V246" i="9"/>
  <c r="U246" i="9"/>
  <c r="S246" i="9"/>
  <c r="Z246" i="9" s="1"/>
  <c r="L246" i="9"/>
  <c r="I246" i="9"/>
  <c r="G246" i="9"/>
  <c r="F246" i="9"/>
  <c r="E246" i="9"/>
  <c r="Y245" i="9"/>
  <c r="X245" i="9"/>
  <c r="W245" i="9"/>
  <c r="V245" i="9"/>
  <c r="U245" i="9"/>
  <c r="S245" i="9"/>
  <c r="Z245" i="9" s="1"/>
  <c r="L245" i="9"/>
  <c r="I245" i="9"/>
  <c r="G245" i="9"/>
  <c r="F245" i="9"/>
  <c r="E245" i="9"/>
  <c r="Y244" i="9"/>
  <c r="X244" i="9"/>
  <c r="W244" i="9"/>
  <c r="V244" i="9"/>
  <c r="U244" i="9"/>
  <c r="S244" i="9"/>
  <c r="Z244" i="9" s="1"/>
  <c r="L244" i="9"/>
  <c r="I244" i="9"/>
  <c r="G244" i="9"/>
  <c r="F244" i="9"/>
  <c r="E244" i="9"/>
  <c r="Y243" i="9"/>
  <c r="X243" i="9"/>
  <c r="W243" i="9"/>
  <c r="V243" i="9"/>
  <c r="U243" i="9"/>
  <c r="S243" i="9"/>
  <c r="Z243" i="9" s="1"/>
  <c r="L243" i="9"/>
  <c r="I243" i="9"/>
  <c r="G243" i="9"/>
  <c r="F243" i="9"/>
  <c r="E243" i="9"/>
  <c r="Y242" i="9"/>
  <c r="X242" i="9"/>
  <c r="W242" i="9"/>
  <c r="V242" i="9"/>
  <c r="U242" i="9"/>
  <c r="S242" i="9"/>
  <c r="Z242" i="9" s="1"/>
  <c r="L242" i="9"/>
  <c r="I242" i="9"/>
  <c r="G242" i="9"/>
  <c r="F242" i="9"/>
  <c r="E242" i="9"/>
  <c r="Y241" i="9"/>
  <c r="X241" i="9"/>
  <c r="W241" i="9"/>
  <c r="V241" i="9"/>
  <c r="U241" i="9"/>
  <c r="S241" i="9"/>
  <c r="Z241" i="9" s="1"/>
  <c r="L241" i="9"/>
  <c r="I241" i="9"/>
  <c r="G241" i="9"/>
  <c r="F241" i="9"/>
  <c r="E241" i="9"/>
  <c r="Y240" i="9"/>
  <c r="X240" i="9"/>
  <c r="W240" i="9"/>
  <c r="V240" i="9"/>
  <c r="U240" i="9"/>
  <c r="S240" i="9"/>
  <c r="Z240" i="9" s="1"/>
  <c r="L240" i="9"/>
  <c r="I240" i="9"/>
  <c r="G240" i="9"/>
  <c r="F240" i="9"/>
  <c r="E240" i="9"/>
  <c r="Y239" i="9"/>
  <c r="X239" i="9"/>
  <c r="W239" i="9"/>
  <c r="V239" i="9"/>
  <c r="U239" i="9"/>
  <c r="S239" i="9"/>
  <c r="Z239" i="9" s="1"/>
  <c r="L239" i="9"/>
  <c r="I239" i="9"/>
  <c r="G239" i="9"/>
  <c r="F239" i="9"/>
  <c r="E239" i="9"/>
  <c r="Y238" i="9"/>
  <c r="X238" i="9"/>
  <c r="W238" i="9"/>
  <c r="V238" i="9"/>
  <c r="U238" i="9"/>
  <c r="S238" i="9"/>
  <c r="Z238" i="9" s="1"/>
  <c r="L238" i="9"/>
  <c r="I238" i="9"/>
  <c r="G238" i="9"/>
  <c r="F238" i="9"/>
  <c r="E238" i="9"/>
  <c r="Y237" i="9"/>
  <c r="X237" i="9"/>
  <c r="W237" i="9"/>
  <c r="V237" i="9"/>
  <c r="U237" i="9"/>
  <c r="S237" i="9"/>
  <c r="Z237" i="9" s="1"/>
  <c r="L237" i="9"/>
  <c r="I237" i="9"/>
  <c r="G237" i="9"/>
  <c r="F237" i="9"/>
  <c r="E237" i="9"/>
  <c r="Y236" i="9"/>
  <c r="X236" i="9"/>
  <c r="W236" i="9"/>
  <c r="V236" i="9"/>
  <c r="U236" i="9"/>
  <c r="S236" i="9"/>
  <c r="Z236" i="9" s="1"/>
  <c r="L236" i="9"/>
  <c r="I236" i="9"/>
  <c r="G236" i="9"/>
  <c r="F236" i="9"/>
  <c r="E236" i="9"/>
  <c r="Y235" i="9"/>
  <c r="X235" i="9"/>
  <c r="W235" i="9"/>
  <c r="V235" i="9"/>
  <c r="U235" i="9"/>
  <c r="S235" i="9"/>
  <c r="Z235" i="9" s="1"/>
  <c r="L235" i="9"/>
  <c r="I235" i="9"/>
  <c r="G235" i="9"/>
  <c r="F235" i="9"/>
  <c r="E235" i="9"/>
  <c r="Y234" i="9"/>
  <c r="X234" i="9"/>
  <c r="W234" i="9"/>
  <c r="V234" i="9"/>
  <c r="U234" i="9"/>
  <c r="S234" i="9"/>
  <c r="Z234" i="9" s="1"/>
  <c r="L234" i="9"/>
  <c r="I234" i="9"/>
  <c r="G234" i="9"/>
  <c r="F234" i="9"/>
  <c r="E234" i="9"/>
  <c r="Y233" i="9"/>
  <c r="X233" i="9"/>
  <c r="W233" i="9"/>
  <c r="V233" i="9"/>
  <c r="U233" i="9"/>
  <c r="S233" i="9"/>
  <c r="Z233" i="9" s="1"/>
  <c r="L233" i="9"/>
  <c r="I233" i="9"/>
  <c r="G233" i="9"/>
  <c r="F233" i="9"/>
  <c r="E233" i="9"/>
  <c r="Y232" i="9"/>
  <c r="X232" i="9"/>
  <c r="W232" i="9"/>
  <c r="V232" i="9"/>
  <c r="U232" i="9"/>
  <c r="S232" i="9"/>
  <c r="Z232" i="9" s="1"/>
  <c r="L232" i="9"/>
  <c r="I232" i="9"/>
  <c r="G232" i="9"/>
  <c r="F232" i="9"/>
  <c r="E232" i="9"/>
  <c r="Y231" i="9"/>
  <c r="X231" i="9"/>
  <c r="W231" i="9"/>
  <c r="V231" i="9"/>
  <c r="U231" i="9"/>
  <c r="S231" i="9"/>
  <c r="Z231" i="9" s="1"/>
  <c r="L231" i="9"/>
  <c r="I231" i="9"/>
  <c r="G231" i="9"/>
  <c r="F231" i="9"/>
  <c r="E231" i="9"/>
  <c r="Y230" i="9"/>
  <c r="X230" i="9"/>
  <c r="W230" i="9"/>
  <c r="V230" i="9"/>
  <c r="U230" i="9"/>
  <c r="S230" i="9"/>
  <c r="Z230" i="9" s="1"/>
  <c r="L230" i="9"/>
  <c r="I230" i="9"/>
  <c r="G230" i="9"/>
  <c r="F230" i="9"/>
  <c r="E230" i="9"/>
  <c r="Y229" i="9"/>
  <c r="X229" i="9"/>
  <c r="W229" i="9"/>
  <c r="V229" i="9"/>
  <c r="U229" i="9"/>
  <c r="S229" i="9"/>
  <c r="Z229" i="9" s="1"/>
  <c r="L229" i="9"/>
  <c r="I229" i="9"/>
  <c r="G229" i="9"/>
  <c r="F229" i="9"/>
  <c r="E229" i="9"/>
  <c r="Y228" i="9"/>
  <c r="X228" i="9"/>
  <c r="W228" i="9"/>
  <c r="V228" i="9"/>
  <c r="U228" i="9"/>
  <c r="S228" i="9"/>
  <c r="Z228" i="9" s="1"/>
  <c r="L228" i="9"/>
  <c r="I228" i="9"/>
  <c r="G228" i="9"/>
  <c r="F228" i="9"/>
  <c r="E228" i="9"/>
  <c r="Y227" i="9"/>
  <c r="X227" i="9"/>
  <c r="W227" i="9"/>
  <c r="V227" i="9"/>
  <c r="U227" i="9"/>
  <c r="S227" i="9"/>
  <c r="Z227" i="9" s="1"/>
  <c r="L227" i="9"/>
  <c r="I227" i="9"/>
  <c r="G227" i="9"/>
  <c r="F227" i="9"/>
  <c r="E227" i="9"/>
  <c r="Y226" i="9"/>
  <c r="X226" i="9"/>
  <c r="W226" i="9"/>
  <c r="V226" i="9"/>
  <c r="U226" i="9"/>
  <c r="S226" i="9"/>
  <c r="Z226" i="9" s="1"/>
  <c r="L226" i="9"/>
  <c r="I226" i="9"/>
  <c r="G226" i="9"/>
  <c r="F226" i="9"/>
  <c r="E226" i="9"/>
  <c r="Y225" i="9"/>
  <c r="X225" i="9"/>
  <c r="W225" i="9"/>
  <c r="V225" i="9"/>
  <c r="U225" i="9"/>
  <c r="S225" i="9"/>
  <c r="Z225" i="9" s="1"/>
  <c r="L225" i="9"/>
  <c r="I225" i="9"/>
  <c r="G225" i="9"/>
  <c r="F225" i="9"/>
  <c r="E225" i="9"/>
  <c r="Y224" i="9"/>
  <c r="X224" i="9"/>
  <c r="W224" i="9"/>
  <c r="V224" i="9"/>
  <c r="U224" i="9"/>
  <c r="S224" i="9"/>
  <c r="Z224" i="9" s="1"/>
  <c r="L224" i="9"/>
  <c r="I224" i="9"/>
  <c r="G224" i="9"/>
  <c r="F224" i="9"/>
  <c r="E224" i="9"/>
  <c r="Y223" i="9"/>
  <c r="X223" i="9"/>
  <c r="W223" i="9"/>
  <c r="V223" i="9"/>
  <c r="U223" i="9"/>
  <c r="S223" i="9"/>
  <c r="Z223" i="9" s="1"/>
  <c r="L223" i="9"/>
  <c r="I223" i="9"/>
  <c r="G223" i="9"/>
  <c r="F223" i="9"/>
  <c r="E223" i="9"/>
  <c r="Y222" i="9"/>
  <c r="X222" i="9"/>
  <c r="W222" i="9"/>
  <c r="V222" i="9"/>
  <c r="U222" i="9"/>
  <c r="S222" i="9"/>
  <c r="Z222" i="9" s="1"/>
  <c r="L222" i="9"/>
  <c r="I222" i="9"/>
  <c r="G222" i="9"/>
  <c r="F222" i="9"/>
  <c r="E222" i="9"/>
  <c r="Y221" i="9"/>
  <c r="X221" i="9"/>
  <c r="W221" i="9"/>
  <c r="V221" i="9"/>
  <c r="U221" i="9"/>
  <c r="S221" i="9"/>
  <c r="Z221" i="9" s="1"/>
  <c r="L221" i="9"/>
  <c r="I221" i="9"/>
  <c r="G221" i="9"/>
  <c r="F221" i="9"/>
  <c r="E221" i="9"/>
  <c r="Y220" i="9"/>
  <c r="X220" i="9"/>
  <c r="W220" i="9"/>
  <c r="V220" i="9"/>
  <c r="U220" i="9"/>
  <c r="S220" i="9"/>
  <c r="Z220" i="9" s="1"/>
  <c r="L220" i="9"/>
  <c r="I220" i="9"/>
  <c r="G220" i="9"/>
  <c r="F220" i="9"/>
  <c r="E220" i="9"/>
  <c r="Y219" i="9"/>
  <c r="X219" i="9"/>
  <c r="W219" i="9"/>
  <c r="V219" i="9"/>
  <c r="U219" i="9"/>
  <c r="S219" i="9"/>
  <c r="Z219" i="9" s="1"/>
  <c r="L219" i="9"/>
  <c r="I219" i="9"/>
  <c r="G219" i="9"/>
  <c r="F219" i="9"/>
  <c r="E219" i="9"/>
  <c r="Y218" i="9"/>
  <c r="X218" i="9"/>
  <c r="W218" i="9"/>
  <c r="V218" i="9"/>
  <c r="U218" i="9"/>
  <c r="S218" i="9"/>
  <c r="Z218" i="9" s="1"/>
  <c r="L218" i="9"/>
  <c r="I218" i="9"/>
  <c r="G218" i="9"/>
  <c r="F218" i="9"/>
  <c r="E218" i="9"/>
  <c r="Y217" i="9"/>
  <c r="X217" i="9"/>
  <c r="W217" i="9"/>
  <c r="V217" i="9"/>
  <c r="U217" i="9"/>
  <c r="S217" i="9"/>
  <c r="Z217" i="9" s="1"/>
  <c r="L217" i="9"/>
  <c r="I217" i="9"/>
  <c r="G217" i="9"/>
  <c r="F217" i="9"/>
  <c r="E217" i="9"/>
  <c r="Y216" i="9"/>
  <c r="X216" i="9"/>
  <c r="W216" i="9"/>
  <c r="V216" i="9"/>
  <c r="U216" i="9"/>
  <c r="S216" i="9"/>
  <c r="Z216" i="9" s="1"/>
  <c r="L216" i="9"/>
  <c r="I216" i="9"/>
  <c r="G216" i="9"/>
  <c r="F216" i="9"/>
  <c r="E216" i="9"/>
  <c r="Y215" i="9"/>
  <c r="X215" i="9"/>
  <c r="W215" i="9"/>
  <c r="V215" i="9"/>
  <c r="U215" i="9"/>
  <c r="S215" i="9"/>
  <c r="Z215" i="9" s="1"/>
  <c r="L215" i="9"/>
  <c r="I215" i="9"/>
  <c r="G215" i="9"/>
  <c r="F215" i="9"/>
  <c r="E215" i="9"/>
  <c r="Y214" i="9"/>
  <c r="X214" i="9"/>
  <c r="W214" i="9"/>
  <c r="V214" i="9"/>
  <c r="U214" i="9"/>
  <c r="S214" i="9"/>
  <c r="Z214" i="9" s="1"/>
  <c r="L214" i="9"/>
  <c r="I214" i="9"/>
  <c r="G214" i="9"/>
  <c r="F214" i="9"/>
  <c r="E214" i="9"/>
  <c r="Y213" i="9"/>
  <c r="X213" i="9"/>
  <c r="W213" i="9"/>
  <c r="V213" i="9"/>
  <c r="U213" i="9"/>
  <c r="S213" i="9"/>
  <c r="Z213" i="9" s="1"/>
  <c r="L213" i="9"/>
  <c r="I213" i="9"/>
  <c r="G213" i="9"/>
  <c r="F213" i="9"/>
  <c r="E213" i="9"/>
  <c r="Y212" i="9"/>
  <c r="X212" i="9"/>
  <c r="W212" i="9"/>
  <c r="V212" i="9"/>
  <c r="U212" i="9"/>
  <c r="S212" i="9"/>
  <c r="Z212" i="9" s="1"/>
  <c r="L212" i="9"/>
  <c r="I212" i="9"/>
  <c r="G212" i="9"/>
  <c r="F212" i="9"/>
  <c r="E212" i="9"/>
  <c r="Y211" i="9"/>
  <c r="X211" i="9"/>
  <c r="W211" i="9"/>
  <c r="V211" i="9"/>
  <c r="U211" i="9"/>
  <c r="S211" i="9"/>
  <c r="Z211" i="9" s="1"/>
  <c r="L211" i="9"/>
  <c r="I211" i="9"/>
  <c r="G211" i="9"/>
  <c r="F211" i="9"/>
  <c r="E211" i="9"/>
  <c r="Y210" i="9"/>
  <c r="X210" i="9"/>
  <c r="W210" i="9"/>
  <c r="V210" i="9"/>
  <c r="U210" i="9"/>
  <c r="S210" i="9"/>
  <c r="Z210" i="9" s="1"/>
  <c r="L210" i="9"/>
  <c r="I210" i="9"/>
  <c r="G210" i="9"/>
  <c r="F210" i="9"/>
  <c r="E210" i="9"/>
  <c r="Y209" i="9"/>
  <c r="X209" i="9"/>
  <c r="W209" i="9"/>
  <c r="V209" i="9"/>
  <c r="U209" i="9"/>
  <c r="S209" i="9"/>
  <c r="Z209" i="9" s="1"/>
  <c r="L209" i="9"/>
  <c r="I209" i="9"/>
  <c r="G209" i="9"/>
  <c r="F209" i="9"/>
  <c r="E209" i="9"/>
  <c r="Y208" i="9"/>
  <c r="X208" i="9"/>
  <c r="W208" i="9"/>
  <c r="V208" i="9"/>
  <c r="U208" i="9"/>
  <c r="S208" i="9"/>
  <c r="Z208" i="9" s="1"/>
  <c r="L208" i="9"/>
  <c r="I208" i="9"/>
  <c r="G208" i="9"/>
  <c r="F208" i="9"/>
  <c r="E208" i="9"/>
  <c r="Y207" i="9"/>
  <c r="X207" i="9"/>
  <c r="W207" i="9"/>
  <c r="V207" i="9"/>
  <c r="U207" i="9"/>
  <c r="S207" i="9"/>
  <c r="Z207" i="9" s="1"/>
  <c r="L207" i="9"/>
  <c r="I207" i="9"/>
  <c r="G207" i="9"/>
  <c r="F207" i="9"/>
  <c r="E207" i="9"/>
  <c r="Y206" i="9"/>
  <c r="X206" i="9"/>
  <c r="W206" i="9"/>
  <c r="V206" i="9"/>
  <c r="U206" i="9"/>
  <c r="S206" i="9"/>
  <c r="Z206" i="9" s="1"/>
  <c r="L206" i="9"/>
  <c r="I206" i="9"/>
  <c r="G206" i="9"/>
  <c r="F206" i="9"/>
  <c r="E206" i="9"/>
  <c r="Y205" i="9"/>
  <c r="X205" i="9"/>
  <c r="W205" i="9"/>
  <c r="V205" i="9"/>
  <c r="U205" i="9"/>
  <c r="S205" i="9"/>
  <c r="Z205" i="9" s="1"/>
  <c r="L205" i="9"/>
  <c r="I205" i="9"/>
  <c r="G205" i="9"/>
  <c r="F205" i="9"/>
  <c r="E205" i="9"/>
  <c r="Y204" i="9"/>
  <c r="X204" i="9"/>
  <c r="W204" i="9"/>
  <c r="V204" i="9"/>
  <c r="U204" i="9"/>
  <c r="S204" i="9"/>
  <c r="Z204" i="9" s="1"/>
  <c r="L204" i="9"/>
  <c r="I204" i="9"/>
  <c r="G204" i="9"/>
  <c r="F204" i="9"/>
  <c r="E204" i="9"/>
  <c r="Y203" i="9"/>
  <c r="X203" i="9"/>
  <c r="W203" i="9"/>
  <c r="V203" i="9"/>
  <c r="U203" i="9"/>
  <c r="S203" i="9"/>
  <c r="Z203" i="9" s="1"/>
  <c r="L203" i="9"/>
  <c r="I203" i="9"/>
  <c r="G203" i="9"/>
  <c r="F203" i="9"/>
  <c r="E203" i="9"/>
  <c r="Y202" i="9"/>
  <c r="X202" i="9"/>
  <c r="W202" i="9"/>
  <c r="V202" i="9"/>
  <c r="U202" i="9"/>
  <c r="S202" i="9"/>
  <c r="Z202" i="9" s="1"/>
  <c r="L202" i="9"/>
  <c r="I202" i="9"/>
  <c r="G202" i="9"/>
  <c r="F202" i="9"/>
  <c r="E202" i="9"/>
  <c r="Y201" i="9"/>
  <c r="X201" i="9"/>
  <c r="W201" i="9"/>
  <c r="V201" i="9"/>
  <c r="U201" i="9"/>
  <c r="S201" i="9"/>
  <c r="Z201" i="9" s="1"/>
  <c r="L201" i="9"/>
  <c r="I201" i="9"/>
  <c r="G201" i="9"/>
  <c r="F201" i="9"/>
  <c r="E201" i="9"/>
  <c r="Y200" i="9"/>
  <c r="X200" i="9"/>
  <c r="W200" i="9"/>
  <c r="V200" i="9"/>
  <c r="U200" i="9"/>
  <c r="S200" i="9"/>
  <c r="Z200" i="9" s="1"/>
  <c r="L200" i="9"/>
  <c r="I200" i="9"/>
  <c r="G200" i="9"/>
  <c r="F200" i="9"/>
  <c r="E200" i="9"/>
  <c r="Y199" i="9"/>
  <c r="X199" i="9"/>
  <c r="W199" i="9"/>
  <c r="V199" i="9"/>
  <c r="U199" i="9"/>
  <c r="S199" i="9"/>
  <c r="Z199" i="9" s="1"/>
  <c r="L199" i="9"/>
  <c r="I199" i="9"/>
  <c r="G199" i="9"/>
  <c r="F199" i="9"/>
  <c r="E199" i="9"/>
  <c r="Y198" i="9"/>
  <c r="X198" i="9"/>
  <c r="W198" i="9"/>
  <c r="V198" i="9"/>
  <c r="U198" i="9"/>
  <c r="S198" i="9"/>
  <c r="Z198" i="9" s="1"/>
  <c r="L198" i="9"/>
  <c r="I198" i="9"/>
  <c r="G198" i="9"/>
  <c r="F198" i="9"/>
  <c r="E198" i="9"/>
  <c r="Y197" i="9"/>
  <c r="X197" i="9"/>
  <c r="W197" i="9"/>
  <c r="V197" i="9"/>
  <c r="U197" i="9"/>
  <c r="S197" i="9"/>
  <c r="Z197" i="9" s="1"/>
  <c r="L197" i="9"/>
  <c r="I197" i="9"/>
  <c r="G197" i="9"/>
  <c r="F197" i="9"/>
  <c r="E197" i="9"/>
  <c r="Y196" i="9"/>
  <c r="X196" i="9"/>
  <c r="W196" i="9"/>
  <c r="V196" i="9"/>
  <c r="U196" i="9"/>
  <c r="S196" i="9"/>
  <c r="Z196" i="9" s="1"/>
  <c r="L196" i="9"/>
  <c r="I196" i="9"/>
  <c r="G196" i="9"/>
  <c r="F196" i="9"/>
  <c r="E196" i="9"/>
  <c r="Y195" i="9"/>
  <c r="X195" i="9"/>
  <c r="W195" i="9"/>
  <c r="V195" i="9"/>
  <c r="U195" i="9"/>
  <c r="S195" i="9"/>
  <c r="Z195" i="9" s="1"/>
  <c r="L195" i="9"/>
  <c r="I195" i="9"/>
  <c r="G195" i="9"/>
  <c r="F195" i="9"/>
  <c r="E195" i="9"/>
  <c r="Y194" i="9"/>
  <c r="X194" i="9"/>
  <c r="W194" i="9"/>
  <c r="V194" i="9"/>
  <c r="U194" i="9"/>
  <c r="S194" i="9"/>
  <c r="Z194" i="9" s="1"/>
  <c r="L194" i="9"/>
  <c r="I194" i="9"/>
  <c r="G194" i="9"/>
  <c r="F194" i="9"/>
  <c r="E194" i="9"/>
  <c r="Y193" i="9"/>
  <c r="X193" i="9"/>
  <c r="W193" i="9"/>
  <c r="V193" i="9"/>
  <c r="U193" i="9"/>
  <c r="S193" i="9"/>
  <c r="Z193" i="9" s="1"/>
  <c r="L193" i="9"/>
  <c r="I193" i="9"/>
  <c r="G193" i="9"/>
  <c r="F193" i="9"/>
  <c r="E193" i="9"/>
  <c r="Y192" i="9"/>
  <c r="X192" i="9"/>
  <c r="W192" i="9"/>
  <c r="V192" i="9"/>
  <c r="U192" i="9"/>
  <c r="S192" i="9"/>
  <c r="Z192" i="9" s="1"/>
  <c r="L192" i="9"/>
  <c r="I192" i="9"/>
  <c r="G192" i="9"/>
  <c r="F192" i="9"/>
  <c r="E192" i="9"/>
  <c r="Y191" i="9"/>
  <c r="X191" i="9"/>
  <c r="W191" i="9"/>
  <c r="V191" i="9"/>
  <c r="U191" i="9"/>
  <c r="S191" i="9"/>
  <c r="Z191" i="9" s="1"/>
  <c r="L191" i="9"/>
  <c r="I191" i="9"/>
  <c r="G191" i="9"/>
  <c r="F191" i="9"/>
  <c r="E191" i="9"/>
  <c r="Y190" i="9"/>
  <c r="X190" i="9"/>
  <c r="W190" i="9"/>
  <c r="V190" i="9"/>
  <c r="U190" i="9"/>
  <c r="S190" i="9"/>
  <c r="Z190" i="9" s="1"/>
  <c r="L190" i="9"/>
  <c r="I190" i="9"/>
  <c r="G190" i="9"/>
  <c r="F190" i="9"/>
  <c r="E190" i="9"/>
  <c r="Y189" i="9"/>
  <c r="X189" i="9"/>
  <c r="W189" i="9"/>
  <c r="V189" i="9"/>
  <c r="U189" i="9"/>
  <c r="S189" i="9"/>
  <c r="Z189" i="9" s="1"/>
  <c r="L189" i="9"/>
  <c r="I189" i="9"/>
  <c r="G189" i="9"/>
  <c r="F189" i="9"/>
  <c r="E189" i="9"/>
  <c r="Y188" i="9"/>
  <c r="X188" i="9"/>
  <c r="W188" i="9"/>
  <c r="V188" i="9"/>
  <c r="U188" i="9"/>
  <c r="S188" i="9"/>
  <c r="Z188" i="9" s="1"/>
  <c r="L188" i="9"/>
  <c r="I188" i="9"/>
  <c r="G188" i="9"/>
  <c r="F188" i="9"/>
  <c r="E188" i="9"/>
  <c r="Y187" i="9"/>
  <c r="X187" i="9"/>
  <c r="W187" i="9"/>
  <c r="V187" i="9"/>
  <c r="U187" i="9"/>
  <c r="S187" i="9"/>
  <c r="Z187" i="9" s="1"/>
  <c r="L187" i="9"/>
  <c r="I187" i="9"/>
  <c r="G187" i="9"/>
  <c r="F187" i="9"/>
  <c r="E187" i="9"/>
  <c r="Y186" i="9"/>
  <c r="X186" i="9"/>
  <c r="W186" i="9"/>
  <c r="V186" i="9"/>
  <c r="U186" i="9"/>
  <c r="S186" i="9"/>
  <c r="Z186" i="9" s="1"/>
  <c r="L186" i="9"/>
  <c r="I186" i="9"/>
  <c r="G186" i="9"/>
  <c r="F186" i="9"/>
  <c r="E186" i="9"/>
  <c r="Y185" i="9"/>
  <c r="X185" i="9"/>
  <c r="W185" i="9"/>
  <c r="V185" i="9"/>
  <c r="U185" i="9"/>
  <c r="S185" i="9"/>
  <c r="Z185" i="9" s="1"/>
  <c r="L185" i="9"/>
  <c r="I185" i="9"/>
  <c r="G185" i="9"/>
  <c r="F185" i="9"/>
  <c r="E185" i="9"/>
  <c r="Y184" i="9"/>
  <c r="X184" i="9"/>
  <c r="W184" i="9"/>
  <c r="V184" i="9"/>
  <c r="U184" i="9"/>
  <c r="S184" i="9"/>
  <c r="Z184" i="9" s="1"/>
  <c r="L184" i="9"/>
  <c r="I184" i="9"/>
  <c r="G184" i="9"/>
  <c r="F184" i="9"/>
  <c r="E184" i="9"/>
  <c r="Y183" i="9"/>
  <c r="X183" i="9"/>
  <c r="W183" i="9"/>
  <c r="V183" i="9"/>
  <c r="U183" i="9"/>
  <c r="S183" i="9"/>
  <c r="Z183" i="9" s="1"/>
  <c r="L183" i="9"/>
  <c r="I183" i="9"/>
  <c r="G183" i="9"/>
  <c r="F183" i="9"/>
  <c r="E183" i="9"/>
  <c r="Y182" i="9"/>
  <c r="X182" i="9"/>
  <c r="W182" i="9"/>
  <c r="V182" i="9"/>
  <c r="U182" i="9"/>
  <c r="S182" i="9"/>
  <c r="Z182" i="9" s="1"/>
  <c r="L182" i="9"/>
  <c r="I182" i="9"/>
  <c r="G182" i="9"/>
  <c r="F182" i="9"/>
  <c r="E182" i="9"/>
  <c r="Y181" i="9"/>
  <c r="X181" i="9"/>
  <c r="W181" i="9"/>
  <c r="V181" i="9"/>
  <c r="U181" i="9"/>
  <c r="S181" i="9"/>
  <c r="Z181" i="9" s="1"/>
  <c r="L181" i="9"/>
  <c r="I181" i="9"/>
  <c r="G181" i="9"/>
  <c r="F181" i="9"/>
  <c r="E181" i="9"/>
  <c r="Y180" i="9"/>
  <c r="X180" i="9"/>
  <c r="W180" i="9"/>
  <c r="V180" i="9"/>
  <c r="U180" i="9"/>
  <c r="S180" i="9"/>
  <c r="Z180" i="9" s="1"/>
  <c r="L180" i="9"/>
  <c r="I180" i="9"/>
  <c r="G180" i="9"/>
  <c r="F180" i="9"/>
  <c r="E180" i="9"/>
  <c r="Y179" i="9"/>
  <c r="X179" i="9"/>
  <c r="W179" i="9"/>
  <c r="V179" i="9"/>
  <c r="U179" i="9"/>
  <c r="S179" i="9"/>
  <c r="Z179" i="9" s="1"/>
  <c r="L179" i="9"/>
  <c r="I179" i="9"/>
  <c r="G179" i="9"/>
  <c r="F179" i="9"/>
  <c r="E179" i="9"/>
  <c r="Y178" i="9"/>
  <c r="X178" i="9"/>
  <c r="W178" i="9"/>
  <c r="V178" i="9"/>
  <c r="U178" i="9"/>
  <c r="S178" i="9"/>
  <c r="Z178" i="9" s="1"/>
  <c r="L178" i="9"/>
  <c r="I178" i="9"/>
  <c r="G178" i="9"/>
  <c r="F178" i="9"/>
  <c r="E178" i="9"/>
  <c r="Y177" i="9"/>
  <c r="X177" i="9"/>
  <c r="W177" i="9"/>
  <c r="V177" i="9"/>
  <c r="U177" i="9"/>
  <c r="S177" i="9"/>
  <c r="Z177" i="9" s="1"/>
  <c r="L177" i="9"/>
  <c r="I177" i="9"/>
  <c r="G177" i="9"/>
  <c r="F177" i="9"/>
  <c r="E177" i="9"/>
  <c r="Y176" i="9"/>
  <c r="X176" i="9"/>
  <c r="W176" i="9"/>
  <c r="V176" i="9"/>
  <c r="U176" i="9"/>
  <c r="S176" i="9"/>
  <c r="Z176" i="9" s="1"/>
  <c r="L176" i="9"/>
  <c r="I176" i="9"/>
  <c r="G176" i="9"/>
  <c r="F176" i="9"/>
  <c r="E176" i="9"/>
  <c r="Y175" i="9"/>
  <c r="X175" i="9"/>
  <c r="W175" i="9"/>
  <c r="V175" i="9"/>
  <c r="U175" i="9"/>
  <c r="S175" i="9"/>
  <c r="Z175" i="9" s="1"/>
  <c r="L175" i="9"/>
  <c r="I175" i="9"/>
  <c r="G175" i="9"/>
  <c r="F175" i="9"/>
  <c r="E175" i="9"/>
  <c r="Y174" i="9"/>
  <c r="X174" i="9"/>
  <c r="W174" i="9"/>
  <c r="V174" i="9"/>
  <c r="U174" i="9"/>
  <c r="S174" i="9"/>
  <c r="Z174" i="9" s="1"/>
  <c r="L174" i="9"/>
  <c r="I174" i="9"/>
  <c r="G174" i="9"/>
  <c r="F174" i="9"/>
  <c r="E174" i="9"/>
  <c r="Y173" i="9"/>
  <c r="X173" i="9"/>
  <c r="W173" i="9"/>
  <c r="V173" i="9"/>
  <c r="U173" i="9"/>
  <c r="S173" i="9"/>
  <c r="Z173" i="9" s="1"/>
  <c r="L173" i="9"/>
  <c r="I173" i="9"/>
  <c r="G173" i="9"/>
  <c r="F173" i="9"/>
  <c r="E173" i="9"/>
  <c r="Y172" i="9"/>
  <c r="X172" i="9"/>
  <c r="W172" i="9"/>
  <c r="V172" i="9"/>
  <c r="U172" i="9"/>
  <c r="S172" i="9"/>
  <c r="Z172" i="9" s="1"/>
  <c r="L172" i="9"/>
  <c r="I172" i="9"/>
  <c r="G172" i="9"/>
  <c r="F172" i="9"/>
  <c r="E172" i="9"/>
  <c r="Y171" i="9"/>
  <c r="X171" i="9"/>
  <c r="W171" i="9"/>
  <c r="V171" i="9"/>
  <c r="U171" i="9"/>
  <c r="S171" i="9"/>
  <c r="Z171" i="9" s="1"/>
  <c r="L171" i="9"/>
  <c r="I171" i="9"/>
  <c r="G171" i="9"/>
  <c r="F171" i="9"/>
  <c r="E171" i="9"/>
  <c r="Y170" i="9"/>
  <c r="X170" i="9"/>
  <c r="W170" i="9"/>
  <c r="V170" i="9"/>
  <c r="U170" i="9"/>
  <c r="S170" i="9"/>
  <c r="Z170" i="9" s="1"/>
  <c r="L170" i="9"/>
  <c r="I170" i="9"/>
  <c r="G170" i="9"/>
  <c r="F170" i="9"/>
  <c r="E170" i="9"/>
  <c r="Y169" i="9"/>
  <c r="X169" i="9"/>
  <c r="W169" i="9"/>
  <c r="V169" i="9"/>
  <c r="U169" i="9"/>
  <c r="S169" i="9"/>
  <c r="Z169" i="9" s="1"/>
  <c r="L169" i="9"/>
  <c r="I169" i="9"/>
  <c r="G169" i="9"/>
  <c r="F169" i="9"/>
  <c r="E169" i="9"/>
  <c r="Y168" i="9"/>
  <c r="X168" i="9"/>
  <c r="W168" i="9"/>
  <c r="V168" i="9"/>
  <c r="U168" i="9"/>
  <c r="S168" i="9"/>
  <c r="Z168" i="9" s="1"/>
  <c r="L168" i="9"/>
  <c r="I168" i="9"/>
  <c r="G168" i="9"/>
  <c r="F168" i="9"/>
  <c r="E168" i="9"/>
  <c r="Y167" i="9"/>
  <c r="X167" i="9"/>
  <c r="W167" i="9"/>
  <c r="V167" i="9"/>
  <c r="U167" i="9"/>
  <c r="S167" i="9"/>
  <c r="Z167" i="9" s="1"/>
  <c r="L167" i="9"/>
  <c r="I167" i="9"/>
  <c r="G167" i="9"/>
  <c r="F167" i="9"/>
  <c r="E167" i="9"/>
  <c r="Y166" i="9"/>
  <c r="X166" i="9"/>
  <c r="W166" i="9"/>
  <c r="V166" i="9"/>
  <c r="U166" i="9"/>
  <c r="S166" i="9"/>
  <c r="Z166" i="9" s="1"/>
  <c r="L166" i="9"/>
  <c r="I166" i="9"/>
  <c r="G166" i="9"/>
  <c r="F166" i="9"/>
  <c r="E166" i="9"/>
  <c r="Y165" i="9"/>
  <c r="X165" i="9"/>
  <c r="W165" i="9"/>
  <c r="V165" i="9"/>
  <c r="U165" i="9"/>
  <c r="S165" i="9"/>
  <c r="Z165" i="9" s="1"/>
  <c r="L165" i="9"/>
  <c r="I165" i="9"/>
  <c r="G165" i="9"/>
  <c r="F165" i="9"/>
  <c r="E165" i="9"/>
  <c r="Y164" i="9"/>
  <c r="X164" i="9"/>
  <c r="W164" i="9"/>
  <c r="V164" i="9"/>
  <c r="U164" i="9"/>
  <c r="S164" i="9"/>
  <c r="Z164" i="9" s="1"/>
  <c r="L164" i="9"/>
  <c r="I164" i="9"/>
  <c r="G164" i="9"/>
  <c r="F164" i="9"/>
  <c r="E164" i="9"/>
  <c r="Y163" i="9"/>
  <c r="X163" i="9"/>
  <c r="W163" i="9"/>
  <c r="V163" i="9"/>
  <c r="U163" i="9"/>
  <c r="S163" i="9"/>
  <c r="Z163" i="9" s="1"/>
  <c r="L163" i="9"/>
  <c r="I163" i="9"/>
  <c r="G163" i="9"/>
  <c r="F163" i="9"/>
  <c r="E163" i="9"/>
  <c r="Y162" i="9"/>
  <c r="X162" i="9"/>
  <c r="W162" i="9"/>
  <c r="V162" i="9"/>
  <c r="U162" i="9"/>
  <c r="S162" i="9"/>
  <c r="Z162" i="9" s="1"/>
  <c r="L162" i="9"/>
  <c r="I162" i="9"/>
  <c r="G162" i="9"/>
  <c r="F162" i="9"/>
  <c r="E162" i="9"/>
  <c r="Y161" i="9"/>
  <c r="X161" i="9"/>
  <c r="W161" i="9"/>
  <c r="V161" i="9"/>
  <c r="U161" i="9"/>
  <c r="S161" i="9"/>
  <c r="Z161" i="9" s="1"/>
  <c r="L161" i="9"/>
  <c r="I161" i="9"/>
  <c r="G161" i="9"/>
  <c r="F161" i="9"/>
  <c r="E161" i="9"/>
  <c r="Y160" i="9"/>
  <c r="X160" i="9"/>
  <c r="W160" i="9"/>
  <c r="V160" i="9"/>
  <c r="U160" i="9"/>
  <c r="S160" i="9"/>
  <c r="Z160" i="9" s="1"/>
  <c r="L160" i="9"/>
  <c r="I160" i="9"/>
  <c r="G160" i="9"/>
  <c r="F160" i="9"/>
  <c r="E160" i="9"/>
  <c r="Y159" i="9"/>
  <c r="X159" i="9"/>
  <c r="W159" i="9"/>
  <c r="V159" i="9"/>
  <c r="U159" i="9"/>
  <c r="S159" i="9"/>
  <c r="Z159" i="9" s="1"/>
  <c r="L159" i="9"/>
  <c r="I159" i="9"/>
  <c r="G159" i="9"/>
  <c r="F159" i="9"/>
  <c r="E159" i="9"/>
  <c r="Y158" i="9"/>
  <c r="X158" i="9"/>
  <c r="W158" i="9"/>
  <c r="V158" i="9"/>
  <c r="U158" i="9"/>
  <c r="S158" i="9"/>
  <c r="Z158" i="9" s="1"/>
  <c r="L158" i="9"/>
  <c r="I158" i="9"/>
  <c r="G158" i="9"/>
  <c r="F158" i="9"/>
  <c r="E158" i="9"/>
  <c r="Y157" i="9"/>
  <c r="X157" i="9"/>
  <c r="W157" i="9"/>
  <c r="V157" i="9"/>
  <c r="U157" i="9"/>
  <c r="S157" i="9"/>
  <c r="Z157" i="9" s="1"/>
  <c r="L157" i="9"/>
  <c r="I157" i="9"/>
  <c r="G157" i="9"/>
  <c r="F157" i="9"/>
  <c r="E157" i="9"/>
  <c r="Y156" i="9"/>
  <c r="X156" i="9"/>
  <c r="W156" i="9"/>
  <c r="V156" i="9"/>
  <c r="U156" i="9"/>
  <c r="S156" i="9"/>
  <c r="Z156" i="9" s="1"/>
  <c r="L156" i="9"/>
  <c r="I156" i="9"/>
  <c r="G156" i="9"/>
  <c r="F156" i="9"/>
  <c r="E156" i="9"/>
  <c r="Y155" i="9"/>
  <c r="X155" i="9"/>
  <c r="W155" i="9"/>
  <c r="V155" i="9"/>
  <c r="U155" i="9"/>
  <c r="S155" i="9"/>
  <c r="Z155" i="9" s="1"/>
  <c r="L155" i="9"/>
  <c r="I155" i="9"/>
  <c r="G155" i="9"/>
  <c r="F155" i="9"/>
  <c r="E155" i="9"/>
  <c r="Y154" i="9"/>
  <c r="X154" i="9"/>
  <c r="W154" i="9"/>
  <c r="V154" i="9"/>
  <c r="U154" i="9"/>
  <c r="S154" i="9"/>
  <c r="Z154" i="9" s="1"/>
  <c r="L154" i="9"/>
  <c r="I154" i="9"/>
  <c r="G154" i="9"/>
  <c r="F154" i="9"/>
  <c r="E154" i="9"/>
  <c r="Y153" i="9"/>
  <c r="X153" i="9"/>
  <c r="W153" i="9"/>
  <c r="V153" i="9"/>
  <c r="U153" i="9"/>
  <c r="S153" i="9"/>
  <c r="Z153" i="9" s="1"/>
  <c r="L153" i="9"/>
  <c r="I153" i="9"/>
  <c r="G153" i="9"/>
  <c r="F153" i="9"/>
  <c r="E153" i="9"/>
  <c r="Y152" i="9"/>
  <c r="X152" i="9"/>
  <c r="W152" i="9"/>
  <c r="V152" i="9"/>
  <c r="U152" i="9"/>
  <c r="S152" i="9"/>
  <c r="Z152" i="9" s="1"/>
  <c r="L152" i="9"/>
  <c r="I152" i="9"/>
  <c r="G152" i="9"/>
  <c r="F152" i="9"/>
  <c r="E152" i="9"/>
  <c r="Y151" i="9"/>
  <c r="X151" i="9"/>
  <c r="W151" i="9"/>
  <c r="V151" i="9"/>
  <c r="U151" i="9"/>
  <c r="S151" i="9"/>
  <c r="Z151" i="9" s="1"/>
  <c r="L151" i="9"/>
  <c r="I151" i="9"/>
  <c r="G151" i="9"/>
  <c r="F151" i="9"/>
  <c r="E151" i="9"/>
  <c r="Y150" i="9"/>
  <c r="X150" i="9"/>
  <c r="W150" i="9"/>
  <c r="V150" i="9"/>
  <c r="U150" i="9"/>
  <c r="S150" i="9"/>
  <c r="Z150" i="9" s="1"/>
  <c r="L150" i="9"/>
  <c r="I150" i="9"/>
  <c r="G150" i="9"/>
  <c r="F150" i="9"/>
  <c r="E150" i="9"/>
  <c r="Y149" i="9"/>
  <c r="X149" i="9"/>
  <c r="W149" i="9"/>
  <c r="V149" i="9"/>
  <c r="U149" i="9"/>
  <c r="S149" i="9"/>
  <c r="Z149" i="9" s="1"/>
  <c r="L149" i="9"/>
  <c r="I149" i="9"/>
  <c r="G149" i="9"/>
  <c r="F149" i="9"/>
  <c r="E149" i="9"/>
  <c r="Y148" i="9"/>
  <c r="X148" i="9"/>
  <c r="W148" i="9"/>
  <c r="V148" i="9"/>
  <c r="U148" i="9"/>
  <c r="S148" i="9"/>
  <c r="Z148" i="9" s="1"/>
  <c r="L148" i="9"/>
  <c r="I148" i="9"/>
  <c r="G148" i="9"/>
  <c r="F148" i="9"/>
  <c r="E148" i="9"/>
  <c r="Y147" i="9"/>
  <c r="X147" i="9"/>
  <c r="W147" i="9"/>
  <c r="V147" i="9"/>
  <c r="U147" i="9"/>
  <c r="S147" i="9"/>
  <c r="Z147" i="9" s="1"/>
  <c r="L147" i="9"/>
  <c r="I147" i="9"/>
  <c r="G147" i="9"/>
  <c r="F147" i="9"/>
  <c r="E147" i="9"/>
  <c r="Y146" i="9"/>
  <c r="X146" i="9"/>
  <c r="W146" i="9"/>
  <c r="V146" i="9"/>
  <c r="U146" i="9"/>
  <c r="S146" i="9"/>
  <c r="Z146" i="9" s="1"/>
  <c r="L146" i="9"/>
  <c r="I146" i="9"/>
  <c r="G146" i="9"/>
  <c r="F146" i="9"/>
  <c r="E146" i="9"/>
  <c r="Y145" i="9"/>
  <c r="X145" i="9"/>
  <c r="W145" i="9"/>
  <c r="V145" i="9"/>
  <c r="U145" i="9"/>
  <c r="S145" i="9"/>
  <c r="Z145" i="9" s="1"/>
  <c r="L145" i="9"/>
  <c r="I145" i="9"/>
  <c r="G145" i="9"/>
  <c r="F145" i="9"/>
  <c r="E145" i="9"/>
  <c r="Y144" i="9"/>
  <c r="X144" i="9"/>
  <c r="W144" i="9"/>
  <c r="V144" i="9"/>
  <c r="U144" i="9"/>
  <c r="S144" i="9"/>
  <c r="Z144" i="9" s="1"/>
  <c r="L144" i="9"/>
  <c r="I144" i="9"/>
  <c r="G144" i="9"/>
  <c r="F144" i="9"/>
  <c r="E144" i="9"/>
  <c r="Y143" i="9"/>
  <c r="X143" i="9"/>
  <c r="W143" i="9"/>
  <c r="V143" i="9"/>
  <c r="U143" i="9"/>
  <c r="S143" i="9"/>
  <c r="Z143" i="9" s="1"/>
  <c r="L143" i="9"/>
  <c r="I143" i="9"/>
  <c r="G143" i="9"/>
  <c r="F143" i="9"/>
  <c r="E143" i="9"/>
  <c r="Y142" i="9"/>
  <c r="X142" i="9"/>
  <c r="W142" i="9"/>
  <c r="V142" i="9"/>
  <c r="U142" i="9"/>
  <c r="S142" i="9"/>
  <c r="Z142" i="9" s="1"/>
  <c r="L142" i="9"/>
  <c r="I142" i="9"/>
  <c r="G142" i="9"/>
  <c r="F142" i="9"/>
  <c r="E142" i="9"/>
  <c r="Y141" i="9"/>
  <c r="X141" i="9"/>
  <c r="W141" i="9"/>
  <c r="V141" i="9"/>
  <c r="U141" i="9"/>
  <c r="S141" i="9"/>
  <c r="Z141" i="9" s="1"/>
  <c r="L141" i="9"/>
  <c r="I141" i="9"/>
  <c r="G141" i="9"/>
  <c r="F141" i="9"/>
  <c r="E141" i="9"/>
  <c r="Y140" i="9"/>
  <c r="X140" i="9"/>
  <c r="W140" i="9"/>
  <c r="V140" i="9"/>
  <c r="U140" i="9"/>
  <c r="S140" i="9"/>
  <c r="Z140" i="9" s="1"/>
  <c r="L140" i="9"/>
  <c r="I140" i="9"/>
  <c r="G140" i="9"/>
  <c r="F140" i="9"/>
  <c r="E140" i="9"/>
  <c r="Y139" i="9"/>
  <c r="X139" i="9"/>
  <c r="W139" i="9"/>
  <c r="V139" i="9"/>
  <c r="U139" i="9"/>
  <c r="S139" i="9"/>
  <c r="Z139" i="9" s="1"/>
  <c r="L139" i="9"/>
  <c r="I139" i="9"/>
  <c r="G139" i="9"/>
  <c r="F139" i="9"/>
  <c r="E139" i="9"/>
  <c r="Y138" i="9"/>
  <c r="X138" i="9"/>
  <c r="W138" i="9"/>
  <c r="V138" i="9"/>
  <c r="U138" i="9"/>
  <c r="S138" i="9"/>
  <c r="Z138" i="9" s="1"/>
  <c r="L138" i="9"/>
  <c r="I138" i="9"/>
  <c r="G138" i="9"/>
  <c r="F138" i="9"/>
  <c r="E138" i="9"/>
  <c r="Y137" i="9"/>
  <c r="X137" i="9"/>
  <c r="W137" i="9"/>
  <c r="V137" i="9"/>
  <c r="U137" i="9"/>
  <c r="S137" i="9"/>
  <c r="Z137" i="9" s="1"/>
  <c r="L137" i="9"/>
  <c r="I137" i="9"/>
  <c r="G137" i="9"/>
  <c r="F137" i="9"/>
  <c r="E137" i="9"/>
  <c r="Y136" i="9"/>
  <c r="X136" i="9"/>
  <c r="W136" i="9"/>
  <c r="V136" i="9"/>
  <c r="U136" i="9"/>
  <c r="S136" i="9"/>
  <c r="Z136" i="9" s="1"/>
  <c r="L136" i="9"/>
  <c r="I136" i="9"/>
  <c r="G136" i="9"/>
  <c r="F136" i="9"/>
  <c r="E136" i="9"/>
  <c r="Y135" i="9"/>
  <c r="X135" i="9"/>
  <c r="W135" i="9"/>
  <c r="V135" i="9"/>
  <c r="U135" i="9"/>
  <c r="S135" i="9"/>
  <c r="Z135" i="9" s="1"/>
  <c r="L135" i="9"/>
  <c r="I135" i="9"/>
  <c r="G135" i="9"/>
  <c r="F135" i="9"/>
  <c r="E135" i="9"/>
  <c r="Y134" i="9"/>
  <c r="X134" i="9"/>
  <c r="W134" i="9"/>
  <c r="V134" i="9"/>
  <c r="U134" i="9"/>
  <c r="S134" i="9"/>
  <c r="Z134" i="9" s="1"/>
  <c r="L134" i="9"/>
  <c r="I134" i="9"/>
  <c r="G134" i="9"/>
  <c r="F134" i="9"/>
  <c r="E134" i="9"/>
  <c r="Y133" i="9"/>
  <c r="X133" i="9"/>
  <c r="W133" i="9"/>
  <c r="V133" i="9"/>
  <c r="U133" i="9"/>
  <c r="S133" i="9"/>
  <c r="Z133" i="9" s="1"/>
  <c r="L133" i="9"/>
  <c r="I133" i="9"/>
  <c r="G133" i="9"/>
  <c r="F133" i="9"/>
  <c r="E133" i="9"/>
  <c r="Y132" i="9"/>
  <c r="X132" i="9"/>
  <c r="W132" i="9"/>
  <c r="V132" i="9"/>
  <c r="U132" i="9"/>
  <c r="S132" i="9"/>
  <c r="Z132" i="9" s="1"/>
  <c r="L132" i="9"/>
  <c r="I132" i="9"/>
  <c r="G132" i="9"/>
  <c r="F132" i="9"/>
  <c r="E132" i="9"/>
  <c r="Y131" i="9"/>
  <c r="X131" i="9"/>
  <c r="W131" i="9"/>
  <c r="V131" i="9"/>
  <c r="U131" i="9"/>
  <c r="S131" i="9"/>
  <c r="Z131" i="9" s="1"/>
  <c r="L131" i="9"/>
  <c r="I131" i="9"/>
  <c r="G131" i="9"/>
  <c r="F131" i="9"/>
  <c r="E131" i="9"/>
  <c r="Y130" i="9"/>
  <c r="X130" i="9"/>
  <c r="W130" i="9"/>
  <c r="V130" i="9"/>
  <c r="U130" i="9"/>
  <c r="S130" i="9"/>
  <c r="Z130" i="9" s="1"/>
  <c r="L130" i="9"/>
  <c r="I130" i="9"/>
  <c r="G130" i="9"/>
  <c r="F130" i="9"/>
  <c r="E130" i="9"/>
  <c r="Y129" i="9"/>
  <c r="X129" i="9"/>
  <c r="W129" i="9"/>
  <c r="V129" i="9"/>
  <c r="U129" i="9"/>
  <c r="S129" i="9"/>
  <c r="Z129" i="9" s="1"/>
  <c r="L129" i="9"/>
  <c r="I129" i="9"/>
  <c r="G129" i="9"/>
  <c r="F129" i="9"/>
  <c r="E129" i="9"/>
  <c r="Y128" i="9"/>
  <c r="X128" i="9"/>
  <c r="W128" i="9"/>
  <c r="V128" i="9"/>
  <c r="U128" i="9"/>
  <c r="S128" i="9"/>
  <c r="Z128" i="9" s="1"/>
  <c r="L128" i="9"/>
  <c r="I128" i="9"/>
  <c r="G128" i="9"/>
  <c r="F128" i="9"/>
  <c r="E128" i="9"/>
  <c r="Y127" i="9"/>
  <c r="X127" i="9"/>
  <c r="W127" i="9"/>
  <c r="V127" i="9"/>
  <c r="U127" i="9"/>
  <c r="S127" i="9"/>
  <c r="Z127" i="9" s="1"/>
  <c r="L127" i="9"/>
  <c r="I127" i="9"/>
  <c r="G127" i="9"/>
  <c r="F127" i="9"/>
  <c r="E127" i="9"/>
  <c r="Y126" i="9"/>
  <c r="X126" i="9"/>
  <c r="W126" i="9"/>
  <c r="V126" i="9"/>
  <c r="U126" i="9"/>
  <c r="S126" i="9"/>
  <c r="Z126" i="9" s="1"/>
  <c r="L126" i="9"/>
  <c r="I126" i="9"/>
  <c r="G126" i="9"/>
  <c r="F126" i="9"/>
  <c r="E126" i="9"/>
  <c r="Y125" i="9"/>
  <c r="X125" i="9"/>
  <c r="W125" i="9"/>
  <c r="V125" i="9"/>
  <c r="U125" i="9"/>
  <c r="S125" i="9"/>
  <c r="Z125" i="9" s="1"/>
  <c r="L125" i="9"/>
  <c r="I125" i="9"/>
  <c r="G125" i="9"/>
  <c r="F125" i="9"/>
  <c r="E125" i="9"/>
  <c r="Y124" i="9"/>
  <c r="X124" i="9"/>
  <c r="W124" i="9"/>
  <c r="V124" i="9"/>
  <c r="U124" i="9"/>
  <c r="S124" i="9"/>
  <c r="Z124" i="9" s="1"/>
  <c r="L124" i="9"/>
  <c r="I124" i="9"/>
  <c r="G124" i="9"/>
  <c r="F124" i="9"/>
  <c r="E124" i="9"/>
  <c r="Y123" i="9"/>
  <c r="X123" i="9"/>
  <c r="W123" i="9"/>
  <c r="V123" i="9"/>
  <c r="U123" i="9"/>
  <c r="S123" i="9"/>
  <c r="Z123" i="9" s="1"/>
  <c r="L123" i="9"/>
  <c r="I123" i="9"/>
  <c r="G123" i="9"/>
  <c r="F123" i="9"/>
  <c r="E123" i="9"/>
  <c r="Y122" i="9"/>
  <c r="X122" i="9"/>
  <c r="W122" i="9"/>
  <c r="V122" i="9"/>
  <c r="U122" i="9"/>
  <c r="S122" i="9"/>
  <c r="Z122" i="9" s="1"/>
  <c r="L122" i="9"/>
  <c r="I122" i="9"/>
  <c r="G122" i="9"/>
  <c r="F122" i="9"/>
  <c r="E122" i="9"/>
  <c r="Y121" i="9"/>
  <c r="X121" i="9"/>
  <c r="W121" i="9"/>
  <c r="V121" i="9"/>
  <c r="U121" i="9"/>
  <c r="S121" i="9"/>
  <c r="Z121" i="9" s="1"/>
  <c r="L121" i="9"/>
  <c r="I121" i="9"/>
  <c r="G121" i="9"/>
  <c r="F121" i="9"/>
  <c r="E121" i="9"/>
  <c r="Y120" i="9"/>
  <c r="X120" i="9"/>
  <c r="W120" i="9"/>
  <c r="V120" i="9"/>
  <c r="U120" i="9"/>
  <c r="S120" i="9"/>
  <c r="Z120" i="9" s="1"/>
  <c r="L120" i="9"/>
  <c r="I120" i="9"/>
  <c r="G120" i="9"/>
  <c r="F120" i="9"/>
  <c r="E120" i="9"/>
  <c r="Y119" i="9"/>
  <c r="X119" i="9"/>
  <c r="W119" i="9"/>
  <c r="V119" i="9"/>
  <c r="U119" i="9"/>
  <c r="S119" i="9"/>
  <c r="Z119" i="9" s="1"/>
  <c r="L119" i="9"/>
  <c r="I119" i="9"/>
  <c r="G119" i="9"/>
  <c r="F119" i="9"/>
  <c r="E119" i="9"/>
  <c r="Y118" i="9"/>
  <c r="X118" i="9"/>
  <c r="W118" i="9"/>
  <c r="V118" i="9"/>
  <c r="U118" i="9"/>
  <c r="S118" i="9"/>
  <c r="Z118" i="9" s="1"/>
  <c r="L118" i="9"/>
  <c r="I118" i="9"/>
  <c r="G118" i="9"/>
  <c r="F118" i="9"/>
  <c r="E118" i="9"/>
  <c r="Y117" i="9"/>
  <c r="X117" i="9"/>
  <c r="W117" i="9"/>
  <c r="V117" i="9"/>
  <c r="U117" i="9"/>
  <c r="S117" i="9"/>
  <c r="Z117" i="9" s="1"/>
  <c r="L117" i="9"/>
  <c r="I117" i="9"/>
  <c r="G117" i="9"/>
  <c r="F117" i="9"/>
  <c r="E117" i="9"/>
  <c r="Y116" i="9"/>
  <c r="X116" i="9"/>
  <c r="W116" i="9"/>
  <c r="V116" i="9"/>
  <c r="U116" i="9"/>
  <c r="S116" i="9"/>
  <c r="Z116" i="9" s="1"/>
  <c r="L116" i="9"/>
  <c r="I116" i="9"/>
  <c r="G116" i="9"/>
  <c r="F116" i="9"/>
  <c r="E116" i="9"/>
  <c r="Y115" i="9"/>
  <c r="X115" i="9"/>
  <c r="W115" i="9"/>
  <c r="V115" i="9"/>
  <c r="U115" i="9"/>
  <c r="S115" i="9"/>
  <c r="Z115" i="9" s="1"/>
  <c r="L115" i="9"/>
  <c r="I115" i="9"/>
  <c r="G115" i="9"/>
  <c r="F115" i="9"/>
  <c r="E115" i="9"/>
  <c r="Y114" i="9"/>
  <c r="X114" i="9"/>
  <c r="W114" i="9"/>
  <c r="V114" i="9"/>
  <c r="U114" i="9"/>
  <c r="S114" i="9"/>
  <c r="Z114" i="9" s="1"/>
  <c r="L114" i="9"/>
  <c r="I114" i="9"/>
  <c r="G114" i="9"/>
  <c r="F114" i="9"/>
  <c r="E114" i="9"/>
  <c r="Y113" i="9"/>
  <c r="X113" i="9"/>
  <c r="W113" i="9"/>
  <c r="V113" i="9"/>
  <c r="U113" i="9"/>
  <c r="S113" i="9"/>
  <c r="Z113" i="9" s="1"/>
  <c r="L113" i="9"/>
  <c r="I113" i="9"/>
  <c r="G113" i="9"/>
  <c r="F113" i="9"/>
  <c r="E113" i="9"/>
  <c r="Y112" i="9"/>
  <c r="X112" i="9"/>
  <c r="W112" i="9"/>
  <c r="V112" i="9"/>
  <c r="U112" i="9"/>
  <c r="S112" i="9"/>
  <c r="Z112" i="9" s="1"/>
  <c r="L112" i="9"/>
  <c r="I112" i="9"/>
  <c r="G112" i="9"/>
  <c r="F112" i="9"/>
  <c r="E112" i="9"/>
  <c r="Y111" i="9"/>
  <c r="X111" i="9"/>
  <c r="W111" i="9"/>
  <c r="V111" i="9"/>
  <c r="U111" i="9"/>
  <c r="S111" i="9"/>
  <c r="Z111" i="9" s="1"/>
  <c r="L111" i="9"/>
  <c r="I111" i="9"/>
  <c r="G111" i="9"/>
  <c r="F111" i="9"/>
  <c r="E111" i="9"/>
  <c r="Y110" i="9"/>
  <c r="X110" i="9"/>
  <c r="W110" i="9"/>
  <c r="V110" i="9"/>
  <c r="U110" i="9"/>
  <c r="S110" i="9"/>
  <c r="Z110" i="9" s="1"/>
  <c r="L110" i="9"/>
  <c r="I110" i="9"/>
  <c r="G110" i="9"/>
  <c r="F110" i="9"/>
  <c r="E110" i="9"/>
  <c r="Y109" i="9"/>
  <c r="X109" i="9"/>
  <c r="W109" i="9"/>
  <c r="V109" i="9"/>
  <c r="U109" i="9"/>
  <c r="S109" i="9"/>
  <c r="Z109" i="9" s="1"/>
  <c r="L109" i="9"/>
  <c r="I109" i="9"/>
  <c r="G109" i="9"/>
  <c r="F109" i="9"/>
  <c r="E109" i="9"/>
  <c r="Y108" i="9"/>
  <c r="X108" i="9"/>
  <c r="W108" i="9"/>
  <c r="V108" i="9"/>
  <c r="U108" i="9"/>
  <c r="S108" i="9"/>
  <c r="Z108" i="9" s="1"/>
  <c r="L108" i="9"/>
  <c r="I108" i="9"/>
  <c r="G108" i="9"/>
  <c r="F108" i="9"/>
  <c r="E108" i="9"/>
  <c r="Y107" i="9"/>
  <c r="X107" i="9"/>
  <c r="W107" i="9"/>
  <c r="V107" i="9"/>
  <c r="U107" i="9"/>
  <c r="S107" i="9"/>
  <c r="Z107" i="9" s="1"/>
  <c r="L107" i="9"/>
  <c r="I107" i="9"/>
  <c r="G107" i="9"/>
  <c r="F107" i="9"/>
  <c r="E107" i="9"/>
  <c r="Y106" i="9"/>
  <c r="X106" i="9"/>
  <c r="W106" i="9"/>
  <c r="V106" i="9"/>
  <c r="U106" i="9"/>
  <c r="S106" i="9"/>
  <c r="Z106" i="9" s="1"/>
  <c r="L106" i="9"/>
  <c r="I106" i="9"/>
  <c r="G106" i="9"/>
  <c r="F106" i="9"/>
  <c r="E106" i="9"/>
  <c r="Y105" i="9"/>
  <c r="X105" i="9"/>
  <c r="W105" i="9"/>
  <c r="V105" i="9"/>
  <c r="U105" i="9"/>
  <c r="S105" i="9"/>
  <c r="Z105" i="9" s="1"/>
  <c r="L105" i="9"/>
  <c r="I105" i="9"/>
  <c r="G105" i="9"/>
  <c r="F105" i="9"/>
  <c r="E105" i="9"/>
  <c r="Y104" i="9"/>
  <c r="X104" i="9"/>
  <c r="W104" i="9"/>
  <c r="V104" i="9"/>
  <c r="U104" i="9"/>
  <c r="S104" i="9"/>
  <c r="Z104" i="9" s="1"/>
  <c r="L104" i="9"/>
  <c r="I104" i="9"/>
  <c r="G104" i="9"/>
  <c r="F104" i="9"/>
  <c r="E104" i="9"/>
  <c r="Y103" i="9"/>
  <c r="X103" i="9"/>
  <c r="W103" i="9"/>
  <c r="V103" i="9"/>
  <c r="U103" i="9"/>
  <c r="S103" i="9"/>
  <c r="Z103" i="9" s="1"/>
  <c r="L103" i="9"/>
  <c r="I103" i="9"/>
  <c r="G103" i="9"/>
  <c r="F103" i="9"/>
  <c r="E103" i="9"/>
  <c r="Y102" i="9"/>
  <c r="X102" i="9"/>
  <c r="W102" i="9"/>
  <c r="V102" i="9"/>
  <c r="U102" i="9"/>
  <c r="S102" i="9"/>
  <c r="Z102" i="9" s="1"/>
  <c r="L102" i="9"/>
  <c r="I102" i="9"/>
  <c r="G102" i="9"/>
  <c r="F102" i="9"/>
  <c r="E102" i="9"/>
  <c r="Y101" i="9"/>
  <c r="X101" i="9"/>
  <c r="W101" i="9"/>
  <c r="V101" i="9"/>
  <c r="U101" i="9"/>
  <c r="S101" i="9"/>
  <c r="Z101" i="9" s="1"/>
  <c r="L101" i="9"/>
  <c r="I101" i="9"/>
  <c r="G101" i="9"/>
  <c r="F101" i="9"/>
  <c r="E101" i="9"/>
  <c r="Y100" i="9"/>
  <c r="X100" i="9"/>
  <c r="W100" i="9"/>
  <c r="V100" i="9"/>
  <c r="U100" i="9"/>
  <c r="S100" i="9"/>
  <c r="Z100" i="9" s="1"/>
  <c r="L100" i="9"/>
  <c r="I100" i="9"/>
  <c r="G100" i="9"/>
  <c r="F100" i="9"/>
  <c r="E100" i="9"/>
  <c r="Y99" i="9"/>
  <c r="X99" i="9"/>
  <c r="W99" i="9"/>
  <c r="V99" i="9"/>
  <c r="U99" i="9"/>
  <c r="S99" i="9"/>
  <c r="Z99" i="9" s="1"/>
  <c r="L99" i="9"/>
  <c r="I99" i="9"/>
  <c r="G99" i="9"/>
  <c r="F99" i="9"/>
  <c r="E99" i="9"/>
  <c r="Y98" i="9"/>
  <c r="X98" i="9"/>
  <c r="W98" i="9"/>
  <c r="V98" i="9"/>
  <c r="U98" i="9"/>
  <c r="S98" i="9"/>
  <c r="Z98" i="9" s="1"/>
  <c r="L98" i="9"/>
  <c r="I98" i="9"/>
  <c r="G98" i="9"/>
  <c r="F98" i="9"/>
  <c r="E98" i="9"/>
  <c r="Y97" i="9"/>
  <c r="X97" i="9"/>
  <c r="W97" i="9"/>
  <c r="V97" i="9"/>
  <c r="U97" i="9"/>
  <c r="S97" i="9"/>
  <c r="Z97" i="9" s="1"/>
  <c r="L97" i="9"/>
  <c r="I97" i="9"/>
  <c r="G97" i="9"/>
  <c r="F97" i="9"/>
  <c r="E97" i="9"/>
  <c r="Y96" i="9"/>
  <c r="X96" i="9"/>
  <c r="W96" i="9"/>
  <c r="V96" i="9"/>
  <c r="U96" i="9"/>
  <c r="S96" i="9"/>
  <c r="Z96" i="9" s="1"/>
  <c r="L96" i="9"/>
  <c r="I96" i="9"/>
  <c r="G96" i="9"/>
  <c r="F96" i="9"/>
  <c r="E96" i="9"/>
  <c r="Y95" i="9"/>
  <c r="X95" i="9"/>
  <c r="W95" i="9"/>
  <c r="V95" i="9"/>
  <c r="U95" i="9"/>
  <c r="S95" i="9"/>
  <c r="Z95" i="9" s="1"/>
  <c r="L95" i="9"/>
  <c r="I95" i="9"/>
  <c r="G95" i="9"/>
  <c r="F95" i="9"/>
  <c r="E95" i="9"/>
  <c r="Y94" i="9"/>
  <c r="X94" i="9"/>
  <c r="W94" i="9"/>
  <c r="V94" i="9"/>
  <c r="U94" i="9"/>
  <c r="S94" i="9"/>
  <c r="Z94" i="9" s="1"/>
  <c r="L94" i="9"/>
  <c r="I94" i="9"/>
  <c r="G94" i="9"/>
  <c r="F94" i="9"/>
  <c r="E94" i="9"/>
  <c r="Y93" i="9"/>
  <c r="X93" i="9"/>
  <c r="W93" i="9"/>
  <c r="V93" i="9"/>
  <c r="U93" i="9"/>
  <c r="S93" i="9"/>
  <c r="Z93" i="9" s="1"/>
  <c r="L93" i="9"/>
  <c r="I93" i="9"/>
  <c r="G93" i="9"/>
  <c r="F93" i="9"/>
  <c r="E93" i="9"/>
  <c r="Y92" i="9"/>
  <c r="X92" i="9"/>
  <c r="W92" i="9"/>
  <c r="V92" i="9"/>
  <c r="U92" i="9"/>
  <c r="S92" i="9"/>
  <c r="Z92" i="9" s="1"/>
  <c r="L92" i="9"/>
  <c r="I92" i="9"/>
  <c r="G92" i="9"/>
  <c r="F92" i="9"/>
  <c r="E92" i="9"/>
  <c r="Y91" i="9"/>
  <c r="X91" i="9"/>
  <c r="W91" i="9"/>
  <c r="V91" i="9"/>
  <c r="U91" i="9"/>
  <c r="S91" i="9"/>
  <c r="Z91" i="9" s="1"/>
  <c r="L91" i="9"/>
  <c r="I91" i="9"/>
  <c r="G91" i="9"/>
  <c r="F91" i="9"/>
  <c r="E91" i="9"/>
  <c r="Y90" i="9"/>
  <c r="X90" i="9"/>
  <c r="W90" i="9"/>
  <c r="V90" i="9"/>
  <c r="U90" i="9"/>
  <c r="S90" i="9"/>
  <c r="Z90" i="9" s="1"/>
  <c r="L90" i="9"/>
  <c r="I90" i="9"/>
  <c r="G90" i="9"/>
  <c r="F90" i="9"/>
  <c r="E90" i="9"/>
  <c r="Y89" i="9"/>
  <c r="X89" i="9"/>
  <c r="W89" i="9"/>
  <c r="V89" i="9"/>
  <c r="U89" i="9"/>
  <c r="S89" i="9"/>
  <c r="Z89" i="9" s="1"/>
  <c r="L89" i="9"/>
  <c r="I89" i="9"/>
  <c r="G89" i="9"/>
  <c r="F89" i="9"/>
  <c r="E89" i="9"/>
  <c r="Y88" i="9"/>
  <c r="X88" i="9"/>
  <c r="W88" i="9"/>
  <c r="V88" i="9"/>
  <c r="U88" i="9"/>
  <c r="S88" i="9"/>
  <c r="Z88" i="9" s="1"/>
  <c r="L88" i="9"/>
  <c r="I88" i="9"/>
  <c r="G88" i="9"/>
  <c r="F88" i="9"/>
  <c r="E88" i="9"/>
  <c r="Y87" i="9"/>
  <c r="X87" i="9"/>
  <c r="W87" i="9"/>
  <c r="V87" i="9"/>
  <c r="U87" i="9"/>
  <c r="S87" i="9"/>
  <c r="Z87" i="9" s="1"/>
  <c r="L87" i="9"/>
  <c r="I87" i="9"/>
  <c r="G87" i="9"/>
  <c r="F87" i="9"/>
  <c r="E87" i="9"/>
  <c r="Y86" i="9"/>
  <c r="X86" i="9"/>
  <c r="W86" i="9"/>
  <c r="V86" i="9"/>
  <c r="U86" i="9"/>
  <c r="S86" i="9"/>
  <c r="Z86" i="9" s="1"/>
  <c r="L86" i="9"/>
  <c r="I86" i="9"/>
  <c r="G86" i="9"/>
  <c r="F86" i="9"/>
  <c r="E86" i="9"/>
  <c r="Y85" i="9"/>
  <c r="X85" i="9"/>
  <c r="W85" i="9"/>
  <c r="V85" i="9"/>
  <c r="U85" i="9"/>
  <c r="S85" i="9"/>
  <c r="Z85" i="9" s="1"/>
  <c r="L85" i="9"/>
  <c r="I85" i="9"/>
  <c r="G85" i="9"/>
  <c r="F85" i="9"/>
  <c r="E85" i="9"/>
  <c r="Y84" i="9"/>
  <c r="X84" i="9"/>
  <c r="W84" i="9"/>
  <c r="V84" i="9"/>
  <c r="U84" i="9"/>
  <c r="S84" i="9"/>
  <c r="Z84" i="9" s="1"/>
  <c r="L84" i="9"/>
  <c r="I84" i="9"/>
  <c r="G84" i="9"/>
  <c r="F84" i="9"/>
  <c r="E84" i="9"/>
  <c r="Y83" i="9"/>
  <c r="X83" i="9"/>
  <c r="W83" i="9"/>
  <c r="V83" i="9"/>
  <c r="U83" i="9"/>
  <c r="S83" i="9"/>
  <c r="Z83" i="9" s="1"/>
  <c r="L83" i="9"/>
  <c r="I83" i="9"/>
  <c r="G83" i="9"/>
  <c r="F83" i="9"/>
  <c r="E83" i="9"/>
  <c r="Y82" i="9"/>
  <c r="X82" i="9"/>
  <c r="W82" i="9"/>
  <c r="V82" i="9"/>
  <c r="U82" i="9"/>
  <c r="S82" i="9"/>
  <c r="Z82" i="9" s="1"/>
  <c r="L82" i="9"/>
  <c r="I82" i="9"/>
  <c r="G82" i="9"/>
  <c r="F82" i="9"/>
  <c r="E82" i="9"/>
  <c r="Y81" i="9"/>
  <c r="X81" i="9"/>
  <c r="W81" i="9"/>
  <c r="V81" i="9"/>
  <c r="U81" i="9"/>
  <c r="S81" i="9"/>
  <c r="Z81" i="9" s="1"/>
  <c r="L81" i="9"/>
  <c r="I81" i="9"/>
  <c r="G81" i="9"/>
  <c r="F81" i="9"/>
  <c r="E81" i="9"/>
  <c r="Y80" i="9"/>
  <c r="X80" i="9"/>
  <c r="W80" i="9"/>
  <c r="V80" i="9"/>
  <c r="U80" i="9"/>
  <c r="S80" i="9"/>
  <c r="Z80" i="9" s="1"/>
  <c r="L80" i="9"/>
  <c r="I80" i="9"/>
  <c r="G80" i="9"/>
  <c r="F80" i="9"/>
  <c r="E80" i="9"/>
  <c r="Y79" i="9"/>
  <c r="X79" i="9"/>
  <c r="W79" i="9"/>
  <c r="V79" i="9"/>
  <c r="U79" i="9"/>
  <c r="S79" i="9"/>
  <c r="Z79" i="9" s="1"/>
  <c r="L79" i="9"/>
  <c r="I79" i="9"/>
  <c r="G79" i="9"/>
  <c r="F79" i="9"/>
  <c r="E79" i="9"/>
  <c r="Y78" i="9"/>
  <c r="X78" i="9"/>
  <c r="W78" i="9"/>
  <c r="V78" i="9"/>
  <c r="U78" i="9"/>
  <c r="S78" i="9"/>
  <c r="Z78" i="9" s="1"/>
  <c r="L78" i="9"/>
  <c r="I78" i="9"/>
  <c r="G78" i="9"/>
  <c r="F78" i="9"/>
  <c r="E78" i="9"/>
  <c r="Y77" i="9"/>
  <c r="X77" i="9"/>
  <c r="W77" i="9"/>
  <c r="V77" i="9"/>
  <c r="U77" i="9"/>
  <c r="S77" i="9"/>
  <c r="Z77" i="9" s="1"/>
  <c r="L77" i="9"/>
  <c r="I77" i="9"/>
  <c r="G77" i="9"/>
  <c r="F77" i="9"/>
  <c r="E77" i="9"/>
  <c r="Y76" i="9"/>
  <c r="X76" i="9"/>
  <c r="W76" i="9"/>
  <c r="V76" i="9"/>
  <c r="U76" i="9"/>
  <c r="S76" i="9"/>
  <c r="Z76" i="9" s="1"/>
  <c r="L76" i="9"/>
  <c r="I76" i="9"/>
  <c r="G76" i="9"/>
  <c r="F76" i="9"/>
  <c r="E76" i="9"/>
  <c r="Y75" i="9"/>
  <c r="X75" i="9"/>
  <c r="W75" i="9"/>
  <c r="V75" i="9"/>
  <c r="U75" i="9"/>
  <c r="S75" i="9"/>
  <c r="Z75" i="9" s="1"/>
  <c r="L75" i="9"/>
  <c r="I75" i="9"/>
  <c r="G75" i="9"/>
  <c r="F75" i="9"/>
  <c r="E75" i="9"/>
  <c r="Y74" i="9"/>
  <c r="X74" i="9"/>
  <c r="W74" i="9"/>
  <c r="V74" i="9"/>
  <c r="U74" i="9"/>
  <c r="S74" i="9"/>
  <c r="Z74" i="9" s="1"/>
  <c r="L74" i="9"/>
  <c r="I74" i="9"/>
  <c r="G74" i="9"/>
  <c r="F74" i="9"/>
  <c r="E74" i="9"/>
  <c r="Y73" i="9"/>
  <c r="X73" i="9"/>
  <c r="W73" i="9"/>
  <c r="V73" i="9"/>
  <c r="U73" i="9"/>
  <c r="S73" i="9"/>
  <c r="Z73" i="9" s="1"/>
  <c r="L73" i="9"/>
  <c r="I73" i="9"/>
  <c r="G73" i="9"/>
  <c r="F73" i="9"/>
  <c r="E73" i="9"/>
  <c r="Y72" i="9"/>
  <c r="X72" i="9"/>
  <c r="W72" i="9"/>
  <c r="V72" i="9"/>
  <c r="U72" i="9"/>
  <c r="S72" i="9"/>
  <c r="Z72" i="9" s="1"/>
  <c r="L72" i="9"/>
  <c r="I72" i="9"/>
  <c r="G72" i="9"/>
  <c r="F72" i="9"/>
  <c r="E72" i="9"/>
  <c r="Y71" i="9"/>
  <c r="X71" i="9"/>
  <c r="W71" i="9"/>
  <c r="V71" i="9"/>
  <c r="U71" i="9"/>
  <c r="S71" i="9"/>
  <c r="Z71" i="9" s="1"/>
  <c r="L71" i="9"/>
  <c r="I71" i="9"/>
  <c r="G71" i="9"/>
  <c r="F71" i="9"/>
  <c r="E71" i="9"/>
  <c r="Y70" i="9"/>
  <c r="X70" i="9"/>
  <c r="W70" i="9"/>
  <c r="V70" i="9"/>
  <c r="U70" i="9"/>
  <c r="S70" i="9"/>
  <c r="Z70" i="9" s="1"/>
  <c r="L70" i="9"/>
  <c r="I70" i="9"/>
  <c r="G70" i="9"/>
  <c r="F70" i="9"/>
  <c r="E70" i="9"/>
  <c r="Y69" i="9"/>
  <c r="X69" i="9"/>
  <c r="W69" i="9"/>
  <c r="V69" i="9"/>
  <c r="U69" i="9"/>
  <c r="S69" i="9"/>
  <c r="Z69" i="9" s="1"/>
  <c r="L69" i="9"/>
  <c r="I69" i="9"/>
  <c r="G69" i="9"/>
  <c r="F69" i="9"/>
  <c r="E69" i="9"/>
  <c r="Y68" i="9"/>
  <c r="X68" i="9"/>
  <c r="W68" i="9"/>
  <c r="V68" i="9"/>
  <c r="U68" i="9"/>
  <c r="S68" i="9"/>
  <c r="Z68" i="9" s="1"/>
  <c r="L68" i="9"/>
  <c r="I68" i="9"/>
  <c r="G68" i="9"/>
  <c r="F68" i="9"/>
  <c r="E68" i="9"/>
  <c r="Y67" i="9"/>
  <c r="X67" i="9"/>
  <c r="W67" i="9"/>
  <c r="V67" i="9"/>
  <c r="U67" i="9"/>
  <c r="S67" i="9"/>
  <c r="Z67" i="9" s="1"/>
  <c r="L67" i="9"/>
  <c r="I67" i="9"/>
  <c r="G67" i="9"/>
  <c r="F67" i="9"/>
  <c r="E67" i="9"/>
  <c r="Y66" i="9"/>
  <c r="X66" i="9"/>
  <c r="W66" i="9"/>
  <c r="V66" i="9"/>
  <c r="U66" i="9"/>
  <c r="S66" i="9"/>
  <c r="Z66" i="9" s="1"/>
  <c r="L66" i="9"/>
  <c r="I66" i="9"/>
  <c r="G66" i="9"/>
  <c r="F66" i="9"/>
  <c r="E66" i="9"/>
  <c r="Y65" i="9"/>
  <c r="X65" i="9"/>
  <c r="W65" i="9"/>
  <c r="V65" i="9"/>
  <c r="U65" i="9"/>
  <c r="S65" i="9"/>
  <c r="Z65" i="9" s="1"/>
  <c r="L65" i="9"/>
  <c r="I65" i="9"/>
  <c r="G65" i="9"/>
  <c r="F65" i="9"/>
  <c r="E65" i="9"/>
  <c r="Y64" i="9"/>
  <c r="X64" i="9"/>
  <c r="W64" i="9"/>
  <c r="V64" i="9"/>
  <c r="U64" i="9"/>
  <c r="S64" i="9"/>
  <c r="Z64" i="9" s="1"/>
  <c r="L64" i="9"/>
  <c r="I64" i="9"/>
  <c r="G64" i="9"/>
  <c r="F64" i="9"/>
  <c r="E64" i="9"/>
  <c r="Y63" i="9"/>
  <c r="X63" i="9"/>
  <c r="W63" i="9"/>
  <c r="V63" i="9"/>
  <c r="U63" i="9"/>
  <c r="S63" i="9"/>
  <c r="Z63" i="9" s="1"/>
  <c r="L63" i="9"/>
  <c r="I63" i="9"/>
  <c r="G63" i="9"/>
  <c r="F63" i="9"/>
  <c r="E63" i="9"/>
  <c r="Y62" i="9"/>
  <c r="X62" i="9"/>
  <c r="W62" i="9"/>
  <c r="V62" i="9"/>
  <c r="U62" i="9"/>
  <c r="S62" i="9"/>
  <c r="Z62" i="9" s="1"/>
  <c r="L62" i="9"/>
  <c r="I62" i="9"/>
  <c r="G62" i="9"/>
  <c r="F62" i="9"/>
  <c r="E62" i="9"/>
  <c r="Y61" i="9"/>
  <c r="X61" i="9"/>
  <c r="W61" i="9"/>
  <c r="V61" i="9"/>
  <c r="U61" i="9"/>
  <c r="S61" i="9"/>
  <c r="Z61" i="9" s="1"/>
  <c r="L61" i="9"/>
  <c r="I61" i="9"/>
  <c r="G61" i="9"/>
  <c r="F61" i="9"/>
  <c r="E61" i="9"/>
  <c r="Y60" i="9"/>
  <c r="X60" i="9"/>
  <c r="W60" i="9"/>
  <c r="V60" i="9"/>
  <c r="U60" i="9"/>
  <c r="S60" i="9"/>
  <c r="Z60" i="9" s="1"/>
  <c r="L60" i="9"/>
  <c r="I60" i="9"/>
  <c r="G60" i="9"/>
  <c r="F60" i="9"/>
  <c r="E60" i="9"/>
  <c r="Y59" i="9"/>
  <c r="X59" i="9"/>
  <c r="W59" i="9"/>
  <c r="V59" i="9"/>
  <c r="U59" i="9"/>
  <c r="S59" i="9"/>
  <c r="Z59" i="9" s="1"/>
  <c r="L59" i="9"/>
  <c r="I59" i="9"/>
  <c r="G59" i="9"/>
  <c r="F59" i="9"/>
  <c r="E59" i="9"/>
  <c r="Y58" i="9"/>
  <c r="X58" i="9"/>
  <c r="W58" i="9"/>
  <c r="V58" i="9"/>
  <c r="U58" i="9"/>
  <c r="S58" i="9"/>
  <c r="Z58" i="9" s="1"/>
  <c r="L58" i="9"/>
  <c r="I58" i="9"/>
  <c r="G58" i="9"/>
  <c r="F58" i="9"/>
  <c r="E58" i="9"/>
  <c r="Y57" i="9"/>
  <c r="X57" i="9"/>
  <c r="W57" i="9"/>
  <c r="V57" i="9"/>
  <c r="U57" i="9"/>
  <c r="S57" i="9"/>
  <c r="Z57" i="9" s="1"/>
  <c r="L57" i="9"/>
  <c r="I57" i="9"/>
  <c r="G57" i="9"/>
  <c r="F57" i="9"/>
  <c r="E57" i="9"/>
  <c r="Y56" i="9"/>
  <c r="X56" i="9"/>
  <c r="W56" i="9"/>
  <c r="V56" i="9"/>
  <c r="U56" i="9"/>
  <c r="S56" i="9"/>
  <c r="Z56" i="9" s="1"/>
  <c r="L56" i="9"/>
  <c r="I56" i="9"/>
  <c r="G56" i="9"/>
  <c r="F56" i="9"/>
  <c r="E56" i="9"/>
  <c r="Y55" i="9"/>
  <c r="X55" i="9"/>
  <c r="W55" i="9"/>
  <c r="V55" i="9"/>
  <c r="U55" i="9"/>
  <c r="S55" i="9"/>
  <c r="Z55" i="9" s="1"/>
  <c r="L55" i="9"/>
  <c r="I55" i="9"/>
  <c r="G55" i="9"/>
  <c r="F55" i="9"/>
  <c r="E55" i="9"/>
  <c r="Y54" i="9"/>
  <c r="X54" i="9"/>
  <c r="W54" i="9"/>
  <c r="V54" i="9"/>
  <c r="U54" i="9"/>
  <c r="S54" i="9"/>
  <c r="Z54" i="9" s="1"/>
  <c r="L54" i="9"/>
  <c r="I54" i="9"/>
  <c r="G54" i="9"/>
  <c r="F54" i="9"/>
  <c r="E54" i="9"/>
  <c r="Y53" i="9"/>
  <c r="X53" i="9"/>
  <c r="W53" i="9"/>
  <c r="V53" i="9"/>
  <c r="U53" i="9"/>
  <c r="S53" i="9"/>
  <c r="Z53" i="9" s="1"/>
  <c r="L53" i="9"/>
  <c r="I53" i="9"/>
  <c r="G53" i="9"/>
  <c r="F53" i="9"/>
  <c r="E53" i="9"/>
  <c r="Y52" i="9"/>
  <c r="X52" i="9"/>
  <c r="W52" i="9"/>
  <c r="V52" i="9"/>
  <c r="U52" i="9"/>
  <c r="S52" i="9"/>
  <c r="Z52" i="9" s="1"/>
  <c r="L52" i="9"/>
  <c r="I52" i="9"/>
  <c r="G52" i="9"/>
  <c r="F52" i="9"/>
  <c r="E52" i="9"/>
  <c r="Y51" i="9"/>
  <c r="X51" i="9"/>
  <c r="W51" i="9"/>
  <c r="V51" i="9"/>
  <c r="U51" i="9"/>
  <c r="S51" i="9"/>
  <c r="Z51" i="9" s="1"/>
  <c r="L51" i="9"/>
  <c r="I51" i="9"/>
  <c r="G51" i="9"/>
  <c r="F51" i="9"/>
  <c r="E51" i="9"/>
  <c r="Y50" i="9"/>
  <c r="X50" i="9"/>
  <c r="W50" i="9"/>
  <c r="V50" i="9"/>
  <c r="U50" i="9"/>
  <c r="S50" i="9"/>
  <c r="Z50" i="9" s="1"/>
  <c r="L50" i="9"/>
  <c r="I50" i="9"/>
  <c r="G50" i="9"/>
  <c r="F50" i="9"/>
  <c r="E50" i="9"/>
  <c r="Y49" i="9"/>
  <c r="X49" i="9"/>
  <c r="W49" i="9"/>
  <c r="V49" i="9"/>
  <c r="U49" i="9"/>
  <c r="S49" i="9"/>
  <c r="Z49" i="9" s="1"/>
  <c r="L49" i="9"/>
  <c r="I49" i="9"/>
  <c r="G49" i="9"/>
  <c r="F49" i="9"/>
  <c r="E49" i="9"/>
  <c r="Y48" i="9"/>
  <c r="X48" i="9"/>
  <c r="W48" i="9"/>
  <c r="V48" i="9"/>
  <c r="U48" i="9"/>
  <c r="S48" i="9"/>
  <c r="Z48" i="9" s="1"/>
  <c r="L48" i="9"/>
  <c r="I48" i="9"/>
  <c r="G48" i="9"/>
  <c r="F48" i="9"/>
  <c r="E48" i="9"/>
  <c r="Y47" i="9"/>
  <c r="X47" i="9"/>
  <c r="W47" i="9"/>
  <c r="V47" i="9"/>
  <c r="U47" i="9"/>
  <c r="S47" i="9"/>
  <c r="Z47" i="9" s="1"/>
  <c r="L47" i="9"/>
  <c r="I47" i="9"/>
  <c r="G47" i="9"/>
  <c r="F47" i="9"/>
  <c r="E47" i="9"/>
  <c r="Y46" i="9"/>
  <c r="X46" i="9"/>
  <c r="W46" i="9"/>
  <c r="V46" i="9"/>
  <c r="U46" i="9"/>
  <c r="L46" i="9"/>
  <c r="I46" i="9"/>
  <c r="G46" i="9"/>
  <c r="F46" i="9"/>
  <c r="E46" i="9"/>
  <c r="Y45" i="9"/>
  <c r="X45" i="9"/>
  <c r="W45" i="9"/>
  <c r="V45" i="9"/>
  <c r="U45" i="9"/>
  <c r="L45" i="9"/>
  <c r="I45" i="9"/>
  <c r="G45" i="9"/>
  <c r="F45" i="9"/>
  <c r="E45" i="9"/>
  <c r="Y44" i="9"/>
  <c r="X44" i="9"/>
  <c r="W44" i="9"/>
  <c r="V44" i="9"/>
  <c r="U44" i="9"/>
  <c r="L44" i="9"/>
  <c r="I44" i="9"/>
  <c r="G44" i="9"/>
  <c r="F44" i="9"/>
  <c r="E44" i="9"/>
  <c r="Y43" i="9"/>
  <c r="X43" i="9"/>
  <c r="W43" i="9"/>
  <c r="V43" i="9"/>
  <c r="U43" i="9"/>
  <c r="L43" i="9"/>
  <c r="I43" i="9"/>
  <c r="G43" i="9"/>
  <c r="F43" i="9"/>
  <c r="E43" i="9"/>
  <c r="Y42" i="9"/>
  <c r="X42" i="9"/>
  <c r="W42" i="9"/>
  <c r="V42" i="9"/>
  <c r="U42" i="9"/>
  <c r="L42" i="9"/>
  <c r="I42" i="9"/>
  <c r="G42" i="9"/>
  <c r="F42" i="9"/>
  <c r="E42" i="9"/>
  <c r="Y41" i="9"/>
  <c r="X41" i="9"/>
  <c r="W41" i="9"/>
  <c r="V41" i="9"/>
  <c r="U41" i="9"/>
  <c r="L41" i="9"/>
  <c r="I41" i="9"/>
  <c r="G41" i="9"/>
  <c r="F41" i="9"/>
  <c r="E41" i="9"/>
  <c r="Y40" i="9"/>
  <c r="X40" i="9"/>
  <c r="W40" i="9"/>
  <c r="V40" i="9"/>
  <c r="U40" i="9"/>
  <c r="L40" i="9"/>
  <c r="I40" i="9"/>
  <c r="G40" i="9"/>
  <c r="F40" i="9"/>
  <c r="E40" i="9"/>
  <c r="Y39" i="9"/>
  <c r="X39" i="9"/>
  <c r="W39" i="9"/>
  <c r="V39" i="9"/>
  <c r="U39" i="9"/>
  <c r="L39" i="9"/>
  <c r="I39" i="9"/>
  <c r="G39" i="9"/>
  <c r="F39" i="9"/>
  <c r="E39" i="9"/>
  <c r="Y38" i="9"/>
  <c r="X38" i="9"/>
  <c r="W38" i="9"/>
  <c r="V38" i="9"/>
  <c r="U38" i="9"/>
  <c r="L38" i="9"/>
  <c r="I38" i="9"/>
  <c r="G38" i="9"/>
  <c r="F38" i="9"/>
  <c r="E38" i="9"/>
  <c r="Y37" i="9"/>
  <c r="X37" i="9"/>
  <c r="W37" i="9"/>
  <c r="V37" i="9"/>
  <c r="U37" i="9"/>
  <c r="L37" i="9"/>
  <c r="I37" i="9"/>
  <c r="G37" i="9"/>
  <c r="F37" i="9"/>
  <c r="E37" i="9"/>
  <c r="Y36" i="9"/>
  <c r="X36" i="9"/>
  <c r="W36" i="9"/>
  <c r="V36" i="9"/>
  <c r="U36" i="9"/>
  <c r="L36" i="9"/>
  <c r="I36" i="9"/>
  <c r="G36" i="9"/>
  <c r="F36" i="9"/>
  <c r="E36" i="9"/>
  <c r="Y35" i="9"/>
  <c r="X35" i="9"/>
  <c r="W35" i="9"/>
  <c r="V35" i="9"/>
  <c r="U35" i="9"/>
  <c r="L35" i="9"/>
  <c r="I35" i="9"/>
  <c r="G35" i="9"/>
  <c r="F35" i="9"/>
  <c r="E35" i="9"/>
  <c r="Y34" i="9"/>
  <c r="X34" i="9"/>
  <c r="W34" i="9"/>
  <c r="V34" i="9"/>
  <c r="U34" i="9"/>
  <c r="L34" i="9"/>
  <c r="I34" i="9"/>
  <c r="G34" i="9"/>
  <c r="F34" i="9"/>
  <c r="E34" i="9"/>
  <c r="Y33" i="9"/>
  <c r="X33" i="9"/>
  <c r="W33" i="9"/>
  <c r="V33" i="9"/>
  <c r="U33" i="9"/>
  <c r="L33" i="9"/>
  <c r="I33" i="9"/>
  <c r="G33" i="9"/>
  <c r="F33" i="9"/>
  <c r="E33" i="9"/>
  <c r="Y32" i="9"/>
  <c r="X32" i="9"/>
  <c r="W32" i="9"/>
  <c r="V32" i="9"/>
  <c r="U32" i="9"/>
  <c r="L32" i="9"/>
  <c r="I32" i="9"/>
  <c r="G32" i="9"/>
  <c r="F32" i="9"/>
  <c r="E32" i="9"/>
  <c r="Y31" i="9"/>
  <c r="X31" i="9"/>
  <c r="W31" i="9"/>
  <c r="V31" i="9"/>
  <c r="U31" i="9"/>
  <c r="L31" i="9"/>
  <c r="I31" i="9"/>
  <c r="G31" i="9"/>
  <c r="F31" i="9"/>
  <c r="E31" i="9"/>
  <c r="Y30" i="9"/>
  <c r="X30" i="9"/>
  <c r="W30" i="9"/>
  <c r="V30" i="9"/>
  <c r="U30" i="9"/>
  <c r="L30" i="9"/>
  <c r="I30" i="9"/>
  <c r="G30" i="9"/>
  <c r="F30" i="9"/>
  <c r="E30" i="9"/>
  <c r="Y29" i="9"/>
  <c r="X29" i="9"/>
  <c r="W29" i="9"/>
  <c r="V29" i="9"/>
  <c r="U29" i="9"/>
  <c r="L29" i="9"/>
  <c r="I29" i="9"/>
  <c r="G29" i="9"/>
  <c r="F29" i="9"/>
  <c r="E29" i="9"/>
  <c r="Y28" i="9"/>
  <c r="X28" i="9"/>
  <c r="W28" i="9"/>
  <c r="V28" i="9"/>
  <c r="U28" i="9"/>
  <c r="L28" i="9"/>
  <c r="I28" i="9"/>
  <c r="G28" i="9"/>
  <c r="F28" i="9"/>
  <c r="E28" i="9"/>
  <c r="Y27" i="9"/>
  <c r="X27" i="9"/>
  <c r="W27" i="9"/>
  <c r="V27" i="9"/>
  <c r="U27" i="9"/>
  <c r="L27" i="9"/>
  <c r="I27" i="9"/>
  <c r="G27" i="9"/>
  <c r="F27" i="9"/>
  <c r="E27" i="9"/>
  <c r="Y26" i="9"/>
  <c r="X26" i="9"/>
  <c r="W26" i="9"/>
  <c r="V26" i="9"/>
  <c r="U26" i="9"/>
  <c r="L26" i="9"/>
  <c r="I26" i="9"/>
  <c r="G26" i="9"/>
  <c r="F26" i="9"/>
  <c r="E26" i="9"/>
  <c r="Y25" i="9"/>
  <c r="X25" i="9"/>
  <c r="W25" i="9"/>
  <c r="V25" i="9"/>
  <c r="U25" i="9"/>
  <c r="L25" i="9"/>
  <c r="I25" i="9"/>
  <c r="G25" i="9"/>
  <c r="F25" i="9"/>
  <c r="E25" i="9"/>
  <c r="Y24" i="9"/>
  <c r="X24" i="9"/>
  <c r="W24" i="9"/>
  <c r="V24" i="9"/>
  <c r="U24" i="9"/>
  <c r="L24" i="9"/>
  <c r="I24" i="9"/>
  <c r="G24" i="9"/>
  <c r="F24" i="9"/>
  <c r="E24" i="9"/>
  <c r="Y23" i="9"/>
  <c r="X23" i="9"/>
  <c r="W23" i="9"/>
  <c r="V23" i="9"/>
  <c r="U23" i="9"/>
  <c r="L23" i="9"/>
  <c r="I23" i="9"/>
  <c r="G23" i="9"/>
  <c r="F23" i="9"/>
  <c r="E23" i="9"/>
  <c r="Y22" i="9"/>
  <c r="X22" i="9"/>
  <c r="W22" i="9"/>
  <c r="V22" i="9"/>
  <c r="U22" i="9"/>
  <c r="L22" i="9"/>
  <c r="I22" i="9"/>
  <c r="G22" i="9"/>
  <c r="F22" i="9"/>
  <c r="E22" i="9"/>
  <c r="Y21" i="9"/>
  <c r="X21" i="9"/>
  <c r="W21" i="9"/>
  <c r="V21" i="9"/>
  <c r="U21" i="9"/>
  <c r="L21" i="9"/>
  <c r="I21" i="9"/>
  <c r="G21" i="9"/>
  <c r="F21" i="9"/>
  <c r="E21" i="9"/>
  <c r="Y20" i="9"/>
  <c r="X20" i="9"/>
  <c r="W20" i="9"/>
  <c r="V20" i="9"/>
  <c r="U20" i="9"/>
  <c r="L20" i="9"/>
  <c r="I20" i="9"/>
  <c r="G20" i="9"/>
  <c r="F20" i="9"/>
  <c r="E20" i="9"/>
  <c r="Y19" i="9"/>
  <c r="X19" i="9"/>
  <c r="W19" i="9"/>
  <c r="V19" i="9"/>
  <c r="U19" i="9"/>
  <c r="L19" i="9"/>
  <c r="I19" i="9"/>
  <c r="G19" i="9"/>
  <c r="F19" i="9"/>
  <c r="E19" i="9"/>
  <c r="Y18" i="9"/>
  <c r="X18" i="9"/>
  <c r="W18" i="9"/>
  <c r="V18" i="9"/>
  <c r="U18" i="9"/>
  <c r="L18" i="9"/>
  <c r="I18" i="9"/>
  <c r="G18" i="9"/>
  <c r="F18" i="9"/>
  <c r="E18" i="9"/>
  <c r="Y17" i="9"/>
  <c r="X17" i="9"/>
  <c r="W17" i="9"/>
  <c r="V17" i="9"/>
  <c r="U17" i="9"/>
  <c r="L17" i="9"/>
  <c r="I17" i="9"/>
  <c r="G17" i="9"/>
  <c r="F17" i="9"/>
  <c r="E17" i="9"/>
  <c r="Y16" i="9"/>
  <c r="X16" i="9"/>
  <c r="W16" i="9"/>
  <c r="V16" i="9"/>
  <c r="U16" i="9"/>
  <c r="L16" i="9"/>
  <c r="I16" i="9"/>
  <c r="G16" i="9"/>
  <c r="F16" i="9"/>
  <c r="E16" i="9"/>
  <c r="Y15" i="9"/>
  <c r="X15" i="9"/>
  <c r="W15" i="9"/>
  <c r="V15" i="9"/>
  <c r="U15" i="9"/>
  <c r="L15" i="9"/>
  <c r="I15" i="9"/>
  <c r="G15" i="9"/>
  <c r="F15" i="9"/>
  <c r="E15" i="9"/>
  <c r="Y14" i="9"/>
  <c r="X14" i="9"/>
  <c r="W14" i="9"/>
  <c r="V14" i="9"/>
  <c r="U14" i="9"/>
  <c r="L14" i="9"/>
  <c r="I14" i="9"/>
  <c r="G14" i="9"/>
  <c r="F14" i="9"/>
  <c r="E14" i="9"/>
  <c r="Y13" i="9"/>
  <c r="X13" i="9"/>
  <c r="W13" i="9"/>
  <c r="V13" i="9"/>
  <c r="U13" i="9"/>
  <c r="L13" i="9"/>
  <c r="I13" i="9"/>
  <c r="G13" i="9"/>
  <c r="F13" i="9"/>
  <c r="E13" i="9"/>
  <c r="Y12" i="9"/>
  <c r="X12" i="9"/>
  <c r="W12" i="9"/>
  <c r="V12" i="9"/>
  <c r="U12" i="9"/>
  <c r="L12" i="9"/>
  <c r="I12" i="9"/>
  <c r="G12" i="9"/>
  <c r="F12" i="9"/>
  <c r="E12" i="9"/>
  <c r="Y11" i="9"/>
  <c r="X11" i="9"/>
  <c r="W11" i="9"/>
  <c r="V11" i="9"/>
  <c r="U11" i="9"/>
  <c r="L11" i="9"/>
  <c r="I11" i="9"/>
  <c r="G11" i="9"/>
  <c r="F11" i="9"/>
  <c r="E11" i="9"/>
  <c r="Y10" i="9"/>
  <c r="X10" i="9"/>
  <c r="W10" i="9"/>
  <c r="V10" i="9"/>
  <c r="U10" i="9"/>
  <c r="L10" i="9"/>
  <c r="I10" i="9"/>
  <c r="G10" i="9"/>
  <c r="F10" i="9"/>
  <c r="E10" i="9"/>
  <c r="Y9" i="9"/>
  <c r="X9" i="9"/>
  <c r="W9" i="9"/>
  <c r="V9" i="9"/>
  <c r="U9" i="9"/>
  <c r="L9" i="9"/>
  <c r="I9" i="9"/>
  <c r="G9" i="9"/>
  <c r="F9" i="9"/>
  <c r="E9" i="9"/>
  <c r="Y8" i="9"/>
  <c r="X8" i="9"/>
  <c r="W8" i="9"/>
  <c r="V8" i="9"/>
  <c r="U8" i="9"/>
  <c r="L8" i="9"/>
  <c r="I8" i="9"/>
  <c r="G8" i="9"/>
  <c r="F8" i="9"/>
  <c r="E8" i="9"/>
  <c r="Y7" i="9"/>
  <c r="X7" i="9"/>
  <c r="W7" i="9"/>
  <c r="V7" i="9"/>
  <c r="U7" i="9"/>
  <c r="L7" i="9"/>
  <c r="I7" i="9"/>
  <c r="G7" i="9"/>
  <c r="F7" i="9"/>
  <c r="E7" i="9"/>
  <c r="Y6" i="9"/>
  <c r="X6" i="9"/>
  <c r="W6" i="9"/>
  <c r="V6" i="9"/>
  <c r="U6" i="9"/>
  <c r="L6" i="9"/>
  <c r="I6" i="9"/>
  <c r="G6" i="9"/>
  <c r="F6" i="9"/>
  <c r="E6" i="9"/>
  <c r="Y5" i="9"/>
  <c r="X5" i="9"/>
  <c r="W5" i="9"/>
  <c r="V5" i="9"/>
  <c r="U5" i="9"/>
  <c r="L5" i="9"/>
  <c r="I5" i="9"/>
  <c r="G5" i="9"/>
  <c r="F5" i="9"/>
  <c r="E5" i="9"/>
  <c r="Y4" i="9"/>
  <c r="X4" i="9"/>
  <c r="W4" i="9"/>
  <c r="V4" i="9"/>
  <c r="U4" i="9"/>
  <c r="L4" i="9"/>
  <c r="I4" i="9"/>
  <c r="G4" i="9"/>
  <c r="F4" i="9"/>
  <c r="E4" i="9"/>
  <c r="Y3" i="9"/>
  <c r="X3" i="9"/>
  <c r="W3" i="9"/>
  <c r="V3" i="9"/>
  <c r="U3" i="9"/>
  <c r="L3" i="9"/>
  <c r="I3" i="9"/>
  <c r="G3" i="9"/>
  <c r="F3" i="9"/>
  <c r="E3" i="9"/>
  <c r="Y2" i="9"/>
  <c r="X2" i="9"/>
  <c r="W2" i="9"/>
  <c r="V2" i="9"/>
  <c r="U2" i="9"/>
  <c r="L2" i="9"/>
  <c r="I2" i="9"/>
  <c r="G2" i="9"/>
  <c r="F2" i="9"/>
  <c r="H50" i="6"/>
  <c r="G50" i="6"/>
  <c r="F50" i="6"/>
  <c r="E50" i="6"/>
  <c r="H49" i="6"/>
  <c r="G49" i="6"/>
  <c r="F49" i="6"/>
  <c r="E49" i="6"/>
  <c r="H48" i="6"/>
  <c r="G48" i="6"/>
  <c r="F48" i="6"/>
  <c r="E48" i="6"/>
  <c r="H47" i="6"/>
  <c r="G47" i="6"/>
  <c r="F47" i="6"/>
  <c r="E47" i="6"/>
  <c r="H46" i="6"/>
  <c r="G46" i="6"/>
  <c r="F46" i="6"/>
  <c r="E46" i="6"/>
  <c r="H45" i="6"/>
  <c r="G45" i="6"/>
  <c r="F45" i="6"/>
  <c r="E45" i="6"/>
  <c r="H44" i="6"/>
  <c r="G44" i="6"/>
  <c r="F44" i="6"/>
  <c r="E44" i="6"/>
  <c r="H43" i="6"/>
  <c r="G43" i="6"/>
  <c r="F43" i="6"/>
  <c r="E43" i="6"/>
  <c r="H42" i="6"/>
  <c r="G42" i="6"/>
  <c r="F42" i="6"/>
  <c r="E42" i="6"/>
  <c r="H41" i="6"/>
  <c r="G41" i="6"/>
  <c r="F41" i="6"/>
  <c r="E41" i="6"/>
  <c r="H40" i="6"/>
  <c r="G40" i="6"/>
  <c r="F40" i="6"/>
  <c r="E40" i="6"/>
  <c r="H39" i="6"/>
  <c r="G39" i="6"/>
  <c r="F39" i="6"/>
  <c r="E39" i="6"/>
  <c r="H38" i="6"/>
  <c r="G38" i="6"/>
  <c r="F38" i="6"/>
  <c r="E38" i="6"/>
  <c r="H37" i="6"/>
  <c r="G37" i="6"/>
  <c r="F37" i="6"/>
  <c r="E37" i="6"/>
  <c r="H36" i="6"/>
  <c r="G36" i="6"/>
  <c r="F36" i="6"/>
  <c r="E36" i="6"/>
  <c r="H35" i="6"/>
  <c r="G35" i="6"/>
  <c r="F35" i="6"/>
  <c r="E35" i="6"/>
  <c r="H34" i="6"/>
  <c r="G34" i="6"/>
  <c r="F34" i="6"/>
  <c r="E34" i="6"/>
  <c r="H33" i="6"/>
  <c r="G33" i="6"/>
  <c r="F33" i="6"/>
  <c r="E33" i="6"/>
  <c r="H32" i="6"/>
  <c r="G32" i="6"/>
  <c r="F32" i="6"/>
  <c r="E32" i="6"/>
  <c r="H31" i="6"/>
  <c r="G31" i="6"/>
  <c r="F31" i="6"/>
  <c r="E31" i="6"/>
  <c r="H30" i="6"/>
  <c r="G30" i="6"/>
  <c r="F30" i="6"/>
  <c r="E30" i="6"/>
  <c r="H29" i="6"/>
  <c r="G29" i="6"/>
  <c r="F29" i="6"/>
  <c r="E29" i="6"/>
  <c r="H28" i="6"/>
  <c r="G28" i="6"/>
  <c r="F28" i="6"/>
  <c r="E28" i="6"/>
  <c r="H27" i="6"/>
  <c r="G27" i="6"/>
  <c r="F27" i="6"/>
  <c r="E27" i="6"/>
  <c r="H26" i="6"/>
  <c r="G26" i="6"/>
  <c r="F26" i="6"/>
  <c r="E26" i="6"/>
  <c r="H25" i="6"/>
  <c r="G25" i="6"/>
  <c r="F25" i="6"/>
  <c r="E25" i="6"/>
  <c r="H24" i="6"/>
  <c r="G24" i="6"/>
  <c r="F24" i="6"/>
  <c r="E24" i="6"/>
  <c r="H23" i="6"/>
  <c r="G23" i="6"/>
  <c r="F23" i="6"/>
  <c r="E23" i="6"/>
  <c r="H22" i="6"/>
  <c r="G22" i="6"/>
  <c r="F22" i="6"/>
  <c r="E22" i="6"/>
  <c r="H21" i="6"/>
  <c r="G21" i="6"/>
  <c r="F21" i="6"/>
  <c r="E21" i="6"/>
  <c r="H20" i="6"/>
  <c r="G20" i="6"/>
  <c r="F20" i="6"/>
  <c r="E20" i="6"/>
  <c r="H19" i="6"/>
  <c r="G19" i="6"/>
  <c r="F19" i="6"/>
  <c r="E19" i="6"/>
  <c r="H18" i="6"/>
  <c r="G18" i="6"/>
  <c r="F18" i="6"/>
  <c r="E18" i="6"/>
  <c r="H17" i="6"/>
  <c r="G17" i="6"/>
  <c r="F17" i="6"/>
  <c r="E17" i="6"/>
  <c r="H16" i="6"/>
  <c r="G16" i="6"/>
  <c r="F16" i="6"/>
  <c r="E16" i="6"/>
  <c r="H15" i="6"/>
  <c r="G15" i="6"/>
  <c r="F15" i="6"/>
  <c r="E15" i="6"/>
  <c r="H14" i="6"/>
  <c r="G14" i="6"/>
  <c r="F14" i="6"/>
  <c r="E14" i="6"/>
  <c r="H13" i="6"/>
  <c r="G13" i="6"/>
  <c r="F13" i="6"/>
  <c r="E13" i="6"/>
  <c r="H12" i="6"/>
  <c r="G12" i="6"/>
  <c r="F12" i="6"/>
  <c r="E12" i="6"/>
  <c r="H11" i="6"/>
  <c r="G11" i="6"/>
  <c r="F11" i="6"/>
  <c r="E11" i="6"/>
  <c r="H10" i="6"/>
  <c r="G10" i="6"/>
  <c r="F10" i="6"/>
  <c r="E10" i="6"/>
  <c r="H9" i="6"/>
  <c r="G9" i="6"/>
  <c r="F9" i="6"/>
  <c r="E9" i="6"/>
  <c r="H8" i="6"/>
  <c r="G8" i="6"/>
  <c r="F8" i="6"/>
  <c r="E8" i="6"/>
  <c r="H7" i="6"/>
  <c r="G7" i="6"/>
  <c r="F7" i="6"/>
  <c r="E7" i="6"/>
  <c r="H6" i="6"/>
  <c r="G6" i="6"/>
  <c r="F6" i="6"/>
  <c r="E6" i="6"/>
  <c r="H5" i="6"/>
  <c r="G5" i="6"/>
  <c r="F5" i="6"/>
  <c r="E5" i="6"/>
  <c r="H4" i="6"/>
  <c r="G4" i="6"/>
  <c r="F4" i="6"/>
  <c r="E4" i="6"/>
  <c r="H3" i="6"/>
  <c r="G3" i="6"/>
  <c r="F3" i="6"/>
  <c r="E3" i="6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A51" i="4"/>
  <c r="A50" i="4"/>
  <c r="A49" i="4"/>
  <c r="A48" i="4"/>
  <c r="A47" i="4"/>
  <c r="A46" i="4"/>
  <c r="A45" i="4"/>
  <c r="A44" i="4"/>
  <c r="A43" i="4"/>
  <c r="B38" i="4"/>
  <c r="B37" i="4"/>
  <c r="B36" i="4"/>
  <c r="A31" i="4"/>
  <c r="A30" i="4"/>
  <c r="A29" i="4"/>
  <c r="A28" i="4"/>
  <c r="A27" i="4"/>
  <c r="A26" i="4"/>
  <c r="A25" i="4"/>
  <c r="A24" i="4"/>
  <c r="A23" i="4"/>
  <c r="D18" i="4"/>
  <c r="D17" i="4"/>
  <c r="D16" i="4"/>
  <c r="D15" i="4"/>
  <c r="D14" i="4"/>
  <c r="D13" i="4"/>
  <c r="D12" i="4"/>
  <c r="D11" i="4"/>
  <c r="D10" i="4"/>
  <c r="D9" i="4"/>
  <c r="D8" i="4"/>
  <c r="D7" i="4"/>
  <c r="B7" i="4"/>
  <c r="H41" i="3"/>
  <c r="F41" i="3"/>
  <c r="E41" i="3"/>
  <c r="D41" i="3"/>
  <c r="A41" i="3"/>
  <c r="H40" i="3"/>
  <c r="F40" i="3"/>
  <c r="E40" i="3"/>
  <c r="D40" i="3"/>
  <c r="A40" i="3"/>
  <c r="H39" i="3"/>
  <c r="F39" i="3"/>
  <c r="E39" i="3"/>
  <c r="D39" i="3"/>
  <c r="A39" i="3"/>
  <c r="H38" i="3"/>
  <c r="F38" i="3"/>
  <c r="E38" i="3"/>
  <c r="D38" i="3"/>
  <c r="A38" i="3"/>
  <c r="H37" i="3"/>
  <c r="F37" i="3"/>
  <c r="E37" i="3"/>
  <c r="D37" i="3"/>
  <c r="A37" i="3"/>
  <c r="H36" i="3"/>
  <c r="F36" i="3"/>
  <c r="E36" i="3"/>
  <c r="D36" i="3"/>
  <c r="A36" i="3"/>
  <c r="H35" i="3"/>
  <c r="F35" i="3"/>
  <c r="E35" i="3"/>
  <c r="D35" i="3"/>
  <c r="A35" i="3"/>
  <c r="H34" i="3"/>
  <c r="F34" i="3"/>
  <c r="E34" i="3"/>
  <c r="D34" i="3"/>
  <c r="A34" i="3"/>
  <c r="H33" i="3"/>
  <c r="F33" i="3"/>
  <c r="E33" i="3"/>
  <c r="D33" i="3"/>
  <c r="A33" i="3"/>
  <c r="H32" i="3"/>
  <c r="F32" i="3"/>
  <c r="E32" i="3"/>
  <c r="D32" i="3"/>
  <c r="H31" i="3"/>
  <c r="F31" i="3"/>
  <c r="E31" i="3"/>
  <c r="D31" i="3"/>
  <c r="H30" i="3"/>
  <c r="F30" i="3"/>
  <c r="E30" i="3"/>
  <c r="D30" i="3"/>
  <c r="F9" i="3"/>
  <c r="F8" i="3"/>
  <c r="F7" i="3"/>
  <c r="F6" i="3"/>
  <c r="F5" i="3"/>
  <c r="C5" i="3"/>
  <c r="F4" i="3"/>
  <c r="C4" i="3"/>
  <c r="B44" i="1"/>
  <c r="B43" i="1"/>
  <c r="B42" i="1"/>
  <c r="B41" i="1"/>
  <c r="B40" i="1"/>
  <c r="B39" i="1"/>
  <c r="B35" i="1"/>
  <c r="A250" i="7"/>
  <c r="A249" i="7"/>
  <c r="A248" i="7"/>
  <c r="A247" i="7"/>
  <c r="A246" i="7"/>
  <c r="A245" i="7"/>
  <c r="A244" i="7"/>
  <c r="A243" i="7"/>
  <c r="A242" i="7"/>
  <c r="A241" i="7"/>
  <c r="A240" i="7"/>
  <c r="A239" i="7"/>
  <c r="A238" i="7"/>
  <c r="A237" i="7"/>
  <c r="A236" i="7"/>
  <c r="A235" i="7"/>
  <c r="A234" i="7"/>
  <c r="A233" i="7"/>
  <c r="A232" i="7"/>
  <c r="A231" i="7"/>
  <c r="A230" i="7"/>
  <c r="A229" i="7"/>
  <c r="A228" i="7"/>
  <c r="A227" i="7"/>
  <c r="A226" i="7"/>
  <c r="A225" i="7"/>
  <c r="A224" i="7"/>
  <c r="A223" i="7"/>
  <c r="A222" i="7"/>
  <c r="A221" i="7"/>
  <c r="A220" i="7"/>
  <c r="A219" i="7"/>
  <c r="A218" i="7"/>
  <c r="A217" i="7"/>
  <c r="A216" i="7"/>
  <c r="A215" i="7"/>
  <c r="A214" i="7"/>
  <c r="A213" i="7"/>
  <c r="A212" i="7"/>
  <c r="A211" i="7"/>
  <c r="A210" i="7"/>
  <c r="A209" i="7"/>
  <c r="A208" i="7"/>
  <c r="A207" i="7"/>
  <c r="A206" i="7"/>
  <c r="A205" i="7"/>
  <c r="A204" i="7"/>
  <c r="A203" i="7"/>
  <c r="A202" i="7"/>
  <c r="A201" i="7"/>
  <c r="A200" i="7"/>
  <c r="A199" i="7"/>
  <c r="A198" i="7"/>
  <c r="A197" i="7"/>
  <c r="A196" i="7"/>
  <c r="A195" i="7"/>
  <c r="A194" i="7"/>
  <c r="A193" i="7"/>
  <c r="A192" i="7"/>
  <c r="A191" i="7"/>
  <c r="A190" i="7"/>
  <c r="A189" i="7"/>
  <c r="A188" i="7"/>
  <c r="A187" i="7"/>
  <c r="A186" i="7"/>
  <c r="A185" i="7"/>
  <c r="A184" i="7"/>
  <c r="A183" i="7"/>
  <c r="A182" i="7"/>
  <c r="A181" i="7"/>
  <c r="A180" i="7"/>
  <c r="A179" i="7"/>
  <c r="A178" i="7"/>
  <c r="A177" i="7"/>
  <c r="A176" i="7"/>
  <c r="A175" i="7"/>
  <c r="A174" i="7"/>
  <c r="A173" i="7"/>
  <c r="A172" i="7"/>
  <c r="A171" i="7"/>
  <c r="A170" i="7"/>
  <c r="A169" i="7"/>
  <c r="A168" i="7"/>
  <c r="A167" i="7"/>
  <c r="A166" i="7"/>
  <c r="A165" i="7"/>
  <c r="A164" i="7"/>
  <c r="A163" i="7"/>
  <c r="A162" i="7"/>
  <c r="A161" i="7"/>
  <c r="J161" i="7" s="1"/>
  <c r="A160" i="7"/>
  <c r="A159" i="7"/>
  <c r="A158" i="7"/>
  <c r="A157" i="7"/>
  <c r="A156" i="7"/>
  <c r="A155" i="7"/>
  <c r="A154" i="7"/>
  <c r="A153" i="7"/>
  <c r="A152" i="7"/>
  <c r="A151" i="7"/>
  <c r="A150" i="7"/>
  <c r="A149" i="7"/>
  <c r="A148" i="7"/>
  <c r="A147" i="7"/>
  <c r="A146" i="7"/>
  <c r="A145" i="7"/>
  <c r="A144" i="7"/>
  <c r="A143" i="7"/>
  <c r="A142" i="7"/>
  <c r="A141" i="7"/>
  <c r="A140" i="7"/>
  <c r="A139" i="7"/>
  <c r="A138" i="7"/>
  <c r="A137" i="7"/>
  <c r="A136" i="7"/>
  <c r="A135" i="7"/>
  <c r="A134" i="7"/>
  <c r="A133" i="7"/>
  <c r="A132" i="7"/>
  <c r="A131" i="7"/>
  <c r="A130" i="7"/>
  <c r="A129" i="7"/>
  <c r="A128" i="7"/>
  <c r="A127" i="7"/>
  <c r="A126" i="7"/>
  <c r="A125" i="7"/>
  <c r="A124" i="7"/>
  <c r="A123" i="7"/>
  <c r="A122" i="7"/>
  <c r="A121" i="7"/>
  <c r="A120" i="7"/>
  <c r="A119" i="7"/>
  <c r="A118" i="7"/>
  <c r="A117" i="7"/>
  <c r="A116" i="7"/>
  <c r="A115" i="7"/>
  <c r="A114" i="7"/>
  <c r="A113" i="7"/>
  <c r="A112" i="7"/>
  <c r="I112" i="7" s="1"/>
  <c r="A111" i="7"/>
  <c r="A110" i="7"/>
  <c r="A109" i="7"/>
  <c r="A108" i="7"/>
  <c r="A107" i="7"/>
  <c r="A106" i="7"/>
  <c r="A105" i="7"/>
  <c r="A104" i="7"/>
  <c r="A103" i="7"/>
  <c r="A102" i="7"/>
  <c r="A101" i="7"/>
  <c r="A100" i="7"/>
  <c r="A99" i="7"/>
  <c r="A98" i="7"/>
  <c r="A97" i="7"/>
  <c r="A96" i="7"/>
  <c r="A95" i="7"/>
  <c r="A94" i="7"/>
  <c r="A93" i="7"/>
  <c r="A92" i="7"/>
  <c r="A91" i="7"/>
  <c r="A90" i="7"/>
  <c r="A89" i="7"/>
  <c r="A88" i="7"/>
  <c r="A87" i="7"/>
  <c r="A86" i="7"/>
  <c r="A85" i="7"/>
  <c r="A84" i="7"/>
  <c r="A83" i="7"/>
  <c r="A82" i="7"/>
  <c r="A81" i="7"/>
  <c r="A80" i="7"/>
  <c r="H80" i="7" s="1"/>
  <c r="A79" i="7"/>
  <c r="A78" i="7"/>
  <c r="A77" i="7"/>
  <c r="A76" i="7"/>
  <c r="A75" i="7"/>
  <c r="A74" i="7"/>
  <c r="A73" i="7"/>
  <c r="A72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A3" i="7"/>
  <c r="A2" i="7"/>
  <c r="E2" i="6" l="1"/>
  <c r="G2" i="6"/>
  <c r="O5" i="7"/>
  <c r="P5" i="7" s="1"/>
  <c r="H17" i="3" s="1"/>
  <c r="B2" i="7"/>
  <c r="C14" i="3" s="1"/>
  <c r="D2" i="7"/>
  <c r="B41" i="3"/>
  <c r="B40" i="3"/>
  <c r="B39" i="3"/>
  <c r="B38" i="3"/>
  <c r="B37" i="3"/>
  <c r="B36" i="3"/>
  <c r="B35" i="3"/>
  <c r="B34" i="3"/>
  <c r="B33" i="3"/>
  <c r="H2" i="6"/>
  <c r="F11" i="4"/>
  <c r="E11" i="4"/>
  <c r="G55" i="10"/>
  <c r="G54" i="10"/>
  <c r="G53" i="10"/>
  <c r="G52" i="10"/>
  <c r="G51" i="10"/>
  <c r="G50" i="10"/>
  <c r="G49" i="10"/>
  <c r="G48" i="10"/>
  <c r="G47" i="10"/>
  <c r="G46" i="10"/>
  <c r="G45" i="10"/>
  <c r="G44" i="10"/>
  <c r="G43" i="10"/>
  <c r="G42" i="10"/>
  <c r="G41" i="10"/>
  <c r="G40" i="10"/>
  <c r="G39" i="10"/>
  <c r="G38" i="10"/>
  <c r="G37" i="10"/>
  <c r="G36" i="10"/>
  <c r="G35" i="10"/>
  <c r="G34" i="10"/>
  <c r="H34" i="10" s="1"/>
  <c r="I34" i="10"/>
  <c r="G33" i="10"/>
  <c r="H33" i="10" s="1"/>
  <c r="I33" i="10"/>
  <c r="G32" i="10"/>
  <c r="G31" i="10"/>
  <c r="H31" i="10" s="1"/>
  <c r="I31" i="10"/>
  <c r="G30" i="10"/>
  <c r="G29" i="10"/>
  <c r="G28" i="10"/>
  <c r="G27" i="10"/>
  <c r="G26" i="10"/>
  <c r="G25" i="10"/>
  <c r="H25" i="10" s="1"/>
  <c r="I25" i="10"/>
  <c r="G24" i="10"/>
  <c r="H24" i="10" s="1"/>
  <c r="I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H9" i="10" s="1"/>
  <c r="I9" i="10"/>
  <c r="G8" i="10"/>
  <c r="G7" i="10"/>
  <c r="G6" i="10"/>
  <c r="I6" i="10" s="1"/>
  <c r="N800" i="9"/>
  <c r="R800" i="9" s="1"/>
  <c r="M800" i="9"/>
  <c r="N799" i="9"/>
  <c r="R799" i="9" s="1"/>
  <c r="M799" i="9"/>
  <c r="N798" i="9"/>
  <c r="R798" i="9" s="1"/>
  <c r="M798" i="9"/>
  <c r="N797" i="9"/>
  <c r="R797" i="9" s="1"/>
  <c r="M797" i="9"/>
  <c r="N796" i="9"/>
  <c r="R796" i="9" s="1"/>
  <c r="M796" i="9"/>
  <c r="N795" i="9"/>
  <c r="R795" i="9" s="1"/>
  <c r="M795" i="9"/>
  <c r="N794" i="9"/>
  <c r="R794" i="9" s="1"/>
  <c r="M794" i="9"/>
  <c r="N793" i="9"/>
  <c r="R793" i="9" s="1"/>
  <c r="M793" i="9"/>
  <c r="M792" i="9"/>
  <c r="N792" i="9"/>
  <c r="R792" i="9" s="1"/>
  <c r="N791" i="9"/>
  <c r="R791" i="9" s="1"/>
  <c r="M791" i="9"/>
  <c r="N790" i="9"/>
  <c r="R790" i="9" s="1"/>
  <c r="M790" i="9"/>
  <c r="N789" i="9"/>
  <c r="R789" i="9" s="1"/>
  <c r="M789" i="9"/>
  <c r="N788" i="9"/>
  <c r="R788" i="9" s="1"/>
  <c r="M788" i="9"/>
  <c r="M787" i="9"/>
  <c r="N787" i="9"/>
  <c r="R787" i="9" s="1"/>
  <c r="M786" i="9"/>
  <c r="N786" i="9"/>
  <c r="R786" i="9" s="1"/>
  <c r="N785" i="9"/>
  <c r="R785" i="9" s="1"/>
  <c r="M785" i="9"/>
  <c r="M784" i="9"/>
  <c r="N784" i="9"/>
  <c r="R784" i="9" s="1"/>
  <c r="N783" i="9"/>
  <c r="R783" i="9" s="1"/>
  <c r="M783" i="9"/>
  <c r="M782" i="9"/>
  <c r="N782" i="9"/>
  <c r="R782" i="9" s="1"/>
  <c r="N781" i="9"/>
  <c r="R781" i="9" s="1"/>
  <c r="M781" i="9"/>
  <c r="N780" i="9"/>
  <c r="R780" i="9" s="1"/>
  <c r="M780" i="9"/>
  <c r="N779" i="9"/>
  <c r="R779" i="9" s="1"/>
  <c r="M779" i="9"/>
  <c r="N778" i="9"/>
  <c r="R778" i="9" s="1"/>
  <c r="M778" i="9"/>
  <c r="M777" i="9"/>
  <c r="N777" i="9"/>
  <c r="R777" i="9" s="1"/>
  <c r="M776" i="9"/>
  <c r="N776" i="9"/>
  <c r="R776" i="9" s="1"/>
  <c r="N775" i="9"/>
  <c r="R775" i="9" s="1"/>
  <c r="M775" i="9"/>
  <c r="N774" i="9"/>
  <c r="R774" i="9" s="1"/>
  <c r="M774" i="9"/>
  <c r="N773" i="9"/>
  <c r="R773" i="9" s="1"/>
  <c r="M773" i="9"/>
  <c r="N772" i="9"/>
  <c r="R772" i="9" s="1"/>
  <c r="M772" i="9"/>
  <c r="N771" i="9"/>
  <c r="R771" i="9" s="1"/>
  <c r="M771" i="9"/>
  <c r="N770" i="9"/>
  <c r="R770" i="9" s="1"/>
  <c r="M770" i="9"/>
  <c r="N769" i="9"/>
  <c r="R769" i="9" s="1"/>
  <c r="M769" i="9"/>
  <c r="N768" i="9"/>
  <c r="R768" i="9" s="1"/>
  <c r="M768" i="9"/>
  <c r="M767" i="9"/>
  <c r="N767" i="9"/>
  <c r="R767" i="9" s="1"/>
  <c r="N766" i="9"/>
  <c r="R766" i="9" s="1"/>
  <c r="M766" i="9"/>
  <c r="N765" i="9"/>
  <c r="R765" i="9" s="1"/>
  <c r="M765" i="9"/>
  <c r="N764" i="9"/>
  <c r="R764" i="9" s="1"/>
  <c r="M764" i="9"/>
  <c r="N763" i="9"/>
  <c r="R763" i="9" s="1"/>
  <c r="M763" i="9"/>
  <c r="N762" i="9"/>
  <c r="R762" i="9" s="1"/>
  <c r="M762" i="9"/>
  <c r="N761" i="9"/>
  <c r="R761" i="9" s="1"/>
  <c r="M761" i="9"/>
  <c r="N760" i="9"/>
  <c r="R760" i="9" s="1"/>
  <c r="M760" i="9"/>
  <c r="N759" i="9"/>
  <c r="R759" i="9" s="1"/>
  <c r="M759" i="9"/>
  <c r="N758" i="9"/>
  <c r="R758" i="9" s="1"/>
  <c r="M758" i="9"/>
  <c r="N757" i="9"/>
  <c r="R757" i="9" s="1"/>
  <c r="M757" i="9"/>
  <c r="N756" i="9"/>
  <c r="R756" i="9" s="1"/>
  <c r="M756" i="9"/>
  <c r="N755" i="9"/>
  <c r="R755" i="9" s="1"/>
  <c r="M755" i="9"/>
  <c r="M754" i="9"/>
  <c r="N754" i="9"/>
  <c r="R754" i="9" s="1"/>
  <c r="N753" i="9"/>
  <c r="R753" i="9" s="1"/>
  <c r="M753" i="9"/>
  <c r="N752" i="9"/>
  <c r="R752" i="9" s="1"/>
  <c r="M752" i="9"/>
  <c r="N751" i="9"/>
  <c r="R751" i="9" s="1"/>
  <c r="M751" i="9"/>
  <c r="N750" i="9"/>
  <c r="R750" i="9" s="1"/>
  <c r="M750" i="9"/>
  <c r="N749" i="9"/>
  <c r="R749" i="9" s="1"/>
  <c r="M749" i="9"/>
  <c r="M748" i="9"/>
  <c r="N748" i="9"/>
  <c r="R748" i="9" s="1"/>
  <c r="N747" i="9"/>
  <c r="R747" i="9" s="1"/>
  <c r="M747" i="9"/>
  <c r="M746" i="9"/>
  <c r="N746" i="9"/>
  <c r="R746" i="9" s="1"/>
  <c r="N745" i="9"/>
  <c r="R745" i="9" s="1"/>
  <c r="M745" i="9"/>
  <c r="N744" i="9"/>
  <c r="R744" i="9" s="1"/>
  <c r="M744" i="9"/>
  <c r="N743" i="9"/>
  <c r="R743" i="9" s="1"/>
  <c r="M743" i="9"/>
  <c r="N742" i="9"/>
  <c r="R742" i="9" s="1"/>
  <c r="M742" i="9"/>
  <c r="N741" i="9"/>
  <c r="R741" i="9" s="1"/>
  <c r="M741" i="9"/>
  <c r="M740" i="9"/>
  <c r="N740" i="9"/>
  <c r="R740" i="9" s="1"/>
  <c r="M739" i="9"/>
  <c r="N739" i="9"/>
  <c r="R739" i="9" s="1"/>
  <c r="N738" i="9"/>
  <c r="R738" i="9" s="1"/>
  <c r="M738" i="9"/>
  <c r="N737" i="9"/>
  <c r="R737" i="9" s="1"/>
  <c r="M737" i="9"/>
  <c r="N736" i="9"/>
  <c r="R736" i="9" s="1"/>
  <c r="M736" i="9"/>
  <c r="N735" i="9"/>
  <c r="R735" i="9" s="1"/>
  <c r="M735" i="9"/>
  <c r="N734" i="9"/>
  <c r="R734" i="9" s="1"/>
  <c r="M734" i="9"/>
  <c r="N733" i="9"/>
  <c r="R733" i="9" s="1"/>
  <c r="M733" i="9"/>
  <c r="N732" i="9"/>
  <c r="R732" i="9" s="1"/>
  <c r="M732" i="9"/>
  <c r="N731" i="9"/>
  <c r="R731" i="9" s="1"/>
  <c r="M731" i="9"/>
  <c r="N730" i="9"/>
  <c r="R730" i="9" s="1"/>
  <c r="M730" i="9"/>
  <c r="N729" i="9"/>
  <c r="R729" i="9" s="1"/>
  <c r="M729" i="9"/>
  <c r="N728" i="9"/>
  <c r="R728" i="9" s="1"/>
  <c r="M728" i="9"/>
  <c r="N727" i="9"/>
  <c r="R727" i="9" s="1"/>
  <c r="M727" i="9"/>
  <c r="N726" i="9"/>
  <c r="R726" i="9" s="1"/>
  <c r="M726" i="9"/>
  <c r="N725" i="9"/>
  <c r="R725" i="9" s="1"/>
  <c r="M725" i="9"/>
  <c r="N724" i="9"/>
  <c r="R724" i="9" s="1"/>
  <c r="M724" i="9"/>
  <c r="N723" i="9"/>
  <c r="R723" i="9" s="1"/>
  <c r="M723" i="9"/>
  <c r="N722" i="9"/>
  <c r="R722" i="9" s="1"/>
  <c r="M722" i="9"/>
  <c r="N721" i="9"/>
  <c r="R721" i="9" s="1"/>
  <c r="M721" i="9"/>
  <c r="M720" i="9"/>
  <c r="N720" i="9"/>
  <c r="R720" i="9" s="1"/>
  <c r="N719" i="9"/>
  <c r="R719" i="9" s="1"/>
  <c r="M719" i="9"/>
  <c r="N718" i="9"/>
  <c r="R718" i="9" s="1"/>
  <c r="M718" i="9"/>
  <c r="N717" i="9"/>
  <c r="R717" i="9" s="1"/>
  <c r="M717" i="9"/>
  <c r="N716" i="9"/>
  <c r="R716" i="9" s="1"/>
  <c r="M716" i="9"/>
  <c r="N715" i="9"/>
  <c r="R715" i="9" s="1"/>
  <c r="M715" i="9"/>
  <c r="N714" i="9"/>
  <c r="R714" i="9" s="1"/>
  <c r="M714" i="9"/>
  <c r="N713" i="9"/>
  <c r="R713" i="9" s="1"/>
  <c r="M713" i="9"/>
  <c r="M712" i="9"/>
  <c r="N712" i="9"/>
  <c r="R712" i="9" s="1"/>
  <c r="N711" i="9"/>
  <c r="R711" i="9" s="1"/>
  <c r="M711" i="9"/>
  <c r="N710" i="9"/>
  <c r="R710" i="9" s="1"/>
  <c r="M710" i="9"/>
  <c r="N709" i="9"/>
  <c r="R709" i="9" s="1"/>
  <c r="M709" i="9"/>
  <c r="N708" i="9"/>
  <c r="R708" i="9" s="1"/>
  <c r="M708" i="9"/>
  <c r="N707" i="9"/>
  <c r="R707" i="9" s="1"/>
  <c r="M707" i="9"/>
  <c r="M706" i="9"/>
  <c r="N706" i="9"/>
  <c r="R706" i="9" s="1"/>
  <c r="M705" i="9"/>
  <c r="N705" i="9"/>
  <c r="R705" i="9" s="1"/>
  <c r="N704" i="9"/>
  <c r="R704" i="9" s="1"/>
  <c r="M704" i="9"/>
  <c r="N703" i="9"/>
  <c r="R703" i="9" s="1"/>
  <c r="M703" i="9"/>
  <c r="N702" i="9"/>
  <c r="R702" i="9" s="1"/>
  <c r="M702" i="9"/>
  <c r="N701" i="9"/>
  <c r="R701" i="9" s="1"/>
  <c r="M701" i="9"/>
  <c r="N700" i="9"/>
  <c r="R700" i="9" s="1"/>
  <c r="M700" i="9"/>
  <c r="N699" i="9"/>
  <c r="R699" i="9" s="1"/>
  <c r="M699" i="9"/>
  <c r="N698" i="9"/>
  <c r="R698" i="9" s="1"/>
  <c r="M698" i="9"/>
  <c r="N697" i="9"/>
  <c r="R697" i="9" s="1"/>
  <c r="M697" i="9"/>
  <c r="N696" i="9"/>
  <c r="R696" i="9" s="1"/>
  <c r="M696" i="9"/>
  <c r="N695" i="9"/>
  <c r="R695" i="9" s="1"/>
  <c r="M695" i="9"/>
  <c r="N694" i="9"/>
  <c r="R694" i="9" s="1"/>
  <c r="M694" i="9"/>
  <c r="N693" i="9"/>
  <c r="R693" i="9" s="1"/>
  <c r="M693" i="9"/>
  <c r="M692" i="9"/>
  <c r="N692" i="9"/>
  <c r="R692" i="9" s="1"/>
  <c r="N691" i="9"/>
  <c r="R691" i="9" s="1"/>
  <c r="M691" i="9"/>
  <c r="N690" i="9"/>
  <c r="R690" i="9" s="1"/>
  <c r="M690" i="9"/>
  <c r="N689" i="9"/>
  <c r="R689" i="9" s="1"/>
  <c r="M689" i="9"/>
  <c r="N688" i="9"/>
  <c r="R688" i="9" s="1"/>
  <c r="M688" i="9"/>
  <c r="N687" i="9"/>
  <c r="R687" i="9" s="1"/>
  <c r="M687" i="9"/>
  <c r="N686" i="9"/>
  <c r="R686" i="9" s="1"/>
  <c r="M686" i="9"/>
  <c r="N685" i="9"/>
  <c r="R685" i="9" s="1"/>
  <c r="M685" i="9"/>
  <c r="N684" i="9"/>
  <c r="R684" i="9" s="1"/>
  <c r="M684" i="9"/>
  <c r="N683" i="9"/>
  <c r="R683" i="9" s="1"/>
  <c r="M683" i="9"/>
  <c r="N682" i="9"/>
  <c r="R682" i="9" s="1"/>
  <c r="M682" i="9"/>
  <c r="N681" i="9"/>
  <c r="R681" i="9" s="1"/>
  <c r="M681" i="9"/>
  <c r="N680" i="9"/>
  <c r="R680" i="9" s="1"/>
  <c r="M680" i="9"/>
  <c r="N679" i="9"/>
  <c r="R679" i="9" s="1"/>
  <c r="M679" i="9"/>
  <c r="N678" i="9"/>
  <c r="R678" i="9" s="1"/>
  <c r="M678" i="9"/>
  <c r="M677" i="9"/>
  <c r="N677" i="9"/>
  <c r="R677" i="9" s="1"/>
  <c r="N676" i="9"/>
  <c r="R676" i="9" s="1"/>
  <c r="M676" i="9"/>
  <c r="N675" i="9"/>
  <c r="R675" i="9" s="1"/>
  <c r="M675" i="9"/>
  <c r="N674" i="9"/>
  <c r="R674" i="9" s="1"/>
  <c r="M674" i="9"/>
  <c r="M673" i="9"/>
  <c r="N673" i="9"/>
  <c r="R673" i="9" s="1"/>
  <c r="N672" i="9"/>
  <c r="R672" i="9" s="1"/>
  <c r="M672" i="9"/>
  <c r="N671" i="9"/>
  <c r="R671" i="9" s="1"/>
  <c r="M671" i="9"/>
  <c r="N670" i="9"/>
  <c r="R670" i="9" s="1"/>
  <c r="M670" i="9"/>
  <c r="N669" i="9"/>
  <c r="R669" i="9" s="1"/>
  <c r="M669" i="9"/>
  <c r="N668" i="9"/>
  <c r="R668" i="9" s="1"/>
  <c r="M668" i="9"/>
  <c r="M667" i="9"/>
  <c r="N667" i="9"/>
  <c r="R667" i="9" s="1"/>
  <c r="N666" i="9"/>
  <c r="R666" i="9" s="1"/>
  <c r="M666" i="9"/>
  <c r="N665" i="9"/>
  <c r="R665" i="9" s="1"/>
  <c r="M665" i="9"/>
  <c r="N664" i="9"/>
  <c r="R664" i="9" s="1"/>
  <c r="M664" i="9"/>
  <c r="N663" i="9"/>
  <c r="R663" i="9" s="1"/>
  <c r="M663" i="9"/>
  <c r="N662" i="9"/>
  <c r="R662" i="9" s="1"/>
  <c r="M662" i="9"/>
  <c r="N661" i="9"/>
  <c r="R661" i="9" s="1"/>
  <c r="M661" i="9"/>
  <c r="N660" i="9"/>
  <c r="R660" i="9" s="1"/>
  <c r="M660" i="9"/>
  <c r="N659" i="9"/>
  <c r="R659" i="9" s="1"/>
  <c r="M659" i="9"/>
  <c r="N658" i="9"/>
  <c r="R658" i="9" s="1"/>
  <c r="M658" i="9"/>
  <c r="N657" i="9"/>
  <c r="R657" i="9" s="1"/>
  <c r="M657" i="9"/>
  <c r="N656" i="9"/>
  <c r="R656" i="9" s="1"/>
  <c r="M656" i="9"/>
  <c r="M655" i="9"/>
  <c r="N655" i="9"/>
  <c r="R655" i="9" s="1"/>
  <c r="N654" i="9"/>
  <c r="R654" i="9" s="1"/>
  <c r="M654" i="9"/>
  <c r="N653" i="9"/>
  <c r="R653" i="9" s="1"/>
  <c r="M653" i="9"/>
  <c r="N652" i="9"/>
  <c r="R652" i="9" s="1"/>
  <c r="M652" i="9"/>
  <c r="N651" i="9"/>
  <c r="R651" i="9" s="1"/>
  <c r="M651" i="9"/>
  <c r="N650" i="9"/>
  <c r="R650" i="9" s="1"/>
  <c r="M650" i="9"/>
  <c r="N649" i="9"/>
  <c r="R649" i="9" s="1"/>
  <c r="M649" i="9"/>
  <c r="N648" i="9"/>
  <c r="R648" i="9" s="1"/>
  <c r="M648" i="9"/>
  <c r="N647" i="9"/>
  <c r="R647" i="9" s="1"/>
  <c r="M647" i="9"/>
  <c r="N646" i="9"/>
  <c r="R646" i="9" s="1"/>
  <c r="M646" i="9"/>
  <c r="N645" i="9"/>
  <c r="R645" i="9" s="1"/>
  <c r="M645" i="9"/>
  <c r="N644" i="9"/>
  <c r="R644" i="9" s="1"/>
  <c r="M644" i="9"/>
  <c r="N643" i="9"/>
  <c r="R643" i="9" s="1"/>
  <c r="M643" i="9"/>
  <c r="N642" i="9"/>
  <c r="R642" i="9" s="1"/>
  <c r="M642" i="9"/>
  <c r="N641" i="9"/>
  <c r="R641" i="9" s="1"/>
  <c r="M641" i="9"/>
  <c r="N640" i="9"/>
  <c r="R640" i="9" s="1"/>
  <c r="M640" i="9"/>
  <c r="M639" i="9"/>
  <c r="N639" i="9"/>
  <c r="R639" i="9" s="1"/>
  <c r="N638" i="9"/>
  <c r="R638" i="9" s="1"/>
  <c r="M638" i="9"/>
  <c r="M637" i="9"/>
  <c r="N637" i="9"/>
  <c r="R637" i="9" s="1"/>
  <c r="N636" i="9"/>
  <c r="R636" i="9" s="1"/>
  <c r="M636" i="9"/>
  <c r="N635" i="9"/>
  <c r="R635" i="9" s="1"/>
  <c r="M635" i="9"/>
  <c r="N634" i="9"/>
  <c r="R634" i="9" s="1"/>
  <c r="M634" i="9"/>
  <c r="N633" i="9"/>
  <c r="R633" i="9" s="1"/>
  <c r="M633" i="9"/>
  <c r="M632" i="9"/>
  <c r="N632" i="9"/>
  <c r="R632" i="9" s="1"/>
  <c r="M631" i="9"/>
  <c r="N631" i="9"/>
  <c r="R631" i="9" s="1"/>
  <c r="N630" i="9"/>
  <c r="R630" i="9" s="1"/>
  <c r="M630" i="9"/>
  <c r="N629" i="9"/>
  <c r="R629" i="9" s="1"/>
  <c r="M629" i="9"/>
  <c r="N628" i="9"/>
  <c r="R628" i="9" s="1"/>
  <c r="M628" i="9"/>
  <c r="N627" i="9"/>
  <c r="R627" i="9" s="1"/>
  <c r="M627" i="9"/>
  <c r="N626" i="9"/>
  <c r="R626" i="9" s="1"/>
  <c r="M626" i="9"/>
  <c r="N625" i="9"/>
  <c r="R625" i="9" s="1"/>
  <c r="M625" i="9"/>
  <c r="N624" i="9"/>
  <c r="R624" i="9" s="1"/>
  <c r="M624" i="9"/>
  <c r="N623" i="9"/>
  <c r="R623" i="9" s="1"/>
  <c r="M623" i="9"/>
  <c r="M622" i="9"/>
  <c r="N622" i="9"/>
  <c r="R622" i="9" s="1"/>
  <c r="N621" i="9"/>
  <c r="R621" i="9" s="1"/>
  <c r="M621" i="9"/>
  <c r="N620" i="9"/>
  <c r="R620" i="9" s="1"/>
  <c r="M620" i="9"/>
  <c r="N619" i="9"/>
  <c r="R619" i="9" s="1"/>
  <c r="M619" i="9"/>
  <c r="N618" i="9"/>
  <c r="R618" i="9" s="1"/>
  <c r="M618" i="9"/>
  <c r="N617" i="9"/>
  <c r="R617" i="9" s="1"/>
  <c r="M617" i="9"/>
  <c r="N616" i="9"/>
  <c r="R616" i="9" s="1"/>
  <c r="M616" i="9"/>
  <c r="N615" i="9"/>
  <c r="R615" i="9" s="1"/>
  <c r="M615" i="9"/>
  <c r="N614" i="9"/>
  <c r="R614" i="9" s="1"/>
  <c r="M614" i="9"/>
  <c r="N613" i="9"/>
  <c r="R613" i="9" s="1"/>
  <c r="M613" i="9"/>
  <c r="N612" i="9"/>
  <c r="R612" i="9" s="1"/>
  <c r="M612" i="9"/>
  <c r="N611" i="9"/>
  <c r="R611" i="9" s="1"/>
  <c r="M611" i="9"/>
  <c r="M610" i="9"/>
  <c r="N610" i="9"/>
  <c r="R610" i="9" s="1"/>
  <c r="N609" i="9"/>
  <c r="R609" i="9" s="1"/>
  <c r="M609" i="9"/>
  <c r="N608" i="9"/>
  <c r="R608" i="9" s="1"/>
  <c r="M608" i="9"/>
  <c r="N607" i="9"/>
  <c r="R607" i="9" s="1"/>
  <c r="M607" i="9"/>
  <c r="N606" i="9"/>
  <c r="R606" i="9" s="1"/>
  <c r="M606" i="9"/>
  <c r="N605" i="9"/>
  <c r="R605" i="9" s="1"/>
  <c r="M605" i="9"/>
  <c r="M604" i="9"/>
  <c r="N604" i="9"/>
  <c r="R604" i="9" s="1"/>
  <c r="N603" i="9"/>
  <c r="R603" i="9" s="1"/>
  <c r="M603" i="9"/>
  <c r="M602" i="9"/>
  <c r="N602" i="9"/>
  <c r="R602" i="9" s="1"/>
  <c r="N601" i="9"/>
  <c r="R601" i="9" s="1"/>
  <c r="M601" i="9"/>
  <c r="N600" i="9"/>
  <c r="R600" i="9" s="1"/>
  <c r="M600" i="9"/>
  <c r="N599" i="9"/>
  <c r="R599" i="9" s="1"/>
  <c r="M599" i="9"/>
  <c r="N598" i="9"/>
  <c r="R598" i="9" s="1"/>
  <c r="M598" i="9"/>
  <c r="N597" i="9"/>
  <c r="R597" i="9" s="1"/>
  <c r="M597" i="9"/>
  <c r="M596" i="9"/>
  <c r="N596" i="9"/>
  <c r="R596" i="9" s="1"/>
  <c r="M595" i="9"/>
  <c r="N595" i="9"/>
  <c r="R595" i="9" s="1"/>
  <c r="N594" i="9"/>
  <c r="R594" i="9" s="1"/>
  <c r="M594" i="9"/>
  <c r="N593" i="9"/>
  <c r="R593" i="9" s="1"/>
  <c r="M593" i="9"/>
  <c r="N592" i="9"/>
  <c r="R592" i="9" s="1"/>
  <c r="M592" i="9"/>
  <c r="N591" i="9"/>
  <c r="R591" i="9" s="1"/>
  <c r="M591" i="9"/>
  <c r="N590" i="9"/>
  <c r="R590" i="9" s="1"/>
  <c r="M590" i="9"/>
  <c r="N589" i="9"/>
  <c r="R589" i="9" s="1"/>
  <c r="M589" i="9"/>
  <c r="N588" i="9"/>
  <c r="R588" i="9" s="1"/>
  <c r="M588" i="9"/>
  <c r="N587" i="9"/>
  <c r="R587" i="9" s="1"/>
  <c r="M587" i="9"/>
  <c r="N586" i="9"/>
  <c r="R586" i="9" s="1"/>
  <c r="M586" i="9"/>
  <c r="N585" i="9"/>
  <c r="R585" i="9" s="1"/>
  <c r="M585" i="9"/>
  <c r="N584" i="9"/>
  <c r="R584" i="9" s="1"/>
  <c r="M584" i="9"/>
  <c r="N583" i="9"/>
  <c r="R583" i="9" s="1"/>
  <c r="M583" i="9"/>
  <c r="N582" i="9"/>
  <c r="R582" i="9" s="1"/>
  <c r="M582" i="9"/>
  <c r="N581" i="9"/>
  <c r="R581" i="9" s="1"/>
  <c r="M581" i="9"/>
  <c r="N580" i="9"/>
  <c r="R580" i="9" s="1"/>
  <c r="M580" i="9"/>
  <c r="N579" i="9"/>
  <c r="R579" i="9" s="1"/>
  <c r="M579" i="9"/>
  <c r="N578" i="9"/>
  <c r="R578" i="9" s="1"/>
  <c r="M578" i="9"/>
  <c r="M577" i="9"/>
  <c r="N577" i="9"/>
  <c r="R577" i="9" s="1"/>
  <c r="N576" i="9"/>
  <c r="R576" i="9" s="1"/>
  <c r="M576" i="9"/>
  <c r="N575" i="9"/>
  <c r="R575" i="9" s="1"/>
  <c r="M575" i="9"/>
  <c r="N574" i="9"/>
  <c r="R574" i="9" s="1"/>
  <c r="M574" i="9"/>
  <c r="N573" i="9"/>
  <c r="R573" i="9" s="1"/>
  <c r="M573" i="9"/>
  <c r="N572" i="9"/>
  <c r="R572" i="9" s="1"/>
  <c r="M572" i="9"/>
  <c r="N571" i="9"/>
  <c r="R571" i="9" s="1"/>
  <c r="M571" i="9"/>
  <c r="M570" i="9"/>
  <c r="N570" i="9"/>
  <c r="R570" i="9" s="1"/>
  <c r="N569" i="9"/>
  <c r="R569" i="9" s="1"/>
  <c r="M569" i="9"/>
  <c r="N568" i="9"/>
  <c r="R568" i="9" s="1"/>
  <c r="M568" i="9"/>
  <c r="N567" i="9"/>
  <c r="R567" i="9" s="1"/>
  <c r="M567" i="9"/>
  <c r="N566" i="9"/>
  <c r="R566" i="9" s="1"/>
  <c r="M566" i="9"/>
  <c r="N565" i="9"/>
  <c r="R565" i="9" s="1"/>
  <c r="M565" i="9"/>
  <c r="N564" i="9"/>
  <c r="R564" i="9" s="1"/>
  <c r="M564" i="9"/>
  <c r="N563" i="9"/>
  <c r="R563" i="9" s="1"/>
  <c r="M563" i="9"/>
  <c r="N562" i="9"/>
  <c r="R562" i="9" s="1"/>
  <c r="M562" i="9"/>
  <c r="N561" i="9"/>
  <c r="R561" i="9" s="1"/>
  <c r="M561" i="9"/>
  <c r="N560" i="9"/>
  <c r="R560" i="9" s="1"/>
  <c r="M560" i="9"/>
  <c r="N559" i="9"/>
  <c r="R559" i="9" s="1"/>
  <c r="M559" i="9"/>
  <c r="N558" i="9"/>
  <c r="R558" i="9" s="1"/>
  <c r="M558" i="9"/>
  <c r="N557" i="9"/>
  <c r="R557" i="9" s="1"/>
  <c r="M557" i="9"/>
  <c r="N556" i="9"/>
  <c r="R556" i="9" s="1"/>
  <c r="M556" i="9"/>
  <c r="N555" i="9"/>
  <c r="R555" i="9" s="1"/>
  <c r="M555" i="9"/>
  <c r="N554" i="9"/>
  <c r="R554" i="9" s="1"/>
  <c r="M554" i="9"/>
  <c r="N553" i="9"/>
  <c r="R553" i="9" s="1"/>
  <c r="M553" i="9"/>
  <c r="N552" i="9"/>
  <c r="R552" i="9" s="1"/>
  <c r="M552" i="9"/>
  <c r="N551" i="9"/>
  <c r="R551" i="9" s="1"/>
  <c r="M551" i="9"/>
  <c r="N550" i="9"/>
  <c r="R550" i="9" s="1"/>
  <c r="M550" i="9"/>
  <c r="N549" i="9"/>
  <c r="R549" i="9" s="1"/>
  <c r="M549" i="9"/>
  <c r="N548" i="9"/>
  <c r="R548" i="9" s="1"/>
  <c r="M548" i="9"/>
  <c r="N547" i="9"/>
  <c r="R547" i="9" s="1"/>
  <c r="M547" i="9"/>
  <c r="N546" i="9"/>
  <c r="R546" i="9" s="1"/>
  <c r="M546" i="9"/>
  <c r="N545" i="9"/>
  <c r="R545" i="9" s="1"/>
  <c r="M545" i="9"/>
  <c r="N544" i="9"/>
  <c r="R544" i="9" s="1"/>
  <c r="M544" i="9"/>
  <c r="N543" i="9"/>
  <c r="R543" i="9" s="1"/>
  <c r="M543" i="9"/>
  <c r="N542" i="9"/>
  <c r="R542" i="9" s="1"/>
  <c r="M542" i="9"/>
  <c r="M541" i="9"/>
  <c r="N541" i="9"/>
  <c r="R541" i="9" s="1"/>
  <c r="N540" i="9"/>
  <c r="R540" i="9" s="1"/>
  <c r="M540" i="9"/>
  <c r="N539" i="9"/>
  <c r="R539" i="9" s="1"/>
  <c r="M539" i="9"/>
  <c r="N538" i="9"/>
  <c r="R538" i="9" s="1"/>
  <c r="M538" i="9"/>
  <c r="M537" i="9"/>
  <c r="N537" i="9"/>
  <c r="R537" i="9" s="1"/>
  <c r="N536" i="9"/>
  <c r="R536" i="9" s="1"/>
  <c r="M536" i="9"/>
  <c r="N535" i="9"/>
  <c r="R535" i="9" s="1"/>
  <c r="M535" i="9"/>
  <c r="N534" i="9"/>
  <c r="R534" i="9" s="1"/>
  <c r="M534" i="9"/>
  <c r="N533" i="9"/>
  <c r="R533" i="9" s="1"/>
  <c r="M533" i="9"/>
  <c r="N532" i="9"/>
  <c r="R532" i="9" s="1"/>
  <c r="M532" i="9"/>
  <c r="N531" i="9"/>
  <c r="R531" i="9" s="1"/>
  <c r="M531" i="9"/>
  <c r="N530" i="9"/>
  <c r="R530" i="9" s="1"/>
  <c r="M530" i="9"/>
  <c r="N529" i="9"/>
  <c r="R529" i="9" s="1"/>
  <c r="M529" i="9"/>
  <c r="N528" i="9"/>
  <c r="R528" i="9" s="1"/>
  <c r="M528" i="9"/>
  <c r="N527" i="9"/>
  <c r="R527" i="9" s="1"/>
  <c r="M527" i="9"/>
  <c r="N526" i="9"/>
  <c r="R526" i="9" s="1"/>
  <c r="M526" i="9"/>
  <c r="M525" i="9"/>
  <c r="N525" i="9"/>
  <c r="R525" i="9" s="1"/>
  <c r="N524" i="9"/>
  <c r="R524" i="9" s="1"/>
  <c r="M524" i="9"/>
  <c r="N523" i="9"/>
  <c r="R523" i="9" s="1"/>
  <c r="M523" i="9"/>
  <c r="N522" i="9"/>
  <c r="R522" i="9" s="1"/>
  <c r="M522" i="9"/>
  <c r="N521" i="9"/>
  <c r="R521" i="9" s="1"/>
  <c r="M521" i="9"/>
  <c r="N520" i="9"/>
  <c r="R520" i="9" s="1"/>
  <c r="M520" i="9"/>
  <c r="N519" i="9"/>
  <c r="R519" i="9" s="1"/>
  <c r="M519" i="9"/>
  <c r="N518" i="9"/>
  <c r="R518" i="9" s="1"/>
  <c r="M518" i="9"/>
  <c r="N517" i="9"/>
  <c r="R517" i="9" s="1"/>
  <c r="M517" i="9"/>
  <c r="N516" i="9"/>
  <c r="R516" i="9" s="1"/>
  <c r="M516" i="9"/>
  <c r="N515" i="9"/>
  <c r="R515" i="9" s="1"/>
  <c r="M515" i="9"/>
  <c r="N514" i="9"/>
  <c r="R514" i="9" s="1"/>
  <c r="M514" i="9"/>
  <c r="N513" i="9"/>
  <c r="R513" i="9" s="1"/>
  <c r="M513" i="9"/>
  <c r="N512" i="9"/>
  <c r="R512" i="9" s="1"/>
  <c r="M512" i="9"/>
  <c r="N511" i="9"/>
  <c r="R511" i="9" s="1"/>
  <c r="M511" i="9"/>
  <c r="N510" i="9"/>
  <c r="R510" i="9" s="1"/>
  <c r="M510" i="9"/>
  <c r="N509" i="9"/>
  <c r="R509" i="9" s="1"/>
  <c r="M509" i="9"/>
  <c r="N508" i="9"/>
  <c r="R508" i="9" s="1"/>
  <c r="M508" i="9"/>
  <c r="N507" i="9"/>
  <c r="R507" i="9" s="1"/>
  <c r="M507" i="9"/>
  <c r="N506" i="9"/>
  <c r="R506" i="9" s="1"/>
  <c r="M506" i="9"/>
  <c r="N505" i="9"/>
  <c r="R505" i="9" s="1"/>
  <c r="M505" i="9"/>
  <c r="N504" i="9"/>
  <c r="R504" i="9" s="1"/>
  <c r="M504" i="9"/>
  <c r="N503" i="9"/>
  <c r="R503" i="9" s="1"/>
  <c r="M503" i="9"/>
  <c r="N502" i="9"/>
  <c r="R502" i="9" s="1"/>
  <c r="M502" i="9"/>
  <c r="N501" i="9"/>
  <c r="R501" i="9" s="1"/>
  <c r="M501" i="9"/>
  <c r="N500" i="9"/>
  <c r="R500" i="9" s="1"/>
  <c r="M500" i="9"/>
  <c r="N499" i="9"/>
  <c r="R499" i="9" s="1"/>
  <c r="M499" i="9"/>
  <c r="N498" i="9"/>
  <c r="R498" i="9" s="1"/>
  <c r="M498" i="9"/>
  <c r="N497" i="9"/>
  <c r="R497" i="9" s="1"/>
  <c r="M497" i="9"/>
  <c r="N496" i="9"/>
  <c r="R496" i="9" s="1"/>
  <c r="M496" i="9"/>
  <c r="N495" i="9"/>
  <c r="R495" i="9" s="1"/>
  <c r="M495" i="9"/>
  <c r="N494" i="9"/>
  <c r="R494" i="9" s="1"/>
  <c r="M494" i="9"/>
  <c r="N493" i="9"/>
  <c r="R493" i="9" s="1"/>
  <c r="M493" i="9"/>
  <c r="N492" i="9"/>
  <c r="R492" i="9" s="1"/>
  <c r="M492" i="9"/>
  <c r="N491" i="9"/>
  <c r="R491" i="9" s="1"/>
  <c r="M491" i="9"/>
  <c r="N490" i="9"/>
  <c r="R490" i="9" s="1"/>
  <c r="M490" i="9"/>
  <c r="N489" i="9"/>
  <c r="R489" i="9" s="1"/>
  <c r="M489" i="9"/>
  <c r="M488" i="9"/>
  <c r="N488" i="9"/>
  <c r="R488" i="9" s="1"/>
  <c r="N487" i="9"/>
  <c r="R487" i="9" s="1"/>
  <c r="M487" i="9"/>
  <c r="N486" i="9"/>
  <c r="R486" i="9" s="1"/>
  <c r="M486" i="9"/>
  <c r="N485" i="9"/>
  <c r="R485" i="9" s="1"/>
  <c r="M485" i="9"/>
  <c r="N484" i="9"/>
  <c r="R484" i="9" s="1"/>
  <c r="M484" i="9"/>
  <c r="N483" i="9"/>
  <c r="R483" i="9" s="1"/>
  <c r="M483" i="9"/>
  <c r="N482" i="9"/>
  <c r="R482" i="9" s="1"/>
  <c r="M482" i="9"/>
  <c r="M481" i="9"/>
  <c r="N481" i="9"/>
  <c r="R481" i="9" s="1"/>
  <c r="N480" i="9"/>
  <c r="R480" i="9" s="1"/>
  <c r="M480" i="9"/>
  <c r="N479" i="9"/>
  <c r="R479" i="9" s="1"/>
  <c r="M479" i="9"/>
  <c r="N478" i="9"/>
  <c r="R478" i="9" s="1"/>
  <c r="M478" i="9"/>
  <c r="N477" i="9"/>
  <c r="R477" i="9" s="1"/>
  <c r="M477" i="9"/>
  <c r="N476" i="9"/>
  <c r="R476" i="9" s="1"/>
  <c r="M476" i="9"/>
  <c r="N475" i="9"/>
  <c r="R475" i="9" s="1"/>
  <c r="M475" i="9"/>
  <c r="N474" i="9"/>
  <c r="R474" i="9" s="1"/>
  <c r="M474" i="9"/>
  <c r="N473" i="9"/>
  <c r="R473" i="9" s="1"/>
  <c r="M473" i="9"/>
  <c r="N472" i="9"/>
  <c r="R472" i="9" s="1"/>
  <c r="M472" i="9"/>
  <c r="N471" i="9"/>
  <c r="R471" i="9" s="1"/>
  <c r="M471" i="9"/>
  <c r="N470" i="9"/>
  <c r="R470" i="9" s="1"/>
  <c r="M470" i="9"/>
  <c r="N469" i="9"/>
  <c r="R469" i="9" s="1"/>
  <c r="M469" i="9"/>
  <c r="N468" i="9"/>
  <c r="R468" i="9" s="1"/>
  <c r="M468" i="9"/>
  <c r="N467" i="9"/>
  <c r="R467" i="9" s="1"/>
  <c r="M467" i="9"/>
  <c r="N466" i="9"/>
  <c r="R466" i="9" s="1"/>
  <c r="M466" i="9"/>
  <c r="N465" i="9"/>
  <c r="R465" i="9" s="1"/>
  <c r="M465" i="9"/>
  <c r="N464" i="9"/>
  <c r="R464" i="9" s="1"/>
  <c r="M464" i="9"/>
  <c r="M463" i="9"/>
  <c r="N463" i="9"/>
  <c r="R463" i="9" s="1"/>
  <c r="N462" i="9"/>
  <c r="R462" i="9" s="1"/>
  <c r="M462" i="9"/>
  <c r="N461" i="9"/>
  <c r="R461" i="9" s="1"/>
  <c r="M461" i="9"/>
  <c r="N460" i="9"/>
  <c r="R460" i="9" s="1"/>
  <c r="M460" i="9"/>
  <c r="N459" i="9"/>
  <c r="R459" i="9" s="1"/>
  <c r="M459" i="9"/>
  <c r="N458" i="9"/>
  <c r="R458" i="9" s="1"/>
  <c r="M458" i="9"/>
  <c r="M457" i="9"/>
  <c r="N457" i="9"/>
  <c r="R457" i="9" s="1"/>
  <c r="N456" i="9"/>
  <c r="R456" i="9" s="1"/>
  <c r="M456" i="9"/>
  <c r="N455" i="9"/>
  <c r="R455" i="9" s="1"/>
  <c r="M455" i="9"/>
  <c r="N454" i="9"/>
  <c r="R454" i="9" s="1"/>
  <c r="M454" i="9"/>
  <c r="N453" i="9"/>
  <c r="R453" i="9" s="1"/>
  <c r="M453" i="9"/>
  <c r="N452" i="9"/>
  <c r="R452" i="9" s="1"/>
  <c r="M452" i="9"/>
  <c r="N451" i="9"/>
  <c r="R451" i="9" s="1"/>
  <c r="M451" i="9"/>
  <c r="M450" i="9"/>
  <c r="N450" i="9"/>
  <c r="R450" i="9" s="1"/>
  <c r="M449" i="9"/>
  <c r="N449" i="9"/>
  <c r="R449" i="9" s="1"/>
  <c r="N448" i="9"/>
  <c r="R448" i="9" s="1"/>
  <c r="M448" i="9"/>
  <c r="N447" i="9"/>
  <c r="R447" i="9" s="1"/>
  <c r="M447" i="9"/>
  <c r="N446" i="9"/>
  <c r="R446" i="9" s="1"/>
  <c r="M446" i="9"/>
  <c r="N445" i="9"/>
  <c r="R445" i="9" s="1"/>
  <c r="M445" i="9"/>
  <c r="N444" i="9"/>
  <c r="R444" i="9" s="1"/>
  <c r="M444" i="9"/>
  <c r="N443" i="9"/>
  <c r="R443" i="9" s="1"/>
  <c r="M443" i="9"/>
  <c r="N442" i="9"/>
  <c r="R442" i="9" s="1"/>
  <c r="M442" i="9"/>
  <c r="N441" i="9"/>
  <c r="R441" i="9" s="1"/>
  <c r="M441" i="9"/>
  <c r="N440" i="9"/>
  <c r="R440" i="9" s="1"/>
  <c r="M440" i="9"/>
  <c r="N439" i="9"/>
  <c r="R439" i="9" s="1"/>
  <c r="M439" i="9"/>
  <c r="N438" i="9"/>
  <c r="R438" i="9" s="1"/>
  <c r="M438" i="9"/>
  <c r="N437" i="9"/>
  <c r="R437" i="9" s="1"/>
  <c r="M437" i="9"/>
  <c r="N436" i="9"/>
  <c r="R436" i="9" s="1"/>
  <c r="M436" i="9"/>
  <c r="N435" i="9"/>
  <c r="R435" i="9" s="1"/>
  <c r="M435" i="9"/>
  <c r="N434" i="9"/>
  <c r="R434" i="9" s="1"/>
  <c r="M434" i="9"/>
  <c r="N433" i="9"/>
  <c r="R433" i="9" s="1"/>
  <c r="M433" i="9"/>
  <c r="N432" i="9"/>
  <c r="R432" i="9" s="1"/>
  <c r="M432" i="9"/>
  <c r="N431" i="9"/>
  <c r="R431" i="9" s="1"/>
  <c r="M431" i="9"/>
  <c r="N430" i="9"/>
  <c r="R430" i="9" s="1"/>
  <c r="M430" i="9"/>
  <c r="N429" i="9"/>
  <c r="R429" i="9" s="1"/>
  <c r="M429" i="9"/>
  <c r="M428" i="9"/>
  <c r="N428" i="9"/>
  <c r="R428" i="9" s="1"/>
  <c r="M427" i="9"/>
  <c r="N427" i="9"/>
  <c r="R427" i="9" s="1"/>
  <c r="M426" i="9"/>
  <c r="N426" i="9"/>
  <c r="R426" i="9" s="1"/>
  <c r="M425" i="9"/>
  <c r="N425" i="9"/>
  <c r="R425" i="9" s="1"/>
  <c r="N424" i="9"/>
  <c r="R424" i="9" s="1"/>
  <c r="M424" i="9"/>
  <c r="M423" i="9"/>
  <c r="N423" i="9"/>
  <c r="R423" i="9" s="1"/>
  <c r="N422" i="9"/>
  <c r="R422" i="9" s="1"/>
  <c r="M422" i="9"/>
  <c r="M421" i="9"/>
  <c r="N421" i="9"/>
  <c r="R421" i="9" s="1"/>
  <c r="M420" i="9"/>
  <c r="N420" i="9"/>
  <c r="R420" i="9" s="1"/>
  <c r="M419" i="9"/>
  <c r="N419" i="9"/>
  <c r="R419" i="9" s="1"/>
  <c r="M418" i="9"/>
  <c r="N418" i="9"/>
  <c r="R418" i="9" s="1"/>
  <c r="M417" i="9"/>
  <c r="N417" i="9"/>
  <c r="R417" i="9" s="1"/>
  <c r="M416" i="9"/>
  <c r="N416" i="9"/>
  <c r="R416" i="9" s="1"/>
  <c r="M415" i="9"/>
  <c r="N415" i="9"/>
  <c r="R415" i="9" s="1"/>
  <c r="N414" i="9"/>
  <c r="R414" i="9" s="1"/>
  <c r="M414" i="9"/>
  <c r="M413" i="9"/>
  <c r="N413" i="9"/>
  <c r="R413" i="9" s="1"/>
  <c r="M412" i="9"/>
  <c r="N412" i="9"/>
  <c r="R412" i="9" s="1"/>
  <c r="N411" i="9"/>
  <c r="R411" i="9" s="1"/>
  <c r="M411" i="9"/>
  <c r="N410" i="9"/>
  <c r="R410" i="9" s="1"/>
  <c r="M410" i="9"/>
  <c r="M409" i="9"/>
  <c r="N409" i="9"/>
  <c r="R409" i="9" s="1"/>
  <c r="N408" i="9"/>
  <c r="R408" i="9" s="1"/>
  <c r="M408" i="9"/>
  <c r="N407" i="9"/>
  <c r="R407" i="9" s="1"/>
  <c r="M407" i="9"/>
  <c r="N406" i="9"/>
  <c r="R406" i="9" s="1"/>
  <c r="M406" i="9"/>
  <c r="N405" i="9"/>
  <c r="R405" i="9" s="1"/>
  <c r="M405" i="9"/>
  <c r="N404" i="9"/>
  <c r="R404" i="9" s="1"/>
  <c r="M404" i="9"/>
  <c r="N403" i="9"/>
  <c r="R403" i="9" s="1"/>
  <c r="M403" i="9"/>
  <c r="N402" i="9"/>
  <c r="R402" i="9" s="1"/>
  <c r="M402" i="9"/>
  <c r="N401" i="9"/>
  <c r="R401" i="9" s="1"/>
  <c r="M401" i="9"/>
  <c r="M400" i="9"/>
  <c r="N400" i="9"/>
  <c r="R400" i="9" s="1"/>
  <c r="M399" i="9"/>
  <c r="N399" i="9"/>
  <c r="R399" i="9" s="1"/>
  <c r="M398" i="9"/>
  <c r="N398" i="9"/>
  <c r="R398" i="9" s="1"/>
  <c r="N397" i="9"/>
  <c r="R397" i="9" s="1"/>
  <c r="M397" i="9"/>
  <c r="N396" i="9"/>
  <c r="R396" i="9" s="1"/>
  <c r="M396" i="9"/>
  <c r="M395" i="9"/>
  <c r="N395" i="9"/>
  <c r="R395" i="9" s="1"/>
  <c r="N394" i="9"/>
  <c r="R394" i="9" s="1"/>
  <c r="M394" i="9"/>
  <c r="M393" i="9"/>
  <c r="N393" i="9"/>
  <c r="R393" i="9" s="1"/>
  <c r="M392" i="9"/>
  <c r="N392" i="9"/>
  <c r="R392" i="9" s="1"/>
  <c r="M391" i="9"/>
  <c r="N391" i="9"/>
  <c r="R391" i="9" s="1"/>
  <c r="M390" i="9"/>
  <c r="N390" i="9"/>
  <c r="R390" i="9" s="1"/>
  <c r="M389" i="9"/>
  <c r="N389" i="9"/>
  <c r="R389" i="9" s="1"/>
  <c r="M388" i="9"/>
  <c r="N388" i="9"/>
  <c r="R388" i="9" s="1"/>
  <c r="N387" i="9"/>
  <c r="R387" i="9" s="1"/>
  <c r="M387" i="9"/>
  <c r="N386" i="9"/>
  <c r="R386" i="9" s="1"/>
  <c r="M386" i="9"/>
  <c r="N385" i="9"/>
  <c r="R385" i="9" s="1"/>
  <c r="M385" i="9"/>
  <c r="M384" i="9"/>
  <c r="N384" i="9"/>
  <c r="R384" i="9" s="1"/>
  <c r="N383" i="9"/>
  <c r="R383" i="9" s="1"/>
  <c r="M383" i="9"/>
  <c r="N382" i="9"/>
  <c r="R382" i="9" s="1"/>
  <c r="M382" i="9"/>
  <c r="N381" i="9"/>
  <c r="R381" i="9" s="1"/>
  <c r="M381" i="9"/>
  <c r="N380" i="9"/>
  <c r="R380" i="9" s="1"/>
  <c r="M380" i="9"/>
  <c r="N379" i="9"/>
  <c r="R379" i="9" s="1"/>
  <c r="M379" i="9"/>
  <c r="N378" i="9"/>
  <c r="R378" i="9" s="1"/>
  <c r="M378" i="9"/>
  <c r="N377" i="9"/>
  <c r="R377" i="9" s="1"/>
  <c r="M377" i="9"/>
  <c r="N376" i="9"/>
  <c r="R376" i="9" s="1"/>
  <c r="M376" i="9"/>
  <c r="N375" i="9"/>
  <c r="R375" i="9" s="1"/>
  <c r="M375" i="9"/>
  <c r="N374" i="9"/>
  <c r="R374" i="9" s="1"/>
  <c r="M374" i="9"/>
  <c r="N373" i="9"/>
  <c r="R373" i="9" s="1"/>
  <c r="M373" i="9"/>
  <c r="N372" i="9"/>
  <c r="R372" i="9" s="1"/>
  <c r="M372" i="9"/>
  <c r="M371" i="9"/>
  <c r="N371" i="9"/>
  <c r="R371" i="9" s="1"/>
  <c r="M370" i="9"/>
  <c r="N370" i="9"/>
  <c r="R370" i="9" s="1"/>
  <c r="N369" i="9"/>
  <c r="R369" i="9" s="1"/>
  <c r="M369" i="9"/>
  <c r="N368" i="9"/>
  <c r="R368" i="9" s="1"/>
  <c r="M368" i="9"/>
  <c r="M367" i="9"/>
  <c r="N367" i="9"/>
  <c r="R367" i="9" s="1"/>
  <c r="M366" i="9"/>
  <c r="N366" i="9"/>
  <c r="R366" i="9" s="1"/>
  <c r="N365" i="9"/>
  <c r="R365" i="9" s="1"/>
  <c r="M365" i="9"/>
  <c r="M364" i="9"/>
  <c r="N364" i="9"/>
  <c r="R364" i="9" s="1"/>
  <c r="M363" i="9"/>
  <c r="N363" i="9"/>
  <c r="R363" i="9" s="1"/>
  <c r="M362" i="9"/>
  <c r="N362" i="9"/>
  <c r="R362" i="9" s="1"/>
  <c r="M361" i="9"/>
  <c r="N361" i="9"/>
  <c r="R361" i="9" s="1"/>
  <c r="M360" i="9"/>
  <c r="N360" i="9"/>
  <c r="R360" i="9" s="1"/>
  <c r="N359" i="9"/>
  <c r="R359" i="9" s="1"/>
  <c r="M359" i="9"/>
  <c r="N358" i="9"/>
  <c r="R358" i="9" s="1"/>
  <c r="M358" i="9"/>
  <c r="N357" i="9"/>
  <c r="R357" i="9" s="1"/>
  <c r="M357" i="9"/>
  <c r="M356" i="9"/>
  <c r="N356" i="9"/>
  <c r="R356" i="9" s="1"/>
  <c r="N355" i="9"/>
  <c r="R355" i="9" s="1"/>
  <c r="M355" i="9"/>
  <c r="N354" i="9"/>
  <c r="R354" i="9" s="1"/>
  <c r="M354" i="9"/>
  <c r="N353" i="9"/>
  <c r="R353" i="9" s="1"/>
  <c r="M353" i="9"/>
  <c r="N352" i="9"/>
  <c r="R352" i="9" s="1"/>
  <c r="M352" i="9"/>
  <c r="N351" i="9"/>
  <c r="R351" i="9" s="1"/>
  <c r="M351" i="9"/>
  <c r="N350" i="9"/>
  <c r="R350" i="9" s="1"/>
  <c r="M350" i="9"/>
  <c r="M349" i="9"/>
  <c r="N349" i="9"/>
  <c r="R349" i="9" s="1"/>
  <c r="M348" i="9"/>
  <c r="N348" i="9"/>
  <c r="R348" i="9" s="1"/>
  <c r="N347" i="9"/>
  <c r="R347" i="9" s="1"/>
  <c r="M347" i="9"/>
  <c r="N346" i="9"/>
  <c r="R346" i="9" s="1"/>
  <c r="M346" i="9"/>
  <c r="M345" i="9"/>
  <c r="N345" i="9"/>
  <c r="R345" i="9" s="1"/>
  <c r="M344" i="9"/>
  <c r="N344" i="9"/>
  <c r="R344" i="9" s="1"/>
  <c r="M343" i="9"/>
  <c r="N343" i="9"/>
  <c r="R343" i="9" s="1"/>
  <c r="M342" i="9"/>
  <c r="N342" i="9"/>
  <c r="R342" i="9" s="1"/>
  <c r="M341" i="9"/>
  <c r="N341" i="9"/>
  <c r="R341" i="9" s="1"/>
  <c r="M340" i="9"/>
  <c r="N340" i="9"/>
  <c r="R340" i="9" s="1"/>
  <c r="M339" i="9"/>
  <c r="N339" i="9"/>
  <c r="R339" i="9" s="1"/>
  <c r="N338" i="9"/>
  <c r="R338" i="9" s="1"/>
  <c r="M338" i="9"/>
  <c r="N337" i="9"/>
  <c r="R337" i="9" s="1"/>
  <c r="M337" i="9"/>
  <c r="M336" i="9"/>
  <c r="N336" i="9"/>
  <c r="R336" i="9" s="1"/>
  <c r="M335" i="9"/>
  <c r="N335" i="9"/>
  <c r="R335" i="9" s="1"/>
  <c r="M334" i="9"/>
  <c r="N334" i="9"/>
  <c r="R334" i="9" s="1"/>
  <c r="M333" i="9"/>
  <c r="N333" i="9"/>
  <c r="R333" i="9" s="1"/>
  <c r="N332" i="9"/>
  <c r="R332" i="9" s="1"/>
  <c r="M332" i="9"/>
  <c r="M331" i="9"/>
  <c r="N331" i="9"/>
  <c r="R331" i="9" s="1"/>
  <c r="N330" i="9"/>
  <c r="R330" i="9" s="1"/>
  <c r="M330" i="9"/>
  <c r="N329" i="9"/>
  <c r="R329" i="9" s="1"/>
  <c r="M329" i="9"/>
  <c r="N328" i="9"/>
  <c r="R328" i="9" s="1"/>
  <c r="M328" i="9"/>
  <c r="N327" i="9"/>
  <c r="R327" i="9" s="1"/>
  <c r="M327" i="9"/>
  <c r="M326" i="9"/>
  <c r="N326" i="9"/>
  <c r="R326" i="9" s="1"/>
  <c r="M325" i="9"/>
  <c r="N325" i="9"/>
  <c r="R325" i="9" s="1"/>
  <c r="N324" i="9"/>
  <c r="R324" i="9" s="1"/>
  <c r="M324" i="9"/>
  <c r="N323" i="9"/>
  <c r="R323" i="9" s="1"/>
  <c r="M323" i="9"/>
  <c r="M322" i="9"/>
  <c r="N322" i="9"/>
  <c r="R322" i="9" s="1"/>
  <c r="M321" i="9"/>
  <c r="N321" i="9"/>
  <c r="R321" i="9" s="1"/>
  <c r="N320" i="9"/>
  <c r="R320" i="9" s="1"/>
  <c r="M320" i="9"/>
  <c r="N319" i="9"/>
  <c r="R319" i="9" s="1"/>
  <c r="M319" i="9"/>
  <c r="M318" i="9"/>
  <c r="N318" i="9"/>
  <c r="R318" i="9" s="1"/>
  <c r="M317" i="9"/>
  <c r="N317" i="9"/>
  <c r="R317" i="9" s="1"/>
  <c r="N316" i="9"/>
  <c r="R316" i="9" s="1"/>
  <c r="M316" i="9"/>
  <c r="N315" i="9"/>
  <c r="R315" i="9" s="1"/>
  <c r="M315" i="9"/>
  <c r="M314" i="9"/>
  <c r="N314" i="9"/>
  <c r="R314" i="9" s="1"/>
  <c r="M313" i="9"/>
  <c r="N313" i="9"/>
  <c r="R313" i="9" s="1"/>
  <c r="M312" i="9"/>
  <c r="N312" i="9"/>
  <c r="R312" i="9" s="1"/>
  <c r="M311" i="9"/>
  <c r="N311" i="9"/>
  <c r="R311" i="9" s="1"/>
  <c r="M310" i="9"/>
  <c r="N310" i="9"/>
  <c r="R310" i="9" s="1"/>
  <c r="N309" i="9"/>
  <c r="R309" i="9" s="1"/>
  <c r="M309" i="9"/>
  <c r="N308" i="9"/>
  <c r="R308" i="9" s="1"/>
  <c r="M308" i="9"/>
  <c r="N307" i="9"/>
  <c r="R307" i="9" s="1"/>
  <c r="M307" i="9"/>
  <c r="N306" i="9"/>
  <c r="R306" i="9" s="1"/>
  <c r="M306" i="9"/>
  <c r="N305" i="9"/>
  <c r="R305" i="9" s="1"/>
  <c r="M305" i="9"/>
  <c r="M304" i="9"/>
  <c r="N304" i="9"/>
  <c r="R304" i="9" s="1"/>
  <c r="N303" i="9"/>
  <c r="R303" i="9" s="1"/>
  <c r="M303" i="9"/>
  <c r="N302" i="9"/>
  <c r="R302" i="9" s="1"/>
  <c r="M302" i="9"/>
  <c r="M301" i="9"/>
  <c r="N301" i="9"/>
  <c r="R301" i="9" s="1"/>
  <c r="N300" i="9"/>
  <c r="R300" i="9" s="1"/>
  <c r="M300" i="9"/>
  <c r="M299" i="9"/>
  <c r="N299" i="9"/>
  <c r="R299" i="9" s="1"/>
  <c r="N298" i="9"/>
  <c r="R298" i="9" s="1"/>
  <c r="M298" i="9"/>
  <c r="N297" i="9"/>
  <c r="R297" i="9" s="1"/>
  <c r="M297" i="9"/>
  <c r="N296" i="9"/>
  <c r="R296" i="9" s="1"/>
  <c r="M296" i="9"/>
  <c r="M295" i="9"/>
  <c r="N295" i="9"/>
  <c r="R295" i="9" s="1"/>
  <c r="M294" i="9"/>
  <c r="N294" i="9"/>
  <c r="R294" i="9" s="1"/>
  <c r="M293" i="9"/>
  <c r="N293" i="9"/>
  <c r="R293" i="9" s="1"/>
  <c r="M292" i="9"/>
  <c r="N292" i="9"/>
  <c r="R292" i="9" s="1"/>
  <c r="N291" i="9"/>
  <c r="R291" i="9" s="1"/>
  <c r="M291" i="9"/>
  <c r="N290" i="9"/>
  <c r="R290" i="9" s="1"/>
  <c r="M290" i="9"/>
  <c r="M289" i="9"/>
  <c r="N289" i="9"/>
  <c r="R289" i="9" s="1"/>
  <c r="N288" i="9"/>
  <c r="R288" i="9" s="1"/>
  <c r="M288" i="9"/>
  <c r="N287" i="9"/>
  <c r="R287" i="9" s="1"/>
  <c r="M287" i="9"/>
  <c r="N286" i="9"/>
  <c r="R286" i="9" s="1"/>
  <c r="M286" i="9"/>
  <c r="N285" i="9"/>
  <c r="R285" i="9" s="1"/>
  <c r="M285" i="9"/>
  <c r="N284" i="9"/>
  <c r="R284" i="9" s="1"/>
  <c r="M284" i="9"/>
  <c r="N283" i="9"/>
  <c r="R283" i="9" s="1"/>
  <c r="M283" i="9"/>
  <c r="M282" i="9"/>
  <c r="N282" i="9"/>
  <c r="R282" i="9" s="1"/>
  <c r="M281" i="9"/>
  <c r="N281" i="9"/>
  <c r="R281" i="9" s="1"/>
  <c r="M280" i="9"/>
  <c r="N280" i="9"/>
  <c r="R280" i="9" s="1"/>
  <c r="N279" i="9"/>
  <c r="R279" i="9" s="1"/>
  <c r="M279" i="9"/>
  <c r="M278" i="9"/>
  <c r="N278" i="9"/>
  <c r="R278" i="9" s="1"/>
  <c r="M277" i="9"/>
  <c r="N277" i="9"/>
  <c r="R277" i="9" s="1"/>
  <c r="M276" i="9"/>
  <c r="N276" i="9"/>
  <c r="R276" i="9" s="1"/>
  <c r="N275" i="9"/>
  <c r="R275" i="9" s="1"/>
  <c r="M275" i="9"/>
  <c r="M274" i="9"/>
  <c r="N274" i="9"/>
  <c r="R274" i="9" s="1"/>
  <c r="N273" i="9"/>
  <c r="R273" i="9" s="1"/>
  <c r="M273" i="9"/>
  <c r="M272" i="9"/>
  <c r="N272" i="9"/>
  <c r="R272" i="9" s="1"/>
  <c r="M271" i="9"/>
  <c r="N271" i="9"/>
  <c r="R271" i="9" s="1"/>
  <c r="N270" i="9"/>
  <c r="R270" i="9" s="1"/>
  <c r="M270" i="9"/>
  <c r="N269" i="9"/>
  <c r="R269" i="9" s="1"/>
  <c r="M269" i="9"/>
  <c r="N268" i="9"/>
  <c r="R268" i="9" s="1"/>
  <c r="M268" i="9"/>
  <c r="N267" i="9"/>
  <c r="R267" i="9" s="1"/>
  <c r="M267" i="9"/>
  <c r="M266" i="9"/>
  <c r="N266" i="9"/>
  <c r="R266" i="9" s="1"/>
  <c r="M265" i="9"/>
  <c r="N265" i="9"/>
  <c r="R265" i="9" s="1"/>
  <c r="N264" i="9"/>
  <c r="R264" i="9" s="1"/>
  <c r="M264" i="9"/>
  <c r="N263" i="9"/>
  <c r="R263" i="9" s="1"/>
  <c r="M263" i="9"/>
  <c r="M262" i="9"/>
  <c r="N262" i="9"/>
  <c r="R262" i="9" s="1"/>
  <c r="N261" i="9"/>
  <c r="R261" i="9" s="1"/>
  <c r="M261" i="9"/>
  <c r="M260" i="9"/>
  <c r="N260" i="9"/>
  <c r="R260" i="9" s="1"/>
  <c r="M259" i="9"/>
  <c r="N259" i="9"/>
  <c r="R259" i="9" s="1"/>
  <c r="N258" i="9"/>
  <c r="R258" i="9" s="1"/>
  <c r="M258" i="9"/>
  <c r="N257" i="9"/>
  <c r="R257" i="9" s="1"/>
  <c r="M257" i="9"/>
  <c r="M256" i="9"/>
  <c r="N256" i="9"/>
  <c r="R256" i="9" s="1"/>
  <c r="N255" i="9"/>
  <c r="R255" i="9" s="1"/>
  <c r="M255" i="9"/>
  <c r="N254" i="9"/>
  <c r="R254" i="9" s="1"/>
  <c r="M254" i="9"/>
  <c r="N253" i="9"/>
  <c r="R253" i="9" s="1"/>
  <c r="M253" i="9"/>
  <c r="N252" i="9"/>
  <c r="R252" i="9" s="1"/>
  <c r="M252" i="9"/>
  <c r="N251" i="9"/>
  <c r="R251" i="9" s="1"/>
  <c r="M251" i="9"/>
  <c r="N250" i="9"/>
  <c r="R250" i="9" s="1"/>
  <c r="M250" i="9"/>
  <c r="N249" i="9"/>
  <c r="R249" i="9" s="1"/>
  <c r="M249" i="9"/>
  <c r="N248" i="9"/>
  <c r="R248" i="9" s="1"/>
  <c r="M248" i="9"/>
  <c r="N247" i="9"/>
  <c r="R247" i="9" s="1"/>
  <c r="M247" i="9"/>
  <c r="N246" i="9"/>
  <c r="R246" i="9" s="1"/>
  <c r="M246" i="9"/>
  <c r="M245" i="9"/>
  <c r="N245" i="9"/>
  <c r="R245" i="9" s="1"/>
  <c r="M244" i="9"/>
  <c r="N244" i="9"/>
  <c r="R244" i="9" s="1"/>
  <c r="N243" i="9"/>
  <c r="R243" i="9" s="1"/>
  <c r="M243" i="9"/>
  <c r="N242" i="9"/>
  <c r="R242" i="9" s="1"/>
  <c r="M242" i="9"/>
  <c r="N241" i="9"/>
  <c r="R241" i="9" s="1"/>
  <c r="M241" i="9"/>
  <c r="N240" i="9"/>
  <c r="R240" i="9" s="1"/>
  <c r="M240" i="9"/>
  <c r="N239" i="9"/>
  <c r="R239" i="9" s="1"/>
  <c r="M239" i="9"/>
  <c r="N238" i="9"/>
  <c r="R238" i="9" s="1"/>
  <c r="M238" i="9"/>
  <c r="N237" i="9"/>
  <c r="R237" i="9" s="1"/>
  <c r="M237" i="9"/>
  <c r="M236" i="9"/>
  <c r="N236" i="9"/>
  <c r="R236" i="9" s="1"/>
  <c r="N235" i="9"/>
  <c r="R235" i="9" s="1"/>
  <c r="M235" i="9"/>
  <c r="M234" i="9"/>
  <c r="N234" i="9"/>
  <c r="R234" i="9" s="1"/>
  <c r="M233" i="9"/>
  <c r="N233" i="9"/>
  <c r="R233" i="9" s="1"/>
  <c r="M232" i="9"/>
  <c r="N232" i="9"/>
  <c r="R232" i="9" s="1"/>
  <c r="N231" i="9"/>
  <c r="R231" i="9" s="1"/>
  <c r="M231" i="9"/>
  <c r="N230" i="9"/>
  <c r="R230" i="9" s="1"/>
  <c r="M230" i="9"/>
  <c r="M229" i="9"/>
  <c r="N229" i="9"/>
  <c r="R229" i="9" s="1"/>
  <c r="M228" i="9"/>
  <c r="N228" i="9"/>
  <c r="R228" i="9" s="1"/>
  <c r="N227" i="9"/>
  <c r="R227" i="9" s="1"/>
  <c r="M227" i="9"/>
  <c r="N226" i="9"/>
  <c r="R226" i="9" s="1"/>
  <c r="M226" i="9"/>
  <c r="N225" i="9"/>
  <c r="R225" i="9" s="1"/>
  <c r="M225" i="9"/>
  <c r="M224" i="9"/>
  <c r="N224" i="9"/>
  <c r="R224" i="9" s="1"/>
  <c r="N223" i="9"/>
  <c r="R223" i="9" s="1"/>
  <c r="M223" i="9"/>
  <c r="N222" i="9"/>
  <c r="R222" i="9" s="1"/>
  <c r="M222" i="9"/>
  <c r="M221" i="9"/>
  <c r="N221" i="9"/>
  <c r="R221" i="9" s="1"/>
  <c r="N220" i="9"/>
  <c r="R220" i="9" s="1"/>
  <c r="M220" i="9"/>
  <c r="N219" i="9"/>
  <c r="R219" i="9" s="1"/>
  <c r="M219" i="9"/>
  <c r="M218" i="9"/>
  <c r="N218" i="9"/>
  <c r="R218" i="9" s="1"/>
  <c r="M217" i="9"/>
  <c r="N217" i="9"/>
  <c r="R217" i="9" s="1"/>
  <c r="N216" i="9"/>
  <c r="R216" i="9" s="1"/>
  <c r="M216" i="9"/>
  <c r="N215" i="9"/>
  <c r="R215" i="9" s="1"/>
  <c r="M215" i="9"/>
  <c r="M214" i="9"/>
  <c r="N214" i="9"/>
  <c r="R214" i="9" s="1"/>
  <c r="M213" i="9"/>
  <c r="N213" i="9"/>
  <c r="R213" i="9" s="1"/>
  <c r="N212" i="9"/>
  <c r="R212" i="9" s="1"/>
  <c r="M212" i="9"/>
  <c r="N211" i="9"/>
  <c r="R211" i="9" s="1"/>
  <c r="M211" i="9"/>
  <c r="N210" i="9"/>
  <c r="R210" i="9" s="1"/>
  <c r="M210" i="9"/>
  <c r="M209" i="9"/>
  <c r="N209" i="9"/>
  <c r="R209" i="9" s="1"/>
  <c r="N208" i="9"/>
  <c r="R208" i="9" s="1"/>
  <c r="M208" i="9"/>
  <c r="M207" i="9"/>
  <c r="N207" i="9"/>
  <c r="R207" i="9" s="1"/>
  <c r="M206" i="9"/>
  <c r="N206" i="9"/>
  <c r="R206" i="9" s="1"/>
  <c r="N205" i="9"/>
  <c r="R205" i="9" s="1"/>
  <c r="M205" i="9"/>
  <c r="N204" i="9"/>
  <c r="R204" i="9" s="1"/>
  <c r="M204" i="9"/>
  <c r="N203" i="9"/>
  <c r="R203" i="9" s="1"/>
  <c r="M203" i="9"/>
  <c r="M202" i="9"/>
  <c r="N202" i="9"/>
  <c r="R202" i="9" s="1"/>
  <c r="M201" i="9"/>
  <c r="N201" i="9"/>
  <c r="R201" i="9" s="1"/>
  <c r="N200" i="9"/>
  <c r="R200" i="9" s="1"/>
  <c r="M200" i="9"/>
  <c r="N199" i="9"/>
  <c r="R199" i="9" s="1"/>
  <c r="M199" i="9"/>
  <c r="N198" i="9"/>
  <c r="R198" i="9" s="1"/>
  <c r="M198" i="9"/>
  <c r="M197" i="9"/>
  <c r="N197" i="9"/>
  <c r="R197" i="9" s="1"/>
  <c r="M196" i="9"/>
  <c r="N196" i="9"/>
  <c r="R196" i="9" s="1"/>
  <c r="M195" i="9"/>
  <c r="N195" i="9"/>
  <c r="R195" i="9" s="1"/>
  <c r="M194" i="9"/>
  <c r="N194" i="9"/>
  <c r="R194" i="9" s="1"/>
  <c r="N193" i="9"/>
  <c r="R193" i="9" s="1"/>
  <c r="M193" i="9"/>
  <c r="N192" i="9"/>
  <c r="R192" i="9" s="1"/>
  <c r="M192" i="9"/>
  <c r="N191" i="9"/>
  <c r="R191" i="9" s="1"/>
  <c r="M191" i="9"/>
  <c r="M190" i="9"/>
  <c r="N190" i="9"/>
  <c r="R190" i="9" s="1"/>
  <c r="M189" i="9"/>
  <c r="N189" i="9"/>
  <c r="R189" i="9" s="1"/>
  <c r="N188" i="9"/>
  <c r="R188" i="9" s="1"/>
  <c r="M188" i="9"/>
  <c r="N187" i="9"/>
  <c r="R187" i="9" s="1"/>
  <c r="M187" i="9"/>
  <c r="N186" i="9"/>
  <c r="R186" i="9" s="1"/>
  <c r="M186" i="9"/>
  <c r="N185" i="9"/>
  <c r="R185" i="9" s="1"/>
  <c r="M185" i="9"/>
  <c r="N184" i="9"/>
  <c r="R184" i="9" s="1"/>
  <c r="M184" i="9"/>
  <c r="N183" i="9"/>
  <c r="R183" i="9" s="1"/>
  <c r="M183" i="9"/>
  <c r="N182" i="9"/>
  <c r="R182" i="9" s="1"/>
  <c r="M182" i="9"/>
  <c r="N181" i="9"/>
  <c r="R181" i="9" s="1"/>
  <c r="M181" i="9"/>
  <c r="N180" i="9"/>
  <c r="R180" i="9" s="1"/>
  <c r="M180" i="9"/>
  <c r="N179" i="9"/>
  <c r="R179" i="9" s="1"/>
  <c r="M179" i="9"/>
  <c r="N178" i="9"/>
  <c r="R178" i="9" s="1"/>
  <c r="M178" i="9"/>
  <c r="N177" i="9"/>
  <c r="R177" i="9" s="1"/>
  <c r="M177" i="9"/>
  <c r="N176" i="9"/>
  <c r="R176" i="9" s="1"/>
  <c r="M176" i="9"/>
  <c r="N175" i="9"/>
  <c r="R175" i="9" s="1"/>
  <c r="M175" i="9"/>
  <c r="N174" i="9"/>
  <c r="R174" i="9" s="1"/>
  <c r="M174" i="9"/>
  <c r="M173" i="9"/>
  <c r="N173" i="9"/>
  <c r="R173" i="9" s="1"/>
  <c r="N172" i="9"/>
  <c r="R172" i="9" s="1"/>
  <c r="M172" i="9"/>
  <c r="M171" i="9"/>
  <c r="N171" i="9"/>
  <c r="R171" i="9" s="1"/>
  <c r="M170" i="9"/>
  <c r="N170" i="9"/>
  <c r="R170" i="9" s="1"/>
  <c r="M169" i="9"/>
  <c r="N169" i="9"/>
  <c r="R169" i="9" s="1"/>
  <c r="M168" i="9"/>
  <c r="N168" i="9"/>
  <c r="R168" i="9" s="1"/>
  <c r="M167" i="9"/>
  <c r="N167" i="9"/>
  <c r="R167" i="9" s="1"/>
  <c r="N166" i="9"/>
  <c r="R166" i="9" s="1"/>
  <c r="M166" i="9"/>
  <c r="N165" i="9"/>
  <c r="R165" i="9" s="1"/>
  <c r="M165" i="9"/>
  <c r="N164" i="9"/>
  <c r="R164" i="9" s="1"/>
  <c r="M164" i="9"/>
  <c r="N163" i="9"/>
  <c r="R163" i="9" s="1"/>
  <c r="M163" i="9"/>
  <c r="N162" i="9"/>
  <c r="R162" i="9" s="1"/>
  <c r="M162" i="9"/>
  <c r="M161" i="9"/>
  <c r="N161" i="9"/>
  <c r="R161" i="9" s="1"/>
  <c r="M160" i="9"/>
  <c r="N160" i="9"/>
  <c r="R160" i="9" s="1"/>
  <c r="N159" i="9"/>
  <c r="R159" i="9" s="1"/>
  <c r="M159" i="9"/>
  <c r="M158" i="9"/>
  <c r="N158" i="9"/>
  <c r="R158" i="9" s="1"/>
  <c r="N157" i="9"/>
  <c r="R157" i="9" s="1"/>
  <c r="M157" i="9"/>
  <c r="M156" i="9"/>
  <c r="N156" i="9"/>
  <c r="R156" i="9" s="1"/>
  <c r="M155" i="9"/>
  <c r="N155" i="9"/>
  <c r="R155" i="9" s="1"/>
  <c r="N154" i="9"/>
  <c r="R154" i="9" s="1"/>
  <c r="M154" i="9"/>
  <c r="M153" i="9"/>
  <c r="N153" i="9"/>
  <c r="R153" i="9" s="1"/>
  <c r="M152" i="9"/>
  <c r="N152" i="9"/>
  <c r="R152" i="9" s="1"/>
  <c r="N151" i="9"/>
  <c r="R151" i="9" s="1"/>
  <c r="M151" i="9"/>
  <c r="M150" i="9"/>
  <c r="N150" i="9"/>
  <c r="R150" i="9" s="1"/>
  <c r="N149" i="9"/>
  <c r="R149" i="9" s="1"/>
  <c r="M149" i="9"/>
  <c r="N148" i="9"/>
  <c r="R148" i="9" s="1"/>
  <c r="M148" i="9"/>
  <c r="N147" i="9"/>
  <c r="R147" i="9" s="1"/>
  <c r="M147" i="9"/>
  <c r="M146" i="9"/>
  <c r="N146" i="9"/>
  <c r="R146" i="9" s="1"/>
  <c r="M145" i="9"/>
  <c r="N145" i="9"/>
  <c r="R145" i="9" s="1"/>
  <c r="N144" i="9"/>
  <c r="R144" i="9" s="1"/>
  <c r="M144" i="9"/>
  <c r="N143" i="9"/>
  <c r="R143" i="9" s="1"/>
  <c r="M143" i="9"/>
  <c r="M142" i="9"/>
  <c r="N142" i="9"/>
  <c r="R142" i="9" s="1"/>
  <c r="M141" i="9"/>
  <c r="N141" i="9"/>
  <c r="R141" i="9" s="1"/>
  <c r="N140" i="9"/>
  <c r="R140" i="9" s="1"/>
  <c r="M140" i="9"/>
  <c r="M139" i="9"/>
  <c r="N139" i="9"/>
  <c r="R139" i="9" s="1"/>
  <c r="N138" i="9"/>
  <c r="R138" i="9" s="1"/>
  <c r="M138" i="9"/>
  <c r="M137" i="9"/>
  <c r="N137" i="9"/>
  <c r="R137" i="9" s="1"/>
  <c r="M136" i="9"/>
  <c r="N136" i="9"/>
  <c r="R136" i="9" s="1"/>
  <c r="M135" i="9"/>
  <c r="N135" i="9"/>
  <c r="R135" i="9" s="1"/>
  <c r="N134" i="9"/>
  <c r="R134" i="9" s="1"/>
  <c r="M134" i="9"/>
  <c r="N133" i="9"/>
  <c r="R133" i="9" s="1"/>
  <c r="M133" i="9"/>
  <c r="N132" i="9"/>
  <c r="R132" i="9" s="1"/>
  <c r="M132" i="9"/>
  <c r="M131" i="9"/>
  <c r="N131" i="9"/>
  <c r="R131" i="9" s="1"/>
  <c r="M130" i="9"/>
  <c r="N130" i="9"/>
  <c r="R130" i="9" s="1"/>
  <c r="M129" i="9"/>
  <c r="N129" i="9"/>
  <c r="R129" i="9" s="1"/>
  <c r="M128" i="9"/>
  <c r="N128" i="9"/>
  <c r="R128" i="9" s="1"/>
  <c r="N127" i="9"/>
  <c r="R127" i="9" s="1"/>
  <c r="M127" i="9"/>
  <c r="N126" i="9"/>
  <c r="R126" i="9" s="1"/>
  <c r="M126" i="9"/>
  <c r="N125" i="9"/>
  <c r="R125" i="9" s="1"/>
  <c r="M125" i="9"/>
  <c r="N124" i="9"/>
  <c r="R124" i="9" s="1"/>
  <c r="M124" i="9"/>
  <c r="M123" i="9"/>
  <c r="N123" i="9"/>
  <c r="R123" i="9" s="1"/>
  <c r="N122" i="9"/>
  <c r="R122" i="9" s="1"/>
  <c r="M122" i="9"/>
  <c r="N121" i="9"/>
  <c r="R121" i="9" s="1"/>
  <c r="M121" i="9"/>
  <c r="N120" i="9"/>
  <c r="R120" i="9" s="1"/>
  <c r="M120" i="9"/>
  <c r="N119" i="9"/>
  <c r="R119" i="9" s="1"/>
  <c r="M119" i="9"/>
  <c r="M118" i="9"/>
  <c r="N118" i="9"/>
  <c r="R118" i="9" s="1"/>
  <c r="M117" i="9"/>
  <c r="N117" i="9"/>
  <c r="R117" i="9" s="1"/>
  <c r="M116" i="9"/>
  <c r="N116" i="9"/>
  <c r="R116" i="9" s="1"/>
  <c r="M115" i="9"/>
  <c r="N115" i="9"/>
  <c r="R115" i="9" s="1"/>
  <c r="N114" i="9"/>
  <c r="R114" i="9" s="1"/>
  <c r="M114" i="9"/>
  <c r="M113" i="9"/>
  <c r="N113" i="9"/>
  <c r="R113" i="9" s="1"/>
  <c r="N112" i="9"/>
  <c r="R112" i="9" s="1"/>
  <c r="M112" i="9"/>
  <c r="M111" i="9"/>
  <c r="N111" i="9"/>
  <c r="R111" i="9" s="1"/>
  <c r="N110" i="9"/>
  <c r="R110" i="9" s="1"/>
  <c r="M110" i="9"/>
  <c r="M109" i="9"/>
  <c r="N109" i="9"/>
  <c r="R109" i="9" s="1"/>
  <c r="M108" i="9"/>
  <c r="N108" i="9"/>
  <c r="R108" i="9" s="1"/>
  <c r="N107" i="9"/>
  <c r="R107" i="9" s="1"/>
  <c r="M107" i="9"/>
  <c r="N106" i="9"/>
  <c r="R106" i="9" s="1"/>
  <c r="M106" i="9"/>
  <c r="M105" i="9"/>
  <c r="N105" i="9"/>
  <c r="R105" i="9" s="1"/>
  <c r="M104" i="9"/>
  <c r="N104" i="9"/>
  <c r="R104" i="9" s="1"/>
  <c r="M103" i="9"/>
  <c r="N103" i="9"/>
  <c r="R103" i="9" s="1"/>
  <c r="M102" i="9"/>
  <c r="N102" i="9"/>
  <c r="R102" i="9" s="1"/>
  <c r="M101" i="9"/>
  <c r="N101" i="9"/>
  <c r="R101" i="9" s="1"/>
  <c r="N100" i="9"/>
  <c r="R100" i="9" s="1"/>
  <c r="M100" i="9"/>
  <c r="M99" i="9"/>
  <c r="N99" i="9"/>
  <c r="R99" i="9" s="1"/>
  <c r="M98" i="9"/>
  <c r="N98" i="9"/>
  <c r="R98" i="9" s="1"/>
  <c r="N97" i="9"/>
  <c r="R97" i="9" s="1"/>
  <c r="M97" i="9"/>
  <c r="N96" i="9"/>
  <c r="R96" i="9" s="1"/>
  <c r="M96" i="9"/>
  <c r="M95" i="9"/>
  <c r="N95" i="9"/>
  <c r="R95" i="9" s="1"/>
  <c r="N94" i="9"/>
  <c r="R94" i="9" s="1"/>
  <c r="M94" i="9"/>
  <c r="N93" i="9"/>
  <c r="R93" i="9" s="1"/>
  <c r="M93" i="9"/>
  <c r="N92" i="9"/>
  <c r="R92" i="9" s="1"/>
  <c r="M92" i="9"/>
  <c r="M91" i="9"/>
  <c r="N91" i="9"/>
  <c r="R91" i="9" s="1"/>
  <c r="M90" i="9"/>
  <c r="N90" i="9"/>
  <c r="R90" i="9" s="1"/>
  <c r="N89" i="9"/>
  <c r="R89" i="9" s="1"/>
  <c r="M89" i="9"/>
  <c r="N88" i="9"/>
  <c r="R88" i="9" s="1"/>
  <c r="M88" i="9"/>
  <c r="M87" i="9"/>
  <c r="N87" i="9"/>
  <c r="R87" i="9" s="1"/>
  <c r="N86" i="9"/>
  <c r="R86" i="9" s="1"/>
  <c r="M86" i="9"/>
  <c r="M85" i="9"/>
  <c r="N85" i="9"/>
  <c r="R85" i="9" s="1"/>
  <c r="M84" i="9"/>
  <c r="N84" i="9"/>
  <c r="R84" i="9" s="1"/>
  <c r="N83" i="9"/>
  <c r="R83" i="9" s="1"/>
  <c r="M83" i="9"/>
  <c r="M82" i="9"/>
  <c r="N82" i="9"/>
  <c r="R82" i="9" s="1"/>
  <c r="N81" i="9"/>
  <c r="R81" i="9" s="1"/>
  <c r="M81" i="9"/>
  <c r="M80" i="9"/>
  <c r="N80" i="9"/>
  <c r="R80" i="9" s="1"/>
  <c r="M79" i="9"/>
  <c r="N79" i="9"/>
  <c r="R79" i="9" s="1"/>
  <c r="M78" i="9"/>
  <c r="N78" i="9"/>
  <c r="R78" i="9" s="1"/>
  <c r="M77" i="9"/>
  <c r="N77" i="9"/>
  <c r="R77" i="9" s="1"/>
  <c r="M76" i="9"/>
  <c r="N76" i="9"/>
  <c r="R76" i="9" s="1"/>
  <c r="N75" i="9"/>
  <c r="R75" i="9" s="1"/>
  <c r="M75" i="9"/>
  <c r="M74" i="9"/>
  <c r="N74" i="9"/>
  <c r="R74" i="9" s="1"/>
  <c r="M73" i="9"/>
  <c r="N73" i="9"/>
  <c r="R73" i="9" s="1"/>
  <c r="M72" i="9"/>
  <c r="N72" i="9"/>
  <c r="R72" i="9" s="1"/>
  <c r="M71" i="9"/>
  <c r="N71" i="9"/>
  <c r="R71" i="9" s="1"/>
  <c r="N70" i="9"/>
  <c r="R70" i="9" s="1"/>
  <c r="M70" i="9"/>
  <c r="M69" i="9"/>
  <c r="N69" i="9"/>
  <c r="R69" i="9" s="1"/>
  <c r="M68" i="9"/>
  <c r="N68" i="9"/>
  <c r="R68" i="9" s="1"/>
  <c r="N67" i="9"/>
  <c r="R67" i="9" s="1"/>
  <c r="M67" i="9"/>
  <c r="M66" i="9"/>
  <c r="N66" i="9"/>
  <c r="R66" i="9" s="1"/>
  <c r="N65" i="9"/>
  <c r="R65" i="9" s="1"/>
  <c r="M65" i="9"/>
  <c r="M64" i="9"/>
  <c r="N64" i="9"/>
  <c r="R64" i="9" s="1"/>
  <c r="M63" i="9"/>
  <c r="N63" i="9"/>
  <c r="R63" i="9" s="1"/>
  <c r="M62" i="9"/>
  <c r="N62" i="9"/>
  <c r="R62" i="9" s="1"/>
  <c r="M61" i="9"/>
  <c r="N61" i="9"/>
  <c r="R61" i="9" s="1"/>
  <c r="M60" i="9"/>
  <c r="N60" i="9"/>
  <c r="R60" i="9" s="1"/>
  <c r="N59" i="9"/>
  <c r="R59" i="9" s="1"/>
  <c r="M59" i="9"/>
  <c r="N58" i="9"/>
  <c r="R58" i="9" s="1"/>
  <c r="M58" i="9"/>
  <c r="N57" i="9"/>
  <c r="R57" i="9" s="1"/>
  <c r="M57" i="9"/>
  <c r="M56" i="9"/>
  <c r="N56" i="9"/>
  <c r="R56" i="9" s="1"/>
  <c r="N55" i="9"/>
  <c r="R55" i="9" s="1"/>
  <c r="M55" i="9"/>
  <c r="N54" i="9"/>
  <c r="R54" i="9" s="1"/>
  <c r="M54" i="9"/>
  <c r="N53" i="9"/>
  <c r="R53" i="9" s="1"/>
  <c r="M53" i="9"/>
  <c r="M52" i="9"/>
  <c r="N52" i="9"/>
  <c r="R52" i="9" s="1"/>
  <c r="N51" i="9"/>
  <c r="R51" i="9" s="1"/>
  <c r="M51" i="9"/>
  <c r="M50" i="9"/>
  <c r="N50" i="9"/>
  <c r="R50" i="9" s="1"/>
  <c r="M49" i="9"/>
  <c r="N49" i="9"/>
  <c r="R49" i="9" s="1"/>
  <c r="M48" i="9"/>
  <c r="N48" i="9"/>
  <c r="R48" i="9" s="1"/>
  <c r="M47" i="9"/>
  <c r="N47" i="9"/>
  <c r="R47" i="9" s="1"/>
  <c r="M46" i="9"/>
  <c r="N46" i="9" s="1"/>
  <c r="R46" i="9" s="1"/>
  <c r="S46" i="9" s="1"/>
  <c r="Z46" i="9" s="1"/>
  <c r="M45" i="9"/>
  <c r="N45" i="9" s="1"/>
  <c r="R45" i="9" s="1"/>
  <c r="S45" i="9" s="1"/>
  <c r="Z45" i="9" s="1"/>
  <c r="M44" i="9"/>
  <c r="N44" i="9" s="1"/>
  <c r="R44" i="9" s="1"/>
  <c r="S44" i="9" s="1"/>
  <c r="Z44" i="9" s="1"/>
  <c r="M43" i="9"/>
  <c r="N43" i="9" s="1"/>
  <c r="R43" i="9" s="1"/>
  <c r="S43" i="9" s="1"/>
  <c r="Z43" i="9" s="1"/>
  <c r="M42" i="9"/>
  <c r="N42" i="9" s="1"/>
  <c r="R42" i="9" s="1"/>
  <c r="S42" i="9" s="1"/>
  <c r="Z42" i="9" s="1"/>
  <c r="M41" i="9"/>
  <c r="N41" i="9" s="1"/>
  <c r="R41" i="9" s="1"/>
  <c r="S41" i="9" s="1"/>
  <c r="Z41" i="9" s="1"/>
  <c r="M40" i="9"/>
  <c r="N40" i="9" s="1"/>
  <c r="R40" i="9" s="1"/>
  <c r="S40" i="9" s="1"/>
  <c r="Z40" i="9" s="1"/>
  <c r="M39" i="9"/>
  <c r="N39" i="9" s="1"/>
  <c r="R39" i="9" s="1"/>
  <c r="S39" i="9" s="1"/>
  <c r="Z39" i="9" s="1"/>
  <c r="M38" i="9"/>
  <c r="N38" i="9" s="1"/>
  <c r="R38" i="9" s="1"/>
  <c r="S38" i="9" s="1"/>
  <c r="Z38" i="9" s="1"/>
  <c r="G37" i="3"/>
  <c r="M37" i="9"/>
  <c r="N37" i="9" s="1"/>
  <c r="R37" i="9" s="1"/>
  <c r="M36" i="9"/>
  <c r="N36" i="9" s="1"/>
  <c r="R36" i="9" s="1"/>
  <c r="S36" i="9" s="1"/>
  <c r="Z36" i="9" s="1"/>
  <c r="M35" i="9"/>
  <c r="N35" i="9" s="1"/>
  <c r="R35" i="9" s="1"/>
  <c r="S35" i="9" s="1"/>
  <c r="Z35" i="9" s="1"/>
  <c r="M34" i="9"/>
  <c r="N34" i="9" s="1"/>
  <c r="R34" i="9" s="1"/>
  <c r="S34" i="9" s="1"/>
  <c r="Z34" i="9" s="1"/>
  <c r="M33" i="9"/>
  <c r="N33" i="9" s="1"/>
  <c r="R33" i="9" s="1"/>
  <c r="S33" i="9" s="1"/>
  <c r="Z33" i="9" s="1"/>
  <c r="M32" i="9"/>
  <c r="N32" i="9" s="1"/>
  <c r="R32" i="9" s="1"/>
  <c r="S32" i="9" s="1"/>
  <c r="Z32" i="9" s="1"/>
  <c r="M31" i="9"/>
  <c r="N31" i="9" s="1"/>
  <c r="R31" i="9" s="1"/>
  <c r="S31" i="9" s="1"/>
  <c r="Z31" i="9" s="1"/>
  <c r="M30" i="9"/>
  <c r="N30" i="9" s="1"/>
  <c r="R30" i="9" s="1"/>
  <c r="S30" i="9" s="1"/>
  <c r="Z30" i="9" s="1"/>
  <c r="M29" i="9"/>
  <c r="N29" i="9" s="1"/>
  <c r="R29" i="9" s="1"/>
  <c r="S29" i="9" s="1"/>
  <c r="Z29" i="9" s="1"/>
  <c r="M28" i="9"/>
  <c r="N28" i="9" s="1"/>
  <c r="R28" i="9" s="1"/>
  <c r="S28" i="9" s="1"/>
  <c r="Z28" i="9" s="1"/>
  <c r="M27" i="9"/>
  <c r="N27" i="9" s="1"/>
  <c r="R27" i="9" s="1"/>
  <c r="S27" i="9" s="1"/>
  <c r="Z27" i="9" s="1"/>
  <c r="M26" i="9"/>
  <c r="N26" i="9" s="1"/>
  <c r="R26" i="9" s="1"/>
  <c r="S26" i="9" s="1"/>
  <c r="Z26" i="9" s="1"/>
  <c r="M25" i="9"/>
  <c r="N25" i="9" s="1"/>
  <c r="R25" i="9" s="1"/>
  <c r="S25" i="9" s="1"/>
  <c r="Z25" i="9" s="1"/>
  <c r="M24" i="9"/>
  <c r="N24" i="9" s="1"/>
  <c r="R24" i="9" s="1"/>
  <c r="S24" i="9" s="1"/>
  <c r="Z24" i="9" s="1"/>
  <c r="M23" i="9"/>
  <c r="N23" i="9" s="1"/>
  <c r="R23" i="9" s="1"/>
  <c r="S23" i="9" s="1"/>
  <c r="Z23" i="9" s="1"/>
  <c r="M22" i="9"/>
  <c r="N22" i="9" s="1"/>
  <c r="R22" i="9" s="1"/>
  <c r="S22" i="9" s="1"/>
  <c r="Z22" i="9" s="1"/>
  <c r="M21" i="9"/>
  <c r="N21" i="9" s="1"/>
  <c r="R21" i="9" s="1"/>
  <c r="S21" i="9" s="1"/>
  <c r="Z21" i="9" s="1"/>
  <c r="M20" i="9"/>
  <c r="G35" i="3"/>
  <c r="N20" i="9"/>
  <c r="R20" i="9" s="1"/>
  <c r="M19" i="9"/>
  <c r="N19" i="9" s="1"/>
  <c r="R19" i="9" s="1"/>
  <c r="S19" i="9" s="1"/>
  <c r="Z19" i="9" s="1"/>
  <c r="M18" i="9"/>
  <c r="N18" i="9"/>
  <c r="R18" i="9" s="1"/>
  <c r="S18" i="9" s="1"/>
  <c r="Z18" i="9" s="1"/>
  <c r="M17" i="9"/>
  <c r="N17" i="9"/>
  <c r="R17" i="9" s="1"/>
  <c r="S17" i="9" s="1"/>
  <c r="Z17" i="9" s="1"/>
  <c r="M16" i="9"/>
  <c r="G38" i="3"/>
  <c r="N16" i="9"/>
  <c r="R16" i="9" s="1"/>
  <c r="M15" i="9"/>
  <c r="N15" i="9" s="1"/>
  <c r="R15" i="9" s="1"/>
  <c r="S15" i="9" s="1"/>
  <c r="Z15" i="9" s="1"/>
  <c r="M14" i="9"/>
  <c r="N14" i="9" s="1"/>
  <c r="R14" i="9" s="1"/>
  <c r="S14" i="9" s="1"/>
  <c r="Z14" i="9" s="1"/>
  <c r="G30" i="3"/>
  <c r="M13" i="9"/>
  <c r="N13" i="9" s="1"/>
  <c r="R13" i="9" s="1"/>
  <c r="M12" i="9"/>
  <c r="N12" i="9" s="1"/>
  <c r="R12" i="9" s="1"/>
  <c r="S12" i="9" s="1"/>
  <c r="Z12" i="9" s="1"/>
  <c r="G36" i="3"/>
  <c r="M11" i="9"/>
  <c r="N11" i="9" s="1"/>
  <c r="R11" i="9" s="1"/>
  <c r="G32" i="3"/>
  <c r="M10" i="9"/>
  <c r="N10" i="9" s="1"/>
  <c r="R10" i="9" s="1"/>
  <c r="M9" i="9"/>
  <c r="N9" i="9" s="1"/>
  <c r="R9" i="9" s="1"/>
  <c r="S9" i="9" s="1"/>
  <c r="Z9" i="9" s="1"/>
  <c r="G31" i="3"/>
  <c r="M8" i="9"/>
  <c r="N8" i="9" s="1"/>
  <c r="R8" i="9" s="1"/>
  <c r="M7" i="9"/>
  <c r="N7" i="9"/>
  <c r="R7" i="9" s="1"/>
  <c r="S7" i="9" s="1"/>
  <c r="Z7" i="9" s="1"/>
  <c r="M6" i="9"/>
  <c r="N6" i="9" s="1"/>
  <c r="R6" i="9" s="1"/>
  <c r="G33" i="3"/>
  <c r="G34" i="3"/>
  <c r="M5" i="9"/>
  <c r="N5" i="9" s="1"/>
  <c r="R5" i="9" s="1"/>
  <c r="G41" i="3"/>
  <c r="M4" i="9"/>
  <c r="N4" i="9" s="1"/>
  <c r="R4" i="9" s="1"/>
  <c r="G40" i="3"/>
  <c r="M3" i="9"/>
  <c r="N3" i="9" s="1"/>
  <c r="R3" i="9" s="1"/>
  <c r="M2" i="9"/>
  <c r="B30" i="3"/>
  <c r="G39" i="3"/>
  <c r="N2" i="9"/>
  <c r="R2" i="9" s="1"/>
  <c r="C81" i="5"/>
  <c r="H81" i="5"/>
  <c r="G81" i="5"/>
  <c r="D81" i="5"/>
  <c r="B81" i="5"/>
  <c r="E81" i="5"/>
  <c r="I81" i="5"/>
  <c r="G80" i="5"/>
  <c r="E80" i="5"/>
  <c r="D80" i="5"/>
  <c r="C80" i="5"/>
  <c r="B80" i="5"/>
  <c r="I80" i="5"/>
  <c r="H80" i="5"/>
  <c r="B79" i="5"/>
  <c r="C79" i="5"/>
  <c r="H79" i="5"/>
  <c r="I79" i="5"/>
  <c r="D79" i="5"/>
  <c r="E79" i="5"/>
  <c r="G79" i="5"/>
  <c r="E78" i="5"/>
  <c r="G78" i="5"/>
  <c r="H78" i="5"/>
  <c r="I78" i="5"/>
  <c r="C78" i="5"/>
  <c r="D78" i="5"/>
  <c r="B78" i="5"/>
  <c r="B77" i="5"/>
  <c r="C77" i="5"/>
  <c r="D77" i="5"/>
  <c r="I77" i="5"/>
  <c r="H77" i="5"/>
  <c r="G77" i="5"/>
  <c r="E77" i="5"/>
  <c r="D76" i="5"/>
  <c r="E76" i="5"/>
  <c r="C76" i="5"/>
  <c r="I76" i="5"/>
  <c r="G76" i="5"/>
  <c r="H76" i="5"/>
  <c r="B76" i="5"/>
  <c r="C75" i="5"/>
  <c r="B75" i="5"/>
  <c r="I75" i="5"/>
  <c r="H75" i="5"/>
  <c r="G75" i="5"/>
  <c r="E75" i="5"/>
  <c r="D75" i="5"/>
  <c r="I74" i="5"/>
  <c r="G74" i="5"/>
  <c r="B74" i="5"/>
  <c r="C74" i="5"/>
  <c r="D74" i="5"/>
  <c r="E74" i="5"/>
  <c r="H74" i="5"/>
  <c r="D73" i="5"/>
  <c r="C73" i="5"/>
  <c r="B73" i="5"/>
  <c r="I73" i="5"/>
  <c r="H73" i="5"/>
  <c r="G73" i="5"/>
  <c r="E73" i="5"/>
  <c r="B72" i="5"/>
  <c r="C72" i="5"/>
  <c r="D72" i="5"/>
  <c r="I72" i="5"/>
  <c r="H72" i="5"/>
  <c r="E72" i="5"/>
  <c r="G72" i="5"/>
  <c r="B71" i="5"/>
  <c r="D71" i="5"/>
  <c r="E71" i="5"/>
  <c r="G71" i="5"/>
  <c r="H71" i="5"/>
  <c r="I71" i="5"/>
  <c r="C71" i="5"/>
  <c r="G70" i="5"/>
  <c r="H70" i="5"/>
  <c r="I70" i="5"/>
  <c r="E70" i="5"/>
  <c r="B70" i="5"/>
  <c r="C70" i="5"/>
  <c r="D70" i="5"/>
  <c r="I69" i="5"/>
  <c r="H69" i="5"/>
  <c r="B69" i="5"/>
  <c r="C69" i="5"/>
  <c r="D69" i="5"/>
  <c r="E69" i="5"/>
  <c r="G69" i="5"/>
  <c r="B68" i="5"/>
  <c r="C68" i="5"/>
  <c r="D68" i="5"/>
  <c r="I68" i="5"/>
  <c r="H68" i="5"/>
  <c r="G68" i="5"/>
  <c r="E68" i="5"/>
  <c r="C67" i="5"/>
  <c r="B67" i="5"/>
  <c r="I67" i="5"/>
  <c r="H67" i="5"/>
  <c r="E67" i="5"/>
  <c r="D67" i="5"/>
  <c r="G67" i="5"/>
  <c r="C66" i="5"/>
  <c r="D66" i="5"/>
  <c r="E66" i="5"/>
  <c r="G66" i="5"/>
  <c r="H66" i="5"/>
  <c r="I66" i="5"/>
  <c r="B66" i="5"/>
  <c r="B65" i="5"/>
  <c r="C65" i="5"/>
  <c r="E65" i="5"/>
  <c r="G65" i="5"/>
  <c r="H65" i="5"/>
  <c r="I65" i="5"/>
  <c r="D65" i="5"/>
  <c r="I64" i="5"/>
  <c r="H64" i="5"/>
  <c r="G64" i="5"/>
  <c r="E64" i="5"/>
  <c r="D64" i="5"/>
  <c r="C64" i="5"/>
  <c r="B64" i="5"/>
  <c r="I63" i="5"/>
  <c r="B63" i="5"/>
  <c r="C63" i="5"/>
  <c r="D63" i="5"/>
  <c r="E63" i="5"/>
  <c r="G63" i="5"/>
  <c r="H63" i="5"/>
  <c r="H62" i="5"/>
  <c r="B62" i="5"/>
  <c r="E62" i="5"/>
  <c r="I62" i="5"/>
  <c r="G62" i="5"/>
  <c r="D62" i="5"/>
  <c r="C62" i="5"/>
  <c r="B61" i="5"/>
  <c r="H61" i="5"/>
  <c r="I61" i="5"/>
  <c r="C61" i="5"/>
  <c r="D61" i="5"/>
  <c r="E61" i="5"/>
  <c r="G61" i="5"/>
  <c r="G60" i="5"/>
  <c r="H60" i="5"/>
  <c r="B60" i="5"/>
  <c r="C60" i="5"/>
  <c r="I60" i="5"/>
  <c r="D60" i="5"/>
  <c r="E60" i="5"/>
  <c r="B59" i="5"/>
  <c r="C59" i="5"/>
  <c r="D59" i="5"/>
  <c r="E59" i="5"/>
  <c r="G59" i="5"/>
  <c r="H59" i="5"/>
  <c r="I59" i="5"/>
  <c r="E58" i="5"/>
  <c r="G58" i="5"/>
  <c r="H58" i="5"/>
  <c r="I58" i="5"/>
  <c r="D58" i="5"/>
  <c r="C58" i="5"/>
  <c r="B58" i="5"/>
  <c r="E57" i="5"/>
  <c r="G57" i="5"/>
  <c r="H57" i="5"/>
  <c r="I57" i="5"/>
  <c r="B57" i="5"/>
  <c r="C57" i="5"/>
  <c r="D57" i="5"/>
  <c r="G56" i="5"/>
  <c r="H56" i="5"/>
  <c r="I56" i="5"/>
  <c r="D56" i="5"/>
  <c r="B56" i="5"/>
  <c r="C56" i="5"/>
  <c r="E56" i="5"/>
  <c r="I55" i="5"/>
  <c r="B55" i="5"/>
  <c r="C55" i="5"/>
  <c r="D55" i="5"/>
  <c r="E55" i="5"/>
  <c r="G55" i="5"/>
  <c r="H55" i="5"/>
  <c r="I54" i="5"/>
  <c r="D54" i="5"/>
  <c r="B54" i="5"/>
  <c r="C54" i="5"/>
  <c r="E54" i="5"/>
  <c r="G54" i="5"/>
  <c r="H54" i="5"/>
  <c r="H53" i="5"/>
  <c r="G53" i="5"/>
  <c r="B53" i="5"/>
  <c r="C53" i="5"/>
  <c r="D53" i="5"/>
  <c r="E53" i="5"/>
  <c r="I53" i="5"/>
  <c r="H52" i="5"/>
  <c r="I52" i="5"/>
  <c r="E52" i="5"/>
  <c r="D52" i="5"/>
  <c r="C52" i="5"/>
  <c r="B52" i="5"/>
  <c r="G52" i="5"/>
  <c r="E51" i="5"/>
  <c r="H51" i="5"/>
  <c r="I51" i="5"/>
  <c r="B51" i="5"/>
  <c r="G51" i="5"/>
  <c r="D51" i="5"/>
  <c r="C51" i="5"/>
  <c r="B50" i="5"/>
  <c r="C50" i="5"/>
  <c r="D50" i="5"/>
  <c r="I50" i="5"/>
  <c r="H50" i="5"/>
  <c r="G50" i="5"/>
  <c r="E50" i="5"/>
  <c r="G49" i="5"/>
  <c r="H49" i="5"/>
  <c r="B49" i="5"/>
  <c r="C49" i="5"/>
  <c r="D49" i="5"/>
  <c r="I49" i="5"/>
  <c r="E49" i="5"/>
  <c r="H48" i="5"/>
  <c r="G48" i="5"/>
  <c r="E48" i="5"/>
  <c r="D48" i="5"/>
  <c r="C48" i="5"/>
  <c r="B48" i="5"/>
  <c r="I48" i="5"/>
  <c r="I47" i="5"/>
  <c r="H47" i="5"/>
  <c r="B47" i="5"/>
  <c r="C47" i="5"/>
  <c r="D47" i="5"/>
  <c r="E47" i="5"/>
  <c r="G47" i="5"/>
  <c r="B46" i="5"/>
  <c r="H46" i="5"/>
  <c r="I46" i="5"/>
  <c r="C46" i="5"/>
  <c r="D46" i="5"/>
  <c r="E46" i="5"/>
  <c r="G46" i="5"/>
  <c r="B45" i="5"/>
  <c r="C45" i="5"/>
  <c r="D45" i="5"/>
  <c r="E45" i="5"/>
  <c r="G45" i="5"/>
  <c r="H45" i="5"/>
  <c r="I45" i="5"/>
  <c r="C44" i="5"/>
  <c r="D44" i="5"/>
  <c r="E44" i="5"/>
  <c r="G44" i="5"/>
  <c r="H44" i="5"/>
  <c r="I44" i="5"/>
  <c r="B44" i="5"/>
  <c r="D43" i="5"/>
  <c r="C43" i="5"/>
  <c r="B43" i="5"/>
  <c r="I43" i="5"/>
  <c r="E43" i="5"/>
  <c r="G43" i="5"/>
  <c r="H43" i="5"/>
  <c r="I42" i="5"/>
  <c r="H42" i="5"/>
  <c r="G42" i="5"/>
  <c r="E42" i="5"/>
  <c r="D42" i="5"/>
  <c r="C42" i="5"/>
  <c r="B42" i="5"/>
  <c r="C41" i="5"/>
  <c r="B41" i="5"/>
  <c r="I41" i="5"/>
  <c r="H41" i="5"/>
  <c r="G41" i="5"/>
  <c r="E41" i="5"/>
  <c r="D41" i="5"/>
  <c r="C40" i="5"/>
  <c r="B40" i="5"/>
  <c r="G40" i="5"/>
  <c r="H40" i="5"/>
  <c r="E40" i="5"/>
  <c r="D40" i="5"/>
  <c r="I40" i="5"/>
  <c r="I39" i="5"/>
  <c r="H39" i="5"/>
  <c r="G39" i="5"/>
  <c r="C39" i="5"/>
  <c r="D39" i="5"/>
  <c r="B39" i="5"/>
  <c r="E39" i="5"/>
  <c r="C38" i="5"/>
  <c r="I38" i="5"/>
  <c r="H38" i="5"/>
  <c r="G38" i="5"/>
  <c r="D38" i="5"/>
  <c r="B38" i="5"/>
  <c r="E38" i="5"/>
  <c r="G37" i="5"/>
  <c r="H37" i="5"/>
  <c r="I37" i="5"/>
  <c r="D37" i="5"/>
  <c r="B37" i="5"/>
  <c r="C37" i="5"/>
  <c r="E37" i="5"/>
  <c r="G36" i="5"/>
  <c r="C36" i="5"/>
  <c r="B36" i="5"/>
  <c r="D36" i="5"/>
  <c r="H36" i="5"/>
  <c r="I36" i="5"/>
  <c r="E36" i="5"/>
  <c r="C35" i="5"/>
  <c r="I35" i="5"/>
  <c r="H35" i="5"/>
  <c r="D35" i="5"/>
  <c r="E35" i="5"/>
  <c r="G35" i="5"/>
  <c r="B35" i="5"/>
  <c r="C34" i="5"/>
  <c r="E34" i="5"/>
  <c r="D34" i="5"/>
  <c r="H34" i="5"/>
  <c r="B34" i="5"/>
  <c r="I34" i="5"/>
  <c r="G34" i="5"/>
  <c r="I33" i="5"/>
  <c r="G33" i="5"/>
  <c r="E33" i="5"/>
  <c r="D33" i="5"/>
  <c r="C33" i="5"/>
  <c r="B33" i="5"/>
  <c r="H33" i="5"/>
  <c r="I32" i="5"/>
  <c r="B32" i="5"/>
  <c r="C32" i="5"/>
  <c r="D32" i="5"/>
  <c r="E32" i="5"/>
  <c r="G32" i="5"/>
  <c r="H32" i="5"/>
  <c r="B31" i="5"/>
  <c r="E31" i="5"/>
  <c r="I31" i="5"/>
  <c r="H31" i="5"/>
  <c r="G31" i="5"/>
  <c r="D31" i="5"/>
  <c r="C31" i="5"/>
  <c r="C30" i="5"/>
  <c r="G30" i="5"/>
  <c r="I30" i="5"/>
  <c r="B30" i="5"/>
  <c r="H30" i="5"/>
  <c r="E30" i="5"/>
  <c r="D30" i="5"/>
  <c r="H29" i="5"/>
  <c r="G29" i="5"/>
  <c r="C29" i="5"/>
  <c r="I29" i="5"/>
  <c r="B29" i="5"/>
  <c r="D29" i="5"/>
  <c r="E29" i="5"/>
  <c r="H28" i="5"/>
  <c r="C28" i="5"/>
  <c r="D28" i="5"/>
  <c r="E28" i="5"/>
  <c r="I28" i="5"/>
  <c r="G28" i="5"/>
  <c r="B28" i="5"/>
  <c r="G27" i="5"/>
  <c r="I27" i="5"/>
  <c r="H27" i="5"/>
  <c r="E27" i="5"/>
  <c r="D27" i="5"/>
  <c r="B27" i="5"/>
  <c r="C27" i="5"/>
  <c r="C26" i="5"/>
  <c r="G26" i="5"/>
  <c r="H26" i="5"/>
  <c r="E26" i="5"/>
  <c r="D26" i="5"/>
  <c r="B26" i="5"/>
  <c r="I26" i="5"/>
  <c r="I25" i="5"/>
  <c r="D25" i="5"/>
  <c r="B25" i="5"/>
  <c r="C25" i="5"/>
  <c r="E25" i="5"/>
  <c r="G25" i="5"/>
  <c r="H25" i="5"/>
  <c r="B24" i="5"/>
  <c r="H24" i="5"/>
  <c r="I24" i="5"/>
  <c r="D24" i="5"/>
  <c r="C24" i="5"/>
  <c r="G24" i="5"/>
  <c r="E24" i="5"/>
  <c r="H23" i="5"/>
  <c r="I23" i="5"/>
  <c r="C23" i="5"/>
  <c r="D23" i="5"/>
  <c r="B23" i="5"/>
  <c r="E23" i="5"/>
  <c r="G23" i="5"/>
  <c r="B22" i="5"/>
  <c r="E22" i="5"/>
  <c r="H22" i="5"/>
  <c r="C22" i="5"/>
  <c r="G22" i="5"/>
  <c r="I22" i="5"/>
  <c r="D22" i="5"/>
  <c r="C21" i="5"/>
  <c r="G21" i="5"/>
  <c r="B21" i="5"/>
  <c r="I21" i="5"/>
  <c r="H21" i="5"/>
  <c r="E21" i="5"/>
  <c r="D21" i="5"/>
  <c r="G20" i="5"/>
  <c r="D20" i="5"/>
  <c r="H20" i="5"/>
  <c r="I20" i="5"/>
  <c r="B20" i="5"/>
  <c r="E20" i="5"/>
  <c r="C20" i="5"/>
  <c r="G19" i="5"/>
  <c r="H19" i="5"/>
  <c r="I19" i="5"/>
  <c r="C19" i="5"/>
  <c r="D19" i="5"/>
  <c r="B19" i="5"/>
  <c r="E19" i="5"/>
  <c r="E18" i="5"/>
  <c r="G18" i="5"/>
  <c r="C18" i="5"/>
  <c r="H18" i="5"/>
  <c r="I18" i="5"/>
  <c r="B18" i="5"/>
  <c r="D18" i="5"/>
  <c r="D17" i="5"/>
  <c r="B17" i="5"/>
  <c r="G17" i="5"/>
  <c r="C17" i="5"/>
  <c r="H17" i="5"/>
  <c r="E17" i="5"/>
  <c r="I17" i="5"/>
  <c r="H16" i="5"/>
  <c r="C16" i="5"/>
  <c r="G16" i="5"/>
  <c r="B16" i="5"/>
  <c r="I16" i="5"/>
  <c r="E16" i="5"/>
  <c r="D16" i="5"/>
  <c r="E15" i="5"/>
  <c r="I15" i="5"/>
  <c r="H15" i="5"/>
  <c r="G15" i="5"/>
  <c r="D15" i="5"/>
  <c r="C15" i="5"/>
  <c r="B15" i="5"/>
  <c r="C14" i="5"/>
  <c r="E14" i="5"/>
  <c r="B14" i="5"/>
  <c r="D14" i="5"/>
  <c r="I14" i="5"/>
  <c r="H14" i="5"/>
  <c r="G14" i="5"/>
  <c r="B13" i="5"/>
  <c r="C13" i="5"/>
  <c r="D13" i="5" s="1"/>
  <c r="E13" i="5" s="1"/>
  <c r="G13" i="5"/>
  <c r="G12" i="5"/>
  <c r="B12" i="5"/>
  <c r="C12" i="5"/>
  <c r="D12" i="5" s="1"/>
  <c r="E12" i="5" s="1"/>
  <c r="H12" i="5" s="1"/>
  <c r="G11" i="5"/>
  <c r="C11" i="5"/>
  <c r="D11" i="5" s="1"/>
  <c r="E11" i="5" s="1"/>
  <c r="H11" i="5" s="1"/>
  <c r="B11" i="5"/>
  <c r="G10" i="5"/>
  <c r="C10" i="5"/>
  <c r="D10" i="5" s="1"/>
  <c r="E10" i="5" s="1"/>
  <c r="H10" i="5" s="1"/>
  <c r="B10" i="5"/>
  <c r="G9" i="5"/>
  <c r="C9" i="5"/>
  <c r="D9" i="5" s="1"/>
  <c r="E9" i="5" s="1"/>
  <c r="H9" i="5" s="1"/>
  <c r="B9" i="5"/>
  <c r="G8" i="5"/>
  <c r="B8" i="5"/>
  <c r="C8" i="5"/>
  <c r="D8" i="5" s="1"/>
  <c r="E8" i="5" s="1"/>
  <c r="H8" i="5" s="1"/>
  <c r="G7" i="5"/>
  <c r="B7" i="5"/>
  <c r="C7" i="5"/>
  <c r="D7" i="5" s="1"/>
  <c r="E7" i="5" s="1"/>
  <c r="H7" i="5" s="1"/>
  <c r="C6" i="5"/>
  <c r="D6" i="5" s="1"/>
  <c r="E6" i="5" s="1"/>
  <c r="G6" i="5"/>
  <c r="B6" i="5"/>
  <c r="B5" i="5"/>
  <c r="G5" i="5"/>
  <c r="C5" i="5"/>
  <c r="D5" i="5" s="1"/>
  <c r="E5" i="5" s="1"/>
  <c r="H5" i="5" s="1"/>
  <c r="B4" i="5"/>
  <c r="G4" i="5"/>
  <c r="C4" i="5"/>
  <c r="D4" i="5" s="1"/>
  <c r="E4" i="5" s="1"/>
  <c r="H4" i="5" s="1"/>
  <c r="G3" i="5"/>
  <c r="B3" i="5"/>
  <c r="C3" i="5"/>
  <c r="D3" i="5" s="1"/>
  <c r="E3" i="5" s="1"/>
  <c r="H3" i="5" s="1"/>
  <c r="C2" i="5"/>
  <c r="D2" i="5" s="1"/>
  <c r="E2" i="5" s="1"/>
  <c r="B2" i="5"/>
  <c r="G2" i="5"/>
  <c r="C51" i="4"/>
  <c r="B51" i="4"/>
  <c r="B50" i="4"/>
  <c r="C50" i="4"/>
  <c r="B49" i="4"/>
  <c r="C49" i="4"/>
  <c r="B48" i="4"/>
  <c r="C48" i="4"/>
  <c r="C47" i="4"/>
  <c r="B47" i="4"/>
  <c r="B46" i="4"/>
  <c r="C46" i="4"/>
  <c r="C45" i="4"/>
  <c r="B45" i="4"/>
  <c r="B44" i="4"/>
  <c r="C44" i="4"/>
  <c r="B43" i="4"/>
  <c r="C43" i="4"/>
  <c r="C31" i="4"/>
  <c r="B31" i="4"/>
  <c r="C30" i="4"/>
  <c r="B30" i="4"/>
  <c r="C29" i="4"/>
  <c r="B29" i="4"/>
  <c r="C28" i="4"/>
  <c r="B28" i="4"/>
  <c r="C27" i="4"/>
  <c r="B27" i="4"/>
  <c r="C26" i="4"/>
  <c r="B26" i="4"/>
  <c r="B25" i="4"/>
  <c r="C25" i="4"/>
  <c r="B24" i="4"/>
  <c r="C24" i="4"/>
  <c r="C23" i="4"/>
  <c r="B23" i="4"/>
  <c r="E18" i="4"/>
  <c r="G18" i="4"/>
  <c r="F18" i="4"/>
  <c r="G17" i="4"/>
  <c r="F17" i="4"/>
  <c r="E17" i="4"/>
  <c r="E16" i="4"/>
  <c r="G16" i="4"/>
  <c r="F16" i="4"/>
  <c r="E15" i="4"/>
  <c r="G15" i="4"/>
  <c r="F15" i="4"/>
  <c r="E14" i="4"/>
  <c r="F14" i="4"/>
  <c r="G14" i="4"/>
  <c r="F13" i="4"/>
  <c r="E13" i="4"/>
  <c r="F12" i="4"/>
  <c r="E12" i="4"/>
  <c r="G10" i="4"/>
  <c r="E10" i="4"/>
  <c r="F10" i="4"/>
  <c r="G9" i="4"/>
  <c r="F9" i="4"/>
  <c r="E9" i="4"/>
  <c r="E8" i="4"/>
  <c r="F8" i="4"/>
  <c r="G8" i="4"/>
  <c r="E7" i="4"/>
  <c r="F7" i="4"/>
  <c r="G7" i="4"/>
  <c r="F250" i="7"/>
  <c r="G250" i="7" s="1"/>
  <c r="H250" i="7"/>
  <c r="I250" i="7"/>
  <c r="J250" i="7"/>
  <c r="K250" i="7"/>
  <c r="L250" i="7"/>
  <c r="M250" i="7"/>
  <c r="N250" i="7"/>
  <c r="P250" i="7"/>
  <c r="B250" i="7"/>
  <c r="Q250" i="7"/>
  <c r="R250" i="7"/>
  <c r="S250" i="7"/>
  <c r="O250" i="7"/>
  <c r="T250" i="7"/>
  <c r="C250" i="7"/>
  <c r="D250" i="7"/>
  <c r="E250" i="7"/>
  <c r="J249" i="7"/>
  <c r="B249" i="7"/>
  <c r="C249" i="7"/>
  <c r="D249" i="7"/>
  <c r="F249" i="7"/>
  <c r="G249" i="7" s="1"/>
  <c r="H249" i="7"/>
  <c r="I249" i="7"/>
  <c r="K249" i="7"/>
  <c r="L249" i="7"/>
  <c r="M249" i="7"/>
  <c r="N249" i="7"/>
  <c r="O249" i="7"/>
  <c r="P249" i="7"/>
  <c r="Q249" i="7"/>
  <c r="R249" i="7"/>
  <c r="S249" i="7"/>
  <c r="T249" i="7"/>
  <c r="E249" i="7"/>
  <c r="T248" i="7"/>
  <c r="J248" i="7"/>
  <c r="S248" i="7"/>
  <c r="R248" i="7"/>
  <c r="Q248" i="7"/>
  <c r="P248" i="7"/>
  <c r="L248" i="7"/>
  <c r="O248" i="7"/>
  <c r="M248" i="7"/>
  <c r="B248" i="7"/>
  <c r="C248" i="7"/>
  <c r="D248" i="7"/>
  <c r="E248" i="7"/>
  <c r="F248" i="7"/>
  <c r="G248" i="7" s="1"/>
  <c r="H248" i="7"/>
  <c r="N248" i="7"/>
  <c r="I248" i="7"/>
  <c r="K248" i="7"/>
  <c r="H247" i="7"/>
  <c r="I247" i="7"/>
  <c r="O247" i="7"/>
  <c r="B247" i="7"/>
  <c r="C247" i="7"/>
  <c r="D247" i="7"/>
  <c r="E247" i="7"/>
  <c r="Q247" i="7"/>
  <c r="F247" i="7"/>
  <c r="G247" i="7" s="1"/>
  <c r="P247" i="7"/>
  <c r="T247" i="7"/>
  <c r="S247" i="7"/>
  <c r="R247" i="7"/>
  <c r="J247" i="7"/>
  <c r="K247" i="7"/>
  <c r="L247" i="7"/>
  <c r="M247" i="7"/>
  <c r="N247" i="7"/>
  <c r="J246" i="7"/>
  <c r="I246" i="7"/>
  <c r="H246" i="7"/>
  <c r="O246" i="7"/>
  <c r="M246" i="7"/>
  <c r="B246" i="7"/>
  <c r="C246" i="7"/>
  <c r="D246" i="7"/>
  <c r="E246" i="7"/>
  <c r="F246" i="7"/>
  <c r="G246" i="7" s="1"/>
  <c r="K246" i="7"/>
  <c r="N246" i="7"/>
  <c r="L246" i="7"/>
  <c r="T246" i="7"/>
  <c r="R246" i="7"/>
  <c r="P246" i="7"/>
  <c r="Q246" i="7"/>
  <c r="S246" i="7"/>
  <c r="S245" i="7"/>
  <c r="T245" i="7"/>
  <c r="B245" i="7"/>
  <c r="C245" i="7"/>
  <c r="D245" i="7"/>
  <c r="E245" i="7"/>
  <c r="F245" i="7"/>
  <c r="G245" i="7" s="1"/>
  <c r="H245" i="7"/>
  <c r="I245" i="7"/>
  <c r="P245" i="7"/>
  <c r="J245" i="7"/>
  <c r="K245" i="7"/>
  <c r="L245" i="7"/>
  <c r="M245" i="7"/>
  <c r="N245" i="7"/>
  <c r="O245" i="7"/>
  <c r="Q245" i="7"/>
  <c r="R245" i="7"/>
  <c r="J244" i="7"/>
  <c r="N244" i="7"/>
  <c r="K244" i="7"/>
  <c r="I244" i="7"/>
  <c r="H244" i="7"/>
  <c r="F244" i="7"/>
  <c r="G244" i="7" s="1"/>
  <c r="E244" i="7"/>
  <c r="D244" i="7"/>
  <c r="C244" i="7"/>
  <c r="B244" i="7"/>
  <c r="L244" i="7"/>
  <c r="T244" i="7"/>
  <c r="M244" i="7"/>
  <c r="P244" i="7"/>
  <c r="Q244" i="7"/>
  <c r="R244" i="7"/>
  <c r="S244" i="7"/>
  <c r="O244" i="7"/>
  <c r="B243" i="7"/>
  <c r="J243" i="7"/>
  <c r="T243" i="7"/>
  <c r="S243" i="7"/>
  <c r="R243" i="7"/>
  <c r="Q243" i="7"/>
  <c r="E243" i="7"/>
  <c r="D243" i="7"/>
  <c r="C243" i="7"/>
  <c r="F243" i="7"/>
  <c r="G243" i="7" s="1"/>
  <c r="P243" i="7"/>
  <c r="N243" i="7"/>
  <c r="H243" i="7"/>
  <c r="O243" i="7"/>
  <c r="I243" i="7"/>
  <c r="M243" i="7"/>
  <c r="L243" i="7"/>
  <c r="K243" i="7"/>
  <c r="T242" i="7"/>
  <c r="N242" i="7"/>
  <c r="M242" i="7"/>
  <c r="L242" i="7"/>
  <c r="I242" i="7"/>
  <c r="R242" i="7"/>
  <c r="J242" i="7"/>
  <c r="B242" i="7"/>
  <c r="C242" i="7"/>
  <c r="D242" i="7"/>
  <c r="E242" i="7"/>
  <c r="O242" i="7"/>
  <c r="P242" i="7"/>
  <c r="Q242" i="7"/>
  <c r="H242" i="7"/>
  <c r="K242" i="7"/>
  <c r="S242" i="7"/>
  <c r="F242" i="7"/>
  <c r="G242" i="7" s="1"/>
  <c r="O241" i="7"/>
  <c r="N241" i="7"/>
  <c r="M241" i="7"/>
  <c r="L241" i="7"/>
  <c r="K241" i="7"/>
  <c r="J241" i="7"/>
  <c r="I241" i="7"/>
  <c r="H241" i="7"/>
  <c r="F241" i="7"/>
  <c r="G241" i="7" s="1"/>
  <c r="E241" i="7"/>
  <c r="D241" i="7"/>
  <c r="C241" i="7"/>
  <c r="B241" i="7"/>
  <c r="T241" i="7"/>
  <c r="S241" i="7"/>
  <c r="R241" i="7"/>
  <c r="Q241" i="7"/>
  <c r="P241" i="7"/>
  <c r="I240" i="7"/>
  <c r="F240" i="7"/>
  <c r="G240" i="7" s="1"/>
  <c r="E240" i="7"/>
  <c r="Q240" i="7"/>
  <c r="D240" i="7"/>
  <c r="C240" i="7"/>
  <c r="K240" i="7"/>
  <c r="B240" i="7"/>
  <c r="O240" i="7"/>
  <c r="S240" i="7"/>
  <c r="N240" i="7"/>
  <c r="L240" i="7"/>
  <c r="M240" i="7"/>
  <c r="P240" i="7"/>
  <c r="T240" i="7"/>
  <c r="J240" i="7"/>
  <c r="R240" i="7"/>
  <c r="H240" i="7"/>
  <c r="C239" i="7"/>
  <c r="D239" i="7"/>
  <c r="E239" i="7"/>
  <c r="F239" i="7"/>
  <c r="G239" i="7" s="1"/>
  <c r="H239" i="7"/>
  <c r="J239" i="7"/>
  <c r="K239" i="7"/>
  <c r="L239" i="7"/>
  <c r="I239" i="7"/>
  <c r="M239" i="7"/>
  <c r="O239" i="7"/>
  <c r="B239" i="7"/>
  <c r="T239" i="7"/>
  <c r="S239" i="7"/>
  <c r="R239" i="7"/>
  <c r="Q239" i="7"/>
  <c r="N239" i="7"/>
  <c r="P239" i="7"/>
  <c r="B238" i="7"/>
  <c r="C238" i="7"/>
  <c r="T238" i="7"/>
  <c r="S238" i="7"/>
  <c r="R238" i="7"/>
  <c r="Q238" i="7"/>
  <c r="P238" i="7"/>
  <c r="O238" i="7"/>
  <c r="N238" i="7"/>
  <c r="M238" i="7"/>
  <c r="L238" i="7"/>
  <c r="K238" i="7"/>
  <c r="J238" i="7"/>
  <c r="I238" i="7"/>
  <c r="H238" i="7"/>
  <c r="F238" i="7"/>
  <c r="G238" i="7" s="1"/>
  <c r="E238" i="7"/>
  <c r="D238" i="7"/>
  <c r="D237" i="7"/>
  <c r="B237" i="7"/>
  <c r="C237" i="7"/>
  <c r="F237" i="7"/>
  <c r="G237" i="7" s="1"/>
  <c r="H237" i="7"/>
  <c r="I237" i="7"/>
  <c r="J237" i="7"/>
  <c r="K237" i="7"/>
  <c r="L237" i="7"/>
  <c r="M237" i="7"/>
  <c r="N237" i="7"/>
  <c r="O237" i="7"/>
  <c r="P237" i="7"/>
  <c r="Q237" i="7"/>
  <c r="R237" i="7"/>
  <c r="E237" i="7"/>
  <c r="S237" i="7"/>
  <c r="T237" i="7"/>
  <c r="L236" i="7"/>
  <c r="T236" i="7"/>
  <c r="S236" i="7"/>
  <c r="R236" i="7"/>
  <c r="Q236" i="7"/>
  <c r="P236" i="7"/>
  <c r="O236" i="7"/>
  <c r="N236" i="7"/>
  <c r="M236" i="7"/>
  <c r="K236" i="7"/>
  <c r="J236" i="7"/>
  <c r="I236" i="7"/>
  <c r="H236" i="7"/>
  <c r="F236" i="7"/>
  <c r="G236" i="7" s="1"/>
  <c r="E236" i="7"/>
  <c r="D236" i="7"/>
  <c r="C236" i="7"/>
  <c r="B236" i="7"/>
  <c r="T235" i="7"/>
  <c r="S235" i="7"/>
  <c r="R235" i="7"/>
  <c r="Q235" i="7"/>
  <c r="P235" i="7"/>
  <c r="O235" i="7"/>
  <c r="N235" i="7"/>
  <c r="M235" i="7"/>
  <c r="L235" i="7"/>
  <c r="K235" i="7"/>
  <c r="J235" i="7"/>
  <c r="I235" i="7"/>
  <c r="H235" i="7"/>
  <c r="F235" i="7"/>
  <c r="G235" i="7" s="1"/>
  <c r="E235" i="7"/>
  <c r="D235" i="7"/>
  <c r="C235" i="7"/>
  <c r="B235" i="7"/>
  <c r="Q234" i="7"/>
  <c r="T234" i="7"/>
  <c r="S234" i="7"/>
  <c r="R234" i="7"/>
  <c r="P234" i="7"/>
  <c r="O234" i="7"/>
  <c r="N234" i="7"/>
  <c r="M234" i="7"/>
  <c r="L234" i="7"/>
  <c r="K234" i="7"/>
  <c r="J234" i="7"/>
  <c r="I234" i="7"/>
  <c r="H234" i="7"/>
  <c r="F234" i="7"/>
  <c r="G234" i="7" s="1"/>
  <c r="E234" i="7"/>
  <c r="D234" i="7"/>
  <c r="C234" i="7"/>
  <c r="B234" i="7"/>
  <c r="E233" i="7"/>
  <c r="N233" i="7"/>
  <c r="O233" i="7"/>
  <c r="B233" i="7"/>
  <c r="C233" i="7"/>
  <c r="D233" i="7"/>
  <c r="F233" i="7"/>
  <c r="G233" i="7" s="1"/>
  <c r="H233" i="7"/>
  <c r="I233" i="7"/>
  <c r="J233" i="7"/>
  <c r="K233" i="7"/>
  <c r="L233" i="7"/>
  <c r="M233" i="7"/>
  <c r="T233" i="7"/>
  <c r="S233" i="7"/>
  <c r="R233" i="7"/>
  <c r="Q233" i="7"/>
  <c r="P233" i="7"/>
  <c r="R232" i="7"/>
  <c r="E232" i="7"/>
  <c r="F232" i="7"/>
  <c r="G232" i="7" s="1"/>
  <c r="H232" i="7"/>
  <c r="I232" i="7"/>
  <c r="J232" i="7"/>
  <c r="K232" i="7"/>
  <c r="L232" i="7"/>
  <c r="N232" i="7"/>
  <c r="O232" i="7"/>
  <c r="P232" i="7"/>
  <c r="Q232" i="7"/>
  <c r="S232" i="7"/>
  <c r="T232" i="7"/>
  <c r="M232" i="7"/>
  <c r="B232" i="7"/>
  <c r="C232" i="7"/>
  <c r="D232" i="7"/>
  <c r="H231" i="7"/>
  <c r="I231" i="7"/>
  <c r="J231" i="7"/>
  <c r="K231" i="7"/>
  <c r="L231" i="7"/>
  <c r="M231" i="7"/>
  <c r="N231" i="7"/>
  <c r="T231" i="7"/>
  <c r="S231" i="7"/>
  <c r="R231" i="7"/>
  <c r="Q231" i="7"/>
  <c r="P231" i="7"/>
  <c r="O231" i="7"/>
  <c r="B231" i="7"/>
  <c r="C231" i="7"/>
  <c r="D231" i="7"/>
  <c r="E231" i="7"/>
  <c r="F231" i="7"/>
  <c r="G231" i="7" s="1"/>
  <c r="B230" i="7"/>
  <c r="T230" i="7"/>
  <c r="C230" i="7"/>
  <c r="S230" i="7"/>
  <c r="R230" i="7"/>
  <c r="Q230" i="7"/>
  <c r="P230" i="7"/>
  <c r="O230" i="7"/>
  <c r="N230" i="7"/>
  <c r="M230" i="7"/>
  <c r="L230" i="7"/>
  <c r="K230" i="7"/>
  <c r="J230" i="7"/>
  <c r="I230" i="7"/>
  <c r="H230" i="7"/>
  <c r="F230" i="7"/>
  <c r="G230" i="7" s="1"/>
  <c r="E230" i="7"/>
  <c r="D230" i="7"/>
  <c r="K229" i="7"/>
  <c r="T229" i="7"/>
  <c r="B229" i="7"/>
  <c r="Q229" i="7"/>
  <c r="P229" i="7"/>
  <c r="O229" i="7"/>
  <c r="N229" i="7"/>
  <c r="S229" i="7"/>
  <c r="M229" i="7"/>
  <c r="L229" i="7"/>
  <c r="J229" i="7"/>
  <c r="I229" i="7"/>
  <c r="H229" i="7"/>
  <c r="F229" i="7"/>
  <c r="G229" i="7" s="1"/>
  <c r="E229" i="7"/>
  <c r="D229" i="7"/>
  <c r="C229" i="7"/>
  <c r="R229" i="7"/>
  <c r="C228" i="7"/>
  <c r="D228" i="7"/>
  <c r="E228" i="7"/>
  <c r="F228" i="7"/>
  <c r="G228" i="7" s="1"/>
  <c r="H228" i="7"/>
  <c r="I228" i="7"/>
  <c r="J228" i="7"/>
  <c r="K228" i="7"/>
  <c r="L228" i="7"/>
  <c r="M228" i="7"/>
  <c r="N228" i="7"/>
  <c r="O228" i="7"/>
  <c r="P228" i="7"/>
  <c r="Q228" i="7"/>
  <c r="R228" i="7"/>
  <c r="S228" i="7"/>
  <c r="T228" i="7"/>
  <c r="B228" i="7"/>
  <c r="B227" i="7"/>
  <c r="C227" i="7"/>
  <c r="D227" i="7"/>
  <c r="E227" i="7"/>
  <c r="F227" i="7"/>
  <c r="G227" i="7" s="1"/>
  <c r="H227" i="7"/>
  <c r="I227" i="7"/>
  <c r="K227" i="7"/>
  <c r="P227" i="7"/>
  <c r="L227" i="7"/>
  <c r="M227" i="7"/>
  <c r="N227" i="7"/>
  <c r="O227" i="7"/>
  <c r="Q227" i="7"/>
  <c r="R227" i="7"/>
  <c r="S227" i="7"/>
  <c r="J227" i="7"/>
  <c r="T227" i="7"/>
  <c r="S226" i="7"/>
  <c r="B226" i="7"/>
  <c r="C226" i="7"/>
  <c r="D226" i="7"/>
  <c r="E226" i="7"/>
  <c r="F226" i="7"/>
  <c r="G226" i="7" s="1"/>
  <c r="H226" i="7"/>
  <c r="I226" i="7"/>
  <c r="J226" i="7"/>
  <c r="K226" i="7"/>
  <c r="L226" i="7"/>
  <c r="M226" i="7"/>
  <c r="N226" i="7"/>
  <c r="O226" i="7"/>
  <c r="P226" i="7"/>
  <c r="Q226" i="7"/>
  <c r="R226" i="7"/>
  <c r="T226" i="7"/>
  <c r="H225" i="7"/>
  <c r="B225" i="7"/>
  <c r="C225" i="7"/>
  <c r="D225" i="7"/>
  <c r="E225" i="7"/>
  <c r="F225" i="7"/>
  <c r="G225" i="7" s="1"/>
  <c r="N225" i="7"/>
  <c r="I225" i="7"/>
  <c r="J225" i="7"/>
  <c r="K225" i="7"/>
  <c r="L225" i="7"/>
  <c r="M225" i="7"/>
  <c r="T225" i="7"/>
  <c r="O225" i="7"/>
  <c r="P225" i="7"/>
  <c r="Q225" i="7"/>
  <c r="R225" i="7"/>
  <c r="S225" i="7"/>
  <c r="L224" i="7"/>
  <c r="B224" i="7"/>
  <c r="M224" i="7"/>
  <c r="N224" i="7"/>
  <c r="P224" i="7"/>
  <c r="Q224" i="7"/>
  <c r="R224" i="7"/>
  <c r="S224" i="7"/>
  <c r="O224" i="7"/>
  <c r="I224" i="7"/>
  <c r="T224" i="7"/>
  <c r="C224" i="7"/>
  <c r="D224" i="7"/>
  <c r="E224" i="7"/>
  <c r="F224" i="7"/>
  <c r="G224" i="7" s="1"/>
  <c r="H224" i="7"/>
  <c r="J224" i="7"/>
  <c r="K224" i="7"/>
  <c r="S223" i="7"/>
  <c r="T223" i="7"/>
  <c r="B223" i="7"/>
  <c r="C223" i="7"/>
  <c r="D223" i="7"/>
  <c r="E223" i="7"/>
  <c r="F223" i="7"/>
  <c r="G223" i="7" s="1"/>
  <c r="H223" i="7"/>
  <c r="L223" i="7"/>
  <c r="M223" i="7"/>
  <c r="N223" i="7"/>
  <c r="J223" i="7"/>
  <c r="O223" i="7"/>
  <c r="P223" i="7"/>
  <c r="I223" i="7"/>
  <c r="Q223" i="7"/>
  <c r="R223" i="7"/>
  <c r="K223" i="7"/>
  <c r="T222" i="7"/>
  <c r="S222" i="7"/>
  <c r="R222" i="7"/>
  <c r="Q222" i="7"/>
  <c r="P222" i="7"/>
  <c r="O222" i="7"/>
  <c r="N222" i="7"/>
  <c r="M222" i="7"/>
  <c r="L222" i="7"/>
  <c r="K222" i="7"/>
  <c r="J222" i="7"/>
  <c r="I222" i="7"/>
  <c r="H222" i="7"/>
  <c r="E222" i="7"/>
  <c r="D222" i="7"/>
  <c r="C222" i="7"/>
  <c r="B222" i="7"/>
  <c r="F222" i="7"/>
  <c r="G222" i="7" s="1"/>
  <c r="T221" i="7"/>
  <c r="S221" i="7"/>
  <c r="R221" i="7"/>
  <c r="Q221" i="7"/>
  <c r="P221" i="7"/>
  <c r="O221" i="7"/>
  <c r="N221" i="7"/>
  <c r="M221" i="7"/>
  <c r="L221" i="7"/>
  <c r="J221" i="7"/>
  <c r="K221" i="7"/>
  <c r="D221" i="7"/>
  <c r="B221" i="7"/>
  <c r="C221" i="7"/>
  <c r="E221" i="7"/>
  <c r="F221" i="7"/>
  <c r="G221" i="7" s="1"/>
  <c r="H221" i="7"/>
  <c r="I221" i="7"/>
  <c r="P220" i="7"/>
  <c r="D220" i="7"/>
  <c r="C220" i="7"/>
  <c r="B220" i="7"/>
  <c r="T220" i="7"/>
  <c r="E220" i="7"/>
  <c r="F220" i="7"/>
  <c r="G220" i="7" s="1"/>
  <c r="H220" i="7"/>
  <c r="I220" i="7"/>
  <c r="J220" i="7"/>
  <c r="K220" i="7"/>
  <c r="L220" i="7"/>
  <c r="S220" i="7"/>
  <c r="M220" i="7"/>
  <c r="N220" i="7"/>
  <c r="O220" i="7"/>
  <c r="Q220" i="7"/>
  <c r="R220" i="7"/>
  <c r="J219" i="7"/>
  <c r="S219" i="7"/>
  <c r="D219" i="7"/>
  <c r="R219" i="7"/>
  <c r="T219" i="7"/>
  <c r="B219" i="7"/>
  <c r="C219" i="7"/>
  <c r="E219" i="7"/>
  <c r="F219" i="7"/>
  <c r="G219" i="7" s="1"/>
  <c r="I219" i="7"/>
  <c r="K219" i="7"/>
  <c r="H219" i="7"/>
  <c r="L219" i="7"/>
  <c r="M219" i="7"/>
  <c r="N219" i="7"/>
  <c r="O219" i="7"/>
  <c r="P219" i="7"/>
  <c r="Q219" i="7"/>
  <c r="O218" i="7"/>
  <c r="S218" i="7"/>
  <c r="N218" i="7"/>
  <c r="T218" i="7"/>
  <c r="M218" i="7"/>
  <c r="L218" i="7"/>
  <c r="K218" i="7"/>
  <c r="R218" i="7"/>
  <c r="J218" i="7"/>
  <c r="Q218" i="7"/>
  <c r="P218" i="7"/>
  <c r="B218" i="7"/>
  <c r="C218" i="7"/>
  <c r="D218" i="7"/>
  <c r="E218" i="7"/>
  <c r="F218" i="7"/>
  <c r="G218" i="7" s="1"/>
  <c r="H218" i="7"/>
  <c r="I218" i="7"/>
  <c r="K217" i="7"/>
  <c r="L217" i="7"/>
  <c r="M217" i="7"/>
  <c r="O217" i="7"/>
  <c r="P217" i="7"/>
  <c r="Q217" i="7"/>
  <c r="R217" i="7"/>
  <c r="S217" i="7"/>
  <c r="T217" i="7"/>
  <c r="N217" i="7"/>
  <c r="B217" i="7"/>
  <c r="C217" i="7"/>
  <c r="D217" i="7"/>
  <c r="E217" i="7"/>
  <c r="F217" i="7"/>
  <c r="G217" i="7" s="1"/>
  <c r="H217" i="7"/>
  <c r="I217" i="7"/>
  <c r="J217" i="7"/>
  <c r="I216" i="7"/>
  <c r="N216" i="7"/>
  <c r="H216" i="7"/>
  <c r="F216" i="7"/>
  <c r="G216" i="7" s="1"/>
  <c r="E216" i="7"/>
  <c r="D216" i="7"/>
  <c r="C216" i="7"/>
  <c r="B216" i="7"/>
  <c r="O216" i="7"/>
  <c r="L216" i="7"/>
  <c r="K216" i="7"/>
  <c r="M216" i="7"/>
  <c r="J216" i="7"/>
  <c r="T216" i="7"/>
  <c r="S216" i="7"/>
  <c r="R216" i="7"/>
  <c r="Q216" i="7"/>
  <c r="P216" i="7"/>
  <c r="T215" i="7"/>
  <c r="S215" i="7"/>
  <c r="R215" i="7"/>
  <c r="Q215" i="7"/>
  <c r="P215" i="7"/>
  <c r="O215" i="7"/>
  <c r="N215" i="7"/>
  <c r="M215" i="7"/>
  <c r="L215" i="7"/>
  <c r="K215" i="7"/>
  <c r="F215" i="7"/>
  <c r="G215" i="7" s="1"/>
  <c r="E215" i="7"/>
  <c r="D215" i="7"/>
  <c r="C215" i="7"/>
  <c r="B215" i="7"/>
  <c r="I215" i="7"/>
  <c r="H215" i="7"/>
  <c r="J215" i="7"/>
  <c r="I214" i="7"/>
  <c r="H214" i="7"/>
  <c r="F214" i="7"/>
  <c r="G214" i="7" s="1"/>
  <c r="E214" i="7"/>
  <c r="D214" i="7"/>
  <c r="C214" i="7"/>
  <c r="B214" i="7"/>
  <c r="S214" i="7"/>
  <c r="R214" i="7"/>
  <c r="Q214" i="7"/>
  <c r="P214" i="7"/>
  <c r="O214" i="7"/>
  <c r="N214" i="7"/>
  <c r="M214" i="7"/>
  <c r="L214" i="7"/>
  <c r="K214" i="7"/>
  <c r="J214" i="7"/>
  <c r="T214" i="7"/>
  <c r="H213" i="7"/>
  <c r="F213" i="7"/>
  <c r="G213" i="7" s="1"/>
  <c r="E213" i="7"/>
  <c r="D213" i="7"/>
  <c r="I213" i="7"/>
  <c r="C213" i="7"/>
  <c r="B213" i="7"/>
  <c r="T213" i="7"/>
  <c r="S213" i="7"/>
  <c r="R213" i="7"/>
  <c r="Q213" i="7"/>
  <c r="P213" i="7"/>
  <c r="N213" i="7"/>
  <c r="M213" i="7"/>
  <c r="L213" i="7"/>
  <c r="K213" i="7"/>
  <c r="J213" i="7"/>
  <c r="O213" i="7"/>
  <c r="Q212" i="7"/>
  <c r="T212" i="7"/>
  <c r="S212" i="7"/>
  <c r="B212" i="7"/>
  <c r="C212" i="7"/>
  <c r="R212" i="7"/>
  <c r="D212" i="7"/>
  <c r="E212" i="7"/>
  <c r="F212" i="7"/>
  <c r="G212" i="7" s="1"/>
  <c r="H212" i="7"/>
  <c r="I212" i="7"/>
  <c r="P212" i="7"/>
  <c r="K212" i="7"/>
  <c r="L212" i="7"/>
  <c r="M212" i="7"/>
  <c r="N212" i="7"/>
  <c r="O212" i="7"/>
  <c r="J212" i="7"/>
  <c r="L211" i="7"/>
  <c r="K211" i="7"/>
  <c r="J211" i="7"/>
  <c r="I211" i="7"/>
  <c r="H211" i="7"/>
  <c r="F211" i="7"/>
  <c r="G211" i="7" s="1"/>
  <c r="E211" i="7"/>
  <c r="C211" i="7"/>
  <c r="B211" i="7"/>
  <c r="D211" i="7"/>
  <c r="T211" i="7"/>
  <c r="S211" i="7"/>
  <c r="R211" i="7"/>
  <c r="Q211" i="7"/>
  <c r="P211" i="7"/>
  <c r="O211" i="7"/>
  <c r="N211" i="7"/>
  <c r="M211" i="7"/>
  <c r="I210" i="7"/>
  <c r="L210" i="7"/>
  <c r="C210" i="7"/>
  <c r="T210" i="7"/>
  <c r="S210" i="7"/>
  <c r="R210" i="7"/>
  <c r="Q210" i="7"/>
  <c r="P210" i="7"/>
  <c r="O210" i="7"/>
  <c r="N210" i="7"/>
  <c r="J210" i="7"/>
  <c r="M210" i="7"/>
  <c r="K210" i="7"/>
  <c r="H210" i="7"/>
  <c r="F210" i="7"/>
  <c r="G210" i="7" s="1"/>
  <c r="E210" i="7"/>
  <c r="D210" i="7"/>
  <c r="B210" i="7"/>
  <c r="C209" i="7"/>
  <c r="D209" i="7"/>
  <c r="E209" i="7"/>
  <c r="F209" i="7"/>
  <c r="G209" i="7" s="1"/>
  <c r="H209" i="7"/>
  <c r="I209" i="7"/>
  <c r="J209" i="7"/>
  <c r="K209" i="7"/>
  <c r="T209" i="7"/>
  <c r="N209" i="7"/>
  <c r="P209" i="7"/>
  <c r="O209" i="7"/>
  <c r="M209" i="7"/>
  <c r="B209" i="7"/>
  <c r="L209" i="7"/>
  <c r="R209" i="7"/>
  <c r="Q209" i="7"/>
  <c r="S209" i="7"/>
  <c r="K208" i="7"/>
  <c r="J208" i="7"/>
  <c r="I208" i="7"/>
  <c r="H208" i="7"/>
  <c r="F208" i="7"/>
  <c r="G208" i="7" s="1"/>
  <c r="E208" i="7"/>
  <c r="D208" i="7"/>
  <c r="C208" i="7"/>
  <c r="B208" i="7"/>
  <c r="O208" i="7"/>
  <c r="T208" i="7"/>
  <c r="S208" i="7"/>
  <c r="R208" i="7"/>
  <c r="Q208" i="7"/>
  <c r="P208" i="7"/>
  <c r="N208" i="7"/>
  <c r="M208" i="7"/>
  <c r="L208" i="7"/>
  <c r="H207" i="7"/>
  <c r="I207" i="7"/>
  <c r="J207" i="7"/>
  <c r="K207" i="7"/>
  <c r="L207" i="7"/>
  <c r="M207" i="7"/>
  <c r="N207" i="7"/>
  <c r="O207" i="7"/>
  <c r="Q207" i="7"/>
  <c r="R207" i="7"/>
  <c r="S207" i="7"/>
  <c r="T207" i="7"/>
  <c r="F207" i="7"/>
  <c r="G207" i="7" s="1"/>
  <c r="E207" i="7"/>
  <c r="D207" i="7"/>
  <c r="C207" i="7"/>
  <c r="B207" i="7"/>
  <c r="P207" i="7"/>
  <c r="Q206" i="7"/>
  <c r="P206" i="7"/>
  <c r="O206" i="7"/>
  <c r="F206" i="7"/>
  <c r="G206" i="7" s="1"/>
  <c r="N206" i="7"/>
  <c r="M206" i="7"/>
  <c r="L206" i="7"/>
  <c r="J206" i="7"/>
  <c r="I206" i="7"/>
  <c r="E206" i="7"/>
  <c r="K206" i="7"/>
  <c r="H206" i="7"/>
  <c r="B206" i="7"/>
  <c r="C206" i="7"/>
  <c r="D206" i="7"/>
  <c r="T206" i="7"/>
  <c r="S206" i="7"/>
  <c r="R206" i="7"/>
  <c r="K205" i="7"/>
  <c r="J205" i="7"/>
  <c r="I205" i="7"/>
  <c r="H205" i="7"/>
  <c r="F205" i="7"/>
  <c r="G205" i="7" s="1"/>
  <c r="E205" i="7"/>
  <c r="D205" i="7"/>
  <c r="C205" i="7"/>
  <c r="M205" i="7"/>
  <c r="B205" i="7"/>
  <c r="T205" i="7"/>
  <c r="S205" i="7"/>
  <c r="R205" i="7"/>
  <c r="Q205" i="7"/>
  <c r="P205" i="7"/>
  <c r="O205" i="7"/>
  <c r="N205" i="7"/>
  <c r="L205" i="7"/>
  <c r="E204" i="7"/>
  <c r="D204" i="7"/>
  <c r="C204" i="7"/>
  <c r="F204" i="7"/>
  <c r="G204" i="7" s="1"/>
  <c r="P204" i="7"/>
  <c r="O204" i="7"/>
  <c r="N204" i="7"/>
  <c r="M204" i="7"/>
  <c r="L204" i="7"/>
  <c r="K204" i="7"/>
  <c r="J204" i="7"/>
  <c r="I204" i="7"/>
  <c r="H204" i="7"/>
  <c r="B204" i="7"/>
  <c r="T204" i="7"/>
  <c r="S204" i="7"/>
  <c r="R204" i="7"/>
  <c r="Q204" i="7"/>
  <c r="S203" i="7"/>
  <c r="R203" i="7"/>
  <c r="Q203" i="7"/>
  <c r="P203" i="7"/>
  <c r="O203" i="7"/>
  <c r="C203" i="7"/>
  <c r="B203" i="7"/>
  <c r="D203" i="7"/>
  <c r="E203" i="7"/>
  <c r="F203" i="7"/>
  <c r="G203" i="7" s="1"/>
  <c r="H203" i="7"/>
  <c r="N203" i="7"/>
  <c r="T203" i="7"/>
  <c r="J203" i="7"/>
  <c r="K203" i="7"/>
  <c r="L203" i="7"/>
  <c r="M203" i="7"/>
  <c r="I203" i="7"/>
  <c r="S202" i="7"/>
  <c r="T202" i="7"/>
  <c r="I202" i="7"/>
  <c r="B202" i="7"/>
  <c r="C202" i="7"/>
  <c r="D202" i="7"/>
  <c r="E202" i="7"/>
  <c r="F202" i="7"/>
  <c r="G202" i="7" s="1"/>
  <c r="H202" i="7"/>
  <c r="J202" i="7"/>
  <c r="K202" i="7"/>
  <c r="L202" i="7"/>
  <c r="M202" i="7"/>
  <c r="N202" i="7"/>
  <c r="O202" i="7"/>
  <c r="P202" i="7"/>
  <c r="Q202" i="7"/>
  <c r="R202" i="7"/>
  <c r="J201" i="7"/>
  <c r="K201" i="7"/>
  <c r="L201" i="7"/>
  <c r="T201" i="7"/>
  <c r="S201" i="7"/>
  <c r="R201" i="7"/>
  <c r="M201" i="7"/>
  <c r="Q201" i="7"/>
  <c r="P201" i="7"/>
  <c r="O201" i="7"/>
  <c r="N201" i="7"/>
  <c r="B201" i="7"/>
  <c r="C201" i="7"/>
  <c r="D201" i="7"/>
  <c r="E201" i="7"/>
  <c r="F201" i="7"/>
  <c r="G201" i="7" s="1"/>
  <c r="H201" i="7"/>
  <c r="I201" i="7"/>
  <c r="L200" i="7"/>
  <c r="K200" i="7"/>
  <c r="J200" i="7"/>
  <c r="I200" i="7"/>
  <c r="H200" i="7"/>
  <c r="C200" i="7"/>
  <c r="D200" i="7"/>
  <c r="E200" i="7"/>
  <c r="F200" i="7"/>
  <c r="G200" i="7" s="1"/>
  <c r="B200" i="7"/>
  <c r="P200" i="7"/>
  <c r="T200" i="7"/>
  <c r="S200" i="7"/>
  <c r="R200" i="7"/>
  <c r="Q200" i="7"/>
  <c r="O200" i="7"/>
  <c r="N200" i="7"/>
  <c r="M200" i="7"/>
  <c r="P199" i="7"/>
  <c r="Q199" i="7"/>
  <c r="R199" i="7"/>
  <c r="S199" i="7"/>
  <c r="T199" i="7"/>
  <c r="C199" i="7"/>
  <c r="H199" i="7"/>
  <c r="L199" i="7"/>
  <c r="F199" i="7"/>
  <c r="G199" i="7" s="1"/>
  <c r="E199" i="7"/>
  <c r="D199" i="7"/>
  <c r="B199" i="7"/>
  <c r="K199" i="7"/>
  <c r="J199" i="7"/>
  <c r="M199" i="7"/>
  <c r="I199" i="7"/>
  <c r="N199" i="7"/>
  <c r="O199" i="7"/>
  <c r="L198" i="7"/>
  <c r="K198" i="7"/>
  <c r="J198" i="7"/>
  <c r="I198" i="7"/>
  <c r="H198" i="7"/>
  <c r="E198" i="7"/>
  <c r="D198" i="7"/>
  <c r="C198" i="7"/>
  <c r="B198" i="7"/>
  <c r="F198" i="7"/>
  <c r="G198" i="7" s="1"/>
  <c r="T198" i="7"/>
  <c r="S198" i="7"/>
  <c r="R198" i="7"/>
  <c r="Q198" i="7"/>
  <c r="P198" i="7"/>
  <c r="O198" i="7"/>
  <c r="N198" i="7"/>
  <c r="M198" i="7"/>
  <c r="F197" i="7"/>
  <c r="G197" i="7" s="1"/>
  <c r="L197" i="7"/>
  <c r="M197" i="7"/>
  <c r="N197" i="7"/>
  <c r="O197" i="7"/>
  <c r="Q197" i="7"/>
  <c r="E197" i="7"/>
  <c r="R197" i="7"/>
  <c r="C197" i="7"/>
  <c r="B197" i="7"/>
  <c r="P197" i="7"/>
  <c r="K197" i="7"/>
  <c r="S197" i="7"/>
  <c r="T197" i="7"/>
  <c r="D197" i="7"/>
  <c r="I197" i="7"/>
  <c r="H197" i="7"/>
  <c r="J197" i="7"/>
  <c r="B196" i="7"/>
  <c r="C196" i="7"/>
  <c r="H196" i="7"/>
  <c r="Q196" i="7"/>
  <c r="R196" i="7"/>
  <c r="T196" i="7"/>
  <c r="K196" i="7"/>
  <c r="J196" i="7"/>
  <c r="I196" i="7"/>
  <c r="M196" i="7"/>
  <c r="D196" i="7"/>
  <c r="E196" i="7"/>
  <c r="F196" i="7"/>
  <c r="G196" i="7" s="1"/>
  <c r="P196" i="7"/>
  <c r="N196" i="7"/>
  <c r="O196" i="7"/>
  <c r="L196" i="7"/>
  <c r="S196" i="7"/>
  <c r="I195" i="7"/>
  <c r="C195" i="7"/>
  <c r="T195" i="7"/>
  <c r="O195" i="7"/>
  <c r="R195" i="7"/>
  <c r="P195" i="7"/>
  <c r="S195" i="7"/>
  <c r="Q195" i="7"/>
  <c r="K195" i="7"/>
  <c r="M195" i="7"/>
  <c r="J195" i="7"/>
  <c r="B195" i="7"/>
  <c r="H195" i="7"/>
  <c r="F195" i="7"/>
  <c r="G195" i="7" s="1"/>
  <c r="E195" i="7"/>
  <c r="D195" i="7"/>
  <c r="L195" i="7"/>
  <c r="N195" i="7"/>
  <c r="E194" i="7"/>
  <c r="C194" i="7"/>
  <c r="B194" i="7"/>
  <c r="S194" i="7"/>
  <c r="P194" i="7"/>
  <c r="N194" i="7"/>
  <c r="K194" i="7"/>
  <c r="I194" i="7"/>
  <c r="T194" i="7"/>
  <c r="R194" i="7"/>
  <c r="Q194" i="7"/>
  <c r="O194" i="7"/>
  <c r="M194" i="7"/>
  <c r="L194" i="7"/>
  <c r="J194" i="7"/>
  <c r="H194" i="7"/>
  <c r="F194" i="7"/>
  <c r="G194" i="7" s="1"/>
  <c r="D194" i="7"/>
  <c r="S193" i="7"/>
  <c r="Q193" i="7"/>
  <c r="N193" i="7"/>
  <c r="L193" i="7"/>
  <c r="J193" i="7"/>
  <c r="H193" i="7"/>
  <c r="B193" i="7"/>
  <c r="E193" i="7"/>
  <c r="D193" i="7"/>
  <c r="C193" i="7"/>
  <c r="F193" i="7"/>
  <c r="G193" i="7" s="1"/>
  <c r="I193" i="7"/>
  <c r="K193" i="7"/>
  <c r="M193" i="7"/>
  <c r="O193" i="7"/>
  <c r="P193" i="7"/>
  <c r="R193" i="7"/>
  <c r="T193" i="7"/>
  <c r="B192" i="7"/>
  <c r="T192" i="7"/>
  <c r="E192" i="7"/>
  <c r="F192" i="7"/>
  <c r="G192" i="7" s="1"/>
  <c r="H192" i="7"/>
  <c r="J192" i="7"/>
  <c r="L192" i="7"/>
  <c r="N192" i="7"/>
  <c r="O192" i="7"/>
  <c r="Q192" i="7"/>
  <c r="C192" i="7"/>
  <c r="S192" i="7"/>
  <c r="R192" i="7"/>
  <c r="P192" i="7"/>
  <c r="M192" i="7"/>
  <c r="K192" i="7"/>
  <c r="I192" i="7"/>
  <c r="D192" i="7"/>
  <c r="Q191" i="7"/>
  <c r="S191" i="7"/>
  <c r="P191" i="7"/>
  <c r="N191" i="7"/>
  <c r="L191" i="7"/>
  <c r="J191" i="7"/>
  <c r="I191" i="7"/>
  <c r="D191" i="7"/>
  <c r="T191" i="7"/>
  <c r="R191" i="7"/>
  <c r="B191" i="7"/>
  <c r="O191" i="7"/>
  <c r="C191" i="7"/>
  <c r="E191" i="7"/>
  <c r="F191" i="7"/>
  <c r="G191" i="7" s="1"/>
  <c r="H191" i="7"/>
  <c r="K191" i="7"/>
  <c r="M191" i="7"/>
  <c r="C190" i="7"/>
  <c r="B190" i="7"/>
  <c r="D190" i="7"/>
  <c r="F190" i="7"/>
  <c r="G190" i="7" s="1"/>
  <c r="H190" i="7"/>
  <c r="J190" i="7"/>
  <c r="L190" i="7"/>
  <c r="N190" i="7"/>
  <c r="O190" i="7"/>
  <c r="Q190" i="7"/>
  <c r="S190" i="7"/>
  <c r="T190" i="7"/>
  <c r="R190" i="7"/>
  <c r="P190" i="7"/>
  <c r="M190" i="7"/>
  <c r="K190" i="7"/>
  <c r="I190" i="7"/>
  <c r="E190" i="7"/>
  <c r="B189" i="7"/>
  <c r="C189" i="7"/>
  <c r="E189" i="7"/>
  <c r="J189" i="7"/>
  <c r="L189" i="7"/>
  <c r="M189" i="7"/>
  <c r="O189" i="7"/>
  <c r="R189" i="7"/>
  <c r="S189" i="7"/>
  <c r="T189" i="7"/>
  <c r="Q189" i="7"/>
  <c r="P189" i="7"/>
  <c r="N189" i="7"/>
  <c r="K189" i="7"/>
  <c r="I189" i="7"/>
  <c r="H189" i="7"/>
  <c r="F189" i="7"/>
  <c r="G189" i="7" s="1"/>
  <c r="D189" i="7"/>
  <c r="M188" i="7"/>
  <c r="S188" i="7"/>
  <c r="R188" i="7"/>
  <c r="T188" i="7"/>
  <c r="C188" i="7"/>
  <c r="E188" i="7"/>
  <c r="H188" i="7"/>
  <c r="B188" i="7"/>
  <c r="D188" i="7"/>
  <c r="O188" i="7"/>
  <c r="F188" i="7"/>
  <c r="G188" i="7" s="1"/>
  <c r="I188" i="7"/>
  <c r="P188" i="7"/>
  <c r="J188" i="7"/>
  <c r="L188" i="7"/>
  <c r="N188" i="7"/>
  <c r="Q188" i="7"/>
  <c r="K188" i="7"/>
  <c r="S187" i="7"/>
  <c r="J187" i="7"/>
  <c r="L187" i="7"/>
  <c r="M187" i="7"/>
  <c r="P187" i="7"/>
  <c r="Q187" i="7"/>
  <c r="D187" i="7"/>
  <c r="F187" i="7"/>
  <c r="G187" i="7" s="1"/>
  <c r="B187" i="7"/>
  <c r="T187" i="7"/>
  <c r="H187" i="7"/>
  <c r="R187" i="7"/>
  <c r="O187" i="7"/>
  <c r="N187" i="7"/>
  <c r="K187" i="7"/>
  <c r="I187" i="7"/>
  <c r="E187" i="7"/>
  <c r="C187" i="7"/>
  <c r="E186" i="7"/>
  <c r="M186" i="7"/>
  <c r="K186" i="7"/>
  <c r="H186" i="7"/>
  <c r="F186" i="7"/>
  <c r="G186" i="7" s="1"/>
  <c r="D186" i="7"/>
  <c r="C186" i="7"/>
  <c r="O186" i="7"/>
  <c r="R186" i="7"/>
  <c r="T186" i="7"/>
  <c r="S186" i="7"/>
  <c r="Q186" i="7"/>
  <c r="P186" i="7"/>
  <c r="N186" i="7"/>
  <c r="L186" i="7"/>
  <c r="J186" i="7"/>
  <c r="I186" i="7"/>
  <c r="B186" i="7"/>
  <c r="T185" i="7"/>
  <c r="E185" i="7"/>
  <c r="C185" i="7"/>
  <c r="B185" i="7"/>
  <c r="D185" i="7"/>
  <c r="I185" i="7"/>
  <c r="K185" i="7"/>
  <c r="M185" i="7"/>
  <c r="O185" i="7"/>
  <c r="Q185" i="7"/>
  <c r="S185" i="7"/>
  <c r="R185" i="7"/>
  <c r="P185" i="7"/>
  <c r="N185" i="7"/>
  <c r="L185" i="7"/>
  <c r="J185" i="7"/>
  <c r="H185" i="7"/>
  <c r="F185" i="7"/>
  <c r="G185" i="7" s="1"/>
  <c r="E184" i="7"/>
  <c r="C184" i="7"/>
  <c r="T184" i="7"/>
  <c r="R184" i="7"/>
  <c r="P184" i="7"/>
  <c r="M184" i="7"/>
  <c r="K184" i="7"/>
  <c r="I184" i="7"/>
  <c r="F184" i="7"/>
  <c r="G184" i="7" s="1"/>
  <c r="D184" i="7"/>
  <c r="B184" i="7"/>
  <c r="S184" i="7"/>
  <c r="Q184" i="7"/>
  <c r="O184" i="7"/>
  <c r="N184" i="7"/>
  <c r="L184" i="7"/>
  <c r="J184" i="7"/>
  <c r="H184" i="7"/>
  <c r="L183" i="7"/>
  <c r="T183" i="7"/>
  <c r="B183" i="7"/>
  <c r="Q183" i="7"/>
  <c r="O183" i="7"/>
  <c r="N183" i="7"/>
  <c r="J183" i="7"/>
  <c r="H183" i="7"/>
  <c r="F183" i="7"/>
  <c r="G183" i="7" s="1"/>
  <c r="D183" i="7"/>
  <c r="S183" i="7"/>
  <c r="R183" i="7"/>
  <c r="P183" i="7"/>
  <c r="M183" i="7"/>
  <c r="K183" i="7"/>
  <c r="I183" i="7"/>
  <c r="E183" i="7"/>
  <c r="C183" i="7"/>
  <c r="F182" i="7"/>
  <c r="G182" i="7" s="1"/>
  <c r="D182" i="7"/>
  <c r="T182" i="7"/>
  <c r="R182" i="7"/>
  <c r="Q182" i="7"/>
  <c r="O182" i="7"/>
  <c r="M182" i="7"/>
  <c r="E182" i="7"/>
  <c r="H182" i="7"/>
  <c r="I182" i="7"/>
  <c r="N182" i="7"/>
  <c r="L182" i="7"/>
  <c r="J182" i="7"/>
  <c r="S182" i="7"/>
  <c r="P182" i="7"/>
  <c r="K182" i="7"/>
  <c r="B182" i="7"/>
  <c r="C182" i="7"/>
  <c r="F181" i="7"/>
  <c r="G181" i="7" s="1"/>
  <c r="N181" i="7"/>
  <c r="L181" i="7"/>
  <c r="T181" i="7"/>
  <c r="S181" i="7"/>
  <c r="R181" i="7"/>
  <c r="Q181" i="7"/>
  <c r="P181" i="7"/>
  <c r="O181" i="7"/>
  <c r="M181" i="7"/>
  <c r="K181" i="7"/>
  <c r="H181" i="7"/>
  <c r="J181" i="7"/>
  <c r="D181" i="7"/>
  <c r="B181" i="7"/>
  <c r="I181" i="7"/>
  <c r="E181" i="7"/>
  <c r="C181" i="7"/>
  <c r="T180" i="7"/>
  <c r="Q180" i="7"/>
  <c r="O180" i="7"/>
  <c r="M180" i="7"/>
  <c r="K180" i="7"/>
  <c r="J180" i="7"/>
  <c r="H180" i="7"/>
  <c r="F180" i="7"/>
  <c r="G180" i="7" s="1"/>
  <c r="C180" i="7"/>
  <c r="B180" i="7"/>
  <c r="E180" i="7"/>
  <c r="S180" i="7"/>
  <c r="I180" i="7"/>
  <c r="R180" i="7"/>
  <c r="P180" i="7"/>
  <c r="N180" i="7"/>
  <c r="L180" i="7"/>
  <c r="D180" i="7"/>
  <c r="T179" i="7"/>
  <c r="R179" i="7"/>
  <c r="P179" i="7"/>
  <c r="N179" i="7"/>
  <c r="L179" i="7"/>
  <c r="J179" i="7"/>
  <c r="H179" i="7"/>
  <c r="S179" i="7"/>
  <c r="Q179" i="7"/>
  <c r="O179" i="7"/>
  <c r="M179" i="7"/>
  <c r="K179" i="7"/>
  <c r="I179" i="7"/>
  <c r="F179" i="7"/>
  <c r="G179" i="7" s="1"/>
  <c r="E179" i="7"/>
  <c r="D179" i="7"/>
  <c r="C179" i="7"/>
  <c r="B179" i="7"/>
  <c r="B178" i="7"/>
  <c r="R178" i="7"/>
  <c r="P178" i="7"/>
  <c r="M178" i="7"/>
  <c r="K178" i="7"/>
  <c r="I178" i="7"/>
  <c r="E178" i="7"/>
  <c r="C178" i="7"/>
  <c r="D178" i="7"/>
  <c r="F178" i="7"/>
  <c r="G178" i="7" s="1"/>
  <c r="H178" i="7"/>
  <c r="J178" i="7"/>
  <c r="L178" i="7"/>
  <c r="N178" i="7"/>
  <c r="O178" i="7"/>
  <c r="Q178" i="7"/>
  <c r="T178" i="7"/>
  <c r="S178" i="7"/>
  <c r="H177" i="7"/>
  <c r="J177" i="7"/>
  <c r="N177" i="7"/>
  <c r="P177" i="7"/>
  <c r="Q177" i="7"/>
  <c r="S177" i="7"/>
  <c r="F177" i="7"/>
  <c r="G177" i="7" s="1"/>
  <c r="T177" i="7"/>
  <c r="R177" i="7"/>
  <c r="O177" i="7"/>
  <c r="M177" i="7"/>
  <c r="L177" i="7"/>
  <c r="K177" i="7"/>
  <c r="I177" i="7"/>
  <c r="E177" i="7"/>
  <c r="C177" i="7"/>
  <c r="B177" i="7"/>
  <c r="D177" i="7"/>
  <c r="N176" i="7"/>
  <c r="S176" i="7"/>
  <c r="Q176" i="7"/>
  <c r="O176" i="7"/>
  <c r="M176" i="7"/>
  <c r="L176" i="7"/>
  <c r="J176" i="7"/>
  <c r="H176" i="7"/>
  <c r="F176" i="7"/>
  <c r="G176" i="7" s="1"/>
  <c r="E176" i="7"/>
  <c r="C176" i="7"/>
  <c r="P176" i="7"/>
  <c r="K176" i="7"/>
  <c r="I176" i="7"/>
  <c r="D176" i="7"/>
  <c r="B176" i="7"/>
  <c r="T176" i="7"/>
  <c r="R176" i="7"/>
  <c r="S175" i="7"/>
  <c r="Q175" i="7"/>
  <c r="N175" i="7"/>
  <c r="L175" i="7"/>
  <c r="K175" i="7"/>
  <c r="I175" i="7"/>
  <c r="F175" i="7"/>
  <c r="G175" i="7" s="1"/>
  <c r="C175" i="7"/>
  <c r="J175" i="7"/>
  <c r="M175" i="7"/>
  <c r="O175" i="7"/>
  <c r="P175" i="7"/>
  <c r="R175" i="7"/>
  <c r="T175" i="7"/>
  <c r="H175" i="7"/>
  <c r="B175" i="7"/>
  <c r="D175" i="7"/>
  <c r="E175" i="7"/>
  <c r="S174" i="7"/>
  <c r="R174" i="7"/>
  <c r="P174" i="7"/>
  <c r="M174" i="7"/>
  <c r="K174" i="7"/>
  <c r="I174" i="7"/>
  <c r="E174" i="7"/>
  <c r="C174" i="7"/>
  <c r="B174" i="7"/>
  <c r="D174" i="7"/>
  <c r="T174" i="7"/>
  <c r="Q174" i="7"/>
  <c r="O174" i="7"/>
  <c r="N174" i="7"/>
  <c r="L174" i="7"/>
  <c r="J174" i="7"/>
  <c r="H174" i="7"/>
  <c r="F174" i="7"/>
  <c r="G174" i="7" s="1"/>
  <c r="S173" i="7"/>
  <c r="P173" i="7"/>
  <c r="N173" i="7"/>
  <c r="L173" i="7"/>
  <c r="J173" i="7"/>
  <c r="H173" i="7"/>
  <c r="F173" i="7"/>
  <c r="G173" i="7" s="1"/>
  <c r="E173" i="7"/>
  <c r="C173" i="7"/>
  <c r="D173" i="7"/>
  <c r="B173" i="7"/>
  <c r="O173" i="7"/>
  <c r="Q173" i="7"/>
  <c r="T173" i="7"/>
  <c r="R173" i="7"/>
  <c r="M173" i="7"/>
  <c r="K173" i="7"/>
  <c r="I173" i="7"/>
  <c r="O172" i="7"/>
  <c r="M172" i="7"/>
  <c r="J172" i="7"/>
  <c r="F172" i="7"/>
  <c r="G172" i="7" s="1"/>
  <c r="D172" i="7"/>
  <c r="I172" i="7"/>
  <c r="K172" i="7"/>
  <c r="L172" i="7"/>
  <c r="N172" i="7"/>
  <c r="S172" i="7"/>
  <c r="T172" i="7"/>
  <c r="E172" i="7"/>
  <c r="R172" i="7"/>
  <c r="Q172" i="7"/>
  <c r="P172" i="7"/>
  <c r="C172" i="7"/>
  <c r="H172" i="7"/>
  <c r="B172" i="7"/>
  <c r="M171" i="7"/>
  <c r="T171" i="7"/>
  <c r="R171" i="7"/>
  <c r="Q171" i="7"/>
  <c r="O171" i="7"/>
  <c r="S171" i="7"/>
  <c r="B171" i="7"/>
  <c r="I171" i="7"/>
  <c r="F171" i="7"/>
  <c r="G171" i="7" s="1"/>
  <c r="D171" i="7"/>
  <c r="C171" i="7"/>
  <c r="K171" i="7"/>
  <c r="H171" i="7"/>
  <c r="J171" i="7"/>
  <c r="L171" i="7"/>
  <c r="N171" i="7"/>
  <c r="P171" i="7"/>
  <c r="E171" i="7"/>
  <c r="S170" i="7"/>
  <c r="R170" i="7"/>
  <c r="P170" i="7"/>
  <c r="N170" i="7"/>
  <c r="J170" i="7"/>
  <c r="H170" i="7"/>
  <c r="F170" i="7"/>
  <c r="G170" i="7" s="1"/>
  <c r="E170" i="7"/>
  <c r="T170" i="7"/>
  <c r="Q170" i="7"/>
  <c r="O170" i="7"/>
  <c r="M170" i="7"/>
  <c r="L170" i="7"/>
  <c r="K170" i="7"/>
  <c r="I170" i="7"/>
  <c r="D170" i="7"/>
  <c r="B170" i="7"/>
  <c r="C170" i="7"/>
  <c r="S169" i="7"/>
  <c r="Q169" i="7"/>
  <c r="O169" i="7"/>
  <c r="M169" i="7"/>
  <c r="L169" i="7"/>
  <c r="J169" i="7"/>
  <c r="F169" i="7"/>
  <c r="G169" i="7" s="1"/>
  <c r="D169" i="7"/>
  <c r="B169" i="7"/>
  <c r="H169" i="7"/>
  <c r="E169" i="7"/>
  <c r="C169" i="7"/>
  <c r="T169" i="7"/>
  <c r="R169" i="7"/>
  <c r="P169" i="7"/>
  <c r="N169" i="7"/>
  <c r="K169" i="7"/>
  <c r="I169" i="7"/>
  <c r="N168" i="7"/>
  <c r="P168" i="7"/>
  <c r="R168" i="7"/>
  <c r="F168" i="7"/>
  <c r="G168" i="7" s="1"/>
  <c r="D168" i="7"/>
  <c r="B168" i="7"/>
  <c r="S168" i="7"/>
  <c r="C168" i="7"/>
  <c r="E168" i="7"/>
  <c r="H168" i="7"/>
  <c r="J168" i="7"/>
  <c r="L168" i="7"/>
  <c r="T168" i="7"/>
  <c r="Q168" i="7"/>
  <c r="O168" i="7"/>
  <c r="M168" i="7"/>
  <c r="K168" i="7"/>
  <c r="I168" i="7"/>
  <c r="N167" i="7"/>
  <c r="P167" i="7"/>
  <c r="R167" i="7"/>
  <c r="S167" i="7"/>
  <c r="Q167" i="7"/>
  <c r="O167" i="7"/>
  <c r="M167" i="7"/>
  <c r="K167" i="7"/>
  <c r="J167" i="7"/>
  <c r="H167" i="7"/>
  <c r="F167" i="7"/>
  <c r="G167" i="7" s="1"/>
  <c r="D167" i="7"/>
  <c r="B167" i="7"/>
  <c r="T167" i="7"/>
  <c r="C167" i="7"/>
  <c r="E167" i="7"/>
  <c r="I167" i="7"/>
  <c r="L167" i="7"/>
  <c r="I166" i="7"/>
  <c r="E166" i="7"/>
  <c r="B166" i="7"/>
  <c r="K166" i="7"/>
  <c r="M166" i="7"/>
  <c r="O166" i="7"/>
  <c r="T166" i="7"/>
  <c r="R166" i="7"/>
  <c r="S166" i="7"/>
  <c r="Q166" i="7"/>
  <c r="P166" i="7"/>
  <c r="N166" i="7"/>
  <c r="L166" i="7"/>
  <c r="D166" i="7"/>
  <c r="F166" i="7"/>
  <c r="G166" i="7" s="1"/>
  <c r="H166" i="7"/>
  <c r="J166" i="7"/>
  <c r="C166" i="7"/>
  <c r="R165" i="7"/>
  <c r="P165" i="7"/>
  <c r="L165" i="7"/>
  <c r="J165" i="7"/>
  <c r="H165" i="7"/>
  <c r="F165" i="7"/>
  <c r="G165" i="7" s="1"/>
  <c r="D165" i="7"/>
  <c r="B165" i="7"/>
  <c r="N165" i="7"/>
  <c r="T165" i="7"/>
  <c r="S165" i="7"/>
  <c r="Q165" i="7"/>
  <c r="O165" i="7"/>
  <c r="M165" i="7"/>
  <c r="K165" i="7"/>
  <c r="I165" i="7"/>
  <c r="E165" i="7"/>
  <c r="C165" i="7"/>
  <c r="B164" i="7"/>
  <c r="S164" i="7"/>
  <c r="F164" i="7"/>
  <c r="G164" i="7" s="1"/>
  <c r="H164" i="7"/>
  <c r="J164" i="7"/>
  <c r="L164" i="7"/>
  <c r="N164" i="7"/>
  <c r="P164" i="7"/>
  <c r="R164" i="7"/>
  <c r="I164" i="7"/>
  <c r="K164" i="7"/>
  <c r="M164" i="7"/>
  <c r="O164" i="7"/>
  <c r="T164" i="7"/>
  <c r="E164" i="7"/>
  <c r="C164" i="7"/>
  <c r="Q164" i="7"/>
  <c r="D164" i="7"/>
  <c r="K163" i="7"/>
  <c r="J163" i="7"/>
  <c r="I163" i="7"/>
  <c r="H163" i="7"/>
  <c r="F163" i="7"/>
  <c r="G163" i="7" s="1"/>
  <c r="D163" i="7"/>
  <c r="L163" i="7"/>
  <c r="P163" i="7"/>
  <c r="R163" i="7"/>
  <c r="T163" i="7"/>
  <c r="M163" i="7"/>
  <c r="S163" i="7"/>
  <c r="Q163" i="7"/>
  <c r="O163" i="7"/>
  <c r="E163" i="7"/>
  <c r="C163" i="7"/>
  <c r="B163" i="7"/>
  <c r="N163" i="7"/>
  <c r="N162" i="7"/>
  <c r="L162" i="7"/>
  <c r="J162" i="7"/>
  <c r="H162" i="7"/>
  <c r="F162" i="7"/>
  <c r="G162" i="7" s="1"/>
  <c r="D162" i="7"/>
  <c r="B162" i="7"/>
  <c r="S162" i="7"/>
  <c r="T162" i="7"/>
  <c r="P162" i="7"/>
  <c r="Q162" i="7"/>
  <c r="O162" i="7"/>
  <c r="M162" i="7"/>
  <c r="K162" i="7"/>
  <c r="I162" i="7"/>
  <c r="E162" i="7"/>
  <c r="C162" i="7"/>
  <c r="R162" i="7"/>
  <c r="P161" i="7"/>
  <c r="S161" i="7"/>
  <c r="T161" i="7"/>
  <c r="L161" i="7"/>
  <c r="R161" i="7"/>
  <c r="Q161" i="7"/>
  <c r="O161" i="7"/>
  <c r="M161" i="7"/>
  <c r="N161" i="7"/>
  <c r="I161" i="7"/>
  <c r="H161" i="7"/>
  <c r="F161" i="7"/>
  <c r="G161" i="7" s="1"/>
  <c r="E161" i="7"/>
  <c r="D161" i="7"/>
  <c r="C161" i="7"/>
  <c r="B161" i="7"/>
  <c r="K161" i="7"/>
  <c r="N160" i="7"/>
  <c r="M160" i="7"/>
  <c r="L160" i="7"/>
  <c r="K160" i="7"/>
  <c r="J160" i="7"/>
  <c r="I160" i="7"/>
  <c r="H160" i="7"/>
  <c r="F160" i="7"/>
  <c r="G160" i="7" s="1"/>
  <c r="E160" i="7"/>
  <c r="D160" i="7"/>
  <c r="C160" i="7"/>
  <c r="B160" i="7"/>
  <c r="T160" i="7"/>
  <c r="S160" i="7"/>
  <c r="R160" i="7"/>
  <c r="Q160" i="7"/>
  <c r="P160" i="7"/>
  <c r="O160" i="7"/>
  <c r="T159" i="7"/>
  <c r="K159" i="7"/>
  <c r="M159" i="7"/>
  <c r="E159" i="7"/>
  <c r="P159" i="7"/>
  <c r="Q159" i="7"/>
  <c r="R159" i="7"/>
  <c r="S159" i="7"/>
  <c r="N159" i="7"/>
  <c r="O159" i="7"/>
  <c r="D159" i="7"/>
  <c r="C159" i="7"/>
  <c r="B159" i="7"/>
  <c r="L159" i="7"/>
  <c r="J159" i="7"/>
  <c r="I159" i="7"/>
  <c r="H159" i="7"/>
  <c r="F159" i="7"/>
  <c r="G159" i="7" s="1"/>
  <c r="S158" i="7"/>
  <c r="M158" i="7"/>
  <c r="L158" i="7"/>
  <c r="K158" i="7"/>
  <c r="J158" i="7"/>
  <c r="I158" i="7"/>
  <c r="H158" i="7"/>
  <c r="F158" i="7"/>
  <c r="G158" i="7" s="1"/>
  <c r="E158" i="7"/>
  <c r="D158" i="7"/>
  <c r="C158" i="7"/>
  <c r="B158" i="7"/>
  <c r="O158" i="7"/>
  <c r="P158" i="7"/>
  <c r="Q158" i="7"/>
  <c r="R158" i="7"/>
  <c r="T158" i="7"/>
  <c r="N158" i="7"/>
  <c r="D157" i="7"/>
  <c r="Q157" i="7"/>
  <c r="T157" i="7"/>
  <c r="S157" i="7"/>
  <c r="R157" i="7"/>
  <c r="P157" i="7"/>
  <c r="E157" i="7"/>
  <c r="O157" i="7"/>
  <c r="B157" i="7"/>
  <c r="F157" i="7"/>
  <c r="G157" i="7" s="1"/>
  <c r="C157" i="7"/>
  <c r="H157" i="7"/>
  <c r="I157" i="7"/>
  <c r="J157" i="7"/>
  <c r="K157" i="7"/>
  <c r="L157" i="7"/>
  <c r="M157" i="7"/>
  <c r="N157" i="7"/>
  <c r="C156" i="7"/>
  <c r="B156" i="7"/>
  <c r="O156" i="7"/>
  <c r="P156" i="7"/>
  <c r="T156" i="7"/>
  <c r="S156" i="7"/>
  <c r="R156" i="7"/>
  <c r="N156" i="7"/>
  <c r="D156" i="7"/>
  <c r="Q156" i="7"/>
  <c r="M156" i="7"/>
  <c r="L156" i="7"/>
  <c r="K156" i="7"/>
  <c r="J156" i="7"/>
  <c r="I156" i="7"/>
  <c r="H156" i="7"/>
  <c r="F156" i="7"/>
  <c r="G156" i="7" s="1"/>
  <c r="E156" i="7"/>
  <c r="S155" i="7"/>
  <c r="T155" i="7"/>
  <c r="B155" i="7"/>
  <c r="C155" i="7"/>
  <c r="D155" i="7"/>
  <c r="E155" i="7"/>
  <c r="F155" i="7"/>
  <c r="G155" i="7" s="1"/>
  <c r="H155" i="7"/>
  <c r="I155" i="7"/>
  <c r="M155" i="7"/>
  <c r="J155" i="7"/>
  <c r="K155" i="7"/>
  <c r="L155" i="7"/>
  <c r="N155" i="7"/>
  <c r="O155" i="7"/>
  <c r="P155" i="7"/>
  <c r="Q155" i="7"/>
  <c r="R155" i="7"/>
  <c r="T154" i="7"/>
  <c r="B154" i="7"/>
  <c r="L154" i="7"/>
  <c r="K154" i="7"/>
  <c r="I154" i="7"/>
  <c r="H154" i="7"/>
  <c r="F154" i="7"/>
  <c r="G154" i="7" s="1"/>
  <c r="E154" i="7"/>
  <c r="M154" i="7"/>
  <c r="C154" i="7"/>
  <c r="S154" i="7"/>
  <c r="J154" i="7"/>
  <c r="R154" i="7"/>
  <c r="D154" i="7"/>
  <c r="Q154" i="7"/>
  <c r="P154" i="7"/>
  <c r="O154" i="7"/>
  <c r="N154" i="7"/>
  <c r="I153" i="7"/>
  <c r="H153" i="7"/>
  <c r="E153" i="7"/>
  <c r="F153" i="7"/>
  <c r="G153" i="7" s="1"/>
  <c r="T153" i="7"/>
  <c r="S153" i="7"/>
  <c r="R153" i="7"/>
  <c r="Q153" i="7"/>
  <c r="P153" i="7"/>
  <c r="O153" i="7"/>
  <c r="N153" i="7"/>
  <c r="M153" i="7"/>
  <c r="L153" i="7"/>
  <c r="K153" i="7"/>
  <c r="J153" i="7"/>
  <c r="D153" i="7"/>
  <c r="C153" i="7"/>
  <c r="B153" i="7"/>
  <c r="E152" i="7"/>
  <c r="S152" i="7"/>
  <c r="R152" i="7"/>
  <c r="Q152" i="7"/>
  <c r="P152" i="7"/>
  <c r="T152" i="7"/>
  <c r="N152" i="7"/>
  <c r="M152" i="7"/>
  <c r="L152" i="7"/>
  <c r="K152" i="7"/>
  <c r="J152" i="7"/>
  <c r="O152" i="7"/>
  <c r="I152" i="7"/>
  <c r="H152" i="7"/>
  <c r="F152" i="7"/>
  <c r="G152" i="7" s="1"/>
  <c r="D152" i="7"/>
  <c r="C152" i="7"/>
  <c r="B152" i="7"/>
  <c r="B151" i="7"/>
  <c r="D151" i="7"/>
  <c r="L151" i="7"/>
  <c r="K151" i="7"/>
  <c r="T151" i="7"/>
  <c r="S151" i="7"/>
  <c r="R151" i="7"/>
  <c r="Q151" i="7"/>
  <c r="P151" i="7"/>
  <c r="O151" i="7"/>
  <c r="N151" i="7"/>
  <c r="M151" i="7"/>
  <c r="C151" i="7"/>
  <c r="E151" i="7"/>
  <c r="F151" i="7"/>
  <c r="G151" i="7" s="1"/>
  <c r="H151" i="7"/>
  <c r="I151" i="7"/>
  <c r="J151" i="7"/>
  <c r="M150" i="7"/>
  <c r="B150" i="7"/>
  <c r="C150" i="7"/>
  <c r="D150" i="7"/>
  <c r="E150" i="7"/>
  <c r="F150" i="7"/>
  <c r="G150" i="7" s="1"/>
  <c r="H150" i="7"/>
  <c r="I150" i="7"/>
  <c r="J150" i="7"/>
  <c r="K150" i="7"/>
  <c r="L150" i="7"/>
  <c r="N150" i="7"/>
  <c r="O150" i="7"/>
  <c r="P150" i="7"/>
  <c r="Q150" i="7"/>
  <c r="R150" i="7"/>
  <c r="S150" i="7"/>
  <c r="T150" i="7"/>
  <c r="F149" i="7"/>
  <c r="G149" i="7" s="1"/>
  <c r="E149" i="7"/>
  <c r="D149" i="7"/>
  <c r="C149" i="7"/>
  <c r="B149" i="7"/>
  <c r="O149" i="7"/>
  <c r="P149" i="7"/>
  <c r="R149" i="7"/>
  <c r="S149" i="7"/>
  <c r="H149" i="7"/>
  <c r="T149" i="7"/>
  <c r="I149" i="7"/>
  <c r="J149" i="7"/>
  <c r="K149" i="7"/>
  <c r="L149" i="7"/>
  <c r="Q149" i="7"/>
  <c r="M149" i="7"/>
  <c r="N149" i="7"/>
  <c r="T148" i="7"/>
  <c r="S148" i="7"/>
  <c r="R148" i="7"/>
  <c r="Q148" i="7"/>
  <c r="P148" i="7"/>
  <c r="B148" i="7"/>
  <c r="O148" i="7"/>
  <c r="C148" i="7"/>
  <c r="N148" i="7"/>
  <c r="M148" i="7"/>
  <c r="L148" i="7"/>
  <c r="K148" i="7"/>
  <c r="J148" i="7"/>
  <c r="I148" i="7"/>
  <c r="H148" i="7"/>
  <c r="D148" i="7"/>
  <c r="F148" i="7"/>
  <c r="G148" i="7" s="1"/>
  <c r="E148" i="7"/>
  <c r="P147" i="7"/>
  <c r="Q147" i="7"/>
  <c r="R147" i="7"/>
  <c r="O147" i="7"/>
  <c r="S147" i="7"/>
  <c r="N147" i="7"/>
  <c r="T147" i="7"/>
  <c r="M147" i="7"/>
  <c r="L147" i="7"/>
  <c r="K147" i="7"/>
  <c r="E147" i="7"/>
  <c r="J147" i="7"/>
  <c r="I147" i="7"/>
  <c r="H147" i="7"/>
  <c r="F147" i="7"/>
  <c r="G147" i="7" s="1"/>
  <c r="D147" i="7"/>
  <c r="C147" i="7"/>
  <c r="B147" i="7"/>
  <c r="D146" i="7"/>
  <c r="F146" i="7"/>
  <c r="G146" i="7" s="1"/>
  <c r="H146" i="7"/>
  <c r="S146" i="7"/>
  <c r="C146" i="7"/>
  <c r="E146" i="7"/>
  <c r="I146" i="7"/>
  <c r="J146" i="7"/>
  <c r="K146" i="7"/>
  <c r="L146" i="7"/>
  <c r="M146" i="7"/>
  <c r="N146" i="7"/>
  <c r="O146" i="7"/>
  <c r="P146" i="7"/>
  <c r="Q146" i="7"/>
  <c r="R146" i="7"/>
  <c r="T146" i="7"/>
  <c r="B146" i="7"/>
  <c r="N145" i="7"/>
  <c r="D145" i="7"/>
  <c r="S145" i="7"/>
  <c r="R145" i="7"/>
  <c r="P145" i="7"/>
  <c r="L145" i="7"/>
  <c r="J145" i="7"/>
  <c r="H145" i="7"/>
  <c r="E145" i="7"/>
  <c r="C145" i="7"/>
  <c r="B145" i="7"/>
  <c r="F145" i="7"/>
  <c r="G145" i="7" s="1"/>
  <c r="I145" i="7"/>
  <c r="K145" i="7"/>
  <c r="M145" i="7"/>
  <c r="O145" i="7"/>
  <c r="Q145" i="7"/>
  <c r="T145" i="7"/>
  <c r="D144" i="7"/>
  <c r="F144" i="7"/>
  <c r="G144" i="7" s="1"/>
  <c r="B144" i="7"/>
  <c r="H144" i="7"/>
  <c r="O144" i="7"/>
  <c r="S144" i="7"/>
  <c r="C144" i="7"/>
  <c r="Q144" i="7"/>
  <c r="T144" i="7"/>
  <c r="R144" i="7"/>
  <c r="P144" i="7"/>
  <c r="E144" i="7"/>
  <c r="N144" i="7"/>
  <c r="L144" i="7"/>
  <c r="J144" i="7"/>
  <c r="I144" i="7"/>
  <c r="K144" i="7"/>
  <c r="M144" i="7"/>
  <c r="D143" i="7"/>
  <c r="B143" i="7"/>
  <c r="H143" i="7"/>
  <c r="J143" i="7"/>
  <c r="L143" i="7"/>
  <c r="O143" i="7"/>
  <c r="Q143" i="7"/>
  <c r="S143" i="7"/>
  <c r="T143" i="7"/>
  <c r="M143" i="7"/>
  <c r="R143" i="7"/>
  <c r="P143" i="7"/>
  <c r="N143" i="7"/>
  <c r="K143" i="7"/>
  <c r="I143" i="7"/>
  <c r="F143" i="7"/>
  <c r="G143" i="7" s="1"/>
  <c r="E143" i="7"/>
  <c r="C143" i="7"/>
  <c r="J142" i="7"/>
  <c r="H142" i="7"/>
  <c r="F142" i="7"/>
  <c r="G142" i="7" s="1"/>
  <c r="E142" i="7"/>
  <c r="D142" i="7"/>
  <c r="C142" i="7"/>
  <c r="B142" i="7"/>
  <c r="L142" i="7"/>
  <c r="N142" i="7"/>
  <c r="O142" i="7"/>
  <c r="S142" i="7"/>
  <c r="Q142" i="7"/>
  <c r="T142" i="7"/>
  <c r="R142" i="7"/>
  <c r="P142" i="7"/>
  <c r="M142" i="7"/>
  <c r="K142" i="7"/>
  <c r="I142" i="7"/>
  <c r="H141" i="7"/>
  <c r="F141" i="7"/>
  <c r="G141" i="7" s="1"/>
  <c r="P141" i="7"/>
  <c r="D141" i="7"/>
  <c r="B141" i="7"/>
  <c r="I141" i="7"/>
  <c r="R141" i="7"/>
  <c r="S141" i="7"/>
  <c r="T141" i="7"/>
  <c r="E141" i="7"/>
  <c r="C141" i="7"/>
  <c r="N141" i="7"/>
  <c r="L141" i="7"/>
  <c r="J141" i="7"/>
  <c r="Q141" i="7"/>
  <c r="O141" i="7"/>
  <c r="M141" i="7"/>
  <c r="K141" i="7"/>
  <c r="T140" i="7"/>
  <c r="Q140" i="7"/>
  <c r="R140" i="7"/>
  <c r="S140" i="7"/>
  <c r="P140" i="7"/>
  <c r="N140" i="7"/>
  <c r="L140" i="7"/>
  <c r="J140" i="7"/>
  <c r="H140" i="7"/>
  <c r="F140" i="7"/>
  <c r="G140" i="7" s="1"/>
  <c r="E140" i="7"/>
  <c r="C140" i="7"/>
  <c r="O140" i="7"/>
  <c r="M140" i="7"/>
  <c r="K140" i="7"/>
  <c r="I140" i="7"/>
  <c r="D140" i="7"/>
  <c r="B140" i="7"/>
  <c r="F139" i="7"/>
  <c r="G139" i="7" s="1"/>
  <c r="D139" i="7"/>
  <c r="S139" i="7"/>
  <c r="P139" i="7"/>
  <c r="N139" i="7"/>
  <c r="L139" i="7"/>
  <c r="B139" i="7"/>
  <c r="H139" i="7"/>
  <c r="E139" i="7"/>
  <c r="C139" i="7"/>
  <c r="R139" i="7"/>
  <c r="J139" i="7"/>
  <c r="Q139" i="7"/>
  <c r="O139" i="7"/>
  <c r="M139" i="7"/>
  <c r="K139" i="7"/>
  <c r="I139" i="7"/>
  <c r="T139" i="7"/>
  <c r="P138" i="7"/>
  <c r="S138" i="7"/>
  <c r="Q138" i="7"/>
  <c r="B138" i="7"/>
  <c r="D138" i="7"/>
  <c r="F138" i="7"/>
  <c r="G138" i="7" s="1"/>
  <c r="H138" i="7"/>
  <c r="J138" i="7"/>
  <c r="L138" i="7"/>
  <c r="N138" i="7"/>
  <c r="R138" i="7"/>
  <c r="T138" i="7"/>
  <c r="C138" i="7"/>
  <c r="E138" i="7"/>
  <c r="I138" i="7"/>
  <c r="K138" i="7"/>
  <c r="M138" i="7"/>
  <c r="O138" i="7"/>
  <c r="L137" i="7"/>
  <c r="D137" i="7"/>
  <c r="F137" i="7"/>
  <c r="G137" i="7" s="1"/>
  <c r="H137" i="7"/>
  <c r="J137" i="7"/>
  <c r="O137" i="7"/>
  <c r="Q137" i="7"/>
  <c r="B137" i="7"/>
  <c r="C137" i="7"/>
  <c r="E137" i="7"/>
  <c r="I137" i="7"/>
  <c r="K137" i="7"/>
  <c r="M137" i="7"/>
  <c r="N137" i="7"/>
  <c r="P137" i="7"/>
  <c r="R137" i="7"/>
  <c r="S137" i="7"/>
  <c r="T137" i="7"/>
  <c r="E136" i="7"/>
  <c r="H136" i="7"/>
  <c r="I136" i="7"/>
  <c r="K136" i="7"/>
  <c r="N136" i="7"/>
  <c r="P136" i="7"/>
  <c r="Q136" i="7"/>
  <c r="T136" i="7"/>
  <c r="B136" i="7"/>
  <c r="C136" i="7"/>
  <c r="S136" i="7"/>
  <c r="R136" i="7"/>
  <c r="O136" i="7"/>
  <c r="M136" i="7"/>
  <c r="L136" i="7"/>
  <c r="J136" i="7"/>
  <c r="F136" i="7"/>
  <c r="G136" i="7" s="1"/>
  <c r="D136" i="7"/>
  <c r="S135" i="7"/>
  <c r="P135" i="7"/>
  <c r="B135" i="7"/>
  <c r="N135" i="7"/>
  <c r="L135" i="7"/>
  <c r="J135" i="7"/>
  <c r="H135" i="7"/>
  <c r="F135" i="7"/>
  <c r="G135" i="7" s="1"/>
  <c r="D135" i="7"/>
  <c r="T135" i="7"/>
  <c r="R135" i="7"/>
  <c r="Q135" i="7"/>
  <c r="O135" i="7"/>
  <c r="M135" i="7"/>
  <c r="K135" i="7"/>
  <c r="I135" i="7"/>
  <c r="E135" i="7"/>
  <c r="C135" i="7"/>
  <c r="B134" i="7"/>
  <c r="D134" i="7"/>
  <c r="F134" i="7"/>
  <c r="G134" i="7" s="1"/>
  <c r="H134" i="7"/>
  <c r="J134" i="7"/>
  <c r="L134" i="7"/>
  <c r="M134" i="7"/>
  <c r="O134" i="7"/>
  <c r="R134" i="7"/>
  <c r="K134" i="7"/>
  <c r="Q134" i="7"/>
  <c r="T134" i="7"/>
  <c r="P134" i="7"/>
  <c r="N134" i="7"/>
  <c r="I134" i="7"/>
  <c r="E134" i="7"/>
  <c r="C134" i="7"/>
  <c r="S134" i="7"/>
  <c r="M133" i="7"/>
  <c r="K133" i="7"/>
  <c r="I133" i="7"/>
  <c r="E133" i="7"/>
  <c r="L133" i="7"/>
  <c r="C133" i="7"/>
  <c r="T133" i="7"/>
  <c r="R133" i="7"/>
  <c r="Q133" i="7"/>
  <c r="F133" i="7"/>
  <c r="G133" i="7" s="1"/>
  <c r="D133" i="7"/>
  <c r="J133" i="7"/>
  <c r="B133" i="7"/>
  <c r="H133" i="7"/>
  <c r="P133" i="7"/>
  <c r="S133" i="7"/>
  <c r="N133" i="7"/>
  <c r="O133" i="7"/>
  <c r="T132" i="7"/>
  <c r="S132" i="7"/>
  <c r="Q132" i="7"/>
  <c r="O132" i="7"/>
  <c r="M132" i="7"/>
  <c r="K132" i="7"/>
  <c r="I132" i="7"/>
  <c r="H132" i="7"/>
  <c r="F132" i="7"/>
  <c r="G132" i="7" s="1"/>
  <c r="D132" i="7"/>
  <c r="C132" i="7"/>
  <c r="B132" i="7"/>
  <c r="E132" i="7"/>
  <c r="J132" i="7"/>
  <c r="L132" i="7"/>
  <c r="N132" i="7"/>
  <c r="P132" i="7"/>
  <c r="R132" i="7"/>
  <c r="K131" i="7"/>
  <c r="Q131" i="7"/>
  <c r="P131" i="7"/>
  <c r="N131" i="7"/>
  <c r="E131" i="7"/>
  <c r="C131" i="7"/>
  <c r="L131" i="7"/>
  <c r="J131" i="7"/>
  <c r="H131" i="7"/>
  <c r="F131" i="7"/>
  <c r="G131" i="7" s="1"/>
  <c r="D131" i="7"/>
  <c r="R131" i="7"/>
  <c r="O131" i="7"/>
  <c r="M131" i="7"/>
  <c r="I131" i="7"/>
  <c r="B131" i="7"/>
  <c r="T131" i="7"/>
  <c r="S131" i="7"/>
  <c r="E130" i="7"/>
  <c r="B130" i="7"/>
  <c r="P130" i="7"/>
  <c r="D130" i="7"/>
  <c r="F130" i="7"/>
  <c r="G130" i="7" s="1"/>
  <c r="J130" i="7"/>
  <c r="L130" i="7"/>
  <c r="C130" i="7"/>
  <c r="Q130" i="7"/>
  <c r="T130" i="7"/>
  <c r="S130" i="7"/>
  <c r="R130" i="7"/>
  <c r="N130" i="7"/>
  <c r="O130" i="7"/>
  <c r="M130" i="7"/>
  <c r="K130" i="7"/>
  <c r="I130" i="7"/>
  <c r="H130" i="7"/>
  <c r="D129" i="7"/>
  <c r="B129" i="7"/>
  <c r="F129" i="7"/>
  <c r="G129" i="7" s="1"/>
  <c r="H129" i="7"/>
  <c r="J129" i="7"/>
  <c r="L129" i="7"/>
  <c r="N129" i="7"/>
  <c r="Q129" i="7"/>
  <c r="S129" i="7"/>
  <c r="C129" i="7"/>
  <c r="T129" i="7"/>
  <c r="R129" i="7"/>
  <c r="P129" i="7"/>
  <c r="O129" i="7"/>
  <c r="M129" i="7"/>
  <c r="K129" i="7"/>
  <c r="I129" i="7"/>
  <c r="E129" i="7"/>
  <c r="N128" i="7"/>
  <c r="H128" i="7"/>
  <c r="F128" i="7"/>
  <c r="G128" i="7" s="1"/>
  <c r="T128" i="7"/>
  <c r="S128" i="7"/>
  <c r="R128" i="7"/>
  <c r="Q128" i="7"/>
  <c r="P128" i="7"/>
  <c r="O128" i="7"/>
  <c r="E128" i="7"/>
  <c r="D128" i="7"/>
  <c r="C128" i="7"/>
  <c r="B128" i="7"/>
  <c r="I128" i="7"/>
  <c r="J128" i="7"/>
  <c r="K128" i="7"/>
  <c r="L128" i="7"/>
  <c r="M128" i="7"/>
  <c r="O127" i="7"/>
  <c r="T127" i="7"/>
  <c r="S127" i="7"/>
  <c r="R127" i="7"/>
  <c r="Q127" i="7"/>
  <c r="P127" i="7"/>
  <c r="I127" i="7"/>
  <c r="H127" i="7"/>
  <c r="F127" i="7"/>
  <c r="G127" i="7" s="1"/>
  <c r="E127" i="7"/>
  <c r="D127" i="7"/>
  <c r="C127" i="7"/>
  <c r="B127" i="7"/>
  <c r="N127" i="7"/>
  <c r="M127" i="7"/>
  <c r="L127" i="7"/>
  <c r="K127" i="7"/>
  <c r="J127" i="7"/>
  <c r="O126" i="7"/>
  <c r="N126" i="7"/>
  <c r="M126" i="7"/>
  <c r="L126" i="7"/>
  <c r="J126" i="7"/>
  <c r="I126" i="7"/>
  <c r="H126" i="7"/>
  <c r="F126" i="7"/>
  <c r="G126" i="7" s="1"/>
  <c r="E126" i="7"/>
  <c r="D126" i="7"/>
  <c r="C126" i="7"/>
  <c r="B126" i="7"/>
  <c r="K126" i="7"/>
  <c r="T126" i="7"/>
  <c r="S126" i="7"/>
  <c r="R126" i="7"/>
  <c r="Q126" i="7"/>
  <c r="P126" i="7"/>
  <c r="I125" i="7"/>
  <c r="E125" i="7"/>
  <c r="P125" i="7"/>
  <c r="N125" i="7"/>
  <c r="L125" i="7"/>
  <c r="J125" i="7"/>
  <c r="H125" i="7"/>
  <c r="F125" i="7"/>
  <c r="G125" i="7" s="1"/>
  <c r="D125" i="7"/>
  <c r="B125" i="7"/>
  <c r="Q125" i="7"/>
  <c r="T125" i="7"/>
  <c r="S125" i="7"/>
  <c r="R125" i="7"/>
  <c r="O125" i="7"/>
  <c r="M125" i="7"/>
  <c r="K125" i="7"/>
  <c r="C125" i="7"/>
  <c r="C124" i="7"/>
  <c r="E124" i="7"/>
  <c r="F124" i="7"/>
  <c r="G124" i="7" s="1"/>
  <c r="H124" i="7"/>
  <c r="J124" i="7"/>
  <c r="L124" i="7"/>
  <c r="N124" i="7"/>
  <c r="P124" i="7"/>
  <c r="R124" i="7"/>
  <c r="S124" i="7"/>
  <c r="Q124" i="7"/>
  <c r="O124" i="7"/>
  <c r="M124" i="7"/>
  <c r="K124" i="7"/>
  <c r="I124" i="7"/>
  <c r="D124" i="7"/>
  <c r="B124" i="7"/>
  <c r="T124" i="7"/>
  <c r="P123" i="7"/>
  <c r="I123" i="7"/>
  <c r="K123" i="7"/>
  <c r="M123" i="7"/>
  <c r="O123" i="7"/>
  <c r="Q123" i="7"/>
  <c r="R123" i="7"/>
  <c r="B123" i="7"/>
  <c r="D123" i="7"/>
  <c r="F123" i="7"/>
  <c r="G123" i="7" s="1"/>
  <c r="H123" i="7"/>
  <c r="S123" i="7"/>
  <c r="T123" i="7"/>
  <c r="N123" i="7"/>
  <c r="L123" i="7"/>
  <c r="J123" i="7"/>
  <c r="E123" i="7"/>
  <c r="C123" i="7"/>
  <c r="Q122" i="7"/>
  <c r="P122" i="7"/>
  <c r="T122" i="7"/>
  <c r="M122" i="7"/>
  <c r="C122" i="7"/>
  <c r="K122" i="7"/>
  <c r="I122" i="7"/>
  <c r="E122" i="7"/>
  <c r="N122" i="7"/>
  <c r="R122" i="7"/>
  <c r="S122" i="7"/>
  <c r="O122" i="7"/>
  <c r="L122" i="7"/>
  <c r="J122" i="7"/>
  <c r="H122" i="7"/>
  <c r="F122" i="7"/>
  <c r="G122" i="7" s="1"/>
  <c r="D122" i="7"/>
  <c r="B122" i="7"/>
  <c r="F121" i="7"/>
  <c r="G121" i="7" s="1"/>
  <c r="D121" i="7"/>
  <c r="E121" i="7"/>
  <c r="I121" i="7"/>
  <c r="K121" i="7"/>
  <c r="M121" i="7"/>
  <c r="P121" i="7"/>
  <c r="R121" i="7"/>
  <c r="S121" i="7"/>
  <c r="O121" i="7"/>
  <c r="B121" i="7"/>
  <c r="C121" i="7"/>
  <c r="N121" i="7"/>
  <c r="L121" i="7"/>
  <c r="J121" i="7"/>
  <c r="H121" i="7"/>
  <c r="T121" i="7"/>
  <c r="Q121" i="7"/>
  <c r="M120" i="7"/>
  <c r="P120" i="7"/>
  <c r="N120" i="7"/>
  <c r="K120" i="7"/>
  <c r="I120" i="7"/>
  <c r="L120" i="7"/>
  <c r="D120" i="7"/>
  <c r="T120" i="7"/>
  <c r="O120" i="7"/>
  <c r="B120" i="7"/>
  <c r="J120" i="7"/>
  <c r="H120" i="7"/>
  <c r="C120" i="7"/>
  <c r="E120" i="7"/>
  <c r="S120" i="7"/>
  <c r="R120" i="7"/>
  <c r="F120" i="7"/>
  <c r="G120" i="7" s="1"/>
  <c r="Q120" i="7"/>
  <c r="R119" i="7"/>
  <c r="P119" i="7"/>
  <c r="M119" i="7"/>
  <c r="B119" i="7"/>
  <c r="J119" i="7"/>
  <c r="H119" i="7"/>
  <c r="F119" i="7"/>
  <c r="G119" i="7" s="1"/>
  <c r="D119" i="7"/>
  <c r="O119" i="7"/>
  <c r="N119" i="7"/>
  <c r="L119" i="7"/>
  <c r="I119" i="7"/>
  <c r="E119" i="7"/>
  <c r="C119" i="7"/>
  <c r="T119" i="7"/>
  <c r="S119" i="7"/>
  <c r="Q119" i="7"/>
  <c r="K119" i="7"/>
  <c r="R118" i="7"/>
  <c r="B118" i="7"/>
  <c r="D118" i="7"/>
  <c r="F118" i="7"/>
  <c r="G118" i="7" s="1"/>
  <c r="I118" i="7"/>
  <c r="K118" i="7"/>
  <c r="M118" i="7"/>
  <c r="O118" i="7"/>
  <c r="Q118" i="7"/>
  <c r="J118" i="7"/>
  <c r="T118" i="7"/>
  <c r="S118" i="7"/>
  <c r="P118" i="7"/>
  <c r="N118" i="7"/>
  <c r="L118" i="7"/>
  <c r="H118" i="7"/>
  <c r="E118" i="7"/>
  <c r="C118" i="7"/>
  <c r="Q117" i="7"/>
  <c r="D117" i="7"/>
  <c r="K117" i="7"/>
  <c r="J117" i="7"/>
  <c r="H117" i="7"/>
  <c r="I117" i="7"/>
  <c r="F117" i="7"/>
  <c r="G117" i="7" s="1"/>
  <c r="E117" i="7"/>
  <c r="C117" i="7"/>
  <c r="T117" i="7"/>
  <c r="S117" i="7"/>
  <c r="R117" i="7"/>
  <c r="L117" i="7"/>
  <c r="B117" i="7"/>
  <c r="O117" i="7"/>
  <c r="N117" i="7"/>
  <c r="M117" i="7"/>
  <c r="P117" i="7"/>
  <c r="D116" i="7"/>
  <c r="B116" i="7"/>
  <c r="T116" i="7"/>
  <c r="O116" i="7"/>
  <c r="N116" i="7"/>
  <c r="K116" i="7"/>
  <c r="I116" i="7"/>
  <c r="E116" i="7"/>
  <c r="R116" i="7"/>
  <c r="C116" i="7"/>
  <c r="S116" i="7"/>
  <c r="Q116" i="7"/>
  <c r="P116" i="7"/>
  <c r="M116" i="7"/>
  <c r="L116" i="7"/>
  <c r="J116" i="7"/>
  <c r="H116" i="7"/>
  <c r="F116" i="7"/>
  <c r="G116" i="7" s="1"/>
  <c r="P115" i="7"/>
  <c r="O115" i="7"/>
  <c r="N115" i="7"/>
  <c r="M115" i="7"/>
  <c r="L115" i="7"/>
  <c r="J115" i="7"/>
  <c r="I115" i="7"/>
  <c r="K115" i="7"/>
  <c r="D115" i="7"/>
  <c r="F115" i="7"/>
  <c r="G115" i="7" s="1"/>
  <c r="H115" i="7"/>
  <c r="Q115" i="7"/>
  <c r="B115" i="7"/>
  <c r="C115" i="7"/>
  <c r="E115" i="7"/>
  <c r="S115" i="7"/>
  <c r="R115" i="7"/>
  <c r="T115" i="7"/>
  <c r="C114" i="7"/>
  <c r="B114" i="7"/>
  <c r="K114" i="7"/>
  <c r="J114" i="7"/>
  <c r="I114" i="7"/>
  <c r="H114" i="7"/>
  <c r="F114" i="7"/>
  <c r="G114" i="7" s="1"/>
  <c r="M114" i="7"/>
  <c r="N114" i="7"/>
  <c r="O114" i="7"/>
  <c r="P114" i="7"/>
  <c r="Q114" i="7"/>
  <c r="R114" i="7"/>
  <c r="S114" i="7"/>
  <c r="T114" i="7"/>
  <c r="E114" i="7"/>
  <c r="L114" i="7"/>
  <c r="D114" i="7"/>
  <c r="T113" i="7"/>
  <c r="S113" i="7"/>
  <c r="R113" i="7"/>
  <c r="H113" i="7"/>
  <c r="I113" i="7"/>
  <c r="J113" i="7"/>
  <c r="K113" i="7"/>
  <c r="L113" i="7"/>
  <c r="B113" i="7"/>
  <c r="N113" i="7"/>
  <c r="O113" i="7"/>
  <c r="P113" i="7"/>
  <c r="Q113" i="7"/>
  <c r="F113" i="7"/>
  <c r="G113" i="7" s="1"/>
  <c r="E113" i="7"/>
  <c r="M113" i="7"/>
  <c r="D113" i="7"/>
  <c r="C113" i="7"/>
  <c r="J112" i="7"/>
  <c r="T112" i="7"/>
  <c r="H112" i="7"/>
  <c r="F112" i="7"/>
  <c r="G112" i="7" s="1"/>
  <c r="E112" i="7"/>
  <c r="D112" i="7"/>
  <c r="C112" i="7"/>
  <c r="B112" i="7"/>
  <c r="K112" i="7"/>
  <c r="L112" i="7"/>
  <c r="M112" i="7"/>
  <c r="N112" i="7"/>
  <c r="O112" i="7"/>
  <c r="P112" i="7"/>
  <c r="Q112" i="7"/>
  <c r="R112" i="7"/>
  <c r="S112" i="7"/>
  <c r="R111" i="7"/>
  <c r="S111" i="7"/>
  <c r="T111" i="7"/>
  <c r="Q111" i="7"/>
  <c r="P111" i="7"/>
  <c r="O111" i="7"/>
  <c r="N111" i="7"/>
  <c r="M111" i="7"/>
  <c r="L111" i="7"/>
  <c r="K111" i="7"/>
  <c r="J111" i="7"/>
  <c r="I111" i="7"/>
  <c r="H111" i="7"/>
  <c r="F111" i="7"/>
  <c r="G111" i="7" s="1"/>
  <c r="E111" i="7"/>
  <c r="D111" i="7"/>
  <c r="C111" i="7"/>
  <c r="B111" i="7"/>
  <c r="C110" i="7"/>
  <c r="D110" i="7"/>
  <c r="E110" i="7"/>
  <c r="F110" i="7"/>
  <c r="G110" i="7" s="1"/>
  <c r="H110" i="7"/>
  <c r="I110" i="7"/>
  <c r="J110" i="7"/>
  <c r="L110" i="7"/>
  <c r="R110" i="7"/>
  <c r="K110" i="7"/>
  <c r="B110" i="7"/>
  <c r="Q110" i="7"/>
  <c r="P110" i="7"/>
  <c r="O110" i="7"/>
  <c r="N110" i="7"/>
  <c r="M110" i="7"/>
  <c r="T110" i="7"/>
  <c r="S110" i="7"/>
  <c r="E109" i="7"/>
  <c r="B109" i="7"/>
  <c r="C109" i="7"/>
  <c r="D109" i="7"/>
  <c r="F109" i="7"/>
  <c r="G109" i="7" s="1"/>
  <c r="H109" i="7"/>
  <c r="I109" i="7"/>
  <c r="J109" i="7"/>
  <c r="K109" i="7"/>
  <c r="L109" i="7"/>
  <c r="M109" i="7"/>
  <c r="N109" i="7"/>
  <c r="O109" i="7"/>
  <c r="P109" i="7"/>
  <c r="Q109" i="7"/>
  <c r="R109" i="7"/>
  <c r="S109" i="7"/>
  <c r="T109" i="7"/>
  <c r="I108" i="7"/>
  <c r="D108" i="7"/>
  <c r="E108" i="7"/>
  <c r="F108" i="7"/>
  <c r="G108" i="7" s="1"/>
  <c r="H108" i="7"/>
  <c r="T108" i="7"/>
  <c r="B108" i="7"/>
  <c r="C108" i="7"/>
  <c r="J108" i="7"/>
  <c r="K108" i="7"/>
  <c r="L108" i="7"/>
  <c r="M108" i="7"/>
  <c r="N108" i="7"/>
  <c r="O108" i="7"/>
  <c r="P108" i="7"/>
  <c r="Q108" i="7"/>
  <c r="R108" i="7"/>
  <c r="S108" i="7"/>
  <c r="F107" i="7"/>
  <c r="G107" i="7" s="1"/>
  <c r="J107" i="7"/>
  <c r="O107" i="7"/>
  <c r="L107" i="7"/>
  <c r="M107" i="7"/>
  <c r="N107" i="7"/>
  <c r="K107" i="7"/>
  <c r="P107" i="7"/>
  <c r="Q107" i="7"/>
  <c r="R107" i="7"/>
  <c r="S107" i="7"/>
  <c r="B107" i="7"/>
  <c r="C107" i="7"/>
  <c r="D107" i="7"/>
  <c r="E107" i="7"/>
  <c r="T107" i="7"/>
  <c r="H107" i="7"/>
  <c r="I107" i="7"/>
  <c r="F106" i="7"/>
  <c r="G106" i="7" s="1"/>
  <c r="H106" i="7"/>
  <c r="J106" i="7"/>
  <c r="L106" i="7"/>
  <c r="M106" i="7"/>
  <c r="T106" i="7"/>
  <c r="R106" i="7"/>
  <c r="O106" i="7"/>
  <c r="N106" i="7"/>
  <c r="K106" i="7"/>
  <c r="I106" i="7"/>
  <c r="D106" i="7"/>
  <c r="P106" i="7"/>
  <c r="Q106" i="7"/>
  <c r="S106" i="7"/>
  <c r="B106" i="7"/>
  <c r="C106" i="7"/>
  <c r="E106" i="7"/>
  <c r="C105" i="7"/>
  <c r="L105" i="7"/>
  <c r="M105" i="7"/>
  <c r="N105" i="7"/>
  <c r="O105" i="7"/>
  <c r="P105" i="7"/>
  <c r="Q105" i="7"/>
  <c r="R105" i="7"/>
  <c r="S105" i="7"/>
  <c r="B105" i="7"/>
  <c r="H105" i="7"/>
  <c r="E105" i="7"/>
  <c r="F105" i="7"/>
  <c r="G105" i="7" s="1"/>
  <c r="T105" i="7"/>
  <c r="D105" i="7"/>
  <c r="I105" i="7"/>
  <c r="J105" i="7"/>
  <c r="K105" i="7"/>
  <c r="L104" i="7"/>
  <c r="K104" i="7"/>
  <c r="J104" i="7"/>
  <c r="I104" i="7"/>
  <c r="H104" i="7"/>
  <c r="F104" i="7"/>
  <c r="G104" i="7" s="1"/>
  <c r="E104" i="7"/>
  <c r="D104" i="7"/>
  <c r="C104" i="7"/>
  <c r="B104" i="7"/>
  <c r="T104" i="7"/>
  <c r="S104" i="7"/>
  <c r="R104" i="7"/>
  <c r="Q104" i="7"/>
  <c r="P104" i="7"/>
  <c r="O104" i="7"/>
  <c r="N104" i="7"/>
  <c r="M104" i="7"/>
  <c r="N103" i="7"/>
  <c r="M103" i="7"/>
  <c r="C103" i="7"/>
  <c r="B103" i="7"/>
  <c r="F103" i="7"/>
  <c r="G103" i="7" s="1"/>
  <c r="H103" i="7"/>
  <c r="I103" i="7"/>
  <c r="J103" i="7"/>
  <c r="L103" i="7"/>
  <c r="K103" i="7"/>
  <c r="T103" i="7"/>
  <c r="S103" i="7"/>
  <c r="R103" i="7"/>
  <c r="Q103" i="7"/>
  <c r="P103" i="7"/>
  <c r="O103" i="7"/>
  <c r="E103" i="7"/>
  <c r="D103" i="7"/>
  <c r="B102" i="7"/>
  <c r="C102" i="7"/>
  <c r="T102" i="7"/>
  <c r="S102" i="7"/>
  <c r="R102" i="7"/>
  <c r="Q102" i="7"/>
  <c r="P102" i="7"/>
  <c r="O102" i="7"/>
  <c r="N102" i="7"/>
  <c r="M102" i="7"/>
  <c r="L102" i="7"/>
  <c r="K102" i="7"/>
  <c r="J102" i="7"/>
  <c r="I102" i="7"/>
  <c r="H102" i="7"/>
  <c r="F102" i="7"/>
  <c r="G102" i="7" s="1"/>
  <c r="E102" i="7"/>
  <c r="D102" i="7"/>
  <c r="R101" i="7"/>
  <c r="S101" i="7"/>
  <c r="T101" i="7"/>
  <c r="Q101" i="7"/>
  <c r="P101" i="7"/>
  <c r="O101" i="7"/>
  <c r="N101" i="7"/>
  <c r="M101" i="7"/>
  <c r="L101" i="7"/>
  <c r="K101" i="7"/>
  <c r="J101" i="7"/>
  <c r="I101" i="7"/>
  <c r="H101" i="7"/>
  <c r="F101" i="7"/>
  <c r="G101" i="7" s="1"/>
  <c r="E101" i="7"/>
  <c r="D101" i="7"/>
  <c r="C101" i="7"/>
  <c r="B101" i="7"/>
  <c r="I100" i="7"/>
  <c r="N100" i="7"/>
  <c r="C100" i="7"/>
  <c r="D100" i="7"/>
  <c r="F100" i="7"/>
  <c r="G100" i="7" s="1"/>
  <c r="H100" i="7"/>
  <c r="T100" i="7"/>
  <c r="S100" i="7"/>
  <c r="R100" i="7"/>
  <c r="Q100" i="7"/>
  <c r="P100" i="7"/>
  <c r="O100" i="7"/>
  <c r="M100" i="7"/>
  <c r="L100" i="7"/>
  <c r="K100" i="7"/>
  <c r="J100" i="7"/>
  <c r="E100" i="7"/>
  <c r="B100" i="7"/>
  <c r="Q99" i="7"/>
  <c r="T99" i="7"/>
  <c r="C99" i="7"/>
  <c r="B99" i="7"/>
  <c r="F99" i="7"/>
  <c r="G99" i="7" s="1"/>
  <c r="D99" i="7"/>
  <c r="I99" i="7"/>
  <c r="K99" i="7"/>
  <c r="M99" i="7"/>
  <c r="O99" i="7"/>
  <c r="S99" i="7"/>
  <c r="R99" i="7"/>
  <c r="P99" i="7"/>
  <c r="N99" i="7"/>
  <c r="L99" i="7"/>
  <c r="J99" i="7"/>
  <c r="H99" i="7"/>
  <c r="E99" i="7"/>
  <c r="L98" i="7"/>
  <c r="H98" i="7"/>
  <c r="J98" i="7"/>
  <c r="C98" i="7"/>
  <c r="B98" i="7"/>
  <c r="F98" i="7"/>
  <c r="G98" i="7" s="1"/>
  <c r="K98" i="7"/>
  <c r="N98" i="7"/>
  <c r="P98" i="7"/>
  <c r="R98" i="7"/>
  <c r="S98" i="7"/>
  <c r="T98" i="7"/>
  <c r="Q98" i="7"/>
  <c r="D98" i="7"/>
  <c r="E98" i="7"/>
  <c r="I98" i="7"/>
  <c r="O98" i="7"/>
  <c r="M98" i="7"/>
  <c r="L97" i="7"/>
  <c r="N97" i="7"/>
  <c r="O97" i="7"/>
  <c r="R97" i="7"/>
  <c r="D97" i="7"/>
  <c r="F97" i="7"/>
  <c r="G97" i="7" s="1"/>
  <c r="T97" i="7"/>
  <c r="H97" i="7"/>
  <c r="I97" i="7"/>
  <c r="K97" i="7"/>
  <c r="M97" i="7"/>
  <c r="P97" i="7"/>
  <c r="Q97" i="7"/>
  <c r="B97" i="7"/>
  <c r="C97" i="7"/>
  <c r="E97" i="7"/>
  <c r="S97" i="7"/>
  <c r="J97" i="7"/>
  <c r="K96" i="7"/>
  <c r="J96" i="7"/>
  <c r="I96" i="7"/>
  <c r="D96" i="7"/>
  <c r="C96" i="7"/>
  <c r="B96" i="7"/>
  <c r="E96" i="7"/>
  <c r="F96" i="7"/>
  <c r="G96" i="7" s="1"/>
  <c r="H96" i="7"/>
  <c r="P96" i="7"/>
  <c r="T96" i="7"/>
  <c r="S96" i="7"/>
  <c r="R96" i="7"/>
  <c r="Q96" i="7"/>
  <c r="O96" i="7"/>
  <c r="N96" i="7"/>
  <c r="M96" i="7"/>
  <c r="L96" i="7"/>
  <c r="H95" i="7"/>
  <c r="B95" i="7"/>
  <c r="M95" i="7"/>
  <c r="R95" i="7"/>
  <c r="P95" i="7"/>
  <c r="D95" i="7"/>
  <c r="O95" i="7"/>
  <c r="Q95" i="7"/>
  <c r="N95" i="7"/>
  <c r="L95" i="7"/>
  <c r="J95" i="7"/>
  <c r="F95" i="7"/>
  <c r="G95" i="7" s="1"/>
  <c r="T95" i="7"/>
  <c r="S95" i="7"/>
  <c r="C95" i="7"/>
  <c r="E95" i="7"/>
  <c r="I95" i="7"/>
  <c r="K95" i="7"/>
  <c r="B94" i="7"/>
  <c r="C94" i="7"/>
  <c r="D94" i="7"/>
  <c r="F94" i="7"/>
  <c r="G94" i="7" s="1"/>
  <c r="H94" i="7"/>
  <c r="J94" i="7"/>
  <c r="M94" i="7"/>
  <c r="O94" i="7"/>
  <c r="Q94" i="7"/>
  <c r="L94" i="7"/>
  <c r="N94" i="7"/>
  <c r="P94" i="7"/>
  <c r="R94" i="7"/>
  <c r="I94" i="7"/>
  <c r="S94" i="7"/>
  <c r="T94" i="7"/>
  <c r="K94" i="7"/>
  <c r="E94" i="7"/>
  <c r="K93" i="7"/>
  <c r="N93" i="7"/>
  <c r="O93" i="7"/>
  <c r="Q93" i="7"/>
  <c r="R93" i="7"/>
  <c r="T93" i="7"/>
  <c r="I93" i="7"/>
  <c r="S93" i="7"/>
  <c r="P93" i="7"/>
  <c r="M93" i="7"/>
  <c r="L93" i="7"/>
  <c r="J93" i="7"/>
  <c r="H93" i="7"/>
  <c r="F93" i="7"/>
  <c r="G93" i="7" s="1"/>
  <c r="E93" i="7"/>
  <c r="C93" i="7"/>
  <c r="D93" i="7"/>
  <c r="B93" i="7"/>
  <c r="S92" i="7"/>
  <c r="Q92" i="7"/>
  <c r="O92" i="7"/>
  <c r="M92" i="7"/>
  <c r="K92" i="7"/>
  <c r="I92" i="7"/>
  <c r="E92" i="7"/>
  <c r="C92" i="7"/>
  <c r="J92" i="7"/>
  <c r="L92" i="7"/>
  <c r="P92" i="7"/>
  <c r="R92" i="7"/>
  <c r="T92" i="7"/>
  <c r="N92" i="7"/>
  <c r="B92" i="7"/>
  <c r="D92" i="7"/>
  <c r="F92" i="7"/>
  <c r="G92" i="7" s="1"/>
  <c r="H92" i="7"/>
  <c r="R91" i="7"/>
  <c r="P91" i="7"/>
  <c r="M91" i="7"/>
  <c r="K91" i="7"/>
  <c r="I91" i="7"/>
  <c r="E91" i="7"/>
  <c r="C91" i="7"/>
  <c r="B91" i="7"/>
  <c r="S91" i="7"/>
  <c r="H91" i="7"/>
  <c r="F91" i="7"/>
  <c r="G91" i="7" s="1"/>
  <c r="D91" i="7"/>
  <c r="Q91" i="7"/>
  <c r="O91" i="7"/>
  <c r="N91" i="7"/>
  <c r="L91" i="7"/>
  <c r="J91" i="7"/>
  <c r="T91" i="7"/>
  <c r="T90" i="7"/>
  <c r="R90" i="7"/>
  <c r="Q90" i="7"/>
  <c r="O90" i="7"/>
  <c r="M90" i="7"/>
  <c r="L90" i="7"/>
  <c r="J90" i="7"/>
  <c r="H90" i="7"/>
  <c r="F90" i="7"/>
  <c r="G90" i="7" s="1"/>
  <c r="E90" i="7"/>
  <c r="C90" i="7"/>
  <c r="B90" i="7"/>
  <c r="N90" i="7"/>
  <c r="I90" i="7"/>
  <c r="D90" i="7"/>
  <c r="S90" i="7"/>
  <c r="P90" i="7"/>
  <c r="K90" i="7"/>
  <c r="T89" i="7"/>
  <c r="D89" i="7"/>
  <c r="I89" i="7"/>
  <c r="K89" i="7"/>
  <c r="B89" i="7"/>
  <c r="M89" i="7"/>
  <c r="P89" i="7"/>
  <c r="R89" i="7"/>
  <c r="H89" i="7"/>
  <c r="S89" i="7"/>
  <c r="J89" i="7"/>
  <c r="F89" i="7"/>
  <c r="G89" i="7" s="1"/>
  <c r="E89" i="7"/>
  <c r="C89" i="7"/>
  <c r="Q89" i="7"/>
  <c r="O89" i="7"/>
  <c r="N89" i="7"/>
  <c r="L89" i="7"/>
  <c r="R88" i="7"/>
  <c r="S88" i="7"/>
  <c r="Q88" i="7"/>
  <c r="P88" i="7"/>
  <c r="N88" i="7"/>
  <c r="F88" i="7"/>
  <c r="G88" i="7" s="1"/>
  <c r="D88" i="7"/>
  <c r="H88" i="7"/>
  <c r="B88" i="7"/>
  <c r="O88" i="7"/>
  <c r="C88" i="7"/>
  <c r="J88" i="7"/>
  <c r="L88" i="7"/>
  <c r="T88" i="7"/>
  <c r="E88" i="7"/>
  <c r="M88" i="7"/>
  <c r="K88" i="7"/>
  <c r="I88" i="7"/>
  <c r="Q87" i="7"/>
  <c r="O87" i="7"/>
  <c r="N87" i="7"/>
  <c r="S87" i="7"/>
  <c r="P87" i="7"/>
  <c r="M87" i="7"/>
  <c r="K87" i="7"/>
  <c r="H87" i="7"/>
  <c r="F87" i="7"/>
  <c r="G87" i="7" s="1"/>
  <c r="L87" i="7"/>
  <c r="J87" i="7"/>
  <c r="I87" i="7"/>
  <c r="E87" i="7"/>
  <c r="D87" i="7"/>
  <c r="B87" i="7"/>
  <c r="T87" i="7"/>
  <c r="R87" i="7"/>
  <c r="C87" i="7"/>
  <c r="T86" i="7"/>
  <c r="Q86" i="7"/>
  <c r="O86" i="7"/>
  <c r="M86" i="7"/>
  <c r="K86" i="7"/>
  <c r="H86" i="7"/>
  <c r="E86" i="7"/>
  <c r="B86" i="7"/>
  <c r="I86" i="7"/>
  <c r="F86" i="7"/>
  <c r="G86" i="7" s="1"/>
  <c r="D86" i="7"/>
  <c r="C86" i="7"/>
  <c r="J86" i="7"/>
  <c r="N86" i="7"/>
  <c r="S86" i="7"/>
  <c r="R86" i="7"/>
  <c r="P86" i="7"/>
  <c r="L86" i="7"/>
  <c r="T85" i="7"/>
  <c r="R85" i="7"/>
  <c r="P85" i="7"/>
  <c r="M85" i="7"/>
  <c r="K85" i="7"/>
  <c r="I85" i="7"/>
  <c r="E85" i="7"/>
  <c r="C85" i="7"/>
  <c r="N85" i="7"/>
  <c r="B85" i="7"/>
  <c r="D85" i="7"/>
  <c r="J85" i="7"/>
  <c r="F85" i="7"/>
  <c r="G85" i="7" s="1"/>
  <c r="H85" i="7"/>
  <c r="L85" i="7"/>
  <c r="S85" i="7"/>
  <c r="Q85" i="7"/>
  <c r="O85" i="7"/>
  <c r="S84" i="7"/>
  <c r="P84" i="7"/>
  <c r="M84" i="7"/>
  <c r="K84" i="7"/>
  <c r="I84" i="7"/>
  <c r="D84" i="7"/>
  <c r="B84" i="7"/>
  <c r="L84" i="7"/>
  <c r="H84" i="7"/>
  <c r="C84" i="7"/>
  <c r="J84" i="7"/>
  <c r="E84" i="7"/>
  <c r="T84" i="7"/>
  <c r="R84" i="7"/>
  <c r="Q84" i="7"/>
  <c r="O84" i="7"/>
  <c r="N84" i="7"/>
  <c r="F84" i="7"/>
  <c r="G84" i="7" s="1"/>
  <c r="O83" i="7"/>
  <c r="M83" i="7"/>
  <c r="K83" i="7"/>
  <c r="I83" i="7"/>
  <c r="E83" i="7"/>
  <c r="D83" i="7"/>
  <c r="F83" i="7"/>
  <c r="G83" i="7" s="1"/>
  <c r="J83" i="7"/>
  <c r="L83" i="7"/>
  <c r="B83" i="7"/>
  <c r="C83" i="7"/>
  <c r="H83" i="7"/>
  <c r="S83" i="7"/>
  <c r="N83" i="7"/>
  <c r="P83" i="7"/>
  <c r="R83" i="7"/>
  <c r="T83" i="7"/>
  <c r="Q83" i="7"/>
  <c r="O82" i="7"/>
  <c r="M82" i="7"/>
  <c r="K82" i="7"/>
  <c r="I82" i="7"/>
  <c r="H82" i="7"/>
  <c r="E82" i="7"/>
  <c r="C82" i="7"/>
  <c r="N82" i="7"/>
  <c r="L82" i="7"/>
  <c r="J82" i="7"/>
  <c r="F82" i="7"/>
  <c r="G82" i="7" s="1"/>
  <c r="D82" i="7"/>
  <c r="B82" i="7"/>
  <c r="T82" i="7"/>
  <c r="S82" i="7"/>
  <c r="R82" i="7"/>
  <c r="Q82" i="7"/>
  <c r="P82" i="7"/>
  <c r="J81" i="7"/>
  <c r="E81" i="7"/>
  <c r="C81" i="7"/>
  <c r="O81" i="7"/>
  <c r="Q81" i="7"/>
  <c r="T81" i="7"/>
  <c r="F81" i="7"/>
  <c r="G81" i="7" s="1"/>
  <c r="S81" i="7"/>
  <c r="L81" i="7"/>
  <c r="R81" i="7"/>
  <c r="H81" i="7"/>
  <c r="P81" i="7"/>
  <c r="N81" i="7"/>
  <c r="I81" i="7"/>
  <c r="M81" i="7"/>
  <c r="K81" i="7"/>
  <c r="B81" i="7"/>
  <c r="D81" i="7"/>
  <c r="N80" i="7"/>
  <c r="K80" i="7"/>
  <c r="I80" i="7"/>
  <c r="F80" i="7"/>
  <c r="G80" i="7" s="1"/>
  <c r="E80" i="7"/>
  <c r="D80" i="7"/>
  <c r="C80" i="7"/>
  <c r="B80" i="7"/>
  <c r="M80" i="7"/>
  <c r="S80" i="7"/>
  <c r="J80" i="7"/>
  <c r="L80" i="7"/>
  <c r="O80" i="7"/>
  <c r="Q80" i="7"/>
  <c r="T80" i="7"/>
  <c r="R80" i="7"/>
  <c r="P80" i="7"/>
  <c r="M79" i="7"/>
  <c r="O79" i="7"/>
  <c r="P79" i="7"/>
  <c r="B79" i="7"/>
  <c r="Q79" i="7"/>
  <c r="R79" i="7"/>
  <c r="S79" i="7"/>
  <c r="T79" i="7"/>
  <c r="F79" i="7"/>
  <c r="G79" i="7" s="1"/>
  <c r="E79" i="7"/>
  <c r="D79" i="7"/>
  <c r="N79" i="7"/>
  <c r="C79" i="7"/>
  <c r="I79" i="7"/>
  <c r="H79" i="7"/>
  <c r="J79" i="7"/>
  <c r="K79" i="7"/>
  <c r="L79" i="7"/>
  <c r="K78" i="7"/>
  <c r="L78" i="7"/>
  <c r="M78" i="7"/>
  <c r="N78" i="7"/>
  <c r="O78" i="7"/>
  <c r="P78" i="7"/>
  <c r="Q78" i="7"/>
  <c r="R78" i="7"/>
  <c r="S78" i="7"/>
  <c r="B78" i="7"/>
  <c r="C78" i="7"/>
  <c r="D78" i="7"/>
  <c r="E78" i="7"/>
  <c r="F78" i="7"/>
  <c r="G78" i="7" s="1"/>
  <c r="H78" i="7"/>
  <c r="I78" i="7"/>
  <c r="T78" i="7"/>
  <c r="J78" i="7"/>
  <c r="J77" i="7"/>
  <c r="Q77" i="7"/>
  <c r="R77" i="7"/>
  <c r="B77" i="7"/>
  <c r="C77" i="7"/>
  <c r="D77" i="7"/>
  <c r="E77" i="7"/>
  <c r="H77" i="7"/>
  <c r="I77" i="7"/>
  <c r="S77" i="7"/>
  <c r="K77" i="7"/>
  <c r="L77" i="7"/>
  <c r="M77" i="7"/>
  <c r="N77" i="7"/>
  <c r="O77" i="7"/>
  <c r="P77" i="7"/>
  <c r="T77" i="7"/>
  <c r="F77" i="7"/>
  <c r="G77" i="7" s="1"/>
  <c r="R76" i="7"/>
  <c r="S76" i="7"/>
  <c r="T76" i="7"/>
  <c r="O76" i="7"/>
  <c r="M76" i="7"/>
  <c r="K76" i="7"/>
  <c r="I76" i="7"/>
  <c r="E76" i="7"/>
  <c r="C76" i="7"/>
  <c r="B76" i="7"/>
  <c r="D76" i="7"/>
  <c r="F76" i="7"/>
  <c r="G76" i="7" s="1"/>
  <c r="H76" i="7"/>
  <c r="J76" i="7"/>
  <c r="L76" i="7"/>
  <c r="N76" i="7"/>
  <c r="P76" i="7"/>
  <c r="Q76" i="7"/>
  <c r="N75" i="7"/>
  <c r="T75" i="7"/>
  <c r="C75" i="7"/>
  <c r="E75" i="7"/>
  <c r="I75" i="7"/>
  <c r="K75" i="7"/>
  <c r="M75" i="7"/>
  <c r="O75" i="7"/>
  <c r="S75" i="7"/>
  <c r="Q75" i="7"/>
  <c r="R75" i="7"/>
  <c r="B75" i="7"/>
  <c r="D75" i="7"/>
  <c r="F75" i="7"/>
  <c r="G75" i="7" s="1"/>
  <c r="H75" i="7"/>
  <c r="J75" i="7"/>
  <c r="L75" i="7"/>
  <c r="P75" i="7"/>
  <c r="N74" i="7"/>
  <c r="R74" i="7"/>
  <c r="P74" i="7"/>
  <c r="O74" i="7"/>
  <c r="M74" i="7"/>
  <c r="K74" i="7"/>
  <c r="I74" i="7"/>
  <c r="E74" i="7"/>
  <c r="T74" i="7"/>
  <c r="S74" i="7"/>
  <c r="B74" i="7"/>
  <c r="D74" i="7"/>
  <c r="F74" i="7"/>
  <c r="G74" i="7" s="1"/>
  <c r="H74" i="7"/>
  <c r="J74" i="7"/>
  <c r="L74" i="7"/>
  <c r="C74" i="7"/>
  <c r="Q74" i="7"/>
  <c r="K73" i="7"/>
  <c r="B73" i="7"/>
  <c r="C73" i="7"/>
  <c r="E73" i="7"/>
  <c r="I73" i="7"/>
  <c r="M73" i="7"/>
  <c r="O73" i="7"/>
  <c r="Q73" i="7"/>
  <c r="S73" i="7"/>
  <c r="D73" i="7"/>
  <c r="F73" i="7"/>
  <c r="G73" i="7" s="1"/>
  <c r="H73" i="7"/>
  <c r="J73" i="7"/>
  <c r="L73" i="7"/>
  <c r="N73" i="7"/>
  <c r="P73" i="7"/>
  <c r="R73" i="7"/>
  <c r="T73" i="7"/>
  <c r="T72" i="7"/>
  <c r="I72" i="7"/>
  <c r="D72" i="7"/>
  <c r="C72" i="7"/>
  <c r="E72" i="7"/>
  <c r="F72" i="7"/>
  <c r="G72" i="7" s="1"/>
  <c r="H72" i="7"/>
  <c r="J72" i="7"/>
  <c r="M72" i="7"/>
  <c r="P72" i="7"/>
  <c r="B72" i="7"/>
  <c r="O72" i="7"/>
  <c r="S72" i="7"/>
  <c r="R72" i="7"/>
  <c r="N72" i="7"/>
  <c r="L72" i="7"/>
  <c r="Q72" i="7"/>
  <c r="K72" i="7"/>
  <c r="Q71" i="7"/>
  <c r="S71" i="7"/>
  <c r="K71" i="7"/>
  <c r="F71" i="7"/>
  <c r="G71" i="7" s="1"/>
  <c r="O71" i="7"/>
  <c r="T71" i="7"/>
  <c r="I71" i="7"/>
  <c r="R71" i="7"/>
  <c r="P71" i="7"/>
  <c r="B71" i="7"/>
  <c r="C71" i="7"/>
  <c r="E71" i="7"/>
  <c r="H71" i="7"/>
  <c r="N71" i="7"/>
  <c r="J71" i="7"/>
  <c r="L71" i="7"/>
  <c r="D71" i="7"/>
  <c r="M71" i="7"/>
  <c r="H70" i="7"/>
  <c r="Q70" i="7"/>
  <c r="J70" i="7"/>
  <c r="S70" i="7"/>
  <c r="N70" i="7"/>
  <c r="P70" i="7"/>
  <c r="R70" i="7"/>
  <c r="T70" i="7"/>
  <c r="L70" i="7"/>
  <c r="E70" i="7"/>
  <c r="B70" i="7"/>
  <c r="D70" i="7"/>
  <c r="F70" i="7"/>
  <c r="G70" i="7" s="1"/>
  <c r="C70" i="7"/>
  <c r="I70" i="7"/>
  <c r="K70" i="7"/>
  <c r="M70" i="7"/>
  <c r="O70" i="7"/>
  <c r="K69" i="7"/>
  <c r="C69" i="7"/>
  <c r="E69" i="7"/>
  <c r="Q69" i="7"/>
  <c r="B69" i="7"/>
  <c r="I69" i="7"/>
  <c r="M69" i="7"/>
  <c r="O69" i="7"/>
  <c r="S69" i="7"/>
  <c r="T69" i="7"/>
  <c r="R69" i="7"/>
  <c r="L69" i="7"/>
  <c r="N69" i="7"/>
  <c r="P69" i="7"/>
  <c r="J69" i="7"/>
  <c r="H69" i="7"/>
  <c r="F69" i="7"/>
  <c r="G69" i="7" s="1"/>
  <c r="D69" i="7"/>
  <c r="M68" i="7"/>
  <c r="H68" i="7"/>
  <c r="L68" i="7"/>
  <c r="B68" i="7"/>
  <c r="C68" i="7"/>
  <c r="D68" i="7"/>
  <c r="E68" i="7"/>
  <c r="F68" i="7"/>
  <c r="G68" i="7" s="1"/>
  <c r="I68" i="7"/>
  <c r="J68" i="7"/>
  <c r="K68" i="7"/>
  <c r="N68" i="7"/>
  <c r="S68" i="7"/>
  <c r="T68" i="7"/>
  <c r="R68" i="7"/>
  <c r="Q68" i="7"/>
  <c r="O68" i="7"/>
  <c r="P68" i="7"/>
  <c r="E67" i="7"/>
  <c r="D67" i="7"/>
  <c r="M67" i="7"/>
  <c r="C67" i="7"/>
  <c r="B67" i="7"/>
  <c r="O67" i="7"/>
  <c r="Q67" i="7"/>
  <c r="R67" i="7"/>
  <c r="F67" i="7"/>
  <c r="G67" i="7" s="1"/>
  <c r="T67" i="7"/>
  <c r="S67" i="7"/>
  <c r="P67" i="7"/>
  <c r="N67" i="7"/>
  <c r="K67" i="7"/>
  <c r="J67" i="7"/>
  <c r="I67" i="7"/>
  <c r="H67" i="7"/>
  <c r="L67" i="7"/>
  <c r="B66" i="7"/>
  <c r="T66" i="7"/>
  <c r="S66" i="7"/>
  <c r="R66" i="7"/>
  <c r="Q66" i="7"/>
  <c r="P66" i="7"/>
  <c r="O66" i="7"/>
  <c r="N66" i="7"/>
  <c r="M66" i="7"/>
  <c r="L66" i="7"/>
  <c r="K66" i="7"/>
  <c r="J66" i="7"/>
  <c r="I66" i="7"/>
  <c r="H66" i="7"/>
  <c r="F66" i="7"/>
  <c r="G66" i="7" s="1"/>
  <c r="E66" i="7"/>
  <c r="D66" i="7"/>
  <c r="C66" i="7"/>
  <c r="B65" i="7"/>
  <c r="T65" i="7"/>
  <c r="S65" i="7"/>
  <c r="R65" i="7"/>
  <c r="Q65" i="7"/>
  <c r="P65" i="7"/>
  <c r="O65" i="7"/>
  <c r="M65" i="7"/>
  <c r="L65" i="7"/>
  <c r="N65" i="7"/>
  <c r="J65" i="7"/>
  <c r="C65" i="7"/>
  <c r="D65" i="7"/>
  <c r="E65" i="7"/>
  <c r="F65" i="7"/>
  <c r="G65" i="7" s="1"/>
  <c r="H65" i="7"/>
  <c r="I65" i="7"/>
  <c r="K65" i="7"/>
  <c r="K64" i="7"/>
  <c r="Q64" i="7"/>
  <c r="P64" i="7"/>
  <c r="O64" i="7"/>
  <c r="N64" i="7"/>
  <c r="M64" i="7"/>
  <c r="L64" i="7"/>
  <c r="D64" i="7"/>
  <c r="S64" i="7"/>
  <c r="J64" i="7"/>
  <c r="T64" i="7"/>
  <c r="R64" i="7"/>
  <c r="I64" i="7"/>
  <c r="H64" i="7"/>
  <c r="F64" i="7"/>
  <c r="G64" i="7" s="1"/>
  <c r="E64" i="7"/>
  <c r="C64" i="7"/>
  <c r="B64" i="7"/>
  <c r="M63" i="7"/>
  <c r="T63" i="7"/>
  <c r="S63" i="7"/>
  <c r="R63" i="7"/>
  <c r="Q63" i="7"/>
  <c r="L63" i="7"/>
  <c r="P63" i="7"/>
  <c r="O63" i="7"/>
  <c r="B63" i="7"/>
  <c r="N63" i="7"/>
  <c r="K63" i="7"/>
  <c r="J63" i="7"/>
  <c r="I63" i="7"/>
  <c r="H63" i="7"/>
  <c r="F63" i="7"/>
  <c r="G63" i="7" s="1"/>
  <c r="E63" i="7"/>
  <c r="D63" i="7"/>
  <c r="C63" i="7"/>
  <c r="L62" i="7"/>
  <c r="T62" i="7"/>
  <c r="S62" i="7"/>
  <c r="R62" i="7"/>
  <c r="Q62" i="7"/>
  <c r="P62" i="7"/>
  <c r="O62" i="7"/>
  <c r="N62" i="7"/>
  <c r="M62" i="7"/>
  <c r="K62" i="7"/>
  <c r="J62" i="7"/>
  <c r="I62" i="7"/>
  <c r="H62" i="7"/>
  <c r="F62" i="7"/>
  <c r="G62" i="7" s="1"/>
  <c r="E62" i="7"/>
  <c r="D62" i="7"/>
  <c r="C62" i="7"/>
  <c r="B62" i="7"/>
  <c r="E61" i="7"/>
  <c r="F61" i="7"/>
  <c r="G61" i="7" s="1"/>
  <c r="H61" i="7"/>
  <c r="P61" i="7"/>
  <c r="T61" i="7"/>
  <c r="S61" i="7"/>
  <c r="O61" i="7"/>
  <c r="R61" i="7"/>
  <c r="I61" i="7"/>
  <c r="J61" i="7"/>
  <c r="K61" i="7"/>
  <c r="L61" i="7"/>
  <c r="Q61" i="7"/>
  <c r="M61" i="7"/>
  <c r="N61" i="7"/>
  <c r="B61" i="7"/>
  <c r="C61" i="7"/>
  <c r="D61" i="7"/>
  <c r="R60" i="7"/>
  <c r="C60" i="7"/>
  <c r="M60" i="7"/>
  <c r="N60" i="7"/>
  <c r="O60" i="7"/>
  <c r="P60" i="7"/>
  <c r="Q60" i="7"/>
  <c r="S60" i="7"/>
  <c r="T60" i="7"/>
  <c r="B60" i="7"/>
  <c r="K60" i="7"/>
  <c r="L60" i="7"/>
  <c r="J60" i="7"/>
  <c r="I60" i="7"/>
  <c r="H60" i="7"/>
  <c r="F60" i="7"/>
  <c r="G60" i="7" s="1"/>
  <c r="E60" i="7"/>
  <c r="D60" i="7"/>
  <c r="F59" i="7"/>
  <c r="G59" i="7" s="1"/>
  <c r="H59" i="7"/>
  <c r="O59" i="7"/>
  <c r="I59" i="7"/>
  <c r="L59" i="7"/>
  <c r="M59" i="7"/>
  <c r="K59" i="7"/>
  <c r="N59" i="7"/>
  <c r="J59" i="7"/>
  <c r="T59" i="7"/>
  <c r="S59" i="7"/>
  <c r="E59" i="7"/>
  <c r="Q59" i="7"/>
  <c r="P59" i="7"/>
  <c r="B59" i="7"/>
  <c r="C59" i="7"/>
  <c r="D59" i="7"/>
  <c r="R59" i="7"/>
  <c r="F58" i="7"/>
  <c r="G58" i="7" s="1"/>
  <c r="E58" i="7"/>
  <c r="D58" i="7"/>
  <c r="C58" i="7"/>
  <c r="B58" i="7"/>
  <c r="T58" i="7"/>
  <c r="S58" i="7"/>
  <c r="R58" i="7"/>
  <c r="Q58" i="7"/>
  <c r="P58" i="7"/>
  <c r="O58" i="7"/>
  <c r="N58" i="7"/>
  <c r="M58" i="7"/>
  <c r="L58" i="7"/>
  <c r="K58" i="7"/>
  <c r="J58" i="7"/>
  <c r="I58" i="7"/>
  <c r="H58" i="7"/>
  <c r="L57" i="7"/>
  <c r="F57" i="7"/>
  <c r="G57" i="7" s="1"/>
  <c r="Q57" i="7"/>
  <c r="B57" i="7"/>
  <c r="P57" i="7"/>
  <c r="H57" i="7"/>
  <c r="I57" i="7"/>
  <c r="J57" i="7"/>
  <c r="K57" i="7"/>
  <c r="C57" i="7"/>
  <c r="D57" i="7"/>
  <c r="E57" i="7"/>
  <c r="M57" i="7"/>
  <c r="N57" i="7"/>
  <c r="O57" i="7"/>
  <c r="S57" i="7"/>
  <c r="R57" i="7"/>
  <c r="T57" i="7"/>
  <c r="H56" i="7"/>
  <c r="T56" i="7"/>
  <c r="C56" i="7"/>
  <c r="E56" i="7"/>
  <c r="I56" i="7"/>
  <c r="K56" i="7"/>
  <c r="B56" i="7"/>
  <c r="F56" i="7"/>
  <c r="G56" i="7" s="1"/>
  <c r="P56" i="7"/>
  <c r="D56" i="7"/>
  <c r="J56" i="7"/>
  <c r="L56" i="7"/>
  <c r="M56" i="7"/>
  <c r="N56" i="7"/>
  <c r="O56" i="7"/>
  <c r="Q56" i="7"/>
  <c r="R56" i="7"/>
  <c r="S56" i="7"/>
  <c r="I55" i="7"/>
  <c r="D55" i="7"/>
  <c r="B55" i="7"/>
  <c r="C55" i="7"/>
  <c r="E55" i="7"/>
  <c r="F55" i="7"/>
  <c r="G55" i="7" s="1"/>
  <c r="H55" i="7"/>
  <c r="J55" i="7"/>
  <c r="K55" i="7"/>
  <c r="L55" i="7"/>
  <c r="M55" i="7"/>
  <c r="N55" i="7"/>
  <c r="O55" i="7"/>
  <c r="P55" i="7"/>
  <c r="Q55" i="7"/>
  <c r="R55" i="7"/>
  <c r="T55" i="7"/>
  <c r="S55" i="7"/>
  <c r="D54" i="7"/>
  <c r="F54" i="7"/>
  <c r="G54" i="7" s="1"/>
  <c r="S54" i="7"/>
  <c r="Q54" i="7"/>
  <c r="L54" i="7"/>
  <c r="C54" i="7"/>
  <c r="J54" i="7"/>
  <c r="E54" i="7"/>
  <c r="H54" i="7"/>
  <c r="I54" i="7"/>
  <c r="M54" i="7"/>
  <c r="N54" i="7"/>
  <c r="O54" i="7"/>
  <c r="P54" i="7"/>
  <c r="R54" i="7"/>
  <c r="T54" i="7"/>
  <c r="K54" i="7"/>
  <c r="B54" i="7"/>
  <c r="B53" i="7"/>
  <c r="L53" i="7"/>
  <c r="S53" i="7"/>
  <c r="Q53" i="7"/>
  <c r="O53" i="7"/>
  <c r="C53" i="7"/>
  <c r="I53" i="7"/>
  <c r="K53" i="7"/>
  <c r="M53" i="7"/>
  <c r="D53" i="7"/>
  <c r="H53" i="7"/>
  <c r="T53" i="7"/>
  <c r="R53" i="7"/>
  <c r="P53" i="7"/>
  <c r="N53" i="7"/>
  <c r="J53" i="7"/>
  <c r="F53" i="7"/>
  <c r="G53" i="7" s="1"/>
  <c r="E53" i="7"/>
  <c r="T52" i="7"/>
  <c r="R52" i="7"/>
  <c r="F52" i="7"/>
  <c r="G52" i="7" s="1"/>
  <c r="N52" i="7"/>
  <c r="L52" i="7"/>
  <c r="C52" i="7"/>
  <c r="E52" i="7"/>
  <c r="B52" i="7"/>
  <c r="J52" i="7"/>
  <c r="K52" i="7"/>
  <c r="S52" i="7"/>
  <c r="H52" i="7"/>
  <c r="Q52" i="7"/>
  <c r="O52" i="7"/>
  <c r="M52" i="7"/>
  <c r="I52" i="7"/>
  <c r="D52" i="7"/>
  <c r="P52" i="7"/>
  <c r="N51" i="7"/>
  <c r="C51" i="7"/>
  <c r="E51" i="7"/>
  <c r="I51" i="7"/>
  <c r="K51" i="7"/>
  <c r="M51" i="7"/>
  <c r="O51" i="7"/>
  <c r="Q51" i="7"/>
  <c r="S51" i="7"/>
  <c r="L51" i="7"/>
  <c r="J51" i="7"/>
  <c r="H51" i="7"/>
  <c r="F51" i="7"/>
  <c r="G51" i="7" s="1"/>
  <c r="D51" i="7"/>
  <c r="B51" i="7"/>
  <c r="P51" i="7"/>
  <c r="R51" i="7"/>
  <c r="T51" i="7"/>
  <c r="B50" i="7"/>
  <c r="E50" i="7"/>
  <c r="N50" i="7"/>
  <c r="I50" i="7"/>
  <c r="T50" i="7"/>
  <c r="S50" i="7"/>
  <c r="Q50" i="7"/>
  <c r="O50" i="7"/>
  <c r="M50" i="7"/>
  <c r="K50" i="7"/>
  <c r="R50" i="7"/>
  <c r="P50" i="7"/>
  <c r="L50" i="7"/>
  <c r="J50" i="7"/>
  <c r="H50" i="7"/>
  <c r="F50" i="7"/>
  <c r="G50" i="7" s="1"/>
  <c r="D50" i="7"/>
  <c r="C50" i="7"/>
  <c r="E49" i="7"/>
  <c r="Q49" i="7"/>
  <c r="P49" i="7"/>
  <c r="M49" i="7"/>
  <c r="L49" i="7"/>
  <c r="J49" i="7"/>
  <c r="H49" i="7"/>
  <c r="F49" i="7"/>
  <c r="G49" i="7" s="1"/>
  <c r="D49" i="7"/>
  <c r="B49" i="7"/>
  <c r="S49" i="7"/>
  <c r="K49" i="7"/>
  <c r="R49" i="7"/>
  <c r="O49" i="7"/>
  <c r="N49" i="7"/>
  <c r="I49" i="7"/>
  <c r="C49" i="7"/>
  <c r="T49" i="7"/>
  <c r="O48" i="7"/>
  <c r="M48" i="7"/>
  <c r="L48" i="7"/>
  <c r="I48" i="7"/>
  <c r="F48" i="7"/>
  <c r="G48" i="7" s="1"/>
  <c r="D48" i="7"/>
  <c r="B48" i="7"/>
  <c r="E48" i="7"/>
  <c r="N48" i="7"/>
  <c r="R48" i="7"/>
  <c r="C48" i="7"/>
  <c r="H48" i="7"/>
  <c r="J48" i="7"/>
  <c r="K48" i="7"/>
  <c r="P48" i="7"/>
  <c r="Q48" i="7"/>
  <c r="S48" i="7"/>
  <c r="T48" i="7"/>
  <c r="S47" i="7"/>
  <c r="C47" i="7"/>
  <c r="R47" i="7"/>
  <c r="D47" i="7"/>
  <c r="F47" i="7"/>
  <c r="G47" i="7" s="1"/>
  <c r="I47" i="7"/>
  <c r="K47" i="7"/>
  <c r="M47" i="7"/>
  <c r="B47" i="7"/>
  <c r="O47" i="7"/>
  <c r="E47" i="7"/>
  <c r="J47" i="7"/>
  <c r="L47" i="7"/>
  <c r="N47" i="7"/>
  <c r="P47" i="7"/>
  <c r="Q47" i="7"/>
  <c r="T47" i="7"/>
  <c r="H47" i="7"/>
  <c r="S46" i="7"/>
  <c r="P46" i="7"/>
  <c r="N46" i="7"/>
  <c r="L46" i="7"/>
  <c r="J46" i="7"/>
  <c r="H46" i="7"/>
  <c r="F46" i="7"/>
  <c r="G46" i="7" s="1"/>
  <c r="D46" i="7"/>
  <c r="B46" i="7"/>
  <c r="C46" i="7"/>
  <c r="O46" i="7"/>
  <c r="Q46" i="7"/>
  <c r="R46" i="7"/>
  <c r="E46" i="7"/>
  <c r="T46" i="7"/>
  <c r="K46" i="7"/>
  <c r="M46" i="7"/>
  <c r="I46" i="7"/>
  <c r="T45" i="7"/>
  <c r="S45" i="7"/>
  <c r="Q45" i="7"/>
  <c r="O45" i="7"/>
  <c r="M45" i="7"/>
  <c r="K45" i="7"/>
  <c r="I45" i="7"/>
  <c r="C45" i="7"/>
  <c r="E45" i="7"/>
  <c r="R45" i="7"/>
  <c r="P45" i="7"/>
  <c r="N45" i="7"/>
  <c r="L45" i="7"/>
  <c r="J45" i="7"/>
  <c r="H45" i="7"/>
  <c r="F45" i="7"/>
  <c r="G45" i="7" s="1"/>
  <c r="D45" i="7"/>
  <c r="B45" i="7"/>
  <c r="T44" i="7"/>
  <c r="R44" i="7"/>
  <c r="P44" i="7"/>
  <c r="N44" i="7"/>
  <c r="L44" i="7"/>
  <c r="J44" i="7"/>
  <c r="H44" i="7"/>
  <c r="F44" i="7"/>
  <c r="G44" i="7" s="1"/>
  <c r="D44" i="7"/>
  <c r="B44" i="7"/>
  <c r="S44" i="7"/>
  <c r="O44" i="7"/>
  <c r="C44" i="7"/>
  <c r="E44" i="7"/>
  <c r="I44" i="7"/>
  <c r="K44" i="7"/>
  <c r="M44" i="7"/>
  <c r="Q44" i="7"/>
  <c r="O43" i="7"/>
  <c r="N43" i="7"/>
  <c r="L43" i="7"/>
  <c r="B43" i="7"/>
  <c r="C43" i="7"/>
  <c r="D43" i="7"/>
  <c r="E43" i="7"/>
  <c r="F43" i="7"/>
  <c r="G43" i="7" s="1"/>
  <c r="H43" i="7"/>
  <c r="I43" i="7"/>
  <c r="J43" i="7"/>
  <c r="K43" i="7"/>
  <c r="M43" i="7"/>
  <c r="P43" i="7"/>
  <c r="Q43" i="7"/>
  <c r="S43" i="7"/>
  <c r="R43" i="7"/>
  <c r="T43" i="7"/>
  <c r="P42" i="7"/>
  <c r="R42" i="7"/>
  <c r="S42" i="7"/>
  <c r="T42" i="7"/>
  <c r="Q42" i="7"/>
  <c r="O42" i="7"/>
  <c r="M42" i="7"/>
  <c r="L42" i="7"/>
  <c r="J42" i="7"/>
  <c r="E42" i="7"/>
  <c r="C42" i="7"/>
  <c r="N42" i="7"/>
  <c r="B42" i="7"/>
  <c r="D42" i="7"/>
  <c r="F42" i="7"/>
  <c r="G42" i="7" s="1"/>
  <c r="H42" i="7"/>
  <c r="I42" i="7"/>
  <c r="K42" i="7"/>
  <c r="C41" i="7"/>
  <c r="B41" i="7"/>
  <c r="D41" i="7"/>
  <c r="F41" i="7"/>
  <c r="G41" i="7" s="1"/>
  <c r="I41" i="7"/>
  <c r="K41" i="7"/>
  <c r="M41" i="7"/>
  <c r="O41" i="7"/>
  <c r="E41" i="7"/>
  <c r="R41" i="7"/>
  <c r="T41" i="7"/>
  <c r="S41" i="7"/>
  <c r="P41" i="7"/>
  <c r="N41" i="7"/>
  <c r="L41" i="7"/>
  <c r="J41" i="7"/>
  <c r="H41" i="7"/>
  <c r="Q41" i="7"/>
  <c r="Q40" i="7"/>
  <c r="B40" i="7"/>
  <c r="S40" i="7"/>
  <c r="T40" i="7"/>
  <c r="R40" i="7"/>
  <c r="P40" i="7"/>
  <c r="N40" i="7"/>
  <c r="K40" i="7"/>
  <c r="I40" i="7"/>
  <c r="C40" i="7"/>
  <c r="F40" i="7"/>
  <c r="G40" i="7" s="1"/>
  <c r="D40" i="7"/>
  <c r="E40" i="7"/>
  <c r="H40" i="7"/>
  <c r="J40" i="7"/>
  <c r="L40" i="7"/>
  <c r="M40" i="7"/>
  <c r="O40" i="7"/>
  <c r="I39" i="7"/>
  <c r="F39" i="7"/>
  <c r="G39" i="7" s="1"/>
  <c r="D39" i="7"/>
  <c r="E39" i="7"/>
  <c r="K39" i="7"/>
  <c r="C39" i="7"/>
  <c r="M39" i="7"/>
  <c r="S39" i="7"/>
  <c r="R39" i="7"/>
  <c r="P39" i="7"/>
  <c r="N39" i="7"/>
  <c r="L39" i="7"/>
  <c r="J39" i="7"/>
  <c r="H39" i="7"/>
  <c r="O39" i="7"/>
  <c r="Q39" i="7"/>
  <c r="T39" i="7"/>
  <c r="B39" i="7"/>
  <c r="I38" i="7"/>
  <c r="E38" i="7"/>
  <c r="C38" i="7"/>
  <c r="R38" i="7"/>
  <c r="B38" i="7"/>
  <c r="D38" i="7"/>
  <c r="F38" i="7"/>
  <c r="G38" i="7" s="1"/>
  <c r="H38" i="7"/>
  <c r="J38" i="7"/>
  <c r="N38" i="7"/>
  <c r="M38" i="7"/>
  <c r="O38" i="7"/>
  <c r="Q38" i="7"/>
  <c r="T38" i="7"/>
  <c r="S38" i="7"/>
  <c r="P38" i="7"/>
  <c r="L38" i="7"/>
  <c r="K38" i="7"/>
  <c r="M37" i="7"/>
  <c r="C37" i="7"/>
  <c r="L37" i="7"/>
  <c r="Q37" i="7"/>
  <c r="O37" i="7"/>
  <c r="N37" i="7"/>
  <c r="K37" i="7"/>
  <c r="I37" i="7"/>
  <c r="B37" i="7"/>
  <c r="E37" i="7"/>
  <c r="H37" i="7"/>
  <c r="P37" i="7"/>
  <c r="D37" i="7"/>
  <c r="J37" i="7"/>
  <c r="F37" i="7"/>
  <c r="G37" i="7" s="1"/>
  <c r="T37" i="7"/>
  <c r="S37" i="7"/>
  <c r="R37" i="7"/>
  <c r="Q36" i="7"/>
  <c r="O36" i="7"/>
  <c r="M36" i="7"/>
  <c r="K36" i="7"/>
  <c r="I36" i="7"/>
  <c r="D36" i="7"/>
  <c r="B36" i="7"/>
  <c r="C36" i="7"/>
  <c r="E36" i="7"/>
  <c r="F36" i="7"/>
  <c r="G36" i="7" s="1"/>
  <c r="H36" i="7"/>
  <c r="J36" i="7"/>
  <c r="N36" i="7"/>
  <c r="P36" i="7"/>
  <c r="R36" i="7"/>
  <c r="T36" i="7"/>
  <c r="L36" i="7"/>
  <c r="S36" i="7"/>
  <c r="K35" i="7"/>
  <c r="L35" i="7"/>
  <c r="J35" i="7"/>
  <c r="F35" i="7"/>
  <c r="G35" i="7" s="1"/>
  <c r="D35" i="7"/>
  <c r="B35" i="7"/>
  <c r="N35" i="7"/>
  <c r="T35" i="7"/>
  <c r="S35" i="7"/>
  <c r="R35" i="7"/>
  <c r="Q35" i="7"/>
  <c r="O35" i="7"/>
  <c r="M35" i="7"/>
  <c r="E35" i="7"/>
  <c r="P35" i="7"/>
  <c r="I35" i="7"/>
  <c r="H35" i="7"/>
  <c r="C35" i="7"/>
  <c r="T34" i="7"/>
  <c r="S34" i="7"/>
  <c r="R34" i="7"/>
  <c r="Q34" i="7"/>
  <c r="O34" i="7"/>
  <c r="M34" i="7"/>
  <c r="L34" i="7"/>
  <c r="J34" i="7"/>
  <c r="H34" i="7"/>
  <c r="E34" i="7"/>
  <c r="C34" i="7"/>
  <c r="B34" i="7"/>
  <c r="P34" i="7"/>
  <c r="N34" i="7"/>
  <c r="K34" i="7"/>
  <c r="I34" i="7"/>
  <c r="F34" i="7"/>
  <c r="G34" i="7" s="1"/>
  <c r="D34" i="7"/>
  <c r="I33" i="7"/>
  <c r="K33" i="7"/>
  <c r="E33" i="7"/>
  <c r="C33" i="7"/>
  <c r="F33" i="7"/>
  <c r="G33" i="7" s="1"/>
  <c r="H33" i="7"/>
  <c r="J33" i="7"/>
  <c r="L33" i="7"/>
  <c r="D33" i="7"/>
  <c r="N33" i="7"/>
  <c r="P33" i="7"/>
  <c r="T33" i="7"/>
  <c r="R33" i="7"/>
  <c r="Q33" i="7"/>
  <c r="O33" i="7"/>
  <c r="B33" i="7"/>
  <c r="S33" i="7"/>
  <c r="M33" i="7"/>
  <c r="K32" i="7"/>
  <c r="I32" i="7"/>
  <c r="F32" i="7"/>
  <c r="G32" i="7" s="1"/>
  <c r="D32" i="7"/>
  <c r="B32" i="7"/>
  <c r="H32" i="7"/>
  <c r="E32" i="7"/>
  <c r="C32" i="7"/>
  <c r="R32" i="7"/>
  <c r="T32" i="7"/>
  <c r="O32" i="7"/>
  <c r="M32" i="7"/>
  <c r="S32" i="7"/>
  <c r="Q32" i="7"/>
  <c r="P32" i="7"/>
  <c r="N32" i="7"/>
  <c r="L32" i="7"/>
  <c r="J32" i="7"/>
  <c r="T31" i="7"/>
  <c r="Q31" i="7"/>
  <c r="O31" i="7"/>
  <c r="M31" i="7"/>
  <c r="K31" i="7"/>
  <c r="I31" i="7"/>
  <c r="D31" i="7"/>
  <c r="S31" i="7"/>
  <c r="B31" i="7"/>
  <c r="C31" i="7"/>
  <c r="E31" i="7"/>
  <c r="F31" i="7"/>
  <c r="G31" i="7" s="1"/>
  <c r="H31" i="7"/>
  <c r="J31" i="7"/>
  <c r="L31" i="7"/>
  <c r="N31" i="7"/>
  <c r="P31" i="7"/>
  <c r="R31" i="7"/>
  <c r="T30" i="7"/>
  <c r="R30" i="7"/>
  <c r="P30" i="7"/>
  <c r="N30" i="7"/>
  <c r="L30" i="7"/>
  <c r="J30" i="7"/>
  <c r="H30" i="7"/>
  <c r="F30" i="7"/>
  <c r="G30" i="7" s="1"/>
  <c r="D30" i="7"/>
  <c r="B30" i="7"/>
  <c r="S30" i="7"/>
  <c r="O30" i="7"/>
  <c r="Q30" i="7"/>
  <c r="C30" i="7"/>
  <c r="E30" i="7"/>
  <c r="I30" i="7"/>
  <c r="K30" i="7"/>
  <c r="M30" i="7"/>
  <c r="T29" i="7"/>
  <c r="Q29" i="7"/>
  <c r="P29" i="7"/>
  <c r="M29" i="7"/>
  <c r="L29" i="7"/>
  <c r="J29" i="7"/>
  <c r="H29" i="7"/>
  <c r="E29" i="7"/>
  <c r="C29" i="7"/>
  <c r="B29" i="7"/>
  <c r="N29" i="7"/>
  <c r="S29" i="7"/>
  <c r="O29" i="7"/>
  <c r="R29" i="7"/>
  <c r="K29" i="7"/>
  <c r="I29" i="7"/>
  <c r="F29" i="7"/>
  <c r="G29" i="7" s="1"/>
  <c r="D29" i="7"/>
  <c r="R28" i="7"/>
  <c r="Q28" i="7"/>
  <c r="N28" i="7"/>
  <c r="L28" i="7"/>
  <c r="I28" i="7"/>
  <c r="E28" i="7"/>
  <c r="B28" i="7"/>
  <c r="K28" i="7"/>
  <c r="O28" i="7"/>
  <c r="D28" i="7"/>
  <c r="J28" i="7"/>
  <c r="H28" i="7"/>
  <c r="F28" i="7"/>
  <c r="G28" i="7" s="1"/>
  <c r="C28" i="7"/>
  <c r="T28" i="7"/>
  <c r="S28" i="7"/>
  <c r="P28" i="7"/>
  <c r="M28" i="7"/>
  <c r="M27" i="7"/>
  <c r="P27" i="7"/>
  <c r="R27" i="7"/>
  <c r="T27" i="7"/>
  <c r="K27" i="7"/>
  <c r="S27" i="7"/>
  <c r="Q27" i="7"/>
  <c r="O27" i="7"/>
  <c r="N27" i="7"/>
  <c r="L27" i="7"/>
  <c r="J27" i="7"/>
  <c r="H27" i="7"/>
  <c r="D27" i="7"/>
  <c r="B27" i="7"/>
  <c r="C27" i="7"/>
  <c r="I27" i="7"/>
  <c r="F27" i="7"/>
  <c r="G27" i="7" s="1"/>
  <c r="E27" i="7"/>
  <c r="T26" i="7"/>
  <c r="Q26" i="7"/>
  <c r="O26" i="7"/>
  <c r="N26" i="7"/>
  <c r="L26" i="7"/>
  <c r="J26" i="7"/>
  <c r="H26" i="7"/>
  <c r="E26" i="7"/>
  <c r="C26" i="7"/>
  <c r="F26" i="7"/>
  <c r="G26" i="7" s="1"/>
  <c r="M26" i="7"/>
  <c r="K26" i="7"/>
  <c r="I26" i="7"/>
  <c r="D26" i="7"/>
  <c r="B26" i="7"/>
  <c r="P26" i="7"/>
  <c r="R26" i="7"/>
  <c r="S26" i="7"/>
  <c r="S25" i="7"/>
  <c r="R25" i="7"/>
  <c r="P25" i="7"/>
  <c r="N25" i="7"/>
  <c r="L25" i="7"/>
  <c r="K25" i="7"/>
  <c r="J25" i="7"/>
  <c r="I25" i="7"/>
  <c r="H25" i="7"/>
  <c r="O25" i="7"/>
  <c r="Q25" i="7"/>
  <c r="M25" i="7"/>
  <c r="T25" i="7"/>
  <c r="F25" i="7"/>
  <c r="G25" i="7" s="1"/>
  <c r="E25" i="7"/>
  <c r="D25" i="7"/>
  <c r="B25" i="7"/>
  <c r="C25" i="7"/>
  <c r="N24" i="7"/>
  <c r="I24" i="7"/>
  <c r="K24" i="7"/>
  <c r="H24" i="7"/>
  <c r="Q24" i="7"/>
  <c r="O24" i="7"/>
  <c r="B24" i="7"/>
  <c r="C24" i="7"/>
  <c r="E24" i="7"/>
  <c r="F24" i="7"/>
  <c r="G24" i="7" s="1"/>
  <c r="J24" i="7"/>
  <c r="L24" i="7"/>
  <c r="P24" i="7"/>
  <c r="R24" i="7"/>
  <c r="T24" i="7"/>
  <c r="D24" i="7"/>
  <c r="S24" i="7"/>
  <c r="M24" i="7"/>
  <c r="P23" i="7"/>
  <c r="M23" i="7"/>
  <c r="I23" i="7"/>
  <c r="E23" i="7"/>
  <c r="B23" i="7"/>
  <c r="C23" i="7"/>
  <c r="L23" i="7"/>
  <c r="S23" i="7"/>
  <c r="R23" i="7"/>
  <c r="K23" i="7"/>
  <c r="T23" i="7"/>
  <c r="Q23" i="7"/>
  <c r="O23" i="7"/>
  <c r="N23" i="7"/>
  <c r="J23" i="7"/>
  <c r="H23" i="7"/>
  <c r="F23" i="7"/>
  <c r="G23" i="7" s="1"/>
  <c r="D23" i="7"/>
  <c r="S22" i="7"/>
  <c r="R22" i="7"/>
  <c r="P22" i="7"/>
  <c r="M22" i="7"/>
  <c r="J22" i="7"/>
  <c r="T22" i="7"/>
  <c r="Q22" i="7"/>
  <c r="O22" i="7"/>
  <c r="N22" i="7"/>
  <c r="L22" i="7"/>
  <c r="H22" i="7"/>
  <c r="F22" i="7"/>
  <c r="G22" i="7" s="1"/>
  <c r="D22" i="7"/>
  <c r="B22" i="7"/>
  <c r="C22" i="7"/>
  <c r="E22" i="7"/>
  <c r="I22" i="7"/>
  <c r="K22" i="7"/>
  <c r="M21" i="7"/>
  <c r="O21" i="7"/>
  <c r="Q21" i="7"/>
  <c r="R21" i="7"/>
  <c r="T21" i="7"/>
  <c r="C21" i="7"/>
  <c r="D21" i="7"/>
  <c r="F21" i="7"/>
  <c r="G21" i="7" s="1"/>
  <c r="J21" i="7"/>
  <c r="L21" i="7"/>
  <c r="N21" i="7"/>
  <c r="B21" i="7"/>
  <c r="E21" i="7"/>
  <c r="K21" i="7"/>
  <c r="S21" i="7"/>
  <c r="I21" i="7"/>
  <c r="P21" i="7"/>
  <c r="H21" i="7"/>
  <c r="C20" i="7"/>
  <c r="B20" i="7"/>
  <c r="D20" i="7"/>
  <c r="H20" i="7"/>
  <c r="J20" i="7"/>
  <c r="K20" i="7"/>
  <c r="M20" i="7"/>
  <c r="P20" i="7"/>
  <c r="R20" i="7"/>
  <c r="S20" i="7"/>
  <c r="T20" i="7"/>
  <c r="Q20" i="7"/>
  <c r="O20" i="7"/>
  <c r="N20" i="7"/>
  <c r="L20" i="7"/>
  <c r="I20" i="7"/>
  <c r="F20" i="7"/>
  <c r="G20" i="7" s="1"/>
  <c r="E20" i="7"/>
  <c r="Q19" i="7"/>
  <c r="F19" i="7"/>
  <c r="G19" i="7" s="1"/>
  <c r="R19" i="7"/>
  <c r="I19" i="7"/>
  <c r="S19" i="7"/>
  <c r="P19" i="7"/>
  <c r="K19" i="7"/>
  <c r="M19" i="7"/>
  <c r="E19" i="7"/>
  <c r="T19" i="7"/>
  <c r="C19" i="7"/>
  <c r="B19" i="7"/>
  <c r="D19" i="7"/>
  <c r="H19" i="7"/>
  <c r="J19" i="7"/>
  <c r="L19" i="7"/>
  <c r="N19" i="7"/>
  <c r="O19" i="7"/>
  <c r="L18" i="7"/>
  <c r="R18" i="7"/>
  <c r="S18" i="7"/>
  <c r="C18" i="7"/>
  <c r="E18" i="7"/>
  <c r="J18" i="7"/>
  <c r="K18" i="7"/>
  <c r="M18" i="7"/>
  <c r="O18" i="7"/>
  <c r="Q18" i="7"/>
  <c r="I18" i="7"/>
  <c r="H18" i="7"/>
  <c r="F18" i="7"/>
  <c r="G18" i="7" s="1"/>
  <c r="T18" i="7"/>
  <c r="D18" i="7"/>
  <c r="B18" i="7"/>
  <c r="P18" i="7"/>
  <c r="N18" i="7"/>
  <c r="N17" i="7"/>
  <c r="Q17" i="7"/>
  <c r="I17" i="7"/>
  <c r="E17" i="7"/>
  <c r="C17" i="7"/>
  <c r="L17" i="7"/>
  <c r="J17" i="7"/>
  <c r="H17" i="7"/>
  <c r="K17" i="7"/>
  <c r="F17" i="7"/>
  <c r="G17" i="7" s="1"/>
  <c r="D17" i="7"/>
  <c r="O17" i="7"/>
  <c r="B17" i="7"/>
  <c r="T17" i="7"/>
  <c r="R17" i="7"/>
  <c r="P17" i="7"/>
  <c r="M17" i="7"/>
  <c r="S17" i="7"/>
  <c r="T16" i="7"/>
  <c r="P16" i="7"/>
  <c r="D16" i="7"/>
  <c r="C16" i="7"/>
  <c r="E16" i="7"/>
  <c r="L16" i="7"/>
  <c r="J16" i="7"/>
  <c r="N16" i="7"/>
  <c r="S16" i="7"/>
  <c r="R16" i="7"/>
  <c r="F16" i="7"/>
  <c r="G16" i="7" s="1"/>
  <c r="H16" i="7"/>
  <c r="I16" i="7"/>
  <c r="K16" i="7"/>
  <c r="M16" i="7"/>
  <c r="O16" i="7"/>
  <c r="B16" i="7"/>
  <c r="Q16" i="7"/>
  <c r="B15" i="7"/>
  <c r="E15" i="7"/>
  <c r="C15" i="7"/>
  <c r="F15" i="7"/>
  <c r="G15" i="7" s="1"/>
  <c r="J15" i="7"/>
  <c r="M15" i="7"/>
  <c r="O15" i="7"/>
  <c r="Q15" i="7"/>
  <c r="T15" i="7"/>
  <c r="P15" i="7"/>
  <c r="K15" i="7"/>
  <c r="N15" i="7"/>
  <c r="R15" i="7"/>
  <c r="S15" i="7"/>
  <c r="L15" i="7"/>
  <c r="H15" i="7"/>
  <c r="I15" i="7"/>
  <c r="D15" i="7"/>
  <c r="I14" i="7"/>
  <c r="N14" i="7"/>
  <c r="P14" i="7"/>
  <c r="C14" i="7"/>
  <c r="F14" i="7"/>
  <c r="G14" i="7" s="1"/>
  <c r="H14" i="7"/>
  <c r="T14" i="7"/>
  <c r="R14" i="7"/>
  <c r="K14" i="7"/>
  <c r="S14" i="7"/>
  <c r="Q14" i="7"/>
  <c r="O14" i="7"/>
  <c r="L14" i="7"/>
  <c r="M14" i="7"/>
  <c r="B14" i="7"/>
  <c r="J14" i="7"/>
  <c r="E14" i="7"/>
  <c r="D14" i="7"/>
  <c r="A25" i="3"/>
  <c r="D13" i="7"/>
  <c r="B25" i="3" s="1"/>
  <c r="T13" i="7"/>
  <c r="O13" i="7"/>
  <c r="P13" i="7" s="1"/>
  <c r="H25" i="3" s="1"/>
  <c r="I13" i="7"/>
  <c r="E13" i="7"/>
  <c r="J13" i="7"/>
  <c r="F13" i="7"/>
  <c r="C13" i="7"/>
  <c r="D25" i="3" s="1"/>
  <c r="B13" i="7"/>
  <c r="C25" i="3" s="1"/>
  <c r="T12" i="7"/>
  <c r="I12" i="7"/>
  <c r="E12" i="7"/>
  <c r="D12" i="7"/>
  <c r="B24" i="3" s="1"/>
  <c r="A24" i="3"/>
  <c r="C12" i="7"/>
  <c r="D24" i="3" s="1"/>
  <c r="O12" i="7"/>
  <c r="P12" i="7" s="1"/>
  <c r="H24" i="3" s="1"/>
  <c r="J12" i="7"/>
  <c r="F12" i="7"/>
  <c r="B12" i="7"/>
  <c r="C24" i="3" s="1"/>
  <c r="D11" i="7"/>
  <c r="B23" i="3" s="1"/>
  <c r="I11" i="7"/>
  <c r="S11" i="7" s="1"/>
  <c r="F11" i="7"/>
  <c r="G11" i="7" s="1"/>
  <c r="E11" i="7"/>
  <c r="J11" i="7"/>
  <c r="B11" i="7"/>
  <c r="C23" i="3" s="1"/>
  <c r="A23" i="3"/>
  <c r="T11" i="7"/>
  <c r="H11" i="7"/>
  <c r="O11" i="7"/>
  <c r="P11" i="7" s="1"/>
  <c r="H23" i="3" s="1"/>
  <c r="K11" i="7"/>
  <c r="F23" i="3" s="1"/>
  <c r="C11" i="7"/>
  <c r="D23" i="3" s="1"/>
  <c r="F10" i="7"/>
  <c r="G10" i="7" s="1"/>
  <c r="O10" i="7"/>
  <c r="P10" i="7" s="1"/>
  <c r="H22" i="3" s="1"/>
  <c r="A22" i="3"/>
  <c r="T10" i="7"/>
  <c r="C10" i="7"/>
  <c r="D22" i="3" s="1"/>
  <c r="I10" i="7"/>
  <c r="D10" i="7"/>
  <c r="E10" i="7"/>
  <c r="H10" i="7" s="1"/>
  <c r="B10" i="7"/>
  <c r="C22" i="3" s="1"/>
  <c r="E9" i="7"/>
  <c r="O9" i="7"/>
  <c r="P9" i="7" s="1"/>
  <c r="H21" i="3" s="1"/>
  <c r="B9" i="7"/>
  <c r="C21" i="3" s="1"/>
  <c r="I9" i="7"/>
  <c r="A21" i="3"/>
  <c r="F9" i="7"/>
  <c r="D9" i="7"/>
  <c r="B21" i="3" s="1"/>
  <c r="T9" i="7"/>
  <c r="C9" i="7"/>
  <c r="D21" i="3" s="1"/>
  <c r="J9" i="7"/>
  <c r="A20" i="3"/>
  <c r="E8" i="7"/>
  <c r="C8" i="7"/>
  <c r="D20" i="3" s="1"/>
  <c r="F8" i="7"/>
  <c r="G8" i="7" s="1"/>
  <c r="H8" i="7" s="1"/>
  <c r="B8" i="7"/>
  <c r="C20" i="3" s="1"/>
  <c r="O8" i="7"/>
  <c r="P8" i="7" s="1"/>
  <c r="H20" i="3" s="1"/>
  <c r="T8" i="7"/>
  <c r="D8" i="7"/>
  <c r="I8" i="7"/>
  <c r="C7" i="7"/>
  <c r="D19" i="3" s="1"/>
  <c r="I7" i="7"/>
  <c r="A19" i="3"/>
  <c r="O7" i="7"/>
  <c r="P7" i="7" s="1"/>
  <c r="H19" i="3" s="1"/>
  <c r="T7" i="7"/>
  <c r="D7" i="7"/>
  <c r="B19" i="3" s="1"/>
  <c r="E7" i="7"/>
  <c r="J7" i="7"/>
  <c r="F7" i="7"/>
  <c r="B7" i="7"/>
  <c r="C19" i="3" s="1"/>
  <c r="E6" i="7"/>
  <c r="C6" i="7"/>
  <c r="D18" i="3" s="1"/>
  <c r="O6" i="7"/>
  <c r="P6" i="7" s="1"/>
  <c r="H18" i="3" s="1"/>
  <c r="D6" i="7"/>
  <c r="T6" i="7"/>
  <c r="A18" i="3"/>
  <c r="I6" i="7"/>
  <c r="F6" i="7"/>
  <c r="B6" i="7"/>
  <c r="C18" i="3" s="1"/>
  <c r="I5" i="7"/>
  <c r="F5" i="7"/>
  <c r="G5" i="7" s="1"/>
  <c r="D5" i="7"/>
  <c r="B17" i="3" s="1"/>
  <c r="B5" i="7"/>
  <c r="C17" i="3" s="1"/>
  <c r="J5" i="7"/>
  <c r="A17" i="3"/>
  <c r="T5" i="7"/>
  <c r="E5" i="7"/>
  <c r="H5" i="7" s="1"/>
  <c r="C5" i="7"/>
  <c r="D17" i="3" s="1"/>
  <c r="I4" i="7"/>
  <c r="K4" i="7" s="1"/>
  <c r="F16" i="3" s="1"/>
  <c r="F4" i="7"/>
  <c r="G4" i="7" s="1"/>
  <c r="D4" i="7"/>
  <c r="B16" i="3" s="1"/>
  <c r="B4" i="7"/>
  <c r="C16" i="3" s="1"/>
  <c r="C4" i="7"/>
  <c r="D16" i="3" s="1"/>
  <c r="O4" i="7"/>
  <c r="P4" i="7" s="1"/>
  <c r="H16" i="3" s="1"/>
  <c r="A16" i="3"/>
  <c r="T4" i="7"/>
  <c r="S4" i="7"/>
  <c r="J4" i="7"/>
  <c r="E4" i="7"/>
  <c r="H4" i="7" s="1"/>
  <c r="F3" i="7"/>
  <c r="O3" i="7"/>
  <c r="P3" i="7" s="1"/>
  <c r="H15" i="3" s="1"/>
  <c r="B3" i="7"/>
  <c r="C15" i="3" s="1"/>
  <c r="D3" i="7"/>
  <c r="B15" i="3" s="1"/>
  <c r="J3" i="7"/>
  <c r="E3" i="7"/>
  <c r="I3" i="7"/>
  <c r="T3" i="7"/>
  <c r="A15" i="3"/>
  <c r="C3" i="7"/>
  <c r="D15" i="3" s="1"/>
  <c r="E2" i="7"/>
  <c r="C2" i="7"/>
  <c r="D14" i="3" s="1"/>
  <c r="A14" i="3"/>
  <c r="T2" i="7"/>
  <c r="F2" i="7"/>
  <c r="I2" i="7"/>
  <c r="K2" i="7" s="1"/>
  <c r="O2" i="7"/>
  <c r="P2" i="7" s="1"/>
  <c r="I12" i="5" l="1"/>
  <c r="I11" i="5"/>
  <c r="I10" i="5"/>
  <c r="I13" i="5"/>
  <c r="I6" i="5"/>
  <c r="B14" i="3"/>
  <c r="J2" i="7"/>
  <c r="S12" i="7"/>
  <c r="K12" i="7"/>
  <c r="F24" i="3" s="1"/>
  <c r="I2" i="5"/>
  <c r="I9" i="5"/>
  <c r="I8" i="5"/>
  <c r="I7" i="5"/>
  <c r="E19" i="4"/>
  <c r="I5" i="5"/>
  <c r="I4" i="5"/>
  <c r="I3" i="5"/>
  <c r="H2" i="5"/>
  <c r="S13" i="7"/>
  <c r="K13" i="7"/>
  <c r="F25" i="3" s="1"/>
  <c r="K9" i="7"/>
  <c r="F21" i="3" s="1"/>
  <c r="S9" i="7"/>
  <c r="G2" i="7"/>
  <c r="H2" i="7" s="1"/>
  <c r="E14" i="3" s="1"/>
  <c r="S10" i="7"/>
  <c r="K10" i="7"/>
  <c r="F22" i="3" s="1"/>
  <c r="K8" i="7"/>
  <c r="F20" i="3" s="1"/>
  <c r="S8" i="7"/>
  <c r="K7" i="7"/>
  <c r="F19" i="3" s="1"/>
  <c r="S7" i="7"/>
  <c r="S2" i="7"/>
  <c r="H6" i="5"/>
  <c r="S5" i="7"/>
  <c r="K5" i="7"/>
  <c r="H13" i="5"/>
  <c r="F19" i="4"/>
  <c r="G11" i="4"/>
  <c r="S5" i="9"/>
  <c r="Z5" i="9" s="1"/>
  <c r="S2" i="9"/>
  <c r="Z2" i="9" s="1"/>
  <c r="B39" i="4"/>
  <c r="F14" i="3"/>
  <c r="C9" i="3"/>
  <c r="H14" i="3"/>
  <c r="C7" i="3"/>
  <c r="H55" i="10"/>
  <c r="I55" i="10"/>
  <c r="H54" i="10"/>
  <c r="I54" i="10"/>
  <c r="H53" i="10"/>
  <c r="I53" i="10"/>
  <c r="H52" i="10"/>
  <c r="I52" i="10"/>
  <c r="H51" i="10"/>
  <c r="I51" i="10"/>
  <c r="H50" i="10"/>
  <c r="I50" i="10"/>
  <c r="H49" i="10"/>
  <c r="I49" i="10"/>
  <c r="H48" i="10"/>
  <c r="I48" i="10"/>
  <c r="H47" i="10"/>
  <c r="I47" i="10"/>
  <c r="H46" i="10"/>
  <c r="I46" i="10"/>
  <c r="H45" i="10"/>
  <c r="I45" i="10"/>
  <c r="H44" i="10"/>
  <c r="I44" i="10"/>
  <c r="H43" i="10"/>
  <c r="I43" i="10"/>
  <c r="H42" i="10"/>
  <c r="I42" i="10"/>
  <c r="H41" i="10"/>
  <c r="I41" i="10"/>
  <c r="H40" i="10"/>
  <c r="I40" i="10"/>
  <c r="H39" i="10"/>
  <c r="I39" i="10"/>
  <c r="H38" i="10"/>
  <c r="I38" i="10"/>
  <c r="H37" i="10"/>
  <c r="I37" i="10"/>
  <c r="H36" i="10"/>
  <c r="I36" i="10"/>
  <c r="H35" i="10"/>
  <c r="I35" i="10"/>
  <c r="H32" i="10"/>
  <c r="I32" i="10"/>
  <c r="H30" i="10"/>
  <c r="I30" i="10"/>
  <c r="H29" i="10"/>
  <c r="I29" i="10"/>
  <c r="H28" i="10"/>
  <c r="I28" i="10"/>
  <c r="H27" i="10"/>
  <c r="I27" i="10"/>
  <c r="H26" i="10"/>
  <c r="I26" i="10"/>
  <c r="H23" i="10"/>
  <c r="I23" i="10"/>
  <c r="H22" i="10"/>
  <c r="I22" i="10"/>
  <c r="H21" i="10"/>
  <c r="I21" i="10"/>
  <c r="H20" i="10"/>
  <c r="I20" i="10"/>
  <c r="H19" i="10"/>
  <c r="I19" i="10"/>
  <c r="H18" i="10"/>
  <c r="I18" i="10"/>
  <c r="H17" i="10"/>
  <c r="I17" i="10"/>
  <c r="H16" i="10"/>
  <c r="I16" i="10"/>
  <c r="H15" i="10"/>
  <c r="I15" i="10"/>
  <c r="H14" i="10"/>
  <c r="I14" i="10"/>
  <c r="H13" i="10"/>
  <c r="I13" i="10"/>
  <c r="H12" i="10"/>
  <c r="I12" i="10"/>
  <c r="H11" i="10"/>
  <c r="I11" i="10"/>
  <c r="H10" i="10"/>
  <c r="I10" i="10"/>
  <c r="H8" i="10"/>
  <c r="I8" i="10"/>
  <c r="H7" i="10"/>
  <c r="I7" i="10"/>
  <c r="H6" i="10"/>
  <c r="M9" i="7"/>
  <c r="N9" i="7" s="1"/>
  <c r="G21" i="3" s="1"/>
  <c r="L9" i="7"/>
  <c r="S37" i="9"/>
  <c r="Z37" i="9" s="1"/>
  <c r="S20" i="9"/>
  <c r="Z20" i="9" s="1"/>
  <c r="L7" i="7"/>
  <c r="M7" i="7"/>
  <c r="N7" i="7" s="1"/>
  <c r="G19" i="3" s="1"/>
  <c r="S16" i="9"/>
  <c r="Z16" i="9" s="1"/>
  <c r="M10" i="7"/>
  <c r="N10" i="7" s="1"/>
  <c r="L10" i="7"/>
  <c r="L2" i="7"/>
  <c r="M2" i="7"/>
  <c r="S13" i="9"/>
  <c r="Z13" i="9" s="1"/>
  <c r="M8" i="7"/>
  <c r="N8" i="7" s="1"/>
  <c r="L8" i="7"/>
  <c r="S11" i="9"/>
  <c r="Z11" i="9" s="1"/>
  <c r="M4" i="7"/>
  <c r="N4" i="7" s="1"/>
  <c r="L4" i="7"/>
  <c r="S10" i="9"/>
  <c r="Z10" i="9" s="1"/>
  <c r="L3" i="7"/>
  <c r="M3" i="7"/>
  <c r="N3" i="7" s="1"/>
  <c r="G15" i="3" s="1"/>
  <c r="S8" i="9"/>
  <c r="Z8" i="9" s="1"/>
  <c r="L5" i="7"/>
  <c r="M5" i="7"/>
  <c r="N5" i="7" s="1"/>
  <c r="G17" i="3" s="1"/>
  <c r="S6" i="9"/>
  <c r="Z6" i="9" s="1"/>
  <c r="M6" i="7"/>
  <c r="N6" i="7" s="1"/>
  <c r="G18" i="3" s="1"/>
  <c r="L6" i="7"/>
  <c r="L13" i="7"/>
  <c r="M13" i="7"/>
  <c r="N13" i="7" s="1"/>
  <c r="G25" i="3" s="1"/>
  <c r="S4" i="9"/>
  <c r="Z4" i="9" s="1"/>
  <c r="M12" i="7"/>
  <c r="N12" i="7" s="1"/>
  <c r="G24" i="3" s="1"/>
  <c r="L12" i="7"/>
  <c r="G13" i="4"/>
  <c r="S3" i="9"/>
  <c r="Z3" i="9" s="1"/>
  <c r="G12" i="4"/>
  <c r="L11" i="7"/>
  <c r="M11" i="7"/>
  <c r="N11" i="7" s="1"/>
  <c r="G13" i="7"/>
  <c r="H13" i="7" s="1"/>
  <c r="G12" i="7"/>
  <c r="H12" i="7" s="1"/>
  <c r="E23" i="3"/>
  <c r="B22" i="3"/>
  <c r="J10" i="7"/>
  <c r="E22" i="3"/>
  <c r="G9" i="7"/>
  <c r="H9" i="7" s="1"/>
  <c r="E20" i="3"/>
  <c r="B20" i="3"/>
  <c r="J8" i="7"/>
  <c r="G7" i="7"/>
  <c r="H7" i="7" s="1"/>
  <c r="B18" i="3"/>
  <c r="J6" i="7"/>
  <c r="K6" i="7"/>
  <c r="F18" i="3" s="1"/>
  <c r="S6" i="7"/>
  <c r="G6" i="7"/>
  <c r="H6" i="7" s="1"/>
  <c r="E17" i="3"/>
  <c r="E16" i="3"/>
  <c r="G3" i="7"/>
  <c r="H3" i="7" s="1"/>
  <c r="K3" i="7"/>
  <c r="S3" i="7"/>
  <c r="G20" i="3" l="1"/>
  <c r="Q8" i="7"/>
  <c r="G22" i="3"/>
  <c r="Q10" i="7"/>
  <c r="F17" i="3"/>
  <c r="Q5" i="7"/>
  <c r="G16" i="3"/>
  <c r="Q4" i="7"/>
  <c r="G23" i="3"/>
  <c r="Q11" i="7"/>
  <c r="B15" i="4"/>
  <c r="C8" i="3"/>
  <c r="N2" i="7"/>
  <c r="Q13" i="7"/>
  <c r="E25" i="3"/>
  <c r="Q12" i="7"/>
  <c r="E24" i="3"/>
  <c r="Q9" i="7"/>
  <c r="E21" i="3"/>
  <c r="Q7" i="7"/>
  <c r="E19" i="3"/>
  <c r="Q6" i="7"/>
  <c r="E18" i="3"/>
  <c r="Q3" i="7"/>
  <c r="E15" i="3"/>
  <c r="G19" i="4"/>
  <c r="B8" i="4"/>
  <c r="B9" i="4"/>
  <c r="B10" i="4"/>
  <c r="F15" i="3"/>
  <c r="B12" i="4"/>
  <c r="B11" i="4"/>
  <c r="B13" i="4"/>
  <c r="R8" i="7" l="1"/>
  <c r="I20" i="3"/>
  <c r="R10" i="7"/>
  <c r="I22" i="3"/>
  <c r="R5" i="7"/>
  <c r="I17" i="3"/>
  <c r="R4" i="7"/>
  <c r="I16" i="3"/>
  <c r="R11" i="7"/>
  <c r="I23" i="3"/>
  <c r="Q2" i="7"/>
  <c r="R2" i="7" s="1"/>
  <c r="G14" i="3"/>
  <c r="R13" i="7"/>
  <c r="I25" i="3"/>
  <c r="R12" i="7"/>
  <c r="I24" i="3"/>
  <c r="R9" i="7"/>
  <c r="I21" i="3"/>
  <c r="R7" i="7"/>
  <c r="I19" i="3"/>
  <c r="R6" i="7"/>
  <c r="I18" i="3"/>
  <c r="R3" i="7"/>
  <c r="I15" i="3"/>
  <c r="B14" i="4" l="1"/>
  <c r="I14" i="3"/>
  <c r="C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Nuva Oxi</author>
  </authors>
  <commentList>
    <comment ref="B15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Este es el ÚNICO lugar donde se cambia este umbral.
El Dashboard y todas las hojas leen desde aquí.</t>
        </r>
      </text>
    </comment>
    <comment ref="B3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Debe ser MAYOR que 'Venta baja' (B15).
Lo dejé en $1.000.000 porque subiste venta baja a $500.000 — ajústalo a tu realidad.
Si queda menor o igual que B15, se pinta rojo.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Nuva Oxi</author>
  </authors>
  <commentList>
    <comment ref="B2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Cambia esta fecha y toda la venta acumulada (total, por canal y por PDV)
se recalcula desde ahí hasta hoy.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Nuva Oxi</author>
  </authors>
  <commentList>
    <comment ref="A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Hoja de solo lectura: se calcula sola.
Filtra el detalle en Ventas_SellIn por Año/Mes/Día o en Cobertura por Canal/Cliente/PDV.</t>
        </r>
      </text>
    </comment>
    <comment ref="B3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Cambia el año y la tabla 'Venta por mes' se recalcula sola.</t>
        </r>
      </text>
    </comment>
    <comment ref="B34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Escribe fecha inicial y final y todo el bloque se recalcula
para ese período (venta, unidades, facturas, deuda y canales).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Nuva Oxi</author>
  </authors>
  <commentList>
    <comment ref="A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Este plan es tu bodega CENTRAL (lo que produce o destinas a venta), calculado sobre sell-in.
El stock en cada sala/cliente va en Stock_PDV.
Escribe solo la columna Bodega (amarilla); el resto se calcula solo.</t>
        </r>
      </text>
    </comment>
    <comment ref="C1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Barras equivalentes vendidas (sell-in) en la ventana de demanda
(días definidos en Inicio B31, normalmente 30).</t>
        </r>
      </text>
    </comment>
    <comment ref="E1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Cuánto deberías tener en bodega:
venta por día × días de cobertura × (1 + % seguridad).
Los tres números se editan en Inicio (B29, B30, B31).</t>
        </r>
      </text>
    </comment>
    <comment ref="F1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ÚNICA columna que escribes en esta hoja (amarilla):
tu stock de bodega en UNIDADES tal como las cuentas.
Se convierte a barras automáticamente.</t>
        </r>
      </text>
    </comment>
    <comment ref="H1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Cuánto te falta para llegar al stock objetivo (en barras).
Si es 0, no necesitas reponer.</t>
        </r>
      </text>
    </comment>
    <comment ref="I1" authorId="0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Semáforo:
• Reponer (rojo) = tienes menos del 60% del objetivo.
• Ajustado (amarillo) = entre 60% y 100%.
• OK (verde) = objetivo cubierto.
• Falta bodega = aún no ingresas tu stock en la columna amarilla.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Nuva Oxi</author>
  </authors>
  <commentList>
    <comment ref="A1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Una bodega por cliente. 'Cliente' debe escribirse IGUAL que en Clientes_PDV.
El cuadre estima cuánto queda en la bodega del cliente:
Sell-in (lo que le despachaste) − Sell-out (lo que sus salas vendieron) − Stock en salas.
Confiable donde hay sell-out (Jumbo/Cencosud); en el resto sirve de referencia.</t>
        </r>
      </text>
    </comment>
    <comment ref="H1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Estimación de barras que quedan en la bodega del cliente
(no en las salas). Si sale negativo, revisa: faltan datos de sell-out o de stock.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Nuva Oxi</author>
  </authors>
  <commentList>
    <comment ref="A1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Hoja de SOLO LECTURA: se llena sola desde Clientes_PDV, Ventas_SellIn y Stock_PDV.
Cada fila de aquí corresponde a la misma fila de Clientes_PDV (mismo PDV_ID).
El lunes: filtra Prioridad = Alta y esa es tu ruta.</t>
        </r>
      </text>
    </comment>
    <comment ref="H1" authorId="0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>Estado visita:
• Vigente = visitado dentro de su frecuencia.
• Atrasado = pasaron más días que la frecuencia (ej: semanal y van 8+).
• Sin visita = no tiene fecha de última visita.
Se configura en Inicio (días por frecuencia).</t>
        </r>
      </text>
    </comment>
    <comment ref="K1" authorId="0" shapeId="0" xr:uid="{00000000-0006-0000-0600-000003000000}">
      <text>
        <r>
          <rPr>
            <sz val="11"/>
            <color theme="1"/>
            <rFont val="Calibri"/>
            <family val="2"/>
            <scheme val="minor"/>
          </rPr>
          <t>Estado venta (últimos 30 días de sell-in):
• Venta OK = sobre el umbral.
• Venta baja = vendió, pero bajo el monto mínimo (Inicio B15).
• Sin venta = cero facturación en el período.</t>
        </r>
      </text>
    </comment>
    <comment ref="N1" authorId="0" shapeId="0" xr:uid="{00000000-0006-0000-0600-000004000000}">
      <text>
        <r>
          <rPr>
            <sz val="11"/>
            <color theme="1"/>
            <rFont val="Calibri"/>
            <family val="2"/>
            <scheme val="minor"/>
          </rPr>
          <t>Estado pago:
• Sin deuda = no debe nada.
• Pendiente menor = debe poco.
• Pendiente relevante = debe más que el monto de Inicio B18 (cobrar primero).</t>
        </r>
      </text>
    </comment>
    <comment ref="P1" authorId="0" shapeId="0" xr:uid="{00000000-0006-0000-0600-000005000000}">
      <text>
        <r>
          <rPr>
            <sz val="11"/>
            <color theme="1"/>
            <rFont val="Calibri"/>
            <family val="2"/>
            <scheme val="minor"/>
          </rPr>
          <t>Estado stock en la sala (barras equivalentes):
• Crítico = casi sin producto, reponer ya.
• Observar = queda poco.
• OK = suficiente.
Umbrales en Inicio B16 y B17.</t>
        </r>
      </text>
    </comment>
    <comment ref="Q1" authorId="0" shapeId="0" xr:uid="{00000000-0006-0000-0600-000006000000}">
      <text>
        <r>
          <rPr>
            <sz val="11"/>
            <color theme="1"/>
            <rFont val="Calibri"/>
            <family val="2"/>
            <scheme val="minor"/>
          </rPr>
          <t>Prioridad para el lunes (se calcula sola):
• Alta = visita atrasada, sin venta, deuda relevante o stock crítico.
• Media = venta baja, deuda menor o stock en observación.
• Baja = todo en orden.</t>
        </r>
      </text>
    </comment>
    <comment ref="R1" authorId="0" shapeId="0" xr:uid="{00000000-0006-0000-0600-000007000000}">
      <text>
        <r>
          <rPr>
            <sz val="11"/>
            <color theme="1"/>
            <rFont val="Calibri"/>
            <family val="2"/>
            <scheme val="minor"/>
          </rPr>
          <t>Qué hacer con este PDV según nuestra prioridad:
Gestionar esta semana / Hacer seguimiento / Mantener.</t>
        </r>
      </text>
    </comment>
    <comment ref="S1" authorId="0" shapeId="0" xr:uid="{00000000-0006-0000-0600-000008000000}">
      <text>
        <r>
          <rPr>
            <sz val="11"/>
            <color theme="1"/>
            <rFont val="Calibri"/>
            <family val="2"/>
            <scheme val="minor"/>
          </rPr>
          <t>Rotación = qué tan rápido vende este PDV (venta neta 30 días):
• Alta = vende sobre el monto de Inicio B34 → se le puede vender más.
• Media = entre ambos montos.
• Baja = bajo el umbral de venta baja → ojo con mandarle más producto.
• Sin venta = no ha facturado en 30 días.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Nuva Oxi</author>
  </authors>
  <commentList>
    <comment ref="A1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Código único de cada punto de venta: PDV-001, PDV-002...
Sigue el correlativo y NO lo repitas ni lo cambies después:
es el hilo que conecta todas las hojas.</t>
        </r>
      </text>
    </comment>
    <comment ref="H1" authorId="0" shapeId="0" xr:uid="{00000000-0006-0000-0700-000002000000}">
      <text>
        <r>
          <rPr>
            <sz val="11"/>
            <color theme="1"/>
            <rFont val="Calibri"/>
            <family val="2"/>
            <scheme val="minor"/>
          </rPr>
          <t>Actualiza esta fecha cada vez que visites el punto de venta.
Con ella se calcula si la visita está vigente o atrasada.</t>
        </r>
      </text>
    </comment>
    <comment ref="K1" authorId="0" shapeId="0" xr:uid="{00000000-0006-0000-0700-000003000000}">
      <text>
        <r>
          <rPr>
            <sz val="11"/>
            <color theme="1"/>
            <rFont val="Calibri"/>
            <family val="2"/>
            <scheme val="minor"/>
          </rPr>
          <t>Dirección de la sala/punto de venta (calle y número).
Aparece automáticamente en Cobertura y en el Dashboard para tus rutas.</t>
        </r>
      </text>
    </comment>
    <comment ref="L1" authorId="0" shapeId="0" xr:uid="{00000000-0006-0000-0700-000004000000}">
      <text>
        <r>
          <rPr>
            <sz val="11"/>
            <color theme="1"/>
            <rFont val="Calibri"/>
            <family val="2"/>
            <scheme val="minor"/>
          </rPr>
          <t>Bodega (del cliente) que abastece este punto de venta.
Ej: los Jumbo se abastecen de la bodega de Cencosud (BOD-001).
Elígela del desplegable; se define en la hoja Bodegas.</t>
        </r>
      </text>
    </comment>
    <comment ref="P1" authorId="0" shapeId="0" xr:uid="{00000000-0006-0000-0700-000005000000}">
      <text>
        <r>
          <rPr>
            <sz val="11"/>
            <color theme="1"/>
            <rFont val="Calibri"/>
            <family val="2"/>
            <scheme val="minor"/>
          </rPr>
          <t>Contado, Crédito 30, etc. Con esto sabes a qué plazo paga cada cliente.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Nuva Oxi</author>
  </authors>
  <commentList>
    <comment ref="A1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Escribe SOLO en las celdas amarillas. Las grises se calculan solas.</t>
        </r>
      </text>
    </comment>
    <comment ref="B1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Fecha en que emites la factura. Con ella y el vencimiento se calcula la cuenta regresiva.</t>
        </r>
      </text>
    </comment>
    <comment ref="K1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Precio por unidad SIN IVA, tal como sale en la factura.
NO usar el PVP de la sala.</t>
        </r>
      </text>
    </comment>
    <comment ref="O1" authorId="0" shapeId="0" xr:uid="{00000000-0006-0000-0800-000004000000}">
      <text>
        <r>
          <rPr>
            <sz val="11"/>
            <color theme="1"/>
            <rFont val="Calibri"/>
            <family val="2"/>
            <scheme val="minor"/>
          </rPr>
          <t>Fecha límite de pago. Días para vencer (col Z) = esta fecha menos hoy.
Rojo = vencida, amarillo = vence en 7 días o menos.</t>
        </r>
      </text>
    </comment>
    <comment ref="P1" authorId="0" shapeId="0" xr:uid="{00000000-0006-0000-0800-000005000000}">
      <text>
        <r>
          <rPr>
            <sz val="11"/>
            <color theme="1"/>
            <rFont val="Calibri"/>
            <family val="2"/>
            <scheme val="minor"/>
          </rPr>
          <t>Etiqueta MANUAL del pago:
• Pagada = ya pagó todo.
• Parcial = pagó una parte (abono).
• Pendiente = aún no paga.
• Vencida = pasó la fecha sin pagar.
• Nota crédito = se anuló/devolvió.
Ojo: el pendiente real (col R) se calcula solo desde el monto pagado.</t>
        </r>
      </text>
    </comment>
    <comment ref="Q1" authorId="0" shapeId="0" xr:uid="{00000000-0006-0000-0800-000006000000}">
      <text>
        <r>
          <rPr>
            <sz val="11"/>
            <color theme="1"/>
            <rFont val="Calibri"/>
            <family val="2"/>
            <scheme val="minor"/>
          </rPr>
          <t>Cuánto pagó el cliente de esta factura, CON IVA.
Escríbelo a medida que paga; el pendiente se ajusta solo.</t>
        </r>
      </text>
    </comment>
    <comment ref="R1" authorId="0" shapeId="0" xr:uid="{00000000-0006-0000-0800-000007000000}">
      <text>
        <r>
          <rPr>
            <sz val="11"/>
            <color theme="1"/>
            <rFont val="Calibri"/>
            <family val="2"/>
            <scheme val="minor"/>
          </rPr>
          <t>Pendiente (con IVA) = Venta TOTAL con IVA (col N) menos lo Pagado (col Q).
Si pagó todo, queda 0. Este es el monto real que se debe, sin importar la etiqueta manual.</t>
        </r>
      </text>
    </comment>
    <comment ref="U1" authorId="0" shapeId="0" xr:uid="{00000000-0006-0000-0800-000008000000}">
      <text>
        <r>
          <rPr>
            <sz val="11"/>
            <color theme="1"/>
            <rFont val="Calibri"/>
            <family val="2"/>
            <scheme val="minor"/>
          </rPr>
          <t>Año, Mes, Día y Periodo se calculan solos desde la fecha.
Sirven para filtrar: ej. Mes = 7 muestra solo julio.
Periodo agrupa por mes (2026-07).</t>
        </r>
      </text>
    </comment>
    <comment ref="Y1" authorId="0" shapeId="0" xr:uid="{00000000-0006-0000-0800-000009000000}">
      <text>
        <r>
          <rPr>
            <sz val="11"/>
            <color theme="1"/>
            <rFont val="Calibri"/>
            <family val="2"/>
            <scheme val="minor"/>
          </rPr>
          <t>Cantidad convertida a barras (unidad común del archivo).
La usa Plan_Inventario para calcular la demanda.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ChatGPT</author>
  </authors>
  <commentList>
    <comment ref="D5" authorId="0" shapeId="0" xr:uid="{00000000-0006-0000-0900-000001000000}">
      <text>
        <r>
          <rPr>
            <sz val="11"/>
            <color theme="1"/>
            <rFont val="Calibri"/>
            <family val="2"/>
            <scheme val="minor"/>
          </rPr>
          <t>PVP bruto pensado: precio al consumidor final con IVA. Ejemplo unidad $1.990 o estuche $5.990.</t>
        </r>
      </text>
    </comment>
    <comment ref="E5" authorId="0" shapeId="0" xr:uid="{00000000-0006-0000-0900-000002000000}">
      <text>
        <r>
          <rPr>
            <sz val="11"/>
            <color theme="1"/>
            <rFont val="Calibri"/>
            <family val="2"/>
            <scheme val="minor"/>
          </rPr>
          <t>Margen frontal objetivo del cliente. Fórmula conceptual: (PVP neto - precio neto cliente) / PVP neto.</t>
        </r>
      </text>
    </comment>
    <comment ref="G5" authorId="0" shapeId="0" xr:uid="{00000000-0006-0000-0900-000003000000}">
      <text>
        <r>
          <rPr>
            <sz val="11"/>
            <color theme="1"/>
            <rFont val="Calibri"/>
            <family val="2"/>
            <scheme val="minor"/>
          </rPr>
          <t>Precio neto sugerido a facturar al cliente para que logre el margen frontal objetivo.</t>
        </r>
      </text>
    </comment>
    <comment ref="E61" authorId="0" shapeId="0" xr:uid="{00000000-0006-0000-0900-000004000000}">
      <text>
        <r>
          <rPr>
            <sz val="11"/>
            <color theme="1"/>
            <rFont val="Calibri"/>
            <family val="2"/>
            <scheme val="minor"/>
          </rPr>
          <t>Precio neto que tú decides ofrecer/facturar. Aquí no se usa PVP ni margen para calcularlo.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Nuva Oxi</author>
  </authors>
  <commentList>
    <comment ref="A1" authorId="0" shapeId="0" xr:uid="{00000000-0006-0000-0A00-000001000000}">
      <text>
        <r>
          <rPr>
            <sz val="11"/>
            <color theme="1"/>
            <rFont val="Calibri"/>
            <family val="2"/>
            <scheme val="minor"/>
          </rPr>
          <t>Aquí se pegan las exportaciones de Cencosud/Jumbo cuando existan.
Sell-out = lo que la sala vendió al consumidor final.
Sirve para validar rotación, no para planificar inventario (eso usa sell-in).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Nuva Oxi</author>
  </authors>
  <commentList>
    <comment ref="A1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Cada punto de venta funciona como su propio ALMACÉN: aquí registras
el stock que hay en esa sala/cliente, desde donde se vende al consumidor.
Escribe solo en amarillo; elige PDV y SKU de los desplegables.</t>
        </r>
      </text>
    </comment>
    <comment ref="G1" authorId="0" shapeId="0" xr:uid="{00000000-0006-0000-0B00-000002000000}">
      <text>
        <r>
          <rPr>
            <sz val="11"/>
            <color theme="1"/>
            <rFont val="Calibri"/>
            <family val="2"/>
            <scheme val="minor"/>
          </rPr>
          <t>Lo que contaste en la sala, en las unidades del SKU
(unidades, estuches o cajas, según el SKU).</t>
        </r>
      </text>
    </comment>
    <comment ref="H1" authorId="0" shapeId="0" xr:uid="{00000000-0006-0000-0B00-000003000000}">
      <text>
        <r>
          <rPr>
            <sz val="11"/>
            <color theme="1"/>
            <rFont val="Calibri"/>
            <family val="2"/>
            <scheme val="minor"/>
          </rPr>
          <t>Conversión automática a barras para comparar
todos los formatos con la misma vara.</t>
        </r>
      </text>
    </comment>
    <comment ref="J1" authorId="0" shapeId="0" xr:uid="{00000000-0006-0000-0B00-000004000000}">
      <text>
        <r>
          <rPr>
            <sz val="11"/>
            <color theme="1"/>
            <rFont val="Calibri"/>
            <family val="2"/>
            <scheme val="minor"/>
          </rPr>
          <t>Estado del stock en la sala (barras equivalentes):
Crítico ≤ Inicio B16, Observar ≤ Inicio B17, si no OK.
Edita esos umbrales en Inicio.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ChatGPT</author>
  </authors>
  <commentList>
    <comment ref="A1" authorId="0" shapeId="0" xr:uid="{00000000-0006-0000-0C00-000001000000}">
      <text>
        <r>
          <rPr>
            <sz val="11"/>
            <color theme="1"/>
            <rFont val="Calibri"/>
            <family val="2"/>
            <scheme val="minor"/>
          </rPr>
          <t>Maestro de SKU. No tiene precios. El precio neto real se carga en Ventas_SellIn; el PVP/margen se simula en Margen_Frontal.</t>
        </r>
      </text>
    </comment>
  </commentList>
</comments>
</file>

<file path=xl/sharedStrings.xml><?xml version="1.0" encoding="utf-8"?>
<sst xmlns="http://schemas.openxmlformats.org/spreadsheetml/2006/main" count="1040" uniqueCount="479">
  <si>
    <t>PDV_ID</t>
  </si>
  <si>
    <t>Cliente</t>
  </si>
  <si>
    <t>Canal</t>
  </si>
  <si>
    <t>Punto de venta</t>
  </si>
  <si>
    <t>Frecuencia</t>
  </si>
  <si>
    <t>Última visita</t>
  </si>
  <si>
    <t>Días sin visita</t>
  </si>
  <si>
    <t>Estado visita</t>
  </si>
  <si>
    <t>Venta 30d NETA (sin IVA)</t>
  </si>
  <si>
    <t>Sell-out 30d unid. opcional</t>
  </si>
  <si>
    <t>Estado venta</t>
  </si>
  <si>
    <t>Facturas pendientes</t>
  </si>
  <si>
    <t>Deuda (con IVA)</t>
  </si>
  <si>
    <t>Estado pago</t>
  </si>
  <si>
    <t>Stock PDV barras</t>
  </si>
  <si>
    <t>Estado stock</t>
  </si>
  <si>
    <t>Prioridad lunes</t>
  </si>
  <si>
    <t>Acción sugerida</t>
  </si>
  <si>
    <t>Rotación</t>
  </si>
  <si>
    <t>Dirección</t>
  </si>
  <si>
    <t>⚙ Configuración</t>
  </si>
  <si>
    <t>NUVA OXI  ·  Control Comercial      —      CONFIDENCIAL Y RESTRINGIDO (uso interno)</t>
  </si>
  <si>
    <t>GUÍA — cómo funciona, se edita, se alimenta y crece  (clic aquí)</t>
  </si>
  <si>
    <t>Cómo se usa en simple</t>
  </si>
  <si>
    <t>Listas editables para desplegables</t>
  </si>
  <si>
    <t>Dashboard: mirar cada lunes qué está en rojo o prioridad alta.</t>
  </si>
  <si>
    <t>Status pago</t>
  </si>
  <si>
    <t>Estado cliente</t>
  </si>
  <si>
    <t>Condición pago</t>
  </si>
  <si>
    <t>Prioridad</t>
  </si>
  <si>
    <t>Cobertura: revisar el detalle por punto de venta, visita, venta, pago y stock.</t>
  </si>
  <si>
    <t>Retail</t>
  </si>
  <si>
    <t>Pendiente</t>
  </si>
  <si>
    <t>Activo</t>
  </si>
  <si>
    <t>Contado</t>
  </si>
  <si>
    <t>Alta</t>
  </si>
  <si>
    <t>Crítico</t>
  </si>
  <si>
    <t>Semanal</t>
  </si>
  <si>
    <t>Clientes_PDV: agregar nuevos clientes o salas. Esa hoja alimenta Cobertura.</t>
  </si>
  <si>
    <t>Conveniencia</t>
  </si>
  <si>
    <t>Pagada</t>
  </si>
  <si>
    <t>Pausado</t>
  </si>
  <si>
    <t>Crédito 15 días</t>
  </si>
  <si>
    <t>Media</t>
  </si>
  <si>
    <t>Observar</t>
  </si>
  <si>
    <t>Quincenal</t>
  </si>
  <si>
    <t>Ventas_SellIn: ingresar facturas reales. No usar PVP; solo precio neto facturado.</t>
  </si>
  <si>
    <t>Farmacias</t>
  </si>
  <si>
    <t>Parcial</t>
  </si>
  <si>
    <t>Prospecto</t>
  </si>
  <si>
    <t>Crédito 30 días</t>
  </si>
  <si>
    <t>Baja</t>
  </si>
  <si>
    <t>OK</t>
  </si>
  <si>
    <t>Mensual</t>
  </si>
  <si>
    <t>Margen_Frontal: simular precio/margen aparte, sin afectar ventas ni cobertura.</t>
  </si>
  <si>
    <t>Especializadas</t>
  </si>
  <si>
    <t>Vencida</t>
  </si>
  <si>
    <t>Inactivo</t>
  </si>
  <si>
    <t>Crédito 45 días</t>
  </si>
  <si>
    <t>SellOut_Jumbo: pegar exportaciones futuras de Cencosud/Jumbo cuando existan.</t>
  </si>
  <si>
    <t>HORECA</t>
  </si>
  <si>
    <t>Nota crédito</t>
  </si>
  <si>
    <t>Crédito 60 días</t>
  </si>
  <si>
    <t>Tradicional</t>
  </si>
  <si>
    <t>Condiciones editables</t>
  </si>
  <si>
    <t>Ecommerce</t>
  </si>
  <si>
    <t>Condición</t>
  </si>
  <si>
    <t>Valor editable</t>
  </si>
  <si>
    <t>Qué significa</t>
  </si>
  <si>
    <t>Corporativo</t>
  </si>
  <si>
    <t>IVA</t>
  </si>
  <si>
    <t>Se usa para pasar neto a bruto y viceversa.</t>
  </si>
  <si>
    <t>Distribuidor</t>
  </si>
  <si>
    <t>Venta reciente últimos días</t>
  </si>
  <si>
    <t>Período usado en cobertura y dashboard.</t>
  </si>
  <si>
    <t>Venta baja si es menor a</t>
  </si>
  <si>
    <t>Si venta neta 30d queda bajo este monto, se marca baja.</t>
  </si>
  <si>
    <t>Leyenda</t>
  </si>
  <si>
    <t>Stock crítico PDV barras</t>
  </si>
  <si>
    <t>Barras equivalentes en sala bajo este nivel = crítico.</t>
  </si>
  <si>
    <t>Amarillo</t>
  </si>
  <si>
    <t>Dato editable</t>
  </si>
  <si>
    <t>Stock en observación PDV barras</t>
  </si>
  <si>
    <t>Barras equivalentes en sala bajo este nivel = observar.</t>
  </si>
  <si>
    <t>Gris</t>
  </si>
  <si>
    <t>Fórmula; no tocar</t>
  </si>
  <si>
    <t>Monto pendiente relevante</t>
  </si>
  <si>
    <t>Deuda sobre este monto eleva prioridad.</t>
  </si>
  <si>
    <t>Morado</t>
  </si>
  <si>
    <t>Título/encabezado</t>
  </si>
  <si>
    <t>Factura próxima a vencer días</t>
  </si>
  <si>
    <t>Días hacia adelante para marcar próxima a vencer.</t>
  </si>
  <si>
    <t>Regla: NETO = sin IVA (lo que facturas y analizas). Con IVA = lo que se paga y cobra.</t>
  </si>
  <si>
    <t>Frecuencia de visita</t>
  </si>
  <si>
    <t>Días máximos</t>
  </si>
  <si>
    <t>Regla</t>
  </si>
  <si>
    <t>Atrasado desde 8 días</t>
  </si>
  <si>
    <t>Atrasado desde 16 días</t>
  </si>
  <si>
    <t>Atrasado desde 31 días</t>
  </si>
  <si>
    <t>Parámetros de inventario (editable)</t>
  </si>
  <si>
    <t>Días de cobertura objetivo</t>
  </si>
  <si>
    <t>Cuántos días de venta quieres tener en stock</t>
  </si>
  <si>
    <t>% stock de seguridad</t>
  </si>
  <si>
    <t>Colchón sobre el objetivo ante quiebres</t>
  </si>
  <si>
    <t>Ventana de demanda (días)</t>
  </si>
  <si>
    <t>Período de sell-in para el promedio (30/60/90)</t>
  </si>
  <si>
    <t>Reglas de rotación (editable)</t>
  </si>
  <si>
    <t>Rotación ALTA: venta 30d ≥</t>
  </si>
  <si>
    <t>Sobre este monto, el PDV rota bien</t>
  </si>
  <si>
    <t>Rotación BAJA: venta 30d &lt;</t>
  </si>
  <si>
    <t>Usa el mismo umbral de 'Venta baja' (B15)</t>
  </si>
  <si>
    <t>Rotación MEDIA:</t>
  </si>
  <si>
    <t>entre ambos</t>
  </si>
  <si>
    <t>Entre el monto de BAJA y el de ALTA</t>
  </si>
  <si>
    <t>Qué define cada estado (los valores se editan arriba)</t>
  </si>
  <si>
    <t>Stock CRÍTICO: barras ≤</t>
  </si>
  <si>
    <t>Stock OBSERVAR: barras ≤</t>
  </si>
  <si>
    <t>Venta BAJA: venta 30d &lt;</t>
  </si>
  <si>
    <t>Deuda RELEVANTE: monto ≥</t>
  </si>
  <si>
    <t>Factura POR VENCER: días ≤</t>
  </si>
  <si>
    <t>Visita ATRASADA: cuando pasan más días que su frecuencia (ver tabla arriba).</t>
  </si>
  <si>
    <t>Guía rápida para Ana | Cómo leer y cargar el archivo</t>
  </si>
  <si>
    <t>Objetivo del archivo</t>
  </si>
  <si>
    <t>Ayudar a decidir cada lunes qué puntos de venta visitar, cuáles están vendiendo, cuáles tienen facturas pendientes y dónde falta stock. No busca reemplazar ERP ni contabilidad.</t>
  </si>
  <si>
    <t>Qué mirar primero</t>
  </si>
  <si>
    <t>•</t>
  </si>
  <si>
    <t>1. Abrir Dashboard y revisar prioridad alta.</t>
  </si>
  <si>
    <t>3. Filtrar por Canal o Cliente si se saldrá a terreno por zona/cuenta.</t>
  </si>
  <si>
    <t>Dónde cargar información</t>
  </si>
  <si>
    <t>Clientes nuevos o nuevas salas: Clientes_PDV.</t>
  </si>
  <si>
    <t>Facturas/sell-in: Ventas_SellIn. Ingresar fecha, factura, PDV_ID, SKU, cantidad, precio neto facturado y status de pago.</t>
  </si>
  <si>
    <t>Stock observado en terreno: Stock_PDV.</t>
  </si>
  <si>
    <t>Sell-out de Jumbo/Cencosud: SellOut_Jumbo, cuando exista exportación.</t>
  </si>
  <si>
    <t>Simulación de precio y margen: Margen_Frontal.</t>
  </si>
  <si>
    <t>Regla de colores</t>
  </si>
  <si>
    <t>Amarillo = se puede editar.</t>
  </si>
  <si>
    <t>Gris = fórmula, mejor no tocar.</t>
  </si>
  <si>
    <t>Morado = encabezado o título.</t>
  </si>
  <si>
    <t>Si algo sale raro, revisar primero si falta PDV_ID, SKU o fecha.</t>
  </si>
  <si>
    <t>Conceptos simples</t>
  </si>
  <si>
    <t>Sell-in: venta facturada al cliente o punto de venta.</t>
  </si>
  <si>
    <t>Sell-out: venta desde la sala hacia consumidor final, cuando el retailer la informe.</t>
  </si>
  <si>
    <t>Margen frontal: margen que el cliente obtiene entre el PVP neto y el precio neto que le facturamos.</t>
  </si>
  <si>
    <t>Barras equivalentes: convierte unidades, estuches y cajas master a barras para comparar stock y venta.</t>
  </si>
  <si>
    <t>Regla de dinero: NETO = sin IVA (ventas y análisis). Con IVA = pagos, deuda y facturas.</t>
  </si>
  <si>
    <t>Cómo se edita, se alimenta y crece</t>
  </si>
  <si>
    <t>1.</t>
  </si>
  <si>
    <t>Editar: solo celdas AMARILLAS. Las grises son fórmulas (se calculan solas).</t>
  </si>
  <si>
    <t>2.</t>
  </si>
  <si>
    <t>Alimentar ventas: Ventas_SellIn, una fila por factura (usa los desplegables).</t>
  </si>
  <si>
    <t>3.</t>
  </si>
  <si>
    <t>Terreno: registra visitas y stock de sala en Clientes_PDV y Stock_PDV.</t>
  </si>
  <si>
    <t>4.</t>
  </si>
  <si>
    <t>Producto nuevo: agrégalo en Maestro_SKU; aparece solo en el plan y en las listas.</t>
  </si>
  <si>
    <t>5.</t>
  </si>
  <si>
    <t>Cliente/sala nueva: agrégala en Clientes_PDV; aparece sola en Cobertura.</t>
  </si>
  <si>
    <t>6.</t>
  </si>
  <si>
    <t>Inventario: escribe tu bodega en Plan_Inventario; te dice cuánto reponer.</t>
  </si>
  <si>
    <t>7.</t>
  </si>
  <si>
    <t>Ajustes: cambia umbrales (venta, stock, cobertura, rotación) en Inicio, sin tocar fórmulas.</t>
  </si>
  <si>
    <t>8.</t>
  </si>
  <si>
    <t>Crece hasta: 250 clientes/PDV y 800 facturas. Para más, se estiran los rangos.</t>
  </si>
  <si>
    <t>Dashboard semanal  ·  Revisión del lunes      —      CONFIDENCIAL</t>
  </si>
  <si>
    <t>Indicador</t>
  </si>
  <si>
    <t>Valor</t>
  </si>
  <si>
    <t>Parámetros activos (se leen desde Inicio)</t>
  </si>
  <si>
    <t>Fecha control</t>
  </si>
  <si>
    <t>Venta reciente días</t>
  </si>
  <si>
    <t>PDV activos</t>
  </si>
  <si>
    <t>Venta baja menor a</t>
  </si>
  <si>
    <t>PDV prioridad alta</t>
  </si>
  <si>
    <t>Semanal días</t>
  </si>
  <si>
    <t>Venta sell-in 30d NETA (sin IVA)</t>
  </si>
  <si>
    <t>Quincenal días</t>
  </si>
  <si>
    <t>Deuda total (con IVA)</t>
  </si>
  <si>
    <t>Mensual días</t>
  </si>
  <si>
    <t>PDV stock crítico</t>
  </si>
  <si>
    <t>Factura próxima a vencer</t>
  </si>
  <si>
    <t>⚙ Ir a Configuración (hoja Inicio)</t>
  </si>
  <si>
    <t>Puntos de venta a gestionar esta semana</t>
  </si>
  <si>
    <t>ID</t>
  </si>
  <si>
    <t>Venta acumulada NETA (sin IVA)</t>
  </si>
  <si>
    <t>Venta acumulada por punto de venta</t>
  </si>
  <si>
    <t>Desde:</t>
  </si>
  <si>
    <t>(hasta hoy)</t>
  </si>
  <si>
    <t>Venta neta acum.</t>
  </si>
  <si>
    <t>Total acumulado:</t>
  </si>
  <si>
    <t>RESUMEN | Nuva Oxi</t>
  </si>
  <si>
    <t>Año de análisis:</t>
  </si>
  <si>
    <t>Seguimiento — terreno vs escritorio</t>
  </si>
  <si>
    <t>Venta por mes (año en B3)</t>
  </si>
  <si>
    <t>Periodo</t>
  </si>
  <si>
    <t>Venta NETA</t>
  </si>
  <si>
    <t>Unidades</t>
  </si>
  <si>
    <t>Deuda (c/IVA)</t>
  </si>
  <si>
    <t>Visita vigente</t>
  </si>
  <si>
    <t>Visita atrasada</t>
  </si>
  <si>
    <t>Sin visita</t>
  </si>
  <si>
    <t>PDV con venta OK</t>
  </si>
  <si>
    <t>PDV venta baja</t>
  </si>
  <si>
    <t>PDV sin venta</t>
  </si>
  <si>
    <t>Prioridad Alta (lunes)</t>
  </si>
  <si>
    <t>Nota: se llena solo desde Ventas_SellIn y Cobertura. Cambia el año en B3.</t>
  </si>
  <si>
    <t>TOTAL</t>
  </si>
  <si>
    <t>Venta por canal</t>
  </si>
  <si>
    <t>Venta neta</t>
  </si>
  <si>
    <t>Tip: en Ventas_SellIn filtra la columna Fecha → Filtros de fecha → Entre… para ver el detalle.</t>
  </si>
  <si>
    <t>Reporte de ventas por rango de fechas</t>
  </si>
  <si>
    <t>Hasta:</t>
  </si>
  <si>
    <t>Métrica</t>
  </si>
  <si>
    <t>Venta NETA del rango (sin IVA)</t>
  </si>
  <si>
    <t>Unidades (rango)</t>
  </si>
  <si>
    <t>N° facturas/líneas</t>
  </si>
  <si>
    <t>Deuda del rango (con IVA)</t>
  </si>
  <si>
    <t>Venta por canal en el rango</t>
  </si>
  <si>
    <t>Producto (SKU)</t>
  </si>
  <si>
    <t>Descripción</t>
  </si>
  <si>
    <t>Sell-in ventana</t>
  </si>
  <si>
    <t>Venta/día</t>
  </si>
  <si>
    <t>Stock objetivo</t>
  </si>
  <si>
    <t>Bodega (unid.)</t>
  </si>
  <si>
    <t>Bodega barras</t>
  </si>
  <si>
    <t>Reponer (barras)</t>
  </si>
  <si>
    <t>Estado</t>
  </si>
  <si>
    <t>Bodega_ID</t>
  </si>
  <si>
    <t>Nombre bodega</t>
  </si>
  <si>
    <t>Sell-in acum. (barras)</t>
  </si>
  <si>
    <t>Sell-out acum. (barras)</t>
  </si>
  <si>
    <t>Stock en salas (barras)</t>
  </si>
  <si>
    <t>Estimado en bodega (barras)</t>
  </si>
  <si>
    <t>BOD-001</t>
  </si>
  <si>
    <t>Jumbo</t>
  </si>
  <si>
    <t>Bodega Cencosud</t>
  </si>
  <si>
    <t>Comuna</t>
  </si>
  <si>
    <t>Región</t>
  </si>
  <si>
    <t>Frecuencia visita</t>
  </si>
  <si>
    <t>Observaciones</t>
  </si>
  <si>
    <t>Bodega asignada</t>
  </si>
  <si>
    <t>Encargado</t>
  </si>
  <si>
    <t>Teléfono</t>
  </si>
  <si>
    <t>Email</t>
  </si>
  <si>
    <t>Condición de pago</t>
  </si>
  <si>
    <t>PDV-001</t>
  </si>
  <si>
    <t>Jumbo Bilbao</t>
  </si>
  <si>
    <t>Las Condes</t>
  </si>
  <si>
    <t>RM</t>
  </si>
  <si>
    <t>Sala prioritaria</t>
  </si>
  <si>
    <t>PDV-002</t>
  </si>
  <si>
    <t>Jumbo Kennedy</t>
  </si>
  <si>
    <t>Vitacura</t>
  </si>
  <si>
    <t>Revisar reposición</t>
  </si>
  <si>
    <t>PDV-003</t>
  </si>
  <si>
    <t>Jumbo La Reina</t>
  </si>
  <si>
    <t>La Reina</t>
  </si>
  <si>
    <t>PDV-004</t>
  </si>
  <si>
    <t>Get It</t>
  </si>
  <si>
    <t>Get It Apoquindo</t>
  </si>
  <si>
    <t>PDV-005</t>
  </si>
  <si>
    <t>Get It Vitacura</t>
  </si>
  <si>
    <t>PDV-006</t>
  </si>
  <si>
    <t>Aldea Nativa</t>
  </si>
  <si>
    <t>Aldea Nativa Providencia</t>
  </si>
  <si>
    <t>Providencia</t>
  </si>
  <si>
    <t>PDV-007</t>
  </si>
  <si>
    <t>All Nutrition</t>
  </si>
  <si>
    <t>All Nutrition La Reina</t>
  </si>
  <si>
    <t>Sin venta reciente</t>
  </si>
  <si>
    <t>PDV-008</t>
  </si>
  <si>
    <t>Farmacia Ahumada</t>
  </si>
  <si>
    <t>Ahumada Los Dominicos</t>
  </si>
  <si>
    <t>PDV-009</t>
  </si>
  <si>
    <t>Cruz Verde</t>
  </si>
  <si>
    <t>Cruz Verde Vitacura</t>
  </si>
  <si>
    <t>PDV-010</t>
  </si>
  <si>
    <t>Sodexo</t>
  </si>
  <si>
    <t>Sodexo Casa Matriz</t>
  </si>
  <si>
    <t>PDV-011</t>
  </si>
  <si>
    <t>Tres Toques</t>
  </si>
  <si>
    <t>Tres Toques Vitacura</t>
  </si>
  <si>
    <t>PDV-012</t>
  </si>
  <si>
    <t>Mundo del Vino</t>
  </si>
  <si>
    <t>Mundo del Vino Escuela Militar</t>
  </si>
  <si>
    <t>ID_venta</t>
  </si>
  <si>
    <t>Fecha emisión (factura)</t>
  </si>
  <si>
    <t>N° factura</t>
  </si>
  <si>
    <t>SKU</t>
  </si>
  <si>
    <t>Descripción SKU</t>
  </si>
  <si>
    <t>Cantidad facturada</t>
  </si>
  <si>
    <t>Precio unit. NETO (sin IVA)</t>
  </si>
  <si>
    <t>Venta NETA (sin IVA)</t>
  </si>
  <si>
    <t>IVA ($)</t>
  </si>
  <si>
    <t>Venta TOTAL (con IVA)</t>
  </si>
  <si>
    <t>Fecha vencimiento</t>
  </si>
  <si>
    <t>Pagado (con IVA)</t>
  </si>
  <si>
    <t>Pendiente (con IVA)</t>
  </si>
  <si>
    <t>Estado factura (auto)</t>
  </si>
  <si>
    <t>Año</t>
  </si>
  <si>
    <t>Mes</t>
  </si>
  <si>
    <t>Día</t>
  </si>
  <si>
    <t>Barras equiv</t>
  </si>
  <si>
    <t>Días para vencer</t>
  </si>
  <si>
    <t>V-0001</t>
  </si>
  <si>
    <t>F-202607001</t>
  </si>
  <si>
    <t>NUVA-BAR-BM-U-01</t>
  </si>
  <si>
    <t>V-0002</t>
  </si>
  <si>
    <t>F-202607002</t>
  </si>
  <si>
    <t>NUVA-BAR-CC-U-01</t>
  </si>
  <si>
    <t>V-0003</t>
  </si>
  <si>
    <t>F-202607003</t>
  </si>
  <si>
    <t>NUVA-BAR-CC-BX-04</t>
  </si>
  <si>
    <t>V-0004</t>
  </si>
  <si>
    <t>F-202607004</t>
  </si>
  <si>
    <t>NUVA-BAR-PB-BX-04</t>
  </si>
  <si>
    <t>V-0005</t>
  </si>
  <si>
    <t>F-202607005</t>
  </si>
  <si>
    <t>NUVA-BAR-PB-CS-24</t>
  </si>
  <si>
    <t>V-0006</t>
  </si>
  <si>
    <t>F-202607006</t>
  </si>
  <si>
    <t>NUVA-BAR-CC-CS-24</t>
  </si>
  <si>
    <t>V-0007</t>
  </si>
  <si>
    <t>F-202607007</t>
  </si>
  <si>
    <t>V-0008</t>
  </si>
  <si>
    <t>F-202607008</t>
  </si>
  <si>
    <t>NUVA-BAR-PB-U-01</t>
  </si>
  <si>
    <t>V-0009</t>
  </si>
  <si>
    <t>F-202607009</t>
  </si>
  <si>
    <t>V-0010</t>
  </si>
  <si>
    <t>F-202607010</t>
  </si>
  <si>
    <t>NUVA-BAR-BM-CS-24</t>
  </si>
  <si>
    <t>V-0011</t>
  </si>
  <si>
    <t>F-202607011</t>
  </si>
  <si>
    <t>V-0012</t>
  </si>
  <si>
    <t>F-202607012</t>
  </si>
  <si>
    <t>V-0013</t>
  </si>
  <si>
    <t>F-202607013</t>
  </si>
  <si>
    <t>V-0014</t>
  </si>
  <si>
    <t>F-202607014</t>
  </si>
  <si>
    <t>V-0015</t>
  </si>
  <si>
    <t>F-202607015</t>
  </si>
  <si>
    <t>V-0016</t>
  </si>
  <si>
    <t>F-202607016</t>
  </si>
  <si>
    <t>V-0017</t>
  </si>
  <si>
    <t>F-202607017</t>
  </si>
  <si>
    <t>V-0018</t>
  </si>
  <si>
    <t>F-202607018</t>
  </si>
  <si>
    <t>V-0019</t>
  </si>
  <si>
    <t>F-202607019</t>
  </si>
  <si>
    <t>V-0020</t>
  </si>
  <si>
    <t>F-202607020</t>
  </si>
  <si>
    <t>V-0021</t>
  </si>
  <si>
    <t>F-202607021</t>
  </si>
  <si>
    <t>V-0022</t>
  </si>
  <si>
    <t>F-202607022</t>
  </si>
  <si>
    <t>V-0023</t>
  </si>
  <si>
    <t>F-202607023</t>
  </si>
  <si>
    <t>V-0024</t>
  </si>
  <si>
    <t>F-202607024</t>
  </si>
  <si>
    <t>V-0025</t>
  </si>
  <si>
    <t>F-202607025</t>
  </si>
  <si>
    <t>V-0026</t>
  </si>
  <si>
    <t>F-202607026</t>
  </si>
  <si>
    <t>V-0027</t>
  </si>
  <si>
    <t>F-202607027</t>
  </si>
  <si>
    <t>V-0028</t>
  </si>
  <si>
    <t>F-202607028</t>
  </si>
  <si>
    <t>V-0029</t>
  </si>
  <si>
    <t>F-202607029</t>
  </si>
  <si>
    <t>V-0030</t>
  </si>
  <si>
    <t>F-202607030</t>
  </si>
  <si>
    <t>V-0031</t>
  </si>
  <si>
    <t>F-202607031</t>
  </si>
  <si>
    <t>V-0032</t>
  </si>
  <si>
    <t>F-202607032</t>
  </si>
  <si>
    <t>V-0033</t>
  </si>
  <si>
    <t>F-202607033</t>
  </si>
  <si>
    <t>NUVA-BAR-BM-BX-04</t>
  </si>
  <si>
    <t>V-0034</t>
  </si>
  <si>
    <t>F-202607034</t>
  </si>
  <si>
    <t>V-0035</t>
  </si>
  <si>
    <t>F-202607035</t>
  </si>
  <si>
    <t>V-0036</t>
  </si>
  <si>
    <t>F-202607036</t>
  </si>
  <si>
    <t>V-0037</t>
  </si>
  <si>
    <t>F-202607037</t>
  </si>
  <si>
    <t>V-0038</t>
  </si>
  <si>
    <t>F-202607038</t>
  </si>
  <si>
    <t>V-0039</t>
  </si>
  <si>
    <t>F-202607039</t>
  </si>
  <si>
    <t>V-0040</t>
  </si>
  <si>
    <t>F-202607040</t>
  </si>
  <si>
    <t>V-0041</t>
  </si>
  <si>
    <t>F-202607041</t>
  </si>
  <si>
    <t>V-0042</t>
  </si>
  <si>
    <t>F-202607042</t>
  </si>
  <si>
    <t>V-0043</t>
  </si>
  <si>
    <t>F-202607043</t>
  </si>
  <si>
    <t>V-0044</t>
  </si>
  <si>
    <t>F-202607044</t>
  </si>
  <si>
    <t>V-0045</t>
  </si>
  <si>
    <t>F-202607045</t>
  </si>
  <si>
    <t>Margen frontal | Simulador separado de ventas</t>
  </si>
  <si>
    <t>Esta hoja NO modifica Ventas_SellIn ni Cobertura. Sirve para preparar negociación de precio antes de facturar.</t>
  </si>
  <si>
    <t>1) Calcular precio sugerido desde PVP pensado y margen objetivo</t>
  </si>
  <si>
    <t>SKU opcional</t>
  </si>
  <si>
    <t>PVP bruto pensado</t>
  </si>
  <si>
    <t>Margen frontal objetivo</t>
  </si>
  <si>
    <t>PVP neto calculado</t>
  </si>
  <si>
    <t>Precio neto sugerido</t>
  </si>
  <si>
    <t>Precio bruto equivalente</t>
  </si>
  <si>
    <t>Margen calculado</t>
  </si>
  <si>
    <t>Comentario</t>
  </si>
  <si>
    <t>Ejemplo: si Get It pide 40% de margen frontal</t>
  </si>
  <si>
    <t>Ejemplo retail estuche x4</t>
  </si>
  <si>
    <t>Ejemplo farmacias</t>
  </si>
  <si>
    <t>2) Evaluar margen real desde un precio neto que tú decidas ofrecer</t>
  </si>
  <si>
    <t>Precio neto ofrecido</t>
  </si>
  <si>
    <t>Margen frontal real</t>
  </si>
  <si>
    <t>Margen objetivo referencial</t>
  </si>
  <si>
    <t>Resultado</t>
  </si>
  <si>
    <t>Fecha</t>
  </si>
  <si>
    <t>PDV</t>
  </si>
  <si>
    <t>Unidades sell-out</t>
  </si>
  <si>
    <t>Venta pública bruta</t>
  </si>
  <si>
    <t>Stock informado</t>
  </si>
  <si>
    <t>Fuente/archivo</t>
  </si>
  <si>
    <t>Ejemplo exportación Cencosud</t>
  </si>
  <si>
    <t>Stock unidades</t>
  </si>
  <si>
    <t>Barras equivalentes</t>
  </si>
  <si>
    <t>Fecha conteo</t>
  </si>
  <si>
    <t>Cód. barra</t>
  </si>
  <si>
    <t>Marca</t>
  </si>
  <si>
    <t>Categoría</t>
  </si>
  <si>
    <t>Código Categoría</t>
  </si>
  <si>
    <t>Subcategoría</t>
  </si>
  <si>
    <t>Sabor</t>
  </si>
  <si>
    <t>Código sabor</t>
  </si>
  <si>
    <t>Nivel logístico</t>
  </si>
  <si>
    <t>Formato</t>
  </si>
  <si>
    <t>Unidades por pack</t>
  </si>
  <si>
    <t>Mercado</t>
  </si>
  <si>
    <t>UM venta</t>
  </si>
  <si>
    <t>Observación</t>
  </si>
  <si>
    <t>Barra Berry Mix unidad</t>
  </si>
  <si>
    <t>NUVA</t>
  </si>
  <si>
    <t>Barritas</t>
  </si>
  <si>
    <t>BAR</t>
  </si>
  <si>
    <t>Funcionales</t>
  </si>
  <si>
    <t>Berry Mix</t>
  </si>
  <si>
    <t>BM</t>
  </si>
  <si>
    <t>Unitario</t>
  </si>
  <si>
    <t>U</t>
  </si>
  <si>
    <t>CL</t>
  </si>
  <si>
    <t>un</t>
  </si>
  <si>
    <t>SKU de venta unitario</t>
  </si>
  <si>
    <t>Barra Peanut Boost unidad</t>
  </si>
  <si>
    <t>Peanut Boost</t>
  </si>
  <si>
    <t>PB</t>
  </si>
  <si>
    <t>Barra Cacao Crispy unidad</t>
  </si>
  <si>
    <t>Cacao Crispy</t>
  </si>
  <si>
    <t>CC</t>
  </si>
  <si>
    <t>Estuche Berry Mix 4 unidades</t>
  </si>
  <si>
    <t>Estuche</t>
  </si>
  <si>
    <t>BX</t>
  </si>
  <si>
    <t>SKU pack comercial</t>
  </si>
  <si>
    <t>Estuche Peanut Boost 4 unidades</t>
  </si>
  <si>
    <t>Estuche Cacao Crispy 4 unidades</t>
  </si>
  <si>
    <t>Caja master Berry Mix 24 unidades</t>
  </si>
  <si>
    <t>Caja master</t>
  </si>
  <si>
    <t>CS</t>
  </si>
  <si>
    <t>Caja master Peanut Boost 24 unidades</t>
  </si>
  <si>
    <t>Caja master Cacao Crispy 24 unidades</t>
  </si>
  <si>
    <t>NUVA-BAR-BM-CS-60</t>
  </si>
  <si>
    <t>Caja master Berry Mix 15x4 unidades</t>
  </si>
  <si>
    <t>SKU logístico</t>
  </si>
  <si>
    <t>NUVA-BAR-PB-CS-60</t>
  </si>
  <si>
    <t>Caja master Peanut Boost 15x4 unidades</t>
  </si>
  <si>
    <t>NUVA-BAR-CC-CS-60</t>
  </si>
  <si>
    <t>Caja master Cacao Crispy 15x4 unidades</t>
  </si>
  <si>
    <t>2. Ir a Cobertura para ver la razón: visita atrasada, sin venta, deuda o stock crítico y *Revisar en Clientes_PDV la ultima visita.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</si>
</sst>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\-yyyy"/>
    <numFmt numFmtId="165" formatCode="\$#,##0"/>
    <numFmt numFmtId="166" formatCode="0.0%"/>
    <numFmt numFmtId="167" formatCode="0.0"/>
  </numFmts>
  <fonts count="28" x14ac:knownFonts="1">
    <font>
      <sz val="11"/>
      <color theme="1"/>
      <name val="Calibri"/>
      <family val="2"/>
      <scheme val="minor"/>
    </font>
    <font>
      <b/>
      <sz val="15"/>
      <color rgb="FFFFFFFF"/>
      <name val="Calibri"/>
      <family val="2"/>
    </font>
    <font>
      <b/>
      <sz val="11"/>
      <color rgb="FF5B2245"/>
      <name val="Calibri"/>
      <family val="2"/>
    </font>
    <font>
      <b/>
      <sz val="11"/>
      <color rgb="FFFFFFFF"/>
      <name val="Calibri"/>
      <family val="2"/>
    </font>
    <font>
      <sz val="10"/>
      <color rgb="FF2F2F2F"/>
      <name val="Calibri"/>
      <family val="2"/>
    </font>
    <font>
      <i/>
      <sz val="11"/>
      <color rgb="FF5B2245"/>
      <name val="Calibri"/>
      <family val="2"/>
    </font>
    <font>
      <i/>
      <sz val="11"/>
      <color rgb="FF666666"/>
      <name val="Calibri"/>
      <family val="2"/>
    </font>
    <font>
      <i/>
      <sz val="10"/>
      <color rgb="FF666666"/>
      <name val="Calibri"/>
      <family val="2"/>
    </font>
    <font>
      <b/>
      <u/>
      <sz val="11"/>
      <color rgb="FF0563C1"/>
      <name val="Calibri"/>
      <family val="2"/>
    </font>
    <font>
      <b/>
      <sz val="11"/>
      <color rgb="FFFFFFFF"/>
      <name val="Calibri"/>
      <family val="2"/>
    </font>
    <font>
      <b/>
      <sz val="14"/>
      <color rgb="FF5B2245"/>
      <name val="Calibri"/>
      <family val="2"/>
    </font>
    <font>
      <b/>
      <sz val="11"/>
      <name val="Calibri"/>
      <family val="2"/>
    </font>
    <font>
      <i/>
      <sz val="9"/>
      <color rgb="FF808080"/>
      <name val="Calibri"/>
      <family val="2"/>
    </font>
    <font>
      <b/>
      <sz val="11"/>
      <color rgb="FF5B2245"/>
      <name val="Calibri"/>
      <family val="2"/>
    </font>
    <font>
      <sz val="10"/>
      <color rgb="FF808080"/>
      <name val="Calibri"/>
      <family val="2"/>
    </font>
    <font>
      <u/>
      <sz val="11"/>
      <color rgb="FF0563C1"/>
      <name val="Calibri"/>
      <family val="2"/>
    </font>
    <font>
      <sz val="10"/>
      <color theme="0"/>
      <name val="Calibri"/>
      <family val="2"/>
    </font>
    <font>
      <b/>
      <sz val="11"/>
      <color rgb="FFFFFFFF"/>
      <name val="Calibri"/>
      <family val="2"/>
    </font>
    <font>
      <i/>
      <sz val="9"/>
      <color rgb="FF7A3B61"/>
      <name val="Calibri"/>
      <family val="2"/>
    </font>
    <font>
      <b/>
      <sz val="11"/>
      <color rgb="FF7A3B61"/>
      <name val="Calibri"/>
      <family val="2"/>
    </font>
    <font>
      <b/>
      <sz val="13"/>
      <color rgb="FFFFFFFF"/>
      <name val="Calibri"/>
      <family val="2"/>
    </font>
    <font>
      <b/>
      <sz val="12"/>
      <color rgb="FFFFFFFF"/>
      <name val="Calibri"/>
      <family val="2"/>
    </font>
    <font>
      <b/>
      <sz val="11"/>
      <color rgb="FF5B2245"/>
      <name val="Calibri"/>
      <family val="2"/>
    </font>
    <font>
      <i/>
      <sz val="10"/>
      <color rgb="FF808080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u/>
      <sz val="11"/>
      <color rgb="FF0563C1"/>
      <name val="Calibri"/>
      <family val="2"/>
    </font>
    <font>
      <b/>
      <sz val="11"/>
      <color rgb="FFFFFFFF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5B2245"/>
      </patternFill>
    </fill>
    <fill>
      <patternFill patternType="solid">
        <fgColor rgb="FFEADCE6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F8F1F5"/>
      </patternFill>
    </fill>
    <fill>
      <patternFill patternType="solid">
        <fgColor rgb="FFF7E9B0"/>
      </patternFill>
    </fill>
    <fill>
      <patternFill patternType="solid">
        <fgColor rgb="FFEDEDED"/>
      </patternFill>
    </fill>
    <fill>
      <patternFill patternType="solid">
        <fgColor rgb="FF7A3B61"/>
      </patternFill>
    </fill>
    <fill>
      <patternFill patternType="solid">
        <fgColor rgb="FFFFFFFF"/>
      </patternFill>
    </fill>
    <fill>
      <patternFill patternType="solid">
        <fgColor rgb="FFF3EAF0"/>
      </patternFill>
    </fill>
    <fill>
      <patternFill patternType="solid">
        <fgColor rgb="FFA56A97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4" fillId="0" borderId="2" xfId="0" applyFont="1" applyBorder="1" applyAlignment="1">
      <alignment vertical="center" wrapText="1"/>
    </xf>
    <xf numFmtId="0" fontId="4" fillId="4" borderId="2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164" fontId="4" fillId="0" borderId="2" xfId="0" applyNumberFormat="1" applyFont="1" applyBorder="1" applyAlignment="1">
      <alignment vertical="center" wrapText="1"/>
    </xf>
    <xf numFmtId="165" fontId="4" fillId="0" borderId="2" xfId="0" applyNumberFormat="1" applyFont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165" fontId="0" fillId="4" borderId="2" xfId="0" applyNumberFormat="1" applyFill="1" applyBorder="1" applyAlignment="1">
      <alignment vertical="center" wrapText="1"/>
    </xf>
    <xf numFmtId="166" fontId="0" fillId="4" borderId="2" xfId="0" applyNumberFormat="1" applyFill="1" applyBorder="1" applyAlignment="1">
      <alignment vertical="center" wrapText="1"/>
    </xf>
    <xf numFmtId="165" fontId="6" fillId="5" borderId="2" xfId="0" applyNumberFormat="1" applyFont="1" applyFill="1" applyBorder="1" applyAlignment="1">
      <alignment vertical="center" wrapText="1"/>
    </xf>
    <xf numFmtId="166" fontId="6" fillId="5" borderId="2" xfId="0" applyNumberFormat="1" applyFont="1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6" fillId="5" borderId="2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9" fontId="4" fillId="7" borderId="2" xfId="0" applyNumberFormat="1" applyFont="1" applyFill="1" applyBorder="1" applyAlignment="1">
      <alignment vertical="center" wrapText="1"/>
    </xf>
    <xf numFmtId="0" fontId="4" fillId="7" borderId="2" xfId="0" applyFont="1" applyFill="1" applyBorder="1" applyAlignment="1">
      <alignment vertical="center" wrapText="1"/>
    </xf>
    <xf numFmtId="165" fontId="4" fillId="7" borderId="2" xfId="0" applyNumberFormat="1" applyFont="1" applyFill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8" fillId="0" borderId="0" xfId="0" applyFont="1"/>
    <xf numFmtId="0" fontId="7" fillId="8" borderId="2" xfId="0" applyFont="1" applyFill="1" applyBorder="1" applyAlignment="1">
      <alignment vertical="center" wrapText="1"/>
    </xf>
    <xf numFmtId="165" fontId="7" fillId="8" borderId="2" xfId="0" applyNumberFormat="1" applyFont="1" applyFill="1" applyBorder="1" applyAlignment="1">
      <alignment vertical="center" wrapText="1"/>
    </xf>
    <xf numFmtId="0" fontId="0" fillId="7" borderId="2" xfId="0" applyFill="1" applyBorder="1" applyAlignment="1">
      <alignment vertical="center" wrapText="1"/>
    </xf>
    <xf numFmtId="164" fontId="0" fillId="7" borderId="2" xfId="0" applyNumberFormat="1" applyFill="1" applyBorder="1" applyAlignment="1">
      <alignment vertical="center" wrapText="1"/>
    </xf>
    <xf numFmtId="164" fontId="4" fillId="7" borderId="2" xfId="0" applyNumberFormat="1" applyFont="1" applyFill="1" applyBorder="1" applyAlignment="1">
      <alignment vertical="center" wrapText="1"/>
    </xf>
    <xf numFmtId="3" fontId="4" fillId="7" borderId="2" xfId="0" applyNumberFormat="1" applyFont="1" applyFill="1" applyBorder="1" applyAlignment="1">
      <alignment vertical="center" wrapText="1"/>
    </xf>
    <xf numFmtId="0" fontId="0" fillId="8" borderId="2" xfId="0" applyFill="1" applyBorder="1" applyAlignment="1">
      <alignment vertical="center" wrapText="1"/>
    </xf>
    <xf numFmtId="1" fontId="0" fillId="7" borderId="2" xfId="0" applyNumberFormat="1" applyFill="1" applyBorder="1" applyAlignment="1">
      <alignment vertical="center" wrapText="1"/>
    </xf>
    <xf numFmtId="165" fontId="0" fillId="7" borderId="2" xfId="0" applyNumberFormat="1" applyFill="1" applyBorder="1" applyAlignment="1">
      <alignment vertical="center" wrapText="1"/>
    </xf>
    <xf numFmtId="0" fontId="6" fillId="8" borderId="2" xfId="0" applyFont="1" applyFill="1" applyBorder="1" applyAlignment="1">
      <alignment vertical="center" wrapText="1"/>
    </xf>
    <xf numFmtId="1" fontId="6" fillId="8" borderId="2" xfId="0" applyNumberFormat="1" applyFont="1" applyFill="1" applyBorder="1" applyAlignment="1">
      <alignment vertical="center" wrapText="1"/>
    </xf>
    <xf numFmtId="0" fontId="10" fillId="0" borderId="0" xfId="0" applyFont="1"/>
    <xf numFmtId="0" fontId="11" fillId="0" borderId="0" xfId="0" applyFont="1"/>
    <xf numFmtId="0" fontId="11" fillId="7" borderId="0" xfId="0" applyFont="1" applyFill="1"/>
    <xf numFmtId="0" fontId="9" fillId="2" borderId="0" xfId="0" applyFont="1" applyFill="1" applyAlignment="1">
      <alignment horizontal="center" vertical="center"/>
    </xf>
    <xf numFmtId="0" fontId="0" fillId="8" borderId="0" xfId="0" applyFill="1"/>
    <xf numFmtId="0" fontId="12" fillId="0" borderId="0" xfId="0" applyFont="1"/>
    <xf numFmtId="0" fontId="15" fillId="0" borderId="2" xfId="0" applyFont="1" applyBorder="1" applyAlignment="1">
      <alignment vertical="center" wrapText="1"/>
    </xf>
    <xf numFmtId="0" fontId="13" fillId="0" borderId="0" xfId="0" applyFont="1"/>
    <xf numFmtId="0" fontId="14" fillId="0" borderId="0" xfId="0" applyFont="1"/>
    <xf numFmtId="9" fontId="11" fillId="7" borderId="0" xfId="0" applyNumberFormat="1" applyFont="1" applyFill="1"/>
    <xf numFmtId="0" fontId="0" fillId="7" borderId="0" xfId="0" applyFill="1"/>
    <xf numFmtId="0" fontId="13" fillId="0" borderId="2" xfId="0" applyFont="1" applyBorder="1" applyAlignment="1">
      <alignment vertical="center" wrapText="1"/>
    </xf>
    <xf numFmtId="164" fontId="0" fillId="7" borderId="0" xfId="0" applyNumberFormat="1" applyFill="1"/>
    <xf numFmtId="0" fontId="9" fillId="2" borderId="0" xfId="0" applyFont="1" applyFill="1" applyAlignment="1">
      <alignment horizontal="center"/>
    </xf>
    <xf numFmtId="0" fontId="16" fillId="2" borderId="2" xfId="0" applyFont="1" applyFill="1" applyBorder="1" applyAlignment="1">
      <alignment vertical="center" wrapText="1"/>
    </xf>
    <xf numFmtId="0" fontId="16" fillId="0" borderId="2" xfId="0" applyFont="1" applyBorder="1" applyAlignment="1">
      <alignment vertical="center" wrapText="1"/>
    </xf>
    <xf numFmtId="0" fontId="1" fillId="2" borderId="0" xfId="0" applyFont="1" applyFill="1" applyAlignment="1">
      <alignment vertical="center"/>
    </xf>
    <xf numFmtId="0" fontId="17" fillId="2" borderId="2" xfId="0" applyFont="1" applyFill="1" applyBorder="1" applyAlignment="1">
      <alignment horizontal="center" vertical="center" wrapText="1"/>
    </xf>
    <xf numFmtId="0" fontId="18" fillId="0" borderId="2" xfId="0" applyFont="1" applyBorder="1" applyAlignment="1">
      <alignment vertical="center" wrapText="1"/>
    </xf>
    <xf numFmtId="0" fontId="19" fillId="0" borderId="2" xfId="0" applyFont="1" applyBorder="1" applyAlignment="1">
      <alignment vertical="center" wrapText="1"/>
    </xf>
    <xf numFmtId="165" fontId="4" fillId="8" borderId="2" xfId="0" applyNumberFormat="1" applyFont="1" applyFill="1" applyBorder="1" applyAlignment="1">
      <alignment vertical="center" wrapText="1"/>
    </xf>
    <xf numFmtId="0" fontId="4" fillId="8" borderId="2" xfId="0" applyFont="1" applyFill="1" applyBorder="1" applyAlignment="1">
      <alignment vertical="center" wrapText="1"/>
    </xf>
    <xf numFmtId="0" fontId="22" fillId="0" borderId="0" xfId="0" applyFont="1"/>
    <xf numFmtId="0" fontId="23" fillId="0" borderId="0" xfId="0" applyFont="1"/>
    <xf numFmtId="0" fontId="21" fillId="2" borderId="0" xfId="0" applyFont="1" applyFill="1" applyAlignment="1">
      <alignment vertical="center"/>
    </xf>
    <xf numFmtId="0" fontId="24" fillId="2" borderId="2" xfId="0" applyFont="1" applyFill="1" applyBorder="1" applyAlignment="1">
      <alignment horizontal="center" vertical="center"/>
    </xf>
    <xf numFmtId="0" fontId="25" fillId="0" borderId="0" xfId="0" applyFont="1"/>
    <xf numFmtId="0" fontId="24" fillId="2" borderId="0" xfId="0" applyFont="1" applyFill="1" applyAlignment="1">
      <alignment horizontal="center" vertical="center"/>
    </xf>
    <xf numFmtId="165" fontId="0" fillId="8" borderId="0" xfId="0" applyNumberFormat="1" applyFill="1"/>
    <xf numFmtId="3" fontId="0" fillId="8" borderId="0" xfId="0" applyNumberFormat="1" applyFill="1"/>
    <xf numFmtId="167" fontId="0" fillId="8" borderId="0" xfId="0" applyNumberFormat="1" applyFill="1"/>
    <xf numFmtId="3" fontId="0" fillId="7" borderId="0" xfId="0" applyNumberFormat="1" applyFill="1"/>
    <xf numFmtId="0" fontId="26" fillId="0" borderId="0" xfId="0" applyFont="1"/>
    <xf numFmtId="0" fontId="27" fillId="12" borderId="0" xfId="0" applyFont="1" applyFill="1"/>
    <xf numFmtId="165" fontId="27" fillId="12" borderId="0" xfId="0" applyNumberFormat="1" applyFont="1" applyFill="1"/>
    <xf numFmtId="0" fontId="0" fillId="10" borderId="0" xfId="0" applyFill="1"/>
    <xf numFmtId="165" fontId="0" fillId="10" borderId="0" xfId="0" applyNumberFormat="1" applyFill="1"/>
    <xf numFmtId="0" fontId="0" fillId="11" borderId="0" xfId="0" applyFill="1"/>
    <xf numFmtId="165" fontId="0" fillId="11" borderId="0" xfId="0" applyNumberFormat="1" applyFill="1"/>
    <xf numFmtId="3" fontId="0" fillId="10" borderId="0" xfId="0" applyNumberFormat="1" applyFill="1"/>
    <xf numFmtId="3" fontId="0" fillId="11" borderId="0" xfId="0" applyNumberFormat="1" applyFill="1"/>
    <xf numFmtId="3" fontId="27" fillId="12" borderId="0" xfId="0" applyNumberFormat="1" applyFont="1" applyFill="1"/>
    <xf numFmtId="0" fontId="7" fillId="10" borderId="2" xfId="0" applyFont="1" applyFill="1" applyBorder="1" applyAlignment="1">
      <alignment vertical="center" wrapText="1"/>
    </xf>
    <xf numFmtId="164" fontId="7" fillId="10" borderId="2" xfId="0" applyNumberFormat="1" applyFont="1" applyFill="1" applyBorder="1" applyAlignment="1">
      <alignment vertical="center" wrapText="1"/>
    </xf>
    <xf numFmtId="1" fontId="7" fillId="10" borderId="2" xfId="0" applyNumberFormat="1" applyFont="1" applyFill="1" applyBorder="1" applyAlignment="1">
      <alignment vertical="center" wrapText="1"/>
    </xf>
    <xf numFmtId="165" fontId="7" fillId="10" borderId="2" xfId="0" applyNumberFormat="1" applyFont="1" applyFill="1" applyBorder="1" applyAlignment="1">
      <alignment vertical="center" wrapText="1"/>
    </xf>
    <xf numFmtId="3" fontId="7" fillId="10" borderId="2" xfId="0" applyNumberFormat="1" applyFont="1" applyFill="1" applyBorder="1" applyAlignment="1">
      <alignment vertical="center" wrapText="1"/>
    </xf>
    <xf numFmtId="0" fontId="7" fillId="11" borderId="2" xfId="0" applyFont="1" applyFill="1" applyBorder="1" applyAlignment="1">
      <alignment vertical="center" wrapText="1"/>
    </xf>
    <xf numFmtId="164" fontId="7" fillId="11" borderId="2" xfId="0" applyNumberFormat="1" applyFont="1" applyFill="1" applyBorder="1" applyAlignment="1">
      <alignment vertical="center" wrapText="1"/>
    </xf>
    <xf numFmtId="1" fontId="7" fillId="11" borderId="2" xfId="0" applyNumberFormat="1" applyFont="1" applyFill="1" applyBorder="1" applyAlignment="1">
      <alignment vertical="center" wrapText="1"/>
    </xf>
    <xf numFmtId="165" fontId="7" fillId="11" borderId="2" xfId="0" applyNumberFormat="1" applyFont="1" applyFill="1" applyBorder="1" applyAlignment="1">
      <alignment vertical="center" wrapText="1"/>
    </xf>
    <xf numFmtId="3" fontId="7" fillId="11" borderId="2" xfId="0" applyNumberFormat="1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0" fillId="0" borderId="3" xfId="0" applyBorder="1"/>
    <xf numFmtId="0" fontId="0" fillId="0" borderId="4" xfId="0" applyBorder="1"/>
    <xf numFmtId="0" fontId="2" fillId="3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/>
    </xf>
    <xf numFmtId="0" fontId="0" fillId="0" borderId="0" xfId="0"/>
    <xf numFmtId="0" fontId="20" fillId="2" borderId="0" xfId="0" applyFont="1" applyFill="1" applyAlignment="1">
      <alignment horizontal="left" vertical="center"/>
    </xf>
    <xf numFmtId="0" fontId="4" fillId="0" borderId="2" xfId="0" applyFont="1" applyBorder="1" applyAlignment="1">
      <alignment vertical="center" wrapText="1"/>
    </xf>
    <xf numFmtId="0" fontId="1" fillId="2" borderId="0" xfId="0" applyFont="1" applyFill="1" applyAlignment="1">
      <alignment horizontal="left" vertical="center"/>
    </xf>
    <xf numFmtId="0" fontId="24" fillId="9" borderId="0" xfId="0" applyFont="1" applyFill="1"/>
    <xf numFmtId="0" fontId="9" fillId="9" borderId="0" xfId="0" applyFont="1" applyFill="1"/>
    <xf numFmtId="0" fontId="2" fillId="3" borderId="2" xfId="0" applyFont="1" applyFill="1" applyBorder="1" applyAlignment="1">
      <alignment vertical="center" wrapText="1"/>
    </xf>
    <xf numFmtId="0" fontId="5" fillId="6" borderId="0" xfId="0" applyFont="1" applyFill="1" applyAlignment="1">
      <alignment wrapText="1"/>
    </xf>
    <xf numFmtId="3" fontId="0" fillId="7" borderId="0" xfId="0" applyNumberFormat="1" applyFont="1" applyFill="1"/>
  </cellXfs>
  <cellStyles count="1">
    <cellStyle name="Normal" xfId="0" builtinId="0"/>
  </cellStyles>
  <dxfs count="25">
    <dxf>
      <fill>
        <patternFill patternType="solid">
          <fgColor rgb="FFF7C1C1"/>
        </patternFill>
      </fill>
    </dxf>
    <dxf>
      <fill>
        <patternFill patternType="solid">
          <fgColor rgb="FFFAE3A0"/>
        </patternFill>
      </fill>
    </dxf>
    <dxf>
      <fill>
        <patternFill patternType="solid">
          <fgColor rgb="FFF7C1C1"/>
        </patternFill>
      </fill>
    </dxf>
    <dxf>
      <fill>
        <patternFill patternType="solid">
          <fgColor rgb="FFF7C1C1"/>
        </patternFill>
      </fill>
    </dxf>
    <dxf>
      <fill>
        <patternFill patternType="solid">
          <fgColor rgb="FFF7C1C1"/>
        </patternFill>
      </fill>
    </dxf>
    <dxf>
      <fill>
        <patternFill patternType="solid">
          <fgColor rgb="FFF7C1C1"/>
        </patternFill>
      </fill>
    </dxf>
    <dxf>
      <fill>
        <patternFill patternType="solid">
          <fgColor rgb="FFF7C1C1"/>
        </patternFill>
      </fill>
    </dxf>
    <dxf>
      <fill>
        <patternFill patternType="solid">
          <fgColor rgb="FFF7C1C1"/>
        </patternFill>
      </fill>
    </dxf>
    <dxf>
      <fill>
        <patternFill patternType="solid">
          <fgColor rgb="FFFAE3A0"/>
        </patternFill>
      </fill>
    </dxf>
    <dxf>
      <fill>
        <patternFill patternType="solid">
          <fgColor rgb="FFC6E7C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C6E7C6"/>
        </patternFill>
      </fill>
    </dxf>
    <dxf>
      <fill>
        <patternFill patternType="solid">
          <fgColor rgb="FFFAE3A0"/>
        </patternFill>
      </fill>
    </dxf>
    <dxf>
      <fill>
        <patternFill patternType="solid">
          <fgColor rgb="FFF7C1C1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7C1C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4D161B5-C42B-4C7D-A3C6-55CBE1E47AAC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fec36cd8-8f56-4ee8-9267-d9a4331e866a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5B2245"/>
  </sheetPr>
  <dimension ref="A1:K45"/>
  <sheetViews>
    <sheetView showGridLines="0" workbookViewId="0">
      <pane ySplit="3" topLeftCell="A4" activePane="bottomLeft" state="frozen"/>
      <selection pane="bottomLeft" activeCell="G25" sqref="G25"/>
    </sheetView>
  </sheetViews>
  <sheetFormatPr baseColWidth="10" defaultColWidth="8.7265625" defaultRowHeight="14.5" x14ac:dyDescent="0.35"/>
  <cols>
    <col min="1" max="1" width="18" customWidth="1"/>
    <col min="2" max="2" width="26.36328125" customWidth="1"/>
    <col min="3" max="3" width="42" customWidth="1"/>
    <col min="4" max="4" width="3" customWidth="1"/>
    <col min="5" max="6" width="18" customWidth="1"/>
    <col min="7" max="7" width="16" customWidth="1"/>
    <col min="8" max="8" width="18" customWidth="1"/>
    <col min="9" max="9" width="14" customWidth="1"/>
    <col min="10" max="10" width="16" customWidth="1"/>
    <col min="11" max="11" width="14" customWidth="1"/>
  </cols>
  <sheetData>
    <row r="1" spans="1:11" ht="28" customHeight="1" x14ac:dyDescent="0.35">
      <c r="A1" s="91" t="s">
        <v>21</v>
      </c>
      <c r="B1" s="90"/>
      <c r="C1" s="90"/>
      <c r="D1" s="90"/>
      <c r="E1" s="90"/>
      <c r="F1" s="90"/>
      <c r="G1" s="90"/>
      <c r="H1" s="90"/>
    </row>
    <row r="2" spans="1:11" ht="20" customHeight="1" x14ac:dyDescent="0.35">
      <c r="A2" s="21" t="s">
        <v>22</v>
      </c>
    </row>
    <row r="3" spans="1:11" ht="20" customHeight="1" x14ac:dyDescent="0.35">
      <c r="A3" s="89" t="s">
        <v>23</v>
      </c>
      <c r="B3" s="90"/>
      <c r="C3" s="90"/>
      <c r="D3" s="90"/>
      <c r="E3" s="88" t="s">
        <v>24</v>
      </c>
      <c r="F3" s="86"/>
      <c r="G3" s="86"/>
      <c r="H3" s="86"/>
      <c r="I3" s="86"/>
      <c r="J3" s="86"/>
      <c r="K3" s="87"/>
    </row>
    <row r="4" spans="1:11" ht="24" customHeight="1" x14ac:dyDescent="0.35">
      <c r="A4" s="1">
        <v>1</v>
      </c>
      <c r="B4" s="39" t="s">
        <v>25</v>
      </c>
      <c r="C4" s="1"/>
      <c r="D4" s="1"/>
      <c r="E4" s="47" t="s">
        <v>2</v>
      </c>
      <c r="F4" s="47" t="s">
        <v>26</v>
      </c>
      <c r="G4" s="47" t="s">
        <v>27</v>
      </c>
      <c r="H4" s="47" t="s">
        <v>28</v>
      </c>
      <c r="I4" s="47" t="s">
        <v>29</v>
      </c>
      <c r="J4" s="47" t="s">
        <v>15</v>
      </c>
      <c r="K4" s="47" t="s">
        <v>4</v>
      </c>
    </row>
    <row r="5" spans="1:11" ht="24" customHeight="1" x14ac:dyDescent="0.35">
      <c r="A5" s="1">
        <v>2</v>
      </c>
      <c r="B5" s="39" t="s">
        <v>30</v>
      </c>
      <c r="C5" s="1"/>
      <c r="D5" s="1"/>
      <c r="E5" s="2" t="s">
        <v>31</v>
      </c>
      <c r="F5" s="2" t="s">
        <v>32</v>
      </c>
      <c r="G5" s="2" t="s">
        <v>33</v>
      </c>
      <c r="H5" s="2" t="s">
        <v>34</v>
      </c>
      <c r="I5" s="2" t="s">
        <v>35</v>
      </c>
      <c r="J5" s="2" t="s">
        <v>36</v>
      </c>
      <c r="K5" s="2" t="s">
        <v>37</v>
      </c>
    </row>
    <row r="6" spans="1:11" ht="24" customHeight="1" x14ac:dyDescent="0.35">
      <c r="A6" s="1">
        <v>3</v>
      </c>
      <c r="B6" s="39" t="s">
        <v>38</v>
      </c>
      <c r="C6" s="1"/>
      <c r="D6" s="1"/>
      <c r="E6" s="2" t="s">
        <v>39</v>
      </c>
      <c r="F6" s="2" t="s">
        <v>40</v>
      </c>
      <c r="G6" s="2" t="s">
        <v>41</v>
      </c>
      <c r="H6" s="2" t="s">
        <v>42</v>
      </c>
      <c r="I6" s="2" t="s">
        <v>43</v>
      </c>
      <c r="J6" s="2" t="s">
        <v>44</v>
      </c>
      <c r="K6" s="2" t="s">
        <v>45</v>
      </c>
    </row>
    <row r="7" spans="1:11" ht="24" customHeight="1" x14ac:dyDescent="0.35">
      <c r="A7" s="1">
        <v>4</v>
      </c>
      <c r="B7" s="39" t="s">
        <v>46</v>
      </c>
      <c r="C7" s="1"/>
      <c r="D7" s="1"/>
      <c r="E7" s="2" t="s">
        <v>47</v>
      </c>
      <c r="F7" s="2" t="s">
        <v>48</v>
      </c>
      <c r="G7" s="2" t="s">
        <v>49</v>
      </c>
      <c r="H7" s="2" t="s">
        <v>50</v>
      </c>
      <c r="I7" s="2" t="s">
        <v>51</v>
      </c>
      <c r="J7" s="2" t="s">
        <v>52</v>
      </c>
      <c r="K7" s="2" t="s">
        <v>53</v>
      </c>
    </row>
    <row r="8" spans="1:11" ht="24" customHeight="1" x14ac:dyDescent="0.35">
      <c r="A8" s="1">
        <v>5</v>
      </c>
      <c r="B8" s="39" t="s">
        <v>54</v>
      </c>
      <c r="C8" s="1"/>
      <c r="D8" s="1"/>
      <c r="E8" s="2" t="s">
        <v>55</v>
      </c>
      <c r="F8" s="2" t="s">
        <v>56</v>
      </c>
      <c r="G8" s="2" t="s">
        <v>57</v>
      </c>
      <c r="H8" s="2" t="s">
        <v>58</v>
      </c>
      <c r="I8" s="1"/>
      <c r="J8" s="1"/>
      <c r="K8" s="1"/>
    </row>
    <row r="9" spans="1:11" ht="24" customHeight="1" x14ac:dyDescent="0.35">
      <c r="A9" s="1">
        <v>6</v>
      </c>
      <c r="B9" s="39" t="s">
        <v>59</v>
      </c>
      <c r="C9" s="1"/>
      <c r="D9" s="1"/>
      <c r="E9" s="2" t="s">
        <v>60</v>
      </c>
      <c r="F9" s="2" t="s">
        <v>61</v>
      </c>
      <c r="G9" s="1"/>
      <c r="H9" s="2" t="s">
        <v>62</v>
      </c>
      <c r="I9" s="1"/>
      <c r="J9" s="1"/>
      <c r="K9" s="1"/>
    </row>
    <row r="10" spans="1:11" ht="20" customHeight="1" x14ac:dyDescent="0.35">
      <c r="A10" s="1"/>
      <c r="B10" s="1"/>
      <c r="C10" s="1"/>
      <c r="D10" s="1"/>
      <c r="E10" s="2" t="s">
        <v>63</v>
      </c>
      <c r="F10" s="1"/>
      <c r="G10" s="1"/>
      <c r="H10" s="1"/>
      <c r="I10" s="1"/>
      <c r="J10" s="1"/>
      <c r="K10" s="1"/>
    </row>
    <row r="11" spans="1:11" ht="20" customHeight="1" x14ac:dyDescent="0.35">
      <c r="A11" s="85" t="s">
        <v>64</v>
      </c>
      <c r="B11" s="86"/>
      <c r="C11" s="87"/>
      <c r="D11" s="1"/>
      <c r="E11" s="2" t="s">
        <v>65</v>
      </c>
      <c r="F11" s="1"/>
      <c r="G11" s="1"/>
      <c r="H11" s="1"/>
      <c r="I11" s="1"/>
      <c r="J11" s="1"/>
      <c r="K11" s="1"/>
    </row>
    <row r="12" spans="1:11" ht="28" customHeight="1" x14ac:dyDescent="0.35">
      <c r="A12" s="47" t="s">
        <v>66</v>
      </c>
      <c r="B12" s="47" t="s">
        <v>67</v>
      </c>
      <c r="C12" s="47" t="s">
        <v>68</v>
      </c>
      <c r="D12" s="1"/>
      <c r="E12" s="2" t="s">
        <v>69</v>
      </c>
      <c r="F12" s="1"/>
      <c r="G12" s="1"/>
      <c r="H12" s="1"/>
      <c r="I12" s="1"/>
      <c r="J12" s="1"/>
      <c r="K12" s="1"/>
    </row>
    <row r="13" spans="1:11" ht="20" customHeight="1" x14ac:dyDescent="0.35">
      <c r="A13" s="1" t="s">
        <v>70</v>
      </c>
      <c r="B13" s="17">
        <v>0.19</v>
      </c>
      <c r="C13" s="1" t="s">
        <v>71</v>
      </c>
      <c r="D13" s="1"/>
      <c r="E13" s="2" t="s">
        <v>72</v>
      </c>
      <c r="F13" s="1"/>
      <c r="G13" s="1"/>
      <c r="H13" s="1"/>
      <c r="I13" s="1"/>
      <c r="J13" s="1"/>
      <c r="K13" s="1"/>
    </row>
    <row r="14" spans="1:11" ht="20" customHeight="1" x14ac:dyDescent="0.35">
      <c r="A14" s="1" t="s">
        <v>73</v>
      </c>
      <c r="B14" s="18">
        <v>30</v>
      </c>
      <c r="C14" s="1" t="s">
        <v>74</v>
      </c>
      <c r="D14" s="1"/>
      <c r="E14" s="1"/>
      <c r="F14" s="1"/>
      <c r="G14" s="1"/>
      <c r="H14" s="1"/>
      <c r="I14" s="1"/>
      <c r="J14" s="1"/>
      <c r="K14" s="1"/>
    </row>
    <row r="15" spans="1:11" ht="20" customHeight="1" x14ac:dyDescent="0.35">
      <c r="A15" s="1" t="s">
        <v>75</v>
      </c>
      <c r="B15" s="19">
        <v>500000</v>
      </c>
      <c r="C15" s="1" t="s">
        <v>76</v>
      </c>
      <c r="D15" s="1"/>
      <c r="E15" s="3" t="s">
        <v>77</v>
      </c>
      <c r="F15" s="1"/>
      <c r="G15" s="1"/>
      <c r="H15" s="1"/>
      <c r="I15" s="1"/>
      <c r="J15" s="1"/>
      <c r="K15" s="1"/>
    </row>
    <row r="16" spans="1:11" ht="20" customHeight="1" x14ac:dyDescent="0.35">
      <c r="A16" s="1" t="s">
        <v>78</v>
      </c>
      <c r="B16" s="18">
        <v>8</v>
      </c>
      <c r="C16" s="1" t="s">
        <v>79</v>
      </c>
      <c r="D16" s="1"/>
      <c r="E16" s="2" t="s">
        <v>80</v>
      </c>
      <c r="F16" s="1" t="s">
        <v>81</v>
      </c>
      <c r="G16" s="1"/>
      <c r="H16" s="1"/>
      <c r="I16" s="1"/>
      <c r="J16" s="1"/>
      <c r="K16" s="1"/>
    </row>
    <row r="17" spans="1:11" ht="20" customHeight="1" x14ac:dyDescent="0.35">
      <c r="A17" s="1" t="s">
        <v>82</v>
      </c>
      <c r="B17" s="18">
        <v>20</v>
      </c>
      <c r="C17" s="1" t="s">
        <v>83</v>
      </c>
      <c r="D17" s="1"/>
      <c r="E17" s="4" t="s">
        <v>84</v>
      </c>
      <c r="F17" s="1" t="s">
        <v>85</v>
      </c>
      <c r="G17" s="1"/>
      <c r="H17" s="1"/>
      <c r="I17" s="1"/>
      <c r="J17" s="1"/>
      <c r="K17" s="1"/>
    </row>
    <row r="18" spans="1:11" ht="20" customHeight="1" x14ac:dyDescent="0.35">
      <c r="A18" s="1" t="s">
        <v>86</v>
      </c>
      <c r="B18" s="19">
        <v>100000</v>
      </c>
      <c r="C18" s="1" t="s">
        <v>87</v>
      </c>
      <c r="D18" s="1"/>
      <c r="E18" s="47" t="s">
        <v>88</v>
      </c>
      <c r="F18" s="1" t="s">
        <v>89</v>
      </c>
      <c r="G18" s="1"/>
      <c r="H18" s="1"/>
      <c r="I18" s="1"/>
      <c r="J18" s="1"/>
      <c r="K18" s="1"/>
    </row>
    <row r="19" spans="1:11" ht="20" customHeight="1" x14ac:dyDescent="0.35">
      <c r="A19" s="1" t="s">
        <v>90</v>
      </c>
      <c r="B19" s="18">
        <v>7</v>
      </c>
      <c r="C19" s="1" t="s">
        <v>91</v>
      </c>
      <c r="D19" s="1"/>
      <c r="E19" s="1"/>
      <c r="F19" s="1"/>
      <c r="G19" s="1"/>
      <c r="H19" s="1"/>
      <c r="I19" s="1"/>
      <c r="J19" s="1"/>
      <c r="K19" s="1"/>
    </row>
    <row r="20" spans="1:11" ht="20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20" customHeight="1" x14ac:dyDescent="0.35">
      <c r="A21" s="51" t="s">
        <v>92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20" customHeight="1" x14ac:dyDescent="0.35">
      <c r="A22" s="85" t="s">
        <v>93</v>
      </c>
      <c r="B22" s="86"/>
      <c r="C22" s="87"/>
      <c r="D22" s="1"/>
      <c r="E22" s="1"/>
      <c r="F22" s="1"/>
      <c r="G22" s="1"/>
      <c r="H22" s="1"/>
      <c r="I22" s="1"/>
      <c r="J22" s="1"/>
      <c r="K22" s="1"/>
    </row>
    <row r="23" spans="1:11" ht="28" customHeight="1" x14ac:dyDescent="0.35">
      <c r="A23" s="47" t="s">
        <v>4</v>
      </c>
      <c r="B23" s="47" t="s">
        <v>94</v>
      </c>
      <c r="C23" s="47" t="s">
        <v>95</v>
      </c>
      <c r="D23" s="1"/>
      <c r="E23" s="1"/>
      <c r="F23" s="1"/>
      <c r="G23" s="1"/>
      <c r="H23" s="1"/>
      <c r="I23" s="1"/>
      <c r="J23" s="1"/>
      <c r="K23" s="1"/>
    </row>
    <row r="24" spans="1:11" ht="20" customHeight="1" x14ac:dyDescent="0.35">
      <c r="A24" s="1" t="s">
        <v>37</v>
      </c>
      <c r="B24" s="18">
        <v>7</v>
      </c>
      <c r="C24" s="1" t="s">
        <v>96</v>
      </c>
      <c r="D24" s="1"/>
      <c r="E24" s="1"/>
      <c r="F24" s="1"/>
      <c r="G24" s="1"/>
      <c r="H24" s="1"/>
      <c r="I24" s="1"/>
      <c r="J24" s="1"/>
      <c r="K24" s="1"/>
    </row>
    <row r="25" spans="1:11" ht="20" customHeight="1" x14ac:dyDescent="0.35">
      <c r="A25" s="1" t="s">
        <v>45</v>
      </c>
      <c r="B25" s="18">
        <v>15</v>
      </c>
      <c r="C25" s="1" t="s">
        <v>97</v>
      </c>
      <c r="D25" s="1"/>
      <c r="E25" s="1"/>
      <c r="F25" s="1"/>
      <c r="G25" s="1"/>
      <c r="H25" s="1"/>
      <c r="I25" s="1"/>
      <c r="J25" s="1"/>
      <c r="K25" s="1"/>
    </row>
    <row r="26" spans="1:11" ht="20" customHeight="1" x14ac:dyDescent="0.35">
      <c r="A26" s="1" t="s">
        <v>53</v>
      </c>
      <c r="B26" s="18">
        <v>30</v>
      </c>
      <c r="C26" s="1" t="s">
        <v>98</v>
      </c>
      <c r="D26" s="1"/>
      <c r="E26" s="1"/>
      <c r="F26" s="1"/>
      <c r="G26" s="1"/>
      <c r="H26" s="1"/>
      <c r="I26" s="1"/>
      <c r="J26" s="1"/>
      <c r="K26" s="1"/>
    </row>
    <row r="27" spans="1:11" ht="20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35">
      <c r="A28" s="40" t="s">
        <v>99</v>
      </c>
    </row>
    <row r="29" spans="1:11" x14ac:dyDescent="0.35">
      <c r="A29" t="s">
        <v>100</v>
      </c>
      <c r="B29" s="35">
        <v>30</v>
      </c>
      <c r="C29" s="41" t="s">
        <v>101</v>
      </c>
    </row>
    <row r="30" spans="1:11" x14ac:dyDescent="0.35">
      <c r="A30" t="s">
        <v>102</v>
      </c>
      <c r="B30" s="42">
        <v>0.2</v>
      </c>
      <c r="C30" s="41" t="s">
        <v>103</v>
      </c>
    </row>
    <row r="31" spans="1:11" x14ac:dyDescent="0.35">
      <c r="A31" t="s">
        <v>104</v>
      </c>
      <c r="B31" s="35">
        <v>30</v>
      </c>
      <c r="C31" s="41" t="s">
        <v>105</v>
      </c>
    </row>
    <row r="33" spans="1:3" x14ac:dyDescent="0.35">
      <c r="A33" s="40" t="s">
        <v>106</v>
      </c>
    </row>
    <row r="34" spans="1:3" x14ac:dyDescent="0.35">
      <c r="A34" t="s">
        <v>107</v>
      </c>
      <c r="B34" s="35">
        <v>1000000</v>
      </c>
      <c r="C34" s="41" t="s">
        <v>108</v>
      </c>
    </row>
    <row r="35" spans="1:3" x14ac:dyDescent="0.35">
      <c r="A35" t="s">
        <v>109</v>
      </c>
      <c r="B35" s="37">
        <f>B15</f>
        <v>500000</v>
      </c>
      <c r="C35" s="41" t="s">
        <v>110</v>
      </c>
    </row>
    <row r="36" spans="1:3" x14ac:dyDescent="0.35">
      <c r="A36" t="s">
        <v>111</v>
      </c>
      <c r="B36" s="37" t="s">
        <v>112</v>
      </c>
      <c r="C36" s="41" t="s">
        <v>113</v>
      </c>
    </row>
    <row r="38" spans="1:3" x14ac:dyDescent="0.35">
      <c r="A38" s="55" t="s">
        <v>114</v>
      </c>
    </row>
    <row r="39" spans="1:3" x14ac:dyDescent="0.35">
      <c r="A39" t="s">
        <v>115</v>
      </c>
      <c r="B39" s="37">
        <f>B16</f>
        <v>8</v>
      </c>
    </row>
    <row r="40" spans="1:3" x14ac:dyDescent="0.35">
      <c r="A40" t="s">
        <v>116</v>
      </c>
      <c r="B40" s="37">
        <f>B17</f>
        <v>20</v>
      </c>
    </row>
    <row r="41" spans="1:3" x14ac:dyDescent="0.35">
      <c r="A41" t="s">
        <v>117</v>
      </c>
      <c r="B41" s="37">
        <f>B15</f>
        <v>500000</v>
      </c>
    </row>
    <row r="42" spans="1:3" x14ac:dyDescent="0.35">
      <c r="A42" t="s">
        <v>118</v>
      </c>
      <c r="B42" s="37">
        <f>B18</f>
        <v>100000</v>
      </c>
    </row>
    <row r="43" spans="1:3" x14ac:dyDescent="0.35">
      <c r="A43" t="s">
        <v>107</v>
      </c>
      <c r="B43" s="37">
        <f>B34</f>
        <v>1000000</v>
      </c>
    </row>
    <row r="44" spans="1:3" x14ac:dyDescent="0.35">
      <c r="A44" t="s">
        <v>119</v>
      </c>
      <c r="B44" s="37">
        <f>B19</f>
        <v>7</v>
      </c>
    </row>
    <row r="45" spans="1:3" x14ac:dyDescent="0.35">
      <c r="A45" s="56" t="s">
        <v>120</v>
      </c>
    </row>
  </sheetData>
  <mergeCells count="5">
    <mergeCell ref="A11:C11"/>
    <mergeCell ref="E3:K3"/>
    <mergeCell ref="A3:D3"/>
    <mergeCell ref="A22:C22"/>
    <mergeCell ref="A1:H1"/>
  </mergeCells>
  <conditionalFormatting sqref="B34">
    <cfRule type="expression" dxfId="24" priority="1">
      <formula>$B$34&lt;=$B$15</formula>
    </cfRule>
  </conditionalFormatting>
  <hyperlinks>
    <hyperlink ref="A2" location="Guia_Ana!A1" display="GUÍA — cómo funciona, se edita, se alimenta y crece  (clic aquí)" xr:uid="{00000000-0004-0000-0000-000000000000}"/>
    <hyperlink ref="B4" location="Dashboard!A1" display="Dashboard: mirar cada lunes qué está en rojo o prioridad alta." xr:uid="{00000000-0004-0000-0000-000001000000}"/>
    <hyperlink ref="B5" location="Cobertura!A1" display="Cobertura: revisar el detalle por punto de venta, visita, venta, pago y stock." xr:uid="{00000000-0004-0000-0000-000002000000}"/>
    <hyperlink ref="B6" location="Clientes_PDV!A1" display="Clientes_PDV: agregar nuevos clientes o salas. Esa hoja alimenta Cobertura." xr:uid="{00000000-0004-0000-0000-000003000000}"/>
    <hyperlink ref="B7" location="Ventas_SellIn!A1" display="Ventas_SellIn: ingresar facturas reales. No usar PVP; solo precio neto facturado." xr:uid="{00000000-0004-0000-0000-000004000000}"/>
    <hyperlink ref="B8" location="Margen_Frontal!A1" display="Margen_Frontal: simular precio/margen aparte, sin afectar ventas ni cobertura." xr:uid="{00000000-0004-0000-0000-000005000000}"/>
    <hyperlink ref="B9" location="SellOut_Jumbo!A1" display="SellOut_Jumbo: pegar exportaciones futuras de Cencosud/Jumbo cuando existan." xr:uid="{00000000-0004-0000-0000-000006000000}"/>
  </hyperlinks>
  <pageMargins left="0.7" right="0.7" top="0.75" bottom="0.75" header="0.3" footer="0.3"/>
  <headerFooter>
    <oddHeader>&amp;C&amp;8 DOCUMENTO CONFIDENCIAL Y RESTRINGIDO  -  Uso interno Nuva Oxi</oddHeader>
    <oddFooter>&amp;LNuva Oxi&amp;RPágina &amp;P de &amp;N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56A97"/>
  </sheetPr>
  <dimension ref="A1:H38"/>
  <sheetViews>
    <sheetView workbookViewId="0">
      <selection activeCell="B9" sqref="B9:H9"/>
    </sheetView>
  </sheetViews>
  <sheetFormatPr baseColWidth="10" defaultColWidth="8.7265625" defaultRowHeight="14.5" x14ac:dyDescent="0.35"/>
  <cols>
    <col min="1" max="1" width="4" customWidth="1"/>
    <col min="2" max="2" width="22" customWidth="1"/>
    <col min="3" max="8" width="18" customWidth="1"/>
  </cols>
  <sheetData>
    <row r="1" spans="1:8" ht="28" customHeight="1" x14ac:dyDescent="0.35">
      <c r="A1" s="93" t="s">
        <v>121</v>
      </c>
      <c r="B1" s="90"/>
      <c r="C1" s="90"/>
      <c r="D1" s="90"/>
      <c r="E1" s="90"/>
      <c r="F1" s="90"/>
      <c r="G1" s="90"/>
      <c r="H1" s="90"/>
    </row>
    <row r="2" spans="1:8" ht="20" customHeight="1" x14ac:dyDescent="0.35"/>
    <row r="3" spans="1:8" ht="20" customHeight="1" x14ac:dyDescent="0.35">
      <c r="A3" s="88" t="s">
        <v>122</v>
      </c>
      <c r="B3" s="86"/>
      <c r="C3" s="86"/>
      <c r="D3" s="86"/>
      <c r="E3" s="86"/>
      <c r="F3" s="86"/>
      <c r="G3" s="86"/>
      <c r="H3" s="87"/>
    </row>
    <row r="4" spans="1:8" ht="40" customHeight="1" x14ac:dyDescent="0.35">
      <c r="A4" s="92" t="s">
        <v>123</v>
      </c>
      <c r="B4" s="86"/>
      <c r="C4" s="86"/>
      <c r="D4" s="86"/>
      <c r="E4" s="86"/>
      <c r="F4" s="86"/>
      <c r="G4" s="86"/>
      <c r="H4" s="87"/>
    </row>
    <row r="5" spans="1:8" ht="20" customHeight="1" x14ac:dyDescent="0.35">
      <c r="A5" s="1"/>
      <c r="B5" s="1"/>
      <c r="C5" s="1"/>
      <c r="D5" s="1"/>
      <c r="E5" s="1"/>
      <c r="F5" s="1"/>
      <c r="G5" s="1"/>
      <c r="H5" s="1"/>
    </row>
    <row r="6" spans="1:8" ht="20" customHeight="1" x14ac:dyDescent="0.35">
      <c r="A6" s="85" t="s">
        <v>124</v>
      </c>
      <c r="B6" s="86"/>
      <c r="C6" s="86"/>
      <c r="D6" s="86"/>
      <c r="E6" s="86"/>
      <c r="F6" s="86"/>
      <c r="G6" s="86"/>
      <c r="H6" s="87"/>
    </row>
    <row r="7" spans="1:8" ht="24" customHeight="1" x14ac:dyDescent="0.35">
      <c r="A7" s="1" t="s">
        <v>125</v>
      </c>
      <c r="B7" s="92" t="s">
        <v>126</v>
      </c>
      <c r="C7" s="86"/>
      <c r="D7" s="86"/>
      <c r="E7" s="86"/>
      <c r="F7" s="86"/>
      <c r="G7" s="86"/>
      <c r="H7" s="87"/>
    </row>
    <row r="8" spans="1:8" ht="24" customHeight="1" x14ac:dyDescent="0.35">
      <c r="A8" s="1" t="s">
        <v>125</v>
      </c>
      <c r="B8" s="92" t="s">
        <v>478</v>
      </c>
      <c r="C8" s="86"/>
      <c r="D8" s="86"/>
      <c r="E8" s="86"/>
      <c r="F8" s="86"/>
      <c r="G8" s="86"/>
      <c r="H8" s="87"/>
    </row>
    <row r="9" spans="1:8" ht="24" customHeight="1" x14ac:dyDescent="0.35">
      <c r="A9" s="1" t="s">
        <v>125</v>
      </c>
      <c r="B9" s="92" t="s">
        <v>127</v>
      </c>
      <c r="C9" s="86"/>
      <c r="D9" s="86"/>
      <c r="E9" s="86"/>
      <c r="F9" s="86"/>
      <c r="G9" s="86"/>
      <c r="H9" s="87"/>
    </row>
    <row r="10" spans="1:8" ht="20" customHeight="1" x14ac:dyDescent="0.35">
      <c r="A10" s="1"/>
      <c r="B10" s="1"/>
      <c r="C10" s="1"/>
      <c r="D10" s="1"/>
      <c r="E10" s="1"/>
      <c r="F10" s="1"/>
      <c r="G10" s="1"/>
      <c r="H10" s="1"/>
    </row>
    <row r="11" spans="1:8" ht="20" customHeight="1" x14ac:dyDescent="0.35">
      <c r="A11" s="85" t="s">
        <v>128</v>
      </c>
      <c r="B11" s="86"/>
      <c r="C11" s="86"/>
      <c r="D11" s="86"/>
      <c r="E11" s="86"/>
      <c r="F11" s="86"/>
      <c r="G11" s="86"/>
      <c r="H11" s="87"/>
    </row>
    <row r="12" spans="1:8" ht="24" customHeight="1" x14ac:dyDescent="0.35">
      <c r="A12" s="1" t="s">
        <v>125</v>
      </c>
      <c r="B12" s="92" t="s">
        <v>129</v>
      </c>
      <c r="C12" s="86"/>
      <c r="D12" s="86"/>
      <c r="E12" s="86"/>
      <c r="F12" s="86"/>
      <c r="G12" s="86"/>
      <c r="H12" s="87"/>
    </row>
    <row r="13" spans="1:8" ht="24" customHeight="1" x14ac:dyDescent="0.35">
      <c r="A13" s="1" t="s">
        <v>125</v>
      </c>
      <c r="B13" s="92" t="s">
        <v>130</v>
      </c>
      <c r="C13" s="86"/>
      <c r="D13" s="86"/>
      <c r="E13" s="86"/>
      <c r="F13" s="86"/>
      <c r="G13" s="86"/>
      <c r="H13" s="87"/>
    </row>
    <row r="14" spans="1:8" ht="24" customHeight="1" x14ac:dyDescent="0.35">
      <c r="A14" s="1" t="s">
        <v>125</v>
      </c>
      <c r="B14" s="92" t="s">
        <v>131</v>
      </c>
      <c r="C14" s="86"/>
      <c r="D14" s="86"/>
      <c r="E14" s="86"/>
      <c r="F14" s="86"/>
      <c r="G14" s="86"/>
      <c r="H14" s="87"/>
    </row>
    <row r="15" spans="1:8" ht="24" customHeight="1" x14ac:dyDescent="0.35">
      <c r="A15" s="1" t="s">
        <v>125</v>
      </c>
      <c r="B15" s="92" t="s">
        <v>132</v>
      </c>
      <c r="C15" s="86"/>
      <c r="D15" s="86"/>
      <c r="E15" s="86"/>
      <c r="F15" s="86"/>
      <c r="G15" s="86"/>
      <c r="H15" s="87"/>
    </row>
    <row r="16" spans="1:8" ht="24" customHeight="1" x14ac:dyDescent="0.35">
      <c r="A16" s="1" t="s">
        <v>125</v>
      </c>
      <c r="B16" s="92" t="s">
        <v>133</v>
      </c>
      <c r="C16" s="86"/>
      <c r="D16" s="86"/>
      <c r="E16" s="86"/>
      <c r="F16" s="86"/>
      <c r="G16" s="86"/>
      <c r="H16" s="87"/>
    </row>
    <row r="17" spans="1:8" ht="20" customHeight="1" x14ac:dyDescent="0.35">
      <c r="A17" s="1"/>
      <c r="B17" s="1"/>
      <c r="C17" s="1"/>
      <c r="D17" s="1"/>
      <c r="E17" s="1"/>
      <c r="F17" s="1"/>
      <c r="G17" s="1"/>
      <c r="H17" s="1"/>
    </row>
    <row r="18" spans="1:8" ht="20" customHeight="1" x14ac:dyDescent="0.35">
      <c r="A18" s="85" t="s">
        <v>134</v>
      </c>
      <c r="B18" s="86"/>
      <c r="C18" s="86"/>
      <c r="D18" s="86"/>
      <c r="E18" s="86"/>
      <c r="F18" s="86"/>
      <c r="G18" s="86"/>
      <c r="H18" s="87"/>
    </row>
    <row r="19" spans="1:8" ht="24" customHeight="1" x14ac:dyDescent="0.35">
      <c r="A19" s="1" t="s">
        <v>125</v>
      </c>
      <c r="B19" s="92" t="s">
        <v>135</v>
      </c>
      <c r="C19" s="86"/>
      <c r="D19" s="86"/>
      <c r="E19" s="86"/>
      <c r="F19" s="86"/>
      <c r="G19" s="86"/>
      <c r="H19" s="87"/>
    </row>
    <row r="20" spans="1:8" ht="24" customHeight="1" x14ac:dyDescent="0.35">
      <c r="A20" s="1" t="s">
        <v>125</v>
      </c>
      <c r="B20" s="92" t="s">
        <v>136</v>
      </c>
      <c r="C20" s="86"/>
      <c r="D20" s="86"/>
      <c r="E20" s="86"/>
      <c r="F20" s="86"/>
      <c r="G20" s="86"/>
      <c r="H20" s="87"/>
    </row>
    <row r="21" spans="1:8" ht="24" customHeight="1" x14ac:dyDescent="0.35">
      <c r="A21" s="1" t="s">
        <v>125</v>
      </c>
      <c r="B21" s="92" t="s">
        <v>137</v>
      </c>
      <c r="C21" s="86"/>
      <c r="D21" s="86"/>
      <c r="E21" s="86"/>
      <c r="F21" s="86"/>
      <c r="G21" s="86"/>
      <c r="H21" s="87"/>
    </row>
    <row r="22" spans="1:8" ht="24" customHeight="1" x14ac:dyDescent="0.35">
      <c r="A22" s="1" t="s">
        <v>125</v>
      </c>
      <c r="B22" s="92" t="s">
        <v>138</v>
      </c>
      <c r="C22" s="86"/>
      <c r="D22" s="86"/>
      <c r="E22" s="86"/>
      <c r="F22" s="86"/>
      <c r="G22" s="86"/>
      <c r="H22" s="87"/>
    </row>
    <row r="23" spans="1:8" ht="20" customHeight="1" x14ac:dyDescent="0.35">
      <c r="A23" s="1"/>
      <c r="B23" s="1"/>
      <c r="C23" s="1"/>
      <c r="D23" s="1"/>
      <c r="E23" s="1"/>
      <c r="F23" s="1"/>
      <c r="G23" s="1"/>
      <c r="H23" s="1"/>
    </row>
    <row r="24" spans="1:8" ht="20" customHeight="1" x14ac:dyDescent="0.35">
      <c r="A24" s="85" t="s">
        <v>139</v>
      </c>
      <c r="B24" s="86"/>
      <c r="C24" s="86"/>
      <c r="D24" s="86"/>
      <c r="E24" s="86"/>
      <c r="F24" s="86"/>
      <c r="G24" s="86"/>
      <c r="H24" s="87"/>
    </row>
    <row r="25" spans="1:8" ht="24" customHeight="1" x14ac:dyDescent="0.35">
      <c r="A25" s="1" t="s">
        <v>125</v>
      </c>
      <c r="B25" s="92" t="s">
        <v>140</v>
      </c>
      <c r="C25" s="86"/>
      <c r="D25" s="86"/>
      <c r="E25" s="86"/>
      <c r="F25" s="86"/>
      <c r="G25" s="86"/>
      <c r="H25" s="87"/>
    </row>
    <row r="26" spans="1:8" ht="24" customHeight="1" x14ac:dyDescent="0.35">
      <c r="A26" s="1" t="s">
        <v>125</v>
      </c>
      <c r="B26" s="92" t="s">
        <v>141</v>
      </c>
      <c r="C26" s="86"/>
      <c r="D26" s="86"/>
      <c r="E26" s="86"/>
      <c r="F26" s="86"/>
      <c r="G26" s="86"/>
      <c r="H26" s="87"/>
    </row>
    <row r="27" spans="1:8" ht="24" customHeight="1" x14ac:dyDescent="0.35">
      <c r="A27" s="1" t="s">
        <v>125</v>
      </c>
      <c r="B27" s="92" t="s">
        <v>142</v>
      </c>
      <c r="C27" s="86"/>
      <c r="D27" s="86"/>
      <c r="E27" s="86"/>
      <c r="F27" s="86"/>
      <c r="G27" s="86"/>
      <c r="H27" s="87"/>
    </row>
    <row r="28" spans="1:8" ht="24" customHeight="1" x14ac:dyDescent="0.35">
      <c r="A28" s="1" t="s">
        <v>125</v>
      </c>
      <c r="B28" s="92" t="s">
        <v>143</v>
      </c>
      <c r="C28" s="86"/>
      <c r="D28" s="86"/>
      <c r="E28" s="86"/>
      <c r="F28" s="86"/>
      <c r="G28" s="86"/>
      <c r="H28" s="87"/>
    </row>
    <row r="29" spans="1:8" ht="20" customHeight="1" x14ac:dyDescent="0.35">
      <c r="A29" s="52" t="s">
        <v>144</v>
      </c>
      <c r="B29" s="1"/>
      <c r="C29" s="1"/>
      <c r="D29" s="1"/>
      <c r="E29" s="1"/>
      <c r="F29" s="1"/>
      <c r="G29" s="1"/>
      <c r="H29" s="1"/>
    </row>
    <row r="30" spans="1:8" ht="20" customHeight="1" x14ac:dyDescent="0.35">
      <c r="A30" s="44" t="s">
        <v>145</v>
      </c>
      <c r="B30" s="1"/>
      <c r="C30" s="1"/>
      <c r="D30" s="1"/>
      <c r="E30" s="1"/>
      <c r="F30" s="1"/>
      <c r="G30" s="1"/>
      <c r="H30" s="1"/>
    </row>
    <row r="31" spans="1:8" x14ac:dyDescent="0.35">
      <c r="A31" t="s">
        <v>146</v>
      </c>
      <c r="B31" t="s">
        <v>147</v>
      </c>
    </row>
    <row r="32" spans="1:8" x14ac:dyDescent="0.35">
      <c r="A32" t="s">
        <v>148</v>
      </c>
      <c r="B32" t="s">
        <v>149</v>
      </c>
    </row>
    <row r="33" spans="1:2" x14ac:dyDescent="0.35">
      <c r="A33" t="s">
        <v>150</v>
      </c>
      <c r="B33" t="s">
        <v>151</v>
      </c>
    </row>
    <row r="34" spans="1:2" x14ac:dyDescent="0.35">
      <c r="A34" t="s">
        <v>152</v>
      </c>
      <c r="B34" t="s">
        <v>153</v>
      </c>
    </row>
    <row r="35" spans="1:2" x14ac:dyDescent="0.35">
      <c r="A35" t="s">
        <v>154</v>
      </c>
      <c r="B35" t="s">
        <v>155</v>
      </c>
    </row>
    <row r="36" spans="1:2" x14ac:dyDescent="0.35">
      <c r="A36" t="s">
        <v>156</v>
      </c>
      <c r="B36" t="s">
        <v>157</v>
      </c>
    </row>
    <row r="37" spans="1:2" x14ac:dyDescent="0.35">
      <c r="A37" t="s">
        <v>158</v>
      </c>
      <c r="B37" t="s">
        <v>159</v>
      </c>
    </row>
    <row r="38" spans="1:2" x14ac:dyDescent="0.35">
      <c r="A38" t="s">
        <v>160</v>
      </c>
      <c r="B38" t="s">
        <v>161</v>
      </c>
    </row>
  </sheetData>
  <mergeCells count="23">
    <mergeCell ref="A24:H24"/>
    <mergeCell ref="A11:H11"/>
    <mergeCell ref="B15:H15"/>
    <mergeCell ref="A1:H1"/>
    <mergeCell ref="B20:H20"/>
    <mergeCell ref="A6:H6"/>
    <mergeCell ref="A3:H3"/>
    <mergeCell ref="B28:H28"/>
    <mergeCell ref="B27:H27"/>
    <mergeCell ref="B21:H21"/>
    <mergeCell ref="B12:H12"/>
    <mergeCell ref="A4:H4"/>
    <mergeCell ref="B8:H8"/>
    <mergeCell ref="B14:H14"/>
    <mergeCell ref="B13:H13"/>
    <mergeCell ref="B19:H19"/>
    <mergeCell ref="B26:H26"/>
    <mergeCell ref="B16:H16"/>
    <mergeCell ref="B7:H7"/>
    <mergeCell ref="B25:H25"/>
    <mergeCell ref="A18:H18"/>
    <mergeCell ref="B22:H22"/>
    <mergeCell ref="B9:H9"/>
  </mergeCells>
  <pageMargins left="0.75" right="0.75" top="1" bottom="1" header="0.5" footer="0.5"/>
  <headerFooter>
    <oddHeader>&amp;C&amp;8 DOCUMENTO CONFIDENCIAL Y RESTRINGIDO  -  Uso interno Nuva Oxi</oddHeader>
    <oddFooter>&amp;LNuva Oxi&amp;RPágina 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B2245"/>
  </sheetPr>
  <dimension ref="A1:I41"/>
  <sheetViews>
    <sheetView showGridLines="0" workbookViewId="0">
      <pane ySplit="2" topLeftCell="A3" activePane="bottomLeft" state="frozen"/>
      <selection pane="bottomLeft" activeCell="M12" sqref="M12"/>
    </sheetView>
  </sheetViews>
  <sheetFormatPr baseColWidth="10" defaultColWidth="8.7265625" defaultRowHeight="14.5" x14ac:dyDescent="0.35"/>
  <cols>
    <col min="1" max="1" width="10" customWidth="1"/>
    <col min="2" max="2" width="22" customWidth="1"/>
    <col min="3" max="3" width="18" customWidth="1"/>
    <col min="4" max="4" width="22" customWidth="1"/>
    <col min="5" max="5" width="16" customWidth="1"/>
    <col min="6" max="6" width="13" customWidth="1"/>
    <col min="7" max="7" width="15" customWidth="1"/>
    <col min="8" max="8" width="28" customWidth="1"/>
    <col min="9" max="9" width="11" customWidth="1"/>
  </cols>
  <sheetData>
    <row r="1" spans="1:9" ht="28" customHeight="1" x14ac:dyDescent="0.35">
      <c r="A1" s="57" t="s">
        <v>162</v>
      </c>
      <c r="B1" s="49"/>
      <c r="C1" s="49"/>
      <c r="D1" s="49"/>
      <c r="E1" s="49"/>
      <c r="F1" s="49"/>
      <c r="G1" s="49"/>
      <c r="H1" s="49"/>
      <c r="I1" s="49"/>
    </row>
    <row r="2" spans="1:9" ht="20" customHeight="1" x14ac:dyDescent="0.35"/>
    <row r="3" spans="1:9" ht="20" customHeight="1" x14ac:dyDescent="0.35">
      <c r="B3" s="47" t="s">
        <v>163</v>
      </c>
      <c r="C3" s="47" t="s">
        <v>164</v>
      </c>
      <c r="D3" s="48"/>
      <c r="E3" s="47" t="s">
        <v>165</v>
      </c>
      <c r="F3" s="47" t="s">
        <v>164</v>
      </c>
      <c r="G3" s="1"/>
      <c r="H3" s="1"/>
      <c r="I3" s="1"/>
    </row>
    <row r="4" spans="1:9" ht="20" customHeight="1" x14ac:dyDescent="0.35">
      <c r="B4" s="1" t="s">
        <v>166</v>
      </c>
      <c r="C4" s="5">
        <f ca="1">TODAY()</f>
        <v>46213</v>
      </c>
      <c r="D4" s="1"/>
      <c r="E4" s="1" t="s">
        <v>167</v>
      </c>
      <c r="F4" s="1">
        <f>Inicio!B14</f>
        <v>30</v>
      </c>
      <c r="G4" s="1"/>
      <c r="H4" s="1"/>
      <c r="I4" s="1"/>
    </row>
    <row r="5" spans="1:9" ht="20" customHeight="1" x14ac:dyDescent="0.35">
      <c r="B5" s="1" t="s">
        <v>168</v>
      </c>
      <c r="C5" s="1">
        <f>COUNTIF(Clientes_PDV!$I$2:$I$250,"Activo")</f>
        <v>11</v>
      </c>
      <c r="D5" s="1"/>
      <c r="E5" s="1" t="s">
        <v>169</v>
      </c>
      <c r="F5" s="53">
        <f>Inicio!B15</f>
        <v>500000</v>
      </c>
      <c r="G5" s="1"/>
      <c r="H5" s="1"/>
      <c r="I5" s="1"/>
    </row>
    <row r="6" spans="1:9" ht="20" customHeight="1" x14ac:dyDescent="0.35">
      <c r="B6" s="1" t="s">
        <v>170</v>
      </c>
      <c r="C6" s="1">
        <f ca="1">COUNTIF(Cobertura!$Q$2:$Q$250,"Alta")</f>
        <v>10</v>
      </c>
      <c r="D6" s="1"/>
      <c r="E6" s="1" t="s">
        <v>171</v>
      </c>
      <c r="F6" s="1">
        <f>Inicio!B24</f>
        <v>7</v>
      </c>
      <c r="G6" s="1"/>
      <c r="H6" s="1"/>
      <c r="I6" s="1"/>
    </row>
    <row r="7" spans="1:9" ht="20" customHeight="1" x14ac:dyDescent="0.35">
      <c r="B7" s="1" t="s">
        <v>172</v>
      </c>
      <c r="C7" s="6">
        <f ca="1">SUM(Cobertura!$I$2:$I$250)</f>
        <v>2871252</v>
      </c>
      <c r="D7" s="1"/>
      <c r="E7" s="1" t="s">
        <v>173</v>
      </c>
      <c r="F7" s="1">
        <f>Inicio!B25</f>
        <v>15</v>
      </c>
      <c r="G7" s="1"/>
      <c r="H7" s="1"/>
      <c r="I7" s="1"/>
    </row>
    <row r="8" spans="1:9" ht="20" customHeight="1" x14ac:dyDescent="0.35">
      <c r="B8" s="1" t="s">
        <v>174</v>
      </c>
      <c r="C8" s="6">
        <f>SUM(Cobertura!$M$2:$M$250)</f>
        <v>2688041.93</v>
      </c>
      <c r="D8" s="1"/>
      <c r="E8" s="1" t="s">
        <v>175</v>
      </c>
      <c r="F8" s="1">
        <f>Inicio!B26</f>
        <v>30</v>
      </c>
      <c r="G8" s="1"/>
      <c r="H8" s="1"/>
      <c r="I8" s="1"/>
    </row>
    <row r="9" spans="1:9" ht="20" customHeight="1" x14ac:dyDescent="0.35">
      <c r="B9" s="1" t="s">
        <v>176</v>
      </c>
      <c r="C9" s="1">
        <f>COUNTIF(Cobertura!$P$2:$P$250,"Crítico")</f>
        <v>4</v>
      </c>
      <c r="D9" s="1"/>
      <c r="E9" s="1" t="s">
        <v>177</v>
      </c>
      <c r="F9" s="1">
        <f>Inicio!B19</f>
        <v>7</v>
      </c>
      <c r="G9" s="1"/>
      <c r="H9" s="1"/>
      <c r="I9" s="1"/>
    </row>
    <row r="10" spans="1:9" ht="20" customHeight="1" x14ac:dyDescent="0.35">
      <c r="B10" s="1"/>
      <c r="C10" s="1"/>
      <c r="D10" s="1"/>
      <c r="E10" s="1"/>
      <c r="F10" s="1"/>
      <c r="G10" s="1"/>
      <c r="H10" s="1"/>
      <c r="I10" s="1"/>
    </row>
    <row r="11" spans="1:9" ht="29" customHeight="1" x14ac:dyDescent="0.35">
      <c r="B11" s="20" t="s">
        <v>178</v>
      </c>
      <c r="C11" s="1"/>
      <c r="D11" s="1"/>
      <c r="E11" s="1"/>
      <c r="F11" s="1"/>
      <c r="G11" s="1"/>
      <c r="H11" s="1"/>
      <c r="I11" s="1"/>
    </row>
    <row r="12" spans="1:9" ht="20" customHeight="1" x14ac:dyDescent="0.35">
      <c r="B12" s="85" t="s">
        <v>179</v>
      </c>
      <c r="C12" s="86"/>
      <c r="D12" s="86"/>
      <c r="E12" s="86"/>
      <c r="F12" s="86"/>
      <c r="G12" s="86"/>
      <c r="H12" s="86"/>
      <c r="I12" s="87"/>
    </row>
    <row r="13" spans="1:9" ht="28" customHeight="1" x14ac:dyDescent="0.35">
      <c r="A13" s="58" t="s">
        <v>180</v>
      </c>
      <c r="B13" s="58" t="s">
        <v>3</v>
      </c>
      <c r="C13" s="58" t="s">
        <v>1</v>
      </c>
      <c r="D13" s="58" t="s">
        <v>2</v>
      </c>
      <c r="E13" s="58" t="s">
        <v>7</v>
      </c>
      <c r="F13" s="58" t="s">
        <v>10</v>
      </c>
      <c r="G13" s="58" t="s">
        <v>13</v>
      </c>
      <c r="H13" s="58" t="s">
        <v>15</v>
      </c>
      <c r="I13" s="58" t="s">
        <v>29</v>
      </c>
    </row>
    <row r="14" spans="1:9" ht="20" customHeight="1" x14ac:dyDescent="0.35">
      <c r="A14" s="54" t="str">
        <f>Cobertura!A2</f>
        <v>PDV-001</v>
      </c>
      <c r="B14" s="1" t="str">
        <f>Cobertura!D2</f>
        <v>Jumbo Bilbao</v>
      </c>
      <c r="C14" s="1" t="str">
        <f>Cobertura!B2</f>
        <v>Jumbo</v>
      </c>
      <c r="D14" s="1" t="str">
        <f>Cobertura!C2</f>
        <v>Retail</v>
      </c>
      <c r="E14" s="1" t="str">
        <f ca="1">Cobertura!H2</f>
        <v>Vigente</v>
      </c>
      <c r="F14" s="1" t="str">
        <f ca="1">Cobertura!K2</f>
        <v>Venta baja</v>
      </c>
      <c r="G14" s="1" t="str">
        <f>Cobertura!N2</f>
        <v>Pendiente menor</v>
      </c>
      <c r="H14" s="1" t="str">
        <f>Cobertura!P2</f>
        <v>OK</v>
      </c>
      <c r="I14" s="1" t="str">
        <f ca="1">Cobertura!Q2</f>
        <v>Media</v>
      </c>
    </row>
    <row r="15" spans="1:9" ht="20" customHeight="1" x14ac:dyDescent="0.35">
      <c r="A15" s="54" t="str">
        <f>Cobertura!A3</f>
        <v>PDV-002</v>
      </c>
      <c r="B15" s="1" t="str">
        <f>Cobertura!D3</f>
        <v>Jumbo Kennedy</v>
      </c>
      <c r="C15" s="1" t="str">
        <f>Cobertura!B3</f>
        <v>Jumbo</v>
      </c>
      <c r="D15" s="1" t="str">
        <f>Cobertura!C3</f>
        <v>Retail</v>
      </c>
      <c r="E15" s="1" t="str">
        <f ca="1">Cobertura!H3</f>
        <v>Atrasado</v>
      </c>
      <c r="F15" s="1" t="str">
        <f ca="1">Cobertura!K3</f>
        <v>Venta baja</v>
      </c>
      <c r="G15" s="1" t="str">
        <f>Cobertura!N3</f>
        <v>Sin deuda</v>
      </c>
      <c r="H15" s="1" t="str">
        <f>Cobertura!P3</f>
        <v>Crítico</v>
      </c>
      <c r="I15" s="1" t="str">
        <f ca="1">Cobertura!Q3</f>
        <v>Alta</v>
      </c>
    </row>
    <row r="16" spans="1:9" ht="20" customHeight="1" x14ac:dyDescent="0.35">
      <c r="A16" s="54" t="str">
        <f>Cobertura!A4</f>
        <v>PDV-003</v>
      </c>
      <c r="B16" s="1" t="str">
        <f>Cobertura!D4</f>
        <v>Jumbo La Reina</v>
      </c>
      <c r="C16" s="1" t="str">
        <f>Cobertura!B4</f>
        <v>Jumbo</v>
      </c>
      <c r="D16" s="1" t="str">
        <f>Cobertura!C4</f>
        <v>Retail</v>
      </c>
      <c r="E16" s="1" t="str">
        <f ca="1">Cobertura!H4</f>
        <v>Atrasado</v>
      </c>
      <c r="F16" s="1" t="str">
        <f ca="1">Cobertura!K4</f>
        <v>Venta baja</v>
      </c>
      <c r="G16" s="1" t="str">
        <f>Cobertura!N4</f>
        <v>Pendiente menor</v>
      </c>
      <c r="H16" s="1" t="str">
        <f>Cobertura!P4</f>
        <v>OK</v>
      </c>
      <c r="I16" s="1" t="str">
        <f ca="1">Cobertura!Q4</f>
        <v>Alta</v>
      </c>
    </row>
    <row r="17" spans="1:9" ht="20" customHeight="1" x14ac:dyDescent="0.35">
      <c r="A17" s="54" t="str">
        <f>Cobertura!A5</f>
        <v>PDV-004</v>
      </c>
      <c r="B17" s="1" t="str">
        <f>Cobertura!D5</f>
        <v>Get It Apoquindo</v>
      </c>
      <c r="C17" s="1" t="str">
        <f>Cobertura!B5</f>
        <v>Get It</v>
      </c>
      <c r="D17" s="1" t="str">
        <f>Cobertura!C5</f>
        <v>Conveniencia</v>
      </c>
      <c r="E17" s="1" t="str">
        <f ca="1">Cobertura!H5</f>
        <v>Vigente</v>
      </c>
      <c r="F17" s="1" t="str">
        <f ca="1">Cobertura!K5</f>
        <v>Venta baja</v>
      </c>
      <c r="G17" s="1" t="str">
        <f>Cobertura!N5</f>
        <v>Pendiente menor</v>
      </c>
      <c r="H17" s="1" t="str">
        <f>Cobertura!P5</f>
        <v>Crítico</v>
      </c>
      <c r="I17" s="1" t="str">
        <f ca="1">Cobertura!Q5</f>
        <v>Alta</v>
      </c>
    </row>
    <row r="18" spans="1:9" ht="20" customHeight="1" x14ac:dyDescent="0.35">
      <c r="A18" s="54" t="str">
        <f>Cobertura!A6</f>
        <v>PDV-005</v>
      </c>
      <c r="B18" s="1" t="str">
        <f>Cobertura!D6</f>
        <v>Get It Vitacura</v>
      </c>
      <c r="C18" s="1" t="str">
        <f>Cobertura!B6</f>
        <v>Get It</v>
      </c>
      <c r="D18" s="1" t="str">
        <f>Cobertura!C6</f>
        <v>Conveniencia</v>
      </c>
      <c r="E18" s="1" t="str">
        <f ca="1">Cobertura!H6</f>
        <v>Atrasado</v>
      </c>
      <c r="F18" s="1" t="str">
        <f ca="1">Cobertura!K6</f>
        <v>Venta OK</v>
      </c>
      <c r="G18" s="1" t="str">
        <f>Cobertura!N6</f>
        <v>Pendiente relevante</v>
      </c>
      <c r="H18" s="1" t="str">
        <f>Cobertura!P6</f>
        <v>OK</v>
      </c>
      <c r="I18" s="1" t="str">
        <f ca="1">Cobertura!Q6</f>
        <v>Alta</v>
      </c>
    </row>
    <row r="19" spans="1:9" ht="20" customHeight="1" x14ac:dyDescent="0.35">
      <c r="A19" s="54" t="str">
        <f>Cobertura!A7</f>
        <v>PDV-006</v>
      </c>
      <c r="B19" s="1" t="str">
        <f>Cobertura!D7</f>
        <v>Aldea Nativa Providencia</v>
      </c>
      <c r="C19" s="1" t="str">
        <f>Cobertura!B7</f>
        <v>Aldea Nativa</v>
      </c>
      <c r="D19" s="1" t="str">
        <f>Cobertura!C7</f>
        <v>Especializadas</v>
      </c>
      <c r="E19" s="1" t="str">
        <f ca="1">Cobertura!H7</f>
        <v>Atrasado</v>
      </c>
      <c r="F19" s="1" t="str">
        <f ca="1">Cobertura!K7</f>
        <v>Venta baja</v>
      </c>
      <c r="G19" s="1" t="str">
        <f>Cobertura!N7</f>
        <v>Pendiente menor</v>
      </c>
      <c r="H19" s="1" t="str">
        <f>Cobertura!P7</f>
        <v>OK</v>
      </c>
      <c r="I19" s="1" t="str">
        <f ca="1">Cobertura!Q7</f>
        <v>Alta</v>
      </c>
    </row>
    <row r="20" spans="1:9" ht="20" customHeight="1" x14ac:dyDescent="0.35">
      <c r="A20" s="54" t="str">
        <f>Cobertura!A8</f>
        <v>PDV-007</v>
      </c>
      <c r="B20" s="1" t="str">
        <f>Cobertura!D8</f>
        <v>All Nutrition La Reina</v>
      </c>
      <c r="C20" s="1" t="str">
        <f>Cobertura!B8</f>
        <v>All Nutrition</v>
      </c>
      <c r="D20" s="1" t="str">
        <f>Cobertura!C8</f>
        <v>Especializadas</v>
      </c>
      <c r="E20" s="1" t="str">
        <f ca="1">Cobertura!H8</f>
        <v>Atrasado</v>
      </c>
      <c r="F20" s="1" t="str">
        <f ca="1">Cobertura!K8</f>
        <v>Venta baja</v>
      </c>
      <c r="G20" s="1" t="str">
        <f>Cobertura!N8</f>
        <v>Pendiente relevante</v>
      </c>
      <c r="H20" s="1" t="str">
        <f>Cobertura!P8</f>
        <v>OK</v>
      </c>
      <c r="I20" s="1" t="str">
        <f ca="1">Cobertura!Q8</f>
        <v>Alta</v>
      </c>
    </row>
    <row r="21" spans="1:9" ht="20" customHeight="1" x14ac:dyDescent="0.35">
      <c r="A21" s="54" t="str">
        <f>Cobertura!A9</f>
        <v>PDV-008</v>
      </c>
      <c r="B21" s="1" t="str">
        <f>Cobertura!D9</f>
        <v>Ahumada Los Dominicos</v>
      </c>
      <c r="C21" s="1" t="str">
        <f>Cobertura!B9</f>
        <v>Farmacia Ahumada</v>
      </c>
      <c r="D21" s="1" t="str">
        <f>Cobertura!C9</f>
        <v>Farmacias</v>
      </c>
      <c r="E21" s="1" t="str">
        <f ca="1">Cobertura!H9</f>
        <v>Vigente</v>
      </c>
      <c r="F21" s="1" t="str">
        <f ca="1">Cobertura!K9</f>
        <v>Venta baja</v>
      </c>
      <c r="G21" s="1" t="str">
        <f>Cobertura!N9</f>
        <v>Pendiente menor</v>
      </c>
      <c r="H21" s="1" t="str">
        <f>Cobertura!P9</f>
        <v>Crítico</v>
      </c>
      <c r="I21" s="1" t="str">
        <f ca="1">Cobertura!Q9</f>
        <v>Alta</v>
      </c>
    </row>
    <row r="22" spans="1:9" ht="20" customHeight="1" x14ac:dyDescent="0.35">
      <c r="A22" s="54" t="str">
        <f>Cobertura!A10</f>
        <v>PDV-009</v>
      </c>
      <c r="B22" s="1" t="str">
        <f>Cobertura!D10</f>
        <v>Cruz Verde Vitacura</v>
      </c>
      <c r="C22" s="1" t="str">
        <f>Cobertura!B10</f>
        <v>Cruz Verde</v>
      </c>
      <c r="D22" s="1" t="str">
        <f>Cobertura!C10</f>
        <v>Farmacias</v>
      </c>
      <c r="E22" s="1" t="str">
        <f ca="1">Cobertura!H10</f>
        <v>Atrasado</v>
      </c>
      <c r="F22" s="1" t="str">
        <f ca="1">Cobertura!K10</f>
        <v>Venta baja</v>
      </c>
      <c r="G22" s="1" t="str">
        <f>Cobertura!N10</f>
        <v>Pendiente relevante</v>
      </c>
      <c r="H22" s="1" t="str">
        <f>Cobertura!P10</f>
        <v>OK</v>
      </c>
      <c r="I22" s="1" t="str">
        <f ca="1">Cobertura!Q10</f>
        <v>Alta</v>
      </c>
    </row>
    <row r="23" spans="1:9" ht="20" customHeight="1" x14ac:dyDescent="0.35">
      <c r="A23" s="54" t="str">
        <f>Cobertura!A11</f>
        <v>PDV-010</v>
      </c>
      <c r="B23" s="1" t="str">
        <f>Cobertura!D11</f>
        <v>Sodexo Casa Matriz</v>
      </c>
      <c r="C23" s="1" t="str">
        <f>Cobertura!B11</f>
        <v>Sodexo</v>
      </c>
      <c r="D23" s="1" t="str">
        <f>Cobertura!C11</f>
        <v>Corporativo</v>
      </c>
      <c r="E23" s="1" t="str">
        <f ca="1">Cobertura!H11</f>
        <v>Vigente</v>
      </c>
      <c r="F23" s="1" t="str">
        <f ca="1">Cobertura!K11</f>
        <v>Venta baja</v>
      </c>
      <c r="G23" s="1" t="str">
        <f>Cobertura!N11</f>
        <v>Pendiente relevante</v>
      </c>
      <c r="H23" s="1" t="str">
        <f>Cobertura!P11</f>
        <v>Crítico</v>
      </c>
      <c r="I23" s="1" t="str">
        <f ca="1">Cobertura!Q11</f>
        <v>Alta</v>
      </c>
    </row>
    <row r="24" spans="1:9" ht="20" customHeight="1" x14ac:dyDescent="0.35">
      <c r="A24" s="54" t="str">
        <f>Cobertura!A12</f>
        <v>PDV-011</v>
      </c>
      <c r="B24" s="1" t="str">
        <f>Cobertura!D12</f>
        <v>Tres Toques Vitacura</v>
      </c>
      <c r="C24" s="1" t="str">
        <f>Cobertura!B12</f>
        <v>Tres Toques</v>
      </c>
      <c r="D24" s="1" t="str">
        <f>Cobertura!C12</f>
        <v>HORECA</v>
      </c>
      <c r="E24" s="1" t="str">
        <f ca="1">Cobertura!H12</f>
        <v>Vigente</v>
      </c>
      <c r="F24" s="1" t="str">
        <f ca="1">Cobertura!K12</f>
        <v>Venta baja</v>
      </c>
      <c r="G24" s="1" t="str">
        <f>Cobertura!N12</f>
        <v>Pendiente menor</v>
      </c>
      <c r="H24" s="1" t="str">
        <f>Cobertura!P12</f>
        <v>OK</v>
      </c>
      <c r="I24" s="1" t="str">
        <f ca="1">Cobertura!Q12</f>
        <v>Media</v>
      </c>
    </row>
    <row r="25" spans="1:9" ht="20" customHeight="1" x14ac:dyDescent="0.35">
      <c r="A25" s="54" t="str">
        <f>Cobertura!A13</f>
        <v>PDV-012</v>
      </c>
      <c r="B25" s="1" t="str">
        <f>Cobertura!D13</f>
        <v>Mundo del Vino Escuela Militar</v>
      </c>
      <c r="C25" s="1" t="str">
        <f>Cobertura!B13</f>
        <v>Mundo del Vino</v>
      </c>
      <c r="D25" s="1" t="str">
        <f>Cobertura!C13</f>
        <v>Especializadas</v>
      </c>
      <c r="E25" s="1" t="str">
        <f ca="1">Cobertura!H13</f>
        <v>Vigente</v>
      </c>
      <c r="F25" s="1" t="str">
        <f ca="1">Cobertura!K13</f>
        <v>Venta baja</v>
      </c>
      <c r="G25" s="1" t="str">
        <f>Cobertura!N13</f>
        <v>Pendiente relevante</v>
      </c>
      <c r="H25" s="1" t="str">
        <f>Cobertura!P13</f>
        <v>OK</v>
      </c>
      <c r="I25" s="1" t="str">
        <f ca="1">Cobertura!Q13</f>
        <v>Alta</v>
      </c>
    </row>
    <row r="26" spans="1:9" ht="20" customHeight="1" x14ac:dyDescent="0.35">
      <c r="B26" s="1"/>
      <c r="C26" s="1"/>
      <c r="D26" s="1"/>
      <c r="E26" s="1"/>
      <c r="F26" s="1"/>
      <c r="G26" s="1"/>
      <c r="H26" s="1"/>
      <c r="I26" s="1"/>
    </row>
    <row r="28" spans="1:9" x14ac:dyDescent="0.35">
      <c r="A28" s="94" t="s">
        <v>181</v>
      </c>
      <c r="B28" s="90"/>
      <c r="D28" s="94" t="s">
        <v>182</v>
      </c>
      <c r="E28" s="90"/>
      <c r="F28" s="90"/>
      <c r="G28" s="90"/>
    </row>
    <row r="29" spans="1:9" x14ac:dyDescent="0.35">
      <c r="A29" s="59" t="s">
        <v>183</v>
      </c>
      <c r="B29" s="45">
        <v>46023</v>
      </c>
      <c r="C29" s="56" t="s">
        <v>184</v>
      </c>
      <c r="D29" s="60" t="s">
        <v>3</v>
      </c>
      <c r="E29" s="60" t="s">
        <v>1</v>
      </c>
      <c r="F29" s="60" t="s">
        <v>2</v>
      </c>
      <c r="G29" s="60" t="s">
        <v>185</v>
      </c>
      <c r="H29" s="60" t="s">
        <v>19</v>
      </c>
    </row>
    <row r="30" spans="1:9" x14ac:dyDescent="0.35">
      <c r="A30" s="66" t="s">
        <v>186</v>
      </c>
      <c r="B30" s="67">
        <f>SUMIFS(Ventas_SellIn!$L$2:$L$800,Ventas_SellIn!$B$2:$B$800,"&gt;="&amp;$B$29)</f>
        <v>5894865</v>
      </c>
      <c r="D30" s="68" t="str">
        <f>IF(Clientes_PDV!A2="","",Clientes_PDV!D2)</f>
        <v>Jumbo Bilbao</v>
      </c>
      <c r="E30" s="68" t="str">
        <f>IF(Clientes_PDV!A2="","",Clientes_PDV!B2)</f>
        <v>Jumbo</v>
      </c>
      <c r="F30" s="68" t="str">
        <f>IF(Clientes_PDV!A2="","",Clientes_PDV!C2)</f>
        <v>Retail</v>
      </c>
      <c r="G30" s="69">
        <f>IF(Clientes_PDV!A2="","",SUMIFS(Ventas_SellIn!$L$2:$L$800,Ventas_SellIn!$D$2:$D$800,Clientes_PDV!A2,Ventas_SellIn!$B$2:$B$800,"&gt;="&amp;$B$29))</f>
        <v>411396</v>
      </c>
      <c r="H30" s="68">
        <f>IF(Clientes_PDV!A2="","",Clientes_PDV!K2)</f>
        <v>0</v>
      </c>
    </row>
    <row r="31" spans="1:9" x14ac:dyDescent="0.35">
      <c r="D31" s="70" t="str">
        <f>IF(Clientes_PDV!A3="","",Clientes_PDV!D3)</f>
        <v>Jumbo Kennedy</v>
      </c>
      <c r="E31" s="70" t="str">
        <f>IF(Clientes_PDV!A3="","",Clientes_PDV!B3)</f>
        <v>Jumbo</v>
      </c>
      <c r="F31" s="70" t="str">
        <f>IF(Clientes_PDV!A3="","",Clientes_PDV!C3)</f>
        <v>Retail</v>
      </c>
      <c r="G31" s="71">
        <f>IF(Clientes_PDV!A3="","",SUMIFS(Ventas_SellIn!$L$2:$L$800,Ventas_SellIn!$D$2:$D$800,Clientes_PDV!A3,Ventas_SellIn!$B$2:$B$800,"&gt;="&amp;$B$29))</f>
        <v>523920</v>
      </c>
      <c r="H31" s="70">
        <f>IF(Clientes_PDV!A3="","",Clientes_PDV!K3)</f>
        <v>0</v>
      </c>
    </row>
    <row r="32" spans="1:9" x14ac:dyDescent="0.35">
      <c r="A32" s="60" t="s">
        <v>2</v>
      </c>
      <c r="B32" s="60" t="s">
        <v>185</v>
      </c>
      <c r="D32" s="68" t="str">
        <f>IF(Clientes_PDV!A4="","",Clientes_PDV!D4)</f>
        <v>Jumbo La Reina</v>
      </c>
      <c r="E32" s="68" t="str">
        <f>IF(Clientes_PDV!A4="","",Clientes_PDV!B4)</f>
        <v>Jumbo</v>
      </c>
      <c r="F32" s="68" t="str">
        <f>IF(Clientes_PDV!A4="","",Clientes_PDV!C4)</f>
        <v>Retail</v>
      </c>
      <c r="G32" s="69">
        <f>IF(Clientes_PDV!A4="","",SUMIFS(Ventas_SellIn!$L$2:$L$800,Ventas_SellIn!$D$2:$D$800,Clientes_PDV!A4,Ventas_SellIn!$B$2:$B$800,"&gt;="&amp;$B$29))</f>
        <v>71326</v>
      </c>
      <c r="H32" s="68">
        <f>IF(Clientes_PDV!A4="","",Clientes_PDV!K4)</f>
        <v>0</v>
      </c>
    </row>
    <row r="33" spans="1:8" x14ac:dyDescent="0.35">
      <c r="A33" s="68" t="str">
        <f>Inicio!$E$5</f>
        <v>Retail</v>
      </c>
      <c r="B33" s="69">
        <f>IF($A33="","",SUMIFS(Ventas_SellIn!$L$2:$L$800,Ventas_SellIn!$F$2:$F$800,$A33,Ventas_SellIn!$B$2:$B$800,"&gt;="&amp;$B$29))</f>
        <v>1006642</v>
      </c>
      <c r="D33" s="70" t="str">
        <f>IF(Clientes_PDV!A5="","",Clientes_PDV!D5)</f>
        <v>Get It Apoquindo</v>
      </c>
      <c r="E33" s="70" t="str">
        <f>IF(Clientes_PDV!A5="","",Clientes_PDV!B5)</f>
        <v>Get It</v>
      </c>
      <c r="F33" s="70" t="str">
        <f>IF(Clientes_PDV!A5="","",Clientes_PDV!C5)</f>
        <v>Conveniencia</v>
      </c>
      <c r="G33" s="71">
        <f>IF(Clientes_PDV!A5="","",SUMIFS(Ventas_SellIn!$L$2:$L$800,Ventas_SellIn!$D$2:$D$800,Clientes_PDV!A5,Ventas_SellIn!$B$2:$B$800,"&gt;="&amp;$B$29))</f>
        <v>368880</v>
      </c>
      <c r="H33" s="70">
        <f>IF(Clientes_PDV!A5="","",Clientes_PDV!K5)</f>
        <v>0</v>
      </c>
    </row>
    <row r="34" spans="1:8" x14ac:dyDescent="0.35">
      <c r="A34" s="70" t="str">
        <f>Inicio!$E$6</f>
        <v>Conveniencia</v>
      </c>
      <c r="B34" s="71">
        <f>IF($A34="","",SUMIFS(Ventas_SellIn!$L$2:$L$800,Ventas_SellIn!$F$2:$F$800,$A34,Ventas_SellIn!$B$2:$B$800,"&gt;="&amp;$B$29))</f>
        <v>1713268</v>
      </c>
      <c r="D34" s="68" t="str">
        <f>IF(Clientes_PDV!A6="","",Clientes_PDV!D6)</f>
        <v>Get It Vitacura</v>
      </c>
      <c r="E34" s="68" t="str">
        <f>IF(Clientes_PDV!A6="","",Clientes_PDV!B6)</f>
        <v>Get It</v>
      </c>
      <c r="F34" s="68" t="str">
        <f>IF(Clientes_PDV!A6="","",Clientes_PDV!C6)</f>
        <v>Conveniencia</v>
      </c>
      <c r="G34" s="69">
        <f>IF(Clientes_PDV!A6="","",SUMIFS(Ventas_SellIn!$L$2:$L$800,Ventas_SellIn!$D$2:$D$800,Clientes_PDV!A6,Ventas_SellIn!$B$2:$B$800,"&gt;="&amp;$B$29))</f>
        <v>1344388</v>
      </c>
      <c r="H34" s="68">
        <f>IF(Clientes_PDV!A6="","",Clientes_PDV!K6)</f>
        <v>0</v>
      </c>
    </row>
    <row r="35" spans="1:8" x14ac:dyDescent="0.35">
      <c r="A35" s="68" t="str">
        <f>Inicio!$E$7</f>
        <v>Farmacias</v>
      </c>
      <c r="B35" s="69">
        <f>IF($A35="","",SUMIFS(Ventas_SellIn!$L$2:$L$800,Ventas_SellIn!$F$2:$F$800,$A35,Ventas_SellIn!$B$2:$B$800,"&gt;="&amp;$B$29))</f>
        <v>723604</v>
      </c>
      <c r="D35" s="70" t="str">
        <f>IF(Clientes_PDV!A7="","",Clientes_PDV!D7)</f>
        <v>Aldea Nativa Providencia</v>
      </c>
      <c r="E35" s="70" t="str">
        <f>IF(Clientes_PDV!A7="","",Clientes_PDV!B7)</f>
        <v>Aldea Nativa</v>
      </c>
      <c r="F35" s="70" t="str">
        <f>IF(Clientes_PDV!A7="","",Clientes_PDV!C7)</f>
        <v>Especializadas</v>
      </c>
      <c r="G35" s="71">
        <f>IF(Clientes_PDV!A7="","",SUMIFS(Ventas_SellIn!$L$2:$L$800,Ventas_SellIn!$D$2:$D$800,Clientes_PDV!A7,Ventas_SellIn!$B$2:$B$800,"&gt;="&amp;$B$29))</f>
        <v>552872</v>
      </c>
      <c r="H35" s="70">
        <f>IF(Clientes_PDV!A7="","",Clientes_PDV!K7)</f>
        <v>0</v>
      </c>
    </row>
    <row r="36" spans="1:8" x14ac:dyDescent="0.35">
      <c r="A36" s="70" t="str">
        <f>Inicio!$E$8</f>
        <v>Especializadas</v>
      </c>
      <c r="B36" s="71">
        <f>IF($A36="","",SUMIFS(Ventas_SellIn!$L$2:$L$800,Ventas_SellIn!$F$2:$F$800,$A36,Ventas_SellIn!$B$2:$B$800,"&gt;="&amp;$B$29))</f>
        <v>1735473</v>
      </c>
      <c r="D36" s="68" t="str">
        <f>IF(Clientes_PDV!A8="","",Clientes_PDV!D8)</f>
        <v>All Nutrition La Reina</v>
      </c>
      <c r="E36" s="68" t="str">
        <f>IF(Clientes_PDV!A8="","",Clientes_PDV!B8)</f>
        <v>All Nutrition</v>
      </c>
      <c r="F36" s="68" t="str">
        <f>IF(Clientes_PDV!A8="","",Clientes_PDV!C8)</f>
        <v>Especializadas</v>
      </c>
      <c r="G36" s="69">
        <f>IF(Clientes_PDV!A8="","",SUMIFS(Ventas_SellIn!$L$2:$L$800,Ventas_SellIn!$D$2:$D$800,Clientes_PDV!A8,Ventas_SellIn!$B$2:$B$800,"&gt;="&amp;$B$29))</f>
        <v>771763</v>
      </c>
      <c r="H36" s="68">
        <f>IF(Clientes_PDV!A8="","",Clientes_PDV!K8)</f>
        <v>0</v>
      </c>
    </row>
    <row r="37" spans="1:8" x14ac:dyDescent="0.35">
      <c r="A37" s="68" t="str">
        <f>Inicio!$E$9</f>
        <v>HORECA</v>
      </c>
      <c r="B37" s="69">
        <f>IF($A37="","",SUMIFS(Ventas_SellIn!$L$2:$L$800,Ventas_SellIn!$F$2:$F$800,$A37,Ventas_SellIn!$B$2:$B$800,"&gt;="&amp;$B$29))</f>
        <v>108624</v>
      </c>
      <c r="D37" s="70" t="str">
        <f>IF(Clientes_PDV!A9="","",Clientes_PDV!D9)</f>
        <v>Ahumada Los Dominicos</v>
      </c>
      <c r="E37" s="70" t="str">
        <f>IF(Clientes_PDV!A9="","",Clientes_PDV!B9)</f>
        <v>Farmacia Ahumada</v>
      </c>
      <c r="F37" s="70" t="str">
        <f>IF(Clientes_PDV!A9="","",Clientes_PDV!C9)</f>
        <v>Farmacias</v>
      </c>
      <c r="G37" s="71">
        <f>IF(Clientes_PDV!A9="","",SUMIFS(Ventas_SellIn!$L$2:$L$800,Ventas_SellIn!$D$2:$D$800,Clientes_PDV!A9,Ventas_SellIn!$B$2:$B$800,"&gt;="&amp;$B$29))</f>
        <v>12984</v>
      </c>
      <c r="H37" s="70">
        <f>IF(Clientes_PDV!A9="","",Clientes_PDV!K9)</f>
        <v>0</v>
      </c>
    </row>
    <row r="38" spans="1:8" x14ac:dyDescent="0.35">
      <c r="A38" s="70" t="str">
        <f>Inicio!$E$10</f>
        <v>Tradicional</v>
      </c>
      <c r="B38" s="71">
        <f>IF($A38="","",SUMIFS(Ventas_SellIn!$L$2:$L$800,Ventas_SellIn!$F$2:$F$800,$A38,Ventas_SellIn!$B$2:$B$800,"&gt;="&amp;$B$29))</f>
        <v>0</v>
      </c>
      <c r="D38" s="68" t="str">
        <f>IF(Clientes_PDV!A10="","",Clientes_PDV!D10)</f>
        <v>Cruz Verde Vitacura</v>
      </c>
      <c r="E38" s="68" t="str">
        <f>IF(Clientes_PDV!A10="","",Clientes_PDV!B10)</f>
        <v>Cruz Verde</v>
      </c>
      <c r="F38" s="68" t="str">
        <f>IF(Clientes_PDV!A10="","",Clientes_PDV!C10)</f>
        <v>Farmacias</v>
      </c>
      <c r="G38" s="69">
        <f>IF(Clientes_PDV!A10="","",SUMIFS(Ventas_SellIn!$L$2:$L$800,Ventas_SellIn!$D$2:$D$800,Clientes_PDV!A10,Ventas_SellIn!$B$2:$B$800,"&gt;="&amp;$B$29))</f>
        <v>710620</v>
      </c>
      <c r="H38" s="68">
        <f>IF(Clientes_PDV!A10="","",Clientes_PDV!K10)</f>
        <v>0</v>
      </c>
    </row>
    <row r="39" spans="1:8" x14ac:dyDescent="0.35">
      <c r="A39" s="68" t="str">
        <f>Inicio!$E$11</f>
        <v>Ecommerce</v>
      </c>
      <c r="B39" s="69">
        <f>IF($A39="","",SUMIFS(Ventas_SellIn!$L$2:$L$800,Ventas_SellIn!$F$2:$F$800,$A39,Ventas_SellIn!$B$2:$B$800,"&gt;="&amp;$B$29))</f>
        <v>0</v>
      </c>
      <c r="D39" s="70" t="str">
        <f>IF(Clientes_PDV!A11="","",Clientes_PDV!D11)</f>
        <v>Sodexo Casa Matriz</v>
      </c>
      <c r="E39" s="70" t="str">
        <f>IF(Clientes_PDV!A11="","",Clientes_PDV!B11)</f>
        <v>Sodexo</v>
      </c>
      <c r="F39" s="70" t="str">
        <f>IF(Clientes_PDV!A11="","",Clientes_PDV!C11)</f>
        <v>Corporativo</v>
      </c>
      <c r="G39" s="71">
        <f>IF(Clientes_PDV!A11="","",SUMIFS(Ventas_SellIn!$L$2:$L$800,Ventas_SellIn!$D$2:$D$800,Clientes_PDV!A11,Ventas_SellIn!$B$2:$B$800,"&gt;="&amp;$B$29))</f>
        <v>607254</v>
      </c>
      <c r="H39" s="70">
        <f>IF(Clientes_PDV!A11="","",Clientes_PDV!K11)</f>
        <v>0</v>
      </c>
    </row>
    <row r="40" spans="1:8" x14ac:dyDescent="0.35">
      <c r="A40" s="70" t="str">
        <f>Inicio!$E$12</f>
        <v>Corporativo</v>
      </c>
      <c r="B40" s="71">
        <f>IF($A40="","",SUMIFS(Ventas_SellIn!$L$2:$L$800,Ventas_SellIn!$F$2:$F$800,$A40,Ventas_SellIn!$B$2:$B$800,"&gt;="&amp;$B$29))</f>
        <v>607254</v>
      </c>
      <c r="D40" s="68" t="str">
        <f>IF(Clientes_PDV!A12="","",Clientes_PDV!D12)</f>
        <v>Tres Toques Vitacura</v>
      </c>
      <c r="E40" s="68" t="str">
        <f>IF(Clientes_PDV!A12="","",Clientes_PDV!B12)</f>
        <v>Tres Toques</v>
      </c>
      <c r="F40" s="68" t="str">
        <f>IF(Clientes_PDV!A12="","",Clientes_PDV!C12)</f>
        <v>HORECA</v>
      </c>
      <c r="G40" s="69">
        <f>IF(Clientes_PDV!A12="","",SUMIFS(Ventas_SellIn!$L$2:$L$800,Ventas_SellIn!$D$2:$D$800,Clientes_PDV!A12,Ventas_SellIn!$B$2:$B$800,"&gt;="&amp;$B$29))</f>
        <v>108624</v>
      </c>
      <c r="H40" s="68">
        <f>IF(Clientes_PDV!A12="","",Clientes_PDV!K12)</f>
        <v>0</v>
      </c>
    </row>
    <row r="41" spans="1:8" x14ac:dyDescent="0.35">
      <c r="A41" s="68" t="str">
        <f>Inicio!$E$13</f>
        <v>Distribuidor</v>
      </c>
      <c r="B41" s="69">
        <f>IF($A41="","",SUMIFS(Ventas_SellIn!$L$2:$L$800,Ventas_SellIn!$F$2:$F$800,$A41,Ventas_SellIn!$B$2:$B$800,"&gt;="&amp;$B$29))</f>
        <v>0</v>
      </c>
      <c r="D41" s="70" t="str">
        <f>IF(Clientes_PDV!A13="","",Clientes_PDV!D13)</f>
        <v>Mundo del Vino Escuela Militar</v>
      </c>
      <c r="E41" s="70" t="str">
        <f>IF(Clientes_PDV!A13="","",Clientes_PDV!B13)</f>
        <v>Mundo del Vino</v>
      </c>
      <c r="F41" s="70" t="str">
        <f>IF(Clientes_PDV!A13="","",Clientes_PDV!C13)</f>
        <v>Especializadas</v>
      </c>
      <c r="G41" s="71">
        <f>IF(Clientes_PDV!A13="","",SUMIFS(Ventas_SellIn!$L$2:$L$800,Ventas_SellIn!$D$2:$D$800,Clientes_PDV!A13,Ventas_SellIn!$B$2:$B$800,"&gt;="&amp;$B$29))</f>
        <v>410838</v>
      </c>
      <c r="H41" s="70">
        <f>IF(Clientes_PDV!A13="","",Clientes_PDV!K13)</f>
        <v>0</v>
      </c>
    </row>
  </sheetData>
  <mergeCells count="3">
    <mergeCell ref="B12:I12"/>
    <mergeCell ref="D28:G28"/>
    <mergeCell ref="A28:B28"/>
  </mergeCells>
  <conditionalFormatting sqref="I14:I25">
    <cfRule type="expression" dxfId="23" priority="1">
      <formula>I14="Alta"</formula>
    </cfRule>
    <cfRule type="expression" dxfId="22" priority="2">
      <formula>I14="Media"</formula>
    </cfRule>
  </conditionalFormatting>
  <hyperlinks>
    <hyperlink ref="B11" location="Inicio!A11" display="⚙ Ir a Configuración (hoja Inicio)" xr:uid="{00000000-0004-0000-0200-000000000000}"/>
  </hyperlinks>
  <pageMargins left="0.7" right="0.7" top="0.75" bottom="0.75" header="0.3" footer="0.3"/>
  <headerFooter>
    <oddHeader>&amp;C&amp;8 DOCUMENTO CONFIDENCIAL Y RESTRINGIDO  -  Uso interno Nuva Oxi</oddHeader>
    <oddFooter>&amp;LNuva Oxi&amp;RPágina &amp;P de &amp;N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B2245"/>
  </sheetPr>
  <dimension ref="A1:G51"/>
  <sheetViews>
    <sheetView workbookViewId="0">
      <pane ySplit="4" topLeftCell="A23" activePane="bottomLeft" state="frozen"/>
      <selection pane="bottomLeft" activeCell="D3" sqref="D3"/>
    </sheetView>
  </sheetViews>
  <sheetFormatPr baseColWidth="10" defaultColWidth="8.7265625" defaultRowHeight="14.5" x14ac:dyDescent="0.35"/>
  <cols>
    <col min="1" max="1" width="24" customWidth="1"/>
    <col min="2" max="7" width="14" customWidth="1"/>
  </cols>
  <sheetData>
    <row r="1" spans="1:7" ht="18.5" customHeight="1" x14ac:dyDescent="0.45">
      <c r="A1" s="33" t="s">
        <v>187</v>
      </c>
    </row>
    <row r="3" spans="1:7" x14ac:dyDescent="0.35">
      <c r="A3" s="34" t="s">
        <v>188</v>
      </c>
      <c r="B3" s="35">
        <v>2026</v>
      </c>
      <c r="D3" s="21" t="s">
        <v>20</v>
      </c>
    </row>
    <row r="5" spans="1:7" x14ac:dyDescent="0.35">
      <c r="A5" s="95" t="s">
        <v>189</v>
      </c>
      <c r="B5" s="90"/>
      <c r="D5" s="95" t="s">
        <v>190</v>
      </c>
      <c r="E5" s="90"/>
      <c r="F5" s="90"/>
      <c r="G5" s="90"/>
    </row>
    <row r="6" spans="1:7" x14ac:dyDescent="0.35">
      <c r="A6" s="36" t="s">
        <v>163</v>
      </c>
      <c r="B6" s="36" t="s">
        <v>164</v>
      </c>
      <c r="D6" s="36" t="s">
        <v>191</v>
      </c>
      <c r="E6" s="36" t="s">
        <v>192</v>
      </c>
      <c r="F6" s="36" t="s">
        <v>193</v>
      </c>
      <c r="G6" s="36" t="s">
        <v>194</v>
      </c>
    </row>
    <row r="7" spans="1:7" x14ac:dyDescent="0.35">
      <c r="A7" t="s">
        <v>168</v>
      </c>
      <c r="B7" s="37">
        <f>COUNTIF(Clientes_PDV!$I$2:$I$250,"Activo")</f>
        <v>11</v>
      </c>
      <c r="D7" s="68" t="str">
        <f>$B$3&amp;"-"&amp;TEXT(1,"00")</f>
        <v>2026-01</v>
      </c>
      <c r="E7" s="69">
        <f>SUMIFS(Ventas_SellIn!$L$2:$L$800,Ventas_SellIn!$X$2:$X$800,$D7)</f>
        <v>0</v>
      </c>
      <c r="F7" s="72">
        <f>SUMIFS(Ventas_SellIn!$J$2:$J$800,Ventas_SellIn!$X$2:$X$800,$D7)</f>
        <v>0</v>
      </c>
      <c r="G7" s="69">
        <f>SUMIFS(Ventas_SellIn!$R$2:$R$800,Ventas_SellIn!$X$2:$X$800,$D7)</f>
        <v>0</v>
      </c>
    </row>
    <row r="8" spans="1:7" x14ac:dyDescent="0.35">
      <c r="A8" t="s">
        <v>195</v>
      </c>
      <c r="B8" s="37">
        <f ca="1">COUNTIF(Cobertura!$H$2:$H$250,"Vigente")</f>
        <v>6</v>
      </c>
      <c r="D8" s="70" t="str">
        <f>$B$3&amp;"-"&amp;TEXT(2,"00")</f>
        <v>2026-02</v>
      </c>
      <c r="E8" s="71">
        <f>SUMIFS(Ventas_SellIn!$L$2:$L$800,Ventas_SellIn!$X$2:$X$800,$D8)</f>
        <v>0</v>
      </c>
      <c r="F8" s="73">
        <f>SUMIFS(Ventas_SellIn!$J$2:$J$800,Ventas_SellIn!$X$2:$X$800,$D8)</f>
        <v>0</v>
      </c>
      <c r="G8" s="71">
        <f>SUMIFS(Ventas_SellIn!$R$2:$R$800,Ventas_SellIn!$X$2:$X$800,$D8)</f>
        <v>0</v>
      </c>
    </row>
    <row r="9" spans="1:7" x14ac:dyDescent="0.35">
      <c r="A9" t="s">
        <v>196</v>
      </c>
      <c r="B9" s="37">
        <f ca="1">COUNTIF(Cobertura!$H$2:$H$250,"Atrasado")</f>
        <v>6</v>
      </c>
      <c r="D9" s="68" t="str">
        <f>$B$3&amp;"-"&amp;TEXT(3,"00")</f>
        <v>2026-03</v>
      </c>
      <c r="E9" s="69">
        <f>SUMIFS(Ventas_SellIn!$L$2:$L$800,Ventas_SellIn!$X$2:$X$800,$D9)</f>
        <v>0</v>
      </c>
      <c r="F9" s="72">
        <f>SUMIFS(Ventas_SellIn!$J$2:$J$800,Ventas_SellIn!$X$2:$X$800,$D9)</f>
        <v>0</v>
      </c>
      <c r="G9" s="69">
        <f>SUMIFS(Ventas_SellIn!$R$2:$R$800,Ventas_SellIn!$X$2:$X$800,$D9)</f>
        <v>0</v>
      </c>
    </row>
    <row r="10" spans="1:7" x14ac:dyDescent="0.35">
      <c r="A10" t="s">
        <v>197</v>
      </c>
      <c r="B10" s="37">
        <f ca="1">COUNTIF(Cobertura!$H$2:$H$250,"Sin visita")</f>
        <v>0</v>
      </c>
      <c r="D10" s="70" t="str">
        <f>$B$3&amp;"-"&amp;TEXT(4,"00")</f>
        <v>2026-04</v>
      </c>
      <c r="E10" s="71">
        <f>SUMIFS(Ventas_SellIn!$L$2:$L$800,Ventas_SellIn!$X$2:$X$800,$D10)</f>
        <v>0</v>
      </c>
      <c r="F10" s="73">
        <f>SUMIFS(Ventas_SellIn!$J$2:$J$800,Ventas_SellIn!$X$2:$X$800,$D10)</f>
        <v>0</v>
      </c>
      <c r="G10" s="71">
        <f>SUMIFS(Ventas_SellIn!$R$2:$R$800,Ventas_SellIn!$X$2:$X$800,$D10)</f>
        <v>0</v>
      </c>
    </row>
    <row r="11" spans="1:7" x14ac:dyDescent="0.35">
      <c r="A11" t="s">
        <v>198</v>
      </c>
      <c r="B11" s="37">
        <f ca="1">COUNTIF(Cobertura!$K$2:$K$250,"Venta OK")</f>
        <v>1</v>
      </c>
      <c r="D11" s="68" t="str">
        <f>$B$3&amp;"-"&amp;TEXT(5,"00")</f>
        <v>2026-05</v>
      </c>
      <c r="E11" s="69">
        <f>SUMIFS(Ventas_SellIn!$L$2:$L$800,Ventas_SellIn!$X$2:$X$800,$D11)</f>
        <v>2511263</v>
      </c>
      <c r="F11" s="72">
        <f>SUMIFS(Ventas_SellIn!$J$2:$J$800,Ventas_SellIn!$X$2:$X$800,$D11)</f>
        <v>220</v>
      </c>
      <c r="G11" s="69">
        <f>SUMIFS(Ventas_SellIn!$R$2:$R$800,Ventas_SellIn!$X$2:$X$800,$D11)</f>
        <v>1427456.8899999997</v>
      </c>
    </row>
    <row r="12" spans="1:7" x14ac:dyDescent="0.35">
      <c r="A12" t="s">
        <v>199</v>
      </c>
      <c r="B12" s="37">
        <f ca="1">COUNTIF(Cobertura!$K$2:$K$250,"Venta baja")</f>
        <v>11</v>
      </c>
      <c r="D12" s="70" t="str">
        <f>$B$3&amp;"-"&amp;TEXT(6,"00")</f>
        <v>2026-06</v>
      </c>
      <c r="E12" s="71">
        <f>SUMIFS(Ventas_SellIn!$L$2:$L$800,Ventas_SellIn!$X$2:$X$800,$D12)</f>
        <v>3110100</v>
      </c>
      <c r="F12" s="73">
        <f>SUMIFS(Ventas_SellIn!$J$2:$J$800,Ventas_SellIn!$X$2:$X$800,$D12)</f>
        <v>371</v>
      </c>
      <c r="G12" s="71">
        <f>SUMIFS(Ventas_SellIn!$R$2:$R$800,Ventas_SellIn!$X$2:$X$800,$D12)</f>
        <v>1256072.56</v>
      </c>
    </row>
    <row r="13" spans="1:7" x14ac:dyDescent="0.35">
      <c r="A13" t="s">
        <v>200</v>
      </c>
      <c r="B13" s="37">
        <f ca="1">COUNTIF(Cobertura!$K$2:$K$250,"Sin venta")</f>
        <v>0</v>
      </c>
      <c r="D13" s="68" t="str">
        <f>$B$3&amp;"-"&amp;TEXT(7,"00")</f>
        <v>2026-07</v>
      </c>
      <c r="E13" s="69">
        <f>SUMIFS(Ventas_SellIn!$L$2:$L$800,Ventas_SellIn!$X$2:$X$800,$D13)</f>
        <v>273502</v>
      </c>
      <c r="F13" s="72">
        <f>SUMIFS(Ventas_SellIn!$J$2:$J$800,Ventas_SellIn!$X$2:$X$800,$D13)</f>
        <v>38</v>
      </c>
      <c r="G13" s="69">
        <f>SUMIFS(Ventas_SellIn!$R$2:$R$800,Ventas_SellIn!$X$2:$X$800,$D13)</f>
        <v>4512.4799999999996</v>
      </c>
    </row>
    <row r="14" spans="1:7" x14ac:dyDescent="0.35">
      <c r="A14" t="s">
        <v>201</v>
      </c>
      <c r="B14" s="37">
        <f ca="1">COUNTIF(Cobertura!$Q$2:$Q$250,"Alta")</f>
        <v>10</v>
      </c>
      <c r="D14" s="70" t="str">
        <f>$B$3&amp;"-"&amp;TEXT(8,"00")</f>
        <v>2026-08</v>
      </c>
      <c r="E14" s="71">
        <f>SUMIFS(Ventas_SellIn!$L$2:$L$800,Ventas_SellIn!$X$2:$X$800,$D14)</f>
        <v>0</v>
      </c>
      <c r="F14" s="73">
        <f>SUMIFS(Ventas_SellIn!$J$2:$J$800,Ventas_SellIn!$X$2:$X$800,$D14)</f>
        <v>0</v>
      </c>
      <c r="G14" s="71">
        <f>SUMIFS(Ventas_SellIn!$R$2:$R$800,Ventas_SellIn!$X$2:$X$800,$D14)</f>
        <v>0</v>
      </c>
    </row>
    <row r="15" spans="1:7" x14ac:dyDescent="0.35">
      <c r="A15" t="s">
        <v>174</v>
      </c>
      <c r="B15" s="61">
        <f>SUM(Cobertura!$M$2:$M$250)</f>
        <v>2688041.93</v>
      </c>
      <c r="D15" s="68" t="str">
        <f>$B$3&amp;"-"&amp;TEXT(9,"00")</f>
        <v>2026-09</v>
      </c>
      <c r="E15" s="69">
        <f>SUMIFS(Ventas_SellIn!$L$2:$L$800,Ventas_SellIn!$X$2:$X$800,$D15)</f>
        <v>0</v>
      </c>
      <c r="F15" s="72">
        <f>SUMIFS(Ventas_SellIn!$J$2:$J$800,Ventas_SellIn!$X$2:$X$800,$D15)</f>
        <v>0</v>
      </c>
      <c r="G15" s="69">
        <f>SUMIFS(Ventas_SellIn!$R$2:$R$800,Ventas_SellIn!$X$2:$X$800,$D15)</f>
        <v>0</v>
      </c>
    </row>
    <row r="16" spans="1:7" x14ac:dyDescent="0.35">
      <c r="D16" s="70" t="str">
        <f>$B$3&amp;"-"&amp;TEXT(10,"00")</f>
        <v>2026-10</v>
      </c>
      <c r="E16" s="71">
        <f>SUMIFS(Ventas_SellIn!$L$2:$L$800,Ventas_SellIn!$X$2:$X$800,$D16)</f>
        <v>0</v>
      </c>
      <c r="F16" s="73">
        <f>SUMIFS(Ventas_SellIn!$J$2:$J$800,Ventas_SellIn!$X$2:$X$800,$D16)</f>
        <v>0</v>
      </c>
      <c r="G16" s="71">
        <f>SUMIFS(Ventas_SellIn!$R$2:$R$800,Ventas_SellIn!$X$2:$X$800,$D16)</f>
        <v>0</v>
      </c>
    </row>
    <row r="17" spans="1:7" x14ac:dyDescent="0.35">
      <c r="D17" s="68" t="str">
        <f>$B$3&amp;"-"&amp;TEXT(11,"00")</f>
        <v>2026-11</v>
      </c>
      <c r="E17" s="69">
        <f>SUMIFS(Ventas_SellIn!$L$2:$L$800,Ventas_SellIn!$X$2:$X$800,$D17)</f>
        <v>0</v>
      </c>
      <c r="F17" s="72">
        <f>SUMIFS(Ventas_SellIn!$J$2:$J$800,Ventas_SellIn!$X$2:$X$800,$D17)</f>
        <v>0</v>
      </c>
      <c r="G17" s="69">
        <f>SUMIFS(Ventas_SellIn!$R$2:$R$800,Ventas_SellIn!$X$2:$X$800,$D17)</f>
        <v>0</v>
      </c>
    </row>
    <row r="18" spans="1:7" x14ac:dyDescent="0.35">
      <c r="D18" s="70" t="str">
        <f>$B$3&amp;"-"&amp;TEXT(12,"00")</f>
        <v>2026-12</v>
      </c>
      <c r="E18" s="71">
        <f>SUMIFS(Ventas_SellIn!$L$2:$L$800,Ventas_SellIn!$X$2:$X$800,$D18)</f>
        <v>0</v>
      </c>
      <c r="F18" s="73">
        <f>SUMIFS(Ventas_SellIn!$J$2:$J$800,Ventas_SellIn!$X$2:$X$800,$D18)</f>
        <v>0</v>
      </c>
      <c r="G18" s="71">
        <f>SUMIFS(Ventas_SellIn!$R$2:$R$800,Ventas_SellIn!$X$2:$X$800,$D18)</f>
        <v>0</v>
      </c>
    </row>
    <row r="19" spans="1:7" x14ac:dyDescent="0.35">
      <c r="A19" s="38" t="s">
        <v>202</v>
      </c>
      <c r="D19" s="66" t="s">
        <v>203</v>
      </c>
      <c r="E19" s="67">
        <f>SUM(E7:E18)</f>
        <v>5894865</v>
      </c>
      <c r="F19" s="74">
        <f>SUM(F7:F18)</f>
        <v>629</v>
      </c>
      <c r="G19" s="67">
        <f>SUM(G7:G18)</f>
        <v>2688041.9299999997</v>
      </c>
    </row>
    <row r="21" spans="1:7" x14ac:dyDescent="0.35">
      <c r="A21" s="95" t="s">
        <v>204</v>
      </c>
      <c r="B21" s="90"/>
      <c r="C21" s="90"/>
    </row>
    <row r="22" spans="1:7" x14ac:dyDescent="0.35">
      <c r="A22" s="36" t="s">
        <v>2</v>
      </c>
      <c r="B22" s="36" t="s">
        <v>205</v>
      </c>
      <c r="C22" s="36" t="s">
        <v>193</v>
      </c>
    </row>
    <row r="23" spans="1:7" x14ac:dyDescent="0.35">
      <c r="A23" s="68" t="str">
        <f>Inicio!$E$5</f>
        <v>Retail</v>
      </c>
      <c r="B23" s="69">
        <f>IF($A23="","",SUMIFS(Ventas_SellIn!$L$2:$L$800,Ventas_SellIn!$F$2:$F$800,$A23))</f>
        <v>1006642</v>
      </c>
      <c r="C23" s="72">
        <f>IF($A23="","",SUMIFS(Ventas_SellIn!$J$2:$J$800,Ventas_SellIn!$F$2:$F$800,$A23))</f>
        <v>102</v>
      </c>
    </row>
    <row r="24" spans="1:7" x14ac:dyDescent="0.35">
      <c r="A24" s="70" t="str">
        <f>Inicio!$E$6</f>
        <v>Conveniencia</v>
      </c>
      <c r="B24" s="71">
        <f>IF($A24="","",SUMIFS(Ventas_SellIn!$L$2:$L$800,Ventas_SellIn!$F$2:$F$800,$A24))</f>
        <v>1713268</v>
      </c>
      <c r="C24" s="73">
        <f>IF($A24="","",SUMIFS(Ventas_SellIn!$J$2:$J$800,Ventas_SellIn!$F$2:$F$800,$A24))</f>
        <v>143</v>
      </c>
    </row>
    <row r="25" spans="1:7" x14ac:dyDescent="0.35">
      <c r="A25" s="68" t="str">
        <f>Inicio!$E$7</f>
        <v>Farmacias</v>
      </c>
      <c r="B25" s="69">
        <f>IF($A25="","",SUMIFS(Ventas_SellIn!$L$2:$L$800,Ventas_SellIn!$F$2:$F$800,$A25))</f>
        <v>723604</v>
      </c>
      <c r="C25" s="72">
        <f>IF($A25="","",SUMIFS(Ventas_SellIn!$J$2:$J$800,Ventas_SellIn!$F$2:$F$800,$A25))</f>
        <v>86</v>
      </c>
    </row>
    <row r="26" spans="1:7" x14ac:dyDescent="0.35">
      <c r="A26" s="70" t="str">
        <f>Inicio!$E$8</f>
        <v>Especializadas</v>
      </c>
      <c r="B26" s="71">
        <f>IF($A26="","",SUMIFS(Ventas_SellIn!$L$2:$L$800,Ventas_SellIn!$F$2:$F$800,$A26))</f>
        <v>1735473</v>
      </c>
      <c r="C26" s="73">
        <f>IF($A26="","",SUMIFS(Ventas_SellIn!$J$2:$J$800,Ventas_SellIn!$F$2:$F$800,$A26))</f>
        <v>224</v>
      </c>
    </row>
    <row r="27" spans="1:7" x14ac:dyDescent="0.35">
      <c r="A27" s="68" t="str">
        <f>Inicio!$E$9</f>
        <v>HORECA</v>
      </c>
      <c r="B27" s="69">
        <f>IF($A27="","",SUMIFS(Ventas_SellIn!$L$2:$L$800,Ventas_SellIn!$F$2:$F$800,$A27))</f>
        <v>108624</v>
      </c>
      <c r="C27" s="72">
        <f>IF($A27="","",SUMIFS(Ventas_SellIn!$J$2:$J$800,Ventas_SellIn!$F$2:$F$800,$A27))</f>
        <v>28</v>
      </c>
    </row>
    <row r="28" spans="1:7" x14ac:dyDescent="0.35">
      <c r="A28" s="70" t="str">
        <f>Inicio!$E$10</f>
        <v>Tradicional</v>
      </c>
      <c r="B28" s="71">
        <f>IF($A28="","",SUMIFS(Ventas_SellIn!$L$2:$L$800,Ventas_SellIn!$F$2:$F$800,$A28))</f>
        <v>0</v>
      </c>
      <c r="C28" s="73">
        <f>IF($A28="","",SUMIFS(Ventas_SellIn!$J$2:$J$800,Ventas_SellIn!$F$2:$F$800,$A28))</f>
        <v>0</v>
      </c>
    </row>
    <row r="29" spans="1:7" x14ac:dyDescent="0.35">
      <c r="A29" s="68" t="str">
        <f>Inicio!$E$11</f>
        <v>Ecommerce</v>
      </c>
      <c r="B29" s="69">
        <f>IF($A29="","",SUMIFS(Ventas_SellIn!$L$2:$L$800,Ventas_SellIn!$F$2:$F$800,$A29))</f>
        <v>0</v>
      </c>
      <c r="C29" s="72">
        <f>IF($A29="","",SUMIFS(Ventas_SellIn!$J$2:$J$800,Ventas_SellIn!$F$2:$F$800,$A29))</f>
        <v>0</v>
      </c>
    </row>
    <row r="30" spans="1:7" x14ac:dyDescent="0.35">
      <c r="A30" s="70" t="str">
        <f>Inicio!$E$12</f>
        <v>Corporativo</v>
      </c>
      <c r="B30" s="71">
        <f>IF($A30="","",SUMIFS(Ventas_SellIn!$L$2:$L$800,Ventas_SellIn!$F$2:$F$800,$A30))</f>
        <v>607254</v>
      </c>
      <c r="C30" s="73">
        <f>IF($A30="","",SUMIFS(Ventas_SellIn!$J$2:$J$800,Ventas_SellIn!$F$2:$F$800,$A30))</f>
        <v>46</v>
      </c>
    </row>
    <row r="31" spans="1:7" x14ac:dyDescent="0.35">
      <c r="A31" s="68" t="str">
        <f>Inicio!$E$13</f>
        <v>Distribuidor</v>
      </c>
      <c r="B31" s="69">
        <f>IF($A31="","",SUMIFS(Ventas_SellIn!$L$2:$L$800,Ventas_SellIn!$F$2:$F$800,$A31))</f>
        <v>0</v>
      </c>
      <c r="C31" s="72">
        <f>IF($A31="","",SUMIFS(Ventas_SellIn!$J$2:$J$800,Ventas_SellIn!$F$2:$F$800,$A31))</f>
        <v>0</v>
      </c>
    </row>
    <row r="32" spans="1:7" x14ac:dyDescent="0.35">
      <c r="A32" s="38" t="s">
        <v>206</v>
      </c>
    </row>
    <row r="33" spans="1:4" x14ac:dyDescent="0.35">
      <c r="A33" s="95" t="s">
        <v>207</v>
      </c>
      <c r="B33" s="90"/>
      <c r="C33" s="90"/>
    </row>
    <row r="34" spans="1:4" x14ac:dyDescent="0.35">
      <c r="A34" s="34" t="s">
        <v>183</v>
      </c>
      <c r="B34" s="45">
        <v>46023</v>
      </c>
      <c r="C34" s="34" t="s">
        <v>208</v>
      </c>
      <c r="D34" s="45">
        <v>46387</v>
      </c>
    </row>
    <row r="35" spans="1:4" x14ac:dyDescent="0.35">
      <c r="A35" s="46" t="s">
        <v>209</v>
      </c>
      <c r="B35" s="46" t="s">
        <v>164</v>
      </c>
    </row>
    <row r="36" spans="1:4" x14ac:dyDescent="0.35">
      <c r="A36" s="68" t="s">
        <v>210</v>
      </c>
      <c r="B36" s="69">
        <f>SUMIFS(Ventas_SellIn!$L$2:$L$800,Ventas_SellIn!$B$2:$B$800,"&gt;="&amp;$B$34,Ventas_SellIn!$B$2:$B$800,"&lt;="&amp;$D$34)</f>
        <v>5894865</v>
      </c>
    </row>
    <row r="37" spans="1:4" x14ac:dyDescent="0.35">
      <c r="A37" s="70" t="s">
        <v>211</v>
      </c>
      <c r="B37" s="73">
        <f>SUMIFS(Ventas_SellIn!$J$2:$J$800,Ventas_SellIn!$B$2:$B$800,"&gt;="&amp;$B$34,Ventas_SellIn!$B$2:$B$800,"&lt;="&amp;$D$34)</f>
        <v>629</v>
      </c>
    </row>
    <row r="38" spans="1:4" x14ac:dyDescent="0.35">
      <c r="A38" s="68" t="s">
        <v>212</v>
      </c>
      <c r="B38" s="72">
        <f>COUNTIFS(Ventas_SellIn!$B$2:$B$800,"&gt;="&amp;$B$34,Ventas_SellIn!$B$2:$B$800,"&lt;="&amp;$D$34,Ventas_SellIn!$A$2:$A$800,"&lt;&gt;")</f>
        <v>45</v>
      </c>
    </row>
    <row r="39" spans="1:4" x14ac:dyDescent="0.35">
      <c r="A39" s="70" t="s">
        <v>213</v>
      </c>
      <c r="B39" s="71">
        <f>SUMIFS(Ventas_SellIn!$R$2:$R$800,Ventas_SellIn!$B$2:$B$800,"&gt;="&amp;$B$34,Ventas_SellIn!$B$2:$B$800,"&lt;="&amp;$D$34)</f>
        <v>2688041.9299999997</v>
      </c>
    </row>
    <row r="41" spans="1:4" x14ac:dyDescent="0.35">
      <c r="A41" s="95" t="s">
        <v>214</v>
      </c>
      <c r="B41" s="90"/>
      <c r="C41" s="90"/>
    </row>
    <row r="42" spans="1:4" x14ac:dyDescent="0.35">
      <c r="A42" s="46" t="s">
        <v>2</v>
      </c>
      <c r="B42" s="46" t="s">
        <v>205</v>
      </c>
      <c r="C42" s="46" t="s">
        <v>193</v>
      </c>
    </row>
    <row r="43" spans="1:4" x14ac:dyDescent="0.35">
      <c r="A43" s="68" t="str">
        <f>Inicio!$E$5</f>
        <v>Retail</v>
      </c>
      <c r="B43" s="69">
        <f>IF($A43="","",SUMIFS(Ventas_SellIn!$L$2:$L$800,Ventas_SellIn!$F$2:$F$800,$A43,Ventas_SellIn!$B$2:$B$800,"&gt;="&amp;$B$34,Ventas_SellIn!$B$2:$B$800,"&lt;="&amp;$D$34))</f>
        <v>1006642</v>
      </c>
      <c r="C43" s="72">
        <f>IF($A43="","",SUMIFS(Ventas_SellIn!$J$2:$J$800,Ventas_SellIn!$F$2:$F$800,$A43,Ventas_SellIn!$B$2:$B$800,"&gt;="&amp;$B$34,Ventas_SellIn!$B$2:$B$800,"&lt;="&amp;$D$34))</f>
        <v>102</v>
      </c>
    </row>
    <row r="44" spans="1:4" x14ac:dyDescent="0.35">
      <c r="A44" s="70" t="str">
        <f>Inicio!$E$6</f>
        <v>Conveniencia</v>
      </c>
      <c r="B44" s="71">
        <f>IF($A44="","",SUMIFS(Ventas_SellIn!$L$2:$L$800,Ventas_SellIn!$F$2:$F$800,$A44,Ventas_SellIn!$B$2:$B$800,"&gt;="&amp;$B$34,Ventas_SellIn!$B$2:$B$800,"&lt;="&amp;$D$34))</f>
        <v>1713268</v>
      </c>
      <c r="C44" s="73">
        <f>IF($A44="","",SUMIFS(Ventas_SellIn!$J$2:$J$800,Ventas_SellIn!$F$2:$F$800,$A44,Ventas_SellIn!$B$2:$B$800,"&gt;="&amp;$B$34,Ventas_SellIn!$B$2:$B$800,"&lt;="&amp;$D$34))</f>
        <v>143</v>
      </c>
    </row>
    <row r="45" spans="1:4" x14ac:dyDescent="0.35">
      <c r="A45" s="68" t="str">
        <f>Inicio!$E$7</f>
        <v>Farmacias</v>
      </c>
      <c r="B45" s="69">
        <f>IF($A45="","",SUMIFS(Ventas_SellIn!$L$2:$L$800,Ventas_SellIn!$F$2:$F$800,$A45,Ventas_SellIn!$B$2:$B$800,"&gt;="&amp;$B$34,Ventas_SellIn!$B$2:$B$800,"&lt;="&amp;$D$34))</f>
        <v>723604</v>
      </c>
      <c r="C45" s="72">
        <f>IF($A45="","",SUMIFS(Ventas_SellIn!$J$2:$J$800,Ventas_SellIn!$F$2:$F$800,$A45,Ventas_SellIn!$B$2:$B$800,"&gt;="&amp;$B$34,Ventas_SellIn!$B$2:$B$800,"&lt;="&amp;$D$34))</f>
        <v>86</v>
      </c>
    </row>
    <row r="46" spans="1:4" x14ac:dyDescent="0.35">
      <c r="A46" s="70" t="str">
        <f>Inicio!$E$8</f>
        <v>Especializadas</v>
      </c>
      <c r="B46" s="71">
        <f>IF($A46="","",SUMIFS(Ventas_SellIn!$L$2:$L$800,Ventas_SellIn!$F$2:$F$800,$A46,Ventas_SellIn!$B$2:$B$800,"&gt;="&amp;$B$34,Ventas_SellIn!$B$2:$B$800,"&lt;="&amp;$D$34))</f>
        <v>1735473</v>
      </c>
      <c r="C46" s="73">
        <f>IF($A46="","",SUMIFS(Ventas_SellIn!$J$2:$J$800,Ventas_SellIn!$F$2:$F$800,$A46,Ventas_SellIn!$B$2:$B$800,"&gt;="&amp;$B$34,Ventas_SellIn!$B$2:$B$800,"&lt;="&amp;$D$34))</f>
        <v>224</v>
      </c>
    </row>
    <row r="47" spans="1:4" x14ac:dyDescent="0.35">
      <c r="A47" s="68" t="str">
        <f>Inicio!$E$9</f>
        <v>HORECA</v>
      </c>
      <c r="B47" s="69">
        <f>IF($A47="","",SUMIFS(Ventas_SellIn!$L$2:$L$800,Ventas_SellIn!$F$2:$F$800,$A47,Ventas_SellIn!$B$2:$B$800,"&gt;="&amp;$B$34,Ventas_SellIn!$B$2:$B$800,"&lt;="&amp;$D$34))</f>
        <v>108624</v>
      </c>
      <c r="C47" s="72">
        <f>IF($A47="","",SUMIFS(Ventas_SellIn!$J$2:$J$800,Ventas_SellIn!$F$2:$F$800,$A47,Ventas_SellIn!$B$2:$B$800,"&gt;="&amp;$B$34,Ventas_SellIn!$B$2:$B$800,"&lt;="&amp;$D$34))</f>
        <v>28</v>
      </c>
    </row>
    <row r="48" spans="1:4" x14ac:dyDescent="0.35">
      <c r="A48" s="70" t="str">
        <f>Inicio!$E$10</f>
        <v>Tradicional</v>
      </c>
      <c r="B48" s="71">
        <f>IF($A48="","",SUMIFS(Ventas_SellIn!$L$2:$L$800,Ventas_SellIn!$F$2:$F$800,$A48,Ventas_SellIn!$B$2:$B$800,"&gt;="&amp;$B$34,Ventas_SellIn!$B$2:$B$800,"&lt;="&amp;$D$34))</f>
        <v>0</v>
      </c>
      <c r="C48" s="73">
        <f>IF($A48="","",SUMIFS(Ventas_SellIn!$J$2:$J$800,Ventas_SellIn!$F$2:$F$800,$A48,Ventas_SellIn!$B$2:$B$800,"&gt;="&amp;$B$34,Ventas_SellIn!$B$2:$B$800,"&lt;="&amp;$D$34))</f>
        <v>0</v>
      </c>
    </row>
    <row r="49" spans="1:3" x14ac:dyDescent="0.35">
      <c r="A49" s="68" t="str">
        <f>Inicio!$E$11</f>
        <v>Ecommerce</v>
      </c>
      <c r="B49" s="69">
        <f>IF($A49="","",SUMIFS(Ventas_SellIn!$L$2:$L$800,Ventas_SellIn!$F$2:$F$800,$A49,Ventas_SellIn!$B$2:$B$800,"&gt;="&amp;$B$34,Ventas_SellIn!$B$2:$B$800,"&lt;="&amp;$D$34))</f>
        <v>0</v>
      </c>
      <c r="C49" s="72">
        <f>IF($A49="","",SUMIFS(Ventas_SellIn!$J$2:$J$800,Ventas_SellIn!$F$2:$F$800,$A49,Ventas_SellIn!$B$2:$B$800,"&gt;="&amp;$B$34,Ventas_SellIn!$B$2:$B$800,"&lt;="&amp;$D$34))</f>
        <v>0</v>
      </c>
    </row>
    <row r="50" spans="1:3" x14ac:dyDescent="0.35">
      <c r="A50" s="70" t="str">
        <f>Inicio!$E$12</f>
        <v>Corporativo</v>
      </c>
      <c r="B50" s="71">
        <f>IF($A50="","",SUMIFS(Ventas_SellIn!$L$2:$L$800,Ventas_SellIn!$F$2:$F$800,$A50,Ventas_SellIn!$B$2:$B$800,"&gt;="&amp;$B$34,Ventas_SellIn!$B$2:$B$800,"&lt;="&amp;$D$34))</f>
        <v>607254</v>
      </c>
      <c r="C50" s="73">
        <f>IF($A50="","",SUMIFS(Ventas_SellIn!$J$2:$J$800,Ventas_SellIn!$F$2:$F$800,$A50,Ventas_SellIn!$B$2:$B$800,"&gt;="&amp;$B$34,Ventas_SellIn!$B$2:$B$800,"&lt;="&amp;$D$34))</f>
        <v>46</v>
      </c>
    </row>
    <row r="51" spans="1:3" x14ac:dyDescent="0.35">
      <c r="A51" s="68" t="str">
        <f>Inicio!$E$13</f>
        <v>Distribuidor</v>
      </c>
      <c r="B51" s="69">
        <f>IF($A51="","",SUMIFS(Ventas_SellIn!$L$2:$L$800,Ventas_SellIn!$F$2:$F$800,$A51,Ventas_SellIn!$B$2:$B$800,"&gt;="&amp;$B$34,Ventas_SellIn!$B$2:$B$800,"&lt;="&amp;$D$34))</f>
        <v>0</v>
      </c>
      <c r="C51" s="72">
        <f>IF($A51="","",SUMIFS(Ventas_SellIn!$J$2:$J$800,Ventas_SellIn!$F$2:$F$800,$A51,Ventas_SellIn!$B$2:$B$800,"&gt;="&amp;$B$34,Ventas_SellIn!$B$2:$B$800,"&lt;="&amp;$D$34))</f>
        <v>0</v>
      </c>
    </row>
  </sheetData>
  <mergeCells count="5">
    <mergeCell ref="A41:C41"/>
    <mergeCell ref="A33:C33"/>
    <mergeCell ref="A5:B5"/>
    <mergeCell ref="A21:C21"/>
    <mergeCell ref="D5:G5"/>
  </mergeCells>
  <hyperlinks>
    <hyperlink ref="D3" location="Inicio!A11" display="⚙ Configuración" xr:uid="{00000000-0004-0000-0300-000000000000}"/>
  </hyperlinks>
  <pageMargins left="0.75" right="0.75" top="1" bottom="1" header="0.5" footer="0.5"/>
  <headerFooter>
    <oddHeader>&amp;C&amp;8 DOCUMENTO CONFIDENCIAL Y RESTRINGIDO  -  Uso interno Nuva Oxi</oddHeader>
    <oddFooter>&amp;LNuva Oxi&amp;RPágina &amp;P de &amp;N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A3B61"/>
  </sheetPr>
  <dimension ref="A1:K81"/>
  <sheetViews>
    <sheetView tabSelected="1" zoomScale="85" zoomScaleNormal="85" workbookViewId="0">
      <pane ySplit="1" topLeftCell="A2" activePane="bottomLeft" state="frozen"/>
      <selection pane="bottomLeft" activeCell="I42" sqref="I42"/>
    </sheetView>
  </sheetViews>
  <sheetFormatPr baseColWidth="10" defaultColWidth="8.7265625" defaultRowHeight="14.5" outlineLevelCol="1" x14ac:dyDescent="0.35"/>
  <cols>
    <col min="1" max="1" width="24" customWidth="1"/>
    <col min="2" max="2" width="26" hidden="1" customWidth="1" outlineLevel="1"/>
    <col min="3" max="3" width="14" customWidth="1" collapsed="1"/>
    <col min="4" max="4" width="11" hidden="1" customWidth="1" outlineLevel="1"/>
    <col min="5" max="5" width="14" customWidth="1" collapsed="1"/>
    <col min="6" max="6" width="14" customWidth="1"/>
    <col min="7" max="7" width="13" hidden="1" customWidth="1" outlineLevel="1"/>
    <col min="8" max="8" width="15" customWidth="1" collapsed="1"/>
    <col min="9" max="9" width="14" customWidth="1"/>
  </cols>
  <sheetData>
    <row r="1" spans="1:11" x14ac:dyDescent="0.35">
      <c r="A1" s="36" t="s">
        <v>215</v>
      </c>
      <c r="B1" s="36" t="s">
        <v>216</v>
      </c>
      <c r="C1" s="36" t="s">
        <v>217</v>
      </c>
      <c r="D1" s="36" t="s">
        <v>218</v>
      </c>
      <c r="E1" s="36" t="s">
        <v>219</v>
      </c>
      <c r="F1" s="36" t="s">
        <v>220</v>
      </c>
      <c r="G1" s="36" t="s">
        <v>221</v>
      </c>
      <c r="H1" s="36" t="s">
        <v>222</v>
      </c>
      <c r="I1" s="36" t="s">
        <v>223</v>
      </c>
      <c r="K1" s="21" t="s">
        <v>20</v>
      </c>
    </row>
    <row r="2" spans="1:11" x14ac:dyDescent="0.35">
      <c r="A2" s="37" t="str">
        <f>IF(Maestro_SKU!A2="","",Maestro_SKU!A2)</f>
        <v>NUVA-BAR-BM-U-01</v>
      </c>
      <c r="B2" s="37" t="str">
        <f>IF(A2="","",IFERROR(VLOOKUP(A2,Maestro_SKU!$A$2:$P$500,2,FALSE),""))</f>
        <v>Barra Berry Mix unidad</v>
      </c>
      <c r="C2" s="62">
        <f ca="1">IF(A2="","",SUMIFS(Ventas_SellIn!$Y$2:$Y$800,Ventas_SellIn!$H$2:$H$800,A2,Ventas_SellIn!$B$2:$B$800,"&gt;="&amp;TODAY()-cfg_VentanaDemanda))</f>
        <v>32</v>
      </c>
      <c r="D2" s="63">
        <f t="shared" ref="D2:D33" ca="1" si="0">IF(A2="","",C2/cfg_VentanaDemanda)</f>
        <v>1.0666666666666667</v>
      </c>
      <c r="E2" s="62">
        <f t="shared" ref="E2:E33" ca="1" si="1">IF(A2="","",ROUND(D2*cfg_DiasCobertura*(1+cfg_PctSeguridad),0))</f>
        <v>38</v>
      </c>
      <c r="F2" s="98">
        <v>20</v>
      </c>
      <c r="G2" s="62">
        <f>IF(A2="","",IF(F2="",0,F2*IFERROR(VLOOKUP(A2,Maestro_SKU!$A$2:$P$500,12,FALSE),1)))</f>
        <v>20</v>
      </c>
      <c r="H2" s="62">
        <f ca="1">IF(A2="","",MAX(E2-G2,0))</f>
        <v>18</v>
      </c>
      <c r="I2" s="37" t="str">
        <f ca="1">IF(A2="","",IF(F2="","Falta bodega",IF(G2&gt;=E2,"OK",IF(G2&gt;=E2*0.6,"Ajustado","Reponer"))))</f>
        <v>Reponer</v>
      </c>
    </row>
    <row r="3" spans="1:11" x14ac:dyDescent="0.35">
      <c r="A3" s="37" t="str">
        <f>IF(Maestro_SKU!A3="","",Maestro_SKU!A3)</f>
        <v>NUVA-BAR-PB-U-01</v>
      </c>
      <c r="B3" s="37" t="str">
        <f>IF(A3="","",IFERROR(VLOOKUP(A3,Maestro_SKU!$A$2:$P$500,2,FALSE),""))</f>
        <v>Barra Peanut Boost unidad</v>
      </c>
      <c r="C3" s="62">
        <f ca="1">IF(A3="","",SUMIFS(Ventas_SellIn!$Y$2:$Y$800,Ventas_SellIn!$H$2:$H$800,A3,Ventas_SellIn!$B$2:$B$800,"&gt;="&amp;TODAY()-cfg_VentanaDemanda))</f>
        <v>32</v>
      </c>
      <c r="D3" s="63">
        <f t="shared" ca="1" si="0"/>
        <v>1.0666666666666667</v>
      </c>
      <c r="E3" s="62">
        <f t="shared" ca="1" si="1"/>
        <v>38</v>
      </c>
      <c r="F3" s="98">
        <v>20</v>
      </c>
      <c r="G3" s="62">
        <f>IF(A3="","",IF(F3="",0,F3*IFERROR(VLOOKUP(A3,Maestro_SKU!$A$2:$P$500,12,FALSE),1)))</f>
        <v>20</v>
      </c>
      <c r="H3" s="62">
        <f t="shared" ref="H2:H33" ca="1" si="2">IF(A3="","",MAX(E3-G3,0))</f>
        <v>18</v>
      </c>
      <c r="I3" s="37" t="str">
        <f ca="1">IF(A3="","",IF(F3="","Falta bodega",IF(G3&gt;=E3,"OK",IF(G3&gt;=E3*0.6,"Ajustado","Reponer"))))</f>
        <v>Reponer</v>
      </c>
    </row>
    <row r="4" spans="1:11" x14ac:dyDescent="0.35">
      <c r="A4" s="37" t="str">
        <f>IF(Maestro_SKU!A4="","",Maestro_SKU!A4)</f>
        <v>NUVA-BAR-CC-U-01</v>
      </c>
      <c r="B4" s="37" t="str">
        <f>IF(A4="","",IFERROR(VLOOKUP(A4,Maestro_SKU!$A$2:$P$500,2,FALSE),""))</f>
        <v>Barra Cacao Crispy unidad</v>
      </c>
      <c r="C4" s="62">
        <f ca="1">IF(A4="","",SUMIFS(Ventas_SellIn!$Y$2:$Y$800,Ventas_SellIn!$H$2:$H$800,A4,Ventas_SellIn!$B$2:$B$800,"&gt;="&amp;TODAY()-cfg_VentanaDemanda))</f>
        <v>32</v>
      </c>
      <c r="D4" s="63">
        <f t="shared" ca="1" si="0"/>
        <v>1.0666666666666667</v>
      </c>
      <c r="E4" s="62">
        <f t="shared" ca="1" si="1"/>
        <v>38</v>
      </c>
      <c r="F4" s="98">
        <v>20</v>
      </c>
      <c r="G4" s="62">
        <f>IF(A4="","",IF(F4="",0,F4*IFERROR(VLOOKUP(A4,Maestro_SKU!$A$2:$P$500,12,FALSE),1)))</f>
        <v>20</v>
      </c>
      <c r="H4" s="62">
        <f t="shared" ca="1" si="2"/>
        <v>18</v>
      </c>
      <c r="I4" s="37" t="str">
        <f t="shared" ref="I2:I33" ca="1" si="3">IF(A4="","",IF(F4="","Falta bodega",IF(G4&gt;=E4,"OK",IF(G4&gt;=E4*0.6,"Ajustado","Reponer"))))</f>
        <v>Reponer</v>
      </c>
    </row>
    <row r="5" spans="1:11" x14ac:dyDescent="0.35">
      <c r="A5" s="37" t="str">
        <f>IF(Maestro_SKU!A5="","",Maestro_SKU!A5)</f>
        <v>NUVA-BAR-BM-BX-04</v>
      </c>
      <c r="B5" s="37" t="str">
        <f>IF(A5="","",IFERROR(VLOOKUP(A5,Maestro_SKU!$A$2:$P$500,2,FALSE),""))</f>
        <v>Estuche Berry Mix 4 unidades</v>
      </c>
      <c r="C5" s="62">
        <f ca="1">IF(A5="","",SUMIFS(Ventas_SellIn!$Y$2:$Y$800,Ventas_SellIn!$H$2:$H$800,A5,Ventas_SellIn!$B$2:$B$800,"&gt;="&amp;TODAY()-cfg_VentanaDemanda))</f>
        <v>80</v>
      </c>
      <c r="D5" s="63">
        <f t="shared" ca="1" si="0"/>
        <v>2.6666666666666665</v>
      </c>
      <c r="E5" s="62">
        <f t="shared" ca="1" si="1"/>
        <v>96</v>
      </c>
      <c r="F5" s="98">
        <v>20</v>
      </c>
      <c r="G5" s="62">
        <f>IF(A5="","",IF(F5="",0,F5*IFERROR(VLOOKUP(A5,Maestro_SKU!$A$2:$P$500,12,FALSE),1)))</f>
        <v>80</v>
      </c>
      <c r="H5" s="62">
        <f t="shared" ca="1" si="2"/>
        <v>16</v>
      </c>
      <c r="I5" s="37" t="str">
        <f t="shared" ca="1" si="3"/>
        <v>Ajustado</v>
      </c>
    </row>
    <row r="6" spans="1:11" x14ac:dyDescent="0.35">
      <c r="A6" s="37" t="str">
        <f>IF(Maestro_SKU!A6="","",Maestro_SKU!A6)</f>
        <v>NUVA-BAR-PB-BX-04</v>
      </c>
      <c r="B6" s="37" t="str">
        <f>IF(A6="","",IFERROR(VLOOKUP(A6,Maestro_SKU!$A$2:$P$500,2,FALSE),""))</f>
        <v>Estuche Peanut Boost 4 unidades</v>
      </c>
      <c r="C6" s="62">
        <f ca="1">IF(A6="","",SUMIFS(Ventas_SellIn!$Y$2:$Y$800,Ventas_SellIn!$H$2:$H$800,A6,Ventas_SellIn!$B$2:$B$800,"&gt;="&amp;TODAY()-cfg_VentanaDemanda))</f>
        <v>76</v>
      </c>
      <c r="D6" s="63">
        <f t="shared" ca="1" si="0"/>
        <v>2.5333333333333332</v>
      </c>
      <c r="E6" s="62">
        <f t="shared" ca="1" si="1"/>
        <v>91</v>
      </c>
      <c r="F6" s="98">
        <v>20</v>
      </c>
      <c r="G6" s="62">
        <f>IF(A6="","",IF(F6="",0,F6*IFERROR(VLOOKUP(A6,Maestro_SKU!$A$2:$P$500,12,FALSE),1)))</f>
        <v>80</v>
      </c>
      <c r="H6" s="62">
        <f t="shared" ca="1" si="2"/>
        <v>11</v>
      </c>
      <c r="I6" s="37" t="str">
        <f t="shared" ca="1" si="3"/>
        <v>Ajustado</v>
      </c>
    </row>
    <row r="7" spans="1:11" x14ac:dyDescent="0.35">
      <c r="A7" s="37" t="str">
        <f>IF(Maestro_SKU!A7="","",Maestro_SKU!A7)</f>
        <v>NUVA-BAR-CC-BX-04</v>
      </c>
      <c r="B7" s="37" t="str">
        <f>IF(A7="","",IFERROR(VLOOKUP(A7,Maestro_SKU!$A$2:$P$500,2,FALSE),""))</f>
        <v>Estuche Cacao Crispy 4 unidades</v>
      </c>
      <c r="C7" s="62">
        <f ca="1">IF(A7="","",SUMIFS(Ventas_SellIn!$Y$2:$Y$800,Ventas_SellIn!$H$2:$H$800,A7,Ventas_SellIn!$B$2:$B$800,"&gt;="&amp;TODAY()-cfg_VentanaDemanda))</f>
        <v>160</v>
      </c>
      <c r="D7" s="63">
        <f t="shared" ca="1" si="0"/>
        <v>5.333333333333333</v>
      </c>
      <c r="E7" s="62">
        <f t="shared" ca="1" si="1"/>
        <v>192</v>
      </c>
      <c r="F7" s="98">
        <v>100</v>
      </c>
      <c r="G7" s="62">
        <f>IF(A7="","",IF(F7="",0,F7*IFERROR(VLOOKUP(A7,Maestro_SKU!$A$2:$P$500,12,FALSE),1)))</f>
        <v>400</v>
      </c>
      <c r="H7" s="62">
        <f t="shared" ca="1" si="2"/>
        <v>0</v>
      </c>
      <c r="I7" s="37" t="str">
        <f t="shared" ca="1" si="3"/>
        <v>OK</v>
      </c>
    </row>
    <row r="8" spans="1:11" x14ac:dyDescent="0.35">
      <c r="A8" s="37" t="str">
        <f>IF(Maestro_SKU!A8="","",Maestro_SKU!A8)</f>
        <v>NUVA-BAR-BM-CS-24</v>
      </c>
      <c r="B8" s="37" t="str">
        <f>IF(A8="","",IFERROR(VLOOKUP(A8,Maestro_SKU!$A$2:$P$500,2,FALSE),""))</f>
        <v>Caja master Berry Mix 24 unidades</v>
      </c>
      <c r="C8" s="62">
        <f ca="1">IF(A8="","",SUMIFS(Ventas_SellIn!$Y$2:$Y$800,Ventas_SellIn!$H$2:$H$800,A8,Ventas_SellIn!$B$2:$B$800,"&gt;="&amp;TODAY()-cfg_VentanaDemanda))</f>
        <v>1056</v>
      </c>
      <c r="D8" s="63">
        <f t="shared" ca="1" si="0"/>
        <v>35.200000000000003</v>
      </c>
      <c r="E8" s="62">
        <f t="shared" ca="1" si="1"/>
        <v>1267</v>
      </c>
      <c r="F8" s="98">
        <v>50</v>
      </c>
      <c r="G8" s="62">
        <f>IF(A8="","",IF(F8="",0,F8*IFERROR(VLOOKUP(A8,Maestro_SKU!$A$2:$P$500,12,FALSE),1)))</f>
        <v>1200</v>
      </c>
      <c r="H8" s="62">
        <f t="shared" ca="1" si="2"/>
        <v>67</v>
      </c>
      <c r="I8" s="37" t="str">
        <f t="shared" ca="1" si="3"/>
        <v>Ajustado</v>
      </c>
    </row>
    <row r="9" spans="1:11" x14ac:dyDescent="0.35">
      <c r="A9" s="37" t="str">
        <f>IF(Maestro_SKU!A9="","",Maestro_SKU!A9)</f>
        <v>NUVA-BAR-PB-CS-24</v>
      </c>
      <c r="B9" s="37" t="str">
        <f>IF(A9="","",IFERROR(VLOOKUP(A9,Maestro_SKU!$A$2:$P$500,2,FALSE),""))</f>
        <v>Caja master Peanut Boost 24 unidades</v>
      </c>
      <c r="C9" s="62">
        <f ca="1">IF(A9="","",SUMIFS(Ventas_SellIn!$Y$2:$Y$800,Ventas_SellIn!$H$2:$H$800,A9,Ventas_SellIn!$B$2:$B$800,"&gt;="&amp;TODAY()-cfg_VentanaDemanda))</f>
        <v>1200</v>
      </c>
      <c r="D9" s="63">
        <f t="shared" ca="1" si="0"/>
        <v>40</v>
      </c>
      <c r="E9" s="62">
        <f t="shared" ca="1" si="1"/>
        <v>1440</v>
      </c>
      <c r="F9" s="98">
        <v>20</v>
      </c>
      <c r="G9" s="62">
        <f>IF(A9="","",IF(F9="",0,F9*IFERROR(VLOOKUP(A9,Maestro_SKU!$A$2:$P$500,12,FALSE),1)))</f>
        <v>480</v>
      </c>
      <c r="H9" s="62">
        <f t="shared" ca="1" si="2"/>
        <v>960</v>
      </c>
      <c r="I9" s="37" t="str">
        <f t="shared" ca="1" si="3"/>
        <v>Reponer</v>
      </c>
    </row>
    <row r="10" spans="1:11" x14ac:dyDescent="0.35">
      <c r="A10" s="37" t="str">
        <f>IF(Maestro_SKU!A10="","",Maestro_SKU!A10)</f>
        <v>NUVA-BAR-CC-CS-24</v>
      </c>
      <c r="B10" s="37" t="str">
        <f>IF(A10="","",IFERROR(VLOOKUP(A10,Maestro_SKU!$A$2:$P$500,2,FALSE),""))</f>
        <v>Caja master Cacao Crispy 24 unidades</v>
      </c>
      <c r="C10" s="62">
        <f ca="1">IF(A10="","",SUMIFS(Ventas_SellIn!$Y$2:$Y$800,Ventas_SellIn!$H$2:$H$800,A10,Ventas_SellIn!$B$2:$B$800,"&gt;="&amp;TODAY()-cfg_VentanaDemanda))</f>
        <v>912</v>
      </c>
      <c r="D10" s="63">
        <f t="shared" ca="1" si="0"/>
        <v>30.4</v>
      </c>
      <c r="E10" s="62">
        <f t="shared" ca="1" si="1"/>
        <v>1094</v>
      </c>
      <c r="F10" s="98">
        <v>20</v>
      </c>
      <c r="G10" s="62">
        <f>IF(A10="","",IF(F10="",0,F10*IFERROR(VLOOKUP(A10,Maestro_SKU!$A$2:$P$500,12,FALSE),1)))</f>
        <v>480</v>
      </c>
      <c r="H10" s="62">
        <f t="shared" ca="1" si="2"/>
        <v>614</v>
      </c>
      <c r="I10" s="37" t="str">
        <f t="shared" ca="1" si="3"/>
        <v>Reponer</v>
      </c>
    </row>
    <row r="11" spans="1:11" x14ac:dyDescent="0.35">
      <c r="A11" s="37" t="str">
        <f>IF(Maestro_SKU!A11="","",Maestro_SKU!A11)</f>
        <v>NUVA-BAR-BM-CS-60</v>
      </c>
      <c r="B11" s="37" t="str">
        <f>IF(A11="","",IFERROR(VLOOKUP(A11,Maestro_SKU!$A$2:$P$500,2,FALSE),""))</f>
        <v>Caja master Berry Mix 15x4 unidades</v>
      </c>
      <c r="C11" s="62">
        <f ca="1">IF(A11="","",SUMIFS(Ventas_SellIn!$Y$2:$Y$800,Ventas_SellIn!$H$2:$H$800,A11,Ventas_SellIn!$B$2:$B$800,"&gt;="&amp;TODAY()-cfg_VentanaDemanda))</f>
        <v>0</v>
      </c>
      <c r="D11" s="63">
        <f t="shared" ca="1" si="0"/>
        <v>0</v>
      </c>
      <c r="E11" s="62">
        <f t="shared" ca="1" si="1"/>
        <v>0</v>
      </c>
      <c r="F11" s="98">
        <v>20</v>
      </c>
      <c r="G11" s="62">
        <f>IF(A11="","",IF(F11="",0,F11*IFERROR(VLOOKUP(A11,Maestro_SKU!$A$2:$P$500,12,FALSE),1)))</f>
        <v>1200</v>
      </c>
      <c r="H11" s="62">
        <f t="shared" ca="1" si="2"/>
        <v>0</v>
      </c>
      <c r="I11" s="37" t="str">
        <f t="shared" ca="1" si="3"/>
        <v>OK</v>
      </c>
    </row>
    <row r="12" spans="1:11" x14ac:dyDescent="0.35">
      <c r="A12" s="37" t="str">
        <f>IF(Maestro_SKU!A12="","",Maestro_SKU!A12)</f>
        <v>NUVA-BAR-PB-CS-60</v>
      </c>
      <c r="B12" s="37" t="str">
        <f>IF(A12="","",IFERROR(VLOOKUP(A12,Maestro_SKU!$A$2:$P$500,2,FALSE),""))</f>
        <v>Caja master Peanut Boost 15x4 unidades</v>
      </c>
      <c r="C12" s="62">
        <f ca="1">IF(A12="","",SUMIFS(Ventas_SellIn!$Y$2:$Y$800,Ventas_SellIn!$H$2:$H$800,A12,Ventas_SellIn!$B$2:$B$800,"&gt;="&amp;TODAY()-cfg_VentanaDemanda))</f>
        <v>0</v>
      </c>
      <c r="D12" s="63">
        <f t="shared" ca="1" si="0"/>
        <v>0</v>
      </c>
      <c r="E12" s="62">
        <f t="shared" ca="1" si="1"/>
        <v>0</v>
      </c>
      <c r="F12" s="98">
        <v>20</v>
      </c>
      <c r="G12" s="62">
        <f>IF(A12="","",IF(F12="",0,F12*IFERROR(VLOOKUP(A12,Maestro_SKU!$A$2:$P$500,12,FALSE),1)))</f>
        <v>1200</v>
      </c>
      <c r="H12" s="62">
        <f t="shared" ca="1" si="2"/>
        <v>0</v>
      </c>
      <c r="I12" s="37" t="str">
        <f t="shared" ca="1" si="3"/>
        <v>OK</v>
      </c>
    </row>
    <row r="13" spans="1:11" x14ac:dyDescent="0.35">
      <c r="A13" s="37" t="str">
        <f>IF(Maestro_SKU!A13="","",Maestro_SKU!A13)</f>
        <v>NUVA-BAR-CC-CS-60</v>
      </c>
      <c r="B13" s="37" t="str">
        <f>IF(A13="","",IFERROR(VLOOKUP(A13,Maestro_SKU!$A$2:$P$500,2,FALSE),""))</f>
        <v>Caja master Cacao Crispy 15x4 unidades</v>
      </c>
      <c r="C13" s="62">
        <f ca="1">IF(A13="","",SUMIFS(Ventas_SellIn!$Y$2:$Y$800,Ventas_SellIn!$H$2:$H$800,A13,Ventas_SellIn!$B$2:$B$800,"&gt;="&amp;TODAY()-cfg_VentanaDemanda))</f>
        <v>0</v>
      </c>
      <c r="D13" s="63">
        <f t="shared" ca="1" si="0"/>
        <v>0</v>
      </c>
      <c r="E13" s="62">
        <f t="shared" ca="1" si="1"/>
        <v>0</v>
      </c>
      <c r="F13" s="98">
        <v>20</v>
      </c>
      <c r="G13" s="62">
        <f>IF(A13="","",IF(F13="",0,F13*IFERROR(VLOOKUP(A13,Maestro_SKU!$A$2:$P$500,12,FALSE),1)))</f>
        <v>1200</v>
      </c>
      <c r="H13" s="62">
        <f t="shared" ca="1" si="2"/>
        <v>0</v>
      </c>
      <c r="I13" s="37" t="str">
        <f t="shared" ca="1" si="3"/>
        <v>OK</v>
      </c>
    </row>
    <row r="14" spans="1:11" x14ac:dyDescent="0.35">
      <c r="A14" s="37" t="str">
        <f>IF(Maestro_SKU!A14="","",Maestro_SKU!A14)</f>
        <v/>
      </c>
      <c r="B14" s="37" t="str">
        <f>IF(A14="","",IFERROR(VLOOKUP(A14,Maestro_SKU!$A$2:$P$500,2,FALSE),""))</f>
        <v/>
      </c>
      <c r="C14" s="62" t="str">
        <f ca="1">IF(A14="","",SUMIFS(Ventas_SellIn!$Y$2:$Y$800,Ventas_SellIn!$H$2:$H$800,A14,Ventas_SellIn!$B$2:$B$800,"&gt;="&amp;TODAY()-cfg_VentanaDemanda))</f>
        <v/>
      </c>
      <c r="D14" s="63" t="str">
        <f t="shared" si="0"/>
        <v/>
      </c>
      <c r="E14" s="62" t="str">
        <f t="shared" si="1"/>
        <v/>
      </c>
      <c r="F14" s="64"/>
      <c r="G14" s="62" t="str">
        <f>IF(A14="","",IF(F14="",0,F14*IFERROR(VLOOKUP(A14,Maestro_SKU!$A$2:$P$500,12,FALSE),1)))</f>
        <v/>
      </c>
      <c r="H14" s="62" t="str">
        <f t="shared" si="2"/>
        <v/>
      </c>
      <c r="I14" s="37" t="str">
        <f t="shared" si="3"/>
        <v/>
      </c>
    </row>
    <row r="15" spans="1:11" x14ac:dyDescent="0.35">
      <c r="A15" s="37" t="str">
        <f>IF(Maestro_SKU!A15="","",Maestro_SKU!A15)</f>
        <v/>
      </c>
      <c r="B15" s="37" t="str">
        <f>IF(A15="","",IFERROR(VLOOKUP(A15,Maestro_SKU!$A$2:$P$500,2,FALSE),""))</f>
        <v/>
      </c>
      <c r="C15" s="62" t="str">
        <f ca="1">IF(A15="","",SUMIFS(Ventas_SellIn!$Y$2:$Y$800,Ventas_SellIn!$H$2:$H$800,A15,Ventas_SellIn!$B$2:$B$800,"&gt;="&amp;TODAY()-cfg_VentanaDemanda))</f>
        <v/>
      </c>
      <c r="D15" s="63" t="str">
        <f t="shared" si="0"/>
        <v/>
      </c>
      <c r="E15" s="62" t="str">
        <f t="shared" si="1"/>
        <v/>
      </c>
      <c r="F15" s="64"/>
      <c r="G15" s="62" t="str">
        <f>IF(A15="","",IF(F15="",0,F15*IFERROR(VLOOKUP(A15,Maestro_SKU!$A$2:$P$500,12,FALSE),1)))</f>
        <v/>
      </c>
      <c r="H15" s="62" t="str">
        <f t="shared" si="2"/>
        <v/>
      </c>
      <c r="I15" s="37" t="str">
        <f t="shared" si="3"/>
        <v/>
      </c>
    </row>
    <row r="16" spans="1:11" x14ac:dyDescent="0.35">
      <c r="A16" s="37" t="str">
        <f>IF(Maestro_SKU!A16="","",Maestro_SKU!A16)</f>
        <v/>
      </c>
      <c r="B16" s="37" t="str">
        <f>IF(A16="","",IFERROR(VLOOKUP(A16,Maestro_SKU!$A$2:$P$500,2,FALSE),""))</f>
        <v/>
      </c>
      <c r="C16" s="62" t="str">
        <f ca="1">IF(A16="","",SUMIFS(Ventas_SellIn!$Y$2:$Y$800,Ventas_SellIn!$H$2:$H$800,A16,Ventas_SellIn!$B$2:$B$800,"&gt;="&amp;TODAY()-cfg_VentanaDemanda))</f>
        <v/>
      </c>
      <c r="D16" s="63" t="str">
        <f t="shared" si="0"/>
        <v/>
      </c>
      <c r="E16" s="62" t="str">
        <f t="shared" si="1"/>
        <v/>
      </c>
      <c r="F16" s="64"/>
      <c r="G16" s="62" t="str">
        <f>IF(A16="","",IF(F16="",0,F16*IFERROR(VLOOKUP(A16,Maestro_SKU!$A$2:$P$500,12,FALSE),1)))</f>
        <v/>
      </c>
      <c r="H16" s="62" t="str">
        <f t="shared" si="2"/>
        <v/>
      </c>
      <c r="I16" s="37" t="str">
        <f t="shared" si="3"/>
        <v/>
      </c>
    </row>
    <row r="17" spans="1:9" x14ac:dyDescent="0.35">
      <c r="A17" s="37" t="str">
        <f>IF(Maestro_SKU!A17="","",Maestro_SKU!A17)</f>
        <v/>
      </c>
      <c r="B17" s="37" t="str">
        <f>IF(A17="","",IFERROR(VLOOKUP(A17,Maestro_SKU!$A$2:$P$500,2,FALSE),""))</f>
        <v/>
      </c>
      <c r="C17" s="62" t="str">
        <f ca="1">IF(A17="","",SUMIFS(Ventas_SellIn!$Y$2:$Y$800,Ventas_SellIn!$H$2:$H$800,A17,Ventas_SellIn!$B$2:$B$800,"&gt;="&amp;TODAY()-cfg_VentanaDemanda))</f>
        <v/>
      </c>
      <c r="D17" s="63" t="str">
        <f t="shared" si="0"/>
        <v/>
      </c>
      <c r="E17" s="62" t="str">
        <f t="shared" si="1"/>
        <v/>
      </c>
      <c r="F17" s="64"/>
      <c r="G17" s="62" t="str">
        <f>IF(A17="","",IF(F17="",0,F17*IFERROR(VLOOKUP(A17,Maestro_SKU!$A$2:$P$500,12,FALSE),1)))</f>
        <v/>
      </c>
      <c r="H17" s="62" t="str">
        <f t="shared" si="2"/>
        <v/>
      </c>
      <c r="I17" s="37" t="str">
        <f t="shared" si="3"/>
        <v/>
      </c>
    </row>
    <row r="18" spans="1:9" x14ac:dyDescent="0.35">
      <c r="A18" s="37" t="str">
        <f>IF(Maestro_SKU!A18="","",Maestro_SKU!A18)</f>
        <v/>
      </c>
      <c r="B18" s="37" t="str">
        <f>IF(A18="","",IFERROR(VLOOKUP(A18,Maestro_SKU!$A$2:$P$500,2,FALSE),""))</f>
        <v/>
      </c>
      <c r="C18" s="62" t="str">
        <f ca="1">IF(A18="","",SUMIFS(Ventas_SellIn!$Y$2:$Y$800,Ventas_SellIn!$H$2:$H$800,A18,Ventas_SellIn!$B$2:$B$800,"&gt;="&amp;TODAY()-cfg_VentanaDemanda))</f>
        <v/>
      </c>
      <c r="D18" s="63" t="str">
        <f t="shared" si="0"/>
        <v/>
      </c>
      <c r="E18" s="62" t="str">
        <f t="shared" si="1"/>
        <v/>
      </c>
      <c r="F18" s="64"/>
      <c r="G18" s="62" t="str">
        <f>IF(A18="","",IF(F18="",0,F18*IFERROR(VLOOKUP(A18,Maestro_SKU!$A$2:$P$500,12,FALSE),1)))</f>
        <v/>
      </c>
      <c r="H18" s="62" t="str">
        <f t="shared" si="2"/>
        <v/>
      </c>
      <c r="I18" s="37" t="str">
        <f t="shared" si="3"/>
        <v/>
      </c>
    </row>
    <row r="19" spans="1:9" x14ac:dyDescent="0.35">
      <c r="A19" s="37" t="str">
        <f>IF(Maestro_SKU!A19="","",Maestro_SKU!A19)</f>
        <v/>
      </c>
      <c r="B19" s="37" t="str">
        <f>IF(A19="","",IFERROR(VLOOKUP(A19,Maestro_SKU!$A$2:$P$500,2,FALSE),""))</f>
        <v/>
      </c>
      <c r="C19" s="62" t="str">
        <f ca="1">IF(A19="","",SUMIFS(Ventas_SellIn!$Y$2:$Y$800,Ventas_SellIn!$H$2:$H$800,A19,Ventas_SellIn!$B$2:$B$800,"&gt;="&amp;TODAY()-cfg_VentanaDemanda))</f>
        <v/>
      </c>
      <c r="D19" s="63" t="str">
        <f t="shared" si="0"/>
        <v/>
      </c>
      <c r="E19" s="62" t="str">
        <f t="shared" si="1"/>
        <v/>
      </c>
      <c r="F19" s="64"/>
      <c r="G19" s="62" t="str">
        <f>IF(A19="","",IF(F19="",0,F19*IFERROR(VLOOKUP(A19,Maestro_SKU!$A$2:$P$500,12,FALSE),1)))</f>
        <v/>
      </c>
      <c r="H19" s="62" t="str">
        <f t="shared" si="2"/>
        <v/>
      </c>
      <c r="I19" s="37" t="str">
        <f t="shared" si="3"/>
        <v/>
      </c>
    </row>
    <row r="20" spans="1:9" x14ac:dyDescent="0.35">
      <c r="A20" s="37" t="str">
        <f>IF(Maestro_SKU!A20="","",Maestro_SKU!A20)</f>
        <v/>
      </c>
      <c r="B20" s="37" t="str">
        <f>IF(A20="","",IFERROR(VLOOKUP(A20,Maestro_SKU!$A$2:$P$500,2,FALSE),""))</f>
        <v/>
      </c>
      <c r="C20" s="62" t="str">
        <f ca="1">IF(A20="","",SUMIFS(Ventas_SellIn!$Y$2:$Y$800,Ventas_SellIn!$H$2:$H$800,A20,Ventas_SellIn!$B$2:$B$800,"&gt;="&amp;TODAY()-cfg_VentanaDemanda))</f>
        <v/>
      </c>
      <c r="D20" s="63" t="str">
        <f t="shared" si="0"/>
        <v/>
      </c>
      <c r="E20" s="62" t="str">
        <f t="shared" si="1"/>
        <v/>
      </c>
      <c r="F20" s="64"/>
      <c r="G20" s="62" t="str">
        <f>IF(A20="","",IF(F20="",0,F20*IFERROR(VLOOKUP(A20,Maestro_SKU!$A$2:$P$500,12,FALSE),1)))</f>
        <v/>
      </c>
      <c r="H20" s="62" t="str">
        <f t="shared" si="2"/>
        <v/>
      </c>
      <c r="I20" s="37" t="str">
        <f t="shared" si="3"/>
        <v/>
      </c>
    </row>
    <row r="21" spans="1:9" x14ac:dyDescent="0.35">
      <c r="A21" s="37" t="str">
        <f>IF(Maestro_SKU!A21="","",Maestro_SKU!A21)</f>
        <v/>
      </c>
      <c r="B21" s="37" t="str">
        <f>IF(A21="","",IFERROR(VLOOKUP(A21,Maestro_SKU!$A$2:$P$500,2,FALSE),""))</f>
        <v/>
      </c>
      <c r="C21" s="62" t="str">
        <f ca="1">IF(A21="","",SUMIFS(Ventas_SellIn!$Y$2:$Y$800,Ventas_SellIn!$H$2:$H$800,A21,Ventas_SellIn!$B$2:$B$800,"&gt;="&amp;TODAY()-cfg_VentanaDemanda))</f>
        <v/>
      </c>
      <c r="D21" s="63" t="str">
        <f t="shared" si="0"/>
        <v/>
      </c>
      <c r="E21" s="62" t="str">
        <f t="shared" si="1"/>
        <v/>
      </c>
      <c r="F21" s="64"/>
      <c r="G21" s="62" t="str">
        <f>IF(A21="","",IF(F21="",0,F21*IFERROR(VLOOKUP(A21,Maestro_SKU!$A$2:$P$500,12,FALSE),1)))</f>
        <v/>
      </c>
      <c r="H21" s="62" t="str">
        <f t="shared" si="2"/>
        <v/>
      </c>
      <c r="I21" s="37" t="str">
        <f t="shared" si="3"/>
        <v/>
      </c>
    </row>
    <row r="22" spans="1:9" x14ac:dyDescent="0.35">
      <c r="A22" s="37" t="str">
        <f>IF(Maestro_SKU!A22="","",Maestro_SKU!A22)</f>
        <v/>
      </c>
      <c r="B22" s="37" t="str">
        <f>IF(A22="","",IFERROR(VLOOKUP(A22,Maestro_SKU!$A$2:$P$500,2,FALSE),""))</f>
        <v/>
      </c>
      <c r="C22" s="62" t="str">
        <f ca="1">IF(A22="","",SUMIFS(Ventas_SellIn!$Y$2:$Y$800,Ventas_SellIn!$H$2:$H$800,A22,Ventas_SellIn!$B$2:$B$800,"&gt;="&amp;TODAY()-cfg_VentanaDemanda))</f>
        <v/>
      </c>
      <c r="D22" s="63" t="str">
        <f t="shared" si="0"/>
        <v/>
      </c>
      <c r="E22" s="62" t="str">
        <f t="shared" si="1"/>
        <v/>
      </c>
      <c r="F22" s="64"/>
      <c r="G22" s="62" t="str">
        <f>IF(A22="","",IF(F22="",0,F22*IFERROR(VLOOKUP(A22,Maestro_SKU!$A$2:$P$500,12,FALSE),1)))</f>
        <v/>
      </c>
      <c r="H22" s="62" t="str">
        <f t="shared" si="2"/>
        <v/>
      </c>
      <c r="I22" s="37" t="str">
        <f t="shared" si="3"/>
        <v/>
      </c>
    </row>
    <row r="23" spans="1:9" x14ac:dyDescent="0.35">
      <c r="A23" s="37" t="str">
        <f>IF(Maestro_SKU!A23="","",Maestro_SKU!A23)</f>
        <v/>
      </c>
      <c r="B23" s="37" t="str">
        <f>IF(A23="","",IFERROR(VLOOKUP(A23,Maestro_SKU!$A$2:$P$500,2,FALSE),""))</f>
        <v/>
      </c>
      <c r="C23" s="62" t="str">
        <f ca="1">IF(A23="","",SUMIFS(Ventas_SellIn!$Y$2:$Y$800,Ventas_SellIn!$H$2:$H$800,A23,Ventas_SellIn!$B$2:$B$800,"&gt;="&amp;TODAY()-cfg_VentanaDemanda))</f>
        <v/>
      </c>
      <c r="D23" s="63" t="str">
        <f t="shared" si="0"/>
        <v/>
      </c>
      <c r="E23" s="62" t="str">
        <f t="shared" si="1"/>
        <v/>
      </c>
      <c r="F23" s="64"/>
      <c r="G23" s="62" t="str">
        <f>IF(A23="","",IF(F23="",0,F23*IFERROR(VLOOKUP(A23,Maestro_SKU!$A$2:$P$500,12,FALSE),1)))</f>
        <v/>
      </c>
      <c r="H23" s="62" t="str">
        <f t="shared" si="2"/>
        <v/>
      </c>
      <c r="I23" s="37" t="str">
        <f t="shared" si="3"/>
        <v/>
      </c>
    </row>
    <row r="24" spans="1:9" x14ac:dyDescent="0.35">
      <c r="A24" s="37" t="str">
        <f>IF(Maestro_SKU!A24="","",Maestro_SKU!A24)</f>
        <v/>
      </c>
      <c r="B24" s="37" t="str">
        <f>IF(A24="","",IFERROR(VLOOKUP(A24,Maestro_SKU!$A$2:$P$500,2,FALSE),""))</f>
        <v/>
      </c>
      <c r="C24" s="62" t="str">
        <f ca="1">IF(A24="","",SUMIFS(Ventas_SellIn!$Y$2:$Y$800,Ventas_SellIn!$H$2:$H$800,A24,Ventas_SellIn!$B$2:$B$800,"&gt;="&amp;TODAY()-cfg_VentanaDemanda))</f>
        <v/>
      </c>
      <c r="D24" s="63" t="str">
        <f t="shared" si="0"/>
        <v/>
      </c>
      <c r="E24" s="62" t="str">
        <f t="shared" si="1"/>
        <v/>
      </c>
      <c r="F24" s="64"/>
      <c r="G24" s="62" t="str">
        <f>IF(A24="","",IF(F24="",0,F24*IFERROR(VLOOKUP(A24,Maestro_SKU!$A$2:$P$500,12,FALSE),1)))</f>
        <v/>
      </c>
      <c r="H24" s="62" t="str">
        <f t="shared" si="2"/>
        <v/>
      </c>
      <c r="I24" s="37" t="str">
        <f t="shared" si="3"/>
        <v/>
      </c>
    </row>
    <row r="25" spans="1:9" x14ac:dyDescent="0.35">
      <c r="A25" s="37" t="str">
        <f>IF(Maestro_SKU!A25="","",Maestro_SKU!A25)</f>
        <v/>
      </c>
      <c r="B25" s="37" t="str">
        <f>IF(A25="","",IFERROR(VLOOKUP(A25,Maestro_SKU!$A$2:$P$500,2,FALSE),""))</f>
        <v/>
      </c>
      <c r="C25" s="62" t="str">
        <f ca="1">IF(A25="","",SUMIFS(Ventas_SellIn!$Y$2:$Y$800,Ventas_SellIn!$H$2:$H$800,A25,Ventas_SellIn!$B$2:$B$800,"&gt;="&amp;TODAY()-cfg_VentanaDemanda))</f>
        <v/>
      </c>
      <c r="D25" s="63" t="str">
        <f t="shared" si="0"/>
        <v/>
      </c>
      <c r="E25" s="62" t="str">
        <f t="shared" si="1"/>
        <v/>
      </c>
      <c r="F25" s="64"/>
      <c r="G25" s="62" t="str">
        <f>IF(A25="","",IF(F25="",0,F25*IFERROR(VLOOKUP(A25,Maestro_SKU!$A$2:$P$500,12,FALSE),1)))</f>
        <v/>
      </c>
      <c r="H25" s="62" t="str">
        <f t="shared" si="2"/>
        <v/>
      </c>
      <c r="I25" s="37" t="str">
        <f t="shared" si="3"/>
        <v/>
      </c>
    </row>
    <row r="26" spans="1:9" x14ac:dyDescent="0.35">
      <c r="A26" s="37" t="str">
        <f>IF(Maestro_SKU!A26="","",Maestro_SKU!A26)</f>
        <v/>
      </c>
      <c r="B26" s="37" t="str">
        <f>IF(A26="","",IFERROR(VLOOKUP(A26,Maestro_SKU!$A$2:$P$500,2,FALSE),""))</f>
        <v/>
      </c>
      <c r="C26" s="62" t="str">
        <f ca="1">IF(A26="","",SUMIFS(Ventas_SellIn!$Y$2:$Y$800,Ventas_SellIn!$H$2:$H$800,A26,Ventas_SellIn!$B$2:$B$800,"&gt;="&amp;TODAY()-cfg_VentanaDemanda))</f>
        <v/>
      </c>
      <c r="D26" s="63" t="str">
        <f t="shared" si="0"/>
        <v/>
      </c>
      <c r="E26" s="62" t="str">
        <f t="shared" si="1"/>
        <v/>
      </c>
      <c r="F26" s="64"/>
      <c r="G26" s="62" t="str">
        <f>IF(A26="","",IF(F26="",0,F26*IFERROR(VLOOKUP(A26,Maestro_SKU!$A$2:$P$500,12,FALSE),1)))</f>
        <v/>
      </c>
      <c r="H26" s="62" t="str">
        <f t="shared" si="2"/>
        <v/>
      </c>
      <c r="I26" s="37" t="str">
        <f t="shared" si="3"/>
        <v/>
      </c>
    </row>
    <row r="27" spans="1:9" x14ac:dyDescent="0.35">
      <c r="A27" s="37" t="str">
        <f>IF(Maestro_SKU!A27="","",Maestro_SKU!A27)</f>
        <v/>
      </c>
      <c r="B27" s="37" t="str">
        <f>IF(A27="","",IFERROR(VLOOKUP(A27,Maestro_SKU!$A$2:$P$500,2,FALSE),""))</f>
        <v/>
      </c>
      <c r="C27" s="62" t="str">
        <f ca="1">IF(A27="","",SUMIFS(Ventas_SellIn!$Y$2:$Y$800,Ventas_SellIn!$H$2:$H$800,A27,Ventas_SellIn!$B$2:$B$800,"&gt;="&amp;TODAY()-cfg_VentanaDemanda))</f>
        <v/>
      </c>
      <c r="D27" s="63" t="str">
        <f t="shared" si="0"/>
        <v/>
      </c>
      <c r="E27" s="62" t="str">
        <f t="shared" si="1"/>
        <v/>
      </c>
      <c r="F27" s="64"/>
      <c r="G27" s="62" t="str">
        <f>IF(A27="","",IF(F27="",0,F27*IFERROR(VLOOKUP(A27,Maestro_SKU!$A$2:$P$500,12,FALSE),1)))</f>
        <v/>
      </c>
      <c r="H27" s="62" t="str">
        <f t="shared" si="2"/>
        <v/>
      </c>
      <c r="I27" s="37" t="str">
        <f t="shared" si="3"/>
        <v/>
      </c>
    </row>
    <row r="28" spans="1:9" x14ac:dyDescent="0.35">
      <c r="A28" s="37" t="str">
        <f>IF(Maestro_SKU!A28="","",Maestro_SKU!A28)</f>
        <v/>
      </c>
      <c r="B28" s="37" t="str">
        <f>IF(A28="","",IFERROR(VLOOKUP(A28,Maestro_SKU!$A$2:$P$500,2,FALSE),""))</f>
        <v/>
      </c>
      <c r="C28" s="62" t="str">
        <f ca="1">IF(A28="","",SUMIFS(Ventas_SellIn!$Y$2:$Y$800,Ventas_SellIn!$H$2:$H$800,A28,Ventas_SellIn!$B$2:$B$800,"&gt;="&amp;TODAY()-cfg_VentanaDemanda))</f>
        <v/>
      </c>
      <c r="D28" s="63" t="str">
        <f t="shared" si="0"/>
        <v/>
      </c>
      <c r="E28" s="62" t="str">
        <f t="shared" si="1"/>
        <v/>
      </c>
      <c r="F28" s="64"/>
      <c r="G28" s="62" t="str">
        <f>IF(A28="","",IF(F28="",0,F28*IFERROR(VLOOKUP(A28,Maestro_SKU!$A$2:$P$500,12,FALSE),1)))</f>
        <v/>
      </c>
      <c r="H28" s="62" t="str">
        <f t="shared" si="2"/>
        <v/>
      </c>
      <c r="I28" s="37" t="str">
        <f t="shared" si="3"/>
        <v/>
      </c>
    </row>
    <row r="29" spans="1:9" x14ac:dyDescent="0.35">
      <c r="A29" s="37" t="str">
        <f>IF(Maestro_SKU!A29="","",Maestro_SKU!A29)</f>
        <v/>
      </c>
      <c r="B29" s="37" t="str">
        <f>IF(A29="","",IFERROR(VLOOKUP(A29,Maestro_SKU!$A$2:$P$500,2,FALSE),""))</f>
        <v/>
      </c>
      <c r="C29" s="62" t="str">
        <f ca="1">IF(A29="","",SUMIFS(Ventas_SellIn!$Y$2:$Y$800,Ventas_SellIn!$H$2:$H$800,A29,Ventas_SellIn!$B$2:$B$800,"&gt;="&amp;TODAY()-cfg_VentanaDemanda))</f>
        <v/>
      </c>
      <c r="D29" s="63" t="str">
        <f t="shared" si="0"/>
        <v/>
      </c>
      <c r="E29" s="62" t="str">
        <f t="shared" si="1"/>
        <v/>
      </c>
      <c r="F29" s="64"/>
      <c r="G29" s="62" t="str">
        <f>IF(A29="","",IF(F29="",0,F29*IFERROR(VLOOKUP(A29,Maestro_SKU!$A$2:$P$500,12,FALSE),1)))</f>
        <v/>
      </c>
      <c r="H29" s="62" t="str">
        <f t="shared" si="2"/>
        <v/>
      </c>
      <c r="I29" s="37" t="str">
        <f t="shared" si="3"/>
        <v/>
      </c>
    </row>
    <row r="30" spans="1:9" x14ac:dyDescent="0.35">
      <c r="A30" s="37" t="str">
        <f>IF(Maestro_SKU!A30="","",Maestro_SKU!A30)</f>
        <v/>
      </c>
      <c r="B30" s="37" t="str">
        <f>IF(A30="","",IFERROR(VLOOKUP(A30,Maestro_SKU!$A$2:$P$500,2,FALSE),""))</f>
        <v/>
      </c>
      <c r="C30" s="62" t="str">
        <f ca="1">IF(A30="","",SUMIFS(Ventas_SellIn!$Y$2:$Y$800,Ventas_SellIn!$H$2:$H$800,A30,Ventas_SellIn!$B$2:$B$800,"&gt;="&amp;TODAY()-cfg_VentanaDemanda))</f>
        <v/>
      </c>
      <c r="D30" s="63" t="str">
        <f t="shared" si="0"/>
        <v/>
      </c>
      <c r="E30" s="62" t="str">
        <f t="shared" si="1"/>
        <v/>
      </c>
      <c r="F30" s="64"/>
      <c r="G30" s="62" t="str">
        <f>IF(A30="","",IF(F30="",0,F30*IFERROR(VLOOKUP(A30,Maestro_SKU!$A$2:$P$500,12,FALSE),1)))</f>
        <v/>
      </c>
      <c r="H30" s="62" t="str">
        <f t="shared" si="2"/>
        <v/>
      </c>
      <c r="I30" s="37" t="str">
        <f t="shared" si="3"/>
        <v/>
      </c>
    </row>
    <row r="31" spans="1:9" x14ac:dyDescent="0.35">
      <c r="A31" s="37" t="str">
        <f>IF(Maestro_SKU!A31="","",Maestro_SKU!A31)</f>
        <v/>
      </c>
      <c r="B31" s="37" t="str">
        <f>IF(A31="","",IFERROR(VLOOKUP(A31,Maestro_SKU!$A$2:$P$500,2,FALSE),""))</f>
        <v/>
      </c>
      <c r="C31" s="62" t="str">
        <f ca="1">IF(A31="","",SUMIFS(Ventas_SellIn!$Y$2:$Y$800,Ventas_SellIn!$H$2:$H$800,A31,Ventas_SellIn!$B$2:$B$800,"&gt;="&amp;TODAY()-cfg_VentanaDemanda))</f>
        <v/>
      </c>
      <c r="D31" s="63" t="str">
        <f t="shared" si="0"/>
        <v/>
      </c>
      <c r="E31" s="62" t="str">
        <f t="shared" si="1"/>
        <v/>
      </c>
      <c r="F31" s="64"/>
      <c r="G31" s="62" t="str">
        <f>IF(A31="","",IF(F31="",0,F31*IFERROR(VLOOKUP(A31,Maestro_SKU!$A$2:$P$500,12,FALSE),1)))</f>
        <v/>
      </c>
      <c r="H31" s="62" t="str">
        <f t="shared" si="2"/>
        <v/>
      </c>
      <c r="I31" s="37" t="str">
        <f t="shared" si="3"/>
        <v/>
      </c>
    </row>
    <row r="32" spans="1:9" x14ac:dyDescent="0.35">
      <c r="A32" s="37" t="str">
        <f>IF(Maestro_SKU!A32="","",Maestro_SKU!A32)</f>
        <v/>
      </c>
      <c r="B32" s="37" t="str">
        <f>IF(A32="","",IFERROR(VLOOKUP(A32,Maestro_SKU!$A$2:$P$500,2,FALSE),""))</f>
        <v/>
      </c>
      <c r="C32" s="62" t="str">
        <f ca="1">IF(A32="","",SUMIFS(Ventas_SellIn!$Y$2:$Y$800,Ventas_SellIn!$H$2:$H$800,A32,Ventas_SellIn!$B$2:$B$800,"&gt;="&amp;TODAY()-cfg_VentanaDemanda))</f>
        <v/>
      </c>
      <c r="D32" s="63" t="str">
        <f t="shared" si="0"/>
        <v/>
      </c>
      <c r="E32" s="62" t="str">
        <f t="shared" si="1"/>
        <v/>
      </c>
      <c r="F32" s="64"/>
      <c r="G32" s="62" t="str">
        <f>IF(A32="","",IF(F32="",0,F32*IFERROR(VLOOKUP(A32,Maestro_SKU!$A$2:$P$500,12,FALSE),1)))</f>
        <v/>
      </c>
      <c r="H32" s="62" t="str">
        <f t="shared" si="2"/>
        <v/>
      </c>
      <c r="I32" s="37" t="str">
        <f t="shared" si="3"/>
        <v/>
      </c>
    </row>
    <row r="33" spans="1:9" x14ac:dyDescent="0.35">
      <c r="A33" s="37" t="str">
        <f>IF(Maestro_SKU!A33="","",Maestro_SKU!A33)</f>
        <v/>
      </c>
      <c r="B33" s="37" t="str">
        <f>IF(A33="","",IFERROR(VLOOKUP(A33,Maestro_SKU!$A$2:$P$500,2,FALSE),""))</f>
        <v/>
      </c>
      <c r="C33" s="62" t="str">
        <f ca="1">IF(A33="","",SUMIFS(Ventas_SellIn!$Y$2:$Y$800,Ventas_SellIn!$H$2:$H$800,A33,Ventas_SellIn!$B$2:$B$800,"&gt;="&amp;TODAY()-cfg_VentanaDemanda))</f>
        <v/>
      </c>
      <c r="D33" s="63" t="str">
        <f t="shared" si="0"/>
        <v/>
      </c>
      <c r="E33" s="62" t="str">
        <f t="shared" si="1"/>
        <v/>
      </c>
      <c r="F33" s="64"/>
      <c r="G33" s="62" t="str">
        <f>IF(A33="","",IF(F33="",0,F33*IFERROR(VLOOKUP(A33,Maestro_SKU!$A$2:$P$500,12,FALSE),1)))</f>
        <v/>
      </c>
      <c r="H33" s="62" t="str">
        <f t="shared" si="2"/>
        <v/>
      </c>
      <c r="I33" s="37" t="str">
        <f t="shared" si="3"/>
        <v/>
      </c>
    </row>
    <row r="34" spans="1:9" x14ac:dyDescent="0.35">
      <c r="A34" s="37" t="str">
        <f>IF(Maestro_SKU!A34="","",Maestro_SKU!A34)</f>
        <v/>
      </c>
      <c r="B34" s="37" t="str">
        <f>IF(A34="","",IFERROR(VLOOKUP(A34,Maestro_SKU!$A$2:$P$500,2,FALSE),""))</f>
        <v/>
      </c>
      <c r="C34" s="62" t="str">
        <f ca="1">IF(A34="","",SUMIFS(Ventas_SellIn!$Y$2:$Y$800,Ventas_SellIn!$H$2:$H$800,A34,Ventas_SellIn!$B$2:$B$800,"&gt;="&amp;TODAY()-cfg_VentanaDemanda))</f>
        <v/>
      </c>
      <c r="D34" s="63" t="str">
        <f t="shared" ref="D34:D65" si="4">IF(A34="","",C34/cfg_VentanaDemanda)</f>
        <v/>
      </c>
      <c r="E34" s="62" t="str">
        <f t="shared" ref="E34:E65" si="5">IF(A34="","",ROUND(D34*cfg_DiasCobertura*(1+cfg_PctSeguridad),0))</f>
        <v/>
      </c>
      <c r="F34" s="64"/>
      <c r="G34" s="62" t="str">
        <f>IF(A34="","",IF(F34="",0,F34*IFERROR(VLOOKUP(A34,Maestro_SKU!$A$2:$P$500,12,FALSE),1)))</f>
        <v/>
      </c>
      <c r="H34" s="62" t="str">
        <f t="shared" ref="H34:H65" si="6">IF(A34="","",MAX(E34-G34,0))</f>
        <v/>
      </c>
      <c r="I34" s="37" t="str">
        <f t="shared" ref="I34:I65" si="7">IF(A34="","",IF(F34="","Falta bodega",IF(G34&gt;=E34,"OK",IF(G34&gt;=E34*0.6,"Ajustado","Reponer"))))</f>
        <v/>
      </c>
    </row>
    <row r="35" spans="1:9" x14ac:dyDescent="0.35">
      <c r="A35" s="37" t="str">
        <f>IF(Maestro_SKU!A35="","",Maestro_SKU!A35)</f>
        <v/>
      </c>
      <c r="B35" s="37" t="str">
        <f>IF(A35="","",IFERROR(VLOOKUP(A35,Maestro_SKU!$A$2:$P$500,2,FALSE),""))</f>
        <v/>
      </c>
      <c r="C35" s="62" t="str">
        <f ca="1">IF(A35="","",SUMIFS(Ventas_SellIn!$Y$2:$Y$800,Ventas_SellIn!$H$2:$H$800,A35,Ventas_SellIn!$B$2:$B$800,"&gt;="&amp;TODAY()-cfg_VentanaDemanda))</f>
        <v/>
      </c>
      <c r="D35" s="63" t="str">
        <f t="shared" si="4"/>
        <v/>
      </c>
      <c r="E35" s="62" t="str">
        <f t="shared" si="5"/>
        <v/>
      </c>
      <c r="F35" s="64"/>
      <c r="G35" s="62" t="str">
        <f>IF(A35="","",IF(F35="",0,F35*IFERROR(VLOOKUP(A35,Maestro_SKU!$A$2:$P$500,12,FALSE),1)))</f>
        <v/>
      </c>
      <c r="H35" s="62" t="str">
        <f t="shared" si="6"/>
        <v/>
      </c>
      <c r="I35" s="37" t="str">
        <f t="shared" si="7"/>
        <v/>
      </c>
    </row>
    <row r="36" spans="1:9" x14ac:dyDescent="0.35">
      <c r="A36" s="37" t="str">
        <f>IF(Maestro_SKU!A36="","",Maestro_SKU!A36)</f>
        <v/>
      </c>
      <c r="B36" s="37" t="str">
        <f>IF(A36="","",IFERROR(VLOOKUP(A36,Maestro_SKU!$A$2:$P$500,2,FALSE),""))</f>
        <v/>
      </c>
      <c r="C36" s="62" t="str">
        <f ca="1">IF(A36="","",SUMIFS(Ventas_SellIn!$Y$2:$Y$800,Ventas_SellIn!$H$2:$H$800,A36,Ventas_SellIn!$B$2:$B$800,"&gt;="&amp;TODAY()-cfg_VentanaDemanda))</f>
        <v/>
      </c>
      <c r="D36" s="63" t="str">
        <f t="shared" si="4"/>
        <v/>
      </c>
      <c r="E36" s="62" t="str">
        <f t="shared" si="5"/>
        <v/>
      </c>
      <c r="F36" s="64"/>
      <c r="G36" s="62" t="str">
        <f>IF(A36="","",IF(F36="",0,F36*IFERROR(VLOOKUP(A36,Maestro_SKU!$A$2:$P$500,12,FALSE),1)))</f>
        <v/>
      </c>
      <c r="H36" s="62" t="str">
        <f t="shared" si="6"/>
        <v/>
      </c>
      <c r="I36" s="37" t="str">
        <f t="shared" si="7"/>
        <v/>
      </c>
    </row>
    <row r="37" spans="1:9" x14ac:dyDescent="0.35">
      <c r="A37" s="37" t="str">
        <f>IF(Maestro_SKU!A37="","",Maestro_SKU!A37)</f>
        <v/>
      </c>
      <c r="B37" s="37" t="str">
        <f>IF(A37="","",IFERROR(VLOOKUP(A37,Maestro_SKU!$A$2:$P$500,2,FALSE),""))</f>
        <v/>
      </c>
      <c r="C37" s="62" t="str">
        <f ca="1">IF(A37="","",SUMIFS(Ventas_SellIn!$Y$2:$Y$800,Ventas_SellIn!$H$2:$H$800,A37,Ventas_SellIn!$B$2:$B$800,"&gt;="&amp;TODAY()-cfg_VentanaDemanda))</f>
        <v/>
      </c>
      <c r="D37" s="63" t="str">
        <f t="shared" si="4"/>
        <v/>
      </c>
      <c r="E37" s="62" t="str">
        <f t="shared" si="5"/>
        <v/>
      </c>
      <c r="F37" s="64"/>
      <c r="G37" s="62" t="str">
        <f>IF(A37="","",IF(F37="",0,F37*IFERROR(VLOOKUP(A37,Maestro_SKU!$A$2:$P$500,12,FALSE),1)))</f>
        <v/>
      </c>
      <c r="H37" s="62" t="str">
        <f t="shared" si="6"/>
        <v/>
      </c>
      <c r="I37" s="37" t="str">
        <f t="shared" si="7"/>
        <v/>
      </c>
    </row>
    <row r="38" spans="1:9" x14ac:dyDescent="0.35">
      <c r="A38" s="37" t="str">
        <f>IF(Maestro_SKU!A38="","",Maestro_SKU!A38)</f>
        <v/>
      </c>
      <c r="B38" s="37" t="str">
        <f>IF(A38="","",IFERROR(VLOOKUP(A38,Maestro_SKU!$A$2:$P$500,2,FALSE),""))</f>
        <v/>
      </c>
      <c r="C38" s="62" t="str">
        <f ca="1">IF(A38="","",SUMIFS(Ventas_SellIn!$Y$2:$Y$800,Ventas_SellIn!$H$2:$H$800,A38,Ventas_SellIn!$B$2:$B$800,"&gt;="&amp;TODAY()-cfg_VentanaDemanda))</f>
        <v/>
      </c>
      <c r="D38" s="63" t="str">
        <f t="shared" si="4"/>
        <v/>
      </c>
      <c r="E38" s="62" t="str">
        <f t="shared" si="5"/>
        <v/>
      </c>
      <c r="F38" s="64"/>
      <c r="G38" s="62" t="str">
        <f>IF(A38="","",IF(F38="",0,F38*IFERROR(VLOOKUP(A38,Maestro_SKU!$A$2:$P$500,12,FALSE),1)))</f>
        <v/>
      </c>
      <c r="H38" s="62" t="str">
        <f t="shared" si="6"/>
        <v/>
      </c>
      <c r="I38" s="37" t="str">
        <f t="shared" si="7"/>
        <v/>
      </c>
    </row>
    <row r="39" spans="1:9" x14ac:dyDescent="0.35">
      <c r="A39" s="37" t="str">
        <f>IF(Maestro_SKU!A39="","",Maestro_SKU!A39)</f>
        <v/>
      </c>
      <c r="B39" s="37" t="str">
        <f>IF(A39="","",IFERROR(VLOOKUP(A39,Maestro_SKU!$A$2:$P$500,2,FALSE),""))</f>
        <v/>
      </c>
      <c r="C39" s="62" t="str">
        <f ca="1">IF(A39="","",SUMIFS(Ventas_SellIn!$Y$2:$Y$800,Ventas_SellIn!$H$2:$H$800,A39,Ventas_SellIn!$B$2:$B$800,"&gt;="&amp;TODAY()-cfg_VentanaDemanda))</f>
        <v/>
      </c>
      <c r="D39" s="63" t="str">
        <f t="shared" si="4"/>
        <v/>
      </c>
      <c r="E39" s="62" t="str">
        <f t="shared" si="5"/>
        <v/>
      </c>
      <c r="F39" s="64"/>
      <c r="G39" s="62" t="str">
        <f>IF(A39="","",IF(F39="",0,F39*IFERROR(VLOOKUP(A39,Maestro_SKU!$A$2:$P$500,12,FALSE),1)))</f>
        <v/>
      </c>
      <c r="H39" s="62" t="str">
        <f t="shared" si="6"/>
        <v/>
      </c>
      <c r="I39" s="37" t="str">
        <f t="shared" si="7"/>
        <v/>
      </c>
    </row>
    <row r="40" spans="1:9" x14ac:dyDescent="0.35">
      <c r="A40" s="37" t="str">
        <f>IF(Maestro_SKU!A40="","",Maestro_SKU!A40)</f>
        <v/>
      </c>
      <c r="B40" s="37" t="str">
        <f>IF(A40="","",IFERROR(VLOOKUP(A40,Maestro_SKU!$A$2:$P$500,2,FALSE),""))</f>
        <v/>
      </c>
      <c r="C40" s="62" t="str">
        <f ca="1">IF(A40="","",SUMIFS(Ventas_SellIn!$Y$2:$Y$800,Ventas_SellIn!$H$2:$H$800,A40,Ventas_SellIn!$B$2:$B$800,"&gt;="&amp;TODAY()-cfg_VentanaDemanda))</f>
        <v/>
      </c>
      <c r="D40" s="63" t="str">
        <f t="shared" si="4"/>
        <v/>
      </c>
      <c r="E40" s="62" t="str">
        <f t="shared" si="5"/>
        <v/>
      </c>
      <c r="F40" s="64"/>
      <c r="G40" s="62" t="str">
        <f>IF(A40="","",IF(F40="",0,F40*IFERROR(VLOOKUP(A40,Maestro_SKU!$A$2:$P$500,12,FALSE),1)))</f>
        <v/>
      </c>
      <c r="H40" s="62" t="str">
        <f t="shared" si="6"/>
        <v/>
      </c>
      <c r="I40" s="37" t="str">
        <f t="shared" si="7"/>
        <v/>
      </c>
    </row>
    <row r="41" spans="1:9" x14ac:dyDescent="0.35">
      <c r="A41" s="37" t="str">
        <f>IF(Maestro_SKU!A41="","",Maestro_SKU!A41)</f>
        <v/>
      </c>
      <c r="B41" s="37" t="str">
        <f>IF(A41="","",IFERROR(VLOOKUP(A41,Maestro_SKU!$A$2:$P$500,2,FALSE),""))</f>
        <v/>
      </c>
      <c r="C41" s="62" t="str">
        <f ca="1">IF(A41="","",SUMIFS(Ventas_SellIn!$Y$2:$Y$800,Ventas_SellIn!$H$2:$H$800,A41,Ventas_SellIn!$B$2:$B$800,"&gt;="&amp;TODAY()-cfg_VentanaDemanda))</f>
        <v/>
      </c>
      <c r="D41" s="63" t="str">
        <f t="shared" si="4"/>
        <v/>
      </c>
      <c r="E41" s="62" t="str">
        <f t="shared" si="5"/>
        <v/>
      </c>
      <c r="F41" s="64"/>
      <c r="G41" s="62" t="str">
        <f>IF(A41="","",IF(F41="",0,F41*IFERROR(VLOOKUP(A41,Maestro_SKU!$A$2:$P$500,12,FALSE),1)))</f>
        <v/>
      </c>
      <c r="H41" s="62" t="str">
        <f t="shared" si="6"/>
        <v/>
      </c>
      <c r="I41" s="37" t="str">
        <f t="shared" si="7"/>
        <v/>
      </c>
    </row>
    <row r="42" spans="1:9" x14ac:dyDescent="0.35">
      <c r="A42" s="37" t="str">
        <f>IF(Maestro_SKU!A42="","",Maestro_SKU!A42)</f>
        <v/>
      </c>
      <c r="B42" s="37" t="str">
        <f>IF(A42="","",IFERROR(VLOOKUP(A42,Maestro_SKU!$A$2:$P$500,2,FALSE),""))</f>
        <v/>
      </c>
      <c r="C42" s="62" t="str">
        <f ca="1">IF(A42="","",SUMIFS(Ventas_SellIn!$Y$2:$Y$800,Ventas_SellIn!$H$2:$H$800,A42,Ventas_SellIn!$B$2:$B$800,"&gt;="&amp;TODAY()-cfg_VentanaDemanda))</f>
        <v/>
      </c>
      <c r="D42" s="63" t="str">
        <f t="shared" si="4"/>
        <v/>
      </c>
      <c r="E42" s="62" t="str">
        <f t="shared" si="5"/>
        <v/>
      </c>
      <c r="F42" s="64"/>
      <c r="G42" s="62" t="str">
        <f>IF(A42="","",IF(F42="",0,F42*IFERROR(VLOOKUP(A42,Maestro_SKU!$A$2:$P$500,12,FALSE),1)))</f>
        <v/>
      </c>
      <c r="H42" s="62" t="str">
        <f t="shared" si="6"/>
        <v/>
      </c>
      <c r="I42" s="37" t="str">
        <f t="shared" si="7"/>
        <v/>
      </c>
    </row>
    <row r="43" spans="1:9" x14ac:dyDescent="0.35">
      <c r="A43" s="37" t="str">
        <f>IF(Maestro_SKU!A43="","",Maestro_SKU!A43)</f>
        <v/>
      </c>
      <c r="B43" s="37" t="str">
        <f>IF(A43="","",IFERROR(VLOOKUP(A43,Maestro_SKU!$A$2:$P$500,2,FALSE),""))</f>
        <v/>
      </c>
      <c r="C43" s="62" t="str">
        <f ca="1">IF(A43="","",SUMIFS(Ventas_SellIn!$Y$2:$Y$800,Ventas_SellIn!$H$2:$H$800,A43,Ventas_SellIn!$B$2:$B$800,"&gt;="&amp;TODAY()-cfg_VentanaDemanda))</f>
        <v/>
      </c>
      <c r="D43" s="63" t="str">
        <f t="shared" si="4"/>
        <v/>
      </c>
      <c r="E43" s="62" t="str">
        <f t="shared" si="5"/>
        <v/>
      </c>
      <c r="F43" s="64"/>
      <c r="G43" s="62" t="str">
        <f>IF(A43="","",IF(F43="",0,F43*IFERROR(VLOOKUP(A43,Maestro_SKU!$A$2:$P$500,12,FALSE),1)))</f>
        <v/>
      </c>
      <c r="H43" s="62" t="str">
        <f t="shared" si="6"/>
        <v/>
      </c>
      <c r="I43" s="37" t="str">
        <f t="shared" si="7"/>
        <v/>
      </c>
    </row>
    <row r="44" spans="1:9" x14ac:dyDescent="0.35">
      <c r="A44" s="37" t="str">
        <f>IF(Maestro_SKU!A44="","",Maestro_SKU!A44)</f>
        <v/>
      </c>
      <c r="B44" s="37" t="str">
        <f>IF(A44="","",IFERROR(VLOOKUP(A44,Maestro_SKU!$A$2:$P$500,2,FALSE),""))</f>
        <v/>
      </c>
      <c r="C44" s="62" t="str">
        <f ca="1">IF(A44="","",SUMIFS(Ventas_SellIn!$Y$2:$Y$800,Ventas_SellIn!$H$2:$H$800,A44,Ventas_SellIn!$B$2:$B$800,"&gt;="&amp;TODAY()-cfg_VentanaDemanda))</f>
        <v/>
      </c>
      <c r="D44" s="63" t="str">
        <f t="shared" si="4"/>
        <v/>
      </c>
      <c r="E44" s="62" t="str">
        <f t="shared" si="5"/>
        <v/>
      </c>
      <c r="F44" s="64"/>
      <c r="G44" s="62" t="str">
        <f>IF(A44="","",IF(F44="",0,F44*IFERROR(VLOOKUP(A44,Maestro_SKU!$A$2:$P$500,12,FALSE),1)))</f>
        <v/>
      </c>
      <c r="H44" s="62" t="str">
        <f t="shared" si="6"/>
        <v/>
      </c>
      <c r="I44" s="37" t="str">
        <f t="shared" si="7"/>
        <v/>
      </c>
    </row>
    <row r="45" spans="1:9" x14ac:dyDescent="0.35">
      <c r="A45" s="37" t="str">
        <f>IF(Maestro_SKU!A45="","",Maestro_SKU!A45)</f>
        <v/>
      </c>
      <c r="B45" s="37" t="str">
        <f>IF(A45="","",IFERROR(VLOOKUP(A45,Maestro_SKU!$A$2:$P$500,2,FALSE),""))</f>
        <v/>
      </c>
      <c r="C45" s="62" t="str">
        <f ca="1">IF(A45="","",SUMIFS(Ventas_SellIn!$Y$2:$Y$800,Ventas_SellIn!$H$2:$H$800,A45,Ventas_SellIn!$B$2:$B$800,"&gt;="&amp;TODAY()-cfg_VentanaDemanda))</f>
        <v/>
      </c>
      <c r="D45" s="63" t="str">
        <f t="shared" si="4"/>
        <v/>
      </c>
      <c r="E45" s="62" t="str">
        <f t="shared" si="5"/>
        <v/>
      </c>
      <c r="F45" s="64"/>
      <c r="G45" s="62" t="str">
        <f>IF(A45="","",IF(F45="",0,F45*IFERROR(VLOOKUP(A45,Maestro_SKU!$A$2:$P$500,12,FALSE),1)))</f>
        <v/>
      </c>
      <c r="H45" s="62" t="str">
        <f t="shared" si="6"/>
        <v/>
      </c>
      <c r="I45" s="37" t="str">
        <f t="shared" si="7"/>
        <v/>
      </c>
    </row>
    <row r="46" spans="1:9" x14ac:dyDescent="0.35">
      <c r="A46" s="37" t="str">
        <f>IF(Maestro_SKU!A46="","",Maestro_SKU!A46)</f>
        <v/>
      </c>
      <c r="B46" s="37" t="str">
        <f>IF(A46="","",IFERROR(VLOOKUP(A46,Maestro_SKU!$A$2:$P$500,2,FALSE),""))</f>
        <v/>
      </c>
      <c r="C46" s="62" t="str">
        <f ca="1">IF(A46="","",SUMIFS(Ventas_SellIn!$Y$2:$Y$800,Ventas_SellIn!$H$2:$H$800,A46,Ventas_SellIn!$B$2:$B$800,"&gt;="&amp;TODAY()-cfg_VentanaDemanda))</f>
        <v/>
      </c>
      <c r="D46" s="63" t="str">
        <f t="shared" si="4"/>
        <v/>
      </c>
      <c r="E46" s="62" t="str">
        <f t="shared" si="5"/>
        <v/>
      </c>
      <c r="F46" s="64"/>
      <c r="G46" s="62" t="str">
        <f>IF(A46="","",IF(F46="",0,F46*IFERROR(VLOOKUP(A46,Maestro_SKU!$A$2:$P$500,12,FALSE),1)))</f>
        <v/>
      </c>
      <c r="H46" s="62" t="str">
        <f t="shared" si="6"/>
        <v/>
      </c>
      <c r="I46" s="37" t="str">
        <f t="shared" si="7"/>
        <v/>
      </c>
    </row>
    <row r="47" spans="1:9" x14ac:dyDescent="0.35">
      <c r="A47" s="37" t="str">
        <f>IF(Maestro_SKU!A47="","",Maestro_SKU!A47)</f>
        <v/>
      </c>
      <c r="B47" s="37" t="str">
        <f>IF(A47="","",IFERROR(VLOOKUP(A47,Maestro_SKU!$A$2:$P$500,2,FALSE),""))</f>
        <v/>
      </c>
      <c r="C47" s="62" t="str">
        <f ca="1">IF(A47="","",SUMIFS(Ventas_SellIn!$Y$2:$Y$800,Ventas_SellIn!$H$2:$H$800,A47,Ventas_SellIn!$B$2:$B$800,"&gt;="&amp;TODAY()-cfg_VentanaDemanda))</f>
        <v/>
      </c>
      <c r="D47" s="63" t="str">
        <f t="shared" si="4"/>
        <v/>
      </c>
      <c r="E47" s="62" t="str">
        <f t="shared" si="5"/>
        <v/>
      </c>
      <c r="F47" s="64"/>
      <c r="G47" s="62" t="str">
        <f>IF(A47="","",IF(F47="",0,F47*IFERROR(VLOOKUP(A47,Maestro_SKU!$A$2:$P$500,12,FALSE),1)))</f>
        <v/>
      </c>
      <c r="H47" s="62" t="str">
        <f t="shared" si="6"/>
        <v/>
      </c>
      <c r="I47" s="37" t="str">
        <f t="shared" si="7"/>
        <v/>
      </c>
    </row>
    <row r="48" spans="1:9" x14ac:dyDescent="0.35">
      <c r="A48" s="37" t="str">
        <f>IF(Maestro_SKU!A48="","",Maestro_SKU!A48)</f>
        <v/>
      </c>
      <c r="B48" s="37" t="str">
        <f>IF(A48="","",IFERROR(VLOOKUP(A48,Maestro_SKU!$A$2:$P$500,2,FALSE),""))</f>
        <v/>
      </c>
      <c r="C48" s="62" t="str">
        <f ca="1">IF(A48="","",SUMIFS(Ventas_SellIn!$Y$2:$Y$800,Ventas_SellIn!$H$2:$H$800,A48,Ventas_SellIn!$B$2:$B$800,"&gt;="&amp;TODAY()-cfg_VentanaDemanda))</f>
        <v/>
      </c>
      <c r="D48" s="63" t="str">
        <f t="shared" si="4"/>
        <v/>
      </c>
      <c r="E48" s="62" t="str">
        <f t="shared" si="5"/>
        <v/>
      </c>
      <c r="F48" s="64"/>
      <c r="G48" s="62" t="str">
        <f>IF(A48="","",IF(F48="",0,F48*IFERROR(VLOOKUP(A48,Maestro_SKU!$A$2:$P$500,12,FALSE),1)))</f>
        <v/>
      </c>
      <c r="H48" s="62" t="str">
        <f t="shared" si="6"/>
        <v/>
      </c>
      <c r="I48" s="37" t="str">
        <f t="shared" si="7"/>
        <v/>
      </c>
    </row>
    <row r="49" spans="1:9" x14ac:dyDescent="0.35">
      <c r="A49" s="37" t="str">
        <f>IF(Maestro_SKU!A49="","",Maestro_SKU!A49)</f>
        <v/>
      </c>
      <c r="B49" s="37" t="str">
        <f>IF(A49="","",IFERROR(VLOOKUP(A49,Maestro_SKU!$A$2:$P$500,2,FALSE),""))</f>
        <v/>
      </c>
      <c r="C49" s="62" t="str">
        <f ca="1">IF(A49="","",SUMIFS(Ventas_SellIn!$Y$2:$Y$800,Ventas_SellIn!$H$2:$H$800,A49,Ventas_SellIn!$B$2:$B$800,"&gt;="&amp;TODAY()-cfg_VentanaDemanda))</f>
        <v/>
      </c>
      <c r="D49" s="63" t="str">
        <f t="shared" si="4"/>
        <v/>
      </c>
      <c r="E49" s="62" t="str">
        <f t="shared" si="5"/>
        <v/>
      </c>
      <c r="F49" s="64"/>
      <c r="G49" s="62" t="str">
        <f>IF(A49="","",IF(F49="",0,F49*IFERROR(VLOOKUP(A49,Maestro_SKU!$A$2:$P$500,12,FALSE),1)))</f>
        <v/>
      </c>
      <c r="H49" s="62" t="str">
        <f t="shared" si="6"/>
        <v/>
      </c>
      <c r="I49" s="37" t="str">
        <f t="shared" si="7"/>
        <v/>
      </c>
    </row>
    <row r="50" spans="1:9" x14ac:dyDescent="0.35">
      <c r="A50" s="37" t="str">
        <f>IF(Maestro_SKU!A50="","",Maestro_SKU!A50)</f>
        <v/>
      </c>
      <c r="B50" s="37" t="str">
        <f>IF(A50="","",IFERROR(VLOOKUP(A50,Maestro_SKU!$A$2:$P$500,2,FALSE),""))</f>
        <v/>
      </c>
      <c r="C50" s="62" t="str">
        <f ca="1">IF(A50="","",SUMIFS(Ventas_SellIn!$Y$2:$Y$800,Ventas_SellIn!$H$2:$H$800,A50,Ventas_SellIn!$B$2:$B$800,"&gt;="&amp;TODAY()-cfg_VentanaDemanda))</f>
        <v/>
      </c>
      <c r="D50" s="63" t="str">
        <f t="shared" si="4"/>
        <v/>
      </c>
      <c r="E50" s="62" t="str">
        <f t="shared" si="5"/>
        <v/>
      </c>
      <c r="F50" s="64"/>
      <c r="G50" s="62" t="str">
        <f>IF(A50="","",IF(F50="",0,F50*IFERROR(VLOOKUP(A50,Maestro_SKU!$A$2:$P$500,12,FALSE),1)))</f>
        <v/>
      </c>
      <c r="H50" s="62" t="str">
        <f t="shared" si="6"/>
        <v/>
      </c>
      <c r="I50" s="37" t="str">
        <f t="shared" si="7"/>
        <v/>
      </c>
    </row>
    <row r="51" spans="1:9" x14ac:dyDescent="0.35">
      <c r="A51" s="37" t="str">
        <f>IF(Maestro_SKU!A51="","",Maestro_SKU!A51)</f>
        <v/>
      </c>
      <c r="B51" s="37" t="str">
        <f>IF(A51="","",IFERROR(VLOOKUP(A51,Maestro_SKU!$A$2:$P$500,2,FALSE),""))</f>
        <v/>
      </c>
      <c r="C51" s="62" t="str">
        <f ca="1">IF(A51="","",SUMIFS(Ventas_SellIn!$Y$2:$Y$800,Ventas_SellIn!$H$2:$H$800,A51,Ventas_SellIn!$B$2:$B$800,"&gt;="&amp;TODAY()-cfg_VentanaDemanda))</f>
        <v/>
      </c>
      <c r="D51" s="63" t="str">
        <f t="shared" si="4"/>
        <v/>
      </c>
      <c r="E51" s="62" t="str">
        <f t="shared" si="5"/>
        <v/>
      </c>
      <c r="F51" s="64"/>
      <c r="G51" s="62" t="str">
        <f>IF(A51="","",IF(F51="",0,F51*IFERROR(VLOOKUP(A51,Maestro_SKU!$A$2:$P$500,12,FALSE),1)))</f>
        <v/>
      </c>
      <c r="H51" s="62" t="str">
        <f t="shared" si="6"/>
        <v/>
      </c>
      <c r="I51" s="37" t="str">
        <f t="shared" si="7"/>
        <v/>
      </c>
    </row>
    <row r="52" spans="1:9" x14ac:dyDescent="0.35">
      <c r="A52" s="37" t="str">
        <f>IF(Maestro_SKU!A52="","",Maestro_SKU!A52)</f>
        <v/>
      </c>
      <c r="B52" s="37" t="str">
        <f>IF(A52="","",IFERROR(VLOOKUP(A52,Maestro_SKU!$A$2:$P$500,2,FALSE),""))</f>
        <v/>
      </c>
      <c r="C52" s="62" t="str">
        <f ca="1">IF(A52="","",SUMIFS(Ventas_SellIn!$Y$2:$Y$800,Ventas_SellIn!$H$2:$H$800,A52,Ventas_SellIn!$B$2:$B$800,"&gt;="&amp;TODAY()-cfg_VentanaDemanda))</f>
        <v/>
      </c>
      <c r="D52" s="63" t="str">
        <f t="shared" si="4"/>
        <v/>
      </c>
      <c r="E52" s="62" t="str">
        <f t="shared" si="5"/>
        <v/>
      </c>
      <c r="F52" s="64"/>
      <c r="G52" s="62" t="str">
        <f>IF(A52="","",IF(F52="",0,F52*IFERROR(VLOOKUP(A52,Maestro_SKU!$A$2:$P$500,12,FALSE),1)))</f>
        <v/>
      </c>
      <c r="H52" s="62" t="str">
        <f t="shared" si="6"/>
        <v/>
      </c>
      <c r="I52" s="37" t="str">
        <f t="shared" si="7"/>
        <v/>
      </c>
    </row>
    <row r="53" spans="1:9" x14ac:dyDescent="0.35">
      <c r="A53" s="37" t="str">
        <f>IF(Maestro_SKU!A53="","",Maestro_SKU!A53)</f>
        <v/>
      </c>
      <c r="B53" s="37" t="str">
        <f>IF(A53="","",IFERROR(VLOOKUP(A53,Maestro_SKU!$A$2:$P$500,2,FALSE),""))</f>
        <v/>
      </c>
      <c r="C53" s="62" t="str">
        <f ca="1">IF(A53="","",SUMIFS(Ventas_SellIn!$Y$2:$Y$800,Ventas_SellIn!$H$2:$H$800,A53,Ventas_SellIn!$B$2:$B$800,"&gt;="&amp;TODAY()-cfg_VentanaDemanda))</f>
        <v/>
      </c>
      <c r="D53" s="63" t="str">
        <f t="shared" si="4"/>
        <v/>
      </c>
      <c r="E53" s="62" t="str">
        <f t="shared" si="5"/>
        <v/>
      </c>
      <c r="F53" s="64"/>
      <c r="G53" s="62" t="str">
        <f>IF(A53="","",IF(F53="",0,F53*IFERROR(VLOOKUP(A53,Maestro_SKU!$A$2:$P$500,12,FALSE),1)))</f>
        <v/>
      </c>
      <c r="H53" s="62" t="str">
        <f t="shared" si="6"/>
        <v/>
      </c>
      <c r="I53" s="37" t="str">
        <f t="shared" si="7"/>
        <v/>
      </c>
    </row>
    <row r="54" spans="1:9" x14ac:dyDescent="0.35">
      <c r="A54" s="37" t="str">
        <f>IF(Maestro_SKU!A54="","",Maestro_SKU!A54)</f>
        <v/>
      </c>
      <c r="B54" s="37" t="str">
        <f>IF(A54="","",IFERROR(VLOOKUP(A54,Maestro_SKU!$A$2:$P$500,2,FALSE),""))</f>
        <v/>
      </c>
      <c r="C54" s="62" t="str">
        <f ca="1">IF(A54="","",SUMIFS(Ventas_SellIn!$Y$2:$Y$800,Ventas_SellIn!$H$2:$H$800,A54,Ventas_SellIn!$B$2:$B$800,"&gt;="&amp;TODAY()-cfg_VentanaDemanda))</f>
        <v/>
      </c>
      <c r="D54" s="63" t="str">
        <f t="shared" si="4"/>
        <v/>
      </c>
      <c r="E54" s="62" t="str">
        <f t="shared" si="5"/>
        <v/>
      </c>
      <c r="F54" s="64"/>
      <c r="G54" s="62" t="str">
        <f>IF(A54="","",IF(F54="",0,F54*IFERROR(VLOOKUP(A54,Maestro_SKU!$A$2:$P$500,12,FALSE),1)))</f>
        <v/>
      </c>
      <c r="H54" s="62" t="str">
        <f t="shared" si="6"/>
        <v/>
      </c>
      <c r="I54" s="37" t="str">
        <f t="shared" si="7"/>
        <v/>
      </c>
    </row>
    <row r="55" spans="1:9" x14ac:dyDescent="0.35">
      <c r="A55" s="37" t="str">
        <f>IF(Maestro_SKU!A55="","",Maestro_SKU!A55)</f>
        <v/>
      </c>
      <c r="B55" s="37" t="str">
        <f>IF(A55="","",IFERROR(VLOOKUP(A55,Maestro_SKU!$A$2:$P$500,2,FALSE),""))</f>
        <v/>
      </c>
      <c r="C55" s="62" t="str">
        <f ca="1">IF(A55="","",SUMIFS(Ventas_SellIn!$Y$2:$Y$800,Ventas_SellIn!$H$2:$H$800,A55,Ventas_SellIn!$B$2:$B$800,"&gt;="&amp;TODAY()-cfg_VentanaDemanda))</f>
        <v/>
      </c>
      <c r="D55" s="63" t="str">
        <f t="shared" si="4"/>
        <v/>
      </c>
      <c r="E55" s="62" t="str">
        <f t="shared" si="5"/>
        <v/>
      </c>
      <c r="F55" s="64"/>
      <c r="G55" s="62" t="str">
        <f>IF(A55="","",IF(F55="",0,F55*IFERROR(VLOOKUP(A55,Maestro_SKU!$A$2:$P$500,12,FALSE),1)))</f>
        <v/>
      </c>
      <c r="H55" s="62" t="str">
        <f t="shared" si="6"/>
        <v/>
      </c>
      <c r="I55" s="37" t="str">
        <f t="shared" si="7"/>
        <v/>
      </c>
    </row>
    <row r="56" spans="1:9" x14ac:dyDescent="0.35">
      <c r="A56" s="37" t="str">
        <f>IF(Maestro_SKU!A56="","",Maestro_SKU!A56)</f>
        <v/>
      </c>
      <c r="B56" s="37" t="str">
        <f>IF(A56="","",IFERROR(VLOOKUP(A56,Maestro_SKU!$A$2:$P$500,2,FALSE),""))</f>
        <v/>
      </c>
      <c r="C56" s="62" t="str">
        <f ca="1">IF(A56="","",SUMIFS(Ventas_SellIn!$Y$2:$Y$800,Ventas_SellIn!$H$2:$H$800,A56,Ventas_SellIn!$B$2:$B$800,"&gt;="&amp;TODAY()-cfg_VentanaDemanda))</f>
        <v/>
      </c>
      <c r="D56" s="63" t="str">
        <f t="shared" si="4"/>
        <v/>
      </c>
      <c r="E56" s="62" t="str">
        <f t="shared" si="5"/>
        <v/>
      </c>
      <c r="F56" s="64"/>
      <c r="G56" s="62" t="str">
        <f>IF(A56="","",IF(F56="",0,F56*IFERROR(VLOOKUP(A56,Maestro_SKU!$A$2:$P$500,12,FALSE),1)))</f>
        <v/>
      </c>
      <c r="H56" s="62" t="str">
        <f t="shared" si="6"/>
        <v/>
      </c>
      <c r="I56" s="37" t="str">
        <f t="shared" si="7"/>
        <v/>
      </c>
    </row>
    <row r="57" spans="1:9" x14ac:dyDescent="0.35">
      <c r="A57" s="37" t="str">
        <f>IF(Maestro_SKU!A57="","",Maestro_SKU!A57)</f>
        <v/>
      </c>
      <c r="B57" s="37" t="str">
        <f>IF(A57="","",IFERROR(VLOOKUP(A57,Maestro_SKU!$A$2:$P$500,2,FALSE),""))</f>
        <v/>
      </c>
      <c r="C57" s="62" t="str">
        <f ca="1">IF(A57="","",SUMIFS(Ventas_SellIn!$Y$2:$Y$800,Ventas_SellIn!$H$2:$H$800,A57,Ventas_SellIn!$B$2:$B$800,"&gt;="&amp;TODAY()-cfg_VentanaDemanda))</f>
        <v/>
      </c>
      <c r="D57" s="63" t="str">
        <f t="shared" si="4"/>
        <v/>
      </c>
      <c r="E57" s="62" t="str">
        <f t="shared" si="5"/>
        <v/>
      </c>
      <c r="F57" s="64"/>
      <c r="G57" s="62" t="str">
        <f>IF(A57="","",IF(F57="",0,F57*IFERROR(VLOOKUP(A57,Maestro_SKU!$A$2:$P$500,12,FALSE),1)))</f>
        <v/>
      </c>
      <c r="H57" s="62" t="str">
        <f t="shared" si="6"/>
        <v/>
      </c>
      <c r="I57" s="37" t="str">
        <f t="shared" si="7"/>
        <v/>
      </c>
    </row>
    <row r="58" spans="1:9" x14ac:dyDescent="0.35">
      <c r="A58" s="37" t="str">
        <f>IF(Maestro_SKU!A58="","",Maestro_SKU!A58)</f>
        <v/>
      </c>
      <c r="B58" s="37" t="str">
        <f>IF(A58="","",IFERROR(VLOOKUP(A58,Maestro_SKU!$A$2:$P$500,2,FALSE),""))</f>
        <v/>
      </c>
      <c r="C58" s="62" t="str">
        <f ca="1">IF(A58="","",SUMIFS(Ventas_SellIn!$Y$2:$Y$800,Ventas_SellIn!$H$2:$H$800,A58,Ventas_SellIn!$B$2:$B$800,"&gt;="&amp;TODAY()-cfg_VentanaDemanda))</f>
        <v/>
      </c>
      <c r="D58" s="63" t="str">
        <f t="shared" si="4"/>
        <v/>
      </c>
      <c r="E58" s="62" t="str">
        <f t="shared" si="5"/>
        <v/>
      </c>
      <c r="F58" s="64"/>
      <c r="G58" s="62" t="str">
        <f>IF(A58="","",IF(F58="",0,F58*IFERROR(VLOOKUP(A58,Maestro_SKU!$A$2:$P$500,12,FALSE),1)))</f>
        <v/>
      </c>
      <c r="H58" s="62" t="str">
        <f t="shared" si="6"/>
        <v/>
      </c>
      <c r="I58" s="37" t="str">
        <f t="shared" si="7"/>
        <v/>
      </c>
    </row>
    <row r="59" spans="1:9" x14ac:dyDescent="0.35">
      <c r="A59" s="37" t="str">
        <f>IF(Maestro_SKU!A59="","",Maestro_SKU!A59)</f>
        <v/>
      </c>
      <c r="B59" s="37" t="str">
        <f>IF(A59="","",IFERROR(VLOOKUP(A59,Maestro_SKU!$A$2:$P$500,2,FALSE),""))</f>
        <v/>
      </c>
      <c r="C59" s="62" t="str">
        <f ca="1">IF(A59="","",SUMIFS(Ventas_SellIn!$Y$2:$Y$800,Ventas_SellIn!$H$2:$H$800,A59,Ventas_SellIn!$B$2:$B$800,"&gt;="&amp;TODAY()-cfg_VentanaDemanda))</f>
        <v/>
      </c>
      <c r="D59" s="63" t="str">
        <f t="shared" si="4"/>
        <v/>
      </c>
      <c r="E59" s="62" t="str">
        <f t="shared" si="5"/>
        <v/>
      </c>
      <c r="F59" s="64"/>
      <c r="G59" s="62" t="str">
        <f>IF(A59="","",IF(F59="",0,F59*IFERROR(VLOOKUP(A59,Maestro_SKU!$A$2:$P$500,12,FALSE),1)))</f>
        <v/>
      </c>
      <c r="H59" s="62" t="str">
        <f t="shared" si="6"/>
        <v/>
      </c>
      <c r="I59" s="37" t="str">
        <f t="shared" si="7"/>
        <v/>
      </c>
    </row>
    <row r="60" spans="1:9" x14ac:dyDescent="0.35">
      <c r="A60" s="37" t="str">
        <f>IF(Maestro_SKU!A60="","",Maestro_SKU!A60)</f>
        <v/>
      </c>
      <c r="B60" s="37" t="str">
        <f>IF(A60="","",IFERROR(VLOOKUP(A60,Maestro_SKU!$A$2:$P$500,2,FALSE),""))</f>
        <v/>
      </c>
      <c r="C60" s="62" t="str">
        <f ca="1">IF(A60="","",SUMIFS(Ventas_SellIn!$Y$2:$Y$800,Ventas_SellIn!$H$2:$H$800,A60,Ventas_SellIn!$B$2:$B$800,"&gt;="&amp;TODAY()-cfg_VentanaDemanda))</f>
        <v/>
      </c>
      <c r="D60" s="63" t="str">
        <f t="shared" si="4"/>
        <v/>
      </c>
      <c r="E60" s="62" t="str">
        <f t="shared" si="5"/>
        <v/>
      </c>
      <c r="F60" s="64"/>
      <c r="G60" s="62" t="str">
        <f>IF(A60="","",IF(F60="",0,F60*IFERROR(VLOOKUP(A60,Maestro_SKU!$A$2:$P$500,12,FALSE),1)))</f>
        <v/>
      </c>
      <c r="H60" s="62" t="str">
        <f t="shared" si="6"/>
        <v/>
      </c>
      <c r="I60" s="37" t="str">
        <f t="shared" si="7"/>
        <v/>
      </c>
    </row>
    <row r="61" spans="1:9" x14ac:dyDescent="0.35">
      <c r="A61" s="37" t="str">
        <f>IF(Maestro_SKU!A61="","",Maestro_SKU!A61)</f>
        <v/>
      </c>
      <c r="B61" s="37" t="str">
        <f>IF(A61="","",IFERROR(VLOOKUP(A61,Maestro_SKU!$A$2:$P$500,2,FALSE),""))</f>
        <v/>
      </c>
      <c r="C61" s="62" t="str">
        <f ca="1">IF(A61="","",SUMIFS(Ventas_SellIn!$Y$2:$Y$800,Ventas_SellIn!$H$2:$H$800,A61,Ventas_SellIn!$B$2:$B$800,"&gt;="&amp;TODAY()-cfg_VentanaDemanda))</f>
        <v/>
      </c>
      <c r="D61" s="63" t="str">
        <f t="shared" si="4"/>
        <v/>
      </c>
      <c r="E61" s="62" t="str">
        <f t="shared" si="5"/>
        <v/>
      </c>
      <c r="F61" s="64"/>
      <c r="G61" s="62" t="str">
        <f>IF(A61="","",IF(F61="",0,F61*IFERROR(VLOOKUP(A61,Maestro_SKU!$A$2:$P$500,12,FALSE),1)))</f>
        <v/>
      </c>
      <c r="H61" s="62" t="str">
        <f t="shared" si="6"/>
        <v/>
      </c>
      <c r="I61" s="37" t="str">
        <f t="shared" si="7"/>
        <v/>
      </c>
    </row>
    <row r="62" spans="1:9" x14ac:dyDescent="0.35">
      <c r="A62" s="37" t="str">
        <f>IF(Maestro_SKU!A62="","",Maestro_SKU!A62)</f>
        <v/>
      </c>
      <c r="B62" s="37" t="str">
        <f>IF(A62="","",IFERROR(VLOOKUP(A62,Maestro_SKU!$A$2:$P$500,2,FALSE),""))</f>
        <v/>
      </c>
      <c r="C62" s="62" t="str">
        <f ca="1">IF(A62="","",SUMIFS(Ventas_SellIn!$Y$2:$Y$800,Ventas_SellIn!$H$2:$H$800,A62,Ventas_SellIn!$B$2:$B$800,"&gt;="&amp;TODAY()-cfg_VentanaDemanda))</f>
        <v/>
      </c>
      <c r="D62" s="63" t="str">
        <f t="shared" si="4"/>
        <v/>
      </c>
      <c r="E62" s="62" t="str">
        <f t="shared" si="5"/>
        <v/>
      </c>
      <c r="F62" s="64"/>
      <c r="G62" s="62" t="str">
        <f>IF(A62="","",IF(F62="",0,F62*IFERROR(VLOOKUP(A62,Maestro_SKU!$A$2:$P$500,12,FALSE),1)))</f>
        <v/>
      </c>
      <c r="H62" s="62" t="str">
        <f t="shared" si="6"/>
        <v/>
      </c>
      <c r="I62" s="37" t="str">
        <f t="shared" si="7"/>
        <v/>
      </c>
    </row>
    <row r="63" spans="1:9" x14ac:dyDescent="0.35">
      <c r="A63" s="37" t="str">
        <f>IF(Maestro_SKU!A63="","",Maestro_SKU!A63)</f>
        <v/>
      </c>
      <c r="B63" s="37" t="str">
        <f>IF(A63="","",IFERROR(VLOOKUP(A63,Maestro_SKU!$A$2:$P$500,2,FALSE),""))</f>
        <v/>
      </c>
      <c r="C63" s="62" t="str">
        <f ca="1">IF(A63="","",SUMIFS(Ventas_SellIn!$Y$2:$Y$800,Ventas_SellIn!$H$2:$H$800,A63,Ventas_SellIn!$B$2:$B$800,"&gt;="&amp;TODAY()-cfg_VentanaDemanda))</f>
        <v/>
      </c>
      <c r="D63" s="63" t="str">
        <f t="shared" si="4"/>
        <v/>
      </c>
      <c r="E63" s="62" t="str">
        <f t="shared" si="5"/>
        <v/>
      </c>
      <c r="F63" s="64"/>
      <c r="G63" s="62" t="str">
        <f>IF(A63="","",IF(F63="",0,F63*IFERROR(VLOOKUP(A63,Maestro_SKU!$A$2:$P$500,12,FALSE),1)))</f>
        <v/>
      </c>
      <c r="H63" s="62" t="str">
        <f t="shared" si="6"/>
        <v/>
      </c>
      <c r="I63" s="37" t="str">
        <f t="shared" si="7"/>
        <v/>
      </c>
    </row>
    <row r="64" spans="1:9" x14ac:dyDescent="0.35">
      <c r="A64" s="37" t="str">
        <f>IF(Maestro_SKU!A64="","",Maestro_SKU!A64)</f>
        <v/>
      </c>
      <c r="B64" s="37" t="str">
        <f>IF(A64="","",IFERROR(VLOOKUP(A64,Maestro_SKU!$A$2:$P$500,2,FALSE),""))</f>
        <v/>
      </c>
      <c r="C64" s="62" t="str">
        <f ca="1">IF(A64="","",SUMIFS(Ventas_SellIn!$Y$2:$Y$800,Ventas_SellIn!$H$2:$H$800,A64,Ventas_SellIn!$B$2:$B$800,"&gt;="&amp;TODAY()-cfg_VentanaDemanda))</f>
        <v/>
      </c>
      <c r="D64" s="63" t="str">
        <f t="shared" si="4"/>
        <v/>
      </c>
      <c r="E64" s="62" t="str">
        <f t="shared" si="5"/>
        <v/>
      </c>
      <c r="F64" s="64"/>
      <c r="G64" s="62" t="str">
        <f>IF(A64="","",IF(F64="",0,F64*IFERROR(VLOOKUP(A64,Maestro_SKU!$A$2:$P$500,12,FALSE),1)))</f>
        <v/>
      </c>
      <c r="H64" s="62" t="str">
        <f t="shared" si="6"/>
        <v/>
      </c>
      <c r="I64" s="37" t="str">
        <f t="shared" si="7"/>
        <v/>
      </c>
    </row>
    <row r="65" spans="1:9" x14ac:dyDescent="0.35">
      <c r="A65" s="37" t="str">
        <f>IF(Maestro_SKU!A65="","",Maestro_SKU!A65)</f>
        <v/>
      </c>
      <c r="B65" s="37" t="str">
        <f>IF(A65="","",IFERROR(VLOOKUP(A65,Maestro_SKU!$A$2:$P$500,2,FALSE),""))</f>
        <v/>
      </c>
      <c r="C65" s="62" t="str">
        <f ca="1">IF(A65="","",SUMIFS(Ventas_SellIn!$Y$2:$Y$800,Ventas_SellIn!$H$2:$H$800,A65,Ventas_SellIn!$B$2:$B$800,"&gt;="&amp;TODAY()-cfg_VentanaDemanda))</f>
        <v/>
      </c>
      <c r="D65" s="63" t="str">
        <f t="shared" si="4"/>
        <v/>
      </c>
      <c r="E65" s="62" t="str">
        <f t="shared" si="5"/>
        <v/>
      </c>
      <c r="F65" s="64"/>
      <c r="G65" s="62" t="str">
        <f>IF(A65="","",IF(F65="",0,F65*IFERROR(VLOOKUP(A65,Maestro_SKU!$A$2:$P$500,12,FALSE),1)))</f>
        <v/>
      </c>
      <c r="H65" s="62" t="str">
        <f t="shared" si="6"/>
        <v/>
      </c>
      <c r="I65" s="37" t="str">
        <f t="shared" si="7"/>
        <v/>
      </c>
    </row>
    <row r="66" spans="1:9" x14ac:dyDescent="0.35">
      <c r="A66" s="37" t="str">
        <f>IF(Maestro_SKU!A66="","",Maestro_SKU!A66)</f>
        <v/>
      </c>
      <c r="B66" s="37" t="str">
        <f>IF(A66="","",IFERROR(VLOOKUP(A66,Maestro_SKU!$A$2:$P$500,2,FALSE),""))</f>
        <v/>
      </c>
      <c r="C66" s="62" t="str">
        <f ca="1">IF(A66="","",SUMIFS(Ventas_SellIn!$Y$2:$Y$800,Ventas_SellIn!$H$2:$H$800,A66,Ventas_SellIn!$B$2:$B$800,"&gt;="&amp;TODAY()-cfg_VentanaDemanda))</f>
        <v/>
      </c>
      <c r="D66" s="63" t="str">
        <f t="shared" ref="D66:D81" si="8">IF(A66="","",C66/cfg_VentanaDemanda)</f>
        <v/>
      </c>
      <c r="E66" s="62" t="str">
        <f t="shared" ref="E66:E81" si="9">IF(A66="","",ROUND(D66*cfg_DiasCobertura*(1+cfg_PctSeguridad),0))</f>
        <v/>
      </c>
      <c r="F66" s="64"/>
      <c r="G66" s="62" t="str">
        <f>IF(A66="","",IF(F66="",0,F66*IFERROR(VLOOKUP(A66,Maestro_SKU!$A$2:$P$500,12,FALSE),1)))</f>
        <v/>
      </c>
      <c r="H66" s="62" t="str">
        <f t="shared" ref="H66:H81" si="10">IF(A66="","",MAX(E66-G66,0))</f>
        <v/>
      </c>
      <c r="I66" s="37" t="str">
        <f t="shared" ref="I66:I81" si="11">IF(A66="","",IF(F66="","Falta bodega",IF(G66&gt;=E66,"OK",IF(G66&gt;=E66*0.6,"Ajustado","Reponer"))))</f>
        <v/>
      </c>
    </row>
    <row r="67" spans="1:9" x14ac:dyDescent="0.35">
      <c r="A67" s="37" t="str">
        <f>IF(Maestro_SKU!A67="","",Maestro_SKU!A67)</f>
        <v/>
      </c>
      <c r="B67" s="37" t="str">
        <f>IF(A67="","",IFERROR(VLOOKUP(A67,Maestro_SKU!$A$2:$P$500,2,FALSE),""))</f>
        <v/>
      </c>
      <c r="C67" s="62" t="str">
        <f ca="1">IF(A67="","",SUMIFS(Ventas_SellIn!$Y$2:$Y$800,Ventas_SellIn!$H$2:$H$800,A67,Ventas_SellIn!$B$2:$B$800,"&gt;="&amp;TODAY()-cfg_VentanaDemanda))</f>
        <v/>
      </c>
      <c r="D67" s="63" t="str">
        <f t="shared" si="8"/>
        <v/>
      </c>
      <c r="E67" s="62" t="str">
        <f t="shared" si="9"/>
        <v/>
      </c>
      <c r="F67" s="64"/>
      <c r="G67" s="62" t="str">
        <f>IF(A67="","",IF(F67="",0,F67*IFERROR(VLOOKUP(A67,Maestro_SKU!$A$2:$P$500,12,FALSE),1)))</f>
        <v/>
      </c>
      <c r="H67" s="62" t="str">
        <f t="shared" si="10"/>
        <v/>
      </c>
      <c r="I67" s="37" t="str">
        <f t="shared" si="11"/>
        <v/>
      </c>
    </row>
    <row r="68" spans="1:9" x14ac:dyDescent="0.35">
      <c r="A68" s="37" t="str">
        <f>IF(Maestro_SKU!A68="","",Maestro_SKU!A68)</f>
        <v/>
      </c>
      <c r="B68" s="37" t="str">
        <f>IF(A68="","",IFERROR(VLOOKUP(A68,Maestro_SKU!$A$2:$P$500,2,FALSE),""))</f>
        <v/>
      </c>
      <c r="C68" s="62" t="str">
        <f ca="1">IF(A68="","",SUMIFS(Ventas_SellIn!$Y$2:$Y$800,Ventas_SellIn!$H$2:$H$800,A68,Ventas_SellIn!$B$2:$B$800,"&gt;="&amp;TODAY()-cfg_VentanaDemanda))</f>
        <v/>
      </c>
      <c r="D68" s="63" t="str">
        <f t="shared" si="8"/>
        <v/>
      </c>
      <c r="E68" s="62" t="str">
        <f t="shared" si="9"/>
        <v/>
      </c>
      <c r="F68" s="64"/>
      <c r="G68" s="62" t="str">
        <f>IF(A68="","",IF(F68="",0,F68*IFERROR(VLOOKUP(A68,Maestro_SKU!$A$2:$P$500,12,FALSE),1)))</f>
        <v/>
      </c>
      <c r="H68" s="62" t="str">
        <f t="shared" si="10"/>
        <v/>
      </c>
      <c r="I68" s="37" t="str">
        <f t="shared" si="11"/>
        <v/>
      </c>
    </row>
    <row r="69" spans="1:9" x14ac:dyDescent="0.35">
      <c r="A69" s="37" t="str">
        <f>IF(Maestro_SKU!A69="","",Maestro_SKU!A69)</f>
        <v/>
      </c>
      <c r="B69" s="37" t="str">
        <f>IF(A69="","",IFERROR(VLOOKUP(A69,Maestro_SKU!$A$2:$P$500,2,FALSE),""))</f>
        <v/>
      </c>
      <c r="C69" s="62" t="str">
        <f ca="1">IF(A69="","",SUMIFS(Ventas_SellIn!$Y$2:$Y$800,Ventas_SellIn!$H$2:$H$800,A69,Ventas_SellIn!$B$2:$B$800,"&gt;="&amp;TODAY()-cfg_VentanaDemanda))</f>
        <v/>
      </c>
      <c r="D69" s="63" t="str">
        <f t="shared" si="8"/>
        <v/>
      </c>
      <c r="E69" s="62" t="str">
        <f t="shared" si="9"/>
        <v/>
      </c>
      <c r="F69" s="64"/>
      <c r="G69" s="62" t="str">
        <f>IF(A69="","",IF(F69="",0,F69*IFERROR(VLOOKUP(A69,Maestro_SKU!$A$2:$P$500,12,FALSE),1)))</f>
        <v/>
      </c>
      <c r="H69" s="62" t="str">
        <f t="shared" si="10"/>
        <v/>
      </c>
      <c r="I69" s="37" t="str">
        <f t="shared" si="11"/>
        <v/>
      </c>
    </row>
    <row r="70" spans="1:9" x14ac:dyDescent="0.35">
      <c r="A70" s="37" t="str">
        <f>IF(Maestro_SKU!A70="","",Maestro_SKU!A70)</f>
        <v/>
      </c>
      <c r="B70" s="37" t="str">
        <f>IF(A70="","",IFERROR(VLOOKUP(A70,Maestro_SKU!$A$2:$P$500,2,FALSE),""))</f>
        <v/>
      </c>
      <c r="C70" s="62" t="str">
        <f ca="1">IF(A70="","",SUMIFS(Ventas_SellIn!$Y$2:$Y$800,Ventas_SellIn!$H$2:$H$800,A70,Ventas_SellIn!$B$2:$B$800,"&gt;="&amp;TODAY()-cfg_VentanaDemanda))</f>
        <v/>
      </c>
      <c r="D70" s="63" t="str">
        <f t="shared" si="8"/>
        <v/>
      </c>
      <c r="E70" s="62" t="str">
        <f t="shared" si="9"/>
        <v/>
      </c>
      <c r="F70" s="64"/>
      <c r="G70" s="62" t="str">
        <f>IF(A70="","",IF(F70="",0,F70*IFERROR(VLOOKUP(A70,Maestro_SKU!$A$2:$P$500,12,FALSE),1)))</f>
        <v/>
      </c>
      <c r="H70" s="62" t="str">
        <f t="shared" si="10"/>
        <v/>
      </c>
      <c r="I70" s="37" t="str">
        <f t="shared" si="11"/>
        <v/>
      </c>
    </row>
    <row r="71" spans="1:9" x14ac:dyDescent="0.35">
      <c r="A71" s="37" t="str">
        <f>IF(Maestro_SKU!A71="","",Maestro_SKU!A71)</f>
        <v/>
      </c>
      <c r="B71" s="37" t="str">
        <f>IF(A71="","",IFERROR(VLOOKUP(A71,Maestro_SKU!$A$2:$P$500,2,FALSE),""))</f>
        <v/>
      </c>
      <c r="C71" s="62" t="str">
        <f ca="1">IF(A71="","",SUMIFS(Ventas_SellIn!$Y$2:$Y$800,Ventas_SellIn!$H$2:$H$800,A71,Ventas_SellIn!$B$2:$B$800,"&gt;="&amp;TODAY()-cfg_VentanaDemanda))</f>
        <v/>
      </c>
      <c r="D71" s="63" t="str">
        <f t="shared" si="8"/>
        <v/>
      </c>
      <c r="E71" s="62" t="str">
        <f t="shared" si="9"/>
        <v/>
      </c>
      <c r="F71" s="64"/>
      <c r="G71" s="62" t="str">
        <f>IF(A71="","",IF(F71="",0,F71*IFERROR(VLOOKUP(A71,Maestro_SKU!$A$2:$P$500,12,FALSE),1)))</f>
        <v/>
      </c>
      <c r="H71" s="62" t="str">
        <f t="shared" si="10"/>
        <v/>
      </c>
      <c r="I71" s="37" t="str">
        <f t="shared" si="11"/>
        <v/>
      </c>
    </row>
    <row r="72" spans="1:9" x14ac:dyDescent="0.35">
      <c r="A72" s="37" t="str">
        <f>IF(Maestro_SKU!A72="","",Maestro_SKU!A72)</f>
        <v/>
      </c>
      <c r="B72" s="37" t="str">
        <f>IF(A72="","",IFERROR(VLOOKUP(A72,Maestro_SKU!$A$2:$P$500,2,FALSE),""))</f>
        <v/>
      </c>
      <c r="C72" s="62" t="str">
        <f ca="1">IF(A72="","",SUMIFS(Ventas_SellIn!$Y$2:$Y$800,Ventas_SellIn!$H$2:$H$800,A72,Ventas_SellIn!$B$2:$B$800,"&gt;="&amp;TODAY()-cfg_VentanaDemanda))</f>
        <v/>
      </c>
      <c r="D72" s="63" t="str">
        <f t="shared" si="8"/>
        <v/>
      </c>
      <c r="E72" s="62" t="str">
        <f t="shared" si="9"/>
        <v/>
      </c>
      <c r="F72" s="64"/>
      <c r="G72" s="62" t="str">
        <f>IF(A72="","",IF(F72="",0,F72*IFERROR(VLOOKUP(A72,Maestro_SKU!$A$2:$P$500,12,FALSE),1)))</f>
        <v/>
      </c>
      <c r="H72" s="62" t="str">
        <f t="shared" si="10"/>
        <v/>
      </c>
      <c r="I72" s="37" t="str">
        <f t="shared" si="11"/>
        <v/>
      </c>
    </row>
    <row r="73" spans="1:9" x14ac:dyDescent="0.35">
      <c r="A73" s="37" t="str">
        <f>IF(Maestro_SKU!A73="","",Maestro_SKU!A73)</f>
        <v/>
      </c>
      <c r="B73" s="37" t="str">
        <f>IF(A73="","",IFERROR(VLOOKUP(A73,Maestro_SKU!$A$2:$P$500,2,FALSE),""))</f>
        <v/>
      </c>
      <c r="C73" s="62" t="str">
        <f ca="1">IF(A73="","",SUMIFS(Ventas_SellIn!$Y$2:$Y$800,Ventas_SellIn!$H$2:$H$800,A73,Ventas_SellIn!$B$2:$B$800,"&gt;="&amp;TODAY()-cfg_VentanaDemanda))</f>
        <v/>
      </c>
      <c r="D73" s="63" t="str">
        <f t="shared" si="8"/>
        <v/>
      </c>
      <c r="E73" s="62" t="str">
        <f t="shared" si="9"/>
        <v/>
      </c>
      <c r="F73" s="64"/>
      <c r="G73" s="62" t="str">
        <f>IF(A73="","",IF(F73="",0,F73*IFERROR(VLOOKUP(A73,Maestro_SKU!$A$2:$P$500,12,FALSE),1)))</f>
        <v/>
      </c>
      <c r="H73" s="62" t="str">
        <f t="shared" si="10"/>
        <v/>
      </c>
      <c r="I73" s="37" t="str">
        <f t="shared" si="11"/>
        <v/>
      </c>
    </row>
    <row r="74" spans="1:9" x14ac:dyDescent="0.35">
      <c r="A74" s="37" t="str">
        <f>IF(Maestro_SKU!A74="","",Maestro_SKU!A74)</f>
        <v/>
      </c>
      <c r="B74" s="37" t="str">
        <f>IF(A74="","",IFERROR(VLOOKUP(A74,Maestro_SKU!$A$2:$P$500,2,FALSE),""))</f>
        <v/>
      </c>
      <c r="C74" s="62" t="str">
        <f ca="1">IF(A74="","",SUMIFS(Ventas_SellIn!$Y$2:$Y$800,Ventas_SellIn!$H$2:$H$800,A74,Ventas_SellIn!$B$2:$B$800,"&gt;="&amp;TODAY()-cfg_VentanaDemanda))</f>
        <v/>
      </c>
      <c r="D74" s="63" t="str">
        <f t="shared" si="8"/>
        <v/>
      </c>
      <c r="E74" s="62" t="str">
        <f t="shared" si="9"/>
        <v/>
      </c>
      <c r="F74" s="64"/>
      <c r="G74" s="62" t="str">
        <f>IF(A74="","",IF(F74="",0,F74*IFERROR(VLOOKUP(A74,Maestro_SKU!$A$2:$P$500,12,FALSE),1)))</f>
        <v/>
      </c>
      <c r="H74" s="62" t="str">
        <f t="shared" si="10"/>
        <v/>
      </c>
      <c r="I74" s="37" t="str">
        <f t="shared" si="11"/>
        <v/>
      </c>
    </row>
    <row r="75" spans="1:9" x14ac:dyDescent="0.35">
      <c r="A75" s="37" t="str">
        <f>IF(Maestro_SKU!A75="","",Maestro_SKU!A75)</f>
        <v/>
      </c>
      <c r="B75" s="37" t="str">
        <f>IF(A75="","",IFERROR(VLOOKUP(A75,Maestro_SKU!$A$2:$P$500,2,FALSE),""))</f>
        <v/>
      </c>
      <c r="C75" s="62" t="str">
        <f ca="1">IF(A75="","",SUMIFS(Ventas_SellIn!$Y$2:$Y$800,Ventas_SellIn!$H$2:$H$800,A75,Ventas_SellIn!$B$2:$B$800,"&gt;="&amp;TODAY()-cfg_VentanaDemanda))</f>
        <v/>
      </c>
      <c r="D75" s="63" t="str">
        <f t="shared" si="8"/>
        <v/>
      </c>
      <c r="E75" s="62" t="str">
        <f t="shared" si="9"/>
        <v/>
      </c>
      <c r="F75" s="64"/>
      <c r="G75" s="62" t="str">
        <f>IF(A75="","",IF(F75="",0,F75*IFERROR(VLOOKUP(A75,Maestro_SKU!$A$2:$P$500,12,FALSE),1)))</f>
        <v/>
      </c>
      <c r="H75" s="62" t="str">
        <f t="shared" si="10"/>
        <v/>
      </c>
      <c r="I75" s="37" t="str">
        <f t="shared" si="11"/>
        <v/>
      </c>
    </row>
    <row r="76" spans="1:9" x14ac:dyDescent="0.35">
      <c r="A76" s="37" t="str">
        <f>IF(Maestro_SKU!A76="","",Maestro_SKU!A76)</f>
        <v/>
      </c>
      <c r="B76" s="37" t="str">
        <f>IF(A76="","",IFERROR(VLOOKUP(A76,Maestro_SKU!$A$2:$P$500,2,FALSE),""))</f>
        <v/>
      </c>
      <c r="C76" s="62" t="str">
        <f ca="1">IF(A76="","",SUMIFS(Ventas_SellIn!$Y$2:$Y$800,Ventas_SellIn!$H$2:$H$800,A76,Ventas_SellIn!$B$2:$B$800,"&gt;="&amp;TODAY()-cfg_VentanaDemanda))</f>
        <v/>
      </c>
      <c r="D76" s="63" t="str">
        <f t="shared" si="8"/>
        <v/>
      </c>
      <c r="E76" s="62" t="str">
        <f t="shared" si="9"/>
        <v/>
      </c>
      <c r="F76" s="64"/>
      <c r="G76" s="62" t="str">
        <f>IF(A76="","",IF(F76="",0,F76*IFERROR(VLOOKUP(A76,Maestro_SKU!$A$2:$P$500,12,FALSE),1)))</f>
        <v/>
      </c>
      <c r="H76" s="62" t="str">
        <f t="shared" si="10"/>
        <v/>
      </c>
      <c r="I76" s="37" t="str">
        <f t="shared" si="11"/>
        <v/>
      </c>
    </row>
    <row r="77" spans="1:9" x14ac:dyDescent="0.35">
      <c r="A77" s="37" t="str">
        <f>IF(Maestro_SKU!A77="","",Maestro_SKU!A77)</f>
        <v/>
      </c>
      <c r="B77" s="37" t="str">
        <f>IF(A77="","",IFERROR(VLOOKUP(A77,Maestro_SKU!$A$2:$P$500,2,FALSE),""))</f>
        <v/>
      </c>
      <c r="C77" s="62" t="str">
        <f ca="1">IF(A77="","",SUMIFS(Ventas_SellIn!$Y$2:$Y$800,Ventas_SellIn!$H$2:$H$800,A77,Ventas_SellIn!$B$2:$B$800,"&gt;="&amp;TODAY()-cfg_VentanaDemanda))</f>
        <v/>
      </c>
      <c r="D77" s="63" t="str">
        <f t="shared" si="8"/>
        <v/>
      </c>
      <c r="E77" s="62" t="str">
        <f t="shared" si="9"/>
        <v/>
      </c>
      <c r="F77" s="64"/>
      <c r="G77" s="62" t="str">
        <f>IF(A77="","",IF(F77="",0,F77*IFERROR(VLOOKUP(A77,Maestro_SKU!$A$2:$P$500,12,FALSE),1)))</f>
        <v/>
      </c>
      <c r="H77" s="62" t="str">
        <f t="shared" si="10"/>
        <v/>
      </c>
      <c r="I77" s="37" t="str">
        <f t="shared" si="11"/>
        <v/>
      </c>
    </row>
    <row r="78" spans="1:9" x14ac:dyDescent="0.35">
      <c r="A78" s="37" t="str">
        <f>IF(Maestro_SKU!A78="","",Maestro_SKU!A78)</f>
        <v/>
      </c>
      <c r="B78" s="37" t="str">
        <f>IF(A78="","",IFERROR(VLOOKUP(A78,Maestro_SKU!$A$2:$P$500,2,FALSE),""))</f>
        <v/>
      </c>
      <c r="C78" s="62" t="str">
        <f ca="1">IF(A78="","",SUMIFS(Ventas_SellIn!$Y$2:$Y$800,Ventas_SellIn!$H$2:$H$800,A78,Ventas_SellIn!$B$2:$B$800,"&gt;="&amp;TODAY()-cfg_VentanaDemanda))</f>
        <v/>
      </c>
      <c r="D78" s="63" t="str">
        <f t="shared" si="8"/>
        <v/>
      </c>
      <c r="E78" s="62" t="str">
        <f t="shared" si="9"/>
        <v/>
      </c>
      <c r="F78" s="64"/>
      <c r="G78" s="62" t="str">
        <f>IF(A78="","",IF(F78="",0,F78*IFERROR(VLOOKUP(A78,Maestro_SKU!$A$2:$P$500,12,FALSE),1)))</f>
        <v/>
      </c>
      <c r="H78" s="62" t="str">
        <f t="shared" si="10"/>
        <v/>
      </c>
      <c r="I78" s="37" t="str">
        <f t="shared" si="11"/>
        <v/>
      </c>
    </row>
    <row r="79" spans="1:9" x14ac:dyDescent="0.35">
      <c r="A79" s="37" t="str">
        <f>IF(Maestro_SKU!A79="","",Maestro_SKU!A79)</f>
        <v/>
      </c>
      <c r="B79" s="37" t="str">
        <f>IF(A79="","",IFERROR(VLOOKUP(A79,Maestro_SKU!$A$2:$P$500,2,FALSE),""))</f>
        <v/>
      </c>
      <c r="C79" s="62" t="str">
        <f ca="1">IF(A79="","",SUMIFS(Ventas_SellIn!$Y$2:$Y$800,Ventas_SellIn!$H$2:$H$800,A79,Ventas_SellIn!$B$2:$B$800,"&gt;="&amp;TODAY()-cfg_VentanaDemanda))</f>
        <v/>
      </c>
      <c r="D79" s="63" t="str">
        <f t="shared" si="8"/>
        <v/>
      </c>
      <c r="E79" s="62" t="str">
        <f t="shared" si="9"/>
        <v/>
      </c>
      <c r="F79" s="64"/>
      <c r="G79" s="62" t="str">
        <f>IF(A79="","",IF(F79="",0,F79*IFERROR(VLOOKUP(A79,Maestro_SKU!$A$2:$P$500,12,FALSE),1)))</f>
        <v/>
      </c>
      <c r="H79" s="62" t="str">
        <f t="shared" si="10"/>
        <v/>
      </c>
      <c r="I79" s="37" t="str">
        <f t="shared" si="11"/>
        <v/>
      </c>
    </row>
    <row r="80" spans="1:9" x14ac:dyDescent="0.35">
      <c r="A80" s="37" t="str">
        <f>IF(Maestro_SKU!A80="","",Maestro_SKU!A80)</f>
        <v/>
      </c>
      <c r="B80" s="37" t="str">
        <f>IF(A80="","",IFERROR(VLOOKUP(A80,Maestro_SKU!$A$2:$P$500,2,FALSE),""))</f>
        <v/>
      </c>
      <c r="C80" s="62" t="str">
        <f ca="1">IF(A80="","",SUMIFS(Ventas_SellIn!$Y$2:$Y$800,Ventas_SellIn!$H$2:$H$800,A80,Ventas_SellIn!$B$2:$B$800,"&gt;="&amp;TODAY()-cfg_VentanaDemanda))</f>
        <v/>
      </c>
      <c r="D80" s="63" t="str">
        <f t="shared" si="8"/>
        <v/>
      </c>
      <c r="E80" s="62" t="str">
        <f t="shared" si="9"/>
        <v/>
      </c>
      <c r="F80" s="64"/>
      <c r="G80" s="62" t="str">
        <f>IF(A80="","",IF(F80="",0,F80*IFERROR(VLOOKUP(A80,Maestro_SKU!$A$2:$P$500,12,FALSE),1)))</f>
        <v/>
      </c>
      <c r="H80" s="62" t="str">
        <f t="shared" si="10"/>
        <v/>
      </c>
      <c r="I80" s="37" t="str">
        <f t="shared" si="11"/>
        <v/>
      </c>
    </row>
    <row r="81" spans="1:9" x14ac:dyDescent="0.35">
      <c r="A81" s="37" t="str">
        <f>IF(Maestro_SKU!A81="","",Maestro_SKU!A81)</f>
        <v/>
      </c>
      <c r="B81" s="37" t="str">
        <f>IF(A81="","",IFERROR(VLOOKUP(A81,Maestro_SKU!$A$2:$P$500,2,FALSE),""))</f>
        <v/>
      </c>
      <c r="C81" s="62" t="str">
        <f ca="1">IF(A81="","",SUMIFS(Ventas_SellIn!$Y$2:$Y$800,Ventas_SellIn!$H$2:$H$800,A81,Ventas_SellIn!$B$2:$B$800,"&gt;="&amp;TODAY()-cfg_VentanaDemanda))</f>
        <v/>
      </c>
      <c r="D81" s="63" t="str">
        <f t="shared" si="8"/>
        <v/>
      </c>
      <c r="E81" s="62" t="str">
        <f t="shared" si="9"/>
        <v/>
      </c>
      <c r="F81" s="64"/>
      <c r="G81" s="62" t="str">
        <f>IF(A81="","",IF(F81="",0,F81*IFERROR(VLOOKUP(A81,Maestro_SKU!$A$2:$P$500,12,FALSE),1)))</f>
        <v/>
      </c>
      <c r="H81" s="62" t="str">
        <f t="shared" si="10"/>
        <v/>
      </c>
      <c r="I81" s="37" t="str">
        <f t="shared" si="11"/>
        <v/>
      </c>
    </row>
  </sheetData>
  <autoFilter ref="A1:I81" xr:uid="{00000000-0009-0000-0000-000004000000}"/>
  <conditionalFormatting sqref="I2:I81">
    <cfRule type="cellIs" dxfId="21" priority="1" operator="equal">
      <formula>"Reponer"</formula>
    </cfRule>
    <cfRule type="cellIs" dxfId="20" priority="2" operator="equal">
      <formula>"Ajustado"</formula>
    </cfRule>
    <cfRule type="cellIs" dxfId="19" priority="3" operator="equal">
      <formula>"OK"</formula>
    </cfRule>
  </conditionalFormatting>
  <hyperlinks>
    <hyperlink ref="K1" location="Inicio!A28" display="⚙ Configuración" xr:uid="{00000000-0004-0000-0400-000000000000}"/>
  </hyperlinks>
  <pageMargins left="0.75" right="0.75" top="1" bottom="1" header="0.5" footer="0.5"/>
  <headerFooter>
    <oddHeader>&amp;C&amp;8 DOCUMENTO CONFIDENCIAL Y RESTRINGIDO  -  Uso interno Nuva Oxi</oddHeader>
    <oddFooter>&amp;LNuva Oxi&amp;RPágina &amp;P de &amp;N</oddFooter>
  </headerFooter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A3B61"/>
  </sheetPr>
  <dimension ref="A1:H50"/>
  <sheetViews>
    <sheetView workbookViewId="0">
      <pane ySplit="1" topLeftCell="A2" activePane="bottomLeft" state="frozen"/>
      <selection pane="bottomLeft" activeCell="E9" sqref="E9"/>
    </sheetView>
  </sheetViews>
  <sheetFormatPr baseColWidth="10" defaultColWidth="8.7265625" defaultRowHeight="14.5" x14ac:dyDescent="0.35"/>
  <cols>
    <col min="1" max="1" width="12" customWidth="1"/>
    <col min="2" max="2" width="16" customWidth="1"/>
    <col min="3" max="3" width="20" customWidth="1"/>
    <col min="4" max="4" width="26" customWidth="1"/>
    <col min="5" max="7" width="16" customWidth="1"/>
    <col min="8" max="8" width="18" customWidth="1"/>
  </cols>
  <sheetData>
    <row r="1" spans="1:8" x14ac:dyDescent="0.35">
      <c r="A1" s="60" t="s">
        <v>224</v>
      </c>
      <c r="B1" s="60" t="s">
        <v>1</v>
      </c>
      <c r="C1" s="60" t="s">
        <v>225</v>
      </c>
      <c r="D1" s="60" t="s">
        <v>19</v>
      </c>
      <c r="E1" s="60" t="s">
        <v>226</v>
      </c>
      <c r="F1" s="60" t="s">
        <v>227</v>
      </c>
      <c r="G1" s="60" t="s">
        <v>228</v>
      </c>
      <c r="H1" s="60" t="s">
        <v>229</v>
      </c>
    </row>
    <row r="2" spans="1:8" x14ac:dyDescent="0.35">
      <c r="A2" s="43" t="s">
        <v>230</v>
      </c>
      <c r="B2" s="43" t="s">
        <v>231</v>
      </c>
      <c r="C2" s="43" t="s">
        <v>232</v>
      </c>
      <c r="D2" s="43"/>
      <c r="E2" s="62">
        <f>IF($B2="","",SUMIFS(Ventas_SellIn!$Y$2:$Y$800,Ventas_SellIn!$E$2:$E$800,$B2))</f>
        <v>1350</v>
      </c>
      <c r="F2" s="62">
        <f>IF($B2="","",SUMIFS(SellOut_Jumbo!$O$2:$O$800,SellOut_Jumbo!$B$2:$B$800,$B2))</f>
        <v>243</v>
      </c>
      <c r="G2" s="62">
        <f>IF($B2="","",SUMIFS(Stock_PDV!$H$2:$H$800,Stock_PDV!$B$2:$B$800,$B2))</f>
        <v>188</v>
      </c>
      <c r="H2" s="62">
        <f t="shared" ref="H2:H33" si="0">IF($B2="","",E2-F2-G2)</f>
        <v>919</v>
      </c>
    </row>
    <row r="3" spans="1:8" x14ac:dyDescent="0.35">
      <c r="A3" s="43"/>
      <c r="B3" s="43"/>
      <c r="C3" s="43"/>
      <c r="D3" s="43"/>
      <c r="E3" s="62" t="str">
        <f>IF($B3="","",SUMIFS(Ventas_SellIn!$Y$2:$Y$800,Ventas_SellIn!$E$2:$E$800,$B3))</f>
        <v/>
      </c>
      <c r="F3" s="62" t="str">
        <f>IF($B3="","",SUMIFS(SellOut_Jumbo!$O$2:$O$800,SellOut_Jumbo!$B$2:$B$800,$B3))</f>
        <v/>
      </c>
      <c r="G3" s="62" t="str">
        <f>IF($B3="","",SUMIFS(Stock_PDV!$H$2:$H$800,Stock_PDV!$B$2:$B$800,$B3))</f>
        <v/>
      </c>
      <c r="H3" s="62" t="str">
        <f t="shared" si="0"/>
        <v/>
      </c>
    </row>
    <row r="4" spans="1:8" x14ac:dyDescent="0.35">
      <c r="A4" s="43"/>
      <c r="B4" s="43"/>
      <c r="C4" s="43"/>
      <c r="D4" s="43"/>
      <c r="E4" s="62" t="str">
        <f>IF($B4="","",SUMIFS(Ventas_SellIn!$Y$2:$Y$800,Ventas_SellIn!$E$2:$E$800,$B4))</f>
        <v/>
      </c>
      <c r="F4" s="62" t="str">
        <f>IF($B4="","",SUMIFS(SellOut_Jumbo!$O$2:$O$800,SellOut_Jumbo!$B$2:$B$800,$B4))</f>
        <v/>
      </c>
      <c r="G4" s="62" t="str">
        <f>IF($B4="","",SUMIFS(Stock_PDV!$H$2:$H$800,Stock_PDV!$B$2:$B$800,$B4))</f>
        <v/>
      </c>
      <c r="H4" s="62" t="str">
        <f t="shared" si="0"/>
        <v/>
      </c>
    </row>
    <row r="5" spans="1:8" x14ac:dyDescent="0.35">
      <c r="A5" s="43"/>
      <c r="B5" s="43"/>
      <c r="C5" s="43"/>
      <c r="D5" s="43"/>
      <c r="E5" s="62" t="str">
        <f>IF($B5="","",SUMIFS(Ventas_SellIn!$Y$2:$Y$800,Ventas_SellIn!$E$2:$E$800,$B5))</f>
        <v/>
      </c>
      <c r="F5" s="62" t="str">
        <f>IF($B5="","",SUMIFS(SellOut_Jumbo!$O$2:$O$800,SellOut_Jumbo!$B$2:$B$800,$B5))</f>
        <v/>
      </c>
      <c r="G5" s="62" t="str">
        <f>IF($B5="","",SUMIFS(Stock_PDV!$H$2:$H$800,Stock_PDV!$B$2:$B$800,$B5))</f>
        <v/>
      </c>
      <c r="H5" s="62" t="str">
        <f t="shared" si="0"/>
        <v/>
      </c>
    </row>
    <row r="6" spans="1:8" x14ac:dyDescent="0.35">
      <c r="A6" s="43"/>
      <c r="B6" s="43"/>
      <c r="C6" s="43"/>
      <c r="D6" s="43"/>
      <c r="E6" s="62" t="str">
        <f>IF($B6="","",SUMIFS(Ventas_SellIn!$Y$2:$Y$800,Ventas_SellIn!$E$2:$E$800,$B6))</f>
        <v/>
      </c>
      <c r="F6" s="62" t="str">
        <f>IF($B6="","",SUMIFS(SellOut_Jumbo!$O$2:$O$800,SellOut_Jumbo!$B$2:$B$800,$B6))</f>
        <v/>
      </c>
      <c r="G6" s="62" t="str">
        <f>IF($B6="","",SUMIFS(Stock_PDV!$H$2:$H$800,Stock_PDV!$B$2:$B$800,$B6))</f>
        <v/>
      </c>
      <c r="H6" s="62" t="str">
        <f t="shared" si="0"/>
        <v/>
      </c>
    </row>
    <row r="7" spans="1:8" x14ac:dyDescent="0.35">
      <c r="A7" s="43"/>
      <c r="B7" s="43"/>
      <c r="C7" s="43"/>
      <c r="D7" s="43"/>
      <c r="E7" s="62" t="str">
        <f>IF($B7="","",SUMIFS(Ventas_SellIn!$Y$2:$Y$800,Ventas_SellIn!$E$2:$E$800,$B7))</f>
        <v/>
      </c>
      <c r="F7" s="62" t="str">
        <f>IF($B7="","",SUMIFS(SellOut_Jumbo!$O$2:$O$800,SellOut_Jumbo!$B$2:$B$800,$B7))</f>
        <v/>
      </c>
      <c r="G7" s="62" t="str">
        <f>IF($B7="","",SUMIFS(Stock_PDV!$H$2:$H$800,Stock_PDV!$B$2:$B$800,$B7))</f>
        <v/>
      </c>
      <c r="H7" s="62" t="str">
        <f t="shared" si="0"/>
        <v/>
      </c>
    </row>
    <row r="8" spans="1:8" x14ac:dyDescent="0.35">
      <c r="A8" s="43"/>
      <c r="B8" s="43"/>
      <c r="C8" s="43"/>
      <c r="D8" s="43"/>
      <c r="E8" s="62" t="str">
        <f>IF($B8="","",SUMIFS(Ventas_SellIn!$Y$2:$Y$800,Ventas_SellIn!$E$2:$E$800,$B8))</f>
        <v/>
      </c>
      <c r="F8" s="62" t="str">
        <f>IF($B8="","",SUMIFS(SellOut_Jumbo!$O$2:$O$800,SellOut_Jumbo!$B$2:$B$800,$B8))</f>
        <v/>
      </c>
      <c r="G8" s="62" t="str">
        <f>IF($B8="","",SUMIFS(Stock_PDV!$H$2:$H$800,Stock_PDV!$B$2:$B$800,$B8))</f>
        <v/>
      </c>
      <c r="H8" s="62" t="str">
        <f t="shared" si="0"/>
        <v/>
      </c>
    </row>
    <row r="9" spans="1:8" x14ac:dyDescent="0.35">
      <c r="A9" s="43"/>
      <c r="B9" s="43"/>
      <c r="C9" s="43"/>
      <c r="D9" s="43"/>
      <c r="E9" s="62" t="str">
        <f>IF($B9="","",SUMIFS(Ventas_SellIn!$Y$2:$Y$800,Ventas_SellIn!$E$2:$E$800,$B9))</f>
        <v/>
      </c>
      <c r="F9" s="62" t="str">
        <f>IF($B9="","",SUMIFS(SellOut_Jumbo!$O$2:$O$800,SellOut_Jumbo!$B$2:$B$800,$B9))</f>
        <v/>
      </c>
      <c r="G9" s="62" t="str">
        <f>IF($B9="","",SUMIFS(Stock_PDV!$H$2:$H$800,Stock_PDV!$B$2:$B$800,$B9))</f>
        <v/>
      </c>
      <c r="H9" s="62" t="str">
        <f t="shared" si="0"/>
        <v/>
      </c>
    </row>
    <row r="10" spans="1:8" x14ac:dyDescent="0.35">
      <c r="A10" s="43"/>
      <c r="B10" s="43"/>
      <c r="C10" s="43"/>
      <c r="D10" s="43"/>
      <c r="E10" s="62" t="str">
        <f>IF($B10="","",SUMIFS(Ventas_SellIn!$Y$2:$Y$800,Ventas_SellIn!$E$2:$E$800,$B10))</f>
        <v/>
      </c>
      <c r="F10" s="62" t="str">
        <f>IF($B10="","",SUMIFS(SellOut_Jumbo!$O$2:$O$800,SellOut_Jumbo!$B$2:$B$800,$B10))</f>
        <v/>
      </c>
      <c r="G10" s="62" t="str">
        <f>IF($B10="","",SUMIFS(Stock_PDV!$H$2:$H$800,Stock_PDV!$B$2:$B$800,$B10))</f>
        <v/>
      </c>
      <c r="H10" s="62" t="str">
        <f t="shared" si="0"/>
        <v/>
      </c>
    </row>
    <row r="11" spans="1:8" x14ac:dyDescent="0.35">
      <c r="A11" s="43"/>
      <c r="B11" s="43"/>
      <c r="C11" s="43"/>
      <c r="D11" s="43"/>
      <c r="E11" s="62" t="str">
        <f>IF($B11="","",SUMIFS(Ventas_SellIn!$Y$2:$Y$800,Ventas_SellIn!$E$2:$E$800,$B11))</f>
        <v/>
      </c>
      <c r="F11" s="62" t="str">
        <f>IF($B11="","",SUMIFS(SellOut_Jumbo!$O$2:$O$800,SellOut_Jumbo!$B$2:$B$800,$B11))</f>
        <v/>
      </c>
      <c r="G11" s="62" t="str">
        <f>IF($B11="","",SUMIFS(Stock_PDV!$H$2:$H$800,Stock_PDV!$B$2:$B$800,$B11))</f>
        <v/>
      </c>
      <c r="H11" s="62" t="str">
        <f t="shared" si="0"/>
        <v/>
      </c>
    </row>
    <row r="12" spans="1:8" x14ac:dyDescent="0.35">
      <c r="A12" s="43"/>
      <c r="B12" s="43"/>
      <c r="C12" s="43"/>
      <c r="D12" s="43"/>
      <c r="E12" s="62" t="str">
        <f>IF($B12="","",SUMIFS(Ventas_SellIn!$Y$2:$Y$800,Ventas_SellIn!$E$2:$E$800,$B12))</f>
        <v/>
      </c>
      <c r="F12" s="62" t="str">
        <f>IF($B12="","",SUMIFS(SellOut_Jumbo!$O$2:$O$800,SellOut_Jumbo!$B$2:$B$800,$B12))</f>
        <v/>
      </c>
      <c r="G12" s="62" t="str">
        <f>IF($B12="","",SUMIFS(Stock_PDV!$H$2:$H$800,Stock_PDV!$B$2:$B$800,$B12))</f>
        <v/>
      </c>
      <c r="H12" s="62" t="str">
        <f t="shared" si="0"/>
        <v/>
      </c>
    </row>
    <row r="13" spans="1:8" x14ac:dyDescent="0.35">
      <c r="A13" s="43"/>
      <c r="B13" s="43"/>
      <c r="C13" s="43"/>
      <c r="D13" s="43"/>
      <c r="E13" s="62" t="str">
        <f>IF($B13="","",SUMIFS(Ventas_SellIn!$Y$2:$Y$800,Ventas_SellIn!$E$2:$E$800,$B13))</f>
        <v/>
      </c>
      <c r="F13" s="62" t="str">
        <f>IF($B13="","",SUMIFS(SellOut_Jumbo!$O$2:$O$800,SellOut_Jumbo!$B$2:$B$800,$B13))</f>
        <v/>
      </c>
      <c r="G13" s="62" t="str">
        <f>IF($B13="","",SUMIFS(Stock_PDV!$H$2:$H$800,Stock_PDV!$B$2:$B$800,$B13))</f>
        <v/>
      </c>
      <c r="H13" s="62" t="str">
        <f t="shared" si="0"/>
        <v/>
      </c>
    </row>
    <row r="14" spans="1:8" x14ac:dyDescent="0.35">
      <c r="A14" s="43"/>
      <c r="B14" s="43"/>
      <c r="C14" s="43"/>
      <c r="D14" s="43"/>
      <c r="E14" s="62" t="str">
        <f>IF($B14="","",SUMIFS(Ventas_SellIn!$Y$2:$Y$800,Ventas_SellIn!$E$2:$E$800,$B14))</f>
        <v/>
      </c>
      <c r="F14" s="62" t="str">
        <f>IF($B14="","",SUMIFS(SellOut_Jumbo!$O$2:$O$800,SellOut_Jumbo!$B$2:$B$800,$B14))</f>
        <v/>
      </c>
      <c r="G14" s="62" t="str">
        <f>IF($B14="","",SUMIFS(Stock_PDV!$H$2:$H$800,Stock_PDV!$B$2:$B$800,$B14))</f>
        <v/>
      </c>
      <c r="H14" s="62" t="str">
        <f t="shared" si="0"/>
        <v/>
      </c>
    </row>
    <row r="15" spans="1:8" x14ac:dyDescent="0.35">
      <c r="A15" s="43"/>
      <c r="B15" s="43"/>
      <c r="C15" s="43"/>
      <c r="D15" s="43"/>
      <c r="E15" s="62" t="str">
        <f>IF($B15="","",SUMIFS(Ventas_SellIn!$Y$2:$Y$800,Ventas_SellIn!$E$2:$E$800,$B15))</f>
        <v/>
      </c>
      <c r="F15" s="62" t="str">
        <f>IF($B15="","",SUMIFS(SellOut_Jumbo!$O$2:$O$800,SellOut_Jumbo!$B$2:$B$800,$B15))</f>
        <v/>
      </c>
      <c r="G15" s="62" t="str">
        <f>IF($B15="","",SUMIFS(Stock_PDV!$H$2:$H$800,Stock_PDV!$B$2:$B$800,$B15))</f>
        <v/>
      </c>
      <c r="H15" s="62" t="str">
        <f t="shared" si="0"/>
        <v/>
      </c>
    </row>
    <row r="16" spans="1:8" x14ac:dyDescent="0.35">
      <c r="A16" s="43"/>
      <c r="B16" s="43"/>
      <c r="C16" s="43"/>
      <c r="D16" s="43"/>
      <c r="E16" s="62" t="str">
        <f>IF($B16="","",SUMIFS(Ventas_SellIn!$Y$2:$Y$800,Ventas_SellIn!$E$2:$E$800,$B16))</f>
        <v/>
      </c>
      <c r="F16" s="62" t="str">
        <f>IF($B16="","",SUMIFS(SellOut_Jumbo!$O$2:$O$800,SellOut_Jumbo!$B$2:$B$800,$B16))</f>
        <v/>
      </c>
      <c r="G16" s="62" t="str">
        <f>IF($B16="","",SUMIFS(Stock_PDV!$H$2:$H$800,Stock_PDV!$B$2:$B$800,$B16))</f>
        <v/>
      </c>
      <c r="H16" s="62" t="str">
        <f t="shared" si="0"/>
        <v/>
      </c>
    </row>
    <row r="17" spans="1:8" x14ac:dyDescent="0.35">
      <c r="A17" s="43"/>
      <c r="B17" s="43"/>
      <c r="C17" s="43"/>
      <c r="D17" s="43"/>
      <c r="E17" s="62" t="str">
        <f>IF($B17="","",SUMIFS(Ventas_SellIn!$Y$2:$Y$800,Ventas_SellIn!$E$2:$E$800,$B17))</f>
        <v/>
      </c>
      <c r="F17" s="62" t="str">
        <f>IF($B17="","",SUMIFS(SellOut_Jumbo!$O$2:$O$800,SellOut_Jumbo!$B$2:$B$800,$B17))</f>
        <v/>
      </c>
      <c r="G17" s="62" t="str">
        <f>IF($B17="","",SUMIFS(Stock_PDV!$H$2:$H$800,Stock_PDV!$B$2:$B$800,$B17))</f>
        <v/>
      </c>
      <c r="H17" s="62" t="str">
        <f t="shared" si="0"/>
        <v/>
      </c>
    </row>
    <row r="18" spans="1:8" x14ac:dyDescent="0.35">
      <c r="A18" s="43"/>
      <c r="B18" s="43"/>
      <c r="C18" s="43"/>
      <c r="D18" s="43"/>
      <c r="E18" s="62" t="str">
        <f>IF($B18="","",SUMIFS(Ventas_SellIn!$Y$2:$Y$800,Ventas_SellIn!$E$2:$E$800,$B18))</f>
        <v/>
      </c>
      <c r="F18" s="62" t="str">
        <f>IF($B18="","",SUMIFS(SellOut_Jumbo!$O$2:$O$800,SellOut_Jumbo!$B$2:$B$800,$B18))</f>
        <v/>
      </c>
      <c r="G18" s="62" t="str">
        <f>IF($B18="","",SUMIFS(Stock_PDV!$H$2:$H$800,Stock_PDV!$B$2:$B$800,$B18))</f>
        <v/>
      </c>
      <c r="H18" s="62" t="str">
        <f t="shared" si="0"/>
        <v/>
      </c>
    </row>
    <row r="19" spans="1:8" x14ac:dyDescent="0.35">
      <c r="A19" s="43"/>
      <c r="B19" s="43"/>
      <c r="C19" s="43"/>
      <c r="D19" s="43"/>
      <c r="E19" s="62" t="str">
        <f>IF($B19="","",SUMIFS(Ventas_SellIn!$Y$2:$Y$800,Ventas_SellIn!$E$2:$E$800,$B19))</f>
        <v/>
      </c>
      <c r="F19" s="62" t="str">
        <f>IF($B19="","",SUMIFS(SellOut_Jumbo!$O$2:$O$800,SellOut_Jumbo!$B$2:$B$800,$B19))</f>
        <v/>
      </c>
      <c r="G19" s="62" t="str">
        <f>IF($B19="","",SUMIFS(Stock_PDV!$H$2:$H$800,Stock_PDV!$B$2:$B$800,$B19))</f>
        <v/>
      </c>
      <c r="H19" s="62" t="str">
        <f t="shared" si="0"/>
        <v/>
      </c>
    </row>
    <row r="20" spans="1:8" x14ac:dyDescent="0.35">
      <c r="A20" s="43"/>
      <c r="B20" s="43"/>
      <c r="C20" s="43"/>
      <c r="D20" s="43"/>
      <c r="E20" s="62" t="str">
        <f>IF($B20="","",SUMIFS(Ventas_SellIn!$Y$2:$Y$800,Ventas_SellIn!$E$2:$E$800,$B20))</f>
        <v/>
      </c>
      <c r="F20" s="62" t="str">
        <f>IF($B20="","",SUMIFS(SellOut_Jumbo!$O$2:$O$800,SellOut_Jumbo!$B$2:$B$800,$B20))</f>
        <v/>
      </c>
      <c r="G20" s="62" t="str">
        <f>IF($B20="","",SUMIFS(Stock_PDV!$H$2:$H$800,Stock_PDV!$B$2:$B$800,$B20))</f>
        <v/>
      </c>
      <c r="H20" s="62" t="str">
        <f t="shared" si="0"/>
        <v/>
      </c>
    </row>
    <row r="21" spans="1:8" x14ac:dyDescent="0.35">
      <c r="A21" s="43"/>
      <c r="B21" s="43"/>
      <c r="C21" s="43"/>
      <c r="D21" s="43"/>
      <c r="E21" s="62" t="str">
        <f>IF($B21="","",SUMIFS(Ventas_SellIn!$Y$2:$Y$800,Ventas_SellIn!$E$2:$E$800,$B21))</f>
        <v/>
      </c>
      <c r="F21" s="62" t="str">
        <f>IF($B21="","",SUMIFS(SellOut_Jumbo!$O$2:$O$800,SellOut_Jumbo!$B$2:$B$800,$B21))</f>
        <v/>
      </c>
      <c r="G21" s="62" t="str">
        <f>IF($B21="","",SUMIFS(Stock_PDV!$H$2:$H$800,Stock_PDV!$B$2:$B$800,$B21))</f>
        <v/>
      </c>
      <c r="H21" s="62" t="str">
        <f t="shared" si="0"/>
        <v/>
      </c>
    </row>
    <row r="22" spans="1:8" x14ac:dyDescent="0.35">
      <c r="A22" s="43"/>
      <c r="B22" s="43"/>
      <c r="C22" s="43"/>
      <c r="D22" s="43"/>
      <c r="E22" s="62" t="str">
        <f>IF($B22="","",SUMIFS(Ventas_SellIn!$Y$2:$Y$800,Ventas_SellIn!$E$2:$E$800,$B22))</f>
        <v/>
      </c>
      <c r="F22" s="62" t="str">
        <f>IF($B22="","",SUMIFS(SellOut_Jumbo!$O$2:$O$800,SellOut_Jumbo!$B$2:$B$800,$B22))</f>
        <v/>
      </c>
      <c r="G22" s="62" t="str">
        <f>IF($B22="","",SUMIFS(Stock_PDV!$H$2:$H$800,Stock_PDV!$B$2:$B$800,$B22))</f>
        <v/>
      </c>
      <c r="H22" s="62" t="str">
        <f t="shared" si="0"/>
        <v/>
      </c>
    </row>
    <row r="23" spans="1:8" x14ac:dyDescent="0.35">
      <c r="A23" s="43"/>
      <c r="B23" s="43"/>
      <c r="C23" s="43"/>
      <c r="D23" s="43"/>
      <c r="E23" s="62" t="str">
        <f>IF($B23="","",SUMIFS(Ventas_SellIn!$Y$2:$Y$800,Ventas_SellIn!$E$2:$E$800,$B23))</f>
        <v/>
      </c>
      <c r="F23" s="62" t="str">
        <f>IF($B23="","",SUMIFS(SellOut_Jumbo!$O$2:$O$800,SellOut_Jumbo!$B$2:$B$800,$B23))</f>
        <v/>
      </c>
      <c r="G23" s="62" t="str">
        <f>IF($B23="","",SUMIFS(Stock_PDV!$H$2:$H$800,Stock_PDV!$B$2:$B$800,$B23))</f>
        <v/>
      </c>
      <c r="H23" s="62" t="str">
        <f t="shared" si="0"/>
        <v/>
      </c>
    </row>
    <row r="24" spans="1:8" x14ac:dyDescent="0.35">
      <c r="A24" s="43"/>
      <c r="B24" s="43"/>
      <c r="C24" s="43"/>
      <c r="D24" s="43"/>
      <c r="E24" s="62" t="str">
        <f>IF($B24="","",SUMIFS(Ventas_SellIn!$Y$2:$Y$800,Ventas_SellIn!$E$2:$E$800,$B24))</f>
        <v/>
      </c>
      <c r="F24" s="62" t="str">
        <f>IF($B24="","",SUMIFS(SellOut_Jumbo!$O$2:$O$800,SellOut_Jumbo!$B$2:$B$800,$B24))</f>
        <v/>
      </c>
      <c r="G24" s="62" t="str">
        <f>IF($B24="","",SUMIFS(Stock_PDV!$H$2:$H$800,Stock_PDV!$B$2:$B$800,$B24))</f>
        <v/>
      </c>
      <c r="H24" s="62" t="str">
        <f t="shared" si="0"/>
        <v/>
      </c>
    </row>
    <row r="25" spans="1:8" x14ac:dyDescent="0.35">
      <c r="A25" s="43"/>
      <c r="B25" s="43"/>
      <c r="C25" s="43"/>
      <c r="D25" s="43"/>
      <c r="E25" s="62" t="str">
        <f>IF($B25="","",SUMIFS(Ventas_SellIn!$Y$2:$Y$800,Ventas_SellIn!$E$2:$E$800,$B25))</f>
        <v/>
      </c>
      <c r="F25" s="62" t="str">
        <f>IF($B25="","",SUMIFS(SellOut_Jumbo!$O$2:$O$800,SellOut_Jumbo!$B$2:$B$800,$B25))</f>
        <v/>
      </c>
      <c r="G25" s="62" t="str">
        <f>IF($B25="","",SUMIFS(Stock_PDV!$H$2:$H$800,Stock_PDV!$B$2:$B$800,$B25))</f>
        <v/>
      </c>
      <c r="H25" s="62" t="str">
        <f t="shared" si="0"/>
        <v/>
      </c>
    </row>
    <row r="26" spans="1:8" x14ac:dyDescent="0.35">
      <c r="A26" s="43"/>
      <c r="B26" s="43"/>
      <c r="C26" s="43"/>
      <c r="D26" s="43"/>
      <c r="E26" s="62" t="str">
        <f>IF($B26="","",SUMIFS(Ventas_SellIn!$Y$2:$Y$800,Ventas_SellIn!$E$2:$E$800,$B26))</f>
        <v/>
      </c>
      <c r="F26" s="62" t="str">
        <f>IF($B26="","",SUMIFS(SellOut_Jumbo!$O$2:$O$800,SellOut_Jumbo!$B$2:$B$800,$B26))</f>
        <v/>
      </c>
      <c r="G26" s="62" t="str">
        <f>IF($B26="","",SUMIFS(Stock_PDV!$H$2:$H$800,Stock_PDV!$B$2:$B$800,$B26))</f>
        <v/>
      </c>
      <c r="H26" s="62" t="str">
        <f t="shared" si="0"/>
        <v/>
      </c>
    </row>
    <row r="27" spans="1:8" x14ac:dyDescent="0.35">
      <c r="A27" s="43"/>
      <c r="B27" s="43"/>
      <c r="C27" s="43"/>
      <c r="D27" s="43"/>
      <c r="E27" s="62" t="str">
        <f>IF($B27="","",SUMIFS(Ventas_SellIn!$Y$2:$Y$800,Ventas_SellIn!$E$2:$E$800,$B27))</f>
        <v/>
      </c>
      <c r="F27" s="62" t="str">
        <f>IF($B27="","",SUMIFS(SellOut_Jumbo!$O$2:$O$800,SellOut_Jumbo!$B$2:$B$800,$B27))</f>
        <v/>
      </c>
      <c r="G27" s="62" t="str">
        <f>IF($B27="","",SUMIFS(Stock_PDV!$H$2:$H$800,Stock_PDV!$B$2:$B$800,$B27))</f>
        <v/>
      </c>
      <c r="H27" s="62" t="str">
        <f t="shared" si="0"/>
        <v/>
      </c>
    </row>
    <row r="28" spans="1:8" x14ac:dyDescent="0.35">
      <c r="A28" s="43"/>
      <c r="B28" s="43"/>
      <c r="C28" s="43"/>
      <c r="D28" s="43"/>
      <c r="E28" s="62" t="str">
        <f>IF($B28="","",SUMIFS(Ventas_SellIn!$Y$2:$Y$800,Ventas_SellIn!$E$2:$E$800,$B28))</f>
        <v/>
      </c>
      <c r="F28" s="62" t="str">
        <f>IF($B28="","",SUMIFS(SellOut_Jumbo!$O$2:$O$800,SellOut_Jumbo!$B$2:$B$800,$B28))</f>
        <v/>
      </c>
      <c r="G28" s="62" t="str">
        <f>IF($B28="","",SUMIFS(Stock_PDV!$H$2:$H$800,Stock_PDV!$B$2:$B$800,$B28))</f>
        <v/>
      </c>
      <c r="H28" s="62" t="str">
        <f t="shared" si="0"/>
        <v/>
      </c>
    </row>
    <row r="29" spans="1:8" x14ac:dyDescent="0.35">
      <c r="A29" s="43"/>
      <c r="B29" s="43"/>
      <c r="C29" s="43"/>
      <c r="D29" s="43"/>
      <c r="E29" s="62" t="str">
        <f>IF($B29="","",SUMIFS(Ventas_SellIn!$Y$2:$Y$800,Ventas_SellIn!$E$2:$E$800,$B29))</f>
        <v/>
      </c>
      <c r="F29" s="62" t="str">
        <f>IF($B29="","",SUMIFS(SellOut_Jumbo!$O$2:$O$800,SellOut_Jumbo!$B$2:$B$800,$B29))</f>
        <v/>
      </c>
      <c r="G29" s="62" t="str">
        <f>IF($B29="","",SUMIFS(Stock_PDV!$H$2:$H$800,Stock_PDV!$B$2:$B$800,$B29))</f>
        <v/>
      </c>
      <c r="H29" s="62" t="str">
        <f t="shared" si="0"/>
        <v/>
      </c>
    </row>
    <row r="30" spans="1:8" x14ac:dyDescent="0.35">
      <c r="A30" s="43"/>
      <c r="B30" s="43"/>
      <c r="C30" s="43"/>
      <c r="D30" s="43"/>
      <c r="E30" s="62" t="str">
        <f>IF($B30="","",SUMIFS(Ventas_SellIn!$Y$2:$Y$800,Ventas_SellIn!$E$2:$E$800,$B30))</f>
        <v/>
      </c>
      <c r="F30" s="62" t="str">
        <f>IF($B30="","",SUMIFS(SellOut_Jumbo!$O$2:$O$800,SellOut_Jumbo!$B$2:$B$800,$B30))</f>
        <v/>
      </c>
      <c r="G30" s="62" t="str">
        <f>IF($B30="","",SUMIFS(Stock_PDV!$H$2:$H$800,Stock_PDV!$B$2:$B$800,$B30))</f>
        <v/>
      </c>
      <c r="H30" s="62" t="str">
        <f t="shared" si="0"/>
        <v/>
      </c>
    </row>
    <row r="31" spans="1:8" x14ac:dyDescent="0.35">
      <c r="A31" s="43"/>
      <c r="B31" s="43"/>
      <c r="C31" s="43"/>
      <c r="D31" s="43"/>
      <c r="E31" s="62" t="str">
        <f>IF($B31="","",SUMIFS(Ventas_SellIn!$Y$2:$Y$800,Ventas_SellIn!$E$2:$E$800,$B31))</f>
        <v/>
      </c>
      <c r="F31" s="62" t="str">
        <f>IF($B31="","",SUMIFS(SellOut_Jumbo!$O$2:$O$800,SellOut_Jumbo!$B$2:$B$800,$B31))</f>
        <v/>
      </c>
      <c r="G31" s="62" t="str">
        <f>IF($B31="","",SUMIFS(Stock_PDV!$H$2:$H$800,Stock_PDV!$B$2:$B$800,$B31))</f>
        <v/>
      </c>
      <c r="H31" s="62" t="str">
        <f t="shared" si="0"/>
        <v/>
      </c>
    </row>
    <row r="32" spans="1:8" x14ac:dyDescent="0.35">
      <c r="A32" s="43"/>
      <c r="B32" s="43"/>
      <c r="C32" s="43"/>
      <c r="D32" s="43"/>
      <c r="E32" s="62" t="str">
        <f>IF($B32="","",SUMIFS(Ventas_SellIn!$Y$2:$Y$800,Ventas_SellIn!$E$2:$E$800,$B32))</f>
        <v/>
      </c>
      <c r="F32" s="62" t="str">
        <f>IF($B32="","",SUMIFS(SellOut_Jumbo!$O$2:$O$800,SellOut_Jumbo!$B$2:$B$800,$B32))</f>
        <v/>
      </c>
      <c r="G32" s="62" t="str">
        <f>IF($B32="","",SUMIFS(Stock_PDV!$H$2:$H$800,Stock_PDV!$B$2:$B$800,$B32))</f>
        <v/>
      </c>
      <c r="H32" s="62" t="str">
        <f t="shared" si="0"/>
        <v/>
      </c>
    </row>
    <row r="33" spans="1:8" x14ac:dyDescent="0.35">
      <c r="A33" s="43"/>
      <c r="B33" s="43"/>
      <c r="C33" s="43"/>
      <c r="D33" s="43"/>
      <c r="E33" s="62" t="str">
        <f>IF($B33="","",SUMIFS(Ventas_SellIn!$Y$2:$Y$800,Ventas_SellIn!$E$2:$E$800,$B33))</f>
        <v/>
      </c>
      <c r="F33" s="62" t="str">
        <f>IF($B33="","",SUMIFS(SellOut_Jumbo!$O$2:$O$800,SellOut_Jumbo!$B$2:$B$800,$B33))</f>
        <v/>
      </c>
      <c r="G33" s="62" t="str">
        <f>IF($B33="","",SUMIFS(Stock_PDV!$H$2:$H$800,Stock_PDV!$B$2:$B$800,$B33))</f>
        <v/>
      </c>
      <c r="H33" s="62" t="str">
        <f t="shared" si="0"/>
        <v/>
      </c>
    </row>
    <row r="34" spans="1:8" x14ac:dyDescent="0.35">
      <c r="A34" s="43"/>
      <c r="B34" s="43"/>
      <c r="C34" s="43"/>
      <c r="D34" s="43"/>
      <c r="E34" s="62" t="str">
        <f>IF($B34="","",SUMIFS(Ventas_SellIn!$Y$2:$Y$800,Ventas_SellIn!$E$2:$E$800,$B34))</f>
        <v/>
      </c>
      <c r="F34" s="62" t="str">
        <f>IF($B34="","",SUMIFS(SellOut_Jumbo!$O$2:$O$800,SellOut_Jumbo!$B$2:$B$800,$B34))</f>
        <v/>
      </c>
      <c r="G34" s="62" t="str">
        <f>IF($B34="","",SUMIFS(Stock_PDV!$H$2:$H$800,Stock_PDV!$B$2:$B$800,$B34))</f>
        <v/>
      </c>
      <c r="H34" s="62" t="str">
        <f t="shared" ref="H34:H50" si="1">IF($B34="","",E34-F34-G34)</f>
        <v/>
      </c>
    </row>
    <row r="35" spans="1:8" x14ac:dyDescent="0.35">
      <c r="A35" s="43"/>
      <c r="B35" s="43"/>
      <c r="C35" s="43"/>
      <c r="D35" s="43"/>
      <c r="E35" s="62" t="str">
        <f>IF($B35="","",SUMIFS(Ventas_SellIn!$Y$2:$Y$800,Ventas_SellIn!$E$2:$E$800,$B35))</f>
        <v/>
      </c>
      <c r="F35" s="62" t="str">
        <f>IF($B35="","",SUMIFS(SellOut_Jumbo!$O$2:$O$800,SellOut_Jumbo!$B$2:$B$800,$B35))</f>
        <v/>
      </c>
      <c r="G35" s="62" t="str">
        <f>IF($B35="","",SUMIFS(Stock_PDV!$H$2:$H$800,Stock_PDV!$B$2:$B$800,$B35))</f>
        <v/>
      </c>
      <c r="H35" s="62" t="str">
        <f t="shared" si="1"/>
        <v/>
      </c>
    </row>
    <row r="36" spans="1:8" x14ac:dyDescent="0.35">
      <c r="A36" s="43"/>
      <c r="B36" s="43"/>
      <c r="C36" s="43"/>
      <c r="D36" s="43"/>
      <c r="E36" s="62" t="str">
        <f>IF($B36="","",SUMIFS(Ventas_SellIn!$Y$2:$Y$800,Ventas_SellIn!$E$2:$E$800,$B36))</f>
        <v/>
      </c>
      <c r="F36" s="62" t="str">
        <f>IF($B36="","",SUMIFS(SellOut_Jumbo!$O$2:$O$800,SellOut_Jumbo!$B$2:$B$800,$B36))</f>
        <v/>
      </c>
      <c r="G36" s="62" t="str">
        <f>IF($B36="","",SUMIFS(Stock_PDV!$H$2:$H$800,Stock_PDV!$B$2:$B$800,$B36))</f>
        <v/>
      </c>
      <c r="H36" s="62" t="str">
        <f t="shared" si="1"/>
        <v/>
      </c>
    </row>
    <row r="37" spans="1:8" x14ac:dyDescent="0.35">
      <c r="A37" s="43"/>
      <c r="B37" s="43"/>
      <c r="C37" s="43"/>
      <c r="D37" s="43"/>
      <c r="E37" s="62" t="str">
        <f>IF($B37="","",SUMIFS(Ventas_SellIn!$Y$2:$Y$800,Ventas_SellIn!$E$2:$E$800,$B37))</f>
        <v/>
      </c>
      <c r="F37" s="62" t="str">
        <f>IF($B37="","",SUMIFS(SellOut_Jumbo!$O$2:$O$800,SellOut_Jumbo!$B$2:$B$800,$B37))</f>
        <v/>
      </c>
      <c r="G37" s="62" t="str">
        <f>IF($B37="","",SUMIFS(Stock_PDV!$H$2:$H$800,Stock_PDV!$B$2:$B$800,$B37))</f>
        <v/>
      </c>
      <c r="H37" s="62" t="str">
        <f t="shared" si="1"/>
        <v/>
      </c>
    </row>
    <row r="38" spans="1:8" x14ac:dyDescent="0.35">
      <c r="A38" s="43"/>
      <c r="B38" s="43"/>
      <c r="C38" s="43"/>
      <c r="D38" s="43"/>
      <c r="E38" s="62" t="str">
        <f>IF($B38="","",SUMIFS(Ventas_SellIn!$Y$2:$Y$800,Ventas_SellIn!$E$2:$E$800,$B38))</f>
        <v/>
      </c>
      <c r="F38" s="62" t="str">
        <f>IF($B38="","",SUMIFS(SellOut_Jumbo!$O$2:$O$800,SellOut_Jumbo!$B$2:$B$800,$B38))</f>
        <v/>
      </c>
      <c r="G38" s="62" t="str">
        <f>IF($B38="","",SUMIFS(Stock_PDV!$H$2:$H$800,Stock_PDV!$B$2:$B$800,$B38))</f>
        <v/>
      </c>
      <c r="H38" s="62" t="str">
        <f t="shared" si="1"/>
        <v/>
      </c>
    </row>
    <row r="39" spans="1:8" x14ac:dyDescent="0.35">
      <c r="A39" s="43"/>
      <c r="B39" s="43"/>
      <c r="C39" s="43"/>
      <c r="D39" s="43"/>
      <c r="E39" s="62" t="str">
        <f>IF($B39="","",SUMIFS(Ventas_SellIn!$Y$2:$Y$800,Ventas_SellIn!$E$2:$E$800,$B39))</f>
        <v/>
      </c>
      <c r="F39" s="62" t="str">
        <f>IF($B39="","",SUMIFS(SellOut_Jumbo!$O$2:$O$800,SellOut_Jumbo!$B$2:$B$800,$B39))</f>
        <v/>
      </c>
      <c r="G39" s="62" t="str">
        <f>IF($B39="","",SUMIFS(Stock_PDV!$H$2:$H$800,Stock_PDV!$B$2:$B$800,$B39))</f>
        <v/>
      </c>
      <c r="H39" s="62" t="str">
        <f t="shared" si="1"/>
        <v/>
      </c>
    </row>
    <row r="40" spans="1:8" x14ac:dyDescent="0.35">
      <c r="A40" s="43"/>
      <c r="B40" s="43"/>
      <c r="C40" s="43"/>
      <c r="D40" s="43"/>
      <c r="E40" s="62" t="str">
        <f>IF($B40="","",SUMIFS(Ventas_SellIn!$Y$2:$Y$800,Ventas_SellIn!$E$2:$E$800,$B40))</f>
        <v/>
      </c>
      <c r="F40" s="62" t="str">
        <f>IF($B40="","",SUMIFS(SellOut_Jumbo!$O$2:$O$800,SellOut_Jumbo!$B$2:$B$800,$B40))</f>
        <v/>
      </c>
      <c r="G40" s="62" t="str">
        <f>IF($B40="","",SUMIFS(Stock_PDV!$H$2:$H$800,Stock_PDV!$B$2:$B$800,$B40))</f>
        <v/>
      </c>
      <c r="H40" s="62" t="str">
        <f t="shared" si="1"/>
        <v/>
      </c>
    </row>
    <row r="41" spans="1:8" x14ac:dyDescent="0.35">
      <c r="A41" s="43"/>
      <c r="B41" s="43"/>
      <c r="C41" s="43"/>
      <c r="D41" s="43"/>
      <c r="E41" s="62" t="str">
        <f>IF($B41="","",SUMIFS(Ventas_SellIn!$Y$2:$Y$800,Ventas_SellIn!$E$2:$E$800,$B41))</f>
        <v/>
      </c>
      <c r="F41" s="62" t="str">
        <f>IF($B41="","",SUMIFS(SellOut_Jumbo!$O$2:$O$800,SellOut_Jumbo!$B$2:$B$800,$B41))</f>
        <v/>
      </c>
      <c r="G41" s="62" t="str">
        <f>IF($B41="","",SUMIFS(Stock_PDV!$H$2:$H$800,Stock_PDV!$B$2:$B$800,$B41))</f>
        <v/>
      </c>
      <c r="H41" s="62" t="str">
        <f t="shared" si="1"/>
        <v/>
      </c>
    </row>
    <row r="42" spans="1:8" x14ac:dyDescent="0.35">
      <c r="A42" s="43"/>
      <c r="B42" s="43"/>
      <c r="C42" s="43"/>
      <c r="D42" s="43"/>
      <c r="E42" s="62" t="str">
        <f>IF($B42="","",SUMIFS(Ventas_SellIn!$Y$2:$Y$800,Ventas_SellIn!$E$2:$E$800,$B42))</f>
        <v/>
      </c>
      <c r="F42" s="62" t="str">
        <f>IF($B42="","",SUMIFS(SellOut_Jumbo!$O$2:$O$800,SellOut_Jumbo!$B$2:$B$800,$B42))</f>
        <v/>
      </c>
      <c r="G42" s="62" t="str">
        <f>IF($B42="","",SUMIFS(Stock_PDV!$H$2:$H$800,Stock_PDV!$B$2:$B$800,$B42))</f>
        <v/>
      </c>
      <c r="H42" s="62" t="str">
        <f t="shared" si="1"/>
        <v/>
      </c>
    </row>
    <row r="43" spans="1:8" x14ac:dyDescent="0.35">
      <c r="A43" s="43"/>
      <c r="B43" s="43"/>
      <c r="C43" s="43"/>
      <c r="D43" s="43"/>
      <c r="E43" s="62" t="str">
        <f>IF($B43="","",SUMIFS(Ventas_SellIn!$Y$2:$Y$800,Ventas_SellIn!$E$2:$E$800,$B43))</f>
        <v/>
      </c>
      <c r="F43" s="62" t="str">
        <f>IF($B43="","",SUMIFS(SellOut_Jumbo!$O$2:$O$800,SellOut_Jumbo!$B$2:$B$800,$B43))</f>
        <v/>
      </c>
      <c r="G43" s="62" t="str">
        <f>IF($B43="","",SUMIFS(Stock_PDV!$H$2:$H$800,Stock_PDV!$B$2:$B$800,$B43))</f>
        <v/>
      </c>
      <c r="H43" s="62" t="str">
        <f t="shared" si="1"/>
        <v/>
      </c>
    </row>
    <row r="44" spans="1:8" x14ac:dyDescent="0.35">
      <c r="A44" s="43"/>
      <c r="B44" s="43"/>
      <c r="C44" s="43"/>
      <c r="D44" s="43"/>
      <c r="E44" s="62" t="str">
        <f>IF($B44="","",SUMIFS(Ventas_SellIn!$Y$2:$Y$800,Ventas_SellIn!$E$2:$E$800,$B44))</f>
        <v/>
      </c>
      <c r="F44" s="62" t="str">
        <f>IF($B44="","",SUMIFS(SellOut_Jumbo!$O$2:$O$800,SellOut_Jumbo!$B$2:$B$800,$B44))</f>
        <v/>
      </c>
      <c r="G44" s="62" t="str">
        <f>IF($B44="","",SUMIFS(Stock_PDV!$H$2:$H$800,Stock_PDV!$B$2:$B$800,$B44))</f>
        <v/>
      </c>
      <c r="H44" s="62" t="str">
        <f t="shared" si="1"/>
        <v/>
      </c>
    </row>
    <row r="45" spans="1:8" x14ac:dyDescent="0.35">
      <c r="A45" s="43"/>
      <c r="B45" s="43"/>
      <c r="C45" s="43"/>
      <c r="D45" s="43"/>
      <c r="E45" s="62" t="str">
        <f>IF($B45="","",SUMIFS(Ventas_SellIn!$Y$2:$Y$800,Ventas_SellIn!$E$2:$E$800,$B45))</f>
        <v/>
      </c>
      <c r="F45" s="62" t="str">
        <f>IF($B45="","",SUMIFS(SellOut_Jumbo!$O$2:$O$800,SellOut_Jumbo!$B$2:$B$800,$B45))</f>
        <v/>
      </c>
      <c r="G45" s="62" t="str">
        <f>IF($B45="","",SUMIFS(Stock_PDV!$H$2:$H$800,Stock_PDV!$B$2:$B$800,$B45))</f>
        <v/>
      </c>
      <c r="H45" s="62" t="str">
        <f t="shared" si="1"/>
        <v/>
      </c>
    </row>
    <row r="46" spans="1:8" x14ac:dyDescent="0.35">
      <c r="A46" s="43"/>
      <c r="B46" s="43"/>
      <c r="C46" s="43"/>
      <c r="D46" s="43"/>
      <c r="E46" s="62" t="str">
        <f>IF($B46="","",SUMIFS(Ventas_SellIn!$Y$2:$Y$800,Ventas_SellIn!$E$2:$E$800,$B46))</f>
        <v/>
      </c>
      <c r="F46" s="62" t="str">
        <f>IF($B46="","",SUMIFS(SellOut_Jumbo!$O$2:$O$800,SellOut_Jumbo!$B$2:$B$800,$B46))</f>
        <v/>
      </c>
      <c r="G46" s="62" t="str">
        <f>IF($B46="","",SUMIFS(Stock_PDV!$H$2:$H$800,Stock_PDV!$B$2:$B$800,$B46))</f>
        <v/>
      </c>
      <c r="H46" s="62" t="str">
        <f t="shared" si="1"/>
        <v/>
      </c>
    </row>
    <row r="47" spans="1:8" x14ac:dyDescent="0.35">
      <c r="A47" s="43"/>
      <c r="B47" s="43"/>
      <c r="C47" s="43"/>
      <c r="D47" s="43"/>
      <c r="E47" s="62" t="str">
        <f>IF($B47="","",SUMIFS(Ventas_SellIn!$Y$2:$Y$800,Ventas_SellIn!$E$2:$E$800,$B47))</f>
        <v/>
      </c>
      <c r="F47" s="62" t="str">
        <f>IF($B47="","",SUMIFS(SellOut_Jumbo!$O$2:$O$800,SellOut_Jumbo!$B$2:$B$800,$B47))</f>
        <v/>
      </c>
      <c r="G47" s="62" t="str">
        <f>IF($B47="","",SUMIFS(Stock_PDV!$H$2:$H$800,Stock_PDV!$B$2:$B$800,$B47))</f>
        <v/>
      </c>
      <c r="H47" s="62" t="str">
        <f t="shared" si="1"/>
        <v/>
      </c>
    </row>
    <row r="48" spans="1:8" x14ac:dyDescent="0.35">
      <c r="A48" s="43"/>
      <c r="B48" s="43"/>
      <c r="C48" s="43"/>
      <c r="D48" s="43"/>
      <c r="E48" s="62" t="str">
        <f>IF($B48="","",SUMIFS(Ventas_SellIn!$Y$2:$Y$800,Ventas_SellIn!$E$2:$E$800,$B48))</f>
        <v/>
      </c>
      <c r="F48" s="62" t="str">
        <f>IF($B48="","",SUMIFS(SellOut_Jumbo!$O$2:$O$800,SellOut_Jumbo!$B$2:$B$800,$B48))</f>
        <v/>
      </c>
      <c r="G48" s="62" t="str">
        <f>IF($B48="","",SUMIFS(Stock_PDV!$H$2:$H$800,Stock_PDV!$B$2:$B$800,$B48))</f>
        <v/>
      </c>
      <c r="H48" s="62" t="str">
        <f t="shared" si="1"/>
        <v/>
      </c>
    </row>
    <row r="49" spans="1:8" x14ac:dyDescent="0.35">
      <c r="A49" s="43"/>
      <c r="B49" s="43"/>
      <c r="C49" s="43"/>
      <c r="D49" s="43"/>
      <c r="E49" s="62" t="str">
        <f>IF($B49="","",SUMIFS(Ventas_SellIn!$Y$2:$Y$800,Ventas_SellIn!$E$2:$E$800,$B49))</f>
        <v/>
      </c>
      <c r="F49" s="62" t="str">
        <f>IF($B49="","",SUMIFS(SellOut_Jumbo!$O$2:$O$800,SellOut_Jumbo!$B$2:$B$800,$B49))</f>
        <v/>
      </c>
      <c r="G49" s="62" t="str">
        <f>IF($B49="","",SUMIFS(Stock_PDV!$H$2:$H$800,Stock_PDV!$B$2:$B$800,$B49))</f>
        <v/>
      </c>
      <c r="H49" s="62" t="str">
        <f t="shared" si="1"/>
        <v/>
      </c>
    </row>
    <row r="50" spans="1:8" x14ac:dyDescent="0.35">
      <c r="A50" s="43"/>
      <c r="B50" s="43"/>
      <c r="C50" s="43"/>
      <c r="D50" s="43"/>
      <c r="E50" s="62" t="str">
        <f>IF($B50="","",SUMIFS(Ventas_SellIn!$Y$2:$Y$800,Ventas_SellIn!$E$2:$E$800,$B50))</f>
        <v/>
      </c>
      <c r="F50" s="62" t="str">
        <f>IF($B50="","",SUMIFS(SellOut_Jumbo!$O$2:$O$800,SellOut_Jumbo!$B$2:$B$800,$B50))</f>
        <v/>
      </c>
      <c r="G50" s="62" t="str">
        <f>IF($B50="","",SUMIFS(Stock_PDV!$H$2:$H$800,Stock_PDV!$B$2:$B$800,$B50))</f>
        <v/>
      </c>
      <c r="H50" s="62" t="str">
        <f t="shared" si="1"/>
        <v/>
      </c>
    </row>
  </sheetData>
  <autoFilter ref="A1:H50" xr:uid="{00000000-0009-0000-0000-000005000000}"/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A3B61"/>
  </sheetPr>
  <dimension ref="A1:V250"/>
  <sheetViews>
    <sheetView showGridLines="0" zoomScale="85" zoomScaleNormal="85" workbookViewId="0">
      <pane ySplit="1" topLeftCell="A2" activePane="bottomLeft" state="frozen"/>
      <selection pane="bottomLeft" activeCell="V1" sqref="V1"/>
    </sheetView>
  </sheetViews>
  <sheetFormatPr baseColWidth="10" defaultColWidth="8.7265625" defaultRowHeight="14.5" outlineLevelCol="1" x14ac:dyDescent="0.35"/>
  <cols>
    <col min="1" max="1" width="12" customWidth="1"/>
    <col min="2" max="2" width="16" customWidth="1"/>
    <col min="3" max="3" width="15" customWidth="1"/>
    <col min="4" max="4" width="24" customWidth="1"/>
    <col min="5" max="5" width="14" hidden="1" customWidth="1" outlineLevel="1"/>
    <col min="6" max="7" width="13" hidden="1" customWidth="1" outlineLevel="1"/>
    <col min="8" max="8" width="14" customWidth="1" collapsed="1"/>
    <col min="9" max="9" width="16" hidden="1" customWidth="1" outlineLevel="1"/>
    <col min="10" max="10" width="13" hidden="1" customWidth="1" outlineLevel="1"/>
    <col min="11" max="11" width="14" customWidth="1" collapsed="1"/>
    <col min="12" max="12" width="13" hidden="1" customWidth="1" outlineLevel="1"/>
    <col min="13" max="13" width="15" hidden="1" customWidth="1" outlineLevel="1"/>
    <col min="14" max="14" width="16" customWidth="1" collapsed="1"/>
    <col min="15" max="17" width="14" hidden="1" customWidth="1" outlineLevel="1"/>
    <col min="18" max="18" width="20" customWidth="1" collapsed="1"/>
    <col min="20" max="20" width="30" customWidth="1"/>
  </cols>
  <sheetData>
    <row r="1" spans="1:22" ht="28" customHeight="1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36" t="s">
        <v>18</v>
      </c>
      <c r="T1" s="60" t="s">
        <v>19</v>
      </c>
      <c r="V1" s="65" t="s">
        <v>20</v>
      </c>
    </row>
    <row r="2" spans="1:22" ht="20" customHeight="1" x14ac:dyDescent="0.35">
      <c r="A2" s="75" t="str">
        <f>IF(Clientes_PDV!A2="","",Clientes_PDV!A2)</f>
        <v>PDV-001</v>
      </c>
      <c r="B2" s="75" t="str">
        <f>IF(A2="","",IFERROR(VLOOKUP(A2,Clientes_PDV!$A$2:$J$250,2,FALSE),""))</f>
        <v>Jumbo</v>
      </c>
      <c r="C2" s="75" t="str">
        <f>IF(A2="","",IFERROR(VLOOKUP(A2,Clientes_PDV!$A$2:$J$250,3,FALSE),""))</f>
        <v>Retail</v>
      </c>
      <c r="D2" s="75" t="str">
        <f>IF(A2="","",IFERROR(VLOOKUP(A2,Clientes_PDV!$A$2:$J$250,4,FALSE),""))</f>
        <v>Jumbo Bilbao</v>
      </c>
      <c r="E2" s="75" t="str">
        <f>IF(A2="","",IFERROR(VLOOKUP(A2,Clientes_PDV!$A$2:$J$250,7,FALSE),""))</f>
        <v>Semanal</v>
      </c>
      <c r="F2" s="76">
        <f>IF(A2="","",IFERROR(VLOOKUP(A2,Clientes_PDV!$A$2:$J$250,8,FALSE),""))</f>
        <v>46209</v>
      </c>
      <c r="G2" s="77">
        <f t="shared" ref="G2:G65" ca="1" si="0">IF(F2="","",TODAY()-F2)</f>
        <v>4</v>
      </c>
      <c r="H2" s="75" t="str">
        <f ca="1">IF(A2="","",IF(F2="","Sin visita",IF(G2&lt;=IFERROR(VLOOKUP(E2,Inicio!$A$24:$B$26,2,FALSE),0),"Vigente","Atrasado")))</f>
        <v>Vigente</v>
      </c>
      <c r="I2" s="78">
        <f ca="1">IF(A2="","",SUMIFS(Ventas_SellIn!$L$2:$L$800,Ventas_SellIn!$D$2:$D$800,A2,Ventas_SellIn!$B$2:$B$800,"&gt;="&amp;TODAY()-Inicio!$B$14))</f>
        <v>411396</v>
      </c>
      <c r="J2" s="77">
        <f ca="1">IF(A2="","",SUMIFS(SellOut_Jumbo!$F$2:$F$800,SellOut_Jumbo!$C$2:$C$800,D2,SellOut_Jumbo!$A$2:$A$800,"&gt;="&amp;TODAY()-Inicio!$B$14))</f>
        <v>41</v>
      </c>
      <c r="K2" s="75" t="str">
        <f ca="1">IF(A2="","",IF(I2=0,"Sin venta",IF(I2&lt;Inicio!$B$15,"Venta baja","Venta OK")))</f>
        <v>Venta baja</v>
      </c>
      <c r="L2" s="77">
        <f>IF(A2="","",COUNTIFS(Ventas_SellIn!$D$2:$D$800,A2,Ventas_SellIn!$R$2:$R$800,"&gt;0"))</f>
        <v>1</v>
      </c>
      <c r="M2" s="78">
        <f>IF(A2="","",SUMIFS(Ventas_SellIn!$R$2:$R$800,Ventas_SellIn!$D$2:$D$800,A2))</f>
        <v>1.4551915228366852E-11</v>
      </c>
      <c r="N2" s="75" t="str">
        <f>IF(A2="","",IF(M2&gt;=Inicio!$B$18,"Pendiente relevante",IF(M2&gt;0,"Pendiente menor","Sin deuda")))</f>
        <v>Pendiente menor</v>
      </c>
      <c r="O2" s="79">
        <f>IF(A2="","",SUMIFS(Stock_PDV!$H$2:$H$800,Stock_PDV!$A$2:$A$800,A2))</f>
        <v>33</v>
      </c>
      <c r="P2" s="75" t="str">
        <f>IF(A2="","",IF(O2&lt;=Inicio!$B$16,"Crítico",IF(O2&lt;=Inicio!$B$17,"Observar","OK")))</f>
        <v>OK</v>
      </c>
      <c r="Q2" s="75" t="str">
        <f t="shared" ref="Q2:Q65" ca="1" si="1">IF(A2="","",IF(OR(H2="Atrasado",K2="Sin venta",N2="Pendiente relevante",P2="Crítico"),"Alta",IF(OR(K2="Venta baja",N2="Pendiente menor",P2="Observar"),"Media","Baja")))</f>
        <v>Media</v>
      </c>
      <c r="R2" s="75" t="str">
        <f ca="1">IF(A2="","",IF(Q2="Alta","Gestionar esta semana",IF(Q2="Media","Hacer seguimiento","Mantener")))</f>
        <v>Hacer seguimiento</v>
      </c>
      <c r="S2" s="68" t="str">
        <f t="shared" ref="S2:S65" ca="1" si="2">IF(A2="","",IF(I2=0,"Sin venta",IF(I2&gt;=cfg_VentaAlta,"Alta",IF(I2&lt;cfg_VentaBaja,"Baja","Media"))))</f>
        <v>Baja</v>
      </c>
      <c r="T2" s="68">
        <f>IF(A2="","",IFERROR(VLOOKUP(A2,Clientes_PDV!$A$2:$K$250,11,FALSE),""))</f>
        <v>0</v>
      </c>
    </row>
    <row r="3" spans="1:22" ht="20" customHeight="1" x14ac:dyDescent="0.35">
      <c r="A3" s="80" t="str">
        <f>IF(Clientes_PDV!A3="","",Clientes_PDV!A3)</f>
        <v>PDV-002</v>
      </c>
      <c r="B3" s="80" t="str">
        <f>IF(A3="","",IFERROR(VLOOKUP(A3,Clientes_PDV!$A$2:$J$250,2,FALSE),""))</f>
        <v>Jumbo</v>
      </c>
      <c r="C3" s="80" t="str">
        <f>IF(A3="","",IFERROR(VLOOKUP(A3,Clientes_PDV!$A$2:$J$250,3,FALSE),""))</f>
        <v>Retail</v>
      </c>
      <c r="D3" s="80" t="str">
        <f>IF(A3="","",IFERROR(VLOOKUP(A3,Clientes_PDV!$A$2:$J$250,4,FALSE),""))</f>
        <v>Jumbo Kennedy</v>
      </c>
      <c r="E3" s="80" t="str">
        <f>IF(A3="","",IFERROR(VLOOKUP(A3,Clientes_PDV!$A$2:$J$250,7,FALSE),""))</f>
        <v>Semanal</v>
      </c>
      <c r="F3" s="81">
        <f>IF(A3="","",IFERROR(VLOOKUP(A3,Clientes_PDV!$A$2:$J$250,8,FALSE),""))</f>
        <v>46201</v>
      </c>
      <c r="G3" s="82">
        <f t="shared" ca="1" si="0"/>
        <v>12</v>
      </c>
      <c r="H3" s="80" t="str">
        <f ca="1">IF(A3="","",IF(F3="","Sin visita",IF(G3&lt;=IFERROR(VLOOKUP(E3,Inicio!$A$24:$B$26,2,FALSE),0),"Vigente","Atrasado")))</f>
        <v>Atrasado</v>
      </c>
      <c r="I3" s="83">
        <f ca="1">IF(A3="","",SUMIFS(Ventas_SellIn!$L$2:$L$800,Ventas_SellIn!$D$2:$D$800,A3,Ventas_SellIn!$B$2:$B$800,"&gt;="&amp;TODAY()-Inicio!$B$14))</f>
        <v>461000</v>
      </c>
      <c r="J3" s="82">
        <f ca="1">IF(A3="","",SUMIFS(SellOut_Jumbo!$F$2:$F$800,SellOut_Jumbo!$C$2:$C$800,D3,SellOut_Jumbo!$A$2:$A$800,"&gt;="&amp;TODAY()-Inicio!$B$14))</f>
        <v>37</v>
      </c>
      <c r="K3" s="80" t="str">
        <f ca="1">IF(A3="","",IF(I3=0,"Sin venta",IF(I3&lt;Inicio!$B$15,"Venta baja","Venta OK")))</f>
        <v>Venta baja</v>
      </c>
      <c r="L3" s="82">
        <f>IF(A3="","",COUNTIFS(Ventas_SellIn!$D$2:$D$800,A3,Ventas_SellIn!$R$2:$R$800,"&gt;0"))</f>
        <v>0</v>
      </c>
      <c r="M3" s="83">
        <f>IF(A3="","",SUMIFS(Ventas_SellIn!$R$2:$R$800,Ventas_SellIn!$D$2:$D$800,A3))</f>
        <v>0</v>
      </c>
      <c r="N3" s="80" t="str">
        <f>IF(A3="","",IF(M3&gt;=Inicio!$B$18,"Pendiente relevante",IF(M3&gt;0,"Pendiente menor","Sin deuda")))</f>
        <v>Sin deuda</v>
      </c>
      <c r="O3" s="84">
        <f>IF(A3="","",SUMIFS(Stock_PDV!$H$2:$H$800,Stock_PDV!$A$2:$A$800,A3))</f>
        <v>0</v>
      </c>
      <c r="P3" s="80" t="str">
        <f>IF(A3="","",IF(O3&lt;=Inicio!$B$16,"Crítico",IF(O3&lt;=Inicio!$B$17,"Observar","OK")))</f>
        <v>Crítico</v>
      </c>
      <c r="Q3" s="80" t="str">
        <f t="shared" ca="1" si="1"/>
        <v>Alta</v>
      </c>
      <c r="R3" s="80" t="str">
        <f t="shared" ref="R2:R65" ca="1" si="3">IF(A3="","",IF(Q3="Alta","Gestionar esta semana",IF(Q3="Media","Hacer seguimiento","Mantener")))</f>
        <v>Gestionar esta semana</v>
      </c>
      <c r="S3" s="70" t="str">
        <f t="shared" ca="1" si="2"/>
        <v>Baja</v>
      </c>
      <c r="T3" s="70">
        <f>IF(A3="","",IFERROR(VLOOKUP(A3,Clientes_PDV!$A$2:$K$250,11,FALSE),""))</f>
        <v>0</v>
      </c>
    </row>
    <row r="4" spans="1:22" ht="20" customHeight="1" x14ac:dyDescent="0.35">
      <c r="A4" s="75" t="str">
        <f>IF(Clientes_PDV!A4="","",Clientes_PDV!A4)</f>
        <v>PDV-003</v>
      </c>
      <c r="B4" s="75" t="str">
        <f>IF(A4="","",IFERROR(VLOOKUP(A4,Clientes_PDV!$A$2:$J$250,2,FALSE),""))</f>
        <v>Jumbo</v>
      </c>
      <c r="C4" s="75" t="str">
        <f>IF(A4="","",IFERROR(VLOOKUP(A4,Clientes_PDV!$A$2:$J$250,3,FALSE),""))</f>
        <v>Retail</v>
      </c>
      <c r="D4" s="75" t="str">
        <f>IF(A4="","",IFERROR(VLOOKUP(A4,Clientes_PDV!$A$2:$J$250,4,FALSE),""))</f>
        <v>Jumbo La Reina</v>
      </c>
      <c r="E4" s="75" t="str">
        <f>IF(A4="","",IFERROR(VLOOKUP(A4,Clientes_PDV!$A$2:$J$250,7,FALSE),""))</f>
        <v>Quincenal</v>
      </c>
      <c r="F4" s="76">
        <f>IF(A4="","",IFERROR(VLOOKUP(A4,Clientes_PDV!$A$2:$J$250,8,FALSE),""))</f>
        <v>46197</v>
      </c>
      <c r="G4" s="77">
        <f t="shared" ca="1" si="0"/>
        <v>16</v>
      </c>
      <c r="H4" s="75" t="str">
        <f ca="1">IF(A4="","",IF(F4="","Sin visita",IF(G4&lt;=IFERROR(VLOOKUP(E4,Inicio!$A$24:$B$26,2,FALSE),0),"Vigente","Atrasado")))</f>
        <v>Atrasado</v>
      </c>
      <c r="I4" s="78">
        <f ca="1">IF(A4="","",SUMIFS(Ventas_SellIn!$L$2:$L$800,Ventas_SellIn!$D$2:$D$800,A4,Ventas_SellIn!$B$2:$B$800,"&gt;="&amp;TODAY()-Inicio!$B$14))</f>
        <v>66220</v>
      </c>
      <c r="J4" s="77">
        <f ca="1">IF(A4="","",SUMIFS(SellOut_Jumbo!$F$2:$F$800,SellOut_Jumbo!$C$2:$C$800,D4,SellOut_Jumbo!$A$2:$A$800,"&gt;="&amp;TODAY()-Inicio!$B$14))</f>
        <v>36</v>
      </c>
      <c r="K4" s="75" t="str">
        <f ca="1">IF(A4="","",IF(I4=0,"Sin venta",IF(I4&lt;Inicio!$B$15,"Venta baja","Venta OK")))</f>
        <v>Venta baja</v>
      </c>
      <c r="L4" s="77">
        <f>IF(A4="","",COUNTIFS(Ventas_SellIn!$D$2:$D$800,A4,Ventas_SellIn!$R$2:$R$800,"&gt;0"))</f>
        <v>1</v>
      </c>
      <c r="M4" s="78">
        <f>IF(A4="","",SUMIFS(Ventas_SellIn!$R$2:$R$800,Ventas_SellIn!$D$2:$D$800,A4))</f>
        <v>6076.14</v>
      </c>
      <c r="N4" s="75" t="str">
        <f>IF(A4="","",IF(M4&gt;=Inicio!$B$18,"Pendiente relevante",IF(M4&gt;0,"Pendiente menor","Sin deuda")))</f>
        <v>Pendiente menor</v>
      </c>
      <c r="O4" s="79">
        <f>IF(A4="","",SUMIFS(Stock_PDV!$H$2:$H$800,Stock_PDV!$A$2:$A$800,A4))</f>
        <v>155</v>
      </c>
      <c r="P4" s="75" t="str">
        <f>IF(A4="","",IF(O4&lt;=Inicio!$B$16,"Crítico",IF(O4&lt;=Inicio!$B$17,"Observar","OK")))</f>
        <v>OK</v>
      </c>
      <c r="Q4" s="75" t="str">
        <f t="shared" ca="1" si="1"/>
        <v>Alta</v>
      </c>
      <c r="R4" s="75" t="str">
        <f t="shared" ca="1" si="3"/>
        <v>Gestionar esta semana</v>
      </c>
      <c r="S4" s="68" t="str">
        <f t="shared" ca="1" si="2"/>
        <v>Baja</v>
      </c>
      <c r="T4" s="68">
        <f>IF(A4="","",IFERROR(VLOOKUP(A4,Clientes_PDV!$A$2:$K$250,11,FALSE),""))</f>
        <v>0</v>
      </c>
    </row>
    <row r="5" spans="1:22" ht="20" customHeight="1" x14ac:dyDescent="0.35">
      <c r="A5" s="80" t="str">
        <f>IF(Clientes_PDV!A5="","",Clientes_PDV!A5)</f>
        <v>PDV-004</v>
      </c>
      <c r="B5" s="80" t="str">
        <f>IF(A5="","",IFERROR(VLOOKUP(A5,Clientes_PDV!$A$2:$J$250,2,FALSE),""))</f>
        <v>Get It</v>
      </c>
      <c r="C5" s="80" t="str">
        <f>IF(A5="","",IFERROR(VLOOKUP(A5,Clientes_PDV!$A$2:$J$250,3,FALSE),""))</f>
        <v>Conveniencia</v>
      </c>
      <c r="D5" s="80" t="str">
        <f>IF(A5="","",IFERROR(VLOOKUP(A5,Clientes_PDV!$A$2:$J$250,4,FALSE),""))</f>
        <v>Get It Apoquindo</v>
      </c>
      <c r="E5" s="80" t="str">
        <f>IF(A5="","",IFERROR(VLOOKUP(A5,Clientes_PDV!$A$2:$J$250,7,FALSE),""))</f>
        <v>Semanal</v>
      </c>
      <c r="F5" s="81">
        <f>IF(A5="","",IFERROR(VLOOKUP(A5,Clientes_PDV!$A$2:$J$250,8,FALSE),""))</f>
        <v>46206</v>
      </c>
      <c r="G5" s="82">
        <f t="shared" ca="1" si="0"/>
        <v>7</v>
      </c>
      <c r="H5" s="80" t="str">
        <f ca="1">IF(A5="","",IF(F5="","Sin visita",IF(G5&lt;=IFERROR(VLOOKUP(E5,Inicio!$A$24:$B$26,2,FALSE),0),"Vigente","Atrasado")))</f>
        <v>Vigente</v>
      </c>
      <c r="I5" s="83">
        <f ca="1">IF(A5="","",SUMIFS(Ventas_SellIn!$L$2:$L$800,Ventas_SellIn!$D$2:$D$800,A5,Ventas_SellIn!$B$2:$B$800,"&gt;="&amp;TODAY()-Inicio!$B$14))</f>
        <v>368880</v>
      </c>
      <c r="J5" s="82">
        <f ca="1">IF(A5="","",SUMIFS(SellOut_Jumbo!$F$2:$F$800,SellOut_Jumbo!$C$2:$C$800,D5,SellOut_Jumbo!$A$2:$A$800,"&gt;="&amp;TODAY()-Inicio!$B$14))</f>
        <v>0</v>
      </c>
      <c r="K5" s="80" t="str">
        <f ca="1">IF(A5="","",IF(I5=0,"Sin venta",IF(I5&lt;Inicio!$B$15,"Venta baja","Venta OK")))</f>
        <v>Venta baja</v>
      </c>
      <c r="L5" s="82">
        <f>IF(A5="","",COUNTIFS(Ventas_SellIn!$D$2:$D$800,A5,Ventas_SellIn!$R$2:$R$800,"&gt;0"))</f>
        <v>2</v>
      </c>
      <c r="M5" s="83">
        <f>IF(A5="","",SUMIFS(Ventas_SellIn!$R$2:$R$800,Ventas_SellIn!$D$2:$D$800,A5))</f>
        <v>27036.799999999999</v>
      </c>
      <c r="N5" s="80" t="str">
        <f>IF(A5="","",IF(M5&gt;=Inicio!$B$18,"Pendiente relevante",IF(M5&gt;0,"Pendiente menor","Sin deuda")))</f>
        <v>Pendiente menor</v>
      </c>
      <c r="O5" s="84">
        <f>IF(A5="","",SUMIFS(Stock_PDV!$H$2:$H$800,Stock_PDV!$A$2:$A$800,A5))</f>
        <v>8</v>
      </c>
      <c r="P5" s="80" t="str">
        <f>IF(A5="","",IF(O5&lt;=Inicio!$B$16,"Crítico",IF(O5&lt;=Inicio!$B$17,"Observar","OK")))</f>
        <v>Crítico</v>
      </c>
      <c r="Q5" s="80" t="str">
        <f t="shared" ca="1" si="1"/>
        <v>Alta</v>
      </c>
      <c r="R5" s="80" t="str">
        <f t="shared" ca="1" si="3"/>
        <v>Gestionar esta semana</v>
      </c>
      <c r="S5" s="70" t="str">
        <f t="shared" ca="1" si="2"/>
        <v>Baja</v>
      </c>
      <c r="T5" s="70">
        <f>IF(A5="","",IFERROR(VLOOKUP(A5,Clientes_PDV!$A$2:$K$250,11,FALSE),""))</f>
        <v>0</v>
      </c>
    </row>
    <row r="6" spans="1:22" ht="20" customHeight="1" x14ac:dyDescent="0.35">
      <c r="A6" s="75" t="str">
        <f>IF(Clientes_PDV!A6="","",Clientes_PDV!A6)</f>
        <v>PDV-005</v>
      </c>
      <c r="B6" s="75" t="str">
        <f>IF(A6="","",IFERROR(VLOOKUP(A6,Clientes_PDV!$A$2:$J$250,2,FALSE),""))</f>
        <v>Get It</v>
      </c>
      <c r="C6" s="75" t="str">
        <f>IF(A6="","",IFERROR(VLOOKUP(A6,Clientes_PDV!$A$2:$J$250,3,FALSE),""))</f>
        <v>Conveniencia</v>
      </c>
      <c r="D6" s="75" t="str">
        <f>IF(A6="","",IFERROR(VLOOKUP(A6,Clientes_PDV!$A$2:$J$250,4,FALSE),""))</f>
        <v>Get It Vitacura</v>
      </c>
      <c r="E6" s="75" t="str">
        <f>IF(A6="","",IFERROR(VLOOKUP(A6,Clientes_PDV!$A$2:$J$250,7,FALSE),""))</f>
        <v>Quincenal</v>
      </c>
      <c r="F6" s="76">
        <f>IF(A6="","",IFERROR(VLOOKUP(A6,Clientes_PDV!$A$2:$J$250,8,FALSE),""))</f>
        <v>46191</v>
      </c>
      <c r="G6" s="77">
        <f t="shared" ca="1" si="0"/>
        <v>22</v>
      </c>
      <c r="H6" s="75" t="str">
        <f ca="1">IF(A6="","",IF(F6="","Sin visita",IF(G6&lt;=IFERROR(VLOOKUP(E6,Inicio!$A$24:$B$26,2,FALSE),0),"Vigente","Atrasado")))</f>
        <v>Atrasado</v>
      </c>
      <c r="I6" s="78">
        <f ca="1">IF(A6="","",SUMIFS(Ventas_SellIn!$L$2:$L$800,Ventas_SellIn!$D$2:$D$800,A6,Ventas_SellIn!$B$2:$B$800,"&gt;="&amp;TODAY()-Inicio!$B$14))</f>
        <v>588968</v>
      </c>
      <c r="J6" s="77">
        <f ca="1">IF(A6="","",SUMIFS(SellOut_Jumbo!$F$2:$F$800,SellOut_Jumbo!$C$2:$C$800,D6,SellOut_Jumbo!$A$2:$A$800,"&gt;="&amp;TODAY()-Inicio!$B$14))</f>
        <v>0</v>
      </c>
      <c r="K6" s="75" t="str">
        <f ca="1">IF(A6="","",IF(I6=0,"Sin venta",IF(I6&lt;Inicio!$B$15,"Venta baja","Venta OK")))</f>
        <v>Venta OK</v>
      </c>
      <c r="L6" s="77">
        <f>IF(A6="","",COUNTIFS(Ventas_SellIn!$D$2:$D$800,A6,Ventas_SellIn!$R$2:$R$800,"&gt;0"))</f>
        <v>4</v>
      </c>
      <c r="M6" s="78">
        <f>IF(A6="","",SUMIFS(Ventas_SellIn!$R$2:$R$800,Ventas_SellIn!$D$2:$D$800,A6))</f>
        <v>1178554.58</v>
      </c>
      <c r="N6" s="75" t="str">
        <f>IF(A6="","",IF(M6&gt;=Inicio!$B$18,"Pendiente relevante",IF(M6&gt;0,"Pendiente menor","Sin deuda")))</f>
        <v>Pendiente relevante</v>
      </c>
      <c r="O6" s="79">
        <f>IF(A6="","",SUMIFS(Stock_PDV!$H$2:$H$800,Stock_PDV!$A$2:$A$800,A6))</f>
        <v>200</v>
      </c>
      <c r="P6" s="75" t="str">
        <f>IF(A6="","",IF(O6&lt;=Inicio!$B$16,"Crítico",IF(O6&lt;=Inicio!$B$17,"Observar","OK")))</f>
        <v>OK</v>
      </c>
      <c r="Q6" s="75" t="str">
        <f t="shared" ca="1" si="1"/>
        <v>Alta</v>
      </c>
      <c r="R6" s="75" t="str">
        <f t="shared" ca="1" si="3"/>
        <v>Gestionar esta semana</v>
      </c>
      <c r="S6" s="68" t="str">
        <f t="shared" ca="1" si="2"/>
        <v>Media</v>
      </c>
      <c r="T6" s="68">
        <f>IF(A6="","",IFERROR(VLOOKUP(A6,Clientes_PDV!$A$2:$K$250,11,FALSE),""))</f>
        <v>0</v>
      </c>
    </row>
    <row r="7" spans="1:22" ht="20" customHeight="1" x14ac:dyDescent="0.35">
      <c r="A7" s="80" t="str">
        <f>IF(Clientes_PDV!A7="","",Clientes_PDV!A7)</f>
        <v>PDV-006</v>
      </c>
      <c r="B7" s="80" t="str">
        <f>IF(A7="","",IFERROR(VLOOKUP(A7,Clientes_PDV!$A$2:$J$250,2,FALSE),""))</f>
        <v>Aldea Nativa</v>
      </c>
      <c r="C7" s="80" t="str">
        <f>IF(A7="","",IFERROR(VLOOKUP(A7,Clientes_PDV!$A$2:$J$250,3,FALSE),""))</f>
        <v>Especializadas</v>
      </c>
      <c r="D7" s="80" t="str">
        <f>IF(A7="","",IFERROR(VLOOKUP(A7,Clientes_PDV!$A$2:$J$250,4,FALSE),""))</f>
        <v>Aldea Nativa Providencia</v>
      </c>
      <c r="E7" s="80" t="str">
        <f>IF(A7="","",IFERROR(VLOOKUP(A7,Clientes_PDV!$A$2:$J$250,7,FALSE),""))</f>
        <v>Mensual</v>
      </c>
      <c r="F7" s="81">
        <f>IF(A7="","",IFERROR(VLOOKUP(A7,Clientes_PDV!$A$2:$J$250,8,FALSE),""))</f>
        <v>46182</v>
      </c>
      <c r="G7" s="82">
        <f t="shared" ca="1" si="0"/>
        <v>31</v>
      </c>
      <c r="H7" s="80" t="str">
        <f ca="1">IF(A7="","",IF(F7="","Sin visita",IF(G7&lt;=IFERROR(VLOOKUP(E7,Inicio!$A$24:$B$26,2,FALSE),0),"Vigente","Atrasado")))</f>
        <v>Atrasado</v>
      </c>
      <c r="I7" s="83">
        <f ca="1">IF(A7="","",SUMIFS(Ventas_SellIn!$L$2:$L$800,Ventas_SellIn!$D$2:$D$800,A7,Ventas_SellIn!$B$2:$B$800,"&gt;="&amp;TODAY()-Inicio!$B$14))</f>
        <v>53340</v>
      </c>
      <c r="J7" s="82">
        <f ca="1">IF(A7="","",SUMIFS(SellOut_Jumbo!$F$2:$F$800,SellOut_Jumbo!$C$2:$C$800,D7,SellOut_Jumbo!$A$2:$A$800,"&gt;="&amp;TODAY()-Inicio!$B$14))</f>
        <v>0</v>
      </c>
      <c r="K7" s="80" t="str">
        <f ca="1">IF(A7="","",IF(I7=0,"Sin venta",IF(I7&lt;Inicio!$B$15,"Venta baja","Venta OK")))</f>
        <v>Venta baja</v>
      </c>
      <c r="L7" s="82">
        <f>IF(A7="","",COUNTIFS(Ventas_SellIn!$D$2:$D$800,A7,Ventas_SellIn!$R$2:$R$800,"&gt;0"))</f>
        <v>1</v>
      </c>
      <c r="M7" s="83">
        <f>IF(A7="","",SUMIFS(Ventas_SellIn!$R$2:$R$800,Ventas_SellIn!$D$2:$D$800,A7))</f>
        <v>63474.6</v>
      </c>
      <c r="N7" s="80" t="str">
        <f>IF(A7="","",IF(M7&gt;=Inicio!$B$18,"Pendiente relevante",IF(M7&gt;0,"Pendiente menor","Sin deuda")))</f>
        <v>Pendiente menor</v>
      </c>
      <c r="O7" s="84">
        <f>IF(A7="","",SUMIFS(Stock_PDV!$H$2:$H$800,Stock_PDV!$A$2:$A$800,A7))</f>
        <v>183</v>
      </c>
      <c r="P7" s="80" t="str">
        <f>IF(A7="","",IF(O7&lt;=Inicio!$B$16,"Crítico",IF(O7&lt;=Inicio!$B$17,"Observar","OK")))</f>
        <v>OK</v>
      </c>
      <c r="Q7" s="80" t="str">
        <f t="shared" ca="1" si="1"/>
        <v>Alta</v>
      </c>
      <c r="R7" s="80" t="str">
        <f t="shared" ca="1" si="3"/>
        <v>Gestionar esta semana</v>
      </c>
      <c r="S7" s="70" t="str">
        <f t="shared" ca="1" si="2"/>
        <v>Baja</v>
      </c>
      <c r="T7" s="70">
        <f>IF(A7="","",IFERROR(VLOOKUP(A7,Clientes_PDV!$A$2:$K$250,11,FALSE),""))</f>
        <v>0</v>
      </c>
    </row>
    <row r="8" spans="1:22" ht="20" customHeight="1" x14ac:dyDescent="0.35">
      <c r="A8" s="75" t="str">
        <f>IF(Clientes_PDV!A8="","",Clientes_PDV!A8)</f>
        <v>PDV-007</v>
      </c>
      <c r="B8" s="75" t="str">
        <f>IF(A8="","",IFERROR(VLOOKUP(A8,Clientes_PDV!$A$2:$J$250,2,FALSE),""))</f>
        <v>All Nutrition</v>
      </c>
      <c r="C8" s="75" t="str">
        <f>IF(A8="","",IFERROR(VLOOKUP(A8,Clientes_PDV!$A$2:$J$250,3,FALSE),""))</f>
        <v>Especializadas</v>
      </c>
      <c r="D8" s="75" t="str">
        <f>IF(A8="","",IFERROR(VLOOKUP(A8,Clientes_PDV!$A$2:$J$250,4,FALSE),""))</f>
        <v>All Nutrition La Reina</v>
      </c>
      <c r="E8" s="75" t="str">
        <f>IF(A8="","",IFERROR(VLOOKUP(A8,Clientes_PDV!$A$2:$J$250,7,FALSE),""))</f>
        <v>Mensual</v>
      </c>
      <c r="F8" s="76">
        <f>IF(A8="","",IFERROR(VLOOKUP(A8,Clientes_PDV!$A$2:$J$250,8,FALSE),""))</f>
        <v>46167</v>
      </c>
      <c r="G8" s="77">
        <f t="shared" ca="1" si="0"/>
        <v>46</v>
      </c>
      <c r="H8" s="75" t="str">
        <f ca="1">IF(A8="","",IF(F8="","Sin visita",IF(G8&lt;=IFERROR(VLOOKUP(E8,Inicio!$A$24:$B$26,2,FALSE),0),"Vigente","Atrasado")))</f>
        <v>Atrasado</v>
      </c>
      <c r="I8" s="78">
        <f ca="1">IF(A8="","",SUMIFS(Ventas_SellIn!$L$2:$L$800,Ventas_SellIn!$D$2:$D$800,A8,Ventas_SellIn!$B$2:$B$800,"&gt;="&amp;TODAY()-Inicio!$B$14))</f>
        <v>472508</v>
      </c>
      <c r="J8" s="77">
        <f ca="1">IF(A8="","",SUMIFS(SellOut_Jumbo!$F$2:$F$800,SellOut_Jumbo!$C$2:$C$800,D8,SellOut_Jumbo!$A$2:$A$800,"&gt;="&amp;TODAY()-Inicio!$B$14))</f>
        <v>0</v>
      </c>
      <c r="K8" s="75" t="str">
        <f ca="1">IF(A8="","",IF(I8=0,"Sin venta",IF(I8&lt;Inicio!$B$15,"Venta baja","Venta OK")))</f>
        <v>Venta baja</v>
      </c>
      <c r="L8" s="77">
        <f>IF(A8="","",COUNTIFS(Ventas_SellIn!$D$2:$D$800,A8,Ventas_SellIn!$R$2:$R$800,"&gt;0"))</f>
        <v>3</v>
      </c>
      <c r="M8" s="78">
        <f>IF(A8="","",SUMIFS(Ventas_SellIn!$R$2:$R$800,Ventas_SellIn!$D$2:$D$800,A8))</f>
        <v>636608.57000000007</v>
      </c>
      <c r="N8" s="75" t="str">
        <f>IF(A8="","",IF(M8&gt;=Inicio!$B$18,"Pendiente relevante",IF(M8&gt;0,"Pendiente menor","Sin deuda")))</f>
        <v>Pendiente relevante</v>
      </c>
      <c r="O8" s="79">
        <f>IF(A8="","",SUMIFS(Stock_PDV!$H$2:$H$800,Stock_PDV!$A$2:$A$800,A8))</f>
        <v>100</v>
      </c>
      <c r="P8" s="75" t="str">
        <f>IF(A8="","",IF(O8&lt;=Inicio!$B$16,"Crítico",IF(O8&lt;=Inicio!$B$17,"Observar","OK")))</f>
        <v>OK</v>
      </c>
      <c r="Q8" s="75" t="str">
        <f t="shared" ca="1" si="1"/>
        <v>Alta</v>
      </c>
      <c r="R8" s="75" t="str">
        <f t="shared" ca="1" si="3"/>
        <v>Gestionar esta semana</v>
      </c>
      <c r="S8" s="68" t="str">
        <f t="shared" ca="1" si="2"/>
        <v>Baja</v>
      </c>
      <c r="T8" s="68">
        <f>IF(A8="","",IFERROR(VLOOKUP(A8,Clientes_PDV!$A$2:$K$250,11,FALSE),""))</f>
        <v>0</v>
      </c>
    </row>
    <row r="9" spans="1:22" ht="20" customHeight="1" x14ac:dyDescent="0.35">
      <c r="A9" s="80" t="str">
        <f>IF(Clientes_PDV!A9="","",Clientes_PDV!A9)</f>
        <v>PDV-008</v>
      </c>
      <c r="B9" s="80" t="str">
        <f>IF(A9="","",IFERROR(VLOOKUP(A9,Clientes_PDV!$A$2:$J$250,2,FALSE),""))</f>
        <v>Farmacia Ahumada</v>
      </c>
      <c r="C9" s="80" t="str">
        <f>IF(A9="","",IFERROR(VLOOKUP(A9,Clientes_PDV!$A$2:$J$250,3,FALSE),""))</f>
        <v>Farmacias</v>
      </c>
      <c r="D9" s="80" t="str">
        <f>IF(A9="","",IFERROR(VLOOKUP(A9,Clientes_PDV!$A$2:$J$250,4,FALSE),""))</f>
        <v>Ahumada Los Dominicos</v>
      </c>
      <c r="E9" s="80" t="str">
        <f>IF(A9="","",IFERROR(VLOOKUP(A9,Clientes_PDV!$A$2:$J$250,7,FALSE),""))</f>
        <v>Quincenal</v>
      </c>
      <c r="F9" s="81">
        <f>IF(A9="","",IFERROR(VLOOKUP(A9,Clientes_PDV!$A$2:$J$250,8,FALSE),""))</f>
        <v>46203</v>
      </c>
      <c r="G9" s="82">
        <f t="shared" ca="1" si="0"/>
        <v>10</v>
      </c>
      <c r="H9" s="80" t="str">
        <f ca="1">IF(A9="","",IF(F9="","Sin visita",IF(G9&lt;=IFERROR(VLOOKUP(E9,Inicio!$A$24:$B$26,2,FALSE),0),"Vigente","Atrasado")))</f>
        <v>Vigente</v>
      </c>
      <c r="I9" s="83">
        <f ca="1">IF(A9="","",SUMIFS(Ventas_SellIn!$L$2:$L$800,Ventas_SellIn!$D$2:$D$800,A9,Ventas_SellIn!$B$2:$B$800,"&gt;="&amp;TODAY()-Inicio!$B$14))</f>
        <v>12984</v>
      </c>
      <c r="J9" s="82">
        <f ca="1">IF(A9="","",SUMIFS(SellOut_Jumbo!$F$2:$F$800,SellOut_Jumbo!$C$2:$C$800,D9,SellOut_Jumbo!$A$2:$A$800,"&gt;="&amp;TODAY()-Inicio!$B$14))</f>
        <v>0</v>
      </c>
      <c r="K9" s="80" t="str">
        <f ca="1">IF(A9="","",IF(I9=0,"Sin venta",IF(I9&lt;Inicio!$B$15,"Venta baja","Venta OK")))</f>
        <v>Venta baja</v>
      </c>
      <c r="L9" s="82">
        <f>IF(A9="","",COUNTIFS(Ventas_SellIn!$D$2:$D$800,A9,Ventas_SellIn!$R$2:$R$800,"&gt;0"))</f>
        <v>1</v>
      </c>
      <c r="M9" s="83">
        <f>IF(A9="","",SUMIFS(Ventas_SellIn!$R$2:$R$800,Ventas_SellIn!$D$2:$D$800,A9))</f>
        <v>15450.96</v>
      </c>
      <c r="N9" s="80" t="str">
        <f>IF(A9="","",IF(M9&gt;=Inicio!$B$18,"Pendiente relevante",IF(M9&gt;0,"Pendiente menor","Sin deuda")))</f>
        <v>Pendiente menor</v>
      </c>
      <c r="O9" s="84">
        <f>IF(A9="","",SUMIFS(Stock_PDV!$H$2:$H$800,Stock_PDV!$A$2:$A$800,A9))</f>
        <v>0</v>
      </c>
      <c r="P9" s="80" t="str">
        <f>IF(A9="","",IF(O9&lt;=Inicio!$B$16,"Crítico",IF(O9&lt;=Inicio!$B$17,"Observar","OK")))</f>
        <v>Crítico</v>
      </c>
      <c r="Q9" s="80" t="str">
        <f t="shared" ca="1" si="1"/>
        <v>Alta</v>
      </c>
      <c r="R9" s="80" t="str">
        <f t="shared" ca="1" si="3"/>
        <v>Gestionar esta semana</v>
      </c>
      <c r="S9" s="70" t="str">
        <f t="shared" ca="1" si="2"/>
        <v>Baja</v>
      </c>
      <c r="T9" s="70">
        <f>IF(A9="","",IFERROR(VLOOKUP(A9,Clientes_PDV!$A$2:$K$250,11,FALSE),""))</f>
        <v>0</v>
      </c>
    </row>
    <row r="10" spans="1:22" ht="20" customHeight="1" x14ac:dyDescent="0.35">
      <c r="A10" s="75" t="str">
        <f>IF(Clientes_PDV!A10="","",Clientes_PDV!A10)</f>
        <v>PDV-009</v>
      </c>
      <c r="B10" s="75" t="str">
        <f>IF(A10="","",IFERROR(VLOOKUP(A10,Clientes_PDV!$A$2:$J$250,2,FALSE),""))</f>
        <v>Cruz Verde</v>
      </c>
      <c r="C10" s="75" t="str">
        <f>IF(A10="","",IFERROR(VLOOKUP(A10,Clientes_PDV!$A$2:$J$250,3,FALSE),""))</f>
        <v>Farmacias</v>
      </c>
      <c r="D10" s="75" t="str">
        <f>IF(A10="","",IFERROR(VLOOKUP(A10,Clientes_PDV!$A$2:$J$250,4,FALSE),""))</f>
        <v>Cruz Verde Vitacura</v>
      </c>
      <c r="E10" s="75" t="str">
        <f>IF(A10="","",IFERROR(VLOOKUP(A10,Clientes_PDV!$A$2:$J$250,7,FALSE),""))</f>
        <v>Quincenal</v>
      </c>
      <c r="F10" s="76">
        <f>IF(A10="","",IFERROR(VLOOKUP(A10,Clientes_PDV!$A$2:$J$250,8,FALSE),""))</f>
        <v>46194</v>
      </c>
      <c r="G10" s="77">
        <f t="shared" ca="1" si="0"/>
        <v>19</v>
      </c>
      <c r="H10" s="75" t="str">
        <f ca="1">IF(A10="","",IF(F10="","Sin visita",IF(G10&lt;=IFERROR(VLOOKUP(E10,Inicio!$A$24:$B$26,2,FALSE),0),"Vigente","Atrasado")))</f>
        <v>Atrasado</v>
      </c>
      <c r="I10" s="78">
        <f ca="1">IF(A10="","",SUMIFS(Ventas_SellIn!$L$2:$L$800,Ventas_SellIn!$D$2:$D$800,A10,Ventas_SellIn!$B$2:$B$800,"&gt;="&amp;TODAY()-Inicio!$B$14))</f>
        <v>74680</v>
      </c>
      <c r="J10" s="77">
        <f ca="1">IF(A10="","",SUMIFS(SellOut_Jumbo!$F$2:$F$800,SellOut_Jumbo!$C$2:$C$800,D10,SellOut_Jumbo!$A$2:$A$800,"&gt;="&amp;TODAY()-Inicio!$B$14))</f>
        <v>0</v>
      </c>
      <c r="K10" s="75" t="str">
        <f ca="1">IF(A10="","",IF(I10=0,"Sin venta",IF(I10&lt;Inicio!$B$15,"Venta baja","Venta OK")))</f>
        <v>Venta baja</v>
      </c>
      <c r="L10" s="77">
        <f>IF(A10="","",COUNTIFS(Ventas_SellIn!$D$2:$D$800,A10,Ventas_SellIn!$R$2:$R$800,"&gt;0"))</f>
        <v>3</v>
      </c>
      <c r="M10" s="78">
        <f>IF(A10="","",SUMIFS(Ventas_SellIn!$R$2:$R$800,Ventas_SellIn!$D$2:$D$800,A10))</f>
        <v>351097.60000000003</v>
      </c>
      <c r="N10" s="75" t="str">
        <f>IF(A10="","",IF(M10&gt;=Inicio!$B$18,"Pendiente relevante",IF(M10&gt;0,"Pendiente menor","Sin deuda")))</f>
        <v>Pendiente relevante</v>
      </c>
      <c r="O10" s="79">
        <f>IF(A10="","",SUMIFS(Stock_PDV!$H$2:$H$800,Stock_PDV!$A$2:$A$800,A10))</f>
        <v>57</v>
      </c>
      <c r="P10" s="75" t="str">
        <f>IF(A10="","",IF(O10&lt;=Inicio!$B$16,"Crítico",IF(O10&lt;=Inicio!$B$17,"Observar","OK")))</f>
        <v>OK</v>
      </c>
      <c r="Q10" s="75" t="str">
        <f t="shared" ca="1" si="1"/>
        <v>Alta</v>
      </c>
      <c r="R10" s="75" t="str">
        <f t="shared" ca="1" si="3"/>
        <v>Gestionar esta semana</v>
      </c>
      <c r="S10" s="68" t="str">
        <f t="shared" ca="1" si="2"/>
        <v>Baja</v>
      </c>
      <c r="T10" s="68">
        <f>IF(A10="","",IFERROR(VLOOKUP(A10,Clientes_PDV!$A$2:$K$250,11,FALSE),""))</f>
        <v>0</v>
      </c>
    </row>
    <row r="11" spans="1:22" ht="20" customHeight="1" x14ac:dyDescent="0.35">
      <c r="A11" s="80" t="str">
        <f>IF(Clientes_PDV!A11="","",Clientes_PDV!A11)</f>
        <v>PDV-010</v>
      </c>
      <c r="B11" s="80" t="str">
        <f>IF(A11="","",IFERROR(VLOOKUP(A11,Clientes_PDV!$A$2:$J$250,2,FALSE),""))</f>
        <v>Sodexo</v>
      </c>
      <c r="C11" s="80" t="str">
        <f>IF(A11="","",IFERROR(VLOOKUP(A11,Clientes_PDV!$A$2:$J$250,3,FALSE),""))</f>
        <v>Corporativo</v>
      </c>
      <c r="D11" s="80" t="str">
        <f>IF(A11="","",IFERROR(VLOOKUP(A11,Clientes_PDV!$A$2:$J$250,4,FALSE),""))</f>
        <v>Sodexo Casa Matriz</v>
      </c>
      <c r="E11" s="80" t="str">
        <f>IF(A11="","",IFERROR(VLOOKUP(A11,Clientes_PDV!$A$2:$J$250,7,FALSE),""))</f>
        <v>Mensual</v>
      </c>
      <c r="F11" s="81">
        <f>IF(A11="","",IFERROR(VLOOKUP(A11,Clientes_PDV!$A$2:$J$250,8,FALSE),""))</f>
        <v>46185</v>
      </c>
      <c r="G11" s="82">
        <f t="shared" ca="1" si="0"/>
        <v>28</v>
      </c>
      <c r="H11" s="80" t="str">
        <f ca="1">IF(A11="","",IF(F11="","Sin visita",IF(G11&lt;=IFERROR(VLOOKUP(E11,Inicio!$A$24:$B$26,2,FALSE),0),"Vigente","Atrasado")))</f>
        <v>Vigente</v>
      </c>
      <c r="I11" s="83">
        <f ca="1">IF(A11="","",SUMIFS(Ventas_SellIn!$L$2:$L$800,Ventas_SellIn!$D$2:$D$800,A11,Ventas_SellIn!$B$2:$B$800,"&gt;="&amp;TODAY()-Inicio!$B$14))</f>
        <v>127474</v>
      </c>
      <c r="J11" s="82">
        <f ca="1">IF(A11="","",SUMIFS(SellOut_Jumbo!$F$2:$F$800,SellOut_Jumbo!$C$2:$C$800,D11,SellOut_Jumbo!$A$2:$A$800,"&gt;="&amp;TODAY()-Inicio!$B$14))</f>
        <v>0</v>
      </c>
      <c r="K11" s="80" t="str">
        <f ca="1">IF(A11="","",IF(I11=0,"Sin venta",IF(I11&lt;Inicio!$B$15,"Venta baja","Venta OK")))</f>
        <v>Venta baja</v>
      </c>
      <c r="L11" s="82">
        <f>IF(A11="","",COUNTIFS(Ventas_SellIn!$D$2:$D$800,A11,Ventas_SellIn!$R$2:$R$800,"&gt;0"))</f>
        <v>3</v>
      </c>
      <c r="M11" s="83">
        <f>IF(A11="","",SUMIFS(Ventas_SellIn!$R$2:$R$800,Ventas_SellIn!$D$2:$D$800,A11))</f>
        <v>200341.99999999997</v>
      </c>
      <c r="N11" s="80" t="str">
        <f>IF(A11="","",IF(M11&gt;=Inicio!$B$18,"Pendiente relevante",IF(M11&gt;0,"Pendiente menor","Sin deuda")))</f>
        <v>Pendiente relevante</v>
      </c>
      <c r="O11" s="84">
        <f>IF(A11="","",SUMIFS(Stock_PDV!$H$2:$H$800,Stock_PDV!$A$2:$A$800,A11))</f>
        <v>5</v>
      </c>
      <c r="P11" s="80" t="str">
        <f>IF(A11="","",IF(O11&lt;=Inicio!$B$16,"Crítico",IF(O11&lt;=Inicio!$B$17,"Observar","OK")))</f>
        <v>Crítico</v>
      </c>
      <c r="Q11" s="80" t="str">
        <f t="shared" ca="1" si="1"/>
        <v>Alta</v>
      </c>
      <c r="R11" s="80" t="str">
        <f t="shared" ca="1" si="3"/>
        <v>Gestionar esta semana</v>
      </c>
      <c r="S11" s="70" t="str">
        <f t="shared" ca="1" si="2"/>
        <v>Baja</v>
      </c>
      <c r="T11" s="70">
        <f>IF(A11="","",IFERROR(VLOOKUP(A11,Clientes_PDV!$A$2:$K$250,11,FALSE),""))</f>
        <v>0</v>
      </c>
    </row>
    <row r="12" spans="1:22" ht="20" customHeight="1" x14ac:dyDescent="0.35">
      <c r="A12" s="75" t="str">
        <f>IF(Clientes_PDV!A12="","",Clientes_PDV!A12)</f>
        <v>PDV-011</v>
      </c>
      <c r="B12" s="75" t="str">
        <f>IF(A12="","",IFERROR(VLOOKUP(A12,Clientes_PDV!$A$2:$J$250,2,FALSE),""))</f>
        <v>Tres Toques</v>
      </c>
      <c r="C12" s="75" t="str">
        <f>IF(A12="","",IFERROR(VLOOKUP(A12,Clientes_PDV!$A$2:$J$250,3,FALSE),""))</f>
        <v>HORECA</v>
      </c>
      <c r="D12" s="75" t="str">
        <f>IF(A12="","",IFERROR(VLOOKUP(A12,Clientes_PDV!$A$2:$J$250,4,FALSE),""))</f>
        <v>Tres Toques Vitacura</v>
      </c>
      <c r="E12" s="75" t="str">
        <f>IF(A12="","",IFERROR(VLOOKUP(A12,Clientes_PDV!$A$2:$J$250,7,FALSE),""))</f>
        <v>Mensual</v>
      </c>
      <c r="F12" s="76">
        <f>IF(A12="","",IFERROR(VLOOKUP(A12,Clientes_PDV!$A$2:$J$250,8,FALSE),""))</f>
        <v>46204</v>
      </c>
      <c r="G12" s="77">
        <f t="shared" ca="1" si="0"/>
        <v>9</v>
      </c>
      <c r="H12" s="75" t="str">
        <f ca="1">IF(A12="","",IF(F12="","Sin visita",IF(G12&lt;=IFERROR(VLOOKUP(E12,Inicio!$A$24:$B$26,2,FALSE),0),"Vigente","Atrasado")))</f>
        <v>Vigente</v>
      </c>
      <c r="I12" s="78">
        <f ca="1">IF(A12="","",SUMIFS(Ventas_SellIn!$L$2:$L$800,Ventas_SellIn!$D$2:$D$800,A12,Ventas_SellIn!$B$2:$B$800,"&gt;="&amp;TODAY()-Inicio!$B$14))</f>
        <v>3792</v>
      </c>
      <c r="J12" s="77">
        <f ca="1">IF(A12="","",SUMIFS(SellOut_Jumbo!$F$2:$F$800,SellOut_Jumbo!$C$2:$C$800,D12,SellOut_Jumbo!$A$2:$A$800,"&gt;="&amp;TODAY()-Inicio!$B$14))</f>
        <v>0</v>
      </c>
      <c r="K12" s="75" t="str">
        <f ca="1">IF(A12="","",IF(I12=0,"Sin venta",IF(I12&lt;Inicio!$B$15,"Venta baja","Venta OK")))</f>
        <v>Venta baja</v>
      </c>
      <c r="L12" s="77">
        <f>IF(A12="","",COUNTIFS(Ventas_SellIn!$D$2:$D$800,A12,Ventas_SellIn!$R$2:$R$800,"&gt;0"))</f>
        <v>1</v>
      </c>
      <c r="M12" s="78">
        <f>IF(A12="","",SUMIFS(Ventas_SellIn!$R$2:$R$800,Ventas_SellIn!$D$2:$D$800,A12))</f>
        <v>4512.4799999999996</v>
      </c>
      <c r="N12" s="75" t="str">
        <f>IF(A12="","",IF(M12&gt;=Inicio!$B$18,"Pendiente relevante",IF(M12&gt;0,"Pendiente menor","Sin deuda")))</f>
        <v>Pendiente menor</v>
      </c>
      <c r="O12" s="79">
        <f>IF(A12="","",SUMIFS(Stock_PDV!$H$2:$H$800,Stock_PDV!$A$2:$A$800,A12))</f>
        <v>225</v>
      </c>
      <c r="P12" s="75" t="str">
        <f>IF(A12="","",IF(O12&lt;=Inicio!$B$16,"Crítico",IF(O12&lt;=Inicio!$B$17,"Observar","OK")))</f>
        <v>OK</v>
      </c>
      <c r="Q12" s="75" t="str">
        <f t="shared" ca="1" si="1"/>
        <v>Media</v>
      </c>
      <c r="R12" s="75" t="str">
        <f t="shared" ca="1" si="3"/>
        <v>Hacer seguimiento</v>
      </c>
      <c r="S12" s="68" t="str">
        <f t="shared" ca="1" si="2"/>
        <v>Baja</v>
      </c>
      <c r="T12" s="68">
        <f>IF(A12="","",IFERROR(VLOOKUP(A12,Clientes_PDV!$A$2:$K$250,11,FALSE),""))</f>
        <v>0</v>
      </c>
    </row>
    <row r="13" spans="1:22" ht="20" customHeight="1" x14ac:dyDescent="0.35">
      <c r="A13" s="80" t="str">
        <f>IF(Clientes_PDV!A13="","",Clientes_PDV!A13)</f>
        <v>PDV-012</v>
      </c>
      <c r="B13" s="80" t="str">
        <f>IF(A13="","",IFERROR(VLOOKUP(A13,Clientes_PDV!$A$2:$J$250,2,FALSE),""))</f>
        <v>Mundo del Vino</v>
      </c>
      <c r="C13" s="80" t="str">
        <f>IF(A13="","",IFERROR(VLOOKUP(A13,Clientes_PDV!$A$2:$J$250,3,FALSE),""))</f>
        <v>Especializadas</v>
      </c>
      <c r="D13" s="80" t="str">
        <f>IF(A13="","",IFERROR(VLOOKUP(A13,Clientes_PDV!$A$2:$J$250,4,FALSE),""))</f>
        <v>Mundo del Vino Escuela Militar</v>
      </c>
      <c r="E13" s="80" t="str">
        <f>IF(A13="","",IFERROR(VLOOKUP(A13,Clientes_PDV!$A$2:$J$250,7,FALSE),""))</f>
        <v>Quincenal</v>
      </c>
      <c r="F13" s="81">
        <f>IF(A13="","",IFERROR(VLOOKUP(A13,Clientes_PDV!$A$2:$J$250,8,FALSE),""))</f>
        <v>46207</v>
      </c>
      <c r="G13" s="82">
        <f t="shared" ca="1" si="0"/>
        <v>6</v>
      </c>
      <c r="H13" s="80" t="str">
        <f ca="1">IF(A13="","",IF(F13="","Sin visita",IF(G13&lt;=IFERROR(VLOOKUP(E13,Inicio!$A$24:$B$26,2,FALSE),0),"Vigente","Atrasado")))</f>
        <v>Vigente</v>
      </c>
      <c r="I13" s="83">
        <f ca="1">IF(A13="","",SUMIFS(Ventas_SellIn!$L$2:$L$800,Ventas_SellIn!$D$2:$D$800,A13,Ventas_SellIn!$B$2:$B$800,"&gt;="&amp;TODAY()-Inicio!$B$14))</f>
        <v>230010</v>
      </c>
      <c r="J13" s="82">
        <f ca="1">IF(A13="","",SUMIFS(SellOut_Jumbo!$F$2:$F$800,SellOut_Jumbo!$C$2:$C$800,D13,SellOut_Jumbo!$A$2:$A$800,"&gt;="&amp;TODAY()-Inicio!$B$14))</f>
        <v>0</v>
      </c>
      <c r="K13" s="80" t="str">
        <f ca="1">IF(A13="","",IF(I13=0,"Sin venta",IF(I13&lt;Inicio!$B$15,"Venta baja","Venta OK")))</f>
        <v>Venta baja</v>
      </c>
      <c r="L13" s="82">
        <f>IF(A13="","",COUNTIFS(Ventas_SellIn!$D$2:$D$800,A13,Ventas_SellIn!$R$2:$R$800,"&gt;0"))</f>
        <v>2</v>
      </c>
      <c r="M13" s="83">
        <f>IF(A13="","",SUMIFS(Ventas_SellIn!$R$2:$R$800,Ventas_SellIn!$D$2:$D$800,A13))</f>
        <v>204888.2</v>
      </c>
      <c r="N13" s="80" t="str">
        <f>IF(A13="","",IF(M13&gt;=Inicio!$B$18,"Pendiente relevante",IF(M13&gt;0,"Pendiente menor","Sin deuda")))</f>
        <v>Pendiente relevante</v>
      </c>
      <c r="O13" s="84">
        <f>IF(A13="","",SUMIFS(Stock_PDV!$H$2:$H$800,Stock_PDV!$A$2:$A$800,A13))</f>
        <v>140</v>
      </c>
      <c r="P13" s="80" t="str">
        <f>IF(A13="","",IF(O13&lt;=Inicio!$B$16,"Crítico",IF(O13&lt;=Inicio!$B$17,"Observar","OK")))</f>
        <v>OK</v>
      </c>
      <c r="Q13" s="80" t="str">
        <f t="shared" ca="1" si="1"/>
        <v>Alta</v>
      </c>
      <c r="R13" s="80" t="str">
        <f t="shared" ca="1" si="3"/>
        <v>Gestionar esta semana</v>
      </c>
      <c r="S13" s="70" t="str">
        <f t="shared" ca="1" si="2"/>
        <v>Baja</v>
      </c>
      <c r="T13" s="70">
        <f>IF(A13="","",IFERROR(VLOOKUP(A13,Clientes_PDV!$A$2:$K$250,11,FALSE),""))</f>
        <v>0</v>
      </c>
    </row>
    <row r="14" spans="1:22" ht="20" customHeight="1" x14ac:dyDescent="0.35">
      <c r="A14" s="75" t="str">
        <f>IF(Clientes_PDV!A14="","",Clientes_PDV!A14)</f>
        <v/>
      </c>
      <c r="B14" s="75" t="str">
        <f>IF(A14="","",IFERROR(VLOOKUP(A14,Clientes_PDV!$A$2:$J$250,2,FALSE),""))</f>
        <v/>
      </c>
      <c r="C14" s="75" t="str">
        <f>IF(A14="","",IFERROR(VLOOKUP(A14,Clientes_PDV!$A$2:$J$250,3,FALSE),""))</f>
        <v/>
      </c>
      <c r="D14" s="75" t="str">
        <f>IF(A14="","",IFERROR(VLOOKUP(A14,Clientes_PDV!$A$2:$J$250,4,FALSE),""))</f>
        <v/>
      </c>
      <c r="E14" s="75" t="str">
        <f>IF(A14="","",IFERROR(VLOOKUP(A14,Clientes_PDV!$A$2:$J$250,7,FALSE),""))</f>
        <v/>
      </c>
      <c r="F14" s="76" t="str">
        <f>IF(A14="","",IFERROR(VLOOKUP(A14,Clientes_PDV!$A$2:$J$250,8,FALSE),""))</f>
        <v/>
      </c>
      <c r="G14" s="77" t="str">
        <f t="shared" ca="1" si="0"/>
        <v/>
      </c>
      <c r="H14" s="75" t="str">
        <f>IF(A14="","",IF(F14="","Sin visita",IF(G14&lt;=IFERROR(VLOOKUP(E14,Inicio!$A$24:$B$26,2,FALSE),0),"Vigente","Atrasado")))</f>
        <v/>
      </c>
      <c r="I14" s="78" t="str">
        <f ca="1">IF(A14="","",SUMIFS(Ventas_SellIn!$L$2:$L$800,Ventas_SellIn!$D$2:$D$800,A14,Ventas_SellIn!$B$2:$B$800,"&gt;="&amp;TODAY()-Inicio!$B$14))</f>
        <v/>
      </c>
      <c r="J14" s="77" t="str">
        <f ca="1">IF(A14="","",SUMIFS(SellOut_Jumbo!$F$2:$F$800,SellOut_Jumbo!$C$2:$C$800,D14,SellOut_Jumbo!$A$2:$A$800,"&gt;="&amp;TODAY()-Inicio!$B$14))</f>
        <v/>
      </c>
      <c r="K14" s="75" t="str">
        <f>IF(A14="","",IF(I14=0,"Sin venta",IF(I14&lt;Inicio!$B$15,"Venta baja","Venta OK")))</f>
        <v/>
      </c>
      <c r="L14" s="77" t="str">
        <f>IF(A14="","",COUNTIFS(Ventas_SellIn!$D$2:$D$800,A14,Ventas_SellIn!$R$2:$R$800,"&gt;0"))</f>
        <v/>
      </c>
      <c r="M14" s="78" t="str">
        <f>IF(A14="","",SUMIFS(Ventas_SellIn!$R$2:$R$800,Ventas_SellIn!$D$2:$D$800,A14))</f>
        <v/>
      </c>
      <c r="N14" s="75" t="str">
        <f>IF(A14="","",IF(M14&gt;=Inicio!$B$18,"Pendiente relevante",IF(M14&gt;0,"Pendiente menor","Sin deuda")))</f>
        <v/>
      </c>
      <c r="O14" s="79" t="str">
        <f>IF(A14="","",SUMIFS(Stock_PDV!$H$2:$H$800,Stock_PDV!$A$2:$A$800,A14))</f>
        <v/>
      </c>
      <c r="P14" s="75" t="str">
        <f>IF(A14="","",IF(O14&lt;=Inicio!$B$16,"Crítico",IF(O14&lt;=Inicio!$B$17,"Observar","OK")))</f>
        <v/>
      </c>
      <c r="Q14" s="75" t="str">
        <f t="shared" si="1"/>
        <v/>
      </c>
      <c r="R14" s="75" t="str">
        <f t="shared" si="3"/>
        <v/>
      </c>
      <c r="S14" s="68" t="str">
        <f t="shared" si="2"/>
        <v/>
      </c>
      <c r="T14" s="68" t="str">
        <f>IF(A14="","",IFERROR(VLOOKUP(A14,Clientes_PDV!$A$2:$K$250,11,FALSE),""))</f>
        <v/>
      </c>
    </row>
    <row r="15" spans="1:22" ht="20" customHeight="1" x14ac:dyDescent="0.35">
      <c r="A15" s="80" t="str">
        <f>IF(Clientes_PDV!A15="","",Clientes_PDV!A15)</f>
        <v/>
      </c>
      <c r="B15" s="80" t="str">
        <f>IF(A15="","",IFERROR(VLOOKUP(A15,Clientes_PDV!$A$2:$J$250,2,FALSE),""))</f>
        <v/>
      </c>
      <c r="C15" s="80" t="str">
        <f>IF(A15="","",IFERROR(VLOOKUP(A15,Clientes_PDV!$A$2:$J$250,3,FALSE),""))</f>
        <v/>
      </c>
      <c r="D15" s="80" t="str">
        <f>IF(A15="","",IFERROR(VLOOKUP(A15,Clientes_PDV!$A$2:$J$250,4,FALSE),""))</f>
        <v/>
      </c>
      <c r="E15" s="80" t="str">
        <f>IF(A15="","",IFERROR(VLOOKUP(A15,Clientes_PDV!$A$2:$J$250,7,FALSE),""))</f>
        <v/>
      </c>
      <c r="F15" s="81" t="str">
        <f>IF(A15="","",IFERROR(VLOOKUP(A15,Clientes_PDV!$A$2:$J$250,8,FALSE),""))</f>
        <v/>
      </c>
      <c r="G15" s="82" t="str">
        <f t="shared" ca="1" si="0"/>
        <v/>
      </c>
      <c r="H15" s="80" t="str">
        <f>IF(A15="","",IF(F15="","Sin visita",IF(G15&lt;=IFERROR(VLOOKUP(E15,Inicio!$A$24:$B$26,2,FALSE),0),"Vigente","Atrasado")))</f>
        <v/>
      </c>
      <c r="I15" s="83" t="str">
        <f ca="1">IF(A15="","",SUMIFS(Ventas_SellIn!$L$2:$L$800,Ventas_SellIn!$D$2:$D$800,A15,Ventas_SellIn!$B$2:$B$800,"&gt;="&amp;TODAY()-Inicio!$B$14))</f>
        <v/>
      </c>
      <c r="J15" s="82" t="str">
        <f ca="1">IF(A15="","",SUMIFS(SellOut_Jumbo!$F$2:$F$800,SellOut_Jumbo!$C$2:$C$800,D15,SellOut_Jumbo!$A$2:$A$800,"&gt;="&amp;TODAY()-Inicio!$B$14))</f>
        <v/>
      </c>
      <c r="K15" s="80" t="str">
        <f>IF(A15="","",IF(I15=0,"Sin venta",IF(I15&lt;Inicio!$B$15,"Venta baja","Venta OK")))</f>
        <v/>
      </c>
      <c r="L15" s="82" t="str">
        <f>IF(A15="","",COUNTIFS(Ventas_SellIn!$D$2:$D$800,A15,Ventas_SellIn!$R$2:$R$800,"&gt;0"))</f>
        <v/>
      </c>
      <c r="M15" s="83" t="str">
        <f>IF(A15="","",SUMIFS(Ventas_SellIn!$R$2:$R$800,Ventas_SellIn!$D$2:$D$800,A15))</f>
        <v/>
      </c>
      <c r="N15" s="80" t="str">
        <f>IF(A15="","",IF(M15&gt;=Inicio!$B$18,"Pendiente relevante",IF(M15&gt;0,"Pendiente menor","Sin deuda")))</f>
        <v/>
      </c>
      <c r="O15" s="84" t="str">
        <f>IF(A15="","",SUMIFS(Stock_PDV!$H$2:$H$800,Stock_PDV!$A$2:$A$800,A15))</f>
        <v/>
      </c>
      <c r="P15" s="80" t="str">
        <f>IF(A15="","",IF(O15&lt;=Inicio!$B$16,"Crítico",IF(O15&lt;=Inicio!$B$17,"Observar","OK")))</f>
        <v/>
      </c>
      <c r="Q15" s="80" t="str">
        <f t="shared" si="1"/>
        <v/>
      </c>
      <c r="R15" s="80" t="str">
        <f t="shared" si="3"/>
        <v/>
      </c>
      <c r="S15" s="70" t="str">
        <f t="shared" si="2"/>
        <v/>
      </c>
      <c r="T15" s="70" t="str">
        <f>IF(A15="","",IFERROR(VLOOKUP(A15,Clientes_PDV!$A$2:$K$250,11,FALSE),""))</f>
        <v/>
      </c>
    </row>
    <row r="16" spans="1:22" ht="20" customHeight="1" x14ac:dyDescent="0.35">
      <c r="A16" s="75" t="str">
        <f>IF(Clientes_PDV!A16="","",Clientes_PDV!A16)</f>
        <v/>
      </c>
      <c r="B16" s="75" t="str">
        <f>IF(A16="","",IFERROR(VLOOKUP(A16,Clientes_PDV!$A$2:$J$250,2,FALSE),""))</f>
        <v/>
      </c>
      <c r="C16" s="75" t="str">
        <f>IF(A16="","",IFERROR(VLOOKUP(A16,Clientes_PDV!$A$2:$J$250,3,FALSE),""))</f>
        <v/>
      </c>
      <c r="D16" s="75" t="str">
        <f>IF(A16="","",IFERROR(VLOOKUP(A16,Clientes_PDV!$A$2:$J$250,4,FALSE),""))</f>
        <v/>
      </c>
      <c r="E16" s="75" t="str">
        <f>IF(A16="","",IFERROR(VLOOKUP(A16,Clientes_PDV!$A$2:$J$250,7,FALSE),""))</f>
        <v/>
      </c>
      <c r="F16" s="76" t="str">
        <f>IF(A16="","",IFERROR(VLOOKUP(A16,Clientes_PDV!$A$2:$J$250,8,FALSE),""))</f>
        <v/>
      </c>
      <c r="G16" s="77" t="str">
        <f t="shared" ca="1" si="0"/>
        <v/>
      </c>
      <c r="H16" s="75" t="str">
        <f>IF(A16="","",IF(F16="","Sin visita",IF(G16&lt;=IFERROR(VLOOKUP(E16,Inicio!$A$24:$B$26,2,FALSE),0),"Vigente","Atrasado")))</f>
        <v/>
      </c>
      <c r="I16" s="78" t="str">
        <f ca="1">IF(A16="","",SUMIFS(Ventas_SellIn!$L$2:$L$800,Ventas_SellIn!$D$2:$D$800,A16,Ventas_SellIn!$B$2:$B$800,"&gt;="&amp;TODAY()-Inicio!$B$14))</f>
        <v/>
      </c>
      <c r="J16" s="77" t="str">
        <f ca="1">IF(A16="","",SUMIFS(SellOut_Jumbo!$F$2:$F$800,SellOut_Jumbo!$C$2:$C$800,D16,SellOut_Jumbo!$A$2:$A$800,"&gt;="&amp;TODAY()-Inicio!$B$14))</f>
        <v/>
      </c>
      <c r="K16" s="75" t="str">
        <f>IF(A16="","",IF(I16=0,"Sin venta",IF(I16&lt;Inicio!$B$15,"Venta baja","Venta OK")))</f>
        <v/>
      </c>
      <c r="L16" s="77" t="str">
        <f>IF(A16="","",COUNTIFS(Ventas_SellIn!$D$2:$D$800,A16,Ventas_SellIn!$R$2:$R$800,"&gt;0"))</f>
        <v/>
      </c>
      <c r="M16" s="78" t="str">
        <f>IF(A16="","",SUMIFS(Ventas_SellIn!$R$2:$R$800,Ventas_SellIn!$D$2:$D$800,A16))</f>
        <v/>
      </c>
      <c r="N16" s="75" t="str">
        <f>IF(A16="","",IF(M16&gt;=Inicio!$B$18,"Pendiente relevante",IF(M16&gt;0,"Pendiente menor","Sin deuda")))</f>
        <v/>
      </c>
      <c r="O16" s="79" t="str">
        <f>IF(A16="","",SUMIFS(Stock_PDV!$H$2:$H$800,Stock_PDV!$A$2:$A$800,A16))</f>
        <v/>
      </c>
      <c r="P16" s="75" t="str">
        <f>IF(A16="","",IF(O16&lt;=Inicio!$B$16,"Crítico",IF(O16&lt;=Inicio!$B$17,"Observar","OK")))</f>
        <v/>
      </c>
      <c r="Q16" s="75" t="str">
        <f t="shared" si="1"/>
        <v/>
      </c>
      <c r="R16" s="75" t="str">
        <f t="shared" si="3"/>
        <v/>
      </c>
      <c r="S16" s="68" t="str">
        <f t="shared" si="2"/>
        <v/>
      </c>
      <c r="T16" s="68" t="str">
        <f>IF(A16="","",IFERROR(VLOOKUP(A16,Clientes_PDV!$A$2:$K$250,11,FALSE),""))</f>
        <v/>
      </c>
    </row>
    <row r="17" spans="1:20" ht="20" customHeight="1" x14ac:dyDescent="0.35">
      <c r="A17" s="80" t="str">
        <f>IF(Clientes_PDV!A17="","",Clientes_PDV!A17)</f>
        <v/>
      </c>
      <c r="B17" s="80" t="str">
        <f>IF(A17="","",IFERROR(VLOOKUP(A17,Clientes_PDV!$A$2:$J$250,2,FALSE),""))</f>
        <v/>
      </c>
      <c r="C17" s="80" t="str">
        <f>IF(A17="","",IFERROR(VLOOKUP(A17,Clientes_PDV!$A$2:$J$250,3,FALSE),""))</f>
        <v/>
      </c>
      <c r="D17" s="80" t="str">
        <f>IF(A17="","",IFERROR(VLOOKUP(A17,Clientes_PDV!$A$2:$J$250,4,FALSE),""))</f>
        <v/>
      </c>
      <c r="E17" s="80" t="str">
        <f>IF(A17="","",IFERROR(VLOOKUP(A17,Clientes_PDV!$A$2:$J$250,7,FALSE),""))</f>
        <v/>
      </c>
      <c r="F17" s="81" t="str">
        <f>IF(A17="","",IFERROR(VLOOKUP(A17,Clientes_PDV!$A$2:$J$250,8,FALSE),""))</f>
        <v/>
      </c>
      <c r="G17" s="82" t="str">
        <f t="shared" ca="1" si="0"/>
        <v/>
      </c>
      <c r="H17" s="80" t="str">
        <f>IF(A17="","",IF(F17="","Sin visita",IF(G17&lt;=IFERROR(VLOOKUP(E17,Inicio!$A$24:$B$26,2,FALSE),0),"Vigente","Atrasado")))</f>
        <v/>
      </c>
      <c r="I17" s="83" t="str">
        <f ca="1">IF(A17="","",SUMIFS(Ventas_SellIn!$L$2:$L$800,Ventas_SellIn!$D$2:$D$800,A17,Ventas_SellIn!$B$2:$B$800,"&gt;="&amp;TODAY()-Inicio!$B$14))</f>
        <v/>
      </c>
      <c r="J17" s="82" t="str">
        <f ca="1">IF(A17="","",SUMIFS(SellOut_Jumbo!$F$2:$F$800,SellOut_Jumbo!$C$2:$C$800,D17,SellOut_Jumbo!$A$2:$A$800,"&gt;="&amp;TODAY()-Inicio!$B$14))</f>
        <v/>
      </c>
      <c r="K17" s="80" t="str">
        <f>IF(A17="","",IF(I17=0,"Sin venta",IF(I17&lt;Inicio!$B$15,"Venta baja","Venta OK")))</f>
        <v/>
      </c>
      <c r="L17" s="82" t="str">
        <f>IF(A17="","",COUNTIFS(Ventas_SellIn!$D$2:$D$800,A17,Ventas_SellIn!$R$2:$R$800,"&gt;0"))</f>
        <v/>
      </c>
      <c r="M17" s="83" t="str">
        <f>IF(A17="","",SUMIFS(Ventas_SellIn!$R$2:$R$800,Ventas_SellIn!$D$2:$D$800,A17))</f>
        <v/>
      </c>
      <c r="N17" s="80" t="str">
        <f>IF(A17="","",IF(M17&gt;=Inicio!$B$18,"Pendiente relevante",IF(M17&gt;0,"Pendiente menor","Sin deuda")))</f>
        <v/>
      </c>
      <c r="O17" s="84" t="str">
        <f>IF(A17="","",SUMIFS(Stock_PDV!$H$2:$H$800,Stock_PDV!$A$2:$A$800,A17))</f>
        <v/>
      </c>
      <c r="P17" s="80" t="str">
        <f>IF(A17="","",IF(O17&lt;=Inicio!$B$16,"Crítico",IF(O17&lt;=Inicio!$B$17,"Observar","OK")))</f>
        <v/>
      </c>
      <c r="Q17" s="80" t="str">
        <f t="shared" si="1"/>
        <v/>
      </c>
      <c r="R17" s="80" t="str">
        <f t="shared" si="3"/>
        <v/>
      </c>
      <c r="S17" s="70" t="str">
        <f t="shared" si="2"/>
        <v/>
      </c>
      <c r="T17" s="70" t="str">
        <f>IF(A17="","",IFERROR(VLOOKUP(A17,Clientes_PDV!$A$2:$K$250,11,FALSE),""))</f>
        <v/>
      </c>
    </row>
    <row r="18" spans="1:20" ht="20" customHeight="1" x14ac:dyDescent="0.35">
      <c r="A18" s="75" t="str">
        <f>IF(Clientes_PDV!A18="","",Clientes_PDV!A18)</f>
        <v/>
      </c>
      <c r="B18" s="75" t="str">
        <f>IF(A18="","",IFERROR(VLOOKUP(A18,Clientes_PDV!$A$2:$J$250,2,FALSE),""))</f>
        <v/>
      </c>
      <c r="C18" s="75" t="str">
        <f>IF(A18="","",IFERROR(VLOOKUP(A18,Clientes_PDV!$A$2:$J$250,3,FALSE),""))</f>
        <v/>
      </c>
      <c r="D18" s="75" t="str">
        <f>IF(A18="","",IFERROR(VLOOKUP(A18,Clientes_PDV!$A$2:$J$250,4,FALSE),""))</f>
        <v/>
      </c>
      <c r="E18" s="75" t="str">
        <f>IF(A18="","",IFERROR(VLOOKUP(A18,Clientes_PDV!$A$2:$J$250,7,FALSE),""))</f>
        <v/>
      </c>
      <c r="F18" s="76" t="str">
        <f>IF(A18="","",IFERROR(VLOOKUP(A18,Clientes_PDV!$A$2:$J$250,8,FALSE),""))</f>
        <v/>
      </c>
      <c r="G18" s="77" t="str">
        <f t="shared" ca="1" si="0"/>
        <v/>
      </c>
      <c r="H18" s="75" t="str">
        <f>IF(A18="","",IF(F18="","Sin visita",IF(G18&lt;=IFERROR(VLOOKUP(E18,Inicio!$A$24:$B$26,2,FALSE),0),"Vigente","Atrasado")))</f>
        <v/>
      </c>
      <c r="I18" s="78" t="str">
        <f ca="1">IF(A18="","",SUMIFS(Ventas_SellIn!$L$2:$L$800,Ventas_SellIn!$D$2:$D$800,A18,Ventas_SellIn!$B$2:$B$800,"&gt;="&amp;TODAY()-Inicio!$B$14))</f>
        <v/>
      </c>
      <c r="J18" s="77" t="str">
        <f ca="1">IF(A18="","",SUMIFS(SellOut_Jumbo!$F$2:$F$800,SellOut_Jumbo!$C$2:$C$800,D18,SellOut_Jumbo!$A$2:$A$800,"&gt;="&amp;TODAY()-Inicio!$B$14))</f>
        <v/>
      </c>
      <c r="K18" s="75" t="str">
        <f>IF(A18="","",IF(I18=0,"Sin venta",IF(I18&lt;Inicio!$B$15,"Venta baja","Venta OK")))</f>
        <v/>
      </c>
      <c r="L18" s="77" t="str">
        <f>IF(A18="","",COUNTIFS(Ventas_SellIn!$D$2:$D$800,A18,Ventas_SellIn!$R$2:$R$800,"&gt;0"))</f>
        <v/>
      </c>
      <c r="M18" s="78" t="str">
        <f>IF(A18="","",SUMIFS(Ventas_SellIn!$R$2:$R$800,Ventas_SellIn!$D$2:$D$800,A18))</f>
        <v/>
      </c>
      <c r="N18" s="75" t="str">
        <f>IF(A18="","",IF(M18&gt;=Inicio!$B$18,"Pendiente relevante",IF(M18&gt;0,"Pendiente menor","Sin deuda")))</f>
        <v/>
      </c>
      <c r="O18" s="79" t="str">
        <f>IF(A18="","",SUMIFS(Stock_PDV!$H$2:$H$800,Stock_PDV!$A$2:$A$800,A18))</f>
        <v/>
      </c>
      <c r="P18" s="75" t="str">
        <f>IF(A18="","",IF(O18&lt;=Inicio!$B$16,"Crítico",IF(O18&lt;=Inicio!$B$17,"Observar","OK")))</f>
        <v/>
      </c>
      <c r="Q18" s="75" t="str">
        <f t="shared" si="1"/>
        <v/>
      </c>
      <c r="R18" s="75" t="str">
        <f t="shared" si="3"/>
        <v/>
      </c>
      <c r="S18" s="68" t="str">
        <f t="shared" si="2"/>
        <v/>
      </c>
      <c r="T18" s="68" t="str">
        <f>IF(A18="","",IFERROR(VLOOKUP(A18,Clientes_PDV!$A$2:$K$250,11,FALSE),""))</f>
        <v/>
      </c>
    </row>
    <row r="19" spans="1:20" ht="20" customHeight="1" x14ac:dyDescent="0.35">
      <c r="A19" s="80" t="str">
        <f>IF(Clientes_PDV!A19="","",Clientes_PDV!A19)</f>
        <v/>
      </c>
      <c r="B19" s="80" t="str">
        <f>IF(A19="","",IFERROR(VLOOKUP(A19,Clientes_PDV!$A$2:$J$250,2,FALSE),""))</f>
        <v/>
      </c>
      <c r="C19" s="80" t="str">
        <f>IF(A19="","",IFERROR(VLOOKUP(A19,Clientes_PDV!$A$2:$J$250,3,FALSE),""))</f>
        <v/>
      </c>
      <c r="D19" s="80" t="str">
        <f>IF(A19="","",IFERROR(VLOOKUP(A19,Clientes_PDV!$A$2:$J$250,4,FALSE),""))</f>
        <v/>
      </c>
      <c r="E19" s="80" t="str">
        <f>IF(A19="","",IFERROR(VLOOKUP(A19,Clientes_PDV!$A$2:$J$250,7,FALSE),""))</f>
        <v/>
      </c>
      <c r="F19" s="81" t="str">
        <f>IF(A19="","",IFERROR(VLOOKUP(A19,Clientes_PDV!$A$2:$J$250,8,FALSE),""))</f>
        <v/>
      </c>
      <c r="G19" s="82" t="str">
        <f t="shared" ca="1" si="0"/>
        <v/>
      </c>
      <c r="H19" s="80" t="str">
        <f>IF(A19="","",IF(F19="","Sin visita",IF(G19&lt;=IFERROR(VLOOKUP(E19,Inicio!$A$24:$B$26,2,FALSE),0),"Vigente","Atrasado")))</f>
        <v/>
      </c>
      <c r="I19" s="83" t="str">
        <f ca="1">IF(A19="","",SUMIFS(Ventas_SellIn!$L$2:$L$800,Ventas_SellIn!$D$2:$D$800,A19,Ventas_SellIn!$B$2:$B$800,"&gt;="&amp;TODAY()-Inicio!$B$14))</f>
        <v/>
      </c>
      <c r="J19" s="82" t="str">
        <f ca="1">IF(A19="","",SUMIFS(SellOut_Jumbo!$F$2:$F$800,SellOut_Jumbo!$C$2:$C$800,D19,SellOut_Jumbo!$A$2:$A$800,"&gt;="&amp;TODAY()-Inicio!$B$14))</f>
        <v/>
      </c>
      <c r="K19" s="80" t="str">
        <f>IF(A19="","",IF(I19=0,"Sin venta",IF(I19&lt;Inicio!$B$15,"Venta baja","Venta OK")))</f>
        <v/>
      </c>
      <c r="L19" s="82" t="str">
        <f>IF(A19="","",COUNTIFS(Ventas_SellIn!$D$2:$D$800,A19,Ventas_SellIn!$R$2:$R$800,"&gt;0"))</f>
        <v/>
      </c>
      <c r="M19" s="83" t="str">
        <f>IF(A19="","",SUMIFS(Ventas_SellIn!$R$2:$R$800,Ventas_SellIn!$D$2:$D$800,A19))</f>
        <v/>
      </c>
      <c r="N19" s="80" t="str">
        <f>IF(A19="","",IF(M19&gt;=Inicio!$B$18,"Pendiente relevante",IF(M19&gt;0,"Pendiente menor","Sin deuda")))</f>
        <v/>
      </c>
      <c r="O19" s="84" t="str">
        <f>IF(A19="","",SUMIFS(Stock_PDV!$H$2:$H$800,Stock_PDV!$A$2:$A$800,A19))</f>
        <v/>
      </c>
      <c r="P19" s="80" t="str">
        <f>IF(A19="","",IF(O19&lt;=Inicio!$B$16,"Crítico",IF(O19&lt;=Inicio!$B$17,"Observar","OK")))</f>
        <v/>
      </c>
      <c r="Q19" s="80" t="str">
        <f t="shared" si="1"/>
        <v/>
      </c>
      <c r="R19" s="80" t="str">
        <f t="shared" si="3"/>
        <v/>
      </c>
      <c r="S19" s="70" t="str">
        <f t="shared" si="2"/>
        <v/>
      </c>
      <c r="T19" s="70" t="str">
        <f>IF(A19="","",IFERROR(VLOOKUP(A19,Clientes_PDV!$A$2:$K$250,11,FALSE),""))</f>
        <v/>
      </c>
    </row>
    <row r="20" spans="1:20" ht="20" customHeight="1" x14ac:dyDescent="0.35">
      <c r="A20" s="75" t="str">
        <f>IF(Clientes_PDV!A20="","",Clientes_PDV!A20)</f>
        <v/>
      </c>
      <c r="B20" s="75" t="str">
        <f>IF(A20="","",IFERROR(VLOOKUP(A20,Clientes_PDV!$A$2:$J$250,2,FALSE),""))</f>
        <v/>
      </c>
      <c r="C20" s="75" t="str">
        <f>IF(A20="","",IFERROR(VLOOKUP(A20,Clientes_PDV!$A$2:$J$250,3,FALSE),""))</f>
        <v/>
      </c>
      <c r="D20" s="75" t="str">
        <f>IF(A20="","",IFERROR(VLOOKUP(A20,Clientes_PDV!$A$2:$J$250,4,FALSE),""))</f>
        <v/>
      </c>
      <c r="E20" s="75" t="str">
        <f>IF(A20="","",IFERROR(VLOOKUP(A20,Clientes_PDV!$A$2:$J$250,7,FALSE),""))</f>
        <v/>
      </c>
      <c r="F20" s="76" t="str">
        <f>IF(A20="","",IFERROR(VLOOKUP(A20,Clientes_PDV!$A$2:$J$250,8,FALSE),""))</f>
        <v/>
      </c>
      <c r="G20" s="77" t="str">
        <f t="shared" ca="1" si="0"/>
        <v/>
      </c>
      <c r="H20" s="75" t="str">
        <f>IF(A20="","",IF(F20="","Sin visita",IF(G20&lt;=IFERROR(VLOOKUP(E20,Inicio!$A$24:$B$26,2,FALSE),0),"Vigente","Atrasado")))</f>
        <v/>
      </c>
      <c r="I20" s="78" t="str">
        <f ca="1">IF(A20="","",SUMIFS(Ventas_SellIn!$L$2:$L$800,Ventas_SellIn!$D$2:$D$800,A20,Ventas_SellIn!$B$2:$B$800,"&gt;="&amp;TODAY()-Inicio!$B$14))</f>
        <v/>
      </c>
      <c r="J20" s="77" t="str">
        <f ca="1">IF(A20="","",SUMIFS(SellOut_Jumbo!$F$2:$F$800,SellOut_Jumbo!$C$2:$C$800,D20,SellOut_Jumbo!$A$2:$A$800,"&gt;="&amp;TODAY()-Inicio!$B$14))</f>
        <v/>
      </c>
      <c r="K20" s="75" t="str">
        <f>IF(A20="","",IF(I20=0,"Sin venta",IF(I20&lt;Inicio!$B$15,"Venta baja","Venta OK")))</f>
        <v/>
      </c>
      <c r="L20" s="77" t="str">
        <f>IF(A20="","",COUNTIFS(Ventas_SellIn!$D$2:$D$800,A20,Ventas_SellIn!$R$2:$R$800,"&gt;0"))</f>
        <v/>
      </c>
      <c r="M20" s="78" t="str">
        <f>IF(A20="","",SUMIFS(Ventas_SellIn!$R$2:$R$800,Ventas_SellIn!$D$2:$D$800,A20))</f>
        <v/>
      </c>
      <c r="N20" s="75" t="str">
        <f>IF(A20="","",IF(M20&gt;=Inicio!$B$18,"Pendiente relevante",IF(M20&gt;0,"Pendiente menor","Sin deuda")))</f>
        <v/>
      </c>
      <c r="O20" s="79" t="str">
        <f>IF(A20="","",SUMIFS(Stock_PDV!$H$2:$H$800,Stock_PDV!$A$2:$A$800,A20))</f>
        <v/>
      </c>
      <c r="P20" s="75" t="str">
        <f>IF(A20="","",IF(O20&lt;=Inicio!$B$16,"Crítico",IF(O20&lt;=Inicio!$B$17,"Observar","OK")))</f>
        <v/>
      </c>
      <c r="Q20" s="75" t="str">
        <f t="shared" si="1"/>
        <v/>
      </c>
      <c r="R20" s="75" t="str">
        <f t="shared" si="3"/>
        <v/>
      </c>
      <c r="S20" s="68" t="str">
        <f t="shared" si="2"/>
        <v/>
      </c>
      <c r="T20" s="68" t="str">
        <f>IF(A20="","",IFERROR(VLOOKUP(A20,Clientes_PDV!$A$2:$K$250,11,FALSE),""))</f>
        <v/>
      </c>
    </row>
    <row r="21" spans="1:20" ht="20" customHeight="1" x14ac:dyDescent="0.35">
      <c r="A21" s="80" t="str">
        <f>IF(Clientes_PDV!A21="","",Clientes_PDV!A21)</f>
        <v/>
      </c>
      <c r="B21" s="80" t="str">
        <f>IF(A21="","",IFERROR(VLOOKUP(A21,Clientes_PDV!$A$2:$J$250,2,FALSE),""))</f>
        <v/>
      </c>
      <c r="C21" s="80" t="str">
        <f>IF(A21="","",IFERROR(VLOOKUP(A21,Clientes_PDV!$A$2:$J$250,3,FALSE),""))</f>
        <v/>
      </c>
      <c r="D21" s="80" t="str">
        <f>IF(A21="","",IFERROR(VLOOKUP(A21,Clientes_PDV!$A$2:$J$250,4,FALSE),""))</f>
        <v/>
      </c>
      <c r="E21" s="80" t="str">
        <f>IF(A21="","",IFERROR(VLOOKUP(A21,Clientes_PDV!$A$2:$J$250,7,FALSE),""))</f>
        <v/>
      </c>
      <c r="F21" s="81" t="str">
        <f>IF(A21="","",IFERROR(VLOOKUP(A21,Clientes_PDV!$A$2:$J$250,8,FALSE),""))</f>
        <v/>
      </c>
      <c r="G21" s="82" t="str">
        <f t="shared" ca="1" si="0"/>
        <v/>
      </c>
      <c r="H21" s="80" t="str">
        <f>IF(A21="","",IF(F21="","Sin visita",IF(G21&lt;=IFERROR(VLOOKUP(E21,Inicio!$A$24:$B$26,2,FALSE),0),"Vigente","Atrasado")))</f>
        <v/>
      </c>
      <c r="I21" s="83" t="str">
        <f ca="1">IF(A21="","",SUMIFS(Ventas_SellIn!$L$2:$L$800,Ventas_SellIn!$D$2:$D$800,A21,Ventas_SellIn!$B$2:$B$800,"&gt;="&amp;TODAY()-Inicio!$B$14))</f>
        <v/>
      </c>
      <c r="J21" s="82" t="str">
        <f ca="1">IF(A21="","",SUMIFS(SellOut_Jumbo!$F$2:$F$800,SellOut_Jumbo!$C$2:$C$800,D21,SellOut_Jumbo!$A$2:$A$800,"&gt;="&amp;TODAY()-Inicio!$B$14))</f>
        <v/>
      </c>
      <c r="K21" s="80" t="str">
        <f>IF(A21="","",IF(I21=0,"Sin venta",IF(I21&lt;Inicio!$B$15,"Venta baja","Venta OK")))</f>
        <v/>
      </c>
      <c r="L21" s="82" t="str">
        <f>IF(A21="","",COUNTIFS(Ventas_SellIn!$D$2:$D$800,A21,Ventas_SellIn!$R$2:$R$800,"&gt;0"))</f>
        <v/>
      </c>
      <c r="M21" s="83" t="str">
        <f>IF(A21="","",SUMIFS(Ventas_SellIn!$R$2:$R$800,Ventas_SellIn!$D$2:$D$800,A21))</f>
        <v/>
      </c>
      <c r="N21" s="80" t="str">
        <f>IF(A21="","",IF(M21&gt;=Inicio!$B$18,"Pendiente relevante",IF(M21&gt;0,"Pendiente menor","Sin deuda")))</f>
        <v/>
      </c>
      <c r="O21" s="84" t="str">
        <f>IF(A21="","",SUMIFS(Stock_PDV!$H$2:$H$800,Stock_PDV!$A$2:$A$800,A21))</f>
        <v/>
      </c>
      <c r="P21" s="80" t="str">
        <f>IF(A21="","",IF(O21&lt;=Inicio!$B$16,"Crítico",IF(O21&lt;=Inicio!$B$17,"Observar","OK")))</f>
        <v/>
      </c>
      <c r="Q21" s="80" t="str">
        <f t="shared" si="1"/>
        <v/>
      </c>
      <c r="R21" s="80" t="str">
        <f t="shared" si="3"/>
        <v/>
      </c>
      <c r="S21" s="70" t="str">
        <f t="shared" si="2"/>
        <v/>
      </c>
      <c r="T21" s="70" t="str">
        <f>IF(A21="","",IFERROR(VLOOKUP(A21,Clientes_PDV!$A$2:$K$250,11,FALSE),""))</f>
        <v/>
      </c>
    </row>
    <row r="22" spans="1:20" ht="20" customHeight="1" x14ac:dyDescent="0.35">
      <c r="A22" s="75" t="str">
        <f>IF(Clientes_PDV!A22="","",Clientes_PDV!A22)</f>
        <v/>
      </c>
      <c r="B22" s="75" t="str">
        <f>IF(A22="","",IFERROR(VLOOKUP(A22,Clientes_PDV!$A$2:$J$250,2,FALSE),""))</f>
        <v/>
      </c>
      <c r="C22" s="75" t="str">
        <f>IF(A22="","",IFERROR(VLOOKUP(A22,Clientes_PDV!$A$2:$J$250,3,FALSE),""))</f>
        <v/>
      </c>
      <c r="D22" s="75" t="str">
        <f>IF(A22="","",IFERROR(VLOOKUP(A22,Clientes_PDV!$A$2:$J$250,4,FALSE),""))</f>
        <v/>
      </c>
      <c r="E22" s="75" t="str">
        <f>IF(A22="","",IFERROR(VLOOKUP(A22,Clientes_PDV!$A$2:$J$250,7,FALSE),""))</f>
        <v/>
      </c>
      <c r="F22" s="76" t="str">
        <f>IF(A22="","",IFERROR(VLOOKUP(A22,Clientes_PDV!$A$2:$J$250,8,FALSE),""))</f>
        <v/>
      </c>
      <c r="G22" s="77" t="str">
        <f t="shared" ca="1" si="0"/>
        <v/>
      </c>
      <c r="H22" s="75" t="str">
        <f>IF(A22="","",IF(F22="","Sin visita",IF(G22&lt;=IFERROR(VLOOKUP(E22,Inicio!$A$24:$B$26,2,FALSE),0),"Vigente","Atrasado")))</f>
        <v/>
      </c>
      <c r="I22" s="78" t="str">
        <f ca="1">IF(A22="","",SUMIFS(Ventas_SellIn!$L$2:$L$800,Ventas_SellIn!$D$2:$D$800,A22,Ventas_SellIn!$B$2:$B$800,"&gt;="&amp;TODAY()-Inicio!$B$14))</f>
        <v/>
      </c>
      <c r="J22" s="77" t="str">
        <f ca="1">IF(A22="","",SUMIFS(SellOut_Jumbo!$F$2:$F$800,SellOut_Jumbo!$C$2:$C$800,D22,SellOut_Jumbo!$A$2:$A$800,"&gt;="&amp;TODAY()-Inicio!$B$14))</f>
        <v/>
      </c>
      <c r="K22" s="75" t="str">
        <f>IF(A22="","",IF(I22=0,"Sin venta",IF(I22&lt;Inicio!$B$15,"Venta baja","Venta OK")))</f>
        <v/>
      </c>
      <c r="L22" s="77" t="str">
        <f>IF(A22="","",COUNTIFS(Ventas_SellIn!$D$2:$D$800,A22,Ventas_SellIn!$R$2:$R$800,"&gt;0"))</f>
        <v/>
      </c>
      <c r="M22" s="78" t="str">
        <f>IF(A22="","",SUMIFS(Ventas_SellIn!$R$2:$R$800,Ventas_SellIn!$D$2:$D$800,A22))</f>
        <v/>
      </c>
      <c r="N22" s="75" t="str">
        <f>IF(A22="","",IF(M22&gt;=Inicio!$B$18,"Pendiente relevante",IF(M22&gt;0,"Pendiente menor","Sin deuda")))</f>
        <v/>
      </c>
      <c r="O22" s="79" t="str">
        <f>IF(A22="","",SUMIFS(Stock_PDV!$H$2:$H$800,Stock_PDV!$A$2:$A$800,A22))</f>
        <v/>
      </c>
      <c r="P22" s="75" t="str">
        <f>IF(A22="","",IF(O22&lt;=Inicio!$B$16,"Crítico",IF(O22&lt;=Inicio!$B$17,"Observar","OK")))</f>
        <v/>
      </c>
      <c r="Q22" s="75" t="str">
        <f t="shared" si="1"/>
        <v/>
      </c>
      <c r="R22" s="75" t="str">
        <f t="shared" si="3"/>
        <v/>
      </c>
      <c r="S22" s="68" t="str">
        <f t="shared" si="2"/>
        <v/>
      </c>
      <c r="T22" s="68" t="str">
        <f>IF(A22="","",IFERROR(VLOOKUP(A22,Clientes_PDV!$A$2:$K$250,11,FALSE),""))</f>
        <v/>
      </c>
    </row>
    <row r="23" spans="1:20" ht="20" customHeight="1" x14ac:dyDescent="0.35">
      <c r="A23" s="80" t="str">
        <f>IF(Clientes_PDV!A23="","",Clientes_PDV!A23)</f>
        <v/>
      </c>
      <c r="B23" s="80" t="str">
        <f>IF(A23="","",IFERROR(VLOOKUP(A23,Clientes_PDV!$A$2:$J$250,2,FALSE),""))</f>
        <v/>
      </c>
      <c r="C23" s="80" t="str">
        <f>IF(A23="","",IFERROR(VLOOKUP(A23,Clientes_PDV!$A$2:$J$250,3,FALSE),""))</f>
        <v/>
      </c>
      <c r="D23" s="80" t="str">
        <f>IF(A23="","",IFERROR(VLOOKUP(A23,Clientes_PDV!$A$2:$J$250,4,FALSE),""))</f>
        <v/>
      </c>
      <c r="E23" s="80" t="str">
        <f>IF(A23="","",IFERROR(VLOOKUP(A23,Clientes_PDV!$A$2:$J$250,7,FALSE),""))</f>
        <v/>
      </c>
      <c r="F23" s="81" t="str">
        <f>IF(A23="","",IFERROR(VLOOKUP(A23,Clientes_PDV!$A$2:$J$250,8,FALSE),""))</f>
        <v/>
      </c>
      <c r="G23" s="82" t="str">
        <f t="shared" ca="1" si="0"/>
        <v/>
      </c>
      <c r="H23" s="80" t="str">
        <f>IF(A23="","",IF(F23="","Sin visita",IF(G23&lt;=IFERROR(VLOOKUP(E23,Inicio!$A$24:$B$26,2,FALSE),0),"Vigente","Atrasado")))</f>
        <v/>
      </c>
      <c r="I23" s="83" t="str">
        <f ca="1">IF(A23="","",SUMIFS(Ventas_SellIn!$L$2:$L$800,Ventas_SellIn!$D$2:$D$800,A23,Ventas_SellIn!$B$2:$B$800,"&gt;="&amp;TODAY()-Inicio!$B$14))</f>
        <v/>
      </c>
      <c r="J23" s="82" t="str">
        <f ca="1">IF(A23="","",SUMIFS(SellOut_Jumbo!$F$2:$F$800,SellOut_Jumbo!$C$2:$C$800,D23,SellOut_Jumbo!$A$2:$A$800,"&gt;="&amp;TODAY()-Inicio!$B$14))</f>
        <v/>
      </c>
      <c r="K23" s="80" t="str">
        <f>IF(A23="","",IF(I23=0,"Sin venta",IF(I23&lt;Inicio!$B$15,"Venta baja","Venta OK")))</f>
        <v/>
      </c>
      <c r="L23" s="82" t="str">
        <f>IF(A23="","",COUNTIFS(Ventas_SellIn!$D$2:$D$800,A23,Ventas_SellIn!$R$2:$R$800,"&gt;0"))</f>
        <v/>
      </c>
      <c r="M23" s="83" t="str">
        <f>IF(A23="","",SUMIFS(Ventas_SellIn!$R$2:$R$800,Ventas_SellIn!$D$2:$D$800,A23))</f>
        <v/>
      </c>
      <c r="N23" s="80" t="str">
        <f>IF(A23="","",IF(M23&gt;=Inicio!$B$18,"Pendiente relevante",IF(M23&gt;0,"Pendiente menor","Sin deuda")))</f>
        <v/>
      </c>
      <c r="O23" s="84" t="str">
        <f>IF(A23="","",SUMIFS(Stock_PDV!$H$2:$H$800,Stock_PDV!$A$2:$A$800,A23))</f>
        <v/>
      </c>
      <c r="P23" s="80" t="str">
        <f>IF(A23="","",IF(O23&lt;=Inicio!$B$16,"Crítico",IF(O23&lt;=Inicio!$B$17,"Observar","OK")))</f>
        <v/>
      </c>
      <c r="Q23" s="80" t="str">
        <f t="shared" si="1"/>
        <v/>
      </c>
      <c r="R23" s="80" t="str">
        <f t="shared" si="3"/>
        <v/>
      </c>
      <c r="S23" s="70" t="str">
        <f t="shared" si="2"/>
        <v/>
      </c>
      <c r="T23" s="70" t="str">
        <f>IF(A23="","",IFERROR(VLOOKUP(A23,Clientes_PDV!$A$2:$K$250,11,FALSE),""))</f>
        <v/>
      </c>
    </row>
    <row r="24" spans="1:20" ht="20" customHeight="1" x14ac:dyDescent="0.35">
      <c r="A24" s="75" t="str">
        <f>IF(Clientes_PDV!A24="","",Clientes_PDV!A24)</f>
        <v/>
      </c>
      <c r="B24" s="75" t="str">
        <f>IF(A24="","",IFERROR(VLOOKUP(A24,Clientes_PDV!$A$2:$J$250,2,FALSE),""))</f>
        <v/>
      </c>
      <c r="C24" s="75" t="str">
        <f>IF(A24="","",IFERROR(VLOOKUP(A24,Clientes_PDV!$A$2:$J$250,3,FALSE),""))</f>
        <v/>
      </c>
      <c r="D24" s="75" t="str">
        <f>IF(A24="","",IFERROR(VLOOKUP(A24,Clientes_PDV!$A$2:$J$250,4,FALSE),""))</f>
        <v/>
      </c>
      <c r="E24" s="75" t="str">
        <f>IF(A24="","",IFERROR(VLOOKUP(A24,Clientes_PDV!$A$2:$J$250,7,FALSE),""))</f>
        <v/>
      </c>
      <c r="F24" s="76" t="str">
        <f>IF(A24="","",IFERROR(VLOOKUP(A24,Clientes_PDV!$A$2:$J$250,8,FALSE),""))</f>
        <v/>
      </c>
      <c r="G24" s="77" t="str">
        <f t="shared" ca="1" si="0"/>
        <v/>
      </c>
      <c r="H24" s="75" t="str">
        <f>IF(A24="","",IF(F24="","Sin visita",IF(G24&lt;=IFERROR(VLOOKUP(E24,Inicio!$A$24:$B$26,2,FALSE),0),"Vigente","Atrasado")))</f>
        <v/>
      </c>
      <c r="I24" s="78" t="str">
        <f ca="1">IF(A24="","",SUMIFS(Ventas_SellIn!$L$2:$L$800,Ventas_SellIn!$D$2:$D$800,A24,Ventas_SellIn!$B$2:$B$800,"&gt;="&amp;TODAY()-Inicio!$B$14))</f>
        <v/>
      </c>
      <c r="J24" s="77" t="str">
        <f ca="1">IF(A24="","",SUMIFS(SellOut_Jumbo!$F$2:$F$800,SellOut_Jumbo!$C$2:$C$800,D24,SellOut_Jumbo!$A$2:$A$800,"&gt;="&amp;TODAY()-Inicio!$B$14))</f>
        <v/>
      </c>
      <c r="K24" s="75" t="str">
        <f>IF(A24="","",IF(I24=0,"Sin venta",IF(I24&lt;Inicio!$B$15,"Venta baja","Venta OK")))</f>
        <v/>
      </c>
      <c r="L24" s="77" t="str">
        <f>IF(A24="","",COUNTIFS(Ventas_SellIn!$D$2:$D$800,A24,Ventas_SellIn!$R$2:$R$800,"&gt;0"))</f>
        <v/>
      </c>
      <c r="M24" s="78" t="str">
        <f>IF(A24="","",SUMIFS(Ventas_SellIn!$R$2:$R$800,Ventas_SellIn!$D$2:$D$800,A24))</f>
        <v/>
      </c>
      <c r="N24" s="75" t="str">
        <f>IF(A24="","",IF(M24&gt;=Inicio!$B$18,"Pendiente relevante",IF(M24&gt;0,"Pendiente menor","Sin deuda")))</f>
        <v/>
      </c>
      <c r="O24" s="79" t="str">
        <f>IF(A24="","",SUMIFS(Stock_PDV!$H$2:$H$800,Stock_PDV!$A$2:$A$800,A24))</f>
        <v/>
      </c>
      <c r="P24" s="75" t="str">
        <f>IF(A24="","",IF(O24&lt;=Inicio!$B$16,"Crítico",IF(O24&lt;=Inicio!$B$17,"Observar","OK")))</f>
        <v/>
      </c>
      <c r="Q24" s="75" t="str">
        <f t="shared" si="1"/>
        <v/>
      </c>
      <c r="R24" s="75" t="str">
        <f t="shared" si="3"/>
        <v/>
      </c>
      <c r="S24" s="68" t="str">
        <f t="shared" si="2"/>
        <v/>
      </c>
      <c r="T24" s="68" t="str">
        <f>IF(A24="","",IFERROR(VLOOKUP(A24,Clientes_PDV!$A$2:$K$250,11,FALSE),""))</f>
        <v/>
      </c>
    </row>
    <row r="25" spans="1:20" ht="20" customHeight="1" x14ac:dyDescent="0.35">
      <c r="A25" s="80" t="str">
        <f>IF(Clientes_PDV!A25="","",Clientes_PDV!A25)</f>
        <v/>
      </c>
      <c r="B25" s="80" t="str">
        <f>IF(A25="","",IFERROR(VLOOKUP(A25,Clientes_PDV!$A$2:$J$250,2,FALSE),""))</f>
        <v/>
      </c>
      <c r="C25" s="80" t="str">
        <f>IF(A25="","",IFERROR(VLOOKUP(A25,Clientes_PDV!$A$2:$J$250,3,FALSE),""))</f>
        <v/>
      </c>
      <c r="D25" s="80" t="str">
        <f>IF(A25="","",IFERROR(VLOOKUP(A25,Clientes_PDV!$A$2:$J$250,4,FALSE),""))</f>
        <v/>
      </c>
      <c r="E25" s="80" t="str">
        <f>IF(A25="","",IFERROR(VLOOKUP(A25,Clientes_PDV!$A$2:$J$250,7,FALSE),""))</f>
        <v/>
      </c>
      <c r="F25" s="81" t="str">
        <f>IF(A25="","",IFERROR(VLOOKUP(A25,Clientes_PDV!$A$2:$J$250,8,FALSE),""))</f>
        <v/>
      </c>
      <c r="G25" s="82" t="str">
        <f t="shared" ca="1" si="0"/>
        <v/>
      </c>
      <c r="H25" s="80" t="str">
        <f>IF(A25="","",IF(F25="","Sin visita",IF(G25&lt;=IFERROR(VLOOKUP(E25,Inicio!$A$24:$B$26,2,FALSE),0),"Vigente","Atrasado")))</f>
        <v/>
      </c>
      <c r="I25" s="83" t="str">
        <f ca="1">IF(A25="","",SUMIFS(Ventas_SellIn!$L$2:$L$800,Ventas_SellIn!$D$2:$D$800,A25,Ventas_SellIn!$B$2:$B$800,"&gt;="&amp;TODAY()-Inicio!$B$14))</f>
        <v/>
      </c>
      <c r="J25" s="82" t="str">
        <f ca="1">IF(A25="","",SUMIFS(SellOut_Jumbo!$F$2:$F$800,SellOut_Jumbo!$C$2:$C$800,D25,SellOut_Jumbo!$A$2:$A$800,"&gt;="&amp;TODAY()-Inicio!$B$14))</f>
        <v/>
      </c>
      <c r="K25" s="80" t="str">
        <f>IF(A25="","",IF(I25=0,"Sin venta",IF(I25&lt;Inicio!$B$15,"Venta baja","Venta OK")))</f>
        <v/>
      </c>
      <c r="L25" s="82" t="str">
        <f>IF(A25="","",COUNTIFS(Ventas_SellIn!$D$2:$D$800,A25,Ventas_SellIn!$R$2:$R$800,"&gt;0"))</f>
        <v/>
      </c>
      <c r="M25" s="83" t="str">
        <f>IF(A25="","",SUMIFS(Ventas_SellIn!$R$2:$R$800,Ventas_SellIn!$D$2:$D$800,A25))</f>
        <v/>
      </c>
      <c r="N25" s="80" t="str">
        <f>IF(A25="","",IF(M25&gt;=Inicio!$B$18,"Pendiente relevante",IF(M25&gt;0,"Pendiente menor","Sin deuda")))</f>
        <v/>
      </c>
      <c r="O25" s="84" t="str">
        <f>IF(A25="","",SUMIFS(Stock_PDV!$H$2:$H$800,Stock_PDV!$A$2:$A$800,A25))</f>
        <v/>
      </c>
      <c r="P25" s="80" t="str">
        <f>IF(A25="","",IF(O25&lt;=Inicio!$B$16,"Crítico",IF(O25&lt;=Inicio!$B$17,"Observar","OK")))</f>
        <v/>
      </c>
      <c r="Q25" s="80" t="str">
        <f t="shared" si="1"/>
        <v/>
      </c>
      <c r="R25" s="80" t="str">
        <f t="shared" si="3"/>
        <v/>
      </c>
      <c r="S25" s="70" t="str">
        <f t="shared" si="2"/>
        <v/>
      </c>
      <c r="T25" s="70" t="str">
        <f>IF(A25="","",IFERROR(VLOOKUP(A25,Clientes_PDV!$A$2:$K$250,11,FALSE),""))</f>
        <v/>
      </c>
    </row>
    <row r="26" spans="1:20" ht="20" customHeight="1" x14ac:dyDescent="0.35">
      <c r="A26" s="75" t="str">
        <f>IF(Clientes_PDV!A26="","",Clientes_PDV!A26)</f>
        <v/>
      </c>
      <c r="B26" s="75" t="str">
        <f>IF(A26="","",IFERROR(VLOOKUP(A26,Clientes_PDV!$A$2:$J$250,2,FALSE),""))</f>
        <v/>
      </c>
      <c r="C26" s="75" t="str">
        <f>IF(A26="","",IFERROR(VLOOKUP(A26,Clientes_PDV!$A$2:$J$250,3,FALSE),""))</f>
        <v/>
      </c>
      <c r="D26" s="75" t="str">
        <f>IF(A26="","",IFERROR(VLOOKUP(A26,Clientes_PDV!$A$2:$J$250,4,FALSE),""))</f>
        <v/>
      </c>
      <c r="E26" s="75" t="str">
        <f>IF(A26="","",IFERROR(VLOOKUP(A26,Clientes_PDV!$A$2:$J$250,7,FALSE),""))</f>
        <v/>
      </c>
      <c r="F26" s="76" t="str">
        <f>IF(A26="","",IFERROR(VLOOKUP(A26,Clientes_PDV!$A$2:$J$250,8,FALSE),""))</f>
        <v/>
      </c>
      <c r="G26" s="77" t="str">
        <f t="shared" ca="1" si="0"/>
        <v/>
      </c>
      <c r="H26" s="75" t="str">
        <f>IF(A26="","",IF(F26="","Sin visita",IF(G26&lt;=IFERROR(VLOOKUP(E26,Inicio!$A$24:$B$26,2,FALSE),0),"Vigente","Atrasado")))</f>
        <v/>
      </c>
      <c r="I26" s="78" t="str">
        <f ca="1">IF(A26="","",SUMIFS(Ventas_SellIn!$L$2:$L$800,Ventas_SellIn!$D$2:$D$800,A26,Ventas_SellIn!$B$2:$B$800,"&gt;="&amp;TODAY()-Inicio!$B$14))</f>
        <v/>
      </c>
      <c r="J26" s="77" t="str">
        <f ca="1">IF(A26="","",SUMIFS(SellOut_Jumbo!$F$2:$F$800,SellOut_Jumbo!$C$2:$C$800,D26,SellOut_Jumbo!$A$2:$A$800,"&gt;="&amp;TODAY()-Inicio!$B$14))</f>
        <v/>
      </c>
      <c r="K26" s="75" t="str">
        <f>IF(A26="","",IF(I26=0,"Sin venta",IF(I26&lt;Inicio!$B$15,"Venta baja","Venta OK")))</f>
        <v/>
      </c>
      <c r="L26" s="77" t="str">
        <f>IF(A26="","",COUNTIFS(Ventas_SellIn!$D$2:$D$800,A26,Ventas_SellIn!$R$2:$R$800,"&gt;0"))</f>
        <v/>
      </c>
      <c r="M26" s="78" t="str">
        <f>IF(A26="","",SUMIFS(Ventas_SellIn!$R$2:$R$800,Ventas_SellIn!$D$2:$D$800,A26))</f>
        <v/>
      </c>
      <c r="N26" s="75" t="str">
        <f>IF(A26="","",IF(M26&gt;=Inicio!$B$18,"Pendiente relevante",IF(M26&gt;0,"Pendiente menor","Sin deuda")))</f>
        <v/>
      </c>
      <c r="O26" s="79" t="str">
        <f>IF(A26="","",SUMIFS(Stock_PDV!$H$2:$H$800,Stock_PDV!$A$2:$A$800,A26))</f>
        <v/>
      </c>
      <c r="P26" s="75" t="str">
        <f>IF(A26="","",IF(O26&lt;=Inicio!$B$16,"Crítico",IF(O26&lt;=Inicio!$B$17,"Observar","OK")))</f>
        <v/>
      </c>
      <c r="Q26" s="75" t="str">
        <f t="shared" si="1"/>
        <v/>
      </c>
      <c r="R26" s="75" t="str">
        <f t="shared" si="3"/>
        <v/>
      </c>
      <c r="S26" s="68" t="str">
        <f t="shared" si="2"/>
        <v/>
      </c>
      <c r="T26" s="68" t="str">
        <f>IF(A26="","",IFERROR(VLOOKUP(A26,Clientes_PDV!$A$2:$K$250,11,FALSE),""))</f>
        <v/>
      </c>
    </row>
    <row r="27" spans="1:20" ht="20" customHeight="1" x14ac:dyDescent="0.35">
      <c r="A27" s="80" t="str">
        <f>IF(Clientes_PDV!A27="","",Clientes_PDV!A27)</f>
        <v/>
      </c>
      <c r="B27" s="80" t="str">
        <f>IF(A27="","",IFERROR(VLOOKUP(A27,Clientes_PDV!$A$2:$J$250,2,FALSE),""))</f>
        <v/>
      </c>
      <c r="C27" s="80" t="str">
        <f>IF(A27="","",IFERROR(VLOOKUP(A27,Clientes_PDV!$A$2:$J$250,3,FALSE),""))</f>
        <v/>
      </c>
      <c r="D27" s="80" t="str">
        <f>IF(A27="","",IFERROR(VLOOKUP(A27,Clientes_PDV!$A$2:$J$250,4,FALSE),""))</f>
        <v/>
      </c>
      <c r="E27" s="80" t="str">
        <f>IF(A27="","",IFERROR(VLOOKUP(A27,Clientes_PDV!$A$2:$J$250,7,FALSE),""))</f>
        <v/>
      </c>
      <c r="F27" s="81" t="str">
        <f>IF(A27="","",IFERROR(VLOOKUP(A27,Clientes_PDV!$A$2:$J$250,8,FALSE),""))</f>
        <v/>
      </c>
      <c r="G27" s="82" t="str">
        <f t="shared" ca="1" si="0"/>
        <v/>
      </c>
      <c r="H27" s="80" t="str">
        <f>IF(A27="","",IF(F27="","Sin visita",IF(G27&lt;=IFERROR(VLOOKUP(E27,Inicio!$A$24:$B$26,2,FALSE),0),"Vigente","Atrasado")))</f>
        <v/>
      </c>
      <c r="I27" s="83" t="str">
        <f ca="1">IF(A27="","",SUMIFS(Ventas_SellIn!$L$2:$L$800,Ventas_SellIn!$D$2:$D$800,A27,Ventas_SellIn!$B$2:$B$800,"&gt;="&amp;TODAY()-Inicio!$B$14))</f>
        <v/>
      </c>
      <c r="J27" s="82" t="str">
        <f ca="1">IF(A27="","",SUMIFS(SellOut_Jumbo!$F$2:$F$800,SellOut_Jumbo!$C$2:$C$800,D27,SellOut_Jumbo!$A$2:$A$800,"&gt;="&amp;TODAY()-Inicio!$B$14))</f>
        <v/>
      </c>
      <c r="K27" s="80" t="str">
        <f>IF(A27="","",IF(I27=0,"Sin venta",IF(I27&lt;Inicio!$B$15,"Venta baja","Venta OK")))</f>
        <v/>
      </c>
      <c r="L27" s="82" t="str">
        <f>IF(A27="","",COUNTIFS(Ventas_SellIn!$D$2:$D$800,A27,Ventas_SellIn!$R$2:$R$800,"&gt;0"))</f>
        <v/>
      </c>
      <c r="M27" s="83" t="str">
        <f>IF(A27="","",SUMIFS(Ventas_SellIn!$R$2:$R$800,Ventas_SellIn!$D$2:$D$800,A27))</f>
        <v/>
      </c>
      <c r="N27" s="80" t="str">
        <f>IF(A27="","",IF(M27&gt;=Inicio!$B$18,"Pendiente relevante",IF(M27&gt;0,"Pendiente menor","Sin deuda")))</f>
        <v/>
      </c>
      <c r="O27" s="84" t="str">
        <f>IF(A27="","",SUMIFS(Stock_PDV!$H$2:$H$800,Stock_PDV!$A$2:$A$800,A27))</f>
        <v/>
      </c>
      <c r="P27" s="80" t="str">
        <f>IF(A27="","",IF(O27&lt;=Inicio!$B$16,"Crítico",IF(O27&lt;=Inicio!$B$17,"Observar","OK")))</f>
        <v/>
      </c>
      <c r="Q27" s="80" t="str">
        <f t="shared" si="1"/>
        <v/>
      </c>
      <c r="R27" s="80" t="str">
        <f t="shared" si="3"/>
        <v/>
      </c>
      <c r="S27" s="70" t="str">
        <f t="shared" si="2"/>
        <v/>
      </c>
      <c r="T27" s="70" t="str">
        <f>IF(A27="","",IFERROR(VLOOKUP(A27,Clientes_PDV!$A$2:$K$250,11,FALSE),""))</f>
        <v/>
      </c>
    </row>
    <row r="28" spans="1:20" ht="20" customHeight="1" x14ac:dyDescent="0.35">
      <c r="A28" s="75" t="str">
        <f>IF(Clientes_PDV!A28="","",Clientes_PDV!A28)</f>
        <v/>
      </c>
      <c r="B28" s="75" t="str">
        <f>IF(A28="","",IFERROR(VLOOKUP(A28,Clientes_PDV!$A$2:$J$250,2,FALSE),""))</f>
        <v/>
      </c>
      <c r="C28" s="75" t="str">
        <f>IF(A28="","",IFERROR(VLOOKUP(A28,Clientes_PDV!$A$2:$J$250,3,FALSE),""))</f>
        <v/>
      </c>
      <c r="D28" s="75" t="str">
        <f>IF(A28="","",IFERROR(VLOOKUP(A28,Clientes_PDV!$A$2:$J$250,4,FALSE),""))</f>
        <v/>
      </c>
      <c r="E28" s="75" t="str">
        <f>IF(A28="","",IFERROR(VLOOKUP(A28,Clientes_PDV!$A$2:$J$250,7,FALSE),""))</f>
        <v/>
      </c>
      <c r="F28" s="76" t="str">
        <f>IF(A28="","",IFERROR(VLOOKUP(A28,Clientes_PDV!$A$2:$J$250,8,FALSE),""))</f>
        <v/>
      </c>
      <c r="G28" s="77" t="str">
        <f t="shared" ca="1" si="0"/>
        <v/>
      </c>
      <c r="H28" s="75" t="str">
        <f>IF(A28="","",IF(F28="","Sin visita",IF(G28&lt;=IFERROR(VLOOKUP(E28,Inicio!$A$24:$B$26,2,FALSE),0),"Vigente","Atrasado")))</f>
        <v/>
      </c>
      <c r="I28" s="78" t="str">
        <f ca="1">IF(A28="","",SUMIFS(Ventas_SellIn!$L$2:$L$800,Ventas_SellIn!$D$2:$D$800,A28,Ventas_SellIn!$B$2:$B$800,"&gt;="&amp;TODAY()-Inicio!$B$14))</f>
        <v/>
      </c>
      <c r="J28" s="77" t="str">
        <f ca="1">IF(A28="","",SUMIFS(SellOut_Jumbo!$F$2:$F$800,SellOut_Jumbo!$C$2:$C$800,D28,SellOut_Jumbo!$A$2:$A$800,"&gt;="&amp;TODAY()-Inicio!$B$14))</f>
        <v/>
      </c>
      <c r="K28" s="75" t="str">
        <f>IF(A28="","",IF(I28=0,"Sin venta",IF(I28&lt;Inicio!$B$15,"Venta baja","Venta OK")))</f>
        <v/>
      </c>
      <c r="L28" s="77" t="str">
        <f>IF(A28="","",COUNTIFS(Ventas_SellIn!$D$2:$D$800,A28,Ventas_SellIn!$R$2:$R$800,"&gt;0"))</f>
        <v/>
      </c>
      <c r="M28" s="78" t="str">
        <f>IF(A28="","",SUMIFS(Ventas_SellIn!$R$2:$R$800,Ventas_SellIn!$D$2:$D$800,A28))</f>
        <v/>
      </c>
      <c r="N28" s="75" t="str">
        <f>IF(A28="","",IF(M28&gt;=Inicio!$B$18,"Pendiente relevante",IF(M28&gt;0,"Pendiente menor","Sin deuda")))</f>
        <v/>
      </c>
      <c r="O28" s="79" t="str">
        <f>IF(A28="","",SUMIFS(Stock_PDV!$H$2:$H$800,Stock_PDV!$A$2:$A$800,A28))</f>
        <v/>
      </c>
      <c r="P28" s="75" t="str">
        <f>IF(A28="","",IF(O28&lt;=Inicio!$B$16,"Crítico",IF(O28&lt;=Inicio!$B$17,"Observar","OK")))</f>
        <v/>
      </c>
      <c r="Q28" s="75" t="str">
        <f t="shared" si="1"/>
        <v/>
      </c>
      <c r="R28" s="75" t="str">
        <f t="shared" si="3"/>
        <v/>
      </c>
      <c r="S28" s="68" t="str">
        <f t="shared" si="2"/>
        <v/>
      </c>
      <c r="T28" s="68" t="str">
        <f>IF(A28="","",IFERROR(VLOOKUP(A28,Clientes_PDV!$A$2:$K$250,11,FALSE),""))</f>
        <v/>
      </c>
    </row>
    <row r="29" spans="1:20" ht="20" customHeight="1" x14ac:dyDescent="0.35">
      <c r="A29" s="80" t="str">
        <f>IF(Clientes_PDV!A29="","",Clientes_PDV!A29)</f>
        <v/>
      </c>
      <c r="B29" s="80" t="str">
        <f>IF(A29="","",IFERROR(VLOOKUP(A29,Clientes_PDV!$A$2:$J$250,2,FALSE),""))</f>
        <v/>
      </c>
      <c r="C29" s="80" t="str">
        <f>IF(A29="","",IFERROR(VLOOKUP(A29,Clientes_PDV!$A$2:$J$250,3,FALSE),""))</f>
        <v/>
      </c>
      <c r="D29" s="80" t="str">
        <f>IF(A29="","",IFERROR(VLOOKUP(A29,Clientes_PDV!$A$2:$J$250,4,FALSE),""))</f>
        <v/>
      </c>
      <c r="E29" s="80" t="str">
        <f>IF(A29="","",IFERROR(VLOOKUP(A29,Clientes_PDV!$A$2:$J$250,7,FALSE),""))</f>
        <v/>
      </c>
      <c r="F29" s="81" t="str">
        <f>IF(A29="","",IFERROR(VLOOKUP(A29,Clientes_PDV!$A$2:$J$250,8,FALSE),""))</f>
        <v/>
      </c>
      <c r="G29" s="82" t="str">
        <f t="shared" ca="1" si="0"/>
        <v/>
      </c>
      <c r="H29" s="80" t="str">
        <f>IF(A29="","",IF(F29="","Sin visita",IF(G29&lt;=IFERROR(VLOOKUP(E29,Inicio!$A$24:$B$26,2,FALSE),0),"Vigente","Atrasado")))</f>
        <v/>
      </c>
      <c r="I29" s="83" t="str">
        <f ca="1">IF(A29="","",SUMIFS(Ventas_SellIn!$L$2:$L$800,Ventas_SellIn!$D$2:$D$800,A29,Ventas_SellIn!$B$2:$B$800,"&gt;="&amp;TODAY()-Inicio!$B$14))</f>
        <v/>
      </c>
      <c r="J29" s="82" t="str">
        <f ca="1">IF(A29="","",SUMIFS(SellOut_Jumbo!$F$2:$F$800,SellOut_Jumbo!$C$2:$C$800,D29,SellOut_Jumbo!$A$2:$A$800,"&gt;="&amp;TODAY()-Inicio!$B$14))</f>
        <v/>
      </c>
      <c r="K29" s="80" t="str">
        <f>IF(A29="","",IF(I29=0,"Sin venta",IF(I29&lt;Inicio!$B$15,"Venta baja","Venta OK")))</f>
        <v/>
      </c>
      <c r="L29" s="82" t="str">
        <f>IF(A29="","",COUNTIFS(Ventas_SellIn!$D$2:$D$800,A29,Ventas_SellIn!$R$2:$R$800,"&gt;0"))</f>
        <v/>
      </c>
      <c r="M29" s="83" t="str">
        <f>IF(A29="","",SUMIFS(Ventas_SellIn!$R$2:$R$800,Ventas_SellIn!$D$2:$D$800,A29))</f>
        <v/>
      </c>
      <c r="N29" s="80" t="str">
        <f>IF(A29="","",IF(M29&gt;=Inicio!$B$18,"Pendiente relevante",IF(M29&gt;0,"Pendiente menor","Sin deuda")))</f>
        <v/>
      </c>
      <c r="O29" s="84" t="str">
        <f>IF(A29="","",SUMIFS(Stock_PDV!$H$2:$H$800,Stock_PDV!$A$2:$A$800,A29))</f>
        <v/>
      </c>
      <c r="P29" s="80" t="str">
        <f>IF(A29="","",IF(O29&lt;=Inicio!$B$16,"Crítico",IF(O29&lt;=Inicio!$B$17,"Observar","OK")))</f>
        <v/>
      </c>
      <c r="Q29" s="80" t="str">
        <f t="shared" si="1"/>
        <v/>
      </c>
      <c r="R29" s="80" t="str">
        <f t="shared" si="3"/>
        <v/>
      </c>
      <c r="S29" s="70" t="str">
        <f t="shared" si="2"/>
        <v/>
      </c>
      <c r="T29" s="70" t="str">
        <f>IF(A29="","",IFERROR(VLOOKUP(A29,Clientes_PDV!$A$2:$K$250,11,FALSE),""))</f>
        <v/>
      </c>
    </row>
    <row r="30" spans="1:20" ht="20" customHeight="1" x14ac:dyDescent="0.35">
      <c r="A30" s="75" t="str">
        <f>IF(Clientes_PDV!A30="","",Clientes_PDV!A30)</f>
        <v/>
      </c>
      <c r="B30" s="75" t="str">
        <f>IF(A30="","",IFERROR(VLOOKUP(A30,Clientes_PDV!$A$2:$J$250,2,FALSE),""))</f>
        <v/>
      </c>
      <c r="C30" s="75" t="str">
        <f>IF(A30="","",IFERROR(VLOOKUP(A30,Clientes_PDV!$A$2:$J$250,3,FALSE),""))</f>
        <v/>
      </c>
      <c r="D30" s="75" t="str">
        <f>IF(A30="","",IFERROR(VLOOKUP(A30,Clientes_PDV!$A$2:$J$250,4,FALSE),""))</f>
        <v/>
      </c>
      <c r="E30" s="75" t="str">
        <f>IF(A30="","",IFERROR(VLOOKUP(A30,Clientes_PDV!$A$2:$J$250,7,FALSE),""))</f>
        <v/>
      </c>
      <c r="F30" s="76" t="str">
        <f>IF(A30="","",IFERROR(VLOOKUP(A30,Clientes_PDV!$A$2:$J$250,8,FALSE),""))</f>
        <v/>
      </c>
      <c r="G30" s="77" t="str">
        <f t="shared" ca="1" si="0"/>
        <v/>
      </c>
      <c r="H30" s="75" t="str">
        <f>IF(A30="","",IF(F30="","Sin visita",IF(G30&lt;=IFERROR(VLOOKUP(E30,Inicio!$A$24:$B$26,2,FALSE),0),"Vigente","Atrasado")))</f>
        <v/>
      </c>
      <c r="I30" s="78" t="str">
        <f ca="1">IF(A30="","",SUMIFS(Ventas_SellIn!$L$2:$L$800,Ventas_SellIn!$D$2:$D$800,A30,Ventas_SellIn!$B$2:$B$800,"&gt;="&amp;TODAY()-Inicio!$B$14))</f>
        <v/>
      </c>
      <c r="J30" s="77" t="str">
        <f ca="1">IF(A30="","",SUMIFS(SellOut_Jumbo!$F$2:$F$800,SellOut_Jumbo!$C$2:$C$800,D30,SellOut_Jumbo!$A$2:$A$800,"&gt;="&amp;TODAY()-Inicio!$B$14))</f>
        <v/>
      </c>
      <c r="K30" s="75" t="str">
        <f>IF(A30="","",IF(I30=0,"Sin venta",IF(I30&lt;Inicio!$B$15,"Venta baja","Venta OK")))</f>
        <v/>
      </c>
      <c r="L30" s="77" t="str">
        <f>IF(A30="","",COUNTIFS(Ventas_SellIn!$D$2:$D$800,A30,Ventas_SellIn!$R$2:$R$800,"&gt;0"))</f>
        <v/>
      </c>
      <c r="M30" s="78" t="str">
        <f>IF(A30="","",SUMIFS(Ventas_SellIn!$R$2:$R$800,Ventas_SellIn!$D$2:$D$800,A30))</f>
        <v/>
      </c>
      <c r="N30" s="75" t="str">
        <f>IF(A30="","",IF(M30&gt;=Inicio!$B$18,"Pendiente relevante",IF(M30&gt;0,"Pendiente menor","Sin deuda")))</f>
        <v/>
      </c>
      <c r="O30" s="79" t="str">
        <f>IF(A30="","",SUMIFS(Stock_PDV!$H$2:$H$800,Stock_PDV!$A$2:$A$800,A30))</f>
        <v/>
      </c>
      <c r="P30" s="75" t="str">
        <f>IF(A30="","",IF(O30&lt;=Inicio!$B$16,"Crítico",IF(O30&lt;=Inicio!$B$17,"Observar","OK")))</f>
        <v/>
      </c>
      <c r="Q30" s="75" t="str">
        <f t="shared" si="1"/>
        <v/>
      </c>
      <c r="R30" s="75" t="str">
        <f t="shared" si="3"/>
        <v/>
      </c>
      <c r="S30" s="68" t="str">
        <f t="shared" si="2"/>
        <v/>
      </c>
      <c r="T30" s="68" t="str">
        <f>IF(A30="","",IFERROR(VLOOKUP(A30,Clientes_PDV!$A$2:$K$250,11,FALSE),""))</f>
        <v/>
      </c>
    </row>
    <row r="31" spans="1:20" ht="20" customHeight="1" x14ac:dyDescent="0.35">
      <c r="A31" s="80" t="str">
        <f>IF(Clientes_PDV!A31="","",Clientes_PDV!A31)</f>
        <v/>
      </c>
      <c r="B31" s="80" t="str">
        <f>IF(A31="","",IFERROR(VLOOKUP(A31,Clientes_PDV!$A$2:$J$250,2,FALSE),""))</f>
        <v/>
      </c>
      <c r="C31" s="80" t="str">
        <f>IF(A31="","",IFERROR(VLOOKUP(A31,Clientes_PDV!$A$2:$J$250,3,FALSE),""))</f>
        <v/>
      </c>
      <c r="D31" s="80" t="str">
        <f>IF(A31="","",IFERROR(VLOOKUP(A31,Clientes_PDV!$A$2:$J$250,4,FALSE),""))</f>
        <v/>
      </c>
      <c r="E31" s="80" t="str">
        <f>IF(A31="","",IFERROR(VLOOKUP(A31,Clientes_PDV!$A$2:$J$250,7,FALSE),""))</f>
        <v/>
      </c>
      <c r="F31" s="81" t="str">
        <f>IF(A31="","",IFERROR(VLOOKUP(A31,Clientes_PDV!$A$2:$J$250,8,FALSE),""))</f>
        <v/>
      </c>
      <c r="G31" s="82" t="str">
        <f t="shared" ca="1" si="0"/>
        <v/>
      </c>
      <c r="H31" s="80" t="str">
        <f>IF(A31="","",IF(F31="","Sin visita",IF(G31&lt;=IFERROR(VLOOKUP(E31,Inicio!$A$24:$B$26,2,FALSE),0),"Vigente","Atrasado")))</f>
        <v/>
      </c>
      <c r="I31" s="83" t="str">
        <f ca="1">IF(A31="","",SUMIFS(Ventas_SellIn!$L$2:$L$800,Ventas_SellIn!$D$2:$D$800,A31,Ventas_SellIn!$B$2:$B$800,"&gt;="&amp;TODAY()-Inicio!$B$14))</f>
        <v/>
      </c>
      <c r="J31" s="82" t="str">
        <f ca="1">IF(A31="","",SUMIFS(SellOut_Jumbo!$F$2:$F$800,SellOut_Jumbo!$C$2:$C$800,D31,SellOut_Jumbo!$A$2:$A$800,"&gt;="&amp;TODAY()-Inicio!$B$14))</f>
        <v/>
      </c>
      <c r="K31" s="80" t="str">
        <f>IF(A31="","",IF(I31=0,"Sin venta",IF(I31&lt;Inicio!$B$15,"Venta baja","Venta OK")))</f>
        <v/>
      </c>
      <c r="L31" s="82" t="str">
        <f>IF(A31="","",COUNTIFS(Ventas_SellIn!$D$2:$D$800,A31,Ventas_SellIn!$R$2:$R$800,"&gt;0"))</f>
        <v/>
      </c>
      <c r="M31" s="83" t="str">
        <f>IF(A31="","",SUMIFS(Ventas_SellIn!$R$2:$R$800,Ventas_SellIn!$D$2:$D$800,A31))</f>
        <v/>
      </c>
      <c r="N31" s="80" t="str">
        <f>IF(A31="","",IF(M31&gt;=Inicio!$B$18,"Pendiente relevante",IF(M31&gt;0,"Pendiente menor","Sin deuda")))</f>
        <v/>
      </c>
      <c r="O31" s="84" t="str">
        <f>IF(A31="","",SUMIFS(Stock_PDV!$H$2:$H$800,Stock_PDV!$A$2:$A$800,A31))</f>
        <v/>
      </c>
      <c r="P31" s="80" t="str">
        <f>IF(A31="","",IF(O31&lt;=Inicio!$B$16,"Crítico",IF(O31&lt;=Inicio!$B$17,"Observar","OK")))</f>
        <v/>
      </c>
      <c r="Q31" s="80" t="str">
        <f t="shared" si="1"/>
        <v/>
      </c>
      <c r="R31" s="80" t="str">
        <f t="shared" si="3"/>
        <v/>
      </c>
      <c r="S31" s="70" t="str">
        <f t="shared" si="2"/>
        <v/>
      </c>
      <c r="T31" s="70" t="str">
        <f>IF(A31="","",IFERROR(VLOOKUP(A31,Clientes_PDV!$A$2:$K$250,11,FALSE),""))</f>
        <v/>
      </c>
    </row>
    <row r="32" spans="1:20" ht="20" customHeight="1" x14ac:dyDescent="0.35">
      <c r="A32" s="75" t="str">
        <f>IF(Clientes_PDV!A32="","",Clientes_PDV!A32)</f>
        <v/>
      </c>
      <c r="B32" s="75" t="str">
        <f>IF(A32="","",IFERROR(VLOOKUP(A32,Clientes_PDV!$A$2:$J$250,2,FALSE),""))</f>
        <v/>
      </c>
      <c r="C32" s="75" t="str">
        <f>IF(A32="","",IFERROR(VLOOKUP(A32,Clientes_PDV!$A$2:$J$250,3,FALSE),""))</f>
        <v/>
      </c>
      <c r="D32" s="75" t="str">
        <f>IF(A32="","",IFERROR(VLOOKUP(A32,Clientes_PDV!$A$2:$J$250,4,FALSE),""))</f>
        <v/>
      </c>
      <c r="E32" s="75" t="str">
        <f>IF(A32="","",IFERROR(VLOOKUP(A32,Clientes_PDV!$A$2:$J$250,7,FALSE),""))</f>
        <v/>
      </c>
      <c r="F32" s="76" t="str">
        <f>IF(A32="","",IFERROR(VLOOKUP(A32,Clientes_PDV!$A$2:$J$250,8,FALSE),""))</f>
        <v/>
      </c>
      <c r="G32" s="77" t="str">
        <f t="shared" ca="1" si="0"/>
        <v/>
      </c>
      <c r="H32" s="75" t="str">
        <f>IF(A32="","",IF(F32="","Sin visita",IF(G32&lt;=IFERROR(VLOOKUP(E32,Inicio!$A$24:$B$26,2,FALSE),0),"Vigente","Atrasado")))</f>
        <v/>
      </c>
      <c r="I32" s="78" t="str">
        <f ca="1">IF(A32="","",SUMIFS(Ventas_SellIn!$L$2:$L$800,Ventas_SellIn!$D$2:$D$800,A32,Ventas_SellIn!$B$2:$B$800,"&gt;="&amp;TODAY()-Inicio!$B$14))</f>
        <v/>
      </c>
      <c r="J32" s="77" t="str">
        <f ca="1">IF(A32="","",SUMIFS(SellOut_Jumbo!$F$2:$F$800,SellOut_Jumbo!$C$2:$C$800,D32,SellOut_Jumbo!$A$2:$A$800,"&gt;="&amp;TODAY()-Inicio!$B$14))</f>
        <v/>
      </c>
      <c r="K32" s="75" t="str">
        <f>IF(A32="","",IF(I32=0,"Sin venta",IF(I32&lt;Inicio!$B$15,"Venta baja","Venta OK")))</f>
        <v/>
      </c>
      <c r="L32" s="77" t="str">
        <f>IF(A32="","",COUNTIFS(Ventas_SellIn!$D$2:$D$800,A32,Ventas_SellIn!$R$2:$R$800,"&gt;0"))</f>
        <v/>
      </c>
      <c r="M32" s="78" t="str">
        <f>IF(A32="","",SUMIFS(Ventas_SellIn!$R$2:$R$800,Ventas_SellIn!$D$2:$D$800,A32))</f>
        <v/>
      </c>
      <c r="N32" s="75" t="str">
        <f>IF(A32="","",IF(M32&gt;=Inicio!$B$18,"Pendiente relevante",IF(M32&gt;0,"Pendiente menor","Sin deuda")))</f>
        <v/>
      </c>
      <c r="O32" s="79" t="str">
        <f>IF(A32="","",SUMIFS(Stock_PDV!$H$2:$H$800,Stock_PDV!$A$2:$A$800,A32))</f>
        <v/>
      </c>
      <c r="P32" s="75" t="str">
        <f>IF(A32="","",IF(O32&lt;=Inicio!$B$16,"Crítico",IF(O32&lt;=Inicio!$B$17,"Observar","OK")))</f>
        <v/>
      </c>
      <c r="Q32" s="75" t="str">
        <f t="shared" si="1"/>
        <v/>
      </c>
      <c r="R32" s="75" t="str">
        <f t="shared" si="3"/>
        <v/>
      </c>
      <c r="S32" s="68" t="str">
        <f t="shared" si="2"/>
        <v/>
      </c>
      <c r="T32" s="68" t="str">
        <f>IF(A32="","",IFERROR(VLOOKUP(A32,Clientes_PDV!$A$2:$K$250,11,FALSE),""))</f>
        <v/>
      </c>
    </row>
    <row r="33" spans="1:20" ht="20" customHeight="1" x14ac:dyDescent="0.35">
      <c r="A33" s="80" t="str">
        <f>IF(Clientes_PDV!A33="","",Clientes_PDV!A33)</f>
        <v/>
      </c>
      <c r="B33" s="80" t="str">
        <f>IF(A33="","",IFERROR(VLOOKUP(A33,Clientes_PDV!$A$2:$J$250,2,FALSE),""))</f>
        <v/>
      </c>
      <c r="C33" s="80" t="str">
        <f>IF(A33="","",IFERROR(VLOOKUP(A33,Clientes_PDV!$A$2:$J$250,3,FALSE),""))</f>
        <v/>
      </c>
      <c r="D33" s="80" t="str">
        <f>IF(A33="","",IFERROR(VLOOKUP(A33,Clientes_PDV!$A$2:$J$250,4,FALSE),""))</f>
        <v/>
      </c>
      <c r="E33" s="80" t="str">
        <f>IF(A33="","",IFERROR(VLOOKUP(A33,Clientes_PDV!$A$2:$J$250,7,FALSE),""))</f>
        <v/>
      </c>
      <c r="F33" s="81" t="str">
        <f>IF(A33="","",IFERROR(VLOOKUP(A33,Clientes_PDV!$A$2:$J$250,8,FALSE),""))</f>
        <v/>
      </c>
      <c r="G33" s="82" t="str">
        <f t="shared" ca="1" si="0"/>
        <v/>
      </c>
      <c r="H33" s="80" t="str">
        <f>IF(A33="","",IF(F33="","Sin visita",IF(G33&lt;=IFERROR(VLOOKUP(E33,Inicio!$A$24:$B$26,2,FALSE),0),"Vigente","Atrasado")))</f>
        <v/>
      </c>
      <c r="I33" s="83" t="str">
        <f ca="1">IF(A33="","",SUMIFS(Ventas_SellIn!$L$2:$L$800,Ventas_SellIn!$D$2:$D$800,A33,Ventas_SellIn!$B$2:$B$800,"&gt;="&amp;TODAY()-Inicio!$B$14))</f>
        <v/>
      </c>
      <c r="J33" s="82" t="str">
        <f ca="1">IF(A33="","",SUMIFS(SellOut_Jumbo!$F$2:$F$800,SellOut_Jumbo!$C$2:$C$800,D33,SellOut_Jumbo!$A$2:$A$800,"&gt;="&amp;TODAY()-Inicio!$B$14))</f>
        <v/>
      </c>
      <c r="K33" s="80" t="str">
        <f>IF(A33="","",IF(I33=0,"Sin venta",IF(I33&lt;Inicio!$B$15,"Venta baja","Venta OK")))</f>
        <v/>
      </c>
      <c r="L33" s="82" t="str">
        <f>IF(A33="","",COUNTIFS(Ventas_SellIn!$D$2:$D$800,A33,Ventas_SellIn!$R$2:$R$800,"&gt;0"))</f>
        <v/>
      </c>
      <c r="M33" s="83" t="str">
        <f>IF(A33="","",SUMIFS(Ventas_SellIn!$R$2:$R$800,Ventas_SellIn!$D$2:$D$800,A33))</f>
        <v/>
      </c>
      <c r="N33" s="80" t="str">
        <f>IF(A33="","",IF(M33&gt;=Inicio!$B$18,"Pendiente relevante",IF(M33&gt;0,"Pendiente menor","Sin deuda")))</f>
        <v/>
      </c>
      <c r="O33" s="84" t="str">
        <f>IF(A33="","",SUMIFS(Stock_PDV!$H$2:$H$800,Stock_PDV!$A$2:$A$800,A33))</f>
        <v/>
      </c>
      <c r="P33" s="80" t="str">
        <f>IF(A33="","",IF(O33&lt;=Inicio!$B$16,"Crítico",IF(O33&lt;=Inicio!$B$17,"Observar","OK")))</f>
        <v/>
      </c>
      <c r="Q33" s="80" t="str">
        <f t="shared" si="1"/>
        <v/>
      </c>
      <c r="R33" s="80" t="str">
        <f t="shared" si="3"/>
        <v/>
      </c>
      <c r="S33" s="70" t="str">
        <f t="shared" si="2"/>
        <v/>
      </c>
      <c r="T33" s="70" t="str">
        <f>IF(A33="","",IFERROR(VLOOKUP(A33,Clientes_PDV!$A$2:$K$250,11,FALSE),""))</f>
        <v/>
      </c>
    </row>
    <row r="34" spans="1:20" ht="20" customHeight="1" x14ac:dyDescent="0.35">
      <c r="A34" s="75" t="str">
        <f>IF(Clientes_PDV!A34="","",Clientes_PDV!A34)</f>
        <v/>
      </c>
      <c r="B34" s="75" t="str">
        <f>IF(A34="","",IFERROR(VLOOKUP(A34,Clientes_PDV!$A$2:$J$250,2,FALSE),""))</f>
        <v/>
      </c>
      <c r="C34" s="75" t="str">
        <f>IF(A34="","",IFERROR(VLOOKUP(A34,Clientes_PDV!$A$2:$J$250,3,FALSE),""))</f>
        <v/>
      </c>
      <c r="D34" s="75" t="str">
        <f>IF(A34="","",IFERROR(VLOOKUP(A34,Clientes_PDV!$A$2:$J$250,4,FALSE),""))</f>
        <v/>
      </c>
      <c r="E34" s="75" t="str">
        <f>IF(A34="","",IFERROR(VLOOKUP(A34,Clientes_PDV!$A$2:$J$250,7,FALSE),""))</f>
        <v/>
      </c>
      <c r="F34" s="76" t="str">
        <f>IF(A34="","",IFERROR(VLOOKUP(A34,Clientes_PDV!$A$2:$J$250,8,FALSE),""))</f>
        <v/>
      </c>
      <c r="G34" s="77" t="str">
        <f t="shared" ca="1" si="0"/>
        <v/>
      </c>
      <c r="H34" s="75" t="str">
        <f>IF(A34="","",IF(F34="","Sin visita",IF(G34&lt;=IFERROR(VLOOKUP(E34,Inicio!$A$24:$B$26,2,FALSE),0),"Vigente","Atrasado")))</f>
        <v/>
      </c>
      <c r="I34" s="78" t="str">
        <f ca="1">IF(A34="","",SUMIFS(Ventas_SellIn!$L$2:$L$800,Ventas_SellIn!$D$2:$D$800,A34,Ventas_SellIn!$B$2:$B$800,"&gt;="&amp;TODAY()-Inicio!$B$14))</f>
        <v/>
      </c>
      <c r="J34" s="77" t="str">
        <f ca="1">IF(A34="","",SUMIFS(SellOut_Jumbo!$F$2:$F$800,SellOut_Jumbo!$C$2:$C$800,D34,SellOut_Jumbo!$A$2:$A$800,"&gt;="&amp;TODAY()-Inicio!$B$14))</f>
        <v/>
      </c>
      <c r="K34" s="75" t="str">
        <f>IF(A34="","",IF(I34=0,"Sin venta",IF(I34&lt;Inicio!$B$15,"Venta baja","Venta OK")))</f>
        <v/>
      </c>
      <c r="L34" s="77" t="str">
        <f>IF(A34="","",COUNTIFS(Ventas_SellIn!$D$2:$D$800,A34,Ventas_SellIn!$R$2:$R$800,"&gt;0"))</f>
        <v/>
      </c>
      <c r="M34" s="78" t="str">
        <f>IF(A34="","",SUMIFS(Ventas_SellIn!$R$2:$R$800,Ventas_SellIn!$D$2:$D$800,A34))</f>
        <v/>
      </c>
      <c r="N34" s="75" t="str">
        <f>IF(A34="","",IF(M34&gt;=Inicio!$B$18,"Pendiente relevante",IF(M34&gt;0,"Pendiente menor","Sin deuda")))</f>
        <v/>
      </c>
      <c r="O34" s="79" t="str">
        <f>IF(A34="","",SUMIFS(Stock_PDV!$H$2:$H$800,Stock_PDV!$A$2:$A$800,A34))</f>
        <v/>
      </c>
      <c r="P34" s="75" t="str">
        <f>IF(A34="","",IF(O34&lt;=Inicio!$B$16,"Crítico",IF(O34&lt;=Inicio!$B$17,"Observar","OK")))</f>
        <v/>
      </c>
      <c r="Q34" s="75" t="str">
        <f t="shared" si="1"/>
        <v/>
      </c>
      <c r="R34" s="75" t="str">
        <f t="shared" si="3"/>
        <v/>
      </c>
      <c r="S34" s="68" t="str">
        <f t="shared" si="2"/>
        <v/>
      </c>
      <c r="T34" s="68" t="str">
        <f>IF(A34="","",IFERROR(VLOOKUP(A34,Clientes_PDV!$A$2:$K$250,11,FALSE),""))</f>
        <v/>
      </c>
    </row>
    <row r="35" spans="1:20" ht="20" customHeight="1" x14ac:dyDescent="0.35">
      <c r="A35" s="80" t="str">
        <f>IF(Clientes_PDV!A35="","",Clientes_PDV!A35)</f>
        <v/>
      </c>
      <c r="B35" s="80" t="str">
        <f>IF(A35="","",IFERROR(VLOOKUP(A35,Clientes_PDV!$A$2:$J$250,2,FALSE),""))</f>
        <v/>
      </c>
      <c r="C35" s="80" t="str">
        <f>IF(A35="","",IFERROR(VLOOKUP(A35,Clientes_PDV!$A$2:$J$250,3,FALSE),""))</f>
        <v/>
      </c>
      <c r="D35" s="80" t="str">
        <f>IF(A35="","",IFERROR(VLOOKUP(A35,Clientes_PDV!$A$2:$J$250,4,FALSE),""))</f>
        <v/>
      </c>
      <c r="E35" s="80" t="str">
        <f>IF(A35="","",IFERROR(VLOOKUP(A35,Clientes_PDV!$A$2:$J$250,7,FALSE),""))</f>
        <v/>
      </c>
      <c r="F35" s="81" t="str">
        <f>IF(A35="","",IFERROR(VLOOKUP(A35,Clientes_PDV!$A$2:$J$250,8,FALSE),""))</f>
        <v/>
      </c>
      <c r="G35" s="82" t="str">
        <f t="shared" ca="1" si="0"/>
        <v/>
      </c>
      <c r="H35" s="80" t="str">
        <f>IF(A35="","",IF(F35="","Sin visita",IF(G35&lt;=IFERROR(VLOOKUP(E35,Inicio!$A$24:$B$26,2,FALSE),0),"Vigente","Atrasado")))</f>
        <v/>
      </c>
      <c r="I35" s="83" t="str">
        <f ca="1">IF(A35="","",SUMIFS(Ventas_SellIn!$L$2:$L$800,Ventas_SellIn!$D$2:$D$800,A35,Ventas_SellIn!$B$2:$B$800,"&gt;="&amp;TODAY()-Inicio!$B$14))</f>
        <v/>
      </c>
      <c r="J35" s="82" t="str">
        <f ca="1">IF(A35="","",SUMIFS(SellOut_Jumbo!$F$2:$F$800,SellOut_Jumbo!$C$2:$C$800,D35,SellOut_Jumbo!$A$2:$A$800,"&gt;="&amp;TODAY()-Inicio!$B$14))</f>
        <v/>
      </c>
      <c r="K35" s="80" t="str">
        <f>IF(A35="","",IF(I35=0,"Sin venta",IF(I35&lt;Inicio!$B$15,"Venta baja","Venta OK")))</f>
        <v/>
      </c>
      <c r="L35" s="82" t="str">
        <f>IF(A35="","",COUNTIFS(Ventas_SellIn!$D$2:$D$800,A35,Ventas_SellIn!$R$2:$R$800,"&gt;0"))</f>
        <v/>
      </c>
      <c r="M35" s="83" t="str">
        <f>IF(A35="","",SUMIFS(Ventas_SellIn!$R$2:$R$800,Ventas_SellIn!$D$2:$D$800,A35))</f>
        <v/>
      </c>
      <c r="N35" s="80" t="str">
        <f>IF(A35="","",IF(M35&gt;=Inicio!$B$18,"Pendiente relevante",IF(M35&gt;0,"Pendiente menor","Sin deuda")))</f>
        <v/>
      </c>
      <c r="O35" s="84" t="str">
        <f>IF(A35="","",SUMIFS(Stock_PDV!$H$2:$H$800,Stock_PDV!$A$2:$A$800,A35))</f>
        <v/>
      </c>
      <c r="P35" s="80" t="str">
        <f>IF(A35="","",IF(O35&lt;=Inicio!$B$16,"Crítico",IF(O35&lt;=Inicio!$B$17,"Observar","OK")))</f>
        <v/>
      </c>
      <c r="Q35" s="80" t="str">
        <f t="shared" si="1"/>
        <v/>
      </c>
      <c r="R35" s="80" t="str">
        <f t="shared" si="3"/>
        <v/>
      </c>
      <c r="S35" s="70" t="str">
        <f t="shared" si="2"/>
        <v/>
      </c>
      <c r="T35" s="70" t="str">
        <f>IF(A35="","",IFERROR(VLOOKUP(A35,Clientes_PDV!$A$2:$K$250,11,FALSE),""))</f>
        <v/>
      </c>
    </row>
    <row r="36" spans="1:20" ht="20" customHeight="1" x14ac:dyDescent="0.35">
      <c r="A36" s="75" t="str">
        <f>IF(Clientes_PDV!A36="","",Clientes_PDV!A36)</f>
        <v/>
      </c>
      <c r="B36" s="75" t="str">
        <f>IF(A36="","",IFERROR(VLOOKUP(A36,Clientes_PDV!$A$2:$J$250,2,FALSE),""))</f>
        <v/>
      </c>
      <c r="C36" s="75" t="str">
        <f>IF(A36="","",IFERROR(VLOOKUP(A36,Clientes_PDV!$A$2:$J$250,3,FALSE),""))</f>
        <v/>
      </c>
      <c r="D36" s="75" t="str">
        <f>IF(A36="","",IFERROR(VLOOKUP(A36,Clientes_PDV!$A$2:$J$250,4,FALSE),""))</f>
        <v/>
      </c>
      <c r="E36" s="75" t="str">
        <f>IF(A36="","",IFERROR(VLOOKUP(A36,Clientes_PDV!$A$2:$J$250,7,FALSE),""))</f>
        <v/>
      </c>
      <c r="F36" s="76" t="str">
        <f>IF(A36="","",IFERROR(VLOOKUP(A36,Clientes_PDV!$A$2:$J$250,8,FALSE),""))</f>
        <v/>
      </c>
      <c r="G36" s="77" t="str">
        <f t="shared" ca="1" si="0"/>
        <v/>
      </c>
      <c r="H36" s="75" t="str">
        <f>IF(A36="","",IF(F36="","Sin visita",IF(G36&lt;=IFERROR(VLOOKUP(E36,Inicio!$A$24:$B$26,2,FALSE),0),"Vigente","Atrasado")))</f>
        <v/>
      </c>
      <c r="I36" s="78" t="str">
        <f ca="1">IF(A36="","",SUMIFS(Ventas_SellIn!$L$2:$L$800,Ventas_SellIn!$D$2:$D$800,A36,Ventas_SellIn!$B$2:$B$800,"&gt;="&amp;TODAY()-Inicio!$B$14))</f>
        <v/>
      </c>
      <c r="J36" s="77" t="str">
        <f ca="1">IF(A36="","",SUMIFS(SellOut_Jumbo!$F$2:$F$800,SellOut_Jumbo!$C$2:$C$800,D36,SellOut_Jumbo!$A$2:$A$800,"&gt;="&amp;TODAY()-Inicio!$B$14))</f>
        <v/>
      </c>
      <c r="K36" s="75" t="str">
        <f>IF(A36="","",IF(I36=0,"Sin venta",IF(I36&lt;Inicio!$B$15,"Venta baja","Venta OK")))</f>
        <v/>
      </c>
      <c r="L36" s="77" t="str">
        <f>IF(A36="","",COUNTIFS(Ventas_SellIn!$D$2:$D$800,A36,Ventas_SellIn!$R$2:$R$800,"&gt;0"))</f>
        <v/>
      </c>
      <c r="M36" s="78" t="str">
        <f>IF(A36="","",SUMIFS(Ventas_SellIn!$R$2:$R$800,Ventas_SellIn!$D$2:$D$800,A36))</f>
        <v/>
      </c>
      <c r="N36" s="75" t="str">
        <f>IF(A36="","",IF(M36&gt;=Inicio!$B$18,"Pendiente relevante",IF(M36&gt;0,"Pendiente menor","Sin deuda")))</f>
        <v/>
      </c>
      <c r="O36" s="79" t="str">
        <f>IF(A36="","",SUMIFS(Stock_PDV!$H$2:$H$800,Stock_PDV!$A$2:$A$800,A36))</f>
        <v/>
      </c>
      <c r="P36" s="75" t="str">
        <f>IF(A36="","",IF(O36&lt;=Inicio!$B$16,"Crítico",IF(O36&lt;=Inicio!$B$17,"Observar","OK")))</f>
        <v/>
      </c>
      <c r="Q36" s="75" t="str">
        <f t="shared" si="1"/>
        <v/>
      </c>
      <c r="R36" s="75" t="str">
        <f t="shared" si="3"/>
        <v/>
      </c>
      <c r="S36" s="68" t="str">
        <f t="shared" si="2"/>
        <v/>
      </c>
      <c r="T36" s="68" t="str">
        <f>IF(A36="","",IFERROR(VLOOKUP(A36,Clientes_PDV!$A$2:$K$250,11,FALSE),""))</f>
        <v/>
      </c>
    </row>
    <row r="37" spans="1:20" ht="20" customHeight="1" x14ac:dyDescent="0.35">
      <c r="A37" s="80" t="str">
        <f>IF(Clientes_PDV!A37="","",Clientes_PDV!A37)</f>
        <v/>
      </c>
      <c r="B37" s="80" t="str">
        <f>IF(A37="","",IFERROR(VLOOKUP(A37,Clientes_PDV!$A$2:$J$250,2,FALSE),""))</f>
        <v/>
      </c>
      <c r="C37" s="80" t="str">
        <f>IF(A37="","",IFERROR(VLOOKUP(A37,Clientes_PDV!$A$2:$J$250,3,FALSE),""))</f>
        <v/>
      </c>
      <c r="D37" s="80" t="str">
        <f>IF(A37="","",IFERROR(VLOOKUP(A37,Clientes_PDV!$A$2:$J$250,4,FALSE),""))</f>
        <v/>
      </c>
      <c r="E37" s="80" t="str">
        <f>IF(A37="","",IFERROR(VLOOKUP(A37,Clientes_PDV!$A$2:$J$250,7,FALSE),""))</f>
        <v/>
      </c>
      <c r="F37" s="81" t="str">
        <f>IF(A37="","",IFERROR(VLOOKUP(A37,Clientes_PDV!$A$2:$J$250,8,FALSE),""))</f>
        <v/>
      </c>
      <c r="G37" s="82" t="str">
        <f t="shared" ca="1" si="0"/>
        <v/>
      </c>
      <c r="H37" s="80" t="str">
        <f>IF(A37="","",IF(F37="","Sin visita",IF(G37&lt;=IFERROR(VLOOKUP(E37,Inicio!$A$24:$B$26,2,FALSE),0),"Vigente","Atrasado")))</f>
        <v/>
      </c>
      <c r="I37" s="83" t="str">
        <f ca="1">IF(A37="","",SUMIFS(Ventas_SellIn!$L$2:$L$800,Ventas_SellIn!$D$2:$D$800,A37,Ventas_SellIn!$B$2:$B$800,"&gt;="&amp;TODAY()-Inicio!$B$14))</f>
        <v/>
      </c>
      <c r="J37" s="82" t="str">
        <f ca="1">IF(A37="","",SUMIFS(SellOut_Jumbo!$F$2:$F$800,SellOut_Jumbo!$C$2:$C$800,D37,SellOut_Jumbo!$A$2:$A$800,"&gt;="&amp;TODAY()-Inicio!$B$14))</f>
        <v/>
      </c>
      <c r="K37" s="80" t="str">
        <f>IF(A37="","",IF(I37=0,"Sin venta",IF(I37&lt;Inicio!$B$15,"Venta baja","Venta OK")))</f>
        <v/>
      </c>
      <c r="L37" s="82" t="str">
        <f>IF(A37="","",COUNTIFS(Ventas_SellIn!$D$2:$D$800,A37,Ventas_SellIn!$R$2:$R$800,"&gt;0"))</f>
        <v/>
      </c>
      <c r="M37" s="83" t="str">
        <f>IF(A37="","",SUMIFS(Ventas_SellIn!$R$2:$R$800,Ventas_SellIn!$D$2:$D$800,A37))</f>
        <v/>
      </c>
      <c r="N37" s="80" t="str">
        <f>IF(A37="","",IF(M37&gt;=Inicio!$B$18,"Pendiente relevante",IF(M37&gt;0,"Pendiente menor","Sin deuda")))</f>
        <v/>
      </c>
      <c r="O37" s="84" t="str">
        <f>IF(A37="","",SUMIFS(Stock_PDV!$H$2:$H$800,Stock_PDV!$A$2:$A$800,A37))</f>
        <v/>
      </c>
      <c r="P37" s="80" t="str">
        <f>IF(A37="","",IF(O37&lt;=Inicio!$B$16,"Crítico",IF(O37&lt;=Inicio!$B$17,"Observar","OK")))</f>
        <v/>
      </c>
      <c r="Q37" s="80" t="str">
        <f t="shared" si="1"/>
        <v/>
      </c>
      <c r="R37" s="80" t="str">
        <f t="shared" si="3"/>
        <v/>
      </c>
      <c r="S37" s="70" t="str">
        <f t="shared" si="2"/>
        <v/>
      </c>
      <c r="T37" s="70" t="str">
        <f>IF(A37="","",IFERROR(VLOOKUP(A37,Clientes_PDV!$A$2:$K$250,11,FALSE),""))</f>
        <v/>
      </c>
    </row>
    <row r="38" spans="1:20" ht="20" customHeight="1" x14ac:dyDescent="0.35">
      <c r="A38" s="75" t="str">
        <f>IF(Clientes_PDV!A38="","",Clientes_PDV!A38)</f>
        <v/>
      </c>
      <c r="B38" s="75" t="str">
        <f>IF(A38="","",IFERROR(VLOOKUP(A38,Clientes_PDV!$A$2:$J$250,2,FALSE),""))</f>
        <v/>
      </c>
      <c r="C38" s="75" t="str">
        <f>IF(A38="","",IFERROR(VLOOKUP(A38,Clientes_PDV!$A$2:$J$250,3,FALSE),""))</f>
        <v/>
      </c>
      <c r="D38" s="75" t="str">
        <f>IF(A38="","",IFERROR(VLOOKUP(A38,Clientes_PDV!$A$2:$J$250,4,FALSE),""))</f>
        <v/>
      </c>
      <c r="E38" s="75" t="str">
        <f>IF(A38="","",IFERROR(VLOOKUP(A38,Clientes_PDV!$A$2:$J$250,7,FALSE),""))</f>
        <v/>
      </c>
      <c r="F38" s="76" t="str">
        <f>IF(A38="","",IFERROR(VLOOKUP(A38,Clientes_PDV!$A$2:$J$250,8,FALSE),""))</f>
        <v/>
      </c>
      <c r="G38" s="77" t="str">
        <f t="shared" ca="1" si="0"/>
        <v/>
      </c>
      <c r="H38" s="75" t="str">
        <f>IF(A38="","",IF(F38="","Sin visita",IF(G38&lt;=IFERROR(VLOOKUP(E38,Inicio!$A$24:$B$26,2,FALSE),0),"Vigente","Atrasado")))</f>
        <v/>
      </c>
      <c r="I38" s="78" t="str">
        <f ca="1">IF(A38="","",SUMIFS(Ventas_SellIn!$L$2:$L$800,Ventas_SellIn!$D$2:$D$800,A38,Ventas_SellIn!$B$2:$B$800,"&gt;="&amp;TODAY()-Inicio!$B$14))</f>
        <v/>
      </c>
      <c r="J38" s="77" t="str">
        <f ca="1">IF(A38="","",SUMIFS(SellOut_Jumbo!$F$2:$F$800,SellOut_Jumbo!$C$2:$C$800,D38,SellOut_Jumbo!$A$2:$A$800,"&gt;="&amp;TODAY()-Inicio!$B$14))</f>
        <v/>
      </c>
      <c r="K38" s="75" t="str">
        <f>IF(A38="","",IF(I38=0,"Sin venta",IF(I38&lt;Inicio!$B$15,"Venta baja","Venta OK")))</f>
        <v/>
      </c>
      <c r="L38" s="77" t="str">
        <f>IF(A38="","",COUNTIFS(Ventas_SellIn!$D$2:$D$800,A38,Ventas_SellIn!$R$2:$R$800,"&gt;0"))</f>
        <v/>
      </c>
      <c r="M38" s="78" t="str">
        <f>IF(A38="","",SUMIFS(Ventas_SellIn!$R$2:$R$800,Ventas_SellIn!$D$2:$D$800,A38))</f>
        <v/>
      </c>
      <c r="N38" s="75" t="str">
        <f>IF(A38="","",IF(M38&gt;=Inicio!$B$18,"Pendiente relevante",IF(M38&gt;0,"Pendiente menor","Sin deuda")))</f>
        <v/>
      </c>
      <c r="O38" s="79" t="str">
        <f>IF(A38="","",SUMIFS(Stock_PDV!$H$2:$H$800,Stock_PDV!$A$2:$A$800,A38))</f>
        <v/>
      </c>
      <c r="P38" s="75" t="str">
        <f>IF(A38="","",IF(O38&lt;=Inicio!$B$16,"Crítico",IF(O38&lt;=Inicio!$B$17,"Observar","OK")))</f>
        <v/>
      </c>
      <c r="Q38" s="75" t="str">
        <f t="shared" si="1"/>
        <v/>
      </c>
      <c r="R38" s="75" t="str">
        <f t="shared" si="3"/>
        <v/>
      </c>
      <c r="S38" s="68" t="str">
        <f t="shared" si="2"/>
        <v/>
      </c>
      <c r="T38" s="68" t="str">
        <f>IF(A38="","",IFERROR(VLOOKUP(A38,Clientes_PDV!$A$2:$K$250,11,FALSE),""))</f>
        <v/>
      </c>
    </row>
    <row r="39" spans="1:20" ht="20" customHeight="1" x14ac:dyDescent="0.35">
      <c r="A39" s="80" t="str">
        <f>IF(Clientes_PDV!A39="","",Clientes_PDV!A39)</f>
        <v/>
      </c>
      <c r="B39" s="80" t="str">
        <f>IF(A39="","",IFERROR(VLOOKUP(A39,Clientes_PDV!$A$2:$J$250,2,FALSE),""))</f>
        <v/>
      </c>
      <c r="C39" s="80" t="str">
        <f>IF(A39="","",IFERROR(VLOOKUP(A39,Clientes_PDV!$A$2:$J$250,3,FALSE),""))</f>
        <v/>
      </c>
      <c r="D39" s="80" t="str">
        <f>IF(A39="","",IFERROR(VLOOKUP(A39,Clientes_PDV!$A$2:$J$250,4,FALSE),""))</f>
        <v/>
      </c>
      <c r="E39" s="80" t="str">
        <f>IF(A39="","",IFERROR(VLOOKUP(A39,Clientes_PDV!$A$2:$J$250,7,FALSE),""))</f>
        <v/>
      </c>
      <c r="F39" s="81" t="str">
        <f>IF(A39="","",IFERROR(VLOOKUP(A39,Clientes_PDV!$A$2:$J$250,8,FALSE),""))</f>
        <v/>
      </c>
      <c r="G39" s="82" t="str">
        <f t="shared" ca="1" si="0"/>
        <v/>
      </c>
      <c r="H39" s="80" t="str">
        <f>IF(A39="","",IF(F39="","Sin visita",IF(G39&lt;=IFERROR(VLOOKUP(E39,Inicio!$A$24:$B$26,2,FALSE),0),"Vigente","Atrasado")))</f>
        <v/>
      </c>
      <c r="I39" s="83" t="str">
        <f ca="1">IF(A39="","",SUMIFS(Ventas_SellIn!$L$2:$L$800,Ventas_SellIn!$D$2:$D$800,A39,Ventas_SellIn!$B$2:$B$800,"&gt;="&amp;TODAY()-Inicio!$B$14))</f>
        <v/>
      </c>
      <c r="J39" s="82" t="str">
        <f ca="1">IF(A39="","",SUMIFS(SellOut_Jumbo!$F$2:$F$800,SellOut_Jumbo!$C$2:$C$800,D39,SellOut_Jumbo!$A$2:$A$800,"&gt;="&amp;TODAY()-Inicio!$B$14))</f>
        <v/>
      </c>
      <c r="K39" s="80" t="str">
        <f>IF(A39="","",IF(I39=0,"Sin venta",IF(I39&lt;Inicio!$B$15,"Venta baja","Venta OK")))</f>
        <v/>
      </c>
      <c r="L39" s="82" t="str">
        <f>IF(A39="","",COUNTIFS(Ventas_SellIn!$D$2:$D$800,A39,Ventas_SellIn!$R$2:$R$800,"&gt;0"))</f>
        <v/>
      </c>
      <c r="M39" s="83" t="str">
        <f>IF(A39="","",SUMIFS(Ventas_SellIn!$R$2:$R$800,Ventas_SellIn!$D$2:$D$800,A39))</f>
        <v/>
      </c>
      <c r="N39" s="80" t="str">
        <f>IF(A39="","",IF(M39&gt;=Inicio!$B$18,"Pendiente relevante",IF(M39&gt;0,"Pendiente menor","Sin deuda")))</f>
        <v/>
      </c>
      <c r="O39" s="84" t="str">
        <f>IF(A39="","",SUMIFS(Stock_PDV!$H$2:$H$800,Stock_PDV!$A$2:$A$800,A39))</f>
        <v/>
      </c>
      <c r="P39" s="80" t="str">
        <f>IF(A39="","",IF(O39&lt;=Inicio!$B$16,"Crítico",IF(O39&lt;=Inicio!$B$17,"Observar","OK")))</f>
        <v/>
      </c>
      <c r="Q39" s="80" t="str">
        <f t="shared" si="1"/>
        <v/>
      </c>
      <c r="R39" s="80" t="str">
        <f t="shared" si="3"/>
        <v/>
      </c>
      <c r="S39" s="70" t="str">
        <f t="shared" si="2"/>
        <v/>
      </c>
      <c r="T39" s="70" t="str">
        <f>IF(A39="","",IFERROR(VLOOKUP(A39,Clientes_PDV!$A$2:$K$250,11,FALSE),""))</f>
        <v/>
      </c>
    </row>
    <row r="40" spans="1:20" ht="20" customHeight="1" x14ac:dyDescent="0.35">
      <c r="A40" s="75" t="str">
        <f>IF(Clientes_PDV!A40="","",Clientes_PDV!A40)</f>
        <v/>
      </c>
      <c r="B40" s="75" t="str">
        <f>IF(A40="","",IFERROR(VLOOKUP(A40,Clientes_PDV!$A$2:$J$250,2,FALSE),""))</f>
        <v/>
      </c>
      <c r="C40" s="75" t="str">
        <f>IF(A40="","",IFERROR(VLOOKUP(A40,Clientes_PDV!$A$2:$J$250,3,FALSE),""))</f>
        <v/>
      </c>
      <c r="D40" s="75" t="str">
        <f>IF(A40="","",IFERROR(VLOOKUP(A40,Clientes_PDV!$A$2:$J$250,4,FALSE),""))</f>
        <v/>
      </c>
      <c r="E40" s="75" t="str">
        <f>IF(A40="","",IFERROR(VLOOKUP(A40,Clientes_PDV!$A$2:$J$250,7,FALSE),""))</f>
        <v/>
      </c>
      <c r="F40" s="76" t="str">
        <f>IF(A40="","",IFERROR(VLOOKUP(A40,Clientes_PDV!$A$2:$J$250,8,FALSE),""))</f>
        <v/>
      </c>
      <c r="G40" s="77" t="str">
        <f t="shared" ca="1" si="0"/>
        <v/>
      </c>
      <c r="H40" s="75" t="str">
        <f>IF(A40="","",IF(F40="","Sin visita",IF(G40&lt;=IFERROR(VLOOKUP(E40,Inicio!$A$24:$B$26,2,FALSE),0),"Vigente","Atrasado")))</f>
        <v/>
      </c>
      <c r="I40" s="78" t="str">
        <f ca="1">IF(A40="","",SUMIFS(Ventas_SellIn!$L$2:$L$800,Ventas_SellIn!$D$2:$D$800,A40,Ventas_SellIn!$B$2:$B$800,"&gt;="&amp;TODAY()-Inicio!$B$14))</f>
        <v/>
      </c>
      <c r="J40" s="77" t="str">
        <f ca="1">IF(A40="","",SUMIFS(SellOut_Jumbo!$F$2:$F$800,SellOut_Jumbo!$C$2:$C$800,D40,SellOut_Jumbo!$A$2:$A$800,"&gt;="&amp;TODAY()-Inicio!$B$14))</f>
        <v/>
      </c>
      <c r="K40" s="75" t="str">
        <f>IF(A40="","",IF(I40=0,"Sin venta",IF(I40&lt;Inicio!$B$15,"Venta baja","Venta OK")))</f>
        <v/>
      </c>
      <c r="L40" s="77" t="str">
        <f>IF(A40="","",COUNTIFS(Ventas_SellIn!$D$2:$D$800,A40,Ventas_SellIn!$R$2:$R$800,"&gt;0"))</f>
        <v/>
      </c>
      <c r="M40" s="78" t="str">
        <f>IF(A40="","",SUMIFS(Ventas_SellIn!$R$2:$R$800,Ventas_SellIn!$D$2:$D$800,A40))</f>
        <v/>
      </c>
      <c r="N40" s="75" t="str">
        <f>IF(A40="","",IF(M40&gt;=Inicio!$B$18,"Pendiente relevante",IF(M40&gt;0,"Pendiente menor","Sin deuda")))</f>
        <v/>
      </c>
      <c r="O40" s="79" t="str">
        <f>IF(A40="","",SUMIFS(Stock_PDV!$H$2:$H$800,Stock_PDV!$A$2:$A$800,A40))</f>
        <v/>
      </c>
      <c r="P40" s="75" t="str">
        <f>IF(A40="","",IF(O40&lt;=Inicio!$B$16,"Crítico",IF(O40&lt;=Inicio!$B$17,"Observar","OK")))</f>
        <v/>
      </c>
      <c r="Q40" s="75" t="str">
        <f t="shared" si="1"/>
        <v/>
      </c>
      <c r="R40" s="75" t="str">
        <f t="shared" si="3"/>
        <v/>
      </c>
      <c r="S40" s="68" t="str">
        <f t="shared" si="2"/>
        <v/>
      </c>
      <c r="T40" s="68" t="str">
        <f>IF(A40="","",IFERROR(VLOOKUP(A40,Clientes_PDV!$A$2:$K$250,11,FALSE),""))</f>
        <v/>
      </c>
    </row>
    <row r="41" spans="1:20" ht="20" customHeight="1" x14ac:dyDescent="0.35">
      <c r="A41" s="80" t="str">
        <f>IF(Clientes_PDV!A41="","",Clientes_PDV!A41)</f>
        <v/>
      </c>
      <c r="B41" s="80" t="str">
        <f>IF(A41="","",IFERROR(VLOOKUP(A41,Clientes_PDV!$A$2:$J$250,2,FALSE),""))</f>
        <v/>
      </c>
      <c r="C41" s="80" t="str">
        <f>IF(A41="","",IFERROR(VLOOKUP(A41,Clientes_PDV!$A$2:$J$250,3,FALSE),""))</f>
        <v/>
      </c>
      <c r="D41" s="80" t="str">
        <f>IF(A41="","",IFERROR(VLOOKUP(A41,Clientes_PDV!$A$2:$J$250,4,FALSE),""))</f>
        <v/>
      </c>
      <c r="E41" s="80" t="str">
        <f>IF(A41="","",IFERROR(VLOOKUP(A41,Clientes_PDV!$A$2:$J$250,7,FALSE),""))</f>
        <v/>
      </c>
      <c r="F41" s="81" t="str">
        <f>IF(A41="","",IFERROR(VLOOKUP(A41,Clientes_PDV!$A$2:$J$250,8,FALSE),""))</f>
        <v/>
      </c>
      <c r="G41" s="82" t="str">
        <f t="shared" ca="1" si="0"/>
        <v/>
      </c>
      <c r="H41" s="80" t="str">
        <f>IF(A41="","",IF(F41="","Sin visita",IF(G41&lt;=IFERROR(VLOOKUP(E41,Inicio!$A$24:$B$26,2,FALSE),0),"Vigente","Atrasado")))</f>
        <v/>
      </c>
      <c r="I41" s="83" t="str">
        <f ca="1">IF(A41="","",SUMIFS(Ventas_SellIn!$L$2:$L$800,Ventas_SellIn!$D$2:$D$800,A41,Ventas_SellIn!$B$2:$B$800,"&gt;="&amp;TODAY()-Inicio!$B$14))</f>
        <v/>
      </c>
      <c r="J41" s="82" t="str">
        <f ca="1">IF(A41="","",SUMIFS(SellOut_Jumbo!$F$2:$F$800,SellOut_Jumbo!$C$2:$C$800,D41,SellOut_Jumbo!$A$2:$A$800,"&gt;="&amp;TODAY()-Inicio!$B$14))</f>
        <v/>
      </c>
      <c r="K41" s="80" t="str">
        <f>IF(A41="","",IF(I41=0,"Sin venta",IF(I41&lt;Inicio!$B$15,"Venta baja","Venta OK")))</f>
        <v/>
      </c>
      <c r="L41" s="82" t="str">
        <f>IF(A41="","",COUNTIFS(Ventas_SellIn!$D$2:$D$800,A41,Ventas_SellIn!$R$2:$R$800,"&gt;0"))</f>
        <v/>
      </c>
      <c r="M41" s="83" t="str">
        <f>IF(A41="","",SUMIFS(Ventas_SellIn!$R$2:$R$800,Ventas_SellIn!$D$2:$D$800,A41))</f>
        <v/>
      </c>
      <c r="N41" s="80" t="str">
        <f>IF(A41="","",IF(M41&gt;=Inicio!$B$18,"Pendiente relevante",IF(M41&gt;0,"Pendiente menor","Sin deuda")))</f>
        <v/>
      </c>
      <c r="O41" s="84" t="str">
        <f>IF(A41="","",SUMIFS(Stock_PDV!$H$2:$H$800,Stock_PDV!$A$2:$A$800,A41))</f>
        <v/>
      </c>
      <c r="P41" s="80" t="str">
        <f>IF(A41="","",IF(O41&lt;=Inicio!$B$16,"Crítico",IF(O41&lt;=Inicio!$B$17,"Observar","OK")))</f>
        <v/>
      </c>
      <c r="Q41" s="80" t="str">
        <f t="shared" si="1"/>
        <v/>
      </c>
      <c r="R41" s="80" t="str">
        <f t="shared" si="3"/>
        <v/>
      </c>
      <c r="S41" s="70" t="str">
        <f t="shared" si="2"/>
        <v/>
      </c>
      <c r="T41" s="70" t="str">
        <f>IF(A41="","",IFERROR(VLOOKUP(A41,Clientes_PDV!$A$2:$K$250,11,FALSE),""))</f>
        <v/>
      </c>
    </row>
    <row r="42" spans="1:20" ht="20" customHeight="1" x14ac:dyDescent="0.35">
      <c r="A42" s="75" t="str">
        <f>IF(Clientes_PDV!A42="","",Clientes_PDV!A42)</f>
        <v/>
      </c>
      <c r="B42" s="75" t="str">
        <f>IF(A42="","",IFERROR(VLOOKUP(A42,Clientes_PDV!$A$2:$J$250,2,FALSE),""))</f>
        <v/>
      </c>
      <c r="C42" s="75" t="str">
        <f>IF(A42="","",IFERROR(VLOOKUP(A42,Clientes_PDV!$A$2:$J$250,3,FALSE),""))</f>
        <v/>
      </c>
      <c r="D42" s="75" t="str">
        <f>IF(A42="","",IFERROR(VLOOKUP(A42,Clientes_PDV!$A$2:$J$250,4,FALSE),""))</f>
        <v/>
      </c>
      <c r="E42" s="75" t="str">
        <f>IF(A42="","",IFERROR(VLOOKUP(A42,Clientes_PDV!$A$2:$J$250,7,FALSE),""))</f>
        <v/>
      </c>
      <c r="F42" s="76" t="str">
        <f>IF(A42="","",IFERROR(VLOOKUP(A42,Clientes_PDV!$A$2:$J$250,8,FALSE),""))</f>
        <v/>
      </c>
      <c r="G42" s="77" t="str">
        <f t="shared" ca="1" si="0"/>
        <v/>
      </c>
      <c r="H42" s="75" t="str">
        <f>IF(A42="","",IF(F42="","Sin visita",IF(G42&lt;=IFERROR(VLOOKUP(E42,Inicio!$A$24:$B$26,2,FALSE),0),"Vigente","Atrasado")))</f>
        <v/>
      </c>
      <c r="I42" s="78" t="str">
        <f ca="1">IF(A42="","",SUMIFS(Ventas_SellIn!$L$2:$L$800,Ventas_SellIn!$D$2:$D$800,A42,Ventas_SellIn!$B$2:$B$800,"&gt;="&amp;TODAY()-Inicio!$B$14))</f>
        <v/>
      </c>
      <c r="J42" s="77" t="str">
        <f ca="1">IF(A42="","",SUMIFS(SellOut_Jumbo!$F$2:$F$800,SellOut_Jumbo!$C$2:$C$800,D42,SellOut_Jumbo!$A$2:$A$800,"&gt;="&amp;TODAY()-Inicio!$B$14))</f>
        <v/>
      </c>
      <c r="K42" s="75" t="str">
        <f>IF(A42="","",IF(I42=0,"Sin venta",IF(I42&lt;Inicio!$B$15,"Venta baja","Venta OK")))</f>
        <v/>
      </c>
      <c r="L42" s="77" t="str">
        <f>IF(A42="","",COUNTIFS(Ventas_SellIn!$D$2:$D$800,A42,Ventas_SellIn!$R$2:$R$800,"&gt;0"))</f>
        <v/>
      </c>
      <c r="M42" s="78" t="str">
        <f>IF(A42="","",SUMIFS(Ventas_SellIn!$R$2:$R$800,Ventas_SellIn!$D$2:$D$800,A42))</f>
        <v/>
      </c>
      <c r="N42" s="75" t="str">
        <f>IF(A42="","",IF(M42&gt;=Inicio!$B$18,"Pendiente relevante",IF(M42&gt;0,"Pendiente menor","Sin deuda")))</f>
        <v/>
      </c>
      <c r="O42" s="79" t="str">
        <f>IF(A42="","",SUMIFS(Stock_PDV!$H$2:$H$800,Stock_PDV!$A$2:$A$800,A42))</f>
        <v/>
      </c>
      <c r="P42" s="75" t="str">
        <f>IF(A42="","",IF(O42&lt;=Inicio!$B$16,"Crítico",IF(O42&lt;=Inicio!$B$17,"Observar","OK")))</f>
        <v/>
      </c>
      <c r="Q42" s="75" t="str">
        <f t="shared" si="1"/>
        <v/>
      </c>
      <c r="R42" s="75" t="str">
        <f t="shared" si="3"/>
        <v/>
      </c>
      <c r="S42" s="68" t="str">
        <f t="shared" si="2"/>
        <v/>
      </c>
      <c r="T42" s="68" t="str">
        <f>IF(A42="","",IFERROR(VLOOKUP(A42,Clientes_PDV!$A$2:$K$250,11,FALSE),""))</f>
        <v/>
      </c>
    </row>
    <row r="43" spans="1:20" ht="20" customHeight="1" x14ac:dyDescent="0.35">
      <c r="A43" s="80" t="str">
        <f>IF(Clientes_PDV!A43="","",Clientes_PDV!A43)</f>
        <v/>
      </c>
      <c r="B43" s="80" t="str">
        <f>IF(A43="","",IFERROR(VLOOKUP(A43,Clientes_PDV!$A$2:$J$250,2,FALSE),""))</f>
        <v/>
      </c>
      <c r="C43" s="80" t="str">
        <f>IF(A43="","",IFERROR(VLOOKUP(A43,Clientes_PDV!$A$2:$J$250,3,FALSE),""))</f>
        <v/>
      </c>
      <c r="D43" s="80" t="str">
        <f>IF(A43="","",IFERROR(VLOOKUP(A43,Clientes_PDV!$A$2:$J$250,4,FALSE),""))</f>
        <v/>
      </c>
      <c r="E43" s="80" t="str">
        <f>IF(A43="","",IFERROR(VLOOKUP(A43,Clientes_PDV!$A$2:$J$250,7,FALSE),""))</f>
        <v/>
      </c>
      <c r="F43" s="81" t="str">
        <f>IF(A43="","",IFERROR(VLOOKUP(A43,Clientes_PDV!$A$2:$J$250,8,FALSE),""))</f>
        <v/>
      </c>
      <c r="G43" s="82" t="str">
        <f t="shared" ca="1" si="0"/>
        <v/>
      </c>
      <c r="H43" s="80" t="str">
        <f>IF(A43="","",IF(F43="","Sin visita",IF(G43&lt;=IFERROR(VLOOKUP(E43,Inicio!$A$24:$B$26,2,FALSE),0),"Vigente","Atrasado")))</f>
        <v/>
      </c>
      <c r="I43" s="83" t="str">
        <f ca="1">IF(A43="","",SUMIFS(Ventas_SellIn!$L$2:$L$800,Ventas_SellIn!$D$2:$D$800,A43,Ventas_SellIn!$B$2:$B$800,"&gt;="&amp;TODAY()-Inicio!$B$14))</f>
        <v/>
      </c>
      <c r="J43" s="82" t="str">
        <f ca="1">IF(A43="","",SUMIFS(SellOut_Jumbo!$F$2:$F$800,SellOut_Jumbo!$C$2:$C$800,D43,SellOut_Jumbo!$A$2:$A$800,"&gt;="&amp;TODAY()-Inicio!$B$14))</f>
        <v/>
      </c>
      <c r="K43" s="80" t="str">
        <f>IF(A43="","",IF(I43=0,"Sin venta",IF(I43&lt;Inicio!$B$15,"Venta baja","Venta OK")))</f>
        <v/>
      </c>
      <c r="L43" s="82" t="str">
        <f>IF(A43="","",COUNTIFS(Ventas_SellIn!$D$2:$D$800,A43,Ventas_SellIn!$R$2:$R$800,"&gt;0"))</f>
        <v/>
      </c>
      <c r="M43" s="83" t="str">
        <f>IF(A43="","",SUMIFS(Ventas_SellIn!$R$2:$R$800,Ventas_SellIn!$D$2:$D$800,A43))</f>
        <v/>
      </c>
      <c r="N43" s="80" t="str">
        <f>IF(A43="","",IF(M43&gt;=Inicio!$B$18,"Pendiente relevante",IF(M43&gt;0,"Pendiente menor","Sin deuda")))</f>
        <v/>
      </c>
      <c r="O43" s="84" t="str">
        <f>IF(A43="","",SUMIFS(Stock_PDV!$H$2:$H$800,Stock_PDV!$A$2:$A$800,A43))</f>
        <v/>
      </c>
      <c r="P43" s="80" t="str">
        <f>IF(A43="","",IF(O43&lt;=Inicio!$B$16,"Crítico",IF(O43&lt;=Inicio!$B$17,"Observar","OK")))</f>
        <v/>
      </c>
      <c r="Q43" s="80" t="str">
        <f t="shared" si="1"/>
        <v/>
      </c>
      <c r="R43" s="80" t="str">
        <f t="shared" si="3"/>
        <v/>
      </c>
      <c r="S43" s="70" t="str">
        <f t="shared" si="2"/>
        <v/>
      </c>
      <c r="T43" s="70" t="str">
        <f>IF(A43="","",IFERROR(VLOOKUP(A43,Clientes_PDV!$A$2:$K$250,11,FALSE),""))</f>
        <v/>
      </c>
    </row>
    <row r="44" spans="1:20" ht="20" customHeight="1" x14ac:dyDescent="0.35">
      <c r="A44" s="75" t="str">
        <f>IF(Clientes_PDV!A44="","",Clientes_PDV!A44)</f>
        <v/>
      </c>
      <c r="B44" s="75" t="str">
        <f>IF(A44="","",IFERROR(VLOOKUP(A44,Clientes_PDV!$A$2:$J$250,2,FALSE),""))</f>
        <v/>
      </c>
      <c r="C44" s="75" t="str">
        <f>IF(A44="","",IFERROR(VLOOKUP(A44,Clientes_PDV!$A$2:$J$250,3,FALSE),""))</f>
        <v/>
      </c>
      <c r="D44" s="75" t="str">
        <f>IF(A44="","",IFERROR(VLOOKUP(A44,Clientes_PDV!$A$2:$J$250,4,FALSE),""))</f>
        <v/>
      </c>
      <c r="E44" s="75" t="str">
        <f>IF(A44="","",IFERROR(VLOOKUP(A44,Clientes_PDV!$A$2:$J$250,7,FALSE),""))</f>
        <v/>
      </c>
      <c r="F44" s="76" t="str">
        <f>IF(A44="","",IFERROR(VLOOKUP(A44,Clientes_PDV!$A$2:$J$250,8,FALSE),""))</f>
        <v/>
      </c>
      <c r="G44" s="77" t="str">
        <f t="shared" ca="1" si="0"/>
        <v/>
      </c>
      <c r="H44" s="75" t="str">
        <f>IF(A44="","",IF(F44="","Sin visita",IF(G44&lt;=IFERROR(VLOOKUP(E44,Inicio!$A$24:$B$26,2,FALSE),0),"Vigente","Atrasado")))</f>
        <v/>
      </c>
      <c r="I44" s="78" t="str">
        <f ca="1">IF(A44="","",SUMIFS(Ventas_SellIn!$L$2:$L$800,Ventas_SellIn!$D$2:$D$800,A44,Ventas_SellIn!$B$2:$B$800,"&gt;="&amp;TODAY()-Inicio!$B$14))</f>
        <v/>
      </c>
      <c r="J44" s="77" t="str">
        <f ca="1">IF(A44="","",SUMIFS(SellOut_Jumbo!$F$2:$F$800,SellOut_Jumbo!$C$2:$C$800,D44,SellOut_Jumbo!$A$2:$A$800,"&gt;="&amp;TODAY()-Inicio!$B$14))</f>
        <v/>
      </c>
      <c r="K44" s="75" t="str">
        <f>IF(A44="","",IF(I44=0,"Sin venta",IF(I44&lt;Inicio!$B$15,"Venta baja","Venta OK")))</f>
        <v/>
      </c>
      <c r="L44" s="77" t="str">
        <f>IF(A44="","",COUNTIFS(Ventas_SellIn!$D$2:$D$800,A44,Ventas_SellIn!$R$2:$R$800,"&gt;0"))</f>
        <v/>
      </c>
      <c r="M44" s="78" t="str">
        <f>IF(A44="","",SUMIFS(Ventas_SellIn!$R$2:$R$800,Ventas_SellIn!$D$2:$D$800,A44))</f>
        <v/>
      </c>
      <c r="N44" s="75" t="str">
        <f>IF(A44="","",IF(M44&gt;=Inicio!$B$18,"Pendiente relevante",IF(M44&gt;0,"Pendiente menor","Sin deuda")))</f>
        <v/>
      </c>
      <c r="O44" s="79" t="str">
        <f>IF(A44="","",SUMIFS(Stock_PDV!$H$2:$H$800,Stock_PDV!$A$2:$A$800,A44))</f>
        <v/>
      </c>
      <c r="P44" s="75" t="str">
        <f>IF(A44="","",IF(O44&lt;=Inicio!$B$16,"Crítico",IF(O44&lt;=Inicio!$B$17,"Observar","OK")))</f>
        <v/>
      </c>
      <c r="Q44" s="75" t="str">
        <f t="shared" si="1"/>
        <v/>
      </c>
      <c r="R44" s="75" t="str">
        <f t="shared" si="3"/>
        <v/>
      </c>
      <c r="S44" s="68" t="str">
        <f t="shared" si="2"/>
        <v/>
      </c>
      <c r="T44" s="68" t="str">
        <f>IF(A44="","",IFERROR(VLOOKUP(A44,Clientes_PDV!$A$2:$K$250,11,FALSE),""))</f>
        <v/>
      </c>
    </row>
    <row r="45" spans="1:20" ht="20" customHeight="1" x14ac:dyDescent="0.35">
      <c r="A45" s="80" t="str">
        <f>IF(Clientes_PDV!A45="","",Clientes_PDV!A45)</f>
        <v/>
      </c>
      <c r="B45" s="80" t="str">
        <f>IF(A45="","",IFERROR(VLOOKUP(A45,Clientes_PDV!$A$2:$J$250,2,FALSE),""))</f>
        <v/>
      </c>
      <c r="C45" s="80" t="str">
        <f>IF(A45="","",IFERROR(VLOOKUP(A45,Clientes_PDV!$A$2:$J$250,3,FALSE),""))</f>
        <v/>
      </c>
      <c r="D45" s="80" t="str">
        <f>IF(A45="","",IFERROR(VLOOKUP(A45,Clientes_PDV!$A$2:$J$250,4,FALSE),""))</f>
        <v/>
      </c>
      <c r="E45" s="80" t="str">
        <f>IF(A45="","",IFERROR(VLOOKUP(A45,Clientes_PDV!$A$2:$J$250,7,FALSE),""))</f>
        <v/>
      </c>
      <c r="F45" s="81" t="str">
        <f>IF(A45="","",IFERROR(VLOOKUP(A45,Clientes_PDV!$A$2:$J$250,8,FALSE),""))</f>
        <v/>
      </c>
      <c r="G45" s="82" t="str">
        <f t="shared" ca="1" si="0"/>
        <v/>
      </c>
      <c r="H45" s="80" t="str">
        <f>IF(A45="","",IF(F45="","Sin visita",IF(G45&lt;=IFERROR(VLOOKUP(E45,Inicio!$A$24:$B$26,2,FALSE),0),"Vigente","Atrasado")))</f>
        <v/>
      </c>
      <c r="I45" s="83" t="str">
        <f ca="1">IF(A45="","",SUMIFS(Ventas_SellIn!$L$2:$L$800,Ventas_SellIn!$D$2:$D$800,A45,Ventas_SellIn!$B$2:$B$800,"&gt;="&amp;TODAY()-Inicio!$B$14))</f>
        <v/>
      </c>
      <c r="J45" s="82" t="str">
        <f ca="1">IF(A45="","",SUMIFS(SellOut_Jumbo!$F$2:$F$800,SellOut_Jumbo!$C$2:$C$800,D45,SellOut_Jumbo!$A$2:$A$800,"&gt;="&amp;TODAY()-Inicio!$B$14))</f>
        <v/>
      </c>
      <c r="K45" s="80" t="str">
        <f>IF(A45="","",IF(I45=0,"Sin venta",IF(I45&lt;Inicio!$B$15,"Venta baja","Venta OK")))</f>
        <v/>
      </c>
      <c r="L45" s="82" t="str">
        <f>IF(A45="","",COUNTIFS(Ventas_SellIn!$D$2:$D$800,A45,Ventas_SellIn!$R$2:$R$800,"&gt;0"))</f>
        <v/>
      </c>
      <c r="M45" s="83" t="str">
        <f>IF(A45="","",SUMIFS(Ventas_SellIn!$R$2:$R$800,Ventas_SellIn!$D$2:$D$800,A45))</f>
        <v/>
      </c>
      <c r="N45" s="80" t="str">
        <f>IF(A45="","",IF(M45&gt;=Inicio!$B$18,"Pendiente relevante",IF(M45&gt;0,"Pendiente menor","Sin deuda")))</f>
        <v/>
      </c>
      <c r="O45" s="84" t="str">
        <f>IF(A45="","",SUMIFS(Stock_PDV!$H$2:$H$800,Stock_PDV!$A$2:$A$800,A45))</f>
        <v/>
      </c>
      <c r="P45" s="80" t="str">
        <f>IF(A45="","",IF(O45&lt;=Inicio!$B$16,"Crítico",IF(O45&lt;=Inicio!$B$17,"Observar","OK")))</f>
        <v/>
      </c>
      <c r="Q45" s="80" t="str">
        <f t="shared" si="1"/>
        <v/>
      </c>
      <c r="R45" s="80" t="str">
        <f t="shared" si="3"/>
        <v/>
      </c>
      <c r="S45" s="70" t="str">
        <f t="shared" si="2"/>
        <v/>
      </c>
      <c r="T45" s="70" t="str">
        <f>IF(A45="","",IFERROR(VLOOKUP(A45,Clientes_PDV!$A$2:$K$250,11,FALSE),""))</f>
        <v/>
      </c>
    </row>
    <row r="46" spans="1:20" ht="20" customHeight="1" x14ac:dyDescent="0.35">
      <c r="A46" s="75" t="str">
        <f>IF(Clientes_PDV!A46="","",Clientes_PDV!A46)</f>
        <v/>
      </c>
      <c r="B46" s="75" t="str">
        <f>IF(A46="","",IFERROR(VLOOKUP(A46,Clientes_PDV!$A$2:$J$250,2,FALSE),""))</f>
        <v/>
      </c>
      <c r="C46" s="75" t="str">
        <f>IF(A46="","",IFERROR(VLOOKUP(A46,Clientes_PDV!$A$2:$J$250,3,FALSE),""))</f>
        <v/>
      </c>
      <c r="D46" s="75" t="str">
        <f>IF(A46="","",IFERROR(VLOOKUP(A46,Clientes_PDV!$A$2:$J$250,4,FALSE),""))</f>
        <v/>
      </c>
      <c r="E46" s="75" t="str">
        <f>IF(A46="","",IFERROR(VLOOKUP(A46,Clientes_PDV!$A$2:$J$250,7,FALSE),""))</f>
        <v/>
      </c>
      <c r="F46" s="76" t="str">
        <f>IF(A46="","",IFERROR(VLOOKUP(A46,Clientes_PDV!$A$2:$J$250,8,FALSE),""))</f>
        <v/>
      </c>
      <c r="G46" s="77" t="str">
        <f t="shared" ca="1" si="0"/>
        <v/>
      </c>
      <c r="H46" s="75" t="str">
        <f>IF(A46="","",IF(F46="","Sin visita",IF(G46&lt;=IFERROR(VLOOKUP(E46,Inicio!$A$24:$B$26,2,FALSE),0),"Vigente","Atrasado")))</f>
        <v/>
      </c>
      <c r="I46" s="78" t="str">
        <f ca="1">IF(A46="","",SUMIFS(Ventas_SellIn!$L$2:$L$800,Ventas_SellIn!$D$2:$D$800,A46,Ventas_SellIn!$B$2:$B$800,"&gt;="&amp;TODAY()-Inicio!$B$14))</f>
        <v/>
      </c>
      <c r="J46" s="77" t="str">
        <f ca="1">IF(A46="","",SUMIFS(SellOut_Jumbo!$F$2:$F$800,SellOut_Jumbo!$C$2:$C$800,D46,SellOut_Jumbo!$A$2:$A$800,"&gt;="&amp;TODAY()-Inicio!$B$14))</f>
        <v/>
      </c>
      <c r="K46" s="75" t="str">
        <f>IF(A46="","",IF(I46=0,"Sin venta",IF(I46&lt;Inicio!$B$15,"Venta baja","Venta OK")))</f>
        <v/>
      </c>
      <c r="L46" s="77" t="str">
        <f>IF(A46="","",COUNTIFS(Ventas_SellIn!$D$2:$D$800,A46,Ventas_SellIn!$R$2:$R$800,"&gt;0"))</f>
        <v/>
      </c>
      <c r="M46" s="78" t="str">
        <f>IF(A46="","",SUMIFS(Ventas_SellIn!$R$2:$R$800,Ventas_SellIn!$D$2:$D$800,A46))</f>
        <v/>
      </c>
      <c r="N46" s="75" t="str">
        <f>IF(A46="","",IF(M46&gt;=Inicio!$B$18,"Pendiente relevante",IF(M46&gt;0,"Pendiente menor","Sin deuda")))</f>
        <v/>
      </c>
      <c r="O46" s="79" t="str">
        <f>IF(A46="","",SUMIFS(Stock_PDV!$H$2:$H$800,Stock_PDV!$A$2:$A$800,A46))</f>
        <v/>
      </c>
      <c r="P46" s="75" t="str">
        <f>IF(A46="","",IF(O46&lt;=Inicio!$B$16,"Crítico",IF(O46&lt;=Inicio!$B$17,"Observar","OK")))</f>
        <v/>
      </c>
      <c r="Q46" s="75" t="str">
        <f t="shared" si="1"/>
        <v/>
      </c>
      <c r="R46" s="75" t="str">
        <f t="shared" si="3"/>
        <v/>
      </c>
      <c r="S46" s="68" t="str">
        <f t="shared" si="2"/>
        <v/>
      </c>
      <c r="T46" s="68" t="str">
        <f>IF(A46="","",IFERROR(VLOOKUP(A46,Clientes_PDV!$A$2:$K$250,11,FALSE),""))</f>
        <v/>
      </c>
    </row>
    <row r="47" spans="1:20" ht="20" customHeight="1" x14ac:dyDescent="0.35">
      <c r="A47" s="80" t="str">
        <f>IF(Clientes_PDV!A47="","",Clientes_PDV!A47)</f>
        <v/>
      </c>
      <c r="B47" s="80" t="str">
        <f>IF(A47="","",IFERROR(VLOOKUP(A47,Clientes_PDV!$A$2:$J$250,2,FALSE),""))</f>
        <v/>
      </c>
      <c r="C47" s="80" t="str">
        <f>IF(A47="","",IFERROR(VLOOKUP(A47,Clientes_PDV!$A$2:$J$250,3,FALSE),""))</f>
        <v/>
      </c>
      <c r="D47" s="80" t="str">
        <f>IF(A47="","",IFERROR(VLOOKUP(A47,Clientes_PDV!$A$2:$J$250,4,FALSE),""))</f>
        <v/>
      </c>
      <c r="E47" s="80" t="str">
        <f>IF(A47="","",IFERROR(VLOOKUP(A47,Clientes_PDV!$A$2:$J$250,7,FALSE),""))</f>
        <v/>
      </c>
      <c r="F47" s="81" t="str">
        <f>IF(A47="","",IFERROR(VLOOKUP(A47,Clientes_PDV!$A$2:$J$250,8,FALSE),""))</f>
        <v/>
      </c>
      <c r="G47" s="82" t="str">
        <f t="shared" ca="1" si="0"/>
        <v/>
      </c>
      <c r="H47" s="80" t="str">
        <f>IF(A47="","",IF(F47="","Sin visita",IF(G47&lt;=IFERROR(VLOOKUP(E47,Inicio!$A$24:$B$26,2,FALSE),0),"Vigente","Atrasado")))</f>
        <v/>
      </c>
      <c r="I47" s="83" t="str">
        <f ca="1">IF(A47="","",SUMIFS(Ventas_SellIn!$L$2:$L$800,Ventas_SellIn!$D$2:$D$800,A47,Ventas_SellIn!$B$2:$B$800,"&gt;="&amp;TODAY()-Inicio!$B$14))</f>
        <v/>
      </c>
      <c r="J47" s="82" t="str">
        <f ca="1">IF(A47="","",SUMIFS(SellOut_Jumbo!$F$2:$F$800,SellOut_Jumbo!$C$2:$C$800,D47,SellOut_Jumbo!$A$2:$A$800,"&gt;="&amp;TODAY()-Inicio!$B$14))</f>
        <v/>
      </c>
      <c r="K47" s="80" t="str">
        <f>IF(A47="","",IF(I47=0,"Sin venta",IF(I47&lt;Inicio!$B$15,"Venta baja","Venta OK")))</f>
        <v/>
      </c>
      <c r="L47" s="82" t="str">
        <f>IF(A47="","",COUNTIFS(Ventas_SellIn!$D$2:$D$800,A47,Ventas_SellIn!$R$2:$R$800,"&gt;0"))</f>
        <v/>
      </c>
      <c r="M47" s="83" t="str">
        <f>IF(A47="","",SUMIFS(Ventas_SellIn!$R$2:$R$800,Ventas_SellIn!$D$2:$D$800,A47))</f>
        <v/>
      </c>
      <c r="N47" s="80" t="str">
        <f>IF(A47="","",IF(M47&gt;=Inicio!$B$18,"Pendiente relevante",IF(M47&gt;0,"Pendiente menor","Sin deuda")))</f>
        <v/>
      </c>
      <c r="O47" s="84" t="str">
        <f>IF(A47="","",SUMIFS(Stock_PDV!$H$2:$H$800,Stock_PDV!$A$2:$A$800,A47))</f>
        <v/>
      </c>
      <c r="P47" s="80" t="str">
        <f>IF(A47="","",IF(O47&lt;=Inicio!$B$16,"Crítico",IF(O47&lt;=Inicio!$B$17,"Observar","OK")))</f>
        <v/>
      </c>
      <c r="Q47" s="80" t="str">
        <f t="shared" si="1"/>
        <v/>
      </c>
      <c r="R47" s="80" t="str">
        <f t="shared" si="3"/>
        <v/>
      </c>
      <c r="S47" s="70" t="str">
        <f t="shared" si="2"/>
        <v/>
      </c>
      <c r="T47" s="70" t="str">
        <f>IF(A47="","",IFERROR(VLOOKUP(A47,Clientes_PDV!$A$2:$K$250,11,FALSE),""))</f>
        <v/>
      </c>
    </row>
    <row r="48" spans="1:20" ht="20" customHeight="1" x14ac:dyDescent="0.35">
      <c r="A48" s="75" t="str">
        <f>IF(Clientes_PDV!A48="","",Clientes_PDV!A48)</f>
        <v/>
      </c>
      <c r="B48" s="75" t="str">
        <f>IF(A48="","",IFERROR(VLOOKUP(A48,Clientes_PDV!$A$2:$J$250,2,FALSE),""))</f>
        <v/>
      </c>
      <c r="C48" s="75" t="str">
        <f>IF(A48="","",IFERROR(VLOOKUP(A48,Clientes_PDV!$A$2:$J$250,3,FALSE),""))</f>
        <v/>
      </c>
      <c r="D48" s="75" t="str">
        <f>IF(A48="","",IFERROR(VLOOKUP(A48,Clientes_PDV!$A$2:$J$250,4,FALSE),""))</f>
        <v/>
      </c>
      <c r="E48" s="75" t="str">
        <f>IF(A48="","",IFERROR(VLOOKUP(A48,Clientes_PDV!$A$2:$J$250,7,FALSE),""))</f>
        <v/>
      </c>
      <c r="F48" s="76" t="str">
        <f>IF(A48="","",IFERROR(VLOOKUP(A48,Clientes_PDV!$A$2:$J$250,8,FALSE),""))</f>
        <v/>
      </c>
      <c r="G48" s="77" t="str">
        <f t="shared" ca="1" si="0"/>
        <v/>
      </c>
      <c r="H48" s="75" t="str">
        <f>IF(A48="","",IF(F48="","Sin visita",IF(G48&lt;=IFERROR(VLOOKUP(E48,Inicio!$A$24:$B$26,2,FALSE),0),"Vigente","Atrasado")))</f>
        <v/>
      </c>
      <c r="I48" s="78" t="str">
        <f ca="1">IF(A48="","",SUMIFS(Ventas_SellIn!$L$2:$L$800,Ventas_SellIn!$D$2:$D$800,A48,Ventas_SellIn!$B$2:$B$800,"&gt;="&amp;TODAY()-Inicio!$B$14))</f>
        <v/>
      </c>
      <c r="J48" s="77" t="str">
        <f ca="1">IF(A48="","",SUMIFS(SellOut_Jumbo!$F$2:$F$800,SellOut_Jumbo!$C$2:$C$800,D48,SellOut_Jumbo!$A$2:$A$800,"&gt;="&amp;TODAY()-Inicio!$B$14))</f>
        <v/>
      </c>
      <c r="K48" s="75" t="str">
        <f>IF(A48="","",IF(I48=0,"Sin venta",IF(I48&lt;Inicio!$B$15,"Venta baja","Venta OK")))</f>
        <v/>
      </c>
      <c r="L48" s="77" t="str">
        <f>IF(A48="","",COUNTIFS(Ventas_SellIn!$D$2:$D$800,A48,Ventas_SellIn!$R$2:$R$800,"&gt;0"))</f>
        <v/>
      </c>
      <c r="M48" s="78" t="str">
        <f>IF(A48="","",SUMIFS(Ventas_SellIn!$R$2:$R$800,Ventas_SellIn!$D$2:$D$800,A48))</f>
        <v/>
      </c>
      <c r="N48" s="75" t="str">
        <f>IF(A48="","",IF(M48&gt;=Inicio!$B$18,"Pendiente relevante",IF(M48&gt;0,"Pendiente menor","Sin deuda")))</f>
        <v/>
      </c>
      <c r="O48" s="79" t="str">
        <f>IF(A48="","",SUMIFS(Stock_PDV!$H$2:$H$800,Stock_PDV!$A$2:$A$800,A48))</f>
        <v/>
      </c>
      <c r="P48" s="75" t="str">
        <f>IF(A48="","",IF(O48&lt;=Inicio!$B$16,"Crítico",IF(O48&lt;=Inicio!$B$17,"Observar","OK")))</f>
        <v/>
      </c>
      <c r="Q48" s="75" t="str">
        <f t="shared" si="1"/>
        <v/>
      </c>
      <c r="R48" s="75" t="str">
        <f t="shared" si="3"/>
        <v/>
      </c>
      <c r="S48" s="68" t="str">
        <f t="shared" si="2"/>
        <v/>
      </c>
      <c r="T48" s="68" t="str">
        <f>IF(A48="","",IFERROR(VLOOKUP(A48,Clientes_PDV!$A$2:$K$250,11,FALSE),""))</f>
        <v/>
      </c>
    </row>
    <row r="49" spans="1:20" ht="20" customHeight="1" x14ac:dyDescent="0.35">
      <c r="A49" s="80" t="str">
        <f>IF(Clientes_PDV!A49="","",Clientes_PDV!A49)</f>
        <v/>
      </c>
      <c r="B49" s="80" t="str">
        <f>IF(A49="","",IFERROR(VLOOKUP(A49,Clientes_PDV!$A$2:$J$250,2,FALSE),""))</f>
        <v/>
      </c>
      <c r="C49" s="80" t="str">
        <f>IF(A49="","",IFERROR(VLOOKUP(A49,Clientes_PDV!$A$2:$J$250,3,FALSE),""))</f>
        <v/>
      </c>
      <c r="D49" s="80" t="str">
        <f>IF(A49="","",IFERROR(VLOOKUP(A49,Clientes_PDV!$A$2:$J$250,4,FALSE),""))</f>
        <v/>
      </c>
      <c r="E49" s="80" t="str">
        <f>IF(A49="","",IFERROR(VLOOKUP(A49,Clientes_PDV!$A$2:$J$250,7,FALSE),""))</f>
        <v/>
      </c>
      <c r="F49" s="81" t="str">
        <f>IF(A49="","",IFERROR(VLOOKUP(A49,Clientes_PDV!$A$2:$J$250,8,FALSE),""))</f>
        <v/>
      </c>
      <c r="G49" s="82" t="str">
        <f t="shared" ca="1" si="0"/>
        <v/>
      </c>
      <c r="H49" s="80" t="str">
        <f>IF(A49="","",IF(F49="","Sin visita",IF(G49&lt;=IFERROR(VLOOKUP(E49,Inicio!$A$24:$B$26,2,FALSE),0),"Vigente","Atrasado")))</f>
        <v/>
      </c>
      <c r="I49" s="83" t="str">
        <f ca="1">IF(A49="","",SUMIFS(Ventas_SellIn!$L$2:$L$800,Ventas_SellIn!$D$2:$D$800,A49,Ventas_SellIn!$B$2:$B$800,"&gt;="&amp;TODAY()-Inicio!$B$14))</f>
        <v/>
      </c>
      <c r="J49" s="82" t="str">
        <f ca="1">IF(A49="","",SUMIFS(SellOut_Jumbo!$F$2:$F$800,SellOut_Jumbo!$C$2:$C$800,D49,SellOut_Jumbo!$A$2:$A$800,"&gt;="&amp;TODAY()-Inicio!$B$14))</f>
        <v/>
      </c>
      <c r="K49" s="80" t="str">
        <f>IF(A49="","",IF(I49=0,"Sin venta",IF(I49&lt;Inicio!$B$15,"Venta baja","Venta OK")))</f>
        <v/>
      </c>
      <c r="L49" s="82" t="str">
        <f>IF(A49="","",COUNTIFS(Ventas_SellIn!$D$2:$D$800,A49,Ventas_SellIn!$R$2:$R$800,"&gt;0"))</f>
        <v/>
      </c>
      <c r="M49" s="83" t="str">
        <f>IF(A49="","",SUMIFS(Ventas_SellIn!$R$2:$R$800,Ventas_SellIn!$D$2:$D$800,A49))</f>
        <v/>
      </c>
      <c r="N49" s="80" t="str">
        <f>IF(A49="","",IF(M49&gt;=Inicio!$B$18,"Pendiente relevante",IF(M49&gt;0,"Pendiente menor","Sin deuda")))</f>
        <v/>
      </c>
      <c r="O49" s="84" t="str">
        <f>IF(A49="","",SUMIFS(Stock_PDV!$H$2:$H$800,Stock_PDV!$A$2:$A$800,A49))</f>
        <v/>
      </c>
      <c r="P49" s="80" t="str">
        <f>IF(A49="","",IF(O49&lt;=Inicio!$B$16,"Crítico",IF(O49&lt;=Inicio!$B$17,"Observar","OK")))</f>
        <v/>
      </c>
      <c r="Q49" s="80" t="str">
        <f t="shared" si="1"/>
        <v/>
      </c>
      <c r="R49" s="80" t="str">
        <f t="shared" si="3"/>
        <v/>
      </c>
      <c r="S49" s="70" t="str">
        <f t="shared" si="2"/>
        <v/>
      </c>
      <c r="T49" s="70" t="str">
        <f>IF(A49="","",IFERROR(VLOOKUP(A49,Clientes_PDV!$A$2:$K$250,11,FALSE),""))</f>
        <v/>
      </c>
    </row>
    <row r="50" spans="1:20" ht="20" customHeight="1" x14ac:dyDescent="0.35">
      <c r="A50" s="75" t="str">
        <f>IF(Clientes_PDV!A50="","",Clientes_PDV!A50)</f>
        <v/>
      </c>
      <c r="B50" s="75" t="str">
        <f>IF(A50="","",IFERROR(VLOOKUP(A50,Clientes_PDV!$A$2:$J$250,2,FALSE),""))</f>
        <v/>
      </c>
      <c r="C50" s="75" t="str">
        <f>IF(A50="","",IFERROR(VLOOKUP(A50,Clientes_PDV!$A$2:$J$250,3,FALSE),""))</f>
        <v/>
      </c>
      <c r="D50" s="75" t="str">
        <f>IF(A50="","",IFERROR(VLOOKUP(A50,Clientes_PDV!$A$2:$J$250,4,FALSE),""))</f>
        <v/>
      </c>
      <c r="E50" s="75" t="str">
        <f>IF(A50="","",IFERROR(VLOOKUP(A50,Clientes_PDV!$A$2:$J$250,7,FALSE),""))</f>
        <v/>
      </c>
      <c r="F50" s="76" t="str">
        <f>IF(A50="","",IFERROR(VLOOKUP(A50,Clientes_PDV!$A$2:$J$250,8,FALSE),""))</f>
        <v/>
      </c>
      <c r="G50" s="77" t="str">
        <f t="shared" ca="1" si="0"/>
        <v/>
      </c>
      <c r="H50" s="75" t="str">
        <f>IF(A50="","",IF(F50="","Sin visita",IF(G50&lt;=IFERROR(VLOOKUP(E50,Inicio!$A$24:$B$26,2,FALSE),0),"Vigente","Atrasado")))</f>
        <v/>
      </c>
      <c r="I50" s="78" t="str">
        <f ca="1">IF(A50="","",SUMIFS(Ventas_SellIn!$L$2:$L$800,Ventas_SellIn!$D$2:$D$800,A50,Ventas_SellIn!$B$2:$B$800,"&gt;="&amp;TODAY()-Inicio!$B$14))</f>
        <v/>
      </c>
      <c r="J50" s="77" t="str">
        <f ca="1">IF(A50="","",SUMIFS(SellOut_Jumbo!$F$2:$F$800,SellOut_Jumbo!$C$2:$C$800,D50,SellOut_Jumbo!$A$2:$A$800,"&gt;="&amp;TODAY()-Inicio!$B$14))</f>
        <v/>
      </c>
      <c r="K50" s="75" t="str">
        <f>IF(A50="","",IF(I50=0,"Sin venta",IF(I50&lt;Inicio!$B$15,"Venta baja","Venta OK")))</f>
        <v/>
      </c>
      <c r="L50" s="77" t="str">
        <f>IF(A50="","",COUNTIFS(Ventas_SellIn!$D$2:$D$800,A50,Ventas_SellIn!$R$2:$R$800,"&gt;0"))</f>
        <v/>
      </c>
      <c r="M50" s="78" t="str">
        <f>IF(A50="","",SUMIFS(Ventas_SellIn!$R$2:$R$800,Ventas_SellIn!$D$2:$D$800,A50))</f>
        <v/>
      </c>
      <c r="N50" s="75" t="str">
        <f>IF(A50="","",IF(M50&gt;=Inicio!$B$18,"Pendiente relevante",IF(M50&gt;0,"Pendiente menor","Sin deuda")))</f>
        <v/>
      </c>
      <c r="O50" s="79" t="str">
        <f>IF(A50="","",SUMIFS(Stock_PDV!$H$2:$H$800,Stock_PDV!$A$2:$A$800,A50))</f>
        <v/>
      </c>
      <c r="P50" s="75" t="str">
        <f>IF(A50="","",IF(O50&lt;=Inicio!$B$16,"Crítico",IF(O50&lt;=Inicio!$B$17,"Observar","OK")))</f>
        <v/>
      </c>
      <c r="Q50" s="75" t="str">
        <f t="shared" si="1"/>
        <v/>
      </c>
      <c r="R50" s="75" t="str">
        <f t="shared" si="3"/>
        <v/>
      </c>
      <c r="S50" s="68" t="str">
        <f t="shared" si="2"/>
        <v/>
      </c>
      <c r="T50" s="68" t="str">
        <f>IF(A50="","",IFERROR(VLOOKUP(A50,Clientes_PDV!$A$2:$K$250,11,FALSE),""))</f>
        <v/>
      </c>
    </row>
    <row r="51" spans="1:20" x14ac:dyDescent="0.35">
      <c r="A51" s="80" t="str">
        <f>IF(Clientes_PDV!A51="","",Clientes_PDV!A51)</f>
        <v/>
      </c>
      <c r="B51" s="80" t="str">
        <f>IF(A51="","",IFERROR(VLOOKUP(A51,Clientes_PDV!$A$2:$J$250,2,FALSE),""))</f>
        <v/>
      </c>
      <c r="C51" s="80" t="str">
        <f>IF(A51="","",IFERROR(VLOOKUP(A51,Clientes_PDV!$A$2:$J$250,3,FALSE),""))</f>
        <v/>
      </c>
      <c r="D51" s="80" t="str">
        <f>IF(A51="","",IFERROR(VLOOKUP(A51,Clientes_PDV!$A$2:$J$250,4,FALSE),""))</f>
        <v/>
      </c>
      <c r="E51" s="80" t="str">
        <f>IF(A51="","",IFERROR(VLOOKUP(A51,Clientes_PDV!$A$2:$J$250,7,FALSE),""))</f>
        <v/>
      </c>
      <c r="F51" s="81" t="str">
        <f>IF(A51="","",IFERROR(VLOOKUP(A51,Clientes_PDV!$A$2:$J$250,8,FALSE),""))</f>
        <v/>
      </c>
      <c r="G51" s="82" t="str">
        <f t="shared" ca="1" si="0"/>
        <v/>
      </c>
      <c r="H51" s="80" t="str">
        <f>IF(A51="","",IF(F51="","Sin visita",IF(G51&lt;=IFERROR(VLOOKUP(E51,Inicio!$A$24:$B$26,2,FALSE),0),"Vigente","Atrasado")))</f>
        <v/>
      </c>
      <c r="I51" s="83" t="str">
        <f ca="1">IF(A51="","",SUMIFS(Ventas_SellIn!$L$2:$L$800,Ventas_SellIn!$D$2:$D$800,A51,Ventas_SellIn!$B$2:$B$800,"&gt;="&amp;TODAY()-Inicio!$B$14))</f>
        <v/>
      </c>
      <c r="J51" s="82" t="str">
        <f ca="1">IF(A51="","",SUMIFS(SellOut_Jumbo!$F$2:$F$800,SellOut_Jumbo!$C$2:$C$800,D51,SellOut_Jumbo!$A$2:$A$800,"&gt;="&amp;TODAY()-Inicio!$B$14))</f>
        <v/>
      </c>
      <c r="K51" s="80" t="str">
        <f>IF(A51="","",IF(I51=0,"Sin venta",IF(I51&lt;Inicio!$B$15,"Venta baja","Venta OK")))</f>
        <v/>
      </c>
      <c r="L51" s="82" t="str">
        <f>IF(A51="","",COUNTIFS(Ventas_SellIn!$D$2:$D$800,A51,Ventas_SellIn!$R$2:$R$800,"&gt;0"))</f>
        <v/>
      </c>
      <c r="M51" s="83" t="str">
        <f>IF(A51="","",SUMIFS(Ventas_SellIn!$R$2:$R$800,Ventas_SellIn!$D$2:$D$800,A51))</f>
        <v/>
      </c>
      <c r="N51" s="80" t="str">
        <f>IF(A51="","",IF(M51&gt;=Inicio!$B$18,"Pendiente relevante",IF(M51&gt;0,"Pendiente menor","Sin deuda")))</f>
        <v/>
      </c>
      <c r="O51" s="84" t="str">
        <f>IF(A51="","",SUMIFS(Stock_PDV!$H$2:$H$800,Stock_PDV!$A$2:$A$800,A51))</f>
        <v/>
      </c>
      <c r="P51" s="80" t="str">
        <f>IF(A51="","",IF(O51&lt;=Inicio!$B$16,"Crítico",IF(O51&lt;=Inicio!$B$17,"Observar","OK")))</f>
        <v/>
      </c>
      <c r="Q51" s="80" t="str">
        <f t="shared" si="1"/>
        <v/>
      </c>
      <c r="R51" s="80" t="str">
        <f t="shared" si="3"/>
        <v/>
      </c>
      <c r="S51" s="70" t="str">
        <f t="shared" si="2"/>
        <v/>
      </c>
      <c r="T51" s="70" t="str">
        <f>IF(A51="","",IFERROR(VLOOKUP(A51,Clientes_PDV!$A$2:$K$250,11,FALSE),""))</f>
        <v/>
      </c>
    </row>
    <row r="52" spans="1:20" x14ac:dyDescent="0.35">
      <c r="A52" s="75" t="str">
        <f>IF(Clientes_PDV!A52="","",Clientes_PDV!A52)</f>
        <v/>
      </c>
      <c r="B52" s="75" t="str">
        <f>IF(A52="","",IFERROR(VLOOKUP(A52,Clientes_PDV!$A$2:$J$250,2,FALSE),""))</f>
        <v/>
      </c>
      <c r="C52" s="75" t="str">
        <f>IF(A52="","",IFERROR(VLOOKUP(A52,Clientes_PDV!$A$2:$J$250,3,FALSE),""))</f>
        <v/>
      </c>
      <c r="D52" s="75" t="str">
        <f>IF(A52="","",IFERROR(VLOOKUP(A52,Clientes_PDV!$A$2:$J$250,4,FALSE),""))</f>
        <v/>
      </c>
      <c r="E52" s="75" t="str">
        <f>IF(A52="","",IFERROR(VLOOKUP(A52,Clientes_PDV!$A$2:$J$250,7,FALSE),""))</f>
        <v/>
      </c>
      <c r="F52" s="76" t="str">
        <f>IF(A52="","",IFERROR(VLOOKUP(A52,Clientes_PDV!$A$2:$J$250,8,FALSE),""))</f>
        <v/>
      </c>
      <c r="G52" s="77" t="str">
        <f t="shared" ca="1" si="0"/>
        <v/>
      </c>
      <c r="H52" s="75" t="str">
        <f>IF(A52="","",IF(F52="","Sin visita",IF(G52&lt;=IFERROR(VLOOKUP(E52,Inicio!$A$24:$B$26,2,FALSE),0),"Vigente","Atrasado")))</f>
        <v/>
      </c>
      <c r="I52" s="78" t="str">
        <f ca="1">IF(A52="","",SUMIFS(Ventas_SellIn!$L$2:$L$800,Ventas_SellIn!$D$2:$D$800,A52,Ventas_SellIn!$B$2:$B$800,"&gt;="&amp;TODAY()-Inicio!$B$14))</f>
        <v/>
      </c>
      <c r="J52" s="77" t="str">
        <f ca="1">IF(A52="","",SUMIFS(SellOut_Jumbo!$F$2:$F$800,SellOut_Jumbo!$C$2:$C$800,D52,SellOut_Jumbo!$A$2:$A$800,"&gt;="&amp;TODAY()-Inicio!$B$14))</f>
        <v/>
      </c>
      <c r="K52" s="75" t="str">
        <f>IF(A52="","",IF(I52=0,"Sin venta",IF(I52&lt;Inicio!$B$15,"Venta baja","Venta OK")))</f>
        <v/>
      </c>
      <c r="L52" s="77" t="str">
        <f>IF(A52="","",COUNTIFS(Ventas_SellIn!$D$2:$D$800,A52,Ventas_SellIn!$R$2:$R$800,"&gt;0"))</f>
        <v/>
      </c>
      <c r="M52" s="78" t="str">
        <f>IF(A52="","",SUMIFS(Ventas_SellIn!$R$2:$R$800,Ventas_SellIn!$D$2:$D$800,A52))</f>
        <v/>
      </c>
      <c r="N52" s="75" t="str">
        <f>IF(A52="","",IF(M52&gt;=Inicio!$B$18,"Pendiente relevante",IF(M52&gt;0,"Pendiente menor","Sin deuda")))</f>
        <v/>
      </c>
      <c r="O52" s="79" t="str">
        <f>IF(A52="","",SUMIFS(Stock_PDV!$H$2:$H$800,Stock_PDV!$A$2:$A$800,A52))</f>
        <v/>
      </c>
      <c r="P52" s="75" t="str">
        <f>IF(A52="","",IF(O52&lt;=Inicio!$B$16,"Crítico",IF(O52&lt;=Inicio!$B$17,"Observar","OK")))</f>
        <v/>
      </c>
      <c r="Q52" s="75" t="str">
        <f t="shared" si="1"/>
        <v/>
      </c>
      <c r="R52" s="75" t="str">
        <f t="shared" si="3"/>
        <v/>
      </c>
      <c r="S52" s="68" t="str">
        <f t="shared" si="2"/>
        <v/>
      </c>
      <c r="T52" s="68" t="str">
        <f>IF(A52="","",IFERROR(VLOOKUP(A52,Clientes_PDV!$A$2:$K$250,11,FALSE),""))</f>
        <v/>
      </c>
    </row>
    <row r="53" spans="1:20" x14ac:dyDescent="0.35">
      <c r="A53" s="80" t="str">
        <f>IF(Clientes_PDV!A53="","",Clientes_PDV!A53)</f>
        <v/>
      </c>
      <c r="B53" s="80" t="str">
        <f>IF(A53="","",IFERROR(VLOOKUP(A53,Clientes_PDV!$A$2:$J$250,2,FALSE),""))</f>
        <v/>
      </c>
      <c r="C53" s="80" t="str">
        <f>IF(A53="","",IFERROR(VLOOKUP(A53,Clientes_PDV!$A$2:$J$250,3,FALSE),""))</f>
        <v/>
      </c>
      <c r="D53" s="80" t="str">
        <f>IF(A53="","",IFERROR(VLOOKUP(A53,Clientes_PDV!$A$2:$J$250,4,FALSE),""))</f>
        <v/>
      </c>
      <c r="E53" s="80" t="str">
        <f>IF(A53="","",IFERROR(VLOOKUP(A53,Clientes_PDV!$A$2:$J$250,7,FALSE),""))</f>
        <v/>
      </c>
      <c r="F53" s="81" t="str">
        <f>IF(A53="","",IFERROR(VLOOKUP(A53,Clientes_PDV!$A$2:$J$250,8,FALSE),""))</f>
        <v/>
      </c>
      <c r="G53" s="82" t="str">
        <f t="shared" ca="1" si="0"/>
        <v/>
      </c>
      <c r="H53" s="80" t="str">
        <f>IF(A53="","",IF(F53="","Sin visita",IF(G53&lt;=IFERROR(VLOOKUP(E53,Inicio!$A$24:$B$26,2,FALSE),0),"Vigente","Atrasado")))</f>
        <v/>
      </c>
      <c r="I53" s="83" t="str">
        <f ca="1">IF(A53="","",SUMIFS(Ventas_SellIn!$L$2:$L$800,Ventas_SellIn!$D$2:$D$800,A53,Ventas_SellIn!$B$2:$B$800,"&gt;="&amp;TODAY()-Inicio!$B$14))</f>
        <v/>
      </c>
      <c r="J53" s="82" t="str">
        <f ca="1">IF(A53="","",SUMIFS(SellOut_Jumbo!$F$2:$F$800,SellOut_Jumbo!$C$2:$C$800,D53,SellOut_Jumbo!$A$2:$A$800,"&gt;="&amp;TODAY()-Inicio!$B$14))</f>
        <v/>
      </c>
      <c r="K53" s="80" t="str">
        <f>IF(A53="","",IF(I53=0,"Sin venta",IF(I53&lt;Inicio!$B$15,"Venta baja","Venta OK")))</f>
        <v/>
      </c>
      <c r="L53" s="82" t="str">
        <f>IF(A53="","",COUNTIFS(Ventas_SellIn!$D$2:$D$800,A53,Ventas_SellIn!$R$2:$R$800,"&gt;0"))</f>
        <v/>
      </c>
      <c r="M53" s="83" t="str">
        <f>IF(A53="","",SUMIFS(Ventas_SellIn!$R$2:$R$800,Ventas_SellIn!$D$2:$D$800,A53))</f>
        <v/>
      </c>
      <c r="N53" s="80" t="str">
        <f>IF(A53="","",IF(M53&gt;=Inicio!$B$18,"Pendiente relevante",IF(M53&gt;0,"Pendiente menor","Sin deuda")))</f>
        <v/>
      </c>
      <c r="O53" s="84" t="str">
        <f>IF(A53="","",SUMIFS(Stock_PDV!$H$2:$H$800,Stock_PDV!$A$2:$A$800,A53))</f>
        <v/>
      </c>
      <c r="P53" s="80" t="str">
        <f>IF(A53="","",IF(O53&lt;=Inicio!$B$16,"Crítico",IF(O53&lt;=Inicio!$B$17,"Observar","OK")))</f>
        <v/>
      </c>
      <c r="Q53" s="80" t="str">
        <f t="shared" si="1"/>
        <v/>
      </c>
      <c r="R53" s="80" t="str">
        <f t="shared" si="3"/>
        <v/>
      </c>
      <c r="S53" s="70" t="str">
        <f t="shared" si="2"/>
        <v/>
      </c>
      <c r="T53" s="70" t="str">
        <f>IF(A53="","",IFERROR(VLOOKUP(A53,Clientes_PDV!$A$2:$K$250,11,FALSE),""))</f>
        <v/>
      </c>
    </row>
    <row r="54" spans="1:20" x14ac:dyDescent="0.35">
      <c r="A54" s="75" t="str">
        <f>IF(Clientes_PDV!A54="","",Clientes_PDV!A54)</f>
        <v/>
      </c>
      <c r="B54" s="75" t="str">
        <f>IF(A54="","",IFERROR(VLOOKUP(A54,Clientes_PDV!$A$2:$J$250,2,FALSE),""))</f>
        <v/>
      </c>
      <c r="C54" s="75" t="str">
        <f>IF(A54="","",IFERROR(VLOOKUP(A54,Clientes_PDV!$A$2:$J$250,3,FALSE),""))</f>
        <v/>
      </c>
      <c r="D54" s="75" t="str">
        <f>IF(A54="","",IFERROR(VLOOKUP(A54,Clientes_PDV!$A$2:$J$250,4,FALSE),""))</f>
        <v/>
      </c>
      <c r="E54" s="75" t="str">
        <f>IF(A54="","",IFERROR(VLOOKUP(A54,Clientes_PDV!$A$2:$J$250,7,FALSE),""))</f>
        <v/>
      </c>
      <c r="F54" s="76" t="str">
        <f>IF(A54="","",IFERROR(VLOOKUP(A54,Clientes_PDV!$A$2:$J$250,8,FALSE),""))</f>
        <v/>
      </c>
      <c r="G54" s="77" t="str">
        <f t="shared" ca="1" si="0"/>
        <v/>
      </c>
      <c r="H54" s="75" t="str">
        <f>IF(A54="","",IF(F54="","Sin visita",IF(G54&lt;=IFERROR(VLOOKUP(E54,Inicio!$A$24:$B$26,2,FALSE),0),"Vigente","Atrasado")))</f>
        <v/>
      </c>
      <c r="I54" s="78" t="str">
        <f ca="1">IF(A54="","",SUMIFS(Ventas_SellIn!$L$2:$L$800,Ventas_SellIn!$D$2:$D$800,A54,Ventas_SellIn!$B$2:$B$800,"&gt;="&amp;TODAY()-Inicio!$B$14))</f>
        <v/>
      </c>
      <c r="J54" s="77" t="str">
        <f ca="1">IF(A54="","",SUMIFS(SellOut_Jumbo!$F$2:$F$800,SellOut_Jumbo!$C$2:$C$800,D54,SellOut_Jumbo!$A$2:$A$800,"&gt;="&amp;TODAY()-Inicio!$B$14))</f>
        <v/>
      </c>
      <c r="K54" s="75" t="str">
        <f>IF(A54="","",IF(I54=0,"Sin venta",IF(I54&lt;Inicio!$B$15,"Venta baja","Venta OK")))</f>
        <v/>
      </c>
      <c r="L54" s="77" t="str">
        <f>IF(A54="","",COUNTIFS(Ventas_SellIn!$D$2:$D$800,A54,Ventas_SellIn!$R$2:$R$800,"&gt;0"))</f>
        <v/>
      </c>
      <c r="M54" s="78" t="str">
        <f>IF(A54="","",SUMIFS(Ventas_SellIn!$R$2:$R$800,Ventas_SellIn!$D$2:$D$800,A54))</f>
        <v/>
      </c>
      <c r="N54" s="75" t="str">
        <f>IF(A54="","",IF(M54&gt;=Inicio!$B$18,"Pendiente relevante",IF(M54&gt;0,"Pendiente menor","Sin deuda")))</f>
        <v/>
      </c>
      <c r="O54" s="79" t="str">
        <f>IF(A54="","",SUMIFS(Stock_PDV!$H$2:$H$800,Stock_PDV!$A$2:$A$800,A54))</f>
        <v/>
      </c>
      <c r="P54" s="75" t="str">
        <f>IF(A54="","",IF(O54&lt;=Inicio!$B$16,"Crítico",IF(O54&lt;=Inicio!$B$17,"Observar","OK")))</f>
        <v/>
      </c>
      <c r="Q54" s="75" t="str">
        <f t="shared" si="1"/>
        <v/>
      </c>
      <c r="R54" s="75" t="str">
        <f t="shared" si="3"/>
        <v/>
      </c>
      <c r="S54" s="68" t="str">
        <f t="shared" si="2"/>
        <v/>
      </c>
      <c r="T54" s="68" t="str">
        <f>IF(A54="","",IFERROR(VLOOKUP(A54,Clientes_PDV!$A$2:$K$250,11,FALSE),""))</f>
        <v/>
      </c>
    </row>
    <row r="55" spans="1:20" x14ac:dyDescent="0.35">
      <c r="A55" s="80" t="str">
        <f>IF(Clientes_PDV!A55="","",Clientes_PDV!A55)</f>
        <v/>
      </c>
      <c r="B55" s="80" t="str">
        <f>IF(A55="","",IFERROR(VLOOKUP(A55,Clientes_PDV!$A$2:$J$250,2,FALSE),""))</f>
        <v/>
      </c>
      <c r="C55" s="80" t="str">
        <f>IF(A55="","",IFERROR(VLOOKUP(A55,Clientes_PDV!$A$2:$J$250,3,FALSE),""))</f>
        <v/>
      </c>
      <c r="D55" s="80" t="str">
        <f>IF(A55="","",IFERROR(VLOOKUP(A55,Clientes_PDV!$A$2:$J$250,4,FALSE),""))</f>
        <v/>
      </c>
      <c r="E55" s="80" t="str">
        <f>IF(A55="","",IFERROR(VLOOKUP(A55,Clientes_PDV!$A$2:$J$250,7,FALSE),""))</f>
        <v/>
      </c>
      <c r="F55" s="81" t="str">
        <f>IF(A55="","",IFERROR(VLOOKUP(A55,Clientes_PDV!$A$2:$J$250,8,FALSE),""))</f>
        <v/>
      </c>
      <c r="G55" s="82" t="str">
        <f t="shared" ca="1" si="0"/>
        <v/>
      </c>
      <c r="H55" s="80" t="str">
        <f>IF(A55="","",IF(F55="","Sin visita",IF(G55&lt;=IFERROR(VLOOKUP(E55,Inicio!$A$24:$B$26,2,FALSE),0),"Vigente","Atrasado")))</f>
        <v/>
      </c>
      <c r="I55" s="83" t="str">
        <f ca="1">IF(A55="","",SUMIFS(Ventas_SellIn!$L$2:$L$800,Ventas_SellIn!$D$2:$D$800,A55,Ventas_SellIn!$B$2:$B$800,"&gt;="&amp;TODAY()-Inicio!$B$14))</f>
        <v/>
      </c>
      <c r="J55" s="82" t="str">
        <f ca="1">IF(A55="","",SUMIFS(SellOut_Jumbo!$F$2:$F$800,SellOut_Jumbo!$C$2:$C$800,D55,SellOut_Jumbo!$A$2:$A$800,"&gt;="&amp;TODAY()-Inicio!$B$14))</f>
        <v/>
      </c>
      <c r="K55" s="80" t="str">
        <f>IF(A55="","",IF(I55=0,"Sin venta",IF(I55&lt;Inicio!$B$15,"Venta baja","Venta OK")))</f>
        <v/>
      </c>
      <c r="L55" s="82" t="str">
        <f>IF(A55="","",COUNTIFS(Ventas_SellIn!$D$2:$D$800,A55,Ventas_SellIn!$R$2:$R$800,"&gt;0"))</f>
        <v/>
      </c>
      <c r="M55" s="83" t="str">
        <f>IF(A55="","",SUMIFS(Ventas_SellIn!$R$2:$R$800,Ventas_SellIn!$D$2:$D$800,A55))</f>
        <v/>
      </c>
      <c r="N55" s="80" t="str">
        <f>IF(A55="","",IF(M55&gt;=Inicio!$B$18,"Pendiente relevante",IF(M55&gt;0,"Pendiente menor","Sin deuda")))</f>
        <v/>
      </c>
      <c r="O55" s="84" t="str">
        <f>IF(A55="","",SUMIFS(Stock_PDV!$H$2:$H$800,Stock_PDV!$A$2:$A$800,A55))</f>
        <v/>
      </c>
      <c r="P55" s="80" t="str">
        <f>IF(A55="","",IF(O55&lt;=Inicio!$B$16,"Crítico",IF(O55&lt;=Inicio!$B$17,"Observar","OK")))</f>
        <v/>
      </c>
      <c r="Q55" s="80" t="str">
        <f t="shared" si="1"/>
        <v/>
      </c>
      <c r="R55" s="80" t="str">
        <f t="shared" si="3"/>
        <v/>
      </c>
      <c r="S55" s="70" t="str">
        <f t="shared" si="2"/>
        <v/>
      </c>
      <c r="T55" s="70" t="str">
        <f>IF(A55="","",IFERROR(VLOOKUP(A55,Clientes_PDV!$A$2:$K$250,11,FALSE),""))</f>
        <v/>
      </c>
    </row>
    <row r="56" spans="1:20" x14ac:dyDescent="0.35">
      <c r="A56" s="75" t="str">
        <f>IF(Clientes_PDV!A56="","",Clientes_PDV!A56)</f>
        <v/>
      </c>
      <c r="B56" s="75" t="str">
        <f>IF(A56="","",IFERROR(VLOOKUP(A56,Clientes_PDV!$A$2:$J$250,2,FALSE),""))</f>
        <v/>
      </c>
      <c r="C56" s="75" t="str">
        <f>IF(A56="","",IFERROR(VLOOKUP(A56,Clientes_PDV!$A$2:$J$250,3,FALSE),""))</f>
        <v/>
      </c>
      <c r="D56" s="75" t="str">
        <f>IF(A56="","",IFERROR(VLOOKUP(A56,Clientes_PDV!$A$2:$J$250,4,FALSE),""))</f>
        <v/>
      </c>
      <c r="E56" s="75" t="str">
        <f>IF(A56="","",IFERROR(VLOOKUP(A56,Clientes_PDV!$A$2:$J$250,7,FALSE),""))</f>
        <v/>
      </c>
      <c r="F56" s="76" t="str">
        <f>IF(A56="","",IFERROR(VLOOKUP(A56,Clientes_PDV!$A$2:$J$250,8,FALSE),""))</f>
        <v/>
      </c>
      <c r="G56" s="77" t="str">
        <f t="shared" ca="1" si="0"/>
        <v/>
      </c>
      <c r="H56" s="75" t="str">
        <f>IF(A56="","",IF(F56="","Sin visita",IF(G56&lt;=IFERROR(VLOOKUP(E56,Inicio!$A$24:$B$26,2,FALSE),0),"Vigente","Atrasado")))</f>
        <v/>
      </c>
      <c r="I56" s="78" t="str">
        <f ca="1">IF(A56="","",SUMIFS(Ventas_SellIn!$L$2:$L$800,Ventas_SellIn!$D$2:$D$800,A56,Ventas_SellIn!$B$2:$B$800,"&gt;="&amp;TODAY()-Inicio!$B$14))</f>
        <v/>
      </c>
      <c r="J56" s="77" t="str">
        <f ca="1">IF(A56="","",SUMIFS(SellOut_Jumbo!$F$2:$F$800,SellOut_Jumbo!$C$2:$C$800,D56,SellOut_Jumbo!$A$2:$A$800,"&gt;="&amp;TODAY()-Inicio!$B$14))</f>
        <v/>
      </c>
      <c r="K56" s="75" t="str">
        <f>IF(A56="","",IF(I56=0,"Sin venta",IF(I56&lt;Inicio!$B$15,"Venta baja","Venta OK")))</f>
        <v/>
      </c>
      <c r="L56" s="77" t="str">
        <f>IF(A56="","",COUNTIFS(Ventas_SellIn!$D$2:$D$800,A56,Ventas_SellIn!$R$2:$R$800,"&gt;0"))</f>
        <v/>
      </c>
      <c r="M56" s="78" t="str">
        <f>IF(A56="","",SUMIFS(Ventas_SellIn!$R$2:$R$800,Ventas_SellIn!$D$2:$D$800,A56))</f>
        <v/>
      </c>
      <c r="N56" s="75" t="str">
        <f>IF(A56="","",IF(M56&gt;=Inicio!$B$18,"Pendiente relevante",IF(M56&gt;0,"Pendiente menor","Sin deuda")))</f>
        <v/>
      </c>
      <c r="O56" s="79" t="str">
        <f>IF(A56="","",SUMIFS(Stock_PDV!$H$2:$H$800,Stock_PDV!$A$2:$A$800,A56))</f>
        <v/>
      </c>
      <c r="P56" s="75" t="str">
        <f>IF(A56="","",IF(O56&lt;=Inicio!$B$16,"Crítico",IF(O56&lt;=Inicio!$B$17,"Observar","OK")))</f>
        <v/>
      </c>
      <c r="Q56" s="75" t="str">
        <f t="shared" si="1"/>
        <v/>
      </c>
      <c r="R56" s="75" t="str">
        <f t="shared" si="3"/>
        <v/>
      </c>
      <c r="S56" s="68" t="str">
        <f t="shared" si="2"/>
        <v/>
      </c>
      <c r="T56" s="68" t="str">
        <f>IF(A56="","",IFERROR(VLOOKUP(A56,Clientes_PDV!$A$2:$K$250,11,FALSE),""))</f>
        <v/>
      </c>
    </row>
    <row r="57" spans="1:20" x14ac:dyDescent="0.35">
      <c r="A57" s="80" t="str">
        <f>IF(Clientes_PDV!A57="","",Clientes_PDV!A57)</f>
        <v/>
      </c>
      <c r="B57" s="80" t="str">
        <f>IF(A57="","",IFERROR(VLOOKUP(A57,Clientes_PDV!$A$2:$J$250,2,FALSE),""))</f>
        <v/>
      </c>
      <c r="C57" s="80" t="str">
        <f>IF(A57="","",IFERROR(VLOOKUP(A57,Clientes_PDV!$A$2:$J$250,3,FALSE),""))</f>
        <v/>
      </c>
      <c r="D57" s="80" t="str">
        <f>IF(A57="","",IFERROR(VLOOKUP(A57,Clientes_PDV!$A$2:$J$250,4,FALSE),""))</f>
        <v/>
      </c>
      <c r="E57" s="80" t="str">
        <f>IF(A57="","",IFERROR(VLOOKUP(A57,Clientes_PDV!$A$2:$J$250,7,FALSE),""))</f>
        <v/>
      </c>
      <c r="F57" s="81" t="str">
        <f>IF(A57="","",IFERROR(VLOOKUP(A57,Clientes_PDV!$A$2:$J$250,8,FALSE),""))</f>
        <v/>
      </c>
      <c r="G57" s="82" t="str">
        <f t="shared" ca="1" si="0"/>
        <v/>
      </c>
      <c r="H57" s="80" t="str">
        <f>IF(A57="","",IF(F57="","Sin visita",IF(G57&lt;=IFERROR(VLOOKUP(E57,Inicio!$A$24:$B$26,2,FALSE),0),"Vigente","Atrasado")))</f>
        <v/>
      </c>
      <c r="I57" s="83" t="str">
        <f ca="1">IF(A57="","",SUMIFS(Ventas_SellIn!$L$2:$L$800,Ventas_SellIn!$D$2:$D$800,A57,Ventas_SellIn!$B$2:$B$800,"&gt;="&amp;TODAY()-Inicio!$B$14))</f>
        <v/>
      </c>
      <c r="J57" s="82" t="str">
        <f ca="1">IF(A57="","",SUMIFS(SellOut_Jumbo!$F$2:$F$800,SellOut_Jumbo!$C$2:$C$800,D57,SellOut_Jumbo!$A$2:$A$800,"&gt;="&amp;TODAY()-Inicio!$B$14))</f>
        <v/>
      </c>
      <c r="K57" s="80" t="str">
        <f>IF(A57="","",IF(I57=0,"Sin venta",IF(I57&lt;Inicio!$B$15,"Venta baja","Venta OK")))</f>
        <v/>
      </c>
      <c r="L57" s="82" t="str">
        <f>IF(A57="","",COUNTIFS(Ventas_SellIn!$D$2:$D$800,A57,Ventas_SellIn!$R$2:$R$800,"&gt;0"))</f>
        <v/>
      </c>
      <c r="M57" s="83" t="str">
        <f>IF(A57="","",SUMIFS(Ventas_SellIn!$R$2:$R$800,Ventas_SellIn!$D$2:$D$800,A57))</f>
        <v/>
      </c>
      <c r="N57" s="80" t="str">
        <f>IF(A57="","",IF(M57&gt;=Inicio!$B$18,"Pendiente relevante",IF(M57&gt;0,"Pendiente menor","Sin deuda")))</f>
        <v/>
      </c>
      <c r="O57" s="84" t="str">
        <f>IF(A57="","",SUMIFS(Stock_PDV!$H$2:$H$800,Stock_PDV!$A$2:$A$800,A57))</f>
        <v/>
      </c>
      <c r="P57" s="80" t="str">
        <f>IF(A57="","",IF(O57&lt;=Inicio!$B$16,"Crítico",IF(O57&lt;=Inicio!$B$17,"Observar","OK")))</f>
        <v/>
      </c>
      <c r="Q57" s="80" t="str">
        <f t="shared" si="1"/>
        <v/>
      </c>
      <c r="R57" s="80" t="str">
        <f t="shared" si="3"/>
        <v/>
      </c>
      <c r="S57" s="70" t="str">
        <f t="shared" si="2"/>
        <v/>
      </c>
      <c r="T57" s="70" t="str">
        <f>IF(A57="","",IFERROR(VLOOKUP(A57,Clientes_PDV!$A$2:$K$250,11,FALSE),""))</f>
        <v/>
      </c>
    </row>
    <row r="58" spans="1:20" x14ac:dyDescent="0.35">
      <c r="A58" s="75" t="str">
        <f>IF(Clientes_PDV!A58="","",Clientes_PDV!A58)</f>
        <v/>
      </c>
      <c r="B58" s="75" t="str">
        <f>IF(A58="","",IFERROR(VLOOKUP(A58,Clientes_PDV!$A$2:$J$250,2,FALSE),""))</f>
        <v/>
      </c>
      <c r="C58" s="75" t="str">
        <f>IF(A58="","",IFERROR(VLOOKUP(A58,Clientes_PDV!$A$2:$J$250,3,FALSE),""))</f>
        <v/>
      </c>
      <c r="D58" s="75" t="str">
        <f>IF(A58="","",IFERROR(VLOOKUP(A58,Clientes_PDV!$A$2:$J$250,4,FALSE),""))</f>
        <v/>
      </c>
      <c r="E58" s="75" t="str">
        <f>IF(A58="","",IFERROR(VLOOKUP(A58,Clientes_PDV!$A$2:$J$250,7,FALSE),""))</f>
        <v/>
      </c>
      <c r="F58" s="76" t="str">
        <f>IF(A58="","",IFERROR(VLOOKUP(A58,Clientes_PDV!$A$2:$J$250,8,FALSE),""))</f>
        <v/>
      </c>
      <c r="G58" s="77" t="str">
        <f t="shared" ca="1" si="0"/>
        <v/>
      </c>
      <c r="H58" s="75" t="str">
        <f>IF(A58="","",IF(F58="","Sin visita",IF(G58&lt;=IFERROR(VLOOKUP(E58,Inicio!$A$24:$B$26,2,FALSE),0),"Vigente","Atrasado")))</f>
        <v/>
      </c>
      <c r="I58" s="78" t="str">
        <f ca="1">IF(A58="","",SUMIFS(Ventas_SellIn!$L$2:$L$800,Ventas_SellIn!$D$2:$D$800,A58,Ventas_SellIn!$B$2:$B$800,"&gt;="&amp;TODAY()-Inicio!$B$14))</f>
        <v/>
      </c>
      <c r="J58" s="77" t="str">
        <f ca="1">IF(A58="","",SUMIFS(SellOut_Jumbo!$F$2:$F$800,SellOut_Jumbo!$C$2:$C$800,D58,SellOut_Jumbo!$A$2:$A$800,"&gt;="&amp;TODAY()-Inicio!$B$14))</f>
        <v/>
      </c>
      <c r="K58" s="75" t="str">
        <f>IF(A58="","",IF(I58=0,"Sin venta",IF(I58&lt;Inicio!$B$15,"Venta baja","Venta OK")))</f>
        <v/>
      </c>
      <c r="L58" s="77" t="str">
        <f>IF(A58="","",COUNTIFS(Ventas_SellIn!$D$2:$D$800,A58,Ventas_SellIn!$R$2:$R$800,"&gt;0"))</f>
        <v/>
      </c>
      <c r="M58" s="78" t="str">
        <f>IF(A58="","",SUMIFS(Ventas_SellIn!$R$2:$R$800,Ventas_SellIn!$D$2:$D$800,A58))</f>
        <v/>
      </c>
      <c r="N58" s="75" t="str">
        <f>IF(A58="","",IF(M58&gt;=Inicio!$B$18,"Pendiente relevante",IF(M58&gt;0,"Pendiente menor","Sin deuda")))</f>
        <v/>
      </c>
      <c r="O58" s="79" t="str">
        <f>IF(A58="","",SUMIFS(Stock_PDV!$H$2:$H$800,Stock_PDV!$A$2:$A$800,A58))</f>
        <v/>
      </c>
      <c r="P58" s="75" t="str">
        <f>IF(A58="","",IF(O58&lt;=Inicio!$B$16,"Crítico",IF(O58&lt;=Inicio!$B$17,"Observar","OK")))</f>
        <v/>
      </c>
      <c r="Q58" s="75" t="str">
        <f t="shared" si="1"/>
        <v/>
      </c>
      <c r="R58" s="75" t="str">
        <f t="shared" si="3"/>
        <v/>
      </c>
      <c r="S58" s="68" t="str">
        <f t="shared" si="2"/>
        <v/>
      </c>
      <c r="T58" s="68" t="str">
        <f>IF(A58="","",IFERROR(VLOOKUP(A58,Clientes_PDV!$A$2:$K$250,11,FALSE),""))</f>
        <v/>
      </c>
    </row>
    <row r="59" spans="1:20" x14ac:dyDescent="0.35">
      <c r="A59" s="80" t="str">
        <f>IF(Clientes_PDV!A59="","",Clientes_PDV!A59)</f>
        <v/>
      </c>
      <c r="B59" s="80" t="str">
        <f>IF(A59="","",IFERROR(VLOOKUP(A59,Clientes_PDV!$A$2:$J$250,2,FALSE),""))</f>
        <v/>
      </c>
      <c r="C59" s="80" t="str">
        <f>IF(A59="","",IFERROR(VLOOKUP(A59,Clientes_PDV!$A$2:$J$250,3,FALSE),""))</f>
        <v/>
      </c>
      <c r="D59" s="80" t="str">
        <f>IF(A59="","",IFERROR(VLOOKUP(A59,Clientes_PDV!$A$2:$J$250,4,FALSE),""))</f>
        <v/>
      </c>
      <c r="E59" s="80" t="str">
        <f>IF(A59="","",IFERROR(VLOOKUP(A59,Clientes_PDV!$A$2:$J$250,7,FALSE),""))</f>
        <v/>
      </c>
      <c r="F59" s="81" t="str">
        <f>IF(A59="","",IFERROR(VLOOKUP(A59,Clientes_PDV!$A$2:$J$250,8,FALSE),""))</f>
        <v/>
      </c>
      <c r="G59" s="82" t="str">
        <f t="shared" ca="1" si="0"/>
        <v/>
      </c>
      <c r="H59" s="80" t="str">
        <f>IF(A59="","",IF(F59="","Sin visita",IF(G59&lt;=IFERROR(VLOOKUP(E59,Inicio!$A$24:$B$26,2,FALSE),0),"Vigente","Atrasado")))</f>
        <v/>
      </c>
      <c r="I59" s="83" t="str">
        <f ca="1">IF(A59="","",SUMIFS(Ventas_SellIn!$L$2:$L$800,Ventas_SellIn!$D$2:$D$800,A59,Ventas_SellIn!$B$2:$B$800,"&gt;="&amp;TODAY()-Inicio!$B$14))</f>
        <v/>
      </c>
      <c r="J59" s="82" t="str">
        <f ca="1">IF(A59="","",SUMIFS(SellOut_Jumbo!$F$2:$F$800,SellOut_Jumbo!$C$2:$C$800,D59,SellOut_Jumbo!$A$2:$A$800,"&gt;="&amp;TODAY()-Inicio!$B$14))</f>
        <v/>
      </c>
      <c r="K59" s="80" t="str">
        <f>IF(A59="","",IF(I59=0,"Sin venta",IF(I59&lt;Inicio!$B$15,"Venta baja","Venta OK")))</f>
        <v/>
      </c>
      <c r="L59" s="82" t="str">
        <f>IF(A59="","",COUNTIFS(Ventas_SellIn!$D$2:$D$800,A59,Ventas_SellIn!$R$2:$R$800,"&gt;0"))</f>
        <v/>
      </c>
      <c r="M59" s="83" t="str">
        <f>IF(A59="","",SUMIFS(Ventas_SellIn!$R$2:$R$800,Ventas_SellIn!$D$2:$D$800,A59))</f>
        <v/>
      </c>
      <c r="N59" s="80" t="str">
        <f>IF(A59="","",IF(M59&gt;=Inicio!$B$18,"Pendiente relevante",IF(M59&gt;0,"Pendiente menor","Sin deuda")))</f>
        <v/>
      </c>
      <c r="O59" s="84" t="str">
        <f>IF(A59="","",SUMIFS(Stock_PDV!$H$2:$H$800,Stock_PDV!$A$2:$A$800,A59))</f>
        <v/>
      </c>
      <c r="P59" s="80" t="str">
        <f>IF(A59="","",IF(O59&lt;=Inicio!$B$16,"Crítico",IF(O59&lt;=Inicio!$B$17,"Observar","OK")))</f>
        <v/>
      </c>
      <c r="Q59" s="80" t="str">
        <f t="shared" si="1"/>
        <v/>
      </c>
      <c r="R59" s="80" t="str">
        <f t="shared" si="3"/>
        <v/>
      </c>
      <c r="S59" s="70" t="str">
        <f t="shared" si="2"/>
        <v/>
      </c>
      <c r="T59" s="70" t="str">
        <f>IF(A59="","",IFERROR(VLOOKUP(A59,Clientes_PDV!$A$2:$K$250,11,FALSE),""))</f>
        <v/>
      </c>
    </row>
    <row r="60" spans="1:20" x14ac:dyDescent="0.35">
      <c r="A60" s="75" t="str">
        <f>IF(Clientes_PDV!A60="","",Clientes_PDV!A60)</f>
        <v/>
      </c>
      <c r="B60" s="75" t="str">
        <f>IF(A60="","",IFERROR(VLOOKUP(A60,Clientes_PDV!$A$2:$J$250,2,FALSE),""))</f>
        <v/>
      </c>
      <c r="C60" s="75" t="str">
        <f>IF(A60="","",IFERROR(VLOOKUP(A60,Clientes_PDV!$A$2:$J$250,3,FALSE),""))</f>
        <v/>
      </c>
      <c r="D60" s="75" t="str">
        <f>IF(A60="","",IFERROR(VLOOKUP(A60,Clientes_PDV!$A$2:$J$250,4,FALSE),""))</f>
        <v/>
      </c>
      <c r="E60" s="75" t="str">
        <f>IF(A60="","",IFERROR(VLOOKUP(A60,Clientes_PDV!$A$2:$J$250,7,FALSE),""))</f>
        <v/>
      </c>
      <c r="F60" s="76" t="str">
        <f>IF(A60="","",IFERROR(VLOOKUP(A60,Clientes_PDV!$A$2:$J$250,8,FALSE),""))</f>
        <v/>
      </c>
      <c r="G60" s="77" t="str">
        <f t="shared" ca="1" si="0"/>
        <v/>
      </c>
      <c r="H60" s="75" t="str">
        <f>IF(A60="","",IF(F60="","Sin visita",IF(G60&lt;=IFERROR(VLOOKUP(E60,Inicio!$A$24:$B$26,2,FALSE),0),"Vigente","Atrasado")))</f>
        <v/>
      </c>
      <c r="I60" s="78" t="str">
        <f ca="1">IF(A60="","",SUMIFS(Ventas_SellIn!$L$2:$L$800,Ventas_SellIn!$D$2:$D$800,A60,Ventas_SellIn!$B$2:$B$800,"&gt;="&amp;TODAY()-Inicio!$B$14))</f>
        <v/>
      </c>
      <c r="J60" s="77" t="str">
        <f ca="1">IF(A60="","",SUMIFS(SellOut_Jumbo!$F$2:$F$800,SellOut_Jumbo!$C$2:$C$800,D60,SellOut_Jumbo!$A$2:$A$800,"&gt;="&amp;TODAY()-Inicio!$B$14))</f>
        <v/>
      </c>
      <c r="K60" s="75" t="str">
        <f>IF(A60="","",IF(I60=0,"Sin venta",IF(I60&lt;Inicio!$B$15,"Venta baja","Venta OK")))</f>
        <v/>
      </c>
      <c r="L60" s="77" t="str">
        <f>IF(A60="","",COUNTIFS(Ventas_SellIn!$D$2:$D$800,A60,Ventas_SellIn!$R$2:$R$800,"&gt;0"))</f>
        <v/>
      </c>
      <c r="M60" s="78" t="str">
        <f>IF(A60="","",SUMIFS(Ventas_SellIn!$R$2:$R$800,Ventas_SellIn!$D$2:$D$800,A60))</f>
        <v/>
      </c>
      <c r="N60" s="75" t="str">
        <f>IF(A60="","",IF(M60&gt;=Inicio!$B$18,"Pendiente relevante",IF(M60&gt;0,"Pendiente menor","Sin deuda")))</f>
        <v/>
      </c>
      <c r="O60" s="79" t="str">
        <f>IF(A60="","",SUMIFS(Stock_PDV!$H$2:$H$800,Stock_PDV!$A$2:$A$800,A60))</f>
        <v/>
      </c>
      <c r="P60" s="75" t="str">
        <f>IF(A60="","",IF(O60&lt;=Inicio!$B$16,"Crítico",IF(O60&lt;=Inicio!$B$17,"Observar","OK")))</f>
        <v/>
      </c>
      <c r="Q60" s="75" t="str">
        <f t="shared" si="1"/>
        <v/>
      </c>
      <c r="R60" s="75" t="str">
        <f t="shared" si="3"/>
        <v/>
      </c>
      <c r="S60" s="68" t="str">
        <f t="shared" si="2"/>
        <v/>
      </c>
      <c r="T60" s="68" t="str">
        <f>IF(A60="","",IFERROR(VLOOKUP(A60,Clientes_PDV!$A$2:$K$250,11,FALSE),""))</f>
        <v/>
      </c>
    </row>
    <row r="61" spans="1:20" x14ac:dyDescent="0.35">
      <c r="A61" s="80" t="str">
        <f>IF(Clientes_PDV!A61="","",Clientes_PDV!A61)</f>
        <v/>
      </c>
      <c r="B61" s="80" t="str">
        <f>IF(A61="","",IFERROR(VLOOKUP(A61,Clientes_PDV!$A$2:$J$250,2,FALSE),""))</f>
        <v/>
      </c>
      <c r="C61" s="80" t="str">
        <f>IF(A61="","",IFERROR(VLOOKUP(A61,Clientes_PDV!$A$2:$J$250,3,FALSE),""))</f>
        <v/>
      </c>
      <c r="D61" s="80" t="str">
        <f>IF(A61="","",IFERROR(VLOOKUP(A61,Clientes_PDV!$A$2:$J$250,4,FALSE),""))</f>
        <v/>
      </c>
      <c r="E61" s="80" t="str">
        <f>IF(A61="","",IFERROR(VLOOKUP(A61,Clientes_PDV!$A$2:$J$250,7,FALSE),""))</f>
        <v/>
      </c>
      <c r="F61" s="81" t="str">
        <f>IF(A61="","",IFERROR(VLOOKUP(A61,Clientes_PDV!$A$2:$J$250,8,FALSE),""))</f>
        <v/>
      </c>
      <c r="G61" s="82" t="str">
        <f t="shared" ca="1" si="0"/>
        <v/>
      </c>
      <c r="H61" s="80" t="str">
        <f>IF(A61="","",IF(F61="","Sin visita",IF(G61&lt;=IFERROR(VLOOKUP(E61,Inicio!$A$24:$B$26,2,FALSE),0),"Vigente","Atrasado")))</f>
        <v/>
      </c>
      <c r="I61" s="83" t="str">
        <f ca="1">IF(A61="","",SUMIFS(Ventas_SellIn!$L$2:$L$800,Ventas_SellIn!$D$2:$D$800,A61,Ventas_SellIn!$B$2:$B$800,"&gt;="&amp;TODAY()-Inicio!$B$14))</f>
        <v/>
      </c>
      <c r="J61" s="82" t="str">
        <f ca="1">IF(A61="","",SUMIFS(SellOut_Jumbo!$F$2:$F$800,SellOut_Jumbo!$C$2:$C$800,D61,SellOut_Jumbo!$A$2:$A$800,"&gt;="&amp;TODAY()-Inicio!$B$14))</f>
        <v/>
      </c>
      <c r="K61" s="80" t="str">
        <f>IF(A61="","",IF(I61=0,"Sin venta",IF(I61&lt;Inicio!$B$15,"Venta baja","Venta OK")))</f>
        <v/>
      </c>
      <c r="L61" s="82" t="str">
        <f>IF(A61="","",COUNTIFS(Ventas_SellIn!$D$2:$D$800,A61,Ventas_SellIn!$R$2:$R$800,"&gt;0"))</f>
        <v/>
      </c>
      <c r="M61" s="83" t="str">
        <f>IF(A61="","",SUMIFS(Ventas_SellIn!$R$2:$R$800,Ventas_SellIn!$D$2:$D$800,A61))</f>
        <v/>
      </c>
      <c r="N61" s="80" t="str">
        <f>IF(A61="","",IF(M61&gt;=Inicio!$B$18,"Pendiente relevante",IF(M61&gt;0,"Pendiente menor","Sin deuda")))</f>
        <v/>
      </c>
      <c r="O61" s="84" t="str">
        <f>IF(A61="","",SUMIFS(Stock_PDV!$H$2:$H$800,Stock_PDV!$A$2:$A$800,A61))</f>
        <v/>
      </c>
      <c r="P61" s="80" t="str">
        <f>IF(A61="","",IF(O61&lt;=Inicio!$B$16,"Crítico",IF(O61&lt;=Inicio!$B$17,"Observar","OK")))</f>
        <v/>
      </c>
      <c r="Q61" s="80" t="str">
        <f t="shared" si="1"/>
        <v/>
      </c>
      <c r="R61" s="80" t="str">
        <f t="shared" si="3"/>
        <v/>
      </c>
      <c r="S61" s="70" t="str">
        <f t="shared" si="2"/>
        <v/>
      </c>
      <c r="T61" s="70" t="str">
        <f>IF(A61="","",IFERROR(VLOOKUP(A61,Clientes_PDV!$A$2:$K$250,11,FALSE),""))</f>
        <v/>
      </c>
    </row>
    <row r="62" spans="1:20" x14ac:dyDescent="0.35">
      <c r="A62" s="75" t="str">
        <f>IF(Clientes_PDV!A62="","",Clientes_PDV!A62)</f>
        <v/>
      </c>
      <c r="B62" s="75" t="str">
        <f>IF(A62="","",IFERROR(VLOOKUP(A62,Clientes_PDV!$A$2:$J$250,2,FALSE),""))</f>
        <v/>
      </c>
      <c r="C62" s="75" t="str">
        <f>IF(A62="","",IFERROR(VLOOKUP(A62,Clientes_PDV!$A$2:$J$250,3,FALSE),""))</f>
        <v/>
      </c>
      <c r="D62" s="75" t="str">
        <f>IF(A62="","",IFERROR(VLOOKUP(A62,Clientes_PDV!$A$2:$J$250,4,FALSE),""))</f>
        <v/>
      </c>
      <c r="E62" s="75" t="str">
        <f>IF(A62="","",IFERROR(VLOOKUP(A62,Clientes_PDV!$A$2:$J$250,7,FALSE),""))</f>
        <v/>
      </c>
      <c r="F62" s="76" t="str">
        <f>IF(A62="","",IFERROR(VLOOKUP(A62,Clientes_PDV!$A$2:$J$250,8,FALSE),""))</f>
        <v/>
      </c>
      <c r="G62" s="77" t="str">
        <f t="shared" ca="1" si="0"/>
        <v/>
      </c>
      <c r="H62" s="75" t="str">
        <f>IF(A62="","",IF(F62="","Sin visita",IF(G62&lt;=IFERROR(VLOOKUP(E62,Inicio!$A$24:$B$26,2,FALSE),0),"Vigente","Atrasado")))</f>
        <v/>
      </c>
      <c r="I62" s="78" t="str">
        <f ca="1">IF(A62="","",SUMIFS(Ventas_SellIn!$L$2:$L$800,Ventas_SellIn!$D$2:$D$800,A62,Ventas_SellIn!$B$2:$B$800,"&gt;="&amp;TODAY()-Inicio!$B$14))</f>
        <v/>
      </c>
      <c r="J62" s="77" t="str">
        <f ca="1">IF(A62="","",SUMIFS(SellOut_Jumbo!$F$2:$F$800,SellOut_Jumbo!$C$2:$C$800,D62,SellOut_Jumbo!$A$2:$A$800,"&gt;="&amp;TODAY()-Inicio!$B$14))</f>
        <v/>
      </c>
      <c r="K62" s="75" t="str">
        <f>IF(A62="","",IF(I62=0,"Sin venta",IF(I62&lt;Inicio!$B$15,"Venta baja","Venta OK")))</f>
        <v/>
      </c>
      <c r="L62" s="77" t="str">
        <f>IF(A62="","",COUNTIFS(Ventas_SellIn!$D$2:$D$800,A62,Ventas_SellIn!$R$2:$R$800,"&gt;0"))</f>
        <v/>
      </c>
      <c r="M62" s="78" t="str">
        <f>IF(A62="","",SUMIFS(Ventas_SellIn!$R$2:$R$800,Ventas_SellIn!$D$2:$D$800,A62))</f>
        <v/>
      </c>
      <c r="N62" s="75" t="str">
        <f>IF(A62="","",IF(M62&gt;=Inicio!$B$18,"Pendiente relevante",IF(M62&gt;0,"Pendiente menor","Sin deuda")))</f>
        <v/>
      </c>
      <c r="O62" s="79" t="str">
        <f>IF(A62="","",SUMIFS(Stock_PDV!$H$2:$H$800,Stock_PDV!$A$2:$A$800,A62))</f>
        <v/>
      </c>
      <c r="P62" s="75" t="str">
        <f>IF(A62="","",IF(O62&lt;=Inicio!$B$16,"Crítico",IF(O62&lt;=Inicio!$B$17,"Observar","OK")))</f>
        <v/>
      </c>
      <c r="Q62" s="75" t="str">
        <f t="shared" si="1"/>
        <v/>
      </c>
      <c r="R62" s="75" t="str">
        <f t="shared" si="3"/>
        <v/>
      </c>
      <c r="S62" s="68" t="str">
        <f t="shared" si="2"/>
        <v/>
      </c>
      <c r="T62" s="68" t="str">
        <f>IF(A62="","",IFERROR(VLOOKUP(A62,Clientes_PDV!$A$2:$K$250,11,FALSE),""))</f>
        <v/>
      </c>
    </row>
    <row r="63" spans="1:20" x14ac:dyDescent="0.35">
      <c r="A63" s="80" t="str">
        <f>IF(Clientes_PDV!A63="","",Clientes_PDV!A63)</f>
        <v/>
      </c>
      <c r="B63" s="80" t="str">
        <f>IF(A63="","",IFERROR(VLOOKUP(A63,Clientes_PDV!$A$2:$J$250,2,FALSE),""))</f>
        <v/>
      </c>
      <c r="C63" s="80" t="str">
        <f>IF(A63="","",IFERROR(VLOOKUP(A63,Clientes_PDV!$A$2:$J$250,3,FALSE),""))</f>
        <v/>
      </c>
      <c r="D63" s="80" t="str">
        <f>IF(A63="","",IFERROR(VLOOKUP(A63,Clientes_PDV!$A$2:$J$250,4,FALSE),""))</f>
        <v/>
      </c>
      <c r="E63" s="80" t="str">
        <f>IF(A63="","",IFERROR(VLOOKUP(A63,Clientes_PDV!$A$2:$J$250,7,FALSE),""))</f>
        <v/>
      </c>
      <c r="F63" s="81" t="str">
        <f>IF(A63="","",IFERROR(VLOOKUP(A63,Clientes_PDV!$A$2:$J$250,8,FALSE),""))</f>
        <v/>
      </c>
      <c r="G63" s="82" t="str">
        <f t="shared" ca="1" si="0"/>
        <v/>
      </c>
      <c r="H63" s="80" t="str">
        <f>IF(A63="","",IF(F63="","Sin visita",IF(G63&lt;=IFERROR(VLOOKUP(E63,Inicio!$A$24:$B$26,2,FALSE),0),"Vigente","Atrasado")))</f>
        <v/>
      </c>
      <c r="I63" s="83" t="str">
        <f ca="1">IF(A63="","",SUMIFS(Ventas_SellIn!$L$2:$L$800,Ventas_SellIn!$D$2:$D$800,A63,Ventas_SellIn!$B$2:$B$800,"&gt;="&amp;TODAY()-Inicio!$B$14))</f>
        <v/>
      </c>
      <c r="J63" s="82" t="str">
        <f ca="1">IF(A63="","",SUMIFS(SellOut_Jumbo!$F$2:$F$800,SellOut_Jumbo!$C$2:$C$800,D63,SellOut_Jumbo!$A$2:$A$800,"&gt;="&amp;TODAY()-Inicio!$B$14))</f>
        <v/>
      </c>
      <c r="K63" s="80" t="str">
        <f>IF(A63="","",IF(I63=0,"Sin venta",IF(I63&lt;Inicio!$B$15,"Venta baja","Venta OK")))</f>
        <v/>
      </c>
      <c r="L63" s="82" t="str">
        <f>IF(A63="","",COUNTIFS(Ventas_SellIn!$D$2:$D$800,A63,Ventas_SellIn!$R$2:$R$800,"&gt;0"))</f>
        <v/>
      </c>
      <c r="M63" s="83" t="str">
        <f>IF(A63="","",SUMIFS(Ventas_SellIn!$R$2:$R$800,Ventas_SellIn!$D$2:$D$800,A63))</f>
        <v/>
      </c>
      <c r="N63" s="80" t="str">
        <f>IF(A63="","",IF(M63&gt;=Inicio!$B$18,"Pendiente relevante",IF(M63&gt;0,"Pendiente menor","Sin deuda")))</f>
        <v/>
      </c>
      <c r="O63" s="84" t="str">
        <f>IF(A63="","",SUMIFS(Stock_PDV!$H$2:$H$800,Stock_PDV!$A$2:$A$800,A63))</f>
        <v/>
      </c>
      <c r="P63" s="80" t="str">
        <f>IF(A63="","",IF(O63&lt;=Inicio!$B$16,"Crítico",IF(O63&lt;=Inicio!$B$17,"Observar","OK")))</f>
        <v/>
      </c>
      <c r="Q63" s="80" t="str">
        <f t="shared" si="1"/>
        <v/>
      </c>
      <c r="R63" s="80" t="str">
        <f t="shared" si="3"/>
        <v/>
      </c>
      <c r="S63" s="70" t="str">
        <f t="shared" si="2"/>
        <v/>
      </c>
      <c r="T63" s="70" t="str">
        <f>IF(A63="","",IFERROR(VLOOKUP(A63,Clientes_PDV!$A$2:$K$250,11,FALSE),""))</f>
        <v/>
      </c>
    </row>
    <row r="64" spans="1:20" x14ac:dyDescent="0.35">
      <c r="A64" s="75" t="str">
        <f>IF(Clientes_PDV!A64="","",Clientes_PDV!A64)</f>
        <v/>
      </c>
      <c r="B64" s="75" t="str">
        <f>IF(A64="","",IFERROR(VLOOKUP(A64,Clientes_PDV!$A$2:$J$250,2,FALSE),""))</f>
        <v/>
      </c>
      <c r="C64" s="75" t="str">
        <f>IF(A64="","",IFERROR(VLOOKUP(A64,Clientes_PDV!$A$2:$J$250,3,FALSE),""))</f>
        <v/>
      </c>
      <c r="D64" s="75" t="str">
        <f>IF(A64="","",IFERROR(VLOOKUP(A64,Clientes_PDV!$A$2:$J$250,4,FALSE),""))</f>
        <v/>
      </c>
      <c r="E64" s="75" t="str">
        <f>IF(A64="","",IFERROR(VLOOKUP(A64,Clientes_PDV!$A$2:$J$250,7,FALSE),""))</f>
        <v/>
      </c>
      <c r="F64" s="76" t="str">
        <f>IF(A64="","",IFERROR(VLOOKUP(A64,Clientes_PDV!$A$2:$J$250,8,FALSE),""))</f>
        <v/>
      </c>
      <c r="G64" s="77" t="str">
        <f t="shared" ca="1" si="0"/>
        <v/>
      </c>
      <c r="H64" s="75" t="str">
        <f>IF(A64="","",IF(F64="","Sin visita",IF(G64&lt;=IFERROR(VLOOKUP(E64,Inicio!$A$24:$B$26,2,FALSE),0),"Vigente","Atrasado")))</f>
        <v/>
      </c>
      <c r="I64" s="78" t="str">
        <f ca="1">IF(A64="","",SUMIFS(Ventas_SellIn!$L$2:$L$800,Ventas_SellIn!$D$2:$D$800,A64,Ventas_SellIn!$B$2:$B$800,"&gt;="&amp;TODAY()-Inicio!$B$14))</f>
        <v/>
      </c>
      <c r="J64" s="77" t="str">
        <f ca="1">IF(A64="","",SUMIFS(SellOut_Jumbo!$F$2:$F$800,SellOut_Jumbo!$C$2:$C$800,D64,SellOut_Jumbo!$A$2:$A$800,"&gt;="&amp;TODAY()-Inicio!$B$14))</f>
        <v/>
      </c>
      <c r="K64" s="75" t="str">
        <f>IF(A64="","",IF(I64=0,"Sin venta",IF(I64&lt;Inicio!$B$15,"Venta baja","Venta OK")))</f>
        <v/>
      </c>
      <c r="L64" s="77" t="str">
        <f>IF(A64="","",COUNTIFS(Ventas_SellIn!$D$2:$D$800,A64,Ventas_SellIn!$R$2:$R$800,"&gt;0"))</f>
        <v/>
      </c>
      <c r="M64" s="78" t="str">
        <f>IF(A64="","",SUMIFS(Ventas_SellIn!$R$2:$R$800,Ventas_SellIn!$D$2:$D$800,A64))</f>
        <v/>
      </c>
      <c r="N64" s="75" t="str">
        <f>IF(A64="","",IF(M64&gt;=Inicio!$B$18,"Pendiente relevante",IF(M64&gt;0,"Pendiente menor","Sin deuda")))</f>
        <v/>
      </c>
      <c r="O64" s="79" t="str">
        <f>IF(A64="","",SUMIFS(Stock_PDV!$H$2:$H$800,Stock_PDV!$A$2:$A$800,A64))</f>
        <v/>
      </c>
      <c r="P64" s="75" t="str">
        <f>IF(A64="","",IF(O64&lt;=Inicio!$B$16,"Crítico",IF(O64&lt;=Inicio!$B$17,"Observar","OK")))</f>
        <v/>
      </c>
      <c r="Q64" s="75" t="str">
        <f t="shared" si="1"/>
        <v/>
      </c>
      <c r="R64" s="75" t="str">
        <f t="shared" si="3"/>
        <v/>
      </c>
      <c r="S64" s="68" t="str">
        <f t="shared" si="2"/>
        <v/>
      </c>
      <c r="T64" s="68" t="str">
        <f>IF(A64="","",IFERROR(VLOOKUP(A64,Clientes_PDV!$A$2:$K$250,11,FALSE),""))</f>
        <v/>
      </c>
    </row>
    <row r="65" spans="1:20" x14ac:dyDescent="0.35">
      <c r="A65" s="80" t="str">
        <f>IF(Clientes_PDV!A65="","",Clientes_PDV!A65)</f>
        <v/>
      </c>
      <c r="B65" s="80" t="str">
        <f>IF(A65="","",IFERROR(VLOOKUP(A65,Clientes_PDV!$A$2:$J$250,2,FALSE),""))</f>
        <v/>
      </c>
      <c r="C65" s="80" t="str">
        <f>IF(A65="","",IFERROR(VLOOKUP(A65,Clientes_PDV!$A$2:$J$250,3,FALSE),""))</f>
        <v/>
      </c>
      <c r="D65" s="80" t="str">
        <f>IF(A65="","",IFERROR(VLOOKUP(A65,Clientes_PDV!$A$2:$J$250,4,FALSE),""))</f>
        <v/>
      </c>
      <c r="E65" s="80" t="str">
        <f>IF(A65="","",IFERROR(VLOOKUP(A65,Clientes_PDV!$A$2:$J$250,7,FALSE),""))</f>
        <v/>
      </c>
      <c r="F65" s="81" t="str">
        <f>IF(A65="","",IFERROR(VLOOKUP(A65,Clientes_PDV!$A$2:$J$250,8,FALSE),""))</f>
        <v/>
      </c>
      <c r="G65" s="82" t="str">
        <f t="shared" ca="1" si="0"/>
        <v/>
      </c>
      <c r="H65" s="80" t="str">
        <f>IF(A65="","",IF(F65="","Sin visita",IF(G65&lt;=IFERROR(VLOOKUP(E65,Inicio!$A$24:$B$26,2,FALSE),0),"Vigente","Atrasado")))</f>
        <v/>
      </c>
      <c r="I65" s="83" t="str">
        <f ca="1">IF(A65="","",SUMIFS(Ventas_SellIn!$L$2:$L$800,Ventas_SellIn!$D$2:$D$800,A65,Ventas_SellIn!$B$2:$B$800,"&gt;="&amp;TODAY()-Inicio!$B$14))</f>
        <v/>
      </c>
      <c r="J65" s="82" t="str">
        <f ca="1">IF(A65="","",SUMIFS(SellOut_Jumbo!$F$2:$F$800,SellOut_Jumbo!$C$2:$C$800,D65,SellOut_Jumbo!$A$2:$A$800,"&gt;="&amp;TODAY()-Inicio!$B$14))</f>
        <v/>
      </c>
      <c r="K65" s="80" t="str">
        <f>IF(A65="","",IF(I65=0,"Sin venta",IF(I65&lt;Inicio!$B$15,"Venta baja","Venta OK")))</f>
        <v/>
      </c>
      <c r="L65" s="82" t="str">
        <f>IF(A65="","",COUNTIFS(Ventas_SellIn!$D$2:$D$800,A65,Ventas_SellIn!$R$2:$R$800,"&gt;0"))</f>
        <v/>
      </c>
      <c r="M65" s="83" t="str">
        <f>IF(A65="","",SUMIFS(Ventas_SellIn!$R$2:$R$800,Ventas_SellIn!$D$2:$D$800,A65))</f>
        <v/>
      </c>
      <c r="N65" s="80" t="str">
        <f>IF(A65="","",IF(M65&gt;=Inicio!$B$18,"Pendiente relevante",IF(M65&gt;0,"Pendiente menor","Sin deuda")))</f>
        <v/>
      </c>
      <c r="O65" s="84" t="str">
        <f>IF(A65="","",SUMIFS(Stock_PDV!$H$2:$H$800,Stock_PDV!$A$2:$A$800,A65))</f>
        <v/>
      </c>
      <c r="P65" s="80" t="str">
        <f>IF(A65="","",IF(O65&lt;=Inicio!$B$16,"Crítico",IF(O65&lt;=Inicio!$B$17,"Observar","OK")))</f>
        <v/>
      </c>
      <c r="Q65" s="80" t="str">
        <f t="shared" si="1"/>
        <v/>
      </c>
      <c r="R65" s="80" t="str">
        <f t="shared" si="3"/>
        <v/>
      </c>
      <c r="S65" s="70" t="str">
        <f t="shared" si="2"/>
        <v/>
      </c>
      <c r="T65" s="70" t="str">
        <f>IF(A65="","",IFERROR(VLOOKUP(A65,Clientes_PDV!$A$2:$K$250,11,FALSE),""))</f>
        <v/>
      </c>
    </row>
    <row r="66" spans="1:20" x14ac:dyDescent="0.35">
      <c r="A66" s="75" t="str">
        <f>IF(Clientes_PDV!A66="","",Clientes_PDV!A66)</f>
        <v/>
      </c>
      <c r="B66" s="75" t="str">
        <f>IF(A66="","",IFERROR(VLOOKUP(A66,Clientes_PDV!$A$2:$J$250,2,FALSE),""))</f>
        <v/>
      </c>
      <c r="C66" s="75" t="str">
        <f>IF(A66="","",IFERROR(VLOOKUP(A66,Clientes_PDV!$A$2:$J$250,3,FALSE),""))</f>
        <v/>
      </c>
      <c r="D66" s="75" t="str">
        <f>IF(A66="","",IFERROR(VLOOKUP(A66,Clientes_PDV!$A$2:$J$250,4,FALSE),""))</f>
        <v/>
      </c>
      <c r="E66" s="75" t="str">
        <f>IF(A66="","",IFERROR(VLOOKUP(A66,Clientes_PDV!$A$2:$J$250,7,FALSE),""))</f>
        <v/>
      </c>
      <c r="F66" s="76" t="str">
        <f>IF(A66="","",IFERROR(VLOOKUP(A66,Clientes_PDV!$A$2:$J$250,8,FALSE),""))</f>
        <v/>
      </c>
      <c r="G66" s="77" t="str">
        <f t="shared" ref="G66:G129" ca="1" si="4">IF(F66="","",TODAY()-F66)</f>
        <v/>
      </c>
      <c r="H66" s="75" t="str">
        <f>IF(A66="","",IF(F66="","Sin visita",IF(G66&lt;=IFERROR(VLOOKUP(E66,Inicio!$A$24:$B$26,2,FALSE),0),"Vigente","Atrasado")))</f>
        <v/>
      </c>
      <c r="I66" s="78" t="str">
        <f ca="1">IF(A66="","",SUMIFS(Ventas_SellIn!$L$2:$L$800,Ventas_SellIn!$D$2:$D$800,A66,Ventas_SellIn!$B$2:$B$800,"&gt;="&amp;TODAY()-Inicio!$B$14))</f>
        <v/>
      </c>
      <c r="J66" s="77" t="str">
        <f ca="1">IF(A66="","",SUMIFS(SellOut_Jumbo!$F$2:$F$800,SellOut_Jumbo!$C$2:$C$800,D66,SellOut_Jumbo!$A$2:$A$800,"&gt;="&amp;TODAY()-Inicio!$B$14))</f>
        <v/>
      </c>
      <c r="K66" s="75" t="str">
        <f>IF(A66="","",IF(I66=0,"Sin venta",IF(I66&lt;Inicio!$B$15,"Venta baja","Venta OK")))</f>
        <v/>
      </c>
      <c r="L66" s="77" t="str">
        <f>IF(A66="","",COUNTIFS(Ventas_SellIn!$D$2:$D$800,A66,Ventas_SellIn!$R$2:$R$800,"&gt;0"))</f>
        <v/>
      </c>
      <c r="M66" s="78" t="str">
        <f>IF(A66="","",SUMIFS(Ventas_SellIn!$R$2:$R$800,Ventas_SellIn!$D$2:$D$800,A66))</f>
        <v/>
      </c>
      <c r="N66" s="75" t="str">
        <f>IF(A66="","",IF(M66&gt;=Inicio!$B$18,"Pendiente relevante",IF(M66&gt;0,"Pendiente menor","Sin deuda")))</f>
        <v/>
      </c>
      <c r="O66" s="79" t="str">
        <f>IF(A66="","",SUMIFS(Stock_PDV!$H$2:$H$800,Stock_PDV!$A$2:$A$800,A66))</f>
        <v/>
      </c>
      <c r="P66" s="75" t="str">
        <f>IF(A66="","",IF(O66&lt;=Inicio!$B$16,"Crítico",IF(O66&lt;=Inicio!$B$17,"Observar","OK")))</f>
        <v/>
      </c>
      <c r="Q66" s="75" t="str">
        <f t="shared" ref="Q66:Q129" si="5">IF(A66="","",IF(OR(H66="Atrasado",K66="Sin venta",N66="Pendiente relevante",P66="Crítico"),"Alta",IF(OR(K66="Venta baja",N66="Pendiente menor",P66="Observar"),"Media","Baja")))</f>
        <v/>
      </c>
      <c r="R66" s="75" t="str">
        <f t="shared" ref="R66:R129" si="6">IF(A66="","",IF(Q66="Alta","Gestionar esta semana",IF(Q66="Media","Hacer seguimiento","Mantener")))</f>
        <v/>
      </c>
      <c r="S66" s="68" t="str">
        <f t="shared" ref="S66:S129" si="7">IF(A66="","",IF(I66=0,"Sin venta",IF(I66&gt;=cfg_VentaAlta,"Alta",IF(I66&lt;cfg_VentaBaja,"Baja","Media"))))</f>
        <v/>
      </c>
      <c r="T66" s="68" t="str">
        <f>IF(A66="","",IFERROR(VLOOKUP(A66,Clientes_PDV!$A$2:$K$250,11,FALSE),""))</f>
        <v/>
      </c>
    </row>
    <row r="67" spans="1:20" x14ac:dyDescent="0.35">
      <c r="A67" s="80" t="str">
        <f>IF(Clientes_PDV!A67="","",Clientes_PDV!A67)</f>
        <v/>
      </c>
      <c r="B67" s="80" t="str">
        <f>IF(A67="","",IFERROR(VLOOKUP(A67,Clientes_PDV!$A$2:$J$250,2,FALSE),""))</f>
        <v/>
      </c>
      <c r="C67" s="80" t="str">
        <f>IF(A67="","",IFERROR(VLOOKUP(A67,Clientes_PDV!$A$2:$J$250,3,FALSE),""))</f>
        <v/>
      </c>
      <c r="D67" s="80" t="str">
        <f>IF(A67="","",IFERROR(VLOOKUP(A67,Clientes_PDV!$A$2:$J$250,4,FALSE),""))</f>
        <v/>
      </c>
      <c r="E67" s="80" t="str">
        <f>IF(A67="","",IFERROR(VLOOKUP(A67,Clientes_PDV!$A$2:$J$250,7,FALSE),""))</f>
        <v/>
      </c>
      <c r="F67" s="81" t="str">
        <f>IF(A67="","",IFERROR(VLOOKUP(A67,Clientes_PDV!$A$2:$J$250,8,FALSE),""))</f>
        <v/>
      </c>
      <c r="G67" s="82" t="str">
        <f t="shared" ca="1" si="4"/>
        <v/>
      </c>
      <c r="H67" s="80" t="str">
        <f>IF(A67="","",IF(F67="","Sin visita",IF(G67&lt;=IFERROR(VLOOKUP(E67,Inicio!$A$24:$B$26,2,FALSE),0),"Vigente","Atrasado")))</f>
        <v/>
      </c>
      <c r="I67" s="83" t="str">
        <f ca="1">IF(A67="","",SUMIFS(Ventas_SellIn!$L$2:$L$800,Ventas_SellIn!$D$2:$D$800,A67,Ventas_SellIn!$B$2:$B$800,"&gt;="&amp;TODAY()-Inicio!$B$14))</f>
        <v/>
      </c>
      <c r="J67" s="82" t="str">
        <f ca="1">IF(A67="","",SUMIFS(SellOut_Jumbo!$F$2:$F$800,SellOut_Jumbo!$C$2:$C$800,D67,SellOut_Jumbo!$A$2:$A$800,"&gt;="&amp;TODAY()-Inicio!$B$14))</f>
        <v/>
      </c>
      <c r="K67" s="80" t="str">
        <f>IF(A67="","",IF(I67=0,"Sin venta",IF(I67&lt;Inicio!$B$15,"Venta baja","Venta OK")))</f>
        <v/>
      </c>
      <c r="L67" s="82" t="str">
        <f>IF(A67="","",COUNTIFS(Ventas_SellIn!$D$2:$D$800,A67,Ventas_SellIn!$R$2:$R$800,"&gt;0"))</f>
        <v/>
      </c>
      <c r="M67" s="83" t="str">
        <f>IF(A67="","",SUMIFS(Ventas_SellIn!$R$2:$R$800,Ventas_SellIn!$D$2:$D$800,A67))</f>
        <v/>
      </c>
      <c r="N67" s="80" t="str">
        <f>IF(A67="","",IF(M67&gt;=Inicio!$B$18,"Pendiente relevante",IF(M67&gt;0,"Pendiente menor","Sin deuda")))</f>
        <v/>
      </c>
      <c r="O67" s="84" t="str">
        <f>IF(A67="","",SUMIFS(Stock_PDV!$H$2:$H$800,Stock_PDV!$A$2:$A$800,A67))</f>
        <v/>
      </c>
      <c r="P67" s="80" t="str">
        <f>IF(A67="","",IF(O67&lt;=Inicio!$B$16,"Crítico",IF(O67&lt;=Inicio!$B$17,"Observar","OK")))</f>
        <v/>
      </c>
      <c r="Q67" s="80" t="str">
        <f t="shared" si="5"/>
        <v/>
      </c>
      <c r="R67" s="80" t="str">
        <f t="shared" si="6"/>
        <v/>
      </c>
      <c r="S67" s="70" t="str">
        <f t="shared" si="7"/>
        <v/>
      </c>
      <c r="T67" s="70" t="str">
        <f>IF(A67="","",IFERROR(VLOOKUP(A67,Clientes_PDV!$A$2:$K$250,11,FALSE),""))</f>
        <v/>
      </c>
    </row>
    <row r="68" spans="1:20" x14ac:dyDescent="0.35">
      <c r="A68" s="75" t="str">
        <f>IF(Clientes_PDV!A68="","",Clientes_PDV!A68)</f>
        <v/>
      </c>
      <c r="B68" s="75" t="str">
        <f>IF(A68="","",IFERROR(VLOOKUP(A68,Clientes_PDV!$A$2:$J$250,2,FALSE),""))</f>
        <v/>
      </c>
      <c r="C68" s="75" t="str">
        <f>IF(A68="","",IFERROR(VLOOKUP(A68,Clientes_PDV!$A$2:$J$250,3,FALSE),""))</f>
        <v/>
      </c>
      <c r="D68" s="75" t="str">
        <f>IF(A68="","",IFERROR(VLOOKUP(A68,Clientes_PDV!$A$2:$J$250,4,FALSE),""))</f>
        <v/>
      </c>
      <c r="E68" s="75" t="str">
        <f>IF(A68="","",IFERROR(VLOOKUP(A68,Clientes_PDV!$A$2:$J$250,7,FALSE),""))</f>
        <v/>
      </c>
      <c r="F68" s="76" t="str">
        <f>IF(A68="","",IFERROR(VLOOKUP(A68,Clientes_PDV!$A$2:$J$250,8,FALSE),""))</f>
        <v/>
      </c>
      <c r="G68" s="77" t="str">
        <f t="shared" ca="1" si="4"/>
        <v/>
      </c>
      <c r="H68" s="75" t="str">
        <f>IF(A68="","",IF(F68="","Sin visita",IF(G68&lt;=IFERROR(VLOOKUP(E68,Inicio!$A$24:$B$26,2,FALSE),0),"Vigente","Atrasado")))</f>
        <v/>
      </c>
      <c r="I68" s="78" t="str">
        <f ca="1">IF(A68="","",SUMIFS(Ventas_SellIn!$L$2:$L$800,Ventas_SellIn!$D$2:$D$800,A68,Ventas_SellIn!$B$2:$B$800,"&gt;="&amp;TODAY()-Inicio!$B$14))</f>
        <v/>
      </c>
      <c r="J68" s="77" t="str">
        <f ca="1">IF(A68="","",SUMIFS(SellOut_Jumbo!$F$2:$F$800,SellOut_Jumbo!$C$2:$C$800,D68,SellOut_Jumbo!$A$2:$A$800,"&gt;="&amp;TODAY()-Inicio!$B$14))</f>
        <v/>
      </c>
      <c r="K68" s="75" t="str">
        <f>IF(A68="","",IF(I68=0,"Sin venta",IF(I68&lt;Inicio!$B$15,"Venta baja","Venta OK")))</f>
        <v/>
      </c>
      <c r="L68" s="77" t="str">
        <f>IF(A68="","",COUNTIFS(Ventas_SellIn!$D$2:$D$800,A68,Ventas_SellIn!$R$2:$R$800,"&gt;0"))</f>
        <v/>
      </c>
      <c r="M68" s="78" t="str">
        <f>IF(A68="","",SUMIFS(Ventas_SellIn!$R$2:$R$800,Ventas_SellIn!$D$2:$D$800,A68))</f>
        <v/>
      </c>
      <c r="N68" s="75" t="str">
        <f>IF(A68="","",IF(M68&gt;=Inicio!$B$18,"Pendiente relevante",IF(M68&gt;0,"Pendiente menor","Sin deuda")))</f>
        <v/>
      </c>
      <c r="O68" s="79" t="str">
        <f>IF(A68="","",SUMIFS(Stock_PDV!$H$2:$H$800,Stock_PDV!$A$2:$A$800,A68))</f>
        <v/>
      </c>
      <c r="P68" s="75" t="str">
        <f>IF(A68="","",IF(O68&lt;=Inicio!$B$16,"Crítico",IF(O68&lt;=Inicio!$B$17,"Observar","OK")))</f>
        <v/>
      </c>
      <c r="Q68" s="75" t="str">
        <f t="shared" si="5"/>
        <v/>
      </c>
      <c r="R68" s="75" t="str">
        <f t="shared" si="6"/>
        <v/>
      </c>
      <c r="S68" s="68" t="str">
        <f t="shared" si="7"/>
        <v/>
      </c>
      <c r="T68" s="68" t="str">
        <f>IF(A68="","",IFERROR(VLOOKUP(A68,Clientes_PDV!$A$2:$K$250,11,FALSE),""))</f>
        <v/>
      </c>
    </row>
    <row r="69" spans="1:20" x14ac:dyDescent="0.35">
      <c r="A69" s="80" t="str">
        <f>IF(Clientes_PDV!A69="","",Clientes_PDV!A69)</f>
        <v/>
      </c>
      <c r="B69" s="80" t="str">
        <f>IF(A69="","",IFERROR(VLOOKUP(A69,Clientes_PDV!$A$2:$J$250,2,FALSE),""))</f>
        <v/>
      </c>
      <c r="C69" s="80" t="str">
        <f>IF(A69="","",IFERROR(VLOOKUP(A69,Clientes_PDV!$A$2:$J$250,3,FALSE),""))</f>
        <v/>
      </c>
      <c r="D69" s="80" t="str">
        <f>IF(A69="","",IFERROR(VLOOKUP(A69,Clientes_PDV!$A$2:$J$250,4,FALSE),""))</f>
        <v/>
      </c>
      <c r="E69" s="80" t="str">
        <f>IF(A69="","",IFERROR(VLOOKUP(A69,Clientes_PDV!$A$2:$J$250,7,FALSE),""))</f>
        <v/>
      </c>
      <c r="F69" s="81" t="str">
        <f>IF(A69="","",IFERROR(VLOOKUP(A69,Clientes_PDV!$A$2:$J$250,8,FALSE),""))</f>
        <v/>
      </c>
      <c r="G69" s="82" t="str">
        <f t="shared" ca="1" si="4"/>
        <v/>
      </c>
      <c r="H69" s="80" t="str">
        <f>IF(A69="","",IF(F69="","Sin visita",IF(G69&lt;=IFERROR(VLOOKUP(E69,Inicio!$A$24:$B$26,2,FALSE),0),"Vigente","Atrasado")))</f>
        <v/>
      </c>
      <c r="I69" s="83" t="str">
        <f ca="1">IF(A69="","",SUMIFS(Ventas_SellIn!$L$2:$L$800,Ventas_SellIn!$D$2:$D$800,A69,Ventas_SellIn!$B$2:$B$800,"&gt;="&amp;TODAY()-Inicio!$B$14))</f>
        <v/>
      </c>
      <c r="J69" s="82" t="str">
        <f ca="1">IF(A69="","",SUMIFS(SellOut_Jumbo!$F$2:$F$800,SellOut_Jumbo!$C$2:$C$800,D69,SellOut_Jumbo!$A$2:$A$800,"&gt;="&amp;TODAY()-Inicio!$B$14))</f>
        <v/>
      </c>
      <c r="K69" s="80" t="str">
        <f>IF(A69="","",IF(I69=0,"Sin venta",IF(I69&lt;Inicio!$B$15,"Venta baja","Venta OK")))</f>
        <v/>
      </c>
      <c r="L69" s="82" t="str">
        <f>IF(A69="","",COUNTIFS(Ventas_SellIn!$D$2:$D$800,A69,Ventas_SellIn!$R$2:$R$800,"&gt;0"))</f>
        <v/>
      </c>
      <c r="M69" s="83" t="str">
        <f>IF(A69="","",SUMIFS(Ventas_SellIn!$R$2:$R$800,Ventas_SellIn!$D$2:$D$800,A69))</f>
        <v/>
      </c>
      <c r="N69" s="80" t="str">
        <f>IF(A69="","",IF(M69&gt;=Inicio!$B$18,"Pendiente relevante",IF(M69&gt;0,"Pendiente menor","Sin deuda")))</f>
        <v/>
      </c>
      <c r="O69" s="84" t="str">
        <f>IF(A69="","",SUMIFS(Stock_PDV!$H$2:$H$800,Stock_PDV!$A$2:$A$800,A69))</f>
        <v/>
      </c>
      <c r="P69" s="80" t="str">
        <f>IF(A69="","",IF(O69&lt;=Inicio!$B$16,"Crítico",IF(O69&lt;=Inicio!$B$17,"Observar","OK")))</f>
        <v/>
      </c>
      <c r="Q69" s="80" t="str">
        <f t="shared" si="5"/>
        <v/>
      </c>
      <c r="R69" s="80" t="str">
        <f t="shared" si="6"/>
        <v/>
      </c>
      <c r="S69" s="70" t="str">
        <f t="shared" si="7"/>
        <v/>
      </c>
      <c r="T69" s="70" t="str">
        <f>IF(A69="","",IFERROR(VLOOKUP(A69,Clientes_PDV!$A$2:$K$250,11,FALSE),""))</f>
        <v/>
      </c>
    </row>
    <row r="70" spans="1:20" x14ac:dyDescent="0.35">
      <c r="A70" s="75" t="str">
        <f>IF(Clientes_PDV!A70="","",Clientes_PDV!A70)</f>
        <v/>
      </c>
      <c r="B70" s="75" t="str">
        <f>IF(A70="","",IFERROR(VLOOKUP(A70,Clientes_PDV!$A$2:$J$250,2,FALSE),""))</f>
        <v/>
      </c>
      <c r="C70" s="75" t="str">
        <f>IF(A70="","",IFERROR(VLOOKUP(A70,Clientes_PDV!$A$2:$J$250,3,FALSE),""))</f>
        <v/>
      </c>
      <c r="D70" s="75" t="str">
        <f>IF(A70="","",IFERROR(VLOOKUP(A70,Clientes_PDV!$A$2:$J$250,4,FALSE),""))</f>
        <v/>
      </c>
      <c r="E70" s="75" t="str">
        <f>IF(A70="","",IFERROR(VLOOKUP(A70,Clientes_PDV!$A$2:$J$250,7,FALSE),""))</f>
        <v/>
      </c>
      <c r="F70" s="76" t="str">
        <f>IF(A70="","",IFERROR(VLOOKUP(A70,Clientes_PDV!$A$2:$J$250,8,FALSE),""))</f>
        <v/>
      </c>
      <c r="G70" s="77" t="str">
        <f t="shared" ca="1" si="4"/>
        <v/>
      </c>
      <c r="H70" s="75" t="str">
        <f>IF(A70="","",IF(F70="","Sin visita",IF(G70&lt;=IFERROR(VLOOKUP(E70,Inicio!$A$24:$B$26,2,FALSE),0),"Vigente","Atrasado")))</f>
        <v/>
      </c>
      <c r="I70" s="78" t="str">
        <f ca="1">IF(A70="","",SUMIFS(Ventas_SellIn!$L$2:$L$800,Ventas_SellIn!$D$2:$D$800,A70,Ventas_SellIn!$B$2:$B$800,"&gt;="&amp;TODAY()-Inicio!$B$14))</f>
        <v/>
      </c>
      <c r="J70" s="77" t="str">
        <f ca="1">IF(A70="","",SUMIFS(SellOut_Jumbo!$F$2:$F$800,SellOut_Jumbo!$C$2:$C$800,D70,SellOut_Jumbo!$A$2:$A$800,"&gt;="&amp;TODAY()-Inicio!$B$14))</f>
        <v/>
      </c>
      <c r="K70" s="75" t="str">
        <f>IF(A70="","",IF(I70=0,"Sin venta",IF(I70&lt;Inicio!$B$15,"Venta baja","Venta OK")))</f>
        <v/>
      </c>
      <c r="L70" s="77" t="str">
        <f>IF(A70="","",COUNTIFS(Ventas_SellIn!$D$2:$D$800,A70,Ventas_SellIn!$R$2:$R$800,"&gt;0"))</f>
        <v/>
      </c>
      <c r="M70" s="78" t="str">
        <f>IF(A70="","",SUMIFS(Ventas_SellIn!$R$2:$R$800,Ventas_SellIn!$D$2:$D$800,A70))</f>
        <v/>
      </c>
      <c r="N70" s="75" t="str">
        <f>IF(A70="","",IF(M70&gt;=Inicio!$B$18,"Pendiente relevante",IF(M70&gt;0,"Pendiente menor","Sin deuda")))</f>
        <v/>
      </c>
      <c r="O70" s="79" t="str">
        <f>IF(A70="","",SUMIFS(Stock_PDV!$H$2:$H$800,Stock_PDV!$A$2:$A$800,A70))</f>
        <v/>
      </c>
      <c r="P70" s="75" t="str">
        <f>IF(A70="","",IF(O70&lt;=Inicio!$B$16,"Crítico",IF(O70&lt;=Inicio!$B$17,"Observar","OK")))</f>
        <v/>
      </c>
      <c r="Q70" s="75" t="str">
        <f t="shared" si="5"/>
        <v/>
      </c>
      <c r="R70" s="75" t="str">
        <f t="shared" si="6"/>
        <v/>
      </c>
      <c r="S70" s="68" t="str">
        <f t="shared" si="7"/>
        <v/>
      </c>
      <c r="T70" s="68" t="str">
        <f>IF(A70="","",IFERROR(VLOOKUP(A70,Clientes_PDV!$A$2:$K$250,11,FALSE),""))</f>
        <v/>
      </c>
    </row>
    <row r="71" spans="1:20" x14ac:dyDescent="0.35">
      <c r="A71" s="80" t="str">
        <f>IF(Clientes_PDV!A71="","",Clientes_PDV!A71)</f>
        <v/>
      </c>
      <c r="B71" s="80" t="str">
        <f>IF(A71="","",IFERROR(VLOOKUP(A71,Clientes_PDV!$A$2:$J$250,2,FALSE),""))</f>
        <v/>
      </c>
      <c r="C71" s="80" t="str">
        <f>IF(A71="","",IFERROR(VLOOKUP(A71,Clientes_PDV!$A$2:$J$250,3,FALSE),""))</f>
        <v/>
      </c>
      <c r="D71" s="80" t="str">
        <f>IF(A71="","",IFERROR(VLOOKUP(A71,Clientes_PDV!$A$2:$J$250,4,FALSE),""))</f>
        <v/>
      </c>
      <c r="E71" s="80" t="str">
        <f>IF(A71="","",IFERROR(VLOOKUP(A71,Clientes_PDV!$A$2:$J$250,7,FALSE),""))</f>
        <v/>
      </c>
      <c r="F71" s="81" t="str">
        <f>IF(A71="","",IFERROR(VLOOKUP(A71,Clientes_PDV!$A$2:$J$250,8,FALSE),""))</f>
        <v/>
      </c>
      <c r="G71" s="82" t="str">
        <f t="shared" ca="1" si="4"/>
        <v/>
      </c>
      <c r="H71" s="80" t="str">
        <f>IF(A71="","",IF(F71="","Sin visita",IF(G71&lt;=IFERROR(VLOOKUP(E71,Inicio!$A$24:$B$26,2,FALSE),0),"Vigente","Atrasado")))</f>
        <v/>
      </c>
      <c r="I71" s="83" t="str">
        <f ca="1">IF(A71="","",SUMIFS(Ventas_SellIn!$L$2:$L$800,Ventas_SellIn!$D$2:$D$800,A71,Ventas_SellIn!$B$2:$B$800,"&gt;="&amp;TODAY()-Inicio!$B$14))</f>
        <v/>
      </c>
      <c r="J71" s="82" t="str">
        <f ca="1">IF(A71="","",SUMIFS(SellOut_Jumbo!$F$2:$F$800,SellOut_Jumbo!$C$2:$C$800,D71,SellOut_Jumbo!$A$2:$A$800,"&gt;="&amp;TODAY()-Inicio!$B$14))</f>
        <v/>
      </c>
      <c r="K71" s="80" t="str">
        <f>IF(A71="","",IF(I71=0,"Sin venta",IF(I71&lt;Inicio!$B$15,"Venta baja","Venta OK")))</f>
        <v/>
      </c>
      <c r="L71" s="82" t="str">
        <f>IF(A71="","",COUNTIFS(Ventas_SellIn!$D$2:$D$800,A71,Ventas_SellIn!$R$2:$R$800,"&gt;0"))</f>
        <v/>
      </c>
      <c r="M71" s="83" t="str">
        <f>IF(A71="","",SUMIFS(Ventas_SellIn!$R$2:$R$800,Ventas_SellIn!$D$2:$D$800,A71))</f>
        <v/>
      </c>
      <c r="N71" s="80" t="str">
        <f>IF(A71="","",IF(M71&gt;=Inicio!$B$18,"Pendiente relevante",IF(M71&gt;0,"Pendiente menor","Sin deuda")))</f>
        <v/>
      </c>
      <c r="O71" s="84" t="str">
        <f>IF(A71="","",SUMIFS(Stock_PDV!$H$2:$H$800,Stock_PDV!$A$2:$A$800,A71))</f>
        <v/>
      </c>
      <c r="P71" s="80" t="str">
        <f>IF(A71="","",IF(O71&lt;=Inicio!$B$16,"Crítico",IF(O71&lt;=Inicio!$B$17,"Observar","OK")))</f>
        <v/>
      </c>
      <c r="Q71" s="80" t="str">
        <f t="shared" si="5"/>
        <v/>
      </c>
      <c r="R71" s="80" t="str">
        <f t="shared" si="6"/>
        <v/>
      </c>
      <c r="S71" s="70" t="str">
        <f t="shared" si="7"/>
        <v/>
      </c>
      <c r="T71" s="70" t="str">
        <f>IF(A71="","",IFERROR(VLOOKUP(A71,Clientes_PDV!$A$2:$K$250,11,FALSE),""))</f>
        <v/>
      </c>
    </row>
    <row r="72" spans="1:20" x14ac:dyDescent="0.35">
      <c r="A72" s="75" t="str">
        <f>IF(Clientes_PDV!A72="","",Clientes_PDV!A72)</f>
        <v/>
      </c>
      <c r="B72" s="75" t="str">
        <f>IF(A72="","",IFERROR(VLOOKUP(A72,Clientes_PDV!$A$2:$J$250,2,FALSE),""))</f>
        <v/>
      </c>
      <c r="C72" s="75" t="str">
        <f>IF(A72="","",IFERROR(VLOOKUP(A72,Clientes_PDV!$A$2:$J$250,3,FALSE),""))</f>
        <v/>
      </c>
      <c r="D72" s="75" t="str">
        <f>IF(A72="","",IFERROR(VLOOKUP(A72,Clientes_PDV!$A$2:$J$250,4,FALSE),""))</f>
        <v/>
      </c>
      <c r="E72" s="75" t="str">
        <f>IF(A72="","",IFERROR(VLOOKUP(A72,Clientes_PDV!$A$2:$J$250,7,FALSE),""))</f>
        <v/>
      </c>
      <c r="F72" s="76" t="str">
        <f>IF(A72="","",IFERROR(VLOOKUP(A72,Clientes_PDV!$A$2:$J$250,8,FALSE),""))</f>
        <v/>
      </c>
      <c r="G72" s="77" t="str">
        <f t="shared" ca="1" si="4"/>
        <v/>
      </c>
      <c r="H72" s="75" t="str">
        <f>IF(A72="","",IF(F72="","Sin visita",IF(G72&lt;=IFERROR(VLOOKUP(E72,Inicio!$A$24:$B$26,2,FALSE),0),"Vigente","Atrasado")))</f>
        <v/>
      </c>
      <c r="I72" s="78" t="str">
        <f ca="1">IF(A72="","",SUMIFS(Ventas_SellIn!$L$2:$L$800,Ventas_SellIn!$D$2:$D$800,A72,Ventas_SellIn!$B$2:$B$800,"&gt;="&amp;TODAY()-Inicio!$B$14))</f>
        <v/>
      </c>
      <c r="J72" s="77" t="str">
        <f ca="1">IF(A72="","",SUMIFS(SellOut_Jumbo!$F$2:$F$800,SellOut_Jumbo!$C$2:$C$800,D72,SellOut_Jumbo!$A$2:$A$800,"&gt;="&amp;TODAY()-Inicio!$B$14))</f>
        <v/>
      </c>
      <c r="K72" s="75" t="str">
        <f>IF(A72="","",IF(I72=0,"Sin venta",IF(I72&lt;Inicio!$B$15,"Venta baja","Venta OK")))</f>
        <v/>
      </c>
      <c r="L72" s="77" t="str">
        <f>IF(A72="","",COUNTIFS(Ventas_SellIn!$D$2:$D$800,A72,Ventas_SellIn!$R$2:$R$800,"&gt;0"))</f>
        <v/>
      </c>
      <c r="M72" s="78" t="str">
        <f>IF(A72="","",SUMIFS(Ventas_SellIn!$R$2:$R$800,Ventas_SellIn!$D$2:$D$800,A72))</f>
        <v/>
      </c>
      <c r="N72" s="75" t="str">
        <f>IF(A72="","",IF(M72&gt;=Inicio!$B$18,"Pendiente relevante",IF(M72&gt;0,"Pendiente menor","Sin deuda")))</f>
        <v/>
      </c>
      <c r="O72" s="79" t="str">
        <f>IF(A72="","",SUMIFS(Stock_PDV!$H$2:$H$800,Stock_PDV!$A$2:$A$800,A72))</f>
        <v/>
      </c>
      <c r="P72" s="75" t="str">
        <f>IF(A72="","",IF(O72&lt;=Inicio!$B$16,"Crítico",IF(O72&lt;=Inicio!$B$17,"Observar","OK")))</f>
        <v/>
      </c>
      <c r="Q72" s="75" t="str">
        <f t="shared" si="5"/>
        <v/>
      </c>
      <c r="R72" s="75" t="str">
        <f t="shared" si="6"/>
        <v/>
      </c>
      <c r="S72" s="68" t="str">
        <f t="shared" si="7"/>
        <v/>
      </c>
      <c r="T72" s="68" t="str">
        <f>IF(A72="","",IFERROR(VLOOKUP(A72,Clientes_PDV!$A$2:$K$250,11,FALSE),""))</f>
        <v/>
      </c>
    </row>
    <row r="73" spans="1:20" x14ac:dyDescent="0.35">
      <c r="A73" s="80" t="str">
        <f>IF(Clientes_PDV!A73="","",Clientes_PDV!A73)</f>
        <v/>
      </c>
      <c r="B73" s="80" t="str">
        <f>IF(A73="","",IFERROR(VLOOKUP(A73,Clientes_PDV!$A$2:$J$250,2,FALSE),""))</f>
        <v/>
      </c>
      <c r="C73" s="80" t="str">
        <f>IF(A73="","",IFERROR(VLOOKUP(A73,Clientes_PDV!$A$2:$J$250,3,FALSE),""))</f>
        <v/>
      </c>
      <c r="D73" s="80" t="str">
        <f>IF(A73="","",IFERROR(VLOOKUP(A73,Clientes_PDV!$A$2:$J$250,4,FALSE),""))</f>
        <v/>
      </c>
      <c r="E73" s="80" t="str">
        <f>IF(A73="","",IFERROR(VLOOKUP(A73,Clientes_PDV!$A$2:$J$250,7,FALSE),""))</f>
        <v/>
      </c>
      <c r="F73" s="81" t="str">
        <f>IF(A73="","",IFERROR(VLOOKUP(A73,Clientes_PDV!$A$2:$J$250,8,FALSE),""))</f>
        <v/>
      </c>
      <c r="G73" s="82" t="str">
        <f t="shared" ca="1" si="4"/>
        <v/>
      </c>
      <c r="H73" s="80" t="str">
        <f>IF(A73="","",IF(F73="","Sin visita",IF(G73&lt;=IFERROR(VLOOKUP(E73,Inicio!$A$24:$B$26,2,FALSE),0),"Vigente","Atrasado")))</f>
        <v/>
      </c>
      <c r="I73" s="83" t="str">
        <f ca="1">IF(A73="","",SUMIFS(Ventas_SellIn!$L$2:$L$800,Ventas_SellIn!$D$2:$D$800,A73,Ventas_SellIn!$B$2:$B$800,"&gt;="&amp;TODAY()-Inicio!$B$14))</f>
        <v/>
      </c>
      <c r="J73" s="82" t="str">
        <f ca="1">IF(A73="","",SUMIFS(SellOut_Jumbo!$F$2:$F$800,SellOut_Jumbo!$C$2:$C$800,D73,SellOut_Jumbo!$A$2:$A$800,"&gt;="&amp;TODAY()-Inicio!$B$14))</f>
        <v/>
      </c>
      <c r="K73" s="80" t="str">
        <f>IF(A73="","",IF(I73=0,"Sin venta",IF(I73&lt;Inicio!$B$15,"Venta baja","Venta OK")))</f>
        <v/>
      </c>
      <c r="L73" s="82" t="str">
        <f>IF(A73="","",COUNTIFS(Ventas_SellIn!$D$2:$D$800,A73,Ventas_SellIn!$R$2:$R$800,"&gt;0"))</f>
        <v/>
      </c>
      <c r="M73" s="83" t="str">
        <f>IF(A73="","",SUMIFS(Ventas_SellIn!$R$2:$R$800,Ventas_SellIn!$D$2:$D$800,A73))</f>
        <v/>
      </c>
      <c r="N73" s="80" t="str">
        <f>IF(A73="","",IF(M73&gt;=Inicio!$B$18,"Pendiente relevante",IF(M73&gt;0,"Pendiente menor","Sin deuda")))</f>
        <v/>
      </c>
      <c r="O73" s="84" t="str">
        <f>IF(A73="","",SUMIFS(Stock_PDV!$H$2:$H$800,Stock_PDV!$A$2:$A$800,A73))</f>
        <v/>
      </c>
      <c r="P73" s="80" t="str">
        <f>IF(A73="","",IF(O73&lt;=Inicio!$B$16,"Crítico",IF(O73&lt;=Inicio!$B$17,"Observar","OK")))</f>
        <v/>
      </c>
      <c r="Q73" s="80" t="str">
        <f t="shared" si="5"/>
        <v/>
      </c>
      <c r="R73" s="80" t="str">
        <f t="shared" si="6"/>
        <v/>
      </c>
      <c r="S73" s="70" t="str">
        <f t="shared" si="7"/>
        <v/>
      </c>
      <c r="T73" s="70" t="str">
        <f>IF(A73="","",IFERROR(VLOOKUP(A73,Clientes_PDV!$A$2:$K$250,11,FALSE),""))</f>
        <v/>
      </c>
    </row>
    <row r="74" spans="1:20" x14ac:dyDescent="0.35">
      <c r="A74" s="75" t="str">
        <f>IF(Clientes_PDV!A74="","",Clientes_PDV!A74)</f>
        <v/>
      </c>
      <c r="B74" s="75" t="str">
        <f>IF(A74="","",IFERROR(VLOOKUP(A74,Clientes_PDV!$A$2:$J$250,2,FALSE),""))</f>
        <v/>
      </c>
      <c r="C74" s="75" t="str">
        <f>IF(A74="","",IFERROR(VLOOKUP(A74,Clientes_PDV!$A$2:$J$250,3,FALSE),""))</f>
        <v/>
      </c>
      <c r="D74" s="75" t="str">
        <f>IF(A74="","",IFERROR(VLOOKUP(A74,Clientes_PDV!$A$2:$J$250,4,FALSE),""))</f>
        <v/>
      </c>
      <c r="E74" s="75" t="str">
        <f>IF(A74="","",IFERROR(VLOOKUP(A74,Clientes_PDV!$A$2:$J$250,7,FALSE),""))</f>
        <v/>
      </c>
      <c r="F74" s="76" t="str">
        <f>IF(A74="","",IFERROR(VLOOKUP(A74,Clientes_PDV!$A$2:$J$250,8,FALSE),""))</f>
        <v/>
      </c>
      <c r="G74" s="77" t="str">
        <f t="shared" ca="1" si="4"/>
        <v/>
      </c>
      <c r="H74" s="75" t="str">
        <f>IF(A74="","",IF(F74="","Sin visita",IF(G74&lt;=IFERROR(VLOOKUP(E74,Inicio!$A$24:$B$26,2,FALSE),0),"Vigente","Atrasado")))</f>
        <v/>
      </c>
      <c r="I74" s="78" t="str">
        <f ca="1">IF(A74="","",SUMIFS(Ventas_SellIn!$L$2:$L$800,Ventas_SellIn!$D$2:$D$800,A74,Ventas_SellIn!$B$2:$B$800,"&gt;="&amp;TODAY()-Inicio!$B$14))</f>
        <v/>
      </c>
      <c r="J74" s="77" t="str">
        <f ca="1">IF(A74="","",SUMIFS(SellOut_Jumbo!$F$2:$F$800,SellOut_Jumbo!$C$2:$C$800,D74,SellOut_Jumbo!$A$2:$A$800,"&gt;="&amp;TODAY()-Inicio!$B$14))</f>
        <v/>
      </c>
      <c r="K74" s="75" t="str">
        <f>IF(A74="","",IF(I74=0,"Sin venta",IF(I74&lt;Inicio!$B$15,"Venta baja","Venta OK")))</f>
        <v/>
      </c>
      <c r="L74" s="77" t="str">
        <f>IF(A74="","",COUNTIFS(Ventas_SellIn!$D$2:$D$800,A74,Ventas_SellIn!$R$2:$R$800,"&gt;0"))</f>
        <v/>
      </c>
      <c r="M74" s="78" t="str">
        <f>IF(A74="","",SUMIFS(Ventas_SellIn!$R$2:$R$800,Ventas_SellIn!$D$2:$D$800,A74))</f>
        <v/>
      </c>
      <c r="N74" s="75" t="str">
        <f>IF(A74="","",IF(M74&gt;=Inicio!$B$18,"Pendiente relevante",IF(M74&gt;0,"Pendiente menor","Sin deuda")))</f>
        <v/>
      </c>
      <c r="O74" s="79" t="str">
        <f>IF(A74="","",SUMIFS(Stock_PDV!$H$2:$H$800,Stock_PDV!$A$2:$A$800,A74))</f>
        <v/>
      </c>
      <c r="P74" s="75" t="str">
        <f>IF(A74="","",IF(O74&lt;=Inicio!$B$16,"Crítico",IF(O74&lt;=Inicio!$B$17,"Observar","OK")))</f>
        <v/>
      </c>
      <c r="Q74" s="75" t="str">
        <f t="shared" si="5"/>
        <v/>
      </c>
      <c r="R74" s="75" t="str">
        <f t="shared" si="6"/>
        <v/>
      </c>
      <c r="S74" s="68" t="str">
        <f t="shared" si="7"/>
        <v/>
      </c>
      <c r="T74" s="68" t="str">
        <f>IF(A74="","",IFERROR(VLOOKUP(A74,Clientes_PDV!$A$2:$K$250,11,FALSE),""))</f>
        <v/>
      </c>
    </row>
    <row r="75" spans="1:20" x14ac:dyDescent="0.35">
      <c r="A75" s="80" t="str">
        <f>IF(Clientes_PDV!A75="","",Clientes_PDV!A75)</f>
        <v/>
      </c>
      <c r="B75" s="80" t="str">
        <f>IF(A75="","",IFERROR(VLOOKUP(A75,Clientes_PDV!$A$2:$J$250,2,FALSE),""))</f>
        <v/>
      </c>
      <c r="C75" s="80" t="str">
        <f>IF(A75="","",IFERROR(VLOOKUP(A75,Clientes_PDV!$A$2:$J$250,3,FALSE),""))</f>
        <v/>
      </c>
      <c r="D75" s="80" t="str">
        <f>IF(A75="","",IFERROR(VLOOKUP(A75,Clientes_PDV!$A$2:$J$250,4,FALSE),""))</f>
        <v/>
      </c>
      <c r="E75" s="80" t="str">
        <f>IF(A75="","",IFERROR(VLOOKUP(A75,Clientes_PDV!$A$2:$J$250,7,FALSE),""))</f>
        <v/>
      </c>
      <c r="F75" s="81" t="str">
        <f>IF(A75="","",IFERROR(VLOOKUP(A75,Clientes_PDV!$A$2:$J$250,8,FALSE),""))</f>
        <v/>
      </c>
      <c r="G75" s="82" t="str">
        <f t="shared" ca="1" si="4"/>
        <v/>
      </c>
      <c r="H75" s="80" t="str">
        <f>IF(A75="","",IF(F75="","Sin visita",IF(G75&lt;=IFERROR(VLOOKUP(E75,Inicio!$A$24:$B$26,2,FALSE),0),"Vigente","Atrasado")))</f>
        <v/>
      </c>
      <c r="I75" s="83" t="str">
        <f ca="1">IF(A75="","",SUMIFS(Ventas_SellIn!$L$2:$L$800,Ventas_SellIn!$D$2:$D$800,A75,Ventas_SellIn!$B$2:$B$800,"&gt;="&amp;TODAY()-Inicio!$B$14))</f>
        <v/>
      </c>
      <c r="J75" s="82" t="str">
        <f ca="1">IF(A75="","",SUMIFS(SellOut_Jumbo!$F$2:$F$800,SellOut_Jumbo!$C$2:$C$800,D75,SellOut_Jumbo!$A$2:$A$800,"&gt;="&amp;TODAY()-Inicio!$B$14))</f>
        <v/>
      </c>
      <c r="K75" s="80" t="str">
        <f>IF(A75="","",IF(I75=0,"Sin venta",IF(I75&lt;Inicio!$B$15,"Venta baja","Venta OK")))</f>
        <v/>
      </c>
      <c r="L75" s="82" t="str">
        <f>IF(A75="","",COUNTIFS(Ventas_SellIn!$D$2:$D$800,A75,Ventas_SellIn!$R$2:$R$800,"&gt;0"))</f>
        <v/>
      </c>
      <c r="M75" s="83" t="str">
        <f>IF(A75="","",SUMIFS(Ventas_SellIn!$R$2:$R$800,Ventas_SellIn!$D$2:$D$800,A75))</f>
        <v/>
      </c>
      <c r="N75" s="80" t="str">
        <f>IF(A75="","",IF(M75&gt;=Inicio!$B$18,"Pendiente relevante",IF(M75&gt;0,"Pendiente menor","Sin deuda")))</f>
        <v/>
      </c>
      <c r="O75" s="84" t="str">
        <f>IF(A75="","",SUMIFS(Stock_PDV!$H$2:$H$800,Stock_PDV!$A$2:$A$800,A75))</f>
        <v/>
      </c>
      <c r="P75" s="80" t="str">
        <f>IF(A75="","",IF(O75&lt;=Inicio!$B$16,"Crítico",IF(O75&lt;=Inicio!$B$17,"Observar","OK")))</f>
        <v/>
      </c>
      <c r="Q75" s="80" t="str">
        <f t="shared" si="5"/>
        <v/>
      </c>
      <c r="R75" s="80" t="str">
        <f t="shared" si="6"/>
        <v/>
      </c>
      <c r="S75" s="70" t="str">
        <f t="shared" si="7"/>
        <v/>
      </c>
      <c r="T75" s="70" t="str">
        <f>IF(A75="","",IFERROR(VLOOKUP(A75,Clientes_PDV!$A$2:$K$250,11,FALSE),""))</f>
        <v/>
      </c>
    </row>
    <row r="76" spans="1:20" x14ac:dyDescent="0.35">
      <c r="A76" s="75" t="str">
        <f>IF(Clientes_PDV!A76="","",Clientes_PDV!A76)</f>
        <v/>
      </c>
      <c r="B76" s="75" t="str">
        <f>IF(A76="","",IFERROR(VLOOKUP(A76,Clientes_PDV!$A$2:$J$250,2,FALSE),""))</f>
        <v/>
      </c>
      <c r="C76" s="75" t="str">
        <f>IF(A76="","",IFERROR(VLOOKUP(A76,Clientes_PDV!$A$2:$J$250,3,FALSE),""))</f>
        <v/>
      </c>
      <c r="D76" s="75" t="str">
        <f>IF(A76="","",IFERROR(VLOOKUP(A76,Clientes_PDV!$A$2:$J$250,4,FALSE),""))</f>
        <v/>
      </c>
      <c r="E76" s="75" t="str">
        <f>IF(A76="","",IFERROR(VLOOKUP(A76,Clientes_PDV!$A$2:$J$250,7,FALSE),""))</f>
        <v/>
      </c>
      <c r="F76" s="76" t="str">
        <f>IF(A76="","",IFERROR(VLOOKUP(A76,Clientes_PDV!$A$2:$J$250,8,FALSE),""))</f>
        <v/>
      </c>
      <c r="G76" s="77" t="str">
        <f t="shared" ca="1" si="4"/>
        <v/>
      </c>
      <c r="H76" s="75" t="str">
        <f>IF(A76="","",IF(F76="","Sin visita",IF(G76&lt;=IFERROR(VLOOKUP(E76,Inicio!$A$24:$B$26,2,FALSE),0),"Vigente","Atrasado")))</f>
        <v/>
      </c>
      <c r="I76" s="78" t="str">
        <f ca="1">IF(A76="","",SUMIFS(Ventas_SellIn!$L$2:$L$800,Ventas_SellIn!$D$2:$D$800,A76,Ventas_SellIn!$B$2:$B$800,"&gt;="&amp;TODAY()-Inicio!$B$14))</f>
        <v/>
      </c>
      <c r="J76" s="77" t="str">
        <f ca="1">IF(A76="","",SUMIFS(SellOut_Jumbo!$F$2:$F$800,SellOut_Jumbo!$C$2:$C$800,D76,SellOut_Jumbo!$A$2:$A$800,"&gt;="&amp;TODAY()-Inicio!$B$14))</f>
        <v/>
      </c>
      <c r="K76" s="75" t="str">
        <f>IF(A76="","",IF(I76=0,"Sin venta",IF(I76&lt;Inicio!$B$15,"Venta baja","Venta OK")))</f>
        <v/>
      </c>
      <c r="L76" s="77" t="str">
        <f>IF(A76="","",COUNTIFS(Ventas_SellIn!$D$2:$D$800,A76,Ventas_SellIn!$R$2:$R$800,"&gt;0"))</f>
        <v/>
      </c>
      <c r="M76" s="78" t="str">
        <f>IF(A76="","",SUMIFS(Ventas_SellIn!$R$2:$R$800,Ventas_SellIn!$D$2:$D$800,A76))</f>
        <v/>
      </c>
      <c r="N76" s="75" t="str">
        <f>IF(A76="","",IF(M76&gt;=Inicio!$B$18,"Pendiente relevante",IF(M76&gt;0,"Pendiente menor","Sin deuda")))</f>
        <v/>
      </c>
      <c r="O76" s="79" t="str">
        <f>IF(A76="","",SUMIFS(Stock_PDV!$H$2:$H$800,Stock_PDV!$A$2:$A$800,A76))</f>
        <v/>
      </c>
      <c r="P76" s="75" t="str">
        <f>IF(A76="","",IF(O76&lt;=Inicio!$B$16,"Crítico",IF(O76&lt;=Inicio!$B$17,"Observar","OK")))</f>
        <v/>
      </c>
      <c r="Q76" s="75" t="str">
        <f t="shared" si="5"/>
        <v/>
      </c>
      <c r="R76" s="75" t="str">
        <f t="shared" si="6"/>
        <v/>
      </c>
      <c r="S76" s="68" t="str">
        <f t="shared" si="7"/>
        <v/>
      </c>
      <c r="T76" s="68" t="str">
        <f>IF(A76="","",IFERROR(VLOOKUP(A76,Clientes_PDV!$A$2:$K$250,11,FALSE),""))</f>
        <v/>
      </c>
    </row>
    <row r="77" spans="1:20" x14ac:dyDescent="0.35">
      <c r="A77" s="80" t="str">
        <f>IF(Clientes_PDV!A77="","",Clientes_PDV!A77)</f>
        <v/>
      </c>
      <c r="B77" s="80" t="str">
        <f>IF(A77="","",IFERROR(VLOOKUP(A77,Clientes_PDV!$A$2:$J$250,2,FALSE),""))</f>
        <v/>
      </c>
      <c r="C77" s="80" t="str">
        <f>IF(A77="","",IFERROR(VLOOKUP(A77,Clientes_PDV!$A$2:$J$250,3,FALSE),""))</f>
        <v/>
      </c>
      <c r="D77" s="80" t="str">
        <f>IF(A77="","",IFERROR(VLOOKUP(A77,Clientes_PDV!$A$2:$J$250,4,FALSE),""))</f>
        <v/>
      </c>
      <c r="E77" s="80" t="str">
        <f>IF(A77="","",IFERROR(VLOOKUP(A77,Clientes_PDV!$A$2:$J$250,7,FALSE),""))</f>
        <v/>
      </c>
      <c r="F77" s="81" t="str">
        <f>IF(A77="","",IFERROR(VLOOKUP(A77,Clientes_PDV!$A$2:$J$250,8,FALSE),""))</f>
        <v/>
      </c>
      <c r="G77" s="82" t="str">
        <f t="shared" ca="1" si="4"/>
        <v/>
      </c>
      <c r="H77" s="80" t="str">
        <f>IF(A77="","",IF(F77="","Sin visita",IF(G77&lt;=IFERROR(VLOOKUP(E77,Inicio!$A$24:$B$26,2,FALSE),0),"Vigente","Atrasado")))</f>
        <v/>
      </c>
      <c r="I77" s="83" t="str">
        <f ca="1">IF(A77="","",SUMIFS(Ventas_SellIn!$L$2:$L$800,Ventas_SellIn!$D$2:$D$800,A77,Ventas_SellIn!$B$2:$B$800,"&gt;="&amp;TODAY()-Inicio!$B$14))</f>
        <v/>
      </c>
      <c r="J77" s="82" t="str">
        <f ca="1">IF(A77="","",SUMIFS(SellOut_Jumbo!$F$2:$F$800,SellOut_Jumbo!$C$2:$C$800,D77,SellOut_Jumbo!$A$2:$A$800,"&gt;="&amp;TODAY()-Inicio!$B$14))</f>
        <v/>
      </c>
      <c r="K77" s="80" t="str">
        <f>IF(A77="","",IF(I77=0,"Sin venta",IF(I77&lt;Inicio!$B$15,"Venta baja","Venta OK")))</f>
        <v/>
      </c>
      <c r="L77" s="82" t="str">
        <f>IF(A77="","",COUNTIFS(Ventas_SellIn!$D$2:$D$800,A77,Ventas_SellIn!$R$2:$R$800,"&gt;0"))</f>
        <v/>
      </c>
      <c r="M77" s="83" t="str">
        <f>IF(A77="","",SUMIFS(Ventas_SellIn!$R$2:$R$800,Ventas_SellIn!$D$2:$D$800,A77))</f>
        <v/>
      </c>
      <c r="N77" s="80" t="str">
        <f>IF(A77="","",IF(M77&gt;=Inicio!$B$18,"Pendiente relevante",IF(M77&gt;0,"Pendiente menor","Sin deuda")))</f>
        <v/>
      </c>
      <c r="O77" s="84" t="str">
        <f>IF(A77="","",SUMIFS(Stock_PDV!$H$2:$H$800,Stock_PDV!$A$2:$A$800,A77))</f>
        <v/>
      </c>
      <c r="P77" s="80" t="str">
        <f>IF(A77="","",IF(O77&lt;=Inicio!$B$16,"Crítico",IF(O77&lt;=Inicio!$B$17,"Observar","OK")))</f>
        <v/>
      </c>
      <c r="Q77" s="80" t="str">
        <f t="shared" si="5"/>
        <v/>
      </c>
      <c r="R77" s="80" t="str">
        <f t="shared" si="6"/>
        <v/>
      </c>
      <c r="S77" s="70" t="str">
        <f t="shared" si="7"/>
        <v/>
      </c>
      <c r="T77" s="70" t="str">
        <f>IF(A77="","",IFERROR(VLOOKUP(A77,Clientes_PDV!$A$2:$K$250,11,FALSE),""))</f>
        <v/>
      </c>
    </row>
    <row r="78" spans="1:20" x14ac:dyDescent="0.35">
      <c r="A78" s="75" t="str">
        <f>IF(Clientes_PDV!A78="","",Clientes_PDV!A78)</f>
        <v/>
      </c>
      <c r="B78" s="75" t="str">
        <f>IF(A78="","",IFERROR(VLOOKUP(A78,Clientes_PDV!$A$2:$J$250,2,FALSE),""))</f>
        <v/>
      </c>
      <c r="C78" s="75" t="str">
        <f>IF(A78="","",IFERROR(VLOOKUP(A78,Clientes_PDV!$A$2:$J$250,3,FALSE),""))</f>
        <v/>
      </c>
      <c r="D78" s="75" t="str">
        <f>IF(A78="","",IFERROR(VLOOKUP(A78,Clientes_PDV!$A$2:$J$250,4,FALSE),""))</f>
        <v/>
      </c>
      <c r="E78" s="75" t="str">
        <f>IF(A78="","",IFERROR(VLOOKUP(A78,Clientes_PDV!$A$2:$J$250,7,FALSE),""))</f>
        <v/>
      </c>
      <c r="F78" s="76" t="str">
        <f>IF(A78="","",IFERROR(VLOOKUP(A78,Clientes_PDV!$A$2:$J$250,8,FALSE),""))</f>
        <v/>
      </c>
      <c r="G78" s="77" t="str">
        <f t="shared" ca="1" si="4"/>
        <v/>
      </c>
      <c r="H78" s="75" t="str">
        <f>IF(A78="","",IF(F78="","Sin visita",IF(G78&lt;=IFERROR(VLOOKUP(E78,Inicio!$A$24:$B$26,2,FALSE),0),"Vigente","Atrasado")))</f>
        <v/>
      </c>
      <c r="I78" s="78" t="str">
        <f ca="1">IF(A78="","",SUMIFS(Ventas_SellIn!$L$2:$L$800,Ventas_SellIn!$D$2:$D$800,A78,Ventas_SellIn!$B$2:$B$800,"&gt;="&amp;TODAY()-Inicio!$B$14))</f>
        <v/>
      </c>
      <c r="J78" s="77" t="str">
        <f ca="1">IF(A78="","",SUMIFS(SellOut_Jumbo!$F$2:$F$800,SellOut_Jumbo!$C$2:$C$800,D78,SellOut_Jumbo!$A$2:$A$800,"&gt;="&amp;TODAY()-Inicio!$B$14))</f>
        <v/>
      </c>
      <c r="K78" s="75" t="str">
        <f>IF(A78="","",IF(I78=0,"Sin venta",IF(I78&lt;Inicio!$B$15,"Venta baja","Venta OK")))</f>
        <v/>
      </c>
      <c r="L78" s="77" t="str">
        <f>IF(A78="","",COUNTIFS(Ventas_SellIn!$D$2:$D$800,A78,Ventas_SellIn!$R$2:$R$800,"&gt;0"))</f>
        <v/>
      </c>
      <c r="M78" s="78" t="str">
        <f>IF(A78="","",SUMIFS(Ventas_SellIn!$R$2:$R$800,Ventas_SellIn!$D$2:$D$800,A78))</f>
        <v/>
      </c>
      <c r="N78" s="75" t="str">
        <f>IF(A78="","",IF(M78&gt;=Inicio!$B$18,"Pendiente relevante",IF(M78&gt;0,"Pendiente menor","Sin deuda")))</f>
        <v/>
      </c>
      <c r="O78" s="79" t="str">
        <f>IF(A78="","",SUMIFS(Stock_PDV!$H$2:$H$800,Stock_PDV!$A$2:$A$800,A78))</f>
        <v/>
      </c>
      <c r="P78" s="75" t="str">
        <f>IF(A78="","",IF(O78&lt;=Inicio!$B$16,"Crítico",IF(O78&lt;=Inicio!$B$17,"Observar","OK")))</f>
        <v/>
      </c>
      <c r="Q78" s="75" t="str">
        <f t="shared" si="5"/>
        <v/>
      </c>
      <c r="R78" s="75" t="str">
        <f t="shared" si="6"/>
        <v/>
      </c>
      <c r="S78" s="68" t="str">
        <f t="shared" si="7"/>
        <v/>
      </c>
      <c r="T78" s="68" t="str">
        <f>IF(A78="","",IFERROR(VLOOKUP(A78,Clientes_PDV!$A$2:$K$250,11,FALSE),""))</f>
        <v/>
      </c>
    </row>
    <row r="79" spans="1:20" x14ac:dyDescent="0.35">
      <c r="A79" s="80" t="str">
        <f>IF(Clientes_PDV!A79="","",Clientes_PDV!A79)</f>
        <v/>
      </c>
      <c r="B79" s="80" t="str">
        <f>IF(A79="","",IFERROR(VLOOKUP(A79,Clientes_PDV!$A$2:$J$250,2,FALSE),""))</f>
        <v/>
      </c>
      <c r="C79" s="80" t="str">
        <f>IF(A79="","",IFERROR(VLOOKUP(A79,Clientes_PDV!$A$2:$J$250,3,FALSE),""))</f>
        <v/>
      </c>
      <c r="D79" s="80" t="str">
        <f>IF(A79="","",IFERROR(VLOOKUP(A79,Clientes_PDV!$A$2:$J$250,4,FALSE),""))</f>
        <v/>
      </c>
      <c r="E79" s="80" t="str">
        <f>IF(A79="","",IFERROR(VLOOKUP(A79,Clientes_PDV!$A$2:$J$250,7,FALSE),""))</f>
        <v/>
      </c>
      <c r="F79" s="81" t="str">
        <f>IF(A79="","",IFERROR(VLOOKUP(A79,Clientes_PDV!$A$2:$J$250,8,FALSE),""))</f>
        <v/>
      </c>
      <c r="G79" s="82" t="str">
        <f t="shared" ca="1" si="4"/>
        <v/>
      </c>
      <c r="H79" s="80" t="str">
        <f>IF(A79="","",IF(F79="","Sin visita",IF(G79&lt;=IFERROR(VLOOKUP(E79,Inicio!$A$24:$B$26,2,FALSE),0),"Vigente","Atrasado")))</f>
        <v/>
      </c>
      <c r="I79" s="83" t="str">
        <f ca="1">IF(A79="","",SUMIFS(Ventas_SellIn!$L$2:$L$800,Ventas_SellIn!$D$2:$D$800,A79,Ventas_SellIn!$B$2:$B$800,"&gt;="&amp;TODAY()-Inicio!$B$14))</f>
        <v/>
      </c>
      <c r="J79" s="82" t="str">
        <f ca="1">IF(A79="","",SUMIFS(SellOut_Jumbo!$F$2:$F$800,SellOut_Jumbo!$C$2:$C$800,D79,SellOut_Jumbo!$A$2:$A$800,"&gt;="&amp;TODAY()-Inicio!$B$14))</f>
        <v/>
      </c>
      <c r="K79" s="80" t="str">
        <f>IF(A79="","",IF(I79=0,"Sin venta",IF(I79&lt;Inicio!$B$15,"Venta baja","Venta OK")))</f>
        <v/>
      </c>
      <c r="L79" s="82" t="str">
        <f>IF(A79="","",COUNTIFS(Ventas_SellIn!$D$2:$D$800,A79,Ventas_SellIn!$R$2:$R$800,"&gt;0"))</f>
        <v/>
      </c>
      <c r="M79" s="83" t="str">
        <f>IF(A79="","",SUMIFS(Ventas_SellIn!$R$2:$R$800,Ventas_SellIn!$D$2:$D$800,A79))</f>
        <v/>
      </c>
      <c r="N79" s="80" t="str">
        <f>IF(A79="","",IF(M79&gt;=Inicio!$B$18,"Pendiente relevante",IF(M79&gt;0,"Pendiente menor","Sin deuda")))</f>
        <v/>
      </c>
      <c r="O79" s="84" t="str">
        <f>IF(A79="","",SUMIFS(Stock_PDV!$H$2:$H$800,Stock_PDV!$A$2:$A$800,A79))</f>
        <v/>
      </c>
      <c r="P79" s="80" t="str">
        <f>IF(A79="","",IF(O79&lt;=Inicio!$B$16,"Crítico",IF(O79&lt;=Inicio!$B$17,"Observar","OK")))</f>
        <v/>
      </c>
      <c r="Q79" s="80" t="str">
        <f t="shared" si="5"/>
        <v/>
      </c>
      <c r="R79" s="80" t="str">
        <f t="shared" si="6"/>
        <v/>
      </c>
      <c r="S79" s="70" t="str">
        <f t="shared" si="7"/>
        <v/>
      </c>
      <c r="T79" s="70" t="str">
        <f>IF(A79="","",IFERROR(VLOOKUP(A79,Clientes_PDV!$A$2:$K$250,11,FALSE),""))</f>
        <v/>
      </c>
    </row>
    <row r="80" spans="1:20" x14ac:dyDescent="0.35">
      <c r="A80" s="75" t="str">
        <f>IF(Clientes_PDV!A80="","",Clientes_PDV!A80)</f>
        <v/>
      </c>
      <c r="B80" s="75" t="str">
        <f>IF(A80="","",IFERROR(VLOOKUP(A80,Clientes_PDV!$A$2:$J$250,2,FALSE),""))</f>
        <v/>
      </c>
      <c r="C80" s="75" t="str">
        <f>IF(A80="","",IFERROR(VLOOKUP(A80,Clientes_PDV!$A$2:$J$250,3,FALSE),""))</f>
        <v/>
      </c>
      <c r="D80" s="75" t="str">
        <f>IF(A80="","",IFERROR(VLOOKUP(A80,Clientes_PDV!$A$2:$J$250,4,FALSE),""))</f>
        <v/>
      </c>
      <c r="E80" s="75" t="str">
        <f>IF(A80="","",IFERROR(VLOOKUP(A80,Clientes_PDV!$A$2:$J$250,7,FALSE),""))</f>
        <v/>
      </c>
      <c r="F80" s="76" t="str">
        <f>IF(A80="","",IFERROR(VLOOKUP(A80,Clientes_PDV!$A$2:$J$250,8,FALSE),""))</f>
        <v/>
      </c>
      <c r="G80" s="77" t="str">
        <f t="shared" ca="1" si="4"/>
        <v/>
      </c>
      <c r="H80" s="75" t="str">
        <f>IF(A80="","",IF(F80="","Sin visita",IF(G80&lt;=IFERROR(VLOOKUP(E80,Inicio!$A$24:$B$26,2,FALSE),0),"Vigente","Atrasado")))</f>
        <v/>
      </c>
      <c r="I80" s="78" t="str">
        <f ca="1">IF(A80="","",SUMIFS(Ventas_SellIn!$L$2:$L$800,Ventas_SellIn!$D$2:$D$800,A80,Ventas_SellIn!$B$2:$B$800,"&gt;="&amp;TODAY()-Inicio!$B$14))</f>
        <v/>
      </c>
      <c r="J80" s="77" t="str">
        <f ca="1">IF(A80="","",SUMIFS(SellOut_Jumbo!$F$2:$F$800,SellOut_Jumbo!$C$2:$C$800,D80,SellOut_Jumbo!$A$2:$A$800,"&gt;="&amp;TODAY()-Inicio!$B$14))</f>
        <v/>
      </c>
      <c r="K80" s="75" t="str">
        <f>IF(A80="","",IF(I80=0,"Sin venta",IF(I80&lt;Inicio!$B$15,"Venta baja","Venta OK")))</f>
        <v/>
      </c>
      <c r="L80" s="77" t="str">
        <f>IF(A80="","",COUNTIFS(Ventas_SellIn!$D$2:$D$800,A80,Ventas_SellIn!$R$2:$R$800,"&gt;0"))</f>
        <v/>
      </c>
      <c r="M80" s="78" t="str">
        <f>IF(A80="","",SUMIFS(Ventas_SellIn!$R$2:$R$800,Ventas_SellIn!$D$2:$D$800,A80))</f>
        <v/>
      </c>
      <c r="N80" s="75" t="str">
        <f>IF(A80="","",IF(M80&gt;=Inicio!$B$18,"Pendiente relevante",IF(M80&gt;0,"Pendiente menor","Sin deuda")))</f>
        <v/>
      </c>
      <c r="O80" s="79" t="str">
        <f>IF(A80="","",SUMIFS(Stock_PDV!$H$2:$H$800,Stock_PDV!$A$2:$A$800,A80))</f>
        <v/>
      </c>
      <c r="P80" s="75" t="str">
        <f>IF(A80="","",IF(O80&lt;=Inicio!$B$16,"Crítico",IF(O80&lt;=Inicio!$B$17,"Observar","OK")))</f>
        <v/>
      </c>
      <c r="Q80" s="75" t="str">
        <f t="shared" si="5"/>
        <v/>
      </c>
      <c r="R80" s="75" t="str">
        <f t="shared" si="6"/>
        <v/>
      </c>
      <c r="S80" s="68" t="str">
        <f t="shared" si="7"/>
        <v/>
      </c>
      <c r="T80" s="68" t="str">
        <f>IF(A80="","",IFERROR(VLOOKUP(A80,Clientes_PDV!$A$2:$K$250,11,FALSE),""))</f>
        <v/>
      </c>
    </row>
    <row r="81" spans="1:20" x14ac:dyDescent="0.35">
      <c r="A81" s="80" t="str">
        <f>IF(Clientes_PDV!A81="","",Clientes_PDV!A81)</f>
        <v/>
      </c>
      <c r="B81" s="80" t="str">
        <f>IF(A81="","",IFERROR(VLOOKUP(A81,Clientes_PDV!$A$2:$J$250,2,FALSE),""))</f>
        <v/>
      </c>
      <c r="C81" s="80" t="str">
        <f>IF(A81="","",IFERROR(VLOOKUP(A81,Clientes_PDV!$A$2:$J$250,3,FALSE),""))</f>
        <v/>
      </c>
      <c r="D81" s="80" t="str">
        <f>IF(A81="","",IFERROR(VLOOKUP(A81,Clientes_PDV!$A$2:$J$250,4,FALSE),""))</f>
        <v/>
      </c>
      <c r="E81" s="80" t="str">
        <f>IF(A81="","",IFERROR(VLOOKUP(A81,Clientes_PDV!$A$2:$J$250,7,FALSE),""))</f>
        <v/>
      </c>
      <c r="F81" s="81" t="str">
        <f>IF(A81="","",IFERROR(VLOOKUP(A81,Clientes_PDV!$A$2:$J$250,8,FALSE),""))</f>
        <v/>
      </c>
      <c r="G81" s="82" t="str">
        <f t="shared" ca="1" si="4"/>
        <v/>
      </c>
      <c r="H81" s="80" t="str">
        <f>IF(A81="","",IF(F81="","Sin visita",IF(G81&lt;=IFERROR(VLOOKUP(E81,Inicio!$A$24:$B$26,2,FALSE),0),"Vigente","Atrasado")))</f>
        <v/>
      </c>
      <c r="I81" s="83" t="str">
        <f ca="1">IF(A81="","",SUMIFS(Ventas_SellIn!$L$2:$L$800,Ventas_SellIn!$D$2:$D$800,A81,Ventas_SellIn!$B$2:$B$800,"&gt;="&amp;TODAY()-Inicio!$B$14))</f>
        <v/>
      </c>
      <c r="J81" s="82" t="str">
        <f ca="1">IF(A81="","",SUMIFS(SellOut_Jumbo!$F$2:$F$800,SellOut_Jumbo!$C$2:$C$800,D81,SellOut_Jumbo!$A$2:$A$800,"&gt;="&amp;TODAY()-Inicio!$B$14))</f>
        <v/>
      </c>
      <c r="K81" s="80" t="str">
        <f>IF(A81="","",IF(I81=0,"Sin venta",IF(I81&lt;Inicio!$B$15,"Venta baja","Venta OK")))</f>
        <v/>
      </c>
      <c r="L81" s="82" t="str">
        <f>IF(A81="","",COUNTIFS(Ventas_SellIn!$D$2:$D$800,A81,Ventas_SellIn!$R$2:$R$800,"&gt;0"))</f>
        <v/>
      </c>
      <c r="M81" s="83" t="str">
        <f>IF(A81="","",SUMIFS(Ventas_SellIn!$R$2:$R$800,Ventas_SellIn!$D$2:$D$800,A81))</f>
        <v/>
      </c>
      <c r="N81" s="80" t="str">
        <f>IF(A81="","",IF(M81&gt;=Inicio!$B$18,"Pendiente relevante",IF(M81&gt;0,"Pendiente menor","Sin deuda")))</f>
        <v/>
      </c>
      <c r="O81" s="84" t="str">
        <f>IF(A81="","",SUMIFS(Stock_PDV!$H$2:$H$800,Stock_PDV!$A$2:$A$800,A81))</f>
        <v/>
      </c>
      <c r="P81" s="80" t="str">
        <f>IF(A81="","",IF(O81&lt;=Inicio!$B$16,"Crítico",IF(O81&lt;=Inicio!$B$17,"Observar","OK")))</f>
        <v/>
      </c>
      <c r="Q81" s="80" t="str">
        <f t="shared" si="5"/>
        <v/>
      </c>
      <c r="R81" s="80" t="str">
        <f t="shared" si="6"/>
        <v/>
      </c>
      <c r="S81" s="70" t="str">
        <f t="shared" si="7"/>
        <v/>
      </c>
      <c r="T81" s="70" t="str">
        <f>IF(A81="","",IFERROR(VLOOKUP(A81,Clientes_PDV!$A$2:$K$250,11,FALSE),""))</f>
        <v/>
      </c>
    </row>
    <row r="82" spans="1:20" x14ac:dyDescent="0.35">
      <c r="A82" s="75" t="str">
        <f>IF(Clientes_PDV!A82="","",Clientes_PDV!A82)</f>
        <v/>
      </c>
      <c r="B82" s="75" t="str">
        <f>IF(A82="","",IFERROR(VLOOKUP(A82,Clientes_PDV!$A$2:$J$250,2,FALSE),""))</f>
        <v/>
      </c>
      <c r="C82" s="75" t="str">
        <f>IF(A82="","",IFERROR(VLOOKUP(A82,Clientes_PDV!$A$2:$J$250,3,FALSE),""))</f>
        <v/>
      </c>
      <c r="D82" s="75" t="str">
        <f>IF(A82="","",IFERROR(VLOOKUP(A82,Clientes_PDV!$A$2:$J$250,4,FALSE),""))</f>
        <v/>
      </c>
      <c r="E82" s="75" t="str">
        <f>IF(A82="","",IFERROR(VLOOKUP(A82,Clientes_PDV!$A$2:$J$250,7,FALSE),""))</f>
        <v/>
      </c>
      <c r="F82" s="76" t="str">
        <f>IF(A82="","",IFERROR(VLOOKUP(A82,Clientes_PDV!$A$2:$J$250,8,FALSE),""))</f>
        <v/>
      </c>
      <c r="G82" s="77" t="str">
        <f t="shared" ca="1" si="4"/>
        <v/>
      </c>
      <c r="H82" s="75" t="str">
        <f>IF(A82="","",IF(F82="","Sin visita",IF(G82&lt;=IFERROR(VLOOKUP(E82,Inicio!$A$24:$B$26,2,FALSE),0),"Vigente","Atrasado")))</f>
        <v/>
      </c>
      <c r="I82" s="78" t="str">
        <f ca="1">IF(A82="","",SUMIFS(Ventas_SellIn!$L$2:$L$800,Ventas_SellIn!$D$2:$D$800,A82,Ventas_SellIn!$B$2:$B$800,"&gt;="&amp;TODAY()-Inicio!$B$14))</f>
        <v/>
      </c>
      <c r="J82" s="77" t="str">
        <f ca="1">IF(A82="","",SUMIFS(SellOut_Jumbo!$F$2:$F$800,SellOut_Jumbo!$C$2:$C$800,D82,SellOut_Jumbo!$A$2:$A$800,"&gt;="&amp;TODAY()-Inicio!$B$14))</f>
        <v/>
      </c>
      <c r="K82" s="75" t="str">
        <f>IF(A82="","",IF(I82=0,"Sin venta",IF(I82&lt;Inicio!$B$15,"Venta baja","Venta OK")))</f>
        <v/>
      </c>
      <c r="L82" s="77" t="str">
        <f>IF(A82="","",COUNTIFS(Ventas_SellIn!$D$2:$D$800,A82,Ventas_SellIn!$R$2:$R$800,"&gt;0"))</f>
        <v/>
      </c>
      <c r="M82" s="78" t="str">
        <f>IF(A82="","",SUMIFS(Ventas_SellIn!$R$2:$R$800,Ventas_SellIn!$D$2:$D$800,A82))</f>
        <v/>
      </c>
      <c r="N82" s="75" t="str">
        <f>IF(A82="","",IF(M82&gt;=Inicio!$B$18,"Pendiente relevante",IF(M82&gt;0,"Pendiente menor","Sin deuda")))</f>
        <v/>
      </c>
      <c r="O82" s="79" t="str">
        <f>IF(A82="","",SUMIFS(Stock_PDV!$H$2:$H$800,Stock_PDV!$A$2:$A$800,A82))</f>
        <v/>
      </c>
      <c r="P82" s="75" t="str">
        <f>IF(A82="","",IF(O82&lt;=Inicio!$B$16,"Crítico",IF(O82&lt;=Inicio!$B$17,"Observar","OK")))</f>
        <v/>
      </c>
      <c r="Q82" s="75" t="str">
        <f t="shared" si="5"/>
        <v/>
      </c>
      <c r="R82" s="75" t="str">
        <f t="shared" si="6"/>
        <v/>
      </c>
      <c r="S82" s="68" t="str">
        <f t="shared" si="7"/>
        <v/>
      </c>
      <c r="T82" s="68" t="str">
        <f>IF(A82="","",IFERROR(VLOOKUP(A82,Clientes_PDV!$A$2:$K$250,11,FALSE),""))</f>
        <v/>
      </c>
    </row>
    <row r="83" spans="1:20" x14ac:dyDescent="0.35">
      <c r="A83" s="80" t="str">
        <f>IF(Clientes_PDV!A83="","",Clientes_PDV!A83)</f>
        <v/>
      </c>
      <c r="B83" s="80" t="str">
        <f>IF(A83="","",IFERROR(VLOOKUP(A83,Clientes_PDV!$A$2:$J$250,2,FALSE),""))</f>
        <v/>
      </c>
      <c r="C83" s="80" t="str">
        <f>IF(A83="","",IFERROR(VLOOKUP(A83,Clientes_PDV!$A$2:$J$250,3,FALSE),""))</f>
        <v/>
      </c>
      <c r="D83" s="80" t="str">
        <f>IF(A83="","",IFERROR(VLOOKUP(A83,Clientes_PDV!$A$2:$J$250,4,FALSE),""))</f>
        <v/>
      </c>
      <c r="E83" s="80" t="str">
        <f>IF(A83="","",IFERROR(VLOOKUP(A83,Clientes_PDV!$A$2:$J$250,7,FALSE),""))</f>
        <v/>
      </c>
      <c r="F83" s="81" t="str">
        <f>IF(A83="","",IFERROR(VLOOKUP(A83,Clientes_PDV!$A$2:$J$250,8,FALSE),""))</f>
        <v/>
      </c>
      <c r="G83" s="82" t="str">
        <f t="shared" ca="1" si="4"/>
        <v/>
      </c>
      <c r="H83" s="80" t="str">
        <f>IF(A83="","",IF(F83="","Sin visita",IF(G83&lt;=IFERROR(VLOOKUP(E83,Inicio!$A$24:$B$26,2,FALSE),0),"Vigente","Atrasado")))</f>
        <v/>
      </c>
      <c r="I83" s="83" t="str">
        <f ca="1">IF(A83="","",SUMIFS(Ventas_SellIn!$L$2:$L$800,Ventas_SellIn!$D$2:$D$800,A83,Ventas_SellIn!$B$2:$B$800,"&gt;="&amp;TODAY()-Inicio!$B$14))</f>
        <v/>
      </c>
      <c r="J83" s="82" t="str">
        <f ca="1">IF(A83="","",SUMIFS(SellOut_Jumbo!$F$2:$F$800,SellOut_Jumbo!$C$2:$C$800,D83,SellOut_Jumbo!$A$2:$A$800,"&gt;="&amp;TODAY()-Inicio!$B$14))</f>
        <v/>
      </c>
      <c r="K83" s="80" t="str">
        <f>IF(A83="","",IF(I83=0,"Sin venta",IF(I83&lt;Inicio!$B$15,"Venta baja","Venta OK")))</f>
        <v/>
      </c>
      <c r="L83" s="82" t="str">
        <f>IF(A83="","",COUNTIFS(Ventas_SellIn!$D$2:$D$800,A83,Ventas_SellIn!$R$2:$R$800,"&gt;0"))</f>
        <v/>
      </c>
      <c r="M83" s="83" t="str">
        <f>IF(A83="","",SUMIFS(Ventas_SellIn!$R$2:$R$800,Ventas_SellIn!$D$2:$D$800,A83))</f>
        <v/>
      </c>
      <c r="N83" s="80" t="str">
        <f>IF(A83="","",IF(M83&gt;=Inicio!$B$18,"Pendiente relevante",IF(M83&gt;0,"Pendiente menor","Sin deuda")))</f>
        <v/>
      </c>
      <c r="O83" s="84" t="str">
        <f>IF(A83="","",SUMIFS(Stock_PDV!$H$2:$H$800,Stock_PDV!$A$2:$A$800,A83))</f>
        <v/>
      </c>
      <c r="P83" s="80" t="str">
        <f>IF(A83="","",IF(O83&lt;=Inicio!$B$16,"Crítico",IF(O83&lt;=Inicio!$B$17,"Observar","OK")))</f>
        <v/>
      </c>
      <c r="Q83" s="80" t="str">
        <f t="shared" si="5"/>
        <v/>
      </c>
      <c r="R83" s="80" t="str">
        <f t="shared" si="6"/>
        <v/>
      </c>
      <c r="S83" s="70" t="str">
        <f t="shared" si="7"/>
        <v/>
      </c>
      <c r="T83" s="70" t="str">
        <f>IF(A83="","",IFERROR(VLOOKUP(A83,Clientes_PDV!$A$2:$K$250,11,FALSE),""))</f>
        <v/>
      </c>
    </row>
    <row r="84" spans="1:20" x14ac:dyDescent="0.35">
      <c r="A84" s="75" t="str">
        <f>IF(Clientes_PDV!A84="","",Clientes_PDV!A84)</f>
        <v/>
      </c>
      <c r="B84" s="75" t="str">
        <f>IF(A84="","",IFERROR(VLOOKUP(A84,Clientes_PDV!$A$2:$J$250,2,FALSE),""))</f>
        <v/>
      </c>
      <c r="C84" s="75" t="str">
        <f>IF(A84="","",IFERROR(VLOOKUP(A84,Clientes_PDV!$A$2:$J$250,3,FALSE),""))</f>
        <v/>
      </c>
      <c r="D84" s="75" t="str">
        <f>IF(A84="","",IFERROR(VLOOKUP(A84,Clientes_PDV!$A$2:$J$250,4,FALSE),""))</f>
        <v/>
      </c>
      <c r="E84" s="75" t="str">
        <f>IF(A84="","",IFERROR(VLOOKUP(A84,Clientes_PDV!$A$2:$J$250,7,FALSE),""))</f>
        <v/>
      </c>
      <c r="F84" s="76" t="str">
        <f>IF(A84="","",IFERROR(VLOOKUP(A84,Clientes_PDV!$A$2:$J$250,8,FALSE),""))</f>
        <v/>
      </c>
      <c r="G84" s="77" t="str">
        <f t="shared" ca="1" si="4"/>
        <v/>
      </c>
      <c r="H84" s="75" t="str">
        <f>IF(A84="","",IF(F84="","Sin visita",IF(G84&lt;=IFERROR(VLOOKUP(E84,Inicio!$A$24:$B$26,2,FALSE),0),"Vigente","Atrasado")))</f>
        <v/>
      </c>
      <c r="I84" s="78" t="str">
        <f ca="1">IF(A84="","",SUMIFS(Ventas_SellIn!$L$2:$L$800,Ventas_SellIn!$D$2:$D$800,A84,Ventas_SellIn!$B$2:$B$800,"&gt;="&amp;TODAY()-Inicio!$B$14))</f>
        <v/>
      </c>
      <c r="J84" s="77" t="str">
        <f ca="1">IF(A84="","",SUMIFS(SellOut_Jumbo!$F$2:$F$800,SellOut_Jumbo!$C$2:$C$800,D84,SellOut_Jumbo!$A$2:$A$800,"&gt;="&amp;TODAY()-Inicio!$B$14))</f>
        <v/>
      </c>
      <c r="K84" s="75" t="str">
        <f>IF(A84="","",IF(I84=0,"Sin venta",IF(I84&lt;Inicio!$B$15,"Venta baja","Venta OK")))</f>
        <v/>
      </c>
      <c r="L84" s="77" t="str">
        <f>IF(A84="","",COUNTIFS(Ventas_SellIn!$D$2:$D$800,A84,Ventas_SellIn!$R$2:$R$800,"&gt;0"))</f>
        <v/>
      </c>
      <c r="M84" s="78" t="str">
        <f>IF(A84="","",SUMIFS(Ventas_SellIn!$R$2:$R$800,Ventas_SellIn!$D$2:$D$800,A84))</f>
        <v/>
      </c>
      <c r="N84" s="75" t="str">
        <f>IF(A84="","",IF(M84&gt;=Inicio!$B$18,"Pendiente relevante",IF(M84&gt;0,"Pendiente menor","Sin deuda")))</f>
        <v/>
      </c>
      <c r="O84" s="79" t="str">
        <f>IF(A84="","",SUMIFS(Stock_PDV!$H$2:$H$800,Stock_PDV!$A$2:$A$800,A84))</f>
        <v/>
      </c>
      <c r="P84" s="75" t="str">
        <f>IF(A84="","",IF(O84&lt;=Inicio!$B$16,"Crítico",IF(O84&lt;=Inicio!$B$17,"Observar","OK")))</f>
        <v/>
      </c>
      <c r="Q84" s="75" t="str">
        <f t="shared" si="5"/>
        <v/>
      </c>
      <c r="R84" s="75" t="str">
        <f t="shared" si="6"/>
        <v/>
      </c>
      <c r="S84" s="68" t="str">
        <f t="shared" si="7"/>
        <v/>
      </c>
      <c r="T84" s="68" t="str">
        <f>IF(A84="","",IFERROR(VLOOKUP(A84,Clientes_PDV!$A$2:$K$250,11,FALSE),""))</f>
        <v/>
      </c>
    </row>
    <row r="85" spans="1:20" x14ac:dyDescent="0.35">
      <c r="A85" s="80" t="str">
        <f>IF(Clientes_PDV!A85="","",Clientes_PDV!A85)</f>
        <v/>
      </c>
      <c r="B85" s="80" t="str">
        <f>IF(A85="","",IFERROR(VLOOKUP(A85,Clientes_PDV!$A$2:$J$250,2,FALSE),""))</f>
        <v/>
      </c>
      <c r="C85" s="80" t="str">
        <f>IF(A85="","",IFERROR(VLOOKUP(A85,Clientes_PDV!$A$2:$J$250,3,FALSE),""))</f>
        <v/>
      </c>
      <c r="D85" s="80" t="str">
        <f>IF(A85="","",IFERROR(VLOOKUP(A85,Clientes_PDV!$A$2:$J$250,4,FALSE),""))</f>
        <v/>
      </c>
      <c r="E85" s="80" t="str">
        <f>IF(A85="","",IFERROR(VLOOKUP(A85,Clientes_PDV!$A$2:$J$250,7,FALSE),""))</f>
        <v/>
      </c>
      <c r="F85" s="81" t="str">
        <f>IF(A85="","",IFERROR(VLOOKUP(A85,Clientes_PDV!$A$2:$J$250,8,FALSE),""))</f>
        <v/>
      </c>
      <c r="G85" s="82" t="str">
        <f t="shared" ca="1" si="4"/>
        <v/>
      </c>
      <c r="H85" s="80" t="str">
        <f>IF(A85="","",IF(F85="","Sin visita",IF(G85&lt;=IFERROR(VLOOKUP(E85,Inicio!$A$24:$B$26,2,FALSE),0),"Vigente","Atrasado")))</f>
        <v/>
      </c>
      <c r="I85" s="83" t="str">
        <f ca="1">IF(A85="","",SUMIFS(Ventas_SellIn!$L$2:$L$800,Ventas_SellIn!$D$2:$D$800,A85,Ventas_SellIn!$B$2:$B$800,"&gt;="&amp;TODAY()-Inicio!$B$14))</f>
        <v/>
      </c>
      <c r="J85" s="82" t="str">
        <f ca="1">IF(A85="","",SUMIFS(SellOut_Jumbo!$F$2:$F$800,SellOut_Jumbo!$C$2:$C$800,D85,SellOut_Jumbo!$A$2:$A$800,"&gt;="&amp;TODAY()-Inicio!$B$14))</f>
        <v/>
      </c>
      <c r="K85" s="80" t="str">
        <f>IF(A85="","",IF(I85=0,"Sin venta",IF(I85&lt;Inicio!$B$15,"Venta baja","Venta OK")))</f>
        <v/>
      </c>
      <c r="L85" s="82" t="str">
        <f>IF(A85="","",COUNTIFS(Ventas_SellIn!$D$2:$D$800,A85,Ventas_SellIn!$R$2:$R$800,"&gt;0"))</f>
        <v/>
      </c>
      <c r="M85" s="83" t="str">
        <f>IF(A85="","",SUMIFS(Ventas_SellIn!$R$2:$R$800,Ventas_SellIn!$D$2:$D$800,A85))</f>
        <v/>
      </c>
      <c r="N85" s="80" t="str">
        <f>IF(A85="","",IF(M85&gt;=Inicio!$B$18,"Pendiente relevante",IF(M85&gt;0,"Pendiente menor","Sin deuda")))</f>
        <v/>
      </c>
      <c r="O85" s="84" t="str">
        <f>IF(A85="","",SUMIFS(Stock_PDV!$H$2:$H$800,Stock_PDV!$A$2:$A$800,A85))</f>
        <v/>
      </c>
      <c r="P85" s="80" t="str">
        <f>IF(A85="","",IF(O85&lt;=Inicio!$B$16,"Crítico",IF(O85&lt;=Inicio!$B$17,"Observar","OK")))</f>
        <v/>
      </c>
      <c r="Q85" s="80" t="str">
        <f t="shared" si="5"/>
        <v/>
      </c>
      <c r="R85" s="80" t="str">
        <f t="shared" si="6"/>
        <v/>
      </c>
      <c r="S85" s="70" t="str">
        <f t="shared" si="7"/>
        <v/>
      </c>
      <c r="T85" s="70" t="str">
        <f>IF(A85="","",IFERROR(VLOOKUP(A85,Clientes_PDV!$A$2:$K$250,11,FALSE),""))</f>
        <v/>
      </c>
    </row>
    <row r="86" spans="1:20" x14ac:dyDescent="0.35">
      <c r="A86" s="75" t="str">
        <f>IF(Clientes_PDV!A86="","",Clientes_PDV!A86)</f>
        <v/>
      </c>
      <c r="B86" s="75" t="str">
        <f>IF(A86="","",IFERROR(VLOOKUP(A86,Clientes_PDV!$A$2:$J$250,2,FALSE),""))</f>
        <v/>
      </c>
      <c r="C86" s="75" t="str">
        <f>IF(A86="","",IFERROR(VLOOKUP(A86,Clientes_PDV!$A$2:$J$250,3,FALSE),""))</f>
        <v/>
      </c>
      <c r="D86" s="75" t="str">
        <f>IF(A86="","",IFERROR(VLOOKUP(A86,Clientes_PDV!$A$2:$J$250,4,FALSE),""))</f>
        <v/>
      </c>
      <c r="E86" s="75" t="str">
        <f>IF(A86="","",IFERROR(VLOOKUP(A86,Clientes_PDV!$A$2:$J$250,7,FALSE),""))</f>
        <v/>
      </c>
      <c r="F86" s="76" t="str">
        <f>IF(A86="","",IFERROR(VLOOKUP(A86,Clientes_PDV!$A$2:$J$250,8,FALSE),""))</f>
        <v/>
      </c>
      <c r="G86" s="77" t="str">
        <f t="shared" ca="1" si="4"/>
        <v/>
      </c>
      <c r="H86" s="75" t="str">
        <f>IF(A86="","",IF(F86="","Sin visita",IF(G86&lt;=IFERROR(VLOOKUP(E86,Inicio!$A$24:$B$26,2,FALSE),0),"Vigente","Atrasado")))</f>
        <v/>
      </c>
      <c r="I86" s="78" t="str">
        <f ca="1">IF(A86="","",SUMIFS(Ventas_SellIn!$L$2:$L$800,Ventas_SellIn!$D$2:$D$800,A86,Ventas_SellIn!$B$2:$B$800,"&gt;="&amp;TODAY()-Inicio!$B$14))</f>
        <v/>
      </c>
      <c r="J86" s="77" t="str">
        <f ca="1">IF(A86="","",SUMIFS(SellOut_Jumbo!$F$2:$F$800,SellOut_Jumbo!$C$2:$C$800,D86,SellOut_Jumbo!$A$2:$A$800,"&gt;="&amp;TODAY()-Inicio!$B$14))</f>
        <v/>
      </c>
      <c r="K86" s="75" t="str">
        <f>IF(A86="","",IF(I86=0,"Sin venta",IF(I86&lt;Inicio!$B$15,"Venta baja","Venta OK")))</f>
        <v/>
      </c>
      <c r="L86" s="77" t="str">
        <f>IF(A86="","",COUNTIFS(Ventas_SellIn!$D$2:$D$800,A86,Ventas_SellIn!$R$2:$R$800,"&gt;0"))</f>
        <v/>
      </c>
      <c r="M86" s="78" t="str">
        <f>IF(A86="","",SUMIFS(Ventas_SellIn!$R$2:$R$800,Ventas_SellIn!$D$2:$D$800,A86))</f>
        <v/>
      </c>
      <c r="N86" s="75" t="str">
        <f>IF(A86="","",IF(M86&gt;=Inicio!$B$18,"Pendiente relevante",IF(M86&gt;0,"Pendiente menor","Sin deuda")))</f>
        <v/>
      </c>
      <c r="O86" s="79" t="str">
        <f>IF(A86="","",SUMIFS(Stock_PDV!$H$2:$H$800,Stock_PDV!$A$2:$A$800,A86))</f>
        <v/>
      </c>
      <c r="P86" s="75" t="str">
        <f>IF(A86="","",IF(O86&lt;=Inicio!$B$16,"Crítico",IF(O86&lt;=Inicio!$B$17,"Observar","OK")))</f>
        <v/>
      </c>
      <c r="Q86" s="75" t="str">
        <f t="shared" si="5"/>
        <v/>
      </c>
      <c r="R86" s="75" t="str">
        <f t="shared" si="6"/>
        <v/>
      </c>
      <c r="S86" s="68" t="str">
        <f t="shared" si="7"/>
        <v/>
      </c>
      <c r="T86" s="68" t="str">
        <f>IF(A86="","",IFERROR(VLOOKUP(A86,Clientes_PDV!$A$2:$K$250,11,FALSE),""))</f>
        <v/>
      </c>
    </row>
    <row r="87" spans="1:20" x14ac:dyDescent="0.35">
      <c r="A87" s="80" t="str">
        <f>IF(Clientes_PDV!A87="","",Clientes_PDV!A87)</f>
        <v/>
      </c>
      <c r="B87" s="80" t="str">
        <f>IF(A87="","",IFERROR(VLOOKUP(A87,Clientes_PDV!$A$2:$J$250,2,FALSE),""))</f>
        <v/>
      </c>
      <c r="C87" s="80" t="str">
        <f>IF(A87="","",IFERROR(VLOOKUP(A87,Clientes_PDV!$A$2:$J$250,3,FALSE),""))</f>
        <v/>
      </c>
      <c r="D87" s="80" t="str">
        <f>IF(A87="","",IFERROR(VLOOKUP(A87,Clientes_PDV!$A$2:$J$250,4,FALSE),""))</f>
        <v/>
      </c>
      <c r="E87" s="80" t="str">
        <f>IF(A87="","",IFERROR(VLOOKUP(A87,Clientes_PDV!$A$2:$J$250,7,FALSE),""))</f>
        <v/>
      </c>
      <c r="F87" s="81" t="str">
        <f>IF(A87="","",IFERROR(VLOOKUP(A87,Clientes_PDV!$A$2:$J$250,8,FALSE),""))</f>
        <v/>
      </c>
      <c r="G87" s="82" t="str">
        <f t="shared" ca="1" si="4"/>
        <v/>
      </c>
      <c r="H87" s="80" t="str">
        <f>IF(A87="","",IF(F87="","Sin visita",IF(G87&lt;=IFERROR(VLOOKUP(E87,Inicio!$A$24:$B$26,2,FALSE),0),"Vigente","Atrasado")))</f>
        <v/>
      </c>
      <c r="I87" s="83" t="str">
        <f ca="1">IF(A87="","",SUMIFS(Ventas_SellIn!$L$2:$L$800,Ventas_SellIn!$D$2:$D$800,A87,Ventas_SellIn!$B$2:$B$800,"&gt;="&amp;TODAY()-Inicio!$B$14))</f>
        <v/>
      </c>
      <c r="J87" s="82" t="str">
        <f ca="1">IF(A87="","",SUMIFS(SellOut_Jumbo!$F$2:$F$800,SellOut_Jumbo!$C$2:$C$800,D87,SellOut_Jumbo!$A$2:$A$800,"&gt;="&amp;TODAY()-Inicio!$B$14))</f>
        <v/>
      </c>
      <c r="K87" s="80" t="str">
        <f>IF(A87="","",IF(I87=0,"Sin venta",IF(I87&lt;Inicio!$B$15,"Venta baja","Venta OK")))</f>
        <v/>
      </c>
      <c r="L87" s="82" t="str">
        <f>IF(A87="","",COUNTIFS(Ventas_SellIn!$D$2:$D$800,A87,Ventas_SellIn!$R$2:$R$800,"&gt;0"))</f>
        <v/>
      </c>
      <c r="M87" s="83" t="str">
        <f>IF(A87="","",SUMIFS(Ventas_SellIn!$R$2:$R$800,Ventas_SellIn!$D$2:$D$800,A87))</f>
        <v/>
      </c>
      <c r="N87" s="80" t="str">
        <f>IF(A87="","",IF(M87&gt;=Inicio!$B$18,"Pendiente relevante",IF(M87&gt;0,"Pendiente menor","Sin deuda")))</f>
        <v/>
      </c>
      <c r="O87" s="84" t="str">
        <f>IF(A87="","",SUMIFS(Stock_PDV!$H$2:$H$800,Stock_PDV!$A$2:$A$800,A87))</f>
        <v/>
      </c>
      <c r="P87" s="80" t="str">
        <f>IF(A87="","",IF(O87&lt;=Inicio!$B$16,"Crítico",IF(O87&lt;=Inicio!$B$17,"Observar","OK")))</f>
        <v/>
      </c>
      <c r="Q87" s="80" t="str">
        <f t="shared" si="5"/>
        <v/>
      </c>
      <c r="R87" s="80" t="str">
        <f t="shared" si="6"/>
        <v/>
      </c>
      <c r="S87" s="70" t="str">
        <f t="shared" si="7"/>
        <v/>
      </c>
      <c r="T87" s="70" t="str">
        <f>IF(A87="","",IFERROR(VLOOKUP(A87,Clientes_PDV!$A$2:$K$250,11,FALSE),""))</f>
        <v/>
      </c>
    </row>
    <row r="88" spans="1:20" x14ac:dyDescent="0.35">
      <c r="A88" s="75" t="str">
        <f>IF(Clientes_PDV!A88="","",Clientes_PDV!A88)</f>
        <v/>
      </c>
      <c r="B88" s="75" t="str">
        <f>IF(A88="","",IFERROR(VLOOKUP(A88,Clientes_PDV!$A$2:$J$250,2,FALSE),""))</f>
        <v/>
      </c>
      <c r="C88" s="75" t="str">
        <f>IF(A88="","",IFERROR(VLOOKUP(A88,Clientes_PDV!$A$2:$J$250,3,FALSE),""))</f>
        <v/>
      </c>
      <c r="D88" s="75" t="str">
        <f>IF(A88="","",IFERROR(VLOOKUP(A88,Clientes_PDV!$A$2:$J$250,4,FALSE),""))</f>
        <v/>
      </c>
      <c r="E88" s="75" t="str">
        <f>IF(A88="","",IFERROR(VLOOKUP(A88,Clientes_PDV!$A$2:$J$250,7,FALSE),""))</f>
        <v/>
      </c>
      <c r="F88" s="76" t="str">
        <f>IF(A88="","",IFERROR(VLOOKUP(A88,Clientes_PDV!$A$2:$J$250,8,FALSE),""))</f>
        <v/>
      </c>
      <c r="G88" s="77" t="str">
        <f t="shared" ca="1" si="4"/>
        <v/>
      </c>
      <c r="H88" s="75" t="str">
        <f>IF(A88="","",IF(F88="","Sin visita",IF(G88&lt;=IFERROR(VLOOKUP(E88,Inicio!$A$24:$B$26,2,FALSE),0),"Vigente","Atrasado")))</f>
        <v/>
      </c>
      <c r="I88" s="78" t="str">
        <f ca="1">IF(A88="","",SUMIFS(Ventas_SellIn!$L$2:$L$800,Ventas_SellIn!$D$2:$D$800,A88,Ventas_SellIn!$B$2:$B$800,"&gt;="&amp;TODAY()-Inicio!$B$14))</f>
        <v/>
      </c>
      <c r="J88" s="77" t="str">
        <f ca="1">IF(A88="","",SUMIFS(SellOut_Jumbo!$F$2:$F$800,SellOut_Jumbo!$C$2:$C$800,D88,SellOut_Jumbo!$A$2:$A$800,"&gt;="&amp;TODAY()-Inicio!$B$14))</f>
        <v/>
      </c>
      <c r="K88" s="75" t="str">
        <f>IF(A88="","",IF(I88=0,"Sin venta",IF(I88&lt;Inicio!$B$15,"Venta baja","Venta OK")))</f>
        <v/>
      </c>
      <c r="L88" s="77" t="str">
        <f>IF(A88="","",COUNTIFS(Ventas_SellIn!$D$2:$D$800,A88,Ventas_SellIn!$R$2:$R$800,"&gt;0"))</f>
        <v/>
      </c>
      <c r="M88" s="78" t="str">
        <f>IF(A88="","",SUMIFS(Ventas_SellIn!$R$2:$R$800,Ventas_SellIn!$D$2:$D$800,A88))</f>
        <v/>
      </c>
      <c r="N88" s="75" t="str">
        <f>IF(A88="","",IF(M88&gt;=Inicio!$B$18,"Pendiente relevante",IF(M88&gt;0,"Pendiente menor","Sin deuda")))</f>
        <v/>
      </c>
      <c r="O88" s="79" t="str">
        <f>IF(A88="","",SUMIFS(Stock_PDV!$H$2:$H$800,Stock_PDV!$A$2:$A$800,A88))</f>
        <v/>
      </c>
      <c r="P88" s="75" t="str">
        <f>IF(A88="","",IF(O88&lt;=Inicio!$B$16,"Crítico",IF(O88&lt;=Inicio!$B$17,"Observar","OK")))</f>
        <v/>
      </c>
      <c r="Q88" s="75" t="str">
        <f t="shared" si="5"/>
        <v/>
      </c>
      <c r="R88" s="75" t="str">
        <f t="shared" si="6"/>
        <v/>
      </c>
      <c r="S88" s="68" t="str">
        <f t="shared" si="7"/>
        <v/>
      </c>
      <c r="T88" s="68" t="str">
        <f>IF(A88="","",IFERROR(VLOOKUP(A88,Clientes_PDV!$A$2:$K$250,11,FALSE),""))</f>
        <v/>
      </c>
    </row>
    <row r="89" spans="1:20" x14ac:dyDescent="0.35">
      <c r="A89" s="80" t="str">
        <f>IF(Clientes_PDV!A89="","",Clientes_PDV!A89)</f>
        <v/>
      </c>
      <c r="B89" s="80" t="str">
        <f>IF(A89="","",IFERROR(VLOOKUP(A89,Clientes_PDV!$A$2:$J$250,2,FALSE),""))</f>
        <v/>
      </c>
      <c r="C89" s="80" t="str">
        <f>IF(A89="","",IFERROR(VLOOKUP(A89,Clientes_PDV!$A$2:$J$250,3,FALSE),""))</f>
        <v/>
      </c>
      <c r="D89" s="80" t="str">
        <f>IF(A89="","",IFERROR(VLOOKUP(A89,Clientes_PDV!$A$2:$J$250,4,FALSE),""))</f>
        <v/>
      </c>
      <c r="E89" s="80" t="str">
        <f>IF(A89="","",IFERROR(VLOOKUP(A89,Clientes_PDV!$A$2:$J$250,7,FALSE),""))</f>
        <v/>
      </c>
      <c r="F89" s="81" t="str">
        <f>IF(A89="","",IFERROR(VLOOKUP(A89,Clientes_PDV!$A$2:$J$250,8,FALSE),""))</f>
        <v/>
      </c>
      <c r="G89" s="82" t="str">
        <f t="shared" ca="1" si="4"/>
        <v/>
      </c>
      <c r="H89" s="80" t="str">
        <f>IF(A89="","",IF(F89="","Sin visita",IF(G89&lt;=IFERROR(VLOOKUP(E89,Inicio!$A$24:$B$26,2,FALSE),0),"Vigente","Atrasado")))</f>
        <v/>
      </c>
      <c r="I89" s="83" t="str">
        <f ca="1">IF(A89="","",SUMIFS(Ventas_SellIn!$L$2:$L$800,Ventas_SellIn!$D$2:$D$800,A89,Ventas_SellIn!$B$2:$B$800,"&gt;="&amp;TODAY()-Inicio!$B$14))</f>
        <v/>
      </c>
      <c r="J89" s="82" t="str">
        <f ca="1">IF(A89="","",SUMIFS(SellOut_Jumbo!$F$2:$F$800,SellOut_Jumbo!$C$2:$C$800,D89,SellOut_Jumbo!$A$2:$A$800,"&gt;="&amp;TODAY()-Inicio!$B$14))</f>
        <v/>
      </c>
      <c r="K89" s="80" t="str">
        <f>IF(A89="","",IF(I89=0,"Sin venta",IF(I89&lt;Inicio!$B$15,"Venta baja","Venta OK")))</f>
        <v/>
      </c>
      <c r="L89" s="82" t="str">
        <f>IF(A89="","",COUNTIFS(Ventas_SellIn!$D$2:$D$800,A89,Ventas_SellIn!$R$2:$R$800,"&gt;0"))</f>
        <v/>
      </c>
      <c r="M89" s="83" t="str">
        <f>IF(A89="","",SUMIFS(Ventas_SellIn!$R$2:$R$800,Ventas_SellIn!$D$2:$D$800,A89))</f>
        <v/>
      </c>
      <c r="N89" s="80" t="str">
        <f>IF(A89="","",IF(M89&gt;=Inicio!$B$18,"Pendiente relevante",IF(M89&gt;0,"Pendiente menor","Sin deuda")))</f>
        <v/>
      </c>
      <c r="O89" s="84" t="str">
        <f>IF(A89="","",SUMIFS(Stock_PDV!$H$2:$H$800,Stock_PDV!$A$2:$A$800,A89))</f>
        <v/>
      </c>
      <c r="P89" s="80" t="str">
        <f>IF(A89="","",IF(O89&lt;=Inicio!$B$16,"Crítico",IF(O89&lt;=Inicio!$B$17,"Observar","OK")))</f>
        <v/>
      </c>
      <c r="Q89" s="80" t="str">
        <f t="shared" si="5"/>
        <v/>
      </c>
      <c r="R89" s="80" t="str">
        <f t="shared" si="6"/>
        <v/>
      </c>
      <c r="S89" s="70" t="str">
        <f t="shared" si="7"/>
        <v/>
      </c>
      <c r="T89" s="70" t="str">
        <f>IF(A89="","",IFERROR(VLOOKUP(A89,Clientes_PDV!$A$2:$K$250,11,FALSE),""))</f>
        <v/>
      </c>
    </row>
    <row r="90" spans="1:20" x14ac:dyDescent="0.35">
      <c r="A90" s="75" t="str">
        <f>IF(Clientes_PDV!A90="","",Clientes_PDV!A90)</f>
        <v/>
      </c>
      <c r="B90" s="75" t="str">
        <f>IF(A90="","",IFERROR(VLOOKUP(A90,Clientes_PDV!$A$2:$J$250,2,FALSE),""))</f>
        <v/>
      </c>
      <c r="C90" s="75" t="str">
        <f>IF(A90="","",IFERROR(VLOOKUP(A90,Clientes_PDV!$A$2:$J$250,3,FALSE),""))</f>
        <v/>
      </c>
      <c r="D90" s="75" t="str">
        <f>IF(A90="","",IFERROR(VLOOKUP(A90,Clientes_PDV!$A$2:$J$250,4,FALSE),""))</f>
        <v/>
      </c>
      <c r="E90" s="75" t="str">
        <f>IF(A90="","",IFERROR(VLOOKUP(A90,Clientes_PDV!$A$2:$J$250,7,FALSE),""))</f>
        <v/>
      </c>
      <c r="F90" s="76" t="str">
        <f>IF(A90="","",IFERROR(VLOOKUP(A90,Clientes_PDV!$A$2:$J$250,8,FALSE),""))</f>
        <v/>
      </c>
      <c r="G90" s="77" t="str">
        <f t="shared" ca="1" si="4"/>
        <v/>
      </c>
      <c r="H90" s="75" t="str">
        <f>IF(A90="","",IF(F90="","Sin visita",IF(G90&lt;=IFERROR(VLOOKUP(E90,Inicio!$A$24:$B$26,2,FALSE),0),"Vigente","Atrasado")))</f>
        <v/>
      </c>
      <c r="I90" s="78" t="str">
        <f ca="1">IF(A90="","",SUMIFS(Ventas_SellIn!$L$2:$L$800,Ventas_SellIn!$D$2:$D$800,A90,Ventas_SellIn!$B$2:$B$800,"&gt;="&amp;TODAY()-Inicio!$B$14))</f>
        <v/>
      </c>
      <c r="J90" s="77" t="str">
        <f ca="1">IF(A90="","",SUMIFS(SellOut_Jumbo!$F$2:$F$800,SellOut_Jumbo!$C$2:$C$800,D90,SellOut_Jumbo!$A$2:$A$800,"&gt;="&amp;TODAY()-Inicio!$B$14))</f>
        <v/>
      </c>
      <c r="K90" s="75" t="str">
        <f>IF(A90="","",IF(I90=0,"Sin venta",IF(I90&lt;Inicio!$B$15,"Venta baja","Venta OK")))</f>
        <v/>
      </c>
      <c r="L90" s="77" t="str">
        <f>IF(A90="","",COUNTIFS(Ventas_SellIn!$D$2:$D$800,A90,Ventas_SellIn!$R$2:$R$800,"&gt;0"))</f>
        <v/>
      </c>
      <c r="M90" s="78" t="str">
        <f>IF(A90="","",SUMIFS(Ventas_SellIn!$R$2:$R$800,Ventas_SellIn!$D$2:$D$800,A90))</f>
        <v/>
      </c>
      <c r="N90" s="75" t="str">
        <f>IF(A90="","",IF(M90&gt;=Inicio!$B$18,"Pendiente relevante",IF(M90&gt;0,"Pendiente menor","Sin deuda")))</f>
        <v/>
      </c>
      <c r="O90" s="79" t="str">
        <f>IF(A90="","",SUMIFS(Stock_PDV!$H$2:$H$800,Stock_PDV!$A$2:$A$800,A90))</f>
        <v/>
      </c>
      <c r="P90" s="75" t="str">
        <f>IF(A90="","",IF(O90&lt;=Inicio!$B$16,"Crítico",IF(O90&lt;=Inicio!$B$17,"Observar","OK")))</f>
        <v/>
      </c>
      <c r="Q90" s="75" t="str">
        <f t="shared" si="5"/>
        <v/>
      </c>
      <c r="R90" s="75" t="str">
        <f t="shared" si="6"/>
        <v/>
      </c>
      <c r="S90" s="68" t="str">
        <f t="shared" si="7"/>
        <v/>
      </c>
      <c r="T90" s="68" t="str">
        <f>IF(A90="","",IFERROR(VLOOKUP(A90,Clientes_PDV!$A$2:$K$250,11,FALSE),""))</f>
        <v/>
      </c>
    </row>
    <row r="91" spans="1:20" x14ac:dyDescent="0.35">
      <c r="A91" s="80" t="str">
        <f>IF(Clientes_PDV!A91="","",Clientes_PDV!A91)</f>
        <v/>
      </c>
      <c r="B91" s="80" t="str">
        <f>IF(A91="","",IFERROR(VLOOKUP(A91,Clientes_PDV!$A$2:$J$250,2,FALSE),""))</f>
        <v/>
      </c>
      <c r="C91" s="80" t="str">
        <f>IF(A91="","",IFERROR(VLOOKUP(A91,Clientes_PDV!$A$2:$J$250,3,FALSE),""))</f>
        <v/>
      </c>
      <c r="D91" s="80" t="str">
        <f>IF(A91="","",IFERROR(VLOOKUP(A91,Clientes_PDV!$A$2:$J$250,4,FALSE),""))</f>
        <v/>
      </c>
      <c r="E91" s="80" t="str">
        <f>IF(A91="","",IFERROR(VLOOKUP(A91,Clientes_PDV!$A$2:$J$250,7,FALSE),""))</f>
        <v/>
      </c>
      <c r="F91" s="81" t="str">
        <f>IF(A91="","",IFERROR(VLOOKUP(A91,Clientes_PDV!$A$2:$J$250,8,FALSE),""))</f>
        <v/>
      </c>
      <c r="G91" s="82" t="str">
        <f t="shared" ca="1" si="4"/>
        <v/>
      </c>
      <c r="H91" s="80" t="str">
        <f>IF(A91="","",IF(F91="","Sin visita",IF(G91&lt;=IFERROR(VLOOKUP(E91,Inicio!$A$24:$B$26,2,FALSE),0),"Vigente","Atrasado")))</f>
        <v/>
      </c>
      <c r="I91" s="83" t="str">
        <f ca="1">IF(A91="","",SUMIFS(Ventas_SellIn!$L$2:$L$800,Ventas_SellIn!$D$2:$D$800,A91,Ventas_SellIn!$B$2:$B$800,"&gt;="&amp;TODAY()-Inicio!$B$14))</f>
        <v/>
      </c>
      <c r="J91" s="82" t="str">
        <f ca="1">IF(A91="","",SUMIFS(SellOut_Jumbo!$F$2:$F$800,SellOut_Jumbo!$C$2:$C$800,D91,SellOut_Jumbo!$A$2:$A$800,"&gt;="&amp;TODAY()-Inicio!$B$14))</f>
        <v/>
      </c>
      <c r="K91" s="80" t="str">
        <f>IF(A91="","",IF(I91=0,"Sin venta",IF(I91&lt;Inicio!$B$15,"Venta baja","Venta OK")))</f>
        <v/>
      </c>
      <c r="L91" s="82" t="str">
        <f>IF(A91="","",COUNTIFS(Ventas_SellIn!$D$2:$D$800,A91,Ventas_SellIn!$R$2:$R$800,"&gt;0"))</f>
        <v/>
      </c>
      <c r="M91" s="83" t="str">
        <f>IF(A91="","",SUMIFS(Ventas_SellIn!$R$2:$R$800,Ventas_SellIn!$D$2:$D$800,A91))</f>
        <v/>
      </c>
      <c r="N91" s="80" t="str">
        <f>IF(A91="","",IF(M91&gt;=Inicio!$B$18,"Pendiente relevante",IF(M91&gt;0,"Pendiente menor","Sin deuda")))</f>
        <v/>
      </c>
      <c r="O91" s="84" t="str">
        <f>IF(A91="","",SUMIFS(Stock_PDV!$H$2:$H$800,Stock_PDV!$A$2:$A$800,A91))</f>
        <v/>
      </c>
      <c r="P91" s="80" t="str">
        <f>IF(A91="","",IF(O91&lt;=Inicio!$B$16,"Crítico",IF(O91&lt;=Inicio!$B$17,"Observar","OK")))</f>
        <v/>
      </c>
      <c r="Q91" s="80" t="str">
        <f t="shared" si="5"/>
        <v/>
      </c>
      <c r="R91" s="80" t="str">
        <f t="shared" si="6"/>
        <v/>
      </c>
      <c r="S91" s="70" t="str">
        <f t="shared" si="7"/>
        <v/>
      </c>
      <c r="T91" s="70" t="str">
        <f>IF(A91="","",IFERROR(VLOOKUP(A91,Clientes_PDV!$A$2:$K$250,11,FALSE),""))</f>
        <v/>
      </c>
    </row>
    <row r="92" spans="1:20" x14ac:dyDescent="0.35">
      <c r="A92" s="75" t="str">
        <f>IF(Clientes_PDV!A92="","",Clientes_PDV!A92)</f>
        <v/>
      </c>
      <c r="B92" s="75" t="str">
        <f>IF(A92="","",IFERROR(VLOOKUP(A92,Clientes_PDV!$A$2:$J$250,2,FALSE),""))</f>
        <v/>
      </c>
      <c r="C92" s="75" t="str">
        <f>IF(A92="","",IFERROR(VLOOKUP(A92,Clientes_PDV!$A$2:$J$250,3,FALSE),""))</f>
        <v/>
      </c>
      <c r="D92" s="75" t="str">
        <f>IF(A92="","",IFERROR(VLOOKUP(A92,Clientes_PDV!$A$2:$J$250,4,FALSE),""))</f>
        <v/>
      </c>
      <c r="E92" s="75" t="str">
        <f>IF(A92="","",IFERROR(VLOOKUP(A92,Clientes_PDV!$A$2:$J$250,7,FALSE),""))</f>
        <v/>
      </c>
      <c r="F92" s="76" t="str">
        <f>IF(A92="","",IFERROR(VLOOKUP(A92,Clientes_PDV!$A$2:$J$250,8,FALSE),""))</f>
        <v/>
      </c>
      <c r="G92" s="77" t="str">
        <f t="shared" ca="1" si="4"/>
        <v/>
      </c>
      <c r="H92" s="75" t="str">
        <f>IF(A92="","",IF(F92="","Sin visita",IF(G92&lt;=IFERROR(VLOOKUP(E92,Inicio!$A$24:$B$26,2,FALSE),0),"Vigente","Atrasado")))</f>
        <v/>
      </c>
      <c r="I92" s="78" t="str">
        <f ca="1">IF(A92="","",SUMIFS(Ventas_SellIn!$L$2:$L$800,Ventas_SellIn!$D$2:$D$800,A92,Ventas_SellIn!$B$2:$B$800,"&gt;="&amp;TODAY()-Inicio!$B$14))</f>
        <v/>
      </c>
      <c r="J92" s="77" t="str">
        <f ca="1">IF(A92="","",SUMIFS(SellOut_Jumbo!$F$2:$F$800,SellOut_Jumbo!$C$2:$C$800,D92,SellOut_Jumbo!$A$2:$A$800,"&gt;="&amp;TODAY()-Inicio!$B$14))</f>
        <v/>
      </c>
      <c r="K92" s="75" t="str">
        <f>IF(A92="","",IF(I92=0,"Sin venta",IF(I92&lt;Inicio!$B$15,"Venta baja","Venta OK")))</f>
        <v/>
      </c>
      <c r="L92" s="77" t="str">
        <f>IF(A92="","",COUNTIFS(Ventas_SellIn!$D$2:$D$800,A92,Ventas_SellIn!$R$2:$R$800,"&gt;0"))</f>
        <v/>
      </c>
      <c r="M92" s="78" t="str">
        <f>IF(A92="","",SUMIFS(Ventas_SellIn!$R$2:$R$800,Ventas_SellIn!$D$2:$D$800,A92))</f>
        <v/>
      </c>
      <c r="N92" s="75" t="str">
        <f>IF(A92="","",IF(M92&gt;=Inicio!$B$18,"Pendiente relevante",IF(M92&gt;0,"Pendiente menor","Sin deuda")))</f>
        <v/>
      </c>
      <c r="O92" s="79" t="str">
        <f>IF(A92="","",SUMIFS(Stock_PDV!$H$2:$H$800,Stock_PDV!$A$2:$A$800,A92))</f>
        <v/>
      </c>
      <c r="P92" s="75" t="str">
        <f>IF(A92="","",IF(O92&lt;=Inicio!$B$16,"Crítico",IF(O92&lt;=Inicio!$B$17,"Observar","OK")))</f>
        <v/>
      </c>
      <c r="Q92" s="75" t="str">
        <f t="shared" si="5"/>
        <v/>
      </c>
      <c r="R92" s="75" t="str">
        <f t="shared" si="6"/>
        <v/>
      </c>
      <c r="S92" s="68" t="str">
        <f t="shared" si="7"/>
        <v/>
      </c>
      <c r="T92" s="68" t="str">
        <f>IF(A92="","",IFERROR(VLOOKUP(A92,Clientes_PDV!$A$2:$K$250,11,FALSE),""))</f>
        <v/>
      </c>
    </row>
    <row r="93" spans="1:20" x14ac:dyDescent="0.35">
      <c r="A93" s="80" t="str">
        <f>IF(Clientes_PDV!A93="","",Clientes_PDV!A93)</f>
        <v/>
      </c>
      <c r="B93" s="80" t="str">
        <f>IF(A93="","",IFERROR(VLOOKUP(A93,Clientes_PDV!$A$2:$J$250,2,FALSE),""))</f>
        <v/>
      </c>
      <c r="C93" s="80" t="str">
        <f>IF(A93="","",IFERROR(VLOOKUP(A93,Clientes_PDV!$A$2:$J$250,3,FALSE),""))</f>
        <v/>
      </c>
      <c r="D93" s="80" t="str">
        <f>IF(A93="","",IFERROR(VLOOKUP(A93,Clientes_PDV!$A$2:$J$250,4,FALSE),""))</f>
        <v/>
      </c>
      <c r="E93" s="80" t="str">
        <f>IF(A93="","",IFERROR(VLOOKUP(A93,Clientes_PDV!$A$2:$J$250,7,FALSE),""))</f>
        <v/>
      </c>
      <c r="F93" s="81" t="str">
        <f>IF(A93="","",IFERROR(VLOOKUP(A93,Clientes_PDV!$A$2:$J$250,8,FALSE),""))</f>
        <v/>
      </c>
      <c r="G93" s="82" t="str">
        <f t="shared" ca="1" si="4"/>
        <v/>
      </c>
      <c r="H93" s="80" t="str">
        <f>IF(A93="","",IF(F93="","Sin visita",IF(G93&lt;=IFERROR(VLOOKUP(E93,Inicio!$A$24:$B$26,2,FALSE),0),"Vigente","Atrasado")))</f>
        <v/>
      </c>
      <c r="I93" s="83" t="str">
        <f ca="1">IF(A93="","",SUMIFS(Ventas_SellIn!$L$2:$L$800,Ventas_SellIn!$D$2:$D$800,A93,Ventas_SellIn!$B$2:$B$800,"&gt;="&amp;TODAY()-Inicio!$B$14))</f>
        <v/>
      </c>
      <c r="J93" s="82" t="str">
        <f ca="1">IF(A93="","",SUMIFS(SellOut_Jumbo!$F$2:$F$800,SellOut_Jumbo!$C$2:$C$800,D93,SellOut_Jumbo!$A$2:$A$800,"&gt;="&amp;TODAY()-Inicio!$B$14))</f>
        <v/>
      </c>
      <c r="K93" s="80" t="str">
        <f>IF(A93="","",IF(I93=0,"Sin venta",IF(I93&lt;Inicio!$B$15,"Venta baja","Venta OK")))</f>
        <v/>
      </c>
      <c r="L93" s="82" t="str">
        <f>IF(A93="","",COUNTIFS(Ventas_SellIn!$D$2:$D$800,A93,Ventas_SellIn!$R$2:$R$800,"&gt;0"))</f>
        <v/>
      </c>
      <c r="M93" s="83" t="str">
        <f>IF(A93="","",SUMIFS(Ventas_SellIn!$R$2:$R$800,Ventas_SellIn!$D$2:$D$800,A93))</f>
        <v/>
      </c>
      <c r="N93" s="80" t="str">
        <f>IF(A93="","",IF(M93&gt;=Inicio!$B$18,"Pendiente relevante",IF(M93&gt;0,"Pendiente menor","Sin deuda")))</f>
        <v/>
      </c>
      <c r="O93" s="84" t="str">
        <f>IF(A93="","",SUMIFS(Stock_PDV!$H$2:$H$800,Stock_PDV!$A$2:$A$800,A93))</f>
        <v/>
      </c>
      <c r="P93" s="80" t="str">
        <f>IF(A93="","",IF(O93&lt;=Inicio!$B$16,"Crítico",IF(O93&lt;=Inicio!$B$17,"Observar","OK")))</f>
        <v/>
      </c>
      <c r="Q93" s="80" t="str">
        <f t="shared" si="5"/>
        <v/>
      </c>
      <c r="R93" s="80" t="str">
        <f t="shared" si="6"/>
        <v/>
      </c>
      <c r="S93" s="70" t="str">
        <f t="shared" si="7"/>
        <v/>
      </c>
      <c r="T93" s="70" t="str">
        <f>IF(A93="","",IFERROR(VLOOKUP(A93,Clientes_PDV!$A$2:$K$250,11,FALSE),""))</f>
        <v/>
      </c>
    </row>
    <row r="94" spans="1:20" x14ac:dyDescent="0.35">
      <c r="A94" s="75" t="str">
        <f>IF(Clientes_PDV!A94="","",Clientes_PDV!A94)</f>
        <v/>
      </c>
      <c r="B94" s="75" t="str">
        <f>IF(A94="","",IFERROR(VLOOKUP(A94,Clientes_PDV!$A$2:$J$250,2,FALSE),""))</f>
        <v/>
      </c>
      <c r="C94" s="75" t="str">
        <f>IF(A94="","",IFERROR(VLOOKUP(A94,Clientes_PDV!$A$2:$J$250,3,FALSE),""))</f>
        <v/>
      </c>
      <c r="D94" s="75" t="str">
        <f>IF(A94="","",IFERROR(VLOOKUP(A94,Clientes_PDV!$A$2:$J$250,4,FALSE),""))</f>
        <v/>
      </c>
      <c r="E94" s="75" t="str">
        <f>IF(A94="","",IFERROR(VLOOKUP(A94,Clientes_PDV!$A$2:$J$250,7,FALSE),""))</f>
        <v/>
      </c>
      <c r="F94" s="76" t="str">
        <f>IF(A94="","",IFERROR(VLOOKUP(A94,Clientes_PDV!$A$2:$J$250,8,FALSE),""))</f>
        <v/>
      </c>
      <c r="G94" s="77" t="str">
        <f t="shared" ca="1" si="4"/>
        <v/>
      </c>
      <c r="H94" s="75" t="str">
        <f>IF(A94="","",IF(F94="","Sin visita",IF(G94&lt;=IFERROR(VLOOKUP(E94,Inicio!$A$24:$B$26,2,FALSE),0),"Vigente","Atrasado")))</f>
        <v/>
      </c>
      <c r="I94" s="78" t="str">
        <f ca="1">IF(A94="","",SUMIFS(Ventas_SellIn!$L$2:$L$800,Ventas_SellIn!$D$2:$D$800,A94,Ventas_SellIn!$B$2:$B$800,"&gt;="&amp;TODAY()-Inicio!$B$14))</f>
        <v/>
      </c>
      <c r="J94" s="77" t="str">
        <f ca="1">IF(A94="","",SUMIFS(SellOut_Jumbo!$F$2:$F$800,SellOut_Jumbo!$C$2:$C$800,D94,SellOut_Jumbo!$A$2:$A$800,"&gt;="&amp;TODAY()-Inicio!$B$14))</f>
        <v/>
      </c>
      <c r="K94" s="75" t="str">
        <f>IF(A94="","",IF(I94=0,"Sin venta",IF(I94&lt;Inicio!$B$15,"Venta baja","Venta OK")))</f>
        <v/>
      </c>
      <c r="L94" s="77" t="str">
        <f>IF(A94="","",COUNTIFS(Ventas_SellIn!$D$2:$D$800,A94,Ventas_SellIn!$R$2:$R$800,"&gt;0"))</f>
        <v/>
      </c>
      <c r="M94" s="78" t="str">
        <f>IF(A94="","",SUMIFS(Ventas_SellIn!$R$2:$R$800,Ventas_SellIn!$D$2:$D$800,A94))</f>
        <v/>
      </c>
      <c r="N94" s="75" t="str">
        <f>IF(A94="","",IF(M94&gt;=Inicio!$B$18,"Pendiente relevante",IF(M94&gt;0,"Pendiente menor","Sin deuda")))</f>
        <v/>
      </c>
      <c r="O94" s="79" t="str">
        <f>IF(A94="","",SUMIFS(Stock_PDV!$H$2:$H$800,Stock_PDV!$A$2:$A$800,A94))</f>
        <v/>
      </c>
      <c r="P94" s="75" t="str">
        <f>IF(A94="","",IF(O94&lt;=Inicio!$B$16,"Crítico",IF(O94&lt;=Inicio!$B$17,"Observar","OK")))</f>
        <v/>
      </c>
      <c r="Q94" s="75" t="str">
        <f t="shared" si="5"/>
        <v/>
      </c>
      <c r="R94" s="75" t="str">
        <f t="shared" si="6"/>
        <v/>
      </c>
      <c r="S94" s="68" t="str">
        <f t="shared" si="7"/>
        <v/>
      </c>
      <c r="T94" s="68" t="str">
        <f>IF(A94="","",IFERROR(VLOOKUP(A94,Clientes_PDV!$A$2:$K$250,11,FALSE),""))</f>
        <v/>
      </c>
    </row>
    <row r="95" spans="1:20" x14ac:dyDescent="0.35">
      <c r="A95" s="80" t="str">
        <f>IF(Clientes_PDV!A95="","",Clientes_PDV!A95)</f>
        <v/>
      </c>
      <c r="B95" s="80" t="str">
        <f>IF(A95="","",IFERROR(VLOOKUP(A95,Clientes_PDV!$A$2:$J$250,2,FALSE),""))</f>
        <v/>
      </c>
      <c r="C95" s="80" t="str">
        <f>IF(A95="","",IFERROR(VLOOKUP(A95,Clientes_PDV!$A$2:$J$250,3,FALSE),""))</f>
        <v/>
      </c>
      <c r="D95" s="80" t="str">
        <f>IF(A95="","",IFERROR(VLOOKUP(A95,Clientes_PDV!$A$2:$J$250,4,FALSE),""))</f>
        <v/>
      </c>
      <c r="E95" s="80" t="str">
        <f>IF(A95="","",IFERROR(VLOOKUP(A95,Clientes_PDV!$A$2:$J$250,7,FALSE),""))</f>
        <v/>
      </c>
      <c r="F95" s="81" t="str">
        <f>IF(A95="","",IFERROR(VLOOKUP(A95,Clientes_PDV!$A$2:$J$250,8,FALSE),""))</f>
        <v/>
      </c>
      <c r="G95" s="82" t="str">
        <f t="shared" ca="1" si="4"/>
        <v/>
      </c>
      <c r="H95" s="80" t="str">
        <f>IF(A95="","",IF(F95="","Sin visita",IF(G95&lt;=IFERROR(VLOOKUP(E95,Inicio!$A$24:$B$26,2,FALSE),0),"Vigente","Atrasado")))</f>
        <v/>
      </c>
      <c r="I95" s="83" t="str">
        <f ca="1">IF(A95="","",SUMIFS(Ventas_SellIn!$L$2:$L$800,Ventas_SellIn!$D$2:$D$800,A95,Ventas_SellIn!$B$2:$B$800,"&gt;="&amp;TODAY()-Inicio!$B$14))</f>
        <v/>
      </c>
      <c r="J95" s="82" t="str">
        <f ca="1">IF(A95="","",SUMIFS(SellOut_Jumbo!$F$2:$F$800,SellOut_Jumbo!$C$2:$C$800,D95,SellOut_Jumbo!$A$2:$A$800,"&gt;="&amp;TODAY()-Inicio!$B$14))</f>
        <v/>
      </c>
      <c r="K95" s="80" t="str">
        <f>IF(A95="","",IF(I95=0,"Sin venta",IF(I95&lt;Inicio!$B$15,"Venta baja","Venta OK")))</f>
        <v/>
      </c>
      <c r="L95" s="82" t="str">
        <f>IF(A95="","",COUNTIFS(Ventas_SellIn!$D$2:$D$800,A95,Ventas_SellIn!$R$2:$R$800,"&gt;0"))</f>
        <v/>
      </c>
      <c r="M95" s="83" t="str">
        <f>IF(A95="","",SUMIFS(Ventas_SellIn!$R$2:$R$800,Ventas_SellIn!$D$2:$D$800,A95))</f>
        <v/>
      </c>
      <c r="N95" s="80" t="str">
        <f>IF(A95="","",IF(M95&gt;=Inicio!$B$18,"Pendiente relevante",IF(M95&gt;0,"Pendiente menor","Sin deuda")))</f>
        <v/>
      </c>
      <c r="O95" s="84" t="str">
        <f>IF(A95="","",SUMIFS(Stock_PDV!$H$2:$H$800,Stock_PDV!$A$2:$A$800,A95))</f>
        <v/>
      </c>
      <c r="P95" s="80" t="str">
        <f>IF(A95="","",IF(O95&lt;=Inicio!$B$16,"Crítico",IF(O95&lt;=Inicio!$B$17,"Observar","OK")))</f>
        <v/>
      </c>
      <c r="Q95" s="80" t="str">
        <f t="shared" si="5"/>
        <v/>
      </c>
      <c r="R95" s="80" t="str">
        <f t="shared" si="6"/>
        <v/>
      </c>
      <c r="S95" s="70" t="str">
        <f t="shared" si="7"/>
        <v/>
      </c>
      <c r="T95" s="70" t="str">
        <f>IF(A95="","",IFERROR(VLOOKUP(A95,Clientes_PDV!$A$2:$K$250,11,FALSE),""))</f>
        <v/>
      </c>
    </row>
    <row r="96" spans="1:20" x14ac:dyDescent="0.35">
      <c r="A96" s="75" t="str">
        <f>IF(Clientes_PDV!A96="","",Clientes_PDV!A96)</f>
        <v/>
      </c>
      <c r="B96" s="75" t="str">
        <f>IF(A96="","",IFERROR(VLOOKUP(A96,Clientes_PDV!$A$2:$J$250,2,FALSE),""))</f>
        <v/>
      </c>
      <c r="C96" s="75" t="str">
        <f>IF(A96="","",IFERROR(VLOOKUP(A96,Clientes_PDV!$A$2:$J$250,3,FALSE),""))</f>
        <v/>
      </c>
      <c r="D96" s="75" t="str">
        <f>IF(A96="","",IFERROR(VLOOKUP(A96,Clientes_PDV!$A$2:$J$250,4,FALSE),""))</f>
        <v/>
      </c>
      <c r="E96" s="75" t="str">
        <f>IF(A96="","",IFERROR(VLOOKUP(A96,Clientes_PDV!$A$2:$J$250,7,FALSE),""))</f>
        <v/>
      </c>
      <c r="F96" s="76" t="str">
        <f>IF(A96="","",IFERROR(VLOOKUP(A96,Clientes_PDV!$A$2:$J$250,8,FALSE),""))</f>
        <v/>
      </c>
      <c r="G96" s="77" t="str">
        <f t="shared" ca="1" si="4"/>
        <v/>
      </c>
      <c r="H96" s="75" t="str">
        <f>IF(A96="","",IF(F96="","Sin visita",IF(G96&lt;=IFERROR(VLOOKUP(E96,Inicio!$A$24:$B$26,2,FALSE),0),"Vigente","Atrasado")))</f>
        <v/>
      </c>
      <c r="I96" s="78" t="str">
        <f ca="1">IF(A96="","",SUMIFS(Ventas_SellIn!$L$2:$L$800,Ventas_SellIn!$D$2:$D$800,A96,Ventas_SellIn!$B$2:$B$800,"&gt;="&amp;TODAY()-Inicio!$B$14))</f>
        <v/>
      </c>
      <c r="J96" s="77" t="str">
        <f ca="1">IF(A96="","",SUMIFS(SellOut_Jumbo!$F$2:$F$800,SellOut_Jumbo!$C$2:$C$800,D96,SellOut_Jumbo!$A$2:$A$800,"&gt;="&amp;TODAY()-Inicio!$B$14))</f>
        <v/>
      </c>
      <c r="K96" s="75" t="str">
        <f>IF(A96="","",IF(I96=0,"Sin venta",IF(I96&lt;Inicio!$B$15,"Venta baja","Venta OK")))</f>
        <v/>
      </c>
      <c r="L96" s="77" t="str">
        <f>IF(A96="","",COUNTIFS(Ventas_SellIn!$D$2:$D$800,A96,Ventas_SellIn!$R$2:$R$800,"&gt;0"))</f>
        <v/>
      </c>
      <c r="M96" s="78" t="str">
        <f>IF(A96="","",SUMIFS(Ventas_SellIn!$R$2:$R$800,Ventas_SellIn!$D$2:$D$800,A96))</f>
        <v/>
      </c>
      <c r="N96" s="75" t="str">
        <f>IF(A96="","",IF(M96&gt;=Inicio!$B$18,"Pendiente relevante",IF(M96&gt;0,"Pendiente menor","Sin deuda")))</f>
        <v/>
      </c>
      <c r="O96" s="79" t="str">
        <f>IF(A96="","",SUMIFS(Stock_PDV!$H$2:$H$800,Stock_PDV!$A$2:$A$800,A96))</f>
        <v/>
      </c>
      <c r="P96" s="75" t="str">
        <f>IF(A96="","",IF(O96&lt;=Inicio!$B$16,"Crítico",IF(O96&lt;=Inicio!$B$17,"Observar","OK")))</f>
        <v/>
      </c>
      <c r="Q96" s="75" t="str">
        <f t="shared" si="5"/>
        <v/>
      </c>
      <c r="R96" s="75" t="str">
        <f t="shared" si="6"/>
        <v/>
      </c>
      <c r="S96" s="68" t="str">
        <f t="shared" si="7"/>
        <v/>
      </c>
      <c r="T96" s="68" t="str">
        <f>IF(A96="","",IFERROR(VLOOKUP(A96,Clientes_PDV!$A$2:$K$250,11,FALSE),""))</f>
        <v/>
      </c>
    </row>
    <row r="97" spans="1:20" x14ac:dyDescent="0.35">
      <c r="A97" s="80" t="str">
        <f>IF(Clientes_PDV!A97="","",Clientes_PDV!A97)</f>
        <v/>
      </c>
      <c r="B97" s="80" t="str">
        <f>IF(A97="","",IFERROR(VLOOKUP(A97,Clientes_PDV!$A$2:$J$250,2,FALSE),""))</f>
        <v/>
      </c>
      <c r="C97" s="80" t="str">
        <f>IF(A97="","",IFERROR(VLOOKUP(A97,Clientes_PDV!$A$2:$J$250,3,FALSE),""))</f>
        <v/>
      </c>
      <c r="D97" s="80" t="str">
        <f>IF(A97="","",IFERROR(VLOOKUP(A97,Clientes_PDV!$A$2:$J$250,4,FALSE),""))</f>
        <v/>
      </c>
      <c r="E97" s="80" t="str">
        <f>IF(A97="","",IFERROR(VLOOKUP(A97,Clientes_PDV!$A$2:$J$250,7,FALSE),""))</f>
        <v/>
      </c>
      <c r="F97" s="81" t="str">
        <f>IF(A97="","",IFERROR(VLOOKUP(A97,Clientes_PDV!$A$2:$J$250,8,FALSE),""))</f>
        <v/>
      </c>
      <c r="G97" s="82" t="str">
        <f t="shared" ca="1" si="4"/>
        <v/>
      </c>
      <c r="H97" s="80" t="str">
        <f>IF(A97="","",IF(F97="","Sin visita",IF(G97&lt;=IFERROR(VLOOKUP(E97,Inicio!$A$24:$B$26,2,FALSE),0),"Vigente","Atrasado")))</f>
        <v/>
      </c>
      <c r="I97" s="83" t="str">
        <f ca="1">IF(A97="","",SUMIFS(Ventas_SellIn!$L$2:$L$800,Ventas_SellIn!$D$2:$D$800,A97,Ventas_SellIn!$B$2:$B$800,"&gt;="&amp;TODAY()-Inicio!$B$14))</f>
        <v/>
      </c>
      <c r="J97" s="82" t="str">
        <f ca="1">IF(A97="","",SUMIFS(SellOut_Jumbo!$F$2:$F$800,SellOut_Jumbo!$C$2:$C$800,D97,SellOut_Jumbo!$A$2:$A$800,"&gt;="&amp;TODAY()-Inicio!$B$14))</f>
        <v/>
      </c>
      <c r="K97" s="80" t="str">
        <f>IF(A97="","",IF(I97=0,"Sin venta",IF(I97&lt;Inicio!$B$15,"Venta baja","Venta OK")))</f>
        <v/>
      </c>
      <c r="L97" s="82" t="str">
        <f>IF(A97="","",COUNTIFS(Ventas_SellIn!$D$2:$D$800,A97,Ventas_SellIn!$R$2:$R$800,"&gt;0"))</f>
        <v/>
      </c>
      <c r="M97" s="83" t="str">
        <f>IF(A97="","",SUMIFS(Ventas_SellIn!$R$2:$R$800,Ventas_SellIn!$D$2:$D$800,A97))</f>
        <v/>
      </c>
      <c r="N97" s="80" t="str">
        <f>IF(A97="","",IF(M97&gt;=Inicio!$B$18,"Pendiente relevante",IF(M97&gt;0,"Pendiente menor","Sin deuda")))</f>
        <v/>
      </c>
      <c r="O97" s="84" t="str">
        <f>IF(A97="","",SUMIFS(Stock_PDV!$H$2:$H$800,Stock_PDV!$A$2:$A$800,A97))</f>
        <v/>
      </c>
      <c r="P97" s="80" t="str">
        <f>IF(A97="","",IF(O97&lt;=Inicio!$B$16,"Crítico",IF(O97&lt;=Inicio!$B$17,"Observar","OK")))</f>
        <v/>
      </c>
      <c r="Q97" s="80" t="str">
        <f t="shared" si="5"/>
        <v/>
      </c>
      <c r="R97" s="80" t="str">
        <f t="shared" si="6"/>
        <v/>
      </c>
      <c r="S97" s="70" t="str">
        <f t="shared" si="7"/>
        <v/>
      </c>
      <c r="T97" s="70" t="str">
        <f>IF(A97="","",IFERROR(VLOOKUP(A97,Clientes_PDV!$A$2:$K$250,11,FALSE),""))</f>
        <v/>
      </c>
    </row>
    <row r="98" spans="1:20" x14ac:dyDescent="0.35">
      <c r="A98" s="75" t="str">
        <f>IF(Clientes_PDV!A98="","",Clientes_PDV!A98)</f>
        <v/>
      </c>
      <c r="B98" s="75" t="str">
        <f>IF(A98="","",IFERROR(VLOOKUP(A98,Clientes_PDV!$A$2:$J$250,2,FALSE),""))</f>
        <v/>
      </c>
      <c r="C98" s="75" t="str">
        <f>IF(A98="","",IFERROR(VLOOKUP(A98,Clientes_PDV!$A$2:$J$250,3,FALSE),""))</f>
        <v/>
      </c>
      <c r="D98" s="75" t="str">
        <f>IF(A98="","",IFERROR(VLOOKUP(A98,Clientes_PDV!$A$2:$J$250,4,FALSE),""))</f>
        <v/>
      </c>
      <c r="E98" s="75" t="str">
        <f>IF(A98="","",IFERROR(VLOOKUP(A98,Clientes_PDV!$A$2:$J$250,7,FALSE),""))</f>
        <v/>
      </c>
      <c r="F98" s="76" t="str">
        <f>IF(A98="","",IFERROR(VLOOKUP(A98,Clientes_PDV!$A$2:$J$250,8,FALSE),""))</f>
        <v/>
      </c>
      <c r="G98" s="77" t="str">
        <f t="shared" ca="1" si="4"/>
        <v/>
      </c>
      <c r="H98" s="75" t="str">
        <f>IF(A98="","",IF(F98="","Sin visita",IF(G98&lt;=IFERROR(VLOOKUP(E98,Inicio!$A$24:$B$26,2,FALSE),0),"Vigente","Atrasado")))</f>
        <v/>
      </c>
      <c r="I98" s="78" t="str">
        <f ca="1">IF(A98="","",SUMIFS(Ventas_SellIn!$L$2:$L$800,Ventas_SellIn!$D$2:$D$800,A98,Ventas_SellIn!$B$2:$B$800,"&gt;="&amp;TODAY()-Inicio!$B$14))</f>
        <v/>
      </c>
      <c r="J98" s="77" t="str">
        <f ca="1">IF(A98="","",SUMIFS(SellOut_Jumbo!$F$2:$F$800,SellOut_Jumbo!$C$2:$C$800,D98,SellOut_Jumbo!$A$2:$A$800,"&gt;="&amp;TODAY()-Inicio!$B$14))</f>
        <v/>
      </c>
      <c r="K98" s="75" t="str">
        <f>IF(A98="","",IF(I98=0,"Sin venta",IF(I98&lt;Inicio!$B$15,"Venta baja","Venta OK")))</f>
        <v/>
      </c>
      <c r="L98" s="77" t="str">
        <f>IF(A98="","",COUNTIFS(Ventas_SellIn!$D$2:$D$800,A98,Ventas_SellIn!$R$2:$R$800,"&gt;0"))</f>
        <v/>
      </c>
      <c r="M98" s="78" t="str">
        <f>IF(A98="","",SUMIFS(Ventas_SellIn!$R$2:$R$800,Ventas_SellIn!$D$2:$D$800,A98))</f>
        <v/>
      </c>
      <c r="N98" s="75" t="str">
        <f>IF(A98="","",IF(M98&gt;=Inicio!$B$18,"Pendiente relevante",IF(M98&gt;0,"Pendiente menor","Sin deuda")))</f>
        <v/>
      </c>
      <c r="O98" s="79" t="str">
        <f>IF(A98="","",SUMIFS(Stock_PDV!$H$2:$H$800,Stock_PDV!$A$2:$A$800,A98))</f>
        <v/>
      </c>
      <c r="P98" s="75" t="str">
        <f>IF(A98="","",IF(O98&lt;=Inicio!$B$16,"Crítico",IF(O98&lt;=Inicio!$B$17,"Observar","OK")))</f>
        <v/>
      </c>
      <c r="Q98" s="75" t="str">
        <f t="shared" si="5"/>
        <v/>
      </c>
      <c r="R98" s="75" t="str">
        <f t="shared" si="6"/>
        <v/>
      </c>
      <c r="S98" s="68" t="str">
        <f t="shared" si="7"/>
        <v/>
      </c>
      <c r="T98" s="68" t="str">
        <f>IF(A98="","",IFERROR(VLOOKUP(A98,Clientes_PDV!$A$2:$K$250,11,FALSE),""))</f>
        <v/>
      </c>
    </row>
    <row r="99" spans="1:20" x14ac:dyDescent="0.35">
      <c r="A99" s="80" t="str">
        <f>IF(Clientes_PDV!A99="","",Clientes_PDV!A99)</f>
        <v/>
      </c>
      <c r="B99" s="80" t="str">
        <f>IF(A99="","",IFERROR(VLOOKUP(A99,Clientes_PDV!$A$2:$J$250,2,FALSE),""))</f>
        <v/>
      </c>
      <c r="C99" s="80" t="str">
        <f>IF(A99="","",IFERROR(VLOOKUP(A99,Clientes_PDV!$A$2:$J$250,3,FALSE),""))</f>
        <v/>
      </c>
      <c r="D99" s="80" t="str">
        <f>IF(A99="","",IFERROR(VLOOKUP(A99,Clientes_PDV!$A$2:$J$250,4,FALSE),""))</f>
        <v/>
      </c>
      <c r="E99" s="80" t="str">
        <f>IF(A99="","",IFERROR(VLOOKUP(A99,Clientes_PDV!$A$2:$J$250,7,FALSE),""))</f>
        <v/>
      </c>
      <c r="F99" s="81" t="str">
        <f>IF(A99="","",IFERROR(VLOOKUP(A99,Clientes_PDV!$A$2:$J$250,8,FALSE),""))</f>
        <v/>
      </c>
      <c r="G99" s="82" t="str">
        <f t="shared" ca="1" si="4"/>
        <v/>
      </c>
      <c r="H99" s="80" t="str">
        <f>IF(A99="","",IF(F99="","Sin visita",IF(G99&lt;=IFERROR(VLOOKUP(E99,Inicio!$A$24:$B$26,2,FALSE),0),"Vigente","Atrasado")))</f>
        <v/>
      </c>
      <c r="I99" s="83" t="str">
        <f ca="1">IF(A99="","",SUMIFS(Ventas_SellIn!$L$2:$L$800,Ventas_SellIn!$D$2:$D$800,A99,Ventas_SellIn!$B$2:$B$800,"&gt;="&amp;TODAY()-Inicio!$B$14))</f>
        <v/>
      </c>
      <c r="J99" s="82" t="str">
        <f ca="1">IF(A99="","",SUMIFS(SellOut_Jumbo!$F$2:$F$800,SellOut_Jumbo!$C$2:$C$800,D99,SellOut_Jumbo!$A$2:$A$800,"&gt;="&amp;TODAY()-Inicio!$B$14))</f>
        <v/>
      </c>
      <c r="K99" s="80" t="str">
        <f>IF(A99="","",IF(I99=0,"Sin venta",IF(I99&lt;Inicio!$B$15,"Venta baja","Venta OK")))</f>
        <v/>
      </c>
      <c r="L99" s="82" t="str">
        <f>IF(A99="","",COUNTIFS(Ventas_SellIn!$D$2:$D$800,A99,Ventas_SellIn!$R$2:$R$800,"&gt;0"))</f>
        <v/>
      </c>
      <c r="M99" s="83" t="str">
        <f>IF(A99="","",SUMIFS(Ventas_SellIn!$R$2:$R$800,Ventas_SellIn!$D$2:$D$800,A99))</f>
        <v/>
      </c>
      <c r="N99" s="80" t="str">
        <f>IF(A99="","",IF(M99&gt;=Inicio!$B$18,"Pendiente relevante",IF(M99&gt;0,"Pendiente menor","Sin deuda")))</f>
        <v/>
      </c>
      <c r="O99" s="84" t="str">
        <f>IF(A99="","",SUMIFS(Stock_PDV!$H$2:$H$800,Stock_PDV!$A$2:$A$800,A99))</f>
        <v/>
      </c>
      <c r="P99" s="80" t="str">
        <f>IF(A99="","",IF(O99&lt;=Inicio!$B$16,"Crítico",IF(O99&lt;=Inicio!$B$17,"Observar","OK")))</f>
        <v/>
      </c>
      <c r="Q99" s="80" t="str">
        <f t="shared" si="5"/>
        <v/>
      </c>
      <c r="R99" s="80" t="str">
        <f t="shared" si="6"/>
        <v/>
      </c>
      <c r="S99" s="70" t="str">
        <f t="shared" si="7"/>
        <v/>
      </c>
      <c r="T99" s="70" t="str">
        <f>IF(A99="","",IFERROR(VLOOKUP(A99,Clientes_PDV!$A$2:$K$250,11,FALSE),""))</f>
        <v/>
      </c>
    </row>
    <row r="100" spans="1:20" x14ac:dyDescent="0.35">
      <c r="A100" s="75" t="str">
        <f>IF(Clientes_PDV!A100="","",Clientes_PDV!A100)</f>
        <v/>
      </c>
      <c r="B100" s="75" t="str">
        <f>IF(A100="","",IFERROR(VLOOKUP(A100,Clientes_PDV!$A$2:$J$250,2,FALSE),""))</f>
        <v/>
      </c>
      <c r="C100" s="75" t="str">
        <f>IF(A100="","",IFERROR(VLOOKUP(A100,Clientes_PDV!$A$2:$J$250,3,FALSE),""))</f>
        <v/>
      </c>
      <c r="D100" s="75" t="str">
        <f>IF(A100="","",IFERROR(VLOOKUP(A100,Clientes_PDV!$A$2:$J$250,4,FALSE),""))</f>
        <v/>
      </c>
      <c r="E100" s="75" t="str">
        <f>IF(A100="","",IFERROR(VLOOKUP(A100,Clientes_PDV!$A$2:$J$250,7,FALSE),""))</f>
        <v/>
      </c>
      <c r="F100" s="76" t="str">
        <f>IF(A100="","",IFERROR(VLOOKUP(A100,Clientes_PDV!$A$2:$J$250,8,FALSE),""))</f>
        <v/>
      </c>
      <c r="G100" s="77" t="str">
        <f t="shared" ca="1" si="4"/>
        <v/>
      </c>
      <c r="H100" s="75" t="str">
        <f>IF(A100="","",IF(F100="","Sin visita",IF(G100&lt;=IFERROR(VLOOKUP(E100,Inicio!$A$24:$B$26,2,FALSE),0),"Vigente","Atrasado")))</f>
        <v/>
      </c>
      <c r="I100" s="78" t="str">
        <f ca="1">IF(A100="","",SUMIFS(Ventas_SellIn!$L$2:$L$800,Ventas_SellIn!$D$2:$D$800,A100,Ventas_SellIn!$B$2:$B$800,"&gt;="&amp;TODAY()-Inicio!$B$14))</f>
        <v/>
      </c>
      <c r="J100" s="77" t="str">
        <f ca="1">IF(A100="","",SUMIFS(SellOut_Jumbo!$F$2:$F$800,SellOut_Jumbo!$C$2:$C$800,D100,SellOut_Jumbo!$A$2:$A$800,"&gt;="&amp;TODAY()-Inicio!$B$14))</f>
        <v/>
      </c>
      <c r="K100" s="75" t="str">
        <f>IF(A100="","",IF(I100=0,"Sin venta",IF(I100&lt;Inicio!$B$15,"Venta baja","Venta OK")))</f>
        <v/>
      </c>
      <c r="L100" s="77" t="str">
        <f>IF(A100="","",COUNTIFS(Ventas_SellIn!$D$2:$D$800,A100,Ventas_SellIn!$R$2:$R$800,"&gt;0"))</f>
        <v/>
      </c>
      <c r="M100" s="78" t="str">
        <f>IF(A100="","",SUMIFS(Ventas_SellIn!$R$2:$R$800,Ventas_SellIn!$D$2:$D$800,A100))</f>
        <v/>
      </c>
      <c r="N100" s="75" t="str">
        <f>IF(A100="","",IF(M100&gt;=Inicio!$B$18,"Pendiente relevante",IF(M100&gt;0,"Pendiente menor","Sin deuda")))</f>
        <v/>
      </c>
      <c r="O100" s="79" t="str">
        <f>IF(A100="","",SUMIFS(Stock_PDV!$H$2:$H$800,Stock_PDV!$A$2:$A$800,A100))</f>
        <v/>
      </c>
      <c r="P100" s="75" t="str">
        <f>IF(A100="","",IF(O100&lt;=Inicio!$B$16,"Crítico",IF(O100&lt;=Inicio!$B$17,"Observar","OK")))</f>
        <v/>
      </c>
      <c r="Q100" s="75" t="str">
        <f t="shared" si="5"/>
        <v/>
      </c>
      <c r="R100" s="75" t="str">
        <f t="shared" si="6"/>
        <v/>
      </c>
      <c r="S100" s="68" t="str">
        <f t="shared" si="7"/>
        <v/>
      </c>
      <c r="T100" s="68" t="str">
        <f>IF(A100="","",IFERROR(VLOOKUP(A100,Clientes_PDV!$A$2:$K$250,11,FALSE),""))</f>
        <v/>
      </c>
    </row>
    <row r="101" spans="1:20" x14ac:dyDescent="0.35">
      <c r="A101" s="80" t="str">
        <f>IF(Clientes_PDV!A101="","",Clientes_PDV!A101)</f>
        <v/>
      </c>
      <c r="B101" s="80" t="str">
        <f>IF(A101="","",IFERROR(VLOOKUP(A101,Clientes_PDV!$A$2:$J$250,2,FALSE),""))</f>
        <v/>
      </c>
      <c r="C101" s="80" t="str">
        <f>IF(A101="","",IFERROR(VLOOKUP(A101,Clientes_PDV!$A$2:$J$250,3,FALSE),""))</f>
        <v/>
      </c>
      <c r="D101" s="80" t="str">
        <f>IF(A101="","",IFERROR(VLOOKUP(A101,Clientes_PDV!$A$2:$J$250,4,FALSE),""))</f>
        <v/>
      </c>
      <c r="E101" s="80" t="str">
        <f>IF(A101="","",IFERROR(VLOOKUP(A101,Clientes_PDV!$A$2:$J$250,7,FALSE),""))</f>
        <v/>
      </c>
      <c r="F101" s="81" t="str">
        <f>IF(A101="","",IFERROR(VLOOKUP(A101,Clientes_PDV!$A$2:$J$250,8,FALSE),""))</f>
        <v/>
      </c>
      <c r="G101" s="82" t="str">
        <f t="shared" ca="1" si="4"/>
        <v/>
      </c>
      <c r="H101" s="80" t="str">
        <f>IF(A101="","",IF(F101="","Sin visita",IF(G101&lt;=IFERROR(VLOOKUP(E101,Inicio!$A$24:$B$26,2,FALSE),0),"Vigente","Atrasado")))</f>
        <v/>
      </c>
      <c r="I101" s="83" t="str">
        <f ca="1">IF(A101="","",SUMIFS(Ventas_SellIn!$L$2:$L$800,Ventas_SellIn!$D$2:$D$800,A101,Ventas_SellIn!$B$2:$B$800,"&gt;="&amp;TODAY()-Inicio!$B$14))</f>
        <v/>
      </c>
      <c r="J101" s="82" t="str">
        <f ca="1">IF(A101="","",SUMIFS(SellOut_Jumbo!$F$2:$F$800,SellOut_Jumbo!$C$2:$C$800,D101,SellOut_Jumbo!$A$2:$A$800,"&gt;="&amp;TODAY()-Inicio!$B$14))</f>
        <v/>
      </c>
      <c r="K101" s="80" t="str">
        <f>IF(A101="","",IF(I101=0,"Sin venta",IF(I101&lt;Inicio!$B$15,"Venta baja","Venta OK")))</f>
        <v/>
      </c>
      <c r="L101" s="82" t="str">
        <f>IF(A101="","",COUNTIFS(Ventas_SellIn!$D$2:$D$800,A101,Ventas_SellIn!$R$2:$R$800,"&gt;0"))</f>
        <v/>
      </c>
      <c r="M101" s="83" t="str">
        <f>IF(A101="","",SUMIFS(Ventas_SellIn!$R$2:$R$800,Ventas_SellIn!$D$2:$D$800,A101))</f>
        <v/>
      </c>
      <c r="N101" s="80" t="str">
        <f>IF(A101="","",IF(M101&gt;=Inicio!$B$18,"Pendiente relevante",IF(M101&gt;0,"Pendiente menor","Sin deuda")))</f>
        <v/>
      </c>
      <c r="O101" s="84" t="str">
        <f>IF(A101="","",SUMIFS(Stock_PDV!$H$2:$H$800,Stock_PDV!$A$2:$A$800,A101))</f>
        <v/>
      </c>
      <c r="P101" s="80" t="str">
        <f>IF(A101="","",IF(O101&lt;=Inicio!$B$16,"Crítico",IF(O101&lt;=Inicio!$B$17,"Observar","OK")))</f>
        <v/>
      </c>
      <c r="Q101" s="80" t="str">
        <f t="shared" si="5"/>
        <v/>
      </c>
      <c r="R101" s="80" t="str">
        <f t="shared" si="6"/>
        <v/>
      </c>
      <c r="S101" s="70" t="str">
        <f t="shared" si="7"/>
        <v/>
      </c>
      <c r="T101" s="70" t="str">
        <f>IF(A101="","",IFERROR(VLOOKUP(A101,Clientes_PDV!$A$2:$K$250,11,FALSE),""))</f>
        <v/>
      </c>
    </row>
    <row r="102" spans="1:20" x14ac:dyDescent="0.35">
      <c r="A102" s="75" t="str">
        <f>IF(Clientes_PDV!A102="","",Clientes_PDV!A102)</f>
        <v/>
      </c>
      <c r="B102" s="75" t="str">
        <f>IF(A102="","",IFERROR(VLOOKUP(A102,Clientes_PDV!$A$2:$J$250,2,FALSE),""))</f>
        <v/>
      </c>
      <c r="C102" s="75" t="str">
        <f>IF(A102="","",IFERROR(VLOOKUP(A102,Clientes_PDV!$A$2:$J$250,3,FALSE),""))</f>
        <v/>
      </c>
      <c r="D102" s="75" t="str">
        <f>IF(A102="","",IFERROR(VLOOKUP(A102,Clientes_PDV!$A$2:$J$250,4,FALSE),""))</f>
        <v/>
      </c>
      <c r="E102" s="75" t="str">
        <f>IF(A102="","",IFERROR(VLOOKUP(A102,Clientes_PDV!$A$2:$J$250,7,FALSE),""))</f>
        <v/>
      </c>
      <c r="F102" s="76" t="str">
        <f>IF(A102="","",IFERROR(VLOOKUP(A102,Clientes_PDV!$A$2:$J$250,8,FALSE),""))</f>
        <v/>
      </c>
      <c r="G102" s="77" t="str">
        <f t="shared" ca="1" si="4"/>
        <v/>
      </c>
      <c r="H102" s="75" t="str">
        <f>IF(A102="","",IF(F102="","Sin visita",IF(G102&lt;=IFERROR(VLOOKUP(E102,Inicio!$A$24:$B$26,2,FALSE),0),"Vigente","Atrasado")))</f>
        <v/>
      </c>
      <c r="I102" s="78" t="str">
        <f ca="1">IF(A102="","",SUMIFS(Ventas_SellIn!$L$2:$L$800,Ventas_SellIn!$D$2:$D$800,A102,Ventas_SellIn!$B$2:$B$800,"&gt;="&amp;TODAY()-Inicio!$B$14))</f>
        <v/>
      </c>
      <c r="J102" s="77" t="str">
        <f ca="1">IF(A102="","",SUMIFS(SellOut_Jumbo!$F$2:$F$800,SellOut_Jumbo!$C$2:$C$800,D102,SellOut_Jumbo!$A$2:$A$800,"&gt;="&amp;TODAY()-Inicio!$B$14))</f>
        <v/>
      </c>
      <c r="K102" s="75" t="str">
        <f>IF(A102="","",IF(I102=0,"Sin venta",IF(I102&lt;Inicio!$B$15,"Venta baja","Venta OK")))</f>
        <v/>
      </c>
      <c r="L102" s="77" t="str">
        <f>IF(A102="","",COUNTIFS(Ventas_SellIn!$D$2:$D$800,A102,Ventas_SellIn!$R$2:$R$800,"&gt;0"))</f>
        <v/>
      </c>
      <c r="M102" s="78" t="str">
        <f>IF(A102="","",SUMIFS(Ventas_SellIn!$R$2:$R$800,Ventas_SellIn!$D$2:$D$800,A102))</f>
        <v/>
      </c>
      <c r="N102" s="75" t="str">
        <f>IF(A102="","",IF(M102&gt;=Inicio!$B$18,"Pendiente relevante",IF(M102&gt;0,"Pendiente menor","Sin deuda")))</f>
        <v/>
      </c>
      <c r="O102" s="79" t="str">
        <f>IF(A102="","",SUMIFS(Stock_PDV!$H$2:$H$800,Stock_PDV!$A$2:$A$800,A102))</f>
        <v/>
      </c>
      <c r="P102" s="75" t="str">
        <f>IF(A102="","",IF(O102&lt;=Inicio!$B$16,"Crítico",IF(O102&lt;=Inicio!$B$17,"Observar","OK")))</f>
        <v/>
      </c>
      <c r="Q102" s="75" t="str">
        <f t="shared" si="5"/>
        <v/>
      </c>
      <c r="R102" s="75" t="str">
        <f t="shared" si="6"/>
        <v/>
      </c>
      <c r="S102" s="68" t="str">
        <f t="shared" si="7"/>
        <v/>
      </c>
      <c r="T102" s="68" t="str">
        <f>IF(A102="","",IFERROR(VLOOKUP(A102,Clientes_PDV!$A$2:$K$250,11,FALSE),""))</f>
        <v/>
      </c>
    </row>
    <row r="103" spans="1:20" x14ac:dyDescent="0.35">
      <c r="A103" s="80" t="str">
        <f>IF(Clientes_PDV!A103="","",Clientes_PDV!A103)</f>
        <v/>
      </c>
      <c r="B103" s="80" t="str">
        <f>IF(A103="","",IFERROR(VLOOKUP(A103,Clientes_PDV!$A$2:$J$250,2,FALSE),""))</f>
        <v/>
      </c>
      <c r="C103" s="80" t="str">
        <f>IF(A103="","",IFERROR(VLOOKUP(A103,Clientes_PDV!$A$2:$J$250,3,FALSE),""))</f>
        <v/>
      </c>
      <c r="D103" s="80" t="str">
        <f>IF(A103="","",IFERROR(VLOOKUP(A103,Clientes_PDV!$A$2:$J$250,4,FALSE),""))</f>
        <v/>
      </c>
      <c r="E103" s="80" t="str">
        <f>IF(A103="","",IFERROR(VLOOKUP(A103,Clientes_PDV!$A$2:$J$250,7,FALSE),""))</f>
        <v/>
      </c>
      <c r="F103" s="81" t="str">
        <f>IF(A103="","",IFERROR(VLOOKUP(A103,Clientes_PDV!$A$2:$J$250,8,FALSE),""))</f>
        <v/>
      </c>
      <c r="G103" s="82" t="str">
        <f t="shared" ca="1" si="4"/>
        <v/>
      </c>
      <c r="H103" s="80" t="str">
        <f>IF(A103="","",IF(F103="","Sin visita",IF(G103&lt;=IFERROR(VLOOKUP(E103,Inicio!$A$24:$B$26,2,FALSE),0),"Vigente","Atrasado")))</f>
        <v/>
      </c>
      <c r="I103" s="83" t="str">
        <f ca="1">IF(A103="","",SUMIFS(Ventas_SellIn!$L$2:$L$800,Ventas_SellIn!$D$2:$D$800,A103,Ventas_SellIn!$B$2:$B$800,"&gt;="&amp;TODAY()-Inicio!$B$14))</f>
        <v/>
      </c>
      <c r="J103" s="82" t="str">
        <f ca="1">IF(A103="","",SUMIFS(SellOut_Jumbo!$F$2:$F$800,SellOut_Jumbo!$C$2:$C$800,D103,SellOut_Jumbo!$A$2:$A$800,"&gt;="&amp;TODAY()-Inicio!$B$14))</f>
        <v/>
      </c>
      <c r="K103" s="80" t="str">
        <f>IF(A103="","",IF(I103=0,"Sin venta",IF(I103&lt;Inicio!$B$15,"Venta baja","Venta OK")))</f>
        <v/>
      </c>
      <c r="L103" s="82" t="str">
        <f>IF(A103="","",COUNTIFS(Ventas_SellIn!$D$2:$D$800,A103,Ventas_SellIn!$R$2:$R$800,"&gt;0"))</f>
        <v/>
      </c>
      <c r="M103" s="83" t="str">
        <f>IF(A103="","",SUMIFS(Ventas_SellIn!$R$2:$R$800,Ventas_SellIn!$D$2:$D$800,A103))</f>
        <v/>
      </c>
      <c r="N103" s="80" t="str">
        <f>IF(A103="","",IF(M103&gt;=Inicio!$B$18,"Pendiente relevante",IF(M103&gt;0,"Pendiente menor","Sin deuda")))</f>
        <v/>
      </c>
      <c r="O103" s="84" t="str">
        <f>IF(A103="","",SUMIFS(Stock_PDV!$H$2:$H$800,Stock_PDV!$A$2:$A$800,A103))</f>
        <v/>
      </c>
      <c r="P103" s="80" t="str">
        <f>IF(A103="","",IF(O103&lt;=Inicio!$B$16,"Crítico",IF(O103&lt;=Inicio!$B$17,"Observar","OK")))</f>
        <v/>
      </c>
      <c r="Q103" s="80" t="str">
        <f t="shared" si="5"/>
        <v/>
      </c>
      <c r="R103" s="80" t="str">
        <f t="shared" si="6"/>
        <v/>
      </c>
      <c r="S103" s="70" t="str">
        <f t="shared" si="7"/>
        <v/>
      </c>
      <c r="T103" s="70" t="str">
        <f>IF(A103="","",IFERROR(VLOOKUP(A103,Clientes_PDV!$A$2:$K$250,11,FALSE),""))</f>
        <v/>
      </c>
    </row>
    <row r="104" spans="1:20" x14ac:dyDescent="0.35">
      <c r="A104" s="75" t="str">
        <f>IF(Clientes_PDV!A104="","",Clientes_PDV!A104)</f>
        <v/>
      </c>
      <c r="B104" s="75" t="str">
        <f>IF(A104="","",IFERROR(VLOOKUP(A104,Clientes_PDV!$A$2:$J$250,2,FALSE),""))</f>
        <v/>
      </c>
      <c r="C104" s="75" t="str">
        <f>IF(A104="","",IFERROR(VLOOKUP(A104,Clientes_PDV!$A$2:$J$250,3,FALSE),""))</f>
        <v/>
      </c>
      <c r="D104" s="75" t="str">
        <f>IF(A104="","",IFERROR(VLOOKUP(A104,Clientes_PDV!$A$2:$J$250,4,FALSE),""))</f>
        <v/>
      </c>
      <c r="E104" s="75" t="str">
        <f>IF(A104="","",IFERROR(VLOOKUP(A104,Clientes_PDV!$A$2:$J$250,7,FALSE),""))</f>
        <v/>
      </c>
      <c r="F104" s="76" t="str">
        <f>IF(A104="","",IFERROR(VLOOKUP(A104,Clientes_PDV!$A$2:$J$250,8,FALSE),""))</f>
        <v/>
      </c>
      <c r="G104" s="77" t="str">
        <f t="shared" ca="1" si="4"/>
        <v/>
      </c>
      <c r="H104" s="75" t="str">
        <f>IF(A104="","",IF(F104="","Sin visita",IF(G104&lt;=IFERROR(VLOOKUP(E104,Inicio!$A$24:$B$26,2,FALSE),0),"Vigente","Atrasado")))</f>
        <v/>
      </c>
      <c r="I104" s="78" t="str">
        <f ca="1">IF(A104="","",SUMIFS(Ventas_SellIn!$L$2:$L$800,Ventas_SellIn!$D$2:$D$800,A104,Ventas_SellIn!$B$2:$B$800,"&gt;="&amp;TODAY()-Inicio!$B$14))</f>
        <v/>
      </c>
      <c r="J104" s="77" t="str">
        <f ca="1">IF(A104="","",SUMIFS(SellOut_Jumbo!$F$2:$F$800,SellOut_Jumbo!$C$2:$C$800,D104,SellOut_Jumbo!$A$2:$A$800,"&gt;="&amp;TODAY()-Inicio!$B$14))</f>
        <v/>
      </c>
      <c r="K104" s="75" t="str">
        <f>IF(A104="","",IF(I104=0,"Sin venta",IF(I104&lt;Inicio!$B$15,"Venta baja","Venta OK")))</f>
        <v/>
      </c>
      <c r="L104" s="77" t="str">
        <f>IF(A104="","",COUNTIFS(Ventas_SellIn!$D$2:$D$800,A104,Ventas_SellIn!$R$2:$R$800,"&gt;0"))</f>
        <v/>
      </c>
      <c r="M104" s="78" t="str">
        <f>IF(A104="","",SUMIFS(Ventas_SellIn!$R$2:$R$800,Ventas_SellIn!$D$2:$D$800,A104))</f>
        <v/>
      </c>
      <c r="N104" s="75" t="str">
        <f>IF(A104="","",IF(M104&gt;=Inicio!$B$18,"Pendiente relevante",IF(M104&gt;0,"Pendiente menor","Sin deuda")))</f>
        <v/>
      </c>
      <c r="O104" s="79" t="str">
        <f>IF(A104="","",SUMIFS(Stock_PDV!$H$2:$H$800,Stock_PDV!$A$2:$A$800,A104))</f>
        <v/>
      </c>
      <c r="P104" s="75" t="str">
        <f>IF(A104="","",IF(O104&lt;=Inicio!$B$16,"Crítico",IF(O104&lt;=Inicio!$B$17,"Observar","OK")))</f>
        <v/>
      </c>
      <c r="Q104" s="75" t="str">
        <f t="shared" si="5"/>
        <v/>
      </c>
      <c r="R104" s="75" t="str">
        <f t="shared" si="6"/>
        <v/>
      </c>
      <c r="S104" s="68" t="str">
        <f t="shared" si="7"/>
        <v/>
      </c>
      <c r="T104" s="68" t="str">
        <f>IF(A104="","",IFERROR(VLOOKUP(A104,Clientes_PDV!$A$2:$K$250,11,FALSE),""))</f>
        <v/>
      </c>
    </row>
    <row r="105" spans="1:20" x14ac:dyDescent="0.35">
      <c r="A105" s="80" t="str">
        <f>IF(Clientes_PDV!A105="","",Clientes_PDV!A105)</f>
        <v/>
      </c>
      <c r="B105" s="80" t="str">
        <f>IF(A105="","",IFERROR(VLOOKUP(A105,Clientes_PDV!$A$2:$J$250,2,FALSE),""))</f>
        <v/>
      </c>
      <c r="C105" s="80" t="str">
        <f>IF(A105="","",IFERROR(VLOOKUP(A105,Clientes_PDV!$A$2:$J$250,3,FALSE),""))</f>
        <v/>
      </c>
      <c r="D105" s="80" t="str">
        <f>IF(A105="","",IFERROR(VLOOKUP(A105,Clientes_PDV!$A$2:$J$250,4,FALSE),""))</f>
        <v/>
      </c>
      <c r="E105" s="80" t="str">
        <f>IF(A105="","",IFERROR(VLOOKUP(A105,Clientes_PDV!$A$2:$J$250,7,FALSE),""))</f>
        <v/>
      </c>
      <c r="F105" s="81" t="str">
        <f>IF(A105="","",IFERROR(VLOOKUP(A105,Clientes_PDV!$A$2:$J$250,8,FALSE),""))</f>
        <v/>
      </c>
      <c r="G105" s="82" t="str">
        <f t="shared" ca="1" si="4"/>
        <v/>
      </c>
      <c r="H105" s="80" t="str">
        <f>IF(A105="","",IF(F105="","Sin visita",IF(G105&lt;=IFERROR(VLOOKUP(E105,Inicio!$A$24:$B$26,2,FALSE),0),"Vigente","Atrasado")))</f>
        <v/>
      </c>
      <c r="I105" s="83" t="str">
        <f ca="1">IF(A105="","",SUMIFS(Ventas_SellIn!$L$2:$L$800,Ventas_SellIn!$D$2:$D$800,A105,Ventas_SellIn!$B$2:$B$800,"&gt;="&amp;TODAY()-Inicio!$B$14))</f>
        <v/>
      </c>
      <c r="J105" s="82" t="str">
        <f ca="1">IF(A105="","",SUMIFS(SellOut_Jumbo!$F$2:$F$800,SellOut_Jumbo!$C$2:$C$800,D105,SellOut_Jumbo!$A$2:$A$800,"&gt;="&amp;TODAY()-Inicio!$B$14))</f>
        <v/>
      </c>
      <c r="K105" s="80" t="str">
        <f>IF(A105="","",IF(I105=0,"Sin venta",IF(I105&lt;Inicio!$B$15,"Venta baja","Venta OK")))</f>
        <v/>
      </c>
      <c r="L105" s="82" t="str">
        <f>IF(A105="","",COUNTIFS(Ventas_SellIn!$D$2:$D$800,A105,Ventas_SellIn!$R$2:$R$800,"&gt;0"))</f>
        <v/>
      </c>
      <c r="M105" s="83" t="str">
        <f>IF(A105="","",SUMIFS(Ventas_SellIn!$R$2:$R$800,Ventas_SellIn!$D$2:$D$800,A105))</f>
        <v/>
      </c>
      <c r="N105" s="80" t="str">
        <f>IF(A105="","",IF(M105&gt;=Inicio!$B$18,"Pendiente relevante",IF(M105&gt;0,"Pendiente menor","Sin deuda")))</f>
        <v/>
      </c>
      <c r="O105" s="84" t="str">
        <f>IF(A105="","",SUMIFS(Stock_PDV!$H$2:$H$800,Stock_PDV!$A$2:$A$800,A105))</f>
        <v/>
      </c>
      <c r="P105" s="80" t="str">
        <f>IF(A105="","",IF(O105&lt;=Inicio!$B$16,"Crítico",IF(O105&lt;=Inicio!$B$17,"Observar","OK")))</f>
        <v/>
      </c>
      <c r="Q105" s="80" t="str">
        <f t="shared" si="5"/>
        <v/>
      </c>
      <c r="R105" s="80" t="str">
        <f t="shared" si="6"/>
        <v/>
      </c>
      <c r="S105" s="70" t="str">
        <f t="shared" si="7"/>
        <v/>
      </c>
      <c r="T105" s="70" t="str">
        <f>IF(A105="","",IFERROR(VLOOKUP(A105,Clientes_PDV!$A$2:$K$250,11,FALSE),""))</f>
        <v/>
      </c>
    </row>
    <row r="106" spans="1:20" x14ac:dyDescent="0.35">
      <c r="A106" s="75" t="str">
        <f>IF(Clientes_PDV!A106="","",Clientes_PDV!A106)</f>
        <v/>
      </c>
      <c r="B106" s="75" t="str">
        <f>IF(A106="","",IFERROR(VLOOKUP(A106,Clientes_PDV!$A$2:$J$250,2,FALSE),""))</f>
        <v/>
      </c>
      <c r="C106" s="75" t="str">
        <f>IF(A106="","",IFERROR(VLOOKUP(A106,Clientes_PDV!$A$2:$J$250,3,FALSE),""))</f>
        <v/>
      </c>
      <c r="D106" s="75" t="str">
        <f>IF(A106="","",IFERROR(VLOOKUP(A106,Clientes_PDV!$A$2:$J$250,4,FALSE),""))</f>
        <v/>
      </c>
      <c r="E106" s="75" t="str">
        <f>IF(A106="","",IFERROR(VLOOKUP(A106,Clientes_PDV!$A$2:$J$250,7,FALSE),""))</f>
        <v/>
      </c>
      <c r="F106" s="76" t="str">
        <f>IF(A106="","",IFERROR(VLOOKUP(A106,Clientes_PDV!$A$2:$J$250,8,FALSE),""))</f>
        <v/>
      </c>
      <c r="G106" s="77" t="str">
        <f t="shared" ca="1" si="4"/>
        <v/>
      </c>
      <c r="H106" s="75" t="str">
        <f>IF(A106="","",IF(F106="","Sin visita",IF(G106&lt;=IFERROR(VLOOKUP(E106,Inicio!$A$24:$B$26,2,FALSE),0),"Vigente","Atrasado")))</f>
        <v/>
      </c>
      <c r="I106" s="78" t="str">
        <f ca="1">IF(A106="","",SUMIFS(Ventas_SellIn!$L$2:$L$800,Ventas_SellIn!$D$2:$D$800,A106,Ventas_SellIn!$B$2:$B$800,"&gt;="&amp;TODAY()-Inicio!$B$14))</f>
        <v/>
      </c>
      <c r="J106" s="77" t="str">
        <f ca="1">IF(A106="","",SUMIFS(SellOut_Jumbo!$F$2:$F$800,SellOut_Jumbo!$C$2:$C$800,D106,SellOut_Jumbo!$A$2:$A$800,"&gt;="&amp;TODAY()-Inicio!$B$14))</f>
        <v/>
      </c>
      <c r="K106" s="75" t="str">
        <f>IF(A106="","",IF(I106=0,"Sin venta",IF(I106&lt;Inicio!$B$15,"Venta baja","Venta OK")))</f>
        <v/>
      </c>
      <c r="L106" s="77" t="str">
        <f>IF(A106="","",COUNTIFS(Ventas_SellIn!$D$2:$D$800,A106,Ventas_SellIn!$R$2:$R$800,"&gt;0"))</f>
        <v/>
      </c>
      <c r="M106" s="78" t="str">
        <f>IF(A106="","",SUMIFS(Ventas_SellIn!$R$2:$R$800,Ventas_SellIn!$D$2:$D$800,A106))</f>
        <v/>
      </c>
      <c r="N106" s="75" t="str">
        <f>IF(A106="","",IF(M106&gt;=Inicio!$B$18,"Pendiente relevante",IF(M106&gt;0,"Pendiente menor","Sin deuda")))</f>
        <v/>
      </c>
      <c r="O106" s="79" t="str">
        <f>IF(A106="","",SUMIFS(Stock_PDV!$H$2:$H$800,Stock_PDV!$A$2:$A$800,A106))</f>
        <v/>
      </c>
      <c r="P106" s="75" t="str">
        <f>IF(A106="","",IF(O106&lt;=Inicio!$B$16,"Crítico",IF(O106&lt;=Inicio!$B$17,"Observar","OK")))</f>
        <v/>
      </c>
      <c r="Q106" s="75" t="str">
        <f t="shared" si="5"/>
        <v/>
      </c>
      <c r="R106" s="75" t="str">
        <f t="shared" si="6"/>
        <v/>
      </c>
      <c r="S106" s="68" t="str">
        <f t="shared" si="7"/>
        <v/>
      </c>
      <c r="T106" s="68" t="str">
        <f>IF(A106="","",IFERROR(VLOOKUP(A106,Clientes_PDV!$A$2:$K$250,11,FALSE),""))</f>
        <v/>
      </c>
    </row>
    <row r="107" spans="1:20" x14ac:dyDescent="0.35">
      <c r="A107" s="80" t="str">
        <f>IF(Clientes_PDV!A107="","",Clientes_PDV!A107)</f>
        <v/>
      </c>
      <c r="B107" s="80" t="str">
        <f>IF(A107="","",IFERROR(VLOOKUP(A107,Clientes_PDV!$A$2:$J$250,2,FALSE),""))</f>
        <v/>
      </c>
      <c r="C107" s="80" t="str">
        <f>IF(A107="","",IFERROR(VLOOKUP(A107,Clientes_PDV!$A$2:$J$250,3,FALSE),""))</f>
        <v/>
      </c>
      <c r="D107" s="80" t="str">
        <f>IF(A107="","",IFERROR(VLOOKUP(A107,Clientes_PDV!$A$2:$J$250,4,FALSE),""))</f>
        <v/>
      </c>
      <c r="E107" s="80" t="str">
        <f>IF(A107="","",IFERROR(VLOOKUP(A107,Clientes_PDV!$A$2:$J$250,7,FALSE),""))</f>
        <v/>
      </c>
      <c r="F107" s="81" t="str">
        <f>IF(A107="","",IFERROR(VLOOKUP(A107,Clientes_PDV!$A$2:$J$250,8,FALSE),""))</f>
        <v/>
      </c>
      <c r="G107" s="82" t="str">
        <f t="shared" ca="1" si="4"/>
        <v/>
      </c>
      <c r="H107" s="80" t="str">
        <f>IF(A107="","",IF(F107="","Sin visita",IF(G107&lt;=IFERROR(VLOOKUP(E107,Inicio!$A$24:$B$26,2,FALSE),0),"Vigente","Atrasado")))</f>
        <v/>
      </c>
      <c r="I107" s="83" t="str">
        <f ca="1">IF(A107="","",SUMIFS(Ventas_SellIn!$L$2:$L$800,Ventas_SellIn!$D$2:$D$800,A107,Ventas_SellIn!$B$2:$B$800,"&gt;="&amp;TODAY()-Inicio!$B$14))</f>
        <v/>
      </c>
      <c r="J107" s="82" t="str">
        <f ca="1">IF(A107="","",SUMIFS(SellOut_Jumbo!$F$2:$F$800,SellOut_Jumbo!$C$2:$C$800,D107,SellOut_Jumbo!$A$2:$A$800,"&gt;="&amp;TODAY()-Inicio!$B$14))</f>
        <v/>
      </c>
      <c r="K107" s="80" t="str">
        <f>IF(A107="","",IF(I107=0,"Sin venta",IF(I107&lt;Inicio!$B$15,"Venta baja","Venta OK")))</f>
        <v/>
      </c>
      <c r="L107" s="82" t="str">
        <f>IF(A107="","",COUNTIFS(Ventas_SellIn!$D$2:$D$800,A107,Ventas_SellIn!$R$2:$R$800,"&gt;0"))</f>
        <v/>
      </c>
      <c r="M107" s="83" t="str">
        <f>IF(A107="","",SUMIFS(Ventas_SellIn!$R$2:$R$800,Ventas_SellIn!$D$2:$D$800,A107))</f>
        <v/>
      </c>
      <c r="N107" s="80" t="str">
        <f>IF(A107="","",IF(M107&gt;=Inicio!$B$18,"Pendiente relevante",IF(M107&gt;0,"Pendiente menor","Sin deuda")))</f>
        <v/>
      </c>
      <c r="O107" s="84" t="str">
        <f>IF(A107="","",SUMIFS(Stock_PDV!$H$2:$H$800,Stock_PDV!$A$2:$A$800,A107))</f>
        <v/>
      </c>
      <c r="P107" s="80" t="str">
        <f>IF(A107="","",IF(O107&lt;=Inicio!$B$16,"Crítico",IF(O107&lt;=Inicio!$B$17,"Observar","OK")))</f>
        <v/>
      </c>
      <c r="Q107" s="80" t="str">
        <f t="shared" si="5"/>
        <v/>
      </c>
      <c r="R107" s="80" t="str">
        <f t="shared" si="6"/>
        <v/>
      </c>
      <c r="S107" s="70" t="str">
        <f t="shared" si="7"/>
        <v/>
      </c>
      <c r="T107" s="70" t="str">
        <f>IF(A107="","",IFERROR(VLOOKUP(A107,Clientes_PDV!$A$2:$K$250,11,FALSE),""))</f>
        <v/>
      </c>
    </row>
    <row r="108" spans="1:20" x14ac:dyDescent="0.35">
      <c r="A108" s="75" t="str">
        <f>IF(Clientes_PDV!A108="","",Clientes_PDV!A108)</f>
        <v/>
      </c>
      <c r="B108" s="75" t="str">
        <f>IF(A108="","",IFERROR(VLOOKUP(A108,Clientes_PDV!$A$2:$J$250,2,FALSE),""))</f>
        <v/>
      </c>
      <c r="C108" s="75" t="str">
        <f>IF(A108="","",IFERROR(VLOOKUP(A108,Clientes_PDV!$A$2:$J$250,3,FALSE),""))</f>
        <v/>
      </c>
      <c r="D108" s="75" t="str">
        <f>IF(A108="","",IFERROR(VLOOKUP(A108,Clientes_PDV!$A$2:$J$250,4,FALSE),""))</f>
        <v/>
      </c>
      <c r="E108" s="75" t="str">
        <f>IF(A108="","",IFERROR(VLOOKUP(A108,Clientes_PDV!$A$2:$J$250,7,FALSE),""))</f>
        <v/>
      </c>
      <c r="F108" s="76" t="str">
        <f>IF(A108="","",IFERROR(VLOOKUP(A108,Clientes_PDV!$A$2:$J$250,8,FALSE),""))</f>
        <v/>
      </c>
      <c r="G108" s="77" t="str">
        <f t="shared" ca="1" si="4"/>
        <v/>
      </c>
      <c r="H108" s="75" t="str">
        <f>IF(A108="","",IF(F108="","Sin visita",IF(G108&lt;=IFERROR(VLOOKUP(E108,Inicio!$A$24:$B$26,2,FALSE),0),"Vigente","Atrasado")))</f>
        <v/>
      </c>
      <c r="I108" s="78" t="str">
        <f ca="1">IF(A108="","",SUMIFS(Ventas_SellIn!$L$2:$L$800,Ventas_SellIn!$D$2:$D$800,A108,Ventas_SellIn!$B$2:$B$800,"&gt;="&amp;TODAY()-Inicio!$B$14))</f>
        <v/>
      </c>
      <c r="J108" s="77" t="str">
        <f ca="1">IF(A108="","",SUMIFS(SellOut_Jumbo!$F$2:$F$800,SellOut_Jumbo!$C$2:$C$800,D108,SellOut_Jumbo!$A$2:$A$800,"&gt;="&amp;TODAY()-Inicio!$B$14))</f>
        <v/>
      </c>
      <c r="K108" s="75" t="str">
        <f>IF(A108="","",IF(I108=0,"Sin venta",IF(I108&lt;Inicio!$B$15,"Venta baja","Venta OK")))</f>
        <v/>
      </c>
      <c r="L108" s="77" t="str">
        <f>IF(A108="","",COUNTIFS(Ventas_SellIn!$D$2:$D$800,A108,Ventas_SellIn!$R$2:$R$800,"&gt;0"))</f>
        <v/>
      </c>
      <c r="M108" s="78" t="str">
        <f>IF(A108="","",SUMIFS(Ventas_SellIn!$R$2:$R$800,Ventas_SellIn!$D$2:$D$800,A108))</f>
        <v/>
      </c>
      <c r="N108" s="75" t="str">
        <f>IF(A108="","",IF(M108&gt;=Inicio!$B$18,"Pendiente relevante",IF(M108&gt;0,"Pendiente menor","Sin deuda")))</f>
        <v/>
      </c>
      <c r="O108" s="79" t="str">
        <f>IF(A108="","",SUMIFS(Stock_PDV!$H$2:$H$800,Stock_PDV!$A$2:$A$800,A108))</f>
        <v/>
      </c>
      <c r="P108" s="75" t="str">
        <f>IF(A108="","",IF(O108&lt;=Inicio!$B$16,"Crítico",IF(O108&lt;=Inicio!$B$17,"Observar","OK")))</f>
        <v/>
      </c>
      <c r="Q108" s="75" t="str">
        <f t="shared" si="5"/>
        <v/>
      </c>
      <c r="R108" s="75" t="str">
        <f t="shared" si="6"/>
        <v/>
      </c>
      <c r="S108" s="68" t="str">
        <f t="shared" si="7"/>
        <v/>
      </c>
      <c r="T108" s="68" t="str">
        <f>IF(A108="","",IFERROR(VLOOKUP(A108,Clientes_PDV!$A$2:$K$250,11,FALSE),""))</f>
        <v/>
      </c>
    </row>
    <row r="109" spans="1:20" x14ac:dyDescent="0.35">
      <c r="A109" s="80" t="str">
        <f>IF(Clientes_PDV!A109="","",Clientes_PDV!A109)</f>
        <v/>
      </c>
      <c r="B109" s="80" t="str">
        <f>IF(A109="","",IFERROR(VLOOKUP(A109,Clientes_PDV!$A$2:$J$250,2,FALSE),""))</f>
        <v/>
      </c>
      <c r="C109" s="80" t="str">
        <f>IF(A109="","",IFERROR(VLOOKUP(A109,Clientes_PDV!$A$2:$J$250,3,FALSE),""))</f>
        <v/>
      </c>
      <c r="D109" s="80" t="str">
        <f>IF(A109="","",IFERROR(VLOOKUP(A109,Clientes_PDV!$A$2:$J$250,4,FALSE),""))</f>
        <v/>
      </c>
      <c r="E109" s="80" t="str">
        <f>IF(A109="","",IFERROR(VLOOKUP(A109,Clientes_PDV!$A$2:$J$250,7,FALSE),""))</f>
        <v/>
      </c>
      <c r="F109" s="81" t="str">
        <f>IF(A109="","",IFERROR(VLOOKUP(A109,Clientes_PDV!$A$2:$J$250,8,FALSE),""))</f>
        <v/>
      </c>
      <c r="G109" s="82" t="str">
        <f t="shared" ca="1" si="4"/>
        <v/>
      </c>
      <c r="H109" s="80" t="str">
        <f>IF(A109="","",IF(F109="","Sin visita",IF(G109&lt;=IFERROR(VLOOKUP(E109,Inicio!$A$24:$B$26,2,FALSE),0),"Vigente","Atrasado")))</f>
        <v/>
      </c>
      <c r="I109" s="83" t="str">
        <f ca="1">IF(A109="","",SUMIFS(Ventas_SellIn!$L$2:$L$800,Ventas_SellIn!$D$2:$D$800,A109,Ventas_SellIn!$B$2:$B$800,"&gt;="&amp;TODAY()-Inicio!$B$14))</f>
        <v/>
      </c>
      <c r="J109" s="82" t="str">
        <f ca="1">IF(A109="","",SUMIFS(SellOut_Jumbo!$F$2:$F$800,SellOut_Jumbo!$C$2:$C$800,D109,SellOut_Jumbo!$A$2:$A$800,"&gt;="&amp;TODAY()-Inicio!$B$14))</f>
        <v/>
      </c>
      <c r="K109" s="80" t="str">
        <f>IF(A109="","",IF(I109=0,"Sin venta",IF(I109&lt;Inicio!$B$15,"Venta baja","Venta OK")))</f>
        <v/>
      </c>
      <c r="L109" s="82" t="str">
        <f>IF(A109="","",COUNTIFS(Ventas_SellIn!$D$2:$D$800,A109,Ventas_SellIn!$R$2:$R$800,"&gt;0"))</f>
        <v/>
      </c>
      <c r="M109" s="83" t="str">
        <f>IF(A109="","",SUMIFS(Ventas_SellIn!$R$2:$R$800,Ventas_SellIn!$D$2:$D$800,A109))</f>
        <v/>
      </c>
      <c r="N109" s="80" t="str">
        <f>IF(A109="","",IF(M109&gt;=Inicio!$B$18,"Pendiente relevante",IF(M109&gt;0,"Pendiente menor","Sin deuda")))</f>
        <v/>
      </c>
      <c r="O109" s="84" t="str">
        <f>IF(A109="","",SUMIFS(Stock_PDV!$H$2:$H$800,Stock_PDV!$A$2:$A$800,A109))</f>
        <v/>
      </c>
      <c r="P109" s="80" t="str">
        <f>IF(A109="","",IF(O109&lt;=Inicio!$B$16,"Crítico",IF(O109&lt;=Inicio!$B$17,"Observar","OK")))</f>
        <v/>
      </c>
      <c r="Q109" s="80" t="str">
        <f t="shared" si="5"/>
        <v/>
      </c>
      <c r="R109" s="80" t="str">
        <f t="shared" si="6"/>
        <v/>
      </c>
      <c r="S109" s="70" t="str">
        <f t="shared" si="7"/>
        <v/>
      </c>
      <c r="T109" s="70" t="str">
        <f>IF(A109="","",IFERROR(VLOOKUP(A109,Clientes_PDV!$A$2:$K$250,11,FALSE),""))</f>
        <v/>
      </c>
    </row>
    <row r="110" spans="1:20" x14ac:dyDescent="0.35">
      <c r="A110" s="75" t="str">
        <f>IF(Clientes_PDV!A110="","",Clientes_PDV!A110)</f>
        <v/>
      </c>
      <c r="B110" s="75" t="str">
        <f>IF(A110="","",IFERROR(VLOOKUP(A110,Clientes_PDV!$A$2:$J$250,2,FALSE),""))</f>
        <v/>
      </c>
      <c r="C110" s="75" t="str">
        <f>IF(A110="","",IFERROR(VLOOKUP(A110,Clientes_PDV!$A$2:$J$250,3,FALSE),""))</f>
        <v/>
      </c>
      <c r="D110" s="75" t="str">
        <f>IF(A110="","",IFERROR(VLOOKUP(A110,Clientes_PDV!$A$2:$J$250,4,FALSE),""))</f>
        <v/>
      </c>
      <c r="E110" s="75" t="str">
        <f>IF(A110="","",IFERROR(VLOOKUP(A110,Clientes_PDV!$A$2:$J$250,7,FALSE),""))</f>
        <v/>
      </c>
      <c r="F110" s="76" t="str">
        <f>IF(A110="","",IFERROR(VLOOKUP(A110,Clientes_PDV!$A$2:$J$250,8,FALSE),""))</f>
        <v/>
      </c>
      <c r="G110" s="77" t="str">
        <f t="shared" ca="1" si="4"/>
        <v/>
      </c>
      <c r="H110" s="75" t="str">
        <f>IF(A110="","",IF(F110="","Sin visita",IF(G110&lt;=IFERROR(VLOOKUP(E110,Inicio!$A$24:$B$26,2,FALSE),0),"Vigente","Atrasado")))</f>
        <v/>
      </c>
      <c r="I110" s="78" t="str">
        <f ca="1">IF(A110="","",SUMIFS(Ventas_SellIn!$L$2:$L$800,Ventas_SellIn!$D$2:$D$800,A110,Ventas_SellIn!$B$2:$B$800,"&gt;="&amp;TODAY()-Inicio!$B$14))</f>
        <v/>
      </c>
      <c r="J110" s="77" t="str">
        <f ca="1">IF(A110="","",SUMIFS(SellOut_Jumbo!$F$2:$F$800,SellOut_Jumbo!$C$2:$C$800,D110,SellOut_Jumbo!$A$2:$A$800,"&gt;="&amp;TODAY()-Inicio!$B$14))</f>
        <v/>
      </c>
      <c r="K110" s="75" t="str">
        <f>IF(A110="","",IF(I110=0,"Sin venta",IF(I110&lt;Inicio!$B$15,"Venta baja","Venta OK")))</f>
        <v/>
      </c>
      <c r="L110" s="77" t="str">
        <f>IF(A110="","",COUNTIFS(Ventas_SellIn!$D$2:$D$800,A110,Ventas_SellIn!$R$2:$R$800,"&gt;0"))</f>
        <v/>
      </c>
      <c r="M110" s="78" t="str">
        <f>IF(A110="","",SUMIFS(Ventas_SellIn!$R$2:$R$800,Ventas_SellIn!$D$2:$D$800,A110))</f>
        <v/>
      </c>
      <c r="N110" s="75" t="str">
        <f>IF(A110="","",IF(M110&gt;=Inicio!$B$18,"Pendiente relevante",IF(M110&gt;0,"Pendiente menor","Sin deuda")))</f>
        <v/>
      </c>
      <c r="O110" s="79" t="str">
        <f>IF(A110="","",SUMIFS(Stock_PDV!$H$2:$H$800,Stock_PDV!$A$2:$A$800,A110))</f>
        <v/>
      </c>
      <c r="P110" s="75" t="str">
        <f>IF(A110="","",IF(O110&lt;=Inicio!$B$16,"Crítico",IF(O110&lt;=Inicio!$B$17,"Observar","OK")))</f>
        <v/>
      </c>
      <c r="Q110" s="75" t="str">
        <f t="shared" si="5"/>
        <v/>
      </c>
      <c r="R110" s="75" t="str">
        <f t="shared" si="6"/>
        <v/>
      </c>
      <c r="S110" s="68" t="str">
        <f t="shared" si="7"/>
        <v/>
      </c>
      <c r="T110" s="68" t="str">
        <f>IF(A110="","",IFERROR(VLOOKUP(A110,Clientes_PDV!$A$2:$K$250,11,FALSE),""))</f>
        <v/>
      </c>
    </row>
    <row r="111" spans="1:20" x14ac:dyDescent="0.35">
      <c r="A111" s="80" t="str">
        <f>IF(Clientes_PDV!A111="","",Clientes_PDV!A111)</f>
        <v/>
      </c>
      <c r="B111" s="80" t="str">
        <f>IF(A111="","",IFERROR(VLOOKUP(A111,Clientes_PDV!$A$2:$J$250,2,FALSE),""))</f>
        <v/>
      </c>
      <c r="C111" s="80" t="str">
        <f>IF(A111="","",IFERROR(VLOOKUP(A111,Clientes_PDV!$A$2:$J$250,3,FALSE),""))</f>
        <v/>
      </c>
      <c r="D111" s="80" t="str">
        <f>IF(A111="","",IFERROR(VLOOKUP(A111,Clientes_PDV!$A$2:$J$250,4,FALSE),""))</f>
        <v/>
      </c>
      <c r="E111" s="80" t="str">
        <f>IF(A111="","",IFERROR(VLOOKUP(A111,Clientes_PDV!$A$2:$J$250,7,FALSE),""))</f>
        <v/>
      </c>
      <c r="F111" s="81" t="str">
        <f>IF(A111="","",IFERROR(VLOOKUP(A111,Clientes_PDV!$A$2:$J$250,8,FALSE),""))</f>
        <v/>
      </c>
      <c r="G111" s="82" t="str">
        <f t="shared" ca="1" si="4"/>
        <v/>
      </c>
      <c r="H111" s="80" t="str">
        <f>IF(A111="","",IF(F111="","Sin visita",IF(G111&lt;=IFERROR(VLOOKUP(E111,Inicio!$A$24:$B$26,2,FALSE),0),"Vigente","Atrasado")))</f>
        <v/>
      </c>
      <c r="I111" s="83" t="str">
        <f ca="1">IF(A111="","",SUMIFS(Ventas_SellIn!$L$2:$L$800,Ventas_SellIn!$D$2:$D$800,A111,Ventas_SellIn!$B$2:$B$800,"&gt;="&amp;TODAY()-Inicio!$B$14))</f>
        <v/>
      </c>
      <c r="J111" s="82" t="str">
        <f ca="1">IF(A111="","",SUMIFS(SellOut_Jumbo!$F$2:$F$800,SellOut_Jumbo!$C$2:$C$800,D111,SellOut_Jumbo!$A$2:$A$800,"&gt;="&amp;TODAY()-Inicio!$B$14))</f>
        <v/>
      </c>
      <c r="K111" s="80" t="str">
        <f>IF(A111="","",IF(I111=0,"Sin venta",IF(I111&lt;Inicio!$B$15,"Venta baja","Venta OK")))</f>
        <v/>
      </c>
      <c r="L111" s="82" t="str">
        <f>IF(A111="","",COUNTIFS(Ventas_SellIn!$D$2:$D$800,A111,Ventas_SellIn!$R$2:$R$800,"&gt;0"))</f>
        <v/>
      </c>
      <c r="M111" s="83" t="str">
        <f>IF(A111="","",SUMIFS(Ventas_SellIn!$R$2:$R$800,Ventas_SellIn!$D$2:$D$800,A111))</f>
        <v/>
      </c>
      <c r="N111" s="80" t="str">
        <f>IF(A111="","",IF(M111&gt;=Inicio!$B$18,"Pendiente relevante",IF(M111&gt;0,"Pendiente menor","Sin deuda")))</f>
        <v/>
      </c>
      <c r="O111" s="84" t="str">
        <f>IF(A111="","",SUMIFS(Stock_PDV!$H$2:$H$800,Stock_PDV!$A$2:$A$800,A111))</f>
        <v/>
      </c>
      <c r="P111" s="80" t="str">
        <f>IF(A111="","",IF(O111&lt;=Inicio!$B$16,"Crítico",IF(O111&lt;=Inicio!$B$17,"Observar","OK")))</f>
        <v/>
      </c>
      <c r="Q111" s="80" t="str">
        <f t="shared" si="5"/>
        <v/>
      </c>
      <c r="R111" s="80" t="str">
        <f t="shared" si="6"/>
        <v/>
      </c>
      <c r="S111" s="70" t="str">
        <f t="shared" si="7"/>
        <v/>
      </c>
      <c r="T111" s="70" t="str">
        <f>IF(A111="","",IFERROR(VLOOKUP(A111,Clientes_PDV!$A$2:$K$250,11,FALSE),""))</f>
        <v/>
      </c>
    </row>
    <row r="112" spans="1:20" x14ac:dyDescent="0.35">
      <c r="A112" s="75" t="str">
        <f>IF(Clientes_PDV!A112="","",Clientes_PDV!A112)</f>
        <v/>
      </c>
      <c r="B112" s="75" t="str">
        <f>IF(A112="","",IFERROR(VLOOKUP(A112,Clientes_PDV!$A$2:$J$250,2,FALSE),""))</f>
        <v/>
      </c>
      <c r="C112" s="75" t="str">
        <f>IF(A112="","",IFERROR(VLOOKUP(A112,Clientes_PDV!$A$2:$J$250,3,FALSE),""))</f>
        <v/>
      </c>
      <c r="D112" s="75" t="str">
        <f>IF(A112="","",IFERROR(VLOOKUP(A112,Clientes_PDV!$A$2:$J$250,4,FALSE),""))</f>
        <v/>
      </c>
      <c r="E112" s="75" t="str">
        <f>IF(A112="","",IFERROR(VLOOKUP(A112,Clientes_PDV!$A$2:$J$250,7,FALSE),""))</f>
        <v/>
      </c>
      <c r="F112" s="76" t="str">
        <f>IF(A112="","",IFERROR(VLOOKUP(A112,Clientes_PDV!$A$2:$J$250,8,FALSE),""))</f>
        <v/>
      </c>
      <c r="G112" s="77" t="str">
        <f t="shared" ca="1" si="4"/>
        <v/>
      </c>
      <c r="H112" s="75" t="str">
        <f>IF(A112="","",IF(F112="","Sin visita",IF(G112&lt;=IFERROR(VLOOKUP(E112,Inicio!$A$24:$B$26,2,FALSE),0),"Vigente","Atrasado")))</f>
        <v/>
      </c>
      <c r="I112" s="78" t="str">
        <f ca="1">IF(A112="","",SUMIFS(Ventas_SellIn!$L$2:$L$800,Ventas_SellIn!$D$2:$D$800,A112,Ventas_SellIn!$B$2:$B$800,"&gt;="&amp;TODAY()-Inicio!$B$14))</f>
        <v/>
      </c>
      <c r="J112" s="77" t="str">
        <f ca="1">IF(A112="","",SUMIFS(SellOut_Jumbo!$F$2:$F$800,SellOut_Jumbo!$C$2:$C$800,D112,SellOut_Jumbo!$A$2:$A$800,"&gt;="&amp;TODAY()-Inicio!$B$14))</f>
        <v/>
      </c>
      <c r="K112" s="75" t="str">
        <f>IF(A112="","",IF(I112=0,"Sin venta",IF(I112&lt;Inicio!$B$15,"Venta baja","Venta OK")))</f>
        <v/>
      </c>
      <c r="L112" s="77" t="str">
        <f>IF(A112="","",COUNTIFS(Ventas_SellIn!$D$2:$D$800,A112,Ventas_SellIn!$R$2:$R$800,"&gt;0"))</f>
        <v/>
      </c>
      <c r="M112" s="78" t="str">
        <f>IF(A112="","",SUMIFS(Ventas_SellIn!$R$2:$R$800,Ventas_SellIn!$D$2:$D$800,A112))</f>
        <v/>
      </c>
      <c r="N112" s="75" t="str">
        <f>IF(A112="","",IF(M112&gt;=Inicio!$B$18,"Pendiente relevante",IF(M112&gt;0,"Pendiente menor","Sin deuda")))</f>
        <v/>
      </c>
      <c r="O112" s="79" t="str">
        <f>IF(A112="","",SUMIFS(Stock_PDV!$H$2:$H$800,Stock_PDV!$A$2:$A$800,A112))</f>
        <v/>
      </c>
      <c r="P112" s="75" t="str">
        <f>IF(A112="","",IF(O112&lt;=Inicio!$B$16,"Crítico",IF(O112&lt;=Inicio!$B$17,"Observar","OK")))</f>
        <v/>
      </c>
      <c r="Q112" s="75" t="str">
        <f t="shared" si="5"/>
        <v/>
      </c>
      <c r="R112" s="75" t="str">
        <f t="shared" si="6"/>
        <v/>
      </c>
      <c r="S112" s="68" t="str">
        <f t="shared" si="7"/>
        <v/>
      </c>
      <c r="T112" s="68" t="str">
        <f>IF(A112="","",IFERROR(VLOOKUP(A112,Clientes_PDV!$A$2:$K$250,11,FALSE),""))</f>
        <v/>
      </c>
    </row>
    <row r="113" spans="1:20" x14ac:dyDescent="0.35">
      <c r="A113" s="80" t="str">
        <f>IF(Clientes_PDV!A113="","",Clientes_PDV!A113)</f>
        <v/>
      </c>
      <c r="B113" s="80" t="str">
        <f>IF(A113="","",IFERROR(VLOOKUP(A113,Clientes_PDV!$A$2:$J$250,2,FALSE),""))</f>
        <v/>
      </c>
      <c r="C113" s="80" t="str">
        <f>IF(A113="","",IFERROR(VLOOKUP(A113,Clientes_PDV!$A$2:$J$250,3,FALSE),""))</f>
        <v/>
      </c>
      <c r="D113" s="80" t="str">
        <f>IF(A113="","",IFERROR(VLOOKUP(A113,Clientes_PDV!$A$2:$J$250,4,FALSE),""))</f>
        <v/>
      </c>
      <c r="E113" s="80" t="str">
        <f>IF(A113="","",IFERROR(VLOOKUP(A113,Clientes_PDV!$A$2:$J$250,7,FALSE),""))</f>
        <v/>
      </c>
      <c r="F113" s="81" t="str">
        <f>IF(A113="","",IFERROR(VLOOKUP(A113,Clientes_PDV!$A$2:$J$250,8,FALSE),""))</f>
        <v/>
      </c>
      <c r="G113" s="82" t="str">
        <f t="shared" ca="1" si="4"/>
        <v/>
      </c>
      <c r="H113" s="80" t="str">
        <f>IF(A113="","",IF(F113="","Sin visita",IF(G113&lt;=IFERROR(VLOOKUP(E113,Inicio!$A$24:$B$26,2,FALSE),0),"Vigente","Atrasado")))</f>
        <v/>
      </c>
      <c r="I113" s="83" t="str">
        <f ca="1">IF(A113="","",SUMIFS(Ventas_SellIn!$L$2:$L$800,Ventas_SellIn!$D$2:$D$800,A113,Ventas_SellIn!$B$2:$B$800,"&gt;="&amp;TODAY()-Inicio!$B$14))</f>
        <v/>
      </c>
      <c r="J113" s="82" t="str">
        <f ca="1">IF(A113="","",SUMIFS(SellOut_Jumbo!$F$2:$F$800,SellOut_Jumbo!$C$2:$C$800,D113,SellOut_Jumbo!$A$2:$A$800,"&gt;="&amp;TODAY()-Inicio!$B$14))</f>
        <v/>
      </c>
      <c r="K113" s="80" t="str">
        <f>IF(A113="","",IF(I113=0,"Sin venta",IF(I113&lt;Inicio!$B$15,"Venta baja","Venta OK")))</f>
        <v/>
      </c>
      <c r="L113" s="82" t="str">
        <f>IF(A113="","",COUNTIFS(Ventas_SellIn!$D$2:$D$800,A113,Ventas_SellIn!$R$2:$R$800,"&gt;0"))</f>
        <v/>
      </c>
      <c r="M113" s="83" t="str">
        <f>IF(A113="","",SUMIFS(Ventas_SellIn!$R$2:$R$800,Ventas_SellIn!$D$2:$D$800,A113))</f>
        <v/>
      </c>
      <c r="N113" s="80" t="str">
        <f>IF(A113="","",IF(M113&gt;=Inicio!$B$18,"Pendiente relevante",IF(M113&gt;0,"Pendiente menor","Sin deuda")))</f>
        <v/>
      </c>
      <c r="O113" s="84" t="str">
        <f>IF(A113="","",SUMIFS(Stock_PDV!$H$2:$H$800,Stock_PDV!$A$2:$A$800,A113))</f>
        <v/>
      </c>
      <c r="P113" s="80" t="str">
        <f>IF(A113="","",IF(O113&lt;=Inicio!$B$16,"Crítico",IF(O113&lt;=Inicio!$B$17,"Observar","OK")))</f>
        <v/>
      </c>
      <c r="Q113" s="80" t="str">
        <f t="shared" si="5"/>
        <v/>
      </c>
      <c r="R113" s="80" t="str">
        <f t="shared" si="6"/>
        <v/>
      </c>
      <c r="S113" s="70" t="str">
        <f t="shared" si="7"/>
        <v/>
      </c>
      <c r="T113" s="70" t="str">
        <f>IF(A113="","",IFERROR(VLOOKUP(A113,Clientes_PDV!$A$2:$K$250,11,FALSE),""))</f>
        <v/>
      </c>
    </row>
    <row r="114" spans="1:20" x14ac:dyDescent="0.35">
      <c r="A114" s="75" t="str">
        <f>IF(Clientes_PDV!A114="","",Clientes_PDV!A114)</f>
        <v/>
      </c>
      <c r="B114" s="75" t="str">
        <f>IF(A114="","",IFERROR(VLOOKUP(A114,Clientes_PDV!$A$2:$J$250,2,FALSE),""))</f>
        <v/>
      </c>
      <c r="C114" s="75" t="str">
        <f>IF(A114="","",IFERROR(VLOOKUP(A114,Clientes_PDV!$A$2:$J$250,3,FALSE),""))</f>
        <v/>
      </c>
      <c r="D114" s="75" t="str">
        <f>IF(A114="","",IFERROR(VLOOKUP(A114,Clientes_PDV!$A$2:$J$250,4,FALSE),""))</f>
        <v/>
      </c>
      <c r="E114" s="75" t="str">
        <f>IF(A114="","",IFERROR(VLOOKUP(A114,Clientes_PDV!$A$2:$J$250,7,FALSE),""))</f>
        <v/>
      </c>
      <c r="F114" s="76" t="str">
        <f>IF(A114="","",IFERROR(VLOOKUP(A114,Clientes_PDV!$A$2:$J$250,8,FALSE),""))</f>
        <v/>
      </c>
      <c r="G114" s="77" t="str">
        <f t="shared" ca="1" si="4"/>
        <v/>
      </c>
      <c r="H114" s="75" t="str">
        <f>IF(A114="","",IF(F114="","Sin visita",IF(G114&lt;=IFERROR(VLOOKUP(E114,Inicio!$A$24:$B$26,2,FALSE),0),"Vigente","Atrasado")))</f>
        <v/>
      </c>
      <c r="I114" s="78" t="str">
        <f ca="1">IF(A114="","",SUMIFS(Ventas_SellIn!$L$2:$L$800,Ventas_SellIn!$D$2:$D$800,A114,Ventas_SellIn!$B$2:$B$800,"&gt;="&amp;TODAY()-Inicio!$B$14))</f>
        <v/>
      </c>
      <c r="J114" s="77" t="str">
        <f ca="1">IF(A114="","",SUMIFS(SellOut_Jumbo!$F$2:$F$800,SellOut_Jumbo!$C$2:$C$800,D114,SellOut_Jumbo!$A$2:$A$800,"&gt;="&amp;TODAY()-Inicio!$B$14))</f>
        <v/>
      </c>
      <c r="K114" s="75" t="str">
        <f>IF(A114="","",IF(I114=0,"Sin venta",IF(I114&lt;Inicio!$B$15,"Venta baja","Venta OK")))</f>
        <v/>
      </c>
      <c r="L114" s="77" t="str">
        <f>IF(A114="","",COUNTIFS(Ventas_SellIn!$D$2:$D$800,A114,Ventas_SellIn!$R$2:$R$800,"&gt;0"))</f>
        <v/>
      </c>
      <c r="M114" s="78" t="str">
        <f>IF(A114="","",SUMIFS(Ventas_SellIn!$R$2:$R$800,Ventas_SellIn!$D$2:$D$800,A114))</f>
        <v/>
      </c>
      <c r="N114" s="75" t="str">
        <f>IF(A114="","",IF(M114&gt;=Inicio!$B$18,"Pendiente relevante",IF(M114&gt;0,"Pendiente menor","Sin deuda")))</f>
        <v/>
      </c>
      <c r="O114" s="79" t="str">
        <f>IF(A114="","",SUMIFS(Stock_PDV!$H$2:$H$800,Stock_PDV!$A$2:$A$800,A114))</f>
        <v/>
      </c>
      <c r="P114" s="75" t="str">
        <f>IF(A114="","",IF(O114&lt;=Inicio!$B$16,"Crítico",IF(O114&lt;=Inicio!$B$17,"Observar","OK")))</f>
        <v/>
      </c>
      <c r="Q114" s="75" t="str">
        <f t="shared" si="5"/>
        <v/>
      </c>
      <c r="R114" s="75" t="str">
        <f t="shared" si="6"/>
        <v/>
      </c>
      <c r="S114" s="68" t="str">
        <f t="shared" si="7"/>
        <v/>
      </c>
      <c r="T114" s="68" t="str">
        <f>IF(A114="","",IFERROR(VLOOKUP(A114,Clientes_PDV!$A$2:$K$250,11,FALSE),""))</f>
        <v/>
      </c>
    </row>
    <row r="115" spans="1:20" x14ac:dyDescent="0.35">
      <c r="A115" s="80" t="str">
        <f>IF(Clientes_PDV!A115="","",Clientes_PDV!A115)</f>
        <v/>
      </c>
      <c r="B115" s="80" t="str">
        <f>IF(A115="","",IFERROR(VLOOKUP(A115,Clientes_PDV!$A$2:$J$250,2,FALSE),""))</f>
        <v/>
      </c>
      <c r="C115" s="80" t="str">
        <f>IF(A115="","",IFERROR(VLOOKUP(A115,Clientes_PDV!$A$2:$J$250,3,FALSE),""))</f>
        <v/>
      </c>
      <c r="D115" s="80" t="str">
        <f>IF(A115="","",IFERROR(VLOOKUP(A115,Clientes_PDV!$A$2:$J$250,4,FALSE),""))</f>
        <v/>
      </c>
      <c r="E115" s="80" t="str">
        <f>IF(A115="","",IFERROR(VLOOKUP(A115,Clientes_PDV!$A$2:$J$250,7,FALSE),""))</f>
        <v/>
      </c>
      <c r="F115" s="81" t="str">
        <f>IF(A115="","",IFERROR(VLOOKUP(A115,Clientes_PDV!$A$2:$J$250,8,FALSE),""))</f>
        <v/>
      </c>
      <c r="G115" s="82" t="str">
        <f t="shared" ca="1" si="4"/>
        <v/>
      </c>
      <c r="H115" s="80" t="str">
        <f>IF(A115="","",IF(F115="","Sin visita",IF(G115&lt;=IFERROR(VLOOKUP(E115,Inicio!$A$24:$B$26,2,FALSE),0),"Vigente","Atrasado")))</f>
        <v/>
      </c>
      <c r="I115" s="83" t="str">
        <f ca="1">IF(A115="","",SUMIFS(Ventas_SellIn!$L$2:$L$800,Ventas_SellIn!$D$2:$D$800,A115,Ventas_SellIn!$B$2:$B$800,"&gt;="&amp;TODAY()-Inicio!$B$14))</f>
        <v/>
      </c>
      <c r="J115" s="82" t="str">
        <f ca="1">IF(A115="","",SUMIFS(SellOut_Jumbo!$F$2:$F$800,SellOut_Jumbo!$C$2:$C$800,D115,SellOut_Jumbo!$A$2:$A$800,"&gt;="&amp;TODAY()-Inicio!$B$14))</f>
        <v/>
      </c>
      <c r="K115" s="80" t="str">
        <f>IF(A115="","",IF(I115=0,"Sin venta",IF(I115&lt;Inicio!$B$15,"Venta baja","Venta OK")))</f>
        <v/>
      </c>
      <c r="L115" s="82" t="str">
        <f>IF(A115="","",COUNTIFS(Ventas_SellIn!$D$2:$D$800,A115,Ventas_SellIn!$R$2:$R$800,"&gt;0"))</f>
        <v/>
      </c>
      <c r="M115" s="83" t="str">
        <f>IF(A115="","",SUMIFS(Ventas_SellIn!$R$2:$R$800,Ventas_SellIn!$D$2:$D$800,A115))</f>
        <v/>
      </c>
      <c r="N115" s="80" t="str">
        <f>IF(A115="","",IF(M115&gt;=Inicio!$B$18,"Pendiente relevante",IF(M115&gt;0,"Pendiente menor","Sin deuda")))</f>
        <v/>
      </c>
      <c r="O115" s="84" t="str">
        <f>IF(A115="","",SUMIFS(Stock_PDV!$H$2:$H$800,Stock_PDV!$A$2:$A$800,A115))</f>
        <v/>
      </c>
      <c r="P115" s="80" t="str">
        <f>IF(A115="","",IF(O115&lt;=Inicio!$B$16,"Crítico",IF(O115&lt;=Inicio!$B$17,"Observar","OK")))</f>
        <v/>
      </c>
      <c r="Q115" s="80" t="str">
        <f t="shared" si="5"/>
        <v/>
      </c>
      <c r="R115" s="80" t="str">
        <f t="shared" si="6"/>
        <v/>
      </c>
      <c r="S115" s="70" t="str">
        <f t="shared" si="7"/>
        <v/>
      </c>
      <c r="T115" s="70" t="str">
        <f>IF(A115="","",IFERROR(VLOOKUP(A115,Clientes_PDV!$A$2:$K$250,11,FALSE),""))</f>
        <v/>
      </c>
    </row>
    <row r="116" spans="1:20" x14ac:dyDescent="0.35">
      <c r="A116" s="75" t="str">
        <f>IF(Clientes_PDV!A116="","",Clientes_PDV!A116)</f>
        <v/>
      </c>
      <c r="B116" s="75" t="str">
        <f>IF(A116="","",IFERROR(VLOOKUP(A116,Clientes_PDV!$A$2:$J$250,2,FALSE),""))</f>
        <v/>
      </c>
      <c r="C116" s="75" t="str">
        <f>IF(A116="","",IFERROR(VLOOKUP(A116,Clientes_PDV!$A$2:$J$250,3,FALSE),""))</f>
        <v/>
      </c>
      <c r="D116" s="75" t="str">
        <f>IF(A116="","",IFERROR(VLOOKUP(A116,Clientes_PDV!$A$2:$J$250,4,FALSE),""))</f>
        <v/>
      </c>
      <c r="E116" s="75" t="str">
        <f>IF(A116="","",IFERROR(VLOOKUP(A116,Clientes_PDV!$A$2:$J$250,7,FALSE),""))</f>
        <v/>
      </c>
      <c r="F116" s="76" t="str">
        <f>IF(A116="","",IFERROR(VLOOKUP(A116,Clientes_PDV!$A$2:$J$250,8,FALSE),""))</f>
        <v/>
      </c>
      <c r="G116" s="77" t="str">
        <f t="shared" ca="1" si="4"/>
        <v/>
      </c>
      <c r="H116" s="75" t="str">
        <f>IF(A116="","",IF(F116="","Sin visita",IF(G116&lt;=IFERROR(VLOOKUP(E116,Inicio!$A$24:$B$26,2,FALSE),0),"Vigente","Atrasado")))</f>
        <v/>
      </c>
      <c r="I116" s="78" t="str">
        <f ca="1">IF(A116="","",SUMIFS(Ventas_SellIn!$L$2:$L$800,Ventas_SellIn!$D$2:$D$800,A116,Ventas_SellIn!$B$2:$B$800,"&gt;="&amp;TODAY()-Inicio!$B$14))</f>
        <v/>
      </c>
      <c r="J116" s="77" t="str">
        <f ca="1">IF(A116="","",SUMIFS(SellOut_Jumbo!$F$2:$F$800,SellOut_Jumbo!$C$2:$C$800,D116,SellOut_Jumbo!$A$2:$A$800,"&gt;="&amp;TODAY()-Inicio!$B$14))</f>
        <v/>
      </c>
      <c r="K116" s="75" t="str">
        <f>IF(A116="","",IF(I116=0,"Sin venta",IF(I116&lt;Inicio!$B$15,"Venta baja","Venta OK")))</f>
        <v/>
      </c>
      <c r="L116" s="77" t="str">
        <f>IF(A116="","",COUNTIFS(Ventas_SellIn!$D$2:$D$800,A116,Ventas_SellIn!$R$2:$R$800,"&gt;0"))</f>
        <v/>
      </c>
      <c r="M116" s="78" t="str">
        <f>IF(A116="","",SUMIFS(Ventas_SellIn!$R$2:$R$800,Ventas_SellIn!$D$2:$D$800,A116))</f>
        <v/>
      </c>
      <c r="N116" s="75" t="str">
        <f>IF(A116="","",IF(M116&gt;=Inicio!$B$18,"Pendiente relevante",IF(M116&gt;0,"Pendiente menor","Sin deuda")))</f>
        <v/>
      </c>
      <c r="O116" s="79" t="str">
        <f>IF(A116="","",SUMIFS(Stock_PDV!$H$2:$H$800,Stock_PDV!$A$2:$A$800,A116))</f>
        <v/>
      </c>
      <c r="P116" s="75" t="str">
        <f>IF(A116="","",IF(O116&lt;=Inicio!$B$16,"Crítico",IF(O116&lt;=Inicio!$B$17,"Observar","OK")))</f>
        <v/>
      </c>
      <c r="Q116" s="75" t="str">
        <f t="shared" si="5"/>
        <v/>
      </c>
      <c r="R116" s="75" t="str">
        <f t="shared" si="6"/>
        <v/>
      </c>
      <c r="S116" s="68" t="str">
        <f t="shared" si="7"/>
        <v/>
      </c>
      <c r="T116" s="68" t="str">
        <f>IF(A116="","",IFERROR(VLOOKUP(A116,Clientes_PDV!$A$2:$K$250,11,FALSE),""))</f>
        <v/>
      </c>
    </row>
    <row r="117" spans="1:20" x14ac:dyDescent="0.35">
      <c r="A117" s="80" t="str">
        <f>IF(Clientes_PDV!A117="","",Clientes_PDV!A117)</f>
        <v/>
      </c>
      <c r="B117" s="80" t="str">
        <f>IF(A117="","",IFERROR(VLOOKUP(A117,Clientes_PDV!$A$2:$J$250,2,FALSE),""))</f>
        <v/>
      </c>
      <c r="C117" s="80" t="str">
        <f>IF(A117="","",IFERROR(VLOOKUP(A117,Clientes_PDV!$A$2:$J$250,3,FALSE),""))</f>
        <v/>
      </c>
      <c r="D117" s="80" t="str">
        <f>IF(A117="","",IFERROR(VLOOKUP(A117,Clientes_PDV!$A$2:$J$250,4,FALSE),""))</f>
        <v/>
      </c>
      <c r="E117" s="80" t="str">
        <f>IF(A117="","",IFERROR(VLOOKUP(A117,Clientes_PDV!$A$2:$J$250,7,FALSE),""))</f>
        <v/>
      </c>
      <c r="F117" s="81" t="str">
        <f>IF(A117="","",IFERROR(VLOOKUP(A117,Clientes_PDV!$A$2:$J$250,8,FALSE),""))</f>
        <v/>
      </c>
      <c r="G117" s="82" t="str">
        <f t="shared" ca="1" si="4"/>
        <v/>
      </c>
      <c r="H117" s="80" t="str">
        <f>IF(A117="","",IF(F117="","Sin visita",IF(G117&lt;=IFERROR(VLOOKUP(E117,Inicio!$A$24:$B$26,2,FALSE),0),"Vigente","Atrasado")))</f>
        <v/>
      </c>
      <c r="I117" s="83" t="str">
        <f ca="1">IF(A117="","",SUMIFS(Ventas_SellIn!$L$2:$L$800,Ventas_SellIn!$D$2:$D$800,A117,Ventas_SellIn!$B$2:$B$800,"&gt;="&amp;TODAY()-Inicio!$B$14))</f>
        <v/>
      </c>
      <c r="J117" s="82" t="str">
        <f ca="1">IF(A117="","",SUMIFS(SellOut_Jumbo!$F$2:$F$800,SellOut_Jumbo!$C$2:$C$800,D117,SellOut_Jumbo!$A$2:$A$800,"&gt;="&amp;TODAY()-Inicio!$B$14))</f>
        <v/>
      </c>
      <c r="K117" s="80" t="str">
        <f>IF(A117="","",IF(I117=0,"Sin venta",IF(I117&lt;Inicio!$B$15,"Venta baja","Venta OK")))</f>
        <v/>
      </c>
      <c r="L117" s="82" t="str">
        <f>IF(A117="","",COUNTIFS(Ventas_SellIn!$D$2:$D$800,A117,Ventas_SellIn!$R$2:$R$800,"&gt;0"))</f>
        <v/>
      </c>
      <c r="M117" s="83" t="str">
        <f>IF(A117="","",SUMIFS(Ventas_SellIn!$R$2:$R$800,Ventas_SellIn!$D$2:$D$800,A117))</f>
        <v/>
      </c>
      <c r="N117" s="80" t="str">
        <f>IF(A117="","",IF(M117&gt;=Inicio!$B$18,"Pendiente relevante",IF(M117&gt;0,"Pendiente menor","Sin deuda")))</f>
        <v/>
      </c>
      <c r="O117" s="84" t="str">
        <f>IF(A117="","",SUMIFS(Stock_PDV!$H$2:$H$800,Stock_PDV!$A$2:$A$800,A117))</f>
        <v/>
      </c>
      <c r="P117" s="80" t="str">
        <f>IF(A117="","",IF(O117&lt;=Inicio!$B$16,"Crítico",IF(O117&lt;=Inicio!$B$17,"Observar","OK")))</f>
        <v/>
      </c>
      <c r="Q117" s="80" t="str">
        <f t="shared" si="5"/>
        <v/>
      </c>
      <c r="R117" s="80" t="str">
        <f t="shared" si="6"/>
        <v/>
      </c>
      <c r="S117" s="70" t="str">
        <f t="shared" si="7"/>
        <v/>
      </c>
      <c r="T117" s="70" t="str">
        <f>IF(A117="","",IFERROR(VLOOKUP(A117,Clientes_PDV!$A$2:$K$250,11,FALSE),""))</f>
        <v/>
      </c>
    </row>
    <row r="118" spans="1:20" x14ac:dyDescent="0.35">
      <c r="A118" s="75" t="str">
        <f>IF(Clientes_PDV!A118="","",Clientes_PDV!A118)</f>
        <v/>
      </c>
      <c r="B118" s="75" t="str">
        <f>IF(A118="","",IFERROR(VLOOKUP(A118,Clientes_PDV!$A$2:$J$250,2,FALSE),""))</f>
        <v/>
      </c>
      <c r="C118" s="75" t="str">
        <f>IF(A118="","",IFERROR(VLOOKUP(A118,Clientes_PDV!$A$2:$J$250,3,FALSE),""))</f>
        <v/>
      </c>
      <c r="D118" s="75" t="str">
        <f>IF(A118="","",IFERROR(VLOOKUP(A118,Clientes_PDV!$A$2:$J$250,4,FALSE),""))</f>
        <v/>
      </c>
      <c r="E118" s="75" t="str">
        <f>IF(A118="","",IFERROR(VLOOKUP(A118,Clientes_PDV!$A$2:$J$250,7,FALSE),""))</f>
        <v/>
      </c>
      <c r="F118" s="76" t="str">
        <f>IF(A118="","",IFERROR(VLOOKUP(A118,Clientes_PDV!$A$2:$J$250,8,FALSE),""))</f>
        <v/>
      </c>
      <c r="G118" s="77" t="str">
        <f t="shared" ca="1" si="4"/>
        <v/>
      </c>
      <c r="H118" s="75" t="str">
        <f>IF(A118="","",IF(F118="","Sin visita",IF(G118&lt;=IFERROR(VLOOKUP(E118,Inicio!$A$24:$B$26,2,FALSE),0),"Vigente","Atrasado")))</f>
        <v/>
      </c>
      <c r="I118" s="78" t="str">
        <f ca="1">IF(A118="","",SUMIFS(Ventas_SellIn!$L$2:$L$800,Ventas_SellIn!$D$2:$D$800,A118,Ventas_SellIn!$B$2:$B$800,"&gt;="&amp;TODAY()-Inicio!$B$14))</f>
        <v/>
      </c>
      <c r="J118" s="77" t="str">
        <f ca="1">IF(A118="","",SUMIFS(SellOut_Jumbo!$F$2:$F$800,SellOut_Jumbo!$C$2:$C$800,D118,SellOut_Jumbo!$A$2:$A$800,"&gt;="&amp;TODAY()-Inicio!$B$14))</f>
        <v/>
      </c>
      <c r="K118" s="75" t="str">
        <f>IF(A118="","",IF(I118=0,"Sin venta",IF(I118&lt;Inicio!$B$15,"Venta baja","Venta OK")))</f>
        <v/>
      </c>
      <c r="L118" s="77" t="str">
        <f>IF(A118="","",COUNTIFS(Ventas_SellIn!$D$2:$D$800,A118,Ventas_SellIn!$R$2:$R$800,"&gt;0"))</f>
        <v/>
      </c>
      <c r="M118" s="78" t="str">
        <f>IF(A118="","",SUMIFS(Ventas_SellIn!$R$2:$R$800,Ventas_SellIn!$D$2:$D$800,A118))</f>
        <v/>
      </c>
      <c r="N118" s="75" t="str">
        <f>IF(A118="","",IF(M118&gt;=Inicio!$B$18,"Pendiente relevante",IF(M118&gt;0,"Pendiente menor","Sin deuda")))</f>
        <v/>
      </c>
      <c r="O118" s="79" t="str">
        <f>IF(A118="","",SUMIFS(Stock_PDV!$H$2:$H$800,Stock_PDV!$A$2:$A$800,A118))</f>
        <v/>
      </c>
      <c r="P118" s="75" t="str">
        <f>IF(A118="","",IF(O118&lt;=Inicio!$B$16,"Crítico",IF(O118&lt;=Inicio!$B$17,"Observar","OK")))</f>
        <v/>
      </c>
      <c r="Q118" s="75" t="str">
        <f t="shared" si="5"/>
        <v/>
      </c>
      <c r="R118" s="75" t="str">
        <f t="shared" si="6"/>
        <v/>
      </c>
      <c r="S118" s="68" t="str">
        <f t="shared" si="7"/>
        <v/>
      </c>
      <c r="T118" s="68" t="str">
        <f>IF(A118="","",IFERROR(VLOOKUP(A118,Clientes_PDV!$A$2:$K$250,11,FALSE),""))</f>
        <v/>
      </c>
    </row>
    <row r="119" spans="1:20" x14ac:dyDescent="0.35">
      <c r="A119" s="80" t="str">
        <f>IF(Clientes_PDV!A119="","",Clientes_PDV!A119)</f>
        <v/>
      </c>
      <c r="B119" s="80" t="str">
        <f>IF(A119="","",IFERROR(VLOOKUP(A119,Clientes_PDV!$A$2:$J$250,2,FALSE),""))</f>
        <v/>
      </c>
      <c r="C119" s="80" t="str">
        <f>IF(A119="","",IFERROR(VLOOKUP(A119,Clientes_PDV!$A$2:$J$250,3,FALSE),""))</f>
        <v/>
      </c>
      <c r="D119" s="80" t="str">
        <f>IF(A119="","",IFERROR(VLOOKUP(A119,Clientes_PDV!$A$2:$J$250,4,FALSE),""))</f>
        <v/>
      </c>
      <c r="E119" s="80" t="str">
        <f>IF(A119="","",IFERROR(VLOOKUP(A119,Clientes_PDV!$A$2:$J$250,7,FALSE),""))</f>
        <v/>
      </c>
      <c r="F119" s="81" t="str">
        <f>IF(A119="","",IFERROR(VLOOKUP(A119,Clientes_PDV!$A$2:$J$250,8,FALSE),""))</f>
        <v/>
      </c>
      <c r="G119" s="82" t="str">
        <f t="shared" ca="1" si="4"/>
        <v/>
      </c>
      <c r="H119" s="80" t="str">
        <f>IF(A119="","",IF(F119="","Sin visita",IF(G119&lt;=IFERROR(VLOOKUP(E119,Inicio!$A$24:$B$26,2,FALSE),0),"Vigente","Atrasado")))</f>
        <v/>
      </c>
      <c r="I119" s="83" t="str">
        <f ca="1">IF(A119="","",SUMIFS(Ventas_SellIn!$L$2:$L$800,Ventas_SellIn!$D$2:$D$800,A119,Ventas_SellIn!$B$2:$B$800,"&gt;="&amp;TODAY()-Inicio!$B$14))</f>
        <v/>
      </c>
      <c r="J119" s="82" t="str">
        <f ca="1">IF(A119="","",SUMIFS(SellOut_Jumbo!$F$2:$F$800,SellOut_Jumbo!$C$2:$C$800,D119,SellOut_Jumbo!$A$2:$A$800,"&gt;="&amp;TODAY()-Inicio!$B$14))</f>
        <v/>
      </c>
      <c r="K119" s="80" t="str">
        <f>IF(A119="","",IF(I119=0,"Sin venta",IF(I119&lt;Inicio!$B$15,"Venta baja","Venta OK")))</f>
        <v/>
      </c>
      <c r="L119" s="82" t="str">
        <f>IF(A119="","",COUNTIFS(Ventas_SellIn!$D$2:$D$800,A119,Ventas_SellIn!$R$2:$R$800,"&gt;0"))</f>
        <v/>
      </c>
      <c r="M119" s="83" t="str">
        <f>IF(A119="","",SUMIFS(Ventas_SellIn!$R$2:$R$800,Ventas_SellIn!$D$2:$D$800,A119))</f>
        <v/>
      </c>
      <c r="N119" s="80" t="str">
        <f>IF(A119="","",IF(M119&gt;=Inicio!$B$18,"Pendiente relevante",IF(M119&gt;0,"Pendiente menor","Sin deuda")))</f>
        <v/>
      </c>
      <c r="O119" s="84" t="str">
        <f>IF(A119="","",SUMIFS(Stock_PDV!$H$2:$H$800,Stock_PDV!$A$2:$A$800,A119))</f>
        <v/>
      </c>
      <c r="P119" s="80" t="str">
        <f>IF(A119="","",IF(O119&lt;=Inicio!$B$16,"Crítico",IF(O119&lt;=Inicio!$B$17,"Observar","OK")))</f>
        <v/>
      </c>
      <c r="Q119" s="80" t="str">
        <f t="shared" si="5"/>
        <v/>
      </c>
      <c r="R119" s="80" t="str">
        <f t="shared" si="6"/>
        <v/>
      </c>
      <c r="S119" s="70" t="str">
        <f t="shared" si="7"/>
        <v/>
      </c>
      <c r="T119" s="70" t="str">
        <f>IF(A119="","",IFERROR(VLOOKUP(A119,Clientes_PDV!$A$2:$K$250,11,FALSE),""))</f>
        <v/>
      </c>
    </row>
    <row r="120" spans="1:20" x14ac:dyDescent="0.35">
      <c r="A120" s="75" t="str">
        <f>IF(Clientes_PDV!A120="","",Clientes_PDV!A120)</f>
        <v/>
      </c>
      <c r="B120" s="75" t="str">
        <f>IF(A120="","",IFERROR(VLOOKUP(A120,Clientes_PDV!$A$2:$J$250,2,FALSE),""))</f>
        <v/>
      </c>
      <c r="C120" s="75" t="str">
        <f>IF(A120="","",IFERROR(VLOOKUP(A120,Clientes_PDV!$A$2:$J$250,3,FALSE),""))</f>
        <v/>
      </c>
      <c r="D120" s="75" t="str">
        <f>IF(A120="","",IFERROR(VLOOKUP(A120,Clientes_PDV!$A$2:$J$250,4,FALSE),""))</f>
        <v/>
      </c>
      <c r="E120" s="75" t="str">
        <f>IF(A120="","",IFERROR(VLOOKUP(A120,Clientes_PDV!$A$2:$J$250,7,FALSE),""))</f>
        <v/>
      </c>
      <c r="F120" s="76" t="str">
        <f>IF(A120="","",IFERROR(VLOOKUP(A120,Clientes_PDV!$A$2:$J$250,8,FALSE),""))</f>
        <v/>
      </c>
      <c r="G120" s="77" t="str">
        <f t="shared" ca="1" si="4"/>
        <v/>
      </c>
      <c r="H120" s="75" t="str">
        <f>IF(A120="","",IF(F120="","Sin visita",IF(G120&lt;=IFERROR(VLOOKUP(E120,Inicio!$A$24:$B$26,2,FALSE),0),"Vigente","Atrasado")))</f>
        <v/>
      </c>
      <c r="I120" s="78" t="str">
        <f ca="1">IF(A120="","",SUMIFS(Ventas_SellIn!$L$2:$L$800,Ventas_SellIn!$D$2:$D$800,A120,Ventas_SellIn!$B$2:$B$800,"&gt;="&amp;TODAY()-Inicio!$B$14))</f>
        <v/>
      </c>
      <c r="J120" s="77" t="str">
        <f ca="1">IF(A120="","",SUMIFS(SellOut_Jumbo!$F$2:$F$800,SellOut_Jumbo!$C$2:$C$800,D120,SellOut_Jumbo!$A$2:$A$800,"&gt;="&amp;TODAY()-Inicio!$B$14))</f>
        <v/>
      </c>
      <c r="K120" s="75" t="str">
        <f>IF(A120="","",IF(I120=0,"Sin venta",IF(I120&lt;Inicio!$B$15,"Venta baja","Venta OK")))</f>
        <v/>
      </c>
      <c r="L120" s="77" t="str">
        <f>IF(A120="","",COUNTIFS(Ventas_SellIn!$D$2:$D$800,A120,Ventas_SellIn!$R$2:$R$800,"&gt;0"))</f>
        <v/>
      </c>
      <c r="M120" s="78" t="str">
        <f>IF(A120="","",SUMIFS(Ventas_SellIn!$R$2:$R$800,Ventas_SellIn!$D$2:$D$800,A120))</f>
        <v/>
      </c>
      <c r="N120" s="75" t="str">
        <f>IF(A120="","",IF(M120&gt;=Inicio!$B$18,"Pendiente relevante",IF(M120&gt;0,"Pendiente menor","Sin deuda")))</f>
        <v/>
      </c>
      <c r="O120" s="79" t="str">
        <f>IF(A120="","",SUMIFS(Stock_PDV!$H$2:$H$800,Stock_PDV!$A$2:$A$800,A120))</f>
        <v/>
      </c>
      <c r="P120" s="75" t="str">
        <f>IF(A120="","",IF(O120&lt;=Inicio!$B$16,"Crítico",IF(O120&lt;=Inicio!$B$17,"Observar","OK")))</f>
        <v/>
      </c>
      <c r="Q120" s="75" t="str">
        <f t="shared" si="5"/>
        <v/>
      </c>
      <c r="R120" s="75" t="str">
        <f t="shared" si="6"/>
        <v/>
      </c>
      <c r="S120" s="68" t="str">
        <f t="shared" si="7"/>
        <v/>
      </c>
      <c r="T120" s="68" t="str">
        <f>IF(A120="","",IFERROR(VLOOKUP(A120,Clientes_PDV!$A$2:$K$250,11,FALSE),""))</f>
        <v/>
      </c>
    </row>
    <row r="121" spans="1:20" x14ac:dyDescent="0.35">
      <c r="A121" s="80" t="str">
        <f>IF(Clientes_PDV!A121="","",Clientes_PDV!A121)</f>
        <v/>
      </c>
      <c r="B121" s="80" t="str">
        <f>IF(A121="","",IFERROR(VLOOKUP(A121,Clientes_PDV!$A$2:$J$250,2,FALSE),""))</f>
        <v/>
      </c>
      <c r="C121" s="80" t="str">
        <f>IF(A121="","",IFERROR(VLOOKUP(A121,Clientes_PDV!$A$2:$J$250,3,FALSE),""))</f>
        <v/>
      </c>
      <c r="D121" s="80" t="str">
        <f>IF(A121="","",IFERROR(VLOOKUP(A121,Clientes_PDV!$A$2:$J$250,4,FALSE),""))</f>
        <v/>
      </c>
      <c r="E121" s="80" t="str">
        <f>IF(A121="","",IFERROR(VLOOKUP(A121,Clientes_PDV!$A$2:$J$250,7,FALSE),""))</f>
        <v/>
      </c>
      <c r="F121" s="81" t="str">
        <f>IF(A121="","",IFERROR(VLOOKUP(A121,Clientes_PDV!$A$2:$J$250,8,FALSE),""))</f>
        <v/>
      </c>
      <c r="G121" s="82" t="str">
        <f t="shared" ca="1" si="4"/>
        <v/>
      </c>
      <c r="H121" s="80" t="str">
        <f>IF(A121="","",IF(F121="","Sin visita",IF(G121&lt;=IFERROR(VLOOKUP(E121,Inicio!$A$24:$B$26,2,FALSE),0),"Vigente","Atrasado")))</f>
        <v/>
      </c>
      <c r="I121" s="83" t="str">
        <f ca="1">IF(A121="","",SUMIFS(Ventas_SellIn!$L$2:$L$800,Ventas_SellIn!$D$2:$D$800,A121,Ventas_SellIn!$B$2:$B$800,"&gt;="&amp;TODAY()-Inicio!$B$14))</f>
        <v/>
      </c>
      <c r="J121" s="82" t="str">
        <f ca="1">IF(A121="","",SUMIFS(SellOut_Jumbo!$F$2:$F$800,SellOut_Jumbo!$C$2:$C$800,D121,SellOut_Jumbo!$A$2:$A$800,"&gt;="&amp;TODAY()-Inicio!$B$14))</f>
        <v/>
      </c>
      <c r="K121" s="80" t="str">
        <f>IF(A121="","",IF(I121=0,"Sin venta",IF(I121&lt;Inicio!$B$15,"Venta baja","Venta OK")))</f>
        <v/>
      </c>
      <c r="L121" s="82" t="str">
        <f>IF(A121="","",COUNTIFS(Ventas_SellIn!$D$2:$D$800,A121,Ventas_SellIn!$R$2:$R$800,"&gt;0"))</f>
        <v/>
      </c>
      <c r="M121" s="83" t="str">
        <f>IF(A121="","",SUMIFS(Ventas_SellIn!$R$2:$R$800,Ventas_SellIn!$D$2:$D$800,A121))</f>
        <v/>
      </c>
      <c r="N121" s="80" t="str">
        <f>IF(A121="","",IF(M121&gt;=Inicio!$B$18,"Pendiente relevante",IF(M121&gt;0,"Pendiente menor","Sin deuda")))</f>
        <v/>
      </c>
      <c r="O121" s="84" t="str">
        <f>IF(A121="","",SUMIFS(Stock_PDV!$H$2:$H$800,Stock_PDV!$A$2:$A$800,A121))</f>
        <v/>
      </c>
      <c r="P121" s="80" t="str">
        <f>IF(A121="","",IF(O121&lt;=Inicio!$B$16,"Crítico",IF(O121&lt;=Inicio!$B$17,"Observar","OK")))</f>
        <v/>
      </c>
      <c r="Q121" s="80" t="str">
        <f t="shared" si="5"/>
        <v/>
      </c>
      <c r="R121" s="80" t="str">
        <f t="shared" si="6"/>
        <v/>
      </c>
      <c r="S121" s="70" t="str">
        <f t="shared" si="7"/>
        <v/>
      </c>
      <c r="T121" s="70" t="str">
        <f>IF(A121="","",IFERROR(VLOOKUP(A121,Clientes_PDV!$A$2:$K$250,11,FALSE),""))</f>
        <v/>
      </c>
    </row>
    <row r="122" spans="1:20" x14ac:dyDescent="0.35">
      <c r="A122" s="75" t="str">
        <f>IF(Clientes_PDV!A122="","",Clientes_PDV!A122)</f>
        <v/>
      </c>
      <c r="B122" s="75" t="str">
        <f>IF(A122="","",IFERROR(VLOOKUP(A122,Clientes_PDV!$A$2:$J$250,2,FALSE),""))</f>
        <v/>
      </c>
      <c r="C122" s="75" t="str">
        <f>IF(A122="","",IFERROR(VLOOKUP(A122,Clientes_PDV!$A$2:$J$250,3,FALSE),""))</f>
        <v/>
      </c>
      <c r="D122" s="75" t="str">
        <f>IF(A122="","",IFERROR(VLOOKUP(A122,Clientes_PDV!$A$2:$J$250,4,FALSE),""))</f>
        <v/>
      </c>
      <c r="E122" s="75" t="str">
        <f>IF(A122="","",IFERROR(VLOOKUP(A122,Clientes_PDV!$A$2:$J$250,7,FALSE),""))</f>
        <v/>
      </c>
      <c r="F122" s="76" t="str">
        <f>IF(A122="","",IFERROR(VLOOKUP(A122,Clientes_PDV!$A$2:$J$250,8,FALSE),""))</f>
        <v/>
      </c>
      <c r="G122" s="77" t="str">
        <f t="shared" ca="1" si="4"/>
        <v/>
      </c>
      <c r="H122" s="75" t="str">
        <f>IF(A122="","",IF(F122="","Sin visita",IF(G122&lt;=IFERROR(VLOOKUP(E122,Inicio!$A$24:$B$26,2,FALSE),0),"Vigente","Atrasado")))</f>
        <v/>
      </c>
      <c r="I122" s="78" t="str">
        <f ca="1">IF(A122="","",SUMIFS(Ventas_SellIn!$L$2:$L$800,Ventas_SellIn!$D$2:$D$800,A122,Ventas_SellIn!$B$2:$B$800,"&gt;="&amp;TODAY()-Inicio!$B$14))</f>
        <v/>
      </c>
      <c r="J122" s="77" t="str">
        <f ca="1">IF(A122="","",SUMIFS(SellOut_Jumbo!$F$2:$F$800,SellOut_Jumbo!$C$2:$C$800,D122,SellOut_Jumbo!$A$2:$A$800,"&gt;="&amp;TODAY()-Inicio!$B$14))</f>
        <v/>
      </c>
      <c r="K122" s="75" t="str">
        <f>IF(A122="","",IF(I122=0,"Sin venta",IF(I122&lt;Inicio!$B$15,"Venta baja","Venta OK")))</f>
        <v/>
      </c>
      <c r="L122" s="77" t="str">
        <f>IF(A122="","",COUNTIFS(Ventas_SellIn!$D$2:$D$800,A122,Ventas_SellIn!$R$2:$R$800,"&gt;0"))</f>
        <v/>
      </c>
      <c r="M122" s="78" t="str">
        <f>IF(A122="","",SUMIFS(Ventas_SellIn!$R$2:$R$800,Ventas_SellIn!$D$2:$D$800,A122))</f>
        <v/>
      </c>
      <c r="N122" s="75" t="str">
        <f>IF(A122="","",IF(M122&gt;=Inicio!$B$18,"Pendiente relevante",IF(M122&gt;0,"Pendiente menor","Sin deuda")))</f>
        <v/>
      </c>
      <c r="O122" s="79" t="str">
        <f>IF(A122="","",SUMIFS(Stock_PDV!$H$2:$H$800,Stock_PDV!$A$2:$A$800,A122))</f>
        <v/>
      </c>
      <c r="P122" s="75" t="str">
        <f>IF(A122="","",IF(O122&lt;=Inicio!$B$16,"Crítico",IF(O122&lt;=Inicio!$B$17,"Observar","OK")))</f>
        <v/>
      </c>
      <c r="Q122" s="75" t="str">
        <f t="shared" si="5"/>
        <v/>
      </c>
      <c r="R122" s="75" t="str">
        <f t="shared" si="6"/>
        <v/>
      </c>
      <c r="S122" s="68" t="str">
        <f t="shared" si="7"/>
        <v/>
      </c>
      <c r="T122" s="68" t="str">
        <f>IF(A122="","",IFERROR(VLOOKUP(A122,Clientes_PDV!$A$2:$K$250,11,FALSE),""))</f>
        <v/>
      </c>
    </row>
    <row r="123" spans="1:20" x14ac:dyDescent="0.35">
      <c r="A123" s="80" t="str">
        <f>IF(Clientes_PDV!A123="","",Clientes_PDV!A123)</f>
        <v/>
      </c>
      <c r="B123" s="80" t="str">
        <f>IF(A123="","",IFERROR(VLOOKUP(A123,Clientes_PDV!$A$2:$J$250,2,FALSE),""))</f>
        <v/>
      </c>
      <c r="C123" s="80" t="str">
        <f>IF(A123="","",IFERROR(VLOOKUP(A123,Clientes_PDV!$A$2:$J$250,3,FALSE),""))</f>
        <v/>
      </c>
      <c r="D123" s="80" t="str">
        <f>IF(A123="","",IFERROR(VLOOKUP(A123,Clientes_PDV!$A$2:$J$250,4,FALSE),""))</f>
        <v/>
      </c>
      <c r="E123" s="80" t="str">
        <f>IF(A123="","",IFERROR(VLOOKUP(A123,Clientes_PDV!$A$2:$J$250,7,FALSE),""))</f>
        <v/>
      </c>
      <c r="F123" s="81" t="str">
        <f>IF(A123="","",IFERROR(VLOOKUP(A123,Clientes_PDV!$A$2:$J$250,8,FALSE),""))</f>
        <v/>
      </c>
      <c r="G123" s="82" t="str">
        <f t="shared" ca="1" si="4"/>
        <v/>
      </c>
      <c r="H123" s="80" t="str">
        <f>IF(A123="","",IF(F123="","Sin visita",IF(G123&lt;=IFERROR(VLOOKUP(E123,Inicio!$A$24:$B$26,2,FALSE),0),"Vigente","Atrasado")))</f>
        <v/>
      </c>
      <c r="I123" s="83" t="str">
        <f ca="1">IF(A123="","",SUMIFS(Ventas_SellIn!$L$2:$L$800,Ventas_SellIn!$D$2:$D$800,A123,Ventas_SellIn!$B$2:$B$800,"&gt;="&amp;TODAY()-Inicio!$B$14))</f>
        <v/>
      </c>
      <c r="J123" s="82" t="str">
        <f ca="1">IF(A123="","",SUMIFS(SellOut_Jumbo!$F$2:$F$800,SellOut_Jumbo!$C$2:$C$800,D123,SellOut_Jumbo!$A$2:$A$800,"&gt;="&amp;TODAY()-Inicio!$B$14))</f>
        <v/>
      </c>
      <c r="K123" s="80" t="str">
        <f>IF(A123="","",IF(I123=0,"Sin venta",IF(I123&lt;Inicio!$B$15,"Venta baja","Venta OK")))</f>
        <v/>
      </c>
      <c r="L123" s="82" t="str">
        <f>IF(A123="","",COUNTIFS(Ventas_SellIn!$D$2:$D$800,A123,Ventas_SellIn!$R$2:$R$800,"&gt;0"))</f>
        <v/>
      </c>
      <c r="M123" s="83" t="str">
        <f>IF(A123="","",SUMIFS(Ventas_SellIn!$R$2:$R$800,Ventas_SellIn!$D$2:$D$800,A123))</f>
        <v/>
      </c>
      <c r="N123" s="80" t="str">
        <f>IF(A123="","",IF(M123&gt;=Inicio!$B$18,"Pendiente relevante",IF(M123&gt;0,"Pendiente menor","Sin deuda")))</f>
        <v/>
      </c>
      <c r="O123" s="84" t="str">
        <f>IF(A123="","",SUMIFS(Stock_PDV!$H$2:$H$800,Stock_PDV!$A$2:$A$800,A123))</f>
        <v/>
      </c>
      <c r="P123" s="80" t="str">
        <f>IF(A123="","",IF(O123&lt;=Inicio!$B$16,"Crítico",IF(O123&lt;=Inicio!$B$17,"Observar","OK")))</f>
        <v/>
      </c>
      <c r="Q123" s="80" t="str">
        <f t="shared" si="5"/>
        <v/>
      </c>
      <c r="R123" s="80" t="str">
        <f t="shared" si="6"/>
        <v/>
      </c>
      <c r="S123" s="70" t="str">
        <f t="shared" si="7"/>
        <v/>
      </c>
      <c r="T123" s="70" t="str">
        <f>IF(A123="","",IFERROR(VLOOKUP(A123,Clientes_PDV!$A$2:$K$250,11,FALSE),""))</f>
        <v/>
      </c>
    </row>
    <row r="124" spans="1:20" x14ac:dyDescent="0.35">
      <c r="A124" s="75" t="str">
        <f>IF(Clientes_PDV!A124="","",Clientes_PDV!A124)</f>
        <v/>
      </c>
      <c r="B124" s="75" t="str">
        <f>IF(A124="","",IFERROR(VLOOKUP(A124,Clientes_PDV!$A$2:$J$250,2,FALSE),""))</f>
        <v/>
      </c>
      <c r="C124" s="75" t="str">
        <f>IF(A124="","",IFERROR(VLOOKUP(A124,Clientes_PDV!$A$2:$J$250,3,FALSE),""))</f>
        <v/>
      </c>
      <c r="D124" s="75" t="str">
        <f>IF(A124="","",IFERROR(VLOOKUP(A124,Clientes_PDV!$A$2:$J$250,4,FALSE),""))</f>
        <v/>
      </c>
      <c r="E124" s="75" t="str">
        <f>IF(A124="","",IFERROR(VLOOKUP(A124,Clientes_PDV!$A$2:$J$250,7,FALSE),""))</f>
        <v/>
      </c>
      <c r="F124" s="76" t="str">
        <f>IF(A124="","",IFERROR(VLOOKUP(A124,Clientes_PDV!$A$2:$J$250,8,FALSE),""))</f>
        <v/>
      </c>
      <c r="G124" s="77" t="str">
        <f t="shared" ca="1" si="4"/>
        <v/>
      </c>
      <c r="H124" s="75" t="str">
        <f>IF(A124="","",IF(F124="","Sin visita",IF(G124&lt;=IFERROR(VLOOKUP(E124,Inicio!$A$24:$B$26,2,FALSE),0),"Vigente","Atrasado")))</f>
        <v/>
      </c>
      <c r="I124" s="78" t="str">
        <f ca="1">IF(A124="","",SUMIFS(Ventas_SellIn!$L$2:$L$800,Ventas_SellIn!$D$2:$D$800,A124,Ventas_SellIn!$B$2:$B$800,"&gt;="&amp;TODAY()-Inicio!$B$14))</f>
        <v/>
      </c>
      <c r="J124" s="77" t="str">
        <f ca="1">IF(A124="","",SUMIFS(SellOut_Jumbo!$F$2:$F$800,SellOut_Jumbo!$C$2:$C$800,D124,SellOut_Jumbo!$A$2:$A$800,"&gt;="&amp;TODAY()-Inicio!$B$14))</f>
        <v/>
      </c>
      <c r="K124" s="75" t="str">
        <f>IF(A124="","",IF(I124=0,"Sin venta",IF(I124&lt;Inicio!$B$15,"Venta baja","Venta OK")))</f>
        <v/>
      </c>
      <c r="L124" s="77" t="str">
        <f>IF(A124="","",COUNTIFS(Ventas_SellIn!$D$2:$D$800,A124,Ventas_SellIn!$R$2:$R$800,"&gt;0"))</f>
        <v/>
      </c>
      <c r="M124" s="78" t="str">
        <f>IF(A124="","",SUMIFS(Ventas_SellIn!$R$2:$R$800,Ventas_SellIn!$D$2:$D$800,A124))</f>
        <v/>
      </c>
      <c r="N124" s="75" t="str">
        <f>IF(A124="","",IF(M124&gt;=Inicio!$B$18,"Pendiente relevante",IF(M124&gt;0,"Pendiente menor","Sin deuda")))</f>
        <v/>
      </c>
      <c r="O124" s="79" t="str">
        <f>IF(A124="","",SUMIFS(Stock_PDV!$H$2:$H$800,Stock_PDV!$A$2:$A$800,A124))</f>
        <v/>
      </c>
      <c r="P124" s="75" t="str">
        <f>IF(A124="","",IF(O124&lt;=Inicio!$B$16,"Crítico",IF(O124&lt;=Inicio!$B$17,"Observar","OK")))</f>
        <v/>
      </c>
      <c r="Q124" s="75" t="str">
        <f t="shared" si="5"/>
        <v/>
      </c>
      <c r="R124" s="75" t="str">
        <f t="shared" si="6"/>
        <v/>
      </c>
      <c r="S124" s="68" t="str">
        <f t="shared" si="7"/>
        <v/>
      </c>
      <c r="T124" s="68" t="str">
        <f>IF(A124="","",IFERROR(VLOOKUP(A124,Clientes_PDV!$A$2:$K$250,11,FALSE),""))</f>
        <v/>
      </c>
    </row>
    <row r="125" spans="1:20" x14ac:dyDescent="0.35">
      <c r="A125" s="80" t="str">
        <f>IF(Clientes_PDV!A125="","",Clientes_PDV!A125)</f>
        <v/>
      </c>
      <c r="B125" s="80" t="str">
        <f>IF(A125="","",IFERROR(VLOOKUP(A125,Clientes_PDV!$A$2:$J$250,2,FALSE),""))</f>
        <v/>
      </c>
      <c r="C125" s="80" t="str">
        <f>IF(A125="","",IFERROR(VLOOKUP(A125,Clientes_PDV!$A$2:$J$250,3,FALSE),""))</f>
        <v/>
      </c>
      <c r="D125" s="80" t="str">
        <f>IF(A125="","",IFERROR(VLOOKUP(A125,Clientes_PDV!$A$2:$J$250,4,FALSE),""))</f>
        <v/>
      </c>
      <c r="E125" s="80" t="str">
        <f>IF(A125="","",IFERROR(VLOOKUP(A125,Clientes_PDV!$A$2:$J$250,7,FALSE),""))</f>
        <v/>
      </c>
      <c r="F125" s="81" t="str">
        <f>IF(A125="","",IFERROR(VLOOKUP(A125,Clientes_PDV!$A$2:$J$250,8,FALSE),""))</f>
        <v/>
      </c>
      <c r="G125" s="82" t="str">
        <f t="shared" ca="1" si="4"/>
        <v/>
      </c>
      <c r="H125" s="80" t="str">
        <f>IF(A125="","",IF(F125="","Sin visita",IF(G125&lt;=IFERROR(VLOOKUP(E125,Inicio!$A$24:$B$26,2,FALSE),0),"Vigente","Atrasado")))</f>
        <v/>
      </c>
      <c r="I125" s="83" t="str">
        <f ca="1">IF(A125="","",SUMIFS(Ventas_SellIn!$L$2:$L$800,Ventas_SellIn!$D$2:$D$800,A125,Ventas_SellIn!$B$2:$B$800,"&gt;="&amp;TODAY()-Inicio!$B$14))</f>
        <v/>
      </c>
      <c r="J125" s="82" t="str">
        <f ca="1">IF(A125="","",SUMIFS(SellOut_Jumbo!$F$2:$F$800,SellOut_Jumbo!$C$2:$C$800,D125,SellOut_Jumbo!$A$2:$A$800,"&gt;="&amp;TODAY()-Inicio!$B$14))</f>
        <v/>
      </c>
      <c r="K125" s="80" t="str">
        <f>IF(A125="","",IF(I125=0,"Sin venta",IF(I125&lt;Inicio!$B$15,"Venta baja","Venta OK")))</f>
        <v/>
      </c>
      <c r="L125" s="82" t="str">
        <f>IF(A125="","",COUNTIFS(Ventas_SellIn!$D$2:$D$800,A125,Ventas_SellIn!$R$2:$R$800,"&gt;0"))</f>
        <v/>
      </c>
      <c r="M125" s="83" t="str">
        <f>IF(A125="","",SUMIFS(Ventas_SellIn!$R$2:$R$800,Ventas_SellIn!$D$2:$D$800,A125))</f>
        <v/>
      </c>
      <c r="N125" s="80" t="str">
        <f>IF(A125="","",IF(M125&gt;=Inicio!$B$18,"Pendiente relevante",IF(M125&gt;0,"Pendiente menor","Sin deuda")))</f>
        <v/>
      </c>
      <c r="O125" s="84" t="str">
        <f>IF(A125="","",SUMIFS(Stock_PDV!$H$2:$H$800,Stock_PDV!$A$2:$A$800,A125))</f>
        <v/>
      </c>
      <c r="P125" s="80" t="str">
        <f>IF(A125="","",IF(O125&lt;=Inicio!$B$16,"Crítico",IF(O125&lt;=Inicio!$B$17,"Observar","OK")))</f>
        <v/>
      </c>
      <c r="Q125" s="80" t="str">
        <f t="shared" si="5"/>
        <v/>
      </c>
      <c r="R125" s="80" t="str">
        <f t="shared" si="6"/>
        <v/>
      </c>
      <c r="S125" s="70" t="str">
        <f t="shared" si="7"/>
        <v/>
      </c>
      <c r="T125" s="70" t="str">
        <f>IF(A125="","",IFERROR(VLOOKUP(A125,Clientes_PDV!$A$2:$K$250,11,FALSE),""))</f>
        <v/>
      </c>
    </row>
    <row r="126" spans="1:20" x14ac:dyDescent="0.35">
      <c r="A126" s="75" t="str">
        <f>IF(Clientes_PDV!A126="","",Clientes_PDV!A126)</f>
        <v/>
      </c>
      <c r="B126" s="75" t="str">
        <f>IF(A126="","",IFERROR(VLOOKUP(A126,Clientes_PDV!$A$2:$J$250,2,FALSE),""))</f>
        <v/>
      </c>
      <c r="C126" s="75" t="str">
        <f>IF(A126="","",IFERROR(VLOOKUP(A126,Clientes_PDV!$A$2:$J$250,3,FALSE),""))</f>
        <v/>
      </c>
      <c r="D126" s="75" t="str">
        <f>IF(A126="","",IFERROR(VLOOKUP(A126,Clientes_PDV!$A$2:$J$250,4,FALSE),""))</f>
        <v/>
      </c>
      <c r="E126" s="75" t="str">
        <f>IF(A126="","",IFERROR(VLOOKUP(A126,Clientes_PDV!$A$2:$J$250,7,FALSE),""))</f>
        <v/>
      </c>
      <c r="F126" s="76" t="str">
        <f>IF(A126="","",IFERROR(VLOOKUP(A126,Clientes_PDV!$A$2:$J$250,8,FALSE),""))</f>
        <v/>
      </c>
      <c r="G126" s="77" t="str">
        <f t="shared" ca="1" si="4"/>
        <v/>
      </c>
      <c r="H126" s="75" t="str">
        <f>IF(A126="","",IF(F126="","Sin visita",IF(G126&lt;=IFERROR(VLOOKUP(E126,Inicio!$A$24:$B$26,2,FALSE),0),"Vigente","Atrasado")))</f>
        <v/>
      </c>
      <c r="I126" s="78" t="str">
        <f ca="1">IF(A126="","",SUMIFS(Ventas_SellIn!$L$2:$L$800,Ventas_SellIn!$D$2:$D$800,A126,Ventas_SellIn!$B$2:$B$800,"&gt;="&amp;TODAY()-Inicio!$B$14))</f>
        <v/>
      </c>
      <c r="J126" s="77" t="str">
        <f ca="1">IF(A126="","",SUMIFS(SellOut_Jumbo!$F$2:$F$800,SellOut_Jumbo!$C$2:$C$800,D126,SellOut_Jumbo!$A$2:$A$800,"&gt;="&amp;TODAY()-Inicio!$B$14))</f>
        <v/>
      </c>
      <c r="K126" s="75" t="str">
        <f>IF(A126="","",IF(I126=0,"Sin venta",IF(I126&lt;Inicio!$B$15,"Venta baja","Venta OK")))</f>
        <v/>
      </c>
      <c r="L126" s="77" t="str">
        <f>IF(A126="","",COUNTIFS(Ventas_SellIn!$D$2:$D$800,A126,Ventas_SellIn!$R$2:$R$800,"&gt;0"))</f>
        <v/>
      </c>
      <c r="M126" s="78" t="str">
        <f>IF(A126="","",SUMIFS(Ventas_SellIn!$R$2:$R$800,Ventas_SellIn!$D$2:$D$800,A126))</f>
        <v/>
      </c>
      <c r="N126" s="75" t="str">
        <f>IF(A126="","",IF(M126&gt;=Inicio!$B$18,"Pendiente relevante",IF(M126&gt;0,"Pendiente menor","Sin deuda")))</f>
        <v/>
      </c>
      <c r="O126" s="79" t="str">
        <f>IF(A126="","",SUMIFS(Stock_PDV!$H$2:$H$800,Stock_PDV!$A$2:$A$800,A126))</f>
        <v/>
      </c>
      <c r="P126" s="75" t="str">
        <f>IF(A126="","",IF(O126&lt;=Inicio!$B$16,"Crítico",IF(O126&lt;=Inicio!$B$17,"Observar","OK")))</f>
        <v/>
      </c>
      <c r="Q126" s="75" t="str">
        <f t="shared" si="5"/>
        <v/>
      </c>
      <c r="R126" s="75" t="str">
        <f t="shared" si="6"/>
        <v/>
      </c>
      <c r="S126" s="68" t="str">
        <f t="shared" si="7"/>
        <v/>
      </c>
      <c r="T126" s="68" t="str">
        <f>IF(A126="","",IFERROR(VLOOKUP(A126,Clientes_PDV!$A$2:$K$250,11,FALSE),""))</f>
        <v/>
      </c>
    </row>
    <row r="127" spans="1:20" x14ac:dyDescent="0.35">
      <c r="A127" s="80" t="str">
        <f>IF(Clientes_PDV!A127="","",Clientes_PDV!A127)</f>
        <v/>
      </c>
      <c r="B127" s="80" t="str">
        <f>IF(A127="","",IFERROR(VLOOKUP(A127,Clientes_PDV!$A$2:$J$250,2,FALSE),""))</f>
        <v/>
      </c>
      <c r="C127" s="80" t="str">
        <f>IF(A127="","",IFERROR(VLOOKUP(A127,Clientes_PDV!$A$2:$J$250,3,FALSE),""))</f>
        <v/>
      </c>
      <c r="D127" s="80" t="str">
        <f>IF(A127="","",IFERROR(VLOOKUP(A127,Clientes_PDV!$A$2:$J$250,4,FALSE),""))</f>
        <v/>
      </c>
      <c r="E127" s="80" t="str">
        <f>IF(A127="","",IFERROR(VLOOKUP(A127,Clientes_PDV!$A$2:$J$250,7,FALSE),""))</f>
        <v/>
      </c>
      <c r="F127" s="81" t="str">
        <f>IF(A127="","",IFERROR(VLOOKUP(A127,Clientes_PDV!$A$2:$J$250,8,FALSE),""))</f>
        <v/>
      </c>
      <c r="G127" s="82" t="str">
        <f t="shared" ca="1" si="4"/>
        <v/>
      </c>
      <c r="H127" s="80" t="str">
        <f>IF(A127="","",IF(F127="","Sin visita",IF(G127&lt;=IFERROR(VLOOKUP(E127,Inicio!$A$24:$B$26,2,FALSE),0),"Vigente","Atrasado")))</f>
        <v/>
      </c>
      <c r="I127" s="83" t="str">
        <f ca="1">IF(A127="","",SUMIFS(Ventas_SellIn!$L$2:$L$800,Ventas_SellIn!$D$2:$D$800,A127,Ventas_SellIn!$B$2:$B$800,"&gt;="&amp;TODAY()-Inicio!$B$14))</f>
        <v/>
      </c>
      <c r="J127" s="82" t="str">
        <f ca="1">IF(A127="","",SUMIFS(SellOut_Jumbo!$F$2:$F$800,SellOut_Jumbo!$C$2:$C$800,D127,SellOut_Jumbo!$A$2:$A$800,"&gt;="&amp;TODAY()-Inicio!$B$14))</f>
        <v/>
      </c>
      <c r="K127" s="80" t="str">
        <f>IF(A127="","",IF(I127=0,"Sin venta",IF(I127&lt;Inicio!$B$15,"Venta baja","Venta OK")))</f>
        <v/>
      </c>
      <c r="L127" s="82" t="str">
        <f>IF(A127="","",COUNTIFS(Ventas_SellIn!$D$2:$D$800,A127,Ventas_SellIn!$R$2:$R$800,"&gt;0"))</f>
        <v/>
      </c>
      <c r="M127" s="83" t="str">
        <f>IF(A127="","",SUMIFS(Ventas_SellIn!$R$2:$R$800,Ventas_SellIn!$D$2:$D$800,A127))</f>
        <v/>
      </c>
      <c r="N127" s="80" t="str">
        <f>IF(A127="","",IF(M127&gt;=Inicio!$B$18,"Pendiente relevante",IF(M127&gt;0,"Pendiente menor","Sin deuda")))</f>
        <v/>
      </c>
      <c r="O127" s="84" t="str">
        <f>IF(A127="","",SUMIFS(Stock_PDV!$H$2:$H$800,Stock_PDV!$A$2:$A$800,A127))</f>
        <v/>
      </c>
      <c r="P127" s="80" t="str">
        <f>IF(A127="","",IF(O127&lt;=Inicio!$B$16,"Crítico",IF(O127&lt;=Inicio!$B$17,"Observar","OK")))</f>
        <v/>
      </c>
      <c r="Q127" s="80" t="str">
        <f t="shared" si="5"/>
        <v/>
      </c>
      <c r="R127" s="80" t="str">
        <f t="shared" si="6"/>
        <v/>
      </c>
      <c r="S127" s="70" t="str">
        <f t="shared" si="7"/>
        <v/>
      </c>
      <c r="T127" s="70" t="str">
        <f>IF(A127="","",IFERROR(VLOOKUP(A127,Clientes_PDV!$A$2:$K$250,11,FALSE),""))</f>
        <v/>
      </c>
    </row>
    <row r="128" spans="1:20" x14ac:dyDescent="0.35">
      <c r="A128" s="75" t="str">
        <f>IF(Clientes_PDV!A128="","",Clientes_PDV!A128)</f>
        <v/>
      </c>
      <c r="B128" s="75" t="str">
        <f>IF(A128="","",IFERROR(VLOOKUP(A128,Clientes_PDV!$A$2:$J$250,2,FALSE),""))</f>
        <v/>
      </c>
      <c r="C128" s="75" t="str">
        <f>IF(A128="","",IFERROR(VLOOKUP(A128,Clientes_PDV!$A$2:$J$250,3,FALSE),""))</f>
        <v/>
      </c>
      <c r="D128" s="75" t="str">
        <f>IF(A128="","",IFERROR(VLOOKUP(A128,Clientes_PDV!$A$2:$J$250,4,FALSE),""))</f>
        <v/>
      </c>
      <c r="E128" s="75" t="str">
        <f>IF(A128="","",IFERROR(VLOOKUP(A128,Clientes_PDV!$A$2:$J$250,7,FALSE),""))</f>
        <v/>
      </c>
      <c r="F128" s="76" t="str">
        <f>IF(A128="","",IFERROR(VLOOKUP(A128,Clientes_PDV!$A$2:$J$250,8,FALSE),""))</f>
        <v/>
      </c>
      <c r="G128" s="77" t="str">
        <f t="shared" ca="1" si="4"/>
        <v/>
      </c>
      <c r="H128" s="75" t="str">
        <f>IF(A128="","",IF(F128="","Sin visita",IF(G128&lt;=IFERROR(VLOOKUP(E128,Inicio!$A$24:$B$26,2,FALSE),0),"Vigente","Atrasado")))</f>
        <v/>
      </c>
      <c r="I128" s="78" t="str">
        <f ca="1">IF(A128="","",SUMIFS(Ventas_SellIn!$L$2:$L$800,Ventas_SellIn!$D$2:$D$800,A128,Ventas_SellIn!$B$2:$B$800,"&gt;="&amp;TODAY()-Inicio!$B$14))</f>
        <v/>
      </c>
      <c r="J128" s="77" t="str">
        <f ca="1">IF(A128="","",SUMIFS(SellOut_Jumbo!$F$2:$F$800,SellOut_Jumbo!$C$2:$C$800,D128,SellOut_Jumbo!$A$2:$A$800,"&gt;="&amp;TODAY()-Inicio!$B$14))</f>
        <v/>
      </c>
      <c r="K128" s="75" t="str">
        <f>IF(A128="","",IF(I128=0,"Sin venta",IF(I128&lt;Inicio!$B$15,"Venta baja","Venta OK")))</f>
        <v/>
      </c>
      <c r="L128" s="77" t="str">
        <f>IF(A128="","",COUNTIFS(Ventas_SellIn!$D$2:$D$800,A128,Ventas_SellIn!$R$2:$R$800,"&gt;0"))</f>
        <v/>
      </c>
      <c r="M128" s="78" t="str">
        <f>IF(A128="","",SUMIFS(Ventas_SellIn!$R$2:$R$800,Ventas_SellIn!$D$2:$D$800,A128))</f>
        <v/>
      </c>
      <c r="N128" s="75" t="str">
        <f>IF(A128="","",IF(M128&gt;=Inicio!$B$18,"Pendiente relevante",IF(M128&gt;0,"Pendiente menor","Sin deuda")))</f>
        <v/>
      </c>
      <c r="O128" s="79" t="str">
        <f>IF(A128="","",SUMIFS(Stock_PDV!$H$2:$H$800,Stock_PDV!$A$2:$A$800,A128))</f>
        <v/>
      </c>
      <c r="P128" s="75" t="str">
        <f>IF(A128="","",IF(O128&lt;=Inicio!$B$16,"Crítico",IF(O128&lt;=Inicio!$B$17,"Observar","OK")))</f>
        <v/>
      </c>
      <c r="Q128" s="75" t="str">
        <f t="shared" si="5"/>
        <v/>
      </c>
      <c r="R128" s="75" t="str">
        <f t="shared" si="6"/>
        <v/>
      </c>
      <c r="S128" s="68" t="str">
        <f t="shared" si="7"/>
        <v/>
      </c>
      <c r="T128" s="68" t="str">
        <f>IF(A128="","",IFERROR(VLOOKUP(A128,Clientes_PDV!$A$2:$K$250,11,FALSE),""))</f>
        <v/>
      </c>
    </row>
    <row r="129" spans="1:20" x14ac:dyDescent="0.35">
      <c r="A129" s="80" t="str">
        <f>IF(Clientes_PDV!A129="","",Clientes_PDV!A129)</f>
        <v/>
      </c>
      <c r="B129" s="80" t="str">
        <f>IF(A129="","",IFERROR(VLOOKUP(A129,Clientes_PDV!$A$2:$J$250,2,FALSE),""))</f>
        <v/>
      </c>
      <c r="C129" s="80" t="str">
        <f>IF(A129="","",IFERROR(VLOOKUP(A129,Clientes_PDV!$A$2:$J$250,3,FALSE),""))</f>
        <v/>
      </c>
      <c r="D129" s="80" t="str">
        <f>IF(A129="","",IFERROR(VLOOKUP(A129,Clientes_PDV!$A$2:$J$250,4,FALSE),""))</f>
        <v/>
      </c>
      <c r="E129" s="80" t="str">
        <f>IF(A129="","",IFERROR(VLOOKUP(A129,Clientes_PDV!$A$2:$J$250,7,FALSE),""))</f>
        <v/>
      </c>
      <c r="F129" s="81" t="str">
        <f>IF(A129="","",IFERROR(VLOOKUP(A129,Clientes_PDV!$A$2:$J$250,8,FALSE),""))</f>
        <v/>
      </c>
      <c r="G129" s="82" t="str">
        <f t="shared" ca="1" si="4"/>
        <v/>
      </c>
      <c r="H129" s="80" t="str">
        <f>IF(A129="","",IF(F129="","Sin visita",IF(G129&lt;=IFERROR(VLOOKUP(E129,Inicio!$A$24:$B$26,2,FALSE),0),"Vigente","Atrasado")))</f>
        <v/>
      </c>
      <c r="I129" s="83" t="str">
        <f ca="1">IF(A129="","",SUMIFS(Ventas_SellIn!$L$2:$L$800,Ventas_SellIn!$D$2:$D$800,A129,Ventas_SellIn!$B$2:$B$800,"&gt;="&amp;TODAY()-Inicio!$B$14))</f>
        <v/>
      </c>
      <c r="J129" s="82" t="str">
        <f ca="1">IF(A129="","",SUMIFS(SellOut_Jumbo!$F$2:$F$800,SellOut_Jumbo!$C$2:$C$800,D129,SellOut_Jumbo!$A$2:$A$800,"&gt;="&amp;TODAY()-Inicio!$B$14))</f>
        <v/>
      </c>
      <c r="K129" s="80" t="str">
        <f>IF(A129="","",IF(I129=0,"Sin venta",IF(I129&lt;Inicio!$B$15,"Venta baja","Venta OK")))</f>
        <v/>
      </c>
      <c r="L129" s="82" t="str">
        <f>IF(A129="","",COUNTIFS(Ventas_SellIn!$D$2:$D$800,A129,Ventas_SellIn!$R$2:$R$800,"&gt;0"))</f>
        <v/>
      </c>
      <c r="M129" s="83" t="str">
        <f>IF(A129="","",SUMIFS(Ventas_SellIn!$R$2:$R$800,Ventas_SellIn!$D$2:$D$800,A129))</f>
        <v/>
      </c>
      <c r="N129" s="80" t="str">
        <f>IF(A129="","",IF(M129&gt;=Inicio!$B$18,"Pendiente relevante",IF(M129&gt;0,"Pendiente menor","Sin deuda")))</f>
        <v/>
      </c>
      <c r="O129" s="84" t="str">
        <f>IF(A129="","",SUMIFS(Stock_PDV!$H$2:$H$800,Stock_PDV!$A$2:$A$800,A129))</f>
        <v/>
      </c>
      <c r="P129" s="80" t="str">
        <f>IF(A129="","",IF(O129&lt;=Inicio!$B$16,"Crítico",IF(O129&lt;=Inicio!$B$17,"Observar","OK")))</f>
        <v/>
      </c>
      <c r="Q129" s="80" t="str">
        <f t="shared" si="5"/>
        <v/>
      </c>
      <c r="R129" s="80" t="str">
        <f t="shared" si="6"/>
        <v/>
      </c>
      <c r="S129" s="70" t="str">
        <f t="shared" si="7"/>
        <v/>
      </c>
      <c r="T129" s="70" t="str">
        <f>IF(A129="","",IFERROR(VLOOKUP(A129,Clientes_PDV!$A$2:$K$250,11,FALSE),""))</f>
        <v/>
      </c>
    </row>
    <row r="130" spans="1:20" x14ac:dyDescent="0.35">
      <c r="A130" s="75" t="str">
        <f>IF(Clientes_PDV!A130="","",Clientes_PDV!A130)</f>
        <v/>
      </c>
      <c r="B130" s="75" t="str">
        <f>IF(A130="","",IFERROR(VLOOKUP(A130,Clientes_PDV!$A$2:$J$250,2,FALSE),""))</f>
        <v/>
      </c>
      <c r="C130" s="75" t="str">
        <f>IF(A130="","",IFERROR(VLOOKUP(A130,Clientes_PDV!$A$2:$J$250,3,FALSE),""))</f>
        <v/>
      </c>
      <c r="D130" s="75" t="str">
        <f>IF(A130="","",IFERROR(VLOOKUP(A130,Clientes_PDV!$A$2:$J$250,4,FALSE),""))</f>
        <v/>
      </c>
      <c r="E130" s="75" t="str">
        <f>IF(A130="","",IFERROR(VLOOKUP(A130,Clientes_PDV!$A$2:$J$250,7,FALSE),""))</f>
        <v/>
      </c>
      <c r="F130" s="76" t="str">
        <f>IF(A130="","",IFERROR(VLOOKUP(A130,Clientes_PDV!$A$2:$J$250,8,FALSE),""))</f>
        <v/>
      </c>
      <c r="G130" s="77" t="str">
        <f t="shared" ref="G130:G193" ca="1" si="8">IF(F130="","",TODAY()-F130)</f>
        <v/>
      </c>
      <c r="H130" s="75" t="str">
        <f>IF(A130="","",IF(F130="","Sin visita",IF(G130&lt;=IFERROR(VLOOKUP(E130,Inicio!$A$24:$B$26,2,FALSE),0),"Vigente","Atrasado")))</f>
        <v/>
      </c>
      <c r="I130" s="78" t="str">
        <f ca="1">IF(A130="","",SUMIFS(Ventas_SellIn!$L$2:$L$800,Ventas_SellIn!$D$2:$D$800,A130,Ventas_SellIn!$B$2:$B$800,"&gt;="&amp;TODAY()-Inicio!$B$14))</f>
        <v/>
      </c>
      <c r="J130" s="77" t="str">
        <f ca="1">IF(A130="","",SUMIFS(SellOut_Jumbo!$F$2:$F$800,SellOut_Jumbo!$C$2:$C$800,D130,SellOut_Jumbo!$A$2:$A$800,"&gt;="&amp;TODAY()-Inicio!$B$14))</f>
        <v/>
      </c>
      <c r="K130" s="75" t="str">
        <f>IF(A130="","",IF(I130=0,"Sin venta",IF(I130&lt;Inicio!$B$15,"Venta baja","Venta OK")))</f>
        <v/>
      </c>
      <c r="L130" s="77" t="str">
        <f>IF(A130="","",COUNTIFS(Ventas_SellIn!$D$2:$D$800,A130,Ventas_SellIn!$R$2:$R$800,"&gt;0"))</f>
        <v/>
      </c>
      <c r="M130" s="78" t="str">
        <f>IF(A130="","",SUMIFS(Ventas_SellIn!$R$2:$R$800,Ventas_SellIn!$D$2:$D$800,A130))</f>
        <v/>
      </c>
      <c r="N130" s="75" t="str">
        <f>IF(A130="","",IF(M130&gt;=Inicio!$B$18,"Pendiente relevante",IF(M130&gt;0,"Pendiente menor","Sin deuda")))</f>
        <v/>
      </c>
      <c r="O130" s="79" t="str">
        <f>IF(A130="","",SUMIFS(Stock_PDV!$H$2:$H$800,Stock_PDV!$A$2:$A$800,A130))</f>
        <v/>
      </c>
      <c r="P130" s="75" t="str">
        <f>IF(A130="","",IF(O130&lt;=Inicio!$B$16,"Crítico",IF(O130&lt;=Inicio!$B$17,"Observar","OK")))</f>
        <v/>
      </c>
      <c r="Q130" s="75" t="str">
        <f t="shared" ref="Q130:Q193" si="9">IF(A130="","",IF(OR(H130="Atrasado",K130="Sin venta",N130="Pendiente relevante",P130="Crítico"),"Alta",IF(OR(K130="Venta baja",N130="Pendiente menor",P130="Observar"),"Media","Baja")))</f>
        <v/>
      </c>
      <c r="R130" s="75" t="str">
        <f t="shared" ref="R130:R193" si="10">IF(A130="","",IF(Q130="Alta","Gestionar esta semana",IF(Q130="Media","Hacer seguimiento","Mantener")))</f>
        <v/>
      </c>
      <c r="S130" s="68" t="str">
        <f t="shared" ref="S130:S193" si="11">IF(A130="","",IF(I130=0,"Sin venta",IF(I130&gt;=cfg_VentaAlta,"Alta",IF(I130&lt;cfg_VentaBaja,"Baja","Media"))))</f>
        <v/>
      </c>
      <c r="T130" s="68" t="str">
        <f>IF(A130="","",IFERROR(VLOOKUP(A130,Clientes_PDV!$A$2:$K$250,11,FALSE),""))</f>
        <v/>
      </c>
    </row>
    <row r="131" spans="1:20" x14ac:dyDescent="0.35">
      <c r="A131" s="80" t="str">
        <f>IF(Clientes_PDV!A131="","",Clientes_PDV!A131)</f>
        <v/>
      </c>
      <c r="B131" s="80" t="str">
        <f>IF(A131="","",IFERROR(VLOOKUP(A131,Clientes_PDV!$A$2:$J$250,2,FALSE),""))</f>
        <v/>
      </c>
      <c r="C131" s="80" t="str">
        <f>IF(A131="","",IFERROR(VLOOKUP(A131,Clientes_PDV!$A$2:$J$250,3,FALSE),""))</f>
        <v/>
      </c>
      <c r="D131" s="80" t="str">
        <f>IF(A131="","",IFERROR(VLOOKUP(A131,Clientes_PDV!$A$2:$J$250,4,FALSE),""))</f>
        <v/>
      </c>
      <c r="E131" s="80" t="str">
        <f>IF(A131="","",IFERROR(VLOOKUP(A131,Clientes_PDV!$A$2:$J$250,7,FALSE),""))</f>
        <v/>
      </c>
      <c r="F131" s="81" t="str">
        <f>IF(A131="","",IFERROR(VLOOKUP(A131,Clientes_PDV!$A$2:$J$250,8,FALSE),""))</f>
        <v/>
      </c>
      <c r="G131" s="82" t="str">
        <f t="shared" ca="1" si="8"/>
        <v/>
      </c>
      <c r="H131" s="80" t="str">
        <f>IF(A131="","",IF(F131="","Sin visita",IF(G131&lt;=IFERROR(VLOOKUP(E131,Inicio!$A$24:$B$26,2,FALSE),0),"Vigente","Atrasado")))</f>
        <v/>
      </c>
      <c r="I131" s="83" t="str">
        <f ca="1">IF(A131="","",SUMIFS(Ventas_SellIn!$L$2:$L$800,Ventas_SellIn!$D$2:$D$800,A131,Ventas_SellIn!$B$2:$B$800,"&gt;="&amp;TODAY()-Inicio!$B$14))</f>
        <v/>
      </c>
      <c r="J131" s="82" t="str">
        <f ca="1">IF(A131="","",SUMIFS(SellOut_Jumbo!$F$2:$F$800,SellOut_Jumbo!$C$2:$C$800,D131,SellOut_Jumbo!$A$2:$A$800,"&gt;="&amp;TODAY()-Inicio!$B$14))</f>
        <v/>
      </c>
      <c r="K131" s="80" t="str">
        <f>IF(A131="","",IF(I131=0,"Sin venta",IF(I131&lt;Inicio!$B$15,"Venta baja","Venta OK")))</f>
        <v/>
      </c>
      <c r="L131" s="82" t="str">
        <f>IF(A131="","",COUNTIFS(Ventas_SellIn!$D$2:$D$800,A131,Ventas_SellIn!$R$2:$R$800,"&gt;0"))</f>
        <v/>
      </c>
      <c r="M131" s="83" t="str">
        <f>IF(A131="","",SUMIFS(Ventas_SellIn!$R$2:$R$800,Ventas_SellIn!$D$2:$D$800,A131))</f>
        <v/>
      </c>
      <c r="N131" s="80" t="str">
        <f>IF(A131="","",IF(M131&gt;=Inicio!$B$18,"Pendiente relevante",IF(M131&gt;0,"Pendiente menor","Sin deuda")))</f>
        <v/>
      </c>
      <c r="O131" s="84" t="str">
        <f>IF(A131="","",SUMIFS(Stock_PDV!$H$2:$H$800,Stock_PDV!$A$2:$A$800,A131))</f>
        <v/>
      </c>
      <c r="P131" s="80" t="str">
        <f>IF(A131="","",IF(O131&lt;=Inicio!$B$16,"Crítico",IF(O131&lt;=Inicio!$B$17,"Observar","OK")))</f>
        <v/>
      </c>
      <c r="Q131" s="80" t="str">
        <f t="shared" si="9"/>
        <v/>
      </c>
      <c r="R131" s="80" t="str">
        <f t="shared" si="10"/>
        <v/>
      </c>
      <c r="S131" s="70" t="str">
        <f t="shared" si="11"/>
        <v/>
      </c>
      <c r="T131" s="70" t="str">
        <f>IF(A131="","",IFERROR(VLOOKUP(A131,Clientes_PDV!$A$2:$K$250,11,FALSE),""))</f>
        <v/>
      </c>
    </row>
    <row r="132" spans="1:20" x14ac:dyDescent="0.35">
      <c r="A132" s="75" t="str">
        <f>IF(Clientes_PDV!A132="","",Clientes_PDV!A132)</f>
        <v/>
      </c>
      <c r="B132" s="75" t="str">
        <f>IF(A132="","",IFERROR(VLOOKUP(A132,Clientes_PDV!$A$2:$J$250,2,FALSE),""))</f>
        <v/>
      </c>
      <c r="C132" s="75" t="str">
        <f>IF(A132="","",IFERROR(VLOOKUP(A132,Clientes_PDV!$A$2:$J$250,3,FALSE),""))</f>
        <v/>
      </c>
      <c r="D132" s="75" t="str">
        <f>IF(A132="","",IFERROR(VLOOKUP(A132,Clientes_PDV!$A$2:$J$250,4,FALSE),""))</f>
        <v/>
      </c>
      <c r="E132" s="75" t="str">
        <f>IF(A132="","",IFERROR(VLOOKUP(A132,Clientes_PDV!$A$2:$J$250,7,FALSE),""))</f>
        <v/>
      </c>
      <c r="F132" s="76" t="str">
        <f>IF(A132="","",IFERROR(VLOOKUP(A132,Clientes_PDV!$A$2:$J$250,8,FALSE),""))</f>
        <v/>
      </c>
      <c r="G132" s="77" t="str">
        <f t="shared" ca="1" si="8"/>
        <v/>
      </c>
      <c r="H132" s="75" t="str">
        <f>IF(A132="","",IF(F132="","Sin visita",IF(G132&lt;=IFERROR(VLOOKUP(E132,Inicio!$A$24:$B$26,2,FALSE),0),"Vigente","Atrasado")))</f>
        <v/>
      </c>
      <c r="I132" s="78" t="str">
        <f ca="1">IF(A132="","",SUMIFS(Ventas_SellIn!$L$2:$L$800,Ventas_SellIn!$D$2:$D$800,A132,Ventas_SellIn!$B$2:$B$800,"&gt;="&amp;TODAY()-Inicio!$B$14))</f>
        <v/>
      </c>
      <c r="J132" s="77" t="str">
        <f ca="1">IF(A132="","",SUMIFS(SellOut_Jumbo!$F$2:$F$800,SellOut_Jumbo!$C$2:$C$800,D132,SellOut_Jumbo!$A$2:$A$800,"&gt;="&amp;TODAY()-Inicio!$B$14))</f>
        <v/>
      </c>
      <c r="K132" s="75" t="str">
        <f>IF(A132="","",IF(I132=0,"Sin venta",IF(I132&lt;Inicio!$B$15,"Venta baja","Venta OK")))</f>
        <v/>
      </c>
      <c r="L132" s="77" t="str">
        <f>IF(A132="","",COUNTIFS(Ventas_SellIn!$D$2:$D$800,A132,Ventas_SellIn!$R$2:$R$800,"&gt;0"))</f>
        <v/>
      </c>
      <c r="M132" s="78" t="str">
        <f>IF(A132="","",SUMIFS(Ventas_SellIn!$R$2:$R$800,Ventas_SellIn!$D$2:$D$800,A132))</f>
        <v/>
      </c>
      <c r="N132" s="75" t="str">
        <f>IF(A132="","",IF(M132&gt;=Inicio!$B$18,"Pendiente relevante",IF(M132&gt;0,"Pendiente menor","Sin deuda")))</f>
        <v/>
      </c>
      <c r="O132" s="79" t="str">
        <f>IF(A132="","",SUMIFS(Stock_PDV!$H$2:$H$800,Stock_PDV!$A$2:$A$800,A132))</f>
        <v/>
      </c>
      <c r="P132" s="75" t="str">
        <f>IF(A132="","",IF(O132&lt;=Inicio!$B$16,"Crítico",IF(O132&lt;=Inicio!$B$17,"Observar","OK")))</f>
        <v/>
      </c>
      <c r="Q132" s="75" t="str">
        <f t="shared" si="9"/>
        <v/>
      </c>
      <c r="R132" s="75" t="str">
        <f t="shared" si="10"/>
        <v/>
      </c>
      <c r="S132" s="68" t="str">
        <f t="shared" si="11"/>
        <v/>
      </c>
      <c r="T132" s="68" t="str">
        <f>IF(A132="","",IFERROR(VLOOKUP(A132,Clientes_PDV!$A$2:$K$250,11,FALSE),""))</f>
        <v/>
      </c>
    </row>
    <row r="133" spans="1:20" x14ac:dyDescent="0.35">
      <c r="A133" s="80" t="str">
        <f>IF(Clientes_PDV!A133="","",Clientes_PDV!A133)</f>
        <v/>
      </c>
      <c r="B133" s="80" t="str">
        <f>IF(A133="","",IFERROR(VLOOKUP(A133,Clientes_PDV!$A$2:$J$250,2,FALSE),""))</f>
        <v/>
      </c>
      <c r="C133" s="80" t="str">
        <f>IF(A133="","",IFERROR(VLOOKUP(A133,Clientes_PDV!$A$2:$J$250,3,FALSE),""))</f>
        <v/>
      </c>
      <c r="D133" s="80" t="str">
        <f>IF(A133="","",IFERROR(VLOOKUP(A133,Clientes_PDV!$A$2:$J$250,4,FALSE),""))</f>
        <v/>
      </c>
      <c r="E133" s="80" t="str">
        <f>IF(A133="","",IFERROR(VLOOKUP(A133,Clientes_PDV!$A$2:$J$250,7,FALSE),""))</f>
        <v/>
      </c>
      <c r="F133" s="81" t="str">
        <f>IF(A133="","",IFERROR(VLOOKUP(A133,Clientes_PDV!$A$2:$J$250,8,FALSE),""))</f>
        <v/>
      </c>
      <c r="G133" s="82" t="str">
        <f t="shared" ca="1" si="8"/>
        <v/>
      </c>
      <c r="H133" s="80" t="str">
        <f>IF(A133="","",IF(F133="","Sin visita",IF(G133&lt;=IFERROR(VLOOKUP(E133,Inicio!$A$24:$B$26,2,FALSE),0),"Vigente","Atrasado")))</f>
        <v/>
      </c>
      <c r="I133" s="83" t="str">
        <f ca="1">IF(A133="","",SUMIFS(Ventas_SellIn!$L$2:$L$800,Ventas_SellIn!$D$2:$D$800,A133,Ventas_SellIn!$B$2:$B$800,"&gt;="&amp;TODAY()-Inicio!$B$14))</f>
        <v/>
      </c>
      <c r="J133" s="82" t="str">
        <f ca="1">IF(A133="","",SUMIFS(SellOut_Jumbo!$F$2:$F$800,SellOut_Jumbo!$C$2:$C$800,D133,SellOut_Jumbo!$A$2:$A$800,"&gt;="&amp;TODAY()-Inicio!$B$14))</f>
        <v/>
      </c>
      <c r="K133" s="80" t="str">
        <f>IF(A133="","",IF(I133=0,"Sin venta",IF(I133&lt;Inicio!$B$15,"Venta baja","Venta OK")))</f>
        <v/>
      </c>
      <c r="L133" s="82" t="str">
        <f>IF(A133="","",COUNTIFS(Ventas_SellIn!$D$2:$D$800,A133,Ventas_SellIn!$R$2:$R$800,"&gt;0"))</f>
        <v/>
      </c>
      <c r="M133" s="83" t="str">
        <f>IF(A133="","",SUMIFS(Ventas_SellIn!$R$2:$R$800,Ventas_SellIn!$D$2:$D$800,A133))</f>
        <v/>
      </c>
      <c r="N133" s="80" t="str">
        <f>IF(A133="","",IF(M133&gt;=Inicio!$B$18,"Pendiente relevante",IF(M133&gt;0,"Pendiente menor","Sin deuda")))</f>
        <v/>
      </c>
      <c r="O133" s="84" t="str">
        <f>IF(A133="","",SUMIFS(Stock_PDV!$H$2:$H$800,Stock_PDV!$A$2:$A$800,A133))</f>
        <v/>
      </c>
      <c r="P133" s="80" t="str">
        <f>IF(A133="","",IF(O133&lt;=Inicio!$B$16,"Crítico",IF(O133&lt;=Inicio!$B$17,"Observar","OK")))</f>
        <v/>
      </c>
      <c r="Q133" s="80" t="str">
        <f t="shared" si="9"/>
        <v/>
      </c>
      <c r="R133" s="80" t="str">
        <f t="shared" si="10"/>
        <v/>
      </c>
      <c r="S133" s="70" t="str">
        <f t="shared" si="11"/>
        <v/>
      </c>
      <c r="T133" s="70" t="str">
        <f>IF(A133="","",IFERROR(VLOOKUP(A133,Clientes_PDV!$A$2:$K$250,11,FALSE),""))</f>
        <v/>
      </c>
    </row>
    <row r="134" spans="1:20" x14ac:dyDescent="0.35">
      <c r="A134" s="75" t="str">
        <f>IF(Clientes_PDV!A134="","",Clientes_PDV!A134)</f>
        <v/>
      </c>
      <c r="B134" s="75" t="str">
        <f>IF(A134="","",IFERROR(VLOOKUP(A134,Clientes_PDV!$A$2:$J$250,2,FALSE),""))</f>
        <v/>
      </c>
      <c r="C134" s="75" t="str">
        <f>IF(A134="","",IFERROR(VLOOKUP(A134,Clientes_PDV!$A$2:$J$250,3,FALSE),""))</f>
        <v/>
      </c>
      <c r="D134" s="75" t="str">
        <f>IF(A134="","",IFERROR(VLOOKUP(A134,Clientes_PDV!$A$2:$J$250,4,FALSE),""))</f>
        <v/>
      </c>
      <c r="E134" s="75" t="str">
        <f>IF(A134="","",IFERROR(VLOOKUP(A134,Clientes_PDV!$A$2:$J$250,7,FALSE),""))</f>
        <v/>
      </c>
      <c r="F134" s="76" t="str">
        <f>IF(A134="","",IFERROR(VLOOKUP(A134,Clientes_PDV!$A$2:$J$250,8,FALSE),""))</f>
        <v/>
      </c>
      <c r="G134" s="77" t="str">
        <f t="shared" ca="1" si="8"/>
        <v/>
      </c>
      <c r="H134" s="75" t="str">
        <f>IF(A134="","",IF(F134="","Sin visita",IF(G134&lt;=IFERROR(VLOOKUP(E134,Inicio!$A$24:$B$26,2,FALSE),0),"Vigente","Atrasado")))</f>
        <v/>
      </c>
      <c r="I134" s="78" t="str">
        <f ca="1">IF(A134="","",SUMIFS(Ventas_SellIn!$L$2:$L$800,Ventas_SellIn!$D$2:$D$800,A134,Ventas_SellIn!$B$2:$B$800,"&gt;="&amp;TODAY()-Inicio!$B$14))</f>
        <v/>
      </c>
      <c r="J134" s="77" t="str">
        <f ca="1">IF(A134="","",SUMIFS(SellOut_Jumbo!$F$2:$F$800,SellOut_Jumbo!$C$2:$C$800,D134,SellOut_Jumbo!$A$2:$A$800,"&gt;="&amp;TODAY()-Inicio!$B$14))</f>
        <v/>
      </c>
      <c r="K134" s="75" t="str">
        <f>IF(A134="","",IF(I134=0,"Sin venta",IF(I134&lt;Inicio!$B$15,"Venta baja","Venta OK")))</f>
        <v/>
      </c>
      <c r="L134" s="77" t="str">
        <f>IF(A134="","",COUNTIFS(Ventas_SellIn!$D$2:$D$800,A134,Ventas_SellIn!$R$2:$R$800,"&gt;0"))</f>
        <v/>
      </c>
      <c r="M134" s="78" t="str">
        <f>IF(A134="","",SUMIFS(Ventas_SellIn!$R$2:$R$800,Ventas_SellIn!$D$2:$D$800,A134))</f>
        <v/>
      </c>
      <c r="N134" s="75" t="str">
        <f>IF(A134="","",IF(M134&gt;=Inicio!$B$18,"Pendiente relevante",IF(M134&gt;0,"Pendiente menor","Sin deuda")))</f>
        <v/>
      </c>
      <c r="O134" s="79" t="str">
        <f>IF(A134="","",SUMIFS(Stock_PDV!$H$2:$H$800,Stock_PDV!$A$2:$A$800,A134))</f>
        <v/>
      </c>
      <c r="P134" s="75" t="str">
        <f>IF(A134="","",IF(O134&lt;=Inicio!$B$16,"Crítico",IF(O134&lt;=Inicio!$B$17,"Observar","OK")))</f>
        <v/>
      </c>
      <c r="Q134" s="75" t="str">
        <f t="shared" si="9"/>
        <v/>
      </c>
      <c r="R134" s="75" t="str">
        <f t="shared" si="10"/>
        <v/>
      </c>
      <c r="S134" s="68" t="str">
        <f t="shared" si="11"/>
        <v/>
      </c>
      <c r="T134" s="68" t="str">
        <f>IF(A134="","",IFERROR(VLOOKUP(A134,Clientes_PDV!$A$2:$K$250,11,FALSE),""))</f>
        <v/>
      </c>
    </row>
    <row r="135" spans="1:20" x14ac:dyDescent="0.35">
      <c r="A135" s="80" t="str">
        <f>IF(Clientes_PDV!A135="","",Clientes_PDV!A135)</f>
        <v/>
      </c>
      <c r="B135" s="80" t="str">
        <f>IF(A135="","",IFERROR(VLOOKUP(A135,Clientes_PDV!$A$2:$J$250,2,FALSE),""))</f>
        <v/>
      </c>
      <c r="C135" s="80" t="str">
        <f>IF(A135="","",IFERROR(VLOOKUP(A135,Clientes_PDV!$A$2:$J$250,3,FALSE),""))</f>
        <v/>
      </c>
      <c r="D135" s="80" t="str">
        <f>IF(A135="","",IFERROR(VLOOKUP(A135,Clientes_PDV!$A$2:$J$250,4,FALSE),""))</f>
        <v/>
      </c>
      <c r="E135" s="80" t="str">
        <f>IF(A135="","",IFERROR(VLOOKUP(A135,Clientes_PDV!$A$2:$J$250,7,FALSE),""))</f>
        <v/>
      </c>
      <c r="F135" s="81" t="str">
        <f>IF(A135="","",IFERROR(VLOOKUP(A135,Clientes_PDV!$A$2:$J$250,8,FALSE),""))</f>
        <v/>
      </c>
      <c r="G135" s="82" t="str">
        <f t="shared" ca="1" si="8"/>
        <v/>
      </c>
      <c r="H135" s="80" t="str">
        <f>IF(A135="","",IF(F135="","Sin visita",IF(G135&lt;=IFERROR(VLOOKUP(E135,Inicio!$A$24:$B$26,2,FALSE),0),"Vigente","Atrasado")))</f>
        <v/>
      </c>
      <c r="I135" s="83" t="str">
        <f ca="1">IF(A135="","",SUMIFS(Ventas_SellIn!$L$2:$L$800,Ventas_SellIn!$D$2:$D$800,A135,Ventas_SellIn!$B$2:$B$800,"&gt;="&amp;TODAY()-Inicio!$B$14))</f>
        <v/>
      </c>
      <c r="J135" s="82" t="str">
        <f ca="1">IF(A135="","",SUMIFS(SellOut_Jumbo!$F$2:$F$800,SellOut_Jumbo!$C$2:$C$800,D135,SellOut_Jumbo!$A$2:$A$800,"&gt;="&amp;TODAY()-Inicio!$B$14))</f>
        <v/>
      </c>
      <c r="K135" s="80" t="str">
        <f>IF(A135="","",IF(I135=0,"Sin venta",IF(I135&lt;Inicio!$B$15,"Venta baja","Venta OK")))</f>
        <v/>
      </c>
      <c r="L135" s="82" t="str">
        <f>IF(A135="","",COUNTIFS(Ventas_SellIn!$D$2:$D$800,A135,Ventas_SellIn!$R$2:$R$800,"&gt;0"))</f>
        <v/>
      </c>
      <c r="M135" s="83" t="str">
        <f>IF(A135="","",SUMIFS(Ventas_SellIn!$R$2:$R$800,Ventas_SellIn!$D$2:$D$800,A135))</f>
        <v/>
      </c>
      <c r="N135" s="80" t="str">
        <f>IF(A135="","",IF(M135&gt;=Inicio!$B$18,"Pendiente relevante",IF(M135&gt;0,"Pendiente menor","Sin deuda")))</f>
        <v/>
      </c>
      <c r="O135" s="84" t="str">
        <f>IF(A135="","",SUMIFS(Stock_PDV!$H$2:$H$800,Stock_PDV!$A$2:$A$800,A135))</f>
        <v/>
      </c>
      <c r="P135" s="80" t="str">
        <f>IF(A135="","",IF(O135&lt;=Inicio!$B$16,"Crítico",IF(O135&lt;=Inicio!$B$17,"Observar","OK")))</f>
        <v/>
      </c>
      <c r="Q135" s="80" t="str">
        <f t="shared" si="9"/>
        <v/>
      </c>
      <c r="R135" s="80" t="str">
        <f t="shared" si="10"/>
        <v/>
      </c>
      <c r="S135" s="70" t="str">
        <f t="shared" si="11"/>
        <v/>
      </c>
      <c r="T135" s="70" t="str">
        <f>IF(A135="","",IFERROR(VLOOKUP(A135,Clientes_PDV!$A$2:$K$250,11,FALSE),""))</f>
        <v/>
      </c>
    </row>
    <row r="136" spans="1:20" x14ac:dyDescent="0.35">
      <c r="A136" s="75" t="str">
        <f>IF(Clientes_PDV!A136="","",Clientes_PDV!A136)</f>
        <v/>
      </c>
      <c r="B136" s="75" t="str">
        <f>IF(A136="","",IFERROR(VLOOKUP(A136,Clientes_PDV!$A$2:$J$250,2,FALSE),""))</f>
        <v/>
      </c>
      <c r="C136" s="75" t="str">
        <f>IF(A136="","",IFERROR(VLOOKUP(A136,Clientes_PDV!$A$2:$J$250,3,FALSE),""))</f>
        <v/>
      </c>
      <c r="D136" s="75" t="str">
        <f>IF(A136="","",IFERROR(VLOOKUP(A136,Clientes_PDV!$A$2:$J$250,4,FALSE),""))</f>
        <v/>
      </c>
      <c r="E136" s="75" t="str">
        <f>IF(A136="","",IFERROR(VLOOKUP(A136,Clientes_PDV!$A$2:$J$250,7,FALSE),""))</f>
        <v/>
      </c>
      <c r="F136" s="76" t="str">
        <f>IF(A136="","",IFERROR(VLOOKUP(A136,Clientes_PDV!$A$2:$J$250,8,FALSE),""))</f>
        <v/>
      </c>
      <c r="G136" s="77" t="str">
        <f t="shared" ca="1" si="8"/>
        <v/>
      </c>
      <c r="H136" s="75" t="str">
        <f>IF(A136="","",IF(F136="","Sin visita",IF(G136&lt;=IFERROR(VLOOKUP(E136,Inicio!$A$24:$B$26,2,FALSE),0),"Vigente","Atrasado")))</f>
        <v/>
      </c>
      <c r="I136" s="78" t="str">
        <f ca="1">IF(A136="","",SUMIFS(Ventas_SellIn!$L$2:$L$800,Ventas_SellIn!$D$2:$D$800,A136,Ventas_SellIn!$B$2:$B$800,"&gt;="&amp;TODAY()-Inicio!$B$14))</f>
        <v/>
      </c>
      <c r="J136" s="77" t="str">
        <f ca="1">IF(A136="","",SUMIFS(SellOut_Jumbo!$F$2:$F$800,SellOut_Jumbo!$C$2:$C$800,D136,SellOut_Jumbo!$A$2:$A$800,"&gt;="&amp;TODAY()-Inicio!$B$14))</f>
        <v/>
      </c>
      <c r="K136" s="75" t="str">
        <f>IF(A136="","",IF(I136=0,"Sin venta",IF(I136&lt;Inicio!$B$15,"Venta baja","Venta OK")))</f>
        <v/>
      </c>
      <c r="L136" s="77" t="str">
        <f>IF(A136="","",COUNTIFS(Ventas_SellIn!$D$2:$D$800,A136,Ventas_SellIn!$R$2:$R$800,"&gt;0"))</f>
        <v/>
      </c>
      <c r="M136" s="78" t="str">
        <f>IF(A136="","",SUMIFS(Ventas_SellIn!$R$2:$R$800,Ventas_SellIn!$D$2:$D$800,A136))</f>
        <v/>
      </c>
      <c r="N136" s="75" t="str">
        <f>IF(A136="","",IF(M136&gt;=Inicio!$B$18,"Pendiente relevante",IF(M136&gt;0,"Pendiente menor","Sin deuda")))</f>
        <v/>
      </c>
      <c r="O136" s="79" t="str">
        <f>IF(A136="","",SUMIFS(Stock_PDV!$H$2:$H$800,Stock_PDV!$A$2:$A$800,A136))</f>
        <v/>
      </c>
      <c r="P136" s="75" t="str">
        <f>IF(A136="","",IF(O136&lt;=Inicio!$B$16,"Crítico",IF(O136&lt;=Inicio!$B$17,"Observar","OK")))</f>
        <v/>
      </c>
      <c r="Q136" s="75" t="str">
        <f t="shared" si="9"/>
        <v/>
      </c>
      <c r="R136" s="75" t="str">
        <f t="shared" si="10"/>
        <v/>
      </c>
      <c r="S136" s="68" t="str">
        <f t="shared" si="11"/>
        <v/>
      </c>
      <c r="T136" s="68" t="str">
        <f>IF(A136="","",IFERROR(VLOOKUP(A136,Clientes_PDV!$A$2:$K$250,11,FALSE),""))</f>
        <v/>
      </c>
    </row>
    <row r="137" spans="1:20" x14ac:dyDescent="0.35">
      <c r="A137" s="80" t="str">
        <f>IF(Clientes_PDV!A137="","",Clientes_PDV!A137)</f>
        <v/>
      </c>
      <c r="B137" s="80" t="str">
        <f>IF(A137="","",IFERROR(VLOOKUP(A137,Clientes_PDV!$A$2:$J$250,2,FALSE),""))</f>
        <v/>
      </c>
      <c r="C137" s="80" t="str">
        <f>IF(A137="","",IFERROR(VLOOKUP(A137,Clientes_PDV!$A$2:$J$250,3,FALSE),""))</f>
        <v/>
      </c>
      <c r="D137" s="80" t="str">
        <f>IF(A137="","",IFERROR(VLOOKUP(A137,Clientes_PDV!$A$2:$J$250,4,FALSE),""))</f>
        <v/>
      </c>
      <c r="E137" s="80" t="str">
        <f>IF(A137="","",IFERROR(VLOOKUP(A137,Clientes_PDV!$A$2:$J$250,7,FALSE),""))</f>
        <v/>
      </c>
      <c r="F137" s="81" t="str">
        <f>IF(A137="","",IFERROR(VLOOKUP(A137,Clientes_PDV!$A$2:$J$250,8,FALSE),""))</f>
        <v/>
      </c>
      <c r="G137" s="82" t="str">
        <f t="shared" ca="1" si="8"/>
        <v/>
      </c>
      <c r="H137" s="80" t="str">
        <f>IF(A137="","",IF(F137="","Sin visita",IF(G137&lt;=IFERROR(VLOOKUP(E137,Inicio!$A$24:$B$26,2,FALSE),0),"Vigente","Atrasado")))</f>
        <v/>
      </c>
      <c r="I137" s="83" t="str">
        <f ca="1">IF(A137="","",SUMIFS(Ventas_SellIn!$L$2:$L$800,Ventas_SellIn!$D$2:$D$800,A137,Ventas_SellIn!$B$2:$B$800,"&gt;="&amp;TODAY()-Inicio!$B$14))</f>
        <v/>
      </c>
      <c r="J137" s="82" t="str">
        <f ca="1">IF(A137="","",SUMIFS(SellOut_Jumbo!$F$2:$F$800,SellOut_Jumbo!$C$2:$C$800,D137,SellOut_Jumbo!$A$2:$A$800,"&gt;="&amp;TODAY()-Inicio!$B$14))</f>
        <v/>
      </c>
      <c r="K137" s="80" t="str">
        <f>IF(A137="","",IF(I137=0,"Sin venta",IF(I137&lt;Inicio!$B$15,"Venta baja","Venta OK")))</f>
        <v/>
      </c>
      <c r="L137" s="82" t="str">
        <f>IF(A137="","",COUNTIFS(Ventas_SellIn!$D$2:$D$800,A137,Ventas_SellIn!$R$2:$R$800,"&gt;0"))</f>
        <v/>
      </c>
      <c r="M137" s="83" t="str">
        <f>IF(A137="","",SUMIFS(Ventas_SellIn!$R$2:$R$800,Ventas_SellIn!$D$2:$D$800,A137))</f>
        <v/>
      </c>
      <c r="N137" s="80" t="str">
        <f>IF(A137="","",IF(M137&gt;=Inicio!$B$18,"Pendiente relevante",IF(M137&gt;0,"Pendiente menor","Sin deuda")))</f>
        <v/>
      </c>
      <c r="O137" s="84" t="str">
        <f>IF(A137="","",SUMIFS(Stock_PDV!$H$2:$H$800,Stock_PDV!$A$2:$A$800,A137))</f>
        <v/>
      </c>
      <c r="P137" s="80" t="str">
        <f>IF(A137="","",IF(O137&lt;=Inicio!$B$16,"Crítico",IF(O137&lt;=Inicio!$B$17,"Observar","OK")))</f>
        <v/>
      </c>
      <c r="Q137" s="80" t="str">
        <f t="shared" si="9"/>
        <v/>
      </c>
      <c r="R137" s="80" t="str">
        <f t="shared" si="10"/>
        <v/>
      </c>
      <c r="S137" s="70" t="str">
        <f t="shared" si="11"/>
        <v/>
      </c>
      <c r="T137" s="70" t="str">
        <f>IF(A137="","",IFERROR(VLOOKUP(A137,Clientes_PDV!$A$2:$K$250,11,FALSE),""))</f>
        <v/>
      </c>
    </row>
    <row r="138" spans="1:20" x14ac:dyDescent="0.35">
      <c r="A138" s="75" t="str">
        <f>IF(Clientes_PDV!A138="","",Clientes_PDV!A138)</f>
        <v/>
      </c>
      <c r="B138" s="75" t="str">
        <f>IF(A138="","",IFERROR(VLOOKUP(A138,Clientes_PDV!$A$2:$J$250,2,FALSE),""))</f>
        <v/>
      </c>
      <c r="C138" s="75" t="str">
        <f>IF(A138="","",IFERROR(VLOOKUP(A138,Clientes_PDV!$A$2:$J$250,3,FALSE),""))</f>
        <v/>
      </c>
      <c r="D138" s="75" t="str">
        <f>IF(A138="","",IFERROR(VLOOKUP(A138,Clientes_PDV!$A$2:$J$250,4,FALSE),""))</f>
        <v/>
      </c>
      <c r="E138" s="75" t="str">
        <f>IF(A138="","",IFERROR(VLOOKUP(A138,Clientes_PDV!$A$2:$J$250,7,FALSE),""))</f>
        <v/>
      </c>
      <c r="F138" s="76" t="str">
        <f>IF(A138="","",IFERROR(VLOOKUP(A138,Clientes_PDV!$A$2:$J$250,8,FALSE),""))</f>
        <v/>
      </c>
      <c r="G138" s="77" t="str">
        <f t="shared" ca="1" si="8"/>
        <v/>
      </c>
      <c r="H138" s="75" t="str">
        <f>IF(A138="","",IF(F138="","Sin visita",IF(G138&lt;=IFERROR(VLOOKUP(E138,Inicio!$A$24:$B$26,2,FALSE),0),"Vigente","Atrasado")))</f>
        <v/>
      </c>
      <c r="I138" s="78" t="str">
        <f ca="1">IF(A138="","",SUMIFS(Ventas_SellIn!$L$2:$L$800,Ventas_SellIn!$D$2:$D$800,A138,Ventas_SellIn!$B$2:$B$800,"&gt;="&amp;TODAY()-Inicio!$B$14))</f>
        <v/>
      </c>
      <c r="J138" s="77" t="str">
        <f ca="1">IF(A138="","",SUMIFS(SellOut_Jumbo!$F$2:$F$800,SellOut_Jumbo!$C$2:$C$800,D138,SellOut_Jumbo!$A$2:$A$800,"&gt;="&amp;TODAY()-Inicio!$B$14))</f>
        <v/>
      </c>
      <c r="K138" s="75" t="str">
        <f>IF(A138="","",IF(I138=0,"Sin venta",IF(I138&lt;Inicio!$B$15,"Venta baja","Venta OK")))</f>
        <v/>
      </c>
      <c r="L138" s="77" t="str">
        <f>IF(A138="","",COUNTIFS(Ventas_SellIn!$D$2:$D$800,A138,Ventas_SellIn!$R$2:$R$800,"&gt;0"))</f>
        <v/>
      </c>
      <c r="M138" s="78" t="str">
        <f>IF(A138="","",SUMIFS(Ventas_SellIn!$R$2:$R$800,Ventas_SellIn!$D$2:$D$800,A138))</f>
        <v/>
      </c>
      <c r="N138" s="75" t="str">
        <f>IF(A138="","",IF(M138&gt;=Inicio!$B$18,"Pendiente relevante",IF(M138&gt;0,"Pendiente menor","Sin deuda")))</f>
        <v/>
      </c>
      <c r="O138" s="79" t="str">
        <f>IF(A138="","",SUMIFS(Stock_PDV!$H$2:$H$800,Stock_PDV!$A$2:$A$800,A138))</f>
        <v/>
      </c>
      <c r="P138" s="75" t="str">
        <f>IF(A138="","",IF(O138&lt;=Inicio!$B$16,"Crítico",IF(O138&lt;=Inicio!$B$17,"Observar","OK")))</f>
        <v/>
      </c>
      <c r="Q138" s="75" t="str">
        <f t="shared" si="9"/>
        <v/>
      </c>
      <c r="R138" s="75" t="str">
        <f t="shared" si="10"/>
        <v/>
      </c>
      <c r="S138" s="68" t="str">
        <f t="shared" si="11"/>
        <v/>
      </c>
      <c r="T138" s="68" t="str">
        <f>IF(A138="","",IFERROR(VLOOKUP(A138,Clientes_PDV!$A$2:$K$250,11,FALSE),""))</f>
        <v/>
      </c>
    </row>
    <row r="139" spans="1:20" x14ac:dyDescent="0.35">
      <c r="A139" s="80" t="str">
        <f>IF(Clientes_PDV!A139="","",Clientes_PDV!A139)</f>
        <v/>
      </c>
      <c r="B139" s="80" t="str">
        <f>IF(A139="","",IFERROR(VLOOKUP(A139,Clientes_PDV!$A$2:$J$250,2,FALSE),""))</f>
        <v/>
      </c>
      <c r="C139" s="80" t="str">
        <f>IF(A139="","",IFERROR(VLOOKUP(A139,Clientes_PDV!$A$2:$J$250,3,FALSE),""))</f>
        <v/>
      </c>
      <c r="D139" s="80" t="str">
        <f>IF(A139="","",IFERROR(VLOOKUP(A139,Clientes_PDV!$A$2:$J$250,4,FALSE),""))</f>
        <v/>
      </c>
      <c r="E139" s="80" t="str">
        <f>IF(A139="","",IFERROR(VLOOKUP(A139,Clientes_PDV!$A$2:$J$250,7,FALSE),""))</f>
        <v/>
      </c>
      <c r="F139" s="81" t="str">
        <f>IF(A139="","",IFERROR(VLOOKUP(A139,Clientes_PDV!$A$2:$J$250,8,FALSE),""))</f>
        <v/>
      </c>
      <c r="G139" s="82" t="str">
        <f t="shared" ca="1" si="8"/>
        <v/>
      </c>
      <c r="H139" s="80" t="str">
        <f>IF(A139="","",IF(F139="","Sin visita",IF(G139&lt;=IFERROR(VLOOKUP(E139,Inicio!$A$24:$B$26,2,FALSE),0),"Vigente","Atrasado")))</f>
        <v/>
      </c>
      <c r="I139" s="83" t="str">
        <f ca="1">IF(A139="","",SUMIFS(Ventas_SellIn!$L$2:$L$800,Ventas_SellIn!$D$2:$D$800,A139,Ventas_SellIn!$B$2:$B$800,"&gt;="&amp;TODAY()-Inicio!$B$14))</f>
        <v/>
      </c>
      <c r="J139" s="82" t="str">
        <f ca="1">IF(A139="","",SUMIFS(SellOut_Jumbo!$F$2:$F$800,SellOut_Jumbo!$C$2:$C$800,D139,SellOut_Jumbo!$A$2:$A$800,"&gt;="&amp;TODAY()-Inicio!$B$14))</f>
        <v/>
      </c>
      <c r="K139" s="80" t="str">
        <f>IF(A139="","",IF(I139=0,"Sin venta",IF(I139&lt;Inicio!$B$15,"Venta baja","Venta OK")))</f>
        <v/>
      </c>
      <c r="L139" s="82" t="str">
        <f>IF(A139="","",COUNTIFS(Ventas_SellIn!$D$2:$D$800,A139,Ventas_SellIn!$R$2:$R$800,"&gt;0"))</f>
        <v/>
      </c>
      <c r="M139" s="83" t="str">
        <f>IF(A139="","",SUMIFS(Ventas_SellIn!$R$2:$R$800,Ventas_SellIn!$D$2:$D$800,A139))</f>
        <v/>
      </c>
      <c r="N139" s="80" t="str">
        <f>IF(A139="","",IF(M139&gt;=Inicio!$B$18,"Pendiente relevante",IF(M139&gt;0,"Pendiente menor","Sin deuda")))</f>
        <v/>
      </c>
      <c r="O139" s="84" t="str">
        <f>IF(A139="","",SUMIFS(Stock_PDV!$H$2:$H$800,Stock_PDV!$A$2:$A$800,A139))</f>
        <v/>
      </c>
      <c r="P139" s="80" t="str">
        <f>IF(A139="","",IF(O139&lt;=Inicio!$B$16,"Crítico",IF(O139&lt;=Inicio!$B$17,"Observar","OK")))</f>
        <v/>
      </c>
      <c r="Q139" s="80" t="str">
        <f t="shared" si="9"/>
        <v/>
      </c>
      <c r="R139" s="80" t="str">
        <f t="shared" si="10"/>
        <v/>
      </c>
      <c r="S139" s="70" t="str">
        <f t="shared" si="11"/>
        <v/>
      </c>
      <c r="T139" s="70" t="str">
        <f>IF(A139="","",IFERROR(VLOOKUP(A139,Clientes_PDV!$A$2:$K$250,11,FALSE),""))</f>
        <v/>
      </c>
    </row>
    <row r="140" spans="1:20" x14ac:dyDescent="0.35">
      <c r="A140" s="75" t="str">
        <f>IF(Clientes_PDV!A140="","",Clientes_PDV!A140)</f>
        <v/>
      </c>
      <c r="B140" s="75" t="str">
        <f>IF(A140="","",IFERROR(VLOOKUP(A140,Clientes_PDV!$A$2:$J$250,2,FALSE),""))</f>
        <v/>
      </c>
      <c r="C140" s="75" t="str">
        <f>IF(A140="","",IFERROR(VLOOKUP(A140,Clientes_PDV!$A$2:$J$250,3,FALSE),""))</f>
        <v/>
      </c>
      <c r="D140" s="75" t="str">
        <f>IF(A140="","",IFERROR(VLOOKUP(A140,Clientes_PDV!$A$2:$J$250,4,FALSE),""))</f>
        <v/>
      </c>
      <c r="E140" s="75" t="str">
        <f>IF(A140="","",IFERROR(VLOOKUP(A140,Clientes_PDV!$A$2:$J$250,7,FALSE),""))</f>
        <v/>
      </c>
      <c r="F140" s="76" t="str">
        <f>IF(A140="","",IFERROR(VLOOKUP(A140,Clientes_PDV!$A$2:$J$250,8,FALSE),""))</f>
        <v/>
      </c>
      <c r="G140" s="77" t="str">
        <f t="shared" ca="1" si="8"/>
        <v/>
      </c>
      <c r="H140" s="75" t="str">
        <f>IF(A140="","",IF(F140="","Sin visita",IF(G140&lt;=IFERROR(VLOOKUP(E140,Inicio!$A$24:$B$26,2,FALSE),0),"Vigente","Atrasado")))</f>
        <v/>
      </c>
      <c r="I140" s="78" t="str">
        <f ca="1">IF(A140="","",SUMIFS(Ventas_SellIn!$L$2:$L$800,Ventas_SellIn!$D$2:$D$800,A140,Ventas_SellIn!$B$2:$B$800,"&gt;="&amp;TODAY()-Inicio!$B$14))</f>
        <v/>
      </c>
      <c r="J140" s="77" t="str">
        <f ca="1">IF(A140="","",SUMIFS(SellOut_Jumbo!$F$2:$F$800,SellOut_Jumbo!$C$2:$C$800,D140,SellOut_Jumbo!$A$2:$A$800,"&gt;="&amp;TODAY()-Inicio!$B$14))</f>
        <v/>
      </c>
      <c r="K140" s="75" t="str">
        <f>IF(A140="","",IF(I140=0,"Sin venta",IF(I140&lt;Inicio!$B$15,"Venta baja","Venta OK")))</f>
        <v/>
      </c>
      <c r="L140" s="77" t="str">
        <f>IF(A140="","",COUNTIFS(Ventas_SellIn!$D$2:$D$800,A140,Ventas_SellIn!$R$2:$R$800,"&gt;0"))</f>
        <v/>
      </c>
      <c r="M140" s="78" t="str">
        <f>IF(A140="","",SUMIFS(Ventas_SellIn!$R$2:$R$800,Ventas_SellIn!$D$2:$D$800,A140))</f>
        <v/>
      </c>
      <c r="N140" s="75" t="str">
        <f>IF(A140="","",IF(M140&gt;=Inicio!$B$18,"Pendiente relevante",IF(M140&gt;0,"Pendiente menor","Sin deuda")))</f>
        <v/>
      </c>
      <c r="O140" s="79" t="str">
        <f>IF(A140="","",SUMIFS(Stock_PDV!$H$2:$H$800,Stock_PDV!$A$2:$A$800,A140))</f>
        <v/>
      </c>
      <c r="P140" s="75" t="str">
        <f>IF(A140="","",IF(O140&lt;=Inicio!$B$16,"Crítico",IF(O140&lt;=Inicio!$B$17,"Observar","OK")))</f>
        <v/>
      </c>
      <c r="Q140" s="75" t="str">
        <f t="shared" si="9"/>
        <v/>
      </c>
      <c r="R140" s="75" t="str">
        <f t="shared" si="10"/>
        <v/>
      </c>
      <c r="S140" s="68" t="str">
        <f t="shared" si="11"/>
        <v/>
      </c>
      <c r="T140" s="68" t="str">
        <f>IF(A140="","",IFERROR(VLOOKUP(A140,Clientes_PDV!$A$2:$K$250,11,FALSE),""))</f>
        <v/>
      </c>
    </row>
    <row r="141" spans="1:20" x14ac:dyDescent="0.35">
      <c r="A141" s="80" t="str">
        <f>IF(Clientes_PDV!A141="","",Clientes_PDV!A141)</f>
        <v/>
      </c>
      <c r="B141" s="80" t="str">
        <f>IF(A141="","",IFERROR(VLOOKUP(A141,Clientes_PDV!$A$2:$J$250,2,FALSE),""))</f>
        <v/>
      </c>
      <c r="C141" s="80" t="str">
        <f>IF(A141="","",IFERROR(VLOOKUP(A141,Clientes_PDV!$A$2:$J$250,3,FALSE),""))</f>
        <v/>
      </c>
      <c r="D141" s="80" t="str">
        <f>IF(A141="","",IFERROR(VLOOKUP(A141,Clientes_PDV!$A$2:$J$250,4,FALSE),""))</f>
        <v/>
      </c>
      <c r="E141" s="80" t="str">
        <f>IF(A141="","",IFERROR(VLOOKUP(A141,Clientes_PDV!$A$2:$J$250,7,FALSE),""))</f>
        <v/>
      </c>
      <c r="F141" s="81" t="str">
        <f>IF(A141="","",IFERROR(VLOOKUP(A141,Clientes_PDV!$A$2:$J$250,8,FALSE),""))</f>
        <v/>
      </c>
      <c r="G141" s="82" t="str">
        <f t="shared" ca="1" si="8"/>
        <v/>
      </c>
      <c r="H141" s="80" t="str">
        <f>IF(A141="","",IF(F141="","Sin visita",IF(G141&lt;=IFERROR(VLOOKUP(E141,Inicio!$A$24:$B$26,2,FALSE),0),"Vigente","Atrasado")))</f>
        <v/>
      </c>
      <c r="I141" s="83" t="str">
        <f ca="1">IF(A141="","",SUMIFS(Ventas_SellIn!$L$2:$L$800,Ventas_SellIn!$D$2:$D$800,A141,Ventas_SellIn!$B$2:$B$800,"&gt;="&amp;TODAY()-Inicio!$B$14))</f>
        <v/>
      </c>
      <c r="J141" s="82" t="str">
        <f ca="1">IF(A141="","",SUMIFS(SellOut_Jumbo!$F$2:$F$800,SellOut_Jumbo!$C$2:$C$800,D141,SellOut_Jumbo!$A$2:$A$800,"&gt;="&amp;TODAY()-Inicio!$B$14))</f>
        <v/>
      </c>
      <c r="K141" s="80" t="str">
        <f>IF(A141="","",IF(I141=0,"Sin venta",IF(I141&lt;Inicio!$B$15,"Venta baja","Venta OK")))</f>
        <v/>
      </c>
      <c r="L141" s="82" t="str">
        <f>IF(A141="","",COUNTIFS(Ventas_SellIn!$D$2:$D$800,A141,Ventas_SellIn!$R$2:$R$800,"&gt;0"))</f>
        <v/>
      </c>
      <c r="M141" s="83" t="str">
        <f>IF(A141="","",SUMIFS(Ventas_SellIn!$R$2:$R$800,Ventas_SellIn!$D$2:$D$800,A141))</f>
        <v/>
      </c>
      <c r="N141" s="80" t="str">
        <f>IF(A141="","",IF(M141&gt;=Inicio!$B$18,"Pendiente relevante",IF(M141&gt;0,"Pendiente menor","Sin deuda")))</f>
        <v/>
      </c>
      <c r="O141" s="84" t="str">
        <f>IF(A141="","",SUMIFS(Stock_PDV!$H$2:$H$800,Stock_PDV!$A$2:$A$800,A141))</f>
        <v/>
      </c>
      <c r="P141" s="80" t="str">
        <f>IF(A141="","",IF(O141&lt;=Inicio!$B$16,"Crítico",IF(O141&lt;=Inicio!$B$17,"Observar","OK")))</f>
        <v/>
      </c>
      <c r="Q141" s="80" t="str">
        <f t="shared" si="9"/>
        <v/>
      </c>
      <c r="R141" s="80" t="str">
        <f t="shared" si="10"/>
        <v/>
      </c>
      <c r="S141" s="70" t="str">
        <f t="shared" si="11"/>
        <v/>
      </c>
      <c r="T141" s="70" t="str">
        <f>IF(A141="","",IFERROR(VLOOKUP(A141,Clientes_PDV!$A$2:$K$250,11,FALSE),""))</f>
        <v/>
      </c>
    </row>
    <row r="142" spans="1:20" x14ac:dyDescent="0.35">
      <c r="A142" s="75" t="str">
        <f>IF(Clientes_PDV!A142="","",Clientes_PDV!A142)</f>
        <v/>
      </c>
      <c r="B142" s="75" t="str">
        <f>IF(A142="","",IFERROR(VLOOKUP(A142,Clientes_PDV!$A$2:$J$250,2,FALSE),""))</f>
        <v/>
      </c>
      <c r="C142" s="75" t="str">
        <f>IF(A142="","",IFERROR(VLOOKUP(A142,Clientes_PDV!$A$2:$J$250,3,FALSE),""))</f>
        <v/>
      </c>
      <c r="D142" s="75" t="str">
        <f>IF(A142="","",IFERROR(VLOOKUP(A142,Clientes_PDV!$A$2:$J$250,4,FALSE),""))</f>
        <v/>
      </c>
      <c r="E142" s="75" t="str">
        <f>IF(A142="","",IFERROR(VLOOKUP(A142,Clientes_PDV!$A$2:$J$250,7,FALSE),""))</f>
        <v/>
      </c>
      <c r="F142" s="76" t="str">
        <f>IF(A142="","",IFERROR(VLOOKUP(A142,Clientes_PDV!$A$2:$J$250,8,FALSE),""))</f>
        <v/>
      </c>
      <c r="G142" s="77" t="str">
        <f t="shared" ca="1" si="8"/>
        <v/>
      </c>
      <c r="H142" s="75" t="str">
        <f>IF(A142="","",IF(F142="","Sin visita",IF(G142&lt;=IFERROR(VLOOKUP(E142,Inicio!$A$24:$B$26,2,FALSE),0),"Vigente","Atrasado")))</f>
        <v/>
      </c>
      <c r="I142" s="78" t="str">
        <f ca="1">IF(A142="","",SUMIFS(Ventas_SellIn!$L$2:$L$800,Ventas_SellIn!$D$2:$D$800,A142,Ventas_SellIn!$B$2:$B$800,"&gt;="&amp;TODAY()-Inicio!$B$14))</f>
        <v/>
      </c>
      <c r="J142" s="77" t="str">
        <f ca="1">IF(A142="","",SUMIFS(SellOut_Jumbo!$F$2:$F$800,SellOut_Jumbo!$C$2:$C$800,D142,SellOut_Jumbo!$A$2:$A$800,"&gt;="&amp;TODAY()-Inicio!$B$14))</f>
        <v/>
      </c>
      <c r="K142" s="75" t="str">
        <f>IF(A142="","",IF(I142=0,"Sin venta",IF(I142&lt;Inicio!$B$15,"Venta baja","Venta OK")))</f>
        <v/>
      </c>
      <c r="L142" s="77" t="str">
        <f>IF(A142="","",COUNTIFS(Ventas_SellIn!$D$2:$D$800,A142,Ventas_SellIn!$R$2:$R$800,"&gt;0"))</f>
        <v/>
      </c>
      <c r="M142" s="78" t="str">
        <f>IF(A142="","",SUMIFS(Ventas_SellIn!$R$2:$R$800,Ventas_SellIn!$D$2:$D$800,A142))</f>
        <v/>
      </c>
      <c r="N142" s="75" t="str">
        <f>IF(A142="","",IF(M142&gt;=Inicio!$B$18,"Pendiente relevante",IF(M142&gt;0,"Pendiente menor","Sin deuda")))</f>
        <v/>
      </c>
      <c r="O142" s="79" t="str">
        <f>IF(A142="","",SUMIFS(Stock_PDV!$H$2:$H$800,Stock_PDV!$A$2:$A$800,A142))</f>
        <v/>
      </c>
      <c r="P142" s="75" t="str">
        <f>IF(A142="","",IF(O142&lt;=Inicio!$B$16,"Crítico",IF(O142&lt;=Inicio!$B$17,"Observar","OK")))</f>
        <v/>
      </c>
      <c r="Q142" s="75" t="str">
        <f t="shared" si="9"/>
        <v/>
      </c>
      <c r="R142" s="75" t="str">
        <f t="shared" si="10"/>
        <v/>
      </c>
      <c r="S142" s="68" t="str">
        <f t="shared" si="11"/>
        <v/>
      </c>
      <c r="T142" s="68" t="str">
        <f>IF(A142="","",IFERROR(VLOOKUP(A142,Clientes_PDV!$A$2:$K$250,11,FALSE),""))</f>
        <v/>
      </c>
    </row>
    <row r="143" spans="1:20" x14ac:dyDescent="0.35">
      <c r="A143" s="80" t="str">
        <f>IF(Clientes_PDV!A143="","",Clientes_PDV!A143)</f>
        <v/>
      </c>
      <c r="B143" s="80" t="str">
        <f>IF(A143="","",IFERROR(VLOOKUP(A143,Clientes_PDV!$A$2:$J$250,2,FALSE),""))</f>
        <v/>
      </c>
      <c r="C143" s="80" t="str">
        <f>IF(A143="","",IFERROR(VLOOKUP(A143,Clientes_PDV!$A$2:$J$250,3,FALSE),""))</f>
        <v/>
      </c>
      <c r="D143" s="80" t="str">
        <f>IF(A143="","",IFERROR(VLOOKUP(A143,Clientes_PDV!$A$2:$J$250,4,FALSE),""))</f>
        <v/>
      </c>
      <c r="E143" s="80" t="str">
        <f>IF(A143="","",IFERROR(VLOOKUP(A143,Clientes_PDV!$A$2:$J$250,7,FALSE),""))</f>
        <v/>
      </c>
      <c r="F143" s="81" t="str">
        <f>IF(A143="","",IFERROR(VLOOKUP(A143,Clientes_PDV!$A$2:$J$250,8,FALSE),""))</f>
        <v/>
      </c>
      <c r="G143" s="82" t="str">
        <f t="shared" ca="1" si="8"/>
        <v/>
      </c>
      <c r="H143" s="80" t="str">
        <f>IF(A143="","",IF(F143="","Sin visita",IF(G143&lt;=IFERROR(VLOOKUP(E143,Inicio!$A$24:$B$26,2,FALSE),0),"Vigente","Atrasado")))</f>
        <v/>
      </c>
      <c r="I143" s="83" t="str">
        <f ca="1">IF(A143="","",SUMIFS(Ventas_SellIn!$L$2:$L$800,Ventas_SellIn!$D$2:$D$800,A143,Ventas_SellIn!$B$2:$B$800,"&gt;="&amp;TODAY()-Inicio!$B$14))</f>
        <v/>
      </c>
      <c r="J143" s="82" t="str">
        <f ca="1">IF(A143="","",SUMIFS(SellOut_Jumbo!$F$2:$F$800,SellOut_Jumbo!$C$2:$C$800,D143,SellOut_Jumbo!$A$2:$A$800,"&gt;="&amp;TODAY()-Inicio!$B$14))</f>
        <v/>
      </c>
      <c r="K143" s="80" t="str">
        <f>IF(A143="","",IF(I143=0,"Sin venta",IF(I143&lt;Inicio!$B$15,"Venta baja","Venta OK")))</f>
        <v/>
      </c>
      <c r="L143" s="82" t="str">
        <f>IF(A143="","",COUNTIFS(Ventas_SellIn!$D$2:$D$800,A143,Ventas_SellIn!$R$2:$R$800,"&gt;0"))</f>
        <v/>
      </c>
      <c r="M143" s="83" t="str">
        <f>IF(A143="","",SUMIFS(Ventas_SellIn!$R$2:$R$800,Ventas_SellIn!$D$2:$D$800,A143))</f>
        <v/>
      </c>
      <c r="N143" s="80" t="str">
        <f>IF(A143="","",IF(M143&gt;=Inicio!$B$18,"Pendiente relevante",IF(M143&gt;0,"Pendiente menor","Sin deuda")))</f>
        <v/>
      </c>
      <c r="O143" s="84" t="str">
        <f>IF(A143="","",SUMIFS(Stock_PDV!$H$2:$H$800,Stock_PDV!$A$2:$A$800,A143))</f>
        <v/>
      </c>
      <c r="P143" s="80" t="str">
        <f>IF(A143="","",IF(O143&lt;=Inicio!$B$16,"Crítico",IF(O143&lt;=Inicio!$B$17,"Observar","OK")))</f>
        <v/>
      </c>
      <c r="Q143" s="80" t="str">
        <f t="shared" si="9"/>
        <v/>
      </c>
      <c r="R143" s="80" t="str">
        <f t="shared" si="10"/>
        <v/>
      </c>
      <c r="S143" s="70" t="str">
        <f t="shared" si="11"/>
        <v/>
      </c>
      <c r="T143" s="70" t="str">
        <f>IF(A143="","",IFERROR(VLOOKUP(A143,Clientes_PDV!$A$2:$K$250,11,FALSE),""))</f>
        <v/>
      </c>
    </row>
    <row r="144" spans="1:20" x14ac:dyDescent="0.35">
      <c r="A144" s="75" t="str">
        <f>IF(Clientes_PDV!A144="","",Clientes_PDV!A144)</f>
        <v/>
      </c>
      <c r="B144" s="75" t="str">
        <f>IF(A144="","",IFERROR(VLOOKUP(A144,Clientes_PDV!$A$2:$J$250,2,FALSE),""))</f>
        <v/>
      </c>
      <c r="C144" s="75" t="str">
        <f>IF(A144="","",IFERROR(VLOOKUP(A144,Clientes_PDV!$A$2:$J$250,3,FALSE),""))</f>
        <v/>
      </c>
      <c r="D144" s="75" t="str">
        <f>IF(A144="","",IFERROR(VLOOKUP(A144,Clientes_PDV!$A$2:$J$250,4,FALSE),""))</f>
        <v/>
      </c>
      <c r="E144" s="75" t="str">
        <f>IF(A144="","",IFERROR(VLOOKUP(A144,Clientes_PDV!$A$2:$J$250,7,FALSE),""))</f>
        <v/>
      </c>
      <c r="F144" s="76" t="str">
        <f>IF(A144="","",IFERROR(VLOOKUP(A144,Clientes_PDV!$A$2:$J$250,8,FALSE),""))</f>
        <v/>
      </c>
      <c r="G144" s="77" t="str">
        <f t="shared" ca="1" si="8"/>
        <v/>
      </c>
      <c r="H144" s="75" t="str">
        <f>IF(A144="","",IF(F144="","Sin visita",IF(G144&lt;=IFERROR(VLOOKUP(E144,Inicio!$A$24:$B$26,2,FALSE),0),"Vigente","Atrasado")))</f>
        <v/>
      </c>
      <c r="I144" s="78" t="str">
        <f ca="1">IF(A144="","",SUMIFS(Ventas_SellIn!$L$2:$L$800,Ventas_SellIn!$D$2:$D$800,A144,Ventas_SellIn!$B$2:$B$800,"&gt;="&amp;TODAY()-Inicio!$B$14))</f>
        <v/>
      </c>
      <c r="J144" s="77" t="str">
        <f ca="1">IF(A144="","",SUMIFS(SellOut_Jumbo!$F$2:$F$800,SellOut_Jumbo!$C$2:$C$800,D144,SellOut_Jumbo!$A$2:$A$800,"&gt;="&amp;TODAY()-Inicio!$B$14))</f>
        <v/>
      </c>
      <c r="K144" s="75" t="str">
        <f>IF(A144="","",IF(I144=0,"Sin venta",IF(I144&lt;Inicio!$B$15,"Venta baja","Venta OK")))</f>
        <v/>
      </c>
      <c r="L144" s="77" t="str">
        <f>IF(A144="","",COUNTIFS(Ventas_SellIn!$D$2:$D$800,A144,Ventas_SellIn!$R$2:$R$800,"&gt;0"))</f>
        <v/>
      </c>
      <c r="M144" s="78" t="str">
        <f>IF(A144="","",SUMIFS(Ventas_SellIn!$R$2:$R$800,Ventas_SellIn!$D$2:$D$800,A144))</f>
        <v/>
      </c>
      <c r="N144" s="75" t="str">
        <f>IF(A144="","",IF(M144&gt;=Inicio!$B$18,"Pendiente relevante",IF(M144&gt;0,"Pendiente menor","Sin deuda")))</f>
        <v/>
      </c>
      <c r="O144" s="79" t="str">
        <f>IF(A144="","",SUMIFS(Stock_PDV!$H$2:$H$800,Stock_PDV!$A$2:$A$800,A144))</f>
        <v/>
      </c>
      <c r="P144" s="75" t="str">
        <f>IF(A144="","",IF(O144&lt;=Inicio!$B$16,"Crítico",IF(O144&lt;=Inicio!$B$17,"Observar","OK")))</f>
        <v/>
      </c>
      <c r="Q144" s="75" t="str">
        <f t="shared" si="9"/>
        <v/>
      </c>
      <c r="R144" s="75" t="str">
        <f t="shared" si="10"/>
        <v/>
      </c>
      <c r="S144" s="68" t="str">
        <f t="shared" si="11"/>
        <v/>
      </c>
      <c r="T144" s="68" t="str">
        <f>IF(A144="","",IFERROR(VLOOKUP(A144,Clientes_PDV!$A$2:$K$250,11,FALSE),""))</f>
        <v/>
      </c>
    </row>
    <row r="145" spans="1:20" x14ac:dyDescent="0.35">
      <c r="A145" s="80" t="str">
        <f>IF(Clientes_PDV!A145="","",Clientes_PDV!A145)</f>
        <v/>
      </c>
      <c r="B145" s="80" t="str">
        <f>IF(A145="","",IFERROR(VLOOKUP(A145,Clientes_PDV!$A$2:$J$250,2,FALSE),""))</f>
        <v/>
      </c>
      <c r="C145" s="80" t="str">
        <f>IF(A145="","",IFERROR(VLOOKUP(A145,Clientes_PDV!$A$2:$J$250,3,FALSE),""))</f>
        <v/>
      </c>
      <c r="D145" s="80" t="str">
        <f>IF(A145="","",IFERROR(VLOOKUP(A145,Clientes_PDV!$A$2:$J$250,4,FALSE),""))</f>
        <v/>
      </c>
      <c r="E145" s="80" t="str">
        <f>IF(A145="","",IFERROR(VLOOKUP(A145,Clientes_PDV!$A$2:$J$250,7,FALSE),""))</f>
        <v/>
      </c>
      <c r="F145" s="81" t="str">
        <f>IF(A145="","",IFERROR(VLOOKUP(A145,Clientes_PDV!$A$2:$J$250,8,FALSE),""))</f>
        <v/>
      </c>
      <c r="G145" s="82" t="str">
        <f t="shared" ca="1" si="8"/>
        <v/>
      </c>
      <c r="H145" s="80" t="str">
        <f>IF(A145="","",IF(F145="","Sin visita",IF(G145&lt;=IFERROR(VLOOKUP(E145,Inicio!$A$24:$B$26,2,FALSE),0),"Vigente","Atrasado")))</f>
        <v/>
      </c>
      <c r="I145" s="83" t="str">
        <f ca="1">IF(A145="","",SUMIFS(Ventas_SellIn!$L$2:$L$800,Ventas_SellIn!$D$2:$D$800,A145,Ventas_SellIn!$B$2:$B$800,"&gt;="&amp;TODAY()-Inicio!$B$14))</f>
        <v/>
      </c>
      <c r="J145" s="82" t="str">
        <f ca="1">IF(A145="","",SUMIFS(SellOut_Jumbo!$F$2:$F$800,SellOut_Jumbo!$C$2:$C$800,D145,SellOut_Jumbo!$A$2:$A$800,"&gt;="&amp;TODAY()-Inicio!$B$14))</f>
        <v/>
      </c>
      <c r="K145" s="80" t="str">
        <f>IF(A145="","",IF(I145=0,"Sin venta",IF(I145&lt;Inicio!$B$15,"Venta baja","Venta OK")))</f>
        <v/>
      </c>
      <c r="L145" s="82" t="str">
        <f>IF(A145="","",COUNTIFS(Ventas_SellIn!$D$2:$D$800,A145,Ventas_SellIn!$R$2:$R$800,"&gt;0"))</f>
        <v/>
      </c>
      <c r="M145" s="83" t="str">
        <f>IF(A145="","",SUMIFS(Ventas_SellIn!$R$2:$R$800,Ventas_SellIn!$D$2:$D$800,A145))</f>
        <v/>
      </c>
      <c r="N145" s="80" t="str">
        <f>IF(A145="","",IF(M145&gt;=Inicio!$B$18,"Pendiente relevante",IF(M145&gt;0,"Pendiente menor","Sin deuda")))</f>
        <v/>
      </c>
      <c r="O145" s="84" t="str">
        <f>IF(A145="","",SUMIFS(Stock_PDV!$H$2:$H$800,Stock_PDV!$A$2:$A$800,A145))</f>
        <v/>
      </c>
      <c r="P145" s="80" t="str">
        <f>IF(A145="","",IF(O145&lt;=Inicio!$B$16,"Crítico",IF(O145&lt;=Inicio!$B$17,"Observar","OK")))</f>
        <v/>
      </c>
      <c r="Q145" s="80" t="str">
        <f t="shared" si="9"/>
        <v/>
      </c>
      <c r="R145" s="80" t="str">
        <f t="shared" si="10"/>
        <v/>
      </c>
      <c r="S145" s="70" t="str">
        <f t="shared" si="11"/>
        <v/>
      </c>
      <c r="T145" s="70" t="str">
        <f>IF(A145="","",IFERROR(VLOOKUP(A145,Clientes_PDV!$A$2:$K$250,11,FALSE),""))</f>
        <v/>
      </c>
    </row>
    <row r="146" spans="1:20" x14ac:dyDescent="0.35">
      <c r="A146" s="75" t="str">
        <f>IF(Clientes_PDV!A146="","",Clientes_PDV!A146)</f>
        <v/>
      </c>
      <c r="B146" s="75" t="str">
        <f>IF(A146="","",IFERROR(VLOOKUP(A146,Clientes_PDV!$A$2:$J$250,2,FALSE),""))</f>
        <v/>
      </c>
      <c r="C146" s="75" t="str">
        <f>IF(A146="","",IFERROR(VLOOKUP(A146,Clientes_PDV!$A$2:$J$250,3,FALSE),""))</f>
        <v/>
      </c>
      <c r="D146" s="75" t="str">
        <f>IF(A146="","",IFERROR(VLOOKUP(A146,Clientes_PDV!$A$2:$J$250,4,FALSE),""))</f>
        <v/>
      </c>
      <c r="E146" s="75" t="str">
        <f>IF(A146="","",IFERROR(VLOOKUP(A146,Clientes_PDV!$A$2:$J$250,7,FALSE),""))</f>
        <v/>
      </c>
      <c r="F146" s="76" t="str">
        <f>IF(A146="","",IFERROR(VLOOKUP(A146,Clientes_PDV!$A$2:$J$250,8,FALSE),""))</f>
        <v/>
      </c>
      <c r="G146" s="77" t="str">
        <f t="shared" ca="1" si="8"/>
        <v/>
      </c>
      <c r="H146" s="75" t="str">
        <f>IF(A146="","",IF(F146="","Sin visita",IF(G146&lt;=IFERROR(VLOOKUP(E146,Inicio!$A$24:$B$26,2,FALSE),0),"Vigente","Atrasado")))</f>
        <v/>
      </c>
      <c r="I146" s="78" t="str">
        <f ca="1">IF(A146="","",SUMIFS(Ventas_SellIn!$L$2:$L$800,Ventas_SellIn!$D$2:$D$800,A146,Ventas_SellIn!$B$2:$B$800,"&gt;="&amp;TODAY()-Inicio!$B$14))</f>
        <v/>
      </c>
      <c r="J146" s="77" t="str">
        <f ca="1">IF(A146="","",SUMIFS(SellOut_Jumbo!$F$2:$F$800,SellOut_Jumbo!$C$2:$C$800,D146,SellOut_Jumbo!$A$2:$A$800,"&gt;="&amp;TODAY()-Inicio!$B$14))</f>
        <v/>
      </c>
      <c r="K146" s="75" t="str">
        <f>IF(A146="","",IF(I146=0,"Sin venta",IF(I146&lt;Inicio!$B$15,"Venta baja","Venta OK")))</f>
        <v/>
      </c>
      <c r="L146" s="77" t="str">
        <f>IF(A146="","",COUNTIFS(Ventas_SellIn!$D$2:$D$800,A146,Ventas_SellIn!$R$2:$R$800,"&gt;0"))</f>
        <v/>
      </c>
      <c r="M146" s="78" t="str">
        <f>IF(A146="","",SUMIFS(Ventas_SellIn!$R$2:$R$800,Ventas_SellIn!$D$2:$D$800,A146))</f>
        <v/>
      </c>
      <c r="N146" s="75" t="str">
        <f>IF(A146="","",IF(M146&gt;=Inicio!$B$18,"Pendiente relevante",IF(M146&gt;0,"Pendiente menor","Sin deuda")))</f>
        <v/>
      </c>
      <c r="O146" s="79" t="str">
        <f>IF(A146="","",SUMIFS(Stock_PDV!$H$2:$H$800,Stock_PDV!$A$2:$A$800,A146))</f>
        <v/>
      </c>
      <c r="P146" s="75" t="str">
        <f>IF(A146="","",IF(O146&lt;=Inicio!$B$16,"Crítico",IF(O146&lt;=Inicio!$B$17,"Observar","OK")))</f>
        <v/>
      </c>
      <c r="Q146" s="75" t="str">
        <f t="shared" si="9"/>
        <v/>
      </c>
      <c r="R146" s="75" t="str">
        <f t="shared" si="10"/>
        <v/>
      </c>
      <c r="S146" s="68" t="str">
        <f t="shared" si="11"/>
        <v/>
      </c>
      <c r="T146" s="68" t="str">
        <f>IF(A146="","",IFERROR(VLOOKUP(A146,Clientes_PDV!$A$2:$K$250,11,FALSE),""))</f>
        <v/>
      </c>
    </row>
    <row r="147" spans="1:20" x14ac:dyDescent="0.35">
      <c r="A147" s="80" t="str">
        <f>IF(Clientes_PDV!A147="","",Clientes_PDV!A147)</f>
        <v/>
      </c>
      <c r="B147" s="80" t="str">
        <f>IF(A147="","",IFERROR(VLOOKUP(A147,Clientes_PDV!$A$2:$J$250,2,FALSE),""))</f>
        <v/>
      </c>
      <c r="C147" s="80" t="str">
        <f>IF(A147="","",IFERROR(VLOOKUP(A147,Clientes_PDV!$A$2:$J$250,3,FALSE),""))</f>
        <v/>
      </c>
      <c r="D147" s="80" t="str">
        <f>IF(A147="","",IFERROR(VLOOKUP(A147,Clientes_PDV!$A$2:$J$250,4,FALSE),""))</f>
        <v/>
      </c>
      <c r="E147" s="80" t="str">
        <f>IF(A147="","",IFERROR(VLOOKUP(A147,Clientes_PDV!$A$2:$J$250,7,FALSE),""))</f>
        <v/>
      </c>
      <c r="F147" s="81" t="str">
        <f>IF(A147="","",IFERROR(VLOOKUP(A147,Clientes_PDV!$A$2:$J$250,8,FALSE),""))</f>
        <v/>
      </c>
      <c r="G147" s="82" t="str">
        <f t="shared" ca="1" si="8"/>
        <v/>
      </c>
      <c r="H147" s="80" t="str">
        <f>IF(A147="","",IF(F147="","Sin visita",IF(G147&lt;=IFERROR(VLOOKUP(E147,Inicio!$A$24:$B$26,2,FALSE),0),"Vigente","Atrasado")))</f>
        <v/>
      </c>
      <c r="I147" s="83" t="str">
        <f ca="1">IF(A147="","",SUMIFS(Ventas_SellIn!$L$2:$L$800,Ventas_SellIn!$D$2:$D$800,A147,Ventas_SellIn!$B$2:$B$800,"&gt;="&amp;TODAY()-Inicio!$B$14))</f>
        <v/>
      </c>
      <c r="J147" s="82" t="str">
        <f ca="1">IF(A147="","",SUMIFS(SellOut_Jumbo!$F$2:$F$800,SellOut_Jumbo!$C$2:$C$800,D147,SellOut_Jumbo!$A$2:$A$800,"&gt;="&amp;TODAY()-Inicio!$B$14))</f>
        <v/>
      </c>
      <c r="K147" s="80" t="str">
        <f>IF(A147="","",IF(I147=0,"Sin venta",IF(I147&lt;Inicio!$B$15,"Venta baja","Venta OK")))</f>
        <v/>
      </c>
      <c r="L147" s="82" t="str">
        <f>IF(A147="","",COUNTIFS(Ventas_SellIn!$D$2:$D$800,A147,Ventas_SellIn!$R$2:$R$800,"&gt;0"))</f>
        <v/>
      </c>
      <c r="M147" s="83" t="str">
        <f>IF(A147="","",SUMIFS(Ventas_SellIn!$R$2:$R$800,Ventas_SellIn!$D$2:$D$800,A147))</f>
        <v/>
      </c>
      <c r="N147" s="80" t="str">
        <f>IF(A147="","",IF(M147&gt;=Inicio!$B$18,"Pendiente relevante",IF(M147&gt;0,"Pendiente menor","Sin deuda")))</f>
        <v/>
      </c>
      <c r="O147" s="84" t="str">
        <f>IF(A147="","",SUMIFS(Stock_PDV!$H$2:$H$800,Stock_PDV!$A$2:$A$800,A147))</f>
        <v/>
      </c>
      <c r="P147" s="80" t="str">
        <f>IF(A147="","",IF(O147&lt;=Inicio!$B$16,"Crítico",IF(O147&lt;=Inicio!$B$17,"Observar","OK")))</f>
        <v/>
      </c>
      <c r="Q147" s="80" t="str">
        <f t="shared" si="9"/>
        <v/>
      </c>
      <c r="R147" s="80" t="str">
        <f t="shared" si="10"/>
        <v/>
      </c>
      <c r="S147" s="70" t="str">
        <f t="shared" si="11"/>
        <v/>
      </c>
      <c r="T147" s="70" t="str">
        <f>IF(A147="","",IFERROR(VLOOKUP(A147,Clientes_PDV!$A$2:$K$250,11,FALSE),""))</f>
        <v/>
      </c>
    </row>
    <row r="148" spans="1:20" x14ac:dyDescent="0.35">
      <c r="A148" s="75" t="str">
        <f>IF(Clientes_PDV!A148="","",Clientes_PDV!A148)</f>
        <v/>
      </c>
      <c r="B148" s="75" t="str">
        <f>IF(A148="","",IFERROR(VLOOKUP(A148,Clientes_PDV!$A$2:$J$250,2,FALSE),""))</f>
        <v/>
      </c>
      <c r="C148" s="75" t="str">
        <f>IF(A148="","",IFERROR(VLOOKUP(A148,Clientes_PDV!$A$2:$J$250,3,FALSE),""))</f>
        <v/>
      </c>
      <c r="D148" s="75" t="str">
        <f>IF(A148="","",IFERROR(VLOOKUP(A148,Clientes_PDV!$A$2:$J$250,4,FALSE),""))</f>
        <v/>
      </c>
      <c r="E148" s="75" t="str">
        <f>IF(A148="","",IFERROR(VLOOKUP(A148,Clientes_PDV!$A$2:$J$250,7,FALSE),""))</f>
        <v/>
      </c>
      <c r="F148" s="76" t="str">
        <f>IF(A148="","",IFERROR(VLOOKUP(A148,Clientes_PDV!$A$2:$J$250,8,FALSE),""))</f>
        <v/>
      </c>
      <c r="G148" s="77" t="str">
        <f t="shared" ca="1" si="8"/>
        <v/>
      </c>
      <c r="H148" s="75" t="str">
        <f>IF(A148="","",IF(F148="","Sin visita",IF(G148&lt;=IFERROR(VLOOKUP(E148,Inicio!$A$24:$B$26,2,FALSE),0),"Vigente","Atrasado")))</f>
        <v/>
      </c>
      <c r="I148" s="78" t="str">
        <f ca="1">IF(A148="","",SUMIFS(Ventas_SellIn!$L$2:$L$800,Ventas_SellIn!$D$2:$D$800,A148,Ventas_SellIn!$B$2:$B$800,"&gt;="&amp;TODAY()-Inicio!$B$14))</f>
        <v/>
      </c>
      <c r="J148" s="77" t="str">
        <f ca="1">IF(A148="","",SUMIFS(SellOut_Jumbo!$F$2:$F$800,SellOut_Jumbo!$C$2:$C$800,D148,SellOut_Jumbo!$A$2:$A$800,"&gt;="&amp;TODAY()-Inicio!$B$14))</f>
        <v/>
      </c>
      <c r="K148" s="75" t="str">
        <f>IF(A148="","",IF(I148=0,"Sin venta",IF(I148&lt;Inicio!$B$15,"Venta baja","Venta OK")))</f>
        <v/>
      </c>
      <c r="L148" s="77" t="str">
        <f>IF(A148="","",COUNTIFS(Ventas_SellIn!$D$2:$D$800,A148,Ventas_SellIn!$R$2:$R$800,"&gt;0"))</f>
        <v/>
      </c>
      <c r="M148" s="78" t="str">
        <f>IF(A148="","",SUMIFS(Ventas_SellIn!$R$2:$R$800,Ventas_SellIn!$D$2:$D$800,A148))</f>
        <v/>
      </c>
      <c r="N148" s="75" t="str">
        <f>IF(A148="","",IF(M148&gt;=Inicio!$B$18,"Pendiente relevante",IF(M148&gt;0,"Pendiente menor","Sin deuda")))</f>
        <v/>
      </c>
      <c r="O148" s="79" t="str">
        <f>IF(A148="","",SUMIFS(Stock_PDV!$H$2:$H$800,Stock_PDV!$A$2:$A$800,A148))</f>
        <v/>
      </c>
      <c r="P148" s="75" t="str">
        <f>IF(A148="","",IF(O148&lt;=Inicio!$B$16,"Crítico",IF(O148&lt;=Inicio!$B$17,"Observar","OK")))</f>
        <v/>
      </c>
      <c r="Q148" s="75" t="str">
        <f t="shared" si="9"/>
        <v/>
      </c>
      <c r="R148" s="75" t="str">
        <f t="shared" si="10"/>
        <v/>
      </c>
      <c r="S148" s="68" t="str">
        <f t="shared" si="11"/>
        <v/>
      </c>
      <c r="T148" s="68" t="str">
        <f>IF(A148="","",IFERROR(VLOOKUP(A148,Clientes_PDV!$A$2:$K$250,11,FALSE),""))</f>
        <v/>
      </c>
    </row>
    <row r="149" spans="1:20" x14ac:dyDescent="0.35">
      <c r="A149" s="80" t="str">
        <f>IF(Clientes_PDV!A149="","",Clientes_PDV!A149)</f>
        <v/>
      </c>
      <c r="B149" s="80" t="str">
        <f>IF(A149="","",IFERROR(VLOOKUP(A149,Clientes_PDV!$A$2:$J$250,2,FALSE),""))</f>
        <v/>
      </c>
      <c r="C149" s="80" t="str">
        <f>IF(A149="","",IFERROR(VLOOKUP(A149,Clientes_PDV!$A$2:$J$250,3,FALSE),""))</f>
        <v/>
      </c>
      <c r="D149" s="80" t="str">
        <f>IF(A149="","",IFERROR(VLOOKUP(A149,Clientes_PDV!$A$2:$J$250,4,FALSE),""))</f>
        <v/>
      </c>
      <c r="E149" s="80" t="str">
        <f>IF(A149="","",IFERROR(VLOOKUP(A149,Clientes_PDV!$A$2:$J$250,7,FALSE),""))</f>
        <v/>
      </c>
      <c r="F149" s="81" t="str">
        <f>IF(A149="","",IFERROR(VLOOKUP(A149,Clientes_PDV!$A$2:$J$250,8,FALSE),""))</f>
        <v/>
      </c>
      <c r="G149" s="82" t="str">
        <f t="shared" ca="1" si="8"/>
        <v/>
      </c>
      <c r="H149" s="80" t="str">
        <f>IF(A149="","",IF(F149="","Sin visita",IF(G149&lt;=IFERROR(VLOOKUP(E149,Inicio!$A$24:$B$26,2,FALSE),0),"Vigente","Atrasado")))</f>
        <v/>
      </c>
      <c r="I149" s="83" t="str">
        <f ca="1">IF(A149="","",SUMIFS(Ventas_SellIn!$L$2:$L$800,Ventas_SellIn!$D$2:$D$800,A149,Ventas_SellIn!$B$2:$B$800,"&gt;="&amp;TODAY()-Inicio!$B$14))</f>
        <v/>
      </c>
      <c r="J149" s="82" t="str">
        <f ca="1">IF(A149="","",SUMIFS(SellOut_Jumbo!$F$2:$F$800,SellOut_Jumbo!$C$2:$C$800,D149,SellOut_Jumbo!$A$2:$A$800,"&gt;="&amp;TODAY()-Inicio!$B$14))</f>
        <v/>
      </c>
      <c r="K149" s="80" t="str">
        <f>IF(A149="","",IF(I149=0,"Sin venta",IF(I149&lt;Inicio!$B$15,"Venta baja","Venta OK")))</f>
        <v/>
      </c>
      <c r="L149" s="82" t="str">
        <f>IF(A149="","",COUNTIFS(Ventas_SellIn!$D$2:$D$800,A149,Ventas_SellIn!$R$2:$R$800,"&gt;0"))</f>
        <v/>
      </c>
      <c r="M149" s="83" t="str">
        <f>IF(A149="","",SUMIFS(Ventas_SellIn!$R$2:$R$800,Ventas_SellIn!$D$2:$D$800,A149))</f>
        <v/>
      </c>
      <c r="N149" s="80" t="str">
        <f>IF(A149="","",IF(M149&gt;=Inicio!$B$18,"Pendiente relevante",IF(M149&gt;0,"Pendiente menor","Sin deuda")))</f>
        <v/>
      </c>
      <c r="O149" s="84" t="str">
        <f>IF(A149="","",SUMIFS(Stock_PDV!$H$2:$H$800,Stock_PDV!$A$2:$A$800,A149))</f>
        <v/>
      </c>
      <c r="P149" s="80" t="str">
        <f>IF(A149="","",IF(O149&lt;=Inicio!$B$16,"Crítico",IF(O149&lt;=Inicio!$B$17,"Observar","OK")))</f>
        <v/>
      </c>
      <c r="Q149" s="80" t="str">
        <f t="shared" si="9"/>
        <v/>
      </c>
      <c r="R149" s="80" t="str">
        <f t="shared" si="10"/>
        <v/>
      </c>
      <c r="S149" s="70" t="str">
        <f t="shared" si="11"/>
        <v/>
      </c>
      <c r="T149" s="70" t="str">
        <f>IF(A149="","",IFERROR(VLOOKUP(A149,Clientes_PDV!$A$2:$K$250,11,FALSE),""))</f>
        <v/>
      </c>
    </row>
    <row r="150" spans="1:20" x14ac:dyDescent="0.35">
      <c r="A150" s="75" t="str">
        <f>IF(Clientes_PDV!A150="","",Clientes_PDV!A150)</f>
        <v/>
      </c>
      <c r="B150" s="75" t="str">
        <f>IF(A150="","",IFERROR(VLOOKUP(A150,Clientes_PDV!$A$2:$J$250,2,FALSE),""))</f>
        <v/>
      </c>
      <c r="C150" s="75" t="str">
        <f>IF(A150="","",IFERROR(VLOOKUP(A150,Clientes_PDV!$A$2:$J$250,3,FALSE),""))</f>
        <v/>
      </c>
      <c r="D150" s="75" t="str">
        <f>IF(A150="","",IFERROR(VLOOKUP(A150,Clientes_PDV!$A$2:$J$250,4,FALSE),""))</f>
        <v/>
      </c>
      <c r="E150" s="75" t="str">
        <f>IF(A150="","",IFERROR(VLOOKUP(A150,Clientes_PDV!$A$2:$J$250,7,FALSE),""))</f>
        <v/>
      </c>
      <c r="F150" s="76" t="str">
        <f>IF(A150="","",IFERROR(VLOOKUP(A150,Clientes_PDV!$A$2:$J$250,8,FALSE),""))</f>
        <v/>
      </c>
      <c r="G150" s="77" t="str">
        <f t="shared" ca="1" si="8"/>
        <v/>
      </c>
      <c r="H150" s="75" t="str">
        <f>IF(A150="","",IF(F150="","Sin visita",IF(G150&lt;=IFERROR(VLOOKUP(E150,Inicio!$A$24:$B$26,2,FALSE),0),"Vigente","Atrasado")))</f>
        <v/>
      </c>
      <c r="I150" s="78" t="str">
        <f ca="1">IF(A150="","",SUMIFS(Ventas_SellIn!$L$2:$L$800,Ventas_SellIn!$D$2:$D$800,A150,Ventas_SellIn!$B$2:$B$800,"&gt;="&amp;TODAY()-Inicio!$B$14))</f>
        <v/>
      </c>
      <c r="J150" s="77" t="str">
        <f ca="1">IF(A150="","",SUMIFS(SellOut_Jumbo!$F$2:$F$800,SellOut_Jumbo!$C$2:$C$800,D150,SellOut_Jumbo!$A$2:$A$800,"&gt;="&amp;TODAY()-Inicio!$B$14))</f>
        <v/>
      </c>
      <c r="K150" s="75" t="str">
        <f>IF(A150="","",IF(I150=0,"Sin venta",IF(I150&lt;Inicio!$B$15,"Venta baja","Venta OK")))</f>
        <v/>
      </c>
      <c r="L150" s="77" t="str">
        <f>IF(A150="","",COUNTIFS(Ventas_SellIn!$D$2:$D$800,A150,Ventas_SellIn!$R$2:$R$800,"&gt;0"))</f>
        <v/>
      </c>
      <c r="M150" s="78" t="str">
        <f>IF(A150="","",SUMIFS(Ventas_SellIn!$R$2:$R$800,Ventas_SellIn!$D$2:$D$800,A150))</f>
        <v/>
      </c>
      <c r="N150" s="75" t="str">
        <f>IF(A150="","",IF(M150&gt;=Inicio!$B$18,"Pendiente relevante",IF(M150&gt;0,"Pendiente menor","Sin deuda")))</f>
        <v/>
      </c>
      <c r="O150" s="79" t="str">
        <f>IF(A150="","",SUMIFS(Stock_PDV!$H$2:$H$800,Stock_PDV!$A$2:$A$800,A150))</f>
        <v/>
      </c>
      <c r="P150" s="75" t="str">
        <f>IF(A150="","",IF(O150&lt;=Inicio!$B$16,"Crítico",IF(O150&lt;=Inicio!$B$17,"Observar","OK")))</f>
        <v/>
      </c>
      <c r="Q150" s="75" t="str">
        <f t="shared" si="9"/>
        <v/>
      </c>
      <c r="R150" s="75" t="str">
        <f t="shared" si="10"/>
        <v/>
      </c>
      <c r="S150" s="68" t="str">
        <f t="shared" si="11"/>
        <v/>
      </c>
      <c r="T150" s="68" t="str">
        <f>IF(A150="","",IFERROR(VLOOKUP(A150,Clientes_PDV!$A$2:$K$250,11,FALSE),""))</f>
        <v/>
      </c>
    </row>
    <row r="151" spans="1:20" x14ac:dyDescent="0.35">
      <c r="A151" s="80" t="str">
        <f>IF(Clientes_PDV!A151="","",Clientes_PDV!A151)</f>
        <v/>
      </c>
      <c r="B151" s="80" t="str">
        <f>IF(A151="","",IFERROR(VLOOKUP(A151,Clientes_PDV!$A$2:$J$250,2,FALSE),""))</f>
        <v/>
      </c>
      <c r="C151" s="80" t="str">
        <f>IF(A151="","",IFERROR(VLOOKUP(A151,Clientes_PDV!$A$2:$J$250,3,FALSE),""))</f>
        <v/>
      </c>
      <c r="D151" s="80" t="str">
        <f>IF(A151="","",IFERROR(VLOOKUP(A151,Clientes_PDV!$A$2:$J$250,4,FALSE),""))</f>
        <v/>
      </c>
      <c r="E151" s="80" t="str">
        <f>IF(A151="","",IFERROR(VLOOKUP(A151,Clientes_PDV!$A$2:$J$250,7,FALSE),""))</f>
        <v/>
      </c>
      <c r="F151" s="81" t="str">
        <f>IF(A151="","",IFERROR(VLOOKUP(A151,Clientes_PDV!$A$2:$J$250,8,FALSE),""))</f>
        <v/>
      </c>
      <c r="G151" s="82" t="str">
        <f t="shared" ca="1" si="8"/>
        <v/>
      </c>
      <c r="H151" s="80" t="str">
        <f>IF(A151="","",IF(F151="","Sin visita",IF(G151&lt;=IFERROR(VLOOKUP(E151,Inicio!$A$24:$B$26,2,FALSE),0),"Vigente","Atrasado")))</f>
        <v/>
      </c>
      <c r="I151" s="83" t="str">
        <f ca="1">IF(A151="","",SUMIFS(Ventas_SellIn!$L$2:$L$800,Ventas_SellIn!$D$2:$D$800,A151,Ventas_SellIn!$B$2:$B$800,"&gt;="&amp;TODAY()-Inicio!$B$14))</f>
        <v/>
      </c>
      <c r="J151" s="82" t="str">
        <f ca="1">IF(A151="","",SUMIFS(SellOut_Jumbo!$F$2:$F$800,SellOut_Jumbo!$C$2:$C$800,D151,SellOut_Jumbo!$A$2:$A$800,"&gt;="&amp;TODAY()-Inicio!$B$14))</f>
        <v/>
      </c>
      <c r="K151" s="80" t="str">
        <f>IF(A151="","",IF(I151=0,"Sin venta",IF(I151&lt;Inicio!$B$15,"Venta baja","Venta OK")))</f>
        <v/>
      </c>
      <c r="L151" s="82" t="str">
        <f>IF(A151="","",COUNTIFS(Ventas_SellIn!$D$2:$D$800,A151,Ventas_SellIn!$R$2:$R$800,"&gt;0"))</f>
        <v/>
      </c>
      <c r="M151" s="83" t="str">
        <f>IF(A151="","",SUMIFS(Ventas_SellIn!$R$2:$R$800,Ventas_SellIn!$D$2:$D$800,A151))</f>
        <v/>
      </c>
      <c r="N151" s="80" t="str">
        <f>IF(A151="","",IF(M151&gt;=Inicio!$B$18,"Pendiente relevante",IF(M151&gt;0,"Pendiente menor","Sin deuda")))</f>
        <v/>
      </c>
      <c r="O151" s="84" t="str">
        <f>IF(A151="","",SUMIFS(Stock_PDV!$H$2:$H$800,Stock_PDV!$A$2:$A$800,A151))</f>
        <v/>
      </c>
      <c r="P151" s="80" t="str">
        <f>IF(A151="","",IF(O151&lt;=Inicio!$B$16,"Crítico",IF(O151&lt;=Inicio!$B$17,"Observar","OK")))</f>
        <v/>
      </c>
      <c r="Q151" s="80" t="str">
        <f t="shared" si="9"/>
        <v/>
      </c>
      <c r="R151" s="80" t="str">
        <f t="shared" si="10"/>
        <v/>
      </c>
      <c r="S151" s="70" t="str">
        <f t="shared" si="11"/>
        <v/>
      </c>
      <c r="T151" s="70" t="str">
        <f>IF(A151="","",IFERROR(VLOOKUP(A151,Clientes_PDV!$A$2:$K$250,11,FALSE),""))</f>
        <v/>
      </c>
    </row>
    <row r="152" spans="1:20" x14ac:dyDescent="0.35">
      <c r="A152" s="75" t="str">
        <f>IF(Clientes_PDV!A152="","",Clientes_PDV!A152)</f>
        <v/>
      </c>
      <c r="B152" s="75" t="str">
        <f>IF(A152="","",IFERROR(VLOOKUP(A152,Clientes_PDV!$A$2:$J$250,2,FALSE),""))</f>
        <v/>
      </c>
      <c r="C152" s="75" t="str">
        <f>IF(A152="","",IFERROR(VLOOKUP(A152,Clientes_PDV!$A$2:$J$250,3,FALSE),""))</f>
        <v/>
      </c>
      <c r="D152" s="75" t="str">
        <f>IF(A152="","",IFERROR(VLOOKUP(A152,Clientes_PDV!$A$2:$J$250,4,FALSE),""))</f>
        <v/>
      </c>
      <c r="E152" s="75" t="str">
        <f>IF(A152="","",IFERROR(VLOOKUP(A152,Clientes_PDV!$A$2:$J$250,7,FALSE),""))</f>
        <v/>
      </c>
      <c r="F152" s="76" t="str">
        <f>IF(A152="","",IFERROR(VLOOKUP(A152,Clientes_PDV!$A$2:$J$250,8,FALSE),""))</f>
        <v/>
      </c>
      <c r="G152" s="77" t="str">
        <f t="shared" ca="1" si="8"/>
        <v/>
      </c>
      <c r="H152" s="75" t="str">
        <f>IF(A152="","",IF(F152="","Sin visita",IF(G152&lt;=IFERROR(VLOOKUP(E152,Inicio!$A$24:$B$26,2,FALSE),0),"Vigente","Atrasado")))</f>
        <v/>
      </c>
      <c r="I152" s="78" t="str">
        <f ca="1">IF(A152="","",SUMIFS(Ventas_SellIn!$L$2:$L$800,Ventas_SellIn!$D$2:$D$800,A152,Ventas_SellIn!$B$2:$B$800,"&gt;="&amp;TODAY()-Inicio!$B$14))</f>
        <v/>
      </c>
      <c r="J152" s="77" t="str">
        <f ca="1">IF(A152="","",SUMIFS(SellOut_Jumbo!$F$2:$F$800,SellOut_Jumbo!$C$2:$C$800,D152,SellOut_Jumbo!$A$2:$A$800,"&gt;="&amp;TODAY()-Inicio!$B$14))</f>
        <v/>
      </c>
      <c r="K152" s="75" t="str">
        <f>IF(A152="","",IF(I152=0,"Sin venta",IF(I152&lt;Inicio!$B$15,"Venta baja","Venta OK")))</f>
        <v/>
      </c>
      <c r="L152" s="77" t="str">
        <f>IF(A152="","",COUNTIFS(Ventas_SellIn!$D$2:$D$800,A152,Ventas_SellIn!$R$2:$R$800,"&gt;0"))</f>
        <v/>
      </c>
      <c r="M152" s="78" t="str">
        <f>IF(A152="","",SUMIFS(Ventas_SellIn!$R$2:$R$800,Ventas_SellIn!$D$2:$D$800,A152))</f>
        <v/>
      </c>
      <c r="N152" s="75" t="str">
        <f>IF(A152="","",IF(M152&gt;=Inicio!$B$18,"Pendiente relevante",IF(M152&gt;0,"Pendiente menor","Sin deuda")))</f>
        <v/>
      </c>
      <c r="O152" s="79" t="str">
        <f>IF(A152="","",SUMIFS(Stock_PDV!$H$2:$H$800,Stock_PDV!$A$2:$A$800,A152))</f>
        <v/>
      </c>
      <c r="P152" s="75" t="str">
        <f>IF(A152="","",IF(O152&lt;=Inicio!$B$16,"Crítico",IF(O152&lt;=Inicio!$B$17,"Observar","OK")))</f>
        <v/>
      </c>
      <c r="Q152" s="75" t="str">
        <f t="shared" si="9"/>
        <v/>
      </c>
      <c r="R152" s="75" t="str">
        <f t="shared" si="10"/>
        <v/>
      </c>
      <c r="S152" s="68" t="str">
        <f t="shared" si="11"/>
        <v/>
      </c>
      <c r="T152" s="68" t="str">
        <f>IF(A152="","",IFERROR(VLOOKUP(A152,Clientes_PDV!$A$2:$K$250,11,FALSE),""))</f>
        <v/>
      </c>
    </row>
    <row r="153" spans="1:20" x14ac:dyDescent="0.35">
      <c r="A153" s="80" t="str">
        <f>IF(Clientes_PDV!A153="","",Clientes_PDV!A153)</f>
        <v/>
      </c>
      <c r="B153" s="80" t="str">
        <f>IF(A153="","",IFERROR(VLOOKUP(A153,Clientes_PDV!$A$2:$J$250,2,FALSE),""))</f>
        <v/>
      </c>
      <c r="C153" s="80" t="str">
        <f>IF(A153="","",IFERROR(VLOOKUP(A153,Clientes_PDV!$A$2:$J$250,3,FALSE),""))</f>
        <v/>
      </c>
      <c r="D153" s="80" t="str">
        <f>IF(A153="","",IFERROR(VLOOKUP(A153,Clientes_PDV!$A$2:$J$250,4,FALSE),""))</f>
        <v/>
      </c>
      <c r="E153" s="80" t="str">
        <f>IF(A153="","",IFERROR(VLOOKUP(A153,Clientes_PDV!$A$2:$J$250,7,FALSE),""))</f>
        <v/>
      </c>
      <c r="F153" s="81" t="str">
        <f>IF(A153="","",IFERROR(VLOOKUP(A153,Clientes_PDV!$A$2:$J$250,8,FALSE),""))</f>
        <v/>
      </c>
      <c r="G153" s="82" t="str">
        <f t="shared" ca="1" si="8"/>
        <v/>
      </c>
      <c r="H153" s="80" t="str">
        <f>IF(A153="","",IF(F153="","Sin visita",IF(G153&lt;=IFERROR(VLOOKUP(E153,Inicio!$A$24:$B$26,2,FALSE),0),"Vigente","Atrasado")))</f>
        <v/>
      </c>
      <c r="I153" s="83" t="str">
        <f ca="1">IF(A153="","",SUMIFS(Ventas_SellIn!$L$2:$L$800,Ventas_SellIn!$D$2:$D$800,A153,Ventas_SellIn!$B$2:$B$800,"&gt;="&amp;TODAY()-Inicio!$B$14))</f>
        <v/>
      </c>
      <c r="J153" s="82" t="str">
        <f ca="1">IF(A153="","",SUMIFS(SellOut_Jumbo!$F$2:$F$800,SellOut_Jumbo!$C$2:$C$800,D153,SellOut_Jumbo!$A$2:$A$800,"&gt;="&amp;TODAY()-Inicio!$B$14))</f>
        <v/>
      </c>
      <c r="K153" s="80" t="str">
        <f>IF(A153="","",IF(I153=0,"Sin venta",IF(I153&lt;Inicio!$B$15,"Venta baja","Venta OK")))</f>
        <v/>
      </c>
      <c r="L153" s="82" t="str">
        <f>IF(A153="","",COUNTIFS(Ventas_SellIn!$D$2:$D$800,A153,Ventas_SellIn!$R$2:$R$800,"&gt;0"))</f>
        <v/>
      </c>
      <c r="M153" s="83" t="str">
        <f>IF(A153="","",SUMIFS(Ventas_SellIn!$R$2:$R$800,Ventas_SellIn!$D$2:$D$800,A153))</f>
        <v/>
      </c>
      <c r="N153" s="80" t="str">
        <f>IF(A153="","",IF(M153&gt;=Inicio!$B$18,"Pendiente relevante",IF(M153&gt;0,"Pendiente menor","Sin deuda")))</f>
        <v/>
      </c>
      <c r="O153" s="84" t="str">
        <f>IF(A153="","",SUMIFS(Stock_PDV!$H$2:$H$800,Stock_PDV!$A$2:$A$800,A153))</f>
        <v/>
      </c>
      <c r="P153" s="80" t="str">
        <f>IF(A153="","",IF(O153&lt;=Inicio!$B$16,"Crítico",IF(O153&lt;=Inicio!$B$17,"Observar","OK")))</f>
        <v/>
      </c>
      <c r="Q153" s="80" t="str">
        <f t="shared" si="9"/>
        <v/>
      </c>
      <c r="R153" s="80" t="str">
        <f t="shared" si="10"/>
        <v/>
      </c>
      <c r="S153" s="70" t="str">
        <f t="shared" si="11"/>
        <v/>
      </c>
      <c r="T153" s="70" t="str">
        <f>IF(A153="","",IFERROR(VLOOKUP(A153,Clientes_PDV!$A$2:$K$250,11,FALSE),""))</f>
        <v/>
      </c>
    </row>
    <row r="154" spans="1:20" x14ac:dyDescent="0.35">
      <c r="A154" s="75" t="str">
        <f>IF(Clientes_PDV!A154="","",Clientes_PDV!A154)</f>
        <v/>
      </c>
      <c r="B154" s="75" t="str">
        <f>IF(A154="","",IFERROR(VLOOKUP(A154,Clientes_PDV!$A$2:$J$250,2,FALSE),""))</f>
        <v/>
      </c>
      <c r="C154" s="75" t="str">
        <f>IF(A154="","",IFERROR(VLOOKUP(A154,Clientes_PDV!$A$2:$J$250,3,FALSE),""))</f>
        <v/>
      </c>
      <c r="D154" s="75" t="str">
        <f>IF(A154="","",IFERROR(VLOOKUP(A154,Clientes_PDV!$A$2:$J$250,4,FALSE),""))</f>
        <v/>
      </c>
      <c r="E154" s="75" t="str">
        <f>IF(A154="","",IFERROR(VLOOKUP(A154,Clientes_PDV!$A$2:$J$250,7,FALSE),""))</f>
        <v/>
      </c>
      <c r="F154" s="76" t="str">
        <f>IF(A154="","",IFERROR(VLOOKUP(A154,Clientes_PDV!$A$2:$J$250,8,FALSE),""))</f>
        <v/>
      </c>
      <c r="G154" s="77" t="str">
        <f t="shared" ca="1" si="8"/>
        <v/>
      </c>
      <c r="H154" s="75" t="str">
        <f>IF(A154="","",IF(F154="","Sin visita",IF(G154&lt;=IFERROR(VLOOKUP(E154,Inicio!$A$24:$B$26,2,FALSE),0),"Vigente","Atrasado")))</f>
        <v/>
      </c>
      <c r="I154" s="78" t="str">
        <f ca="1">IF(A154="","",SUMIFS(Ventas_SellIn!$L$2:$L$800,Ventas_SellIn!$D$2:$D$800,A154,Ventas_SellIn!$B$2:$B$800,"&gt;="&amp;TODAY()-Inicio!$B$14))</f>
        <v/>
      </c>
      <c r="J154" s="77" t="str">
        <f ca="1">IF(A154="","",SUMIFS(SellOut_Jumbo!$F$2:$F$800,SellOut_Jumbo!$C$2:$C$800,D154,SellOut_Jumbo!$A$2:$A$800,"&gt;="&amp;TODAY()-Inicio!$B$14))</f>
        <v/>
      </c>
      <c r="K154" s="75" t="str">
        <f>IF(A154="","",IF(I154=0,"Sin venta",IF(I154&lt;Inicio!$B$15,"Venta baja","Venta OK")))</f>
        <v/>
      </c>
      <c r="L154" s="77" t="str">
        <f>IF(A154="","",COUNTIFS(Ventas_SellIn!$D$2:$D$800,A154,Ventas_SellIn!$R$2:$R$800,"&gt;0"))</f>
        <v/>
      </c>
      <c r="M154" s="78" t="str">
        <f>IF(A154="","",SUMIFS(Ventas_SellIn!$R$2:$R$800,Ventas_SellIn!$D$2:$D$800,A154))</f>
        <v/>
      </c>
      <c r="N154" s="75" t="str">
        <f>IF(A154="","",IF(M154&gt;=Inicio!$B$18,"Pendiente relevante",IF(M154&gt;0,"Pendiente menor","Sin deuda")))</f>
        <v/>
      </c>
      <c r="O154" s="79" t="str">
        <f>IF(A154="","",SUMIFS(Stock_PDV!$H$2:$H$800,Stock_PDV!$A$2:$A$800,A154))</f>
        <v/>
      </c>
      <c r="P154" s="75" t="str">
        <f>IF(A154="","",IF(O154&lt;=Inicio!$B$16,"Crítico",IF(O154&lt;=Inicio!$B$17,"Observar","OK")))</f>
        <v/>
      </c>
      <c r="Q154" s="75" t="str">
        <f t="shared" si="9"/>
        <v/>
      </c>
      <c r="R154" s="75" t="str">
        <f t="shared" si="10"/>
        <v/>
      </c>
      <c r="S154" s="68" t="str">
        <f t="shared" si="11"/>
        <v/>
      </c>
      <c r="T154" s="68" t="str">
        <f>IF(A154="","",IFERROR(VLOOKUP(A154,Clientes_PDV!$A$2:$K$250,11,FALSE),""))</f>
        <v/>
      </c>
    </row>
    <row r="155" spans="1:20" x14ac:dyDescent="0.35">
      <c r="A155" s="80" t="str">
        <f>IF(Clientes_PDV!A155="","",Clientes_PDV!A155)</f>
        <v/>
      </c>
      <c r="B155" s="80" t="str">
        <f>IF(A155="","",IFERROR(VLOOKUP(A155,Clientes_PDV!$A$2:$J$250,2,FALSE),""))</f>
        <v/>
      </c>
      <c r="C155" s="80" t="str">
        <f>IF(A155="","",IFERROR(VLOOKUP(A155,Clientes_PDV!$A$2:$J$250,3,FALSE),""))</f>
        <v/>
      </c>
      <c r="D155" s="80" t="str">
        <f>IF(A155="","",IFERROR(VLOOKUP(A155,Clientes_PDV!$A$2:$J$250,4,FALSE),""))</f>
        <v/>
      </c>
      <c r="E155" s="80" t="str">
        <f>IF(A155="","",IFERROR(VLOOKUP(A155,Clientes_PDV!$A$2:$J$250,7,FALSE),""))</f>
        <v/>
      </c>
      <c r="F155" s="81" t="str">
        <f>IF(A155="","",IFERROR(VLOOKUP(A155,Clientes_PDV!$A$2:$J$250,8,FALSE),""))</f>
        <v/>
      </c>
      <c r="G155" s="82" t="str">
        <f t="shared" ca="1" si="8"/>
        <v/>
      </c>
      <c r="H155" s="80" t="str">
        <f>IF(A155="","",IF(F155="","Sin visita",IF(G155&lt;=IFERROR(VLOOKUP(E155,Inicio!$A$24:$B$26,2,FALSE),0),"Vigente","Atrasado")))</f>
        <v/>
      </c>
      <c r="I155" s="83" t="str">
        <f ca="1">IF(A155="","",SUMIFS(Ventas_SellIn!$L$2:$L$800,Ventas_SellIn!$D$2:$D$800,A155,Ventas_SellIn!$B$2:$B$800,"&gt;="&amp;TODAY()-Inicio!$B$14))</f>
        <v/>
      </c>
      <c r="J155" s="82" t="str">
        <f ca="1">IF(A155="","",SUMIFS(SellOut_Jumbo!$F$2:$F$800,SellOut_Jumbo!$C$2:$C$800,D155,SellOut_Jumbo!$A$2:$A$800,"&gt;="&amp;TODAY()-Inicio!$B$14))</f>
        <v/>
      </c>
      <c r="K155" s="80" t="str">
        <f>IF(A155="","",IF(I155=0,"Sin venta",IF(I155&lt;Inicio!$B$15,"Venta baja","Venta OK")))</f>
        <v/>
      </c>
      <c r="L155" s="82" t="str">
        <f>IF(A155="","",COUNTIFS(Ventas_SellIn!$D$2:$D$800,A155,Ventas_SellIn!$R$2:$R$800,"&gt;0"))</f>
        <v/>
      </c>
      <c r="M155" s="83" t="str">
        <f>IF(A155="","",SUMIFS(Ventas_SellIn!$R$2:$R$800,Ventas_SellIn!$D$2:$D$800,A155))</f>
        <v/>
      </c>
      <c r="N155" s="80" t="str">
        <f>IF(A155="","",IF(M155&gt;=Inicio!$B$18,"Pendiente relevante",IF(M155&gt;0,"Pendiente menor","Sin deuda")))</f>
        <v/>
      </c>
      <c r="O155" s="84" t="str">
        <f>IF(A155="","",SUMIFS(Stock_PDV!$H$2:$H$800,Stock_PDV!$A$2:$A$800,A155))</f>
        <v/>
      </c>
      <c r="P155" s="80" t="str">
        <f>IF(A155="","",IF(O155&lt;=Inicio!$B$16,"Crítico",IF(O155&lt;=Inicio!$B$17,"Observar","OK")))</f>
        <v/>
      </c>
      <c r="Q155" s="80" t="str">
        <f t="shared" si="9"/>
        <v/>
      </c>
      <c r="R155" s="80" t="str">
        <f t="shared" si="10"/>
        <v/>
      </c>
      <c r="S155" s="70" t="str">
        <f t="shared" si="11"/>
        <v/>
      </c>
      <c r="T155" s="70" t="str">
        <f>IF(A155="","",IFERROR(VLOOKUP(A155,Clientes_PDV!$A$2:$K$250,11,FALSE),""))</f>
        <v/>
      </c>
    </row>
    <row r="156" spans="1:20" x14ac:dyDescent="0.35">
      <c r="A156" s="75" t="str">
        <f>IF(Clientes_PDV!A156="","",Clientes_PDV!A156)</f>
        <v/>
      </c>
      <c r="B156" s="75" t="str">
        <f>IF(A156="","",IFERROR(VLOOKUP(A156,Clientes_PDV!$A$2:$J$250,2,FALSE),""))</f>
        <v/>
      </c>
      <c r="C156" s="75" t="str">
        <f>IF(A156="","",IFERROR(VLOOKUP(A156,Clientes_PDV!$A$2:$J$250,3,FALSE),""))</f>
        <v/>
      </c>
      <c r="D156" s="75" t="str">
        <f>IF(A156="","",IFERROR(VLOOKUP(A156,Clientes_PDV!$A$2:$J$250,4,FALSE),""))</f>
        <v/>
      </c>
      <c r="E156" s="75" t="str">
        <f>IF(A156="","",IFERROR(VLOOKUP(A156,Clientes_PDV!$A$2:$J$250,7,FALSE),""))</f>
        <v/>
      </c>
      <c r="F156" s="76" t="str">
        <f>IF(A156="","",IFERROR(VLOOKUP(A156,Clientes_PDV!$A$2:$J$250,8,FALSE),""))</f>
        <v/>
      </c>
      <c r="G156" s="77" t="str">
        <f t="shared" ca="1" si="8"/>
        <v/>
      </c>
      <c r="H156" s="75" t="str">
        <f>IF(A156="","",IF(F156="","Sin visita",IF(G156&lt;=IFERROR(VLOOKUP(E156,Inicio!$A$24:$B$26,2,FALSE),0),"Vigente","Atrasado")))</f>
        <v/>
      </c>
      <c r="I156" s="78" t="str">
        <f ca="1">IF(A156="","",SUMIFS(Ventas_SellIn!$L$2:$L$800,Ventas_SellIn!$D$2:$D$800,A156,Ventas_SellIn!$B$2:$B$800,"&gt;="&amp;TODAY()-Inicio!$B$14))</f>
        <v/>
      </c>
      <c r="J156" s="77" t="str">
        <f ca="1">IF(A156="","",SUMIFS(SellOut_Jumbo!$F$2:$F$800,SellOut_Jumbo!$C$2:$C$800,D156,SellOut_Jumbo!$A$2:$A$800,"&gt;="&amp;TODAY()-Inicio!$B$14))</f>
        <v/>
      </c>
      <c r="K156" s="75" t="str">
        <f>IF(A156="","",IF(I156=0,"Sin venta",IF(I156&lt;Inicio!$B$15,"Venta baja","Venta OK")))</f>
        <v/>
      </c>
      <c r="L156" s="77" t="str">
        <f>IF(A156="","",COUNTIFS(Ventas_SellIn!$D$2:$D$800,A156,Ventas_SellIn!$R$2:$R$800,"&gt;0"))</f>
        <v/>
      </c>
      <c r="M156" s="78" t="str">
        <f>IF(A156="","",SUMIFS(Ventas_SellIn!$R$2:$R$800,Ventas_SellIn!$D$2:$D$800,A156))</f>
        <v/>
      </c>
      <c r="N156" s="75" t="str">
        <f>IF(A156="","",IF(M156&gt;=Inicio!$B$18,"Pendiente relevante",IF(M156&gt;0,"Pendiente menor","Sin deuda")))</f>
        <v/>
      </c>
      <c r="O156" s="79" t="str">
        <f>IF(A156="","",SUMIFS(Stock_PDV!$H$2:$H$800,Stock_PDV!$A$2:$A$800,A156))</f>
        <v/>
      </c>
      <c r="P156" s="75" t="str">
        <f>IF(A156="","",IF(O156&lt;=Inicio!$B$16,"Crítico",IF(O156&lt;=Inicio!$B$17,"Observar","OK")))</f>
        <v/>
      </c>
      <c r="Q156" s="75" t="str">
        <f t="shared" si="9"/>
        <v/>
      </c>
      <c r="R156" s="75" t="str">
        <f t="shared" si="10"/>
        <v/>
      </c>
      <c r="S156" s="68" t="str">
        <f t="shared" si="11"/>
        <v/>
      </c>
      <c r="T156" s="68" t="str">
        <f>IF(A156="","",IFERROR(VLOOKUP(A156,Clientes_PDV!$A$2:$K$250,11,FALSE),""))</f>
        <v/>
      </c>
    </row>
    <row r="157" spans="1:20" x14ac:dyDescent="0.35">
      <c r="A157" s="80" t="str">
        <f>IF(Clientes_PDV!A157="","",Clientes_PDV!A157)</f>
        <v/>
      </c>
      <c r="B157" s="80" t="str">
        <f>IF(A157="","",IFERROR(VLOOKUP(A157,Clientes_PDV!$A$2:$J$250,2,FALSE),""))</f>
        <v/>
      </c>
      <c r="C157" s="80" t="str">
        <f>IF(A157="","",IFERROR(VLOOKUP(A157,Clientes_PDV!$A$2:$J$250,3,FALSE),""))</f>
        <v/>
      </c>
      <c r="D157" s="80" t="str">
        <f>IF(A157="","",IFERROR(VLOOKUP(A157,Clientes_PDV!$A$2:$J$250,4,FALSE),""))</f>
        <v/>
      </c>
      <c r="E157" s="80" t="str">
        <f>IF(A157="","",IFERROR(VLOOKUP(A157,Clientes_PDV!$A$2:$J$250,7,FALSE),""))</f>
        <v/>
      </c>
      <c r="F157" s="81" t="str">
        <f>IF(A157="","",IFERROR(VLOOKUP(A157,Clientes_PDV!$A$2:$J$250,8,FALSE),""))</f>
        <v/>
      </c>
      <c r="G157" s="82" t="str">
        <f t="shared" ca="1" si="8"/>
        <v/>
      </c>
      <c r="H157" s="80" t="str">
        <f>IF(A157="","",IF(F157="","Sin visita",IF(G157&lt;=IFERROR(VLOOKUP(E157,Inicio!$A$24:$B$26,2,FALSE),0),"Vigente","Atrasado")))</f>
        <v/>
      </c>
      <c r="I157" s="83" t="str">
        <f ca="1">IF(A157="","",SUMIFS(Ventas_SellIn!$L$2:$L$800,Ventas_SellIn!$D$2:$D$800,A157,Ventas_SellIn!$B$2:$B$800,"&gt;="&amp;TODAY()-Inicio!$B$14))</f>
        <v/>
      </c>
      <c r="J157" s="82" t="str">
        <f ca="1">IF(A157="","",SUMIFS(SellOut_Jumbo!$F$2:$F$800,SellOut_Jumbo!$C$2:$C$800,D157,SellOut_Jumbo!$A$2:$A$800,"&gt;="&amp;TODAY()-Inicio!$B$14))</f>
        <v/>
      </c>
      <c r="K157" s="80" t="str">
        <f>IF(A157="","",IF(I157=0,"Sin venta",IF(I157&lt;Inicio!$B$15,"Venta baja","Venta OK")))</f>
        <v/>
      </c>
      <c r="L157" s="82" t="str">
        <f>IF(A157="","",COUNTIFS(Ventas_SellIn!$D$2:$D$800,A157,Ventas_SellIn!$R$2:$R$800,"&gt;0"))</f>
        <v/>
      </c>
      <c r="M157" s="83" t="str">
        <f>IF(A157="","",SUMIFS(Ventas_SellIn!$R$2:$R$800,Ventas_SellIn!$D$2:$D$800,A157))</f>
        <v/>
      </c>
      <c r="N157" s="80" t="str">
        <f>IF(A157="","",IF(M157&gt;=Inicio!$B$18,"Pendiente relevante",IF(M157&gt;0,"Pendiente menor","Sin deuda")))</f>
        <v/>
      </c>
      <c r="O157" s="84" t="str">
        <f>IF(A157="","",SUMIFS(Stock_PDV!$H$2:$H$800,Stock_PDV!$A$2:$A$800,A157))</f>
        <v/>
      </c>
      <c r="P157" s="80" t="str">
        <f>IF(A157="","",IF(O157&lt;=Inicio!$B$16,"Crítico",IF(O157&lt;=Inicio!$B$17,"Observar","OK")))</f>
        <v/>
      </c>
      <c r="Q157" s="80" t="str">
        <f t="shared" si="9"/>
        <v/>
      </c>
      <c r="R157" s="80" t="str">
        <f t="shared" si="10"/>
        <v/>
      </c>
      <c r="S157" s="70" t="str">
        <f t="shared" si="11"/>
        <v/>
      </c>
      <c r="T157" s="70" t="str">
        <f>IF(A157="","",IFERROR(VLOOKUP(A157,Clientes_PDV!$A$2:$K$250,11,FALSE),""))</f>
        <v/>
      </c>
    </row>
    <row r="158" spans="1:20" x14ac:dyDescent="0.35">
      <c r="A158" s="75" t="str">
        <f>IF(Clientes_PDV!A158="","",Clientes_PDV!A158)</f>
        <v/>
      </c>
      <c r="B158" s="75" t="str">
        <f>IF(A158="","",IFERROR(VLOOKUP(A158,Clientes_PDV!$A$2:$J$250,2,FALSE),""))</f>
        <v/>
      </c>
      <c r="C158" s="75" t="str">
        <f>IF(A158="","",IFERROR(VLOOKUP(A158,Clientes_PDV!$A$2:$J$250,3,FALSE),""))</f>
        <v/>
      </c>
      <c r="D158" s="75" t="str">
        <f>IF(A158="","",IFERROR(VLOOKUP(A158,Clientes_PDV!$A$2:$J$250,4,FALSE),""))</f>
        <v/>
      </c>
      <c r="E158" s="75" t="str">
        <f>IF(A158="","",IFERROR(VLOOKUP(A158,Clientes_PDV!$A$2:$J$250,7,FALSE),""))</f>
        <v/>
      </c>
      <c r="F158" s="76" t="str">
        <f>IF(A158="","",IFERROR(VLOOKUP(A158,Clientes_PDV!$A$2:$J$250,8,FALSE),""))</f>
        <v/>
      </c>
      <c r="G158" s="77" t="str">
        <f t="shared" ca="1" si="8"/>
        <v/>
      </c>
      <c r="H158" s="75" t="str">
        <f>IF(A158="","",IF(F158="","Sin visita",IF(G158&lt;=IFERROR(VLOOKUP(E158,Inicio!$A$24:$B$26,2,FALSE),0),"Vigente","Atrasado")))</f>
        <v/>
      </c>
      <c r="I158" s="78" t="str">
        <f ca="1">IF(A158="","",SUMIFS(Ventas_SellIn!$L$2:$L$800,Ventas_SellIn!$D$2:$D$800,A158,Ventas_SellIn!$B$2:$B$800,"&gt;="&amp;TODAY()-Inicio!$B$14))</f>
        <v/>
      </c>
      <c r="J158" s="77" t="str">
        <f ca="1">IF(A158="","",SUMIFS(SellOut_Jumbo!$F$2:$F$800,SellOut_Jumbo!$C$2:$C$800,D158,SellOut_Jumbo!$A$2:$A$800,"&gt;="&amp;TODAY()-Inicio!$B$14))</f>
        <v/>
      </c>
      <c r="K158" s="75" t="str">
        <f>IF(A158="","",IF(I158=0,"Sin venta",IF(I158&lt;Inicio!$B$15,"Venta baja","Venta OK")))</f>
        <v/>
      </c>
      <c r="L158" s="77" t="str">
        <f>IF(A158="","",COUNTIFS(Ventas_SellIn!$D$2:$D$800,A158,Ventas_SellIn!$R$2:$R$800,"&gt;0"))</f>
        <v/>
      </c>
      <c r="M158" s="78" t="str">
        <f>IF(A158="","",SUMIFS(Ventas_SellIn!$R$2:$R$800,Ventas_SellIn!$D$2:$D$800,A158))</f>
        <v/>
      </c>
      <c r="N158" s="75" t="str">
        <f>IF(A158="","",IF(M158&gt;=Inicio!$B$18,"Pendiente relevante",IF(M158&gt;0,"Pendiente menor","Sin deuda")))</f>
        <v/>
      </c>
      <c r="O158" s="79" t="str">
        <f>IF(A158="","",SUMIFS(Stock_PDV!$H$2:$H$800,Stock_PDV!$A$2:$A$800,A158))</f>
        <v/>
      </c>
      <c r="P158" s="75" t="str">
        <f>IF(A158="","",IF(O158&lt;=Inicio!$B$16,"Crítico",IF(O158&lt;=Inicio!$B$17,"Observar","OK")))</f>
        <v/>
      </c>
      <c r="Q158" s="75" t="str">
        <f t="shared" si="9"/>
        <v/>
      </c>
      <c r="R158" s="75" t="str">
        <f t="shared" si="10"/>
        <v/>
      </c>
      <c r="S158" s="68" t="str">
        <f t="shared" si="11"/>
        <v/>
      </c>
      <c r="T158" s="68" t="str">
        <f>IF(A158="","",IFERROR(VLOOKUP(A158,Clientes_PDV!$A$2:$K$250,11,FALSE),""))</f>
        <v/>
      </c>
    </row>
    <row r="159" spans="1:20" x14ac:dyDescent="0.35">
      <c r="A159" s="80" t="str">
        <f>IF(Clientes_PDV!A159="","",Clientes_PDV!A159)</f>
        <v/>
      </c>
      <c r="B159" s="80" t="str">
        <f>IF(A159="","",IFERROR(VLOOKUP(A159,Clientes_PDV!$A$2:$J$250,2,FALSE),""))</f>
        <v/>
      </c>
      <c r="C159" s="80" t="str">
        <f>IF(A159="","",IFERROR(VLOOKUP(A159,Clientes_PDV!$A$2:$J$250,3,FALSE),""))</f>
        <v/>
      </c>
      <c r="D159" s="80" t="str">
        <f>IF(A159="","",IFERROR(VLOOKUP(A159,Clientes_PDV!$A$2:$J$250,4,FALSE),""))</f>
        <v/>
      </c>
      <c r="E159" s="80" t="str">
        <f>IF(A159="","",IFERROR(VLOOKUP(A159,Clientes_PDV!$A$2:$J$250,7,FALSE),""))</f>
        <v/>
      </c>
      <c r="F159" s="81" t="str">
        <f>IF(A159="","",IFERROR(VLOOKUP(A159,Clientes_PDV!$A$2:$J$250,8,FALSE),""))</f>
        <v/>
      </c>
      <c r="G159" s="82" t="str">
        <f t="shared" ca="1" si="8"/>
        <v/>
      </c>
      <c r="H159" s="80" t="str">
        <f>IF(A159="","",IF(F159="","Sin visita",IF(G159&lt;=IFERROR(VLOOKUP(E159,Inicio!$A$24:$B$26,2,FALSE),0),"Vigente","Atrasado")))</f>
        <v/>
      </c>
      <c r="I159" s="83" t="str">
        <f ca="1">IF(A159="","",SUMIFS(Ventas_SellIn!$L$2:$L$800,Ventas_SellIn!$D$2:$D$800,A159,Ventas_SellIn!$B$2:$B$800,"&gt;="&amp;TODAY()-Inicio!$B$14))</f>
        <v/>
      </c>
      <c r="J159" s="82" t="str">
        <f ca="1">IF(A159="","",SUMIFS(SellOut_Jumbo!$F$2:$F$800,SellOut_Jumbo!$C$2:$C$800,D159,SellOut_Jumbo!$A$2:$A$800,"&gt;="&amp;TODAY()-Inicio!$B$14))</f>
        <v/>
      </c>
      <c r="K159" s="80" t="str">
        <f>IF(A159="","",IF(I159=0,"Sin venta",IF(I159&lt;Inicio!$B$15,"Venta baja","Venta OK")))</f>
        <v/>
      </c>
      <c r="L159" s="82" t="str">
        <f>IF(A159="","",COUNTIFS(Ventas_SellIn!$D$2:$D$800,A159,Ventas_SellIn!$R$2:$R$800,"&gt;0"))</f>
        <v/>
      </c>
      <c r="M159" s="83" t="str">
        <f>IF(A159="","",SUMIFS(Ventas_SellIn!$R$2:$R$800,Ventas_SellIn!$D$2:$D$800,A159))</f>
        <v/>
      </c>
      <c r="N159" s="80" t="str">
        <f>IF(A159="","",IF(M159&gt;=Inicio!$B$18,"Pendiente relevante",IF(M159&gt;0,"Pendiente menor","Sin deuda")))</f>
        <v/>
      </c>
      <c r="O159" s="84" t="str">
        <f>IF(A159="","",SUMIFS(Stock_PDV!$H$2:$H$800,Stock_PDV!$A$2:$A$800,A159))</f>
        <v/>
      </c>
      <c r="P159" s="80" t="str">
        <f>IF(A159="","",IF(O159&lt;=Inicio!$B$16,"Crítico",IF(O159&lt;=Inicio!$B$17,"Observar","OK")))</f>
        <v/>
      </c>
      <c r="Q159" s="80" t="str">
        <f t="shared" si="9"/>
        <v/>
      </c>
      <c r="R159" s="80" t="str">
        <f t="shared" si="10"/>
        <v/>
      </c>
      <c r="S159" s="70" t="str">
        <f t="shared" si="11"/>
        <v/>
      </c>
      <c r="T159" s="70" t="str">
        <f>IF(A159="","",IFERROR(VLOOKUP(A159,Clientes_PDV!$A$2:$K$250,11,FALSE),""))</f>
        <v/>
      </c>
    </row>
    <row r="160" spans="1:20" x14ac:dyDescent="0.35">
      <c r="A160" s="75" t="str">
        <f>IF(Clientes_PDV!A160="","",Clientes_PDV!A160)</f>
        <v/>
      </c>
      <c r="B160" s="75" t="str">
        <f>IF(A160="","",IFERROR(VLOOKUP(A160,Clientes_PDV!$A$2:$J$250,2,FALSE),""))</f>
        <v/>
      </c>
      <c r="C160" s="75" t="str">
        <f>IF(A160="","",IFERROR(VLOOKUP(A160,Clientes_PDV!$A$2:$J$250,3,FALSE),""))</f>
        <v/>
      </c>
      <c r="D160" s="75" t="str">
        <f>IF(A160="","",IFERROR(VLOOKUP(A160,Clientes_PDV!$A$2:$J$250,4,FALSE),""))</f>
        <v/>
      </c>
      <c r="E160" s="75" t="str">
        <f>IF(A160="","",IFERROR(VLOOKUP(A160,Clientes_PDV!$A$2:$J$250,7,FALSE),""))</f>
        <v/>
      </c>
      <c r="F160" s="76" t="str">
        <f>IF(A160="","",IFERROR(VLOOKUP(A160,Clientes_PDV!$A$2:$J$250,8,FALSE),""))</f>
        <v/>
      </c>
      <c r="G160" s="77" t="str">
        <f t="shared" ca="1" si="8"/>
        <v/>
      </c>
      <c r="H160" s="75" t="str">
        <f>IF(A160="","",IF(F160="","Sin visita",IF(G160&lt;=IFERROR(VLOOKUP(E160,Inicio!$A$24:$B$26,2,FALSE),0),"Vigente","Atrasado")))</f>
        <v/>
      </c>
      <c r="I160" s="78" t="str">
        <f ca="1">IF(A160="","",SUMIFS(Ventas_SellIn!$L$2:$L$800,Ventas_SellIn!$D$2:$D$800,A160,Ventas_SellIn!$B$2:$B$800,"&gt;="&amp;TODAY()-Inicio!$B$14))</f>
        <v/>
      </c>
      <c r="J160" s="77" t="str">
        <f ca="1">IF(A160="","",SUMIFS(SellOut_Jumbo!$F$2:$F$800,SellOut_Jumbo!$C$2:$C$800,D160,SellOut_Jumbo!$A$2:$A$800,"&gt;="&amp;TODAY()-Inicio!$B$14))</f>
        <v/>
      </c>
      <c r="K160" s="75" t="str">
        <f>IF(A160="","",IF(I160=0,"Sin venta",IF(I160&lt;Inicio!$B$15,"Venta baja","Venta OK")))</f>
        <v/>
      </c>
      <c r="L160" s="77" t="str">
        <f>IF(A160="","",COUNTIFS(Ventas_SellIn!$D$2:$D$800,A160,Ventas_SellIn!$R$2:$R$800,"&gt;0"))</f>
        <v/>
      </c>
      <c r="M160" s="78" t="str">
        <f>IF(A160="","",SUMIFS(Ventas_SellIn!$R$2:$R$800,Ventas_SellIn!$D$2:$D$800,A160))</f>
        <v/>
      </c>
      <c r="N160" s="75" t="str">
        <f>IF(A160="","",IF(M160&gt;=Inicio!$B$18,"Pendiente relevante",IF(M160&gt;0,"Pendiente menor","Sin deuda")))</f>
        <v/>
      </c>
      <c r="O160" s="79" t="str">
        <f>IF(A160="","",SUMIFS(Stock_PDV!$H$2:$H$800,Stock_PDV!$A$2:$A$800,A160))</f>
        <v/>
      </c>
      <c r="P160" s="75" t="str">
        <f>IF(A160="","",IF(O160&lt;=Inicio!$B$16,"Crítico",IF(O160&lt;=Inicio!$B$17,"Observar","OK")))</f>
        <v/>
      </c>
      <c r="Q160" s="75" t="str">
        <f t="shared" si="9"/>
        <v/>
      </c>
      <c r="R160" s="75" t="str">
        <f t="shared" si="10"/>
        <v/>
      </c>
      <c r="S160" s="68" t="str">
        <f t="shared" si="11"/>
        <v/>
      </c>
      <c r="T160" s="68" t="str">
        <f>IF(A160="","",IFERROR(VLOOKUP(A160,Clientes_PDV!$A$2:$K$250,11,FALSE),""))</f>
        <v/>
      </c>
    </row>
    <row r="161" spans="1:20" x14ac:dyDescent="0.35">
      <c r="A161" s="80" t="str">
        <f>IF(Clientes_PDV!A161="","",Clientes_PDV!A161)</f>
        <v/>
      </c>
      <c r="B161" s="80" t="str">
        <f>IF(A161="","",IFERROR(VLOOKUP(A161,Clientes_PDV!$A$2:$J$250,2,FALSE),""))</f>
        <v/>
      </c>
      <c r="C161" s="80" t="str">
        <f>IF(A161="","",IFERROR(VLOOKUP(A161,Clientes_PDV!$A$2:$J$250,3,FALSE),""))</f>
        <v/>
      </c>
      <c r="D161" s="80" t="str">
        <f>IF(A161="","",IFERROR(VLOOKUP(A161,Clientes_PDV!$A$2:$J$250,4,FALSE),""))</f>
        <v/>
      </c>
      <c r="E161" s="80" t="str">
        <f>IF(A161="","",IFERROR(VLOOKUP(A161,Clientes_PDV!$A$2:$J$250,7,FALSE),""))</f>
        <v/>
      </c>
      <c r="F161" s="81" t="str">
        <f>IF(A161="","",IFERROR(VLOOKUP(A161,Clientes_PDV!$A$2:$J$250,8,FALSE),""))</f>
        <v/>
      </c>
      <c r="G161" s="82" t="str">
        <f t="shared" ca="1" si="8"/>
        <v/>
      </c>
      <c r="H161" s="80" t="str">
        <f>IF(A161="","",IF(F161="","Sin visita",IF(G161&lt;=IFERROR(VLOOKUP(E161,Inicio!$A$24:$B$26,2,FALSE),0),"Vigente","Atrasado")))</f>
        <v/>
      </c>
      <c r="I161" s="83" t="str">
        <f ca="1">IF(A161="","",SUMIFS(Ventas_SellIn!$L$2:$L$800,Ventas_SellIn!$D$2:$D$800,A161,Ventas_SellIn!$B$2:$B$800,"&gt;="&amp;TODAY()-Inicio!$B$14))</f>
        <v/>
      </c>
      <c r="J161" s="82" t="str">
        <f ca="1">IF(A161="","",SUMIFS(SellOut_Jumbo!$F$2:$F$800,SellOut_Jumbo!$C$2:$C$800,D161,SellOut_Jumbo!$A$2:$A$800,"&gt;="&amp;TODAY()-Inicio!$B$14))</f>
        <v/>
      </c>
      <c r="K161" s="80" t="str">
        <f>IF(A161="","",IF(I161=0,"Sin venta",IF(I161&lt;Inicio!$B$15,"Venta baja","Venta OK")))</f>
        <v/>
      </c>
      <c r="L161" s="82" t="str">
        <f>IF(A161="","",COUNTIFS(Ventas_SellIn!$D$2:$D$800,A161,Ventas_SellIn!$R$2:$R$800,"&gt;0"))</f>
        <v/>
      </c>
      <c r="M161" s="83" t="str">
        <f>IF(A161="","",SUMIFS(Ventas_SellIn!$R$2:$R$800,Ventas_SellIn!$D$2:$D$800,A161))</f>
        <v/>
      </c>
      <c r="N161" s="80" t="str">
        <f>IF(A161="","",IF(M161&gt;=Inicio!$B$18,"Pendiente relevante",IF(M161&gt;0,"Pendiente menor","Sin deuda")))</f>
        <v/>
      </c>
      <c r="O161" s="84" t="str">
        <f>IF(A161="","",SUMIFS(Stock_PDV!$H$2:$H$800,Stock_PDV!$A$2:$A$800,A161))</f>
        <v/>
      </c>
      <c r="P161" s="80" t="str">
        <f>IF(A161="","",IF(O161&lt;=Inicio!$B$16,"Crítico",IF(O161&lt;=Inicio!$B$17,"Observar","OK")))</f>
        <v/>
      </c>
      <c r="Q161" s="80" t="str">
        <f t="shared" si="9"/>
        <v/>
      </c>
      <c r="R161" s="80" t="str">
        <f t="shared" si="10"/>
        <v/>
      </c>
      <c r="S161" s="70" t="str">
        <f t="shared" si="11"/>
        <v/>
      </c>
      <c r="T161" s="70" t="str">
        <f>IF(A161="","",IFERROR(VLOOKUP(A161,Clientes_PDV!$A$2:$K$250,11,FALSE),""))</f>
        <v/>
      </c>
    </row>
    <row r="162" spans="1:20" x14ac:dyDescent="0.35">
      <c r="A162" s="75" t="str">
        <f>IF(Clientes_PDV!A162="","",Clientes_PDV!A162)</f>
        <v/>
      </c>
      <c r="B162" s="75" t="str">
        <f>IF(A162="","",IFERROR(VLOOKUP(A162,Clientes_PDV!$A$2:$J$250,2,FALSE),""))</f>
        <v/>
      </c>
      <c r="C162" s="75" t="str">
        <f>IF(A162="","",IFERROR(VLOOKUP(A162,Clientes_PDV!$A$2:$J$250,3,FALSE),""))</f>
        <v/>
      </c>
      <c r="D162" s="75" t="str">
        <f>IF(A162="","",IFERROR(VLOOKUP(A162,Clientes_PDV!$A$2:$J$250,4,FALSE),""))</f>
        <v/>
      </c>
      <c r="E162" s="75" t="str">
        <f>IF(A162="","",IFERROR(VLOOKUP(A162,Clientes_PDV!$A$2:$J$250,7,FALSE),""))</f>
        <v/>
      </c>
      <c r="F162" s="76" t="str">
        <f>IF(A162="","",IFERROR(VLOOKUP(A162,Clientes_PDV!$A$2:$J$250,8,FALSE),""))</f>
        <v/>
      </c>
      <c r="G162" s="77" t="str">
        <f t="shared" ca="1" si="8"/>
        <v/>
      </c>
      <c r="H162" s="75" t="str">
        <f>IF(A162="","",IF(F162="","Sin visita",IF(G162&lt;=IFERROR(VLOOKUP(E162,Inicio!$A$24:$B$26,2,FALSE),0),"Vigente","Atrasado")))</f>
        <v/>
      </c>
      <c r="I162" s="78" t="str">
        <f ca="1">IF(A162="","",SUMIFS(Ventas_SellIn!$L$2:$L$800,Ventas_SellIn!$D$2:$D$800,A162,Ventas_SellIn!$B$2:$B$800,"&gt;="&amp;TODAY()-Inicio!$B$14))</f>
        <v/>
      </c>
      <c r="J162" s="77" t="str">
        <f ca="1">IF(A162="","",SUMIFS(SellOut_Jumbo!$F$2:$F$800,SellOut_Jumbo!$C$2:$C$800,D162,SellOut_Jumbo!$A$2:$A$800,"&gt;="&amp;TODAY()-Inicio!$B$14))</f>
        <v/>
      </c>
      <c r="K162" s="75" t="str">
        <f>IF(A162="","",IF(I162=0,"Sin venta",IF(I162&lt;Inicio!$B$15,"Venta baja","Venta OK")))</f>
        <v/>
      </c>
      <c r="L162" s="77" t="str">
        <f>IF(A162="","",COUNTIFS(Ventas_SellIn!$D$2:$D$800,A162,Ventas_SellIn!$R$2:$R$800,"&gt;0"))</f>
        <v/>
      </c>
      <c r="M162" s="78" t="str">
        <f>IF(A162="","",SUMIFS(Ventas_SellIn!$R$2:$R$800,Ventas_SellIn!$D$2:$D$800,A162))</f>
        <v/>
      </c>
      <c r="N162" s="75" t="str">
        <f>IF(A162="","",IF(M162&gt;=Inicio!$B$18,"Pendiente relevante",IF(M162&gt;0,"Pendiente menor","Sin deuda")))</f>
        <v/>
      </c>
      <c r="O162" s="79" t="str">
        <f>IF(A162="","",SUMIFS(Stock_PDV!$H$2:$H$800,Stock_PDV!$A$2:$A$800,A162))</f>
        <v/>
      </c>
      <c r="P162" s="75" t="str">
        <f>IF(A162="","",IF(O162&lt;=Inicio!$B$16,"Crítico",IF(O162&lt;=Inicio!$B$17,"Observar","OK")))</f>
        <v/>
      </c>
      <c r="Q162" s="75" t="str">
        <f t="shared" si="9"/>
        <v/>
      </c>
      <c r="R162" s="75" t="str">
        <f t="shared" si="10"/>
        <v/>
      </c>
      <c r="S162" s="68" t="str">
        <f t="shared" si="11"/>
        <v/>
      </c>
      <c r="T162" s="68" t="str">
        <f>IF(A162="","",IFERROR(VLOOKUP(A162,Clientes_PDV!$A$2:$K$250,11,FALSE),""))</f>
        <v/>
      </c>
    </row>
    <row r="163" spans="1:20" x14ac:dyDescent="0.35">
      <c r="A163" s="80" t="str">
        <f>IF(Clientes_PDV!A163="","",Clientes_PDV!A163)</f>
        <v/>
      </c>
      <c r="B163" s="80" t="str">
        <f>IF(A163="","",IFERROR(VLOOKUP(A163,Clientes_PDV!$A$2:$J$250,2,FALSE),""))</f>
        <v/>
      </c>
      <c r="C163" s="80" t="str">
        <f>IF(A163="","",IFERROR(VLOOKUP(A163,Clientes_PDV!$A$2:$J$250,3,FALSE),""))</f>
        <v/>
      </c>
      <c r="D163" s="80" t="str">
        <f>IF(A163="","",IFERROR(VLOOKUP(A163,Clientes_PDV!$A$2:$J$250,4,FALSE),""))</f>
        <v/>
      </c>
      <c r="E163" s="80" t="str">
        <f>IF(A163="","",IFERROR(VLOOKUP(A163,Clientes_PDV!$A$2:$J$250,7,FALSE),""))</f>
        <v/>
      </c>
      <c r="F163" s="81" t="str">
        <f>IF(A163="","",IFERROR(VLOOKUP(A163,Clientes_PDV!$A$2:$J$250,8,FALSE),""))</f>
        <v/>
      </c>
      <c r="G163" s="82" t="str">
        <f t="shared" ca="1" si="8"/>
        <v/>
      </c>
      <c r="H163" s="80" t="str">
        <f>IF(A163="","",IF(F163="","Sin visita",IF(G163&lt;=IFERROR(VLOOKUP(E163,Inicio!$A$24:$B$26,2,FALSE),0),"Vigente","Atrasado")))</f>
        <v/>
      </c>
      <c r="I163" s="83" t="str">
        <f ca="1">IF(A163="","",SUMIFS(Ventas_SellIn!$L$2:$L$800,Ventas_SellIn!$D$2:$D$800,A163,Ventas_SellIn!$B$2:$B$800,"&gt;="&amp;TODAY()-Inicio!$B$14))</f>
        <v/>
      </c>
      <c r="J163" s="82" t="str">
        <f ca="1">IF(A163="","",SUMIFS(SellOut_Jumbo!$F$2:$F$800,SellOut_Jumbo!$C$2:$C$800,D163,SellOut_Jumbo!$A$2:$A$800,"&gt;="&amp;TODAY()-Inicio!$B$14))</f>
        <v/>
      </c>
      <c r="K163" s="80" t="str">
        <f>IF(A163="","",IF(I163=0,"Sin venta",IF(I163&lt;Inicio!$B$15,"Venta baja","Venta OK")))</f>
        <v/>
      </c>
      <c r="L163" s="82" t="str">
        <f>IF(A163="","",COUNTIFS(Ventas_SellIn!$D$2:$D$800,A163,Ventas_SellIn!$R$2:$R$800,"&gt;0"))</f>
        <v/>
      </c>
      <c r="M163" s="83" t="str">
        <f>IF(A163="","",SUMIFS(Ventas_SellIn!$R$2:$R$800,Ventas_SellIn!$D$2:$D$800,A163))</f>
        <v/>
      </c>
      <c r="N163" s="80" t="str">
        <f>IF(A163="","",IF(M163&gt;=Inicio!$B$18,"Pendiente relevante",IF(M163&gt;0,"Pendiente menor","Sin deuda")))</f>
        <v/>
      </c>
      <c r="O163" s="84" t="str">
        <f>IF(A163="","",SUMIFS(Stock_PDV!$H$2:$H$800,Stock_PDV!$A$2:$A$800,A163))</f>
        <v/>
      </c>
      <c r="P163" s="80" t="str">
        <f>IF(A163="","",IF(O163&lt;=Inicio!$B$16,"Crítico",IF(O163&lt;=Inicio!$B$17,"Observar","OK")))</f>
        <v/>
      </c>
      <c r="Q163" s="80" t="str">
        <f t="shared" si="9"/>
        <v/>
      </c>
      <c r="R163" s="80" t="str">
        <f t="shared" si="10"/>
        <v/>
      </c>
      <c r="S163" s="70" t="str">
        <f t="shared" si="11"/>
        <v/>
      </c>
      <c r="T163" s="70" t="str">
        <f>IF(A163="","",IFERROR(VLOOKUP(A163,Clientes_PDV!$A$2:$K$250,11,FALSE),""))</f>
        <v/>
      </c>
    </row>
    <row r="164" spans="1:20" x14ac:dyDescent="0.35">
      <c r="A164" s="75" t="str">
        <f>IF(Clientes_PDV!A164="","",Clientes_PDV!A164)</f>
        <v/>
      </c>
      <c r="B164" s="75" t="str">
        <f>IF(A164="","",IFERROR(VLOOKUP(A164,Clientes_PDV!$A$2:$J$250,2,FALSE),""))</f>
        <v/>
      </c>
      <c r="C164" s="75" t="str">
        <f>IF(A164="","",IFERROR(VLOOKUP(A164,Clientes_PDV!$A$2:$J$250,3,FALSE),""))</f>
        <v/>
      </c>
      <c r="D164" s="75" t="str">
        <f>IF(A164="","",IFERROR(VLOOKUP(A164,Clientes_PDV!$A$2:$J$250,4,FALSE),""))</f>
        <v/>
      </c>
      <c r="E164" s="75" t="str">
        <f>IF(A164="","",IFERROR(VLOOKUP(A164,Clientes_PDV!$A$2:$J$250,7,FALSE),""))</f>
        <v/>
      </c>
      <c r="F164" s="76" t="str">
        <f>IF(A164="","",IFERROR(VLOOKUP(A164,Clientes_PDV!$A$2:$J$250,8,FALSE),""))</f>
        <v/>
      </c>
      <c r="G164" s="77" t="str">
        <f t="shared" ca="1" si="8"/>
        <v/>
      </c>
      <c r="H164" s="75" t="str">
        <f>IF(A164="","",IF(F164="","Sin visita",IF(G164&lt;=IFERROR(VLOOKUP(E164,Inicio!$A$24:$B$26,2,FALSE),0),"Vigente","Atrasado")))</f>
        <v/>
      </c>
      <c r="I164" s="78" t="str">
        <f ca="1">IF(A164="","",SUMIFS(Ventas_SellIn!$L$2:$L$800,Ventas_SellIn!$D$2:$D$800,A164,Ventas_SellIn!$B$2:$B$800,"&gt;="&amp;TODAY()-Inicio!$B$14))</f>
        <v/>
      </c>
      <c r="J164" s="77" t="str">
        <f ca="1">IF(A164="","",SUMIFS(SellOut_Jumbo!$F$2:$F$800,SellOut_Jumbo!$C$2:$C$800,D164,SellOut_Jumbo!$A$2:$A$800,"&gt;="&amp;TODAY()-Inicio!$B$14))</f>
        <v/>
      </c>
      <c r="K164" s="75" t="str">
        <f>IF(A164="","",IF(I164=0,"Sin venta",IF(I164&lt;Inicio!$B$15,"Venta baja","Venta OK")))</f>
        <v/>
      </c>
      <c r="L164" s="77" t="str">
        <f>IF(A164="","",COUNTIFS(Ventas_SellIn!$D$2:$D$800,A164,Ventas_SellIn!$R$2:$R$800,"&gt;0"))</f>
        <v/>
      </c>
      <c r="M164" s="78" t="str">
        <f>IF(A164="","",SUMIFS(Ventas_SellIn!$R$2:$R$800,Ventas_SellIn!$D$2:$D$800,A164))</f>
        <v/>
      </c>
      <c r="N164" s="75" t="str">
        <f>IF(A164="","",IF(M164&gt;=Inicio!$B$18,"Pendiente relevante",IF(M164&gt;0,"Pendiente menor","Sin deuda")))</f>
        <v/>
      </c>
      <c r="O164" s="79" t="str">
        <f>IF(A164="","",SUMIFS(Stock_PDV!$H$2:$H$800,Stock_PDV!$A$2:$A$800,A164))</f>
        <v/>
      </c>
      <c r="P164" s="75" t="str">
        <f>IF(A164="","",IF(O164&lt;=Inicio!$B$16,"Crítico",IF(O164&lt;=Inicio!$B$17,"Observar","OK")))</f>
        <v/>
      </c>
      <c r="Q164" s="75" t="str">
        <f t="shared" si="9"/>
        <v/>
      </c>
      <c r="R164" s="75" t="str">
        <f t="shared" si="10"/>
        <v/>
      </c>
      <c r="S164" s="68" t="str">
        <f t="shared" si="11"/>
        <v/>
      </c>
      <c r="T164" s="68" t="str">
        <f>IF(A164="","",IFERROR(VLOOKUP(A164,Clientes_PDV!$A$2:$K$250,11,FALSE),""))</f>
        <v/>
      </c>
    </row>
    <row r="165" spans="1:20" x14ac:dyDescent="0.35">
      <c r="A165" s="80" t="str">
        <f>IF(Clientes_PDV!A165="","",Clientes_PDV!A165)</f>
        <v/>
      </c>
      <c r="B165" s="80" t="str">
        <f>IF(A165="","",IFERROR(VLOOKUP(A165,Clientes_PDV!$A$2:$J$250,2,FALSE),""))</f>
        <v/>
      </c>
      <c r="C165" s="80" t="str">
        <f>IF(A165="","",IFERROR(VLOOKUP(A165,Clientes_PDV!$A$2:$J$250,3,FALSE),""))</f>
        <v/>
      </c>
      <c r="D165" s="80" t="str">
        <f>IF(A165="","",IFERROR(VLOOKUP(A165,Clientes_PDV!$A$2:$J$250,4,FALSE),""))</f>
        <v/>
      </c>
      <c r="E165" s="80" t="str">
        <f>IF(A165="","",IFERROR(VLOOKUP(A165,Clientes_PDV!$A$2:$J$250,7,FALSE),""))</f>
        <v/>
      </c>
      <c r="F165" s="81" t="str">
        <f>IF(A165="","",IFERROR(VLOOKUP(A165,Clientes_PDV!$A$2:$J$250,8,FALSE),""))</f>
        <v/>
      </c>
      <c r="G165" s="82" t="str">
        <f t="shared" ca="1" si="8"/>
        <v/>
      </c>
      <c r="H165" s="80" t="str">
        <f>IF(A165="","",IF(F165="","Sin visita",IF(G165&lt;=IFERROR(VLOOKUP(E165,Inicio!$A$24:$B$26,2,FALSE),0),"Vigente","Atrasado")))</f>
        <v/>
      </c>
      <c r="I165" s="83" t="str">
        <f ca="1">IF(A165="","",SUMIFS(Ventas_SellIn!$L$2:$L$800,Ventas_SellIn!$D$2:$D$800,A165,Ventas_SellIn!$B$2:$B$800,"&gt;="&amp;TODAY()-Inicio!$B$14))</f>
        <v/>
      </c>
      <c r="J165" s="82" t="str">
        <f ca="1">IF(A165="","",SUMIFS(SellOut_Jumbo!$F$2:$F$800,SellOut_Jumbo!$C$2:$C$800,D165,SellOut_Jumbo!$A$2:$A$800,"&gt;="&amp;TODAY()-Inicio!$B$14))</f>
        <v/>
      </c>
      <c r="K165" s="80" t="str">
        <f>IF(A165="","",IF(I165=0,"Sin venta",IF(I165&lt;Inicio!$B$15,"Venta baja","Venta OK")))</f>
        <v/>
      </c>
      <c r="L165" s="82" t="str">
        <f>IF(A165="","",COUNTIFS(Ventas_SellIn!$D$2:$D$800,A165,Ventas_SellIn!$R$2:$R$800,"&gt;0"))</f>
        <v/>
      </c>
      <c r="M165" s="83" t="str">
        <f>IF(A165="","",SUMIFS(Ventas_SellIn!$R$2:$R$800,Ventas_SellIn!$D$2:$D$800,A165))</f>
        <v/>
      </c>
      <c r="N165" s="80" t="str">
        <f>IF(A165="","",IF(M165&gt;=Inicio!$B$18,"Pendiente relevante",IF(M165&gt;0,"Pendiente menor","Sin deuda")))</f>
        <v/>
      </c>
      <c r="O165" s="84" t="str">
        <f>IF(A165="","",SUMIFS(Stock_PDV!$H$2:$H$800,Stock_PDV!$A$2:$A$800,A165))</f>
        <v/>
      </c>
      <c r="P165" s="80" t="str">
        <f>IF(A165="","",IF(O165&lt;=Inicio!$B$16,"Crítico",IF(O165&lt;=Inicio!$B$17,"Observar","OK")))</f>
        <v/>
      </c>
      <c r="Q165" s="80" t="str">
        <f t="shared" si="9"/>
        <v/>
      </c>
      <c r="R165" s="80" t="str">
        <f t="shared" si="10"/>
        <v/>
      </c>
      <c r="S165" s="70" t="str">
        <f t="shared" si="11"/>
        <v/>
      </c>
      <c r="T165" s="70" t="str">
        <f>IF(A165="","",IFERROR(VLOOKUP(A165,Clientes_PDV!$A$2:$K$250,11,FALSE),""))</f>
        <v/>
      </c>
    </row>
    <row r="166" spans="1:20" x14ac:dyDescent="0.35">
      <c r="A166" s="75" t="str">
        <f>IF(Clientes_PDV!A166="","",Clientes_PDV!A166)</f>
        <v/>
      </c>
      <c r="B166" s="75" t="str">
        <f>IF(A166="","",IFERROR(VLOOKUP(A166,Clientes_PDV!$A$2:$J$250,2,FALSE),""))</f>
        <v/>
      </c>
      <c r="C166" s="75" t="str">
        <f>IF(A166="","",IFERROR(VLOOKUP(A166,Clientes_PDV!$A$2:$J$250,3,FALSE),""))</f>
        <v/>
      </c>
      <c r="D166" s="75" t="str">
        <f>IF(A166="","",IFERROR(VLOOKUP(A166,Clientes_PDV!$A$2:$J$250,4,FALSE),""))</f>
        <v/>
      </c>
      <c r="E166" s="75" t="str">
        <f>IF(A166="","",IFERROR(VLOOKUP(A166,Clientes_PDV!$A$2:$J$250,7,FALSE),""))</f>
        <v/>
      </c>
      <c r="F166" s="76" t="str">
        <f>IF(A166="","",IFERROR(VLOOKUP(A166,Clientes_PDV!$A$2:$J$250,8,FALSE),""))</f>
        <v/>
      </c>
      <c r="G166" s="77" t="str">
        <f t="shared" ca="1" si="8"/>
        <v/>
      </c>
      <c r="H166" s="75" t="str">
        <f>IF(A166="","",IF(F166="","Sin visita",IF(G166&lt;=IFERROR(VLOOKUP(E166,Inicio!$A$24:$B$26,2,FALSE),0),"Vigente","Atrasado")))</f>
        <v/>
      </c>
      <c r="I166" s="78" t="str">
        <f ca="1">IF(A166="","",SUMIFS(Ventas_SellIn!$L$2:$L$800,Ventas_SellIn!$D$2:$D$800,A166,Ventas_SellIn!$B$2:$B$800,"&gt;="&amp;TODAY()-Inicio!$B$14))</f>
        <v/>
      </c>
      <c r="J166" s="77" t="str">
        <f ca="1">IF(A166="","",SUMIFS(SellOut_Jumbo!$F$2:$F$800,SellOut_Jumbo!$C$2:$C$800,D166,SellOut_Jumbo!$A$2:$A$800,"&gt;="&amp;TODAY()-Inicio!$B$14))</f>
        <v/>
      </c>
      <c r="K166" s="75" t="str">
        <f>IF(A166="","",IF(I166=0,"Sin venta",IF(I166&lt;Inicio!$B$15,"Venta baja","Venta OK")))</f>
        <v/>
      </c>
      <c r="L166" s="77" t="str">
        <f>IF(A166="","",COUNTIFS(Ventas_SellIn!$D$2:$D$800,A166,Ventas_SellIn!$R$2:$R$800,"&gt;0"))</f>
        <v/>
      </c>
      <c r="M166" s="78" t="str">
        <f>IF(A166="","",SUMIFS(Ventas_SellIn!$R$2:$R$800,Ventas_SellIn!$D$2:$D$800,A166))</f>
        <v/>
      </c>
      <c r="N166" s="75" t="str">
        <f>IF(A166="","",IF(M166&gt;=Inicio!$B$18,"Pendiente relevante",IF(M166&gt;0,"Pendiente menor","Sin deuda")))</f>
        <v/>
      </c>
      <c r="O166" s="79" t="str">
        <f>IF(A166="","",SUMIFS(Stock_PDV!$H$2:$H$800,Stock_PDV!$A$2:$A$800,A166))</f>
        <v/>
      </c>
      <c r="P166" s="75" t="str">
        <f>IF(A166="","",IF(O166&lt;=Inicio!$B$16,"Crítico",IF(O166&lt;=Inicio!$B$17,"Observar","OK")))</f>
        <v/>
      </c>
      <c r="Q166" s="75" t="str">
        <f t="shared" si="9"/>
        <v/>
      </c>
      <c r="R166" s="75" t="str">
        <f t="shared" si="10"/>
        <v/>
      </c>
      <c r="S166" s="68" t="str">
        <f t="shared" si="11"/>
        <v/>
      </c>
      <c r="T166" s="68" t="str">
        <f>IF(A166="","",IFERROR(VLOOKUP(A166,Clientes_PDV!$A$2:$K$250,11,FALSE),""))</f>
        <v/>
      </c>
    </row>
    <row r="167" spans="1:20" x14ac:dyDescent="0.35">
      <c r="A167" s="80" t="str">
        <f>IF(Clientes_PDV!A167="","",Clientes_PDV!A167)</f>
        <v/>
      </c>
      <c r="B167" s="80" t="str">
        <f>IF(A167="","",IFERROR(VLOOKUP(A167,Clientes_PDV!$A$2:$J$250,2,FALSE),""))</f>
        <v/>
      </c>
      <c r="C167" s="80" t="str">
        <f>IF(A167="","",IFERROR(VLOOKUP(A167,Clientes_PDV!$A$2:$J$250,3,FALSE),""))</f>
        <v/>
      </c>
      <c r="D167" s="80" t="str">
        <f>IF(A167="","",IFERROR(VLOOKUP(A167,Clientes_PDV!$A$2:$J$250,4,FALSE),""))</f>
        <v/>
      </c>
      <c r="E167" s="80" t="str">
        <f>IF(A167="","",IFERROR(VLOOKUP(A167,Clientes_PDV!$A$2:$J$250,7,FALSE),""))</f>
        <v/>
      </c>
      <c r="F167" s="81" t="str">
        <f>IF(A167="","",IFERROR(VLOOKUP(A167,Clientes_PDV!$A$2:$J$250,8,FALSE),""))</f>
        <v/>
      </c>
      <c r="G167" s="82" t="str">
        <f t="shared" ca="1" si="8"/>
        <v/>
      </c>
      <c r="H167" s="80" t="str">
        <f>IF(A167="","",IF(F167="","Sin visita",IF(G167&lt;=IFERROR(VLOOKUP(E167,Inicio!$A$24:$B$26,2,FALSE),0),"Vigente","Atrasado")))</f>
        <v/>
      </c>
      <c r="I167" s="83" t="str">
        <f ca="1">IF(A167="","",SUMIFS(Ventas_SellIn!$L$2:$L$800,Ventas_SellIn!$D$2:$D$800,A167,Ventas_SellIn!$B$2:$B$800,"&gt;="&amp;TODAY()-Inicio!$B$14))</f>
        <v/>
      </c>
      <c r="J167" s="82" t="str">
        <f ca="1">IF(A167="","",SUMIFS(SellOut_Jumbo!$F$2:$F$800,SellOut_Jumbo!$C$2:$C$800,D167,SellOut_Jumbo!$A$2:$A$800,"&gt;="&amp;TODAY()-Inicio!$B$14))</f>
        <v/>
      </c>
      <c r="K167" s="80" t="str">
        <f>IF(A167="","",IF(I167=0,"Sin venta",IF(I167&lt;Inicio!$B$15,"Venta baja","Venta OK")))</f>
        <v/>
      </c>
      <c r="L167" s="82" t="str">
        <f>IF(A167="","",COUNTIFS(Ventas_SellIn!$D$2:$D$800,A167,Ventas_SellIn!$R$2:$R$800,"&gt;0"))</f>
        <v/>
      </c>
      <c r="M167" s="83" t="str">
        <f>IF(A167="","",SUMIFS(Ventas_SellIn!$R$2:$R$800,Ventas_SellIn!$D$2:$D$800,A167))</f>
        <v/>
      </c>
      <c r="N167" s="80" t="str">
        <f>IF(A167="","",IF(M167&gt;=Inicio!$B$18,"Pendiente relevante",IF(M167&gt;0,"Pendiente menor","Sin deuda")))</f>
        <v/>
      </c>
      <c r="O167" s="84" t="str">
        <f>IF(A167="","",SUMIFS(Stock_PDV!$H$2:$H$800,Stock_PDV!$A$2:$A$800,A167))</f>
        <v/>
      </c>
      <c r="P167" s="80" t="str">
        <f>IF(A167="","",IF(O167&lt;=Inicio!$B$16,"Crítico",IF(O167&lt;=Inicio!$B$17,"Observar","OK")))</f>
        <v/>
      </c>
      <c r="Q167" s="80" t="str">
        <f t="shared" si="9"/>
        <v/>
      </c>
      <c r="R167" s="80" t="str">
        <f t="shared" si="10"/>
        <v/>
      </c>
      <c r="S167" s="70" t="str">
        <f t="shared" si="11"/>
        <v/>
      </c>
      <c r="T167" s="70" t="str">
        <f>IF(A167="","",IFERROR(VLOOKUP(A167,Clientes_PDV!$A$2:$K$250,11,FALSE),""))</f>
        <v/>
      </c>
    </row>
    <row r="168" spans="1:20" x14ac:dyDescent="0.35">
      <c r="A168" s="75" t="str">
        <f>IF(Clientes_PDV!A168="","",Clientes_PDV!A168)</f>
        <v/>
      </c>
      <c r="B168" s="75" t="str">
        <f>IF(A168="","",IFERROR(VLOOKUP(A168,Clientes_PDV!$A$2:$J$250,2,FALSE),""))</f>
        <v/>
      </c>
      <c r="C168" s="75" t="str">
        <f>IF(A168="","",IFERROR(VLOOKUP(A168,Clientes_PDV!$A$2:$J$250,3,FALSE),""))</f>
        <v/>
      </c>
      <c r="D168" s="75" t="str">
        <f>IF(A168="","",IFERROR(VLOOKUP(A168,Clientes_PDV!$A$2:$J$250,4,FALSE),""))</f>
        <v/>
      </c>
      <c r="E168" s="75" t="str">
        <f>IF(A168="","",IFERROR(VLOOKUP(A168,Clientes_PDV!$A$2:$J$250,7,FALSE),""))</f>
        <v/>
      </c>
      <c r="F168" s="76" t="str">
        <f>IF(A168="","",IFERROR(VLOOKUP(A168,Clientes_PDV!$A$2:$J$250,8,FALSE),""))</f>
        <v/>
      </c>
      <c r="G168" s="77" t="str">
        <f t="shared" ca="1" si="8"/>
        <v/>
      </c>
      <c r="H168" s="75" t="str">
        <f>IF(A168="","",IF(F168="","Sin visita",IF(G168&lt;=IFERROR(VLOOKUP(E168,Inicio!$A$24:$B$26,2,FALSE),0),"Vigente","Atrasado")))</f>
        <v/>
      </c>
      <c r="I168" s="78" t="str">
        <f ca="1">IF(A168="","",SUMIFS(Ventas_SellIn!$L$2:$L$800,Ventas_SellIn!$D$2:$D$800,A168,Ventas_SellIn!$B$2:$B$800,"&gt;="&amp;TODAY()-Inicio!$B$14))</f>
        <v/>
      </c>
      <c r="J168" s="77" t="str">
        <f ca="1">IF(A168="","",SUMIFS(SellOut_Jumbo!$F$2:$F$800,SellOut_Jumbo!$C$2:$C$800,D168,SellOut_Jumbo!$A$2:$A$800,"&gt;="&amp;TODAY()-Inicio!$B$14))</f>
        <v/>
      </c>
      <c r="K168" s="75" t="str">
        <f>IF(A168="","",IF(I168=0,"Sin venta",IF(I168&lt;Inicio!$B$15,"Venta baja","Venta OK")))</f>
        <v/>
      </c>
      <c r="L168" s="77" t="str">
        <f>IF(A168="","",COUNTIFS(Ventas_SellIn!$D$2:$D$800,A168,Ventas_SellIn!$R$2:$R$800,"&gt;0"))</f>
        <v/>
      </c>
      <c r="M168" s="78" t="str">
        <f>IF(A168="","",SUMIFS(Ventas_SellIn!$R$2:$R$800,Ventas_SellIn!$D$2:$D$800,A168))</f>
        <v/>
      </c>
      <c r="N168" s="75" t="str">
        <f>IF(A168="","",IF(M168&gt;=Inicio!$B$18,"Pendiente relevante",IF(M168&gt;0,"Pendiente menor","Sin deuda")))</f>
        <v/>
      </c>
      <c r="O168" s="79" t="str">
        <f>IF(A168="","",SUMIFS(Stock_PDV!$H$2:$H$800,Stock_PDV!$A$2:$A$800,A168))</f>
        <v/>
      </c>
      <c r="P168" s="75" t="str">
        <f>IF(A168="","",IF(O168&lt;=Inicio!$B$16,"Crítico",IF(O168&lt;=Inicio!$B$17,"Observar","OK")))</f>
        <v/>
      </c>
      <c r="Q168" s="75" t="str">
        <f t="shared" si="9"/>
        <v/>
      </c>
      <c r="R168" s="75" t="str">
        <f t="shared" si="10"/>
        <v/>
      </c>
      <c r="S168" s="68" t="str">
        <f t="shared" si="11"/>
        <v/>
      </c>
      <c r="T168" s="68" t="str">
        <f>IF(A168="","",IFERROR(VLOOKUP(A168,Clientes_PDV!$A$2:$K$250,11,FALSE),""))</f>
        <v/>
      </c>
    </row>
    <row r="169" spans="1:20" x14ac:dyDescent="0.35">
      <c r="A169" s="80" t="str">
        <f>IF(Clientes_PDV!A169="","",Clientes_PDV!A169)</f>
        <v/>
      </c>
      <c r="B169" s="80" t="str">
        <f>IF(A169="","",IFERROR(VLOOKUP(A169,Clientes_PDV!$A$2:$J$250,2,FALSE),""))</f>
        <v/>
      </c>
      <c r="C169" s="80" t="str">
        <f>IF(A169="","",IFERROR(VLOOKUP(A169,Clientes_PDV!$A$2:$J$250,3,FALSE),""))</f>
        <v/>
      </c>
      <c r="D169" s="80" t="str">
        <f>IF(A169="","",IFERROR(VLOOKUP(A169,Clientes_PDV!$A$2:$J$250,4,FALSE),""))</f>
        <v/>
      </c>
      <c r="E169" s="80" t="str">
        <f>IF(A169="","",IFERROR(VLOOKUP(A169,Clientes_PDV!$A$2:$J$250,7,FALSE),""))</f>
        <v/>
      </c>
      <c r="F169" s="81" t="str">
        <f>IF(A169="","",IFERROR(VLOOKUP(A169,Clientes_PDV!$A$2:$J$250,8,FALSE),""))</f>
        <v/>
      </c>
      <c r="G169" s="82" t="str">
        <f t="shared" ca="1" si="8"/>
        <v/>
      </c>
      <c r="H169" s="80" t="str">
        <f>IF(A169="","",IF(F169="","Sin visita",IF(G169&lt;=IFERROR(VLOOKUP(E169,Inicio!$A$24:$B$26,2,FALSE),0),"Vigente","Atrasado")))</f>
        <v/>
      </c>
      <c r="I169" s="83" t="str">
        <f ca="1">IF(A169="","",SUMIFS(Ventas_SellIn!$L$2:$L$800,Ventas_SellIn!$D$2:$D$800,A169,Ventas_SellIn!$B$2:$B$800,"&gt;="&amp;TODAY()-Inicio!$B$14))</f>
        <v/>
      </c>
      <c r="J169" s="82" t="str">
        <f ca="1">IF(A169="","",SUMIFS(SellOut_Jumbo!$F$2:$F$800,SellOut_Jumbo!$C$2:$C$800,D169,SellOut_Jumbo!$A$2:$A$800,"&gt;="&amp;TODAY()-Inicio!$B$14))</f>
        <v/>
      </c>
      <c r="K169" s="80" t="str">
        <f>IF(A169="","",IF(I169=0,"Sin venta",IF(I169&lt;Inicio!$B$15,"Venta baja","Venta OK")))</f>
        <v/>
      </c>
      <c r="L169" s="82" t="str">
        <f>IF(A169="","",COUNTIFS(Ventas_SellIn!$D$2:$D$800,A169,Ventas_SellIn!$R$2:$R$800,"&gt;0"))</f>
        <v/>
      </c>
      <c r="M169" s="83" t="str">
        <f>IF(A169="","",SUMIFS(Ventas_SellIn!$R$2:$R$800,Ventas_SellIn!$D$2:$D$800,A169))</f>
        <v/>
      </c>
      <c r="N169" s="80" t="str">
        <f>IF(A169="","",IF(M169&gt;=Inicio!$B$18,"Pendiente relevante",IF(M169&gt;0,"Pendiente menor","Sin deuda")))</f>
        <v/>
      </c>
      <c r="O169" s="84" t="str">
        <f>IF(A169="","",SUMIFS(Stock_PDV!$H$2:$H$800,Stock_PDV!$A$2:$A$800,A169))</f>
        <v/>
      </c>
      <c r="P169" s="80" t="str">
        <f>IF(A169="","",IF(O169&lt;=Inicio!$B$16,"Crítico",IF(O169&lt;=Inicio!$B$17,"Observar","OK")))</f>
        <v/>
      </c>
      <c r="Q169" s="80" t="str">
        <f t="shared" si="9"/>
        <v/>
      </c>
      <c r="R169" s="80" t="str">
        <f t="shared" si="10"/>
        <v/>
      </c>
      <c r="S169" s="70" t="str">
        <f t="shared" si="11"/>
        <v/>
      </c>
      <c r="T169" s="70" t="str">
        <f>IF(A169="","",IFERROR(VLOOKUP(A169,Clientes_PDV!$A$2:$K$250,11,FALSE),""))</f>
        <v/>
      </c>
    </row>
    <row r="170" spans="1:20" x14ac:dyDescent="0.35">
      <c r="A170" s="75" t="str">
        <f>IF(Clientes_PDV!A170="","",Clientes_PDV!A170)</f>
        <v/>
      </c>
      <c r="B170" s="75" t="str">
        <f>IF(A170="","",IFERROR(VLOOKUP(A170,Clientes_PDV!$A$2:$J$250,2,FALSE),""))</f>
        <v/>
      </c>
      <c r="C170" s="75" t="str">
        <f>IF(A170="","",IFERROR(VLOOKUP(A170,Clientes_PDV!$A$2:$J$250,3,FALSE),""))</f>
        <v/>
      </c>
      <c r="D170" s="75" t="str">
        <f>IF(A170="","",IFERROR(VLOOKUP(A170,Clientes_PDV!$A$2:$J$250,4,FALSE),""))</f>
        <v/>
      </c>
      <c r="E170" s="75" t="str">
        <f>IF(A170="","",IFERROR(VLOOKUP(A170,Clientes_PDV!$A$2:$J$250,7,FALSE),""))</f>
        <v/>
      </c>
      <c r="F170" s="76" t="str">
        <f>IF(A170="","",IFERROR(VLOOKUP(A170,Clientes_PDV!$A$2:$J$250,8,FALSE),""))</f>
        <v/>
      </c>
      <c r="G170" s="77" t="str">
        <f t="shared" ca="1" si="8"/>
        <v/>
      </c>
      <c r="H170" s="75" t="str">
        <f>IF(A170="","",IF(F170="","Sin visita",IF(G170&lt;=IFERROR(VLOOKUP(E170,Inicio!$A$24:$B$26,2,FALSE),0),"Vigente","Atrasado")))</f>
        <v/>
      </c>
      <c r="I170" s="78" t="str">
        <f ca="1">IF(A170="","",SUMIFS(Ventas_SellIn!$L$2:$L$800,Ventas_SellIn!$D$2:$D$800,A170,Ventas_SellIn!$B$2:$B$800,"&gt;="&amp;TODAY()-Inicio!$B$14))</f>
        <v/>
      </c>
      <c r="J170" s="77" t="str">
        <f ca="1">IF(A170="","",SUMIFS(SellOut_Jumbo!$F$2:$F$800,SellOut_Jumbo!$C$2:$C$800,D170,SellOut_Jumbo!$A$2:$A$800,"&gt;="&amp;TODAY()-Inicio!$B$14))</f>
        <v/>
      </c>
      <c r="K170" s="75" t="str">
        <f>IF(A170="","",IF(I170=0,"Sin venta",IF(I170&lt;Inicio!$B$15,"Venta baja","Venta OK")))</f>
        <v/>
      </c>
      <c r="L170" s="77" t="str">
        <f>IF(A170="","",COUNTIFS(Ventas_SellIn!$D$2:$D$800,A170,Ventas_SellIn!$R$2:$R$800,"&gt;0"))</f>
        <v/>
      </c>
      <c r="M170" s="78" t="str">
        <f>IF(A170="","",SUMIFS(Ventas_SellIn!$R$2:$R$800,Ventas_SellIn!$D$2:$D$800,A170))</f>
        <v/>
      </c>
      <c r="N170" s="75" t="str">
        <f>IF(A170="","",IF(M170&gt;=Inicio!$B$18,"Pendiente relevante",IF(M170&gt;0,"Pendiente menor","Sin deuda")))</f>
        <v/>
      </c>
      <c r="O170" s="79" t="str">
        <f>IF(A170="","",SUMIFS(Stock_PDV!$H$2:$H$800,Stock_PDV!$A$2:$A$800,A170))</f>
        <v/>
      </c>
      <c r="P170" s="75" t="str">
        <f>IF(A170="","",IF(O170&lt;=Inicio!$B$16,"Crítico",IF(O170&lt;=Inicio!$B$17,"Observar","OK")))</f>
        <v/>
      </c>
      <c r="Q170" s="75" t="str">
        <f t="shared" si="9"/>
        <v/>
      </c>
      <c r="R170" s="75" t="str">
        <f t="shared" si="10"/>
        <v/>
      </c>
      <c r="S170" s="68" t="str">
        <f t="shared" si="11"/>
        <v/>
      </c>
      <c r="T170" s="68" t="str">
        <f>IF(A170="","",IFERROR(VLOOKUP(A170,Clientes_PDV!$A$2:$K$250,11,FALSE),""))</f>
        <v/>
      </c>
    </row>
    <row r="171" spans="1:20" x14ac:dyDescent="0.35">
      <c r="A171" s="80" t="str">
        <f>IF(Clientes_PDV!A171="","",Clientes_PDV!A171)</f>
        <v/>
      </c>
      <c r="B171" s="80" t="str">
        <f>IF(A171="","",IFERROR(VLOOKUP(A171,Clientes_PDV!$A$2:$J$250,2,FALSE),""))</f>
        <v/>
      </c>
      <c r="C171" s="80" t="str">
        <f>IF(A171="","",IFERROR(VLOOKUP(A171,Clientes_PDV!$A$2:$J$250,3,FALSE),""))</f>
        <v/>
      </c>
      <c r="D171" s="80" t="str">
        <f>IF(A171="","",IFERROR(VLOOKUP(A171,Clientes_PDV!$A$2:$J$250,4,FALSE),""))</f>
        <v/>
      </c>
      <c r="E171" s="80" t="str">
        <f>IF(A171="","",IFERROR(VLOOKUP(A171,Clientes_PDV!$A$2:$J$250,7,FALSE),""))</f>
        <v/>
      </c>
      <c r="F171" s="81" t="str">
        <f>IF(A171="","",IFERROR(VLOOKUP(A171,Clientes_PDV!$A$2:$J$250,8,FALSE),""))</f>
        <v/>
      </c>
      <c r="G171" s="82" t="str">
        <f t="shared" ca="1" si="8"/>
        <v/>
      </c>
      <c r="H171" s="80" t="str">
        <f>IF(A171="","",IF(F171="","Sin visita",IF(G171&lt;=IFERROR(VLOOKUP(E171,Inicio!$A$24:$B$26,2,FALSE),0),"Vigente","Atrasado")))</f>
        <v/>
      </c>
      <c r="I171" s="83" t="str">
        <f ca="1">IF(A171="","",SUMIFS(Ventas_SellIn!$L$2:$L$800,Ventas_SellIn!$D$2:$D$800,A171,Ventas_SellIn!$B$2:$B$800,"&gt;="&amp;TODAY()-Inicio!$B$14))</f>
        <v/>
      </c>
      <c r="J171" s="82" t="str">
        <f ca="1">IF(A171="","",SUMIFS(SellOut_Jumbo!$F$2:$F$800,SellOut_Jumbo!$C$2:$C$800,D171,SellOut_Jumbo!$A$2:$A$800,"&gt;="&amp;TODAY()-Inicio!$B$14))</f>
        <v/>
      </c>
      <c r="K171" s="80" t="str">
        <f>IF(A171="","",IF(I171=0,"Sin venta",IF(I171&lt;Inicio!$B$15,"Venta baja","Venta OK")))</f>
        <v/>
      </c>
      <c r="L171" s="82" t="str">
        <f>IF(A171="","",COUNTIFS(Ventas_SellIn!$D$2:$D$800,A171,Ventas_SellIn!$R$2:$R$800,"&gt;0"))</f>
        <v/>
      </c>
      <c r="M171" s="83" t="str">
        <f>IF(A171="","",SUMIFS(Ventas_SellIn!$R$2:$R$800,Ventas_SellIn!$D$2:$D$800,A171))</f>
        <v/>
      </c>
      <c r="N171" s="80" t="str">
        <f>IF(A171="","",IF(M171&gt;=Inicio!$B$18,"Pendiente relevante",IF(M171&gt;0,"Pendiente menor","Sin deuda")))</f>
        <v/>
      </c>
      <c r="O171" s="84" t="str">
        <f>IF(A171="","",SUMIFS(Stock_PDV!$H$2:$H$800,Stock_PDV!$A$2:$A$800,A171))</f>
        <v/>
      </c>
      <c r="P171" s="80" t="str">
        <f>IF(A171="","",IF(O171&lt;=Inicio!$B$16,"Crítico",IF(O171&lt;=Inicio!$B$17,"Observar","OK")))</f>
        <v/>
      </c>
      <c r="Q171" s="80" t="str">
        <f t="shared" si="9"/>
        <v/>
      </c>
      <c r="R171" s="80" t="str">
        <f t="shared" si="10"/>
        <v/>
      </c>
      <c r="S171" s="70" t="str">
        <f t="shared" si="11"/>
        <v/>
      </c>
      <c r="T171" s="70" t="str">
        <f>IF(A171="","",IFERROR(VLOOKUP(A171,Clientes_PDV!$A$2:$K$250,11,FALSE),""))</f>
        <v/>
      </c>
    </row>
    <row r="172" spans="1:20" x14ac:dyDescent="0.35">
      <c r="A172" s="75" t="str">
        <f>IF(Clientes_PDV!A172="","",Clientes_PDV!A172)</f>
        <v/>
      </c>
      <c r="B172" s="75" t="str">
        <f>IF(A172="","",IFERROR(VLOOKUP(A172,Clientes_PDV!$A$2:$J$250,2,FALSE),""))</f>
        <v/>
      </c>
      <c r="C172" s="75" t="str">
        <f>IF(A172="","",IFERROR(VLOOKUP(A172,Clientes_PDV!$A$2:$J$250,3,FALSE),""))</f>
        <v/>
      </c>
      <c r="D172" s="75" t="str">
        <f>IF(A172="","",IFERROR(VLOOKUP(A172,Clientes_PDV!$A$2:$J$250,4,FALSE),""))</f>
        <v/>
      </c>
      <c r="E172" s="75" t="str">
        <f>IF(A172="","",IFERROR(VLOOKUP(A172,Clientes_PDV!$A$2:$J$250,7,FALSE),""))</f>
        <v/>
      </c>
      <c r="F172" s="76" t="str">
        <f>IF(A172="","",IFERROR(VLOOKUP(A172,Clientes_PDV!$A$2:$J$250,8,FALSE),""))</f>
        <v/>
      </c>
      <c r="G172" s="77" t="str">
        <f t="shared" ca="1" si="8"/>
        <v/>
      </c>
      <c r="H172" s="75" t="str">
        <f>IF(A172="","",IF(F172="","Sin visita",IF(G172&lt;=IFERROR(VLOOKUP(E172,Inicio!$A$24:$B$26,2,FALSE),0),"Vigente","Atrasado")))</f>
        <v/>
      </c>
      <c r="I172" s="78" t="str">
        <f ca="1">IF(A172="","",SUMIFS(Ventas_SellIn!$L$2:$L$800,Ventas_SellIn!$D$2:$D$800,A172,Ventas_SellIn!$B$2:$B$800,"&gt;="&amp;TODAY()-Inicio!$B$14))</f>
        <v/>
      </c>
      <c r="J172" s="77" t="str">
        <f ca="1">IF(A172="","",SUMIFS(SellOut_Jumbo!$F$2:$F$800,SellOut_Jumbo!$C$2:$C$800,D172,SellOut_Jumbo!$A$2:$A$800,"&gt;="&amp;TODAY()-Inicio!$B$14))</f>
        <v/>
      </c>
      <c r="K172" s="75" t="str">
        <f>IF(A172="","",IF(I172=0,"Sin venta",IF(I172&lt;Inicio!$B$15,"Venta baja","Venta OK")))</f>
        <v/>
      </c>
      <c r="L172" s="77" t="str">
        <f>IF(A172="","",COUNTIFS(Ventas_SellIn!$D$2:$D$800,A172,Ventas_SellIn!$R$2:$R$800,"&gt;0"))</f>
        <v/>
      </c>
      <c r="M172" s="78" t="str">
        <f>IF(A172="","",SUMIFS(Ventas_SellIn!$R$2:$R$800,Ventas_SellIn!$D$2:$D$800,A172))</f>
        <v/>
      </c>
      <c r="N172" s="75" t="str">
        <f>IF(A172="","",IF(M172&gt;=Inicio!$B$18,"Pendiente relevante",IF(M172&gt;0,"Pendiente menor","Sin deuda")))</f>
        <v/>
      </c>
      <c r="O172" s="79" t="str">
        <f>IF(A172="","",SUMIFS(Stock_PDV!$H$2:$H$800,Stock_PDV!$A$2:$A$800,A172))</f>
        <v/>
      </c>
      <c r="P172" s="75" t="str">
        <f>IF(A172="","",IF(O172&lt;=Inicio!$B$16,"Crítico",IF(O172&lt;=Inicio!$B$17,"Observar","OK")))</f>
        <v/>
      </c>
      <c r="Q172" s="75" t="str">
        <f t="shared" si="9"/>
        <v/>
      </c>
      <c r="R172" s="75" t="str">
        <f t="shared" si="10"/>
        <v/>
      </c>
      <c r="S172" s="68" t="str">
        <f t="shared" si="11"/>
        <v/>
      </c>
      <c r="T172" s="68" t="str">
        <f>IF(A172="","",IFERROR(VLOOKUP(A172,Clientes_PDV!$A$2:$K$250,11,FALSE),""))</f>
        <v/>
      </c>
    </row>
    <row r="173" spans="1:20" x14ac:dyDescent="0.35">
      <c r="A173" s="80" t="str">
        <f>IF(Clientes_PDV!A173="","",Clientes_PDV!A173)</f>
        <v/>
      </c>
      <c r="B173" s="80" t="str">
        <f>IF(A173="","",IFERROR(VLOOKUP(A173,Clientes_PDV!$A$2:$J$250,2,FALSE),""))</f>
        <v/>
      </c>
      <c r="C173" s="80" t="str">
        <f>IF(A173="","",IFERROR(VLOOKUP(A173,Clientes_PDV!$A$2:$J$250,3,FALSE),""))</f>
        <v/>
      </c>
      <c r="D173" s="80" t="str">
        <f>IF(A173="","",IFERROR(VLOOKUP(A173,Clientes_PDV!$A$2:$J$250,4,FALSE),""))</f>
        <v/>
      </c>
      <c r="E173" s="80" t="str">
        <f>IF(A173="","",IFERROR(VLOOKUP(A173,Clientes_PDV!$A$2:$J$250,7,FALSE),""))</f>
        <v/>
      </c>
      <c r="F173" s="81" t="str">
        <f>IF(A173="","",IFERROR(VLOOKUP(A173,Clientes_PDV!$A$2:$J$250,8,FALSE),""))</f>
        <v/>
      </c>
      <c r="G173" s="82" t="str">
        <f t="shared" ca="1" si="8"/>
        <v/>
      </c>
      <c r="H173" s="80" t="str">
        <f>IF(A173="","",IF(F173="","Sin visita",IF(G173&lt;=IFERROR(VLOOKUP(E173,Inicio!$A$24:$B$26,2,FALSE),0),"Vigente","Atrasado")))</f>
        <v/>
      </c>
      <c r="I173" s="83" t="str">
        <f ca="1">IF(A173="","",SUMIFS(Ventas_SellIn!$L$2:$L$800,Ventas_SellIn!$D$2:$D$800,A173,Ventas_SellIn!$B$2:$B$800,"&gt;="&amp;TODAY()-Inicio!$B$14))</f>
        <v/>
      </c>
      <c r="J173" s="82" t="str">
        <f ca="1">IF(A173="","",SUMIFS(SellOut_Jumbo!$F$2:$F$800,SellOut_Jumbo!$C$2:$C$800,D173,SellOut_Jumbo!$A$2:$A$800,"&gt;="&amp;TODAY()-Inicio!$B$14))</f>
        <v/>
      </c>
      <c r="K173" s="80" t="str">
        <f>IF(A173="","",IF(I173=0,"Sin venta",IF(I173&lt;Inicio!$B$15,"Venta baja","Venta OK")))</f>
        <v/>
      </c>
      <c r="L173" s="82" t="str">
        <f>IF(A173="","",COUNTIFS(Ventas_SellIn!$D$2:$D$800,A173,Ventas_SellIn!$R$2:$R$800,"&gt;0"))</f>
        <v/>
      </c>
      <c r="M173" s="83" t="str">
        <f>IF(A173="","",SUMIFS(Ventas_SellIn!$R$2:$R$800,Ventas_SellIn!$D$2:$D$800,A173))</f>
        <v/>
      </c>
      <c r="N173" s="80" t="str">
        <f>IF(A173="","",IF(M173&gt;=Inicio!$B$18,"Pendiente relevante",IF(M173&gt;0,"Pendiente menor","Sin deuda")))</f>
        <v/>
      </c>
      <c r="O173" s="84" t="str">
        <f>IF(A173="","",SUMIFS(Stock_PDV!$H$2:$H$800,Stock_PDV!$A$2:$A$800,A173))</f>
        <v/>
      </c>
      <c r="P173" s="80" t="str">
        <f>IF(A173="","",IF(O173&lt;=Inicio!$B$16,"Crítico",IF(O173&lt;=Inicio!$B$17,"Observar","OK")))</f>
        <v/>
      </c>
      <c r="Q173" s="80" t="str">
        <f t="shared" si="9"/>
        <v/>
      </c>
      <c r="R173" s="80" t="str">
        <f t="shared" si="10"/>
        <v/>
      </c>
      <c r="S173" s="70" t="str">
        <f t="shared" si="11"/>
        <v/>
      </c>
      <c r="T173" s="70" t="str">
        <f>IF(A173="","",IFERROR(VLOOKUP(A173,Clientes_PDV!$A$2:$K$250,11,FALSE),""))</f>
        <v/>
      </c>
    </row>
    <row r="174" spans="1:20" x14ac:dyDescent="0.35">
      <c r="A174" s="75" t="str">
        <f>IF(Clientes_PDV!A174="","",Clientes_PDV!A174)</f>
        <v/>
      </c>
      <c r="B174" s="75" t="str">
        <f>IF(A174="","",IFERROR(VLOOKUP(A174,Clientes_PDV!$A$2:$J$250,2,FALSE),""))</f>
        <v/>
      </c>
      <c r="C174" s="75" t="str">
        <f>IF(A174="","",IFERROR(VLOOKUP(A174,Clientes_PDV!$A$2:$J$250,3,FALSE),""))</f>
        <v/>
      </c>
      <c r="D174" s="75" t="str">
        <f>IF(A174="","",IFERROR(VLOOKUP(A174,Clientes_PDV!$A$2:$J$250,4,FALSE),""))</f>
        <v/>
      </c>
      <c r="E174" s="75" t="str">
        <f>IF(A174="","",IFERROR(VLOOKUP(A174,Clientes_PDV!$A$2:$J$250,7,FALSE),""))</f>
        <v/>
      </c>
      <c r="F174" s="76" t="str">
        <f>IF(A174="","",IFERROR(VLOOKUP(A174,Clientes_PDV!$A$2:$J$250,8,FALSE),""))</f>
        <v/>
      </c>
      <c r="G174" s="77" t="str">
        <f t="shared" ca="1" si="8"/>
        <v/>
      </c>
      <c r="H174" s="75" t="str">
        <f>IF(A174="","",IF(F174="","Sin visita",IF(G174&lt;=IFERROR(VLOOKUP(E174,Inicio!$A$24:$B$26,2,FALSE),0),"Vigente","Atrasado")))</f>
        <v/>
      </c>
      <c r="I174" s="78" t="str">
        <f ca="1">IF(A174="","",SUMIFS(Ventas_SellIn!$L$2:$L$800,Ventas_SellIn!$D$2:$D$800,A174,Ventas_SellIn!$B$2:$B$800,"&gt;="&amp;TODAY()-Inicio!$B$14))</f>
        <v/>
      </c>
      <c r="J174" s="77" t="str">
        <f ca="1">IF(A174="","",SUMIFS(SellOut_Jumbo!$F$2:$F$800,SellOut_Jumbo!$C$2:$C$800,D174,SellOut_Jumbo!$A$2:$A$800,"&gt;="&amp;TODAY()-Inicio!$B$14))</f>
        <v/>
      </c>
      <c r="K174" s="75" t="str">
        <f>IF(A174="","",IF(I174=0,"Sin venta",IF(I174&lt;Inicio!$B$15,"Venta baja","Venta OK")))</f>
        <v/>
      </c>
      <c r="L174" s="77" t="str">
        <f>IF(A174="","",COUNTIFS(Ventas_SellIn!$D$2:$D$800,A174,Ventas_SellIn!$R$2:$R$800,"&gt;0"))</f>
        <v/>
      </c>
      <c r="M174" s="78" t="str">
        <f>IF(A174="","",SUMIFS(Ventas_SellIn!$R$2:$R$800,Ventas_SellIn!$D$2:$D$800,A174))</f>
        <v/>
      </c>
      <c r="N174" s="75" t="str">
        <f>IF(A174="","",IF(M174&gt;=Inicio!$B$18,"Pendiente relevante",IF(M174&gt;0,"Pendiente menor","Sin deuda")))</f>
        <v/>
      </c>
      <c r="O174" s="79" t="str">
        <f>IF(A174="","",SUMIFS(Stock_PDV!$H$2:$H$800,Stock_PDV!$A$2:$A$800,A174))</f>
        <v/>
      </c>
      <c r="P174" s="75" t="str">
        <f>IF(A174="","",IF(O174&lt;=Inicio!$B$16,"Crítico",IF(O174&lt;=Inicio!$B$17,"Observar","OK")))</f>
        <v/>
      </c>
      <c r="Q174" s="75" t="str">
        <f t="shared" si="9"/>
        <v/>
      </c>
      <c r="R174" s="75" t="str">
        <f t="shared" si="10"/>
        <v/>
      </c>
      <c r="S174" s="68" t="str">
        <f t="shared" si="11"/>
        <v/>
      </c>
      <c r="T174" s="68" t="str">
        <f>IF(A174="","",IFERROR(VLOOKUP(A174,Clientes_PDV!$A$2:$K$250,11,FALSE),""))</f>
        <v/>
      </c>
    </row>
    <row r="175" spans="1:20" x14ac:dyDescent="0.35">
      <c r="A175" s="80" t="str">
        <f>IF(Clientes_PDV!A175="","",Clientes_PDV!A175)</f>
        <v/>
      </c>
      <c r="B175" s="80" t="str">
        <f>IF(A175="","",IFERROR(VLOOKUP(A175,Clientes_PDV!$A$2:$J$250,2,FALSE),""))</f>
        <v/>
      </c>
      <c r="C175" s="80" t="str">
        <f>IF(A175="","",IFERROR(VLOOKUP(A175,Clientes_PDV!$A$2:$J$250,3,FALSE),""))</f>
        <v/>
      </c>
      <c r="D175" s="80" t="str">
        <f>IF(A175="","",IFERROR(VLOOKUP(A175,Clientes_PDV!$A$2:$J$250,4,FALSE),""))</f>
        <v/>
      </c>
      <c r="E175" s="80" t="str">
        <f>IF(A175="","",IFERROR(VLOOKUP(A175,Clientes_PDV!$A$2:$J$250,7,FALSE),""))</f>
        <v/>
      </c>
      <c r="F175" s="81" t="str">
        <f>IF(A175="","",IFERROR(VLOOKUP(A175,Clientes_PDV!$A$2:$J$250,8,FALSE),""))</f>
        <v/>
      </c>
      <c r="G175" s="82" t="str">
        <f t="shared" ca="1" si="8"/>
        <v/>
      </c>
      <c r="H175" s="80" t="str">
        <f>IF(A175="","",IF(F175="","Sin visita",IF(G175&lt;=IFERROR(VLOOKUP(E175,Inicio!$A$24:$B$26,2,FALSE),0),"Vigente","Atrasado")))</f>
        <v/>
      </c>
      <c r="I175" s="83" t="str">
        <f ca="1">IF(A175="","",SUMIFS(Ventas_SellIn!$L$2:$L$800,Ventas_SellIn!$D$2:$D$800,A175,Ventas_SellIn!$B$2:$B$800,"&gt;="&amp;TODAY()-Inicio!$B$14))</f>
        <v/>
      </c>
      <c r="J175" s="82" t="str">
        <f ca="1">IF(A175="","",SUMIFS(SellOut_Jumbo!$F$2:$F$800,SellOut_Jumbo!$C$2:$C$800,D175,SellOut_Jumbo!$A$2:$A$800,"&gt;="&amp;TODAY()-Inicio!$B$14))</f>
        <v/>
      </c>
      <c r="K175" s="80" t="str">
        <f>IF(A175="","",IF(I175=0,"Sin venta",IF(I175&lt;Inicio!$B$15,"Venta baja","Venta OK")))</f>
        <v/>
      </c>
      <c r="L175" s="82" t="str">
        <f>IF(A175="","",COUNTIFS(Ventas_SellIn!$D$2:$D$800,A175,Ventas_SellIn!$R$2:$R$800,"&gt;0"))</f>
        <v/>
      </c>
      <c r="M175" s="83" t="str">
        <f>IF(A175="","",SUMIFS(Ventas_SellIn!$R$2:$R$800,Ventas_SellIn!$D$2:$D$800,A175))</f>
        <v/>
      </c>
      <c r="N175" s="80" t="str">
        <f>IF(A175="","",IF(M175&gt;=Inicio!$B$18,"Pendiente relevante",IF(M175&gt;0,"Pendiente menor","Sin deuda")))</f>
        <v/>
      </c>
      <c r="O175" s="84" t="str">
        <f>IF(A175="","",SUMIFS(Stock_PDV!$H$2:$H$800,Stock_PDV!$A$2:$A$800,A175))</f>
        <v/>
      </c>
      <c r="P175" s="80" t="str">
        <f>IF(A175="","",IF(O175&lt;=Inicio!$B$16,"Crítico",IF(O175&lt;=Inicio!$B$17,"Observar","OK")))</f>
        <v/>
      </c>
      <c r="Q175" s="80" t="str">
        <f t="shared" si="9"/>
        <v/>
      </c>
      <c r="R175" s="80" t="str">
        <f t="shared" si="10"/>
        <v/>
      </c>
      <c r="S175" s="70" t="str">
        <f t="shared" si="11"/>
        <v/>
      </c>
      <c r="T175" s="70" t="str">
        <f>IF(A175="","",IFERROR(VLOOKUP(A175,Clientes_PDV!$A$2:$K$250,11,FALSE),""))</f>
        <v/>
      </c>
    </row>
    <row r="176" spans="1:20" x14ac:dyDescent="0.35">
      <c r="A176" s="75" t="str">
        <f>IF(Clientes_PDV!A176="","",Clientes_PDV!A176)</f>
        <v/>
      </c>
      <c r="B176" s="75" t="str">
        <f>IF(A176="","",IFERROR(VLOOKUP(A176,Clientes_PDV!$A$2:$J$250,2,FALSE),""))</f>
        <v/>
      </c>
      <c r="C176" s="75" t="str">
        <f>IF(A176="","",IFERROR(VLOOKUP(A176,Clientes_PDV!$A$2:$J$250,3,FALSE),""))</f>
        <v/>
      </c>
      <c r="D176" s="75" t="str">
        <f>IF(A176="","",IFERROR(VLOOKUP(A176,Clientes_PDV!$A$2:$J$250,4,FALSE),""))</f>
        <v/>
      </c>
      <c r="E176" s="75" t="str">
        <f>IF(A176="","",IFERROR(VLOOKUP(A176,Clientes_PDV!$A$2:$J$250,7,FALSE),""))</f>
        <v/>
      </c>
      <c r="F176" s="76" t="str">
        <f>IF(A176="","",IFERROR(VLOOKUP(A176,Clientes_PDV!$A$2:$J$250,8,FALSE),""))</f>
        <v/>
      </c>
      <c r="G176" s="77" t="str">
        <f t="shared" ca="1" si="8"/>
        <v/>
      </c>
      <c r="H176" s="75" t="str">
        <f>IF(A176="","",IF(F176="","Sin visita",IF(G176&lt;=IFERROR(VLOOKUP(E176,Inicio!$A$24:$B$26,2,FALSE),0),"Vigente","Atrasado")))</f>
        <v/>
      </c>
      <c r="I176" s="78" t="str">
        <f ca="1">IF(A176="","",SUMIFS(Ventas_SellIn!$L$2:$L$800,Ventas_SellIn!$D$2:$D$800,A176,Ventas_SellIn!$B$2:$B$800,"&gt;="&amp;TODAY()-Inicio!$B$14))</f>
        <v/>
      </c>
      <c r="J176" s="77" t="str">
        <f ca="1">IF(A176="","",SUMIFS(SellOut_Jumbo!$F$2:$F$800,SellOut_Jumbo!$C$2:$C$800,D176,SellOut_Jumbo!$A$2:$A$800,"&gt;="&amp;TODAY()-Inicio!$B$14))</f>
        <v/>
      </c>
      <c r="K176" s="75" t="str">
        <f>IF(A176="","",IF(I176=0,"Sin venta",IF(I176&lt;Inicio!$B$15,"Venta baja","Venta OK")))</f>
        <v/>
      </c>
      <c r="L176" s="77" t="str">
        <f>IF(A176="","",COUNTIFS(Ventas_SellIn!$D$2:$D$800,A176,Ventas_SellIn!$R$2:$R$800,"&gt;0"))</f>
        <v/>
      </c>
      <c r="M176" s="78" t="str">
        <f>IF(A176="","",SUMIFS(Ventas_SellIn!$R$2:$R$800,Ventas_SellIn!$D$2:$D$800,A176))</f>
        <v/>
      </c>
      <c r="N176" s="75" t="str">
        <f>IF(A176="","",IF(M176&gt;=Inicio!$B$18,"Pendiente relevante",IF(M176&gt;0,"Pendiente menor","Sin deuda")))</f>
        <v/>
      </c>
      <c r="O176" s="79" t="str">
        <f>IF(A176="","",SUMIFS(Stock_PDV!$H$2:$H$800,Stock_PDV!$A$2:$A$800,A176))</f>
        <v/>
      </c>
      <c r="P176" s="75" t="str">
        <f>IF(A176="","",IF(O176&lt;=Inicio!$B$16,"Crítico",IF(O176&lt;=Inicio!$B$17,"Observar","OK")))</f>
        <v/>
      </c>
      <c r="Q176" s="75" t="str">
        <f t="shared" si="9"/>
        <v/>
      </c>
      <c r="R176" s="75" t="str">
        <f t="shared" si="10"/>
        <v/>
      </c>
      <c r="S176" s="68" t="str">
        <f t="shared" si="11"/>
        <v/>
      </c>
      <c r="T176" s="68" t="str">
        <f>IF(A176="","",IFERROR(VLOOKUP(A176,Clientes_PDV!$A$2:$K$250,11,FALSE),""))</f>
        <v/>
      </c>
    </row>
    <row r="177" spans="1:20" x14ac:dyDescent="0.35">
      <c r="A177" s="80" t="str">
        <f>IF(Clientes_PDV!A177="","",Clientes_PDV!A177)</f>
        <v/>
      </c>
      <c r="B177" s="80" t="str">
        <f>IF(A177="","",IFERROR(VLOOKUP(A177,Clientes_PDV!$A$2:$J$250,2,FALSE),""))</f>
        <v/>
      </c>
      <c r="C177" s="80" t="str">
        <f>IF(A177="","",IFERROR(VLOOKUP(A177,Clientes_PDV!$A$2:$J$250,3,FALSE),""))</f>
        <v/>
      </c>
      <c r="D177" s="80" t="str">
        <f>IF(A177="","",IFERROR(VLOOKUP(A177,Clientes_PDV!$A$2:$J$250,4,FALSE),""))</f>
        <v/>
      </c>
      <c r="E177" s="80" t="str">
        <f>IF(A177="","",IFERROR(VLOOKUP(A177,Clientes_PDV!$A$2:$J$250,7,FALSE),""))</f>
        <v/>
      </c>
      <c r="F177" s="81" t="str">
        <f>IF(A177="","",IFERROR(VLOOKUP(A177,Clientes_PDV!$A$2:$J$250,8,FALSE),""))</f>
        <v/>
      </c>
      <c r="G177" s="82" t="str">
        <f t="shared" ca="1" si="8"/>
        <v/>
      </c>
      <c r="H177" s="80" t="str">
        <f>IF(A177="","",IF(F177="","Sin visita",IF(G177&lt;=IFERROR(VLOOKUP(E177,Inicio!$A$24:$B$26,2,FALSE),0),"Vigente","Atrasado")))</f>
        <v/>
      </c>
      <c r="I177" s="83" t="str">
        <f ca="1">IF(A177="","",SUMIFS(Ventas_SellIn!$L$2:$L$800,Ventas_SellIn!$D$2:$D$800,A177,Ventas_SellIn!$B$2:$B$800,"&gt;="&amp;TODAY()-Inicio!$B$14))</f>
        <v/>
      </c>
      <c r="J177" s="82" t="str">
        <f ca="1">IF(A177="","",SUMIFS(SellOut_Jumbo!$F$2:$F$800,SellOut_Jumbo!$C$2:$C$800,D177,SellOut_Jumbo!$A$2:$A$800,"&gt;="&amp;TODAY()-Inicio!$B$14))</f>
        <v/>
      </c>
      <c r="K177" s="80" t="str">
        <f>IF(A177="","",IF(I177=0,"Sin venta",IF(I177&lt;Inicio!$B$15,"Venta baja","Venta OK")))</f>
        <v/>
      </c>
      <c r="L177" s="82" t="str">
        <f>IF(A177="","",COUNTIFS(Ventas_SellIn!$D$2:$D$800,A177,Ventas_SellIn!$R$2:$R$800,"&gt;0"))</f>
        <v/>
      </c>
      <c r="M177" s="83" t="str">
        <f>IF(A177="","",SUMIFS(Ventas_SellIn!$R$2:$R$800,Ventas_SellIn!$D$2:$D$800,A177))</f>
        <v/>
      </c>
      <c r="N177" s="80" t="str">
        <f>IF(A177="","",IF(M177&gt;=Inicio!$B$18,"Pendiente relevante",IF(M177&gt;0,"Pendiente menor","Sin deuda")))</f>
        <v/>
      </c>
      <c r="O177" s="84" t="str">
        <f>IF(A177="","",SUMIFS(Stock_PDV!$H$2:$H$800,Stock_PDV!$A$2:$A$800,A177))</f>
        <v/>
      </c>
      <c r="P177" s="80" t="str">
        <f>IF(A177="","",IF(O177&lt;=Inicio!$B$16,"Crítico",IF(O177&lt;=Inicio!$B$17,"Observar","OK")))</f>
        <v/>
      </c>
      <c r="Q177" s="80" t="str">
        <f t="shared" si="9"/>
        <v/>
      </c>
      <c r="R177" s="80" t="str">
        <f t="shared" si="10"/>
        <v/>
      </c>
      <c r="S177" s="70" t="str">
        <f t="shared" si="11"/>
        <v/>
      </c>
      <c r="T177" s="70" t="str">
        <f>IF(A177="","",IFERROR(VLOOKUP(A177,Clientes_PDV!$A$2:$K$250,11,FALSE),""))</f>
        <v/>
      </c>
    </row>
    <row r="178" spans="1:20" x14ac:dyDescent="0.35">
      <c r="A178" s="75" t="str">
        <f>IF(Clientes_PDV!A178="","",Clientes_PDV!A178)</f>
        <v/>
      </c>
      <c r="B178" s="75" t="str">
        <f>IF(A178="","",IFERROR(VLOOKUP(A178,Clientes_PDV!$A$2:$J$250,2,FALSE),""))</f>
        <v/>
      </c>
      <c r="C178" s="75" t="str">
        <f>IF(A178="","",IFERROR(VLOOKUP(A178,Clientes_PDV!$A$2:$J$250,3,FALSE),""))</f>
        <v/>
      </c>
      <c r="D178" s="75" t="str">
        <f>IF(A178="","",IFERROR(VLOOKUP(A178,Clientes_PDV!$A$2:$J$250,4,FALSE),""))</f>
        <v/>
      </c>
      <c r="E178" s="75" t="str">
        <f>IF(A178="","",IFERROR(VLOOKUP(A178,Clientes_PDV!$A$2:$J$250,7,FALSE),""))</f>
        <v/>
      </c>
      <c r="F178" s="76" t="str">
        <f>IF(A178="","",IFERROR(VLOOKUP(A178,Clientes_PDV!$A$2:$J$250,8,FALSE),""))</f>
        <v/>
      </c>
      <c r="G178" s="77" t="str">
        <f t="shared" ca="1" si="8"/>
        <v/>
      </c>
      <c r="H178" s="75" t="str">
        <f>IF(A178="","",IF(F178="","Sin visita",IF(G178&lt;=IFERROR(VLOOKUP(E178,Inicio!$A$24:$B$26,2,FALSE),0),"Vigente","Atrasado")))</f>
        <v/>
      </c>
      <c r="I178" s="78" t="str">
        <f ca="1">IF(A178="","",SUMIFS(Ventas_SellIn!$L$2:$L$800,Ventas_SellIn!$D$2:$D$800,A178,Ventas_SellIn!$B$2:$B$800,"&gt;="&amp;TODAY()-Inicio!$B$14))</f>
        <v/>
      </c>
      <c r="J178" s="77" t="str">
        <f ca="1">IF(A178="","",SUMIFS(SellOut_Jumbo!$F$2:$F$800,SellOut_Jumbo!$C$2:$C$800,D178,SellOut_Jumbo!$A$2:$A$800,"&gt;="&amp;TODAY()-Inicio!$B$14))</f>
        <v/>
      </c>
      <c r="K178" s="75" t="str">
        <f>IF(A178="","",IF(I178=0,"Sin venta",IF(I178&lt;Inicio!$B$15,"Venta baja","Venta OK")))</f>
        <v/>
      </c>
      <c r="L178" s="77" t="str">
        <f>IF(A178="","",COUNTIFS(Ventas_SellIn!$D$2:$D$800,A178,Ventas_SellIn!$R$2:$R$800,"&gt;0"))</f>
        <v/>
      </c>
      <c r="M178" s="78" t="str">
        <f>IF(A178="","",SUMIFS(Ventas_SellIn!$R$2:$R$800,Ventas_SellIn!$D$2:$D$800,A178))</f>
        <v/>
      </c>
      <c r="N178" s="75" t="str">
        <f>IF(A178="","",IF(M178&gt;=Inicio!$B$18,"Pendiente relevante",IF(M178&gt;0,"Pendiente menor","Sin deuda")))</f>
        <v/>
      </c>
      <c r="O178" s="79" t="str">
        <f>IF(A178="","",SUMIFS(Stock_PDV!$H$2:$H$800,Stock_PDV!$A$2:$A$800,A178))</f>
        <v/>
      </c>
      <c r="P178" s="75" t="str">
        <f>IF(A178="","",IF(O178&lt;=Inicio!$B$16,"Crítico",IF(O178&lt;=Inicio!$B$17,"Observar","OK")))</f>
        <v/>
      </c>
      <c r="Q178" s="75" t="str">
        <f t="shared" si="9"/>
        <v/>
      </c>
      <c r="R178" s="75" t="str">
        <f t="shared" si="10"/>
        <v/>
      </c>
      <c r="S178" s="68" t="str">
        <f t="shared" si="11"/>
        <v/>
      </c>
      <c r="T178" s="68" t="str">
        <f>IF(A178="","",IFERROR(VLOOKUP(A178,Clientes_PDV!$A$2:$K$250,11,FALSE),""))</f>
        <v/>
      </c>
    </row>
    <row r="179" spans="1:20" x14ac:dyDescent="0.35">
      <c r="A179" s="80" t="str">
        <f>IF(Clientes_PDV!A179="","",Clientes_PDV!A179)</f>
        <v/>
      </c>
      <c r="B179" s="80" t="str">
        <f>IF(A179="","",IFERROR(VLOOKUP(A179,Clientes_PDV!$A$2:$J$250,2,FALSE),""))</f>
        <v/>
      </c>
      <c r="C179" s="80" t="str">
        <f>IF(A179="","",IFERROR(VLOOKUP(A179,Clientes_PDV!$A$2:$J$250,3,FALSE),""))</f>
        <v/>
      </c>
      <c r="D179" s="80" t="str">
        <f>IF(A179="","",IFERROR(VLOOKUP(A179,Clientes_PDV!$A$2:$J$250,4,FALSE),""))</f>
        <v/>
      </c>
      <c r="E179" s="80" t="str">
        <f>IF(A179="","",IFERROR(VLOOKUP(A179,Clientes_PDV!$A$2:$J$250,7,FALSE),""))</f>
        <v/>
      </c>
      <c r="F179" s="81" t="str">
        <f>IF(A179="","",IFERROR(VLOOKUP(A179,Clientes_PDV!$A$2:$J$250,8,FALSE),""))</f>
        <v/>
      </c>
      <c r="G179" s="82" t="str">
        <f t="shared" ca="1" si="8"/>
        <v/>
      </c>
      <c r="H179" s="80" t="str">
        <f>IF(A179="","",IF(F179="","Sin visita",IF(G179&lt;=IFERROR(VLOOKUP(E179,Inicio!$A$24:$B$26,2,FALSE),0),"Vigente","Atrasado")))</f>
        <v/>
      </c>
      <c r="I179" s="83" t="str">
        <f ca="1">IF(A179="","",SUMIFS(Ventas_SellIn!$L$2:$L$800,Ventas_SellIn!$D$2:$D$800,A179,Ventas_SellIn!$B$2:$B$800,"&gt;="&amp;TODAY()-Inicio!$B$14))</f>
        <v/>
      </c>
      <c r="J179" s="82" t="str">
        <f ca="1">IF(A179="","",SUMIFS(SellOut_Jumbo!$F$2:$F$800,SellOut_Jumbo!$C$2:$C$800,D179,SellOut_Jumbo!$A$2:$A$800,"&gt;="&amp;TODAY()-Inicio!$B$14))</f>
        <v/>
      </c>
      <c r="K179" s="80" t="str">
        <f>IF(A179="","",IF(I179=0,"Sin venta",IF(I179&lt;Inicio!$B$15,"Venta baja","Venta OK")))</f>
        <v/>
      </c>
      <c r="L179" s="82" t="str">
        <f>IF(A179="","",COUNTIFS(Ventas_SellIn!$D$2:$D$800,A179,Ventas_SellIn!$R$2:$R$800,"&gt;0"))</f>
        <v/>
      </c>
      <c r="M179" s="83" t="str">
        <f>IF(A179="","",SUMIFS(Ventas_SellIn!$R$2:$R$800,Ventas_SellIn!$D$2:$D$800,A179))</f>
        <v/>
      </c>
      <c r="N179" s="80" t="str">
        <f>IF(A179="","",IF(M179&gt;=Inicio!$B$18,"Pendiente relevante",IF(M179&gt;0,"Pendiente menor","Sin deuda")))</f>
        <v/>
      </c>
      <c r="O179" s="84" t="str">
        <f>IF(A179="","",SUMIFS(Stock_PDV!$H$2:$H$800,Stock_PDV!$A$2:$A$800,A179))</f>
        <v/>
      </c>
      <c r="P179" s="80" t="str">
        <f>IF(A179="","",IF(O179&lt;=Inicio!$B$16,"Crítico",IF(O179&lt;=Inicio!$B$17,"Observar","OK")))</f>
        <v/>
      </c>
      <c r="Q179" s="80" t="str">
        <f t="shared" si="9"/>
        <v/>
      </c>
      <c r="R179" s="80" t="str">
        <f t="shared" si="10"/>
        <v/>
      </c>
      <c r="S179" s="70" t="str">
        <f t="shared" si="11"/>
        <v/>
      </c>
      <c r="T179" s="70" t="str">
        <f>IF(A179="","",IFERROR(VLOOKUP(A179,Clientes_PDV!$A$2:$K$250,11,FALSE),""))</f>
        <v/>
      </c>
    </row>
    <row r="180" spans="1:20" x14ac:dyDescent="0.35">
      <c r="A180" s="75" t="str">
        <f>IF(Clientes_PDV!A180="","",Clientes_PDV!A180)</f>
        <v/>
      </c>
      <c r="B180" s="75" t="str">
        <f>IF(A180="","",IFERROR(VLOOKUP(A180,Clientes_PDV!$A$2:$J$250,2,FALSE),""))</f>
        <v/>
      </c>
      <c r="C180" s="75" t="str">
        <f>IF(A180="","",IFERROR(VLOOKUP(A180,Clientes_PDV!$A$2:$J$250,3,FALSE),""))</f>
        <v/>
      </c>
      <c r="D180" s="75" t="str">
        <f>IF(A180="","",IFERROR(VLOOKUP(A180,Clientes_PDV!$A$2:$J$250,4,FALSE),""))</f>
        <v/>
      </c>
      <c r="E180" s="75" t="str">
        <f>IF(A180="","",IFERROR(VLOOKUP(A180,Clientes_PDV!$A$2:$J$250,7,FALSE),""))</f>
        <v/>
      </c>
      <c r="F180" s="76" t="str">
        <f>IF(A180="","",IFERROR(VLOOKUP(A180,Clientes_PDV!$A$2:$J$250,8,FALSE),""))</f>
        <v/>
      </c>
      <c r="G180" s="77" t="str">
        <f t="shared" ca="1" si="8"/>
        <v/>
      </c>
      <c r="H180" s="75" t="str">
        <f>IF(A180="","",IF(F180="","Sin visita",IF(G180&lt;=IFERROR(VLOOKUP(E180,Inicio!$A$24:$B$26,2,FALSE),0),"Vigente","Atrasado")))</f>
        <v/>
      </c>
      <c r="I180" s="78" t="str">
        <f ca="1">IF(A180="","",SUMIFS(Ventas_SellIn!$L$2:$L$800,Ventas_SellIn!$D$2:$D$800,A180,Ventas_SellIn!$B$2:$B$800,"&gt;="&amp;TODAY()-Inicio!$B$14))</f>
        <v/>
      </c>
      <c r="J180" s="77" t="str">
        <f ca="1">IF(A180="","",SUMIFS(SellOut_Jumbo!$F$2:$F$800,SellOut_Jumbo!$C$2:$C$800,D180,SellOut_Jumbo!$A$2:$A$800,"&gt;="&amp;TODAY()-Inicio!$B$14))</f>
        <v/>
      </c>
      <c r="K180" s="75" t="str">
        <f>IF(A180="","",IF(I180=0,"Sin venta",IF(I180&lt;Inicio!$B$15,"Venta baja","Venta OK")))</f>
        <v/>
      </c>
      <c r="L180" s="77" t="str">
        <f>IF(A180="","",COUNTIFS(Ventas_SellIn!$D$2:$D$800,A180,Ventas_SellIn!$R$2:$R$800,"&gt;0"))</f>
        <v/>
      </c>
      <c r="M180" s="78" t="str">
        <f>IF(A180="","",SUMIFS(Ventas_SellIn!$R$2:$R$800,Ventas_SellIn!$D$2:$D$800,A180))</f>
        <v/>
      </c>
      <c r="N180" s="75" t="str">
        <f>IF(A180="","",IF(M180&gt;=Inicio!$B$18,"Pendiente relevante",IF(M180&gt;0,"Pendiente menor","Sin deuda")))</f>
        <v/>
      </c>
      <c r="O180" s="79" t="str">
        <f>IF(A180="","",SUMIFS(Stock_PDV!$H$2:$H$800,Stock_PDV!$A$2:$A$800,A180))</f>
        <v/>
      </c>
      <c r="P180" s="75" t="str">
        <f>IF(A180="","",IF(O180&lt;=Inicio!$B$16,"Crítico",IF(O180&lt;=Inicio!$B$17,"Observar","OK")))</f>
        <v/>
      </c>
      <c r="Q180" s="75" t="str">
        <f t="shared" si="9"/>
        <v/>
      </c>
      <c r="R180" s="75" t="str">
        <f t="shared" si="10"/>
        <v/>
      </c>
      <c r="S180" s="68" t="str">
        <f t="shared" si="11"/>
        <v/>
      </c>
      <c r="T180" s="68" t="str">
        <f>IF(A180="","",IFERROR(VLOOKUP(A180,Clientes_PDV!$A$2:$K$250,11,FALSE),""))</f>
        <v/>
      </c>
    </row>
    <row r="181" spans="1:20" x14ac:dyDescent="0.35">
      <c r="A181" s="80" t="str">
        <f>IF(Clientes_PDV!A181="","",Clientes_PDV!A181)</f>
        <v/>
      </c>
      <c r="B181" s="80" t="str">
        <f>IF(A181="","",IFERROR(VLOOKUP(A181,Clientes_PDV!$A$2:$J$250,2,FALSE),""))</f>
        <v/>
      </c>
      <c r="C181" s="80" t="str">
        <f>IF(A181="","",IFERROR(VLOOKUP(A181,Clientes_PDV!$A$2:$J$250,3,FALSE),""))</f>
        <v/>
      </c>
      <c r="D181" s="80" t="str">
        <f>IF(A181="","",IFERROR(VLOOKUP(A181,Clientes_PDV!$A$2:$J$250,4,FALSE),""))</f>
        <v/>
      </c>
      <c r="E181" s="80" t="str">
        <f>IF(A181="","",IFERROR(VLOOKUP(A181,Clientes_PDV!$A$2:$J$250,7,FALSE),""))</f>
        <v/>
      </c>
      <c r="F181" s="81" t="str">
        <f>IF(A181="","",IFERROR(VLOOKUP(A181,Clientes_PDV!$A$2:$J$250,8,FALSE),""))</f>
        <v/>
      </c>
      <c r="G181" s="82" t="str">
        <f t="shared" ca="1" si="8"/>
        <v/>
      </c>
      <c r="H181" s="80" t="str">
        <f>IF(A181="","",IF(F181="","Sin visita",IF(G181&lt;=IFERROR(VLOOKUP(E181,Inicio!$A$24:$B$26,2,FALSE),0),"Vigente","Atrasado")))</f>
        <v/>
      </c>
      <c r="I181" s="83" t="str">
        <f ca="1">IF(A181="","",SUMIFS(Ventas_SellIn!$L$2:$L$800,Ventas_SellIn!$D$2:$D$800,A181,Ventas_SellIn!$B$2:$B$800,"&gt;="&amp;TODAY()-Inicio!$B$14))</f>
        <v/>
      </c>
      <c r="J181" s="82" t="str">
        <f ca="1">IF(A181="","",SUMIFS(SellOut_Jumbo!$F$2:$F$800,SellOut_Jumbo!$C$2:$C$800,D181,SellOut_Jumbo!$A$2:$A$800,"&gt;="&amp;TODAY()-Inicio!$B$14))</f>
        <v/>
      </c>
      <c r="K181" s="80" t="str">
        <f>IF(A181="","",IF(I181=0,"Sin venta",IF(I181&lt;Inicio!$B$15,"Venta baja","Venta OK")))</f>
        <v/>
      </c>
      <c r="L181" s="82" t="str">
        <f>IF(A181="","",COUNTIFS(Ventas_SellIn!$D$2:$D$800,A181,Ventas_SellIn!$R$2:$R$800,"&gt;0"))</f>
        <v/>
      </c>
      <c r="M181" s="83" t="str">
        <f>IF(A181="","",SUMIFS(Ventas_SellIn!$R$2:$R$800,Ventas_SellIn!$D$2:$D$800,A181))</f>
        <v/>
      </c>
      <c r="N181" s="80" t="str">
        <f>IF(A181="","",IF(M181&gt;=Inicio!$B$18,"Pendiente relevante",IF(M181&gt;0,"Pendiente menor","Sin deuda")))</f>
        <v/>
      </c>
      <c r="O181" s="84" t="str">
        <f>IF(A181="","",SUMIFS(Stock_PDV!$H$2:$H$800,Stock_PDV!$A$2:$A$800,A181))</f>
        <v/>
      </c>
      <c r="P181" s="80" t="str">
        <f>IF(A181="","",IF(O181&lt;=Inicio!$B$16,"Crítico",IF(O181&lt;=Inicio!$B$17,"Observar","OK")))</f>
        <v/>
      </c>
      <c r="Q181" s="80" t="str">
        <f t="shared" si="9"/>
        <v/>
      </c>
      <c r="R181" s="80" t="str">
        <f t="shared" si="10"/>
        <v/>
      </c>
      <c r="S181" s="70" t="str">
        <f t="shared" si="11"/>
        <v/>
      </c>
      <c r="T181" s="70" t="str">
        <f>IF(A181="","",IFERROR(VLOOKUP(A181,Clientes_PDV!$A$2:$K$250,11,FALSE),""))</f>
        <v/>
      </c>
    </row>
    <row r="182" spans="1:20" x14ac:dyDescent="0.35">
      <c r="A182" s="75" t="str">
        <f>IF(Clientes_PDV!A182="","",Clientes_PDV!A182)</f>
        <v/>
      </c>
      <c r="B182" s="75" t="str">
        <f>IF(A182="","",IFERROR(VLOOKUP(A182,Clientes_PDV!$A$2:$J$250,2,FALSE),""))</f>
        <v/>
      </c>
      <c r="C182" s="75" t="str">
        <f>IF(A182="","",IFERROR(VLOOKUP(A182,Clientes_PDV!$A$2:$J$250,3,FALSE),""))</f>
        <v/>
      </c>
      <c r="D182" s="75" t="str">
        <f>IF(A182="","",IFERROR(VLOOKUP(A182,Clientes_PDV!$A$2:$J$250,4,FALSE),""))</f>
        <v/>
      </c>
      <c r="E182" s="75" t="str">
        <f>IF(A182="","",IFERROR(VLOOKUP(A182,Clientes_PDV!$A$2:$J$250,7,FALSE),""))</f>
        <v/>
      </c>
      <c r="F182" s="76" t="str">
        <f>IF(A182="","",IFERROR(VLOOKUP(A182,Clientes_PDV!$A$2:$J$250,8,FALSE),""))</f>
        <v/>
      </c>
      <c r="G182" s="77" t="str">
        <f t="shared" ca="1" si="8"/>
        <v/>
      </c>
      <c r="H182" s="75" t="str">
        <f>IF(A182="","",IF(F182="","Sin visita",IF(G182&lt;=IFERROR(VLOOKUP(E182,Inicio!$A$24:$B$26,2,FALSE),0),"Vigente","Atrasado")))</f>
        <v/>
      </c>
      <c r="I182" s="78" t="str">
        <f ca="1">IF(A182="","",SUMIFS(Ventas_SellIn!$L$2:$L$800,Ventas_SellIn!$D$2:$D$800,A182,Ventas_SellIn!$B$2:$B$800,"&gt;="&amp;TODAY()-Inicio!$B$14))</f>
        <v/>
      </c>
      <c r="J182" s="77" t="str">
        <f ca="1">IF(A182="","",SUMIFS(SellOut_Jumbo!$F$2:$F$800,SellOut_Jumbo!$C$2:$C$800,D182,SellOut_Jumbo!$A$2:$A$800,"&gt;="&amp;TODAY()-Inicio!$B$14))</f>
        <v/>
      </c>
      <c r="K182" s="75" t="str">
        <f>IF(A182="","",IF(I182=0,"Sin venta",IF(I182&lt;Inicio!$B$15,"Venta baja","Venta OK")))</f>
        <v/>
      </c>
      <c r="L182" s="77" t="str">
        <f>IF(A182="","",COUNTIFS(Ventas_SellIn!$D$2:$D$800,A182,Ventas_SellIn!$R$2:$R$800,"&gt;0"))</f>
        <v/>
      </c>
      <c r="M182" s="78" t="str">
        <f>IF(A182="","",SUMIFS(Ventas_SellIn!$R$2:$R$800,Ventas_SellIn!$D$2:$D$800,A182))</f>
        <v/>
      </c>
      <c r="N182" s="75" t="str">
        <f>IF(A182="","",IF(M182&gt;=Inicio!$B$18,"Pendiente relevante",IF(M182&gt;0,"Pendiente menor","Sin deuda")))</f>
        <v/>
      </c>
      <c r="O182" s="79" t="str">
        <f>IF(A182="","",SUMIFS(Stock_PDV!$H$2:$H$800,Stock_PDV!$A$2:$A$800,A182))</f>
        <v/>
      </c>
      <c r="P182" s="75" t="str">
        <f>IF(A182="","",IF(O182&lt;=Inicio!$B$16,"Crítico",IF(O182&lt;=Inicio!$B$17,"Observar","OK")))</f>
        <v/>
      </c>
      <c r="Q182" s="75" t="str">
        <f t="shared" si="9"/>
        <v/>
      </c>
      <c r="R182" s="75" t="str">
        <f t="shared" si="10"/>
        <v/>
      </c>
      <c r="S182" s="68" t="str">
        <f t="shared" si="11"/>
        <v/>
      </c>
      <c r="T182" s="68" t="str">
        <f>IF(A182="","",IFERROR(VLOOKUP(A182,Clientes_PDV!$A$2:$K$250,11,FALSE),""))</f>
        <v/>
      </c>
    </row>
    <row r="183" spans="1:20" x14ac:dyDescent="0.35">
      <c r="A183" s="80" t="str">
        <f>IF(Clientes_PDV!A183="","",Clientes_PDV!A183)</f>
        <v/>
      </c>
      <c r="B183" s="80" t="str">
        <f>IF(A183="","",IFERROR(VLOOKUP(A183,Clientes_PDV!$A$2:$J$250,2,FALSE),""))</f>
        <v/>
      </c>
      <c r="C183" s="80" t="str">
        <f>IF(A183="","",IFERROR(VLOOKUP(A183,Clientes_PDV!$A$2:$J$250,3,FALSE),""))</f>
        <v/>
      </c>
      <c r="D183" s="80" t="str">
        <f>IF(A183="","",IFERROR(VLOOKUP(A183,Clientes_PDV!$A$2:$J$250,4,FALSE),""))</f>
        <v/>
      </c>
      <c r="E183" s="80" t="str">
        <f>IF(A183="","",IFERROR(VLOOKUP(A183,Clientes_PDV!$A$2:$J$250,7,FALSE),""))</f>
        <v/>
      </c>
      <c r="F183" s="81" t="str">
        <f>IF(A183="","",IFERROR(VLOOKUP(A183,Clientes_PDV!$A$2:$J$250,8,FALSE),""))</f>
        <v/>
      </c>
      <c r="G183" s="82" t="str">
        <f t="shared" ca="1" si="8"/>
        <v/>
      </c>
      <c r="H183" s="80" t="str">
        <f>IF(A183="","",IF(F183="","Sin visita",IF(G183&lt;=IFERROR(VLOOKUP(E183,Inicio!$A$24:$B$26,2,FALSE),0),"Vigente","Atrasado")))</f>
        <v/>
      </c>
      <c r="I183" s="83" t="str">
        <f ca="1">IF(A183="","",SUMIFS(Ventas_SellIn!$L$2:$L$800,Ventas_SellIn!$D$2:$D$800,A183,Ventas_SellIn!$B$2:$B$800,"&gt;="&amp;TODAY()-Inicio!$B$14))</f>
        <v/>
      </c>
      <c r="J183" s="82" t="str">
        <f ca="1">IF(A183="","",SUMIFS(SellOut_Jumbo!$F$2:$F$800,SellOut_Jumbo!$C$2:$C$800,D183,SellOut_Jumbo!$A$2:$A$800,"&gt;="&amp;TODAY()-Inicio!$B$14))</f>
        <v/>
      </c>
      <c r="K183" s="80" t="str">
        <f>IF(A183="","",IF(I183=0,"Sin venta",IF(I183&lt;Inicio!$B$15,"Venta baja","Venta OK")))</f>
        <v/>
      </c>
      <c r="L183" s="82" t="str">
        <f>IF(A183="","",COUNTIFS(Ventas_SellIn!$D$2:$D$800,A183,Ventas_SellIn!$R$2:$R$800,"&gt;0"))</f>
        <v/>
      </c>
      <c r="M183" s="83" t="str">
        <f>IF(A183="","",SUMIFS(Ventas_SellIn!$R$2:$R$800,Ventas_SellIn!$D$2:$D$800,A183))</f>
        <v/>
      </c>
      <c r="N183" s="80" t="str">
        <f>IF(A183="","",IF(M183&gt;=Inicio!$B$18,"Pendiente relevante",IF(M183&gt;0,"Pendiente menor","Sin deuda")))</f>
        <v/>
      </c>
      <c r="O183" s="84" t="str">
        <f>IF(A183="","",SUMIFS(Stock_PDV!$H$2:$H$800,Stock_PDV!$A$2:$A$800,A183))</f>
        <v/>
      </c>
      <c r="P183" s="80" t="str">
        <f>IF(A183="","",IF(O183&lt;=Inicio!$B$16,"Crítico",IF(O183&lt;=Inicio!$B$17,"Observar","OK")))</f>
        <v/>
      </c>
      <c r="Q183" s="80" t="str">
        <f t="shared" si="9"/>
        <v/>
      </c>
      <c r="R183" s="80" t="str">
        <f t="shared" si="10"/>
        <v/>
      </c>
      <c r="S183" s="70" t="str">
        <f t="shared" si="11"/>
        <v/>
      </c>
      <c r="T183" s="70" t="str">
        <f>IF(A183="","",IFERROR(VLOOKUP(A183,Clientes_PDV!$A$2:$K$250,11,FALSE),""))</f>
        <v/>
      </c>
    </row>
    <row r="184" spans="1:20" x14ac:dyDescent="0.35">
      <c r="A184" s="75" t="str">
        <f>IF(Clientes_PDV!A184="","",Clientes_PDV!A184)</f>
        <v/>
      </c>
      <c r="B184" s="75" t="str">
        <f>IF(A184="","",IFERROR(VLOOKUP(A184,Clientes_PDV!$A$2:$J$250,2,FALSE),""))</f>
        <v/>
      </c>
      <c r="C184" s="75" t="str">
        <f>IF(A184="","",IFERROR(VLOOKUP(A184,Clientes_PDV!$A$2:$J$250,3,FALSE),""))</f>
        <v/>
      </c>
      <c r="D184" s="75" t="str">
        <f>IF(A184="","",IFERROR(VLOOKUP(A184,Clientes_PDV!$A$2:$J$250,4,FALSE),""))</f>
        <v/>
      </c>
      <c r="E184" s="75" t="str">
        <f>IF(A184="","",IFERROR(VLOOKUP(A184,Clientes_PDV!$A$2:$J$250,7,FALSE),""))</f>
        <v/>
      </c>
      <c r="F184" s="76" t="str">
        <f>IF(A184="","",IFERROR(VLOOKUP(A184,Clientes_PDV!$A$2:$J$250,8,FALSE),""))</f>
        <v/>
      </c>
      <c r="G184" s="77" t="str">
        <f t="shared" ca="1" si="8"/>
        <v/>
      </c>
      <c r="H184" s="75" t="str">
        <f>IF(A184="","",IF(F184="","Sin visita",IF(G184&lt;=IFERROR(VLOOKUP(E184,Inicio!$A$24:$B$26,2,FALSE),0),"Vigente","Atrasado")))</f>
        <v/>
      </c>
      <c r="I184" s="78" t="str">
        <f ca="1">IF(A184="","",SUMIFS(Ventas_SellIn!$L$2:$L$800,Ventas_SellIn!$D$2:$D$800,A184,Ventas_SellIn!$B$2:$B$800,"&gt;="&amp;TODAY()-Inicio!$B$14))</f>
        <v/>
      </c>
      <c r="J184" s="77" t="str">
        <f ca="1">IF(A184="","",SUMIFS(SellOut_Jumbo!$F$2:$F$800,SellOut_Jumbo!$C$2:$C$800,D184,SellOut_Jumbo!$A$2:$A$800,"&gt;="&amp;TODAY()-Inicio!$B$14))</f>
        <v/>
      </c>
      <c r="K184" s="75" t="str">
        <f>IF(A184="","",IF(I184=0,"Sin venta",IF(I184&lt;Inicio!$B$15,"Venta baja","Venta OK")))</f>
        <v/>
      </c>
      <c r="L184" s="77" t="str">
        <f>IF(A184="","",COUNTIFS(Ventas_SellIn!$D$2:$D$800,A184,Ventas_SellIn!$R$2:$R$800,"&gt;0"))</f>
        <v/>
      </c>
      <c r="M184" s="78" t="str">
        <f>IF(A184="","",SUMIFS(Ventas_SellIn!$R$2:$R$800,Ventas_SellIn!$D$2:$D$800,A184))</f>
        <v/>
      </c>
      <c r="N184" s="75" t="str">
        <f>IF(A184="","",IF(M184&gt;=Inicio!$B$18,"Pendiente relevante",IF(M184&gt;0,"Pendiente menor","Sin deuda")))</f>
        <v/>
      </c>
      <c r="O184" s="79" t="str">
        <f>IF(A184="","",SUMIFS(Stock_PDV!$H$2:$H$800,Stock_PDV!$A$2:$A$800,A184))</f>
        <v/>
      </c>
      <c r="P184" s="75" t="str">
        <f>IF(A184="","",IF(O184&lt;=Inicio!$B$16,"Crítico",IF(O184&lt;=Inicio!$B$17,"Observar","OK")))</f>
        <v/>
      </c>
      <c r="Q184" s="75" t="str">
        <f t="shared" si="9"/>
        <v/>
      </c>
      <c r="R184" s="75" t="str">
        <f t="shared" si="10"/>
        <v/>
      </c>
      <c r="S184" s="68" t="str">
        <f t="shared" si="11"/>
        <v/>
      </c>
      <c r="T184" s="68" t="str">
        <f>IF(A184="","",IFERROR(VLOOKUP(A184,Clientes_PDV!$A$2:$K$250,11,FALSE),""))</f>
        <v/>
      </c>
    </row>
    <row r="185" spans="1:20" x14ac:dyDescent="0.35">
      <c r="A185" s="80" t="str">
        <f>IF(Clientes_PDV!A185="","",Clientes_PDV!A185)</f>
        <v/>
      </c>
      <c r="B185" s="80" t="str">
        <f>IF(A185="","",IFERROR(VLOOKUP(A185,Clientes_PDV!$A$2:$J$250,2,FALSE),""))</f>
        <v/>
      </c>
      <c r="C185" s="80" t="str">
        <f>IF(A185="","",IFERROR(VLOOKUP(A185,Clientes_PDV!$A$2:$J$250,3,FALSE),""))</f>
        <v/>
      </c>
      <c r="D185" s="80" t="str">
        <f>IF(A185="","",IFERROR(VLOOKUP(A185,Clientes_PDV!$A$2:$J$250,4,FALSE),""))</f>
        <v/>
      </c>
      <c r="E185" s="80" t="str">
        <f>IF(A185="","",IFERROR(VLOOKUP(A185,Clientes_PDV!$A$2:$J$250,7,FALSE),""))</f>
        <v/>
      </c>
      <c r="F185" s="81" t="str">
        <f>IF(A185="","",IFERROR(VLOOKUP(A185,Clientes_PDV!$A$2:$J$250,8,FALSE),""))</f>
        <v/>
      </c>
      <c r="G185" s="82" t="str">
        <f t="shared" ca="1" si="8"/>
        <v/>
      </c>
      <c r="H185" s="80" t="str">
        <f>IF(A185="","",IF(F185="","Sin visita",IF(G185&lt;=IFERROR(VLOOKUP(E185,Inicio!$A$24:$B$26,2,FALSE),0),"Vigente","Atrasado")))</f>
        <v/>
      </c>
      <c r="I185" s="83" t="str">
        <f ca="1">IF(A185="","",SUMIFS(Ventas_SellIn!$L$2:$L$800,Ventas_SellIn!$D$2:$D$800,A185,Ventas_SellIn!$B$2:$B$800,"&gt;="&amp;TODAY()-Inicio!$B$14))</f>
        <v/>
      </c>
      <c r="J185" s="82" t="str">
        <f ca="1">IF(A185="","",SUMIFS(SellOut_Jumbo!$F$2:$F$800,SellOut_Jumbo!$C$2:$C$800,D185,SellOut_Jumbo!$A$2:$A$800,"&gt;="&amp;TODAY()-Inicio!$B$14))</f>
        <v/>
      </c>
      <c r="K185" s="80" t="str">
        <f>IF(A185="","",IF(I185=0,"Sin venta",IF(I185&lt;Inicio!$B$15,"Venta baja","Venta OK")))</f>
        <v/>
      </c>
      <c r="L185" s="82" t="str">
        <f>IF(A185="","",COUNTIFS(Ventas_SellIn!$D$2:$D$800,A185,Ventas_SellIn!$R$2:$R$800,"&gt;0"))</f>
        <v/>
      </c>
      <c r="M185" s="83" t="str">
        <f>IF(A185="","",SUMIFS(Ventas_SellIn!$R$2:$R$800,Ventas_SellIn!$D$2:$D$800,A185))</f>
        <v/>
      </c>
      <c r="N185" s="80" t="str">
        <f>IF(A185="","",IF(M185&gt;=Inicio!$B$18,"Pendiente relevante",IF(M185&gt;0,"Pendiente menor","Sin deuda")))</f>
        <v/>
      </c>
      <c r="O185" s="84" t="str">
        <f>IF(A185="","",SUMIFS(Stock_PDV!$H$2:$H$800,Stock_PDV!$A$2:$A$800,A185))</f>
        <v/>
      </c>
      <c r="P185" s="80" t="str">
        <f>IF(A185="","",IF(O185&lt;=Inicio!$B$16,"Crítico",IF(O185&lt;=Inicio!$B$17,"Observar","OK")))</f>
        <v/>
      </c>
      <c r="Q185" s="80" t="str">
        <f t="shared" si="9"/>
        <v/>
      </c>
      <c r="R185" s="80" t="str">
        <f t="shared" si="10"/>
        <v/>
      </c>
      <c r="S185" s="70" t="str">
        <f t="shared" si="11"/>
        <v/>
      </c>
      <c r="T185" s="70" t="str">
        <f>IF(A185="","",IFERROR(VLOOKUP(A185,Clientes_PDV!$A$2:$K$250,11,FALSE),""))</f>
        <v/>
      </c>
    </row>
    <row r="186" spans="1:20" x14ac:dyDescent="0.35">
      <c r="A186" s="75" t="str">
        <f>IF(Clientes_PDV!A186="","",Clientes_PDV!A186)</f>
        <v/>
      </c>
      <c r="B186" s="75" t="str">
        <f>IF(A186="","",IFERROR(VLOOKUP(A186,Clientes_PDV!$A$2:$J$250,2,FALSE),""))</f>
        <v/>
      </c>
      <c r="C186" s="75" t="str">
        <f>IF(A186="","",IFERROR(VLOOKUP(A186,Clientes_PDV!$A$2:$J$250,3,FALSE),""))</f>
        <v/>
      </c>
      <c r="D186" s="75" t="str">
        <f>IF(A186="","",IFERROR(VLOOKUP(A186,Clientes_PDV!$A$2:$J$250,4,FALSE),""))</f>
        <v/>
      </c>
      <c r="E186" s="75" t="str">
        <f>IF(A186="","",IFERROR(VLOOKUP(A186,Clientes_PDV!$A$2:$J$250,7,FALSE),""))</f>
        <v/>
      </c>
      <c r="F186" s="76" t="str">
        <f>IF(A186="","",IFERROR(VLOOKUP(A186,Clientes_PDV!$A$2:$J$250,8,FALSE),""))</f>
        <v/>
      </c>
      <c r="G186" s="77" t="str">
        <f t="shared" ca="1" si="8"/>
        <v/>
      </c>
      <c r="H186" s="75" t="str">
        <f>IF(A186="","",IF(F186="","Sin visita",IF(G186&lt;=IFERROR(VLOOKUP(E186,Inicio!$A$24:$B$26,2,FALSE),0),"Vigente","Atrasado")))</f>
        <v/>
      </c>
      <c r="I186" s="78" t="str">
        <f ca="1">IF(A186="","",SUMIFS(Ventas_SellIn!$L$2:$L$800,Ventas_SellIn!$D$2:$D$800,A186,Ventas_SellIn!$B$2:$B$800,"&gt;="&amp;TODAY()-Inicio!$B$14))</f>
        <v/>
      </c>
      <c r="J186" s="77" t="str">
        <f ca="1">IF(A186="","",SUMIFS(SellOut_Jumbo!$F$2:$F$800,SellOut_Jumbo!$C$2:$C$800,D186,SellOut_Jumbo!$A$2:$A$800,"&gt;="&amp;TODAY()-Inicio!$B$14))</f>
        <v/>
      </c>
      <c r="K186" s="75" t="str">
        <f>IF(A186="","",IF(I186=0,"Sin venta",IF(I186&lt;Inicio!$B$15,"Venta baja","Venta OK")))</f>
        <v/>
      </c>
      <c r="L186" s="77" t="str">
        <f>IF(A186="","",COUNTIFS(Ventas_SellIn!$D$2:$D$800,A186,Ventas_SellIn!$R$2:$R$800,"&gt;0"))</f>
        <v/>
      </c>
      <c r="M186" s="78" t="str">
        <f>IF(A186="","",SUMIFS(Ventas_SellIn!$R$2:$R$800,Ventas_SellIn!$D$2:$D$800,A186))</f>
        <v/>
      </c>
      <c r="N186" s="75" t="str">
        <f>IF(A186="","",IF(M186&gt;=Inicio!$B$18,"Pendiente relevante",IF(M186&gt;0,"Pendiente menor","Sin deuda")))</f>
        <v/>
      </c>
      <c r="O186" s="79" t="str">
        <f>IF(A186="","",SUMIFS(Stock_PDV!$H$2:$H$800,Stock_PDV!$A$2:$A$800,A186))</f>
        <v/>
      </c>
      <c r="P186" s="75" t="str">
        <f>IF(A186="","",IF(O186&lt;=Inicio!$B$16,"Crítico",IF(O186&lt;=Inicio!$B$17,"Observar","OK")))</f>
        <v/>
      </c>
      <c r="Q186" s="75" t="str">
        <f t="shared" si="9"/>
        <v/>
      </c>
      <c r="R186" s="75" t="str">
        <f t="shared" si="10"/>
        <v/>
      </c>
      <c r="S186" s="68" t="str">
        <f t="shared" si="11"/>
        <v/>
      </c>
      <c r="T186" s="68" t="str">
        <f>IF(A186="","",IFERROR(VLOOKUP(A186,Clientes_PDV!$A$2:$K$250,11,FALSE),""))</f>
        <v/>
      </c>
    </row>
    <row r="187" spans="1:20" x14ac:dyDescent="0.35">
      <c r="A187" s="80" t="str">
        <f>IF(Clientes_PDV!A187="","",Clientes_PDV!A187)</f>
        <v/>
      </c>
      <c r="B187" s="80" t="str">
        <f>IF(A187="","",IFERROR(VLOOKUP(A187,Clientes_PDV!$A$2:$J$250,2,FALSE),""))</f>
        <v/>
      </c>
      <c r="C187" s="80" t="str">
        <f>IF(A187="","",IFERROR(VLOOKUP(A187,Clientes_PDV!$A$2:$J$250,3,FALSE),""))</f>
        <v/>
      </c>
      <c r="D187" s="80" t="str">
        <f>IF(A187="","",IFERROR(VLOOKUP(A187,Clientes_PDV!$A$2:$J$250,4,FALSE),""))</f>
        <v/>
      </c>
      <c r="E187" s="80" t="str">
        <f>IF(A187="","",IFERROR(VLOOKUP(A187,Clientes_PDV!$A$2:$J$250,7,FALSE),""))</f>
        <v/>
      </c>
      <c r="F187" s="81" t="str">
        <f>IF(A187="","",IFERROR(VLOOKUP(A187,Clientes_PDV!$A$2:$J$250,8,FALSE),""))</f>
        <v/>
      </c>
      <c r="G187" s="82" t="str">
        <f t="shared" ca="1" si="8"/>
        <v/>
      </c>
      <c r="H187" s="80" t="str">
        <f>IF(A187="","",IF(F187="","Sin visita",IF(G187&lt;=IFERROR(VLOOKUP(E187,Inicio!$A$24:$B$26,2,FALSE),0),"Vigente","Atrasado")))</f>
        <v/>
      </c>
      <c r="I187" s="83" t="str">
        <f ca="1">IF(A187="","",SUMIFS(Ventas_SellIn!$L$2:$L$800,Ventas_SellIn!$D$2:$D$800,A187,Ventas_SellIn!$B$2:$B$800,"&gt;="&amp;TODAY()-Inicio!$B$14))</f>
        <v/>
      </c>
      <c r="J187" s="82" t="str">
        <f ca="1">IF(A187="","",SUMIFS(SellOut_Jumbo!$F$2:$F$800,SellOut_Jumbo!$C$2:$C$800,D187,SellOut_Jumbo!$A$2:$A$800,"&gt;="&amp;TODAY()-Inicio!$B$14))</f>
        <v/>
      </c>
      <c r="K187" s="80" t="str">
        <f>IF(A187="","",IF(I187=0,"Sin venta",IF(I187&lt;Inicio!$B$15,"Venta baja","Venta OK")))</f>
        <v/>
      </c>
      <c r="L187" s="82" t="str">
        <f>IF(A187="","",COUNTIFS(Ventas_SellIn!$D$2:$D$800,A187,Ventas_SellIn!$R$2:$R$800,"&gt;0"))</f>
        <v/>
      </c>
      <c r="M187" s="83" t="str">
        <f>IF(A187="","",SUMIFS(Ventas_SellIn!$R$2:$R$800,Ventas_SellIn!$D$2:$D$800,A187))</f>
        <v/>
      </c>
      <c r="N187" s="80" t="str">
        <f>IF(A187="","",IF(M187&gt;=Inicio!$B$18,"Pendiente relevante",IF(M187&gt;0,"Pendiente menor","Sin deuda")))</f>
        <v/>
      </c>
      <c r="O187" s="84" t="str">
        <f>IF(A187="","",SUMIFS(Stock_PDV!$H$2:$H$800,Stock_PDV!$A$2:$A$800,A187))</f>
        <v/>
      </c>
      <c r="P187" s="80" t="str">
        <f>IF(A187="","",IF(O187&lt;=Inicio!$B$16,"Crítico",IF(O187&lt;=Inicio!$B$17,"Observar","OK")))</f>
        <v/>
      </c>
      <c r="Q187" s="80" t="str">
        <f t="shared" si="9"/>
        <v/>
      </c>
      <c r="R187" s="80" t="str">
        <f t="shared" si="10"/>
        <v/>
      </c>
      <c r="S187" s="70" t="str">
        <f t="shared" si="11"/>
        <v/>
      </c>
      <c r="T187" s="70" t="str">
        <f>IF(A187="","",IFERROR(VLOOKUP(A187,Clientes_PDV!$A$2:$K$250,11,FALSE),""))</f>
        <v/>
      </c>
    </row>
    <row r="188" spans="1:20" x14ac:dyDescent="0.35">
      <c r="A188" s="75" t="str">
        <f>IF(Clientes_PDV!A188="","",Clientes_PDV!A188)</f>
        <v/>
      </c>
      <c r="B188" s="75" t="str">
        <f>IF(A188="","",IFERROR(VLOOKUP(A188,Clientes_PDV!$A$2:$J$250,2,FALSE),""))</f>
        <v/>
      </c>
      <c r="C188" s="75" t="str">
        <f>IF(A188="","",IFERROR(VLOOKUP(A188,Clientes_PDV!$A$2:$J$250,3,FALSE),""))</f>
        <v/>
      </c>
      <c r="D188" s="75" t="str">
        <f>IF(A188="","",IFERROR(VLOOKUP(A188,Clientes_PDV!$A$2:$J$250,4,FALSE),""))</f>
        <v/>
      </c>
      <c r="E188" s="75" t="str">
        <f>IF(A188="","",IFERROR(VLOOKUP(A188,Clientes_PDV!$A$2:$J$250,7,FALSE),""))</f>
        <v/>
      </c>
      <c r="F188" s="76" t="str">
        <f>IF(A188="","",IFERROR(VLOOKUP(A188,Clientes_PDV!$A$2:$J$250,8,FALSE),""))</f>
        <v/>
      </c>
      <c r="G188" s="77" t="str">
        <f t="shared" ca="1" si="8"/>
        <v/>
      </c>
      <c r="H188" s="75" t="str">
        <f>IF(A188="","",IF(F188="","Sin visita",IF(G188&lt;=IFERROR(VLOOKUP(E188,Inicio!$A$24:$B$26,2,FALSE),0),"Vigente","Atrasado")))</f>
        <v/>
      </c>
      <c r="I188" s="78" t="str">
        <f ca="1">IF(A188="","",SUMIFS(Ventas_SellIn!$L$2:$L$800,Ventas_SellIn!$D$2:$D$800,A188,Ventas_SellIn!$B$2:$B$800,"&gt;="&amp;TODAY()-Inicio!$B$14))</f>
        <v/>
      </c>
      <c r="J188" s="77" t="str">
        <f ca="1">IF(A188="","",SUMIFS(SellOut_Jumbo!$F$2:$F$800,SellOut_Jumbo!$C$2:$C$800,D188,SellOut_Jumbo!$A$2:$A$800,"&gt;="&amp;TODAY()-Inicio!$B$14))</f>
        <v/>
      </c>
      <c r="K188" s="75" t="str">
        <f>IF(A188="","",IF(I188=0,"Sin venta",IF(I188&lt;Inicio!$B$15,"Venta baja","Venta OK")))</f>
        <v/>
      </c>
      <c r="L188" s="77" t="str">
        <f>IF(A188="","",COUNTIFS(Ventas_SellIn!$D$2:$D$800,A188,Ventas_SellIn!$R$2:$R$800,"&gt;0"))</f>
        <v/>
      </c>
      <c r="M188" s="78" t="str">
        <f>IF(A188="","",SUMIFS(Ventas_SellIn!$R$2:$R$800,Ventas_SellIn!$D$2:$D$800,A188))</f>
        <v/>
      </c>
      <c r="N188" s="75" t="str">
        <f>IF(A188="","",IF(M188&gt;=Inicio!$B$18,"Pendiente relevante",IF(M188&gt;0,"Pendiente menor","Sin deuda")))</f>
        <v/>
      </c>
      <c r="O188" s="79" t="str">
        <f>IF(A188="","",SUMIFS(Stock_PDV!$H$2:$H$800,Stock_PDV!$A$2:$A$800,A188))</f>
        <v/>
      </c>
      <c r="P188" s="75" t="str">
        <f>IF(A188="","",IF(O188&lt;=Inicio!$B$16,"Crítico",IF(O188&lt;=Inicio!$B$17,"Observar","OK")))</f>
        <v/>
      </c>
      <c r="Q188" s="75" t="str">
        <f t="shared" si="9"/>
        <v/>
      </c>
      <c r="R188" s="75" t="str">
        <f t="shared" si="10"/>
        <v/>
      </c>
      <c r="S188" s="68" t="str">
        <f t="shared" si="11"/>
        <v/>
      </c>
      <c r="T188" s="68" t="str">
        <f>IF(A188="","",IFERROR(VLOOKUP(A188,Clientes_PDV!$A$2:$K$250,11,FALSE),""))</f>
        <v/>
      </c>
    </row>
    <row r="189" spans="1:20" x14ac:dyDescent="0.35">
      <c r="A189" s="80" t="str">
        <f>IF(Clientes_PDV!A189="","",Clientes_PDV!A189)</f>
        <v/>
      </c>
      <c r="B189" s="80" t="str">
        <f>IF(A189="","",IFERROR(VLOOKUP(A189,Clientes_PDV!$A$2:$J$250,2,FALSE),""))</f>
        <v/>
      </c>
      <c r="C189" s="80" t="str">
        <f>IF(A189="","",IFERROR(VLOOKUP(A189,Clientes_PDV!$A$2:$J$250,3,FALSE),""))</f>
        <v/>
      </c>
      <c r="D189" s="80" t="str">
        <f>IF(A189="","",IFERROR(VLOOKUP(A189,Clientes_PDV!$A$2:$J$250,4,FALSE),""))</f>
        <v/>
      </c>
      <c r="E189" s="80" t="str">
        <f>IF(A189="","",IFERROR(VLOOKUP(A189,Clientes_PDV!$A$2:$J$250,7,FALSE),""))</f>
        <v/>
      </c>
      <c r="F189" s="81" t="str">
        <f>IF(A189="","",IFERROR(VLOOKUP(A189,Clientes_PDV!$A$2:$J$250,8,FALSE),""))</f>
        <v/>
      </c>
      <c r="G189" s="82" t="str">
        <f t="shared" ca="1" si="8"/>
        <v/>
      </c>
      <c r="H189" s="80" t="str">
        <f>IF(A189="","",IF(F189="","Sin visita",IF(G189&lt;=IFERROR(VLOOKUP(E189,Inicio!$A$24:$B$26,2,FALSE),0),"Vigente","Atrasado")))</f>
        <v/>
      </c>
      <c r="I189" s="83" t="str">
        <f ca="1">IF(A189="","",SUMIFS(Ventas_SellIn!$L$2:$L$800,Ventas_SellIn!$D$2:$D$800,A189,Ventas_SellIn!$B$2:$B$800,"&gt;="&amp;TODAY()-Inicio!$B$14))</f>
        <v/>
      </c>
      <c r="J189" s="82" t="str">
        <f ca="1">IF(A189="","",SUMIFS(SellOut_Jumbo!$F$2:$F$800,SellOut_Jumbo!$C$2:$C$800,D189,SellOut_Jumbo!$A$2:$A$800,"&gt;="&amp;TODAY()-Inicio!$B$14))</f>
        <v/>
      </c>
      <c r="K189" s="80" t="str">
        <f>IF(A189="","",IF(I189=0,"Sin venta",IF(I189&lt;Inicio!$B$15,"Venta baja","Venta OK")))</f>
        <v/>
      </c>
      <c r="L189" s="82" t="str">
        <f>IF(A189="","",COUNTIFS(Ventas_SellIn!$D$2:$D$800,A189,Ventas_SellIn!$R$2:$R$800,"&gt;0"))</f>
        <v/>
      </c>
      <c r="M189" s="83" t="str">
        <f>IF(A189="","",SUMIFS(Ventas_SellIn!$R$2:$R$800,Ventas_SellIn!$D$2:$D$800,A189))</f>
        <v/>
      </c>
      <c r="N189" s="80" t="str">
        <f>IF(A189="","",IF(M189&gt;=Inicio!$B$18,"Pendiente relevante",IF(M189&gt;0,"Pendiente menor","Sin deuda")))</f>
        <v/>
      </c>
      <c r="O189" s="84" t="str">
        <f>IF(A189="","",SUMIFS(Stock_PDV!$H$2:$H$800,Stock_PDV!$A$2:$A$800,A189))</f>
        <v/>
      </c>
      <c r="P189" s="80" t="str">
        <f>IF(A189="","",IF(O189&lt;=Inicio!$B$16,"Crítico",IF(O189&lt;=Inicio!$B$17,"Observar","OK")))</f>
        <v/>
      </c>
      <c r="Q189" s="80" t="str">
        <f t="shared" si="9"/>
        <v/>
      </c>
      <c r="R189" s="80" t="str">
        <f t="shared" si="10"/>
        <v/>
      </c>
      <c r="S189" s="70" t="str">
        <f t="shared" si="11"/>
        <v/>
      </c>
      <c r="T189" s="70" t="str">
        <f>IF(A189="","",IFERROR(VLOOKUP(A189,Clientes_PDV!$A$2:$K$250,11,FALSE),""))</f>
        <v/>
      </c>
    </row>
    <row r="190" spans="1:20" x14ac:dyDescent="0.35">
      <c r="A190" s="75" t="str">
        <f>IF(Clientes_PDV!A190="","",Clientes_PDV!A190)</f>
        <v/>
      </c>
      <c r="B190" s="75" t="str">
        <f>IF(A190="","",IFERROR(VLOOKUP(A190,Clientes_PDV!$A$2:$J$250,2,FALSE),""))</f>
        <v/>
      </c>
      <c r="C190" s="75" t="str">
        <f>IF(A190="","",IFERROR(VLOOKUP(A190,Clientes_PDV!$A$2:$J$250,3,FALSE),""))</f>
        <v/>
      </c>
      <c r="D190" s="75" t="str">
        <f>IF(A190="","",IFERROR(VLOOKUP(A190,Clientes_PDV!$A$2:$J$250,4,FALSE),""))</f>
        <v/>
      </c>
      <c r="E190" s="75" t="str">
        <f>IF(A190="","",IFERROR(VLOOKUP(A190,Clientes_PDV!$A$2:$J$250,7,FALSE),""))</f>
        <v/>
      </c>
      <c r="F190" s="76" t="str">
        <f>IF(A190="","",IFERROR(VLOOKUP(A190,Clientes_PDV!$A$2:$J$250,8,FALSE),""))</f>
        <v/>
      </c>
      <c r="G190" s="77" t="str">
        <f t="shared" ca="1" si="8"/>
        <v/>
      </c>
      <c r="H190" s="75" t="str">
        <f>IF(A190="","",IF(F190="","Sin visita",IF(G190&lt;=IFERROR(VLOOKUP(E190,Inicio!$A$24:$B$26,2,FALSE),0),"Vigente","Atrasado")))</f>
        <v/>
      </c>
      <c r="I190" s="78" t="str">
        <f ca="1">IF(A190="","",SUMIFS(Ventas_SellIn!$L$2:$L$800,Ventas_SellIn!$D$2:$D$800,A190,Ventas_SellIn!$B$2:$B$800,"&gt;="&amp;TODAY()-Inicio!$B$14))</f>
        <v/>
      </c>
      <c r="J190" s="77" t="str">
        <f ca="1">IF(A190="","",SUMIFS(SellOut_Jumbo!$F$2:$F$800,SellOut_Jumbo!$C$2:$C$800,D190,SellOut_Jumbo!$A$2:$A$800,"&gt;="&amp;TODAY()-Inicio!$B$14))</f>
        <v/>
      </c>
      <c r="K190" s="75" t="str">
        <f>IF(A190="","",IF(I190=0,"Sin venta",IF(I190&lt;Inicio!$B$15,"Venta baja","Venta OK")))</f>
        <v/>
      </c>
      <c r="L190" s="77" t="str">
        <f>IF(A190="","",COUNTIFS(Ventas_SellIn!$D$2:$D$800,A190,Ventas_SellIn!$R$2:$R$800,"&gt;0"))</f>
        <v/>
      </c>
      <c r="M190" s="78" t="str">
        <f>IF(A190="","",SUMIFS(Ventas_SellIn!$R$2:$R$800,Ventas_SellIn!$D$2:$D$800,A190))</f>
        <v/>
      </c>
      <c r="N190" s="75" t="str">
        <f>IF(A190="","",IF(M190&gt;=Inicio!$B$18,"Pendiente relevante",IF(M190&gt;0,"Pendiente menor","Sin deuda")))</f>
        <v/>
      </c>
      <c r="O190" s="79" t="str">
        <f>IF(A190="","",SUMIFS(Stock_PDV!$H$2:$H$800,Stock_PDV!$A$2:$A$800,A190))</f>
        <v/>
      </c>
      <c r="P190" s="75" t="str">
        <f>IF(A190="","",IF(O190&lt;=Inicio!$B$16,"Crítico",IF(O190&lt;=Inicio!$B$17,"Observar","OK")))</f>
        <v/>
      </c>
      <c r="Q190" s="75" t="str">
        <f t="shared" si="9"/>
        <v/>
      </c>
      <c r="R190" s="75" t="str">
        <f t="shared" si="10"/>
        <v/>
      </c>
      <c r="S190" s="68" t="str">
        <f t="shared" si="11"/>
        <v/>
      </c>
      <c r="T190" s="68" t="str">
        <f>IF(A190="","",IFERROR(VLOOKUP(A190,Clientes_PDV!$A$2:$K$250,11,FALSE),""))</f>
        <v/>
      </c>
    </row>
    <row r="191" spans="1:20" x14ac:dyDescent="0.35">
      <c r="A191" s="80" t="str">
        <f>IF(Clientes_PDV!A191="","",Clientes_PDV!A191)</f>
        <v/>
      </c>
      <c r="B191" s="80" t="str">
        <f>IF(A191="","",IFERROR(VLOOKUP(A191,Clientes_PDV!$A$2:$J$250,2,FALSE),""))</f>
        <v/>
      </c>
      <c r="C191" s="80" t="str">
        <f>IF(A191="","",IFERROR(VLOOKUP(A191,Clientes_PDV!$A$2:$J$250,3,FALSE),""))</f>
        <v/>
      </c>
      <c r="D191" s="80" t="str">
        <f>IF(A191="","",IFERROR(VLOOKUP(A191,Clientes_PDV!$A$2:$J$250,4,FALSE),""))</f>
        <v/>
      </c>
      <c r="E191" s="80" t="str">
        <f>IF(A191="","",IFERROR(VLOOKUP(A191,Clientes_PDV!$A$2:$J$250,7,FALSE),""))</f>
        <v/>
      </c>
      <c r="F191" s="81" t="str">
        <f>IF(A191="","",IFERROR(VLOOKUP(A191,Clientes_PDV!$A$2:$J$250,8,FALSE),""))</f>
        <v/>
      </c>
      <c r="G191" s="82" t="str">
        <f t="shared" ca="1" si="8"/>
        <v/>
      </c>
      <c r="H191" s="80" t="str">
        <f>IF(A191="","",IF(F191="","Sin visita",IF(G191&lt;=IFERROR(VLOOKUP(E191,Inicio!$A$24:$B$26,2,FALSE),0),"Vigente","Atrasado")))</f>
        <v/>
      </c>
      <c r="I191" s="83" t="str">
        <f ca="1">IF(A191="","",SUMIFS(Ventas_SellIn!$L$2:$L$800,Ventas_SellIn!$D$2:$D$800,A191,Ventas_SellIn!$B$2:$B$800,"&gt;="&amp;TODAY()-Inicio!$B$14))</f>
        <v/>
      </c>
      <c r="J191" s="82" t="str">
        <f ca="1">IF(A191="","",SUMIFS(SellOut_Jumbo!$F$2:$F$800,SellOut_Jumbo!$C$2:$C$800,D191,SellOut_Jumbo!$A$2:$A$800,"&gt;="&amp;TODAY()-Inicio!$B$14))</f>
        <v/>
      </c>
      <c r="K191" s="80" t="str">
        <f>IF(A191="","",IF(I191=0,"Sin venta",IF(I191&lt;Inicio!$B$15,"Venta baja","Venta OK")))</f>
        <v/>
      </c>
      <c r="L191" s="82" t="str">
        <f>IF(A191="","",COUNTIFS(Ventas_SellIn!$D$2:$D$800,A191,Ventas_SellIn!$R$2:$R$800,"&gt;0"))</f>
        <v/>
      </c>
      <c r="M191" s="83" t="str">
        <f>IF(A191="","",SUMIFS(Ventas_SellIn!$R$2:$R$800,Ventas_SellIn!$D$2:$D$800,A191))</f>
        <v/>
      </c>
      <c r="N191" s="80" t="str">
        <f>IF(A191="","",IF(M191&gt;=Inicio!$B$18,"Pendiente relevante",IF(M191&gt;0,"Pendiente menor","Sin deuda")))</f>
        <v/>
      </c>
      <c r="O191" s="84" t="str">
        <f>IF(A191="","",SUMIFS(Stock_PDV!$H$2:$H$800,Stock_PDV!$A$2:$A$800,A191))</f>
        <v/>
      </c>
      <c r="P191" s="80" t="str">
        <f>IF(A191="","",IF(O191&lt;=Inicio!$B$16,"Crítico",IF(O191&lt;=Inicio!$B$17,"Observar","OK")))</f>
        <v/>
      </c>
      <c r="Q191" s="80" t="str">
        <f t="shared" si="9"/>
        <v/>
      </c>
      <c r="R191" s="80" t="str">
        <f t="shared" si="10"/>
        <v/>
      </c>
      <c r="S191" s="70" t="str">
        <f t="shared" si="11"/>
        <v/>
      </c>
      <c r="T191" s="70" t="str">
        <f>IF(A191="","",IFERROR(VLOOKUP(A191,Clientes_PDV!$A$2:$K$250,11,FALSE),""))</f>
        <v/>
      </c>
    </row>
    <row r="192" spans="1:20" x14ac:dyDescent="0.35">
      <c r="A192" s="75" t="str">
        <f>IF(Clientes_PDV!A192="","",Clientes_PDV!A192)</f>
        <v/>
      </c>
      <c r="B192" s="75" t="str">
        <f>IF(A192="","",IFERROR(VLOOKUP(A192,Clientes_PDV!$A$2:$J$250,2,FALSE),""))</f>
        <v/>
      </c>
      <c r="C192" s="75" t="str">
        <f>IF(A192="","",IFERROR(VLOOKUP(A192,Clientes_PDV!$A$2:$J$250,3,FALSE),""))</f>
        <v/>
      </c>
      <c r="D192" s="75" t="str">
        <f>IF(A192="","",IFERROR(VLOOKUP(A192,Clientes_PDV!$A$2:$J$250,4,FALSE),""))</f>
        <v/>
      </c>
      <c r="E192" s="75" t="str">
        <f>IF(A192="","",IFERROR(VLOOKUP(A192,Clientes_PDV!$A$2:$J$250,7,FALSE),""))</f>
        <v/>
      </c>
      <c r="F192" s="76" t="str">
        <f>IF(A192="","",IFERROR(VLOOKUP(A192,Clientes_PDV!$A$2:$J$250,8,FALSE),""))</f>
        <v/>
      </c>
      <c r="G192" s="77" t="str">
        <f t="shared" ca="1" si="8"/>
        <v/>
      </c>
      <c r="H192" s="75" t="str">
        <f>IF(A192="","",IF(F192="","Sin visita",IF(G192&lt;=IFERROR(VLOOKUP(E192,Inicio!$A$24:$B$26,2,FALSE),0),"Vigente","Atrasado")))</f>
        <v/>
      </c>
      <c r="I192" s="78" t="str">
        <f ca="1">IF(A192="","",SUMIFS(Ventas_SellIn!$L$2:$L$800,Ventas_SellIn!$D$2:$D$800,A192,Ventas_SellIn!$B$2:$B$800,"&gt;="&amp;TODAY()-Inicio!$B$14))</f>
        <v/>
      </c>
      <c r="J192" s="77" t="str">
        <f ca="1">IF(A192="","",SUMIFS(SellOut_Jumbo!$F$2:$F$800,SellOut_Jumbo!$C$2:$C$800,D192,SellOut_Jumbo!$A$2:$A$800,"&gt;="&amp;TODAY()-Inicio!$B$14))</f>
        <v/>
      </c>
      <c r="K192" s="75" t="str">
        <f>IF(A192="","",IF(I192=0,"Sin venta",IF(I192&lt;Inicio!$B$15,"Venta baja","Venta OK")))</f>
        <v/>
      </c>
      <c r="L192" s="77" t="str">
        <f>IF(A192="","",COUNTIFS(Ventas_SellIn!$D$2:$D$800,A192,Ventas_SellIn!$R$2:$R$800,"&gt;0"))</f>
        <v/>
      </c>
      <c r="M192" s="78" t="str">
        <f>IF(A192="","",SUMIFS(Ventas_SellIn!$R$2:$R$800,Ventas_SellIn!$D$2:$D$800,A192))</f>
        <v/>
      </c>
      <c r="N192" s="75" t="str">
        <f>IF(A192="","",IF(M192&gt;=Inicio!$B$18,"Pendiente relevante",IF(M192&gt;0,"Pendiente menor","Sin deuda")))</f>
        <v/>
      </c>
      <c r="O192" s="79" t="str">
        <f>IF(A192="","",SUMIFS(Stock_PDV!$H$2:$H$800,Stock_PDV!$A$2:$A$800,A192))</f>
        <v/>
      </c>
      <c r="P192" s="75" t="str">
        <f>IF(A192="","",IF(O192&lt;=Inicio!$B$16,"Crítico",IF(O192&lt;=Inicio!$B$17,"Observar","OK")))</f>
        <v/>
      </c>
      <c r="Q192" s="75" t="str">
        <f t="shared" si="9"/>
        <v/>
      </c>
      <c r="R192" s="75" t="str">
        <f t="shared" si="10"/>
        <v/>
      </c>
      <c r="S192" s="68" t="str">
        <f t="shared" si="11"/>
        <v/>
      </c>
      <c r="T192" s="68" t="str">
        <f>IF(A192="","",IFERROR(VLOOKUP(A192,Clientes_PDV!$A$2:$K$250,11,FALSE),""))</f>
        <v/>
      </c>
    </row>
    <row r="193" spans="1:20" x14ac:dyDescent="0.35">
      <c r="A193" s="80" t="str">
        <f>IF(Clientes_PDV!A193="","",Clientes_PDV!A193)</f>
        <v/>
      </c>
      <c r="B193" s="80" t="str">
        <f>IF(A193="","",IFERROR(VLOOKUP(A193,Clientes_PDV!$A$2:$J$250,2,FALSE),""))</f>
        <v/>
      </c>
      <c r="C193" s="80" t="str">
        <f>IF(A193="","",IFERROR(VLOOKUP(A193,Clientes_PDV!$A$2:$J$250,3,FALSE),""))</f>
        <v/>
      </c>
      <c r="D193" s="80" t="str">
        <f>IF(A193="","",IFERROR(VLOOKUP(A193,Clientes_PDV!$A$2:$J$250,4,FALSE),""))</f>
        <v/>
      </c>
      <c r="E193" s="80" t="str">
        <f>IF(A193="","",IFERROR(VLOOKUP(A193,Clientes_PDV!$A$2:$J$250,7,FALSE),""))</f>
        <v/>
      </c>
      <c r="F193" s="81" t="str">
        <f>IF(A193="","",IFERROR(VLOOKUP(A193,Clientes_PDV!$A$2:$J$250,8,FALSE),""))</f>
        <v/>
      </c>
      <c r="G193" s="82" t="str">
        <f t="shared" ca="1" si="8"/>
        <v/>
      </c>
      <c r="H193" s="80" t="str">
        <f>IF(A193="","",IF(F193="","Sin visita",IF(G193&lt;=IFERROR(VLOOKUP(E193,Inicio!$A$24:$B$26,2,FALSE),0),"Vigente","Atrasado")))</f>
        <v/>
      </c>
      <c r="I193" s="83" t="str">
        <f ca="1">IF(A193="","",SUMIFS(Ventas_SellIn!$L$2:$L$800,Ventas_SellIn!$D$2:$D$800,A193,Ventas_SellIn!$B$2:$B$800,"&gt;="&amp;TODAY()-Inicio!$B$14))</f>
        <v/>
      </c>
      <c r="J193" s="82" t="str">
        <f ca="1">IF(A193="","",SUMIFS(SellOut_Jumbo!$F$2:$F$800,SellOut_Jumbo!$C$2:$C$800,D193,SellOut_Jumbo!$A$2:$A$800,"&gt;="&amp;TODAY()-Inicio!$B$14))</f>
        <v/>
      </c>
      <c r="K193" s="80" t="str">
        <f>IF(A193="","",IF(I193=0,"Sin venta",IF(I193&lt;Inicio!$B$15,"Venta baja","Venta OK")))</f>
        <v/>
      </c>
      <c r="L193" s="82" t="str">
        <f>IF(A193="","",COUNTIFS(Ventas_SellIn!$D$2:$D$800,A193,Ventas_SellIn!$R$2:$R$800,"&gt;0"))</f>
        <v/>
      </c>
      <c r="M193" s="83" t="str">
        <f>IF(A193="","",SUMIFS(Ventas_SellIn!$R$2:$R$800,Ventas_SellIn!$D$2:$D$800,A193))</f>
        <v/>
      </c>
      <c r="N193" s="80" t="str">
        <f>IF(A193="","",IF(M193&gt;=Inicio!$B$18,"Pendiente relevante",IF(M193&gt;0,"Pendiente menor","Sin deuda")))</f>
        <v/>
      </c>
      <c r="O193" s="84" t="str">
        <f>IF(A193="","",SUMIFS(Stock_PDV!$H$2:$H$800,Stock_PDV!$A$2:$A$800,A193))</f>
        <v/>
      </c>
      <c r="P193" s="80" t="str">
        <f>IF(A193="","",IF(O193&lt;=Inicio!$B$16,"Crítico",IF(O193&lt;=Inicio!$B$17,"Observar","OK")))</f>
        <v/>
      </c>
      <c r="Q193" s="80" t="str">
        <f t="shared" si="9"/>
        <v/>
      </c>
      <c r="R193" s="80" t="str">
        <f t="shared" si="10"/>
        <v/>
      </c>
      <c r="S193" s="70" t="str">
        <f t="shared" si="11"/>
        <v/>
      </c>
      <c r="T193" s="70" t="str">
        <f>IF(A193="","",IFERROR(VLOOKUP(A193,Clientes_PDV!$A$2:$K$250,11,FALSE),""))</f>
        <v/>
      </c>
    </row>
    <row r="194" spans="1:20" x14ac:dyDescent="0.35">
      <c r="A194" s="75" t="str">
        <f>IF(Clientes_PDV!A194="","",Clientes_PDV!A194)</f>
        <v/>
      </c>
      <c r="B194" s="75" t="str">
        <f>IF(A194="","",IFERROR(VLOOKUP(A194,Clientes_PDV!$A$2:$J$250,2,FALSE),""))</f>
        <v/>
      </c>
      <c r="C194" s="75" t="str">
        <f>IF(A194="","",IFERROR(VLOOKUP(A194,Clientes_PDV!$A$2:$J$250,3,FALSE),""))</f>
        <v/>
      </c>
      <c r="D194" s="75" t="str">
        <f>IF(A194="","",IFERROR(VLOOKUP(A194,Clientes_PDV!$A$2:$J$250,4,FALSE),""))</f>
        <v/>
      </c>
      <c r="E194" s="75" t="str">
        <f>IF(A194="","",IFERROR(VLOOKUP(A194,Clientes_PDV!$A$2:$J$250,7,FALSE),""))</f>
        <v/>
      </c>
      <c r="F194" s="76" t="str">
        <f>IF(A194="","",IFERROR(VLOOKUP(A194,Clientes_PDV!$A$2:$J$250,8,FALSE),""))</f>
        <v/>
      </c>
      <c r="G194" s="77" t="str">
        <f t="shared" ref="G194:G250" ca="1" si="12">IF(F194="","",TODAY()-F194)</f>
        <v/>
      </c>
      <c r="H194" s="75" t="str">
        <f>IF(A194="","",IF(F194="","Sin visita",IF(G194&lt;=IFERROR(VLOOKUP(E194,Inicio!$A$24:$B$26,2,FALSE),0),"Vigente","Atrasado")))</f>
        <v/>
      </c>
      <c r="I194" s="78" t="str">
        <f ca="1">IF(A194="","",SUMIFS(Ventas_SellIn!$L$2:$L$800,Ventas_SellIn!$D$2:$D$800,A194,Ventas_SellIn!$B$2:$B$800,"&gt;="&amp;TODAY()-Inicio!$B$14))</f>
        <v/>
      </c>
      <c r="J194" s="77" t="str">
        <f ca="1">IF(A194="","",SUMIFS(SellOut_Jumbo!$F$2:$F$800,SellOut_Jumbo!$C$2:$C$800,D194,SellOut_Jumbo!$A$2:$A$800,"&gt;="&amp;TODAY()-Inicio!$B$14))</f>
        <v/>
      </c>
      <c r="K194" s="75" t="str">
        <f>IF(A194="","",IF(I194=0,"Sin venta",IF(I194&lt;Inicio!$B$15,"Venta baja","Venta OK")))</f>
        <v/>
      </c>
      <c r="L194" s="77" t="str">
        <f>IF(A194="","",COUNTIFS(Ventas_SellIn!$D$2:$D$800,A194,Ventas_SellIn!$R$2:$R$800,"&gt;0"))</f>
        <v/>
      </c>
      <c r="M194" s="78" t="str">
        <f>IF(A194="","",SUMIFS(Ventas_SellIn!$R$2:$R$800,Ventas_SellIn!$D$2:$D$800,A194))</f>
        <v/>
      </c>
      <c r="N194" s="75" t="str">
        <f>IF(A194="","",IF(M194&gt;=Inicio!$B$18,"Pendiente relevante",IF(M194&gt;0,"Pendiente menor","Sin deuda")))</f>
        <v/>
      </c>
      <c r="O194" s="79" t="str">
        <f>IF(A194="","",SUMIFS(Stock_PDV!$H$2:$H$800,Stock_PDV!$A$2:$A$800,A194))</f>
        <v/>
      </c>
      <c r="P194" s="75" t="str">
        <f>IF(A194="","",IF(O194&lt;=Inicio!$B$16,"Crítico",IF(O194&lt;=Inicio!$B$17,"Observar","OK")))</f>
        <v/>
      </c>
      <c r="Q194" s="75" t="str">
        <f t="shared" ref="Q194:Q250" si="13">IF(A194="","",IF(OR(H194="Atrasado",K194="Sin venta",N194="Pendiente relevante",P194="Crítico"),"Alta",IF(OR(K194="Venta baja",N194="Pendiente menor",P194="Observar"),"Media","Baja")))</f>
        <v/>
      </c>
      <c r="R194" s="75" t="str">
        <f t="shared" ref="R194:R250" si="14">IF(A194="","",IF(Q194="Alta","Gestionar esta semana",IF(Q194="Media","Hacer seguimiento","Mantener")))</f>
        <v/>
      </c>
      <c r="S194" s="68" t="str">
        <f t="shared" ref="S194:S250" si="15">IF(A194="","",IF(I194=0,"Sin venta",IF(I194&gt;=cfg_VentaAlta,"Alta",IF(I194&lt;cfg_VentaBaja,"Baja","Media"))))</f>
        <v/>
      </c>
      <c r="T194" s="68" t="str">
        <f>IF(A194="","",IFERROR(VLOOKUP(A194,Clientes_PDV!$A$2:$K$250,11,FALSE),""))</f>
        <v/>
      </c>
    </row>
    <row r="195" spans="1:20" x14ac:dyDescent="0.35">
      <c r="A195" s="80" t="str">
        <f>IF(Clientes_PDV!A195="","",Clientes_PDV!A195)</f>
        <v/>
      </c>
      <c r="B195" s="80" t="str">
        <f>IF(A195="","",IFERROR(VLOOKUP(A195,Clientes_PDV!$A$2:$J$250,2,FALSE),""))</f>
        <v/>
      </c>
      <c r="C195" s="80" t="str">
        <f>IF(A195="","",IFERROR(VLOOKUP(A195,Clientes_PDV!$A$2:$J$250,3,FALSE),""))</f>
        <v/>
      </c>
      <c r="D195" s="80" t="str">
        <f>IF(A195="","",IFERROR(VLOOKUP(A195,Clientes_PDV!$A$2:$J$250,4,FALSE),""))</f>
        <v/>
      </c>
      <c r="E195" s="80" t="str">
        <f>IF(A195="","",IFERROR(VLOOKUP(A195,Clientes_PDV!$A$2:$J$250,7,FALSE),""))</f>
        <v/>
      </c>
      <c r="F195" s="81" t="str">
        <f>IF(A195="","",IFERROR(VLOOKUP(A195,Clientes_PDV!$A$2:$J$250,8,FALSE),""))</f>
        <v/>
      </c>
      <c r="G195" s="82" t="str">
        <f t="shared" ca="1" si="12"/>
        <v/>
      </c>
      <c r="H195" s="80" t="str">
        <f>IF(A195="","",IF(F195="","Sin visita",IF(G195&lt;=IFERROR(VLOOKUP(E195,Inicio!$A$24:$B$26,2,FALSE),0),"Vigente","Atrasado")))</f>
        <v/>
      </c>
      <c r="I195" s="83" t="str">
        <f ca="1">IF(A195="","",SUMIFS(Ventas_SellIn!$L$2:$L$800,Ventas_SellIn!$D$2:$D$800,A195,Ventas_SellIn!$B$2:$B$800,"&gt;="&amp;TODAY()-Inicio!$B$14))</f>
        <v/>
      </c>
      <c r="J195" s="82" t="str">
        <f ca="1">IF(A195="","",SUMIFS(SellOut_Jumbo!$F$2:$F$800,SellOut_Jumbo!$C$2:$C$800,D195,SellOut_Jumbo!$A$2:$A$800,"&gt;="&amp;TODAY()-Inicio!$B$14))</f>
        <v/>
      </c>
      <c r="K195" s="80" t="str">
        <f>IF(A195="","",IF(I195=0,"Sin venta",IF(I195&lt;Inicio!$B$15,"Venta baja","Venta OK")))</f>
        <v/>
      </c>
      <c r="L195" s="82" t="str">
        <f>IF(A195="","",COUNTIFS(Ventas_SellIn!$D$2:$D$800,A195,Ventas_SellIn!$R$2:$R$800,"&gt;0"))</f>
        <v/>
      </c>
      <c r="M195" s="83" t="str">
        <f>IF(A195="","",SUMIFS(Ventas_SellIn!$R$2:$R$800,Ventas_SellIn!$D$2:$D$800,A195))</f>
        <v/>
      </c>
      <c r="N195" s="80" t="str">
        <f>IF(A195="","",IF(M195&gt;=Inicio!$B$18,"Pendiente relevante",IF(M195&gt;0,"Pendiente menor","Sin deuda")))</f>
        <v/>
      </c>
      <c r="O195" s="84" t="str">
        <f>IF(A195="","",SUMIFS(Stock_PDV!$H$2:$H$800,Stock_PDV!$A$2:$A$800,A195))</f>
        <v/>
      </c>
      <c r="P195" s="80" t="str">
        <f>IF(A195="","",IF(O195&lt;=Inicio!$B$16,"Crítico",IF(O195&lt;=Inicio!$B$17,"Observar","OK")))</f>
        <v/>
      </c>
      <c r="Q195" s="80" t="str">
        <f t="shared" si="13"/>
        <v/>
      </c>
      <c r="R195" s="80" t="str">
        <f t="shared" si="14"/>
        <v/>
      </c>
      <c r="S195" s="70" t="str">
        <f t="shared" si="15"/>
        <v/>
      </c>
      <c r="T195" s="70" t="str">
        <f>IF(A195="","",IFERROR(VLOOKUP(A195,Clientes_PDV!$A$2:$K$250,11,FALSE),""))</f>
        <v/>
      </c>
    </row>
    <row r="196" spans="1:20" x14ac:dyDescent="0.35">
      <c r="A196" s="75" t="str">
        <f>IF(Clientes_PDV!A196="","",Clientes_PDV!A196)</f>
        <v/>
      </c>
      <c r="B196" s="75" t="str">
        <f>IF(A196="","",IFERROR(VLOOKUP(A196,Clientes_PDV!$A$2:$J$250,2,FALSE),""))</f>
        <v/>
      </c>
      <c r="C196" s="75" t="str">
        <f>IF(A196="","",IFERROR(VLOOKUP(A196,Clientes_PDV!$A$2:$J$250,3,FALSE),""))</f>
        <v/>
      </c>
      <c r="D196" s="75" t="str">
        <f>IF(A196="","",IFERROR(VLOOKUP(A196,Clientes_PDV!$A$2:$J$250,4,FALSE),""))</f>
        <v/>
      </c>
      <c r="E196" s="75" t="str">
        <f>IF(A196="","",IFERROR(VLOOKUP(A196,Clientes_PDV!$A$2:$J$250,7,FALSE),""))</f>
        <v/>
      </c>
      <c r="F196" s="76" t="str">
        <f>IF(A196="","",IFERROR(VLOOKUP(A196,Clientes_PDV!$A$2:$J$250,8,FALSE),""))</f>
        <v/>
      </c>
      <c r="G196" s="77" t="str">
        <f t="shared" ca="1" si="12"/>
        <v/>
      </c>
      <c r="H196" s="75" t="str">
        <f>IF(A196="","",IF(F196="","Sin visita",IF(G196&lt;=IFERROR(VLOOKUP(E196,Inicio!$A$24:$B$26,2,FALSE),0),"Vigente","Atrasado")))</f>
        <v/>
      </c>
      <c r="I196" s="78" t="str">
        <f ca="1">IF(A196="","",SUMIFS(Ventas_SellIn!$L$2:$L$800,Ventas_SellIn!$D$2:$D$800,A196,Ventas_SellIn!$B$2:$B$800,"&gt;="&amp;TODAY()-Inicio!$B$14))</f>
        <v/>
      </c>
      <c r="J196" s="77" t="str">
        <f ca="1">IF(A196="","",SUMIFS(SellOut_Jumbo!$F$2:$F$800,SellOut_Jumbo!$C$2:$C$800,D196,SellOut_Jumbo!$A$2:$A$800,"&gt;="&amp;TODAY()-Inicio!$B$14))</f>
        <v/>
      </c>
      <c r="K196" s="75" t="str">
        <f>IF(A196="","",IF(I196=0,"Sin venta",IF(I196&lt;Inicio!$B$15,"Venta baja","Venta OK")))</f>
        <v/>
      </c>
      <c r="L196" s="77" t="str">
        <f>IF(A196="","",COUNTIFS(Ventas_SellIn!$D$2:$D$800,A196,Ventas_SellIn!$R$2:$R$800,"&gt;0"))</f>
        <v/>
      </c>
      <c r="M196" s="78" t="str">
        <f>IF(A196="","",SUMIFS(Ventas_SellIn!$R$2:$R$800,Ventas_SellIn!$D$2:$D$800,A196))</f>
        <v/>
      </c>
      <c r="N196" s="75" t="str">
        <f>IF(A196="","",IF(M196&gt;=Inicio!$B$18,"Pendiente relevante",IF(M196&gt;0,"Pendiente menor","Sin deuda")))</f>
        <v/>
      </c>
      <c r="O196" s="79" t="str">
        <f>IF(A196="","",SUMIFS(Stock_PDV!$H$2:$H$800,Stock_PDV!$A$2:$A$800,A196))</f>
        <v/>
      </c>
      <c r="P196" s="75" t="str">
        <f>IF(A196="","",IF(O196&lt;=Inicio!$B$16,"Crítico",IF(O196&lt;=Inicio!$B$17,"Observar","OK")))</f>
        <v/>
      </c>
      <c r="Q196" s="75" t="str">
        <f t="shared" si="13"/>
        <v/>
      </c>
      <c r="R196" s="75" t="str">
        <f t="shared" si="14"/>
        <v/>
      </c>
      <c r="S196" s="68" t="str">
        <f t="shared" si="15"/>
        <v/>
      </c>
      <c r="T196" s="68" t="str">
        <f>IF(A196="","",IFERROR(VLOOKUP(A196,Clientes_PDV!$A$2:$K$250,11,FALSE),""))</f>
        <v/>
      </c>
    </row>
    <row r="197" spans="1:20" x14ac:dyDescent="0.35">
      <c r="A197" s="80" t="str">
        <f>IF(Clientes_PDV!A197="","",Clientes_PDV!A197)</f>
        <v/>
      </c>
      <c r="B197" s="80" t="str">
        <f>IF(A197="","",IFERROR(VLOOKUP(A197,Clientes_PDV!$A$2:$J$250,2,FALSE),""))</f>
        <v/>
      </c>
      <c r="C197" s="80" t="str">
        <f>IF(A197="","",IFERROR(VLOOKUP(A197,Clientes_PDV!$A$2:$J$250,3,FALSE),""))</f>
        <v/>
      </c>
      <c r="D197" s="80" t="str">
        <f>IF(A197="","",IFERROR(VLOOKUP(A197,Clientes_PDV!$A$2:$J$250,4,FALSE),""))</f>
        <v/>
      </c>
      <c r="E197" s="80" t="str">
        <f>IF(A197="","",IFERROR(VLOOKUP(A197,Clientes_PDV!$A$2:$J$250,7,FALSE),""))</f>
        <v/>
      </c>
      <c r="F197" s="81" t="str">
        <f>IF(A197="","",IFERROR(VLOOKUP(A197,Clientes_PDV!$A$2:$J$250,8,FALSE),""))</f>
        <v/>
      </c>
      <c r="G197" s="82" t="str">
        <f t="shared" ca="1" si="12"/>
        <v/>
      </c>
      <c r="H197" s="80" t="str">
        <f>IF(A197="","",IF(F197="","Sin visita",IF(G197&lt;=IFERROR(VLOOKUP(E197,Inicio!$A$24:$B$26,2,FALSE),0),"Vigente","Atrasado")))</f>
        <v/>
      </c>
      <c r="I197" s="83" t="str">
        <f ca="1">IF(A197="","",SUMIFS(Ventas_SellIn!$L$2:$L$800,Ventas_SellIn!$D$2:$D$800,A197,Ventas_SellIn!$B$2:$B$800,"&gt;="&amp;TODAY()-Inicio!$B$14))</f>
        <v/>
      </c>
      <c r="J197" s="82" t="str">
        <f ca="1">IF(A197="","",SUMIFS(SellOut_Jumbo!$F$2:$F$800,SellOut_Jumbo!$C$2:$C$800,D197,SellOut_Jumbo!$A$2:$A$800,"&gt;="&amp;TODAY()-Inicio!$B$14))</f>
        <v/>
      </c>
      <c r="K197" s="80" t="str">
        <f>IF(A197="","",IF(I197=0,"Sin venta",IF(I197&lt;Inicio!$B$15,"Venta baja","Venta OK")))</f>
        <v/>
      </c>
      <c r="L197" s="82" t="str">
        <f>IF(A197="","",COUNTIFS(Ventas_SellIn!$D$2:$D$800,A197,Ventas_SellIn!$R$2:$R$800,"&gt;0"))</f>
        <v/>
      </c>
      <c r="M197" s="83" t="str">
        <f>IF(A197="","",SUMIFS(Ventas_SellIn!$R$2:$R$800,Ventas_SellIn!$D$2:$D$800,A197))</f>
        <v/>
      </c>
      <c r="N197" s="80" t="str">
        <f>IF(A197="","",IF(M197&gt;=Inicio!$B$18,"Pendiente relevante",IF(M197&gt;0,"Pendiente menor","Sin deuda")))</f>
        <v/>
      </c>
      <c r="O197" s="84" t="str">
        <f>IF(A197="","",SUMIFS(Stock_PDV!$H$2:$H$800,Stock_PDV!$A$2:$A$800,A197))</f>
        <v/>
      </c>
      <c r="P197" s="80" t="str">
        <f>IF(A197="","",IF(O197&lt;=Inicio!$B$16,"Crítico",IF(O197&lt;=Inicio!$B$17,"Observar","OK")))</f>
        <v/>
      </c>
      <c r="Q197" s="80" t="str">
        <f t="shared" si="13"/>
        <v/>
      </c>
      <c r="R197" s="80" t="str">
        <f t="shared" si="14"/>
        <v/>
      </c>
      <c r="S197" s="70" t="str">
        <f t="shared" si="15"/>
        <v/>
      </c>
      <c r="T197" s="70" t="str">
        <f>IF(A197="","",IFERROR(VLOOKUP(A197,Clientes_PDV!$A$2:$K$250,11,FALSE),""))</f>
        <v/>
      </c>
    </row>
    <row r="198" spans="1:20" x14ac:dyDescent="0.35">
      <c r="A198" s="75" t="str">
        <f>IF(Clientes_PDV!A198="","",Clientes_PDV!A198)</f>
        <v/>
      </c>
      <c r="B198" s="75" t="str">
        <f>IF(A198="","",IFERROR(VLOOKUP(A198,Clientes_PDV!$A$2:$J$250,2,FALSE),""))</f>
        <v/>
      </c>
      <c r="C198" s="75" t="str">
        <f>IF(A198="","",IFERROR(VLOOKUP(A198,Clientes_PDV!$A$2:$J$250,3,FALSE),""))</f>
        <v/>
      </c>
      <c r="D198" s="75" t="str">
        <f>IF(A198="","",IFERROR(VLOOKUP(A198,Clientes_PDV!$A$2:$J$250,4,FALSE),""))</f>
        <v/>
      </c>
      <c r="E198" s="75" t="str">
        <f>IF(A198="","",IFERROR(VLOOKUP(A198,Clientes_PDV!$A$2:$J$250,7,FALSE),""))</f>
        <v/>
      </c>
      <c r="F198" s="76" t="str">
        <f>IF(A198="","",IFERROR(VLOOKUP(A198,Clientes_PDV!$A$2:$J$250,8,FALSE),""))</f>
        <v/>
      </c>
      <c r="G198" s="77" t="str">
        <f t="shared" ca="1" si="12"/>
        <v/>
      </c>
      <c r="H198" s="75" t="str">
        <f>IF(A198="","",IF(F198="","Sin visita",IF(G198&lt;=IFERROR(VLOOKUP(E198,Inicio!$A$24:$B$26,2,FALSE),0),"Vigente","Atrasado")))</f>
        <v/>
      </c>
      <c r="I198" s="78" t="str">
        <f ca="1">IF(A198="","",SUMIFS(Ventas_SellIn!$L$2:$L$800,Ventas_SellIn!$D$2:$D$800,A198,Ventas_SellIn!$B$2:$B$800,"&gt;="&amp;TODAY()-Inicio!$B$14))</f>
        <v/>
      </c>
      <c r="J198" s="77" t="str">
        <f ca="1">IF(A198="","",SUMIFS(SellOut_Jumbo!$F$2:$F$800,SellOut_Jumbo!$C$2:$C$800,D198,SellOut_Jumbo!$A$2:$A$800,"&gt;="&amp;TODAY()-Inicio!$B$14))</f>
        <v/>
      </c>
      <c r="K198" s="75" t="str">
        <f>IF(A198="","",IF(I198=0,"Sin venta",IF(I198&lt;Inicio!$B$15,"Venta baja","Venta OK")))</f>
        <v/>
      </c>
      <c r="L198" s="77" t="str">
        <f>IF(A198="","",COUNTIFS(Ventas_SellIn!$D$2:$D$800,A198,Ventas_SellIn!$R$2:$R$800,"&gt;0"))</f>
        <v/>
      </c>
      <c r="M198" s="78" t="str">
        <f>IF(A198="","",SUMIFS(Ventas_SellIn!$R$2:$R$800,Ventas_SellIn!$D$2:$D$800,A198))</f>
        <v/>
      </c>
      <c r="N198" s="75" t="str">
        <f>IF(A198="","",IF(M198&gt;=Inicio!$B$18,"Pendiente relevante",IF(M198&gt;0,"Pendiente menor","Sin deuda")))</f>
        <v/>
      </c>
      <c r="O198" s="79" t="str">
        <f>IF(A198="","",SUMIFS(Stock_PDV!$H$2:$H$800,Stock_PDV!$A$2:$A$800,A198))</f>
        <v/>
      </c>
      <c r="P198" s="75" t="str">
        <f>IF(A198="","",IF(O198&lt;=Inicio!$B$16,"Crítico",IF(O198&lt;=Inicio!$B$17,"Observar","OK")))</f>
        <v/>
      </c>
      <c r="Q198" s="75" t="str">
        <f t="shared" si="13"/>
        <v/>
      </c>
      <c r="R198" s="75" t="str">
        <f t="shared" si="14"/>
        <v/>
      </c>
      <c r="S198" s="68" t="str">
        <f t="shared" si="15"/>
        <v/>
      </c>
      <c r="T198" s="68" t="str">
        <f>IF(A198="","",IFERROR(VLOOKUP(A198,Clientes_PDV!$A$2:$K$250,11,FALSE),""))</f>
        <v/>
      </c>
    </row>
    <row r="199" spans="1:20" x14ac:dyDescent="0.35">
      <c r="A199" s="80" t="str">
        <f>IF(Clientes_PDV!A199="","",Clientes_PDV!A199)</f>
        <v/>
      </c>
      <c r="B199" s="80" t="str">
        <f>IF(A199="","",IFERROR(VLOOKUP(A199,Clientes_PDV!$A$2:$J$250,2,FALSE),""))</f>
        <v/>
      </c>
      <c r="C199" s="80" t="str">
        <f>IF(A199="","",IFERROR(VLOOKUP(A199,Clientes_PDV!$A$2:$J$250,3,FALSE),""))</f>
        <v/>
      </c>
      <c r="D199" s="80" t="str">
        <f>IF(A199="","",IFERROR(VLOOKUP(A199,Clientes_PDV!$A$2:$J$250,4,FALSE),""))</f>
        <v/>
      </c>
      <c r="E199" s="80" t="str">
        <f>IF(A199="","",IFERROR(VLOOKUP(A199,Clientes_PDV!$A$2:$J$250,7,FALSE),""))</f>
        <v/>
      </c>
      <c r="F199" s="81" t="str">
        <f>IF(A199="","",IFERROR(VLOOKUP(A199,Clientes_PDV!$A$2:$J$250,8,FALSE),""))</f>
        <v/>
      </c>
      <c r="G199" s="82" t="str">
        <f t="shared" ca="1" si="12"/>
        <v/>
      </c>
      <c r="H199" s="80" t="str">
        <f>IF(A199="","",IF(F199="","Sin visita",IF(G199&lt;=IFERROR(VLOOKUP(E199,Inicio!$A$24:$B$26,2,FALSE),0),"Vigente","Atrasado")))</f>
        <v/>
      </c>
      <c r="I199" s="83" t="str">
        <f ca="1">IF(A199="","",SUMIFS(Ventas_SellIn!$L$2:$L$800,Ventas_SellIn!$D$2:$D$800,A199,Ventas_SellIn!$B$2:$B$800,"&gt;="&amp;TODAY()-Inicio!$B$14))</f>
        <v/>
      </c>
      <c r="J199" s="82" t="str">
        <f ca="1">IF(A199="","",SUMIFS(SellOut_Jumbo!$F$2:$F$800,SellOut_Jumbo!$C$2:$C$800,D199,SellOut_Jumbo!$A$2:$A$800,"&gt;="&amp;TODAY()-Inicio!$B$14))</f>
        <v/>
      </c>
      <c r="K199" s="80" t="str">
        <f>IF(A199="","",IF(I199=0,"Sin venta",IF(I199&lt;Inicio!$B$15,"Venta baja","Venta OK")))</f>
        <v/>
      </c>
      <c r="L199" s="82" t="str">
        <f>IF(A199="","",COUNTIFS(Ventas_SellIn!$D$2:$D$800,A199,Ventas_SellIn!$R$2:$R$800,"&gt;0"))</f>
        <v/>
      </c>
      <c r="M199" s="83" t="str">
        <f>IF(A199="","",SUMIFS(Ventas_SellIn!$R$2:$R$800,Ventas_SellIn!$D$2:$D$800,A199))</f>
        <v/>
      </c>
      <c r="N199" s="80" t="str">
        <f>IF(A199="","",IF(M199&gt;=Inicio!$B$18,"Pendiente relevante",IF(M199&gt;0,"Pendiente menor","Sin deuda")))</f>
        <v/>
      </c>
      <c r="O199" s="84" t="str">
        <f>IF(A199="","",SUMIFS(Stock_PDV!$H$2:$H$800,Stock_PDV!$A$2:$A$800,A199))</f>
        <v/>
      </c>
      <c r="P199" s="80" t="str">
        <f>IF(A199="","",IF(O199&lt;=Inicio!$B$16,"Crítico",IF(O199&lt;=Inicio!$B$17,"Observar","OK")))</f>
        <v/>
      </c>
      <c r="Q199" s="80" t="str">
        <f t="shared" si="13"/>
        <v/>
      </c>
      <c r="R199" s="80" t="str">
        <f t="shared" si="14"/>
        <v/>
      </c>
      <c r="S199" s="70" t="str">
        <f t="shared" si="15"/>
        <v/>
      </c>
      <c r="T199" s="70" t="str">
        <f>IF(A199="","",IFERROR(VLOOKUP(A199,Clientes_PDV!$A$2:$K$250,11,FALSE),""))</f>
        <v/>
      </c>
    </row>
    <row r="200" spans="1:20" x14ac:dyDescent="0.35">
      <c r="A200" s="75" t="str">
        <f>IF(Clientes_PDV!A200="","",Clientes_PDV!A200)</f>
        <v/>
      </c>
      <c r="B200" s="75" t="str">
        <f>IF(A200="","",IFERROR(VLOOKUP(A200,Clientes_PDV!$A$2:$J$250,2,FALSE),""))</f>
        <v/>
      </c>
      <c r="C200" s="75" t="str">
        <f>IF(A200="","",IFERROR(VLOOKUP(A200,Clientes_PDV!$A$2:$J$250,3,FALSE),""))</f>
        <v/>
      </c>
      <c r="D200" s="75" t="str">
        <f>IF(A200="","",IFERROR(VLOOKUP(A200,Clientes_PDV!$A$2:$J$250,4,FALSE),""))</f>
        <v/>
      </c>
      <c r="E200" s="75" t="str">
        <f>IF(A200="","",IFERROR(VLOOKUP(A200,Clientes_PDV!$A$2:$J$250,7,FALSE),""))</f>
        <v/>
      </c>
      <c r="F200" s="76" t="str">
        <f>IF(A200="","",IFERROR(VLOOKUP(A200,Clientes_PDV!$A$2:$J$250,8,FALSE),""))</f>
        <v/>
      </c>
      <c r="G200" s="77" t="str">
        <f t="shared" ca="1" si="12"/>
        <v/>
      </c>
      <c r="H200" s="75" t="str">
        <f>IF(A200="","",IF(F200="","Sin visita",IF(G200&lt;=IFERROR(VLOOKUP(E200,Inicio!$A$24:$B$26,2,FALSE),0),"Vigente","Atrasado")))</f>
        <v/>
      </c>
      <c r="I200" s="78" t="str">
        <f ca="1">IF(A200="","",SUMIFS(Ventas_SellIn!$L$2:$L$800,Ventas_SellIn!$D$2:$D$800,A200,Ventas_SellIn!$B$2:$B$800,"&gt;="&amp;TODAY()-Inicio!$B$14))</f>
        <v/>
      </c>
      <c r="J200" s="77" t="str">
        <f ca="1">IF(A200="","",SUMIFS(SellOut_Jumbo!$F$2:$F$800,SellOut_Jumbo!$C$2:$C$800,D200,SellOut_Jumbo!$A$2:$A$800,"&gt;="&amp;TODAY()-Inicio!$B$14))</f>
        <v/>
      </c>
      <c r="K200" s="75" t="str">
        <f>IF(A200="","",IF(I200=0,"Sin venta",IF(I200&lt;Inicio!$B$15,"Venta baja","Venta OK")))</f>
        <v/>
      </c>
      <c r="L200" s="77" t="str">
        <f>IF(A200="","",COUNTIFS(Ventas_SellIn!$D$2:$D$800,A200,Ventas_SellIn!$R$2:$R$800,"&gt;0"))</f>
        <v/>
      </c>
      <c r="M200" s="78" t="str">
        <f>IF(A200="","",SUMIFS(Ventas_SellIn!$R$2:$R$800,Ventas_SellIn!$D$2:$D$800,A200))</f>
        <v/>
      </c>
      <c r="N200" s="75" t="str">
        <f>IF(A200="","",IF(M200&gt;=Inicio!$B$18,"Pendiente relevante",IF(M200&gt;0,"Pendiente menor","Sin deuda")))</f>
        <v/>
      </c>
      <c r="O200" s="79" t="str">
        <f>IF(A200="","",SUMIFS(Stock_PDV!$H$2:$H$800,Stock_PDV!$A$2:$A$800,A200))</f>
        <v/>
      </c>
      <c r="P200" s="75" t="str">
        <f>IF(A200="","",IF(O200&lt;=Inicio!$B$16,"Crítico",IF(O200&lt;=Inicio!$B$17,"Observar","OK")))</f>
        <v/>
      </c>
      <c r="Q200" s="75" t="str">
        <f t="shared" si="13"/>
        <v/>
      </c>
      <c r="R200" s="75" t="str">
        <f t="shared" si="14"/>
        <v/>
      </c>
      <c r="S200" s="68" t="str">
        <f t="shared" si="15"/>
        <v/>
      </c>
      <c r="T200" s="68" t="str">
        <f>IF(A200="","",IFERROR(VLOOKUP(A200,Clientes_PDV!$A$2:$K$250,11,FALSE),""))</f>
        <v/>
      </c>
    </row>
    <row r="201" spans="1:20" x14ac:dyDescent="0.35">
      <c r="A201" s="80" t="str">
        <f>IF(Clientes_PDV!A201="","",Clientes_PDV!A201)</f>
        <v/>
      </c>
      <c r="B201" s="80" t="str">
        <f>IF(A201="","",IFERROR(VLOOKUP(A201,Clientes_PDV!$A$2:$J$250,2,FALSE),""))</f>
        <v/>
      </c>
      <c r="C201" s="80" t="str">
        <f>IF(A201="","",IFERROR(VLOOKUP(A201,Clientes_PDV!$A$2:$J$250,3,FALSE),""))</f>
        <v/>
      </c>
      <c r="D201" s="80" t="str">
        <f>IF(A201="","",IFERROR(VLOOKUP(A201,Clientes_PDV!$A$2:$J$250,4,FALSE),""))</f>
        <v/>
      </c>
      <c r="E201" s="80" t="str">
        <f>IF(A201="","",IFERROR(VLOOKUP(A201,Clientes_PDV!$A$2:$J$250,7,FALSE),""))</f>
        <v/>
      </c>
      <c r="F201" s="81" t="str">
        <f>IF(A201="","",IFERROR(VLOOKUP(A201,Clientes_PDV!$A$2:$J$250,8,FALSE),""))</f>
        <v/>
      </c>
      <c r="G201" s="82" t="str">
        <f t="shared" ca="1" si="12"/>
        <v/>
      </c>
      <c r="H201" s="80" t="str">
        <f>IF(A201="","",IF(F201="","Sin visita",IF(G201&lt;=IFERROR(VLOOKUP(E201,Inicio!$A$24:$B$26,2,FALSE),0),"Vigente","Atrasado")))</f>
        <v/>
      </c>
      <c r="I201" s="83" t="str">
        <f ca="1">IF(A201="","",SUMIFS(Ventas_SellIn!$L$2:$L$800,Ventas_SellIn!$D$2:$D$800,A201,Ventas_SellIn!$B$2:$B$800,"&gt;="&amp;TODAY()-Inicio!$B$14))</f>
        <v/>
      </c>
      <c r="J201" s="82" t="str">
        <f ca="1">IF(A201="","",SUMIFS(SellOut_Jumbo!$F$2:$F$800,SellOut_Jumbo!$C$2:$C$800,D201,SellOut_Jumbo!$A$2:$A$800,"&gt;="&amp;TODAY()-Inicio!$B$14))</f>
        <v/>
      </c>
      <c r="K201" s="80" t="str">
        <f>IF(A201="","",IF(I201=0,"Sin venta",IF(I201&lt;Inicio!$B$15,"Venta baja","Venta OK")))</f>
        <v/>
      </c>
      <c r="L201" s="82" t="str">
        <f>IF(A201="","",COUNTIFS(Ventas_SellIn!$D$2:$D$800,A201,Ventas_SellIn!$R$2:$R$800,"&gt;0"))</f>
        <v/>
      </c>
      <c r="M201" s="83" t="str">
        <f>IF(A201="","",SUMIFS(Ventas_SellIn!$R$2:$R$800,Ventas_SellIn!$D$2:$D$800,A201))</f>
        <v/>
      </c>
      <c r="N201" s="80" t="str">
        <f>IF(A201="","",IF(M201&gt;=Inicio!$B$18,"Pendiente relevante",IF(M201&gt;0,"Pendiente menor","Sin deuda")))</f>
        <v/>
      </c>
      <c r="O201" s="84" t="str">
        <f>IF(A201="","",SUMIFS(Stock_PDV!$H$2:$H$800,Stock_PDV!$A$2:$A$800,A201))</f>
        <v/>
      </c>
      <c r="P201" s="80" t="str">
        <f>IF(A201="","",IF(O201&lt;=Inicio!$B$16,"Crítico",IF(O201&lt;=Inicio!$B$17,"Observar","OK")))</f>
        <v/>
      </c>
      <c r="Q201" s="80" t="str">
        <f t="shared" si="13"/>
        <v/>
      </c>
      <c r="R201" s="80" t="str">
        <f t="shared" si="14"/>
        <v/>
      </c>
      <c r="S201" s="70" t="str">
        <f t="shared" si="15"/>
        <v/>
      </c>
      <c r="T201" s="70" t="str">
        <f>IF(A201="","",IFERROR(VLOOKUP(A201,Clientes_PDV!$A$2:$K$250,11,FALSE),""))</f>
        <v/>
      </c>
    </row>
    <row r="202" spans="1:20" x14ac:dyDescent="0.35">
      <c r="A202" s="75" t="str">
        <f>IF(Clientes_PDV!A202="","",Clientes_PDV!A202)</f>
        <v/>
      </c>
      <c r="B202" s="75" t="str">
        <f>IF(A202="","",IFERROR(VLOOKUP(A202,Clientes_PDV!$A$2:$J$250,2,FALSE),""))</f>
        <v/>
      </c>
      <c r="C202" s="75" t="str">
        <f>IF(A202="","",IFERROR(VLOOKUP(A202,Clientes_PDV!$A$2:$J$250,3,FALSE),""))</f>
        <v/>
      </c>
      <c r="D202" s="75" t="str">
        <f>IF(A202="","",IFERROR(VLOOKUP(A202,Clientes_PDV!$A$2:$J$250,4,FALSE),""))</f>
        <v/>
      </c>
      <c r="E202" s="75" t="str">
        <f>IF(A202="","",IFERROR(VLOOKUP(A202,Clientes_PDV!$A$2:$J$250,7,FALSE),""))</f>
        <v/>
      </c>
      <c r="F202" s="76" t="str">
        <f>IF(A202="","",IFERROR(VLOOKUP(A202,Clientes_PDV!$A$2:$J$250,8,FALSE),""))</f>
        <v/>
      </c>
      <c r="G202" s="75" t="str">
        <f t="shared" ca="1" si="12"/>
        <v/>
      </c>
      <c r="H202" s="75" t="str">
        <f>IF(A202="","",IF(F202="","Sin visita",IF(G202&lt;=IFERROR(VLOOKUP(E202,Inicio!$A$24:$B$26,2,FALSE),0),"Vigente","Atrasado")))</f>
        <v/>
      </c>
      <c r="I202" s="78" t="str">
        <f ca="1">IF(A202="","",SUMIFS(Ventas_SellIn!$L$2:$L$800,Ventas_SellIn!$D$2:$D$800,A202,Ventas_SellIn!$B$2:$B$800,"&gt;="&amp;TODAY()-Inicio!$B$14))</f>
        <v/>
      </c>
      <c r="J202" s="75" t="str">
        <f ca="1">IF(A202="","",SUMIFS(SellOut_Jumbo!$F$2:$F$800,SellOut_Jumbo!$C$2:$C$800,D202,SellOut_Jumbo!$A$2:$A$800,"&gt;="&amp;TODAY()-Inicio!$B$14))</f>
        <v/>
      </c>
      <c r="K202" s="75" t="str">
        <f>IF(A202="","",IF(I202=0,"Sin venta",IF(I202&lt;Inicio!$B$15,"Venta baja","Venta OK")))</f>
        <v/>
      </c>
      <c r="L202" s="75" t="str">
        <f>IF(A202="","",COUNTIFS(Ventas_SellIn!$D$2:$D$800,A202,Ventas_SellIn!$R$2:$R$800,"&gt;0"))</f>
        <v/>
      </c>
      <c r="M202" s="78" t="str">
        <f>IF(A202="","",SUMIFS(Ventas_SellIn!$R$2:$R$800,Ventas_SellIn!$D$2:$D$800,A202))</f>
        <v/>
      </c>
      <c r="N202" s="75" t="str">
        <f>IF(A202="","",IF(M202&gt;=Inicio!$B$18,"Pendiente relevante",IF(M202&gt;0,"Pendiente menor","Sin deuda")))</f>
        <v/>
      </c>
      <c r="O202" s="79" t="str">
        <f>IF(A202="","",SUMIFS(Stock_PDV!$H$2:$H$800,Stock_PDV!$A$2:$A$800,A202))</f>
        <v/>
      </c>
      <c r="P202" s="75" t="str">
        <f>IF(A202="","",IF(O202&lt;=Inicio!$B$16,"Crítico",IF(O202&lt;=Inicio!$B$17,"Observar","OK")))</f>
        <v/>
      </c>
      <c r="Q202" s="75" t="str">
        <f t="shared" si="13"/>
        <v/>
      </c>
      <c r="R202" s="75" t="str">
        <f t="shared" si="14"/>
        <v/>
      </c>
      <c r="S202" s="68" t="str">
        <f t="shared" si="15"/>
        <v/>
      </c>
      <c r="T202" s="68" t="str">
        <f>IF(A202="","",IFERROR(VLOOKUP(A202,Clientes_PDV!$A$2:$K$250,11,FALSE),""))</f>
        <v/>
      </c>
    </row>
    <row r="203" spans="1:20" x14ac:dyDescent="0.35">
      <c r="A203" s="80" t="str">
        <f>IF(Clientes_PDV!A203="","",Clientes_PDV!A203)</f>
        <v/>
      </c>
      <c r="B203" s="80" t="str">
        <f>IF(A203="","",IFERROR(VLOOKUP(A203,Clientes_PDV!$A$2:$J$250,2,FALSE),""))</f>
        <v/>
      </c>
      <c r="C203" s="80" t="str">
        <f>IF(A203="","",IFERROR(VLOOKUP(A203,Clientes_PDV!$A$2:$J$250,3,FALSE),""))</f>
        <v/>
      </c>
      <c r="D203" s="80" t="str">
        <f>IF(A203="","",IFERROR(VLOOKUP(A203,Clientes_PDV!$A$2:$J$250,4,FALSE),""))</f>
        <v/>
      </c>
      <c r="E203" s="80" t="str">
        <f>IF(A203="","",IFERROR(VLOOKUP(A203,Clientes_PDV!$A$2:$J$250,7,FALSE),""))</f>
        <v/>
      </c>
      <c r="F203" s="81" t="str">
        <f>IF(A203="","",IFERROR(VLOOKUP(A203,Clientes_PDV!$A$2:$J$250,8,FALSE),""))</f>
        <v/>
      </c>
      <c r="G203" s="80" t="str">
        <f t="shared" ca="1" si="12"/>
        <v/>
      </c>
      <c r="H203" s="80" t="str">
        <f>IF(A203="","",IF(F203="","Sin visita",IF(G203&lt;=IFERROR(VLOOKUP(E203,Inicio!$A$24:$B$26,2,FALSE),0),"Vigente","Atrasado")))</f>
        <v/>
      </c>
      <c r="I203" s="83" t="str">
        <f ca="1">IF(A203="","",SUMIFS(Ventas_SellIn!$L$2:$L$800,Ventas_SellIn!$D$2:$D$800,A203,Ventas_SellIn!$B$2:$B$800,"&gt;="&amp;TODAY()-Inicio!$B$14))</f>
        <v/>
      </c>
      <c r="J203" s="80" t="str">
        <f ca="1">IF(A203="","",SUMIFS(SellOut_Jumbo!$F$2:$F$800,SellOut_Jumbo!$C$2:$C$800,D203,SellOut_Jumbo!$A$2:$A$800,"&gt;="&amp;TODAY()-Inicio!$B$14))</f>
        <v/>
      </c>
      <c r="K203" s="80" t="str">
        <f>IF(A203="","",IF(I203=0,"Sin venta",IF(I203&lt;Inicio!$B$15,"Venta baja","Venta OK")))</f>
        <v/>
      </c>
      <c r="L203" s="80" t="str">
        <f>IF(A203="","",COUNTIFS(Ventas_SellIn!$D$2:$D$800,A203,Ventas_SellIn!$R$2:$R$800,"&gt;0"))</f>
        <v/>
      </c>
      <c r="M203" s="83" t="str">
        <f>IF(A203="","",SUMIFS(Ventas_SellIn!$R$2:$R$800,Ventas_SellIn!$D$2:$D$800,A203))</f>
        <v/>
      </c>
      <c r="N203" s="80" t="str">
        <f>IF(A203="","",IF(M203&gt;=Inicio!$B$18,"Pendiente relevante",IF(M203&gt;0,"Pendiente menor","Sin deuda")))</f>
        <v/>
      </c>
      <c r="O203" s="84" t="str">
        <f>IF(A203="","",SUMIFS(Stock_PDV!$H$2:$H$800,Stock_PDV!$A$2:$A$800,A203))</f>
        <v/>
      </c>
      <c r="P203" s="80" t="str">
        <f>IF(A203="","",IF(O203&lt;=Inicio!$B$16,"Crítico",IF(O203&lt;=Inicio!$B$17,"Observar","OK")))</f>
        <v/>
      </c>
      <c r="Q203" s="80" t="str">
        <f t="shared" si="13"/>
        <v/>
      </c>
      <c r="R203" s="80" t="str">
        <f t="shared" si="14"/>
        <v/>
      </c>
      <c r="S203" s="70" t="str">
        <f t="shared" si="15"/>
        <v/>
      </c>
      <c r="T203" s="70" t="str">
        <f>IF(A203="","",IFERROR(VLOOKUP(A203,Clientes_PDV!$A$2:$K$250,11,FALSE),""))</f>
        <v/>
      </c>
    </row>
    <row r="204" spans="1:20" x14ac:dyDescent="0.35">
      <c r="A204" s="75" t="str">
        <f>IF(Clientes_PDV!A204="","",Clientes_PDV!A204)</f>
        <v/>
      </c>
      <c r="B204" s="75" t="str">
        <f>IF(A204="","",IFERROR(VLOOKUP(A204,Clientes_PDV!$A$2:$J$250,2,FALSE),""))</f>
        <v/>
      </c>
      <c r="C204" s="75" t="str">
        <f>IF(A204="","",IFERROR(VLOOKUP(A204,Clientes_PDV!$A$2:$J$250,3,FALSE),""))</f>
        <v/>
      </c>
      <c r="D204" s="75" t="str">
        <f>IF(A204="","",IFERROR(VLOOKUP(A204,Clientes_PDV!$A$2:$J$250,4,FALSE),""))</f>
        <v/>
      </c>
      <c r="E204" s="75" t="str">
        <f>IF(A204="","",IFERROR(VLOOKUP(A204,Clientes_PDV!$A$2:$J$250,7,FALSE),""))</f>
        <v/>
      </c>
      <c r="F204" s="76" t="str">
        <f>IF(A204="","",IFERROR(VLOOKUP(A204,Clientes_PDV!$A$2:$J$250,8,FALSE),""))</f>
        <v/>
      </c>
      <c r="G204" s="75" t="str">
        <f t="shared" ca="1" si="12"/>
        <v/>
      </c>
      <c r="H204" s="75" t="str">
        <f>IF(A204="","",IF(F204="","Sin visita",IF(G204&lt;=IFERROR(VLOOKUP(E204,Inicio!$A$24:$B$26,2,FALSE),0),"Vigente","Atrasado")))</f>
        <v/>
      </c>
      <c r="I204" s="78" t="str">
        <f ca="1">IF(A204="","",SUMIFS(Ventas_SellIn!$L$2:$L$800,Ventas_SellIn!$D$2:$D$800,A204,Ventas_SellIn!$B$2:$B$800,"&gt;="&amp;TODAY()-Inicio!$B$14))</f>
        <v/>
      </c>
      <c r="J204" s="75" t="str">
        <f ca="1">IF(A204="","",SUMIFS(SellOut_Jumbo!$F$2:$F$800,SellOut_Jumbo!$C$2:$C$800,D204,SellOut_Jumbo!$A$2:$A$800,"&gt;="&amp;TODAY()-Inicio!$B$14))</f>
        <v/>
      </c>
      <c r="K204" s="75" t="str">
        <f>IF(A204="","",IF(I204=0,"Sin venta",IF(I204&lt;Inicio!$B$15,"Venta baja","Venta OK")))</f>
        <v/>
      </c>
      <c r="L204" s="75" t="str">
        <f>IF(A204="","",COUNTIFS(Ventas_SellIn!$D$2:$D$800,A204,Ventas_SellIn!$R$2:$R$800,"&gt;0"))</f>
        <v/>
      </c>
      <c r="M204" s="78" t="str">
        <f>IF(A204="","",SUMIFS(Ventas_SellIn!$R$2:$R$800,Ventas_SellIn!$D$2:$D$800,A204))</f>
        <v/>
      </c>
      <c r="N204" s="75" t="str">
        <f>IF(A204="","",IF(M204&gt;=Inicio!$B$18,"Pendiente relevante",IF(M204&gt;0,"Pendiente menor","Sin deuda")))</f>
        <v/>
      </c>
      <c r="O204" s="79" t="str">
        <f>IF(A204="","",SUMIFS(Stock_PDV!$H$2:$H$800,Stock_PDV!$A$2:$A$800,A204))</f>
        <v/>
      </c>
      <c r="P204" s="75" t="str">
        <f>IF(A204="","",IF(O204&lt;=Inicio!$B$16,"Crítico",IF(O204&lt;=Inicio!$B$17,"Observar","OK")))</f>
        <v/>
      </c>
      <c r="Q204" s="75" t="str">
        <f t="shared" si="13"/>
        <v/>
      </c>
      <c r="R204" s="75" t="str">
        <f t="shared" si="14"/>
        <v/>
      </c>
      <c r="S204" s="68" t="str">
        <f t="shared" si="15"/>
        <v/>
      </c>
      <c r="T204" s="68" t="str">
        <f>IF(A204="","",IFERROR(VLOOKUP(A204,Clientes_PDV!$A$2:$K$250,11,FALSE),""))</f>
        <v/>
      </c>
    </row>
    <row r="205" spans="1:20" x14ac:dyDescent="0.35">
      <c r="A205" s="80" t="str">
        <f>IF(Clientes_PDV!A205="","",Clientes_PDV!A205)</f>
        <v/>
      </c>
      <c r="B205" s="80" t="str">
        <f>IF(A205="","",IFERROR(VLOOKUP(A205,Clientes_PDV!$A$2:$J$250,2,FALSE),""))</f>
        <v/>
      </c>
      <c r="C205" s="80" t="str">
        <f>IF(A205="","",IFERROR(VLOOKUP(A205,Clientes_PDV!$A$2:$J$250,3,FALSE),""))</f>
        <v/>
      </c>
      <c r="D205" s="80" t="str">
        <f>IF(A205="","",IFERROR(VLOOKUP(A205,Clientes_PDV!$A$2:$J$250,4,FALSE),""))</f>
        <v/>
      </c>
      <c r="E205" s="80" t="str">
        <f>IF(A205="","",IFERROR(VLOOKUP(A205,Clientes_PDV!$A$2:$J$250,7,FALSE),""))</f>
        <v/>
      </c>
      <c r="F205" s="81" t="str">
        <f>IF(A205="","",IFERROR(VLOOKUP(A205,Clientes_PDV!$A$2:$J$250,8,FALSE),""))</f>
        <v/>
      </c>
      <c r="G205" s="80" t="str">
        <f t="shared" ca="1" si="12"/>
        <v/>
      </c>
      <c r="H205" s="80" t="str">
        <f>IF(A205="","",IF(F205="","Sin visita",IF(G205&lt;=IFERROR(VLOOKUP(E205,Inicio!$A$24:$B$26,2,FALSE),0),"Vigente","Atrasado")))</f>
        <v/>
      </c>
      <c r="I205" s="83" t="str">
        <f ca="1">IF(A205="","",SUMIFS(Ventas_SellIn!$L$2:$L$800,Ventas_SellIn!$D$2:$D$800,A205,Ventas_SellIn!$B$2:$B$800,"&gt;="&amp;TODAY()-Inicio!$B$14))</f>
        <v/>
      </c>
      <c r="J205" s="80" t="str">
        <f ca="1">IF(A205="","",SUMIFS(SellOut_Jumbo!$F$2:$F$800,SellOut_Jumbo!$C$2:$C$800,D205,SellOut_Jumbo!$A$2:$A$800,"&gt;="&amp;TODAY()-Inicio!$B$14))</f>
        <v/>
      </c>
      <c r="K205" s="80" t="str">
        <f>IF(A205="","",IF(I205=0,"Sin venta",IF(I205&lt;Inicio!$B$15,"Venta baja","Venta OK")))</f>
        <v/>
      </c>
      <c r="L205" s="80" t="str">
        <f>IF(A205="","",COUNTIFS(Ventas_SellIn!$D$2:$D$800,A205,Ventas_SellIn!$R$2:$R$800,"&gt;0"))</f>
        <v/>
      </c>
      <c r="M205" s="83" t="str">
        <f>IF(A205="","",SUMIFS(Ventas_SellIn!$R$2:$R$800,Ventas_SellIn!$D$2:$D$800,A205))</f>
        <v/>
      </c>
      <c r="N205" s="80" t="str">
        <f>IF(A205="","",IF(M205&gt;=Inicio!$B$18,"Pendiente relevante",IF(M205&gt;0,"Pendiente menor","Sin deuda")))</f>
        <v/>
      </c>
      <c r="O205" s="84" t="str">
        <f>IF(A205="","",SUMIFS(Stock_PDV!$H$2:$H$800,Stock_PDV!$A$2:$A$800,A205))</f>
        <v/>
      </c>
      <c r="P205" s="80" t="str">
        <f>IF(A205="","",IF(O205&lt;=Inicio!$B$16,"Crítico",IF(O205&lt;=Inicio!$B$17,"Observar","OK")))</f>
        <v/>
      </c>
      <c r="Q205" s="80" t="str">
        <f t="shared" si="13"/>
        <v/>
      </c>
      <c r="R205" s="80" t="str">
        <f t="shared" si="14"/>
        <v/>
      </c>
      <c r="S205" s="70" t="str">
        <f t="shared" si="15"/>
        <v/>
      </c>
      <c r="T205" s="70" t="str">
        <f>IF(A205="","",IFERROR(VLOOKUP(A205,Clientes_PDV!$A$2:$K$250,11,FALSE),""))</f>
        <v/>
      </c>
    </row>
    <row r="206" spans="1:20" x14ac:dyDescent="0.35">
      <c r="A206" s="75" t="str">
        <f>IF(Clientes_PDV!A206="","",Clientes_PDV!A206)</f>
        <v/>
      </c>
      <c r="B206" s="75" t="str">
        <f>IF(A206="","",IFERROR(VLOOKUP(A206,Clientes_PDV!$A$2:$J$250,2,FALSE),""))</f>
        <v/>
      </c>
      <c r="C206" s="75" t="str">
        <f>IF(A206="","",IFERROR(VLOOKUP(A206,Clientes_PDV!$A$2:$J$250,3,FALSE),""))</f>
        <v/>
      </c>
      <c r="D206" s="75" t="str">
        <f>IF(A206="","",IFERROR(VLOOKUP(A206,Clientes_PDV!$A$2:$J$250,4,FALSE),""))</f>
        <v/>
      </c>
      <c r="E206" s="75" t="str">
        <f>IF(A206="","",IFERROR(VLOOKUP(A206,Clientes_PDV!$A$2:$J$250,7,FALSE),""))</f>
        <v/>
      </c>
      <c r="F206" s="76" t="str">
        <f>IF(A206="","",IFERROR(VLOOKUP(A206,Clientes_PDV!$A$2:$J$250,8,FALSE),""))</f>
        <v/>
      </c>
      <c r="G206" s="75" t="str">
        <f t="shared" ca="1" si="12"/>
        <v/>
      </c>
      <c r="H206" s="75" t="str">
        <f>IF(A206="","",IF(F206="","Sin visita",IF(G206&lt;=IFERROR(VLOOKUP(E206,Inicio!$A$24:$B$26,2,FALSE),0),"Vigente","Atrasado")))</f>
        <v/>
      </c>
      <c r="I206" s="78" t="str">
        <f ca="1">IF(A206="","",SUMIFS(Ventas_SellIn!$L$2:$L$800,Ventas_SellIn!$D$2:$D$800,A206,Ventas_SellIn!$B$2:$B$800,"&gt;="&amp;TODAY()-Inicio!$B$14))</f>
        <v/>
      </c>
      <c r="J206" s="75" t="str">
        <f ca="1">IF(A206="","",SUMIFS(SellOut_Jumbo!$F$2:$F$800,SellOut_Jumbo!$C$2:$C$800,D206,SellOut_Jumbo!$A$2:$A$800,"&gt;="&amp;TODAY()-Inicio!$B$14))</f>
        <v/>
      </c>
      <c r="K206" s="75" t="str">
        <f>IF(A206="","",IF(I206=0,"Sin venta",IF(I206&lt;Inicio!$B$15,"Venta baja","Venta OK")))</f>
        <v/>
      </c>
      <c r="L206" s="75" t="str">
        <f>IF(A206="","",COUNTIFS(Ventas_SellIn!$D$2:$D$800,A206,Ventas_SellIn!$R$2:$R$800,"&gt;0"))</f>
        <v/>
      </c>
      <c r="M206" s="78" t="str">
        <f>IF(A206="","",SUMIFS(Ventas_SellIn!$R$2:$R$800,Ventas_SellIn!$D$2:$D$800,A206))</f>
        <v/>
      </c>
      <c r="N206" s="75" t="str">
        <f>IF(A206="","",IF(M206&gt;=Inicio!$B$18,"Pendiente relevante",IF(M206&gt;0,"Pendiente menor","Sin deuda")))</f>
        <v/>
      </c>
      <c r="O206" s="79" t="str">
        <f>IF(A206="","",SUMIFS(Stock_PDV!$H$2:$H$800,Stock_PDV!$A$2:$A$800,A206))</f>
        <v/>
      </c>
      <c r="P206" s="75" t="str">
        <f>IF(A206="","",IF(O206&lt;=Inicio!$B$16,"Crítico",IF(O206&lt;=Inicio!$B$17,"Observar","OK")))</f>
        <v/>
      </c>
      <c r="Q206" s="75" t="str">
        <f t="shared" si="13"/>
        <v/>
      </c>
      <c r="R206" s="75" t="str">
        <f t="shared" si="14"/>
        <v/>
      </c>
      <c r="S206" s="68" t="str">
        <f t="shared" si="15"/>
        <v/>
      </c>
      <c r="T206" s="68" t="str">
        <f>IF(A206="","",IFERROR(VLOOKUP(A206,Clientes_PDV!$A$2:$K$250,11,FALSE),""))</f>
        <v/>
      </c>
    </row>
    <row r="207" spans="1:20" x14ac:dyDescent="0.35">
      <c r="A207" s="80" t="str">
        <f>IF(Clientes_PDV!A207="","",Clientes_PDV!A207)</f>
        <v/>
      </c>
      <c r="B207" s="80" t="str">
        <f>IF(A207="","",IFERROR(VLOOKUP(A207,Clientes_PDV!$A$2:$J$250,2,FALSE),""))</f>
        <v/>
      </c>
      <c r="C207" s="80" t="str">
        <f>IF(A207="","",IFERROR(VLOOKUP(A207,Clientes_PDV!$A$2:$J$250,3,FALSE),""))</f>
        <v/>
      </c>
      <c r="D207" s="80" t="str">
        <f>IF(A207="","",IFERROR(VLOOKUP(A207,Clientes_PDV!$A$2:$J$250,4,FALSE),""))</f>
        <v/>
      </c>
      <c r="E207" s="80" t="str">
        <f>IF(A207="","",IFERROR(VLOOKUP(A207,Clientes_PDV!$A$2:$J$250,7,FALSE),""))</f>
        <v/>
      </c>
      <c r="F207" s="81" t="str">
        <f>IF(A207="","",IFERROR(VLOOKUP(A207,Clientes_PDV!$A$2:$J$250,8,FALSE),""))</f>
        <v/>
      </c>
      <c r="G207" s="80" t="str">
        <f t="shared" ca="1" si="12"/>
        <v/>
      </c>
      <c r="H207" s="80" t="str">
        <f>IF(A207="","",IF(F207="","Sin visita",IF(G207&lt;=IFERROR(VLOOKUP(E207,Inicio!$A$24:$B$26,2,FALSE),0),"Vigente","Atrasado")))</f>
        <v/>
      </c>
      <c r="I207" s="83" t="str">
        <f ca="1">IF(A207="","",SUMIFS(Ventas_SellIn!$L$2:$L$800,Ventas_SellIn!$D$2:$D$800,A207,Ventas_SellIn!$B$2:$B$800,"&gt;="&amp;TODAY()-Inicio!$B$14))</f>
        <v/>
      </c>
      <c r="J207" s="80" t="str">
        <f ca="1">IF(A207="","",SUMIFS(SellOut_Jumbo!$F$2:$F$800,SellOut_Jumbo!$C$2:$C$800,D207,SellOut_Jumbo!$A$2:$A$800,"&gt;="&amp;TODAY()-Inicio!$B$14))</f>
        <v/>
      </c>
      <c r="K207" s="80" t="str">
        <f>IF(A207="","",IF(I207=0,"Sin venta",IF(I207&lt;Inicio!$B$15,"Venta baja","Venta OK")))</f>
        <v/>
      </c>
      <c r="L207" s="80" t="str">
        <f>IF(A207="","",COUNTIFS(Ventas_SellIn!$D$2:$D$800,A207,Ventas_SellIn!$R$2:$R$800,"&gt;0"))</f>
        <v/>
      </c>
      <c r="M207" s="83" t="str">
        <f>IF(A207="","",SUMIFS(Ventas_SellIn!$R$2:$R$800,Ventas_SellIn!$D$2:$D$800,A207))</f>
        <v/>
      </c>
      <c r="N207" s="80" t="str">
        <f>IF(A207="","",IF(M207&gt;=Inicio!$B$18,"Pendiente relevante",IF(M207&gt;0,"Pendiente menor","Sin deuda")))</f>
        <v/>
      </c>
      <c r="O207" s="84" t="str">
        <f>IF(A207="","",SUMIFS(Stock_PDV!$H$2:$H$800,Stock_PDV!$A$2:$A$800,A207))</f>
        <v/>
      </c>
      <c r="P207" s="80" t="str">
        <f>IF(A207="","",IF(O207&lt;=Inicio!$B$16,"Crítico",IF(O207&lt;=Inicio!$B$17,"Observar","OK")))</f>
        <v/>
      </c>
      <c r="Q207" s="80" t="str">
        <f t="shared" si="13"/>
        <v/>
      </c>
      <c r="R207" s="80" t="str">
        <f t="shared" si="14"/>
        <v/>
      </c>
      <c r="S207" s="70" t="str">
        <f t="shared" si="15"/>
        <v/>
      </c>
      <c r="T207" s="70" t="str">
        <f>IF(A207="","",IFERROR(VLOOKUP(A207,Clientes_PDV!$A$2:$K$250,11,FALSE),""))</f>
        <v/>
      </c>
    </row>
    <row r="208" spans="1:20" x14ac:dyDescent="0.35">
      <c r="A208" s="75" t="str">
        <f>IF(Clientes_PDV!A208="","",Clientes_PDV!A208)</f>
        <v/>
      </c>
      <c r="B208" s="75" t="str">
        <f>IF(A208="","",IFERROR(VLOOKUP(A208,Clientes_PDV!$A$2:$J$250,2,FALSE),""))</f>
        <v/>
      </c>
      <c r="C208" s="75" t="str">
        <f>IF(A208="","",IFERROR(VLOOKUP(A208,Clientes_PDV!$A$2:$J$250,3,FALSE),""))</f>
        <v/>
      </c>
      <c r="D208" s="75" t="str">
        <f>IF(A208="","",IFERROR(VLOOKUP(A208,Clientes_PDV!$A$2:$J$250,4,FALSE),""))</f>
        <v/>
      </c>
      <c r="E208" s="75" t="str">
        <f>IF(A208="","",IFERROR(VLOOKUP(A208,Clientes_PDV!$A$2:$J$250,7,FALSE),""))</f>
        <v/>
      </c>
      <c r="F208" s="76" t="str">
        <f>IF(A208="","",IFERROR(VLOOKUP(A208,Clientes_PDV!$A$2:$J$250,8,FALSE),""))</f>
        <v/>
      </c>
      <c r="G208" s="75" t="str">
        <f t="shared" ca="1" si="12"/>
        <v/>
      </c>
      <c r="H208" s="75" t="str">
        <f>IF(A208="","",IF(F208="","Sin visita",IF(G208&lt;=IFERROR(VLOOKUP(E208,Inicio!$A$24:$B$26,2,FALSE),0),"Vigente","Atrasado")))</f>
        <v/>
      </c>
      <c r="I208" s="78" t="str">
        <f ca="1">IF(A208="","",SUMIFS(Ventas_SellIn!$L$2:$L$800,Ventas_SellIn!$D$2:$D$800,A208,Ventas_SellIn!$B$2:$B$800,"&gt;="&amp;TODAY()-Inicio!$B$14))</f>
        <v/>
      </c>
      <c r="J208" s="75" t="str">
        <f ca="1">IF(A208="","",SUMIFS(SellOut_Jumbo!$F$2:$F$800,SellOut_Jumbo!$C$2:$C$800,D208,SellOut_Jumbo!$A$2:$A$800,"&gt;="&amp;TODAY()-Inicio!$B$14))</f>
        <v/>
      </c>
      <c r="K208" s="75" t="str">
        <f>IF(A208="","",IF(I208=0,"Sin venta",IF(I208&lt;Inicio!$B$15,"Venta baja","Venta OK")))</f>
        <v/>
      </c>
      <c r="L208" s="75" t="str">
        <f>IF(A208="","",COUNTIFS(Ventas_SellIn!$D$2:$D$800,A208,Ventas_SellIn!$R$2:$R$800,"&gt;0"))</f>
        <v/>
      </c>
      <c r="M208" s="78" t="str">
        <f>IF(A208="","",SUMIFS(Ventas_SellIn!$R$2:$R$800,Ventas_SellIn!$D$2:$D$800,A208))</f>
        <v/>
      </c>
      <c r="N208" s="75" t="str">
        <f>IF(A208="","",IF(M208&gt;=Inicio!$B$18,"Pendiente relevante",IF(M208&gt;0,"Pendiente menor","Sin deuda")))</f>
        <v/>
      </c>
      <c r="O208" s="79" t="str">
        <f>IF(A208="","",SUMIFS(Stock_PDV!$H$2:$H$800,Stock_PDV!$A$2:$A$800,A208))</f>
        <v/>
      </c>
      <c r="P208" s="75" t="str">
        <f>IF(A208="","",IF(O208&lt;=Inicio!$B$16,"Crítico",IF(O208&lt;=Inicio!$B$17,"Observar","OK")))</f>
        <v/>
      </c>
      <c r="Q208" s="75" t="str">
        <f t="shared" si="13"/>
        <v/>
      </c>
      <c r="R208" s="75" t="str">
        <f t="shared" si="14"/>
        <v/>
      </c>
      <c r="S208" s="68" t="str">
        <f t="shared" si="15"/>
        <v/>
      </c>
      <c r="T208" s="68" t="str">
        <f>IF(A208="","",IFERROR(VLOOKUP(A208,Clientes_PDV!$A$2:$K$250,11,FALSE),""))</f>
        <v/>
      </c>
    </row>
    <row r="209" spans="1:20" x14ac:dyDescent="0.35">
      <c r="A209" s="80" t="str">
        <f>IF(Clientes_PDV!A209="","",Clientes_PDV!A209)</f>
        <v/>
      </c>
      <c r="B209" s="80" t="str">
        <f>IF(A209="","",IFERROR(VLOOKUP(A209,Clientes_PDV!$A$2:$J$250,2,FALSE),""))</f>
        <v/>
      </c>
      <c r="C209" s="80" t="str">
        <f>IF(A209="","",IFERROR(VLOOKUP(A209,Clientes_PDV!$A$2:$J$250,3,FALSE),""))</f>
        <v/>
      </c>
      <c r="D209" s="80" t="str">
        <f>IF(A209="","",IFERROR(VLOOKUP(A209,Clientes_PDV!$A$2:$J$250,4,FALSE),""))</f>
        <v/>
      </c>
      <c r="E209" s="80" t="str">
        <f>IF(A209="","",IFERROR(VLOOKUP(A209,Clientes_PDV!$A$2:$J$250,7,FALSE),""))</f>
        <v/>
      </c>
      <c r="F209" s="81" t="str">
        <f>IF(A209="","",IFERROR(VLOOKUP(A209,Clientes_PDV!$A$2:$J$250,8,FALSE),""))</f>
        <v/>
      </c>
      <c r="G209" s="80" t="str">
        <f t="shared" ca="1" si="12"/>
        <v/>
      </c>
      <c r="H209" s="80" t="str">
        <f>IF(A209="","",IF(F209="","Sin visita",IF(G209&lt;=IFERROR(VLOOKUP(E209,Inicio!$A$24:$B$26,2,FALSE),0),"Vigente","Atrasado")))</f>
        <v/>
      </c>
      <c r="I209" s="83" t="str">
        <f ca="1">IF(A209="","",SUMIFS(Ventas_SellIn!$L$2:$L$800,Ventas_SellIn!$D$2:$D$800,A209,Ventas_SellIn!$B$2:$B$800,"&gt;="&amp;TODAY()-Inicio!$B$14))</f>
        <v/>
      </c>
      <c r="J209" s="80" t="str">
        <f ca="1">IF(A209="","",SUMIFS(SellOut_Jumbo!$F$2:$F$800,SellOut_Jumbo!$C$2:$C$800,D209,SellOut_Jumbo!$A$2:$A$800,"&gt;="&amp;TODAY()-Inicio!$B$14))</f>
        <v/>
      </c>
      <c r="K209" s="80" t="str">
        <f>IF(A209="","",IF(I209=0,"Sin venta",IF(I209&lt;Inicio!$B$15,"Venta baja","Venta OK")))</f>
        <v/>
      </c>
      <c r="L209" s="80" t="str">
        <f>IF(A209="","",COUNTIFS(Ventas_SellIn!$D$2:$D$800,A209,Ventas_SellIn!$R$2:$R$800,"&gt;0"))</f>
        <v/>
      </c>
      <c r="M209" s="83" t="str">
        <f>IF(A209="","",SUMIFS(Ventas_SellIn!$R$2:$R$800,Ventas_SellIn!$D$2:$D$800,A209))</f>
        <v/>
      </c>
      <c r="N209" s="80" t="str">
        <f>IF(A209="","",IF(M209&gt;=Inicio!$B$18,"Pendiente relevante",IF(M209&gt;0,"Pendiente menor","Sin deuda")))</f>
        <v/>
      </c>
      <c r="O209" s="84" t="str">
        <f>IF(A209="","",SUMIFS(Stock_PDV!$H$2:$H$800,Stock_PDV!$A$2:$A$800,A209))</f>
        <v/>
      </c>
      <c r="P209" s="80" t="str">
        <f>IF(A209="","",IF(O209&lt;=Inicio!$B$16,"Crítico",IF(O209&lt;=Inicio!$B$17,"Observar","OK")))</f>
        <v/>
      </c>
      <c r="Q209" s="80" t="str">
        <f t="shared" si="13"/>
        <v/>
      </c>
      <c r="R209" s="80" t="str">
        <f t="shared" si="14"/>
        <v/>
      </c>
      <c r="S209" s="70" t="str">
        <f t="shared" si="15"/>
        <v/>
      </c>
      <c r="T209" s="70" t="str">
        <f>IF(A209="","",IFERROR(VLOOKUP(A209,Clientes_PDV!$A$2:$K$250,11,FALSE),""))</f>
        <v/>
      </c>
    </row>
    <row r="210" spans="1:20" x14ac:dyDescent="0.35">
      <c r="A210" s="75" t="str">
        <f>IF(Clientes_PDV!A210="","",Clientes_PDV!A210)</f>
        <v/>
      </c>
      <c r="B210" s="75" t="str">
        <f>IF(A210="","",IFERROR(VLOOKUP(A210,Clientes_PDV!$A$2:$J$250,2,FALSE),""))</f>
        <v/>
      </c>
      <c r="C210" s="75" t="str">
        <f>IF(A210="","",IFERROR(VLOOKUP(A210,Clientes_PDV!$A$2:$J$250,3,FALSE),""))</f>
        <v/>
      </c>
      <c r="D210" s="75" t="str">
        <f>IF(A210="","",IFERROR(VLOOKUP(A210,Clientes_PDV!$A$2:$J$250,4,FALSE),""))</f>
        <v/>
      </c>
      <c r="E210" s="75" t="str">
        <f>IF(A210="","",IFERROR(VLOOKUP(A210,Clientes_PDV!$A$2:$J$250,7,FALSE),""))</f>
        <v/>
      </c>
      <c r="F210" s="76" t="str">
        <f>IF(A210="","",IFERROR(VLOOKUP(A210,Clientes_PDV!$A$2:$J$250,8,FALSE),""))</f>
        <v/>
      </c>
      <c r="G210" s="75" t="str">
        <f t="shared" ca="1" si="12"/>
        <v/>
      </c>
      <c r="H210" s="75" t="str">
        <f>IF(A210="","",IF(F210="","Sin visita",IF(G210&lt;=IFERROR(VLOOKUP(E210,Inicio!$A$24:$B$26,2,FALSE),0),"Vigente","Atrasado")))</f>
        <v/>
      </c>
      <c r="I210" s="78" t="str">
        <f ca="1">IF(A210="","",SUMIFS(Ventas_SellIn!$L$2:$L$800,Ventas_SellIn!$D$2:$D$800,A210,Ventas_SellIn!$B$2:$B$800,"&gt;="&amp;TODAY()-Inicio!$B$14))</f>
        <v/>
      </c>
      <c r="J210" s="75" t="str">
        <f ca="1">IF(A210="","",SUMIFS(SellOut_Jumbo!$F$2:$F$800,SellOut_Jumbo!$C$2:$C$800,D210,SellOut_Jumbo!$A$2:$A$800,"&gt;="&amp;TODAY()-Inicio!$B$14))</f>
        <v/>
      </c>
      <c r="K210" s="75" t="str">
        <f>IF(A210="","",IF(I210=0,"Sin venta",IF(I210&lt;Inicio!$B$15,"Venta baja","Venta OK")))</f>
        <v/>
      </c>
      <c r="L210" s="75" t="str">
        <f>IF(A210="","",COUNTIFS(Ventas_SellIn!$D$2:$D$800,A210,Ventas_SellIn!$R$2:$R$800,"&gt;0"))</f>
        <v/>
      </c>
      <c r="M210" s="78" t="str">
        <f>IF(A210="","",SUMIFS(Ventas_SellIn!$R$2:$R$800,Ventas_SellIn!$D$2:$D$800,A210))</f>
        <v/>
      </c>
      <c r="N210" s="75" t="str">
        <f>IF(A210="","",IF(M210&gt;=Inicio!$B$18,"Pendiente relevante",IF(M210&gt;0,"Pendiente menor","Sin deuda")))</f>
        <v/>
      </c>
      <c r="O210" s="79" t="str">
        <f>IF(A210="","",SUMIFS(Stock_PDV!$H$2:$H$800,Stock_PDV!$A$2:$A$800,A210))</f>
        <v/>
      </c>
      <c r="P210" s="75" t="str">
        <f>IF(A210="","",IF(O210&lt;=Inicio!$B$16,"Crítico",IF(O210&lt;=Inicio!$B$17,"Observar","OK")))</f>
        <v/>
      </c>
      <c r="Q210" s="75" t="str">
        <f t="shared" si="13"/>
        <v/>
      </c>
      <c r="R210" s="75" t="str">
        <f t="shared" si="14"/>
        <v/>
      </c>
      <c r="S210" s="68" t="str">
        <f t="shared" si="15"/>
        <v/>
      </c>
      <c r="T210" s="68" t="str">
        <f>IF(A210="","",IFERROR(VLOOKUP(A210,Clientes_PDV!$A$2:$K$250,11,FALSE),""))</f>
        <v/>
      </c>
    </row>
    <row r="211" spans="1:20" x14ac:dyDescent="0.35">
      <c r="A211" s="80" t="str">
        <f>IF(Clientes_PDV!A211="","",Clientes_PDV!A211)</f>
        <v/>
      </c>
      <c r="B211" s="80" t="str">
        <f>IF(A211="","",IFERROR(VLOOKUP(A211,Clientes_PDV!$A$2:$J$250,2,FALSE),""))</f>
        <v/>
      </c>
      <c r="C211" s="80" t="str">
        <f>IF(A211="","",IFERROR(VLOOKUP(A211,Clientes_PDV!$A$2:$J$250,3,FALSE),""))</f>
        <v/>
      </c>
      <c r="D211" s="80" t="str">
        <f>IF(A211="","",IFERROR(VLOOKUP(A211,Clientes_PDV!$A$2:$J$250,4,FALSE),""))</f>
        <v/>
      </c>
      <c r="E211" s="80" t="str">
        <f>IF(A211="","",IFERROR(VLOOKUP(A211,Clientes_PDV!$A$2:$J$250,7,FALSE),""))</f>
        <v/>
      </c>
      <c r="F211" s="81" t="str">
        <f>IF(A211="","",IFERROR(VLOOKUP(A211,Clientes_PDV!$A$2:$J$250,8,FALSE),""))</f>
        <v/>
      </c>
      <c r="G211" s="80" t="str">
        <f t="shared" ca="1" si="12"/>
        <v/>
      </c>
      <c r="H211" s="80" t="str">
        <f>IF(A211="","",IF(F211="","Sin visita",IF(G211&lt;=IFERROR(VLOOKUP(E211,Inicio!$A$24:$B$26,2,FALSE),0),"Vigente","Atrasado")))</f>
        <v/>
      </c>
      <c r="I211" s="83" t="str">
        <f ca="1">IF(A211="","",SUMIFS(Ventas_SellIn!$L$2:$L$800,Ventas_SellIn!$D$2:$D$800,A211,Ventas_SellIn!$B$2:$B$800,"&gt;="&amp;TODAY()-Inicio!$B$14))</f>
        <v/>
      </c>
      <c r="J211" s="80" t="str">
        <f ca="1">IF(A211="","",SUMIFS(SellOut_Jumbo!$F$2:$F$800,SellOut_Jumbo!$C$2:$C$800,D211,SellOut_Jumbo!$A$2:$A$800,"&gt;="&amp;TODAY()-Inicio!$B$14))</f>
        <v/>
      </c>
      <c r="K211" s="80" t="str">
        <f>IF(A211="","",IF(I211=0,"Sin venta",IF(I211&lt;Inicio!$B$15,"Venta baja","Venta OK")))</f>
        <v/>
      </c>
      <c r="L211" s="80" t="str">
        <f>IF(A211="","",COUNTIFS(Ventas_SellIn!$D$2:$D$800,A211,Ventas_SellIn!$R$2:$R$800,"&gt;0"))</f>
        <v/>
      </c>
      <c r="M211" s="83" t="str">
        <f>IF(A211="","",SUMIFS(Ventas_SellIn!$R$2:$R$800,Ventas_SellIn!$D$2:$D$800,A211))</f>
        <v/>
      </c>
      <c r="N211" s="80" t="str">
        <f>IF(A211="","",IF(M211&gt;=Inicio!$B$18,"Pendiente relevante",IF(M211&gt;0,"Pendiente menor","Sin deuda")))</f>
        <v/>
      </c>
      <c r="O211" s="84" t="str">
        <f>IF(A211="","",SUMIFS(Stock_PDV!$H$2:$H$800,Stock_PDV!$A$2:$A$800,A211))</f>
        <v/>
      </c>
      <c r="P211" s="80" t="str">
        <f>IF(A211="","",IF(O211&lt;=Inicio!$B$16,"Crítico",IF(O211&lt;=Inicio!$B$17,"Observar","OK")))</f>
        <v/>
      </c>
      <c r="Q211" s="80" t="str">
        <f t="shared" si="13"/>
        <v/>
      </c>
      <c r="R211" s="80" t="str">
        <f t="shared" si="14"/>
        <v/>
      </c>
      <c r="S211" s="70" t="str">
        <f t="shared" si="15"/>
        <v/>
      </c>
      <c r="T211" s="70" t="str">
        <f>IF(A211="","",IFERROR(VLOOKUP(A211,Clientes_PDV!$A$2:$K$250,11,FALSE),""))</f>
        <v/>
      </c>
    </row>
    <row r="212" spans="1:20" x14ac:dyDescent="0.35">
      <c r="A212" s="75" t="str">
        <f>IF(Clientes_PDV!A212="","",Clientes_PDV!A212)</f>
        <v/>
      </c>
      <c r="B212" s="75" t="str">
        <f>IF(A212="","",IFERROR(VLOOKUP(A212,Clientes_PDV!$A$2:$J$250,2,FALSE),""))</f>
        <v/>
      </c>
      <c r="C212" s="75" t="str">
        <f>IF(A212="","",IFERROR(VLOOKUP(A212,Clientes_PDV!$A$2:$J$250,3,FALSE),""))</f>
        <v/>
      </c>
      <c r="D212" s="75" t="str">
        <f>IF(A212="","",IFERROR(VLOOKUP(A212,Clientes_PDV!$A$2:$J$250,4,FALSE),""))</f>
        <v/>
      </c>
      <c r="E212" s="75" t="str">
        <f>IF(A212="","",IFERROR(VLOOKUP(A212,Clientes_PDV!$A$2:$J$250,7,FALSE),""))</f>
        <v/>
      </c>
      <c r="F212" s="76" t="str">
        <f>IF(A212="","",IFERROR(VLOOKUP(A212,Clientes_PDV!$A$2:$J$250,8,FALSE),""))</f>
        <v/>
      </c>
      <c r="G212" s="75" t="str">
        <f t="shared" ca="1" si="12"/>
        <v/>
      </c>
      <c r="H212" s="75" t="str">
        <f>IF(A212="","",IF(F212="","Sin visita",IF(G212&lt;=IFERROR(VLOOKUP(E212,Inicio!$A$24:$B$26,2,FALSE),0),"Vigente","Atrasado")))</f>
        <v/>
      </c>
      <c r="I212" s="78" t="str">
        <f ca="1">IF(A212="","",SUMIFS(Ventas_SellIn!$L$2:$L$800,Ventas_SellIn!$D$2:$D$800,A212,Ventas_SellIn!$B$2:$B$800,"&gt;="&amp;TODAY()-Inicio!$B$14))</f>
        <v/>
      </c>
      <c r="J212" s="75" t="str">
        <f ca="1">IF(A212="","",SUMIFS(SellOut_Jumbo!$F$2:$F$800,SellOut_Jumbo!$C$2:$C$800,D212,SellOut_Jumbo!$A$2:$A$800,"&gt;="&amp;TODAY()-Inicio!$B$14))</f>
        <v/>
      </c>
      <c r="K212" s="75" t="str">
        <f>IF(A212="","",IF(I212=0,"Sin venta",IF(I212&lt;Inicio!$B$15,"Venta baja","Venta OK")))</f>
        <v/>
      </c>
      <c r="L212" s="75" t="str">
        <f>IF(A212="","",COUNTIFS(Ventas_SellIn!$D$2:$D$800,A212,Ventas_SellIn!$R$2:$R$800,"&gt;0"))</f>
        <v/>
      </c>
      <c r="M212" s="78" t="str">
        <f>IF(A212="","",SUMIFS(Ventas_SellIn!$R$2:$R$800,Ventas_SellIn!$D$2:$D$800,A212))</f>
        <v/>
      </c>
      <c r="N212" s="75" t="str">
        <f>IF(A212="","",IF(M212&gt;=Inicio!$B$18,"Pendiente relevante",IF(M212&gt;0,"Pendiente menor","Sin deuda")))</f>
        <v/>
      </c>
      <c r="O212" s="79" t="str">
        <f>IF(A212="","",SUMIFS(Stock_PDV!$H$2:$H$800,Stock_PDV!$A$2:$A$800,A212))</f>
        <v/>
      </c>
      <c r="P212" s="75" t="str">
        <f>IF(A212="","",IF(O212&lt;=Inicio!$B$16,"Crítico",IF(O212&lt;=Inicio!$B$17,"Observar","OK")))</f>
        <v/>
      </c>
      <c r="Q212" s="75" t="str">
        <f t="shared" si="13"/>
        <v/>
      </c>
      <c r="R212" s="75" t="str">
        <f t="shared" si="14"/>
        <v/>
      </c>
      <c r="S212" s="68" t="str">
        <f t="shared" si="15"/>
        <v/>
      </c>
      <c r="T212" s="68" t="str">
        <f>IF(A212="","",IFERROR(VLOOKUP(A212,Clientes_PDV!$A$2:$K$250,11,FALSE),""))</f>
        <v/>
      </c>
    </row>
    <row r="213" spans="1:20" x14ac:dyDescent="0.35">
      <c r="A213" s="80" t="str">
        <f>IF(Clientes_PDV!A213="","",Clientes_PDV!A213)</f>
        <v/>
      </c>
      <c r="B213" s="80" t="str">
        <f>IF(A213="","",IFERROR(VLOOKUP(A213,Clientes_PDV!$A$2:$J$250,2,FALSE),""))</f>
        <v/>
      </c>
      <c r="C213" s="80" t="str">
        <f>IF(A213="","",IFERROR(VLOOKUP(A213,Clientes_PDV!$A$2:$J$250,3,FALSE),""))</f>
        <v/>
      </c>
      <c r="D213" s="80" t="str">
        <f>IF(A213="","",IFERROR(VLOOKUP(A213,Clientes_PDV!$A$2:$J$250,4,FALSE),""))</f>
        <v/>
      </c>
      <c r="E213" s="80" t="str">
        <f>IF(A213="","",IFERROR(VLOOKUP(A213,Clientes_PDV!$A$2:$J$250,7,FALSE),""))</f>
        <v/>
      </c>
      <c r="F213" s="81" t="str">
        <f>IF(A213="","",IFERROR(VLOOKUP(A213,Clientes_PDV!$A$2:$J$250,8,FALSE),""))</f>
        <v/>
      </c>
      <c r="G213" s="80" t="str">
        <f t="shared" ca="1" si="12"/>
        <v/>
      </c>
      <c r="H213" s="80" t="str">
        <f>IF(A213="","",IF(F213="","Sin visita",IF(G213&lt;=IFERROR(VLOOKUP(E213,Inicio!$A$24:$B$26,2,FALSE),0),"Vigente","Atrasado")))</f>
        <v/>
      </c>
      <c r="I213" s="83" t="str">
        <f ca="1">IF(A213="","",SUMIFS(Ventas_SellIn!$L$2:$L$800,Ventas_SellIn!$D$2:$D$800,A213,Ventas_SellIn!$B$2:$B$800,"&gt;="&amp;TODAY()-Inicio!$B$14))</f>
        <v/>
      </c>
      <c r="J213" s="80" t="str">
        <f ca="1">IF(A213="","",SUMIFS(SellOut_Jumbo!$F$2:$F$800,SellOut_Jumbo!$C$2:$C$800,D213,SellOut_Jumbo!$A$2:$A$800,"&gt;="&amp;TODAY()-Inicio!$B$14))</f>
        <v/>
      </c>
      <c r="K213" s="80" t="str">
        <f>IF(A213="","",IF(I213=0,"Sin venta",IF(I213&lt;Inicio!$B$15,"Venta baja","Venta OK")))</f>
        <v/>
      </c>
      <c r="L213" s="80" t="str">
        <f>IF(A213="","",COUNTIFS(Ventas_SellIn!$D$2:$D$800,A213,Ventas_SellIn!$R$2:$R$800,"&gt;0"))</f>
        <v/>
      </c>
      <c r="M213" s="83" t="str">
        <f>IF(A213="","",SUMIFS(Ventas_SellIn!$R$2:$R$800,Ventas_SellIn!$D$2:$D$800,A213))</f>
        <v/>
      </c>
      <c r="N213" s="80" t="str">
        <f>IF(A213="","",IF(M213&gt;=Inicio!$B$18,"Pendiente relevante",IF(M213&gt;0,"Pendiente menor","Sin deuda")))</f>
        <v/>
      </c>
      <c r="O213" s="84" t="str">
        <f>IF(A213="","",SUMIFS(Stock_PDV!$H$2:$H$800,Stock_PDV!$A$2:$A$800,A213))</f>
        <v/>
      </c>
      <c r="P213" s="80" t="str">
        <f>IF(A213="","",IF(O213&lt;=Inicio!$B$16,"Crítico",IF(O213&lt;=Inicio!$B$17,"Observar","OK")))</f>
        <v/>
      </c>
      <c r="Q213" s="80" t="str">
        <f t="shared" si="13"/>
        <v/>
      </c>
      <c r="R213" s="80" t="str">
        <f t="shared" si="14"/>
        <v/>
      </c>
      <c r="S213" s="70" t="str">
        <f t="shared" si="15"/>
        <v/>
      </c>
      <c r="T213" s="70" t="str">
        <f>IF(A213="","",IFERROR(VLOOKUP(A213,Clientes_PDV!$A$2:$K$250,11,FALSE),""))</f>
        <v/>
      </c>
    </row>
    <row r="214" spans="1:20" x14ac:dyDescent="0.35">
      <c r="A214" s="75" t="str">
        <f>IF(Clientes_PDV!A214="","",Clientes_PDV!A214)</f>
        <v/>
      </c>
      <c r="B214" s="75" t="str">
        <f>IF(A214="","",IFERROR(VLOOKUP(A214,Clientes_PDV!$A$2:$J$250,2,FALSE),""))</f>
        <v/>
      </c>
      <c r="C214" s="75" t="str">
        <f>IF(A214="","",IFERROR(VLOOKUP(A214,Clientes_PDV!$A$2:$J$250,3,FALSE),""))</f>
        <v/>
      </c>
      <c r="D214" s="75" t="str">
        <f>IF(A214="","",IFERROR(VLOOKUP(A214,Clientes_PDV!$A$2:$J$250,4,FALSE),""))</f>
        <v/>
      </c>
      <c r="E214" s="75" t="str">
        <f>IF(A214="","",IFERROR(VLOOKUP(A214,Clientes_PDV!$A$2:$J$250,7,FALSE),""))</f>
        <v/>
      </c>
      <c r="F214" s="76" t="str">
        <f>IF(A214="","",IFERROR(VLOOKUP(A214,Clientes_PDV!$A$2:$J$250,8,FALSE),""))</f>
        <v/>
      </c>
      <c r="G214" s="75" t="str">
        <f t="shared" ca="1" si="12"/>
        <v/>
      </c>
      <c r="H214" s="75" t="str">
        <f>IF(A214="","",IF(F214="","Sin visita",IF(G214&lt;=IFERROR(VLOOKUP(E214,Inicio!$A$24:$B$26,2,FALSE),0),"Vigente","Atrasado")))</f>
        <v/>
      </c>
      <c r="I214" s="78" t="str">
        <f ca="1">IF(A214="","",SUMIFS(Ventas_SellIn!$L$2:$L$800,Ventas_SellIn!$D$2:$D$800,A214,Ventas_SellIn!$B$2:$B$800,"&gt;="&amp;TODAY()-Inicio!$B$14))</f>
        <v/>
      </c>
      <c r="J214" s="75" t="str">
        <f ca="1">IF(A214="","",SUMIFS(SellOut_Jumbo!$F$2:$F$800,SellOut_Jumbo!$C$2:$C$800,D214,SellOut_Jumbo!$A$2:$A$800,"&gt;="&amp;TODAY()-Inicio!$B$14))</f>
        <v/>
      </c>
      <c r="K214" s="75" t="str">
        <f>IF(A214="","",IF(I214=0,"Sin venta",IF(I214&lt;Inicio!$B$15,"Venta baja","Venta OK")))</f>
        <v/>
      </c>
      <c r="L214" s="75" t="str">
        <f>IF(A214="","",COUNTIFS(Ventas_SellIn!$D$2:$D$800,A214,Ventas_SellIn!$R$2:$R$800,"&gt;0"))</f>
        <v/>
      </c>
      <c r="M214" s="78" t="str">
        <f>IF(A214="","",SUMIFS(Ventas_SellIn!$R$2:$R$800,Ventas_SellIn!$D$2:$D$800,A214))</f>
        <v/>
      </c>
      <c r="N214" s="75" t="str">
        <f>IF(A214="","",IF(M214&gt;=Inicio!$B$18,"Pendiente relevante",IF(M214&gt;0,"Pendiente menor","Sin deuda")))</f>
        <v/>
      </c>
      <c r="O214" s="79" t="str">
        <f>IF(A214="","",SUMIFS(Stock_PDV!$H$2:$H$800,Stock_PDV!$A$2:$A$800,A214))</f>
        <v/>
      </c>
      <c r="P214" s="75" t="str">
        <f>IF(A214="","",IF(O214&lt;=Inicio!$B$16,"Crítico",IF(O214&lt;=Inicio!$B$17,"Observar","OK")))</f>
        <v/>
      </c>
      <c r="Q214" s="75" t="str">
        <f t="shared" si="13"/>
        <v/>
      </c>
      <c r="R214" s="75" t="str">
        <f t="shared" si="14"/>
        <v/>
      </c>
      <c r="S214" s="68" t="str">
        <f t="shared" si="15"/>
        <v/>
      </c>
      <c r="T214" s="68" t="str">
        <f>IF(A214="","",IFERROR(VLOOKUP(A214,Clientes_PDV!$A$2:$K$250,11,FALSE),""))</f>
        <v/>
      </c>
    </row>
    <row r="215" spans="1:20" x14ac:dyDescent="0.35">
      <c r="A215" s="80" t="str">
        <f>IF(Clientes_PDV!A215="","",Clientes_PDV!A215)</f>
        <v/>
      </c>
      <c r="B215" s="80" t="str">
        <f>IF(A215="","",IFERROR(VLOOKUP(A215,Clientes_PDV!$A$2:$J$250,2,FALSE),""))</f>
        <v/>
      </c>
      <c r="C215" s="80" t="str">
        <f>IF(A215="","",IFERROR(VLOOKUP(A215,Clientes_PDV!$A$2:$J$250,3,FALSE),""))</f>
        <v/>
      </c>
      <c r="D215" s="80" t="str">
        <f>IF(A215="","",IFERROR(VLOOKUP(A215,Clientes_PDV!$A$2:$J$250,4,FALSE),""))</f>
        <v/>
      </c>
      <c r="E215" s="80" t="str">
        <f>IF(A215="","",IFERROR(VLOOKUP(A215,Clientes_PDV!$A$2:$J$250,7,FALSE),""))</f>
        <v/>
      </c>
      <c r="F215" s="81" t="str">
        <f>IF(A215="","",IFERROR(VLOOKUP(A215,Clientes_PDV!$A$2:$J$250,8,FALSE),""))</f>
        <v/>
      </c>
      <c r="G215" s="80" t="str">
        <f t="shared" ca="1" si="12"/>
        <v/>
      </c>
      <c r="H215" s="80" t="str">
        <f>IF(A215="","",IF(F215="","Sin visita",IF(G215&lt;=IFERROR(VLOOKUP(E215,Inicio!$A$24:$B$26,2,FALSE),0),"Vigente","Atrasado")))</f>
        <v/>
      </c>
      <c r="I215" s="83" t="str">
        <f ca="1">IF(A215="","",SUMIFS(Ventas_SellIn!$L$2:$L$800,Ventas_SellIn!$D$2:$D$800,A215,Ventas_SellIn!$B$2:$B$800,"&gt;="&amp;TODAY()-Inicio!$B$14))</f>
        <v/>
      </c>
      <c r="J215" s="80" t="str">
        <f ca="1">IF(A215="","",SUMIFS(SellOut_Jumbo!$F$2:$F$800,SellOut_Jumbo!$C$2:$C$800,D215,SellOut_Jumbo!$A$2:$A$800,"&gt;="&amp;TODAY()-Inicio!$B$14))</f>
        <v/>
      </c>
      <c r="K215" s="80" t="str">
        <f>IF(A215="","",IF(I215=0,"Sin venta",IF(I215&lt;Inicio!$B$15,"Venta baja","Venta OK")))</f>
        <v/>
      </c>
      <c r="L215" s="80" t="str">
        <f>IF(A215="","",COUNTIFS(Ventas_SellIn!$D$2:$D$800,A215,Ventas_SellIn!$R$2:$R$800,"&gt;0"))</f>
        <v/>
      </c>
      <c r="M215" s="83" t="str">
        <f>IF(A215="","",SUMIFS(Ventas_SellIn!$R$2:$R$800,Ventas_SellIn!$D$2:$D$800,A215))</f>
        <v/>
      </c>
      <c r="N215" s="80" t="str">
        <f>IF(A215="","",IF(M215&gt;=Inicio!$B$18,"Pendiente relevante",IF(M215&gt;0,"Pendiente menor","Sin deuda")))</f>
        <v/>
      </c>
      <c r="O215" s="84" t="str">
        <f>IF(A215="","",SUMIFS(Stock_PDV!$H$2:$H$800,Stock_PDV!$A$2:$A$800,A215))</f>
        <v/>
      </c>
      <c r="P215" s="80" t="str">
        <f>IF(A215="","",IF(O215&lt;=Inicio!$B$16,"Crítico",IF(O215&lt;=Inicio!$B$17,"Observar","OK")))</f>
        <v/>
      </c>
      <c r="Q215" s="80" t="str">
        <f t="shared" si="13"/>
        <v/>
      </c>
      <c r="R215" s="80" t="str">
        <f t="shared" si="14"/>
        <v/>
      </c>
      <c r="S215" s="70" t="str">
        <f t="shared" si="15"/>
        <v/>
      </c>
      <c r="T215" s="70" t="str">
        <f>IF(A215="","",IFERROR(VLOOKUP(A215,Clientes_PDV!$A$2:$K$250,11,FALSE),""))</f>
        <v/>
      </c>
    </row>
    <row r="216" spans="1:20" x14ac:dyDescent="0.35">
      <c r="A216" s="75" t="str">
        <f>IF(Clientes_PDV!A216="","",Clientes_PDV!A216)</f>
        <v/>
      </c>
      <c r="B216" s="75" t="str">
        <f>IF(A216="","",IFERROR(VLOOKUP(A216,Clientes_PDV!$A$2:$J$250,2,FALSE),""))</f>
        <v/>
      </c>
      <c r="C216" s="75" t="str">
        <f>IF(A216="","",IFERROR(VLOOKUP(A216,Clientes_PDV!$A$2:$J$250,3,FALSE),""))</f>
        <v/>
      </c>
      <c r="D216" s="75" t="str">
        <f>IF(A216="","",IFERROR(VLOOKUP(A216,Clientes_PDV!$A$2:$J$250,4,FALSE),""))</f>
        <v/>
      </c>
      <c r="E216" s="75" t="str">
        <f>IF(A216="","",IFERROR(VLOOKUP(A216,Clientes_PDV!$A$2:$J$250,7,FALSE),""))</f>
        <v/>
      </c>
      <c r="F216" s="76" t="str">
        <f>IF(A216="","",IFERROR(VLOOKUP(A216,Clientes_PDV!$A$2:$J$250,8,FALSE),""))</f>
        <v/>
      </c>
      <c r="G216" s="75" t="str">
        <f t="shared" ca="1" si="12"/>
        <v/>
      </c>
      <c r="H216" s="75" t="str">
        <f>IF(A216="","",IF(F216="","Sin visita",IF(G216&lt;=IFERROR(VLOOKUP(E216,Inicio!$A$24:$B$26,2,FALSE),0),"Vigente","Atrasado")))</f>
        <v/>
      </c>
      <c r="I216" s="78" t="str">
        <f ca="1">IF(A216="","",SUMIFS(Ventas_SellIn!$L$2:$L$800,Ventas_SellIn!$D$2:$D$800,A216,Ventas_SellIn!$B$2:$B$800,"&gt;="&amp;TODAY()-Inicio!$B$14))</f>
        <v/>
      </c>
      <c r="J216" s="75" t="str">
        <f ca="1">IF(A216="","",SUMIFS(SellOut_Jumbo!$F$2:$F$800,SellOut_Jumbo!$C$2:$C$800,D216,SellOut_Jumbo!$A$2:$A$800,"&gt;="&amp;TODAY()-Inicio!$B$14))</f>
        <v/>
      </c>
      <c r="K216" s="75" t="str">
        <f>IF(A216="","",IF(I216=0,"Sin venta",IF(I216&lt;Inicio!$B$15,"Venta baja","Venta OK")))</f>
        <v/>
      </c>
      <c r="L216" s="75" t="str">
        <f>IF(A216="","",COUNTIFS(Ventas_SellIn!$D$2:$D$800,A216,Ventas_SellIn!$R$2:$R$800,"&gt;0"))</f>
        <v/>
      </c>
      <c r="M216" s="78" t="str">
        <f>IF(A216="","",SUMIFS(Ventas_SellIn!$R$2:$R$800,Ventas_SellIn!$D$2:$D$800,A216))</f>
        <v/>
      </c>
      <c r="N216" s="75" t="str">
        <f>IF(A216="","",IF(M216&gt;=Inicio!$B$18,"Pendiente relevante",IF(M216&gt;0,"Pendiente menor","Sin deuda")))</f>
        <v/>
      </c>
      <c r="O216" s="79" t="str">
        <f>IF(A216="","",SUMIFS(Stock_PDV!$H$2:$H$800,Stock_PDV!$A$2:$A$800,A216))</f>
        <v/>
      </c>
      <c r="P216" s="75" t="str">
        <f>IF(A216="","",IF(O216&lt;=Inicio!$B$16,"Crítico",IF(O216&lt;=Inicio!$B$17,"Observar","OK")))</f>
        <v/>
      </c>
      <c r="Q216" s="75" t="str">
        <f t="shared" si="13"/>
        <v/>
      </c>
      <c r="R216" s="75" t="str">
        <f t="shared" si="14"/>
        <v/>
      </c>
      <c r="S216" s="68" t="str">
        <f t="shared" si="15"/>
        <v/>
      </c>
      <c r="T216" s="68" t="str">
        <f>IF(A216="","",IFERROR(VLOOKUP(A216,Clientes_PDV!$A$2:$K$250,11,FALSE),""))</f>
        <v/>
      </c>
    </row>
    <row r="217" spans="1:20" x14ac:dyDescent="0.35">
      <c r="A217" s="80" t="str">
        <f>IF(Clientes_PDV!A217="","",Clientes_PDV!A217)</f>
        <v/>
      </c>
      <c r="B217" s="80" t="str">
        <f>IF(A217="","",IFERROR(VLOOKUP(A217,Clientes_PDV!$A$2:$J$250,2,FALSE),""))</f>
        <v/>
      </c>
      <c r="C217" s="80" t="str">
        <f>IF(A217="","",IFERROR(VLOOKUP(A217,Clientes_PDV!$A$2:$J$250,3,FALSE),""))</f>
        <v/>
      </c>
      <c r="D217" s="80" t="str">
        <f>IF(A217="","",IFERROR(VLOOKUP(A217,Clientes_PDV!$A$2:$J$250,4,FALSE),""))</f>
        <v/>
      </c>
      <c r="E217" s="80" t="str">
        <f>IF(A217="","",IFERROR(VLOOKUP(A217,Clientes_PDV!$A$2:$J$250,7,FALSE),""))</f>
        <v/>
      </c>
      <c r="F217" s="81" t="str">
        <f>IF(A217="","",IFERROR(VLOOKUP(A217,Clientes_PDV!$A$2:$J$250,8,FALSE),""))</f>
        <v/>
      </c>
      <c r="G217" s="80" t="str">
        <f t="shared" ca="1" si="12"/>
        <v/>
      </c>
      <c r="H217" s="80" t="str">
        <f>IF(A217="","",IF(F217="","Sin visita",IF(G217&lt;=IFERROR(VLOOKUP(E217,Inicio!$A$24:$B$26,2,FALSE),0),"Vigente","Atrasado")))</f>
        <v/>
      </c>
      <c r="I217" s="83" t="str">
        <f ca="1">IF(A217="","",SUMIFS(Ventas_SellIn!$L$2:$L$800,Ventas_SellIn!$D$2:$D$800,A217,Ventas_SellIn!$B$2:$B$800,"&gt;="&amp;TODAY()-Inicio!$B$14))</f>
        <v/>
      </c>
      <c r="J217" s="80" t="str">
        <f ca="1">IF(A217="","",SUMIFS(SellOut_Jumbo!$F$2:$F$800,SellOut_Jumbo!$C$2:$C$800,D217,SellOut_Jumbo!$A$2:$A$800,"&gt;="&amp;TODAY()-Inicio!$B$14))</f>
        <v/>
      </c>
      <c r="K217" s="80" t="str">
        <f>IF(A217="","",IF(I217=0,"Sin venta",IF(I217&lt;Inicio!$B$15,"Venta baja","Venta OK")))</f>
        <v/>
      </c>
      <c r="L217" s="80" t="str">
        <f>IF(A217="","",COUNTIFS(Ventas_SellIn!$D$2:$D$800,A217,Ventas_SellIn!$R$2:$R$800,"&gt;0"))</f>
        <v/>
      </c>
      <c r="M217" s="83" t="str">
        <f>IF(A217="","",SUMIFS(Ventas_SellIn!$R$2:$R$800,Ventas_SellIn!$D$2:$D$800,A217))</f>
        <v/>
      </c>
      <c r="N217" s="80" t="str">
        <f>IF(A217="","",IF(M217&gt;=Inicio!$B$18,"Pendiente relevante",IF(M217&gt;0,"Pendiente menor","Sin deuda")))</f>
        <v/>
      </c>
      <c r="O217" s="84" t="str">
        <f>IF(A217="","",SUMIFS(Stock_PDV!$H$2:$H$800,Stock_PDV!$A$2:$A$800,A217))</f>
        <v/>
      </c>
      <c r="P217" s="80" t="str">
        <f>IF(A217="","",IF(O217&lt;=Inicio!$B$16,"Crítico",IF(O217&lt;=Inicio!$B$17,"Observar","OK")))</f>
        <v/>
      </c>
      <c r="Q217" s="80" t="str">
        <f t="shared" si="13"/>
        <v/>
      </c>
      <c r="R217" s="80" t="str">
        <f t="shared" si="14"/>
        <v/>
      </c>
      <c r="S217" s="70" t="str">
        <f t="shared" si="15"/>
        <v/>
      </c>
      <c r="T217" s="70" t="str">
        <f>IF(A217="","",IFERROR(VLOOKUP(A217,Clientes_PDV!$A$2:$K$250,11,FALSE),""))</f>
        <v/>
      </c>
    </row>
    <row r="218" spans="1:20" x14ac:dyDescent="0.35">
      <c r="A218" s="75" t="str">
        <f>IF(Clientes_PDV!A218="","",Clientes_PDV!A218)</f>
        <v/>
      </c>
      <c r="B218" s="75" t="str">
        <f>IF(A218="","",IFERROR(VLOOKUP(A218,Clientes_PDV!$A$2:$J$250,2,FALSE),""))</f>
        <v/>
      </c>
      <c r="C218" s="75" t="str">
        <f>IF(A218="","",IFERROR(VLOOKUP(A218,Clientes_PDV!$A$2:$J$250,3,FALSE),""))</f>
        <v/>
      </c>
      <c r="D218" s="75" t="str">
        <f>IF(A218="","",IFERROR(VLOOKUP(A218,Clientes_PDV!$A$2:$J$250,4,FALSE),""))</f>
        <v/>
      </c>
      <c r="E218" s="75" t="str">
        <f>IF(A218="","",IFERROR(VLOOKUP(A218,Clientes_PDV!$A$2:$J$250,7,FALSE),""))</f>
        <v/>
      </c>
      <c r="F218" s="76" t="str">
        <f>IF(A218="","",IFERROR(VLOOKUP(A218,Clientes_PDV!$A$2:$J$250,8,FALSE),""))</f>
        <v/>
      </c>
      <c r="G218" s="75" t="str">
        <f t="shared" ca="1" si="12"/>
        <v/>
      </c>
      <c r="H218" s="75" t="str">
        <f>IF(A218="","",IF(F218="","Sin visita",IF(G218&lt;=IFERROR(VLOOKUP(E218,Inicio!$A$24:$B$26,2,FALSE),0),"Vigente","Atrasado")))</f>
        <v/>
      </c>
      <c r="I218" s="78" t="str">
        <f ca="1">IF(A218="","",SUMIFS(Ventas_SellIn!$L$2:$L$800,Ventas_SellIn!$D$2:$D$800,A218,Ventas_SellIn!$B$2:$B$800,"&gt;="&amp;TODAY()-Inicio!$B$14))</f>
        <v/>
      </c>
      <c r="J218" s="75" t="str">
        <f ca="1">IF(A218="","",SUMIFS(SellOut_Jumbo!$F$2:$F$800,SellOut_Jumbo!$C$2:$C$800,D218,SellOut_Jumbo!$A$2:$A$800,"&gt;="&amp;TODAY()-Inicio!$B$14))</f>
        <v/>
      </c>
      <c r="K218" s="75" t="str">
        <f>IF(A218="","",IF(I218=0,"Sin venta",IF(I218&lt;Inicio!$B$15,"Venta baja","Venta OK")))</f>
        <v/>
      </c>
      <c r="L218" s="75" t="str">
        <f>IF(A218="","",COUNTIFS(Ventas_SellIn!$D$2:$D$800,A218,Ventas_SellIn!$R$2:$R$800,"&gt;0"))</f>
        <v/>
      </c>
      <c r="M218" s="78" t="str">
        <f>IF(A218="","",SUMIFS(Ventas_SellIn!$R$2:$R$800,Ventas_SellIn!$D$2:$D$800,A218))</f>
        <v/>
      </c>
      <c r="N218" s="75" t="str">
        <f>IF(A218="","",IF(M218&gt;=Inicio!$B$18,"Pendiente relevante",IF(M218&gt;0,"Pendiente menor","Sin deuda")))</f>
        <v/>
      </c>
      <c r="O218" s="79" t="str">
        <f>IF(A218="","",SUMIFS(Stock_PDV!$H$2:$H$800,Stock_PDV!$A$2:$A$800,A218))</f>
        <v/>
      </c>
      <c r="P218" s="75" t="str">
        <f>IF(A218="","",IF(O218&lt;=Inicio!$B$16,"Crítico",IF(O218&lt;=Inicio!$B$17,"Observar","OK")))</f>
        <v/>
      </c>
      <c r="Q218" s="75" t="str">
        <f t="shared" si="13"/>
        <v/>
      </c>
      <c r="R218" s="75" t="str">
        <f t="shared" si="14"/>
        <v/>
      </c>
      <c r="S218" s="68" t="str">
        <f t="shared" si="15"/>
        <v/>
      </c>
      <c r="T218" s="68" t="str">
        <f>IF(A218="","",IFERROR(VLOOKUP(A218,Clientes_PDV!$A$2:$K$250,11,FALSE),""))</f>
        <v/>
      </c>
    </row>
    <row r="219" spans="1:20" x14ac:dyDescent="0.35">
      <c r="A219" s="80" t="str">
        <f>IF(Clientes_PDV!A219="","",Clientes_PDV!A219)</f>
        <v/>
      </c>
      <c r="B219" s="80" t="str">
        <f>IF(A219="","",IFERROR(VLOOKUP(A219,Clientes_PDV!$A$2:$J$250,2,FALSE),""))</f>
        <v/>
      </c>
      <c r="C219" s="80" t="str">
        <f>IF(A219="","",IFERROR(VLOOKUP(A219,Clientes_PDV!$A$2:$J$250,3,FALSE),""))</f>
        <v/>
      </c>
      <c r="D219" s="80" t="str">
        <f>IF(A219="","",IFERROR(VLOOKUP(A219,Clientes_PDV!$A$2:$J$250,4,FALSE),""))</f>
        <v/>
      </c>
      <c r="E219" s="80" t="str">
        <f>IF(A219="","",IFERROR(VLOOKUP(A219,Clientes_PDV!$A$2:$J$250,7,FALSE),""))</f>
        <v/>
      </c>
      <c r="F219" s="81" t="str">
        <f>IF(A219="","",IFERROR(VLOOKUP(A219,Clientes_PDV!$A$2:$J$250,8,FALSE),""))</f>
        <v/>
      </c>
      <c r="G219" s="80" t="str">
        <f t="shared" ca="1" si="12"/>
        <v/>
      </c>
      <c r="H219" s="80" t="str">
        <f>IF(A219="","",IF(F219="","Sin visita",IF(G219&lt;=IFERROR(VLOOKUP(E219,Inicio!$A$24:$B$26,2,FALSE),0),"Vigente","Atrasado")))</f>
        <v/>
      </c>
      <c r="I219" s="83" t="str">
        <f ca="1">IF(A219="","",SUMIFS(Ventas_SellIn!$L$2:$L$800,Ventas_SellIn!$D$2:$D$800,A219,Ventas_SellIn!$B$2:$B$800,"&gt;="&amp;TODAY()-Inicio!$B$14))</f>
        <v/>
      </c>
      <c r="J219" s="80" t="str">
        <f ca="1">IF(A219="","",SUMIFS(SellOut_Jumbo!$F$2:$F$800,SellOut_Jumbo!$C$2:$C$800,D219,SellOut_Jumbo!$A$2:$A$800,"&gt;="&amp;TODAY()-Inicio!$B$14))</f>
        <v/>
      </c>
      <c r="K219" s="80" t="str">
        <f>IF(A219="","",IF(I219=0,"Sin venta",IF(I219&lt;Inicio!$B$15,"Venta baja","Venta OK")))</f>
        <v/>
      </c>
      <c r="L219" s="80" t="str">
        <f>IF(A219="","",COUNTIFS(Ventas_SellIn!$D$2:$D$800,A219,Ventas_SellIn!$R$2:$R$800,"&gt;0"))</f>
        <v/>
      </c>
      <c r="M219" s="83" t="str">
        <f>IF(A219="","",SUMIFS(Ventas_SellIn!$R$2:$R$800,Ventas_SellIn!$D$2:$D$800,A219))</f>
        <v/>
      </c>
      <c r="N219" s="80" t="str">
        <f>IF(A219="","",IF(M219&gt;=Inicio!$B$18,"Pendiente relevante",IF(M219&gt;0,"Pendiente menor","Sin deuda")))</f>
        <v/>
      </c>
      <c r="O219" s="84" t="str">
        <f>IF(A219="","",SUMIFS(Stock_PDV!$H$2:$H$800,Stock_PDV!$A$2:$A$800,A219))</f>
        <v/>
      </c>
      <c r="P219" s="80" t="str">
        <f>IF(A219="","",IF(O219&lt;=Inicio!$B$16,"Crítico",IF(O219&lt;=Inicio!$B$17,"Observar","OK")))</f>
        <v/>
      </c>
      <c r="Q219" s="80" t="str">
        <f t="shared" si="13"/>
        <v/>
      </c>
      <c r="R219" s="80" t="str">
        <f t="shared" si="14"/>
        <v/>
      </c>
      <c r="S219" s="70" t="str">
        <f t="shared" si="15"/>
        <v/>
      </c>
      <c r="T219" s="70" t="str">
        <f>IF(A219="","",IFERROR(VLOOKUP(A219,Clientes_PDV!$A$2:$K$250,11,FALSE),""))</f>
        <v/>
      </c>
    </row>
    <row r="220" spans="1:20" x14ac:dyDescent="0.35">
      <c r="A220" s="75" t="str">
        <f>IF(Clientes_PDV!A220="","",Clientes_PDV!A220)</f>
        <v/>
      </c>
      <c r="B220" s="75" t="str">
        <f>IF(A220="","",IFERROR(VLOOKUP(A220,Clientes_PDV!$A$2:$J$250,2,FALSE),""))</f>
        <v/>
      </c>
      <c r="C220" s="75" t="str">
        <f>IF(A220="","",IFERROR(VLOOKUP(A220,Clientes_PDV!$A$2:$J$250,3,FALSE),""))</f>
        <v/>
      </c>
      <c r="D220" s="75" t="str">
        <f>IF(A220="","",IFERROR(VLOOKUP(A220,Clientes_PDV!$A$2:$J$250,4,FALSE),""))</f>
        <v/>
      </c>
      <c r="E220" s="75" t="str">
        <f>IF(A220="","",IFERROR(VLOOKUP(A220,Clientes_PDV!$A$2:$J$250,7,FALSE),""))</f>
        <v/>
      </c>
      <c r="F220" s="76" t="str">
        <f>IF(A220="","",IFERROR(VLOOKUP(A220,Clientes_PDV!$A$2:$J$250,8,FALSE),""))</f>
        <v/>
      </c>
      <c r="G220" s="75" t="str">
        <f t="shared" ca="1" si="12"/>
        <v/>
      </c>
      <c r="H220" s="75" t="str">
        <f>IF(A220="","",IF(F220="","Sin visita",IF(G220&lt;=IFERROR(VLOOKUP(E220,Inicio!$A$24:$B$26,2,FALSE),0),"Vigente","Atrasado")))</f>
        <v/>
      </c>
      <c r="I220" s="78" t="str">
        <f ca="1">IF(A220="","",SUMIFS(Ventas_SellIn!$L$2:$L$800,Ventas_SellIn!$D$2:$D$800,A220,Ventas_SellIn!$B$2:$B$800,"&gt;="&amp;TODAY()-Inicio!$B$14))</f>
        <v/>
      </c>
      <c r="J220" s="75" t="str">
        <f ca="1">IF(A220="","",SUMIFS(SellOut_Jumbo!$F$2:$F$800,SellOut_Jumbo!$C$2:$C$800,D220,SellOut_Jumbo!$A$2:$A$800,"&gt;="&amp;TODAY()-Inicio!$B$14))</f>
        <v/>
      </c>
      <c r="K220" s="75" t="str">
        <f>IF(A220="","",IF(I220=0,"Sin venta",IF(I220&lt;Inicio!$B$15,"Venta baja","Venta OK")))</f>
        <v/>
      </c>
      <c r="L220" s="75" t="str">
        <f>IF(A220="","",COUNTIFS(Ventas_SellIn!$D$2:$D$800,A220,Ventas_SellIn!$R$2:$R$800,"&gt;0"))</f>
        <v/>
      </c>
      <c r="M220" s="78" t="str">
        <f>IF(A220="","",SUMIFS(Ventas_SellIn!$R$2:$R$800,Ventas_SellIn!$D$2:$D$800,A220))</f>
        <v/>
      </c>
      <c r="N220" s="75" t="str">
        <f>IF(A220="","",IF(M220&gt;=Inicio!$B$18,"Pendiente relevante",IF(M220&gt;0,"Pendiente menor","Sin deuda")))</f>
        <v/>
      </c>
      <c r="O220" s="79" t="str">
        <f>IF(A220="","",SUMIFS(Stock_PDV!$H$2:$H$800,Stock_PDV!$A$2:$A$800,A220))</f>
        <v/>
      </c>
      <c r="P220" s="75" t="str">
        <f>IF(A220="","",IF(O220&lt;=Inicio!$B$16,"Crítico",IF(O220&lt;=Inicio!$B$17,"Observar","OK")))</f>
        <v/>
      </c>
      <c r="Q220" s="75" t="str">
        <f t="shared" si="13"/>
        <v/>
      </c>
      <c r="R220" s="75" t="str">
        <f t="shared" si="14"/>
        <v/>
      </c>
      <c r="S220" s="68" t="str">
        <f t="shared" si="15"/>
        <v/>
      </c>
      <c r="T220" s="68" t="str">
        <f>IF(A220="","",IFERROR(VLOOKUP(A220,Clientes_PDV!$A$2:$K$250,11,FALSE),""))</f>
        <v/>
      </c>
    </row>
    <row r="221" spans="1:20" x14ac:dyDescent="0.35">
      <c r="A221" s="80" t="str">
        <f>IF(Clientes_PDV!A221="","",Clientes_PDV!A221)</f>
        <v/>
      </c>
      <c r="B221" s="80" t="str">
        <f>IF(A221="","",IFERROR(VLOOKUP(A221,Clientes_PDV!$A$2:$J$250,2,FALSE),""))</f>
        <v/>
      </c>
      <c r="C221" s="80" t="str">
        <f>IF(A221="","",IFERROR(VLOOKUP(A221,Clientes_PDV!$A$2:$J$250,3,FALSE),""))</f>
        <v/>
      </c>
      <c r="D221" s="80" t="str">
        <f>IF(A221="","",IFERROR(VLOOKUP(A221,Clientes_PDV!$A$2:$J$250,4,FALSE),""))</f>
        <v/>
      </c>
      <c r="E221" s="80" t="str">
        <f>IF(A221="","",IFERROR(VLOOKUP(A221,Clientes_PDV!$A$2:$J$250,7,FALSE),""))</f>
        <v/>
      </c>
      <c r="F221" s="81" t="str">
        <f>IF(A221="","",IFERROR(VLOOKUP(A221,Clientes_PDV!$A$2:$J$250,8,FALSE),""))</f>
        <v/>
      </c>
      <c r="G221" s="80" t="str">
        <f t="shared" ca="1" si="12"/>
        <v/>
      </c>
      <c r="H221" s="80" t="str">
        <f>IF(A221="","",IF(F221="","Sin visita",IF(G221&lt;=IFERROR(VLOOKUP(E221,Inicio!$A$24:$B$26,2,FALSE),0),"Vigente","Atrasado")))</f>
        <v/>
      </c>
      <c r="I221" s="83" t="str">
        <f ca="1">IF(A221="","",SUMIFS(Ventas_SellIn!$L$2:$L$800,Ventas_SellIn!$D$2:$D$800,A221,Ventas_SellIn!$B$2:$B$800,"&gt;="&amp;TODAY()-Inicio!$B$14))</f>
        <v/>
      </c>
      <c r="J221" s="80" t="str">
        <f ca="1">IF(A221="","",SUMIFS(SellOut_Jumbo!$F$2:$F$800,SellOut_Jumbo!$C$2:$C$800,D221,SellOut_Jumbo!$A$2:$A$800,"&gt;="&amp;TODAY()-Inicio!$B$14))</f>
        <v/>
      </c>
      <c r="K221" s="80" t="str">
        <f>IF(A221="","",IF(I221=0,"Sin venta",IF(I221&lt;Inicio!$B$15,"Venta baja","Venta OK")))</f>
        <v/>
      </c>
      <c r="L221" s="80" t="str">
        <f>IF(A221="","",COUNTIFS(Ventas_SellIn!$D$2:$D$800,A221,Ventas_SellIn!$R$2:$R$800,"&gt;0"))</f>
        <v/>
      </c>
      <c r="M221" s="83" t="str">
        <f>IF(A221="","",SUMIFS(Ventas_SellIn!$R$2:$R$800,Ventas_SellIn!$D$2:$D$800,A221))</f>
        <v/>
      </c>
      <c r="N221" s="80" t="str">
        <f>IF(A221="","",IF(M221&gt;=Inicio!$B$18,"Pendiente relevante",IF(M221&gt;0,"Pendiente menor","Sin deuda")))</f>
        <v/>
      </c>
      <c r="O221" s="84" t="str">
        <f>IF(A221="","",SUMIFS(Stock_PDV!$H$2:$H$800,Stock_PDV!$A$2:$A$800,A221))</f>
        <v/>
      </c>
      <c r="P221" s="80" t="str">
        <f>IF(A221="","",IF(O221&lt;=Inicio!$B$16,"Crítico",IF(O221&lt;=Inicio!$B$17,"Observar","OK")))</f>
        <v/>
      </c>
      <c r="Q221" s="80" t="str">
        <f t="shared" si="13"/>
        <v/>
      </c>
      <c r="R221" s="80" t="str">
        <f t="shared" si="14"/>
        <v/>
      </c>
      <c r="S221" s="70" t="str">
        <f t="shared" si="15"/>
        <v/>
      </c>
      <c r="T221" s="70" t="str">
        <f>IF(A221="","",IFERROR(VLOOKUP(A221,Clientes_PDV!$A$2:$K$250,11,FALSE),""))</f>
        <v/>
      </c>
    </row>
    <row r="222" spans="1:20" x14ac:dyDescent="0.35">
      <c r="A222" s="75" t="str">
        <f>IF(Clientes_PDV!A222="","",Clientes_PDV!A222)</f>
        <v/>
      </c>
      <c r="B222" s="75" t="str">
        <f>IF(A222="","",IFERROR(VLOOKUP(A222,Clientes_PDV!$A$2:$J$250,2,FALSE),""))</f>
        <v/>
      </c>
      <c r="C222" s="75" t="str">
        <f>IF(A222="","",IFERROR(VLOOKUP(A222,Clientes_PDV!$A$2:$J$250,3,FALSE),""))</f>
        <v/>
      </c>
      <c r="D222" s="75" t="str">
        <f>IF(A222="","",IFERROR(VLOOKUP(A222,Clientes_PDV!$A$2:$J$250,4,FALSE),""))</f>
        <v/>
      </c>
      <c r="E222" s="75" t="str">
        <f>IF(A222="","",IFERROR(VLOOKUP(A222,Clientes_PDV!$A$2:$J$250,7,FALSE),""))</f>
        <v/>
      </c>
      <c r="F222" s="76" t="str">
        <f>IF(A222="","",IFERROR(VLOOKUP(A222,Clientes_PDV!$A$2:$J$250,8,FALSE),""))</f>
        <v/>
      </c>
      <c r="G222" s="75" t="str">
        <f t="shared" ca="1" si="12"/>
        <v/>
      </c>
      <c r="H222" s="75" t="str">
        <f>IF(A222="","",IF(F222="","Sin visita",IF(G222&lt;=IFERROR(VLOOKUP(E222,Inicio!$A$24:$B$26,2,FALSE),0),"Vigente","Atrasado")))</f>
        <v/>
      </c>
      <c r="I222" s="78" t="str">
        <f ca="1">IF(A222="","",SUMIFS(Ventas_SellIn!$L$2:$L$800,Ventas_SellIn!$D$2:$D$800,A222,Ventas_SellIn!$B$2:$B$800,"&gt;="&amp;TODAY()-Inicio!$B$14))</f>
        <v/>
      </c>
      <c r="J222" s="75" t="str">
        <f ca="1">IF(A222="","",SUMIFS(SellOut_Jumbo!$F$2:$F$800,SellOut_Jumbo!$C$2:$C$800,D222,SellOut_Jumbo!$A$2:$A$800,"&gt;="&amp;TODAY()-Inicio!$B$14))</f>
        <v/>
      </c>
      <c r="K222" s="75" t="str">
        <f>IF(A222="","",IF(I222=0,"Sin venta",IF(I222&lt;Inicio!$B$15,"Venta baja","Venta OK")))</f>
        <v/>
      </c>
      <c r="L222" s="75" t="str">
        <f>IF(A222="","",COUNTIFS(Ventas_SellIn!$D$2:$D$800,A222,Ventas_SellIn!$R$2:$R$800,"&gt;0"))</f>
        <v/>
      </c>
      <c r="M222" s="78" t="str">
        <f>IF(A222="","",SUMIFS(Ventas_SellIn!$R$2:$R$800,Ventas_SellIn!$D$2:$D$800,A222))</f>
        <v/>
      </c>
      <c r="N222" s="75" t="str">
        <f>IF(A222="","",IF(M222&gt;=Inicio!$B$18,"Pendiente relevante",IF(M222&gt;0,"Pendiente menor","Sin deuda")))</f>
        <v/>
      </c>
      <c r="O222" s="79" t="str">
        <f>IF(A222="","",SUMIFS(Stock_PDV!$H$2:$H$800,Stock_PDV!$A$2:$A$800,A222))</f>
        <v/>
      </c>
      <c r="P222" s="75" t="str">
        <f>IF(A222="","",IF(O222&lt;=Inicio!$B$16,"Crítico",IF(O222&lt;=Inicio!$B$17,"Observar","OK")))</f>
        <v/>
      </c>
      <c r="Q222" s="75" t="str">
        <f t="shared" si="13"/>
        <v/>
      </c>
      <c r="R222" s="75" t="str">
        <f t="shared" si="14"/>
        <v/>
      </c>
      <c r="S222" s="68" t="str">
        <f t="shared" si="15"/>
        <v/>
      </c>
      <c r="T222" s="68" t="str">
        <f>IF(A222="","",IFERROR(VLOOKUP(A222,Clientes_PDV!$A$2:$K$250,11,FALSE),""))</f>
        <v/>
      </c>
    </row>
    <row r="223" spans="1:20" x14ac:dyDescent="0.35">
      <c r="A223" s="80" t="str">
        <f>IF(Clientes_PDV!A223="","",Clientes_PDV!A223)</f>
        <v/>
      </c>
      <c r="B223" s="80" t="str">
        <f>IF(A223="","",IFERROR(VLOOKUP(A223,Clientes_PDV!$A$2:$J$250,2,FALSE),""))</f>
        <v/>
      </c>
      <c r="C223" s="80" t="str">
        <f>IF(A223="","",IFERROR(VLOOKUP(A223,Clientes_PDV!$A$2:$J$250,3,FALSE),""))</f>
        <v/>
      </c>
      <c r="D223" s="80" t="str">
        <f>IF(A223="","",IFERROR(VLOOKUP(A223,Clientes_PDV!$A$2:$J$250,4,FALSE),""))</f>
        <v/>
      </c>
      <c r="E223" s="80" t="str">
        <f>IF(A223="","",IFERROR(VLOOKUP(A223,Clientes_PDV!$A$2:$J$250,7,FALSE),""))</f>
        <v/>
      </c>
      <c r="F223" s="81" t="str">
        <f>IF(A223="","",IFERROR(VLOOKUP(A223,Clientes_PDV!$A$2:$J$250,8,FALSE),""))</f>
        <v/>
      </c>
      <c r="G223" s="80" t="str">
        <f t="shared" ca="1" si="12"/>
        <v/>
      </c>
      <c r="H223" s="80" t="str">
        <f>IF(A223="","",IF(F223="","Sin visita",IF(G223&lt;=IFERROR(VLOOKUP(E223,Inicio!$A$24:$B$26,2,FALSE),0),"Vigente","Atrasado")))</f>
        <v/>
      </c>
      <c r="I223" s="83" t="str">
        <f ca="1">IF(A223="","",SUMIFS(Ventas_SellIn!$L$2:$L$800,Ventas_SellIn!$D$2:$D$800,A223,Ventas_SellIn!$B$2:$B$800,"&gt;="&amp;TODAY()-Inicio!$B$14))</f>
        <v/>
      </c>
      <c r="J223" s="80" t="str">
        <f ca="1">IF(A223="","",SUMIFS(SellOut_Jumbo!$F$2:$F$800,SellOut_Jumbo!$C$2:$C$800,D223,SellOut_Jumbo!$A$2:$A$800,"&gt;="&amp;TODAY()-Inicio!$B$14))</f>
        <v/>
      </c>
      <c r="K223" s="80" t="str">
        <f>IF(A223="","",IF(I223=0,"Sin venta",IF(I223&lt;Inicio!$B$15,"Venta baja","Venta OK")))</f>
        <v/>
      </c>
      <c r="L223" s="80" t="str">
        <f>IF(A223="","",COUNTIFS(Ventas_SellIn!$D$2:$D$800,A223,Ventas_SellIn!$R$2:$R$800,"&gt;0"))</f>
        <v/>
      </c>
      <c r="M223" s="83" t="str">
        <f>IF(A223="","",SUMIFS(Ventas_SellIn!$R$2:$R$800,Ventas_SellIn!$D$2:$D$800,A223))</f>
        <v/>
      </c>
      <c r="N223" s="80" t="str">
        <f>IF(A223="","",IF(M223&gt;=Inicio!$B$18,"Pendiente relevante",IF(M223&gt;0,"Pendiente menor","Sin deuda")))</f>
        <v/>
      </c>
      <c r="O223" s="84" t="str">
        <f>IF(A223="","",SUMIFS(Stock_PDV!$H$2:$H$800,Stock_PDV!$A$2:$A$800,A223))</f>
        <v/>
      </c>
      <c r="P223" s="80" t="str">
        <f>IF(A223="","",IF(O223&lt;=Inicio!$B$16,"Crítico",IF(O223&lt;=Inicio!$B$17,"Observar","OK")))</f>
        <v/>
      </c>
      <c r="Q223" s="80" t="str">
        <f t="shared" si="13"/>
        <v/>
      </c>
      <c r="R223" s="80" t="str">
        <f t="shared" si="14"/>
        <v/>
      </c>
      <c r="S223" s="70" t="str">
        <f t="shared" si="15"/>
        <v/>
      </c>
      <c r="T223" s="70" t="str">
        <f>IF(A223="","",IFERROR(VLOOKUP(A223,Clientes_PDV!$A$2:$K$250,11,FALSE),""))</f>
        <v/>
      </c>
    </row>
    <row r="224" spans="1:20" x14ac:dyDescent="0.35">
      <c r="A224" s="75" t="str">
        <f>IF(Clientes_PDV!A224="","",Clientes_PDV!A224)</f>
        <v/>
      </c>
      <c r="B224" s="75" t="str">
        <f>IF(A224="","",IFERROR(VLOOKUP(A224,Clientes_PDV!$A$2:$J$250,2,FALSE),""))</f>
        <v/>
      </c>
      <c r="C224" s="75" t="str">
        <f>IF(A224="","",IFERROR(VLOOKUP(A224,Clientes_PDV!$A$2:$J$250,3,FALSE),""))</f>
        <v/>
      </c>
      <c r="D224" s="75" t="str">
        <f>IF(A224="","",IFERROR(VLOOKUP(A224,Clientes_PDV!$A$2:$J$250,4,FALSE),""))</f>
        <v/>
      </c>
      <c r="E224" s="75" t="str">
        <f>IF(A224="","",IFERROR(VLOOKUP(A224,Clientes_PDV!$A$2:$J$250,7,FALSE),""))</f>
        <v/>
      </c>
      <c r="F224" s="76" t="str">
        <f>IF(A224="","",IFERROR(VLOOKUP(A224,Clientes_PDV!$A$2:$J$250,8,FALSE),""))</f>
        <v/>
      </c>
      <c r="G224" s="75" t="str">
        <f t="shared" ca="1" si="12"/>
        <v/>
      </c>
      <c r="H224" s="75" t="str">
        <f>IF(A224="","",IF(F224="","Sin visita",IF(G224&lt;=IFERROR(VLOOKUP(E224,Inicio!$A$24:$B$26,2,FALSE),0),"Vigente","Atrasado")))</f>
        <v/>
      </c>
      <c r="I224" s="78" t="str">
        <f ca="1">IF(A224="","",SUMIFS(Ventas_SellIn!$L$2:$L$800,Ventas_SellIn!$D$2:$D$800,A224,Ventas_SellIn!$B$2:$B$800,"&gt;="&amp;TODAY()-Inicio!$B$14))</f>
        <v/>
      </c>
      <c r="J224" s="75" t="str">
        <f ca="1">IF(A224="","",SUMIFS(SellOut_Jumbo!$F$2:$F$800,SellOut_Jumbo!$C$2:$C$800,D224,SellOut_Jumbo!$A$2:$A$800,"&gt;="&amp;TODAY()-Inicio!$B$14))</f>
        <v/>
      </c>
      <c r="K224" s="75" t="str">
        <f>IF(A224="","",IF(I224=0,"Sin venta",IF(I224&lt;Inicio!$B$15,"Venta baja","Venta OK")))</f>
        <v/>
      </c>
      <c r="L224" s="75" t="str">
        <f>IF(A224="","",COUNTIFS(Ventas_SellIn!$D$2:$D$800,A224,Ventas_SellIn!$R$2:$R$800,"&gt;0"))</f>
        <v/>
      </c>
      <c r="M224" s="78" t="str">
        <f>IF(A224="","",SUMIFS(Ventas_SellIn!$R$2:$R$800,Ventas_SellIn!$D$2:$D$800,A224))</f>
        <v/>
      </c>
      <c r="N224" s="75" t="str">
        <f>IF(A224="","",IF(M224&gt;=Inicio!$B$18,"Pendiente relevante",IF(M224&gt;0,"Pendiente menor","Sin deuda")))</f>
        <v/>
      </c>
      <c r="O224" s="79" t="str">
        <f>IF(A224="","",SUMIFS(Stock_PDV!$H$2:$H$800,Stock_PDV!$A$2:$A$800,A224))</f>
        <v/>
      </c>
      <c r="P224" s="75" t="str">
        <f>IF(A224="","",IF(O224&lt;=Inicio!$B$16,"Crítico",IF(O224&lt;=Inicio!$B$17,"Observar","OK")))</f>
        <v/>
      </c>
      <c r="Q224" s="75" t="str">
        <f t="shared" si="13"/>
        <v/>
      </c>
      <c r="R224" s="75" t="str">
        <f t="shared" si="14"/>
        <v/>
      </c>
      <c r="S224" s="68" t="str">
        <f t="shared" si="15"/>
        <v/>
      </c>
      <c r="T224" s="68" t="str">
        <f>IF(A224="","",IFERROR(VLOOKUP(A224,Clientes_PDV!$A$2:$K$250,11,FALSE),""))</f>
        <v/>
      </c>
    </row>
    <row r="225" spans="1:20" x14ac:dyDescent="0.35">
      <c r="A225" s="80" t="str">
        <f>IF(Clientes_PDV!A225="","",Clientes_PDV!A225)</f>
        <v/>
      </c>
      <c r="B225" s="80" t="str">
        <f>IF(A225="","",IFERROR(VLOOKUP(A225,Clientes_PDV!$A$2:$J$250,2,FALSE),""))</f>
        <v/>
      </c>
      <c r="C225" s="80" t="str">
        <f>IF(A225="","",IFERROR(VLOOKUP(A225,Clientes_PDV!$A$2:$J$250,3,FALSE),""))</f>
        <v/>
      </c>
      <c r="D225" s="80" t="str">
        <f>IF(A225="","",IFERROR(VLOOKUP(A225,Clientes_PDV!$A$2:$J$250,4,FALSE),""))</f>
        <v/>
      </c>
      <c r="E225" s="80" t="str">
        <f>IF(A225="","",IFERROR(VLOOKUP(A225,Clientes_PDV!$A$2:$J$250,7,FALSE),""))</f>
        <v/>
      </c>
      <c r="F225" s="81" t="str">
        <f>IF(A225="","",IFERROR(VLOOKUP(A225,Clientes_PDV!$A$2:$J$250,8,FALSE),""))</f>
        <v/>
      </c>
      <c r="G225" s="80" t="str">
        <f t="shared" ca="1" si="12"/>
        <v/>
      </c>
      <c r="H225" s="80" t="str">
        <f>IF(A225="","",IF(F225="","Sin visita",IF(G225&lt;=IFERROR(VLOOKUP(E225,Inicio!$A$24:$B$26,2,FALSE),0),"Vigente","Atrasado")))</f>
        <v/>
      </c>
      <c r="I225" s="83" t="str">
        <f ca="1">IF(A225="","",SUMIFS(Ventas_SellIn!$L$2:$L$800,Ventas_SellIn!$D$2:$D$800,A225,Ventas_SellIn!$B$2:$B$800,"&gt;="&amp;TODAY()-Inicio!$B$14))</f>
        <v/>
      </c>
      <c r="J225" s="80" t="str">
        <f ca="1">IF(A225="","",SUMIFS(SellOut_Jumbo!$F$2:$F$800,SellOut_Jumbo!$C$2:$C$800,D225,SellOut_Jumbo!$A$2:$A$800,"&gt;="&amp;TODAY()-Inicio!$B$14))</f>
        <v/>
      </c>
      <c r="K225" s="80" t="str">
        <f>IF(A225="","",IF(I225=0,"Sin venta",IF(I225&lt;Inicio!$B$15,"Venta baja","Venta OK")))</f>
        <v/>
      </c>
      <c r="L225" s="80" t="str">
        <f>IF(A225="","",COUNTIFS(Ventas_SellIn!$D$2:$D$800,A225,Ventas_SellIn!$R$2:$R$800,"&gt;0"))</f>
        <v/>
      </c>
      <c r="M225" s="83" t="str">
        <f>IF(A225="","",SUMIFS(Ventas_SellIn!$R$2:$R$800,Ventas_SellIn!$D$2:$D$800,A225))</f>
        <v/>
      </c>
      <c r="N225" s="80" t="str">
        <f>IF(A225="","",IF(M225&gt;=Inicio!$B$18,"Pendiente relevante",IF(M225&gt;0,"Pendiente menor","Sin deuda")))</f>
        <v/>
      </c>
      <c r="O225" s="84" t="str">
        <f>IF(A225="","",SUMIFS(Stock_PDV!$H$2:$H$800,Stock_PDV!$A$2:$A$800,A225))</f>
        <v/>
      </c>
      <c r="P225" s="80" t="str">
        <f>IF(A225="","",IF(O225&lt;=Inicio!$B$16,"Crítico",IF(O225&lt;=Inicio!$B$17,"Observar","OK")))</f>
        <v/>
      </c>
      <c r="Q225" s="80" t="str">
        <f t="shared" si="13"/>
        <v/>
      </c>
      <c r="R225" s="80" t="str">
        <f t="shared" si="14"/>
        <v/>
      </c>
      <c r="S225" s="70" t="str">
        <f t="shared" si="15"/>
        <v/>
      </c>
      <c r="T225" s="70" t="str">
        <f>IF(A225="","",IFERROR(VLOOKUP(A225,Clientes_PDV!$A$2:$K$250,11,FALSE),""))</f>
        <v/>
      </c>
    </row>
    <row r="226" spans="1:20" x14ac:dyDescent="0.35">
      <c r="A226" s="75" t="str">
        <f>IF(Clientes_PDV!A226="","",Clientes_PDV!A226)</f>
        <v/>
      </c>
      <c r="B226" s="75" t="str">
        <f>IF(A226="","",IFERROR(VLOOKUP(A226,Clientes_PDV!$A$2:$J$250,2,FALSE),""))</f>
        <v/>
      </c>
      <c r="C226" s="75" t="str">
        <f>IF(A226="","",IFERROR(VLOOKUP(A226,Clientes_PDV!$A$2:$J$250,3,FALSE),""))</f>
        <v/>
      </c>
      <c r="D226" s="75" t="str">
        <f>IF(A226="","",IFERROR(VLOOKUP(A226,Clientes_PDV!$A$2:$J$250,4,FALSE),""))</f>
        <v/>
      </c>
      <c r="E226" s="75" t="str">
        <f>IF(A226="","",IFERROR(VLOOKUP(A226,Clientes_PDV!$A$2:$J$250,7,FALSE),""))</f>
        <v/>
      </c>
      <c r="F226" s="76" t="str">
        <f>IF(A226="","",IFERROR(VLOOKUP(A226,Clientes_PDV!$A$2:$J$250,8,FALSE),""))</f>
        <v/>
      </c>
      <c r="G226" s="75" t="str">
        <f t="shared" ca="1" si="12"/>
        <v/>
      </c>
      <c r="H226" s="75" t="str">
        <f>IF(A226="","",IF(F226="","Sin visita",IF(G226&lt;=IFERROR(VLOOKUP(E226,Inicio!$A$24:$B$26,2,FALSE),0),"Vigente","Atrasado")))</f>
        <v/>
      </c>
      <c r="I226" s="78" t="str">
        <f ca="1">IF(A226="","",SUMIFS(Ventas_SellIn!$L$2:$L$800,Ventas_SellIn!$D$2:$D$800,A226,Ventas_SellIn!$B$2:$B$800,"&gt;="&amp;TODAY()-Inicio!$B$14))</f>
        <v/>
      </c>
      <c r="J226" s="75" t="str">
        <f ca="1">IF(A226="","",SUMIFS(SellOut_Jumbo!$F$2:$F$800,SellOut_Jumbo!$C$2:$C$800,D226,SellOut_Jumbo!$A$2:$A$800,"&gt;="&amp;TODAY()-Inicio!$B$14))</f>
        <v/>
      </c>
      <c r="K226" s="75" t="str">
        <f>IF(A226="","",IF(I226=0,"Sin venta",IF(I226&lt;Inicio!$B$15,"Venta baja","Venta OK")))</f>
        <v/>
      </c>
      <c r="L226" s="75" t="str">
        <f>IF(A226="","",COUNTIFS(Ventas_SellIn!$D$2:$D$800,A226,Ventas_SellIn!$R$2:$R$800,"&gt;0"))</f>
        <v/>
      </c>
      <c r="M226" s="78" t="str">
        <f>IF(A226="","",SUMIFS(Ventas_SellIn!$R$2:$R$800,Ventas_SellIn!$D$2:$D$800,A226))</f>
        <v/>
      </c>
      <c r="N226" s="75" t="str">
        <f>IF(A226="","",IF(M226&gt;=Inicio!$B$18,"Pendiente relevante",IF(M226&gt;0,"Pendiente menor","Sin deuda")))</f>
        <v/>
      </c>
      <c r="O226" s="79" t="str">
        <f>IF(A226="","",SUMIFS(Stock_PDV!$H$2:$H$800,Stock_PDV!$A$2:$A$800,A226))</f>
        <v/>
      </c>
      <c r="P226" s="75" t="str">
        <f>IF(A226="","",IF(O226&lt;=Inicio!$B$16,"Crítico",IF(O226&lt;=Inicio!$B$17,"Observar","OK")))</f>
        <v/>
      </c>
      <c r="Q226" s="75" t="str">
        <f t="shared" si="13"/>
        <v/>
      </c>
      <c r="R226" s="75" t="str">
        <f t="shared" si="14"/>
        <v/>
      </c>
      <c r="S226" s="68" t="str">
        <f t="shared" si="15"/>
        <v/>
      </c>
      <c r="T226" s="68" t="str">
        <f>IF(A226="","",IFERROR(VLOOKUP(A226,Clientes_PDV!$A$2:$K$250,11,FALSE),""))</f>
        <v/>
      </c>
    </row>
    <row r="227" spans="1:20" x14ac:dyDescent="0.35">
      <c r="A227" s="80" t="str">
        <f>IF(Clientes_PDV!A227="","",Clientes_PDV!A227)</f>
        <v/>
      </c>
      <c r="B227" s="80" t="str">
        <f>IF(A227="","",IFERROR(VLOOKUP(A227,Clientes_PDV!$A$2:$J$250,2,FALSE),""))</f>
        <v/>
      </c>
      <c r="C227" s="80" t="str">
        <f>IF(A227="","",IFERROR(VLOOKUP(A227,Clientes_PDV!$A$2:$J$250,3,FALSE),""))</f>
        <v/>
      </c>
      <c r="D227" s="80" t="str">
        <f>IF(A227="","",IFERROR(VLOOKUP(A227,Clientes_PDV!$A$2:$J$250,4,FALSE),""))</f>
        <v/>
      </c>
      <c r="E227" s="80" t="str">
        <f>IF(A227="","",IFERROR(VLOOKUP(A227,Clientes_PDV!$A$2:$J$250,7,FALSE),""))</f>
        <v/>
      </c>
      <c r="F227" s="81" t="str">
        <f>IF(A227="","",IFERROR(VLOOKUP(A227,Clientes_PDV!$A$2:$J$250,8,FALSE),""))</f>
        <v/>
      </c>
      <c r="G227" s="80" t="str">
        <f t="shared" ca="1" si="12"/>
        <v/>
      </c>
      <c r="H227" s="80" t="str">
        <f>IF(A227="","",IF(F227="","Sin visita",IF(G227&lt;=IFERROR(VLOOKUP(E227,Inicio!$A$24:$B$26,2,FALSE),0),"Vigente","Atrasado")))</f>
        <v/>
      </c>
      <c r="I227" s="83" t="str">
        <f ca="1">IF(A227="","",SUMIFS(Ventas_SellIn!$L$2:$L$800,Ventas_SellIn!$D$2:$D$800,A227,Ventas_SellIn!$B$2:$B$800,"&gt;="&amp;TODAY()-Inicio!$B$14))</f>
        <v/>
      </c>
      <c r="J227" s="80" t="str">
        <f ca="1">IF(A227="","",SUMIFS(SellOut_Jumbo!$F$2:$F$800,SellOut_Jumbo!$C$2:$C$800,D227,SellOut_Jumbo!$A$2:$A$800,"&gt;="&amp;TODAY()-Inicio!$B$14))</f>
        <v/>
      </c>
      <c r="K227" s="80" t="str">
        <f>IF(A227="","",IF(I227=0,"Sin venta",IF(I227&lt;Inicio!$B$15,"Venta baja","Venta OK")))</f>
        <v/>
      </c>
      <c r="L227" s="80" t="str">
        <f>IF(A227="","",COUNTIFS(Ventas_SellIn!$D$2:$D$800,A227,Ventas_SellIn!$R$2:$R$800,"&gt;0"))</f>
        <v/>
      </c>
      <c r="M227" s="83" t="str">
        <f>IF(A227="","",SUMIFS(Ventas_SellIn!$R$2:$R$800,Ventas_SellIn!$D$2:$D$800,A227))</f>
        <v/>
      </c>
      <c r="N227" s="80" t="str">
        <f>IF(A227="","",IF(M227&gt;=Inicio!$B$18,"Pendiente relevante",IF(M227&gt;0,"Pendiente menor","Sin deuda")))</f>
        <v/>
      </c>
      <c r="O227" s="84" t="str">
        <f>IF(A227="","",SUMIFS(Stock_PDV!$H$2:$H$800,Stock_PDV!$A$2:$A$800,A227))</f>
        <v/>
      </c>
      <c r="P227" s="80" t="str">
        <f>IF(A227="","",IF(O227&lt;=Inicio!$B$16,"Crítico",IF(O227&lt;=Inicio!$B$17,"Observar","OK")))</f>
        <v/>
      </c>
      <c r="Q227" s="80" t="str">
        <f t="shared" si="13"/>
        <v/>
      </c>
      <c r="R227" s="80" t="str">
        <f t="shared" si="14"/>
        <v/>
      </c>
      <c r="S227" s="70" t="str">
        <f t="shared" si="15"/>
        <v/>
      </c>
      <c r="T227" s="70" t="str">
        <f>IF(A227="","",IFERROR(VLOOKUP(A227,Clientes_PDV!$A$2:$K$250,11,FALSE),""))</f>
        <v/>
      </c>
    </row>
    <row r="228" spans="1:20" x14ac:dyDescent="0.35">
      <c r="A228" s="75" t="str">
        <f>IF(Clientes_PDV!A228="","",Clientes_PDV!A228)</f>
        <v/>
      </c>
      <c r="B228" s="75" t="str">
        <f>IF(A228="","",IFERROR(VLOOKUP(A228,Clientes_PDV!$A$2:$J$250,2,FALSE),""))</f>
        <v/>
      </c>
      <c r="C228" s="75" t="str">
        <f>IF(A228="","",IFERROR(VLOOKUP(A228,Clientes_PDV!$A$2:$J$250,3,FALSE),""))</f>
        <v/>
      </c>
      <c r="D228" s="75" t="str">
        <f>IF(A228="","",IFERROR(VLOOKUP(A228,Clientes_PDV!$A$2:$J$250,4,FALSE),""))</f>
        <v/>
      </c>
      <c r="E228" s="75" t="str">
        <f>IF(A228="","",IFERROR(VLOOKUP(A228,Clientes_PDV!$A$2:$J$250,7,FALSE),""))</f>
        <v/>
      </c>
      <c r="F228" s="76" t="str">
        <f>IF(A228="","",IFERROR(VLOOKUP(A228,Clientes_PDV!$A$2:$J$250,8,FALSE),""))</f>
        <v/>
      </c>
      <c r="G228" s="75" t="str">
        <f t="shared" ca="1" si="12"/>
        <v/>
      </c>
      <c r="H228" s="75" t="str">
        <f>IF(A228="","",IF(F228="","Sin visita",IF(G228&lt;=IFERROR(VLOOKUP(E228,Inicio!$A$24:$B$26,2,FALSE),0),"Vigente","Atrasado")))</f>
        <v/>
      </c>
      <c r="I228" s="78" t="str">
        <f ca="1">IF(A228="","",SUMIFS(Ventas_SellIn!$L$2:$L$800,Ventas_SellIn!$D$2:$D$800,A228,Ventas_SellIn!$B$2:$B$800,"&gt;="&amp;TODAY()-Inicio!$B$14))</f>
        <v/>
      </c>
      <c r="J228" s="75" t="str">
        <f ca="1">IF(A228="","",SUMIFS(SellOut_Jumbo!$F$2:$F$800,SellOut_Jumbo!$C$2:$C$800,D228,SellOut_Jumbo!$A$2:$A$800,"&gt;="&amp;TODAY()-Inicio!$B$14))</f>
        <v/>
      </c>
      <c r="K228" s="75" t="str">
        <f>IF(A228="","",IF(I228=0,"Sin venta",IF(I228&lt;Inicio!$B$15,"Venta baja","Venta OK")))</f>
        <v/>
      </c>
      <c r="L228" s="75" t="str">
        <f>IF(A228="","",COUNTIFS(Ventas_SellIn!$D$2:$D$800,A228,Ventas_SellIn!$R$2:$R$800,"&gt;0"))</f>
        <v/>
      </c>
      <c r="M228" s="78" t="str">
        <f>IF(A228="","",SUMIFS(Ventas_SellIn!$R$2:$R$800,Ventas_SellIn!$D$2:$D$800,A228))</f>
        <v/>
      </c>
      <c r="N228" s="75" t="str">
        <f>IF(A228="","",IF(M228&gt;=Inicio!$B$18,"Pendiente relevante",IF(M228&gt;0,"Pendiente menor","Sin deuda")))</f>
        <v/>
      </c>
      <c r="O228" s="79" t="str">
        <f>IF(A228="","",SUMIFS(Stock_PDV!$H$2:$H$800,Stock_PDV!$A$2:$A$800,A228))</f>
        <v/>
      </c>
      <c r="P228" s="75" t="str">
        <f>IF(A228="","",IF(O228&lt;=Inicio!$B$16,"Crítico",IF(O228&lt;=Inicio!$B$17,"Observar","OK")))</f>
        <v/>
      </c>
      <c r="Q228" s="75" t="str">
        <f t="shared" si="13"/>
        <v/>
      </c>
      <c r="R228" s="75" t="str">
        <f t="shared" si="14"/>
        <v/>
      </c>
      <c r="S228" s="68" t="str">
        <f t="shared" si="15"/>
        <v/>
      </c>
      <c r="T228" s="68" t="str">
        <f>IF(A228="","",IFERROR(VLOOKUP(A228,Clientes_PDV!$A$2:$K$250,11,FALSE),""))</f>
        <v/>
      </c>
    </row>
    <row r="229" spans="1:20" x14ac:dyDescent="0.35">
      <c r="A229" s="80" t="str">
        <f>IF(Clientes_PDV!A229="","",Clientes_PDV!A229)</f>
        <v/>
      </c>
      <c r="B229" s="80" t="str">
        <f>IF(A229="","",IFERROR(VLOOKUP(A229,Clientes_PDV!$A$2:$J$250,2,FALSE),""))</f>
        <v/>
      </c>
      <c r="C229" s="80" t="str">
        <f>IF(A229="","",IFERROR(VLOOKUP(A229,Clientes_PDV!$A$2:$J$250,3,FALSE),""))</f>
        <v/>
      </c>
      <c r="D229" s="80" t="str">
        <f>IF(A229="","",IFERROR(VLOOKUP(A229,Clientes_PDV!$A$2:$J$250,4,FALSE),""))</f>
        <v/>
      </c>
      <c r="E229" s="80" t="str">
        <f>IF(A229="","",IFERROR(VLOOKUP(A229,Clientes_PDV!$A$2:$J$250,7,FALSE),""))</f>
        <v/>
      </c>
      <c r="F229" s="81" t="str">
        <f>IF(A229="","",IFERROR(VLOOKUP(A229,Clientes_PDV!$A$2:$J$250,8,FALSE),""))</f>
        <v/>
      </c>
      <c r="G229" s="80" t="str">
        <f t="shared" ca="1" si="12"/>
        <v/>
      </c>
      <c r="H229" s="80" t="str">
        <f>IF(A229="","",IF(F229="","Sin visita",IF(G229&lt;=IFERROR(VLOOKUP(E229,Inicio!$A$24:$B$26,2,FALSE),0),"Vigente","Atrasado")))</f>
        <v/>
      </c>
      <c r="I229" s="83" t="str">
        <f ca="1">IF(A229="","",SUMIFS(Ventas_SellIn!$L$2:$L$800,Ventas_SellIn!$D$2:$D$800,A229,Ventas_SellIn!$B$2:$B$800,"&gt;="&amp;TODAY()-Inicio!$B$14))</f>
        <v/>
      </c>
      <c r="J229" s="80" t="str">
        <f ca="1">IF(A229="","",SUMIFS(SellOut_Jumbo!$F$2:$F$800,SellOut_Jumbo!$C$2:$C$800,D229,SellOut_Jumbo!$A$2:$A$800,"&gt;="&amp;TODAY()-Inicio!$B$14))</f>
        <v/>
      </c>
      <c r="K229" s="80" t="str">
        <f>IF(A229="","",IF(I229=0,"Sin venta",IF(I229&lt;Inicio!$B$15,"Venta baja","Venta OK")))</f>
        <v/>
      </c>
      <c r="L229" s="80" t="str">
        <f>IF(A229="","",COUNTIFS(Ventas_SellIn!$D$2:$D$800,A229,Ventas_SellIn!$R$2:$R$800,"&gt;0"))</f>
        <v/>
      </c>
      <c r="M229" s="83" t="str">
        <f>IF(A229="","",SUMIFS(Ventas_SellIn!$R$2:$R$800,Ventas_SellIn!$D$2:$D$800,A229))</f>
        <v/>
      </c>
      <c r="N229" s="80" t="str">
        <f>IF(A229="","",IF(M229&gt;=Inicio!$B$18,"Pendiente relevante",IF(M229&gt;0,"Pendiente menor","Sin deuda")))</f>
        <v/>
      </c>
      <c r="O229" s="84" t="str">
        <f>IF(A229="","",SUMIFS(Stock_PDV!$H$2:$H$800,Stock_PDV!$A$2:$A$800,A229))</f>
        <v/>
      </c>
      <c r="P229" s="80" t="str">
        <f>IF(A229="","",IF(O229&lt;=Inicio!$B$16,"Crítico",IF(O229&lt;=Inicio!$B$17,"Observar","OK")))</f>
        <v/>
      </c>
      <c r="Q229" s="80" t="str">
        <f t="shared" si="13"/>
        <v/>
      </c>
      <c r="R229" s="80" t="str">
        <f t="shared" si="14"/>
        <v/>
      </c>
      <c r="S229" s="70" t="str">
        <f t="shared" si="15"/>
        <v/>
      </c>
      <c r="T229" s="70" t="str">
        <f>IF(A229="","",IFERROR(VLOOKUP(A229,Clientes_PDV!$A$2:$K$250,11,FALSE),""))</f>
        <v/>
      </c>
    </row>
    <row r="230" spans="1:20" x14ac:dyDescent="0.35">
      <c r="A230" s="75" t="str">
        <f>IF(Clientes_PDV!A230="","",Clientes_PDV!A230)</f>
        <v/>
      </c>
      <c r="B230" s="75" t="str">
        <f>IF(A230="","",IFERROR(VLOOKUP(A230,Clientes_PDV!$A$2:$J$250,2,FALSE),""))</f>
        <v/>
      </c>
      <c r="C230" s="75" t="str">
        <f>IF(A230="","",IFERROR(VLOOKUP(A230,Clientes_PDV!$A$2:$J$250,3,FALSE),""))</f>
        <v/>
      </c>
      <c r="D230" s="75" t="str">
        <f>IF(A230="","",IFERROR(VLOOKUP(A230,Clientes_PDV!$A$2:$J$250,4,FALSE),""))</f>
        <v/>
      </c>
      <c r="E230" s="75" t="str">
        <f>IF(A230="","",IFERROR(VLOOKUP(A230,Clientes_PDV!$A$2:$J$250,7,FALSE),""))</f>
        <v/>
      </c>
      <c r="F230" s="76" t="str">
        <f>IF(A230="","",IFERROR(VLOOKUP(A230,Clientes_PDV!$A$2:$J$250,8,FALSE),""))</f>
        <v/>
      </c>
      <c r="G230" s="75" t="str">
        <f t="shared" ca="1" si="12"/>
        <v/>
      </c>
      <c r="H230" s="75" t="str">
        <f>IF(A230="","",IF(F230="","Sin visita",IF(G230&lt;=IFERROR(VLOOKUP(E230,Inicio!$A$24:$B$26,2,FALSE),0),"Vigente","Atrasado")))</f>
        <v/>
      </c>
      <c r="I230" s="78" t="str">
        <f ca="1">IF(A230="","",SUMIFS(Ventas_SellIn!$L$2:$L$800,Ventas_SellIn!$D$2:$D$800,A230,Ventas_SellIn!$B$2:$B$800,"&gt;="&amp;TODAY()-Inicio!$B$14))</f>
        <v/>
      </c>
      <c r="J230" s="75" t="str">
        <f ca="1">IF(A230="","",SUMIFS(SellOut_Jumbo!$F$2:$F$800,SellOut_Jumbo!$C$2:$C$800,D230,SellOut_Jumbo!$A$2:$A$800,"&gt;="&amp;TODAY()-Inicio!$B$14))</f>
        <v/>
      </c>
      <c r="K230" s="75" t="str">
        <f>IF(A230="","",IF(I230=0,"Sin venta",IF(I230&lt;Inicio!$B$15,"Venta baja","Venta OK")))</f>
        <v/>
      </c>
      <c r="L230" s="75" t="str">
        <f>IF(A230="","",COUNTIFS(Ventas_SellIn!$D$2:$D$800,A230,Ventas_SellIn!$R$2:$R$800,"&gt;0"))</f>
        <v/>
      </c>
      <c r="M230" s="78" t="str">
        <f>IF(A230="","",SUMIFS(Ventas_SellIn!$R$2:$R$800,Ventas_SellIn!$D$2:$D$800,A230))</f>
        <v/>
      </c>
      <c r="N230" s="75" t="str">
        <f>IF(A230="","",IF(M230&gt;=Inicio!$B$18,"Pendiente relevante",IF(M230&gt;0,"Pendiente menor","Sin deuda")))</f>
        <v/>
      </c>
      <c r="O230" s="79" t="str">
        <f>IF(A230="","",SUMIFS(Stock_PDV!$H$2:$H$800,Stock_PDV!$A$2:$A$800,A230))</f>
        <v/>
      </c>
      <c r="P230" s="75" t="str">
        <f>IF(A230="","",IF(O230&lt;=Inicio!$B$16,"Crítico",IF(O230&lt;=Inicio!$B$17,"Observar","OK")))</f>
        <v/>
      </c>
      <c r="Q230" s="75" t="str">
        <f t="shared" si="13"/>
        <v/>
      </c>
      <c r="R230" s="75" t="str">
        <f t="shared" si="14"/>
        <v/>
      </c>
      <c r="S230" s="68" t="str">
        <f t="shared" si="15"/>
        <v/>
      </c>
      <c r="T230" s="68" t="str">
        <f>IF(A230="","",IFERROR(VLOOKUP(A230,Clientes_PDV!$A$2:$K$250,11,FALSE),""))</f>
        <v/>
      </c>
    </row>
    <row r="231" spans="1:20" x14ac:dyDescent="0.35">
      <c r="A231" s="80" t="str">
        <f>IF(Clientes_PDV!A231="","",Clientes_PDV!A231)</f>
        <v/>
      </c>
      <c r="B231" s="80" t="str">
        <f>IF(A231="","",IFERROR(VLOOKUP(A231,Clientes_PDV!$A$2:$J$250,2,FALSE),""))</f>
        <v/>
      </c>
      <c r="C231" s="80" t="str">
        <f>IF(A231="","",IFERROR(VLOOKUP(A231,Clientes_PDV!$A$2:$J$250,3,FALSE),""))</f>
        <v/>
      </c>
      <c r="D231" s="80" t="str">
        <f>IF(A231="","",IFERROR(VLOOKUP(A231,Clientes_PDV!$A$2:$J$250,4,FALSE),""))</f>
        <v/>
      </c>
      <c r="E231" s="80" t="str">
        <f>IF(A231="","",IFERROR(VLOOKUP(A231,Clientes_PDV!$A$2:$J$250,7,FALSE),""))</f>
        <v/>
      </c>
      <c r="F231" s="81" t="str">
        <f>IF(A231="","",IFERROR(VLOOKUP(A231,Clientes_PDV!$A$2:$J$250,8,FALSE),""))</f>
        <v/>
      </c>
      <c r="G231" s="80" t="str">
        <f t="shared" ca="1" si="12"/>
        <v/>
      </c>
      <c r="H231" s="80" t="str">
        <f>IF(A231="","",IF(F231="","Sin visita",IF(G231&lt;=IFERROR(VLOOKUP(E231,Inicio!$A$24:$B$26,2,FALSE),0),"Vigente","Atrasado")))</f>
        <v/>
      </c>
      <c r="I231" s="83" t="str">
        <f ca="1">IF(A231="","",SUMIFS(Ventas_SellIn!$L$2:$L$800,Ventas_SellIn!$D$2:$D$800,A231,Ventas_SellIn!$B$2:$B$800,"&gt;="&amp;TODAY()-Inicio!$B$14))</f>
        <v/>
      </c>
      <c r="J231" s="80" t="str">
        <f ca="1">IF(A231="","",SUMIFS(SellOut_Jumbo!$F$2:$F$800,SellOut_Jumbo!$C$2:$C$800,D231,SellOut_Jumbo!$A$2:$A$800,"&gt;="&amp;TODAY()-Inicio!$B$14))</f>
        <v/>
      </c>
      <c r="K231" s="80" t="str">
        <f>IF(A231="","",IF(I231=0,"Sin venta",IF(I231&lt;Inicio!$B$15,"Venta baja","Venta OK")))</f>
        <v/>
      </c>
      <c r="L231" s="80" t="str">
        <f>IF(A231="","",COUNTIFS(Ventas_SellIn!$D$2:$D$800,A231,Ventas_SellIn!$R$2:$R$800,"&gt;0"))</f>
        <v/>
      </c>
      <c r="M231" s="83" t="str">
        <f>IF(A231="","",SUMIFS(Ventas_SellIn!$R$2:$R$800,Ventas_SellIn!$D$2:$D$800,A231))</f>
        <v/>
      </c>
      <c r="N231" s="80" t="str">
        <f>IF(A231="","",IF(M231&gt;=Inicio!$B$18,"Pendiente relevante",IF(M231&gt;0,"Pendiente menor","Sin deuda")))</f>
        <v/>
      </c>
      <c r="O231" s="84" t="str">
        <f>IF(A231="","",SUMIFS(Stock_PDV!$H$2:$H$800,Stock_PDV!$A$2:$A$800,A231))</f>
        <v/>
      </c>
      <c r="P231" s="80" t="str">
        <f>IF(A231="","",IF(O231&lt;=Inicio!$B$16,"Crítico",IF(O231&lt;=Inicio!$B$17,"Observar","OK")))</f>
        <v/>
      </c>
      <c r="Q231" s="80" t="str">
        <f t="shared" si="13"/>
        <v/>
      </c>
      <c r="R231" s="80" t="str">
        <f t="shared" si="14"/>
        <v/>
      </c>
      <c r="S231" s="70" t="str">
        <f t="shared" si="15"/>
        <v/>
      </c>
      <c r="T231" s="70" t="str">
        <f>IF(A231="","",IFERROR(VLOOKUP(A231,Clientes_PDV!$A$2:$K$250,11,FALSE),""))</f>
        <v/>
      </c>
    </row>
    <row r="232" spans="1:20" x14ac:dyDescent="0.35">
      <c r="A232" s="75" t="str">
        <f>IF(Clientes_PDV!A232="","",Clientes_PDV!A232)</f>
        <v/>
      </c>
      <c r="B232" s="75" t="str">
        <f>IF(A232="","",IFERROR(VLOOKUP(A232,Clientes_PDV!$A$2:$J$250,2,FALSE),""))</f>
        <v/>
      </c>
      <c r="C232" s="75" t="str">
        <f>IF(A232="","",IFERROR(VLOOKUP(A232,Clientes_PDV!$A$2:$J$250,3,FALSE),""))</f>
        <v/>
      </c>
      <c r="D232" s="75" t="str">
        <f>IF(A232="","",IFERROR(VLOOKUP(A232,Clientes_PDV!$A$2:$J$250,4,FALSE),""))</f>
        <v/>
      </c>
      <c r="E232" s="75" t="str">
        <f>IF(A232="","",IFERROR(VLOOKUP(A232,Clientes_PDV!$A$2:$J$250,7,FALSE),""))</f>
        <v/>
      </c>
      <c r="F232" s="76" t="str">
        <f>IF(A232="","",IFERROR(VLOOKUP(A232,Clientes_PDV!$A$2:$J$250,8,FALSE),""))</f>
        <v/>
      </c>
      <c r="G232" s="75" t="str">
        <f t="shared" ca="1" si="12"/>
        <v/>
      </c>
      <c r="H232" s="75" t="str">
        <f>IF(A232="","",IF(F232="","Sin visita",IF(G232&lt;=IFERROR(VLOOKUP(E232,Inicio!$A$24:$B$26,2,FALSE),0),"Vigente","Atrasado")))</f>
        <v/>
      </c>
      <c r="I232" s="78" t="str">
        <f ca="1">IF(A232="","",SUMIFS(Ventas_SellIn!$L$2:$L$800,Ventas_SellIn!$D$2:$D$800,A232,Ventas_SellIn!$B$2:$B$800,"&gt;="&amp;TODAY()-Inicio!$B$14))</f>
        <v/>
      </c>
      <c r="J232" s="75" t="str">
        <f ca="1">IF(A232="","",SUMIFS(SellOut_Jumbo!$F$2:$F$800,SellOut_Jumbo!$C$2:$C$800,D232,SellOut_Jumbo!$A$2:$A$800,"&gt;="&amp;TODAY()-Inicio!$B$14))</f>
        <v/>
      </c>
      <c r="K232" s="75" t="str">
        <f>IF(A232="","",IF(I232=0,"Sin venta",IF(I232&lt;Inicio!$B$15,"Venta baja","Venta OK")))</f>
        <v/>
      </c>
      <c r="L232" s="75" t="str">
        <f>IF(A232="","",COUNTIFS(Ventas_SellIn!$D$2:$D$800,A232,Ventas_SellIn!$R$2:$R$800,"&gt;0"))</f>
        <v/>
      </c>
      <c r="M232" s="78" t="str">
        <f>IF(A232="","",SUMIFS(Ventas_SellIn!$R$2:$R$800,Ventas_SellIn!$D$2:$D$800,A232))</f>
        <v/>
      </c>
      <c r="N232" s="75" t="str">
        <f>IF(A232="","",IF(M232&gt;=Inicio!$B$18,"Pendiente relevante",IF(M232&gt;0,"Pendiente menor","Sin deuda")))</f>
        <v/>
      </c>
      <c r="O232" s="79" t="str">
        <f>IF(A232="","",SUMIFS(Stock_PDV!$H$2:$H$800,Stock_PDV!$A$2:$A$800,A232))</f>
        <v/>
      </c>
      <c r="P232" s="75" t="str">
        <f>IF(A232="","",IF(O232&lt;=Inicio!$B$16,"Crítico",IF(O232&lt;=Inicio!$B$17,"Observar","OK")))</f>
        <v/>
      </c>
      <c r="Q232" s="75" t="str">
        <f t="shared" si="13"/>
        <v/>
      </c>
      <c r="R232" s="75" t="str">
        <f t="shared" si="14"/>
        <v/>
      </c>
      <c r="S232" s="68" t="str">
        <f t="shared" si="15"/>
        <v/>
      </c>
      <c r="T232" s="68" t="str">
        <f>IF(A232="","",IFERROR(VLOOKUP(A232,Clientes_PDV!$A$2:$K$250,11,FALSE),""))</f>
        <v/>
      </c>
    </row>
    <row r="233" spans="1:20" x14ac:dyDescent="0.35">
      <c r="A233" s="80" t="str">
        <f>IF(Clientes_PDV!A233="","",Clientes_PDV!A233)</f>
        <v/>
      </c>
      <c r="B233" s="80" t="str">
        <f>IF(A233="","",IFERROR(VLOOKUP(A233,Clientes_PDV!$A$2:$J$250,2,FALSE),""))</f>
        <v/>
      </c>
      <c r="C233" s="80" t="str">
        <f>IF(A233="","",IFERROR(VLOOKUP(A233,Clientes_PDV!$A$2:$J$250,3,FALSE),""))</f>
        <v/>
      </c>
      <c r="D233" s="80" t="str">
        <f>IF(A233="","",IFERROR(VLOOKUP(A233,Clientes_PDV!$A$2:$J$250,4,FALSE),""))</f>
        <v/>
      </c>
      <c r="E233" s="80" t="str">
        <f>IF(A233="","",IFERROR(VLOOKUP(A233,Clientes_PDV!$A$2:$J$250,7,FALSE),""))</f>
        <v/>
      </c>
      <c r="F233" s="81" t="str">
        <f>IF(A233="","",IFERROR(VLOOKUP(A233,Clientes_PDV!$A$2:$J$250,8,FALSE),""))</f>
        <v/>
      </c>
      <c r="G233" s="80" t="str">
        <f t="shared" ca="1" si="12"/>
        <v/>
      </c>
      <c r="H233" s="80" t="str">
        <f>IF(A233="","",IF(F233="","Sin visita",IF(G233&lt;=IFERROR(VLOOKUP(E233,Inicio!$A$24:$B$26,2,FALSE),0),"Vigente","Atrasado")))</f>
        <v/>
      </c>
      <c r="I233" s="83" t="str">
        <f ca="1">IF(A233="","",SUMIFS(Ventas_SellIn!$L$2:$L$800,Ventas_SellIn!$D$2:$D$800,A233,Ventas_SellIn!$B$2:$B$800,"&gt;="&amp;TODAY()-Inicio!$B$14))</f>
        <v/>
      </c>
      <c r="J233" s="80" t="str">
        <f ca="1">IF(A233="","",SUMIFS(SellOut_Jumbo!$F$2:$F$800,SellOut_Jumbo!$C$2:$C$800,D233,SellOut_Jumbo!$A$2:$A$800,"&gt;="&amp;TODAY()-Inicio!$B$14))</f>
        <v/>
      </c>
      <c r="K233" s="80" t="str">
        <f>IF(A233="","",IF(I233=0,"Sin venta",IF(I233&lt;Inicio!$B$15,"Venta baja","Venta OK")))</f>
        <v/>
      </c>
      <c r="L233" s="80" t="str">
        <f>IF(A233="","",COUNTIFS(Ventas_SellIn!$D$2:$D$800,A233,Ventas_SellIn!$R$2:$R$800,"&gt;0"))</f>
        <v/>
      </c>
      <c r="M233" s="83" t="str">
        <f>IF(A233="","",SUMIFS(Ventas_SellIn!$R$2:$R$800,Ventas_SellIn!$D$2:$D$800,A233))</f>
        <v/>
      </c>
      <c r="N233" s="80" t="str">
        <f>IF(A233="","",IF(M233&gt;=Inicio!$B$18,"Pendiente relevante",IF(M233&gt;0,"Pendiente menor","Sin deuda")))</f>
        <v/>
      </c>
      <c r="O233" s="84" t="str">
        <f>IF(A233="","",SUMIFS(Stock_PDV!$H$2:$H$800,Stock_PDV!$A$2:$A$800,A233))</f>
        <v/>
      </c>
      <c r="P233" s="80" t="str">
        <f>IF(A233="","",IF(O233&lt;=Inicio!$B$16,"Crítico",IF(O233&lt;=Inicio!$B$17,"Observar","OK")))</f>
        <v/>
      </c>
      <c r="Q233" s="80" t="str">
        <f t="shared" si="13"/>
        <v/>
      </c>
      <c r="R233" s="80" t="str">
        <f t="shared" si="14"/>
        <v/>
      </c>
      <c r="S233" s="70" t="str">
        <f t="shared" si="15"/>
        <v/>
      </c>
      <c r="T233" s="70" t="str">
        <f>IF(A233="","",IFERROR(VLOOKUP(A233,Clientes_PDV!$A$2:$K$250,11,FALSE),""))</f>
        <v/>
      </c>
    </row>
    <row r="234" spans="1:20" x14ac:dyDescent="0.35">
      <c r="A234" s="75" t="str">
        <f>IF(Clientes_PDV!A234="","",Clientes_PDV!A234)</f>
        <v/>
      </c>
      <c r="B234" s="75" t="str">
        <f>IF(A234="","",IFERROR(VLOOKUP(A234,Clientes_PDV!$A$2:$J$250,2,FALSE),""))</f>
        <v/>
      </c>
      <c r="C234" s="75" t="str">
        <f>IF(A234="","",IFERROR(VLOOKUP(A234,Clientes_PDV!$A$2:$J$250,3,FALSE),""))</f>
        <v/>
      </c>
      <c r="D234" s="75" t="str">
        <f>IF(A234="","",IFERROR(VLOOKUP(A234,Clientes_PDV!$A$2:$J$250,4,FALSE),""))</f>
        <v/>
      </c>
      <c r="E234" s="75" t="str">
        <f>IF(A234="","",IFERROR(VLOOKUP(A234,Clientes_PDV!$A$2:$J$250,7,FALSE),""))</f>
        <v/>
      </c>
      <c r="F234" s="76" t="str">
        <f>IF(A234="","",IFERROR(VLOOKUP(A234,Clientes_PDV!$A$2:$J$250,8,FALSE),""))</f>
        <v/>
      </c>
      <c r="G234" s="75" t="str">
        <f t="shared" ca="1" si="12"/>
        <v/>
      </c>
      <c r="H234" s="75" t="str">
        <f>IF(A234="","",IF(F234="","Sin visita",IF(G234&lt;=IFERROR(VLOOKUP(E234,Inicio!$A$24:$B$26,2,FALSE),0),"Vigente","Atrasado")))</f>
        <v/>
      </c>
      <c r="I234" s="78" t="str">
        <f ca="1">IF(A234="","",SUMIFS(Ventas_SellIn!$L$2:$L$800,Ventas_SellIn!$D$2:$D$800,A234,Ventas_SellIn!$B$2:$B$800,"&gt;="&amp;TODAY()-Inicio!$B$14))</f>
        <v/>
      </c>
      <c r="J234" s="75" t="str">
        <f ca="1">IF(A234="","",SUMIFS(SellOut_Jumbo!$F$2:$F$800,SellOut_Jumbo!$C$2:$C$800,D234,SellOut_Jumbo!$A$2:$A$800,"&gt;="&amp;TODAY()-Inicio!$B$14))</f>
        <v/>
      </c>
      <c r="K234" s="75" t="str">
        <f>IF(A234="","",IF(I234=0,"Sin venta",IF(I234&lt;Inicio!$B$15,"Venta baja","Venta OK")))</f>
        <v/>
      </c>
      <c r="L234" s="75" t="str">
        <f>IF(A234="","",COUNTIFS(Ventas_SellIn!$D$2:$D$800,A234,Ventas_SellIn!$R$2:$R$800,"&gt;0"))</f>
        <v/>
      </c>
      <c r="M234" s="78" t="str">
        <f>IF(A234="","",SUMIFS(Ventas_SellIn!$R$2:$R$800,Ventas_SellIn!$D$2:$D$800,A234))</f>
        <v/>
      </c>
      <c r="N234" s="75" t="str">
        <f>IF(A234="","",IF(M234&gt;=Inicio!$B$18,"Pendiente relevante",IF(M234&gt;0,"Pendiente menor","Sin deuda")))</f>
        <v/>
      </c>
      <c r="O234" s="79" t="str">
        <f>IF(A234="","",SUMIFS(Stock_PDV!$H$2:$H$800,Stock_PDV!$A$2:$A$800,A234))</f>
        <v/>
      </c>
      <c r="P234" s="75" t="str">
        <f>IF(A234="","",IF(O234&lt;=Inicio!$B$16,"Crítico",IF(O234&lt;=Inicio!$B$17,"Observar","OK")))</f>
        <v/>
      </c>
      <c r="Q234" s="75" t="str">
        <f t="shared" si="13"/>
        <v/>
      </c>
      <c r="R234" s="75" t="str">
        <f t="shared" si="14"/>
        <v/>
      </c>
      <c r="S234" s="68" t="str">
        <f t="shared" si="15"/>
        <v/>
      </c>
      <c r="T234" s="68" t="str">
        <f>IF(A234="","",IFERROR(VLOOKUP(A234,Clientes_PDV!$A$2:$K$250,11,FALSE),""))</f>
        <v/>
      </c>
    </row>
    <row r="235" spans="1:20" x14ac:dyDescent="0.35">
      <c r="A235" s="80" t="str">
        <f>IF(Clientes_PDV!A235="","",Clientes_PDV!A235)</f>
        <v/>
      </c>
      <c r="B235" s="80" t="str">
        <f>IF(A235="","",IFERROR(VLOOKUP(A235,Clientes_PDV!$A$2:$J$250,2,FALSE),""))</f>
        <v/>
      </c>
      <c r="C235" s="80" t="str">
        <f>IF(A235="","",IFERROR(VLOOKUP(A235,Clientes_PDV!$A$2:$J$250,3,FALSE),""))</f>
        <v/>
      </c>
      <c r="D235" s="80" t="str">
        <f>IF(A235="","",IFERROR(VLOOKUP(A235,Clientes_PDV!$A$2:$J$250,4,FALSE),""))</f>
        <v/>
      </c>
      <c r="E235" s="80" t="str">
        <f>IF(A235="","",IFERROR(VLOOKUP(A235,Clientes_PDV!$A$2:$J$250,7,FALSE),""))</f>
        <v/>
      </c>
      <c r="F235" s="81" t="str">
        <f>IF(A235="","",IFERROR(VLOOKUP(A235,Clientes_PDV!$A$2:$J$250,8,FALSE),""))</f>
        <v/>
      </c>
      <c r="G235" s="80" t="str">
        <f t="shared" ca="1" si="12"/>
        <v/>
      </c>
      <c r="H235" s="80" t="str">
        <f>IF(A235="","",IF(F235="","Sin visita",IF(G235&lt;=IFERROR(VLOOKUP(E235,Inicio!$A$24:$B$26,2,FALSE),0),"Vigente","Atrasado")))</f>
        <v/>
      </c>
      <c r="I235" s="83" t="str">
        <f ca="1">IF(A235="","",SUMIFS(Ventas_SellIn!$L$2:$L$800,Ventas_SellIn!$D$2:$D$800,A235,Ventas_SellIn!$B$2:$B$800,"&gt;="&amp;TODAY()-Inicio!$B$14))</f>
        <v/>
      </c>
      <c r="J235" s="80" t="str">
        <f ca="1">IF(A235="","",SUMIFS(SellOut_Jumbo!$F$2:$F$800,SellOut_Jumbo!$C$2:$C$800,D235,SellOut_Jumbo!$A$2:$A$800,"&gt;="&amp;TODAY()-Inicio!$B$14))</f>
        <v/>
      </c>
      <c r="K235" s="80" t="str">
        <f>IF(A235="","",IF(I235=0,"Sin venta",IF(I235&lt;Inicio!$B$15,"Venta baja","Venta OK")))</f>
        <v/>
      </c>
      <c r="L235" s="80" t="str">
        <f>IF(A235="","",COUNTIFS(Ventas_SellIn!$D$2:$D$800,A235,Ventas_SellIn!$R$2:$R$800,"&gt;0"))</f>
        <v/>
      </c>
      <c r="M235" s="83" t="str">
        <f>IF(A235="","",SUMIFS(Ventas_SellIn!$R$2:$R$800,Ventas_SellIn!$D$2:$D$800,A235))</f>
        <v/>
      </c>
      <c r="N235" s="80" t="str">
        <f>IF(A235="","",IF(M235&gt;=Inicio!$B$18,"Pendiente relevante",IF(M235&gt;0,"Pendiente menor","Sin deuda")))</f>
        <v/>
      </c>
      <c r="O235" s="84" t="str">
        <f>IF(A235="","",SUMIFS(Stock_PDV!$H$2:$H$800,Stock_PDV!$A$2:$A$800,A235))</f>
        <v/>
      </c>
      <c r="P235" s="80" t="str">
        <f>IF(A235="","",IF(O235&lt;=Inicio!$B$16,"Crítico",IF(O235&lt;=Inicio!$B$17,"Observar","OK")))</f>
        <v/>
      </c>
      <c r="Q235" s="80" t="str">
        <f t="shared" si="13"/>
        <v/>
      </c>
      <c r="R235" s="80" t="str">
        <f t="shared" si="14"/>
        <v/>
      </c>
      <c r="S235" s="70" t="str">
        <f t="shared" si="15"/>
        <v/>
      </c>
      <c r="T235" s="70" t="str">
        <f>IF(A235="","",IFERROR(VLOOKUP(A235,Clientes_PDV!$A$2:$K$250,11,FALSE),""))</f>
        <v/>
      </c>
    </row>
    <row r="236" spans="1:20" x14ac:dyDescent="0.35">
      <c r="A236" s="75" t="str">
        <f>IF(Clientes_PDV!A236="","",Clientes_PDV!A236)</f>
        <v/>
      </c>
      <c r="B236" s="75" t="str">
        <f>IF(A236="","",IFERROR(VLOOKUP(A236,Clientes_PDV!$A$2:$J$250,2,FALSE),""))</f>
        <v/>
      </c>
      <c r="C236" s="75" t="str">
        <f>IF(A236="","",IFERROR(VLOOKUP(A236,Clientes_PDV!$A$2:$J$250,3,FALSE),""))</f>
        <v/>
      </c>
      <c r="D236" s="75" t="str">
        <f>IF(A236="","",IFERROR(VLOOKUP(A236,Clientes_PDV!$A$2:$J$250,4,FALSE),""))</f>
        <v/>
      </c>
      <c r="E236" s="75" t="str">
        <f>IF(A236="","",IFERROR(VLOOKUP(A236,Clientes_PDV!$A$2:$J$250,7,FALSE),""))</f>
        <v/>
      </c>
      <c r="F236" s="76" t="str">
        <f>IF(A236="","",IFERROR(VLOOKUP(A236,Clientes_PDV!$A$2:$J$250,8,FALSE),""))</f>
        <v/>
      </c>
      <c r="G236" s="75" t="str">
        <f t="shared" ca="1" si="12"/>
        <v/>
      </c>
      <c r="H236" s="75" t="str">
        <f>IF(A236="","",IF(F236="","Sin visita",IF(G236&lt;=IFERROR(VLOOKUP(E236,Inicio!$A$24:$B$26,2,FALSE),0),"Vigente","Atrasado")))</f>
        <v/>
      </c>
      <c r="I236" s="78" t="str">
        <f ca="1">IF(A236="","",SUMIFS(Ventas_SellIn!$L$2:$L$800,Ventas_SellIn!$D$2:$D$800,A236,Ventas_SellIn!$B$2:$B$800,"&gt;="&amp;TODAY()-Inicio!$B$14))</f>
        <v/>
      </c>
      <c r="J236" s="75" t="str">
        <f ca="1">IF(A236="","",SUMIFS(SellOut_Jumbo!$F$2:$F$800,SellOut_Jumbo!$C$2:$C$800,D236,SellOut_Jumbo!$A$2:$A$800,"&gt;="&amp;TODAY()-Inicio!$B$14))</f>
        <v/>
      </c>
      <c r="K236" s="75" t="str">
        <f>IF(A236="","",IF(I236=0,"Sin venta",IF(I236&lt;Inicio!$B$15,"Venta baja","Venta OK")))</f>
        <v/>
      </c>
      <c r="L236" s="75" t="str">
        <f>IF(A236="","",COUNTIFS(Ventas_SellIn!$D$2:$D$800,A236,Ventas_SellIn!$R$2:$R$800,"&gt;0"))</f>
        <v/>
      </c>
      <c r="M236" s="78" t="str">
        <f>IF(A236="","",SUMIFS(Ventas_SellIn!$R$2:$R$800,Ventas_SellIn!$D$2:$D$800,A236))</f>
        <v/>
      </c>
      <c r="N236" s="75" t="str">
        <f>IF(A236="","",IF(M236&gt;=Inicio!$B$18,"Pendiente relevante",IF(M236&gt;0,"Pendiente menor","Sin deuda")))</f>
        <v/>
      </c>
      <c r="O236" s="79" t="str">
        <f>IF(A236="","",SUMIFS(Stock_PDV!$H$2:$H$800,Stock_PDV!$A$2:$A$800,A236))</f>
        <v/>
      </c>
      <c r="P236" s="75" t="str">
        <f>IF(A236="","",IF(O236&lt;=Inicio!$B$16,"Crítico",IF(O236&lt;=Inicio!$B$17,"Observar","OK")))</f>
        <v/>
      </c>
      <c r="Q236" s="75" t="str">
        <f t="shared" si="13"/>
        <v/>
      </c>
      <c r="R236" s="75" t="str">
        <f t="shared" si="14"/>
        <v/>
      </c>
      <c r="S236" s="68" t="str">
        <f t="shared" si="15"/>
        <v/>
      </c>
      <c r="T236" s="68" t="str">
        <f>IF(A236="","",IFERROR(VLOOKUP(A236,Clientes_PDV!$A$2:$K$250,11,FALSE),""))</f>
        <v/>
      </c>
    </row>
    <row r="237" spans="1:20" x14ac:dyDescent="0.35">
      <c r="A237" s="80" t="str">
        <f>IF(Clientes_PDV!A237="","",Clientes_PDV!A237)</f>
        <v/>
      </c>
      <c r="B237" s="80" t="str">
        <f>IF(A237="","",IFERROR(VLOOKUP(A237,Clientes_PDV!$A$2:$J$250,2,FALSE),""))</f>
        <v/>
      </c>
      <c r="C237" s="80" t="str">
        <f>IF(A237="","",IFERROR(VLOOKUP(A237,Clientes_PDV!$A$2:$J$250,3,FALSE),""))</f>
        <v/>
      </c>
      <c r="D237" s="80" t="str">
        <f>IF(A237="","",IFERROR(VLOOKUP(A237,Clientes_PDV!$A$2:$J$250,4,FALSE),""))</f>
        <v/>
      </c>
      <c r="E237" s="80" t="str">
        <f>IF(A237="","",IFERROR(VLOOKUP(A237,Clientes_PDV!$A$2:$J$250,7,FALSE),""))</f>
        <v/>
      </c>
      <c r="F237" s="81" t="str">
        <f>IF(A237="","",IFERROR(VLOOKUP(A237,Clientes_PDV!$A$2:$J$250,8,FALSE),""))</f>
        <v/>
      </c>
      <c r="G237" s="80" t="str">
        <f t="shared" ca="1" si="12"/>
        <v/>
      </c>
      <c r="H237" s="80" t="str">
        <f>IF(A237="","",IF(F237="","Sin visita",IF(G237&lt;=IFERROR(VLOOKUP(E237,Inicio!$A$24:$B$26,2,FALSE),0),"Vigente","Atrasado")))</f>
        <v/>
      </c>
      <c r="I237" s="83" t="str">
        <f ca="1">IF(A237="","",SUMIFS(Ventas_SellIn!$L$2:$L$800,Ventas_SellIn!$D$2:$D$800,A237,Ventas_SellIn!$B$2:$B$800,"&gt;="&amp;TODAY()-Inicio!$B$14))</f>
        <v/>
      </c>
      <c r="J237" s="80" t="str">
        <f ca="1">IF(A237="","",SUMIFS(SellOut_Jumbo!$F$2:$F$800,SellOut_Jumbo!$C$2:$C$800,D237,SellOut_Jumbo!$A$2:$A$800,"&gt;="&amp;TODAY()-Inicio!$B$14))</f>
        <v/>
      </c>
      <c r="K237" s="80" t="str">
        <f>IF(A237="","",IF(I237=0,"Sin venta",IF(I237&lt;Inicio!$B$15,"Venta baja","Venta OK")))</f>
        <v/>
      </c>
      <c r="L237" s="80" t="str">
        <f>IF(A237="","",COUNTIFS(Ventas_SellIn!$D$2:$D$800,A237,Ventas_SellIn!$R$2:$R$800,"&gt;0"))</f>
        <v/>
      </c>
      <c r="M237" s="83" t="str">
        <f>IF(A237="","",SUMIFS(Ventas_SellIn!$R$2:$R$800,Ventas_SellIn!$D$2:$D$800,A237))</f>
        <v/>
      </c>
      <c r="N237" s="80" t="str">
        <f>IF(A237="","",IF(M237&gt;=Inicio!$B$18,"Pendiente relevante",IF(M237&gt;0,"Pendiente menor","Sin deuda")))</f>
        <v/>
      </c>
      <c r="O237" s="84" t="str">
        <f>IF(A237="","",SUMIFS(Stock_PDV!$H$2:$H$800,Stock_PDV!$A$2:$A$800,A237))</f>
        <v/>
      </c>
      <c r="P237" s="80" t="str">
        <f>IF(A237="","",IF(O237&lt;=Inicio!$B$16,"Crítico",IF(O237&lt;=Inicio!$B$17,"Observar","OK")))</f>
        <v/>
      </c>
      <c r="Q237" s="80" t="str">
        <f t="shared" si="13"/>
        <v/>
      </c>
      <c r="R237" s="80" t="str">
        <f t="shared" si="14"/>
        <v/>
      </c>
      <c r="S237" s="70" t="str">
        <f t="shared" si="15"/>
        <v/>
      </c>
      <c r="T237" s="70" t="str">
        <f>IF(A237="","",IFERROR(VLOOKUP(A237,Clientes_PDV!$A$2:$K$250,11,FALSE),""))</f>
        <v/>
      </c>
    </row>
    <row r="238" spans="1:20" x14ac:dyDescent="0.35">
      <c r="A238" s="75" t="str">
        <f>IF(Clientes_PDV!A238="","",Clientes_PDV!A238)</f>
        <v/>
      </c>
      <c r="B238" s="75" t="str">
        <f>IF(A238="","",IFERROR(VLOOKUP(A238,Clientes_PDV!$A$2:$J$250,2,FALSE),""))</f>
        <v/>
      </c>
      <c r="C238" s="75" t="str">
        <f>IF(A238="","",IFERROR(VLOOKUP(A238,Clientes_PDV!$A$2:$J$250,3,FALSE),""))</f>
        <v/>
      </c>
      <c r="D238" s="75" t="str">
        <f>IF(A238="","",IFERROR(VLOOKUP(A238,Clientes_PDV!$A$2:$J$250,4,FALSE),""))</f>
        <v/>
      </c>
      <c r="E238" s="75" t="str">
        <f>IF(A238="","",IFERROR(VLOOKUP(A238,Clientes_PDV!$A$2:$J$250,7,FALSE),""))</f>
        <v/>
      </c>
      <c r="F238" s="76" t="str">
        <f>IF(A238="","",IFERROR(VLOOKUP(A238,Clientes_PDV!$A$2:$J$250,8,FALSE),""))</f>
        <v/>
      </c>
      <c r="G238" s="75" t="str">
        <f t="shared" ca="1" si="12"/>
        <v/>
      </c>
      <c r="H238" s="75" t="str">
        <f>IF(A238="","",IF(F238="","Sin visita",IF(G238&lt;=IFERROR(VLOOKUP(E238,Inicio!$A$24:$B$26,2,FALSE),0),"Vigente","Atrasado")))</f>
        <v/>
      </c>
      <c r="I238" s="78" t="str">
        <f ca="1">IF(A238="","",SUMIFS(Ventas_SellIn!$L$2:$L$800,Ventas_SellIn!$D$2:$D$800,A238,Ventas_SellIn!$B$2:$B$800,"&gt;="&amp;TODAY()-Inicio!$B$14))</f>
        <v/>
      </c>
      <c r="J238" s="75" t="str">
        <f ca="1">IF(A238="","",SUMIFS(SellOut_Jumbo!$F$2:$F$800,SellOut_Jumbo!$C$2:$C$800,D238,SellOut_Jumbo!$A$2:$A$800,"&gt;="&amp;TODAY()-Inicio!$B$14))</f>
        <v/>
      </c>
      <c r="K238" s="75" t="str">
        <f>IF(A238="","",IF(I238=0,"Sin venta",IF(I238&lt;Inicio!$B$15,"Venta baja","Venta OK")))</f>
        <v/>
      </c>
      <c r="L238" s="75" t="str">
        <f>IF(A238="","",COUNTIFS(Ventas_SellIn!$D$2:$D$800,A238,Ventas_SellIn!$R$2:$R$800,"&gt;0"))</f>
        <v/>
      </c>
      <c r="M238" s="78" t="str">
        <f>IF(A238="","",SUMIFS(Ventas_SellIn!$R$2:$R$800,Ventas_SellIn!$D$2:$D$800,A238))</f>
        <v/>
      </c>
      <c r="N238" s="75" t="str">
        <f>IF(A238="","",IF(M238&gt;=Inicio!$B$18,"Pendiente relevante",IF(M238&gt;0,"Pendiente menor","Sin deuda")))</f>
        <v/>
      </c>
      <c r="O238" s="79" t="str">
        <f>IF(A238="","",SUMIFS(Stock_PDV!$H$2:$H$800,Stock_PDV!$A$2:$A$800,A238))</f>
        <v/>
      </c>
      <c r="P238" s="75" t="str">
        <f>IF(A238="","",IF(O238&lt;=Inicio!$B$16,"Crítico",IF(O238&lt;=Inicio!$B$17,"Observar","OK")))</f>
        <v/>
      </c>
      <c r="Q238" s="75" t="str">
        <f t="shared" si="13"/>
        <v/>
      </c>
      <c r="R238" s="75" t="str">
        <f t="shared" si="14"/>
        <v/>
      </c>
      <c r="S238" s="68" t="str">
        <f t="shared" si="15"/>
        <v/>
      </c>
      <c r="T238" s="68" t="str">
        <f>IF(A238="","",IFERROR(VLOOKUP(A238,Clientes_PDV!$A$2:$K$250,11,FALSE),""))</f>
        <v/>
      </c>
    </row>
    <row r="239" spans="1:20" x14ac:dyDescent="0.35">
      <c r="A239" s="80" t="str">
        <f>IF(Clientes_PDV!A239="","",Clientes_PDV!A239)</f>
        <v/>
      </c>
      <c r="B239" s="80" t="str">
        <f>IF(A239="","",IFERROR(VLOOKUP(A239,Clientes_PDV!$A$2:$J$250,2,FALSE),""))</f>
        <v/>
      </c>
      <c r="C239" s="80" t="str">
        <f>IF(A239="","",IFERROR(VLOOKUP(A239,Clientes_PDV!$A$2:$J$250,3,FALSE),""))</f>
        <v/>
      </c>
      <c r="D239" s="80" t="str">
        <f>IF(A239="","",IFERROR(VLOOKUP(A239,Clientes_PDV!$A$2:$J$250,4,FALSE),""))</f>
        <v/>
      </c>
      <c r="E239" s="80" t="str">
        <f>IF(A239="","",IFERROR(VLOOKUP(A239,Clientes_PDV!$A$2:$J$250,7,FALSE),""))</f>
        <v/>
      </c>
      <c r="F239" s="81" t="str">
        <f>IF(A239="","",IFERROR(VLOOKUP(A239,Clientes_PDV!$A$2:$J$250,8,FALSE),""))</f>
        <v/>
      </c>
      <c r="G239" s="80" t="str">
        <f t="shared" ca="1" si="12"/>
        <v/>
      </c>
      <c r="H239" s="80" t="str">
        <f>IF(A239="","",IF(F239="","Sin visita",IF(G239&lt;=IFERROR(VLOOKUP(E239,Inicio!$A$24:$B$26,2,FALSE),0),"Vigente","Atrasado")))</f>
        <v/>
      </c>
      <c r="I239" s="83" t="str">
        <f ca="1">IF(A239="","",SUMIFS(Ventas_SellIn!$L$2:$L$800,Ventas_SellIn!$D$2:$D$800,A239,Ventas_SellIn!$B$2:$B$800,"&gt;="&amp;TODAY()-Inicio!$B$14))</f>
        <v/>
      </c>
      <c r="J239" s="80" t="str">
        <f ca="1">IF(A239="","",SUMIFS(SellOut_Jumbo!$F$2:$F$800,SellOut_Jumbo!$C$2:$C$800,D239,SellOut_Jumbo!$A$2:$A$800,"&gt;="&amp;TODAY()-Inicio!$B$14))</f>
        <v/>
      </c>
      <c r="K239" s="80" t="str">
        <f>IF(A239="","",IF(I239=0,"Sin venta",IF(I239&lt;Inicio!$B$15,"Venta baja","Venta OK")))</f>
        <v/>
      </c>
      <c r="L239" s="80" t="str">
        <f>IF(A239="","",COUNTIFS(Ventas_SellIn!$D$2:$D$800,A239,Ventas_SellIn!$R$2:$R$800,"&gt;0"))</f>
        <v/>
      </c>
      <c r="M239" s="83" t="str">
        <f>IF(A239="","",SUMIFS(Ventas_SellIn!$R$2:$R$800,Ventas_SellIn!$D$2:$D$800,A239))</f>
        <v/>
      </c>
      <c r="N239" s="80" t="str">
        <f>IF(A239="","",IF(M239&gt;=Inicio!$B$18,"Pendiente relevante",IF(M239&gt;0,"Pendiente menor","Sin deuda")))</f>
        <v/>
      </c>
      <c r="O239" s="84" t="str">
        <f>IF(A239="","",SUMIFS(Stock_PDV!$H$2:$H$800,Stock_PDV!$A$2:$A$800,A239))</f>
        <v/>
      </c>
      <c r="P239" s="80" t="str">
        <f>IF(A239="","",IF(O239&lt;=Inicio!$B$16,"Crítico",IF(O239&lt;=Inicio!$B$17,"Observar","OK")))</f>
        <v/>
      </c>
      <c r="Q239" s="80" t="str">
        <f t="shared" si="13"/>
        <v/>
      </c>
      <c r="R239" s="80" t="str">
        <f t="shared" si="14"/>
        <v/>
      </c>
      <c r="S239" s="70" t="str">
        <f t="shared" si="15"/>
        <v/>
      </c>
      <c r="T239" s="70" t="str">
        <f>IF(A239="","",IFERROR(VLOOKUP(A239,Clientes_PDV!$A$2:$K$250,11,FALSE),""))</f>
        <v/>
      </c>
    </row>
    <row r="240" spans="1:20" x14ac:dyDescent="0.35">
      <c r="A240" s="75" t="str">
        <f>IF(Clientes_PDV!A240="","",Clientes_PDV!A240)</f>
        <v/>
      </c>
      <c r="B240" s="75" t="str">
        <f>IF(A240="","",IFERROR(VLOOKUP(A240,Clientes_PDV!$A$2:$J$250,2,FALSE),""))</f>
        <v/>
      </c>
      <c r="C240" s="75" t="str">
        <f>IF(A240="","",IFERROR(VLOOKUP(A240,Clientes_PDV!$A$2:$J$250,3,FALSE),""))</f>
        <v/>
      </c>
      <c r="D240" s="75" t="str">
        <f>IF(A240="","",IFERROR(VLOOKUP(A240,Clientes_PDV!$A$2:$J$250,4,FALSE),""))</f>
        <v/>
      </c>
      <c r="E240" s="75" t="str">
        <f>IF(A240="","",IFERROR(VLOOKUP(A240,Clientes_PDV!$A$2:$J$250,7,FALSE),""))</f>
        <v/>
      </c>
      <c r="F240" s="76" t="str">
        <f>IF(A240="","",IFERROR(VLOOKUP(A240,Clientes_PDV!$A$2:$J$250,8,FALSE),""))</f>
        <v/>
      </c>
      <c r="G240" s="75" t="str">
        <f t="shared" ca="1" si="12"/>
        <v/>
      </c>
      <c r="H240" s="75" t="str">
        <f>IF(A240="","",IF(F240="","Sin visita",IF(G240&lt;=IFERROR(VLOOKUP(E240,Inicio!$A$24:$B$26,2,FALSE),0),"Vigente","Atrasado")))</f>
        <v/>
      </c>
      <c r="I240" s="78" t="str">
        <f ca="1">IF(A240="","",SUMIFS(Ventas_SellIn!$L$2:$L$800,Ventas_SellIn!$D$2:$D$800,A240,Ventas_SellIn!$B$2:$B$800,"&gt;="&amp;TODAY()-Inicio!$B$14))</f>
        <v/>
      </c>
      <c r="J240" s="75" t="str">
        <f ca="1">IF(A240="","",SUMIFS(SellOut_Jumbo!$F$2:$F$800,SellOut_Jumbo!$C$2:$C$800,D240,SellOut_Jumbo!$A$2:$A$800,"&gt;="&amp;TODAY()-Inicio!$B$14))</f>
        <v/>
      </c>
      <c r="K240" s="75" t="str">
        <f>IF(A240="","",IF(I240=0,"Sin venta",IF(I240&lt;Inicio!$B$15,"Venta baja","Venta OK")))</f>
        <v/>
      </c>
      <c r="L240" s="75" t="str">
        <f>IF(A240="","",COUNTIFS(Ventas_SellIn!$D$2:$D$800,A240,Ventas_SellIn!$R$2:$R$800,"&gt;0"))</f>
        <v/>
      </c>
      <c r="M240" s="78" t="str">
        <f>IF(A240="","",SUMIFS(Ventas_SellIn!$R$2:$R$800,Ventas_SellIn!$D$2:$D$800,A240))</f>
        <v/>
      </c>
      <c r="N240" s="75" t="str">
        <f>IF(A240="","",IF(M240&gt;=Inicio!$B$18,"Pendiente relevante",IF(M240&gt;0,"Pendiente menor","Sin deuda")))</f>
        <v/>
      </c>
      <c r="O240" s="79" t="str">
        <f>IF(A240="","",SUMIFS(Stock_PDV!$H$2:$H$800,Stock_PDV!$A$2:$A$800,A240))</f>
        <v/>
      </c>
      <c r="P240" s="75" t="str">
        <f>IF(A240="","",IF(O240&lt;=Inicio!$B$16,"Crítico",IF(O240&lt;=Inicio!$B$17,"Observar","OK")))</f>
        <v/>
      </c>
      <c r="Q240" s="75" t="str">
        <f t="shared" si="13"/>
        <v/>
      </c>
      <c r="R240" s="75" t="str">
        <f t="shared" si="14"/>
        <v/>
      </c>
      <c r="S240" s="68" t="str">
        <f t="shared" si="15"/>
        <v/>
      </c>
      <c r="T240" s="68" t="str">
        <f>IF(A240="","",IFERROR(VLOOKUP(A240,Clientes_PDV!$A$2:$K$250,11,FALSE),""))</f>
        <v/>
      </c>
    </row>
    <row r="241" spans="1:20" x14ac:dyDescent="0.35">
      <c r="A241" s="80" t="str">
        <f>IF(Clientes_PDV!A241="","",Clientes_PDV!A241)</f>
        <v/>
      </c>
      <c r="B241" s="80" t="str">
        <f>IF(A241="","",IFERROR(VLOOKUP(A241,Clientes_PDV!$A$2:$J$250,2,FALSE),""))</f>
        <v/>
      </c>
      <c r="C241" s="80" t="str">
        <f>IF(A241="","",IFERROR(VLOOKUP(A241,Clientes_PDV!$A$2:$J$250,3,FALSE),""))</f>
        <v/>
      </c>
      <c r="D241" s="80" t="str">
        <f>IF(A241="","",IFERROR(VLOOKUP(A241,Clientes_PDV!$A$2:$J$250,4,FALSE),""))</f>
        <v/>
      </c>
      <c r="E241" s="80" t="str">
        <f>IF(A241="","",IFERROR(VLOOKUP(A241,Clientes_PDV!$A$2:$J$250,7,FALSE),""))</f>
        <v/>
      </c>
      <c r="F241" s="81" t="str">
        <f>IF(A241="","",IFERROR(VLOOKUP(A241,Clientes_PDV!$A$2:$J$250,8,FALSE),""))</f>
        <v/>
      </c>
      <c r="G241" s="80" t="str">
        <f t="shared" ca="1" si="12"/>
        <v/>
      </c>
      <c r="H241" s="80" t="str">
        <f>IF(A241="","",IF(F241="","Sin visita",IF(G241&lt;=IFERROR(VLOOKUP(E241,Inicio!$A$24:$B$26,2,FALSE),0),"Vigente","Atrasado")))</f>
        <v/>
      </c>
      <c r="I241" s="83" t="str">
        <f ca="1">IF(A241="","",SUMIFS(Ventas_SellIn!$L$2:$L$800,Ventas_SellIn!$D$2:$D$800,A241,Ventas_SellIn!$B$2:$B$800,"&gt;="&amp;TODAY()-Inicio!$B$14))</f>
        <v/>
      </c>
      <c r="J241" s="80" t="str">
        <f ca="1">IF(A241="","",SUMIFS(SellOut_Jumbo!$F$2:$F$800,SellOut_Jumbo!$C$2:$C$800,D241,SellOut_Jumbo!$A$2:$A$800,"&gt;="&amp;TODAY()-Inicio!$B$14))</f>
        <v/>
      </c>
      <c r="K241" s="80" t="str">
        <f>IF(A241="","",IF(I241=0,"Sin venta",IF(I241&lt;Inicio!$B$15,"Venta baja","Venta OK")))</f>
        <v/>
      </c>
      <c r="L241" s="80" t="str">
        <f>IF(A241="","",COUNTIFS(Ventas_SellIn!$D$2:$D$800,A241,Ventas_SellIn!$R$2:$R$800,"&gt;0"))</f>
        <v/>
      </c>
      <c r="M241" s="83" t="str">
        <f>IF(A241="","",SUMIFS(Ventas_SellIn!$R$2:$R$800,Ventas_SellIn!$D$2:$D$800,A241))</f>
        <v/>
      </c>
      <c r="N241" s="80" t="str">
        <f>IF(A241="","",IF(M241&gt;=Inicio!$B$18,"Pendiente relevante",IF(M241&gt;0,"Pendiente menor","Sin deuda")))</f>
        <v/>
      </c>
      <c r="O241" s="84" t="str">
        <f>IF(A241="","",SUMIFS(Stock_PDV!$H$2:$H$800,Stock_PDV!$A$2:$A$800,A241))</f>
        <v/>
      </c>
      <c r="P241" s="80" t="str">
        <f>IF(A241="","",IF(O241&lt;=Inicio!$B$16,"Crítico",IF(O241&lt;=Inicio!$B$17,"Observar","OK")))</f>
        <v/>
      </c>
      <c r="Q241" s="80" t="str">
        <f t="shared" si="13"/>
        <v/>
      </c>
      <c r="R241" s="80" t="str">
        <f t="shared" si="14"/>
        <v/>
      </c>
      <c r="S241" s="70" t="str">
        <f t="shared" si="15"/>
        <v/>
      </c>
      <c r="T241" s="70" t="str">
        <f>IF(A241="","",IFERROR(VLOOKUP(A241,Clientes_PDV!$A$2:$K$250,11,FALSE),""))</f>
        <v/>
      </c>
    </row>
    <row r="242" spans="1:20" x14ac:dyDescent="0.35">
      <c r="A242" s="75" t="str">
        <f>IF(Clientes_PDV!A242="","",Clientes_PDV!A242)</f>
        <v/>
      </c>
      <c r="B242" s="75" t="str">
        <f>IF(A242="","",IFERROR(VLOOKUP(A242,Clientes_PDV!$A$2:$J$250,2,FALSE),""))</f>
        <v/>
      </c>
      <c r="C242" s="75" t="str">
        <f>IF(A242="","",IFERROR(VLOOKUP(A242,Clientes_PDV!$A$2:$J$250,3,FALSE),""))</f>
        <v/>
      </c>
      <c r="D242" s="75" t="str">
        <f>IF(A242="","",IFERROR(VLOOKUP(A242,Clientes_PDV!$A$2:$J$250,4,FALSE),""))</f>
        <v/>
      </c>
      <c r="E242" s="75" t="str">
        <f>IF(A242="","",IFERROR(VLOOKUP(A242,Clientes_PDV!$A$2:$J$250,7,FALSE),""))</f>
        <v/>
      </c>
      <c r="F242" s="76" t="str">
        <f>IF(A242="","",IFERROR(VLOOKUP(A242,Clientes_PDV!$A$2:$J$250,8,FALSE),""))</f>
        <v/>
      </c>
      <c r="G242" s="75" t="str">
        <f t="shared" ca="1" si="12"/>
        <v/>
      </c>
      <c r="H242" s="75" t="str">
        <f>IF(A242="","",IF(F242="","Sin visita",IF(G242&lt;=IFERROR(VLOOKUP(E242,Inicio!$A$24:$B$26,2,FALSE),0),"Vigente","Atrasado")))</f>
        <v/>
      </c>
      <c r="I242" s="78" t="str">
        <f ca="1">IF(A242="","",SUMIFS(Ventas_SellIn!$L$2:$L$800,Ventas_SellIn!$D$2:$D$800,A242,Ventas_SellIn!$B$2:$B$800,"&gt;="&amp;TODAY()-Inicio!$B$14))</f>
        <v/>
      </c>
      <c r="J242" s="75" t="str">
        <f ca="1">IF(A242="","",SUMIFS(SellOut_Jumbo!$F$2:$F$800,SellOut_Jumbo!$C$2:$C$800,D242,SellOut_Jumbo!$A$2:$A$800,"&gt;="&amp;TODAY()-Inicio!$B$14))</f>
        <v/>
      </c>
      <c r="K242" s="75" t="str">
        <f>IF(A242="","",IF(I242=0,"Sin venta",IF(I242&lt;Inicio!$B$15,"Venta baja","Venta OK")))</f>
        <v/>
      </c>
      <c r="L242" s="75" t="str">
        <f>IF(A242="","",COUNTIFS(Ventas_SellIn!$D$2:$D$800,A242,Ventas_SellIn!$R$2:$R$800,"&gt;0"))</f>
        <v/>
      </c>
      <c r="M242" s="78" t="str">
        <f>IF(A242="","",SUMIFS(Ventas_SellIn!$R$2:$R$800,Ventas_SellIn!$D$2:$D$800,A242))</f>
        <v/>
      </c>
      <c r="N242" s="75" t="str">
        <f>IF(A242="","",IF(M242&gt;=Inicio!$B$18,"Pendiente relevante",IF(M242&gt;0,"Pendiente menor","Sin deuda")))</f>
        <v/>
      </c>
      <c r="O242" s="79" t="str">
        <f>IF(A242="","",SUMIFS(Stock_PDV!$H$2:$H$800,Stock_PDV!$A$2:$A$800,A242))</f>
        <v/>
      </c>
      <c r="P242" s="75" t="str">
        <f>IF(A242="","",IF(O242&lt;=Inicio!$B$16,"Crítico",IF(O242&lt;=Inicio!$B$17,"Observar","OK")))</f>
        <v/>
      </c>
      <c r="Q242" s="75" t="str">
        <f t="shared" si="13"/>
        <v/>
      </c>
      <c r="R242" s="75" t="str">
        <f t="shared" si="14"/>
        <v/>
      </c>
      <c r="S242" s="68" t="str">
        <f t="shared" si="15"/>
        <v/>
      </c>
      <c r="T242" s="68" t="str">
        <f>IF(A242="","",IFERROR(VLOOKUP(A242,Clientes_PDV!$A$2:$K$250,11,FALSE),""))</f>
        <v/>
      </c>
    </row>
    <row r="243" spans="1:20" x14ac:dyDescent="0.35">
      <c r="A243" s="80" t="str">
        <f>IF(Clientes_PDV!A243="","",Clientes_PDV!A243)</f>
        <v/>
      </c>
      <c r="B243" s="80" t="str">
        <f>IF(A243="","",IFERROR(VLOOKUP(A243,Clientes_PDV!$A$2:$J$250,2,FALSE),""))</f>
        <v/>
      </c>
      <c r="C243" s="80" t="str">
        <f>IF(A243="","",IFERROR(VLOOKUP(A243,Clientes_PDV!$A$2:$J$250,3,FALSE),""))</f>
        <v/>
      </c>
      <c r="D243" s="80" t="str">
        <f>IF(A243="","",IFERROR(VLOOKUP(A243,Clientes_PDV!$A$2:$J$250,4,FALSE),""))</f>
        <v/>
      </c>
      <c r="E243" s="80" t="str">
        <f>IF(A243="","",IFERROR(VLOOKUP(A243,Clientes_PDV!$A$2:$J$250,7,FALSE),""))</f>
        <v/>
      </c>
      <c r="F243" s="81" t="str">
        <f>IF(A243="","",IFERROR(VLOOKUP(A243,Clientes_PDV!$A$2:$J$250,8,FALSE),""))</f>
        <v/>
      </c>
      <c r="G243" s="80" t="str">
        <f t="shared" ca="1" si="12"/>
        <v/>
      </c>
      <c r="H243" s="80" t="str">
        <f>IF(A243="","",IF(F243="","Sin visita",IF(G243&lt;=IFERROR(VLOOKUP(E243,Inicio!$A$24:$B$26,2,FALSE),0),"Vigente","Atrasado")))</f>
        <v/>
      </c>
      <c r="I243" s="83" t="str">
        <f ca="1">IF(A243="","",SUMIFS(Ventas_SellIn!$L$2:$L$800,Ventas_SellIn!$D$2:$D$800,A243,Ventas_SellIn!$B$2:$B$800,"&gt;="&amp;TODAY()-Inicio!$B$14))</f>
        <v/>
      </c>
      <c r="J243" s="80" t="str">
        <f ca="1">IF(A243="","",SUMIFS(SellOut_Jumbo!$F$2:$F$800,SellOut_Jumbo!$C$2:$C$800,D243,SellOut_Jumbo!$A$2:$A$800,"&gt;="&amp;TODAY()-Inicio!$B$14))</f>
        <v/>
      </c>
      <c r="K243" s="80" t="str">
        <f>IF(A243="","",IF(I243=0,"Sin venta",IF(I243&lt;Inicio!$B$15,"Venta baja","Venta OK")))</f>
        <v/>
      </c>
      <c r="L243" s="80" t="str">
        <f>IF(A243="","",COUNTIFS(Ventas_SellIn!$D$2:$D$800,A243,Ventas_SellIn!$R$2:$R$800,"&gt;0"))</f>
        <v/>
      </c>
      <c r="M243" s="83" t="str">
        <f>IF(A243="","",SUMIFS(Ventas_SellIn!$R$2:$R$800,Ventas_SellIn!$D$2:$D$800,A243))</f>
        <v/>
      </c>
      <c r="N243" s="80" t="str">
        <f>IF(A243="","",IF(M243&gt;=Inicio!$B$18,"Pendiente relevante",IF(M243&gt;0,"Pendiente menor","Sin deuda")))</f>
        <v/>
      </c>
      <c r="O243" s="84" t="str">
        <f>IF(A243="","",SUMIFS(Stock_PDV!$H$2:$H$800,Stock_PDV!$A$2:$A$800,A243))</f>
        <v/>
      </c>
      <c r="P243" s="80" t="str">
        <f>IF(A243="","",IF(O243&lt;=Inicio!$B$16,"Crítico",IF(O243&lt;=Inicio!$B$17,"Observar","OK")))</f>
        <v/>
      </c>
      <c r="Q243" s="80" t="str">
        <f t="shared" si="13"/>
        <v/>
      </c>
      <c r="R243" s="80" t="str">
        <f t="shared" si="14"/>
        <v/>
      </c>
      <c r="S243" s="70" t="str">
        <f t="shared" si="15"/>
        <v/>
      </c>
      <c r="T243" s="70" t="str">
        <f>IF(A243="","",IFERROR(VLOOKUP(A243,Clientes_PDV!$A$2:$K$250,11,FALSE),""))</f>
        <v/>
      </c>
    </row>
    <row r="244" spans="1:20" x14ac:dyDescent="0.35">
      <c r="A244" s="75" t="str">
        <f>IF(Clientes_PDV!A244="","",Clientes_PDV!A244)</f>
        <v/>
      </c>
      <c r="B244" s="75" t="str">
        <f>IF(A244="","",IFERROR(VLOOKUP(A244,Clientes_PDV!$A$2:$J$250,2,FALSE),""))</f>
        <v/>
      </c>
      <c r="C244" s="75" t="str">
        <f>IF(A244="","",IFERROR(VLOOKUP(A244,Clientes_PDV!$A$2:$J$250,3,FALSE),""))</f>
        <v/>
      </c>
      <c r="D244" s="75" t="str">
        <f>IF(A244="","",IFERROR(VLOOKUP(A244,Clientes_PDV!$A$2:$J$250,4,FALSE),""))</f>
        <v/>
      </c>
      <c r="E244" s="75" t="str">
        <f>IF(A244="","",IFERROR(VLOOKUP(A244,Clientes_PDV!$A$2:$J$250,7,FALSE),""))</f>
        <v/>
      </c>
      <c r="F244" s="76" t="str">
        <f>IF(A244="","",IFERROR(VLOOKUP(A244,Clientes_PDV!$A$2:$J$250,8,FALSE),""))</f>
        <v/>
      </c>
      <c r="G244" s="75" t="str">
        <f t="shared" ca="1" si="12"/>
        <v/>
      </c>
      <c r="H244" s="75" t="str">
        <f>IF(A244="","",IF(F244="","Sin visita",IF(G244&lt;=IFERROR(VLOOKUP(E244,Inicio!$A$24:$B$26,2,FALSE),0),"Vigente","Atrasado")))</f>
        <v/>
      </c>
      <c r="I244" s="78" t="str">
        <f ca="1">IF(A244="","",SUMIFS(Ventas_SellIn!$L$2:$L$800,Ventas_SellIn!$D$2:$D$800,A244,Ventas_SellIn!$B$2:$B$800,"&gt;="&amp;TODAY()-Inicio!$B$14))</f>
        <v/>
      </c>
      <c r="J244" s="75" t="str">
        <f ca="1">IF(A244="","",SUMIFS(SellOut_Jumbo!$F$2:$F$800,SellOut_Jumbo!$C$2:$C$800,D244,SellOut_Jumbo!$A$2:$A$800,"&gt;="&amp;TODAY()-Inicio!$B$14))</f>
        <v/>
      </c>
      <c r="K244" s="75" t="str">
        <f>IF(A244="","",IF(I244=0,"Sin venta",IF(I244&lt;Inicio!$B$15,"Venta baja","Venta OK")))</f>
        <v/>
      </c>
      <c r="L244" s="75" t="str">
        <f>IF(A244="","",COUNTIFS(Ventas_SellIn!$D$2:$D$800,A244,Ventas_SellIn!$R$2:$R$800,"&gt;0"))</f>
        <v/>
      </c>
      <c r="M244" s="78" t="str">
        <f>IF(A244="","",SUMIFS(Ventas_SellIn!$R$2:$R$800,Ventas_SellIn!$D$2:$D$800,A244))</f>
        <v/>
      </c>
      <c r="N244" s="75" t="str">
        <f>IF(A244="","",IF(M244&gt;=Inicio!$B$18,"Pendiente relevante",IF(M244&gt;0,"Pendiente menor","Sin deuda")))</f>
        <v/>
      </c>
      <c r="O244" s="79" t="str">
        <f>IF(A244="","",SUMIFS(Stock_PDV!$H$2:$H$800,Stock_PDV!$A$2:$A$800,A244))</f>
        <v/>
      </c>
      <c r="P244" s="75" t="str">
        <f>IF(A244="","",IF(O244&lt;=Inicio!$B$16,"Crítico",IF(O244&lt;=Inicio!$B$17,"Observar","OK")))</f>
        <v/>
      </c>
      <c r="Q244" s="75" t="str">
        <f t="shared" si="13"/>
        <v/>
      </c>
      <c r="R244" s="75" t="str">
        <f t="shared" si="14"/>
        <v/>
      </c>
      <c r="S244" s="68" t="str">
        <f t="shared" si="15"/>
        <v/>
      </c>
      <c r="T244" s="68" t="str">
        <f>IF(A244="","",IFERROR(VLOOKUP(A244,Clientes_PDV!$A$2:$K$250,11,FALSE),""))</f>
        <v/>
      </c>
    </row>
    <row r="245" spans="1:20" x14ac:dyDescent="0.35">
      <c r="A245" s="80" t="str">
        <f>IF(Clientes_PDV!A245="","",Clientes_PDV!A245)</f>
        <v/>
      </c>
      <c r="B245" s="80" t="str">
        <f>IF(A245="","",IFERROR(VLOOKUP(A245,Clientes_PDV!$A$2:$J$250,2,FALSE),""))</f>
        <v/>
      </c>
      <c r="C245" s="80" t="str">
        <f>IF(A245="","",IFERROR(VLOOKUP(A245,Clientes_PDV!$A$2:$J$250,3,FALSE),""))</f>
        <v/>
      </c>
      <c r="D245" s="80" t="str">
        <f>IF(A245="","",IFERROR(VLOOKUP(A245,Clientes_PDV!$A$2:$J$250,4,FALSE),""))</f>
        <v/>
      </c>
      <c r="E245" s="80" t="str">
        <f>IF(A245="","",IFERROR(VLOOKUP(A245,Clientes_PDV!$A$2:$J$250,7,FALSE),""))</f>
        <v/>
      </c>
      <c r="F245" s="81" t="str">
        <f>IF(A245="","",IFERROR(VLOOKUP(A245,Clientes_PDV!$A$2:$J$250,8,FALSE),""))</f>
        <v/>
      </c>
      <c r="G245" s="80" t="str">
        <f t="shared" ca="1" si="12"/>
        <v/>
      </c>
      <c r="H245" s="80" t="str">
        <f>IF(A245="","",IF(F245="","Sin visita",IF(G245&lt;=IFERROR(VLOOKUP(E245,Inicio!$A$24:$B$26,2,FALSE),0),"Vigente","Atrasado")))</f>
        <v/>
      </c>
      <c r="I245" s="83" t="str">
        <f ca="1">IF(A245="","",SUMIFS(Ventas_SellIn!$L$2:$L$800,Ventas_SellIn!$D$2:$D$800,A245,Ventas_SellIn!$B$2:$B$800,"&gt;="&amp;TODAY()-Inicio!$B$14))</f>
        <v/>
      </c>
      <c r="J245" s="80" t="str">
        <f ca="1">IF(A245="","",SUMIFS(SellOut_Jumbo!$F$2:$F$800,SellOut_Jumbo!$C$2:$C$800,D245,SellOut_Jumbo!$A$2:$A$800,"&gt;="&amp;TODAY()-Inicio!$B$14))</f>
        <v/>
      </c>
      <c r="K245" s="80" t="str">
        <f>IF(A245="","",IF(I245=0,"Sin venta",IF(I245&lt;Inicio!$B$15,"Venta baja","Venta OK")))</f>
        <v/>
      </c>
      <c r="L245" s="80" t="str">
        <f>IF(A245="","",COUNTIFS(Ventas_SellIn!$D$2:$D$800,A245,Ventas_SellIn!$R$2:$R$800,"&gt;0"))</f>
        <v/>
      </c>
      <c r="M245" s="83" t="str">
        <f>IF(A245="","",SUMIFS(Ventas_SellIn!$R$2:$R$800,Ventas_SellIn!$D$2:$D$800,A245))</f>
        <v/>
      </c>
      <c r="N245" s="80" t="str">
        <f>IF(A245="","",IF(M245&gt;=Inicio!$B$18,"Pendiente relevante",IF(M245&gt;0,"Pendiente menor","Sin deuda")))</f>
        <v/>
      </c>
      <c r="O245" s="84" t="str">
        <f>IF(A245="","",SUMIFS(Stock_PDV!$H$2:$H$800,Stock_PDV!$A$2:$A$800,A245))</f>
        <v/>
      </c>
      <c r="P245" s="80" t="str">
        <f>IF(A245="","",IF(O245&lt;=Inicio!$B$16,"Crítico",IF(O245&lt;=Inicio!$B$17,"Observar","OK")))</f>
        <v/>
      </c>
      <c r="Q245" s="80" t="str">
        <f t="shared" si="13"/>
        <v/>
      </c>
      <c r="R245" s="80" t="str">
        <f t="shared" si="14"/>
        <v/>
      </c>
      <c r="S245" s="70" t="str">
        <f t="shared" si="15"/>
        <v/>
      </c>
      <c r="T245" s="70" t="str">
        <f>IF(A245="","",IFERROR(VLOOKUP(A245,Clientes_PDV!$A$2:$K$250,11,FALSE),""))</f>
        <v/>
      </c>
    </row>
    <row r="246" spans="1:20" x14ac:dyDescent="0.35">
      <c r="A246" s="75" t="str">
        <f>IF(Clientes_PDV!A246="","",Clientes_PDV!A246)</f>
        <v/>
      </c>
      <c r="B246" s="75" t="str">
        <f>IF(A246="","",IFERROR(VLOOKUP(A246,Clientes_PDV!$A$2:$J$250,2,FALSE),""))</f>
        <v/>
      </c>
      <c r="C246" s="75" t="str">
        <f>IF(A246="","",IFERROR(VLOOKUP(A246,Clientes_PDV!$A$2:$J$250,3,FALSE),""))</f>
        <v/>
      </c>
      <c r="D246" s="75" t="str">
        <f>IF(A246="","",IFERROR(VLOOKUP(A246,Clientes_PDV!$A$2:$J$250,4,FALSE),""))</f>
        <v/>
      </c>
      <c r="E246" s="75" t="str">
        <f>IF(A246="","",IFERROR(VLOOKUP(A246,Clientes_PDV!$A$2:$J$250,7,FALSE),""))</f>
        <v/>
      </c>
      <c r="F246" s="76" t="str">
        <f>IF(A246="","",IFERROR(VLOOKUP(A246,Clientes_PDV!$A$2:$J$250,8,FALSE),""))</f>
        <v/>
      </c>
      <c r="G246" s="75" t="str">
        <f t="shared" ca="1" si="12"/>
        <v/>
      </c>
      <c r="H246" s="75" t="str">
        <f>IF(A246="","",IF(F246="","Sin visita",IF(G246&lt;=IFERROR(VLOOKUP(E246,Inicio!$A$24:$B$26,2,FALSE),0),"Vigente","Atrasado")))</f>
        <v/>
      </c>
      <c r="I246" s="78" t="str">
        <f ca="1">IF(A246="","",SUMIFS(Ventas_SellIn!$L$2:$L$800,Ventas_SellIn!$D$2:$D$800,A246,Ventas_SellIn!$B$2:$B$800,"&gt;="&amp;TODAY()-Inicio!$B$14))</f>
        <v/>
      </c>
      <c r="J246" s="75" t="str">
        <f ca="1">IF(A246="","",SUMIFS(SellOut_Jumbo!$F$2:$F$800,SellOut_Jumbo!$C$2:$C$800,D246,SellOut_Jumbo!$A$2:$A$800,"&gt;="&amp;TODAY()-Inicio!$B$14))</f>
        <v/>
      </c>
      <c r="K246" s="75" t="str">
        <f>IF(A246="","",IF(I246=0,"Sin venta",IF(I246&lt;Inicio!$B$15,"Venta baja","Venta OK")))</f>
        <v/>
      </c>
      <c r="L246" s="75" t="str">
        <f>IF(A246="","",COUNTIFS(Ventas_SellIn!$D$2:$D$800,A246,Ventas_SellIn!$R$2:$R$800,"&gt;0"))</f>
        <v/>
      </c>
      <c r="M246" s="78" t="str">
        <f>IF(A246="","",SUMIFS(Ventas_SellIn!$R$2:$R$800,Ventas_SellIn!$D$2:$D$800,A246))</f>
        <v/>
      </c>
      <c r="N246" s="75" t="str">
        <f>IF(A246="","",IF(M246&gt;=Inicio!$B$18,"Pendiente relevante",IF(M246&gt;0,"Pendiente menor","Sin deuda")))</f>
        <v/>
      </c>
      <c r="O246" s="79" t="str">
        <f>IF(A246="","",SUMIFS(Stock_PDV!$H$2:$H$800,Stock_PDV!$A$2:$A$800,A246))</f>
        <v/>
      </c>
      <c r="P246" s="75" t="str">
        <f>IF(A246="","",IF(O246&lt;=Inicio!$B$16,"Crítico",IF(O246&lt;=Inicio!$B$17,"Observar","OK")))</f>
        <v/>
      </c>
      <c r="Q246" s="75" t="str">
        <f t="shared" si="13"/>
        <v/>
      </c>
      <c r="R246" s="75" t="str">
        <f t="shared" si="14"/>
        <v/>
      </c>
      <c r="S246" s="68" t="str">
        <f t="shared" si="15"/>
        <v/>
      </c>
      <c r="T246" s="68" t="str">
        <f>IF(A246="","",IFERROR(VLOOKUP(A246,Clientes_PDV!$A$2:$K$250,11,FALSE),""))</f>
        <v/>
      </c>
    </row>
    <row r="247" spans="1:20" x14ac:dyDescent="0.35">
      <c r="A247" s="80" t="str">
        <f>IF(Clientes_PDV!A247="","",Clientes_PDV!A247)</f>
        <v/>
      </c>
      <c r="B247" s="80" t="str">
        <f>IF(A247="","",IFERROR(VLOOKUP(A247,Clientes_PDV!$A$2:$J$250,2,FALSE),""))</f>
        <v/>
      </c>
      <c r="C247" s="80" t="str">
        <f>IF(A247="","",IFERROR(VLOOKUP(A247,Clientes_PDV!$A$2:$J$250,3,FALSE),""))</f>
        <v/>
      </c>
      <c r="D247" s="80" t="str">
        <f>IF(A247="","",IFERROR(VLOOKUP(A247,Clientes_PDV!$A$2:$J$250,4,FALSE),""))</f>
        <v/>
      </c>
      <c r="E247" s="80" t="str">
        <f>IF(A247="","",IFERROR(VLOOKUP(A247,Clientes_PDV!$A$2:$J$250,7,FALSE),""))</f>
        <v/>
      </c>
      <c r="F247" s="81" t="str">
        <f>IF(A247="","",IFERROR(VLOOKUP(A247,Clientes_PDV!$A$2:$J$250,8,FALSE),""))</f>
        <v/>
      </c>
      <c r="G247" s="80" t="str">
        <f t="shared" ca="1" si="12"/>
        <v/>
      </c>
      <c r="H247" s="80" t="str">
        <f>IF(A247="","",IF(F247="","Sin visita",IF(G247&lt;=IFERROR(VLOOKUP(E247,Inicio!$A$24:$B$26,2,FALSE),0),"Vigente","Atrasado")))</f>
        <v/>
      </c>
      <c r="I247" s="83" t="str">
        <f ca="1">IF(A247="","",SUMIFS(Ventas_SellIn!$L$2:$L$800,Ventas_SellIn!$D$2:$D$800,A247,Ventas_SellIn!$B$2:$B$800,"&gt;="&amp;TODAY()-Inicio!$B$14))</f>
        <v/>
      </c>
      <c r="J247" s="80" t="str">
        <f ca="1">IF(A247="","",SUMIFS(SellOut_Jumbo!$F$2:$F$800,SellOut_Jumbo!$C$2:$C$800,D247,SellOut_Jumbo!$A$2:$A$800,"&gt;="&amp;TODAY()-Inicio!$B$14))</f>
        <v/>
      </c>
      <c r="K247" s="80" t="str">
        <f>IF(A247="","",IF(I247=0,"Sin venta",IF(I247&lt;Inicio!$B$15,"Venta baja","Venta OK")))</f>
        <v/>
      </c>
      <c r="L247" s="80" t="str">
        <f>IF(A247="","",COUNTIFS(Ventas_SellIn!$D$2:$D$800,A247,Ventas_SellIn!$R$2:$R$800,"&gt;0"))</f>
        <v/>
      </c>
      <c r="M247" s="83" t="str">
        <f>IF(A247="","",SUMIFS(Ventas_SellIn!$R$2:$R$800,Ventas_SellIn!$D$2:$D$800,A247))</f>
        <v/>
      </c>
      <c r="N247" s="80" t="str">
        <f>IF(A247="","",IF(M247&gt;=Inicio!$B$18,"Pendiente relevante",IF(M247&gt;0,"Pendiente menor","Sin deuda")))</f>
        <v/>
      </c>
      <c r="O247" s="84" t="str">
        <f>IF(A247="","",SUMIFS(Stock_PDV!$H$2:$H$800,Stock_PDV!$A$2:$A$800,A247))</f>
        <v/>
      </c>
      <c r="P247" s="80" t="str">
        <f>IF(A247="","",IF(O247&lt;=Inicio!$B$16,"Crítico",IF(O247&lt;=Inicio!$B$17,"Observar","OK")))</f>
        <v/>
      </c>
      <c r="Q247" s="80" t="str">
        <f t="shared" si="13"/>
        <v/>
      </c>
      <c r="R247" s="80" t="str">
        <f t="shared" si="14"/>
        <v/>
      </c>
      <c r="S247" s="70" t="str">
        <f t="shared" si="15"/>
        <v/>
      </c>
      <c r="T247" s="70" t="str">
        <f>IF(A247="","",IFERROR(VLOOKUP(A247,Clientes_PDV!$A$2:$K$250,11,FALSE),""))</f>
        <v/>
      </c>
    </row>
    <row r="248" spans="1:20" x14ac:dyDescent="0.35">
      <c r="A248" s="75" t="str">
        <f>IF(Clientes_PDV!A248="","",Clientes_PDV!A248)</f>
        <v/>
      </c>
      <c r="B248" s="75" t="str">
        <f>IF(A248="","",IFERROR(VLOOKUP(A248,Clientes_PDV!$A$2:$J$250,2,FALSE),""))</f>
        <v/>
      </c>
      <c r="C248" s="75" t="str">
        <f>IF(A248="","",IFERROR(VLOOKUP(A248,Clientes_PDV!$A$2:$J$250,3,FALSE),""))</f>
        <v/>
      </c>
      <c r="D248" s="75" t="str">
        <f>IF(A248="","",IFERROR(VLOOKUP(A248,Clientes_PDV!$A$2:$J$250,4,FALSE),""))</f>
        <v/>
      </c>
      <c r="E248" s="75" t="str">
        <f>IF(A248="","",IFERROR(VLOOKUP(A248,Clientes_PDV!$A$2:$J$250,7,FALSE),""))</f>
        <v/>
      </c>
      <c r="F248" s="76" t="str">
        <f>IF(A248="","",IFERROR(VLOOKUP(A248,Clientes_PDV!$A$2:$J$250,8,FALSE),""))</f>
        <v/>
      </c>
      <c r="G248" s="75" t="str">
        <f t="shared" ca="1" si="12"/>
        <v/>
      </c>
      <c r="H248" s="75" t="str">
        <f>IF(A248="","",IF(F248="","Sin visita",IF(G248&lt;=IFERROR(VLOOKUP(E248,Inicio!$A$24:$B$26,2,FALSE),0),"Vigente","Atrasado")))</f>
        <v/>
      </c>
      <c r="I248" s="78" t="str">
        <f ca="1">IF(A248="","",SUMIFS(Ventas_SellIn!$L$2:$L$800,Ventas_SellIn!$D$2:$D$800,A248,Ventas_SellIn!$B$2:$B$800,"&gt;="&amp;TODAY()-Inicio!$B$14))</f>
        <v/>
      </c>
      <c r="J248" s="75" t="str">
        <f ca="1">IF(A248="","",SUMIFS(SellOut_Jumbo!$F$2:$F$800,SellOut_Jumbo!$C$2:$C$800,D248,SellOut_Jumbo!$A$2:$A$800,"&gt;="&amp;TODAY()-Inicio!$B$14))</f>
        <v/>
      </c>
      <c r="K248" s="75" t="str">
        <f>IF(A248="","",IF(I248=0,"Sin venta",IF(I248&lt;Inicio!$B$15,"Venta baja","Venta OK")))</f>
        <v/>
      </c>
      <c r="L248" s="75" t="str">
        <f>IF(A248="","",COUNTIFS(Ventas_SellIn!$D$2:$D$800,A248,Ventas_SellIn!$R$2:$R$800,"&gt;0"))</f>
        <v/>
      </c>
      <c r="M248" s="78" t="str">
        <f>IF(A248="","",SUMIFS(Ventas_SellIn!$R$2:$R$800,Ventas_SellIn!$D$2:$D$800,A248))</f>
        <v/>
      </c>
      <c r="N248" s="75" t="str">
        <f>IF(A248="","",IF(M248&gt;=Inicio!$B$18,"Pendiente relevante",IF(M248&gt;0,"Pendiente menor","Sin deuda")))</f>
        <v/>
      </c>
      <c r="O248" s="79" t="str">
        <f>IF(A248="","",SUMIFS(Stock_PDV!$H$2:$H$800,Stock_PDV!$A$2:$A$800,A248))</f>
        <v/>
      </c>
      <c r="P248" s="75" t="str">
        <f>IF(A248="","",IF(O248&lt;=Inicio!$B$16,"Crítico",IF(O248&lt;=Inicio!$B$17,"Observar","OK")))</f>
        <v/>
      </c>
      <c r="Q248" s="75" t="str">
        <f t="shared" si="13"/>
        <v/>
      </c>
      <c r="R248" s="75" t="str">
        <f t="shared" si="14"/>
        <v/>
      </c>
      <c r="S248" s="68" t="str">
        <f t="shared" si="15"/>
        <v/>
      </c>
      <c r="T248" s="68" t="str">
        <f>IF(A248="","",IFERROR(VLOOKUP(A248,Clientes_PDV!$A$2:$K$250,11,FALSE),""))</f>
        <v/>
      </c>
    </row>
    <row r="249" spans="1:20" x14ac:dyDescent="0.35">
      <c r="A249" s="80" t="str">
        <f>IF(Clientes_PDV!A249="","",Clientes_PDV!A249)</f>
        <v/>
      </c>
      <c r="B249" s="80" t="str">
        <f>IF(A249="","",IFERROR(VLOOKUP(A249,Clientes_PDV!$A$2:$J$250,2,FALSE),""))</f>
        <v/>
      </c>
      <c r="C249" s="80" t="str">
        <f>IF(A249="","",IFERROR(VLOOKUP(A249,Clientes_PDV!$A$2:$J$250,3,FALSE),""))</f>
        <v/>
      </c>
      <c r="D249" s="80" t="str">
        <f>IF(A249="","",IFERROR(VLOOKUP(A249,Clientes_PDV!$A$2:$J$250,4,FALSE),""))</f>
        <v/>
      </c>
      <c r="E249" s="80" t="str">
        <f>IF(A249="","",IFERROR(VLOOKUP(A249,Clientes_PDV!$A$2:$J$250,7,FALSE),""))</f>
        <v/>
      </c>
      <c r="F249" s="81" t="str">
        <f>IF(A249="","",IFERROR(VLOOKUP(A249,Clientes_PDV!$A$2:$J$250,8,FALSE),""))</f>
        <v/>
      </c>
      <c r="G249" s="80" t="str">
        <f t="shared" ca="1" si="12"/>
        <v/>
      </c>
      <c r="H249" s="80" t="str">
        <f>IF(A249="","",IF(F249="","Sin visita",IF(G249&lt;=IFERROR(VLOOKUP(E249,Inicio!$A$24:$B$26,2,FALSE),0),"Vigente","Atrasado")))</f>
        <v/>
      </c>
      <c r="I249" s="83" t="str">
        <f ca="1">IF(A249="","",SUMIFS(Ventas_SellIn!$L$2:$L$800,Ventas_SellIn!$D$2:$D$800,A249,Ventas_SellIn!$B$2:$B$800,"&gt;="&amp;TODAY()-Inicio!$B$14))</f>
        <v/>
      </c>
      <c r="J249" s="80" t="str">
        <f ca="1">IF(A249="","",SUMIFS(SellOut_Jumbo!$F$2:$F$800,SellOut_Jumbo!$C$2:$C$800,D249,SellOut_Jumbo!$A$2:$A$800,"&gt;="&amp;TODAY()-Inicio!$B$14))</f>
        <v/>
      </c>
      <c r="K249" s="80" t="str">
        <f>IF(A249="","",IF(I249=0,"Sin venta",IF(I249&lt;Inicio!$B$15,"Venta baja","Venta OK")))</f>
        <v/>
      </c>
      <c r="L249" s="80" t="str">
        <f>IF(A249="","",COUNTIFS(Ventas_SellIn!$D$2:$D$800,A249,Ventas_SellIn!$R$2:$R$800,"&gt;0"))</f>
        <v/>
      </c>
      <c r="M249" s="83" t="str">
        <f>IF(A249="","",SUMIFS(Ventas_SellIn!$R$2:$R$800,Ventas_SellIn!$D$2:$D$800,A249))</f>
        <v/>
      </c>
      <c r="N249" s="80" t="str">
        <f>IF(A249="","",IF(M249&gt;=Inicio!$B$18,"Pendiente relevante",IF(M249&gt;0,"Pendiente menor","Sin deuda")))</f>
        <v/>
      </c>
      <c r="O249" s="84" t="str">
        <f>IF(A249="","",SUMIFS(Stock_PDV!$H$2:$H$800,Stock_PDV!$A$2:$A$800,A249))</f>
        <v/>
      </c>
      <c r="P249" s="80" t="str">
        <f>IF(A249="","",IF(O249&lt;=Inicio!$B$16,"Crítico",IF(O249&lt;=Inicio!$B$17,"Observar","OK")))</f>
        <v/>
      </c>
      <c r="Q249" s="80" t="str">
        <f t="shared" si="13"/>
        <v/>
      </c>
      <c r="R249" s="80" t="str">
        <f t="shared" si="14"/>
        <v/>
      </c>
      <c r="S249" s="70" t="str">
        <f t="shared" si="15"/>
        <v/>
      </c>
      <c r="T249" s="70" t="str">
        <f>IF(A249="","",IFERROR(VLOOKUP(A249,Clientes_PDV!$A$2:$K$250,11,FALSE),""))</f>
        <v/>
      </c>
    </row>
    <row r="250" spans="1:20" x14ac:dyDescent="0.35">
      <c r="A250" s="75" t="str">
        <f>IF(Clientes_PDV!A250="","",Clientes_PDV!A250)</f>
        <v/>
      </c>
      <c r="B250" s="75" t="str">
        <f>IF(A250="","",IFERROR(VLOOKUP(A250,Clientes_PDV!$A$2:$J$250,2,FALSE),""))</f>
        <v/>
      </c>
      <c r="C250" s="75" t="str">
        <f>IF(A250="","",IFERROR(VLOOKUP(A250,Clientes_PDV!$A$2:$J$250,3,FALSE),""))</f>
        <v/>
      </c>
      <c r="D250" s="75" t="str">
        <f>IF(A250="","",IFERROR(VLOOKUP(A250,Clientes_PDV!$A$2:$J$250,4,FALSE),""))</f>
        <v/>
      </c>
      <c r="E250" s="75" t="str">
        <f>IF(A250="","",IFERROR(VLOOKUP(A250,Clientes_PDV!$A$2:$J$250,7,FALSE),""))</f>
        <v/>
      </c>
      <c r="F250" s="76" t="str">
        <f>IF(A250="","",IFERROR(VLOOKUP(A250,Clientes_PDV!$A$2:$J$250,8,FALSE),""))</f>
        <v/>
      </c>
      <c r="G250" s="75" t="str">
        <f t="shared" ca="1" si="12"/>
        <v/>
      </c>
      <c r="H250" s="75" t="str">
        <f>IF(A250="","",IF(F250="","Sin visita",IF(G250&lt;=IFERROR(VLOOKUP(E250,Inicio!$A$24:$B$26,2,FALSE),0),"Vigente","Atrasado")))</f>
        <v/>
      </c>
      <c r="I250" s="78" t="str">
        <f ca="1">IF(A250="","",SUMIFS(Ventas_SellIn!$L$2:$L$800,Ventas_SellIn!$D$2:$D$800,A250,Ventas_SellIn!$B$2:$B$800,"&gt;="&amp;TODAY()-Inicio!$B$14))</f>
        <v/>
      </c>
      <c r="J250" s="75" t="str">
        <f ca="1">IF(A250="","",SUMIFS(SellOut_Jumbo!$F$2:$F$800,SellOut_Jumbo!$C$2:$C$800,D250,SellOut_Jumbo!$A$2:$A$800,"&gt;="&amp;TODAY()-Inicio!$B$14))</f>
        <v/>
      </c>
      <c r="K250" s="75" t="str">
        <f>IF(A250="","",IF(I250=0,"Sin venta",IF(I250&lt;Inicio!$B$15,"Venta baja","Venta OK")))</f>
        <v/>
      </c>
      <c r="L250" s="75" t="str">
        <f>IF(A250="","",COUNTIFS(Ventas_SellIn!$D$2:$D$800,A250,Ventas_SellIn!$R$2:$R$800,"&gt;0"))</f>
        <v/>
      </c>
      <c r="M250" s="78" t="str">
        <f>IF(A250="","",SUMIFS(Ventas_SellIn!$R$2:$R$800,Ventas_SellIn!$D$2:$D$800,A250))</f>
        <v/>
      </c>
      <c r="N250" s="75" t="str">
        <f>IF(A250="","",IF(M250&gt;=Inicio!$B$18,"Pendiente relevante",IF(M250&gt;0,"Pendiente menor","Sin deuda")))</f>
        <v/>
      </c>
      <c r="O250" s="79" t="str">
        <f>IF(A250="","",SUMIFS(Stock_PDV!$H$2:$H$800,Stock_PDV!$A$2:$A$800,A250))</f>
        <v/>
      </c>
      <c r="P250" s="75" t="str">
        <f>IF(A250="","",IF(O250&lt;=Inicio!$B$16,"Crítico",IF(O250&lt;=Inicio!$B$17,"Observar","OK")))</f>
        <v/>
      </c>
      <c r="Q250" s="75" t="str">
        <f t="shared" si="13"/>
        <v/>
      </c>
      <c r="R250" s="75" t="str">
        <f t="shared" si="14"/>
        <v/>
      </c>
      <c r="S250" s="68" t="str">
        <f t="shared" si="15"/>
        <v/>
      </c>
      <c r="T250" s="68" t="str">
        <f>IF(A250="","",IFERROR(VLOOKUP(A250,Clientes_PDV!$A$2:$K$250,11,FALSE),""))</f>
        <v/>
      </c>
    </row>
  </sheetData>
  <autoFilter ref="A1:T250" xr:uid="{00000000-0009-0000-0000-000006000000}"/>
  <conditionalFormatting sqref="H2:H250">
    <cfRule type="expression" dxfId="18" priority="4">
      <formula>H2="Atrasado"</formula>
    </cfRule>
    <cfRule type="expression" dxfId="17" priority="5">
      <formula>H2="Vigente"</formula>
    </cfRule>
  </conditionalFormatting>
  <conditionalFormatting sqref="K2:K250">
    <cfRule type="expression" dxfId="16" priority="6">
      <formula>K2="Sin venta"</formula>
    </cfRule>
    <cfRule type="expression" dxfId="15" priority="7">
      <formula>K2="Venta baja"</formula>
    </cfRule>
  </conditionalFormatting>
  <conditionalFormatting sqref="N2:N250">
    <cfRule type="expression" dxfId="14" priority="8">
      <formula>N2="Pendiente relevante"</formula>
    </cfRule>
  </conditionalFormatting>
  <conditionalFormatting sqref="P2:P250">
    <cfRule type="expression" dxfId="13" priority="9">
      <formula>P2="Crítico"</formula>
    </cfRule>
  </conditionalFormatting>
  <conditionalFormatting sqref="Q2:Q250">
    <cfRule type="expression" dxfId="12" priority="10">
      <formula>Q2="Alta"</formula>
    </cfRule>
    <cfRule type="expression" dxfId="11" priority="11">
      <formula>Q2="Media"</formula>
    </cfRule>
    <cfRule type="expression" dxfId="10" priority="12">
      <formula>Q2="Baja"</formula>
    </cfRule>
  </conditionalFormatting>
  <conditionalFormatting sqref="S2:S250">
    <cfRule type="cellIs" dxfId="9" priority="13" operator="equal">
      <formula>"Alta"</formula>
    </cfRule>
    <cfRule type="cellIs" dxfId="8" priority="13" operator="equal">
      <formula>"Media"</formula>
    </cfRule>
    <cfRule type="cellIs" dxfId="7" priority="13" operator="equal">
      <formula>"Baja"</formula>
    </cfRule>
    <cfRule type="cellIs" dxfId="6" priority="13" operator="equal">
      <formula>"Sin venta"</formula>
    </cfRule>
  </conditionalFormatting>
  <hyperlinks>
    <hyperlink ref="V1" location="Inicio!A11" display="⚙ Configuración" xr:uid="{00000000-0004-0000-0600-000000000000}"/>
  </hyperlinks>
  <pageMargins left="0.7" right="0.7" top="0.75" bottom="0.75" header="0.3" footer="0.3"/>
  <headerFooter>
    <oddHeader>&amp;C&amp;8 DOCUMENTO CONFIDENCIAL Y RESTRINGIDO  -  Uso interno Nuva Oxi</oddHeader>
    <oddFooter>&amp;LNuva Oxi&amp;RPágina &amp;P de &amp;N</oddFooter>
  </headerFooter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A56A97"/>
  </sheetPr>
  <dimension ref="A1:P250"/>
  <sheetViews>
    <sheetView showGridLines="0" topLeftCell="F1" workbookViewId="0">
      <pane ySplit="1" topLeftCell="A2" activePane="bottomLeft" state="frozen"/>
      <selection activeCell="N16" sqref="N16"/>
      <selection pane="bottomLeft" activeCell="J10" sqref="J10"/>
    </sheetView>
  </sheetViews>
  <sheetFormatPr baseColWidth="10" defaultColWidth="8.7265625" defaultRowHeight="14.5" x14ac:dyDescent="0.35"/>
  <cols>
    <col min="1" max="1" width="12" customWidth="1"/>
    <col min="2" max="2" width="18" customWidth="1"/>
    <col min="3" max="3" width="16" customWidth="1"/>
    <col min="4" max="4" width="26" customWidth="1"/>
    <col min="5" max="5" width="16" customWidth="1"/>
    <col min="6" max="6" width="12" customWidth="1"/>
    <col min="7" max="7" width="18" customWidth="1"/>
    <col min="8" max="9" width="14" customWidth="1"/>
    <col min="10" max="10" width="28" customWidth="1"/>
    <col min="11" max="11" width="30" customWidth="1"/>
    <col min="12" max="16" width="18" customWidth="1"/>
  </cols>
  <sheetData>
    <row r="1" spans="1:16" ht="28" customHeight="1" x14ac:dyDescent="0.35">
      <c r="A1" s="50" t="s">
        <v>0</v>
      </c>
      <c r="B1" s="7" t="s">
        <v>1</v>
      </c>
      <c r="C1" s="7" t="s">
        <v>2</v>
      </c>
      <c r="D1" s="7" t="s">
        <v>3</v>
      </c>
      <c r="E1" s="7" t="s">
        <v>233</v>
      </c>
      <c r="F1" s="7" t="s">
        <v>234</v>
      </c>
      <c r="G1" s="7" t="s">
        <v>235</v>
      </c>
      <c r="H1" s="7" t="s">
        <v>5</v>
      </c>
      <c r="I1" s="7" t="s">
        <v>27</v>
      </c>
      <c r="J1" s="7" t="s">
        <v>236</v>
      </c>
      <c r="K1" s="60" t="s">
        <v>19</v>
      </c>
      <c r="L1" s="60" t="s">
        <v>237</v>
      </c>
      <c r="M1" s="60" t="s">
        <v>238</v>
      </c>
      <c r="N1" s="60" t="s">
        <v>239</v>
      </c>
      <c r="O1" s="60" t="s">
        <v>240</v>
      </c>
      <c r="P1" s="60" t="s">
        <v>241</v>
      </c>
    </row>
    <row r="2" spans="1:16" ht="20" customHeight="1" x14ac:dyDescent="0.35">
      <c r="A2" s="24" t="s">
        <v>242</v>
      </c>
      <c r="B2" s="24" t="s">
        <v>231</v>
      </c>
      <c r="C2" s="24" t="s">
        <v>31</v>
      </c>
      <c r="D2" s="24" t="s">
        <v>243</v>
      </c>
      <c r="E2" s="24" t="s">
        <v>244</v>
      </c>
      <c r="F2" s="24" t="s">
        <v>245</v>
      </c>
      <c r="G2" s="24" t="s">
        <v>37</v>
      </c>
      <c r="H2" s="25">
        <v>46209</v>
      </c>
      <c r="I2" s="24" t="s">
        <v>33</v>
      </c>
      <c r="J2" s="24" t="s">
        <v>246</v>
      </c>
      <c r="K2" s="43"/>
      <c r="L2" s="43" t="s">
        <v>230</v>
      </c>
      <c r="M2" s="43"/>
      <c r="N2" s="43"/>
      <c r="O2" s="43"/>
      <c r="P2" s="43"/>
    </row>
    <row r="3" spans="1:16" ht="20" customHeight="1" x14ac:dyDescent="0.35">
      <c r="A3" s="24" t="s">
        <v>247</v>
      </c>
      <c r="B3" s="24" t="s">
        <v>231</v>
      </c>
      <c r="C3" s="24" t="s">
        <v>31</v>
      </c>
      <c r="D3" s="24" t="s">
        <v>248</v>
      </c>
      <c r="E3" s="24" t="s">
        <v>249</v>
      </c>
      <c r="F3" s="24" t="s">
        <v>245</v>
      </c>
      <c r="G3" s="24" t="s">
        <v>37</v>
      </c>
      <c r="H3" s="25">
        <v>46201</v>
      </c>
      <c r="I3" s="24" t="s">
        <v>33</v>
      </c>
      <c r="J3" s="24" t="s">
        <v>250</v>
      </c>
      <c r="K3" s="43"/>
      <c r="L3" s="43" t="s">
        <v>230</v>
      </c>
      <c r="M3" s="43"/>
      <c r="N3" s="43"/>
      <c r="O3" s="43"/>
      <c r="P3" s="43"/>
    </row>
    <row r="4" spans="1:16" ht="20" customHeight="1" x14ac:dyDescent="0.35">
      <c r="A4" s="24" t="s">
        <v>251</v>
      </c>
      <c r="B4" s="24" t="s">
        <v>231</v>
      </c>
      <c r="C4" s="24" t="s">
        <v>31</v>
      </c>
      <c r="D4" s="24" t="s">
        <v>252</v>
      </c>
      <c r="E4" s="24" t="s">
        <v>253</v>
      </c>
      <c r="F4" s="24" t="s">
        <v>245</v>
      </c>
      <c r="G4" s="24" t="s">
        <v>45</v>
      </c>
      <c r="H4" s="25">
        <v>46197</v>
      </c>
      <c r="I4" s="24" t="s">
        <v>33</v>
      </c>
      <c r="J4" s="24"/>
      <c r="K4" s="43"/>
      <c r="L4" s="43" t="s">
        <v>230</v>
      </c>
      <c r="M4" s="43"/>
      <c r="N4" s="43"/>
      <c r="O4" s="43"/>
      <c r="P4" s="43"/>
    </row>
    <row r="5" spans="1:16" ht="20" customHeight="1" x14ac:dyDescent="0.35">
      <c r="A5" s="24" t="s">
        <v>254</v>
      </c>
      <c r="B5" s="24" t="s">
        <v>255</v>
      </c>
      <c r="C5" s="24" t="s">
        <v>39</v>
      </c>
      <c r="D5" s="24" t="s">
        <v>256</v>
      </c>
      <c r="E5" s="24" t="s">
        <v>244</v>
      </c>
      <c r="F5" s="24" t="s">
        <v>245</v>
      </c>
      <c r="G5" s="24" t="s">
        <v>37</v>
      </c>
      <c r="H5" s="25">
        <v>46206</v>
      </c>
      <c r="I5" s="24" t="s">
        <v>33</v>
      </c>
      <c r="J5" s="24"/>
      <c r="K5" s="43"/>
      <c r="L5" s="43"/>
      <c r="M5" s="43"/>
      <c r="N5" s="43"/>
      <c r="O5" s="43"/>
      <c r="P5" s="43"/>
    </row>
    <row r="6" spans="1:16" ht="20" customHeight="1" x14ac:dyDescent="0.35">
      <c r="A6" s="24" t="s">
        <v>257</v>
      </c>
      <c r="B6" s="24" t="s">
        <v>255</v>
      </c>
      <c r="C6" s="24" t="s">
        <v>39</v>
      </c>
      <c r="D6" s="24" t="s">
        <v>258</v>
      </c>
      <c r="E6" s="24" t="s">
        <v>249</v>
      </c>
      <c r="F6" s="24" t="s">
        <v>245</v>
      </c>
      <c r="G6" s="24" t="s">
        <v>45</v>
      </c>
      <c r="H6" s="25">
        <v>46191</v>
      </c>
      <c r="I6" s="24" t="s">
        <v>33</v>
      </c>
      <c r="J6" s="24"/>
      <c r="K6" s="43"/>
      <c r="L6" s="43"/>
      <c r="M6" s="43"/>
      <c r="N6" s="43"/>
      <c r="O6" s="43"/>
      <c r="P6" s="43"/>
    </row>
    <row r="7" spans="1:16" ht="20" customHeight="1" x14ac:dyDescent="0.35">
      <c r="A7" s="24" t="s">
        <v>259</v>
      </c>
      <c r="B7" s="24" t="s">
        <v>260</v>
      </c>
      <c r="C7" s="24" t="s">
        <v>55</v>
      </c>
      <c r="D7" s="24" t="s">
        <v>261</v>
      </c>
      <c r="E7" s="24" t="s">
        <v>262</v>
      </c>
      <c r="F7" s="24" t="s">
        <v>245</v>
      </c>
      <c r="G7" s="24" t="s">
        <v>53</v>
      </c>
      <c r="H7" s="25">
        <v>46182</v>
      </c>
      <c r="I7" s="24" t="s">
        <v>33</v>
      </c>
      <c r="J7" s="24"/>
      <c r="K7" s="43"/>
      <c r="L7" s="43"/>
      <c r="M7" s="43"/>
      <c r="N7" s="43"/>
      <c r="O7" s="43"/>
      <c r="P7" s="43"/>
    </row>
    <row r="8" spans="1:16" ht="20" customHeight="1" x14ac:dyDescent="0.35">
      <c r="A8" s="24" t="s">
        <v>263</v>
      </c>
      <c r="B8" s="24" t="s">
        <v>264</v>
      </c>
      <c r="C8" s="24" t="s">
        <v>55</v>
      </c>
      <c r="D8" s="24" t="s">
        <v>265</v>
      </c>
      <c r="E8" s="24" t="s">
        <v>253</v>
      </c>
      <c r="F8" s="24" t="s">
        <v>245</v>
      </c>
      <c r="G8" s="24" t="s">
        <v>53</v>
      </c>
      <c r="H8" s="25">
        <v>46167</v>
      </c>
      <c r="I8" s="24" t="s">
        <v>33</v>
      </c>
      <c r="J8" s="24" t="s">
        <v>266</v>
      </c>
      <c r="K8" s="43"/>
      <c r="L8" s="43"/>
      <c r="M8" s="43"/>
      <c r="N8" s="43"/>
      <c r="O8" s="43"/>
      <c r="P8" s="43"/>
    </row>
    <row r="9" spans="1:16" ht="20" customHeight="1" x14ac:dyDescent="0.35">
      <c r="A9" s="24" t="s">
        <v>267</v>
      </c>
      <c r="B9" s="24" t="s">
        <v>268</v>
      </c>
      <c r="C9" s="24" t="s">
        <v>47</v>
      </c>
      <c r="D9" s="24" t="s">
        <v>269</v>
      </c>
      <c r="E9" s="24" t="s">
        <v>244</v>
      </c>
      <c r="F9" s="24" t="s">
        <v>245</v>
      </c>
      <c r="G9" s="24" t="s">
        <v>45</v>
      </c>
      <c r="H9" s="25">
        <v>46203</v>
      </c>
      <c r="I9" s="24" t="s">
        <v>49</v>
      </c>
      <c r="J9" s="24"/>
      <c r="K9" s="43"/>
      <c r="L9" s="43"/>
      <c r="M9" s="43"/>
      <c r="N9" s="43"/>
      <c r="O9" s="43"/>
      <c r="P9" s="43"/>
    </row>
    <row r="10" spans="1:16" ht="20" customHeight="1" x14ac:dyDescent="0.35">
      <c r="A10" s="24" t="s">
        <v>270</v>
      </c>
      <c r="B10" s="24" t="s">
        <v>271</v>
      </c>
      <c r="C10" s="24" t="s">
        <v>47</v>
      </c>
      <c r="D10" s="24" t="s">
        <v>272</v>
      </c>
      <c r="E10" s="24" t="s">
        <v>249</v>
      </c>
      <c r="F10" s="24" t="s">
        <v>245</v>
      </c>
      <c r="G10" s="24" t="s">
        <v>45</v>
      </c>
      <c r="H10" s="25">
        <v>46194</v>
      </c>
      <c r="I10" s="24" t="s">
        <v>33</v>
      </c>
      <c r="J10" s="24"/>
      <c r="K10" s="43"/>
      <c r="L10" s="43"/>
      <c r="M10" s="43"/>
      <c r="N10" s="43"/>
      <c r="O10" s="43"/>
      <c r="P10" s="43"/>
    </row>
    <row r="11" spans="1:16" ht="20" customHeight="1" x14ac:dyDescent="0.35">
      <c r="A11" s="24" t="s">
        <v>273</v>
      </c>
      <c r="B11" s="24" t="s">
        <v>274</v>
      </c>
      <c r="C11" s="24" t="s">
        <v>69</v>
      </c>
      <c r="D11" s="24" t="s">
        <v>275</v>
      </c>
      <c r="E11" s="24" t="s">
        <v>262</v>
      </c>
      <c r="F11" s="24" t="s">
        <v>245</v>
      </c>
      <c r="G11" s="24" t="s">
        <v>53</v>
      </c>
      <c r="H11" s="25">
        <v>46185</v>
      </c>
      <c r="I11" s="24" t="s">
        <v>33</v>
      </c>
      <c r="J11" s="24"/>
      <c r="K11" s="43"/>
      <c r="L11" s="43"/>
      <c r="M11" s="43"/>
      <c r="N11" s="43"/>
      <c r="O11" s="43"/>
      <c r="P11" s="43"/>
    </row>
    <row r="12" spans="1:16" ht="20" customHeight="1" x14ac:dyDescent="0.35">
      <c r="A12" s="24" t="s">
        <v>276</v>
      </c>
      <c r="B12" s="24" t="s">
        <v>277</v>
      </c>
      <c r="C12" s="24" t="s">
        <v>60</v>
      </c>
      <c r="D12" s="24" t="s">
        <v>278</v>
      </c>
      <c r="E12" s="24" t="s">
        <v>249</v>
      </c>
      <c r="F12" s="24" t="s">
        <v>245</v>
      </c>
      <c r="G12" s="24" t="s">
        <v>53</v>
      </c>
      <c r="H12" s="25">
        <v>46204</v>
      </c>
      <c r="I12" s="24" t="s">
        <v>33</v>
      </c>
      <c r="J12" s="24"/>
      <c r="K12" s="43"/>
      <c r="L12" s="43"/>
      <c r="M12" s="43"/>
      <c r="N12" s="43"/>
      <c r="O12" s="43"/>
      <c r="P12" s="43"/>
    </row>
    <row r="13" spans="1:16" ht="20" customHeight="1" x14ac:dyDescent="0.35">
      <c r="A13" s="24" t="s">
        <v>279</v>
      </c>
      <c r="B13" s="24" t="s">
        <v>280</v>
      </c>
      <c r="C13" s="24" t="s">
        <v>55</v>
      </c>
      <c r="D13" s="24" t="s">
        <v>281</v>
      </c>
      <c r="E13" s="24" t="s">
        <v>244</v>
      </c>
      <c r="F13" s="24" t="s">
        <v>245</v>
      </c>
      <c r="G13" s="24" t="s">
        <v>45</v>
      </c>
      <c r="H13" s="25">
        <v>46207</v>
      </c>
      <c r="I13" s="24" t="s">
        <v>33</v>
      </c>
      <c r="J13" s="24"/>
      <c r="K13" s="43"/>
      <c r="L13" s="43"/>
      <c r="M13" s="43"/>
      <c r="N13" s="43"/>
      <c r="O13" s="43"/>
      <c r="P13" s="43"/>
    </row>
    <row r="14" spans="1:16" ht="20" customHeight="1" x14ac:dyDescent="0.35">
      <c r="A14" s="24"/>
      <c r="B14" s="24"/>
      <c r="C14" s="24"/>
      <c r="D14" s="24"/>
      <c r="E14" s="24"/>
      <c r="F14" s="24"/>
      <c r="G14" s="24"/>
      <c r="H14" s="25"/>
      <c r="I14" s="24"/>
      <c r="J14" s="24"/>
      <c r="K14" s="43"/>
      <c r="L14" s="43"/>
      <c r="M14" s="43"/>
      <c r="N14" s="43"/>
      <c r="O14" s="43"/>
      <c r="P14" s="43"/>
    </row>
    <row r="15" spans="1:16" ht="20" customHeight="1" x14ac:dyDescent="0.35">
      <c r="A15" s="24"/>
      <c r="B15" s="24"/>
      <c r="C15" s="24"/>
      <c r="D15" s="24"/>
      <c r="E15" s="24"/>
      <c r="F15" s="24"/>
      <c r="G15" s="24"/>
      <c r="H15" s="25"/>
      <c r="I15" s="24"/>
      <c r="J15" s="24"/>
      <c r="K15" s="43"/>
      <c r="L15" s="43"/>
      <c r="M15" s="43"/>
      <c r="N15" s="43"/>
      <c r="O15" s="43"/>
      <c r="P15" s="43"/>
    </row>
    <row r="16" spans="1:16" ht="20" customHeight="1" x14ac:dyDescent="0.35">
      <c r="A16" s="24"/>
      <c r="B16" s="24"/>
      <c r="C16" s="24"/>
      <c r="D16" s="24"/>
      <c r="E16" s="24"/>
      <c r="F16" s="24"/>
      <c r="G16" s="24"/>
      <c r="H16" s="25"/>
      <c r="I16" s="24"/>
      <c r="J16" s="24"/>
      <c r="K16" s="43"/>
      <c r="L16" s="43"/>
      <c r="M16" s="43"/>
      <c r="N16" s="43"/>
      <c r="O16" s="43"/>
      <c r="P16" s="43"/>
    </row>
    <row r="17" spans="1:16" ht="20" customHeight="1" x14ac:dyDescent="0.35">
      <c r="A17" s="24"/>
      <c r="B17" s="24"/>
      <c r="C17" s="24"/>
      <c r="D17" s="24"/>
      <c r="E17" s="24"/>
      <c r="F17" s="24"/>
      <c r="G17" s="24"/>
      <c r="H17" s="25"/>
      <c r="I17" s="24"/>
      <c r="J17" s="24"/>
      <c r="K17" s="43"/>
      <c r="L17" s="43"/>
      <c r="M17" s="43"/>
      <c r="N17" s="43"/>
      <c r="O17" s="43"/>
      <c r="P17" s="43"/>
    </row>
    <row r="18" spans="1:16" ht="20" customHeight="1" x14ac:dyDescent="0.35">
      <c r="A18" s="24"/>
      <c r="B18" s="24"/>
      <c r="C18" s="24"/>
      <c r="D18" s="24"/>
      <c r="E18" s="24"/>
      <c r="F18" s="24"/>
      <c r="G18" s="24"/>
      <c r="H18" s="25"/>
      <c r="I18" s="24"/>
      <c r="J18" s="24"/>
      <c r="K18" s="43"/>
      <c r="L18" s="43"/>
      <c r="M18" s="43"/>
      <c r="N18" s="43"/>
      <c r="O18" s="43"/>
      <c r="P18" s="43"/>
    </row>
    <row r="19" spans="1:16" ht="20" customHeight="1" x14ac:dyDescent="0.35">
      <c r="A19" s="24"/>
      <c r="B19" s="24"/>
      <c r="C19" s="24"/>
      <c r="D19" s="24"/>
      <c r="E19" s="24"/>
      <c r="F19" s="24"/>
      <c r="G19" s="24"/>
      <c r="H19" s="25"/>
      <c r="I19" s="24"/>
      <c r="J19" s="24"/>
      <c r="K19" s="43"/>
      <c r="L19" s="43"/>
      <c r="M19" s="43"/>
      <c r="N19" s="43"/>
      <c r="O19" s="43"/>
      <c r="P19" s="43"/>
    </row>
    <row r="20" spans="1:16" ht="20" customHeight="1" x14ac:dyDescent="0.35">
      <c r="A20" s="24"/>
      <c r="B20" s="24"/>
      <c r="C20" s="24"/>
      <c r="D20" s="24"/>
      <c r="E20" s="24"/>
      <c r="F20" s="24"/>
      <c r="G20" s="24"/>
      <c r="H20" s="25"/>
      <c r="I20" s="24"/>
      <c r="J20" s="24"/>
      <c r="K20" s="43"/>
      <c r="L20" s="43"/>
      <c r="M20" s="43"/>
      <c r="N20" s="43"/>
      <c r="O20" s="43"/>
      <c r="P20" s="43"/>
    </row>
    <row r="21" spans="1:16" ht="20" customHeight="1" x14ac:dyDescent="0.35">
      <c r="A21" s="24"/>
      <c r="B21" s="24"/>
      <c r="C21" s="24"/>
      <c r="D21" s="24"/>
      <c r="E21" s="24"/>
      <c r="F21" s="24"/>
      <c r="G21" s="24"/>
      <c r="H21" s="25"/>
      <c r="I21" s="24"/>
      <c r="J21" s="24"/>
      <c r="K21" s="43"/>
      <c r="L21" s="43"/>
      <c r="M21" s="43"/>
      <c r="N21" s="43"/>
      <c r="O21" s="43"/>
      <c r="P21" s="43"/>
    </row>
    <row r="22" spans="1:16" ht="20" customHeight="1" x14ac:dyDescent="0.35">
      <c r="A22" s="24"/>
      <c r="B22" s="24"/>
      <c r="C22" s="24"/>
      <c r="D22" s="24"/>
      <c r="E22" s="24"/>
      <c r="F22" s="24"/>
      <c r="G22" s="24"/>
      <c r="H22" s="25"/>
      <c r="I22" s="24"/>
      <c r="J22" s="24"/>
      <c r="K22" s="43"/>
      <c r="L22" s="43"/>
      <c r="M22" s="43"/>
      <c r="N22" s="43"/>
      <c r="O22" s="43"/>
      <c r="P22" s="43"/>
    </row>
    <row r="23" spans="1:16" ht="20" customHeight="1" x14ac:dyDescent="0.35">
      <c r="A23" s="24"/>
      <c r="B23" s="24"/>
      <c r="C23" s="24"/>
      <c r="D23" s="24"/>
      <c r="E23" s="24"/>
      <c r="F23" s="24"/>
      <c r="G23" s="24"/>
      <c r="H23" s="25"/>
      <c r="I23" s="24"/>
      <c r="J23" s="24"/>
      <c r="K23" s="43"/>
      <c r="L23" s="43"/>
      <c r="M23" s="43"/>
      <c r="N23" s="43"/>
      <c r="O23" s="43"/>
      <c r="P23" s="43"/>
    </row>
    <row r="24" spans="1:16" ht="20" customHeight="1" x14ac:dyDescent="0.35">
      <c r="A24" s="24"/>
      <c r="B24" s="24"/>
      <c r="C24" s="24"/>
      <c r="D24" s="24"/>
      <c r="E24" s="24"/>
      <c r="F24" s="24"/>
      <c r="G24" s="24"/>
      <c r="H24" s="25"/>
      <c r="I24" s="24"/>
      <c r="J24" s="24"/>
      <c r="K24" s="43"/>
      <c r="L24" s="43"/>
      <c r="M24" s="43"/>
      <c r="N24" s="43"/>
      <c r="O24" s="43"/>
      <c r="P24" s="43"/>
    </row>
    <row r="25" spans="1:16" ht="20" customHeight="1" x14ac:dyDescent="0.35">
      <c r="A25" s="24"/>
      <c r="B25" s="24"/>
      <c r="C25" s="24"/>
      <c r="D25" s="24"/>
      <c r="E25" s="24"/>
      <c r="F25" s="24"/>
      <c r="G25" s="24"/>
      <c r="H25" s="25"/>
      <c r="I25" s="24"/>
      <c r="J25" s="24"/>
      <c r="K25" s="43"/>
      <c r="L25" s="43"/>
      <c r="M25" s="43"/>
      <c r="N25" s="43"/>
      <c r="O25" s="43"/>
      <c r="P25" s="43"/>
    </row>
    <row r="26" spans="1:16" ht="20" customHeight="1" x14ac:dyDescent="0.35">
      <c r="A26" s="24"/>
      <c r="B26" s="24"/>
      <c r="C26" s="24"/>
      <c r="D26" s="24"/>
      <c r="E26" s="24"/>
      <c r="F26" s="24"/>
      <c r="G26" s="24"/>
      <c r="H26" s="25"/>
      <c r="I26" s="24"/>
      <c r="J26" s="24"/>
      <c r="K26" s="43"/>
      <c r="L26" s="43"/>
      <c r="M26" s="43"/>
      <c r="N26" s="43"/>
      <c r="O26" s="43"/>
      <c r="P26" s="43"/>
    </row>
    <row r="27" spans="1:16" ht="20" customHeight="1" x14ac:dyDescent="0.35">
      <c r="A27" s="24"/>
      <c r="B27" s="24"/>
      <c r="C27" s="24"/>
      <c r="D27" s="24"/>
      <c r="E27" s="24"/>
      <c r="F27" s="24"/>
      <c r="G27" s="24"/>
      <c r="H27" s="25"/>
      <c r="I27" s="24"/>
      <c r="J27" s="24"/>
      <c r="K27" s="43"/>
      <c r="L27" s="43"/>
      <c r="M27" s="43"/>
      <c r="N27" s="43"/>
      <c r="O27" s="43"/>
      <c r="P27" s="43"/>
    </row>
    <row r="28" spans="1:16" ht="20" customHeight="1" x14ac:dyDescent="0.35">
      <c r="A28" s="24"/>
      <c r="B28" s="24"/>
      <c r="C28" s="24"/>
      <c r="D28" s="24"/>
      <c r="E28" s="24"/>
      <c r="F28" s="24"/>
      <c r="G28" s="24"/>
      <c r="H28" s="25"/>
      <c r="I28" s="24"/>
      <c r="J28" s="24"/>
      <c r="K28" s="43"/>
      <c r="L28" s="43"/>
      <c r="M28" s="43"/>
      <c r="N28" s="43"/>
      <c r="O28" s="43"/>
      <c r="P28" s="43"/>
    </row>
    <row r="29" spans="1:16" ht="20" customHeight="1" x14ac:dyDescent="0.35">
      <c r="A29" s="24"/>
      <c r="B29" s="24"/>
      <c r="C29" s="24"/>
      <c r="D29" s="24"/>
      <c r="E29" s="24"/>
      <c r="F29" s="24"/>
      <c r="G29" s="24"/>
      <c r="H29" s="25"/>
      <c r="I29" s="24"/>
      <c r="J29" s="24"/>
      <c r="K29" s="43"/>
      <c r="L29" s="43"/>
      <c r="M29" s="43"/>
      <c r="N29" s="43"/>
      <c r="O29" s="43"/>
      <c r="P29" s="43"/>
    </row>
    <row r="30" spans="1:16" ht="20" customHeight="1" x14ac:dyDescent="0.35">
      <c r="A30" s="24"/>
      <c r="B30" s="24"/>
      <c r="C30" s="24"/>
      <c r="D30" s="24"/>
      <c r="E30" s="24"/>
      <c r="F30" s="24"/>
      <c r="G30" s="24"/>
      <c r="H30" s="25"/>
      <c r="I30" s="24"/>
      <c r="J30" s="24"/>
      <c r="K30" s="43"/>
      <c r="L30" s="43"/>
      <c r="M30" s="43"/>
      <c r="N30" s="43"/>
      <c r="O30" s="43"/>
      <c r="P30" s="43"/>
    </row>
    <row r="31" spans="1:16" ht="20" customHeight="1" x14ac:dyDescent="0.35">
      <c r="A31" s="24"/>
      <c r="B31" s="24"/>
      <c r="C31" s="24"/>
      <c r="D31" s="24"/>
      <c r="E31" s="24"/>
      <c r="F31" s="24"/>
      <c r="G31" s="24"/>
      <c r="H31" s="25"/>
      <c r="I31" s="24"/>
      <c r="J31" s="24"/>
      <c r="K31" s="43"/>
      <c r="L31" s="43"/>
      <c r="M31" s="43"/>
      <c r="N31" s="43"/>
      <c r="O31" s="43"/>
      <c r="P31" s="43"/>
    </row>
    <row r="32" spans="1:16" ht="20" customHeight="1" x14ac:dyDescent="0.35">
      <c r="A32" s="24"/>
      <c r="B32" s="24"/>
      <c r="C32" s="24"/>
      <c r="D32" s="24"/>
      <c r="E32" s="24"/>
      <c r="F32" s="24"/>
      <c r="G32" s="24"/>
      <c r="H32" s="25"/>
      <c r="I32" s="24"/>
      <c r="J32" s="24"/>
      <c r="K32" s="43"/>
      <c r="L32" s="43"/>
      <c r="M32" s="43"/>
      <c r="N32" s="43"/>
      <c r="O32" s="43"/>
      <c r="P32" s="43"/>
    </row>
    <row r="33" spans="1:16" ht="20" customHeight="1" x14ac:dyDescent="0.35">
      <c r="A33" s="24"/>
      <c r="B33" s="24"/>
      <c r="C33" s="24"/>
      <c r="D33" s="24"/>
      <c r="E33" s="24"/>
      <c r="F33" s="24"/>
      <c r="G33" s="24"/>
      <c r="H33" s="25"/>
      <c r="I33" s="24"/>
      <c r="J33" s="24"/>
      <c r="K33" s="43"/>
      <c r="L33" s="43"/>
      <c r="M33" s="43"/>
      <c r="N33" s="43"/>
      <c r="O33" s="43"/>
      <c r="P33" s="43"/>
    </row>
    <row r="34" spans="1:16" ht="20" customHeight="1" x14ac:dyDescent="0.35">
      <c r="A34" s="24"/>
      <c r="B34" s="24"/>
      <c r="C34" s="24"/>
      <c r="D34" s="24"/>
      <c r="E34" s="24"/>
      <c r="F34" s="24"/>
      <c r="G34" s="24"/>
      <c r="H34" s="25"/>
      <c r="I34" s="24"/>
      <c r="J34" s="24"/>
      <c r="K34" s="43"/>
      <c r="L34" s="43"/>
      <c r="M34" s="43"/>
      <c r="N34" s="43"/>
      <c r="O34" s="43"/>
      <c r="P34" s="43"/>
    </row>
    <row r="35" spans="1:16" ht="20" customHeight="1" x14ac:dyDescent="0.35">
      <c r="A35" s="24"/>
      <c r="B35" s="24"/>
      <c r="C35" s="24"/>
      <c r="D35" s="24"/>
      <c r="E35" s="24"/>
      <c r="F35" s="24"/>
      <c r="G35" s="24"/>
      <c r="H35" s="25"/>
      <c r="I35" s="24"/>
      <c r="J35" s="24"/>
      <c r="K35" s="43"/>
      <c r="L35" s="43"/>
      <c r="M35" s="43"/>
      <c r="N35" s="43"/>
      <c r="O35" s="43"/>
      <c r="P35" s="43"/>
    </row>
    <row r="36" spans="1:16" ht="20" customHeight="1" x14ac:dyDescent="0.35">
      <c r="A36" s="24"/>
      <c r="B36" s="24"/>
      <c r="C36" s="24"/>
      <c r="D36" s="24"/>
      <c r="E36" s="24"/>
      <c r="F36" s="24"/>
      <c r="G36" s="24"/>
      <c r="H36" s="25"/>
      <c r="I36" s="24"/>
      <c r="J36" s="24"/>
      <c r="K36" s="43"/>
      <c r="L36" s="43"/>
      <c r="M36" s="43"/>
      <c r="N36" s="43"/>
      <c r="O36" s="43"/>
      <c r="P36" s="43"/>
    </row>
    <row r="37" spans="1:16" ht="20" customHeight="1" x14ac:dyDescent="0.35">
      <c r="A37" s="24"/>
      <c r="B37" s="24"/>
      <c r="C37" s="24"/>
      <c r="D37" s="24"/>
      <c r="E37" s="24"/>
      <c r="F37" s="24"/>
      <c r="G37" s="24"/>
      <c r="H37" s="25"/>
      <c r="I37" s="24"/>
      <c r="J37" s="24"/>
      <c r="K37" s="43"/>
      <c r="L37" s="43"/>
      <c r="M37" s="43"/>
      <c r="N37" s="43"/>
      <c r="O37" s="43"/>
      <c r="P37" s="43"/>
    </row>
    <row r="38" spans="1:16" ht="20" customHeight="1" x14ac:dyDescent="0.35">
      <c r="A38" s="24"/>
      <c r="B38" s="24"/>
      <c r="C38" s="24"/>
      <c r="D38" s="24"/>
      <c r="E38" s="24"/>
      <c r="F38" s="24"/>
      <c r="G38" s="24"/>
      <c r="H38" s="25"/>
      <c r="I38" s="24"/>
      <c r="J38" s="24"/>
      <c r="K38" s="43"/>
      <c r="L38" s="43"/>
      <c r="M38" s="43"/>
      <c r="N38" s="43"/>
      <c r="O38" s="43"/>
      <c r="P38" s="43"/>
    </row>
    <row r="39" spans="1:16" ht="20" customHeight="1" x14ac:dyDescent="0.35">
      <c r="A39" s="24"/>
      <c r="B39" s="24"/>
      <c r="C39" s="24"/>
      <c r="D39" s="24"/>
      <c r="E39" s="24"/>
      <c r="F39" s="24"/>
      <c r="G39" s="24"/>
      <c r="H39" s="25"/>
      <c r="I39" s="24"/>
      <c r="J39" s="24"/>
      <c r="K39" s="43"/>
      <c r="L39" s="43"/>
      <c r="M39" s="43"/>
      <c r="N39" s="43"/>
      <c r="O39" s="43"/>
      <c r="P39" s="43"/>
    </row>
    <row r="40" spans="1:16" ht="20" customHeight="1" x14ac:dyDescent="0.35">
      <c r="A40" s="24"/>
      <c r="B40" s="24"/>
      <c r="C40" s="24"/>
      <c r="D40" s="24"/>
      <c r="E40" s="24"/>
      <c r="F40" s="24"/>
      <c r="G40" s="24"/>
      <c r="H40" s="25"/>
      <c r="I40" s="24"/>
      <c r="J40" s="24"/>
      <c r="K40" s="43"/>
      <c r="L40" s="43"/>
      <c r="M40" s="43"/>
      <c r="N40" s="43"/>
      <c r="O40" s="43"/>
      <c r="P40" s="43"/>
    </row>
    <row r="41" spans="1:16" ht="20" customHeight="1" x14ac:dyDescent="0.35">
      <c r="A41" s="24"/>
      <c r="B41" s="24"/>
      <c r="C41" s="24"/>
      <c r="D41" s="24"/>
      <c r="E41" s="24"/>
      <c r="F41" s="24"/>
      <c r="G41" s="24"/>
      <c r="H41" s="25"/>
      <c r="I41" s="24"/>
      <c r="J41" s="24"/>
      <c r="K41" s="43"/>
      <c r="L41" s="43"/>
      <c r="M41" s="43"/>
      <c r="N41" s="43"/>
      <c r="O41" s="43"/>
      <c r="P41" s="43"/>
    </row>
    <row r="42" spans="1:16" ht="20" customHeight="1" x14ac:dyDescent="0.35">
      <c r="A42" s="24"/>
      <c r="B42" s="24"/>
      <c r="C42" s="24"/>
      <c r="D42" s="24"/>
      <c r="E42" s="24"/>
      <c r="F42" s="24"/>
      <c r="G42" s="24"/>
      <c r="H42" s="25"/>
      <c r="I42" s="24"/>
      <c r="J42" s="24"/>
      <c r="K42" s="43"/>
      <c r="L42" s="43"/>
      <c r="M42" s="43"/>
      <c r="N42" s="43"/>
      <c r="O42" s="43"/>
      <c r="P42" s="43"/>
    </row>
    <row r="43" spans="1:16" ht="20" customHeight="1" x14ac:dyDescent="0.35">
      <c r="A43" s="24"/>
      <c r="B43" s="24"/>
      <c r="C43" s="24"/>
      <c r="D43" s="24"/>
      <c r="E43" s="24"/>
      <c r="F43" s="24"/>
      <c r="G43" s="24"/>
      <c r="H43" s="25"/>
      <c r="I43" s="24"/>
      <c r="J43" s="24"/>
      <c r="K43" s="43"/>
      <c r="L43" s="43"/>
      <c r="M43" s="43"/>
      <c r="N43" s="43"/>
      <c r="O43" s="43"/>
      <c r="P43" s="43"/>
    </row>
    <row r="44" spans="1:16" ht="20" customHeight="1" x14ac:dyDescent="0.35">
      <c r="A44" s="24"/>
      <c r="B44" s="24"/>
      <c r="C44" s="24"/>
      <c r="D44" s="24"/>
      <c r="E44" s="24"/>
      <c r="F44" s="24"/>
      <c r="G44" s="24"/>
      <c r="H44" s="25"/>
      <c r="I44" s="24"/>
      <c r="J44" s="24"/>
      <c r="K44" s="43"/>
      <c r="L44" s="43"/>
      <c r="M44" s="43"/>
      <c r="N44" s="43"/>
      <c r="O44" s="43"/>
      <c r="P44" s="43"/>
    </row>
    <row r="45" spans="1:16" ht="20" customHeight="1" x14ac:dyDescent="0.35">
      <c r="A45" s="24"/>
      <c r="B45" s="24"/>
      <c r="C45" s="24"/>
      <c r="D45" s="24"/>
      <c r="E45" s="24"/>
      <c r="F45" s="24"/>
      <c r="G45" s="24"/>
      <c r="H45" s="25"/>
      <c r="I45" s="24"/>
      <c r="J45" s="24"/>
      <c r="K45" s="43"/>
      <c r="L45" s="43"/>
      <c r="M45" s="43"/>
      <c r="N45" s="43"/>
      <c r="O45" s="43"/>
      <c r="P45" s="43"/>
    </row>
    <row r="46" spans="1:16" ht="20" customHeight="1" x14ac:dyDescent="0.35">
      <c r="A46" s="24"/>
      <c r="B46" s="24"/>
      <c r="C46" s="24"/>
      <c r="D46" s="24"/>
      <c r="E46" s="24"/>
      <c r="F46" s="24"/>
      <c r="G46" s="24"/>
      <c r="H46" s="25"/>
      <c r="I46" s="24"/>
      <c r="J46" s="24"/>
      <c r="K46" s="43"/>
      <c r="L46" s="43"/>
      <c r="M46" s="43"/>
      <c r="N46" s="43"/>
      <c r="O46" s="43"/>
      <c r="P46" s="43"/>
    </row>
    <row r="47" spans="1:16" ht="20" customHeight="1" x14ac:dyDescent="0.35">
      <c r="A47" s="24"/>
      <c r="B47" s="24"/>
      <c r="C47" s="24"/>
      <c r="D47" s="24"/>
      <c r="E47" s="24"/>
      <c r="F47" s="24"/>
      <c r="G47" s="24"/>
      <c r="H47" s="25"/>
      <c r="I47" s="24"/>
      <c r="J47" s="24"/>
      <c r="K47" s="43"/>
      <c r="L47" s="43"/>
      <c r="M47" s="43"/>
      <c r="N47" s="43"/>
      <c r="O47" s="43"/>
      <c r="P47" s="43"/>
    </row>
    <row r="48" spans="1:16" ht="20" customHeight="1" x14ac:dyDescent="0.35">
      <c r="A48" s="24"/>
      <c r="B48" s="24"/>
      <c r="C48" s="24"/>
      <c r="D48" s="24"/>
      <c r="E48" s="24"/>
      <c r="F48" s="24"/>
      <c r="G48" s="24"/>
      <c r="H48" s="25"/>
      <c r="I48" s="24"/>
      <c r="J48" s="24"/>
      <c r="K48" s="43"/>
      <c r="L48" s="43"/>
      <c r="M48" s="43"/>
      <c r="N48" s="43"/>
      <c r="O48" s="43"/>
      <c r="P48" s="43"/>
    </row>
    <row r="49" spans="1:16" ht="20" customHeight="1" x14ac:dyDescent="0.35">
      <c r="A49" s="24"/>
      <c r="B49" s="24"/>
      <c r="C49" s="24"/>
      <c r="D49" s="24"/>
      <c r="E49" s="24"/>
      <c r="F49" s="24"/>
      <c r="G49" s="24"/>
      <c r="H49" s="25"/>
      <c r="I49" s="24"/>
      <c r="J49" s="24"/>
      <c r="K49" s="43"/>
      <c r="L49" s="43"/>
      <c r="M49" s="43"/>
      <c r="N49" s="43"/>
      <c r="O49" s="43"/>
      <c r="P49" s="43"/>
    </row>
    <row r="50" spans="1:16" ht="20" customHeight="1" x14ac:dyDescent="0.35">
      <c r="A50" s="24"/>
      <c r="B50" s="24"/>
      <c r="C50" s="24"/>
      <c r="D50" s="24"/>
      <c r="E50" s="24"/>
      <c r="F50" s="24"/>
      <c r="G50" s="24"/>
      <c r="H50" s="25"/>
      <c r="I50" s="24"/>
      <c r="J50" s="24"/>
      <c r="K50" s="43"/>
      <c r="L50" s="43"/>
      <c r="M50" s="43"/>
      <c r="N50" s="43"/>
      <c r="O50" s="43"/>
      <c r="P50" s="43"/>
    </row>
    <row r="51" spans="1:16" x14ac:dyDescent="0.35">
      <c r="A51" s="24"/>
      <c r="B51" s="24"/>
      <c r="C51" s="24"/>
      <c r="D51" s="24"/>
      <c r="E51" s="24"/>
      <c r="F51" s="24"/>
      <c r="G51" s="24"/>
      <c r="H51" s="25"/>
      <c r="I51" s="24"/>
      <c r="J51" s="24"/>
      <c r="K51" s="43"/>
      <c r="L51" s="43"/>
      <c r="M51" s="43"/>
      <c r="N51" s="43"/>
      <c r="O51" s="43"/>
      <c r="P51" s="43"/>
    </row>
    <row r="52" spans="1:16" x14ac:dyDescent="0.35">
      <c r="A52" s="24"/>
      <c r="B52" s="24"/>
      <c r="C52" s="24"/>
      <c r="D52" s="24"/>
      <c r="E52" s="24"/>
      <c r="F52" s="24"/>
      <c r="G52" s="24"/>
      <c r="H52" s="25"/>
      <c r="I52" s="24"/>
      <c r="J52" s="24"/>
      <c r="K52" s="43"/>
      <c r="L52" s="43"/>
      <c r="M52" s="43"/>
      <c r="N52" s="43"/>
      <c r="O52" s="43"/>
      <c r="P52" s="43"/>
    </row>
    <row r="53" spans="1:16" x14ac:dyDescent="0.35">
      <c r="A53" s="24"/>
      <c r="B53" s="24"/>
      <c r="C53" s="24"/>
      <c r="D53" s="24"/>
      <c r="E53" s="24"/>
      <c r="F53" s="24"/>
      <c r="G53" s="24"/>
      <c r="H53" s="25"/>
      <c r="I53" s="24"/>
      <c r="J53" s="24"/>
      <c r="K53" s="43"/>
      <c r="L53" s="43"/>
      <c r="M53" s="43"/>
      <c r="N53" s="43"/>
      <c r="O53" s="43"/>
      <c r="P53" s="43"/>
    </row>
    <row r="54" spans="1:16" x14ac:dyDescent="0.35">
      <c r="A54" s="24"/>
      <c r="B54" s="24"/>
      <c r="C54" s="24"/>
      <c r="D54" s="24"/>
      <c r="E54" s="24"/>
      <c r="F54" s="24"/>
      <c r="G54" s="24"/>
      <c r="H54" s="25"/>
      <c r="I54" s="24"/>
      <c r="J54" s="24"/>
      <c r="K54" s="43"/>
      <c r="L54" s="43"/>
      <c r="M54" s="43"/>
      <c r="N54" s="43"/>
      <c r="O54" s="43"/>
      <c r="P54" s="43"/>
    </row>
    <row r="55" spans="1:16" x14ac:dyDescent="0.35">
      <c r="A55" s="24"/>
      <c r="B55" s="24"/>
      <c r="C55" s="24"/>
      <c r="D55" s="24"/>
      <c r="E55" s="24"/>
      <c r="F55" s="24"/>
      <c r="G55" s="24"/>
      <c r="H55" s="25"/>
      <c r="I55" s="24"/>
      <c r="J55" s="24"/>
      <c r="K55" s="43"/>
      <c r="L55" s="43"/>
      <c r="M55" s="43"/>
      <c r="N55" s="43"/>
      <c r="O55" s="43"/>
      <c r="P55" s="43"/>
    </row>
    <row r="56" spans="1:16" x14ac:dyDescent="0.35">
      <c r="A56" s="24"/>
      <c r="B56" s="24"/>
      <c r="C56" s="24"/>
      <c r="D56" s="24"/>
      <c r="E56" s="24"/>
      <c r="F56" s="24"/>
      <c r="G56" s="24"/>
      <c r="H56" s="25"/>
      <c r="I56" s="24"/>
      <c r="J56" s="24"/>
      <c r="K56" s="43"/>
      <c r="L56" s="43"/>
      <c r="M56" s="43"/>
      <c r="N56" s="43"/>
      <c r="O56" s="43"/>
      <c r="P56" s="43"/>
    </row>
    <row r="57" spans="1:16" x14ac:dyDescent="0.35">
      <c r="A57" s="24"/>
      <c r="B57" s="24"/>
      <c r="C57" s="24"/>
      <c r="D57" s="24"/>
      <c r="E57" s="24"/>
      <c r="F57" s="24"/>
      <c r="G57" s="24"/>
      <c r="H57" s="25"/>
      <c r="I57" s="24"/>
      <c r="J57" s="24"/>
      <c r="K57" s="43"/>
      <c r="L57" s="43"/>
      <c r="M57" s="43"/>
      <c r="N57" s="43"/>
      <c r="O57" s="43"/>
      <c r="P57" s="43"/>
    </row>
    <row r="58" spans="1:16" x14ac:dyDescent="0.35">
      <c r="A58" s="24"/>
      <c r="B58" s="24"/>
      <c r="C58" s="24"/>
      <c r="D58" s="24"/>
      <c r="E58" s="24"/>
      <c r="F58" s="24"/>
      <c r="G58" s="24"/>
      <c r="H58" s="25"/>
      <c r="I58" s="24"/>
      <c r="J58" s="24"/>
      <c r="K58" s="43"/>
      <c r="L58" s="43"/>
      <c r="M58" s="43"/>
      <c r="N58" s="43"/>
      <c r="O58" s="43"/>
      <c r="P58" s="43"/>
    </row>
    <row r="59" spans="1:16" x14ac:dyDescent="0.35">
      <c r="A59" s="24"/>
      <c r="B59" s="24"/>
      <c r="C59" s="24"/>
      <c r="D59" s="24"/>
      <c r="E59" s="24"/>
      <c r="F59" s="24"/>
      <c r="G59" s="24"/>
      <c r="H59" s="25"/>
      <c r="I59" s="24"/>
      <c r="J59" s="24"/>
      <c r="K59" s="43"/>
      <c r="L59" s="43"/>
      <c r="M59" s="43"/>
      <c r="N59" s="43"/>
      <c r="O59" s="43"/>
      <c r="P59" s="43"/>
    </row>
    <row r="60" spans="1:16" x14ac:dyDescent="0.35">
      <c r="A60" s="24"/>
      <c r="B60" s="24"/>
      <c r="C60" s="24"/>
      <c r="D60" s="24"/>
      <c r="E60" s="24"/>
      <c r="F60" s="24"/>
      <c r="G60" s="24"/>
      <c r="H60" s="25"/>
      <c r="I60" s="24"/>
      <c r="J60" s="24"/>
      <c r="K60" s="43"/>
      <c r="L60" s="43"/>
      <c r="M60" s="43"/>
      <c r="N60" s="43"/>
      <c r="O60" s="43"/>
      <c r="P60" s="43"/>
    </row>
    <row r="61" spans="1:16" x14ac:dyDescent="0.35">
      <c r="A61" s="24"/>
      <c r="B61" s="24"/>
      <c r="C61" s="24"/>
      <c r="D61" s="24"/>
      <c r="E61" s="24"/>
      <c r="F61" s="24"/>
      <c r="G61" s="24"/>
      <c r="H61" s="25"/>
      <c r="I61" s="24"/>
      <c r="J61" s="24"/>
      <c r="K61" s="43"/>
      <c r="L61" s="43"/>
      <c r="M61" s="43"/>
      <c r="N61" s="43"/>
      <c r="O61" s="43"/>
      <c r="P61" s="43"/>
    </row>
    <row r="62" spans="1:16" x14ac:dyDescent="0.35">
      <c r="A62" s="24"/>
      <c r="B62" s="24"/>
      <c r="C62" s="24"/>
      <c r="D62" s="24"/>
      <c r="E62" s="24"/>
      <c r="F62" s="24"/>
      <c r="G62" s="24"/>
      <c r="H62" s="25"/>
      <c r="I62" s="24"/>
      <c r="J62" s="24"/>
      <c r="K62" s="43"/>
      <c r="L62" s="43"/>
      <c r="M62" s="43"/>
      <c r="N62" s="43"/>
      <c r="O62" s="43"/>
      <c r="P62" s="43"/>
    </row>
    <row r="63" spans="1:16" x14ac:dyDescent="0.35">
      <c r="A63" s="24"/>
      <c r="B63" s="24"/>
      <c r="C63" s="24"/>
      <c r="D63" s="24"/>
      <c r="E63" s="24"/>
      <c r="F63" s="24"/>
      <c r="G63" s="24"/>
      <c r="H63" s="25"/>
      <c r="I63" s="24"/>
      <c r="J63" s="24"/>
      <c r="K63" s="43"/>
      <c r="L63" s="43"/>
      <c r="M63" s="43"/>
      <c r="N63" s="43"/>
      <c r="O63" s="43"/>
      <c r="P63" s="43"/>
    </row>
    <row r="64" spans="1:16" x14ac:dyDescent="0.35">
      <c r="A64" s="24"/>
      <c r="B64" s="24"/>
      <c r="C64" s="24"/>
      <c r="D64" s="24"/>
      <c r="E64" s="24"/>
      <c r="F64" s="24"/>
      <c r="G64" s="24"/>
      <c r="H64" s="25"/>
      <c r="I64" s="24"/>
      <c r="J64" s="24"/>
      <c r="K64" s="43"/>
      <c r="L64" s="43"/>
      <c r="M64" s="43"/>
      <c r="N64" s="43"/>
      <c r="O64" s="43"/>
      <c r="P64" s="43"/>
    </row>
    <row r="65" spans="1:16" x14ac:dyDescent="0.35">
      <c r="A65" s="24"/>
      <c r="B65" s="24"/>
      <c r="C65" s="24"/>
      <c r="D65" s="24"/>
      <c r="E65" s="24"/>
      <c r="F65" s="24"/>
      <c r="G65" s="24"/>
      <c r="H65" s="25"/>
      <c r="I65" s="24"/>
      <c r="J65" s="24"/>
      <c r="K65" s="43"/>
      <c r="L65" s="43"/>
      <c r="M65" s="43"/>
      <c r="N65" s="43"/>
      <c r="O65" s="43"/>
      <c r="P65" s="43"/>
    </row>
    <row r="66" spans="1:16" x14ac:dyDescent="0.35">
      <c r="A66" s="24"/>
      <c r="B66" s="24"/>
      <c r="C66" s="24"/>
      <c r="D66" s="24"/>
      <c r="E66" s="24"/>
      <c r="F66" s="24"/>
      <c r="G66" s="24"/>
      <c r="H66" s="25"/>
      <c r="I66" s="24"/>
      <c r="J66" s="24"/>
      <c r="K66" s="43"/>
      <c r="L66" s="43"/>
      <c r="M66" s="43"/>
      <c r="N66" s="43"/>
      <c r="O66" s="43"/>
      <c r="P66" s="43"/>
    </row>
    <row r="67" spans="1:16" x14ac:dyDescent="0.35">
      <c r="A67" s="24"/>
      <c r="B67" s="24"/>
      <c r="C67" s="24"/>
      <c r="D67" s="24"/>
      <c r="E67" s="24"/>
      <c r="F67" s="24"/>
      <c r="G67" s="24"/>
      <c r="H67" s="25"/>
      <c r="I67" s="24"/>
      <c r="J67" s="24"/>
      <c r="K67" s="43"/>
      <c r="L67" s="43"/>
      <c r="M67" s="43"/>
      <c r="N67" s="43"/>
      <c r="O67" s="43"/>
      <c r="P67" s="43"/>
    </row>
    <row r="68" spans="1:16" x14ac:dyDescent="0.35">
      <c r="A68" s="24"/>
      <c r="B68" s="24"/>
      <c r="C68" s="24"/>
      <c r="D68" s="24"/>
      <c r="E68" s="24"/>
      <c r="F68" s="24"/>
      <c r="G68" s="24"/>
      <c r="H68" s="25"/>
      <c r="I68" s="24"/>
      <c r="J68" s="24"/>
      <c r="K68" s="43"/>
      <c r="L68" s="43"/>
      <c r="M68" s="43"/>
      <c r="N68" s="43"/>
      <c r="O68" s="43"/>
      <c r="P68" s="43"/>
    </row>
    <row r="69" spans="1:16" x14ac:dyDescent="0.35">
      <c r="A69" s="24"/>
      <c r="B69" s="24"/>
      <c r="C69" s="24"/>
      <c r="D69" s="24"/>
      <c r="E69" s="24"/>
      <c r="F69" s="24"/>
      <c r="G69" s="24"/>
      <c r="H69" s="25"/>
      <c r="I69" s="24"/>
      <c r="J69" s="24"/>
      <c r="K69" s="43"/>
      <c r="L69" s="43"/>
      <c r="M69" s="43"/>
      <c r="N69" s="43"/>
      <c r="O69" s="43"/>
      <c r="P69" s="43"/>
    </row>
    <row r="70" spans="1:16" x14ac:dyDescent="0.35">
      <c r="A70" s="24"/>
      <c r="B70" s="24"/>
      <c r="C70" s="24"/>
      <c r="D70" s="24"/>
      <c r="E70" s="24"/>
      <c r="F70" s="24"/>
      <c r="G70" s="24"/>
      <c r="H70" s="25"/>
      <c r="I70" s="24"/>
      <c r="J70" s="24"/>
      <c r="K70" s="43"/>
      <c r="L70" s="43"/>
      <c r="M70" s="43"/>
      <c r="N70" s="43"/>
      <c r="O70" s="43"/>
      <c r="P70" s="43"/>
    </row>
    <row r="71" spans="1:16" x14ac:dyDescent="0.35">
      <c r="A71" s="24"/>
      <c r="B71" s="24"/>
      <c r="C71" s="24"/>
      <c r="D71" s="24"/>
      <c r="E71" s="24"/>
      <c r="F71" s="24"/>
      <c r="G71" s="24"/>
      <c r="H71" s="25"/>
      <c r="I71" s="24"/>
      <c r="J71" s="24"/>
      <c r="K71" s="43"/>
      <c r="L71" s="43"/>
      <c r="M71" s="43"/>
      <c r="N71" s="43"/>
      <c r="O71" s="43"/>
      <c r="P71" s="43"/>
    </row>
    <row r="72" spans="1:16" x14ac:dyDescent="0.35">
      <c r="A72" s="24"/>
      <c r="B72" s="24"/>
      <c r="C72" s="24"/>
      <c r="D72" s="24"/>
      <c r="E72" s="24"/>
      <c r="F72" s="24"/>
      <c r="G72" s="24"/>
      <c r="H72" s="25"/>
      <c r="I72" s="24"/>
      <c r="J72" s="24"/>
      <c r="K72" s="43"/>
      <c r="L72" s="43"/>
      <c r="M72" s="43"/>
      <c r="N72" s="43"/>
      <c r="O72" s="43"/>
      <c r="P72" s="43"/>
    </row>
    <row r="73" spans="1:16" x14ac:dyDescent="0.35">
      <c r="A73" s="24"/>
      <c r="B73" s="24"/>
      <c r="C73" s="24"/>
      <c r="D73" s="24"/>
      <c r="E73" s="24"/>
      <c r="F73" s="24"/>
      <c r="G73" s="24"/>
      <c r="H73" s="25"/>
      <c r="I73" s="24"/>
      <c r="J73" s="24"/>
      <c r="K73" s="43"/>
      <c r="L73" s="43"/>
      <c r="M73" s="43"/>
      <c r="N73" s="43"/>
      <c r="O73" s="43"/>
      <c r="P73" s="43"/>
    </row>
    <row r="74" spans="1:16" x14ac:dyDescent="0.35">
      <c r="A74" s="24"/>
      <c r="B74" s="24"/>
      <c r="C74" s="24"/>
      <c r="D74" s="24"/>
      <c r="E74" s="24"/>
      <c r="F74" s="24"/>
      <c r="G74" s="24"/>
      <c r="H74" s="25"/>
      <c r="I74" s="24"/>
      <c r="J74" s="24"/>
      <c r="K74" s="43"/>
      <c r="L74" s="43"/>
      <c r="M74" s="43"/>
      <c r="N74" s="43"/>
      <c r="O74" s="43"/>
      <c r="P74" s="43"/>
    </row>
    <row r="75" spans="1:16" x14ac:dyDescent="0.35">
      <c r="A75" s="24"/>
      <c r="B75" s="24"/>
      <c r="C75" s="24"/>
      <c r="D75" s="24"/>
      <c r="E75" s="24"/>
      <c r="F75" s="24"/>
      <c r="G75" s="24"/>
      <c r="H75" s="25"/>
      <c r="I75" s="24"/>
      <c r="J75" s="24"/>
      <c r="K75" s="43"/>
      <c r="L75" s="43"/>
      <c r="M75" s="43"/>
      <c r="N75" s="43"/>
      <c r="O75" s="43"/>
      <c r="P75" s="43"/>
    </row>
    <row r="76" spans="1:16" x14ac:dyDescent="0.35">
      <c r="A76" s="24"/>
      <c r="B76" s="24"/>
      <c r="C76" s="24"/>
      <c r="D76" s="24"/>
      <c r="E76" s="24"/>
      <c r="F76" s="24"/>
      <c r="G76" s="24"/>
      <c r="H76" s="25"/>
      <c r="I76" s="24"/>
      <c r="J76" s="24"/>
      <c r="K76" s="43"/>
      <c r="L76" s="43"/>
      <c r="M76" s="43"/>
      <c r="N76" s="43"/>
      <c r="O76" s="43"/>
      <c r="P76" s="43"/>
    </row>
    <row r="77" spans="1:16" x14ac:dyDescent="0.35">
      <c r="A77" s="24"/>
      <c r="B77" s="24"/>
      <c r="C77" s="24"/>
      <c r="D77" s="24"/>
      <c r="E77" s="24"/>
      <c r="F77" s="24"/>
      <c r="G77" s="24"/>
      <c r="H77" s="25"/>
      <c r="I77" s="24"/>
      <c r="J77" s="24"/>
      <c r="K77" s="43"/>
      <c r="L77" s="43"/>
      <c r="M77" s="43"/>
      <c r="N77" s="43"/>
      <c r="O77" s="43"/>
      <c r="P77" s="43"/>
    </row>
    <row r="78" spans="1:16" x14ac:dyDescent="0.35">
      <c r="A78" s="24"/>
      <c r="B78" s="24"/>
      <c r="C78" s="24"/>
      <c r="D78" s="24"/>
      <c r="E78" s="24"/>
      <c r="F78" s="24"/>
      <c r="G78" s="24"/>
      <c r="H78" s="25"/>
      <c r="I78" s="24"/>
      <c r="J78" s="24"/>
      <c r="K78" s="43"/>
      <c r="L78" s="43"/>
      <c r="M78" s="43"/>
      <c r="N78" s="43"/>
      <c r="O78" s="43"/>
      <c r="P78" s="43"/>
    </row>
    <row r="79" spans="1:16" x14ac:dyDescent="0.35">
      <c r="A79" s="24"/>
      <c r="B79" s="24"/>
      <c r="C79" s="24"/>
      <c r="D79" s="24"/>
      <c r="E79" s="24"/>
      <c r="F79" s="24"/>
      <c r="G79" s="24"/>
      <c r="H79" s="25"/>
      <c r="I79" s="24"/>
      <c r="J79" s="24"/>
      <c r="K79" s="43"/>
      <c r="L79" s="43"/>
      <c r="M79" s="43"/>
      <c r="N79" s="43"/>
      <c r="O79" s="43"/>
      <c r="P79" s="43"/>
    </row>
    <row r="80" spans="1:16" x14ac:dyDescent="0.35">
      <c r="A80" s="24"/>
      <c r="B80" s="24"/>
      <c r="C80" s="24"/>
      <c r="D80" s="24"/>
      <c r="E80" s="24"/>
      <c r="F80" s="24"/>
      <c r="G80" s="24"/>
      <c r="H80" s="25"/>
      <c r="I80" s="24"/>
      <c r="J80" s="24"/>
      <c r="K80" s="43"/>
      <c r="L80" s="43"/>
      <c r="M80" s="43"/>
      <c r="N80" s="43"/>
      <c r="O80" s="43"/>
      <c r="P80" s="43"/>
    </row>
    <row r="81" spans="1:16" x14ac:dyDescent="0.35">
      <c r="A81" s="24"/>
      <c r="B81" s="24"/>
      <c r="C81" s="24"/>
      <c r="D81" s="24"/>
      <c r="E81" s="24"/>
      <c r="F81" s="24"/>
      <c r="G81" s="24"/>
      <c r="H81" s="25"/>
      <c r="I81" s="24"/>
      <c r="J81" s="24"/>
      <c r="K81" s="43"/>
      <c r="L81" s="43"/>
      <c r="M81" s="43"/>
      <c r="N81" s="43"/>
      <c r="O81" s="43"/>
      <c r="P81" s="43"/>
    </row>
    <row r="82" spans="1:16" x14ac:dyDescent="0.35">
      <c r="A82" s="24"/>
      <c r="B82" s="24"/>
      <c r="C82" s="24"/>
      <c r="D82" s="24"/>
      <c r="E82" s="24"/>
      <c r="F82" s="24"/>
      <c r="G82" s="24"/>
      <c r="H82" s="25"/>
      <c r="I82" s="24"/>
      <c r="J82" s="24"/>
      <c r="K82" s="43"/>
      <c r="L82" s="43"/>
      <c r="M82" s="43"/>
      <c r="N82" s="43"/>
      <c r="O82" s="43"/>
      <c r="P82" s="43"/>
    </row>
    <row r="83" spans="1:16" x14ac:dyDescent="0.35">
      <c r="A83" s="24"/>
      <c r="B83" s="24"/>
      <c r="C83" s="24"/>
      <c r="D83" s="24"/>
      <c r="E83" s="24"/>
      <c r="F83" s="24"/>
      <c r="G83" s="24"/>
      <c r="H83" s="25"/>
      <c r="I83" s="24"/>
      <c r="J83" s="24"/>
      <c r="K83" s="43"/>
      <c r="L83" s="43"/>
      <c r="M83" s="43"/>
      <c r="N83" s="43"/>
      <c r="O83" s="43"/>
      <c r="P83" s="43"/>
    </row>
    <row r="84" spans="1:16" x14ac:dyDescent="0.35">
      <c r="A84" s="24"/>
      <c r="B84" s="24"/>
      <c r="C84" s="24"/>
      <c r="D84" s="24"/>
      <c r="E84" s="24"/>
      <c r="F84" s="24"/>
      <c r="G84" s="24"/>
      <c r="H84" s="25"/>
      <c r="I84" s="24"/>
      <c r="J84" s="24"/>
      <c r="K84" s="43"/>
      <c r="L84" s="43"/>
      <c r="M84" s="43"/>
      <c r="N84" s="43"/>
      <c r="O84" s="43"/>
      <c r="P84" s="43"/>
    </row>
    <row r="85" spans="1:16" x14ac:dyDescent="0.35">
      <c r="A85" s="24"/>
      <c r="B85" s="24"/>
      <c r="C85" s="24"/>
      <c r="D85" s="24"/>
      <c r="E85" s="24"/>
      <c r="F85" s="24"/>
      <c r="G85" s="24"/>
      <c r="H85" s="25"/>
      <c r="I85" s="24"/>
      <c r="J85" s="24"/>
      <c r="K85" s="43"/>
      <c r="L85" s="43"/>
      <c r="M85" s="43"/>
      <c r="N85" s="43"/>
      <c r="O85" s="43"/>
      <c r="P85" s="43"/>
    </row>
    <row r="86" spans="1:16" x14ac:dyDescent="0.35">
      <c r="A86" s="24"/>
      <c r="B86" s="24"/>
      <c r="C86" s="24"/>
      <c r="D86" s="24"/>
      <c r="E86" s="24"/>
      <c r="F86" s="24"/>
      <c r="G86" s="24"/>
      <c r="H86" s="25"/>
      <c r="I86" s="24"/>
      <c r="J86" s="24"/>
      <c r="K86" s="43"/>
      <c r="L86" s="43"/>
      <c r="M86" s="43"/>
      <c r="N86" s="43"/>
      <c r="O86" s="43"/>
      <c r="P86" s="43"/>
    </row>
    <row r="87" spans="1:16" x14ac:dyDescent="0.35">
      <c r="A87" s="24"/>
      <c r="B87" s="24"/>
      <c r="C87" s="24"/>
      <c r="D87" s="24"/>
      <c r="E87" s="24"/>
      <c r="F87" s="24"/>
      <c r="G87" s="24"/>
      <c r="H87" s="25"/>
      <c r="I87" s="24"/>
      <c r="J87" s="24"/>
      <c r="K87" s="43"/>
      <c r="L87" s="43"/>
      <c r="M87" s="43"/>
      <c r="N87" s="43"/>
      <c r="O87" s="43"/>
      <c r="P87" s="43"/>
    </row>
    <row r="88" spans="1:16" x14ac:dyDescent="0.35">
      <c r="A88" s="24"/>
      <c r="B88" s="24"/>
      <c r="C88" s="24"/>
      <c r="D88" s="24"/>
      <c r="E88" s="24"/>
      <c r="F88" s="24"/>
      <c r="G88" s="24"/>
      <c r="H88" s="25"/>
      <c r="I88" s="24"/>
      <c r="J88" s="24"/>
      <c r="K88" s="43"/>
      <c r="L88" s="43"/>
      <c r="M88" s="43"/>
      <c r="N88" s="43"/>
      <c r="O88" s="43"/>
      <c r="P88" s="43"/>
    </row>
    <row r="89" spans="1:16" x14ac:dyDescent="0.35">
      <c r="A89" s="24"/>
      <c r="B89" s="24"/>
      <c r="C89" s="24"/>
      <c r="D89" s="24"/>
      <c r="E89" s="24"/>
      <c r="F89" s="24"/>
      <c r="G89" s="24"/>
      <c r="H89" s="25"/>
      <c r="I89" s="24"/>
      <c r="J89" s="24"/>
      <c r="K89" s="43"/>
      <c r="L89" s="43"/>
      <c r="M89" s="43"/>
      <c r="N89" s="43"/>
      <c r="O89" s="43"/>
      <c r="P89" s="43"/>
    </row>
    <row r="90" spans="1:16" x14ac:dyDescent="0.35">
      <c r="A90" s="24"/>
      <c r="B90" s="24"/>
      <c r="C90" s="24"/>
      <c r="D90" s="24"/>
      <c r="E90" s="24"/>
      <c r="F90" s="24"/>
      <c r="G90" s="24"/>
      <c r="H90" s="25"/>
      <c r="I90" s="24"/>
      <c r="J90" s="24"/>
      <c r="K90" s="43"/>
      <c r="L90" s="43"/>
      <c r="M90" s="43"/>
      <c r="N90" s="43"/>
      <c r="O90" s="43"/>
      <c r="P90" s="43"/>
    </row>
    <row r="91" spans="1:16" x14ac:dyDescent="0.35">
      <c r="A91" s="24"/>
      <c r="B91" s="24"/>
      <c r="C91" s="24"/>
      <c r="D91" s="24"/>
      <c r="E91" s="24"/>
      <c r="F91" s="24"/>
      <c r="G91" s="24"/>
      <c r="H91" s="25"/>
      <c r="I91" s="24"/>
      <c r="J91" s="24"/>
      <c r="K91" s="43"/>
      <c r="L91" s="43"/>
      <c r="M91" s="43"/>
      <c r="N91" s="43"/>
      <c r="O91" s="43"/>
      <c r="P91" s="43"/>
    </row>
    <row r="92" spans="1:16" x14ac:dyDescent="0.35">
      <c r="A92" s="24"/>
      <c r="B92" s="24"/>
      <c r="C92" s="24"/>
      <c r="D92" s="24"/>
      <c r="E92" s="24"/>
      <c r="F92" s="24"/>
      <c r="G92" s="24"/>
      <c r="H92" s="25"/>
      <c r="I92" s="24"/>
      <c r="J92" s="24"/>
      <c r="K92" s="43"/>
      <c r="L92" s="43"/>
      <c r="M92" s="43"/>
      <c r="N92" s="43"/>
      <c r="O92" s="43"/>
      <c r="P92" s="43"/>
    </row>
    <row r="93" spans="1:16" x14ac:dyDescent="0.35">
      <c r="A93" s="24"/>
      <c r="B93" s="24"/>
      <c r="C93" s="24"/>
      <c r="D93" s="24"/>
      <c r="E93" s="24"/>
      <c r="F93" s="24"/>
      <c r="G93" s="24"/>
      <c r="H93" s="25"/>
      <c r="I93" s="24"/>
      <c r="J93" s="24"/>
      <c r="K93" s="43"/>
      <c r="L93" s="43"/>
      <c r="M93" s="43"/>
      <c r="N93" s="43"/>
      <c r="O93" s="43"/>
      <c r="P93" s="43"/>
    </row>
    <row r="94" spans="1:16" x14ac:dyDescent="0.35">
      <c r="A94" s="24"/>
      <c r="B94" s="24"/>
      <c r="C94" s="24"/>
      <c r="D94" s="24"/>
      <c r="E94" s="24"/>
      <c r="F94" s="24"/>
      <c r="G94" s="24"/>
      <c r="H94" s="25"/>
      <c r="I94" s="24"/>
      <c r="J94" s="24"/>
      <c r="K94" s="43"/>
      <c r="L94" s="43"/>
      <c r="M94" s="43"/>
      <c r="N94" s="43"/>
      <c r="O94" s="43"/>
      <c r="P94" s="43"/>
    </row>
    <row r="95" spans="1:16" x14ac:dyDescent="0.35">
      <c r="A95" s="24"/>
      <c r="B95" s="24"/>
      <c r="C95" s="24"/>
      <c r="D95" s="24"/>
      <c r="E95" s="24"/>
      <c r="F95" s="24"/>
      <c r="G95" s="24"/>
      <c r="H95" s="25"/>
      <c r="I95" s="24"/>
      <c r="J95" s="24"/>
      <c r="K95" s="43"/>
      <c r="L95" s="43"/>
      <c r="M95" s="43"/>
      <c r="N95" s="43"/>
      <c r="O95" s="43"/>
      <c r="P95" s="43"/>
    </row>
    <row r="96" spans="1:16" x14ac:dyDescent="0.35">
      <c r="A96" s="24"/>
      <c r="B96" s="24"/>
      <c r="C96" s="24"/>
      <c r="D96" s="24"/>
      <c r="E96" s="24"/>
      <c r="F96" s="24"/>
      <c r="G96" s="24"/>
      <c r="H96" s="25"/>
      <c r="I96" s="24"/>
      <c r="J96" s="24"/>
      <c r="K96" s="43"/>
      <c r="L96" s="43"/>
      <c r="M96" s="43"/>
      <c r="N96" s="43"/>
      <c r="O96" s="43"/>
      <c r="P96" s="43"/>
    </row>
    <row r="97" spans="1:16" x14ac:dyDescent="0.35">
      <c r="A97" s="24"/>
      <c r="B97" s="24"/>
      <c r="C97" s="24"/>
      <c r="D97" s="24"/>
      <c r="E97" s="24"/>
      <c r="F97" s="24"/>
      <c r="G97" s="24"/>
      <c r="H97" s="25"/>
      <c r="I97" s="24"/>
      <c r="J97" s="24"/>
      <c r="K97" s="43"/>
      <c r="L97" s="43"/>
      <c r="M97" s="43"/>
      <c r="N97" s="43"/>
      <c r="O97" s="43"/>
      <c r="P97" s="43"/>
    </row>
    <row r="98" spans="1:16" x14ac:dyDescent="0.35">
      <c r="A98" s="24"/>
      <c r="B98" s="24"/>
      <c r="C98" s="24"/>
      <c r="D98" s="24"/>
      <c r="E98" s="24"/>
      <c r="F98" s="24"/>
      <c r="G98" s="24"/>
      <c r="H98" s="25"/>
      <c r="I98" s="24"/>
      <c r="J98" s="24"/>
      <c r="K98" s="43"/>
      <c r="L98" s="43"/>
      <c r="M98" s="43"/>
      <c r="N98" s="43"/>
      <c r="O98" s="43"/>
      <c r="P98" s="43"/>
    </row>
    <row r="99" spans="1:16" x14ac:dyDescent="0.35">
      <c r="A99" s="24"/>
      <c r="B99" s="24"/>
      <c r="C99" s="24"/>
      <c r="D99" s="24"/>
      <c r="E99" s="24"/>
      <c r="F99" s="24"/>
      <c r="G99" s="24"/>
      <c r="H99" s="25"/>
      <c r="I99" s="24"/>
      <c r="J99" s="24"/>
      <c r="K99" s="43"/>
      <c r="L99" s="43"/>
      <c r="M99" s="43"/>
      <c r="N99" s="43"/>
      <c r="O99" s="43"/>
      <c r="P99" s="43"/>
    </row>
    <row r="100" spans="1:16" x14ac:dyDescent="0.35">
      <c r="A100" s="24"/>
      <c r="B100" s="24"/>
      <c r="C100" s="24"/>
      <c r="D100" s="24"/>
      <c r="E100" s="24"/>
      <c r="F100" s="24"/>
      <c r="G100" s="24"/>
      <c r="H100" s="25"/>
      <c r="I100" s="24"/>
      <c r="J100" s="24"/>
      <c r="K100" s="43"/>
      <c r="L100" s="43"/>
      <c r="M100" s="43"/>
      <c r="N100" s="43"/>
      <c r="O100" s="43"/>
      <c r="P100" s="43"/>
    </row>
    <row r="101" spans="1:16" x14ac:dyDescent="0.35">
      <c r="A101" s="24"/>
      <c r="B101" s="24"/>
      <c r="C101" s="24"/>
      <c r="D101" s="24"/>
      <c r="E101" s="24"/>
      <c r="F101" s="24"/>
      <c r="G101" s="24"/>
      <c r="H101" s="25"/>
      <c r="I101" s="24"/>
      <c r="J101" s="24"/>
      <c r="K101" s="43"/>
      <c r="L101" s="43"/>
      <c r="M101" s="43"/>
      <c r="N101" s="43"/>
      <c r="O101" s="43"/>
      <c r="P101" s="43"/>
    </row>
    <row r="102" spans="1:16" x14ac:dyDescent="0.35">
      <c r="A102" s="24"/>
      <c r="B102" s="24"/>
      <c r="C102" s="24"/>
      <c r="D102" s="24"/>
      <c r="E102" s="24"/>
      <c r="F102" s="24"/>
      <c r="G102" s="24"/>
      <c r="H102" s="25"/>
      <c r="I102" s="24"/>
      <c r="J102" s="24"/>
      <c r="K102" s="43"/>
      <c r="L102" s="43"/>
      <c r="M102" s="43"/>
      <c r="N102" s="43"/>
      <c r="O102" s="43"/>
      <c r="P102" s="43"/>
    </row>
    <row r="103" spans="1:16" x14ac:dyDescent="0.35">
      <c r="A103" s="24"/>
      <c r="B103" s="24"/>
      <c r="C103" s="24"/>
      <c r="D103" s="24"/>
      <c r="E103" s="24"/>
      <c r="F103" s="24"/>
      <c r="G103" s="24"/>
      <c r="H103" s="25"/>
      <c r="I103" s="24"/>
      <c r="J103" s="24"/>
      <c r="K103" s="43"/>
      <c r="L103" s="43"/>
      <c r="M103" s="43"/>
      <c r="N103" s="43"/>
      <c r="O103" s="43"/>
      <c r="P103" s="43"/>
    </row>
    <row r="104" spans="1:16" x14ac:dyDescent="0.35">
      <c r="A104" s="24"/>
      <c r="B104" s="24"/>
      <c r="C104" s="24"/>
      <c r="D104" s="24"/>
      <c r="E104" s="24"/>
      <c r="F104" s="24"/>
      <c r="G104" s="24"/>
      <c r="H104" s="25"/>
      <c r="I104" s="24"/>
      <c r="J104" s="24"/>
      <c r="K104" s="43"/>
      <c r="L104" s="43"/>
      <c r="M104" s="43"/>
      <c r="N104" s="43"/>
      <c r="O104" s="43"/>
      <c r="P104" s="43"/>
    </row>
    <row r="105" spans="1:16" x14ac:dyDescent="0.35">
      <c r="A105" s="24"/>
      <c r="B105" s="24"/>
      <c r="C105" s="24"/>
      <c r="D105" s="24"/>
      <c r="E105" s="24"/>
      <c r="F105" s="24"/>
      <c r="G105" s="24"/>
      <c r="H105" s="25"/>
      <c r="I105" s="24"/>
      <c r="J105" s="24"/>
      <c r="K105" s="43"/>
      <c r="L105" s="43"/>
      <c r="M105" s="43"/>
      <c r="N105" s="43"/>
      <c r="O105" s="43"/>
      <c r="P105" s="43"/>
    </row>
    <row r="106" spans="1:16" x14ac:dyDescent="0.35">
      <c r="A106" s="24"/>
      <c r="B106" s="24"/>
      <c r="C106" s="24"/>
      <c r="D106" s="24"/>
      <c r="E106" s="24"/>
      <c r="F106" s="24"/>
      <c r="G106" s="24"/>
      <c r="H106" s="25"/>
      <c r="I106" s="24"/>
      <c r="J106" s="24"/>
      <c r="K106" s="43"/>
      <c r="L106" s="43"/>
      <c r="M106" s="43"/>
      <c r="N106" s="43"/>
      <c r="O106" s="43"/>
      <c r="P106" s="43"/>
    </row>
    <row r="107" spans="1:16" x14ac:dyDescent="0.35">
      <c r="A107" s="24"/>
      <c r="B107" s="24"/>
      <c r="C107" s="24"/>
      <c r="D107" s="24"/>
      <c r="E107" s="24"/>
      <c r="F107" s="24"/>
      <c r="G107" s="24"/>
      <c r="H107" s="25"/>
      <c r="I107" s="24"/>
      <c r="J107" s="24"/>
      <c r="K107" s="43"/>
      <c r="L107" s="43"/>
      <c r="M107" s="43"/>
      <c r="N107" s="43"/>
      <c r="O107" s="43"/>
      <c r="P107" s="43"/>
    </row>
    <row r="108" spans="1:16" x14ac:dyDescent="0.35">
      <c r="A108" s="24"/>
      <c r="B108" s="24"/>
      <c r="C108" s="24"/>
      <c r="D108" s="24"/>
      <c r="E108" s="24"/>
      <c r="F108" s="24"/>
      <c r="G108" s="24"/>
      <c r="H108" s="25"/>
      <c r="I108" s="24"/>
      <c r="J108" s="24"/>
      <c r="K108" s="43"/>
      <c r="L108" s="43"/>
      <c r="M108" s="43"/>
      <c r="N108" s="43"/>
      <c r="O108" s="43"/>
      <c r="P108" s="43"/>
    </row>
    <row r="109" spans="1:16" x14ac:dyDescent="0.35">
      <c r="A109" s="24"/>
      <c r="B109" s="24"/>
      <c r="C109" s="24"/>
      <c r="D109" s="24"/>
      <c r="E109" s="24"/>
      <c r="F109" s="24"/>
      <c r="G109" s="24"/>
      <c r="H109" s="25"/>
      <c r="I109" s="24"/>
      <c r="J109" s="24"/>
      <c r="K109" s="43"/>
      <c r="L109" s="43"/>
      <c r="M109" s="43"/>
      <c r="N109" s="43"/>
      <c r="O109" s="43"/>
      <c r="P109" s="43"/>
    </row>
    <row r="110" spans="1:16" x14ac:dyDescent="0.35">
      <c r="A110" s="24"/>
      <c r="B110" s="24"/>
      <c r="C110" s="24"/>
      <c r="D110" s="24"/>
      <c r="E110" s="24"/>
      <c r="F110" s="24"/>
      <c r="G110" s="24"/>
      <c r="H110" s="25"/>
      <c r="I110" s="24"/>
      <c r="J110" s="24"/>
      <c r="K110" s="43"/>
      <c r="L110" s="43"/>
      <c r="M110" s="43"/>
      <c r="N110" s="43"/>
      <c r="O110" s="43"/>
      <c r="P110" s="43"/>
    </row>
    <row r="111" spans="1:16" x14ac:dyDescent="0.35">
      <c r="A111" s="24"/>
      <c r="B111" s="24"/>
      <c r="C111" s="24"/>
      <c r="D111" s="24"/>
      <c r="E111" s="24"/>
      <c r="F111" s="24"/>
      <c r="G111" s="24"/>
      <c r="H111" s="25"/>
      <c r="I111" s="24"/>
      <c r="J111" s="24"/>
      <c r="K111" s="43"/>
      <c r="L111" s="43"/>
      <c r="M111" s="43"/>
      <c r="N111" s="43"/>
      <c r="O111" s="43"/>
      <c r="P111" s="43"/>
    </row>
    <row r="112" spans="1:16" x14ac:dyDescent="0.35">
      <c r="A112" s="24"/>
      <c r="B112" s="24"/>
      <c r="C112" s="24"/>
      <c r="D112" s="24"/>
      <c r="E112" s="24"/>
      <c r="F112" s="24"/>
      <c r="G112" s="24"/>
      <c r="H112" s="25"/>
      <c r="I112" s="24"/>
      <c r="J112" s="24"/>
      <c r="K112" s="43"/>
      <c r="L112" s="43"/>
      <c r="M112" s="43"/>
      <c r="N112" s="43"/>
      <c r="O112" s="43"/>
      <c r="P112" s="43"/>
    </row>
    <row r="113" spans="1:16" x14ac:dyDescent="0.35">
      <c r="A113" s="24"/>
      <c r="B113" s="24"/>
      <c r="C113" s="24"/>
      <c r="D113" s="24"/>
      <c r="E113" s="24"/>
      <c r="F113" s="24"/>
      <c r="G113" s="24"/>
      <c r="H113" s="25"/>
      <c r="I113" s="24"/>
      <c r="J113" s="24"/>
      <c r="K113" s="43"/>
      <c r="L113" s="43"/>
      <c r="M113" s="43"/>
      <c r="N113" s="43"/>
      <c r="O113" s="43"/>
      <c r="P113" s="43"/>
    </row>
    <row r="114" spans="1:16" x14ac:dyDescent="0.35">
      <c r="A114" s="24"/>
      <c r="B114" s="24"/>
      <c r="C114" s="24"/>
      <c r="D114" s="24"/>
      <c r="E114" s="24"/>
      <c r="F114" s="24"/>
      <c r="G114" s="24"/>
      <c r="H114" s="25"/>
      <c r="I114" s="24"/>
      <c r="J114" s="24"/>
      <c r="K114" s="43"/>
      <c r="L114" s="43"/>
      <c r="M114" s="43"/>
      <c r="N114" s="43"/>
      <c r="O114" s="43"/>
      <c r="P114" s="43"/>
    </row>
    <row r="115" spans="1:16" x14ac:dyDescent="0.35">
      <c r="A115" s="24"/>
      <c r="B115" s="24"/>
      <c r="C115" s="24"/>
      <c r="D115" s="24"/>
      <c r="E115" s="24"/>
      <c r="F115" s="24"/>
      <c r="G115" s="24"/>
      <c r="H115" s="25"/>
      <c r="I115" s="24"/>
      <c r="J115" s="24"/>
      <c r="K115" s="43"/>
      <c r="L115" s="43"/>
      <c r="M115" s="43"/>
      <c r="N115" s="43"/>
      <c r="O115" s="43"/>
      <c r="P115" s="43"/>
    </row>
    <row r="116" spans="1:16" x14ac:dyDescent="0.35">
      <c r="A116" s="24"/>
      <c r="B116" s="24"/>
      <c r="C116" s="24"/>
      <c r="D116" s="24"/>
      <c r="E116" s="24"/>
      <c r="F116" s="24"/>
      <c r="G116" s="24"/>
      <c r="H116" s="25"/>
      <c r="I116" s="24"/>
      <c r="J116" s="24"/>
      <c r="K116" s="43"/>
      <c r="L116" s="43"/>
      <c r="M116" s="43"/>
      <c r="N116" s="43"/>
      <c r="O116" s="43"/>
      <c r="P116" s="43"/>
    </row>
    <row r="117" spans="1:16" x14ac:dyDescent="0.35">
      <c r="A117" s="24"/>
      <c r="B117" s="24"/>
      <c r="C117" s="24"/>
      <c r="D117" s="24"/>
      <c r="E117" s="24"/>
      <c r="F117" s="24"/>
      <c r="G117" s="24"/>
      <c r="H117" s="25"/>
      <c r="I117" s="24"/>
      <c r="J117" s="24"/>
      <c r="K117" s="43"/>
      <c r="L117" s="43"/>
      <c r="M117" s="43"/>
      <c r="N117" s="43"/>
      <c r="O117" s="43"/>
      <c r="P117" s="43"/>
    </row>
    <row r="118" spans="1:16" x14ac:dyDescent="0.35">
      <c r="A118" s="24"/>
      <c r="B118" s="24"/>
      <c r="C118" s="24"/>
      <c r="D118" s="24"/>
      <c r="E118" s="24"/>
      <c r="F118" s="24"/>
      <c r="G118" s="24"/>
      <c r="H118" s="25"/>
      <c r="I118" s="24"/>
      <c r="J118" s="24"/>
      <c r="K118" s="43"/>
      <c r="L118" s="43"/>
      <c r="M118" s="43"/>
      <c r="N118" s="43"/>
      <c r="O118" s="43"/>
      <c r="P118" s="43"/>
    </row>
    <row r="119" spans="1:16" x14ac:dyDescent="0.35">
      <c r="A119" s="24"/>
      <c r="B119" s="24"/>
      <c r="C119" s="24"/>
      <c r="D119" s="24"/>
      <c r="E119" s="24"/>
      <c r="F119" s="24"/>
      <c r="G119" s="24"/>
      <c r="H119" s="25"/>
      <c r="I119" s="24"/>
      <c r="J119" s="24"/>
      <c r="K119" s="43"/>
      <c r="L119" s="43"/>
      <c r="M119" s="43"/>
      <c r="N119" s="43"/>
      <c r="O119" s="43"/>
      <c r="P119" s="43"/>
    </row>
    <row r="120" spans="1:16" x14ac:dyDescent="0.35">
      <c r="A120" s="24"/>
      <c r="B120" s="24"/>
      <c r="C120" s="24"/>
      <c r="D120" s="24"/>
      <c r="E120" s="24"/>
      <c r="F120" s="24"/>
      <c r="G120" s="24"/>
      <c r="H120" s="25"/>
      <c r="I120" s="24"/>
      <c r="J120" s="24"/>
      <c r="K120" s="43"/>
      <c r="L120" s="43"/>
      <c r="M120" s="43"/>
      <c r="N120" s="43"/>
      <c r="O120" s="43"/>
      <c r="P120" s="43"/>
    </row>
    <row r="121" spans="1:16" x14ac:dyDescent="0.35">
      <c r="A121" s="24"/>
      <c r="B121" s="24"/>
      <c r="C121" s="24"/>
      <c r="D121" s="24"/>
      <c r="E121" s="24"/>
      <c r="F121" s="24"/>
      <c r="G121" s="24"/>
      <c r="H121" s="25"/>
      <c r="I121" s="24"/>
      <c r="J121" s="24"/>
      <c r="K121" s="43"/>
      <c r="L121" s="43"/>
      <c r="M121" s="43"/>
      <c r="N121" s="43"/>
      <c r="O121" s="43"/>
      <c r="P121" s="43"/>
    </row>
    <row r="122" spans="1:16" x14ac:dyDescent="0.35">
      <c r="A122" s="24"/>
      <c r="B122" s="24"/>
      <c r="C122" s="24"/>
      <c r="D122" s="24"/>
      <c r="E122" s="24"/>
      <c r="F122" s="24"/>
      <c r="G122" s="24"/>
      <c r="H122" s="25"/>
      <c r="I122" s="24"/>
      <c r="J122" s="24"/>
      <c r="K122" s="43"/>
      <c r="L122" s="43"/>
      <c r="M122" s="43"/>
      <c r="N122" s="43"/>
      <c r="O122" s="43"/>
      <c r="P122" s="43"/>
    </row>
    <row r="123" spans="1:16" x14ac:dyDescent="0.35">
      <c r="A123" s="24"/>
      <c r="B123" s="24"/>
      <c r="C123" s="24"/>
      <c r="D123" s="24"/>
      <c r="E123" s="24"/>
      <c r="F123" s="24"/>
      <c r="G123" s="24"/>
      <c r="H123" s="25"/>
      <c r="I123" s="24"/>
      <c r="J123" s="24"/>
      <c r="K123" s="43"/>
      <c r="L123" s="43"/>
      <c r="M123" s="43"/>
      <c r="N123" s="43"/>
      <c r="O123" s="43"/>
      <c r="P123" s="43"/>
    </row>
    <row r="124" spans="1:16" x14ac:dyDescent="0.35">
      <c r="A124" s="24"/>
      <c r="B124" s="24"/>
      <c r="C124" s="24"/>
      <c r="D124" s="24"/>
      <c r="E124" s="24"/>
      <c r="F124" s="24"/>
      <c r="G124" s="24"/>
      <c r="H124" s="25"/>
      <c r="I124" s="24"/>
      <c r="J124" s="24"/>
      <c r="K124" s="43"/>
      <c r="L124" s="43"/>
      <c r="M124" s="43"/>
      <c r="N124" s="43"/>
      <c r="O124" s="43"/>
      <c r="P124" s="43"/>
    </row>
    <row r="125" spans="1:16" x14ac:dyDescent="0.35">
      <c r="A125" s="24"/>
      <c r="B125" s="24"/>
      <c r="C125" s="24"/>
      <c r="D125" s="24"/>
      <c r="E125" s="24"/>
      <c r="F125" s="24"/>
      <c r="G125" s="24"/>
      <c r="H125" s="25"/>
      <c r="I125" s="24"/>
      <c r="J125" s="24"/>
      <c r="K125" s="43"/>
      <c r="L125" s="43"/>
      <c r="M125" s="43"/>
      <c r="N125" s="43"/>
      <c r="O125" s="43"/>
      <c r="P125" s="43"/>
    </row>
    <row r="126" spans="1:16" x14ac:dyDescent="0.35">
      <c r="A126" s="24"/>
      <c r="B126" s="24"/>
      <c r="C126" s="24"/>
      <c r="D126" s="24"/>
      <c r="E126" s="24"/>
      <c r="F126" s="24"/>
      <c r="G126" s="24"/>
      <c r="H126" s="25"/>
      <c r="I126" s="24"/>
      <c r="J126" s="24"/>
      <c r="K126" s="43"/>
      <c r="L126" s="43"/>
      <c r="M126" s="43"/>
      <c r="N126" s="43"/>
      <c r="O126" s="43"/>
      <c r="P126" s="43"/>
    </row>
    <row r="127" spans="1:16" x14ac:dyDescent="0.35">
      <c r="A127" s="24"/>
      <c r="B127" s="24"/>
      <c r="C127" s="24"/>
      <c r="D127" s="24"/>
      <c r="E127" s="24"/>
      <c r="F127" s="24"/>
      <c r="G127" s="24"/>
      <c r="H127" s="25"/>
      <c r="I127" s="24"/>
      <c r="J127" s="24"/>
      <c r="K127" s="43"/>
      <c r="L127" s="43"/>
      <c r="M127" s="43"/>
      <c r="N127" s="43"/>
      <c r="O127" s="43"/>
      <c r="P127" s="43"/>
    </row>
    <row r="128" spans="1:16" x14ac:dyDescent="0.35">
      <c r="A128" s="24"/>
      <c r="B128" s="24"/>
      <c r="C128" s="24"/>
      <c r="D128" s="24"/>
      <c r="E128" s="24"/>
      <c r="F128" s="24"/>
      <c r="G128" s="24"/>
      <c r="H128" s="25"/>
      <c r="I128" s="24"/>
      <c r="J128" s="24"/>
      <c r="K128" s="43"/>
      <c r="L128" s="43"/>
      <c r="M128" s="43"/>
      <c r="N128" s="43"/>
      <c r="O128" s="43"/>
      <c r="P128" s="43"/>
    </row>
    <row r="129" spans="1:16" x14ac:dyDescent="0.35">
      <c r="A129" s="24"/>
      <c r="B129" s="24"/>
      <c r="C129" s="24"/>
      <c r="D129" s="24"/>
      <c r="E129" s="24"/>
      <c r="F129" s="24"/>
      <c r="G129" s="24"/>
      <c r="H129" s="25"/>
      <c r="I129" s="24"/>
      <c r="J129" s="24"/>
      <c r="K129" s="43"/>
      <c r="L129" s="43"/>
      <c r="M129" s="43"/>
      <c r="N129" s="43"/>
      <c r="O129" s="43"/>
      <c r="P129" s="43"/>
    </row>
    <row r="130" spans="1:16" x14ac:dyDescent="0.35">
      <c r="A130" s="24"/>
      <c r="B130" s="24"/>
      <c r="C130" s="24"/>
      <c r="D130" s="24"/>
      <c r="E130" s="24"/>
      <c r="F130" s="24"/>
      <c r="G130" s="24"/>
      <c r="H130" s="25"/>
      <c r="I130" s="24"/>
      <c r="J130" s="24"/>
      <c r="K130" s="43"/>
      <c r="L130" s="43"/>
      <c r="M130" s="43"/>
      <c r="N130" s="43"/>
      <c r="O130" s="43"/>
      <c r="P130" s="43"/>
    </row>
    <row r="131" spans="1:16" x14ac:dyDescent="0.35">
      <c r="A131" s="24"/>
      <c r="B131" s="24"/>
      <c r="C131" s="24"/>
      <c r="D131" s="24"/>
      <c r="E131" s="24"/>
      <c r="F131" s="24"/>
      <c r="G131" s="24"/>
      <c r="H131" s="25"/>
      <c r="I131" s="24"/>
      <c r="J131" s="24"/>
      <c r="K131" s="43"/>
      <c r="L131" s="43"/>
      <c r="M131" s="43"/>
      <c r="N131" s="43"/>
      <c r="O131" s="43"/>
      <c r="P131" s="43"/>
    </row>
    <row r="132" spans="1:16" x14ac:dyDescent="0.35">
      <c r="A132" s="24"/>
      <c r="B132" s="24"/>
      <c r="C132" s="24"/>
      <c r="D132" s="24"/>
      <c r="E132" s="24"/>
      <c r="F132" s="24"/>
      <c r="G132" s="24"/>
      <c r="H132" s="25"/>
      <c r="I132" s="24"/>
      <c r="J132" s="24"/>
      <c r="K132" s="43"/>
      <c r="L132" s="43"/>
      <c r="M132" s="43"/>
      <c r="N132" s="43"/>
      <c r="O132" s="43"/>
      <c r="P132" s="43"/>
    </row>
    <row r="133" spans="1:16" x14ac:dyDescent="0.35">
      <c r="A133" s="24"/>
      <c r="B133" s="24"/>
      <c r="C133" s="24"/>
      <c r="D133" s="24"/>
      <c r="E133" s="24"/>
      <c r="F133" s="24"/>
      <c r="G133" s="24"/>
      <c r="H133" s="25"/>
      <c r="I133" s="24"/>
      <c r="J133" s="24"/>
      <c r="K133" s="43"/>
      <c r="L133" s="43"/>
      <c r="M133" s="43"/>
      <c r="N133" s="43"/>
      <c r="O133" s="43"/>
      <c r="P133" s="43"/>
    </row>
    <row r="134" spans="1:16" x14ac:dyDescent="0.35">
      <c r="A134" s="24"/>
      <c r="B134" s="24"/>
      <c r="C134" s="24"/>
      <c r="D134" s="24"/>
      <c r="E134" s="24"/>
      <c r="F134" s="24"/>
      <c r="G134" s="24"/>
      <c r="H134" s="25"/>
      <c r="I134" s="24"/>
      <c r="J134" s="24"/>
      <c r="K134" s="43"/>
      <c r="L134" s="43"/>
      <c r="M134" s="43"/>
      <c r="N134" s="43"/>
      <c r="O134" s="43"/>
      <c r="P134" s="43"/>
    </row>
    <row r="135" spans="1:16" x14ac:dyDescent="0.35">
      <c r="A135" s="24"/>
      <c r="B135" s="24"/>
      <c r="C135" s="24"/>
      <c r="D135" s="24"/>
      <c r="E135" s="24"/>
      <c r="F135" s="24"/>
      <c r="G135" s="24"/>
      <c r="H135" s="25"/>
      <c r="I135" s="24"/>
      <c r="J135" s="24"/>
      <c r="K135" s="43"/>
      <c r="L135" s="43"/>
      <c r="M135" s="43"/>
      <c r="N135" s="43"/>
      <c r="O135" s="43"/>
      <c r="P135" s="43"/>
    </row>
    <row r="136" spans="1:16" x14ac:dyDescent="0.35">
      <c r="A136" s="24"/>
      <c r="B136" s="24"/>
      <c r="C136" s="24"/>
      <c r="D136" s="24"/>
      <c r="E136" s="24"/>
      <c r="F136" s="24"/>
      <c r="G136" s="24"/>
      <c r="H136" s="25"/>
      <c r="I136" s="24"/>
      <c r="J136" s="24"/>
      <c r="K136" s="43"/>
      <c r="L136" s="43"/>
      <c r="M136" s="43"/>
      <c r="N136" s="43"/>
      <c r="O136" s="43"/>
      <c r="P136" s="43"/>
    </row>
    <row r="137" spans="1:16" x14ac:dyDescent="0.35">
      <c r="A137" s="24"/>
      <c r="B137" s="24"/>
      <c r="C137" s="24"/>
      <c r="D137" s="24"/>
      <c r="E137" s="24"/>
      <c r="F137" s="24"/>
      <c r="G137" s="24"/>
      <c r="H137" s="25"/>
      <c r="I137" s="24"/>
      <c r="J137" s="24"/>
      <c r="K137" s="43"/>
      <c r="L137" s="43"/>
      <c r="M137" s="43"/>
      <c r="N137" s="43"/>
      <c r="O137" s="43"/>
      <c r="P137" s="43"/>
    </row>
    <row r="138" spans="1:16" x14ac:dyDescent="0.35">
      <c r="A138" s="24"/>
      <c r="B138" s="24"/>
      <c r="C138" s="24"/>
      <c r="D138" s="24"/>
      <c r="E138" s="24"/>
      <c r="F138" s="24"/>
      <c r="G138" s="24"/>
      <c r="H138" s="25"/>
      <c r="I138" s="24"/>
      <c r="J138" s="24"/>
      <c r="K138" s="43"/>
      <c r="L138" s="43"/>
      <c r="M138" s="43"/>
      <c r="N138" s="43"/>
      <c r="O138" s="43"/>
      <c r="P138" s="43"/>
    </row>
    <row r="139" spans="1:16" x14ac:dyDescent="0.35">
      <c r="A139" s="24"/>
      <c r="B139" s="24"/>
      <c r="C139" s="24"/>
      <c r="D139" s="24"/>
      <c r="E139" s="24"/>
      <c r="F139" s="24"/>
      <c r="G139" s="24"/>
      <c r="H139" s="25"/>
      <c r="I139" s="24"/>
      <c r="J139" s="24"/>
      <c r="K139" s="43"/>
      <c r="L139" s="43"/>
      <c r="M139" s="43"/>
      <c r="N139" s="43"/>
      <c r="O139" s="43"/>
      <c r="P139" s="43"/>
    </row>
    <row r="140" spans="1:16" x14ac:dyDescent="0.35">
      <c r="A140" s="24"/>
      <c r="B140" s="24"/>
      <c r="C140" s="24"/>
      <c r="D140" s="24"/>
      <c r="E140" s="24"/>
      <c r="F140" s="24"/>
      <c r="G140" s="24"/>
      <c r="H140" s="25"/>
      <c r="I140" s="24"/>
      <c r="J140" s="24"/>
      <c r="K140" s="43"/>
      <c r="L140" s="43"/>
      <c r="M140" s="43"/>
      <c r="N140" s="43"/>
      <c r="O140" s="43"/>
      <c r="P140" s="43"/>
    </row>
    <row r="141" spans="1:16" x14ac:dyDescent="0.35">
      <c r="A141" s="24"/>
      <c r="B141" s="24"/>
      <c r="C141" s="24"/>
      <c r="D141" s="24"/>
      <c r="E141" s="24"/>
      <c r="F141" s="24"/>
      <c r="G141" s="24"/>
      <c r="H141" s="25"/>
      <c r="I141" s="24"/>
      <c r="J141" s="24"/>
      <c r="K141" s="43"/>
      <c r="L141" s="43"/>
      <c r="M141" s="43"/>
      <c r="N141" s="43"/>
      <c r="O141" s="43"/>
      <c r="P141" s="43"/>
    </row>
    <row r="142" spans="1:16" x14ac:dyDescent="0.35">
      <c r="A142" s="24"/>
      <c r="B142" s="24"/>
      <c r="C142" s="24"/>
      <c r="D142" s="24"/>
      <c r="E142" s="24"/>
      <c r="F142" s="24"/>
      <c r="G142" s="24"/>
      <c r="H142" s="25"/>
      <c r="I142" s="24"/>
      <c r="J142" s="24"/>
      <c r="K142" s="43"/>
      <c r="L142" s="43"/>
      <c r="M142" s="43"/>
      <c r="N142" s="43"/>
      <c r="O142" s="43"/>
      <c r="P142" s="43"/>
    </row>
    <row r="143" spans="1:16" x14ac:dyDescent="0.35">
      <c r="A143" s="24"/>
      <c r="B143" s="24"/>
      <c r="C143" s="24"/>
      <c r="D143" s="24"/>
      <c r="E143" s="24"/>
      <c r="F143" s="24"/>
      <c r="G143" s="24"/>
      <c r="H143" s="25"/>
      <c r="I143" s="24"/>
      <c r="J143" s="24"/>
      <c r="K143" s="43"/>
      <c r="L143" s="43"/>
      <c r="M143" s="43"/>
      <c r="N143" s="43"/>
      <c r="O143" s="43"/>
      <c r="P143" s="43"/>
    </row>
    <row r="144" spans="1:16" x14ac:dyDescent="0.35">
      <c r="A144" s="24"/>
      <c r="B144" s="24"/>
      <c r="C144" s="24"/>
      <c r="D144" s="24"/>
      <c r="E144" s="24"/>
      <c r="F144" s="24"/>
      <c r="G144" s="24"/>
      <c r="H144" s="25"/>
      <c r="I144" s="24"/>
      <c r="J144" s="24"/>
      <c r="K144" s="43"/>
      <c r="L144" s="43"/>
      <c r="M144" s="43"/>
      <c r="N144" s="43"/>
      <c r="O144" s="43"/>
      <c r="P144" s="43"/>
    </row>
    <row r="145" spans="1:16" x14ac:dyDescent="0.35">
      <c r="A145" s="24"/>
      <c r="B145" s="24"/>
      <c r="C145" s="24"/>
      <c r="D145" s="24"/>
      <c r="E145" s="24"/>
      <c r="F145" s="24"/>
      <c r="G145" s="24"/>
      <c r="H145" s="25"/>
      <c r="I145" s="24"/>
      <c r="J145" s="24"/>
      <c r="K145" s="43"/>
      <c r="L145" s="43"/>
      <c r="M145" s="43"/>
      <c r="N145" s="43"/>
      <c r="O145" s="43"/>
      <c r="P145" s="43"/>
    </row>
    <row r="146" spans="1:16" x14ac:dyDescent="0.35">
      <c r="A146" s="24"/>
      <c r="B146" s="24"/>
      <c r="C146" s="24"/>
      <c r="D146" s="24"/>
      <c r="E146" s="24"/>
      <c r="F146" s="24"/>
      <c r="G146" s="24"/>
      <c r="H146" s="25"/>
      <c r="I146" s="24"/>
      <c r="J146" s="24"/>
      <c r="K146" s="43"/>
      <c r="L146" s="43"/>
      <c r="M146" s="43"/>
      <c r="N146" s="43"/>
      <c r="O146" s="43"/>
      <c r="P146" s="43"/>
    </row>
    <row r="147" spans="1:16" x14ac:dyDescent="0.35">
      <c r="A147" s="24"/>
      <c r="B147" s="24"/>
      <c r="C147" s="24"/>
      <c r="D147" s="24"/>
      <c r="E147" s="24"/>
      <c r="F147" s="24"/>
      <c r="G147" s="24"/>
      <c r="H147" s="25"/>
      <c r="I147" s="24"/>
      <c r="J147" s="24"/>
      <c r="K147" s="43"/>
      <c r="L147" s="43"/>
      <c r="M147" s="43"/>
      <c r="N147" s="43"/>
      <c r="O147" s="43"/>
      <c r="P147" s="43"/>
    </row>
    <row r="148" spans="1:16" x14ac:dyDescent="0.35">
      <c r="A148" s="24"/>
      <c r="B148" s="24"/>
      <c r="C148" s="24"/>
      <c r="D148" s="24"/>
      <c r="E148" s="24"/>
      <c r="F148" s="24"/>
      <c r="G148" s="24"/>
      <c r="H148" s="25"/>
      <c r="I148" s="24"/>
      <c r="J148" s="24"/>
      <c r="K148" s="43"/>
      <c r="L148" s="43"/>
      <c r="M148" s="43"/>
      <c r="N148" s="43"/>
      <c r="O148" s="43"/>
      <c r="P148" s="43"/>
    </row>
    <row r="149" spans="1:16" x14ac:dyDescent="0.35">
      <c r="A149" s="24"/>
      <c r="B149" s="24"/>
      <c r="C149" s="24"/>
      <c r="D149" s="24"/>
      <c r="E149" s="24"/>
      <c r="F149" s="24"/>
      <c r="G149" s="24"/>
      <c r="H149" s="25"/>
      <c r="I149" s="24"/>
      <c r="J149" s="24"/>
      <c r="K149" s="43"/>
      <c r="L149" s="43"/>
      <c r="M149" s="43"/>
      <c r="N149" s="43"/>
      <c r="O149" s="43"/>
      <c r="P149" s="43"/>
    </row>
    <row r="150" spans="1:16" x14ac:dyDescent="0.35">
      <c r="A150" s="24"/>
      <c r="B150" s="24"/>
      <c r="C150" s="24"/>
      <c r="D150" s="24"/>
      <c r="E150" s="24"/>
      <c r="F150" s="24"/>
      <c r="G150" s="24"/>
      <c r="H150" s="25"/>
      <c r="I150" s="24"/>
      <c r="J150" s="24"/>
      <c r="K150" s="43"/>
      <c r="L150" s="43"/>
      <c r="M150" s="43"/>
      <c r="N150" s="43"/>
      <c r="O150" s="43"/>
      <c r="P150" s="43"/>
    </row>
    <row r="151" spans="1:16" x14ac:dyDescent="0.35">
      <c r="A151" s="24"/>
      <c r="B151" s="24"/>
      <c r="C151" s="24"/>
      <c r="D151" s="24"/>
      <c r="E151" s="24"/>
      <c r="F151" s="24"/>
      <c r="G151" s="24"/>
      <c r="H151" s="25"/>
      <c r="I151" s="24"/>
      <c r="J151" s="24"/>
      <c r="K151" s="43"/>
      <c r="L151" s="43"/>
      <c r="M151" s="43"/>
      <c r="N151" s="43"/>
      <c r="O151" s="43"/>
      <c r="P151" s="43"/>
    </row>
    <row r="152" spans="1:16" x14ac:dyDescent="0.35">
      <c r="A152" s="24"/>
      <c r="B152" s="24"/>
      <c r="C152" s="24"/>
      <c r="D152" s="24"/>
      <c r="E152" s="24"/>
      <c r="F152" s="24"/>
      <c r="G152" s="24"/>
      <c r="H152" s="25"/>
      <c r="I152" s="24"/>
      <c r="J152" s="24"/>
      <c r="K152" s="43"/>
      <c r="L152" s="43"/>
      <c r="M152" s="43"/>
      <c r="N152" s="43"/>
      <c r="O152" s="43"/>
      <c r="P152" s="43"/>
    </row>
    <row r="153" spans="1:16" x14ac:dyDescent="0.35">
      <c r="A153" s="24"/>
      <c r="B153" s="24"/>
      <c r="C153" s="24"/>
      <c r="D153" s="24"/>
      <c r="E153" s="24"/>
      <c r="F153" s="24"/>
      <c r="G153" s="24"/>
      <c r="H153" s="25"/>
      <c r="I153" s="24"/>
      <c r="J153" s="24"/>
      <c r="K153" s="43"/>
      <c r="L153" s="43"/>
      <c r="M153" s="43"/>
      <c r="N153" s="43"/>
      <c r="O153" s="43"/>
      <c r="P153" s="43"/>
    </row>
    <row r="154" spans="1:16" x14ac:dyDescent="0.35">
      <c r="A154" s="24"/>
      <c r="B154" s="24"/>
      <c r="C154" s="24"/>
      <c r="D154" s="24"/>
      <c r="E154" s="24"/>
      <c r="F154" s="24"/>
      <c r="G154" s="24"/>
      <c r="H154" s="25"/>
      <c r="I154" s="24"/>
      <c r="J154" s="24"/>
      <c r="K154" s="43"/>
      <c r="L154" s="43"/>
      <c r="M154" s="43"/>
      <c r="N154" s="43"/>
      <c r="O154" s="43"/>
      <c r="P154" s="43"/>
    </row>
    <row r="155" spans="1:16" x14ac:dyDescent="0.35">
      <c r="A155" s="24"/>
      <c r="B155" s="24"/>
      <c r="C155" s="24"/>
      <c r="D155" s="24"/>
      <c r="E155" s="24"/>
      <c r="F155" s="24"/>
      <c r="G155" s="24"/>
      <c r="H155" s="25"/>
      <c r="I155" s="24"/>
      <c r="J155" s="24"/>
      <c r="K155" s="43"/>
      <c r="L155" s="43"/>
      <c r="M155" s="43"/>
      <c r="N155" s="43"/>
      <c r="O155" s="43"/>
      <c r="P155" s="43"/>
    </row>
    <row r="156" spans="1:16" x14ac:dyDescent="0.35">
      <c r="A156" s="24"/>
      <c r="B156" s="24"/>
      <c r="C156" s="24"/>
      <c r="D156" s="24"/>
      <c r="E156" s="24"/>
      <c r="F156" s="24"/>
      <c r="G156" s="24"/>
      <c r="H156" s="25"/>
      <c r="I156" s="24"/>
      <c r="J156" s="24"/>
      <c r="K156" s="43"/>
      <c r="L156" s="43"/>
      <c r="M156" s="43"/>
      <c r="N156" s="43"/>
      <c r="O156" s="43"/>
      <c r="P156" s="43"/>
    </row>
    <row r="157" spans="1:16" x14ac:dyDescent="0.35">
      <c r="A157" s="24"/>
      <c r="B157" s="24"/>
      <c r="C157" s="24"/>
      <c r="D157" s="24"/>
      <c r="E157" s="24"/>
      <c r="F157" s="24"/>
      <c r="G157" s="24"/>
      <c r="H157" s="25"/>
      <c r="I157" s="24"/>
      <c r="J157" s="24"/>
      <c r="K157" s="43"/>
      <c r="L157" s="43"/>
      <c r="M157" s="43"/>
      <c r="N157" s="43"/>
      <c r="O157" s="43"/>
      <c r="P157" s="43"/>
    </row>
    <row r="158" spans="1:16" x14ac:dyDescent="0.35">
      <c r="A158" s="24"/>
      <c r="B158" s="24"/>
      <c r="C158" s="24"/>
      <c r="D158" s="24"/>
      <c r="E158" s="24"/>
      <c r="F158" s="24"/>
      <c r="G158" s="24"/>
      <c r="H158" s="25"/>
      <c r="I158" s="24"/>
      <c r="J158" s="24"/>
      <c r="K158" s="43"/>
      <c r="L158" s="43"/>
      <c r="M158" s="43"/>
      <c r="N158" s="43"/>
      <c r="O158" s="43"/>
      <c r="P158" s="43"/>
    </row>
    <row r="159" spans="1:16" x14ac:dyDescent="0.35">
      <c r="A159" s="24"/>
      <c r="B159" s="24"/>
      <c r="C159" s="24"/>
      <c r="D159" s="24"/>
      <c r="E159" s="24"/>
      <c r="F159" s="24"/>
      <c r="G159" s="24"/>
      <c r="H159" s="25"/>
      <c r="I159" s="24"/>
      <c r="J159" s="24"/>
      <c r="K159" s="43"/>
      <c r="L159" s="43"/>
      <c r="M159" s="43"/>
      <c r="N159" s="43"/>
      <c r="O159" s="43"/>
      <c r="P159" s="43"/>
    </row>
    <row r="160" spans="1:16" x14ac:dyDescent="0.35">
      <c r="A160" s="24"/>
      <c r="B160" s="24"/>
      <c r="C160" s="24"/>
      <c r="D160" s="24"/>
      <c r="E160" s="24"/>
      <c r="F160" s="24"/>
      <c r="G160" s="24"/>
      <c r="H160" s="25"/>
      <c r="I160" s="24"/>
      <c r="J160" s="24"/>
      <c r="K160" s="43"/>
      <c r="L160" s="43"/>
      <c r="M160" s="43"/>
      <c r="N160" s="43"/>
      <c r="O160" s="43"/>
      <c r="P160" s="43"/>
    </row>
    <row r="161" spans="1:16" x14ac:dyDescent="0.35">
      <c r="A161" s="24"/>
      <c r="B161" s="24"/>
      <c r="C161" s="24"/>
      <c r="D161" s="24"/>
      <c r="E161" s="24"/>
      <c r="F161" s="24"/>
      <c r="G161" s="24"/>
      <c r="H161" s="25"/>
      <c r="I161" s="24"/>
      <c r="J161" s="24"/>
      <c r="K161" s="43"/>
      <c r="L161" s="43"/>
      <c r="M161" s="43"/>
      <c r="N161" s="43"/>
      <c r="O161" s="43"/>
      <c r="P161" s="43"/>
    </row>
    <row r="162" spans="1:16" x14ac:dyDescent="0.35">
      <c r="A162" s="24"/>
      <c r="B162" s="24"/>
      <c r="C162" s="24"/>
      <c r="D162" s="24"/>
      <c r="E162" s="24"/>
      <c r="F162" s="24"/>
      <c r="G162" s="24"/>
      <c r="H162" s="25"/>
      <c r="I162" s="24"/>
      <c r="J162" s="24"/>
      <c r="K162" s="43"/>
      <c r="L162" s="43"/>
      <c r="M162" s="43"/>
      <c r="N162" s="43"/>
      <c r="O162" s="43"/>
      <c r="P162" s="43"/>
    </row>
    <row r="163" spans="1:16" x14ac:dyDescent="0.35">
      <c r="A163" s="24"/>
      <c r="B163" s="24"/>
      <c r="C163" s="24"/>
      <c r="D163" s="24"/>
      <c r="E163" s="24"/>
      <c r="F163" s="24"/>
      <c r="G163" s="24"/>
      <c r="H163" s="25"/>
      <c r="I163" s="24"/>
      <c r="J163" s="24"/>
      <c r="K163" s="43"/>
      <c r="L163" s="43"/>
      <c r="M163" s="43"/>
      <c r="N163" s="43"/>
      <c r="O163" s="43"/>
      <c r="P163" s="43"/>
    </row>
    <row r="164" spans="1:16" x14ac:dyDescent="0.35">
      <c r="A164" s="24"/>
      <c r="B164" s="24"/>
      <c r="C164" s="24"/>
      <c r="D164" s="24"/>
      <c r="E164" s="24"/>
      <c r="F164" s="24"/>
      <c r="G164" s="24"/>
      <c r="H164" s="25"/>
      <c r="I164" s="24"/>
      <c r="J164" s="24"/>
      <c r="K164" s="43"/>
      <c r="L164" s="43"/>
      <c r="M164" s="43"/>
      <c r="N164" s="43"/>
      <c r="O164" s="43"/>
      <c r="P164" s="43"/>
    </row>
    <row r="165" spans="1:16" x14ac:dyDescent="0.35">
      <c r="A165" s="24"/>
      <c r="B165" s="24"/>
      <c r="C165" s="24"/>
      <c r="D165" s="24"/>
      <c r="E165" s="24"/>
      <c r="F165" s="24"/>
      <c r="G165" s="24"/>
      <c r="H165" s="25"/>
      <c r="I165" s="24"/>
      <c r="J165" s="24"/>
      <c r="K165" s="43"/>
      <c r="L165" s="43"/>
      <c r="M165" s="43"/>
      <c r="N165" s="43"/>
      <c r="O165" s="43"/>
      <c r="P165" s="43"/>
    </row>
    <row r="166" spans="1:16" x14ac:dyDescent="0.35">
      <c r="A166" s="24"/>
      <c r="B166" s="24"/>
      <c r="C166" s="24"/>
      <c r="D166" s="24"/>
      <c r="E166" s="24"/>
      <c r="F166" s="24"/>
      <c r="G166" s="24"/>
      <c r="H166" s="25"/>
      <c r="I166" s="24"/>
      <c r="J166" s="24"/>
      <c r="K166" s="43"/>
      <c r="L166" s="43"/>
      <c r="M166" s="43"/>
      <c r="N166" s="43"/>
      <c r="O166" s="43"/>
      <c r="P166" s="43"/>
    </row>
    <row r="167" spans="1:16" x14ac:dyDescent="0.35">
      <c r="A167" s="24"/>
      <c r="B167" s="24"/>
      <c r="C167" s="24"/>
      <c r="D167" s="24"/>
      <c r="E167" s="24"/>
      <c r="F167" s="24"/>
      <c r="G167" s="24"/>
      <c r="H167" s="25"/>
      <c r="I167" s="24"/>
      <c r="J167" s="24"/>
      <c r="K167" s="43"/>
      <c r="L167" s="43"/>
      <c r="M167" s="43"/>
      <c r="N167" s="43"/>
      <c r="O167" s="43"/>
      <c r="P167" s="43"/>
    </row>
    <row r="168" spans="1:16" x14ac:dyDescent="0.35">
      <c r="A168" s="24"/>
      <c r="B168" s="24"/>
      <c r="C168" s="24"/>
      <c r="D168" s="24"/>
      <c r="E168" s="24"/>
      <c r="F168" s="24"/>
      <c r="G168" s="24"/>
      <c r="H168" s="25"/>
      <c r="I168" s="24"/>
      <c r="J168" s="24"/>
      <c r="K168" s="43"/>
      <c r="L168" s="43"/>
      <c r="M168" s="43"/>
      <c r="N168" s="43"/>
      <c r="O168" s="43"/>
      <c r="P168" s="43"/>
    </row>
    <row r="169" spans="1:16" x14ac:dyDescent="0.35">
      <c r="A169" s="24"/>
      <c r="B169" s="24"/>
      <c r="C169" s="24"/>
      <c r="D169" s="24"/>
      <c r="E169" s="24"/>
      <c r="F169" s="24"/>
      <c r="G169" s="24"/>
      <c r="H169" s="25"/>
      <c r="I169" s="24"/>
      <c r="J169" s="24"/>
      <c r="K169" s="43"/>
      <c r="L169" s="43"/>
      <c r="M169" s="43"/>
      <c r="N169" s="43"/>
      <c r="O169" s="43"/>
      <c r="P169" s="43"/>
    </row>
    <row r="170" spans="1:16" x14ac:dyDescent="0.35">
      <c r="A170" s="24"/>
      <c r="B170" s="24"/>
      <c r="C170" s="24"/>
      <c r="D170" s="24"/>
      <c r="E170" s="24"/>
      <c r="F170" s="24"/>
      <c r="G170" s="24"/>
      <c r="H170" s="25"/>
      <c r="I170" s="24"/>
      <c r="J170" s="24"/>
      <c r="K170" s="43"/>
      <c r="L170" s="43"/>
      <c r="M170" s="43"/>
      <c r="N170" s="43"/>
      <c r="O170" s="43"/>
      <c r="P170" s="43"/>
    </row>
    <row r="171" spans="1:16" x14ac:dyDescent="0.35">
      <c r="A171" s="24"/>
      <c r="B171" s="24"/>
      <c r="C171" s="24"/>
      <c r="D171" s="24"/>
      <c r="E171" s="24"/>
      <c r="F171" s="24"/>
      <c r="G171" s="24"/>
      <c r="H171" s="25"/>
      <c r="I171" s="24"/>
      <c r="J171" s="24"/>
      <c r="K171" s="43"/>
      <c r="L171" s="43"/>
      <c r="M171" s="43"/>
      <c r="N171" s="43"/>
      <c r="O171" s="43"/>
      <c r="P171" s="43"/>
    </row>
    <row r="172" spans="1:16" x14ac:dyDescent="0.35">
      <c r="A172" s="24"/>
      <c r="B172" s="24"/>
      <c r="C172" s="24"/>
      <c r="D172" s="24"/>
      <c r="E172" s="24"/>
      <c r="F172" s="24"/>
      <c r="G172" s="24"/>
      <c r="H172" s="25"/>
      <c r="I172" s="24"/>
      <c r="J172" s="24"/>
      <c r="K172" s="43"/>
      <c r="L172" s="43"/>
      <c r="M172" s="43"/>
      <c r="N172" s="43"/>
      <c r="O172" s="43"/>
      <c r="P172" s="43"/>
    </row>
    <row r="173" spans="1:16" x14ac:dyDescent="0.35">
      <c r="A173" s="24"/>
      <c r="B173" s="24"/>
      <c r="C173" s="24"/>
      <c r="D173" s="24"/>
      <c r="E173" s="24"/>
      <c r="F173" s="24"/>
      <c r="G173" s="24"/>
      <c r="H173" s="25"/>
      <c r="I173" s="24"/>
      <c r="J173" s="24"/>
      <c r="K173" s="43"/>
      <c r="L173" s="43"/>
      <c r="M173" s="43"/>
      <c r="N173" s="43"/>
      <c r="O173" s="43"/>
      <c r="P173" s="43"/>
    </row>
    <row r="174" spans="1:16" x14ac:dyDescent="0.35">
      <c r="A174" s="24"/>
      <c r="B174" s="24"/>
      <c r="C174" s="24"/>
      <c r="D174" s="24"/>
      <c r="E174" s="24"/>
      <c r="F174" s="24"/>
      <c r="G174" s="24"/>
      <c r="H174" s="25"/>
      <c r="I174" s="24"/>
      <c r="J174" s="24"/>
      <c r="K174" s="43"/>
      <c r="L174" s="43"/>
      <c r="M174" s="43"/>
      <c r="N174" s="43"/>
      <c r="O174" s="43"/>
      <c r="P174" s="43"/>
    </row>
    <row r="175" spans="1:16" x14ac:dyDescent="0.35">
      <c r="A175" s="24"/>
      <c r="B175" s="24"/>
      <c r="C175" s="24"/>
      <c r="D175" s="24"/>
      <c r="E175" s="24"/>
      <c r="F175" s="24"/>
      <c r="G175" s="24"/>
      <c r="H175" s="25"/>
      <c r="I175" s="24"/>
      <c r="J175" s="24"/>
      <c r="K175" s="43"/>
      <c r="L175" s="43"/>
      <c r="M175" s="43"/>
      <c r="N175" s="43"/>
      <c r="O175" s="43"/>
      <c r="P175" s="43"/>
    </row>
    <row r="176" spans="1:16" x14ac:dyDescent="0.35">
      <c r="A176" s="24"/>
      <c r="B176" s="24"/>
      <c r="C176" s="24"/>
      <c r="D176" s="24"/>
      <c r="E176" s="24"/>
      <c r="F176" s="24"/>
      <c r="G176" s="24"/>
      <c r="H176" s="25"/>
      <c r="I176" s="24"/>
      <c r="J176" s="24"/>
      <c r="K176" s="43"/>
      <c r="L176" s="43"/>
      <c r="M176" s="43"/>
      <c r="N176" s="43"/>
      <c r="O176" s="43"/>
      <c r="P176" s="43"/>
    </row>
    <row r="177" spans="1:16" x14ac:dyDescent="0.35">
      <c r="A177" s="24"/>
      <c r="B177" s="24"/>
      <c r="C177" s="24"/>
      <c r="D177" s="24"/>
      <c r="E177" s="24"/>
      <c r="F177" s="24"/>
      <c r="G177" s="24"/>
      <c r="H177" s="25"/>
      <c r="I177" s="24"/>
      <c r="J177" s="24"/>
      <c r="K177" s="43"/>
      <c r="L177" s="43"/>
      <c r="M177" s="43"/>
      <c r="N177" s="43"/>
      <c r="O177" s="43"/>
      <c r="P177" s="43"/>
    </row>
    <row r="178" spans="1:16" x14ac:dyDescent="0.35">
      <c r="A178" s="24"/>
      <c r="B178" s="24"/>
      <c r="C178" s="24"/>
      <c r="D178" s="24"/>
      <c r="E178" s="24"/>
      <c r="F178" s="24"/>
      <c r="G178" s="24"/>
      <c r="H178" s="25"/>
      <c r="I178" s="24"/>
      <c r="J178" s="24"/>
      <c r="K178" s="43"/>
      <c r="L178" s="43"/>
      <c r="M178" s="43"/>
      <c r="N178" s="43"/>
      <c r="O178" s="43"/>
      <c r="P178" s="43"/>
    </row>
    <row r="179" spans="1:16" x14ac:dyDescent="0.35">
      <c r="A179" s="24"/>
      <c r="B179" s="24"/>
      <c r="C179" s="24"/>
      <c r="D179" s="24"/>
      <c r="E179" s="24"/>
      <c r="F179" s="24"/>
      <c r="G179" s="24"/>
      <c r="H179" s="25"/>
      <c r="I179" s="24"/>
      <c r="J179" s="24"/>
      <c r="K179" s="43"/>
      <c r="L179" s="43"/>
      <c r="M179" s="43"/>
      <c r="N179" s="43"/>
      <c r="O179" s="43"/>
      <c r="P179" s="43"/>
    </row>
    <row r="180" spans="1:16" x14ac:dyDescent="0.35">
      <c r="A180" s="24"/>
      <c r="B180" s="24"/>
      <c r="C180" s="24"/>
      <c r="D180" s="24"/>
      <c r="E180" s="24"/>
      <c r="F180" s="24"/>
      <c r="G180" s="24"/>
      <c r="H180" s="25"/>
      <c r="I180" s="24"/>
      <c r="J180" s="24"/>
      <c r="K180" s="43"/>
      <c r="L180" s="43"/>
      <c r="M180" s="43"/>
      <c r="N180" s="43"/>
      <c r="O180" s="43"/>
      <c r="P180" s="43"/>
    </row>
    <row r="181" spans="1:16" x14ac:dyDescent="0.35">
      <c r="A181" s="24"/>
      <c r="B181" s="24"/>
      <c r="C181" s="24"/>
      <c r="D181" s="24"/>
      <c r="E181" s="24"/>
      <c r="F181" s="24"/>
      <c r="G181" s="24"/>
      <c r="H181" s="25"/>
      <c r="I181" s="24"/>
      <c r="J181" s="24"/>
      <c r="K181" s="43"/>
      <c r="L181" s="43"/>
      <c r="M181" s="43"/>
      <c r="N181" s="43"/>
      <c r="O181" s="43"/>
      <c r="P181" s="43"/>
    </row>
    <row r="182" spans="1:16" x14ac:dyDescent="0.35">
      <c r="A182" s="24"/>
      <c r="B182" s="24"/>
      <c r="C182" s="24"/>
      <c r="D182" s="24"/>
      <c r="E182" s="24"/>
      <c r="F182" s="24"/>
      <c r="G182" s="24"/>
      <c r="H182" s="25"/>
      <c r="I182" s="24"/>
      <c r="J182" s="24"/>
      <c r="K182" s="43"/>
      <c r="L182" s="43"/>
      <c r="M182" s="43"/>
      <c r="N182" s="43"/>
      <c r="O182" s="43"/>
      <c r="P182" s="43"/>
    </row>
    <row r="183" spans="1:16" x14ac:dyDescent="0.35">
      <c r="A183" s="24"/>
      <c r="B183" s="24"/>
      <c r="C183" s="24"/>
      <c r="D183" s="24"/>
      <c r="E183" s="24"/>
      <c r="F183" s="24"/>
      <c r="G183" s="24"/>
      <c r="H183" s="25"/>
      <c r="I183" s="24"/>
      <c r="J183" s="24"/>
      <c r="K183" s="43"/>
      <c r="L183" s="43"/>
      <c r="M183" s="43"/>
      <c r="N183" s="43"/>
      <c r="O183" s="43"/>
      <c r="P183" s="43"/>
    </row>
    <row r="184" spans="1:16" x14ac:dyDescent="0.35">
      <c r="A184" s="24"/>
      <c r="B184" s="24"/>
      <c r="C184" s="24"/>
      <c r="D184" s="24"/>
      <c r="E184" s="24"/>
      <c r="F184" s="24"/>
      <c r="G184" s="24"/>
      <c r="H184" s="25"/>
      <c r="I184" s="24"/>
      <c r="J184" s="24"/>
      <c r="K184" s="43"/>
      <c r="L184" s="43"/>
      <c r="M184" s="43"/>
      <c r="N184" s="43"/>
      <c r="O184" s="43"/>
      <c r="P184" s="43"/>
    </row>
    <row r="185" spans="1:16" x14ac:dyDescent="0.35">
      <c r="A185" s="24"/>
      <c r="B185" s="24"/>
      <c r="C185" s="24"/>
      <c r="D185" s="24"/>
      <c r="E185" s="24"/>
      <c r="F185" s="24"/>
      <c r="G185" s="24"/>
      <c r="H185" s="25"/>
      <c r="I185" s="24"/>
      <c r="J185" s="24"/>
      <c r="K185" s="43"/>
      <c r="L185" s="43"/>
      <c r="M185" s="43"/>
      <c r="N185" s="43"/>
      <c r="O185" s="43"/>
      <c r="P185" s="43"/>
    </row>
    <row r="186" spans="1:16" x14ac:dyDescent="0.35">
      <c r="A186" s="24"/>
      <c r="B186" s="24"/>
      <c r="C186" s="24"/>
      <c r="D186" s="24"/>
      <c r="E186" s="24"/>
      <c r="F186" s="24"/>
      <c r="G186" s="24"/>
      <c r="H186" s="25"/>
      <c r="I186" s="24"/>
      <c r="J186" s="24"/>
      <c r="K186" s="43"/>
      <c r="L186" s="43"/>
      <c r="M186" s="43"/>
      <c r="N186" s="43"/>
      <c r="O186" s="43"/>
      <c r="P186" s="43"/>
    </row>
    <row r="187" spans="1:16" x14ac:dyDescent="0.35">
      <c r="A187" s="24"/>
      <c r="B187" s="24"/>
      <c r="C187" s="24"/>
      <c r="D187" s="24"/>
      <c r="E187" s="24"/>
      <c r="F187" s="24"/>
      <c r="G187" s="24"/>
      <c r="H187" s="25"/>
      <c r="I187" s="24"/>
      <c r="J187" s="24"/>
      <c r="K187" s="43"/>
      <c r="L187" s="43"/>
      <c r="M187" s="43"/>
      <c r="N187" s="43"/>
      <c r="O187" s="43"/>
      <c r="P187" s="43"/>
    </row>
    <row r="188" spans="1:16" x14ac:dyDescent="0.35">
      <c r="A188" s="24"/>
      <c r="B188" s="24"/>
      <c r="C188" s="24"/>
      <c r="D188" s="24"/>
      <c r="E188" s="24"/>
      <c r="F188" s="24"/>
      <c r="G188" s="24"/>
      <c r="H188" s="25"/>
      <c r="I188" s="24"/>
      <c r="J188" s="24"/>
      <c r="K188" s="43"/>
      <c r="L188" s="43"/>
      <c r="M188" s="43"/>
      <c r="N188" s="43"/>
      <c r="O188" s="43"/>
      <c r="P188" s="43"/>
    </row>
    <row r="189" spans="1:16" x14ac:dyDescent="0.35">
      <c r="A189" s="24"/>
      <c r="B189" s="24"/>
      <c r="C189" s="24"/>
      <c r="D189" s="24"/>
      <c r="E189" s="24"/>
      <c r="F189" s="24"/>
      <c r="G189" s="24"/>
      <c r="H189" s="25"/>
      <c r="I189" s="24"/>
      <c r="J189" s="24"/>
      <c r="K189" s="43"/>
      <c r="L189" s="43"/>
      <c r="M189" s="43"/>
      <c r="N189" s="43"/>
      <c r="O189" s="43"/>
      <c r="P189" s="43"/>
    </row>
    <row r="190" spans="1:16" x14ac:dyDescent="0.35">
      <c r="A190" s="24"/>
      <c r="B190" s="24"/>
      <c r="C190" s="24"/>
      <c r="D190" s="24"/>
      <c r="E190" s="24"/>
      <c r="F190" s="24"/>
      <c r="G190" s="24"/>
      <c r="H190" s="25"/>
      <c r="I190" s="24"/>
      <c r="J190" s="24"/>
      <c r="K190" s="43"/>
      <c r="L190" s="43"/>
      <c r="M190" s="43"/>
      <c r="N190" s="43"/>
      <c r="O190" s="43"/>
      <c r="P190" s="43"/>
    </row>
    <row r="191" spans="1:16" x14ac:dyDescent="0.35">
      <c r="A191" s="24"/>
      <c r="B191" s="24"/>
      <c r="C191" s="24"/>
      <c r="D191" s="24"/>
      <c r="E191" s="24"/>
      <c r="F191" s="24"/>
      <c r="G191" s="24"/>
      <c r="H191" s="25"/>
      <c r="I191" s="24"/>
      <c r="J191" s="24"/>
      <c r="K191" s="43"/>
      <c r="L191" s="43"/>
      <c r="M191" s="43"/>
      <c r="N191" s="43"/>
      <c r="O191" s="43"/>
      <c r="P191" s="43"/>
    </row>
    <row r="192" spans="1:16" x14ac:dyDescent="0.35">
      <c r="A192" s="24"/>
      <c r="B192" s="24"/>
      <c r="C192" s="24"/>
      <c r="D192" s="24"/>
      <c r="E192" s="24"/>
      <c r="F192" s="24"/>
      <c r="G192" s="24"/>
      <c r="H192" s="25"/>
      <c r="I192" s="24"/>
      <c r="J192" s="24"/>
      <c r="K192" s="43"/>
      <c r="L192" s="43"/>
      <c r="M192" s="43"/>
      <c r="N192" s="43"/>
      <c r="O192" s="43"/>
      <c r="P192" s="43"/>
    </row>
    <row r="193" spans="1:16" x14ac:dyDescent="0.35">
      <c r="A193" s="24"/>
      <c r="B193" s="24"/>
      <c r="C193" s="24"/>
      <c r="D193" s="24"/>
      <c r="E193" s="24"/>
      <c r="F193" s="24"/>
      <c r="G193" s="24"/>
      <c r="H193" s="25"/>
      <c r="I193" s="24"/>
      <c r="J193" s="24"/>
      <c r="K193" s="43"/>
      <c r="L193" s="43"/>
      <c r="M193" s="43"/>
      <c r="N193" s="43"/>
      <c r="O193" s="43"/>
      <c r="P193" s="43"/>
    </row>
    <row r="194" spans="1:16" x14ac:dyDescent="0.35">
      <c r="A194" s="24"/>
      <c r="B194" s="24"/>
      <c r="C194" s="24"/>
      <c r="D194" s="24"/>
      <c r="E194" s="24"/>
      <c r="F194" s="24"/>
      <c r="G194" s="24"/>
      <c r="H194" s="25"/>
      <c r="I194" s="24"/>
      <c r="J194" s="24"/>
      <c r="K194" s="43"/>
      <c r="L194" s="43"/>
      <c r="M194" s="43"/>
      <c r="N194" s="43"/>
      <c r="O194" s="43"/>
      <c r="P194" s="43"/>
    </row>
    <row r="195" spans="1:16" x14ac:dyDescent="0.35">
      <c r="A195" s="24"/>
      <c r="B195" s="24"/>
      <c r="C195" s="24"/>
      <c r="D195" s="24"/>
      <c r="E195" s="24"/>
      <c r="F195" s="24"/>
      <c r="G195" s="24"/>
      <c r="H195" s="25"/>
      <c r="I195" s="24"/>
      <c r="J195" s="24"/>
      <c r="K195" s="43"/>
      <c r="L195" s="43"/>
      <c r="M195" s="43"/>
      <c r="N195" s="43"/>
      <c r="O195" s="43"/>
      <c r="P195" s="43"/>
    </row>
    <row r="196" spans="1:16" x14ac:dyDescent="0.35">
      <c r="A196" s="24"/>
      <c r="B196" s="24"/>
      <c r="C196" s="24"/>
      <c r="D196" s="24"/>
      <c r="E196" s="24"/>
      <c r="F196" s="24"/>
      <c r="G196" s="24"/>
      <c r="H196" s="25"/>
      <c r="I196" s="24"/>
      <c r="J196" s="24"/>
      <c r="K196" s="43"/>
      <c r="L196" s="43"/>
      <c r="M196" s="43"/>
      <c r="N196" s="43"/>
      <c r="O196" s="43"/>
      <c r="P196" s="43"/>
    </row>
    <row r="197" spans="1:16" x14ac:dyDescent="0.35">
      <c r="A197" s="24"/>
      <c r="B197" s="24"/>
      <c r="C197" s="24"/>
      <c r="D197" s="24"/>
      <c r="E197" s="24"/>
      <c r="F197" s="24"/>
      <c r="G197" s="24"/>
      <c r="H197" s="25"/>
      <c r="I197" s="24"/>
      <c r="J197" s="24"/>
      <c r="K197" s="43"/>
      <c r="L197" s="43"/>
      <c r="M197" s="43"/>
      <c r="N197" s="43"/>
      <c r="O197" s="43"/>
      <c r="P197" s="43"/>
    </row>
    <row r="198" spans="1:16" x14ac:dyDescent="0.35">
      <c r="A198" s="24"/>
      <c r="B198" s="24"/>
      <c r="C198" s="24"/>
      <c r="D198" s="24"/>
      <c r="E198" s="24"/>
      <c r="F198" s="24"/>
      <c r="G198" s="24"/>
      <c r="H198" s="25"/>
      <c r="I198" s="24"/>
      <c r="J198" s="24"/>
      <c r="K198" s="43"/>
      <c r="L198" s="43"/>
      <c r="M198" s="43"/>
      <c r="N198" s="43"/>
      <c r="O198" s="43"/>
      <c r="P198" s="43"/>
    </row>
    <row r="199" spans="1:16" x14ac:dyDescent="0.35">
      <c r="A199" s="24"/>
      <c r="B199" s="24"/>
      <c r="C199" s="24"/>
      <c r="D199" s="24"/>
      <c r="E199" s="24"/>
      <c r="F199" s="24"/>
      <c r="G199" s="24"/>
      <c r="H199" s="25"/>
      <c r="I199" s="24"/>
      <c r="J199" s="24"/>
      <c r="K199" s="43"/>
      <c r="L199" s="43"/>
      <c r="M199" s="43"/>
      <c r="N199" s="43"/>
      <c r="O199" s="43"/>
      <c r="P199" s="43"/>
    </row>
    <row r="200" spans="1:16" x14ac:dyDescent="0.35">
      <c r="A200" s="24"/>
      <c r="B200" s="24"/>
      <c r="C200" s="24"/>
      <c r="D200" s="24"/>
      <c r="E200" s="24"/>
      <c r="F200" s="24"/>
      <c r="G200" s="24"/>
      <c r="H200" s="25"/>
      <c r="I200" s="24"/>
      <c r="J200" s="24"/>
      <c r="K200" s="43"/>
      <c r="L200" s="43"/>
      <c r="M200" s="43"/>
      <c r="N200" s="43"/>
      <c r="O200" s="43"/>
      <c r="P200" s="43"/>
    </row>
    <row r="201" spans="1:16" x14ac:dyDescent="0.35">
      <c r="A201" s="24"/>
      <c r="B201" s="24"/>
      <c r="C201" s="24"/>
      <c r="D201" s="24"/>
      <c r="E201" s="24"/>
      <c r="F201" s="24"/>
      <c r="G201" s="24"/>
      <c r="H201" s="25"/>
      <c r="I201" s="24"/>
      <c r="J201" s="24"/>
      <c r="K201" s="43"/>
      <c r="L201" s="43"/>
      <c r="M201" s="43"/>
      <c r="N201" s="43"/>
      <c r="O201" s="43"/>
      <c r="P201" s="43"/>
    </row>
    <row r="202" spans="1:16" x14ac:dyDescent="0.35">
      <c r="A202" s="24"/>
      <c r="B202" s="24"/>
      <c r="C202" s="24"/>
      <c r="D202" s="24"/>
      <c r="E202" s="24"/>
      <c r="F202" s="24"/>
      <c r="G202" s="24"/>
      <c r="H202" s="25"/>
      <c r="I202" s="24"/>
      <c r="J202" s="24"/>
      <c r="K202" s="43"/>
      <c r="L202" s="43"/>
      <c r="M202" s="43"/>
      <c r="N202" s="43"/>
      <c r="O202" s="43"/>
      <c r="P202" s="43"/>
    </row>
    <row r="203" spans="1:16" x14ac:dyDescent="0.35">
      <c r="A203" s="24"/>
      <c r="B203" s="24"/>
      <c r="C203" s="24"/>
      <c r="D203" s="24"/>
      <c r="E203" s="24"/>
      <c r="F203" s="24"/>
      <c r="G203" s="24"/>
      <c r="H203" s="25"/>
      <c r="I203" s="24"/>
      <c r="J203" s="24"/>
      <c r="K203" s="43"/>
      <c r="L203" s="43"/>
      <c r="M203" s="43"/>
      <c r="N203" s="43"/>
      <c r="O203" s="43"/>
      <c r="P203" s="43"/>
    </row>
    <row r="204" spans="1:16" x14ac:dyDescent="0.35">
      <c r="A204" s="24"/>
      <c r="B204" s="24"/>
      <c r="C204" s="24"/>
      <c r="D204" s="24"/>
      <c r="E204" s="24"/>
      <c r="F204" s="24"/>
      <c r="G204" s="24"/>
      <c r="H204" s="25"/>
      <c r="I204" s="24"/>
      <c r="J204" s="24"/>
      <c r="K204" s="43"/>
      <c r="L204" s="43"/>
      <c r="M204" s="43"/>
      <c r="N204" s="43"/>
      <c r="O204" s="43"/>
      <c r="P204" s="43"/>
    </row>
    <row r="205" spans="1:16" x14ac:dyDescent="0.35">
      <c r="A205" s="24"/>
      <c r="B205" s="24"/>
      <c r="C205" s="24"/>
      <c r="D205" s="24"/>
      <c r="E205" s="24"/>
      <c r="F205" s="24"/>
      <c r="G205" s="24"/>
      <c r="H205" s="25"/>
      <c r="I205" s="24"/>
      <c r="J205" s="24"/>
      <c r="K205" s="43"/>
      <c r="L205" s="43"/>
      <c r="M205" s="43"/>
      <c r="N205" s="43"/>
      <c r="O205" s="43"/>
      <c r="P205" s="43"/>
    </row>
    <row r="206" spans="1:16" x14ac:dyDescent="0.35">
      <c r="A206" s="24"/>
      <c r="B206" s="24"/>
      <c r="C206" s="24"/>
      <c r="D206" s="24"/>
      <c r="E206" s="24"/>
      <c r="F206" s="24"/>
      <c r="G206" s="24"/>
      <c r="H206" s="25"/>
      <c r="I206" s="24"/>
      <c r="J206" s="24"/>
      <c r="K206" s="43"/>
      <c r="L206" s="43"/>
      <c r="M206" s="43"/>
      <c r="N206" s="43"/>
      <c r="O206" s="43"/>
      <c r="P206" s="43"/>
    </row>
    <row r="207" spans="1:16" x14ac:dyDescent="0.35">
      <c r="A207" s="24"/>
      <c r="B207" s="24"/>
      <c r="C207" s="24"/>
      <c r="D207" s="24"/>
      <c r="E207" s="24"/>
      <c r="F207" s="24"/>
      <c r="G207" s="24"/>
      <c r="H207" s="25"/>
      <c r="I207" s="24"/>
      <c r="J207" s="24"/>
      <c r="K207" s="43"/>
      <c r="L207" s="43"/>
      <c r="M207" s="43"/>
      <c r="N207" s="43"/>
      <c r="O207" s="43"/>
      <c r="P207" s="43"/>
    </row>
    <row r="208" spans="1:16" x14ac:dyDescent="0.35">
      <c r="A208" s="24"/>
      <c r="B208" s="24"/>
      <c r="C208" s="24"/>
      <c r="D208" s="24"/>
      <c r="E208" s="24"/>
      <c r="F208" s="24"/>
      <c r="G208" s="24"/>
      <c r="H208" s="25"/>
      <c r="I208" s="24"/>
      <c r="J208" s="24"/>
      <c r="K208" s="43"/>
      <c r="L208" s="43"/>
      <c r="M208" s="43"/>
      <c r="N208" s="43"/>
      <c r="O208" s="43"/>
      <c r="P208" s="43"/>
    </row>
    <row r="209" spans="1:16" x14ac:dyDescent="0.35">
      <c r="A209" s="24"/>
      <c r="B209" s="24"/>
      <c r="C209" s="24"/>
      <c r="D209" s="24"/>
      <c r="E209" s="24"/>
      <c r="F209" s="24"/>
      <c r="G209" s="24"/>
      <c r="H209" s="25"/>
      <c r="I209" s="24"/>
      <c r="J209" s="24"/>
      <c r="K209" s="43"/>
      <c r="L209" s="43"/>
      <c r="M209" s="43"/>
      <c r="N209" s="43"/>
      <c r="O209" s="43"/>
      <c r="P209" s="43"/>
    </row>
    <row r="210" spans="1:16" x14ac:dyDescent="0.35">
      <c r="A210" s="24"/>
      <c r="B210" s="24"/>
      <c r="C210" s="24"/>
      <c r="D210" s="24"/>
      <c r="E210" s="24"/>
      <c r="F210" s="24"/>
      <c r="G210" s="24"/>
      <c r="H210" s="25"/>
      <c r="I210" s="24"/>
      <c r="J210" s="24"/>
      <c r="K210" s="43"/>
      <c r="L210" s="43"/>
      <c r="M210" s="43"/>
      <c r="N210" s="43"/>
      <c r="O210" s="43"/>
      <c r="P210" s="43"/>
    </row>
    <row r="211" spans="1:16" x14ac:dyDescent="0.35">
      <c r="A211" s="24"/>
      <c r="B211" s="24"/>
      <c r="C211" s="24"/>
      <c r="D211" s="24"/>
      <c r="E211" s="24"/>
      <c r="F211" s="24"/>
      <c r="G211" s="24"/>
      <c r="H211" s="25"/>
      <c r="I211" s="24"/>
      <c r="J211" s="24"/>
      <c r="K211" s="43"/>
      <c r="L211" s="43"/>
      <c r="M211" s="43"/>
      <c r="N211" s="43"/>
      <c r="O211" s="43"/>
      <c r="P211" s="43"/>
    </row>
    <row r="212" spans="1:16" x14ac:dyDescent="0.35">
      <c r="A212" s="24"/>
      <c r="B212" s="24"/>
      <c r="C212" s="24"/>
      <c r="D212" s="24"/>
      <c r="E212" s="24"/>
      <c r="F212" s="24"/>
      <c r="G212" s="24"/>
      <c r="H212" s="25"/>
      <c r="I212" s="24"/>
      <c r="J212" s="24"/>
      <c r="K212" s="43"/>
      <c r="L212" s="43"/>
      <c r="M212" s="43"/>
      <c r="N212" s="43"/>
      <c r="O212" s="43"/>
      <c r="P212" s="43"/>
    </row>
    <row r="213" spans="1:16" x14ac:dyDescent="0.35">
      <c r="A213" s="24"/>
      <c r="B213" s="24"/>
      <c r="C213" s="24"/>
      <c r="D213" s="24"/>
      <c r="E213" s="24"/>
      <c r="F213" s="24"/>
      <c r="G213" s="24"/>
      <c r="H213" s="25"/>
      <c r="I213" s="24"/>
      <c r="J213" s="24"/>
      <c r="K213" s="43"/>
      <c r="L213" s="43"/>
      <c r="M213" s="43"/>
      <c r="N213" s="43"/>
      <c r="O213" s="43"/>
      <c r="P213" s="43"/>
    </row>
    <row r="214" spans="1:16" x14ac:dyDescent="0.35">
      <c r="A214" s="24"/>
      <c r="B214" s="24"/>
      <c r="C214" s="24"/>
      <c r="D214" s="24"/>
      <c r="E214" s="24"/>
      <c r="F214" s="24"/>
      <c r="G214" s="24"/>
      <c r="H214" s="25"/>
      <c r="I214" s="24"/>
      <c r="J214" s="24"/>
      <c r="K214" s="43"/>
      <c r="L214" s="43"/>
      <c r="M214" s="43"/>
      <c r="N214" s="43"/>
      <c r="O214" s="43"/>
      <c r="P214" s="43"/>
    </row>
    <row r="215" spans="1:16" x14ac:dyDescent="0.35">
      <c r="A215" s="24"/>
      <c r="B215" s="24"/>
      <c r="C215" s="24"/>
      <c r="D215" s="24"/>
      <c r="E215" s="24"/>
      <c r="F215" s="24"/>
      <c r="G215" s="24"/>
      <c r="H215" s="25"/>
      <c r="I215" s="24"/>
      <c r="J215" s="24"/>
      <c r="K215" s="43"/>
      <c r="L215" s="43"/>
      <c r="M215" s="43"/>
      <c r="N215" s="43"/>
      <c r="O215" s="43"/>
      <c r="P215" s="43"/>
    </row>
    <row r="216" spans="1:16" x14ac:dyDescent="0.35">
      <c r="A216" s="24"/>
      <c r="B216" s="24"/>
      <c r="C216" s="24"/>
      <c r="D216" s="24"/>
      <c r="E216" s="24"/>
      <c r="F216" s="24"/>
      <c r="G216" s="24"/>
      <c r="H216" s="25"/>
      <c r="I216" s="24"/>
      <c r="J216" s="24"/>
      <c r="K216" s="43"/>
      <c r="L216" s="43"/>
      <c r="M216" s="43"/>
      <c r="N216" s="43"/>
      <c r="O216" s="43"/>
      <c r="P216" s="43"/>
    </row>
    <row r="217" spans="1:16" x14ac:dyDescent="0.35">
      <c r="A217" s="24"/>
      <c r="B217" s="24"/>
      <c r="C217" s="24"/>
      <c r="D217" s="24"/>
      <c r="E217" s="24"/>
      <c r="F217" s="24"/>
      <c r="G217" s="24"/>
      <c r="H217" s="25"/>
      <c r="I217" s="24"/>
      <c r="J217" s="24"/>
      <c r="K217" s="43"/>
      <c r="L217" s="43"/>
      <c r="M217" s="43"/>
      <c r="N217" s="43"/>
      <c r="O217" s="43"/>
      <c r="P217" s="43"/>
    </row>
    <row r="218" spans="1:16" x14ac:dyDescent="0.35">
      <c r="A218" s="24"/>
      <c r="B218" s="24"/>
      <c r="C218" s="24"/>
      <c r="D218" s="24"/>
      <c r="E218" s="24"/>
      <c r="F218" s="24"/>
      <c r="G218" s="24"/>
      <c r="H218" s="25"/>
      <c r="I218" s="24"/>
      <c r="J218" s="24"/>
      <c r="K218" s="43"/>
      <c r="L218" s="43"/>
      <c r="M218" s="43"/>
      <c r="N218" s="43"/>
      <c r="O218" s="43"/>
      <c r="P218" s="43"/>
    </row>
    <row r="219" spans="1:16" x14ac:dyDescent="0.35">
      <c r="A219" s="24"/>
      <c r="B219" s="24"/>
      <c r="C219" s="24"/>
      <c r="D219" s="24"/>
      <c r="E219" s="24"/>
      <c r="F219" s="24"/>
      <c r="G219" s="24"/>
      <c r="H219" s="25"/>
      <c r="I219" s="24"/>
      <c r="J219" s="24"/>
      <c r="K219" s="43"/>
      <c r="L219" s="43"/>
      <c r="M219" s="43"/>
      <c r="N219" s="43"/>
      <c r="O219" s="43"/>
      <c r="P219" s="43"/>
    </row>
    <row r="220" spans="1:16" x14ac:dyDescent="0.35">
      <c r="A220" s="24"/>
      <c r="B220" s="24"/>
      <c r="C220" s="24"/>
      <c r="D220" s="24"/>
      <c r="E220" s="24"/>
      <c r="F220" s="24"/>
      <c r="G220" s="24"/>
      <c r="H220" s="25"/>
      <c r="I220" s="24"/>
      <c r="J220" s="24"/>
      <c r="K220" s="43"/>
      <c r="L220" s="43"/>
      <c r="M220" s="43"/>
      <c r="N220" s="43"/>
      <c r="O220" s="43"/>
      <c r="P220" s="43"/>
    </row>
    <row r="221" spans="1:16" x14ac:dyDescent="0.35">
      <c r="A221" s="24"/>
      <c r="B221" s="24"/>
      <c r="C221" s="24"/>
      <c r="D221" s="24"/>
      <c r="E221" s="24"/>
      <c r="F221" s="24"/>
      <c r="G221" s="24"/>
      <c r="H221" s="25"/>
      <c r="I221" s="24"/>
      <c r="J221" s="24"/>
      <c r="K221" s="43"/>
      <c r="L221" s="43"/>
      <c r="M221" s="43"/>
      <c r="N221" s="43"/>
      <c r="O221" s="43"/>
      <c r="P221" s="43"/>
    </row>
    <row r="222" spans="1:16" x14ac:dyDescent="0.35">
      <c r="A222" s="24"/>
      <c r="B222" s="24"/>
      <c r="C222" s="24"/>
      <c r="D222" s="24"/>
      <c r="E222" s="24"/>
      <c r="F222" s="24"/>
      <c r="G222" s="24"/>
      <c r="H222" s="25"/>
      <c r="I222" s="24"/>
      <c r="J222" s="24"/>
      <c r="K222" s="43"/>
      <c r="L222" s="43"/>
      <c r="M222" s="43"/>
      <c r="N222" s="43"/>
      <c r="O222" s="43"/>
      <c r="P222" s="43"/>
    </row>
    <row r="223" spans="1:16" x14ac:dyDescent="0.35">
      <c r="A223" s="24"/>
      <c r="B223" s="24"/>
      <c r="C223" s="24"/>
      <c r="D223" s="24"/>
      <c r="E223" s="24"/>
      <c r="F223" s="24"/>
      <c r="G223" s="24"/>
      <c r="H223" s="25"/>
      <c r="I223" s="24"/>
      <c r="J223" s="24"/>
      <c r="K223" s="43"/>
      <c r="L223" s="43"/>
      <c r="M223" s="43"/>
      <c r="N223" s="43"/>
      <c r="O223" s="43"/>
      <c r="P223" s="43"/>
    </row>
    <row r="224" spans="1:16" x14ac:dyDescent="0.35">
      <c r="A224" s="24"/>
      <c r="B224" s="24"/>
      <c r="C224" s="24"/>
      <c r="D224" s="24"/>
      <c r="E224" s="24"/>
      <c r="F224" s="24"/>
      <c r="G224" s="24"/>
      <c r="H224" s="25"/>
      <c r="I224" s="24"/>
      <c r="J224" s="24"/>
      <c r="K224" s="43"/>
      <c r="L224" s="43"/>
      <c r="M224" s="43"/>
      <c r="N224" s="43"/>
      <c r="O224" s="43"/>
      <c r="P224" s="43"/>
    </row>
    <row r="225" spans="1:16" x14ac:dyDescent="0.35">
      <c r="A225" s="24"/>
      <c r="B225" s="24"/>
      <c r="C225" s="24"/>
      <c r="D225" s="24"/>
      <c r="E225" s="24"/>
      <c r="F225" s="24"/>
      <c r="G225" s="24"/>
      <c r="H225" s="25"/>
      <c r="I225" s="24"/>
      <c r="J225" s="24"/>
      <c r="K225" s="43"/>
      <c r="L225" s="43"/>
      <c r="M225" s="43"/>
      <c r="N225" s="43"/>
      <c r="O225" s="43"/>
      <c r="P225" s="43"/>
    </row>
    <row r="226" spans="1:16" x14ac:dyDescent="0.35">
      <c r="A226" s="24"/>
      <c r="B226" s="24"/>
      <c r="C226" s="24"/>
      <c r="D226" s="24"/>
      <c r="E226" s="24"/>
      <c r="F226" s="24"/>
      <c r="G226" s="24"/>
      <c r="H226" s="25"/>
      <c r="I226" s="24"/>
      <c r="J226" s="24"/>
      <c r="K226" s="43"/>
      <c r="L226" s="43"/>
      <c r="M226" s="43"/>
      <c r="N226" s="43"/>
      <c r="O226" s="43"/>
      <c r="P226" s="43"/>
    </row>
    <row r="227" spans="1:16" x14ac:dyDescent="0.35">
      <c r="A227" s="24"/>
      <c r="B227" s="24"/>
      <c r="C227" s="24"/>
      <c r="D227" s="24"/>
      <c r="E227" s="24"/>
      <c r="F227" s="24"/>
      <c r="G227" s="24"/>
      <c r="H227" s="25"/>
      <c r="I227" s="24"/>
      <c r="J227" s="24"/>
      <c r="K227" s="43"/>
      <c r="L227" s="43"/>
      <c r="M227" s="43"/>
      <c r="N227" s="43"/>
      <c r="O227" s="43"/>
      <c r="P227" s="43"/>
    </row>
    <row r="228" spans="1:16" x14ac:dyDescent="0.35">
      <c r="A228" s="24"/>
      <c r="B228" s="24"/>
      <c r="C228" s="24"/>
      <c r="D228" s="24"/>
      <c r="E228" s="24"/>
      <c r="F228" s="24"/>
      <c r="G228" s="24"/>
      <c r="H228" s="25"/>
      <c r="I228" s="24"/>
      <c r="J228" s="24"/>
      <c r="K228" s="43"/>
      <c r="L228" s="43"/>
      <c r="M228" s="43"/>
      <c r="N228" s="43"/>
      <c r="O228" s="43"/>
      <c r="P228" s="43"/>
    </row>
    <row r="229" spans="1:16" x14ac:dyDescent="0.35">
      <c r="A229" s="24"/>
      <c r="B229" s="24"/>
      <c r="C229" s="24"/>
      <c r="D229" s="24"/>
      <c r="E229" s="24"/>
      <c r="F229" s="24"/>
      <c r="G229" s="24"/>
      <c r="H229" s="25"/>
      <c r="I229" s="24"/>
      <c r="J229" s="24"/>
      <c r="K229" s="43"/>
      <c r="L229" s="43"/>
      <c r="M229" s="43"/>
      <c r="N229" s="43"/>
      <c r="O229" s="43"/>
      <c r="P229" s="43"/>
    </row>
    <row r="230" spans="1:16" x14ac:dyDescent="0.35">
      <c r="A230" s="24"/>
      <c r="B230" s="24"/>
      <c r="C230" s="24"/>
      <c r="D230" s="24"/>
      <c r="E230" s="24"/>
      <c r="F230" s="24"/>
      <c r="G230" s="24"/>
      <c r="H230" s="25"/>
      <c r="I230" s="24"/>
      <c r="J230" s="24"/>
      <c r="K230" s="43"/>
      <c r="L230" s="43"/>
      <c r="M230" s="43"/>
      <c r="N230" s="43"/>
      <c r="O230" s="43"/>
      <c r="P230" s="43"/>
    </row>
    <row r="231" spans="1:16" x14ac:dyDescent="0.35">
      <c r="A231" s="24"/>
      <c r="B231" s="24"/>
      <c r="C231" s="24"/>
      <c r="D231" s="24"/>
      <c r="E231" s="24"/>
      <c r="F231" s="24"/>
      <c r="G231" s="24"/>
      <c r="H231" s="25"/>
      <c r="I231" s="24"/>
      <c r="J231" s="24"/>
      <c r="K231" s="43"/>
      <c r="L231" s="43"/>
      <c r="M231" s="43"/>
      <c r="N231" s="43"/>
      <c r="O231" s="43"/>
      <c r="P231" s="43"/>
    </row>
    <row r="232" spans="1:16" x14ac:dyDescent="0.35">
      <c r="A232" s="24"/>
      <c r="B232" s="24"/>
      <c r="C232" s="24"/>
      <c r="D232" s="24"/>
      <c r="E232" s="24"/>
      <c r="F232" s="24"/>
      <c r="G232" s="24"/>
      <c r="H232" s="25"/>
      <c r="I232" s="24"/>
      <c r="J232" s="24"/>
      <c r="K232" s="43"/>
      <c r="L232" s="43"/>
      <c r="M232" s="43"/>
      <c r="N232" s="43"/>
      <c r="O232" s="43"/>
      <c r="P232" s="43"/>
    </row>
    <row r="233" spans="1:16" x14ac:dyDescent="0.35">
      <c r="A233" s="24"/>
      <c r="B233" s="24"/>
      <c r="C233" s="24"/>
      <c r="D233" s="24"/>
      <c r="E233" s="24"/>
      <c r="F233" s="24"/>
      <c r="G233" s="24"/>
      <c r="H233" s="25"/>
      <c r="I233" s="24"/>
      <c r="J233" s="24"/>
      <c r="K233" s="43"/>
      <c r="L233" s="43"/>
      <c r="M233" s="43"/>
      <c r="N233" s="43"/>
      <c r="O233" s="43"/>
      <c r="P233" s="43"/>
    </row>
    <row r="234" spans="1:16" x14ac:dyDescent="0.35">
      <c r="A234" s="24"/>
      <c r="B234" s="24"/>
      <c r="C234" s="24"/>
      <c r="D234" s="24"/>
      <c r="E234" s="24"/>
      <c r="F234" s="24"/>
      <c r="G234" s="24"/>
      <c r="H234" s="25"/>
      <c r="I234" s="24"/>
      <c r="J234" s="24"/>
      <c r="K234" s="43"/>
      <c r="L234" s="43"/>
      <c r="M234" s="43"/>
      <c r="N234" s="43"/>
      <c r="O234" s="43"/>
      <c r="P234" s="43"/>
    </row>
    <row r="235" spans="1:16" x14ac:dyDescent="0.35">
      <c r="A235" s="24"/>
      <c r="B235" s="24"/>
      <c r="C235" s="24"/>
      <c r="D235" s="24"/>
      <c r="E235" s="24"/>
      <c r="F235" s="24"/>
      <c r="G235" s="24"/>
      <c r="H235" s="25"/>
      <c r="I235" s="24"/>
      <c r="J235" s="24"/>
      <c r="K235" s="43"/>
      <c r="L235" s="43"/>
      <c r="M235" s="43"/>
      <c r="N235" s="43"/>
      <c r="O235" s="43"/>
      <c r="P235" s="43"/>
    </row>
    <row r="236" spans="1:16" x14ac:dyDescent="0.35">
      <c r="A236" s="24"/>
      <c r="B236" s="24"/>
      <c r="C236" s="24"/>
      <c r="D236" s="24"/>
      <c r="E236" s="24"/>
      <c r="F236" s="24"/>
      <c r="G236" s="24"/>
      <c r="H236" s="25"/>
      <c r="I236" s="24"/>
      <c r="J236" s="24"/>
      <c r="K236" s="43"/>
      <c r="L236" s="43"/>
      <c r="M236" s="43"/>
      <c r="N236" s="43"/>
      <c r="O236" s="43"/>
      <c r="P236" s="43"/>
    </row>
    <row r="237" spans="1:16" x14ac:dyDescent="0.35">
      <c r="A237" s="24"/>
      <c r="B237" s="24"/>
      <c r="C237" s="24"/>
      <c r="D237" s="24"/>
      <c r="E237" s="24"/>
      <c r="F237" s="24"/>
      <c r="G237" s="24"/>
      <c r="H237" s="25"/>
      <c r="I237" s="24"/>
      <c r="J237" s="24"/>
      <c r="K237" s="43"/>
      <c r="L237" s="43"/>
      <c r="M237" s="43"/>
      <c r="N237" s="43"/>
      <c r="O237" s="43"/>
      <c r="P237" s="43"/>
    </row>
    <row r="238" spans="1:16" x14ac:dyDescent="0.35">
      <c r="A238" s="24"/>
      <c r="B238" s="24"/>
      <c r="C238" s="24"/>
      <c r="D238" s="24"/>
      <c r="E238" s="24"/>
      <c r="F238" s="24"/>
      <c r="G238" s="24"/>
      <c r="H238" s="25"/>
      <c r="I238" s="24"/>
      <c r="J238" s="24"/>
      <c r="K238" s="43"/>
      <c r="L238" s="43"/>
      <c r="M238" s="43"/>
      <c r="N238" s="43"/>
      <c r="O238" s="43"/>
      <c r="P238" s="43"/>
    </row>
    <row r="239" spans="1:16" x14ac:dyDescent="0.35">
      <c r="A239" s="24"/>
      <c r="B239" s="24"/>
      <c r="C239" s="24"/>
      <c r="D239" s="24"/>
      <c r="E239" s="24"/>
      <c r="F239" s="24"/>
      <c r="G239" s="24"/>
      <c r="H239" s="25"/>
      <c r="I239" s="24"/>
      <c r="J239" s="24"/>
      <c r="K239" s="43"/>
      <c r="L239" s="43"/>
      <c r="M239" s="43"/>
      <c r="N239" s="43"/>
      <c r="O239" s="43"/>
      <c r="P239" s="43"/>
    </row>
    <row r="240" spans="1:16" x14ac:dyDescent="0.35">
      <c r="A240" s="24"/>
      <c r="B240" s="24"/>
      <c r="C240" s="24"/>
      <c r="D240" s="24"/>
      <c r="E240" s="24"/>
      <c r="F240" s="24"/>
      <c r="G240" s="24"/>
      <c r="H240" s="25"/>
      <c r="I240" s="24"/>
      <c r="J240" s="24"/>
      <c r="K240" s="43"/>
      <c r="L240" s="43"/>
      <c r="M240" s="43"/>
      <c r="N240" s="43"/>
      <c r="O240" s="43"/>
      <c r="P240" s="43"/>
    </row>
    <row r="241" spans="1:16" x14ac:dyDescent="0.35">
      <c r="A241" s="24"/>
      <c r="B241" s="24"/>
      <c r="C241" s="24"/>
      <c r="D241" s="24"/>
      <c r="E241" s="24"/>
      <c r="F241" s="24"/>
      <c r="G241" s="24"/>
      <c r="H241" s="25"/>
      <c r="I241" s="24"/>
      <c r="J241" s="24"/>
      <c r="K241" s="43"/>
      <c r="L241" s="43"/>
      <c r="M241" s="43"/>
      <c r="N241" s="43"/>
      <c r="O241" s="43"/>
      <c r="P241" s="43"/>
    </row>
    <row r="242" spans="1:16" x14ac:dyDescent="0.35">
      <c r="A242" s="24"/>
      <c r="B242" s="24"/>
      <c r="C242" s="24"/>
      <c r="D242" s="24"/>
      <c r="E242" s="24"/>
      <c r="F242" s="24"/>
      <c r="G242" s="24"/>
      <c r="H242" s="25"/>
      <c r="I242" s="24"/>
      <c r="J242" s="24"/>
      <c r="K242" s="43"/>
      <c r="L242" s="43"/>
      <c r="M242" s="43"/>
      <c r="N242" s="43"/>
      <c r="O242" s="43"/>
      <c r="P242" s="43"/>
    </row>
    <row r="243" spans="1:16" x14ac:dyDescent="0.35">
      <c r="A243" s="24"/>
      <c r="B243" s="24"/>
      <c r="C243" s="24"/>
      <c r="D243" s="24"/>
      <c r="E243" s="24"/>
      <c r="F243" s="24"/>
      <c r="G243" s="24"/>
      <c r="H243" s="25"/>
      <c r="I243" s="24"/>
      <c r="J243" s="24"/>
      <c r="K243" s="43"/>
      <c r="L243" s="43"/>
      <c r="M243" s="43"/>
      <c r="N243" s="43"/>
      <c r="O243" s="43"/>
      <c r="P243" s="43"/>
    </row>
    <row r="244" spans="1:16" x14ac:dyDescent="0.35">
      <c r="A244" s="24"/>
      <c r="B244" s="24"/>
      <c r="C244" s="24"/>
      <c r="D244" s="24"/>
      <c r="E244" s="24"/>
      <c r="F244" s="24"/>
      <c r="G244" s="24"/>
      <c r="H244" s="25"/>
      <c r="I244" s="24"/>
      <c r="J244" s="24"/>
      <c r="K244" s="43"/>
      <c r="L244" s="43"/>
      <c r="M244" s="43"/>
      <c r="N244" s="43"/>
      <c r="O244" s="43"/>
      <c r="P244" s="43"/>
    </row>
    <row r="245" spans="1:16" x14ac:dyDescent="0.35">
      <c r="A245" s="24"/>
      <c r="B245" s="24"/>
      <c r="C245" s="24"/>
      <c r="D245" s="24"/>
      <c r="E245" s="24"/>
      <c r="F245" s="24"/>
      <c r="G245" s="24"/>
      <c r="H245" s="25"/>
      <c r="I245" s="24"/>
      <c r="J245" s="24"/>
      <c r="K245" s="43"/>
      <c r="L245" s="43"/>
      <c r="M245" s="43"/>
      <c r="N245" s="43"/>
      <c r="O245" s="43"/>
      <c r="P245" s="43"/>
    </row>
    <row r="246" spans="1:16" x14ac:dyDescent="0.35">
      <c r="A246" s="24"/>
      <c r="B246" s="24"/>
      <c r="C246" s="24"/>
      <c r="D246" s="24"/>
      <c r="E246" s="24"/>
      <c r="F246" s="24"/>
      <c r="G246" s="24"/>
      <c r="H246" s="25"/>
      <c r="I246" s="24"/>
      <c r="J246" s="24"/>
      <c r="K246" s="43"/>
      <c r="L246" s="43"/>
      <c r="M246" s="43"/>
      <c r="N246" s="43"/>
      <c r="O246" s="43"/>
      <c r="P246" s="43"/>
    </row>
    <row r="247" spans="1:16" x14ac:dyDescent="0.35">
      <c r="A247" s="24"/>
      <c r="B247" s="24"/>
      <c r="C247" s="24"/>
      <c r="D247" s="24"/>
      <c r="E247" s="24"/>
      <c r="F247" s="24"/>
      <c r="G247" s="24"/>
      <c r="H247" s="25"/>
      <c r="I247" s="24"/>
      <c r="J247" s="24"/>
      <c r="K247" s="43"/>
      <c r="L247" s="43"/>
      <c r="M247" s="43"/>
      <c r="N247" s="43"/>
      <c r="O247" s="43"/>
      <c r="P247" s="43"/>
    </row>
    <row r="248" spans="1:16" x14ac:dyDescent="0.35">
      <c r="A248" s="24"/>
      <c r="B248" s="24"/>
      <c r="C248" s="24"/>
      <c r="D248" s="24"/>
      <c r="E248" s="24"/>
      <c r="F248" s="24"/>
      <c r="G248" s="24"/>
      <c r="H248" s="25"/>
      <c r="I248" s="24"/>
      <c r="J248" s="24"/>
      <c r="K248" s="43"/>
      <c r="L248" s="43"/>
      <c r="M248" s="43"/>
      <c r="N248" s="43"/>
      <c r="O248" s="43"/>
      <c r="P248" s="43"/>
    </row>
    <row r="249" spans="1:16" x14ac:dyDescent="0.35">
      <c r="A249" s="24"/>
      <c r="B249" s="24"/>
      <c r="C249" s="24"/>
      <c r="D249" s="24"/>
      <c r="E249" s="24"/>
      <c r="F249" s="24"/>
      <c r="G249" s="24"/>
      <c r="H249" s="25"/>
      <c r="I249" s="24"/>
      <c r="J249" s="24"/>
      <c r="K249" s="43"/>
      <c r="L249" s="43"/>
      <c r="M249" s="43"/>
      <c r="N249" s="43"/>
      <c r="O249" s="43"/>
      <c r="P249" s="43"/>
    </row>
    <row r="250" spans="1:16" x14ac:dyDescent="0.35">
      <c r="A250" s="24"/>
      <c r="B250" s="24"/>
      <c r="C250" s="24"/>
      <c r="D250" s="24"/>
      <c r="E250" s="24"/>
      <c r="F250" s="24"/>
      <c r="G250" s="24"/>
      <c r="H250" s="25"/>
      <c r="I250" s="24"/>
      <c r="J250" s="24"/>
      <c r="K250" s="43"/>
      <c r="L250" s="43"/>
      <c r="M250" s="43"/>
      <c r="N250" s="43"/>
      <c r="O250" s="43"/>
      <c r="P250" s="43"/>
    </row>
  </sheetData>
  <autoFilter ref="A1:P250" xr:uid="{00000000-0009-0000-0000-000007000000}"/>
  <conditionalFormatting sqref="A2:A250">
    <cfRule type="expression" dxfId="5" priority="1">
      <formula>AND($A2&lt;&gt;"",COUNTIF($A$2:$A$250,$A2)&gt;1)</formula>
    </cfRule>
  </conditionalFormatting>
  <dataValidations count="5">
    <dataValidation type="list" allowBlank="1" sqref="C2:C250" xr:uid="{00000000-0002-0000-0700-000000000000}">
      <formula1>lst_Canal</formula1>
    </dataValidation>
    <dataValidation type="list" allowBlank="1" sqref="G2:G250" xr:uid="{00000000-0002-0000-0700-000001000000}">
      <formula1>lst_Frecuencia</formula1>
    </dataValidation>
    <dataValidation type="list" allowBlank="1" sqref="I2:I250" xr:uid="{00000000-0002-0000-0700-000002000000}">
      <formula1>lst_EstadoCliente</formula1>
    </dataValidation>
    <dataValidation type="list" allowBlank="1" sqref="L2:L250" xr:uid="{00000000-0002-0000-0700-000003000000}">
      <formula1>lst_Bodega</formula1>
    </dataValidation>
    <dataValidation type="list" allowBlank="1" sqref="P2:P250" xr:uid="{00000000-0002-0000-0700-000004000000}">
      <formula1>lst_CondPago</formula1>
    </dataValidation>
  </dataValidations>
  <hyperlinks>
    <hyperlink ref="L1" location="Inicio!A11" display="⚙ Configuración" xr:uid="{00000000-0004-0000-0700-000000000000}"/>
  </hyperlinks>
  <pageMargins left="0.7" right="0.7" top="0.75" bottom="0.75" header="0.3" footer="0.3"/>
  <headerFooter>
    <oddHeader>&amp;C&amp;8 DOCUMENTO CONFIDENCIAL Y RESTRINGIDO  -  Uso interno Nuva Oxi</oddHeader>
    <oddFooter>&amp;LNuva Oxi&amp;RPágina &amp;P de &amp;N</oddFooter>
  </headerFooter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A56A97"/>
  </sheetPr>
  <dimension ref="A1:AB800"/>
  <sheetViews>
    <sheetView showGridLines="0"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12" customWidth="1"/>
    <col min="2" max="2" width="13" customWidth="1"/>
    <col min="3" max="3" width="14" customWidth="1"/>
    <col min="4" max="4" width="12" customWidth="1"/>
    <col min="5" max="5" width="16" customWidth="1"/>
    <col min="6" max="6" width="15" customWidth="1"/>
    <col min="7" max="8" width="24" customWidth="1"/>
    <col min="9" max="9" width="32" customWidth="1"/>
    <col min="10" max="10" width="13" customWidth="1"/>
    <col min="11" max="11" width="16" customWidth="1"/>
    <col min="12" max="12" width="13" customWidth="1"/>
    <col min="13" max="13" width="12" customWidth="1"/>
    <col min="14" max="14" width="13" customWidth="1"/>
    <col min="15" max="16" width="14" customWidth="1"/>
    <col min="17" max="17" width="13" customWidth="1"/>
    <col min="18" max="18" width="14" customWidth="1"/>
    <col min="19" max="19" width="17" customWidth="1"/>
    <col min="20" max="20" width="26" customWidth="1"/>
  </cols>
  <sheetData>
    <row r="1" spans="1:28" ht="28" customHeight="1" x14ac:dyDescent="0.35">
      <c r="A1" s="7" t="s">
        <v>282</v>
      </c>
      <c r="B1" s="7" t="s">
        <v>283</v>
      </c>
      <c r="C1" s="7" t="s">
        <v>284</v>
      </c>
      <c r="D1" s="7" t="s">
        <v>0</v>
      </c>
      <c r="E1" s="7" t="s">
        <v>1</v>
      </c>
      <c r="F1" s="7" t="s">
        <v>2</v>
      </c>
      <c r="G1" s="7" t="s">
        <v>3</v>
      </c>
      <c r="H1" s="7" t="s">
        <v>285</v>
      </c>
      <c r="I1" s="7" t="s">
        <v>286</v>
      </c>
      <c r="J1" s="7" t="s">
        <v>287</v>
      </c>
      <c r="K1" s="7" t="s">
        <v>288</v>
      </c>
      <c r="L1" s="7" t="s">
        <v>289</v>
      </c>
      <c r="M1" s="7" t="s">
        <v>290</v>
      </c>
      <c r="N1" s="7" t="s">
        <v>291</v>
      </c>
      <c r="O1" s="7" t="s">
        <v>292</v>
      </c>
      <c r="P1" s="7" t="s">
        <v>26</v>
      </c>
      <c r="Q1" s="7" t="s">
        <v>293</v>
      </c>
      <c r="R1" s="7" t="s">
        <v>294</v>
      </c>
      <c r="S1" s="7" t="s">
        <v>295</v>
      </c>
      <c r="T1" s="7" t="s">
        <v>236</v>
      </c>
      <c r="U1" s="36" t="s">
        <v>296</v>
      </c>
      <c r="V1" s="36" t="s">
        <v>297</v>
      </c>
      <c r="W1" s="36" t="s">
        <v>298</v>
      </c>
      <c r="X1" s="36" t="s">
        <v>191</v>
      </c>
      <c r="Y1" s="36" t="s">
        <v>299</v>
      </c>
      <c r="Z1" s="60" t="s">
        <v>300</v>
      </c>
      <c r="AB1" s="65" t="s">
        <v>20</v>
      </c>
    </row>
    <row r="2" spans="1:28" ht="20" customHeight="1" x14ac:dyDescent="0.35">
      <c r="A2" s="18" t="s">
        <v>301</v>
      </c>
      <c r="B2" s="26">
        <v>46199</v>
      </c>
      <c r="C2" s="18" t="s">
        <v>302</v>
      </c>
      <c r="D2" s="18" t="s">
        <v>273</v>
      </c>
      <c r="E2" s="22" t="str">
        <f>IFERROR(VLOOKUP(D2,Clientes_PDV!$A$2:$J$250,2,FALSE),"")</f>
        <v>Sodexo</v>
      </c>
      <c r="F2" s="22" t="str">
        <f>IFERROR(VLOOKUP(D2,Clientes_PDV!$A$2:$J$250,3,FALSE),"")</f>
        <v>Corporativo</v>
      </c>
      <c r="G2" s="22" t="str">
        <f>IFERROR(VLOOKUP(D2,Clientes_PDV!$A$2:$J$250,4,FALSE),"")</f>
        <v>Sodexo Casa Matriz</v>
      </c>
      <c r="H2" s="18" t="s">
        <v>303</v>
      </c>
      <c r="I2" s="22" t="str">
        <f>IFERROR(VLOOKUP(H2,Maestro_SKU!$A$2:$P$500,2,FALSE),"")</f>
        <v>Barra Berry Mix unidad</v>
      </c>
      <c r="J2" s="27">
        <v>20</v>
      </c>
      <c r="K2" s="19">
        <v>911</v>
      </c>
      <c r="L2" s="23">
        <f t="shared" ref="L2:L65" si="0">IF(OR(J2="",K2=""),"",J2*K2)</f>
        <v>18220</v>
      </c>
      <c r="M2" s="23">
        <f>IF(L2="","",L2*Inicio!$B$13)</f>
        <v>3461.8</v>
      </c>
      <c r="N2" s="23">
        <f t="shared" ref="N2:N65" si="1">IF(L2="","",L2+M2)</f>
        <v>21681.8</v>
      </c>
      <c r="O2" s="26">
        <v>46244</v>
      </c>
      <c r="P2" s="18" t="s">
        <v>48</v>
      </c>
      <c r="Q2" s="19">
        <v>14349</v>
      </c>
      <c r="R2" s="23">
        <f t="shared" ref="R2:R65" si="2">IF(N2="","",MAX(N2-Q2,0))</f>
        <v>7332.7999999999993</v>
      </c>
      <c r="S2" s="22" t="str">
        <f ca="1">IF(A2="","",IF(OR(P2="Pagada",R2=0),"Pagada",IF(O2&lt;TODAY(),"Vencida",IF(O2&lt;=TODAY()+Inicio!$B$19,"Próxima a vencer","Vigente"))))</f>
        <v>Vigente</v>
      </c>
      <c r="T2" s="18"/>
      <c r="U2" s="37">
        <f t="shared" ref="U2:U65" si="3">IF($B2="","",YEAR($B2))</f>
        <v>2026</v>
      </c>
      <c r="V2" s="37">
        <f t="shared" ref="V2:V65" si="4">IF($B2="","",MONTH($B2))</f>
        <v>6</v>
      </c>
      <c r="W2" s="37">
        <f t="shared" ref="W2:W65" si="5">IF($B2="","",DAY($B2))</f>
        <v>26</v>
      </c>
      <c r="X2" s="37" t="str">
        <f t="shared" ref="X2:X65" si="6">IF($B2="","",YEAR($B2)&amp;"-"&amp;TEXT(MONTH($B2),"00"))</f>
        <v>2026-06</v>
      </c>
      <c r="Y2" s="37">
        <f>IF(OR($H2="",$J2=""),"",$J2*IFERROR(VLOOKUP($H2,Maestro_SKU!$A$2:$P$500,12,FALSE),1))</f>
        <v>20</v>
      </c>
      <c r="Z2" s="37">
        <f t="shared" ref="Z2:Z65" ca="1" si="7">IF(OR($A2="",$O2="",$S2="Pagada"),"",$O2-TODAY())</f>
        <v>31</v>
      </c>
    </row>
    <row r="3" spans="1:28" ht="20" customHeight="1" x14ac:dyDescent="0.35">
      <c r="A3" s="18" t="s">
        <v>304</v>
      </c>
      <c r="B3" s="26">
        <v>46208</v>
      </c>
      <c r="C3" s="18" t="s">
        <v>305</v>
      </c>
      <c r="D3" s="18" t="s">
        <v>276</v>
      </c>
      <c r="E3" s="22" t="str">
        <f>IFERROR(VLOOKUP(D3,Clientes_PDV!$A$2:$J$250,2,FALSE),"")</f>
        <v>Tres Toques</v>
      </c>
      <c r="F3" s="22" t="str">
        <f>IFERROR(VLOOKUP(D3,Clientes_PDV!$A$2:$J$250,3,FALSE),"")</f>
        <v>HORECA</v>
      </c>
      <c r="G3" s="22" t="str">
        <f>IFERROR(VLOOKUP(D3,Clientes_PDV!$A$2:$J$250,4,FALSE),"")</f>
        <v>Tres Toques Vitacura</v>
      </c>
      <c r="H3" s="18" t="s">
        <v>306</v>
      </c>
      <c r="I3" s="22" t="str">
        <f>IFERROR(VLOOKUP(H3,Maestro_SKU!$A$2:$P$500,2,FALSE),"")</f>
        <v>Barra Cacao Crispy unidad</v>
      </c>
      <c r="J3" s="27">
        <v>4</v>
      </c>
      <c r="K3" s="19">
        <v>948</v>
      </c>
      <c r="L3" s="23">
        <f t="shared" si="0"/>
        <v>3792</v>
      </c>
      <c r="M3" s="23">
        <f>IF(L3="","",L3*Inicio!$B$13)</f>
        <v>720.48</v>
      </c>
      <c r="N3" s="23">
        <f t="shared" si="1"/>
        <v>4512.4799999999996</v>
      </c>
      <c r="O3" s="26">
        <v>46223</v>
      </c>
      <c r="P3" s="18" t="s">
        <v>56</v>
      </c>
      <c r="Q3" s="19">
        <v>0</v>
      </c>
      <c r="R3" s="23">
        <f t="shared" si="2"/>
        <v>4512.4799999999996</v>
      </c>
      <c r="S3" s="22" t="str">
        <f ca="1">IF(A3="","",IF(OR(P3="Pagada",R3=0),"Pagada",IF(O3&lt;TODAY(),"Vencida",IF(O3&lt;=TODAY()+Inicio!$B$19,"Próxima a vencer","Vigente"))))</f>
        <v>Vigente</v>
      </c>
      <c r="T3" s="18"/>
      <c r="U3" s="37">
        <f t="shared" si="3"/>
        <v>2026</v>
      </c>
      <c r="V3" s="37">
        <f t="shared" si="4"/>
        <v>7</v>
      </c>
      <c r="W3" s="37">
        <f t="shared" si="5"/>
        <v>5</v>
      </c>
      <c r="X3" s="37" t="str">
        <f t="shared" si="6"/>
        <v>2026-07</v>
      </c>
      <c r="Y3" s="37">
        <f>IF(OR($H3="",$J3=""),"",$J3*IFERROR(VLOOKUP($H3,Maestro_SKU!$A$2:$P$500,12,FALSE),1))</f>
        <v>4</v>
      </c>
      <c r="Z3" s="37">
        <f t="shared" ca="1" si="7"/>
        <v>10</v>
      </c>
    </row>
    <row r="4" spans="1:28" ht="20" customHeight="1" x14ac:dyDescent="0.35">
      <c r="A4" s="18" t="s">
        <v>307</v>
      </c>
      <c r="B4" s="26">
        <v>46174</v>
      </c>
      <c r="C4" s="18" t="s">
        <v>308</v>
      </c>
      <c r="D4" s="18" t="s">
        <v>279</v>
      </c>
      <c r="E4" s="22" t="str">
        <f>IFERROR(VLOOKUP(D4,Clientes_PDV!$A$2:$J$250,2,FALSE),"")</f>
        <v>Mundo del Vino</v>
      </c>
      <c r="F4" s="22" t="str">
        <f>IFERROR(VLOOKUP(D4,Clientes_PDV!$A$2:$J$250,3,FALSE),"")</f>
        <v>Especializadas</v>
      </c>
      <c r="G4" s="22" t="str">
        <f>IFERROR(VLOOKUP(D4,Clientes_PDV!$A$2:$J$250,4,FALSE),"")</f>
        <v>Mundo del Vino Escuela Militar</v>
      </c>
      <c r="H4" s="18" t="s">
        <v>309</v>
      </c>
      <c r="I4" s="22" t="str">
        <f>IFERROR(VLOOKUP(H4,Maestro_SKU!$A$2:$P$500,2,FALSE),"")</f>
        <v>Estuche Cacao Crispy 4 unidades</v>
      </c>
      <c r="J4" s="27">
        <v>4</v>
      </c>
      <c r="K4" s="19">
        <v>3807</v>
      </c>
      <c r="L4" s="23">
        <f t="shared" si="0"/>
        <v>15228</v>
      </c>
      <c r="M4" s="23">
        <f>IF(L4="","",L4*Inicio!$B$13)</f>
        <v>2893.32</v>
      </c>
      <c r="N4" s="23">
        <f t="shared" si="1"/>
        <v>18121.32</v>
      </c>
      <c r="O4" s="26">
        <v>46204</v>
      </c>
      <c r="P4" s="18" t="s">
        <v>40</v>
      </c>
      <c r="Q4" s="19">
        <v>18121.32</v>
      </c>
      <c r="R4" s="23">
        <f t="shared" si="2"/>
        <v>0</v>
      </c>
      <c r="S4" s="22" t="str">
        <f ca="1">IF(A4="","",IF(OR(P4="Pagada",R4=0),"Pagada",IF(O4&lt;TODAY(),"Vencida",IF(O4&lt;=TODAY()+Inicio!$B$19,"Próxima a vencer","Vigente"))))</f>
        <v>Pagada</v>
      </c>
      <c r="T4" s="18"/>
      <c r="U4" s="37">
        <f t="shared" si="3"/>
        <v>2026</v>
      </c>
      <c r="V4" s="37">
        <f t="shared" si="4"/>
        <v>6</v>
      </c>
      <c r="W4" s="37">
        <f t="shared" si="5"/>
        <v>1</v>
      </c>
      <c r="X4" s="37" t="str">
        <f t="shared" si="6"/>
        <v>2026-06</v>
      </c>
      <c r="Y4" s="37">
        <f>IF(OR($H4="",$J4=""),"",$J4*IFERROR(VLOOKUP($H4,Maestro_SKU!$A$2:$P$500,12,FALSE),1))</f>
        <v>16</v>
      </c>
      <c r="Z4" s="37" t="str">
        <f t="shared" ca="1" si="7"/>
        <v/>
      </c>
    </row>
    <row r="5" spans="1:28" ht="20" customHeight="1" x14ac:dyDescent="0.35">
      <c r="A5" s="18" t="s">
        <v>310</v>
      </c>
      <c r="B5" s="26">
        <v>46170</v>
      </c>
      <c r="C5" s="18" t="s">
        <v>311</v>
      </c>
      <c r="D5" s="18" t="s">
        <v>257</v>
      </c>
      <c r="E5" s="22" t="str">
        <f>IFERROR(VLOOKUP(D5,Clientes_PDV!$A$2:$J$250,2,FALSE),"")</f>
        <v>Get It</v>
      </c>
      <c r="F5" s="22" t="str">
        <f>IFERROR(VLOOKUP(D5,Clientes_PDV!$A$2:$J$250,3,FALSE),"")</f>
        <v>Conveniencia</v>
      </c>
      <c r="G5" s="22" t="str">
        <f>IFERROR(VLOOKUP(D5,Clientes_PDV!$A$2:$J$250,4,FALSE),"")</f>
        <v>Get It Vitacura</v>
      </c>
      <c r="H5" s="18" t="s">
        <v>312</v>
      </c>
      <c r="I5" s="22" t="str">
        <f>IFERROR(VLOOKUP(H5,Maestro_SKU!$A$2:$P$500,2,FALSE),"")</f>
        <v>Estuche Peanut Boost 4 unidades</v>
      </c>
      <c r="J5" s="27">
        <v>24</v>
      </c>
      <c r="K5" s="19">
        <v>3130</v>
      </c>
      <c r="L5" s="23">
        <f t="shared" si="0"/>
        <v>75120</v>
      </c>
      <c r="M5" s="23">
        <f>IF(L5="","",L5*Inicio!$B$13)</f>
        <v>14272.8</v>
      </c>
      <c r="N5" s="23">
        <f t="shared" si="1"/>
        <v>89392.8</v>
      </c>
      <c r="O5" s="26">
        <v>46200</v>
      </c>
      <c r="P5" s="18" t="s">
        <v>40</v>
      </c>
      <c r="Q5" s="19">
        <v>89392.8</v>
      </c>
      <c r="R5" s="23">
        <f t="shared" si="2"/>
        <v>0</v>
      </c>
      <c r="S5" s="22" t="str">
        <f ca="1">IF(A5="","",IF(OR(P5="Pagada",R5=0),"Pagada",IF(O5&lt;TODAY(),"Vencida",IF(O5&lt;=TODAY()+Inicio!$B$19,"Próxima a vencer","Vigente"))))</f>
        <v>Pagada</v>
      </c>
      <c r="T5" s="18"/>
      <c r="U5" s="37">
        <f t="shared" si="3"/>
        <v>2026</v>
      </c>
      <c r="V5" s="37">
        <f t="shared" si="4"/>
        <v>5</v>
      </c>
      <c r="W5" s="37">
        <f t="shared" si="5"/>
        <v>28</v>
      </c>
      <c r="X5" s="37" t="str">
        <f t="shared" si="6"/>
        <v>2026-05</v>
      </c>
      <c r="Y5" s="37">
        <f>IF(OR($H5="",$J5=""),"",$J5*IFERROR(VLOOKUP($H5,Maestro_SKU!$A$2:$P$500,12,FALSE),1))</f>
        <v>96</v>
      </c>
      <c r="Z5" s="37" t="str">
        <f t="shared" ca="1" si="7"/>
        <v/>
      </c>
    </row>
    <row r="6" spans="1:28" ht="20" customHeight="1" x14ac:dyDescent="0.35">
      <c r="A6" s="18" t="s">
        <v>313</v>
      </c>
      <c r="B6" s="26">
        <v>46197</v>
      </c>
      <c r="C6" s="18" t="s">
        <v>314</v>
      </c>
      <c r="D6" s="18" t="s">
        <v>254</v>
      </c>
      <c r="E6" s="22" t="str">
        <f>IFERROR(VLOOKUP(D6,Clientes_PDV!$A$2:$J$250,2,FALSE),"")</f>
        <v>Get It</v>
      </c>
      <c r="F6" s="22" t="str">
        <f>IFERROR(VLOOKUP(D6,Clientes_PDV!$A$2:$J$250,3,FALSE),"")</f>
        <v>Conveniencia</v>
      </c>
      <c r="G6" s="22" t="str">
        <f>IFERROR(VLOOKUP(D6,Clientes_PDV!$A$2:$J$250,4,FALSE),"")</f>
        <v>Get It Apoquindo</v>
      </c>
      <c r="H6" s="18" t="s">
        <v>315</v>
      </c>
      <c r="I6" s="22" t="str">
        <f>IFERROR(VLOOKUP(H6,Maestro_SKU!$A$2:$P$500,2,FALSE),"")</f>
        <v>Caja master Peanut Boost 24 unidades</v>
      </c>
      <c r="J6" s="27">
        <v>20</v>
      </c>
      <c r="K6" s="19">
        <v>17022</v>
      </c>
      <c r="L6" s="23">
        <f t="shared" si="0"/>
        <v>340440</v>
      </c>
      <c r="M6" s="23">
        <f>IF(L6="","",L6*Inicio!$B$13)</f>
        <v>64683.6</v>
      </c>
      <c r="N6" s="23">
        <f t="shared" si="1"/>
        <v>405123.6</v>
      </c>
      <c r="O6" s="26">
        <v>46212</v>
      </c>
      <c r="P6" s="18" t="s">
        <v>40</v>
      </c>
      <c r="Q6" s="19">
        <v>405123.6</v>
      </c>
      <c r="R6" s="23">
        <f t="shared" si="2"/>
        <v>0</v>
      </c>
      <c r="S6" s="22" t="str">
        <f ca="1">IF(A6="","",IF(OR(P6="Pagada",R6=0),"Pagada",IF(O6&lt;TODAY(),"Vencida",IF(O6&lt;=TODAY()+Inicio!$B$19,"Próxima a vencer","Vigente"))))</f>
        <v>Pagada</v>
      </c>
      <c r="T6" s="18"/>
      <c r="U6" s="37">
        <f t="shared" si="3"/>
        <v>2026</v>
      </c>
      <c r="V6" s="37">
        <f t="shared" si="4"/>
        <v>6</v>
      </c>
      <c r="W6" s="37">
        <f t="shared" si="5"/>
        <v>24</v>
      </c>
      <c r="X6" s="37" t="str">
        <f t="shared" si="6"/>
        <v>2026-06</v>
      </c>
      <c r="Y6" s="37">
        <f>IF(OR($H6="",$J6=""),"",$J6*IFERROR(VLOOKUP($H6,Maestro_SKU!$A$2:$P$500,12,FALSE),1))</f>
        <v>480</v>
      </c>
      <c r="Z6" s="37" t="str">
        <f t="shared" ca="1" si="7"/>
        <v/>
      </c>
    </row>
    <row r="7" spans="1:28" ht="20" customHeight="1" x14ac:dyDescent="0.35">
      <c r="A7" s="18" t="s">
        <v>316</v>
      </c>
      <c r="B7" s="26">
        <v>46177</v>
      </c>
      <c r="C7" s="18" t="s">
        <v>317</v>
      </c>
      <c r="D7" s="18" t="s">
        <v>257</v>
      </c>
      <c r="E7" s="22" t="str">
        <f>IFERROR(VLOOKUP(D7,Clientes_PDV!$A$2:$J$250,2,FALSE),"")</f>
        <v>Get It</v>
      </c>
      <c r="F7" s="22" t="str">
        <f>IFERROR(VLOOKUP(D7,Clientes_PDV!$A$2:$J$250,3,FALSE),"")</f>
        <v>Conveniencia</v>
      </c>
      <c r="G7" s="22" t="str">
        <f>IFERROR(VLOOKUP(D7,Clientes_PDV!$A$2:$J$250,4,FALSE),"")</f>
        <v>Get It Vitacura</v>
      </c>
      <c r="H7" s="18" t="s">
        <v>318</v>
      </c>
      <c r="I7" s="22" t="str">
        <f>IFERROR(VLOOKUP(H7,Maestro_SKU!$A$2:$P$500,2,FALSE),"")</f>
        <v>Caja master Cacao Crispy 24 unidades</v>
      </c>
      <c r="J7" s="27">
        <v>15</v>
      </c>
      <c r="K7" s="19">
        <v>17698</v>
      </c>
      <c r="L7" s="23">
        <f t="shared" si="0"/>
        <v>265470</v>
      </c>
      <c r="M7" s="23">
        <f>IF(L7="","",L7*Inicio!$B$13)</f>
        <v>50439.3</v>
      </c>
      <c r="N7" s="23">
        <f t="shared" si="1"/>
        <v>315909.3</v>
      </c>
      <c r="O7" s="26">
        <v>46222</v>
      </c>
      <c r="P7" s="18" t="s">
        <v>40</v>
      </c>
      <c r="Q7" s="19">
        <v>315909.3</v>
      </c>
      <c r="R7" s="23">
        <f t="shared" si="2"/>
        <v>0</v>
      </c>
      <c r="S7" s="22" t="str">
        <f ca="1">IF(A7="","",IF(OR(P7="Pagada",R7=0),"Pagada",IF(O7&lt;TODAY(),"Vencida",IF(O7&lt;=TODAY()+Inicio!$B$19,"Próxima a vencer","Vigente"))))</f>
        <v>Pagada</v>
      </c>
      <c r="T7" s="18"/>
      <c r="U7" s="37">
        <f t="shared" si="3"/>
        <v>2026</v>
      </c>
      <c r="V7" s="37">
        <f t="shared" si="4"/>
        <v>6</v>
      </c>
      <c r="W7" s="37">
        <f t="shared" si="5"/>
        <v>4</v>
      </c>
      <c r="X7" s="37" t="str">
        <f t="shared" si="6"/>
        <v>2026-06</v>
      </c>
      <c r="Y7" s="37">
        <f>IF(OR($H7="",$J7=""),"",$J7*IFERROR(VLOOKUP($H7,Maestro_SKU!$A$2:$P$500,12,FALSE),1))</f>
        <v>360</v>
      </c>
      <c r="Z7" s="37" t="str">
        <f t="shared" ca="1" si="7"/>
        <v/>
      </c>
    </row>
    <row r="8" spans="1:28" ht="20" customHeight="1" x14ac:dyDescent="0.35">
      <c r="A8" s="18" t="s">
        <v>319</v>
      </c>
      <c r="B8" s="26">
        <v>46197</v>
      </c>
      <c r="C8" s="18" t="s">
        <v>320</v>
      </c>
      <c r="D8" s="18" t="s">
        <v>247</v>
      </c>
      <c r="E8" s="22" t="str">
        <f>IFERROR(VLOOKUP(D8,Clientes_PDV!$A$2:$J$250,2,FALSE),"")</f>
        <v>Jumbo</v>
      </c>
      <c r="F8" s="22" t="str">
        <f>IFERROR(VLOOKUP(D8,Clientes_PDV!$A$2:$J$250,3,FALSE),"")</f>
        <v>Retail</v>
      </c>
      <c r="G8" s="22" t="str">
        <f>IFERROR(VLOOKUP(D8,Clientes_PDV!$A$2:$J$250,4,FALSE),"")</f>
        <v>Jumbo Kennedy</v>
      </c>
      <c r="H8" s="18" t="s">
        <v>309</v>
      </c>
      <c r="I8" s="22" t="str">
        <f>IFERROR(VLOOKUP(H8,Maestro_SKU!$A$2:$P$500,2,FALSE),"")</f>
        <v>Estuche Cacao Crispy 4 unidades</v>
      </c>
      <c r="J8" s="27">
        <v>8</v>
      </c>
      <c r="K8" s="19">
        <v>3268</v>
      </c>
      <c r="L8" s="23">
        <f t="shared" si="0"/>
        <v>26144</v>
      </c>
      <c r="M8" s="23">
        <f>IF(L8="","",L8*Inicio!$B$13)</f>
        <v>4967.3599999999997</v>
      </c>
      <c r="N8" s="23">
        <f t="shared" si="1"/>
        <v>31111.360000000001</v>
      </c>
      <c r="O8" s="26">
        <v>46197</v>
      </c>
      <c r="P8" s="18" t="s">
        <v>40</v>
      </c>
      <c r="Q8" s="19">
        <v>31111.360000000001</v>
      </c>
      <c r="R8" s="23">
        <f t="shared" si="2"/>
        <v>0</v>
      </c>
      <c r="S8" s="22" t="str">
        <f ca="1">IF(A8="","",IF(OR(P8="Pagada",R8=0),"Pagada",IF(O8&lt;TODAY(),"Vencida",IF(O8&lt;=TODAY()+Inicio!$B$19,"Próxima a vencer","Vigente"))))</f>
        <v>Pagada</v>
      </c>
      <c r="T8" s="18"/>
      <c r="U8" s="37">
        <f t="shared" si="3"/>
        <v>2026</v>
      </c>
      <c r="V8" s="37">
        <f t="shared" si="4"/>
        <v>6</v>
      </c>
      <c r="W8" s="37">
        <f t="shared" si="5"/>
        <v>24</v>
      </c>
      <c r="X8" s="37" t="str">
        <f t="shared" si="6"/>
        <v>2026-06</v>
      </c>
      <c r="Y8" s="37">
        <f>IF(OR($H8="",$J8=""),"",$J8*IFERROR(VLOOKUP($H8,Maestro_SKU!$A$2:$P$500,12,FALSE),1))</f>
        <v>32</v>
      </c>
      <c r="Z8" s="37" t="str">
        <f t="shared" ca="1" si="7"/>
        <v/>
      </c>
    </row>
    <row r="9" spans="1:28" ht="20" customHeight="1" x14ac:dyDescent="0.35">
      <c r="A9" s="18" t="s">
        <v>321</v>
      </c>
      <c r="B9" s="26">
        <v>46152</v>
      </c>
      <c r="C9" s="18" t="s">
        <v>322</v>
      </c>
      <c r="D9" s="18" t="s">
        <v>257</v>
      </c>
      <c r="E9" s="22" t="str">
        <f>IFERROR(VLOOKUP(D9,Clientes_PDV!$A$2:$J$250,2,FALSE),"")</f>
        <v>Get It</v>
      </c>
      <c r="F9" s="22" t="str">
        <f>IFERROR(VLOOKUP(D9,Clientes_PDV!$A$2:$J$250,3,FALSE),"")</f>
        <v>Conveniencia</v>
      </c>
      <c r="G9" s="22" t="str">
        <f>IFERROR(VLOOKUP(D9,Clientes_PDV!$A$2:$J$250,4,FALSE),"")</f>
        <v>Get It Vitacura</v>
      </c>
      <c r="H9" s="18" t="s">
        <v>323</v>
      </c>
      <c r="I9" s="22" t="str">
        <f>IFERROR(VLOOKUP(H9,Maestro_SKU!$A$2:$P$500,2,FALSE),"")</f>
        <v>Barra Peanut Boost unidad</v>
      </c>
      <c r="J9" s="27">
        <v>6</v>
      </c>
      <c r="K9" s="19">
        <v>745</v>
      </c>
      <c r="L9" s="23">
        <f t="shared" si="0"/>
        <v>4470</v>
      </c>
      <c r="M9" s="23">
        <f>IF(L9="","",L9*Inicio!$B$13)</f>
        <v>849.3</v>
      </c>
      <c r="N9" s="23">
        <f t="shared" si="1"/>
        <v>5319.3</v>
      </c>
      <c r="O9" s="26">
        <v>46182</v>
      </c>
      <c r="P9" s="18" t="s">
        <v>56</v>
      </c>
      <c r="Q9" s="19">
        <v>0</v>
      </c>
      <c r="R9" s="23">
        <f t="shared" si="2"/>
        <v>5319.3</v>
      </c>
      <c r="S9" s="22" t="str">
        <f ca="1">IF(A9="","",IF(OR(P9="Pagada",R9=0),"Pagada",IF(O9&lt;TODAY(),"Vencida",IF(O9&lt;=TODAY()+Inicio!$B$19,"Próxima a vencer","Vigente"))))</f>
        <v>Vencida</v>
      </c>
      <c r="T9" s="18"/>
      <c r="U9" s="37">
        <f t="shared" si="3"/>
        <v>2026</v>
      </c>
      <c r="V9" s="37">
        <f t="shared" si="4"/>
        <v>5</v>
      </c>
      <c r="W9" s="37">
        <f t="shared" si="5"/>
        <v>10</v>
      </c>
      <c r="X9" s="37" t="str">
        <f t="shared" si="6"/>
        <v>2026-05</v>
      </c>
      <c r="Y9" s="37">
        <f>IF(OR($H9="",$J9=""),"",$J9*IFERROR(VLOOKUP($H9,Maestro_SKU!$A$2:$P$500,12,FALSE),1))</f>
        <v>6</v>
      </c>
      <c r="Z9" s="37">
        <f t="shared" ca="1" si="7"/>
        <v>-31</v>
      </c>
    </row>
    <row r="10" spans="1:28" ht="20" customHeight="1" x14ac:dyDescent="0.35">
      <c r="A10" s="18" t="s">
        <v>324</v>
      </c>
      <c r="B10" s="26">
        <v>46161</v>
      </c>
      <c r="C10" s="18" t="s">
        <v>325</v>
      </c>
      <c r="D10" s="18" t="s">
        <v>251</v>
      </c>
      <c r="E10" s="22" t="str">
        <f>IFERROR(VLOOKUP(D10,Clientes_PDV!$A$2:$J$250,2,FALSE),"")</f>
        <v>Jumbo</v>
      </c>
      <c r="F10" s="22" t="str">
        <f>IFERROR(VLOOKUP(D10,Clientes_PDV!$A$2:$J$250,3,FALSE),"")</f>
        <v>Retail</v>
      </c>
      <c r="G10" s="22" t="str">
        <f>IFERROR(VLOOKUP(D10,Clientes_PDV!$A$2:$J$250,4,FALSE),"")</f>
        <v>Jumbo La Reina</v>
      </c>
      <c r="H10" s="18" t="s">
        <v>323</v>
      </c>
      <c r="I10" s="22" t="str">
        <f>IFERROR(VLOOKUP(H10,Maestro_SKU!$A$2:$P$500,2,FALSE),"")</f>
        <v>Barra Peanut Boost unidad</v>
      </c>
      <c r="J10" s="27">
        <v>6</v>
      </c>
      <c r="K10" s="19">
        <v>851</v>
      </c>
      <c r="L10" s="23">
        <f t="shared" si="0"/>
        <v>5106</v>
      </c>
      <c r="M10" s="23">
        <f>IF(L10="","",L10*Inicio!$B$13)</f>
        <v>970.14</v>
      </c>
      <c r="N10" s="23">
        <f t="shared" si="1"/>
        <v>6076.14</v>
      </c>
      <c r="O10" s="26">
        <v>46176</v>
      </c>
      <c r="P10" s="18" t="s">
        <v>56</v>
      </c>
      <c r="Q10" s="19">
        <v>0</v>
      </c>
      <c r="R10" s="23">
        <f t="shared" si="2"/>
        <v>6076.14</v>
      </c>
      <c r="S10" s="22" t="str">
        <f ca="1">IF(A10="","",IF(OR(P10="Pagada",R10=0),"Pagada",IF(O10&lt;TODAY(),"Vencida",IF(O10&lt;=TODAY()+Inicio!$B$19,"Próxima a vencer","Vigente"))))</f>
        <v>Vencida</v>
      </c>
      <c r="T10" s="18"/>
      <c r="U10" s="37">
        <f t="shared" si="3"/>
        <v>2026</v>
      </c>
      <c r="V10" s="37">
        <f t="shared" si="4"/>
        <v>5</v>
      </c>
      <c r="W10" s="37">
        <f t="shared" si="5"/>
        <v>19</v>
      </c>
      <c r="X10" s="37" t="str">
        <f t="shared" si="6"/>
        <v>2026-05</v>
      </c>
      <c r="Y10" s="37">
        <f>IF(OR($H10="",$J10=""),"",$J10*IFERROR(VLOOKUP($H10,Maestro_SKU!$A$2:$P$500,12,FALSE),1))</f>
        <v>6</v>
      </c>
      <c r="Z10" s="37">
        <f t="shared" ca="1" si="7"/>
        <v>-37</v>
      </c>
    </row>
    <row r="11" spans="1:28" ht="20" customHeight="1" x14ac:dyDescent="0.35">
      <c r="A11" s="18" t="s">
        <v>326</v>
      </c>
      <c r="B11" s="26">
        <v>46203</v>
      </c>
      <c r="C11" s="18" t="s">
        <v>327</v>
      </c>
      <c r="D11" s="18" t="s">
        <v>263</v>
      </c>
      <c r="E11" s="22" t="str">
        <f>IFERROR(VLOOKUP(D11,Clientes_PDV!$A$2:$J$250,2,FALSE),"")</f>
        <v>All Nutrition</v>
      </c>
      <c r="F11" s="22" t="str">
        <f>IFERROR(VLOOKUP(D11,Clientes_PDV!$A$2:$J$250,3,FALSE),"")</f>
        <v>Especializadas</v>
      </c>
      <c r="G11" s="22" t="str">
        <f>IFERROR(VLOOKUP(D11,Clientes_PDV!$A$2:$J$250,4,FALSE),"")</f>
        <v>All Nutrition La Reina</v>
      </c>
      <c r="H11" s="18" t="s">
        <v>328</v>
      </c>
      <c r="I11" s="22" t="str">
        <f>IFERROR(VLOOKUP(H11,Maestro_SKU!$A$2:$P$500,2,FALSE),"")</f>
        <v>Caja master Berry Mix 24 unidades</v>
      </c>
      <c r="J11" s="27">
        <v>24</v>
      </c>
      <c r="K11" s="19">
        <v>18767</v>
      </c>
      <c r="L11" s="23">
        <f t="shared" si="0"/>
        <v>450408</v>
      </c>
      <c r="M11" s="23">
        <f>IF(L11="","",L11*Inicio!$B$13)</f>
        <v>85577.52</v>
      </c>
      <c r="N11" s="23">
        <f t="shared" si="1"/>
        <v>535985.52</v>
      </c>
      <c r="O11" s="26">
        <v>46218</v>
      </c>
      <c r="P11" s="18" t="s">
        <v>48</v>
      </c>
      <c r="Q11" s="19">
        <v>205558</v>
      </c>
      <c r="R11" s="23">
        <f t="shared" si="2"/>
        <v>330427.52000000002</v>
      </c>
      <c r="S11" s="22" t="str">
        <f ca="1">IF(A11="","",IF(OR(P11="Pagada",R11=0),"Pagada",IF(O11&lt;TODAY(),"Vencida",IF(O11&lt;=TODAY()+Inicio!$B$19,"Próxima a vencer","Vigente"))))</f>
        <v>Próxima a vencer</v>
      </c>
      <c r="T11" s="18"/>
      <c r="U11" s="37">
        <f t="shared" si="3"/>
        <v>2026</v>
      </c>
      <c r="V11" s="37">
        <f t="shared" si="4"/>
        <v>6</v>
      </c>
      <c r="W11" s="37">
        <f t="shared" si="5"/>
        <v>30</v>
      </c>
      <c r="X11" s="37" t="str">
        <f t="shared" si="6"/>
        <v>2026-06</v>
      </c>
      <c r="Y11" s="37">
        <f>IF(OR($H11="",$J11=""),"",$J11*IFERROR(VLOOKUP($H11,Maestro_SKU!$A$2:$P$500,12,FALSE),1))</f>
        <v>576</v>
      </c>
      <c r="Z11" s="37">
        <f t="shared" ca="1" si="7"/>
        <v>5</v>
      </c>
    </row>
    <row r="12" spans="1:28" ht="20" customHeight="1" x14ac:dyDescent="0.35">
      <c r="A12" s="18" t="s">
        <v>329</v>
      </c>
      <c r="B12" s="26">
        <v>46190</v>
      </c>
      <c r="C12" s="18" t="s">
        <v>330</v>
      </c>
      <c r="D12" s="18" t="s">
        <v>257</v>
      </c>
      <c r="E12" s="22" t="str">
        <f>IFERROR(VLOOKUP(D12,Clientes_PDV!$A$2:$J$250,2,FALSE),"")</f>
        <v>Get It</v>
      </c>
      <c r="F12" s="22" t="str">
        <f>IFERROR(VLOOKUP(D12,Clientes_PDV!$A$2:$J$250,3,FALSE),"")</f>
        <v>Conveniencia</v>
      </c>
      <c r="G12" s="22" t="str">
        <f>IFERROR(VLOOKUP(D12,Clientes_PDV!$A$2:$J$250,4,FALSE),"")</f>
        <v>Get It Vitacura</v>
      </c>
      <c r="H12" s="18" t="s">
        <v>306</v>
      </c>
      <c r="I12" s="22" t="str">
        <f>IFERROR(VLOOKUP(H12,Maestro_SKU!$A$2:$P$500,2,FALSE),"")</f>
        <v>Barra Cacao Crispy unidad</v>
      </c>
      <c r="J12" s="27">
        <v>8</v>
      </c>
      <c r="K12" s="19">
        <v>757</v>
      </c>
      <c r="L12" s="23">
        <f t="shared" si="0"/>
        <v>6056</v>
      </c>
      <c r="M12" s="23">
        <f>IF(L12="","",L12*Inicio!$B$13)</f>
        <v>1150.6400000000001</v>
      </c>
      <c r="N12" s="23">
        <f t="shared" si="1"/>
        <v>7206.64</v>
      </c>
      <c r="O12" s="26">
        <v>46220</v>
      </c>
      <c r="P12" s="18" t="s">
        <v>40</v>
      </c>
      <c r="Q12" s="19">
        <v>7206.6399999999994</v>
      </c>
      <c r="R12" s="23">
        <f t="shared" si="2"/>
        <v>9.0949470177292824E-13</v>
      </c>
      <c r="S12" s="22" t="str">
        <f ca="1">IF(A12="","",IF(OR(P12="Pagada",R12=0),"Pagada",IF(O12&lt;TODAY(),"Vencida",IF(O12&lt;=TODAY()+Inicio!$B$19,"Próxima a vencer","Vigente"))))</f>
        <v>Pagada</v>
      </c>
      <c r="T12" s="18"/>
      <c r="U12" s="37">
        <f t="shared" si="3"/>
        <v>2026</v>
      </c>
      <c r="V12" s="37">
        <f t="shared" si="4"/>
        <v>6</v>
      </c>
      <c r="W12" s="37">
        <f t="shared" si="5"/>
        <v>17</v>
      </c>
      <c r="X12" s="37" t="str">
        <f t="shared" si="6"/>
        <v>2026-06</v>
      </c>
      <c r="Y12" s="37">
        <f>IF(OR($H12="",$J12=""),"",$J12*IFERROR(VLOOKUP($H12,Maestro_SKU!$A$2:$P$500,12,FALSE),1))</f>
        <v>8</v>
      </c>
      <c r="Z12" s="37" t="str">
        <f t="shared" ca="1" si="7"/>
        <v/>
      </c>
    </row>
    <row r="13" spans="1:28" ht="20" customHeight="1" x14ac:dyDescent="0.35">
      <c r="A13" s="18" t="s">
        <v>331</v>
      </c>
      <c r="B13" s="26">
        <v>46197</v>
      </c>
      <c r="C13" s="18" t="s">
        <v>332</v>
      </c>
      <c r="D13" s="18" t="s">
        <v>242</v>
      </c>
      <c r="E13" s="22" t="str">
        <f>IFERROR(VLOOKUP(D13,Clientes_PDV!$A$2:$J$250,2,FALSE),"")</f>
        <v>Jumbo</v>
      </c>
      <c r="F13" s="22" t="str">
        <f>IFERROR(VLOOKUP(D13,Clientes_PDV!$A$2:$J$250,3,FALSE),"")</f>
        <v>Retail</v>
      </c>
      <c r="G13" s="22" t="str">
        <f>IFERROR(VLOOKUP(D13,Clientes_PDV!$A$2:$J$250,4,FALSE),"")</f>
        <v>Jumbo Bilbao</v>
      </c>
      <c r="H13" s="18" t="s">
        <v>318</v>
      </c>
      <c r="I13" s="22" t="str">
        <f>IFERROR(VLOOKUP(H13,Maestro_SKU!$A$2:$P$500,2,FALSE),"")</f>
        <v>Caja master Cacao Crispy 24 unidades</v>
      </c>
      <c r="J13" s="27">
        <v>4</v>
      </c>
      <c r="K13" s="19">
        <v>20929</v>
      </c>
      <c r="L13" s="23">
        <f t="shared" si="0"/>
        <v>83716</v>
      </c>
      <c r="M13" s="23">
        <f>IF(L13="","",L13*Inicio!$B$13)</f>
        <v>15906.04</v>
      </c>
      <c r="N13" s="23">
        <f t="shared" si="1"/>
        <v>99622.040000000008</v>
      </c>
      <c r="O13" s="26">
        <v>46197</v>
      </c>
      <c r="P13" s="18" t="s">
        <v>40</v>
      </c>
      <c r="Q13" s="19">
        <v>99622.04</v>
      </c>
      <c r="R13" s="23">
        <f t="shared" si="2"/>
        <v>1.4551915228366852E-11</v>
      </c>
      <c r="S13" s="22" t="str">
        <f ca="1">IF(A13="","",IF(OR(P13="Pagada",R13=0),"Pagada",IF(O13&lt;TODAY(),"Vencida",IF(O13&lt;=TODAY()+Inicio!$B$19,"Próxima a vencer","Vigente"))))</f>
        <v>Pagada</v>
      </c>
      <c r="T13" s="18"/>
      <c r="U13" s="37">
        <f t="shared" si="3"/>
        <v>2026</v>
      </c>
      <c r="V13" s="37">
        <f t="shared" si="4"/>
        <v>6</v>
      </c>
      <c r="W13" s="37">
        <f t="shared" si="5"/>
        <v>24</v>
      </c>
      <c r="X13" s="37" t="str">
        <f t="shared" si="6"/>
        <v>2026-06</v>
      </c>
      <c r="Y13" s="37">
        <f>IF(OR($H13="",$J13=""),"",$J13*IFERROR(VLOOKUP($H13,Maestro_SKU!$A$2:$P$500,12,FALSE),1))</f>
        <v>96</v>
      </c>
      <c r="Z13" s="37" t="str">
        <f t="shared" ca="1" si="7"/>
        <v/>
      </c>
    </row>
    <row r="14" spans="1:28" ht="20" customHeight="1" x14ac:dyDescent="0.35">
      <c r="A14" s="18" t="s">
        <v>333</v>
      </c>
      <c r="B14" s="26">
        <v>46197</v>
      </c>
      <c r="C14" s="18" t="s">
        <v>334</v>
      </c>
      <c r="D14" s="18" t="s">
        <v>263</v>
      </c>
      <c r="E14" s="22" t="str">
        <f>IFERROR(VLOOKUP(D14,Clientes_PDV!$A$2:$J$250,2,FALSE),"")</f>
        <v>All Nutrition</v>
      </c>
      <c r="F14" s="22" t="str">
        <f>IFERROR(VLOOKUP(D14,Clientes_PDV!$A$2:$J$250,3,FALSE),"")</f>
        <v>Especializadas</v>
      </c>
      <c r="G14" s="22" t="str">
        <f>IFERROR(VLOOKUP(D14,Clientes_PDV!$A$2:$J$250,4,FALSE),"")</f>
        <v>All Nutrition La Reina</v>
      </c>
      <c r="H14" s="18" t="s">
        <v>306</v>
      </c>
      <c r="I14" s="22" t="str">
        <f>IFERROR(VLOOKUP(H14,Maestro_SKU!$A$2:$P$500,2,FALSE),"")</f>
        <v>Barra Cacao Crispy unidad</v>
      </c>
      <c r="J14" s="27">
        <v>20</v>
      </c>
      <c r="K14" s="19">
        <v>924</v>
      </c>
      <c r="L14" s="23">
        <f t="shared" si="0"/>
        <v>18480</v>
      </c>
      <c r="M14" s="23">
        <f>IF(L14="","",L14*Inicio!$B$13)</f>
        <v>3511.2</v>
      </c>
      <c r="N14" s="23">
        <f t="shared" si="1"/>
        <v>21991.200000000001</v>
      </c>
      <c r="O14" s="26">
        <v>46227</v>
      </c>
      <c r="P14" s="18" t="s">
        <v>32</v>
      </c>
      <c r="Q14" s="19">
        <v>0</v>
      </c>
      <c r="R14" s="23">
        <f t="shared" si="2"/>
        <v>21991.200000000001</v>
      </c>
      <c r="S14" s="22" t="str">
        <f ca="1">IF(A14="","",IF(OR(P14="Pagada",R14=0),"Pagada",IF(O14&lt;TODAY(),"Vencida",IF(O14&lt;=TODAY()+Inicio!$B$19,"Próxima a vencer","Vigente"))))</f>
        <v>Vigente</v>
      </c>
      <c r="T14" s="18"/>
      <c r="U14" s="37">
        <f t="shared" si="3"/>
        <v>2026</v>
      </c>
      <c r="V14" s="37">
        <f t="shared" si="4"/>
        <v>6</v>
      </c>
      <c r="W14" s="37">
        <f t="shared" si="5"/>
        <v>24</v>
      </c>
      <c r="X14" s="37" t="str">
        <f t="shared" si="6"/>
        <v>2026-06</v>
      </c>
      <c r="Y14" s="37">
        <f>IF(OR($H14="",$J14=""),"",$J14*IFERROR(VLOOKUP($H14,Maestro_SKU!$A$2:$P$500,12,FALSE),1))</f>
        <v>20</v>
      </c>
      <c r="Z14" s="37">
        <f t="shared" ca="1" si="7"/>
        <v>14</v>
      </c>
    </row>
    <row r="15" spans="1:28" ht="20" customHeight="1" x14ac:dyDescent="0.35">
      <c r="A15" s="18" t="s">
        <v>335</v>
      </c>
      <c r="B15" s="26">
        <v>46183</v>
      </c>
      <c r="C15" s="18" t="s">
        <v>336</v>
      </c>
      <c r="D15" s="18" t="s">
        <v>273</v>
      </c>
      <c r="E15" s="22" t="str">
        <f>IFERROR(VLOOKUP(D15,Clientes_PDV!$A$2:$J$250,2,FALSE),"")</f>
        <v>Sodexo</v>
      </c>
      <c r="F15" s="22" t="str">
        <f>IFERROR(VLOOKUP(D15,Clientes_PDV!$A$2:$J$250,3,FALSE),"")</f>
        <v>Corporativo</v>
      </c>
      <c r="G15" s="22" t="str">
        <f>IFERROR(VLOOKUP(D15,Clientes_PDV!$A$2:$J$250,4,FALSE),"")</f>
        <v>Sodexo Casa Matriz</v>
      </c>
      <c r="H15" s="18" t="s">
        <v>315</v>
      </c>
      <c r="I15" s="22" t="str">
        <f>IFERROR(VLOOKUP(H15,Maestro_SKU!$A$2:$P$500,2,FALSE),"")</f>
        <v>Caja master Peanut Boost 24 unidades</v>
      </c>
      <c r="J15" s="27">
        <v>6</v>
      </c>
      <c r="K15" s="19">
        <v>18209</v>
      </c>
      <c r="L15" s="23">
        <f t="shared" si="0"/>
        <v>109254</v>
      </c>
      <c r="M15" s="23">
        <f>IF(L15="","",L15*Inicio!$B$13)</f>
        <v>20758.260000000002</v>
      </c>
      <c r="N15" s="23">
        <f t="shared" si="1"/>
        <v>130012.26000000001</v>
      </c>
      <c r="O15" s="26">
        <v>46228</v>
      </c>
      <c r="P15" s="18" t="s">
        <v>40</v>
      </c>
      <c r="Q15" s="19">
        <v>130012.26</v>
      </c>
      <c r="R15" s="23">
        <f t="shared" si="2"/>
        <v>1.4551915228366852E-11</v>
      </c>
      <c r="S15" s="22" t="str">
        <f ca="1">IF(A15="","",IF(OR(P15="Pagada",R15=0),"Pagada",IF(O15&lt;TODAY(),"Vencida",IF(O15&lt;=TODAY()+Inicio!$B$19,"Próxima a vencer","Vigente"))))</f>
        <v>Pagada</v>
      </c>
      <c r="T15" s="18"/>
      <c r="U15" s="37">
        <f t="shared" si="3"/>
        <v>2026</v>
      </c>
      <c r="V15" s="37">
        <f t="shared" si="4"/>
        <v>6</v>
      </c>
      <c r="W15" s="37">
        <f t="shared" si="5"/>
        <v>10</v>
      </c>
      <c r="X15" s="37" t="str">
        <f t="shared" si="6"/>
        <v>2026-06</v>
      </c>
      <c r="Y15" s="37">
        <f>IF(OR($H15="",$J15=""),"",$J15*IFERROR(VLOOKUP($H15,Maestro_SKU!$A$2:$P$500,12,FALSE),1))</f>
        <v>144</v>
      </c>
      <c r="Z15" s="37" t="str">
        <f t="shared" ca="1" si="7"/>
        <v/>
      </c>
    </row>
    <row r="16" spans="1:28" ht="20" customHeight="1" x14ac:dyDescent="0.35">
      <c r="A16" s="18" t="s">
        <v>337</v>
      </c>
      <c r="B16" s="26">
        <v>46177</v>
      </c>
      <c r="C16" s="18" t="s">
        <v>338</v>
      </c>
      <c r="D16" s="18" t="s">
        <v>270</v>
      </c>
      <c r="E16" s="22" t="str">
        <f>IFERROR(VLOOKUP(D16,Clientes_PDV!$A$2:$J$250,2,FALSE),"")</f>
        <v>Cruz Verde</v>
      </c>
      <c r="F16" s="22" t="str">
        <f>IFERROR(VLOOKUP(D16,Clientes_PDV!$A$2:$J$250,3,FALSE),"")</f>
        <v>Farmacias</v>
      </c>
      <c r="G16" s="22" t="str">
        <f>IFERROR(VLOOKUP(D16,Clientes_PDV!$A$2:$J$250,4,FALSE),"")</f>
        <v>Cruz Verde Vitacura</v>
      </c>
      <c r="H16" s="18" t="s">
        <v>309</v>
      </c>
      <c r="I16" s="22" t="str">
        <f>IFERROR(VLOOKUP(H16,Maestro_SKU!$A$2:$P$500,2,FALSE),"")</f>
        <v>Estuche Cacao Crispy 4 unidades</v>
      </c>
      <c r="J16" s="27">
        <v>20</v>
      </c>
      <c r="K16" s="19">
        <v>3716</v>
      </c>
      <c r="L16" s="23">
        <f t="shared" si="0"/>
        <v>74320</v>
      </c>
      <c r="M16" s="23">
        <f>IF(L16="","",L16*Inicio!$B$13)</f>
        <v>14120.8</v>
      </c>
      <c r="N16" s="23">
        <f t="shared" si="1"/>
        <v>88440.8</v>
      </c>
      <c r="O16" s="26">
        <v>46222</v>
      </c>
      <c r="P16" s="18" t="s">
        <v>40</v>
      </c>
      <c r="Q16" s="19">
        <v>88440.8</v>
      </c>
      <c r="R16" s="23">
        <f t="shared" si="2"/>
        <v>0</v>
      </c>
      <c r="S16" s="22" t="str">
        <f ca="1">IF(A16="","",IF(OR(P16="Pagada",R16=0),"Pagada",IF(O16&lt;TODAY(),"Vencida",IF(O16&lt;=TODAY()+Inicio!$B$19,"Próxima a vencer","Vigente"))))</f>
        <v>Pagada</v>
      </c>
      <c r="T16" s="18"/>
      <c r="U16" s="37">
        <f t="shared" si="3"/>
        <v>2026</v>
      </c>
      <c r="V16" s="37">
        <f t="shared" si="4"/>
        <v>6</v>
      </c>
      <c r="W16" s="37">
        <f t="shared" si="5"/>
        <v>4</v>
      </c>
      <c r="X16" s="37" t="str">
        <f t="shared" si="6"/>
        <v>2026-06</v>
      </c>
      <c r="Y16" s="37">
        <f>IF(OR($H16="",$J16=""),"",$J16*IFERROR(VLOOKUP($H16,Maestro_SKU!$A$2:$P$500,12,FALSE),1))</f>
        <v>80</v>
      </c>
      <c r="Z16" s="37" t="str">
        <f t="shared" ca="1" si="7"/>
        <v/>
      </c>
    </row>
    <row r="17" spans="1:26" ht="20" customHeight="1" x14ac:dyDescent="0.35">
      <c r="A17" s="18" t="s">
        <v>339</v>
      </c>
      <c r="B17" s="26">
        <v>46209</v>
      </c>
      <c r="C17" s="18" t="s">
        <v>340</v>
      </c>
      <c r="D17" s="18" t="s">
        <v>263</v>
      </c>
      <c r="E17" s="22" t="str">
        <f>IFERROR(VLOOKUP(D17,Clientes_PDV!$A$2:$J$250,2,FALSE),"")</f>
        <v>All Nutrition</v>
      </c>
      <c r="F17" s="22" t="str">
        <f>IFERROR(VLOOKUP(D17,Clientes_PDV!$A$2:$J$250,3,FALSE),"")</f>
        <v>Especializadas</v>
      </c>
      <c r="G17" s="22" t="str">
        <f>IFERROR(VLOOKUP(D17,Clientes_PDV!$A$2:$J$250,4,FALSE),"")</f>
        <v>All Nutrition La Reina</v>
      </c>
      <c r="H17" s="18" t="s">
        <v>303</v>
      </c>
      <c r="I17" s="22" t="str">
        <f>IFERROR(VLOOKUP(H17,Maestro_SKU!$A$2:$P$500,2,FALSE),"")</f>
        <v>Barra Berry Mix unidad</v>
      </c>
      <c r="J17" s="27">
        <v>4</v>
      </c>
      <c r="K17" s="19">
        <v>905</v>
      </c>
      <c r="L17" s="23">
        <f t="shared" si="0"/>
        <v>3620</v>
      </c>
      <c r="M17" s="23">
        <f>IF(L17="","",L17*Inicio!$B$13)</f>
        <v>687.8</v>
      </c>
      <c r="N17" s="23">
        <f t="shared" si="1"/>
        <v>4307.8</v>
      </c>
      <c r="O17" s="26">
        <v>46239</v>
      </c>
      <c r="P17" s="18" t="s">
        <v>40</v>
      </c>
      <c r="Q17" s="19">
        <v>4307.8</v>
      </c>
      <c r="R17" s="23">
        <f t="shared" si="2"/>
        <v>0</v>
      </c>
      <c r="S17" s="22" t="str">
        <f ca="1">IF(A17="","",IF(OR(P17="Pagada",R17=0),"Pagada",IF(O17&lt;TODAY(),"Vencida",IF(O17&lt;=TODAY()+Inicio!$B$19,"Próxima a vencer","Vigente"))))</f>
        <v>Pagada</v>
      </c>
      <c r="T17" s="18"/>
      <c r="U17" s="37">
        <f t="shared" si="3"/>
        <v>2026</v>
      </c>
      <c r="V17" s="37">
        <f t="shared" si="4"/>
        <v>7</v>
      </c>
      <c r="W17" s="37">
        <f t="shared" si="5"/>
        <v>6</v>
      </c>
      <c r="X17" s="37" t="str">
        <f t="shared" si="6"/>
        <v>2026-07</v>
      </c>
      <c r="Y17" s="37">
        <f>IF(OR($H17="",$J17=""),"",$J17*IFERROR(VLOOKUP($H17,Maestro_SKU!$A$2:$P$500,12,FALSE),1))</f>
        <v>4</v>
      </c>
      <c r="Z17" s="37" t="str">
        <f t="shared" ca="1" si="7"/>
        <v/>
      </c>
    </row>
    <row r="18" spans="1:26" ht="20" customHeight="1" x14ac:dyDescent="0.35">
      <c r="A18" s="18" t="s">
        <v>341</v>
      </c>
      <c r="B18" s="26">
        <v>46185</v>
      </c>
      <c r="C18" s="18" t="s">
        <v>342</v>
      </c>
      <c r="D18" s="18" t="s">
        <v>247</v>
      </c>
      <c r="E18" s="22" t="str">
        <f>IFERROR(VLOOKUP(D18,Clientes_PDV!$A$2:$J$250,2,FALSE),"")</f>
        <v>Jumbo</v>
      </c>
      <c r="F18" s="22" t="str">
        <f>IFERROR(VLOOKUP(D18,Clientes_PDV!$A$2:$J$250,3,FALSE),"")</f>
        <v>Retail</v>
      </c>
      <c r="G18" s="22" t="str">
        <f>IFERROR(VLOOKUP(D18,Clientes_PDV!$A$2:$J$250,4,FALSE),"")</f>
        <v>Jumbo Kennedy</v>
      </c>
      <c r="H18" s="18" t="s">
        <v>315</v>
      </c>
      <c r="I18" s="22" t="str">
        <f>IFERROR(VLOOKUP(H18,Maestro_SKU!$A$2:$P$500,2,FALSE),"")</f>
        <v>Caja master Peanut Boost 24 unidades</v>
      </c>
      <c r="J18" s="27">
        <v>24</v>
      </c>
      <c r="K18" s="19">
        <v>18119</v>
      </c>
      <c r="L18" s="23">
        <f t="shared" si="0"/>
        <v>434856</v>
      </c>
      <c r="M18" s="23">
        <f>IF(L18="","",L18*Inicio!$B$13)</f>
        <v>82622.64</v>
      </c>
      <c r="N18" s="23">
        <f t="shared" si="1"/>
        <v>517478.64</v>
      </c>
      <c r="O18" s="26">
        <v>46230</v>
      </c>
      <c r="P18" s="18" t="s">
        <v>40</v>
      </c>
      <c r="Q18" s="19">
        <v>517478.64</v>
      </c>
      <c r="R18" s="23">
        <f t="shared" si="2"/>
        <v>0</v>
      </c>
      <c r="S18" s="22" t="str">
        <f ca="1">IF(A18="","",IF(OR(P18="Pagada",R18=0),"Pagada",IF(O18&lt;TODAY(),"Vencida",IF(O18&lt;=TODAY()+Inicio!$B$19,"Próxima a vencer","Vigente"))))</f>
        <v>Pagada</v>
      </c>
      <c r="T18" s="18"/>
      <c r="U18" s="37">
        <f t="shared" si="3"/>
        <v>2026</v>
      </c>
      <c r="V18" s="37">
        <f t="shared" si="4"/>
        <v>6</v>
      </c>
      <c r="W18" s="37">
        <f t="shared" si="5"/>
        <v>12</v>
      </c>
      <c r="X18" s="37" t="str">
        <f t="shared" si="6"/>
        <v>2026-06</v>
      </c>
      <c r="Y18" s="37">
        <f>IF(OR($H18="",$J18=""),"",$J18*IFERROR(VLOOKUP($H18,Maestro_SKU!$A$2:$P$500,12,FALSE),1))</f>
        <v>576</v>
      </c>
      <c r="Z18" s="37" t="str">
        <f t="shared" ca="1" si="7"/>
        <v/>
      </c>
    </row>
    <row r="19" spans="1:26" ht="20" customHeight="1" x14ac:dyDescent="0.35">
      <c r="A19" s="18" t="s">
        <v>343</v>
      </c>
      <c r="B19" s="26">
        <v>46154</v>
      </c>
      <c r="C19" s="18" t="s">
        <v>344</v>
      </c>
      <c r="D19" s="18" t="s">
        <v>257</v>
      </c>
      <c r="E19" s="22" t="str">
        <f>IFERROR(VLOOKUP(D19,Clientes_PDV!$A$2:$J$250,2,FALSE),"")</f>
        <v>Get It</v>
      </c>
      <c r="F19" s="22" t="str">
        <f>IFERROR(VLOOKUP(D19,Clientes_PDV!$A$2:$J$250,3,FALSE),"")</f>
        <v>Conveniencia</v>
      </c>
      <c r="G19" s="22" t="str">
        <f>IFERROR(VLOOKUP(D19,Clientes_PDV!$A$2:$J$250,4,FALSE),"")</f>
        <v>Get It Vitacura</v>
      </c>
      <c r="H19" s="18" t="s">
        <v>315</v>
      </c>
      <c r="I19" s="22" t="str">
        <f>IFERROR(VLOOKUP(H19,Maestro_SKU!$A$2:$P$500,2,FALSE),"")</f>
        <v>Caja master Peanut Boost 24 unidades</v>
      </c>
      <c r="J19" s="27">
        <v>20</v>
      </c>
      <c r="K19" s="19">
        <v>20150</v>
      </c>
      <c r="L19" s="23">
        <f t="shared" si="0"/>
        <v>403000</v>
      </c>
      <c r="M19" s="23">
        <f>IF(L19="","",L19*Inicio!$B$13)</f>
        <v>76570</v>
      </c>
      <c r="N19" s="23">
        <f t="shared" si="1"/>
        <v>479570</v>
      </c>
      <c r="O19" s="26">
        <v>46169</v>
      </c>
      <c r="P19" s="18" t="s">
        <v>32</v>
      </c>
      <c r="Q19" s="19">
        <v>0</v>
      </c>
      <c r="R19" s="23">
        <f t="shared" si="2"/>
        <v>479570</v>
      </c>
      <c r="S19" s="22" t="str">
        <f ca="1">IF(A19="","",IF(OR(P19="Pagada",R19=0),"Pagada",IF(O19&lt;TODAY(),"Vencida",IF(O19&lt;=TODAY()+Inicio!$B$19,"Próxima a vencer","Vigente"))))</f>
        <v>Vencida</v>
      </c>
      <c r="T19" s="18"/>
      <c r="U19" s="37">
        <f t="shared" si="3"/>
        <v>2026</v>
      </c>
      <c r="V19" s="37">
        <f t="shared" si="4"/>
        <v>5</v>
      </c>
      <c r="W19" s="37">
        <f t="shared" si="5"/>
        <v>12</v>
      </c>
      <c r="X19" s="37" t="str">
        <f t="shared" si="6"/>
        <v>2026-05</v>
      </c>
      <c r="Y19" s="37">
        <f>IF(OR($H19="",$J19=""),"",$J19*IFERROR(VLOOKUP($H19,Maestro_SKU!$A$2:$P$500,12,FALSE),1))</f>
        <v>480</v>
      </c>
      <c r="Z19" s="37">
        <f t="shared" ca="1" si="7"/>
        <v>-44</v>
      </c>
    </row>
    <row r="20" spans="1:26" ht="20" customHeight="1" x14ac:dyDescent="0.35">
      <c r="A20" s="18" t="s">
        <v>345</v>
      </c>
      <c r="B20" s="26">
        <v>46176</v>
      </c>
      <c r="C20" s="18" t="s">
        <v>346</v>
      </c>
      <c r="D20" s="18" t="s">
        <v>259</v>
      </c>
      <c r="E20" s="22" t="str">
        <f>IFERROR(VLOOKUP(D20,Clientes_PDV!$A$2:$J$250,2,FALSE),"")</f>
        <v>Aldea Nativa</v>
      </c>
      <c r="F20" s="22" t="str">
        <f>IFERROR(VLOOKUP(D20,Clientes_PDV!$A$2:$J$250,3,FALSE),"")</f>
        <v>Especializadas</v>
      </c>
      <c r="G20" s="22" t="str">
        <f>IFERROR(VLOOKUP(D20,Clientes_PDV!$A$2:$J$250,4,FALSE),"")</f>
        <v>Aldea Nativa Providencia</v>
      </c>
      <c r="H20" s="18" t="s">
        <v>303</v>
      </c>
      <c r="I20" s="22" t="str">
        <f>IFERROR(VLOOKUP(H20,Maestro_SKU!$A$2:$P$500,2,FALSE),"")</f>
        <v>Barra Berry Mix unidad</v>
      </c>
      <c r="J20" s="27">
        <v>10</v>
      </c>
      <c r="K20" s="19">
        <v>1117</v>
      </c>
      <c r="L20" s="23">
        <f t="shared" si="0"/>
        <v>11170</v>
      </c>
      <c r="M20" s="23">
        <f>IF(L20="","",L20*Inicio!$B$13)</f>
        <v>2122.3000000000002</v>
      </c>
      <c r="N20" s="23">
        <f t="shared" si="1"/>
        <v>13292.3</v>
      </c>
      <c r="O20" s="26">
        <v>46221</v>
      </c>
      <c r="P20" s="18" t="s">
        <v>40</v>
      </c>
      <c r="Q20" s="19">
        <v>13292.3</v>
      </c>
      <c r="R20" s="23">
        <f t="shared" si="2"/>
        <v>0</v>
      </c>
      <c r="S20" s="22" t="str">
        <f ca="1">IF(A20="","",IF(OR(P20="Pagada",R20=0),"Pagada",IF(O20&lt;TODAY(),"Vencida",IF(O20&lt;=TODAY()+Inicio!$B$19,"Próxima a vencer","Vigente"))))</f>
        <v>Pagada</v>
      </c>
      <c r="T20" s="18"/>
      <c r="U20" s="37">
        <f t="shared" si="3"/>
        <v>2026</v>
      </c>
      <c r="V20" s="37">
        <f t="shared" si="4"/>
        <v>6</v>
      </c>
      <c r="W20" s="37">
        <f t="shared" si="5"/>
        <v>3</v>
      </c>
      <c r="X20" s="37" t="str">
        <f t="shared" si="6"/>
        <v>2026-06</v>
      </c>
      <c r="Y20" s="37">
        <f>IF(OR($H20="",$J20=""),"",$J20*IFERROR(VLOOKUP($H20,Maestro_SKU!$A$2:$P$500,12,FALSE),1))</f>
        <v>10</v>
      </c>
      <c r="Z20" s="37" t="str">
        <f t="shared" ca="1" si="7"/>
        <v/>
      </c>
    </row>
    <row r="21" spans="1:26" ht="20" customHeight="1" x14ac:dyDescent="0.35">
      <c r="A21" s="18" t="s">
        <v>347</v>
      </c>
      <c r="B21" s="26">
        <v>46156</v>
      </c>
      <c r="C21" s="18" t="s">
        <v>348</v>
      </c>
      <c r="D21" s="18" t="s">
        <v>247</v>
      </c>
      <c r="E21" s="22" t="str">
        <f>IFERROR(VLOOKUP(D21,Clientes_PDV!$A$2:$J$250,2,FALSE),"")</f>
        <v>Jumbo</v>
      </c>
      <c r="F21" s="22" t="str">
        <f>IFERROR(VLOOKUP(D21,Clientes_PDV!$A$2:$J$250,3,FALSE),"")</f>
        <v>Retail</v>
      </c>
      <c r="G21" s="22" t="str">
        <f>IFERROR(VLOOKUP(D21,Clientes_PDV!$A$2:$J$250,4,FALSE),"")</f>
        <v>Jumbo Kennedy</v>
      </c>
      <c r="H21" s="18" t="s">
        <v>312</v>
      </c>
      <c r="I21" s="22" t="str">
        <f>IFERROR(VLOOKUP(H21,Maestro_SKU!$A$2:$P$500,2,FALSE),"")</f>
        <v>Estuche Peanut Boost 4 unidades</v>
      </c>
      <c r="J21" s="27">
        <v>20</v>
      </c>
      <c r="K21" s="19">
        <v>3146</v>
      </c>
      <c r="L21" s="23">
        <f t="shared" si="0"/>
        <v>62920</v>
      </c>
      <c r="M21" s="23">
        <f>IF(L21="","",L21*Inicio!$B$13)</f>
        <v>11954.8</v>
      </c>
      <c r="N21" s="23">
        <f t="shared" si="1"/>
        <v>74874.8</v>
      </c>
      <c r="O21" s="26">
        <v>46156</v>
      </c>
      <c r="P21" s="18" t="s">
        <v>40</v>
      </c>
      <c r="Q21" s="19">
        <v>74874.8</v>
      </c>
      <c r="R21" s="23">
        <f t="shared" si="2"/>
        <v>0</v>
      </c>
      <c r="S21" s="22" t="str">
        <f ca="1">IF(A21="","",IF(OR(P21="Pagada",R21=0),"Pagada",IF(O21&lt;TODAY(),"Vencida",IF(O21&lt;=TODAY()+Inicio!$B$19,"Próxima a vencer","Vigente"))))</f>
        <v>Pagada</v>
      </c>
      <c r="T21" s="18"/>
      <c r="U21" s="37">
        <f t="shared" si="3"/>
        <v>2026</v>
      </c>
      <c r="V21" s="37">
        <f t="shared" si="4"/>
        <v>5</v>
      </c>
      <c r="W21" s="37">
        <f t="shared" si="5"/>
        <v>14</v>
      </c>
      <c r="X21" s="37" t="str">
        <f t="shared" si="6"/>
        <v>2026-05</v>
      </c>
      <c r="Y21" s="37">
        <f>IF(OR($H21="",$J21=""),"",$J21*IFERROR(VLOOKUP($H21,Maestro_SKU!$A$2:$P$500,12,FALSE),1))</f>
        <v>80</v>
      </c>
      <c r="Z21" s="37" t="str">
        <f t="shared" ca="1" si="7"/>
        <v/>
      </c>
    </row>
    <row r="22" spans="1:26" ht="20" customHeight="1" x14ac:dyDescent="0.35">
      <c r="A22" s="18" t="s">
        <v>349</v>
      </c>
      <c r="B22" s="26">
        <v>46203</v>
      </c>
      <c r="C22" s="18" t="s">
        <v>350</v>
      </c>
      <c r="D22" s="18" t="s">
        <v>270</v>
      </c>
      <c r="E22" s="22" t="str">
        <f>IFERROR(VLOOKUP(D22,Clientes_PDV!$A$2:$J$250,2,FALSE),"")</f>
        <v>Cruz Verde</v>
      </c>
      <c r="F22" s="22" t="str">
        <f>IFERROR(VLOOKUP(D22,Clientes_PDV!$A$2:$J$250,3,FALSE),"")</f>
        <v>Farmacias</v>
      </c>
      <c r="G22" s="22" t="str">
        <f>IFERROR(VLOOKUP(D22,Clientes_PDV!$A$2:$J$250,4,FALSE),"")</f>
        <v>Cruz Verde Vitacura</v>
      </c>
      <c r="H22" s="18" t="s">
        <v>323</v>
      </c>
      <c r="I22" s="22" t="str">
        <f>IFERROR(VLOOKUP(H22,Maestro_SKU!$A$2:$P$500,2,FALSE),"")</f>
        <v>Barra Peanut Boost unidad</v>
      </c>
      <c r="J22" s="27">
        <v>12</v>
      </c>
      <c r="K22" s="19">
        <v>780</v>
      </c>
      <c r="L22" s="23">
        <f t="shared" si="0"/>
        <v>9360</v>
      </c>
      <c r="M22" s="23">
        <f>IF(L22="","",L22*Inicio!$B$13)</f>
        <v>1778.4</v>
      </c>
      <c r="N22" s="23">
        <f t="shared" si="1"/>
        <v>11138.4</v>
      </c>
      <c r="O22" s="26">
        <v>46233</v>
      </c>
      <c r="P22" s="18" t="s">
        <v>32</v>
      </c>
      <c r="Q22" s="19">
        <v>0</v>
      </c>
      <c r="R22" s="23">
        <f t="shared" si="2"/>
        <v>11138.4</v>
      </c>
      <c r="S22" s="22" t="str">
        <f ca="1">IF(A22="","",IF(OR(P22="Pagada",R22=0),"Pagada",IF(O22&lt;TODAY(),"Vencida",IF(O22&lt;=TODAY()+Inicio!$B$19,"Próxima a vencer","Vigente"))))</f>
        <v>Vigente</v>
      </c>
      <c r="T22" s="18"/>
      <c r="U22" s="37">
        <f t="shared" si="3"/>
        <v>2026</v>
      </c>
      <c r="V22" s="37">
        <f t="shared" si="4"/>
        <v>6</v>
      </c>
      <c r="W22" s="37">
        <f t="shared" si="5"/>
        <v>30</v>
      </c>
      <c r="X22" s="37" t="str">
        <f t="shared" si="6"/>
        <v>2026-06</v>
      </c>
      <c r="Y22" s="37">
        <f>IF(OR($H22="",$J22=""),"",$J22*IFERROR(VLOOKUP($H22,Maestro_SKU!$A$2:$P$500,12,FALSE),1))</f>
        <v>12</v>
      </c>
      <c r="Z22" s="37">
        <f t="shared" ca="1" si="7"/>
        <v>20</v>
      </c>
    </row>
    <row r="23" spans="1:26" ht="20" customHeight="1" x14ac:dyDescent="0.35">
      <c r="A23" s="18" t="s">
        <v>351</v>
      </c>
      <c r="B23" s="26">
        <v>46185</v>
      </c>
      <c r="C23" s="18" t="s">
        <v>352</v>
      </c>
      <c r="D23" s="18" t="s">
        <v>254</v>
      </c>
      <c r="E23" s="22" t="str">
        <f>IFERROR(VLOOKUP(D23,Clientes_PDV!$A$2:$J$250,2,FALSE),"")</f>
        <v>Get It</v>
      </c>
      <c r="F23" s="22" t="str">
        <f>IFERROR(VLOOKUP(D23,Clientes_PDV!$A$2:$J$250,3,FALSE),"")</f>
        <v>Conveniencia</v>
      </c>
      <c r="G23" s="22" t="str">
        <f>IFERROR(VLOOKUP(D23,Clientes_PDV!$A$2:$J$250,4,FALSE),"")</f>
        <v>Get It Apoquindo</v>
      </c>
      <c r="H23" s="18" t="s">
        <v>309</v>
      </c>
      <c r="I23" s="22" t="str">
        <f>IFERROR(VLOOKUP(H23,Maestro_SKU!$A$2:$P$500,2,FALSE),"")</f>
        <v>Estuche Cacao Crispy 4 unidades</v>
      </c>
      <c r="J23" s="27">
        <v>8</v>
      </c>
      <c r="K23" s="19">
        <v>2840</v>
      </c>
      <c r="L23" s="23">
        <f t="shared" si="0"/>
        <v>22720</v>
      </c>
      <c r="M23" s="23">
        <f>IF(L23="","",L23*Inicio!$B$13)</f>
        <v>4316.8</v>
      </c>
      <c r="N23" s="23">
        <f t="shared" si="1"/>
        <v>27036.799999999999</v>
      </c>
      <c r="O23" s="26">
        <v>46200</v>
      </c>
      <c r="P23" s="18" t="s">
        <v>56</v>
      </c>
      <c r="Q23" s="19">
        <v>0</v>
      </c>
      <c r="R23" s="23">
        <f t="shared" si="2"/>
        <v>27036.799999999999</v>
      </c>
      <c r="S23" s="22" t="str">
        <f ca="1">IF(A23="","",IF(OR(P23="Pagada",R23=0),"Pagada",IF(O23&lt;TODAY(),"Vencida",IF(O23&lt;=TODAY()+Inicio!$B$19,"Próxima a vencer","Vigente"))))</f>
        <v>Vencida</v>
      </c>
      <c r="T23" s="18"/>
      <c r="U23" s="37">
        <f t="shared" si="3"/>
        <v>2026</v>
      </c>
      <c r="V23" s="37">
        <f t="shared" si="4"/>
        <v>6</v>
      </c>
      <c r="W23" s="37">
        <f t="shared" si="5"/>
        <v>12</v>
      </c>
      <c r="X23" s="37" t="str">
        <f t="shared" si="6"/>
        <v>2026-06</v>
      </c>
      <c r="Y23" s="37">
        <f>IF(OR($H23="",$J23=""),"",$J23*IFERROR(VLOOKUP($H23,Maestro_SKU!$A$2:$P$500,12,FALSE),1))</f>
        <v>32</v>
      </c>
      <c r="Z23" s="37">
        <f t="shared" ca="1" si="7"/>
        <v>-13</v>
      </c>
    </row>
    <row r="24" spans="1:26" ht="20" customHeight="1" x14ac:dyDescent="0.35">
      <c r="A24" s="18" t="s">
        <v>353</v>
      </c>
      <c r="B24" s="26">
        <v>46160</v>
      </c>
      <c r="C24" s="18" t="s">
        <v>354</v>
      </c>
      <c r="D24" s="18" t="s">
        <v>276</v>
      </c>
      <c r="E24" s="22" t="str">
        <f>IFERROR(VLOOKUP(D24,Clientes_PDV!$A$2:$J$250,2,FALSE),"")</f>
        <v>Tres Toques</v>
      </c>
      <c r="F24" s="22" t="str">
        <f>IFERROR(VLOOKUP(D24,Clientes_PDV!$A$2:$J$250,3,FALSE),"")</f>
        <v>HORECA</v>
      </c>
      <c r="G24" s="22" t="str">
        <f>IFERROR(VLOOKUP(D24,Clientes_PDV!$A$2:$J$250,4,FALSE),"")</f>
        <v>Tres Toques Vitacura</v>
      </c>
      <c r="H24" s="18" t="s">
        <v>312</v>
      </c>
      <c r="I24" s="22" t="str">
        <f>IFERROR(VLOOKUP(H24,Maestro_SKU!$A$2:$P$500,2,FALSE),"")</f>
        <v>Estuche Peanut Boost 4 unidades</v>
      </c>
      <c r="J24" s="27">
        <v>24</v>
      </c>
      <c r="K24" s="19">
        <v>4368</v>
      </c>
      <c r="L24" s="23">
        <f t="shared" si="0"/>
        <v>104832</v>
      </c>
      <c r="M24" s="23">
        <f>IF(L24="","",L24*Inicio!$B$13)</f>
        <v>19918.080000000002</v>
      </c>
      <c r="N24" s="23">
        <f t="shared" si="1"/>
        <v>124750.08</v>
      </c>
      <c r="O24" s="26">
        <v>46205</v>
      </c>
      <c r="P24" s="18" t="s">
        <v>40</v>
      </c>
      <c r="Q24" s="19">
        <v>124750.08</v>
      </c>
      <c r="R24" s="23">
        <f t="shared" si="2"/>
        <v>0</v>
      </c>
      <c r="S24" s="22" t="str">
        <f ca="1">IF(A24="","",IF(OR(P24="Pagada",R24=0),"Pagada",IF(O24&lt;TODAY(),"Vencida",IF(O24&lt;=TODAY()+Inicio!$B$19,"Próxima a vencer","Vigente"))))</f>
        <v>Pagada</v>
      </c>
      <c r="T24" s="18"/>
      <c r="U24" s="37">
        <f t="shared" si="3"/>
        <v>2026</v>
      </c>
      <c r="V24" s="37">
        <f t="shared" si="4"/>
        <v>5</v>
      </c>
      <c r="W24" s="37">
        <f t="shared" si="5"/>
        <v>18</v>
      </c>
      <c r="X24" s="37" t="str">
        <f t="shared" si="6"/>
        <v>2026-05</v>
      </c>
      <c r="Y24" s="37">
        <f>IF(OR($H24="",$J24=""),"",$J24*IFERROR(VLOOKUP($H24,Maestro_SKU!$A$2:$P$500,12,FALSE),1))</f>
        <v>96</v>
      </c>
      <c r="Z24" s="37" t="str">
        <f t="shared" ca="1" si="7"/>
        <v/>
      </c>
    </row>
    <row r="25" spans="1:26" ht="20" customHeight="1" x14ac:dyDescent="0.35">
      <c r="A25" s="18" t="s">
        <v>355</v>
      </c>
      <c r="B25" s="26">
        <v>46205</v>
      </c>
      <c r="C25" s="18" t="s">
        <v>356</v>
      </c>
      <c r="D25" s="18" t="s">
        <v>279</v>
      </c>
      <c r="E25" s="22" t="str">
        <f>IFERROR(VLOOKUP(D25,Clientes_PDV!$A$2:$J$250,2,FALSE),"")</f>
        <v>Mundo del Vino</v>
      </c>
      <c r="F25" s="22" t="str">
        <f>IFERROR(VLOOKUP(D25,Clientes_PDV!$A$2:$J$250,3,FALSE),"")</f>
        <v>Especializadas</v>
      </c>
      <c r="G25" s="22" t="str">
        <f>IFERROR(VLOOKUP(D25,Clientes_PDV!$A$2:$J$250,4,FALSE),"")</f>
        <v>Mundo del Vino Escuela Militar</v>
      </c>
      <c r="H25" s="18" t="s">
        <v>318</v>
      </c>
      <c r="I25" s="22" t="str">
        <f>IFERROR(VLOOKUP(H25,Maestro_SKU!$A$2:$P$500,2,FALSE),"")</f>
        <v>Caja master Cacao Crispy 24 unidades</v>
      </c>
      <c r="J25" s="27">
        <v>10</v>
      </c>
      <c r="K25" s="19">
        <v>19987</v>
      </c>
      <c r="L25" s="23">
        <f t="shared" si="0"/>
        <v>199870</v>
      </c>
      <c r="M25" s="23">
        <f>IF(L25="","",L25*Inicio!$B$13)</f>
        <v>37975.300000000003</v>
      </c>
      <c r="N25" s="23">
        <f t="shared" si="1"/>
        <v>237845.3</v>
      </c>
      <c r="O25" s="26">
        <v>46205</v>
      </c>
      <c r="P25" s="18" t="s">
        <v>40</v>
      </c>
      <c r="Q25" s="19">
        <v>237845.3</v>
      </c>
      <c r="R25" s="23">
        <f t="shared" si="2"/>
        <v>0</v>
      </c>
      <c r="S25" s="22" t="str">
        <f ca="1">IF(A25="","",IF(OR(P25="Pagada",R25=0),"Pagada",IF(O25&lt;TODAY(),"Vencida",IF(O25&lt;=TODAY()+Inicio!$B$19,"Próxima a vencer","Vigente"))))</f>
        <v>Pagada</v>
      </c>
      <c r="T25" s="18"/>
      <c r="U25" s="37">
        <f t="shared" si="3"/>
        <v>2026</v>
      </c>
      <c r="V25" s="37">
        <f t="shared" si="4"/>
        <v>7</v>
      </c>
      <c r="W25" s="37">
        <f t="shared" si="5"/>
        <v>2</v>
      </c>
      <c r="X25" s="37" t="str">
        <f t="shared" si="6"/>
        <v>2026-07</v>
      </c>
      <c r="Y25" s="37">
        <f>IF(OR($H25="",$J25=""),"",$J25*IFERROR(VLOOKUP($H25,Maestro_SKU!$A$2:$P$500,12,FALSE),1))</f>
        <v>240</v>
      </c>
      <c r="Z25" s="37" t="str">
        <f t="shared" ca="1" si="7"/>
        <v/>
      </c>
    </row>
    <row r="26" spans="1:26" ht="20" customHeight="1" x14ac:dyDescent="0.35">
      <c r="A26" s="18" t="s">
        <v>357</v>
      </c>
      <c r="B26" s="26">
        <v>46163</v>
      </c>
      <c r="C26" s="18" t="s">
        <v>358</v>
      </c>
      <c r="D26" s="18" t="s">
        <v>273</v>
      </c>
      <c r="E26" s="22" t="str">
        <f>IFERROR(VLOOKUP(D26,Clientes_PDV!$A$2:$J$250,2,FALSE),"")</f>
        <v>Sodexo</v>
      </c>
      <c r="F26" s="22" t="str">
        <f>IFERROR(VLOOKUP(D26,Clientes_PDV!$A$2:$J$250,3,FALSE),"")</f>
        <v>Corporativo</v>
      </c>
      <c r="G26" s="22" t="str">
        <f>IFERROR(VLOOKUP(D26,Clientes_PDV!$A$2:$J$250,4,FALSE),"")</f>
        <v>Sodexo Casa Matriz</v>
      </c>
      <c r="H26" s="18" t="s">
        <v>328</v>
      </c>
      <c r="I26" s="22" t="str">
        <f>IFERROR(VLOOKUP(H26,Maestro_SKU!$A$2:$P$500,2,FALSE),"")</f>
        <v>Caja master Berry Mix 24 unidades</v>
      </c>
      <c r="J26" s="27">
        <v>20</v>
      </c>
      <c r="K26" s="19">
        <v>23989</v>
      </c>
      <c r="L26" s="23">
        <f t="shared" si="0"/>
        <v>479780</v>
      </c>
      <c r="M26" s="23">
        <f>IF(L26="","",L26*Inicio!$B$13)</f>
        <v>91158.2</v>
      </c>
      <c r="N26" s="23">
        <f t="shared" si="1"/>
        <v>570938.19999999995</v>
      </c>
      <c r="O26" s="26">
        <v>46208</v>
      </c>
      <c r="P26" s="18" t="s">
        <v>48</v>
      </c>
      <c r="Q26" s="19">
        <v>377929</v>
      </c>
      <c r="R26" s="23">
        <f t="shared" si="2"/>
        <v>193009.19999999995</v>
      </c>
      <c r="S26" s="22" t="str">
        <f ca="1">IF(A26="","",IF(OR(P26="Pagada",R26=0),"Pagada",IF(O26&lt;TODAY(),"Vencida",IF(O26&lt;=TODAY()+Inicio!$B$19,"Próxima a vencer","Vigente"))))</f>
        <v>Vencida</v>
      </c>
      <c r="T26" s="18"/>
      <c r="U26" s="37">
        <f t="shared" si="3"/>
        <v>2026</v>
      </c>
      <c r="V26" s="37">
        <f t="shared" si="4"/>
        <v>5</v>
      </c>
      <c r="W26" s="37">
        <f t="shared" si="5"/>
        <v>21</v>
      </c>
      <c r="X26" s="37" t="str">
        <f t="shared" si="6"/>
        <v>2026-05</v>
      </c>
      <c r="Y26" s="37">
        <f>IF(OR($H26="",$J26=""),"",$J26*IFERROR(VLOOKUP($H26,Maestro_SKU!$A$2:$P$500,12,FALSE),1))</f>
        <v>480</v>
      </c>
      <c r="Z26" s="37">
        <f t="shared" ca="1" si="7"/>
        <v>-5</v>
      </c>
    </row>
    <row r="27" spans="1:26" ht="20" customHeight="1" x14ac:dyDescent="0.35">
      <c r="A27" s="18" t="s">
        <v>359</v>
      </c>
      <c r="B27" s="26">
        <v>46200</v>
      </c>
      <c r="C27" s="18" t="s">
        <v>360</v>
      </c>
      <c r="D27" s="18" t="s">
        <v>259</v>
      </c>
      <c r="E27" s="22" t="str">
        <f>IFERROR(VLOOKUP(D27,Clientes_PDV!$A$2:$J$250,2,FALSE),"")</f>
        <v>Aldea Nativa</v>
      </c>
      <c r="F27" s="22" t="str">
        <f>IFERROR(VLOOKUP(D27,Clientes_PDV!$A$2:$J$250,3,FALSE),"")</f>
        <v>Especializadas</v>
      </c>
      <c r="G27" s="22" t="str">
        <f>IFERROR(VLOOKUP(D27,Clientes_PDV!$A$2:$J$250,4,FALSE),"")</f>
        <v>Aldea Nativa Providencia</v>
      </c>
      <c r="H27" s="18" t="s">
        <v>312</v>
      </c>
      <c r="I27" s="22" t="str">
        <f>IFERROR(VLOOKUP(H27,Maestro_SKU!$A$2:$P$500,2,FALSE),"")</f>
        <v>Estuche Peanut Boost 4 unidades</v>
      </c>
      <c r="J27" s="27">
        <v>15</v>
      </c>
      <c r="K27" s="19">
        <v>3556</v>
      </c>
      <c r="L27" s="23">
        <f t="shared" si="0"/>
        <v>53340</v>
      </c>
      <c r="M27" s="23">
        <f>IF(L27="","",L27*Inicio!$B$13)</f>
        <v>10134.6</v>
      </c>
      <c r="N27" s="23">
        <f t="shared" si="1"/>
        <v>63474.6</v>
      </c>
      <c r="O27" s="26">
        <v>46230</v>
      </c>
      <c r="P27" s="18" t="s">
        <v>32</v>
      </c>
      <c r="Q27" s="19">
        <v>0</v>
      </c>
      <c r="R27" s="23">
        <f t="shared" si="2"/>
        <v>63474.6</v>
      </c>
      <c r="S27" s="22" t="str">
        <f ca="1">IF(A27="","",IF(OR(P27="Pagada",R27=0),"Pagada",IF(O27&lt;TODAY(),"Vencida",IF(O27&lt;=TODAY()+Inicio!$B$19,"Próxima a vencer","Vigente"))))</f>
        <v>Vigente</v>
      </c>
      <c r="T27" s="18"/>
      <c r="U27" s="37">
        <f t="shared" si="3"/>
        <v>2026</v>
      </c>
      <c r="V27" s="37">
        <f t="shared" si="4"/>
        <v>6</v>
      </c>
      <c r="W27" s="37">
        <f t="shared" si="5"/>
        <v>27</v>
      </c>
      <c r="X27" s="37" t="str">
        <f t="shared" si="6"/>
        <v>2026-06</v>
      </c>
      <c r="Y27" s="37">
        <f>IF(OR($H27="",$J27=""),"",$J27*IFERROR(VLOOKUP($H27,Maestro_SKU!$A$2:$P$500,12,FALSE),1))</f>
        <v>60</v>
      </c>
      <c r="Z27" s="37">
        <f t="shared" ca="1" si="7"/>
        <v>17</v>
      </c>
    </row>
    <row r="28" spans="1:26" ht="20" customHeight="1" x14ac:dyDescent="0.35">
      <c r="A28" s="18" t="s">
        <v>361</v>
      </c>
      <c r="B28" s="26">
        <v>46187</v>
      </c>
      <c r="C28" s="18" t="s">
        <v>362</v>
      </c>
      <c r="D28" s="18" t="s">
        <v>257</v>
      </c>
      <c r="E28" s="22" t="str">
        <f>IFERROR(VLOOKUP(D28,Clientes_PDV!$A$2:$J$250,2,FALSE),"")</f>
        <v>Get It</v>
      </c>
      <c r="F28" s="22" t="str">
        <f>IFERROR(VLOOKUP(D28,Clientes_PDV!$A$2:$J$250,3,FALSE),"")</f>
        <v>Conveniencia</v>
      </c>
      <c r="G28" s="22" t="str">
        <f>IFERROR(VLOOKUP(D28,Clientes_PDV!$A$2:$J$250,4,FALSE),"")</f>
        <v>Get It Vitacura</v>
      </c>
      <c r="H28" s="18" t="s">
        <v>318</v>
      </c>
      <c r="I28" s="22" t="str">
        <f>IFERROR(VLOOKUP(H28,Maestro_SKU!$A$2:$P$500,2,FALSE),"")</f>
        <v>Caja master Cacao Crispy 24 unidades</v>
      </c>
      <c r="J28" s="27">
        <v>24</v>
      </c>
      <c r="K28" s="19">
        <v>24288</v>
      </c>
      <c r="L28" s="23">
        <f t="shared" si="0"/>
        <v>582912</v>
      </c>
      <c r="M28" s="23">
        <f>IF(L28="","",L28*Inicio!$B$13)</f>
        <v>110753.28</v>
      </c>
      <c r="N28" s="23">
        <f t="shared" si="1"/>
        <v>693665.28000000003</v>
      </c>
      <c r="O28" s="26">
        <v>46232</v>
      </c>
      <c r="P28" s="18" t="s">
        <v>32</v>
      </c>
      <c r="Q28" s="19">
        <v>0</v>
      </c>
      <c r="R28" s="23">
        <f t="shared" si="2"/>
        <v>693665.28000000003</v>
      </c>
      <c r="S28" s="22" t="str">
        <f ca="1">IF(A28="","",IF(OR(P28="Pagada",R28=0),"Pagada",IF(O28&lt;TODAY(),"Vencida",IF(O28&lt;=TODAY()+Inicio!$B$19,"Próxima a vencer","Vigente"))))</f>
        <v>Vigente</v>
      </c>
      <c r="T28" s="18"/>
      <c r="U28" s="37">
        <f t="shared" si="3"/>
        <v>2026</v>
      </c>
      <c r="V28" s="37">
        <f t="shared" si="4"/>
        <v>6</v>
      </c>
      <c r="W28" s="37">
        <f t="shared" si="5"/>
        <v>14</v>
      </c>
      <c r="X28" s="37" t="str">
        <f t="shared" si="6"/>
        <v>2026-06</v>
      </c>
      <c r="Y28" s="37">
        <f>IF(OR($H28="",$J28=""),"",$J28*IFERROR(VLOOKUP($H28,Maestro_SKU!$A$2:$P$500,12,FALSE),1))</f>
        <v>576</v>
      </c>
      <c r="Z28" s="37">
        <f t="shared" ca="1" si="7"/>
        <v>19</v>
      </c>
    </row>
    <row r="29" spans="1:26" ht="20" customHeight="1" x14ac:dyDescent="0.35">
      <c r="A29" s="18" t="s">
        <v>363</v>
      </c>
      <c r="B29" s="26">
        <v>46175</v>
      </c>
      <c r="C29" s="18" t="s">
        <v>364</v>
      </c>
      <c r="D29" s="18" t="s">
        <v>259</v>
      </c>
      <c r="E29" s="22" t="str">
        <f>IFERROR(VLOOKUP(D29,Clientes_PDV!$A$2:$J$250,2,FALSE),"")</f>
        <v>Aldea Nativa</v>
      </c>
      <c r="F29" s="22" t="str">
        <f>IFERROR(VLOOKUP(D29,Clientes_PDV!$A$2:$J$250,3,FALSE),"")</f>
        <v>Especializadas</v>
      </c>
      <c r="G29" s="22" t="str">
        <f>IFERROR(VLOOKUP(D29,Clientes_PDV!$A$2:$J$250,4,FALSE),"")</f>
        <v>Aldea Nativa Providencia</v>
      </c>
      <c r="H29" s="18" t="s">
        <v>312</v>
      </c>
      <c r="I29" s="22" t="str">
        <f>IFERROR(VLOOKUP(H29,Maestro_SKU!$A$2:$P$500,2,FALSE),"")</f>
        <v>Estuche Peanut Boost 4 unidades</v>
      </c>
      <c r="J29" s="27">
        <v>24</v>
      </c>
      <c r="K29" s="19">
        <v>3803</v>
      </c>
      <c r="L29" s="23">
        <f t="shared" si="0"/>
        <v>91272</v>
      </c>
      <c r="M29" s="23">
        <f>IF(L29="","",L29*Inicio!$B$13)</f>
        <v>17341.68</v>
      </c>
      <c r="N29" s="23">
        <f t="shared" si="1"/>
        <v>108613.68</v>
      </c>
      <c r="O29" s="26">
        <v>46220</v>
      </c>
      <c r="P29" s="18" t="s">
        <v>40</v>
      </c>
      <c r="Q29" s="19">
        <v>108613.68</v>
      </c>
      <c r="R29" s="23">
        <f t="shared" si="2"/>
        <v>0</v>
      </c>
      <c r="S29" s="22" t="str">
        <f ca="1">IF(A29="","",IF(OR(P29="Pagada",R29=0),"Pagada",IF(O29&lt;TODAY(),"Vencida",IF(O29&lt;=TODAY()+Inicio!$B$19,"Próxima a vencer","Vigente"))))</f>
        <v>Pagada</v>
      </c>
      <c r="T29" s="18"/>
      <c r="U29" s="37">
        <f t="shared" si="3"/>
        <v>2026</v>
      </c>
      <c r="V29" s="37">
        <f t="shared" si="4"/>
        <v>6</v>
      </c>
      <c r="W29" s="37">
        <f t="shared" si="5"/>
        <v>2</v>
      </c>
      <c r="X29" s="37" t="str">
        <f t="shared" si="6"/>
        <v>2026-06</v>
      </c>
      <c r="Y29" s="37">
        <f>IF(OR($H29="",$J29=""),"",$J29*IFERROR(VLOOKUP($H29,Maestro_SKU!$A$2:$P$500,12,FALSE),1))</f>
        <v>96</v>
      </c>
      <c r="Z29" s="37" t="str">
        <f t="shared" ca="1" si="7"/>
        <v/>
      </c>
    </row>
    <row r="30" spans="1:26" ht="20" customHeight="1" x14ac:dyDescent="0.35">
      <c r="A30" s="18" t="s">
        <v>365</v>
      </c>
      <c r="B30" s="26">
        <v>46186</v>
      </c>
      <c r="C30" s="18" t="s">
        <v>366</v>
      </c>
      <c r="D30" s="18" t="s">
        <v>270</v>
      </c>
      <c r="E30" s="22" t="str">
        <f>IFERROR(VLOOKUP(D30,Clientes_PDV!$A$2:$J$250,2,FALSE),"")</f>
        <v>Cruz Verde</v>
      </c>
      <c r="F30" s="22" t="str">
        <f>IFERROR(VLOOKUP(D30,Clientes_PDV!$A$2:$J$250,3,FALSE),"")</f>
        <v>Farmacias</v>
      </c>
      <c r="G30" s="22" t="str">
        <f>IFERROR(VLOOKUP(D30,Clientes_PDV!$A$2:$J$250,4,FALSE),"")</f>
        <v>Cruz Verde Vitacura</v>
      </c>
      <c r="H30" s="18" t="s">
        <v>309</v>
      </c>
      <c r="I30" s="22" t="str">
        <f>IFERROR(VLOOKUP(H30,Maestro_SKU!$A$2:$P$500,2,FALSE),"")</f>
        <v>Estuche Cacao Crispy 4 unidades</v>
      </c>
      <c r="J30" s="27">
        <v>20</v>
      </c>
      <c r="K30" s="19">
        <v>3266</v>
      </c>
      <c r="L30" s="23">
        <f t="shared" si="0"/>
        <v>65320</v>
      </c>
      <c r="M30" s="23">
        <f>IF(L30="","",L30*Inicio!$B$13)</f>
        <v>12410.8</v>
      </c>
      <c r="N30" s="23">
        <f t="shared" si="1"/>
        <v>77730.8</v>
      </c>
      <c r="O30" s="26">
        <v>46186</v>
      </c>
      <c r="P30" s="18" t="s">
        <v>32</v>
      </c>
      <c r="Q30" s="19">
        <v>0</v>
      </c>
      <c r="R30" s="23">
        <f t="shared" si="2"/>
        <v>77730.8</v>
      </c>
      <c r="S30" s="22" t="str">
        <f ca="1">IF(A30="","",IF(OR(P30="Pagada",R30=0),"Pagada",IF(O30&lt;TODAY(),"Vencida",IF(O30&lt;=TODAY()+Inicio!$B$19,"Próxima a vencer","Vigente"))))</f>
        <v>Vencida</v>
      </c>
      <c r="T30" s="18"/>
      <c r="U30" s="37">
        <f t="shared" si="3"/>
        <v>2026</v>
      </c>
      <c r="V30" s="37">
        <f t="shared" si="4"/>
        <v>6</v>
      </c>
      <c r="W30" s="37">
        <f t="shared" si="5"/>
        <v>13</v>
      </c>
      <c r="X30" s="37" t="str">
        <f t="shared" si="6"/>
        <v>2026-06</v>
      </c>
      <c r="Y30" s="37">
        <f>IF(OR($H30="",$J30=""),"",$J30*IFERROR(VLOOKUP($H30,Maestro_SKU!$A$2:$P$500,12,FALSE),1))</f>
        <v>80</v>
      </c>
      <c r="Z30" s="37">
        <f t="shared" ca="1" si="7"/>
        <v>-27</v>
      </c>
    </row>
    <row r="31" spans="1:26" ht="20" customHeight="1" x14ac:dyDescent="0.35">
      <c r="A31" s="18" t="s">
        <v>367</v>
      </c>
      <c r="B31" s="26">
        <v>46192</v>
      </c>
      <c r="C31" s="18" t="s">
        <v>368</v>
      </c>
      <c r="D31" s="18" t="s">
        <v>279</v>
      </c>
      <c r="E31" s="22" t="str">
        <f>IFERROR(VLOOKUP(D31,Clientes_PDV!$A$2:$J$250,2,FALSE),"")</f>
        <v>Mundo del Vino</v>
      </c>
      <c r="F31" s="22" t="str">
        <f>IFERROR(VLOOKUP(D31,Clientes_PDV!$A$2:$J$250,3,FALSE),"")</f>
        <v>Especializadas</v>
      </c>
      <c r="G31" s="22" t="str">
        <f>IFERROR(VLOOKUP(D31,Clientes_PDV!$A$2:$J$250,4,FALSE),"")</f>
        <v>Mundo del Vino Escuela Militar</v>
      </c>
      <c r="H31" s="18" t="s">
        <v>312</v>
      </c>
      <c r="I31" s="22" t="str">
        <f>IFERROR(VLOOKUP(H31,Maestro_SKU!$A$2:$P$500,2,FALSE),"")</f>
        <v>Estuche Peanut Boost 4 unidades</v>
      </c>
      <c r="J31" s="27">
        <v>4</v>
      </c>
      <c r="K31" s="19">
        <v>3695</v>
      </c>
      <c r="L31" s="23">
        <f t="shared" si="0"/>
        <v>14780</v>
      </c>
      <c r="M31" s="23">
        <f>IF(L31="","",L31*Inicio!$B$13)</f>
        <v>2808.2</v>
      </c>
      <c r="N31" s="23">
        <f t="shared" si="1"/>
        <v>17588.2</v>
      </c>
      <c r="O31" s="26">
        <v>46192</v>
      </c>
      <c r="P31" s="18" t="s">
        <v>48</v>
      </c>
      <c r="Q31" s="19">
        <v>9764</v>
      </c>
      <c r="R31" s="23">
        <f t="shared" si="2"/>
        <v>7824.2000000000007</v>
      </c>
      <c r="S31" s="22" t="str">
        <f ca="1">IF(A31="","",IF(OR(P31="Pagada",R31=0),"Pagada",IF(O31&lt;TODAY(),"Vencida",IF(O31&lt;=TODAY()+Inicio!$B$19,"Próxima a vencer","Vigente"))))</f>
        <v>Vencida</v>
      </c>
      <c r="T31" s="18"/>
      <c r="U31" s="37">
        <f t="shared" si="3"/>
        <v>2026</v>
      </c>
      <c r="V31" s="37">
        <f t="shared" si="4"/>
        <v>6</v>
      </c>
      <c r="W31" s="37">
        <f t="shared" si="5"/>
        <v>19</v>
      </c>
      <c r="X31" s="37" t="str">
        <f t="shared" si="6"/>
        <v>2026-06</v>
      </c>
      <c r="Y31" s="37">
        <f>IF(OR($H31="",$J31=""),"",$J31*IFERROR(VLOOKUP($H31,Maestro_SKU!$A$2:$P$500,12,FALSE),1))</f>
        <v>16</v>
      </c>
      <c r="Z31" s="37">
        <f t="shared" ca="1" si="7"/>
        <v>-21</v>
      </c>
    </row>
    <row r="32" spans="1:26" ht="20" customHeight="1" x14ac:dyDescent="0.35">
      <c r="A32" s="18" t="s">
        <v>369</v>
      </c>
      <c r="B32" s="26">
        <v>46177</v>
      </c>
      <c r="C32" s="18" t="s">
        <v>370</v>
      </c>
      <c r="D32" s="18" t="s">
        <v>257</v>
      </c>
      <c r="E32" s="22" t="str">
        <f>IFERROR(VLOOKUP(D32,Clientes_PDV!$A$2:$J$250,2,FALSE),"")</f>
        <v>Get It</v>
      </c>
      <c r="F32" s="22" t="str">
        <f>IFERROR(VLOOKUP(D32,Clientes_PDV!$A$2:$J$250,3,FALSE),"")</f>
        <v>Conveniencia</v>
      </c>
      <c r="G32" s="22" t="str">
        <f>IFERROR(VLOOKUP(D32,Clientes_PDV!$A$2:$J$250,4,FALSE),"")</f>
        <v>Get It Vitacura</v>
      </c>
      <c r="H32" s="18" t="s">
        <v>306</v>
      </c>
      <c r="I32" s="22" t="str">
        <f>IFERROR(VLOOKUP(H32,Maestro_SKU!$A$2:$P$500,2,FALSE),"")</f>
        <v>Barra Cacao Crispy unidad</v>
      </c>
      <c r="J32" s="27">
        <v>10</v>
      </c>
      <c r="K32" s="19">
        <v>736</v>
      </c>
      <c r="L32" s="23">
        <f t="shared" si="0"/>
        <v>7360</v>
      </c>
      <c r="M32" s="23">
        <f>IF(L32="","",L32*Inicio!$B$13)</f>
        <v>1398.4</v>
      </c>
      <c r="N32" s="23">
        <f t="shared" si="1"/>
        <v>8758.4</v>
      </c>
      <c r="O32" s="26">
        <v>46177</v>
      </c>
      <c r="P32" s="18" t="s">
        <v>40</v>
      </c>
      <c r="Q32" s="19">
        <v>8758.4</v>
      </c>
      <c r="R32" s="23">
        <f t="shared" si="2"/>
        <v>0</v>
      </c>
      <c r="S32" s="22" t="str">
        <f ca="1">IF(A32="","",IF(OR(P32="Pagada",R32=0),"Pagada",IF(O32&lt;TODAY(),"Vencida",IF(O32&lt;=TODAY()+Inicio!$B$19,"Próxima a vencer","Vigente"))))</f>
        <v>Pagada</v>
      </c>
      <c r="T32" s="18"/>
      <c r="U32" s="37">
        <f t="shared" si="3"/>
        <v>2026</v>
      </c>
      <c r="V32" s="37">
        <f t="shared" si="4"/>
        <v>6</v>
      </c>
      <c r="W32" s="37">
        <f t="shared" si="5"/>
        <v>4</v>
      </c>
      <c r="X32" s="37" t="str">
        <f t="shared" si="6"/>
        <v>2026-06</v>
      </c>
      <c r="Y32" s="37">
        <f>IF(OR($H32="",$J32=""),"",$J32*IFERROR(VLOOKUP($H32,Maestro_SKU!$A$2:$P$500,12,FALSE),1))</f>
        <v>10</v>
      </c>
      <c r="Z32" s="37" t="str">
        <f t="shared" ca="1" si="7"/>
        <v/>
      </c>
    </row>
    <row r="33" spans="1:26" ht="20" customHeight="1" x14ac:dyDescent="0.35">
      <c r="A33" s="18" t="s">
        <v>371</v>
      </c>
      <c r="B33" s="26">
        <v>46184</v>
      </c>
      <c r="C33" s="18" t="s">
        <v>372</v>
      </c>
      <c r="D33" s="18" t="s">
        <v>279</v>
      </c>
      <c r="E33" s="22" t="str">
        <f>IFERROR(VLOOKUP(D33,Clientes_PDV!$A$2:$J$250,2,FALSE),"")</f>
        <v>Mundo del Vino</v>
      </c>
      <c r="F33" s="22" t="str">
        <f>IFERROR(VLOOKUP(D33,Clientes_PDV!$A$2:$J$250,3,FALSE),"")</f>
        <v>Especializadas</v>
      </c>
      <c r="G33" s="22" t="str">
        <f>IFERROR(VLOOKUP(D33,Clientes_PDV!$A$2:$J$250,4,FALSE),"")</f>
        <v>Mundo del Vino Escuela Militar</v>
      </c>
      <c r="H33" s="18" t="s">
        <v>323</v>
      </c>
      <c r="I33" s="22" t="str">
        <f>IFERROR(VLOOKUP(H33,Maestro_SKU!$A$2:$P$500,2,FALSE),"")</f>
        <v>Barra Peanut Boost unidad</v>
      </c>
      <c r="J33" s="27">
        <v>20</v>
      </c>
      <c r="K33" s="19">
        <v>768</v>
      </c>
      <c r="L33" s="23">
        <f t="shared" si="0"/>
        <v>15360</v>
      </c>
      <c r="M33" s="23">
        <f>IF(L33="","",L33*Inicio!$B$13)</f>
        <v>2918.4</v>
      </c>
      <c r="N33" s="23">
        <f t="shared" si="1"/>
        <v>18278.400000000001</v>
      </c>
      <c r="O33" s="26">
        <v>46184</v>
      </c>
      <c r="P33" s="18" t="s">
        <v>40</v>
      </c>
      <c r="Q33" s="19">
        <v>18278.400000000001</v>
      </c>
      <c r="R33" s="23">
        <f t="shared" si="2"/>
        <v>0</v>
      </c>
      <c r="S33" s="22" t="str">
        <f ca="1">IF(A33="","",IF(OR(P33="Pagada",R33=0),"Pagada",IF(O33&lt;TODAY(),"Vencida",IF(O33&lt;=TODAY()+Inicio!$B$19,"Próxima a vencer","Vigente"))))</f>
        <v>Pagada</v>
      </c>
      <c r="T33" s="18"/>
      <c r="U33" s="37">
        <f t="shared" si="3"/>
        <v>2026</v>
      </c>
      <c r="V33" s="37">
        <f t="shared" si="4"/>
        <v>6</v>
      </c>
      <c r="W33" s="37">
        <f t="shared" si="5"/>
        <v>11</v>
      </c>
      <c r="X33" s="37" t="str">
        <f t="shared" si="6"/>
        <v>2026-06</v>
      </c>
      <c r="Y33" s="37">
        <f>IF(OR($H33="",$J33=""),"",$J33*IFERROR(VLOOKUP($H33,Maestro_SKU!$A$2:$P$500,12,FALSE),1))</f>
        <v>20</v>
      </c>
      <c r="Z33" s="37" t="str">
        <f t="shared" ca="1" si="7"/>
        <v/>
      </c>
    </row>
    <row r="34" spans="1:26" ht="20" customHeight="1" x14ac:dyDescent="0.35">
      <c r="A34" s="18" t="s">
        <v>373</v>
      </c>
      <c r="B34" s="26">
        <v>46175</v>
      </c>
      <c r="C34" s="18" t="s">
        <v>374</v>
      </c>
      <c r="D34" s="18" t="s">
        <v>259</v>
      </c>
      <c r="E34" s="22" t="str">
        <f>IFERROR(VLOOKUP(D34,Clientes_PDV!$A$2:$J$250,2,FALSE),"")</f>
        <v>Aldea Nativa</v>
      </c>
      <c r="F34" s="22" t="str">
        <f>IFERROR(VLOOKUP(D34,Clientes_PDV!$A$2:$J$250,3,FALSE),"")</f>
        <v>Especializadas</v>
      </c>
      <c r="G34" s="22" t="str">
        <f>IFERROR(VLOOKUP(D34,Clientes_PDV!$A$2:$J$250,4,FALSE),"")</f>
        <v>Aldea Nativa Providencia</v>
      </c>
      <c r="H34" s="18" t="s">
        <v>375</v>
      </c>
      <c r="I34" s="22" t="str">
        <f>IFERROR(VLOOKUP(H34,Maestro_SKU!$A$2:$P$500,2,FALSE),"")</f>
        <v>Estuche Berry Mix 4 unidades</v>
      </c>
      <c r="J34" s="27">
        <v>15</v>
      </c>
      <c r="K34" s="19">
        <v>2870</v>
      </c>
      <c r="L34" s="23">
        <f t="shared" si="0"/>
        <v>43050</v>
      </c>
      <c r="M34" s="23">
        <f>IF(L34="","",L34*Inicio!$B$13)</f>
        <v>8179.5</v>
      </c>
      <c r="N34" s="23">
        <f t="shared" si="1"/>
        <v>51229.5</v>
      </c>
      <c r="O34" s="26">
        <v>46175</v>
      </c>
      <c r="P34" s="18" t="s">
        <v>40</v>
      </c>
      <c r="Q34" s="19">
        <v>51229.5</v>
      </c>
      <c r="R34" s="23">
        <f t="shared" si="2"/>
        <v>0</v>
      </c>
      <c r="S34" s="22" t="str">
        <f ca="1">IF(A34="","",IF(OR(P34="Pagada",R34=0),"Pagada",IF(O34&lt;TODAY(),"Vencida",IF(O34&lt;=TODAY()+Inicio!$B$19,"Próxima a vencer","Vigente"))))</f>
        <v>Pagada</v>
      </c>
      <c r="T34" s="18"/>
      <c r="U34" s="37">
        <f t="shared" si="3"/>
        <v>2026</v>
      </c>
      <c r="V34" s="37">
        <f t="shared" si="4"/>
        <v>6</v>
      </c>
      <c r="W34" s="37">
        <f t="shared" si="5"/>
        <v>2</v>
      </c>
      <c r="X34" s="37" t="str">
        <f t="shared" si="6"/>
        <v>2026-06</v>
      </c>
      <c r="Y34" s="37">
        <f>IF(OR($H34="",$J34=""),"",$J34*IFERROR(VLOOKUP($H34,Maestro_SKU!$A$2:$P$500,12,FALSE),1))</f>
        <v>60</v>
      </c>
      <c r="Z34" s="37" t="str">
        <f t="shared" ca="1" si="7"/>
        <v/>
      </c>
    </row>
    <row r="35" spans="1:26" ht="20" customHeight="1" x14ac:dyDescent="0.35">
      <c r="A35" s="18" t="s">
        <v>376</v>
      </c>
      <c r="B35" s="26">
        <v>46163</v>
      </c>
      <c r="C35" s="18" t="s">
        <v>377</v>
      </c>
      <c r="D35" s="18" t="s">
        <v>259</v>
      </c>
      <c r="E35" s="22" t="str">
        <f>IFERROR(VLOOKUP(D35,Clientes_PDV!$A$2:$J$250,2,FALSE),"")</f>
        <v>Aldea Nativa</v>
      </c>
      <c r="F35" s="22" t="str">
        <f>IFERROR(VLOOKUP(D35,Clientes_PDV!$A$2:$J$250,3,FALSE),"")</f>
        <v>Especializadas</v>
      </c>
      <c r="G35" s="22" t="str">
        <f>IFERROR(VLOOKUP(D35,Clientes_PDV!$A$2:$J$250,4,FALSE),"")</f>
        <v>Aldea Nativa Providencia</v>
      </c>
      <c r="H35" s="18" t="s">
        <v>328</v>
      </c>
      <c r="I35" s="22" t="str">
        <f>IFERROR(VLOOKUP(H35,Maestro_SKU!$A$2:$P$500,2,FALSE),"")</f>
        <v>Caja master Berry Mix 24 unidades</v>
      </c>
      <c r="J35" s="27">
        <v>15</v>
      </c>
      <c r="K35" s="19">
        <v>23304</v>
      </c>
      <c r="L35" s="23">
        <f t="shared" si="0"/>
        <v>349560</v>
      </c>
      <c r="M35" s="23">
        <f>IF(L35="","",L35*Inicio!$B$13)</f>
        <v>66416.399999999994</v>
      </c>
      <c r="N35" s="23">
        <f t="shared" si="1"/>
        <v>415976.4</v>
      </c>
      <c r="O35" s="26">
        <v>46178</v>
      </c>
      <c r="P35" s="18" t="s">
        <v>40</v>
      </c>
      <c r="Q35" s="19">
        <v>415976.4</v>
      </c>
      <c r="R35" s="23">
        <f t="shared" si="2"/>
        <v>0</v>
      </c>
      <c r="S35" s="22" t="str">
        <f ca="1">IF(A35="","",IF(OR(P35="Pagada",R35=0),"Pagada",IF(O35&lt;TODAY(),"Vencida",IF(O35&lt;=TODAY()+Inicio!$B$19,"Próxima a vencer","Vigente"))))</f>
        <v>Pagada</v>
      </c>
      <c r="T35" s="18"/>
      <c r="U35" s="37">
        <f t="shared" si="3"/>
        <v>2026</v>
      </c>
      <c r="V35" s="37">
        <f t="shared" si="4"/>
        <v>5</v>
      </c>
      <c r="W35" s="37">
        <f t="shared" si="5"/>
        <v>21</v>
      </c>
      <c r="X35" s="37" t="str">
        <f t="shared" si="6"/>
        <v>2026-05</v>
      </c>
      <c r="Y35" s="37">
        <f>IF(OR($H35="",$J35=""),"",$J35*IFERROR(VLOOKUP($H35,Maestro_SKU!$A$2:$P$500,12,FALSE),1))</f>
        <v>360</v>
      </c>
      <c r="Z35" s="37" t="str">
        <f t="shared" ca="1" si="7"/>
        <v/>
      </c>
    </row>
    <row r="36" spans="1:26" ht="20" customHeight="1" x14ac:dyDescent="0.35">
      <c r="A36" s="18" t="s">
        <v>378</v>
      </c>
      <c r="B36" s="26">
        <v>46180</v>
      </c>
      <c r="C36" s="18" t="s">
        <v>379</v>
      </c>
      <c r="D36" s="18" t="s">
        <v>259</v>
      </c>
      <c r="E36" s="22" t="str">
        <f>IFERROR(VLOOKUP(D36,Clientes_PDV!$A$2:$J$250,2,FALSE),"")</f>
        <v>Aldea Nativa</v>
      </c>
      <c r="F36" s="22" t="str">
        <f>IFERROR(VLOOKUP(D36,Clientes_PDV!$A$2:$J$250,3,FALSE),"")</f>
        <v>Especializadas</v>
      </c>
      <c r="G36" s="22" t="str">
        <f>IFERROR(VLOOKUP(D36,Clientes_PDV!$A$2:$J$250,4,FALSE),"")</f>
        <v>Aldea Nativa Providencia</v>
      </c>
      <c r="H36" s="18" t="s">
        <v>306</v>
      </c>
      <c r="I36" s="22" t="str">
        <f>IFERROR(VLOOKUP(H36,Maestro_SKU!$A$2:$P$500,2,FALSE),"")</f>
        <v>Barra Cacao Crispy unidad</v>
      </c>
      <c r="J36" s="27">
        <v>4</v>
      </c>
      <c r="K36" s="19">
        <v>1120</v>
      </c>
      <c r="L36" s="23">
        <f t="shared" si="0"/>
        <v>4480</v>
      </c>
      <c r="M36" s="23">
        <f>IF(L36="","",L36*Inicio!$B$13)</f>
        <v>851.2</v>
      </c>
      <c r="N36" s="23">
        <f t="shared" si="1"/>
        <v>5331.2</v>
      </c>
      <c r="O36" s="26">
        <v>46210</v>
      </c>
      <c r="P36" s="18" t="s">
        <v>40</v>
      </c>
      <c r="Q36" s="19">
        <v>5331.2</v>
      </c>
      <c r="R36" s="23">
        <f t="shared" si="2"/>
        <v>0</v>
      </c>
      <c r="S36" s="22" t="str">
        <f ca="1">IF(A36="","",IF(OR(P36="Pagada",R36=0),"Pagada",IF(O36&lt;TODAY(),"Vencida",IF(O36&lt;=TODAY()+Inicio!$B$19,"Próxima a vencer","Vigente"))))</f>
        <v>Pagada</v>
      </c>
      <c r="T36" s="18"/>
      <c r="U36" s="37">
        <f t="shared" si="3"/>
        <v>2026</v>
      </c>
      <c r="V36" s="37">
        <f t="shared" si="4"/>
        <v>6</v>
      </c>
      <c r="W36" s="37">
        <f t="shared" si="5"/>
        <v>7</v>
      </c>
      <c r="X36" s="37" t="str">
        <f t="shared" si="6"/>
        <v>2026-06</v>
      </c>
      <c r="Y36" s="37">
        <f>IF(OR($H36="",$J36=""),"",$J36*IFERROR(VLOOKUP($H36,Maestro_SKU!$A$2:$P$500,12,FALSE),1))</f>
        <v>4</v>
      </c>
      <c r="Z36" s="37" t="str">
        <f t="shared" ca="1" si="7"/>
        <v/>
      </c>
    </row>
    <row r="37" spans="1:26" ht="20" customHeight="1" x14ac:dyDescent="0.35">
      <c r="A37" s="18" t="s">
        <v>380</v>
      </c>
      <c r="B37" s="26">
        <v>46184</v>
      </c>
      <c r="C37" s="18" t="s">
        <v>381</v>
      </c>
      <c r="D37" s="18" t="s">
        <v>267</v>
      </c>
      <c r="E37" s="22" t="str">
        <f>IFERROR(VLOOKUP(D37,Clientes_PDV!$A$2:$J$250,2,FALSE),"")</f>
        <v>Farmacia Ahumada</v>
      </c>
      <c r="F37" s="22" t="str">
        <f>IFERROR(VLOOKUP(D37,Clientes_PDV!$A$2:$J$250,3,FALSE),"")</f>
        <v>Farmacias</v>
      </c>
      <c r="G37" s="22" t="str">
        <f>IFERROR(VLOOKUP(D37,Clientes_PDV!$A$2:$J$250,4,FALSE),"")</f>
        <v>Ahumada Los Dominicos</v>
      </c>
      <c r="H37" s="18" t="s">
        <v>309</v>
      </c>
      <c r="I37" s="22" t="str">
        <f>IFERROR(VLOOKUP(H37,Maestro_SKU!$A$2:$P$500,2,FALSE),"")</f>
        <v>Estuche Cacao Crispy 4 unidades</v>
      </c>
      <c r="J37" s="27">
        <v>4</v>
      </c>
      <c r="K37" s="19">
        <v>3246</v>
      </c>
      <c r="L37" s="23">
        <f t="shared" si="0"/>
        <v>12984</v>
      </c>
      <c r="M37" s="23">
        <f>IF(L37="","",L37*Inicio!$B$13)</f>
        <v>2466.96</v>
      </c>
      <c r="N37" s="23">
        <f t="shared" si="1"/>
        <v>15450.96</v>
      </c>
      <c r="O37" s="26">
        <v>46229</v>
      </c>
      <c r="P37" s="18" t="s">
        <v>32</v>
      </c>
      <c r="Q37" s="19">
        <v>0</v>
      </c>
      <c r="R37" s="23">
        <f t="shared" si="2"/>
        <v>15450.96</v>
      </c>
      <c r="S37" s="22" t="str">
        <f ca="1">IF(A37="","",IF(OR(P37="Pagada",R37=0),"Pagada",IF(O37&lt;TODAY(),"Vencida",IF(O37&lt;=TODAY()+Inicio!$B$19,"Próxima a vencer","Vigente"))))</f>
        <v>Vigente</v>
      </c>
      <c r="T37" s="18"/>
      <c r="U37" s="37">
        <f t="shared" si="3"/>
        <v>2026</v>
      </c>
      <c r="V37" s="37">
        <f t="shared" si="4"/>
        <v>6</v>
      </c>
      <c r="W37" s="37">
        <f t="shared" si="5"/>
        <v>11</v>
      </c>
      <c r="X37" s="37" t="str">
        <f t="shared" si="6"/>
        <v>2026-06</v>
      </c>
      <c r="Y37" s="37">
        <f>IF(OR($H37="",$J37=""),"",$J37*IFERROR(VLOOKUP($H37,Maestro_SKU!$A$2:$P$500,12,FALSE),1))</f>
        <v>16</v>
      </c>
      <c r="Z37" s="37">
        <f t="shared" ca="1" si="7"/>
        <v>16</v>
      </c>
    </row>
    <row r="38" spans="1:26" ht="20" customHeight="1" x14ac:dyDescent="0.35">
      <c r="A38" s="18" t="s">
        <v>382</v>
      </c>
      <c r="B38" s="26">
        <v>46160</v>
      </c>
      <c r="C38" s="18" t="s">
        <v>383</v>
      </c>
      <c r="D38" s="18" t="s">
        <v>279</v>
      </c>
      <c r="E38" s="22" t="str">
        <f>IFERROR(VLOOKUP(D38,Clientes_PDV!$A$2:$J$250,2,FALSE),"")</f>
        <v>Mundo del Vino</v>
      </c>
      <c r="F38" s="22" t="str">
        <f>IFERROR(VLOOKUP(D38,Clientes_PDV!$A$2:$J$250,3,FALSE),"")</f>
        <v>Especializadas</v>
      </c>
      <c r="G38" s="22" t="str">
        <f>IFERROR(VLOOKUP(D38,Clientes_PDV!$A$2:$J$250,4,FALSE),"")</f>
        <v>Mundo del Vino Escuela Militar</v>
      </c>
      <c r="H38" s="18" t="s">
        <v>315</v>
      </c>
      <c r="I38" s="22" t="str">
        <f>IFERROR(VLOOKUP(H38,Maestro_SKU!$A$2:$P$500,2,FALSE),"")</f>
        <v>Caja master Peanut Boost 24 unidades</v>
      </c>
      <c r="J38" s="27">
        <v>8</v>
      </c>
      <c r="K38" s="19">
        <v>20700</v>
      </c>
      <c r="L38" s="23">
        <f t="shared" si="0"/>
        <v>165600</v>
      </c>
      <c r="M38" s="23">
        <f>IF(L38="","",L38*Inicio!$B$13)</f>
        <v>31464</v>
      </c>
      <c r="N38" s="23">
        <f t="shared" si="1"/>
        <v>197064</v>
      </c>
      <c r="O38" s="26">
        <v>46190</v>
      </c>
      <c r="P38" s="18" t="s">
        <v>56</v>
      </c>
      <c r="Q38" s="19">
        <v>0</v>
      </c>
      <c r="R38" s="23">
        <f t="shared" si="2"/>
        <v>197064</v>
      </c>
      <c r="S38" s="22" t="str">
        <f ca="1">IF(A38="","",IF(OR(P38="Pagada",R38=0),"Pagada",IF(O38&lt;TODAY(),"Vencida",IF(O38&lt;=TODAY()+Inicio!$B$19,"Próxima a vencer","Vigente"))))</f>
        <v>Vencida</v>
      </c>
      <c r="T38" s="18"/>
      <c r="U38" s="37">
        <f t="shared" si="3"/>
        <v>2026</v>
      </c>
      <c r="V38" s="37">
        <f t="shared" si="4"/>
        <v>5</v>
      </c>
      <c r="W38" s="37">
        <f t="shared" si="5"/>
        <v>18</v>
      </c>
      <c r="X38" s="37" t="str">
        <f t="shared" si="6"/>
        <v>2026-05</v>
      </c>
      <c r="Y38" s="37">
        <f>IF(OR($H38="",$J38=""),"",$J38*IFERROR(VLOOKUP($H38,Maestro_SKU!$A$2:$P$500,12,FALSE),1))</f>
        <v>192</v>
      </c>
      <c r="Z38" s="37">
        <f t="shared" ca="1" si="7"/>
        <v>-23</v>
      </c>
    </row>
    <row r="39" spans="1:26" ht="20" customHeight="1" x14ac:dyDescent="0.35">
      <c r="A39" s="18" t="s">
        <v>384</v>
      </c>
      <c r="B39" s="26">
        <v>46171</v>
      </c>
      <c r="C39" s="18" t="s">
        <v>385</v>
      </c>
      <c r="D39" s="18" t="s">
        <v>270</v>
      </c>
      <c r="E39" s="22" t="str">
        <f>IFERROR(VLOOKUP(D39,Clientes_PDV!$A$2:$J$250,2,FALSE),"")</f>
        <v>Cruz Verde</v>
      </c>
      <c r="F39" s="22" t="str">
        <f>IFERROR(VLOOKUP(D39,Clientes_PDV!$A$2:$J$250,3,FALSE),"")</f>
        <v>Farmacias</v>
      </c>
      <c r="G39" s="22" t="str">
        <f>IFERROR(VLOOKUP(D39,Clientes_PDV!$A$2:$J$250,4,FALSE),"")</f>
        <v>Cruz Verde Vitacura</v>
      </c>
      <c r="H39" s="18" t="s">
        <v>315</v>
      </c>
      <c r="I39" s="22" t="str">
        <f>IFERROR(VLOOKUP(H39,Maestro_SKU!$A$2:$P$500,2,FALSE),"")</f>
        <v>Caja master Peanut Boost 24 unidades</v>
      </c>
      <c r="J39" s="27">
        <v>20</v>
      </c>
      <c r="K39" s="19">
        <v>17063</v>
      </c>
      <c r="L39" s="23">
        <f t="shared" si="0"/>
        <v>341260</v>
      </c>
      <c r="M39" s="23">
        <f>IF(L39="","",L39*Inicio!$B$13)</f>
        <v>64839.4</v>
      </c>
      <c r="N39" s="23">
        <f t="shared" si="1"/>
        <v>406099.4</v>
      </c>
      <c r="O39" s="26">
        <v>46186</v>
      </c>
      <c r="P39" s="18" t="s">
        <v>40</v>
      </c>
      <c r="Q39" s="19">
        <v>406099.4</v>
      </c>
      <c r="R39" s="23">
        <f t="shared" si="2"/>
        <v>0</v>
      </c>
      <c r="S39" s="22" t="str">
        <f ca="1">IF(A39="","",IF(OR(P39="Pagada",R39=0),"Pagada",IF(O39&lt;TODAY(),"Vencida",IF(O39&lt;=TODAY()+Inicio!$B$19,"Próxima a vencer","Vigente"))))</f>
        <v>Pagada</v>
      </c>
      <c r="T39" s="18"/>
      <c r="U39" s="37">
        <f t="shared" si="3"/>
        <v>2026</v>
      </c>
      <c r="V39" s="37">
        <f t="shared" si="4"/>
        <v>5</v>
      </c>
      <c r="W39" s="37">
        <f t="shared" si="5"/>
        <v>29</v>
      </c>
      <c r="X39" s="37" t="str">
        <f t="shared" si="6"/>
        <v>2026-05</v>
      </c>
      <c r="Y39" s="37">
        <f>IF(OR($H39="",$J39=""),"",$J39*IFERROR(VLOOKUP($H39,Maestro_SKU!$A$2:$P$500,12,FALSE),1))</f>
        <v>480</v>
      </c>
      <c r="Z39" s="37" t="str">
        <f t="shared" ca="1" si="7"/>
        <v/>
      </c>
    </row>
    <row r="40" spans="1:26" ht="20" customHeight="1" x14ac:dyDescent="0.35">
      <c r="A40" s="18" t="s">
        <v>386</v>
      </c>
      <c r="B40" s="26">
        <v>46209</v>
      </c>
      <c r="C40" s="18" t="s">
        <v>387</v>
      </c>
      <c r="D40" s="18" t="s">
        <v>251</v>
      </c>
      <c r="E40" s="22" t="str">
        <f>IFERROR(VLOOKUP(D40,Clientes_PDV!$A$2:$J$250,2,FALSE),"")</f>
        <v>Jumbo</v>
      </c>
      <c r="F40" s="22" t="str">
        <f>IFERROR(VLOOKUP(D40,Clientes_PDV!$A$2:$J$250,3,FALSE),"")</f>
        <v>Retail</v>
      </c>
      <c r="G40" s="22" t="str">
        <f>IFERROR(VLOOKUP(D40,Clientes_PDV!$A$2:$J$250,4,FALSE),"")</f>
        <v>Jumbo La Reina</v>
      </c>
      <c r="H40" s="18" t="s">
        <v>375</v>
      </c>
      <c r="I40" s="22" t="str">
        <f>IFERROR(VLOOKUP(H40,Maestro_SKU!$A$2:$P$500,2,FALSE),"")</f>
        <v>Estuche Berry Mix 4 unidades</v>
      </c>
      <c r="J40" s="27">
        <v>20</v>
      </c>
      <c r="K40" s="19">
        <v>3311</v>
      </c>
      <c r="L40" s="23">
        <f t="shared" si="0"/>
        <v>66220</v>
      </c>
      <c r="M40" s="23">
        <f>IF(L40="","",L40*Inicio!$B$13)</f>
        <v>12581.8</v>
      </c>
      <c r="N40" s="23">
        <f t="shared" si="1"/>
        <v>78801.8</v>
      </c>
      <c r="O40" s="26">
        <v>46209</v>
      </c>
      <c r="P40" s="18" t="s">
        <v>40</v>
      </c>
      <c r="Q40" s="19">
        <v>78801.8</v>
      </c>
      <c r="R40" s="23">
        <f t="shared" si="2"/>
        <v>0</v>
      </c>
      <c r="S40" s="22" t="str">
        <f ca="1">IF(A40="","",IF(OR(P40="Pagada",R40=0),"Pagada",IF(O40&lt;TODAY(),"Vencida",IF(O40&lt;=TODAY()+Inicio!$B$19,"Próxima a vencer","Vigente"))))</f>
        <v>Pagada</v>
      </c>
      <c r="T40" s="18"/>
      <c r="U40" s="37">
        <f t="shared" si="3"/>
        <v>2026</v>
      </c>
      <c r="V40" s="37">
        <f t="shared" si="4"/>
        <v>7</v>
      </c>
      <c r="W40" s="37">
        <f t="shared" si="5"/>
        <v>6</v>
      </c>
      <c r="X40" s="37" t="str">
        <f t="shared" si="6"/>
        <v>2026-07</v>
      </c>
      <c r="Y40" s="37">
        <f>IF(OR($H40="",$J40=""),"",$J40*IFERROR(VLOOKUP($H40,Maestro_SKU!$A$2:$P$500,12,FALSE),1))</f>
        <v>80</v>
      </c>
      <c r="Z40" s="37" t="str">
        <f t="shared" ca="1" si="7"/>
        <v/>
      </c>
    </row>
    <row r="41" spans="1:26" ht="20" customHeight="1" x14ac:dyDescent="0.35">
      <c r="A41" s="18" t="s">
        <v>388</v>
      </c>
      <c r="B41" s="26">
        <v>46189</v>
      </c>
      <c r="C41" s="18" t="s">
        <v>389</v>
      </c>
      <c r="D41" s="18" t="s">
        <v>254</v>
      </c>
      <c r="E41" s="22" t="str">
        <f>IFERROR(VLOOKUP(D41,Clientes_PDV!$A$2:$J$250,2,FALSE),"")</f>
        <v>Get It</v>
      </c>
      <c r="F41" s="22" t="str">
        <f>IFERROR(VLOOKUP(D41,Clientes_PDV!$A$2:$J$250,3,FALSE),"")</f>
        <v>Conveniencia</v>
      </c>
      <c r="G41" s="22" t="str">
        <f>IFERROR(VLOOKUP(D41,Clientes_PDV!$A$2:$J$250,4,FALSE),"")</f>
        <v>Get It Apoquindo</v>
      </c>
      <c r="H41" s="18" t="s">
        <v>303</v>
      </c>
      <c r="I41" s="22" t="str">
        <f>IFERROR(VLOOKUP(H41,Maestro_SKU!$A$2:$P$500,2,FALSE),"")</f>
        <v>Barra Berry Mix unidad</v>
      </c>
      <c r="J41" s="27">
        <v>8</v>
      </c>
      <c r="K41" s="19">
        <v>715</v>
      </c>
      <c r="L41" s="23">
        <f t="shared" si="0"/>
        <v>5720</v>
      </c>
      <c r="M41" s="23">
        <f>IF(L41="","",L41*Inicio!$B$13)</f>
        <v>1086.8</v>
      </c>
      <c r="N41" s="23">
        <f t="shared" si="1"/>
        <v>6806.8</v>
      </c>
      <c r="O41" s="26">
        <v>46204</v>
      </c>
      <c r="P41" s="18" t="s">
        <v>40</v>
      </c>
      <c r="Q41" s="19">
        <v>6806.7999999999993</v>
      </c>
      <c r="R41" s="23">
        <f t="shared" si="2"/>
        <v>9.0949470177292824E-13</v>
      </c>
      <c r="S41" s="22" t="str">
        <f ca="1">IF(A41="","",IF(OR(P41="Pagada",R41=0),"Pagada",IF(O41&lt;TODAY(),"Vencida",IF(O41&lt;=TODAY()+Inicio!$B$19,"Próxima a vencer","Vigente"))))</f>
        <v>Pagada</v>
      </c>
      <c r="T41" s="18"/>
      <c r="U41" s="37">
        <f t="shared" si="3"/>
        <v>2026</v>
      </c>
      <c r="V41" s="37">
        <f t="shared" si="4"/>
        <v>6</v>
      </c>
      <c r="W41" s="37">
        <f t="shared" si="5"/>
        <v>16</v>
      </c>
      <c r="X41" s="37" t="str">
        <f t="shared" si="6"/>
        <v>2026-06</v>
      </c>
      <c r="Y41" s="37">
        <f>IF(OR($H41="",$J41=""),"",$J41*IFERROR(VLOOKUP($H41,Maestro_SKU!$A$2:$P$500,12,FALSE),1))</f>
        <v>8</v>
      </c>
      <c r="Z41" s="37" t="str">
        <f t="shared" ca="1" si="7"/>
        <v/>
      </c>
    </row>
    <row r="42" spans="1:26" ht="20" customHeight="1" x14ac:dyDescent="0.35">
      <c r="A42" s="18" t="s">
        <v>390</v>
      </c>
      <c r="B42" s="26">
        <v>46200</v>
      </c>
      <c r="C42" s="18" t="s">
        <v>391</v>
      </c>
      <c r="D42" s="18" t="s">
        <v>242</v>
      </c>
      <c r="E42" s="22" t="str">
        <f>IFERROR(VLOOKUP(D42,Clientes_PDV!$A$2:$J$250,2,FALSE),"")</f>
        <v>Jumbo</v>
      </c>
      <c r="F42" s="22" t="str">
        <f>IFERROR(VLOOKUP(D42,Clientes_PDV!$A$2:$J$250,3,FALSE),"")</f>
        <v>Retail</v>
      </c>
      <c r="G42" s="22" t="str">
        <f>IFERROR(VLOOKUP(D42,Clientes_PDV!$A$2:$J$250,4,FALSE),"")</f>
        <v>Jumbo Bilbao</v>
      </c>
      <c r="H42" s="18" t="s">
        <v>328</v>
      </c>
      <c r="I42" s="22" t="str">
        <f>IFERROR(VLOOKUP(H42,Maestro_SKU!$A$2:$P$500,2,FALSE),"")</f>
        <v>Caja master Berry Mix 24 unidades</v>
      </c>
      <c r="J42" s="27">
        <v>20</v>
      </c>
      <c r="K42" s="19">
        <v>16384</v>
      </c>
      <c r="L42" s="23">
        <f t="shared" si="0"/>
        <v>327680</v>
      </c>
      <c r="M42" s="23">
        <f>IF(L42="","",L42*Inicio!$B$13)</f>
        <v>62259.199999999997</v>
      </c>
      <c r="N42" s="23">
        <f t="shared" si="1"/>
        <v>389939.20000000001</v>
      </c>
      <c r="O42" s="26">
        <v>46245</v>
      </c>
      <c r="P42" s="18" t="s">
        <v>40</v>
      </c>
      <c r="Q42" s="19">
        <v>389939.20000000001</v>
      </c>
      <c r="R42" s="23">
        <f t="shared" si="2"/>
        <v>0</v>
      </c>
      <c r="S42" s="22" t="str">
        <f ca="1">IF(A42="","",IF(OR(P42="Pagada",R42=0),"Pagada",IF(O42&lt;TODAY(),"Vencida",IF(O42&lt;=TODAY()+Inicio!$B$19,"Próxima a vencer","Vigente"))))</f>
        <v>Pagada</v>
      </c>
      <c r="T42" s="18"/>
      <c r="U42" s="37">
        <f t="shared" si="3"/>
        <v>2026</v>
      </c>
      <c r="V42" s="37">
        <f t="shared" si="4"/>
        <v>6</v>
      </c>
      <c r="W42" s="37">
        <f t="shared" si="5"/>
        <v>27</v>
      </c>
      <c r="X42" s="37" t="str">
        <f t="shared" si="6"/>
        <v>2026-06</v>
      </c>
      <c r="Y42" s="37">
        <f>IF(OR($H42="",$J42=""),"",$J42*IFERROR(VLOOKUP($H42,Maestro_SKU!$A$2:$P$500,12,FALSE),1))</f>
        <v>480</v>
      </c>
      <c r="Z42" s="37" t="str">
        <f t="shared" ca="1" si="7"/>
        <v/>
      </c>
    </row>
    <row r="43" spans="1:26" ht="20" customHeight="1" x14ac:dyDescent="0.35">
      <c r="A43" s="18" t="s">
        <v>392</v>
      </c>
      <c r="B43" s="26">
        <v>46156</v>
      </c>
      <c r="C43" s="18" t="s">
        <v>393</v>
      </c>
      <c r="D43" s="18" t="s">
        <v>263</v>
      </c>
      <c r="E43" s="22" t="str">
        <f>IFERROR(VLOOKUP(D43,Clientes_PDV!$A$2:$J$250,2,FALSE),"")</f>
        <v>All Nutrition</v>
      </c>
      <c r="F43" s="22" t="str">
        <f>IFERROR(VLOOKUP(D43,Clientes_PDV!$A$2:$J$250,3,FALSE),"")</f>
        <v>Especializadas</v>
      </c>
      <c r="G43" s="22" t="str">
        <f>IFERROR(VLOOKUP(D43,Clientes_PDV!$A$2:$J$250,4,FALSE),"")</f>
        <v>All Nutrition La Reina</v>
      </c>
      <c r="H43" s="18" t="s">
        <v>315</v>
      </c>
      <c r="I43" s="22" t="str">
        <f>IFERROR(VLOOKUP(H43,Maestro_SKU!$A$2:$P$500,2,FALSE),"")</f>
        <v>Caja master Peanut Boost 24 unidades</v>
      </c>
      <c r="J43" s="27">
        <v>15</v>
      </c>
      <c r="K43" s="19">
        <v>15921</v>
      </c>
      <c r="L43" s="23">
        <f t="shared" si="0"/>
        <v>238815</v>
      </c>
      <c r="M43" s="23">
        <f>IF(L43="","",L43*Inicio!$B$13)</f>
        <v>45374.85</v>
      </c>
      <c r="N43" s="23">
        <f t="shared" si="1"/>
        <v>284189.84999999998</v>
      </c>
      <c r="O43" s="26">
        <v>46171</v>
      </c>
      <c r="P43" s="18" t="s">
        <v>32</v>
      </c>
      <c r="Q43" s="19">
        <v>0</v>
      </c>
      <c r="R43" s="23">
        <f t="shared" si="2"/>
        <v>284189.84999999998</v>
      </c>
      <c r="S43" s="22" t="str">
        <f ca="1">IF(A43="","",IF(OR(P43="Pagada",R43=0),"Pagada",IF(O43&lt;TODAY(),"Vencida",IF(O43&lt;=TODAY()+Inicio!$B$19,"Próxima a vencer","Vigente"))))</f>
        <v>Vencida</v>
      </c>
      <c r="T43" s="18"/>
      <c r="U43" s="37">
        <f t="shared" si="3"/>
        <v>2026</v>
      </c>
      <c r="V43" s="37">
        <f t="shared" si="4"/>
        <v>5</v>
      </c>
      <c r="W43" s="37">
        <f t="shared" si="5"/>
        <v>14</v>
      </c>
      <c r="X43" s="37" t="str">
        <f t="shared" si="6"/>
        <v>2026-05</v>
      </c>
      <c r="Y43" s="37">
        <f>IF(OR($H43="",$J43=""),"",$J43*IFERROR(VLOOKUP($H43,Maestro_SKU!$A$2:$P$500,12,FALSE),1))</f>
        <v>360</v>
      </c>
      <c r="Z43" s="37">
        <f t="shared" ca="1" si="7"/>
        <v>-42</v>
      </c>
    </row>
    <row r="44" spans="1:26" ht="20" customHeight="1" x14ac:dyDescent="0.35">
      <c r="A44" s="18" t="s">
        <v>394</v>
      </c>
      <c r="B44" s="26">
        <v>46160</v>
      </c>
      <c r="C44" s="18" t="s">
        <v>395</v>
      </c>
      <c r="D44" s="18" t="s">
        <v>263</v>
      </c>
      <c r="E44" s="22" t="str">
        <f>IFERROR(VLOOKUP(D44,Clientes_PDV!$A$2:$J$250,2,FALSE),"")</f>
        <v>All Nutrition</v>
      </c>
      <c r="F44" s="22" t="str">
        <f>IFERROR(VLOOKUP(D44,Clientes_PDV!$A$2:$J$250,3,FALSE),"")</f>
        <v>Especializadas</v>
      </c>
      <c r="G44" s="22" t="str">
        <f>IFERROR(VLOOKUP(D44,Clientes_PDV!$A$2:$J$250,4,FALSE),"")</f>
        <v>All Nutrition La Reina</v>
      </c>
      <c r="H44" s="18" t="s">
        <v>306</v>
      </c>
      <c r="I44" s="22" t="str">
        <f>IFERROR(VLOOKUP(H44,Maestro_SKU!$A$2:$P$500,2,FALSE),"")</f>
        <v>Barra Cacao Crispy unidad</v>
      </c>
      <c r="J44" s="27">
        <v>20</v>
      </c>
      <c r="K44" s="19">
        <v>688</v>
      </c>
      <c r="L44" s="23">
        <f t="shared" si="0"/>
        <v>13760</v>
      </c>
      <c r="M44" s="23">
        <f>IF(L44="","",L44*Inicio!$B$13)</f>
        <v>2614.4</v>
      </c>
      <c r="N44" s="23">
        <f t="shared" si="1"/>
        <v>16374.4</v>
      </c>
      <c r="O44" s="26">
        <v>46160</v>
      </c>
      <c r="P44" s="18" t="s">
        <v>40</v>
      </c>
      <c r="Q44" s="19">
        <v>16374.4</v>
      </c>
      <c r="R44" s="23">
        <f t="shared" si="2"/>
        <v>0</v>
      </c>
      <c r="S44" s="22" t="str">
        <f ca="1">IF(A44="","",IF(OR(P44="Pagada",R44=0),"Pagada",IF(O44&lt;TODAY(),"Vencida",IF(O44&lt;=TODAY()+Inicio!$B$19,"Próxima a vencer","Vigente"))))</f>
        <v>Pagada</v>
      </c>
      <c r="T44" s="18"/>
      <c r="U44" s="37">
        <f t="shared" si="3"/>
        <v>2026</v>
      </c>
      <c r="V44" s="37">
        <f t="shared" si="4"/>
        <v>5</v>
      </c>
      <c r="W44" s="37">
        <f t="shared" si="5"/>
        <v>18</v>
      </c>
      <c r="X44" s="37" t="str">
        <f t="shared" si="6"/>
        <v>2026-05</v>
      </c>
      <c r="Y44" s="37">
        <f>IF(OR($H44="",$J44=""),"",$J44*IFERROR(VLOOKUP($H44,Maestro_SKU!$A$2:$P$500,12,FALSE),1))</f>
        <v>20</v>
      </c>
      <c r="Z44" s="37" t="str">
        <f t="shared" ca="1" si="7"/>
        <v/>
      </c>
    </row>
    <row r="45" spans="1:26" ht="20" customHeight="1" x14ac:dyDescent="0.35">
      <c r="A45" s="18" t="s">
        <v>396</v>
      </c>
      <c r="B45" s="26">
        <v>46155</v>
      </c>
      <c r="C45" s="18" t="s">
        <v>397</v>
      </c>
      <c r="D45" s="18" t="s">
        <v>263</v>
      </c>
      <c r="E45" s="22" t="str">
        <f>IFERROR(VLOOKUP(D45,Clientes_PDV!$A$2:$J$250,2,FALSE),"")</f>
        <v>All Nutrition</v>
      </c>
      <c r="F45" s="22" t="str">
        <f>IFERROR(VLOOKUP(D45,Clientes_PDV!$A$2:$J$250,3,FALSE),"")</f>
        <v>Especializadas</v>
      </c>
      <c r="G45" s="22" t="str">
        <f>IFERROR(VLOOKUP(D45,Clientes_PDV!$A$2:$J$250,4,FALSE),"")</f>
        <v>All Nutrition La Reina</v>
      </c>
      <c r="H45" s="18" t="s">
        <v>312</v>
      </c>
      <c r="I45" s="22" t="str">
        <f>IFERROR(VLOOKUP(H45,Maestro_SKU!$A$2:$P$500,2,FALSE),"")</f>
        <v>Estuche Peanut Boost 4 unidades</v>
      </c>
      <c r="J45" s="27">
        <v>12</v>
      </c>
      <c r="K45" s="19">
        <v>3890</v>
      </c>
      <c r="L45" s="23">
        <f t="shared" si="0"/>
        <v>46680</v>
      </c>
      <c r="M45" s="23">
        <f>IF(L45="","",L45*Inicio!$B$13)</f>
        <v>8869.2000000000007</v>
      </c>
      <c r="N45" s="23">
        <f t="shared" si="1"/>
        <v>55549.2</v>
      </c>
      <c r="O45" s="26">
        <v>46155</v>
      </c>
      <c r="P45" s="18" t="s">
        <v>40</v>
      </c>
      <c r="Q45" s="19">
        <v>55549.2</v>
      </c>
      <c r="R45" s="23">
        <f t="shared" si="2"/>
        <v>0</v>
      </c>
      <c r="S45" s="22" t="str">
        <f ca="1">IF(A45="","",IF(OR(P45="Pagada",R45=0),"Pagada",IF(O45&lt;TODAY(),"Vencida",IF(O45&lt;=TODAY()+Inicio!$B$19,"Próxima a vencer","Vigente"))))</f>
        <v>Pagada</v>
      </c>
      <c r="T45" s="18"/>
      <c r="U45" s="37">
        <f t="shared" si="3"/>
        <v>2026</v>
      </c>
      <c r="V45" s="37">
        <f t="shared" si="4"/>
        <v>5</v>
      </c>
      <c r="W45" s="37">
        <f t="shared" si="5"/>
        <v>13</v>
      </c>
      <c r="X45" s="37" t="str">
        <f t="shared" si="6"/>
        <v>2026-05</v>
      </c>
      <c r="Y45" s="37">
        <f>IF(OR($H45="",$J45=""),"",$J45*IFERROR(VLOOKUP($H45,Maestro_SKU!$A$2:$P$500,12,FALSE),1))</f>
        <v>48</v>
      </c>
      <c r="Z45" s="37" t="str">
        <f t="shared" ca="1" si="7"/>
        <v/>
      </c>
    </row>
    <row r="46" spans="1:26" ht="20" customHeight="1" x14ac:dyDescent="0.35">
      <c r="A46" s="18" t="s">
        <v>398</v>
      </c>
      <c r="B46" s="26">
        <v>46170</v>
      </c>
      <c r="C46" s="18" t="s">
        <v>399</v>
      </c>
      <c r="D46" s="18" t="s">
        <v>270</v>
      </c>
      <c r="E46" s="22" t="str">
        <f>IFERROR(VLOOKUP(D46,Clientes_PDV!$A$2:$J$250,2,FALSE),"")</f>
        <v>Cruz Verde</v>
      </c>
      <c r="F46" s="22" t="str">
        <f>IFERROR(VLOOKUP(D46,Clientes_PDV!$A$2:$J$250,3,FALSE),"")</f>
        <v>Farmacias</v>
      </c>
      <c r="G46" s="22" t="str">
        <f>IFERROR(VLOOKUP(D46,Clientes_PDV!$A$2:$J$250,4,FALSE),"")</f>
        <v>Cruz Verde Vitacura</v>
      </c>
      <c r="H46" s="18" t="s">
        <v>315</v>
      </c>
      <c r="I46" s="22" t="str">
        <f>IFERROR(VLOOKUP(H46,Maestro_SKU!$A$2:$P$500,2,FALSE),"")</f>
        <v>Caja master Peanut Boost 24 unidades</v>
      </c>
      <c r="J46" s="27">
        <v>10</v>
      </c>
      <c r="K46" s="19">
        <v>22036</v>
      </c>
      <c r="L46" s="23">
        <f t="shared" si="0"/>
        <v>220360</v>
      </c>
      <c r="M46" s="23">
        <f>IF(L46="","",L46*Inicio!$B$13)</f>
        <v>41868.400000000001</v>
      </c>
      <c r="N46" s="23">
        <f t="shared" si="1"/>
        <v>262228.40000000002</v>
      </c>
      <c r="O46" s="26">
        <v>46185</v>
      </c>
      <c r="P46" s="18" t="s">
        <v>56</v>
      </c>
      <c r="Q46" s="19">
        <v>0</v>
      </c>
      <c r="R46" s="23">
        <f t="shared" si="2"/>
        <v>262228.40000000002</v>
      </c>
      <c r="S46" s="22" t="str">
        <f ca="1">IF(A46="","",IF(OR(P46="Pagada",R46=0),"Pagada",IF(O46&lt;TODAY(),"Vencida",IF(O46&lt;=TODAY()+Inicio!$B$19,"Próxima a vencer","Vigente"))))</f>
        <v>Vencida</v>
      </c>
      <c r="T46" s="18"/>
      <c r="U46" s="37">
        <f t="shared" si="3"/>
        <v>2026</v>
      </c>
      <c r="V46" s="37">
        <f t="shared" si="4"/>
        <v>5</v>
      </c>
      <c r="W46" s="37">
        <f t="shared" si="5"/>
        <v>28</v>
      </c>
      <c r="X46" s="37" t="str">
        <f t="shared" si="6"/>
        <v>2026-05</v>
      </c>
      <c r="Y46" s="37">
        <f>IF(OR($H46="",$J46=""),"",$J46*IFERROR(VLOOKUP($H46,Maestro_SKU!$A$2:$P$500,12,FALSE),1))</f>
        <v>240</v>
      </c>
      <c r="Z46" s="37">
        <f t="shared" ca="1" si="7"/>
        <v>-28</v>
      </c>
    </row>
    <row r="47" spans="1:26" ht="20" customHeight="1" x14ac:dyDescent="0.35">
      <c r="A47" s="18"/>
      <c r="B47" s="26"/>
      <c r="C47" s="18"/>
      <c r="D47" s="18"/>
      <c r="E47" s="22" t="str">
        <f>IFERROR(VLOOKUP(D47,Clientes_PDV!$A$2:$J$250,2,FALSE),"")</f>
        <v/>
      </c>
      <c r="F47" s="22" t="str">
        <f>IFERROR(VLOOKUP(D47,Clientes_PDV!$A$2:$J$250,3,FALSE),"")</f>
        <v/>
      </c>
      <c r="G47" s="22" t="str">
        <f>IFERROR(VLOOKUP(D47,Clientes_PDV!$A$2:$J$250,4,FALSE),"")</f>
        <v/>
      </c>
      <c r="H47" s="18"/>
      <c r="I47" s="22" t="str">
        <f>IFERROR(VLOOKUP(H47,Maestro_SKU!$A$2:$P$500,2,FALSE),"")</f>
        <v/>
      </c>
      <c r="J47" s="27"/>
      <c r="K47" s="19"/>
      <c r="L47" s="23" t="str">
        <f t="shared" si="0"/>
        <v/>
      </c>
      <c r="M47" s="23" t="str">
        <f>IF(L47="","",L47*Inicio!$B$13)</f>
        <v/>
      </c>
      <c r="N47" s="23" t="str">
        <f t="shared" si="1"/>
        <v/>
      </c>
      <c r="O47" s="26"/>
      <c r="P47" s="18"/>
      <c r="Q47" s="19"/>
      <c r="R47" s="23" t="str">
        <f t="shared" si="2"/>
        <v/>
      </c>
      <c r="S47" s="22" t="str">
        <f ca="1">IF(A47="","",IF(OR(P47="Pagada",R47=0),"Pagada",IF(O47&lt;TODAY(),"Vencida",IF(O47&lt;=TODAY()+Inicio!$B$19,"Próxima a vencer","Vigente"))))</f>
        <v/>
      </c>
      <c r="T47" s="18"/>
      <c r="U47" s="37" t="str">
        <f t="shared" si="3"/>
        <v/>
      </c>
      <c r="V47" s="37" t="str">
        <f t="shared" si="4"/>
        <v/>
      </c>
      <c r="W47" s="37" t="str">
        <f t="shared" si="5"/>
        <v/>
      </c>
      <c r="X47" s="37" t="str">
        <f t="shared" si="6"/>
        <v/>
      </c>
      <c r="Y47" s="37" t="str">
        <f>IF(OR($H47="",$J47=""),"",$J47*IFERROR(VLOOKUP($H47,Maestro_SKU!$A$2:$P$500,12,FALSE),1))</f>
        <v/>
      </c>
      <c r="Z47" s="37" t="str">
        <f t="shared" ca="1" si="7"/>
        <v/>
      </c>
    </row>
    <row r="48" spans="1:26" ht="20" customHeight="1" x14ac:dyDescent="0.35">
      <c r="A48" s="18"/>
      <c r="B48" s="26"/>
      <c r="C48" s="18"/>
      <c r="D48" s="18"/>
      <c r="E48" s="22" t="str">
        <f>IFERROR(VLOOKUP(D48,Clientes_PDV!$A$2:$J$250,2,FALSE),"")</f>
        <v/>
      </c>
      <c r="F48" s="22" t="str">
        <f>IFERROR(VLOOKUP(D48,Clientes_PDV!$A$2:$J$250,3,FALSE),"")</f>
        <v/>
      </c>
      <c r="G48" s="22" t="str">
        <f>IFERROR(VLOOKUP(D48,Clientes_PDV!$A$2:$J$250,4,FALSE),"")</f>
        <v/>
      </c>
      <c r="H48" s="18"/>
      <c r="I48" s="22" t="str">
        <f>IFERROR(VLOOKUP(H48,Maestro_SKU!$A$2:$P$500,2,FALSE),"")</f>
        <v/>
      </c>
      <c r="J48" s="27"/>
      <c r="K48" s="19"/>
      <c r="L48" s="23" t="str">
        <f t="shared" si="0"/>
        <v/>
      </c>
      <c r="M48" s="23" t="str">
        <f>IF(L48="","",L48*Inicio!$B$13)</f>
        <v/>
      </c>
      <c r="N48" s="23" t="str">
        <f t="shared" si="1"/>
        <v/>
      </c>
      <c r="O48" s="26"/>
      <c r="P48" s="18"/>
      <c r="Q48" s="19"/>
      <c r="R48" s="23" t="str">
        <f t="shared" si="2"/>
        <v/>
      </c>
      <c r="S48" s="22" t="str">
        <f ca="1">IF(A48="","",IF(OR(P48="Pagada",R48=0),"Pagada",IF(O48&lt;TODAY(),"Vencida",IF(O48&lt;=TODAY()+Inicio!$B$19,"Próxima a vencer","Vigente"))))</f>
        <v/>
      </c>
      <c r="T48" s="18"/>
      <c r="U48" s="37" t="str">
        <f t="shared" si="3"/>
        <v/>
      </c>
      <c r="V48" s="37" t="str">
        <f t="shared" si="4"/>
        <v/>
      </c>
      <c r="W48" s="37" t="str">
        <f t="shared" si="5"/>
        <v/>
      </c>
      <c r="X48" s="37" t="str">
        <f t="shared" si="6"/>
        <v/>
      </c>
      <c r="Y48" s="37" t="str">
        <f>IF(OR($H48="",$J48=""),"",$J48*IFERROR(VLOOKUP($H48,Maestro_SKU!$A$2:$P$500,12,FALSE),1))</f>
        <v/>
      </c>
      <c r="Z48" s="37" t="str">
        <f t="shared" ca="1" si="7"/>
        <v/>
      </c>
    </row>
    <row r="49" spans="1:26" ht="20" customHeight="1" x14ac:dyDescent="0.35">
      <c r="A49" s="18"/>
      <c r="B49" s="26"/>
      <c r="C49" s="18"/>
      <c r="D49" s="18"/>
      <c r="E49" s="22" t="str">
        <f>IFERROR(VLOOKUP(D49,Clientes_PDV!$A$2:$J$250,2,FALSE),"")</f>
        <v/>
      </c>
      <c r="F49" s="22" t="str">
        <f>IFERROR(VLOOKUP(D49,Clientes_PDV!$A$2:$J$250,3,FALSE),"")</f>
        <v/>
      </c>
      <c r="G49" s="22" t="str">
        <f>IFERROR(VLOOKUP(D49,Clientes_PDV!$A$2:$J$250,4,FALSE),"")</f>
        <v/>
      </c>
      <c r="H49" s="18"/>
      <c r="I49" s="22" t="str">
        <f>IFERROR(VLOOKUP(H49,Maestro_SKU!$A$2:$P$500,2,FALSE),"")</f>
        <v/>
      </c>
      <c r="J49" s="27"/>
      <c r="K49" s="19"/>
      <c r="L49" s="23" t="str">
        <f t="shared" si="0"/>
        <v/>
      </c>
      <c r="M49" s="23" t="str">
        <f>IF(L49="","",L49*Inicio!$B$13)</f>
        <v/>
      </c>
      <c r="N49" s="23" t="str">
        <f t="shared" si="1"/>
        <v/>
      </c>
      <c r="O49" s="26"/>
      <c r="P49" s="18"/>
      <c r="Q49" s="19"/>
      <c r="R49" s="23" t="str">
        <f t="shared" si="2"/>
        <v/>
      </c>
      <c r="S49" s="22" t="str">
        <f ca="1">IF(A49="","",IF(OR(P49="Pagada",R49=0),"Pagada",IF(O49&lt;TODAY(),"Vencida",IF(O49&lt;=TODAY()+Inicio!$B$19,"Próxima a vencer","Vigente"))))</f>
        <v/>
      </c>
      <c r="T49" s="18"/>
      <c r="U49" s="37" t="str">
        <f t="shared" si="3"/>
        <v/>
      </c>
      <c r="V49" s="37" t="str">
        <f t="shared" si="4"/>
        <v/>
      </c>
      <c r="W49" s="37" t="str">
        <f t="shared" si="5"/>
        <v/>
      </c>
      <c r="X49" s="37" t="str">
        <f t="shared" si="6"/>
        <v/>
      </c>
      <c r="Y49" s="37" t="str">
        <f>IF(OR($H49="",$J49=""),"",$J49*IFERROR(VLOOKUP($H49,Maestro_SKU!$A$2:$P$500,12,FALSE),1))</f>
        <v/>
      </c>
      <c r="Z49" s="37" t="str">
        <f t="shared" ca="1" si="7"/>
        <v/>
      </c>
    </row>
    <row r="50" spans="1:26" ht="20" customHeight="1" x14ac:dyDescent="0.35">
      <c r="A50" s="18"/>
      <c r="B50" s="26"/>
      <c r="C50" s="18"/>
      <c r="D50" s="18"/>
      <c r="E50" s="22" t="str">
        <f>IFERROR(VLOOKUP(D50,Clientes_PDV!$A$2:$J$250,2,FALSE),"")</f>
        <v/>
      </c>
      <c r="F50" s="22" t="str">
        <f>IFERROR(VLOOKUP(D50,Clientes_PDV!$A$2:$J$250,3,FALSE),"")</f>
        <v/>
      </c>
      <c r="G50" s="22" t="str">
        <f>IFERROR(VLOOKUP(D50,Clientes_PDV!$A$2:$J$250,4,FALSE),"")</f>
        <v/>
      </c>
      <c r="H50" s="18"/>
      <c r="I50" s="22" t="str">
        <f>IFERROR(VLOOKUP(H50,Maestro_SKU!$A$2:$P$500,2,FALSE),"")</f>
        <v/>
      </c>
      <c r="J50" s="27"/>
      <c r="K50" s="19"/>
      <c r="L50" s="23" t="str">
        <f t="shared" si="0"/>
        <v/>
      </c>
      <c r="M50" s="23" t="str">
        <f>IF(L50="","",L50*Inicio!$B$13)</f>
        <v/>
      </c>
      <c r="N50" s="23" t="str">
        <f t="shared" si="1"/>
        <v/>
      </c>
      <c r="O50" s="26"/>
      <c r="P50" s="18"/>
      <c r="Q50" s="19"/>
      <c r="R50" s="23" t="str">
        <f t="shared" si="2"/>
        <v/>
      </c>
      <c r="S50" s="22" t="str">
        <f ca="1">IF(A50="","",IF(OR(P50="Pagada",R50=0),"Pagada",IF(O50&lt;TODAY(),"Vencida",IF(O50&lt;=TODAY()+Inicio!$B$19,"Próxima a vencer","Vigente"))))</f>
        <v/>
      </c>
      <c r="T50" s="18"/>
      <c r="U50" s="37" t="str">
        <f t="shared" si="3"/>
        <v/>
      </c>
      <c r="V50" s="37" t="str">
        <f t="shared" si="4"/>
        <v/>
      </c>
      <c r="W50" s="37" t="str">
        <f t="shared" si="5"/>
        <v/>
      </c>
      <c r="X50" s="37" t="str">
        <f t="shared" si="6"/>
        <v/>
      </c>
      <c r="Y50" s="37" t="str">
        <f>IF(OR($H50="",$J50=""),"",$J50*IFERROR(VLOOKUP($H50,Maestro_SKU!$A$2:$P$500,12,FALSE),1))</f>
        <v/>
      </c>
      <c r="Z50" s="37" t="str">
        <f t="shared" ca="1" si="7"/>
        <v/>
      </c>
    </row>
    <row r="51" spans="1:26" x14ac:dyDescent="0.35">
      <c r="A51" s="18"/>
      <c r="B51" s="26"/>
      <c r="C51" s="18"/>
      <c r="D51" s="18"/>
      <c r="E51" s="22" t="str">
        <f>IFERROR(VLOOKUP(D51,Clientes_PDV!$A$2:$J$250,2,FALSE),"")</f>
        <v/>
      </c>
      <c r="F51" s="22" t="str">
        <f>IFERROR(VLOOKUP(D51,Clientes_PDV!$A$2:$J$250,3,FALSE),"")</f>
        <v/>
      </c>
      <c r="G51" s="22" t="str">
        <f>IFERROR(VLOOKUP(D51,Clientes_PDV!$A$2:$J$250,4,FALSE),"")</f>
        <v/>
      </c>
      <c r="H51" s="18"/>
      <c r="I51" s="22" t="str">
        <f>IFERROR(VLOOKUP(H51,Maestro_SKU!$A$2:$P$500,2,FALSE),"")</f>
        <v/>
      </c>
      <c r="J51" s="27"/>
      <c r="K51" s="19"/>
      <c r="L51" s="23" t="str">
        <f t="shared" si="0"/>
        <v/>
      </c>
      <c r="M51" s="23" t="str">
        <f>IF(L51="","",L51*Inicio!$B$13)</f>
        <v/>
      </c>
      <c r="N51" s="23" t="str">
        <f t="shared" si="1"/>
        <v/>
      </c>
      <c r="O51" s="26"/>
      <c r="P51" s="18"/>
      <c r="Q51" s="19"/>
      <c r="R51" s="23" t="str">
        <f t="shared" si="2"/>
        <v/>
      </c>
      <c r="S51" s="22" t="str">
        <f ca="1">IF(A51="","",IF(OR(P51="Pagada",R51=0),"Pagada",IF(O51&lt;TODAY(),"Vencida",IF(O51&lt;=TODAY()+Inicio!$B$19,"Próxima a vencer","Vigente"))))</f>
        <v/>
      </c>
      <c r="T51" s="18"/>
      <c r="U51" s="37" t="str">
        <f t="shared" si="3"/>
        <v/>
      </c>
      <c r="V51" s="37" t="str">
        <f t="shared" si="4"/>
        <v/>
      </c>
      <c r="W51" s="37" t="str">
        <f t="shared" si="5"/>
        <v/>
      </c>
      <c r="X51" s="37" t="str">
        <f t="shared" si="6"/>
        <v/>
      </c>
      <c r="Y51" s="37" t="str">
        <f>IF(OR($H51="",$J51=""),"",$J51*IFERROR(VLOOKUP($H51,Maestro_SKU!$A$2:$P$500,12,FALSE),1))</f>
        <v/>
      </c>
      <c r="Z51" s="37" t="str">
        <f t="shared" ca="1" si="7"/>
        <v/>
      </c>
    </row>
    <row r="52" spans="1:26" x14ac:dyDescent="0.35">
      <c r="A52" s="18"/>
      <c r="B52" s="26"/>
      <c r="C52" s="18"/>
      <c r="D52" s="18"/>
      <c r="E52" s="22" t="str">
        <f>IFERROR(VLOOKUP(D52,Clientes_PDV!$A$2:$J$250,2,FALSE),"")</f>
        <v/>
      </c>
      <c r="F52" s="22" t="str">
        <f>IFERROR(VLOOKUP(D52,Clientes_PDV!$A$2:$J$250,3,FALSE),"")</f>
        <v/>
      </c>
      <c r="G52" s="22" t="str">
        <f>IFERROR(VLOOKUP(D52,Clientes_PDV!$A$2:$J$250,4,FALSE),"")</f>
        <v/>
      </c>
      <c r="H52" s="18"/>
      <c r="I52" s="22" t="str">
        <f>IFERROR(VLOOKUP(H52,Maestro_SKU!$A$2:$P$500,2,FALSE),"")</f>
        <v/>
      </c>
      <c r="J52" s="27"/>
      <c r="K52" s="19"/>
      <c r="L52" s="23" t="str">
        <f t="shared" si="0"/>
        <v/>
      </c>
      <c r="M52" s="23" t="str">
        <f>IF(L52="","",L52*Inicio!$B$13)</f>
        <v/>
      </c>
      <c r="N52" s="23" t="str">
        <f t="shared" si="1"/>
        <v/>
      </c>
      <c r="O52" s="26"/>
      <c r="P52" s="18"/>
      <c r="Q52" s="19"/>
      <c r="R52" s="23" t="str">
        <f t="shared" si="2"/>
        <v/>
      </c>
      <c r="S52" s="22" t="str">
        <f ca="1">IF(A52="","",IF(OR(P52="Pagada",R52=0),"Pagada",IF(O52&lt;TODAY(),"Vencida",IF(O52&lt;=TODAY()+Inicio!$B$19,"Próxima a vencer","Vigente"))))</f>
        <v/>
      </c>
      <c r="T52" s="18"/>
      <c r="U52" s="37" t="str">
        <f t="shared" si="3"/>
        <v/>
      </c>
      <c r="V52" s="37" t="str">
        <f t="shared" si="4"/>
        <v/>
      </c>
      <c r="W52" s="37" t="str">
        <f t="shared" si="5"/>
        <v/>
      </c>
      <c r="X52" s="37" t="str">
        <f t="shared" si="6"/>
        <v/>
      </c>
      <c r="Y52" s="37" t="str">
        <f>IF(OR($H52="",$J52=""),"",$J52*IFERROR(VLOOKUP($H52,Maestro_SKU!$A$2:$P$500,12,FALSE),1))</f>
        <v/>
      </c>
      <c r="Z52" s="37" t="str">
        <f t="shared" ca="1" si="7"/>
        <v/>
      </c>
    </row>
    <row r="53" spans="1:26" x14ac:dyDescent="0.35">
      <c r="A53" s="18"/>
      <c r="B53" s="26"/>
      <c r="C53" s="18"/>
      <c r="D53" s="18"/>
      <c r="E53" s="22" t="str">
        <f>IFERROR(VLOOKUP(D53,Clientes_PDV!$A$2:$J$250,2,FALSE),"")</f>
        <v/>
      </c>
      <c r="F53" s="22" t="str">
        <f>IFERROR(VLOOKUP(D53,Clientes_PDV!$A$2:$J$250,3,FALSE),"")</f>
        <v/>
      </c>
      <c r="G53" s="22" t="str">
        <f>IFERROR(VLOOKUP(D53,Clientes_PDV!$A$2:$J$250,4,FALSE),"")</f>
        <v/>
      </c>
      <c r="H53" s="18"/>
      <c r="I53" s="22" t="str">
        <f>IFERROR(VLOOKUP(H53,Maestro_SKU!$A$2:$P$500,2,FALSE),"")</f>
        <v/>
      </c>
      <c r="J53" s="27"/>
      <c r="K53" s="19"/>
      <c r="L53" s="23" t="str">
        <f t="shared" si="0"/>
        <v/>
      </c>
      <c r="M53" s="23" t="str">
        <f>IF(L53="","",L53*Inicio!$B$13)</f>
        <v/>
      </c>
      <c r="N53" s="23" t="str">
        <f t="shared" si="1"/>
        <v/>
      </c>
      <c r="O53" s="26"/>
      <c r="P53" s="18"/>
      <c r="Q53" s="19"/>
      <c r="R53" s="23" t="str">
        <f t="shared" si="2"/>
        <v/>
      </c>
      <c r="S53" s="22" t="str">
        <f ca="1">IF(A53="","",IF(OR(P53="Pagada",R53=0),"Pagada",IF(O53&lt;TODAY(),"Vencida",IF(O53&lt;=TODAY()+Inicio!$B$19,"Próxima a vencer","Vigente"))))</f>
        <v/>
      </c>
      <c r="T53" s="18"/>
      <c r="U53" s="37" t="str">
        <f t="shared" si="3"/>
        <v/>
      </c>
      <c r="V53" s="37" t="str">
        <f t="shared" si="4"/>
        <v/>
      </c>
      <c r="W53" s="37" t="str">
        <f t="shared" si="5"/>
        <v/>
      </c>
      <c r="X53" s="37" t="str">
        <f t="shared" si="6"/>
        <v/>
      </c>
      <c r="Y53" s="37" t="str">
        <f>IF(OR($H53="",$J53=""),"",$J53*IFERROR(VLOOKUP($H53,Maestro_SKU!$A$2:$P$500,12,FALSE),1))</f>
        <v/>
      </c>
      <c r="Z53" s="37" t="str">
        <f t="shared" ca="1" si="7"/>
        <v/>
      </c>
    </row>
    <row r="54" spans="1:26" x14ac:dyDescent="0.35">
      <c r="A54" s="18"/>
      <c r="B54" s="26"/>
      <c r="C54" s="18"/>
      <c r="D54" s="18"/>
      <c r="E54" s="22" t="str">
        <f>IFERROR(VLOOKUP(D54,Clientes_PDV!$A$2:$J$250,2,FALSE),"")</f>
        <v/>
      </c>
      <c r="F54" s="22" t="str">
        <f>IFERROR(VLOOKUP(D54,Clientes_PDV!$A$2:$J$250,3,FALSE),"")</f>
        <v/>
      </c>
      <c r="G54" s="22" t="str">
        <f>IFERROR(VLOOKUP(D54,Clientes_PDV!$A$2:$J$250,4,FALSE),"")</f>
        <v/>
      </c>
      <c r="H54" s="18"/>
      <c r="I54" s="22" t="str">
        <f>IFERROR(VLOOKUP(H54,Maestro_SKU!$A$2:$P$500,2,FALSE),"")</f>
        <v/>
      </c>
      <c r="J54" s="27"/>
      <c r="K54" s="19"/>
      <c r="L54" s="23" t="str">
        <f t="shared" si="0"/>
        <v/>
      </c>
      <c r="M54" s="23" t="str">
        <f>IF(L54="","",L54*Inicio!$B$13)</f>
        <v/>
      </c>
      <c r="N54" s="23" t="str">
        <f t="shared" si="1"/>
        <v/>
      </c>
      <c r="O54" s="26"/>
      <c r="P54" s="18"/>
      <c r="Q54" s="19"/>
      <c r="R54" s="23" t="str">
        <f t="shared" si="2"/>
        <v/>
      </c>
      <c r="S54" s="22" t="str">
        <f ca="1">IF(A54="","",IF(OR(P54="Pagada",R54=0),"Pagada",IF(O54&lt;TODAY(),"Vencida",IF(O54&lt;=TODAY()+Inicio!$B$19,"Próxima a vencer","Vigente"))))</f>
        <v/>
      </c>
      <c r="T54" s="18"/>
      <c r="U54" s="37" t="str">
        <f t="shared" si="3"/>
        <v/>
      </c>
      <c r="V54" s="37" t="str">
        <f t="shared" si="4"/>
        <v/>
      </c>
      <c r="W54" s="37" t="str">
        <f t="shared" si="5"/>
        <v/>
      </c>
      <c r="X54" s="37" t="str">
        <f t="shared" si="6"/>
        <v/>
      </c>
      <c r="Y54" s="37" t="str">
        <f>IF(OR($H54="",$J54=""),"",$J54*IFERROR(VLOOKUP($H54,Maestro_SKU!$A$2:$P$500,12,FALSE),1))</f>
        <v/>
      </c>
      <c r="Z54" s="37" t="str">
        <f t="shared" ca="1" si="7"/>
        <v/>
      </c>
    </row>
    <row r="55" spans="1:26" x14ac:dyDescent="0.35">
      <c r="A55" s="18"/>
      <c r="B55" s="26"/>
      <c r="C55" s="18"/>
      <c r="D55" s="18"/>
      <c r="E55" s="22" t="str">
        <f>IFERROR(VLOOKUP(D55,Clientes_PDV!$A$2:$J$250,2,FALSE),"")</f>
        <v/>
      </c>
      <c r="F55" s="22" t="str">
        <f>IFERROR(VLOOKUP(D55,Clientes_PDV!$A$2:$J$250,3,FALSE),"")</f>
        <v/>
      </c>
      <c r="G55" s="22" t="str">
        <f>IFERROR(VLOOKUP(D55,Clientes_PDV!$A$2:$J$250,4,FALSE),"")</f>
        <v/>
      </c>
      <c r="H55" s="18"/>
      <c r="I55" s="22" t="str">
        <f>IFERROR(VLOOKUP(H55,Maestro_SKU!$A$2:$P$500,2,FALSE),"")</f>
        <v/>
      </c>
      <c r="J55" s="27"/>
      <c r="K55" s="19"/>
      <c r="L55" s="23" t="str">
        <f t="shared" si="0"/>
        <v/>
      </c>
      <c r="M55" s="23" t="str">
        <f>IF(L55="","",L55*Inicio!$B$13)</f>
        <v/>
      </c>
      <c r="N55" s="23" t="str">
        <f t="shared" si="1"/>
        <v/>
      </c>
      <c r="O55" s="26"/>
      <c r="P55" s="18"/>
      <c r="Q55" s="19"/>
      <c r="R55" s="23" t="str">
        <f t="shared" si="2"/>
        <v/>
      </c>
      <c r="S55" s="22" t="str">
        <f ca="1">IF(A55="","",IF(OR(P55="Pagada",R55=0),"Pagada",IF(O55&lt;TODAY(),"Vencida",IF(O55&lt;=TODAY()+Inicio!$B$19,"Próxima a vencer","Vigente"))))</f>
        <v/>
      </c>
      <c r="T55" s="18"/>
      <c r="U55" s="37" t="str">
        <f t="shared" si="3"/>
        <v/>
      </c>
      <c r="V55" s="37" t="str">
        <f t="shared" si="4"/>
        <v/>
      </c>
      <c r="W55" s="37" t="str">
        <f t="shared" si="5"/>
        <v/>
      </c>
      <c r="X55" s="37" t="str">
        <f t="shared" si="6"/>
        <v/>
      </c>
      <c r="Y55" s="37" t="str">
        <f>IF(OR($H55="",$J55=""),"",$J55*IFERROR(VLOOKUP($H55,Maestro_SKU!$A$2:$P$500,12,FALSE),1))</f>
        <v/>
      </c>
      <c r="Z55" s="37" t="str">
        <f t="shared" ca="1" si="7"/>
        <v/>
      </c>
    </row>
    <row r="56" spans="1:26" x14ac:dyDescent="0.35">
      <c r="A56" s="18"/>
      <c r="B56" s="26"/>
      <c r="C56" s="18"/>
      <c r="D56" s="18"/>
      <c r="E56" s="22" t="str">
        <f>IFERROR(VLOOKUP(D56,Clientes_PDV!$A$2:$J$250,2,FALSE),"")</f>
        <v/>
      </c>
      <c r="F56" s="22" t="str">
        <f>IFERROR(VLOOKUP(D56,Clientes_PDV!$A$2:$J$250,3,FALSE),"")</f>
        <v/>
      </c>
      <c r="G56" s="22" t="str">
        <f>IFERROR(VLOOKUP(D56,Clientes_PDV!$A$2:$J$250,4,FALSE),"")</f>
        <v/>
      </c>
      <c r="H56" s="18"/>
      <c r="I56" s="22" t="str">
        <f>IFERROR(VLOOKUP(H56,Maestro_SKU!$A$2:$P$500,2,FALSE),"")</f>
        <v/>
      </c>
      <c r="J56" s="27"/>
      <c r="K56" s="19"/>
      <c r="L56" s="23" t="str">
        <f t="shared" si="0"/>
        <v/>
      </c>
      <c r="M56" s="23" t="str">
        <f>IF(L56="","",L56*Inicio!$B$13)</f>
        <v/>
      </c>
      <c r="N56" s="23" t="str">
        <f t="shared" si="1"/>
        <v/>
      </c>
      <c r="O56" s="26"/>
      <c r="P56" s="18"/>
      <c r="Q56" s="19"/>
      <c r="R56" s="23" t="str">
        <f t="shared" si="2"/>
        <v/>
      </c>
      <c r="S56" s="22" t="str">
        <f ca="1">IF(A56="","",IF(OR(P56="Pagada",R56=0),"Pagada",IF(O56&lt;TODAY(),"Vencida",IF(O56&lt;=TODAY()+Inicio!$B$19,"Próxima a vencer","Vigente"))))</f>
        <v/>
      </c>
      <c r="T56" s="18"/>
      <c r="U56" s="37" t="str">
        <f t="shared" si="3"/>
        <v/>
      </c>
      <c r="V56" s="37" t="str">
        <f t="shared" si="4"/>
        <v/>
      </c>
      <c r="W56" s="37" t="str">
        <f t="shared" si="5"/>
        <v/>
      </c>
      <c r="X56" s="37" t="str">
        <f t="shared" si="6"/>
        <v/>
      </c>
      <c r="Y56" s="37" t="str">
        <f>IF(OR($H56="",$J56=""),"",$J56*IFERROR(VLOOKUP($H56,Maestro_SKU!$A$2:$P$500,12,FALSE),1))</f>
        <v/>
      </c>
      <c r="Z56" s="37" t="str">
        <f t="shared" ca="1" si="7"/>
        <v/>
      </c>
    </row>
    <row r="57" spans="1:26" x14ac:dyDescent="0.35">
      <c r="A57" s="18"/>
      <c r="B57" s="26"/>
      <c r="C57" s="18"/>
      <c r="D57" s="18"/>
      <c r="E57" s="22" t="str">
        <f>IFERROR(VLOOKUP(D57,Clientes_PDV!$A$2:$J$250,2,FALSE),"")</f>
        <v/>
      </c>
      <c r="F57" s="22" t="str">
        <f>IFERROR(VLOOKUP(D57,Clientes_PDV!$A$2:$J$250,3,FALSE),"")</f>
        <v/>
      </c>
      <c r="G57" s="22" t="str">
        <f>IFERROR(VLOOKUP(D57,Clientes_PDV!$A$2:$J$250,4,FALSE),"")</f>
        <v/>
      </c>
      <c r="H57" s="18"/>
      <c r="I57" s="22" t="str">
        <f>IFERROR(VLOOKUP(H57,Maestro_SKU!$A$2:$P$500,2,FALSE),"")</f>
        <v/>
      </c>
      <c r="J57" s="27"/>
      <c r="K57" s="19"/>
      <c r="L57" s="23" t="str">
        <f t="shared" si="0"/>
        <v/>
      </c>
      <c r="M57" s="23" t="str">
        <f>IF(L57="","",L57*Inicio!$B$13)</f>
        <v/>
      </c>
      <c r="N57" s="23" t="str">
        <f t="shared" si="1"/>
        <v/>
      </c>
      <c r="O57" s="26"/>
      <c r="P57" s="18"/>
      <c r="Q57" s="19"/>
      <c r="R57" s="23" t="str">
        <f t="shared" si="2"/>
        <v/>
      </c>
      <c r="S57" s="22" t="str">
        <f ca="1">IF(A57="","",IF(OR(P57="Pagada",R57=0),"Pagada",IF(O57&lt;TODAY(),"Vencida",IF(O57&lt;=TODAY()+Inicio!$B$19,"Próxima a vencer","Vigente"))))</f>
        <v/>
      </c>
      <c r="T57" s="18"/>
      <c r="U57" s="37" t="str">
        <f t="shared" si="3"/>
        <v/>
      </c>
      <c r="V57" s="37" t="str">
        <f t="shared" si="4"/>
        <v/>
      </c>
      <c r="W57" s="37" t="str">
        <f t="shared" si="5"/>
        <v/>
      </c>
      <c r="X57" s="37" t="str">
        <f t="shared" si="6"/>
        <v/>
      </c>
      <c r="Y57" s="37" t="str">
        <f>IF(OR($H57="",$J57=""),"",$J57*IFERROR(VLOOKUP($H57,Maestro_SKU!$A$2:$P$500,12,FALSE),1))</f>
        <v/>
      </c>
      <c r="Z57" s="37" t="str">
        <f t="shared" ca="1" si="7"/>
        <v/>
      </c>
    </row>
    <row r="58" spans="1:26" x14ac:dyDescent="0.35">
      <c r="A58" s="18"/>
      <c r="B58" s="26"/>
      <c r="C58" s="18"/>
      <c r="D58" s="18"/>
      <c r="E58" s="22" t="str">
        <f>IFERROR(VLOOKUP(D58,Clientes_PDV!$A$2:$J$250,2,FALSE),"")</f>
        <v/>
      </c>
      <c r="F58" s="22" t="str">
        <f>IFERROR(VLOOKUP(D58,Clientes_PDV!$A$2:$J$250,3,FALSE),"")</f>
        <v/>
      </c>
      <c r="G58" s="22" t="str">
        <f>IFERROR(VLOOKUP(D58,Clientes_PDV!$A$2:$J$250,4,FALSE),"")</f>
        <v/>
      </c>
      <c r="H58" s="18"/>
      <c r="I58" s="22" t="str">
        <f>IFERROR(VLOOKUP(H58,Maestro_SKU!$A$2:$P$500,2,FALSE),"")</f>
        <v/>
      </c>
      <c r="J58" s="27"/>
      <c r="K58" s="19"/>
      <c r="L58" s="23" t="str">
        <f t="shared" si="0"/>
        <v/>
      </c>
      <c r="M58" s="23" t="str">
        <f>IF(L58="","",L58*Inicio!$B$13)</f>
        <v/>
      </c>
      <c r="N58" s="23" t="str">
        <f t="shared" si="1"/>
        <v/>
      </c>
      <c r="O58" s="26"/>
      <c r="P58" s="18"/>
      <c r="Q58" s="19"/>
      <c r="R58" s="23" t="str">
        <f t="shared" si="2"/>
        <v/>
      </c>
      <c r="S58" s="22" t="str">
        <f ca="1">IF(A58="","",IF(OR(P58="Pagada",R58=0),"Pagada",IF(O58&lt;TODAY(),"Vencida",IF(O58&lt;=TODAY()+Inicio!$B$19,"Próxima a vencer","Vigente"))))</f>
        <v/>
      </c>
      <c r="T58" s="18"/>
      <c r="U58" s="37" t="str">
        <f t="shared" si="3"/>
        <v/>
      </c>
      <c r="V58" s="37" t="str">
        <f t="shared" si="4"/>
        <v/>
      </c>
      <c r="W58" s="37" t="str">
        <f t="shared" si="5"/>
        <v/>
      </c>
      <c r="X58" s="37" t="str">
        <f t="shared" si="6"/>
        <v/>
      </c>
      <c r="Y58" s="37" t="str">
        <f>IF(OR($H58="",$J58=""),"",$J58*IFERROR(VLOOKUP($H58,Maestro_SKU!$A$2:$P$500,12,FALSE),1))</f>
        <v/>
      </c>
      <c r="Z58" s="37" t="str">
        <f t="shared" ca="1" si="7"/>
        <v/>
      </c>
    </row>
    <row r="59" spans="1:26" x14ac:dyDescent="0.35">
      <c r="A59" s="18"/>
      <c r="B59" s="26"/>
      <c r="C59" s="18"/>
      <c r="D59" s="18"/>
      <c r="E59" s="22" t="str">
        <f>IFERROR(VLOOKUP(D59,Clientes_PDV!$A$2:$J$250,2,FALSE),"")</f>
        <v/>
      </c>
      <c r="F59" s="22" t="str">
        <f>IFERROR(VLOOKUP(D59,Clientes_PDV!$A$2:$J$250,3,FALSE),"")</f>
        <v/>
      </c>
      <c r="G59" s="22" t="str">
        <f>IFERROR(VLOOKUP(D59,Clientes_PDV!$A$2:$J$250,4,FALSE),"")</f>
        <v/>
      </c>
      <c r="H59" s="18"/>
      <c r="I59" s="22" t="str">
        <f>IFERROR(VLOOKUP(H59,Maestro_SKU!$A$2:$P$500,2,FALSE),"")</f>
        <v/>
      </c>
      <c r="J59" s="27"/>
      <c r="K59" s="19"/>
      <c r="L59" s="23" t="str">
        <f t="shared" si="0"/>
        <v/>
      </c>
      <c r="M59" s="23" t="str">
        <f>IF(L59="","",L59*Inicio!$B$13)</f>
        <v/>
      </c>
      <c r="N59" s="23" t="str">
        <f t="shared" si="1"/>
        <v/>
      </c>
      <c r="O59" s="26"/>
      <c r="P59" s="18"/>
      <c r="Q59" s="19"/>
      <c r="R59" s="23" t="str">
        <f t="shared" si="2"/>
        <v/>
      </c>
      <c r="S59" s="22" t="str">
        <f ca="1">IF(A59="","",IF(OR(P59="Pagada",R59=0),"Pagada",IF(O59&lt;TODAY(),"Vencida",IF(O59&lt;=TODAY()+Inicio!$B$19,"Próxima a vencer","Vigente"))))</f>
        <v/>
      </c>
      <c r="T59" s="18"/>
      <c r="U59" s="37" t="str">
        <f t="shared" si="3"/>
        <v/>
      </c>
      <c r="V59" s="37" t="str">
        <f t="shared" si="4"/>
        <v/>
      </c>
      <c r="W59" s="37" t="str">
        <f t="shared" si="5"/>
        <v/>
      </c>
      <c r="X59" s="37" t="str">
        <f t="shared" si="6"/>
        <v/>
      </c>
      <c r="Y59" s="37" t="str">
        <f>IF(OR($H59="",$J59=""),"",$J59*IFERROR(VLOOKUP($H59,Maestro_SKU!$A$2:$P$500,12,FALSE),1))</f>
        <v/>
      </c>
      <c r="Z59" s="37" t="str">
        <f t="shared" ca="1" si="7"/>
        <v/>
      </c>
    </row>
    <row r="60" spans="1:26" x14ac:dyDescent="0.35">
      <c r="A60" s="18"/>
      <c r="B60" s="26"/>
      <c r="C60" s="18"/>
      <c r="D60" s="18"/>
      <c r="E60" s="22" t="str">
        <f>IFERROR(VLOOKUP(D60,Clientes_PDV!$A$2:$J$250,2,FALSE),"")</f>
        <v/>
      </c>
      <c r="F60" s="22" t="str">
        <f>IFERROR(VLOOKUP(D60,Clientes_PDV!$A$2:$J$250,3,FALSE),"")</f>
        <v/>
      </c>
      <c r="G60" s="22" t="str">
        <f>IFERROR(VLOOKUP(D60,Clientes_PDV!$A$2:$J$250,4,FALSE),"")</f>
        <v/>
      </c>
      <c r="H60" s="18"/>
      <c r="I60" s="22" t="str">
        <f>IFERROR(VLOOKUP(H60,Maestro_SKU!$A$2:$P$500,2,FALSE),"")</f>
        <v/>
      </c>
      <c r="J60" s="27"/>
      <c r="K60" s="19"/>
      <c r="L60" s="23" t="str">
        <f t="shared" si="0"/>
        <v/>
      </c>
      <c r="M60" s="23" t="str">
        <f>IF(L60="","",L60*Inicio!$B$13)</f>
        <v/>
      </c>
      <c r="N60" s="23" t="str">
        <f t="shared" si="1"/>
        <v/>
      </c>
      <c r="O60" s="26"/>
      <c r="P60" s="18"/>
      <c r="Q60" s="19"/>
      <c r="R60" s="23" t="str">
        <f t="shared" si="2"/>
        <v/>
      </c>
      <c r="S60" s="22" t="str">
        <f ca="1">IF(A60="","",IF(OR(P60="Pagada",R60=0),"Pagada",IF(O60&lt;TODAY(),"Vencida",IF(O60&lt;=TODAY()+Inicio!$B$19,"Próxima a vencer","Vigente"))))</f>
        <v/>
      </c>
      <c r="T60" s="18"/>
      <c r="U60" s="37" t="str">
        <f t="shared" si="3"/>
        <v/>
      </c>
      <c r="V60" s="37" t="str">
        <f t="shared" si="4"/>
        <v/>
      </c>
      <c r="W60" s="37" t="str">
        <f t="shared" si="5"/>
        <v/>
      </c>
      <c r="X60" s="37" t="str">
        <f t="shared" si="6"/>
        <v/>
      </c>
      <c r="Y60" s="37" t="str">
        <f>IF(OR($H60="",$J60=""),"",$J60*IFERROR(VLOOKUP($H60,Maestro_SKU!$A$2:$P$500,12,FALSE),1))</f>
        <v/>
      </c>
      <c r="Z60" s="37" t="str">
        <f t="shared" ca="1" si="7"/>
        <v/>
      </c>
    </row>
    <row r="61" spans="1:26" x14ac:dyDescent="0.35">
      <c r="A61" s="18"/>
      <c r="B61" s="26"/>
      <c r="C61" s="18"/>
      <c r="D61" s="18"/>
      <c r="E61" s="22" t="str">
        <f>IFERROR(VLOOKUP(D61,Clientes_PDV!$A$2:$J$250,2,FALSE),"")</f>
        <v/>
      </c>
      <c r="F61" s="22" t="str">
        <f>IFERROR(VLOOKUP(D61,Clientes_PDV!$A$2:$J$250,3,FALSE),"")</f>
        <v/>
      </c>
      <c r="G61" s="22" t="str">
        <f>IFERROR(VLOOKUP(D61,Clientes_PDV!$A$2:$J$250,4,FALSE),"")</f>
        <v/>
      </c>
      <c r="H61" s="18"/>
      <c r="I61" s="22" t="str">
        <f>IFERROR(VLOOKUP(H61,Maestro_SKU!$A$2:$P$500,2,FALSE),"")</f>
        <v/>
      </c>
      <c r="J61" s="27"/>
      <c r="K61" s="19"/>
      <c r="L61" s="23" t="str">
        <f t="shared" si="0"/>
        <v/>
      </c>
      <c r="M61" s="23" t="str">
        <f>IF(L61="","",L61*Inicio!$B$13)</f>
        <v/>
      </c>
      <c r="N61" s="23" t="str">
        <f t="shared" si="1"/>
        <v/>
      </c>
      <c r="O61" s="26"/>
      <c r="P61" s="18"/>
      <c r="Q61" s="19"/>
      <c r="R61" s="23" t="str">
        <f t="shared" si="2"/>
        <v/>
      </c>
      <c r="S61" s="22" t="str">
        <f ca="1">IF(A61="","",IF(OR(P61="Pagada",R61=0),"Pagada",IF(O61&lt;TODAY(),"Vencida",IF(O61&lt;=TODAY()+Inicio!$B$19,"Próxima a vencer","Vigente"))))</f>
        <v/>
      </c>
      <c r="T61" s="18"/>
      <c r="U61" s="37" t="str">
        <f t="shared" si="3"/>
        <v/>
      </c>
      <c r="V61" s="37" t="str">
        <f t="shared" si="4"/>
        <v/>
      </c>
      <c r="W61" s="37" t="str">
        <f t="shared" si="5"/>
        <v/>
      </c>
      <c r="X61" s="37" t="str">
        <f t="shared" si="6"/>
        <v/>
      </c>
      <c r="Y61" s="37" t="str">
        <f>IF(OR($H61="",$J61=""),"",$J61*IFERROR(VLOOKUP($H61,Maestro_SKU!$A$2:$P$500,12,FALSE),1))</f>
        <v/>
      </c>
      <c r="Z61" s="37" t="str">
        <f t="shared" ca="1" si="7"/>
        <v/>
      </c>
    </row>
    <row r="62" spans="1:26" x14ac:dyDescent="0.35">
      <c r="A62" s="18"/>
      <c r="B62" s="26"/>
      <c r="C62" s="18"/>
      <c r="D62" s="18"/>
      <c r="E62" s="22" t="str">
        <f>IFERROR(VLOOKUP(D62,Clientes_PDV!$A$2:$J$250,2,FALSE),"")</f>
        <v/>
      </c>
      <c r="F62" s="22" t="str">
        <f>IFERROR(VLOOKUP(D62,Clientes_PDV!$A$2:$J$250,3,FALSE),"")</f>
        <v/>
      </c>
      <c r="G62" s="22" t="str">
        <f>IFERROR(VLOOKUP(D62,Clientes_PDV!$A$2:$J$250,4,FALSE),"")</f>
        <v/>
      </c>
      <c r="H62" s="18"/>
      <c r="I62" s="22" t="str">
        <f>IFERROR(VLOOKUP(H62,Maestro_SKU!$A$2:$P$500,2,FALSE),"")</f>
        <v/>
      </c>
      <c r="J62" s="27"/>
      <c r="K62" s="19"/>
      <c r="L62" s="23" t="str">
        <f t="shared" si="0"/>
        <v/>
      </c>
      <c r="M62" s="23" t="str">
        <f>IF(L62="","",L62*Inicio!$B$13)</f>
        <v/>
      </c>
      <c r="N62" s="23" t="str">
        <f t="shared" si="1"/>
        <v/>
      </c>
      <c r="O62" s="26"/>
      <c r="P62" s="18"/>
      <c r="Q62" s="19"/>
      <c r="R62" s="23" t="str">
        <f t="shared" si="2"/>
        <v/>
      </c>
      <c r="S62" s="22" t="str">
        <f ca="1">IF(A62="","",IF(OR(P62="Pagada",R62=0),"Pagada",IF(O62&lt;TODAY(),"Vencida",IF(O62&lt;=TODAY()+Inicio!$B$19,"Próxima a vencer","Vigente"))))</f>
        <v/>
      </c>
      <c r="T62" s="18"/>
      <c r="U62" s="37" t="str">
        <f t="shared" si="3"/>
        <v/>
      </c>
      <c r="V62" s="37" t="str">
        <f t="shared" si="4"/>
        <v/>
      </c>
      <c r="W62" s="37" t="str">
        <f t="shared" si="5"/>
        <v/>
      </c>
      <c r="X62" s="37" t="str">
        <f t="shared" si="6"/>
        <v/>
      </c>
      <c r="Y62" s="37" t="str">
        <f>IF(OR($H62="",$J62=""),"",$J62*IFERROR(VLOOKUP($H62,Maestro_SKU!$A$2:$P$500,12,FALSE),1))</f>
        <v/>
      </c>
      <c r="Z62" s="37" t="str">
        <f t="shared" ca="1" si="7"/>
        <v/>
      </c>
    </row>
    <row r="63" spans="1:26" x14ac:dyDescent="0.35">
      <c r="A63" s="18"/>
      <c r="B63" s="26"/>
      <c r="C63" s="18"/>
      <c r="D63" s="18"/>
      <c r="E63" s="22" t="str">
        <f>IFERROR(VLOOKUP(D63,Clientes_PDV!$A$2:$J$250,2,FALSE),"")</f>
        <v/>
      </c>
      <c r="F63" s="22" t="str">
        <f>IFERROR(VLOOKUP(D63,Clientes_PDV!$A$2:$J$250,3,FALSE),"")</f>
        <v/>
      </c>
      <c r="G63" s="22" t="str">
        <f>IFERROR(VLOOKUP(D63,Clientes_PDV!$A$2:$J$250,4,FALSE),"")</f>
        <v/>
      </c>
      <c r="H63" s="18"/>
      <c r="I63" s="22" t="str">
        <f>IFERROR(VLOOKUP(H63,Maestro_SKU!$A$2:$P$500,2,FALSE),"")</f>
        <v/>
      </c>
      <c r="J63" s="27"/>
      <c r="K63" s="19"/>
      <c r="L63" s="23" t="str">
        <f t="shared" si="0"/>
        <v/>
      </c>
      <c r="M63" s="23" t="str">
        <f>IF(L63="","",L63*Inicio!$B$13)</f>
        <v/>
      </c>
      <c r="N63" s="23" t="str">
        <f t="shared" si="1"/>
        <v/>
      </c>
      <c r="O63" s="26"/>
      <c r="P63" s="18"/>
      <c r="Q63" s="19"/>
      <c r="R63" s="23" t="str">
        <f t="shared" si="2"/>
        <v/>
      </c>
      <c r="S63" s="22" t="str">
        <f ca="1">IF(A63="","",IF(OR(P63="Pagada",R63=0),"Pagada",IF(O63&lt;TODAY(),"Vencida",IF(O63&lt;=TODAY()+Inicio!$B$19,"Próxima a vencer","Vigente"))))</f>
        <v/>
      </c>
      <c r="T63" s="18"/>
      <c r="U63" s="37" t="str">
        <f t="shared" si="3"/>
        <v/>
      </c>
      <c r="V63" s="37" t="str">
        <f t="shared" si="4"/>
        <v/>
      </c>
      <c r="W63" s="37" t="str">
        <f t="shared" si="5"/>
        <v/>
      </c>
      <c r="X63" s="37" t="str">
        <f t="shared" si="6"/>
        <v/>
      </c>
      <c r="Y63" s="37" t="str">
        <f>IF(OR($H63="",$J63=""),"",$J63*IFERROR(VLOOKUP($H63,Maestro_SKU!$A$2:$P$500,12,FALSE),1))</f>
        <v/>
      </c>
      <c r="Z63" s="37" t="str">
        <f t="shared" ca="1" si="7"/>
        <v/>
      </c>
    </row>
    <row r="64" spans="1:26" x14ac:dyDescent="0.35">
      <c r="A64" s="18"/>
      <c r="B64" s="26"/>
      <c r="C64" s="18"/>
      <c r="D64" s="18"/>
      <c r="E64" s="22" t="str">
        <f>IFERROR(VLOOKUP(D64,Clientes_PDV!$A$2:$J$250,2,FALSE),"")</f>
        <v/>
      </c>
      <c r="F64" s="22" t="str">
        <f>IFERROR(VLOOKUP(D64,Clientes_PDV!$A$2:$J$250,3,FALSE),"")</f>
        <v/>
      </c>
      <c r="G64" s="22" t="str">
        <f>IFERROR(VLOOKUP(D64,Clientes_PDV!$A$2:$J$250,4,FALSE),"")</f>
        <v/>
      </c>
      <c r="H64" s="18"/>
      <c r="I64" s="22" t="str">
        <f>IFERROR(VLOOKUP(H64,Maestro_SKU!$A$2:$P$500,2,FALSE),"")</f>
        <v/>
      </c>
      <c r="J64" s="27"/>
      <c r="K64" s="19"/>
      <c r="L64" s="23" t="str">
        <f t="shared" si="0"/>
        <v/>
      </c>
      <c r="M64" s="23" t="str">
        <f>IF(L64="","",L64*Inicio!$B$13)</f>
        <v/>
      </c>
      <c r="N64" s="23" t="str">
        <f t="shared" si="1"/>
        <v/>
      </c>
      <c r="O64" s="26"/>
      <c r="P64" s="18"/>
      <c r="Q64" s="19"/>
      <c r="R64" s="23" t="str">
        <f t="shared" si="2"/>
        <v/>
      </c>
      <c r="S64" s="22" t="str">
        <f ca="1">IF(A64="","",IF(OR(P64="Pagada",R64=0),"Pagada",IF(O64&lt;TODAY(),"Vencida",IF(O64&lt;=TODAY()+Inicio!$B$19,"Próxima a vencer","Vigente"))))</f>
        <v/>
      </c>
      <c r="T64" s="18"/>
      <c r="U64" s="37" t="str">
        <f t="shared" si="3"/>
        <v/>
      </c>
      <c r="V64" s="37" t="str">
        <f t="shared" si="4"/>
        <v/>
      </c>
      <c r="W64" s="37" t="str">
        <f t="shared" si="5"/>
        <v/>
      </c>
      <c r="X64" s="37" t="str">
        <f t="shared" si="6"/>
        <v/>
      </c>
      <c r="Y64" s="37" t="str">
        <f>IF(OR($H64="",$J64=""),"",$J64*IFERROR(VLOOKUP($H64,Maestro_SKU!$A$2:$P$500,12,FALSE),1))</f>
        <v/>
      </c>
      <c r="Z64" s="37" t="str">
        <f t="shared" ca="1" si="7"/>
        <v/>
      </c>
    </row>
    <row r="65" spans="1:26" x14ac:dyDescent="0.35">
      <c r="A65" s="18"/>
      <c r="B65" s="26"/>
      <c r="C65" s="18"/>
      <c r="D65" s="18"/>
      <c r="E65" s="22" t="str">
        <f>IFERROR(VLOOKUP(D65,Clientes_PDV!$A$2:$J$250,2,FALSE),"")</f>
        <v/>
      </c>
      <c r="F65" s="22" t="str">
        <f>IFERROR(VLOOKUP(D65,Clientes_PDV!$A$2:$J$250,3,FALSE),"")</f>
        <v/>
      </c>
      <c r="G65" s="22" t="str">
        <f>IFERROR(VLOOKUP(D65,Clientes_PDV!$A$2:$J$250,4,FALSE),"")</f>
        <v/>
      </c>
      <c r="H65" s="18"/>
      <c r="I65" s="22" t="str">
        <f>IFERROR(VLOOKUP(H65,Maestro_SKU!$A$2:$P$500,2,FALSE),"")</f>
        <v/>
      </c>
      <c r="J65" s="27"/>
      <c r="K65" s="19"/>
      <c r="L65" s="23" t="str">
        <f t="shared" si="0"/>
        <v/>
      </c>
      <c r="M65" s="23" t="str">
        <f>IF(L65="","",L65*Inicio!$B$13)</f>
        <v/>
      </c>
      <c r="N65" s="23" t="str">
        <f t="shared" si="1"/>
        <v/>
      </c>
      <c r="O65" s="26"/>
      <c r="P65" s="18"/>
      <c r="Q65" s="19"/>
      <c r="R65" s="23" t="str">
        <f t="shared" si="2"/>
        <v/>
      </c>
      <c r="S65" s="22" t="str">
        <f ca="1">IF(A65="","",IF(OR(P65="Pagada",R65=0),"Pagada",IF(O65&lt;TODAY(),"Vencida",IF(O65&lt;=TODAY()+Inicio!$B$19,"Próxima a vencer","Vigente"))))</f>
        <v/>
      </c>
      <c r="T65" s="18"/>
      <c r="U65" s="37" t="str">
        <f t="shared" si="3"/>
        <v/>
      </c>
      <c r="V65" s="37" t="str">
        <f t="shared" si="4"/>
        <v/>
      </c>
      <c r="W65" s="37" t="str">
        <f t="shared" si="5"/>
        <v/>
      </c>
      <c r="X65" s="37" t="str">
        <f t="shared" si="6"/>
        <v/>
      </c>
      <c r="Y65" s="37" t="str">
        <f>IF(OR($H65="",$J65=""),"",$J65*IFERROR(VLOOKUP($H65,Maestro_SKU!$A$2:$P$500,12,FALSE),1))</f>
        <v/>
      </c>
      <c r="Z65" s="37" t="str">
        <f t="shared" ca="1" si="7"/>
        <v/>
      </c>
    </row>
    <row r="66" spans="1:26" x14ac:dyDescent="0.35">
      <c r="A66" s="18"/>
      <c r="B66" s="26"/>
      <c r="C66" s="18"/>
      <c r="D66" s="18"/>
      <c r="E66" s="22" t="str">
        <f>IFERROR(VLOOKUP(D66,Clientes_PDV!$A$2:$J$250,2,FALSE),"")</f>
        <v/>
      </c>
      <c r="F66" s="22" t="str">
        <f>IFERROR(VLOOKUP(D66,Clientes_PDV!$A$2:$J$250,3,FALSE),"")</f>
        <v/>
      </c>
      <c r="G66" s="22" t="str">
        <f>IFERROR(VLOOKUP(D66,Clientes_PDV!$A$2:$J$250,4,FALSE),"")</f>
        <v/>
      </c>
      <c r="H66" s="18"/>
      <c r="I66" s="22" t="str">
        <f>IFERROR(VLOOKUP(H66,Maestro_SKU!$A$2:$P$500,2,FALSE),"")</f>
        <v/>
      </c>
      <c r="J66" s="27"/>
      <c r="K66" s="19"/>
      <c r="L66" s="23" t="str">
        <f t="shared" ref="L66:L129" si="8">IF(OR(J66="",K66=""),"",J66*K66)</f>
        <v/>
      </c>
      <c r="M66" s="23" t="str">
        <f>IF(L66="","",L66*Inicio!$B$13)</f>
        <v/>
      </c>
      <c r="N66" s="23" t="str">
        <f t="shared" ref="N66:N129" si="9">IF(L66="","",L66+M66)</f>
        <v/>
      </c>
      <c r="O66" s="26"/>
      <c r="P66" s="18"/>
      <c r="Q66" s="19"/>
      <c r="R66" s="23" t="str">
        <f t="shared" ref="R66:R129" si="10">IF(N66="","",MAX(N66-Q66,0))</f>
        <v/>
      </c>
      <c r="S66" s="22" t="str">
        <f ca="1">IF(A66="","",IF(OR(P66="Pagada",R66=0),"Pagada",IF(O66&lt;TODAY(),"Vencida",IF(O66&lt;=TODAY()+Inicio!$B$19,"Próxima a vencer","Vigente"))))</f>
        <v/>
      </c>
      <c r="T66" s="18"/>
      <c r="U66" s="37" t="str">
        <f t="shared" ref="U66:U129" si="11">IF($B66="","",YEAR($B66))</f>
        <v/>
      </c>
      <c r="V66" s="37" t="str">
        <f t="shared" ref="V66:V129" si="12">IF($B66="","",MONTH($B66))</f>
        <v/>
      </c>
      <c r="W66" s="37" t="str">
        <f t="shared" ref="W66:W129" si="13">IF($B66="","",DAY($B66))</f>
        <v/>
      </c>
      <c r="X66" s="37" t="str">
        <f t="shared" ref="X66:X129" si="14">IF($B66="","",YEAR($B66)&amp;"-"&amp;TEXT(MONTH($B66),"00"))</f>
        <v/>
      </c>
      <c r="Y66" s="37" t="str">
        <f>IF(OR($H66="",$J66=""),"",$J66*IFERROR(VLOOKUP($H66,Maestro_SKU!$A$2:$P$500,12,FALSE),1))</f>
        <v/>
      </c>
      <c r="Z66" s="37" t="str">
        <f t="shared" ref="Z66:Z129" ca="1" si="15">IF(OR($A66="",$O66="",$S66="Pagada"),"",$O66-TODAY())</f>
        <v/>
      </c>
    </row>
    <row r="67" spans="1:26" x14ac:dyDescent="0.35">
      <c r="A67" s="18"/>
      <c r="B67" s="26"/>
      <c r="C67" s="18"/>
      <c r="D67" s="18"/>
      <c r="E67" s="22" t="str">
        <f>IFERROR(VLOOKUP(D67,Clientes_PDV!$A$2:$J$250,2,FALSE),"")</f>
        <v/>
      </c>
      <c r="F67" s="22" t="str">
        <f>IFERROR(VLOOKUP(D67,Clientes_PDV!$A$2:$J$250,3,FALSE),"")</f>
        <v/>
      </c>
      <c r="G67" s="22" t="str">
        <f>IFERROR(VLOOKUP(D67,Clientes_PDV!$A$2:$J$250,4,FALSE),"")</f>
        <v/>
      </c>
      <c r="H67" s="18"/>
      <c r="I67" s="22" t="str">
        <f>IFERROR(VLOOKUP(H67,Maestro_SKU!$A$2:$P$500,2,FALSE),"")</f>
        <v/>
      </c>
      <c r="J67" s="27"/>
      <c r="K67" s="19"/>
      <c r="L67" s="23" t="str">
        <f t="shared" si="8"/>
        <v/>
      </c>
      <c r="M67" s="23" t="str">
        <f>IF(L67="","",L67*Inicio!$B$13)</f>
        <v/>
      </c>
      <c r="N67" s="23" t="str">
        <f t="shared" si="9"/>
        <v/>
      </c>
      <c r="O67" s="26"/>
      <c r="P67" s="18"/>
      <c r="Q67" s="19"/>
      <c r="R67" s="23" t="str">
        <f t="shared" si="10"/>
        <v/>
      </c>
      <c r="S67" s="22" t="str">
        <f ca="1">IF(A67="","",IF(OR(P67="Pagada",R67=0),"Pagada",IF(O67&lt;TODAY(),"Vencida",IF(O67&lt;=TODAY()+Inicio!$B$19,"Próxima a vencer","Vigente"))))</f>
        <v/>
      </c>
      <c r="T67" s="18"/>
      <c r="U67" s="37" t="str">
        <f t="shared" si="11"/>
        <v/>
      </c>
      <c r="V67" s="37" t="str">
        <f t="shared" si="12"/>
        <v/>
      </c>
      <c r="W67" s="37" t="str">
        <f t="shared" si="13"/>
        <v/>
      </c>
      <c r="X67" s="37" t="str">
        <f t="shared" si="14"/>
        <v/>
      </c>
      <c r="Y67" s="37" t="str">
        <f>IF(OR($H67="",$J67=""),"",$J67*IFERROR(VLOOKUP($H67,Maestro_SKU!$A$2:$P$500,12,FALSE),1))</f>
        <v/>
      </c>
      <c r="Z67" s="37" t="str">
        <f t="shared" ca="1" si="15"/>
        <v/>
      </c>
    </row>
    <row r="68" spans="1:26" x14ac:dyDescent="0.35">
      <c r="A68" s="18"/>
      <c r="B68" s="26"/>
      <c r="C68" s="18"/>
      <c r="D68" s="18"/>
      <c r="E68" s="22" t="str">
        <f>IFERROR(VLOOKUP(D68,Clientes_PDV!$A$2:$J$250,2,FALSE),"")</f>
        <v/>
      </c>
      <c r="F68" s="22" t="str">
        <f>IFERROR(VLOOKUP(D68,Clientes_PDV!$A$2:$J$250,3,FALSE),"")</f>
        <v/>
      </c>
      <c r="G68" s="22" t="str">
        <f>IFERROR(VLOOKUP(D68,Clientes_PDV!$A$2:$J$250,4,FALSE),"")</f>
        <v/>
      </c>
      <c r="H68" s="18"/>
      <c r="I68" s="22" t="str">
        <f>IFERROR(VLOOKUP(H68,Maestro_SKU!$A$2:$P$500,2,FALSE),"")</f>
        <v/>
      </c>
      <c r="J68" s="27"/>
      <c r="K68" s="19"/>
      <c r="L68" s="23" t="str">
        <f t="shared" si="8"/>
        <v/>
      </c>
      <c r="M68" s="23" t="str">
        <f>IF(L68="","",L68*Inicio!$B$13)</f>
        <v/>
      </c>
      <c r="N68" s="23" t="str">
        <f t="shared" si="9"/>
        <v/>
      </c>
      <c r="O68" s="26"/>
      <c r="P68" s="18"/>
      <c r="Q68" s="19"/>
      <c r="R68" s="23" t="str">
        <f t="shared" si="10"/>
        <v/>
      </c>
      <c r="S68" s="22" t="str">
        <f ca="1">IF(A68="","",IF(OR(P68="Pagada",R68=0),"Pagada",IF(O68&lt;TODAY(),"Vencida",IF(O68&lt;=TODAY()+Inicio!$B$19,"Próxima a vencer","Vigente"))))</f>
        <v/>
      </c>
      <c r="T68" s="18"/>
      <c r="U68" s="37" t="str">
        <f t="shared" si="11"/>
        <v/>
      </c>
      <c r="V68" s="37" t="str">
        <f t="shared" si="12"/>
        <v/>
      </c>
      <c r="W68" s="37" t="str">
        <f t="shared" si="13"/>
        <v/>
      </c>
      <c r="X68" s="37" t="str">
        <f t="shared" si="14"/>
        <v/>
      </c>
      <c r="Y68" s="37" t="str">
        <f>IF(OR($H68="",$J68=""),"",$J68*IFERROR(VLOOKUP($H68,Maestro_SKU!$A$2:$P$500,12,FALSE),1))</f>
        <v/>
      </c>
      <c r="Z68" s="37" t="str">
        <f t="shared" ca="1" si="15"/>
        <v/>
      </c>
    </row>
    <row r="69" spans="1:26" x14ac:dyDescent="0.35">
      <c r="A69" s="18"/>
      <c r="B69" s="26"/>
      <c r="C69" s="18"/>
      <c r="D69" s="18"/>
      <c r="E69" s="22" t="str">
        <f>IFERROR(VLOOKUP(D69,Clientes_PDV!$A$2:$J$250,2,FALSE),"")</f>
        <v/>
      </c>
      <c r="F69" s="22" t="str">
        <f>IFERROR(VLOOKUP(D69,Clientes_PDV!$A$2:$J$250,3,FALSE),"")</f>
        <v/>
      </c>
      <c r="G69" s="22" t="str">
        <f>IFERROR(VLOOKUP(D69,Clientes_PDV!$A$2:$J$250,4,FALSE),"")</f>
        <v/>
      </c>
      <c r="H69" s="18"/>
      <c r="I69" s="22" t="str">
        <f>IFERROR(VLOOKUP(H69,Maestro_SKU!$A$2:$P$500,2,FALSE),"")</f>
        <v/>
      </c>
      <c r="J69" s="27"/>
      <c r="K69" s="19"/>
      <c r="L69" s="23" t="str">
        <f t="shared" si="8"/>
        <v/>
      </c>
      <c r="M69" s="23" t="str">
        <f>IF(L69="","",L69*Inicio!$B$13)</f>
        <v/>
      </c>
      <c r="N69" s="23" t="str">
        <f t="shared" si="9"/>
        <v/>
      </c>
      <c r="O69" s="26"/>
      <c r="P69" s="18"/>
      <c r="Q69" s="19"/>
      <c r="R69" s="23" t="str">
        <f t="shared" si="10"/>
        <v/>
      </c>
      <c r="S69" s="22" t="str">
        <f ca="1">IF(A69="","",IF(OR(P69="Pagada",R69=0),"Pagada",IF(O69&lt;TODAY(),"Vencida",IF(O69&lt;=TODAY()+Inicio!$B$19,"Próxima a vencer","Vigente"))))</f>
        <v/>
      </c>
      <c r="T69" s="18"/>
      <c r="U69" s="37" t="str">
        <f t="shared" si="11"/>
        <v/>
      </c>
      <c r="V69" s="37" t="str">
        <f t="shared" si="12"/>
        <v/>
      </c>
      <c r="W69" s="37" t="str">
        <f t="shared" si="13"/>
        <v/>
      </c>
      <c r="X69" s="37" t="str">
        <f t="shared" si="14"/>
        <v/>
      </c>
      <c r="Y69" s="37" t="str">
        <f>IF(OR($H69="",$J69=""),"",$J69*IFERROR(VLOOKUP($H69,Maestro_SKU!$A$2:$P$500,12,FALSE),1))</f>
        <v/>
      </c>
      <c r="Z69" s="37" t="str">
        <f t="shared" ca="1" si="15"/>
        <v/>
      </c>
    </row>
    <row r="70" spans="1:26" x14ac:dyDescent="0.35">
      <c r="A70" s="18"/>
      <c r="B70" s="26"/>
      <c r="C70" s="18"/>
      <c r="D70" s="18"/>
      <c r="E70" s="22" t="str">
        <f>IFERROR(VLOOKUP(D70,Clientes_PDV!$A$2:$J$250,2,FALSE),"")</f>
        <v/>
      </c>
      <c r="F70" s="22" t="str">
        <f>IFERROR(VLOOKUP(D70,Clientes_PDV!$A$2:$J$250,3,FALSE),"")</f>
        <v/>
      </c>
      <c r="G70" s="22" t="str">
        <f>IFERROR(VLOOKUP(D70,Clientes_PDV!$A$2:$J$250,4,FALSE),"")</f>
        <v/>
      </c>
      <c r="H70" s="18"/>
      <c r="I70" s="22" t="str">
        <f>IFERROR(VLOOKUP(H70,Maestro_SKU!$A$2:$P$500,2,FALSE),"")</f>
        <v/>
      </c>
      <c r="J70" s="27"/>
      <c r="K70" s="19"/>
      <c r="L70" s="23" t="str">
        <f t="shared" si="8"/>
        <v/>
      </c>
      <c r="M70" s="23" t="str">
        <f>IF(L70="","",L70*Inicio!$B$13)</f>
        <v/>
      </c>
      <c r="N70" s="23" t="str">
        <f t="shared" si="9"/>
        <v/>
      </c>
      <c r="O70" s="26"/>
      <c r="P70" s="18"/>
      <c r="Q70" s="19"/>
      <c r="R70" s="23" t="str">
        <f t="shared" si="10"/>
        <v/>
      </c>
      <c r="S70" s="22" t="str">
        <f ca="1">IF(A70="","",IF(OR(P70="Pagada",R70=0),"Pagada",IF(O70&lt;TODAY(),"Vencida",IF(O70&lt;=TODAY()+Inicio!$B$19,"Próxima a vencer","Vigente"))))</f>
        <v/>
      </c>
      <c r="T70" s="18"/>
      <c r="U70" s="37" t="str">
        <f t="shared" si="11"/>
        <v/>
      </c>
      <c r="V70" s="37" t="str">
        <f t="shared" si="12"/>
        <v/>
      </c>
      <c r="W70" s="37" t="str">
        <f t="shared" si="13"/>
        <v/>
      </c>
      <c r="X70" s="37" t="str">
        <f t="shared" si="14"/>
        <v/>
      </c>
      <c r="Y70" s="37" t="str">
        <f>IF(OR($H70="",$J70=""),"",$J70*IFERROR(VLOOKUP($H70,Maestro_SKU!$A$2:$P$500,12,FALSE),1))</f>
        <v/>
      </c>
      <c r="Z70" s="37" t="str">
        <f t="shared" ca="1" si="15"/>
        <v/>
      </c>
    </row>
    <row r="71" spans="1:26" x14ac:dyDescent="0.35">
      <c r="A71" s="18"/>
      <c r="B71" s="26"/>
      <c r="C71" s="18"/>
      <c r="D71" s="18"/>
      <c r="E71" s="22" t="str">
        <f>IFERROR(VLOOKUP(D71,Clientes_PDV!$A$2:$J$250,2,FALSE),"")</f>
        <v/>
      </c>
      <c r="F71" s="22" t="str">
        <f>IFERROR(VLOOKUP(D71,Clientes_PDV!$A$2:$J$250,3,FALSE),"")</f>
        <v/>
      </c>
      <c r="G71" s="22" t="str">
        <f>IFERROR(VLOOKUP(D71,Clientes_PDV!$A$2:$J$250,4,FALSE),"")</f>
        <v/>
      </c>
      <c r="H71" s="18"/>
      <c r="I71" s="22" t="str">
        <f>IFERROR(VLOOKUP(H71,Maestro_SKU!$A$2:$P$500,2,FALSE),"")</f>
        <v/>
      </c>
      <c r="J71" s="27"/>
      <c r="K71" s="19"/>
      <c r="L71" s="23" t="str">
        <f t="shared" si="8"/>
        <v/>
      </c>
      <c r="M71" s="23" t="str">
        <f>IF(L71="","",L71*Inicio!$B$13)</f>
        <v/>
      </c>
      <c r="N71" s="23" t="str">
        <f t="shared" si="9"/>
        <v/>
      </c>
      <c r="O71" s="26"/>
      <c r="P71" s="18"/>
      <c r="Q71" s="19"/>
      <c r="R71" s="23" t="str">
        <f t="shared" si="10"/>
        <v/>
      </c>
      <c r="S71" s="22" t="str">
        <f ca="1">IF(A71="","",IF(OR(P71="Pagada",R71=0),"Pagada",IF(O71&lt;TODAY(),"Vencida",IF(O71&lt;=TODAY()+Inicio!$B$19,"Próxima a vencer","Vigente"))))</f>
        <v/>
      </c>
      <c r="T71" s="18"/>
      <c r="U71" s="37" t="str">
        <f t="shared" si="11"/>
        <v/>
      </c>
      <c r="V71" s="37" t="str">
        <f t="shared" si="12"/>
        <v/>
      </c>
      <c r="W71" s="37" t="str">
        <f t="shared" si="13"/>
        <v/>
      </c>
      <c r="X71" s="37" t="str">
        <f t="shared" si="14"/>
        <v/>
      </c>
      <c r="Y71" s="37" t="str">
        <f>IF(OR($H71="",$J71=""),"",$J71*IFERROR(VLOOKUP($H71,Maestro_SKU!$A$2:$P$500,12,FALSE),1))</f>
        <v/>
      </c>
      <c r="Z71" s="37" t="str">
        <f t="shared" ca="1" si="15"/>
        <v/>
      </c>
    </row>
    <row r="72" spans="1:26" x14ac:dyDescent="0.35">
      <c r="A72" s="18"/>
      <c r="B72" s="26"/>
      <c r="C72" s="18"/>
      <c r="D72" s="18"/>
      <c r="E72" s="22" t="str">
        <f>IFERROR(VLOOKUP(D72,Clientes_PDV!$A$2:$J$250,2,FALSE),"")</f>
        <v/>
      </c>
      <c r="F72" s="22" t="str">
        <f>IFERROR(VLOOKUP(D72,Clientes_PDV!$A$2:$J$250,3,FALSE),"")</f>
        <v/>
      </c>
      <c r="G72" s="22" t="str">
        <f>IFERROR(VLOOKUP(D72,Clientes_PDV!$A$2:$J$250,4,FALSE),"")</f>
        <v/>
      </c>
      <c r="H72" s="18"/>
      <c r="I72" s="22" t="str">
        <f>IFERROR(VLOOKUP(H72,Maestro_SKU!$A$2:$P$500,2,FALSE),"")</f>
        <v/>
      </c>
      <c r="J72" s="27"/>
      <c r="K72" s="19"/>
      <c r="L72" s="23" t="str">
        <f t="shared" si="8"/>
        <v/>
      </c>
      <c r="M72" s="23" t="str">
        <f>IF(L72="","",L72*Inicio!$B$13)</f>
        <v/>
      </c>
      <c r="N72" s="23" t="str">
        <f t="shared" si="9"/>
        <v/>
      </c>
      <c r="O72" s="26"/>
      <c r="P72" s="18"/>
      <c r="Q72" s="19"/>
      <c r="R72" s="23" t="str">
        <f t="shared" si="10"/>
        <v/>
      </c>
      <c r="S72" s="22" t="str">
        <f ca="1">IF(A72="","",IF(OR(P72="Pagada",R72=0),"Pagada",IF(O72&lt;TODAY(),"Vencida",IF(O72&lt;=TODAY()+Inicio!$B$19,"Próxima a vencer","Vigente"))))</f>
        <v/>
      </c>
      <c r="T72" s="18"/>
      <c r="U72" s="37" t="str">
        <f t="shared" si="11"/>
        <v/>
      </c>
      <c r="V72" s="37" t="str">
        <f t="shared" si="12"/>
        <v/>
      </c>
      <c r="W72" s="37" t="str">
        <f t="shared" si="13"/>
        <v/>
      </c>
      <c r="X72" s="37" t="str">
        <f t="shared" si="14"/>
        <v/>
      </c>
      <c r="Y72" s="37" t="str">
        <f>IF(OR($H72="",$J72=""),"",$J72*IFERROR(VLOOKUP($H72,Maestro_SKU!$A$2:$P$500,12,FALSE),1))</f>
        <v/>
      </c>
      <c r="Z72" s="37" t="str">
        <f t="shared" ca="1" si="15"/>
        <v/>
      </c>
    </row>
    <row r="73" spans="1:26" x14ac:dyDescent="0.35">
      <c r="A73" s="18"/>
      <c r="B73" s="26"/>
      <c r="C73" s="18"/>
      <c r="D73" s="18"/>
      <c r="E73" s="22" t="str">
        <f>IFERROR(VLOOKUP(D73,Clientes_PDV!$A$2:$J$250,2,FALSE),"")</f>
        <v/>
      </c>
      <c r="F73" s="22" t="str">
        <f>IFERROR(VLOOKUP(D73,Clientes_PDV!$A$2:$J$250,3,FALSE),"")</f>
        <v/>
      </c>
      <c r="G73" s="22" t="str">
        <f>IFERROR(VLOOKUP(D73,Clientes_PDV!$A$2:$J$250,4,FALSE),"")</f>
        <v/>
      </c>
      <c r="H73" s="18"/>
      <c r="I73" s="22" t="str">
        <f>IFERROR(VLOOKUP(H73,Maestro_SKU!$A$2:$P$500,2,FALSE),"")</f>
        <v/>
      </c>
      <c r="J73" s="27"/>
      <c r="K73" s="19"/>
      <c r="L73" s="23" t="str">
        <f t="shared" si="8"/>
        <v/>
      </c>
      <c r="M73" s="23" t="str">
        <f>IF(L73="","",L73*Inicio!$B$13)</f>
        <v/>
      </c>
      <c r="N73" s="23" t="str">
        <f t="shared" si="9"/>
        <v/>
      </c>
      <c r="O73" s="26"/>
      <c r="P73" s="18"/>
      <c r="Q73" s="19"/>
      <c r="R73" s="23" t="str">
        <f t="shared" si="10"/>
        <v/>
      </c>
      <c r="S73" s="22" t="str">
        <f ca="1">IF(A73="","",IF(OR(P73="Pagada",R73=0),"Pagada",IF(O73&lt;TODAY(),"Vencida",IF(O73&lt;=TODAY()+Inicio!$B$19,"Próxima a vencer","Vigente"))))</f>
        <v/>
      </c>
      <c r="T73" s="18"/>
      <c r="U73" s="37" t="str">
        <f t="shared" si="11"/>
        <v/>
      </c>
      <c r="V73" s="37" t="str">
        <f t="shared" si="12"/>
        <v/>
      </c>
      <c r="W73" s="37" t="str">
        <f t="shared" si="13"/>
        <v/>
      </c>
      <c r="X73" s="37" t="str">
        <f t="shared" si="14"/>
        <v/>
      </c>
      <c r="Y73" s="37" t="str">
        <f>IF(OR($H73="",$J73=""),"",$J73*IFERROR(VLOOKUP($H73,Maestro_SKU!$A$2:$P$500,12,FALSE),1))</f>
        <v/>
      </c>
      <c r="Z73" s="37" t="str">
        <f t="shared" ca="1" si="15"/>
        <v/>
      </c>
    </row>
    <row r="74" spans="1:26" x14ac:dyDescent="0.35">
      <c r="A74" s="18"/>
      <c r="B74" s="26"/>
      <c r="C74" s="18"/>
      <c r="D74" s="18"/>
      <c r="E74" s="22" t="str">
        <f>IFERROR(VLOOKUP(D74,Clientes_PDV!$A$2:$J$250,2,FALSE),"")</f>
        <v/>
      </c>
      <c r="F74" s="22" t="str">
        <f>IFERROR(VLOOKUP(D74,Clientes_PDV!$A$2:$J$250,3,FALSE),"")</f>
        <v/>
      </c>
      <c r="G74" s="22" t="str">
        <f>IFERROR(VLOOKUP(D74,Clientes_PDV!$A$2:$J$250,4,FALSE),"")</f>
        <v/>
      </c>
      <c r="H74" s="18"/>
      <c r="I74" s="22" t="str">
        <f>IFERROR(VLOOKUP(H74,Maestro_SKU!$A$2:$P$500,2,FALSE),"")</f>
        <v/>
      </c>
      <c r="J74" s="27"/>
      <c r="K74" s="19"/>
      <c r="L74" s="23" t="str">
        <f t="shared" si="8"/>
        <v/>
      </c>
      <c r="M74" s="23" t="str">
        <f>IF(L74="","",L74*Inicio!$B$13)</f>
        <v/>
      </c>
      <c r="N74" s="23" t="str">
        <f t="shared" si="9"/>
        <v/>
      </c>
      <c r="O74" s="26"/>
      <c r="P74" s="18"/>
      <c r="Q74" s="19"/>
      <c r="R74" s="23" t="str">
        <f t="shared" si="10"/>
        <v/>
      </c>
      <c r="S74" s="22" t="str">
        <f ca="1">IF(A74="","",IF(OR(P74="Pagada",R74=0),"Pagada",IF(O74&lt;TODAY(),"Vencida",IF(O74&lt;=TODAY()+Inicio!$B$19,"Próxima a vencer","Vigente"))))</f>
        <v/>
      </c>
      <c r="T74" s="18"/>
      <c r="U74" s="37" t="str">
        <f t="shared" si="11"/>
        <v/>
      </c>
      <c r="V74" s="37" t="str">
        <f t="shared" si="12"/>
        <v/>
      </c>
      <c r="W74" s="37" t="str">
        <f t="shared" si="13"/>
        <v/>
      </c>
      <c r="X74" s="37" t="str">
        <f t="shared" si="14"/>
        <v/>
      </c>
      <c r="Y74" s="37" t="str">
        <f>IF(OR($H74="",$J74=""),"",$J74*IFERROR(VLOOKUP($H74,Maestro_SKU!$A$2:$P$500,12,FALSE),1))</f>
        <v/>
      </c>
      <c r="Z74" s="37" t="str">
        <f t="shared" ca="1" si="15"/>
        <v/>
      </c>
    </row>
    <row r="75" spans="1:26" x14ac:dyDescent="0.35">
      <c r="A75" s="18"/>
      <c r="B75" s="26"/>
      <c r="C75" s="18"/>
      <c r="D75" s="18"/>
      <c r="E75" s="22" t="str">
        <f>IFERROR(VLOOKUP(D75,Clientes_PDV!$A$2:$J$250,2,FALSE),"")</f>
        <v/>
      </c>
      <c r="F75" s="22" t="str">
        <f>IFERROR(VLOOKUP(D75,Clientes_PDV!$A$2:$J$250,3,FALSE),"")</f>
        <v/>
      </c>
      <c r="G75" s="22" t="str">
        <f>IFERROR(VLOOKUP(D75,Clientes_PDV!$A$2:$J$250,4,FALSE),"")</f>
        <v/>
      </c>
      <c r="H75" s="18"/>
      <c r="I75" s="22" t="str">
        <f>IFERROR(VLOOKUP(H75,Maestro_SKU!$A$2:$P$500,2,FALSE),"")</f>
        <v/>
      </c>
      <c r="J75" s="27"/>
      <c r="K75" s="19"/>
      <c r="L75" s="23" t="str">
        <f t="shared" si="8"/>
        <v/>
      </c>
      <c r="M75" s="23" t="str">
        <f>IF(L75="","",L75*Inicio!$B$13)</f>
        <v/>
      </c>
      <c r="N75" s="23" t="str">
        <f t="shared" si="9"/>
        <v/>
      </c>
      <c r="O75" s="26"/>
      <c r="P75" s="18"/>
      <c r="Q75" s="19"/>
      <c r="R75" s="23" t="str">
        <f t="shared" si="10"/>
        <v/>
      </c>
      <c r="S75" s="22" t="str">
        <f ca="1">IF(A75="","",IF(OR(P75="Pagada",R75=0),"Pagada",IF(O75&lt;TODAY(),"Vencida",IF(O75&lt;=TODAY()+Inicio!$B$19,"Próxima a vencer","Vigente"))))</f>
        <v/>
      </c>
      <c r="T75" s="18"/>
      <c r="U75" s="37" t="str">
        <f t="shared" si="11"/>
        <v/>
      </c>
      <c r="V75" s="37" t="str">
        <f t="shared" si="12"/>
        <v/>
      </c>
      <c r="W75" s="37" t="str">
        <f t="shared" si="13"/>
        <v/>
      </c>
      <c r="X75" s="37" t="str">
        <f t="shared" si="14"/>
        <v/>
      </c>
      <c r="Y75" s="37" t="str">
        <f>IF(OR($H75="",$J75=""),"",$J75*IFERROR(VLOOKUP($H75,Maestro_SKU!$A$2:$P$500,12,FALSE),1))</f>
        <v/>
      </c>
      <c r="Z75" s="37" t="str">
        <f t="shared" ca="1" si="15"/>
        <v/>
      </c>
    </row>
    <row r="76" spans="1:26" x14ac:dyDescent="0.35">
      <c r="A76" s="18"/>
      <c r="B76" s="26"/>
      <c r="C76" s="18"/>
      <c r="D76" s="18"/>
      <c r="E76" s="22" t="str">
        <f>IFERROR(VLOOKUP(D76,Clientes_PDV!$A$2:$J$250,2,FALSE),"")</f>
        <v/>
      </c>
      <c r="F76" s="22" t="str">
        <f>IFERROR(VLOOKUP(D76,Clientes_PDV!$A$2:$J$250,3,FALSE),"")</f>
        <v/>
      </c>
      <c r="G76" s="22" t="str">
        <f>IFERROR(VLOOKUP(D76,Clientes_PDV!$A$2:$J$250,4,FALSE),"")</f>
        <v/>
      </c>
      <c r="H76" s="18"/>
      <c r="I76" s="22" t="str">
        <f>IFERROR(VLOOKUP(H76,Maestro_SKU!$A$2:$P$500,2,FALSE),"")</f>
        <v/>
      </c>
      <c r="J76" s="27"/>
      <c r="K76" s="19"/>
      <c r="L76" s="23" t="str">
        <f t="shared" si="8"/>
        <v/>
      </c>
      <c r="M76" s="23" t="str">
        <f>IF(L76="","",L76*Inicio!$B$13)</f>
        <v/>
      </c>
      <c r="N76" s="23" t="str">
        <f t="shared" si="9"/>
        <v/>
      </c>
      <c r="O76" s="26"/>
      <c r="P76" s="18"/>
      <c r="Q76" s="19"/>
      <c r="R76" s="23" t="str">
        <f t="shared" si="10"/>
        <v/>
      </c>
      <c r="S76" s="22" t="str">
        <f ca="1">IF(A76="","",IF(OR(P76="Pagada",R76=0),"Pagada",IF(O76&lt;TODAY(),"Vencida",IF(O76&lt;=TODAY()+Inicio!$B$19,"Próxima a vencer","Vigente"))))</f>
        <v/>
      </c>
      <c r="T76" s="18"/>
      <c r="U76" s="37" t="str">
        <f t="shared" si="11"/>
        <v/>
      </c>
      <c r="V76" s="37" t="str">
        <f t="shared" si="12"/>
        <v/>
      </c>
      <c r="W76" s="37" t="str">
        <f t="shared" si="13"/>
        <v/>
      </c>
      <c r="X76" s="37" t="str">
        <f t="shared" si="14"/>
        <v/>
      </c>
      <c r="Y76" s="37" t="str">
        <f>IF(OR($H76="",$J76=""),"",$J76*IFERROR(VLOOKUP($H76,Maestro_SKU!$A$2:$P$500,12,FALSE),1))</f>
        <v/>
      </c>
      <c r="Z76" s="37" t="str">
        <f t="shared" ca="1" si="15"/>
        <v/>
      </c>
    </row>
    <row r="77" spans="1:26" x14ac:dyDescent="0.35">
      <c r="A77" s="18"/>
      <c r="B77" s="26"/>
      <c r="C77" s="18"/>
      <c r="D77" s="18"/>
      <c r="E77" s="22" t="str">
        <f>IFERROR(VLOOKUP(D77,Clientes_PDV!$A$2:$J$250,2,FALSE),"")</f>
        <v/>
      </c>
      <c r="F77" s="22" t="str">
        <f>IFERROR(VLOOKUP(D77,Clientes_PDV!$A$2:$J$250,3,FALSE),"")</f>
        <v/>
      </c>
      <c r="G77" s="22" t="str">
        <f>IFERROR(VLOOKUP(D77,Clientes_PDV!$A$2:$J$250,4,FALSE),"")</f>
        <v/>
      </c>
      <c r="H77" s="18"/>
      <c r="I77" s="22" t="str">
        <f>IFERROR(VLOOKUP(H77,Maestro_SKU!$A$2:$P$500,2,FALSE),"")</f>
        <v/>
      </c>
      <c r="J77" s="27"/>
      <c r="K77" s="19"/>
      <c r="L77" s="23" t="str">
        <f t="shared" si="8"/>
        <v/>
      </c>
      <c r="M77" s="23" t="str">
        <f>IF(L77="","",L77*Inicio!$B$13)</f>
        <v/>
      </c>
      <c r="N77" s="23" t="str">
        <f t="shared" si="9"/>
        <v/>
      </c>
      <c r="O77" s="26"/>
      <c r="P77" s="18"/>
      <c r="Q77" s="19"/>
      <c r="R77" s="23" t="str">
        <f t="shared" si="10"/>
        <v/>
      </c>
      <c r="S77" s="22" t="str">
        <f ca="1">IF(A77="","",IF(OR(P77="Pagada",R77=0),"Pagada",IF(O77&lt;TODAY(),"Vencida",IF(O77&lt;=TODAY()+Inicio!$B$19,"Próxima a vencer","Vigente"))))</f>
        <v/>
      </c>
      <c r="T77" s="18"/>
      <c r="U77" s="37" t="str">
        <f t="shared" si="11"/>
        <v/>
      </c>
      <c r="V77" s="37" t="str">
        <f t="shared" si="12"/>
        <v/>
      </c>
      <c r="W77" s="37" t="str">
        <f t="shared" si="13"/>
        <v/>
      </c>
      <c r="X77" s="37" t="str">
        <f t="shared" si="14"/>
        <v/>
      </c>
      <c r="Y77" s="37" t="str">
        <f>IF(OR($H77="",$J77=""),"",$J77*IFERROR(VLOOKUP($H77,Maestro_SKU!$A$2:$P$500,12,FALSE),1))</f>
        <v/>
      </c>
      <c r="Z77" s="37" t="str">
        <f t="shared" ca="1" si="15"/>
        <v/>
      </c>
    </row>
    <row r="78" spans="1:26" x14ac:dyDescent="0.35">
      <c r="A78" s="18"/>
      <c r="B78" s="26"/>
      <c r="C78" s="18"/>
      <c r="D78" s="18"/>
      <c r="E78" s="22" t="str">
        <f>IFERROR(VLOOKUP(D78,Clientes_PDV!$A$2:$J$250,2,FALSE),"")</f>
        <v/>
      </c>
      <c r="F78" s="22" t="str">
        <f>IFERROR(VLOOKUP(D78,Clientes_PDV!$A$2:$J$250,3,FALSE),"")</f>
        <v/>
      </c>
      <c r="G78" s="22" t="str">
        <f>IFERROR(VLOOKUP(D78,Clientes_PDV!$A$2:$J$250,4,FALSE),"")</f>
        <v/>
      </c>
      <c r="H78" s="18"/>
      <c r="I78" s="22" t="str">
        <f>IFERROR(VLOOKUP(H78,Maestro_SKU!$A$2:$P$500,2,FALSE),"")</f>
        <v/>
      </c>
      <c r="J78" s="27"/>
      <c r="K78" s="19"/>
      <c r="L78" s="23" t="str">
        <f t="shared" si="8"/>
        <v/>
      </c>
      <c r="M78" s="23" t="str">
        <f>IF(L78="","",L78*Inicio!$B$13)</f>
        <v/>
      </c>
      <c r="N78" s="23" t="str">
        <f t="shared" si="9"/>
        <v/>
      </c>
      <c r="O78" s="26"/>
      <c r="P78" s="18"/>
      <c r="Q78" s="19"/>
      <c r="R78" s="23" t="str">
        <f t="shared" si="10"/>
        <v/>
      </c>
      <c r="S78" s="22" t="str">
        <f ca="1">IF(A78="","",IF(OR(P78="Pagada",R78=0),"Pagada",IF(O78&lt;TODAY(),"Vencida",IF(O78&lt;=TODAY()+Inicio!$B$19,"Próxima a vencer","Vigente"))))</f>
        <v/>
      </c>
      <c r="T78" s="18"/>
      <c r="U78" s="37" t="str">
        <f t="shared" si="11"/>
        <v/>
      </c>
      <c r="V78" s="37" t="str">
        <f t="shared" si="12"/>
        <v/>
      </c>
      <c r="W78" s="37" t="str">
        <f t="shared" si="13"/>
        <v/>
      </c>
      <c r="X78" s="37" t="str">
        <f t="shared" si="14"/>
        <v/>
      </c>
      <c r="Y78" s="37" t="str">
        <f>IF(OR($H78="",$J78=""),"",$J78*IFERROR(VLOOKUP($H78,Maestro_SKU!$A$2:$P$500,12,FALSE),1))</f>
        <v/>
      </c>
      <c r="Z78" s="37" t="str">
        <f t="shared" ca="1" si="15"/>
        <v/>
      </c>
    </row>
    <row r="79" spans="1:26" x14ac:dyDescent="0.35">
      <c r="A79" s="18"/>
      <c r="B79" s="26"/>
      <c r="C79" s="18"/>
      <c r="D79" s="18"/>
      <c r="E79" s="22" t="str">
        <f>IFERROR(VLOOKUP(D79,Clientes_PDV!$A$2:$J$250,2,FALSE),"")</f>
        <v/>
      </c>
      <c r="F79" s="22" t="str">
        <f>IFERROR(VLOOKUP(D79,Clientes_PDV!$A$2:$J$250,3,FALSE),"")</f>
        <v/>
      </c>
      <c r="G79" s="22" t="str">
        <f>IFERROR(VLOOKUP(D79,Clientes_PDV!$A$2:$J$250,4,FALSE),"")</f>
        <v/>
      </c>
      <c r="H79" s="18"/>
      <c r="I79" s="22" t="str">
        <f>IFERROR(VLOOKUP(H79,Maestro_SKU!$A$2:$P$500,2,FALSE),"")</f>
        <v/>
      </c>
      <c r="J79" s="27"/>
      <c r="K79" s="19"/>
      <c r="L79" s="23" t="str">
        <f t="shared" si="8"/>
        <v/>
      </c>
      <c r="M79" s="23" t="str">
        <f>IF(L79="","",L79*Inicio!$B$13)</f>
        <v/>
      </c>
      <c r="N79" s="23" t="str">
        <f t="shared" si="9"/>
        <v/>
      </c>
      <c r="O79" s="26"/>
      <c r="P79" s="18"/>
      <c r="Q79" s="19"/>
      <c r="R79" s="23" t="str">
        <f t="shared" si="10"/>
        <v/>
      </c>
      <c r="S79" s="22" t="str">
        <f ca="1">IF(A79="","",IF(OR(P79="Pagada",R79=0),"Pagada",IF(O79&lt;TODAY(),"Vencida",IF(O79&lt;=TODAY()+Inicio!$B$19,"Próxima a vencer","Vigente"))))</f>
        <v/>
      </c>
      <c r="T79" s="18"/>
      <c r="U79" s="37" t="str">
        <f t="shared" si="11"/>
        <v/>
      </c>
      <c r="V79" s="37" t="str">
        <f t="shared" si="12"/>
        <v/>
      </c>
      <c r="W79" s="37" t="str">
        <f t="shared" si="13"/>
        <v/>
      </c>
      <c r="X79" s="37" t="str">
        <f t="shared" si="14"/>
        <v/>
      </c>
      <c r="Y79" s="37" t="str">
        <f>IF(OR($H79="",$J79=""),"",$J79*IFERROR(VLOOKUP($H79,Maestro_SKU!$A$2:$P$500,12,FALSE),1))</f>
        <v/>
      </c>
      <c r="Z79" s="37" t="str">
        <f t="shared" ca="1" si="15"/>
        <v/>
      </c>
    </row>
    <row r="80" spans="1:26" x14ac:dyDescent="0.35">
      <c r="A80" s="18"/>
      <c r="B80" s="26"/>
      <c r="C80" s="18"/>
      <c r="D80" s="18"/>
      <c r="E80" s="22" t="str">
        <f>IFERROR(VLOOKUP(D80,Clientes_PDV!$A$2:$J$250,2,FALSE),"")</f>
        <v/>
      </c>
      <c r="F80" s="22" t="str">
        <f>IFERROR(VLOOKUP(D80,Clientes_PDV!$A$2:$J$250,3,FALSE),"")</f>
        <v/>
      </c>
      <c r="G80" s="22" t="str">
        <f>IFERROR(VLOOKUP(D80,Clientes_PDV!$A$2:$J$250,4,FALSE),"")</f>
        <v/>
      </c>
      <c r="H80" s="18"/>
      <c r="I80" s="22" t="str">
        <f>IFERROR(VLOOKUP(H80,Maestro_SKU!$A$2:$P$500,2,FALSE),"")</f>
        <v/>
      </c>
      <c r="J80" s="27"/>
      <c r="K80" s="19"/>
      <c r="L80" s="23" t="str">
        <f t="shared" si="8"/>
        <v/>
      </c>
      <c r="M80" s="23" t="str">
        <f>IF(L80="","",L80*Inicio!$B$13)</f>
        <v/>
      </c>
      <c r="N80" s="23" t="str">
        <f t="shared" si="9"/>
        <v/>
      </c>
      <c r="O80" s="26"/>
      <c r="P80" s="18"/>
      <c r="Q80" s="19"/>
      <c r="R80" s="23" t="str">
        <f t="shared" si="10"/>
        <v/>
      </c>
      <c r="S80" s="22" t="str">
        <f ca="1">IF(A80="","",IF(OR(P80="Pagada",R80=0),"Pagada",IF(O80&lt;TODAY(),"Vencida",IF(O80&lt;=TODAY()+Inicio!$B$19,"Próxima a vencer","Vigente"))))</f>
        <v/>
      </c>
      <c r="T80" s="18"/>
      <c r="U80" s="37" t="str">
        <f t="shared" si="11"/>
        <v/>
      </c>
      <c r="V80" s="37" t="str">
        <f t="shared" si="12"/>
        <v/>
      </c>
      <c r="W80" s="37" t="str">
        <f t="shared" si="13"/>
        <v/>
      </c>
      <c r="X80" s="37" t="str">
        <f t="shared" si="14"/>
        <v/>
      </c>
      <c r="Y80" s="37" t="str">
        <f>IF(OR($H80="",$J80=""),"",$J80*IFERROR(VLOOKUP($H80,Maestro_SKU!$A$2:$P$500,12,FALSE),1))</f>
        <v/>
      </c>
      <c r="Z80" s="37" t="str">
        <f t="shared" ca="1" si="15"/>
        <v/>
      </c>
    </row>
    <row r="81" spans="1:26" x14ac:dyDescent="0.35">
      <c r="A81" s="18"/>
      <c r="B81" s="26"/>
      <c r="C81" s="18"/>
      <c r="D81" s="18"/>
      <c r="E81" s="22" t="str">
        <f>IFERROR(VLOOKUP(D81,Clientes_PDV!$A$2:$J$250,2,FALSE),"")</f>
        <v/>
      </c>
      <c r="F81" s="22" t="str">
        <f>IFERROR(VLOOKUP(D81,Clientes_PDV!$A$2:$J$250,3,FALSE),"")</f>
        <v/>
      </c>
      <c r="G81" s="22" t="str">
        <f>IFERROR(VLOOKUP(D81,Clientes_PDV!$A$2:$J$250,4,FALSE),"")</f>
        <v/>
      </c>
      <c r="H81" s="18"/>
      <c r="I81" s="22" t="str">
        <f>IFERROR(VLOOKUP(H81,Maestro_SKU!$A$2:$P$500,2,FALSE),"")</f>
        <v/>
      </c>
      <c r="J81" s="27"/>
      <c r="K81" s="19"/>
      <c r="L81" s="23" t="str">
        <f t="shared" si="8"/>
        <v/>
      </c>
      <c r="M81" s="23" t="str">
        <f>IF(L81="","",L81*Inicio!$B$13)</f>
        <v/>
      </c>
      <c r="N81" s="23" t="str">
        <f t="shared" si="9"/>
        <v/>
      </c>
      <c r="O81" s="26"/>
      <c r="P81" s="18"/>
      <c r="Q81" s="19"/>
      <c r="R81" s="23" t="str">
        <f t="shared" si="10"/>
        <v/>
      </c>
      <c r="S81" s="22" t="str">
        <f ca="1">IF(A81="","",IF(OR(P81="Pagada",R81=0),"Pagada",IF(O81&lt;TODAY(),"Vencida",IF(O81&lt;=TODAY()+Inicio!$B$19,"Próxima a vencer","Vigente"))))</f>
        <v/>
      </c>
      <c r="T81" s="18"/>
      <c r="U81" s="37" t="str">
        <f t="shared" si="11"/>
        <v/>
      </c>
      <c r="V81" s="37" t="str">
        <f t="shared" si="12"/>
        <v/>
      </c>
      <c r="W81" s="37" t="str">
        <f t="shared" si="13"/>
        <v/>
      </c>
      <c r="X81" s="37" t="str">
        <f t="shared" si="14"/>
        <v/>
      </c>
      <c r="Y81" s="37" t="str">
        <f>IF(OR($H81="",$J81=""),"",$J81*IFERROR(VLOOKUP($H81,Maestro_SKU!$A$2:$P$500,12,FALSE),1))</f>
        <v/>
      </c>
      <c r="Z81" s="37" t="str">
        <f t="shared" ca="1" si="15"/>
        <v/>
      </c>
    </row>
    <row r="82" spans="1:26" x14ac:dyDescent="0.35">
      <c r="A82" s="18"/>
      <c r="B82" s="26"/>
      <c r="C82" s="18"/>
      <c r="D82" s="18"/>
      <c r="E82" s="22" t="str">
        <f>IFERROR(VLOOKUP(D82,Clientes_PDV!$A$2:$J$250,2,FALSE),"")</f>
        <v/>
      </c>
      <c r="F82" s="22" t="str">
        <f>IFERROR(VLOOKUP(D82,Clientes_PDV!$A$2:$J$250,3,FALSE),"")</f>
        <v/>
      </c>
      <c r="G82" s="22" t="str">
        <f>IFERROR(VLOOKUP(D82,Clientes_PDV!$A$2:$J$250,4,FALSE),"")</f>
        <v/>
      </c>
      <c r="H82" s="18"/>
      <c r="I82" s="22" t="str">
        <f>IFERROR(VLOOKUP(H82,Maestro_SKU!$A$2:$P$500,2,FALSE),"")</f>
        <v/>
      </c>
      <c r="J82" s="27"/>
      <c r="K82" s="19"/>
      <c r="L82" s="23" t="str">
        <f t="shared" si="8"/>
        <v/>
      </c>
      <c r="M82" s="23" t="str">
        <f>IF(L82="","",L82*Inicio!$B$13)</f>
        <v/>
      </c>
      <c r="N82" s="23" t="str">
        <f t="shared" si="9"/>
        <v/>
      </c>
      <c r="O82" s="26"/>
      <c r="P82" s="18"/>
      <c r="Q82" s="19"/>
      <c r="R82" s="23" t="str">
        <f t="shared" si="10"/>
        <v/>
      </c>
      <c r="S82" s="22" t="str">
        <f ca="1">IF(A82="","",IF(OR(P82="Pagada",R82=0),"Pagada",IF(O82&lt;TODAY(),"Vencida",IF(O82&lt;=TODAY()+Inicio!$B$19,"Próxima a vencer","Vigente"))))</f>
        <v/>
      </c>
      <c r="T82" s="18"/>
      <c r="U82" s="37" t="str">
        <f t="shared" si="11"/>
        <v/>
      </c>
      <c r="V82" s="37" t="str">
        <f t="shared" si="12"/>
        <v/>
      </c>
      <c r="W82" s="37" t="str">
        <f t="shared" si="13"/>
        <v/>
      </c>
      <c r="X82" s="37" t="str">
        <f t="shared" si="14"/>
        <v/>
      </c>
      <c r="Y82" s="37" t="str">
        <f>IF(OR($H82="",$J82=""),"",$J82*IFERROR(VLOOKUP($H82,Maestro_SKU!$A$2:$P$500,12,FALSE),1))</f>
        <v/>
      </c>
      <c r="Z82" s="37" t="str">
        <f t="shared" ca="1" si="15"/>
        <v/>
      </c>
    </row>
    <row r="83" spans="1:26" x14ac:dyDescent="0.35">
      <c r="A83" s="18"/>
      <c r="B83" s="26"/>
      <c r="C83" s="18"/>
      <c r="D83" s="18"/>
      <c r="E83" s="22" t="str">
        <f>IFERROR(VLOOKUP(D83,Clientes_PDV!$A$2:$J$250,2,FALSE),"")</f>
        <v/>
      </c>
      <c r="F83" s="22" t="str">
        <f>IFERROR(VLOOKUP(D83,Clientes_PDV!$A$2:$J$250,3,FALSE),"")</f>
        <v/>
      </c>
      <c r="G83" s="22" t="str">
        <f>IFERROR(VLOOKUP(D83,Clientes_PDV!$A$2:$J$250,4,FALSE),"")</f>
        <v/>
      </c>
      <c r="H83" s="18"/>
      <c r="I83" s="22" t="str">
        <f>IFERROR(VLOOKUP(H83,Maestro_SKU!$A$2:$P$500,2,FALSE),"")</f>
        <v/>
      </c>
      <c r="J83" s="27"/>
      <c r="K83" s="19"/>
      <c r="L83" s="23" t="str">
        <f t="shared" si="8"/>
        <v/>
      </c>
      <c r="M83" s="23" t="str">
        <f>IF(L83="","",L83*Inicio!$B$13)</f>
        <v/>
      </c>
      <c r="N83" s="23" t="str">
        <f t="shared" si="9"/>
        <v/>
      </c>
      <c r="O83" s="26"/>
      <c r="P83" s="18"/>
      <c r="Q83" s="19"/>
      <c r="R83" s="23" t="str">
        <f t="shared" si="10"/>
        <v/>
      </c>
      <c r="S83" s="22" t="str">
        <f ca="1">IF(A83="","",IF(OR(P83="Pagada",R83=0),"Pagada",IF(O83&lt;TODAY(),"Vencida",IF(O83&lt;=TODAY()+Inicio!$B$19,"Próxima a vencer","Vigente"))))</f>
        <v/>
      </c>
      <c r="T83" s="18"/>
      <c r="U83" s="37" t="str">
        <f t="shared" si="11"/>
        <v/>
      </c>
      <c r="V83" s="37" t="str">
        <f t="shared" si="12"/>
        <v/>
      </c>
      <c r="W83" s="37" t="str">
        <f t="shared" si="13"/>
        <v/>
      </c>
      <c r="X83" s="37" t="str">
        <f t="shared" si="14"/>
        <v/>
      </c>
      <c r="Y83" s="37" t="str">
        <f>IF(OR($H83="",$J83=""),"",$J83*IFERROR(VLOOKUP($H83,Maestro_SKU!$A$2:$P$500,12,FALSE),1))</f>
        <v/>
      </c>
      <c r="Z83" s="37" t="str">
        <f t="shared" ca="1" si="15"/>
        <v/>
      </c>
    </row>
    <row r="84" spans="1:26" x14ac:dyDescent="0.35">
      <c r="A84" s="18"/>
      <c r="B84" s="26"/>
      <c r="C84" s="18"/>
      <c r="D84" s="18"/>
      <c r="E84" s="22" t="str">
        <f>IFERROR(VLOOKUP(D84,Clientes_PDV!$A$2:$J$250,2,FALSE),"")</f>
        <v/>
      </c>
      <c r="F84" s="22" t="str">
        <f>IFERROR(VLOOKUP(D84,Clientes_PDV!$A$2:$J$250,3,FALSE),"")</f>
        <v/>
      </c>
      <c r="G84" s="22" t="str">
        <f>IFERROR(VLOOKUP(D84,Clientes_PDV!$A$2:$J$250,4,FALSE),"")</f>
        <v/>
      </c>
      <c r="H84" s="18"/>
      <c r="I84" s="22" t="str">
        <f>IFERROR(VLOOKUP(H84,Maestro_SKU!$A$2:$P$500,2,FALSE),"")</f>
        <v/>
      </c>
      <c r="J84" s="27"/>
      <c r="K84" s="19"/>
      <c r="L84" s="23" t="str">
        <f t="shared" si="8"/>
        <v/>
      </c>
      <c r="M84" s="23" t="str">
        <f>IF(L84="","",L84*Inicio!$B$13)</f>
        <v/>
      </c>
      <c r="N84" s="23" t="str">
        <f t="shared" si="9"/>
        <v/>
      </c>
      <c r="O84" s="26"/>
      <c r="P84" s="18"/>
      <c r="Q84" s="19"/>
      <c r="R84" s="23" t="str">
        <f t="shared" si="10"/>
        <v/>
      </c>
      <c r="S84" s="22" t="str">
        <f ca="1">IF(A84="","",IF(OR(P84="Pagada",R84=0),"Pagada",IF(O84&lt;TODAY(),"Vencida",IF(O84&lt;=TODAY()+Inicio!$B$19,"Próxima a vencer","Vigente"))))</f>
        <v/>
      </c>
      <c r="T84" s="18"/>
      <c r="U84" s="37" t="str">
        <f t="shared" si="11"/>
        <v/>
      </c>
      <c r="V84" s="37" t="str">
        <f t="shared" si="12"/>
        <v/>
      </c>
      <c r="W84" s="37" t="str">
        <f t="shared" si="13"/>
        <v/>
      </c>
      <c r="X84" s="37" t="str">
        <f t="shared" si="14"/>
        <v/>
      </c>
      <c r="Y84" s="37" t="str">
        <f>IF(OR($H84="",$J84=""),"",$J84*IFERROR(VLOOKUP($H84,Maestro_SKU!$A$2:$P$500,12,FALSE),1))</f>
        <v/>
      </c>
      <c r="Z84" s="37" t="str">
        <f t="shared" ca="1" si="15"/>
        <v/>
      </c>
    </row>
    <row r="85" spans="1:26" x14ac:dyDescent="0.35">
      <c r="A85" s="18"/>
      <c r="B85" s="26"/>
      <c r="C85" s="18"/>
      <c r="D85" s="18"/>
      <c r="E85" s="22" t="str">
        <f>IFERROR(VLOOKUP(D85,Clientes_PDV!$A$2:$J$250,2,FALSE),"")</f>
        <v/>
      </c>
      <c r="F85" s="22" t="str">
        <f>IFERROR(VLOOKUP(D85,Clientes_PDV!$A$2:$J$250,3,FALSE),"")</f>
        <v/>
      </c>
      <c r="G85" s="22" t="str">
        <f>IFERROR(VLOOKUP(D85,Clientes_PDV!$A$2:$J$250,4,FALSE),"")</f>
        <v/>
      </c>
      <c r="H85" s="18"/>
      <c r="I85" s="22" t="str">
        <f>IFERROR(VLOOKUP(H85,Maestro_SKU!$A$2:$P$500,2,FALSE),"")</f>
        <v/>
      </c>
      <c r="J85" s="27"/>
      <c r="K85" s="19"/>
      <c r="L85" s="23" t="str">
        <f t="shared" si="8"/>
        <v/>
      </c>
      <c r="M85" s="23" t="str">
        <f>IF(L85="","",L85*Inicio!$B$13)</f>
        <v/>
      </c>
      <c r="N85" s="23" t="str">
        <f t="shared" si="9"/>
        <v/>
      </c>
      <c r="O85" s="26"/>
      <c r="P85" s="18"/>
      <c r="Q85" s="19"/>
      <c r="R85" s="23" t="str">
        <f t="shared" si="10"/>
        <v/>
      </c>
      <c r="S85" s="22" t="str">
        <f ca="1">IF(A85="","",IF(OR(P85="Pagada",R85=0),"Pagada",IF(O85&lt;TODAY(),"Vencida",IF(O85&lt;=TODAY()+Inicio!$B$19,"Próxima a vencer","Vigente"))))</f>
        <v/>
      </c>
      <c r="T85" s="18"/>
      <c r="U85" s="37" t="str">
        <f t="shared" si="11"/>
        <v/>
      </c>
      <c r="V85" s="37" t="str">
        <f t="shared" si="12"/>
        <v/>
      </c>
      <c r="W85" s="37" t="str">
        <f t="shared" si="13"/>
        <v/>
      </c>
      <c r="X85" s="37" t="str">
        <f t="shared" si="14"/>
        <v/>
      </c>
      <c r="Y85" s="37" t="str">
        <f>IF(OR($H85="",$J85=""),"",$J85*IFERROR(VLOOKUP($H85,Maestro_SKU!$A$2:$P$500,12,FALSE),1))</f>
        <v/>
      </c>
      <c r="Z85" s="37" t="str">
        <f t="shared" ca="1" si="15"/>
        <v/>
      </c>
    </row>
    <row r="86" spans="1:26" x14ac:dyDescent="0.35">
      <c r="A86" s="18"/>
      <c r="B86" s="26"/>
      <c r="C86" s="18"/>
      <c r="D86" s="18"/>
      <c r="E86" s="22" t="str">
        <f>IFERROR(VLOOKUP(D86,Clientes_PDV!$A$2:$J$250,2,FALSE),"")</f>
        <v/>
      </c>
      <c r="F86" s="22" t="str">
        <f>IFERROR(VLOOKUP(D86,Clientes_PDV!$A$2:$J$250,3,FALSE),"")</f>
        <v/>
      </c>
      <c r="G86" s="22" t="str">
        <f>IFERROR(VLOOKUP(D86,Clientes_PDV!$A$2:$J$250,4,FALSE),"")</f>
        <v/>
      </c>
      <c r="H86" s="18"/>
      <c r="I86" s="22" t="str">
        <f>IFERROR(VLOOKUP(H86,Maestro_SKU!$A$2:$P$500,2,FALSE),"")</f>
        <v/>
      </c>
      <c r="J86" s="27"/>
      <c r="K86" s="19"/>
      <c r="L86" s="23" t="str">
        <f t="shared" si="8"/>
        <v/>
      </c>
      <c r="M86" s="23" t="str">
        <f>IF(L86="","",L86*Inicio!$B$13)</f>
        <v/>
      </c>
      <c r="N86" s="23" t="str">
        <f t="shared" si="9"/>
        <v/>
      </c>
      <c r="O86" s="26"/>
      <c r="P86" s="18"/>
      <c r="Q86" s="19"/>
      <c r="R86" s="23" t="str">
        <f t="shared" si="10"/>
        <v/>
      </c>
      <c r="S86" s="22" t="str">
        <f ca="1">IF(A86="","",IF(OR(P86="Pagada",R86=0),"Pagada",IF(O86&lt;TODAY(),"Vencida",IF(O86&lt;=TODAY()+Inicio!$B$19,"Próxima a vencer","Vigente"))))</f>
        <v/>
      </c>
      <c r="T86" s="18"/>
      <c r="U86" s="37" t="str">
        <f t="shared" si="11"/>
        <v/>
      </c>
      <c r="V86" s="37" t="str">
        <f t="shared" si="12"/>
        <v/>
      </c>
      <c r="W86" s="37" t="str">
        <f t="shared" si="13"/>
        <v/>
      </c>
      <c r="X86" s="37" t="str">
        <f t="shared" si="14"/>
        <v/>
      </c>
      <c r="Y86" s="37" t="str">
        <f>IF(OR($H86="",$J86=""),"",$J86*IFERROR(VLOOKUP($H86,Maestro_SKU!$A$2:$P$500,12,FALSE),1))</f>
        <v/>
      </c>
      <c r="Z86" s="37" t="str">
        <f t="shared" ca="1" si="15"/>
        <v/>
      </c>
    </row>
    <row r="87" spans="1:26" x14ac:dyDescent="0.35">
      <c r="A87" s="18"/>
      <c r="B87" s="26"/>
      <c r="C87" s="18"/>
      <c r="D87" s="18"/>
      <c r="E87" s="22" t="str">
        <f>IFERROR(VLOOKUP(D87,Clientes_PDV!$A$2:$J$250,2,FALSE),"")</f>
        <v/>
      </c>
      <c r="F87" s="22" t="str">
        <f>IFERROR(VLOOKUP(D87,Clientes_PDV!$A$2:$J$250,3,FALSE),"")</f>
        <v/>
      </c>
      <c r="G87" s="22" t="str">
        <f>IFERROR(VLOOKUP(D87,Clientes_PDV!$A$2:$J$250,4,FALSE),"")</f>
        <v/>
      </c>
      <c r="H87" s="18"/>
      <c r="I87" s="22" t="str">
        <f>IFERROR(VLOOKUP(H87,Maestro_SKU!$A$2:$P$500,2,FALSE),"")</f>
        <v/>
      </c>
      <c r="J87" s="27"/>
      <c r="K87" s="19"/>
      <c r="L87" s="23" t="str">
        <f t="shared" si="8"/>
        <v/>
      </c>
      <c r="M87" s="23" t="str">
        <f>IF(L87="","",L87*Inicio!$B$13)</f>
        <v/>
      </c>
      <c r="N87" s="23" t="str">
        <f t="shared" si="9"/>
        <v/>
      </c>
      <c r="O87" s="26"/>
      <c r="P87" s="18"/>
      <c r="Q87" s="19"/>
      <c r="R87" s="23" t="str">
        <f t="shared" si="10"/>
        <v/>
      </c>
      <c r="S87" s="22" t="str">
        <f ca="1">IF(A87="","",IF(OR(P87="Pagada",R87=0),"Pagada",IF(O87&lt;TODAY(),"Vencida",IF(O87&lt;=TODAY()+Inicio!$B$19,"Próxima a vencer","Vigente"))))</f>
        <v/>
      </c>
      <c r="T87" s="18"/>
      <c r="U87" s="37" t="str">
        <f t="shared" si="11"/>
        <v/>
      </c>
      <c r="V87" s="37" t="str">
        <f t="shared" si="12"/>
        <v/>
      </c>
      <c r="W87" s="37" t="str">
        <f t="shared" si="13"/>
        <v/>
      </c>
      <c r="X87" s="37" t="str">
        <f t="shared" si="14"/>
        <v/>
      </c>
      <c r="Y87" s="37" t="str">
        <f>IF(OR($H87="",$J87=""),"",$J87*IFERROR(VLOOKUP($H87,Maestro_SKU!$A$2:$P$500,12,FALSE),1))</f>
        <v/>
      </c>
      <c r="Z87" s="37" t="str">
        <f t="shared" ca="1" si="15"/>
        <v/>
      </c>
    </row>
    <row r="88" spans="1:26" x14ac:dyDescent="0.35">
      <c r="A88" s="18"/>
      <c r="B88" s="26"/>
      <c r="C88" s="18"/>
      <c r="D88" s="18"/>
      <c r="E88" s="22" t="str">
        <f>IFERROR(VLOOKUP(D88,Clientes_PDV!$A$2:$J$250,2,FALSE),"")</f>
        <v/>
      </c>
      <c r="F88" s="22" t="str">
        <f>IFERROR(VLOOKUP(D88,Clientes_PDV!$A$2:$J$250,3,FALSE),"")</f>
        <v/>
      </c>
      <c r="G88" s="22" t="str">
        <f>IFERROR(VLOOKUP(D88,Clientes_PDV!$A$2:$J$250,4,FALSE),"")</f>
        <v/>
      </c>
      <c r="H88" s="18"/>
      <c r="I88" s="22" t="str">
        <f>IFERROR(VLOOKUP(H88,Maestro_SKU!$A$2:$P$500,2,FALSE),"")</f>
        <v/>
      </c>
      <c r="J88" s="27"/>
      <c r="K88" s="19"/>
      <c r="L88" s="23" t="str">
        <f t="shared" si="8"/>
        <v/>
      </c>
      <c r="M88" s="23" t="str">
        <f>IF(L88="","",L88*Inicio!$B$13)</f>
        <v/>
      </c>
      <c r="N88" s="23" t="str">
        <f t="shared" si="9"/>
        <v/>
      </c>
      <c r="O88" s="26"/>
      <c r="P88" s="18"/>
      <c r="Q88" s="19"/>
      <c r="R88" s="23" t="str">
        <f t="shared" si="10"/>
        <v/>
      </c>
      <c r="S88" s="22" t="str">
        <f ca="1">IF(A88="","",IF(OR(P88="Pagada",R88=0),"Pagada",IF(O88&lt;TODAY(),"Vencida",IF(O88&lt;=TODAY()+Inicio!$B$19,"Próxima a vencer","Vigente"))))</f>
        <v/>
      </c>
      <c r="T88" s="18"/>
      <c r="U88" s="37" t="str">
        <f t="shared" si="11"/>
        <v/>
      </c>
      <c r="V88" s="37" t="str">
        <f t="shared" si="12"/>
        <v/>
      </c>
      <c r="W88" s="37" t="str">
        <f t="shared" si="13"/>
        <v/>
      </c>
      <c r="X88" s="37" t="str">
        <f t="shared" si="14"/>
        <v/>
      </c>
      <c r="Y88" s="37" t="str">
        <f>IF(OR($H88="",$J88=""),"",$J88*IFERROR(VLOOKUP($H88,Maestro_SKU!$A$2:$P$500,12,FALSE),1))</f>
        <v/>
      </c>
      <c r="Z88" s="37" t="str">
        <f t="shared" ca="1" si="15"/>
        <v/>
      </c>
    </row>
    <row r="89" spans="1:26" x14ac:dyDescent="0.35">
      <c r="A89" s="18"/>
      <c r="B89" s="26"/>
      <c r="C89" s="18"/>
      <c r="D89" s="18"/>
      <c r="E89" s="22" t="str">
        <f>IFERROR(VLOOKUP(D89,Clientes_PDV!$A$2:$J$250,2,FALSE),"")</f>
        <v/>
      </c>
      <c r="F89" s="22" t="str">
        <f>IFERROR(VLOOKUP(D89,Clientes_PDV!$A$2:$J$250,3,FALSE),"")</f>
        <v/>
      </c>
      <c r="G89" s="22" t="str">
        <f>IFERROR(VLOOKUP(D89,Clientes_PDV!$A$2:$J$250,4,FALSE),"")</f>
        <v/>
      </c>
      <c r="H89" s="18"/>
      <c r="I89" s="22" t="str">
        <f>IFERROR(VLOOKUP(H89,Maestro_SKU!$A$2:$P$500,2,FALSE),"")</f>
        <v/>
      </c>
      <c r="J89" s="27"/>
      <c r="K89" s="19"/>
      <c r="L89" s="23" t="str">
        <f t="shared" si="8"/>
        <v/>
      </c>
      <c r="M89" s="23" t="str">
        <f>IF(L89="","",L89*Inicio!$B$13)</f>
        <v/>
      </c>
      <c r="N89" s="23" t="str">
        <f t="shared" si="9"/>
        <v/>
      </c>
      <c r="O89" s="26"/>
      <c r="P89" s="18"/>
      <c r="Q89" s="19"/>
      <c r="R89" s="23" t="str">
        <f t="shared" si="10"/>
        <v/>
      </c>
      <c r="S89" s="22" t="str">
        <f ca="1">IF(A89="","",IF(OR(P89="Pagada",R89=0),"Pagada",IF(O89&lt;TODAY(),"Vencida",IF(O89&lt;=TODAY()+Inicio!$B$19,"Próxima a vencer","Vigente"))))</f>
        <v/>
      </c>
      <c r="T89" s="18"/>
      <c r="U89" s="37" t="str">
        <f t="shared" si="11"/>
        <v/>
      </c>
      <c r="V89" s="37" t="str">
        <f t="shared" si="12"/>
        <v/>
      </c>
      <c r="W89" s="37" t="str">
        <f t="shared" si="13"/>
        <v/>
      </c>
      <c r="X89" s="37" t="str">
        <f t="shared" si="14"/>
        <v/>
      </c>
      <c r="Y89" s="37" t="str">
        <f>IF(OR($H89="",$J89=""),"",$J89*IFERROR(VLOOKUP($H89,Maestro_SKU!$A$2:$P$500,12,FALSE),1))</f>
        <v/>
      </c>
      <c r="Z89" s="37" t="str">
        <f t="shared" ca="1" si="15"/>
        <v/>
      </c>
    </row>
    <row r="90" spans="1:26" x14ac:dyDescent="0.35">
      <c r="A90" s="18"/>
      <c r="B90" s="26"/>
      <c r="C90" s="18"/>
      <c r="D90" s="18"/>
      <c r="E90" s="22" t="str">
        <f>IFERROR(VLOOKUP(D90,Clientes_PDV!$A$2:$J$250,2,FALSE),"")</f>
        <v/>
      </c>
      <c r="F90" s="22" t="str">
        <f>IFERROR(VLOOKUP(D90,Clientes_PDV!$A$2:$J$250,3,FALSE),"")</f>
        <v/>
      </c>
      <c r="G90" s="22" t="str">
        <f>IFERROR(VLOOKUP(D90,Clientes_PDV!$A$2:$J$250,4,FALSE),"")</f>
        <v/>
      </c>
      <c r="H90" s="18"/>
      <c r="I90" s="22" t="str">
        <f>IFERROR(VLOOKUP(H90,Maestro_SKU!$A$2:$P$500,2,FALSE),"")</f>
        <v/>
      </c>
      <c r="J90" s="27"/>
      <c r="K90" s="19"/>
      <c r="L90" s="23" t="str">
        <f t="shared" si="8"/>
        <v/>
      </c>
      <c r="M90" s="23" t="str">
        <f>IF(L90="","",L90*Inicio!$B$13)</f>
        <v/>
      </c>
      <c r="N90" s="23" t="str">
        <f t="shared" si="9"/>
        <v/>
      </c>
      <c r="O90" s="26"/>
      <c r="P90" s="18"/>
      <c r="Q90" s="19"/>
      <c r="R90" s="23" t="str">
        <f t="shared" si="10"/>
        <v/>
      </c>
      <c r="S90" s="22" t="str">
        <f ca="1">IF(A90="","",IF(OR(P90="Pagada",R90=0),"Pagada",IF(O90&lt;TODAY(),"Vencida",IF(O90&lt;=TODAY()+Inicio!$B$19,"Próxima a vencer","Vigente"))))</f>
        <v/>
      </c>
      <c r="T90" s="18"/>
      <c r="U90" s="37" t="str">
        <f t="shared" si="11"/>
        <v/>
      </c>
      <c r="V90" s="37" t="str">
        <f t="shared" si="12"/>
        <v/>
      </c>
      <c r="W90" s="37" t="str">
        <f t="shared" si="13"/>
        <v/>
      </c>
      <c r="X90" s="37" t="str">
        <f t="shared" si="14"/>
        <v/>
      </c>
      <c r="Y90" s="37" t="str">
        <f>IF(OR($H90="",$J90=""),"",$J90*IFERROR(VLOOKUP($H90,Maestro_SKU!$A$2:$P$500,12,FALSE),1))</f>
        <v/>
      </c>
      <c r="Z90" s="37" t="str">
        <f t="shared" ca="1" si="15"/>
        <v/>
      </c>
    </row>
    <row r="91" spans="1:26" x14ac:dyDescent="0.35">
      <c r="A91" s="18"/>
      <c r="B91" s="26"/>
      <c r="C91" s="18"/>
      <c r="D91" s="18"/>
      <c r="E91" s="22" t="str">
        <f>IFERROR(VLOOKUP(D91,Clientes_PDV!$A$2:$J$250,2,FALSE),"")</f>
        <v/>
      </c>
      <c r="F91" s="22" t="str">
        <f>IFERROR(VLOOKUP(D91,Clientes_PDV!$A$2:$J$250,3,FALSE),"")</f>
        <v/>
      </c>
      <c r="G91" s="22" t="str">
        <f>IFERROR(VLOOKUP(D91,Clientes_PDV!$A$2:$J$250,4,FALSE),"")</f>
        <v/>
      </c>
      <c r="H91" s="18"/>
      <c r="I91" s="22" t="str">
        <f>IFERROR(VLOOKUP(H91,Maestro_SKU!$A$2:$P$500,2,FALSE),"")</f>
        <v/>
      </c>
      <c r="J91" s="27"/>
      <c r="K91" s="19"/>
      <c r="L91" s="23" t="str">
        <f t="shared" si="8"/>
        <v/>
      </c>
      <c r="M91" s="23" t="str">
        <f>IF(L91="","",L91*Inicio!$B$13)</f>
        <v/>
      </c>
      <c r="N91" s="23" t="str">
        <f t="shared" si="9"/>
        <v/>
      </c>
      <c r="O91" s="26"/>
      <c r="P91" s="18"/>
      <c r="Q91" s="19"/>
      <c r="R91" s="23" t="str">
        <f t="shared" si="10"/>
        <v/>
      </c>
      <c r="S91" s="22" t="str">
        <f ca="1">IF(A91="","",IF(OR(P91="Pagada",R91=0),"Pagada",IF(O91&lt;TODAY(),"Vencida",IF(O91&lt;=TODAY()+Inicio!$B$19,"Próxima a vencer","Vigente"))))</f>
        <v/>
      </c>
      <c r="T91" s="18"/>
      <c r="U91" s="37" t="str">
        <f t="shared" si="11"/>
        <v/>
      </c>
      <c r="V91" s="37" t="str">
        <f t="shared" si="12"/>
        <v/>
      </c>
      <c r="W91" s="37" t="str">
        <f t="shared" si="13"/>
        <v/>
      </c>
      <c r="X91" s="37" t="str">
        <f t="shared" si="14"/>
        <v/>
      </c>
      <c r="Y91" s="37" t="str">
        <f>IF(OR($H91="",$J91=""),"",$J91*IFERROR(VLOOKUP($H91,Maestro_SKU!$A$2:$P$500,12,FALSE),1))</f>
        <v/>
      </c>
      <c r="Z91" s="37" t="str">
        <f t="shared" ca="1" si="15"/>
        <v/>
      </c>
    </row>
    <row r="92" spans="1:26" x14ac:dyDescent="0.35">
      <c r="A92" s="18"/>
      <c r="B92" s="26"/>
      <c r="C92" s="18"/>
      <c r="D92" s="18"/>
      <c r="E92" s="22" t="str">
        <f>IFERROR(VLOOKUP(D92,Clientes_PDV!$A$2:$J$250,2,FALSE),"")</f>
        <v/>
      </c>
      <c r="F92" s="22" t="str">
        <f>IFERROR(VLOOKUP(D92,Clientes_PDV!$A$2:$J$250,3,FALSE),"")</f>
        <v/>
      </c>
      <c r="G92" s="22" t="str">
        <f>IFERROR(VLOOKUP(D92,Clientes_PDV!$A$2:$J$250,4,FALSE),"")</f>
        <v/>
      </c>
      <c r="H92" s="18"/>
      <c r="I92" s="22" t="str">
        <f>IFERROR(VLOOKUP(H92,Maestro_SKU!$A$2:$P$500,2,FALSE),"")</f>
        <v/>
      </c>
      <c r="J92" s="27"/>
      <c r="K92" s="19"/>
      <c r="L92" s="23" t="str">
        <f t="shared" si="8"/>
        <v/>
      </c>
      <c r="M92" s="23" t="str">
        <f>IF(L92="","",L92*Inicio!$B$13)</f>
        <v/>
      </c>
      <c r="N92" s="23" t="str">
        <f t="shared" si="9"/>
        <v/>
      </c>
      <c r="O92" s="26"/>
      <c r="P92" s="18"/>
      <c r="Q92" s="19"/>
      <c r="R92" s="23" t="str">
        <f t="shared" si="10"/>
        <v/>
      </c>
      <c r="S92" s="22" t="str">
        <f ca="1">IF(A92="","",IF(OR(P92="Pagada",R92=0),"Pagada",IF(O92&lt;TODAY(),"Vencida",IF(O92&lt;=TODAY()+Inicio!$B$19,"Próxima a vencer","Vigente"))))</f>
        <v/>
      </c>
      <c r="T92" s="18"/>
      <c r="U92" s="37" t="str">
        <f t="shared" si="11"/>
        <v/>
      </c>
      <c r="V92" s="37" t="str">
        <f t="shared" si="12"/>
        <v/>
      </c>
      <c r="W92" s="37" t="str">
        <f t="shared" si="13"/>
        <v/>
      </c>
      <c r="X92" s="37" t="str">
        <f t="shared" si="14"/>
        <v/>
      </c>
      <c r="Y92" s="37" t="str">
        <f>IF(OR($H92="",$J92=""),"",$J92*IFERROR(VLOOKUP($H92,Maestro_SKU!$A$2:$P$500,12,FALSE),1))</f>
        <v/>
      </c>
      <c r="Z92" s="37" t="str">
        <f t="shared" ca="1" si="15"/>
        <v/>
      </c>
    </row>
    <row r="93" spans="1:26" x14ac:dyDescent="0.35">
      <c r="A93" s="18"/>
      <c r="B93" s="26"/>
      <c r="C93" s="18"/>
      <c r="D93" s="18"/>
      <c r="E93" s="22" t="str">
        <f>IFERROR(VLOOKUP(D93,Clientes_PDV!$A$2:$J$250,2,FALSE),"")</f>
        <v/>
      </c>
      <c r="F93" s="22" t="str">
        <f>IFERROR(VLOOKUP(D93,Clientes_PDV!$A$2:$J$250,3,FALSE),"")</f>
        <v/>
      </c>
      <c r="G93" s="22" t="str">
        <f>IFERROR(VLOOKUP(D93,Clientes_PDV!$A$2:$J$250,4,FALSE),"")</f>
        <v/>
      </c>
      <c r="H93" s="18"/>
      <c r="I93" s="22" t="str">
        <f>IFERROR(VLOOKUP(H93,Maestro_SKU!$A$2:$P$500,2,FALSE),"")</f>
        <v/>
      </c>
      <c r="J93" s="27"/>
      <c r="K93" s="19"/>
      <c r="L93" s="23" t="str">
        <f t="shared" si="8"/>
        <v/>
      </c>
      <c r="M93" s="23" t="str">
        <f>IF(L93="","",L93*Inicio!$B$13)</f>
        <v/>
      </c>
      <c r="N93" s="23" t="str">
        <f t="shared" si="9"/>
        <v/>
      </c>
      <c r="O93" s="26"/>
      <c r="P93" s="18"/>
      <c r="Q93" s="19"/>
      <c r="R93" s="23" t="str">
        <f t="shared" si="10"/>
        <v/>
      </c>
      <c r="S93" s="22" t="str">
        <f ca="1">IF(A93="","",IF(OR(P93="Pagada",R93=0),"Pagada",IF(O93&lt;TODAY(),"Vencida",IF(O93&lt;=TODAY()+Inicio!$B$19,"Próxima a vencer","Vigente"))))</f>
        <v/>
      </c>
      <c r="T93" s="18"/>
      <c r="U93" s="37" t="str">
        <f t="shared" si="11"/>
        <v/>
      </c>
      <c r="V93" s="37" t="str">
        <f t="shared" si="12"/>
        <v/>
      </c>
      <c r="W93" s="37" t="str">
        <f t="shared" si="13"/>
        <v/>
      </c>
      <c r="X93" s="37" t="str">
        <f t="shared" si="14"/>
        <v/>
      </c>
      <c r="Y93" s="37" t="str">
        <f>IF(OR($H93="",$J93=""),"",$J93*IFERROR(VLOOKUP($H93,Maestro_SKU!$A$2:$P$500,12,FALSE),1))</f>
        <v/>
      </c>
      <c r="Z93" s="37" t="str">
        <f t="shared" ca="1" si="15"/>
        <v/>
      </c>
    </row>
    <row r="94" spans="1:26" x14ac:dyDescent="0.35">
      <c r="A94" s="18"/>
      <c r="B94" s="26"/>
      <c r="C94" s="18"/>
      <c r="D94" s="18"/>
      <c r="E94" s="22" t="str">
        <f>IFERROR(VLOOKUP(D94,Clientes_PDV!$A$2:$J$250,2,FALSE),"")</f>
        <v/>
      </c>
      <c r="F94" s="22" t="str">
        <f>IFERROR(VLOOKUP(D94,Clientes_PDV!$A$2:$J$250,3,FALSE),"")</f>
        <v/>
      </c>
      <c r="G94" s="22" t="str">
        <f>IFERROR(VLOOKUP(D94,Clientes_PDV!$A$2:$J$250,4,FALSE),"")</f>
        <v/>
      </c>
      <c r="H94" s="18"/>
      <c r="I94" s="22" t="str">
        <f>IFERROR(VLOOKUP(H94,Maestro_SKU!$A$2:$P$500,2,FALSE),"")</f>
        <v/>
      </c>
      <c r="J94" s="27"/>
      <c r="K94" s="19"/>
      <c r="L94" s="23" t="str">
        <f t="shared" si="8"/>
        <v/>
      </c>
      <c r="M94" s="23" t="str">
        <f>IF(L94="","",L94*Inicio!$B$13)</f>
        <v/>
      </c>
      <c r="N94" s="23" t="str">
        <f t="shared" si="9"/>
        <v/>
      </c>
      <c r="O94" s="26"/>
      <c r="P94" s="18"/>
      <c r="Q94" s="19"/>
      <c r="R94" s="23" t="str">
        <f t="shared" si="10"/>
        <v/>
      </c>
      <c r="S94" s="22" t="str">
        <f ca="1">IF(A94="","",IF(OR(P94="Pagada",R94=0),"Pagada",IF(O94&lt;TODAY(),"Vencida",IF(O94&lt;=TODAY()+Inicio!$B$19,"Próxima a vencer","Vigente"))))</f>
        <v/>
      </c>
      <c r="T94" s="18"/>
      <c r="U94" s="37" t="str">
        <f t="shared" si="11"/>
        <v/>
      </c>
      <c r="V94" s="37" t="str">
        <f t="shared" si="12"/>
        <v/>
      </c>
      <c r="W94" s="37" t="str">
        <f t="shared" si="13"/>
        <v/>
      </c>
      <c r="X94" s="37" t="str">
        <f t="shared" si="14"/>
        <v/>
      </c>
      <c r="Y94" s="37" t="str">
        <f>IF(OR($H94="",$J94=""),"",$J94*IFERROR(VLOOKUP($H94,Maestro_SKU!$A$2:$P$500,12,FALSE),1))</f>
        <v/>
      </c>
      <c r="Z94" s="37" t="str">
        <f t="shared" ca="1" si="15"/>
        <v/>
      </c>
    </row>
    <row r="95" spans="1:26" x14ac:dyDescent="0.35">
      <c r="A95" s="18"/>
      <c r="B95" s="26"/>
      <c r="C95" s="18"/>
      <c r="D95" s="18"/>
      <c r="E95" s="22" t="str">
        <f>IFERROR(VLOOKUP(D95,Clientes_PDV!$A$2:$J$250,2,FALSE),"")</f>
        <v/>
      </c>
      <c r="F95" s="22" t="str">
        <f>IFERROR(VLOOKUP(D95,Clientes_PDV!$A$2:$J$250,3,FALSE),"")</f>
        <v/>
      </c>
      <c r="G95" s="22" t="str">
        <f>IFERROR(VLOOKUP(D95,Clientes_PDV!$A$2:$J$250,4,FALSE),"")</f>
        <v/>
      </c>
      <c r="H95" s="18"/>
      <c r="I95" s="22" t="str">
        <f>IFERROR(VLOOKUP(H95,Maestro_SKU!$A$2:$P$500,2,FALSE),"")</f>
        <v/>
      </c>
      <c r="J95" s="27"/>
      <c r="K95" s="19"/>
      <c r="L95" s="23" t="str">
        <f t="shared" si="8"/>
        <v/>
      </c>
      <c r="M95" s="23" t="str">
        <f>IF(L95="","",L95*Inicio!$B$13)</f>
        <v/>
      </c>
      <c r="N95" s="23" t="str">
        <f t="shared" si="9"/>
        <v/>
      </c>
      <c r="O95" s="26"/>
      <c r="P95" s="18"/>
      <c r="Q95" s="19"/>
      <c r="R95" s="23" t="str">
        <f t="shared" si="10"/>
        <v/>
      </c>
      <c r="S95" s="22" t="str">
        <f ca="1">IF(A95="","",IF(OR(P95="Pagada",R95=0),"Pagada",IF(O95&lt;TODAY(),"Vencida",IF(O95&lt;=TODAY()+Inicio!$B$19,"Próxima a vencer","Vigente"))))</f>
        <v/>
      </c>
      <c r="T95" s="18"/>
      <c r="U95" s="37" t="str">
        <f t="shared" si="11"/>
        <v/>
      </c>
      <c r="V95" s="37" t="str">
        <f t="shared" si="12"/>
        <v/>
      </c>
      <c r="W95" s="37" t="str">
        <f t="shared" si="13"/>
        <v/>
      </c>
      <c r="X95" s="37" t="str">
        <f t="shared" si="14"/>
        <v/>
      </c>
      <c r="Y95" s="37" t="str">
        <f>IF(OR($H95="",$J95=""),"",$J95*IFERROR(VLOOKUP($H95,Maestro_SKU!$A$2:$P$500,12,FALSE),1))</f>
        <v/>
      </c>
      <c r="Z95" s="37" t="str">
        <f t="shared" ca="1" si="15"/>
        <v/>
      </c>
    </row>
    <row r="96" spans="1:26" x14ac:dyDescent="0.35">
      <c r="A96" s="18"/>
      <c r="B96" s="26"/>
      <c r="C96" s="18"/>
      <c r="D96" s="18"/>
      <c r="E96" s="22" t="str">
        <f>IFERROR(VLOOKUP(D96,Clientes_PDV!$A$2:$J$250,2,FALSE),"")</f>
        <v/>
      </c>
      <c r="F96" s="22" t="str">
        <f>IFERROR(VLOOKUP(D96,Clientes_PDV!$A$2:$J$250,3,FALSE),"")</f>
        <v/>
      </c>
      <c r="G96" s="22" t="str">
        <f>IFERROR(VLOOKUP(D96,Clientes_PDV!$A$2:$J$250,4,FALSE),"")</f>
        <v/>
      </c>
      <c r="H96" s="18"/>
      <c r="I96" s="22" t="str">
        <f>IFERROR(VLOOKUP(H96,Maestro_SKU!$A$2:$P$500,2,FALSE),"")</f>
        <v/>
      </c>
      <c r="J96" s="27"/>
      <c r="K96" s="19"/>
      <c r="L96" s="23" t="str">
        <f t="shared" si="8"/>
        <v/>
      </c>
      <c r="M96" s="23" t="str">
        <f>IF(L96="","",L96*Inicio!$B$13)</f>
        <v/>
      </c>
      <c r="N96" s="23" t="str">
        <f t="shared" si="9"/>
        <v/>
      </c>
      <c r="O96" s="26"/>
      <c r="P96" s="18"/>
      <c r="Q96" s="19"/>
      <c r="R96" s="23" t="str">
        <f t="shared" si="10"/>
        <v/>
      </c>
      <c r="S96" s="22" t="str">
        <f ca="1">IF(A96="","",IF(OR(P96="Pagada",R96=0),"Pagada",IF(O96&lt;TODAY(),"Vencida",IF(O96&lt;=TODAY()+Inicio!$B$19,"Próxima a vencer","Vigente"))))</f>
        <v/>
      </c>
      <c r="T96" s="18"/>
      <c r="U96" s="37" t="str">
        <f t="shared" si="11"/>
        <v/>
      </c>
      <c r="V96" s="37" t="str">
        <f t="shared" si="12"/>
        <v/>
      </c>
      <c r="W96" s="37" t="str">
        <f t="shared" si="13"/>
        <v/>
      </c>
      <c r="X96" s="37" t="str">
        <f t="shared" si="14"/>
        <v/>
      </c>
      <c r="Y96" s="37" t="str">
        <f>IF(OR($H96="",$J96=""),"",$J96*IFERROR(VLOOKUP($H96,Maestro_SKU!$A$2:$P$500,12,FALSE),1))</f>
        <v/>
      </c>
      <c r="Z96" s="37" t="str">
        <f t="shared" ca="1" si="15"/>
        <v/>
      </c>
    </row>
    <row r="97" spans="1:26" x14ac:dyDescent="0.35">
      <c r="A97" s="18"/>
      <c r="B97" s="26"/>
      <c r="C97" s="18"/>
      <c r="D97" s="18"/>
      <c r="E97" s="22" t="str">
        <f>IFERROR(VLOOKUP(D97,Clientes_PDV!$A$2:$J$250,2,FALSE),"")</f>
        <v/>
      </c>
      <c r="F97" s="22" t="str">
        <f>IFERROR(VLOOKUP(D97,Clientes_PDV!$A$2:$J$250,3,FALSE),"")</f>
        <v/>
      </c>
      <c r="G97" s="22" t="str">
        <f>IFERROR(VLOOKUP(D97,Clientes_PDV!$A$2:$J$250,4,FALSE),"")</f>
        <v/>
      </c>
      <c r="H97" s="18"/>
      <c r="I97" s="22" t="str">
        <f>IFERROR(VLOOKUP(H97,Maestro_SKU!$A$2:$P$500,2,FALSE),"")</f>
        <v/>
      </c>
      <c r="J97" s="27"/>
      <c r="K97" s="19"/>
      <c r="L97" s="23" t="str">
        <f t="shared" si="8"/>
        <v/>
      </c>
      <c r="M97" s="23" t="str">
        <f>IF(L97="","",L97*Inicio!$B$13)</f>
        <v/>
      </c>
      <c r="N97" s="23" t="str">
        <f t="shared" si="9"/>
        <v/>
      </c>
      <c r="O97" s="26"/>
      <c r="P97" s="18"/>
      <c r="Q97" s="19"/>
      <c r="R97" s="23" t="str">
        <f t="shared" si="10"/>
        <v/>
      </c>
      <c r="S97" s="22" t="str">
        <f ca="1">IF(A97="","",IF(OR(P97="Pagada",R97=0),"Pagada",IF(O97&lt;TODAY(),"Vencida",IF(O97&lt;=TODAY()+Inicio!$B$19,"Próxima a vencer","Vigente"))))</f>
        <v/>
      </c>
      <c r="T97" s="18"/>
      <c r="U97" s="37" t="str">
        <f t="shared" si="11"/>
        <v/>
      </c>
      <c r="V97" s="37" t="str">
        <f t="shared" si="12"/>
        <v/>
      </c>
      <c r="W97" s="37" t="str">
        <f t="shared" si="13"/>
        <v/>
      </c>
      <c r="X97" s="37" t="str">
        <f t="shared" si="14"/>
        <v/>
      </c>
      <c r="Y97" s="37" t="str">
        <f>IF(OR($H97="",$J97=""),"",$J97*IFERROR(VLOOKUP($H97,Maestro_SKU!$A$2:$P$500,12,FALSE),1))</f>
        <v/>
      </c>
      <c r="Z97" s="37" t="str">
        <f t="shared" ca="1" si="15"/>
        <v/>
      </c>
    </row>
    <row r="98" spans="1:26" x14ac:dyDescent="0.35">
      <c r="A98" s="18"/>
      <c r="B98" s="26"/>
      <c r="C98" s="18"/>
      <c r="D98" s="18"/>
      <c r="E98" s="22" t="str">
        <f>IFERROR(VLOOKUP(D98,Clientes_PDV!$A$2:$J$250,2,FALSE),"")</f>
        <v/>
      </c>
      <c r="F98" s="22" t="str">
        <f>IFERROR(VLOOKUP(D98,Clientes_PDV!$A$2:$J$250,3,FALSE),"")</f>
        <v/>
      </c>
      <c r="G98" s="22" t="str">
        <f>IFERROR(VLOOKUP(D98,Clientes_PDV!$A$2:$J$250,4,FALSE),"")</f>
        <v/>
      </c>
      <c r="H98" s="18"/>
      <c r="I98" s="22" t="str">
        <f>IFERROR(VLOOKUP(H98,Maestro_SKU!$A$2:$P$500,2,FALSE),"")</f>
        <v/>
      </c>
      <c r="J98" s="27"/>
      <c r="K98" s="19"/>
      <c r="L98" s="23" t="str">
        <f t="shared" si="8"/>
        <v/>
      </c>
      <c r="M98" s="23" t="str">
        <f>IF(L98="","",L98*Inicio!$B$13)</f>
        <v/>
      </c>
      <c r="N98" s="23" t="str">
        <f t="shared" si="9"/>
        <v/>
      </c>
      <c r="O98" s="26"/>
      <c r="P98" s="18"/>
      <c r="Q98" s="19"/>
      <c r="R98" s="23" t="str">
        <f t="shared" si="10"/>
        <v/>
      </c>
      <c r="S98" s="22" t="str">
        <f ca="1">IF(A98="","",IF(OR(P98="Pagada",R98=0),"Pagada",IF(O98&lt;TODAY(),"Vencida",IF(O98&lt;=TODAY()+Inicio!$B$19,"Próxima a vencer","Vigente"))))</f>
        <v/>
      </c>
      <c r="T98" s="18"/>
      <c r="U98" s="37" t="str">
        <f t="shared" si="11"/>
        <v/>
      </c>
      <c r="V98" s="37" t="str">
        <f t="shared" si="12"/>
        <v/>
      </c>
      <c r="W98" s="37" t="str">
        <f t="shared" si="13"/>
        <v/>
      </c>
      <c r="X98" s="37" t="str">
        <f t="shared" si="14"/>
        <v/>
      </c>
      <c r="Y98" s="37" t="str">
        <f>IF(OR($H98="",$J98=""),"",$J98*IFERROR(VLOOKUP($H98,Maestro_SKU!$A$2:$P$500,12,FALSE),1))</f>
        <v/>
      </c>
      <c r="Z98" s="37" t="str">
        <f t="shared" ca="1" si="15"/>
        <v/>
      </c>
    </row>
    <row r="99" spans="1:26" x14ac:dyDescent="0.35">
      <c r="A99" s="18"/>
      <c r="B99" s="26"/>
      <c r="C99" s="18"/>
      <c r="D99" s="18"/>
      <c r="E99" s="22" t="str">
        <f>IFERROR(VLOOKUP(D99,Clientes_PDV!$A$2:$J$250,2,FALSE),"")</f>
        <v/>
      </c>
      <c r="F99" s="22" t="str">
        <f>IFERROR(VLOOKUP(D99,Clientes_PDV!$A$2:$J$250,3,FALSE),"")</f>
        <v/>
      </c>
      <c r="G99" s="22" t="str">
        <f>IFERROR(VLOOKUP(D99,Clientes_PDV!$A$2:$J$250,4,FALSE),"")</f>
        <v/>
      </c>
      <c r="H99" s="18"/>
      <c r="I99" s="22" t="str">
        <f>IFERROR(VLOOKUP(H99,Maestro_SKU!$A$2:$P$500,2,FALSE),"")</f>
        <v/>
      </c>
      <c r="J99" s="27"/>
      <c r="K99" s="19"/>
      <c r="L99" s="23" t="str">
        <f t="shared" si="8"/>
        <v/>
      </c>
      <c r="M99" s="23" t="str">
        <f>IF(L99="","",L99*Inicio!$B$13)</f>
        <v/>
      </c>
      <c r="N99" s="23" t="str">
        <f t="shared" si="9"/>
        <v/>
      </c>
      <c r="O99" s="26"/>
      <c r="P99" s="18"/>
      <c r="Q99" s="19"/>
      <c r="R99" s="23" t="str">
        <f t="shared" si="10"/>
        <v/>
      </c>
      <c r="S99" s="22" t="str">
        <f ca="1">IF(A99="","",IF(OR(P99="Pagada",R99=0),"Pagada",IF(O99&lt;TODAY(),"Vencida",IF(O99&lt;=TODAY()+Inicio!$B$19,"Próxima a vencer","Vigente"))))</f>
        <v/>
      </c>
      <c r="T99" s="18"/>
      <c r="U99" s="37" t="str">
        <f t="shared" si="11"/>
        <v/>
      </c>
      <c r="V99" s="37" t="str">
        <f t="shared" si="12"/>
        <v/>
      </c>
      <c r="W99" s="37" t="str">
        <f t="shared" si="13"/>
        <v/>
      </c>
      <c r="X99" s="37" t="str">
        <f t="shared" si="14"/>
        <v/>
      </c>
      <c r="Y99" s="37" t="str">
        <f>IF(OR($H99="",$J99=""),"",$J99*IFERROR(VLOOKUP($H99,Maestro_SKU!$A$2:$P$500,12,FALSE),1))</f>
        <v/>
      </c>
      <c r="Z99" s="37" t="str">
        <f t="shared" ca="1" si="15"/>
        <v/>
      </c>
    </row>
    <row r="100" spans="1:26" x14ac:dyDescent="0.35">
      <c r="A100" s="18"/>
      <c r="B100" s="26"/>
      <c r="C100" s="18"/>
      <c r="D100" s="18"/>
      <c r="E100" s="22" t="str">
        <f>IFERROR(VLOOKUP(D100,Clientes_PDV!$A$2:$J$250,2,FALSE),"")</f>
        <v/>
      </c>
      <c r="F100" s="22" t="str">
        <f>IFERROR(VLOOKUP(D100,Clientes_PDV!$A$2:$J$250,3,FALSE),"")</f>
        <v/>
      </c>
      <c r="G100" s="22" t="str">
        <f>IFERROR(VLOOKUP(D100,Clientes_PDV!$A$2:$J$250,4,FALSE),"")</f>
        <v/>
      </c>
      <c r="H100" s="18"/>
      <c r="I100" s="22" t="str">
        <f>IFERROR(VLOOKUP(H100,Maestro_SKU!$A$2:$P$500,2,FALSE),"")</f>
        <v/>
      </c>
      <c r="J100" s="27"/>
      <c r="K100" s="19"/>
      <c r="L100" s="23" t="str">
        <f t="shared" si="8"/>
        <v/>
      </c>
      <c r="M100" s="23" t="str">
        <f>IF(L100="","",L100*Inicio!$B$13)</f>
        <v/>
      </c>
      <c r="N100" s="23" t="str">
        <f t="shared" si="9"/>
        <v/>
      </c>
      <c r="O100" s="26"/>
      <c r="P100" s="18"/>
      <c r="Q100" s="19"/>
      <c r="R100" s="23" t="str">
        <f t="shared" si="10"/>
        <v/>
      </c>
      <c r="S100" s="22" t="str">
        <f ca="1">IF(A100="","",IF(OR(P100="Pagada",R100=0),"Pagada",IF(O100&lt;TODAY(),"Vencida",IF(O100&lt;=TODAY()+Inicio!$B$19,"Próxima a vencer","Vigente"))))</f>
        <v/>
      </c>
      <c r="T100" s="18"/>
      <c r="U100" s="37" t="str">
        <f t="shared" si="11"/>
        <v/>
      </c>
      <c r="V100" s="37" t="str">
        <f t="shared" si="12"/>
        <v/>
      </c>
      <c r="W100" s="37" t="str">
        <f t="shared" si="13"/>
        <v/>
      </c>
      <c r="X100" s="37" t="str">
        <f t="shared" si="14"/>
        <v/>
      </c>
      <c r="Y100" s="37" t="str">
        <f>IF(OR($H100="",$J100=""),"",$J100*IFERROR(VLOOKUP($H100,Maestro_SKU!$A$2:$P$500,12,FALSE),1))</f>
        <v/>
      </c>
      <c r="Z100" s="37" t="str">
        <f t="shared" ca="1" si="15"/>
        <v/>
      </c>
    </row>
    <row r="101" spans="1:26" x14ac:dyDescent="0.35">
      <c r="A101" s="18"/>
      <c r="B101" s="26"/>
      <c r="C101" s="18"/>
      <c r="D101" s="18"/>
      <c r="E101" s="22" t="str">
        <f>IFERROR(VLOOKUP(D101,Clientes_PDV!$A$2:$J$250,2,FALSE),"")</f>
        <v/>
      </c>
      <c r="F101" s="22" t="str">
        <f>IFERROR(VLOOKUP(D101,Clientes_PDV!$A$2:$J$250,3,FALSE),"")</f>
        <v/>
      </c>
      <c r="G101" s="22" t="str">
        <f>IFERROR(VLOOKUP(D101,Clientes_PDV!$A$2:$J$250,4,FALSE),"")</f>
        <v/>
      </c>
      <c r="H101" s="18"/>
      <c r="I101" s="22" t="str">
        <f>IFERROR(VLOOKUP(H101,Maestro_SKU!$A$2:$P$500,2,FALSE),"")</f>
        <v/>
      </c>
      <c r="J101" s="27"/>
      <c r="K101" s="19"/>
      <c r="L101" s="23" t="str">
        <f t="shared" si="8"/>
        <v/>
      </c>
      <c r="M101" s="23" t="str">
        <f>IF(L101="","",L101*Inicio!$B$13)</f>
        <v/>
      </c>
      <c r="N101" s="23" t="str">
        <f t="shared" si="9"/>
        <v/>
      </c>
      <c r="O101" s="26"/>
      <c r="P101" s="18"/>
      <c r="Q101" s="19"/>
      <c r="R101" s="23" t="str">
        <f t="shared" si="10"/>
        <v/>
      </c>
      <c r="S101" s="22" t="str">
        <f ca="1">IF(A101="","",IF(OR(P101="Pagada",R101=0),"Pagada",IF(O101&lt;TODAY(),"Vencida",IF(O101&lt;=TODAY()+Inicio!$B$19,"Próxima a vencer","Vigente"))))</f>
        <v/>
      </c>
      <c r="T101" s="18"/>
      <c r="U101" s="37" t="str">
        <f t="shared" si="11"/>
        <v/>
      </c>
      <c r="V101" s="37" t="str">
        <f t="shared" si="12"/>
        <v/>
      </c>
      <c r="W101" s="37" t="str">
        <f t="shared" si="13"/>
        <v/>
      </c>
      <c r="X101" s="37" t="str">
        <f t="shared" si="14"/>
        <v/>
      </c>
      <c r="Y101" s="37" t="str">
        <f>IF(OR($H101="",$J101=""),"",$J101*IFERROR(VLOOKUP($H101,Maestro_SKU!$A$2:$P$500,12,FALSE),1))</f>
        <v/>
      </c>
      <c r="Z101" s="37" t="str">
        <f t="shared" ca="1" si="15"/>
        <v/>
      </c>
    </row>
    <row r="102" spans="1:26" x14ac:dyDescent="0.35">
      <c r="A102" s="18"/>
      <c r="B102" s="26"/>
      <c r="C102" s="18"/>
      <c r="D102" s="18"/>
      <c r="E102" s="22" t="str">
        <f>IFERROR(VLOOKUP(D102,Clientes_PDV!$A$2:$J$250,2,FALSE),"")</f>
        <v/>
      </c>
      <c r="F102" s="22" t="str">
        <f>IFERROR(VLOOKUP(D102,Clientes_PDV!$A$2:$J$250,3,FALSE),"")</f>
        <v/>
      </c>
      <c r="G102" s="22" t="str">
        <f>IFERROR(VLOOKUP(D102,Clientes_PDV!$A$2:$J$250,4,FALSE),"")</f>
        <v/>
      </c>
      <c r="H102" s="18"/>
      <c r="I102" s="22" t="str">
        <f>IFERROR(VLOOKUP(H102,Maestro_SKU!$A$2:$P$500,2,FALSE),"")</f>
        <v/>
      </c>
      <c r="J102" s="27"/>
      <c r="K102" s="19"/>
      <c r="L102" s="23" t="str">
        <f t="shared" si="8"/>
        <v/>
      </c>
      <c r="M102" s="23" t="str">
        <f>IF(L102="","",L102*Inicio!$B$13)</f>
        <v/>
      </c>
      <c r="N102" s="23" t="str">
        <f t="shared" si="9"/>
        <v/>
      </c>
      <c r="O102" s="26"/>
      <c r="P102" s="18"/>
      <c r="Q102" s="19"/>
      <c r="R102" s="23" t="str">
        <f t="shared" si="10"/>
        <v/>
      </c>
      <c r="S102" s="22" t="str">
        <f ca="1">IF(A102="","",IF(OR(P102="Pagada",R102=0),"Pagada",IF(O102&lt;TODAY(),"Vencida",IF(O102&lt;=TODAY()+Inicio!$B$19,"Próxima a vencer","Vigente"))))</f>
        <v/>
      </c>
      <c r="T102" s="18"/>
      <c r="U102" s="37" t="str">
        <f t="shared" si="11"/>
        <v/>
      </c>
      <c r="V102" s="37" t="str">
        <f t="shared" si="12"/>
        <v/>
      </c>
      <c r="W102" s="37" t="str">
        <f t="shared" si="13"/>
        <v/>
      </c>
      <c r="X102" s="37" t="str">
        <f t="shared" si="14"/>
        <v/>
      </c>
      <c r="Y102" s="37" t="str">
        <f>IF(OR($H102="",$J102=""),"",$J102*IFERROR(VLOOKUP($H102,Maestro_SKU!$A$2:$P$500,12,FALSE),1))</f>
        <v/>
      </c>
      <c r="Z102" s="37" t="str">
        <f t="shared" ca="1" si="15"/>
        <v/>
      </c>
    </row>
    <row r="103" spans="1:26" x14ac:dyDescent="0.35">
      <c r="A103" s="18"/>
      <c r="B103" s="26"/>
      <c r="C103" s="18"/>
      <c r="D103" s="18"/>
      <c r="E103" s="22" t="str">
        <f>IFERROR(VLOOKUP(D103,Clientes_PDV!$A$2:$J$250,2,FALSE),"")</f>
        <v/>
      </c>
      <c r="F103" s="22" t="str">
        <f>IFERROR(VLOOKUP(D103,Clientes_PDV!$A$2:$J$250,3,FALSE),"")</f>
        <v/>
      </c>
      <c r="G103" s="22" t="str">
        <f>IFERROR(VLOOKUP(D103,Clientes_PDV!$A$2:$J$250,4,FALSE),"")</f>
        <v/>
      </c>
      <c r="H103" s="18"/>
      <c r="I103" s="22" t="str">
        <f>IFERROR(VLOOKUP(H103,Maestro_SKU!$A$2:$P$500,2,FALSE),"")</f>
        <v/>
      </c>
      <c r="J103" s="27"/>
      <c r="K103" s="19"/>
      <c r="L103" s="23" t="str">
        <f t="shared" si="8"/>
        <v/>
      </c>
      <c r="M103" s="23" t="str">
        <f>IF(L103="","",L103*Inicio!$B$13)</f>
        <v/>
      </c>
      <c r="N103" s="23" t="str">
        <f t="shared" si="9"/>
        <v/>
      </c>
      <c r="O103" s="26"/>
      <c r="P103" s="18"/>
      <c r="Q103" s="19"/>
      <c r="R103" s="23" t="str">
        <f t="shared" si="10"/>
        <v/>
      </c>
      <c r="S103" s="22" t="str">
        <f ca="1">IF(A103="","",IF(OR(P103="Pagada",R103=0),"Pagada",IF(O103&lt;TODAY(),"Vencida",IF(O103&lt;=TODAY()+Inicio!$B$19,"Próxima a vencer","Vigente"))))</f>
        <v/>
      </c>
      <c r="T103" s="18"/>
      <c r="U103" s="37" t="str">
        <f t="shared" si="11"/>
        <v/>
      </c>
      <c r="V103" s="37" t="str">
        <f t="shared" si="12"/>
        <v/>
      </c>
      <c r="W103" s="37" t="str">
        <f t="shared" si="13"/>
        <v/>
      </c>
      <c r="X103" s="37" t="str">
        <f t="shared" si="14"/>
        <v/>
      </c>
      <c r="Y103" s="37" t="str">
        <f>IF(OR($H103="",$J103=""),"",$J103*IFERROR(VLOOKUP($H103,Maestro_SKU!$A$2:$P$500,12,FALSE),1))</f>
        <v/>
      </c>
      <c r="Z103" s="37" t="str">
        <f t="shared" ca="1" si="15"/>
        <v/>
      </c>
    </row>
    <row r="104" spans="1:26" x14ac:dyDescent="0.35">
      <c r="A104" s="18"/>
      <c r="B104" s="26"/>
      <c r="C104" s="18"/>
      <c r="D104" s="18"/>
      <c r="E104" s="22" t="str">
        <f>IFERROR(VLOOKUP(D104,Clientes_PDV!$A$2:$J$250,2,FALSE),"")</f>
        <v/>
      </c>
      <c r="F104" s="22" t="str">
        <f>IFERROR(VLOOKUP(D104,Clientes_PDV!$A$2:$J$250,3,FALSE),"")</f>
        <v/>
      </c>
      <c r="G104" s="22" t="str">
        <f>IFERROR(VLOOKUP(D104,Clientes_PDV!$A$2:$J$250,4,FALSE),"")</f>
        <v/>
      </c>
      <c r="H104" s="18"/>
      <c r="I104" s="22" t="str">
        <f>IFERROR(VLOOKUP(H104,Maestro_SKU!$A$2:$P$500,2,FALSE),"")</f>
        <v/>
      </c>
      <c r="J104" s="27"/>
      <c r="K104" s="19"/>
      <c r="L104" s="23" t="str">
        <f t="shared" si="8"/>
        <v/>
      </c>
      <c r="M104" s="23" t="str">
        <f>IF(L104="","",L104*Inicio!$B$13)</f>
        <v/>
      </c>
      <c r="N104" s="23" t="str">
        <f t="shared" si="9"/>
        <v/>
      </c>
      <c r="O104" s="26"/>
      <c r="P104" s="18"/>
      <c r="Q104" s="19"/>
      <c r="R104" s="23" t="str">
        <f t="shared" si="10"/>
        <v/>
      </c>
      <c r="S104" s="22" t="str">
        <f ca="1">IF(A104="","",IF(OR(P104="Pagada",R104=0),"Pagada",IF(O104&lt;TODAY(),"Vencida",IF(O104&lt;=TODAY()+Inicio!$B$19,"Próxima a vencer","Vigente"))))</f>
        <v/>
      </c>
      <c r="T104" s="18"/>
      <c r="U104" s="37" t="str">
        <f t="shared" si="11"/>
        <v/>
      </c>
      <c r="V104" s="37" t="str">
        <f t="shared" si="12"/>
        <v/>
      </c>
      <c r="W104" s="37" t="str">
        <f t="shared" si="13"/>
        <v/>
      </c>
      <c r="X104" s="37" t="str">
        <f t="shared" si="14"/>
        <v/>
      </c>
      <c r="Y104" s="37" t="str">
        <f>IF(OR($H104="",$J104=""),"",$J104*IFERROR(VLOOKUP($H104,Maestro_SKU!$A$2:$P$500,12,FALSE),1))</f>
        <v/>
      </c>
      <c r="Z104" s="37" t="str">
        <f t="shared" ca="1" si="15"/>
        <v/>
      </c>
    </row>
    <row r="105" spans="1:26" x14ac:dyDescent="0.35">
      <c r="A105" s="18"/>
      <c r="B105" s="26"/>
      <c r="C105" s="18"/>
      <c r="D105" s="18"/>
      <c r="E105" s="22" t="str">
        <f>IFERROR(VLOOKUP(D105,Clientes_PDV!$A$2:$J$250,2,FALSE),"")</f>
        <v/>
      </c>
      <c r="F105" s="22" t="str">
        <f>IFERROR(VLOOKUP(D105,Clientes_PDV!$A$2:$J$250,3,FALSE),"")</f>
        <v/>
      </c>
      <c r="G105" s="22" t="str">
        <f>IFERROR(VLOOKUP(D105,Clientes_PDV!$A$2:$J$250,4,FALSE),"")</f>
        <v/>
      </c>
      <c r="H105" s="18"/>
      <c r="I105" s="22" t="str">
        <f>IFERROR(VLOOKUP(H105,Maestro_SKU!$A$2:$P$500,2,FALSE),"")</f>
        <v/>
      </c>
      <c r="J105" s="27"/>
      <c r="K105" s="19"/>
      <c r="L105" s="23" t="str">
        <f t="shared" si="8"/>
        <v/>
      </c>
      <c r="M105" s="23" t="str">
        <f>IF(L105="","",L105*Inicio!$B$13)</f>
        <v/>
      </c>
      <c r="N105" s="23" t="str">
        <f t="shared" si="9"/>
        <v/>
      </c>
      <c r="O105" s="26"/>
      <c r="P105" s="18"/>
      <c r="Q105" s="19"/>
      <c r="R105" s="23" t="str">
        <f t="shared" si="10"/>
        <v/>
      </c>
      <c r="S105" s="22" t="str">
        <f ca="1">IF(A105="","",IF(OR(P105="Pagada",R105=0),"Pagada",IF(O105&lt;TODAY(),"Vencida",IF(O105&lt;=TODAY()+Inicio!$B$19,"Próxima a vencer","Vigente"))))</f>
        <v/>
      </c>
      <c r="T105" s="18"/>
      <c r="U105" s="37" t="str">
        <f t="shared" si="11"/>
        <v/>
      </c>
      <c r="V105" s="37" t="str">
        <f t="shared" si="12"/>
        <v/>
      </c>
      <c r="W105" s="37" t="str">
        <f t="shared" si="13"/>
        <v/>
      </c>
      <c r="X105" s="37" t="str">
        <f t="shared" si="14"/>
        <v/>
      </c>
      <c r="Y105" s="37" t="str">
        <f>IF(OR($H105="",$J105=""),"",$J105*IFERROR(VLOOKUP($H105,Maestro_SKU!$A$2:$P$500,12,FALSE),1))</f>
        <v/>
      </c>
      <c r="Z105" s="37" t="str">
        <f t="shared" ca="1" si="15"/>
        <v/>
      </c>
    </row>
    <row r="106" spans="1:26" x14ac:dyDescent="0.35">
      <c r="A106" s="18"/>
      <c r="B106" s="26"/>
      <c r="C106" s="18"/>
      <c r="D106" s="18"/>
      <c r="E106" s="22" t="str">
        <f>IFERROR(VLOOKUP(D106,Clientes_PDV!$A$2:$J$250,2,FALSE),"")</f>
        <v/>
      </c>
      <c r="F106" s="22" t="str">
        <f>IFERROR(VLOOKUP(D106,Clientes_PDV!$A$2:$J$250,3,FALSE),"")</f>
        <v/>
      </c>
      <c r="G106" s="22" t="str">
        <f>IFERROR(VLOOKUP(D106,Clientes_PDV!$A$2:$J$250,4,FALSE),"")</f>
        <v/>
      </c>
      <c r="H106" s="18"/>
      <c r="I106" s="22" t="str">
        <f>IFERROR(VLOOKUP(H106,Maestro_SKU!$A$2:$P$500,2,FALSE),"")</f>
        <v/>
      </c>
      <c r="J106" s="27"/>
      <c r="K106" s="19"/>
      <c r="L106" s="23" t="str">
        <f t="shared" si="8"/>
        <v/>
      </c>
      <c r="M106" s="23" t="str">
        <f>IF(L106="","",L106*Inicio!$B$13)</f>
        <v/>
      </c>
      <c r="N106" s="23" t="str">
        <f t="shared" si="9"/>
        <v/>
      </c>
      <c r="O106" s="26"/>
      <c r="P106" s="18"/>
      <c r="Q106" s="19"/>
      <c r="R106" s="23" t="str">
        <f t="shared" si="10"/>
        <v/>
      </c>
      <c r="S106" s="22" t="str">
        <f ca="1">IF(A106="","",IF(OR(P106="Pagada",R106=0),"Pagada",IF(O106&lt;TODAY(),"Vencida",IF(O106&lt;=TODAY()+Inicio!$B$19,"Próxima a vencer","Vigente"))))</f>
        <v/>
      </c>
      <c r="T106" s="18"/>
      <c r="U106" s="37" t="str">
        <f t="shared" si="11"/>
        <v/>
      </c>
      <c r="V106" s="37" t="str">
        <f t="shared" si="12"/>
        <v/>
      </c>
      <c r="W106" s="37" t="str">
        <f t="shared" si="13"/>
        <v/>
      </c>
      <c r="X106" s="37" t="str">
        <f t="shared" si="14"/>
        <v/>
      </c>
      <c r="Y106" s="37" t="str">
        <f>IF(OR($H106="",$J106=""),"",$J106*IFERROR(VLOOKUP($H106,Maestro_SKU!$A$2:$P$500,12,FALSE),1))</f>
        <v/>
      </c>
      <c r="Z106" s="37" t="str">
        <f t="shared" ca="1" si="15"/>
        <v/>
      </c>
    </row>
    <row r="107" spans="1:26" x14ac:dyDescent="0.35">
      <c r="A107" s="18"/>
      <c r="B107" s="26"/>
      <c r="C107" s="18"/>
      <c r="D107" s="18"/>
      <c r="E107" s="22" t="str">
        <f>IFERROR(VLOOKUP(D107,Clientes_PDV!$A$2:$J$250,2,FALSE),"")</f>
        <v/>
      </c>
      <c r="F107" s="22" t="str">
        <f>IFERROR(VLOOKUP(D107,Clientes_PDV!$A$2:$J$250,3,FALSE),"")</f>
        <v/>
      </c>
      <c r="G107" s="22" t="str">
        <f>IFERROR(VLOOKUP(D107,Clientes_PDV!$A$2:$J$250,4,FALSE),"")</f>
        <v/>
      </c>
      <c r="H107" s="18"/>
      <c r="I107" s="22" t="str">
        <f>IFERROR(VLOOKUP(H107,Maestro_SKU!$A$2:$P$500,2,FALSE),"")</f>
        <v/>
      </c>
      <c r="J107" s="27"/>
      <c r="K107" s="19"/>
      <c r="L107" s="23" t="str">
        <f t="shared" si="8"/>
        <v/>
      </c>
      <c r="M107" s="23" t="str">
        <f>IF(L107="","",L107*Inicio!$B$13)</f>
        <v/>
      </c>
      <c r="N107" s="23" t="str">
        <f t="shared" si="9"/>
        <v/>
      </c>
      <c r="O107" s="26"/>
      <c r="P107" s="18"/>
      <c r="Q107" s="19"/>
      <c r="R107" s="23" t="str">
        <f t="shared" si="10"/>
        <v/>
      </c>
      <c r="S107" s="22" t="str">
        <f ca="1">IF(A107="","",IF(OR(P107="Pagada",R107=0),"Pagada",IF(O107&lt;TODAY(),"Vencida",IF(O107&lt;=TODAY()+Inicio!$B$19,"Próxima a vencer","Vigente"))))</f>
        <v/>
      </c>
      <c r="T107" s="18"/>
      <c r="U107" s="37" t="str">
        <f t="shared" si="11"/>
        <v/>
      </c>
      <c r="V107" s="37" t="str">
        <f t="shared" si="12"/>
        <v/>
      </c>
      <c r="W107" s="37" t="str">
        <f t="shared" si="13"/>
        <v/>
      </c>
      <c r="X107" s="37" t="str">
        <f t="shared" si="14"/>
        <v/>
      </c>
      <c r="Y107" s="37" t="str">
        <f>IF(OR($H107="",$J107=""),"",$J107*IFERROR(VLOOKUP($H107,Maestro_SKU!$A$2:$P$500,12,FALSE),1))</f>
        <v/>
      </c>
      <c r="Z107" s="37" t="str">
        <f t="shared" ca="1" si="15"/>
        <v/>
      </c>
    </row>
    <row r="108" spans="1:26" x14ac:dyDescent="0.35">
      <c r="A108" s="18"/>
      <c r="B108" s="26"/>
      <c r="C108" s="18"/>
      <c r="D108" s="18"/>
      <c r="E108" s="22" t="str">
        <f>IFERROR(VLOOKUP(D108,Clientes_PDV!$A$2:$J$250,2,FALSE),"")</f>
        <v/>
      </c>
      <c r="F108" s="22" t="str">
        <f>IFERROR(VLOOKUP(D108,Clientes_PDV!$A$2:$J$250,3,FALSE),"")</f>
        <v/>
      </c>
      <c r="G108" s="22" t="str">
        <f>IFERROR(VLOOKUP(D108,Clientes_PDV!$A$2:$J$250,4,FALSE),"")</f>
        <v/>
      </c>
      <c r="H108" s="18"/>
      <c r="I108" s="22" t="str">
        <f>IFERROR(VLOOKUP(H108,Maestro_SKU!$A$2:$P$500,2,FALSE),"")</f>
        <v/>
      </c>
      <c r="J108" s="27"/>
      <c r="K108" s="19"/>
      <c r="L108" s="23" t="str">
        <f t="shared" si="8"/>
        <v/>
      </c>
      <c r="M108" s="23" t="str">
        <f>IF(L108="","",L108*Inicio!$B$13)</f>
        <v/>
      </c>
      <c r="N108" s="23" t="str">
        <f t="shared" si="9"/>
        <v/>
      </c>
      <c r="O108" s="26"/>
      <c r="P108" s="18"/>
      <c r="Q108" s="19"/>
      <c r="R108" s="23" t="str">
        <f t="shared" si="10"/>
        <v/>
      </c>
      <c r="S108" s="22" t="str">
        <f ca="1">IF(A108="","",IF(OR(P108="Pagada",R108=0),"Pagada",IF(O108&lt;TODAY(),"Vencida",IF(O108&lt;=TODAY()+Inicio!$B$19,"Próxima a vencer","Vigente"))))</f>
        <v/>
      </c>
      <c r="T108" s="18"/>
      <c r="U108" s="37" t="str">
        <f t="shared" si="11"/>
        <v/>
      </c>
      <c r="V108" s="37" t="str">
        <f t="shared" si="12"/>
        <v/>
      </c>
      <c r="W108" s="37" t="str">
        <f t="shared" si="13"/>
        <v/>
      </c>
      <c r="X108" s="37" t="str">
        <f t="shared" si="14"/>
        <v/>
      </c>
      <c r="Y108" s="37" t="str">
        <f>IF(OR($H108="",$J108=""),"",$J108*IFERROR(VLOOKUP($H108,Maestro_SKU!$A$2:$P$500,12,FALSE),1))</f>
        <v/>
      </c>
      <c r="Z108" s="37" t="str">
        <f t="shared" ca="1" si="15"/>
        <v/>
      </c>
    </row>
    <row r="109" spans="1:26" x14ac:dyDescent="0.35">
      <c r="A109" s="18"/>
      <c r="B109" s="26"/>
      <c r="C109" s="18"/>
      <c r="D109" s="18"/>
      <c r="E109" s="22" t="str">
        <f>IFERROR(VLOOKUP(D109,Clientes_PDV!$A$2:$J$250,2,FALSE),"")</f>
        <v/>
      </c>
      <c r="F109" s="22" t="str">
        <f>IFERROR(VLOOKUP(D109,Clientes_PDV!$A$2:$J$250,3,FALSE),"")</f>
        <v/>
      </c>
      <c r="G109" s="22" t="str">
        <f>IFERROR(VLOOKUP(D109,Clientes_PDV!$A$2:$J$250,4,FALSE),"")</f>
        <v/>
      </c>
      <c r="H109" s="18"/>
      <c r="I109" s="22" t="str">
        <f>IFERROR(VLOOKUP(H109,Maestro_SKU!$A$2:$P$500,2,FALSE),"")</f>
        <v/>
      </c>
      <c r="J109" s="27"/>
      <c r="K109" s="19"/>
      <c r="L109" s="23" t="str">
        <f t="shared" si="8"/>
        <v/>
      </c>
      <c r="M109" s="23" t="str">
        <f>IF(L109="","",L109*Inicio!$B$13)</f>
        <v/>
      </c>
      <c r="N109" s="23" t="str">
        <f t="shared" si="9"/>
        <v/>
      </c>
      <c r="O109" s="26"/>
      <c r="P109" s="18"/>
      <c r="Q109" s="19"/>
      <c r="R109" s="23" t="str">
        <f t="shared" si="10"/>
        <v/>
      </c>
      <c r="S109" s="22" t="str">
        <f ca="1">IF(A109="","",IF(OR(P109="Pagada",R109=0),"Pagada",IF(O109&lt;TODAY(),"Vencida",IF(O109&lt;=TODAY()+Inicio!$B$19,"Próxima a vencer","Vigente"))))</f>
        <v/>
      </c>
      <c r="T109" s="18"/>
      <c r="U109" s="37" t="str">
        <f t="shared" si="11"/>
        <v/>
      </c>
      <c r="V109" s="37" t="str">
        <f t="shared" si="12"/>
        <v/>
      </c>
      <c r="W109" s="37" t="str">
        <f t="shared" si="13"/>
        <v/>
      </c>
      <c r="X109" s="37" t="str">
        <f t="shared" si="14"/>
        <v/>
      </c>
      <c r="Y109" s="37" t="str">
        <f>IF(OR($H109="",$J109=""),"",$J109*IFERROR(VLOOKUP($H109,Maestro_SKU!$A$2:$P$500,12,FALSE),1))</f>
        <v/>
      </c>
      <c r="Z109" s="37" t="str">
        <f t="shared" ca="1" si="15"/>
        <v/>
      </c>
    </row>
    <row r="110" spans="1:26" x14ac:dyDescent="0.35">
      <c r="A110" s="18"/>
      <c r="B110" s="26"/>
      <c r="C110" s="18"/>
      <c r="D110" s="18"/>
      <c r="E110" s="22" t="str">
        <f>IFERROR(VLOOKUP(D110,Clientes_PDV!$A$2:$J$250,2,FALSE),"")</f>
        <v/>
      </c>
      <c r="F110" s="22" t="str">
        <f>IFERROR(VLOOKUP(D110,Clientes_PDV!$A$2:$J$250,3,FALSE),"")</f>
        <v/>
      </c>
      <c r="G110" s="22" t="str">
        <f>IFERROR(VLOOKUP(D110,Clientes_PDV!$A$2:$J$250,4,FALSE),"")</f>
        <v/>
      </c>
      <c r="H110" s="18"/>
      <c r="I110" s="22" t="str">
        <f>IFERROR(VLOOKUP(H110,Maestro_SKU!$A$2:$P$500,2,FALSE),"")</f>
        <v/>
      </c>
      <c r="J110" s="27"/>
      <c r="K110" s="19"/>
      <c r="L110" s="23" t="str">
        <f t="shared" si="8"/>
        <v/>
      </c>
      <c r="M110" s="23" t="str">
        <f>IF(L110="","",L110*Inicio!$B$13)</f>
        <v/>
      </c>
      <c r="N110" s="23" t="str">
        <f t="shared" si="9"/>
        <v/>
      </c>
      <c r="O110" s="26"/>
      <c r="P110" s="18"/>
      <c r="Q110" s="19"/>
      <c r="R110" s="23" t="str">
        <f t="shared" si="10"/>
        <v/>
      </c>
      <c r="S110" s="22" t="str">
        <f ca="1">IF(A110="","",IF(OR(P110="Pagada",R110=0),"Pagada",IF(O110&lt;TODAY(),"Vencida",IF(O110&lt;=TODAY()+Inicio!$B$19,"Próxima a vencer","Vigente"))))</f>
        <v/>
      </c>
      <c r="T110" s="18"/>
      <c r="U110" s="37" t="str">
        <f t="shared" si="11"/>
        <v/>
      </c>
      <c r="V110" s="37" t="str">
        <f t="shared" si="12"/>
        <v/>
      </c>
      <c r="W110" s="37" t="str">
        <f t="shared" si="13"/>
        <v/>
      </c>
      <c r="X110" s="37" t="str">
        <f t="shared" si="14"/>
        <v/>
      </c>
      <c r="Y110" s="37" t="str">
        <f>IF(OR($H110="",$J110=""),"",$J110*IFERROR(VLOOKUP($H110,Maestro_SKU!$A$2:$P$500,12,FALSE),1))</f>
        <v/>
      </c>
      <c r="Z110" s="37" t="str">
        <f t="shared" ca="1" si="15"/>
        <v/>
      </c>
    </row>
    <row r="111" spans="1:26" x14ac:dyDescent="0.35">
      <c r="A111" s="18"/>
      <c r="B111" s="26"/>
      <c r="C111" s="18"/>
      <c r="D111" s="18"/>
      <c r="E111" s="22" t="str">
        <f>IFERROR(VLOOKUP(D111,Clientes_PDV!$A$2:$J$250,2,FALSE),"")</f>
        <v/>
      </c>
      <c r="F111" s="22" t="str">
        <f>IFERROR(VLOOKUP(D111,Clientes_PDV!$A$2:$J$250,3,FALSE),"")</f>
        <v/>
      </c>
      <c r="G111" s="22" t="str">
        <f>IFERROR(VLOOKUP(D111,Clientes_PDV!$A$2:$J$250,4,FALSE),"")</f>
        <v/>
      </c>
      <c r="H111" s="18"/>
      <c r="I111" s="22" t="str">
        <f>IFERROR(VLOOKUP(H111,Maestro_SKU!$A$2:$P$500,2,FALSE),"")</f>
        <v/>
      </c>
      <c r="J111" s="27"/>
      <c r="K111" s="19"/>
      <c r="L111" s="23" t="str">
        <f t="shared" si="8"/>
        <v/>
      </c>
      <c r="M111" s="23" t="str">
        <f>IF(L111="","",L111*Inicio!$B$13)</f>
        <v/>
      </c>
      <c r="N111" s="23" t="str">
        <f t="shared" si="9"/>
        <v/>
      </c>
      <c r="O111" s="26"/>
      <c r="P111" s="18"/>
      <c r="Q111" s="19"/>
      <c r="R111" s="23" t="str">
        <f t="shared" si="10"/>
        <v/>
      </c>
      <c r="S111" s="22" t="str">
        <f ca="1">IF(A111="","",IF(OR(P111="Pagada",R111=0),"Pagada",IF(O111&lt;TODAY(),"Vencida",IF(O111&lt;=TODAY()+Inicio!$B$19,"Próxima a vencer","Vigente"))))</f>
        <v/>
      </c>
      <c r="T111" s="18"/>
      <c r="U111" s="37" t="str">
        <f t="shared" si="11"/>
        <v/>
      </c>
      <c r="V111" s="37" t="str">
        <f t="shared" si="12"/>
        <v/>
      </c>
      <c r="W111" s="37" t="str">
        <f t="shared" si="13"/>
        <v/>
      </c>
      <c r="X111" s="37" t="str">
        <f t="shared" si="14"/>
        <v/>
      </c>
      <c r="Y111" s="37" t="str">
        <f>IF(OR($H111="",$J111=""),"",$J111*IFERROR(VLOOKUP($H111,Maestro_SKU!$A$2:$P$500,12,FALSE),1))</f>
        <v/>
      </c>
      <c r="Z111" s="37" t="str">
        <f t="shared" ca="1" si="15"/>
        <v/>
      </c>
    </row>
    <row r="112" spans="1:26" x14ac:dyDescent="0.35">
      <c r="A112" s="18"/>
      <c r="B112" s="26"/>
      <c r="C112" s="18"/>
      <c r="D112" s="18"/>
      <c r="E112" s="22" t="str">
        <f>IFERROR(VLOOKUP(D112,Clientes_PDV!$A$2:$J$250,2,FALSE),"")</f>
        <v/>
      </c>
      <c r="F112" s="22" t="str">
        <f>IFERROR(VLOOKUP(D112,Clientes_PDV!$A$2:$J$250,3,FALSE),"")</f>
        <v/>
      </c>
      <c r="G112" s="22" t="str">
        <f>IFERROR(VLOOKUP(D112,Clientes_PDV!$A$2:$J$250,4,FALSE),"")</f>
        <v/>
      </c>
      <c r="H112" s="18"/>
      <c r="I112" s="22" t="str">
        <f>IFERROR(VLOOKUP(H112,Maestro_SKU!$A$2:$P$500,2,FALSE),"")</f>
        <v/>
      </c>
      <c r="J112" s="27"/>
      <c r="K112" s="19"/>
      <c r="L112" s="23" t="str">
        <f t="shared" si="8"/>
        <v/>
      </c>
      <c r="M112" s="23" t="str">
        <f>IF(L112="","",L112*Inicio!$B$13)</f>
        <v/>
      </c>
      <c r="N112" s="23" t="str">
        <f t="shared" si="9"/>
        <v/>
      </c>
      <c r="O112" s="26"/>
      <c r="P112" s="18"/>
      <c r="Q112" s="19"/>
      <c r="R112" s="23" t="str">
        <f t="shared" si="10"/>
        <v/>
      </c>
      <c r="S112" s="22" t="str">
        <f ca="1">IF(A112="","",IF(OR(P112="Pagada",R112=0),"Pagada",IF(O112&lt;TODAY(),"Vencida",IF(O112&lt;=TODAY()+Inicio!$B$19,"Próxima a vencer","Vigente"))))</f>
        <v/>
      </c>
      <c r="T112" s="18"/>
      <c r="U112" s="37" t="str">
        <f t="shared" si="11"/>
        <v/>
      </c>
      <c r="V112" s="37" t="str">
        <f t="shared" si="12"/>
        <v/>
      </c>
      <c r="W112" s="37" t="str">
        <f t="shared" si="13"/>
        <v/>
      </c>
      <c r="X112" s="37" t="str">
        <f t="shared" si="14"/>
        <v/>
      </c>
      <c r="Y112" s="37" t="str">
        <f>IF(OR($H112="",$J112=""),"",$J112*IFERROR(VLOOKUP($H112,Maestro_SKU!$A$2:$P$500,12,FALSE),1))</f>
        <v/>
      </c>
      <c r="Z112" s="37" t="str">
        <f t="shared" ca="1" si="15"/>
        <v/>
      </c>
    </row>
    <row r="113" spans="1:26" x14ac:dyDescent="0.35">
      <c r="A113" s="18"/>
      <c r="B113" s="26"/>
      <c r="C113" s="18"/>
      <c r="D113" s="18"/>
      <c r="E113" s="22" t="str">
        <f>IFERROR(VLOOKUP(D113,Clientes_PDV!$A$2:$J$250,2,FALSE),"")</f>
        <v/>
      </c>
      <c r="F113" s="22" t="str">
        <f>IFERROR(VLOOKUP(D113,Clientes_PDV!$A$2:$J$250,3,FALSE),"")</f>
        <v/>
      </c>
      <c r="G113" s="22" t="str">
        <f>IFERROR(VLOOKUP(D113,Clientes_PDV!$A$2:$J$250,4,FALSE),"")</f>
        <v/>
      </c>
      <c r="H113" s="18"/>
      <c r="I113" s="22" t="str">
        <f>IFERROR(VLOOKUP(H113,Maestro_SKU!$A$2:$P$500,2,FALSE),"")</f>
        <v/>
      </c>
      <c r="J113" s="27"/>
      <c r="K113" s="19"/>
      <c r="L113" s="23" t="str">
        <f t="shared" si="8"/>
        <v/>
      </c>
      <c r="M113" s="23" t="str">
        <f>IF(L113="","",L113*Inicio!$B$13)</f>
        <v/>
      </c>
      <c r="N113" s="23" t="str">
        <f t="shared" si="9"/>
        <v/>
      </c>
      <c r="O113" s="26"/>
      <c r="P113" s="18"/>
      <c r="Q113" s="19"/>
      <c r="R113" s="23" t="str">
        <f t="shared" si="10"/>
        <v/>
      </c>
      <c r="S113" s="22" t="str">
        <f ca="1">IF(A113="","",IF(OR(P113="Pagada",R113=0),"Pagada",IF(O113&lt;TODAY(),"Vencida",IF(O113&lt;=TODAY()+Inicio!$B$19,"Próxima a vencer","Vigente"))))</f>
        <v/>
      </c>
      <c r="T113" s="18"/>
      <c r="U113" s="37" t="str">
        <f t="shared" si="11"/>
        <v/>
      </c>
      <c r="V113" s="37" t="str">
        <f t="shared" si="12"/>
        <v/>
      </c>
      <c r="W113" s="37" t="str">
        <f t="shared" si="13"/>
        <v/>
      </c>
      <c r="X113" s="37" t="str">
        <f t="shared" si="14"/>
        <v/>
      </c>
      <c r="Y113" s="37" t="str">
        <f>IF(OR($H113="",$J113=""),"",$J113*IFERROR(VLOOKUP($H113,Maestro_SKU!$A$2:$P$500,12,FALSE),1))</f>
        <v/>
      </c>
      <c r="Z113" s="37" t="str">
        <f t="shared" ca="1" si="15"/>
        <v/>
      </c>
    </row>
    <row r="114" spans="1:26" x14ac:dyDescent="0.35">
      <c r="A114" s="18"/>
      <c r="B114" s="26"/>
      <c r="C114" s="18"/>
      <c r="D114" s="18"/>
      <c r="E114" s="22" t="str">
        <f>IFERROR(VLOOKUP(D114,Clientes_PDV!$A$2:$J$250,2,FALSE),"")</f>
        <v/>
      </c>
      <c r="F114" s="22" t="str">
        <f>IFERROR(VLOOKUP(D114,Clientes_PDV!$A$2:$J$250,3,FALSE),"")</f>
        <v/>
      </c>
      <c r="G114" s="22" t="str">
        <f>IFERROR(VLOOKUP(D114,Clientes_PDV!$A$2:$J$250,4,FALSE),"")</f>
        <v/>
      </c>
      <c r="H114" s="18"/>
      <c r="I114" s="22" t="str">
        <f>IFERROR(VLOOKUP(H114,Maestro_SKU!$A$2:$P$500,2,FALSE),"")</f>
        <v/>
      </c>
      <c r="J114" s="27"/>
      <c r="K114" s="19"/>
      <c r="L114" s="23" t="str">
        <f t="shared" si="8"/>
        <v/>
      </c>
      <c r="M114" s="23" t="str">
        <f>IF(L114="","",L114*Inicio!$B$13)</f>
        <v/>
      </c>
      <c r="N114" s="23" t="str">
        <f t="shared" si="9"/>
        <v/>
      </c>
      <c r="O114" s="26"/>
      <c r="P114" s="18"/>
      <c r="Q114" s="19"/>
      <c r="R114" s="23" t="str">
        <f t="shared" si="10"/>
        <v/>
      </c>
      <c r="S114" s="22" t="str">
        <f ca="1">IF(A114="","",IF(OR(P114="Pagada",R114=0),"Pagada",IF(O114&lt;TODAY(),"Vencida",IF(O114&lt;=TODAY()+Inicio!$B$19,"Próxima a vencer","Vigente"))))</f>
        <v/>
      </c>
      <c r="T114" s="18"/>
      <c r="U114" s="37" t="str">
        <f t="shared" si="11"/>
        <v/>
      </c>
      <c r="V114" s="37" t="str">
        <f t="shared" si="12"/>
        <v/>
      </c>
      <c r="W114" s="37" t="str">
        <f t="shared" si="13"/>
        <v/>
      </c>
      <c r="X114" s="37" t="str">
        <f t="shared" si="14"/>
        <v/>
      </c>
      <c r="Y114" s="37" t="str">
        <f>IF(OR($H114="",$J114=""),"",$J114*IFERROR(VLOOKUP($H114,Maestro_SKU!$A$2:$P$500,12,FALSE),1))</f>
        <v/>
      </c>
      <c r="Z114" s="37" t="str">
        <f t="shared" ca="1" si="15"/>
        <v/>
      </c>
    </row>
    <row r="115" spans="1:26" x14ac:dyDescent="0.35">
      <c r="A115" s="18"/>
      <c r="B115" s="26"/>
      <c r="C115" s="18"/>
      <c r="D115" s="18"/>
      <c r="E115" s="22" t="str">
        <f>IFERROR(VLOOKUP(D115,Clientes_PDV!$A$2:$J$250,2,FALSE),"")</f>
        <v/>
      </c>
      <c r="F115" s="22" t="str">
        <f>IFERROR(VLOOKUP(D115,Clientes_PDV!$A$2:$J$250,3,FALSE),"")</f>
        <v/>
      </c>
      <c r="G115" s="22" t="str">
        <f>IFERROR(VLOOKUP(D115,Clientes_PDV!$A$2:$J$250,4,FALSE),"")</f>
        <v/>
      </c>
      <c r="H115" s="18"/>
      <c r="I115" s="22" t="str">
        <f>IFERROR(VLOOKUP(H115,Maestro_SKU!$A$2:$P$500,2,FALSE),"")</f>
        <v/>
      </c>
      <c r="J115" s="27"/>
      <c r="K115" s="19"/>
      <c r="L115" s="23" t="str">
        <f t="shared" si="8"/>
        <v/>
      </c>
      <c r="M115" s="23" t="str">
        <f>IF(L115="","",L115*Inicio!$B$13)</f>
        <v/>
      </c>
      <c r="N115" s="23" t="str">
        <f t="shared" si="9"/>
        <v/>
      </c>
      <c r="O115" s="26"/>
      <c r="P115" s="18"/>
      <c r="Q115" s="19"/>
      <c r="R115" s="23" t="str">
        <f t="shared" si="10"/>
        <v/>
      </c>
      <c r="S115" s="22" t="str">
        <f ca="1">IF(A115="","",IF(OR(P115="Pagada",R115=0),"Pagada",IF(O115&lt;TODAY(),"Vencida",IF(O115&lt;=TODAY()+Inicio!$B$19,"Próxima a vencer","Vigente"))))</f>
        <v/>
      </c>
      <c r="T115" s="18"/>
      <c r="U115" s="37" t="str">
        <f t="shared" si="11"/>
        <v/>
      </c>
      <c r="V115" s="37" t="str">
        <f t="shared" si="12"/>
        <v/>
      </c>
      <c r="W115" s="37" t="str">
        <f t="shared" si="13"/>
        <v/>
      </c>
      <c r="X115" s="37" t="str">
        <f t="shared" si="14"/>
        <v/>
      </c>
      <c r="Y115" s="37" t="str">
        <f>IF(OR($H115="",$J115=""),"",$J115*IFERROR(VLOOKUP($H115,Maestro_SKU!$A$2:$P$500,12,FALSE),1))</f>
        <v/>
      </c>
      <c r="Z115" s="37" t="str">
        <f t="shared" ca="1" si="15"/>
        <v/>
      </c>
    </row>
    <row r="116" spans="1:26" x14ac:dyDescent="0.35">
      <c r="A116" s="18"/>
      <c r="B116" s="26"/>
      <c r="C116" s="18"/>
      <c r="D116" s="18"/>
      <c r="E116" s="22" t="str">
        <f>IFERROR(VLOOKUP(D116,Clientes_PDV!$A$2:$J$250,2,FALSE),"")</f>
        <v/>
      </c>
      <c r="F116" s="22" t="str">
        <f>IFERROR(VLOOKUP(D116,Clientes_PDV!$A$2:$J$250,3,FALSE),"")</f>
        <v/>
      </c>
      <c r="G116" s="22" t="str">
        <f>IFERROR(VLOOKUP(D116,Clientes_PDV!$A$2:$J$250,4,FALSE),"")</f>
        <v/>
      </c>
      <c r="H116" s="18"/>
      <c r="I116" s="22" t="str">
        <f>IFERROR(VLOOKUP(H116,Maestro_SKU!$A$2:$P$500,2,FALSE),"")</f>
        <v/>
      </c>
      <c r="J116" s="27"/>
      <c r="K116" s="19"/>
      <c r="L116" s="23" t="str">
        <f t="shared" si="8"/>
        <v/>
      </c>
      <c r="M116" s="23" t="str">
        <f>IF(L116="","",L116*Inicio!$B$13)</f>
        <v/>
      </c>
      <c r="N116" s="23" t="str">
        <f t="shared" si="9"/>
        <v/>
      </c>
      <c r="O116" s="26"/>
      <c r="P116" s="18"/>
      <c r="Q116" s="19"/>
      <c r="R116" s="23" t="str">
        <f t="shared" si="10"/>
        <v/>
      </c>
      <c r="S116" s="22" t="str">
        <f ca="1">IF(A116="","",IF(OR(P116="Pagada",R116=0),"Pagada",IF(O116&lt;TODAY(),"Vencida",IF(O116&lt;=TODAY()+Inicio!$B$19,"Próxima a vencer","Vigente"))))</f>
        <v/>
      </c>
      <c r="T116" s="18"/>
      <c r="U116" s="37" t="str">
        <f t="shared" si="11"/>
        <v/>
      </c>
      <c r="V116" s="37" t="str">
        <f t="shared" si="12"/>
        <v/>
      </c>
      <c r="W116" s="37" t="str">
        <f t="shared" si="13"/>
        <v/>
      </c>
      <c r="X116" s="37" t="str">
        <f t="shared" si="14"/>
        <v/>
      </c>
      <c r="Y116" s="37" t="str">
        <f>IF(OR($H116="",$J116=""),"",$J116*IFERROR(VLOOKUP($H116,Maestro_SKU!$A$2:$P$500,12,FALSE),1))</f>
        <v/>
      </c>
      <c r="Z116" s="37" t="str">
        <f t="shared" ca="1" si="15"/>
        <v/>
      </c>
    </row>
    <row r="117" spans="1:26" x14ac:dyDescent="0.35">
      <c r="A117" s="18"/>
      <c r="B117" s="26"/>
      <c r="C117" s="18"/>
      <c r="D117" s="18"/>
      <c r="E117" s="22" t="str">
        <f>IFERROR(VLOOKUP(D117,Clientes_PDV!$A$2:$J$250,2,FALSE),"")</f>
        <v/>
      </c>
      <c r="F117" s="22" t="str">
        <f>IFERROR(VLOOKUP(D117,Clientes_PDV!$A$2:$J$250,3,FALSE),"")</f>
        <v/>
      </c>
      <c r="G117" s="22" t="str">
        <f>IFERROR(VLOOKUP(D117,Clientes_PDV!$A$2:$J$250,4,FALSE),"")</f>
        <v/>
      </c>
      <c r="H117" s="18"/>
      <c r="I117" s="22" t="str">
        <f>IFERROR(VLOOKUP(H117,Maestro_SKU!$A$2:$P$500,2,FALSE),"")</f>
        <v/>
      </c>
      <c r="J117" s="27"/>
      <c r="K117" s="19"/>
      <c r="L117" s="23" t="str">
        <f t="shared" si="8"/>
        <v/>
      </c>
      <c r="M117" s="23" t="str">
        <f>IF(L117="","",L117*Inicio!$B$13)</f>
        <v/>
      </c>
      <c r="N117" s="23" t="str">
        <f t="shared" si="9"/>
        <v/>
      </c>
      <c r="O117" s="26"/>
      <c r="P117" s="18"/>
      <c r="Q117" s="19"/>
      <c r="R117" s="23" t="str">
        <f t="shared" si="10"/>
        <v/>
      </c>
      <c r="S117" s="22" t="str">
        <f ca="1">IF(A117="","",IF(OR(P117="Pagada",R117=0),"Pagada",IF(O117&lt;TODAY(),"Vencida",IF(O117&lt;=TODAY()+Inicio!$B$19,"Próxima a vencer","Vigente"))))</f>
        <v/>
      </c>
      <c r="T117" s="18"/>
      <c r="U117" s="37" t="str">
        <f t="shared" si="11"/>
        <v/>
      </c>
      <c r="V117" s="37" t="str">
        <f t="shared" si="12"/>
        <v/>
      </c>
      <c r="W117" s="37" t="str">
        <f t="shared" si="13"/>
        <v/>
      </c>
      <c r="X117" s="37" t="str">
        <f t="shared" si="14"/>
        <v/>
      </c>
      <c r="Y117" s="37" t="str">
        <f>IF(OR($H117="",$J117=""),"",$J117*IFERROR(VLOOKUP($H117,Maestro_SKU!$A$2:$P$500,12,FALSE),1))</f>
        <v/>
      </c>
      <c r="Z117" s="37" t="str">
        <f t="shared" ca="1" si="15"/>
        <v/>
      </c>
    </row>
    <row r="118" spans="1:26" x14ac:dyDescent="0.35">
      <c r="A118" s="18"/>
      <c r="B118" s="26"/>
      <c r="C118" s="18"/>
      <c r="D118" s="18"/>
      <c r="E118" s="22" t="str">
        <f>IFERROR(VLOOKUP(D118,Clientes_PDV!$A$2:$J$250,2,FALSE),"")</f>
        <v/>
      </c>
      <c r="F118" s="22" t="str">
        <f>IFERROR(VLOOKUP(D118,Clientes_PDV!$A$2:$J$250,3,FALSE),"")</f>
        <v/>
      </c>
      <c r="G118" s="22" t="str">
        <f>IFERROR(VLOOKUP(D118,Clientes_PDV!$A$2:$J$250,4,FALSE),"")</f>
        <v/>
      </c>
      <c r="H118" s="18"/>
      <c r="I118" s="22" t="str">
        <f>IFERROR(VLOOKUP(H118,Maestro_SKU!$A$2:$P$500,2,FALSE),"")</f>
        <v/>
      </c>
      <c r="J118" s="27"/>
      <c r="K118" s="19"/>
      <c r="L118" s="23" t="str">
        <f t="shared" si="8"/>
        <v/>
      </c>
      <c r="M118" s="23" t="str">
        <f>IF(L118="","",L118*Inicio!$B$13)</f>
        <v/>
      </c>
      <c r="N118" s="23" t="str">
        <f t="shared" si="9"/>
        <v/>
      </c>
      <c r="O118" s="26"/>
      <c r="P118" s="18"/>
      <c r="Q118" s="19"/>
      <c r="R118" s="23" t="str">
        <f t="shared" si="10"/>
        <v/>
      </c>
      <c r="S118" s="22" t="str">
        <f ca="1">IF(A118="","",IF(OR(P118="Pagada",R118=0),"Pagada",IF(O118&lt;TODAY(),"Vencida",IF(O118&lt;=TODAY()+Inicio!$B$19,"Próxima a vencer","Vigente"))))</f>
        <v/>
      </c>
      <c r="T118" s="18"/>
      <c r="U118" s="37" t="str">
        <f t="shared" si="11"/>
        <v/>
      </c>
      <c r="V118" s="37" t="str">
        <f t="shared" si="12"/>
        <v/>
      </c>
      <c r="W118" s="37" t="str">
        <f t="shared" si="13"/>
        <v/>
      </c>
      <c r="X118" s="37" t="str">
        <f t="shared" si="14"/>
        <v/>
      </c>
      <c r="Y118" s="37" t="str">
        <f>IF(OR($H118="",$J118=""),"",$J118*IFERROR(VLOOKUP($H118,Maestro_SKU!$A$2:$P$500,12,FALSE),1))</f>
        <v/>
      </c>
      <c r="Z118" s="37" t="str">
        <f t="shared" ca="1" si="15"/>
        <v/>
      </c>
    </row>
    <row r="119" spans="1:26" x14ac:dyDescent="0.35">
      <c r="A119" s="18"/>
      <c r="B119" s="26"/>
      <c r="C119" s="18"/>
      <c r="D119" s="18"/>
      <c r="E119" s="22" t="str">
        <f>IFERROR(VLOOKUP(D119,Clientes_PDV!$A$2:$J$250,2,FALSE),"")</f>
        <v/>
      </c>
      <c r="F119" s="22" t="str">
        <f>IFERROR(VLOOKUP(D119,Clientes_PDV!$A$2:$J$250,3,FALSE),"")</f>
        <v/>
      </c>
      <c r="G119" s="22" t="str">
        <f>IFERROR(VLOOKUP(D119,Clientes_PDV!$A$2:$J$250,4,FALSE),"")</f>
        <v/>
      </c>
      <c r="H119" s="18"/>
      <c r="I119" s="22" t="str">
        <f>IFERROR(VLOOKUP(H119,Maestro_SKU!$A$2:$P$500,2,FALSE),"")</f>
        <v/>
      </c>
      <c r="J119" s="27"/>
      <c r="K119" s="19"/>
      <c r="L119" s="23" t="str">
        <f t="shared" si="8"/>
        <v/>
      </c>
      <c r="M119" s="23" t="str">
        <f>IF(L119="","",L119*Inicio!$B$13)</f>
        <v/>
      </c>
      <c r="N119" s="23" t="str">
        <f t="shared" si="9"/>
        <v/>
      </c>
      <c r="O119" s="26"/>
      <c r="P119" s="18"/>
      <c r="Q119" s="19"/>
      <c r="R119" s="23" t="str">
        <f t="shared" si="10"/>
        <v/>
      </c>
      <c r="S119" s="22" t="str">
        <f ca="1">IF(A119="","",IF(OR(P119="Pagada",R119=0),"Pagada",IF(O119&lt;TODAY(),"Vencida",IF(O119&lt;=TODAY()+Inicio!$B$19,"Próxima a vencer","Vigente"))))</f>
        <v/>
      </c>
      <c r="T119" s="18"/>
      <c r="U119" s="37" t="str">
        <f t="shared" si="11"/>
        <v/>
      </c>
      <c r="V119" s="37" t="str">
        <f t="shared" si="12"/>
        <v/>
      </c>
      <c r="W119" s="37" t="str">
        <f t="shared" si="13"/>
        <v/>
      </c>
      <c r="X119" s="37" t="str">
        <f t="shared" si="14"/>
        <v/>
      </c>
      <c r="Y119" s="37" t="str">
        <f>IF(OR($H119="",$J119=""),"",$J119*IFERROR(VLOOKUP($H119,Maestro_SKU!$A$2:$P$500,12,FALSE),1))</f>
        <v/>
      </c>
      <c r="Z119" s="37" t="str">
        <f t="shared" ca="1" si="15"/>
        <v/>
      </c>
    </row>
    <row r="120" spans="1:26" x14ac:dyDescent="0.35">
      <c r="A120" s="18"/>
      <c r="B120" s="26"/>
      <c r="C120" s="18"/>
      <c r="D120" s="18"/>
      <c r="E120" s="22" t="str">
        <f>IFERROR(VLOOKUP(D120,Clientes_PDV!$A$2:$J$250,2,FALSE),"")</f>
        <v/>
      </c>
      <c r="F120" s="22" t="str">
        <f>IFERROR(VLOOKUP(D120,Clientes_PDV!$A$2:$J$250,3,FALSE),"")</f>
        <v/>
      </c>
      <c r="G120" s="22" t="str">
        <f>IFERROR(VLOOKUP(D120,Clientes_PDV!$A$2:$J$250,4,FALSE),"")</f>
        <v/>
      </c>
      <c r="H120" s="18"/>
      <c r="I120" s="22" t="str">
        <f>IFERROR(VLOOKUP(H120,Maestro_SKU!$A$2:$P$500,2,FALSE),"")</f>
        <v/>
      </c>
      <c r="J120" s="27"/>
      <c r="K120" s="19"/>
      <c r="L120" s="23" t="str">
        <f t="shared" si="8"/>
        <v/>
      </c>
      <c r="M120" s="23" t="str">
        <f>IF(L120="","",L120*Inicio!$B$13)</f>
        <v/>
      </c>
      <c r="N120" s="23" t="str">
        <f t="shared" si="9"/>
        <v/>
      </c>
      <c r="O120" s="26"/>
      <c r="P120" s="18"/>
      <c r="Q120" s="19"/>
      <c r="R120" s="23" t="str">
        <f t="shared" si="10"/>
        <v/>
      </c>
      <c r="S120" s="22" t="str">
        <f ca="1">IF(A120="","",IF(OR(P120="Pagada",R120=0),"Pagada",IF(O120&lt;TODAY(),"Vencida",IF(O120&lt;=TODAY()+Inicio!$B$19,"Próxima a vencer","Vigente"))))</f>
        <v/>
      </c>
      <c r="T120" s="18"/>
      <c r="U120" s="37" t="str">
        <f t="shared" si="11"/>
        <v/>
      </c>
      <c r="V120" s="37" t="str">
        <f t="shared" si="12"/>
        <v/>
      </c>
      <c r="W120" s="37" t="str">
        <f t="shared" si="13"/>
        <v/>
      </c>
      <c r="X120" s="37" t="str">
        <f t="shared" si="14"/>
        <v/>
      </c>
      <c r="Y120" s="37" t="str">
        <f>IF(OR($H120="",$J120=""),"",$J120*IFERROR(VLOOKUP($H120,Maestro_SKU!$A$2:$P$500,12,FALSE),1))</f>
        <v/>
      </c>
      <c r="Z120" s="37" t="str">
        <f t="shared" ca="1" si="15"/>
        <v/>
      </c>
    </row>
    <row r="121" spans="1:26" x14ac:dyDescent="0.35">
      <c r="A121" s="18"/>
      <c r="B121" s="26"/>
      <c r="C121" s="18"/>
      <c r="D121" s="18"/>
      <c r="E121" s="22" t="str">
        <f>IFERROR(VLOOKUP(D121,Clientes_PDV!$A$2:$J$250,2,FALSE),"")</f>
        <v/>
      </c>
      <c r="F121" s="22" t="str">
        <f>IFERROR(VLOOKUP(D121,Clientes_PDV!$A$2:$J$250,3,FALSE),"")</f>
        <v/>
      </c>
      <c r="G121" s="22" t="str">
        <f>IFERROR(VLOOKUP(D121,Clientes_PDV!$A$2:$J$250,4,FALSE),"")</f>
        <v/>
      </c>
      <c r="H121" s="18"/>
      <c r="I121" s="22" t="str">
        <f>IFERROR(VLOOKUP(H121,Maestro_SKU!$A$2:$P$500,2,FALSE),"")</f>
        <v/>
      </c>
      <c r="J121" s="27"/>
      <c r="K121" s="19"/>
      <c r="L121" s="23" t="str">
        <f t="shared" si="8"/>
        <v/>
      </c>
      <c r="M121" s="23" t="str">
        <f>IF(L121="","",L121*Inicio!$B$13)</f>
        <v/>
      </c>
      <c r="N121" s="23" t="str">
        <f t="shared" si="9"/>
        <v/>
      </c>
      <c r="O121" s="26"/>
      <c r="P121" s="18"/>
      <c r="Q121" s="19"/>
      <c r="R121" s="23" t="str">
        <f t="shared" si="10"/>
        <v/>
      </c>
      <c r="S121" s="22" t="str">
        <f ca="1">IF(A121="","",IF(OR(P121="Pagada",R121=0),"Pagada",IF(O121&lt;TODAY(),"Vencida",IF(O121&lt;=TODAY()+Inicio!$B$19,"Próxima a vencer","Vigente"))))</f>
        <v/>
      </c>
      <c r="T121" s="18"/>
      <c r="U121" s="37" t="str">
        <f t="shared" si="11"/>
        <v/>
      </c>
      <c r="V121" s="37" t="str">
        <f t="shared" si="12"/>
        <v/>
      </c>
      <c r="W121" s="37" t="str">
        <f t="shared" si="13"/>
        <v/>
      </c>
      <c r="X121" s="37" t="str">
        <f t="shared" si="14"/>
        <v/>
      </c>
      <c r="Y121" s="37" t="str">
        <f>IF(OR($H121="",$J121=""),"",$J121*IFERROR(VLOOKUP($H121,Maestro_SKU!$A$2:$P$500,12,FALSE),1))</f>
        <v/>
      </c>
      <c r="Z121" s="37" t="str">
        <f t="shared" ca="1" si="15"/>
        <v/>
      </c>
    </row>
    <row r="122" spans="1:26" x14ac:dyDescent="0.35">
      <c r="A122" s="18"/>
      <c r="B122" s="26"/>
      <c r="C122" s="18"/>
      <c r="D122" s="18"/>
      <c r="E122" s="22" t="str">
        <f>IFERROR(VLOOKUP(D122,Clientes_PDV!$A$2:$J$250,2,FALSE),"")</f>
        <v/>
      </c>
      <c r="F122" s="22" t="str">
        <f>IFERROR(VLOOKUP(D122,Clientes_PDV!$A$2:$J$250,3,FALSE),"")</f>
        <v/>
      </c>
      <c r="G122" s="22" t="str">
        <f>IFERROR(VLOOKUP(D122,Clientes_PDV!$A$2:$J$250,4,FALSE),"")</f>
        <v/>
      </c>
      <c r="H122" s="18"/>
      <c r="I122" s="22" t="str">
        <f>IFERROR(VLOOKUP(H122,Maestro_SKU!$A$2:$P$500,2,FALSE),"")</f>
        <v/>
      </c>
      <c r="J122" s="27"/>
      <c r="K122" s="19"/>
      <c r="L122" s="23" t="str">
        <f t="shared" si="8"/>
        <v/>
      </c>
      <c r="M122" s="23" t="str">
        <f>IF(L122="","",L122*Inicio!$B$13)</f>
        <v/>
      </c>
      <c r="N122" s="23" t="str">
        <f t="shared" si="9"/>
        <v/>
      </c>
      <c r="O122" s="26"/>
      <c r="P122" s="18"/>
      <c r="Q122" s="19"/>
      <c r="R122" s="23" t="str">
        <f t="shared" si="10"/>
        <v/>
      </c>
      <c r="S122" s="22" t="str">
        <f ca="1">IF(A122="","",IF(OR(P122="Pagada",R122=0),"Pagada",IF(O122&lt;TODAY(),"Vencida",IF(O122&lt;=TODAY()+Inicio!$B$19,"Próxima a vencer","Vigente"))))</f>
        <v/>
      </c>
      <c r="T122" s="18"/>
      <c r="U122" s="37" t="str">
        <f t="shared" si="11"/>
        <v/>
      </c>
      <c r="V122" s="37" t="str">
        <f t="shared" si="12"/>
        <v/>
      </c>
      <c r="W122" s="37" t="str">
        <f t="shared" si="13"/>
        <v/>
      </c>
      <c r="X122" s="37" t="str">
        <f t="shared" si="14"/>
        <v/>
      </c>
      <c r="Y122" s="37" t="str">
        <f>IF(OR($H122="",$J122=""),"",$J122*IFERROR(VLOOKUP($H122,Maestro_SKU!$A$2:$P$500,12,FALSE),1))</f>
        <v/>
      </c>
      <c r="Z122" s="37" t="str">
        <f t="shared" ca="1" si="15"/>
        <v/>
      </c>
    </row>
    <row r="123" spans="1:26" x14ac:dyDescent="0.35">
      <c r="A123" s="18"/>
      <c r="B123" s="26"/>
      <c r="C123" s="18"/>
      <c r="D123" s="18"/>
      <c r="E123" s="22" t="str">
        <f>IFERROR(VLOOKUP(D123,Clientes_PDV!$A$2:$J$250,2,FALSE),"")</f>
        <v/>
      </c>
      <c r="F123" s="22" t="str">
        <f>IFERROR(VLOOKUP(D123,Clientes_PDV!$A$2:$J$250,3,FALSE),"")</f>
        <v/>
      </c>
      <c r="G123" s="22" t="str">
        <f>IFERROR(VLOOKUP(D123,Clientes_PDV!$A$2:$J$250,4,FALSE),"")</f>
        <v/>
      </c>
      <c r="H123" s="18"/>
      <c r="I123" s="22" t="str">
        <f>IFERROR(VLOOKUP(H123,Maestro_SKU!$A$2:$P$500,2,FALSE),"")</f>
        <v/>
      </c>
      <c r="J123" s="27"/>
      <c r="K123" s="19"/>
      <c r="L123" s="23" t="str">
        <f t="shared" si="8"/>
        <v/>
      </c>
      <c r="M123" s="23" t="str">
        <f>IF(L123="","",L123*Inicio!$B$13)</f>
        <v/>
      </c>
      <c r="N123" s="23" t="str">
        <f t="shared" si="9"/>
        <v/>
      </c>
      <c r="O123" s="26"/>
      <c r="P123" s="18"/>
      <c r="Q123" s="19"/>
      <c r="R123" s="23" t="str">
        <f t="shared" si="10"/>
        <v/>
      </c>
      <c r="S123" s="22" t="str">
        <f ca="1">IF(A123="","",IF(OR(P123="Pagada",R123=0),"Pagada",IF(O123&lt;TODAY(),"Vencida",IF(O123&lt;=TODAY()+Inicio!$B$19,"Próxima a vencer","Vigente"))))</f>
        <v/>
      </c>
      <c r="T123" s="18"/>
      <c r="U123" s="37" t="str">
        <f t="shared" si="11"/>
        <v/>
      </c>
      <c r="V123" s="37" t="str">
        <f t="shared" si="12"/>
        <v/>
      </c>
      <c r="W123" s="37" t="str">
        <f t="shared" si="13"/>
        <v/>
      </c>
      <c r="X123" s="37" t="str">
        <f t="shared" si="14"/>
        <v/>
      </c>
      <c r="Y123" s="37" t="str">
        <f>IF(OR($H123="",$J123=""),"",$J123*IFERROR(VLOOKUP($H123,Maestro_SKU!$A$2:$P$500,12,FALSE),1))</f>
        <v/>
      </c>
      <c r="Z123" s="37" t="str">
        <f t="shared" ca="1" si="15"/>
        <v/>
      </c>
    </row>
    <row r="124" spans="1:26" x14ac:dyDescent="0.35">
      <c r="A124" s="18"/>
      <c r="B124" s="26"/>
      <c r="C124" s="18"/>
      <c r="D124" s="18"/>
      <c r="E124" s="22" t="str">
        <f>IFERROR(VLOOKUP(D124,Clientes_PDV!$A$2:$J$250,2,FALSE),"")</f>
        <v/>
      </c>
      <c r="F124" s="22" t="str">
        <f>IFERROR(VLOOKUP(D124,Clientes_PDV!$A$2:$J$250,3,FALSE),"")</f>
        <v/>
      </c>
      <c r="G124" s="22" t="str">
        <f>IFERROR(VLOOKUP(D124,Clientes_PDV!$A$2:$J$250,4,FALSE),"")</f>
        <v/>
      </c>
      <c r="H124" s="18"/>
      <c r="I124" s="22" t="str">
        <f>IFERROR(VLOOKUP(H124,Maestro_SKU!$A$2:$P$500,2,FALSE),"")</f>
        <v/>
      </c>
      <c r="J124" s="27"/>
      <c r="K124" s="19"/>
      <c r="L124" s="23" t="str">
        <f t="shared" si="8"/>
        <v/>
      </c>
      <c r="M124" s="23" t="str">
        <f>IF(L124="","",L124*Inicio!$B$13)</f>
        <v/>
      </c>
      <c r="N124" s="23" t="str">
        <f t="shared" si="9"/>
        <v/>
      </c>
      <c r="O124" s="26"/>
      <c r="P124" s="18"/>
      <c r="Q124" s="19"/>
      <c r="R124" s="23" t="str">
        <f t="shared" si="10"/>
        <v/>
      </c>
      <c r="S124" s="22" t="str">
        <f ca="1">IF(A124="","",IF(OR(P124="Pagada",R124=0),"Pagada",IF(O124&lt;TODAY(),"Vencida",IF(O124&lt;=TODAY()+Inicio!$B$19,"Próxima a vencer","Vigente"))))</f>
        <v/>
      </c>
      <c r="T124" s="18"/>
      <c r="U124" s="37" t="str">
        <f t="shared" si="11"/>
        <v/>
      </c>
      <c r="V124" s="37" t="str">
        <f t="shared" si="12"/>
        <v/>
      </c>
      <c r="W124" s="37" t="str">
        <f t="shared" si="13"/>
        <v/>
      </c>
      <c r="X124" s="37" t="str">
        <f t="shared" si="14"/>
        <v/>
      </c>
      <c r="Y124" s="37" t="str">
        <f>IF(OR($H124="",$J124=""),"",$J124*IFERROR(VLOOKUP($H124,Maestro_SKU!$A$2:$P$500,12,FALSE),1))</f>
        <v/>
      </c>
      <c r="Z124" s="37" t="str">
        <f t="shared" ca="1" si="15"/>
        <v/>
      </c>
    </row>
    <row r="125" spans="1:26" x14ac:dyDescent="0.35">
      <c r="A125" s="18"/>
      <c r="B125" s="26"/>
      <c r="C125" s="18"/>
      <c r="D125" s="18"/>
      <c r="E125" s="22" t="str">
        <f>IFERROR(VLOOKUP(D125,Clientes_PDV!$A$2:$J$250,2,FALSE),"")</f>
        <v/>
      </c>
      <c r="F125" s="22" t="str">
        <f>IFERROR(VLOOKUP(D125,Clientes_PDV!$A$2:$J$250,3,FALSE),"")</f>
        <v/>
      </c>
      <c r="G125" s="22" t="str">
        <f>IFERROR(VLOOKUP(D125,Clientes_PDV!$A$2:$J$250,4,FALSE),"")</f>
        <v/>
      </c>
      <c r="H125" s="18"/>
      <c r="I125" s="22" t="str">
        <f>IFERROR(VLOOKUP(H125,Maestro_SKU!$A$2:$P$500,2,FALSE),"")</f>
        <v/>
      </c>
      <c r="J125" s="27"/>
      <c r="K125" s="19"/>
      <c r="L125" s="23" t="str">
        <f t="shared" si="8"/>
        <v/>
      </c>
      <c r="M125" s="23" t="str">
        <f>IF(L125="","",L125*Inicio!$B$13)</f>
        <v/>
      </c>
      <c r="N125" s="23" t="str">
        <f t="shared" si="9"/>
        <v/>
      </c>
      <c r="O125" s="26"/>
      <c r="P125" s="18"/>
      <c r="Q125" s="19"/>
      <c r="R125" s="23" t="str">
        <f t="shared" si="10"/>
        <v/>
      </c>
      <c r="S125" s="22" t="str">
        <f ca="1">IF(A125="","",IF(OR(P125="Pagada",R125=0),"Pagada",IF(O125&lt;TODAY(),"Vencida",IF(O125&lt;=TODAY()+Inicio!$B$19,"Próxima a vencer","Vigente"))))</f>
        <v/>
      </c>
      <c r="T125" s="18"/>
      <c r="U125" s="37" t="str">
        <f t="shared" si="11"/>
        <v/>
      </c>
      <c r="V125" s="37" t="str">
        <f t="shared" si="12"/>
        <v/>
      </c>
      <c r="W125" s="37" t="str">
        <f t="shared" si="13"/>
        <v/>
      </c>
      <c r="X125" s="37" t="str">
        <f t="shared" si="14"/>
        <v/>
      </c>
      <c r="Y125" s="37" t="str">
        <f>IF(OR($H125="",$J125=""),"",$J125*IFERROR(VLOOKUP($H125,Maestro_SKU!$A$2:$P$500,12,FALSE),1))</f>
        <v/>
      </c>
      <c r="Z125" s="37" t="str">
        <f t="shared" ca="1" si="15"/>
        <v/>
      </c>
    </row>
    <row r="126" spans="1:26" x14ac:dyDescent="0.35">
      <c r="A126" s="18"/>
      <c r="B126" s="26"/>
      <c r="C126" s="18"/>
      <c r="D126" s="18"/>
      <c r="E126" s="22" t="str">
        <f>IFERROR(VLOOKUP(D126,Clientes_PDV!$A$2:$J$250,2,FALSE),"")</f>
        <v/>
      </c>
      <c r="F126" s="22" t="str">
        <f>IFERROR(VLOOKUP(D126,Clientes_PDV!$A$2:$J$250,3,FALSE),"")</f>
        <v/>
      </c>
      <c r="G126" s="22" t="str">
        <f>IFERROR(VLOOKUP(D126,Clientes_PDV!$A$2:$J$250,4,FALSE),"")</f>
        <v/>
      </c>
      <c r="H126" s="18"/>
      <c r="I126" s="22" t="str">
        <f>IFERROR(VLOOKUP(H126,Maestro_SKU!$A$2:$P$500,2,FALSE),"")</f>
        <v/>
      </c>
      <c r="J126" s="27"/>
      <c r="K126" s="19"/>
      <c r="L126" s="23" t="str">
        <f t="shared" si="8"/>
        <v/>
      </c>
      <c r="M126" s="23" t="str">
        <f>IF(L126="","",L126*Inicio!$B$13)</f>
        <v/>
      </c>
      <c r="N126" s="23" t="str">
        <f t="shared" si="9"/>
        <v/>
      </c>
      <c r="O126" s="26"/>
      <c r="P126" s="18"/>
      <c r="Q126" s="19"/>
      <c r="R126" s="23" t="str">
        <f t="shared" si="10"/>
        <v/>
      </c>
      <c r="S126" s="22" t="str">
        <f ca="1">IF(A126="","",IF(OR(P126="Pagada",R126=0),"Pagada",IF(O126&lt;TODAY(),"Vencida",IF(O126&lt;=TODAY()+Inicio!$B$19,"Próxima a vencer","Vigente"))))</f>
        <v/>
      </c>
      <c r="T126" s="18"/>
      <c r="U126" s="37" t="str">
        <f t="shared" si="11"/>
        <v/>
      </c>
      <c r="V126" s="37" t="str">
        <f t="shared" si="12"/>
        <v/>
      </c>
      <c r="W126" s="37" t="str">
        <f t="shared" si="13"/>
        <v/>
      </c>
      <c r="X126" s="37" t="str">
        <f t="shared" si="14"/>
        <v/>
      </c>
      <c r="Y126" s="37" t="str">
        <f>IF(OR($H126="",$J126=""),"",$J126*IFERROR(VLOOKUP($H126,Maestro_SKU!$A$2:$P$500,12,FALSE),1))</f>
        <v/>
      </c>
      <c r="Z126" s="37" t="str">
        <f t="shared" ca="1" si="15"/>
        <v/>
      </c>
    </row>
    <row r="127" spans="1:26" x14ac:dyDescent="0.35">
      <c r="A127" s="18"/>
      <c r="B127" s="26"/>
      <c r="C127" s="18"/>
      <c r="D127" s="18"/>
      <c r="E127" s="22" t="str">
        <f>IFERROR(VLOOKUP(D127,Clientes_PDV!$A$2:$J$250,2,FALSE),"")</f>
        <v/>
      </c>
      <c r="F127" s="22" t="str">
        <f>IFERROR(VLOOKUP(D127,Clientes_PDV!$A$2:$J$250,3,FALSE),"")</f>
        <v/>
      </c>
      <c r="G127" s="22" t="str">
        <f>IFERROR(VLOOKUP(D127,Clientes_PDV!$A$2:$J$250,4,FALSE),"")</f>
        <v/>
      </c>
      <c r="H127" s="18"/>
      <c r="I127" s="22" t="str">
        <f>IFERROR(VLOOKUP(H127,Maestro_SKU!$A$2:$P$500,2,FALSE),"")</f>
        <v/>
      </c>
      <c r="J127" s="27"/>
      <c r="K127" s="19"/>
      <c r="L127" s="23" t="str">
        <f t="shared" si="8"/>
        <v/>
      </c>
      <c r="M127" s="23" t="str">
        <f>IF(L127="","",L127*Inicio!$B$13)</f>
        <v/>
      </c>
      <c r="N127" s="23" t="str">
        <f t="shared" si="9"/>
        <v/>
      </c>
      <c r="O127" s="26"/>
      <c r="P127" s="18"/>
      <c r="Q127" s="19"/>
      <c r="R127" s="23" t="str">
        <f t="shared" si="10"/>
        <v/>
      </c>
      <c r="S127" s="22" t="str">
        <f ca="1">IF(A127="","",IF(OR(P127="Pagada",R127=0),"Pagada",IF(O127&lt;TODAY(),"Vencida",IF(O127&lt;=TODAY()+Inicio!$B$19,"Próxima a vencer","Vigente"))))</f>
        <v/>
      </c>
      <c r="T127" s="18"/>
      <c r="U127" s="37" t="str">
        <f t="shared" si="11"/>
        <v/>
      </c>
      <c r="V127" s="37" t="str">
        <f t="shared" si="12"/>
        <v/>
      </c>
      <c r="W127" s="37" t="str">
        <f t="shared" si="13"/>
        <v/>
      </c>
      <c r="X127" s="37" t="str">
        <f t="shared" si="14"/>
        <v/>
      </c>
      <c r="Y127" s="37" t="str">
        <f>IF(OR($H127="",$J127=""),"",$J127*IFERROR(VLOOKUP($H127,Maestro_SKU!$A$2:$P$500,12,FALSE),1))</f>
        <v/>
      </c>
      <c r="Z127" s="37" t="str">
        <f t="shared" ca="1" si="15"/>
        <v/>
      </c>
    </row>
    <row r="128" spans="1:26" x14ac:dyDescent="0.35">
      <c r="A128" s="18"/>
      <c r="B128" s="26"/>
      <c r="C128" s="18"/>
      <c r="D128" s="18"/>
      <c r="E128" s="22" t="str">
        <f>IFERROR(VLOOKUP(D128,Clientes_PDV!$A$2:$J$250,2,FALSE),"")</f>
        <v/>
      </c>
      <c r="F128" s="22" t="str">
        <f>IFERROR(VLOOKUP(D128,Clientes_PDV!$A$2:$J$250,3,FALSE),"")</f>
        <v/>
      </c>
      <c r="G128" s="22" t="str">
        <f>IFERROR(VLOOKUP(D128,Clientes_PDV!$A$2:$J$250,4,FALSE),"")</f>
        <v/>
      </c>
      <c r="H128" s="18"/>
      <c r="I128" s="22" t="str">
        <f>IFERROR(VLOOKUP(H128,Maestro_SKU!$A$2:$P$500,2,FALSE),"")</f>
        <v/>
      </c>
      <c r="J128" s="27"/>
      <c r="K128" s="19"/>
      <c r="L128" s="23" t="str">
        <f t="shared" si="8"/>
        <v/>
      </c>
      <c r="M128" s="23" t="str">
        <f>IF(L128="","",L128*Inicio!$B$13)</f>
        <v/>
      </c>
      <c r="N128" s="23" t="str">
        <f t="shared" si="9"/>
        <v/>
      </c>
      <c r="O128" s="26"/>
      <c r="P128" s="18"/>
      <c r="Q128" s="19"/>
      <c r="R128" s="23" t="str">
        <f t="shared" si="10"/>
        <v/>
      </c>
      <c r="S128" s="22" t="str">
        <f ca="1">IF(A128="","",IF(OR(P128="Pagada",R128=0),"Pagada",IF(O128&lt;TODAY(),"Vencida",IF(O128&lt;=TODAY()+Inicio!$B$19,"Próxima a vencer","Vigente"))))</f>
        <v/>
      </c>
      <c r="T128" s="18"/>
      <c r="U128" s="37" t="str">
        <f t="shared" si="11"/>
        <v/>
      </c>
      <c r="V128" s="37" t="str">
        <f t="shared" si="12"/>
        <v/>
      </c>
      <c r="W128" s="37" t="str">
        <f t="shared" si="13"/>
        <v/>
      </c>
      <c r="X128" s="37" t="str">
        <f t="shared" si="14"/>
        <v/>
      </c>
      <c r="Y128" s="37" t="str">
        <f>IF(OR($H128="",$J128=""),"",$J128*IFERROR(VLOOKUP($H128,Maestro_SKU!$A$2:$P$500,12,FALSE),1))</f>
        <v/>
      </c>
      <c r="Z128" s="37" t="str">
        <f t="shared" ca="1" si="15"/>
        <v/>
      </c>
    </row>
    <row r="129" spans="1:26" x14ac:dyDescent="0.35">
      <c r="A129" s="18"/>
      <c r="B129" s="26"/>
      <c r="C129" s="18"/>
      <c r="D129" s="18"/>
      <c r="E129" s="22" t="str">
        <f>IFERROR(VLOOKUP(D129,Clientes_PDV!$A$2:$J$250,2,FALSE),"")</f>
        <v/>
      </c>
      <c r="F129" s="22" t="str">
        <f>IFERROR(VLOOKUP(D129,Clientes_PDV!$A$2:$J$250,3,FALSE),"")</f>
        <v/>
      </c>
      <c r="G129" s="22" t="str">
        <f>IFERROR(VLOOKUP(D129,Clientes_PDV!$A$2:$J$250,4,FALSE),"")</f>
        <v/>
      </c>
      <c r="H129" s="18"/>
      <c r="I129" s="22" t="str">
        <f>IFERROR(VLOOKUP(H129,Maestro_SKU!$A$2:$P$500,2,FALSE),"")</f>
        <v/>
      </c>
      <c r="J129" s="27"/>
      <c r="K129" s="19"/>
      <c r="L129" s="23" t="str">
        <f t="shared" si="8"/>
        <v/>
      </c>
      <c r="M129" s="23" t="str">
        <f>IF(L129="","",L129*Inicio!$B$13)</f>
        <v/>
      </c>
      <c r="N129" s="23" t="str">
        <f t="shared" si="9"/>
        <v/>
      </c>
      <c r="O129" s="26"/>
      <c r="P129" s="18"/>
      <c r="Q129" s="19"/>
      <c r="R129" s="23" t="str">
        <f t="shared" si="10"/>
        <v/>
      </c>
      <c r="S129" s="22" t="str">
        <f ca="1">IF(A129="","",IF(OR(P129="Pagada",R129=0),"Pagada",IF(O129&lt;TODAY(),"Vencida",IF(O129&lt;=TODAY()+Inicio!$B$19,"Próxima a vencer","Vigente"))))</f>
        <v/>
      </c>
      <c r="T129" s="18"/>
      <c r="U129" s="37" t="str">
        <f t="shared" si="11"/>
        <v/>
      </c>
      <c r="V129" s="37" t="str">
        <f t="shared" si="12"/>
        <v/>
      </c>
      <c r="W129" s="37" t="str">
        <f t="shared" si="13"/>
        <v/>
      </c>
      <c r="X129" s="37" t="str">
        <f t="shared" si="14"/>
        <v/>
      </c>
      <c r="Y129" s="37" t="str">
        <f>IF(OR($H129="",$J129=""),"",$J129*IFERROR(VLOOKUP($H129,Maestro_SKU!$A$2:$P$500,12,FALSE),1))</f>
        <v/>
      </c>
      <c r="Z129" s="37" t="str">
        <f t="shared" ca="1" si="15"/>
        <v/>
      </c>
    </row>
    <row r="130" spans="1:26" x14ac:dyDescent="0.35">
      <c r="A130" s="18"/>
      <c r="B130" s="26"/>
      <c r="C130" s="18"/>
      <c r="D130" s="18"/>
      <c r="E130" s="22" t="str">
        <f>IFERROR(VLOOKUP(D130,Clientes_PDV!$A$2:$J$250,2,FALSE),"")</f>
        <v/>
      </c>
      <c r="F130" s="22" t="str">
        <f>IFERROR(VLOOKUP(D130,Clientes_PDV!$A$2:$J$250,3,FALSE),"")</f>
        <v/>
      </c>
      <c r="G130" s="22" t="str">
        <f>IFERROR(VLOOKUP(D130,Clientes_PDV!$A$2:$J$250,4,FALSE),"")</f>
        <v/>
      </c>
      <c r="H130" s="18"/>
      <c r="I130" s="22" t="str">
        <f>IFERROR(VLOOKUP(H130,Maestro_SKU!$A$2:$P$500,2,FALSE),"")</f>
        <v/>
      </c>
      <c r="J130" s="27"/>
      <c r="K130" s="19"/>
      <c r="L130" s="23" t="str">
        <f t="shared" ref="L130:L193" si="16">IF(OR(J130="",K130=""),"",J130*K130)</f>
        <v/>
      </c>
      <c r="M130" s="23" t="str">
        <f>IF(L130="","",L130*Inicio!$B$13)</f>
        <v/>
      </c>
      <c r="N130" s="23" t="str">
        <f t="shared" ref="N130:N193" si="17">IF(L130="","",L130+M130)</f>
        <v/>
      </c>
      <c r="O130" s="26"/>
      <c r="P130" s="18"/>
      <c r="Q130" s="19"/>
      <c r="R130" s="23" t="str">
        <f t="shared" ref="R130:R193" si="18">IF(N130="","",MAX(N130-Q130,0))</f>
        <v/>
      </c>
      <c r="S130" s="22" t="str">
        <f ca="1">IF(A130="","",IF(OR(P130="Pagada",R130=0),"Pagada",IF(O130&lt;TODAY(),"Vencida",IF(O130&lt;=TODAY()+Inicio!$B$19,"Próxima a vencer","Vigente"))))</f>
        <v/>
      </c>
      <c r="T130" s="18"/>
      <c r="U130" s="37" t="str">
        <f t="shared" ref="U130:U193" si="19">IF($B130="","",YEAR($B130))</f>
        <v/>
      </c>
      <c r="V130" s="37" t="str">
        <f t="shared" ref="V130:V193" si="20">IF($B130="","",MONTH($B130))</f>
        <v/>
      </c>
      <c r="W130" s="37" t="str">
        <f t="shared" ref="W130:W193" si="21">IF($B130="","",DAY($B130))</f>
        <v/>
      </c>
      <c r="X130" s="37" t="str">
        <f t="shared" ref="X130:X193" si="22">IF($B130="","",YEAR($B130)&amp;"-"&amp;TEXT(MONTH($B130),"00"))</f>
        <v/>
      </c>
      <c r="Y130" s="37" t="str">
        <f>IF(OR($H130="",$J130=""),"",$J130*IFERROR(VLOOKUP($H130,Maestro_SKU!$A$2:$P$500,12,FALSE),1))</f>
        <v/>
      </c>
      <c r="Z130" s="37" t="str">
        <f t="shared" ref="Z130:Z193" ca="1" si="23">IF(OR($A130="",$O130="",$S130="Pagada"),"",$O130-TODAY())</f>
        <v/>
      </c>
    </row>
    <row r="131" spans="1:26" x14ac:dyDescent="0.35">
      <c r="A131" s="18"/>
      <c r="B131" s="26"/>
      <c r="C131" s="18"/>
      <c r="D131" s="18"/>
      <c r="E131" s="22" t="str">
        <f>IFERROR(VLOOKUP(D131,Clientes_PDV!$A$2:$J$250,2,FALSE),"")</f>
        <v/>
      </c>
      <c r="F131" s="22" t="str">
        <f>IFERROR(VLOOKUP(D131,Clientes_PDV!$A$2:$J$250,3,FALSE),"")</f>
        <v/>
      </c>
      <c r="G131" s="22" t="str">
        <f>IFERROR(VLOOKUP(D131,Clientes_PDV!$A$2:$J$250,4,FALSE),"")</f>
        <v/>
      </c>
      <c r="H131" s="18"/>
      <c r="I131" s="22" t="str">
        <f>IFERROR(VLOOKUP(H131,Maestro_SKU!$A$2:$P$500,2,FALSE),"")</f>
        <v/>
      </c>
      <c r="J131" s="27"/>
      <c r="K131" s="19"/>
      <c r="L131" s="23" t="str">
        <f t="shared" si="16"/>
        <v/>
      </c>
      <c r="M131" s="23" t="str">
        <f>IF(L131="","",L131*Inicio!$B$13)</f>
        <v/>
      </c>
      <c r="N131" s="23" t="str">
        <f t="shared" si="17"/>
        <v/>
      </c>
      <c r="O131" s="26"/>
      <c r="P131" s="18"/>
      <c r="Q131" s="19"/>
      <c r="R131" s="23" t="str">
        <f t="shared" si="18"/>
        <v/>
      </c>
      <c r="S131" s="22" t="str">
        <f ca="1">IF(A131="","",IF(OR(P131="Pagada",R131=0),"Pagada",IF(O131&lt;TODAY(),"Vencida",IF(O131&lt;=TODAY()+Inicio!$B$19,"Próxima a vencer","Vigente"))))</f>
        <v/>
      </c>
      <c r="T131" s="18"/>
      <c r="U131" s="37" t="str">
        <f t="shared" si="19"/>
        <v/>
      </c>
      <c r="V131" s="37" t="str">
        <f t="shared" si="20"/>
        <v/>
      </c>
      <c r="W131" s="37" t="str">
        <f t="shared" si="21"/>
        <v/>
      </c>
      <c r="X131" s="37" t="str">
        <f t="shared" si="22"/>
        <v/>
      </c>
      <c r="Y131" s="37" t="str">
        <f>IF(OR($H131="",$J131=""),"",$J131*IFERROR(VLOOKUP($H131,Maestro_SKU!$A$2:$P$500,12,FALSE),1))</f>
        <v/>
      </c>
      <c r="Z131" s="37" t="str">
        <f t="shared" ca="1" si="23"/>
        <v/>
      </c>
    </row>
    <row r="132" spans="1:26" x14ac:dyDescent="0.35">
      <c r="A132" s="18"/>
      <c r="B132" s="26"/>
      <c r="C132" s="18"/>
      <c r="D132" s="18"/>
      <c r="E132" s="22" t="str">
        <f>IFERROR(VLOOKUP(D132,Clientes_PDV!$A$2:$J$250,2,FALSE),"")</f>
        <v/>
      </c>
      <c r="F132" s="22" t="str">
        <f>IFERROR(VLOOKUP(D132,Clientes_PDV!$A$2:$J$250,3,FALSE),"")</f>
        <v/>
      </c>
      <c r="G132" s="22" t="str">
        <f>IFERROR(VLOOKUP(D132,Clientes_PDV!$A$2:$J$250,4,FALSE),"")</f>
        <v/>
      </c>
      <c r="H132" s="18"/>
      <c r="I132" s="22" t="str">
        <f>IFERROR(VLOOKUP(H132,Maestro_SKU!$A$2:$P$500,2,FALSE),"")</f>
        <v/>
      </c>
      <c r="J132" s="27"/>
      <c r="K132" s="19"/>
      <c r="L132" s="23" t="str">
        <f t="shared" si="16"/>
        <v/>
      </c>
      <c r="M132" s="23" t="str">
        <f>IF(L132="","",L132*Inicio!$B$13)</f>
        <v/>
      </c>
      <c r="N132" s="23" t="str">
        <f t="shared" si="17"/>
        <v/>
      </c>
      <c r="O132" s="26"/>
      <c r="P132" s="18"/>
      <c r="Q132" s="19"/>
      <c r="R132" s="23" t="str">
        <f t="shared" si="18"/>
        <v/>
      </c>
      <c r="S132" s="22" t="str">
        <f ca="1">IF(A132="","",IF(OR(P132="Pagada",R132=0),"Pagada",IF(O132&lt;TODAY(),"Vencida",IF(O132&lt;=TODAY()+Inicio!$B$19,"Próxima a vencer","Vigente"))))</f>
        <v/>
      </c>
      <c r="T132" s="18"/>
      <c r="U132" s="37" t="str">
        <f t="shared" si="19"/>
        <v/>
      </c>
      <c r="V132" s="37" t="str">
        <f t="shared" si="20"/>
        <v/>
      </c>
      <c r="W132" s="37" t="str">
        <f t="shared" si="21"/>
        <v/>
      </c>
      <c r="X132" s="37" t="str">
        <f t="shared" si="22"/>
        <v/>
      </c>
      <c r="Y132" s="37" t="str">
        <f>IF(OR($H132="",$J132=""),"",$J132*IFERROR(VLOOKUP($H132,Maestro_SKU!$A$2:$P$500,12,FALSE),1))</f>
        <v/>
      </c>
      <c r="Z132" s="37" t="str">
        <f t="shared" ca="1" si="23"/>
        <v/>
      </c>
    </row>
    <row r="133" spans="1:26" x14ac:dyDescent="0.35">
      <c r="A133" s="18"/>
      <c r="B133" s="26"/>
      <c r="C133" s="18"/>
      <c r="D133" s="18"/>
      <c r="E133" s="22" t="str">
        <f>IFERROR(VLOOKUP(D133,Clientes_PDV!$A$2:$J$250,2,FALSE),"")</f>
        <v/>
      </c>
      <c r="F133" s="22" t="str">
        <f>IFERROR(VLOOKUP(D133,Clientes_PDV!$A$2:$J$250,3,FALSE),"")</f>
        <v/>
      </c>
      <c r="G133" s="22" t="str">
        <f>IFERROR(VLOOKUP(D133,Clientes_PDV!$A$2:$J$250,4,FALSE),"")</f>
        <v/>
      </c>
      <c r="H133" s="18"/>
      <c r="I133" s="22" t="str">
        <f>IFERROR(VLOOKUP(H133,Maestro_SKU!$A$2:$P$500,2,FALSE),"")</f>
        <v/>
      </c>
      <c r="J133" s="27"/>
      <c r="K133" s="19"/>
      <c r="L133" s="23" t="str">
        <f t="shared" si="16"/>
        <v/>
      </c>
      <c r="M133" s="23" t="str">
        <f>IF(L133="","",L133*Inicio!$B$13)</f>
        <v/>
      </c>
      <c r="N133" s="23" t="str">
        <f t="shared" si="17"/>
        <v/>
      </c>
      <c r="O133" s="26"/>
      <c r="P133" s="18"/>
      <c r="Q133" s="19"/>
      <c r="R133" s="23" t="str">
        <f t="shared" si="18"/>
        <v/>
      </c>
      <c r="S133" s="22" t="str">
        <f ca="1">IF(A133="","",IF(OR(P133="Pagada",R133=0),"Pagada",IF(O133&lt;TODAY(),"Vencida",IF(O133&lt;=TODAY()+Inicio!$B$19,"Próxima a vencer","Vigente"))))</f>
        <v/>
      </c>
      <c r="T133" s="18"/>
      <c r="U133" s="37" t="str">
        <f t="shared" si="19"/>
        <v/>
      </c>
      <c r="V133" s="37" t="str">
        <f t="shared" si="20"/>
        <v/>
      </c>
      <c r="W133" s="37" t="str">
        <f t="shared" si="21"/>
        <v/>
      </c>
      <c r="X133" s="37" t="str">
        <f t="shared" si="22"/>
        <v/>
      </c>
      <c r="Y133" s="37" t="str">
        <f>IF(OR($H133="",$J133=""),"",$J133*IFERROR(VLOOKUP($H133,Maestro_SKU!$A$2:$P$500,12,FALSE),1))</f>
        <v/>
      </c>
      <c r="Z133" s="37" t="str">
        <f t="shared" ca="1" si="23"/>
        <v/>
      </c>
    </row>
    <row r="134" spans="1:26" x14ac:dyDescent="0.35">
      <c r="A134" s="18"/>
      <c r="B134" s="26"/>
      <c r="C134" s="18"/>
      <c r="D134" s="18"/>
      <c r="E134" s="22" t="str">
        <f>IFERROR(VLOOKUP(D134,Clientes_PDV!$A$2:$J$250,2,FALSE),"")</f>
        <v/>
      </c>
      <c r="F134" s="22" t="str">
        <f>IFERROR(VLOOKUP(D134,Clientes_PDV!$A$2:$J$250,3,FALSE),"")</f>
        <v/>
      </c>
      <c r="G134" s="22" t="str">
        <f>IFERROR(VLOOKUP(D134,Clientes_PDV!$A$2:$J$250,4,FALSE),"")</f>
        <v/>
      </c>
      <c r="H134" s="18"/>
      <c r="I134" s="22" t="str">
        <f>IFERROR(VLOOKUP(H134,Maestro_SKU!$A$2:$P$500,2,FALSE),"")</f>
        <v/>
      </c>
      <c r="J134" s="27"/>
      <c r="K134" s="19"/>
      <c r="L134" s="23" t="str">
        <f t="shared" si="16"/>
        <v/>
      </c>
      <c r="M134" s="23" t="str">
        <f>IF(L134="","",L134*Inicio!$B$13)</f>
        <v/>
      </c>
      <c r="N134" s="23" t="str">
        <f t="shared" si="17"/>
        <v/>
      </c>
      <c r="O134" s="26"/>
      <c r="P134" s="18"/>
      <c r="Q134" s="19"/>
      <c r="R134" s="23" t="str">
        <f t="shared" si="18"/>
        <v/>
      </c>
      <c r="S134" s="22" t="str">
        <f ca="1">IF(A134="","",IF(OR(P134="Pagada",R134=0),"Pagada",IF(O134&lt;TODAY(),"Vencida",IF(O134&lt;=TODAY()+Inicio!$B$19,"Próxima a vencer","Vigente"))))</f>
        <v/>
      </c>
      <c r="T134" s="18"/>
      <c r="U134" s="37" t="str">
        <f t="shared" si="19"/>
        <v/>
      </c>
      <c r="V134" s="37" t="str">
        <f t="shared" si="20"/>
        <v/>
      </c>
      <c r="W134" s="37" t="str">
        <f t="shared" si="21"/>
        <v/>
      </c>
      <c r="X134" s="37" t="str">
        <f t="shared" si="22"/>
        <v/>
      </c>
      <c r="Y134" s="37" t="str">
        <f>IF(OR($H134="",$J134=""),"",$J134*IFERROR(VLOOKUP($H134,Maestro_SKU!$A$2:$P$500,12,FALSE),1))</f>
        <v/>
      </c>
      <c r="Z134" s="37" t="str">
        <f t="shared" ca="1" si="23"/>
        <v/>
      </c>
    </row>
    <row r="135" spans="1:26" x14ac:dyDescent="0.35">
      <c r="A135" s="18"/>
      <c r="B135" s="26"/>
      <c r="C135" s="18"/>
      <c r="D135" s="18"/>
      <c r="E135" s="22" t="str">
        <f>IFERROR(VLOOKUP(D135,Clientes_PDV!$A$2:$J$250,2,FALSE),"")</f>
        <v/>
      </c>
      <c r="F135" s="22" t="str">
        <f>IFERROR(VLOOKUP(D135,Clientes_PDV!$A$2:$J$250,3,FALSE),"")</f>
        <v/>
      </c>
      <c r="G135" s="22" t="str">
        <f>IFERROR(VLOOKUP(D135,Clientes_PDV!$A$2:$J$250,4,FALSE),"")</f>
        <v/>
      </c>
      <c r="H135" s="18"/>
      <c r="I135" s="22" t="str">
        <f>IFERROR(VLOOKUP(H135,Maestro_SKU!$A$2:$P$500,2,FALSE),"")</f>
        <v/>
      </c>
      <c r="J135" s="27"/>
      <c r="K135" s="19"/>
      <c r="L135" s="23" t="str">
        <f t="shared" si="16"/>
        <v/>
      </c>
      <c r="M135" s="23" t="str">
        <f>IF(L135="","",L135*Inicio!$B$13)</f>
        <v/>
      </c>
      <c r="N135" s="23" t="str">
        <f t="shared" si="17"/>
        <v/>
      </c>
      <c r="O135" s="26"/>
      <c r="P135" s="18"/>
      <c r="Q135" s="19"/>
      <c r="R135" s="23" t="str">
        <f t="shared" si="18"/>
        <v/>
      </c>
      <c r="S135" s="22" t="str">
        <f ca="1">IF(A135="","",IF(OR(P135="Pagada",R135=0),"Pagada",IF(O135&lt;TODAY(),"Vencida",IF(O135&lt;=TODAY()+Inicio!$B$19,"Próxima a vencer","Vigente"))))</f>
        <v/>
      </c>
      <c r="T135" s="18"/>
      <c r="U135" s="37" t="str">
        <f t="shared" si="19"/>
        <v/>
      </c>
      <c r="V135" s="37" t="str">
        <f t="shared" si="20"/>
        <v/>
      </c>
      <c r="W135" s="37" t="str">
        <f t="shared" si="21"/>
        <v/>
      </c>
      <c r="X135" s="37" t="str">
        <f t="shared" si="22"/>
        <v/>
      </c>
      <c r="Y135" s="37" t="str">
        <f>IF(OR($H135="",$J135=""),"",$J135*IFERROR(VLOOKUP($H135,Maestro_SKU!$A$2:$P$500,12,FALSE),1))</f>
        <v/>
      </c>
      <c r="Z135" s="37" t="str">
        <f t="shared" ca="1" si="23"/>
        <v/>
      </c>
    </row>
    <row r="136" spans="1:26" x14ac:dyDescent="0.35">
      <c r="A136" s="18"/>
      <c r="B136" s="26"/>
      <c r="C136" s="18"/>
      <c r="D136" s="18"/>
      <c r="E136" s="22" t="str">
        <f>IFERROR(VLOOKUP(D136,Clientes_PDV!$A$2:$J$250,2,FALSE),"")</f>
        <v/>
      </c>
      <c r="F136" s="22" t="str">
        <f>IFERROR(VLOOKUP(D136,Clientes_PDV!$A$2:$J$250,3,FALSE),"")</f>
        <v/>
      </c>
      <c r="G136" s="22" t="str">
        <f>IFERROR(VLOOKUP(D136,Clientes_PDV!$A$2:$J$250,4,FALSE),"")</f>
        <v/>
      </c>
      <c r="H136" s="18"/>
      <c r="I136" s="22" t="str">
        <f>IFERROR(VLOOKUP(H136,Maestro_SKU!$A$2:$P$500,2,FALSE),"")</f>
        <v/>
      </c>
      <c r="J136" s="27"/>
      <c r="K136" s="19"/>
      <c r="L136" s="23" t="str">
        <f t="shared" si="16"/>
        <v/>
      </c>
      <c r="M136" s="23" t="str">
        <f>IF(L136="","",L136*Inicio!$B$13)</f>
        <v/>
      </c>
      <c r="N136" s="23" t="str">
        <f t="shared" si="17"/>
        <v/>
      </c>
      <c r="O136" s="26"/>
      <c r="P136" s="18"/>
      <c r="Q136" s="19"/>
      <c r="R136" s="23" t="str">
        <f t="shared" si="18"/>
        <v/>
      </c>
      <c r="S136" s="22" t="str">
        <f ca="1">IF(A136="","",IF(OR(P136="Pagada",R136=0),"Pagada",IF(O136&lt;TODAY(),"Vencida",IF(O136&lt;=TODAY()+Inicio!$B$19,"Próxima a vencer","Vigente"))))</f>
        <v/>
      </c>
      <c r="T136" s="18"/>
      <c r="U136" s="37" t="str">
        <f t="shared" si="19"/>
        <v/>
      </c>
      <c r="V136" s="37" t="str">
        <f t="shared" si="20"/>
        <v/>
      </c>
      <c r="W136" s="37" t="str">
        <f t="shared" si="21"/>
        <v/>
      </c>
      <c r="X136" s="37" t="str">
        <f t="shared" si="22"/>
        <v/>
      </c>
      <c r="Y136" s="37" t="str">
        <f>IF(OR($H136="",$J136=""),"",$J136*IFERROR(VLOOKUP($H136,Maestro_SKU!$A$2:$P$500,12,FALSE),1))</f>
        <v/>
      </c>
      <c r="Z136" s="37" t="str">
        <f t="shared" ca="1" si="23"/>
        <v/>
      </c>
    </row>
    <row r="137" spans="1:26" x14ac:dyDescent="0.35">
      <c r="A137" s="18"/>
      <c r="B137" s="26"/>
      <c r="C137" s="18"/>
      <c r="D137" s="18"/>
      <c r="E137" s="22" t="str">
        <f>IFERROR(VLOOKUP(D137,Clientes_PDV!$A$2:$J$250,2,FALSE),"")</f>
        <v/>
      </c>
      <c r="F137" s="22" t="str">
        <f>IFERROR(VLOOKUP(D137,Clientes_PDV!$A$2:$J$250,3,FALSE),"")</f>
        <v/>
      </c>
      <c r="G137" s="22" t="str">
        <f>IFERROR(VLOOKUP(D137,Clientes_PDV!$A$2:$J$250,4,FALSE),"")</f>
        <v/>
      </c>
      <c r="H137" s="18"/>
      <c r="I137" s="22" t="str">
        <f>IFERROR(VLOOKUP(H137,Maestro_SKU!$A$2:$P$500,2,FALSE),"")</f>
        <v/>
      </c>
      <c r="J137" s="27"/>
      <c r="K137" s="19"/>
      <c r="L137" s="23" t="str">
        <f t="shared" si="16"/>
        <v/>
      </c>
      <c r="M137" s="23" t="str">
        <f>IF(L137="","",L137*Inicio!$B$13)</f>
        <v/>
      </c>
      <c r="N137" s="23" t="str">
        <f t="shared" si="17"/>
        <v/>
      </c>
      <c r="O137" s="26"/>
      <c r="P137" s="18"/>
      <c r="Q137" s="19"/>
      <c r="R137" s="23" t="str">
        <f t="shared" si="18"/>
        <v/>
      </c>
      <c r="S137" s="22" t="str">
        <f ca="1">IF(A137="","",IF(OR(P137="Pagada",R137=0),"Pagada",IF(O137&lt;TODAY(),"Vencida",IF(O137&lt;=TODAY()+Inicio!$B$19,"Próxima a vencer","Vigente"))))</f>
        <v/>
      </c>
      <c r="T137" s="18"/>
      <c r="U137" s="37" t="str">
        <f t="shared" si="19"/>
        <v/>
      </c>
      <c r="V137" s="37" t="str">
        <f t="shared" si="20"/>
        <v/>
      </c>
      <c r="W137" s="37" t="str">
        <f t="shared" si="21"/>
        <v/>
      </c>
      <c r="X137" s="37" t="str">
        <f t="shared" si="22"/>
        <v/>
      </c>
      <c r="Y137" s="37" t="str">
        <f>IF(OR($H137="",$J137=""),"",$J137*IFERROR(VLOOKUP($H137,Maestro_SKU!$A$2:$P$500,12,FALSE),1))</f>
        <v/>
      </c>
      <c r="Z137" s="37" t="str">
        <f t="shared" ca="1" si="23"/>
        <v/>
      </c>
    </row>
    <row r="138" spans="1:26" x14ac:dyDescent="0.35">
      <c r="A138" s="18"/>
      <c r="B138" s="26"/>
      <c r="C138" s="18"/>
      <c r="D138" s="18"/>
      <c r="E138" s="22" t="str">
        <f>IFERROR(VLOOKUP(D138,Clientes_PDV!$A$2:$J$250,2,FALSE),"")</f>
        <v/>
      </c>
      <c r="F138" s="22" t="str">
        <f>IFERROR(VLOOKUP(D138,Clientes_PDV!$A$2:$J$250,3,FALSE),"")</f>
        <v/>
      </c>
      <c r="G138" s="22" t="str">
        <f>IFERROR(VLOOKUP(D138,Clientes_PDV!$A$2:$J$250,4,FALSE),"")</f>
        <v/>
      </c>
      <c r="H138" s="18"/>
      <c r="I138" s="22" t="str">
        <f>IFERROR(VLOOKUP(H138,Maestro_SKU!$A$2:$P$500,2,FALSE),"")</f>
        <v/>
      </c>
      <c r="J138" s="27"/>
      <c r="K138" s="19"/>
      <c r="L138" s="23" t="str">
        <f t="shared" si="16"/>
        <v/>
      </c>
      <c r="M138" s="23" t="str">
        <f>IF(L138="","",L138*Inicio!$B$13)</f>
        <v/>
      </c>
      <c r="N138" s="23" t="str">
        <f t="shared" si="17"/>
        <v/>
      </c>
      <c r="O138" s="26"/>
      <c r="P138" s="18"/>
      <c r="Q138" s="19"/>
      <c r="R138" s="23" t="str">
        <f t="shared" si="18"/>
        <v/>
      </c>
      <c r="S138" s="22" t="str">
        <f ca="1">IF(A138="","",IF(OR(P138="Pagada",R138=0),"Pagada",IF(O138&lt;TODAY(),"Vencida",IF(O138&lt;=TODAY()+Inicio!$B$19,"Próxima a vencer","Vigente"))))</f>
        <v/>
      </c>
      <c r="T138" s="18"/>
      <c r="U138" s="37" t="str">
        <f t="shared" si="19"/>
        <v/>
      </c>
      <c r="V138" s="37" t="str">
        <f t="shared" si="20"/>
        <v/>
      </c>
      <c r="W138" s="37" t="str">
        <f t="shared" si="21"/>
        <v/>
      </c>
      <c r="X138" s="37" t="str">
        <f t="shared" si="22"/>
        <v/>
      </c>
      <c r="Y138" s="37" t="str">
        <f>IF(OR($H138="",$J138=""),"",$J138*IFERROR(VLOOKUP($H138,Maestro_SKU!$A$2:$P$500,12,FALSE),1))</f>
        <v/>
      </c>
      <c r="Z138" s="37" t="str">
        <f t="shared" ca="1" si="23"/>
        <v/>
      </c>
    </row>
    <row r="139" spans="1:26" x14ac:dyDescent="0.35">
      <c r="A139" s="18"/>
      <c r="B139" s="26"/>
      <c r="C139" s="18"/>
      <c r="D139" s="18"/>
      <c r="E139" s="22" t="str">
        <f>IFERROR(VLOOKUP(D139,Clientes_PDV!$A$2:$J$250,2,FALSE),"")</f>
        <v/>
      </c>
      <c r="F139" s="22" t="str">
        <f>IFERROR(VLOOKUP(D139,Clientes_PDV!$A$2:$J$250,3,FALSE),"")</f>
        <v/>
      </c>
      <c r="G139" s="22" t="str">
        <f>IFERROR(VLOOKUP(D139,Clientes_PDV!$A$2:$J$250,4,FALSE),"")</f>
        <v/>
      </c>
      <c r="H139" s="18"/>
      <c r="I139" s="22" t="str">
        <f>IFERROR(VLOOKUP(H139,Maestro_SKU!$A$2:$P$500,2,FALSE),"")</f>
        <v/>
      </c>
      <c r="J139" s="27"/>
      <c r="K139" s="19"/>
      <c r="L139" s="23" t="str">
        <f t="shared" si="16"/>
        <v/>
      </c>
      <c r="M139" s="23" t="str">
        <f>IF(L139="","",L139*Inicio!$B$13)</f>
        <v/>
      </c>
      <c r="N139" s="23" t="str">
        <f t="shared" si="17"/>
        <v/>
      </c>
      <c r="O139" s="26"/>
      <c r="P139" s="18"/>
      <c r="Q139" s="19"/>
      <c r="R139" s="23" t="str">
        <f t="shared" si="18"/>
        <v/>
      </c>
      <c r="S139" s="22" t="str">
        <f ca="1">IF(A139="","",IF(OR(P139="Pagada",R139=0),"Pagada",IF(O139&lt;TODAY(),"Vencida",IF(O139&lt;=TODAY()+Inicio!$B$19,"Próxima a vencer","Vigente"))))</f>
        <v/>
      </c>
      <c r="T139" s="18"/>
      <c r="U139" s="37" t="str">
        <f t="shared" si="19"/>
        <v/>
      </c>
      <c r="V139" s="37" t="str">
        <f t="shared" si="20"/>
        <v/>
      </c>
      <c r="W139" s="37" t="str">
        <f t="shared" si="21"/>
        <v/>
      </c>
      <c r="X139" s="37" t="str">
        <f t="shared" si="22"/>
        <v/>
      </c>
      <c r="Y139" s="37" t="str">
        <f>IF(OR($H139="",$J139=""),"",$J139*IFERROR(VLOOKUP($H139,Maestro_SKU!$A$2:$P$500,12,FALSE),1))</f>
        <v/>
      </c>
      <c r="Z139" s="37" t="str">
        <f t="shared" ca="1" si="23"/>
        <v/>
      </c>
    </row>
    <row r="140" spans="1:26" x14ac:dyDescent="0.35">
      <c r="A140" s="18"/>
      <c r="B140" s="26"/>
      <c r="C140" s="18"/>
      <c r="D140" s="18"/>
      <c r="E140" s="22" t="str">
        <f>IFERROR(VLOOKUP(D140,Clientes_PDV!$A$2:$J$250,2,FALSE),"")</f>
        <v/>
      </c>
      <c r="F140" s="22" t="str">
        <f>IFERROR(VLOOKUP(D140,Clientes_PDV!$A$2:$J$250,3,FALSE),"")</f>
        <v/>
      </c>
      <c r="G140" s="22" t="str">
        <f>IFERROR(VLOOKUP(D140,Clientes_PDV!$A$2:$J$250,4,FALSE),"")</f>
        <v/>
      </c>
      <c r="H140" s="18"/>
      <c r="I140" s="22" t="str">
        <f>IFERROR(VLOOKUP(H140,Maestro_SKU!$A$2:$P$500,2,FALSE),"")</f>
        <v/>
      </c>
      <c r="J140" s="27"/>
      <c r="K140" s="19"/>
      <c r="L140" s="23" t="str">
        <f t="shared" si="16"/>
        <v/>
      </c>
      <c r="M140" s="23" t="str">
        <f>IF(L140="","",L140*Inicio!$B$13)</f>
        <v/>
      </c>
      <c r="N140" s="23" t="str">
        <f t="shared" si="17"/>
        <v/>
      </c>
      <c r="O140" s="26"/>
      <c r="P140" s="18"/>
      <c r="Q140" s="19"/>
      <c r="R140" s="23" t="str">
        <f t="shared" si="18"/>
        <v/>
      </c>
      <c r="S140" s="22" t="str">
        <f ca="1">IF(A140="","",IF(OR(P140="Pagada",R140=0),"Pagada",IF(O140&lt;TODAY(),"Vencida",IF(O140&lt;=TODAY()+Inicio!$B$19,"Próxima a vencer","Vigente"))))</f>
        <v/>
      </c>
      <c r="T140" s="18"/>
      <c r="U140" s="37" t="str">
        <f t="shared" si="19"/>
        <v/>
      </c>
      <c r="V140" s="37" t="str">
        <f t="shared" si="20"/>
        <v/>
      </c>
      <c r="W140" s="37" t="str">
        <f t="shared" si="21"/>
        <v/>
      </c>
      <c r="X140" s="37" t="str">
        <f t="shared" si="22"/>
        <v/>
      </c>
      <c r="Y140" s="37" t="str">
        <f>IF(OR($H140="",$J140=""),"",$J140*IFERROR(VLOOKUP($H140,Maestro_SKU!$A$2:$P$500,12,FALSE),1))</f>
        <v/>
      </c>
      <c r="Z140" s="37" t="str">
        <f t="shared" ca="1" si="23"/>
        <v/>
      </c>
    </row>
    <row r="141" spans="1:26" x14ac:dyDescent="0.35">
      <c r="A141" s="18"/>
      <c r="B141" s="26"/>
      <c r="C141" s="18"/>
      <c r="D141" s="18"/>
      <c r="E141" s="22" t="str">
        <f>IFERROR(VLOOKUP(D141,Clientes_PDV!$A$2:$J$250,2,FALSE),"")</f>
        <v/>
      </c>
      <c r="F141" s="22" t="str">
        <f>IFERROR(VLOOKUP(D141,Clientes_PDV!$A$2:$J$250,3,FALSE),"")</f>
        <v/>
      </c>
      <c r="G141" s="22" t="str">
        <f>IFERROR(VLOOKUP(D141,Clientes_PDV!$A$2:$J$250,4,FALSE),"")</f>
        <v/>
      </c>
      <c r="H141" s="18"/>
      <c r="I141" s="22" t="str">
        <f>IFERROR(VLOOKUP(H141,Maestro_SKU!$A$2:$P$500,2,FALSE),"")</f>
        <v/>
      </c>
      <c r="J141" s="27"/>
      <c r="K141" s="19"/>
      <c r="L141" s="23" t="str">
        <f t="shared" si="16"/>
        <v/>
      </c>
      <c r="M141" s="23" t="str">
        <f>IF(L141="","",L141*Inicio!$B$13)</f>
        <v/>
      </c>
      <c r="N141" s="23" t="str">
        <f t="shared" si="17"/>
        <v/>
      </c>
      <c r="O141" s="26"/>
      <c r="P141" s="18"/>
      <c r="Q141" s="19"/>
      <c r="R141" s="23" t="str">
        <f t="shared" si="18"/>
        <v/>
      </c>
      <c r="S141" s="22" t="str">
        <f ca="1">IF(A141="","",IF(OR(P141="Pagada",R141=0),"Pagada",IF(O141&lt;TODAY(),"Vencida",IF(O141&lt;=TODAY()+Inicio!$B$19,"Próxima a vencer","Vigente"))))</f>
        <v/>
      </c>
      <c r="T141" s="18"/>
      <c r="U141" s="37" t="str">
        <f t="shared" si="19"/>
        <v/>
      </c>
      <c r="V141" s="37" t="str">
        <f t="shared" si="20"/>
        <v/>
      </c>
      <c r="W141" s="37" t="str">
        <f t="shared" si="21"/>
        <v/>
      </c>
      <c r="X141" s="37" t="str">
        <f t="shared" si="22"/>
        <v/>
      </c>
      <c r="Y141" s="37" t="str">
        <f>IF(OR($H141="",$J141=""),"",$J141*IFERROR(VLOOKUP($H141,Maestro_SKU!$A$2:$P$500,12,FALSE),1))</f>
        <v/>
      </c>
      <c r="Z141" s="37" t="str">
        <f t="shared" ca="1" si="23"/>
        <v/>
      </c>
    </row>
    <row r="142" spans="1:26" x14ac:dyDescent="0.35">
      <c r="A142" s="18"/>
      <c r="B142" s="26"/>
      <c r="C142" s="18"/>
      <c r="D142" s="18"/>
      <c r="E142" s="22" t="str">
        <f>IFERROR(VLOOKUP(D142,Clientes_PDV!$A$2:$J$250,2,FALSE),"")</f>
        <v/>
      </c>
      <c r="F142" s="22" t="str">
        <f>IFERROR(VLOOKUP(D142,Clientes_PDV!$A$2:$J$250,3,FALSE),"")</f>
        <v/>
      </c>
      <c r="G142" s="22" t="str">
        <f>IFERROR(VLOOKUP(D142,Clientes_PDV!$A$2:$J$250,4,FALSE),"")</f>
        <v/>
      </c>
      <c r="H142" s="18"/>
      <c r="I142" s="22" t="str">
        <f>IFERROR(VLOOKUP(H142,Maestro_SKU!$A$2:$P$500,2,FALSE),"")</f>
        <v/>
      </c>
      <c r="J142" s="27"/>
      <c r="K142" s="19"/>
      <c r="L142" s="23" t="str">
        <f t="shared" si="16"/>
        <v/>
      </c>
      <c r="M142" s="23" t="str">
        <f>IF(L142="","",L142*Inicio!$B$13)</f>
        <v/>
      </c>
      <c r="N142" s="23" t="str">
        <f t="shared" si="17"/>
        <v/>
      </c>
      <c r="O142" s="26"/>
      <c r="P142" s="18"/>
      <c r="Q142" s="19"/>
      <c r="R142" s="23" t="str">
        <f t="shared" si="18"/>
        <v/>
      </c>
      <c r="S142" s="22" t="str">
        <f ca="1">IF(A142="","",IF(OR(P142="Pagada",R142=0),"Pagada",IF(O142&lt;TODAY(),"Vencida",IF(O142&lt;=TODAY()+Inicio!$B$19,"Próxima a vencer","Vigente"))))</f>
        <v/>
      </c>
      <c r="T142" s="18"/>
      <c r="U142" s="37" t="str">
        <f t="shared" si="19"/>
        <v/>
      </c>
      <c r="V142" s="37" t="str">
        <f t="shared" si="20"/>
        <v/>
      </c>
      <c r="W142" s="37" t="str">
        <f t="shared" si="21"/>
        <v/>
      </c>
      <c r="X142" s="37" t="str">
        <f t="shared" si="22"/>
        <v/>
      </c>
      <c r="Y142" s="37" t="str">
        <f>IF(OR($H142="",$J142=""),"",$J142*IFERROR(VLOOKUP($H142,Maestro_SKU!$A$2:$P$500,12,FALSE),1))</f>
        <v/>
      </c>
      <c r="Z142" s="37" t="str">
        <f t="shared" ca="1" si="23"/>
        <v/>
      </c>
    </row>
    <row r="143" spans="1:26" x14ac:dyDescent="0.35">
      <c r="A143" s="18"/>
      <c r="B143" s="26"/>
      <c r="C143" s="18"/>
      <c r="D143" s="18"/>
      <c r="E143" s="22" t="str">
        <f>IFERROR(VLOOKUP(D143,Clientes_PDV!$A$2:$J$250,2,FALSE),"")</f>
        <v/>
      </c>
      <c r="F143" s="22" t="str">
        <f>IFERROR(VLOOKUP(D143,Clientes_PDV!$A$2:$J$250,3,FALSE),"")</f>
        <v/>
      </c>
      <c r="G143" s="22" t="str">
        <f>IFERROR(VLOOKUP(D143,Clientes_PDV!$A$2:$J$250,4,FALSE),"")</f>
        <v/>
      </c>
      <c r="H143" s="18"/>
      <c r="I143" s="22" t="str">
        <f>IFERROR(VLOOKUP(H143,Maestro_SKU!$A$2:$P$500,2,FALSE),"")</f>
        <v/>
      </c>
      <c r="J143" s="27"/>
      <c r="K143" s="19"/>
      <c r="L143" s="23" t="str">
        <f t="shared" si="16"/>
        <v/>
      </c>
      <c r="M143" s="23" t="str">
        <f>IF(L143="","",L143*Inicio!$B$13)</f>
        <v/>
      </c>
      <c r="N143" s="23" t="str">
        <f t="shared" si="17"/>
        <v/>
      </c>
      <c r="O143" s="26"/>
      <c r="P143" s="18"/>
      <c r="Q143" s="19"/>
      <c r="R143" s="23" t="str">
        <f t="shared" si="18"/>
        <v/>
      </c>
      <c r="S143" s="22" t="str">
        <f ca="1">IF(A143="","",IF(OR(P143="Pagada",R143=0),"Pagada",IF(O143&lt;TODAY(),"Vencida",IF(O143&lt;=TODAY()+Inicio!$B$19,"Próxima a vencer","Vigente"))))</f>
        <v/>
      </c>
      <c r="T143" s="18"/>
      <c r="U143" s="37" t="str">
        <f t="shared" si="19"/>
        <v/>
      </c>
      <c r="V143" s="37" t="str">
        <f t="shared" si="20"/>
        <v/>
      </c>
      <c r="W143" s="37" t="str">
        <f t="shared" si="21"/>
        <v/>
      </c>
      <c r="X143" s="37" t="str">
        <f t="shared" si="22"/>
        <v/>
      </c>
      <c r="Y143" s="37" t="str">
        <f>IF(OR($H143="",$J143=""),"",$J143*IFERROR(VLOOKUP($H143,Maestro_SKU!$A$2:$P$500,12,FALSE),1))</f>
        <v/>
      </c>
      <c r="Z143" s="37" t="str">
        <f t="shared" ca="1" si="23"/>
        <v/>
      </c>
    </row>
    <row r="144" spans="1:26" x14ac:dyDescent="0.35">
      <c r="A144" s="18"/>
      <c r="B144" s="26"/>
      <c r="C144" s="18"/>
      <c r="D144" s="18"/>
      <c r="E144" s="22" t="str">
        <f>IFERROR(VLOOKUP(D144,Clientes_PDV!$A$2:$J$250,2,FALSE),"")</f>
        <v/>
      </c>
      <c r="F144" s="22" t="str">
        <f>IFERROR(VLOOKUP(D144,Clientes_PDV!$A$2:$J$250,3,FALSE),"")</f>
        <v/>
      </c>
      <c r="G144" s="22" t="str">
        <f>IFERROR(VLOOKUP(D144,Clientes_PDV!$A$2:$J$250,4,FALSE),"")</f>
        <v/>
      </c>
      <c r="H144" s="18"/>
      <c r="I144" s="22" t="str">
        <f>IFERROR(VLOOKUP(H144,Maestro_SKU!$A$2:$P$500,2,FALSE),"")</f>
        <v/>
      </c>
      <c r="J144" s="27"/>
      <c r="K144" s="19"/>
      <c r="L144" s="23" t="str">
        <f t="shared" si="16"/>
        <v/>
      </c>
      <c r="M144" s="23" t="str">
        <f>IF(L144="","",L144*Inicio!$B$13)</f>
        <v/>
      </c>
      <c r="N144" s="23" t="str">
        <f t="shared" si="17"/>
        <v/>
      </c>
      <c r="O144" s="26"/>
      <c r="P144" s="18"/>
      <c r="Q144" s="19"/>
      <c r="R144" s="23" t="str">
        <f t="shared" si="18"/>
        <v/>
      </c>
      <c r="S144" s="22" t="str">
        <f ca="1">IF(A144="","",IF(OR(P144="Pagada",R144=0),"Pagada",IF(O144&lt;TODAY(),"Vencida",IF(O144&lt;=TODAY()+Inicio!$B$19,"Próxima a vencer","Vigente"))))</f>
        <v/>
      </c>
      <c r="T144" s="18"/>
      <c r="U144" s="37" t="str">
        <f t="shared" si="19"/>
        <v/>
      </c>
      <c r="V144" s="37" t="str">
        <f t="shared" si="20"/>
        <v/>
      </c>
      <c r="W144" s="37" t="str">
        <f t="shared" si="21"/>
        <v/>
      </c>
      <c r="X144" s="37" t="str">
        <f t="shared" si="22"/>
        <v/>
      </c>
      <c r="Y144" s="37" t="str">
        <f>IF(OR($H144="",$J144=""),"",$J144*IFERROR(VLOOKUP($H144,Maestro_SKU!$A$2:$P$500,12,FALSE),1))</f>
        <v/>
      </c>
      <c r="Z144" s="37" t="str">
        <f t="shared" ca="1" si="23"/>
        <v/>
      </c>
    </row>
    <row r="145" spans="1:26" x14ac:dyDescent="0.35">
      <c r="A145" s="18"/>
      <c r="B145" s="26"/>
      <c r="C145" s="18"/>
      <c r="D145" s="18"/>
      <c r="E145" s="22" t="str">
        <f>IFERROR(VLOOKUP(D145,Clientes_PDV!$A$2:$J$250,2,FALSE),"")</f>
        <v/>
      </c>
      <c r="F145" s="22" t="str">
        <f>IFERROR(VLOOKUP(D145,Clientes_PDV!$A$2:$J$250,3,FALSE),"")</f>
        <v/>
      </c>
      <c r="G145" s="22" t="str">
        <f>IFERROR(VLOOKUP(D145,Clientes_PDV!$A$2:$J$250,4,FALSE),"")</f>
        <v/>
      </c>
      <c r="H145" s="18"/>
      <c r="I145" s="22" t="str">
        <f>IFERROR(VLOOKUP(H145,Maestro_SKU!$A$2:$P$500,2,FALSE),"")</f>
        <v/>
      </c>
      <c r="J145" s="27"/>
      <c r="K145" s="19"/>
      <c r="L145" s="23" t="str">
        <f t="shared" si="16"/>
        <v/>
      </c>
      <c r="M145" s="23" t="str">
        <f>IF(L145="","",L145*Inicio!$B$13)</f>
        <v/>
      </c>
      <c r="N145" s="23" t="str">
        <f t="shared" si="17"/>
        <v/>
      </c>
      <c r="O145" s="26"/>
      <c r="P145" s="18"/>
      <c r="Q145" s="19"/>
      <c r="R145" s="23" t="str">
        <f t="shared" si="18"/>
        <v/>
      </c>
      <c r="S145" s="22" t="str">
        <f ca="1">IF(A145="","",IF(OR(P145="Pagada",R145=0),"Pagada",IF(O145&lt;TODAY(),"Vencida",IF(O145&lt;=TODAY()+Inicio!$B$19,"Próxima a vencer","Vigente"))))</f>
        <v/>
      </c>
      <c r="T145" s="18"/>
      <c r="U145" s="37" t="str">
        <f t="shared" si="19"/>
        <v/>
      </c>
      <c r="V145" s="37" t="str">
        <f t="shared" si="20"/>
        <v/>
      </c>
      <c r="W145" s="37" t="str">
        <f t="shared" si="21"/>
        <v/>
      </c>
      <c r="X145" s="37" t="str">
        <f t="shared" si="22"/>
        <v/>
      </c>
      <c r="Y145" s="37" t="str">
        <f>IF(OR($H145="",$J145=""),"",$J145*IFERROR(VLOOKUP($H145,Maestro_SKU!$A$2:$P$500,12,FALSE),1))</f>
        <v/>
      </c>
      <c r="Z145" s="37" t="str">
        <f t="shared" ca="1" si="23"/>
        <v/>
      </c>
    </row>
    <row r="146" spans="1:26" x14ac:dyDescent="0.35">
      <c r="A146" s="18"/>
      <c r="B146" s="26"/>
      <c r="C146" s="18"/>
      <c r="D146" s="18"/>
      <c r="E146" s="22" t="str">
        <f>IFERROR(VLOOKUP(D146,Clientes_PDV!$A$2:$J$250,2,FALSE),"")</f>
        <v/>
      </c>
      <c r="F146" s="22" t="str">
        <f>IFERROR(VLOOKUP(D146,Clientes_PDV!$A$2:$J$250,3,FALSE),"")</f>
        <v/>
      </c>
      <c r="G146" s="22" t="str">
        <f>IFERROR(VLOOKUP(D146,Clientes_PDV!$A$2:$J$250,4,FALSE),"")</f>
        <v/>
      </c>
      <c r="H146" s="18"/>
      <c r="I146" s="22" t="str">
        <f>IFERROR(VLOOKUP(H146,Maestro_SKU!$A$2:$P$500,2,FALSE),"")</f>
        <v/>
      </c>
      <c r="J146" s="27"/>
      <c r="K146" s="19"/>
      <c r="L146" s="23" t="str">
        <f t="shared" si="16"/>
        <v/>
      </c>
      <c r="M146" s="23" t="str">
        <f>IF(L146="","",L146*Inicio!$B$13)</f>
        <v/>
      </c>
      <c r="N146" s="23" t="str">
        <f t="shared" si="17"/>
        <v/>
      </c>
      <c r="O146" s="26"/>
      <c r="P146" s="18"/>
      <c r="Q146" s="19"/>
      <c r="R146" s="23" t="str">
        <f t="shared" si="18"/>
        <v/>
      </c>
      <c r="S146" s="22" t="str">
        <f ca="1">IF(A146="","",IF(OR(P146="Pagada",R146=0),"Pagada",IF(O146&lt;TODAY(),"Vencida",IF(O146&lt;=TODAY()+Inicio!$B$19,"Próxima a vencer","Vigente"))))</f>
        <v/>
      </c>
      <c r="T146" s="18"/>
      <c r="U146" s="37" t="str">
        <f t="shared" si="19"/>
        <v/>
      </c>
      <c r="V146" s="37" t="str">
        <f t="shared" si="20"/>
        <v/>
      </c>
      <c r="W146" s="37" t="str">
        <f t="shared" si="21"/>
        <v/>
      </c>
      <c r="X146" s="37" t="str">
        <f t="shared" si="22"/>
        <v/>
      </c>
      <c r="Y146" s="37" t="str">
        <f>IF(OR($H146="",$J146=""),"",$J146*IFERROR(VLOOKUP($H146,Maestro_SKU!$A$2:$P$500,12,FALSE),1))</f>
        <v/>
      </c>
      <c r="Z146" s="37" t="str">
        <f t="shared" ca="1" si="23"/>
        <v/>
      </c>
    </row>
    <row r="147" spans="1:26" x14ac:dyDescent="0.35">
      <c r="A147" s="18"/>
      <c r="B147" s="26"/>
      <c r="C147" s="18"/>
      <c r="D147" s="18"/>
      <c r="E147" s="22" t="str">
        <f>IFERROR(VLOOKUP(D147,Clientes_PDV!$A$2:$J$250,2,FALSE),"")</f>
        <v/>
      </c>
      <c r="F147" s="22" t="str">
        <f>IFERROR(VLOOKUP(D147,Clientes_PDV!$A$2:$J$250,3,FALSE),"")</f>
        <v/>
      </c>
      <c r="G147" s="22" t="str">
        <f>IFERROR(VLOOKUP(D147,Clientes_PDV!$A$2:$J$250,4,FALSE),"")</f>
        <v/>
      </c>
      <c r="H147" s="18"/>
      <c r="I147" s="22" t="str">
        <f>IFERROR(VLOOKUP(H147,Maestro_SKU!$A$2:$P$500,2,FALSE),"")</f>
        <v/>
      </c>
      <c r="J147" s="27"/>
      <c r="K147" s="19"/>
      <c r="L147" s="23" t="str">
        <f t="shared" si="16"/>
        <v/>
      </c>
      <c r="M147" s="23" t="str">
        <f>IF(L147="","",L147*Inicio!$B$13)</f>
        <v/>
      </c>
      <c r="N147" s="23" t="str">
        <f t="shared" si="17"/>
        <v/>
      </c>
      <c r="O147" s="26"/>
      <c r="P147" s="18"/>
      <c r="Q147" s="19"/>
      <c r="R147" s="23" t="str">
        <f t="shared" si="18"/>
        <v/>
      </c>
      <c r="S147" s="22" t="str">
        <f ca="1">IF(A147="","",IF(OR(P147="Pagada",R147=0),"Pagada",IF(O147&lt;TODAY(),"Vencida",IF(O147&lt;=TODAY()+Inicio!$B$19,"Próxima a vencer","Vigente"))))</f>
        <v/>
      </c>
      <c r="T147" s="18"/>
      <c r="U147" s="37" t="str">
        <f t="shared" si="19"/>
        <v/>
      </c>
      <c r="V147" s="37" t="str">
        <f t="shared" si="20"/>
        <v/>
      </c>
      <c r="W147" s="37" t="str">
        <f t="shared" si="21"/>
        <v/>
      </c>
      <c r="X147" s="37" t="str">
        <f t="shared" si="22"/>
        <v/>
      </c>
      <c r="Y147" s="37" t="str">
        <f>IF(OR($H147="",$J147=""),"",$J147*IFERROR(VLOOKUP($H147,Maestro_SKU!$A$2:$P$500,12,FALSE),1))</f>
        <v/>
      </c>
      <c r="Z147" s="37" t="str">
        <f t="shared" ca="1" si="23"/>
        <v/>
      </c>
    </row>
    <row r="148" spans="1:26" x14ac:dyDescent="0.35">
      <c r="A148" s="18"/>
      <c r="B148" s="26"/>
      <c r="C148" s="18"/>
      <c r="D148" s="18"/>
      <c r="E148" s="22" t="str">
        <f>IFERROR(VLOOKUP(D148,Clientes_PDV!$A$2:$J$250,2,FALSE),"")</f>
        <v/>
      </c>
      <c r="F148" s="22" t="str">
        <f>IFERROR(VLOOKUP(D148,Clientes_PDV!$A$2:$J$250,3,FALSE),"")</f>
        <v/>
      </c>
      <c r="G148" s="22" t="str">
        <f>IFERROR(VLOOKUP(D148,Clientes_PDV!$A$2:$J$250,4,FALSE),"")</f>
        <v/>
      </c>
      <c r="H148" s="18"/>
      <c r="I148" s="22" t="str">
        <f>IFERROR(VLOOKUP(H148,Maestro_SKU!$A$2:$P$500,2,FALSE),"")</f>
        <v/>
      </c>
      <c r="J148" s="27"/>
      <c r="K148" s="19"/>
      <c r="L148" s="23" t="str">
        <f t="shared" si="16"/>
        <v/>
      </c>
      <c r="M148" s="23" t="str">
        <f>IF(L148="","",L148*Inicio!$B$13)</f>
        <v/>
      </c>
      <c r="N148" s="23" t="str">
        <f t="shared" si="17"/>
        <v/>
      </c>
      <c r="O148" s="26"/>
      <c r="P148" s="18"/>
      <c r="Q148" s="19"/>
      <c r="R148" s="23" t="str">
        <f t="shared" si="18"/>
        <v/>
      </c>
      <c r="S148" s="22" t="str">
        <f ca="1">IF(A148="","",IF(OR(P148="Pagada",R148=0),"Pagada",IF(O148&lt;TODAY(),"Vencida",IF(O148&lt;=TODAY()+Inicio!$B$19,"Próxima a vencer","Vigente"))))</f>
        <v/>
      </c>
      <c r="T148" s="18"/>
      <c r="U148" s="37" t="str">
        <f t="shared" si="19"/>
        <v/>
      </c>
      <c r="V148" s="37" t="str">
        <f t="shared" si="20"/>
        <v/>
      </c>
      <c r="W148" s="37" t="str">
        <f t="shared" si="21"/>
        <v/>
      </c>
      <c r="X148" s="37" t="str">
        <f t="shared" si="22"/>
        <v/>
      </c>
      <c r="Y148" s="37" t="str">
        <f>IF(OR($H148="",$J148=""),"",$J148*IFERROR(VLOOKUP($H148,Maestro_SKU!$A$2:$P$500,12,FALSE),1))</f>
        <v/>
      </c>
      <c r="Z148" s="37" t="str">
        <f t="shared" ca="1" si="23"/>
        <v/>
      </c>
    </row>
    <row r="149" spans="1:26" x14ac:dyDescent="0.35">
      <c r="A149" s="18"/>
      <c r="B149" s="26"/>
      <c r="C149" s="18"/>
      <c r="D149" s="18"/>
      <c r="E149" s="22" t="str">
        <f>IFERROR(VLOOKUP(D149,Clientes_PDV!$A$2:$J$250,2,FALSE),"")</f>
        <v/>
      </c>
      <c r="F149" s="22" t="str">
        <f>IFERROR(VLOOKUP(D149,Clientes_PDV!$A$2:$J$250,3,FALSE),"")</f>
        <v/>
      </c>
      <c r="G149" s="22" t="str">
        <f>IFERROR(VLOOKUP(D149,Clientes_PDV!$A$2:$J$250,4,FALSE),"")</f>
        <v/>
      </c>
      <c r="H149" s="18"/>
      <c r="I149" s="22" t="str">
        <f>IFERROR(VLOOKUP(H149,Maestro_SKU!$A$2:$P$500,2,FALSE),"")</f>
        <v/>
      </c>
      <c r="J149" s="27"/>
      <c r="K149" s="19"/>
      <c r="L149" s="23" t="str">
        <f t="shared" si="16"/>
        <v/>
      </c>
      <c r="M149" s="23" t="str">
        <f>IF(L149="","",L149*Inicio!$B$13)</f>
        <v/>
      </c>
      <c r="N149" s="23" t="str">
        <f t="shared" si="17"/>
        <v/>
      </c>
      <c r="O149" s="26"/>
      <c r="P149" s="18"/>
      <c r="Q149" s="19"/>
      <c r="R149" s="23" t="str">
        <f t="shared" si="18"/>
        <v/>
      </c>
      <c r="S149" s="22" t="str">
        <f ca="1">IF(A149="","",IF(OR(P149="Pagada",R149=0),"Pagada",IF(O149&lt;TODAY(),"Vencida",IF(O149&lt;=TODAY()+Inicio!$B$19,"Próxima a vencer","Vigente"))))</f>
        <v/>
      </c>
      <c r="T149" s="18"/>
      <c r="U149" s="37" t="str">
        <f t="shared" si="19"/>
        <v/>
      </c>
      <c r="V149" s="37" t="str">
        <f t="shared" si="20"/>
        <v/>
      </c>
      <c r="W149" s="37" t="str">
        <f t="shared" si="21"/>
        <v/>
      </c>
      <c r="X149" s="37" t="str">
        <f t="shared" si="22"/>
        <v/>
      </c>
      <c r="Y149" s="37" t="str">
        <f>IF(OR($H149="",$J149=""),"",$J149*IFERROR(VLOOKUP($H149,Maestro_SKU!$A$2:$P$500,12,FALSE),1))</f>
        <v/>
      </c>
      <c r="Z149" s="37" t="str">
        <f t="shared" ca="1" si="23"/>
        <v/>
      </c>
    </row>
    <row r="150" spans="1:26" x14ac:dyDescent="0.35">
      <c r="A150" s="18"/>
      <c r="B150" s="26"/>
      <c r="C150" s="18"/>
      <c r="D150" s="18"/>
      <c r="E150" s="22" t="str">
        <f>IFERROR(VLOOKUP(D150,Clientes_PDV!$A$2:$J$250,2,FALSE),"")</f>
        <v/>
      </c>
      <c r="F150" s="22" t="str">
        <f>IFERROR(VLOOKUP(D150,Clientes_PDV!$A$2:$J$250,3,FALSE),"")</f>
        <v/>
      </c>
      <c r="G150" s="22" t="str">
        <f>IFERROR(VLOOKUP(D150,Clientes_PDV!$A$2:$J$250,4,FALSE),"")</f>
        <v/>
      </c>
      <c r="H150" s="18"/>
      <c r="I150" s="22" t="str">
        <f>IFERROR(VLOOKUP(H150,Maestro_SKU!$A$2:$P$500,2,FALSE),"")</f>
        <v/>
      </c>
      <c r="J150" s="27"/>
      <c r="K150" s="19"/>
      <c r="L150" s="23" t="str">
        <f t="shared" si="16"/>
        <v/>
      </c>
      <c r="M150" s="23" t="str">
        <f>IF(L150="","",L150*Inicio!$B$13)</f>
        <v/>
      </c>
      <c r="N150" s="23" t="str">
        <f t="shared" si="17"/>
        <v/>
      </c>
      <c r="O150" s="26"/>
      <c r="P150" s="18"/>
      <c r="Q150" s="19"/>
      <c r="R150" s="23" t="str">
        <f t="shared" si="18"/>
        <v/>
      </c>
      <c r="S150" s="22" t="str">
        <f ca="1">IF(A150="","",IF(OR(P150="Pagada",R150=0),"Pagada",IF(O150&lt;TODAY(),"Vencida",IF(O150&lt;=TODAY()+Inicio!$B$19,"Próxima a vencer","Vigente"))))</f>
        <v/>
      </c>
      <c r="T150" s="18"/>
      <c r="U150" s="37" t="str">
        <f t="shared" si="19"/>
        <v/>
      </c>
      <c r="V150" s="37" t="str">
        <f t="shared" si="20"/>
        <v/>
      </c>
      <c r="W150" s="37" t="str">
        <f t="shared" si="21"/>
        <v/>
      </c>
      <c r="X150" s="37" t="str">
        <f t="shared" si="22"/>
        <v/>
      </c>
      <c r="Y150" s="37" t="str">
        <f>IF(OR($H150="",$J150=""),"",$J150*IFERROR(VLOOKUP($H150,Maestro_SKU!$A$2:$P$500,12,FALSE),1))</f>
        <v/>
      </c>
      <c r="Z150" s="37" t="str">
        <f t="shared" ca="1" si="23"/>
        <v/>
      </c>
    </row>
    <row r="151" spans="1:26" x14ac:dyDescent="0.35">
      <c r="A151" s="18"/>
      <c r="B151" s="26"/>
      <c r="C151" s="18"/>
      <c r="D151" s="18"/>
      <c r="E151" s="22" t="str">
        <f>IFERROR(VLOOKUP(D151,Clientes_PDV!$A$2:$J$250,2,FALSE),"")</f>
        <v/>
      </c>
      <c r="F151" s="22" t="str">
        <f>IFERROR(VLOOKUP(D151,Clientes_PDV!$A$2:$J$250,3,FALSE),"")</f>
        <v/>
      </c>
      <c r="G151" s="22" t="str">
        <f>IFERROR(VLOOKUP(D151,Clientes_PDV!$A$2:$J$250,4,FALSE),"")</f>
        <v/>
      </c>
      <c r="H151" s="18"/>
      <c r="I151" s="22" t="str">
        <f>IFERROR(VLOOKUP(H151,Maestro_SKU!$A$2:$P$500,2,FALSE),"")</f>
        <v/>
      </c>
      <c r="J151" s="27"/>
      <c r="K151" s="19"/>
      <c r="L151" s="23" t="str">
        <f t="shared" si="16"/>
        <v/>
      </c>
      <c r="M151" s="23" t="str">
        <f>IF(L151="","",L151*Inicio!$B$13)</f>
        <v/>
      </c>
      <c r="N151" s="23" t="str">
        <f t="shared" si="17"/>
        <v/>
      </c>
      <c r="O151" s="26"/>
      <c r="P151" s="18"/>
      <c r="Q151" s="19"/>
      <c r="R151" s="23" t="str">
        <f t="shared" si="18"/>
        <v/>
      </c>
      <c r="S151" s="22" t="str">
        <f ca="1">IF(A151="","",IF(OR(P151="Pagada",R151=0),"Pagada",IF(O151&lt;TODAY(),"Vencida",IF(O151&lt;=TODAY()+Inicio!$B$19,"Próxima a vencer","Vigente"))))</f>
        <v/>
      </c>
      <c r="T151" s="18"/>
      <c r="U151" s="37" t="str">
        <f t="shared" si="19"/>
        <v/>
      </c>
      <c r="V151" s="37" t="str">
        <f t="shared" si="20"/>
        <v/>
      </c>
      <c r="W151" s="37" t="str">
        <f t="shared" si="21"/>
        <v/>
      </c>
      <c r="X151" s="37" t="str">
        <f t="shared" si="22"/>
        <v/>
      </c>
      <c r="Y151" s="37" t="str">
        <f>IF(OR($H151="",$J151=""),"",$J151*IFERROR(VLOOKUP($H151,Maestro_SKU!$A$2:$P$500,12,FALSE),1))</f>
        <v/>
      </c>
      <c r="Z151" s="37" t="str">
        <f t="shared" ca="1" si="23"/>
        <v/>
      </c>
    </row>
    <row r="152" spans="1:26" x14ac:dyDescent="0.35">
      <c r="A152" s="18"/>
      <c r="B152" s="26"/>
      <c r="C152" s="18"/>
      <c r="D152" s="18"/>
      <c r="E152" s="22" t="str">
        <f>IFERROR(VLOOKUP(D152,Clientes_PDV!$A$2:$J$250,2,FALSE),"")</f>
        <v/>
      </c>
      <c r="F152" s="22" t="str">
        <f>IFERROR(VLOOKUP(D152,Clientes_PDV!$A$2:$J$250,3,FALSE),"")</f>
        <v/>
      </c>
      <c r="G152" s="22" t="str">
        <f>IFERROR(VLOOKUP(D152,Clientes_PDV!$A$2:$J$250,4,FALSE),"")</f>
        <v/>
      </c>
      <c r="H152" s="18"/>
      <c r="I152" s="22" t="str">
        <f>IFERROR(VLOOKUP(H152,Maestro_SKU!$A$2:$P$500,2,FALSE),"")</f>
        <v/>
      </c>
      <c r="J152" s="27"/>
      <c r="K152" s="19"/>
      <c r="L152" s="23" t="str">
        <f t="shared" si="16"/>
        <v/>
      </c>
      <c r="M152" s="23" t="str">
        <f>IF(L152="","",L152*Inicio!$B$13)</f>
        <v/>
      </c>
      <c r="N152" s="23" t="str">
        <f t="shared" si="17"/>
        <v/>
      </c>
      <c r="O152" s="26"/>
      <c r="P152" s="18"/>
      <c r="Q152" s="19"/>
      <c r="R152" s="23" t="str">
        <f t="shared" si="18"/>
        <v/>
      </c>
      <c r="S152" s="22" t="str">
        <f ca="1">IF(A152="","",IF(OR(P152="Pagada",R152=0),"Pagada",IF(O152&lt;TODAY(),"Vencida",IF(O152&lt;=TODAY()+Inicio!$B$19,"Próxima a vencer","Vigente"))))</f>
        <v/>
      </c>
      <c r="T152" s="18"/>
      <c r="U152" s="37" t="str">
        <f t="shared" si="19"/>
        <v/>
      </c>
      <c r="V152" s="37" t="str">
        <f t="shared" si="20"/>
        <v/>
      </c>
      <c r="W152" s="37" t="str">
        <f t="shared" si="21"/>
        <v/>
      </c>
      <c r="X152" s="37" t="str">
        <f t="shared" si="22"/>
        <v/>
      </c>
      <c r="Y152" s="37" t="str">
        <f>IF(OR($H152="",$J152=""),"",$J152*IFERROR(VLOOKUP($H152,Maestro_SKU!$A$2:$P$500,12,FALSE),1))</f>
        <v/>
      </c>
      <c r="Z152" s="37" t="str">
        <f t="shared" ca="1" si="23"/>
        <v/>
      </c>
    </row>
    <row r="153" spans="1:26" x14ac:dyDescent="0.35">
      <c r="A153" s="18"/>
      <c r="B153" s="26"/>
      <c r="C153" s="18"/>
      <c r="D153" s="18"/>
      <c r="E153" s="22" t="str">
        <f>IFERROR(VLOOKUP(D153,Clientes_PDV!$A$2:$J$250,2,FALSE),"")</f>
        <v/>
      </c>
      <c r="F153" s="22" t="str">
        <f>IFERROR(VLOOKUP(D153,Clientes_PDV!$A$2:$J$250,3,FALSE),"")</f>
        <v/>
      </c>
      <c r="G153" s="22" t="str">
        <f>IFERROR(VLOOKUP(D153,Clientes_PDV!$A$2:$J$250,4,FALSE),"")</f>
        <v/>
      </c>
      <c r="H153" s="18"/>
      <c r="I153" s="22" t="str">
        <f>IFERROR(VLOOKUP(H153,Maestro_SKU!$A$2:$P$500,2,FALSE),"")</f>
        <v/>
      </c>
      <c r="J153" s="27"/>
      <c r="K153" s="19"/>
      <c r="L153" s="23" t="str">
        <f t="shared" si="16"/>
        <v/>
      </c>
      <c r="M153" s="23" t="str">
        <f>IF(L153="","",L153*Inicio!$B$13)</f>
        <v/>
      </c>
      <c r="N153" s="23" t="str">
        <f t="shared" si="17"/>
        <v/>
      </c>
      <c r="O153" s="26"/>
      <c r="P153" s="18"/>
      <c r="Q153" s="19"/>
      <c r="R153" s="23" t="str">
        <f t="shared" si="18"/>
        <v/>
      </c>
      <c r="S153" s="22" t="str">
        <f ca="1">IF(A153="","",IF(OR(P153="Pagada",R153=0),"Pagada",IF(O153&lt;TODAY(),"Vencida",IF(O153&lt;=TODAY()+Inicio!$B$19,"Próxima a vencer","Vigente"))))</f>
        <v/>
      </c>
      <c r="T153" s="18"/>
      <c r="U153" s="37" t="str">
        <f t="shared" si="19"/>
        <v/>
      </c>
      <c r="V153" s="37" t="str">
        <f t="shared" si="20"/>
        <v/>
      </c>
      <c r="W153" s="37" t="str">
        <f t="shared" si="21"/>
        <v/>
      </c>
      <c r="X153" s="37" t="str">
        <f t="shared" si="22"/>
        <v/>
      </c>
      <c r="Y153" s="37" t="str">
        <f>IF(OR($H153="",$J153=""),"",$J153*IFERROR(VLOOKUP($H153,Maestro_SKU!$A$2:$P$500,12,FALSE),1))</f>
        <v/>
      </c>
      <c r="Z153" s="37" t="str">
        <f t="shared" ca="1" si="23"/>
        <v/>
      </c>
    </row>
    <row r="154" spans="1:26" x14ac:dyDescent="0.35">
      <c r="A154" s="18"/>
      <c r="B154" s="26"/>
      <c r="C154" s="18"/>
      <c r="D154" s="18"/>
      <c r="E154" s="22" t="str">
        <f>IFERROR(VLOOKUP(D154,Clientes_PDV!$A$2:$J$250,2,FALSE),"")</f>
        <v/>
      </c>
      <c r="F154" s="22" t="str">
        <f>IFERROR(VLOOKUP(D154,Clientes_PDV!$A$2:$J$250,3,FALSE),"")</f>
        <v/>
      </c>
      <c r="G154" s="22" t="str">
        <f>IFERROR(VLOOKUP(D154,Clientes_PDV!$A$2:$J$250,4,FALSE),"")</f>
        <v/>
      </c>
      <c r="H154" s="18"/>
      <c r="I154" s="22" t="str">
        <f>IFERROR(VLOOKUP(H154,Maestro_SKU!$A$2:$P$500,2,FALSE),"")</f>
        <v/>
      </c>
      <c r="J154" s="27"/>
      <c r="K154" s="19"/>
      <c r="L154" s="23" t="str">
        <f t="shared" si="16"/>
        <v/>
      </c>
      <c r="M154" s="23" t="str">
        <f>IF(L154="","",L154*Inicio!$B$13)</f>
        <v/>
      </c>
      <c r="N154" s="23" t="str">
        <f t="shared" si="17"/>
        <v/>
      </c>
      <c r="O154" s="26"/>
      <c r="P154" s="18"/>
      <c r="Q154" s="19"/>
      <c r="R154" s="23" t="str">
        <f t="shared" si="18"/>
        <v/>
      </c>
      <c r="S154" s="22" t="str">
        <f ca="1">IF(A154="","",IF(OR(P154="Pagada",R154=0),"Pagada",IF(O154&lt;TODAY(),"Vencida",IF(O154&lt;=TODAY()+Inicio!$B$19,"Próxima a vencer","Vigente"))))</f>
        <v/>
      </c>
      <c r="T154" s="18"/>
      <c r="U154" s="37" t="str">
        <f t="shared" si="19"/>
        <v/>
      </c>
      <c r="V154" s="37" t="str">
        <f t="shared" si="20"/>
        <v/>
      </c>
      <c r="W154" s="37" t="str">
        <f t="shared" si="21"/>
        <v/>
      </c>
      <c r="X154" s="37" t="str">
        <f t="shared" si="22"/>
        <v/>
      </c>
      <c r="Y154" s="37" t="str">
        <f>IF(OR($H154="",$J154=""),"",$J154*IFERROR(VLOOKUP($H154,Maestro_SKU!$A$2:$P$500,12,FALSE),1))</f>
        <v/>
      </c>
      <c r="Z154" s="37" t="str">
        <f t="shared" ca="1" si="23"/>
        <v/>
      </c>
    </row>
    <row r="155" spans="1:26" x14ac:dyDescent="0.35">
      <c r="A155" s="18"/>
      <c r="B155" s="26"/>
      <c r="C155" s="18"/>
      <c r="D155" s="18"/>
      <c r="E155" s="22" t="str">
        <f>IFERROR(VLOOKUP(D155,Clientes_PDV!$A$2:$J$250,2,FALSE),"")</f>
        <v/>
      </c>
      <c r="F155" s="22" t="str">
        <f>IFERROR(VLOOKUP(D155,Clientes_PDV!$A$2:$J$250,3,FALSE),"")</f>
        <v/>
      </c>
      <c r="G155" s="22" t="str">
        <f>IFERROR(VLOOKUP(D155,Clientes_PDV!$A$2:$J$250,4,FALSE),"")</f>
        <v/>
      </c>
      <c r="H155" s="18"/>
      <c r="I155" s="22" t="str">
        <f>IFERROR(VLOOKUP(H155,Maestro_SKU!$A$2:$P$500,2,FALSE),"")</f>
        <v/>
      </c>
      <c r="J155" s="27"/>
      <c r="K155" s="19"/>
      <c r="L155" s="23" t="str">
        <f t="shared" si="16"/>
        <v/>
      </c>
      <c r="M155" s="23" t="str">
        <f>IF(L155="","",L155*Inicio!$B$13)</f>
        <v/>
      </c>
      <c r="N155" s="23" t="str">
        <f t="shared" si="17"/>
        <v/>
      </c>
      <c r="O155" s="26"/>
      <c r="P155" s="18"/>
      <c r="Q155" s="19"/>
      <c r="R155" s="23" t="str">
        <f t="shared" si="18"/>
        <v/>
      </c>
      <c r="S155" s="22" t="str">
        <f ca="1">IF(A155="","",IF(OR(P155="Pagada",R155=0),"Pagada",IF(O155&lt;TODAY(),"Vencida",IF(O155&lt;=TODAY()+Inicio!$B$19,"Próxima a vencer","Vigente"))))</f>
        <v/>
      </c>
      <c r="T155" s="18"/>
      <c r="U155" s="37" t="str">
        <f t="shared" si="19"/>
        <v/>
      </c>
      <c r="V155" s="37" t="str">
        <f t="shared" si="20"/>
        <v/>
      </c>
      <c r="W155" s="37" t="str">
        <f t="shared" si="21"/>
        <v/>
      </c>
      <c r="X155" s="37" t="str">
        <f t="shared" si="22"/>
        <v/>
      </c>
      <c r="Y155" s="37" t="str">
        <f>IF(OR($H155="",$J155=""),"",$J155*IFERROR(VLOOKUP($H155,Maestro_SKU!$A$2:$P$500,12,FALSE),1))</f>
        <v/>
      </c>
      <c r="Z155" s="37" t="str">
        <f t="shared" ca="1" si="23"/>
        <v/>
      </c>
    </row>
    <row r="156" spans="1:26" x14ac:dyDescent="0.35">
      <c r="A156" s="18"/>
      <c r="B156" s="26"/>
      <c r="C156" s="18"/>
      <c r="D156" s="18"/>
      <c r="E156" s="22" t="str">
        <f>IFERROR(VLOOKUP(D156,Clientes_PDV!$A$2:$J$250,2,FALSE),"")</f>
        <v/>
      </c>
      <c r="F156" s="22" t="str">
        <f>IFERROR(VLOOKUP(D156,Clientes_PDV!$A$2:$J$250,3,FALSE),"")</f>
        <v/>
      </c>
      <c r="G156" s="22" t="str">
        <f>IFERROR(VLOOKUP(D156,Clientes_PDV!$A$2:$J$250,4,FALSE),"")</f>
        <v/>
      </c>
      <c r="H156" s="18"/>
      <c r="I156" s="22" t="str">
        <f>IFERROR(VLOOKUP(H156,Maestro_SKU!$A$2:$P$500,2,FALSE),"")</f>
        <v/>
      </c>
      <c r="J156" s="27"/>
      <c r="K156" s="19"/>
      <c r="L156" s="23" t="str">
        <f t="shared" si="16"/>
        <v/>
      </c>
      <c r="M156" s="23" t="str">
        <f>IF(L156="","",L156*Inicio!$B$13)</f>
        <v/>
      </c>
      <c r="N156" s="23" t="str">
        <f t="shared" si="17"/>
        <v/>
      </c>
      <c r="O156" s="26"/>
      <c r="P156" s="18"/>
      <c r="Q156" s="19"/>
      <c r="R156" s="23" t="str">
        <f t="shared" si="18"/>
        <v/>
      </c>
      <c r="S156" s="22" t="str">
        <f ca="1">IF(A156="","",IF(OR(P156="Pagada",R156=0),"Pagada",IF(O156&lt;TODAY(),"Vencida",IF(O156&lt;=TODAY()+Inicio!$B$19,"Próxima a vencer","Vigente"))))</f>
        <v/>
      </c>
      <c r="T156" s="18"/>
      <c r="U156" s="37" t="str">
        <f t="shared" si="19"/>
        <v/>
      </c>
      <c r="V156" s="37" t="str">
        <f t="shared" si="20"/>
        <v/>
      </c>
      <c r="W156" s="37" t="str">
        <f t="shared" si="21"/>
        <v/>
      </c>
      <c r="X156" s="37" t="str">
        <f t="shared" si="22"/>
        <v/>
      </c>
      <c r="Y156" s="37" t="str">
        <f>IF(OR($H156="",$J156=""),"",$J156*IFERROR(VLOOKUP($H156,Maestro_SKU!$A$2:$P$500,12,FALSE),1))</f>
        <v/>
      </c>
      <c r="Z156" s="37" t="str">
        <f t="shared" ca="1" si="23"/>
        <v/>
      </c>
    </row>
    <row r="157" spans="1:26" x14ac:dyDescent="0.35">
      <c r="A157" s="18"/>
      <c r="B157" s="26"/>
      <c r="C157" s="18"/>
      <c r="D157" s="18"/>
      <c r="E157" s="22" t="str">
        <f>IFERROR(VLOOKUP(D157,Clientes_PDV!$A$2:$J$250,2,FALSE),"")</f>
        <v/>
      </c>
      <c r="F157" s="22" t="str">
        <f>IFERROR(VLOOKUP(D157,Clientes_PDV!$A$2:$J$250,3,FALSE),"")</f>
        <v/>
      </c>
      <c r="G157" s="22" t="str">
        <f>IFERROR(VLOOKUP(D157,Clientes_PDV!$A$2:$J$250,4,FALSE),"")</f>
        <v/>
      </c>
      <c r="H157" s="18"/>
      <c r="I157" s="22" t="str">
        <f>IFERROR(VLOOKUP(H157,Maestro_SKU!$A$2:$P$500,2,FALSE),"")</f>
        <v/>
      </c>
      <c r="J157" s="27"/>
      <c r="K157" s="19"/>
      <c r="L157" s="23" t="str">
        <f t="shared" si="16"/>
        <v/>
      </c>
      <c r="M157" s="23" t="str">
        <f>IF(L157="","",L157*Inicio!$B$13)</f>
        <v/>
      </c>
      <c r="N157" s="23" t="str">
        <f t="shared" si="17"/>
        <v/>
      </c>
      <c r="O157" s="26"/>
      <c r="P157" s="18"/>
      <c r="Q157" s="19"/>
      <c r="R157" s="23" t="str">
        <f t="shared" si="18"/>
        <v/>
      </c>
      <c r="S157" s="22" t="str">
        <f ca="1">IF(A157="","",IF(OR(P157="Pagada",R157=0),"Pagada",IF(O157&lt;TODAY(),"Vencida",IF(O157&lt;=TODAY()+Inicio!$B$19,"Próxima a vencer","Vigente"))))</f>
        <v/>
      </c>
      <c r="T157" s="18"/>
      <c r="U157" s="37" t="str">
        <f t="shared" si="19"/>
        <v/>
      </c>
      <c r="V157" s="37" t="str">
        <f t="shared" si="20"/>
        <v/>
      </c>
      <c r="W157" s="37" t="str">
        <f t="shared" si="21"/>
        <v/>
      </c>
      <c r="X157" s="37" t="str">
        <f t="shared" si="22"/>
        <v/>
      </c>
      <c r="Y157" s="37" t="str">
        <f>IF(OR($H157="",$J157=""),"",$J157*IFERROR(VLOOKUP($H157,Maestro_SKU!$A$2:$P$500,12,FALSE),1))</f>
        <v/>
      </c>
      <c r="Z157" s="37" t="str">
        <f t="shared" ca="1" si="23"/>
        <v/>
      </c>
    </row>
    <row r="158" spans="1:26" x14ac:dyDescent="0.35">
      <c r="A158" s="18"/>
      <c r="B158" s="26"/>
      <c r="C158" s="18"/>
      <c r="D158" s="18"/>
      <c r="E158" s="22" t="str">
        <f>IFERROR(VLOOKUP(D158,Clientes_PDV!$A$2:$J$250,2,FALSE),"")</f>
        <v/>
      </c>
      <c r="F158" s="22" t="str">
        <f>IFERROR(VLOOKUP(D158,Clientes_PDV!$A$2:$J$250,3,FALSE),"")</f>
        <v/>
      </c>
      <c r="G158" s="22" t="str">
        <f>IFERROR(VLOOKUP(D158,Clientes_PDV!$A$2:$J$250,4,FALSE),"")</f>
        <v/>
      </c>
      <c r="H158" s="18"/>
      <c r="I158" s="22" t="str">
        <f>IFERROR(VLOOKUP(H158,Maestro_SKU!$A$2:$P$500,2,FALSE),"")</f>
        <v/>
      </c>
      <c r="J158" s="27"/>
      <c r="K158" s="19"/>
      <c r="L158" s="23" t="str">
        <f t="shared" si="16"/>
        <v/>
      </c>
      <c r="M158" s="23" t="str">
        <f>IF(L158="","",L158*Inicio!$B$13)</f>
        <v/>
      </c>
      <c r="N158" s="23" t="str">
        <f t="shared" si="17"/>
        <v/>
      </c>
      <c r="O158" s="26"/>
      <c r="P158" s="18"/>
      <c r="Q158" s="19"/>
      <c r="R158" s="23" t="str">
        <f t="shared" si="18"/>
        <v/>
      </c>
      <c r="S158" s="22" t="str">
        <f ca="1">IF(A158="","",IF(OR(P158="Pagada",R158=0),"Pagada",IF(O158&lt;TODAY(),"Vencida",IF(O158&lt;=TODAY()+Inicio!$B$19,"Próxima a vencer","Vigente"))))</f>
        <v/>
      </c>
      <c r="T158" s="18"/>
      <c r="U158" s="37" t="str">
        <f t="shared" si="19"/>
        <v/>
      </c>
      <c r="V158" s="37" t="str">
        <f t="shared" si="20"/>
        <v/>
      </c>
      <c r="W158" s="37" t="str">
        <f t="shared" si="21"/>
        <v/>
      </c>
      <c r="X158" s="37" t="str">
        <f t="shared" si="22"/>
        <v/>
      </c>
      <c r="Y158" s="37" t="str">
        <f>IF(OR($H158="",$J158=""),"",$J158*IFERROR(VLOOKUP($H158,Maestro_SKU!$A$2:$P$500,12,FALSE),1))</f>
        <v/>
      </c>
      <c r="Z158" s="37" t="str">
        <f t="shared" ca="1" si="23"/>
        <v/>
      </c>
    </row>
    <row r="159" spans="1:26" x14ac:dyDescent="0.35">
      <c r="A159" s="18"/>
      <c r="B159" s="26"/>
      <c r="C159" s="18"/>
      <c r="D159" s="18"/>
      <c r="E159" s="22" t="str">
        <f>IFERROR(VLOOKUP(D159,Clientes_PDV!$A$2:$J$250,2,FALSE),"")</f>
        <v/>
      </c>
      <c r="F159" s="22" t="str">
        <f>IFERROR(VLOOKUP(D159,Clientes_PDV!$A$2:$J$250,3,FALSE),"")</f>
        <v/>
      </c>
      <c r="G159" s="22" t="str">
        <f>IFERROR(VLOOKUP(D159,Clientes_PDV!$A$2:$J$250,4,FALSE),"")</f>
        <v/>
      </c>
      <c r="H159" s="18"/>
      <c r="I159" s="22" t="str">
        <f>IFERROR(VLOOKUP(H159,Maestro_SKU!$A$2:$P$500,2,FALSE),"")</f>
        <v/>
      </c>
      <c r="J159" s="27"/>
      <c r="K159" s="19"/>
      <c r="L159" s="23" t="str">
        <f t="shared" si="16"/>
        <v/>
      </c>
      <c r="M159" s="23" t="str">
        <f>IF(L159="","",L159*Inicio!$B$13)</f>
        <v/>
      </c>
      <c r="N159" s="23" t="str">
        <f t="shared" si="17"/>
        <v/>
      </c>
      <c r="O159" s="26"/>
      <c r="P159" s="18"/>
      <c r="Q159" s="19"/>
      <c r="R159" s="23" t="str">
        <f t="shared" si="18"/>
        <v/>
      </c>
      <c r="S159" s="22" t="str">
        <f ca="1">IF(A159="","",IF(OR(P159="Pagada",R159=0),"Pagada",IF(O159&lt;TODAY(),"Vencida",IF(O159&lt;=TODAY()+Inicio!$B$19,"Próxima a vencer","Vigente"))))</f>
        <v/>
      </c>
      <c r="T159" s="18"/>
      <c r="U159" s="37" t="str">
        <f t="shared" si="19"/>
        <v/>
      </c>
      <c r="V159" s="37" t="str">
        <f t="shared" si="20"/>
        <v/>
      </c>
      <c r="W159" s="37" t="str">
        <f t="shared" si="21"/>
        <v/>
      </c>
      <c r="X159" s="37" t="str">
        <f t="shared" si="22"/>
        <v/>
      </c>
      <c r="Y159" s="37" t="str">
        <f>IF(OR($H159="",$J159=""),"",$J159*IFERROR(VLOOKUP($H159,Maestro_SKU!$A$2:$P$500,12,FALSE),1))</f>
        <v/>
      </c>
      <c r="Z159" s="37" t="str">
        <f t="shared" ca="1" si="23"/>
        <v/>
      </c>
    </row>
    <row r="160" spans="1:26" x14ac:dyDescent="0.35">
      <c r="A160" s="18"/>
      <c r="B160" s="26"/>
      <c r="C160" s="18"/>
      <c r="D160" s="18"/>
      <c r="E160" s="22" t="str">
        <f>IFERROR(VLOOKUP(D160,Clientes_PDV!$A$2:$J$250,2,FALSE),"")</f>
        <v/>
      </c>
      <c r="F160" s="22" t="str">
        <f>IFERROR(VLOOKUP(D160,Clientes_PDV!$A$2:$J$250,3,FALSE),"")</f>
        <v/>
      </c>
      <c r="G160" s="22" t="str">
        <f>IFERROR(VLOOKUP(D160,Clientes_PDV!$A$2:$J$250,4,FALSE),"")</f>
        <v/>
      </c>
      <c r="H160" s="18"/>
      <c r="I160" s="22" t="str">
        <f>IFERROR(VLOOKUP(H160,Maestro_SKU!$A$2:$P$500,2,FALSE),"")</f>
        <v/>
      </c>
      <c r="J160" s="27"/>
      <c r="K160" s="19"/>
      <c r="L160" s="23" t="str">
        <f t="shared" si="16"/>
        <v/>
      </c>
      <c r="M160" s="23" t="str">
        <f>IF(L160="","",L160*Inicio!$B$13)</f>
        <v/>
      </c>
      <c r="N160" s="23" t="str">
        <f t="shared" si="17"/>
        <v/>
      </c>
      <c r="O160" s="26"/>
      <c r="P160" s="18"/>
      <c r="Q160" s="19"/>
      <c r="R160" s="23" t="str">
        <f t="shared" si="18"/>
        <v/>
      </c>
      <c r="S160" s="22" t="str">
        <f ca="1">IF(A160="","",IF(OR(P160="Pagada",R160=0),"Pagada",IF(O160&lt;TODAY(),"Vencida",IF(O160&lt;=TODAY()+Inicio!$B$19,"Próxima a vencer","Vigente"))))</f>
        <v/>
      </c>
      <c r="T160" s="18"/>
      <c r="U160" s="37" t="str">
        <f t="shared" si="19"/>
        <v/>
      </c>
      <c r="V160" s="37" t="str">
        <f t="shared" si="20"/>
        <v/>
      </c>
      <c r="W160" s="37" t="str">
        <f t="shared" si="21"/>
        <v/>
      </c>
      <c r="X160" s="37" t="str">
        <f t="shared" si="22"/>
        <v/>
      </c>
      <c r="Y160" s="37" t="str">
        <f>IF(OR($H160="",$J160=""),"",$J160*IFERROR(VLOOKUP($H160,Maestro_SKU!$A$2:$P$500,12,FALSE),1))</f>
        <v/>
      </c>
      <c r="Z160" s="37" t="str">
        <f t="shared" ca="1" si="23"/>
        <v/>
      </c>
    </row>
    <row r="161" spans="1:26" x14ac:dyDescent="0.35">
      <c r="A161" s="18"/>
      <c r="B161" s="26"/>
      <c r="C161" s="18"/>
      <c r="D161" s="18"/>
      <c r="E161" s="22" t="str">
        <f>IFERROR(VLOOKUP(D161,Clientes_PDV!$A$2:$J$250,2,FALSE),"")</f>
        <v/>
      </c>
      <c r="F161" s="22" t="str">
        <f>IFERROR(VLOOKUP(D161,Clientes_PDV!$A$2:$J$250,3,FALSE),"")</f>
        <v/>
      </c>
      <c r="G161" s="22" t="str">
        <f>IFERROR(VLOOKUP(D161,Clientes_PDV!$A$2:$J$250,4,FALSE),"")</f>
        <v/>
      </c>
      <c r="H161" s="18"/>
      <c r="I161" s="22" t="str">
        <f>IFERROR(VLOOKUP(H161,Maestro_SKU!$A$2:$P$500,2,FALSE),"")</f>
        <v/>
      </c>
      <c r="J161" s="27"/>
      <c r="K161" s="19"/>
      <c r="L161" s="23" t="str">
        <f t="shared" si="16"/>
        <v/>
      </c>
      <c r="M161" s="23" t="str">
        <f>IF(L161="","",L161*Inicio!$B$13)</f>
        <v/>
      </c>
      <c r="N161" s="23" t="str">
        <f t="shared" si="17"/>
        <v/>
      </c>
      <c r="O161" s="26"/>
      <c r="P161" s="18"/>
      <c r="Q161" s="19"/>
      <c r="R161" s="23" t="str">
        <f t="shared" si="18"/>
        <v/>
      </c>
      <c r="S161" s="22" t="str">
        <f ca="1">IF(A161="","",IF(OR(P161="Pagada",R161=0),"Pagada",IF(O161&lt;TODAY(),"Vencida",IF(O161&lt;=TODAY()+Inicio!$B$19,"Próxima a vencer","Vigente"))))</f>
        <v/>
      </c>
      <c r="T161" s="18"/>
      <c r="U161" s="37" t="str">
        <f t="shared" si="19"/>
        <v/>
      </c>
      <c r="V161" s="37" t="str">
        <f t="shared" si="20"/>
        <v/>
      </c>
      <c r="W161" s="37" t="str">
        <f t="shared" si="21"/>
        <v/>
      </c>
      <c r="X161" s="37" t="str">
        <f t="shared" si="22"/>
        <v/>
      </c>
      <c r="Y161" s="37" t="str">
        <f>IF(OR($H161="",$J161=""),"",$J161*IFERROR(VLOOKUP($H161,Maestro_SKU!$A$2:$P$500,12,FALSE),1))</f>
        <v/>
      </c>
      <c r="Z161" s="37" t="str">
        <f t="shared" ca="1" si="23"/>
        <v/>
      </c>
    </row>
    <row r="162" spans="1:26" x14ac:dyDescent="0.35">
      <c r="A162" s="18"/>
      <c r="B162" s="26"/>
      <c r="C162" s="18"/>
      <c r="D162" s="18"/>
      <c r="E162" s="22" t="str">
        <f>IFERROR(VLOOKUP(D162,Clientes_PDV!$A$2:$J$250,2,FALSE),"")</f>
        <v/>
      </c>
      <c r="F162" s="22" t="str">
        <f>IFERROR(VLOOKUP(D162,Clientes_PDV!$A$2:$J$250,3,FALSE),"")</f>
        <v/>
      </c>
      <c r="G162" s="22" t="str">
        <f>IFERROR(VLOOKUP(D162,Clientes_PDV!$A$2:$J$250,4,FALSE),"")</f>
        <v/>
      </c>
      <c r="H162" s="18"/>
      <c r="I162" s="22" t="str">
        <f>IFERROR(VLOOKUP(H162,Maestro_SKU!$A$2:$P$500,2,FALSE),"")</f>
        <v/>
      </c>
      <c r="J162" s="27"/>
      <c r="K162" s="19"/>
      <c r="L162" s="23" t="str">
        <f t="shared" si="16"/>
        <v/>
      </c>
      <c r="M162" s="23" t="str">
        <f>IF(L162="","",L162*Inicio!$B$13)</f>
        <v/>
      </c>
      <c r="N162" s="23" t="str">
        <f t="shared" si="17"/>
        <v/>
      </c>
      <c r="O162" s="26"/>
      <c r="P162" s="18"/>
      <c r="Q162" s="19"/>
      <c r="R162" s="23" t="str">
        <f t="shared" si="18"/>
        <v/>
      </c>
      <c r="S162" s="22" t="str">
        <f ca="1">IF(A162="","",IF(OR(P162="Pagada",R162=0),"Pagada",IF(O162&lt;TODAY(),"Vencida",IF(O162&lt;=TODAY()+Inicio!$B$19,"Próxima a vencer","Vigente"))))</f>
        <v/>
      </c>
      <c r="T162" s="18"/>
      <c r="U162" s="37" t="str">
        <f t="shared" si="19"/>
        <v/>
      </c>
      <c r="V162" s="37" t="str">
        <f t="shared" si="20"/>
        <v/>
      </c>
      <c r="W162" s="37" t="str">
        <f t="shared" si="21"/>
        <v/>
      </c>
      <c r="X162" s="37" t="str">
        <f t="shared" si="22"/>
        <v/>
      </c>
      <c r="Y162" s="37" t="str">
        <f>IF(OR($H162="",$J162=""),"",$J162*IFERROR(VLOOKUP($H162,Maestro_SKU!$A$2:$P$500,12,FALSE),1))</f>
        <v/>
      </c>
      <c r="Z162" s="37" t="str">
        <f t="shared" ca="1" si="23"/>
        <v/>
      </c>
    </row>
    <row r="163" spans="1:26" x14ac:dyDescent="0.35">
      <c r="A163" s="18"/>
      <c r="B163" s="26"/>
      <c r="C163" s="18"/>
      <c r="D163" s="18"/>
      <c r="E163" s="22" t="str">
        <f>IFERROR(VLOOKUP(D163,Clientes_PDV!$A$2:$J$250,2,FALSE),"")</f>
        <v/>
      </c>
      <c r="F163" s="22" t="str">
        <f>IFERROR(VLOOKUP(D163,Clientes_PDV!$A$2:$J$250,3,FALSE),"")</f>
        <v/>
      </c>
      <c r="G163" s="22" t="str">
        <f>IFERROR(VLOOKUP(D163,Clientes_PDV!$A$2:$J$250,4,FALSE),"")</f>
        <v/>
      </c>
      <c r="H163" s="18"/>
      <c r="I163" s="22" t="str">
        <f>IFERROR(VLOOKUP(H163,Maestro_SKU!$A$2:$P$500,2,FALSE),"")</f>
        <v/>
      </c>
      <c r="J163" s="27"/>
      <c r="K163" s="19"/>
      <c r="L163" s="23" t="str">
        <f t="shared" si="16"/>
        <v/>
      </c>
      <c r="M163" s="23" t="str">
        <f>IF(L163="","",L163*Inicio!$B$13)</f>
        <v/>
      </c>
      <c r="N163" s="23" t="str">
        <f t="shared" si="17"/>
        <v/>
      </c>
      <c r="O163" s="26"/>
      <c r="P163" s="18"/>
      <c r="Q163" s="19"/>
      <c r="R163" s="23" t="str">
        <f t="shared" si="18"/>
        <v/>
      </c>
      <c r="S163" s="22" t="str">
        <f ca="1">IF(A163="","",IF(OR(P163="Pagada",R163=0),"Pagada",IF(O163&lt;TODAY(),"Vencida",IF(O163&lt;=TODAY()+Inicio!$B$19,"Próxima a vencer","Vigente"))))</f>
        <v/>
      </c>
      <c r="T163" s="18"/>
      <c r="U163" s="37" t="str">
        <f t="shared" si="19"/>
        <v/>
      </c>
      <c r="V163" s="37" t="str">
        <f t="shared" si="20"/>
        <v/>
      </c>
      <c r="W163" s="37" t="str">
        <f t="shared" si="21"/>
        <v/>
      </c>
      <c r="X163" s="37" t="str">
        <f t="shared" si="22"/>
        <v/>
      </c>
      <c r="Y163" s="37" t="str">
        <f>IF(OR($H163="",$J163=""),"",$J163*IFERROR(VLOOKUP($H163,Maestro_SKU!$A$2:$P$500,12,FALSE),1))</f>
        <v/>
      </c>
      <c r="Z163" s="37" t="str">
        <f t="shared" ca="1" si="23"/>
        <v/>
      </c>
    </row>
    <row r="164" spans="1:26" x14ac:dyDescent="0.35">
      <c r="A164" s="18"/>
      <c r="B164" s="26"/>
      <c r="C164" s="18"/>
      <c r="D164" s="18"/>
      <c r="E164" s="22" t="str">
        <f>IFERROR(VLOOKUP(D164,Clientes_PDV!$A$2:$J$250,2,FALSE),"")</f>
        <v/>
      </c>
      <c r="F164" s="22" t="str">
        <f>IFERROR(VLOOKUP(D164,Clientes_PDV!$A$2:$J$250,3,FALSE),"")</f>
        <v/>
      </c>
      <c r="G164" s="22" t="str">
        <f>IFERROR(VLOOKUP(D164,Clientes_PDV!$A$2:$J$250,4,FALSE),"")</f>
        <v/>
      </c>
      <c r="H164" s="18"/>
      <c r="I164" s="22" t="str">
        <f>IFERROR(VLOOKUP(H164,Maestro_SKU!$A$2:$P$500,2,FALSE),"")</f>
        <v/>
      </c>
      <c r="J164" s="27"/>
      <c r="K164" s="19"/>
      <c r="L164" s="23" t="str">
        <f t="shared" si="16"/>
        <v/>
      </c>
      <c r="M164" s="23" t="str">
        <f>IF(L164="","",L164*Inicio!$B$13)</f>
        <v/>
      </c>
      <c r="N164" s="23" t="str">
        <f t="shared" si="17"/>
        <v/>
      </c>
      <c r="O164" s="26"/>
      <c r="P164" s="18"/>
      <c r="Q164" s="19"/>
      <c r="R164" s="23" t="str">
        <f t="shared" si="18"/>
        <v/>
      </c>
      <c r="S164" s="22" t="str">
        <f ca="1">IF(A164="","",IF(OR(P164="Pagada",R164=0),"Pagada",IF(O164&lt;TODAY(),"Vencida",IF(O164&lt;=TODAY()+Inicio!$B$19,"Próxima a vencer","Vigente"))))</f>
        <v/>
      </c>
      <c r="T164" s="18"/>
      <c r="U164" s="37" t="str">
        <f t="shared" si="19"/>
        <v/>
      </c>
      <c r="V164" s="37" t="str">
        <f t="shared" si="20"/>
        <v/>
      </c>
      <c r="W164" s="37" t="str">
        <f t="shared" si="21"/>
        <v/>
      </c>
      <c r="X164" s="37" t="str">
        <f t="shared" si="22"/>
        <v/>
      </c>
      <c r="Y164" s="37" t="str">
        <f>IF(OR($H164="",$J164=""),"",$J164*IFERROR(VLOOKUP($H164,Maestro_SKU!$A$2:$P$500,12,FALSE),1))</f>
        <v/>
      </c>
      <c r="Z164" s="37" t="str">
        <f t="shared" ca="1" si="23"/>
        <v/>
      </c>
    </row>
    <row r="165" spans="1:26" x14ac:dyDescent="0.35">
      <c r="A165" s="18"/>
      <c r="B165" s="26"/>
      <c r="C165" s="18"/>
      <c r="D165" s="18"/>
      <c r="E165" s="22" t="str">
        <f>IFERROR(VLOOKUP(D165,Clientes_PDV!$A$2:$J$250,2,FALSE),"")</f>
        <v/>
      </c>
      <c r="F165" s="22" t="str">
        <f>IFERROR(VLOOKUP(D165,Clientes_PDV!$A$2:$J$250,3,FALSE),"")</f>
        <v/>
      </c>
      <c r="G165" s="22" t="str">
        <f>IFERROR(VLOOKUP(D165,Clientes_PDV!$A$2:$J$250,4,FALSE),"")</f>
        <v/>
      </c>
      <c r="H165" s="18"/>
      <c r="I165" s="22" t="str">
        <f>IFERROR(VLOOKUP(H165,Maestro_SKU!$A$2:$P$500,2,FALSE),"")</f>
        <v/>
      </c>
      <c r="J165" s="27"/>
      <c r="K165" s="19"/>
      <c r="L165" s="23" t="str">
        <f t="shared" si="16"/>
        <v/>
      </c>
      <c r="M165" s="23" t="str">
        <f>IF(L165="","",L165*Inicio!$B$13)</f>
        <v/>
      </c>
      <c r="N165" s="23" t="str">
        <f t="shared" si="17"/>
        <v/>
      </c>
      <c r="O165" s="26"/>
      <c r="P165" s="18"/>
      <c r="Q165" s="19"/>
      <c r="R165" s="23" t="str">
        <f t="shared" si="18"/>
        <v/>
      </c>
      <c r="S165" s="22" t="str">
        <f ca="1">IF(A165="","",IF(OR(P165="Pagada",R165=0),"Pagada",IF(O165&lt;TODAY(),"Vencida",IF(O165&lt;=TODAY()+Inicio!$B$19,"Próxima a vencer","Vigente"))))</f>
        <v/>
      </c>
      <c r="T165" s="18"/>
      <c r="U165" s="37" t="str">
        <f t="shared" si="19"/>
        <v/>
      </c>
      <c r="V165" s="37" t="str">
        <f t="shared" si="20"/>
        <v/>
      </c>
      <c r="W165" s="37" t="str">
        <f t="shared" si="21"/>
        <v/>
      </c>
      <c r="X165" s="37" t="str">
        <f t="shared" si="22"/>
        <v/>
      </c>
      <c r="Y165" s="37" t="str">
        <f>IF(OR($H165="",$J165=""),"",$J165*IFERROR(VLOOKUP($H165,Maestro_SKU!$A$2:$P$500,12,FALSE),1))</f>
        <v/>
      </c>
      <c r="Z165" s="37" t="str">
        <f t="shared" ca="1" si="23"/>
        <v/>
      </c>
    </row>
    <row r="166" spans="1:26" x14ac:dyDescent="0.35">
      <c r="A166" s="18"/>
      <c r="B166" s="26"/>
      <c r="C166" s="18"/>
      <c r="D166" s="18"/>
      <c r="E166" s="22" t="str">
        <f>IFERROR(VLOOKUP(D166,Clientes_PDV!$A$2:$J$250,2,FALSE),"")</f>
        <v/>
      </c>
      <c r="F166" s="22" t="str">
        <f>IFERROR(VLOOKUP(D166,Clientes_PDV!$A$2:$J$250,3,FALSE),"")</f>
        <v/>
      </c>
      <c r="G166" s="22" t="str">
        <f>IFERROR(VLOOKUP(D166,Clientes_PDV!$A$2:$J$250,4,FALSE),"")</f>
        <v/>
      </c>
      <c r="H166" s="18"/>
      <c r="I166" s="22" t="str">
        <f>IFERROR(VLOOKUP(H166,Maestro_SKU!$A$2:$P$500,2,FALSE),"")</f>
        <v/>
      </c>
      <c r="J166" s="27"/>
      <c r="K166" s="19"/>
      <c r="L166" s="23" t="str">
        <f t="shared" si="16"/>
        <v/>
      </c>
      <c r="M166" s="23" t="str">
        <f>IF(L166="","",L166*Inicio!$B$13)</f>
        <v/>
      </c>
      <c r="N166" s="23" t="str">
        <f t="shared" si="17"/>
        <v/>
      </c>
      <c r="O166" s="26"/>
      <c r="P166" s="18"/>
      <c r="Q166" s="19"/>
      <c r="R166" s="23" t="str">
        <f t="shared" si="18"/>
        <v/>
      </c>
      <c r="S166" s="22" t="str">
        <f ca="1">IF(A166="","",IF(OR(P166="Pagada",R166=0),"Pagada",IF(O166&lt;TODAY(),"Vencida",IF(O166&lt;=TODAY()+Inicio!$B$19,"Próxima a vencer","Vigente"))))</f>
        <v/>
      </c>
      <c r="T166" s="18"/>
      <c r="U166" s="37" t="str">
        <f t="shared" si="19"/>
        <v/>
      </c>
      <c r="V166" s="37" t="str">
        <f t="shared" si="20"/>
        <v/>
      </c>
      <c r="W166" s="37" t="str">
        <f t="shared" si="21"/>
        <v/>
      </c>
      <c r="X166" s="37" t="str">
        <f t="shared" si="22"/>
        <v/>
      </c>
      <c r="Y166" s="37" t="str">
        <f>IF(OR($H166="",$J166=""),"",$J166*IFERROR(VLOOKUP($H166,Maestro_SKU!$A$2:$P$500,12,FALSE),1))</f>
        <v/>
      </c>
      <c r="Z166" s="37" t="str">
        <f t="shared" ca="1" si="23"/>
        <v/>
      </c>
    </row>
    <row r="167" spans="1:26" x14ac:dyDescent="0.35">
      <c r="A167" s="18"/>
      <c r="B167" s="26"/>
      <c r="C167" s="18"/>
      <c r="D167" s="18"/>
      <c r="E167" s="22" t="str">
        <f>IFERROR(VLOOKUP(D167,Clientes_PDV!$A$2:$J$250,2,FALSE),"")</f>
        <v/>
      </c>
      <c r="F167" s="22" t="str">
        <f>IFERROR(VLOOKUP(D167,Clientes_PDV!$A$2:$J$250,3,FALSE),"")</f>
        <v/>
      </c>
      <c r="G167" s="22" t="str">
        <f>IFERROR(VLOOKUP(D167,Clientes_PDV!$A$2:$J$250,4,FALSE),"")</f>
        <v/>
      </c>
      <c r="H167" s="18"/>
      <c r="I167" s="22" t="str">
        <f>IFERROR(VLOOKUP(H167,Maestro_SKU!$A$2:$P$500,2,FALSE),"")</f>
        <v/>
      </c>
      <c r="J167" s="27"/>
      <c r="K167" s="19"/>
      <c r="L167" s="23" t="str">
        <f t="shared" si="16"/>
        <v/>
      </c>
      <c r="M167" s="23" t="str">
        <f>IF(L167="","",L167*Inicio!$B$13)</f>
        <v/>
      </c>
      <c r="N167" s="23" t="str">
        <f t="shared" si="17"/>
        <v/>
      </c>
      <c r="O167" s="26"/>
      <c r="P167" s="18"/>
      <c r="Q167" s="19"/>
      <c r="R167" s="23" t="str">
        <f t="shared" si="18"/>
        <v/>
      </c>
      <c r="S167" s="22" t="str">
        <f ca="1">IF(A167="","",IF(OR(P167="Pagada",R167=0),"Pagada",IF(O167&lt;TODAY(),"Vencida",IF(O167&lt;=TODAY()+Inicio!$B$19,"Próxima a vencer","Vigente"))))</f>
        <v/>
      </c>
      <c r="T167" s="18"/>
      <c r="U167" s="37" t="str">
        <f t="shared" si="19"/>
        <v/>
      </c>
      <c r="V167" s="37" t="str">
        <f t="shared" si="20"/>
        <v/>
      </c>
      <c r="W167" s="37" t="str">
        <f t="shared" si="21"/>
        <v/>
      </c>
      <c r="X167" s="37" t="str">
        <f t="shared" si="22"/>
        <v/>
      </c>
      <c r="Y167" s="37" t="str">
        <f>IF(OR($H167="",$J167=""),"",$J167*IFERROR(VLOOKUP($H167,Maestro_SKU!$A$2:$P$500,12,FALSE),1))</f>
        <v/>
      </c>
      <c r="Z167" s="37" t="str">
        <f t="shared" ca="1" si="23"/>
        <v/>
      </c>
    </row>
    <row r="168" spans="1:26" x14ac:dyDescent="0.35">
      <c r="A168" s="18"/>
      <c r="B168" s="26"/>
      <c r="C168" s="18"/>
      <c r="D168" s="18"/>
      <c r="E168" s="22" t="str">
        <f>IFERROR(VLOOKUP(D168,Clientes_PDV!$A$2:$J$250,2,FALSE),"")</f>
        <v/>
      </c>
      <c r="F168" s="22" t="str">
        <f>IFERROR(VLOOKUP(D168,Clientes_PDV!$A$2:$J$250,3,FALSE),"")</f>
        <v/>
      </c>
      <c r="G168" s="22" t="str">
        <f>IFERROR(VLOOKUP(D168,Clientes_PDV!$A$2:$J$250,4,FALSE),"")</f>
        <v/>
      </c>
      <c r="H168" s="18"/>
      <c r="I168" s="22" t="str">
        <f>IFERROR(VLOOKUP(H168,Maestro_SKU!$A$2:$P$500,2,FALSE),"")</f>
        <v/>
      </c>
      <c r="J168" s="27"/>
      <c r="K168" s="19"/>
      <c r="L168" s="23" t="str">
        <f t="shared" si="16"/>
        <v/>
      </c>
      <c r="M168" s="23" t="str">
        <f>IF(L168="","",L168*Inicio!$B$13)</f>
        <v/>
      </c>
      <c r="N168" s="23" t="str">
        <f t="shared" si="17"/>
        <v/>
      </c>
      <c r="O168" s="26"/>
      <c r="P168" s="18"/>
      <c r="Q168" s="19"/>
      <c r="R168" s="23" t="str">
        <f t="shared" si="18"/>
        <v/>
      </c>
      <c r="S168" s="22" t="str">
        <f ca="1">IF(A168="","",IF(OR(P168="Pagada",R168=0),"Pagada",IF(O168&lt;TODAY(),"Vencida",IF(O168&lt;=TODAY()+Inicio!$B$19,"Próxima a vencer","Vigente"))))</f>
        <v/>
      </c>
      <c r="T168" s="18"/>
      <c r="U168" s="37" t="str">
        <f t="shared" si="19"/>
        <v/>
      </c>
      <c r="V168" s="37" t="str">
        <f t="shared" si="20"/>
        <v/>
      </c>
      <c r="W168" s="37" t="str">
        <f t="shared" si="21"/>
        <v/>
      </c>
      <c r="X168" s="37" t="str">
        <f t="shared" si="22"/>
        <v/>
      </c>
      <c r="Y168" s="37" t="str">
        <f>IF(OR($H168="",$J168=""),"",$J168*IFERROR(VLOOKUP($H168,Maestro_SKU!$A$2:$P$500,12,FALSE),1))</f>
        <v/>
      </c>
      <c r="Z168" s="37" t="str">
        <f t="shared" ca="1" si="23"/>
        <v/>
      </c>
    </row>
    <row r="169" spans="1:26" x14ac:dyDescent="0.35">
      <c r="A169" s="18"/>
      <c r="B169" s="26"/>
      <c r="C169" s="18"/>
      <c r="D169" s="18"/>
      <c r="E169" s="22" t="str">
        <f>IFERROR(VLOOKUP(D169,Clientes_PDV!$A$2:$J$250,2,FALSE),"")</f>
        <v/>
      </c>
      <c r="F169" s="22" t="str">
        <f>IFERROR(VLOOKUP(D169,Clientes_PDV!$A$2:$J$250,3,FALSE),"")</f>
        <v/>
      </c>
      <c r="G169" s="22" t="str">
        <f>IFERROR(VLOOKUP(D169,Clientes_PDV!$A$2:$J$250,4,FALSE),"")</f>
        <v/>
      </c>
      <c r="H169" s="18"/>
      <c r="I169" s="22" t="str">
        <f>IFERROR(VLOOKUP(H169,Maestro_SKU!$A$2:$P$500,2,FALSE),"")</f>
        <v/>
      </c>
      <c r="J169" s="27"/>
      <c r="K169" s="19"/>
      <c r="L169" s="23" t="str">
        <f t="shared" si="16"/>
        <v/>
      </c>
      <c r="M169" s="23" t="str">
        <f>IF(L169="","",L169*Inicio!$B$13)</f>
        <v/>
      </c>
      <c r="N169" s="23" t="str">
        <f t="shared" si="17"/>
        <v/>
      </c>
      <c r="O169" s="26"/>
      <c r="P169" s="18"/>
      <c r="Q169" s="19"/>
      <c r="R169" s="23" t="str">
        <f t="shared" si="18"/>
        <v/>
      </c>
      <c r="S169" s="22" t="str">
        <f ca="1">IF(A169="","",IF(OR(P169="Pagada",R169=0),"Pagada",IF(O169&lt;TODAY(),"Vencida",IF(O169&lt;=TODAY()+Inicio!$B$19,"Próxima a vencer","Vigente"))))</f>
        <v/>
      </c>
      <c r="T169" s="18"/>
      <c r="U169" s="37" t="str">
        <f t="shared" si="19"/>
        <v/>
      </c>
      <c r="V169" s="37" t="str">
        <f t="shared" si="20"/>
        <v/>
      </c>
      <c r="W169" s="37" t="str">
        <f t="shared" si="21"/>
        <v/>
      </c>
      <c r="X169" s="37" t="str">
        <f t="shared" si="22"/>
        <v/>
      </c>
      <c r="Y169" s="37" t="str">
        <f>IF(OR($H169="",$J169=""),"",$J169*IFERROR(VLOOKUP($H169,Maestro_SKU!$A$2:$P$500,12,FALSE),1))</f>
        <v/>
      </c>
      <c r="Z169" s="37" t="str">
        <f t="shared" ca="1" si="23"/>
        <v/>
      </c>
    </row>
    <row r="170" spans="1:26" x14ac:dyDescent="0.35">
      <c r="A170" s="18"/>
      <c r="B170" s="26"/>
      <c r="C170" s="18"/>
      <c r="D170" s="18"/>
      <c r="E170" s="22" t="str">
        <f>IFERROR(VLOOKUP(D170,Clientes_PDV!$A$2:$J$250,2,FALSE),"")</f>
        <v/>
      </c>
      <c r="F170" s="22" t="str">
        <f>IFERROR(VLOOKUP(D170,Clientes_PDV!$A$2:$J$250,3,FALSE),"")</f>
        <v/>
      </c>
      <c r="G170" s="22" t="str">
        <f>IFERROR(VLOOKUP(D170,Clientes_PDV!$A$2:$J$250,4,FALSE),"")</f>
        <v/>
      </c>
      <c r="H170" s="18"/>
      <c r="I170" s="22" t="str">
        <f>IFERROR(VLOOKUP(H170,Maestro_SKU!$A$2:$P$500,2,FALSE),"")</f>
        <v/>
      </c>
      <c r="J170" s="27"/>
      <c r="K170" s="19"/>
      <c r="L170" s="23" t="str">
        <f t="shared" si="16"/>
        <v/>
      </c>
      <c r="M170" s="23" t="str">
        <f>IF(L170="","",L170*Inicio!$B$13)</f>
        <v/>
      </c>
      <c r="N170" s="23" t="str">
        <f t="shared" si="17"/>
        <v/>
      </c>
      <c r="O170" s="26"/>
      <c r="P170" s="18"/>
      <c r="Q170" s="19"/>
      <c r="R170" s="23" t="str">
        <f t="shared" si="18"/>
        <v/>
      </c>
      <c r="S170" s="22" t="str">
        <f ca="1">IF(A170="","",IF(OR(P170="Pagada",R170=0),"Pagada",IF(O170&lt;TODAY(),"Vencida",IF(O170&lt;=TODAY()+Inicio!$B$19,"Próxima a vencer","Vigente"))))</f>
        <v/>
      </c>
      <c r="T170" s="18"/>
      <c r="U170" s="37" t="str">
        <f t="shared" si="19"/>
        <v/>
      </c>
      <c r="V170" s="37" t="str">
        <f t="shared" si="20"/>
        <v/>
      </c>
      <c r="W170" s="37" t="str">
        <f t="shared" si="21"/>
        <v/>
      </c>
      <c r="X170" s="37" t="str">
        <f t="shared" si="22"/>
        <v/>
      </c>
      <c r="Y170" s="37" t="str">
        <f>IF(OR($H170="",$J170=""),"",$J170*IFERROR(VLOOKUP($H170,Maestro_SKU!$A$2:$P$500,12,FALSE),1))</f>
        <v/>
      </c>
      <c r="Z170" s="37" t="str">
        <f t="shared" ca="1" si="23"/>
        <v/>
      </c>
    </row>
    <row r="171" spans="1:26" x14ac:dyDescent="0.35">
      <c r="A171" s="18"/>
      <c r="B171" s="26"/>
      <c r="C171" s="18"/>
      <c r="D171" s="18"/>
      <c r="E171" s="22" t="str">
        <f>IFERROR(VLOOKUP(D171,Clientes_PDV!$A$2:$J$250,2,FALSE),"")</f>
        <v/>
      </c>
      <c r="F171" s="22" t="str">
        <f>IFERROR(VLOOKUP(D171,Clientes_PDV!$A$2:$J$250,3,FALSE),"")</f>
        <v/>
      </c>
      <c r="G171" s="22" t="str">
        <f>IFERROR(VLOOKUP(D171,Clientes_PDV!$A$2:$J$250,4,FALSE),"")</f>
        <v/>
      </c>
      <c r="H171" s="18"/>
      <c r="I171" s="22" t="str">
        <f>IFERROR(VLOOKUP(H171,Maestro_SKU!$A$2:$P$500,2,FALSE),"")</f>
        <v/>
      </c>
      <c r="J171" s="27"/>
      <c r="K171" s="19"/>
      <c r="L171" s="23" t="str">
        <f t="shared" si="16"/>
        <v/>
      </c>
      <c r="M171" s="23" t="str">
        <f>IF(L171="","",L171*Inicio!$B$13)</f>
        <v/>
      </c>
      <c r="N171" s="23" t="str">
        <f t="shared" si="17"/>
        <v/>
      </c>
      <c r="O171" s="26"/>
      <c r="P171" s="18"/>
      <c r="Q171" s="19"/>
      <c r="R171" s="23" t="str">
        <f t="shared" si="18"/>
        <v/>
      </c>
      <c r="S171" s="22" t="str">
        <f ca="1">IF(A171="","",IF(OR(P171="Pagada",R171=0),"Pagada",IF(O171&lt;TODAY(),"Vencida",IF(O171&lt;=TODAY()+Inicio!$B$19,"Próxima a vencer","Vigente"))))</f>
        <v/>
      </c>
      <c r="T171" s="18"/>
      <c r="U171" s="37" t="str">
        <f t="shared" si="19"/>
        <v/>
      </c>
      <c r="V171" s="37" t="str">
        <f t="shared" si="20"/>
        <v/>
      </c>
      <c r="W171" s="37" t="str">
        <f t="shared" si="21"/>
        <v/>
      </c>
      <c r="X171" s="37" t="str">
        <f t="shared" si="22"/>
        <v/>
      </c>
      <c r="Y171" s="37" t="str">
        <f>IF(OR($H171="",$J171=""),"",$J171*IFERROR(VLOOKUP($H171,Maestro_SKU!$A$2:$P$500,12,FALSE),1))</f>
        <v/>
      </c>
      <c r="Z171" s="37" t="str">
        <f t="shared" ca="1" si="23"/>
        <v/>
      </c>
    </row>
    <row r="172" spans="1:26" x14ac:dyDescent="0.35">
      <c r="A172" s="18"/>
      <c r="B172" s="26"/>
      <c r="C172" s="18"/>
      <c r="D172" s="18"/>
      <c r="E172" s="22" t="str">
        <f>IFERROR(VLOOKUP(D172,Clientes_PDV!$A$2:$J$250,2,FALSE),"")</f>
        <v/>
      </c>
      <c r="F172" s="22" t="str">
        <f>IFERROR(VLOOKUP(D172,Clientes_PDV!$A$2:$J$250,3,FALSE),"")</f>
        <v/>
      </c>
      <c r="G172" s="22" t="str">
        <f>IFERROR(VLOOKUP(D172,Clientes_PDV!$A$2:$J$250,4,FALSE),"")</f>
        <v/>
      </c>
      <c r="H172" s="18"/>
      <c r="I172" s="22" t="str">
        <f>IFERROR(VLOOKUP(H172,Maestro_SKU!$A$2:$P$500,2,FALSE),"")</f>
        <v/>
      </c>
      <c r="J172" s="27"/>
      <c r="K172" s="19"/>
      <c r="L172" s="23" t="str">
        <f t="shared" si="16"/>
        <v/>
      </c>
      <c r="M172" s="23" t="str">
        <f>IF(L172="","",L172*Inicio!$B$13)</f>
        <v/>
      </c>
      <c r="N172" s="23" t="str">
        <f t="shared" si="17"/>
        <v/>
      </c>
      <c r="O172" s="26"/>
      <c r="P172" s="18"/>
      <c r="Q172" s="19"/>
      <c r="R172" s="23" t="str">
        <f t="shared" si="18"/>
        <v/>
      </c>
      <c r="S172" s="22" t="str">
        <f ca="1">IF(A172="","",IF(OR(P172="Pagada",R172=0),"Pagada",IF(O172&lt;TODAY(),"Vencida",IF(O172&lt;=TODAY()+Inicio!$B$19,"Próxima a vencer","Vigente"))))</f>
        <v/>
      </c>
      <c r="T172" s="18"/>
      <c r="U172" s="37" t="str">
        <f t="shared" si="19"/>
        <v/>
      </c>
      <c r="V172" s="37" t="str">
        <f t="shared" si="20"/>
        <v/>
      </c>
      <c r="W172" s="37" t="str">
        <f t="shared" si="21"/>
        <v/>
      </c>
      <c r="X172" s="37" t="str">
        <f t="shared" si="22"/>
        <v/>
      </c>
      <c r="Y172" s="37" t="str">
        <f>IF(OR($H172="",$J172=""),"",$J172*IFERROR(VLOOKUP($H172,Maestro_SKU!$A$2:$P$500,12,FALSE),1))</f>
        <v/>
      </c>
      <c r="Z172" s="37" t="str">
        <f t="shared" ca="1" si="23"/>
        <v/>
      </c>
    </row>
    <row r="173" spans="1:26" x14ac:dyDescent="0.35">
      <c r="A173" s="18"/>
      <c r="B173" s="26"/>
      <c r="C173" s="18"/>
      <c r="D173" s="18"/>
      <c r="E173" s="22" t="str">
        <f>IFERROR(VLOOKUP(D173,Clientes_PDV!$A$2:$J$250,2,FALSE),"")</f>
        <v/>
      </c>
      <c r="F173" s="22" t="str">
        <f>IFERROR(VLOOKUP(D173,Clientes_PDV!$A$2:$J$250,3,FALSE),"")</f>
        <v/>
      </c>
      <c r="G173" s="22" t="str">
        <f>IFERROR(VLOOKUP(D173,Clientes_PDV!$A$2:$J$250,4,FALSE),"")</f>
        <v/>
      </c>
      <c r="H173" s="18"/>
      <c r="I173" s="22" t="str">
        <f>IFERROR(VLOOKUP(H173,Maestro_SKU!$A$2:$P$500,2,FALSE),"")</f>
        <v/>
      </c>
      <c r="J173" s="27"/>
      <c r="K173" s="19"/>
      <c r="L173" s="23" t="str">
        <f t="shared" si="16"/>
        <v/>
      </c>
      <c r="M173" s="23" t="str">
        <f>IF(L173="","",L173*Inicio!$B$13)</f>
        <v/>
      </c>
      <c r="N173" s="23" t="str">
        <f t="shared" si="17"/>
        <v/>
      </c>
      <c r="O173" s="26"/>
      <c r="P173" s="18"/>
      <c r="Q173" s="19"/>
      <c r="R173" s="23" t="str">
        <f t="shared" si="18"/>
        <v/>
      </c>
      <c r="S173" s="22" t="str">
        <f ca="1">IF(A173="","",IF(OR(P173="Pagada",R173=0),"Pagada",IF(O173&lt;TODAY(),"Vencida",IF(O173&lt;=TODAY()+Inicio!$B$19,"Próxima a vencer","Vigente"))))</f>
        <v/>
      </c>
      <c r="T173" s="18"/>
      <c r="U173" s="37" t="str">
        <f t="shared" si="19"/>
        <v/>
      </c>
      <c r="V173" s="37" t="str">
        <f t="shared" si="20"/>
        <v/>
      </c>
      <c r="W173" s="37" t="str">
        <f t="shared" si="21"/>
        <v/>
      </c>
      <c r="X173" s="37" t="str">
        <f t="shared" si="22"/>
        <v/>
      </c>
      <c r="Y173" s="37" t="str">
        <f>IF(OR($H173="",$J173=""),"",$J173*IFERROR(VLOOKUP($H173,Maestro_SKU!$A$2:$P$500,12,FALSE),1))</f>
        <v/>
      </c>
      <c r="Z173" s="37" t="str">
        <f t="shared" ca="1" si="23"/>
        <v/>
      </c>
    </row>
    <row r="174" spans="1:26" x14ac:dyDescent="0.35">
      <c r="A174" s="18"/>
      <c r="B174" s="26"/>
      <c r="C174" s="18"/>
      <c r="D174" s="18"/>
      <c r="E174" s="22" t="str">
        <f>IFERROR(VLOOKUP(D174,Clientes_PDV!$A$2:$J$250,2,FALSE),"")</f>
        <v/>
      </c>
      <c r="F174" s="22" t="str">
        <f>IFERROR(VLOOKUP(D174,Clientes_PDV!$A$2:$J$250,3,FALSE),"")</f>
        <v/>
      </c>
      <c r="G174" s="22" t="str">
        <f>IFERROR(VLOOKUP(D174,Clientes_PDV!$A$2:$J$250,4,FALSE),"")</f>
        <v/>
      </c>
      <c r="H174" s="18"/>
      <c r="I174" s="22" t="str">
        <f>IFERROR(VLOOKUP(H174,Maestro_SKU!$A$2:$P$500,2,FALSE),"")</f>
        <v/>
      </c>
      <c r="J174" s="27"/>
      <c r="K174" s="19"/>
      <c r="L174" s="23" t="str">
        <f t="shared" si="16"/>
        <v/>
      </c>
      <c r="M174" s="23" t="str">
        <f>IF(L174="","",L174*Inicio!$B$13)</f>
        <v/>
      </c>
      <c r="N174" s="23" t="str">
        <f t="shared" si="17"/>
        <v/>
      </c>
      <c r="O174" s="26"/>
      <c r="P174" s="18"/>
      <c r="Q174" s="19"/>
      <c r="R174" s="23" t="str">
        <f t="shared" si="18"/>
        <v/>
      </c>
      <c r="S174" s="22" t="str">
        <f ca="1">IF(A174="","",IF(OR(P174="Pagada",R174=0),"Pagada",IF(O174&lt;TODAY(),"Vencida",IF(O174&lt;=TODAY()+Inicio!$B$19,"Próxima a vencer","Vigente"))))</f>
        <v/>
      </c>
      <c r="T174" s="18"/>
      <c r="U174" s="37" t="str">
        <f t="shared" si="19"/>
        <v/>
      </c>
      <c r="V174" s="37" t="str">
        <f t="shared" si="20"/>
        <v/>
      </c>
      <c r="W174" s="37" t="str">
        <f t="shared" si="21"/>
        <v/>
      </c>
      <c r="X174" s="37" t="str">
        <f t="shared" si="22"/>
        <v/>
      </c>
      <c r="Y174" s="37" t="str">
        <f>IF(OR($H174="",$J174=""),"",$J174*IFERROR(VLOOKUP($H174,Maestro_SKU!$A$2:$P$500,12,FALSE),1))</f>
        <v/>
      </c>
      <c r="Z174" s="37" t="str">
        <f t="shared" ca="1" si="23"/>
        <v/>
      </c>
    </row>
    <row r="175" spans="1:26" x14ac:dyDescent="0.35">
      <c r="A175" s="18"/>
      <c r="B175" s="26"/>
      <c r="C175" s="18"/>
      <c r="D175" s="18"/>
      <c r="E175" s="22" t="str">
        <f>IFERROR(VLOOKUP(D175,Clientes_PDV!$A$2:$J$250,2,FALSE),"")</f>
        <v/>
      </c>
      <c r="F175" s="22" t="str">
        <f>IFERROR(VLOOKUP(D175,Clientes_PDV!$A$2:$J$250,3,FALSE),"")</f>
        <v/>
      </c>
      <c r="G175" s="22" t="str">
        <f>IFERROR(VLOOKUP(D175,Clientes_PDV!$A$2:$J$250,4,FALSE),"")</f>
        <v/>
      </c>
      <c r="H175" s="18"/>
      <c r="I175" s="22" t="str">
        <f>IFERROR(VLOOKUP(H175,Maestro_SKU!$A$2:$P$500,2,FALSE),"")</f>
        <v/>
      </c>
      <c r="J175" s="27"/>
      <c r="K175" s="19"/>
      <c r="L175" s="23" t="str">
        <f t="shared" si="16"/>
        <v/>
      </c>
      <c r="M175" s="23" t="str">
        <f>IF(L175="","",L175*Inicio!$B$13)</f>
        <v/>
      </c>
      <c r="N175" s="23" t="str">
        <f t="shared" si="17"/>
        <v/>
      </c>
      <c r="O175" s="26"/>
      <c r="P175" s="18"/>
      <c r="Q175" s="19"/>
      <c r="R175" s="23" t="str">
        <f t="shared" si="18"/>
        <v/>
      </c>
      <c r="S175" s="22" t="str">
        <f ca="1">IF(A175="","",IF(OR(P175="Pagada",R175=0),"Pagada",IF(O175&lt;TODAY(),"Vencida",IF(O175&lt;=TODAY()+Inicio!$B$19,"Próxima a vencer","Vigente"))))</f>
        <v/>
      </c>
      <c r="T175" s="18"/>
      <c r="U175" s="37" t="str">
        <f t="shared" si="19"/>
        <v/>
      </c>
      <c r="V175" s="37" t="str">
        <f t="shared" si="20"/>
        <v/>
      </c>
      <c r="W175" s="37" t="str">
        <f t="shared" si="21"/>
        <v/>
      </c>
      <c r="X175" s="37" t="str">
        <f t="shared" si="22"/>
        <v/>
      </c>
      <c r="Y175" s="37" t="str">
        <f>IF(OR($H175="",$J175=""),"",$J175*IFERROR(VLOOKUP($H175,Maestro_SKU!$A$2:$P$500,12,FALSE),1))</f>
        <v/>
      </c>
      <c r="Z175" s="37" t="str">
        <f t="shared" ca="1" si="23"/>
        <v/>
      </c>
    </row>
    <row r="176" spans="1:26" x14ac:dyDescent="0.35">
      <c r="A176" s="18"/>
      <c r="B176" s="26"/>
      <c r="C176" s="18"/>
      <c r="D176" s="18"/>
      <c r="E176" s="22" t="str">
        <f>IFERROR(VLOOKUP(D176,Clientes_PDV!$A$2:$J$250,2,FALSE),"")</f>
        <v/>
      </c>
      <c r="F176" s="22" t="str">
        <f>IFERROR(VLOOKUP(D176,Clientes_PDV!$A$2:$J$250,3,FALSE),"")</f>
        <v/>
      </c>
      <c r="G176" s="22" t="str">
        <f>IFERROR(VLOOKUP(D176,Clientes_PDV!$A$2:$J$250,4,FALSE),"")</f>
        <v/>
      </c>
      <c r="H176" s="18"/>
      <c r="I176" s="22" t="str">
        <f>IFERROR(VLOOKUP(H176,Maestro_SKU!$A$2:$P$500,2,FALSE),"")</f>
        <v/>
      </c>
      <c r="J176" s="27"/>
      <c r="K176" s="19"/>
      <c r="L176" s="23" t="str">
        <f t="shared" si="16"/>
        <v/>
      </c>
      <c r="M176" s="23" t="str">
        <f>IF(L176="","",L176*Inicio!$B$13)</f>
        <v/>
      </c>
      <c r="N176" s="23" t="str">
        <f t="shared" si="17"/>
        <v/>
      </c>
      <c r="O176" s="26"/>
      <c r="P176" s="18"/>
      <c r="Q176" s="19"/>
      <c r="R176" s="23" t="str">
        <f t="shared" si="18"/>
        <v/>
      </c>
      <c r="S176" s="22" t="str">
        <f ca="1">IF(A176="","",IF(OR(P176="Pagada",R176=0),"Pagada",IF(O176&lt;TODAY(),"Vencida",IF(O176&lt;=TODAY()+Inicio!$B$19,"Próxima a vencer","Vigente"))))</f>
        <v/>
      </c>
      <c r="T176" s="18"/>
      <c r="U176" s="37" t="str">
        <f t="shared" si="19"/>
        <v/>
      </c>
      <c r="V176" s="37" t="str">
        <f t="shared" si="20"/>
        <v/>
      </c>
      <c r="W176" s="37" t="str">
        <f t="shared" si="21"/>
        <v/>
      </c>
      <c r="X176" s="37" t="str">
        <f t="shared" si="22"/>
        <v/>
      </c>
      <c r="Y176" s="37" t="str">
        <f>IF(OR($H176="",$J176=""),"",$J176*IFERROR(VLOOKUP($H176,Maestro_SKU!$A$2:$P$500,12,FALSE),1))</f>
        <v/>
      </c>
      <c r="Z176" s="37" t="str">
        <f t="shared" ca="1" si="23"/>
        <v/>
      </c>
    </row>
    <row r="177" spans="1:26" x14ac:dyDescent="0.35">
      <c r="A177" s="18"/>
      <c r="B177" s="26"/>
      <c r="C177" s="18"/>
      <c r="D177" s="18"/>
      <c r="E177" s="22" t="str">
        <f>IFERROR(VLOOKUP(D177,Clientes_PDV!$A$2:$J$250,2,FALSE),"")</f>
        <v/>
      </c>
      <c r="F177" s="22" t="str">
        <f>IFERROR(VLOOKUP(D177,Clientes_PDV!$A$2:$J$250,3,FALSE),"")</f>
        <v/>
      </c>
      <c r="G177" s="22" t="str">
        <f>IFERROR(VLOOKUP(D177,Clientes_PDV!$A$2:$J$250,4,FALSE),"")</f>
        <v/>
      </c>
      <c r="H177" s="18"/>
      <c r="I177" s="22" t="str">
        <f>IFERROR(VLOOKUP(H177,Maestro_SKU!$A$2:$P$500,2,FALSE),"")</f>
        <v/>
      </c>
      <c r="J177" s="27"/>
      <c r="K177" s="19"/>
      <c r="L177" s="23" t="str">
        <f t="shared" si="16"/>
        <v/>
      </c>
      <c r="M177" s="23" t="str">
        <f>IF(L177="","",L177*Inicio!$B$13)</f>
        <v/>
      </c>
      <c r="N177" s="23" t="str">
        <f t="shared" si="17"/>
        <v/>
      </c>
      <c r="O177" s="26"/>
      <c r="P177" s="18"/>
      <c r="Q177" s="19"/>
      <c r="R177" s="23" t="str">
        <f t="shared" si="18"/>
        <v/>
      </c>
      <c r="S177" s="22" t="str">
        <f ca="1">IF(A177="","",IF(OR(P177="Pagada",R177=0),"Pagada",IF(O177&lt;TODAY(),"Vencida",IF(O177&lt;=TODAY()+Inicio!$B$19,"Próxima a vencer","Vigente"))))</f>
        <v/>
      </c>
      <c r="T177" s="18"/>
      <c r="U177" s="37" t="str">
        <f t="shared" si="19"/>
        <v/>
      </c>
      <c r="V177" s="37" t="str">
        <f t="shared" si="20"/>
        <v/>
      </c>
      <c r="W177" s="37" t="str">
        <f t="shared" si="21"/>
        <v/>
      </c>
      <c r="X177" s="37" t="str">
        <f t="shared" si="22"/>
        <v/>
      </c>
      <c r="Y177" s="37" t="str">
        <f>IF(OR($H177="",$J177=""),"",$J177*IFERROR(VLOOKUP($H177,Maestro_SKU!$A$2:$P$500,12,FALSE),1))</f>
        <v/>
      </c>
      <c r="Z177" s="37" t="str">
        <f t="shared" ca="1" si="23"/>
        <v/>
      </c>
    </row>
    <row r="178" spans="1:26" x14ac:dyDescent="0.35">
      <c r="A178" s="18"/>
      <c r="B178" s="26"/>
      <c r="C178" s="18"/>
      <c r="D178" s="18"/>
      <c r="E178" s="22" t="str">
        <f>IFERROR(VLOOKUP(D178,Clientes_PDV!$A$2:$J$250,2,FALSE),"")</f>
        <v/>
      </c>
      <c r="F178" s="22" t="str">
        <f>IFERROR(VLOOKUP(D178,Clientes_PDV!$A$2:$J$250,3,FALSE),"")</f>
        <v/>
      </c>
      <c r="G178" s="22" t="str">
        <f>IFERROR(VLOOKUP(D178,Clientes_PDV!$A$2:$J$250,4,FALSE),"")</f>
        <v/>
      </c>
      <c r="H178" s="18"/>
      <c r="I178" s="22" t="str">
        <f>IFERROR(VLOOKUP(H178,Maestro_SKU!$A$2:$P$500,2,FALSE),"")</f>
        <v/>
      </c>
      <c r="J178" s="27"/>
      <c r="K178" s="19"/>
      <c r="L178" s="23" t="str">
        <f t="shared" si="16"/>
        <v/>
      </c>
      <c r="M178" s="23" t="str">
        <f>IF(L178="","",L178*Inicio!$B$13)</f>
        <v/>
      </c>
      <c r="N178" s="23" t="str">
        <f t="shared" si="17"/>
        <v/>
      </c>
      <c r="O178" s="26"/>
      <c r="P178" s="18"/>
      <c r="Q178" s="19"/>
      <c r="R178" s="23" t="str">
        <f t="shared" si="18"/>
        <v/>
      </c>
      <c r="S178" s="22" t="str">
        <f ca="1">IF(A178="","",IF(OR(P178="Pagada",R178=0),"Pagada",IF(O178&lt;TODAY(),"Vencida",IF(O178&lt;=TODAY()+Inicio!$B$19,"Próxima a vencer","Vigente"))))</f>
        <v/>
      </c>
      <c r="T178" s="18"/>
      <c r="U178" s="37" t="str">
        <f t="shared" si="19"/>
        <v/>
      </c>
      <c r="V178" s="37" t="str">
        <f t="shared" si="20"/>
        <v/>
      </c>
      <c r="W178" s="37" t="str">
        <f t="shared" si="21"/>
        <v/>
      </c>
      <c r="X178" s="37" t="str">
        <f t="shared" si="22"/>
        <v/>
      </c>
      <c r="Y178" s="37" t="str">
        <f>IF(OR($H178="",$J178=""),"",$J178*IFERROR(VLOOKUP($H178,Maestro_SKU!$A$2:$P$500,12,FALSE),1))</f>
        <v/>
      </c>
      <c r="Z178" s="37" t="str">
        <f t="shared" ca="1" si="23"/>
        <v/>
      </c>
    </row>
    <row r="179" spans="1:26" x14ac:dyDescent="0.35">
      <c r="A179" s="18"/>
      <c r="B179" s="26"/>
      <c r="C179" s="18"/>
      <c r="D179" s="18"/>
      <c r="E179" s="22" t="str">
        <f>IFERROR(VLOOKUP(D179,Clientes_PDV!$A$2:$J$250,2,FALSE),"")</f>
        <v/>
      </c>
      <c r="F179" s="22" t="str">
        <f>IFERROR(VLOOKUP(D179,Clientes_PDV!$A$2:$J$250,3,FALSE),"")</f>
        <v/>
      </c>
      <c r="G179" s="22" t="str">
        <f>IFERROR(VLOOKUP(D179,Clientes_PDV!$A$2:$J$250,4,FALSE),"")</f>
        <v/>
      </c>
      <c r="H179" s="18"/>
      <c r="I179" s="22" t="str">
        <f>IFERROR(VLOOKUP(H179,Maestro_SKU!$A$2:$P$500,2,FALSE),"")</f>
        <v/>
      </c>
      <c r="J179" s="27"/>
      <c r="K179" s="19"/>
      <c r="L179" s="23" t="str">
        <f t="shared" si="16"/>
        <v/>
      </c>
      <c r="M179" s="23" t="str">
        <f>IF(L179="","",L179*Inicio!$B$13)</f>
        <v/>
      </c>
      <c r="N179" s="23" t="str">
        <f t="shared" si="17"/>
        <v/>
      </c>
      <c r="O179" s="26"/>
      <c r="P179" s="18"/>
      <c r="Q179" s="19"/>
      <c r="R179" s="23" t="str">
        <f t="shared" si="18"/>
        <v/>
      </c>
      <c r="S179" s="22" t="str">
        <f ca="1">IF(A179="","",IF(OR(P179="Pagada",R179=0),"Pagada",IF(O179&lt;TODAY(),"Vencida",IF(O179&lt;=TODAY()+Inicio!$B$19,"Próxima a vencer","Vigente"))))</f>
        <v/>
      </c>
      <c r="T179" s="18"/>
      <c r="U179" s="37" t="str">
        <f t="shared" si="19"/>
        <v/>
      </c>
      <c r="V179" s="37" t="str">
        <f t="shared" si="20"/>
        <v/>
      </c>
      <c r="W179" s="37" t="str">
        <f t="shared" si="21"/>
        <v/>
      </c>
      <c r="X179" s="37" t="str">
        <f t="shared" si="22"/>
        <v/>
      </c>
      <c r="Y179" s="37" t="str">
        <f>IF(OR($H179="",$J179=""),"",$J179*IFERROR(VLOOKUP($H179,Maestro_SKU!$A$2:$P$500,12,FALSE),1))</f>
        <v/>
      </c>
      <c r="Z179" s="37" t="str">
        <f t="shared" ca="1" si="23"/>
        <v/>
      </c>
    </row>
    <row r="180" spans="1:26" x14ac:dyDescent="0.35">
      <c r="A180" s="18"/>
      <c r="B180" s="26"/>
      <c r="C180" s="18"/>
      <c r="D180" s="18"/>
      <c r="E180" s="22" t="str">
        <f>IFERROR(VLOOKUP(D180,Clientes_PDV!$A$2:$J$250,2,FALSE),"")</f>
        <v/>
      </c>
      <c r="F180" s="22" t="str">
        <f>IFERROR(VLOOKUP(D180,Clientes_PDV!$A$2:$J$250,3,FALSE),"")</f>
        <v/>
      </c>
      <c r="G180" s="22" t="str">
        <f>IFERROR(VLOOKUP(D180,Clientes_PDV!$A$2:$J$250,4,FALSE),"")</f>
        <v/>
      </c>
      <c r="H180" s="18"/>
      <c r="I180" s="22" t="str">
        <f>IFERROR(VLOOKUP(H180,Maestro_SKU!$A$2:$P$500,2,FALSE),"")</f>
        <v/>
      </c>
      <c r="J180" s="27"/>
      <c r="K180" s="19"/>
      <c r="L180" s="23" t="str">
        <f t="shared" si="16"/>
        <v/>
      </c>
      <c r="M180" s="23" t="str">
        <f>IF(L180="","",L180*Inicio!$B$13)</f>
        <v/>
      </c>
      <c r="N180" s="23" t="str">
        <f t="shared" si="17"/>
        <v/>
      </c>
      <c r="O180" s="26"/>
      <c r="P180" s="18"/>
      <c r="Q180" s="19"/>
      <c r="R180" s="23" t="str">
        <f t="shared" si="18"/>
        <v/>
      </c>
      <c r="S180" s="22" t="str">
        <f ca="1">IF(A180="","",IF(OR(P180="Pagada",R180=0),"Pagada",IF(O180&lt;TODAY(),"Vencida",IF(O180&lt;=TODAY()+Inicio!$B$19,"Próxima a vencer","Vigente"))))</f>
        <v/>
      </c>
      <c r="T180" s="18"/>
      <c r="U180" s="37" t="str">
        <f t="shared" si="19"/>
        <v/>
      </c>
      <c r="V180" s="37" t="str">
        <f t="shared" si="20"/>
        <v/>
      </c>
      <c r="W180" s="37" t="str">
        <f t="shared" si="21"/>
        <v/>
      </c>
      <c r="X180" s="37" t="str">
        <f t="shared" si="22"/>
        <v/>
      </c>
      <c r="Y180" s="37" t="str">
        <f>IF(OR($H180="",$J180=""),"",$J180*IFERROR(VLOOKUP($H180,Maestro_SKU!$A$2:$P$500,12,FALSE),1))</f>
        <v/>
      </c>
      <c r="Z180" s="37" t="str">
        <f t="shared" ca="1" si="23"/>
        <v/>
      </c>
    </row>
    <row r="181" spans="1:26" x14ac:dyDescent="0.35">
      <c r="A181" s="18"/>
      <c r="B181" s="26"/>
      <c r="C181" s="18"/>
      <c r="D181" s="18"/>
      <c r="E181" s="22" t="str">
        <f>IFERROR(VLOOKUP(D181,Clientes_PDV!$A$2:$J$250,2,FALSE),"")</f>
        <v/>
      </c>
      <c r="F181" s="22" t="str">
        <f>IFERROR(VLOOKUP(D181,Clientes_PDV!$A$2:$J$250,3,FALSE),"")</f>
        <v/>
      </c>
      <c r="G181" s="22" t="str">
        <f>IFERROR(VLOOKUP(D181,Clientes_PDV!$A$2:$J$250,4,FALSE),"")</f>
        <v/>
      </c>
      <c r="H181" s="18"/>
      <c r="I181" s="22" t="str">
        <f>IFERROR(VLOOKUP(H181,Maestro_SKU!$A$2:$P$500,2,FALSE),"")</f>
        <v/>
      </c>
      <c r="J181" s="27"/>
      <c r="K181" s="19"/>
      <c r="L181" s="23" t="str">
        <f t="shared" si="16"/>
        <v/>
      </c>
      <c r="M181" s="23" t="str">
        <f>IF(L181="","",L181*Inicio!$B$13)</f>
        <v/>
      </c>
      <c r="N181" s="23" t="str">
        <f t="shared" si="17"/>
        <v/>
      </c>
      <c r="O181" s="26"/>
      <c r="P181" s="18"/>
      <c r="Q181" s="19"/>
      <c r="R181" s="23" t="str">
        <f t="shared" si="18"/>
        <v/>
      </c>
      <c r="S181" s="22" t="str">
        <f ca="1">IF(A181="","",IF(OR(P181="Pagada",R181=0),"Pagada",IF(O181&lt;TODAY(),"Vencida",IF(O181&lt;=TODAY()+Inicio!$B$19,"Próxima a vencer","Vigente"))))</f>
        <v/>
      </c>
      <c r="T181" s="18"/>
      <c r="U181" s="37" t="str">
        <f t="shared" si="19"/>
        <v/>
      </c>
      <c r="V181" s="37" t="str">
        <f t="shared" si="20"/>
        <v/>
      </c>
      <c r="W181" s="37" t="str">
        <f t="shared" si="21"/>
        <v/>
      </c>
      <c r="X181" s="37" t="str">
        <f t="shared" si="22"/>
        <v/>
      </c>
      <c r="Y181" s="37" t="str">
        <f>IF(OR($H181="",$J181=""),"",$J181*IFERROR(VLOOKUP($H181,Maestro_SKU!$A$2:$P$500,12,FALSE),1))</f>
        <v/>
      </c>
      <c r="Z181" s="37" t="str">
        <f t="shared" ca="1" si="23"/>
        <v/>
      </c>
    </row>
    <row r="182" spans="1:26" x14ac:dyDescent="0.35">
      <c r="A182" s="18"/>
      <c r="B182" s="26"/>
      <c r="C182" s="18"/>
      <c r="D182" s="18"/>
      <c r="E182" s="22" t="str">
        <f>IFERROR(VLOOKUP(D182,Clientes_PDV!$A$2:$J$250,2,FALSE),"")</f>
        <v/>
      </c>
      <c r="F182" s="22" t="str">
        <f>IFERROR(VLOOKUP(D182,Clientes_PDV!$A$2:$J$250,3,FALSE),"")</f>
        <v/>
      </c>
      <c r="G182" s="22" t="str">
        <f>IFERROR(VLOOKUP(D182,Clientes_PDV!$A$2:$J$250,4,FALSE),"")</f>
        <v/>
      </c>
      <c r="H182" s="18"/>
      <c r="I182" s="22" t="str">
        <f>IFERROR(VLOOKUP(H182,Maestro_SKU!$A$2:$P$500,2,FALSE),"")</f>
        <v/>
      </c>
      <c r="J182" s="27"/>
      <c r="K182" s="19"/>
      <c r="L182" s="23" t="str">
        <f t="shared" si="16"/>
        <v/>
      </c>
      <c r="M182" s="23" t="str">
        <f>IF(L182="","",L182*Inicio!$B$13)</f>
        <v/>
      </c>
      <c r="N182" s="23" t="str">
        <f t="shared" si="17"/>
        <v/>
      </c>
      <c r="O182" s="26"/>
      <c r="P182" s="18"/>
      <c r="Q182" s="19"/>
      <c r="R182" s="23" t="str">
        <f t="shared" si="18"/>
        <v/>
      </c>
      <c r="S182" s="22" t="str">
        <f ca="1">IF(A182="","",IF(OR(P182="Pagada",R182=0),"Pagada",IF(O182&lt;TODAY(),"Vencida",IF(O182&lt;=TODAY()+Inicio!$B$19,"Próxima a vencer","Vigente"))))</f>
        <v/>
      </c>
      <c r="T182" s="18"/>
      <c r="U182" s="37" t="str">
        <f t="shared" si="19"/>
        <v/>
      </c>
      <c r="V182" s="37" t="str">
        <f t="shared" si="20"/>
        <v/>
      </c>
      <c r="W182" s="37" t="str">
        <f t="shared" si="21"/>
        <v/>
      </c>
      <c r="X182" s="37" t="str">
        <f t="shared" si="22"/>
        <v/>
      </c>
      <c r="Y182" s="37" t="str">
        <f>IF(OR($H182="",$J182=""),"",$J182*IFERROR(VLOOKUP($H182,Maestro_SKU!$A$2:$P$500,12,FALSE),1))</f>
        <v/>
      </c>
      <c r="Z182" s="37" t="str">
        <f t="shared" ca="1" si="23"/>
        <v/>
      </c>
    </row>
    <row r="183" spans="1:26" x14ac:dyDescent="0.35">
      <c r="A183" s="18"/>
      <c r="B183" s="26"/>
      <c r="C183" s="18"/>
      <c r="D183" s="18"/>
      <c r="E183" s="22" t="str">
        <f>IFERROR(VLOOKUP(D183,Clientes_PDV!$A$2:$J$250,2,FALSE),"")</f>
        <v/>
      </c>
      <c r="F183" s="22" t="str">
        <f>IFERROR(VLOOKUP(D183,Clientes_PDV!$A$2:$J$250,3,FALSE),"")</f>
        <v/>
      </c>
      <c r="G183" s="22" t="str">
        <f>IFERROR(VLOOKUP(D183,Clientes_PDV!$A$2:$J$250,4,FALSE),"")</f>
        <v/>
      </c>
      <c r="H183" s="18"/>
      <c r="I183" s="22" t="str">
        <f>IFERROR(VLOOKUP(H183,Maestro_SKU!$A$2:$P$500,2,FALSE),"")</f>
        <v/>
      </c>
      <c r="J183" s="27"/>
      <c r="K183" s="19"/>
      <c r="L183" s="23" t="str">
        <f t="shared" si="16"/>
        <v/>
      </c>
      <c r="M183" s="23" t="str">
        <f>IF(L183="","",L183*Inicio!$B$13)</f>
        <v/>
      </c>
      <c r="N183" s="23" t="str">
        <f t="shared" si="17"/>
        <v/>
      </c>
      <c r="O183" s="26"/>
      <c r="P183" s="18"/>
      <c r="Q183" s="19"/>
      <c r="R183" s="23" t="str">
        <f t="shared" si="18"/>
        <v/>
      </c>
      <c r="S183" s="22" t="str">
        <f ca="1">IF(A183="","",IF(OR(P183="Pagada",R183=0),"Pagada",IF(O183&lt;TODAY(),"Vencida",IF(O183&lt;=TODAY()+Inicio!$B$19,"Próxima a vencer","Vigente"))))</f>
        <v/>
      </c>
      <c r="T183" s="18"/>
      <c r="U183" s="37" t="str">
        <f t="shared" si="19"/>
        <v/>
      </c>
      <c r="V183" s="37" t="str">
        <f t="shared" si="20"/>
        <v/>
      </c>
      <c r="W183" s="37" t="str">
        <f t="shared" si="21"/>
        <v/>
      </c>
      <c r="X183" s="37" t="str">
        <f t="shared" si="22"/>
        <v/>
      </c>
      <c r="Y183" s="37" t="str">
        <f>IF(OR($H183="",$J183=""),"",$J183*IFERROR(VLOOKUP($H183,Maestro_SKU!$A$2:$P$500,12,FALSE),1))</f>
        <v/>
      </c>
      <c r="Z183" s="37" t="str">
        <f t="shared" ca="1" si="23"/>
        <v/>
      </c>
    </row>
    <row r="184" spans="1:26" x14ac:dyDescent="0.35">
      <c r="A184" s="18"/>
      <c r="B184" s="26"/>
      <c r="C184" s="18"/>
      <c r="D184" s="18"/>
      <c r="E184" s="22" t="str">
        <f>IFERROR(VLOOKUP(D184,Clientes_PDV!$A$2:$J$250,2,FALSE),"")</f>
        <v/>
      </c>
      <c r="F184" s="22" t="str">
        <f>IFERROR(VLOOKUP(D184,Clientes_PDV!$A$2:$J$250,3,FALSE),"")</f>
        <v/>
      </c>
      <c r="G184" s="22" t="str">
        <f>IFERROR(VLOOKUP(D184,Clientes_PDV!$A$2:$J$250,4,FALSE),"")</f>
        <v/>
      </c>
      <c r="H184" s="18"/>
      <c r="I184" s="22" t="str">
        <f>IFERROR(VLOOKUP(H184,Maestro_SKU!$A$2:$P$500,2,FALSE),"")</f>
        <v/>
      </c>
      <c r="J184" s="27"/>
      <c r="K184" s="19"/>
      <c r="L184" s="23" t="str">
        <f t="shared" si="16"/>
        <v/>
      </c>
      <c r="M184" s="23" t="str">
        <f>IF(L184="","",L184*Inicio!$B$13)</f>
        <v/>
      </c>
      <c r="N184" s="23" t="str">
        <f t="shared" si="17"/>
        <v/>
      </c>
      <c r="O184" s="26"/>
      <c r="P184" s="18"/>
      <c r="Q184" s="19"/>
      <c r="R184" s="23" t="str">
        <f t="shared" si="18"/>
        <v/>
      </c>
      <c r="S184" s="22" t="str">
        <f ca="1">IF(A184="","",IF(OR(P184="Pagada",R184=0),"Pagada",IF(O184&lt;TODAY(),"Vencida",IF(O184&lt;=TODAY()+Inicio!$B$19,"Próxima a vencer","Vigente"))))</f>
        <v/>
      </c>
      <c r="T184" s="18"/>
      <c r="U184" s="37" t="str">
        <f t="shared" si="19"/>
        <v/>
      </c>
      <c r="V184" s="37" t="str">
        <f t="shared" si="20"/>
        <v/>
      </c>
      <c r="W184" s="37" t="str">
        <f t="shared" si="21"/>
        <v/>
      </c>
      <c r="X184" s="37" t="str">
        <f t="shared" si="22"/>
        <v/>
      </c>
      <c r="Y184" s="37" t="str">
        <f>IF(OR($H184="",$J184=""),"",$J184*IFERROR(VLOOKUP($H184,Maestro_SKU!$A$2:$P$500,12,FALSE),1))</f>
        <v/>
      </c>
      <c r="Z184" s="37" t="str">
        <f t="shared" ca="1" si="23"/>
        <v/>
      </c>
    </row>
    <row r="185" spans="1:26" x14ac:dyDescent="0.35">
      <c r="A185" s="18"/>
      <c r="B185" s="26"/>
      <c r="C185" s="18"/>
      <c r="D185" s="18"/>
      <c r="E185" s="22" t="str">
        <f>IFERROR(VLOOKUP(D185,Clientes_PDV!$A$2:$J$250,2,FALSE),"")</f>
        <v/>
      </c>
      <c r="F185" s="22" t="str">
        <f>IFERROR(VLOOKUP(D185,Clientes_PDV!$A$2:$J$250,3,FALSE),"")</f>
        <v/>
      </c>
      <c r="G185" s="22" t="str">
        <f>IFERROR(VLOOKUP(D185,Clientes_PDV!$A$2:$J$250,4,FALSE),"")</f>
        <v/>
      </c>
      <c r="H185" s="18"/>
      <c r="I185" s="22" t="str">
        <f>IFERROR(VLOOKUP(H185,Maestro_SKU!$A$2:$P$500,2,FALSE),"")</f>
        <v/>
      </c>
      <c r="J185" s="27"/>
      <c r="K185" s="19"/>
      <c r="L185" s="23" t="str">
        <f t="shared" si="16"/>
        <v/>
      </c>
      <c r="M185" s="23" t="str">
        <f>IF(L185="","",L185*Inicio!$B$13)</f>
        <v/>
      </c>
      <c r="N185" s="23" t="str">
        <f t="shared" si="17"/>
        <v/>
      </c>
      <c r="O185" s="26"/>
      <c r="P185" s="18"/>
      <c r="Q185" s="19"/>
      <c r="R185" s="23" t="str">
        <f t="shared" si="18"/>
        <v/>
      </c>
      <c r="S185" s="22" t="str">
        <f ca="1">IF(A185="","",IF(OR(P185="Pagada",R185=0),"Pagada",IF(O185&lt;TODAY(),"Vencida",IF(O185&lt;=TODAY()+Inicio!$B$19,"Próxima a vencer","Vigente"))))</f>
        <v/>
      </c>
      <c r="T185" s="18"/>
      <c r="U185" s="37" t="str">
        <f t="shared" si="19"/>
        <v/>
      </c>
      <c r="V185" s="37" t="str">
        <f t="shared" si="20"/>
        <v/>
      </c>
      <c r="W185" s="37" t="str">
        <f t="shared" si="21"/>
        <v/>
      </c>
      <c r="X185" s="37" t="str">
        <f t="shared" si="22"/>
        <v/>
      </c>
      <c r="Y185" s="37" t="str">
        <f>IF(OR($H185="",$J185=""),"",$J185*IFERROR(VLOOKUP($H185,Maestro_SKU!$A$2:$P$500,12,FALSE),1))</f>
        <v/>
      </c>
      <c r="Z185" s="37" t="str">
        <f t="shared" ca="1" si="23"/>
        <v/>
      </c>
    </row>
    <row r="186" spans="1:26" x14ac:dyDescent="0.35">
      <c r="A186" s="18"/>
      <c r="B186" s="26"/>
      <c r="C186" s="18"/>
      <c r="D186" s="18"/>
      <c r="E186" s="22" t="str">
        <f>IFERROR(VLOOKUP(D186,Clientes_PDV!$A$2:$J$250,2,FALSE),"")</f>
        <v/>
      </c>
      <c r="F186" s="22" t="str">
        <f>IFERROR(VLOOKUP(D186,Clientes_PDV!$A$2:$J$250,3,FALSE),"")</f>
        <v/>
      </c>
      <c r="G186" s="22" t="str">
        <f>IFERROR(VLOOKUP(D186,Clientes_PDV!$A$2:$J$250,4,FALSE),"")</f>
        <v/>
      </c>
      <c r="H186" s="18"/>
      <c r="I186" s="22" t="str">
        <f>IFERROR(VLOOKUP(H186,Maestro_SKU!$A$2:$P$500,2,FALSE),"")</f>
        <v/>
      </c>
      <c r="J186" s="27"/>
      <c r="K186" s="19"/>
      <c r="L186" s="23" t="str">
        <f t="shared" si="16"/>
        <v/>
      </c>
      <c r="M186" s="23" t="str">
        <f>IF(L186="","",L186*Inicio!$B$13)</f>
        <v/>
      </c>
      <c r="N186" s="23" t="str">
        <f t="shared" si="17"/>
        <v/>
      </c>
      <c r="O186" s="26"/>
      <c r="P186" s="18"/>
      <c r="Q186" s="19"/>
      <c r="R186" s="23" t="str">
        <f t="shared" si="18"/>
        <v/>
      </c>
      <c r="S186" s="22" t="str">
        <f ca="1">IF(A186="","",IF(OR(P186="Pagada",R186=0),"Pagada",IF(O186&lt;TODAY(),"Vencida",IF(O186&lt;=TODAY()+Inicio!$B$19,"Próxima a vencer","Vigente"))))</f>
        <v/>
      </c>
      <c r="T186" s="18"/>
      <c r="U186" s="37" t="str">
        <f t="shared" si="19"/>
        <v/>
      </c>
      <c r="V186" s="37" t="str">
        <f t="shared" si="20"/>
        <v/>
      </c>
      <c r="W186" s="37" t="str">
        <f t="shared" si="21"/>
        <v/>
      </c>
      <c r="X186" s="37" t="str">
        <f t="shared" si="22"/>
        <v/>
      </c>
      <c r="Y186" s="37" t="str">
        <f>IF(OR($H186="",$J186=""),"",$J186*IFERROR(VLOOKUP($H186,Maestro_SKU!$A$2:$P$500,12,FALSE),1))</f>
        <v/>
      </c>
      <c r="Z186" s="37" t="str">
        <f t="shared" ca="1" si="23"/>
        <v/>
      </c>
    </row>
    <row r="187" spans="1:26" x14ac:dyDescent="0.35">
      <c r="A187" s="18"/>
      <c r="B187" s="26"/>
      <c r="C187" s="18"/>
      <c r="D187" s="18"/>
      <c r="E187" s="22" t="str">
        <f>IFERROR(VLOOKUP(D187,Clientes_PDV!$A$2:$J$250,2,FALSE),"")</f>
        <v/>
      </c>
      <c r="F187" s="22" t="str">
        <f>IFERROR(VLOOKUP(D187,Clientes_PDV!$A$2:$J$250,3,FALSE),"")</f>
        <v/>
      </c>
      <c r="G187" s="22" t="str">
        <f>IFERROR(VLOOKUP(D187,Clientes_PDV!$A$2:$J$250,4,FALSE),"")</f>
        <v/>
      </c>
      <c r="H187" s="18"/>
      <c r="I187" s="22" t="str">
        <f>IFERROR(VLOOKUP(H187,Maestro_SKU!$A$2:$P$500,2,FALSE),"")</f>
        <v/>
      </c>
      <c r="J187" s="27"/>
      <c r="K187" s="19"/>
      <c r="L187" s="23" t="str">
        <f t="shared" si="16"/>
        <v/>
      </c>
      <c r="M187" s="23" t="str">
        <f>IF(L187="","",L187*Inicio!$B$13)</f>
        <v/>
      </c>
      <c r="N187" s="23" t="str">
        <f t="shared" si="17"/>
        <v/>
      </c>
      <c r="O187" s="26"/>
      <c r="P187" s="18"/>
      <c r="Q187" s="19"/>
      <c r="R187" s="23" t="str">
        <f t="shared" si="18"/>
        <v/>
      </c>
      <c r="S187" s="22" t="str">
        <f ca="1">IF(A187="","",IF(OR(P187="Pagada",R187=0),"Pagada",IF(O187&lt;TODAY(),"Vencida",IF(O187&lt;=TODAY()+Inicio!$B$19,"Próxima a vencer","Vigente"))))</f>
        <v/>
      </c>
      <c r="T187" s="18"/>
      <c r="U187" s="37" t="str">
        <f t="shared" si="19"/>
        <v/>
      </c>
      <c r="V187" s="37" t="str">
        <f t="shared" si="20"/>
        <v/>
      </c>
      <c r="W187" s="37" t="str">
        <f t="shared" si="21"/>
        <v/>
      </c>
      <c r="X187" s="37" t="str">
        <f t="shared" si="22"/>
        <v/>
      </c>
      <c r="Y187" s="37" t="str">
        <f>IF(OR($H187="",$J187=""),"",$J187*IFERROR(VLOOKUP($H187,Maestro_SKU!$A$2:$P$500,12,FALSE),1))</f>
        <v/>
      </c>
      <c r="Z187" s="37" t="str">
        <f t="shared" ca="1" si="23"/>
        <v/>
      </c>
    </row>
    <row r="188" spans="1:26" x14ac:dyDescent="0.35">
      <c r="A188" s="18"/>
      <c r="B188" s="26"/>
      <c r="C188" s="18"/>
      <c r="D188" s="18"/>
      <c r="E188" s="22" t="str">
        <f>IFERROR(VLOOKUP(D188,Clientes_PDV!$A$2:$J$250,2,FALSE),"")</f>
        <v/>
      </c>
      <c r="F188" s="22" t="str">
        <f>IFERROR(VLOOKUP(D188,Clientes_PDV!$A$2:$J$250,3,FALSE),"")</f>
        <v/>
      </c>
      <c r="G188" s="22" t="str">
        <f>IFERROR(VLOOKUP(D188,Clientes_PDV!$A$2:$J$250,4,FALSE),"")</f>
        <v/>
      </c>
      <c r="H188" s="18"/>
      <c r="I188" s="22" t="str">
        <f>IFERROR(VLOOKUP(H188,Maestro_SKU!$A$2:$P$500,2,FALSE),"")</f>
        <v/>
      </c>
      <c r="J188" s="27"/>
      <c r="K188" s="19"/>
      <c r="L188" s="23" t="str">
        <f t="shared" si="16"/>
        <v/>
      </c>
      <c r="M188" s="23" t="str">
        <f>IF(L188="","",L188*Inicio!$B$13)</f>
        <v/>
      </c>
      <c r="N188" s="23" t="str">
        <f t="shared" si="17"/>
        <v/>
      </c>
      <c r="O188" s="26"/>
      <c r="P188" s="18"/>
      <c r="Q188" s="19"/>
      <c r="R188" s="23" t="str">
        <f t="shared" si="18"/>
        <v/>
      </c>
      <c r="S188" s="22" t="str">
        <f ca="1">IF(A188="","",IF(OR(P188="Pagada",R188=0),"Pagada",IF(O188&lt;TODAY(),"Vencida",IF(O188&lt;=TODAY()+Inicio!$B$19,"Próxima a vencer","Vigente"))))</f>
        <v/>
      </c>
      <c r="T188" s="18"/>
      <c r="U188" s="37" t="str">
        <f t="shared" si="19"/>
        <v/>
      </c>
      <c r="V188" s="37" t="str">
        <f t="shared" si="20"/>
        <v/>
      </c>
      <c r="W188" s="37" t="str">
        <f t="shared" si="21"/>
        <v/>
      </c>
      <c r="X188" s="37" t="str">
        <f t="shared" si="22"/>
        <v/>
      </c>
      <c r="Y188" s="37" t="str">
        <f>IF(OR($H188="",$J188=""),"",$J188*IFERROR(VLOOKUP($H188,Maestro_SKU!$A$2:$P$500,12,FALSE),1))</f>
        <v/>
      </c>
      <c r="Z188" s="37" t="str">
        <f t="shared" ca="1" si="23"/>
        <v/>
      </c>
    </row>
    <row r="189" spans="1:26" x14ac:dyDescent="0.35">
      <c r="A189" s="18"/>
      <c r="B189" s="26"/>
      <c r="C189" s="18"/>
      <c r="D189" s="18"/>
      <c r="E189" s="22" t="str">
        <f>IFERROR(VLOOKUP(D189,Clientes_PDV!$A$2:$J$250,2,FALSE),"")</f>
        <v/>
      </c>
      <c r="F189" s="22" t="str">
        <f>IFERROR(VLOOKUP(D189,Clientes_PDV!$A$2:$J$250,3,FALSE),"")</f>
        <v/>
      </c>
      <c r="G189" s="22" t="str">
        <f>IFERROR(VLOOKUP(D189,Clientes_PDV!$A$2:$J$250,4,FALSE),"")</f>
        <v/>
      </c>
      <c r="H189" s="18"/>
      <c r="I189" s="22" t="str">
        <f>IFERROR(VLOOKUP(H189,Maestro_SKU!$A$2:$P$500,2,FALSE),"")</f>
        <v/>
      </c>
      <c r="J189" s="27"/>
      <c r="K189" s="19"/>
      <c r="L189" s="23" t="str">
        <f t="shared" si="16"/>
        <v/>
      </c>
      <c r="M189" s="23" t="str">
        <f>IF(L189="","",L189*Inicio!$B$13)</f>
        <v/>
      </c>
      <c r="N189" s="23" t="str">
        <f t="shared" si="17"/>
        <v/>
      </c>
      <c r="O189" s="26"/>
      <c r="P189" s="18"/>
      <c r="Q189" s="19"/>
      <c r="R189" s="23" t="str">
        <f t="shared" si="18"/>
        <v/>
      </c>
      <c r="S189" s="22" t="str">
        <f ca="1">IF(A189="","",IF(OR(P189="Pagada",R189=0),"Pagada",IF(O189&lt;TODAY(),"Vencida",IF(O189&lt;=TODAY()+Inicio!$B$19,"Próxima a vencer","Vigente"))))</f>
        <v/>
      </c>
      <c r="T189" s="18"/>
      <c r="U189" s="37" t="str">
        <f t="shared" si="19"/>
        <v/>
      </c>
      <c r="V189" s="37" t="str">
        <f t="shared" si="20"/>
        <v/>
      </c>
      <c r="W189" s="37" t="str">
        <f t="shared" si="21"/>
        <v/>
      </c>
      <c r="X189" s="37" t="str">
        <f t="shared" si="22"/>
        <v/>
      </c>
      <c r="Y189" s="37" t="str">
        <f>IF(OR($H189="",$J189=""),"",$J189*IFERROR(VLOOKUP($H189,Maestro_SKU!$A$2:$P$500,12,FALSE),1))</f>
        <v/>
      </c>
      <c r="Z189" s="37" t="str">
        <f t="shared" ca="1" si="23"/>
        <v/>
      </c>
    </row>
    <row r="190" spans="1:26" x14ac:dyDescent="0.35">
      <c r="A190" s="18"/>
      <c r="B190" s="26"/>
      <c r="C190" s="18"/>
      <c r="D190" s="18"/>
      <c r="E190" s="22" t="str">
        <f>IFERROR(VLOOKUP(D190,Clientes_PDV!$A$2:$J$250,2,FALSE),"")</f>
        <v/>
      </c>
      <c r="F190" s="22" t="str">
        <f>IFERROR(VLOOKUP(D190,Clientes_PDV!$A$2:$J$250,3,FALSE),"")</f>
        <v/>
      </c>
      <c r="G190" s="22" t="str">
        <f>IFERROR(VLOOKUP(D190,Clientes_PDV!$A$2:$J$250,4,FALSE),"")</f>
        <v/>
      </c>
      <c r="H190" s="18"/>
      <c r="I190" s="22" t="str">
        <f>IFERROR(VLOOKUP(H190,Maestro_SKU!$A$2:$P$500,2,FALSE),"")</f>
        <v/>
      </c>
      <c r="J190" s="27"/>
      <c r="K190" s="19"/>
      <c r="L190" s="23" t="str">
        <f t="shared" si="16"/>
        <v/>
      </c>
      <c r="M190" s="23" t="str">
        <f>IF(L190="","",L190*Inicio!$B$13)</f>
        <v/>
      </c>
      <c r="N190" s="23" t="str">
        <f t="shared" si="17"/>
        <v/>
      </c>
      <c r="O190" s="26"/>
      <c r="P190" s="18"/>
      <c r="Q190" s="19"/>
      <c r="R190" s="23" t="str">
        <f t="shared" si="18"/>
        <v/>
      </c>
      <c r="S190" s="22" t="str">
        <f ca="1">IF(A190="","",IF(OR(P190="Pagada",R190=0),"Pagada",IF(O190&lt;TODAY(),"Vencida",IF(O190&lt;=TODAY()+Inicio!$B$19,"Próxima a vencer","Vigente"))))</f>
        <v/>
      </c>
      <c r="T190" s="18"/>
      <c r="U190" s="37" t="str">
        <f t="shared" si="19"/>
        <v/>
      </c>
      <c r="V190" s="37" t="str">
        <f t="shared" si="20"/>
        <v/>
      </c>
      <c r="W190" s="37" t="str">
        <f t="shared" si="21"/>
        <v/>
      </c>
      <c r="X190" s="37" t="str">
        <f t="shared" si="22"/>
        <v/>
      </c>
      <c r="Y190" s="37" t="str">
        <f>IF(OR($H190="",$J190=""),"",$J190*IFERROR(VLOOKUP($H190,Maestro_SKU!$A$2:$P$500,12,FALSE),1))</f>
        <v/>
      </c>
      <c r="Z190" s="37" t="str">
        <f t="shared" ca="1" si="23"/>
        <v/>
      </c>
    </row>
    <row r="191" spans="1:26" x14ac:dyDescent="0.35">
      <c r="A191" s="18"/>
      <c r="B191" s="26"/>
      <c r="C191" s="18"/>
      <c r="D191" s="18"/>
      <c r="E191" s="22" t="str">
        <f>IFERROR(VLOOKUP(D191,Clientes_PDV!$A$2:$J$250,2,FALSE),"")</f>
        <v/>
      </c>
      <c r="F191" s="22" t="str">
        <f>IFERROR(VLOOKUP(D191,Clientes_PDV!$A$2:$J$250,3,FALSE),"")</f>
        <v/>
      </c>
      <c r="G191" s="22" t="str">
        <f>IFERROR(VLOOKUP(D191,Clientes_PDV!$A$2:$J$250,4,FALSE),"")</f>
        <v/>
      </c>
      <c r="H191" s="18"/>
      <c r="I191" s="22" t="str">
        <f>IFERROR(VLOOKUP(H191,Maestro_SKU!$A$2:$P$500,2,FALSE),"")</f>
        <v/>
      </c>
      <c r="J191" s="27"/>
      <c r="K191" s="19"/>
      <c r="L191" s="23" t="str">
        <f t="shared" si="16"/>
        <v/>
      </c>
      <c r="M191" s="23" t="str">
        <f>IF(L191="","",L191*Inicio!$B$13)</f>
        <v/>
      </c>
      <c r="N191" s="23" t="str">
        <f t="shared" si="17"/>
        <v/>
      </c>
      <c r="O191" s="26"/>
      <c r="P191" s="18"/>
      <c r="Q191" s="19"/>
      <c r="R191" s="23" t="str">
        <f t="shared" si="18"/>
        <v/>
      </c>
      <c r="S191" s="22" t="str">
        <f ca="1">IF(A191="","",IF(OR(P191="Pagada",R191=0),"Pagada",IF(O191&lt;TODAY(),"Vencida",IF(O191&lt;=TODAY()+Inicio!$B$19,"Próxima a vencer","Vigente"))))</f>
        <v/>
      </c>
      <c r="T191" s="18"/>
      <c r="U191" s="37" t="str">
        <f t="shared" si="19"/>
        <v/>
      </c>
      <c r="V191" s="37" t="str">
        <f t="shared" si="20"/>
        <v/>
      </c>
      <c r="W191" s="37" t="str">
        <f t="shared" si="21"/>
        <v/>
      </c>
      <c r="X191" s="37" t="str">
        <f t="shared" si="22"/>
        <v/>
      </c>
      <c r="Y191" s="37" t="str">
        <f>IF(OR($H191="",$J191=""),"",$J191*IFERROR(VLOOKUP($H191,Maestro_SKU!$A$2:$P$500,12,FALSE),1))</f>
        <v/>
      </c>
      <c r="Z191" s="37" t="str">
        <f t="shared" ca="1" si="23"/>
        <v/>
      </c>
    </row>
    <row r="192" spans="1:26" x14ac:dyDescent="0.35">
      <c r="A192" s="18"/>
      <c r="B192" s="26"/>
      <c r="C192" s="18"/>
      <c r="D192" s="18"/>
      <c r="E192" s="22" t="str">
        <f>IFERROR(VLOOKUP(D192,Clientes_PDV!$A$2:$J$250,2,FALSE),"")</f>
        <v/>
      </c>
      <c r="F192" s="22" t="str">
        <f>IFERROR(VLOOKUP(D192,Clientes_PDV!$A$2:$J$250,3,FALSE),"")</f>
        <v/>
      </c>
      <c r="G192" s="22" t="str">
        <f>IFERROR(VLOOKUP(D192,Clientes_PDV!$A$2:$J$250,4,FALSE),"")</f>
        <v/>
      </c>
      <c r="H192" s="18"/>
      <c r="I192" s="22" t="str">
        <f>IFERROR(VLOOKUP(H192,Maestro_SKU!$A$2:$P$500,2,FALSE),"")</f>
        <v/>
      </c>
      <c r="J192" s="27"/>
      <c r="K192" s="19"/>
      <c r="L192" s="23" t="str">
        <f t="shared" si="16"/>
        <v/>
      </c>
      <c r="M192" s="23" t="str">
        <f>IF(L192="","",L192*Inicio!$B$13)</f>
        <v/>
      </c>
      <c r="N192" s="23" t="str">
        <f t="shared" si="17"/>
        <v/>
      </c>
      <c r="O192" s="26"/>
      <c r="P192" s="18"/>
      <c r="Q192" s="19"/>
      <c r="R192" s="23" t="str">
        <f t="shared" si="18"/>
        <v/>
      </c>
      <c r="S192" s="22" t="str">
        <f ca="1">IF(A192="","",IF(OR(P192="Pagada",R192=0),"Pagada",IF(O192&lt;TODAY(),"Vencida",IF(O192&lt;=TODAY()+Inicio!$B$19,"Próxima a vencer","Vigente"))))</f>
        <v/>
      </c>
      <c r="T192" s="18"/>
      <c r="U192" s="37" t="str">
        <f t="shared" si="19"/>
        <v/>
      </c>
      <c r="V192" s="37" t="str">
        <f t="shared" si="20"/>
        <v/>
      </c>
      <c r="W192" s="37" t="str">
        <f t="shared" si="21"/>
        <v/>
      </c>
      <c r="X192" s="37" t="str">
        <f t="shared" si="22"/>
        <v/>
      </c>
      <c r="Y192" s="37" t="str">
        <f>IF(OR($H192="",$J192=""),"",$J192*IFERROR(VLOOKUP($H192,Maestro_SKU!$A$2:$P$500,12,FALSE),1))</f>
        <v/>
      </c>
      <c r="Z192" s="37" t="str">
        <f t="shared" ca="1" si="23"/>
        <v/>
      </c>
    </row>
    <row r="193" spans="1:26" x14ac:dyDescent="0.35">
      <c r="A193" s="18"/>
      <c r="B193" s="26"/>
      <c r="C193" s="18"/>
      <c r="D193" s="18"/>
      <c r="E193" s="22" t="str">
        <f>IFERROR(VLOOKUP(D193,Clientes_PDV!$A$2:$J$250,2,FALSE),"")</f>
        <v/>
      </c>
      <c r="F193" s="22" t="str">
        <f>IFERROR(VLOOKUP(D193,Clientes_PDV!$A$2:$J$250,3,FALSE),"")</f>
        <v/>
      </c>
      <c r="G193" s="22" t="str">
        <f>IFERROR(VLOOKUP(D193,Clientes_PDV!$A$2:$J$250,4,FALSE),"")</f>
        <v/>
      </c>
      <c r="H193" s="18"/>
      <c r="I193" s="22" t="str">
        <f>IFERROR(VLOOKUP(H193,Maestro_SKU!$A$2:$P$500,2,FALSE),"")</f>
        <v/>
      </c>
      <c r="J193" s="27"/>
      <c r="K193" s="19"/>
      <c r="L193" s="23" t="str">
        <f t="shared" si="16"/>
        <v/>
      </c>
      <c r="M193" s="23" t="str">
        <f>IF(L193="","",L193*Inicio!$B$13)</f>
        <v/>
      </c>
      <c r="N193" s="23" t="str">
        <f t="shared" si="17"/>
        <v/>
      </c>
      <c r="O193" s="26"/>
      <c r="P193" s="18"/>
      <c r="Q193" s="19"/>
      <c r="R193" s="23" t="str">
        <f t="shared" si="18"/>
        <v/>
      </c>
      <c r="S193" s="22" t="str">
        <f ca="1">IF(A193="","",IF(OR(P193="Pagada",R193=0),"Pagada",IF(O193&lt;TODAY(),"Vencida",IF(O193&lt;=TODAY()+Inicio!$B$19,"Próxima a vencer","Vigente"))))</f>
        <v/>
      </c>
      <c r="T193" s="18"/>
      <c r="U193" s="37" t="str">
        <f t="shared" si="19"/>
        <v/>
      </c>
      <c r="V193" s="37" t="str">
        <f t="shared" si="20"/>
        <v/>
      </c>
      <c r="W193" s="37" t="str">
        <f t="shared" si="21"/>
        <v/>
      </c>
      <c r="X193" s="37" t="str">
        <f t="shared" si="22"/>
        <v/>
      </c>
      <c r="Y193" s="37" t="str">
        <f>IF(OR($H193="",$J193=""),"",$J193*IFERROR(VLOOKUP($H193,Maestro_SKU!$A$2:$P$500,12,FALSE),1))</f>
        <v/>
      </c>
      <c r="Z193" s="37" t="str">
        <f t="shared" ca="1" si="23"/>
        <v/>
      </c>
    </row>
    <row r="194" spans="1:26" x14ac:dyDescent="0.35">
      <c r="A194" s="18"/>
      <c r="B194" s="26"/>
      <c r="C194" s="18"/>
      <c r="D194" s="18"/>
      <c r="E194" s="22" t="str">
        <f>IFERROR(VLOOKUP(D194,Clientes_PDV!$A$2:$J$250,2,FALSE),"")</f>
        <v/>
      </c>
      <c r="F194" s="22" t="str">
        <f>IFERROR(VLOOKUP(D194,Clientes_PDV!$A$2:$J$250,3,FALSE),"")</f>
        <v/>
      </c>
      <c r="G194" s="22" t="str">
        <f>IFERROR(VLOOKUP(D194,Clientes_PDV!$A$2:$J$250,4,FALSE),"")</f>
        <v/>
      </c>
      <c r="H194" s="18"/>
      <c r="I194" s="22" t="str">
        <f>IFERROR(VLOOKUP(H194,Maestro_SKU!$A$2:$P$500,2,FALSE),"")</f>
        <v/>
      </c>
      <c r="J194" s="27"/>
      <c r="K194" s="19"/>
      <c r="L194" s="23" t="str">
        <f t="shared" ref="L194:L257" si="24">IF(OR(J194="",K194=""),"",J194*K194)</f>
        <v/>
      </c>
      <c r="M194" s="23" t="str">
        <f>IF(L194="","",L194*Inicio!$B$13)</f>
        <v/>
      </c>
      <c r="N194" s="23" t="str">
        <f t="shared" ref="N194:N257" si="25">IF(L194="","",L194+M194)</f>
        <v/>
      </c>
      <c r="O194" s="26"/>
      <c r="P194" s="18"/>
      <c r="Q194" s="19"/>
      <c r="R194" s="23" t="str">
        <f t="shared" ref="R194:R257" si="26">IF(N194="","",MAX(N194-Q194,0))</f>
        <v/>
      </c>
      <c r="S194" s="22" t="str">
        <f ca="1">IF(A194="","",IF(OR(P194="Pagada",R194=0),"Pagada",IF(O194&lt;TODAY(),"Vencida",IF(O194&lt;=TODAY()+Inicio!$B$19,"Próxima a vencer","Vigente"))))</f>
        <v/>
      </c>
      <c r="T194" s="18"/>
      <c r="U194" s="37" t="str">
        <f t="shared" ref="U194:U257" si="27">IF($B194="","",YEAR($B194))</f>
        <v/>
      </c>
      <c r="V194" s="37" t="str">
        <f t="shared" ref="V194:V257" si="28">IF($B194="","",MONTH($B194))</f>
        <v/>
      </c>
      <c r="W194" s="37" t="str">
        <f t="shared" ref="W194:W257" si="29">IF($B194="","",DAY($B194))</f>
        <v/>
      </c>
      <c r="X194" s="37" t="str">
        <f t="shared" ref="X194:X257" si="30">IF($B194="","",YEAR($B194)&amp;"-"&amp;TEXT(MONTH($B194),"00"))</f>
        <v/>
      </c>
      <c r="Y194" s="37" t="str">
        <f>IF(OR($H194="",$J194=""),"",$J194*IFERROR(VLOOKUP($H194,Maestro_SKU!$A$2:$P$500,12,FALSE),1))</f>
        <v/>
      </c>
      <c r="Z194" s="37" t="str">
        <f t="shared" ref="Z194:Z257" ca="1" si="31">IF(OR($A194="",$O194="",$S194="Pagada"),"",$O194-TODAY())</f>
        <v/>
      </c>
    </row>
    <row r="195" spans="1:26" x14ac:dyDescent="0.35">
      <c r="A195" s="18"/>
      <c r="B195" s="26"/>
      <c r="C195" s="18"/>
      <c r="D195" s="18"/>
      <c r="E195" s="22" t="str">
        <f>IFERROR(VLOOKUP(D195,Clientes_PDV!$A$2:$J$250,2,FALSE),"")</f>
        <v/>
      </c>
      <c r="F195" s="22" t="str">
        <f>IFERROR(VLOOKUP(D195,Clientes_PDV!$A$2:$J$250,3,FALSE),"")</f>
        <v/>
      </c>
      <c r="G195" s="22" t="str">
        <f>IFERROR(VLOOKUP(D195,Clientes_PDV!$A$2:$J$250,4,FALSE),"")</f>
        <v/>
      </c>
      <c r="H195" s="18"/>
      <c r="I195" s="22" t="str">
        <f>IFERROR(VLOOKUP(H195,Maestro_SKU!$A$2:$P$500,2,FALSE),"")</f>
        <v/>
      </c>
      <c r="J195" s="27"/>
      <c r="K195" s="19"/>
      <c r="L195" s="23" t="str">
        <f t="shared" si="24"/>
        <v/>
      </c>
      <c r="M195" s="23" t="str">
        <f>IF(L195="","",L195*Inicio!$B$13)</f>
        <v/>
      </c>
      <c r="N195" s="23" t="str">
        <f t="shared" si="25"/>
        <v/>
      </c>
      <c r="O195" s="26"/>
      <c r="P195" s="18"/>
      <c r="Q195" s="19"/>
      <c r="R195" s="23" t="str">
        <f t="shared" si="26"/>
        <v/>
      </c>
      <c r="S195" s="22" t="str">
        <f ca="1">IF(A195="","",IF(OR(P195="Pagada",R195=0),"Pagada",IF(O195&lt;TODAY(),"Vencida",IF(O195&lt;=TODAY()+Inicio!$B$19,"Próxima a vencer","Vigente"))))</f>
        <v/>
      </c>
      <c r="T195" s="18"/>
      <c r="U195" s="37" t="str">
        <f t="shared" si="27"/>
        <v/>
      </c>
      <c r="V195" s="37" t="str">
        <f t="shared" si="28"/>
        <v/>
      </c>
      <c r="W195" s="37" t="str">
        <f t="shared" si="29"/>
        <v/>
      </c>
      <c r="X195" s="37" t="str">
        <f t="shared" si="30"/>
        <v/>
      </c>
      <c r="Y195" s="37" t="str">
        <f>IF(OR($H195="",$J195=""),"",$J195*IFERROR(VLOOKUP($H195,Maestro_SKU!$A$2:$P$500,12,FALSE),1))</f>
        <v/>
      </c>
      <c r="Z195" s="37" t="str">
        <f t="shared" ca="1" si="31"/>
        <v/>
      </c>
    </row>
    <row r="196" spans="1:26" x14ac:dyDescent="0.35">
      <c r="A196" s="18"/>
      <c r="B196" s="26"/>
      <c r="C196" s="18"/>
      <c r="D196" s="18"/>
      <c r="E196" s="22" t="str">
        <f>IFERROR(VLOOKUP(D196,Clientes_PDV!$A$2:$J$250,2,FALSE),"")</f>
        <v/>
      </c>
      <c r="F196" s="22" t="str">
        <f>IFERROR(VLOOKUP(D196,Clientes_PDV!$A$2:$J$250,3,FALSE),"")</f>
        <v/>
      </c>
      <c r="G196" s="22" t="str">
        <f>IFERROR(VLOOKUP(D196,Clientes_PDV!$A$2:$J$250,4,FALSE),"")</f>
        <v/>
      </c>
      <c r="H196" s="18"/>
      <c r="I196" s="22" t="str">
        <f>IFERROR(VLOOKUP(H196,Maestro_SKU!$A$2:$P$500,2,FALSE),"")</f>
        <v/>
      </c>
      <c r="J196" s="27"/>
      <c r="K196" s="19"/>
      <c r="L196" s="23" t="str">
        <f t="shared" si="24"/>
        <v/>
      </c>
      <c r="M196" s="23" t="str">
        <f>IF(L196="","",L196*Inicio!$B$13)</f>
        <v/>
      </c>
      <c r="N196" s="23" t="str">
        <f t="shared" si="25"/>
        <v/>
      </c>
      <c r="O196" s="26"/>
      <c r="P196" s="18"/>
      <c r="Q196" s="19"/>
      <c r="R196" s="23" t="str">
        <f t="shared" si="26"/>
        <v/>
      </c>
      <c r="S196" s="22" t="str">
        <f ca="1">IF(A196="","",IF(OR(P196="Pagada",R196=0),"Pagada",IF(O196&lt;TODAY(),"Vencida",IF(O196&lt;=TODAY()+Inicio!$B$19,"Próxima a vencer","Vigente"))))</f>
        <v/>
      </c>
      <c r="T196" s="18"/>
      <c r="U196" s="37" t="str">
        <f t="shared" si="27"/>
        <v/>
      </c>
      <c r="V196" s="37" t="str">
        <f t="shared" si="28"/>
        <v/>
      </c>
      <c r="W196" s="37" t="str">
        <f t="shared" si="29"/>
        <v/>
      </c>
      <c r="X196" s="37" t="str">
        <f t="shared" si="30"/>
        <v/>
      </c>
      <c r="Y196" s="37" t="str">
        <f>IF(OR($H196="",$J196=""),"",$J196*IFERROR(VLOOKUP($H196,Maestro_SKU!$A$2:$P$500,12,FALSE),1))</f>
        <v/>
      </c>
      <c r="Z196" s="37" t="str">
        <f t="shared" ca="1" si="31"/>
        <v/>
      </c>
    </row>
    <row r="197" spans="1:26" x14ac:dyDescent="0.35">
      <c r="A197" s="18"/>
      <c r="B197" s="26"/>
      <c r="C197" s="18"/>
      <c r="D197" s="18"/>
      <c r="E197" s="22" t="str">
        <f>IFERROR(VLOOKUP(D197,Clientes_PDV!$A$2:$J$250,2,FALSE),"")</f>
        <v/>
      </c>
      <c r="F197" s="22" t="str">
        <f>IFERROR(VLOOKUP(D197,Clientes_PDV!$A$2:$J$250,3,FALSE),"")</f>
        <v/>
      </c>
      <c r="G197" s="22" t="str">
        <f>IFERROR(VLOOKUP(D197,Clientes_PDV!$A$2:$J$250,4,FALSE),"")</f>
        <v/>
      </c>
      <c r="H197" s="18"/>
      <c r="I197" s="22" t="str">
        <f>IFERROR(VLOOKUP(H197,Maestro_SKU!$A$2:$P$500,2,FALSE),"")</f>
        <v/>
      </c>
      <c r="J197" s="27"/>
      <c r="K197" s="19"/>
      <c r="L197" s="23" t="str">
        <f t="shared" si="24"/>
        <v/>
      </c>
      <c r="M197" s="23" t="str">
        <f>IF(L197="","",L197*Inicio!$B$13)</f>
        <v/>
      </c>
      <c r="N197" s="23" t="str">
        <f t="shared" si="25"/>
        <v/>
      </c>
      <c r="O197" s="26"/>
      <c r="P197" s="18"/>
      <c r="Q197" s="19"/>
      <c r="R197" s="23" t="str">
        <f t="shared" si="26"/>
        <v/>
      </c>
      <c r="S197" s="22" t="str">
        <f ca="1">IF(A197="","",IF(OR(P197="Pagada",R197=0),"Pagada",IF(O197&lt;TODAY(),"Vencida",IF(O197&lt;=TODAY()+Inicio!$B$19,"Próxima a vencer","Vigente"))))</f>
        <v/>
      </c>
      <c r="T197" s="18"/>
      <c r="U197" s="37" t="str">
        <f t="shared" si="27"/>
        <v/>
      </c>
      <c r="V197" s="37" t="str">
        <f t="shared" si="28"/>
        <v/>
      </c>
      <c r="W197" s="37" t="str">
        <f t="shared" si="29"/>
        <v/>
      </c>
      <c r="X197" s="37" t="str">
        <f t="shared" si="30"/>
        <v/>
      </c>
      <c r="Y197" s="37" t="str">
        <f>IF(OR($H197="",$J197=""),"",$J197*IFERROR(VLOOKUP($H197,Maestro_SKU!$A$2:$P$500,12,FALSE),1))</f>
        <v/>
      </c>
      <c r="Z197" s="37" t="str">
        <f t="shared" ca="1" si="31"/>
        <v/>
      </c>
    </row>
    <row r="198" spans="1:26" x14ac:dyDescent="0.35">
      <c r="A198" s="18"/>
      <c r="B198" s="26"/>
      <c r="C198" s="18"/>
      <c r="D198" s="18"/>
      <c r="E198" s="22" t="str">
        <f>IFERROR(VLOOKUP(D198,Clientes_PDV!$A$2:$J$250,2,FALSE),"")</f>
        <v/>
      </c>
      <c r="F198" s="22" t="str">
        <f>IFERROR(VLOOKUP(D198,Clientes_PDV!$A$2:$J$250,3,FALSE),"")</f>
        <v/>
      </c>
      <c r="G198" s="22" t="str">
        <f>IFERROR(VLOOKUP(D198,Clientes_PDV!$A$2:$J$250,4,FALSE),"")</f>
        <v/>
      </c>
      <c r="H198" s="18"/>
      <c r="I198" s="22" t="str">
        <f>IFERROR(VLOOKUP(H198,Maestro_SKU!$A$2:$P$500,2,FALSE),"")</f>
        <v/>
      </c>
      <c r="J198" s="27"/>
      <c r="K198" s="19"/>
      <c r="L198" s="23" t="str">
        <f t="shared" si="24"/>
        <v/>
      </c>
      <c r="M198" s="23" t="str">
        <f>IF(L198="","",L198*Inicio!$B$13)</f>
        <v/>
      </c>
      <c r="N198" s="23" t="str">
        <f t="shared" si="25"/>
        <v/>
      </c>
      <c r="O198" s="26"/>
      <c r="P198" s="18"/>
      <c r="Q198" s="19"/>
      <c r="R198" s="23" t="str">
        <f t="shared" si="26"/>
        <v/>
      </c>
      <c r="S198" s="22" t="str">
        <f ca="1">IF(A198="","",IF(OR(P198="Pagada",R198=0),"Pagada",IF(O198&lt;TODAY(),"Vencida",IF(O198&lt;=TODAY()+Inicio!$B$19,"Próxima a vencer","Vigente"))))</f>
        <v/>
      </c>
      <c r="T198" s="18"/>
      <c r="U198" s="37" t="str">
        <f t="shared" si="27"/>
        <v/>
      </c>
      <c r="V198" s="37" t="str">
        <f t="shared" si="28"/>
        <v/>
      </c>
      <c r="W198" s="37" t="str">
        <f t="shared" si="29"/>
        <v/>
      </c>
      <c r="X198" s="37" t="str">
        <f t="shared" si="30"/>
        <v/>
      </c>
      <c r="Y198" s="37" t="str">
        <f>IF(OR($H198="",$J198=""),"",$J198*IFERROR(VLOOKUP($H198,Maestro_SKU!$A$2:$P$500,12,FALSE),1))</f>
        <v/>
      </c>
      <c r="Z198" s="37" t="str">
        <f t="shared" ca="1" si="31"/>
        <v/>
      </c>
    </row>
    <row r="199" spans="1:26" x14ac:dyDescent="0.35">
      <c r="A199" s="18"/>
      <c r="B199" s="26"/>
      <c r="C199" s="18"/>
      <c r="D199" s="18"/>
      <c r="E199" s="22" t="str">
        <f>IFERROR(VLOOKUP(D199,Clientes_PDV!$A$2:$J$250,2,FALSE),"")</f>
        <v/>
      </c>
      <c r="F199" s="22" t="str">
        <f>IFERROR(VLOOKUP(D199,Clientes_PDV!$A$2:$J$250,3,FALSE),"")</f>
        <v/>
      </c>
      <c r="G199" s="22" t="str">
        <f>IFERROR(VLOOKUP(D199,Clientes_PDV!$A$2:$J$250,4,FALSE),"")</f>
        <v/>
      </c>
      <c r="H199" s="18"/>
      <c r="I199" s="22" t="str">
        <f>IFERROR(VLOOKUP(H199,Maestro_SKU!$A$2:$P$500,2,FALSE),"")</f>
        <v/>
      </c>
      <c r="J199" s="27"/>
      <c r="K199" s="19"/>
      <c r="L199" s="23" t="str">
        <f t="shared" si="24"/>
        <v/>
      </c>
      <c r="M199" s="23" t="str">
        <f>IF(L199="","",L199*Inicio!$B$13)</f>
        <v/>
      </c>
      <c r="N199" s="23" t="str">
        <f t="shared" si="25"/>
        <v/>
      </c>
      <c r="O199" s="26"/>
      <c r="P199" s="18"/>
      <c r="Q199" s="19"/>
      <c r="R199" s="23" t="str">
        <f t="shared" si="26"/>
        <v/>
      </c>
      <c r="S199" s="22" t="str">
        <f ca="1">IF(A199="","",IF(OR(P199="Pagada",R199=0),"Pagada",IF(O199&lt;TODAY(),"Vencida",IF(O199&lt;=TODAY()+Inicio!$B$19,"Próxima a vencer","Vigente"))))</f>
        <v/>
      </c>
      <c r="T199" s="18"/>
      <c r="U199" s="37" t="str">
        <f t="shared" si="27"/>
        <v/>
      </c>
      <c r="V199" s="37" t="str">
        <f t="shared" si="28"/>
        <v/>
      </c>
      <c r="W199" s="37" t="str">
        <f t="shared" si="29"/>
        <v/>
      </c>
      <c r="X199" s="37" t="str">
        <f t="shared" si="30"/>
        <v/>
      </c>
      <c r="Y199" s="37" t="str">
        <f>IF(OR($H199="",$J199=""),"",$J199*IFERROR(VLOOKUP($H199,Maestro_SKU!$A$2:$P$500,12,FALSE),1))</f>
        <v/>
      </c>
      <c r="Z199" s="37" t="str">
        <f t="shared" ca="1" si="31"/>
        <v/>
      </c>
    </row>
    <row r="200" spans="1:26" x14ac:dyDescent="0.35">
      <c r="A200" s="18"/>
      <c r="B200" s="26"/>
      <c r="C200" s="18"/>
      <c r="D200" s="18"/>
      <c r="E200" s="22" t="str">
        <f>IFERROR(VLOOKUP(D200,Clientes_PDV!$A$2:$J$250,2,FALSE),"")</f>
        <v/>
      </c>
      <c r="F200" s="22" t="str">
        <f>IFERROR(VLOOKUP(D200,Clientes_PDV!$A$2:$J$250,3,FALSE),"")</f>
        <v/>
      </c>
      <c r="G200" s="22" t="str">
        <f>IFERROR(VLOOKUP(D200,Clientes_PDV!$A$2:$J$250,4,FALSE),"")</f>
        <v/>
      </c>
      <c r="H200" s="18"/>
      <c r="I200" s="22" t="str">
        <f>IFERROR(VLOOKUP(H200,Maestro_SKU!$A$2:$P$500,2,FALSE),"")</f>
        <v/>
      </c>
      <c r="J200" s="27"/>
      <c r="K200" s="19"/>
      <c r="L200" s="23" t="str">
        <f t="shared" si="24"/>
        <v/>
      </c>
      <c r="M200" s="23" t="str">
        <f>IF(L200="","",L200*Inicio!$B$13)</f>
        <v/>
      </c>
      <c r="N200" s="23" t="str">
        <f t="shared" si="25"/>
        <v/>
      </c>
      <c r="O200" s="26"/>
      <c r="P200" s="18"/>
      <c r="Q200" s="19"/>
      <c r="R200" s="23" t="str">
        <f t="shared" si="26"/>
        <v/>
      </c>
      <c r="S200" s="22" t="str">
        <f ca="1">IF(A200="","",IF(OR(P200="Pagada",R200=0),"Pagada",IF(O200&lt;TODAY(),"Vencida",IF(O200&lt;=TODAY()+Inicio!$B$19,"Próxima a vencer","Vigente"))))</f>
        <v/>
      </c>
      <c r="T200" s="18"/>
      <c r="U200" s="37" t="str">
        <f t="shared" si="27"/>
        <v/>
      </c>
      <c r="V200" s="37" t="str">
        <f t="shared" si="28"/>
        <v/>
      </c>
      <c r="W200" s="37" t="str">
        <f t="shared" si="29"/>
        <v/>
      </c>
      <c r="X200" s="37" t="str">
        <f t="shared" si="30"/>
        <v/>
      </c>
      <c r="Y200" s="37" t="str">
        <f>IF(OR($H200="",$J200=""),"",$J200*IFERROR(VLOOKUP($H200,Maestro_SKU!$A$2:$P$500,12,FALSE),1))</f>
        <v/>
      </c>
      <c r="Z200" s="37" t="str">
        <f t="shared" ca="1" si="31"/>
        <v/>
      </c>
    </row>
    <row r="201" spans="1:26" x14ac:dyDescent="0.35">
      <c r="A201" s="18"/>
      <c r="B201" s="26"/>
      <c r="C201" s="18"/>
      <c r="D201" s="18"/>
      <c r="E201" s="22" t="str">
        <f>IFERROR(VLOOKUP(D201,Clientes_PDV!$A$2:$J$250,2,FALSE),"")</f>
        <v/>
      </c>
      <c r="F201" s="22" t="str">
        <f>IFERROR(VLOOKUP(D201,Clientes_PDV!$A$2:$J$250,3,FALSE),"")</f>
        <v/>
      </c>
      <c r="G201" s="22" t="str">
        <f>IFERROR(VLOOKUP(D201,Clientes_PDV!$A$2:$J$250,4,FALSE),"")</f>
        <v/>
      </c>
      <c r="H201" s="18"/>
      <c r="I201" s="22" t="str">
        <f>IFERROR(VLOOKUP(H201,Maestro_SKU!$A$2:$P$500,2,FALSE),"")</f>
        <v/>
      </c>
      <c r="J201" s="27"/>
      <c r="K201" s="19"/>
      <c r="L201" s="23" t="str">
        <f t="shared" si="24"/>
        <v/>
      </c>
      <c r="M201" s="23" t="str">
        <f>IF(L201="","",L201*Inicio!$B$13)</f>
        <v/>
      </c>
      <c r="N201" s="23" t="str">
        <f t="shared" si="25"/>
        <v/>
      </c>
      <c r="O201" s="26"/>
      <c r="P201" s="18"/>
      <c r="Q201" s="19"/>
      <c r="R201" s="23" t="str">
        <f t="shared" si="26"/>
        <v/>
      </c>
      <c r="S201" s="22" t="str">
        <f ca="1">IF(A201="","",IF(OR(P201="Pagada",R201=0),"Pagada",IF(O201&lt;TODAY(),"Vencida",IF(O201&lt;=TODAY()+Inicio!$B$19,"Próxima a vencer","Vigente"))))</f>
        <v/>
      </c>
      <c r="T201" s="18"/>
      <c r="U201" s="37" t="str">
        <f t="shared" si="27"/>
        <v/>
      </c>
      <c r="V201" s="37" t="str">
        <f t="shared" si="28"/>
        <v/>
      </c>
      <c r="W201" s="37" t="str">
        <f t="shared" si="29"/>
        <v/>
      </c>
      <c r="X201" s="37" t="str">
        <f t="shared" si="30"/>
        <v/>
      </c>
      <c r="Y201" s="37" t="str">
        <f>IF(OR($H201="",$J201=""),"",$J201*IFERROR(VLOOKUP($H201,Maestro_SKU!$A$2:$P$500,12,FALSE),1))</f>
        <v/>
      </c>
      <c r="Z201" s="37" t="str">
        <f t="shared" ca="1" si="31"/>
        <v/>
      </c>
    </row>
    <row r="202" spans="1:26" x14ac:dyDescent="0.35">
      <c r="A202" s="18"/>
      <c r="B202" s="26"/>
      <c r="C202" s="18"/>
      <c r="D202" s="18"/>
      <c r="E202" s="22" t="str">
        <f>IFERROR(VLOOKUP(D202,Clientes_PDV!$A$2:$J$250,2,FALSE),"")</f>
        <v/>
      </c>
      <c r="F202" s="22" t="str">
        <f>IFERROR(VLOOKUP(D202,Clientes_PDV!$A$2:$J$250,3,FALSE),"")</f>
        <v/>
      </c>
      <c r="G202" s="22" t="str">
        <f>IFERROR(VLOOKUP(D202,Clientes_PDV!$A$2:$J$250,4,FALSE),"")</f>
        <v/>
      </c>
      <c r="H202" s="18"/>
      <c r="I202" s="22" t="str">
        <f>IFERROR(VLOOKUP(H202,Maestro_SKU!$A$2:$P$500,2,FALSE),"")</f>
        <v/>
      </c>
      <c r="J202" s="27"/>
      <c r="K202" s="19"/>
      <c r="L202" s="23" t="str">
        <f t="shared" si="24"/>
        <v/>
      </c>
      <c r="M202" s="23" t="str">
        <f>IF(L202="","",L202*Inicio!$B$13)</f>
        <v/>
      </c>
      <c r="N202" s="23" t="str">
        <f t="shared" si="25"/>
        <v/>
      </c>
      <c r="O202" s="26"/>
      <c r="P202" s="18"/>
      <c r="Q202" s="19"/>
      <c r="R202" s="23" t="str">
        <f t="shared" si="26"/>
        <v/>
      </c>
      <c r="S202" s="22" t="str">
        <f ca="1">IF(A202="","",IF(OR(P202="Pagada",R202=0),"Pagada",IF(O202&lt;TODAY(),"Vencida",IF(O202&lt;=TODAY()+Inicio!$B$19,"Próxima a vencer","Vigente"))))</f>
        <v/>
      </c>
      <c r="T202" s="18"/>
      <c r="U202" s="37" t="str">
        <f t="shared" si="27"/>
        <v/>
      </c>
      <c r="V202" s="37" t="str">
        <f t="shared" si="28"/>
        <v/>
      </c>
      <c r="W202" s="37" t="str">
        <f t="shared" si="29"/>
        <v/>
      </c>
      <c r="X202" s="37" t="str">
        <f t="shared" si="30"/>
        <v/>
      </c>
      <c r="Y202" s="37" t="str">
        <f>IF(OR($H202="",$J202=""),"",$J202*IFERROR(VLOOKUP($H202,Maestro_SKU!$A$2:$P$500,12,FALSE),1))</f>
        <v/>
      </c>
      <c r="Z202" s="37" t="str">
        <f t="shared" ca="1" si="31"/>
        <v/>
      </c>
    </row>
    <row r="203" spans="1:26" x14ac:dyDescent="0.35">
      <c r="A203" s="18"/>
      <c r="B203" s="26"/>
      <c r="C203" s="18"/>
      <c r="D203" s="18"/>
      <c r="E203" s="22" t="str">
        <f>IFERROR(VLOOKUP(D203,Clientes_PDV!$A$2:$J$250,2,FALSE),"")</f>
        <v/>
      </c>
      <c r="F203" s="22" t="str">
        <f>IFERROR(VLOOKUP(D203,Clientes_PDV!$A$2:$J$250,3,FALSE),"")</f>
        <v/>
      </c>
      <c r="G203" s="22" t="str">
        <f>IFERROR(VLOOKUP(D203,Clientes_PDV!$A$2:$J$250,4,FALSE),"")</f>
        <v/>
      </c>
      <c r="H203" s="18"/>
      <c r="I203" s="22" t="str">
        <f>IFERROR(VLOOKUP(H203,Maestro_SKU!$A$2:$P$500,2,FALSE),"")</f>
        <v/>
      </c>
      <c r="J203" s="27"/>
      <c r="K203" s="19"/>
      <c r="L203" s="23" t="str">
        <f t="shared" si="24"/>
        <v/>
      </c>
      <c r="M203" s="23" t="str">
        <f>IF(L203="","",L203*Inicio!$B$13)</f>
        <v/>
      </c>
      <c r="N203" s="23" t="str">
        <f t="shared" si="25"/>
        <v/>
      </c>
      <c r="O203" s="26"/>
      <c r="P203" s="18"/>
      <c r="Q203" s="19"/>
      <c r="R203" s="23" t="str">
        <f t="shared" si="26"/>
        <v/>
      </c>
      <c r="S203" s="22" t="str">
        <f ca="1">IF(A203="","",IF(OR(P203="Pagada",R203=0),"Pagada",IF(O203&lt;TODAY(),"Vencida",IF(O203&lt;=TODAY()+Inicio!$B$19,"Próxima a vencer","Vigente"))))</f>
        <v/>
      </c>
      <c r="T203" s="18"/>
      <c r="U203" s="37" t="str">
        <f t="shared" si="27"/>
        <v/>
      </c>
      <c r="V203" s="37" t="str">
        <f t="shared" si="28"/>
        <v/>
      </c>
      <c r="W203" s="37" t="str">
        <f t="shared" si="29"/>
        <v/>
      </c>
      <c r="X203" s="37" t="str">
        <f t="shared" si="30"/>
        <v/>
      </c>
      <c r="Y203" s="37" t="str">
        <f>IF(OR($H203="",$J203=""),"",$J203*IFERROR(VLOOKUP($H203,Maestro_SKU!$A$2:$P$500,12,FALSE),1))</f>
        <v/>
      </c>
      <c r="Z203" s="37" t="str">
        <f t="shared" ca="1" si="31"/>
        <v/>
      </c>
    </row>
    <row r="204" spans="1:26" x14ac:dyDescent="0.35">
      <c r="A204" s="18"/>
      <c r="B204" s="26"/>
      <c r="C204" s="18"/>
      <c r="D204" s="18"/>
      <c r="E204" s="22" t="str">
        <f>IFERROR(VLOOKUP(D204,Clientes_PDV!$A$2:$J$250,2,FALSE),"")</f>
        <v/>
      </c>
      <c r="F204" s="22" t="str">
        <f>IFERROR(VLOOKUP(D204,Clientes_PDV!$A$2:$J$250,3,FALSE),"")</f>
        <v/>
      </c>
      <c r="G204" s="22" t="str">
        <f>IFERROR(VLOOKUP(D204,Clientes_PDV!$A$2:$J$250,4,FALSE),"")</f>
        <v/>
      </c>
      <c r="H204" s="18"/>
      <c r="I204" s="22" t="str">
        <f>IFERROR(VLOOKUP(H204,Maestro_SKU!$A$2:$P$500,2,FALSE),"")</f>
        <v/>
      </c>
      <c r="J204" s="27"/>
      <c r="K204" s="19"/>
      <c r="L204" s="23" t="str">
        <f t="shared" si="24"/>
        <v/>
      </c>
      <c r="M204" s="23" t="str">
        <f>IF(L204="","",L204*Inicio!$B$13)</f>
        <v/>
      </c>
      <c r="N204" s="23" t="str">
        <f t="shared" si="25"/>
        <v/>
      </c>
      <c r="O204" s="26"/>
      <c r="P204" s="18"/>
      <c r="Q204" s="19"/>
      <c r="R204" s="23" t="str">
        <f t="shared" si="26"/>
        <v/>
      </c>
      <c r="S204" s="22" t="str">
        <f ca="1">IF(A204="","",IF(OR(P204="Pagada",R204=0),"Pagada",IF(O204&lt;TODAY(),"Vencida",IF(O204&lt;=TODAY()+Inicio!$B$19,"Próxima a vencer","Vigente"))))</f>
        <v/>
      </c>
      <c r="T204" s="18"/>
      <c r="U204" s="37" t="str">
        <f t="shared" si="27"/>
        <v/>
      </c>
      <c r="V204" s="37" t="str">
        <f t="shared" si="28"/>
        <v/>
      </c>
      <c r="W204" s="37" t="str">
        <f t="shared" si="29"/>
        <v/>
      </c>
      <c r="X204" s="37" t="str">
        <f t="shared" si="30"/>
        <v/>
      </c>
      <c r="Y204" s="37" t="str">
        <f>IF(OR($H204="",$J204=""),"",$J204*IFERROR(VLOOKUP($H204,Maestro_SKU!$A$2:$P$500,12,FALSE),1))</f>
        <v/>
      </c>
      <c r="Z204" s="37" t="str">
        <f t="shared" ca="1" si="31"/>
        <v/>
      </c>
    </row>
    <row r="205" spans="1:26" x14ac:dyDescent="0.35">
      <c r="A205" s="18"/>
      <c r="B205" s="26"/>
      <c r="C205" s="18"/>
      <c r="D205" s="18"/>
      <c r="E205" s="22" t="str">
        <f>IFERROR(VLOOKUP(D205,Clientes_PDV!$A$2:$J$250,2,FALSE),"")</f>
        <v/>
      </c>
      <c r="F205" s="22" t="str">
        <f>IFERROR(VLOOKUP(D205,Clientes_PDV!$A$2:$J$250,3,FALSE),"")</f>
        <v/>
      </c>
      <c r="G205" s="22" t="str">
        <f>IFERROR(VLOOKUP(D205,Clientes_PDV!$A$2:$J$250,4,FALSE),"")</f>
        <v/>
      </c>
      <c r="H205" s="18"/>
      <c r="I205" s="22" t="str">
        <f>IFERROR(VLOOKUP(H205,Maestro_SKU!$A$2:$P$500,2,FALSE),"")</f>
        <v/>
      </c>
      <c r="J205" s="27"/>
      <c r="K205" s="19"/>
      <c r="L205" s="23" t="str">
        <f t="shared" si="24"/>
        <v/>
      </c>
      <c r="M205" s="23" t="str">
        <f>IF(L205="","",L205*Inicio!$B$13)</f>
        <v/>
      </c>
      <c r="N205" s="23" t="str">
        <f t="shared" si="25"/>
        <v/>
      </c>
      <c r="O205" s="26"/>
      <c r="P205" s="18"/>
      <c r="Q205" s="19"/>
      <c r="R205" s="23" t="str">
        <f t="shared" si="26"/>
        <v/>
      </c>
      <c r="S205" s="22" t="str">
        <f ca="1">IF(A205="","",IF(OR(P205="Pagada",R205=0),"Pagada",IF(O205&lt;TODAY(),"Vencida",IF(O205&lt;=TODAY()+Inicio!$B$19,"Próxima a vencer","Vigente"))))</f>
        <v/>
      </c>
      <c r="T205" s="18"/>
      <c r="U205" s="37" t="str">
        <f t="shared" si="27"/>
        <v/>
      </c>
      <c r="V205" s="37" t="str">
        <f t="shared" si="28"/>
        <v/>
      </c>
      <c r="W205" s="37" t="str">
        <f t="shared" si="29"/>
        <v/>
      </c>
      <c r="X205" s="37" t="str">
        <f t="shared" si="30"/>
        <v/>
      </c>
      <c r="Y205" s="37" t="str">
        <f>IF(OR($H205="",$J205=""),"",$J205*IFERROR(VLOOKUP($H205,Maestro_SKU!$A$2:$P$500,12,FALSE),1))</f>
        <v/>
      </c>
      <c r="Z205" s="37" t="str">
        <f t="shared" ca="1" si="31"/>
        <v/>
      </c>
    </row>
    <row r="206" spans="1:26" x14ac:dyDescent="0.35">
      <c r="A206" s="18"/>
      <c r="B206" s="26"/>
      <c r="C206" s="18"/>
      <c r="D206" s="18"/>
      <c r="E206" s="22" t="str">
        <f>IFERROR(VLOOKUP(D206,Clientes_PDV!$A$2:$J$250,2,FALSE),"")</f>
        <v/>
      </c>
      <c r="F206" s="22" t="str">
        <f>IFERROR(VLOOKUP(D206,Clientes_PDV!$A$2:$J$250,3,FALSE),"")</f>
        <v/>
      </c>
      <c r="G206" s="22" t="str">
        <f>IFERROR(VLOOKUP(D206,Clientes_PDV!$A$2:$J$250,4,FALSE),"")</f>
        <v/>
      </c>
      <c r="H206" s="18"/>
      <c r="I206" s="22" t="str">
        <f>IFERROR(VLOOKUP(H206,Maestro_SKU!$A$2:$P$500,2,FALSE),"")</f>
        <v/>
      </c>
      <c r="J206" s="27"/>
      <c r="K206" s="19"/>
      <c r="L206" s="23" t="str">
        <f t="shared" si="24"/>
        <v/>
      </c>
      <c r="M206" s="23" t="str">
        <f>IF(L206="","",L206*Inicio!$B$13)</f>
        <v/>
      </c>
      <c r="N206" s="23" t="str">
        <f t="shared" si="25"/>
        <v/>
      </c>
      <c r="O206" s="26"/>
      <c r="P206" s="18"/>
      <c r="Q206" s="19"/>
      <c r="R206" s="23" t="str">
        <f t="shared" si="26"/>
        <v/>
      </c>
      <c r="S206" s="22" t="str">
        <f ca="1">IF(A206="","",IF(OR(P206="Pagada",R206=0),"Pagada",IF(O206&lt;TODAY(),"Vencida",IF(O206&lt;=TODAY()+Inicio!$B$19,"Próxima a vencer","Vigente"))))</f>
        <v/>
      </c>
      <c r="T206" s="18"/>
      <c r="U206" s="37" t="str">
        <f t="shared" si="27"/>
        <v/>
      </c>
      <c r="V206" s="37" t="str">
        <f t="shared" si="28"/>
        <v/>
      </c>
      <c r="W206" s="37" t="str">
        <f t="shared" si="29"/>
        <v/>
      </c>
      <c r="X206" s="37" t="str">
        <f t="shared" si="30"/>
        <v/>
      </c>
      <c r="Y206" s="37" t="str">
        <f>IF(OR($H206="",$J206=""),"",$J206*IFERROR(VLOOKUP($H206,Maestro_SKU!$A$2:$P$500,12,FALSE),1))</f>
        <v/>
      </c>
      <c r="Z206" s="37" t="str">
        <f t="shared" ca="1" si="31"/>
        <v/>
      </c>
    </row>
    <row r="207" spans="1:26" x14ac:dyDescent="0.35">
      <c r="A207" s="18"/>
      <c r="B207" s="26"/>
      <c r="C207" s="18"/>
      <c r="D207" s="18"/>
      <c r="E207" s="22" t="str">
        <f>IFERROR(VLOOKUP(D207,Clientes_PDV!$A$2:$J$250,2,FALSE),"")</f>
        <v/>
      </c>
      <c r="F207" s="22" t="str">
        <f>IFERROR(VLOOKUP(D207,Clientes_PDV!$A$2:$J$250,3,FALSE),"")</f>
        <v/>
      </c>
      <c r="G207" s="22" t="str">
        <f>IFERROR(VLOOKUP(D207,Clientes_PDV!$A$2:$J$250,4,FALSE),"")</f>
        <v/>
      </c>
      <c r="H207" s="18"/>
      <c r="I207" s="22" t="str">
        <f>IFERROR(VLOOKUP(H207,Maestro_SKU!$A$2:$P$500,2,FALSE),"")</f>
        <v/>
      </c>
      <c r="J207" s="27"/>
      <c r="K207" s="19"/>
      <c r="L207" s="23" t="str">
        <f t="shared" si="24"/>
        <v/>
      </c>
      <c r="M207" s="23" t="str">
        <f>IF(L207="","",L207*Inicio!$B$13)</f>
        <v/>
      </c>
      <c r="N207" s="23" t="str">
        <f t="shared" si="25"/>
        <v/>
      </c>
      <c r="O207" s="26"/>
      <c r="P207" s="18"/>
      <c r="Q207" s="19"/>
      <c r="R207" s="23" t="str">
        <f t="shared" si="26"/>
        <v/>
      </c>
      <c r="S207" s="22" t="str">
        <f ca="1">IF(A207="","",IF(OR(P207="Pagada",R207=0),"Pagada",IF(O207&lt;TODAY(),"Vencida",IF(O207&lt;=TODAY()+Inicio!$B$19,"Próxima a vencer","Vigente"))))</f>
        <v/>
      </c>
      <c r="T207" s="18"/>
      <c r="U207" s="37" t="str">
        <f t="shared" si="27"/>
        <v/>
      </c>
      <c r="V207" s="37" t="str">
        <f t="shared" si="28"/>
        <v/>
      </c>
      <c r="W207" s="37" t="str">
        <f t="shared" si="29"/>
        <v/>
      </c>
      <c r="X207" s="37" t="str">
        <f t="shared" si="30"/>
        <v/>
      </c>
      <c r="Y207" s="37" t="str">
        <f>IF(OR($H207="",$J207=""),"",$J207*IFERROR(VLOOKUP($H207,Maestro_SKU!$A$2:$P$500,12,FALSE),1))</f>
        <v/>
      </c>
      <c r="Z207" s="37" t="str">
        <f t="shared" ca="1" si="31"/>
        <v/>
      </c>
    </row>
    <row r="208" spans="1:26" x14ac:dyDescent="0.35">
      <c r="A208" s="18"/>
      <c r="B208" s="26"/>
      <c r="C208" s="18"/>
      <c r="D208" s="18"/>
      <c r="E208" s="22" t="str">
        <f>IFERROR(VLOOKUP(D208,Clientes_PDV!$A$2:$J$250,2,FALSE),"")</f>
        <v/>
      </c>
      <c r="F208" s="22" t="str">
        <f>IFERROR(VLOOKUP(D208,Clientes_PDV!$A$2:$J$250,3,FALSE),"")</f>
        <v/>
      </c>
      <c r="G208" s="22" t="str">
        <f>IFERROR(VLOOKUP(D208,Clientes_PDV!$A$2:$J$250,4,FALSE),"")</f>
        <v/>
      </c>
      <c r="H208" s="18"/>
      <c r="I208" s="22" t="str">
        <f>IFERROR(VLOOKUP(H208,Maestro_SKU!$A$2:$P$500,2,FALSE),"")</f>
        <v/>
      </c>
      <c r="J208" s="27"/>
      <c r="K208" s="19"/>
      <c r="L208" s="23" t="str">
        <f t="shared" si="24"/>
        <v/>
      </c>
      <c r="M208" s="23" t="str">
        <f>IF(L208="","",L208*Inicio!$B$13)</f>
        <v/>
      </c>
      <c r="N208" s="23" t="str">
        <f t="shared" si="25"/>
        <v/>
      </c>
      <c r="O208" s="26"/>
      <c r="P208" s="18"/>
      <c r="Q208" s="19"/>
      <c r="R208" s="23" t="str">
        <f t="shared" si="26"/>
        <v/>
      </c>
      <c r="S208" s="22" t="str">
        <f ca="1">IF(A208="","",IF(OR(P208="Pagada",R208=0),"Pagada",IF(O208&lt;TODAY(),"Vencida",IF(O208&lt;=TODAY()+Inicio!$B$19,"Próxima a vencer","Vigente"))))</f>
        <v/>
      </c>
      <c r="T208" s="18"/>
      <c r="U208" s="37" t="str">
        <f t="shared" si="27"/>
        <v/>
      </c>
      <c r="V208" s="37" t="str">
        <f t="shared" si="28"/>
        <v/>
      </c>
      <c r="W208" s="37" t="str">
        <f t="shared" si="29"/>
        <v/>
      </c>
      <c r="X208" s="37" t="str">
        <f t="shared" si="30"/>
        <v/>
      </c>
      <c r="Y208" s="37" t="str">
        <f>IF(OR($H208="",$J208=""),"",$J208*IFERROR(VLOOKUP($H208,Maestro_SKU!$A$2:$P$500,12,FALSE),1))</f>
        <v/>
      </c>
      <c r="Z208" s="37" t="str">
        <f t="shared" ca="1" si="31"/>
        <v/>
      </c>
    </row>
    <row r="209" spans="1:26" x14ac:dyDescent="0.35">
      <c r="A209" s="18"/>
      <c r="B209" s="26"/>
      <c r="C209" s="18"/>
      <c r="D209" s="18"/>
      <c r="E209" s="22" t="str">
        <f>IFERROR(VLOOKUP(D209,Clientes_PDV!$A$2:$J$250,2,FALSE),"")</f>
        <v/>
      </c>
      <c r="F209" s="22" t="str">
        <f>IFERROR(VLOOKUP(D209,Clientes_PDV!$A$2:$J$250,3,FALSE),"")</f>
        <v/>
      </c>
      <c r="G209" s="22" t="str">
        <f>IFERROR(VLOOKUP(D209,Clientes_PDV!$A$2:$J$250,4,FALSE),"")</f>
        <v/>
      </c>
      <c r="H209" s="18"/>
      <c r="I209" s="22" t="str">
        <f>IFERROR(VLOOKUP(H209,Maestro_SKU!$A$2:$P$500,2,FALSE),"")</f>
        <v/>
      </c>
      <c r="J209" s="27"/>
      <c r="K209" s="19"/>
      <c r="L209" s="23" t="str">
        <f t="shared" si="24"/>
        <v/>
      </c>
      <c r="M209" s="23" t="str">
        <f>IF(L209="","",L209*Inicio!$B$13)</f>
        <v/>
      </c>
      <c r="N209" s="23" t="str">
        <f t="shared" si="25"/>
        <v/>
      </c>
      <c r="O209" s="26"/>
      <c r="P209" s="18"/>
      <c r="Q209" s="19"/>
      <c r="R209" s="23" t="str">
        <f t="shared" si="26"/>
        <v/>
      </c>
      <c r="S209" s="22" t="str">
        <f ca="1">IF(A209="","",IF(OR(P209="Pagada",R209=0),"Pagada",IF(O209&lt;TODAY(),"Vencida",IF(O209&lt;=TODAY()+Inicio!$B$19,"Próxima a vencer","Vigente"))))</f>
        <v/>
      </c>
      <c r="T209" s="18"/>
      <c r="U209" s="37" t="str">
        <f t="shared" si="27"/>
        <v/>
      </c>
      <c r="V209" s="37" t="str">
        <f t="shared" si="28"/>
        <v/>
      </c>
      <c r="W209" s="37" t="str">
        <f t="shared" si="29"/>
        <v/>
      </c>
      <c r="X209" s="37" t="str">
        <f t="shared" si="30"/>
        <v/>
      </c>
      <c r="Y209" s="37" t="str">
        <f>IF(OR($H209="",$J209=""),"",$J209*IFERROR(VLOOKUP($H209,Maestro_SKU!$A$2:$P$500,12,FALSE),1))</f>
        <v/>
      </c>
      <c r="Z209" s="37" t="str">
        <f t="shared" ca="1" si="31"/>
        <v/>
      </c>
    </row>
    <row r="210" spans="1:26" x14ac:dyDescent="0.35">
      <c r="A210" s="18"/>
      <c r="B210" s="26"/>
      <c r="C210" s="18"/>
      <c r="D210" s="18"/>
      <c r="E210" s="22" t="str">
        <f>IFERROR(VLOOKUP(D210,Clientes_PDV!$A$2:$J$250,2,FALSE),"")</f>
        <v/>
      </c>
      <c r="F210" s="22" t="str">
        <f>IFERROR(VLOOKUP(D210,Clientes_PDV!$A$2:$J$250,3,FALSE),"")</f>
        <v/>
      </c>
      <c r="G210" s="22" t="str">
        <f>IFERROR(VLOOKUP(D210,Clientes_PDV!$A$2:$J$250,4,FALSE),"")</f>
        <v/>
      </c>
      <c r="H210" s="18"/>
      <c r="I210" s="22" t="str">
        <f>IFERROR(VLOOKUP(H210,Maestro_SKU!$A$2:$P$500,2,FALSE),"")</f>
        <v/>
      </c>
      <c r="J210" s="27"/>
      <c r="K210" s="19"/>
      <c r="L210" s="23" t="str">
        <f t="shared" si="24"/>
        <v/>
      </c>
      <c r="M210" s="23" t="str">
        <f>IF(L210="","",L210*Inicio!$B$13)</f>
        <v/>
      </c>
      <c r="N210" s="23" t="str">
        <f t="shared" si="25"/>
        <v/>
      </c>
      <c r="O210" s="26"/>
      <c r="P210" s="18"/>
      <c r="Q210" s="19"/>
      <c r="R210" s="23" t="str">
        <f t="shared" si="26"/>
        <v/>
      </c>
      <c r="S210" s="22" t="str">
        <f ca="1">IF(A210="","",IF(OR(P210="Pagada",R210=0),"Pagada",IF(O210&lt;TODAY(),"Vencida",IF(O210&lt;=TODAY()+Inicio!$B$19,"Próxima a vencer","Vigente"))))</f>
        <v/>
      </c>
      <c r="T210" s="18"/>
      <c r="U210" s="37" t="str">
        <f t="shared" si="27"/>
        <v/>
      </c>
      <c r="V210" s="37" t="str">
        <f t="shared" si="28"/>
        <v/>
      </c>
      <c r="W210" s="37" t="str">
        <f t="shared" si="29"/>
        <v/>
      </c>
      <c r="X210" s="37" t="str">
        <f t="shared" si="30"/>
        <v/>
      </c>
      <c r="Y210" s="37" t="str">
        <f>IF(OR($H210="",$J210=""),"",$J210*IFERROR(VLOOKUP($H210,Maestro_SKU!$A$2:$P$500,12,FALSE),1))</f>
        <v/>
      </c>
      <c r="Z210" s="37" t="str">
        <f t="shared" ca="1" si="31"/>
        <v/>
      </c>
    </row>
    <row r="211" spans="1:26" x14ac:dyDescent="0.35">
      <c r="A211" s="18"/>
      <c r="B211" s="26"/>
      <c r="C211" s="18"/>
      <c r="D211" s="18"/>
      <c r="E211" s="22" t="str">
        <f>IFERROR(VLOOKUP(D211,Clientes_PDV!$A$2:$J$250,2,FALSE),"")</f>
        <v/>
      </c>
      <c r="F211" s="22" t="str">
        <f>IFERROR(VLOOKUP(D211,Clientes_PDV!$A$2:$J$250,3,FALSE),"")</f>
        <v/>
      </c>
      <c r="G211" s="22" t="str">
        <f>IFERROR(VLOOKUP(D211,Clientes_PDV!$A$2:$J$250,4,FALSE),"")</f>
        <v/>
      </c>
      <c r="H211" s="18"/>
      <c r="I211" s="22" t="str">
        <f>IFERROR(VLOOKUP(H211,Maestro_SKU!$A$2:$P$500,2,FALSE),"")</f>
        <v/>
      </c>
      <c r="J211" s="27"/>
      <c r="K211" s="19"/>
      <c r="L211" s="23" t="str">
        <f t="shared" si="24"/>
        <v/>
      </c>
      <c r="M211" s="23" t="str">
        <f>IF(L211="","",L211*Inicio!$B$13)</f>
        <v/>
      </c>
      <c r="N211" s="23" t="str">
        <f t="shared" si="25"/>
        <v/>
      </c>
      <c r="O211" s="26"/>
      <c r="P211" s="18"/>
      <c r="Q211" s="19"/>
      <c r="R211" s="23" t="str">
        <f t="shared" si="26"/>
        <v/>
      </c>
      <c r="S211" s="22" t="str">
        <f ca="1">IF(A211="","",IF(OR(P211="Pagada",R211=0),"Pagada",IF(O211&lt;TODAY(),"Vencida",IF(O211&lt;=TODAY()+Inicio!$B$19,"Próxima a vencer","Vigente"))))</f>
        <v/>
      </c>
      <c r="T211" s="18"/>
      <c r="U211" s="37" t="str">
        <f t="shared" si="27"/>
        <v/>
      </c>
      <c r="V211" s="37" t="str">
        <f t="shared" si="28"/>
        <v/>
      </c>
      <c r="W211" s="37" t="str">
        <f t="shared" si="29"/>
        <v/>
      </c>
      <c r="X211" s="37" t="str">
        <f t="shared" si="30"/>
        <v/>
      </c>
      <c r="Y211" s="37" t="str">
        <f>IF(OR($H211="",$J211=""),"",$J211*IFERROR(VLOOKUP($H211,Maestro_SKU!$A$2:$P$500,12,FALSE),1))</f>
        <v/>
      </c>
      <c r="Z211" s="37" t="str">
        <f t="shared" ca="1" si="31"/>
        <v/>
      </c>
    </row>
    <row r="212" spans="1:26" x14ac:dyDescent="0.35">
      <c r="A212" s="18"/>
      <c r="B212" s="26"/>
      <c r="C212" s="18"/>
      <c r="D212" s="18"/>
      <c r="E212" s="22" t="str">
        <f>IFERROR(VLOOKUP(D212,Clientes_PDV!$A$2:$J$250,2,FALSE),"")</f>
        <v/>
      </c>
      <c r="F212" s="22" t="str">
        <f>IFERROR(VLOOKUP(D212,Clientes_PDV!$A$2:$J$250,3,FALSE),"")</f>
        <v/>
      </c>
      <c r="G212" s="22" t="str">
        <f>IFERROR(VLOOKUP(D212,Clientes_PDV!$A$2:$J$250,4,FALSE),"")</f>
        <v/>
      </c>
      <c r="H212" s="18"/>
      <c r="I212" s="22" t="str">
        <f>IFERROR(VLOOKUP(H212,Maestro_SKU!$A$2:$P$500,2,FALSE),"")</f>
        <v/>
      </c>
      <c r="J212" s="27"/>
      <c r="K212" s="19"/>
      <c r="L212" s="23" t="str">
        <f t="shared" si="24"/>
        <v/>
      </c>
      <c r="M212" s="23" t="str">
        <f>IF(L212="","",L212*Inicio!$B$13)</f>
        <v/>
      </c>
      <c r="N212" s="23" t="str">
        <f t="shared" si="25"/>
        <v/>
      </c>
      <c r="O212" s="26"/>
      <c r="P212" s="18"/>
      <c r="Q212" s="19"/>
      <c r="R212" s="23" t="str">
        <f t="shared" si="26"/>
        <v/>
      </c>
      <c r="S212" s="22" t="str">
        <f ca="1">IF(A212="","",IF(OR(P212="Pagada",R212=0),"Pagada",IF(O212&lt;TODAY(),"Vencida",IF(O212&lt;=TODAY()+Inicio!$B$19,"Próxima a vencer","Vigente"))))</f>
        <v/>
      </c>
      <c r="T212" s="18"/>
      <c r="U212" s="37" t="str">
        <f t="shared" si="27"/>
        <v/>
      </c>
      <c r="V212" s="37" t="str">
        <f t="shared" si="28"/>
        <v/>
      </c>
      <c r="W212" s="37" t="str">
        <f t="shared" si="29"/>
        <v/>
      </c>
      <c r="X212" s="37" t="str">
        <f t="shared" si="30"/>
        <v/>
      </c>
      <c r="Y212" s="37" t="str">
        <f>IF(OR($H212="",$J212=""),"",$J212*IFERROR(VLOOKUP($H212,Maestro_SKU!$A$2:$P$500,12,FALSE),1))</f>
        <v/>
      </c>
      <c r="Z212" s="37" t="str">
        <f t="shared" ca="1" si="31"/>
        <v/>
      </c>
    </row>
    <row r="213" spans="1:26" x14ac:dyDescent="0.35">
      <c r="A213" s="18"/>
      <c r="B213" s="26"/>
      <c r="C213" s="18"/>
      <c r="D213" s="18"/>
      <c r="E213" s="22" t="str">
        <f>IFERROR(VLOOKUP(D213,Clientes_PDV!$A$2:$J$250,2,FALSE),"")</f>
        <v/>
      </c>
      <c r="F213" s="22" t="str">
        <f>IFERROR(VLOOKUP(D213,Clientes_PDV!$A$2:$J$250,3,FALSE),"")</f>
        <v/>
      </c>
      <c r="G213" s="22" t="str">
        <f>IFERROR(VLOOKUP(D213,Clientes_PDV!$A$2:$J$250,4,FALSE),"")</f>
        <v/>
      </c>
      <c r="H213" s="18"/>
      <c r="I213" s="22" t="str">
        <f>IFERROR(VLOOKUP(H213,Maestro_SKU!$A$2:$P$500,2,FALSE),"")</f>
        <v/>
      </c>
      <c r="J213" s="27"/>
      <c r="K213" s="19"/>
      <c r="L213" s="23" t="str">
        <f t="shared" si="24"/>
        <v/>
      </c>
      <c r="M213" s="23" t="str">
        <f>IF(L213="","",L213*Inicio!$B$13)</f>
        <v/>
      </c>
      <c r="N213" s="23" t="str">
        <f t="shared" si="25"/>
        <v/>
      </c>
      <c r="O213" s="26"/>
      <c r="P213" s="18"/>
      <c r="Q213" s="19"/>
      <c r="R213" s="23" t="str">
        <f t="shared" si="26"/>
        <v/>
      </c>
      <c r="S213" s="22" t="str">
        <f ca="1">IF(A213="","",IF(OR(P213="Pagada",R213=0),"Pagada",IF(O213&lt;TODAY(),"Vencida",IF(O213&lt;=TODAY()+Inicio!$B$19,"Próxima a vencer","Vigente"))))</f>
        <v/>
      </c>
      <c r="T213" s="18"/>
      <c r="U213" s="37" t="str">
        <f t="shared" si="27"/>
        <v/>
      </c>
      <c r="V213" s="37" t="str">
        <f t="shared" si="28"/>
        <v/>
      </c>
      <c r="W213" s="37" t="str">
        <f t="shared" si="29"/>
        <v/>
      </c>
      <c r="X213" s="37" t="str">
        <f t="shared" si="30"/>
        <v/>
      </c>
      <c r="Y213" s="37" t="str">
        <f>IF(OR($H213="",$J213=""),"",$J213*IFERROR(VLOOKUP($H213,Maestro_SKU!$A$2:$P$500,12,FALSE),1))</f>
        <v/>
      </c>
      <c r="Z213" s="37" t="str">
        <f t="shared" ca="1" si="31"/>
        <v/>
      </c>
    </row>
    <row r="214" spans="1:26" x14ac:dyDescent="0.35">
      <c r="A214" s="18"/>
      <c r="B214" s="26"/>
      <c r="C214" s="18"/>
      <c r="D214" s="18"/>
      <c r="E214" s="22" t="str">
        <f>IFERROR(VLOOKUP(D214,Clientes_PDV!$A$2:$J$250,2,FALSE),"")</f>
        <v/>
      </c>
      <c r="F214" s="22" t="str">
        <f>IFERROR(VLOOKUP(D214,Clientes_PDV!$A$2:$J$250,3,FALSE),"")</f>
        <v/>
      </c>
      <c r="G214" s="22" t="str">
        <f>IFERROR(VLOOKUP(D214,Clientes_PDV!$A$2:$J$250,4,FALSE),"")</f>
        <v/>
      </c>
      <c r="H214" s="18"/>
      <c r="I214" s="22" t="str">
        <f>IFERROR(VLOOKUP(H214,Maestro_SKU!$A$2:$P$500,2,FALSE),"")</f>
        <v/>
      </c>
      <c r="J214" s="27"/>
      <c r="K214" s="19"/>
      <c r="L214" s="23" t="str">
        <f t="shared" si="24"/>
        <v/>
      </c>
      <c r="M214" s="23" t="str">
        <f>IF(L214="","",L214*Inicio!$B$13)</f>
        <v/>
      </c>
      <c r="N214" s="23" t="str">
        <f t="shared" si="25"/>
        <v/>
      </c>
      <c r="O214" s="26"/>
      <c r="P214" s="18"/>
      <c r="Q214" s="19"/>
      <c r="R214" s="23" t="str">
        <f t="shared" si="26"/>
        <v/>
      </c>
      <c r="S214" s="22" t="str">
        <f ca="1">IF(A214="","",IF(OR(P214="Pagada",R214=0),"Pagada",IF(O214&lt;TODAY(),"Vencida",IF(O214&lt;=TODAY()+Inicio!$B$19,"Próxima a vencer","Vigente"))))</f>
        <v/>
      </c>
      <c r="T214" s="18"/>
      <c r="U214" s="37" t="str">
        <f t="shared" si="27"/>
        <v/>
      </c>
      <c r="V214" s="37" t="str">
        <f t="shared" si="28"/>
        <v/>
      </c>
      <c r="W214" s="37" t="str">
        <f t="shared" si="29"/>
        <v/>
      </c>
      <c r="X214" s="37" t="str">
        <f t="shared" si="30"/>
        <v/>
      </c>
      <c r="Y214" s="37" t="str">
        <f>IF(OR($H214="",$J214=""),"",$J214*IFERROR(VLOOKUP($H214,Maestro_SKU!$A$2:$P$500,12,FALSE),1))</f>
        <v/>
      </c>
      <c r="Z214" s="37" t="str">
        <f t="shared" ca="1" si="31"/>
        <v/>
      </c>
    </row>
    <row r="215" spans="1:26" x14ac:dyDescent="0.35">
      <c r="A215" s="18"/>
      <c r="B215" s="26"/>
      <c r="C215" s="18"/>
      <c r="D215" s="18"/>
      <c r="E215" s="22" t="str">
        <f>IFERROR(VLOOKUP(D215,Clientes_PDV!$A$2:$J$250,2,FALSE),"")</f>
        <v/>
      </c>
      <c r="F215" s="22" t="str">
        <f>IFERROR(VLOOKUP(D215,Clientes_PDV!$A$2:$J$250,3,FALSE),"")</f>
        <v/>
      </c>
      <c r="G215" s="22" t="str">
        <f>IFERROR(VLOOKUP(D215,Clientes_PDV!$A$2:$J$250,4,FALSE),"")</f>
        <v/>
      </c>
      <c r="H215" s="18"/>
      <c r="I215" s="22" t="str">
        <f>IFERROR(VLOOKUP(H215,Maestro_SKU!$A$2:$P$500,2,FALSE),"")</f>
        <v/>
      </c>
      <c r="J215" s="27"/>
      <c r="K215" s="19"/>
      <c r="L215" s="23" t="str">
        <f t="shared" si="24"/>
        <v/>
      </c>
      <c r="M215" s="23" t="str">
        <f>IF(L215="","",L215*Inicio!$B$13)</f>
        <v/>
      </c>
      <c r="N215" s="23" t="str">
        <f t="shared" si="25"/>
        <v/>
      </c>
      <c r="O215" s="26"/>
      <c r="P215" s="18"/>
      <c r="Q215" s="19"/>
      <c r="R215" s="23" t="str">
        <f t="shared" si="26"/>
        <v/>
      </c>
      <c r="S215" s="22" t="str">
        <f ca="1">IF(A215="","",IF(OR(P215="Pagada",R215=0),"Pagada",IF(O215&lt;TODAY(),"Vencida",IF(O215&lt;=TODAY()+Inicio!$B$19,"Próxima a vencer","Vigente"))))</f>
        <v/>
      </c>
      <c r="T215" s="18"/>
      <c r="U215" s="37" t="str">
        <f t="shared" si="27"/>
        <v/>
      </c>
      <c r="V215" s="37" t="str">
        <f t="shared" si="28"/>
        <v/>
      </c>
      <c r="W215" s="37" t="str">
        <f t="shared" si="29"/>
        <v/>
      </c>
      <c r="X215" s="37" t="str">
        <f t="shared" si="30"/>
        <v/>
      </c>
      <c r="Y215" s="37" t="str">
        <f>IF(OR($H215="",$J215=""),"",$J215*IFERROR(VLOOKUP($H215,Maestro_SKU!$A$2:$P$500,12,FALSE),1))</f>
        <v/>
      </c>
      <c r="Z215" s="37" t="str">
        <f t="shared" ca="1" si="31"/>
        <v/>
      </c>
    </row>
    <row r="216" spans="1:26" x14ac:dyDescent="0.35">
      <c r="A216" s="18"/>
      <c r="B216" s="26"/>
      <c r="C216" s="18"/>
      <c r="D216" s="18"/>
      <c r="E216" s="22" t="str">
        <f>IFERROR(VLOOKUP(D216,Clientes_PDV!$A$2:$J$250,2,FALSE),"")</f>
        <v/>
      </c>
      <c r="F216" s="22" t="str">
        <f>IFERROR(VLOOKUP(D216,Clientes_PDV!$A$2:$J$250,3,FALSE),"")</f>
        <v/>
      </c>
      <c r="G216" s="22" t="str">
        <f>IFERROR(VLOOKUP(D216,Clientes_PDV!$A$2:$J$250,4,FALSE),"")</f>
        <v/>
      </c>
      <c r="H216" s="18"/>
      <c r="I216" s="22" t="str">
        <f>IFERROR(VLOOKUP(H216,Maestro_SKU!$A$2:$P$500,2,FALSE),"")</f>
        <v/>
      </c>
      <c r="J216" s="27"/>
      <c r="K216" s="19"/>
      <c r="L216" s="23" t="str">
        <f t="shared" si="24"/>
        <v/>
      </c>
      <c r="M216" s="23" t="str">
        <f>IF(L216="","",L216*Inicio!$B$13)</f>
        <v/>
      </c>
      <c r="N216" s="23" t="str">
        <f t="shared" si="25"/>
        <v/>
      </c>
      <c r="O216" s="26"/>
      <c r="P216" s="18"/>
      <c r="Q216" s="19"/>
      <c r="R216" s="23" t="str">
        <f t="shared" si="26"/>
        <v/>
      </c>
      <c r="S216" s="22" t="str">
        <f ca="1">IF(A216="","",IF(OR(P216="Pagada",R216=0),"Pagada",IF(O216&lt;TODAY(),"Vencida",IF(O216&lt;=TODAY()+Inicio!$B$19,"Próxima a vencer","Vigente"))))</f>
        <v/>
      </c>
      <c r="T216" s="18"/>
      <c r="U216" s="37" t="str">
        <f t="shared" si="27"/>
        <v/>
      </c>
      <c r="V216" s="37" t="str">
        <f t="shared" si="28"/>
        <v/>
      </c>
      <c r="W216" s="37" t="str">
        <f t="shared" si="29"/>
        <v/>
      </c>
      <c r="X216" s="37" t="str">
        <f t="shared" si="30"/>
        <v/>
      </c>
      <c r="Y216" s="37" t="str">
        <f>IF(OR($H216="",$J216=""),"",$J216*IFERROR(VLOOKUP($H216,Maestro_SKU!$A$2:$P$500,12,FALSE),1))</f>
        <v/>
      </c>
      <c r="Z216" s="37" t="str">
        <f t="shared" ca="1" si="31"/>
        <v/>
      </c>
    </row>
    <row r="217" spans="1:26" x14ac:dyDescent="0.35">
      <c r="A217" s="18"/>
      <c r="B217" s="26"/>
      <c r="C217" s="18"/>
      <c r="D217" s="18"/>
      <c r="E217" s="22" t="str">
        <f>IFERROR(VLOOKUP(D217,Clientes_PDV!$A$2:$J$250,2,FALSE),"")</f>
        <v/>
      </c>
      <c r="F217" s="22" t="str">
        <f>IFERROR(VLOOKUP(D217,Clientes_PDV!$A$2:$J$250,3,FALSE),"")</f>
        <v/>
      </c>
      <c r="G217" s="22" t="str">
        <f>IFERROR(VLOOKUP(D217,Clientes_PDV!$A$2:$J$250,4,FALSE),"")</f>
        <v/>
      </c>
      <c r="H217" s="18"/>
      <c r="I217" s="22" t="str">
        <f>IFERROR(VLOOKUP(H217,Maestro_SKU!$A$2:$P$500,2,FALSE),"")</f>
        <v/>
      </c>
      <c r="J217" s="27"/>
      <c r="K217" s="19"/>
      <c r="L217" s="23" t="str">
        <f t="shared" si="24"/>
        <v/>
      </c>
      <c r="M217" s="23" t="str">
        <f>IF(L217="","",L217*Inicio!$B$13)</f>
        <v/>
      </c>
      <c r="N217" s="23" t="str">
        <f t="shared" si="25"/>
        <v/>
      </c>
      <c r="O217" s="26"/>
      <c r="P217" s="18"/>
      <c r="Q217" s="19"/>
      <c r="R217" s="23" t="str">
        <f t="shared" si="26"/>
        <v/>
      </c>
      <c r="S217" s="22" t="str">
        <f ca="1">IF(A217="","",IF(OR(P217="Pagada",R217=0),"Pagada",IF(O217&lt;TODAY(),"Vencida",IF(O217&lt;=TODAY()+Inicio!$B$19,"Próxima a vencer","Vigente"))))</f>
        <v/>
      </c>
      <c r="T217" s="18"/>
      <c r="U217" s="37" t="str">
        <f t="shared" si="27"/>
        <v/>
      </c>
      <c r="V217" s="37" t="str">
        <f t="shared" si="28"/>
        <v/>
      </c>
      <c r="W217" s="37" t="str">
        <f t="shared" si="29"/>
        <v/>
      </c>
      <c r="X217" s="37" t="str">
        <f t="shared" si="30"/>
        <v/>
      </c>
      <c r="Y217" s="37" t="str">
        <f>IF(OR($H217="",$J217=""),"",$J217*IFERROR(VLOOKUP($H217,Maestro_SKU!$A$2:$P$500,12,FALSE),1))</f>
        <v/>
      </c>
      <c r="Z217" s="37" t="str">
        <f t="shared" ca="1" si="31"/>
        <v/>
      </c>
    </row>
    <row r="218" spans="1:26" x14ac:dyDescent="0.35">
      <c r="A218" s="18"/>
      <c r="B218" s="26"/>
      <c r="C218" s="18"/>
      <c r="D218" s="18"/>
      <c r="E218" s="22" t="str">
        <f>IFERROR(VLOOKUP(D218,Clientes_PDV!$A$2:$J$250,2,FALSE),"")</f>
        <v/>
      </c>
      <c r="F218" s="22" t="str">
        <f>IFERROR(VLOOKUP(D218,Clientes_PDV!$A$2:$J$250,3,FALSE),"")</f>
        <v/>
      </c>
      <c r="G218" s="22" t="str">
        <f>IFERROR(VLOOKUP(D218,Clientes_PDV!$A$2:$J$250,4,FALSE),"")</f>
        <v/>
      </c>
      <c r="H218" s="18"/>
      <c r="I218" s="22" t="str">
        <f>IFERROR(VLOOKUP(H218,Maestro_SKU!$A$2:$P$500,2,FALSE),"")</f>
        <v/>
      </c>
      <c r="J218" s="27"/>
      <c r="K218" s="19"/>
      <c r="L218" s="23" t="str">
        <f t="shared" si="24"/>
        <v/>
      </c>
      <c r="M218" s="23" t="str">
        <f>IF(L218="","",L218*Inicio!$B$13)</f>
        <v/>
      </c>
      <c r="N218" s="23" t="str">
        <f t="shared" si="25"/>
        <v/>
      </c>
      <c r="O218" s="26"/>
      <c r="P218" s="18"/>
      <c r="Q218" s="19"/>
      <c r="R218" s="23" t="str">
        <f t="shared" si="26"/>
        <v/>
      </c>
      <c r="S218" s="22" t="str">
        <f ca="1">IF(A218="","",IF(OR(P218="Pagada",R218=0),"Pagada",IF(O218&lt;TODAY(),"Vencida",IF(O218&lt;=TODAY()+Inicio!$B$19,"Próxima a vencer","Vigente"))))</f>
        <v/>
      </c>
      <c r="T218" s="18"/>
      <c r="U218" s="37" t="str">
        <f t="shared" si="27"/>
        <v/>
      </c>
      <c r="V218" s="37" t="str">
        <f t="shared" si="28"/>
        <v/>
      </c>
      <c r="W218" s="37" t="str">
        <f t="shared" si="29"/>
        <v/>
      </c>
      <c r="X218" s="37" t="str">
        <f t="shared" si="30"/>
        <v/>
      </c>
      <c r="Y218" s="37" t="str">
        <f>IF(OR($H218="",$J218=""),"",$J218*IFERROR(VLOOKUP($H218,Maestro_SKU!$A$2:$P$500,12,FALSE),1))</f>
        <v/>
      </c>
      <c r="Z218" s="37" t="str">
        <f t="shared" ca="1" si="31"/>
        <v/>
      </c>
    </row>
    <row r="219" spans="1:26" x14ac:dyDescent="0.35">
      <c r="A219" s="18"/>
      <c r="B219" s="26"/>
      <c r="C219" s="18"/>
      <c r="D219" s="18"/>
      <c r="E219" s="22" t="str">
        <f>IFERROR(VLOOKUP(D219,Clientes_PDV!$A$2:$J$250,2,FALSE),"")</f>
        <v/>
      </c>
      <c r="F219" s="22" t="str">
        <f>IFERROR(VLOOKUP(D219,Clientes_PDV!$A$2:$J$250,3,FALSE),"")</f>
        <v/>
      </c>
      <c r="G219" s="22" t="str">
        <f>IFERROR(VLOOKUP(D219,Clientes_PDV!$A$2:$J$250,4,FALSE),"")</f>
        <v/>
      </c>
      <c r="H219" s="18"/>
      <c r="I219" s="22" t="str">
        <f>IFERROR(VLOOKUP(H219,Maestro_SKU!$A$2:$P$500,2,FALSE),"")</f>
        <v/>
      </c>
      <c r="J219" s="27"/>
      <c r="K219" s="19"/>
      <c r="L219" s="23" t="str">
        <f t="shared" si="24"/>
        <v/>
      </c>
      <c r="M219" s="23" t="str">
        <f>IF(L219="","",L219*Inicio!$B$13)</f>
        <v/>
      </c>
      <c r="N219" s="23" t="str">
        <f t="shared" si="25"/>
        <v/>
      </c>
      <c r="O219" s="26"/>
      <c r="P219" s="18"/>
      <c r="Q219" s="19"/>
      <c r="R219" s="23" t="str">
        <f t="shared" si="26"/>
        <v/>
      </c>
      <c r="S219" s="22" t="str">
        <f ca="1">IF(A219="","",IF(OR(P219="Pagada",R219=0),"Pagada",IF(O219&lt;TODAY(),"Vencida",IF(O219&lt;=TODAY()+Inicio!$B$19,"Próxima a vencer","Vigente"))))</f>
        <v/>
      </c>
      <c r="T219" s="18"/>
      <c r="U219" s="37" t="str">
        <f t="shared" si="27"/>
        <v/>
      </c>
      <c r="V219" s="37" t="str">
        <f t="shared" si="28"/>
        <v/>
      </c>
      <c r="W219" s="37" t="str">
        <f t="shared" si="29"/>
        <v/>
      </c>
      <c r="X219" s="37" t="str">
        <f t="shared" si="30"/>
        <v/>
      </c>
      <c r="Y219" s="37" t="str">
        <f>IF(OR($H219="",$J219=""),"",$J219*IFERROR(VLOOKUP($H219,Maestro_SKU!$A$2:$P$500,12,FALSE),1))</f>
        <v/>
      </c>
      <c r="Z219" s="37" t="str">
        <f t="shared" ca="1" si="31"/>
        <v/>
      </c>
    </row>
    <row r="220" spans="1:26" x14ac:dyDescent="0.35">
      <c r="A220" s="18"/>
      <c r="B220" s="26"/>
      <c r="C220" s="18"/>
      <c r="D220" s="18"/>
      <c r="E220" s="22" t="str">
        <f>IFERROR(VLOOKUP(D220,Clientes_PDV!$A$2:$J$250,2,FALSE),"")</f>
        <v/>
      </c>
      <c r="F220" s="22" t="str">
        <f>IFERROR(VLOOKUP(D220,Clientes_PDV!$A$2:$J$250,3,FALSE),"")</f>
        <v/>
      </c>
      <c r="G220" s="22" t="str">
        <f>IFERROR(VLOOKUP(D220,Clientes_PDV!$A$2:$J$250,4,FALSE),"")</f>
        <v/>
      </c>
      <c r="H220" s="18"/>
      <c r="I220" s="22" t="str">
        <f>IFERROR(VLOOKUP(H220,Maestro_SKU!$A$2:$P$500,2,FALSE),"")</f>
        <v/>
      </c>
      <c r="J220" s="27"/>
      <c r="K220" s="19"/>
      <c r="L220" s="23" t="str">
        <f t="shared" si="24"/>
        <v/>
      </c>
      <c r="M220" s="23" t="str">
        <f>IF(L220="","",L220*Inicio!$B$13)</f>
        <v/>
      </c>
      <c r="N220" s="23" t="str">
        <f t="shared" si="25"/>
        <v/>
      </c>
      <c r="O220" s="26"/>
      <c r="P220" s="18"/>
      <c r="Q220" s="19"/>
      <c r="R220" s="23" t="str">
        <f t="shared" si="26"/>
        <v/>
      </c>
      <c r="S220" s="22" t="str">
        <f ca="1">IF(A220="","",IF(OR(P220="Pagada",R220=0),"Pagada",IF(O220&lt;TODAY(),"Vencida",IF(O220&lt;=TODAY()+Inicio!$B$19,"Próxima a vencer","Vigente"))))</f>
        <v/>
      </c>
      <c r="T220" s="18"/>
      <c r="U220" s="37" t="str">
        <f t="shared" si="27"/>
        <v/>
      </c>
      <c r="V220" s="37" t="str">
        <f t="shared" si="28"/>
        <v/>
      </c>
      <c r="W220" s="37" t="str">
        <f t="shared" si="29"/>
        <v/>
      </c>
      <c r="X220" s="37" t="str">
        <f t="shared" si="30"/>
        <v/>
      </c>
      <c r="Y220" s="37" t="str">
        <f>IF(OR($H220="",$J220=""),"",$J220*IFERROR(VLOOKUP($H220,Maestro_SKU!$A$2:$P$500,12,FALSE),1))</f>
        <v/>
      </c>
      <c r="Z220" s="37" t="str">
        <f t="shared" ca="1" si="31"/>
        <v/>
      </c>
    </row>
    <row r="221" spans="1:26" x14ac:dyDescent="0.35">
      <c r="A221" s="18"/>
      <c r="B221" s="26"/>
      <c r="C221" s="18"/>
      <c r="D221" s="18"/>
      <c r="E221" s="22" t="str">
        <f>IFERROR(VLOOKUP(D221,Clientes_PDV!$A$2:$J$250,2,FALSE),"")</f>
        <v/>
      </c>
      <c r="F221" s="22" t="str">
        <f>IFERROR(VLOOKUP(D221,Clientes_PDV!$A$2:$J$250,3,FALSE),"")</f>
        <v/>
      </c>
      <c r="G221" s="22" t="str">
        <f>IFERROR(VLOOKUP(D221,Clientes_PDV!$A$2:$J$250,4,FALSE),"")</f>
        <v/>
      </c>
      <c r="H221" s="18"/>
      <c r="I221" s="22" t="str">
        <f>IFERROR(VLOOKUP(H221,Maestro_SKU!$A$2:$P$500,2,FALSE),"")</f>
        <v/>
      </c>
      <c r="J221" s="27"/>
      <c r="K221" s="19"/>
      <c r="L221" s="23" t="str">
        <f t="shared" si="24"/>
        <v/>
      </c>
      <c r="M221" s="23" t="str">
        <f>IF(L221="","",L221*Inicio!$B$13)</f>
        <v/>
      </c>
      <c r="N221" s="23" t="str">
        <f t="shared" si="25"/>
        <v/>
      </c>
      <c r="O221" s="26"/>
      <c r="P221" s="18"/>
      <c r="Q221" s="19"/>
      <c r="R221" s="23" t="str">
        <f t="shared" si="26"/>
        <v/>
      </c>
      <c r="S221" s="22" t="str">
        <f ca="1">IF(A221="","",IF(OR(P221="Pagada",R221=0),"Pagada",IF(O221&lt;TODAY(),"Vencida",IF(O221&lt;=TODAY()+Inicio!$B$19,"Próxima a vencer","Vigente"))))</f>
        <v/>
      </c>
      <c r="T221" s="18"/>
      <c r="U221" s="37" t="str">
        <f t="shared" si="27"/>
        <v/>
      </c>
      <c r="V221" s="37" t="str">
        <f t="shared" si="28"/>
        <v/>
      </c>
      <c r="W221" s="37" t="str">
        <f t="shared" si="29"/>
        <v/>
      </c>
      <c r="X221" s="37" t="str">
        <f t="shared" si="30"/>
        <v/>
      </c>
      <c r="Y221" s="37" t="str">
        <f>IF(OR($H221="",$J221=""),"",$J221*IFERROR(VLOOKUP($H221,Maestro_SKU!$A$2:$P$500,12,FALSE),1))</f>
        <v/>
      </c>
      <c r="Z221" s="37" t="str">
        <f t="shared" ca="1" si="31"/>
        <v/>
      </c>
    </row>
    <row r="222" spans="1:26" x14ac:dyDescent="0.35">
      <c r="A222" s="18"/>
      <c r="B222" s="26"/>
      <c r="C222" s="18"/>
      <c r="D222" s="18"/>
      <c r="E222" s="22" t="str">
        <f>IFERROR(VLOOKUP(D222,Clientes_PDV!$A$2:$J$250,2,FALSE),"")</f>
        <v/>
      </c>
      <c r="F222" s="22" t="str">
        <f>IFERROR(VLOOKUP(D222,Clientes_PDV!$A$2:$J$250,3,FALSE),"")</f>
        <v/>
      </c>
      <c r="G222" s="22" t="str">
        <f>IFERROR(VLOOKUP(D222,Clientes_PDV!$A$2:$J$250,4,FALSE),"")</f>
        <v/>
      </c>
      <c r="H222" s="18"/>
      <c r="I222" s="22" t="str">
        <f>IFERROR(VLOOKUP(H222,Maestro_SKU!$A$2:$P$500,2,FALSE),"")</f>
        <v/>
      </c>
      <c r="J222" s="27"/>
      <c r="K222" s="19"/>
      <c r="L222" s="23" t="str">
        <f t="shared" si="24"/>
        <v/>
      </c>
      <c r="M222" s="23" t="str">
        <f>IF(L222="","",L222*Inicio!$B$13)</f>
        <v/>
      </c>
      <c r="N222" s="23" t="str">
        <f t="shared" si="25"/>
        <v/>
      </c>
      <c r="O222" s="26"/>
      <c r="P222" s="18"/>
      <c r="Q222" s="19"/>
      <c r="R222" s="23" t="str">
        <f t="shared" si="26"/>
        <v/>
      </c>
      <c r="S222" s="22" t="str">
        <f ca="1">IF(A222="","",IF(OR(P222="Pagada",R222=0),"Pagada",IF(O222&lt;TODAY(),"Vencida",IF(O222&lt;=TODAY()+Inicio!$B$19,"Próxima a vencer","Vigente"))))</f>
        <v/>
      </c>
      <c r="T222" s="18"/>
      <c r="U222" s="37" t="str">
        <f t="shared" si="27"/>
        <v/>
      </c>
      <c r="V222" s="37" t="str">
        <f t="shared" si="28"/>
        <v/>
      </c>
      <c r="W222" s="37" t="str">
        <f t="shared" si="29"/>
        <v/>
      </c>
      <c r="X222" s="37" t="str">
        <f t="shared" si="30"/>
        <v/>
      </c>
      <c r="Y222" s="37" t="str">
        <f>IF(OR($H222="",$J222=""),"",$J222*IFERROR(VLOOKUP($H222,Maestro_SKU!$A$2:$P$500,12,FALSE),1))</f>
        <v/>
      </c>
      <c r="Z222" s="37" t="str">
        <f t="shared" ca="1" si="31"/>
        <v/>
      </c>
    </row>
    <row r="223" spans="1:26" x14ac:dyDescent="0.35">
      <c r="A223" s="18"/>
      <c r="B223" s="26"/>
      <c r="C223" s="18"/>
      <c r="D223" s="18"/>
      <c r="E223" s="22" t="str">
        <f>IFERROR(VLOOKUP(D223,Clientes_PDV!$A$2:$J$250,2,FALSE),"")</f>
        <v/>
      </c>
      <c r="F223" s="22" t="str">
        <f>IFERROR(VLOOKUP(D223,Clientes_PDV!$A$2:$J$250,3,FALSE),"")</f>
        <v/>
      </c>
      <c r="G223" s="22" t="str">
        <f>IFERROR(VLOOKUP(D223,Clientes_PDV!$A$2:$J$250,4,FALSE),"")</f>
        <v/>
      </c>
      <c r="H223" s="18"/>
      <c r="I223" s="22" t="str">
        <f>IFERROR(VLOOKUP(H223,Maestro_SKU!$A$2:$P$500,2,FALSE),"")</f>
        <v/>
      </c>
      <c r="J223" s="27"/>
      <c r="K223" s="19"/>
      <c r="L223" s="23" t="str">
        <f t="shared" si="24"/>
        <v/>
      </c>
      <c r="M223" s="23" t="str">
        <f>IF(L223="","",L223*Inicio!$B$13)</f>
        <v/>
      </c>
      <c r="N223" s="23" t="str">
        <f t="shared" si="25"/>
        <v/>
      </c>
      <c r="O223" s="26"/>
      <c r="P223" s="18"/>
      <c r="Q223" s="19"/>
      <c r="R223" s="23" t="str">
        <f t="shared" si="26"/>
        <v/>
      </c>
      <c r="S223" s="22" t="str">
        <f ca="1">IF(A223="","",IF(OR(P223="Pagada",R223=0),"Pagada",IF(O223&lt;TODAY(),"Vencida",IF(O223&lt;=TODAY()+Inicio!$B$19,"Próxima a vencer","Vigente"))))</f>
        <v/>
      </c>
      <c r="T223" s="18"/>
      <c r="U223" s="37" t="str">
        <f t="shared" si="27"/>
        <v/>
      </c>
      <c r="V223" s="37" t="str">
        <f t="shared" si="28"/>
        <v/>
      </c>
      <c r="W223" s="37" t="str">
        <f t="shared" si="29"/>
        <v/>
      </c>
      <c r="X223" s="37" t="str">
        <f t="shared" si="30"/>
        <v/>
      </c>
      <c r="Y223" s="37" t="str">
        <f>IF(OR($H223="",$J223=""),"",$J223*IFERROR(VLOOKUP($H223,Maestro_SKU!$A$2:$P$500,12,FALSE),1))</f>
        <v/>
      </c>
      <c r="Z223" s="37" t="str">
        <f t="shared" ca="1" si="31"/>
        <v/>
      </c>
    </row>
    <row r="224" spans="1:26" x14ac:dyDescent="0.35">
      <c r="A224" s="18"/>
      <c r="B224" s="26"/>
      <c r="C224" s="18"/>
      <c r="D224" s="18"/>
      <c r="E224" s="22" t="str">
        <f>IFERROR(VLOOKUP(D224,Clientes_PDV!$A$2:$J$250,2,FALSE),"")</f>
        <v/>
      </c>
      <c r="F224" s="22" t="str">
        <f>IFERROR(VLOOKUP(D224,Clientes_PDV!$A$2:$J$250,3,FALSE),"")</f>
        <v/>
      </c>
      <c r="G224" s="22" t="str">
        <f>IFERROR(VLOOKUP(D224,Clientes_PDV!$A$2:$J$250,4,FALSE),"")</f>
        <v/>
      </c>
      <c r="H224" s="18"/>
      <c r="I224" s="22" t="str">
        <f>IFERROR(VLOOKUP(H224,Maestro_SKU!$A$2:$P$500,2,FALSE),"")</f>
        <v/>
      </c>
      <c r="J224" s="27"/>
      <c r="K224" s="19"/>
      <c r="L224" s="23" t="str">
        <f t="shared" si="24"/>
        <v/>
      </c>
      <c r="M224" s="23" t="str">
        <f>IF(L224="","",L224*Inicio!$B$13)</f>
        <v/>
      </c>
      <c r="N224" s="23" t="str">
        <f t="shared" si="25"/>
        <v/>
      </c>
      <c r="O224" s="26"/>
      <c r="P224" s="18"/>
      <c r="Q224" s="19"/>
      <c r="R224" s="23" t="str">
        <f t="shared" si="26"/>
        <v/>
      </c>
      <c r="S224" s="22" t="str">
        <f ca="1">IF(A224="","",IF(OR(P224="Pagada",R224=0),"Pagada",IF(O224&lt;TODAY(),"Vencida",IF(O224&lt;=TODAY()+Inicio!$B$19,"Próxima a vencer","Vigente"))))</f>
        <v/>
      </c>
      <c r="T224" s="18"/>
      <c r="U224" s="37" t="str">
        <f t="shared" si="27"/>
        <v/>
      </c>
      <c r="V224" s="37" t="str">
        <f t="shared" si="28"/>
        <v/>
      </c>
      <c r="W224" s="37" t="str">
        <f t="shared" si="29"/>
        <v/>
      </c>
      <c r="X224" s="37" t="str">
        <f t="shared" si="30"/>
        <v/>
      </c>
      <c r="Y224" s="37" t="str">
        <f>IF(OR($H224="",$J224=""),"",$J224*IFERROR(VLOOKUP($H224,Maestro_SKU!$A$2:$P$500,12,FALSE),1))</f>
        <v/>
      </c>
      <c r="Z224" s="37" t="str">
        <f t="shared" ca="1" si="31"/>
        <v/>
      </c>
    </row>
    <row r="225" spans="1:26" x14ac:dyDescent="0.35">
      <c r="A225" s="18"/>
      <c r="B225" s="26"/>
      <c r="C225" s="18"/>
      <c r="D225" s="18"/>
      <c r="E225" s="22" t="str">
        <f>IFERROR(VLOOKUP(D225,Clientes_PDV!$A$2:$J$250,2,FALSE),"")</f>
        <v/>
      </c>
      <c r="F225" s="22" t="str">
        <f>IFERROR(VLOOKUP(D225,Clientes_PDV!$A$2:$J$250,3,FALSE),"")</f>
        <v/>
      </c>
      <c r="G225" s="22" t="str">
        <f>IFERROR(VLOOKUP(D225,Clientes_PDV!$A$2:$J$250,4,FALSE),"")</f>
        <v/>
      </c>
      <c r="H225" s="18"/>
      <c r="I225" s="22" t="str">
        <f>IFERROR(VLOOKUP(H225,Maestro_SKU!$A$2:$P$500,2,FALSE),"")</f>
        <v/>
      </c>
      <c r="J225" s="27"/>
      <c r="K225" s="19"/>
      <c r="L225" s="23" t="str">
        <f t="shared" si="24"/>
        <v/>
      </c>
      <c r="M225" s="23" t="str">
        <f>IF(L225="","",L225*Inicio!$B$13)</f>
        <v/>
      </c>
      <c r="N225" s="23" t="str">
        <f t="shared" si="25"/>
        <v/>
      </c>
      <c r="O225" s="26"/>
      <c r="P225" s="18"/>
      <c r="Q225" s="19"/>
      <c r="R225" s="23" t="str">
        <f t="shared" si="26"/>
        <v/>
      </c>
      <c r="S225" s="22" t="str">
        <f ca="1">IF(A225="","",IF(OR(P225="Pagada",R225=0),"Pagada",IF(O225&lt;TODAY(),"Vencida",IF(O225&lt;=TODAY()+Inicio!$B$19,"Próxima a vencer","Vigente"))))</f>
        <v/>
      </c>
      <c r="T225" s="18"/>
      <c r="U225" s="37" t="str">
        <f t="shared" si="27"/>
        <v/>
      </c>
      <c r="V225" s="37" t="str">
        <f t="shared" si="28"/>
        <v/>
      </c>
      <c r="W225" s="37" t="str">
        <f t="shared" si="29"/>
        <v/>
      </c>
      <c r="X225" s="37" t="str">
        <f t="shared" si="30"/>
        <v/>
      </c>
      <c r="Y225" s="37" t="str">
        <f>IF(OR($H225="",$J225=""),"",$J225*IFERROR(VLOOKUP($H225,Maestro_SKU!$A$2:$P$500,12,FALSE),1))</f>
        <v/>
      </c>
      <c r="Z225" s="37" t="str">
        <f t="shared" ca="1" si="31"/>
        <v/>
      </c>
    </row>
    <row r="226" spans="1:26" x14ac:dyDescent="0.35">
      <c r="A226" s="18"/>
      <c r="B226" s="26"/>
      <c r="C226" s="18"/>
      <c r="D226" s="18"/>
      <c r="E226" s="22" t="str">
        <f>IFERROR(VLOOKUP(D226,Clientes_PDV!$A$2:$J$250,2,FALSE),"")</f>
        <v/>
      </c>
      <c r="F226" s="22" t="str">
        <f>IFERROR(VLOOKUP(D226,Clientes_PDV!$A$2:$J$250,3,FALSE),"")</f>
        <v/>
      </c>
      <c r="G226" s="22" t="str">
        <f>IFERROR(VLOOKUP(D226,Clientes_PDV!$A$2:$J$250,4,FALSE),"")</f>
        <v/>
      </c>
      <c r="H226" s="18"/>
      <c r="I226" s="22" t="str">
        <f>IFERROR(VLOOKUP(H226,Maestro_SKU!$A$2:$P$500,2,FALSE),"")</f>
        <v/>
      </c>
      <c r="J226" s="27"/>
      <c r="K226" s="19"/>
      <c r="L226" s="23" t="str">
        <f t="shared" si="24"/>
        <v/>
      </c>
      <c r="M226" s="23" t="str">
        <f>IF(L226="","",L226*Inicio!$B$13)</f>
        <v/>
      </c>
      <c r="N226" s="23" t="str">
        <f t="shared" si="25"/>
        <v/>
      </c>
      <c r="O226" s="26"/>
      <c r="P226" s="18"/>
      <c r="Q226" s="19"/>
      <c r="R226" s="23" t="str">
        <f t="shared" si="26"/>
        <v/>
      </c>
      <c r="S226" s="22" t="str">
        <f ca="1">IF(A226="","",IF(OR(P226="Pagada",R226=0),"Pagada",IF(O226&lt;TODAY(),"Vencida",IF(O226&lt;=TODAY()+Inicio!$B$19,"Próxima a vencer","Vigente"))))</f>
        <v/>
      </c>
      <c r="T226" s="18"/>
      <c r="U226" s="37" t="str">
        <f t="shared" si="27"/>
        <v/>
      </c>
      <c r="V226" s="37" t="str">
        <f t="shared" si="28"/>
        <v/>
      </c>
      <c r="W226" s="37" t="str">
        <f t="shared" si="29"/>
        <v/>
      </c>
      <c r="X226" s="37" t="str">
        <f t="shared" si="30"/>
        <v/>
      </c>
      <c r="Y226" s="37" t="str">
        <f>IF(OR($H226="",$J226=""),"",$J226*IFERROR(VLOOKUP($H226,Maestro_SKU!$A$2:$P$500,12,FALSE),1))</f>
        <v/>
      </c>
      <c r="Z226" s="37" t="str">
        <f t="shared" ca="1" si="31"/>
        <v/>
      </c>
    </row>
    <row r="227" spans="1:26" x14ac:dyDescent="0.35">
      <c r="A227" s="18"/>
      <c r="B227" s="26"/>
      <c r="C227" s="18"/>
      <c r="D227" s="18"/>
      <c r="E227" s="22" t="str">
        <f>IFERROR(VLOOKUP(D227,Clientes_PDV!$A$2:$J$250,2,FALSE),"")</f>
        <v/>
      </c>
      <c r="F227" s="22" t="str">
        <f>IFERROR(VLOOKUP(D227,Clientes_PDV!$A$2:$J$250,3,FALSE),"")</f>
        <v/>
      </c>
      <c r="G227" s="22" t="str">
        <f>IFERROR(VLOOKUP(D227,Clientes_PDV!$A$2:$J$250,4,FALSE),"")</f>
        <v/>
      </c>
      <c r="H227" s="18"/>
      <c r="I227" s="22" t="str">
        <f>IFERROR(VLOOKUP(H227,Maestro_SKU!$A$2:$P$500,2,FALSE),"")</f>
        <v/>
      </c>
      <c r="J227" s="27"/>
      <c r="K227" s="19"/>
      <c r="L227" s="23" t="str">
        <f t="shared" si="24"/>
        <v/>
      </c>
      <c r="M227" s="23" t="str">
        <f>IF(L227="","",L227*Inicio!$B$13)</f>
        <v/>
      </c>
      <c r="N227" s="23" t="str">
        <f t="shared" si="25"/>
        <v/>
      </c>
      <c r="O227" s="26"/>
      <c r="P227" s="18"/>
      <c r="Q227" s="19"/>
      <c r="R227" s="23" t="str">
        <f t="shared" si="26"/>
        <v/>
      </c>
      <c r="S227" s="22" t="str">
        <f ca="1">IF(A227="","",IF(OR(P227="Pagada",R227=0),"Pagada",IF(O227&lt;TODAY(),"Vencida",IF(O227&lt;=TODAY()+Inicio!$B$19,"Próxima a vencer","Vigente"))))</f>
        <v/>
      </c>
      <c r="T227" s="18"/>
      <c r="U227" s="37" t="str">
        <f t="shared" si="27"/>
        <v/>
      </c>
      <c r="V227" s="37" t="str">
        <f t="shared" si="28"/>
        <v/>
      </c>
      <c r="W227" s="37" t="str">
        <f t="shared" si="29"/>
        <v/>
      </c>
      <c r="X227" s="37" t="str">
        <f t="shared" si="30"/>
        <v/>
      </c>
      <c r="Y227" s="37" t="str">
        <f>IF(OR($H227="",$J227=""),"",$J227*IFERROR(VLOOKUP($H227,Maestro_SKU!$A$2:$P$500,12,FALSE),1))</f>
        <v/>
      </c>
      <c r="Z227" s="37" t="str">
        <f t="shared" ca="1" si="31"/>
        <v/>
      </c>
    </row>
    <row r="228" spans="1:26" x14ac:dyDescent="0.35">
      <c r="A228" s="18"/>
      <c r="B228" s="26"/>
      <c r="C228" s="18"/>
      <c r="D228" s="18"/>
      <c r="E228" s="22" t="str">
        <f>IFERROR(VLOOKUP(D228,Clientes_PDV!$A$2:$J$250,2,FALSE),"")</f>
        <v/>
      </c>
      <c r="F228" s="22" t="str">
        <f>IFERROR(VLOOKUP(D228,Clientes_PDV!$A$2:$J$250,3,FALSE),"")</f>
        <v/>
      </c>
      <c r="G228" s="22" t="str">
        <f>IFERROR(VLOOKUP(D228,Clientes_PDV!$A$2:$J$250,4,FALSE),"")</f>
        <v/>
      </c>
      <c r="H228" s="18"/>
      <c r="I228" s="22" t="str">
        <f>IFERROR(VLOOKUP(H228,Maestro_SKU!$A$2:$P$500,2,FALSE),"")</f>
        <v/>
      </c>
      <c r="J228" s="27"/>
      <c r="K228" s="19"/>
      <c r="L228" s="23" t="str">
        <f t="shared" si="24"/>
        <v/>
      </c>
      <c r="M228" s="23" t="str">
        <f>IF(L228="","",L228*Inicio!$B$13)</f>
        <v/>
      </c>
      <c r="N228" s="23" t="str">
        <f t="shared" si="25"/>
        <v/>
      </c>
      <c r="O228" s="26"/>
      <c r="P228" s="18"/>
      <c r="Q228" s="19"/>
      <c r="R228" s="23" t="str">
        <f t="shared" si="26"/>
        <v/>
      </c>
      <c r="S228" s="22" t="str">
        <f ca="1">IF(A228="","",IF(OR(P228="Pagada",R228=0),"Pagada",IF(O228&lt;TODAY(),"Vencida",IF(O228&lt;=TODAY()+Inicio!$B$19,"Próxima a vencer","Vigente"))))</f>
        <v/>
      </c>
      <c r="T228" s="18"/>
      <c r="U228" s="37" t="str">
        <f t="shared" si="27"/>
        <v/>
      </c>
      <c r="V228" s="37" t="str">
        <f t="shared" si="28"/>
        <v/>
      </c>
      <c r="W228" s="37" t="str">
        <f t="shared" si="29"/>
        <v/>
      </c>
      <c r="X228" s="37" t="str">
        <f t="shared" si="30"/>
        <v/>
      </c>
      <c r="Y228" s="37" t="str">
        <f>IF(OR($H228="",$J228=""),"",$J228*IFERROR(VLOOKUP($H228,Maestro_SKU!$A$2:$P$500,12,FALSE),1))</f>
        <v/>
      </c>
      <c r="Z228" s="37" t="str">
        <f t="shared" ca="1" si="31"/>
        <v/>
      </c>
    </row>
    <row r="229" spans="1:26" x14ac:dyDescent="0.35">
      <c r="A229" s="18"/>
      <c r="B229" s="26"/>
      <c r="C229" s="18"/>
      <c r="D229" s="18"/>
      <c r="E229" s="22" t="str">
        <f>IFERROR(VLOOKUP(D229,Clientes_PDV!$A$2:$J$250,2,FALSE),"")</f>
        <v/>
      </c>
      <c r="F229" s="22" t="str">
        <f>IFERROR(VLOOKUP(D229,Clientes_PDV!$A$2:$J$250,3,FALSE),"")</f>
        <v/>
      </c>
      <c r="G229" s="22" t="str">
        <f>IFERROR(VLOOKUP(D229,Clientes_PDV!$A$2:$J$250,4,FALSE),"")</f>
        <v/>
      </c>
      <c r="H229" s="18"/>
      <c r="I229" s="22" t="str">
        <f>IFERROR(VLOOKUP(H229,Maestro_SKU!$A$2:$P$500,2,FALSE),"")</f>
        <v/>
      </c>
      <c r="J229" s="27"/>
      <c r="K229" s="19"/>
      <c r="L229" s="23" t="str">
        <f t="shared" si="24"/>
        <v/>
      </c>
      <c r="M229" s="23" t="str">
        <f>IF(L229="","",L229*Inicio!$B$13)</f>
        <v/>
      </c>
      <c r="N229" s="23" t="str">
        <f t="shared" si="25"/>
        <v/>
      </c>
      <c r="O229" s="26"/>
      <c r="P229" s="18"/>
      <c r="Q229" s="19"/>
      <c r="R229" s="23" t="str">
        <f t="shared" si="26"/>
        <v/>
      </c>
      <c r="S229" s="22" t="str">
        <f ca="1">IF(A229="","",IF(OR(P229="Pagada",R229=0),"Pagada",IF(O229&lt;TODAY(),"Vencida",IF(O229&lt;=TODAY()+Inicio!$B$19,"Próxima a vencer","Vigente"))))</f>
        <v/>
      </c>
      <c r="T229" s="18"/>
      <c r="U229" s="37" t="str">
        <f t="shared" si="27"/>
        <v/>
      </c>
      <c r="V229" s="37" t="str">
        <f t="shared" si="28"/>
        <v/>
      </c>
      <c r="W229" s="37" t="str">
        <f t="shared" si="29"/>
        <v/>
      </c>
      <c r="X229" s="37" t="str">
        <f t="shared" si="30"/>
        <v/>
      </c>
      <c r="Y229" s="37" t="str">
        <f>IF(OR($H229="",$J229=""),"",$J229*IFERROR(VLOOKUP($H229,Maestro_SKU!$A$2:$P$500,12,FALSE),1))</f>
        <v/>
      </c>
      <c r="Z229" s="37" t="str">
        <f t="shared" ca="1" si="31"/>
        <v/>
      </c>
    </row>
    <row r="230" spans="1:26" x14ac:dyDescent="0.35">
      <c r="A230" s="18"/>
      <c r="B230" s="26"/>
      <c r="C230" s="18"/>
      <c r="D230" s="18"/>
      <c r="E230" s="22" t="str">
        <f>IFERROR(VLOOKUP(D230,Clientes_PDV!$A$2:$J$250,2,FALSE),"")</f>
        <v/>
      </c>
      <c r="F230" s="22" t="str">
        <f>IFERROR(VLOOKUP(D230,Clientes_PDV!$A$2:$J$250,3,FALSE),"")</f>
        <v/>
      </c>
      <c r="G230" s="22" t="str">
        <f>IFERROR(VLOOKUP(D230,Clientes_PDV!$A$2:$J$250,4,FALSE),"")</f>
        <v/>
      </c>
      <c r="H230" s="18"/>
      <c r="I230" s="22" t="str">
        <f>IFERROR(VLOOKUP(H230,Maestro_SKU!$A$2:$P$500,2,FALSE),"")</f>
        <v/>
      </c>
      <c r="J230" s="27"/>
      <c r="K230" s="19"/>
      <c r="L230" s="23" t="str">
        <f t="shared" si="24"/>
        <v/>
      </c>
      <c r="M230" s="23" t="str">
        <f>IF(L230="","",L230*Inicio!$B$13)</f>
        <v/>
      </c>
      <c r="N230" s="23" t="str">
        <f t="shared" si="25"/>
        <v/>
      </c>
      <c r="O230" s="26"/>
      <c r="P230" s="18"/>
      <c r="Q230" s="19"/>
      <c r="R230" s="23" t="str">
        <f t="shared" si="26"/>
        <v/>
      </c>
      <c r="S230" s="22" t="str">
        <f ca="1">IF(A230="","",IF(OR(P230="Pagada",R230=0),"Pagada",IF(O230&lt;TODAY(),"Vencida",IF(O230&lt;=TODAY()+Inicio!$B$19,"Próxima a vencer","Vigente"))))</f>
        <v/>
      </c>
      <c r="T230" s="18"/>
      <c r="U230" s="37" t="str">
        <f t="shared" si="27"/>
        <v/>
      </c>
      <c r="V230" s="37" t="str">
        <f t="shared" si="28"/>
        <v/>
      </c>
      <c r="W230" s="37" t="str">
        <f t="shared" si="29"/>
        <v/>
      </c>
      <c r="X230" s="37" t="str">
        <f t="shared" si="30"/>
        <v/>
      </c>
      <c r="Y230" s="37" t="str">
        <f>IF(OR($H230="",$J230=""),"",$J230*IFERROR(VLOOKUP($H230,Maestro_SKU!$A$2:$P$500,12,FALSE),1))</f>
        <v/>
      </c>
      <c r="Z230" s="37" t="str">
        <f t="shared" ca="1" si="31"/>
        <v/>
      </c>
    </row>
    <row r="231" spans="1:26" x14ac:dyDescent="0.35">
      <c r="A231" s="18"/>
      <c r="B231" s="26"/>
      <c r="C231" s="18"/>
      <c r="D231" s="18"/>
      <c r="E231" s="22" t="str">
        <f>IFERROR(VLOOKUP(D231,Clientes_PDV!$A$2:$J$250,2,FALSE),"")</f>
        <v/>
      </c>
      <c r="F231" s="22" t="str">
        <f>IFERROR(VLOOKUP(D231,Clientes_PDV!$A$2:$J$250,3,FALSE),"")</f>
        <v/>
      </c>
      <c r="G231" s="22" t="str">
        <f>IFERROR(VLOOKUP(D231,Clientes_PDV!$A$2:$J$250,4,FALSE),"")</f>
        <v/>
      </c>
      <c r="H231" s="18"/>
      <c r="I231" s="22" t="str">
        <f>IFERROR(VLOOKUP(H231,Maestro_SKU!$A$2:$P$500,2,FALSE),"")</f>
        <v/>
      </c>
      <c r="J231" s="27"/>
      <c r="K231" s="19"/>
      <c r="L231" s="23" t="str">
        <f t="shared" si="24"/>
        <v/>
      </c>
      <c r="M231" s="23" t="str">
        <f>IF(L231="","",L231*Inicio!$B$13)</f>
        <v/>
      </c>
      <c r="N231" s="23" t="str">
        <f t="shared" si="25"/>
        <v/>
      </c>
      <c r="O231" s="26"/>
      <c r="P231" s="18"/>
      <c r="Q231" s="19"/>
      <c r="R231" s="23" t="str">
        <f t="shared" si="26"/>
        <v/>
      </c>
      <c r="S231" s="22" t="str">
        <f ca="1">IF(A231="","",IF(OR(P231="Pagada",R231=0),"Pagada",IF(O231&lt;TODAY(),"Vencida",IF(O231&lt;=TODAY()+Inicio!$B$19,"Próxima a vencer","Vigente"))))</f>
        <v/>
      </c>
      <c r="T231" s="18"/>
      <c r="U231" s="37" t="str">
        <f t="shared" si="27"/>
        <v/>
      </c>
      <c r="V231" s="37" t="str">
        <f t="shared" si="28"/>
        <v/>
      </c>
      <c r="W231" s="37" t="str">
        <f t="shared" si="29"/>
        <v/>
      </c>
      <c r="X231" s="37" t="str">
        <f t="shared" si="30"/>
        <v/>
      </c>
      <c r="Y231" s="37" t="str">
        <f>IF(OR($H231="",$J231=""),"",$J231*IFERROR(VLOOKUP($H231,Maestro_SKU!$A$2:$P$500,12,FALSE),1))</f>
        <v/>
      </c>
      <c r="Z231" s="37" t="str">
        <f t="shared" ca="1" si="31"/>
        <v/>
      </c>
    </row>
    <row r="232" spans="1:26" x14ac:dyDescent="0.35">
      <c r="A232" s="18"/>
      <c r="B232" s="26"/>
      <c r="C232" s="18"/>
      <c r="D232" s="18"/>
      <c r="E232" s="22" t="str">
        <f>IFERROR(VLOOKUP(D232,Clientes_PDV!$A$2:$J$250,2,FALSE),"")</f>
        <v/>
      </c>
      <c r="F232" s="22" t="str">
        <f>IFERROR(VLOOKUP(D232,Clientes_PDV!$A$2:$J$250,3,FALSE),"")</f>
        <v/>
      </c>
      <c r="G232" s="22" t="str">
        <f>IFERROR(VLOOKUP(D232,Clientes_PDV!$A$2:$J$250,4,FALSE),"")</f>
        <v/>
      </c>
      <c r="H232" s="18"/>
      <c r="I232" s="22" t="str">
        <f>IFERROR(VLOOKUP(H232,Maestro_SKU!$A$2:$P$500,2,FALSE),"")</f>
        <v/>
      </c>
      <c r="J232" s="27"/>
      <c r="K232" s="19"/>
      <c r="L232" s="23" t="str">
        <f t="shared" si="24"/>
        <v/>
      </c>
      <c r="M232" s="23" t="str">
        <f>IF(L232="","",L232*Inicio!$B$13)</f>
        <v/>
      </c>
      <c r="N232" s="23" t="str">
        <f t="shared" si="25"/>
        <v/>
      </c>
      <c r="O232" s="26"/>
      <c r="P232" s="18"/>
      <c r="Q232" s="19"/>
      <c r="R232" s="23" t="str">
        <f t="shared" si="26"/>
        <v/>
      </c>
      <c r="S232" s="22" t="str">
        <f ca="1">IF(A232="","",IF(OR(P232="Pagada",R232=0),"Pagada",IF(O232&lt;TODAY(),"Vencida",IF(O232&lt;=TODAY()+Inicio!$B$19,"Próxima a vencer","Vigente"))))</f>
        <v/>
      </c>
      <c r="T232" s="18"/>
      <c r="U232" s="37" t="str">
        <f t="shared" si="27"/>
        <v/>
      </c>
      <c r="V232" s="37" t="str">
        <f t="shared" si="28"/>
        <v/>
      </c>
      <c r="W232" s="37" t="str">
        <f t="shared" si="29"/>
        <v/>
      </c>
      <c r="X232" s="37" t="str">
        <f t="shared" si="30"/>
        <v/>
      </c>
      <c r="Y232" s="37" t="str">
        <f>IF(OR($H232="",$J232=""),"",$J232*IFERROR(VLOOKUP($H232,Maestro_SKU!$A$2:$P$500,12,FALSE),1))</f>
        <v/>
      </c>
      <c r="Z232" s="37" t="str">
        <f t="shared" ca="1" si="31"/>
        <v/>
      </c>
    </row>
    <row r="233" spans="1:26" x14ac:dyDescent="0.35">
      <c r="A233" s="18"/>
      <c r="B233" s="26"/>
      <c r="C233" s="18"/>
      <c r="D233" s="18"/>
      <c r="E233" s="22" t="str">
        <f>IFERROR(VLOOKUP(D233,Clientes_PDV!$A$2:$J$250,2,FALSE),"")</f>
        <v/>
      </c>
      <c r="F233" s="22" t="str">
        <f>IFERROR(VLOOKUP(D233,Clientes_PDV!$A$2:$J$250,3,FALSE),"")</f>
        <v/>
      </c>
      <c r="G233" s="22" t="str">
        <f>IFERROR(VLOOKUP(D233,Clientes_PDV!$A$2:$J$250,4,FALSE),"")</f>
        <v/>
      </c>
      <c r="H233" s="18"/>
      <c r="I233" s="22" t="str">
        <f>IFERROR(VLOOKUP(H233,Maestro_SKU!$A$2:$P$500,2,FALSE),"")</f>
        <v/>
      </c>
      <c r="J233" s="27"/>
      <c r="K233" s="19"/>
      <c r="L233" s="23" t="str">
        <f t="shared" si="24"/>
        <v/>
      </c>
      <c r="M233" s="23" t="str">
        <f>IF(L233="","",L233*Inicio!$B$13)</f>
        <v/>
      </c>
      <c r="N233" s="23" t="str">
        <f t="shared" si="25"/>
        <v/>
      </c>
      <c r="O233" s="26"/>
      <c r="P233" s="18"/>
      <c r="Q233" s="19"/>
      <c r="R233" s="23" t="str">
        <f t="shared" si="26"/>
        <v/>
      </c>
      <c r="S233" s="22" t="str">
        <f ca="1">IF(A233="","",IF(OR(P233="Pagada",R233=0),"Pagada",IF(O233&lt;TODAY(),"Vencida",IF(O233&lt;=TODAY()+Inicio!$B$19,"Próxima a vencer","Vigente"))))</f>
        <v/>
      </c>
      <c r="T233" s="18"/>
      <c r="U233" s="37" t="str">
        <f t="shared" si="27"/>
        <v/>
      </c>
      <c r="V233" s="37" t="str">
        <f t="shared" si="28"/>
        <v/>
      </c>
      <c r="W233" s="37" t="str">
        <f t="shared" si="29"/>
        <v/>
      </c>
      <c r="X233" s="37" t="str">
        <f t="shared" si="30"/>
        <v/>
      </c>
      <c r="Y233" s="37" t="str">
        <f>IF(OR($H233="",$J233=""),"",$J233*IFERROR(VLOOKUP($H233,Maestro_SKU!$A$2:$P$500,12,FALSE),1))</f>
        <v/>
      </c>
      <c r="Z233" s="37" t="str">
        <f t="shared" ca="1" si="31"/>
        <v/>
      </c>
    </row>
    <row r="234" spans="1:26" x14ac:dyDescent="0.35">
      <c r="A234" s="18"/>
      <c r="B234" s="26"/>
      <c r="C234" s="18"/>
      <c r="D234" s="18"/>
      <c r="E234" s="22" t="str">
        <f>IFERROR(VLOOKUP(D234,Clientes_PDV!$A$2:$J$250,2,FALSE),"")</f>
        <v/>
      </c>
      <c r="F234" s="22" t="str">
        <f>IFERROR(VLOOKUP(D234,Clientes_PDV!$A$2:$J$250,3,FALSE),"")</f>
        <v/>
      </c>
      <c r="G234" s="22" t="str">
        <f>IFERROR(VLOOKUP(D234,Clientes_PDV!$A$2:$J$250,4,FALSE),"")</f>
        <v/>
      </c>
      <c r="H234" s="18"/>
      <c r="I234" s="22" t="str">
        <f>IFERROR(VLOOKUP(H234,Maestro_SKU!$A$2:$P$500,2,FALSE),"")</f>
        <v/>
      </c>
      <c r="J234" s="27"/>
      <c r="K234" s="19"/>
      <c r="L234" s="23" t="str">
        <f t="shared" si="24"/>
        <v/>
      </c>
      <c r="M234" s="23" t="str">
        <f>IF(L234="","",L234*Inicio!$B$13)</f>
        <v/>
      </c>
      <c r="N234" s="23" t="str">
        <f t="shared" si="25"/>
        <v/>
      </c>
      <c r="O234" s="26"/>
      <c r="P234" s="18"/>
      <c r="Q234" s="19"/>
      <c r="R234" s="23" t="str">
        <f t="shared" si="26"/>
        <v/>
      </c>
      <c r="S234" s="22" t="str">
        <f ca="1">IF(A234="","",IF(OR(P234="Pagada",R234=0),"Pagada",IF(O234&lt;TODAY(),"Vencida",IF(O234&lt;=TODAY()+Inicio!$B$19,"Próxima a vencer","Vigente"))))</f>
        <v/>
      </c>
      <c r="T234" s="18"/>
      <c r="U234" s="37" t="str">
        <f t="shared" si="27"/>
        <v/>
      </c>
      <c r="V234" s="37" t="str">
        <f t="shared" si="28"/>
        <v/>
      </c>
      <c r="W234" s="37" t="str">
        <f t="shared" si="29"/>
        <v/>
      </c>
      <c r="X234" s="37" t="str">
        <f t="shared" si="30"/>
        <v/>
      </c>
      <c r="Y234" s="37" t="str">
        <f>IF(OR($H234="",$J234=""),"",$J234*IFERROR(VLOOKUP($H234,Maestro_SKU!$A$2:$P$500,12,FALSE),1))</f>
        <v/>
      </c>
      <c r="Z234" s="37" t="str">
        <f t="shared" ca="1" si="31"/>
        <v/>
      </c>
    </row>
    <row r="235" spans="1:26" x14ac:dyDescent="0.35">
      <c r="A235" s="18"/>
      <c r="B235" s="26"/>
      <c r="C235" s="18"/>
      <c r="D235" s="18"/>
      <c r="E235" s="22" t="str">
        <f>IFERROR(VLOOKUP(D235,Clientes_PDV!$A$2:$J$250,2,FALSE),"")</f>
        <v/>
      </c>
      <c r="F235" s="22" t="str">
        <f>IFERROR(VLOOKUP(D235,Clientes_PDV!$A$2:$J$250,3,FALSE),"")</f>
        <v/>
      </c>
      <c r="G235" s="22" t="str">
        <f>IFERROR(VLOOKUP(D235,Clientes_PDV!$A$2:$J$250,4,FALSE),"")</f>
        <v/>
      </c>
      <c r="H235" s="18"/>
      <c r="I235" s="22" t="str">
        <f>IFERROR(VLOOKUP(H235,Maestro_SKU!$A$2:$P$500,2,FALSE),"")</f>
        <v/>
      </c>
      <c r="J235" s="27"/>
      <c r="K235" s="19"/>
      <c r="L235" s="23" t="str">
        <f t="shared" si="24"/>
        <v/>
      </c>
      <c r="M235" s="23" t="str">
        <f>IF(L235="","",L235*Inicio!$B$13)</f>
        <v/>
      </c>
      <c r="N235" s="23" t="str">
        <f t="shared" si="25"/>
        <v/>
      </c>
      <c r="O235" s="26"/>
      <c r="P235" s="18"/>
      <c r="Q235" s="19"/>
      <c r="R235" s="23" t="str">
        <f t="shared" si="26"/>
        <v/>
      </c>
      <c r="S235" s="22" t="str">
        <f ca="1">IF(A235="","",IF(OR(P235="Pagada",R235=0),"Pagada",IF(O235&lt;TODAY(),"Vencida",IF(O235&lt;=TODAY()+Inicio!$B$19,"Próxima a vencer","Vigente"))))</f>
        <v/>
      </c>
      <c r="T235" s="18"/>
      <c r="U235" s="37" t="str">
        <f t="shared" si="27"/>
        <v/>
      </c>
      <c r="V235" s="37" t="str">
        <f t="shared" si="28"/>
        <v/>
      </c>
      <c r="W235" s="37" t="str">
        <f t="shared" si="29"/>
        <v/>
      </c>
      <c r="X235" s="37" t="str">
        <f t="shared" si="30"/>
        <v/>
      </c>
      <c r="Y235" s="37" t="str">
        <f>IF(OR($H235="",$J235=""),"",$J235*IFERROR(VLOOKUP($H235,Maestro_SKU!$A$2:$P$500,12,FALSE),1))</f>
        <v/>
      </c>
      <c r="Z235" s="37" t="str">
        <f t="shared" ca="1" si="31"/>
        <v/>
      </c>
    </row>
    <row r="236" spans="1:26" x14ac:dyDescent="0.35">
      <c r="A236" s="18"/>
      <c r="B236" s="26"/>
      <c r="C236" s="18"/>
      <c r="D236" s="18"/>
      <c r="E236" s="22" t="str">
        <f>IFERROR(VLOOKUP(D236,Clientes_PDV!$A$2:$J$250,2,FALSE),"")</f>
        <v/>
      </c>
      <c r="F236" s="22" t="str">
        <f>IFERROR(VLOOKUP(D236,Clientes_PDV!$A$2:$J$250,3,FALSE),"")</f>
        <v/>
      </c>
      <c r="G236" s="22" t="str">
        <f>IFERROR(VLOOKUP(D236,Clientes_PDV!$A$2:$J$250,4,FALSE),"")</f>
        <v/>
      </c>
      <c r="H236" s="18"/>
      <c r="I236" s="22" t="str">
        <f>IFERROR(VLOOKUP(H236,Maestro_SKU!$A$2:$P$500,2,FALSE),"")</f>
        <v/>
      </c>
      <c r="J236" s="27"/>
      <c r="K236" s="19"/>
      <c r="L236" s="23" t="str">
        <f t="shared" si="24"/>
        <v/>
      </c>
      <c r="M236" s="23" t="str">
        <f>IF(L236="","",L236*Inicio!$B$13)</f>
        <v/>
      </c>
      <c r="N236" s="23" t="str">
        <f t="shared" si="25"/>
        <v/>
      </c>
      <c r="O236" s="26"/>
      <c r="P236" s="18"/>
      <c r="Q236" s="19"/>
      <c r="R236" s="23" t="str">
        <f t="shared" si="26"/>
        <v/>
      </c>
      <c r="S236" s="22" t="str">
        <f ca="1">IF(A236="","",IF(OR(P236="Pagada",R236=0),"Pagada",IF(O236&lt;TODAY(),"Vencida",IF(O236&lt;=TODAY()+Inicio!$B$19,"Próxima a vencer","Vigente"))))</f>
        <v/>
      </c>
      <c r="T236" s="18"/>
      <c r="U236" s="37" t="str">
        <f t="shared" si="27"/>
        <v/>
      </c>
      <c r="V236" s="37" t="str">
        <f t="shared" si="28"/>
        <v/>
      </c>
      <c r="W236" s="37" t="str">
        <f t="shared" si="29"/>
        <v/>
      </c>
      <c r="X236" s="37" t="str">
        <f t="shared" si="30"/>
        <v/>
      </c>
      <c r="Y236" s="37" t="str">
        <f>IF(OR($H236="",$J236=""),"",$J236*IFERROR(VLOOKUP($H236,Maestro_SKU!$A$2:$P$500,12,FALSE),1))</f>
        <v/>
      </c>
      <c r="Z236" s="37" t="str">
        <f t="shared" ca="1" si="31"/>
        <v/>
      </c>
    </row>
    <row r="237" spans="1:26" x14ac:dyDescent="0.35">
      <c r="A237" s="18"/>
      <c r="B237" s="26"/>
      <c r="C237" s="18"/>
      <c r="D237" s="18"/>
      <c r="E237" s="22" t="str">
        <f>IFERROR(VLOOKUP(D237,Clientes_PDV!$A$2:$J$250,2,FALSE),"")</f>
        <v/>
      </c>
      <c r="F237" s="22" t="str">
        <f>IFERROR(VLOOKUP(D237,Clientes_PDV!$A$2:$J$250,3,FALSE),"")</f>
        <v/>
      </c>
      <c r="G237" s="22" t="str">
        <f>IFERROR(VLOOKUP(D237,Clientes_PDV!$A$2:$J$250,4,FALSE),"")</f>
        <v/>
      </c>
      <c r="H237" s="18"/>
      <c r="I237" s="22" t="str">
        <f>IFERROR(VLOOKUP(H237,Maestro_SKU!$A$2:$P$500,2,FALSE),"")</f>
        <v/>
      </c>
      <c r="J237" s="27"/>
      <c r="K237" s="19"/>
      <c r="L237" s="23" t="str">
        <f t="shared" si="24"/>
        <v/>
      </c>
      <c r="M237" s="23" t="str">
        <f>IF(L237="","",L237*Inicio!$B$13)</f>
        <v/>
      </c>
      <c r="N237" s="23" t="str">
        <f t="shared" si="25"/>
        <v/>
      </c>
      <c r="O237" s="26"/>
      <c r="P237" s="18"/>
      <c r="Q237" s="19"/>
      <c r="R237" s="23" t="str">
        <f t="shared" si="26"/>
        <v/>
      </c>
      <c r="S237" s="22" t="str">
        <f ca="1">IF(A237="","",IF(OR(P237="Pagada",R237=0),"Pagada",IF(O237&lt;TODAY(),"Vencida",IF(O237&lt;=TODAY()+Inicio!$B$19,"Próxima a vencer","Vigente"))))</f>
        <v/>
      </c>
      <c r="T237" s="18"/>
      <c r="U237" s="37" t="str">
        <f t="shared" si="27"/>
        <v/>
      </c>
      <c r="V237" s="37" t="str">
        <f t="shared" si="28"/>
        <v/>
      </c>
      <c r="W237" s="37" t="str">
        <f t="shared" si="29"/>
        <v/>
      </c>
      <c r="X237" s="37" t="str">
        <f t="shared" si="30"/>
        <v/>
      </c>
      <c r="Y237" s="37" t="str">
        <f>IF(OR($H237="",$J237=""),"",$J237*IFERROR(VLOOKUP($H237,Maestro_SKU!$A$2:$P$500,12,FALSE),1))</f>
        <v/>
      </c>
      <c r="Z237" s="37" t="str">
        <f t="shared" ca="1" si="31"/>
        <v/>
      </c>
    </row>
    <row r="238" spans="1:26" x14ac:dyDescent="0.35">
      <c r="A238" s="18"/>
      <c r="B238" s="26"/>
      <c r="C238" s="18"/>
      <c r="D238" s="18"/>
      <c r="E238" s="22" t="str">
        <f>IFERROR(VLOOKUP(D238,Clientes_PDV!$A$2:$J$250,2,FALSE),"")</f>
        <v/>
      </c>
      <c r="F238" s="22" t="str">
        <f>IFERROR(VLOOKUP(D238,Clientes_PDV!$A$2:$J$250,3,FALSE),"")</f>
        <v/>
      </c>
      <c r="G238" s="22" t="str">
        <f>IFERROR(VLOOKUP(D238,Clientes_PDV!$A$2:$J$250,4,FALSE),"")</f>
        <v/>
      </c>
      <c r="H238" s="18"/>
      <c r="I238" s="22" t="str">
        <f>IFERROR(VLOOKUP(H238,Maestro_SKU!$A$2:$P$500,2,FALSE),"")</f>
        <v/>
      </c>
      <c r="J238" s="27"/>
      <c r="K238" s="19"/>
      <c r="L238" s="23" t="str">
        <f t="shared" si="24"/>
        <v/>
      </c>
      <c r="M238" s="23" t="str">
        <f>IF(L238="","",L238*Inicio!$B$13)</f>
        <v/>
      </c>
      <c r="N238" s="23" t="str">
        <f t="shared" si="25"/>
        <v/>
      </c>
      <c r="O238" s="26"/>
      <c r="P238" s="18"/>
      <c r="Q238" s="19"/>
      <c r="R238" s="23" t="str">
        <f t="shared" si="26"/>
        <v/>
      </c>
      <c r="S238" s="22" t="str">
        <f ca="1">IF(A238="","",IF(OR(P238="Pagada",R238=0),"Pagada",IF(O238&lt;TODAY(),"Vencida",IF(O238&lt;=TODAY()+Inicio!$B$19,"Próxima a vencer","Vigente"))))</f>
        <v/>
      </c>
      <c r="T238" s="18"/>
      <c r="U238" s="37" t="str">
        <f t="shared" si="27"/>
        <v/>
      </c>
      <c r="V238" s="37" t="str">
        <f t="shared" si="28"/>
        <v/>
      </c>
      <c r="W238" s="37" t="str">
        <f t="shared" si="29"/>
        <v/>
      </c>
      <c r="X238" s="37" t="str">
        <f t="shared" si="30"/>
        <v/>
      </c>
      <c r="Y238" s="37" t="str">
        <f>IF(OR($H238="",$J238=""),"",$J238*IFERROR(VLOOKUP($H238,Maestro_SKU!$A$2:$P$500,12,FALSE),1))</f>
        <v/>
      </c>
      <c r="Z238" s="37" t="str">
        <f t="shared" ca="1" si="31"/>
        <v/>
      </c>
    </row>
    <row r="239" spans="1:26" x14ac:dyDescent="0.35">
      <c r="A239" s="18"/>
      <c r="B239" s="26"/>
      <c r="C239" s="18"/>
      <c r="D239" s="18"/>
      <c r="E239" s="22" t="str">
        <f>IFERROR(VLOOKUP(D239,Clientes_PDV!$A$2:$J$250,2,FALSE),"")</f>
        <v/>
      </c>
      <c r="F239" s="22" t="str">
        <f>IFERROR(VLOOKUP(D239,Clientes_PDV!$A$2:$J$250,3,FALSE),"")</f>
        <v/>
      </c>
      <c r="G239" s="22" t="str">
        <f>IFERROR(VLOOKUP(D239,Clientes_PDV!$A$2:$J$250,4,FALSE),"")</f>
        <v/>
      </c>
      <c r="H239" s="18"/>
      <c r="I239" s="22" t="str">
        <f>IFERROR(VLOOKUP(H239,Maestro_SKU!$A$2:$P$500,2,FALSE),"")</f>
        <v/>
      </c>
      <c r="J239" s="27"/>
      <c r="K239" s="19"/>
      <c r="L239" s="23" t="str">
        <f t="shared" si="24"/>
        <v/>
      </c>
      <c r="M239" s="23" t="str">
        <f>IF(L239="","",L239*Inicio!$B$13)</f>
        <v/>
      </c>
      <c r="N239" s="23" t="str">
        <f t="shared" si="25"/>
        <v/>
      </c>
      <c r="O239" s="26"/>
      <c r="P239" s="18"/>
      <c r="Q239" s="19"/>
      <c r="R239" s="23" t="str">
        <f t="shared" si="26"/>
        <v/>
      </c>
      <c r="S239" s="22" t="str">
        <f ca="1">IF(A239="","",IF(OR(P239="Pagada",R239=0),"Pagada",IF(O239&lt;TODAY(),"Vencida",IF(O239&lt;=TODAY()+Inicio!$B$19,"Próxima a vencer","Vigente"))))</f>
        <v/>
      </c>
      <c r="T239" s="18"/>
      <c r="U239" s="37" t="str">
        <f t="shared" si="27"/>
        <v/>
      </c>
      <c r="V239" s="37" t="str">
        <f t="shared" si="28"/>
        <v/>
      </c>
      <c r="W239" s="37" t="str">
        <f t="shared" si="29"/>
        <v/>
      </c>
      <c r="X239" s="37" t="str">
        <f t="shared" si="30"/>
        <v/>
      </c>
      <c r="Y239" s="37" t="str">
        <f>IF(OR($H239="",$J239=""),"",$J239*IFERROR(VLOOKUP($H239,Maestro_SKU!$A$2:$P$500,12,FALSE),1))</f>
        <v/>
      </c>
      <c r="Z239" s="37" t="str">
        <f t="shared" ca="1" si="31"/>
        <v/>
      </c>
    </row>
    <row r="240" spans="1:26" x14ac:dyDescent="0.35">
      <c r="A240" s="18"/>
      <c r="B240" s="26"/>
      <c r="C240" s="18"/>
      <c r="D240" s="18"/>
      <c r="E240" s="22" t="str">
        <f>IFERROR(VLOOKUP(D240,Clientes_PDV!$A$2:$J$250,2,FALSE),"")</f>
        <v/>
      </c>
      <c r="F240" s="22" t="str">
        <f>IFERROR(VLOOKUP(D240,Clientes_PDV!$A$2:$J$250,3,FALSE),"")</f>
        <v/>
      </c>
      <c r="G240" s="22" t="str">
        <f>IFERROR(VLOOKUP(D240,Clientes_PDV!$A$2:$J$250,4,FALSE),"")</f>
        <v/>
      </c>
      <c r="H240" s="18"/>
      <c r="I240" s="22" t="str">
        <f>IFERROR(VLOOKUP(H240,Maestro_SKU!$A$2:$P$500,2,FALSE),"")</f>
        <v/>
      </c>
      <c r="J240" s="27"/>
      <c r="K240" s="19"/>
      <c r="L240" s="23" t="str">
        <f t="shared" si="24"/>
        <v/>
      </c>
      <c r="M240" s="23" t="str">
        <f>IF(L240="","",L240*Inicio!$B$13)</f>
        <v/>
      </c>
      <c r="N240" s="23" t="str">
        <f t="shared" si="25"/>
        <v/>
      </c>
      <c r="O240" s="26"/>
      <c r="P240" s="18"/>
      <c r="Q240" s="19"/>
      <c r="R240" s="23" t="str">
        <f t="shared" si="26"/>
        <v/>
      </c>
      <c r="S240" s="22" t="str">
        <f ca="1">IF(A240="","",IF(OR(P240="Pagada",R240=0),"Pagada",IF(O240&lt;TODAY(),"Vencida",IF(O240&lt;=TODAY()+Inicio!$B$19,"Próxima a vencer","Vigente"))))</f>
        <v/>
      </c>
      <c r="T240" s="18"/>
      <c r="U240" s="37" t="str">
        <f t="shared" si="27"/>
        <v/>
      </c>
      <c r="V240" s="37" t="str">
        <f t="shared" si="28"/>
        <v/>
      </c>
      <c r="W240" s="37" t="str">
        <f t="shared" si="29"/>
        <v/>
      </c>
      <c r="X240" s="37" t="str">
        <f t="shared" si="30"/>
        <v/>
      </c>
      <c r="Y240" s="37" t="str">
        <f>IF(OR($H240="",$J240=""),"",$J240*IFERROR(VLOOKUP($H240,Maestro_SKU!$A$2:$P$500,12,FALSE),1))</f>
        <v/>
      </c>
      <c r="Z240" s="37" t="str">
        <f t="shared" ca="1" si="31"/>
        <v/>
      </c>
    </row>
    <row r="241" spans="1:26" x14ac:dyDescent="0.35">
      <c r="A241" s="18"/>
      <c r="B241" s="26"/>
      <c r="C241" s="18"/>
      <c r="D241" s="18"/>
      <c r="E241" s="22" t="str">
        <f>IFERROR(VLOOKUP(D241,Clientes_PDV!$A$2:$J$250,2,FALSE),"")</f>
        <v/>
      </c>
      <c r="F241" s="22" t="str">
        <f>IFERROR(VLOOKUP(D241,Clientes_PDV!$A$2:$J$250,3,FALSE),"")</f>
        <v/>
      </c>
      <c r="G241" s="22" t="str">
        <f>IFERROR(VLOOKUP(D241,Clientes_PDV!$A$2:$J$250,4,FALSE),"")</f>
        <v/>
      </c>
      <c r="H241" s="18"/>
      <c r="I241" s="22" t="str">
        <f>IFERROR(VLOOKUP(H241,Maestro_SKU!$A$2:$P$500,2,FALSE),"")</f>
        <v/>
      </c>
      <c r="J241" s="27"/>
      <c r="K241" s="19"/>
      <c r="L241" s="23" t="str">
        <f t="shared" si="24"/>
        <v/>
      </c>
      <c r="M241" s="23" t="str">
        <f>IF(L241="","",L241*Inicio!$B$13)</f>
        <v/>
      </c>
      <c r="N241" s="23" t="str">
        <f t="shared" si="25"/>
        <v/>
      </c>
      <c r="O241" s="26"/>
      <c r="P241" s="18"/>
      <c r="Q241" s="19"/>
      <c r="R241" s="23" t="str">
        <f t="shared" si="26"/>
        <v/>
      </c>
      <c r="S241" s="22" t="str">
        <f ca="1">IF(A241="","",IF(OR(P241="Pagada",R241=0),"Pagada",IF(O241&lt;TODAY(),"Vencida",IF(O241&lt;=TODAY()+Inicio!$B$19,"Próxima a vencer","Vigente"))))</f>
        <v/>
      </c>
      <c r="T241" s="18"/>
      <c r="U241" s="37" t="str">
        <f t="shared" si="27"/>
        <v/>
      </c>
      <c r="V241" s="37" t="str">
        <f t="shared" si="28"/>
        <v/>
      </c>
      <c r="W241" s="37" t="str">
        <f t="shared" si="29"/>
        <v/>
      </c>
      <c r="X241" s="37" t="str">
        <f t="shared" si="30"/>
        <v/>
      </c>
      <c r="Y241" s="37" t="str">
        <f>IF(OR($H241="",$J241=""),"",$J241*IFERROR(VLOOKUP($H241,Maestro_SKU!$A$2:$P$500,12,FALSE),1))</f>
        <v/>
      </c>
      <c r="Z241" s="37" t="str">
        <f t="shared" ca="1" si="31"/>
        <v/>
      </c>
    </row>
    <row r="242" spans="1:26" x14ac:dyDescent="0.35">
      <c r="A242" s="18"/>
      <c r="B242" s="26"/>
      <c r="C242" s="18"/>
      <c r="D242" s="18"/>
      <c r="E242" s="22" t="str">
        <f>IFERROR(VLOOKUP(D242,Clientes_PDV!$A$2:$J$250,2,FALSE),"")</f>
        <v/>
      </c>
      <c r="F242" s="22" t="str">
        <f>IFERROR(VLOOKUP(D242,Clientes_PDV!$A$2:$J$250,3,FALSE),"")</f>
        <v/>
      </c>
      <c r="G242" s="22" t="str">
        <f>IFERROR(VLOOKUP(D242,Clientes_PDV!$A$2:$J$250,4,FALSE),"")</f>
        <v/>
      </c>
      <c r="H242" s="18"/>
      <c r="I242" s="22" t="str">
        <f>IFERROR(VLOOKUP(H242,Maestro_SKU!$A$2:$P$500,2,FALSE),"")</f>
        <v/>
      </c>
      <c r="J242" s="27"/>
      <c r="K242" s="19"/>
      <c r="L242" s="23" t="str">
        <f t="shared" si="24"/>
        <v/>
      </c>
      <c r="M242" s="23" t="str">
        <f>IF(L242="","",L242*Inicio!$B$13)</f>
        <v/>
      </c>
      <c r="N242" s="23" t="str">
        <f t="shared" si="25"/>
        <v/>
      </c>
      <c r="O242" s="26"/>
      <c r="P242" s="18"/>
      <c r="Q242" s="19"/>
      <c r="R242" s="23" t="str">
        <f t="shared" si="26"/>
        <v/>
      </c>
      <c r="S242" s="22" t="str">
        <f ca="1">IF(A242="","",IF(OR(P242="Pagada",R242=0),"Pagada",IF(O242&lt;TODAY(),"Vencida",IF(O242&lt;=TODAY()+Inicio!$B$19,"Próxima a vencer","Vigente"))))</f>
        <v/>
      </c>
      <c r="T242" s="18"/>
      <c r="U242" s="37" t="str">
        <f t="shared" si="27"/>
        <v/>
      </c>
      <c r="V242" s="37" t="str">
        <f t="shared" si="28"/>
        <v/>
      </c>
      <c r="W242" s="37" t="str">
        <f t="shared" si="29"/>
        <v/>
      </c>
      <c r="X242" s="37" t="str">
        <f t="shared" si="30"/>
        <v/>
      </c>
      <c r="Y242" s="37" t="str">
        <f>IF(OR($H242="",$J242=""),"",$J242*IFERROR(VLOOKUP($H242,Maestro_SKU!$A$2:$P$500,12,FALSE),1))</f>
        <v/>
      </c>
      <c r="Z242" s="37" t="str">
        <f t="shared" ca="1" si="31"/>
        <v/>
      </c>
    </row>
    <row r="243" spans="1:26" x14ac:dyDescent="0.35">
      <c r="A243" s="18"/>
      <c r="B243" s="26"/>
      <c r="C243" s="18"/>
      <c r="D243" s="18"/>
      <c r="E243" s="22" t="str">
        <f>IFERROR(VLOOKUP(D243,Clientes_PDV!$A$2:$J$250,2,FALSE),"")</f>
        <v/>
      </c>
      <c r="F243" s="22" t="str">
        <f>IFERROR(VLOOKUP(D243,Clientes_PDV!$A$2:$J$250,3,FALSE),"")</f>
        <v/>
      </c>
      <c r="G243" s="22" t="str">
        <f>IFERROR(VLOOKUP(D243,Clientes_PDV!$A$2:$J$250,4,FALSE),"")</f>
        <v/>
      </c>
      <c r="H243" s="18"/>
      <c r="I243" s="22" t="str">
        <f>IFERROR(VLOOKUP(H243,Maestro_SKU!$A$2:$P$500,2,FALSE),"")</f>
        <v/>
      </c>
      <c r="J243" s="27"/>
      <c r="K243" s="19"/>
      <c r="L243" s="23" t="str">
        <f t="shared" si="24"/>
        <v/>
      </c>
      <c r="M243" s="23" t="str">
        <f>IF(L243="","",L243*Inicio!$B$13)</f>
        <v/>
      </c>
      <c r="N243" s="23" t="str">
        <f t="shared" si="25"/>
        <v/>
      </c>
      <c r="O243" s="26"/>
      <c r="P243" s="18"/>
      <c r="Q243" s="19"/>
      <c r="R243" s="23" t="str">
        <f t="shared" si="26"/>
        <v/>
      </c>
      <c r="S243" s="22" t="str">
        <f ca="1">IF(A243="","",IF(OR(P243="Pagada",R243=0),"Pagada",IF(O243&lt;TODAY(),"Vencida",IF(O243&lt;=TODAY()+Inicio!$B$19,"Próxima a vencer","Vigente"))))</f>
        <v/>
      </c>
      <c r="T243" s="18"/>
      <c r="U243" s="37" t="str">
        <f t="shared" si="27"/>
        <v/>
      </c>
      <c r="V243" s="37" t="str">
        <f t="shared" si="28"/>
        <v/>
      </c>
      <c r="W243" s="37" t="str">
        <f t="shared" si="29"/>
        <v/>
      </c>
      <c r="X243" s="37" t="str">
        <f t="shared" si="30"/>
        <v/>
      </c>
      <c r="Y243" s="37" t="str">
        <f>IF(OR($H243="",$J243=""),"",$J243*IFERROR(VLOOKUP($H243,Maestro_SKU!$A$2:$P$500,12,FALSE),1))</f>
        <v/>
      </c>
      <c r="Z243" s="37" t="str">
        <f t="shared" ca="1" si="31"/>
        <v/>
      </c>
    </row>
    <row r="244" spans="1:26" x14ac:dyDescent="0.35">
      <c r="A244" s="18"/>
      <c r="B244" s="26"/>
      <c r="C244" s="18"/>
      <c r="D244" s="18"/>
      <c r="E244" s="22" t="str">
        <f>IFERROR(VLOOKUP(D244,Clientes_PDV!$A$2:$J$250,2,FALSE),"")</f>
        <v/>
      </c>
      <c r="F244" s="22" t="str">
        <f>IFERROR(VLOOKUP(D244,Clientes_PDV!$A$2:$J$250,3,FALSE),"")</f>
        <v/>
      </c>
      <c r="G244" s="22" t="str">
        <f>IFERROR(VLOOKUP(D244,Clientes_PDV!$A$2:$J$250,4,FALSE),"")</f>
        <v/>
      </c>
      <c r="H244" s="18"/>
      <c r="I244" s="22" t="str">
        <f>IFERROR(VLOOKUP(H244,Maestro_SKU!$A$2:$P$500,2,FALSE),"")</f>
        <v/>
      </c>
      <c r="J244" s="27"/>
      <c r="K244" s="19"/>
      <c r="L244" s="23" t="str">
        <f t="shared" si="24"/>
        <v/>
      </c>
      <c r="M244" s="23" t="str">
        <f>IF(L244="","",L244*Inicio!$B$13)</f>
        <v/>
      </c>
      <c r="N244" s="23" t="str">
        <f t="shared" si="25"/>
        <v/>
      </c>
      <c r="O244" s="26"/>
      <c r="P244" s="18"/>
      <c r="Q244" s="19"/>
      <c r="R244" s="23" t="str">
        <f t="shared" si="26"/>
        <v/>
      </c>
      <c r="S244" s="22" t="str">
        <f ca="1">IF(A244="","",IF(OR(P244="Pagada",R244=0),"Pagada",IF(O244&lt;TODAY(),"Vencida",IF(O244&lt;=TODAY()+Inicio!$B$19,"Próxima a vencer","Vigente"))))</f>
        <v/>
      </c>
      <c r="T244" s="18"/>
      <c r="U244" s="37" t="str">
        <f t="shared" si="27"/>
        <v/>
      </c>
      <c r="V244" s="37" t="str">
        <f t="shared" si="28"/>
        <v/>
      </c>
      <c r="W244" s="37" t="str">
        <f t="shared" si="29"/>
        <v/>
      </c>
      <c r="X244" s="37" t="str">
        <f t="shared" si="30"/>
        <v/>
      </c>
      <c r="Y244" s="37" t="str">
        <f>IF(OR($H244="",$J244=""),"",$J244*IFERROR(VLOOKUP($H244,Maestro_SKU!$A$2:$P$500,12,FALSE),1))</f>
        <v/>
      </c>
      <c r="Z244" s="37" t="str">
        <f t="shared" ca="1" si="31"/>
        <v/>
      </c>
    </row>
    <row r="245" spans="1:26" x14ac:dyDescent="0.35">
      <c r="A245" s="18"/>
      <c r="B245" s="26"/>
      <c r="C245" s="18"/>
      <c r="D245" s="18"/>
      <c r="E245" s="22" t="str">
        <f>IFERROR(VLOOKUP(D245,Clientes_PDV!$A$2:$J$250,2,FALSE),"")</f>
        <v/>
      </c>
      <c r="F245" s="22" t="str">
        <f>IFERROR(VLOOKUP(D245,Clientes_PDV!$A$2:$J$250,3,FALSE),"")</f>
        <v/>
      </c>
      <c r="G245" s="22" t="str">
        <f>IFERROR(VLOOKUP(D245,Clientes_PDV!$A$2:$J$250,4,FALSE),"")</f>
        <v/>
      </c>
      <c r="H245" s="18"/>
      <c r="I245" s="22" t="str">
        <f>IFERROR(VLOOKUP(H245,Maestro_SKU!$A$2:$P$500,2,FALSE),"")</f>
        <v/>
      </c>
      <c r="J245" s="27"/>
      <c r="K245" s="19"/>
      <c r="L245" s="23" t="str">
        <f t="shared" si="24"/>
        <v/>
      </c>
      <c r="M245" s="23" t="str">
        <f>IF(L245="","",L245*Inicio!$B$13)</f>
        <v/>
      </c>
      <c r="N245" s="23" t="str">
        <f t="shared" si="25"/>
        <v/>
      </c>
      <c r="O245" s="26"/>
      <c r="P245" s="18"/>
      <c r="Q245" s="19"/>
      <c r="R245" s="23" t="str">
        <f t="shared" si="26"/>
        <v/>
      </c>
      <c r="S245" s="22" t="str">
        <f ca="1">IF(A245="","",IF(OR(P245="Pagada",R245=0),"Pagada",IF(O245&lt;TODAY(),"Vencida",IF(O245&lt;=TODAY()+Inicio!$B$19,"Próxima a vencer","Vigente"))))</f>
        <v/>
      </c>
      <c r="T245" s="18"/>
      <c r="U245" s="37" t="str">
        <f t="shared" si="27"/>
        <v/>
      </c>
      <c r="V245" s="37" t="str">
        <f t="shared" si="28"/>
        <v/>
      </c>
      <c r="W245" s="37" t="str">
        <f t="shared" si="29"/>
        <v/>
      </c>
      <c r="X245" s="37" t="str">
        <f t="shared" si="30"/>
        <v/>
      </c>
      <c r="Y245" s="37" t="str">
        <f>IF(OR($H245="",$J245=""),"",$J245*IFERROR(VLOOKUP($H245,Maestro_SKU!$A$2:$P$500,12,FALSE),1))</f>
        <v/>
      </c>
      <c r="Z245" s="37" t="str">
        <f t="shared" ca="1" si="31"/>
        <v/>
      </c>
    </row>
    <row r="246" spans="1:26" x14ac:dyDescent="0.35">
      <c r="A246" s="18"/>
      <c r="B246" s="26"/>
      <c r="C246" s="18"/>
      <c r="D246" s="18"/>
      <c r="E246" s="22" t="str">
        <f>IFERROR(VLOOKUP(D246,Clientes_PDV!$A$2:$J$250,2,FALSE),"")</f>
        <v/>
      </c>
      <c r="F246" s="22" t="str">
        <f>IFERROR(VLOOKUP(D246,Clientes_PDV!$A$2:$J$250,3,FALSE),"")</f>
        <v/>
      </c>
      <c r="G246" s="22" t="str">
        <f>IFERROR(VLOOKUP(D246,Clientes_PDV!$A$2:$J$250,4,FALSE),"")</f>
        <v/>
      </c>
      <c r="H246" s="18"/>
      <c r="I246" s="22" t="str">
        <f>IFERROR(VLOOKUP(H246,Maestro_SKU!$A$2:$P$500,2,FALSE),"")</f>
        <v/>
      </c>
      <c r="J246" s="27"/>
      <c r="K246" s="19"/>
      <c r="L246" s="23" t="str">
        <f t="shared" si="24"/>
        <v/>
      </c>
      <c r="M246" s="23" t="str">
        <f>IF(L246="","",L246*Inicio!$B$13)</f>
        <v/>
      </c>
      <c r="N246" s="23" t="str">
        <f t="shared" si="25"/>
        <v/>
      </c>
      <c r="O246" s="26"/>
      <c r="P246" s="18"/>
      <c r="Q246" s="19"/>
      <c r="R246" s="23" t="str">
        <f t="shared" si="26"/>
        <v/>
      </c>
      <c r="S246" s="22" t="str">
        <f ca="1">IF(A246="","",IF(OR(P246="Pagada",R246=0),"Pagada",IF(O246&lt;TODAY(),"Vencida",IF(O246&lt;=TODAY()+Inicio!$B$19,"Próxima a vencer","Vigente"))))</f>
        <v/>
      </c>
      <c r="T246" s="18"/>
      <c r="U246" s="37" t="str">
        <f t="shared" si="27"/>
        <v/>
      </c>
      <c r="V246" s="37" t="str">
        <f t="shared" si="28"/>
        <v/>
      </c>
      <c r="W246" s="37" t="str">
        <f t="shared" si="29"/>
        <v/>
      </c>
      <c r="X246" s="37" t="str">
        <f t="shared" si="30"/>
        <v/>
      </c>
      <c r="Y246" s="37" t="str">
        <f>IF(OR($H246="",$J246=""),"",$J246*IFERROR(VLOOKUP($H246,Maestro_SKU!$A$2:$P$500,12,FALSE),1))</f>
        <v/>
      </c>
      <c r="Z246" s="37" t="str">
        <f t="shared" ca="1" si="31"/>
        <v/>
      </c>
    </row>
    <row r="247" spans="1:26" x14ac:dyDescent="0.35">
      <c r="A247" s="18"/>
      <c r="B247" s="26"/>
      <c r="C247" s="18"/>
      <c r="D247" s="18"/>
      <c r="E247" s="22" t="str">
        <f>IFERROR(VLOOKUP(D247,Clientes_PDV!$A$2:$J$250,2,FALSE),"")</f>
        <v/>
      </c>
      <c r="F247" s="22" t="str">
        <f>IFERROR(VLOOKUP(D247,Clientes_PDV!$A$2:$J$250,3,FALSE),"")</f>
        <v/>
      </c>
      <c r="G247" s="22" t="str">
        <f>IFERROR(VLOOKUP(D247,Clientes_PDV!$A$2:$J$250,4,FALSE),"")</f>
        <v/>
      </c>
      <c r="H247" s="18"/>
      <c r="I247" s="22" t="str">
        <f>IFERROR(VLOOKUP(H247,Maestro_SKU!$A$2:$P$500,2,FALSE),"")</f>
        <v/>
      </c>
      <c r="J247" s="27"/>
      <c r="K247" s="19"/>
      <c r="L247" s="23" t="str">
        <f t="shared" si="24"/>
        <v/>
      </c>
      <c r="M247" s="23" t="str">
        <f>IF(L247="","",L247*Inicio!$B$13)</f>
        <v/>
      </c>
      <c r="N247" s="23" t="str">
        <f t="shared" si="25"/>
        <v/>
      </c>
      <c r="O247" s="26"/>
      <c r="P247" s="18"/>
      <c r="Q247" s="19"/>
      <c r="R247" s="23" t="str">
        <f t="shared" si="26"/>
        <v/>
      </c>
      <c r="S247" s="22" t="str">
        <f ca="1">IF(A247="","",IF(OR(P247="Pagada",R247=0),"Pagada",IF(O247&lt;TODAY(),"Vencida",IF(O247&lt;=TODAY()+Inicio!$B$19,"Próxima a vencer","Vigente"))))</f>
        <v/>
      </c>
      <c r="T247" s="18"/>
      <c r="U247" s="37" t="str">
        <f t="shared" si="27"/>
        <v/>
      </c>
      <c r="V247" s="37" t="str">
        <f t="shared" si="28"/>
        <v/>
      </c>
      <c r="W247" s="37" t="str">
        <f t="shared" si="29"/>
        <v/>
      </c>
      <c r="X247" s="37" t="str">
        <f t="shared" si="30"/>
        <v/>
      </c>
      <c r="Y247" s="37" t="str">
        <f>IF(OR($H247="",$J247=""),"",$J247*IFERROR(VLOOKUP($H247,Maestro_SKU!$A$2:$P$500,12,FALSE),1))</f>
        <v/>
      </c>
      <c r="Z247" s="37" t="str">
        <f t="shared" ca="1" si="31"/>
        <v/>
      </c>
    </row>
    <row r="248" spans="1:26" x14ac:dyDescent="0.35">
      <c r="A248" s="18"/>
      <c r="B248" s="26"/>
      <c r="C248" s="18"/>
      <c r="D248" s="18"/>
      <c r="E248" s="22" t="str">
        <f>IFERROR(VLOOKUP(D248,Clientes_PDV!$A$2:$J$250,2,FALSE),"")</f>
        <v/>
      </c>
      <c r="F248" s="22" t="str">
        <f>IFERROR(VLOOKUP(D248,Clientes_PDV!$A$2:$J$250,3,FALSE),"")</f>
        <v/>
      </c>
      <c r="G248" s="22" t="str">
        <f>IFERROR(VLOOKUP(D248,Clientes_PDV!$A$2:$J$250,4,FALSE),"")</f>
        <v/>
      </c>
      <c r="H248" s="18"/>
      <c r="I248" s="22" t="str">
        <f>IFERROR(VLOOKUP(H248,Maestro_SKU!$A$2:$P$500,2,FALSE),"")</f>
        <v/>
      </c>
      <c r="J248" s="27"/>
      <c r="K248" s="19"/>
      <c r="L248" s="23" t="str">
        <f t="shared" si="24"/>
        <v/>
      </c>
      <c r="M248" s="23" t="str">
        <f>IF(L248="","",L248*Inicio!$B$13)</f>
        <v/>
      </c>
      <c r="N248" s="23" t="str">
        <f t="shared" si="25"/>
        <v/>
      </c>
      <c r="O248" s="26"/>
      <c r="P248" s="18"/>
      <c r="Q248" s="19"/>
      <c r="R248" s="23" t="str">
        <f t="shared" si="26"/>
        <v/>
      </c>
      <c r="S248" s="22" t="str">
        <f ca="1">IF(A248="","",IF(OR(P248="Pagada",R248=0),"Pagada",IF(O248&lt;TODAY(),"Vencida",IF(O248&lt;=TODAY()+Inicio!$B$19,"Próxima a vencer","Vigente"))))</f>
        <v/>
      </c>
      <c r="T248" s="18"/>
      <c r="U248" s="37" t="str">
        <f t="shared" si="27"/>
        <v/>
      </c>
      <c r="V248" s="37" t="str">
        <f t="shared" si="28"/>
        <v/>
      </c>
      <c r="W248" s="37" t="str">
        <f t="shared" si="29"/>
        <v/>
      </c>
      <c r="X248" s="37" t="str">
        <f t="shared" si="30"/>
        <v/>
      </c>
      <c r="Y248" s="37" t="str">
        <f>IF(OR($H248="",$J248=""),"",$J248*IFERROR(VLOOKUP($H248,Maestro_SKU!$A$2:$P$500,12,FALSE),1))</f>
        <v/>
      </c>
      <c r="Z248" s="37" t="str">
        <f t="shared" ca="1" si="31"/>
        <v/>
      </c>
    </row>
    <row r="249" spans="1:26" x14ac:dyDescent="0.35">
      <c r="A249" s="18"/>
      <c r="B249" s="26"/>
      <c r="C249" s="18"/>
      <c r="D249" s="18"/>
      <c r="E249" s="22" t="str">
        <f>IFERROR(VLOOKUP(D249,Clientes_PDV!$A$2:$J$250,2,FALSE),"")</f>
        <v/>
      </c>
      <c r="F249" s="22" t="str">
        <f>IFERROR(VLOOKUP(D249,Clientes_PDV!$A$2:$J$250,3,FALSE),"")</f>
        <v/>
      </c>
      <c r="G249" s="22" t="str">
        <f>IFERROR(VLOOKUP(D249,Clientes_PDV!$A$2:$J$250,4,FALSE),"")</f>
        <v/>
      </c>
      <c r="H249" s="18"/>
      <c r="I249" s="22" t="str">
        <f>IFERROR(VLOOKUP(H249,Maestro_SKU!$A$2:$P$500,2,FALSE),"")</f>
        <v/>
      </c>
      <c r="J249" s="27"/>
      <c r="K249" s="19"/>
      <c r="L249" s="23" t="str">
        <f t="shared" si="24"/>
        <v/>
      </c>
      <c r="M249" s="23" t="str">
        <f>IF(L249="","",L249*Inicio!$B$13)</f>
        <v/>
      </c>
      <c r="N249" s="23" t="str">
        <f t="shared" si="25"/>
        <v/>
      </c>
      <c r="O249" s="26"/>
      <c r="P249" s="18"/>
      <c r="Q249" s="19"/>
      <c r="R249" s="23" t="str">
        <f t="shared" si="26"/>
        <v/>
      </c>
      <c r="S249" s="22" t="str">
        <f ca="1">IF(A249="","",IF(OR(P249="Pagada",R249=0),"Pagada",IF(O249&lt;TODAY(),"Vencida",IF(O249&lt;=TODAY()+Inicio!$B$19,"Próxima a vencer","Vigente"))))</f>
        <v/>
      </c>
      <c r="T249" s="18"/>
      <c r="U249" s="37" t="str">
        <f t="shared" si="27"/>
        <v/>
      </c>
      <c r="V249" s="37" t="str">
        <f t="shared" si="28"/>
        <v/>
      </c>
      <c r="W249" s="37" t="str">
        <f t="shared" si="29"/>
        <v/>
      </c>
      <c r="X249" s="37" t="str">
        <f t="shared" si="30"/>
        <v/>
      </c>
      <c r="Y249" s="37" t="str">
        <f>IF(OR($H249="",$J249=""),"",$J249*IFERROR(VLOOKUP($H249,Maestro_SKU!$A$2:$P$500,12,FALSE),1))</f>
        <v/>
      </c>
      <c r="Z249" s="37" t="str">
        <f t="shared" ca="1" si="31"/>
        <v/>
      </c>
    </row>
    <row r="250" spans="1:26" x14ac:dyDescent="0.35">
      <c r="A250" s="18"/>
      <c r="B250" s="26"/>
      <c r="C250" s="18"/>
      <c r="D250" s="18"/>
      <c r="E250" s="22" t="str">
        <f>IFERROR(VLOOKUP(D250,Clientes_PDV!$A$2:$J$250,2,FALSE),"")</f>
        <v/>
      </c>
      <c r="F250" s="22" t="str">
        <f>IFERROR(VLOOKUP(D250,Clientes_PDV!$A$2:$J$250,3,FALSE),"")</f>
        <v/>
      </c>
      <c r="G250" s="22" t="str">
        <f>IFERROR(VLOOKUP(D250,Clientes_PDV!$A$2:$J$250,4,FALSE),"")</f>
        <v/>
      </c>
      <c r="H250" s="18"/>
      <c r="I250" s="22" t="str">
        <f>IFERROR(VLOOKUP(H250,Maestro_SKU!$A$2:$P$500,2,FALSE),"")</f>
        <v/>
      </c>
      <c r="J250" s="27"/>
      <c r="K250" s="19"/>
      <c r="L250" s="23" t="str">
        <f t="shared" si="24"/>
        <v/>
      </c>
      <c r="M250" s="23" t="str">
        <f>IF(L250="","",L250*Inicio!$B$13)</f>
        <v/>
      </c>
      <c r="N250" s="23" t="str">
        <f t="shared" si="25"/>
        <v/>
      </c>
      <c r="O250" s="26"/>
      <c r="P250" s="18"/>
      <c r="Q250" s="19"/>
      <c r="R250" s="23" t="str">
        <f t="shared" si="26"/>
        <v/>
      </c>
      <c r="S250" s="22" t="str">
        <f ca="1">IF(A250="","",IF(OR(P250="Pagada",R250=0),"Pagada",IF(O250&lt;TODAY(),"Vencida",IF(O250&lt;=TODAY()+Inicio!$B$19,"Próxima a vencer","Vigente"))))</f>
        <v/>
      </c>
      <c r="T250" s="18"/>
      <c r="U250" s="37" t="str">
        <f t="shared" si="27"/>
        <v/>
      </c>
      <c r="V250" s="37" t="str">
        <f t="shared" si="28"/>
        <v/>
      </c>
      <c r="W250" s="37" t="str">
        <f t="shared" si="29"/>
        <v/>
      </c>
      <c r="X250" s="37" t="str">
        <f t="shared" si="30"/>
        <v/>
      </c>
      <c r="Y250" s="37" t="str">
        <f>IF(OR($H250="",$J250=""),"",$J250*IFERROR(VLOOKUP($H250,Maestro_SKU!$A$2:$P$500,12,FALSE),1))</f>
        <v/>
      </c>
      <c r="Z250" s="37" t="str">
        <f t="shared" ca="1" si="31"/>
        <v/>
      </c>
    </row>
    <row r="251" spans="1:26" x14ac:dyDescent="0.35">
      <c r="A251" s="18"/>
      <c r="B251" s="26"/>
      <c r="C251" s="18"/>
      <c r="D251" s="18"/>
      <c r="E251" s="22" t="str">
        <f>IFERROR(VLOOKUP(D251,Clientes_PDV!$A$2:$J$250,2,FALSE),"")</f>
        <v/>
      </c>
      <c r="F251" s="22" t="str">
        <f>IFERROR(VLOOKUP(D251,Clientes_PDV!$A$2:$J$250,3,FALSE),"")</f>
        <v/>
      </c>
      <c r="G251" s="22" t="str">
        <f>IFERROR(VLOOKUP(D251,Clientes_PDV!$A$2:$J$250,4,FALSE),"")</f>
        <v/>
      </c>
      <c r="H251" s="18"/>
      <c r="I251" s="22" t="str">
        <f>IFERROR(VLOOKUP(H251,Maestro_SKU!$A$2:$P$500,2,FALSE),"")</f>
        <v/>
      </c>
      <c r="J251" s="27"/>
      <c r="K251" s="19"/>
      <c r="L251" s="23" t="str">
        <f t="shared" si="24"/>
        <v/>
      </c>
      <c r="M251" s="23" t="str">
        <f>IF(L251="","",L251*Inicio!$B$13)</f>
        <v/>
      </c>
      <c r="N251" s="23" t="str">
        <f t="shared" si="25"/>
        <v/>
      </c>
      <c r="O251" s="26"/>
      <c r="P251" s="18"/>
      <c r="Q251" s="19"/>
      <c r="R251" s="23" t="str">
        <f t="shared" si="26"/>
        <v/>
      </c>
      <c r="S251" s="22" t="str">
        <f ca="1">IF(A251="","",IF(OR(P251="Pagada",R251=0),"Pagada",IF(O251&lt;TODAY(),"Vencida",IF(O251&lt;=TODAY()+Inicio!$B$19,"Próxima a vencer","Vigente"))))</f>
        <v/>
      </c>
      <c r="T251" s="18"/>
      <c r="U251" s="37" t="str">
        <f t="shared" si="27"/>
        <v/>
      </c>
      <c r="V251" s="37" t="str">
        <f t="shared" si="28"/>
        <v/>
      </c>
      <c r="W251" s="37" t="str">
        <f t="shared" si="29"/>
        <v/>
      </c>
      <c r="X251" s="37" t="str">
        <f t="shared" si="30"/>
        <v/>
      </c>
      <c r="Y251" s="37" t="str">
        <f>IF(OR($H251="",$J251=""),"",$J251*IFERROR(VLOOKUP($H251,Maestro_SKU!$A$2:$P$500,12,FALSE),1))</f>
        <v/>
      </c>
      <c r="Z251" s="37" t="str">
        <f t="shared" ca="1" si="31"/>
        <v/>
      </c>
    </row>
    <row r="252" spans="1:26" x14ac:dyDescent="0.35">
      <c r="A252" s="18"/>
      <c r="B252" s="26"/>
      <c r="C252" s="18"/>
      <c r="D252" s="18"/>
      <c r="E252" s="22" t="str">
        <f>IFERROR(VLOOKUP(D252,Clientes_PDV!$A$2:$J$250,2,FALSE),"")</f>
        <v/>
      </c>
      <c r="F252" s="22" t="str">
        <f>IFERROR(VLOOKUP(D252,Clientes_PDV!$A$2:$J$250,3,FALSE),"")</f>
        <v/>
      </c>
      <c r="G252" s="22" t="str">
        <f>IFERROR(VLOOKUP(D252,Clientes_PDV!$A$2:$J$250,4,FALSE),"")</f>
        <v/>
      </c>
      <c r="H252" s="18"/>
      <c r="I252" s="22" t="str">
        <f>IFERROR(VLOOKUP(H252,Maestro_SKU!$A$2:$P$500,2,FALSE),"")</f>
        <v/>
      </c>
      <c r="J252" s="27"/>
      <c r="K252" s="19"/>
      <c r="L252" s="23" t="str">
        <f t="shared" si="24"/>
        <v/>
      </c>
      <c r="M252" s="23" t="str">
        <f>IF(L252="","",L252*Inicio!$B$13)</f>
        <v/>
      </c>
      <c r="N252" s="23" t="str">
        <f t="shared" si="25"/>
        <v/>
      </c>
      <c r="O252" s="26"/>
      <c r="P252" s="18"/>
      <c r="Q252" s="19"/>
      <c r="R252" s="23" t="str">
        <f t="shared" si="26"/>
        <v/>
      </c>
      <c r="S252" s="22" t="str">
        <f ca="1">IF(A252="","",IF(OR(P252="Pagada",R252=0),"Pagada",IF(O252&lt;TODAY(),"Vencida",IF(O252&lt;=TODAY()+Inicio!$B$19,"Próxima a vencer","Vigente"))))</f>
        <v/>
      </c>
      <c r="T252" s="18"/>
      <c r="U252" s="37" t="str">
        <f t="shared" si="27"/>
        <v/>
      </c>
      <c r="V252" s="37" t="str">
        <f t="shared" si="28"/>
        <v/>
      </c>
      <c r="W252" s="37" t="str">
        <f t="shared" si="29"/>
        <v/>
      </c>
      <c r="X252" s="37" t="str">
        <f t="shared" si="30"/>
        <v/>
      </c>
      <c r="Y252" s="37" t="str">
        <f>IF(OR($H252="",$J252=""),"",$J252*IFERROR(VLOOKUP($H252,Maestro_SKU!$A$2:$P$500,12,FALSE),1))</f>
        <v/>
      </c>
      <c r="Z252" s="37" t="str">
        <f t="shared" ca="1" si="31"/>
        <v/>
      </c>
    </row>
    <row r="253" spans="1:26" x14ac:dyDescent="0.35">
      <c r="A253" s="18"/>
      <c r="B253" s="26"/>
      <c r="C253" s="18"/>
      <c r="D253" s="18"/>
      <c r="E253" s="22" t="str">
        <f>IFERROR(VLOOKUP(D253,Clientes_PDV!$A$2:$J$250,2,FALSE),"")</f>
        <v/>
      </c>
      <c r="F253" s="22" t="str">
        <f>IFERROR(VLOOKUP(D253,Clientes_PDV!$A$2:$J$250,3,FALSE),"")</f>
        <v/>
      </c>
      <c r="G253" s="22" t="str">
        <f>IFERROR(VLOOKUP(D253,Clientes_PDV!$A$2:$J$250,4,FALSE),"")</f>
        <v/>
      </c>
      <c r="H253" s="18"/>
      <c r="I253" s="22" t="str">
        <f>IFERROR(VLOOKUP(H253,Maestro_SKU!$A$2:$P$500,2,FALSE),"")</f>
        <v/>
      </c>
      <c r="J253" s="27"/>
      <c r="K253" s="19"/>
      <c r="L253" s="23" t="str">
        <f t="shared" si="24"/>
        <v/>
      </c>
      <c r="M253" s="23" t="str">
        <f>IF(L253="","",L253*Inicio!$B$13)</f>
        <v/>
      </c>
      <c r="N253" s="23" t="str">
        <f t="shared" si="25"/>
        <v/>
      </c>
      <c r="O253" s="26"/>
      <c r="P253" s="18"/>
      <c r="Q253" s="19"/>
      <c r="R253" s="23" t="str">
        <f t="shared" si="26"/>
        <v/>
      </c>
      <c r="S253" s="22" t="str">
        <f ca="1">IF(A253="","",IF(OR(P253="Pagada",R253=0),"Pagada",IF(O253&lt;TODAY(),"Vencida",IF(O253&lt;=TODAY()+Inicio!$B$19,"Próxima a vencer","Vigente"))))</f>
        <v/>
      </c>
      <c r="T253" s="18"/>
      <c r="U253" s="37" t="str">
        <f t="shared" si="27"/>
        <v/>
      </c>
      <c r="V253" s="37" t="str">
        <f t="shared" si="28"/>
        <v/>
      </c>
      <c r="W253" s="37" t="str">
        <f t="shared" si="29"/>
        <v/>
      </c>
      <c r="X253" s="37" t="str">
        <f t="shared" si="30"/>
        <v/>
      </c>
      <c r="Y253" s="37" t="str">
        <f>IF(OR($H253="",$J253=""),"",$J253*IFERROR(VLOOKUP($H253,Maestro_SKU!$A$2:$P$500,12,FALSE),1))</f>
        <v/>
      </c>
      <c r="Z253" s="37" t="str">
        <f t="shared" ca="1" si="31"/>
        <v/>
      </c>
    </row>
    <row r="254" spans="1:26" x14ac:dyDescent="0.35">
      <c r="A254" s="18"/>
      <c r="B254" s="26"/>
      <c r="C254" s="18"/>
      <c r="D254" s="18"/>
      <c r="E254" s="22" t="str">
        <f>IFERROR(VLOOKUP(D254,Clientes_PDV!$A$2:$J$250,2,FALSE),"")</f>
        <v/>
      </c>
      <c r="F254" s="22" t="str">
        <f>IFERROR(VLOOKUP(D254,Clientes_PDV!$A$2:$J$250,3,FALSE),"")</f>
        <v/>
      </c>
      <c r="G254" s="22" t="str">
        <f>IFERROR(VLOOKUP(D254,Clientes_PDV!$A$2:$J$250,4,FALSE),"")</f>
        <v/>
      </c>
      <c r="H254" s="18"/>
      <c r="I254" s="22" t="str">
        <f>IFERROR(VLOOKUP(H254,Maestro_SKU!$A$2:$P$500,2,FALSE),"")</f>
        <v/>
      </c>
      <c r="J254" s="27"/>
      <c r="K254" s="19"/>
      <c r="L254" s="23" t="str">
        <f t="shared" si="24"/>
        <v/>
      </c>
      <c r="M254" s="23" t="str">
        <f>IF(L254="","",L254*Inicio!$B$13)</f>
        <v/>
      </c>
      <c r="N254" s="23" t="str">
        <f t="shared" si="25"/>
        <v/>
      </c>
      <c r="O254" s="26"/>
      <c r="P254" s="18"/>
      <c r="Q254" s="19"/>
      <c r="R254" s="23" t="str">
        <f t="shared" si="26"/>
        <v/>
      </c>
      <c r="S254" s="22" t="str">
        <f ca="1">IF(A254="","",IF(OR(P254="Pagada",R254=0),"Pagada",IF(O254&lt;TODAY(),"Vencida",IF(O254&lt;=TODAY()+Inicio!$B$19,"Próxima a vencer","Vigente"))))</f>
        <v/>
      </c>
      <c r="T254" s="18"/>
      <c r="U254" s="37" t="str">
        <f t="shared" si="27"/>
        <v/>
      </c>
      <c r="V254" s="37" t="str">
        <f t="shared" si="28"/>
        <v/>
      </c>
      <c r="W254" s="37" t="str">
        <f t="shared" si="29"/>
        <v/>
      </c>
      <c r="X254" s="37" t="str">
        <f t="shared" si="30"/>
        <v/>
      </c>
      <c r="Y254" s="37" t="str">
        <f>IF(OR($H254="",$J254=""),"",$J254*IFERROR(VLOOKUP($H254,Maestro_SKU!$A$2:$P$500,12,FALSE),1))</f>
        <v/>
      </c>
      <c r="Z254" s="37" t="str">
        <f t="shared" ca="1" si="31"/>
        <v/>
      </c>
    </row>
    <row r="255" spans="1:26" x14ac:dyDescent="0.35">
      <c r="A255" s="18"/>
      <c r="B255" s="26"/>
      <c r="C255" s="18"/>
      <c r="D255" s="18"/>
      <c r="E255" s="22" t="str">
        <f>IFERROR(VLOOKUP(D255,Clientes_PDV!$A$2:$J$250,2,FALSE),"")</f>
        <v/>
      </c>
      <c r="F255" s="22" t="str">
        <f>IFERROR(VLOOKUP(D255,Clientes_PDV!$A$2:$J$250,3,FALSE),"")</f>
        <v/>
      </c>
      <c r="G255" s="22" t="str">
        <f>IFERROR(VLOOKUP(D255,Clientes_PDV!$A$2:$J$250,4,FALSE),"")</f>
        <v/>
      </c>
      <c r="H255" s="18"/>
      <c r="I255" s="22" t="str">
        <f>IFERROR(VLOOKUP(H255,Maestro_SKU!$A$2:$P$500,2,FALSE),"")</f>
        <v/>
      </c>
      <c r="J255" s="27"/>
      <c r="K255" s="19"/>
      <c r="L255" s="23" t="str">
        <f t="shared" si="24"/>
        <v/>
      </c>
      <c r="M255" s="23" t="str">
        <f>IF(L255="","",L255*Inicio!$B$13)</f>
        <v/>
      </c>
      <c r="N255" s="23" t="str">
        <f t="shared" si="25"/>
        <v/>
      </c>
      <c r="O255" s="26"/>
      <c r="P255" s="18"/>
      <c r="Q255" s="19"/>
      <c r="R255" s="23" t="str">
        <f t="shared" si="26"/>
        <v/>
      </c>
      <c r="S255" s="22" t="str">
        <f ca="1">IF(A255="","",IF(OR(P255="Pagada",R255=0),"Pagada",IF(O255&lt;TODAY(),"Vencida",IF(O255&lt;=TODAY()+Inicio!$B$19,"Próxima a vencer","Vigente"))))</f>
        <v/>
      </c>
      <c r="T255" s="18"/>
      <c r="U255" s="37" t="str">
        <f t="shared" si="27"/>
        <v/>
      </c>
      <c r="V255" s="37" t="str">
        <f t="shared" si="28"/>
        <v/>
      </c>
      <c r="W255" s="37" t="str">
        <f t="shared" si="29"/>
        <v/>
      </c>
      <c r="X255" s="37" t="str">
        <f t="shared" si="30"/>
        <v/>
      </c>
      <c r="Y255" s="37" t="str">
        <f>IF(OR($H255="",$J255=""),"",$J255*IFERROR(VLOOKUP($H255,Maestro_SKU!$A$2:$P$500,12,FALSE),1))</f>
        <v/>
      </c>
      <c r="Z255" s="37" t="str">
        <f t="shared" ca="1" si="31"/>
        <v/>
      </c>
    </row>
    <row r="256" spans="1:26" x14ac:dyDescent="0.35">
      <c r="A256" s="18"/>
      <c r="B256" s="26"/>
      <c r="C256" s="18"/>
      <c r="D256" s="18"/>
      <c r="E256" s="22" t="str">
        <f>IFERROR(VLOOKUP(D256,Clientes_PDV!$A$2:$J$250,2,FALSE),"")</f>
        <v/>
      </c>
      <c r="F256" s="22" t="str">
        <f>IFERROR(VLOOKUP(D256,Clientes_PDV!$A$2:$J$250,3,FALSE),"")</f>
        <v/>
      </c>
      <c r="G256" s="22" t="str">
        <f>IFERROR(VLOOKUP(D256,Clientes_PDV!$A$2:$J$250,4,FALSE),"")</f>
        <v/>
      </c>
      <c r="H256" s="18"/>
      <c r="I256" s="22" t="str">
        <f>IFERROR(VLOOKUP(H256,Maestro_SKU!$A$2:$P$500,2,FALSE),"")</f>
        <v/>
      </c>
      <c r="J256" s="27"/>
      <c r="K256" s="19"/>
      <c r="L256" s="23" t="str">
        <f t="shared" si="24"/>
        <v/>
      </c>
      <c r="M256" s="23" t="str">
        <f>IF(L256="","",L256*Inicio!$B$13)</f>
        <v/>
      </c>
      <c r="N256" s="23" t="str">
        <f t="shared" si="25"/>
        <v/>
      </c>
      <c r="O256" s="26"/>
      <c r="P256" s="18"/>
      <c r="Q256" s="19"/>
      <c r="R256" s="23" t="str">
        <f t="shared" si="26"/>
        <v/>
      </c>
      <c r="S256" s="22" t="str">
        <f ca="1">IF(A256="","",IF(OR(P256="Pagada",R256=0),"Pagada",IF(O256&lt;TODAY(),"Vencida",IF(O256&lt;=TODAY()+Inicio!$B$19,"Próxima a vencer","Vigente"))))</f>
        <v/>
      </c>
      <c r="T256" s="18"/>
      <c r="U256" s="37" t="str">
        <f t="shared" si="27"/>
        <v/>
      </c>
      <c r="V256" s="37" t="str">
        <f t="shared" si="28"/>
        <v/>
      </c>
      <c r="W256" s="37" t="str">
        <f t="shared" si="29"/>
        <v/>
      </c>
      <c r="X256" s="37" t="str">
        <f t="shared" si="30"/>
        <v/>
      </c>
      <c r="Y256" s="37" t="str">
        <f>IF(OR($H256="",$J256=""),"",$J256*IFERROR(VLOOKUP($H256,Maestro_SKU!$A$2:$P$500,12,FALSE),1))</f>
        <v/>
      </c>
      <c r="Z256" s="37" t="str">
        <f t="shared" ca="1" si="31"/>
        <v/>
      </c>
    </row>
    <row r="257" spans="1:26" x14ac:dyDescent="0.35">
      <c r="A257" s="18"/>
      <c r="B257" s="26"/>
      <c r="C257" s="18"/>
      <c r="D257" s="18"/>
      <c r="E257" s="22" t="str">
        <f>IFERROR(VLOOKUP(D257,Clientes_PDV!$A$2:$J$250,2,FALSE),"")</f>
        <v/>
      </c>
      <c r="F257" s="22" t="str">
        <f>IFERROR(VLOOKUP(D257,Clientes_PDV!$A$2:$J$250,3,FALSE),"")</f>
        <v/>
      </c>
      <c r="G257" s="22" t="str">
        <f>IFERROR(VLOOKUP(D257,Clientes_PDV!$A$2:$J$250,4,FALSE),"")</f>
        <v/>
      </c>
      <c r="H257" s="18"/>
      <c r="I257" s="22" t="str">
        <f>IFERROR(VLOOKUP(H257,Maestro_SKU!$A$2:$P$500,2,FALSE),"")</f>
        <v/>
      </c>
      <c r="J257" s="27"/>
      <c r="K257" s="19"/>
      <c r="L257" s="23" t="str">
        <f t="shared" si="24"/>
        <v/>
      </c>
      <c r="M257" s="23" t="str">
        <f>IF(L257="","",L257*Inicio!$B$13)</f>
        <v/>
      </c>
      <c r="N257" s="23" t="str">
        <f t="shared" si="25"/>
        <v/>
      </c>
      <c r="O257" s="26"/>
      <c r="P257" s="18"/>
      <c r="Q257" s="19"/>
      <c r="R257" s="23" t="str">
        <f t="shared" si="26"/>
        <v/>
      </c>
      <c r="S257" s="22" t="str">
        <f ca="1">IF(A257="","",IF(OR(P257="Pagada",R257=0),"Pagada",IF(O257&lt;TODAY(),"Vencida",IF(O257&lt;=TODAY()+Inicio!$B$19,"Próxima a vencer","Vigente"))))</f>
        <v/>
      </c>
      <c r="T257" s="18"/>
      <c r="U257" s="37" t="str">
        <f t="shared" si="27"/>
        <v/>
      </c>
      <c r="V257" s="37" t="str">
        <f t="shared" si="28"/>
        <v/>
      </c>
      <c r="W257" s="37" t="str">
        <f t="shared" si="29"/>
        <v/>
      </c>
      <c r="X257" s="37" t="str">
        <f t="shared" si="30"/>
        <v/>
      </c>
      <c r="Y257" s="37" t="str">
        <f>IF(OR($H257="",$J257=""),"",$J257*IFERROR(VLOOKUP($H257,Maestro_SKU!$A$2:$P$500,12,FALSE),1))</f>
        <v/>
      </c>
      <c r="Z257" s="37" t="str">
        <f t="shared" ca="1" si="31"/>
        <v/>
      </c>
    </row>
    <row r="258" spans="1:26" x14ac:dyDescent="0.35">
      <c r="A258" s="18"/>
      <c r="B258" s="26"/>
      <c r="C258" s="18"/>
      <c r="D258" s="18"/>
      <c r="E258" s="22" t="str">
        <f>IFERROR(VLOOKUP(D258,Clientes_PDV!$A$2:$J$250,2,FALSE),"")</f>
        <v/>
      </c>
      <c r="F258" s="22" t="str">
        <f>IFERROR(VLOOKUP(D258,Clientes_PDV!$A$2:$J$250,3,FALSE),"")</f>
        <v/>
      </c>
      <c r="G258" s="22" t="str">
        <f>IFERROR(VLOOKUP(D258,Clientes_PDV!$A$2:$J$250,4,FALSE),"")</f>
        <v/>
      </c>
      <c r="H258" s="18"/>
      <c r="I258" s="22" t="str">
        <f>IFERROR(VLOOKUP(H258,Maestro_SKU!$A$2:$P$500,2,FALSE),"")</f>
        <v/>
      </c>
      <c r="J258" s="27"/>
      <c r="K258" s="19"/>
      <c r="L258" s="23" t="str">
        <f t="shared" ref="L258:L321" si="32">IF(OR(J258="",K258=""),"",J258*K258)</f>
        <v/>
      </c>
      <c r="M258" s="23" t="str">
        <f>IF(L258="","",L258*Inicio!$B$13)</f>
        <v/>
      </c>
      <c r="N258" s="23" t="str">
        <f t="shared" ref="N258:N321" si="33">IF(L258="","",L258+M258)</f>
        <v/>
      </c>
      <c r="O258" s="26"/>
      <c r="P258" s="18"/>
      <c r="Q258" s="19"/>
      <c r="R258" s="23" t="str">
        <f t="shared" ref="R258:R321" si="34">IF(N258="","",MAX(N258-Q258,0))</f>
        <v/>
      </c>
      <c r="S258" s="22" t="str">
        <f ca="1">IF(A258="","",IF(OR(P258="Pagada",R258=0),"Pagada",IF(O258&lt;TODAY(),"Vencida",IF(O258&lt;=TODAY()+Inicio!$B$19,"Próxima a vencer","Vigente"))))</f>
        <v/>
      </c>
      <c r="T258" s="18"/>
      <c r="U258" s="37" t="str">
        <f t="shared" ref="U258:U321" si="35">IF($B258="","",YEAR($B258))</f>
        <v/>
      </c>
      <c r="V258" s="37" t="str">
        <f t="shared" ref="V258:V321" si="36">IF($B258="","",MONTH($B258))</f>
        <v/>
      </c>
      <c r="W258" s="37" t="str">
        <f t="shared" ref="W258:W321" si="37">IF($B258="","",DAY($B258))</f>
        <v/>
      </c>
      <c r="X258" s="37" t="str">
        <f t="shared" ref="X258:X321" si="38">IF($B258="","",YEAR($B258)&amp;"-"&amp;TEXT(MONTH($B258),"00"))</f>
        <v/>
      </c>
      <c r="Y258" s="37" t="str">
        <f>IF(OR($H258="",$J258=""),"",$J258*IFERROR(VLOOKUP($H258,Maestro_SKU!$A$2:$P$500,12,FALSE),1))</f>
        <v/>
      </c>
      <c r="Z258" s="37" t="str">
        <f t="shared" ref="Z258:Z321" ca="1" si="39">IF(OR($A258="",$O258="",$S258="Pagada"),"",$O258-TODAY())</f>
        <v/>
      </c>
    </row>
    <row r="259" spans="1:26" x14ac:dyDescent="0.35">
      <c r="A259" s="18"/>
      <c r="B259" s="26"/>
      <c r="C259" s="18"/>
      <c r="D259" s="18"/>
      <c r="E259" s="22" t="str">
        <f>IFERROR(VLOOKUP(D259,Clientes_PDV!$A$2:$J$250,2,FALSE),"")</f>
        <v/>
      </c>
      <c r="F259" s="22" t="str">
        <f>IFERROR(VLOOKUP(D259,Clientes_PDV!$A$2:$J$250,3,FALSE),"")</f>
        <v/>
      </c>
      <c r="G259" s="22" t="str">
        <f>IFERROR(VLOOKUP(D259,Clientes_PDV!$A$2:$J$250,4,FALSE),"")</f>
        <v/>
      </c>
      <c r="H259" s="18"/>
      <c r="I259" s="22" t="str">
        <f>IFERROR(VLOOKUP(H259,Maestro_SKU!$A$2:$P$500,2,FALSE),"")</f>
        <v/>
      </c>
      <c r="J259" s="27"/>
      <c r="K259" s="19"/>
      <c r="L259" s="23" t="str">
        <f t="shared" si="32"/>
        <v/>
      </c>
      <c r="M259" s="23" t="str">
        <f>IF(L259="","",L259*Inicio!$B$13)</f>
        <v/>
      </c>
      <c r="N259" s="23" t="str">
        <f t="shared" si="33"/>
        <v/>
      </c>
      <c r="O259" s="26"/>
      <c r="P259" s="18"/>
      <c r="Q259" s="19"/>
      <c r="R259" s="23" t="str">
        <f t="shared" si="34"/>
        <v/>
      </c>
      <c r="S259" s="22" t="str">
        <f ca="1">IF(A259="","",IF(OR(P259="Pagada",R259=0),"Pagada",IF(O259&lt;TODAY(),"Vencida",IF(O259&lt;=TODAY()+Inicio!$B$19,"Próxima a vencer","Vigente"))))</f>
        <v/>
      </c>
      <c r="T259" s="18"/>
      <c r="U259" s="37" t="str">
        <f t="shared" si="35"/>
        <v/>
      </c>
      <c r="V259" s="37" t="str">
        <f t="shared" si="36"/>
        <v/>
      </c>
      <c r="W259" s="37" t="str">
        <f t="shared" si="37"/>
        <v/>
      </c>
      <c r="X259" s="37" t="str">
        <f t="shared" si="38"/>
        <v/>
      </c>
      <c r="Y259" s="37" t="str">
        <f>IF(OR($H259="",$J259=""),"",$J259*IFERROR(VLOOKUP($H259,Maestro_SKU!$A$2:$P$500,12,FALSE),1))</f>
        <v/>
      </c>
      <c r="Z259" s="37" t="str">
        <f t="shared" ca="1" si="39"/>
        <v/>
      </c>
    </row>
    <row r="260" spans="1:26" x14ac:dyDescent="0.35">
      <c r="A260" s="18"/>
      <c r="B260" s="26"/>
      <c r="C260" s="18"/>
      <c r="D260" s="18"/>
      <c r="E260" s="22" t="str">
        <f>IFERROR(VLOOKUP(D260,Clientes_PDV!$A$2:$J$250,2,FALSE),"")</f>
        <v/>
      </c>
      <c r="F260" s="22" t="str">
        <f>IFERROR(VLOOKUP(D260,Clientes_PDV!$A$2:$J$250,3,FALSE),"")</f>
        <v/>
      </c>
      <c r="G260" s="22" t="str">
        <f>IFERROR(VLOOKUP(D260,Clientes_PDV!$A$2:$J$250,4,FALSE),"")</f>
        <v/>
      </c>
      <c r="H260" s="18"/>
      <c r="I260" s="22" t="str">
        <f>IFERROR(VLOOKUP(H260,Maestro_SKU!$A$2:$P$500,2,FALSE),"")</f>
        <v/>
      </c>
      <c r="J260" s="27"/>
      <c r="K260" s="19"/>
      <c r="L260" s="23" t="str">
        <f t="shared" si="32"/>
        <v/>
      </c>
      <c r="M260" s="23" t="str">
        <f>IF(L260="","",L260*Inicio!$B$13)</f>
        <v/>
      </c>
      <c r="N260" s="23" t="str">
        <f t="shared" si="33"/>
        <v/>
      </c>
      <c r="O260" s="26"/>
      <c r="P260" s="18"/>
      <c r="Q260" s="19"/>
      <c r="R260" s="23" t="str">
        <f t="shared" si="34"/>
        <v/>
      </c>
      <c r="S260" s="22" t="str">
        <f ca="1">IF(A260="","",IF(OR(P260="Pagada",R260=0),"Pagada",IF(O260&lt;TODAY(),"Vencida",IF(O260&lt;=TODAY()+Inicio!$B$19,"Próxima a vencer","Vigente"))))</f>
        <v/>
      </c>
      <c r="T260" s="18"/>
      <c r="U260" s="37" t="str">
        <f t="shared" si="35"/>
        <v/>
      </c>
      <c r="V260" s="37" t="str">
        <f t="shared" si="36"/>
        <v/>
      </c>
      <c r="W260" s="37" t="str">
        <f t="shared" si="37"/>
        <v/>
      </c>
      <c r="X260" s="37" t="str">
        <f t="shared" si="38"/>
        <v/>
      </c>
      <c r="Y260" s="37" t="str">
        <f>IF(OR($H260="",$J260=""),"",$J260*IFERROR(VLOOKUP($H260,Maestro_SKU!$A$2:$P$500,12,FALSE),1))</f>
        <v/>
      </c>
      <c r="Z260" s="37" t="str">
        <f t="shared" ca="1" si="39"/>
        <v/>
      </c>
    </row>
    <row r="261" spans="1:26" x14ac:dyDescent="0.35">
      <c r="A261" s="18"/>
      <c r="B261" s="26"/>
      <c r="C261" s="18"/>
      <c r="D261" s="18"/>
      <c r="E261" s="22" t="str">
        <f>IFERROR(VLOOKUP(D261,Clientes_PDV!$A$2:$J$250,2,FALSE),"")</f>
        <v/>
      </c>
      <c r="F261" s="22" t="str">
        <f>IFERROR(VLOOKUP(D261,Clientes_PDV!$A$2:$J$250,3,FALSE),"")</f>
        <v/>
      </c>
      <c r="G261" s="22" t="str">
        <f>IFERROR(VLOOKUP(D261,Clientes_PDV!$A$2:$J$250,4,FALSE),"")</f>
        <v/>
      </c>
      <c r="H261" s="18"/>
      <c r="I261" s="22" t="str">
        <f>IFERROR(VLOOKUP(H261,Maestro_SKU!$A$2:$P$500,2,FALSE),"")</f>
        <v/>
      </c>
      <c r="J261" s="27"/>
      <c r="K261" s="19"/>
      <c r="L261" s="23" t="str">
        <f t="shared" si="32"/>
        <v/>
      </c>
      <c r="M261" s="23" t="str">
        <f>IF(L261="","",L261*Inicio!$B$13)</f>
        <v/>
      </c>
      <c r="N261" s="23" t="str">
        <f t="shared" si="33"/>
        <v/>
      </c>
      <c r="O261" s="26"/>
      <c r="P261" s="18"/>
      <c r="Q261" s="19"/>
      <c r="R261" s="23" t="str">
        <f t="shared" si="34"/>
        <v/>
      </c>
      <c r="S261" s="22" t="str">
        <f ca="1">IF(A261="","",IF(OR(P261="Pagada",R261=0),"Pagada",IF(O261&lt;TODAY(),"Vencida",IF(O261&lt;=TODAY()+Inicio!$B$19,"Próxima a vencer","Vigente"))))</f>
        <v/>
      </c>
      <c r="T261" s="18"/>
      <c r="U261" s="37" t="str">
        <f t="shared" si="35"/>
        <v/>
      </c>
      <c r="V261" s="37" t="str">
        <f t="shared" si="36"/>
        <v/>
      </c>
      <c r="W261" s="37" t="str">
        <f t="shared" si="37"/>
        <v/>
      </c>
      <c r="X261" s="37" t="str">
        <f t="shared" si="38"/>
        <v/>
      </c>
      <c r="Y261" s="37" t="str">
        <f>IF(OR($H261="",$J261=""),"",$J261*IFERROR(VLOOKUP($H261,Maestro_SKU!$A$2:$P$500,12,FALSE),1))</f>
        <v/>
      </c>
      <c r="Z261" s="37" t="str">
        <f t="shared" ca="1" si="39"/>
        <v/>
      </c>
    </row>
    <row r="262" spans="1:26" x14ac:dyDescent="0.35">
      <c r="A262" s="18"/>
      <c r="B262" s="26"/>
      <c r="C262" s="18"/>
      <c r="D262" s="18"/>
      <c r="E262" s="22" t="str">
        <f>IFERROR(VLOOKUP(D262,Clientes_PDV!$A$2:$J$250,2,FALSE),"")</f>
        <v/>
      </c>
      <c r="F262" s="22" t="str">
        <f>IFERROR(VLOOKUP(D262,Clientes_PDV!$A$2:$J$250,3,FALSE),"")</f>
        <v/>
      </c>
      <c r="G262" s="22" t="str">
        <f>IFERROR(VLOOKUP(D262,Clientes_PDV!$A$2:$J$250,4,FALSE),"")</f>
        <v/>
      </c>
      <c r="H262" s="18"/>
      <c r="I262" s="22" t="str">
        <f>IFERROR(VLOOKUP(H262,Maestro_SKU!$A$2:$P$500,2,FALSE),"")</f>
        <v/>
      </c>
      <c r="J262" s="27"/>
      <c r="K262" s="19"/>
      <c r="L262" s="23" t="str">
        <f t="shared" si="32"/>
        <v/>
      </c>
      <c r="M262" s="23" t="str">
        <f>IF(L262="","",L262*Inicio!$B$13)</f>
        <v/>
      </c>
      <c r="N262" s="23" t="str">
        <f t="shared" si="33"/>
        <v/>
      </c>
      <c r="O262" s="26"/>
      <c r="P262" s="18"/>
      <c r="Q262" s="19"/>
      <c r="R262" s="23" t="str">
        <f t="shared" si="34"/>
        <v/>
      </c>
      <c r="S262" s="22" t="str">
        <f ca="1">IF(A262="","",IF(OR(P262="Pagada",R262=0),"Pagada",IF(O262&lt;TODAY(),"Vencida",IF(O262&lt;=TODAY()+Inicio!$B$19,"Próxima a vencer","Vigente"))))</f>
        <v/>
      </c>
      <c r="T262" s="18"/>
      <c r="U262" s="37" t="str">
        <f t="shared" si="35"/>
        <v/>
      </c>
      <c r="V262" s="37" t="str">
        <f t="shared" si="36"/>
        <v/>
      </c>
      <c r="W262" s="37" t="str">
        <f t="shared" si="37"/>
        <v/>
      </c>
      <c r="X262" s="37" t="str">
        <f t="shared" si="38"/>
        <v/>
      </c>
      <c r="Y262" s="37" t="str">
        <f>IF(OR($H262="",$J262=""),"",$J262*IFERROR(VLOOKUP($H262,Maestro_SKU!$A$2:$P$500,12,FALSE),1))</f>
        <v/>
      </c>
      <c r="Z262" s="37" t="str">
        <f t="shared" ca="1" si="39"/>
        <v/>
      </c>
    </row>
    <row r="263" spans="1:26" x14ac:dyDescent="0.35">
      <c r="A263" s="18"/>
      <c r="B263" s="26"/>
      <c r="C263" s="18"/>
      <c r="D263" s="18"/>
      <c r="E263" s="22" t="str">
        <f>IFERROR(VLOOKUP(D263,Clientes_PDV!$A$2:$J$250,2,FALSE),"")</f>
        <v/>
      </c>
      <c r="F263" s="22" t="str">
        <f>IFERROR(VLOOKUP(D263,Clientes_PDV!$A$2:$J$250,3,FALSE),"")</f>
        <v/>
      </c>
      <c r="G263" s="22" t="str">
        <f>IFERROR(VLOOKUP(D263,Clientes_PDV!$A$2:$J$250,4,FALSE),"")</f>
        <v/>
      </c>
      <c r="H263" s="18"/>
      <c r="I263" s="22" t="str">
        <f>IFERROR(VLOOKUP(H263,Maestro_SKU!$A$2:$P$500,2,FALSE),"")</f>
        <v/>
      </c>
      <c r="J263" s="27"/>
      <c r="K263" s="19"/>
      <c r="L263" s="23" t="str">
        <f t="shared" si="32"/>
        <v/>
      </c>
      <c r="M263" s="23" t="str">
        <f>IF(L263="","",L263*Inicio!$B$13)</f>
        <v/>
      </c>
      <c r="N263" s="23" t="str">
        <f t="shared" si="33"/>
        <v/>
      </c>
      <c r="O263" s="26"/>
      <c r="P263" s="18"/>
      <c r="Q263" s="19"/>
      <c r="R263" s="23" t="str">
        <f t="shared" si="34"/>
        <v/>
      </c>
      <c r="S263" s="22" t="str">
        <f ca="1">IF(A263="","",IF(OR(P263="Pagada",R263=0),"Pagada",IF(O263&lt;TODAY(),"Vencida",IF(O263&lt;=TODAY()+Inicio!$B$19,"Próxima a vencer","Vigente"))))</f>
        <v/>
      </c>
      <c r="T263" s="18"/>
      <c r="U263" s="37" t="str">
        <f t="shared" si="35"/>
        <v/>
      </c>
      <c r="V263" s="37" t="str">
        <f t="shared" si="36"/>
        <v/>
      </c>
      <c r="W263" s="37" t="str">
        <f t="shared" si="37"/>
        <v/>
      </c>
      <c r="X263" s="37" t="str">
        <f t="shared" si="38"/>
        <v/>
      </c>
      <c r="Y263" s="37" t="str">
        <f>IF(OR($H263="",$J263=""),"",$J263*IFERROR(VLOOKUP($H263,Maestro_SKU!$A$2:$P$500,12,FALSE),1))</f>
        <v/>
      </c>
      <c r="Z263" s="37" t="str">
        <f t="shared" ca="1" si="39"/>
        <v/>
      </c>
    </row>
    <row r="264" spans="1:26" x14ac:dyDescent="0.35">
      <c r="A264" s="18"/>
      <c r="B264" s="26"/>
      <c r="C264" s="18"/>
      <c r="D264" s="18"/>
      <c r="E264" s="22" t="str">
        <f>IFERROR(VLOOKUP(D264,Clientes_PDV!$A$2:$J$250,2,FALSE),"")</f>
        <v/>
      </c>
      <c r="F264" s="22" t="str">
        <f>IFERROR(VLOOKUP(D264,Clientes_PDV!$A$2:$J$250,3,FALSE),"")</f>
        <v/>
      </c>
      <c r="G264" s="22" t="str">
        <f>IFERROR(VLOOKUP(D264,Clientes_PDV!$A$2:$J$250,4,FALSE),"")</f>
        <v/>
      </c>
      <c r="H264" s="18"/>
      <c r="I264" s="22" t="str">
        <f>IFERROR(VLOOKUP(H264,Maestro_SKU!$A$2:$P$500,2,FALSE),"")</f>
        <v/>
      </c>
      <c r="J264" s="27"/>
      <c r="K264" s="19"/>
      <c r="L264" s="23" t="str">
        <f t="shared" si="32"/>
        <v/>
      </c>
      <c r="M264" s="23" t="str">
        <f>IF(L264="","",L264*Inicio!$B$13)</f>
        <v/>
      </c>
      <c r="N264" s="23" t="str">
        <f t="shared" si="33"/>
        <v/>
      </c>
      <c r="O264" s="26"/>
      <c r="P264" s="18"/>
      <c r="Q264" s="19"/>
      <c r="R264" s="23" t="str">
        <f t="shared" si="34"/>
        <v/>
      </c>
      <c r="S264" s="22" t="str">
        <f ca="1">IF(A264="","",IF(OR(P264="Pagada",R264=0),"Pagada",IF(O264&lt;TODAY(),"Vencida",IF(O264&lt;=TODAY()+Inicio!$B$19,"Próxima a vencer","Vigente"))))</f>
        <v/>
      </c>
      <c r="T264" s="18"/>
      <c r="U264" s="37" t="str">
        <f t="shared" si="35"/>
        <v/>
      </c>
      <c r="V264" s="37" t="str">
        <f t="shared" si="36"/>
        <v/>
      </c>
      <c r="W264" s="37" t="str">
        <f t="shared" si="37"/>
        <v/>
      </c>
      <c r="X264" s="37" t="str">
        <f t="shared" si="38"/>
        <v/>
      </c>
      <c r="Y264" s="37" t="str">
        <f>IF(OR($H264="",$J264=""),"",$J264*IFERROR(VLOOKUP($H264,Maestro_SKU!$A$2:$P$500,12,FALSE),1))</f>
        <v/>
      </c>
      <c r="Z264" s="37" t="str">
        <f t="shared" ca="1" si="39"/>
        <v/>
      </c>
    </row>
    <row r="265" spans="1:26" x14ac:dyDescent="0.35">
      <c r="A265" s="18"/>
      <c r="B265" s="26"/>
      <c r="C265" s="18"/>
      <c r="D265" s="18"/>
      <c r="E265" s="22" t="str">
        <f>IFERROR(VLOOKUP(D265,Clientes_PDV!$A$2:$J$250,2,FALSE),"")</f>
        <v/>
      </c>
      <c r="F265" s="22" t="str">
        <f>IFERROR(VLOOKUP(D265,Clientes_PDV!$A$2:$J$250,3,FALSE),"")</f>
        <v/>
      </c>
      <c r="G265" s="22" t="str">
        <f>IFERROR(VLOOKUP(D265,Clientes_PDV!$A$2:$J$250,4,FALSE),"")</f>
        <v/>
      </c>
      <c r="H265" s="18"/>
      <c r="I265" s="22" t="str">
        <f>IFERROR(VLOOKUP(H265,Maestro_SKU!$A$2:$P$500,2,FALSE),"")</f>
        <v/>
      </c>
      <c r="J265" s="27"/>
      <c r="K265" s="19"/>
      <c r="L265" s="23" t="str">
        <f t="shared" si="32"/>
        <v/>
      </c>
      <c r="M265" s="23" t="str">
        <f>IF(L265="","",L265*Inicio!$B$13)</f>
        <v/>
      </c>
      <c r="N265" s="23" t="str">
        <f t="shared" si="33"/>
        <v/>
      </c>
      <c r="O265" s="26"/>
      <c r="P265" s="18"/>
      <c r="Q265" s="19"/>
      <c r="R265" s="23" t="str">
        <f t="shared" si="34"/>
        <v/>
      </c>
      <c r="S265" s="22" t="str">
        <f ca="1">IF(A265="","",IF(OR(P265="Pagada",R265=0),"Pagada",IF(O265&lt;TODAY(),"Vencida",IF(O265&lt;=TODAY()+Inicio!$B$19,"Próxima a vencer","Vigente"))))</f>
        <v/>
      </c>
      <c r="T265" s="18"/>
      <c r="U265" s="37" t="str">
        <f t="shared" si="35"/>
        <v/>
      </c>
      <c r="V265" s="37" t="str">
        <f t="shared" si="36"/>
        <v/>
      </c>
      <c r="W265" s="37" t="str">
        <f t="shared" si="37"/>
        <v/>
      </c>
      <c r="X265" s="37" t="str">
        <f t="shared" si="38"/>
        <v/>
      </c>
      <c r="Y265" s="37" t="str">
        <f>IF(OR($H265="",$J265=""),"",$J265*IFERROR(VLOOKUP($H265,Maestro_SKU!$A$2:$P$500,12,FALSE),1))</f>
        <v/>
      </c>
      <c r="Z265" s="37" t="str">
        <f t="shared" ca="1" si="39"/>
        <v/>
      </c>
    </row>
    <row r="266" spans="1:26" x14ac:dyDescent="0.35">
      <c r="A266" s="18"/>
      <c r="B266" s="26"/>
      <c r="C266" s="18"/>
      <c r="D266" s="18"/>
      <c r="E266" s="22" t="str">
        <f>IFERROR(VLOOKUP(D266,Clientes_PDV!$A$2:$J$250,2,FALSE),"")</f>
        <v/>
      </c>
      <c r="F266" s="22" t="str">
        <f>IFERROR(VLOOKUP(D266,Clientes_PDV!$A$2:$J$250,3,FALSE),"")</f>
        <v/>
      </c>
      <c r="G266" s="22" t="str">
        <f>IFERROR(VLOOKUP(D266,Clientes_PDV!$A$2:$J$250,4,FALSE),"")</f>
        <v/>
      </c>
      <c r="H266" s="18"/>
      <c r="I266" s="22" t="str">
        <f>IFERROR(VLOOKUP(H266,Maestro_SKU!$A$2:$P$500,2,FALSE),"")</f>
        <v/>
      </c>
      <c r="J266" s="27"/>
      <c r="K266" s="19"/>
      <c r="L266" s="23" t="str">
        <f t="shared" si="32"/>
        <v/>
      </c>
      <c r="M266" s="23" t="str">
        <f>IF(L266="","",L266*Inicio!$B$13)</f>
        <v/>
      </c>
      <c r="N266" s="23" t="str">
        <f t="shared" si="33"/>
        <v/>
      </c>
      <c r="O266" s="26"/>
      <c r="P266" s="18"/>
      <c r="Q266" s="19"/>
      <c r="R266" s="23" t="str">
        <f t="shared" si="34"/>
        <v/>
      </c>
      <c r="S266" s="22" t="str">
        <f ca="1">IF(A266="","",IF(OR(P266="Pagada",R266=0),"Pagada",IF(O266&lt;TODAY(),"Vencida",IF(O266&lt;=TODAY()+Inicio!$B$19,"Próxima a vencer","Vigente"))))</f>
        <v/>
      </c>
      <c r="T266" s="18"/>
      <c r="U266" s="37" t="str">
        <f t="shared" si="35"/>
        <v/>
      </c>
      <c r="V266" s="37" t="str">
        <f t="shared" si="36"/>
        <v/>
      </c>
      <c r="W266" s="37" t="str">
        <f t="shared" si="37"/>
        <v/>
      </c>
      <c r="X266" s="37" t="str">
        <f t="shared" si="38"/>
        <v/>
      </c>
      <c r="Y266" s="37" t="str">
        <f>IF(OR($H266="",$J266=""),"",$J266*IFERROR(VLOOKUP($H266,Maestro_SKU!$A$2:$P$500,12,FALSE),1))</f>
        <v/>
      </c>
      <c r="Z266" s="37" t="str">
        <f t="shared" ca="1" si="39"/>
        <v/>
      </c>
    </row>
    <row r="267" spans="1:26" x14ac:dyDescent="0.35">
      <c r="A267" s="18"/>
      <c r="B267" s="26"/>
      <c r="C267" s="18"/>
      <c r="D267" s="18"/>
      <c r="E267" s="22" t="str">
        <f>IFERROR(VLOOKUP(D267,Clientes_PDV!$A$2:$J$250,2,FALSE),"")</f>
        <v/>
      </c>
      <c r="F267" s="22" t="str">
        <f>IFERROR(VLOOKUP(D267,Clientes_PDV!$A$2:$J$250,3,FALSE),"")</f>
        <v/>
      </c>
      <c r="G267" s="22" t="str">
        <f>IFERROR(VLOOKUP(D267,Clientes_PDV!$A$2:$J$250,4,FALSE),"")</f>
        <v/>
      </c>
      <c r="H267" s="18"/>
      <c r="I267" s="22" t="str">
        <f>IFERROR(VLOOKUP(H267,Maestro_SKU!$A$2:$P$500,2,FALSE),"")</f>
        <v/>
      </c>
      <c r="J267" s="27"/>
      <c r="K267" s="19"/>
      <c r="L267" s="23" t="str">
        <f t="shared" si="32"/>
        <v/>
      </c>
      <c r="M267" s="23" t="str">
        <f>IF(L267="","",L267*Inicio!$B$13)</f>
        <v/>
      </c>
      <c r="N267" s="23" t="str">
        <f t="shared" si="33"/>
        <v/>
      </c>
      <c r="O267" s="26"/>
      <c r="P267" s="18"/>
      <c r="Q267" s="19"/>
      <c r="R267" s="23" t="str">
        <f t="shared" si="34"/>
        <v/>
      </c>
      <c r="S267" s="22" t="str">
        <f ca="1">IF(A267="","",IF(OR(P267="Pagada",R267=0),"Pagada",IF(O267&lt;TODAY(),"Vencida",IF(O267&lt;=TODAY()+Inicio!$B$19,"Próxima a vencer","Vigente"))))</f>
        <v/>
      </c>
      <c r="T267" s="18"/>
      <c r="U267" s="37" t="str">
        <f t="shared" si="35"/>
        <v/>
      </c>
      <c r="V267" s="37" t="str">
        <f t="shared" si="36"/>
        <v/>
      </c>
      <c r="W267" s="37" t="str">
        <f t="shared" si="37"/>
        <v/>
      </c>
      <c r="X267" s="37" t="str">
        <f t="shared" si="38"/>
        <v/>
      </c>
      <c r="Y267" s="37" t="str">
        <f>IF(OR($H267="",$J267=""),"",$J267*IFERROR(VLOOKUP($H267,Maestro_SKU!$A$2:$P$500,12,FALSE),1))</f>
        <v/>
      </c>
      <c r="Z267" s="37" t="str">
        <f t="shared" ca="1" si="39"/>
        <v/>
      </c>
    </row>
    <row r="268" spans="1:26" x14ac:dyDescent="0.35">
      <c r="A268" s="18"/>
      <c r="B268" s="26"/>
      <c r="C268" s="18"/>
      <c r="D268" s="18"/>
      <c r="E268" s="22" t="str">
        <f>IFERROR(VLOOKUP(D268,Clientes_PDV!$A$2:$J$250,2,FALSE),"")</f>
        <v/>
      </c>
      <c r="F268" s="22" t="str">
        <f>IFERROR(VLOOKUP(D268,Clientes_PDV!$A$2:$J$250,3,FALSE),"")</f>
        <v/>
      </c>
      <c r="G268" s="22" t="str">
        <f>IFERROR(VLOOKUP(D268,Clientes_PDV!$A$2:$J$250,4,FALSE),"")</f>
        <v/>
      </c>
      <c r="H268" s="18"/>
      <c r="I268" s="22" t="str">
        <f>IFERROR(VLOOKUP(H268,Maestro_SKU!$A$2:$P$500,2,FALSE),"")</f>
        <v/>
      </c>
      <c r="J268" s="27"/>
      <c r="K268" s="19"/>
      <c r="L268" s="23" t="str">
        <f t="shared" si="32"/>
        <v/>
      </c>
      <c r="M268" s="23" t="str">
        <f>IF(L268="","",L268*Inicio!$B$13)</f>
        <v/>
      </c>
      <c r="N268" s="23" t="str">
        <f t="shared" si="33"/>
        <v/>
      </c>
      <c r="O268" s="26"/>
      <c r="P268" s="18"/>
      <c r="Q268" s="19"/>
      <c r="R268" s="23" t="str">
        <f t="shared" si="34"/>
        <v/>
      </c>
      <c r="S268" s="22" t="str">
        <f ca="1">IF(A268="","",IF(OR(P268="Pagada",R268=0),"Pagada",IF(O268&lt;TODAY(),"Vencida",IF(O268&lt;=TODAY()+Inicio!$B$19,"Próxima a vencer","Vigente"))))</f>
        <v/>
      </c>
      <c r="T268" s="18"/>
      <c r="U268" s="37" t="str">
        <f t="shared" si="35"/>
        <v/>
      </c>
      <c r="V268" s="37" t="str">
        <f t="shared" si="36"/>
        <v/>
      </c>
      <c r="W268" s="37" t="str">
        <f t="shared" si="37"/>
        <v/>
      </c>
      <c r="X268" s="37" t="str">
        <f t="shared" si="38"/>
        <v/>
      </c>
      <c r="Y268" s="37" t="str">
        <f>IF(OR($H268="",$J268=""),"",$J268*IFERROR(VLOOKUP($H268,Maestro_SKU!$A$2:$P$500,12,FALSE),1))</f>
        <v/>
      </c>
      <c r="Z268" s="37" t="str">
        <f t="shared" ca="1" si="39"/>
        <v/>
      </c>
    </row>
    <row r="269" spans="1:26" x14ac:dyDescent="0.35">
      <c r="A269" s="18"/>
      <c r="B269" s="26"/>
      <c r="C269" s="18"/>
      <c r="D269" s="18"/>
      <c r="E269" s="22" t="str">
        <f>IFERROR(VLOOKUP(D269,Clientes_PDV!$A$2:$J$250,2,FALSE),"")</f>
        <v/>
      </c>
      <c r="F269" s="22" t="str">
        <f>IFERROR(VLOOKUP(D269,Clientes_PDV!$A$2:$J$250,3,FALSE),"")</f>
        <v/>
      </c>
      <c r="G269" s="22" t="str">
        <f>IFERROR(VLOOKUP(D269,Clientes_PDV!$A$2:$J$250,4,FALSE),"")</f>
        <v/>
      </c>
      <c r="H269" s="18"/>
      <c r="I269" s="22" t="str">
        <f>IFERROR(VLOOKUP(H269,Maestro_SKU!$A$2:$P$500,2,FALSE),"")</f>
        <v/>
      </c>
      <c r="J269" s="27"/>
      <c r="K269" s="19"/>
      <c r="L269" s="23" t="str">
        <f t="shared" si="32"/>
        <v/>
      </c>
      <c r="M269" s="23" t="str">
        <f>IF(L269="","",L269*Inicio!$B$13)</f>
        <v/>
      </c>
      <c r="N269" s="23" t="str">
        <f t="shared" si="33"/>
        <v/>
      </c>
      <c r="O269" s="26"/>
      <c r="P269" s="18"/>
      <c r="Q269" s="19"/>
      <c r="R269" s="23" t="str">
        <f t="shared" si="34"/>
        <v/>
      </c>
      <c r="S269" s="22" t="str">
        <f ca="1">IF(A269="","",IF(OR(P269="Pagada",R269=0),"Pagada",IF(O269&lt;TODAY(),"Vencida",IF(O269&lt;=TODAY()+Inicio!$B$19,"Próxima a vencer","Vigente"))))</f>
        <v/>
      </c>
      <c r="T269" s="18"/>
      <c r="U269" s="37" t="str">
        <f t="shared" si="35"/>
        <v/>
      </c>
      <c r="V269" s="37" t="str">
        <f t="shared" si="36"/>
        <v/>
      </c>
      <c r="W269" s="37" t="str">
        <f t="shared" si="37"/>
        <v/>
      </c>
      <c r="X269" s="37" t="str">
        <f t="shared" si="38"/>
        <v/>
      </c>
      <c r="Y269" s="37" t="str">
        <f>IF(OR($H269="",$J269=""),"",$J269*IFERROR(VLOOKUP($H269,Maestro_SKU!$A$2:$P$500,12,FALSE),1))</f>
        <v/>
      </c>
      <c r="Z269" s="37" t="str">
        <f t="shared" ca="1" si="39"/>
        <v/>
      </c>
    </row>
    <row r="270" spans="1:26" x14ac:dyDescent="0.35">
      <c r="A270" s="18"/>
      <c r="B270" s="26"/>
      <c r="C270" s="18"/>
      <c r="D270" s="18"/>
      <c r="E270" s="22" t="str">
        <f>IFERROR(VLOOKUP(D270,Clientes_PDV!$A$2:$J$250,2,FALSE),"")</f>
        <v/>
      </c>
      <c r="F270" s="22" t="str">
        <f>IFERROR(VLOOKUP(D270,Clientes_PDV!$A$2:$J$250,3,FALSE),"")</f>
        <v/>
      </c>
      <c r="G270" s="22" t="str">
        <f>IFERROR(VLOOKUP(D270,Clientes_PDV!$A$2:$J$250,4,FALSE),"")</f>
        <v/>
      </c>
      <c r="H270" s="18"/>
      <c r="I270" s="22" t="str">
        <f>IFERROR(VLOOKUP(H270,Maestro_SKU!$A$2:$P$500,2,FALSE),"")</f>
        <v/>
      </c>
      <c r="J270" s="27"/>
      <c r="K270" s="19"/>
      <c r="L270" s="23" t="str">
        <f t="shared" si="32"/>
        <v/>
      </c>
      <c r="M270" s="23" t="str">
        <f>IF(L270="","",L270*Inicio!$B$13)</f>
        <v/>
      </c>
      <c r="N270" s="23" t="str">
        <f t="shared" si="33"/>
        <v/>
      </c>
      <c r="O270" s="26"/>
      <c r="P270" s="18"/>
      <c r="Q270" s="19"/>
      <c r="R270" s="23" t="str">
        <f t="shared" si="34"/>
        <v/>
      </c>
      <c r="S270" s="22" t="str">
        <f ca="1">IF(A270="","",IF(OR(P270="Pagada",R270=0),"Pagada",IF(O270&lt;TODAY(),"Vencida",IF(O270&lt;=TODAY()+Inicio!$B$19,"Próxima a vencer","Vigente"))))</f>
        <v/>
      </c>
      <c r="T270" s="18"/>
      <c r="U270" s="37" t="str">
        <f t="shared" si="35"/>
        <v/>
      </c>
      <c r="V270" s="37" t="str">
        <f t="shared" si="36"/>
        <v/>
      </c>
      <c r="W270" s="37" t="str">
        <f t="shared" si="37"/>
        <v/>
      </c>
      <c r="X270" s="37" t="str">
        <f t="shared" si="38"/>
        <v/>
      </c>
      <c r="Y270" s="37" t="str">
        <f>IF(OR($H270="",$J270=""),"",$J270*IFERROR(VLOOKUP($H270,Maestro_SKU!$A$2:$P$500,12,FALSE),1))</f>
        <v/>
      </c>
      <c r="Z270" s="37" t="str">
        <f t="shared" ca="1" si="39"/>
        <v/>
      </c>
    </row>
    <row r="271" spans="1:26" x14ac:dyDescent="0.35">
      <c r="A271" s="18"/>
      <c r="B271" s="26"/>
      <c r="C271" s="18"/>
      <c r="D271" s="18"/>
      <c r="E271" s="22" t="str">
        <f>IFERROR(VLOOKUP(D271,Clientes_PDV!$A$2:$J$250,2,FALSE),"")</f>
        <v/>
      </c>
      <c r="F271" s="22" t="str">
        <f>IFERROR(VLOOKUP(D271,Clientes_PDV!$A$2:$J$250,3,FALSE),"")</f>
        <v/>
      </c>
      <c r="G271" s="22" t="str">
        <f>IFERROR(VLOOKUP(D271,Clientes_PDV!$A$2:$J$250,4,FALSE),"")</f>
        <v/>
      </c>
      <c r="H271" s="18"/>
      <c r="I271" s="22" t="str">
        <f>IFERROR(VLOOKUP(H271,Maestro_SKU!$A$2:$P$500,2,FALSE),"")</f>
        <v/>
      </c>
      <c r="J271" s="27"/>
      <c r="K271" s="19"/>
      <c r="L271" s="23" t="str">
        <f t="shared" si="32"/>
        <v/>
      </c>
      <c r="M271" s="23" t="str">
        <f>IF(L271="","",L271*Inicio!$B$13)</f>
        <v/>
      </c>
      <c r="N271" s="23" t="str">
        <f t="shared" si="33"/>
        <v/>
      </c>
      <c r="O271" s="26"/>
      <c r="P271" s="18"/>
      <c r="Q271" s="19"/>
      <c r="R271" s="23" t="str">
        <f t="shared" si="34"/>
        <v/>
      </c>
      <c r="S271" s="22" t="str">
        <f ca="1">IF(A271="","",IF(OR(P271="Pagada",R271=0),"Pagada",IF(O271&lt;TODAY(),"Vencida",IF(O271&lt;=TODAY()+Inicio!$B$19,"Próxima a vencer","Vigente"))))</f>
        <v/>
      </c>
      <c r="T271" s="18"/>
      <c r="U271" s="37" t="str">
        <f t="shared" si="35"/>
        <v/>
      </c>
      <c r="V271" s="37" t="str">
        <f t="shared" si="36"/>
        <v/>
      </c>
      <c r="W271" s="37" t="str">
        <f t="shared" si="37"/>
        <v/>
      </c>
      <c r="X271" s="37" t="str">
        <f t="shared" si="38"/>
        <v/>
      </c>
      <c r="Y271" s="37" t="str">
        <f>IF(OR($H271="",$J271=""),"",$J271*IFERROR(VLOOKUP($H271,Maestro_SKU!$A$2:$P$500,12,FALSE),1))</f>
        <v/>
      </c>
      <c r="Z271" s="37" t="str">
        <f t="shared" ca="1" si="39"/>
        <v/>
      </c>
    </row>
    <row r="272" spans="1:26" x14ac:dyDescent="0.35">
      <c r="A272" s="18"/>
      <c r="B272" s="26"/>
      <c r="C272" s="18"/>
      <c r="D272" s="18"/>
      <c r="E272" s="22" t="str">
        <f>IFERROR(VLOOKUP(D272,Clientes_PDV!$A$2:$J$250,2,FALSE),"")</f>
        <v/>
      </c>
      <c r="F272" s="22" t="str">
        <f>IFERROR(VLOOKUP(D272,Clientes_PDV!$A$2:$J$250,3,FALSE),"")</f>
        <v/>
      </c>
      <c r="G272" s="22" t="str">
        <f>IFERROR(VLOOKUP(D272,Clientes_PDV!$A$2:$J$250,4,FALSE),"")</f>
        <v/>
      </c>
      <c r="H272" s="18"/>
      <c r="I272" s="22" t="str">
        <f>IFERROR(VLOOKUP(H272,Maestro_SKU!$A$2:$P$500,2,FALSE),"")</f>
        <v/>
      </c>
      <c r="J272" s="27"/>
      <c r="K272" s="19"/>
      <c r="L272" s="23" t="str">
        <f t="shared" si="32"/>
        <v/>
      </c>
      <c r="M272" s="23" t="str">
        <f>IF(L272="","",L272*Inicio!$B$13)</f>
        <v/>
      </c>
      <c r="N272" s="23" t="str">
        <f t="shared" si="33"/>
        <v/>
      </c>
      <c r="O272" s="26"/>
      <c r="P272" s="18"/>
      <c r="Q272" s="19"/>
      <c r="R272" s="23" t="str">
        <f t="shared" si="34"/>
        <v/>
      </c>
      <c r="S272" s="22" t="str">
        <f ca="1">IF(A272="","",IF(OR(P272="Pagada",R272=0),"Pagada",IF(O272&lt;TODAY(),"Vencida",IF(O272&lt;=TODAY()+Inicio!$B$19,"Próxima a vencer","Vigente"))))</f>
        <v/>
      </c>
      <c r="T272" s="18"/>
      <c r="U272" s="37" t="str">
        <f t="shared" si="35"/>
        <v/>
      </c>
      <c r="V272" s="37" t="str">
        <f t="shared" si="36"/>
        <v/>
      </c>
      <c r="W272" s="37" t="str">
        <f t="shared" si="37"/>
        <v/>
      </c>
      <c r="X272" s="37" t="str">
        <f t="shared" si="38"/>
        <v/>
      </c>
      <c r="Y272" s="37" t="str">
        <f>IF(OR($H272="",$J272=""),"",$J272*IFERROR(VLOOKUP($H272,Maestro_SKU!$A$2:$P$500,12,FALSE),1))</f>
        <v/>
      </c>
      <c r="Z272" s="37" t="str">
        <f t="shared" ca="1" si="39"/>
        <v/>
      </c>
    </row>
    <row r="273" spans="1:26" x14ac:dyDescent="0.35">
      <c r="A273" s="18"/>
      <c r="B273" s="26"/>
      <c r="C273" s="18"/>
      <c r="D273" s="18"/>
      <c r="E273" s="22" t="str">
        <f>IFERROR(VLOOKUP(D273,Clientes_PDV!$A$2:$J$250,2,FALSE),"")</f>
        <v/>
      </c>
      <c r="F273" s="22" t="str">
        <f>IFERROR(VLOOKUP(D273,Clientes_PDV!$A$2:$J$250,3,FALSE),"")</f>
        <v/>
      </c>
      <c r="G273" s="22" t="str">
        <f>IFERROR(VLOOKUP(D273,Clientes_PDV!$A$2:$J$250,4,FALSE),"")</f>
        <v/>
      </c>
      <c r="H273" s="18"/>
      <c r="I273" s="22" t="str">
        <f>IFERROR(VLOOKUP(H273,Maestro_SKU!$A$2:$P$500,2,FALSE),"")</f>
        <v/>
      </c>
      <c r="J273" s="27"/>
      <c r="K273" s="19"/>
      <c r="L273" s="23" t="str">
        <f t="shared" si="32"/>
        <v/>
      </c>
      <c r="M273" s="23" t="str">
        <f>IF(L273="","",L273*Inicio!$B$13)</f>
        <v/>
      </c>
      <c r="N273" s="23" t="str">
        <f t="shared" si="33"/>
        <v/>
      </c>
      <c r="O273" s="26"/>
      <c r="P273" s="18"/>
      <c r="Q273" s="19"/>
      <c r="R273" s="23" t="str">
        <f t="shared" si="34"/>
        <v/>
      </c>
      <c r="S273" s="22" t="str">
        <f ca="1">IF(A273="","",IF(OR(P273="Pagada",R273=0),"Pagada",IF(O273&lt;TODAY(),"Vencida",IF(O273&lt;=TODAY()+Inicio!$B$19,"Próxima a vencer","Vigente"))))</f>
        <v/>
      </c>
      <c r="T273" s="18"/>
      <c r="U273" s="37" t="str">
        <f t="shared" si="35"/>
        <v/>
      </c>
      <c r="V273" s="37" t="str">
        <f t="shared" si="36"/>
        <v/>
      </c>
      <c r="W273" s="37" t="str">
        <f t="shared" si="37"/>
        <v/>
      </c>
      <c r="X273" s="37" t="str">
        <f t="shared" si="38"/>
        <v/>
      </c>
      <c r="Y273" s="37" t="str">
        <f>IF(OR($H273="",$J273=""),"",$J273*IFERROR(VLOOKUP($H273,Maestro_SKU!$A$2:$P$500,12,FALSE),1))</f>
        <v/>
      </c>
      <c r="Z273" s="37" t="str">
        <f t="shared" ca="1" si="39"/>
        <v/>
      </c>
    </row>
    <row r="274" spans="1:26" x14ac:dyDescent="0.35">
      <c r="A274" s="18"/>
      <c r="B274" s="26"/>
      <c r="C274" s="18"/>
      <c r="D274" s="18"/>
      <c r="E274" s="22" t="str">
        <f>IFERROR(VLOOKUP(D274,Clientes_PDV!$A$2:$J$250,2,FALSE),"")</f>
        <v/>
      </c>
      <c r="F274" s="22" t="str">
        <f>IFERROR(VLOOKUP(D274,Clientes_PDV!$A$2:$J$250,3,FALSE),"")</f>
        <v/>
      </c>
      <c r="G274" s="22" t="str">
        <f>IFERROR(VLOOKUP(D274,Clientes_PDV!$A$2:$J$250,4,FALSE),"")</f>
        <v/>
      </c>
      <c r="H274" s="18"/>
      <c r="I274" s="22" t="str">
        <f>IFERROR(VLOOKUP(H274,Maestro_SKU!$A$2:$P$500,2,FALSE),"")</f>
        <v/>
      </c>
      <c r="J274" s="27"/>
      <c r="K274" s="19"/>
      <c r="L274" s="23" t="str">
        <f t="shared" si="32"/>
        <v/>
      </c>
      <c r="M274" s="23" t="str">
        <f>IF(L274="","",L274*Inicio!$B$13)</f>
        <v/>
      </c>
      <c r="N274" s="23" t="str">
        <f t="shared" si="33"/>
        <v/>
      </c>
      <c r="O274" s="26"/>
      <c r="P274" s="18"/>
      <c r="Q274" s="19"/>
      <c r="R274" s="23" t="str">
        <f t="shared" si="34"/>
        <v/>
      </c>
      <c r="S274" s="22" t="str">
        <f ca="1">IF(A274="","",IF(OR(P274="Pagada",R274=0),"Pagada",IF(O274&lt;TODAY(),"Vencida",IF(O274&lt;=TODAY()+Inicio!$B$19,"Próxima a vencer","Vigente"))))</f>
        <v/>
      </c>
      <c r="T274" s="18"/>
      <c r="U274" s="37" t="str">
        <f t="shared" si="35"/>
        <v/>
      </c>
      <c r="V274" s="37" t="str">
        <f t="shared" si="36"/>
        <v/>
      </c>
      <c r="W274" s="37" t="str">
        <f t="shared" si="37"/>
        <v/>
      </c>
      <c r="X274" s="37" t="str">
        <f t="shared" si="38"/>
        <v/>
      </c>
      <c r="Y274" s="37" t="str">
        <f>IF(OR($H274="",$J274=""),"",$J274*IFERROR(VLOOKUP($H274,Maestro_SKU!$A$2:$P$500,12,FALSE),1))</f>
        <v/>
      </c>
      <c r="Z274" s="37" t="str">
        <f t="shared" ca="1" si="39"/>
        <v/>
      </c>
    </row>
    <row r="275" spans="1:26" x14ac:dyDescent="0.35">
      <c r="A275" s="18"/>
      <c r="B275" s="26"/>
      <c r="C275" s="18"/>
      <c r="D275" s="18"/>
      <c r="E275" s="22" t="str">
        <f>IFERROR(VLOOKUP(D275,Clientes_PDV!$A$2:$J$250,2,FALSE),"")</f>
        <v/>
      </c>
      <c r="F275" s="22" t="str">
        <f>IFERROR(VLOOKUP(D275,Clientes_PDV!$A$2:$J$250,3,FALSE),"")</f>
        <v/>
      </c>
      <c r="G275" s="22" t="str">
        <f>IFERROR(VLOOKUP(D275,Clientes_PDV!$A$2:$J$250,4,FALSE),"")</f>
        <v/>
      </c>
      <c r="H275" s="18"/>
      <c r="I275" s="22" t="str">
        <f>IFERROR(VLOOKUP(H275,Maestro_SKU!$A$2:$P$500,2,FALSE),"")</f>
        <v/>
      </c>
      <c r="J275" s="27"/>
      <c r="K275" s="19"/>
      <c r="L275" s="23" t="str">
        <f t="shared" si="32"/>
        <v/>
      </c>
      <c r="M275" s="23" t="str">
        <f>IF(L275="","",L275*Inicio!$B$13)</f>
        <v/>
      </c>
      <c r="N275" s="23" t="str">
        <f t="shared" si="33"/>
        <v/>
      </c>
      <c r="O275" s="26"/>
      <c r="P275" s="18"/>
      <c r="Q275" s="19"/>
      <c r="R275" s="23" t="str">
        <f t="shared" si="34"/>
        <v/>
      </c>
      <c r="S275" s="22" t="str">
        <f ca="1">IF(A275="","",IF(OR(P275="Pagada",R275=0),"Pagada",IF(O275&lt;TODAY(),"Vencida",IF(O275&lt;=TODAY()+Inicio!$B$19,"Próxima a vencer","Vigente"))))</f>
        <v/>
      </c>
      <c r="T275" s="18"/>
      <c r="U275" s="37" t="str">
        <f t="shared" si="35"/>
        <v/>
      </c>
      <c r="V275" s="37" t="str">
        <f t="shared" si="36"/>
        <v/>
      </c>
      <c r="W275" s="37" t="str">
        <f t="shared" si="37"/>
        <v/>
      </c>
      <c r="X275" s="37" t="str">
        <f t="shared" si="38"/>
        <v/>
      </c>
      <c r="Y275" s="37" t="str">
        <f>IF(OR($H275="",$J275=""),"",$J275*IFERROR(VLOOKUP($H275,Maestro_SKU!$A$2:$P$500,12,FALSE),1))</f>
        <v/>
      </c>
      <c r="Z275" s="37" t="str">
        <f t="shared" ca="1" si="39"/>
        <v/>
      </c>
    </row>
    <row r="276" spans="1:26" x14ac:dyDescent="0.35">
      <c r="A276" s="18"/>
      <c r="B276" s="26"/>
      <c r="C276" s="18"/>
      <c r="D276" s="18"/>
      <c r="E276" s="22" t="str">
        <f>IFERROR(VLOOKUP(D276,Clientes_PDV!$A$2:$J$250,2,FALSE),"")</f>
        <v/>
      </c>
      <c r="F276" s="22" t="str">
        <f>IFERROR(VLOOKUP(D276,Clientes_PDV!$A$2:$J$250,3,FALSE),"")</f>
        <v/>
      </c>
      <c r="G276" s="22" t="str">
        <f>IFERROR(VLOOKUP(D276,Clientes_PDV!$A$2:$J$250,4,FALSE),"")</f>
        <v/>
      </c>
      <c r="H276" s="18"/>
      <c r="I276" s="22" t="str">
        <f>IFERROR(VLOOKUP(H276,Maestro_SKU!$A$2:$P$500,2,FALSE),"")</f>
        <v/>
      </c>
      <c r="J276" s="27"/>
      <c r="K276" s="19"/>
      <c r="L276" s="23" t="str">
        <f t="shared" si="32"/>
        <v/>
      </c>
      <c r="M276" s="23" t="str">
        <f>IF(L276="","",L276*Inicio!$B$13)</f>
        <v/>
      </c>
      <c r="N276" s="23" t="str">
        <f t="shared" si="33"/>
        <v/>
      </c>
      <c r="O276" s="26"/>
      <c r="P276" s="18"/>
      <c r="Q276" s="19"/>
      <c r="R276" s="23" t="str">
        <f t="shared" si="34"/>
        <v/>
      </c>
      <c r="S276" s="22" t="str">
        <f ca="1">IF(A276="","",IF(OR(P276="Pagada",R276=0),"Pagada",IF(O276&lt;TODAY(),"Vencida",IF(O276&lt;=TODAY()+Inicio!$B$19,"Próxima a vencer","Vigente"))))</f>
        <v/>
      </c>
      <c r="T276" s="18"/>
      <c r="U276" s="37" t="str">
        <f t="shared" si="35"/>
        <v/>
      </c>
      <c r="V276" s="37" t="str">
        <f t="shared" si="36"/>
        <v/>
      </c>
      <c r="W276" s="37" t="str">
        <f t="shared" si="37"/>
        <v/>
      </c>
      <c r="X276" s="37" t="str">
        <f t="shared" si="38"/>
        <v/>
      </c>
      <c r="Y276" s="37" t="str">
        <f>IF(OR($H276="",$J276=""),"",$J276*IFERROR(VLOOKUP($H276,Maestro_SKU!$A$2:$P$500,12,FALSE),1))</f>
        <v/>
      </c>
      <c r="Z276" s="37" t="str">
        <f t="shared" ca="1" si="39"/>
        <v/>
      </c>
    </row>
    <row r="277" spans="1:26" x14ac:dyDescent="0.35">
      <c r="A277" s="18"/>
      <c r="B277" s="26"/>
      <c r="C277" s="18"/>
      <c r="D277" s="18"/>
      <c r="E277" s="22" t="str">
        <f>IFERROR(VLOOKUP(D277,Clientes_PDV!$A$2:$J$250,2,FALSE),"")</f>
        <v/>
      </c>
      <c r="F277" s="22" t="str">
        <f>IFERROR(VLOOKUP(D277,Clientes_PDV!$A$2:$J$250,3,FALSE),"")</f>
        <v/>
      </c>
      <c r="G277" s="22" t="str">
        <f>IFERROR(VLOOKUP(D277,Clientes_PDV!$A$2:$J$250,4,FALSE),"")</f>
        <v/>
      </c>
      <c r="H277" s="18"/>
      <c r="I277" s="22" t="str">
        <f>IFERROR(VLOOKUP(H277,Maestro_SKU!$A$2:$P$500,2,FALSE),"")</f>
        <v/>
      </c>
      <c r="J277" s="27"/>
      <c r="K277" s="19"/>
      <c r="L277" s="23" t="str">
        <f t="shared" si="32"/>
        <v/>
      </c>
      <c r="M277" s="23" t="str">
        <f>IF(L277="","",L277*Inicio!$B$13)</f>
        <v/>
      </c>
      <c r="N277" s="23" t="str">
        <f t="shared" si="33"/>
        <v/>
      </c>
      <c r="O277" s="26"/>
      <c r="P277" s="18"/>
      <c r="Q277" s="19"/>
      <c r="R277" s="23" t="str">
        <f t="shared" si="34"/>
        <v/>
      </c>
      <c r="S277" s="22" t="str">
        <f ca="1">IF(A277="","",IF(OR(P277="Pagada",R277=0),"Pagada",IF(O277&lt;TODAY(),"Vencida",IF(O277&lt;=TODAY()+Inicio!$B$19,"Próxima a vencer","Vigente"))))</f>
        <v/>
      </c>
      <c r="T277" s="18"/>
      <c r="U277" s="37" t="str">
        <f t="shared" si="35"/>
        <v/>
      </c>
      <c r="V277" s="37" t="str">
        <f t="shared" si="36"/>
        <v/>
      </c>
      <c r="W277" s="37" t="str">
        <f t="shared" si="37"/>
        <v/>
      </c>
      <c r="X277" s="37" t="str">
        <f t="shared" si="38"/>
        <v/>
      </c>
      <c r="Y277" s="37" t="str">
        <f>IF(OR($H277="",$J277=""),"",$J277*IFERROR(VLOOKUP($H277,Maestro_SKU!$A$2:$P$500,12,FALSE),1))</f>
        <v/>
      </c>
      <c r="Z277" s="37" t="str">
        <f t="shared" ca="1" si="39"/>
        <v/>
      </c>
    </row>
    <row r="278" spans="1:26" x14ac:dyDescent="0.35">
      <c r="A278" s="18"/>
      <c r="B278" s="26"/>
      <c r="C278" s="18"/>
      <c r="D278" s="18"/>
      <c r="E278" s="22" t="str">
        <f>IFERROR(VLOOKUP(D278,Clientes_PDV!$A$2:$J$250,2,FALSE),"")</f>
        <v/>
      </c>
      <c r="F278" s="22" t="str">
        <f>IFERROR(VLOOKUP(D278,Clientes_PDV!$A$2:$J$250,3,FALSE),"")</f>
        <v/>
      </c>
      <c r="G278" s="22" t="str">
        <f>IFERROR(VLOOKUP(D278,Clientes_PDV!$A$2:$J$250,4,FALSE),"")</f>
        <v/>
      </c>
      <c r="H278" s="18"/>
      <c r="I278" s="22" t="str">
        <f>IFERROR(VLOOKUP(H278,Maestro_SKU!$A$2:$P$500,2,FALSE),"")</f>
        <v/>
      </c>
      <c r="J278" s="27"/>
      <c r="K278" s="19"/>
      <c r="L278" s="23" t="str">
        <f t="shared" si="32"/>
        <v/>
      </c>
      <c r="M278" s="23" t="str">
        <f>IF(L278="","",L278*Inicio!$B$13)</f>
        <v/>
      </c>
      <c r="N278" s="23" t="str">
        <f t="shared" si="33"/>
        <v/>
      </c>
      <c r="O278" s="26"/>
      <c r="P278" s="18"/>
      <c r="Q278" s="19"/>
      <c r="R278" s="23" t="str">
        <f t="shared" si="34"/>
        <v/>
      </c>
      <c r="S278" s="22" t="str">
        <f ca="1">IF(A278="","",IF(OR(P278="Pagada",R278=0),"Pagada",IF(O278&lt;TODAY(),"Vencida",IF(O278&lt;=TODAY()+Inicio!$B$19,"Próxima a vencer","Vigente"))))</f>
        <v/>
      </c>
      <c r="T278" s="18"/>
      <c r="U278" s="37" t="str">
        <f t="shared" si="35"/>
        <v/>
      </c>
      <c r="V278" s="37" t="str">
        <f t="shared" si="36"/>
        <v/>
      </c>
      <c r="W278" s="37" t="str">
        <f t="shared" si="37"/>
        <v/>
      </c>
      <c r="X278" s="37" t="str">
        <f t="shared" si="38"/>
        <v/>
      </c>
      <c r="Y278" s="37" t="str">
        <f>IF(OR($H278="",$J278=""),"",$J278*IFERROR(VLOOKUP($H278,Maestro_SKU!$A$2:$P$500,12,FALSE),1))</f>
        <v/>
      </c>
      <c r="Z278" s="37" t="str">
        <f t="shared" ca="1" si="39"/>
        <v/>
      </c>
    </row>
    <row r="279" spans="1:26" x14ac:dyDescent="0.35">
      <c r="A279" s="18"/>
      <c r="B279" s="26"/>
      <c r="C279" s="18"/>
      <c r="D279" s="18"/>
      <c r="E279" s="22" t="str">
        <f>IFERROR(VLOOKUP(D279,Clientes_PDV!$A$2:$J$250,2,FALSE),"")</f>
        <v/>
      </c>
      <c r="F279" s="22" t="str">
        <f>IFERROR(VLOOKUP(D279,Clientes_PDV!$A$2:$J$250,3,FALSE),"")</f>
        <v/>
      </c>
      <c r="G279" s="22" t="str">
        <f>IFERROR(VLOOKUP(D279,Clientes_PDV!$A$2:$J$250,4,FALSE),"")</f>
        <v/>
      </c>
      <c r="H279" s="18"/>
      <c r="I279" s="22" t="str">
        <f>IFERROR(VLOOKUP(H279,Maestro_SKU!$A$2:$P$500,2,FALSE),"")</f>
        <v/>
      </c>
      <c r="J279" s="27"/>
      <c r="K279" s="19"/>
      <c r="L279" s="23" t="str">
        <f t="shared" si="32"/>
        <v/>
      </c>
      <c r="M279" s="23" t="str">
        <f>IF(L279="","",L279*Inicio!$B$13)</f>
        <v/>
      </c>
      <c r="N279" s="23" t="str">
        <f t="shared" si="33"/>
        <v/>
      </c>
      <c r="O279" s="26"/>
      <c r="P279" s="18"/>
      <c r="Q279" s="19"/>
      <c r="R279" s="23" t="str">
        <f t="shared" si="34"/>
        <v/>
      </c>
      <c r="S279" s="22" t="str">
        <f ca="1">IF(A279="","",IF(OR(P279="Pagada",R279=0),"Pagada",IF(O279&lt;TODAY(),"Vencida",IF(O279&lt;=TODAY()+Inicio!$B$19,"Próxima a vencer","Vigente"))))</f>
        <v/>
      </c>
      <c r="T279" s="18"/>
      <c r="U279" s="37" t="str">
        <f t="shared" si="35"/>
        <v/>
      </c>
      <c r="V279" s="37" t="str">
        <f t="shared" si="36"/>
        <v/>
      </c>
      <c r="W279" s="37" t="str">
        <f t="shared" si="37"/>
        <v/>
      </c>
      <c r="X279" s="37" t="str">
        <f t="shared" si="38"/>
        <v/>
      </c>
      <c r="Y279" s="37" t="str">
        <f>IF(OR($H279="",$J279=""),"",$J279*IFERROR(VLOOKUP($H279,Maestro_SKU!$A$2:$P$500,12,FALSE),1))</f>
        <v/>
      </c>
      <c r="Z279" s="37" t="str">
        <f t="shared" ca="1" si="39"/>
        <v/>
      </c>
    </row>
    <row r="280" spans="1:26" x14ac:dyDescent="0.35">
      <c r="A280" s="18"/>
      <c r="B280" s="26"/>
      <c r="C280" s="18"/>
      <c r="D280" s="18"/>
      <c r="E280" s="22" t="str">
        <f>IFERROR(VLOOKUP(D280,Clientes_PDV!$A$2:$J$250,2,FALSE),"")</f>
        <v/>
      </c>
      <c r="F280" s="22" t="str">
        <f>IFERROR(VLOOKUP(D280,Clientes_PDV!$A$2:$J$250,3,FALSE),"")</f>
        <v/>
      </c>
      <c r="G280" s="22" t="str">
        <f>IFERROR(VLOOKUP(D280,Clientes_PDV!$A$2:$J$250,4,FALSE),"")</f>
        <v/>
      </c>
      <c r="H280" s="18"/>
      <c r="I280" s="22" t="str">
        <f>IFERROR(VLOOKUP(H280,Maestro_SKU!$A$2:$P$500,2,FALSE),"")</f>
        <v/>
      </c>
      <c r="J280" s="27"/>
      <c r="K280" s="19"/>
      <c r="L280" s="23" t="str">
        <f t="shared" si="32"/>
        <v/>
      </c>
      <c r="M280" s="23" t="str">
        <f>IF(L280="","",L280*Inicio!$B$13)</f>
        <v/>
      </c>
      <c r="N280" s="23" t="str">
        <f t="shared" si="33"/>
        <v/>
      </c>
      <c r="O280" s="26"/>
      <c r="P280" s="18"/>
      <c r="Q280" s="19"/>
      <c r="R280" s="23" t="str">
        <f t="shared" si="34"/>
        <v/>
      </c>
      <c r="S280" s="22" t="str">
        <f ca="1">IF(A280="","",IF(OR(P280="Pagada",R280=0),"Pagada",IF(O280&lt;TODAY(),"Vencida",IF(O280&lt;=TODAY()+Inicio!$B$19,"Próxima a vencer","Vigente"))))</f>
        <v/>
      </c>
      <c r="T280" s="18"/>
      <c r="U280" s="37" t="str">
        <f t="shared" si="35"/>
        <v/>
      </c>
      <c r="V280" s="37" t="str">
        <f t="shared" si="36"/>
        <v/>
      </c>
      <c r="W280" s="37" t="str">
        <f t="shared" si="37"/>
        <v/>
      </c>
      <c r="X280" s="37" t="str">
        <f t="shared" si="38"/>
        <v/>
      </c>
      <c r="Y280" s="37" t="str">
        <f>IF(OR($H280="",$J280=""),"",$J280*IFERROR(VLOOKUP($H280,Maestro_SKU!$A$2:$P$500,12,FALSE),1))</f>
        <v/>
      </c>
      <c r="Z280" s="37" t="str">
        <f t="shared" ca="1" si="39"/>
        <v/>
      </c>
    </row>
    <row r="281" spans="1:26" x14ac:dyDescent="0.35">
      <c r="A281" s="18"/>
      <c r="B281" s="26"/>
      <c r="C281" s="18"/>
      <c r="D281" s="18"/>
      <c r="E281" s="22" t="str">
        <f>IFERROR(VLOOKUP(D281,Clientes_PDV!$A$2:$J$250,2,FALSE),"")</f>
        <v/>
      </c>
      <c r="F281" s="22" t="str">
        <f>IFERROR(VLOOKUP(D281,Clientes_PDV!$A$2:$J$250,3,FALSE),"")</f>
        <v/>
      </c>
      <c r="G281" s="22" t="str">
        <f>IFERROR(VLOOKUP(D281,Clientes_PDV!$A$2:$J$250,4,FALSE),"")</f>
        <v/>
      </c>
      <c r="H281" s="18"/>
      <c r="I281" s="22" t="str">
        <f>IFERROR(VLOOKUP(H281,Maestro_SKU!$A$2:$P$500,2,FALSE),"")</f>
        <v/>
      </c>
      <c r="J281" s="27"/>
      <c r="K281" s="19"/>
      <c r="L281" s="23" t="str">
        <f t="shared" si="32"/>
        <v/>
      </c>
      <c r="M281" s="23" t="str">
        <f>IF(L281="","",L281*Inicio!$B$13)</f>
        <v/>
      </c>
      <c r="N281" s="23" t="str">
        <f t="shared" si="33"/>
        <v/>
      </c>
      <c r="O281" s="26"/>
      <c r="P281" s="18"/>
      <c r="Q281" s="19"/>
      <c r="R281" s="23" t="str">
        <f t="shared" si="34"/>
        <v/>
      </c>
      <c r="S281" s="22" t="str">
        <f ca="1">IF(A281="","",IF(OR(P281="Pagada",R281=0),"Pagada",IF(O281&lt;TODAY(),"Vencida",IF(O281&lt;=TODAY()+Inicio!$B$19,"Próxima a vencer","Vigente"))))</f>
        <v/>
      </c>
      <c r="T281" s="18"/>
      <c r="U281" s="37" t="str">
        <f t="shared" si="35"/>
        <v/>
      </c>
      <c r="V281" s="37" t="str">
        <f t="shared" si="36"/>
        <v/>
      </c>
      <c r="W281" s="37" t="str">
        <f t="shared" si="37"/>
        <v/>
      </c>
      <c r="X281" s="37" t="str">
        <f t="shared" si="38"/>
        <v/>
      </c>
      <c r="Y281" s="37" t="str">
        <f>IF(OR($H281="",$J281=""),"",$J281*IFERROR(VLOOKUP($H281,Maestro_SKU!$A$2:$P$500,12,FALSE),1))</f>
        <v/>
      </c>
      <c r="Z281" s="37" t="str">
        <f t="shared" ca="1" si="39"/>
        <v/>
      </c>
    </row>
    <row r="282" spans="1:26" x14ac:dyDescent="0.35">
      <c r="A282" s="18"/>
      <c r="B282" s="26"/>
      <c r="C282" s="18"/>
      <c r="D282" s="18"/>
      <c r="E282" s="22" t="str">
        <f>IFERROR(VLOOKUP(D282,Clientes_PDV!$A$2:$J$250,2,FALSE),"")</f>
        <v/>
      </c>
      <c r="F282" s="22" t="str">
        <f>IFERROR(VLOOKUP(D282,Clientes_PDV!$A$2:$J$250,3,FALSE),"")</f>
        <v/>
      </c>
      <c r="G282" s="22" t="str">
        <f>IFERROR(VLOOKUP(D282,Clientes_PDV!$A$2:$J$250,4,FALSE),"")</f>
        <v/>
      </c>
      <c r="H282" s="18"/>
      <c r="I282" s="22" t="str">
        <f>IFERROR(VLOOKUP(H282,Maestro_SKU!$A$2:$P$500,2,FALSE),"")</f>
        <v/>
      </c>
      <c r="J282" s="27"/>
      <c r="K282" s="19"/>
      <c r="L282" s="23" t="str">
        <f t="shared" si="32"/>
        <v/>
      </c>
      <c r="M282" s="23" t="str">
        <f>IF(L282="","",L282*Inicio!$B$13)</f>
        <v/>
      </c>
      <c r="N282" s="23" t="str">
        <f t="shared" si="33"/>
        <v/>
      </c>
      <c r="O282" s="26"/>
      <c r="P282" s="18"/>
      <c r="Q282" s="19"/>
      <c r="R282" s="23" t="str">
        <f t="shared" si="34"/>
        <v/>
      </c>
      <c r="S282" s="22" t="str">
        <f ca="1">IF(A282="","",IF(OR(P282="Pagada",R282=0),"Pagada",IF(O282&lt;TODAY(),"Vencida",IF(O282&lt;=TODAY()+Inicio!$B$19,"Próxima a vencer","Vigente"))))</f>
        <v/>
      </c>
      <c r="T282" s="18"/>
      <c r="U282" s="37" t="str">
        <f t="shared" si="35"/>
        <v/>
      </c>
      <c r="V282" s="37" t="str">
        <f t="shared" si="36"/>
        <v/>
      </c>
      <c r="W282" s="37" t="str">
        <f t="shared" si="37"/>
        <v/>
      </c>
      <c r="X282" s="37" t="str">
        <f t="shared" si="38"/>
        <v/>
      </c>
      <c r="Y282" s="37" t="str">
        <f>IF(OR($H282="",$J282=""),"",$J282*IFERROR(VLOOKUP($H282,Maestro_SKU!$A$2:$P$500,12,FALSE),1))</f>
        <v/>
      </c>
      <c r="Z282" s="37" t="str">
        <f t="shared" ca="1" si="39"/>
        <v/>
      </c>
    </row>
    <row r="283" spans="1:26" x14ac:dyDescent="0.35">
      <c r="A283" s="18"/>
      <c r="B283" s="26"/>
      <c r="C283" s="18"/>
      <c r="D283" s="18"/>
      <c r="E283" s="22" t="str">
        <f>IFERROR(VLOOKUP(D283,Clientes_PDV!$A$2:$J$250,2,FALSE),"")</f>
        <v/>
      </c>
      <c r="F283" s="22" t="str">
        <f>IFERROR(VLOOKUP(D283,Clientes_PDV!$A$2:$J$250,3,FALSE),"")</f>
        <v/>
      </c>
      <c r="G283" s="22" t="str">
        <f>IFERROR(VLOOKUP(D283,Clientes_PDV!$A$2:$J$250,4,FALSE),"")</f>
        <v/>
      </c>
      <c r="H283" s="18"/>
      <c r="I283" s="22" t="str">
        <f>IFERROR(VLOOKUP(H283,Maestro_SKU!$A$2:$P$500,2,FALSE),"")</f>
        <v/>
      </c>
      <c r="J283" s="27"/>
      <c r="K283" s="19"/>
      <c r="L283" s="23" t="str">
        <f t="shared" si="32"/>
        <v/>
      </c>
      <c r="M283" s="23" t="str">
        <f>IF(L283="","",L283*Inicio!$B$13)</f>
        <v/>
      </c>
      <c r="N283" s="23" t="str">
        <f t="shared" si="33"/>
        <v/>
      </c>
      <c r="O283" s="26"/>
      <c r="P283" s="18"/>
      <c r="Q283" s="19"/>
      <c r="R283" s="23" t="str">
        <f t="shared" si="34"/>
        <v/>
      </c>
      <c r="S283" s="22" t="str">
        <f ca="1">IF(A283="","",IF(OR(P283="Pagada",R283=0),"Pagada",IF(O283&lt;TODAY(),"Vencida",IF(O283&lt;=TODAY()+Inicio!$B$19,"Próxima a vencer","Vigente"))))</f>
        <v/>
      </c>
      <c r="T283" s="18"/>
      <c r="U283" s="37" t="str">
        <f t="shared" si="35"/>
        <v/>
      </c>
      <c r="V283" s="37" t="str">
        <f t="shared" si="36"/>
        <v/>
      </c>
      <c r="W283" s="37" t="str">
        <f t="shared" si="37"/>
        <v/>
      </c>
      <c r="X283" s="37" t="str">
        <f t="shared" si="38"/>
        <v/>
      </c>
      <c r="Y283" s="37" t="str">
        <f>IF(OR($H283="",$J283=""),"",$J283*IFERROR(VLOOKUP($H283,Maestro_SKU!$A$2:$P$500,12,FALSE),1))</f>
        <v/>
      </c>
      <c r="Z283" s="37" t="str">
        <f t="shared" ca="1" si="39"/>
        <v/>
      </c>
    </row>
    <row r="284" spans="1:26" x14ac:dyDescent="0.35">
      <c r="A284" s="18"/>
      <c r="B284" s="26"/>
      <c r="C284" s="18"/>
      <c r="D284" s="18"/>
      <c r="E284" s="22" t="str">
        <f>IFERROR(VLOOKUP(D284,Clientes_PDV!$A$2:$J$250,2,FALSE),"")</f>
        <v/>
      </c>
      <c r="F284" s="22" t="str">
        <f>IFERROR(VLOOKUP(D284,Clientes_PDV!$A$2:$J$250,3,FALSE),"")</f>
        <v/>
      </c>
      <c r="G284" s="22" t="str">
        <f>IFERROR(VLOOKUP(D284,Clientes_PDV!$A$2:$J$250,4,FALSE),"")</f>
        <v/>
      </c>
      <c r="H284" s="18"/>
      <c r="I284" s="22" t="str">
        <f>IFERROR(VLOOKUP(H284,Maestro_SKU!$A$2:$P$500,2,FALSE),"")</f>
        <v/>
      </c>
      <c r="J284" s="27"/>
      <c r="K284" s="19"/>
      <c r="L284" s="23" t="str">
        <f t="shared" si="32"/>
        <v/>
      </c>
      <c r="M284" s="23" t="str">
        <f>IF(L284="","",L284*Inicio!$B$13)</f>
        <v/>
      </c>
      <c r="N284" s="23" t="str">
        <f t="shared" si="33"/>
        <v/>
      </c>
      <c r="O284" s="26"/>
      <c r="P284" s="18"/>
      <c r="Q284" s="19"/>
      <c r="R284" s="23" t="str">
        <f t="shared" si="34"/>
        <v/>
      </c>
      <c r="S284" s="22" t="str">
        <f ca="1">IF(A284="","",IF(OR(P284="Pagada",R284=0),"Pagada",IF(O284&lt;TODAY(),"Vencida",IF(O284&lt;=TODAY()+Inicio!$B$19,"Próxima a vencer","Vigente"))))</f>
        <v/>
      </c>
      <c r="T284" s="18"/>
      <c r="U284" s="37" t="str">
        <f t="shared" si="35"/>
        <v/>
      </c>
      <c r="V284" s="37" t="str">
        <f t="shared" si="36"/>
        <v/>
      </c>
      <c r="W284" s="37" t="str">
        <f t="shared" si="37"/>
        <v/>
      </c>
      <c r="X284" s="37" t="str">
        <f t="shared" si="38"/>
        <v/>
      </c>
      <c r="Y284" s="37" t="str">
        <f>IF(OR($H284="",$J284=""),"",$J284*IFERROR(VLOOKUP($H284,Maestro_SKU!$A$2:$P$500,12,FALSE),1))</f>
        <v/>
      </c>
      <c r="Z284" s="37" t="str">
        <f t="shared" ca="1" si="39"/>
        <v/>
      </c>
    </row>
    <row r="285" spans="1:26" x14ac:dyDescent="0.35">
      <c r="A285" s="18"/>
      <c r="B285" s="26"/>
      <c r="C285" s="18"/>
      <c r="D285" s="18"/>
      <c r="E285" s="22" t="str">
        <f>IFERROR(VLOOKUP(D285,Clientes_PDV!$A$2:$J$250,2,FALSE),"")</f>
        <v/>
      </c>
      <c r="F285" s="22" t="str">
        <f>IFERROR(VLOOKUP(D285,Clientes_PDV!$A$2:$J$250,3,FALSE),"")</f>
        <v/>
      </c>
      <c r="G285" s="22" t="str">
        <f>IFERROR(VLOOKUP(D285,Clientes_PDV!$A$2:$J$250,4,FALSE),"")</f>
        <v/>
      </c>
      <c r="H285" s="18"/>
      <c r="I285" s="22" t="str">
        <f>IFERROR(VLOOKUP(H285,Maestro_SKU!$A$2:$P$500,2,FALSE),"")</f>
        <v/>
      </c>
      <c r="J285" s="27"/>
      <c r="K285" s="19"/>
      <c r="L285" s="23" t="str">
        <f t="shared" si="32"/>
        <v/>
      </c>
      <c r="M285" s="23" t="str">
        <f>IF(L285="","",L285*Inicio!$B$13)</f>
        <v/>
      </c>
      <c r="N285" s="23" t="str">
        <f t="shared" si="33"/>
        <v/>
      </c>
      <c r="O285" s="26"/>
      <c r="P285" s="18"/>
      <c r="Q285" s="19"/>
      <c r="R285" s="23" t="str">
        <f t="shared" si="34"/>
        <v/>
      </c>
      <c r="S285" s="22" t="str">
        <f ca="1">IF(A285="","",IF(OR(P285="Pagada",R285=0),"Pagada",IF(O285&lt;TODAY(),"Vencida",IF(O285&lt;=TODAY()+Inicio!$B$19,"Próxima a vencer","Vigente"))))</f>
        <v/>
      </c>
      <c r="T285" s="18"/>
      <c r="U285" s="37" t="str">
        <f t="shared" si="35"/>
        <v/>
      </c>
      <c r="V285" s="37" t="str">
        <f t="shared" si="36"/>
        <v/>
      </c>
      <c r="W285" s="37" t="str">
        <f t="shared" si="37"/>
        <v/>
      </c>
      <c r="X285" s="37" t="str">
        <f t="shared" si="38"/>
        <v/>
      </c>
      <c r="Y285" s="37" t="str">
        <f>IF(OR($H285="",$J285=""),"",$J285*IFERROR(VLOOKUP($H285,Maestro_SKU!$A$2:$P$500,12,FALSE),1))</f>
        <v/>
      </c>
      <c r="Z285" s="37" t="str">
        <f t="shared" ca="1" si="39"/>
        <v/>
      </c>
    </row>
    <row r="286" spans="1:26" x14ac:dyDescent="0.35">
      <c r="A286" s="18"/>
      <c r="B286" s="26"/>
      <c r="C286" s="18"/>
      <c r="D286" s="18"/>
      <c r="E286" s="22" t="str">
        <f>IFERROR(VLOOKUP(D286,Clientes_PDV!$A$2:$J$250,2,FALSE),"")</f>
        <v/>
      </c>
      <c r="F286" s="22" t="str">
        <f>IFERROR(VLOOKUP(D286,Clientes_PDV!$A$2:$J$250,3,FALSE),"")</f>
        <v/>
      </c>
      <c r="G286" s="22" t="str">
        <f>IFERROR(VLOOKUP(D286,Clientes_PDV!$A$2:$J$250,4,FALSE),"")</f>
        <v/>
      </c>
      <c r="H286" s="18"/>
      <c r="I286" s="22" t="str">
        <f>IFERROR(VLOOKUP(H286,Maestro_SKU!$A$2:$P$500,2,FALSE),"")</f>
        <v/>
      </c>
      <c r="J286" s="27"/>
      <c r="K286" s="19"/>
      <c r="L286" s="23" t="str">
        <f t="shared" si="32"/>
        <v/>
      </c>
      <c r="M286" s="23" t="str">
        <f>IF(L286="","",L286*Inicio!$B$13)</f>
        <v/>
      </c>
      <c r="N286" s="23" t="str">
        <f t="shared" si="33"/>
        <v/>
      </c>
      <c r="O286" s="26"/>
      <c r="P286" s="18"/>
      <c r="Q286" s="19"/>
      <c r="R286" s="23" t="str">
        <f t="shared" si="34"/>
        <v/>
      </c>
      <c r="S286" s="22" t="str">
        <f ca="1">IF(A286="","",IF(OR(P286="Pagada",R286=0),"Pagada",IF(O286&lt;TODAY(),"Vencida",IF(O286&lt;=TODAY()+Inicio!$B$19,"Próxima a vencer","Vigente"))))</f>
        <v/>
      </c>
      <c r="T286" s="18"/>
      <c r="U286" s="37" t="str">
        <f t="shared" si="35"/>
        <v/>
      </c>
      <c r="V286" s="37" t="str">
        <f t="shared" si="36"/>
        <v/>
      </c>
      <c r="W286" s="37" t="str">
        <f t="shared" si="37"/>
        <v/>
      </c>
      <c r="X286" s="37" t="str">
        <f t="shared" si="38"/>
        <v/>
      </c>
      <c r="Y286" s="37" t="str">
        <f>IF(OR($H286="",$J286=""),"",$J286*IFERROR(VLOOKUP($H286,Maestro_SKU!$A$2:$P$500,12,FALSE),1))</f>
        <v/>
      </c>
      <c r="Z286" s="37" t="str">
        <f t="shared" ca="1" si="39"/>
        <v/>
      </c>
    </row>
    <row r="287" spans="1:26" x14ac:dyDescent="0.35">
      <c r="A287" s="18"/>
      <c r="B287" s="26"/>
      <c r="C287" s="18"/>
      <c r="D287" s="18"/>
      <c r="E287" s="22" t="str">
        <f>IFERROR(VLOOKUP(D287,Clientes_PDV!$A$2:$J$250,2,FALSE),"")</f>
        <v/>
      </c>
      <c r="F287" s="22" t="str">
        <f>IFERROR(VLOOKUP(D287,Clientes_PDV!$A$2:$J$250,3,FALSE),"")</f>
        <v/>
      </c>
      <c r="G287" s="22" t="str">
        <f>IFERROR(VLOOKUP(D287,Clientes_PDV!$A$2:$J$250,4,FALSE),"")</f>
        <v/>
      </c>
      <c r="H287" s="18"/>
      <c r="I287" s="22" t="str">
        <f>IFERROR(VLOOKUP(H287,Maestro_SKU!$A$2:$P$500,2,FALSE),"")</f>
        <v/>
      </c>
      <c r="J287" s="27"/>
      <c r="K287" s="19"/>
      <c r="L287" s="23" t="str">
        <f t="shared" si="32"/>
        <v/>
      </c>
      <c r="M287" s="23" t="str">
        <f>IF(L287="","",L287*Inicio!$B$13)</f>
        <v/>
      </c>
      <c r="N287" s="23" t="str">
        <f t="shared" si="33"/>
        <v/>
      </c>
      <c r="O287" s="26"/>
      <c r="P287" s="18"/>
      <c r="Q287" s="19"/>
      <c r="R287" s="23" t="str">
        <f t="shared" si="34"/>
        <v/>
      </c>
      <c r="S287" s="22" t="str">
        <f ca="1">IF(A287="","",IF(OR(P287="Pagada",R287=0),"Pagada",IF(O287&lt;TODAY(),"Vencida",IF(O287&lt;=TODAY()+Inicio!$B$19,"Próxima a vencer","Vigente"))))</f>
        <v/>
      </c>
      <c r="T287" s="18"/>
      <c r="U287" s="37" t="str">
        <f t="shared" si="35"/>
        <v/>
      </c>
      <c r="V287" s="37" t="str">
        <f t="shared" si="36"/>
        <v/>
      </c>
      <c r="W287" s="37" t="str">
        <f t="shared" si="37"/>
        <v/>
      </c>
      <c r="X287" s="37" t="str">
        <f t="shared" si="38"/>
        <v/>
      </c>
      <c r="Y287" s="37" t="str">
        <f>IF(OR($H287="",$J287=""),"",$J287*IFERROR(VLOOKUP($H287,Maestro_SKU!$A$2:$P$500,12,FALSE),1))</f>
        <v/>
      </c>
      <c r="Z287" s="37" t="str">
        <f t="shared" ca="1" si="39"/>
        <v/>
      </c>
    </row>
    <row r="288" spans="1:26" x14ac:dyDescent="0.35">
      <c r="A288" s="18"/>
      <c r="B288" s="26"/>
      <c r="C288" s="18"/>
      <c r="D288" s="18"/>
      <c r="E288" s="22" t="str">
        <f>IFERROR(VLOOKUP(D288,Clientes_PDV!$A$2:$J$250,2,FALSE),"")</f>
        <v/>
      </c>
      <c r="F288" s="22" t="str">
        <f>IFERROR(VLOOKUP(D288,Clientes_PDV!$A$2:$J$250,3,FALSE),"")</f>
        <v/>
      </c>
      <c r="G288" s="22" t="str">
        <f>IFERROR(VLOOKUP(D288,Clientes_PDV!$A$2:$J$250,4,FALSE),"")</f>
        <v/>
      </c>
      <c r="H288" s="18"/>
      <c r="I288" s="22" t="str">
        <f>IFERROR(VLOOKUP(H288,Maestro_SKU!$A$2:$P$500,2,FALSE),"")</f>
        <v/>
      </c>
      <c r="J288" s="27"/>
      <c r="K288" s="19"/>
      <c r="L288" s="23" t="str">
        <f t="shared" si="32"/>
        <v/>
      </c>
      <c r="M288" s="23" t="str">
        <f>IF(L288="","",L288*Inicio!$B$13)</f>
        <v/>
      </c>
      <c r="N288" s="23" t="str">
        <f t="shared" si="33"/>
        <v/>
      </c>
      <c r="O288" s="26"/>
      <c r="P288" s="18"/>
      <c r="Q288" s="19"/>
      <c r="R288" s="23" t="str">
        <f t="shared" si="34"/>
        <v/>
      </c>
      <c r="S288" s="22" t="str">
        <f ca="1">IF(A288="","",IF(OR(P288="Pagada",R288=0),"Pagada",IF(O288&lt;TODAY(),"Vencida",IF(O288&lt;=TODAY()+Inicio!$B$19,"Próxima a vencer","Vigente"))))</f>
        <v/>
      </c>
      <c r="T288" s="18"/>
      <c r="U288" s="37" t="str">
        <f t="shared" si="35"/>
        <v/>
      </c>
      <c r="V288" s="37" t="str">
        <f t="shared" si="36"/>
        <v/>
      </c>
      <c r="W288" s="37" t="str">
        <f t="shared" si="37"/>
        <v/>
      </c>
      <c r="X288" s="37" t="str">
        <f t="shared" si="38"/>
        <v/>
      </c>
      <c r="Y288" s="37" t="str">
        <f>IF(OR($H288="",$J288=""),"",$J288*IFERROR(VLOOKUP($H288,Maestro_SKU!$A$2:$P$500,12,FALSE),1))</f>
        <v/>
      </c>
      <c r="Z288" s="37" t="str">
        <f t="shared" ca="1" si="39"/>
        <v/>
      </c>
    </row>
    <row r="289" spans="1:26" x14ac:dyDescent="0.35">
      <c r="A289" s="18"/>
      <c r="B289" s="26"/>
      <c r="C289" s="18"/>
      <c r="D289" s="18"/>
      <c r="E289" s="22" t="str">
        <f>IFERROR(VLOOKUP(D289,Clientes_PDV!$A$2:$J$250,2,FALSE),"")</f>
        <v/>
      </c>
      <c r="F289" s="22" t="str">
        <f>IFERROR(VLOOKUP(D289,Clientes_PDV!$A$2:$J$250,3,FALSE),"")</f>
        <v/>
      </c>
      <c r="G289" s="22" t="str">
        <f>IFERROR(VLOOKUP(D289,Clientes_PDV!$A$2:$J$250,4,FALSE),"")</f>
        <v/>
      </c>
      <c r="H289" s="18"/>
      <c r="I289" s="22" t="str">
        <f>IFERROR(VLOOKUP(H289,Maestro_SKU!$A$2:$P$500,2,FALSE),"")</f>
        <v/>
      </c>
      <c r="J289" s="27"/>
      <c r="K289" s="19"/>
      <c r="L289" s="23" t="str">
        <f t="shared" si="32"/>
        <v/>
      </c>
      <c r="M289" s="23" t="str">
        <f>IF(L289="","",L289*Inicio!$B$13)</f>
        <v/>
      </c>
      <c r="N289" s="23" t="str">
        <f t="shared" si="33"/>
        <v/>
      </c>
      <c r="O289" s="26"/>
      <c r="P289" s="18"/>
      <c r="Q289" s="19"/>
      <c r="R289" s="23" t="str">
        <f t="shared" si="34"/>
        <v/>
      </c>
      <c r="S289" s="22" t="str">
        <f ca="1">IF(A289="","",IF(OR(P289="Pagada",R289=0),"Pagada",IF(O289&lt;TODAY(),"Vencida",IF(O289&lt;=TODAY()+Inicio!$B$19,"Próxima a vencer","Vigente"))))</f>
        <v/>
      </c>
      <c r="T289" s="18"/>
      <c r="U289" s="37" t="str">
        <f t="shared" si="35"/>
        <v/>
      </c>
      <c r="V289" s="37" t="str">
        <f t="shared" si="36"/>
        <v/>
      </c>
      <c r="W289" s="37" t="str">
        <f t="shared" si="37"/>
        <v/>
      </c>
      <c r="X289" s="37" t="str">
        <f t="shared" si="38"/>
        <v/>
      </c>
      <c r="Y289" s="37" t="str">
        <f>IF(OR($H289="",$J289=""),"",$J289*IFERROR(VLOOKUP($H289,Maestro_SKU!$A$2:$P$500,12,FALSE),1))</f>
        <v/>
      </c>
      <c r="Z289" s="37" t="str">
        <f t="shared" ca="1" si="39"/>
        <v/>
      </c>
    </row>
    <row r="290" spans="1:26" x14ac:dyDescent="0.35">
      <c r="A290" s="18"/>
      <c r="B290" s="26"/>
      <c r="C290" s="18"/>
      <c r="D290" s="18"/>
      <c r="E290" s="22" t="str">
        <f>IFERROR(VLOOKUP(D290,Clientes_PDV!$A$2:$J$250,2,FALSE),"")</f>
        <v/>
      </c>
      <c r="F290" s="22" t="str">
        <f>IFERROR(VLOOKUP(D290,Clientes_PDV!$A$2:$J$250,3,FALSE),"")</f>
        <v/>
      </c>
      <c r="G290" s="22" t="str">
        <f>IFERROR(VLOOKUP(D290,Clientes_PDV!$A$2:$J$250,4,FALSE),"")</f>
        <v/>
      </c>
      <c r="H290" s="18"/>
      <c r="I290" s="22" t="str">
        <f>IFERROR(VLOOKUP(H290,Maestro_SKU!$A$2:$P$500,2,FALSE),"")</f>
        <v/>
      </c>
      <c r="J290" s="27"/>
      <c r="K290" s="19"/>
      <c r="L290" s="23" t="str">
        <f t="shared" si="32"/>
        <v/>
      </c>
      <c r="M290" s="23" t="str">
        <f>IF(L290="","",L290*Inicio!$B$13)</f>
        <v/>
      </c>
      <c r="N290" s="23" t="str">
        <f t="shared" si="33"/>
        <v/>
      </c>
      <c r="O290" s="26"/>
      <c r="P290" s="18"/>
      <c r="Q290" s="19"/>
      <c r="R290" s="23" t="str">
        <f t="shared" si="34"/>
        <v/>
      </c>
      <c r="S290" s="22" t="str">
        <f ca="1">IF(A290="","",IF(OR(P290="Pagada",R290=0),"Pagada",IF(O290&lt;TODAY(),"Vencida",IF(O290&lt;=TODAY()+Inicio!$B$19,"Próxima a vencer","Vigente"))))</f>
        <v/>
      </c>
      <c r="T290" s="18"/>
      <c r="U290" s="37" t="str">
        <f t="shared" si="35"/>
        <v/>
      </c>
      <c r="V290" s="37" t="str">
        <f t="shared" si="36"/>
        <v/>
      </c>
      <c r="W290" s="37" t="str">
        <f t="shared" si="37"/>
        <v/>
      </c>
      <c r="X290" s="37" t="str">
        <f t="shared" si="38"/>
        <v/>
      </c>
      <c r="Y290" s="37" t="str">
        <f>IF(OR($H290="",$J290=""),"",$J290*IFERROR(VLOOKUP($H290,Maestro_SKU!$A$2:$P$500,12,FALSE),1))</f>
        <v/>
      </c>
      <c r="Z290" s="37" t="str">
        <f t="shared" ca="1" si="39"/>
        <v/>
      </c>
    </row>
    <row r="291" spans="1:26" x14ac:dyDescent="0.35">
      <c r="A291" s="18"/>
      <c r="B291" s="26"/>
      <c r="C291" s="18"/>
      <c r="D291" s="18"/>
      <c r="E291" s="22" t="str">
        <f>IFERROR(VLOOKUP(D291,Clientes_PDV!$A$2:$J$250,2,FALSE),"")</f>
        <v/>
      </c>
      <c r="F291" s="22" t="str">
        <f>IFERROR(VLOOKUP(D291,Clientes_PDV!$A$2:$J$250,3,FALSE),"")</f>
        <v/>
      </c>
      <c r="G291" s="22" t="str">
        <f>IFERROR(VLOOKUP(D291,Clientes_PDV!$A$2:$J$250,4,FALSE),"")</f>
        <v/>
      </c>
      <c r="H291" s="18"/>
      <c r="I291" s="22" t="str">
        <f>IFERROR(VLOOKUP(H291,Maestro_SKU!$A$2:$P$500,2,FALSE),"")</f>
        <v/>
      </c>
      <c r="J291" s="27"/>
      <c r="K291" s="19"/>
      <c r="L291" s="23" t="str">
        <f t="shared" si="32"/>
        <v/>
      </c>
      <c r="M291" s="23" t="str">
        <f>IF(L291="","",L291*Inicio!$B$13)</f>
        <v/>
      </c>
      <c r="N291" s="23" t="str">
        <f t="shared" si="33"/>
        <v/>
      </c>
      <c r="O291" s="26"/>
      <c r="P291" s="18"/>
      <c r="Q291" s="19"/>
      <c r="R291" s="23" t="str">
        <f t="shared" si="34"/>
        <v/>
      </c>
      <c r="S291" s="22" t="str">
        <f ca="1">IF(A291="","",IF(OR(P291="Pagada",R291=0),"Pagada",IF(O291&lt;TODAY(),"Vencida",IF(O291&lt;=TODAY()+Inicio!$B$19,"Próxima a vencer","Vigente"))))</f>
        <v/>
      </c>
      <c r="T291" s="18"/>
      <c r="U291" s="37" t="str">
        <f t="shared" si="35"/>
        <v/>
      </c>
      <c r="V291" s="37" t="str">
        <f t="shared" si="36"/>
        <v/>
      </c>
      <c r="W291" s="37" t="str">
        <f t="shared" si="37"/>
        <v/>
      </c>
      <c r="X291" s="37" t="str">
        <f t="shared" si="38"/>
        <v/>
      </c>
      <c r="Y291" s="37" t="str">
        <f>IF(OR($H291="",$J291=""),"",$J291*IFERROR(VLOOKUP($H291,Maestro_SKU!$A$2:$P$500,12,FALSE),1))</f>
        <v/>
      </c>
      <c r="Z291" s="37" t="str">
        <f t="shared" ca="1" si="39"/>
        <v/>
      </c>
    </row>
    <row r="292" spans="1:26" x14ac:dyDescent="0.35">
      <c r="A292" s="18"/>
      <c r="B292" s="26"/>
      <c r="C292" s="18"/>
      <c r="D292" s="18"/>
      <c r="E292" s="22" t="str">
        <f>IFERROR(VLOOKUP(D292,Clientes_PDV!$A$2:$J$250,2,FALSE),"")</f>
        <v/>
      </c>
      <c r="F292" s="22" t="str">
        <f>IFERROR(VLOOKUP(D292,Clientes_PDV!$A$2:$J$250,3,FALSE),"")</f>
        <v/>
      </c>
      <c r="G292" s="22" t="str">
        <f>IFERROR(VLOOKUP(D292,Clientes_PDV!$A$2:$J$250,4,FALSE),"")</f>
        <v/>
      </c>
      <c r="H292" s="18"/>
      <c r="I292" s="22" t="str">
        <f>IFERROR(VLOOKUP(H292,Maestro_SKU!$A$2:$P$500,2,FALSE),"")</f>
        <v/>
      </c>
      <c r="J292" s="27"/>
      <c r="K292" s="19"/>
      <c r="L292" s="23" t="str">
        <f t="shared" si="32"/>
        <v/>
      </c>
      <c r="M292" s="23" t="str">
        <f>IF(L292="","",L292*Inicio!$B$13)</f>
        <v/>
      </c>
      <c r="N292" s="23" t="str">
        <f t="shared" si="33"/>
        <v/>
      </c>
      <c r="O292" s="26"/>
      <c r="P292" s="18"/>
      <c r="Q292" s="19"/>
      <c r="R292" s="23" t="str">
        <f t="shared" si="34"/>
        <v/>
      </c>
      <c r="S292" s="22" t="str">
        <f ca="1">IF(A292="","",IF(OR(P292="Pagada",R292=0),"Pagada",IF(O292&lt;TODAY(),"Vencida",IF(O292&lt;=TODAY()+Inicio!$B$19,"Próxima a vencer","Vigente"))))</f>
        <v/>
      </c>
      <c r="T292" s="18"/>
      <c r="U292" s="37" t="str">
        <f t="shared" si="35"/>
        <v/>
      </c>
      <c r="V292" s="37" t="str">
        <f t="shared" si="36"/>
        <v/>
      </c>
      <c r="W292" s="37" t="str">
        <f t="shared" si="37"/>
        <v/>
      </c>
      <c r="X292" s="37" t="str">
        <f t="shared" si="38"/>
        <v/>
      </c>
      <c r="Y292" s="37" t="str">
        <f>IF(OR($H292="",$J292=""),"",$J292*IFERROR(VLOOKUP($H292,Maestro_SKU!$A$2:$P$500,12,FALSE),1))</f>
        <v/>
      </c>
      <c r="Z292" s="37" t="str">
        <f t="shared" ca="1" si="39"/>
        <v/>
      </c>
    </row>
    <row r="293" spans="1:26" x14ac:dyDescent="0.35">
      <c r="A293" s="18"/>
      <c r="B293" s="26"/>
      <c r="C293" s="18"/>
      <c r="D293" s="18"/>
      <c r="E293" s="22" t="str">
        <f>IFERROR(VLOOKUP(D293,Clientes_PDV!$A$2:$J$250,2,FALSE),"")</f>
        <v/>
      </c>
      <c r="F293" s="22" t="str">
        <f>IFERROR(VLOOKUP(D293,Clientes_PDV!$A$2:$J$250,3,FALSE),"")</f>
        <v/>
      </c>
      <c r="G293" s="22" t="str">
        <f>IFERROR(VLOOKUP(D293,Clientes_PDV!$A$2:$J$250,4,FALSE),"")</f>
        <v/>
      </c>
      <c r="H293" s="18"/>
      <c r="I293" s="22" t="str">
        <f>IFERROR(VLOOKUP(H293,Maestro_SKU!$A$2:$P$500,2,FALSE),"")</f>
        <v/>
      </c>
      <c r="J293" s="27"/>
      <c r="K293" s="19"/>
      <c r="L293" s="23" t="str">
        <f t="shared" si="32"/>
        <v/>
      </c>
      <c r="M293" s="23" t="str">
        <f>IF(L293="","",L293*Inicio!$B$13)</f>
        <v/>
      </c>
      <c r="N293" s="23" t="str">
        <f t="shared" si="33"/>
        <v/>
      </c>
      <c r="O293" s="26"/>
      <c r="P293" s="18"/>
      <c r="Q293" s="19"/>
      <c r="R293" s="23" t="str">
        <f t="shared" si="34"/>
        <v/>
      </c>
      <c r="S293" s="22" t="str">
        <f ca="1">IF(A293="","",IF(OR(P293="Pagada",R293=0),"Pagada",IF(O293&lt;TODAY(),"Vencida",IF(O293&lt;=TODAY()+Inicio!$B$19,"Próxima a vencer","Vigente"))))</f>
        <v/>
      </c>
      <c r="T293" s="18"/>
      <c r="U293" s="37" t="str">
        <f t="shared" si="35"/>
        <v/>
      </c>
      <c r="V293" s="37" t="str">
        <f t="shared" si="36"/>
        <v/>
      </c>
      <c r="W293" s="37" t="str">
        <f t="shared" si="37"/>
        <v/>
      </c>
      <c r="X293" s="37" t="str">
        <f t="shared" si="38"/>
        <v/>
      </c>
      <c r="Y293" s="37" t="str">
        <f>IF(OR($H293="",$J293=""),"",$J293*IFERROR(VLOOKUP($H293,Maestro_SKU!$A$2:$P$500,12,FALSE),1))</f>
        <v/>
      </c>
      <c r="Z293" s="37" t="str">
        <f t="shared" ca="1" si="39"/>
        <v/>
      </c>
    </row>
    <row r="294" spans="1:26" x14ac:dyDescent="0.35">
      <c r="A294" s="18"/>
      <c r="B294" s="26"/>
      <c r="C294" s="18"/>
      <c r="D294" s="18"/>
      <c r="E294" s="22" t="str">
        <f>IFERROR(VLOOKUP(D294,Clientes_PDV!$A$2:$J$250,2,FALSE),"")</f>
        <v/>
      </c>
      <c r="F294" s="22" t="str">
        <f>IFERROR(VLOOKUP(D294,Clientes_PDV!$A$2:$J$250,3,FALSE),"")</f>
        <v/>
      </c>
      <c r="G294" s="22" t="str">
        <f>IFERROR(VLOOKUP(D294,Clientes_PDV!$A$2:$J$250,4,FALSE),"")</f>
        <v/>
      </c>
      <c r="H294" s="18"/>
      <c r="I294" s="22" t="str">
        <f>IFERROR(VLOOKUP(H294,Maestro_SKU!$A$2:$P$500,2,FALSE),"")</f>
        <v/>
      </c>
      <c r="J294" s="27"/>
      <c r="K294" s="19"/>
      <c r="L294" s="23" t="str">
        <f t="shared" si="32"/>
        <v/>
      </c>
      <c r="M294" s="23" t="str">
        <f>IF(L294="","",L294*Inicio!$B$13)</f>
        <v/>
      </c>
      <c r="N294" s="23" t="str">
        <f t="shared" si="33"/>
        <v/>
      </c>
      <c r="O294" s="26"/>
      <c r="P294" s="18"/>
      <c r="Q294" s="19"/>
      <c r="R294" s="23" t="str">
        <f t="shared" si="34"/>
        <v/>
      </c>
      <c r="S294" s="22" t="str">
        <f ca="1">IF(A294="","",IF(OR(P294="Pagada",R294=0),"Pagada",IF(O294&lt;TODAY(),"Vencida",IF(O294&lt;=TODAY()+Inicio!$B$19,"Próxima a vencer","Vigente"))))</f>
        <v/>
      </c>
      <c r="T294" s="18"/>
      <c r="U294" s="37" t="str">
        <f t="shared" si="35"/>
        <v/>
      </c>
      <c r="V294" s="37" t="str">
        <f t="shared" si="36"/>
        <v/>
      </c>
      <c r="W294" s="37" t="str">
        <f t="shared" si="37"/>
        <v/>
      </c>
      <c r="X294" s="37" t="str">
        <f t="shared" si="38"/>
        <v/>
      </c>
      <c r="Y294" s="37" t="str">
        <f>IF(OR($H294="",$J294=""),"",$J294*IFERROR(VLOOKUP($H294,Maestro_SKU!$A$2:$P$500,12,FALSE),1))</f>
        <v/>
      </c>
      <c r="Z294" s="37" t="str">
        <f t="shared" ca="1" si="39"/>
        <v/>
      </c>
    </row>
    <row r="295" spans="1:26" x14ac:dyDescent="0.35">
      <c r="A295" s="18"/>
      <c r="B295" s="26"/>
      <c r="C295" s="18"/>
      <c r="D295" s="18"/>
      <c r="E295" s="22" t="str">
        <f>IFERROR(VLOOKUP(D295,Clientes_PDV!$A$2:$J$250,2,FALSE),"")</f>
        <v/>
      </c>
      <c r="F295" s="22" t="str">
        <f>IFERROR(VLOOKUP(D295,Clientes_PDV!$A$2:$J$250,3,FALSE),"")</f>
        <v/>
      </c>
      <c r="G295" s="22" t="str">
        <f>IFERROR(VLOOKUP(D295,Clientes_PDV!$A$2:$J$250,4,FALSE),"")</f>
        <v/>
      </c>
      <c r="H295" s="18"/>
      <c r="I295" s="22" t="str">
        <f>IFERROR(VLOOKUP(H295,Maestro_SKU!$A$2:$P$500,2,FALSE),"")</f>
        <v/>
      </c>
      <c r="J295" s="27"/>
      <c r="K295" s="19"/>
      <c r="L295" s="23" t="str">
        <f t="shared" si="32"/>
        <v/>
      </c>
      <c r="M295" s="23" t="str">
        <f>IF(L295="","",L295*Inicio!$B$13)</f>
        <v/>
      </c>
      <c r="N295" s="23" t="str">
        <f t="shared" si="33"/>
        <v/>
      </c>
      <c r="O295" s="26"/>
      <c r="P295" s="18"/>
      <c r="Q295" s="19"/>
      <c r="R295" s="23" t="str">
        <f t="shared" si="34"/>
        <v/>
      </c>
      <c r="S295" s="22" t="str">
        <f ca="1">IF(A295="","",IF(OR(P295="Pagada",R295=0),"Pagada",IF(O295&lt;TODAY(),"Vencida",IF(O295&lt;=TODAY()+Inicio!$B$19,"Próxima a vencer","Vigente"))))</f>
        <v/>
      </c>
      <c r="T295" s="18"/>
      <c r="U295" s="37" t="str">
        <f t="shared" si="35"/>
        <v/>
      </c>
      <c r="V295" s="37" t="str">
        <f t="shared" si="36"/>
        <v/>
      </c>
      <c r="W295" s="37" t="str">
        <f t="shared" si="37"/>
        <v/>
      </c>
      <c r="X295" s="37" t="str">
        <f t="shared" si="38"/>
        <v/>
      </c>
      <c r="Y295" s="37" t="str">
        <f>IF(OR($H295="",$J295=""),"",$J295*IFERROR(VLOOKUP($H295,Maestro_SKU!$A$2:$P$500,12,FALSE),1))</f>
        <v/>
      </c>
      <c r="Z295" s="37" t="str">
        <f t="shared" ca="1" si="39"/>
        <v/>
      </c>
    </row>
    <row r="296" spans="1:26" x14ac:dyDescent="0.35">
      <c r="A296" s="18"/>
      <c r="B296" s="26"/>
      <c r="C296" s="18"/>
      <c r="D296" s="18"/>
      <c r="E296" s="22" t="str">
        <f>IFERROR(VLOOKUP(D296,Clientes_PDV!$A$2:$J$250,2,FALSE),"")</f>
        <v/>
      </c>
      <c r="F296" s="22" t="str">
        <f>IFERROR(VLOOKUP(D296,Clientes_PDV!$A$2:$J$250,3,FALSE),"")</f>
        <v/>
      </c>
      <c r="G296" s="22" t="str">
        <f>IFERROR(VLOOKUP(D296,Clientes_PDV!$A$2:$J$250,4,FALSE),"")</f>
        <v/>
      </c>
      <c r="H296" s="18"/>
      <c r="I296" s="22" t="str">
        <f>IFERROR(VLOOKUP(H296,Maestro_SKU!$A$2:$P$500,2,FALSE),"")</f>
        <v/>
      </c>
      <c r="J296" s="27"/>
      <c r="K296" s="19"/>
      <c r="L296" s="23" t="str">
        <f t="shared" si="32"/>
        <v/>
      </c>
      <c r="M296" s="23" t="str">
        <f>IF(L296="","",L296*Inicio!$B$13)</f>
        <v/>
      </c>
      <c r="N296" s="23" t="str">
        <f t="shared" si="33"/>
        <v/>
      </c>
      <c r="O296" s="26"/>
      <c r="P296" s="18"/>
      <c r="Q296" s="19"/>
      <c r="R296" s="23" t="str">
        <f t="shared" si="34"/>
        <v/>
      </c>
      <c r="S296" s="22" t="str">
        <f ca="1">IF(A296="","",IF(OR(P296="Pagada",R296=0),"Pagada",IF(O296&lt;TODAY(),"Vencida",IF(O296&lt;=TODAY()+Inicio!$B$19,"Próxima a vencer","Vigente"))))</f>
        <v/>
      </c>
      <c r="T296" s="18"/>
      <c r="U296" s="37" t="str">
        <f t="shared" si="35"/>
        <v/>
      </c>
      <c r="V296" s="37" t="str">
        <f t="shared" si="36"/>
        <v/>
      </c>
      <c r="W296" s="37" t="str">
        <f t="shared" si="37"/>
        <v/>
      </c>
      <c r="X296" s="37" t="str">
        <f t="shared" si="38"/>
        <v/>
      </c>
      <c r="Y296" s="37" t="str">
        <f>IF(OR($H296="",$J296=""),"",$J296*IFERROR(VLOOKUP($H296,Maestro_SKU!$A$2:$P$500,12,FALSE),1))</f>
        <v/>
      </c>
      <c r="Z296" s="37" t="str">
        <f t="shared" ca="1" si="39"/>
        <v/>
      </c>
    </row>
    <row r="297" spans="1:26" x14ac:dyDescent="0.35">
      <c r="A297" s="18"/>
      <c r="B297" s="26"/>
      <c r="C297" s="18"/>
      <c r="D297" s="18"/>
      <c r="E297" s="22" t="str">
        <f>IFERROR(VLOOKUP(D297,Clientes_PDV!$A$2:$J$250,2,FALSE),"")</f>
        <v/>
      </c>
      <c r="F297" s="22" t="str">
        <f>IFERROR(VLOOKUP(D297,Clientes_PDV!$A$2:$J$250,3,FALSE),"")</f>
        <v/>
      </c>
      <c r="G297" s="22" t="str">
        <f>IFERROR(VLOOKUP(D297,Clientes_PDV!$A$2:$J$250,4,FALSE),"")</f>
        <v/>
      </c>
      <c r="H297" s="18"/>
      <c r="I297" s="22" t="str">
        <f>IFERROR(VLOOKUP(H297,Maestro_SKU!$A$2:$P$500,2,FALSE),"")</f>
        <v/>
      </c>
      <c r="J297" s="27"/>
      <c r="K297" s="19"/>
      <c r="L297" s="23" t="str">
        <f t="shared" si="32"/>
        <v/>
      </c>
      <c r="M297" s="23" t="str">
        <f>IF(L297="","",L297*Inicio!$B$13)</f>
        <v/>
      </c>
      <c r="N297" s="23" t="str">
        <f t="shared" si="33"/>
        <v/>
      </c>
      <c r="O297" s="26"/>
      <c r="P297" s="18"/>
      <c r="Q297" s="19"/>
      <c r="R297" s="23" t="str">
        <f t="shared" si="34"/>
        <v/>
      </c>
      <c r="S297" s="22" t="str">
        <f ca="1">IF(A297="","",IF(OR(P297="Pagada",R297=0),"Pagada",IF(O297&lt;TODAY(),"Vencida",IF(O297&lt;=TODAY()+Inicio!$B$19,"Próxima a vencer","Vigente"))))</f>
        <v/>
      </c>
      <c r="T297" s="18"/>
      <c r="U297" s="37" t="str">
        <f t="shared" si="35"/>
        <v/>
      </c>
      <c r="V297" s="37" t="str">
        <f t="shared" si="36"/>
        <v/>
      </c>
      <c r="W297" s="37" t="str">
        <f t="shared" si="37"/>
        <v/>
      </c>
      <c r="X297" s="37" t="str">
        <f t="shared" si="38"/>
        <v/>
      </c>
      <c r="Y297" s="37" t="str">
        <f>IF(OR($H297="",$J297=""),"",$J297*IFERROR(VLOOKUP($H297,Maestro_SKU!$A$2:$P$500,12,FALSE),1))</f>
        <v/>
      </c>
      <c r="Z297" s="37" t="str">
        <f t="shared" ca="1" si="39"/>
        <v/>
      </c>
    </row>
    <row r="298" spans="1:26" x14ac:dyDescent="0.35">
      <c r="A298" s="18"/>
      <c r="B298" s="26"/>
      <c r="C298" s="18"/>
      <c r="D298" s="18"/>
      <c r="E298" s="22" t="str">
        <f>IFERROR(VLOOKUP(D298,Clientes_PDV!$A$2:$J$250,2,FALSE),"")</f>
        <v/>
      </c>
      <c r="F298" s="22" t="str">
        <f>IFERROR(VLOOKUP(D298,Clientes_PDV!$A$2:$J$250,3,FALSE),"")</f>
        <v/>
      </c>
      <c r="G298" s="22" t="str">
        <f>IFERROR(VLOOKUP(D298,Clientes_PDV!$A$2:$J$250,4,FALSE),"")</f>
        <v/>
      </c>
      <c r="H298" s="18"/>
      <c r="I298" s="22" t="str">
        <f>IFERROR(VLOOKUP(H298,Maestro_SKU!$A$2:$P$500,2,FALSE),"")</f>
        <v/>
      </c>
      <c r="J298" s="27"/>
      <c r="K298" s="19"/>
      <c r="L298" s="23" t="str">
        <f t="shared" si="32"/>
        <v/>
      </c>
      <c r="M298" s="23" t="str">
        <f>IF(L298="","",L298*Inicio!$B$13)</f>
        <v/>
      </c>
      <c r="N298" s="23" t="str">
        <f t="shared" si="33"/>
        <v/>
      </c>
      <c r="O298" s="26"/>
      <c r="P298" s="18"/>
      <c r="Q298" s="19"/>
      <c r="R298" s="23" t="str">
        <f t="shared" si="34"/>
        <v/>
      </c>
      <c r="S298" s="22" t="str">
        <f ca="1">IF(A298="","",IF(OR(P298="Pagada",R298=0),"Pagada",IF(O298&lt;TODAY(),"Vencida",IF(O298&lt;=TODAY()+Inicio!$B$19,"Próxima a vencer","Vigente"))))</f>
        <v/>
      </c>
      <c r="T298" s="18"/>
      <c r="U298" s="37" t="str">
        <f t="shared" si="35"/>
        <v/>
      </c>
      <c r="V298" s="37" t="str">
        <f t="shared" si="36"/>
        <v/>
      </c>
      <c r="W298" s="37" t="str">
        <f t="shared" si="37"/>
        <v/>
      </c>
      <c r="X298" s="37" t="str">
        <f t="shared" si="38"/>
        <v/>
      </c>
      <c r="Y298" s="37" t="str">
        <f>IF(OR($H298="",$J298=""),"",$J298*IFERROR(VLOOKUP($H298,Maestro_SKU!$A$2:$P$500,12,FALSE),1))</f>
        <v/>
      </c>
      <c r="Z298" s="37" t="str">
        <f t="shared" ca="1" si="39"/>
        <v/>
      </c>
    </row>
    <row r="299" spans="1:26" x14ac:dyDescent="0.35">
      <c r="A299" s="18"/>
      <c r="B299" s="26"/>
      <c r="C299" s="18"/>
      <c r="D299" s="18"/>
      <c r="E299" s="22" t="str">
        <f>IFERROR(VLOOKUP(D299,Clientes_PDV!$A$2:$J$250,2,FALSE),"")</f>
        <v/>
      </c>
      <c r="F299" s="22" t="str">
        <f>IFERROR(VLOOKUP(D299,Clientes_PDV!$A$2:$J$250,3,FALSE),"")</f>
        <v/>
      </c>
      <c r="G299" s="22" t="str">
        <f>IFERROR(VLOOKUP(D299,Clientes_PDV!$A$2:$J$250,4,FALSE),"")</f>
        <v/>
      </c>
      <c r="H299" s="18"/>
      <c r="I299" s="22" t="str">
        <f>IFERROR(VLOOKUP(H299,Maestro_SKU!$A$2:$P$500,2,FALSE),"")</f>
        <v/>
      </c>
      <c r="J299" s="27"/>
      <c r="K299" s="19"/>
      <c r="L299" s="23" t="str">
        <f t="shared" si="32"/>
        <v/>
      </c>
      <c r="M299" s="23" t="str">
        <f>IF(L299="","",L299*Inicio!$B$13)</f>
        <v/>
      </c>
      <c r="N299" s="23" t="str">
        <f t="shared" si="33"/>
        <v/>
      </c>
      <c r="O299" s="26"/>
      <c r="P299" s="18"/>
      <c r="Q299" s="19"/>
      <c r="R299" s="23" t="str">
        <f t="shared" si="34"/>
        <v/>
      </c>
      <c r="S299" s="22" t="str">
        <f ca="1">IF(A299="","",IF(OR(P299="Pagada",R299=0),"Pagada",IF(O299&lt;TODAY(),"Vencida",IF(O299&lt;=TODAY()+Inicio!$B$19,"Próxima a vencer","Vigente"))))</f>
        <v/>
      </c>
      <c r="T299" s="18"/>
      <c r="U299" s="37" t="str">
        <f t="shared" si="35"/>
        <v/>
      </c>
      <c r="V299" s="37" t="str">
        <f t="shared" si="36"/>
        <v/>
      </c>
      <c r="W299" s="37" t="str">
        <f t="shared" si="37"/>
        <v/>
      </c>
      <c r="X299" s="37" t="str">
        <f t="shared" si="38"/>
        <v/>
      </c>
      <c r="Y299" s="37" t="str">
        <f>IF(OR($H299="",$J299=""),"",$J299*IFERROR(VLOOKUP($H299,Maestro_SKU!$A$2:$P$500,12,FALSE),1))</f>
        <v/>
      </c>
      <c r="Z299" s="37" t="str">
        <f t="shared" ca="1" si="39"/>
        <v/>
      </c>
    </row>
    <row r="300" spans="1:26" x14ac:dyDescent="0.35">
      <c r="A300" s="18"/>
      <c r="B300" s="26"/>
      <c r="C300" s="18"/>
      <c r="D300" s="18"/>
      <c r="E300" s="22" t="str">
        <f>IFERROR(VLOOKUP(D300,Clientes_PDV!$A$2:$J$250,2,FALSE),"")</f>
        <v/>
      </c>
      <c r="F300" s="22" t="str">
        <f>IFERROR(VLOOKUP(D300,Clientes_PDV!$A$2:$J$250,3,FALSE),"")</f>
        <v/>
      </c>
      <c r="G300" s="22" t="str">
        <f>IFERROR(VLOOKUP(D300,Clientes_PDV!$A$2:$J$250,4,FALSE),"")</f>
        <v/>
      </c>
      <c r="H300" s="18"/>
      <c r="I300" s="22" t="str">
        <f>IFERROR(VLOOKUP(H300,Maestro_SKU!$A$2:$P$500,2,FALSE),"")</f>
        <v/>
      </c>
      <c r="J300" s="27"/>
      <c r="K300" s="19"/>
      <c r="L300" s="23" t="str">
        <f t="shared" si="32"/>
        <v/>
      </c>
      <c r="M300" s="23" t="str">
        <f>IF(L300="","",L300*Inicio!$B$13)</f>
        <v/>
      </c>
      <c r="N300" s="23" t="str">
        <f t="shared" si="33"/>
        <v/>
      </c>
      <c r="O300" s="26"/>
      <c r="P300" s="18"/>
      <c r="Q300" s="19"/>
      <c r="R300" s="23" t="str">
        <f t="shared" si="34"/>
        <v/>
      </c>
      <c r="S300" s="22" t="str">
        <f ca="1">IF(A300="","",IF(OR(P300="Pagada",R300=0),"Pagada",IF(O300&lt;TODAY(),"Vencida",IF(O300&lt;=TODAY()+Inicio!$B$19,"Próxima a vencer","Vigente"))))</f>
        <v/>
      </c>
      <c r="T300" s="18"/>
      <c r="U300" s="37" t="str">
        <f t="shared" si="35"/>
        <v/>
      </c>
      <c r="V300" s="37" t="str">
        <f t="shared" si="36"/>
        <v/>
      </c>
      <c r="W300" s="37" t="str">
        <f t="shared" si="37"/>
        <v/>
      </c>
      <c r="X300" s="37" t="str">
        <f t="shared" si="38"/>
        <v/>
      </c>
      <c r="Y300" s="37" t="str">
        <f>IF(OR($H300="",$J300=""),"",$J300*IFERROR(VLOOKUP($H300,Maestro_SKU!$A$2:$P$500,12,FALSE),1))</f>
        <v/>
      </c>
      <c r="Z300" s="37" t="str">
        <f t="shared" ca="1" si="39"/>
        <v/>
      </c>
    </row>
    <row r="301" spans="1:26" x14ac:dyDescent="0.35">
      <c r="A301" s="18"/>
      <c r="B301" s="26"/>
      <c r="C301" s="18"/>
      <c r="D301" s="18"/>
      <c r="E301" s="22" t="str">
        <f>IFERROR(VLOOKUP(D301,Clientes_PDV!$A$2:$J$250,2,FALSE),"")</f>
        <v/>
      </c>
      <c r="F301" s="22" t="str">
        <f>IFERROR(VLOOKUP(D301,Clientes_PDV!$A$2:$J$250,3,FALSE),"")</f>
        <v/>
      </c>
      <c r="G301" s="22" t="str">
        <f>IFERROR(VLOOKUP(D301,Clientes_PDV!$A$2:$J$250,4,FALSE),"")</f>
        <v/>
      </c>
      <c r="H301" s="18"/>
      <c r="I301" s="22" t="str">
        <f>IFERROR(VLOOKUP(H301,Maestro_SKU!$A$2:$P$500,2,FALSE),"")</f>
        <v/>
      </c>
      <c r="J301" s="27"/>
      <c r="K301" s="19"/>
      <c r="L301" s="23" t="str">
        <f t="shared" si="32"/>
        <v/>
      </c>
      <c r="M301" s="23" t="str">
        <f>IF(L301="","",L301*Inicio!$B$13)</f>
        <v/>
      </c>
      <c r="N301" s="23" t="str">
        <f t="shared" si="33"/>
        <v/>
      </c>
      <c r="O301" s="26"/>
      <c r="P301" s="18"/>
      <c r="Q301" s="19"/>
      <c r="R301" s="23" t="str">
        <f t="shared" si="34"/>
        <v/>
      </c>
      <c r="S301" s="22" t="str">
        <f ca="1">IF(A301="","",IF(OR(P301="Pagada",R301=0),"Pagada",IF(O301&lt;TODAY(),"Vencida",IF(O301&lt;=TODAY()+Inicio!$B$19,"Próxima a vencer","Vigente"))))</f>
        <v/>
      </c>
      <c r="T301" s="18"/>
      <c r="U301" s="37" t="str">
        <f t="shared" si="35"/>
        <v/>
      </c>
      <c r="V301" s="37" t="str">
        <f t="shared" si="36"/>
        <v/>
      </c>
      <c r="W301" s="37" t="str">
        <f t="shared" si="37"/>
        <v/>
      </c>
      <c r="X301" s="37" t="str">
        <f t="shared" si="38"/>
        <v/>
      </c>
      <c r="Y301" s="37" t="str">
        <f>IF(OR($H301="",$J301=""),"",$J301*IFERROR(VLOOKUP($H301,Maestro_SKU!$A$2:$P$500,12,FALSE),1))</f>
        <v/>
      </c>
      <c r="Z301" s="37" t="str">
        <f t="shared" ca="1" si="39"/>
        <v/>
      </c>
    </row>
    <row r="302" spans="1:26" x14ac:dyDescent="0.35">
      <c r="A302" s="18"/>
      <c r="B302" s="26"/>
      <c r="C302" s="18"/>
      <c r="D302" s="18"/>
      <c r="E302" s="22" t="str">
        <f>IFERROR(VLOOKUP(D302,Clientes_PDV!$A$2:$J$250,2,FALSE),"")</f>
        <v/>
      </c>
      <c r="F302" s="22" t="str">
        <f>IFERROR(VLOOKUP(D302,Clientes_PDV!$A$2:$J$250,3,FALSE),"")</f>
        <v/>
      </c>
      <c r="G302" s="22" t="str">
        <f>IFERROR(VLOOKUP(D302,Clientes_PDV!$A$2:$J$250,4,FALSE),"")</f>
        <v/>
      </c>
      <c r="H302" s="18"/>
      <c r="I302" s="22" t="str">
        <f>IFERROR(VLOOKUP(H302,Maestro_SKU!$A$2:$P$500,2,FALSE),"")</f>
        <v/>
      </c>
      <c r="J302" s="27"/>
      <c r="K302" s="19"/>
      <c r="L302" s="23" t="str">
        <f t="shared" si="32"/>
        <v/>
      </c>
      <c r="M302" s="23" t="str">
        <f>IF(L302="","",L302*Inicio!$B$13)</f>
        <v/>
      </c>
      <c r="N302" s="23" t="str">
        <f t="shared" si="33"/>
        <v/>
      </c>
      <c r="O302" s="26"/>
      <c r="P302" s="18"/>
      <c r="Q302" s="19"/>
      <c r="R302" s="23" t="str">
        <f t="shared" si="34"/>
        <v/>
      </c>
      <c r="S302" s="22" t="str">
        <f ca="1">IF(A302="","",IF(OR(P302="Pagada",R302=0),"Pagada",IF(O302&lt;TODAY(),"Vencida",IF(O302&lt;=TODAY()+Inicio!$B$19,"Próxima a vencer","Vigente"))))</f>
        <v/>
      </c>
      <c r="T302" s="18"/>
      <c r="U302" s="37" t="str">
        <f t="shared" si="35"/>
        <v/>
      </c>
      <c r="V302" s="37" t="str">
        <f t="shared" si="36"/>
        <v/>
      </c>
      <c r="W302" s="37" t="str">
        <f t="shared" si="37"/>
        <v/>
      </c>
      <c r="X302" s="37" t="str">
        <f t="shared" si="38"/>
        <v/>
      </c>
      <c r="Y302" s="37" t="str">
        <f>IF(OR($H302="",$J302=""),"",$J302*IFERROR(VLOOKUP($H302,Maestro_SKU!$A$2:$P$500,12,FALSE),1))</f>
        <v/>
      </c>
      <c r="Z302" s="37" t="str">
        <f t="shared" ca="1" si="39"/>
        <v/>
      </c>
    </row>
    <row r="303" spans="1:26" x14ac:dyDescent="0.35">
      <c r="A303" s="18"/>
      <c r="B303" s="26"/>
      <c r="C303" s="18"/>
      <c r="D303" s="18"/>
      <c r="E303" s="22" t="str">
        <f>IFERROR(VLOOKUP(D303,Clientes_PDV!$A$2:$J$250,2,FALSE),"")</f>
        <v/>
      </c>
      <c r="F303" s="22" t="str">
        <f>IFERROR(VLOOKUP(D303,Clientes_PDV!$A$2:$J$250,3,FALSE),"")</f>
        <v/>
      </c>
      <c r="G303" s="22" t="str">
        <f>IFERROR(VLOOKUP(D303,Clientes_PDV!$A$2:$J$250,4,FALSE),"")</f>
        <v/>
      </c>
      <c r="H303" s="18"/>
      <c r="I303" s="22" t="str">
        <f>IFERROR(VLOOKUP(H303,Maestro_SKU!$A$2:$P$500,2,FALSE),"")</f>
        <v/>
      </c>
      <c r="J303" s="27"/>
      <c r="K303" s="19"/>
      <c r="L303" s="23" t="str">
        <f t="shared" si="32"/>
        <v/>
      </c>
      <c r="M303" s="23" t="str">
        <f>IF(L303="","",L303*Inicio!$B$13)</f>
        <v/>
      </c>
      <c r="N303" s="23" t="str">
        <f t="shared" si="33"/>
        <v/>
      </c>
      <c r="O303" s="26"/>
      <c r="P303" s="18"/>
      <c r="Q303" s="19"/>
      <c r="R303" s="23" t="str">
        <f t="shared" si="34"/>
        <v/>
      </c>
      <c r="S303" s="22" t="str">
        <f ca="1">IF(A303="","",IF(OR(P303="Pagada",R303=0),"Pagada",IF(O303&lt;TODAY(),"Vencida",IF(O303&lt;=TODAY()+Inicio!$B$19,"Próxima a vencer","Vigente"))))</f>
        <v/>
      </c>
      <c r="T303" s="18"/>
      <c r="U303" s="37" t="str">
        <f t="shared" si="35"/>
        <v/>
      </c>
      <c r="V303" s="37" t="str">
        <f t="shared" si="36"/>
        <v/>
      </c>
      <c r="W303" s="37" t="str">
        <f t="shared" si="37"/>
        <v/>
      </c>
      <c r="X303" s="37" t="str">
        <f t="shared" si="38"/>
        <v/>
      </c>
      <c r="Y303" s="37" t="str">
        <f>IF(OR($H303="",$J303=""),"",$J303*IFERROR(VLOOKUP($H303,Maestro_SKU!$A$2:$P$500,12,FALSE),1))</f>
        <v/>
      </c>
      <c r="Z303" s="37" t="str">
        <f t="shared" ca="1" si="39"/>
        <v/>
      </c>
    </row>
    <row r="304" spans="1:26" x14ac:dyDescent="0.35">
      <c r="A304" s="18"/>
      <c r="B304" s="26"/>
      <c r="C304" s="18"/>
      <c r="D304" s="18"/>
      <c r="E304" s="22" t="str">
        <f>IFERROR(VLOOKUP(D304,Clientes_PDV!$A$2:$J$250,2,FALSE),"")</f>
        <v/>
      </c>
      <c r="F304" s="22" t="str">
        <f>IFERROR(VLOOKUP(D304,Clientes_PDV!$A$2:$J$250,3,FALSE),"")</f>
        <v/>
      </c>
      <c r="G304" s="22" t="str">
        <f>IFERROR(VLOOKUP(D304,Clientes_PDV!$A$2:$J$250,4,FALSE),"")</f>
        <v/>
      </c>
      <c r="H304" s="18"/>
      <c r="I304" s="22" t="str">
        <f>IFERROR(VLOOKUP(H304,Maestro_SKU!$A$2:$P$500,2,FALSE),"")</f>
        <v/>
      </c>
      <c r="J304" s="27"/>
      <c r="K304" s="19"/>
      <c r="L304" s="23" t="str">
        <f t="shared" si="32"/>
        <v/>
      </c>
      <c r="M304" s="23" t="str">
        <f>IF(L304="","",L304*Inicio!$B$13)</f>
        <v/>
      </c>
      <c r="N304" s="23" t="str">
        <f t="shared" si="33"/>
        <v/>
      </c>
      <c r="O304" s="26"/>
      <c r="P304" s="18"/>
      <c r="Q304" s="19"/>
      <c r="R304" s="23" t="str">
        <f t="shared" si="34"/>
        <v/>
      </c>
      <c r="S304" s="22" t="str">
        <f ca="1">IF(A304="","",IF(OR(P304="Pagada",R304=0),"Pagada",IF(O304&lt;TODAY(),"Vencida",IF(O304&lt;=TODAY()+Inicio!$B$19,"Próxima a vencer","Vigente"))))</f>
        <v/>
      </c>
      <c r="T304" s="18"/>
      <c r="U304" s="37" t="str">
        <f t="shared" si="35"/>
        <v/>
      </c>
      <c r="V304" s="37" t="str">
        <f t="shared" si="36"/>
        <v/>
      </c>
      <c r="W304" s="37" t="str">
        <f t="shared" si="37"/>
        <v/>
      </c>
      <c r="X304" s="37" t="str">
        <f t="shared" si="38"/>
        <v/>
      </c>
      <c r="Y304" s="37" t="str">
        <f>IF(OR($H304="",$J304=""),"",$J304*IFERROR(VLOOKUP($H304,Maestro_SKU!$A$2:$P$500,12,FALSE),1))</f>
        <v/>
      </c>
      <c r="Z304" s="37" t="str">
        <f t="shared" ca="1" si="39"/>
        <v/>
      </c>
    </row>
    <row r="305" spans="1:26" x14ac:dyDescent="0.35">
      <c r="A305" s="18"/>
      <c r="B305" s="26"/>
      <c r="C305" s="18"/>
      <c r="D305" s="18"/>
      <c r="E305" s="22" t="str">
        <f>IFERROR(VLOOKUP(D305,Clientes_PDV!$A$2:$J$250,2,FALSE),"")</f>
        <v/>
      </c>
      <c r="F305" s="22" t="str">
        <f>IFERROR(VLOOKUP(D305,Clientes_PDV!$A$2:$J$250,3,FALSE),"")</f>
        <v/>
      </c>
      <c r="G305" s="22" t="str">
        <f>IFERROR(VLOOKUP(D305,Clientes_PDV!$A$2:$J$250,4,FALSE),"")</f>
        <v/>
      </c>
      <c r="H305" s="18"/>
      <c r="I305" s="22" t="str">
        <f>IFERROR(VLOOKUP(H305,Maestro_SKU!$A$2:$P$500,2,FALSE),"")</f>
        <v/>
      </c>
      <c r="J305" s="27"/>
      <c r="K305" s="19"/>
      <c r="L305" s="23" t="str">
        <f t="shared" si="32"/>
        <v/>
      </c>
      <c r="M305" s="23" t="str">
        <f>IF(L305="","",L305*Inicio!$B$13)</f>
        <v/>
      </c>
      <c r="N305" s="23" t="str">
        <f t="shared" si="33"/>
        <v/>
      </c>
      <c r="O305" s="26"/>
      <c r="P305" s="18"/>
      <c r="Q305" s="19"/>
      <c r="R305" s="23" t="str">
        <f t="shared" si="34"/>
        <v/>
      </c>
      <c r="S305" s="22" t="str">
        <f ca="1">IF(A305="","",IF(OR(P305="Pagada",R305=0),"Pagada",IF(O305&lt;TODAY(),"Vencida",IF(O305&lt;=TODAY()+Inicio!$B$19,"Próxima a vencer","Vigente"))))</f>
        <v/>
      </c>
      <c r="T305" s="18"/>
      <c r="U305" s="37" t="str">
        <f t="shared" si="35"/>
        <v/>
      </c>
      <c r="V305" s="37" t="str">
        <f t="shared" si="36"/>
        <v/>
      </c>
      <c r="W305" s="37" t="str">
        <f t="shared" si="37"/>
        <v/>
      </c>
      <c r="X305" s="37" t="str">
        <f t="shared" si="38"/>
        <v/>
      </c>
      <c r="Y305" s="37" t="str">
        <f>IF(OR($H305="",$J305=""),"",$J305*IFERROR(VLOOKUP($H305,Maestro_SKU!$A$2:$P$500,12,FALSE),1))</f>
        <v/>
      </c>
      <c r="Z305" s="37" t="str">
        <f t="shared" ca="1" si="39"/>
        <v/>
      </c>
    </row>
    <row r="306" spans="1:26" x14ac:dyDescent="0.35">
      <c r="A306" s="18"/>
      <c r="B306" s="26"/>
      <c r="C306" s="18"/>
      <c r="D306" s="18"/>
      <c r="E306" s="22" t="str">
        <f>IFERROR(VLOOKUP(D306,Clientes_PDV!$A$2:$J$250,2,FALSE),"")</f>
        <v/>
      </c>
      <c r="F306" s="22" t="str">
        <f>IFERROR(VLOOKUP(D306,Clientes_PDV!$A$2:$J$250,3,FALSE),"")</f>
        <v/>
      </c>
      <c r="G306" s="22" t="str">
        <f>IFERROR(VLOOKUP(D306,Clientes_PDV!$A$2:$J$250,4,FALSE),"")</f>
        <v/>
      </c>
      <c r="H306" s="18"/>
      <c r="I306" s="22" t="str">
        <f>IFERROR(VLOOKUP(H306,Maestro_SKU!$A$2:$P$500,2,FALSE),"")</f>
        <v/>
      </c>
      <c r="J306" s="27"/>
      <c r="K306" s="19"/>
      <c r="L306" s="23" t="str">
        <f t="shared" si="32"/>
        <v/>
      </c>
      <c r="M306" s="23" t="str">
        <f>IF(L306="","",L306*Inicio!$B$13)</f>
        <v/>
      </c>
      <c r="N306" s="23" t="str">
        <f t="shared" si="33"/>
        <v/>
      </c>
      <c r="O306" s="26"/>
      <c r="P306" s="18"/>
      <c r="Q306" s="19"/>
      <c r="R306" s="23" t="str">
        <f t="shared" si="34"/>
        <v/>
      </c>
      <c r="S306" s="22" t="str">
        <f ca="1">IF(A306="","",IF(OR(P306="Pagada",R306=0),"Pagada",IF(O306&lt;TODAY(),"Vencida",IF(O306&lt;=TODAY()+Inicio!$B$19,"Próxima a vencer","Vigente"))))</f>
        <v/>
      </c>
      <c r="T306" s="18"/>
      <c r="U306" s="37" t="str">
        <f t="shared" si="35"/>
        <v/>
      </c>
      <c r="V306" s="37" t="str">
        <f t="shared" si="36"/>
        <v/>
      </c>
      <c r="W306" s="37" t="str">
        <f t="shared" si="37"/>
        <v/>
      </c>
      <c r="X306" s="37" t="str">
        <f t="shared" si="38"/>
        <v/>
      </c>
      <c r="Y306" s="37" t="str">
        <f>IF(OR($H306="",$J306=""),"",$J306*IFERROR(VLOOKUP($H306,Maestro_SKU!$A$2:$P$500,12,FALSE),1))</f>
        <v/>
      </c>
      <c r="Z306" s="37" t="str">
        <f t="shared" ca="1" si="39"/>
        <v/>
      </c>
    </row>
    <row r="307" spans="1:26" x14ac:dyDescent="0.35">
      <c r="A307" s="18"/>
      <c r="B307" s="26"/>
      <c r="C307" s="18"/>
      <c r="D307" s="18"/>
      <c r="E307" s="22" t="str">
        <f>IFERROR(VLOOKUP(D307,Clientes_PDV!$A$2:$J$250,2,FALSE),"")</f>
        <v/>
      </c>
      <c r="F307" s="22" t="str">
        <f>IFERROR(VLOOKUP(D307,Clientes_PDV!$A$2:$J$250,3,FALSE),"")</f>
        <v/>
      </c>
      <c r="G307" s="22" t="str">
        <f>IFERROR(VLOOKUP(D307,Clientes_PDV!$A$2:$J$250,4,FALSE),"")</f>
        <v/>
      </c>
      <c r="H307" s="18"/>
      <c r="I307" s="22" t="str">
        <f>IFERROR(VLOOKUP(H307,Maestro_SKU!$A$2:$P$500,2,FALSE),"")</f>
        <v/>
      </c>
      <c r="J307" s="27"/>
      <c r="K307" s="19"/>
      <c r="L307" s="23" t="str">
        <f t="shared" si="32"/>
        <v/>
      </c>
      <c r="M307" s="23" t="str">
        <f>IF(L307="","",L307*Inicio!$B$13)</f>
        <v/>
      </c>
      <c r="N307" s="23" t="str">
        <f t="shared" si="33"/>
        <v/>
      </c>
      <c r="O307" s="26"/>
      <c r="P307" s="18"/>
      <c r="Q307" s="19"/>
      <c r="R307" s="23" t="str">
        <f t="shared" si="34"/>
        <v/>
      </c>
      <c r="S307" s="22" t="str">
        <f ca="1">IF(A307="","",IF(OR(P307="Pagada",R307=0),"Pagada",IF(O307&lt;TODAY(),"Vencida",IF(O307&lt;=TODAY()+Inicio!$B$19,"Próxima a vencer","Vigente"))))</f>
        <v/>
      </c>
      <c r="T307" s="18"/>
      <c r="U307" s="37" t="str">
        <f t="shared" si="35"/>
        <v/>
      </c>
      <c r="V307" s="37" t="str">
        <f t="shared" si="36"/>
        <v/>
      </c>
      <c r="W307" s="37" t="str">
        <f t="shared" si="37"/>
        <v/>
      </c>
      <c r="X307" s="37" t="str">
        <f t="shared" si="38"/>
        <v/>
      </c>
      <c r="Y307" s="37" t="str">
        <f>IF(OR($H307="",$J307=""),"",$J307*IFERROR(VLOOKUP($H307,Maestro_SKU!$A$2:$P$500,12,FALSE),1))</f>
        <v/>
      </c>
      <c r="Z307" s="37" t="str">
        <f t="shared" ca="1" si="39"/>
        <v/>
      </c>
    </row>
    <row r="308" spans="1:26" x14ac:dyDescent="0.35">
      <c r="A308" s="18"/>
      <c r="B308" s="26"/>
      <c r="C308" s="18"/>
      <c r="D308" s="18"/>
      <c r="E308" s="22" t="str">
        <f>IFERROR(VLOOKUP(D308,Clientes_PDV!$A$2:$J$250,2,FALSE),"")</f>
        <v/>
      </c>
      <c r="F308" s="22" t="str">
        <f>IFERROR(VLOOKUP(D308,Clientes_PDV!$A$2:$J$250,3,FALSE),"")</f>
        <v/>
      </c>
      <c r="G308" s="22" t="str">
        <f>IFERROR(VLOOKUP(D308,Clientes_PDV!$A$2:$J$250,4,FALSE),"")</f>
        <v/>
      </c>
      <c r="H308" s="18"/>
      <c r="I308" s="22" t="str">
        <f>IFERROR(VLOOKUP(H308,Maestro_SKU!$A$2:$P$500,2,FALSE),"")</f>
        <v/>
      </c>
      <c r="J308" s="27"/>
      <c r="K308" s="19"/>
      <c r="L308" s="23" t="str">
        <f t="shared" si="32"/>
        <v/>
      </c>
      <c r="M308" s="23" t="str">
        <f>IF(L308="","",L308*Inicio!$B$13)</f>
        <v/>
      </c>
      <c r="N308" s="23" t="str">
        <f t="shared" si="33"/>
        <v/>
      </c>
      <c r="O308" s="26"/>
      <c r="P308" s="18"/>
      <c r="Q308" s="19"/>
      <c r="R308" s="23" t="str">
        <f t="shared" si="34"/>
        <v/>
      </c>
      <c r="S308" s="22" t="str">
        <f ca="1">IF(A308="","",IF(OR(P308="Pagada",R308=0),"Pagada",IF(O308&lt;TODAY(),"Vencida",IF(O308&lt;=TODAY()+Inicio!$B$19,"Próxima a vencer","Vigente"))))</f>
        <v/>
      </c>
      <c r="T308" s="18"/>
      <c r="U308" s="37" t="str">
        <f t="shared" si="35"/>
        <v/>
      </c>
      <c r="V308" s="37" t="str">
        <f t="shared" si="36"/>
        <v/>
      </c>
      <c r="W308" s="37" t="str">
        <f t="shared" si="37"/>
        <v/>
      </c>
      <c r="X308" s="37" t="str">
        <f t="shared" si="38"/>
        <v/>
      </c>
      <c r="Y308" s="37" t="str">
        <f>IF(OR($H308="",$J308=""),"",$J308*IFERROR(VLOOKUP($H308,Maestro_SKU!$A$2:$P$500,12,FALSE),1))</f>
        <v/>
      </c>
      <c r="Z308" s="37" t="str">
        <f t="shared" ca="1" si="39"/>
        <v/>
      </c>
    </row>
    <row r="309" spans="1:26" x14ac:dyDescent="0.35">
      <c r="A309" s="18"/>
      <c r="B309" s="26"/>
      <c r="C309" s="18"/>
      <c r="D309" s="18"/>
      <c r="E309" s="22" t="str">
        <f>IFERROR(VLOOKUP(D309,Clientes_PDV!$A$2:$J$250,2,FALSE),"")</f>
        <v/>
      </c>
      <c r="F309" s="22" t="str">
        <f>IFERROR(VLOOKUP(D309,Clientes_PDV!$A$2:$J$250,3,FALSE),"")</f>
        <v/>
      </c>
      <c r="G309" s="22" t="str">
        <f>IFERROR(VLOOKUP(D309,Clientes_PDV!$A$2:$J$250,4,FALSE),"")</f>
        <v/>
      </c>
      <c r="H309" s="18"/>
      <c r="I309" s="22" t="str">
        <f>IFERROR(VLOOKUP(H309,Maestro_SKU!$A$2:$P$500,2,FALSE),"")</f>
        <v/>
      </c>
      <c r="J309" s="27"/>
      <c r="K309" s="19"/>
      <c r="L309" s="23" t="str">
        <f t="shared" si="32"/>
        <v/>
      </c>
      <c r="M309" s="23" t="str">
        <f>IF(L309="","",L309*Inicio!$B$13)</f>
        <v/>
      </c>
      <c r="N309" s="23" t="str">
        <f t="shared" si="33"/>
        <v/>
      </c>
      <c r="O309" s="26"/>
      <c r="P309" s="18"/>
      <c r="Q309" s="19"/>
      <c r="R309" s="23" t="str">
        <f t="shared" si="34"/>
        <v/>
      </c>
      <c r="S309" s="22" t="str">
        <f ca="1">IF(A309="","",IF(OR(P309="Pagada",R309=0),"Pagada",IF(O309&lt;TODAY(),"Vencida",IF(O309&lt;=TODAY()+Inicio!$B$19,"Próxima a vencer","Vigente"))))</f>
        <v/>
      </c>
      <c r="T309" s="18"/>
      <c r="U309" s="37" t="str">
        <f t="shared" si="35"/>
        <v/>
      </c>
      <c r="V309" s="37" t="str">
        <f t="shared" si="36"/>
        <v/>
      </c>
      <c r="W309" s="37" t="str">
        <f t="shared" si="37"/>
        <v/>
      </c>
      <c r="X309" s="37" t="str">
        <f t="shared" si="38"/>
        <v/>
      </c>
      <c r="Y309" s="37" t="str">
        <f>IF(OR($H309="",$J309=""),"",$J309*IFERROR(VLOOKUP($H309,Maestro_SKU!$A$2:$P$500,12,FALSE),1))</f>
        <v/>
      </c>
      <c r="Z309" s="37" t="str">
        <f t="shared" ca="1" si="39"/>
        <v/>
      </c>
    </row>
    <row r="310" spans="1:26" x14ac:dyDescent="0.35">
      <c r="A310" s="18"/>
      <c r="B310" s="26"/>
      <c r="C310" s="18"/>
      <c r="D310" s="18"/>
      <c r="E310" s="22" t="str">
        <f>IFERROR(VLOOKUP(D310,Clientes_PDV!$A$2:$J$250,2,FALSE),"")</f>
        <v/>
      </c>
      <c r="F310" s="22" t="str">
        <f>IFERROR(VLOOKUP(D310,Clientes_PDV!$A$2:$J$250,3,FALSE),"")</f>
        <v/>
      </c>
      <c r="G310" s="22" t="str">
        <f>IFERROR(VLOOKUP(D310,Clientes_PDV!$A$2:$J$250,4,FALSE),"")</f>
        <v/>
      </c>
      <c r="H310" s="18"/>
      <c r="I310" s="22" t="str">
        <f>IFERROR(VLOOKUP(H310,Maestro_SKU!$A$2:$P$500,2,FALSE),"")</f>
        <v/>
      </c>
      <c r="J310" s="27"/>
      <c r="K310" s="19"/>
      <c r="L310" s="23" t="str">
        <f t="shared" si="32"/>
        <v/>
      </c>
      <c r="M310" s="23" t="str">
        <f>IF(L310="","",L310*Inicio!$B$13)</f>
        <v/>
      </c>
      <c r="N310" s="23" t="str">
        <f t="shared" si="33"/>
        <v/>
      </c>
      <c r="O310" s="26"/>
      <c r="P310" s="18"/>
      <c r="Q310" s="19"/>
      <c r="R310" s="23" t="str">
        <f t="shared" si="34"/>
        <v/>
      </c>
      <c r="S310" s="22" t="str">
        <f ca="1">IF(A310="","",IF(OR(P310="Pagada",R310=0),"Pagada",IF(O310&lt;TODAY(),"Vencida",IF(O310&lt;=TODAY()+Inicio!$B$19,"Próxima a vencer","Vigente"))))</f>
        <v/>
      </c>
      <c r="T310" s="18"/>
      <c r="U310" s="37" t="str">
        <f t="shared" si="35"/>
        <v/>
      </c>
      <c r="V310" s="37" t="str">
        <f t="shared" si="36"/>
        <v/>
      </c>
      <c r="W310" s="37" t="str">
        <f t="shared" si="37"/>
        <v/>
      </c>
      <c r="X310" s="37" t="str">
        <f t="shared" si="38"/>
        <v/>
      </c>
      <c r="Y310" s="37" t="str">
        <f>IF(OR($H310="",$J310=""),"",$J310*IFERROR(VLOOKUP($H310,Maestro_SKU!$A$2:$P$500,12,FALSE),1))</f>
        <v/>
      </c>
      <c r="Z310" s="37" t="str">
        <f t="shared" ca="1" si="39"/>
        <v/>
      </c>
    </row>
    <row r="311" spans="1:26" x14ac:dyDescent="0.35">
      <c r="A311" s="18"/>
      <c r="B311" s="26"/>
      <c r="C311" s="18"/>
      <c r="D311" s="18"/>
      <c r="E311" s="22" t="str">
        <f>IFERROR(VLOOKUP(D311,Clientes_PDV!$A$2:$J$250,2,FALSE),"")</f>
        <v/>
      </c>
      <c r="F311" s="22" t="str">
        <f>IFERROR(VLOOKUP(D311,Clientes_PDV!$A$2:$J$250,3,FALSE),"")</f>
        <v/>
      </c>
      <c r="G311" s="22" t="str">
        <f>IFERROR(VLOOKUP(D311,Clientes_PDV!$A$2:$J$250,4,FALSE),"")</f>
        <v/>
      </c>
      <c r="H311" s="18"/>
      <c r="I311" s="22" t="str">
        <f>IFERROR(VLOOKUP(H311,Maestro_SKU!$A$2:$P$500,2,FALSE),"")</f>
        <v/>
      </c>
      <c r="J311" s="27"/>
      <c r="K311" s="19"/>
      <c r="L311" s="23" t="str">
        <f t="shared" si="32"/>
        <v/>
      </c>
      <c r="M311" s="23" t="str">
        <f>IF(L311="","",L311*Inicio!$B$13)</f>
        <v/>
      </c>
      <c r="N311" s="23" t="str">
        <f t="shared" si="33"/>
        <v/>
      </c>
      <c r="O311" s="26"/>
      <c r="P311" s="18"/>
      <c r="Q311" s="19"/>
      <c r="R311" s="23" t="str">
        <f t="shared" si="34"/>
        <v/>
      </c>
      <c r="S311" s="22" t="str">
        <f ca="1">IF(A311="","",IF(OR(P311="Pagada",R311=0),"Pagada",IF(O311&lt;TODAY(),"Vencida",IF(O311&lt;=TODAY()+Inicio!$B$19,"Próxima a vencer","Vigente"))))</f>
        <v/>
      </c>
      <c r="T311" s="18"/>
      <c r="U311" s="37" t="str">
        <f t="shared" si="35"/>
        <v/>
      </c>
      <c r="V311" s="37" t="str">
        <f t="shared" si="36"/>
        <v/>
      </c>
      <c r="W311" s="37" t="str">
        <f t="shared" si="37"/>
        <v/>
      </c>
      <c r="X311" s="37" t="str">
        <f t="shared" si="38"/>
        <v/>
      </c>
      <c r="Y311" s="37" t="str">
        <f>IF(OR($H311="",$J311=""),"",$J311*IFERROR(VLOOKUP($H311,Maestro_SKU!$A$2:$P$500,12,FALSE),1))</f>
        <v/>
      </c>
      <c r="Z311" s="37" t="str">
        <f t="shared" ca="1" si="39"/>
        <v/>
      </c>
    </row>
    <row r="312" spans="1:26" x14ac:dyDescent="0.35">
      <c r="A312" s="18"/>
      <c r="B312" s="26"/>
      <c r="C312" s="18"/>
      <c r="D312" s="18"/>
      <c r="E312" s="22" t="str">
        <f>IFERROR(VLOOKUP(D312,Clientes_PDV!$A$2:$J$250,2,FALSE),"")</f>
        <v/>
      </c>
      <c r="F312" s="22" t="str">
        <f>IFERROR(VLOOKUP(D312,Clientes_PDV!$A$2:$J$250,3,FALSE),"")</f>
        <v/>
      </c>
      <c r="G312" s="22" t="str">
        <f>IFERROR(VLOOKUP(D312,Clientes_PDV!$A$2:$J$250,4,FALSE),"")</f>
        <v/>
      </c>
      <c r="H312" s="18"/>
      <c r="I312" s="22" t="str">
        <f>IFERROR(VLOOKUP(H312,Maestro_SKU!$A$2:$P$500,2,FALSE),"")</f>
        <v/>
      </c>
      <c r="J312" s="27"/>
      <c r="K312" s="19"/>
      <c r="L312" s="23" t="str">
        <f t="shared" si="32"/>
        <v/>
      </c>
      <c r="M312" s="23" t="str">
        <f>IF(L312="","",L312*Inicio!$B$13)</f>
        <v/>
      </c>
      <c r="N312" s="23" t="str">
        <f t="shared" si="33"/>
        <v/>
      </c>
      <c r="O312" s="26"/>
      <c r="P312" s="18"/>
      <c r="Q312" s="19"/>
      <c r="R312" s="23" t="str">
        <f t="shared" si="34"/>
        <v/>
      </c>
      <c r="S312" s="22" t="str">
        <f ca="1">IF(A312="","",IF(OR(P312="Pagada",R312=0),"Pagada",IF(O312&lt;TODAY(),"Vencida",IF(O312&lt;=TODAY()+Inicio!$B$19,"Próxima a vencer","Vigente"))))</f>
        <v/>
      </c>
      <c r="T312" s="18"/>
      <c r="U312" s="37" t="str">
        <f t="shared" si="35"/>
        <v/>
      </c>
      <c r="V312" s="37" t="str">
        <f t="shared" si="36"/>
        <v/>
      </c>
      <c r="W312" s="37" t="str">
        <f t="shared" si="37"/>
        <v/>
      </c>
      <c r="X312" s="37" t="str">
        <f t="shared" si="38"/>
        <v/>
      </c>
      <c r="Y312" s="37" t="str">
        <f>IF(OR($H312="",$J312=""),"",$J312*IFERROR(VLOOKUP($H312,Maestro_SKU!$A$2:$P$500,12,FALSE),1))</f>
        <v/>
      </c>
      <c r="Z312" s="37" t="str">
        <f t="shared" ca="1" si="39"/>
        <v/>
      </c>
    </row>
    <row r="313" spans="1:26" x14ac:dyDescent="0.35">
      <c r="A313" s="18"/>
      <c r="B313" s="26"/>
      <c r="C313" s="18"/>
      <c r="D313" s="18"/>
      <c r="E313" s="22" t="str">
        <f>IFERROR(VLOOKUP(D313,Clientes_PDV!$A$2:$J$250,2,FALSE),"")</f>
        <v/>
      </c>
      <c r="F313" s="22" t="str">
        <f>IFERROR(VLOOKUP(D313,Clientes_PDV!$A$2:$J$250,3,FALSE),"")</f>
        <v/>
      </c>
      <c r="G313" s="22" t="str">
        <f>IFERROR(VLOOKUP(D313,Clientes_PDV!$A$2:$J$250,4,FALSE),"")</f>
        <v/>
      </c>
      <c r="H313" s="18"/>
      <c r="I313" s="22" t="str">
        <f>IFERROR(VLOOKUP(H313,Maestro_SKU!$A$2:$P$500,2,FALSE),"")</f>
        <v/>
      </c>
      <c r="J313" s="27"/>
      <c r="K313" s="19"/>
      <c r="L313" s="23" t="str">
        <f t="shared" si="32"/>
        <v/>
      </c>
      <c r="M313" s="23" t="str">
        <f>IF(L313="","",L313*Inicio!$B$13)</f>
        <v/>
      </c>
      <c r="N313" s="23" t="str">
        <f t="shared" si="33"/>
        <v/>
      </c>
      <c r="O313" s="26"/>
      <c r="P313" s="18"/>
      <c r="Q313" s="19"/>
      <c r="R313" s="23" t="str">
        <f t="shared" si="34"/>
        <v/>
      </c>
      <c r="S313" s="22" t="str">
        <f ca="1">IF(A313="","",IF(OR(P313="Pagada",R313=0),"Pagada",IF(O313&lt;TODAY(),"Vencida",IF(O313&lt;=TODAY()+Inicio!$B$19,"Próxima a vencer","Vigente"))))</f>
        <v/>
      </c>
      <c r="T313" s="18"/>
      <c r="U313" s="37" t="str">
        <f t="shared" si="35"/>
        <v/>
      </c>
      <c r="V313" s="37" t="str">
        <f t="shared" si="36"/>
        <v/>
      </c>
      <c r="W313" s="37" t="str">
        <f t="shared" si="37"/>
        <v/>
      </c>
      <c r="X313" s="37" t="str">
        <f t="shared" si="38"/>
        <v/>
      </c>
      <c r="Y313" s="37" t="str">
        <f>IF(OR($H313="",$J313=""),"",$J313*IFERROR(VLOOKUP($H313,Maestro_SKU!$A$2:$P$500,12,FALSE),1))</f>
        <v/>
      </c>
      <c r="Z313" s="37" t="str">
        <f t="shared" ca="1" si="39"/>
        <v/>
      </c>
    </row>
    <row r="314" spans="1:26" x14ac:dyDescent="0.35">
      <c r="A314" s="18"/>
      <c r="B314" s="26"/>
      <c r="C314" s="18"/>
      <c r="D314" s="18"/>
      <c r="E314" s="22" t="str">
        <f>IFERROR(VLOOKUP(D314,Clientes_PDV!$A$2:$J$250,2,FALSE),"")</f>
        <v/>
      </c>
      <c r="F314" s="22" t="str">
        <f>IFERROR(VLOOKUP(D314,Clientes_PDV!$A$2:$J$250,3,FALSE),"")</f>
        <v/>
      </c>
      <c r="G314" s="22" t="str">
        <f>IFERROR(VLOOKUP(D314,Clientes_PDV!$A$2:$J$250,4,FALSE),"")</f>
        <v/>
      </c>
      <c r="H314" s="18"/>
      <c r="I314" s="22" t="str">
        <f>IFERROR(VLOOKUP(H314,Maestro_SKU!$A$2:$P$500,2,FALSE),"")</f>
        <v/>
      </c>
      <c r="J314" s="27"/>
      <c r="K314" s="19"/>
      <c r="L314" s="23" t="str">
        <f t="shared" si="32"/>
        <v/>
      </c>
      <c r="M314" s="23" t="str">
        <f>IF(L314="","",L314*Inicio!$B$13)</f>
        <v/>
      </c>
      <c r="N314" s="23" t="str">
        <f t="shared" si="33"/>
        <v/>
      </c>
      <c r="O314" s="26"/>
      <c r="P314" s="18"/>
      <c r="Q314" s="19"/>
      <c r="R314" s="23" t="str">
        <f t="shared" si="34"/>
        <v/>
      </c>
      <c r="S314" s="22" t="str">
        <f ca="1">IF(A314="","",IF(OR(P314="Pagada",R314=0),"Pagada",IF(O314&lt;TODAY(),"Vencida",IF(O314&lt;=TODAY()+Inicio!$B$19,"Próxima a vencer","Vigente"))))</f>
        <v/>
      </c>
      <c r="T314" s="18"/>
      <c r="U314" s="37" t="str">
        <f t="shared" si="35"/>
        <v/>
      </c>
      <c r="V314" s="37" t="str">
        <f t="shared" si="36"/>
        <v/>
      </c>
      <c r="W314" s="37" t="str">
        <f t="shared" si="37"/>
        <v/>
      </c>
      <c r="X314" s="37" t="str">
        <f t="shared" si="38"/>
        <v/>
      </c>
      <c r="Y314" s="37" t="str">
        <f>IF(OR($H314="",$J314=""),"",$J314*IFERROR(VLOOKUP($H314,Maestro_SKU!$A$2:$P$500,12,FALSE),1))</f>
        <v/>
      </c>
      <c r="Z314" s="37" t="str">
        <f t="shared" ca="1" si="39"/>
        <v/>
      </c>
    </row>
    <row r="315" spans="1:26" x14ac:dyDescent="0.35">
      <c r="A315" s="18"/>
      <c r="B315" s="26"/>
      <c r="C315" s="18"/>
      <c r="D315" s="18"/>
      <c r="E315" s="22" t="str">
        <f>IFERROR(VLOOKUP(D315,Clientes_PDV!$A$2:$J$250,2,FALSE),"")</f>
        <v/>
      </c>
      <c r="F315" s="22" t="str">
        <f>IFERROR(VLOOKUP(D315,Clientes_PDV!$A$2:$J$250,3,FALSE),"")</f>
        <v/>
      </c>
      <c r="G315" s="22" t="str">
        <f>IFERROR(VLOOKUP(D315,Clientes_PDV!$A$2:$J$250,4,FALSE),"")</f>
        <v/>
      </c>
      <c r="H315" s="18"/>
      <c r="I315" s="22" t="str">
        <f>IFERROR(VLOOKUP(H315,Maestro_SKU!$A$2:$P$500,2,FALSE),"")</f>
        <v/>
      </c>
      <c r="J315" s="27"/>
      <c r="K315" s="19"/>
      <c r="L315" s="23" t="str">
        <f t="shared" si="32"/>
        <v/>
      </c>
      <c r="M315" s="23" t="str">
        <f>IF(L315="","",L315*Inicio!$B$13)</f>
        <v/>
      </c>
      <c r="N315" s="23" t="str">
        <f t="shared" si="33"/>
        <v/>
      </c>
      <c r="O315" s="26"/>
      <c r="P315" s="18"/>
      <c r="Q315" s="19"/>
      <c r="R315" s="23" t="str">
        <f t="shared" si="34"/>
        <v/>
      </c>
      <c r="S315" s="22" t="str">
        <f ca="1">IF(A315="","",IF(OR(P315="Pagada",R315=0),"Pagada",IF(O315&lt;TODAY(),"Vencida",IF(O315&lt;=TODAY()+Inicio!$B$19,"Próxima a vencer","Vigente"))))</f>
        <v/>
      </c>
      <c r="T315" s="18"/>
      <c r="U315" s="37" t="str">
        <f t="shared" si="35"/>
        <v/>
      </c>
      <c r="V315" s="37" t="str">
        <f t="shared" si="36"/>
        <v/>
      </c>
      <c r="W315" s="37" t="str">
        <f t="shared" si="37"/>
        <v/>
      </c>
      <c r="X315" s="37" t="str">
        <f t="shared" si="38"/>
        <v/>
      </c>
      <c r="Y315" s="37" t="str">
        <f>IF(OR($H315="",$J315=""),"",$J315*IFERROR(VLOOKUP($H315,Maestro_SKU!$A$2:$P$500,12,FALSE),1))</f>
        <v/>
      </c>
      <c r="Z315" s="37" t="str">
        <f t="shared" ca="1" si="39"/>
        <v/>
      </c>
    </row>
    <row r="316" spans="1:26" x14ac:dyDescent="0.35">
      <c r="A316" s="18"/>
      <c r="B316" s="26"/>
      <c r="C316" s="18"/>
      <c r="D316" s="18"/>
      <c r="E316" s="22" t="str">
        <f>IFERROR(VLOOKUP(D316,Clientes_PDV!$A$2:$J$250,2,FALSE),"")</f>
        <v/>
      </c>
      <c r="F316" s="22" t="str">
        <f>IFERROR(VLOOKUP(D316,Clientes_PDV!$A$2:$J$250,3,FALSE),"")</f>
        <v/>
      </c>
      <c r="G316" s="22" t="str">
        <f>IFERROR(VLOOKUP(D316,Clientes_PDV!$A$2:$J$250,4,FALSE),"")</f>
        <v/>
      </c>
      <c r="H316" s="18"/>
      <c r="I316" s="22" t="str">
        <f>IFERROR(VLOOKUP(H316,Maestro_SKU!$A$2:$P$500,2,FALSE),"")</f>
        <v/>
      </c>
      <c r="J316" s="27"/>
      <c r="K316" s="19"/>
      <c r="L316" s="23" t="str">
        <f t="shared" si="32"/>
        <v/>
      </c>
      <c r="M316" s="23" t="str">
        <f>IF(L316="","",L316*Inicio!$B$13)</f>
        <v/>
      </c>
      <c r="N316" s="23" t="str">
        <f t="shared" si="33"/>
        <v/>
      </c>
      <c r="O316" s="26"/>
      <c r="P316" s="18"/>
      <c r="Q316" s="19"/>
      <c r="R316" s="23" t="str">
        <f t="shared" si="34"/>
        <v/>
      </c>
      <c r="S316" s="22" t="str">
        <f ca="1">IF(A316="","",IF(OR(P316="Pagada",R316=0),"Pagada",IF(O316&lt;TODAY(),"Vencida",IF(O316&lt;=TODAY()+Inicio!$B$19,"Próxima a vencer","Vigente"))))</f>
        <v/>
      </c>
      <c r="T316" s="18"/>
      <c r="U316" s="37" t="str">
        <f t="shared" si="35"/>
        <v/>
      </c>
      <c r="V316" s="37" t="str">
        <f t="shared" si="36"/>
        <v/>
      </c>
      <c r="W316" s="37" t="str">
        <f t="shared" si="37"/>
        <v/>
      </c>
      <c r="X316" s="37" t="str">
        <f t="shared" si="38"/>
        <v/>
      </c>
      <c r="Y316" s="37" t="str">
        <f>IF(OR($H316="",$J316=""),"",$J316*IFERROR(VLOOKUP($H316,Maestro_SKU!$A$2:$P$500,12,FALSE),1))</f>
        <v/>
      </c>
      <c r="Z316" s="37" t="str">
        <f t="shared" ca="1" si="39"/>
        <v/>
      </c>
    </row>
    <row r="317" spans="1:26" x14ac:dyDescent="0.35">
      <c r="A317" s="18"/>
      <c r="B317" s="26"/>
      <c r="C317" s="18"/>
      <c r="D317" s="18"/>
      <c r="E317" s="22" t="str">
        <f>IFERROR(VLOOKUP(D317,Clientes_PDV!$A$2:$J$250,2,FALSE),"")</f>
        <v/>
      </c>
      <c r="F317" s="22" t="str">
        <f>IFERROR(VLOOKUP(D317,Clientes_PDV!$A$2:$J$250,3,FALSE),"")</f>
        <v/>
      </c>
      <c r="G317" s="22" t="str">
        <f>IFERROR(VLOOKUP(D317,Clientes_PDV!$A$2:$J$250,4,FALSE),"")</f>
        <v/>
      </c>
      <c r="H317" s="18"/>
      <c r="I317" s="22" t="str">
        <f>IFERROR(VLOOKUP(H317,Maestro_SKU!$A$2:$P$500,2,FALSE),"")</f>
        <v/>
      </c>
      <c r="J317" s="27"/>
      <c r="K317" s="19"/>
      <c r="L317" s="23" t="str">
        <f t="shared" si="32"/>
        <v/>
      </c>
      <c r="M317" s="23" t="str">
        <f>IF(L317="","",L317*Inicio!$B$13)</f>
        <v/>
      </c>
      <c r="N317" s="23" t="str">
        <f t="shared" si="33"/>
        <v/>
      </c>
      <c r="O317" s="26"/>
      <c r="P317" s="18"/>
      <c r="Q317" s="19"/>
      <c r="R317" s="23" t="str">
        <f t="shared" si="34"/>
        <v/>
      </c>
      <c r="S317" s="22" t="str">
        <f ca="1">IF(A317="","",IF(OR(P317="Pagada",R317=0),"Pagada",IF(O317&lt;TODAY(),"Vencida",IF(O317&lt;=TODAY()+Inicio!$B$19,"Próxima a vencer","Vigente"))))</f>
        <v/>
      </c>
      <c r="T317" s="18"/>
      <c r="U317" s="37" t="str">
        <f t="shared" si="35"/>
        <v/>
      </c>
      <c r="V317" s="37" t="str">
        <f t="shared" si="36"/>
        <v/>
      </c>
      <c r="W317" s="37" t="str">
        <f t="shared" si="37"/>
        <v/>
      </c>
      <c r="X317" s="37" t="str">
        <f t="shared" si="38"/>
        <v/>
      </c>
      <c r="Y317" s="37" t="str">
        <f>IF(OR($H317="",$J317=""),"",$J317*IFERROR(VLOOKUP($H317,Maestro_SKU!$A$2:$P$500,12,FALSE),1))</f>
        <v/>
      </c>
      <c r="Z317" s="37" t="str">
        <f t="shared" ca="1" si="39"/>
        <v/>
      </c>
    </row>
    <row r="318" spans="1:26" x14ac:dyDescent="0.35">
      <c r="A318" s="18"/>
      <c r="B318" s="26"/>
      <c r="C318" s="18"/>
      <c r="D318" s="18"/>
      <c r="E318" s="22" t="str">
        <f>IFERROR(VLOOKUP(D318,Clientes_PDV!$A$2:$J$250,2,FALSE),"")</f>
        <v/>
      </c>
      <c r="F318" s="22" t="str">
        <f>IFERROR(VLOOKUP(D318,Clientes_PDV!$A$2:$J$250,3,FALSE),"")</f>
        <v/>
      </c>
      <c r="G318" s="22" t="str">
        <f>IFERROR(VLOOKUP(D318,Clientes_PDV!$A$2:$J$250,4,FALSE),"")</f>
        <v/>
      </c>
      <c r="H318" s="18"/>
      <c r="I318" s="22" t="str">
        <f>IFERROR(VLOOKUP(H318,Maestro_SKU!$A$2:$P$500,2,FALSE),"")</f>
        <v/>
      </c>
      <c r="J318" s="27"/>
      <c r="K318" s="19"/>
      <c r="L318" s="23" t="str">
        <f t="shared" si="32"/>
        <v/>
      </c>
      <c r="M318" s="23" t="str">
        <f>IF(L318="","",L318*Inicio!$B$13)</f>
        <v/>
      </c>
      <c r="N318" s="23" t="str">
        <f t="shared" si="33"/>
        <v/>
      </c>
      <c r="O318" s="26"/>
      <c r="P318" s="18"/>
      <c r="Q318" s="19"/>
      <c r="R318" s="23" t="str">
        <f t="shared" si="34"/>
        <v/>
      </c>
      <c r="S318" s="22" t="str">
        <f ca="1">IF(A318="","",IF(OR(P318="Pagada",R318=0),"Pagada",IF(O318&lt;TODAY(),"Vencida",IF(O318&lt;=TODAY()+Inicio!$B$19,"Próxima a vencer","Vigente"))))</f>
        <v/>
      </c>
      <c r="T318" s="18"/>
      <c r="U318" s="37" t="str">
        <f t="shared" si="35"/>
        <v/>
      </c>
      <c r="V318" s="37" t="str">
        <f t="shared" si="36"/>
        <v/>
      </c>
      <c r="W318" s="37" t="str">
        <f t="shared" si="37"/>
        <v/>
      </c>
      <c r="X318" s="37" t="str">
        <f t="shared" si="38"/>
        <v/>
      </c>
      <c r="Y318" s="37" t="str">
        <f>IF(OR($H318="",$J318=""),"",$J318*IFERROR(VLOOKUP($H318,Maestro_SKU!$A$2:$P$500,12,FALSE),1))</f>
        <v/>
      </c>
      <c r="Z318" s="37" t="str">
        <f t="shared" ca="1" si="39"/>
        <v/>
      </c>
    </row>
    <row r="319" spans="1:26" x14ac:dyDescent="0.35">
      <c r="A319" s="18"/>
      <c r="B319" s="26"/>
      <c r="C319" s="18"/>
      <c r="D319" s="18"/>
      <c r="E319" s="22" t="str">
        <f>IFERROR(VLOOKUP(D319,Clientes_PDV!$A$2:$J$250,2,FALSE),"")</f>
        <v/>
      </c>
      <c r="F319" s="22" t="str">
        <f>IFERROR(VLOOKUP(D319,Clientes_PDV!$A$2:$J$250,3,FALSE),"")</f>
        <v/>
      </c>
      <c r="G319" s="22" t="str">
        <f>IFERROR(VLOOKUP(D319,Clientes_PDV!$A$2:$J$250,4,FALSE),"")</f>
        <v/>
      </c>
      <c r="H319" s="18"/>
      <c r="I319" s="22" t="str">
        <f>IFERROR(VLOOKUP(H319,Maestro_SKU!$A$2:$P$500,2,FALSE),"")</f>
        <v/>
      </c>
      <c r="J319" s="27"/>
      <c r="K319" s="19"/>
      <c r="L319" s="23" t="str">
        <f t="shared" si="32"/>
        <v/>
      </c>
      <c r="M319" s="23" t="str">
        <f>IF(L319="","",L319*Inicio!$B$13)</f>
        <v/>
      </c>
      <c r="N319" s="23" t="str">
        <f t="shared" si="33"/>
        <v/>
      </c>
      <c r="O319" s="26"/>
      <c r="P319" s="18"/>
      <c r="Q319" s="19"/>
      <c r="R319" s="23" t="str">
        <f t="shared" si="34"/>
        <v/>
      </c>
      <c r="S319" s="22" t="str">
        <f ca="1">IF(A319="","",IF(OR(P319="Pagada",R319=0),"Pagada",IF(O319&lt;TODAY(),"Vencida",IF(O319&lt;=TODAY()+Inicio!$B$19,"Próxima a vencer","Vigente"))))</f>
        <v/>
      </c>
      <c r="T319" s="18"/>
      <c r="U319" s="37" t="str">
        <f t="shared" si="35"/>
        <v/>
      </c>
      <c r="V319" s="37" t="str">
        <f t="shared" si="36"/>
        <v/>
      </c>
      <c r="W319" s="37" t="str">
        <f t="shared" si="37"/>
        <v/>
      </c>
      <c r="X319" s="37" t="str">
        <f t="shared" si="38"/>
        <v/>
      </c>
      <c r="Y319" s="37" t="str">
        <f>IF(OR($H319="",$J319=""),"",$J319*IFERROR(VLOOKUP($H319,Maestro_SKU!$A$2:$P$500,12,FALSE),1))</f>
        <v/>
      </c>
      <c r="Z319" s="37" t="str">
        <f t="shared" ca="1" si="39"/>
        <v/>
      </c>
    </row>
    <row r="320" spans="1:26" x14ac:dyDescent="0.35">
      <c r="A320" s="18"/>
      <c r="B320" s="26"/>
      <c r="C320" s="18"/>
      <c r="D320" s="18"/>
      <c r="E320" s="22" t="str">
        <f>IFERROR(VLOOKUP(D320,Clientes_PDV!$A$2:$J$250,2,FALSE),"")</f>
        <v/>
      </c>
      <c r="F320" s="22" t="str">
        <f>IFERROR(VLOOKUP(D320,Clientes_PDV!$A$2:$J$250,3,FALSE),"")</f>
        <v/>
      </c>
      <c r="G320" s="22" t="str">
        <f>IFERROR(VLOOKUP(D320,Clientes_PDV!$A$2:$J$250,4,FALSE),"")</f>
        <v/>
      </c>
      <c r="H320" s="18"/>
      <c r="I320" s="22" t="str">
        <f>IFERROR(VLOOKUP(H320,Maestro_SKU!$A$2:$P$500,2,FALSE),"")</f>
        <v/>
      </c>
      <c r="J320" s="27"/>
      <c r="K320" s="19"/>
      <c r="L320" s="23" t="str">
        <f t="shared" si="32"/>
        <v/>
      </c>
      <c r="M320" s="23" t="str">
        <f>IF(L320="","",L320*Inicio!$B$13)</f>
        <v/>
      </c>
      <c r="N320" s="23" t="str">
        <f t="shared" si="33"/>
        <v/>
      </c>
      <c r="O320" s="26"/>
      <c r="P320" s="18"/>
      <c r="Q320" s="19"/>
      <c r="R320" s="23" t="str">
        <f t="shared" si="34"/>
        <v/>
      </c>
      <c r="S320" s="22" t="str">
        <f ca="1">IF(A320="","",IF(OR(P320="Pagada",R320=0),"Pagada",IF(O320&lt;TODAY(),"Vencida",IF(O320&lt;=TODAY()+Inicio!$B$19,"Próxima a vencer","Vigente"))))</f>
        <v/>
      </c>
      <c r="T320" s="18"/>
      <c r="U320" s="37" t="str">
        <f t="shared" si="35"/>
        <v/>
      </c>
      <c r="V320" s="37" t="str">
        <f t="shared" si="36"/>
        <v/>
      </c>
      <c r="W320" s="37" t="str">
        <f t="shared" si="37"/>
        <v/>
      </c>
      <c r="X320" s="37" t="str">
        <f t="shared" si="38"/>
        <v/>
      </c>
      <c r="Y320" s="37" t="str">
        <f>IF(OR($H320="",$J320=""),"",$J320*IFERROR(VLOOKUP($H320,Maestro_SKU!$A$2:$P$500,12,FALSE),1))</f>
        <v/>
      </c>
      <c r="Z320" s="37" t="str">
        <f t="shared" ca="1" si="39"/>
        <v/>
      </c>
    </row>
    <row r="321" spans="1:26" x14ac:dyDescent="0.35">
      <c r="A321" s="18"/>
      <c r="B321" s="26"/>
      <c r="C321" s="18"/>
      <c r="D321" s="18"/>
      <c r="E321" s="22" t="str">
        <f>IFERROR(VLOOKUP(D321,Clientes_PDV!$A$2:$J$250,2,FALSE),"")</f>
        <v/>
      </c>
      <c r="F321" s="22" t="str">
        <f>IFERROR(VLOOKUP(D321,Clientes_PDV!$A$2:$J$250,3,FALSE),"")</f>
        <v/>
      </c>
      <c r="G321" s="22" t="str">
        <f>IFERROR(VLOOKUP(D321,Clientes_PDV!$A$2:$J$250,4,FALSE),"")</f>
        <v/>
      </c>
      <c r="H321" s="18"/>
      <c r="I321" s="22" t="str">
        <f>IFERROR(VLOOKUP(H321,Maestro_SKU!$A$2:$P$500,2,FALSE),"")</f>
        <v/>
      </c>
      <c r="J321" s="27"/>
      <c r="K321" s="19"/>
      <c r="L321" s="23" t="str">
        <f t="shared" si="32"/>
        <v/>
      </c>
      <c r="M321" s="23" t="str">
        <f>IF(L321="","",L321*Inicio!$B$13)</f>
        <v/>
      </c>
      <c r="N321" s="23" t="str">
        <f t="shared" si="33"/>
        <v/>
      </c>
      <c r="O321" s="26"/>
      <c r="P321" s="18"/>
      <c r="Q321" s="19"/>
      <c r="R321" s="23" t="str">
        <f t="shared" si="34"/>
        <v/>
      </c>
      <c r="S321" s="22" t="str">
        <f ca="1">IF(A321="","",IF(OR(P321="Pagada",R321=0),"Pagada",IF(O321&lt;TODAY(),"Vencida",IF(O321&lt;=TODAY()+Inicio!$B$19,"Próxima a vencer","Vigente"))))</f>
        <v/>
      </c>
      <c r="T321" s="18"/>
      <c r="U321" s="37" t="str">
        <f t="shared" si="35"/>
        <v/>
      </c>
      <c r="V321" s="37" t="str">
        <f t="shared" si="36"/>
        <v/>
      </c>
      <c r="W321" s="37" t="str">
        <f t="shared" si="37"/>
        <v/>
      </c>
      <c r="X321" s="37" t="str">
        <f t="shared" si="38"/>
        <v/>
      </c>
      <c r="Y321" s="37" t="str">
        <f>IF(OR($H321="",$J321=""),"",$J321*IFERROR(VLOOKUP($H321,Maestro_SKU!$A$2:$P$500,12,FALSE),1))</f>
        <v/>
      </c>
      <c r="Z321" s="37" t="str">
        <f t="shared" ca="1" si="39"/>
        <v/>
      </c>
    </row>
    <row r="322" spans="1:26" x14ac:dyDescent="0.35">
      <c r="A322" s="18"/>
      <c r="B322" s="26"/>
      <c r="C322" s="18"/>
      <c r="D322" s="18"/>
      <c r="E322" s="22" t="str">
        <f>IFERROR(VLOOKUP(D322,Clientes_PDV!$A$2:$J$250,2,FALSE),"")</f>
        <v/>
      </c>
      <c r="F322" s="22" t="str">
        <f>IFERROR(VLOOKUP(D322,Clientes_PDV!$A$2:$J$250,3,FALSE),"")</f>
        <v/>
      </c>
      <c r="G322" s="22" t="str">
        <f>IFERROR(VLOOKUP(D322,Clientes_PDV!$A$2:$J$250,4,FALSE),"")</f>
        <v/>
      </c>
      <c r="H322" s="18"/>
      <c r="I322" s="22" t="str">
        <f>IFERROR(VLOOKUP(H322,Maestro_SKU!$A$2:$P$500,2,FALSE),"")</f>
        <v/>
      </c>
      <c r="J322" s="27"/>
      <c r="K322" s="19"/>
      <c r="L322" s="23" t="str">
        <f t="shared" ref="L322:L385" si="40">IF(OR(J322="",K322=""),"",J322*K322)</f>
        <v/>
      </c>
      <c r="M322" s="23" t="str">
        <f>IF(L322="","",L322*Inicio!$B$13)</f>
        <v/>
      </c>
      <c r="N322" s="23" t="str">
        <f t="shared" ref="N322:N385" si="41">IF(L322="","",L322+M322)</f>
        <v/>
      </c>
      <c r="O322" s="26"/>
      <c r="P322" s="18"/>
      <c r="Q322" s="19"/>
      <c r="R322" s="23" t="str">
        <f t="shared" ref="R322:R385" si="42">IF(N322="","",MAX(N322-Q322,0))</f>
        <v/>
      </c>
      <c r="S322" s="22" t="str">
        <f ca="1">IF(A322="","",IF(OR(P322="Pagada",R322=0),"Pagada",IF(O322&lt;TODAY(),"Vencida",IF(O322&lt;=TODAY()+Inicio!$B$19,"Próxima a vencer","Vigente"))))</f>
        <v/>
      </c>
      <c r="T322" s="18"/>
      <c r="U322" s="37" t="str">
        <f t="shared" ref="U322:U385" si="43">IF($B322="","",YEAR($B322))</f>
        <v/>
      </c>
      <c r="V322" s="37" t="str">
        <f t="shared" ref="V322:V385" si="44">IF($B322="","",MONTH($B322))</f>
        <v/>
      </c>
      <c r="W322" s="37" t="str">
        <f t="shared" ref="W322:W385" si="45">IF($B322="","",DAY($B322))</f>
        <v/>
      </c>
      <c r="X322" s="37" t="str">
        <f t="shared" ref="X322:X385" si="46">IF($B322="","",YEAR($B322)&amp;"-"&amp;TEXT(MONTH($B322),"00"))</f>
        <v/>
      </c>
      <c r="Y322" s="37" t="str">
        <f>IF(OR($H322="",$J322=""),"",$J322*IFERROR(VLOOKUP($H322,Maestro_SKU!$A$2:$P$500,12,FALSE),1))</f>
        <v/>
      </c>
      <c r="Z322" s="37" t="str">
        <f t="shared" ref="Z322:Z385" ca="1" si="47">IF(OR($A322="",$O322="",$S322="Pagada"),"",$O322-TODAY())</f>
        <v/>
      </c>
    </row>
    <row r="323" spans="1:26" x14ac:dyDescent="0.35">
      <c r="A323" s="18"/>
      <c r="B323" s="26"/>
      <c r="C323" s="18"/>
      <c r="D323" s="18"/>
      <c r="E323" s="22" t="str">
        <f>IFERROR(VLOOKUP(D323,Clientes_PDV!$A$2:$J$250,2,FALSE),"")</f>
        <v/>
      </c>
      <c r="F323" s="22" t="str">
        <f>IFERROR(VLOOKUP(D323,Clientes_PDV!$A$2:$J$250,3,FALSE),"")</f>
        <v/>
      </c>
      <c r="G323" s="22" t="str">
        <f>IFERROR(VLOOKUP(D323,Clientes_PDV!$A$2:$J$250,4,FALSE),"")</f>
        <v/>
      </c>
      <c r="H323" s="18"/>
      <c r="I323" s="22" t="str">
        <f>IFERROR(VLOOKUP(H323,Maestro_SKU!$A$2:$P$500,2,FALSE),"")</f>
        <v/>
      </c>
      <c r="J323" s="27"/>
      <c r="K323" s="19"/>
      <c r="L323" s="23" t="str">
        <f t="shared" si="40"/>
        <v/>
      </c>
      <c r="M323" s="23" t="str">
        <f>IF(L323="","",L323*Inicio!$B$13)</f>
        <v/>
      </c>
      <c r="N323" s="23" t="str">
        <f t="shared" si="41"/>
        <v/>
      </c>
      <c r="O323" s="26"/>
      <c r="P323" s="18"/>
      <c r="Q323" s="19"/>
      <c r="R323" s="23" t="str">
        <f t="shared" si="42"/>
        <v/>
      </c>
      <c r="S323" s="22" t="str">
        <f ca="1">IF(A323="","",IF(OR(P323="Pagada",R323=0),"Pagada",IF(O323&lt;TODAY(),"Vencida",IF(O323&lt;=TODAY()+Inicio!$B$19,"Próxima a vencer","Vigente"))))</f>
        <v/>
      </c>
      <c r="T323" s="18"/>
      <c r="U323" s="37" t="str">
        <f t="shared" si="43"/>
        <v/>
      </c>
      <c r="V323" s="37" t="str">
        <f t="shared" si="44"/>
        <v/>
      </c>
      <c r="W323" s="37" t="str">
        <f t="shared" si="45"/>
        <v/>
      </c>
      <c r="X323" s="37" t="str">
        <f t="shared" si="46"/>
        <v/>
      </c>
      <c r="Y323" s="37" t="str">
        <f>IF(OR($H323="",$J323=""),"",$J323*IFERROR(VLOOKUP($H323,Maestro_SKU!$A$2:$P$500,12,FALSE),1))</f>
        <v/>
      </c>
      <c r="Z323" s="37" t="str">
        <f t="shared" ca="1" si="47"/>
        <v/>
      </c>
    </row>
    <row r="324" spans="1:26" x14ac:dyDescent="0.35">
      <c r="A324" s="18"/>
      <c r="B324" s="26"/>
      <c r="C324" s="18"/>
      <c r="D324" s="18"/>
      <c r="E324" s="22" t="str">
        <f>IFERROR(VLOOKUP(D324,Clientes_PDV!$A$2:$J$250,2,FALSE),"")</f>
        <v/>
      </c>
      <c r="F324" s="22" t="str">
        <f>IFERROR(VLOOKUP(D324,Clientes_PDV!$A$2:$J$250,3,FALSE),"")</f>
        <v/>
      </c>
      <c r="G324" s="22" t="str">
        <f>IFERROR(VLOOKUP(D324,Clientes_PDV!$A$2:$J$250,4,FALSE),"")</f>
        <v/>
      </c>
      <c r="H324" s="18"/>
      <c r="I324" s="22" t="str">
        <f>IFERROR(VLOOKUP(H324,Maestro_SKU!$A$2:$P$500,2,FALSE),"")</f>
        <v/>
      </c>
      <c r="J324" s="27"/>
      <c r="K324" s="19"/>
      <c r="L324" s="23" t="str">
        <f t="shared" si="40"/>
        <v/>
      </c>
      <c r="M324" s="23" t="str">
        <f>IF(L324="","",L324*Inicio!$B$13)</f>
        <v/>
      </c>
      <c r="N324" s="23" t="str">
        <f t="shared" si="41"/>
        <v/>
      </c>
      <c r="O324" s="26"/>
      <c r="P324" s="18"/>
      <c r="Q324" s="19"/>
      <c r="R324" s="23" t="str">
        <f t="shared" si="42"/>
        <v/>
      </c>
      <c r="S324" s="22" t="str">
        <f ca="1">IF(A324="","",IF(OR(P324="Pagada",R324=0),"Pagada",IF(O324&lt;TODAY(),"Vencida",IF(O324&lt;=TODAY()+Inicio!$B$19,"Próxima a vencer","Vigente"))))</f>
        <v/>
      </c>
      <c r="T324" s="18"/>
      <c r="U324" s="37" t="str">
        <f t="shared" si="43"/>
        <v/>
      </c>
      <c r="V324" s="37" t="str">
        <f t="shared" si="44"/>
        <v/>
      </c>
      <c r="W324" s="37" t="str">
        <f t="shared" si="45"/>
        <v/>
      </c>
      <c r="X324" s="37" t="str">
        <f t="shared" si="46"/>
        <v/>
      </c>
      <c r="Y324" s="37" t="str">
        <f>IF(OR($H324="",$J324=""),"",$J324*IFERROR(VLOOKUP($H324,Maestro_SKU!$A$2:$P$500,12,FALSE),1))</f>
        <v/>
      </c>
      <c r="Z324" s="37" t="str">
        <f t="shared" ca="1" si="47"/>
        <v/>
      </c>
    </row>
    <row r="325" spans="1:26" x14ac:dyDescent="0.35">
      <c r="A325" s="18"/>
      <c r="B325" s="26"/>
      <c r="C325" s="18"/>
      <c r="D325" s="18"/>
      <c r="E325" s="22" t="str">
        <f>IFERROR(VLOOKUP(D325,Clientes_PDV!$A$2:$J$250,2,FALSE),"")</f>
        <v/>
      </c>
      <c r="F325" s="22" t="str">
        <f>IFERROR(VLOOKUP(D325,Clientes_PDV!$A$2:$J$250,3,FALSE),"")</f>
        <v/>
      </c>
      <c r="G325" s="22" t="str">
        <f>IFERROR(VLOOKUP(D325,Clientes_PDV!$A$2:$J$250,4,FALSE),"")</f>
        <v/>
      </c>
      <c r="H325" s="18"/>
      <c r="I325" s="22" t="str">
        <f>IFERROR(VLOOKUP(H325,Maestro_SKU!$A$2:$P$500,2,FALSE),"")</f>
        <v/>
      </c>
      <c r="J325" s="27"/>
      <c r="K325" s="19"/>
      <c r="L325" s="23" t="str">
        <f t="shared" si="40"/>
        <v/>
      </c>
      <c r="M325" s="23" t="str">
        <f>IF(L325="","",L325*Inicio!$B$13)</f>
        <v/>
      </c>
      <c r="N325" s="23" t="str">
        <f t="shared" si="41"/>
        <v/>
      </c>
      <c r="O325" s="26"/>
      <c r="P325" s="18"/>
      <c r="Q325" s="19"/>
      <c r="R325" s="23" t="str">
        <f t="shared" si="42"/>
        <v/>
      </c>
      <c r="S325" s="22" t="str">
        <f ca="1">IF(A325="","",IF(OR(P325="Pagada",R325=0),"Pagada",IF(O325&lt;TODAY(),"Vencida",IF(O325&lt;=TODAY()+Inicio!$B$19,"Próxima a vencer","Vigente"))))</f>
        <v/>
      </c>
      <c r="T325" s="18"/>
      <c r="U325" s="37" t="str">
        <f t="shared" si="43"/>
        <v/>
      </c>
      <c r="V325" s="37" t="str">
        <f t="shared" si="44"/>
        <v/>
      </c>
      <c r="W325" s="37" t="str">
        <f t="shared" si="45"/>
        <v/>
      </c>
      <c r="X325" s="37" t="str">
        <f t="shared" si="46"/>
        <v/>
      </c>
      <c r="Y325" s="37" t="str">
        <f>IF(OR($H325="",$J325=""),"",$J325*IFERROR(VLOOKUP($H325,Maestro_SKU!$A$2:$P$500,12,FALSE),1))</f>
        <v/>
      </c>
      <c r="Z325" s="37" t="str">
        <f t="shared" ca="1" si="47"/>
        <v/>
      </c>
    </row>
    <row r="326" spans="1:26" x14ac:dyDescent="0.35">
      <c r="A326" s="18"/>
      <c r="B326" s="26"/>
      <c r="C326" s="18"/>
      <c r="D326" s="18"/>
      <c r="E326" s="22" t="str">
        <f>IFERROR(VLOOKUP(D326,Clientes_PDV!$A$2:$J$250,2,FALSE),"")</f>
        <v/>
      </c>
      <c r="F326" s="22" t="str">
        <f>IFERROR(VLOOKUP(D326,Clientes_PDV!$A$2:$J$250,3,FALSE),"")</f>
        <v/>
      </c>
      <c r="G326" s="22" t="str">
        <f>IFERROR(VLOOKUP(D326,Clientes_PDV!$A$2:$J$250,4,FALSE),"")</f>
        <v/>
      </c>
      <c r="H326" s="18"/>
      <c r="I326" s="22" t="str">
        <f>IFERROR(VLOOKUP(H326,Maestro_SKU!$A$2:$P$500,2,FALSE),"")</f>
        <v/>
      </c>
      <c r="J326" s="27"/>
      <c r="K326" s="19"/>
      <c r="L326" s="23" t="str">
        <f t="shared" si="40"/>
        <v/>
      </c>
      <c r="M326" s="23" t="str">
        <f>IF(L326="","",L326*Inicio!$B$13)</f>
        <v/>
      </c>
      <c r="N326" s="23" t="str">
        <f t="shared" si="41"/>
        <v/>
      </c>
      <c r="O326" s="26"/>
      <c r="P326" s="18"/>
      <c r="Q326" s="19"/>
      <c r="R326" s="23" t="str">
        <f t="shared" si="42"/>
        <v/>
      </c>
      <c r="S326" s="22" t="str">
        <f ca="1">IF(A326="","",IF(OR(P326="Pagada",R326=0),"Pagada",IF(O326&lt;TODAY(),"Vencida",IF(O326&lt;=TODAY()+Inicio!$B$19,"Próxima a vencer","Vigente"))))</f>
        <v/>
      </c>
      <c r="T326" s="18"/>
      <c r="U326" s="37" t="str">
        <f t="shared" si="43"/>
        <v/>
      </c>
      <c r="V326" s="37" t="str">
        <f t="shared" si="44"/>
        <v/>
      </c>
      <c r="W326" s="37" t="str">
        <f t="shared" si="45"/>
        <v/>
      </c>
      <c r="X326" s="37" t="str">
        <f t="shared" si="46"/>
        <v/>
      </c>
      <c r="Y326" s="37" t="str">
        <f>IF(OR($H326="",$J326=""),"",$J326*IFERROR(VLOOKUP($H326,Maestro_SKU!$A$2:$P$500,12,FALSE),1))</f>
        <v/>
      </c>
      <c r="Z326" s="37" t="str">
        <f t="shared" ca="1" si="47"/>
        <v/>
      </c>
    </row>
    <row r="327" spans="1:26" x14ac:dyDescent="0.35">
      <c r="A327" s="18"/>
      <c r="B327" s="26"/>
      <c r="C327" s="18"/>
      <c r="D327" s="18"/>
      <c r="E327" s="22" t="str">
        <f>IFERROR(VLOOKUP(D327,Clientes_PDV!$A$2:$J$250,2,FALSE),"")</f>
        <v/>
      </c>
      <c r="F327" s="22" t="str">
        <f>IFERROR(VLOOKUP(D327,Clientes_PDV!$A$2:$J$250,3,FALSE),"")</f>
        <v/>
      </c>
      <c r="G327" s="22" t="str">
        <f>IFERROR(VLOOKUP(D327,Clientes_PDV!$A$2:$J$250,4,FALSE),"")</f>
        <v/>
      </c>
      <c r="H327" s="18"/>
      <c r="I327" s="22" t="str">
        <f>IFERROR(VLOOKUP(H327,Maestro_SKU!$A$2:$P$500,2,FALSE),"")</f>
        <v/>
      </c>
      <c r="J327" s="27"/>
      <c r="K327" s="19"/>
      <c r="L327" s="23" t="str">
        <f t="shared" si="40"/>
        <v/>
      </c>
      <c r="M327" s="23" t="str">
        <f>IF(L327="","",L327*Inicio!$B$13)</f>
        <v/>
      </c>
      <c r="N327" s="23" t="str">
        <f t="shared" si="41"/>
        <v/>
      </c>
      <c r="O327" s="26"/>
      <c r="P327" s="18"/>
      <c r="Q327" s="19"/>
      <c r="R327" s="23" t="str">
        <f t="shared" si="42"/>
        <v/>
      </c>
      <c r="S327" s="22" t="str">
        <f ca="1">IF(A327="","",IF(OR(P327="Pagada",R327=0),"Pagada",IF(O327&lt;TODAY(),"Vencida",IF(O327&lt;=TODAY()+Inicio!$B$19,"Próxima a vencer","Vigente"))))</f>
        <v/>
      </c>
      <c r="T327" s="18"/>
      <c r="U327" s="37" t="str">
        <f t="shared" si="43"/>
        <v/>
      </c>
      <c r="V327" s="37" t="str">
        <f t="shared" si="44"/>
        <v/>
      </c>
      <c r="W327" s="37" t="str">
        <f t="shared" si="45"/>
        <v/>
      </c>
      <c r="X327" s="37" t="str">
        <f t="shared" si="46"/>
        <v/>
      </c>
      <c r="Y327" s="37" t="str">
        <f>IF(OR($H327="",$J327=""),"",$J327*IFERROR(VLOOKUP($H327,Maestro_SKU!$A$2:$P$500,12,FALSE),1))</f>
        <v/>
      </c>
      <c r="Z327" s="37" t="str">
        <f t="shared" ca="1" si="47"/>
        <v/>
      </c>
    </row>
    <row r="328" spans="1:26" x14ac:dyDescent="0.35">
      <c r="A328" s="18"/>
      <c r="B328" s="26"/>
      <c r="C328" s="18"/>
      <c r="D328" s="18"/>
      <c r="E328" s="22" t="str">
        <f>IFERROR(VLOOKUP(D328,Clientes_PDV!$A$2:$J$250,2,FALSE),"")</f>
        <v/>
      </c>
      <c r="F328" s="22" t="str">
        <f>IFERROR(VLOOKUP(D328,Clientes_PDV!$A$2:$J$250,3,FALSE),"")</f>
        <v/>
      </c>
      <c r="G328" s="22" t="str">
        <f>IFERROR(VLOOKUP(D328,Clientes_PDV!$A$2:$J$250,4,FALSE),"")</f>
        <v/>
      </c>
      <c r="H328" s="18"/>
      <c r="I328" s="22" t="str">
        <f>IFERROR(VLOOKUP(H328,Maestro_SKU!$A$2:$P$500,2,FALSE),"")</f>
        <v/>
      </c>
      <c r="J328" s="27"/>
      <c r="K328" s="19"/>
      <c r="L328" s="23" t="str">
        <f t="shared" si="40"/>
        <v/>
      </c>
      <c r="M328" s="23" t="str">
        <f>IF(L328="","",L328*Inicio!$B$13)</f>
        <v/>
      </c>
      <c r="N328" s="23" t="str">
        <f t="shared" si="41"/>
        <v/>
      </c>
      <c r="O328" s="26"/>
      <c r="P328" s="18"/>
      <c r="Q328" s="19"/>
      <c r="R328" s="23" t="str">
        <f t="shared" si="42"/>
        <v/>
      </c>
      <c r="S328" s="22" t="str">
        <f ca="1">IF(A328="","",IF(OR(P328="Pagada",R328=0),"Pagada",IF(O328&lt;TODAY(),"Vencida",IF(O328&lt;=TODAY()+Inicio!$B$19,"Próxima a vencer","Vigente"))))</f>
        <v/>
      </c>
      <c r="T328" s="18"/>
      <c r="U328" s="37" t="str">
        <f t="shared" si="43"/>
        <v/>
      </c>
      <c r="V328" s="37" t="str">
        <f t="shared" si="44"/>
        <v/>
      </c>
      <c r="W328" s="37" t="str">
        <f t="shared" si="45"/>
        <v/>
      </c>
      <c r="X328" s="37" t="str">
        <f t="shared" si="46"/>
        <v/>
      </c>
      <c r="Y328" s="37" t="str">
        <f>IF(OR($H328="",$J328=""),"",$J328*IFERROR(VLOOKUP($H328,Maestro_SKU!$A$2:$P$500,12,FALSE),1))</f>
        <v/>
      </c>
      <c r="Z328" s="37" t="str">
        <f t="shared" ca="1" si="47"/>
        <v/>
      </c>
    </row>
    <row r="329" spans="1:26" x14ac:dyDescent="0.35">
      <c r="A329" s="18"/>
      <c r="B329" s="26"/>
      <c r="C329" s="18"/>
      <c r="D329" s="18"/>
      <c r="E329" s="22" t="str">
        <f>IFERROR(VLOOKUP(D329,Clientes_PDV!$A$2:$J$250,2,FALSE),"")</f>
        <v/>
      </c>
      <c r="F329" s="22" t="str">
        <f>IFERROR(VLOOKUP(D329,Clientes_PDV!$A$2:$J$250,3,FALSE),"")</f>
        <v/>
      </c>
      <c r="G329" s="22" t="str">
        <f>IFERROR(VLOOKUP(D329,Clientes_PDV!$A$2:$J$250,4,FALSE),"")</f>
        <v/>
      </c>
      <c r="H329" s="18"/>
      <c r="I329" s="22" t="str">
        <f>IFERROR(VLOOKUP(H329,Maestro_SKU!$A$2:$P$500,2,FALSE),"")</f>
        <v/>
      </c>
      <c r="J329" s="27"/>
      <c r="K329" s="19"/>
      <c r="L329" s="23" t="str">
        <f t="shared" si="40"/>
        <v/>
      </c>
      <c r="M329" s="23" t="str">
        <f>IF(L329="","",L329*Inicio!$B$13)</f>
        <v/>
      </c>
      <c r="N329" s="23" t="str">
        <f t="shared" si="41"/>
        <v/>
      </c>
      <c r="O329" s="26"/>
      <c r="P329" s="18"/>
      <c r="Q329" s="19"/>
      <c r="R329" s="23" t="str">
        <f t="shared" si="42"/>
        <v/>
      </c>
      <c r="S329" s="22" t="str">
        <f ca="1">IF(A329="","",IF(OR(P329="Pagada",R329=0),"Pagada",IF(O329&lt;TODAY(),"Vencida",IF(O329&lt;=TODAY()+Inicio!$B$19,"Próxima a vencer","Vigente"))))</f>
        <v/>
      </c>
      <c r="T329" s="18"/>
      <c r="U329" s="37" t="str">
        <f t="shared" si="43"/>
        <v/>
      </c>
      <c r="V329" s="37" t="str">
        <f t="shared" si="44"/>
        <v/>
      </c>
      <c r="W329" s="37" t="str">
        <f t="shared" si="45"/>
        <v/>
      </c>
      <c r="X329" s="37" t="str">
        <f t="shared" si="46"/>
        <v/>
      </c>
      <c r="Y329" s="37" t="str">
        <f>IF(OR($H329="",$J329=""),"",$J329*IFERROR(VLOOKUP($H329,Maestro_SKU!$A$2:$P$500,12,FALSE),1))</f>
        <v/>
      </c>
      <c r="Z329" s="37" t="str">
        <f t="shared" ca="1" si="47"/>
        <v/>
      </c>
    </row>
    <row r="330" spans="1:26" x14ac:dyDescent="0.35">
      <c r="A330" s="18"/>
      <c r="B330" s="26"/>
      <c r="C330" s="18"/>
      <c r="D330" s="18"/>
      <c r="E330" s="22" t="str">
        <f>IFERROR(VLOOKUP(D330,Clientes_PDV!$A$2:$J$250,2,FALSE),"")</f>
        <v/>
      </c>
      <c r="F330" s="22" t="str">
        <f>IFERROR(VLOOKUP(D330,Clientes_PDV!$A$2:$J$250,3,FALSE),"")</f>
        <v/>
      </c>
      <c r="G330" s="22" t="str">
        <f>IFERROR(VLOOKUP(D330,Clientes_PDV!$A$2:$J$250,4,FALSE),"")</f>
        <v/>
      </c>
      <c r="H330" s="18"/>
      <c r="I330" s="22" t="str">
        <f>IFERROR(VLOOKUP(H330,Maestro_SKU!$A$2:$P$500,2,FALSE),"")</f>
        <v/>
      </c>
      <c r="J330" s="27"/>
      <c r="K330" s="19"/>
      <c r="L330" s="23" t="str">
        <f t="shared" si="40"/>
        <v/>
      </c>
      <c r="M330" s="23" t="str">
        <f>IF(L330="","",L330*Inicio!$B$13)</f>
        <v/>
      </c>
      <c r="N330" s="23" t="str">
        <f t="shared" si="41"/>
        <v/>
      </c>
      <c r="O330" s="26"/>
      <c r="P330" s="18"/>
      <c r="Q330" s="19"/>
      <c r="R330" s="23" t="str">
        <f t="shared" si="42"/>
        <v/>
      </c>
      <c r="S330" s="22" t="str">
        <f ca="1">IF(A330="","",IF(OR(P330="Pagada",R330=0),"Pagada",IF(O330&lt;TODAY(),"Vencida",IF(O330&lt;=TODAY()+Inicio!$B$19,"Próxima a vencer","Vigente"))))</f>
        <v/>
      </c>
      <c r="T330" s="18"/>
      <c r="U330" s="37" t="str">
        <f t="shared" si="43"/>
        <v/>
      </c>
      <c r="V330" s="37" t="str">
        <f t="shared" si="44"/>
        <v/>
      </c>
      <c r="W330" s="37" t="str">
        <f t="shared" si="45"/>
        <v/>
      </c>
      <c r="X330" s="37" t="str">
        <f t="shared" si="46"/>
        <v/>
      </c>
      <c r="Y330" s="37" t="str">
        <f>IF(OR($H330="",$J330=""),"",$J330*IFERROR(VLOOKUP($H330,Maestro_SKU!$A$2:$P$500,12,FALSE),1))</f>
        <v/>
      </c>
      <c r="Z330" s="37" t="str">
        <f t="shared" ca="1" si="47"/>
        <v/>
      </c>
    </row>
    <row r="331" spans="1:26" x14ac:dyDescent="0.35">
      <c r="A331" s="18"/>
      <c r="B331" s="26"/>
      <c r="C331" s="18"/>
      <c r="D331" s="18"/>
      <c r="E331" s="22" t="str">
        <f>IFERROR(VLOOKUP(D331,Clientes_PDV!$A$2:$J$250,2,FALSE),"")</f>
        <v/>
      </c>
      <c r="F331" s="22" t="str">
        <f>IFERROR(VLOOKUP(D331,Clientes_PDV!$A$2:$J$250,3,FALSE),"")</f>
        <v/>
      </c>
      <c r="G331" s="22" t="str">
        <f>IFERROR(VLOOKUP(D331,Clientes_PDV!$A$2:$J$250,4,FALSE),"")</f>
        <v/>
      </c>
      <c r="H331" s="18"/>
      <c r="I331" s="22" t="str">
        <f>IFERROR(VLOOKUP(H331,Maestro_SKU!$A$2:$P$500,2,FALSE),"")</f>
        <v/>
      </c>
      <c r="J331" s="27"/>
      <c r="K331" s="19"/>
      <c r="L331" s="23" t="str">
        <f t="shared" si="40"/>
        <v/>
      </c>
      <c r="M331" s="23" t="str">
        <f>IF(L331="","",L331*Inicio!$B$13)</f>
        <v/>
      </c>
      <c r="N331" s="23" t="str">
        <f t="shared" si="41"/>
        <v/>
      </c>
      <c r="O331" s="26"/>
      <c r="P331" s="18"/>
      <c r="Q331" s="19"/>
      <c r="R331" s="23" t="str">
        <f t="shared" si="42"/>
        <v/>
      </c>
      <c r="S331" s="22" t="str">
        <f ca="1">IF(A331="","",IF(OR(P331="Pagada",R331=0),"Pagada",IF(O331&lt;TODAY(),"Vencida",IF(O331&lt;=TODAY()+Inicio!$B$19,"Próxima a vencer","Vigente"))))</f>
        <v/>
      </c>
      <c r="T331" s="18"/>
      <c r="U331" s="37" t="str">
        <f t="shared" si="43"/>
        <v/>
      </c>
      <c r="V331" s="37" t="str">
        <f t="shared" si="44"/>
        <v/>
      </c>
      <c r="W331" s="37" t="str">
        <f t="shared" si="45"/>
        <v/>
      </c>
      <c r="X331" s="37" t="str">
        <f t="shared" si="46"/>
        <v/>
      </c>
      <c r="Y331" s="37" t="str">
        <f>IF(OR($H331="",$J331=""),"",$J331*IFERROR(VLOOKUP($H331,Maestro_SKU!$A$2:$P$500,12,FALSE),1))</f>
        <v/>
      </c>
      <c r="Z331" s="37" t="str">
        <f t="shared" ca="1" si="47"/>
        <v/>
      </c>
    </row>
    <row r="332" spans="1:26" x14ac:dyDescent="0.35">
      <c r="A332" s="18"/>
      <c r="B332" s="26"/>
      <c r="C332" s="18"/>
      <c r="D332" s="18"/>
      <c r="E332" s="22" t="str">
        <f>IFERROR(VLOOKUP(D332,Clientes_PDV!$A$2:$J$250,2,FALSE),"")</f>
        <v/>
      </c>
      <c r="F332" s="22" t="str">
        <f>IFERROR(VLOOKUP(D332,Clientes_PDV!$A$2:$J$250,3,FALSE),"")</f>
        <v/>
      </c>
      <c r="G332" s="22" t="str">
        <f>IFERROR(VLOOKUP(D332,Clientes_PDV!$A$2:$J$250,4,FALSE),"")</f>
        <v/>
      </c>
      <c r="H332" s="18"/>
      <c r="I332" s="22" t="str">
        <f>IFERROR(VLOOKUP(H332,Maestro_SKU!$A$2:$P$500,2,FALSE),"")</f>
        <v/>
      </c>
      <c r="J332" s="27"/>
      <c r="K332" s="19"/>
      <c r="L332" s="23" t="str">
        <f t="shared" si="40"/>
        <v/>
      </c>
      <c r="M332" s="23" t="str">
        <f>IF(L332="","",L332*Inicio!$B$13)</f>
        <v/>
      </c>
      <c r="N332" s="23" t="str">
        <f t="shared" si="41"/>
        <v/>
      </c>
      <c r="O332" s="26"/>
      <c r="P332" s="18"/>
      <c r="Q332" s="19"/>
      <c r="R332" s="23" t="str">
        <f t="shared" si="42"/>
        <v/>
      </c>
      <c r="S332" s="22" t="str">
        <f ca="1">IF(A332="","",IF(OR(P332="Pagada",R332=0),"Pagada",IF(O332&lt;TODAY(),"Vencida",IF(O332&lt;=TODAY()+Inicio!$B$19,"Próxima a vencer","Vigente"))))</f>
        <v/>
      </c>
      <c r="T332" s="18"/>
      <c r="U332" s="37" t="str">
        <f t="shared" si="43"/>
        <v/>
      </c>
      <c r="V332" s="37" t="str">
        <f t="shared" si="44"/>
        <v/>
      </c>
      <c r="W332" s="37" t="str">
        <f t="shared" si="45"/>
        <v/>
      </c>
      <c r="X332" s="37" t="str">
        <f t="shared" si="46"/>
        <v/>
      </c>
      <c r="Y332" s="37" t="str">
        <f>IF(OR($H332="",$J332=""),"",$J332*IFERROR(VLOOKUP($H332,Maestro_SKU!$A$2:$P$500,12,FALSE),1))</f>
        <v/>
      </c>
      <c r="Z332" s="37" t="str">
        <f t="shared" ca="1" si="47"/>
        <v/>
      </c>
    </row>
    <row r="333" spans="1:26" x14ac:dyDescent="0.35">
      <c r="A333" s="18"/>
      <c r="B333" s="26"/>
      <c r="C333" s="18"/>
      <c r="D333" s="18"/>
      <c r="E333" s="22" t="str">
        <f>IFERROR(VLOOKUP(D333,Clientes_PDV!$A$2:$J$250,2,FALSE),"")</f>
        <v/>
      </c>
      <c r="F333" s="22" t="str">
        <f>IFERROR(VLOOKUP(D333,Clientes_PDV!$A$2:$J$250,3,FALSE),"")</f>
        <v/>
      </c>
      <c r="G333" s="22" t="str">
        <f>IFERROR(VLOOKUP(D333,Clientes_PDV!$A$2:$J$250,4,FALSE),"")</f>
        <v/>
      </c>
      <c r="H333" s="18"/>
      <c r="I333" s="22" t="str">
        <f>IFERROR(VLOOKUP(H333,Maestro_SKU!$A$2:$P$500,2,FALSE),"")</f>
        <v/>
      </c>
      <c r="J333" s="27"/>
      <c r="K333" s="19"/>
      <c r="L333" s="23" t="str">
        <f t="shared" si="40"/>
        <v/>
      </c>
      <c r="M333" s="23" t="str">
        <f>IF(L333="","",L333*Inicio!$B$13)</f>
        <v/>
      </c>
      <c r="N333" s="23" t="str">
        <f t="shared" si="41"/>
        <v/>
      </c>
      <c r="O333" s="26"/>
      <c r="P333" s="18"/>
      <c r="Q333" s="19"/>
      <c r="R333" s="23" t="str">
        <f t="shared" si="42"/>
        <v/>
      </c>
      <c r="S333" s="22" t="str">
        <f ca="1">IF(A333="","",IF(OR(P333="Pagada",R333=0),"Pagada",IF(O333&lt;TODAY(),"Vencida",IF(O333&lt;=TODAY()+Inicio!$B$19,"Próxima a vencer","Vigente"))))</f>
        <v/>
      </c>
      <c r="T333" s="18"/>
      <c r="U333" s="37" t="str">
        <f t="shared" si="43"/>
        <v/>
      </c>
      <c r="V333" s="37" t="str">
        <f t="shared" si="44"/>
        <v/>
      </c>
      <c r="W333" s="37" t="str">
        <f t="shared" si="45"/>
        <v/>
      </c>
      <c r="X333" s="37" t="str">
        <f t="shared" si="46"/>
        <v/>
      </c>
      <c r="Y333" s="37" t="str">
        <f>IF(OR($H333="",$J333=""),"",$J333*IFERROR(VLOOKUP($H333,Maestro_SKU!$A$2:$P$500,12,FALSE),1))</f>
        <v/>
      </c>
      <c r="Z333" s="37" t="str">
        <f t="shared" ca="1" si="47"/>
        <v/>
      </c>
    </row>
    <row r="334" spans="1:26" x14ac:dyDescent="0.35">
      <c r="A334" s="18"/>
      <c r="B334" s="26"/>
      <c r="C334" s="18"/>
      <c r="D334" s="18"/>
      <c r="E334" s="22" t="str">
        <f>IFERROR(VLOOKUP(D334,Clientes_PDV!$A$2:$J$250,2,FALSE),"")</f>
        <v/>
      </c>
      <c r="F334" s="22" t="str">
        <f>IFERROR(VLOOKUP(D334,Clientes_PDV!$A$2:$J$250,3,FALSE),"")</f>
        <v/>
      </c>
      <c r="G334" s="22" t="str">
        <f>IFERROR(VLOOKUP(D334,Clientes_PDV!$A$2:$J$250,4,FALSE),"")</f>
        <v/>
      </c>
      <c r="H334" s="18"/>
      <c r="I334" s="22" t="str">
        <f>IFERROR(VLOOKUP(H334,Maestro_SKU!$A$2:$P$500,2,FALSE),"")</f>
        <v/>
      </c>
      <c r="J334" s="27"/>
      <c r="K334" s="19"/>
      <c r="L334" s="23" t="str">
        <f t="shared" si="40"/>
        <v/>
      </c>
      <c r="M334" s="23" t="str">
        <f>IF(L334="","",L334*Inicio!$B$13)</f>
        <v/>
      </c>
      <c r="N334" s="23" t="str">
        <f t="shared" si="41"/>
        <v/>
      </c>
      <c r="O334" s="26"/>
      <c r="P334" s="18"/>
      <c r="Q334" s="19"/>
      <c r="R334" s="23" t="str">
        <f t="shared" si="42"/>
        <v/>
      </c>
      <c r="S334" s="22" t="str">
        <f ca="1">IF(A334="","",IF(OR(P334="Pagada",R334=0),"Pagada",IF(O334&lt;TODAY(),"Vencida",IF(O334&lt;=TODAY()+Inicio!$B$19,"Próxima a vencer","Vigente"))))</f>
        <v/>
      </c>
      <c r="T334" s="18"/>
      <c r="U334" s="37" t="str">
        <f t="shared" si="43"/>
        <v/>
      </c>
      <c r="V334" s="37" t="str">
        <f t="shared" si="44"/>
        <v/>
      </c>
      <c r="W334" s="37" t="str">
        <f t="shared" si="45"/>
        <v/>
      </c>
      <c r="X334" s="37" t="str">
        <f t="shared" si="46"/>
        <v/>
      </c>
      <c r="Y334" s="37" t="str">
        <f>IF(OR($H334="",$J334=""),"",$J334*IFERROR(VLOOKUP($H334,Maestro_SKU!$A$2:$P$500,12,FALSE),1))</f>
        <v/>
      </c>
      <c r="Z334" s="37" t="str">
        <f t="shared" ca="1" si="47"/>
        <v/>
      </c>
    </row>
    <row r="335" spans="1:26" x14ac:dyDescent="0.35">
      <c r="A335" s="18"/>
      <c r="B335" s="26"/>
      <c r="C335" s="18"/>
      <c r="D335" s="18"/>
      <c r="E335" s="22" t="str">
        <f>IFERROR(VLOOKUP(D335,Clientes_PDV!$A$2:$J$250,2,FALSE),"")</f>
        <v/>
      </c>
      <c r="F335" s="22" t="str">
        <f>IFERROR(VLOOKUP(D335,Clientes_PDV!$A$2:$J$250,3,FALSE),"")</f>
        <v/>
      </c>
      <c r="G335" s="22" t="str">
        <f>IFERROR(VLOOKUP(D335,Clientes_PDV!$A$2:$J$250,4,FALSE),"")</f>
        <v/>
      </c>
      <c r="H335" s="18"/>
      <c r="I335" s="22" t="str">
        <f>IFERROR(VLOOKUP(H335,Maestro_SKU!$A$2:$P$500,2,FALSE),"")</f>
        <v/>
      </c>
      <c r="J335" s="27"/>
      <c r="K335" s="19"/>
      <c r="L335" s="23" t="str">
        <f t="shared" si="40"/>
        <v/>
      </c>
      <c r="M335" s="23" t="str">
        <f>IF(L335="","",L335*Inicio!$B$13)</f>
        <v/>
      </c>
      <c r="N335" s="23" t="str">
        <f t="shared" si="41"/>
        <v/>
      </c>
      <c r="O335" s="26"/>
      <c r="P335" s="18"/>
      <c r="Q335" s="19"/>
      <c r="R335" s="23" t="str">
        <f t="shared" si="42"/>
        <v/>
      </c>
      <c r="S335" s="22" t="str">
        <f ca="1">IF(A335="","",IF(OR(P335="Pagada",R335=0),"Pagada",IF(O335&lt;TODAY(),"Vencida",IF(O335&lt;=TODAY()+Inicio!$B$19,"Próxima a vencer","Vigente"))))</f>
        <v/>
      </c>
      <c r="T335" s="18"/>
      <c r="U335" s="37" t="str">
        <f t="shared" si="43"/>
        <v/>
      </c>
      <c r="V335" s="37" t="str">
        <f t="shared" si="44"/>
        <v/>
      </c>
      <c r="W335" s="37" t="str">
        <f t="shared" si="45"/>
        <v/>
      </c>
      <c r="X335" s="37" t="str">
        <f t="shared" si="46"/>
        <v/>
      </c>
      <c r="Y335" s="37" t="str">
        <f>IF(OR($H335="",$J335=""),"",$J335*IFERROR(VLOOKUP($H335,Maestro_SKU!$A$2:$P$500,12,FALSE),1))</f>
        <v/>
      </c>
      <c r="Z335" s="37" t="str">
        <f t="shared" ca="1" si="47"/>
        <v/>
      </c>
    </row>
    <row r="336" spans="1:26" x14ac:dyDescent="0.35">
      <c r="A336" s="18"/>
      <c r="B336" s="26"/>
      <c r="C336" s="18"/>
      <c r="D336" s="18"/>
      <c r="E336" s="22" t="str">
        <f>IFERROR(VLOOKUP(D336,Clientes_PDV!$A$2:$J$250,2,FALSE),"")</f>
        <v/>
      </c>
      <c r="F336" s="22" t="str">
        <f>IFERROR(VLOOKUP(D336,Clientes_PDV!$A$2:$J$250,3,FALSE),"")</f>
        <v/>
      </c>
      <c r="G336" s="22" t="str">
        <f>IFERROR(VLOOKUP(D336,Clientes_PDV!$A$2:$J$250,4,FALSE),"")</f>
        <v/>
      </c>
      <c r="H336" s="18"/>
      <c r="I336" s="22" t="str">
        <f>IFERROR(VLOOKUP(H336,Maestro_SKU!$A$2:$P$500,2,FALSE),"")</f>
        <v/>
      </c>
      <c r="J336" s="27"/>
      <c r="K336" s="19"/>
      <c r="L336" s="23" t="str">
        <f t="shared" si="40"/>
        <v/>
      </c>
      <c r="M336" s="23" t="str">
        <f>IF(L336="","",L336*Inicio!$B$13)</f>
        <v/>
      </c>
      <c r="N336" s="23" t="str">
        <f t="shared" si="41"/>
        <v/>
      </c>
      <c r="O336" s="26"/>
      <c r="P336" s="18"/>
      <c r="Q336" s="19"/>
      <c r="R336" s="23" t="str">
        <f t="shared" si="42"/>
        <v/>
      </c>
      <c r="S336" s="22" t="str">
        <f ca="1">IF(A336="","",IF(OR(P336="Pagada",R336=0),"Pagada",IF(O336&lt;TODAY(),"Vencida",IF(O336&lt;=TODAY()+Inicio!$B$19,"Próxima a vencer","Vigente"))))</f>
        <v/>
      </c>
      <c r="T336" s="18"/>
      <c r="U336" s="37" t="str">
        <f t="shared" si="43"/>
        <v/>
      </c>
      <c r="V336" s="37" t="str">
        <f t="shared" si="44"/>
        <v/>
      </c>
      <c r="W336" s="37" t="str">
        <f t="shared" si="45"/>
        <v/>
      </c>
      <c r="X336" s="37" t="str">
        <f t="shared" si="46"/>
        <v/>
      </c>
      <c r="Y336" s="37" t="str">
        <f>IF(OR($H336="",$J336=""),"",$J336*IFERROR(VLOOKUP($H336,Maestro_SKU!$A$2:$P$500,12,FALSE),1))</f>
        <v/>
      </c>
      <c r="Z336" s="37" t="str">
        <f t="shared" ca="1" si="47"/>
        <v/>
      </c>
    </row>
    <row r="337" spans="1:26" x14ac:dyDescent="0.35">
      <c r="A337" s="18"/>
      <c r="B337" s="26"/>
      <c r="C337" s="18"/>
      <c r="D337" s="18"/>
      <c r="E337" s="22" t="str">
        <f>IFERROR(VLOOKUP(D337,Clientes_PDV!$A$2:$J$250,2,FALSE),"")</f>
        <v/>
      </c>
      <c r="F337" s="22" t="str">
        <f>IFERROR(VLOOKUP(D337,Clientes_PDV!$A$2:$J$250,3,FALSE),"")</f>
        <v/>
      </c>
      <c r="G337" s="22" t="str">
        <f>IFERROR(VLOOKUP(D337,Clientes_PDV!$A$2:$J$250,4,FALSE),"")</f>
        <v/>
      </c>
      <c r="H337" s="18"/>
      <c r="I337" s="22" t="str">
        <f>IFERROR(VLOOKUP(H337,Maestro_SKU!$A$2:$P$500,2,FALSE),"")</f>
        <v/>
      </c>
      <c r="J337" s="27"/>
      <c r="K337" s="19"/>
      <c r="L337" s="23" t="str">
        <f t="shared" si="40"/>
        <v/>
      </c>
      <c r="M337" s="23" t="str">
        <f>IF(L337="","",L337*Inicio!$B$13)</f>
        <v/>
      </c>
      <c r="N337" s="23" t="str">
        <f t="shared" si="41"/>
        <v/>
      </c>
      <c r="O337" s="26"/>
      <c r="P337" s="18"/>
      <c r="Q337" s="19"/>
      <c r="R337" s="23" t="str">
        <f t="shared" si="42"/>
        <v/>
      </c>
      <c r="S337" s="22" t="str">
        <f ca="1">IF(A337="","",IF(OR(P337="Pagada",R337=0),"Pagada",IF(O337&lt;TODAY(),"Vencida",IF(O337&lt;=TODAY()+Inicio!$B$19,"Próxima a vencer","Vigente"))))</f>
        <v/>
      </c>
      <c r="T337" s="18"/>
      <c r="U337" s="37" t="str">
        <f t="shared" si="43"/>
        <v/>
      </c>
      <c r="V337" s="37" t="str">
        <f t="shared" si="44"/>
        <v/>
      </c>
      <c r="W337" s="37" t="str">
        <f t="shared" si="45"/>
        <v/>
      </c>
      <c r="X337" s="37" t="str">
        <f t="shared" si="46"/>
        <v/>
      </c>
      <c r="Y337" s="37" t="str">
        <f>IF(OR($H337="",$J337=""),"",$J337*IFERROR(VLOOKUP($H337,Maestro_SKU!$A$2:$P$500,12,FALSE),1))</f>
        <v/>
      </c>
      <c r="Z337" s="37" t="str">
        <f t="shared" ca="1" si="47"/>
        <v/>
      </c>
    </row>
    <row r="338" spans="1:26" x14ac:dyDescent="0.35">
      <c r="A338" s="18"/>
      <c r="B338" s="26"/>
      <c r="C338" s="18"/>
      <c r="D338" s="18"/>
      <c r="E338" s="22" t="str">
        <f>IFERROR(VLOOKUP(D338,Clientes_PDV!$A$2:$J$250,2,FALSE),"")</f>
        <v/>
      </c>
      <c r="F338" s="22" t="str">
        <f>IFERROR(VLOOKUP(D338,Clientes_PDV!$A$2:$J$250,3,FALSE),"")</f>
        <v/>
      </c>
      <c r="G338" s="22" t="str">
        <f>IFERROR(VLOOKUP(D338,Clientes_PDV!$A$2:$J$250,4,FALSE),"")</f>
        <v/>
      </c>
      <c r="H338" s="18"/>
      <c r="I338" s="22" t="str">
        <f>IFERROR(VLOOKUP(H338,Maestro_SKU!$A$2:$P$500,2,FALSE),"")</f>
        <v/>
      </c>
      <c r="J338" s="27"/>
      <c r="K338" s="19"/>
      <c r="L338" s="23" t="str">
        <f t="shared" si="40"/>
        <v/>
      </c>
      <c r="M338" s="23" t="str">
        <f>IF(L338="","",L338*Inicio!$B$13)</f>
        <v/>
      </c>
      <c r="N338" s="23" t="str">
        <f t="shared" si="41"/>
        <v/>
      </c>
      <c r="O338" s="26"/>
      <c r="P338" s="18"/>
      <c r="Q338" s="19"/>
      <c r="R338" s="23" t="str">
        <f t="shared" si="42"/>
        <v/>
      </c>
      <c r="S338" s="22" t="str">
        <f ca="1">IF(A338="","",IF(OR(P338="Pagada",R338=0),"Pagada",IF(O338&lt;TODAY(),"Vencida",IF(O338&lt;=TODAY()+Inicio!$B$19,"Próxima a vencer","Vigente"))))</f>
        <v/>
      </c>
      <c r="T338" s="18"/>
      <c r="U338" s="37" t="str">
        <f t="shared" si="43"/>
        <v/>
      </c>
      <c r="V338" s="37" t="str">
        <f t="shared" si="44"/>
        <v/>
      </c>
      <c r="W338" s="37" t="str">
        <f t="shared" si="45"/>
        <v/>
      </c>
      <c r="X338" s="37" t="str">
        <f t="shared" si="46"/>
        <v/>
      </c>
      <c r="Y338" s="37" t="str">
        <f>IF(OR($H338="",$J338=""),"",$J338*IFERROR(VLOOKUP($H338,Maestro_SKU!$A$2:$P$500,12,FALSE),1))</f>
        <v/>
      </c>
      <c r="Z338" s="37" t="str">
        <f t="shared" ca="1" si="47"/>
        <v/>
      </c>
    </row>
    <row r="339" spans="1:26" x14ac:dyDescent="0.35">
      <c r="A339" s="18"/>
      <c r="B339" s="26"/>
      <c r="C339" s="18"/>
      <c r="D339" s="18"/>
      <c r="E339" s="22" t="str">
        <f>IFERROR(VLOOKUP(D339,Clientes_PDV!$A$2:$J$250,2,FALSE),"")</f>
        <v/>
      </c>
      <c r="F339" s="22" t="str">
        <f>IFERROR(VLOOKUP(D339,Clientes_PDV!$A$2:$J$250,3,FALSE),"")</f>
        <v/>
      </c>
      <c r="G339" s="22" t="str">
        <f>IFERROR(VLOOKUP(D339,Clientes_PDV!$A$2:$J$250,4,FALSE),"")</f>
        <v/>
      </c>
      <c r="H339" s="18"/>
      <c r="I339" s="22" t="str">
        <f>IFERROR(VLOOKUP(H339,Maestro_SKU!$A$2:$P$500,2,FALSE),"")</f>
        <v/>
      </c>
      <c r="J339" s="27"/>
      <c r="K339" s="19"/>
      <c r="L339" s="23" t="str">
        <f t="shared" si="40"/>
        <v/>
      </c>
      <c r="M339" s="23" t="str">
        <f>IF(L339="","",L339*Inicio!$B$13)</f>
        <v/>
      </c>
      <c r="N339" s="23" t="str">
        <f t="shared" si="41"/>
        <v/>
      </c>
      <c r="O339" s="26"/>
      <c r="P339" s="18"/>
      <c r="Q339" s="19"/>
      <c r="R339" s="23" t="str">
        <f t="shared" si="42"/>
        <v/>
      </c>
      <c r="S339" s="22" t="str">
        <f ca="1">IF(A339="","",IF(OR(P339="Pagada",R339=0),"Pagada",IF(O339&lt;TODAY(),"Vencida",IF(O339&lt;=TODAY()+Inicio!$B$19,"Próxima a vencer","Vigente"))))</f>
        <v/>
      </c>
      <c r="T339" s="18"/>
      <c r="U339" s="37" t="str">
        <f t="shared" si="43"/>
        <v/>
      </c>
      <c r="V339" s="37" t="str">
        <f t="shared" si="44"/>
        <v/>
      </c>
      <c r="W339" s="37" t="str">
        <f t="shared" si="45"/>
        <v/>
      </c>
      <c r="X339" s="37" t="str">
        <f t="shared" si="46"/>
        <v/>
      </c>
      <c r="Y339" s="37" t="str">
        <f>IF(OR($H339="",$J339=""),"",$J339*IFERROR(VLOOKUP($H339,Maestro_SKU!$A$2:$P$500,12,FALSE),1))</f>
        <v/>
      </c>
      <c r="Z339" s="37" t="str">
        <f t="shared" ca="1" si="47"/>
        <v/>
      </c>
    </row>
    <row r="340" spans="1:26" x14ac:dyDescent="0.35">
      <c r="A340" s="18"/>
      <c r="B340" s="26"/>
      <c r="C340" s="18"/>
      <c r="D340" s="18"/>
      <c r="E340" s="22" t="str">
        <f>IFERROR(VLOOKUP(D340,Clientes_PDV!$A$2:$J$250,2,FALSE),"")</f>
        <v/>
      </c>
      <c r="F340" s="22" t="str">
        <f>IFERROR(VLOOKUP(D340,Clientes_PDV!$A$2:$J$250,3,FALSE),"")</f>
        <v/>
      </c>
      <c r="G340" s="22" t="str">
        <f>IFERROR(VLOOKUP(D340,Clientes_PDV!$A$2:$J$250,4,FALSE),"")</f>
        <v/>
      </c>
      <c r="H340" s="18"/>
      <c r="I340" s="22" t="str">
        <f>IFERROR(VLOOKUP(H340,Maestro_SKU!$A$2:$P$500,2,FALSE),"")</f>
        <v/>
      </c>
      <c r="J340" s="27"/>
      <c r="K340" s="19"/>
      <c r="L340" s="23" t="str">
        <f t="shared" si="40"/>
        <v/>
      </c>
      <c r="M340" s="23" t="str">
        <f>IF(L340="","",L340*Inicio!$B$13)</f>
        <v/>
      </c>
      <c r="N340" s="23" t="str">
        <f t="shared" si="41"/>
        <v/>
      </c>
      <c r="O340" s="26"/>
      <c r="P340" s="18"/>
      <c r="Q340" s="19"/>
      <c r="R340" s="23" t="str">
        <f t="shared" si="42"/>
        <v/>
      </c>
      <c r="S340" s="22" t="str">
        <f ca="1">IF(A340="","",IF(OR(P340="Pagada",R340=0),"Pagada",IF(O340&lt;TODAY(),"Vencida",IF(O340&lt;=TODAY()+Inicio!$B$19,"Próxima a vencer","Vigente"))))</f>
        <v/>
      </c>
      <c r="T340" s="18"/>
      <c r="U340" s="37" t="str">
        <f t="shared" si="43"/>
        <v/>
      </c>
      <c r="V340" s="37" t="str">
        <f t="shared" si="44"/>
        <v/>
      </c>
      <c r="W340" s="37" t="str">
        <f t="shared" si="45"/>
        <v/>
      </c>
      <c r="X340" s="37" t="str">
        <f t="shared" si="46"/>
        <v/>
      </c>
      <c r="Y340" s="37" t="str">
        <f>IF(OR($H340="",$J340=""),"",$J340*IFERROR(VLOOKUP($H340,Maestro_SKU!$A$2:$P$500,12,FALSE),1))</f>
        <v/>
      </c>
      <c r="Z340" s="37" t="str">
        <f t="shared" ca="1" si="47"/>
        <v/>
      </c>
    </row>
    <row r="341" spans="1:26" x14ac:dyDescent="0.35">
      <c r="A341" s="18"/>
      <c r="B341" s="26"/>
      <c r="C341" s="18"/>
      <c r="D341" s="18"/>
      <c r="E341" s="22" t="str">
        <f>IFERROR(VLOOKUP(D341,Clientes_PDV!$A$2:$J$250,2,FALSE),"")</f>
        <v/>
      </c>
      <c r="F341" s="22" t="str">
        <f>IFERROR(VLOOKUP(D341,Clientes_PDV!$A$2:$J$250,3,FALSE),"")</f>
        <v/>
      </c>
      <c r="G341" s="22" t="str">
        <f>IFERROR(VLOOKUP(D341,Clientes_PDV!$A$2:$J$250,4,FALSE),"")</f>
        <v/>
      </c>
      <c r="H341" s="18"/>
      <c r="I341" s="22" t="str">
        <f>IFERROR(VLOOKUP(H341,Maestro_SKU!$A$2:$P$500,2,FALSE),"")</f>
        <v/>
      </c>
      <c r="J341" s="27"/>
      <c r="K341" s="19"/>
      <c r="L341" s="23" t="str">
        <f t="shared" si="40"/>
        <v/>
      </c>
      <c r="M341" s="23" t="str">
        <f>IF(L341="","",L341*Inicio!$B$13)</f>
        <v/>
      </c>
      <c r="N341" s="23" t="str">
        <f t="shared" si="41"/>
        <v/>
      </c>
      <c r="O341" s="26"/>
      <c r="P341" s="18"/>
      <c r="Q341" s="19"/>
      <c r="R341" s="23" t="str">
        <f t="shared" si="42"/>
        <v/>
      </c>
      <c r="S341" s="22" t="str">
        <f ca="1">IF(A341="","",IF(OR(P341="Pagada",R341=0),"Pagada",IF(O341&lt;TODAY(),"Vencida",IF(O341&lt;=TODAY()+Inicio!$B$19,"Próxima a vencer","Vigente"))))</f>
        <v/>
      </c>
      <c r="T341" s="18"/>
      <c r="U341" s="37" t="str">
        <f t="shared" si="43"/>
        <v/>
      </c>
      <c r="V341" s="37" t="str">
        <f t="shared" si="44"/>
        <v/>
      </c>
      <c r="W341" s="37" t="str">
        <f t="shared" si="45"/>
        <v/>
      </c>
      <c r="X341" s="37" t="str">
        <f t="shared" si="46"/>
        <v/>
      </c>
      <c r="Y341" s="37" t="str">
        <f>IF(OR($H341="",$J341=""),"",$J341*IFERROR(VLOOKUP($H341,Maestro_SKU!$A$2:$P$500,12,FALSE),1))</f>
        <v/>
      </c>
      <c r="Z341" s="37" t="str">
        <f t="shared" ca="1" si="47"/>
        <v/>
      </c>
    </row>
    <row r="342" spans="1:26" x14ac:dyDescent="0.35">
      <c r="A342" s="18"/>
      <c r="B342" s="26"/>
      <c r="C342" s="18"/>
      <c r="D342" s="18"/>
      <c r="E342" s="22" t="str">
        <f>IFERROR(VLOOKUP(D342,Clientes_PDV!$A$2:$J$250,2,FALSE),"")</f>
        <v/>
      </c>
      <c r="F342" s="22" t="str">
        <f>IFERROR(VLOOKUP(D342,Clientes_PDV!$A$2:$J$250,3,FALSE),"")</f>
        <v/>
      </c>
      <c r="G342" s="22" t="str">
        <f>IFERROR(VLOOKUP(D342,Clientes_PDV!$A$2:$J$250,4,FALSE),"")</f>
        <v/>
      </c>
      <c r="H342" s="18"/>
      <c r="I342" s="22" t="str">
        <f>IFERROR(VLOOKUP(H342,Maestro_SKU!$A$2:$P$500,2,FALSE),"")</f>
        <v/>
      </c>
      <c r="J342" s="27"/>
      <c r="K342" s="19"/>
      <c r="L342" s="23" t="str">
        <f t="shared" si="40"/>
        <v/>
      </c>
      <c r="M342" s="23" t="str">
        <f>IF(L342="","",L342*Inicio!$B$13)</f>
        <v/>
      </c>
      <c r="N342" s="23" t="str">
        <f t="shared" si="41"/>
        <v/>
      </c>
      <c r="O342" s="26"/>
      <c r="P342" s="18"/>
      <c r="Q342" s="19"/>
      <c r="R342" s="23" t="str">
        <f t="shared" si="42"/>
        <v/>
      </c>
      <c r="S342" s="22" t="str">
        <f ca="1">IF(A342="","",IF(OR(P342="Pagada",R342=0),"Pagada",IF(O342&lt;TODAY(),"Vencida",IF(O342&lt;=TODAY()+Inicio!$B$19,"Próxima a vencer","Vigente"))))</f>
        <v/>
      </c>
      <c r="T342" s="18"/>
      <c r="U342" s="37" t="str">
        <f t="shared" si="43"/>
        <v/>
      </c>
      <c r="V342" s="37" t="str">
        <f t="shared" si="44"/>
        <v/>
      </c>
      <c r="W342" s="37" t="str">
        <f t="shared" si="45"/>
        <v/>
      </c>
      <c r="X342" s="37" t="str">
        <f t="shared" si="46"/>
        <v/>
      </c>
      <c r="Y342" s="37" t="str">
        <f>IF(OR($H342="",$J342=""),"",$J342*IFERROR(VLOOKUP($H342,Maestro_SKU!$A$2:$P$500,12,FALSE),1))</f>
        <v/>
      </c>
      <c r="Z342" s="37" t="str">
        <f t="shared" ca="1" si="47"/>
        <v/>
      </c>
    </row>
    <row r="343" spans="1:26" x14ac:dyDescent="0.35">
      <c r="A343" s="18"/>
      <c r="B343" s="26"/>
      <c r="C343" s="18"/>
      <c r="D343" s="18"/>
      <c r="E343" s="22" t="str">
        <f>IFERROR(VLOOKUP(D343,Clientes_PDV!$A$2:$J$250,2,FALSE),"")</f>
        <v/>
      </c>
      <c r="F343" s="22" t="str">
        <f>IFERROR(VLOOKUP(D343,Clientes_PDV!$A$2:$J$250,3,FALSE),"")</f>
        <v/>
      </c>
      <c r="G343" s="22" t="str">
        <f>IFERROR(VLOOKUP(D343,Clientes_PDV!$A$2:$J$250,4,FALSE),"")</f>
        <v/>
      </c>
      <c r="H343" s="18"/>
      <c r="I343" s="22" t="str">
        <f>IFERROR(VLOOKUP(H343,Maestro_SKU!$A$2:$P$500,2,FALSE),"")</f>
        <v/>
      </c>
      <c r="J343" s="27"/>
      <c r="K343" s="19"/>
      <c r="L343" s="23" t="str">
        <f t="shared" si="40"/>
        <v/>
      </c>
      <c r="M343" s="23" t="str">
        <f>IF(L343="","",L343*Inicio!$B$13)</f>
        <v/>
      </c>
      <c r="N343" s="23" t="str">
        <f t="shared" si="41"/>
        <v/>
      </c>
      <c r="O343" s="26"/>
      <c r="P343" s="18"/>
      <c r="Q343" s="19"/>
      <c r="R343" s="23" t="str">
        <f t="shared" si="42"/>
        <v/>
      </c>
      <c r="S343" s="22" t="str">
        <f ca="1">IF(A343="","",IF(OR(P343="Pagada",R343=0),"Pagada",IF(O343&lt;TODAY(),"Vencida",IF(O343&lt;=TODAY()+Inicio!$B$19,"Próxima a vencer","Vigente"))))</f>
        <v/>
      </c>
      <c r="T343" s="18"/>
      <c r="U343" s="37" t="str">
        <f t="shared" si="43"/>
        <v/>
      </c>
      <c r="V343" s="37" t="str">
        <f t="shared" si="44"/>
        <v/>
      </c>
      <c r="W343" s="37" t="str">
        <f t="shared" si="45"/>
        <v/>
      </c>
      <c r="X343" s="37" t="str">
        <f t="shared" si="46"/>
        <v/>
      </c>
      <c r="Y343" s="37" t="str">
        <f>IF(OR($H343="",$J343=""),"",$J343*IFERROR(VLOOKUP($H343,Maestro_SKU!$A$2:$P$500,12,FALSE),1))</f>
        <v/>
      </c>
      <c r="Z343" s="37" t="str">
        <f t="shared" ca="1" si="47"/>
        <v/>
      </c>
    </row>
    <row r="344" spans="1:26" x14ac:dyDescent="0.35">
      <c r="A344" s="18"/>
      <c r="B344" s="26"/>
      <c r="C344" s="18"/>
      <c r="D344" s="18"/>
      <c r="E344" s="22" t="str">
        <f>IFERROR(VLOOKUP(D344,Clientes_PDV!$A$2:$J$250,2,FALSE),"")</f>
        <v/>
      </c>
      <c r="F344" s="22" t="str">
        <f>IFERROR(VLOOKUP(D344,Clientes_PDV!$A$2:$J$250,3,FALSE),"")</f>
        <v/>
      </c>
      <c r="G344" s="22" t="str">
        <f>IFERROR(VLOOKUP(D344,Clientes_PDV!$A$2:$J$250,4,FALSE),"")</f>
        <v/>
      </c>
      <c r="H344" s="18"/>
      <c r="I344" s="22" t="str">
        <f>IFERROR(VLOOKUP(H344,Maestro_SKU!$A$2:$P$500,2,FALSE),"")</f>
        <v/>
      </c>
      <c r="J344" s="27"/>
      <c r="K344" s="19"/>
      <c r="L344" s="23" t="str">
        <f t="shared" si="40"/>
        <v/>
      </c>
      <c r="M344" s="23" t="str">
        <f>IF(L344="","",L344*Inicio!$B$13)</f>
        <v/>
      </c>
      <c r="N344" s="23" t="str">
        <f t="shared" si="41"/>
        <v/>
      </c>
      <c r="O344" s="26"/>
      <c r="P344" s="18"/>
      <c r="Q344" s="19"/>
      <c r="R344" s="23" t="str">
        <f t="shared" si="42"/>
        <v/>
      </c>
      <c r="S344" s="22" t="str">
        <f ca="1">IF(A344="","",IF(OR(P344="Pagada",R344=0),"Pagada",IF(O344&lt;TODAY(),"Vencida",IF(O344&lt;=TODAY()+Inicio!$B$19,"Próxima a vencer","Vigente"))))</f>
        <v/>
      </c>
      <c r="T344" s="18"/>
      <c r="U344" s="37" t="str">
        <f t="shared" si="43"/>
        <v/>
      </c>
      <c r="V344" s="37" t="str">
        <f t="shared" si="44"/>
        <v/>
      </c>
      <c r="W344" s="37" t="str">
        <f t="shared" si="45"/>
        <v/>
      </c>
      <c r="X344" s="37" t="str">
        <f t="shared" si="46"/>
        <v/>
      </c>
      <c r="Y344" s="37" t="str">
        <f>IF(OR($H344="",$J344=""),"",$J344*IFERROR(VLOOKUP($H344,Maestro_SKU!$A$2:$P$500,12,FALSE),1))</f>
        <v/>
      </c>
      <c r="Z344" s="37" t="str">
        <f t="shared" ca="1" si="47"/>
        <v/>
      </c>
    </row>
    <row r="345" spans="1:26" x14ac:dyDescent="0.35">
      <c r="A345" s="18"/>
      <c r="B345" s="26"/>
      <c r="C345" s="18"/>
      <c r="D345" s="18"/>
      <c r="E345" s="22" t="str">
        <f>IFERROR(VLOOKUP(D345,Clientes_PDV!$A$2:$J$250,2,FALSE),"")</f>
        <v/>
      </c>
      <c r="F345" s="22" t="str">
        <f>IFERROR(VLOOKUP(D345,Clientes_PDV!$A$2:$J$250,3,FALSE),"")</f>
        <v/>
      </c>
      <c r="G345" s="22" t="str">
        <f>IFERROR(VLOOKUP(D345,Clientes_PDV!$A$2:$J$250,4,FALSE),"")</f>
        <v/>
      </c>
      <c r="H345" s="18"/>
      <c r="I345" s="22" t="str">
        <f>IFERROR(VLOOKUP(H345,Maestro_SKU!$A$2:$P$500,2,FALSE),"")</f>
        <v/>
      </c>
      <c r="J345" s="27"/>
      <c r="K345" s="19"/>
      <c r="L345" s="23" t="str">
        <f t="shared" si="40"/>
        <v/>
      </c>
      <c r="M345" s="23" t="str">
        <f>IF(L345="","",L345*Inicio!$B$13)</f>
        <v/>
      </c>
      <c r="N345" s="23" t="str">
        <f t="shared" si="41"/>
        <v/>
      </c>
      <c r="O345" s="26"/>
      <c r="P345" s="18"/>
      <c r="Q345" s="19"/>
      <c r="R345" s="23" t="str">
        <f t="shared" si="42"/>
        <v/>
      </c>
      <c r="S345" s="22" t="str">
        <f ca="1">IF(A345="","",IF(OR(P345="Pagada",R345=0),"Pagada",IF(O345&lt;TODAY(),"Vencida",IF(O345&lt;=TODAY()+Inicio!$B$19,"Próxima a vencer","Vigente"))))</f>
        <v/>
      </c>
      <c r="T345" s="18"/>
      <c r="U345" s="37" t="str">
        <f t="shared" si="43"/>
        <v/>
      </c>
      <c r="V345" s="37" t="str">
        <f t="shared" si="44"/>
        <v/>
      </c>
      <c r="W345" s="37" t="str">
        <f t="shared" si="45"/>
        <v/>
      </c>
      <c r="X345" s="37" t="str">
        <f t="shared" si="46"/>
        <v/>
      </c>
      <c r="Y345" s="37" t="str">
        <f>IF(OR($H345="",$J345=""),"",$J345*IFERROR(VLOOKUP($H345,Maestro_SKU!$A$2:$P$500,12,FALSE),1))</f>
        <v/>
      </c>
      <c r="Z345" s="37" t="str">
        <f t="shared" ca="1" si="47"/>
        <v/>
      </c>
    </row>
    <row r="346" spans="1:26" x14ac:dyDescent="0.35">
      <c r="A346" s="18"/>
      <c r="B346" s="26"/>
      <c r="C346" s="18"/>
      <c r="D346" s="18"/>
      <c r="E346" s="22" t="str">
        <f>IFERROR(VLOOKUP(D346,Clientes_PDV!$A$2:$J$250,2,FALSE),"")</f>
        <v/>
      </c>
      <c r="F346" s="22" t="str">
        <f>IFERROR(VLOOKUP(D346,Clientes_PDV!$A$2:$J$250,3,FALSE),"")</f>
        <v/>
      </c>
      <c r="G346" s="22" t="str">
        <f>IFERROR(VLOOKUP(D346,Clientes_PDV!$A$2:$J$250,4,FALSE),"")</f>
        <v/>
      </c>
      <c r="H346" s="18"/>
      <c r="I346" s="22" t="str">
        <f>IFERROR(VLOOKUP(H346,Maestro_SKU!$A$2:$P$500,2,FALSE),"")</f>
        <v/>
      </c>
      <c r="J346" s="27"/>
      <c r="K346" s="19"/>
      <c r="L346" s="23" t="str">
        <f t="shared" si="40"/>
        <v/>
      </c>
      <c r="M346" s="23" t="str">
        <f>IF(L346="","",L346*Inicio!$B$13)</f>
        <v/>
      </c>
      <c r="N346" s="23" t="str">
        <f t="shared" si="41"/>
        <v/>
      </c>
      <c r="O346" s="26"/>
      <c r="P346" s="18"/>
      <c r="Q346" s="19"/>
      <c r="R346" s="23" t="str">
        <f t="shared" si="42"/>
        <v/>
      </c>
      <c r="S346" s="22" t="str">
        <f ca="1">IF(A346="","",IF(OR(P346="Pagada",R346=0),"Pagada",IF(O346&lt;TODAY(),"Vencida",IF(O346&lt;=TODAY()+Inicio!$B$19,"Próxima a vencer","Vigente"))))</f>
        <v/>
      </c>
      <c r="T346" s="18"/>
      <c r="U346" s="37" t="str">
        <f t="shared" si="43"/>
        <v/>
      </c>
      <c r="V346" s="37" t="str">
        <f t="shared" si="44"/>
        <v/>
      </c>
      <c r="W346" s="37" t="str">
        <f t="shared" si="45"/>
        <v/>
      </c>
      <c r="X346" s="37" t="str">
        <f t="shared" si="46"/>
        <v/>
      </c>
      <c r="Y346" s="37" t="str">
        <f>IF(OR($H346="",$J346=""),"",$J346*IFERROR(VLOOKUP($H346,Maestro_SKU!$A$2:$P$500,12,FALSE),1))</f>
        <v/>
      </c>
      <c r="Z346" s="37" t="str">
        <f t="shared" ca="1" si="47"/>
        <v/>
      </c>
    </row>
    <row r="347" spans="1:26" x14ac:dyDescent="0.35">
      <c r="A347" s="18"/>
      <c r="B347" s="26"/>
      <c r="C347" s="18"/>
      <c r="D347" s="18"/>
      <c r="E347" s="22" t="str">
        <f>IFERROR(VLOOKUP(D347,Clientes_PDV!$A$2:$J$250,2,FALSE),"")</f>
        <v/>
      </c>
      <c r="F347" s="22" t="str">
        <f>IFERROR(VLOOKUP(D347,Clientes_PDV!$A$2:$J$250,3,FALSE),"")</f>
        <v/>
      </c>
      <c r="G347" s="22" t="str">
        <f>IFERROR(VLOOKUP(D347,Clientes_PDV!$A$2:$J$250,4,FALSE),"")</f>
        <v/>
      </c>
      <c r="H347" s="18"/>
      <c r="I347" s="22" t="str">
        <f>IFERROR(VLOOKUP(H347,Maestro_SKU!$A$2:$P$500,2,FALSE),"")</f>
        <v/>
      </c>
      <c r="J347" s="27"/>
      <c r="K347" s="19"/>
      <c r="L347" s="23" t="str">
        <f t="shared" si="40"/>
        <v/>
      </c>
      <c r="M347" s="23" t="str">
        <f>IF(L347="","",L347*Inicio!$B$13)</f>
        <v/>
      </c>
      <c r="N347" s="23" t="str">
        <f t="shared" si="41"/>
        <v/>
      </c>
      <c r="O347" s="26"/>
      <c r="P347" s="18"/>
      <c r="Q347" s="19"/>
      <c r="R347" s="23" t="str">
        <f t="shared" si="42"/>
        <v/>
      </c>
      <c r="S347" s="22" t="str">
        <f ca="1">IF(A347="","",IF(OR(P347="Pagada",R347=0),"Pagada",IF(O347&lt;TODAY(),"Vencida",IF(O347&lt;=TODAY()+Inicio!$B$19,"Próxima a vencer","Vigente"))))</f>
        <v/>
      </c>
      <c r="T347" s="18"/>
      <c r="U347" s="37" t="str">
        <f t="shared" si="43"/>
        <v/>
      </c>
      <c r="V347" s="37" t="str">
        <f t="shared" si="44"/>
        <v/>
      </c>
      <c r="W347" s="37" t="str">
        <f t="shared" si="45"/>
        <v/>
      </c>
      <c r="X347" s="37" t="str">
        <f t="shared" si="46"/>
        <v/>
      </c>
      <c r="Y347" s="37" t="str">
        <f>IF(OR($H347="",$J347=""),"",$J347*IFERROR(VLOOKUP($H347,Maestro_SKU!$A$2:$P$500,12,FALSE),1))</f>
        <v/>
      </c>
      <c r="Z347" s="37" t="str">
        <f t="shared" ca="1" si="47"/>
        <v/>
      </c>
    </row>
    <row r="348" spans="1:26" x14ac:dyDescent="0.35">
      <c r="A348" s="18"/>
      <c r="B348" s="26"/>
      <c r="C348" s="18"/>
      <c r="D348" s="18"/>
      <c r="E348" s="22" t="str">
        <f>IFERROR(VLOOKUP(D348,Clientes_PDV!$A$2:$J$250,2,FALSE),"")</f>
        <v/>
      </c>
      <c r="F348" s="22" t="str">
        <f>IFERROR(VLOOKUP(D348,Clientes_PDV!$A$2:$J$250,3,FALSE),"")</f>
        <v/>
      </c>
      <c r="G348" s="22" t="str">
        <f>IFERROR(VLOOKUP(D348,Clientes_PDV!$A$2:$J$250,4,FALSE),"")</f>
        <v/>
      </c>
      <c r="H348" s="18"/>
      <c r="I348" s="22" t="str">
        <f>IFERROR(VLOOKUP(H348,Maestro_SKU!$A$2:$P$500,2,FALSE),"")</f>
        <v/>
      </c>
      <c r="J348" s="27"/>
      <c r="K348" s="19"/>
      <c r="L348" s="23" t="str">
        <f t="shared" si="40"/>
        <v/>
      </c>
      <c r="M348" s="23" t="str">
        <f>IF(L348="","",L348*Inicio!$B$13)</f>
        <v/>
      </c>
      <c r="N348" s="23" t="str">
        <f t="shared" si="41"/>
        <v/>
      </c>
      <c r="O348" s="26"/>
      <c r="P348" s="18"/>
      <c r="Q348" s="19"/>
      <c r="R348" s="23" t="str">
        <f t="shared" si="42"/>
        <v/>
      </c>
      <c r="S348" s="22" t="str">
        <f ca="1">IF(A348="","",IF(OR(P348="Pagada",R348=0),"Pagada",IF(O348&lt;TODAY(),"Vencida",IF(O348&lt;=TODAY()+Inicio!$B$19,"Próxima a vencer","Vigente"))))</f>
        <v/>
      </c>
      <c r="T348" s="18"/>
      <c r="U348" s="37" t="str">
        <f t="shared" si="43"/>
        <v/>
      </c>
      <c r="V348" s="37" t="str">
        <f t="shared" si="44"/>
        <v/>
      </c>
      <c r="W348" s="37" t="str">
        <f t="shared" si="45"/>
        <v/>
      </c>
      <c r="X348" s="37" t="str">
        <f t="shared" si="46"/>
        <v/>
      </c>
      <c r="Y348" s="37" t="str">
        <f>IF(OR($H348="",$J348=""),"",$J348*IFERROR(VLOOKUP($H348,Maestro_SKU!$A$2:$P$500,12,FALSE),1))</f>
        <v/>
      </c>
      <c r="Z348" s="37" t="str">
        <f t="shared" ca="1" si="47"/>
        <v/>
      </c>
    </row>
    <row r="349" spans="1:26" x14ac:dyDescent="0.35">
      <c r="A349" s="18"/>
      <c r="B349" s="26"/>
      <c r="C349" s="18"/>
      <c r="D349" s="18"/>
      <c r="E349" s="22" t="str">
        <f>IFERROR(VLOOKUP(D349,Clientes_PDV!$A$2:$J$250,2,FALSE),"")</f>
        <v/>
      </c>
      <c r="F349" s="22" t="str">
        <f>IFERROR(VLOOKUP(D349,Clientes_PDV!$A$2:$J$250,3,FALSE),"")</f>
        <v/>
      </c>
      <c r="G349" s="22" t="str">
        <f>IFERROR(VLOOKUP(D349,Clientes_PDV!$A$2:$J$250,4,FALSE),"")</f>
        <v/>
      </c>
      <c r="H349" s="18"/>
      <c r="I349" s="22" t="str">
        <f>IFERROR(VLOOKUP(H349,Maestro_SKU!$A$2:$P$500,2,FALSE),"")</f>
        <v/>
      </c>
      <c r="J349" s="27"/>
      <c r="K349" s="19"/>
      <c r="L349" s="23" t="str">
        <f t="shared" si="40"/>
        <v/>
      </c>
      <c r="M349" s="23" t="str">
        <f>IF(L349="","",L349*Inicio!$B$13)</f>
        <v/>
      </c>
      <c r="N349" s="23" t="str">
        <f t="shared" si="41"/>
        <v/>
      </c>
      <c r="O349" s="26"/>
      <c r="P349" s="18"/>
      <c r="Q349" s="19"/>
      <c r="R349" s="23" t="str">
        <f t="shared" si="42"/>
        <v/>
      </c>
      <c r="S349" s="22" t="str">
        <f ca="1">IF(A349="","",IF(OR(P349="Pagada",R349=0),"Pagada",IF(O349&lt;TODAY(),"Vencida",IF(O349&lt;=TODAY()+Inicio!$B$19,"Próxima a vencer","Vigente"))))</f>
        <v/>
      </c>
      <c r="T349" s="18"/>
      <c r="U349" s="37" t="str">
        <f t="shared" si="43"/>
        <v/>
      </c>
      <c r="V349" s="37" t="str">
        <f t="shared" si="44"/>
        <v/>
      </c>
      <c r="W349" s="37" t="str">
        <f t="shared" si="45"/>
        <v/>
      </c>
      <c r="X349" s="37" t="str">
        <f t="shared" si="46"/>
        <v/>
      </c>
      <c r="Y349" s="37" t="str">
        <f>IF(OR($H349="",$J349=""),"",$J349*IFERROR(VLOOKUP($H349,Maestro_SKU!$A$2:$P$500,12,FALSE),1))</f>
        <v/>
      </c>
      <c r="Z349" s="37" t="str">
        <f t="shared" ca="1" si="47"/>
        <v/>
      </c>
    </row>
    <row r="350" spans="1:26" x14ac:dyDescent="0.35">
      <c r="A350" s="18"/>
      <c r="B350" s="26"/>
      <c r="C350" s="18"/>
      <c r="D350" s="18"/>
      <c r="E350" s="22" t="str">
        <f>IFERROR(VLOOKUP(D350,Clientes_PDV!$A$2:$J$250,2,FALSE),"")</f>
        <v/>
      </c>
      <c r="F350" s="22" t="str">
        <f>IFERROR(VLOOKUP(D350,Clientes_PDV!$A$2:$J$250,3,FALSE),"")</f>
        <v/>
      </c>
      <c r="G350" s="22" t="str">
        <f>IFERROR(VLOOKUP(D350,Clientes_PDV!$A$2:$J$250,4,FALSE),"")</f>
        <v/>
      </c>
      <c r="H350" s="18"/>
      <c r="I350" s="22" t="str">
        <f>IFERROR(VLOOKUP(H350,Maestro_SKU!$A$2:$P$500,2,FALSE),"")</f>
        <v/>
      </c>
      <c r="J350" s="27"/>
      <c r="K350" s="19"/>
      <c r="L350" s="23" t="str">
        <f t="shared" si="40"/>
        <v/>
      </c>
      <c r="M350" s="23" t="str">
        <f>IF(L350="","",L350*Inicio!$B$13)</f>
        <v/>
      </c>
      <c r="N350" s="23" t="str">
        <f t="shared" si="41"/>
        <v/>
      </c>
      <c r="O350" s="26"/>
      <c r="P350" s="18"/>
      <c r="Q350" s="19"/>
      <c r="R350" s="23" t="str">
        <f t="shared" si="42"/>
        <v/>
      </c>
      <c r="S350" s="22" t="str">
        <f ca="1">IF(A350="","",IF(OR(P350="Pagada",R350=0),"Pagada",IF(O350&lt;TODAY(),"Vencida",IF(O350&lt;=TODAY()+Inicio!$B$19,"Próxima a vencer","Vigente"))))</f>
        <v/>
      </c>
      <c r="T350" s="18"/>
      <c r="U350" s="37" t="str">
        <f t="shared" si="43"/>
        <v/>
      </c>
      <c r="V350" s="37" t="str">
        <f t="shared" si="44"/>
        <v/>
      </c>
      <c r="W350" s="37" t="str">
        <f t="shared" si="45"/>
        <v/>
      </c>
      <c r="X350" s="37" t="str">
        <f t="shared" si="46"/>
        <v/>
      </c>
      <c r="Y350" s="37" t="str">
        <f>IF(OR($H350="",$J350=""),"",$J350*IFERROR(VLOOKUP($H350,Maestro_SKU!$A$2:$P$500,12,FALSE),1))</f>
        <v/>
      </c>
      <c r="Z350" s="37" t="str">
        <f t="shared" ca="1" si="47"/>
        <v/>
      </c>
    </row>
    <row r="351" spans="1:26" x14ac:dyDescent="0.35">
      <c r="A351" s="18"/>
      <c r="B351" s="26"/>
      <c r="C351" s="18"/>
      <c r="D351" s="18"/>
      <c r="E351" s="22" t="str">
        <f>IFERROR(VLOOKUP(D351,Clientes_PDV!$A$2:$J$250,2,FALSE),"")</f>
        <v/>
      </c>
      <c r="F351" s="22" t="str">
        <f>IFERROR(VLOOKUP(D351,Clientes_PDV!$A$2:$J$250,3,FALSE),"")</f>
        <v/>
      </c>
      <c r="G351" s="22" t="str">
        <f>IFERROR(VLOOKUP(D351,Clientes_PDV!$A$2:$J$250,4,FALSE),"")</f>
        <v/>
      </c>
      <c r="H351" s="18"/>
      <c r="I351" s="22" t="str">
        <f>IFERROR(VLOOKUP(H351,Maestro_SKU!$A$2:$P$500,2,FALSE),"")</f>
        <v/>
      </c>
      <c r="J351" s="27"/>
      <c r="K351" s="19"/>
      <c r="L351" s="23" t="str">
        <f t="shared" si="40"/>
        <v/>
      </c>
      <c r="M351" s="23" t="str">
        <f>IF(L351="","",L351*Inicio!$B$13)</f>
        <v/>
      </c>
      <c r="N351" s="23" t="str">
        <f t="shared" si="41"/>
        <v/>
      </c>
      <c r="O351" s="26"/>
      <c r="P351" s="18"/>
      <c r="Q351" s="19"/>
      <c r="R351" s="23" t="str">
        <f t="shared" si="42"/>
        <v/>
      </c>
      <c r="S351" s="22" t="str">
        <f ca="1">IF(A351="","",IF(OR(P351="Pagada",R351=0),"Pagada",IF(O351&lt;TODAY(),"Vencida",IF(O351&lt;=TODAY()+Inicio!$B$19,"Próxima a vencer","Vigente"))))</f>
        <v/>
      </c>
      <c r="T351" s="18"/>
      <c r="U351" s="37" t="str">
        <f t="shared" si="43"/>
        <v/>
      </c>
      <c r="V351" s="37" t="str">
        <f t="shared" si="44"/>
        <v/>
      </c>
      <c r="W351" s="37" t="str">
        <f t="shared" si="45"/>
        <v/>
      </c>
      <c r="X351" s="37" t="str">
        <f t="shared" si="46"/>
        <v/>
      </c>
      <c r="Y351" s="37" t="str">
        <f>IF(OR($H351="",$J351=""),"",$J351*IFERROR(VLOOKUP($H351,Maestro_SKU!$A$2:$P$500,12,FALSE),1))</f>
        <v/>
      </c>
      <c r="Z351" s="37" t="str">
        <f t="shared" ca="1" si="47"/>
        <v/>
      </c>
    </row>
    <row r="352" spans="1:26" x14ac:dyDescent="0.35">
      <c r="A352" s="18"/>
      <c r="B352" s="26"/>
      <c r="C352" s="18"/>
      <c r="D352" s="18"/>
      <c r="E352" s="22" t="str">
        <f>IFERROR(VLOOKUP(D352,Clientes_PDV!$A$2:$J$250,2,FALSE),"")</f>
        <v/>
      </c>
      <c r="F352" s="22" t="str">
        <f>IFERROR(VLOOKUP(D352,Clientes_PDV!$A$2:$J$250,3,FALSE),"")</f>
        <v/>
      </c>
      <c r="G352" s="22" t="str">
        <f>IFERROR(VLOOKUP(D352,Clientes_PDV!$A$2:$J$250,4,FALSE),"")</f>
        <v/>
      </c>
      <c r="H352" s="18"/>
      <c r="I352" s="22" t="str">
        <f>IFERROR(VLOOKUP(H352,Maestro_SKU!$A$2:$P$500,2,FALSE),"")</f>
        <v/>
      </c>
      <c r="J352" s="27"/>
      <c r="K352" s="19"/>
      <c r="L352" s="23" t="str">
        <f t="shared" si="40"/>
        <v/>
      </c>
      <c r="M352" s="23" t="str">
        <f>IF(L352="","",L352*Inicio!$B$13)</f>
        <v/>
      </c>
      <c r="N352" s="23" t="str">
        <f t="shared" si="41"/>
        <v/>
      </c>
      <c r="O352" s="26"/>
      <c r="P352" s="18"/>
      <c r="Q352" s="19"/>
      <c r="R352" s="23" t="str">
        <f t="shared" si="42"/>
        <v/>
      </c>
      <c r="S352" s="22" t="str">
        <f ca="1">IF(A352="","",IF(OR(P352="Pagada",R352=0),"Pagada",IF(O352&lt;TODAY(),"Vencida",IF(O352&lt;=TODAY()+Inicio!$B$19,"Próxima a vencer","Vigente"))))</f>
        <v/>
      </c>
      <c r="T352" s="18"/>
      <c r="U352" s="37" t="str">
        <f t="shared" si="43"/>
        <v/>
      </c>
      <c r="V352" s="37" t="str">
        <f t="shared" si="44"/>
        <v/>
      </c>
      <c r="W352" s="37" t="str">
        <f t="shared" si="45"/>
        <v/>
      </c>
      <c r="X352" s="37" t="str">
        <f t="shared" si="46"/>
        <v/>
      </c>
      <c r="Y352" s="37" t="str">
        <f>IF(OR($H352="",$J352=""),"",$J352*IFERROR(VLOOKUP($H352,Maestro_SKU!$A$2:$P$500,12,FALSE),1))</f>
        <v/>
      </c>
      <c r="Z352" s="37" t="str">
        <f t="shared" ca="1" si="47"/>
        <v/>
      </c>
    </row>
    <row r="353" spans="1:26" x14ac:dyDescent="0.35">
      <c r="A353" s="18"/>
      <c r="B353" s="26"/>
      <c r="C353" s="18"/>
      <c r="D353" s="18"/>
      <c r="E353" s="22" t="str">
        <f>IFERROR(VLOOKUP(D353,Clientes_PDV!$A$2:$J$250,2,FALSE),"")</f>
        <v/>
      </c>
      <c r="F353" s="22" t="str">
        <f>IFERROR(VLOOKUP(D353,Clientes_PDV!$A$2:$J$250,3,FALSE),"")</f>
        <v/>
      </c>
      <c r="G353" s="22" t="str">
        <f>IFERROR(VLOOKUP(D353,Clientes_PDV!$A$2:$J$250,4,FALSE),"")</f>
        <v/>
      </c>
      <c r="H353" s="18"/>
      <c r="I353" s="22" t="str">
        <f>IFERROR(VLOOKUP(H353,Maestro_SKU!$A$2:$P$500,2,FALSE),"")</f>
        <v/>
      </c>
      <c r="J353" s="27"/>
      <c r="K353" s="19"/>
      <c r="L353" s="23" t="str">
        <f t="shared" si="40"/>
        <v/>
      </c>
      <c r="M353" s="23" t="str">
        <f>IF(L353="","",L353*Inicio!$B$13)</f>
        <v/>
      </c>
      <c r="N353" s="23" t="str">
        <f t="shared" si="41"/>
        <v/>
      </c>
      <c r="O353" s="26"/>
      <c r="P353" s="18"/>
      <c r="Q353" s="19"/>
      <c r="R353" s="23" t="str">
        <f t="shared" si="42"/>
        <v/>
      </c>
      <c r="S353" s="22" t="str">
        <f ca="1">IF(A353="","",IF(OR(P353="Pagada",R353=0),"Pagada",IF(O353&lt;TODAY(),"Vencida",IF(O353&lt;=TODAY()+Inicio!$B$19,"Próxima a vencer","Vigente"))))</f>
        <v/>
      </c>
      <c r="T353" s="18"/>
      <c r="U353" s="37" t="str">
        <f t="shared" si="43"/>
        <v/>
      </c>
      <c r="V353" s="37" t="str">
        <f t="shared" si="44"/>
        <v/>
      </c>
      <c r="W353" s="37" t="str">
        <f t="shared" si="45"/>
        <v/>
      </c>
      <c r="X353" s="37" t="str">
        <f t="shared" si="46"/>
        <v/>
      </c>
      <c r="Y353" s="37" t="str">
        <f>IF(OR($H353="",$J353=""),"",$J353*IFERROR(VLOOKUP($H353,Maestro_SKU!$A$2:$P$500,12,FALSE),1))</f>
        <v/>
      </c>
      <c r="Z353" s="37" t="str">
        <f t="shared" ca="1" si="47"/>
        <v/>
      </c>
    </row>
    <row r="354" spans="1:26" x14ac:dyDescent="0.35">
      <c r="A354" s="18"/>
      <c r="B354" s="26"/>
      <c r="C354" s="18"/>
      <c r="D354" s="18"/>
      <c r="E354" s="22" t="str">
        <f>IFERROR(VLOOKUP(D354,Clientes_PDV!$A$2:$J$250,2,FALSE),"")</f>
        <v/>
      </c>
      <c r="F354" s="22" t="str">
        <f>IFERROR(VLOOKUP(D354,Clientes_PDV!$A$2:$J$250,3,FALSE),"")</f>
        <v/>
      </c>
      <c r="G354" s="22" t="str">
        <f>IFERROR(VLOOKUP(D354,Clientes_PDV!$A$2:$J$250,4,FALSE),"")</f>
        <v/>
      </c>
      <c r="H354" s="18"/>
      <c r="I354" s="22" t="str">
        <f>IFERROR(VLOOKUP(H354,Maestro_SKU!$A$2:$P$500,2,FALSE),"")</f>
        <v/>
      </c>
      <c r="J354" s="27"/>
      <c r="K354" s="19"/>
      <c r="L354" s="23" t="str">
        <f t="shared" si="40"/>
        <v/>
      </c>
      <c r="M354" s="23" t="str">
        <f>IF(L354="","",L354*Inicio!$B$13)</f>
        <v/>
      </c>
      <c r="N354" s="23" t="str">
        <f t="shared" si="41"/>
        <v/>
      </c>
      <c r="O354" s="26"/>
      <c r="P354" s="18"/>
      <c r="Q354" s="19"/>
      <c r="R354" s="23" t="str">
        <f t="shared" si="42"/>
        <v/>
      </c>
      <c r="S354" s="22" t="str">
        <f ca="1">IF(A354="","",IF(OR(P354="Pagada",R354=0),"Pagada",IF(O354&lt;TODAY(),"Vencida",IF(O354&lt;=TODAY()+Inicio!$B$19,"Próxima a vencer","Vigente"))))</f>
        <v/>
      </c>
      <c r="T354" s="18"/>
      <c r="U354" s="37" t="str">
        <f t="shared" si="43"/>
        <v/>
      </c>
      <c r="V354" s="37" t="str">
        <f t="shared" si="44"/>
        <v/>
      </c>
      <c r="W354" s="37" t="str">
        <f t="shared" si="45"/>
        <v/>
      </c>
      <c r="X354" s="37" t="str">
        <f t="shared" si="46"/>
        <v/>
      </c>
      <c r="Y354" s="37" t="str">
        <f>IF(OR($H354="",$J354=""),"",$J354*IFERROR(VLOOKUP($H354,Maestro_SKU!$A$2:$P$500,12,FALSE),1))</f>
        <v/>
      </c>
      <c r="Z354" s="37" t="str">
        <f t="shared" ca="1" si="47"/>
        <v/>
      </c>
    </row>
    <row r="355" spans="1:26" x14ac:dyDescent="0.35">
      <c r="A355" s="18"/>
      <c r="B355" s="26"/>
      <c r="C355" s="18"/>
      <c r="D355" s="18"/>
      <c r="E355" s="22" t="str">
        <f>IFERROR(VLOOKUP(D355,Clientes_PDV!$A$2:$J$250,2,FALSE),"")</f>
        <v/>
      </c>
      <c r="F355" s="22" t="str">
        <f>IFERROR(VLOOKUP(D355,Clientes_PDV!$A$2:$J$250,3,FALSE),"")</f>
        <v/>
      </c>
      <c r="G355" s="22" t="str">
        <f>IFERROR(VLOOKUP(D355,Clientes_PDV!$A$2:$J$250,4,FALSE),"")</f>
        <v/>
      </c>
      <c r="H355" s="18"/>
      <c r="I355" s="22" t="str">
        <f>IFERROR(VLOOKUP(H355,Maestro_SKU!$A$2:$P$500,2,FALSE),"")</f>
        <v/>
      </c>
      <c r="J355" s="27"/>
      <c r="K355" s="19"/>
      <c r="L355" s="23" t="str">
        <f t="shared" si="40"/>
        <v/>
      </c>
      <c r="M355" s="23" t="str">
        <f>IF(L355="","",L355*Inicio!$B$13)</f>
        <v/>
      </c>
      <c r="N355" s="23" t="str">
        <f t="shared" si="41"/>
        <v/>
      </c>
      <c r="O355" s="26"/>
      <c r="P355" s="18"/>
      <c r="Q355" s="19"/>
      <c r="R355" s="23" t="str">
        <f t="shared" si="42"/>
        <v/>
      </c>
      <c r="S355" s="22" t="str">
        <f ca="1">IF(A355="","",IF(OR(P355="Pagada",R355=0),"Pagada",IF(O355&lt;TODAY(),"Vencida",IF(O355&lt;=TODAY()+Inicio!$B$19,"Próxima a vencer","Vigente"))))</f>
        <v/>
      </c>
      <c r="T355" s="18"/>
      <c r="U355" s="37" t="str">
        <f t="shared" si="43"/>
        <v/>
      </c>
      <c r="V355" s="37" t="str">
        <f t="shared" si="44"/>
        <v/>
      </c>
      <c r="W355" s="37" t="str">
        <f t="shared" si="45"/>
        <v/>
      </c>
      <c r="X355" s="37" t="str">
        <f t="shared" si="46"/>
        <v/>
      </c>
      <c r="Y355" s="37" t="str">
        <f>IF(OR($H355="",$J355=""),"",$J355*IFERROR(VLOOKUP($H355,Maestro_SKU!$A$2:$P$500,12,FALSE),1))</f>
        <v/>
      </c>
      <c r="Z355" s="37" t="str">
        <f t="shared" ca="1" si="47"/>
        <v/>
      </c>
    </row>
    <row r="356" spans="1:26" x14ac:dyDescent="0.35">
      <c r="A356" s="18"/>
      <c r="B356" s="26"/>
      <c r="C356" s="18"/>
      <c r="D356" s="18"/>
      <c r="E356" s="22" t="str">
        <f>IFERROR(VLOOKUP(D356,Clientes_PDV!$A$2:$J$250,2,FALSE),"")</f>
        <v/>
      </c>
      <c r="F356" s="22" t="str">
        <f>IFERROR(VLOOKUP(D356,Clientes_PDV!$A$2:$J$250,3,FALSE),"")</f>
        <v/>
      </c>
      <c r="G356" s="22" t="str">
        <f>IFERROR(VLOOKUP(D356,Clientes_PDV!$A$2:$J$250,4,FALSE),"")</f>
        <v/>
      </c>
      <c r="H356" s="18"/>
      <c r="I356" s="22" t="str">
        <f>IFERROR(VLOOKUP(H356,Maestro_SKU!$A$2:$P$500,2,FALSE),"")</f>
        <v/>
      </c>
      <c r="J356" s="27"/>
      <c r="K356" s="19"/>
      <c r="L356" s="23" t="str">
        <f t="shared" si="40"/>
        <v/>
      </c>
      <c r="M356" s="23" t="str">
        <f>IF(L356="","",L356*Inicio!$B$13)</f>
        <v/>
      </c>
      <c r="N356" s="23" t="str">
        <f t="shared" si="41"/>
        <v/>
      </c>
      <c r="O356" s="26"/>
      <c r="P356" s="18"/>
      <c r="Q356" s="19"/>
      <c r="R356" s="23" t="str">
        <f t="shared" si="42"/>
        <v/>
      </c>
      <c r="S356" s="22" t="str">
        <f ca="1">IF(A356="","",IF(OR(P356="Pagada",R356=0),"Pagada",IF(O356&lt;TODAY(),"Vencida",IF(O356&lt;=TODAY()+Inicio!$B$19,"Próxima a vencer","Vigente"))))</f>
        <v/>
      </c>
      <c r="T356" s="18"/>
      <c r="U356" s="37" t="str">
        <f t="shared" si="43"/>
        <v/>
      </c>
      <c r="V356" s="37" t="str">
        <f t="shared" si="44"/>
        <v/>
      </c>
      <c r="W356" s="37" t="str">
        <f t="shared" si="45"/>
        <v/>
      </c>
      <c r="X356" s="37" t="str">
        <f t="shared" si="46"/>
        <v/>
      </c>
      <c r="Y356" s="37" t="str">
        <f>IF(OR($H356="",$J356=""),"",$J356*IFERROR(VLOOKUP($H356,Maestro_SKU!$A$2:$P$500,12,FALSE),1))</f>
        <v/>
      </c>
      <c r="Z356" s="37" t="str">
        <f t="shared" ca="1" si="47"/>
        <v/>
      </c>
    </row>
    <row r="357" spans="1:26" x14ac:dyDescent="0.35">
      <c r="A357" s="18"/>
      <c r="B357" s="26"/>
      <c r="C357" s="18"/>
      <c r="D357" s="18"/>
      <c r="E357" s="22" t="str">
        <f>IFERROR(VLOOKUP(D357,Clientes_PDV!$A$2:$J$250,2,FALSE),"")</f>
        <v/>
      </c>
      <c r="F357" s="22" t="str">
        <f>IFERROR(VLOOKUP(D357,Clientes_PDV!$A$2:$J$250,3,FALSE),"")</f>
        <v/>
      </c>
      <c r="G357" s="22" t="str">
        <f>IFERROR(VLOOKUP(D357,Clientes_PDV!$A$2:$J$250,4,FALSE),"")</f>
        <v/>
      </c>
      <c r="H357" s="18"/>
      <c r="I357" s="22" t="str">
        <f>IFERROR(VLOOKUP(H357,Maestro_SKU!$A$2:$P$500,2,FALSE),"")</f>
        <v/>
      </c>
      <c r="J357" s="27"/>
      <c r="K357" s="19"/>
      <c r="L357" s="23" t="str">
        <f t="shared" si="40"/>
        <v/>
      </c>
      <c r="M357" s="23" t="str">
        <f>IF(L357="","",L357*Inicio!$B$13)</f>
        <v/>
      </c>
      <c r="N357" s="23" t="str">
        <f t="shared" si="41"/>
        <v/>
      </c>
      <c r="O357" s="26"/>
      <c r="P357" s="18"/>
      <c r="Q357" s="19"/>
      <c r="R357" s="23" t="str">
        <f t="shared" si="42"/>
        <v/>
      </c>
      <c r="S357" s="22" t="str">
        <f ca="1">IF(A357="","",IF(OR(P357="Pagada",R357=0),"Pagada",IF(O357&lt;TODAY(),"Vencida",IF(O357&lt;=TODAY()+Inicio!$B$19,"Próxima a vencer","Vigente"))))</f>
        <v/>
      </c>
      <c r="T357" s="18"/>
      <c r="U357" s="37" t="str">
        <f t="shared" si="43"/>
        <v/>
      </c>
      <c r="V357" s="37" t="str">
        <f t="shared" si="44"/>
        <v/>
      </c>
      <c r="W357" s="37" t="str">
        <f t="shared" si="45"/>
        <v/>
      </c>
      <c r="X357" s="37" t="str">
        <f t="shared" si="46"/>
        <v/>
      </c>
      <c r="Y357" s="37" t="str">
        <f>IF(OR($H357="",$J357=""),"",$J357*IFERROR(VLOOKUP($H357,Maestro_SKU!$A$2:$P$500,12,FALSE),1))</f>
        <v/>
      </c>
      <c r="Z357" s="37" t="str">
        <f t="shared" ca="1" si="47"/>
        <v/>
      </c>
    </row>
    <row r="358" spans="1:26" x14ac:dyDescent="0.35">
      <c r="A358" s="18"/>
      <c r="B358" s="26"/>
      <c r="C358" s="18"/>
      <c r="D358" s="18"/>
      <c r="E358" s="22" t="str">
        <f>IFERROR(VLOOKUP(D358,Clientes_PDV!$A$2:$J$250,2,FALSE),"")</f>
        <v/>
      </c>
      <c r="F358" s="22" t="str">
        <f>IFERROR(VLOOKUP(D358,Clientes_PDV!$A$2:$J$250,3,FALSE),"")</f>
        <v/>
      </c>
      <c r="G358" s="22" t="str">
        <f>IFERROR(VLOOKUP(D358,Clientes_PDV!$A$2:$J$250,4,FALSE),"")</f>
        <v/>
      </c>
      <c r="H358" s="18"/>
      <c r="I358" s="22" t="str">
        <f>IFERROR(VLOOKUP(H358,Maestro_SKU!$A$2:$P$500,2,FALSE),"")</f>
        <v/>
      </c>
      <c r="J358" s="27"/>
      <c r="K358" s="19"/>
      <c r="L358" s="23" t="str">
        <f t="shared" si="40"/>
        <v/>
      </c>
      <c r="M358" s="23" t="str">
        <f>IF(L358="","",L358*Inicio!$B$13)</f>
        <v/>
      </c>
      <c r="N358" s="23" t="str">
        <f t="shared" si="41"/>
        <v/>
      </c>
      <c r="O358" s="26"/>
      <c r="P358" s="18"/>
      <c r="Q358" s="19"/>
      <c r="R358" s="23" t="str">
        <f t="shared" si="42"/>
        <v/>
      </c>
      <c r="S358" s="22" t="str">
        <f ca="1">IF(A358="","",IF(OR(P358="Pagada",R358=0),"Pagada",IF(O358&lt;TODAY(),"Vencida",IF(O358&lt;=TODAY()+Inicio!$B$19,"Próxima a vencer","Vigente"))))</f>
        <v/>
      </c>
      <c r="T358" s="18"/>
      <c r="U358" s="37" t="str">
        <f t="shared" si="43"/>
        <v/>
      </c>
      <c r="V358" s="37" t="str">
        <f t="shared" si="44"/>
        <v/>
      </c>
      <c r="W358" s="37" t="str">
        <f t="shared" si="45"/>
        <v/>
      </c>
      <c r="X358" s="37" t="str">
        <f t="shared" si="46"/>
        <v/>
      </c>
      <c r="Y358" s="37" t="str">
        <f>IF(OR($H358="",$J358=""),"",$J358*IFERROR(VLOOKUP($H358,Maestro_SKU!$A$2:$P$500,12,FALSE),1))</f>
        <v/>
      </c>
      <c r="Z358" s="37" t="str">
        <f t="shared" ca="1" si="47"/>
        <v/>
      </c>
    </row>
    <row r="359" spans="1:26" x14ac:dyDescent="0.35">
      <c r="A359" s="18"/>
      <c r="B359" s="26"/>
      <c r="C359" s="18"/>
      <c r="D359" s="18"/>
      <c r="E359" s="22" t="str">
        <f>IFERROR(VLOOKUP(D359,Clientes_PDV!$A$2:$J$250,2,FALSE),"")</f>
        <v/>
      </c>
      <c r="F359" s="22" t="str">
        <f>IFERROR(VLOOKUP(D359,Clientes_PDV!$A$2:$J$250,3,FALSE),"")</f>
        <v/>
      </c>
      <c r="G359" s="22" t="str">
        <f>IFERROR(VLOOKUP(D359,Clientes_PDV!$A$2:$J$250,4,FALSE),"")</f>
        <v/>
      </c>
      <c r="H359" s="18"/>
      <c r="I359" s="22" t="str">
        <f>IFERROR(VLOOKUP(H359,Maestro_SKU!$A$2:$P$500,2,FALSE),"")</f>
        <v/>
      </c>
      <c r="J359" s="27"/>
      <c r="K359" s="19"/>
      <c r="L359" s="23" t="str">
        <f t="shared" si="40"/>
        <v/>
      </c>
      <c r="M359" s="23" t="str">
        <f>IF(L359="","",L359*Inicio!$B$13)</f>
        <v/>
      </c>
      <c r="N359" s="23" t="str">
        <f t="shared" si="41"/>
        <v/>
      </c>
      <c r="O359" s="26"/>
      <c r="P359" s="18"/>
      <c r="Q359" s="19"/>
      <c r="R359" s="23" t="str">
        <f t="shared" si="42"/>
        <v/>
      </c>
      <c r="S359" s="22" t="str">
        <f ca="1">IF(A359="","",IF(OR(P359="Pagada",R359=0),"Pagada",IF(O359&lt;TODAY(),"Vencida",IF(O359&lt;=TODAY()+Inicio!$B$19,"Próxima a vencer","Vigente"))))</f>
        <v/>
      </c>
      <c r="T359" s="18"/>
      <c r="U359" s="37" t="str">
        <f t="shared" si="43"/>
        <v/>
      </c>
      <c r="V359" s="37" t="str">
        <f t="shared" si="44"/>
        <v/>
      </c>
      <c r="W359" s="37" t="str">
        <f t="shared" si="45"/>
        <v/>
      </c>
      <c r="X359" s="37" t="str">
        <f t="shared" si="46"/>
        <v/>
      </c>
      <c r="Y359" s="37" t="str">
        <f>IF(OR($H359="",$J359=""),"",$J359*IFERROR(VLOOKUP($H359,Maestro_SKU!$A$2:$P$500,12,FALSE),1))</f>
        <v/>
      </c>
      <c r="Z359" s="37" t="str">
        <f t="shared" ca="1" si="47"/>
        <v/>
      </c>
    </row>
    <row r="360" spans="1:26" x14ac:dyDescent="0.35">
      <c r="A360" s="18"/>
      <c r="B360" s="26"/>
      <c r="C360" s="18"/>
      <c r="D360" s="18"/>
      <c r="E360" s="22" t="str">
        <f>IFERROR(VLOOKUP(D360,Clientes_PDV!$A$2:$J$250,2,FALSE),"")</f>
        <v/>
      </c>
      <c r="F360" s="22" t="str">
        <f>IFERROR(VLOOKUP(D360,Clientes_PDV!$A$2:$J$250,3,FALSE),"")</f>
        <v/>
      </c>
      <c r="G360" s="22" t="str">
        <f>IFERROR(VLOOKUP(D360,Clientes_PDV!$A$2:$J$250,4,FALSE),"")</f>
        <v/>
      </c>
      <c r="H360" s="18"/>
      <c r="I360" s="22" t="str">
        <f>IFERROR(VLOOKUP(H360,Maestro_SKU!$A$2:$P$500,2,FALSE),"")</f>
        <v/>
      </c>
      <c r="J360" s="27"/>
      <c r="K360" s="19"/>
      <c r="L360" s="23" t="str">
        <f t="shared" si="40"/>
        <v/>
      </c>
      <c r="M360" s="23" t="str">
        <f>IF(L360="","",L360*Inicio!$B$13)</f>
        <v/>
      </c>
      <c r="N360" s="23" t="str">
        <f t="shared" si="41"/>
        <v/>
      </c>
      <c r="O360" s="26"/>
      <c r="P360" s="18"/>
      <c r="Q360" s="19"/>
      <c r="R360" s="23" t="str">
        <f t="shared" si="42"/>
        <v/>
      </c>
      <c r="S360" s="22" t="str">
        <f ca="1">IF(A360="","",IF(OR(P360="Pagada",R360=0),"Pagada",IF(O360&lt;TODAY(),"Vencida",IF(O360&lt;=TODAY()+Inicio!$B$19,"Próxima a vencer","Vigente"))))</f>
        <v/>
      </c>
      <c r="T360" s="18"/>
      <c r="U360" s="37" t="str">
        <f t="shared" si="43"/>
        <v/>
      </c>
      <c r="V360" s="37" t="str">
        <f t="shared" si="44"/>
        <v/>
      </c>
      <c r="W360" s="37" t="str">
        <f t="shared" si="45"/>
        <v/>
      </c>
      <c r="X360" s="37" t="str">
        <f t="shared" si="46"/>
        <v/>
      </c>
      <c r="Y360" s="37" t="str">
        <f>IF(OR($H360="",$J360=""),"",$J360*IFERROR(VLOOKUP($H360,Maestro_SKU!$A$2:$P$500,12,FALSE),1))</f>
        <v/>
      </c>
      <c r="Z360" s="37" t="str">
        <f t="shared" ca="1" si="47"/>
        <v/>
      </c>
    </row>
    <row r="361" spans="1:26" x14ac:dyDescent="0.35">
      <c r="A361" s="18"/>
      <c r="B361" s="26"/>
      <c r="C361" s="18"/>
      <c r="D361" s="18"/>
      <c r="E361" s="22" t="str">
        <f>IFERROR(VLOOKUP(D361,Clientes_PDV!$A$2:$J$250,2,FALSE),"")</f>
        <v/>
      </c>
      <c r="F361" s="22" t="str">
        <f>IFERROR(VLOOKUP(D361,Clientes_PDV!$A$2:$J$250,3,FALSE),"")</f>
        <v/>
      </c>
      <c r="G361" s="22" t="str">
        <f>IFERROR(VLOOKUP(D361,Clientes_PDV!$A$2:$J$250,4,FALSE),"")</f>
        <v/>
      </c>
      <c r="H361" s="18"/>
      <c r="I361" s="22" t="str">
        <f>IFERROR(VLOOKUP(H361,Maestro_SKU!$A$2:$P$500,2,FALSE),"")</f>
        <v/>
      </c>
      <c r="J361" s="27"/>
      <c r="K361" s="19"/>
      <c r="L361" s="23" t="str">
        <f t="shared" si="40"/>
        <v/>
      </c>
      <c r="M361" s="23" t="str">
        <f>IF(L361="","",L361*Inicio!$B$13)</f>
        <v/>
      </c>
      <c r="N361" s="23" t="str">
        <f t="shared" si="41"/>
        <v/>
      </c>
      <c r="O361" s="26"/>
      <c r="P361" s="18"/>
      <c r="Q361" s="19"/>
      <c r="R361" s="23" t="str">
        <f t="shared" si="42"/>
        <v/>
      </c>
      <c r="S361" s="22" t="str">
        <f ca="1">IF(A361="","",IF(OR(P361="Pagada",R361=0),"Pagada",IF(O361&lt;TODAY(),"Vencida",IF(O361&lt;=TODAY()+Inicio!$B$19,"Próxima a vencer","Vigente"))))</f>
        <v/>
      </c>
      <c r="T361" s="18"/>
      <c r="U361" s="37" t="str">
        <f t="shared" si="43"/>
        <v/>
      </c>
      <c r="V361" s="37" t="str">
        <f t="shared" si="44"/>
        <v/>
      </c>
      <c r="W361" s="37" t="str">
        <f t="shared" si="45"/>
        <v/>
      </c>
      <c r="X361" s="37" t="str">
        <f t="shared" si="46"/>
        <v/>
      </c>
      <c r="Y361" s="37" t="str">
        <f>IF(OR($H361="",$J361=""),"",$J361*IFERROR(VLOOKUP($H361,Maestro_SKU!$A$2:$P$500,12,FALSE),1))</f>
        <v/>
      </c>
      <c r="Z361" s="37" t="str">
        <f t="shared" ca="1" si="47"/>
        <v/>
      </c>
    </row>
    <row r="362" spans="1:26" x14ac:dyDescent="0.35">
      <c r="A362" s="18"/>
      <c r="B362" s="26"/>
      <c r="C362" s="18"/>
      <c r="D362" s="18"/>
      <c r="E362" s="22" t="str">
        <f>IFERROR(VLOOKUP(D362,Clientes_PDV!$A$2:$J$250,2,FALSE),"")</f>
        <v/>
      </c>
      <c r="F362" s="22" t="str">
        <f>IFERROR(VLOOKUP(D362,Clientes_PDV!$A$2:$J$250,3,FALSE),"")</f>
        <v/>
      </c>
      <c r="G362" s="22" t="str">
        <f>IFERROR(VLOOKUP(D362,Clientes_PDV!$A$2:$J$250,4,FALSE),"")</f>
        <v/>
      </c>
      <c r="H362" s="18"/>
      <c r="I362" s="22" t="str">
        <f>IFERROR(VLOOKUP(H362,Maestro_SKU!$A$2:$P$500,2,FALSE),"")</f>
        <v/>
      </c>
      <c r="J362" s="27"/>
      <c r="K362" s="19"/>
      <c r="L362" s="23" t="str">
        <f t="shared" si="40"/>
        <v/>
      </c>
      <c r="M362" s="23" t="str">
        <f>IF(L362="","",L362*Inicio!$B$13)</f>
        <v/>
      </c>
      <c r="N362" s="23" t="str">
        <f t="shared" si="41"/>
        <v/>
      </c>
      <c r="O362" s="26"/>
      <c r="P362" s="18"/>
      <c r="Q362" s="19"/>
      <c r="R362" s="23" t="str">
        <f t="shared" si="42"/>
        <v/>
      </c>
      <c r="S362" s="22" t="str">
        <f ca="1">IF(A362="","",IF(OR(P362="Pagada",R362=0),"Pagada",IF(O362&lt;TODAY(),"Vencida",IF(O362&lt;=TODAY()+Inicio!$B$19,"Próxima a vencer","Vigente"))))</f>
        <v/>
      </c>
      <c r="T362" s="18"/>
      <c r="U362" s="37" t="str">
        <f t="shared" si="43"/>
        <v/>
      </c>
      <c r="V362" s="37" t="str">
        <f t="shared" si="44"/>
        <v/>
      </c>
      <c r="W362" s="37" t="str">
        <f t="shared" si="45"/>
        <v/>
      </c>
      <c r="X362" s="37" t="str">
        <f t="shared" si="46"/>
        <v/>
      </c>
      <c r="Y362" s="37" t="str">
        <f>IF(OR($H362="",$J362=""),"",$J362*IFERROR(VLOOKUP($H362,Maestro_SKU!$A$2:$P$500,12,FALSE),1))</f>
        <v/>
      </c>
      <c r="Z362" s="37" t="str">
        <f t="shared" ca="1" si="47"/>
        <v/>
      </c>
    </row>
    <row r="363" spans="1:26" x14ac:dyDescent="0.35">
      <c r="A363" s="18"/>
      <c r="B363" s="26"/>
      <c r="C363" s="18"/>
      <c r="D363" s="18"/>
      <c r="E363" s="22" t="str">
        <f>IFERROR(VLOOKUP(D363,Clientes_PDV!$A$2:$J$250,2,FALSE),"")</f>
        <v/>
      </c>
      <c r="F363" s="22" t="str">
        <f>IFERROR(VLOOKUP(D363,Clientes_PDV!$A$2:$J$250,3,FALSE),"")</f>
        <v/>
      </c>
      <c r="G363" s="22" t="str">
        <f>IFERROR(VLOOKUP(D363,Clientes_PDV!$A$2:$J$250,4,FALSE),"")</f>
        <v/>
      </c>
      <c r="H363" s="18"/>
      <c r="I363" s="22" t="str">
        <f>IFERROR(VLOOKUP(H363,Maestro_SKU!$A$2:$P$500,2,FALSE),"")</f>
        <v/>
      </c>
      <c r="J363" s="27"/>
      <c r="K363" s="19"/>
      <c r="L363" s="23" t="str">
        <f t="shared" si="40"/>
        <v/>
      </c>
      <c r="M363" s="23" t="str">
        <f>IF(L363="","",L363*Inicio!$B$13)</f>
        <v/>
      </c>
      <c r="N363" s="23" t="str">
        <f t="shared" si="41"/>
        <v/>
      </c>
      <c r="O363" s="26"/>
      <c r="P363" s="18"/>
      <c r="Q363" s="19"/>
      <c r="R363" s="23" t="str">
        <f t="shared" si="42"/>
        <v/>
      </c>
      <c r="S363" s="22" t="str">
        <f ca="1">IF(A363="","",IF(OR(P363="Pagada",R363=0),"Pagada",IF(O363&lt;TODAY(),"Vencida",IF(O363&lt;=TODAY()+Inicio!$B$19,"Próxima a vencer","Vigente"))))</f>
        <v/>
      </c>
      <c r="T363" s="18"/>
      <c r="U363" s="37" t="str">
        <f t="shared" si="43"/>
        <v/>
      </c>
      <c r="V363" s="37" t="str">
        <f t="shared" si="44"/>
        <v/>
      </c>
      <c r="W363" s="37" t="str">
        <f t="shared" si="45"/>
        <v/>
      </c>
      <c r="X363" s="37" t="str">
        <f t="shared" si="46"/>
        <v/>
      </c>
      <c r="Y363" s="37" t="str">
        <f>IF(OR($H363="",$J363=""),"",$J363*IFERROR(VLOOKUP($H363,Maestro_SKU!$A$2:$P$500,12,FALSE),1))</f>
        <v/>
      </c>
      <c r="Z363" s="37" t="str">
        <f t="shared" ca="1" si="47"/>
        <v/>
      </c>
    </row>
    <row r="364" spans="1:26" x14ac:dyDescent="0.35">
      <c r="A364" s="18"/>
      <c r="B364" s="26"/>
      <c r="C364" s="18"/>
      <c r="D364" s="18"/>
      <c r="E364" s="22" t="str">
        <f>IFERROR(VLOOKUP(D364,Clientes_PDV!$A$2:$J$250,2,FALSE),"")</f>
        <v/>
      </c>
      <c r="F364" s="22" t="str">
        <f>IFERROR(VLOOKUP(D364,Clientes_PDV!$A$2:$J$250,3,FALSE),"")</f>
        <v/>
      </c>
      <c r="G364" s="22" t="str">
        <f>IFERROR(VLOOKUP(D364,Clientes_PDV!$A$2:$J$250,4,FALSE),"")</f>
        <v/>
      </c>
      <c r="H364" s="18"/>
      <c r="I364" s="22" t="str">
        <f>IFERROR(VLOOKUP(H364,Maestro_SKU!$A$2:$P$500,2,FALSE),"")</f>
        <v/>
      </c>
      <c r="J364" s="27"/>
      <c r="K364" s="19"/>
      <c r="L364" s="23" t="str">
        <f t="shared" si="40"/>
        <v/>
      </c>
      <c r="M364" s="23" t="str">
        <f>IF(L364="","",L364*Inicio!$B$13)</f>
        <v/>
      </c>
      <c r="N364" s="23" t="str">
        <f t="shared" si="41"/>
        <v/>
      </c>
      <c r="O364" s="26"/>
      <c r="P364" s="18"/>
      <c r="Q364" s="19"/>
      <c r="R364" s="23" t="str">
        <f t="shared" si="42"/>
        <v/>
      </c>
      <c r="S364" s="22" t="str">
        <f ca="1">IF(A364="","",IF(OR(P364="Pagada",R364=0),"Pagada",IF(O364&lt;TODAY(),"Vencida",IF(O364&lt;=TODAY()+Inicio!$B$19,"Próxima a vencer","Vigente"))))</f>
        <v/>
      </c>
      <c r="T364" s="18"/>
      <c r="U364" s="37" t="str">
        <f t="shared" si="43"/>
        <v/>
      </c>
      <c r="V364" s="37" t="str">
        <f t="shared" si="44"/>
        <v/>
      </c>
      <c r="W364" s="37" t="str">
        <f t="shared" si="45"/>
        <v/>
      </c>
      <c r="X364" s="37" t="str">
        <f t="shared" si="46"/>
        <v/>
      </c>
      <c r="Y364" s="37" t="str">
        <f>IF(OR($H364="",$J364=""),"",$J364*IFERROR(VLOOKUP($H364,Maestro_SKU!$A$2:$P$500,12,FALSE),1))</f>
        <v/>
      </c>
      <c r="Z364" s="37" t="str">
        <f t="shared" ca="1" si="47"/>
        <v/>
      </c>
    </row>
    <row r="365" spans="1:26" x14ac:dyDescent="0.35">
      <c r="A365" s="18"/>
      <c r="B365" s="26"/>
      <c r="C365" s="18"/>
      <c r="D365" s="18"/>
      <c r="E365" s="22" t="str">
        <f>IFERROR(VLOOKUP(D365,Clientes_PDV!$A$2:$J$250,2,FALSE),"")</f>
        <v/>
      </c>
      <c r="F365" s="22" t="str">
        <f>IFERROR(VLOOKUP(D365,Clientes_PDV!$A$2:$J$250,3,FALSE),"")</f>
        <v/>
      </c>
      <c r="G365" s="22" t="str">
        <f>IFERROR(VLOOKUP(D365,Clientes_PDV!$A$2:$J$250,4,FALSE),"")</f>
        <v/>
      </c>
      <c r="H365" s="18"/>
      <c r="I365" s="22" t="str">
        <f>IFERROR(VLOOKUP(H365,Maestro_SKU!$A$2:$P$500,2,FALSE),"")</f>
        <v/>
      </c>
      <c r="J365" s="27"/>
      <c r="K365" s="19"/>
      <c r="L365" s="23" t="str">
        <f t="shared" si="40"/>
        <v/>
      </c>
      <c r="M365" s="23" t="str">
        <f>IF(L365="","",L365*Inicio!$B$13)</f>
        <v/>
      </c>
      <c r="N365" s="23" t="str">
        <f t="shared" si="41"/>
        <v/>
      </c>
      <c r="O365" s="26"/>
      <c r="P365" s="18"/>
      <c r="Q365" s="19"/>
      <c r="R365" s="23" t="str">
        <f t="shared" si="42"/>
        <v/>
      </c>
      <c r="S365" s="22" t="str">
        <f ca="1">IF(A365="","",IF(OR(P365="Pagada",R365=0),"Pagada",IF(O365&lt;TODAY(),"Vencida",IF(O365&lt;=TODAY()+Inicio!$B$19,"Próxima a vencer","Vigente"))))</f>
        <v/>
      </c>
      <c r="T365" s="18"/>
      <c r="U365" s="37" t="str">
        <f t="shared" si="43"/>
        <v/>
      </c>
      <c r="V365" s="37" t="str">
        <f t="shared" si="44"/>
        <v/>
      </c>
      <c r="W365" s="37" t="str">
        <f t="shared" si="45"/>
        <v/>
      </c>
      <c r="X365" s="37" t="str">
        <f t="shared" si="46"/>
        <v/>
      </c>
      <c r="Y365" s="37" t="str">
        <f>IF(OR($H365="",$J365=""),"",$J365*IFERROR(VLOOKUP($H365,Maestro_SKU!$A$2:$P$500,12,FALSE),1))</f>
        <v/>
      </c>
      <c r="Z365" s="37" t="str">
        <f t="shared" ca="1" si="47"/>
        <v/>
      </c>
    </row>
    <row r="366" spans="1:26" x14ac:dyDescent="0.35">
      <c r="A366" s="18"/>
      <c r="B366" s="26"/>
      <c r="C366" s="18"/>
      <c r="D366" s="18"/>
      <c r="E366" s="22" t="str">
        <f>IFERROR(VLOOKUP(D366,Clientes_PDV!$A$2:$J$250,2,FALSE),"")</f>
        <v/>
      </c>
      <c r="F366" s="22" t="str">
        <f>IFERROR(VLOOKUP(D366,Clientes_PDV!$A$2:$J$250,3,FALSE),"")</f>
        <v/>
      </c>
      <c r="G366" s="22" t="str">
        <f>IFERROR(VLOOKUP(D366,Clientes_PDV!$A$2:$J$250,4,FALSE),"")</f>
        <v/>
      </c>
      <c r="H366" s="18"/>
      <c r="I366" s="22" t="str">
        <f>IFERROR(VLOOKUP(H366,Maestro_SKU!$A$2:$P$500,2,FALSE),"")</f>
        <v/>
      </c>
      <c r="J366" s="27"/>
      <c r="K366" s="19"/>
      <c r="L366" s="23" t="str">
        <f t="shared" si="40"/>
        <v/>
      </c>
      <c r="M366" s="23" t="str">
        <f>IF(L366="","",L366*Inicio!$B$13)</f>
        <v/>
      </c>
      <c r="N366" s="23" t="str">
        <f t="shared" si="41"/>
        <v/>
      </c>
      <c r="O366" s="26"/>
      <c r="P366" s="18"/>
      <c r="Q366" s="19"/>
      <c r="R366" s="23" t="str">
        <f t="shared" si="42"/>
        <v/>
      </c>
      <c r="S366" s="22" t="str">
        <f ca="1">IF(A366="","",IF(OR(P366="Pagada",R366=0),"Pagada",IF(O366&lt;TODAY(),"Vencida",IF(O366&lt;=TODAY()+Inicio!$B$19,"Próxima a vencer","Vigente"))))</f>
        <v/>
      </c>
      <c r="T366" s="18"/>
      <c r="U366" s="37" t="str">
        <f t="shared" si="43"/>
        <v/>
      </c>
      <c r="V366" s="37" t="str">
        <f t="shared" si="44"/>
        <v/>
      </c>
      <c r="W366" s="37" t="str">
        <f t="shared" si="45"/>
        <v/>
      </c>
      <c r="X366" s="37" t="str">
        <f t="shared" si="46"/>
        <v/>
      </c>
      <c r="Y366" s="37" t="str">
        <f>IF(OR($H366="",$J366=""),"",$J366*IFERROR(VLOOKUP($H366,Maestro_SKU!$A$2:$P$500,12,FALSE),1))</f>
        <v/>
      </c>
      <c r="Z366" s="37" t="str">
        <f t="shared" ca="1" si="47"/>
        <v/>
      </c>
    </row>
    <row r="367" spans="1:26" x14ac:dyDescent="0.35">
      <c r="A367" s="18"/>
      <c r="B367" s="26"/>
      <c r="C367" s="18"/>
      <c r="D367" s="18"/>
      <c r="E367" s="22" t="str">
        <f>IFERROR(VLOOKUP(D367,Clientes_PDV!$A$2:$J$250,2,FALSE),"")</f>
        <v/>
      </c>
      <c r="F367" s="22" t="str">
        <f>IFERROR(VLOOKUP(D367,Clientes_PDV!$A$2:$J$250,3,FALSE),"")</f>
        <v/>
      </c>
      <c r="G367" s="22" t="str">
        <f>IFERROR(VLOOKUP(D367,Clientes_PDV!$A$2:$J$250,4,FALSE),"")</f>
        <v/>
      </c>
      <c r="H367" s="18"/>
      <c r="I367" s="22" t="str">
        <f>IFERROR(VLOOKUP(H367,Maestro_SKU!$A$2:$P$500,2,FALSE),"")</f>
        <v/>
      </c>
      <c r="J367" s="27"/>
      <c r="K367" s="19"/>
      <c r="L367" s="23" t="str">
        <f t="shared" si="40"/>
        <v/>
      </c>
      <c r="M367" s="23" t="str">
        <f>IF(L367="","",L367*Inicio!$B$13)</f>
        <v/>
      </c>
      <c r="N367" s="23" t="str">
        <f t="shared" si="41"/>
        <v/>
      </c>
      <c r="O367" s="26"/>
      <c r="P367" s="18"/>
      <c r="Q367" s="19"/>
      <c r="R367" s="23" t="str">
        <f t="shared" si="42"/>
        <v/>
      </c>
      <c r="S367" s="22" t="str">
        <f ca="1">IF(A367="","",IF(OR(P367="Pagada",R367=0),"Pagada",IF(O367&lt;TODAY(),"Vencida",IF(O367&lt;=TODAY()+Inicio!$B$19,"Próxima a vencer","Vigente"))))</f>
        <v/>
      </c>
      <c r="T367" s="18"/>
      <c r="U367" s="37" t="str">
        <f t="shared" si="43"/>
        <v/>
      </c>
      <c r="V367" s="37" t="str">
        <f t="shared" si="44"/>
        <v/>
      </c>
      <c r="W367" s="37" t="str">
        <f t="shared" si="45"/>
        <v/>
      </c>
      <c r="X367" s="37" t="str">
        <f t="shared" si="46"/>
        <v/>
      </c>
      <c r="Y367" s="37" t="str">
        <f>IF(OR($H367="",$J367=""),"",$J367*IFERROR(VLOOKUP($H367,Maestro_SKU!$A$2:$P$500,12,FALSE),1))</f>
        <v/>
      </c>
      <c r="Z367" s="37" t="str">
        <f t="shared" ca="1" si="47"/>
        <v/>
      </c>
    </row>
    <row r="368" spans="1:26" x14ac:dyDescent="0.35">
      <c r="A368" s="18"/>
      <c r="B368" s="26"/>
      <c r="C368" s="18"/>
      <c r="D368" s="18"/>
      <c r="E368" s="22" t="str">
        <f>IFERROR(VLOOKUP(D368,Clientes_PDV!$A$2:$J$250,2,FALSE),"")</f>
        <v/>
      </c>
      <c r="F368" s="22" t="str">
        <f>IFERROR(VLOOKUP(D368,Clientes_PDV!$A$2:$J$250,3,FALSE),"")</f>
        <v/>
      </c>
      <c r="G368" s="22" t="str">
        <f>IFERROR(VLOOKUP(D368,Clientes_PDV!$A$2:$J$250,4,FALSE),"")</f>
        <v/>
      </c>
      <c r="H368" s="18"/>
      <c r="I368" s="22" t="str">
        <f>IFERROR(VLOOKUP(H368,Maestro_SKU!$A$2:$P$500,2,FALSE),"")</f>
        <v/>
      </c>
      <c r="J368" s="27"/>
      <c r="K368" s="19"/>
      <c r="L368" s="23" t="str">
        <f t="shared" si="40"/>
        <v/>
      </c>
      <c r="M368" s="23" t="str">
        <f>IF(L368="","",L368*Inicio!$B$13)</f>
        <v/>
      </c>
      <c r="N368" s="23" t="str">
        <f t="shared" si="41"/>
        <v/>
      </c>
      <c r="O368" s="26"/>
      <c r="P368" s="18"/>
      <c r="Q368" s="19"/>
      <c r="R368" s="23" t="str">
        <f t="shared" si="42"/>
        <v/>
      </c>
      <c r="S368" s="22" t="str">
        <f ca="1">IF(A368="","",IF(OR(P368="Pagada",R368=0),"Pagada",IF(O368&lt;TODAY(),"Vencida",IF(O368&lt;=TODAY()+Inicio!$B$19,"Próxima a vencer","Vigente"))))</f>
        <v/>
      </c>
      <c r="T368" s="18"/>
      <c r="U368" s="37" t="str">
        <f t="shared" si="43"/>
        <v/>
      </c>
      <c r="V368" s="37" t="str">
        <f t="shared" si="44"/>
        <v/>
      </c>
      <c r="W368" s="37" t="str">
        <f t="shared" si="45"/>
        <v/>
      </c>
      <c r="X368" s="37" t="str">
        <f t="shared" si="46"/>
        <v/>
      </c>
      <c r="Y368" s="37" t="str">
        <f>IF(OR($H368="",$J368=""),"",$J368*IFERROR(VLOOKUP($H368,Maestro_SKU!$A$2:$P$500,12,FALSE),1))</f>
        <v/>
      </c>
      <c r="Z368" s="37" t="str">
        <f t="shared" ca="1" si="47"/>
        <v/>
      </c>
    </row>
    <row r="369" spans="1:26" x14ac:dyDescent="0.35">
      <c r="A369" s="18"/>
      <c r="B369" s="26"/>
      <c r="C369" s="18"/>
      <c r="D369" s="18"/>
      <c r="E369" s="22" t="str">
        <f>IFERROR(VLOOKUP(D369,Clientes_PDV!$A$2:$J$250,2,FALSE),"")</f>
        <v/>
      </c>
      <c r="F369" s="22" t="str">
        <f>IFERROR(VLOOKUP(D369,Clientes_PDV!$A$2:$J$250,3,FALSE),"")</f>
        <v/>
      </c>
      <c r="G369" s="22" t="str">
        <f>IFERROR(VLOOKUP(D369,Clientes_PDV!$A$2:$J$250,4,FALSE),"")</f>
        <v/>
      </c>
      <c r="H369" s="18"/>
      <c r="I369" s="22" t="str">
        <f>IFERROR(VLOOKUP(H369,Maestro_SKU!$A$2:$P$500,2,FALSE),"")</f>
        <v/>
      </c>
      <c r="J369" s="27"/>
      <c r="K369" s="19"/>
      <c r="L369" s="23" t="str">
        <f t="shared" si="40"/>
        <v/>
      </c>
      <c r="M369" s="23" t="str">
        <f>IF(L369="","",L369*Inicio!$B$13)</f>
        <v/>
      </c>
      <c r="N369" s="23" t="str">
        <f t="shared" si="41"/>
        <v/>
      </c>
      <c r="O369" s="26"/>
      <c r="P369" s="18"/>
      <c r="Q369" s="19"/>
      <c r="R369" s="23" t="str">
        <f t="shared" si="42"/>
        <v/>
      </c>
      <c r="S369" s="22" t="str">
        <f ca="1">IF(A369="","",IF(OR(P369="Pagada",R369=0),"Pagada",IF(O369&lt;TODAY(),"Vencida",IF(O369&lt;=TODAY()+Inicio!$B$19,"Próxima a vencer","Vigente"))))</f>
        <v/>
      </c>
      <c r="T369" s="18"/>
      <c r="U369" s="37" t="str">
        <f t="shared" si="43"/>
        <v/>
      </c>
      <c r="V369" s="37" t="str">
        <f t="shared" si="44"/>
        <v/>
      </c>
      <c r="W369" s="37" t="str">
        <f t="shared" si="45"/>
        <v/>
      </c>
      <c r="X369" s="37" t="str">
        <f t="shared" si="46"/>
        <v/>
      </c>
      <c r="Y369" s="37" t="str">
        <f>IF(OR($H369="",$J369=""),"",$J369*IFERROR(VLOOKUP($H369,Maestro_SKU!$A$2:$P$500,12,FALSE),1))</f>
        <v/>
      </c>
      <c r="Z369" s="37" t="str">
        <f t="shared" ca="1" si="47"/>
        <v/>
      </c>
    </row>
    <row r="370" spans="1:26" x14ac:dyDescent="0.35">
      <c r="A370" s="18"/>
      <c r="B370" s="26"/>
      <c r="C370" s="18"/>
      <c r="D370" s="18"/>
      <c r="E370" s="22" t="str">
        <f>IFERROR(VLOOKUP(D370,Clientes_PDV!$A$2:$J$250,2,FALSE),"")</f>
        <v/>
      </c>
      <c r="F370" s="22" t="str">
        <f>IFERROR(VLOOKUP(D370,Clientes_PDV!$A$2:$J$250,3,FALSE),"")</f>
        <v/>
      </c>
      <c r="G370" s="22" t="str">
        <f>IFERROR(VLOOKUP(D370,Clientes_PDV!$A$2:$J$250,4,FALSE),"")</f>
        <v/>
      </c>
      <c r="H370" s="18"/>
      <c r="I370" s="22" t="str">
        <f>IFERROR(VLOOKUP(H370,Maestro_SKU!$A$2:$P$500,2,FALSE),"")</f>
        <v/>
      </c>
      <c r="J370" s="27"/>
      <c r="K370" s="19"/>
      <c r="L370" s="23" t="str">
        <f t="shared" si="40"/>
        <v/>
      </c>
      <c r="M370" s="23" t="str">
        <f>IF(L370="","",L370*Inicio!$B$13)</f>
        <v/>
      </c>
      <c r="N370" s="23" t="str">
        <f t="shared" si="41"/>
        <v/>
      </c>
      <c r="O370" s="26"/>
      <c r="P370" s="18"/>
      <c r="Q370" s="19"/>
      <c r="R370" s="23" t="str">
        <f t="shared" si="42"/>
        <v/>
      </c>
      <c r="S370" s="22" t="str">
        <f ca="1">IF(A370="","",IF(OR(P370="Pagada",R370=0),"Pagada",IF(O370&lt;TODAY(),"Vencida",IF(O370&lt;=TODAY()+Inicio!$B$19,"Próxima a vencer","Vigente"))))</f>
        <v/>
      </c>
      <c r="T370" s="18"/>
      <c r="U370" s="37" t="str">
        <f t="shared" si="43"/>
        <v/>
      </c>
      <c r="V370" s="37" t="str">
        <f t="shared" si="44"/>
        <v/>
      </c>
      <c r="W370" s="37" t="str">
        <f t="shared" si="45"/>
        <v/>
      </c>
      <c r="X370" s="37" t="str">
        <f t="shared" si="46"/>
        <v/>
      </c>
      <c r="Y370" s="37" t="str">
        <f>IF(OR($H370="",$J370=""),"",$J370*IFERROR(VLOOKUP($H370,Maestro_SKU!$A$2:$P$500,12,FALSE),1))</f>
        <v/>
      </c>
      <c r="Z370" s="37" t="str">
        <f t="shared" ca="1" si="47"/>
        <v/>
      </c>
    </row>
    <row r="371" spans="1:26" x14ac:dyDescent="0.35">
      <c r="A371" s="18"/>
      <c r="B371" s="26"/>
      <c r="C371" s="18"/>
      <c r="D371" s="18"/>
      <c r="E371" s="22" t="str">
        <f>IFERROR(VLOOKUP(D371,Clientes_PDV!$A$2:$J$250,2,FALSE),"")</f>
        <v/>
      </c>
      <c r="F371" s="22" t="str">
        <f>IFERROR(VLOOKUP(D371,Clientes_PDV!$A$2:$J$250,3,FALSE),"")</f>
        <v/>
      </c>
      <c r="G371" s="22" t="str">
        <f>IFERROR(VLOOKUP(D371,Clientes_PDV!$A$2:$J$250,4,FALSE),"")</f>
        <v/>
      </c>
      <c r="H371" s="18"/>
      <c r="I371" s="22" t="str">
        <f>IFERROR(VLOOKUP(H371,Maestro_SKU!$A$2:$P$500,2,FALSE),"")</f>
        <v/>
      </c>
      <c r="J371" s="27"/>
      <c r="K371" s="19"/>
      <c r="L371" s="23" t="str">
        <f t="shared" si="40"/>
        <v/>
      </c>
      <c r="M371" s="23" t="str">
        <f>IF(L371="","",L371*Inicio!$B$13)</f>
        <v/>
      </c>
      <c r="N371" s="23" t="str">
        <f t="shared" si="41"/>
        <v/>
      </c>
      <c r="O371" s="26"/>
      <c r="P371" s="18"/>
      <c r="Q371" s="19"/>
      <c r="R371" s="23" t="str">
        <f t="shared" si="42"/>
        <v/>
      </c>
      <c r="S371" s="22" t="str">
        <f ca="1">IF(A371="","",IF(OR(P371="Pagada",R371=0),"Pagada",IF(O371&lt;TODAY(),"Vencida",IF(O371&lt;=TODAY()+Inicio!$B$19,"Próxima a vencer","Vigente"))))</f>
        <v/>
      </c>
      <c r="T371" s="18"/>
      <c r="U371" s="37" t="str">
        <f t="shared" si="43"/>
        <v/>
      </c>
      <c r="V371" s="37" t="str">
        <f t="shared" si="44"/>
        <v/>
      </c>
      <c r="W371" s="37" t="str">
        <f t="shared" si="45"/>
        <v/>
      </c>
      <c r="X371" s="37" t="str">
        <f t="shared" si="46"/>
        <v/>
      </c>
      <c r="Y371" s="37" t="str">
        <f>IF(OR($H371="",$J371=""),"",$J371*IFERROR(VLOOKUP($H371,Maestro_SKU!$A$2:$P$500,12,FALSE),1))</f>
        <v/>
      </c>
      <c r="Z371" s="37" t="str">
        <f t="shared" ca="1" si="47"/>
        <v/>
      </c>
    </row>
    <row r="372" spans="1:26" x14ac:dyDescent="0.35">
      <c r="A372" s="18"/>
      <c r="B372" s="26"/>
      <c r="C372" s="18"/>
      <c r="D372" s="18"/>
      <c r="E372" s="22" t="str">
        <f>IFERROR(VLOOKUP(D372,Clientes_PDV!$A$2:$J$250,2,FALSE),"")</f>
        <v/>
      </c>
      <c r="F372" s="22" t="str">
        <f>IFERROR(VLOOKUP(D372,Clientes_PDV!$A$2:$J$250,3,FALSE),"")</f>
        <v/>
      </c>
      <c r="G372" s="22" t="str">
        <f>IFERROR(VLOOKUP(D372,Clientes_PDV!$A$2:$J$250,4,FALSE),"")</f>
        <v/>
      </c>
      <c r="H372" s="18"/>
      <c r="I372" s="22" t="str">
        <f>IFERROR(VLOOKUP(H372,Maestro_SKU!$A$2:$P$500,2,FALSE),"")</f>
        <v/>
      </c>
      <c r="J372" s="27"/>
      <c r="K372" s="19"/>
      <c r="L372" s="23" t="str">
        <f t="shared" si="40"/>
        <v/>
      </c>
      <c r="M372" s="23" t="str">
        <f>IF(L372="","",L372*Inicio!$B$13)</f>
        <v/>
      </c>
      <c r="N372" s="23" t="str">
        <f t="shared" si="41"/>
        <v/>
      </c>
      <c r="O372" s="26"/>
      <c r="P372" s="18"/>
      <c r="Q372" s="19"/>
      <c r="R372" s="23" t="str">
        <f t="shared" si="42"/>
        <v/>
      </c>
      <c r="S372" s="22" t="str">
        <f ca="1">IF(A372="","",IF(OR(P372="Pagada",R372=0),"Pagada",IF(O372&lt;TODAY(),"Vencida",IF(O372&lt;=TODAY()+Inicio!$B$19,"Próxima a vencer","Vigente"))))</f>
        <v/>
      </c>
      <c r="T372" s="18"/>
      <c r="U372" s="37" t="str">
        <f t="shared" si="43"/>
        <v/>
      </c>
      <c r="V372" s="37" t="str">
        <f t="shared" si="44"/>
        <v/>
      </c>
      <c r="W372" s="37" t="str">
        <f t="shared" si="45"/>
        <v/>
      </c>
      <c r="X372" s="37" t="str">
        <f t="shared" si="46"/>
        <v/>
      </c>
      <c r="Y372" s="37" t="str">
        <f>IF(OR($H372="",$J372=""),"",$J372*IFERROR(VLOOKUP($H372,Maestro_SKU!$A$2:$P$500,12,FALSE),1))</f>
        <v/>
      </c>
      <c r="Z372" s="37" t="str">
        <f t="shared" ca="1" si="47"/>
        <v/>
      </c>
    </row>
    <row r="373" spans="1:26" x14ac:dyDescent="0.35">
      <c r="A373" s="18"/>
      <c r="B373" s="26"/>
      <c r="C373" s="18"/>
      <c r="D373" s="18"/>
      <c r="E373" s="22" t="str">
        <f>IFERROR(VLOOKUP(D373,Clientes_PDV!$A$2:$J$250,2,FALSE),"")</f>
        <v/>
      </c>
      <c r="F373" s="22" t="str">
        <f>IFERROR(VLOOKUP(D373,Clientes_PDV!$A$2:$J$250,3,FALSE),"")</f>
        <v/>
      </c>
      <c r="G373" s="22" t="str">
        <f>IFERROR(VLOOKUP(D373,Clientes_PDV!$A$2:$J$250,4,FALSE),"")</f>
        <v/>
      </c>
      <c r="H373" s="18"/>
      <c r="I373" s="22" t="str">
        <f>IFERROR(VLOOKUP(H373,Maestro_SKU!$A$2:$P$500,2,FALSE),"")</f>
        <v/>
      </c>
      <c r="J373" s="27"/>
      <c r="K373" s="19"/>
      <c r="L373" s="23" t="str">
        <f t="shared" si="40"/>
        <v/>
      </c>
      <c r="M373" s="23" t="str">
        <f>IF(L373="","",L373*Inicio!$B$13)</f>
        <v/>
      </c>
      <c r="N373" s="23" t="str">
        <f t="shared" si="41"/>
        <v/>
      </c>
      <c r="O373" s="26"/>
      <c r="P373" s="18"/>
      <c r="Q373" s="19"/>
      <c r="R373" s="23" t="str">
        <f t="shared" si="42"/>
        <v/>
      </c>
      <c r="S373" s="22" t="str">
        <f ca="1">IF(A373="","",IF(OR(P373="Pagada",R373=0),"Pagada",IF(O373&lt;TODAY(),"Vencida",IF(O373&lt;=TODAY()+Inicio!$B$19,"Próxima a vencer","Vigente"))))</f>
        <v/>
      </c>
      <c r="T373" s="18"/>
      <c r="U373" s="37" t="str">
        <f t="shared" si="43"/>
        <v/>
      </c>
      <c r="V373" s="37" t="str">
        <f t="shared" si="44"/>
        <v/>
      </c>
      <c r="W373" s="37" t="str">
        <f t="shared" si="45"/>
        <v/>
      </c>
      <c r="X373" s="37" t="str">
        <f t="shared" si="46"/>
        <v/>
      </c>
      <c r="Y373" s="37" t="str">
        <f>IF(OR($H373="",$J373=""),"",$J373*IFERROR(VLOOKUP($H373,Maestro_SKU!$A$2:$P$500,12,FALSE),1))</f>
        <v/>
      </c>
      <c r="Z373" s="37" t="str">
        <f t="shared" ca="1" si="47"/>
        <v/>
      </c>
    </row>
    <row r="374" spans="1:26" x14ac:dyDescent="0.35">
      <c r="A374" s="18"/>
      <c r="B374" s="26"/>
      <c r="C374" s="18"/>
      <c r="D374" s="18"/>
      <c r="E374" s="22" t="str">
        <f>IFERROR(VLOOKUP(D374,Clientes_PDV!$A$2:$J$250,2,FALSE),"")</f>
        <v/>
      </c>
      <c r="F374" s="22" t="str">
        <f>IFERROR(VLOOKUP(D374,Clientes_PDV!$A$2:$J$250,3,FALSE),"")</f>
        <v/>
      </c>
      <c r="G374" s="22" t="str">
        <f>IFERROR(VLOOKUP(D374,Clientes_PDV!$A$2:$J$250,4,FALSE),"")</f>
        <v/>
      </c>
      <c r="H374" s="18"/>
      <c r="I374" s="22" t="str">
        <f>IFERROR(VLOOKUP(H374,Maestro_SKU!$A$2:$P$500,2,FALSE),"")</f>
        <v/>
      </c>
      <c r="J374" s="27"/>
      <c r="K374" s="19"/>
      <c r="L374" s="23" t="str">
        <f t="shared" si="40"/>
        <v/>
      </c>
      <c r="M374" s="23" t="str">
        <f>IF(L374="","",L374*Inicio!$B$13)</f>
        <v/>
      </c>
      <c r="N374" s="23" t="str">
        <f t="shared" si="41"/>
        <v/>
      </c>
      <c r="O374" s="26"/>
      <c r="P374" s="18"/>
      <c r="Q374" s="19"/>
      <c r="R374" s="23" t="str">
        <f t="shared" si="42"/>
        <v/>
      </c>
      <c r="S374" s="22" t="str">
        <f ca="1">IF(A374="","",IF(OR(P374="Pagada",R374=0),"Pagada",IF(O374&lt;TODAY(),"Vencida",IF(O374&lt;=TODAY()+Inicio!$B$19,"Próxima a vencer","Vigente"))))</f>
        <v/>
      </c>
      <c r="T374" s="18"/>
      <c r="U374" s="37" t="str">
        <f t="shared" si="43"/>
        <v/>
      </c>
      <c r="V374" s="37" t="str">
        <f t="shared" si="44"/>
        <v/>
      </c>
      <c r="W374" s="37" t="str">
        <f t="shared" si="45"/>
        <v/>
      </c>
      <c r="X374" s="37" t="str">
        <f t="shared" si="46"/>
        <v/>
      </c>
      <c r="Y374" s="37" t="str">
        <f>IF(OR($H374="",$J374=""),"",$J374*IFERROR(VLOOKUP($H374,Maestro_SKU!$A$2:$P$500,12,FALSE),1))</f>
        <v/>
      </c>
      <c r="Z374" s="37" t="str">
        <f t="shared" ca="1" si="47"/>
        <v/>
      </c>
    </row>
    <row r="375" spans="1:26" x14ac:dyDescent="0.35">
      <c r="A375" s="18"/>
      <c r="B375" s="26"/>
      <c r="C375" s="18"/>
      <c r="D375" s="18"/>
      <c r="E375" s="22" t="str">
        <f>IFERROR(VLOOKUP(D375,Clientes_PDV!$A$2:$J$250,2,FALSE),"")</f>
        <v/>
      </c>
      <c r="F375" s="22" t="str">
        <f>IFERROR(VLOOKUP(D375,Clientes_PDV!$A$2:$J$250,3,FALSE),"")</f>
        <v/>
      </c>
      <c r="G375" s="22" t="str">
        <f>IFERROR(VLOOKUP(D375,Clientes_PDV!$A$2:$J$250,4,FALSE),"")</f>
        <v/>
      </c>
      <c r="H375" s="18"/>
      <c r="I375" s="22" t="str">
        <f>IFERROR(VLOOKUP(H375,Maestro_SKU!$A$2:$P$500,2,FALSE),"")</f>
        <v/>
      </c>
      <c r="J375" s="27"/>
      <c r="K375" s="19"/>
      <c r="L375" s="23" t="str">
        <f t="shared" si="40"/>
        <v/>
      </c>
      <c r="M375" s="23" t="str">
        <f>IF(L375="","",L375*Inicio!$B$13)</f>
        <v/>
      </c>
      <c r="N375" s="23" t="str">
        <f t="shared" si="41"/>
        <v/>
      </c>
      <c r="O375" s="26"/>
      <c r="P375" s="18"/>
      <c r="Q375" s="19"/>
      <c r="R375" s="23" t="str">
        <f t="shared" si="42"/>
        <v/>
      </c>
      <c r="S375" s="22" t="str">
        <f ca="1">IF(A375="","",IF(OR(P375="Pagada",R375=0),"Pagada",IF(O375&lt;TODAY(),"Vencida",IF(O375&lt;=TODAY()+Inicio!$B$19,"Próxima a vencer","Vigente"))))</f>
        <v/>
      </c>
      <c r="T375" s="18"/>
      <c r="U375" s="37" t="str">
        <f t="shared" si="43"/>
        <v/>
      </c>
      <c r="V375" s="37" t="str">
        <f t="shared" si="44"/>
        <v/>
      </c>
      <c r="W375" s="37" t="str">
        <f t="shared" si="45"/>
        <v/>
      </c>
      <c r="X375" s="37" t="str">
        <f t="shared" si="46"/>
        <v/>
      </c>
      <c r="Y375" s="37" t="str">
        <f>IF(OR($H375="",$J375=""),"",$J375*IFERROR(VLOOKUP($H375,Maestro_SKU!$A$2:$P$500,12,FALSE),1))</f>
        <v/>
      </c>
      <c r="Z375" s="37" t="str">
        <f t="shared" ca="1" si="47"/>
        <v/>
      </c>
    </row>
    <row r="376" spans="1:26" x14ac:dyDescent="0.35">
      <c r="A376" s="18"/>
      <c r="B376" s="26"/>
      <c r="C376" s="18"/>
      <c r="D376" s="18"/>
      <c r="E376" s="22" t="str">
        <f>IFERROR(VLOOKUP(D376,Clientes_PDV!$A$2:$J$250,2,FALSE),"")</f>
        <v/>
      </c>
      <c r="F376" s="22" t="str">
        <f>IFERROR(VLOOKUP(D376,Clientes_PDV!$A$2:$J$250,3,FALSE),"")</f>
        <v/>
      </c>
      <c r="G376" s="22" t="str">
        <f>IFERROR(VLOOKUP(D376,Clientes_PDV!$A$2:$J$250,4,FALSE),"")</f>
        <v/>
      </c>
      <c r="H376" s="18"/>
      <c r="I376" s="22" t="str">
        <f>IFERROR(VLOOKUP(H376,Maestro_SKU!$A$2:$P$500,2,FALSE),"")</f>
        <v/>
      </c>
      <c r="J376" s="27"/>
      <c r="K376" s="19"/>
      <c r="L376" s="23" t="str">
        <f t="shared" si="40"/>
        <v/>
      </c>
      <c r="M376" s="23" t="str">
        <f>IF(L376="","",L376*Inicio!$B$13)</f>
        <v/>
      </c>
      <c r="N376" s="23" t="str">
        <f t="shared" si="41"/>
        <v/>
      </c>
      <c r="O376" s="26"/>
      <c r="P376" s="18"/>
      <c r="Q376" s="19"/>
      <c r="R376" s="23" t="str">
        <f t="shared" si="42"/>
        <v/>
      </c>
      <c r="S376" s="22" t="str">
        <f ca="1">IF(A376="","",IF(OR(P376="Pagada",R376=0),"Pagada",IF(O376&lt;TODAY(),"Vencida",IF(O376&lt;=TODAY()+Inicio!$B$19,"Próxima a vencer","Vigente"))))</f>
        <v/>
      </c>
      <c r="T376" s="18"/>
      <c r="U376" s="37" t="str">
        <f t="shared" si="43"/>
        <v/>
      </c>
      <c r="V376" s="37" t="str">
        <f t="shared" si="44"/>
        <v/>
      </c>
      <c r="W376" s="37" t="str">
        <f t="shared" si="45"/>
        <v/>
      </c>
      <c r="X376" s="37" t="str">
        <f t="shared" si="46"/>
        <v/>
      </c>
      <c r="Y376" s="37" t="str">
        <f>IF(OR($H376="",$J376=""),"",$J376*IFERROR(VLOOKUP($H376,Maestro_SKU!$A$2:$P$500,12,FALSE),1))</f>
        <v/>
      </c>
      <c r="Z376" s="37" t="str">
        <f t="shared" ca="1" si="47"/>
        <v/>
      </c>
    </row>
    <row r="377" spans="1:26" x14ac:dyDescent="0.35">
      <c r="A377" s="18"/>
      <c r="B377" s="26"/>
      <c r="C377" s="18"/>
      <c r="D377" s="18"/>
      <c r="E377" s="22" t="str">
        <f>IFERROR(VLOOKUP(D377,Clientes_PDV!$A$2:$J$250,2,FALSE),"")</f>
        <v/>
      </c>
      <c r="F377" s="22" t="str">
        <f>IFERROR(VLOOKUP(D377,Clientes_PDV!$A$2:$J$250,3,FALSE),"")</f>
        <v/>
      </c>
      <c r="G377" s="22" t="str">
        <f>IFERROR(VLOOKUP(D377,Clientes_PDV!$A$2:$J$250,4,FALSE),"")</f>
        <v/>
      </c>
      <c r="H377" s="18"/>
      <c r="I377" s="22" t="str">
        <f>IFERROR(VLOOKUP(H377,Maestro_SKU!$A$2:$P$500,2,FALSE),"")</f>
        <v/>
      </c>
      <c r="J377" s="27"/>
      <c r="K377" s="19"/>
      <c r="L377" s="23" t="str">
        <f t="shared" si="40"/>
        <v/>
      </c>
      <c r="M377" s="23" t="str">
        <f>IF(L377="","",L377*Inicio!$B$13)</f>
        <v/>
      </c>
      <c r="N377" s="23" t="str">
        <f t="shared" si="41"/>
        <v/>
      </c>
      <c r="O377" s="26"/>
      <c r="P377" s="18"/>
      <c r="Q377" s="19"/>
      <c r="R377" s="23" t="str">
        <f t="shared" si="42"/>
        <v/>
      </c>
      <c r="S377" s="22" t="str">
        <f ca="1">IF(A377="","",IF(OR(P377="Pagada",R377=0),"Pagada",IF(O377&lt;TODAY(),"Vencida",IF(O377&lt;=TODAY()+Inicio!$B$19,"Próxima a vencer","Vigente"))))</f>
        <v/>
      </c>
      <c r="T377" s="18"/>
      <c r="U377" s="37" t="str">
        <f t="shared" si="43"/>
        <v/>
      </c>
      <c r="V377" s="37" t="str">
        <f t="shared" si="44"/>
        <v/>
      </c>
      <c r="W377" s="37" t="str">
        <f t="shared" si="45"/>
        <v/>
      </c>
      <c r="X377" s="37" t="str">
        <f t="shared" si="46"/>
        <v/>
      </c>
      <c r="Y377" s="37" t="str">
        <f>IF(OR($H377="",$J377=""),"",$J377*IFERROR(VLOOKUP($H377,Maestro_SKU!$A$2:$P$500,12,FALSE),1))</f>
        <v/>
      </c>
      <c r="Z377" s="37" t="str">
        <f t="shared" ca="1" si="47"/>
        <v/>
      </c>
    </row>
    <row r="378" spans="1:26" x14ac:dyDescent="0.35">
      <c r="A378" s="18"/>
      <c r="B378" s="26"/>
      <c r="C378" s="18"/>
      <c r="D378" s="18"/>
      <c r="E378" s="22" t="str">
        <f>IFERROR(VLOOKUP(D378,Clientes_PDV!$A$2:$J$250,2,FALSE),"")</f>
        <v/>
      </c>
      <c r="F378" s="22" t="str">
        <f>IFERROR(VLOOKUP(D378,Clientes_PDV!$A$2:$J$250,3,FALSE),"")</f>
        <v/>
      </c>
      <c r="G378" s="22" t="str">
        <f>IFERROR(VLOOKUP(D378,Clientes_PDV!$A$2:$J$250,4,FALSE),"")</f>
        <v/>
      </c>
      <c r="H378" s="18"/>
      <c r="I378" s="22" t="str">
        <f>IFERROR(VLOOKUP(H378,Maestro_SKU!$A$2:$P$500,2,FALSE),"")</f>
        <v/>
      </c>
      <c r="J378" s="27"/>
      <c r="K378" s="19"/>
      <c r="L378" s="23" t="str">
        <f t="shared" si="40"/>
        <v/>
      </c>
      <c r="M378" s="23" t="str">
        <f>IF(L378="","",L378*Inicio!$B$13)</f>
        <v/>
      </c>
      <c r="N378" s="23" t="str">
        <f t="shared" si="41"/>
        <v/>
      </c>
      <c r="O378" s="26"/>
      <c r="P378" s="18"/>
      <c r="Q378" s="19"/>
      <c r="R378" s="23" t="str">
        <f t="shared" si="42"/>
        <v/>
      </c>
      <c r="S378" s="22" t="str">
        <f ca="1">IF(A378="","",IF(OR(P378="Pagada",R378=0),"Pagada",IF(O378&lt;TODAY(),"Vencida",IF(O378&lt;=TODAY()+Inicio!$B$19,"Próxima a vencer","Vigente"))))</f>
        <v/>
      </c>
      <c r="T378" s="18"/>
      <c r="U378" s="37" t="str">
        <f t="shared" si="43"/>
        <v/>
      </c>
      <c r="V378" s="37" t="str">
        <f t="shared" si="44"/>
        <v/>
      </c>
      <c r="W378" s="37" t="str">
        <f t="shared" si="45"/>
        <v/>
      </c>
      <c r="X378" s="37" t="str">
        <f t="shared" si="46"/>
        <v/>
      </c>
      <c r="Y378" s="37" t="str">
        <f>IF(OR($H378="",$J378=""),"",$J378*IFERROR(VLOOKUP($H378,Maestro_SKU!$A$2:$P$500,12,FALSE),1))</f>
        <v/>
      </c>
      <c r="Z378" s="37" t="str">
        <f t="shared" ca="1" si="47"/>
        <v/>
      </c>
    </row>
    <row r="379" spans="1:26" x14ac:dyDescent="0.35">
      <c r="A379" s="18"/>
      <c r="B379" s="26"/>
      <c r="C379" s="18"/>
      <c r="D379" s="18"/>
      <c r="E379" s="22" t="str">
        <f>IFERROR(VLOOKUP(D379,Clientes_PDV!$A$2:$J$250,2,FALSE),"")</f>
        <v/>
      </c>
      <c r="F379" s="22" t="str">
        <f>IFERROR(VLOOKUP(D379,Clientes_PDV!$A$2:$J$250,3,FALSE),"")</f>
        <v/>
      </c>
      <c r="G379" s="22" t="str">
        <f>IFERROR(VLOOKUP(D379,Clientes_PDV!$A$2:$J$250,4,FALSE),"")</f>
        <v/>
      </c>
      <c r="H379" s="18"/>
      <c r="I379" s="22" t="str">
        <f>IFERROR(VLOOKUP(H379,Maestro_SKU!$A$2:$P$500,2,FALSE),"")</f>
        <v/>
      </c>
      <c r="J379" s="27"/>
      <c r="K379" s="19"/>
      <c r="L379" s="23" t="str">
        <f t="shared" si="40"/>
        <v/>
      </c>
      <c r="M379" s="23" t="str">
        <f>IF(L379="","",L379*Inicio!$B$13)</f>
        <v/>
      </c>
      <c r="N379" s="23" t="str">
        <f t="shared" si="41"/>
        <v/>
      </c>
      <c r="O379" s="26"/>
      <c r="P379" s="18"/>
      <c r="Q379" s="19"/>
      <c r="R379" s="23" t="str">
        <f t="shared" si="42"/>
        <v/>
      </c>
      <c r="S379" s="22" t="str">
        <f ca="1">IF(A379="","",IF(OR(P379="Pagada",R379=0),"Pagada",IF(O379&lt;TODAY(),"Vencida",IF(O379&lt;=TODAY()+Inicio!$B$19,"Próxima a vencer","Vigente"))))</f>
        <v/>
      </c>
      <c r="T379" s="18"/>
      <c r="U379" s="37" t="str">
        <f t="shared" si="43"/>
        <v/>
      </c>
      <c r="V379" s="37" t="str">
        <f t="shared" si="44"/>
        <v/>
      </c>
      <c r="W379" s="37" t="str">
        <f t="shared" si="45"/>
        <v/>
      </c>
      <c r="X379" s="37" t="str">
        <f t="shared" si="46"/>
        <v/>
      </c>
      <c r="Y379" s="37" t="str">
        <f>IF(OR($H379="",$J379=""),"",$J379*IFERROR(VLOOKUP($H379,Maestro_SKU!$A$2:$P$500,12,FALSE),1))</f>
        <v/>
      </c>
      <c r="Z379" s="37" t="str">
        <f t="shared" ca="1" si="47"/>
        <v/>
      </c>
    </row>
    <row r="380" spans="1:26" x14ac:dyDescent="0.35">
      <c r="A380" s="18"/>
      <c r="B380" s="26"/>
      <c r="C380" s="18"/>
      <c r="D380" s="18"/>
      <c r="E380" s="22" t="str">
        <f>IFERROR(VLOOKUP(D380,Clientes_PDV!$A$2:$J$250,2,FALSE),"")</f>
        <v/>
      </c>
      <c r="F380" s="22" t="str">
        <f>IFERROR(VLOOKUP(D380,Clientes_PDV!$A$2:$J$250,3,FALSE),"")</f>
        <v/>
      </c>
      <c r="G380" s="22" t="str">
        <f>IFERROR(VLOOKUP(D380,Clientes_PDV!$A$2:$J$250,4,FALSE),"")</f>
        <v/>
      </c>
      <c r="H380" s="18"/>
      <c r="I380" s="22" t="str">
        <f>IFERROR(VLOOKUP(H380,Maestro_SKU!$A$2:$P$500,2,FALSE),"")</f>
        <v/>
      </c>
      <c r="J380" s="27"/>
      <c r="K380" s="19"/>
      <c r="L380" s="23" t="str">
        <f t="shared" si="40"/>
        <v/>
      </c>
      <c r="M380" s="23" t="str">
        <f>IF(L380="","",L380*Inicio!$B$13)</f>
        <v/>
      </c>
      <c r="N380" s="23" t="str">
        <f t="shared" si="41"/>
        <v/>
      </c>
      <c r="O380" s="26"/>
      <c r="P380" s="18"/>
      <c r="Q380" s="19"/>
      <c r="R380" s="23" t="str">
        <f t="shared" si="42"/>
        <v/>
      </c>
      <c r="S380" s="22" t="str">
        <f ca="1">IF(A380="","",IF(OR(P380="Pagada",R380=0),"Pagada",IF(O380&lt;TODAY(),"Vencida",IF(O380&lt;=TODAY()+Inicio!$B$19,"Próxima a vencer","Vigente"))))</f>
        <v/>
      </c>
      <c r="T380" s="18"/>
      <c r="U380" s="37" t="str">
        <f t="shared" si="43"/>
        <v/>
      </c>
      <c r="V380" s="37" t="str">
        <f t="shared" si="44"/>
        <v/>
      </c>
      <c r="W380" s="37" t="str">
        <f t="shared" si="45"/>
        <v/>
      </c>
      <c r="X380" s="37" t="str">
        <f t="shared" si="46"/>
        <v/>
      </c>
      <c r="Y380" s="37" t="str">
        <f>IF(OR($H380="",$J380=""),"",$J380*IFERROR(VLOOKUP($H380,Maestro_SKU!$A$2:$P$500,12,FALSE),1))</f>
        <v/>
      </c>
      <c r="Z380" s="37" t="str">
        <f t="shared" ca="1" si="47"/>
        <v/>
      </c>
    </row>
    <row r="381" spans="1:26" x14ac:dyDescent="0.35">
      <c r="A381" s="18"/>
      <c r="B381" s="26"/>
      <c r="C381" s="18"/>
      <c r="D381" s="18"/>
      <c r="E381" s="22" t="str">
        <f>IFERROR(VLOOKUP(D381,Clientes_PDV!$A$2:$J$250,2,FALSE),"")</f>
        <v/>
      </c>
      <c r="F381" s="22" t="str">
        <f>IFERROR(VLOOKUP(D381,Clientes_PDV!$A$2:$J$250,3,FALSE),"")</f>
        <v/>
      </c>
      <c r="G381" s="22" t="str">
        <f>IFERROR(VLOOKUP(D381,Clientes_PDV!$A$2:$J$250,4,FALSE),"")</f>
        <v/>
      </c>
      <c r="H381" s="18"/>
      <c r="I381" s="22" t="str">
        <f>IFERROR(VLOOKUP(H381,Maestro_SKU!$A$2:$P$500,2,FALSE),"")</f>
        <v/>
      </c>
      <c r="J381" s="27"/>
      <c r="K381" s="19"/>
      <c r="L381" s="23" t="str">
        <f t="shared" si="40"/>
        <v/>
      </c>
      <c r="M381" s="23" t="str">
        <f>IF(L381="","",L381*Inicio!$B$13)</f>
        <v/>
      </c>
      <c r="N381" s="23" t="str">
        <f t="shared" si="41"/>
        <v/>
      </c>
      <c r="O381" s="26"/>
      <c r="P381" s="18"/>
      <c r="Q381" s="19"/>
      <c r="R381" s="23" t="str">
        <f t="shared" si="42"/>
        <v/>
      </c>
      <c r="S381" s="22" t="str">
        <f ca="1">IF(A381="","",IF(OR(P381="Pagada",R381=0),"Pagada",IF(O381&lt;TODAY(),"Vencida",IF(O381&lt;=TODAY()+Inicio!$B$19,"Próxima a vencer","Vigente"))))</f>
        <v/>
      </c>
      <c r="T381" s="18"/>
      <c r="U381" s="37" t="str">
        <f t="shared" si="43"/>
        <v/>
      </c>
      <c r="V381" s="37" t="str">
        <f t="shared" si="44"/>
        <v/>
      </c>
      <c r="W381" s="37" t="str">
        <f t="shared" si="45"/>
        <v/>
      </c>
      <c r="X381" s="37" t="str">
        <f t="shared" si="46"/>
        <v/>
      </c>
      <c r="Y381" s="37" t="str">
        <f>IF(OR($H381="",$J381=""),"",$J381*IFERROR(VLOOKUP($H381,Maestro_SKU!$A$2:$P$500,12,FALSE),1))</f>
        <v/>
      </c>
      <c r="Z381" s="37" t="str">
        <f t="shared" ca="1" si="47"/>
        <v/>
      </c>
    </row>
    <row r="382" spans="1:26" x14ac:dyDescent="0.35">
      <c r="A382" s="18"/>
      <c r="B382" s="26"/>
      <c r="C382" s="18"/>
      <c r="D382" s="18"/>
      <c r="E382" s="22" t="str">
        <f>IFERROR(VLOOKUP(D382,Clientes_PDV!$A$2:$J$250,2,FALSE),"")</f>
        <v/>
      </c>
      <c r="F382" s="22" t="str">
        <f>IFERROR(VLOOKUP(D382,Clientes_PDV!$A$2:$J$250,3,FALSE),"")</f>
        <v/>
      </c>
      <c r="G382" s="22" t="str">
        <f>IFERROR(VLOOKUP(D382,Clientes_PDV!$A$2:$J$250,4,FALSE),"")</f>
        <v/>
      </c>
      <c r="H382" s="18"/>
      <c r="I382" s="22" t="str">
        <f>IFERROR(VLOOKUP(H382,Maestro_SKU!$A$2:$P$500,2,FALSE),"")</f>
        <v/>
      </c>
      <c r="J382" s="27"/>
      <c r="K382" s="19"/>
      <c r="L382" s="23" t="str">
        <f t="shared" si="40"/>
        <v/>
      </c>
      <c r="M382" s="23" t="str">
        <f>IF(L382="","",L382*Inicio!$B$13)</f>
        <v/>
      </c>
      <c r="N382" s="23" t="str">
        <f t="shared" si="41"/>
        <v/>
      </c>
      <c r="O382" s="26"/>
      <c r="P382" s="18"/>
      <c r="Q382" s="19"/>
      <c r="R382" s="23" t="str">
        <f t="shared" si="42"/>
        <v/>
      </c>
      <c r="S382" s="22" t="str">
        <f ca="1">IF(A382="","",IF(OR(P382="Pagada",R382=0),"Pagada",IF(O382&lt;TODAY(),"Vencida",IF(O382&lt;=TODAY()+Inicio!$B$19,"Próxima a vencer","Vigente"))))</f>
        <v/>
      </c>
      <c r="T382" s="18"/>
      <c r="U382" s="37" t="str">
        <f t="shared" si="43"/>
        <v/>
      </c>
      <c r="V382" s="37" t="str">
        <f t="shared" si="44"/>
        <v/>
      </c>
      <c r="W382" s="37" t="str">
        <f t="shared" si="45"/>
        <v/>
      </c>
      <c r="X382" s="37" t="str">
        <f t="shared" si="46"/>
        <v/>
      </c>
      <c r="Y382" s="37" t="str">
        <f>IF(OR($H382="",$J382=""),"",$J382*IFERROR(VLOOKUP($H382,Maestro_SKU!$A$2:$P$500,12,FALSE),1))</f>
        <v/>
      </c>
      <c r="Z382" s="37" t="str">
        <f t="shared" ca="1" si="47"/>
        <v/>
      </c>
    </row>
    <row r="383" spans="1:26" x14ac:dyDescent="0.35">
      <c r="A383" s="18"/>
      <c r="B383" s="26"/>
      <c r="C383" s="18"/>
      <c r="D383" s="18"/>
      <c r="E383" s="22" t="str">
        <f>IFERROR(VLOOKUP(D383,Clientes_PDV!$A$2:$J$250,2,FALSE),"")</f>
        <v/>
      </c>
      <c r="F383" s="22" t="str">
        <f>IFERROR(VLOOKUP(D383,Clientes_PDV!$A$2:$J$250,3,FALSE),"")</f>
        <v/>
      </c>
      <c r="G383" s="22" t="str">
        <f>IFERROR(VLOOKUP(D383,Clientes_PDV!$A$2:$J$250,4,FALSE),"")</f>
        <v/>
      </c>
      <c r="H383" s="18"/>
      <c r="I383" s="22" t="str">
        <f>IFERROR(VLOOKUP(H383,Maestro_SKU!$A$2:$P$500,2,FALSE),"")</f>
        <v/>
      </c>
      <c r="J383" s="27"/>
      <c r="K383" s="19"/>
      <c r="L383" s="23" t="str">
        <f t="shared" si="40"/>
        <v/>
      </c>
      <c r="M383" s="23" t="str">
        <f>IF(L383="","",L383*Inicio!$B$13)</f>
        <v/>
      </c>
      <c r="N383" s="23" t="str">
        <f t="shared" si="41"/>
        <v/>
      </c>
      <c r="O383" s="26"/>
      <c r="P383" s="18"/>
      <c r="Q383" s="19"/>
      <c r="R383" s="23" t="str">
        <f t="shared" si="42"/>
        <v/>
      </c>
      <c r="S383" s="22" t="str">
        <f ca="1">IF(A383="","",IF(OR(P383="Pagada",R383=0),"Pagada",IF(O383&lt;TODAY(),"Vencida",IF(O383&lt;=TODAY()+Inicio!$B$19,"Próxima a vencer","Vigente"))))</f>
        <v/>
      </c>
      <c r="T383" s="18"/>
      <c r="U383" s="37" t="str">
        <f t="shared" si="43"/>
        <v/>
      </c>
      <c r="V383" s="37" t="str">
        <f t="shared" si="44"/>
        <v/>
      </c>
      <c r="W383" s="37" t="str">
        <f t="shared" si="45"/>
        <v/>
      </c>
      <c r="X383" s="37" t="str">
        <f t="shared" si="46"/>
        <v/>
      </c>
      <c r="Y383" s="37" t="str">
        <f>IF(OR($H383="",$J383=""),"",$J383*IFERROR(VLOOKUP($H383,Maestro_SKU!$A$2:$P$500,12,FALSE),1))</f>
        <v/>
      </c>
      <c r="Z383" s="37" t="str">
        <f t="shared" ca="1" si="47"/>
        <v/>
      </c>
    </row>
    <row r="384" spans="1:26" x14ac:dyDescent="0.35">
      <c r="A384" s="18"/>
      <c r="B384" s="26"/>
      <c r="C384" s="18"/>
      <c r="D384" s="18"/>
      <c r="E384" s="22" t="str">
        <f>IFERROR(VLOOKUP(D384,Clientes_PDV!$A$2:$J$250,2,FALSE),"")</f>
        <v/>
      </c>
      <c r="F384" s="22" t="str">
        <f>IFERROR(VLOOKUP(D384,Clientes_PDV!$A$2:$J$250,3,FALSE),"")</f>
        <v/>
      </c>
      <c r="G384" s="22" t="str">
        <f>IFERROR(VLOOKUP(D384,Clientes_PDV!$A$2:$J$250,4,FALSE),"")</f>
        <v/>
      </c>
      <c r="H384" s="18"/>
      <c r="I384" s="22" t="str">
        <f>IFERROR(VLOOKUP(H384,Maestro_SKU!$A$2:$P$500,2,FALSE),"")</f>
        <v/>
      </c>
      <c r="J384" s="27"/>
      <c r="K384" s="19"/>
      <c r="L384" s="23" t="str">
        <f t="shared" si="40"/>
        <v/>
      </c>
      <c r="M384" s="23" t="str">
        <f>IF(L384="","",L384*Inicio!$B$13)</f>
        <v/>
      </c>
      <c r="N384" s="23" t="str">
        <f t="shared" si="41"/>
        <v/>
      </c>
      <c r="O384" s="26"/>
      <c r="P384" s="18"/>
      <c r="Q384" s="19"/>
      <c r="R384" s="23" t="str">
        <f t="shared" si="42"/>
        <v/>
      </c>
      <c r="S384" s="22" t="str">
        <f ca="1">IF(A384="","",IF(OR(P384="Pagada",R384=0),"Pagada",IF(O384&lt;TODAY(),"Vencida",IF(O384&lt;=TODAY()+Inicio!$B$19,"Próxima a vencer","Vigente"))))</f>
        <v/>
      </c>
      <c r="T384" s="18"/>
      <c r="U384" s="37" t="str">
        <f t="shared" si="43"/>
        <v/>
      </c>
      <c r="V384" s="37" t="str">
        <f t="shared" si="44"/>
        <v/>
      </c>
      <c r="W384" s="37" t="str">
        <f t="shared" si="45"/>
        <v/>
      </c>
      <c r="X384" s="37" t="str">
        <f t="shared" si="46"/>
        <v/>
      </c>
      <c r="Y384" s="37" t="str">
        <f>IF(OR($H384="",$J384=""),"",$J384*IFERROR(VLOOKUP($H384,Maestro_SKU!$A$2:$P$500,12,FALSE),1))</f>
        <v/>
      </c>
      <c r="Z384" s="37" t="str">
        <f t="shared" ca="1" si="47"/>
        <v/>
      </c>
    </row>
    <row r="385" spans="1:26" x14ac:dyDescent="0.35">
      <c r="A385" s="18"/>
      <c r="B385" s="26"/>
      <c r="C385" s="18"/>
      <c r="D385" s="18"/>
      <c r="E385" s="22" t="str">
        <f>IFERROR(VLOOKUP(D385,Clientes_PDV!$A$2:$J$250,2,FALSE),"")</f>
        <v/>
      </c>
      <c r="F385" s="22" t="str">
        <f>IFERROR(VLOOKUP(D385,Clientes_PDV!$A$2:$J$250,3,FALSE),"")</f>
        <v/>
      </c>
      <c r="G385" s="22" t="str">
        <f>IFERROR(VLOOKUP(D385,Clientes_PDV!$A$2:$J$250,4,FALSE),"")</f>
        <v/>
      </c>
      <c r="H385" s="18"/>
      <c r="I385" s="22" t="str">
        <f>IFERROR(VLOOKUP(H385,Maestro_SKU!$A$2:$P$500,2,FALSE),"")</f>
        <v/>
      </c>
      <c r="J385" s="27"/>
      <c r="K385" s="19"/>
      <c r="L385" s="23" t="str">
        <f t="shared" si="40"/>
        <v/>
      </c>
      <c r="M385" s="23" t="str">
        <f>IF(L385="","",L385*Inicio!$B$13)</f>
        <v/>
      </c>
      <c r="N385" s="23" t="str">
        <f t="shared" si="41"/>
        <v/>
      </c>
      <c r="O385" s="26"/>
      <c r="P385" s="18"/>
      <c r="Q385" s="19"/>
      <c r="R385" s="23" t="str">
        <f t="shared" si="42"/>
        <v/>
      </c>
      <c r="S385" s="22" t="str">
        <f ca="1">IF(A385="","",IF(OR(P385="Pagada",R385=0),"Pagada",IF(O385&lt;TODAY(),"Vencida",IF(O385&lt;=TODAY()+Inicio!$B$19,"Próxima a vencer","Vigente"))))</f>
        <v/>
      </c>
      <c r="T385" s="18"/>
      <c r="U385" s="37" t="str">
        <f t="shared" si="43"/>
        <v/>
      </c>
      <c r="V385" s="37" t="str">
        <f t="shared" si="44"/>
        <v/>
      </c>
      <c r="W385" s="37" t="str">
        <f t="shared" si="45"/>
        <v/>
      </c>
      <c r="X385" s="37" t="str">
        <f t="shared" si="46"/>
        <v/>
      </c>
      <c r="Y385" s="37" t="str">
        <f>IF(OR($H385="",$J385=""),"",$J385*IFERROR(VLOOKUP($H385,Maestro_SKU!$A$2:$P$500,12,FALSE),1))</f>
        <v/>
      </c>
      <c r="Z385" s="37" t="str">
        <f t="shared" ca="1" si="47"/>
        <v/>
      </c>
    </row>
    <row r="386" spans="1:26" x14ac:dyDescent="0.35">
      <c r="A386" s="18"/>
      <c r="B386" s="26"/>
      <c r="C386" s="18"/>
      <c r="D386" s="18"/>
      <c r="E386" s="22" t="str">
        <f>IFERROR(VLOOKUP(D386,Clientes_PDV!$A$2:$J$250,2,FALSE),"")</f>
        <v/>
      </c>
      <c r="F386" s="22" t="str">
        <f>IFERROR(VLOOKUP(D386,Clientes_PDV!$A$2:$J$250,3,FALSE),"")</f>
        <v/>
      </c>
      <c r="G386" s="22" t="str">
        <f>IFERROR(VLOOKUP(D386,Clientes_PDV!$A$2:$J$250,4,FALSE),"")</f>
        <v/>
      </c>
      <c r="H386" s="18"/>
      <c r="I386" s="22" t="str">
        <f>IFERROR(VLOOKUP(H386,Maestro_SKU!$A$2:$P$500,2,FALSE),"")</f>
        <v/>
      </c>
      <c r="J386" s="27"/>
      <c r="K386" s="19"/>
      <c r="L386" s="23" t="str">
        <f t="shared" ref="L386:L449" si="48">IF(OR(J386="",K386=""),"",J386*K386)</f>
        <v/>
      </c>
      <c r="M386" s="23" t="str">
        <f>IF(L386="","",L386*Inicio!$B$13)</f>
        <v/>
      </c>
      <c r="N386" s="23" t="str">
        <f t="shared" ref="N386:N449" si="49">IF(L386="","",L386+M386)</f>
        <v/>
      </c>
      <c r="O386" s="26"/>
      <c r="P386" s="18"/>
      <c r="Q386" s="19"/>
      <c r="R386" s="23" t="str">
        <f t="shared" ref="R386:R449" si="50">IF(N386="","",MAX(N386-Q386,0))</f>
        <v/>
      </c>
      <c r="S386" s="22" t="str">
        <f ca="1">IF(A386="","",IF(OR(P386="Pagada",R386=0),"Pagada",IF(O386&lt;TODAY(),"Vencida",IF(O386&lt;=TODAY()+Inicio!$B$19,"Próxima a vencer","Vigente"))))</f>
        <v/>
      </c>
      <c r="T386" s="18"/>
      <c r="U386" s="37" t="str">
        <f t="shared" ref="U386:U449" si="51">IF($B386="","",YEAR($B386))</f>
        <v/>
      </c>
      <c r="V386" s="37" t="str">
        <f t="shared" ref="V386:V449" si="52">IF($B386="","",MONTH($B386))</f>
        <v/>
      </c>
      <c r="W386" s="37" t="str">
        <f t="shared" ref="W386:W449" si="53">IF($B386="","",DAY($B386))</f>
        <v/>
      </c>
      <c r="X386" s="37" t="str">
        <f t="shared" ref="X386:X449" si="54">IF($B386="","",YEAR($B386)&amp;"-"&amp;TEXT(MONTH($B386),"00"))</f>
        <v/>
      </c>
      <c r="Y386" s="37" t="str">
        <f>IF(OR($H386="",$J386=""),"",$J386*IFERROR(VLOOKUP($H386,Maestro_SKU!$A$2:$P$500,12,FALSE),1))</f>
        <v/>
      </c>
      <c r="Z386" s="37" t="str">
        <f t="shared" ref="Z386:Z449" ca="1" si="55">IF(OR($A386="",$O386="",$S386="Pagada"),"",$O386-TODAY())</f>
        <v/>
      </c>
    </row>
    <row r="387" spans="1:26" x14ac:dyDescent="0.35">
      <c r="A387" s="18"/>
      <c r="B387" s="26"/>
      <c r="C387" s="18"/>
      <c r="D387" s="18"/>
      <c r="E387" s="22" t="str">
        <f>IFERROR(VLOOKUP(D387,Clientes_PDV!$A$2:$J$250,2,FALSE),"")</f>
        <v/>
      </c>
      <c r="F387" s="22" t="str">
        <f>IFERROR(VLOOKUP(D387,Clientes_PDV!$A$2:$J$250,3,FALSE),"")</f>
        <v/>
      </c>
      <c r="G387" s="22" t="str">
        <f>IFERROR(VLOOKUP(D387,Clientes_PDV!$A$2:$J$250,4,FALSE),"")</f>
        <v/>
      </c>
      <c r="H387" s="18"/>
      <c r="I387" s="22" t="str">
        <f>IFERROR(VLOOKUP(H387,Maestro_SKU!$A$2:$P$500,2,FALSE),"")</f>
        <v/>
      </c>
      <c r="J387" s="27"/>
      <c r="K387" s="19"/>
      <c r="L387" s="23" t="str">
        <f t="shared" si="48"/>
        <v/>
      </c>
      <c r="M387" s="23" t="str">
        <f>IF(L387="","",L387*Inicio!$B$13)</f>
        <v/>
      </c>
      <c r="N387" s="23" t="str">
        <f t="shared" si="49"/>
        <v/>
      </c>
      <c r="O387" s="26"/>
      <c r="P387" s="18"/>
      <c r="Q387" s="19"/>
      <c r="R387" s="23" t="str">
        <f t="shared" si="50"/>
        <v/>
      </c>
      <c r="S387" s="22" t="str">
        <f ca="1">IF(A387="","",IF(OR(P387="Pagada",R387=0),"Pagada",IF(O387&lt;TODAY(),"Vencida",IF(O387&lt;=TODAY()+Inicio!$B$19,"Próxima a vencer","Vigente"))))</f>
        <v/>
      </c>
      <c r="T387" s="18"/>
      <c r="U387" s="37" t="str">
        <f t="shared" si="51"/>
        <v/>
      </c>
      <c r="V387" s="37" t="str">
        <f t="shared" si="52"/>
        <v/>
      </c>
      <c r="W387" s="37" t="str">
        <f t="shared" si="53"/>
        <v/>
      </c>
      <c r="X387" s="37" t="str">
        <f t="shared" si="54"/>
        <v/>
      </c>
      <c r="Y387" s="37" t="str">
        <f>IF(OR($H387="",$J387=""),"",$J387*IFERROR(VLOOKUP($H387,Maestro_SKU!$A$2:$P$500,12,FALSE),1))</f>
        <v/>
      </c>
      <c r="Z387" s="37" t="str">
        <f t="shared" ca="1" si="55"/>
        <v/>
      </c>
    </row>
    <row r="388" spans="1:26" x14ac:dyDescent="0.35">
      <c r="A388" s="18"/>
      <c r="B388" s="26"/>
      <c r="C388" s="18"/>
      <c r="D388" s="18"/>
      <c r="E388" s="22" t="str">
        <f>IFERROR(VLOOKUP(D388,Clientes_PDV!$A$2:$J$250,2,FALSE),"")</f>
        <v/>
      </c>
      <c r="F388" s="22" t="str">
        <f>IFERROR(VLOOKUP(D388,Clientes_PDV!$A$2:$J$250,3,FALSE),"")</f>
        <v/>
      </c>
      <c r="G388" s="22" t="str">
        <f>IFERROR(VLOOKUP(D388,Clientes_PDV!$A$2:$J$250,4,FALSE),"")</f>
        <v/>
      </c>
      <c r="H388" s="18"/>
      <c r="I388" s="22" t="str">
        <f>IFERROR(VLOOKUP(H388,Maestro_SKU!$A$2:$P$500,2,FALSE),"")</f>
        <v/>
      </c>
      <c r="J388" s="27"/>
      <c r="K388" s="19"/>
      <c r="L388" s="23" t="str">
        <f t="shared" si="48"/>
        <v/>
      </c>
      <c r="M388" s="23" t="str">
        <f>IF(L388="","",L388*Inicio!$B$13)</f>
        <v/>
      </c>
      <c r="N388" s="23" t="str">
        <f t="shared" si="49"/>
        <v/>
      </c>
      <c r="O388" s="26"/>
      <c r="P388" s="18"/>
      <c r="Q388" s="19"/>
      <c r="R388" s="23" t="str">
        <f t="shared" si="50"/>
        <v/>
      </c>
      <c r="S388" s="22" t="str">
        <f ca="1">IF(A388="","",IF(OR(P388="Pagada",R388=0),"Pagada",IF(O388&lt;TODAY(),"Vencida",IF(O388&lt;=TODAY()+Inicio!$B$19,"Próxima a vencer","Vigente"))))</f>
        <v/>
      </c>
      <c r="T388" s="18"/>
      <c r="U388" s="37" t="str">
        <f t="shared" si="51"/>
        <v/>
      </c>
      <c r="V388" s="37" t="str">
        <f t="shared" si="52"/>
        <v/>
      </c>
      <c r="W388" s="37" t="str">
        <f t="shared" si="53"/>
        <v/>
      </c>
      <c r="X388" s="37" t="str">
        <f t="shared" si="54"/>
        <v/>
      </c>
      <c r="Y388" s="37" t="str">
        <f>IF(OR($H388="",$J388=""),"",$J388*IFERROR(VLOOKUP($H388,Maestro_SKU!$A$2:$P$500,12,FALSE),1))</f>
        <v/>
      </c>
      <c r="Z388" s="37" t="str">
        <f t="shared" ca="1" si="55"/>
        <v/>
      </c>
    </row>
    <row r="389" spans="1:26" x14ac:dyDescent="0.35">
      <c r="A389" s="18"/>
      <c r="B389" s="26"/>
      <c r="C389" s="18"/>
      <c r="D389" s="18"/>
      <c r="E389" s="22" t="str">
        <f>IFERROR(VLOOKUP(D389,Clientes_PDV!$A$2:$J$250,2,FALSE),"")</f>
        <v/>
      </c>
      <c r="F389" s="22" t="str">
        <f>IFERROR(VLOOKUP(D389,Clientes_PDV!$A$2:$J$250,3,FALSE),"")</f>
        <v/>
      </c>
      <c r="G389" s="22" t="str">
        <f>IFERROR(VLOOKUP(D389,Clientes_PDV!$A$2:$J$250,4,FALSE),"")</f>
        <v/>
      </c>
      <c r="H389" s="18"/>
      <c r="I389" s="22" t="str">
        <f>IFERROR(VLOOKUP(H389,Maestro_SKU!$A$2:$P$500,2,FALSE),"")</f>
        <v/>
      </c>
      <c r="J389" s="27"/>
      <c r="K389" s="19"/>
      <c r="L389" s="23" t="str">
        <f t="shared" si="48"/>
        <v/>
      </c>
      <c r="M389" s="23" t="str">
        <f>IF(L389="","",L389*Inicio!$B$13)</f>
        <v/>
      </c>
      <c r="N389" s="23" t="str">
        <f t="shared" si="49"/>
        <v/>
      </c>
      <c r="O389" s="26"/>
      <c r="P389" s="18"/>
      <c r="Q389" s="19"/>
      <c r="R389" s="23" t="str">
        <f t="shared" si="50"/>
        <v/>
      </c>
      <c r="S389" s="22" t="str">
        <f ca="1">IF(A389="","",IF(OR(P389="Pagada",R389=0),"Pagada",IF(O389&lt;TODAY(),"Vencida",IF(O389&lt;=TODAY()+Inicio!$B$19,"Próxima a vencer","Vigente"))))</f>
        <v/>
      </c>
      <c r="T389" s="18"/>
      <c r="U389" s="37" t="str">
        <f t="shared" si="51"/>
        <v/>
      </c>
      <c r="V389" s="37" t="str">
        <f t="shared" si="52"/>
        <v/>
      </c>
      <c r="W389" s="37" t="str">
        <f t="shared" si="53"/>
        <v/>
      </c>
      <c r="X389" s="37" t="str">
        <f t="shared" si="54"/>
        <v/>
      </c>
      <c r="Y389" s="37" t="str">
        <f>IF(OR($H389="",$J389=""),"",$J389*IFERROR(VLOOKUP($H389,Maestro_SKU!$A$2:$P$500,12,FALSE),1))</f>
        <v/>
      </c>
      <c r="Z389" s="37" t="str">
        <f t="shared" ca="1" si="55"/>
        <v/>
      </c>
    </row>
    <row r="390" spans="1:26" x14ac:dyDescent="0.35">
      <c r="A390" s="18"/>
      <c r="B390" s="26"/>
      <c r="C390" s="18"/>
      <c r="D390" s="18"/>
      <c r="E390" s="22" t="str">
        <f>IFERROR(VLOOKUP(D390,Clientes_PDV!$A$2:$J$250,2,FALSE),"")</f>
        <v/>
      </c>
      <c r="F390" s="22" t="str">
        <f>IFERROR(VLOOKUP(D390,Clientes_PDV!$A$2:$J$250,3,FALSE),"")</f>
        <v/>
      </c>
      <c r="G390" s="22" t="str">
        <f>IFERROR(VLOOKUP(D390,Clientes_PDV!$A$2:$J$250,4,FALSE),"")</f>
        <v/>
      </c>
      <c r="H390" s="18"/>
      <c r="I390" s="22" t="str">
        <f>IFERROR(VLOOKUP(H390,Maestro_SKU!$A$2:$P$500,2,FALSE),"")</f>
        <v/>
      </c>
      <c r="J390" s="27"/>
      <c r="K390" s="19"/>
      <c r="L390" s="23" t="str">
        <f t="shared" si="48"/>
        <v/>
      </c>
      <c r="M390" s="23" t="str">
        <f>IF(L390="","",L390*Inicio!$B$13)</f>
        <v/>
      </c>
      <c r="N390" s="23" t="str">
        <f t="shared" si="49"/>
        <v/>
      </c>
      <c r="O390" s="26"/>
      <c r="P390" s="18"/>
      <c r="Q390" s="19"/>
      <c r="R390" s="23" t="str">
        <f t="shared" si="50"/>
        <v/>
      </c>
      <c r="S390" s="22" t="str">
        <f ca="1">IF(A390="","",IF(OR(P390="Pagada",R390=0),"Pagada",IF(O390&lt;TODAY(),"Vencida",IF(O390&lt;=TODAY()+Inicio!$B$19,"Próxima a vencer","Vigente"))))</f>
        <v/>
      </c>
      <c r="T390" s="18"/>
      <c r="U390" s="37" t="str">
        <f t="shared" si="51"/>
        <v/>
      </c>
      <c r="V390" s="37" t="str">
        <f t="shared" si="52"/>
        <v/>
      </c>
      <c r="W390" s="37" t="str">
        <f t="shared" si="53"/>
        <v/>
      </c>
      <c r="X390" s="37" t="str">
        <f t="shared" si="54"/>
        <v/>
      </c>
      <c r="Y390" s="37" t="str">
        <f>IF(OR($H390="",$J390=""),"",$J390*IFERROR(VLOOKUP($H390,Maestro_SKU!$A$2:$P$500,12,FALSE),1))</f>
        <v/>
      </c>
      <c r="Z390" s="37" t="str">
        <f t="shared" ca="1" si="55"/>
        <v/>
      </c>
    </row>
    <row r="391" spans="1:26" x14ac:dyDescent="0.35">
      <c r="A391" s="18"/>
      <c r="B391" s="26"/>
      <c r="C391" s="18"/>
      <c r="D391" s="18"/>
      <c r="E391" s="22" t="str">
        <f>IFERROR(VLOOKUP(D391,Clientes_PDV!$A$2:$J$250,2,FALSE),"")</f>
        <v/>
      </c>
      <c r="F391" s="22" t="str">
        <f>IFERROR(VLOOKUP(D391,Clientes_PDV!$A$2:$J$250,3,FALSE),"")</f>
        <v/>
      </c>
      <c r="G391" s="22" t="str">
        <f>IFERROR(VLOOKUP(D391,Clientes_PDV!$A$2:$J$250,4,FALSE),"")</f>
        <v/>
      </c>
      <c r="H391" s="18"/>
      <c r="I391" s="22" t="str">
        <f>IFERROR(VLOOKUP(H391,Maestro_SKU!$A$2:$P$500,2,FALSE),"")</f>
        <v/>
      </c>
      <c r="J391" s="27"/>
      <c r="K391" s="19"/>
      <c r="L391" s="23" t="str">
        <f t="shared" si="48"/>
        <v/>
      </c>
      <c r="M391" s="23" t="str">
        <f>IF(L391="","",L391*Inicio!$B$13)</f>
        <v/>
      </c>
      <c r="N391" s="23" t="str">
        <f t="shared" si="49"/>
        <v/>
      </c>
      <c r="O391" s="26"/>
      <c r="P391" s="18"/>
      <c r="Q391" s="19"/>
      <c r="R391" s="23" t="str">
        <f t="shared" si="50"/>
        <v/>
      </c>
      <c r="S391" s="22" t="str">
        <f ca="1">IF(A391="","",IF(OR(P391="Pagada",R391=0),"Pagada",IF(O391&lt;TODAY(),"Vencida",IF(O391&lt;=TODAY()+Inicio!$B$19,"Próxima a vencer","Vigente"))))</f>
        <v/>
      </c>
      <c r="T391" s="18"/>
      <c r="U391" s="37" t="str">
        <f t="shared" si="51"/>
        <v/>
      </c>
      <c r="V391" s="37" t="str">
        <f t="shared" si="52"/>
        <v/>
      </c>
      <c r="W391" s="37" t="str">
        <f t="shared" si="53"/>
        <v/>
      </c>
      <c r="X391" s="37" t="str">
        <f t="shared" si="54"/>
        <v/>
      </c>
      <c r="Y391" s="37" t="str">
        <f>IF(OR($H391="",$J391=""),"",$J391*IFERROR(VLOOKUP($H391,Maestro_SKU!$A$2:$P$500,12,FALSE),1))</f>
        <v/>
      </c>
      <c r="Z391" s="37" t="str">
        <f t="shared" ca="1" si="55"/>
        <v/>
      </c>
    </row>
    <row r="392" spans="1:26" x14ac:dyDescent="0.35">
      <c r="A392" s="18"/>
      <c r="B392" s="26"/>
      <c r="C392" s="18"/>
      <c r="D392" s="18"/>
      <c r="E392" s="22" t="str">
        <f>IFERROR(VLOOKUP(D392,Clientes_PDV!$A$2:$J$250,2,FALSE),"")</f>
        <v/>
      </c>
      <c r="F392" s="22" t="str">
        <f>IFERROR(VLOOKUP(D392,Clientes_PDV!$A$2:$J$250,3,FALSE),"")</f>
        <v/>
      </c>
      <c r="G392" s="22" t="str">
        <f>IFERROR(VLOOKUP(D392,Clientes_PDV!$A$2:$J$250,4,FALSE),"")</f>
        <v/>
      </c>
      <c r="H392" s="18"/>
      <c r="I392" s="22" t="str">
        <f>IFERROR(VLOOKUP(H392,Maestro_SKU!$A$2:$P$500,2,FALSE),"")</f>
        <v/>
      </c>
      <c r="J392" s="27"/>
      <c r="K392" s="19"/>
      <c r="L392" s="23" t="str">
        <f t="shared" si="48"/>
        <v/>
      </c>
      <c r="M392" s="23" t="str">
        <f>IF(L392="","",L392*Inicio!$B$13)</f>
        <v/>
      </c>
      <c r="N392" s="23" t="str">
        <f t="shared" si="49"/>
        <v/>
      </c>
      <c r="O392" s="26"/>
      <c r="P392" s="18"/>
      <c r="Q392" s="19"/>
      <c r="R392" s="23" t="str">
        <f t="shared" si="50"/>
        <v/>
      </c>
      <c r="S392" s="22" t="str">
        <f ca="1">IF(A392="","",IF(OR(P392="Pagada",R392=0),"Pagada",IF(O392&lt;TODAY(),"Vencida",IF(O392&lt;=TODAY()+Inicio!$B$19,"Próxima a vencer","Vigente"))))</f>
        <v/>
      </c>
      <c r="T392" s="18"/>
      <c r="U392" s="37" t="str">
        <f t="shared" si="51"/>
        <v/>
      </c>
      <c r="V392" s="37" t="str">
        <f t="shared" si="52"/>
        <v/>
      </c>
      <c r="W392" s="37" t="str">
        <f t="shared" si="53"/>
        <v/>
      </c>
      <c r="X392" s="37" t="str">
        <f t="shared" si="54"/>
        <v/>
      </c>
      <c r="Y392" s="37" t="str">
        <f>IF(OR($H392="",$J392=""),"",$J392*IFERROR(VLOOKUP($H392,Maestro_SKU!$A$2:$P$500,12,FALSE),1))</f>
        <v/>
      </c>
      <c r="Z392" s="37" t="str">
        <f t="shared" ca="1" si="55"/>
        <v/>
      </c>
    </row>
    <row r="393" spans="1:26" x14ac:dyDescent="0.35">
      <c r="A393" s="18"/>
      <c r="B393" s="26"/>
      <c r="C393" s="18"/>
      <c r="D393" s="18"/>
      <c r="E393" s="22" t="str">
        <f>IFERROR(VLOOKUP(D393,Clientes_PDV!$A$2:$J$250,2,FALSE),"")</f>
        <v/>
      </c>
      <c r="F393" s="22" t="str">
        <f>IFERROR(VLOOKUP(D393,Clientes_PDV!$A$2:$J$250,3,FALSE),"")</f>
        <v/>
      </c>
      <c r="G393" s="22" t="str">
        <f>IFERROR(VLOOKUP(D393,Clientes_PDV!$A$2:$J$250,4,FALSE),"")</f>
        <v/>
      </c>
      <c r="H393" s="18"/>
      <c r="I393" s="22" t="str">
        <f>IFERROR(VLOOKUP(H393,Maestro_SKU!$A$2:$P$500,2,FALSE),"")</f>
        <v/>
      </c>
      <c r="J393" s="27"/>
      <c r="K393" s="19"/>
      <c r="L393" s="23" t="str">
        <f t="shared" si="48"/>
        <v/>
      </c>
      <c r="M393" s="23" t="str">
        <f>IF(L393="","",L393*Inicio!$B$13)</f>
        <v/>
      </c>
      <c r="N393" s="23" t="str">
        <f t="shared" si="49"/>
        <v/>
      </c>
      <c r="O393" s="26"/>
      <c r="P393" s="18"/>
      <c r="Q393" s="19"/>
      <c r="R393" s="23" t="str">
        <f t="shared" si="50"/>
        <v/>
      </c>
      <c r="S393" s="22" t="str">
        <f ca="1">IF(A393="","",IF(OR(P393="Pagada",R393=0),"Pagada",IF(O393&lt;TODAY(),"Vencida",IF(O393&lt;=TODAY()+Inicio!$B$19,"Próxima a vencer","Vigente"))))</f>
        <v/>
      </c>
      <c r="T393" s="18"/>
      <c r="U393" s="37" t="str">
        <f t="shared" si="51"/>
        <v/>
      </c>
      <c r="V393" s="37" t="str">
        <f t="shared" si="52"/>
        <v/>
      </c>
      <c r="W393" s="37" t="str">
        <f t="shared" si="53"/>
        <v/>
      </c>
      <c r="X393" s="37" t="str">
        <f t="shared" si="54"/>
        <v/>
      </c>
      <c r="Y393" s="37" t="str">
        <f>IF(OR($H393="",$J393=""),"",$J393*IFERROR(VLOOKUP($H393,Maestro_SKU!$A$2:$P$500,12,FALSE),1))</f>
        <v/>
      </c>
      <c r="Z393" s="37" t="str">
        <f t="shared" ca="1" si="55"/>
        <v/>
      </c>
    </row>
    <row r="394" spans="1:26" x14ac:dyDescent="0.35">
      <c r="A394" s="18"/>
      <c r="B394" s="26"/>
      <c r="C394" s="18"/>
      <c r="D394" s="18"/>
      <c r="E394" s="22" t="str">
        <f>IFERROR(VLOOKUP(D394,Clientes_PDV!$A$2:$J$250,2,FALSE),"")</f>
        <v/>
      </c>
      <c r="F394" s="22" t="str">
        <f>IFERROR(VLOOKUP(D394,Clientes_PDV!$A$2:$J$250,3,FALSE),"")</f>
        <v/>
      </c>
      <c r="G394" s="22" t="str">
        <f>IFERROR(VLOOKUP(D394,Clientes_PDV!$A$2:$J$250,4,FALSE),"")</f>
        <v/>
      </c>
      <c r="H394" s="18"/>
      <c r="I394" s="22" t="str">
        <f>IFERROR(VLOOKUP(H394,Maestro_SKU!$A$2:$P$500,2,FALSE),"")</f>
        <v/>
      </c>
      <c r="J394" s="27"/>
      <c r="K394" s="19"/>
      <c r="L394" s="23" t="str">
        <f t="shared" si="48"/>
        <v/>
      </c>
      <c r="M394" s="23" t="str">
        <f>IF(L394="","",L394*Inicio!$B$13)</f>
        <v/>
      </c>
      <c r="N394" s="23" t="str">
        <f t="shared" si="49"/>
        <v/>
      </c>
      <c r="O394" s="26"/>
      <c r="P394" s="18"/>
      <c r="Q394" s="19"/>
      <c r="R394" s="23" t="str">
        <f t="shared" si="50"/>
        <v/>
      </c>
      <c r="S394" s="22" t="str">
        <f ca="1">IF(A394="","",IF(OR(P394="Pagada",R394=0),"Pagada",IF(O394&lt;TODAY(),"Vencida",IF(O394&lt;=TODAY()+Inicio!$B$19,"Próxima a vencer","Vigente"))))</f>
        <v/>
      </c>
      <c r="T394" s="18"/>
      <c r="U394" s="37" t="str">
        <f t="shared" si="51"/>
        <v/>
      </c>
      <c r="V394" s="37" t="str">
        <f t="shared" si="52"/>
        <v/>
      </c>
      <c r="W394" s="37" t="str">
        <f t="shared" si="53"/>
        <v/>
      </c>
      <c r="X394" s="37" t="str">
        <f t="shared" si="54"/>
        <v/>
      </c>
      <c r="Y394" s="37" t="str">
        <f>IF(OR($H394="",$J394=""),"",$J394*IFERROR(VLOOKUP($H394,Maestro_SKU!$A$2:$P$500,12,FALSE),1))</f>
        <v/>
      </c>
      <c r="Z394" s="37" t="str">
        <f t="shared" ca="1" si="55"/>
        <v/>
      </c>
    </row>
    <row r="395" spans="1:26" x14ac:dyDescent="0.35">
      <c r="A395" s="18"/>
      <c r="B395" s="26"/>
      <c r="C395" s="18"/>
      <c r="D395" s="18"/>
      <c r="E395" s="22" t="str">
        <f>IFERROR(VLOOKUP(D395,Clientes_PDV!$A$2:$J$250,2,FALSE),"")</f>
        <v/>
      </c>
      <c r="F395" s="22" t="str">
        <f>IFERROR(VLOOKUP(D395,Clientes_PDV!$A$2:$J$250,3,FALSE),"")</f>
        <v/>
      </c>
      <c r="G395" s="22" t="str">
        <f>IFERROR(VLOOKUP(D395,Clientes_PDV!$A$2:$J$250,4,FALSE),"")</f>
        <v/>
      </c>
      <c r="H395" s="18"/>
      <c r="I395" s="22" t="str">
        <f>IFERROR(VLOOKUP(H395,Maestro_SKU!$A$2:$P$500,2,FALSE),"")</f>
        <v/>
      </c>
      <c r="J395" s="27"/>
      <c r="K395" s="19"/>
      <c r="L395" s="23" t="str">
        <f t="shared" si="48"/>
        <v/>
      </c>
      <c r="M395" s="23" t="str">
        <f>IF(L395="","",L395*Inicio!$B$13)</f>
        <v/>
      </c>
      <c r="N395" s="23" t="str">
        <f t="shared" si="49"/>
        <v/>
      </c>
      <c r="O395" s="26"/>
      <c r="P395" s="18"/>
      <c r="Q395" s="19"/>
      <c r="R395" s="23" t="str">
        <f t="shared" si="50"/>
        <v/>
      </c>
      <c r="S395" s="22" t="str">
        <f ca="1">IF(A395="","",IF(OR(P395="Pagada",R395=0),"Pagada",IF(O395&lt;TODAY(),"Vencida",IF(O395&lt;=TODAY()+Inicio!$B$19,"Próxima a vencer","Vigente"))))</f>
        <v/>
      </c>
      <c r="T395" s="18"/>
      <c r="U395" s="37" t="str">
        <f t="shared" si="51"/>
        <v/>
      </c>
      <c r="V395" s="37" t="str">
        <f t="shared" si="52"/>
        <v/>
      </c>
      <c r="W395" s="37" t="str">
        <f t="shared" si="53"/>
        <v/>
      </c>
      <c r="X395" s="37" t="str">
        <f t="shared" si="54"/>
        <v/>
      </c>
      <c r="Y395" s="37" t="str">
        <f>IF(OR($H395="",$J395=""),"",$J395*IFERROR(VLOOKUP($H395,Maestro_SKU!$A$2:$P$500,12,FALSE),1))</f>
        <v/>
      </c>
      <c r="Z395" s="37" t="str">
        <f t="shared" ca="1" si="55"/>
        <v/>
      </c>
    </row>
    <row r="396" spans="1:26" x14ac:dyDescent="0.35">
      <c r="A396" s="18"/>
      <c r="B396" s="26"/>
      <c r="C396" s="18"/>
      <c r="D396" s="18"/>
      <c r="E396" s="22" t="str">
        <f>IFERROR(VLOOKUP(D396,Clientes_PDV!$A$2:$J$250,2,FALSE),"")</f>
        <v/>
      </c>
      <c r="F396" s="22" t="str">
        <f>IFERROR(VLOOKUP(D396,Clientes_PDV!$A$2:$J$250,3,FALSE),"")</f>
        <v/>
      </c>
      <c r="G396" s="22" t="str">
        <f>IFERROR(VLOOKUP(D396,Clientes_PDV!$A$2:$J$250,4,FALSE),"")</f>
        <v/>
      </c>
      <c r="H396" s="18"/>
      <c r="I396" s="22" t="str">
        <f>IFERROR(VLOOKUP(H396,Maestro_SKU!$A$2:$P$500,2,FALSE),"")</f>
        <v/>
      </c>
      <c r="J396" s="27"/>
      <c r="K396" s="19"/>
      <c r="L396" s="23" t="str">
        <f t="shared" si="48"/>
        <v/>
      </c>
      <c r="M396" s="23" t="str">
        <f>IF(L396="","",L396*Inicio!$B$13)</f>
        <v/>
      </c>
      <c r="N396" s="23" t="str">
        <f t="shared" si="49"/>
        <v/>
      </c>
      <c r="O396" s="26"/>
      <c r="P396" s="18"/>
      <c r="Q396" s="19"/>
      <c r="R396" s="23" t="str">
        <f t="shared" si="50"/>
        <v/>
      </c>
      <c r="S396" s="22" t="str">
        <f ca="1">IF(A396="","",IF(OR(P396="Pagada",R396=0),"Pagada",IF(O396&lt;TODAY(),"Vencida",IF(O396&lt;=TODAY()+Inicio!$B$19,"Próxima a vencer","Vigente"))))</f>
        <v/>
      </c>
      <c r="T396" s="18"/>
      <c r="U396" s="37" t="str">
        <f t="shared" si="51"/>
        <v/>
      </c>
      <c r="V396" s="37" t="str">
        <f t="shared" si="52"/>
        <v/>
      </c>
      <c r="W396" s="37" t="str">
        <f t="shared" si="53"/>
        <v/>
      </c>
      <c r="X396" s="37" t="str">
        <f t="shared" si="54"/>
        <v/>
      </c>
      <c r="Y396" s="37" t="str">
        <f>IF(OR($H396="",$J396=""),"",$J396*IFERROR(VLOOKUP($H396,Maestro_SKU!$A$2:$P$500,12,FALSE),1))</f>
        <v/>
      </c>
      <c r="Z396" s="37" t="str">
        <f t="shared" ca="1" si="55"/>
        <v/>
      </c>
    </row>
    <row r="397" spans="1:26" x14ac:dyDescent="0.35">
      <c r="A397" s="18"/>
      <c r="B397" s="26"/>
      <c r="C397" s="18"/>
      <c r="D397" s="18"/>
      <c r="E397" s="22" t="str">
        <f>IFERROR(VLOOKUP(D397,Clientes_PDV!$A$2:$J$250,2,FALSE),"")</f>
        <v/>
      </c>
      <c r="F397" s="22" t="str">
        <f>IFERROR(VLOOKUP(D397,Clientes_PDV!$A$2:$J$250,3,FALSE),"")</f>
        <v/>
      </c>
      <c r="G397" s="22" t="str">
        <f>IFERROR(VLOOKUP(D397,Clientes_PDV!$A$2:$J$250,4,FALSE),"")</f>
        <v/>
      </c>
      <c r="H397" s="18"/>
      <c r="I397" s="22" t="str">
        <f>IFERROR(VLOOKUP(H397,Maestro_SKU!$A$2:$P$500,2,FALSE),"")</f>
        <v/>
      </c>
      <c r="J397" s="27"/>
      <c r="K397" s="19"/>
      <c r="L397" s="23" t="str">
        <f t="shared" si="48"/>
        <v/>
      </c>
      <c r="M397" s="23" t="str">
        <f>IF(L397="","",L397*Inicio!$B$13)</f>
        <v/>
      </c>
      <c r="N397" s="23" t="str">
        <f t="shared" si="49"/>
        <v/>
      </c>
      <c r="O397" s="26"/>
      <c r="P397" s="18"/>
      <c r="Q397" s="19"/>
      <c r="R397" s="23" t="str">
        <f t="shared" si="50"/>
        <v/>
      </c>
      <c r="S397" s="22" t="str">
        <f ca="1">IF(A397="","",IF(OR(P397="Pagada",R397=0),"Pagada",IF(O397&lt;TODAY(),"Vencida",IF(O397&lt;=TODAY()+Inicio!$B$19,"Próxima a vencer","Vigente"))))</f>
        <v/>
      </c>
      <c r="T397" s="18"/>
      <c r="U397" s="37" t="str">
        <f t="shared" si="51"/>
        <v/>
      </c>
      <c r="V397" s="37" t="str">
        <f t="shared" si="52"/>
        <v/>
      </c>
      <c r="W397" s="37" t="str">
        <f t="shared" si="53"/>
        <v/>
      </c>
      <c r="X397" s="37" t="str">
        <f t="shared" si="54"/>
        <v/>
      </c>
      <c r="Y397" s="37" t="str">
        <f>IF(OR($H397="",$J397=""),"",$J397*IFERROR(VLOOKUP($H397,Maestro_SKU!$A$2:$P$500,12,FALSE),1))</f>
        <v/>
      </c>
      <c r="Z397" s="37" t="str">
        <f t="shared" ca="1" si="55"/>
        <v/>
      </c>
    </row>
    <row r="398" spans="1:26" x14ac:dyDescent="0.35">
      <c r="A398" s="18"/>
      <c r="B398" s="26"/>
      <c r="C398" s="18"/>
      <c r="D398" s="18"/>
      <c r="E398" s="22" t="str">
        <f>IFERROR(VLOOKUP(D398,Clientes_PDV!$A$2:$J$250,2,FALSE),"")</f>
        <v/>
      </c>
      <c r="F398" s="22" t="str">
        <f>IFERROR(VLOOKUP(D398,Clientes_PDV!$A$2:$J$250,3,FALSE),"")</f>
        <v/>
      </c>
      <c r="G398" s="22" t="str">
        <f>IFERROR(VLOOKUP(D398,Clientes_PDV!$A$2:$J$250,4,FALSE),"")</f>
        <v/>
      </c>
      <c r="H398" s="18"/>
      <c r="I398" s="22" t="str">
        <f>IFERROR(VLOOKUP(H398,Maestro_SKU!$A$2:$P$500,2,FALSE),"")</f>
        <v/>
      </c>
      <c r="J398" s="27"/>
      <c r="K398" s="19"/>
      <c r="L398" s="23" t="str">
        <f t="shared" si="48"/>
        <v/>
      </c>
      <c r="M398" s="23" t="str">
        <f>IF(L398="","",L398*Inicio!$B$13)</f>
        <v/>
      </c>
      <c r="N398" s="23" t="str">
        <f t="shared" si="49"/>
        <v/>
      </c>
      <c r="O398" s="26"/>
      <c r="P398" s="18"/>
      <c r="Q398" s="19"/>
      <c r="R398" s="23" t="str">
        <f t="shared" si="50"/>
        <v/>
      </c>
      <c r="S398" s="22" t="str">
        <f ca="1">IF(A398="","",IF(OR(P398="Pagada",R398=0),"Pagada",IF(O398&lt;TODAY(),"Vencida",IF(O398&lt;=TODAY()+Inicio!$B$19,"Próxima a vencer","Vigente"))))</f>
        <v/>
      </c>
      <c r="T398" s="18"/>
      <c r="U398" s="37" t="str">
        <f t="shared" si="51"/>
        <v/>
      </c>
      <c r="V398" s="37" t="str">
        <f t="shared" si="52"/>
        <v/>
      </c>
      <c r="W398" s="37" t="str">
        <f t="shared" si="53"/>
        <v/>
      </c>
      <c r="X398" s="37" t="str">
        <f t="shared" si="54"/>
        <v/>
      </c>
      <c r="Y398" s="37" t="str">
        <f>IF(OR($H398="",$J398=""),"",$J398*IFERROR(VLOOKUP($H398,Maestro_SKU!$A$2:$P$500,12,FALSE),1))</f>
        <v/>
      </c>
      <c r="Z398" s="37" t="str">
        <f t="shared" ca="1" si="55"/>
        <v/>
      </c>
    </row>
    <row r="399" spans="1:26" x14ac:dyDescent="0.35">
      <c r="A399" s="18"/>
      <c r="B399" s="26"/>
      <c r="C399" s="18"/>
      <c r="D399" s="18"/>
      <c r="E399" s="22" t="str">
        <f>IFERROR(VLOOKUP(D399,Clientes_PDV!$A$2:$J$250,2,FALSE),"")</f>
        <v/>
      </c>
      <c r="F399" s="22" t="str">
        <f>IFERROR(VLOOKUP(D399,Clientes_PDV!$A$2:$J$250,3,FALSE),"")</f>
        <v/>
      </c>
      <c r="G399" s="22" t="str">
        <f>IFERROR(VLOOKUP(D399,Clientes_PDV!$A$2:$J$250,4,FALSE),"")</f>
        <v/>
      </c>
      <c r="H399" s="18"/>
      <c r="I399" s="22" t="str">
        <f>IFERROR(VLOOKUP(H399,Maestro_SKU!$A$2:$P$500,2,FALSE),"")</f>
        <v/>
      </c>
      <c r="J399" s="27"/>
      <c r="K399" s="19"/>
      <c r="L399" s="23" t="str">
        <f t="shared" si="48"/>
        <v/>
      </c>
      <c r="M399" s="23" t="str">
        <f>IF(L399="","",L399*Inicio!$B$13)</f>
        <v/>
      </c>
      <c r="N399" s="23" t="str">
        <f t="shared" si="49"/>
        <v/>
      </c>
      <c r="O399" s="26"/>
      <c r="P399" s="18"/>
      <c r="Q399" s="19"/>
      <c r="R399" s="23" t="str">
        <f t="shared" si="50"/>
        <v/>
      </c>
      <c r="S399" s="22" t="str">
        <f ca="1">IF(A399="","",IF(OR(P399="Pagada",R399=0),"Pagada",IF(O399&lt;TODAY(),"Vencida",IF(O399&lt;=TODAY()+Inicio!$B$19,"Próxima a vencer","Vigente"))))</f>
        <v/>
      </c>
      <c r="T399" s="18"/>
      <c r="U399" s="37" t="str">
        <f t="shared" si="51"/>
        <v/>
      </c>
      <c r="V399" s="37" t="str">
        <f t="shared" si="52"/>
        <v/>
      </c>
      <c r="W399" s="37" t="str">
        <f t="shared" si="53"/>
        <v/>
      </c>
      <c r="X399" s="37" t="str">
        <f t="shared" si="54"/>
        <v/>
      </c>
      <c r="Y399" s="37" t="str">
        <f>IF(OR($H399="",$J399=""),"",$J399*IFERROR(VLOOKUP($H399,Maestro_SKU!$A$2:$P$500,12,FALSE),1))</f>
        <v/>
      </c>
      <c r="Z399" s="37" t="str">
        <f t="shared" ca="1" si="55"/>
        <v/>
      </c>
    </row>
    <row r="400" spans="1:26" x14ac:dyDescent="0.35">
      <c r="A400" s="18"/>
      <c r="B400" s="26"/>
      <c r="C400" s="18"/>
      <c r="D400" s="18"/>
      <c r="E400" s="22" t="str">
        <f>IFERROR(VLOOKUP(D400,Clientes_PDV!$A$2:$J$250,2,FALSE),"")</f>
        <v/>
      </c>
      <c r="F400" s="22" t="str">
        <f>IFERROR(VLOOKUP(D400,Clientes_PDV!$A$2:$J$250,3,FALSE),"")</f>
        <v/>
      </c>
      <c r="G400" s="22" t="str">
        <f>IFERROR(VLOOKUP(D400,Clientes_PDV!$A$2:$J$250,4,FALSE),"")</f>
        <v/>
      </c>
      <c r="H400" s="18"/>
      <c r="I400" s="22" t="str">
        <f>IFERROR(VLOOKUP(H400,Maestro_SKU!$A$2:$P$500,2,FALSE),"")</f>
        <v/>
      </c>
      <c r="J400" s="27"/>
      <c r="K400" s="19"/>
      <c r="L400" s="23" t="str">
        <f t="shared" si="48"/>
        <v/>
      </c>
      <c r="M400" s="23" t="str">
        <f>IF(L400="","",L400*Inicio!$B$13)</f>
        <v/>
      </c>
      <c r="N400" s="23" t="str">
        <f t="shared" si="49"/>
        <v/>
      </c>
      <c r="O400" s="26"/>
      <c r="P400" s="18"/>
      <c r="Q400" s="19"/>
      <c r="R400" s="23" t="str">
        <f t="shared" si="50"/>
        <v/>
      </c>
      <c r="S400" s="22" t="str">
        <f ca="1">IF(A400="","",IF(OR(P400="Pagada",R400=0),"Pagada",IF(O400&lt;TODAY(),"Vencida",IF(O400&lt;=TODAY()+Inicio!$B$19,"Próxima a vencer","Vigente"))))</f>
        <v/>
      </c>
      <c r="T400" s="18"/>
      <c r="U400" s="37" t="str">
        <f t="shared" si="51"/>
        <v/>
      </c>
      <c r="V400" s="37" t="str">
        <f t="shared" si="52"/>
        <v/>
      </c>
      <c r="W400" s="37" t="str">
        <f t="shared" si="53"/>
        <v/>
      </c>
      <c r="X400" s="37" t="str">
        <f t="shared" si="54"/>
        <v/>
      </c>
      <c r="Y400" s="37" t="str">
        <f>IF(OR($H400="",$J400=""),"",$J400*IFERROR(VLOOKUP($H400,Maestro_SKU!$A$2:$P$500,12,FALSE),1))</f>
        <v/>
      </c>
      <c r="Z400" s="37" t="str">
        <f t="shared" ca="1" si="55"/>
        <v/>
      </c>
    </row>
    <row r="401" spans="1:26" x14ac:dyDescent="0.35">
      <c r="A401" s="18"/>
      <c r="B401" s="26"/>
      <c r="C401" s="18"/>
      <c r="D401" s="18"/>
      <c r="E401" s="22" t="str">
        <f>IFERROR(VLOOKUP(D401,Clientes_PDV!$A$2:$J$250,2,FALSE),"")</f>
        <v/>
      </c>
      <c r="F401" s="22" t="str">
        <f>IFERROR(VLOOKUP(D401,Clientes_PDV!$A$2:$J$250,3,FALSE),"")</f>
        <v/>
      </c>
      <c r="G401" s="22" t="str">
        <f>IFERROR(VLOOKUP(D401,Clientes_PDV!$A$2:$J$250,4,FALSE),"")</f>
        <v/>
      </c>
      <c r="H401" s="18"/>
      <c r="I401" s="22" t="str">
        <f>IFERROR(VLOOKUP(H401,Maestro_SKU!$A$2:$P$500,2,FALSE),"")</f>
        <v/>
      </c>
      <c r="J401" s="27"/>
      <c r="K401" s="19"/>
      <c r="L401" s="23" t="str">
        <f t="shared" si="48"/>
        <v/>
      </c>
      <c r="M401" s="23" t="str">
        <f>IF(L401="","",L401*Inicio!$B$13)</f>
        <v/>
      </c>
      <c r="N401" s="23" t="str">
        <f t="shared" si="49"/>
        <v/>
      </c>
      <c r="O401" s="26"/>
      <c r="P401" s="18"/>
      <c r="Q401" s="19"/>
      <c r="R401" s="23" t="str">
        <f t="shared" si="50"/>
        <v/>
      </c>
      <c r="S401" s="22" t="str">
        <f ca="1">IF(A401="","",IF(OR(P401="Pagada",R401=0),"Pagada",IF(O401&lt;TODAY(),"Vencida",IF(O401&lt;=TODAY()+Inicio!$B$19,"Próxima a vencer","Vigente"))))</f>
        <v/>
      </c>
      <c r="T401" s="18"/>
      <c r="U401" s="37" t="str">
        <f t="shared" si="51"/>
        <v/>
      </c>
      <c r="V401" s="37" t="str">
        <f t="shared" si="52"/>
        <v/>
      </c>
      <c r="W401" s="37" t="str">
        <f t="shared" si="53"/>
        <v/>
      </c>
      <c r="X401" s="37" t="str">
        <f t="shared" si="54"/>
        <v/>
      </c>
      <c r="Y401" s="37" t="str">
        <f>IF(OR($H401="",$J401=""),"",$J401*IFERROR(VLOOKUP($H401,Maestro_SKU!$A$2:$P$500,12,FALSE),1))</f>
        <v/>
      </c>
      <c r="Z401" s="37" t="str">
        <f t="shared" ca="1" si="55"/>
        <v/>
      </c>
    </row>
    <row r="402" spans="1:26" x14ac:dyDescent="0.35">
      <c r="A402" s="18"/>
      <c r="B402" s="26"/>
      <c r="C402" s="18"/>
      <c r="D402" s="18"/>
      <c r="E402" s="22" t="str">
        <f>IFERROR(VLOOKUP(D402,Clientes_PDV!$A$2:$J$250,2,FALSE),"")</f>
        <v/>
      </c>
      <c r="F402" s="22" t="str">
        <f>IFERROR(VLOOKUP(D402,Clientes_PDV!$A$2:$J$250,3,FALSE),"")</f>
        <v/>
      </c>
      <c r="G402" s="22" t="str">
        <f>IFERROR(VLOOKUP(D402,Clientes_PDV!$A$2:$J$250,4,FALSE),"")</f>
        <v/>
      </c>
      <c r="H402" s="18"/>
      <c r="I402" s="22" t="str">
        <f>IFERROR(VLOOKUP(H402,Maestro_SKU!$A$2:$P$500,2,FALSE),"")</f>
        <v/>
      </c>
      <c r="J402" s="27"/>
      <c r="K402" s="19"/>
      <c r="L402" s="23" t="str">
        <f t="shared" si="48"/>
        <v/>
      </c>
      <c r="M402" s="23" t="str">
        <f>IF(L402="","",L402*Inicio!$B$13)</f>
        <v/>
      </c>
      <c r="N402" s="23" t="str">
        <f t="shared" si="49"/>
        <v/>
      </c>
      <c r="O402" s="26"/>
      <c r="P402" s="18"/>
      <c r="Q402" s="19"/>
      <c r="R402" s="23" t="str">
        <f t="shared" si="50"/>
        <v/>
      </c>
      <c r="S402" s="22" t="str">
        <f ca="1">IF(A402="","",IF(OR(P402="Pagada",R402=0),"Pagada",IF(O402&lt;TODAY(),"Vencida",IF(O402&lt;=TODAY()+Inicio!$B$19,"Próxima a vencer","Vigente"))))</f>
        <v/>
      </c>
      <c r="T402" s="18"/>
      <c r="U402" s="37" t="str">
        <f t="shared" si="51"/>
        <v/>
      </c>
      <c r="V402" s="37" t="str">
        <f t="shared" si="52"/>
        <v/>
      </c>
      <c r="W402" s="37" t="str">
        <f t="shared" si="53"/>
        <v/>
      </c>
      <c r="X402" s="37" t="str">
        <f t="shared" si="54"/>
        <v/>
      </c>
      <c r="Y402" s="37" t="str">
        <f>IF(OR($H402="",$J402=""),"",$J402*IFERROR(VLOOKUP($H402,Maestro_SKU!$A$2:$P$500,12,FALSE),1))</f>
        <v/>
      </c>
      <c r="Z402" s="37" t="str">
        <f t="shared" ca="1" si="55"/>
        <v/>
      </c>
    </row>
    <row r="403" spans="1:26" x14ac:dyDescent="0.35">
      <c r="A403" s="18"/>
      <c r="B403" s="26"/>
      <c r="C403" s="18"/>
      <c r="D403" s="18"/>
      <c r="E403" s="22" t="str">
        <f>IFERROR(VLOOKUP(D403,Clientes_PDV!$A$2:$J$250,2,FALSE),"")</f>
        <v/>
      </c>
      <c r="F403" s="22" t="str">
        <f>IFERROR(VLOOKUP(D403,Clientes_PDV!$A$2:$J$250,3,FALSE),"")</f>
        <v/>
      </c>
      <c r="G403" s="22" t="str">
        <f>IFERROR(VLOOKUP(D403,Clientes_PDV!$A$2:$J$250,4,FALSE),"")</f>
        <v/>
      </c>
      <c r="H403" s="18"/>
      <c r="I403" s="22" t="str">
        <f>IFERROR(VLOOKUP(H403,Maestro_SKU!$A$2:$P$500,2,FALSE),"")</f>
        <v/>
      </c>
      <c r="J403" s="27"/>
      <c r="K403" s="19"/>
      <c r="L403" s="23" t="str">
        <f t="shared" si="48"/>
        <v/>
      </c>
      <c r="M403" s="23" t="str">
        <f>IF(L403="","",L403*Inicio!$B$13)</f>
        <v/>
      </c>
      <c r="N403" s="23" t="str">
        <f t="shared" si="49"/>
        <v/>
      </c>
      <c r="O403" s="26"/>
      <c r="P403" s="18"/>
      <c r="Q403" s="19"/>
      <c r="R403" s="23" t="str">
        <f t="shared" si="50"/>
        <v/>
      </c>
      <c r="S403" s="22" t="str">
        <f ca="1">IF(A403="","",IF(OR(P403="Pagada",R403=0),"Pagada",IF(O403&lt;TODAY(),"Vencida",IF(O403&lt;=TODAY()+Inicio!$B$19,"Próxima a vencer","Vigente"))))</f>
        <v/>
      </c>
      <c r="T403" s="18"/>
      <c r="U403" s="37" t="str">
        <f t="shared" si="51"/>
        <v/>
      </c>
      <c r="V403" s="37" t="str">
        <f t="shared" si="52"/>
        <v/>
      </c>
      <c r="W403" s="37" t="str">
        <f t="shared" si="53"/>
        <v/>
      </c>
      <c r="X403" s="37" t="str">
        <f t="shared" si="54"/>
        <v/>
      </c>
      <c r="Y403" s="37" t="str">
        <f>IF(OR($H403="",$J403=""),"",$J403*IFERROR(VLOOKUP($H403,Maestro_SKU!$A$2:$P$500,12,FALSE),1))</f>
        <v/>
      </c>
      <c r="Z403" s="37" t="str">
        <f t="shared" ca="1" si="55"/>
        <v/>
      </c>
    </row>
    <row r="404" spans="1:26" x14ac:dyDescent="0.35">
      <c r="A404" s="18"/>
      <c r="B404" s="26"/>
      <c r="C404" s="18"/>
      <c r="D404" s="18"/>
      <c r="E404" s="22" t="str">
        <f>IFERROR(VLOOKUP(D404,Clientes_PDV!$A$2:$J$250,2,FALSE),"")</f>
        <v/>
      </c>
      <c r="F404" s="22" t="str">
        <f>IFERROR(VLOOKUP(D404,Clientes_PDV!$A$2:$J$250,3,FALSE),"")</f>
        <v/>
      </c>
      <c r="G404" s="22" t="str">
        <f>IFERROR(VLOOKUP(D404,Clientes_PDV!$A$2:$J$250,4,FALSE),"")</f>
        <v/>
      </c>
      <c r="H404" s="18"/>
      <c r="I404" s="22" t="str">
        <f>IFERROR(VLOOKUP(H404,Maestro_SKU!$A$2:$P$500,2,FALSE),"")</f>
        <v/>
      </c>
      <c r="J404" s="27"/>
      <c r="K404" s="19"/>
      <c r="L404" s="23" t="str">
        <f t="shared" si="48"/>
        <v/>
      </c>
      <c r="M404" s="23" t="str">
        <f>IF(L404="","",L404*Inicio!$B$13)</f>
        <v/>
      </c>
      <c r="N404" s="23" t="str">
        <f t="shared" si="49"/>
        <v/>
      </c>
      <c r="O404" s="26"/>
      <c r="P404" s="18"/>
      <c r="Q404" s="19"/>
      <c r="R404" s="23" t="str">
        <f t="shared" si="50"/>
        <v/>
      </c>
      <c r="S404" s="22" t="str">
        <f ca="1">IF(A404="","",IF(OR(P404="Pagada",R404=0),"Pagada",IF(O404&lt;TODAY(),"Vencida",IF(O404&lt;=TODAY()+Inicio!$B$19,"Próxima a vencer","Vigente"))))</f>
        <v/>
      </c>
      <c r="T404" s="18"/>
      <c r="U404" s="37" t="str">
        <f t="shared" si="51"/>
        <v/>
      </c>
      <c r="V404" s="37" t="str">
        <f t="shared" si="52"/>
        <v/>
      </c>
      <c r="W404" s="37" t="str">
        <f t="shared" si="53"/>
        <v/>
      </c>
      <c r="X404" s="37" t="str">
        <f t="shared" si="54"/>
        <v/>
      </c>
      <c r="Y404" s="37" t="str">
        <f>IF(OR($H404="",$J404=""),"",$J404*IFERROR(VLOOKUP($H404,Maestro_SKU!$A$2:$P$500,12,FALSE),1))</f>
        <v/>
      </c>
      <c r="Z404" s="37" t="str">
        <f t="shared" ca="1" si="55"/>
        <v/>
      </c>
    </row>
    <row r="405" spans="1:26" x14ac:dyDescent="0.35">
      <c r="A405" s="18"/>
      <c r="B405" s="26"/>
      <c r="C405" s="18"/>
      <c r="D405" s="18"/>
      <c r="E405" s="22" t="str">
        <f>IFERROR(VLOOKUP(D405,Clientes_PDV!$A$2:$J$250,2,FALSE),"")</f>
        <v/>
      </c>
      <c r="F405" s="22" t="str">
        <f>IFERROR(VLOOKUP(D405,Clientes_PDV!$A$2:$J$250,3,FALSE),"")</f>
        <v/>
      </c>
      <c r="G405" s="22" t="str">
        <f>IFERROR(VLOOKUP(D405,Clientes_PDV!$A$2:$J$250,4,FALSE),"")</f>
        <v/>
      </c>
      <c r="H405" s="18"/>
      <c r="I405" s="22" t="str">
        <f>IFERROR(VLOOKUP(H405,Maestro_SKU!$A$2:$P$500,2,FALSE),"")</f>
        <v/>
      </c>
      <c r="J405" s="27"/>
      <c r="K405" s="19"/>
      <c r="L405" s="23" t="str">
        <f t="shared" si="48"/>
        <v/>
      </c>
      <c r="M405" s="23" t="str">
        <f>IF(L405="","",L405*Inicio!$B$13)</f>
        <v/>
      </c>
      <c r="N405" s="23" t="str">
        <f t="shared" si="49"/>
        <v/>
      </c>
      <c r="O405" s="26"/>
      <c r="P405" s="18"/>
      <c r="Q405" s="19"/>
      <c r="R405" s="23" t="str">
        <f t="shared" si="50"/>
        <v/>
      </c>
      <c r="S405" s="22" t="str">
        <f ca="1">IF(A405="","",IF(OR(P405="Pagada",R405=0),"Pagada",IF(O405&lt;TODAY(),"Vencida",IF(O405&lt;=TODAY()+Inicio!$B$19,"Próxima a vencer","Vigente"))))</f>
        <v/>
      </c>
      <c r="T405" s="18"/>
      <c r="U405" s="37" t="str">
        <f t="shared" si="51"/>
        <v/>
      </c>
      <c r="V405" s="37" t="str">
        <f t="shared" si="52"/>
        <v/>
      </c>
      <c r="W405" s="37" t="str">
        <f t="shared" si="53"/>
        <v/>
      </c>
      <c r="X405" s="37" t="str">
        <f t="shared" si="54"/>
        <v/>
      </c>
      <c r="Y405" s="37" t="str">
        <f>IF(OR($H405="",$J405=""),"",$J405*IFERROR(VLOOKUP($H405,Maestro_SKU!$A$2:$P$500,12,FALSE),1))</f>
        <v/>
      </c>
      <c r="Z405" s="37" t="str">
        <f t="shared" ca="1" si="55"/>
        <v/>
      </c>
    </row>
    <row r="406" spans="1:26" x14ac:dyDescent="0.35">
      <c r="A406" s="18"/>
      <c r="B406" s="26"/>
      <c r="C406" s="18"/>
      <c r="D406" s="18"/>
      <c r="E406" s="22" t="str">
        <f>IFERROR(VLOOKUP(D406,Clientes_PDV!$A$2:$J$250,2,FALSE),"")</f>
        <v/>
      </c>
      <c r="F406" s="22" t="str">
        <f>IFERROR(VLOOKUP(D406,Clientes_PDV!$A$2:$J$250,3,FALSE),"")</f>
        <v/>
      </c>
      <c r="G406" s="22" t="str">
        <f>IFERROR(VLOOKUP(D406,Clientes_PDV!$A$2:$J$250,4,FALSE),"")</f>
        <v/>
      </c>
      <c r="H406" s="18"/>
      <c r="I406" s="22" t="str">
        <f>IFERROR(VLOOKUP(H406,Maestro_SKU!$A$2:$P$500,2,FALSE),"")</f>
        <v/>
      </c>
      <c r="J406" s="27"/>
      <c r="K406" s="19"/>
      <c r="L406" s="23" t="str">
        <f t="shared" si="48"/>
        <v/>
      </c>
      <c r="M406" s="23" t="str">
        <f>IF(L406="","",L406*Inicio!$B$13)</f>
        <v/>
      </c>
      <c r="N406" s="23" t="str">
        <f t="shared" si="49"/>
        <v/>
      </c>
      <c r="O406" s="26"/>
      <c r="P406" s="18"/>
      <c r="Q406" s="19"/>
      <c r="R406" s="23" t="str">
        <f t="shared" si="50"/>
        <v/>
      </c>
      <c r="S406" s="22" t="str">
        <f ca="1">IF(A406="","",IF(OR(P406="Pagada",R406=0),"Pagada",IF(O406&lt;TODAY(),"Vencida",IF(O406&lt;=TODAY()+Inicio!$B$19,"Próxima a vencer","Vigente"))))</f>
        <v/>
      </c>
      <c r="T406" s="18"/>
      <c r="U406" s="37" t="str">
        <f t="shared" si="51"/>
        <v/>
      </c>
      <c r="V406" s="37" t="str">
        <f t="shared" si="52"/>
        <v/>
      </c>
      <c r="W406" s="37" t="str">
        <f t="shared" si="53"/>
        <v/>
      </c>
      <c r="X406" s="37" t="str">
        <f t="shared" si="54"/>
        <v/>
      </c>
      <c r="Y406" s="37" t="str">
        <f>IF(OR($H406="",$J406=""),"",$J406*IFERROR(VLOOKUP($H406,Maestro_SKU!$A$2:$P$500,12,FALSE),1))</f>
        <v/>
      </c>
      <c r="Z406" s="37" t="str">
        <f t="shared" ca="1" si="55"/>
        <v/>
      </c>
    </row>
    <row r="407" spans="1:26" x14ac:dyDescent="0.35">
      <c r="A407" s="18"/>
      <c r="B407" s="26"/>
      <c r="C407" s="18"/>
      <c r="D407" s="18"/>
      <c r="E407" s="22" t="str">
        <f>IFERROR(VLOOKUP(D407,Clientes_PDV!$A$2:$J$250,2,FALSE),"")</f>
        <v/>
      </c>
      <c r="F407" s="22" t="str">
        <f>IFERROR(VLOOKUP(D407,Clientes_PDV!$A$2:$J$250,3,FALSE),"")</f>
        <v/>
      </c>
      <c r="G407" s="22" t="str">
        <f>IFERROR(VLOOKUP(D407,Clientes_PDV!$A$2:$J$250,4,FALSE),"")</f>
        <v/>
      </c>
      <c r="H407" s="18"/>
      <c r="I407" s="22" t="str">
        <f>IFERROR(VLOOKUP(H407,Maestro_SKU!$A$2:$P$500,2,FALSE),"")</f>
        <v/>
      </c>
      <c r="J407" s="27"/>
      <c r="K407" s="19"/>
      <c r="L407" s="23" t="str">
        <f t="shared" si="48"/>
        <v/>
      </c>
      <c r="M407" s="23" t="str">
        <f>IF(L407="","",L407*Inicio!$B$13)</f>
        <v/>
      </c>
      <c r="N407" s="23" t="str">
        <f t="shared" si="49"/>
        <v/>
      </c>
      <c r="O407" s="26"/>
      <c r="P407" s="18"/>
      <c r="Q407" s="19"/>
      <c r="R407" s="23" t="str">
        <f t="shared" si="50"/>
        <v/>
      </c>
      <c r="S407" s="22" t="str">
        <f ca="1">IF(A407="","",IF(OR(P407="Pagada",R407=0),"Pagada",IF(O407&lt;TODAY(),"Vencida",IF(O407&lt;=TODAY()+Inicio!$B$19,"Próxima a vencer","Vigente"))))</f>
        <v/>
      </c>
      <c r="T407" s="18"/>
      <c r="U407" s="37" t="str">
        <f t="shared" si="51"/>
        <v/>
      </c>
      <c r="V407" s="37" t="str">
        <f t="shared" si="52"/>
        <v/>
      </c>
      <c r="W407" s="37" t="str">
        <f t="shared" si="53"/>
        <v/>
      </c>
      <c r="X407" s="37" t="str">
        <f t="shared" si="54"/>
        <v/>
      </c>
      <c r="Y407" s="37" t="str">
        <f>IF(OR($H407="",$J407=""),"",$J407*IFERROR(VLOOKUP($H407,Maestro_SKU!$A$2:$P$500,12,FALSE),1))</f>
        <v/>
      </c>
      <c r="Z407" s="37" t="str">
        <f t="shared" ca="1" si="55"/>
        <v/>
      </c>
    </row>
    <row r="408" spans="1:26" x14ac:dyDescent="0.35">
      <c r="A408" s="18"/>
      <c r="B408" s="26"/>
      <c r="C408" s="18"/>
      <c r="D408" s="18"/>
      <c r="E408" s="22" t="str">
        <f>IFERROR(VLOOKUP(D408,Clientes_PDV!$A$2:$J$250,2,FALSE),"")</f>
        <v/>
      </c>
      <c r="F408" s="22" t="str">
        <f>IFERROR(VLOOKUP(D408,Clientes_PDV!$A$2:$J$250,3,FALSE),"")</f>
        <v/>
      </c>
      <c r="G408" s="22" t="str">
        <f>IFERROR(VLOOKUP(D408,Clientes_PDV!$A$2:$J$250,4,FALSE),"")</f>
        <v/>
      </c>
      <c r="H408" s="18"/>
      <c r="I408" s="22" t="str">
        <f>IFERROR(VLOOKUP(H408,Maestro_SKU!$A$2:$P$500,2,FALSE),"")</f>
        <v/>
      </c>
      <c r="J408" s="27"/>
      <c r="K408" s="19"/>
      <c r="L408" s="23" t="str">
        <f t="shared" si="48"/>
        <v/>
      </c>
      <c r="M408" s="23" t="str">
        <f>IF(L408="","",L408*Inicio!$B$13)</f>
        <v/>
      </c>
      <c r="N408" s="23" t="str">
        <f t="shared" si="49"/>
        <v/>
      </c>
      <c r="O408" s="26"/>
      <c r="P408" s="18"/>
      <c r="Q408" s="19"/>
      <c r="R408" s="23" t="str">
        <f t="shared" si="50"/>
        <v/>
      </c>
      <c r="S408" s="22" t="str">
        <f ca="1">IF(A408="","",IF(OR(P408="Pagada",R408=0),"Pagada",IF(O408&lt;TODAY(),"Vencida",IF(O408&lt;=TODAY()+Inicio!$B$19,"Próxima a vencer","Vigente"))))</f>
        <v/>
      </c>
      <c r="T408" s="18"/>
      <c r="U408" s="37" t="str">
        <f t="shared" si="51"/>
        <v/>
      </c>
      <c r="V408" s="37" t="str">
        <f t="shared" si="52"/>
        <v/>
      </c>
      <c r="W408" s="37" t="str">
        <f t="shared" si="53"/>
        <v/>
      </c>
      <c r="X408" s="37" t="str">
        <f t="shared" si="54"/>
        <v/>
      </c>
      <c r="Y408" s="37" t="str">
        <f>IF(OR($H408="",$J408=""),"",$J408*IFERROR(VLOOKUP($H408,Maestro_SKU!$A$2:$P$500,12,FALSE),1))</f>
        <v/>
      </c>
      <c r="Z408" s="37" t="str">
        <f t="shared" ca="1" si="55"/>
        <v/>
      </c>
    </row>
    <row r="409" spans="1:26" x14ac:dyDescent="0.35">
      <c r="A409" s="18"/>
      <c r="B409" s="26"/>
      <c r="C409" s="18"/>
      <c r="D409" s="18"/>
      <c r="E409" s="22" t="str">
        <f>IFERROR(VLOOKUP(D409,Clientes_PDV!$A$2:$J$250,2,FALSE),"")</f>
        <v/>
      </c>
      <c r="F409" s="22" t="str">
        <f>IFERROR(VLOOKUP(D409,Clientes_PDV!$A$2:$J$250,3,FALSE),"")</f>
        <v/>
      </c>
      <c r="G409" s="22" t="str">
        <f>IFERROR(VLOOKUP(D409,Clientes_PDV!$A$2:$J$250,4,FALSE),"")</f>
        <v/>
      </c>
      <c r="H409" s="18"/>
      <c r="I409" s="22" t="str">
        <f>IFERROR(VLOOKUP(H409,Maestro_SKU!$A$2:$P$500,2,FALSE),"")</f>
        <v/>
      </c>
      <c r="J409" s="27"/>
      <c r="K409" s="19"/>
      <c r="L409" s="23" t="str">
        <f t="shared" si="48"/>
        <v/>
      </c>
      <c r="M409" s="23" t="str">
        <f>IF(L409="","",L409*Inicio!$B$13)</f>
        <v/>
      </c>
      <c r="N409" s="23" t="str">
        <f t="shared" si="49"/>
        <v/>
      </c>
      <c r="O409" s="26"/>
      <c r="P409" s="18"/>
      <c r="Q409" s="19"/>
      <c r="R409" s="23" t="str">
        <f t="shared" si="50"/>
        <v/>
      </c>
      <c r="S409" s="22" t="str">
        <f ca="1">IF(A409="","",IF(OR(P409="Pagada",R409=0),"Pagada",IF(O409&lt;TODAY(),"Vencida",IF(O409&lt;=TODAY()+Inicio!$B$19,"Próxima a vencer","Vigente"))))</f>
        <v/>
      </c>
      <c r="T409" s="18"/>
      <c r="U409" s="37" t="str">
        <f t="shared" si="51"/>
        <v/>
      </c>
      <c r="V409" s="37" t="str">
        <f t="shared" si="52"/>
        <v/>
      </c>
      <c r="W409" s="37" t="str">
        <f t="shared" si="53"/>
        <v/>
      </c>
      <c r="X409" s="37" t="str">
        <f t="shared" si="54"/>
        <v/>
      </c>
      <c r="Y409" s="37" t="str">
        <f>IF(OR($H409="",$J409=""),"",$J409*IFERROR(VLOOKUP($H409,Maestro_SKU!$A$2:$P$500,12,FALSE),1))</f>
        <v/>
      </c>
      <c r="Z409" s="37" t="str">
        <f t="shared" ca="1" si="55"/>
        <v/>
      </c>
    </row>
    <row r="410" spans="1:26" x14ac:dyDescent="0.35">
      <c r="A410" s="18"/>
      <c r="B410" s="26"/>
      <c r="C410" s="18"/>
      <c r="D410" s="18"/>
      <c r="E410" s="22" t="str">
        <f>IFERROR(VLOOKUP(D410,Clientes_PDV!$A$2:$J$250,2,FALSE),"")</f>
        <v/>
      </c>
      <c r="F410" s="22" t="str">
        <f>IFERROR(VLOOKUP(D410,Clientes_PDV!$A$2:$J$250,3,FALSE),"")</f>
        <v/>
      </c>
      <c r="G410" s="22" t="str">
        <f>IFERROR(VLOOKUP(D410,Clientes_PDV!$A$2:$J$250,4,FALSE),"")</f>
        <v/>
      </c>
      <c r="H410" s="18"/>
      <c r="I410" s="22" t="str">
        <f>IFERROR(VLOOKUP(H410,Maestro_SKU!$A$2:$P$500,2,FALSE),"")</f>
        <v/>
      </c>
      <c r="J410" s="27"/>
      <c r="K410" s="19"/>
      <c r="L410" s="23" t="str">
        <f t="shared" si="48"/>
        <v/>
      </c>
      <c r="M410" s="23" t="str">
        <f>IF(L410="","",L410*Inicio!$B$13)</f>
        <v/>
      </c>
      <c r="N410" s="23" t="str">
        <f t="shared" si="49"/>
        <v/>
      </c>
      <c r="O410" s="26"/>
      <c r="P410" s="18"/>
      <c r="Q410" s="19"/>
      <c r="R410" s="23" t="str">
        <f t="shared" si="50"/>
        <v/>
      </c>
      <c r="S410" s="22" t="str">
        <f ca="1">IF(A410="","",IF(OR(P410="Pagada",R410=0),"Pagada",IF(O410&lt;TODAY(),"Vencida",IF(O410&lt;=TODAY()+Inicio!$B$19,"Próxima a vencer","Vigente"))))</f>
        <v/>
      </c>
      <c r="T410" s="18"/>
      <c r="U410" s="37" t="str">
        <f t="shared" si="51"/>
        <v/>
      </c>
      <c r="V410" s="37" t="str">
        <f t="shared" si="52"/>
        <v/>
      </c>
      <c r="W410" s="37" t="str">
        <f t="shared" si="53"/>
        <v/>
      </c>
      <c r="X410" s="37" t="str">
        <f t="shared" si="54"/>
        <v/>
      </c>
      <c r="Y410" s="37" t="str">
        <f>IF(OR($H410="",$J410=""),"",$J410*IFERROR(VLOOKUP($H410,Maestro_SKU!$A$2:$P$500,12,FALSE),1))</f>
        <v/>
      </c>
      <c r="Z410" s="37" t="str">
        <f t="shared" ca="1" si="55"/>
        <v/>
      </c>
    </row>
    <row r="411" spans="1:26" x14ac:dyDescent="0.35">
      <c r="A411" s="18"/>
      <c r="B411" s="26"/>
      <c r="C411" s="18"/>
      <c r="D411" s="18"/>
      <c r="E411" s="22" t="str">
        <f>IFERROR(VLOOKUP(D411,Clientes_PDV!$A$2:$J$250,2,FALSE),"")</f>
        <v/>
      </c>
      <c r="F411" s="22" t="str">
        <f>IFERROR(VLOOKUP(D411,Clientes_PDV!$A$2:$J$250,3,FALSE),"")</f>
        <v/>
      </c>
      <c r="G411" s="22" t="str">
        <f>IFERROR(VLOOKUP(D411,Clientes_PDV!$A$2:$J$250,4,FALSE),"")</f>
        <v/>
      </c>
      <c r="H411" s="18"/>
      <c r="I411" s="22" t="str">
        <f>IFERROR(VLOOKUP(H411,Maestro_SKU!$A$2:$P$500,2,FALSE),"")</f>
        <v/>
      </c>
      <c r="J411" s="27"/>
      <c r="K411" s="19"/>
      <c r="L411" s="23" t="str">
        <f t="shared" si="48"/>
        <v/>
      </c>
      <c r="M411" s="23" t="str">
        <f>IF(L411="","",L411*Inicio!$B$13)</f>
        <v/>
      </c>
      <c r="N411" s="23" t="str">
        <f t="shared" si="49"/>
        <v/>
      </c>
      <c r="O411" s="26"/>
      <c r="P411" s="18"/>
      <c r="Q411" s="19"/>
      <c r="R411" s="23" t="str">
        <f t="shared" si="50"/>
        <v/>
      </c>
      <c r="S411" s="22" t="str">
        <f ca="1">IF(A411="","",IF(OR(P411="Pagada",R411=0),"Pagada",IF(O411&lt;TODAY(),"Vencida",IF(O411&lt;=TODAY()+Inicio!$B$19,"Próxima a vencer","Vigente"))))</f>
        <v/>
      </c>
      <c r="T411" s="18"/>
      <c r="U411" s="37" t="str">
        <f t="shared" si="51"/>
        <v/>
      </c>
      <c r="V411" s="37" t="str">
        <f t="shared" si="52"/>
        <v/>
      </c>
      <c r="W411" s="37" t="str">
        <f t="shared" si="53"/>
        <v/>
      </c>
      <c r="X411" s="37" t="str">
        <f t="shared" si="54"/>
        <v/>
      </c>
      <c r="Y411" s="37" t="str">
        <f>IF(OR($H411="",$J411=""),"",$J411*IFERROR(VLOOKUP($H411,Maestro_SKU!$A$2:$P$500,12,FALSE),1))</f>
        <v/>
      </c>
      <c r="Z411" s="37" t="str">
        <f t="shared" ca="1" si="55"/>
        <v/>
      </c>
    </row>
    <row r="412" spans="1:26" x14ac:dyDescent="0.35">
      <c r="A412" s="18"/>
      <c r="B412" s="26"/>
      <c r="C412" s="18"/>
      <c r="D412" s="18"/>
      <c r="E412" s="22" t="str">
        <f>IFERROR(VLOOKUP(D412,Clientes_PDV!$A$2:$J$250,2,FALSE),"")</f>
        <v/>
      </c>
      <c r="F412" s="22" t="str">
        <f>IFERROR(VLOOKUP(D412,Clientes_PDV!$A$2:$J$250,3,FALSE),"")</f>
        <v/>
      </c>
      <c r="G412" s="22" t="str">
        <f>IFERROR(VLOOKUP(D412,Clientes_PDV!$A$2:$J$250,4,FALSE),"")</f>
        <v/>
      </c>
      <c r="H412" s="18"/>
      <c r="I412" s="22" t="str">
        <f>IFERROR(VLOOKUP(H412,Maestro_SKU!$A$2:$P$500,2,FALSE),"")</f>
        <v/>
      </c>
      <c r="J412" s="27"/>
      <c r="K412" s="19"/>
      <c r="L412" s="23" t="str">
        <f t="shared" si="48"/>
        <v/>
      </c>
      <c r="M412" s="23" t="str">
        <f>IF(L412="","",L412*Inicio!$B$13)</f>
        <v/>
      </c>
      <c r="N412" s="23" t="str">
        <f t="shared" si="49"/>
        <v/>
      </c>
      <c r="O412" s="26"/>
      <c r="P412" s="18"/>
      <c r="Q412" s="19"/>
      <c r="R412" s="23" t="str">
        <f t="shared" si="50"/>
        <v/>
      </c>
      <c r="S412" s="22" t="str">
        <f ca="1">IF(A412="","",IF(OR(P412="Pagada",R412=0),"Pagada",IF(O412&lt;TODAY(),"Vencida",IF(O412&lt;=TODAY()+Inicio!$B$19,"Próxima a vencer","Vigente"))))</f>
        <v/>
      </c>
      <c r="T412" s="18"/>
      <c r="U412" s="37" t="str">
        <f t="shared" si="51"/>
        <v/>
      </c>
      <c r="V412" s="37" t="str">
        <f t="shared" si="52"/>
        <v/>
      </c>
      <c r="W412" s="37" t="str">
        <f t="shared" si="53"/>
        <v/>
      </c>
      <c r="X412" s="37" t="str">
        <f t="shared" si="54"/>
        <v/>
      </c>
      <c r="Y412" s="37" t="str">
        <f>IF(OR($H412="",$J412=""),"",$J412*IFERROR(VLOOKUP($H412,Maestro_SKU!$A$2:$P$500,12,FALSE),1))</f>
        <v/>
      </c>
      <c r="Z412" s="37" t="str">
        <f t="shared" ca="1" si="55"/>
        <v/>
      </c>
    </row>
    <row r="413" spans="1:26" x14ac:dyDescent="0.35">
      <c r="A413" s="18"/>
      <c r="B413" s="26"/>
      <c r="C413" s="18"/>
      <c r="D413" s="18"/>
      <c r="E413" s="22" t="str">
        <f>IFERROR(VLOOKUP(D413,Clientes_PDV!$A$2:$J$250,2,FALSE),"")</f>
        <v/>
      </c>
      <c r="F413" s="22" t="str">
        <f>IFERROR(VLOOKUP(D413,Clientes_PDV!$A$2:$J$250,3,FALSE),"")</f>
        <v/>
      </c>
      <c r="G413" s="22" t="str">
        <f>IFERROR(VLOOKUP(D413,Clientes_PDV!$A$2:$J$250,4,FALSE),"")</f>
        <v/>
      </c>
      <c r="H413" s="18"/>
      <c r="I413" s="22" t="str">
        <f>IFERROR(VLOOKUP(H413,Maestro_SKU!$A$2:$P$500,2,FALSE),"")</f>
        <v/>
      </c>
      <c r="J413" s="27"/>
      <c r="K413" s="19"/>
      <c r="L413" s="23" t="str">
        <f t="shared" si="48"/>
        <v/>
      </c>
      <c r="M413" s="23" t="str">
        <f>IF(L413="","",L413*Inicio!$B$13)</f>
        <v/>
      </c>
      <c r="N413" s="23" t="str">
        <f t="shared" si="49"/>
        <v/>
      </c>
      <c r="O413" s="26"/>
      <c r="P413" s="18"/>
      <c r="Q413" s="19"/>
      <c r="R413" s="23" t="str">
        <f t="shared" si="50"/>
        <v/>
      </c>
      <c r="S413" s="22" t="str">
        <f ca="1">IF(A413="","",IF(OR(P413="Pagada",R413=0),"Pagada",IF(O413&lt;TODAY(),"Vencida",IF(O413&lt;=TODAY()+Inicio!$B$19,"Próxima a vencer","Vigente"))))</f>
        <v/>
      </c>
      <c r="T413" s="18"/>
      <c r="U413" s="37" t="str">
        <f t="shared" si="51"/>
        <v/>
      </c>
      <c r="V413" s="37" t="str">
        <f t="shared" si="52"/>
        <v/>
      </c>
      <c r="W413" s="37" t="str">
        <f t="shared" si="53"/>
        <v/>
      </c>
      <c r="X413" s="37" t="str">
        <f t="shared" si="54"/>
        <v/>
      </c>
      <c r="Y413" s="37" t="str">
        <f>IF(OR($H413="",$J413=""),"",$J413*IFERROR(VLOOKUP($H413,Maestro_SKU!$A$2:$P$500,12,FALSE),1))</f>
        <v/>
      </c>
      <c r="Z413" s="37" t="str">
        <f t="shared" ca="1" si="55"/>
        <v/>
      </c>
    </row>
    <row r="414" spans="1:26" x14ac:dyDescent="0.35">
      <c r="A414" s="18"/>
      <c r="B414" s="26"/>
      <c r="C414" s="18"/>
      <c r="D414" s="18"/>
      <c r="E414" s="22" t="str">
        <f>IFERROR(VLOOKUP(D414,Clientes_PDV!$A$2:$J$250,2,FALSE),"")</f>
        <v/>
      </c>
      <c r="F414" s="22" t="str">
        <f>IFERROR(VLOOKUP(D414,Clientes_PDV!$A$2:$J$250,3,FALSE),"")</f>
        <v/>
      </c>
      <c r="G414" s="22" t="str">
        <f>IFERROR(VLOOKUP(D414,Clientes_PDV!$A$2:$J$250,4,FALSE),"")</f>
        <v/>
      </c>
      <c r="H414" s="18"/>
      <c r="I414" s="22" t="str">
        <f>IFERROR(VLOOKUP(H414,Maestro_SKU!$A$2:$P$500,2,FALSE),"")</f>
        <v/>
      </c>
      <c r="J414" s="27"/>
      <c r="K414" s="19"/>
      <c r="L414" s="23" t="str">
        <f t="shared" si="48"/>
        <v/>
      </c>
      <c r="M414" s="23" t="str">
        <f>IF(L414="","",L414*Inicio!$B$13)</f>
        <v/>
      </c>
      <c r="N414" s="23" t="str">
        <f t="shared" si="49"/>
        <v/>
      </c>
      <c r="O414" s="26"/>
      <c r="P414" s="18"/>
      <c r="Q414" s="19"/>
      <c r="R414" s="23" t="str">
        <f t="shared" si="50"/>
        <v/>
      </c>
      <c r="S414" s="22" t="str">
        <f ca="1">IF(A414="","",IF(OR(P414="Pagada",R414=0),"Pagada",IF(O414&lt;TODAY(),"Vencida",IF(O414&lt;=TODAY()+Inicio!$B$19,"Próxima a vencer","Vigente"))))</f>
        <v/>
      </c>
      <c r="T414" s="18"/>
      <c r="U414" s="37" t="str">
        <f t="shared" si="51"/>
        <v/>
      </c>
      <c r="V414" s="37" t="str">
        <f t="shared" si="52"/>
        <v/>
      </c>
      <c r="W414" s="37" t="str">
        <f t="shared" si="53"/>
        <v/>
      </c>
      <c r="X414" s="37" t="str">
        <f t="shared" si="54"/>
        <v/>
      </c>
      <c r="Y414" s="37" t="str">
        <f>IF(OR($H414="",$J414=""),"",$J414*IFERROR(VLOOKUP($H414,Maestro_SKU!$A$2:$P$500,12,FALSE),1))</f>
        <v/>
      </c>
      <c r="Z414" s="37" t="str">
        <f t="shared" ca="1" si="55"/>
        <v/>
      </c>
    </row>
    <row r="415" spans="1:26" x14ac:dyDescent="0.35">
      <c r="A415" s="18"/>
      <c r="B415" s="26"/>
      <c r="C415" s="18"/>
      <c r="D415" s="18"/>
      <c r="E415" s="22" t="str">
        <f>IFERROR(VLOOKUP(D415,Clientes_PDV!$A$2:$J$250,2,FALSE),"")</f>
        <v/>
      </c>
      <c r="F415" s="22" t="str">
        <f>IFERROR(VLOOKUP(D415,Clientes_PDV!$A$2:$J$250,3,FALSE),"")</f>
        <v/>
      </c>
      <c r="G415" s="22" t="str">
        <f>IFERROR(VLOOKUP(D415,Clientes_PDV!$A$2:$J$250,4,FALSE),"")</f>
        <v/>
      </c>
      <c r="H415" s="18"/>
      <c r="I415" s="22" t="str">
        <f>IFERROR(VLOOKUP(H415,Maestro_SKU!$A$2:$P$500,2,FALSE),"")</f>
        <v/>
      </c>
      <c r="J415" s="27"/>
      <c r="K415" s="19"/>
      <c r="L415" s="23" t="str">
        <f t="shared" si="48"/>
        <v/>
      </c>
      <c r="M415" s="23" t="str">
        <f>IF(L415="","",L415*Inicio!$B$13)</f>
        <v/>
      </c>
      <c r="N415" s="23" t="str">
        <f t="shared" si="49"/>
        <v/>
      </c>
      <c r="O415" s="26"/>
      <c r="P415" s="18"/>
      <c r="Q415" s="19"/>
      <c r="R415" s="23" t="str">
        <f t="shared" si="50"/>
        <v/>
      </c>
      <c r="S415" s="22" t="str">
        <f ca="1">IF(A415="","",IF(OR(P415="Pagada",R415=0),"Pagada",IF(O415&lt;TODAY(),"Vencida",IF(O415&lt;=TODAY()+Inicio!$B$19,"Próxima a vencer","Vigente"))))</f>
        <v/>
      </c>
      <c r="T415" s="18"/>
      <c r="U415" s="37" t="str">
        <f t="shared" si="51"/>
        <v/>
      </c>
      <c r="V415" s="37" t="str">
        <f t="shared" si="52"/>
        <v/>
      </c>
      <c r="W415" s="37" t="str">
        <f t="shared" si="53"/>
        <v/>
      </c>
      <c r="X415" s="37" t="str">
        <f t="shared" si="54"/>
        <v/>
      </c>
      <c r="Y415" s="37" t="str">
        <f>IF(OR($H415="",$J415=""),"",$J415*IFERROR(VLOOKUP($H415,Maestro_SKU!$A$2:$P$500,12,FALSE),1))</f>
        <v/>
      </c>
      <c r="Z415" s="37" t="str">
        <f t="shared" ca="1" si="55"/>
        <v/>
      </c>
    </row>
    <row r="416" spans="1:26" x14ac:dyDescent="0.35">
      <c r="A416" s="18"/>
      <c r="B416" s="26"/>
      <c r="C416" s="18"/>
      <c r="D416" s="18"/>
      <c r="E416" s="22" t="str">
        <f>IFERROR(VLOOKUP(D416,Clientes_PDV!$A$2:$J$250,2,FALSE),"")</f>
        <v/>
      </c>
      <c r="F416" s="22" t="str">
        <f>IFERROR(VLOOKUP(D416,Clientes_PDV!$A$2:$J$250,3,FALSE),"")</f>
        <v/>
      </c>
      <c r="G416" s="22" t="str">
        <f>IFERROR(VLOOKUP(D416,Clientes_PDV!$A$2:$J$250,4,FALSE),"")</f>
        <v/>
      </c>
      <c r="H416" s="18"/>
      <c r="I416" s="22" t="str">
        <f>IFERROR(VLOOKUP(H416,Maestro_SKU!$A$2:$P$500,2,FALSE),"")</f>
        <v/>
      </c>
      <c r="J416" s="27"/>
      <c r="K416" s="19"/>
      <c r="L416" s="23" t="str">
        <f t="shared" si="48"/>
        <v/>
      </c>
      <c r="M416" s="23" t="str">
        <f>IF(L416="","",L416*Inicio!$B$13)</f>
        <v/>
      </c>
      <c r="N416" s="23" t="str">
        <f t="shared" si="49"/>
        <v/>
      </c>
      <c r="O416" s="26"/>
      <c r="P416" s="18"/>
      <c r="Q416" s="19"/>
      <c r="R416" s="23" t="str">
        <f t="shared" si="50"/>
        <v/>
      </c>
      <c r="S416" s="22" t="str">
        <f ca="1">IF(A416="","",IF(OR(P416="Pagada",R416=0),"Pagada",IF(O416&lt;TODAY(),"Vencida",IF(O416&lt;=TODAY()+Inicio!$B$19,"Próxima a vencer","Vigente"))))</f>
        <v/>
      </c>
      <c r="T416" s="18"/>
      <c r="U416" s="37" t="str">
        <f t="shared" si="51"/>
        <v/>
      </c>
      <c r="V416" s="37" t="str">
        <f t="shared" si="52"/>
        <v/>
      </c>
      <c r="W416" s="37" t="str">
        <f t="shared" si="53"/>
        <v/>
      </c>
      <c r="X416" s="37" t="str">
        <f t="shared" si="54"/>
        <v/>
      </c>
      <c r="Y416" s="37" t="str">
        <f>IF(OR($H416="",$J416=""),"",$J416*IFERROR(VLOOKUP($H416,Maestro_SKU!$A$2:$P$500,12,FALSE),1))</f>
        <v/>
      </c>
      <c r="Z416" s="37" t="str">
        <f t="shared" ca="1" si="55"/>
        <v/>
      </c>
    </row>
    <row r="417" spans="1:26" x14ac:dyDescent="0.35">
      <c r="A417" s="18"/>
      <c r="B417" s="26"/>
      <c r="C417" s="18"/>
      <c r="D417" s="18"/>
      <c r="E417" s="22" t="str">
        <f>IFERROR(VLOOKUP(D417,Clientes_PDV!$A$2:$J$250,2,FALSE),"")</f>
        <v/>
      </c>
      <c r="F417" s="22" t="str">
        <f>IFERROR(VLOOKUP(D417,Clientes_PDV!$A$2:$J$250,3,FALSE),"")</f>
        <v/>
      </c>
      <c r="G417" s="22" t="str">
        <f>IFERROR(VLOOKUP(D417,Clientes_PDV!$A$2:$J$250,4,FALSE),"")</f>
        <v/>
      </c>
      <c r="H417" s="18"/>
      <c r="I417" s="22" t="str">
        <f>IFERROR(VLOOKUP(H417,Maestro_SKU!$A$2:$P$500,2,FALSE),"")</f>
        <v/>
      </c>
      <c r="J417" s="27"/>
      <c r="K417" s="19"/>
      <c r="L417" s="23" t="str">
        <f t="shared" si="48"/>
        <v/>
      </c>
      <c r="M417" s="23" t="str">
        <f>IF(L417="","",L417*Inicio!$B$13)</f>
        <v/>
      </c>
      <c r="N417" s="23" t="str">
        <f t="shared" si="49"/>
        <v/>
      </c>
      <c r="O417" s="26"/>
      <c r="P417" s="18"/>
      <c r="Q417" s="19"/>
      <c r="R417" s="23" t="str">
        <f t="shared" si="50"/>
        <v/>
      </c>
      <c r="S417" s="22" t="str">
        <f ca="1">IF(A417="","",IF(OR(P417="Pagada",R417=0),"Pagada",IF(O417&lt;TODAY(),"Vencida",IF(O417&lt;=TODAY()+Inicio!$B$19,"Próxima a vencer","Vigente"))))</f>
        <v/>
      </c>
      <c r="T417" s="18"/>
      <c r="U417" s="37" t="str">
        <f t="shared" si="51"/>
        <v/>
      </c>
      <c r="V417" s="37" t="str">
        <f t="shared" si="52"/>
        <v/>
      </c>
      <c r="W417" s="37" t="str">
        <f t="shared" si="53"/>
        <v/>
      </c>
      <c r="X417" s="37" t="str">
        <f t="shared" si="54"/>
        <v/>
      </c>
      <c r="Y417" s="37" t="str">
        <f>IF(OR($H417="",$J417=""),"",$J417*IFERROR(VLOOKUP($H417,Maestro_SKU!$A$2:$P$500,12,FALSE),1))</f>
        <v/>
      </c>
      <c r="Z417" s="37" t="str">
        <f t="shared" ca="1" si="55"/>
        <v/>
      </c>
    </row>
    <row r="418" spans="1:26" x14ac:dyDescent="0.35">
      <c r="A418" s="18"/>
      <c r="B418" s="26"/>
      <c r="C418" s="18"/>
      <c r="D418" s="18"/>
      <c r="E418" s="22" t="str">
        <f>IFERROR(VLOOKUP(D418,Clientes_PDV!$A$2:$J$250,2,FALSE),"")</f>
        <v/>
      </c>
      <c r="F418" s="22" t="str">
        <f>IFERROR(VLOOKUP(D418,Clientes_PDV!$A$2:$J$250,3,FALSE),"")</f>
        <v/>
      </c>
      <c r="G418" s="22" t="str">
        <f>IFERROR(VLOOKUP(D418,Clientes_PDV!$A$2:$J$250,4,FALSE),"")</f>
        <v/>
      </c>
      <c r="H418" s="18"/>
      <c r="I418" s="22" t="str">
        <f>IFERROR(VLOOKUP(H418,Maestro_SKU!$A$2:$P$500,2,FALSE),"")</f>
        <v/>
      </c>
      <c r="J418" s="27"/>
      <c r="K418" s="19"/>
      <c r="L418" s="23" t="str">
        <f t="shared" si="48"/>
        <v/>
      </c>
      <c r="M418" s="23" t="str">
        <f>IF(L418="","",L418*Inicio!$B$13)</f>
        <v/>
      </c>
      <c r="N418" s="23" t="str">
        <f t="shared" si="49"/>
        <v/>
      </c>
      <c r="O418" s="26"/>
      <c r="P418" s="18"/>
      <c r="Q418" s="19"/>
      <c r="R418" s="23" t="str">
        <f t="shared" si="50"/>
        <v/>
      </c>
      <c r="S418" s="22" t="str">
        <f ca="1">IF(A418="","",IF(OR(P418="Pagada",R418=0),"Pagada",IF(O418&lt;TODAY(),"Vencida",IF(O418&lt;=TODAY()+Inicio!$B$19,"Próxima a vencer","Vigente"))))</f>
        <v/>
      </c>
      <c r="T418" s="18"/>
      <c r="U418" s="37" t="str">
        <f t="shared" si="51"/>
        <v/>
      </c>
      <c r="V418" s="37" t="str">
        <f t="shared" si="52"/>
        <v/>
      </c>
      <c r="W418" s="37" t="str">
        <f t="shared" si="53"/>
        <v/>
      </c>
      <c r="X418" s="37" t="str">
        <f t="shared" si="54"/>
        <v/>
      </c>
      <c r="Y418" s="37" t="str">
        <f>IF(OR($H418="",$J418=""),"",$J418*IFERROR(VLOOKUP($H418,Maestro_SKU!$A$2:$P$500,12,FALSE),1))</f>
        <v/>
      </c>
      <c r="Z418" s="37" t="str">
        <f t="shared" ca="1" si="55"/>
        <v/>
      </c>
    </row>
    <row r="419" spans="1:26" x14ac:dyDescent="0.35">
      <c r="A419" s="18"/>
      <c r="B419" s="26"/>
      <c r="C419" s="18"/>
      <c r="D419" s="18"/>
      <c r="E419" s="22" t="str">
        <f>IFERROR(VLOOKUP(D419,Clientes_PDV!$A$2:$J$250,2,FALSE),"")</f>
        <v/>
      </c>
      <c r="F419" s="22" t="str">
        <f>IFERROR(VLOOKUP(D419,Clientes_PDV!$A$2:$J$250,3,FALSE),"")</f>
        <v/>
      </c>
      <c r="G419" s="22" t="str">
        <f>IFERROR(VLOOKUP(D419,Clientes_PDV!$A$2:$J$250,4,FALSE),"")</f>
        <v/>
      </c>
      <c r="H419" s="18"/>
      <c r="I419" s="22" t="str">
        <f>IFERROR(VLOOKUP(H419,Maestro_SKU!$A$2:$P$500,2,FALSE),"")</f>
        <v/>
      </c>
      <c r="J419" s="27"/>
      <c r="K419" s="19"/>
      <c r="L419" s="23" t="str">
        <f t="shared" si="48"/>
        <v/>
      </c>
      <c r="M419" s="23" t="str">
        <f>IF(L419="","",L419*Inicio!$B$13)</f>
        <v/>
      </c>
      <c r="N419" s="23" t="str">
        <f t="shared" si="49"/>
        <v/>
      </c>
      <c r="O419" s="26"/>
      <c r="P419" s="18"/>
      <c r="Q419" s="19"/>
      <c r="R419" s="23" t="str">
        <f t="shared" si="50"/>
        <v/>
      </c>
      <c r="S419" s="22" t="str">
        <f ca="1">IF(A419="","",IF(OR(P419="Pagada",R419=0),"Pagada",IF(O419&lt;TODAY(),"Vencida",IF(O419&lt;=TODAY()+Inicio!$B$19,"Próxima a vencer","Vigente"))))</f>
        <v/>
      </c>
      <c r="T419" s="18"/>
      <c r="U419" s="37" t="str">
        <f t="shared" si="51"/>
        <v/>
      </c>
      <c r="V419" s="37" t="str">
        <f t="shared" si="52"/>
        <v/>
      </c>
      <c r="W419" s="37" t="str">
        <f t="shared" si="53"/>
        <v/>
      </c>
      <c r="X419" s="37" t="str">
        <f t="shared" si="54"/>
        <v/>
      </c>
      <c r="Y419" s="37" t="str">
        <f>IF(OR($H419="",$J419=""),"",$J419*IFERROR(VLOOKUP($H419,Maestro_SKU!$A$2:$P$500,12,FALSE),1))</f>
        <v/>
      </c>
      <c r="Z419" s="37" t="str">
        <f t="shared" ca="1" si="55"/>
        <v/>
      </c>
    </row>
    <row r="420" spans="1:26" x14ac:dyDescent="0.35">
      <c r="A420" s="18"/>
      <c r="B420" s="26"/>
      <c r="C420" s="18"/>
      <c r="D420" s="18"/>
      <c r="E420" s="22" t="str">
        <f>IFERROR(VLOOKUP(D420,Clientes_PDV!$A$2:$J$250,2,FALSE),"")</f>
        <v/>
      </c>
      <c r="F420" s="22" t="str">
        <f>IFERROR(VLOOKUP(D420,Clientes_PDV!$A$2:$J$250,3,FALSE),"")</f>
        <v/>
      </c>
      <c r="G420" s="22" t="str">
        <f>IFERROR(VLOOKUP(D420,Clientes_PDV!$A$2:$J$250,4,FALSE),"")</f>
        <v/>
      </c>
      <c r="H420" s="18"/>
      <c r="I420" s="22" t="str">
        <f>IFERROR(VLOOKUP(H420,Maestro_SKU!$A$2:$P$500,2,FALSE),"")</f>
        <v/>
      </c>
      <c r="J420" s="27"/>
      <c r="K420" s="19"/>
      <c r="L420" s="23" t="str">
        <f t="shared" si="48"/>
        <v/>
      </c>
      <c r="M420" s="23" t="str">
        <f>IF(L420="","",L420*Inicio!$B$13)</f>
        <v/>
      </c>
      <c r="N420" s="23" t="str">
        <f t="shared" si="49"/>
        <v/>
      </c>
      <c r="O420" s="26"/>
      <c r="P420" s="18"/>
      <c r="Q420" s="19"/>
      <c r="R420" s="23" t="str">
        <f t="shared" si="50"/>
        <v/>
      </c>
      <c r="S420" s="22" t="str">
        <f ca="1">IF(A420="","",IF(OR(P420="Pagada",R420=0),"Pagada",IF(O420&lt;TODAY(),"Vencida",IF(O420&lt;=TODAY()+Inicio!$B$19,"Próxima a vencer","Vigente"))))</f>
        <v/>
      </c>
      <c r="T420" s="18"/>
      <c r="U420" s="37" t="str">
        <f t="shared" si="51"/>
        <v/>
      </c>
      <c r="V420" s="37" t="str">
        <f t="shared" si="52"/>
        <v/>
      </c>
      <c r="W420" s="37" t="str">
        <f t="shared" si="53"/>
        <v/>
      </c>
      <c r="X420" s="37" t="str">
        <f t="shared" si="54"/>
        <v/>
      </c>
      <c r="Y420" s="37" t="str">
        <f>IF(OR($H420="",$J420=""),"",$J420*IFERROR(VLOOKUP($H420,Maestro_SKU!$A$2:$P$500,12,FALSE),1))</f>
        <v/>
      </c>
      <c r="Z420" s="37" t="str">
        <f t="shared" ca="1" si="55"/>
        <v/>
      </c>
    </row>
    <row r="421" spans="1:26" x14ac:dyDescent="0.35">
      <c r="A421" s="18"/>
      <c r="B421" s="26"/>
      <c r="C421" s="18"/>
      <c r="D421" s="18"/>
      <c r="E421" s="22" t="str">
        <f>IFERROR(VLOOKUP(D421,Clientes_PDV!$A$2:$J$250,2,FALSE),"")</f>
        <v/>
      </c>
      <c r="F421" s="22" t="str">
        <f>IFERROR(VLOOKUP(D421,Clientes_PDV!$A$2:$J$250,3,FALSE),"")</f>
        <v/>
      </c>
      <c r="G421" s="22" t="str">
        <f>IFERROR(VLOOKUP(D421,Clientes_PDV!$A$2:$J$250,4,FALSE),"")</f>
        <v/>
      </c>
      <c r="H421" s="18"/>
      <c r="I421" s="22" t="str">
        <f>IFERROR(VLOOKUP(H421,Maestro_SKU!$A$2:$P$500,2,FALSE),"")</f>
        <v/>
      </c>
      <c r="J421" s="27"/>
      <c r="K421" s="19"/>
      <c r="L421" s="23" t="str">
        <f t="shared" si="48"/>
        <v/>
      </c>
      <c r="M421" s="23" t="str">
        <f>IF(L421="","",L421*Inicio!$B$13)</f>
        <v/>
      </c>
      <c r="N421" s="23" t="str">
        <f t="shared" si="49"/>
        <v/>
      </c>
      <c r="O421" s="26"/>
      <c r="P421" s="18"/>
      <c r="Q421" s="19"/>
      <c r="R421" s="23" t="str">
        <f t="shared" si="50"/>
        <v/>
      </c>
      <c r="S421" s="22" t="str">
        <f ca="1">IF(A421="","",IF(OR(P421="Pagada",R421=0),"Pagada",IF(O421&lt;TODAY(),"Vencida",IF(O421&lt;=TODAY()+Inicio!$B$19,"Próxima a vencer","Vigente"))))</f>
        <v/>
      </c>
      <c r="T421" s="18"/>
      <c r="U421" s="37" t="str">
        <f t="shared" si="51"/>
        <v/>
      </c>
      <c r="V421" s="37" t="str">
        <f t="shared" si="52"/>
        <v/>
      </c>
      <c r="W421" s="37" t="str">
        <f t="shared" si="53"/>
        <v/>
      </c>
      <c r="X421" s="37" t="str">
        <f t="shared" si="54"/>
        <v/>
      </c>
      <c r="Y421" s="37" t="str">
        <f>IF(OR($H421="",$J421=""),"",$J421*IFERROR(VLOOKUP($H421,Maestro_SKU!$A$2:$P$500,12,FALSE),1))</f>
        <v/>
      </c>
      <c r="Z421" s="37" t="str">
        <f t="shared" ca="1" si="55"/>
        <v/>
      </c>
    </row>
    <row r="422" spans="1:26" x14ac:dyDescent="0.35">
      <c r="A422" s="18"/>
      <c r="B422" s="26"/>
      <c r="C422" s="18"/>
      <c r="D422" s="18"/>
      <c r="E422" s="22" t="str">
        <f>IFERROR(VLOOKUP(D422,Clientes_PDV!$A$2:$J$250,2,FALSE),"")</f>
        <v/>
      </c>
      <c r="F422" s="22" t="str">
        <f>IFERROR(VLOOKUP(D422,Clientes_PDV!$A$2:$J$250,3,FALSE),"")</f>
        <v/>
      </c>
      <c r="G422" s="22" t="str">
        <f>IFERROR(VLOOKUP(D422,Clientes_PDV!$A$2:$J$250,4,FALSE),"")</f>
        <v/>
      </c>
      <c r="H422" s="18"/>
      <c r="I422" s="22" t="str">
        <f>IFERROR(VLOOKUP(H422,Maestro_SKU!$A$2:$P$500,2,FALSE),"")</f>
        <v/>
      </c>
      <c r="J422" s="27"/>
      <c r="K422" s="19"/>
      <c r="L422" s="23" t="str">
        <f t="shared" si="48"/>
        <v/>
      </c>
      <c r="M422" s="23" t="str">
        <f>IF(L422="","",L422*Inicio!$B$13)</f>
        <v/>
      </c>
      <c r="N422" s="23" t="str">
        <f t="shared" si="49"/>
        <v/>
      </c>
      <c r="O422" s="26"/>
      <c r="P422" s="18"/>
      <c r="Q422" s="19"/>
      <c r="R422" s="23" t="str">
        <f t="shared" si="50"/>
        <v/>
      </c>
      <c r="S422" s="22" t="str">
        <f ca="1">IF(A422="","",IF(OR(P422="Pagada",R422=0),"Pagada",IF(O422&lt;TODAY(),"Vencida",IF(O422&lt;=TODAY()+Inicio!$B$19,"Próxima a vencer","Vigente"))))</f>
        <v/>
      </c>
      <c r="T422" s="18"/>
      <c r="U422" s="37" t="str">
        <f t="shared" si="51"/>
        <v/>
      </c>
      <c r="V422" s="37" t="str">
        <f t="shared" si="52"/>
        <v/>
      </c>
      <c r="W422" s="37" t="str">
        <f t="shared" si="53"/>
        <v/>
      </c>
      <c r="X422" s="37" t="str">
        <f t="shared" si="54"/>
        <v/>
      </c>
      <c r="Y422" s="37" t="str">
        <f>IF(OR($H422="",$J422=""),"",$J422*IFERROR(VLOOKUP($H422,Maestro_SKU!$A$2:$P$500,12,FALSE),1))</f>
        <v/>
      </c>
      <c r="Z422" s="37" t="str">
        <f t="shared" ca="1" si="55"/>
        <v/>
      </c>
    </row>
    <row r="423" spans="1:26" x14ac:dyDescent="0.35">
      <c r="A423" s="18"/>
      <c r="B423" s="26"/>
      <c r="C423" s="18"/>
      <c r="D423" s="18"/>
      <c r="E423" s="22" t="str">
        <f>IFERROR(VLOOKUP(D423,Clientes_PDV!$A$2:$J$250,2,FALSE),"")</f>
        <v/>
      </c>
      <c r="F423" s="22" t="str">
        <f>IFERROR(VLOOKUP(D423,Clientes_PDV!$A$2:$J$250,3,FALSE),"")</f>
        <v/>
      </c>
      <c r="G423" s="22" t="str">
        <f>IFERROR(VLOOKUP(D423,Clientes_PDV!$A$2:$J$250,4,FALSE),"")</f>
        <v/>
      </c>
      <c r="H423" s="18"/>
      <c r="I423" s="22" t="str">
        <f>IFERROR(VLOOKUP(H423,Maestro_SKU!$A$2:$P$500,2,FALSE),"")</f>
        <v/>
      </c>
      <c r="J423" s="27"/>
      <c r="K423" s="19"/>
      <c r="L423" s="23" t="str">
        <f t="shared" si="48"/>
        <v/>
      </c>
      <c r="M423" s="23" t="str">
        <f>IF(L423="","",L423*Inicio!$B$13)</f>
        <v/>
      </c>
      <c r="N423" s="23" t="str">
        <f t="shared" si="49"/>
        <v/>
      </c>
      <c r="O423" s="26"/>
      <c r="P423" s="18"/>
      <c r="Q423" s="19"/>
      <c r="R423" s="23" t="str">
        <f t="shared" si="50"/>
        <v/>
      </c>
      <c r="S423" s="22" t="str">
        <f ca="1">IF(A423="","",IF(OR(P423="Pagada",R423=0),"Pagada",IF(O423&lt;TODAY(),"Vencida",IF(O423&lt;=TODAY()+Inicio!$B$19,"Próxima a vencer","Vigente"))))</f>
        <v/>
      </c>
      <c r="T423" s="18"/>
      <c r="U423" s="37" t="str">
        <f t="shared" si="51"/>
        <v/>
      </c>
      <c r="V423" s="37" t="str">
        <f t="shared" si="52"/>
        <v/>
      </c>
      <c r="W423" s="37" t="str">
        <f t="shared" si="53"/>
        <v/>
      </c>
      <c r="X423" s="37" t="str">
        <f t="shared" si="54"/>
        <v/>
      </c>
      <c r="Y423" s="37" t="str">
        <f>IF(OR($H423="",$J423=""),"",$J423*IFERROR(VLOOKUP($H423,Maestro_SKU!$A$2:$P$500,12,FALSE),1))</f>
        <v/>
      </c>
      <c r="Z423" s="37" t="str">
        <f t="shared" ca="1" si="55"/>
        <v/>
      </c>
    </row>
    <row r="424" spans="1:26" x14ac:dyDescent="0.35">
      <c r="A424" s="18"/>
      <c r="B424" s="26"/>
      <c r="C424" s="18"/>
      <c r="D424" s="18"/>
      <c r="E424" s="22" t="str">
        <f>IFERROR(VLOOKUP(D424,Clientes_PDV!$A$2:$J$250,2,FALSE),"")</f>
        <v/>
      </c>
      <c r="F424" s="22" t="str">
        <f>IFERROR(VLOOKUP(D424,Clientes_PDV!$A$2:$J$250,3,FALSE),"")</f>
        <v/>
      </c>
      <c r="G424" s="22" t="str">
        <f>IFERROR(VLOOKUP(D424,Clientes_PDV!$A$2:$J$250,4,FALSE),"")</f>
        <v/>
      </c>
      <c r="H424" s="18"/>
      <c r="I424" s="22" t="str">
        <f>IFERROR(VLOOKUP(H424,Maestro_SKU!$A$2:$P$500,2,FALSE),"")</f>
        <v/>
      </c>
      <c r="J424" s="27"/>
      <c r="K424" s="19"/>
      <c r="L424" s="23" t="str">
        <f t="shared" si="48"/>
        <v/>
      </c>
      <c r="M424" s="23" t="str">
        <f>IF(L424="","",L424*Inicio!$B$13)</f>
        <v/>
      </c>
      <c r="N424" s="23" t="str">
        <f t="shared" si="49"/>
        <v/>
      </c>
      <c r="O424" s="26"/>
      <c r="P424" s="18"/>
      <c r="Q424" s="19"/>
      <c r="R424" s="23" t="str">
        <f t="shared" si="50"/>
        <v/>
      </c>
      <c r="S424" s="22" t="str">
        <f ca="1">IF(A424="","",IF(OR(P424="Pagada",R424=0),"Pagada",IF(O424&lt;TODAY(),"Vencida",IF(O424&lt;=TODAY()+Inicio!$B$19,"Próxima a vencer","Vigente"))))</f>
        <v/>
      </c>
      <c r="T424" s="18"/>
      <c r="U424" s="37" t="str">
        <f t="shared" si="51"/>
        <v/>
      </c>
      <c r="V424" s="37" t="str">
        <f t="shared" si="52"/>
        <v/>
      </c>
      <c r="W424" s="37" t="str">
        <f t="shared" si="53"/>
        <v/>
      </c>
      <c r="X424" s="37" t="str">
        <f t="shared" si="54"/>
        <v/>
      </c>
      <c r="Y424" s="37" t="str">
        <f>IF(OR($H424="",$J424=""),"",$J424*IFERROR(VLOOKUP($H424,Maestro_SKU!$A$2:$P$500,12,FALSE),1))</f>
        <v/>
      </c>
      <c r="Z424" s="37" t="str">
        <f t="shared" ca="1" si="55"/>
        <v/>
      </c>
    </row>
    <row r="425" spans="1:26" x14ac:dyDescent="0.35">
      <c r="A425" s="18"/>
      <c r="B425" s="26"/>
      <c r="C425" s="18"/>
      <c r="D425" s="18"/>
      <c r="E425" s="22" t="str">
        <f>IFERROR(VLOOKUP(D425,Clientes_PDV!$A$2:$J$250,2,FALSE),"")</f>
        <v/>
      </c>
      <c r="F425" s="22" t="str">
        <f>IFERROR(VLOOKUP(D425,Clientes_PDV!$A$2:$J$250,3,FALSE),"")</f>
        <v/>
      </c>
      <c r="G425" s="22" t="str">
        <f>IFERROR(VLOOKUP(D425,Clientes_PDV!$A$2:$J$250,4,FALSE),"")</f>
        <v/>
      </c>
      <c r="H425" s="18"/>
      <c r="I425" s="22" t="str">
        <f>IFERROR(VLOOKUP(H425,Maestro_SKU!$A$2:$P$500,2,FALSE),"")</f>
        <v/>
      </c>
      <c r="J425" s="27"/>
      <c r="K425" s="19"/>
      <c r="L425" s="23" t="str">
        <f t="shared" si="48"/>
        <v/>
      </c>
      <c r="M425" s="23" t="str">
        <f>IF(L425="","",L425*Inicio!$B$13)</f>
        <v/>
      </c>
      <c r="N425" s="23" t="str">
        <f t="shared" si="49"/>
        <v/>
      </c>
      <c r="O425" s="26"/>
      <c r="P425" s="18"/>
      <c r="Q425" s="19"/>
      <c r="R425" s="23" t="str">
        <f t="shared" si="50"/>
        <v/>
      </c>
      <c r="S425" s="22" t="str">
        <f ca="1">IF(A425="","",IF(OR(P425="Pagada",R425=0),"Pagada",IF(O425&lt;TODAY(),"Vencida",IF(O425&lt;=TODAY()+Inicio!$B$19,"Próxima a vencer","Vigente"))))</f>
        <v/>
      </c>
      <c r="T425" s="18"/>
      <c r="U425" s="37" t="str">
        <f t="shared" si="51"/>
        <v/>
      </c>
      <c r="V425" s="37" t="str">
        <f t="shared" si="52"/>
        <v/>
      </c>
      <c r="W425" s="37" t="str">
        <f t="shared" si="53"/>
        <v/>
      </c>
      <c r="X425" s="37" t="str">
        <f t="shared" si="54"/>
        <v/>
      </c>
      <c r="Y425" s="37" t="str">
        <f>IF(OR($H425="",$J425=""),"",$J425*IFERROR(VLOOKUP($H425,Maestro_SKU!$A$2:$P$500,12,FALSE),1))</f>
        <v/>
      </c>
      <c r="Z425" s="37" t="str">
        <f t="shared" ca="1" si="55"/>
        <v/>
      </c>
    </row>
    <row r="426" spans="1:26" x14ac:dyDescent="0.35">
      <c r="A426" s="18"/>
      <c r="B426" s="26"/>
      <c r="C426" s="18"/>
      <c r="D426" s="18"/>
      <c r="E426" s="22" t="str">
        <f>IFERROR(VLOOKUP(D426,Clientes_PDV!$A$2:$J$250,2,FALSE),"")</f>
        <v/>
      </c>
      <c r="F426" s="22" t="str">
        <f>IFERROR(VLOOKUP(D426,Clientes_PDV!$A$2:$J$250,3,FALSE),"")</f>
        <v/>
      </c>
      <c r="G426" s="22" t="str">
        <f>IFERROR(VLOOKUP(D426,Clientes_PDV!$A$2:$J$250,4,FALSE),"")</f>
        <v/>
      </c>
      <c r="H426" s="18"/>
      <c r="I426" s="22" t="str">
        <f>IFERROR(VLOOKUP(H426,Maestro_SKU!$A$2:$P$500,2,FALSE),"")</f>
        <v/>
      </c>
      <c r="J426" s="27"/>
      <c r="K426" s="19"/>
      <c r="L426" s="23" t="str">
        <f t="shared" si="48"/>
        <v/>
      </c>
      <c r="M426" s="23" t="str">
        <f>IF(L426="","",L426*Inicio!$B$13)</f>
        <v/>
      </c>
      <c r="N426" s="23" t="str">
        <f t="shared" si="49"/>
        <v/>
      </c>
      <c r="O426" s="26"/>
      <c r="P426" s="18"/>
      <c r="Q426" s="19"/>
      <c r="R426" s="23" t="str">
        <f t="shared" si="50"/>
        <v/>
      </c>
      <c r="S426" s="22" t="str">
        <f ca="1">IF(A426="","",IF(OR(P426="Pagada",R426=0),"Pagada",IF(O426&lt;TODAY(),"Vencida",IF(O426&lt;=TODAY()+Inicio!$B$19,"Próxima a vencer","Vigente"))))</f>
        <v/>
      </c>
      <c r="T426" s="18"/>
      <c r="U426" s="37" t="str">
        <f t="shared" si="51"/>
        <v/>
      </c>
      <c r="V426" s="37" t="str">
        <f t="shared" si="52"/>
        <v/>
      </c>
      <c r="W426" s="37" t="str">
        <f t="shared" si="53"/>
        <v/>
      </c>
      <c r="X426" s="37" t="str">
        <f t="shared" si="54"/>
        <v/>
      </c>
      <c r="Y426" s="37" t="str">
        <f>IF(OR($H426="",$J426=""),"",$J426*IFERROR(VLOOKUP($H426,Maestro_SKU!$A$2:$P$500,12,FALSE),1))</f>
        <v/>
      </c>
      <c r="Z426" s="37" t="str">
        <f t="shared" ca="1" si="55"/>
        <v/>
      </c>
    </row>
    <row r="427" spans="1:26" x14ac:dyDescent="0.35">
      <c r="A427" s="18"/>
      <c r="B427" s="26"/>
      <c r="C427" s="18"/>
      <c r="D427" s="18"/>
      <c r="E427" s="22" t="str">
        <f>IFERROR(VLOOKUP(D427,Clientes_PDV!$A$2:$J$250,2,FALSE),"")</f>
        <v/>
      </c>
      <c r="F427" s="22" t="str">
        <f>IFERROR(VLOOKUP(D427,Clientes_PDV!$A$2:$J$250,3,FALSE),"")</f>
        <v/>
      </c>
      <c r="G427" s="22" t="str">
        <f>IFERROR(VLOOKUP(D427,Clientes_PDV!$A$2:$J$250,4,FALSE),"")</f>
        <v/>
      </c>
      <c r="H427" s="18"/>
      <c r="I427" s="22" t="str">
        <f>IFERROR(VLOOKUP(H427,Maestro_SKU!$A$2:$P$500,2,FALSE),"")</f>
        <v/>
      </c>
      <c r="J427" s="27"/>
      <c r="K427" s="19"/>
      <c r="L427" s="23" t="str">
        <f t="shared" si="48"/>
        <v/>
      </c>
      <c r="M427" s="23" t="str">
        <f>IF(L427="","",L427*Inicio!$B$13)</f>
        <v/>
      </c>
      <c r="N427" s="23" t="str">
        <f t="shared" si="49"/>
        <v/>
      </c>
      <c r="O427" s="26"/>
      <c r="P427" s="18"/>
      <c r="Q427" s="19"/>
      <c r="R427" s="23" t="str">
        <f t="shared" si="50"/>
        <v/>
      </c>
      <c r="S427" s="22" t="str">
        <f ca="1">IF(A427="","",IF(OR(P427="Pagada",R427=0),"Pagada",IF(O427&lt;TODAY(),"Vencida",IF(O427&lt;=TODAY()+Inicio!$B$19,"Próxima a vencer","Vigente"))))</f>
        <v/>
      </c>
      <c r="T427" s="18"/>
      <c r="U427" s="37" t="str">
        <f t="shared" si="51"/>
        <v/>
      </c>
      <c r="V427" s="37" t="str">
        <f t="shared" si="52"/>
        <v/>
      </c>
      <c r="W427" s="37" t="str">
        <f t="shared" si="53"/>
        <v/>
      </c>
      <c r="X427" s="37" t="str">
        <f t="shared" si="54"/>
        <v/>
      </c>
      <c r="Y427" s="37" t="str">
        <f>IF(OR($H427="",$J427=""),"",$J427*IFERROR(VLOOKUP($H427,Maestro_SKU!$A$2:$P$500,12,FALSE),1))</f>
        <v/>
      </c>
      <c r="Z427" s="37" t="str">
        <f t="shared" ca="1" si="55"/>
        <v/>
      </c>
    </row>
    <row r="428" spans="1:26" x14ac:dyDescent="0.35">
      <c r="A428" s="18"/>
      <c r="B428" s="26"/>
      <c r="C428" s="18"/>
      <c r="D428" s="18"/>
      <c r="E428" s="22" t="str">
        <f>IFERROR(VLOOKUP(D428,Clientes_PDV!$A$2:$J$250,2,FALSE),"")</f>
        <v/>
      </c>
      <c r="F428" s="22" t="str">
        <f>IFERROR(VLOOKUP(D428,Clientes_PDV!$A$2:$J$250,3,FALSE),"")</f>
        <v/>
      </c>
      <c r="G428" s="22" t="str">
        <f>IFERROR(VLOOKUP(D428,Clientes_PDV!$A$2:$J$250,4,FALSE),"")</f>
        <v/>
      </c>
      <c r="H428" s="18"/>
      <c r="I428" s="22" t="str">
        <f>IFERROR(VLOOKUP(H428,Maestro_SKU!$A$2:$P$500,2,FALSE),"")</f>
        <v/>
      </c>
      <c r="J428" s="27"/>
      <c r="K428" s="19"/>
      <c r="L428" s="23" t="str">
        <f t="shared" si="48"/>
        <v/>
      </c>
      <c r="M428" s="23" t="str">
        <f>IF(L428="","",L428*Inicio!$B$13)</f>
        <v/>
      </c>
      <c r="N428" s="23" t="str">
        <f t="shared" si="49"/>
        <v/>
      </c>
      <c r="O428" s="26"/>
      <c r="P428" s="18"/>
      <c r="Q428" s="19"/>
      <c r="R428" s="23" t="str">
        <f t="shared" si="50"/>
        <v/>
      </c>
      <c r="S428" s="22" t="str">
        <f ca="1">IF(A428="","",IF(OR(P428="Pagada",R428=0),"Pagada",IF(O428&lt;TODAY(),"Vencida",IF(O428&lt;=TODAY()+Inicio!$B$19,"Próxima a vencer","Vigente"))))</f>
        <v/>
      </c>
      <c r="T428" s="18"/>
      <c r="U428" s="37" t="str">
        <f t="shared" si="51"/>
        <v/>
      </c>
      <c r="V428" s="37" t="str">
        <f t="shared" si="52"/>
        <v/>
      </c>
      <c r="W428" s="37" t="str">
        <f t="shared" si="53"/>
        <v/>
      </c>
      <c r="X428" s="37" t="str">
        <f t="shared" si="54"/>
        <v/>
      </c>
      <c r="Y428" s="37" t="str">
        <f>IF(OR($H428="",$J428=""),"",$J428*IFERROR(VLOOKUP($H428,Maestro_SKU!$A$2:$P$500,12,FALSE),1))</f>
        <v/>
      </c>
      <c r="Z428" s="37" t="str">
        <f t="shared" ca="1" si="55"/>
        <v/>
      </c>
    </row>
    <row r="429" spans="1:26" x14ac:dyDescent="0.35">
      <c r="A429" s="18"/>
      <c r="B429" s="26"/>
      <c r="C429" s="18"/>
      <c r="D429" s="18"/>
      <c r="E429" s="22" t="str">
        <f>IFERROR(VLOOKUP(D429,Clientes_PDV!$A$2:$J$250,2,FALSE),"")</f>
        <v/>
      </c>
      <c r="F429" s="22" t="str">
        <f>IFERROR(VLOOKUP(D429,Clientes_PDV!$A$2:$J$250,3,FALSE),"")</f>
        <v/>
      </c>
      <c r="G429" s="22" t="str">
        <f>IFERROR(VLOOKUP(D429,Clientes_PDV!$A$2:$J$250,4,FALSE),"")</f>
        <v/>
      </c>
      <c r="H429" s="18"/>
      <c r="I429" s="22" t="str">
        <f>IFERROR(VLOOKUP(H429,Maestro_SKU!$A$2:$P$500,2,FALSE),"")</f>
        <v/>
      </c>
      <c r="J429" s="27"/>
      <c r="K429" s="19"/>
      <c r="L429" s="23" t="str">
        <f t="shared" si="48"/>
        <v/>
      </c>
      <c r="M429" s="23" t="str">
        <f>IF(L429="","",L429*Inicio!$B$13)</f>
        <v/>
      </c>
      <c r="N429" s="23" t="str">
        <f t="shared" si="49"/>
        <v/>
      </c>
      <c r="O429" s="26"/>
      <c r="P429" s="18"/>
      <c r="Q429" s="19"/>
      <c r="R429" s="23" t="str">
        <f t="shared" si="50"/>
        <v/>
      </c>
      <c r="S429" s="22" t="str">
        <f ca="1">IF(A429="","",IF(OR(P429="Pagada",R429=0),"Pagada",IF(O429&lt;TODAY(),"Vencida",IF(O429&lt;=TODAY()+Inicio!$B$19,"Próxima a vencer","Vigente"))))</f>
        <v/>
      </c>
      <c r="T429" s="18"/>
      <c r="U429" s="37" t="str">
        <f t="shared" si="51"/>
        <v/>
      </c>
      <c r="V429" s="37" t="str">
        <f t="shared" si="52"/>
        <v/>
      </c>
      <c r="W429" s="37" t="str">
        <f t="shared" si="53"/>
        <v/>
      </c>
      <c r="X429" s="37" t="str">
        <f t="shared" si="54"/>
        <v/>
      </c>
      <c r="Y429" s="37" t="str">
        <f>IF(OR($H429="",$J429=""),"",$J429*IFERROR(VLOOKUP($H429,Maestro_SKU!$A$2:$P$500,12,FALSE),1))</f>
        <v/>
      </c>
      <c r="Z429" s="37" t="str">
        <f t="shared" ca="1" si="55"/>
        <v/>
      </c>
    </row>
    <row r="430" spans="1:26" x14ac:dyDescent="0.35">
      <c r="A430" s="18"/>
      <c r="B430" s="26"/>
      <c r="C430" s="18"/>
      <c r="D430" s="18"/>
      <c r="E430" s="22" t="str">
        <f>IFERROR(VLOOKUP(D430,Clientes_PDV!$A$2:$J$250,2,FALSE),"")</f>
        <v/>
      </c>
      <c r="F430" s="22" t="str">
        <f>IFERROR(VLOOKUP(D430,Clientes_PDV!$A$2:$J$250,3,FALSE),"")</f>
        <v/>
      </c>
      <c r="G430" s="22" t="str">
        <f>IFERROR(VLOOKUP(D430,Clientes_PDV!$A$2:$J$250,4,FALSE),"")</f>
        <v/>
      </c>
      <c r="H430" s="18"/>
      <c r="I430" s="22" t="str">
        <f>IFERROR(VLOOKUP(H430,Maestro_SKU!$A$2:$P$500,2,FALSE),"")</f>
        <v/>
      </c>
      <c r="J430" s="27"/>
      <c r="K430" s="19"/>
      <c r="L430" s="23" t="str">
        <f t="shared" si="48"/>
        <v/>
      </c>
      <c r="M430" s="23" t="str">
        <f>IF(L430="","",L430*Inicio!$B$13)</f>
        <v/>
      </c>
      <c r="N430" s="23" t="str">
        <f t="shared" si="49"/>
        <v/>
      </c>
      <c r="O430" s="26"/>
      <c r="P430" s="18"/>
      <c r="Q430" s="19"/>
      <c r="R430" s="23" t="str">
        <f t="shared" si="50"/>
        <v/>
      </c>
      <c r="S430" s="22" t="str">
        <f ca="1">IF(A430="","",IF(OR(P430="Pagada",R430=0),"Pagada",IF(O430&lt;TODAY(),"Vencida",IF(O430&lt;=TODAY()+Inicio!$B$19,"Próxima a vencer","Vigente"))))</f>
        <v/>
      </c>
      <c r="T430" s="18"/>
      <c r="U430" s="37" t="str">
        <f t="shared" si="51"/>
        <v/>
      </c>
      <c r="V430" s="37" t="str">
        <f t="shared" si="52"/>
        <v/>
      </c>
      <c r="W430" s="37" t="str">
        <f t="shared" si="53"/>
        <v/>
      </c>
      <c r="X430" s="37" t="str">
        <f t="shared" si="54"/>
        <v/>
      </c>
      <c r="Y430" s="37" t="str">
        <f>IF(OR($H430="",$J430=""),"",$J430*IFERROR(VLOOKUP($H430,Maestro_SKU!$A$2:$P$500,12,FALSE),1))</f>
        <v/>
      </c>
      <c r="Z430" s="37" t="str">
        <f t="shared" ca="1" si="55"/>
        <v/>
      </c>
    </row>
    <row r="431" spans="1:26" x14ac:dyDescent="0.35">
      <c r="A431" s="18"/>
      <c r="B431" s="26"/>
      <c r="C431" s="18"/>
      <c r="D431" s="18"/>
      <c r="E431" s="22" t="str">
        <f>IFERROR(VLOOKUP(D431,Clientes_PDV!$A$2:$J$250,2,FALSE),"")</f>
        <v/>
      </c>
      <c r="F431" s="22" t="str">
        <f>IFERROR(VLOOKUP(D431,Clientes_PDV!$A$2:$J$250,3,FALSE),"")</f>
        <v/>
      </c>
      <c r="G431" s="22" t="str">
        <f>IFERROR(VLOOKUP(D431,Clientes_PDV!$A$2:$J$250,4,FALSE),"")</f>
        <v/>
      </c>
      <c r="H431" s="18"/>
      <c r="I431" s="22" t="str">
        <f>IFERROR(VLOOKUP(H431,Maestro_SKU!$A$2:$P$500,2,FALSE),"")</f>
        <v/>
      </c>
      <c r="J431" s="27"/>
      <c r="K431" s="19"/>
      <c r="L431" s="23" t="str">
        <f t="shared" si="48"/>
        <v/>
      </c>
      <c r="M431" s="23" t="str">
        <f>IF(L431="","",L431*Inicio!$B$13)</f>
        <v/>
      </c>
      <c r="N431" s="23" t="str">
        <f t="shared" si="49"/>
        <v/>
      </c>
      <c r="O431" s="26"/>
      <c r="P431" s="18"/>
      <c r="Q431" s="19"/>
      <c r="R431" s="23" t="str">
        <f t="shared" si="50"/>
        <v/>
      </c>
      <c r="S431" s="22" t="str">
        <f ca="1">IF(A431="","",IF(OR(P431="Pagada",R431=0),"Pagada",IF(O431&lt;TODAY(),"Vencida",IF(O431&lt;=TODAY()+Inicio!$B$19,"Próxima a vencer","Vigente"))))</f>
        <v/>
      </c>
      <c r="T431" s="18"/>
      <c r="U431" s="37" t="str">
        <f t="shared" si="51"/>
        <v/>
      </c>
      <c r="V431" s="37" t="str">
        <f t="shared" si="52"/>
        <v/>
      </c>
      <c r="W431" s="37" t="str">
        <f t="shared" si="53"/>
        <v/>
      </c>
      <c r="X431" s="37" t="str">
        <f t="shared" si="54"/>
        <v/>
      </c>
      <c r="Y431" s="37" t="str">
        <f>IF(OR($H431="",$J431=""),"",$J431*IFERROR(VLOOKUP($H431,Maestro_SKU!$A$2:$P$500,12,FALSE),1))</f>
        <v/>
      </c>
      <c r="Z431" s="37" t="str">
        <f t="shared" ca="1" si="55"/>
        <v/>
      </c>
    </row>
    <row r="432" spans="1:26" x14ac:dyDescent="0.35">
      <c r="A432" s="18"/>
      <c r="B432" s="26"/>
      <c r="C432" s="18"/>
      <c r="D432" s="18"/>
      <c r="E432" s="22" t="str">
        <f>IFERROR(VLOOKUP(D432,Clientes_PDV!$A$2:$J$250,2,FALSE),"")</f>
        <v/>
      </c>
      <c r="F432" s="22" t="str">
        <f>IFERROR(VLOOKUP(D432,Clientes_PDV!$A$2:$J$250,3,FALSE),"")</f>
        <v/>
      </c>
      <c r="G432" s="22" t="str">
        <f>IFERROR(VLOOKUP(D432,Clientes_PDV!$A$2:$J$250,4,FALSE),"")</f>
        <v/>
      </c>
      <c r="H432" s="18"/>
      <c r="I432" s="22" t="str">
        <f>IFERROR(VLOOKUP(H432,Maestro_SKU!$A$2:$P$500,2,FALSE),"")</f>
        <v/>
      </c>
      <c r="J432" s="27"/>
      <c r="K432" s="19"/>
      <c r="L432" s="23" t="str">
        <f t="shared" si="48"/>
        <v/>
      </c>
      <c r="M432" s="23" t="str">
        <f>IF(L432="","",L432*Inicio!$B$13)</f>
        <v/>
      </c>
      <c r="N432" s="23" t="str">
        <f t="shared" si="49"/>
        <v/>
      </c>
      <c r="O432" s="26"/>
      <c r="P432" s="18"/>
      <c r="Q432" s="19"/>
      <c r="R432" s="23" t="str">
        <f t="shared" si="50"/>
        <v/>
      </c>
      <c r="S432" s="22" t="str">
        <f ca="1">IF(A432="","",IF(OR(P432="Pagada",R432=0),"Pagada",IF(O432&lt;TODAY(),"Vencida",IF(O432&lt;=TODAY()+Inicio!$B$19,"Próxima a vencer","Vigente"))))</f>
        <v/>
      </c>
      <c r="T432" s="18"/>
      <c r="U432" s="37" t="str">
        <f t="shared" si="51"/>
        <v/>
      </c>
      <c r="V432" s="37" t="str">
        <f t="shared" si="52"/>
        <v/>
      </c>
      <c r="W432" s="37" t="str">
        <f t="shared" si="53"/>
        <v/>
      </c>
      <c r="X432" s="37" t="str">
        <f t="shared" si="54"/>
        <v/>
      </c>
      <c r="Y432" s="37" t="str">
        <f>IF(OR($H432="",$J432=""),"",$J432*IFERROR(VLOOKUP($H432,Maestro_SKU!$A$2:$P$500,12,FALSE),1))</f>
        <v/>
      </c>
      <c r="Z432" s="37" t="str">
        <f t="shared" ca="1" si="55"/>
        <v/>
      </c>
    </row>
    <row r="433" spans="1:26" x14ac:dyDescent="0.35">
      <c r="A433" s="18"/>
      <c r="B433" s="26"/>
      <c r="C433" s="18"/>
      <c r="D433" s="18"/>
      <c r="E433" s="22" t="str">
        <f>IFERROR(VLOOKUP(D433,Clientes_PDV!$A$2:$J$250,2,FALSE),"")</f>
        <v/>
      </c>
      <c r="F433" s="22" t="str">
        <f>IFERROR(VLOOKUP(D433,Clientes_PDV!$A$2:$J$250,3,FALSE),"")</f>
        <v/>
      </c>
      <c r="G433" s="22" t="str">
        <f>IFERROR(VLOOKUP(D433,Clientes_PDV!$A$2:$J$250,4,FALSE),"")</f>
        <v/>
      </c>
      <c r="H433" s="18"/>
      <c r="I433" s="22" t="str">
        <f>IFERROR(VLOOKUP(H433,Maestro_SKU!$A$2:$P$500,2,FALSE),"")</f>
        <v/>
      </c>
      <c r="J433" s="27"/>
      <c r="K433" s="19"/>
      <c r="L433" s="23" t="str">
        <f t="shared" si="48"/>
        <v/>
      </c>
      <c r="M433" s="23" t="str">
        <f>IF(L433="","",L433*Inicio!$B$13)</f>
        <v/>
      </c>
      <c r="N433" s="23" t="str">
        <f t="shared" si="49"/>
        <v/>
      </c>
      <c r="O433" s="26"/>
      <c r="P433" s="18"/>
      <c r="Q433" s="19"/>
      <c r="R433" s="23" t="str">
        <f t="shared" si="50"/>
        <v/>
      </c>
      <c r="S433" s="22" t="str">
        <f ca="1">IF(A433="","",IF(OR(P433="Pagada",R433=0),"Pagada",IF(O433&lt;TODAY(),"Vencida",IF(O433&lt;=TODAY()+Inicio!$B$19,"Próxima a vencer","Vigente"))))</f>
        <v/>
      </c>
      <c r="T433" s="18"/>
      <c r="U433" s="37" t="str">
        <f t="shared" si="51"/>
        <v/>
      </c>
      <c r="V433" s="37" t="str">
        <f t="shared" si="52"/>
        <v/>
      </c>
      <c r="W433" s="37" t="str">
        <f t="shared" si="53"/>
        <v/>
      </c>
      <c r="X433" s="37" t="str">
        <f t="shared" si="54"/>
        <v/>
      </c>
      <c r="Y433" s="37" t="str">
        <f>IF(OR($H433="",$J433=""),"",$J433*IFERROR(VLOOKUP($H433,Maestro_SKU!$A$2:$P$500,12,FALSE),1))</f>
        <v/>
      </c>
      <c r="Z433" s="37" t="str">
        <f t="shared" ca="1" si="55"/>
        <v/>
      </c>
    </row>
    <row r="434" spans="1:26" x14ac:dyDescent="0.35">
      <c r="A434" s="18"/>
      <c r="B434" s="26"/>
      <c r="C434" s="18"/>
      <c r="D434" s="18"/>
      <c r="E434" s="22" t="str">
        <f>IFERROR(VLOOKUP(D434,Clientes_PDV!$A$2:$J$250,2,FALSE),"")</f>
        <v/>
      </c>
      <c r="F434" s="22" t="str">
        <f>IFERROR(VLOOKUP(D434,Clientes_PDV!$A$2:$J$250,3,FALSE),"")</f>
        <v/>
      </c>
      <c r="G434" s="22" t="str">
        <f>IFERROR(VLOOKUP(D434,Clientes_PDV!$A$2:$J$250,4,FALSE),"")</f>
        <v/>
      </c>
      <c r="H434" s="18"/>
      <c r="I434" s="22" t="str">
        <f>IFERROR(VLOOKUP(H434,Maestro_SKU!$A$2:$P$500,2,FALSE),"")</f>
        <v/>
      </c>
      <c r="J434" s="27"/>
      <c r="K434" s="19"/>
      <c r="L434" s="23" t="str">
        <f t="shared" si="48"/>
        <v/>
      </c>
      <c r="M434" s="23" t="str">
        <f>IF(L434="","",L434*Inicio!$B$13)</f>
        <v/>
      </c>
      <c r="N434" s="23" t="str">
        <f t="shared" si="49"/>
        <v/>
      </c>
      <c r="O434" s="26"/>
      <c r="P434" s="18"/>
      <c r="Q434" s="19"/>
      <c r="R434" s="23" t="str">
        <f t="shared" si="50"/>
        <v/>
      </c>
      <c r="S434" s="22" t="str">
        <f ca="1">IF(A434="","",IF(OR(P434="Pagada",R434=0),"Pagada",IF(O434&lt;TODAY(),"Vencida",IF(O434&lt;=TODAY()+Inicio!$B$19,"Próxima a vencer","Vigente"))))</f>
        <v/>
      </c>
      <c r="T434" s="18"/>
      <c r="U434" s="37" t="str">
        <f t="shared" si="51"/>
        <v/>
      </c>
      <c r="V434" s="37" t="str">
        <f t="shared" si="52"/>
        <v/>
      </c>
      <c r="W434" s="37" t="str">
        <f t="shared" si="53"/>
        <v/>
      </c>
      <c r="X434" s="37" t="str">
        <f t="shared" si="54"/>
        <v/>
      </c>
      <c r="Y434" s="37" t="str">
        <f>IF(OR($H434="",$J434=""),"",$J434*IFERROR(VLOOKUP($H434,Maestro_SKU!$A$2:$P$500,12,FALSE),1))</f>
        <v/>
      </c>
      <c r="Z434" s="37" t="str">
        <f t="shared" ca="1" si="55"/>
        <v/>
      </c>
    </row>
    <row r="435" spans="1:26" x14ac:dyDescent="0.35">
      <c r="A435" s="18"/>
      <c r="B435" s="26"/>
      <c r="C435" s="18"/>
      <c r="D435" s="18"/>
      <c r="E435" s="22" t="str">
        <f>IFERROR(VLOOKUP(D435,Clientes_PDV!$A$2:$J$250,2,FALSE),"")</f>
        <v/>
      </c>
      <c r="F435" s="22" t="str">
        <f>IFERROR(VLOOKUP(D435,Clientes_PDV!$A$2:$J$250,3,FALSE),"")</f>
        <v/>
      </c>
      <c r="G435" s="22" t="str">
        <f>IFERROR(VLOOKUP(D435,Clientes_PDV!$A$2:$J$250,4,FALSE),"")</f>
        <v/>
      </c>
      <c r="H435" s="18"/>
      <c r="I435" s="22" t="str">
        <f>IFERROR(VLOOKUP(H435,Maestro_SKU!$A$2:$P$500,2,FALSE),"")</f>
        <v/>
      </c>
      <c r="J435" s="27"/>
      <c r="K435" s="19"/>
      <c r="L435" s="23" t="str">
        <f t="shared" si="48"/>
        <v/>
      </c>
      <c r="M435" s="23" t="str">
        <f>IF(L435="","",L435*Inicio!$B$13)</f>
        <v/>
      </c>
      <c r="N435" s="23" t="str">
        <f t="shared" si="49"/>
        <v/>
      </c>
      <c r="O435" s="26"/>
      <c r="P435" s="18"/>
      <c r="Q435" s="19"/>
      <c r="R435" s="23" t="str">
        <f t="shared" si="50"/>
        <v/>
      </c>
      <c r="S435" s="22" t="str">
        <f ca="1">IF(A435="","",IF(OR(P435="Pagada",R435=0),"Pagada",IF(O435&lt;TODAY(),"Vencida",IF(O435&lt;=TODAY()+Inicio!$B$19,"Próxima a vencer","Vigente"))))</f>
        <v/>
      </c>
      <c r="T435" s="18"/>
      <c r="U435" s="37" t="str">
        <f t="shared" si="51"/>
        <v/>
      </c>
      <c r="V435" s="37" t="str">
        <f t="shared" si="52"/>
        <v/>
      </c>
      <c r="W435" s="37" t="str">
        <f t="shared" si="53"/>
        <v/>
      </c>
      <c r="X435" s="37" t="str">
        <f t="shared" si="54"/>
        <v/>
      </c>
      <c r="Y435" s="37" t="str">
        <f>IF(OR($H435="",$J435=""),"",$J435*IFERROR(VLOOKUP($H435,Maestro_SKU!$A$2:$P$500,12,FALSE),1))</f>
        <v/>
      </c>
      <c r="Z435" s="37" t="str">
        <f t="shared" ca="1" si="55"/>
        <v/>
      </c>
    </row>
    <row r="436" spans="1:26" x14ac:dyDescent="0.35">
      <c r="A436" s="18"/>
      <c r="B436" s="26"/>
      <c r="C436" s="18"/>
      <c r="D436" s="18"/>
      <c r="E436" s="22" t="str">
        <f>IFERROR(VLOOKUP(D436,Clientes_PDV!$A$2:$J$250,2,FALSE),"")</f>
        <v/>
      </c>
      <c r="F436" s="22" t="str">
        <f>IFERROR(VLOOKUP(D436,Clientes_PDV!$A$2:$J$250,3,FALSE),"")</f>
        <v/>
      </c>
      <c r="G436" s="22" t="str">
        <f>IFERROR(VLOOKUP(D436,Clientes_PDV!$A$2:$J$250,4,FALSE),"")</f>
        <v/>
      </c>
      <c r="H436" s="18"/>
      <c r="I436" s="22" t="str">
        <f>IFERROR(VLOOKUP(H436,Maestro_SKU!$A$2:$P$500,2,FALSE),"")</f>
        <v/>
      </c>
      <c r="J436" s="27"/>
      <c r="K436" s="19"/>
      <c r="L436" s="23" t="str">
        <f t="shared" si="48"/>
        <v/>
      </c>
      <c r="M436" s="23" t="str">
        <f>IF(L436="","",L436*Inicio!$B$13)</f>
        <v/>
      </c>
      <c r="N436" s="23" t="str">
        <f t="shared" si="49"/>
        <v/>
      </c>
      <c r="O436" s="26"/>
      <c r="P436" s="18"/>
      <c r="Q436" s="19"/>
      <c r="R436" s="23" t="str">
        <f t="shared" si="50"/>
        <v/>
      </c>
      <c r="S436" s="22" t="str">
        <f ca="1">IF(A436="","",IF(OR(P436="Pagada",R436=0),"Pagada",IF(O436&lt;TODAY(),"Vencida",IF(O436&lt;=TODAY()+Inicio!$B$19,"Próxima a vencer","Vigente"))))</f>
        <v/>
      </c>
      <c r="T436" s="18"/>
      <c r="U436" s="37" t="str">
        <f t="shared" si="51"/>
        <v/>
      </c>
      <c r="V436" s="37" t="str">
        <f t="shared" si="52"/>
        <v/>
      </c>
      <c r="W436" s="37" t="str">
        <f t="shared" si="53"/>
        <v/>
      </c>
      <c r="X436" s="37" t="str">
        <f t="shared" si="54"/>
        <v/>
      </c>
      <c r="Y436" s="37" t="str">
        <f>IF(OR($H436="",$J436=""),"",$J436*IFERROR(VLOOKUP($H436,Maestro_SKU!$A$2:$P$500,12,FALSE),1))</f>
        <v/>
      </c>
      <c r="Z436" s="37" t="str">
        <f t="shared" ca="1" si="55"/>
        <v/>
      </c>
    </row>
    <row r="437" spans="1:26" x14ac:dyDescent="0.35">
      <c r="A437" s="18"/>
      <c r="B437" s="26"/>
      <c r="C437" s="18"/>
      <c r="D437" s="18"/>
      <c r="E437" s="22" t="str">
        <f>IFERROR(VLOOKUP(D437,Clientes_PDV!$A$2:$J$250,2,FALSE),"")</f>
        <v/>
      </c>
      <c r="F437" s="22" t="str">
        <f>IFERROR(VLOOKUP(D437,Clientes_PDV!$A$2:$J$250,3,FALSE),"")</f>
        <v/>
      </c>
      <c r="G437" s="22" t="str">
        <f>IFERROR(VLOOKUP(D437,Clientes_PDV!$A$2:$J$250,4,FALSE),"")</f>
        <v/>
      </c>
      <c r="H437" s="18"/>
      <c r="I437" s="22" t="str">
        <f>IFERROR(VLOOKUP(H437,Maestro_SKU!$A$2:$P$500,2,FALSE),"")</f>
        <v/>
      </c>
      <c r="J437" s="27"/>
      <c r="K437" s="19"/>
      <c r="L437" s="23" t="str">
        <f t="shared" si="48"/>
        <v/>
      </c>
      <c r="M437" s="23" t="str">
        <f>IF(L437="","",L437*Inicio!$B$13)</f>
        <v/>
      </c>
      <c r="N437" s="23" t="str">
        <f t="shared" si="49"/>
        <v/>
      </c>
      <c r="O437" s="26"/>
      <c r="P437" s="18"/>
      <c r="Q437" s="19"/>
      <c r="R437" s="23" t="str">
        <f t="shared" si="50"/>
        <v/>
      </c>
      <c r="S437" s="22" t="str">
        <f ca="1">IF(A437="","",IF(OR(P437="Pagada",R437=0),"Pagada",IF(O437&lt;TODAY(),"Vencida",IF(O437&lt;=TODAY()+Inicio!$B$19,"Próxima a vencer","Vigente"))))</f>
        <v/>
      </c>
      <c r="T437" s="18"/>
      <c r="U437" s="37" t="str">
        <f t="shared" si="51"/>
        <v/>
      </c>
      <c r="V437" s="37" t="str">
        <f t="shared" si="52"/>
        <v/>
      </c>
      <c r="W437" s="37" t="str">
        <f t="shared" si="53"/>
        <v/>
      </c>
      <c r="X437" s="37" t="str">
        <f t="shared" si="54"/>
        <v/>
      </c>
      <c r="Y437" s="37" t="str">
        <f>IF(OR($H437="",$J437=""),"",$J437*IFERROR(VLOOKUP($H437,Maestro_SKU!$A$2:$P$500,12,FALSE),1))</f>
        <v/>
      </c>
      <c r="Z437" s="37" t="str">
        <f t="shared" ca="1" si="55"/>
        <v/>
      </c>
    </row>
    <row r="438" spans="1:26" x14ac:dyDescent="0.35">
      <c r="A438" s="18"/>
      <c r="B438" s="26"/>
      <c r="C438" s="18"/>
      <c r="D438" s="18"/>
      <c r="E438" s="22" t="str">
        <f>IFERROR(VLOOKUP(D438,Clientes_PDV!$A$2:$J$250,2,FALSE),"")</f>
        <v/>
      </c>
      <c r="F438" s="22" t="str">
        <f>IFERROR(VLOOKUP(D438,Clientes_PDV!$A$2:$J$250,3,FALSE),"")</f>
        <v/>
      </c>
      <c r="G438" s="22" t="str">
        <f>IFERROR(VLOOKUP(D438,Clientes_PDV!$A$2:$J$250,4,FALSE),"")</f>
        <v/>
      </c>
      <c r="H438" s="18"/>
      <c r="I438" s="22" t="str">
        <f>IFERROR(VLOOKUP(H438,Maestro_SKU!$A$2:$P$500,2,FALSE),"")</f>
        <v/>
      </c>
      <c r="J438" s="27"/>
      <c r="K438" s="19"/>
      <c r="L438" s="23" t="str">
        <f t="shared" si="48"/>
        <v/>
      </c>
      <c r="M438" s="23" t="str">
        <f>IF(L438="","",L438*Inicio!$B$13)</f>
        <v/>
      </c>
      <c r="N438" s="23" t="str">
        <f t="shared" si="49"/>
        <v/>
      </c>
      <c r="O438" s="26"/>
      <c r="P438" s="18"/>
      <c r="Q438" s="19"/>
      <c r="R438" s="23" t="str">
        <f t="shared" si="50"/>
        <v/>
      </c>
      <c r="S438" s="22" t="str">
        <f ca="1">IF(A438="","",IF(OR(P438="Pagada",R438=0),"Pagada",IF(O438&lt;TODAY(),"Vencida",IF(O438&lt;=TODAY()+Inicio!$B$19,"Próxima a vencer","Vigente"))))</f>
        <v/>
      </c>
      <c r="T438" s="18"/>
      <c r="U438" s="37" t="str">
        <f t="shared" si="51"/>
        <v/>
      </c>
      <c r="V438" s="37" t="str">
        <f t="shared" si="52"/>
        <v/>
      </c>
      <c r="W438" s="37" t="str">
        <f t="shared" si="53"/>
        <v/>
      </c>
      <c r="X438" s="37" t="str">
        <f t="shared" si="54"/>
        <v/>
      </c>
      <c r="Y438" s="37" t="str">
        <f>IF(OR($H438="",$J438=""),"",$J438*IFERROR(VLOOKUP($H438,Maestro_SKU!$A$2:$P$500,12,FALSE),1))</f>
        <v/>
      </c>
      <c r="Z438" s="37" t="str">
        <f t="shared" ca="1" si="55"/>
        <v/>
      </c>
    </row>
    <row r="439" spans="1:26" x14ac:dyDescent="0.35">
      <c r="A439" s="18"/>
      <c r="B439" s="26"/>
      <c r="C439" s="18"/>
      <c r="D439" s="18"/>
      <c r="E439" s="22" t="str">
        <f>IFERROR(VLOOKUP(D439,Clientes_PDV!$A$2:$J$250,2,FALSE),"")</f>
        <v/>
      </c>
      <c r="F439" s="22" t="str">
        <f>IFERROR(VLOOKUP(D439,Clientes_PDV!$A$2:$J$250,3,FALSE),"")</f>
        <v/>
      </c>
      <c r="G439" s="22" t="str">
        <f>IFERROR(VLOOKUP(D439,Clientes_PDV!$A$2:$J$250,4,FALSE),"")</f>
        <v/>
      </c>
      <c r="H439" s="18"/>
      <c r="I439" s="22" t="str">
        <f>IFERROR(VLOOKUP(H439,Maestro_SKU!$A$2:$P$500,2,FALSE),"")</f>
        <v/>
      </c>
      <c r="J439" s="27"/>
      <c r="K439" s="19"/>
      <c r="L439" s="23" t="str">
        <f t="shared" si="48"/>
        <v/>
      </c>
      <c r="M439" s="23" t="str">
        <f>IF(L439="","",L439*Inicio!$B$13)</f>
        <v/>
      </c>
      <c r="N439" s="23" t="str">
        <f t="shared" si="49"/>
        <v/>
      </c>
      <c r="O439" s="26"/>
      <c r="P439" s="18"/>
      <c r="Q439" s="19"/>
      <c r="R439" s="23" t="str">
        <f t="shared" si="50"/>
        <v/>
      </c>
      <c r="S439" s="22" t="str">
        <f ca="1">IF(A439="","",IF(OR(P439="Pagada",R439=0),"Pagada",IF(O439&lt;TODAY(),"Vencida",IF(O439&lt;=TODAY()+Inicio!$B$19,"Próxima a vencer","Vigente"))))</f>
        <v/>
      </c>
      <c r="T439" s="18"/>
      <c r="U439" s="37" t="str">
        <f t="shared" si="51"/>
        <v/>
      </c>
      <c r="V439" s="37" t="str">
        <f t="shared" si="52"/>
        <v/>
      </c>
      <c r="W439" s="37" t="str">
        <f t="shared" si="53"/>
        <v/>
      </c>
      <c r="X439" s="37" t="str">
        <f t="shared" si="54"/>
        <v/>
      </c>
      <c r="Y439" s="37" t="str">
        <f>IF(OR($H439="",$J439=""),"",$J439*IFERROR(VLOOKUP($H439,Maestro_SKU!$A$2:$P$500,12,FALSE),1))</f>
        <v/>
      </c>
      <c r="Z439" s="37" t="str">
        <f t="shared" ca="1" si="55"/>
        <v/>
      </c>
    </row>
    <row r="440" spans="1:26" x14ac:dyDescent="0.35">
      <c r="A440" s="18"/>
      <c r="B440" s="26"/>
      <c r="C440" s="18"/>
      <c r="D440" s="18"/>
      <c r="E440" s="22" t="str">
        <f>IFERROR(VLOOKUP(D440,Clientes_PDV!$A$2:$J$250,2,FALSE),"")</f>
        <v/>
      </c>
      <c r="F440" s="22" t="str">
        <f>IFERROR(VLOOKUP(D440,Clientes_PDV!$A$2:$J$250,3,FALSE),"")</f>
        <v/>
      </c>
      <c r="G440" s="22" t="str">
        <f>IFERROR(VLOOKUP(D440,Clientes_PDV!$A$2:$J$250,4,FALSE),"")</f>
        <v/>
      </c>
      <c r="H440" s="18"/>
      <c r="I440" s="22" t="str">
        <f>IFERROR(VLOOKUP(H440,Maestro_SKU!$A$2:$P$500,2,FALSE),"")</f>
        <v/>
      </c>
      <c r="J440" s="27"/>
      <c r="K440" s="19"/>
      <c r="L440" s="23" t="str">
        <f t="shared" si="48"/>
        <v/>
      </c>
      <c r="M440" s="23" t="str">
        <f>IF(L440="","",L440*Inicio!$B$13)</f>
        <v/>
      </c>
      <c r="N440" s="23" t="str">
        <f t="shared" si="49"/>
        <v/>
      </c>
      <c r="O440" s="26"/>
      <c r="P440" s="18"/>
      <c r="Q440" s="19"/>
      <c r="R440" s="23" t="str">
        <f t="shared" si="50"/>
        <v/>
      </c>
      <c r="S440" s="22" t="str">
        <f ca="1">IF(A440="","",IF(OR(P440="Pagada",R440=0),"Pagada",IF(O440&lt;TODAY(),"Vencida",IF(O440&lt;=TODAY()+Inicio!$B$19,"Próxima a vencer","Vigente"))))</f>
        <v/>
      </c>
      <c r="T440" s="18"/>
      <c r="U440" s="37" t="str">
        <f t="shared" si="51"/>
        <v/>
      </c>
      <c r="V440" s="37" t="str">
        <f t="shared" si="52"/>
        <v/>
      </c>
      <c r="W440" s="37" t="str">
        <f t="shared" si="53"/>
        <v/>
      </c>
      <c r="X440" s="37" t="str">
        <f t="shared" si="54"/>
        <v/>
      </c>
      <c r="Y440" s="37" t="str">
        <f>IF(OR($H440="",$J440=""),"",$J440*IFERROR(VLOOKUP($H440,Maestro_SKU!$A$2:$P$500,12,FALSE),1))</f>
        <v/>
      </c>
      <c r="Z440" s="37" t="str">
        <f t="shared" ca="1" si="55"/>
        <v/>
      </c>
    </row>
    <row r="441" spans="1:26" x14ac:dyDescent="0.35">
      <c r="A441" s="18"/>
      <c r="B441" s="26"/>
      <c r="C441" s="18"/>
      <c r="D441" s="18"/>
      <c r="E441" s="22" t="str">
        <f>IFERROR(VLOOKUP(D441,Clientes_PDV!$A$2:$J$250,2,FALSE),"")</f>
        <v/>
      </c>
      <c r="F441" s="22" t="str">
        <f>IFERROR(VLOOKUP(D441,Clientes_PDV!$A$2:$J$250,3,FALSE),"")</f>
        <v/>
      </c>
      <c r="G441" s="22" t="str">
        <f>IFERROR(VLOOKUP(D441,Clientes_PDV!$A$2:$J$250,4,FALSE),"")</f>
        <v/>
      </c>
      <c r="H441" s="18"/>
      <c r="I441" s="22" t="str">
        <f>IFERROR(VLOOKUP(H441,Maestro_SKU!$A$2:$P$500,2,FALSE),"")</f>
        <v/>
      </c>
      <c r="J441" s="27"/>
      <c r="K441" s="19"/>
      <c r="L441" s="23" t="str">
        <f t="shared" si="48"/>
        <v/>
      </c>
      <c r="M441" s="23" t="str">
        <f>IF(L441="","",L441*Inicio!$B$13)</f>
        <v/>
      </c>
      <c r="N441" s="23" t="str">
        <f t="shared" si="49"/>
        <v/>
      </c>
      <c r="O441" s="26"/>
      <c r="P441" s="18"/>
      <c r="Q441" s="19"/>
      <c r="R441" s="23" t="str">
        <f t="shared" si="50"/>
        <v/>
      </c>
      <c r="S441" s="22" t="str">
        <f ca="1">IF(A441="","",IF(OR(P441="Pagada",R441=0),"Pagada",IF(O441&lt;TODAY(),"Vencida",IF(O441&lt;=TODAY()+Inicio!$B$19,"Próxima a vencer","Vigente"))))</f>
        <v/>
      </c>
      <c r="T441" s="18"/>
      <c r="U441" s="37" t="str">
        <f t="shared" si="51"/>
        <v/>
      </c>
      <c r="V441" s="37" t="str">
        <f t="shared" si="52"/>
        <v/>
      </c>
      <c r="W441" s="37" t="str">
        <f t="shared" si="53"/>
        <v/>
      </c>
      <c r="X441" s="37" t="str">
        <f t="shared" si="54"/>
        <v/>
      </c>
      <c r="Y441" s="37" t="str">
        <f>IF(OR($H441="",$J441=""),"",$J441*IFERROR(VLOOKUP($H441,Maestro_SKU!$A$2:$P$500,12,FALSE),1))</f>
        <v/>
      </c>
      <c r="Z441" s="37" t="str">
        <f t="shared" ca="1" si="55"/>
        <v/>
      </c>
    </row>
    <row r="442" spans="1:26" x14ac:dyDescent="0.35">
      <c r="A442" s="18"/>
      <c r="B442" s="26"/>
      <c r="C442" s="18"/>
      <c r="D442" s="18"/>
      <c r="E442" s="22" t="str">
        <f>IFERROR(VLOOKUP(D442,Clientes_PDV!$A$2:$J$250,2,FALSE),"")</f>
        <v/>
      </c>
      <c r="F442" s="22" t="str">
        <f>IFERROR(VLOOKUP(D442,Clientes_PDV!$A$2:$J$250,3,FALSE),"")</f>
        <v/>
      </c>
      <c r="G442" s="22" t="str">
        <f>IFERROR(VLOOKUP(D442,Clientes_PDV!$A$2:$J$250,4,FALSE),"")</f>
        <v/>
      </c>
      <c r="H442" s="18"/>
      <c r="I442" s="22" t="str">
        <f>IFERROR(VLOOKUP(H442,Maestro_SKU!$A$2:$P$500,2,FALSE),"")</f>
        <v/>
      </c>
      <c r="J442" s="27"/>
      <c r="K442" s="19"/>
      <c r="L442" s="23" t="str">
        <f t="shared" si="48"/>
        <v/>
      </c>
      <c r="M442" s="23" t="str">
        <f>IF(L442="","",L442*Inicio!$B$13)</f>
        <v/>
      </c>
      <c r="N442" s="23" t="str">
        <f t="shared" si="49"/>
        <v/>
      </c>
      <c r="O442" s="26"/>
      <c r="P442" s="18"/>
      <c r="Q442" s="19"/>
      <c r="R442" s="23" t="str">
        <f t="shared" si="50"/>
        <v/>
      </c>
      <c r="S442" s="22" t="str">
        <f ca="1">IF(A442="","",IF(OR(P442="Pagada",R442=0),"Pagada",IF(O442&lt;TODAY(),"Vencida",IF(O442&lt;=TODAY()+Inicio!$B$19,"Próxima a vencer","Vigente"))))</f>
        <v/>
      </c>
      <c r="T442" s="18"/>
      <c r="U442" s="37" t="str">
        <f t="shared" si="51"/>
        <v/>
      </c>
      <c r="V442" s="37" t="str">
        <f t="shared" si="52"/>
        <v/>
      </c>
      <c r="W442" s="37" t="str">
        <f t="shared" si="53"/>
        <v/>
      </c>
      <c r="X442" s="37" t="str">
        <f t="shared" si="54"/>
        <v/>
      </c>
      <c r="Y442" s="37" t="str">
        <f>IF(OR($H442="",$J442=""),"",$J442*IFERROR(VLOOKUP($H442,Maestro_SKU!$A$2:$P$500,12,FALSE),1))</f>
        <v/>
      </c>
      <c r="Z442" s="37" t="str">
        <f t="shared" ca="1" si="55"/>
        <v/>
      </c>
    </row>
    <row r="443" spans="1:26" x14ac:dyDescent="0.35">
      <c r="A443" s="18"/>
      <c r="B443" s="26"/>
      <c r="C443" s="18"/>
      <c r="D443" s="18"/>
      <c r="E443" s="22" t="str">
        <f>IFERROR(VLOOKUP(D443,Clientes_PDV!$A$2:$J$250,2,FALSE),"")</f>
        <v/>
      </c>
      <c r="F443" s="22" t="str">
        <f>IFERROR(VLOOKUP(D443,Clientes_PDV!$A$2:$J$250,3,FALSE),"")</f>
        <v/>
      </c>
      <c r="G443" s="22" t="str">
        <f>IFERROR(VLOOKUP(D443,Clientes_PDV!$A$2:$J$250,4,FALSE),"")</f>
        <v/>
      </c>
      <c r="H443" s="18"/>
      <c r="I443" s="22" t="str">
        <f>IFERROR(VLOOKUP(H443,Maestro_SKU!$A$2:$P$500,2,FALSE),"")</f>
        <v/>
      </c>
      <c r="J443" s="27"/>
      <c r="K443" s="19"/>
      <c r="L443" s="23" t="str">
        <f t="shared" si="48"/>
        <v/>
      </c>
      <c r="M443" s="23" t="str">
        <f>IF(L443="","",L443*Inicio!$B$13)</f>
        <v/>
      </c>
      <c r="N443" s="23" t="str">
        <f t="shared" si="49"/>
        <v/>
      </c>
      <c r="O443" s="26"/>
      <c r="P443" s="18"/>
      <c r="Q443" s="19"/>
      <c r="R443" s="23" t="str">
        <f t="shared" si="50"/>
        <v/>
      </c>
      <c r="S443" s="22" t="str">
        <f ca="1">IF(A443="","",IF(OR(P443="Pagada",R443=0),"Pagada",IF(O443&lt;TODAY(),"Vencida",IF(O443&lt;=TODAY()+Inicio!$B$19,"Próxima a vencer","Vigente"))))</f>
        <v/>
      </c>
      <c r="T443" s="18"/>
      <c r="U443" s="37" t="str">
        <f t="shared" si="51"/>
        <v/>
      </c>
      <c r="V443" s="37" t="str">
        <f t="shared" si="52"/>
        <v/>
      </c>
      <c r="W443" s="37" t="str">
        <f t="shared" si="53"/>
        <v/>
      </c>
      <c r="X443" s="37" t="str">
        <f t="shared" si="54"/>
        <v/>
      </c>
      <c r="Y443" s="37" t="str">
        <f>IF(OR($H443="",$J443=""),"",$J443*IFERROR(VLOOKUP($H443,Maestro_SKU!$A$2:$P$500,12,FALSE),1))</f>
        <v/>
      </c>
      <c r="Z443" s="37" t="str">
        <f t="shared" ca="1" si="55"/>
        <v/>
      </c>
    </row>
    <row r="444" spans="1:26" x14ac:dyDescent="0.35">
      <c r="A444" s="18"/>
      <c r="B444" s="26"/>
      <c r="C444" s="18"/>
      <c r="D444" s="18"/>
      <c r="E444" s="22" t="str">
        <f>IFERROR(VLOOKUP(D444,Clientes_PDV!$A$2:$J$250,2,FALSE),"")</f>
        <v/>
      </c>
      <c r="F444" s="22" t="str">
        <f>IFERROR(VLOOKUP(D444,Clientes_PDV!$A$2:$J$250,3,FALSE),"")</f>
        <v/>
      </c>
      <c r="G444" s="22" t="str">
        <f>IFERROR(VLOOKUP(D444,Clientes_PDV!$A$2:$J$250,4,FALSE),"")</f>
        <v/>
      </c>
      <c r="H444" s="18"/>
      <c r="I444" s="22" t="str">
        <f>IFERROR(VLOOKUP(H444,Maestro_SKU!$A$2:$P$500,2,FALSE),"")</f>
        <v/>
      </c>
      <c r="J444" s="27"/>
      <c r="K444" s="19"/>
      <c r="L444" s="23" t="str">
        <f t="shared" si="48"/>
        <v/>
      </c>
      <c r="M444" s="23" t="str">
        <f>IF(L444="","",L444*Inicio!$B$13)</f>
        <v/>
      </c>
      <c r="N444" s="23" t="str">
        <f t="shared" si="49"/>
        <v/>
      </c>
      <c r="O444" s="26"/>
      <c r="P444" s="18"/>
      <c r="Q444" s="19"/>
      <c r="R444" s="23" t="str">
        <f t="shared" si="50"/>
        <v/>
      </c>
      <c r="S444" s="22" t="str">
        <f ca="1">IF(A444="","",IF(OR(P444="Pagada",R444=0),"Pagada",IF(O444&lt;TODAY(),"Vencida",IF(O444&lt;=TODAY()+Inicio!$B$19,"Próxima a vencer","Vigente"))))</f>
        <v/>
      </c>
      <c r="T444" s="18"/>
      <c r="U444" s="37" t="str">
        <f t="shared" si="51"/>
        <v/>
      </c>
      <c r="V444" s="37" t="str">
        <f t="shared" si="52"/>
        <v/>
      </c>
      <c r="W444" s="37" t="str">
        <f t="shared" si="53"/>
        <v/>
      </c>
      <c r="X444" s="37" t="str">
        <f t="shared" si="54"/>
        <v/>
      </c>
      <c r="Y444" s="37" t="str">
        <f>IF(OR($H444="",$J444=""),"",$J444*IFERROR(VLOOKUP($H444,Maestro_SKU!$A$2:$P$500,12,FALSE),1))</f>
        <v/>
      </c>
      <c r="Z444" s="37" t="str">
        <f t="shared" ca="1" si="55"/>
        <v/>
      </c>
    </row>
    <row r="445" spans="1:26" x14ac:dyDescent="0.35">
      <c r="A445" s="18"/>
      <c r="B445" s="26"/>
      <c r="C445" s="18"/>
      <c r="D445" s="18"/>
      <c r="E445" s="22" t="str">
        <f>IFERROR(VLOOKUP(D445,Clientes_PDV!$A$2:$J$250,2,FALSE),"")</f>
        <v/>
      </c>
      <c r="F445" s="22" t="str">
        <f>IFERROR(VLOOKUP(D445,Clientes_PDV!$A$2:$J$250,3,FALSE),"")</f>
        <v/>
      </c>
      <c r="G445" s="22" t="str">
        <f>IFERROR(VLOOKUP(D445,Clientes_PDV!$A$2:$J$250,4,FALSE),"")</f>
        <v/>
      </c>
      <c r="H445" s="18"/>
      <c r="I445" s="22" t="str">
        <f>IFERROR(VLOOKUP(H445,Maestro_SKU!$A$2:$P$500,2,FALSE),"")</f>
        <v/>
      </c>
      <c r="J445" s="27"/>
      <c r="K445" s="19"/>
      <c r="L445" s="23" t="str">
        <f t="shared" si="48"/>
        <v/>
      </c>
      <c r="M445" s="23" t="str">
        <f>IF(L445="","",L445*Inicio!$B$13)</f>
        <v/>
      </c>
      <c r="N445" s="23" t="str">
        <f t="shared" si="49"/>
        <v/>
      </c>
      <c r="O445" s="26"/>
      <c r="P445" s="18"/>
      <c r="Q445" s="19"/>
      <c r="R445" s="23" t="str">
        <f t="shared" si="50"/>
        <v/>
      </c>
      <c r="S445" s="22" t="str">
        <f ca="1">IF(A445="","",IF(OR(P445="Pagada",R445=0),"Pagada",IF(O445&lt;TODAY(),"Vencida",IF(O445&lt;=TODAY()+Inicio!$B$19,"Próxima a vencer","Vigente"))))</f>
        <v/>
      </c>
      <c r="T445" s="18"/>
      <c r="U445" s="37" t="str">
        <f t="shared" si="51"/>
        <v/>
      </c>
      <c r="V445" s="37" t="str">
        <f t="shared" si="52"/>
        <v/>
      </c>
      <c r="W445" s="37" t="str">
        <f t="shared" si="53"/>
        <v/>
      </c>
      <c r="X445" s="37" t="str">
        <f t="shared" si="54"/>
        <v/>
      </c>
      <c r="Y445" s="37" t="str">
        <f>IF(OR($H445="",$J445=""),"",$J445*IFERROR(VLOOKUP($H445,Maestro_SKU!$A$2:$P$500,12,FALSE),1))</f>
        <v/>
      </c>
      <c r="Z445" s="37" t="str">
        <f t="shared" ca="1" si="55"/>
        <v/>
      </c>
    </row>
    <row r="446" spans="1:26" x14ac:dyDescent="0.35">
      <c r="A446" s="18"/>
      <c r="B446" s="26"/>
      <c r="C446" s="18"/>
      <c r="D446" s="18"/>
      <c r="E446" s="22" t="str">
        <f>IFERROR(VLOOKUP(D446,Clientes_PDV!$A$2:$J$250,2,FALSE),"")</f>
        <v/>
      </c>
      <c r="F446" s="22" t="str">
        <f>IFERROR(VLOOKUP(D446,Clientes_PDV!$A$2:$J$250,3,FALSE),"")</f>
        <v/>
      </c>
      <c r="G446" s="22" t="str">
        <f>IFERROR(VLOOKUP(D446,Clientes_PDV!$A$2:$J$250,4,FALSE),"")</f>
        <v/>
      </c>
      <c r="H446" s="18"/>
      <c r="I446" s="22" t="str">
        <f>IFERROR(VLOOKUP(H446,Maestro_SKU!$A$2:$P$500,2,FALSE),"")</f>
        <v/>
      </c>
      <c r="J446" s="27"/>
      <c r="K446" s="19"/>
      <c r="L446" s="23" t="str">
        <f t="shared" si="48"/>
        <v/>
      </c>
      <c r="M446" s="23" t="str">
        <f>IF(L446="","",L446*Inicio!$B$13)</f>
        <v/>
      </c>
      <c r="N446" s="23" t="str">
        <f t="shared" si="49"/>
        <v/>
      </c>
      <c r="O446" s="26"/>
      <c r="P446" s="18"/>
      <c r="Q446" s="19"/>
      <c r="R446" s="23" t="str">
        <f t="shared" si="50"/>
        <v/>
      </c>
      <c r="S446" s="22" t="str">
        <f ca="1">IF(A446="","",IF(OR(P446="Pagada",R446=0),"Pagada",IF(O446&lt;TODAY(),"Vencida",IF(O446&lt;=TODAY()+Inicio!$B$19,"Próxima a vencer","Vigente"))))</f>
        <v/>
      </c>
      <c r="T446" s="18"/>
      <c r="U446" s="37" t="str">
        <f t="shared" si="51"/>
        <v/>
      </c>
      <c r="V446" s="37" t="str">
        <f t="shared" si="52"/>
        <v/>
      </c>
      <c r="W446" s="37" t="str">
        <f t="shared" si="53"/>
        <v/>
      </c>
      <c r="X446" s="37" t="str">
        <f t="shared" si="54"/>
        <v/>
      </c>
      <c r="Y446" s="37" t="str">
        <f>IF(OR($H446="",$J446=""),"",$J446*IFERROR(VLOOKUP($H446,Maestro_SKU!$A$2:$P$500,12,FALSE),1))</f>
        <v/>
      </c>
      <c r="Z446" s="37" t="str">
        <f t="shared" ca="1" si="55"/>
        <v/>
      </c>
    </row>
    <row r="447" spans="1:26" x14ac:dyDescent="0.35">
      <c r="A447" s="18"/>
      <c r="B447" s="26"/>
      <c r="C447" s="18"/>
      <c r="D447" s="18"/>
      <c r="E447" s="22" t="str">
        <f>IFERROR(VLOOKUP(D447,Clientes_PDV!$A$2:$J$250,2,FALSE),"")</f>
        <v/>
      </c>
      <c r="F447" s="22" t="str">
        <f>IFERROR(VLOOKUP(D447,Clientes_PDV!$A$2:$J$250,3,FALSE),"")</f>
        <v/>
      </c>
      <c r="G447" s="22" t="str">
        <f>IFERROR(VLOOKUP(D447,Clientes_PDV!$A$2:$J$250,4,FALSE),"")</f>
        <v/>
      </c>
      <c r="H447" s="18"/>
      <c r="I447" s="22" t="str">
        <f>IFERROR(VLOOKUP(H447,Maestro_SKU!$A$2:$P$500,2,FALSE),"")</f>
        <v/>
      </c>
      <c r="J447" s="27"/>
      <c r="K447" s="19"/>
      <c r="L447" s="23" t="str">
        <f t="shared" si="48"/>
        <v/>
      </c>
      <c r="M447" s="23" t="str">
        <f>IF(L447="","",L447*Inicio!$B$13)</f>
        <v/>
      </c>
      <c r="N447" s="23" t="str">
        <f t="shared" si="49"/>
        <v/>
      </c>
      <c r="O447" s="26"/>
      <c r="P447" s="18"/>
      <c r="Q447" s="19"/>
      <c r="R447" s="23" t="str">
        <f t="shared" si="50"/>
        <v/>
      </c>
      <c r="S447" s="22" t="str">
        <f ca="1">IF(A447="","",IF(OR(P447="Pagada",R447=0),"Pagada",IF(O447&lt;TODAY(),"Vencida",IF(O447&lt;=TODAY()+Inicio!$B$19,"Próxima a vencer","Vigente"))))</f>
        <v/>
      </c>
      <c r="T447" s="18"/>
      <c r="U447" s="37" t="str">
        <f t="shared" si="51"/>
        <v/>
      </c>
      <c r="V447" s="37" t="str">
        <f t="shared" si="52"/>
        <v/>
      </c>
      <c r="W447" s="37" t="str">
        <f t="shared" si="53"/>
        <v/>
      </c>
      <c r="X447" s="37" t="str">
        <f t="shared" si="54"/>
        <v/>
      </c>
      <c r="Y447" s="37" t="str">
        <f>IF(OR($H447="",$J447=""),"",$J447*IFERROR(VLOOKUP($H447,Maestro_SKU!$A$2:$P$500,12,FALSE),1))</f>
        <v/>
      </c>
      <c r="Z447" s="37" t="str">
        <f t="shared" ca="1" si="55"/>
        <v/>
      </c>
    </row>
    <row r="448" spans="1:26" x14ac:dyDescent="0.35">
      <c r="A448" s="18"/>
      <c r="B448" s="26"/>
      <c r="C448" s="18"/>
      <c r="D448" s="18"/>
      <c r="E448" s="22" t="str">
        <f>IFERROR(VLOOKUP(D448,Clientes_PDV!$A$2:$J$250,2,FALSE),"")</f>
        <v/>
      </c>
      <c r="F448" s="22" t="str">
        <f>IFERROR(VLOOKUP(D448,Clientes_PDV!$A$2:$J$250,3,FALSE),"")</f>
        <v/>
      </c>
      <c r="G448" s="22" t="str">
        <f>IFERROR(VLOOKUP(D448,Clientes_PDV!$A$2:$J$250,4,FALSE),"")</f>
        <v/>
      </c>
      <c r="H448" s="18"/>
      <c r="I448" s="22" t="str">
        <f>IFERROR(VLOOKUP(H448,Maestro_SKU!$A$2:$P$500,2,FALSE),"")</f>
        <v/>
      </c>
      <c r="J448" s="27"/>
      <c r="K448" s="19"/>
      <c r="L448" s="23" t="str">
        <f t="shared" si="48"/>
        <v/>
      </c>
      <c r="M448" s="23" t="str">
        <f>IF(L448="","",L448*Inicio!$B$13)</f>
        <v/>
      </c>
      <c r="N448" s="23" t="str">
        <f t="shared" si="49"/>
        <v/>
      </c>
      <c r="O448" s="26"/>
      <c r="P448" s="18"/>
      <c r="Q448" s="19"/>
      <c r="R448" s="23" t="str">
        <f t="shared" si="50"/>
        <v/>
      </c>
      <c r="S448" s="22" t="str">
        <f ca="1">IF(A448="","",IF(OR(P448="Pagada",R448=0),"Pagada",IF(O448&lt;TODAY(),"Vencida",IF(O448&lt;=TODAY()+Inicio!$B$19,"Próxima a vencer","Vigente"))))</f>
        <v/>
      </c>
      <c r="T448" s="18"/>
      <c r="U448" s="37" t="str">
        <f t="shared" si="51"/>
        <v/>
      </c>
      <c r="V448" s="37" t="str">
        <f t="shared" si="52"/>
        <v/>
      </c>
      <c r="W448" s="37" t="str">
        <f t="shared" si="53"/>
        <v/>
      </c>
      <c r="X448" s="37" t="str">
        <f t="shared" si="54"/>
        <v/>
      </c>
      <c r="Y448" s="37" t="str">
        <f>IF(OR($H448="",$J448=""),"",$J448*IFERROR(VLOOKUP($H448,Maestro_SKU!$A$2:$P$500,12,FALSE),1))</f>
        <v/>
      </c>
      <c r="Z448" s="37" t="str">
        <f t="shared" ca="1" si="55"/>
        <v/>
      </c>
    </row>
    <row r="449" spans="1:26" x14ac:dyDescent="0.35">
      <c r="A449" s="18"/>
      <c r="B449" s="26"/>
      <c r="C449" s="18"/>
      <c r="D449" s="18"/>
      <c r="E449" s="22" t="str">
        <f>IFERROR(VLOOKUP(D449,Clientes_PDV!$A$2:$J$250,2,FALSE),"")</f>
        <v/>
      </c>
      <c r="F449" s="22" t="str">
        <f>IFERROR(VLOOKUP(D449,Clientes_PDV!$A$2:$J$250,3,FALSE),"")</f>
        <v/>
      </c>
      <c r="G449" s="22" t="str">
        <f>IFERROR(VLOOKUP(D449,Clientes_PDV!$A$2:$J$250,4,FALSE),"")</f>
        <v/>
      </c>
      <c r="H449" s="18"/>
      <c r="I449" s="22" t="str">
        <f>IFERROR(VLOOKUP(H449,Maestro_SKU!$A$2:$P$500,2,FALSE),"")</f>
        <v/>
      </c>
      <c r="J449" s="27"/>
      <c r="K449" s="19"/>
      <c r="L449" s="23" t="str">
        <f t="shared" si="48"/>
        <v/>
      </c>
      <c r="M449" s="23" t="str">
        <f>IF(L449="","",L449*Inicio!$B$13)</f>
        <v/>
      </c>
      <c r="N449" s="23" t="str">
        <f t="shared" si="49"/>
        <v/>
      </c>
      <c r="O449" s="26"/>
      <c r="P449" s="18"/>
      <c r="Q449" s="19"/>
      <c r="R449" s="23" t="str">
        <f t="shared" si="50"/>
        <v/>
      </c>
      <c r="S449" s="22" t="str">
        <f ca="1">IF(A449="","",IF(OR(P449="Pagada",R449=0),"Pagada",IF(O449&lt;TODAY(),"Vencida",IF(O449&lt;=TODAY()+Inicio!$B$19,"Próxima a vencer","Vigente"))))</f>
        <v/>
      </c>
      <c r="T449" s="18"/>
      <c r="U449" s="37" t="str">
        <f t="shared" si="51"/>
        <v/>
      </c>
      <c r="V449" s="37" t="str">
        <f t="shared" si="52"/>
        <v/>
      </c>
      <c r="W449" s="37" t="str">
        <f t="shared" si="53"/>
        <v/>
      </c>
      <c r="X449" s="37" t="str">
        <f t="shared" si="54"/>
        <v/>
      </c>
      <c r="Y449" s="37" t="str">
        <f>IF(OR($H449="",$J449=""),"",$J449*IFERROR(VLOOKUP($H449,Maestro_SKU!$A$2:$P$500,12,FALSE),1))</f>
        <v/>
      </c>
      <c r="Z449" s="37" t="str">
        <f t="shared" ca="1" si="55"/>
        <v/>
      </c>
    </row>
    <row r="450" spans="1:26" x14ac:dyDescent="0.35">
      <c r="A450" s="18"/>
      <c r="B450" s="26"/>
      <c r="C450" s="18"/>
      <c r="D450" s="18"/>
      <c r="E450" s="22" t="str">
        <f>IFERROR(VLOOKUP(D450,Clientes_PDV!$A$2:$J$250,2,FALSE),"")</f>
        <v/>
      </c>
      <c r="F450" s="22" t="str">
        <f>IFERROR(VLOOKUP(D450,Clientes_PDV!$A$2:$J$250,3,FALSE),"")</f>
        <v/>
      </c>
      <c r="G450" s="22" t="str">
        <f>IFERROR(VLOOKUP(D450,Clientes_PDV!$A$2:$J$250,4,FALSE),"")</f>
        <v/>
      </c>
      <c r="H450" s="18"/>
      <c r="I450" s="22" t="str">
        <f>IFERROR(VLOOKUP(H450,Maestro_SKU!$A$2:$P$500,2,FALSE),"")</f>
        <v/>
      </c>
      <c r="J450" s="27"/>
      <c r="K450" s="19"/>
      <c r="L450" s="23" t="str">
        <f t="shared" ref="L450:L513" si="56">IF(OR(J450="",K450=""),"",J450*K450)</f>
        <v/>
      </c>
      <c r="M450" s="23" t="str">
        <f>IF(L450="","",L450*Inicio!$B$13)</f>
        <v/>
      </c>
      <c r="N450" s="23" t="str">
        <f t="shared" ref="N450:N513" si="57">IF(L450="","",L450+M450)</f>
        <v/>
      </c>
      <c r="O450" s="26"/>
      <c r="P450" s="18"/>
      <c r="Q450" s="19"/>
      <c r="R450" s="23" t="str">
        <f t="shared" ref="R450:R513" si="58">IF(N450="","",MAX(N450-Q450,0))</f>
        <v/>
      </c>
      <c r="S450" s="22" t="str">
        <f ca="1">IF(A450="","",IF(OR(P450="Pagada",R450=0),"Pagada",IF(O450&lt;TODAY(),"Vencida",IF(O450&lt;=TODAY()+Inicio!$B$19,"Próxima a vencer","Vigente"))))</f>
        <v/>
      </c>
      <c r="T450" s="18"/>
      <c r="U450" s="37" t="str">
        <f t="shared" ref="U450:U513" si="59">IF($B450="","",YEAR($B450))</f>
        <v/>
      </c>
      <c r="V450" s="37" t="str">
        <f t="shared" ref="V450:V513" si="60">IF($B450="","",MONTH($B450))</f>
        <v/>
      </c>
      <c r="W450" s="37" t="str">
        <f t="shared" ref="W450:W513" si="61">IF($B450="","",DAY($B450))</f>
        <v/>
      </c>
      <c r="X450" s="37" t="str">
        <f t="shared" ref="X450:X513" si="62">IF($B450="","",YEAR($B450)&amp;"-"&amp;TEXT(MONTH($B450),"00"))</f>
        <v/>
      </c>
      <c r="Y450" s="37" t="str">
        <f>IF(OR($H450="",$J450=""),"",$J450*IFERROR(VLOOKUP($H450,Maestro_SKU!$A$2:$P$500,12,FALSE),1))</f>
        <v/>
      </c>
      <c r="Z450" s="37" t="str">
        <f t="shared" ref="Z450:Z513" ca="1" si="63">IF(OR($A450="",$O450="",$S450="Pagada"),"",$O450-TODAY())</f>
        <v/>
      </c>
    </row>
    <row r="451" spans="1:26" x14ac:dyDescent="0.35">
      <c r="A451" s="18"/>
      <c r="B451" s="26"/>
      <c r="C451" s="18"/>
      <c r="D451" s="18"/>
      <c r="E451" s="22" t="str">
        <f>IFERROR(VLOOKUP(D451,Clientes_PDV!$A$2:$J$250,2,FALSE),"")</f>
        <v/>
      </c>
      <c r="F451" s="22" t="str">
        <f>IFERROR(VLOOKUP(D451,Clientes_PDV!$A$2:$J$250,3,FALSE),"")</f>
        <v/>
      </c>
      <c r="G451" s="22" t="str">
        <f>IFERROR(VLOOKUP(D451,Clientes_PDV!$A$2:$J$250,4,FALSE),"")</f>
        <v/>
      </c>
      <c r="H451" s="18"/>
      <c r="I451" s="22" t="str">
        <f>IFERROR(VLOOKUP(H451,Maestro_SKU!$A$2:$P$500,2,FALSE),"")</f>
        <v/>
      </c>
      <c r="J451" s="27"/>
      <c r="K451" s="19"/>
      <c r="L451" s="23" t="str">
        <f t="shared" si="56"/>
        <v/>
      </c>
      <c r="M451" s="23" t="str">
        <f>IF(L451="","",L451*Inicio!$B$13)</f>
        <v/>
      </c>
      <c r="N451" s="23" t="str">
        <f t="shared" si="57"/>
        <v/>
      </c>
      <c r="O451" s="26"/>
      <c r="P451" s="18"/>
      <c r="Q451" s="19"/>
      <c r="R451" s="23" t="str">
        <f t="shared" si="58"/>
        <v/>
      </c>
      <c r="S451" s="22" t="str">
        <f ca="1">IF(A451="","",IF(OR(P451="Pagada",R451=0),"Pagada",IF(O451&lt;TODAY(),"Vencida",IF(O451&lt;=TODAY()+Inicio!$B$19,"Próxima a vencer","Vigente"))))</f>
        <v/>
      </c>
      <c r="T451" s="18"/>
      <c r="U451" s="37" t="str">
        <f t="shared" si="59"/>
        <v/>
      </c>
      <c r="V451" s="37" t="str">
        <f t="shared" si="60"/>
        <v/>
      </c>
      <c r="W451" s="37" t="str">
        <f t="shared" si="61"/>
        <v/>
      </c>
      <c r="X451" s="37" t="str">
        <f t="shared" si="62"/>
        <v/>
      </c>
      <c r="Y451" s="37" t="str">
        <f>IF(OR($H451="",$J451=""),"",$J451*IFERROR(VLOOKUP($H451,Maestro_SKU!$A$2:$P$500,12,FALSE),1))</f>
        <v/>
      </c>
      <c r="Z451" s="37" t="str">
        <f t="shared" ca="1" si="63"/>
        <v/>
      </c>
    </row>
    <row r="452" spans="1:26" x14ac:dyDescent="0.35">
      <c r="A452" s="18"/>
      <c r="B452" s="26"/>
      <c r="C452" s="18"/>
      <c r="D452" s="18"/>
      <c r="E452" s="22" t="str">
        <f>IFERROR(VLOOKUP(D452,Clientes_PDV!$A$2:$J$250,2,FALSE),"")</f>
        <v/>
      </c>
      <c r="F452" s="22" t="str">
        <f>IFERROR(VLOOKUP(D452,Clientes_PDV!$A$2:$J$250,3,FALSE),"")</f>
        <v/>
      </c>
      <c r="G452" s="22" t="str">
        <f>IFERROR(VLOOKUP(D452,Clientes_PDV!$A$2:$J$250,4,FALSE),"")</f>
        <v/>
      </c>
      <c r="H452" s="18"/>
      <c r="I452" s="22" t="str">
        <f>IFERROR(VLOOKUP(H452,Maestro_SKU!$A$2:$P$500,2,FALSE),"")</f>
        <v/>
      </c>
      <c r="J452" s="27"/>
      <c r="K452" s="19"/>
      <c r="L452" s="23" t="str">
        <f t="shared" si="56"/>
        <v/>
      </c>
      <c r="M452" s="23" t="str">
        <f>IF(L452="","",L452*Inicio!$B$13)</f>
        <v/>
      </c>
      <c r="N452" s="23" t="str">
        <f t="shared" si="57"/>
        <v/>
      </c>
      <c r="O452" s="26"/>
      <c r="P452" s="18"/>
      <c r="Q452" s="19"/>
      <c r="R452" s="23" t="str">
        <f t="shared" si="58"/>
        <v/>
      </c>
      <c r="S452" s="22" t="str">
        <f ca="1">IF(A452="","",IF(OR(P452="Pagada",R452=0),"Pagada",IF(O452&lt;TODAY(),"Vencida",IF(O452&lt;=TODAY()+Inicio!$B$19,"Próxima a vencer","Vigente"))))</f>
        <v/>
      </c>
      <c r="T452" s="18"/>
      <c r="U452" s="37" t="str">
        <f t="shared" si="59"/>
        <v/>
      </c>
      <c r="V452" s="37" t="str">
        <f t="shared" si="60"/>
        <v/>
      </c>
      <c r="W452" s="37" t="str">
        <f t="shared" si="61"/>
        <v/>
      </c>
      <c r="X452" s="37" t="str">
        <f t="shared" si="62"/>
        <v/>
      </c>
      <c r="Y452" s="37" t="str">
        <f>IF(OR($H452="",$J452=""),"",$J452*IFERROR(VLOOKUP($H452,Maestro_SKU!$A$2:$P$500,12,FALSE),1))</f>
        <v/>
      </c>
      <c r="Z452" s="37" t="str">
        <f t="shared" ca="1" si="63"/>
        <v/>
      </c>
    </row>
    <row r="453" spans="1:26" x14ac:dyDescent="0.35">
      <c r="A453" s="18"/>
      <c r="B453" s="26"/>
      <c r="C453" s="18"/>
      <c r="D453" s="18"/>
      <c r="E453" s="22" t="str">
        <f>IFERROR(VLOOKUP(D453,Clientes_PDV!$A$2:$J$250,2,FALSE),"")</f>
        <v/>
      </c>
      <c r="F453" s="22" t="str">
        <f>IFERROR(VLOOKUP(D453,Clientes_PDV!$A$2:$J$250,3,FALSE),"")</f>
        <v/>
      </c>
      <c r="G453" s="22" t="str">
        <f>IFERROR(VLOOKUP(D453,Clientes_PDV!$A$2:$J$250,4,FALSE),"")</f>
        <v/>
      </c>
      <c r="H453" s="18"/>
      <c r="I453" s="22" t="str">
        <f>IFERROR(VLOOKUP(H453,Maestro_SKU!$A$2:$P$500,2,FALSE),"")</f>
        <v/>
      </c>
      <c r="J453" s="27"/>
      <c r="K453" s="19"/>
      <c r="L453" s="23" t="str">
        <f t="shared" si="56"/>
        <v/>
      </c>
      <c r="M453" s="23" t="str">
        <f>IF(L453="","",L453*Inicio!$B$13)</f>
        <v/>
      </c>
      <c r="N453" s="23" t="str">
        <f t="shared" si="57"/>
        <v/>
      </c>
      <c r="O453" s="26"/>
      <c r="P453" s="18"/>
      <c r="Q453" s="19"/>
      <c r="R453" s="23" t="str">
        <f t="shared" si="58"/>
        <v/>
      </c>
      <c r="S453" s="22" t="str">
        <f ca="1">IF(A453="","",IF(OR(P453="Pagada",R453=0),"Pagada",IF(O453&lt;TODAY(),"Vencida",IF(O453&lt;=TODAY()+Inicio!$B$19,"Próxima a vencer","Vigente"))))</f>
        <v/>
      </c>
      <c r="T453" s="18"/>
      <c r="U453" s="37" t="str">
        <f t="shared" si="59"/>
        <v/>
      </c>
      <c r="V453" s="37" t="str">
        <f t="shared" si="60"/>
        <v/>
      </c>
      <c r="W453" s="37" t="str">
        <f t="shared" si="61"/>
        <v/>
      </c>
      <c r="X453" s="37" t="str">
        <f t="shared" si="62"/>
        <v/>
      </c>
      <c r="Y453" s="37" t="str">
        <f>IF(OR($H453="",$J453=""),"",$J453*IFERROR(VLOOKUP($H453,Maestro_SKU!$A$2:$P$500,12,FALSE),1))</f>
        <v/>
      </c>
      <c r="Z453" s="37" t="str">
        <f t="shared" ca="1" si="63"/>
        <v/>
      </c>
    </row>
    <row r="454" spans="1:26" x14ac:dyDescent="0.35">
      <c r="A454" s="18"/>
      <c r="B454" s="26"/>
      <c r="C454" s="18"/>
      <c r="D454" s="18"/>
      <c r="E454" s="22" t="str">
        <f>IFERROR(VLOOKUP(D454,Clientes_PDV!$A$2:$J$250,2,FALSE),"")</f>
        <v/>
      </c>
      <c r="F454" s="22" t="str">
        <f>IFERROR(VLOOKUP(D454,Clientes_PDV!$A$2:$J$250,3,FALSE),"")</f>
        <v/>
      </c>
      <c r="G454" s="22" t="str">
        <f>IFERROR(VLOOKUP(D454,Clientes_PDV!$A$2:$J$250,4,FALSE),"")</f>
        <v/>
      </c>
      <c r="H454" s="18"/>
      <c r="I454" s="22" t="str">
        <f>IFERROR(VLOOKUP(H454,Maestro_SKU!$A$2:$P$500,2,FALSE),"")</f>
        <v/>
      </c>
      <c r="J454" s="27"/>
      <c r="K454" s="19"/>
      <c r="L454" s="23" t="str">
        <f t="shared" si="56"/>
        <v/>
      </c>
      <c r="M454" s="23" t="str">
        <f>IF(L454="","",L454*Inicio!$B$13)</f>
        <v/>
      </c>
      <c r="N454" s="23" t="str">
        <f t="shared" si="57"/>
        <v/>
      </c>
      <c r="O454" s="26"/>
      <c r="P454" s="18"/>
      <c r="Q454" s="19"/>
      <c r="R454" s="23" t="str">
        <f t="shared" si="58"/>
        <v/>
      </c>
      <c r="S454" s="22" t="str">
        <f ca="1">IF(A454="","",IF(OR(P454="Pagada",R454=0),"Pagada",IF(O454&lt;TODAY(),"Vencida",IF(O454&lt;=TODAY()+Inicio!$B$19,"Próxima a vencer","Vigente"))))</f>
        <v/>
      </c>
      <c r="T454" s="18"/>
      <c r="U454" s="37" t="str">
        <f t="shared" si="59"/>
        <v/>
      </c>
      <c r="V454" s="37" t="str">
        <f t="shared" si="60"/>
        <v/>
      </c>
      <c r="W454" s="37" t="str">
        <f t="shared" si="61"/>
        <v/>
      </c>
      <c r="X454" s="37" t="str">
        <f t="shared" si="62"/>
        <v/>
      </c>
      <c r="Y454" s="37" t="str">
        <f>IF(OR($H454="",$J454=""),"",$J454*IFERROR(VLOOKUP($H454,Maestro_SKU!$A$2:$P$500,12,FALSE),1))</f>
        <v/>
      </c>
      <c r="Z454" s="37" t="str">
        <f t="shared" ca="1" si="63"/>
        <v/>
      </c>
    </row>
    <row r="455" spans="1:26" x14ac:dyDescent="0.35">
      <c r="A455" s="18"/>
      <c r="B455" s="26"/>
      <c r="C455" s="18"/>
      <c r="D455" s="18"/>
      <c r="E455" s="22" t="str">
        <f>IFERROR(VLOOKUP(D455,Clientes_PDV!$A$2:$J$250,2,FALSE),"")</f>
        <v/>
      </c>
      <c r="F455" s="22" t="str">
        <f>IFERROR(VLOOKUP(D455,Clientes_PDV!$A$2:$J$250,3,FALSE),"")</f>
        <v/>
      </c>
      <c r="G455" s="22" t="str">
        <f>IFERROR(VLOOKUP(D455,Clientes_PDV!$A$2:$J$250,4,FALSE),"")</f>
        <v/>
      </c>
      <c r="H455" s="18"/>
      <c r="I455" s="22" t="str">
        <f>IFERROR(VLOOKUP(H455,Maestro_SKU!$A$2:$P$500,2,FALSE),"")</f>
        <v/>
      </c>
      <c r="J455" s="27"/>
      <c r="K455" s="19"/>
      <c r="L455" s="23" t="str">
        <f t="shared" si="56"/>
        <v/>
      </c>
      <c r="M455" s="23" t="str">
        <f>IF(L455="","",L455*Inicio!$B$13)</f>
        <v/>
      </c>
      <c r="N455" s="23" t="str">
        <f t="shared" si="57"/>
        <v/>
      </c>
      <c r="O455" s="26"/>
      <c r="P455" s="18"/>
      <c r="Q455" s="19"/>
      <c r="R455" s="23" t="str">
        <f t="shared" si="58"/>
        <v/>
      </c>
      <c r="S455" s="22" t="str">
        <f ca="1">IF(A455="","",IF(OR(P455="Pagada",R455=0),"Pagada",IF(O455&lt;TODAY(),"Vencida",IF(O455&lt;=TODAY()+Inicio!$B$19,"Próxima a vencer","Vigente"))))</f>
        <v/>
      </c>
      <c r="T455" s="18"/>
      <c r="U455" s="37" t="str">
        <f t="shared" si="59"/>
        <v/>
      </c>
      <c r="V455" s="37" t="str">
        <f t="shared" si="60"/>
        <v/>
      </c>
      <c r="W455" s="37" t="str">
        <f t="shared" si="61"/>
        <v/>
      </c>
      <c r="X455" s="37" t="str">
        <f t="shared" si="62"/>
        <v/>
      </c>
      <c r="Y455" s="37" t="str">
        <f>IF(OR($H455="",$J455=""),"",$J455*IFERROR(VLOOKUP($H455,Maestro_SKU!$A$2:$P$500,12,FALSE),1))</f>
        <v/>
      </c>
      <c r="Z455" s="37" t="str">
        <f t="shared" ca="1" si="63"/>
        <v/>
      </c>
    </row>
    <row r="456" spans="1:26" x14ac:dyDescent="0.35">
      <c r="A456" s="18"/>
      <c r="B456" s="26"/>
      <c r="C456" s="18"/>
      <c r="D456" s="18"/>
      <c r="E456" s="22" t="str">
        <f>IFERROR(VLOOKUP(D456,Clientes_PDV!$A$2:$J$250,2,FALSE),"")</f>
        <v/>
      </c>
      <c r="F456" s="22" t="str">
        <f>IFERROR(VLOOKUP(D456,Clientes_PDV!$A$2:$J$250,3,FALSE),"")</f>
        <v/>
      </c>
      <c r="G456" s="22" t="str">
        <f>IFERROR(VLOOKUP(D456,Clientes_PDV!$A$2:$J$250,4,FALSE),"")</f>
        <v/>
      </c>
      <c r="H456" s="18"/>
      <c r="I456" s="22" t="str">
        <f>IFERROR(VLOOKUP(H456,Maestro_SKU!$A$2:$P$500,2,FALSE),"")</f>
        <v/>
      </c>
      <c r="J456" s="27"/>
      <c r="K456" s="19"/>
      <c r="L456" s="23" t="str">
        <f t="shared" si="56"/>
        <v/>
      </c>
      <c r="M456" s="23" t="str">
        <f>IF(L456="","",L456*Inicio!$B$13)</f>
        <v/>
      </c>
      <c r="N456" s="23" t="str">
        <f t="shared" si="57"/>
        <v/>
      </c>
      <c r="O456" s="26"/>
      <c r="P456" s="18"/>
      <c r="Q456" s="19"/>
      <c r="R456" s="23" t="str">
        <f t="shared" si="58"/>
        <v/>
      </c>
      <c r="S456" s="22" t="str">
        <f ca="1">IF(A456="","",IF(OR(P456="Pagada",R456=0),"Pagada",IF(O456&lt;TODAY(),"Vencida",IF(O456&lt;=TODAY()+Inicio!$B$19,"Próxima a vencer","Vigente"))))</f>
        <v/>
      </c>
      <c r="T456" s="18"/>
      <c r="U456" s="37" t="str">
        <f t="shared" si="59"/>
        <v/>
      </c>
      <c r="V456" s="37" t="str">
        <f t="shared" si="60"/>
        <v/>
      </c>
      <c r="W456" s="37" t="str">
        <f t="shared" si="61"/>
        <v/>
      </c>
      <c r="X456" s="37" t="str">
        <f t="shared" si="62"/>
        <v/>
      </c>
      <c r="Y456" s="37" t="str">
        <f>IF(OR($H456="",$J456=""),"",$J456*IFERROR(VLOOKUP($H456,Maestro_SKU!$A$2:$P$500,12,FALSE),1))</f>
        <v/>
      </c>
      <c r="Z456" s="37" t="str">
        <f t="shared" ca="1" si="63"/>
        <v/>
      </c>
    </row>
    <row r="457" spans="1:26" x14ac:dyDescent="0.35">
      <c r="A457" s="18"/>
      <c r="B457" s="26"/>
      <c r="C457" s="18"/>
      <c r="D457" s="18"/>
      <c r="E457" s="22" t="str">
        <f>IFERROR(VLOOKUP(D457,Clientes_PDV!$A$2:$J$250,2,FALSE),"")</f>
        <v/>
      </c>
      <c r="F457" s="22" t="str">
        <f>IFERROR(VLOOKUP(D457,Clientes_PDV!$A$2:$J$250,3,FALSE),"")</f>
        <v/>
      </c>
      <c r="G457" s="22" t="str">
        <f>IFERROR(VLOOKUP(D457,Clientes_PDV!$A$2:$J$250,4,FALSE),"")</f>
        <v/>
      </c>
      <c r="H457" s="18"/>
      <c r="I457" s="22" t="str">
        <f>IFERROR(VLOOKUP(H457,Maestro_SKU!$A$2:$P$500,2,FALSE),"")</f>
        <v/>
      </c>
      <c r="J457" s="27"/>
      <c r="K457" s="19"/>
      <c r="L457" s="23" t="str">
        <f t="shared" si="56"/>
        <v/>
      </c>
      <c r="M457" s="23" t="str">
        <f>IF(L457="","",L457*Inicio!$B$13)</f>
        <v/>
      </c>
      <c r="N457" s="23" t="str">
        <f t="shared" si="57"/>
        <v/>
      </c>
      <c r="O457" s="26"/>
      <c r="P457" s="18"/>
      <c r="Q457" s="19"/>
      <c r="R457" s="23" t="str">
        <f t="shared" si="58"/>
        <v/>
      </c>
      <c r="S457" s="22" t="str">
        <f ca="1">IF(A457="","",IF(OR(P457="Pagada",R457=0),"Pagada",IF(O457&lt;TODAY(),"Vencida",IF(O457&lt;=TODAY()+Inicio!$B$19,"Próxima a vencer","Vigente"))))</f>
        <v/>
      </c>
      <c r="T457" s="18"/>
      <c r="U457" s="37" t="str">
        <f t="shared" si="59"/>
        <v/>
      </c>
      <c r="V457" s="37" t="str">
        <f t="shared" si="60"/>
        <v/>
      </c>
      <c r="W457" s="37" t="str">
        <f t="shared" si="61"/>
        <v/>
      </c>
      <c r="X457" s="37" t="str">
        <f t="shared" si="62"/>
        <v/>
      </c>
      <c r="Y457" s="37" t="str">
        <f>IF(OR($H457="",$J457=""),"",$J457*IFERROR(VLOOKUP($H457,Maestro_SKU!$A$2:$P$500,12,FALSE),1))</f>
        <v/>
      </c>
      <c r="Z457" s="37" t="str">
        <f t="shared" ca="1" si="63"/>
        <v/>
      </c>
    </row>
    <row r="458" spans="1:26" x14ac:dyDescent="0.35">
      <c r="A458" s="18"/>
      <c r="B458" s="26"/>
      <c r="C458" s="18"/>
      <c r="D458" s="18"/>
      <c r="E458" s="22" t="str">
        <f>IFERROR(VLOOKUP(D458,Clientes_PDV!$A$2:$J$250,2,FALSE),"")</f>
        <v/>
      </c>
      <c r="F458" s="22" t="str">
        <f>IFERROR(VLOOKUP(D458,Clientes_PDV!$A$2:$J$250,3,FALSE),"")</f>
        <v/>
      </c>
      <c r="G458" s="22" t="str">
        <f>IFERROR(VLOOKUP(D458,Clientes_PDV!$A$2:$J$250,4,FALSE),"")</f>
        <v/>
      </c>
      <c r="H458" s="18"/>
      <c r="I458" s="22" t="str">
        <f>IFERROR(VLOOKUP(H458,Maestro_SKU!$A$2:$P$500,2,FALSE),"")</f>
        <v/>
      </c>
      <c r="J458" s="27"/>
      <c r="K458" s="19"/>
      <c r="L458" s="23" t="str">
        <f t="shared" si="56"/>
        <v/>
      </c>
      <c r="M458" s="23" t="str">
        <f>IF(L458="","",L458*Inicio!$B$13)</f>
        <v/>
      </c>
      <c r="N458" s="23" t="str">
        <f t="shared" si="57"/>
        <v/>
      </c>
      <c r="O458" s="26"/>
      <c r="P458" s="18"/>
      <c r="Q458" s="19"/>
      <c r="R458" s="23" t="str">
        <f t="shared" si="58"/>
        <v/>
      </c>
      <c r="S458" s="22" t="str">
        <f ca="1">IF(A458="","",IF(OR(P458="Pagada",R458=0),"Pagada",IF(O458&lt;TODAY(),"Vencida",IF(O458&lt;=TODAY()+Inicio!$B$19,"Próxima a vencer","Vigente"))))</f>
        <v/>
      </c>
      <c r="T458" s="18"/>
      <c r="U458" s="37" t="str">
        <f t="shared" si="59"/>
        <v/>
      </c>
      <c r="V458" s="37" t="str">
        <f t="shared" si="60"/>
        <v/>
      </c>
      <c r="W458" s="37" t="str">
        <f t="shared" si="61"/>
        <v/>
      </c>
      <c r="X458" s="37" t="str">
        <f t="shared" si="62"/>
        <v/>
      </c>
      <c r="Y458" s="37" t="str">
        <f>IF(OR($H458="",$J458=""),"",$J458*IFERROR(VLOOKUP($H458,Maestro_SKU!$A$2:$P$500,12,FALSE),1))</f>
        <v/>
      </c>
      <c r="Z458" s="37" t="str">
        <f t="shared" ca="1" si="63"/>
        <v/>
      </c>
    </row>
    <row r="459" spans="1:26" x14ac:dyDescent="0.35">
      <c r="A459" s="18"/>
      <c r="B459" s="26"/>
      <c r="C459" s="18"/>
      <c r="D459" s="18"/>
      <c r="E459" s="22" t="str">
        <f>IFERROR(VLOOKUP(D459,Clientes_PDV!$A$2:$J$250,2,FALSE),"")</f>
        <v/>
      </c>
      <c r="F459" s="22" t="str">
        <f>IFERROR(VLOOKUP(D459,Clientes_PDV!$A$2:$J$250,3,FALSE),"")</f>
        <v/>
      </c>
      <c r="G459" s="22" t="str">
        <f>IFERROR(VLOOKUP(D459,Clientes_PDV!$A$2:$J$250,4,FALSE),"")</f>
        <v/>
      </c>
      <c r="H459" s="18"/>
      <c r="I459" s="22" t="str">
        <f>IFERROR(VLOOKUP(H459,Maestro_SKU!$A$2:$P$500,2,FALSE),"")</f>
        <v/>
      </c>
      <c r="J459" s="27"/>
      <c r="K459" s="19"/>
      <c r="L459" s="23" t="str">
        <f t="shared" si="56"/>
        <v/>
      </c>
      <c r="M459" s="23" t="str">
        <f>IF(L459="","",L459*Inicio!$B$13)</f>
        <v/>
      </c>
      <c r="N459" s="23" t="str">
        <f t="shared" si="57"/>
        <v/>
      </c>
      <c r="O459" s="26"/>
      <c r="P459" s="18"/>
      <c r="Q459" s="19"/>
      <c r="R459" s="23" t="str">
        <f t="shared" si="58"/>
        <v/>
      </c>
      <c r="S459" s="22" t="str">
        <f ca="1">IF(A459="","",IF(OR(P459="Pagada",R459=0),"Pagada",IF(O459&lt;TODAY(),"Vencida",IF(O459&lt;=TODAY()+Inicio!$B$19,"Próxima a vencer","Vigente"))))</f>
        <v/>
      </c>
      <c r="T459" s="18"/>
      <c r="U459" s="37" t="str">
        <f t="shared" si="59"/>
        <v/>
      </c>
      <c r="V459" s="37" t="str">
        <f t="shared" si="60"/>
        <v/>
      </c>
      <c r="W459" s="37" t="str">
        <f t="shared" si="61"/>
        <v/>
      </c>
      <c r="X459" s="37" t="str">
        <f t="shared" si="62"/>
        <v/>
      </c>
      <c r="Y459" s="37" t="str">
        <f>IF(OR($H459="",$J459=""),"",$J459*IFERROR(VLOOKUP($H459,Maestro_SKU!$A$2:$P$500,12,FALSE),1))</f>
        <v/>
      </c>
      <c r="Z459" s="37" t="str">
        <f t="shared" ca="1" si="63"/>
        <v/>
      </c>
    </row>
    <row r="460" spans="1:26" x14ac:dyDescent="0.35">
      <c r="A460" s="18"/>
      <c r="B460" s="26"/>
      <c r="C460" s="18"/>
      <c r="D460" s="18"/>
      <c r="E460" s="22" t="str">
        <f>IFERROR(VLOOKUP(D460,Clientes_PDV!$A$2:$J$250,2,FALSE),"")</f>
        <v/>
      </c>
      <c r="F460" s="22" t="str">
        <f>IFERROR(VLOOKUP(D460,Clientes_PDV!$A$2:$J$250,3,FALSE),"")</f>
        <v/>
      </c>
      <c r="G460" s="22" t="str">
        <f>IFERROR(VLOOKUP(D460,Clientes_PDV!$A$2:$J$250,4,FALSE),"")</f>
        <v/>
      </c>
      <c r="H460" s="18"/>
      <c r="I460" s="22" t="str">
        <f>IFERROR(VLOOKUP(H460,Maestro_SKU!$A$2:$P$500,2,FALSE),"")</f>
        <v/>
      </c>
      <c r="J460" s="27"/>
      <c r="K460" s="19"/>
      <c r="L460" s="23" t="str">
        <f t="shared" si="56"/>
        <v/>
      </c>
      <c r="M460" s="23" t="str">
        <f>IF(L460="","",L460*Inicio!$B$13)</f>
        <v/>
      </c>
      <c r="N460" s="23" t="str">
        <f t="shared" si="57"/>
        <v/>
      </c>
      <c r="O460" s="26"/>
      <c r="P460" s="18"/>
      <c r="Q460" s="19"/>
      <c r="R460" s="23" t="str">
        <f t="shared" si="58"/>
        <v/>
      </c>
      <c r="S460" s="22" t="str">
        <f ca="1">IF(A460="","",IF(OR(P460="Pagada",R460=0),"Pagada",IF(O460&lt;TODAY(),"Vencida",IF(O460&lt;=TODAY()+Inicio!$B$19,"Próxima a vencer","Vigente"))))</f>
        <v/>
      </c>
      <c r="T460" s="18"/>
      <c r="U460" s="37" t="str">
        <f t="shared" si="59"/>
        <v/>
      </c>
      <c r="V460" s="37" t="str">
        <f t="shared" si="60"/>
        <v/>
      </c>
      <c r="W460" s="37" t="str">
        <f t="shared" si="61"/>
        <v/>
      </c>
      <c r="X460" s="37" t="str">
        <f t="shared" si="62"/>
        <v/>
      </c>
      <c r="Y460" s="37" t="str">
        <f>IF(OR($H460="",$J460=""),"",$J460*IFERROR(VLOOKUP($H460,Maestro_SKU!$A$2:$P$500,12,FALSE),1))</f>
        <v/>
      </c>
      <c r="Z460" s="37" t="str">
        <f t="shared" ca="1" si="63"/>
        <v/>
      </c>
    </row>
    <row r="461" spans="1:26" x14ac:dyDescent="0.35">
      <c r="A461" s="18"/>
      <c r="B461" s="26"/>
      <c r="C461" s="18"/>
      <c r="D461" s="18"/>
      <c r="E461" s="22" t="str">
        <f>IFERROR(VLOOKUP(D461,Clientes_PDV!$A$2:$J$250,2,FALSE),"")</f>
        <v/>
      </c>
      <c r="F461" s="22" t="str">
        <f>IFERROR(VLOOKUP(D461,Clientes_PDV!$A$2:$J$250,3,FALSE),"")</f>
        <v/>
      </c>
      <c r="G461" s="22" t="str">
        <f>IFERROR(VLOOKUP(D461,Clientes_PDV!$A$2:$J$250,4,FALSE),"")</f>
        <v/>
      </c>
      <c r="H461" s="18"/>
      <c r="I461" s="22" t="str">
        <f>IFERROR(VLOOKUP(H461,Maestro_SKU!$A$2:$P$500,2,FALSE),"")</f>
        <v/>
      </c>
      <c r="J461" s="27"/>
      <c r="K461" s="19"/>
      <c r="L461" s="23" t="str">
        <f t="shared" si="56"/>
        <v/>
      </c>
      <c r="M461" s="23" t="str">
        <f>IF(L461="","",L461*Inicio!$B$13)</f>
        <v/>
      </c>
      <c r="N461" s="23" t="str">
        <f t="shared" si="57"/>
        <v/>
      </c>
      <c r="O461" s="26"/>
      <c r="P461" s="18"/>
      <c r="Q461" s="19"/>
      <c r="R461" s="23" t="str">
        <f t="shared" si="58"/>
        <v/>
      </c>
      <c r="S461" s="22" t="str">
        <f ca="1">IF(A461="","",IF(OR(P461="Pagada",R461=0),"Pagada",IF(O461&lt;TODAY(),"Vencida",IF(O461&lt;=TODAY()+Inicio!$B$19,"Próxima a vencer","Vigente"))))</f>
        <v/>
      </c>
      <c r="T461" s="18"/>
      <c r="U461" s="37" t="str">
        <f t="shared" si="59"/>
        <v/>
      </c>
      <c r="V461" s="37" t="str">
        <f t="shared" si="60"/>
        <v/>
      </c>
      <c r="W461" s="37" t="str">
        <f t="shared" si="61"/>
        <v/>
      </c>
      <c r="X461" s="37" t="str">
        <f t="shared" si="62"/>
        <v/>
      </c>
      <c r="Y461" s="37" t="str">
        <f>IF(OR($H461="",$J461=""),"",$J461*IFERROR(VLOOKUP($H461,Maestro_SKU!$A$2:$P$500,12,FALSE),1))</f>
        <v/>
      </c>
      <c r="Z461" s="37" t="str">
        <f t="shared" ca="1" si="63"/>
        <v/>
      </c>
    </row>
    <row r="462" spans="1:26" x14ac:dyDescent="0.35">
      <c r="A462" s="18"/>
      <c r="B462" s="26"/>
      <c r="C462" s="18"/>
      <c r="D462" s="18"/>
      <c r="E462" s="22" t="str">
        <f>IFERROR(VLOOKUP(D462,Clientes_PDV!$A$2:$J$250,2,FALSE),"")</f>
        <v/>
      </c>
      <c r="F462" s="22" t="str">
        <f>IFERROR(VLOOKUP(D462,Clientes_PDV!$A$2:$J$250,3,FALSE),"")</f>
        <v/>
      </c>
      <c r="G462" s="22" t="str">
        <f>IFERROR(VLOOKUP(D462,Clientes_PDV!$A$2:$J$250,4,FALSE),"")</f>
        <v/>
      </c>
      <c r="H462" s="18"/>
      <c r="I462" s="22" t="str">
        <f>IFERROR(VLOOKUP(H462,Maestro_SKU!$A$2:$P$500,2,FALSE),"")</f>
        <v/>
      </c>
      <c r="J462" s="27"/>
      <c r="K462" s="19"/>
      <c r="L462" s="23" t="str">
        <f t="shared" si="56"/>
        <v/>
      </c>
      <c r="M462" s="23" t="str">
        <f>IF(L462="","",L462*Inicio!$B$13)</f>
        <v/>
      </c>
      <c r="N462" s="23" t="str">
        <f t="shared" si="57"/>
        <v/>
      </c>
      <c r="O462" s="26"/>
      <c r="P462" s="18"/>
      <c r="Q462" s="19"/>
      <c r="R462" s="23" t="str">
        <f t="shared" si="58"/>
        <v/>
      </c>
      <c r="S462" s="22" t="str">
        <f ca="1">IF(A462="","",IF(OR(P462="Pagada",R462=0),"Pagada",IF(O462&lt;TODAY(),"Vencida",IF(O462&lt;=TODAY()+Inicio!$B$19,"Próxima a vencer","Vigente"))))</f>
        <v/>
      </c>
      <c r="T462" s="18"/>
      <c r="U462" s="37" t="str">
        <f t="shared" si="59"/>
        <v/>
      </c>
      <c r="V462" s="37" t="str">
        <f t="shared" si="60"/>
        <v/>
      </c>
      <c r="W462" s="37" t="str">
        <f t="shared" si="61"/>
        <v/>
      </c>
      <c r="X462" s="37" t="str">
        <f t="shared" si="62"/>
        <v/>
      </c>
      <c r="Y462" s="37" t="str">
        <f>IF(OR($H462="",$J462=""),"",$J462*IFERROR(VLOOKUP($H462,Maestro_SKU!$A$2:$P$500,12,FALSE),1))</f>
        <v/>
      </c>
      <c r="Z462" s="37" t="str">
        <f t="shared" ca="1" si="63"/>
        <v/>
      </c>
    </row>
    <row r="463" spans="1:26" x14ac:dyDescent="0.35">
      <c r="A463" s="18"/>
      <c r="B463" s="26"/>
      <c r="C463" s="18"/>
      <c r="D463" s="18"/>
      <c r="E463" s="22" t="str">
        <f>IFERROR(VLOOKUP(D463,Clientes_PDV!$A$2:$J$250,2,FALSE),"")</f>
        <v/>
      </c>
      <c r="F463" s="22" t="str">
        <f>IFERROR(VLOOKUP(D463,Clientes_PDV!$A$2:$J$250,3,FALSE),"")</f>
        <v/>
      </c>
      <c r="G463" s="22" t="str">
        <f>IFERROR(VLOOKUP(D463,Clientes_PDV!$A$2:$J$250,4,FALSE),"")</f>
        <v/>
      </c>
      <c r="H463" s="18"/>
      <c r="I463" s="22" t="str">
        <f>IFERROR(VLOOKUP(H463,Maestro_SKU!$A$2:$P$500,2,FALSE),"")</f>
        <v/>
      </c>
      <c r="J463" s="27"/>
      <c r="K463" s="19"/>
      <c r="L463" s="23" t="str">
        <f t="shared" si="56"/>
        <v/>
      </c>
      <c r="M463" s="23" t="str">
        <f>IF(L463="","",L463*Inicio!$B$13)</f>
        <v/>
      </c>
      <c r="N463" s="23" t="str">
        <f t="shared" si="57"/>
        <v/>
      </c>
      <c r="O463" s="26"/>
      <c r="P463" s="18"/>
      <c r="Q463" s="19"/>
      <c r="R463" s="23" t="str">
        <f t="shared" si="58"/>
        <v/>
      </c>
      <c r="S463" s="22" t="str">
        <f ca="1">IF(A463="","",IF(OR(P463="Pagada",R463=0),"Pagada",IF(O463&lt;TODAY(),"Vencida",IF(O463&lt;=TODAY()+Inicio!$B$19,"Próxima a vencer","Vigente"))))</f>
        <v/>
      </c>
      <c r="T463" s="18"/>
      <c r="U463" s="37" t="str">
        <f t="shared" si="59"/>
        <v/>
      </c>
      <c r="V463" s="37" t="str">
        <f t="shared" si="60"/>
        <v/>
      </c>
      <c r="W463" s="37" t="str">
        <f t="shared" si="61"/>
        <v/>
      </c>
      <c r="X463" s="37" t="str">
        <f t="shared" si="62"/>
        <v/>
      </c>
      <c r="Y463" s="37" t="str">
        <f>IF(OR($H463="",$J463=""),"",$J463*IFERROR(VLOOKUP($H463,Maestro_SKU!$A$2:$P$500,12,FALSE),1))</f>
        <v/>
      </c>
      <c r="Z463" s="37" t="str">
        <f t="shared" ca="1" si="63"/>
        <v/>
      </c>
    </row>
    <row r="464" spans="1:26" x14ac:dyDescent="0.35">
      <c r="A464" s="18"/>
      <c r="B464" s="26"/>
      <c r="C464" s="18"/>
      <c r="D464" s="18"/>
      <c r="E464" s="22" t="str">
        <f>IFERROR(VLOOKUP(D464,Clientes_PDV!$A$2:$J$250,2,FALSE),"")</f>
        <v/>
      </c>
      <c r="F464" s="22" t="str">
        <f>IFERROR(VLOOKUP(D464,Clientes_PDV!$A$2:$J$250,3,FALSE),"")</f>
        <v/>
      </c>
      <c r="G464" s="22" t="str">
        <f>IFERROR(VLOOKUP(D464,Clientes_PDV!$A$2:$J$250,4,FALSE),"")</f>
        <v/>
      </c>
      <c r="H464" s="18"/>
      <c r="I464" s="22" t="str">
        <f>IFERROR(VLOOKUP(H464,Maestro_SKU!$A$2:$P$500,2,FALSE),"")</f>
        <v/>
      </c>
      <c r="J464" s="27"/>
      <c r="K464" s="19"/>
      <c r="L464" s="23" t="str">
        <f t="shared" si="56"/>
        <v/>
      </c>
      <c r="M464" s="23" t="str">
        <f>IF(L464="","",L464*Inicio!$B$13)</f>
        <v/>
      </c>
      <c r="N464" s="23" t="str">
        <f t="shared" si="57"/>
        <v/>
      </c>
      <c r="O464" s="26"/>
      <c r="P464" s="18"/>
      <c r="Q464" s="19"/>
      <c r="R464" s="23" t="str">
        <f t="shared" si="58"/>
        <v/>
      </c>
      <c r="S464" s="22" t="str">
        <f ca="1">IF(A464="","",IF(OR(P464="Pagada",R464=0),"Pagada",IF(O464&lt;TODAY(),"Vencida",IF(O464&lt;=TODAY()+Inicio!$B$19,"Próxima a vencer","Vigente"))))</f>
        <v/>
      </c>
      <c r="T464" s="18"/>
      <c r="U464" s="37" t="str">
        <f t="shared" si="59"/>
        <v/>
      </c>
      <c r="V464" s="37" t="str">
        <f t="shared" si="60"/>
        <v/>
      </c>
      <c r="W464" s="37" t="str">
        <f t="shared" si="61"/>
        <v/>
      </c>
      <c r="X464" s="37" t="str">
        <f t="shared" si="62"/>
        <v/>
      </c>
      <c r="Y464" s="37" t="str">
        <f>IF(OR($H464="",$J464=""),"",$J464*IFERROR(VLOOKUP($H464,Maestro_SKU!$A$2:$P$500,12,FALSE),1))</f>
        <v/>
      </c>
      <c r="Z464" s="37" t="str">
        <f t="shared" ca="1" si="63"/>
        <v/>
      </c>
    </row>
    <row r="465" spans="1:26" x14ac:dyDescent="0.35">
      <c r="A465" s="18"/>
      <c r="B465" s="26"/>
      <c r="C465" s="18"/>
      <c r="D465" s="18"/>
      <c r="E465" s="22" t="str">
        <f>IFERROR(VLOOKUP(D465,Clientes_PDV!$A$2:$J$250,2,FALSE),"")</f>
        <v/>
      </c>
      <c r="F465" s="22" t="str">
        <f>IFERROR(VLOOKUP(D465,Clientes_PDV!$A$2:$J$250,3,FALSE),"")</f>
        <v/>
      </c>
      <c r="G465" s="22" t="str">
        <f>IFERROR(VLOOKUP(D465,Clientes_PDV!$A$2:$J$250,4,FALSE),"")</f>
        <v/>
      </c>
      <c r="H465" s="18"/>
      <c r="I465" s="22" t="str">
        <f>IFERROR(VLOOKUP(H465,Maestro_SKU!$A$2:$P$500,2,FALSE),"")</f>
        <v/>
      </c>
      <c r="J465" s="27"/>
      <c r="K465" s="19"/>
      <c r="L465" s="23" t="str">
        <f t="shared" si="56"/>
        <v/>
      </c>
      <c r="M465" s="23" t="str">
        <f>IF(L465="","",L465*Inicio!$B$13)</f>
        <v/>
      </c>
      <c r="N465" s="23" t="str">
        <f t="shared" si="57"/>
        <v/>
      </c>
      <c r="O465" s="26"/>
      <c r="P465" s="18"/>
      <c r="Q465" s="19"/>
      <c r="R465" s="23" t="str">
        <f t="shared" si="58"/>
        <v/>
      </c>
      <c r="S465" s="22" t="str">
        <f ca="1">IF(A465="","",IF(OR(P465="Pagada",R465=0),"Pagada",IF(O465&lt;TODAY(),"Vencida",IF(O465&lt;=TODAY()+Inicio!$B$19,"Próxima a vencer","Vigente"))))</f>
        <v/>
      </c>
      <c r="T465" s="18"/>
      <c r="U465" s="37" t="str">
        <f t="shared" si="59"/>
        <v/>
      </c>
      <c r="V465" s="37" t="str">
        <f t="shared" si="60"/>
        <v/>
      </c>
      <c r="W465" s="37" t="str">
        <f t="shared" si="61"/>
        <v/>
      </c>
      <c r="X465" s="37" t="str">
        <f t="shared" si="62"/>
        <v/>
      </c>
      <c r="Y465" s="37" t="str">
        <f>IF(OR($H465="",$J465=""),"",$J465*IFERROR(VLOOKUP($H465,Maestro_SKU!$A$2:$P$500,12,FALSE),1))</f>
        <v/>
      </c>
      <c r="Z465" s="37" t="str">
        <f t="shared" ca="1" si="63"/>
        <v/>
      </c>
    </row>
    <row r="466" spans="1:26" x14ac:dyDescent="0.35">
      <c r="A466" s="18"/>
      <c r="B466" s="26"/>
      <c r="C466" s="18"/>
      <c r="D466" s="18"/>
      <c r="E466" s="22" t="str">
        <f>IFERROR(VLOOKUP(D466,Clientes_PDV!$A$2:$J$250,2,FALSE),"")</f>
        <v/>
      </c>
      <c r="F466" s="22" t="str">
        <f>IFERROR(VLOOKUP(D466,Clientes_PDV!$A$2:$J$250,3,FALSE),"")</f>
        <v/>
      </c>
      <c r="G466" s="22" t="str">
        <f>IFERROR(VLOOKUP(D466,Clientes_PDV!$A$2:$J$250,4,FALSE),"")</f>
        <v/>
      </c>
      <c r="H466" s="18"/>
      <c r="I466" s="22" t="str">
        <f>IFERROR(VLOOKUP(H466,Maestro_SKU!$A$2:$P$500,2,FALSE),"")</f>
        <v/>
      </c>
      <c r="J466" s="27"/>
      <c r="K466" s="19"/>
      <c r="L466" s="23" t="str">
        <f t="shared" si="56"/>
        <v/>
      </c>
      <c r="M466" s="23" t="str">
        <f>IF(L466="","",L466*Inicio!$B$13)</f>
        <v/>
      </c>
      <c r="N466" s="23" t="str">
        <f t="shared" si="57"/>
        <v/>
      </c>
      <c r="O466" s="26"/>
      <c r="P466" s="18"/>
      <c r="Q466" s="19"/>
      <c r="R466" s="23" t="str">
        <f t="shared" si="58"/>
        <v/>
      </c>
      <c r="S466" s="22" t="str">
        <f ca="1">IF(A466="","",IF(OR(P466="Pagada",R466=0),"Pagada",IF(O466&lt;TODAY(),"Vencida",IF(O466&lt;=TODAY()+Inicio!$B$19,"Próxima a vencer","Vigente"))))</f>
        <v/>
      </c>
      <c r="T466" s="18"/>
      <c r="U466" s="37" t="str">
        <f t="shared" si="59"/>
        <v/>
      </c>
      <c r="V466" s="37" t="str">
        <f t="shared" si="60"/>
        <v/>
      </c>
      <c r="W466" s="37" t="str">
        <f t="shared" si="61"/>
        <v/>
      </c>
      <c r="X466" s="37" t="str">
        <f t="shared" si="62"/>
        <v/>
      </c>
      <c r="Y466" s="37" t="str">
        <f>IF(OR($H466="",$J466=""),"",$J466*IFERROR(VLOOKUP($H466,Maestro_SKU!$A$2:$P$500,12,FALSE),1))</f>
        <v/>
      </c>
      <c r="Z466" s="37" t="str">
        <f t="shared" ca="1" si="63"/>
        <v/>
      </c>
    </row>
    <row r="467" spans="1:26" x14ac:dyDescent="0.35">
      <c r="A467" s="18"/>
      <c r="B467" s="26"/>
      <c r="C467" s="18"/>
      <c r="D467" s="18"/>
      <c r="E467" s="22" t="str">
        <f>IFERROR(VLOOKUP(D467,Clientes_PDV!$A$2:$J$250,2,FALSE),"")</f>
        <v/>
      </c>
      <c r="F467" s="22" t="str">
        <f>IFERROR(VLOOKUP(D467,Clientes_PDV!$A$2:$J$250,3,FALSE),"")</f>
        <v/>
      </c>
      <c r="G467" s="22" t="str">
        <f>IFERROR(VLOOKUP(D467,Clientes_PDV!$A$2:$J$250,4,FALSE),"")</f>
        <v/>
      </c>
      <c r="H467" s="18"/>
      <c r="I467" s="22" t="str">
        <f>IFERROR(VLOOKUP(H467,Maestro_SKU!$A$2:$P$500,2,FALSE),"")</f>
        <v/>
      </c>
      <c r="J467" s="27"/>
      <c r="K467" s="19"/>
      <c r="L467" s="23" t="str">
        <f t="shared" si="56"/>
        <v/>
      </c>
      <c r="M467" s="23" t="str">
        <f>IF(L467="","",L467*Inicio!$B$13)</f>
        <v/>
      </c>
      <c r="N467" s="23" t="str">
        <f t="shared" si="57"/>
        <v/>
      </c>
      <c r="O467" s="26"/>
      <c r="P467" s="18"/>
      <c r="Q467" s="19"/>
      <c r="R467" s="23" t="str">
        <f t="shared" si="58"/>
        <v/>
      </c>
      <c r="S467" s="22" t="str">
        <f ca="1">IF(A467="","",IF(OR(P467="Pagada",R467=0),"Pagada",IF(O467&lt;TODAY(),"Vencida",IF(O467&lt;=TODAY()+Inicio!$B$19,"Próxima a vencer","Vigente"))))</f>
        <v/>
      </c>
      <c r="T467" s="18"/>
      <c r="U467" s="37" t="str">
        <f t="shared" si="59"/>
        <v/>
      </c>
      <c r="V467" s="37" t="str">
        <f t="shared" si="60"/>
        <v/>
      </c>
      <c r="W467" s="37" t="str">
        <f t="shared" si="61"/>
        <v/>
      </c>
      <c r="X467" s="37" t="str">
        <f t="shared" si="62"/>
        <v/>
      </c>
      <c r="Y467" s="37" t="str">
        <f>IF(OR($H467="",$J467=""),"",$J467*IFERROR(VLOOKUP($H467,Maestro_SKU!$A$2:$P$500,12,FALSE),1))</f>
        <v/>
      </c>
      <c r="Z467" s="37" t="str">
        <f t="shared" ca="1" si="63"/>
        <v/>
      </c>
    </row>
    <row r="468" spans="1:26" x14ac:dyDescent="0.35">
      <c r="A468" s="18"/>
      <c r="B468" s="26"/>
      <c r="C468" s="18"/>
      <c r="D468" s="18"/>
      <c r="E468" s="22" t="str">
        <f>IFERROR(VLOOKUP(D468,Clientes_PDV!$A$2:$J$250,2,FALSE),"")</f>
        <v/>
      </c>
      <c r="F468" s="22" t="str">
        <f>IFERROR(VLOOKUP(D468,Clientes_PDV!$A$2:$J$250,3,FALSE),"")</f>
        <v/>
      </c>
      <c r="G468" s="22" t="str">
        <f>IFERROR(VLOOKUP(D468,Clientes_PDV!$A$2:$J$250,4,FALSE),"")</f>
        <v/>
      </c>
      <c r="H468" s="18"/>
      <c r="I468" s="22" t="str">
        <f>IFERROR(VLOOKUP(H468,Maestro_SKU!$A$2:$P$500,2,FALSE),"")</f>
        <v/>
      </c>
      <c r="J468" s="27"/>
      <c r="K468" s="19"/>
      <c r="L468" s="23" t="str">
        <f t="shared" si="56"/>
        <v/>
      </c>
      <c r="M468" s="23" t="str">
        <f>IF(L468="","",L468*Inicio!$B$13)</f>
        <v/>
      </c>
      <c r="N468" s="23" t="str">
        <f t="shared" si="57"/>
        <v/>
      </c>
      <c r="O468" s="26"/>
      <c r="P468" s="18"/>
      <c r="Q468" s="19"/>
      <c r="R468" s="23" t="str">
        <f t="shared" si="58"/>
        <v/>
      </c>
      <c r="S468" s="22" t="str">
        <f ca="1">IF(A468="","",IF(OR(P468="Pagada",R468=0),"Pagada",IF(O468&lt;TODAY(),"Vencida",IF(O468&lt;=TODAY()+Inicio!$B$19,"Próxima a vencer","Vigente"))))</f>
        <v/>
      </c>
      <c r="T468" s="18"/>
      <c r="U468" s="37" t="str">
        <f t="shared" si="59"/>
        <v/>
      </c>
      <c r="V468" s="37" t="str">
        <f t="shared" si="60"/>
        <v/>
      </c>
      <c r="W468" s="37" t="str">
        <f t="shared" si="61"/>
        <v/>
      </c>
      <c r="X468" s="37" t="str">
        <f t="shared" si="62"/>
        <v/>
      </c>
      <c r="Y468" s="37" t="str">
        <f>IF(OR($H468="",$J468=""),"",$J468*IFERROR(VLOOKUP($H468,Maestro_SKU!$A$2:$P$500,12,FALSE),1))</f>
        <v/>
      </c>
      <c r="Z468" s="37" t="str">
        <f t="shared" ca="1" si="63"/>
        <v/>
      </c>
    </row>
    <row r="469" spans="1:26" x14ac:dyDescent="0.35">
      <c r="A469" s="18"/>
      <c r="B469" s="26"/>
      <c r="C469" s="18"/>
      <c r="D469" s="18"/>
      <c r="E469" s="22" t="str">
        <f>IFERROR(VLOOKUP(D469,Clientes_PDV!$A$2:$J$250,2,FALSE),"")</f>
        <v/>
      </c>
      <c r="F469" s="22" t="str">
        <f>IFERROR(VLOOKUP(D469,Clientes_PDV!$A$2:$J$250,3,FALSE),"")</f>
        <v/>
      </c>
      <c r="G469" s="22" t="str">
        <f>IFERROR(VLOOKUP(D469,Clientes_PDV!$A$2:$J$250,4,FALSE),"")</f>
        <v/>
      </c>
      <c r="H469" s="18"/>
      <c r="I469" s="22" t="str">
        <f>IFERROR(VLOOKUP(H469,Maestro_SKU!$A$2:$P$500,2,FALSE),"")</f>
        <v/>
      </c>
      <c r="J469" s="27"/>
      <c r="K469" s="19"/>
      <c r="L469" s="23" t="str">
        <f t="shared" si="56"/>
        <v/>
      </c>
      <c r="M469" s="23" t="str">
        <f>IF(L469="","",L469*Inicio!$B$13)</f>
        <v/>
      </c>
      <c r="N469" s="23" t="str">
        <f t="shared" si="57"/>
        <v/>
      </c>
      <c r="O469" s="26"/>
      <c r="P469" s="18"/>
      <c r="Q469" s="19"/>
      <c r="R469" s="23" t="str">
        <f t="shared" si="58"/>
        <v/>
      </c>
      <c r="S469" s="22" t="str">
        <f ca="1">IF(A469="","",IF(OR(P469="Pagada",R469=0),"Pagada",IF(O469&lt;TODAY(),"Vencida",IF(O469&lt;=TODAY()+Inicio!$B$19,"Próxima a vencer","Vigente"))))</f>
        <v/>
      </c>
      <c r="T469" s="18"/>
      <c r="U469" s="37" t="str">
        <f t="shared" si="59"/>
        <v/>
      </c>
      <c r="V469" s="37" t="str">
        <f t="shared" si="60"/>
        <v/>
      </c>
      <c r="W469" s="37" t="str">
        <f t="shared" si="61"/>
        <v/>
      </c>
      <c r="X469" s="37" t="str">
        <f t="shared" si="62"/>
        <v/>
      </c>
      <c r="Y469" s="37" t="str">
        <f>IF(OR($H469="",$J469=""),"",$J469*IFERROR(VLOOKUP($H469,Maestro_SKU!$A$2:$P$500,12,FALSE),1))</f>
        <v/>
      </c>
      <c r="Z469" s="37" t="str">
        <f t="shared" ca="1" si="63"/>
        <v/>
      </c>
    </row>
    <row r="470" spans="1:26" x14ac:dyDescent="0.35">
      <c r="A470" s="18"/>
      <c r="B470" s="26"/>
      <c r="C470" s="18"/>
      <c r="D470" s="18"/>
      <c r="E470" s="22" t="str">
        <f>IFERROR(VLOOKUP(D470,Clientes_PDV!$A$2:$J$250,2,FALSE),"")</f>
        <v/>
      </c>
      <c r="F470" s="22" t="str">
        <f>IFERROR(VLOOKUP(D470,Clientes_PDV!$A$2:$J$250,3,FALSE),"")</f>
        <v/>
      </c>
      <c r="G470" s="22" t="str">
        <f>IFERROR(VLOOKUP(D470,Clientes_PDV!$A$2:$J$250,4,FALSE),"")</f>
        <v/>
      </c>
      <c r="H470" s="18"/>
      <c r="I470" s="22" t="str">
        <f>IFERROR(VLOOKUP(H470,Maestro_SKU!$A$2:$P$500,2,FALSE),"")</f>
        <v/>
      </c>
      <c r="J470" s="27"/>
      <c r="K470" s="19"/>
      <c r="L470" s="23" t="str">
        <f t="shared" si="56"/>
        <v/>
      </c>
      <c r="M470" s="23" t="str">
        <f>IF(L470="","",L470*Inicio!$B$13)</f>
        <v/>
      </c>
      <c r="N470" s="23" t="str">
        <f t="shared" si="57"/>
        <v/>
      </c>
      <c r="O470" s="26"/>
      <c r="P470" s="18"/>
      <c r="Q470" s="19"/>
      <c r="R470" s="23" t="str">
        <f t="shared" si="58"/>
        <v/>
      </c>
      <c r="S470" s="22" t="str">
        <f ca="1">IF(A470="","",IF(OR(P470="Pagada",R470=0),"Pagada",IF(O470&lt;TODAY(),"Vencida",IF(O470&lt;=TODAY()+Inicio!$B$19,"Próxima a vencer","Vigente"))))</f>
        <v/>
      </c>
      <c r="T470" s="18"/>
      <c r="U470" s="37" t="str">
        <f t="shared" si="59"/>
        <v/>
      </c>
      <c r="V470" s="37" t="str">
        <f t="shared" si="60"/>
        <v/>
      </c>
      <c r="W470" s="37" t="str">
        <f t="shared" si="61"/>
        <v/>
      </c>
      <c r="X470" s="37" t="str">
        <f t="shared" si="62"/>
        <v/>
      </c>
      <c r="Y470" s="37" t="str">
        <f>IF(OR($H470="",$J470=""),"",$J470*IFERROR(VLOOKUP($H470,Maestro_SKU!$A$2:$P$500,12,FALSE),1))</f>
        <v/>
      </c>
      <c r="Z470" s="37" t="str">
        <f t="shared" ca="1" si="63"/>
        <v/>
      </c>
    </row>
    <row r="471" spans="1:26" x14ac:dyDescent="0.35">
      <c r="A471" s="18"/>
      <c r="B471" s="26"/>
      <c r="C471" s="18"/>
      <c r="D471" s="18"/>
      <c r="E471" s="22" t="str">
        <f>IFERROR(VLOOKUP(D471,Clientes_PDV!$A$2:$J$250,2,FALSE),"")</f>
        <v/>
      </c>
      <c r="F471" s="22" t="str">
        <f>IFERROR(VLOOKUP(D471,Clientes_PDV!$A$2:$J$250,3,FALSE),"")</f>
        <v/>
      </c>
      <c r="G471" s="22" t="str">
        <f>IFERROR(VLOOKUP(D471,Clientes_PDV!$A$2:$J$250,4,FALSE),"")</f>
        <v/>
      </c>
      <c r="H471" s="18"/>
      <c r="I471" s="22" t="str">
        <f>IFERROR(VLOOKUP(H471,Maestro_SKU!$A$2:$P$500,2,FALSE),"")</f>
        <v/>
      </c>
      <c r="J471" s="27"/>
      <c r="K471" s="19"/>
      <c r="L471" s="23" t="str">
        <f t="shared" si="56"/>
        <v/>
      </c>
      <c r="M471" s="23" t="str">
        <f>IF(L471="","",L471*Inicio!$B$13)</f>
        <v/>
      </c>
      <c r="N471" s="23" t="str">
        <f t="shared" si="57"/>
        <v/>
      </c>
      <c r="O471" s="26"/>
      <c r="P471" s="18"/>
      <c r="Q471" s="19"/>
      <c r="R471" s="23" t="str">
        <f t="shared" si="58"/>
        <v/>
      </c>
      <c r="S471" s="22" t="str">
        <f ca="1">IF(A471="","",IF(OR(P471="Pagada",R471=0),"Pagada",IF(O471&lt;TODAY(),"Vencida",IF(O471&lt;=TODAY()+Inicio!$B$19,"Próxima a vencer","Vigente"))))</f>
        <v/>
      </c>
      <c r="T471" s="18"/>
      <c r="U471" s="37" t="str">
        <f t="shared" si="59"/>
        <v/>
      </c>
      <c r="V471" s="37" t="str">
        <f t="shared" si="60"/>
        <v/>
      </c>
      <c r="W471" s="37" t="str">
        <f t="shared" si="61"/>
        <v/>
      </c>
      <c r="X471" s="37" t="str">
        <f t="shared" si="62"/>
        <v/>
      </c>
      <c r="Y471" s="37" t="str">
        <f>IF(OR($H471="",$J471=""),"",$J471*IFERROR(VLOOKUP($H471,Maestro_SKU!$A$2:$P$500,12,FALSE),1))</f>
        <v/>
      </c>
      <c r="Z471" s="37" t="str">
        <f t="shared" ca="1" si="63"/>
        <v/>
      </c>
    </row>
    <row r="472" spans="1:26" x14ac:dyDescent="0.35">
      <c r="A472" s="18"/>
      <c r="B472" s="26"/>
      <c r="C472" s="18"/>
      <c r="D472" s="18"/>
      <c r="E472" s="22" t="str">
        <f>IFERROR(VLOOKUP(D472,Clientes_PDV!$A$2:$J$250,2,FALSE),"")</f>
        <v/>
      </c>
      <c r="F472" s="22" t="str">
        <f>IFERROR(VLOOKUP(D472,Clientes_PDV!$A$2:$J$250,3,FALSE),"")</f>
        <v/>
      </c>
      <c r="G472" s="22" t="str">
        <f>IFERROR(VLOOKUP(D472,Clientes_PDV!$A$2:$J$250,4,FALSE),"")</f>
        <v/>
      </c>
      <c r="H472" s="18"/>
      <c r="I472" s="22" t="str">
        <f>IFERROR(VLOOKUP(H472,Maestro_SKU!$A$2:$P$500,2,FALSE),"")</f>
        <v/>
      </c>
      <c r="J472" s="27"/>
      <c r="K472" s="19"/>
      <c r="L472" s="23" t="str">
        <f t="shared" si="56"/>
        <v/>
      </c>
      <c r="M472" s="23" t="str">
        <f>IF(L472="","",L472*Inicio!$B$13)</f>
        <v/>
      </c>
      <c r="N472" s="23" t="str">
        <f t="shared" si="57"/>
        <v/>
      </c>
      <c r="O472" s="26"/>
      <c r="P472" s="18"/>
      <c r="Q472" s="19"/>
      <c r="R472" s="23" t="str">
        <f t="shared" si="58"/>
        <v/>
      </c>
      <c r="S472" s="22" t="str">
        <f ca="1">IF(A472="","",IF(OR(P472="Pagada",R472=0),"Pagada",IF(O472&lt;TODAY(),"Vencida",IF(O472&lt;=TODAY()+Inicio!$B$19,"Próxima a vencer","Vigente"))))</f>
        <v/>
      </c>
      <c r="T472" s="18"/>
      <c r="U472" s="37" t="str">
        <f t="shared" si="59"/>
        <v/>
      </c>
      <c r="V472" s="37" t="str">
        <f t="shared" si="60"/>
        <v/>
      </c>
      <c r="W472" s="37" t="str">
        <f t="shared" si="61"/>
        <v/>
      </c>
      <c r="X472" s="37" t="str">
        <f t="shared" si="62"/>
        <v/>
      </c>
      <c r="Y472" s="37" t="str">
        <f>IF(OR($H472="",$J472=""),"",$J472*IFERROR(VLOOKUP($H472,Maestro_SKU!$A$2:$P$500,12,FALSE),1))</f>
        <v/>
      </c>
      <c r="Z472" s="37" t="str">
        <f t="shared" ca="1" si="63"/>
        <v/>
      </c>
    </row>
    <row r="473" spans="1:26" x14ac:dyDescent="0.35">
      <c r="A473" s="18"/>
      <c r="B473" s="26"/>
      <c r="C473" s="18"/>
      <c r="D473" s="18"/>
      <c r="E473" s="22" t="str">
        <f>IFERROR(VLOOKUP(D473,Clientes_PDV!$A$2:$J$250,2,FALSE),"")</f>
        <v/>
      </c>
      <c r="F473" s="22" t="str">
        <f>IFERROR(VLOOKUP(D473,Clientes_PDV!$A$2:$J$250,3,FALSE),"")</f>
        <v/>
      </c>
      <c r="G473" s="22" t="str">
        <f>IFERROR(VLOOKUP(D473,Clientes_PDV!$A$2:$J$250,4,FALSE),"")</f>
        <v/>
      </c>
      <c r="H473" s="18"/>
      <c r="I473" s="22" t="str">
        <f>IFERROR(VLOOKUP(H473,Maestro_SKU!$A$2:$P$500,2,FALSE),"")</f>
        <v/>
      </c>
      <c r="J473" s="27"/>
      <c r="K473" s="19"/>
      <c r="L473" s="23" t="str">
        <f t="shared" si="56"/>
        <v/>
      </c>
      <c r="M473" s="23" t="str">
        <f>IF(L473="","",L473*Inicio!$B$13)</f>
        <v/>
      </c>
      <c r="N473" s="23" t="str">
        <f t="shared" si="57"/>
        <v/>
      </c>
      <c r="O473" s="26"/>
      <c r="P473" s="18"/>
      <c r="Q473" s="19"/>
      <c r="R473" s="23" t="str">
        <f t="shared" si="58"/>
        <v/>
      </c>
      <c r="S473" s="22" t="str">
        <f ca="1">IF(A473="","",IF(OR(P473="Pagada",R473=0),"Pagada",IF(O473&lt;TODAY(),"Vencida",IF(O473&lt;=TODAY()+Inicio!$B$19,"Próxima a vencer","Vigente"))))</f>
        <v/>
      </c>
      <c r="T473" s="18"/>
      <c r="U473" s="37" t="str">
        <f t="shared" si="59"/>
        <v/>
      </c>
      <c r="V473" s="37" t="str">
        <f t="shared" si="60"/>
        <v/>
      </c>
      <c r="W473" s="37" t="str">
        <f t="shared" si="61"/>
        <v/>
      </c>
      <c r="X473" s="37" t="str">
        <f t="shared" si="62"/>
        <v/>
      </c>
      <c r="Y473" s="37" t="str">
        <f>IF(OR($H473="",$J473=""),"",$J473*IFERROR(VLOOKUP($H473,Maestro_SKU!$A$2:$P$500,12,FALSE),1))</f>
        <v/>
      </c>
      <c r="Z473" s="37" t="str">
        <f t="shared" ca="1" si="63"/>
        <v/>
      </c>
    </row>
    <row r="474" spans="1:26" x14ac:dyDescent="0.35">
      <c r="A474" s="18"/>
      <c r="B474" s="26"/>
      <c r="C474" s="18"/>
      <c r="D474" s="18"/>
      <c r="E474" s="22" t="str">
        <f>IFERROR(VLOOKUP(D474,Clientes_PDV!$A$2:$J$250,2,FALSE),"")</f>
        <v/>
      </c>
      <c r="F474" s="22" t="str">
        <f>IFERROR(VLOOKUP(D474,Clientes_PDV!$A$2:$J$250,3,FALSE),"")</f>
        <v/>
      </c>
      <c r="G474" s="22" t="str">
        <f>IFERROR(VLOOKUP(D474,Clientes_PDV!$A$2:$J$250,4,FALSE),"")</f>
        <v/>
      </c>
      <c r="H474" s="18"/>
      <c r="I474" s="22" t="str">
        <f>IFERROR(VLOOKUP(H474,Maestro_SKU!$A$2:$P$500,2,FALSE),"")</f>
        <v/>
      </c>
      <c r="J474" s="27"/>
      <c r="K474" s="19"/>
      <c r="L474" s="23" t="str">
        <f t="shared" si="56"/>
        <v/>
      </c>
      <c r="M474" s="23" t="str">
        <f>IF(L474="","",L474*Inicio!$B$13)</f>
        <v/>
      </c>
      <c r="N474" s="23" t="str">
        <f t="shared" si="57"/>
        <v/>
      </c>
      <c r="O474" s="26"/>
      <c r="P474" s="18"/>
      <c r="Q474" s="19"/>
      <c r="R474" s="23" t="str">
        <f t="shared" si="58"/>
        <v/>
      </c>
      <c r="S474" s="22" t="str">
        <f ca="1">IF(A474="","",IF(OR(P474="Pagada",R474=0),"Pagada",IF(O474&lt;TODAY(),"Vencida",IF(O474&lt;=TODAY()+Inicio!$B$19,"Próxima a vencer","Vigente"))))</f>
        <v/>
      </c>
      <c r="T474" s="18"/>
      <c r="U474" s="37" t="str">
        <f t="shared" si="59"/>
        <v/>
      </c>
      <c r="V474" s="37" t="str">
        <f t="shared" si="60"/>
        <v/>
      </c>
      <c r="W474" s="37" t="str">
        <f t="shared" si="61"/>
        <v/>
      </c>
      <c r="X474" s="37" t="str">
        <f t="shared" si="62"/>
        <v/>
      </c>
      <c r="Y474" s="37" t="str">
        <f>IF(OR($H474="",$J474=""),"",$J474*IFERROR(VLOOKUP($H474,Maestro_SKU!$A$2:$P$500,12,FALSE),1))</f>
        <v/>
      </c>
      <c r="Z474" s="37" t="str">
        <f t="shared" ca="1" si="63"/>
        <v/>
      </c>
    </row>
    <row r="475" spans="1:26" x14ac:dyDescent="0.35">
      <c r="A475" s="18"/>
      <c r="B475" s="26"/>
      <c r="C475" s="18"/>
      <c r="D475" s="18"/>
      <c r="E475" s="22" t="str">
        <f>IFERROR(VLOOKUP(D475,Clientes_PDV!$A$2:$J$250,2,FALSE),"")</f>
        <v/>
      </c>
      <c r="F475" s="22" t="str">
        <f>IFERROR(VLOOKUP(D475,Clientes_PDV!$A$2:$J$250,3,FALSE),"")</f>
        <v/>
      </c>
      <c r="G475" s="22" t="str">
        <f>IFERROR(VLOOKUP(D475,Clientes_PDV!$A$2:$J$250,4,FALSE),"")</f>
        <v/>
      </c>
      <c r="H475" s="18"/>
      <c r="I475" s="22" t="str">
        <f>IFERROR(VLOOKUP(H475,Maestro_SKU!$A$2:$P$500,2,FALSE),"")</f>
        <v/>
      </c>
      <c r="J475" s="27"/>
      <c r="K475" s="19"/>
      <c r="L475" s="23" t="str">
        <f t="shared" si="56"/>
        <v/>
      </c>
      <c r="M475" s="23" t="str">
        <f>IF(L475="","",L475*Inicio!$B$13)</f>
        <v/>
      </c>
      <c r="N475" s="23" t="str">
        <f t="shared" si="57"/>
        <v/>
      </c>
      <c r="O475" s="26"/>
      <c r="P475" s="18"/>
      <c r="Q475" s="19"/>
      <c r="R475" s="23" t="str">
        <f t="shared" si="58"/>
        <v/>
      </c>
      <c r="S475" s="22" t="str">
        <f ca="1">IF(A475="","",IF(OR(P475="Pagada",R475=0),"Pagada",IF(O475&lt;TODAY(),"Vencida",IF(O475&lt;=TODAY()+Inicio!$B$19,"Próxima a vencer","Vigente"))))</f>
        <v/>
      </c>
      <c r="T475" s="18"/>
      <c r="U475" s="37" t="str">
        <f t="shared" si="59"/>
        <v/>
      </c>
      <c r="V475" s="37" t="str">
        <f t="shared" si="60"/>
        <v/>
      </c>
      <c r="W475" s="37" t="str">
        <f t="shared" si="61"/>
        <v/>
      </c>
      <c r="X475" s="37" t="str">
        <f t="shared" si="62"/>
        <v/>
      </c>
      <c r="Y475" s="37" t="str">
        <f>IF(OR($H475="",$J475=""),"",$J475*IFERROR(VLOOKUP($H475,Maestro_SKU!$A$2:$P$500,12,FALSE),1))</f>
        <v/>
      </c>
      <c r="Z475" s="37" t="str">
        <f t="shared" ca="1" si="63"/>
        <v/>
      </c>
    </row>
    <row r="476" spans="1:26" x14ac:dyDescent="0.35">
      <c r="A476" s="18"/>
      <c r="B476" s="26"/>
      <c r="C476" s="18"/>
      <c r="D476" s="18"/>
      <c r="E476" s="22" t="str">
        <f>IFERROR(VLOOKUP(D476,Clientes_PDV!$A$2:$J$250,2,FALSE),"")</f>
        <v/>
      </c>
      <c r="F476" s="22" t="str">
        <f>IFERROR(VLOOKUP(D476,Clientes_PDV!$A$2:$J$250,3,FALSE),"")</f>
        <v/>
      </c>
      <c r="G476" s="22" t="str">
        <f>IFERROR(VLOOKUP(D476,Clientes_PDV!$A$2:$J$250,4,FALSE),"")</f>
        <v/>
      </c>
      <c r="H476" s="18"/>
      <c r="I476" s="22" t="str">
        <f>IFERROR(VLOOKUP(H476,Maestro_SKU!$A$2:$P$500,2,FALSE),"")</f>
        <v/>
      </c>
      <c r="J476" s="27"/>
      <c r="K476" s="19"/>
      <c r="L476" s="23" t="str">
        <f t="shared" si="56"/>
        <v/>
      </c>
      <c r="M476" s="23" t="str">
        <f>IF(L476="","",L476*Inicio!$B$13)</f>
        <v/>
      </c>
      <c r="N476" s="23" t="str">
        <f t="shared" si="57"/>
        <v/>
      </c>
      <c r="O476" s="26"/>
      <c r="P476" s="18"/>
      <c r="Q476" s="19"/>
      <c r="R476" s="23" t="str">
        <f t="shared" si="58"/>
        <v/>
      </c>
      <c r="S476" s="22" t="str">
        <f ca="1">IF(A476="","",IF(OR(P476="Pagada",R476=0),"Pagada",IF(O476&lt;TODAY(),"Vencida",IF(O476&lt;=TODAY()+Inicio!$B$19,"Próxima a vencer","Vigente"))))</f>
        <v/>
      </c>
      <c r="T476" s="18"/>
      <c r="U476" s="37" t="str">
        <f t="shared" si="59"/>
        <v/>
      </c>
      <c r="V476" s="37" t="str">
        <f t="shared" si="60"/>
        <v/>
      </c>
      <c r="W476" s="37" t="str">
        <f t="shared" si="61"/>
        <v/>
      </c>
      <c r="X476" s="37" t="str">
        <f t="shared" si="62"/>
        <v/>
      </c>
      <c r="Y476" s="37" t="str">
        <f>IF(OR($H476="",$J476=""),"",$J476*IFERROR(VLOOKUP($H476,Maestro_SKU!$A$2:$P$500,12,FALSE),1))</f>
        <v/>
      </c>
      <c r="Z476" s="37" t="str">
        <f t="shared" ca="1" si="63"/>
        <v/>
      </c>
    </row>
    <row r="477" spans="1:26" x14ac:dyDescent="0.35">
      <c r="A477" s="18"/>
      <c r="B477" s="26"/>
      <c r="C477" s="18"/>
      <c r="D477" s="18"/>
      <c r="E477" s="22" t="str">
        <f>IFERROR(VLOOKUP(D477,Clientes_PDV!$A$2:$J$250,2,FALSE),"")</f>
        <v/>
      </c>
      <c r="F477" s="22" t="str">
        <f>IFERROR(VLOOKUP(D477,Clientes_PDV!$A$2:$J$250,3,FALSE),"")</f>
        <v/>
      </c>
      <c r="G477" s="22" t="str">
        <f>IFERROR(VLOOKUP(D477,Clientes_PDV!$A$2:$J$250,4,FALSE),"")</f>
        <v/>
      </c>
      <c r="H477" s="18"/>
      <c r="I477" s="22" t="str">
        <f>IFERROR(VLOOKUP(H477,Maestro_SKU!$A$2:$P$500,2,FALSE),"")</f>
        <v/>
      </c>
      <c r="J477" s="27"/>
      <c r="K477" s="19"/>
      <c r="L477" s="23" t="str">
        <f t="shared" si="56"/>
        <v/>
      </c>
      <c r="M477" s="23" t="str">
        <f>IF(L477="","",L477*Inicio!$B$13)</f>
        <v/>
      </c>
      <c r="N477" s="23" t="str">
        <f t="shared" si="57"/>
        <v/>
      </c>
      <c r="O477" s="26"/>
      <c r="P477" s="18"/>
      <c r="Q477" s="19"/>
      <c r="R477" s="23" t="str">
        <f t="shared" si="58"/>
        <v/>
      </c>
      <c r="S477" s="22" t="str">
        <f ca="1">IF(A477="","",IF(OR(P477="Pagada",R477=0),"Pagada",IF(O477&lt;TODAY(),"Vencida",IF(O477&lt;=TODAY()+Inicio!$B$19,"Próxima a vencer","Vigente"))))</f>
        <v/>
      </c>
      <c r="T477" s="18"/>
      <c r="U477" s="37" t="str">
        <f t="shared" si="59"/>
        <v/>
      </c>
      <c r="V477" s="37" t="str">
        <f t="shared" si="60"/>
        <v/>
      </c>
      <c r="W477" s="37" t="str">
        <f t="shared" si="61"/>
        <v/>
      </c>
      <c r="X477" s="37" t="str">
        <f t="shared" si="62"/>
        <v/>
      </c>
      <c r="Y477" s="37" t="str">
        <f>IF(OR($H477="",$J477=""),"",$J477*IFERROR(VLOOKUP($H477,Maestro_SKU!$A$2:$P$500,12,FALSE),1))</f>
        <v/>
      </c>
      <c r="Z477" s="37" t="str">
        <f t="shared" ca="1" si="63"/>
        <v/>
      </c>
    </row>
    <row r="478" spans="1:26" x14ac:dyDescent="0.35">
      <c r="A478" s="18"/>
      <c r="B478" s="26"/>
      <c r="C478" s="18"/>
      <c r="D478" s="18"/>
      <c r="E478" s="22" t="str">
        <f>IFERROR(VLOOKUP(D478,Clientes_PDV!$A$2:$J$250,2,FALSE),"")</f>
        <v/>
      </c>
      <c r="F478" s="22" t="str">
        <f>IFERROR(VLOOKUP(D478,Clientes_PDV!$A$2:$J$250,3,FALSE),"")</f>
        <v/>
      </c>
      <c r="G478" s="22" t="str">
        <f>IFERROR(VLOOKUP(D478,Clientes_PDV!$A$2:$J$250,4,FALSE),"")</f>
        <v/>
      </c>
      <c r="H478" s="18"/>
      <c r="I478" s="22" t="str">
        <f>IFERROR(VLOOKUP(H478,Maestro_SKU!$A$2:$P$500,2,FALSE),"")</f>
        <v/>
      </c>
      <c r="J478" s="27"/>
      <c r="K478" s="19"/>
      <c r="L478" s="23" t="str">
        <f t="shared" si="56"/>
        <v/>
      </c>
      <c r="M478" s="23" t="str">
        <f>IF(L478="","",L478*Inicio!$B$13)</f>
        <v/>
      </c>
      <c r="N478" s="23" t="str">
        <f t="shared" si="57"/>
        <v/>
      </c>
      <c r="O478" s="26"/>
      <c r="P478" s="18"/>
      <c r="Q478" s="19"/>
      <c r="R478" s="23" t="str">
        <f t="shared" si="58"/>
        <v/>
      </c>
      <c r="S478" s="22" t="str">
        <f ca="1">IF(A478="","",IF(OR(P478="Pagada",R478=0),"Pagada",IF(O478&lt;TODAY(),"Vencida",IF(O478&lt;=TODAY()+Inicio!$B$19,"Próxima a vencer","Vigente"))))</f>
        <v/>
      </c>
      <c r="T478" s="18"/>
      <c r="U478" s="37" t="str">
        <f t="shared" si="59"/>
        <v/>
      </c>
      <c r="V478" s="37" t="str">
        <f t="shared" si="60"/>
        <v/>
      </c>
      <c r="W478" s="37" t="str">
        <f t="shared" si="61"/>
        <v/>
      </c>
      <c r="X478" s="37" t="str">
        <f t="shared" si="62"/>
        <v/>
      </c>
      <c r="Y478" s="37" t="str">
        <f>IF(OR($H478="",$J478=""),"",$J478*IFERROR(VLOOKUP($H478,Maestro_SKU!$A$2:$P$500,12,FALSE),1))</f>
        <v/>
      </c>
      <c r="Z478" s="37" t="str">
        <f t="shared" ca="1" si="63"/>
        <v/>
      </c>
    </row>
    <row r="479" spans="1:26" x14ac:dyDescent="0.35">
      <c r="A479" s="18"/>
      <c r="B479" s="26"/>
      <c r="C479" s="18"/>
      <c r="D479" s="18"/>
      <c r="E479" s="22" t="str">
        <f>IFERROR(VLOOKUP(D479,Clientes_PDV!$A$2:$J$250,2,FALSE),"")</f>
        <v/>
      </c>
      <c r="F479" s="22" t="str">
        <f>IFERROR(VLOOKUP(D479,Clientes_PDV!$A$2:$J$250,3,FALSE),"")</f>
        <v/>
      </c>
      <c r="G479" s="22" t="str">
        <f>IFERROR(VLOOKUP(D479,Clientes_PDV!$A$2:$J$250,4,FALSE),"")</f>
        <v/>
      </c>
      <c r="H479" s="18"/>
      <c r="I479" s="22" t="str">
        <f>IFERROR(VLOOKUP(H479,Maestro_SKU!$A$2:$P$500,2,FALSE),"")</f>
        <v/>
      </c>
      <c r="J479" s="27"/>
      <c r="K479" s="19"/>
      <c r="L479" s="23" t="str">
        <f t="shared" si="56"/>
        <v/>
      </c>
      <c r="M479" s="23" t="str">
        <f>IF(L479="","",L479*Inicio!$B$13)</f>
        <v/>
      </c>
      <c r="N479" s="23" t="str">
        <f t="shared" si="57"/>
        <v/>
      </c>
      <c r="O479" s="26"/>
      <c r="P479" s="18"/>
      <c r="Q479" s="19"/>
      <c r="R479" s="23" t="str">
        <f t="shared" si="58"/>
        <v/>
      </c>
      <c r="S479" s="22" t="str">
        <f ca="1">IF(A479="","",IF(OR(P479="Pagada",R479=0),"Pagada",IF(O479&lt;TODAY(),"Vencida",IF(O479&lt;=TODAY()+Inicio!$B$19,"Próxima a vencer","Vigente"))))</f>
        <v/>
      </c>
      <c r="T479" s="18"/>
      <c r="U479" s="37" t="str">
        <f t="shared" si="59"/>
        <v/>
      </c>
      <c r="V479" s="37" t="str">
        <f t="shared" si="60"/>
        <v/>
      </c>
      <c r="W479" s="37" t="str">
        <f t="shared" si="61"/>
        <v/>
      </c>
      <c r="X479" s="37" t="str">
        <f t="shared" si="62"/>
        <v/>
      </c>
      <c r="Y479" s="37" t="str">
        <f>IF(OR($H479="",$J479=""),"",$J479*IFERROR(VLOOKUP($H479,Maestro_SKU!$A$2:$P$500,12,FALSE),1))</f>
        <v/>
      </c>
      <c r="Z479" s="37" t="str">
        <f t="shared" ca="1" si="63"/>
        <v/>
      </c>
    </row>
    <row r="480" spans="1:26" x14ac:dyDescent="0.35">
      <c r="A480" s="18"/>
      <c r="B480" s="26"/>
      <c r="C480" s="18"/>
      <c r="D480" s="18"/>
      <c r="E480" s="22" t="str">
        <f>IFERROR(VLOOKUP(D480,Clientes_PDV!$A$2:$J$250,2,FALSE),"")</f>
        <v/>
      </c>
      <c r="F480" s="22" t="str">
        <f>IFERROR(VLOOKUP(D480,Clientes_PDV!$A$2:$J$250,3,FALSE),"")</f>
        <v/>
      </c>
      <c r="G480" s="22" t="str">
        <f>IFERROR(VLOOKUP(D480,Clientes_PDV!$A$2:$J$250,4,FALSE),"")</f>
        <v/>
      </c>
      <c r="H480" s="18"/>
      <c r="I480" s="22" t="str">
        <f>IFERROR(VLOOKUP(H480,Maestro_SKU!$A$2:$P$500,2,FALSE),"")</f>
        <v/>
      </c>
      <c r="J480" s="27"/>
      <c r="K480" s="19"/>
      <c r="L480" s="23" t="str">
        <f t="shared" si="56"/>
        <v/>
      </c>
      <c r="M480" s="23" t="str">
        <f>IF(L480="","",L480*Inicio!$B$13)</f>
        <v/>
      </c>
      <c r="N480" s="23" t="str">
        <f t="shared" si="57"/>
        <v/>
      </c>
      <c r="O480" s="26"/>
      <c r="P480" s="18"/>
      <c r="Q480" s="19"/>
      <c r="R480" s="23" t="str">
        <f t="shared" si="58"/>
        <v/>
      </c>
      <c r="S480" s="22" t="str">
        <f ca="1">IF(A480="","",IF(OR(P480="Pagada",R480=0),"Pagada",IF(O480&lt;TODAY(),"Vencida",IF(O480&lt;=TODAY()+Inicio!$B$19,"Próxima a vencer","Vigente"))))</f>
        <v/>
      </c>
      <c r="T480" s="18"/>
      <c r="U480" s="37" t="str">
        <f t="shared" si="59"/>
        <v/>
      </c>
      <c r="V480" s="37" t="str">
        <f t="shared" si="60"/>
        <v/>
      </c>
      <c r="W480" s="37" t="str">
        <f t="shared" si="61"/>
        <v/>
      </c>
      <c r="X480" s="37" t="str">
        <f t="shared" si="62"/>
        <v/>
      </c>
      <c r="Y480" s="37" t="str">
        <f>IF(OR($H480="",$J480=""),"",$J480*IFERROR(VLOOKUP($H480,Maestro_SKU!$A$2:$P$500,12,FALSE),1))</f>
        <v/>
      </c>
      <c r="Z480" s="37" t="str">
        <f t="shared" ca="1" si="63"/>
        <v/>
      </c>
    </row>
    <row r="481" spans="1:26" x14ac:dyDescent="0.35">
      <c r="A481" s="18"/>
      <c r="B481" s="26"/>
      <c r="C481" s="18"/>
      <c r="D481" s="18"/>
      <c r="E481" s="22" t="str">
        <f>IFERROR(VLOOKUP(D481,Clientes_PDV!$A$2:$J$250,2,FALSE),"")</f>
        <v/>
      </c>
      <c r="F481" s="22" t="str">
        <f>IFERROR(VLOOKUP(D481,Clientes_PDV!$A$2:$J$250,3,FALSE),"")</f>
        <v/>
      </c>
      <c r="G481" s="22" t="str">
        <f>IFERROR(VLOOKUP(D481,Clientes_PDV!$A$2:$J$250,4,FALSE),"")</f>
        <v/>
      </c>
      <c r="H481" s="18"/>
      <c r="I481" s="22" t="str">
        <f>IFERROR(VLOOKUP(H481,Maestro_SKU!$A$2:$P$500,2,FALSE),"")</f>
        <v/>
      </c>
      <c r="J481" s="27"/>
      <c r="K481" s="19"/>
      <c r="L481" s="23" t="str">
        <f t="shared" si="56"/>
        <v/>
      </c>
      <c r="M481" s="23" t="str">
        <f>IF(L481="","",L481*Inicio!$B$13)</f>
        <v/>
      </c>
      <c r="N481" s="23" t="str">
        <f t="shared" si="57"/>
        <v/>
      </c>
      <c r="O481" s="26"/>
      <c r="P481" s="18"/>
      <c r="Q481" s="19"/>
      <c r="R481" s="23" t="str">
        <f t="shared" si="58"/>
        <v/>
      </c>
      <c r="S481" s="22" t="str">
        <f ca="1">IF(A481="","",IF(OR(P481="Pagada",R481=0),"Pagada",IF(O481&lt;TODAY(),"Vencida",IF(O481&lt;=TODAY()+Inicio!$B$19,"Próxima a vencer","Vigente"))))</f>
        <v/>
      </c>
      <c r="T481" s="18"/>
      <c r="U481" s="37" t="str">
        <f t="shared" si="59"/>
        <v/>
      </c>
      <c r="V481" s="37" t="str">
        <f t="shared" si="60"/>
        <v/>
      </c>
      <c r="W481" s="37" t="str">
        <f t="shared" si="61"/>
        <v/>
      </c>
      <c r="X481" s="37" t="str">
        <f t="shared" si="62"/>
        <v/>
      </c>
      <c r="Y481" s="37" t="str">
        <f>IF(OR($H481="",$J481=""),"",$J481*IFERROR(VLOOKUP($H481,Maestro_SKU!$A$2:$P$500,12,FALSE),1))</f>
        <v/>
      </c>
      <c r="Z481" s="37" t="str">
        <f t="shared" ca="1" si="63"/>
        <v/>
      </c>
    </row>
    <row r="482" spans="1:26" x14ac:dyDescent="0.35">
      <c r="A482" s="18"/>
      <c r="B482" s="26"/>
      <c r="C482" s="18"/>
      <c r="D482" s="18"/>
      <c r="E482" s="22" t="str">
        <f>IFERROR(VLOOKUP(D482,Clientes_PDV!$A$2:$J$250,2,FALSE),"")</f>
        <v/>
      </c>
      <c r="F482" s="22" t="str">
        <f>IFERROR(VLOOKUP(D482,Clientes_PDV!$A$2:$J$250,3,FALSE),"")</f>
        <v/>
      </c>
      <c r="G482" s="22" t="str">
        <f>IFERROR(VLOOKUP(D482,Clientes_PDV!$A$2:$J$250,4,FALSE),"")</f>
        <v/>
      </c>
      <c r="H482" s="18"/>
      <c r="I482" s="22" t="str">
        <f>IFERROR(VLOOKUP(H482,Maestro_SKU!$A$2:$P$500,2,FALSE),"")</f>
        <v/>
      </c>
      <c r="J482" s="27"/>
      <c r="K482" s="19"/>
      <c r="L482" s="23" t="str">
        <f t="shared" si="56"/>
        <v/>
      </c>
      <c r="M482" s="23" t="str">
        <f>IF(L482="","",L482*Inicio!$B$13)</f>
        <v/>
      </c>
      <c r="N482" s="23" t="str">
        <f t="shared" si="57"/>
        <v/>
      </c>
      <c r="O482" s="26"/>
      <c r="P482" s="18"/>
      <c r="Q482" s="19"/>
      <c r="R482" s="23" t="str">
        <f t="shared" si="58"/>
        <v/>
      </c>
      <c r="S482" s="22" t="str">
        <f ca="1">IF(A482="","",IF(OR(P482="Pagada",R482=0),"Pagada",IF(O482&lt;TODAY(),"Vencida",IF(O482&lt;=TODAY()+Inicio!$B$19,"Próxima a vencer","Vigente"))))</f>
        <v/>
      </c>
      <c r="T482" s="18"/>
      <c r="U482" s="37" t="str">
        <f t="shared" si="59"/>
        <v/>
      </c>
      <c r="V482" s="37" t="str">
        <f t="shared" si="60"/>
        <v/>
      </c>
      <c r="W482" s="37" t="str">
        <f t="shared" si="61"/>
        <v/>
      </c>
      <c r="X482" s="37" t="str">
        <f t="shared" si="62"/>
        <v/>
      </c>
      <c r="Y482" s="37" t="str">
        <f>IF(OR($H482="",$J482=""),"",$J482*IFERROR(VLOOKUP($H482,Maestro_SKU!$A$2:$P$500,12,FALSE),1))</f>
        <v/>
      </c>
      <c r="Z482" s="37" t="str">
        <f t="shared" ca="1" si="63"/>
        <v/>
      </c>
    </row>
    <row r="483" spans="1:26" x14ac:dyDescent="0.35">
      <c r="A483" s="18"/>
      <c r="B483" s="26"/>
      <c r="C483" s="18"/>
      <c r="D483" s="18"/>
      <c r="E483" s="22" t="str">
        <f>IFERROR(VLOOKUP(D483,Clientes_PDV!$A$2:$J$250,2,FALSE),"")</f>
        <v/>
      </c>
      <c r="F483" s="22" t="str">
        <f>IFERROR(VLOOKUP(D483,Clientes_PDV!$A$2:$J$250,3,FALSE),"")</f>
        <v/>
      </c>
      <c r="G483" s="22" t="str">
        <f>IFERROR(VLOOKUP(D483,Clientes_PDV!$A$2:$J$250,4,FALSE),"")</f>
        <v/>
      </c>
      <c r="H483" s="18"/>
      <c r="I483" s="22" t="str">
        <f>IFERROR(VLOOKUP(H483,Maestro_SKU!$A$2:$P$500,2,FALSE),"")</f>
        <v/>
      </c>
      <c r="J483" s="27"/>
      <c r="K483" s="19"/>
      <c r="L483" s="23" t="str">
        <f t="shared" si="56"/>
        <v/>
      </c>
      <c r="M483" s="23" t="str">
        <f>IF(L483="","",L483*Inicio!$B$13)</f>
        <v/>
      </c>
      <c r="N483" s="23" t="str">
        <f t="shared" si="57"/>
        <v/>
      </c>
      <c r="O483" s="26"/>
      <c r="P483" s="18"/>
      <c r="Q483" s="19"/>
      <c r="R483" s="23" t="str">
        <f t="shared" si="58"/>
        <v/>
      </c>
      <c r="S483" s="22" t="str">
        <f ca="1">IF(A483="","",IF(OR(P483="Pagada",R483=0),"Pagada",IF(O483&lt;TODAY(),"Vencida",IF(O483&lt;=TODAY()+Inicio!$B$19,"Próxima a vencer","Vigente"))))</f>
        <v/>
      </c>
      <c r="T483" s="18"/>
      <c r="U483" s="37" t="str">
        <f t="shared" si="59"/>
        <v/>
      </c>
      <c r="V483" s="37" t="str">
        <f t="shared" si="60"/>
        <v/>
      </c>
      <c r="W483" s="37" t="str">
        <f t="shared" si="61"/>
        <v/>
      </c>
      <c r="X483" s="37" t="str">
        <f t="shared" si="62"/>
        <v/>
      </c>
      <c r="Y483" s="37" t="str">
        <f>IF(OR($H483="",$J483=""),"",$J483*IFERROR(VLOOKUP($H483,Maestro_SKU!$A$2:$P$500,12,FALSE),1))</f>
        <v/>
      </c>
      <c r="Z483" s="37" t="str">
        <f t="shared" ca="1" si="63"/>
        <v/>
      </c>
    </row>
    <row r="484" spans="1:26" x14ac:dyDescent="0.35">
      <c r="A484" s="18"/>
      <c r="B484" s="26"/>
      <c r="C484" s="18"/>
      <c r="D484" s="18"/>
      <c r="E484" s="22" t="str">
        <f>IFERROR(VLOOKUP(D484,Clientes_PDV!$A$2:$J$250,2,FALSE),"")</f>
        <v/>
      </c>
      <c r="F484" s="22" t="str">
        <f>IFERROR(VLOOKUP(D484,Clientes_PDV!$A$2:$J$250,3,FALSE),"")</f>
        <v/>
      </c>
      <c r="G484" s="22" t="str">
        <f>IFERROR(VLOOKUP(D484,Clientes_PDV!$A$2:$J$250,4,FALSE),"")</f>
        <v/>
      </c>
      <c r="H484" s="18"/>
      <c r="I484" s="22" t="str">
        <f>IFERROR(VLOOKUP(H484,Maestro_SKU!$A$2:$P$500,2,FALSE),"")</f>
        <v/>
      </c>
      <c r="J484" s="27"/>
      <c r="K484" s="19"/>
      <c r="L484" s="23" t="str">
        <f t="shared" si="56"/>
        <v/>
      </c>
      <c r="M484" s="23" t="str">
        <f>IF(L484="","",L484*Inicio!$B$13)</f>
        <v/>
      </c>
      <c r="N484" s="23" t="str">
        <f t="shared" si="57"/>
        <v/>
      </c>
      <c r="O484" s="26"/>
      <c r="P484" s="18"/>
      <c r="Q484" s="19"/>
      <c r="R484" s="23" t="str">
        <f t="shared" si="58"/>
        <v/>
      </c>
      <c r="S484" s="22" t="str">
        <f ca="1">IF(A484="","",IF(OR(P484="Pagada",R484=0),"Pagada",IF(O484&lt;TODAY(),"Vencida",IF(O484&lt;=TODAY()+Inicio!$B$19,"Próxima a vencer","Vigente"))))</f>
        <v/>
      </c>
      <c r="T484" s="18"/>
      <c r="U484" s="37" t="str">
        <f t="shared" si="59"/>
        <v/>
      </c>
      <c r="V484" s="37" t="str">
        <f t="shared" si="60"/>
        <v/>
      </c>
      <c r="W484" s="37" t="str">
        <f t="shared" si="61"/>
        <v/>
      </c>
      <c r="X484" s="37" t="str">
        <f t="shared" si="62"/>
        <v/>
      </c>
      <c r="Y484" s="37" t="str">
        <f>IF(OR($H484="",$J484=""),"",$J484*IFERROR(VLOOKUP($H484,Maestro_SKU!$A$2:$P$500,12,FALSE),1))</f>
        <v/>
      </c>
      <c r="Z484" s="37" t="str">
        <f t="shared" ca="1" si="63"/>
        <v/>
      </c>
    </row>
    <row r="485" spans="1:26" x14ac:dyDescent="0.35">
      <c r="A485" s="18"/>
      <c r="B485" s="26"/>
      <c r="C485" s="18"/>
      <c r="D485" s="18"/>
      <c r="E485" s="22" t="str">
        <f>IFERROR(VLOOKUP(D485,Clientes_PDV!$A$2:$J$250,2,FALSE),"")</f>
        <v/>
      </c>
      <c r="F485" s="22" t="str">
        <f>IFERROR(VLOOKUP(D485,Clientes_PDV!$A$2:$J$250,3,FALSE),"")</f>
        <v/>
      </c>
      <c r="G485" s="22" t="str">
        <f>IFERROR(VLOOKUP(D485,Clientes_PDV!$A$2:$J$250,4,FALSE),"")</f>
        <v/>
      </c>
      <c r="H485" s="18"/>
      <c r="I485" s="22" t="str">
        <f>IFERROR(VLOOKUP(H485,Maestro_SKU!$A$2:$P$500,2,FALSE),"")</f>
        <v/>
      </c>
      <c r="J485" s="27"/>
      <c r="K485" s="19"/>
      <c r="L485" s="23" t="str">
        <f t="shared" si="56"/>
        <v/>
      </c>
      <c r="M485" s="23" t="str">
        <f>IF(L485="","",L485*Inicio!$B$13)</f>
        <v/>
      </c>
      <c r="N485" s="23" t="str">
        <f t="shared" si="57"/>
        <v/>
      </c>
      <c r="O485" s="26"/>
      <c r="P485" s="18"/>
      <c r="Q485" s="19"/>
      <c r="R485" s="23" t="str">
        <f t="shared" si="58"/>
        <v/>
      </c>
      <c r="S485" s="22" t="str">
        <f ca="1">IF(A485="","",IF(OR(P485="Pagada",R485=0),"Pagada",IF(O485&lt;TODAY(),"Vencida",IF(O485&lt;=TODAY()+Inicio!$B$19,"Próxima a vencer","Vigente"))))</f>
        <v/>
      </c>
      <c r="T485" s="18"/>
      <c r="U485" s="37" t="str">
        <f t="shared" si="59"/>
        <v/>
      </c>
      <c r="V485" s="37" t="str">
        <f t="shared" si="60"/>
        <v/>
      </c>
      <c r="W485" s="37" t="str">
        <f t="shared" si="61"/>
        <v/>
      </c>
      <c r="X485" s="37" t="str">
        <f t="shared" si="62"/>
        <v/>
      </c>
      <c r="Y485" s="37" t="str">
        <f>IF(OR($H485="",$J485=""),"",$J485*IFERROR(VLOOKUP($H485,Maestro_SKU!$A$2:$P$500,12,FALSE),1))</f>
        <v/>
      </c>
      <c r="Z485" s="37" t="str">
        <f t="shared" ca="1" si="63"/>
        <v/>
      </c>
    </row>
    <row r="486" spans="1:26" x14ac:dyDescent="0.35">
      <c r="A486" s="18"/>
      <c r="B486" s="26"/>
      <c r="C486" s="18"/>
      <c r="D486" s="18"/>
      <c r="E486" s="22" t="str">
        <f>IFERROR(VLOOKUP(D486,Clientes_PDV!$A$2:$J$250,2,FALSE),"")</f>
        <v/>
      </c>
      <c r="F486" s="22" t="str">
        <f>IFERROR(VLOOKUP(D486,Clientes_PDV!$A$2:$J$250,3,FALSE),"")</f>
        <v/>
      </c>
      <c r="G486" s="22" t="str">
        <f>IFERROR(VLOOKUP(D486,Clientes_PDV!$A$2:$J$250,4,FALSE),"")</f>
        <v/>
      </c>
      <c r="H486" s="18"/>
      <c r="I486" s="22" t="str">
        <f>IFERROR(VLOOKUP(H486,Maestro_SKU!$A$2:$P$500,2,FALSE),"")</f>
        <v/>
      </c>
      <c r="J486" s="27"/>
      <c r="K486" s="19"/>
      <c r="L486" s="23" t="str">
        <f t="shared" si="56"/>
        <v/>
      </c>
      <c r="M486" s="23" t="str">
        <f>IF(L486="","",L486*Inicio!$B$13)</f>
        <v/>
      </c>
      <c r="N486" s="23" t="str">
        <f t="shared" si="57"/>
        <v/>
      </c>
      <c r="O486" s="26"/>
      <c r="P486" s="18"/>
      <c r="Q486" s="19"/>
      <c r="R486" s="23" t="str">
        <f t="shared" si="58"/>
        <v/>
      </c>
      <c r="S486" s="22" t="str">
        <f ca="1">IF(A486="","",IF(OR(P486="Pagada",R486=0),"Pagada",IF(O486&lt;TODAY(),"Vencida",IF(O486&lt;=TODAY()+Inicio!$B$19,"Próxima a vencer","Vigente"))))</f>
        <v/>
      </c>
      <c r="T486" s="18"/>
      <c r="U486" s="37" t="str">
        <f t="shared" si="59"/>
        <v/>
      </c>
      <c r="V486" s="37" t="str">
        <f t="shared" si="60"/>
        <v/>
      </c>
      <c r="W486" s="37" t="str">
        <f t="shared" si="61"/>
        <v/>
      </c>
      <c r="X486" s="37" t="str">
        <f t="shared" si="62"/>
        <v/>
      </c>
      <c r="Y486" s="37" t="str">
        <f>IF(OR($H486="",$J486=""),"",$J486*IFERROR(VLOOKUP($H486,Maestro_SKU!$A$2:$P$500,12,FALSE),1))</f>
        <v/>
      </c>
      <c r="Z486" s="37" t="str">
        <f t="shared" ca="1" si="63"/>
        <v/>
      </c>
    </row>
    <row r="487" spans="1:26" x14ac:dyDescent="0.35">
      <c r="A487" s="18"/>
      <c r="B487" s="26"/>
      <c r="C487" s="18"/>
      <c r="D487" s="18"/>
      <c r="E487" s="22" t="str">
        <f>IFERROR(VLOOKUP(D487,Clientes_PDV!$A$2:$J$250,2,FALSE),"")</f>
        <v/>
      </c>
      <c r="F487" s="22" t="str">
        <f>IFERROR(VLOOKUP(D487,Clientes_PDV!$A$2:$J$250,3,FALSE),"")</f>
        <v/>
      </c>
      <c r="G487" s="22" t="str">
        <f>IFERROR(VLOOKUP(D487,Clientes_PDV!$A$2:$J$250,4,FALSE),"")</f>
        <v/>
      </c>
      <c r="H487" s="18"/>
      <c r="I487" s="22" t="str">
        <f>IFERROR(VLOOKUP(H487,Maestro_SKU!$A$2:$P$500,2,FALSE),"")</f>
        <v/>
      </c>
      <c r="J487" s="27"/>
      <c r="K487" s="19"/>
      <c r="L487" s="23" t="str">
        <f t="shared" si="56"/>
        <v/>
      </c>
      <c r="M487" s="23" t="str">
        <f>IF(L487="","",L487*Inicio!$B$13)</f>
        <v/>
      </c>
      <c r="N487" s="23" t="str">
        <f t="shared" si="57"/>
        <v/>
      </c>
      <c r="O487" s="26"/>
      <c r="P487" s="18"/>
      <c r="Q487" s="19"/>
      <c r="R487" s="23" t="str">
        <f t="shared" si="58"/>
        <v/>
      </c>
      <c r="S487" s="22" t="str">
        <f ca="1">IF(A487="","",IF(OR(P487="Pagada",R487=0),"Pagada",IF(O487&lt;TODAY(),"Vencida",IF(O487&lt;=TODAY()+Inicio!$B$19,"Próxima a vencer","Vigente"))))</f>
        <v/>
      </c>
      <c r="T487" s="18"/>
      <c r="U487" s="37" t="str">
        <f t="shared" si="59"/>
        <v/>
      </c>
      <c r="V487" s="37" t="str">
        <f t="shared" si="60"/>
        <v/>
      </c>
      <c r="W487" s="37" t="str">
        <f t="shared" si="61"/>
        <v/>
      </c>
      <c r="X487" s="37" t="str">
        <f t="shared" si="62"/>
        <v/>
      </c>
      <c r="Y487" s="37" t="str">
        <f>IF(OR($H487="",$J487=""),"",$J487*IFERROR(VLOOKUP($H487,Maestro_SKU!$A$2:$P$500,12,FALSE),1))</f>
        <v/>
      </c>
      <c r="Z487" s="37" t="str">
        <f t="shared" ca="1" si="63"/>
        <v/>
      </c>
    </row>
    <row r="488" spans="1:26" x14ac:dyDescent="0.35">
      <c r="A488" s="18"/>
      <c r="B488" s="26"/>
      <c r="C488" s="18"/>
      <c r="D488" s="18"/>
      <c r="E488" s="22" t="str">
        <f>IFERROR(VLOOKUP(D488,Clientes_PDV!$A$2:$J$250,2,FALSE),"")</f>
        <v/>
      </c>
      <c r="F488" s="22" t="str">
        <f>IFERROR(VLOOKUP(D488,Clientes_PDV!$A$2:$J$250,3,FALSE),"")</f>
        <v/>
      </c>
      <c r="G488" s="22" t="str">
        <f>IFERROR(VLOOKUP(D488,Clientes_PDV!$A$2:$J$250,4,FALSE),"")</f>
        <v/>
      </c>
      <c r="H488" s="18"/>
      <c r="I488" s="22" t="str">
        <f>IFERROR(VLOOKUP(H488,Maestro_SKU!$A$2:$P$500,2,FALSE),"")</f>
        <v/>
      </c>
      <c r="J488" s="27"/>
      <c r="K488" s="19"/>
      <c r="L488" s="23" t="str">
        <f t="shared" si="56"/>
        <v/>
      </c>
      <c r="M488" s="23" t="str">
        <f>IF(L488="","",L488*Inicio!$B$13)</f>
        <v/>
      </c>
      <c r="N488" s="23" t="str">
        <f t="shared" si="57"/>
        <v/>
      </c>
      <c r="O488" s="26"/>
      <c r="P488" s="18"/>
      <c r="Q488" s="19"/>
      <c r="R488" s="23" t="str">
        <f t="shared" si="58"/>
        <v/>
      </c>
      <c r="S488" s="22" t="str">
        <f ca="1">IF(A488="","",IF(OR(P488="Pagada",R488=0),"Pagada",IF(O488&lt;TODAY(),"Vencida",IF(O488&lt;=TODAY()+Inicio!$B$19,"Próxima a vencer","Vigente"))))</f>
        <v/>
      </c>
      <c r="T488" s="18"/>
      <c r="U488" s="37" t="str">
        <f t="shared" si="59"/>
        <v/>
      </c>
      <c r="V488" s="37" t="str">
        <f t="shared" si="60"/>
        <v/>
      </c>
      <c r="W488" s="37" t="str">
        <f t="shared" si="61"/>
        <v/>
      </c>
      <c r="X488" s="37" t="str">
        <f t="shared" si="62"/>
        <v/>
      </c>
      <c r="Y488" s="37" t="str">
        <f>IF(OR($H488="",$J488=""),"",$J488*IFERROR(VLOOKUP($H488,Maestro_SKU!$A$2:$P$500,12,FALSE),1))</f>
        <v/>
      </c>
      <c r="Z488" s="37" t="str">
        <f t="shared" ca="1" si="63"/>
        <v/>
      </c>
    </row>
    <row r="489" spans="1:26" x14ac:dyDescent="0.35">
      <c r="A489" s="18"/>
      <c r="B489" s="26"/>
      <c r="C489" s="18"/>
      <c r="D489" s="18"/>
      <c r="E489" s="22" t="str">
        <f>IFERROR(VLOOKUP(D489,Clientes_PDV!$A$2:$J$250,2,FALSE),"")</f>
        <v/>
      </c>
      <c r="F489" s="22" t="str">
        <f>IFERROR(VLOOKUP(D489,Clientes_PDV!$A$2:$J$250,3,FALSE),"")</f>
        <v/>
      </c>
      <c r="G489" s="22" t="str">
        <f>IFERROR(VLOOKUP(D489,Clientes_PDV!$A$2:$J$250,4,FALSE),"")</f>
        <v/>
      </c>
      <c r="H489" s="18"/>
      <c r="I489" s="22" t="str">
        <f>IFERROR(VLOOKUP(H489,Maestro_SKU!$A$2:$P$500,2,FALSE),"")</f>
        <v/>
      </c>
      <c r="J489" s="27"/>
      <c r="K489" s="19"/>
      <c r="L489" s="23" t="str">
        <f t="shared" si="56"/>
        <v/>
      </c>
      <c r="M489" s="23" t="str">
        <f>IF(L489="","",L489*Inicio!$B$13)</f>
        <v/>
      </c>
      <c r="N489" s="23" t="str">
        <f t="shared" si="57"/>
        <v/>
      </c>
      <c r="O489" s="26"/>
      <c r="P489" s="18"/>
      <c r="Q489" s="19"/>
      <c r="R489" s="23" t="str">
        <f t="shared" si="58"/>
        <v/>
      </c>
      <c r="S489" s="22" t="str">
        <f ca="1">IF(A489="","",IF(OR(P489="Pagada",R489=0),"Pagada",IF(O489&lt;TODAY(),"Vencida",IF(O489&lt;=TODAY()+Inicio!$B$19,"Próxima a vencer","Vigente"))))</f>
        <v/>
      </c>
      <c r="T489" s="18"/>
      <c r="U489" s="37" t="str">
        <f t="shared" si="59"/>
        <v/>
      </c>
      <c r="V489" s="37" t="str">
        <f t="shared" si="60"/>
        <v/>
      </c>
      <c r="W489" s="37" t="str">
        <f t="shared" si="61"/>
        <v/>
      </c>
      <c r="X489" s="37" t="str">
        <f t="shared" si="62"/>
        <v/>
      </c>
      <c r="Y489" s="37" t="str">
        <f>IF(OR($H489="",$J489=""),"",$J489*IFERROR(VLOOKUP($H489,Maestro_SKU!$A$2:$P$500,12,FALSE),1))</f>
        <v/>
      </c>
      <c r="Z489" s="37" t="str">
        <f t="shared" ca="1" si="63"/>
        <v/>
      </c>
    </row>
    <row r="490" spans="1:26" x14ac:dyDescent="0.35">
      <c r="A490" s="18"/>
      <c r="B490" s="26"/>
      <c r="C490" s="18"/>
      <c r="D490" s="18"/>
      <c r="E490" s="22" t="str">
        <f>IFERROR(VLOOKUP(D490,Clientes_PDV!$A$2:$J$250,2,FALSE),"")</f>
        <v/>
      </c>
      <c r="F490" s="22" t="str">
        <f>IFERROR(VLOOKUP(D490,Clientes_PDV!$A$2:$J$250,3,FALSE),"")</f>
        <v/>
      </c>
      <c r="G490" s="22" t="str">
        <f>IFERROR(VLOOKUP(D490,Clientes_PDV!$A$2:$J$250,4,FALSE),"")</f>
        <v/>
      </c>
      <c r="H490" s="18"/>
      <c r="I490" s="22" t="str">
        <f>IFERROR(VLOOKUP(H490,Maestro_SKU!$A$2:$P$500,2,FALSE),"")</f>
        <v/>
      </c>
      <c r="J490" s="27"/>
      <c r="K490" s="19"/>
      <c r="L490" s="23" t="str">
        <f t="shared" si="56"/>
        <v/>
      </c>
      <c r="M490" s="23" t="str">
        <f>IF(L490="","",L490*Inicio!$B$13)</f>
        <v/>
      </c>
      <c r="N490" s="23" t="str">
        <f t="shared" si="57"/>
        <v/>
      </c>
      <c r="O490" s="26"/>
      <c r="P490" s="18"/>
      <c r="Q490" s="19"/>
      <c r="R490" s="23" t="str">
        <f t="shared" si="58"/>
        <v/>
      </c>
      <c r="S490" s="22" t="str">
        <f ca="1">IF(A490="","",IF(OR(P490="Pagada",R490=0),"Pagada",IF(O490&lt;TODAY(),"Vencida",IF(O490&lt;=TODAY()+Inicio!$B$19,"Próxima a vencer","Vigente"))))</f>
        <v/>
      </c>
      <c r="T490" s="18"/>
      <c r="U490" s="37" t="str">
        <f t="shared" si="59"/>
        <v/>
      </c>
      <c r="V490" s="37" t="str">
        <f t="shared" si="60"/>
        <v/>
      </c>
      <c r="W490" s="37" t="str">
        <f t="shared" si="61"/>
        <v/>
      </c>
      <c r="X490" s="37" t="str">
        <f t="shared" si="62"/>
        <v/>
      </c>
      <c r="Y490" s="37" t="str">
        <f>IF(OR($H490="",$J490=""),"",$J490*IFERROR(VLOOKUP($H490,Maestro_SKU!$A$2:$P$500,12,FALSE),1))</f>
        <v/>
      </c>
      <c r="Z490" s="37" t="str">
        <f t="shared" ca="1" si="63"/>
        <v/>
      </c>
    </row>
    <row r="491" spans="1:26" x14ac:dyDescent="0.35">
      <c r="A491" s="18"/>
      <c r="B491" s="26"/>
      <c r="C491" s="18"/>
      <c r="D491" s="18"/>
      <c r="E491" s="22" t="str">
        <f>IFERROR(VLOOKUP(D491,Clientes_PDV!$A$2:$J$250,2,FALSE),"")</f>
        <v/>
      </c>
      <c r="F491" s="22" t="str">
        <f>IFERROR(VLOOKUP(D491,Clientes_PDV!$A$2:$J$250,3,FALSE),"")</f>
        <v/>
      </c>
      <c r="G491" s="22" t="str">
        <f>IFERROR(VLOOKUP(D491,Clientes_PDV!$A$2:$J$250,4,FALSE),"")</f>
        <v/>
      </c>
      <c r="H491" s="18"/>
      <c r="I491" s="22" t="str">
        <f>IFERROR(VLOOKUP(H491,Maestro_SKU!$A$2:$P$500,2,FALSE),"")</f>
        <v/>
      </c>
      <c r="J491" s="27"/>
      <c r="K491" s="19"/>
      <c r="L491" s="23" t="str">
        <f t="shared" si="56"/>
        <v/>
      </c>
      <c r="M491" s="23" t="str">
        <f>IF(L491="","",L491*Inicio!$B$13)</f>
        <v/>
      </c>
      <c r="N491" s="23" t="str">
        <f t="shared" si="57"/>
        <v/>
      </c>
      <c r="O491" s="26"/>
      <c r="P491" s="18"/>
      <c r="Q491" s="19"/>
      <c r="R491" s="23" t="str">
        <f t="shared" si="58"/>
        <v/>
      </c>
      <c r="S491" s="22" t="str">
        <f ca="1">IF(A491="","",IF(OR(P491="Pagada",R491=0),"Pagada",IF(O491&lt;TODAY(),"Vencida",IF(O491&lt;=TODAY()+Inicio!$B$19,"Próxima a vencer","Vigente"))))</f>
        <v/>
      </c>
      <c r="T491" s="18"/>
      <c r="U491" s="37" t="str">
        <f t="shared" si="59"/>
        <v/>
      </c>
      <c r="V491" s="37" t="str">
        <f t="shared" si="60"/>
        <v/>
      </c>
      <c r="W491" s="37" t="str">
        <f t="shared" si="61"/>
        <v/>
      </c>
      <c r="X491" s="37" t="str">
        <f t="shared" si="62"/>
        <v/>
      </c>
      <c r="Y491" s="37" t="str">
        <f>IF(OR($H491="",$J491=""),"",$J491*IFERROR(VLOOKUP($H491,Maestro_SKU!$A$2:$P$500,12,FALSE),1))</f>
        <v/>
      </c>
      <c r="Z491" s="37" t="str">
        <f t="shared" ca="1" si="63"/>
        <v/>
      </c>
    </row>
    <row r="492" spans="1:26" x14ac:dyDescent="0.35">
      <c r="A492" s="18"/>
      <c r="B492" s="26"/>
      <c r="C492" s="18"/>
      <c r="D492" s="18"/>
      <c r="E492" s="22" t="str">
        <f>IFERROR(VLOOKUP(D492,Clientes_PDV!$A$2:$J$250,2,FALSE),"")</f>
        <v/>
      </c>
      <c r="F492" s="22" t="str">
        <f>IFERROR(VLOOKUP(D492,Clientes_PDV!$A$2:$J$250,3,FALSE),"")</f>
        <v/>
      </c>
      <c r="G492" s="22" t="str">
        <f>IFERROR(VLOOKUP(D492,Clientes_PDV!$A$2:$J$250,4,FALSE),"")</f>
        <v/>
      </c>
      <c r="H492" s="18"/>
      <c r="I492" s="22" t="str">
        <f>IFERROR(VLOOKUP(H492,Maestro_SKU!$A$2:$P$500,2,FALSE),"")</f>
        <v/>
      </c>
      <c r="J492" s="27"/>
      <c r="K492" s="19"/>
      <c r="L492" s="23" t="str">
        <f t="shared" si="56"/>
        <v/>
      </c>
      <c r="M492" s="23" t="str">
        <f>IF(L492="","",L492*Inicio!$B$13)</f>
        <v/>
      </c>
      <c r="N492" s="23" t="str">
        <f t="shared" si="57"/>
        <v/>
      </c>
      <c r="O492" s="26"/>
      <c r="P492" s="18"/>
      <c r="Q492" s="19"/>
      <c r="R492" s="23" t="str">
        <f t="shared" si="58"/>
        <v/>
      </c>
      <c r="S492" s="22" t="str">
        <f ca="1">IF(A492="","",IF(OR(P492="Pagada",R492=0),"Pagada",IF(O492&lt;TODAY(),"Vencida",IF(O492&lt;=TODAY()+Inicio!$B$19,"Próxima a vencer","Vigente"))))</f>
        <v/>
      </c>
      <c r="T492" s="18"/>
      <c r="U492" s="37" t="str">
        <f t="shared" si="59"/>
        <v/>
      </c>
      <c r="V492" s="37" t="str">
        <f t="shared" si="60"/>
        <v/>
      </c>
      <c r="W492" s="37" t="str">
        <f t="shared" si="61"/>
        <v/>
      </c>
      <c r="X492" s="37" t="str">
        <f t="shared" si="62"/>
        <v/>
      </c>
      <c r="Y492" s="37" t="str">
        <f>IF(OR($H492="",$J492=""),"",$J492*IFERROR(VLOOKUP($H492,Maestro_SKU!$A$2:$P$500,12,FALSE),1))</f>
        <v/>
      </c>
      <c r="Z492" s="37" t="str">
        <f t="shared" ca="1" si="63"/>
        <v/>
      </c>
    </row>
    <row r="493" spans="1:26" x14ac:dyDescent="0.35">
      <c r="A493" s="18"/>
      <c r="B493" s="26"/>
      <c r="C493" s="18"/>
      <c r="D493" s="18"/>
      <c r="E493" s="22" t="str">
        <f>IFERROR(VLOOKUP(D493,Clientes_PDV!$A$2:$J$250,2,FALSE),"")</f>
        <v/>
      </c>
      <c r="F493" s="22" t="str">
        <f>IFERROR(VLOOKUP(D493,Clientes_PDV!$A$2:$J$250,3,FALSE),"")</f>
        <v/>
      </c>
      <c r="G493" s="22" t="str">
        <f>IFERROR(VLOOKUP(D493,Clientes_PDV!$A$2:$J$250,4,FALSE),"")</f>
        <v/>
      </c>
      <c r="H493" s="18"/>
      <c r="I493" s="22" t="str">
        <f>IFERROR(VLOOKUP(H493,Maestro_SKU!$A$2:$P$500,2,FALSE),"")</f>
        <v/>
      </c>
      <c r="J493" s="27"/>
      <c r="K493" s="19"/>
      <c r="L493" s="23" t="str">
        <f t="shared" si="56"/>
        <v/>
      </c>
      <c r="M493" s="23" t="str">
        <f>IF(L493="","",L493*Inicio!$B$13)</f>
        <v/>
      </c>
      <c r="N493" s="23" t="str">
        <f t="shared" si="57"/>
        <v/>
      </c>
      <c r="O493" s="26"/>
      <c r="P493" s="18"/>
      <c r="Q493" s="19"/>
      <c r="R493" s="23" t="str">
        <f t="shared" si="58"/>
        <v/>
      </c>
      <c r="S493" s="22" t="str">
        <f ca="1">IF(A493="","",IF(OR(P493="Pagada",R493=0),"Pagada",IF(O493&lt;TODAY(),"Vencida",IF(O493&lt;=TODAY()+Inicio!$B$19,"Próxima a vencer","Vigente"))))</f>
        <v/>
      </c>
      <c r="T493" s="18"/>
      <c r="U493" s="37" t="str">
        <f t="shared" si="59"/>
        <v/>
      </c>
      <c r="V493" s="37" t="str">
        <f t="shared" si="60"/>
        <v/>
      </c>
      <c r="W493" s="37" t="str">
        <f t="shared" si="61"/>
        <v/>
      </c>
      <c r="X493" s="37" t="str">
        <f t="shared" si="62"/>
        <v/>
      </c>
      <c r="Y493" s="37" t="str">
        <f>IF(OR($H493="",$J493=""),"",$J493*IFERROR(VLOOKUP($H493,Maestro_SKU!$A$2:$P$500,12,FALSE),1))</f>
        <v/>
      </c>
      <c r="Z493" s="37" t="str">
        <f t="shared" ca="1" si="63"/>
        <v/>
      </c>
    </row>
    <row r="494" spans="1:26" x14ac:dyDescent="0.35">
      <c r="A494" s="18"/>
      <c r="B494" s="26"/>
      <c r="C494" s="18"/>
      <c r="D494" s="18"/>
      <c r="E494" s="22" t="str">
        <f>IFERROR(VLOOKUP(D494,Clientes_PDV!$A$2:$J$250,2,FALSE),"")</f>
        <v/>
      </c>
      <c r="F494" s="22" t="str">
        <f>IFERROR(VLOOKUP(D494,Clientes_PDV!$A$2:$J$250,3,FALSE),"")</f>
        <v/>
      </c>
      <c r="G494" s="22" t="str">
        <f>IFERROR(VLOOKUP(D494,Clientes_PDV!$A$2:$J$250,4,FALSE),"")</f>
        <v/>
      </c>
      <c r="H494" s="18"/>
      <c r="I494" s="22" t="str">
        <f>IFERROR(VLOOKUP(H494,Maestro_SKU!$A$2:$P$500,2,FALSE),"")</f>
        <v/>
      </c>
      <c r="J494" s="27"/>
      <c r="K494" s="19"/>
      <c r="L494" s="23" t="str">
        <f t="shared" si="56"/>
        <v/>
      </c>
      <c r="M494" s="23" t="str">
        <f>IF(L494="","",L494*Inicio!$B$13)</f>
        <v/>
      </c>
      <c r="N494" s="23" t="str">
        <f t="shared" si="57"/>
        <v/>
      </c>
      <c r="O494" s="26"/>
      <c r="P494" s="18"/>
      <c r="Q494" s="19"/>
      <c r="R494" s="23" t="str">
        <f t="shared" si="58"/>
        <v/>
      </c>
      <c r="S494" s="22" t="str">
        <f ca="1">IF(A494="","",IF(OR(P494="Pagada",R494=0),"Pagada",IF(O494&lt;TODAY(),"Vencida",IF(O494&lt;=TODAY()+Inicio!$B$19,"Próxima a vencer","Vigente"))))</f>
        <v/>
      </c>
      <c r="T494" s="18"/>
      <c r="U494" s="37" t="str">
        <f t="shared" si="59"/>
        <v/>
      </c>
      <c r="V494" s="37" t="str">
        <f t="shared" si="60"/>
        <v/>
      </c>
      <c r="W494" s="37" t="str">
        <f t="shared" si="61"/>
        <v/>
      </c>
      <c r="X494" s="37" t="str">
        <f t="shared" si="62"/>
        <v/>
      </c>
      <c r="Y494" s="37" t="str">
        <f>IF(OR($H494="",$J494=""),"",$J494*IFERROR(VLOOKUP($H494,Maestro_SKU!$A$2:$P$500,12,FALSE),1))</f>
        <v/>
      </c>
      <c r="Z494" s="37" t="str">
        <f t="shared" ca="1" si="63"/>
        <v/>
      </c>
    </row>
    <row r="495" spans="1:26" x14ac:dyDescent="0.35">
      <c r="A495" s="18"/>
      <c r="B495" s="26"/>
      <c r="C495" s="18"/>
      <c r="D495" s="18"/>
      <c r="E495" s="22" t="str">
        <f>IFERROR(VLOOKUP(D495,Clientes_PDV!$A$2:$J$250,2,FALSE),"")</f>
        <v/>
      </c>
      <c r="F495" s="22" t="str">
        <f>IFERROR(VLOOKUP(D495,Clientes_PDV!$A$2:$J$250,3,FALSE),"")</f>
        <v/>
      </c>
      <c r="G495" s="22" t="str">
        <f>IFERROR(VLOOKUP(D495,Clientes_PDV!$A$2:$J$250,4,FALSE),"")</f>
        <v/>
      </c>
      <c r="H495" s="18"/>
      <c r="I495" s="22" t="str">
        <f>IFERROR(VLOOKUP(H495,Maestro_SKU!$A$2:$P$500,2,FALSE),"")</f>
        <v/>
      </c>
      <c r="J495" s="27"/>
      <c r="K495" s="19"/>
      <c r="L495" s="23" t="str">
        <f t="shared" si="56"/>
        <v/>
      </c>
      <c r="M495" s="23" t="str">
        <f>IF(L495="","",L495*Inicio!$B$13)</f>
        <v/>
      </c>
      <c r="N495" s="23" t="str">
        <f t="shared" si="57"/>
        <v/>
      </c>
      <c r="O495" s="26"/>
      <c r="P495" s="18"/>
      <c r="Q495" s="19"/>
      <c r="R495" s="23" t="str">
        <f t="shared" si="58"/>
        <v/>
      </c>
      <c r="S495" s="22" t="str">
        <f ca="1">IF(A495="","",IF(OR(P495="Pagada",R495=0),"Pagada",IF(O495&lt;TODAY(),"Vencida",IF(O495&lt;=TODAY()+Inicio!$B$19,"Próxima a vencer","Vigente"))))</f>
        <v/>
      </c>
      <c r="T495" s="18"/>
      <c r="U495" s="37" t="str">
        <f t="shared" si="59"/>
        <v/>
      </c>
      <c r="V495" s="37" t="str">
        <f t="shared" si="60"/>
        <v/>
      </c>
      <c r="W495" s="37" t="str">
        <f t="shared" si="61"/>
        <v/>
      </c>
      <c r="X495" s="37" t="str">
        <f t="shared" si="62"/>
        <v/>
      </c>
      <c r="Y495" s="37" t="str">
        <f>IF(OR($H495="",$J495=""),"",$J495*IFERROR(VLOOKUP($H495,Maestro_SKU!$A$2:$P$500,12,FALSE),1))</f>
        <v/>
      </c>
      <c r="Z495" s="37" t="str">
        <f t="shared" ca="1" si="63"/>
        <v/>
      </c>
    </row>
    <row r="496" spans="1:26" x14ac:dyDescent="0.35">
      <c r="A496" s="18"/>
      <c r="B496" s="26"/>
      <c r="C496" s="18"/>
      <c r="D496" s="18"/>
      <c r="E496" s="22" t="str">
        <f>IFERROR(VLOOKUP(D496,Clientes_PDV!$A$2:$J$250,2,FALSE),"")</f>
        <v/>
      </c>
      <c r="F496" s="22" t="str">
        <f>IFERROR(VLOOKUP(D496,Clientes_PDV!$A$2:$J$250,3,FALSE),"")</f>
        <v/>
      </c>
      <c r="G496" s="22" t="str">
        <f>IFERROR(VLOOKUP(D496,Clientes_PDV!$A$2:$J$250,4,FALSE),"")</f>
        <v/>
      </c>
      <c r="H496" s="18"/>
      <c r="I496" s="22" t="str">
        <f>IFERROR(VLOOKUP(H496,Maestro_SKU!$A$2:$P$500,2,FALSE),"")</f>
        <v/>
      </c>
      <c r="J496" s="27"/>
      <c r="K496" s="19"/>
      <c r="L496" s="23" t="str">
        <f t="shared" si="56"/>
        <v/>
      </c>
      <c r="M496" s="23" t="str">
        <f>IF(L496="","",L496*Inicio!$B$13)</f>
        <v/>
      </c>
      <c r="N496" s="23" t="str">
        <f t="shared" si="57"/>
        <v/>
      </c>
      <c r="O496" s="26"/>
      <c r="P496" s="18"/>
      <c r="Q496" s="19"/>
      <c r="R496" s="23" t="str">
        <f t="shared" si="58"/>
        <v/>
      </c>
      <c r="S496" s="22" t="str">
        <f ca="1">IF(A496="","",IF(OR(P496="Pagada",R496=0),"Pagada",IF(O496&lt;TODAY(),"Vencida",IF(O496&lt;=TODAY()+Inicio!$B$19,"Próxima a vencer","Vigente"))))</f>
        <v/>
      </c>
      <c r="T496" s="18"/>
      <c r="U496" s="37" t="str">
        <f t="shared" si="59"/>
        <v/>
      </c>
      <c r="V496" s="37" t="str">
        <f t="shared" si="60"/>
        <v/>
      </c>
      <c r="W496" s="37" t="str">
        <f t="shared" si="61"/>
        <v/>
      </c>
      <c r="X496" s="37" t="str">
        <f t="shared" si="62"/>
        <v/>
      </c>
      <c r="Y496" s="37" t="str">
        <f>IF(OR($H496="",$J496=""),"",$J496*IFERROR(VLOOKUP($H496,Maestro_SKU!$A$2:$P$500,12,FALSE),1))</f>
        <v/>
      </c>
      <c r="Z496" s="37" t="str">
        <f t="shared" ca="1" si="63"/>
        <v/>
      </c>
    </row>
    <row r="497" spans="1:26" x14ac:dyDescent="0.35">
      <c r="A497" s="18"/>
      <c r="B497" s="26"/>
      <c r="C497" s="18"/>
      <c r="D497" s="18"/>
      <c r="E497" s="22" t="str">
        <f>IFERROR(VLOOKUP(D497,Clientes_PDV!$A$2:$J$250,2,FALSE),"")</f>
        <v/>
      </c>
      <c r="F497" s="22" t="str">
        <f>IFERROR(VLOOKUP(D497,Clientes_PDV!$A$2:$J$250,3,FALSE),"")</f>
        <v/>
      </c>
      <c r="G497" s="22" t="str">
        <f>IFERROR(VLOOKUP(D497,Clientes_PDV!$A$2:$J$250,4,FALSE),"")</f>
        <v/>
      </c>
      <c r="H497" s="18"/>
      <c r="I497" s="22" t="str">
        <f>IFERROR(VLOOKUP(H497,Maestro_SKU!$A$2:$P$500,2,FALSE),"")</f>
        <v/>
      </c>
      <c r="J497" s="27"/>
      <c r="K497" s="19"/>
      <c r="L497" s="23" t="str">
        <f t="shared" si="56"/>
        <v/>
      </c>
      <c r="M497" s="23" t="str">
        <f>IF(L497="","",L497*Inicio!$B$13)</f>
        <v/>
      </c>
      <c r="N497" s="23" t="str">
        <f t="shared" si="57"/>
        <v/>
      </c>
      <c r="O497" s="26"/>
      <c r="P497" s="18"/>
      <c r="Q497" s="19"/>
      <c r="R497" s="23" t="str">
        <f t="shared" si="58"/>
        <v/>
      </c>
      <c r="S497" s="22" t="str">
        <f ca="1">IF(A497="","",IF(OR(P497="Pagada",R497=0),"Pagada",IF(O497&lt;TODAY(),"Vencida",IF(O497&lt;=TODAY()+Inicio!$B$19,"Próxima a vencer","Vigente"))))</f>
        <v/>
      </c>
      <c r="T497" s="18"/>
      <c r="U497" s="37" t="str">
        <f t="shared" si="59"/>
        <v/>
      </c>
      <c r="V497" s="37" t="str">
        <f t="shared" si="60"/>
        <v/>
      </c>
      <c r="W497" s="37" t="str">
        <f t="shared" si="61"/>
        <v/>
      </c>
      <c r="X497" s="37" t="str">
        <f t="shared" si="62"/>
        <v/>
      </c>
      <c r="Y497" s="37" t="str">
        <f>IF(OR($H497="",$J497=""),"",$J497*IFERROR(VLOOKUP($H497,Maestro_SKU!$A$2:$P$500,12,FALSE),1))</f>
        <v/>
      </c>
      <c r="Z497" s="37" t="str">
        <f t="shared" ca="1" si="63"/>
        <v/>
      </c>
    </row>
    <row r="498" spans="1:26" x14ac:dyDescent="0.35">
      <c r="A498" s="18"/>
      <c r="B498" s="26"/>
      <c r="C498" s="18"/>
      <c r="D498" s="18"/>
      <c r="E498" s="22" t="str">
        <f>IFERROR(VLOOKUP(D498,Clientes_PDV!$A$2:$J$250,2,FALSE),"")</f>
        <v/>
      </c>
      <c r="F498" s="22" t="str">
        <f>IFERROR(VLOOKUP(D498,Clientes_PDV!$A$2:$J$250,3,FALSE),"")</f>
        <v/>
      </c>
      <c r="G498" s="22" t="str">
        <f>IFERROR(VLOOKUP(D498,Clientes_PDV!$A$2:$J$250,4,FALSE),"")</f>
        <v/>
      </c>
      <c r="H498" s="18"/>
      <c r="I498" s="22" t="str">
        <f>IFERROR(VLOOKUP(H498,Maestro_SKU!$A$2:$P$500,2,FALSE),"")</f>
        <v/>
      </c>
      <c r="J498" s="27"/>
      <c r="K498" s="19"/>
      <c r="L498" s="23" t="str">
        <f t="shared" si="56"/>
        <v/>
      </c>
      <c r="M498" s="23" t="str">
        <f>IF(L498="","",L498*Inicio!$B$13)</f>
        <v/>
      </c>
      <c r="N498" s="23" t="str">
        <f t="shared" si="57"/>
        <v/>
      </c>
      <c r="O498" s="26"/>
      <c r="P498" s="18"/>
      <c r="Q498" s="19"/>
      <c r="R498" s="23" t="str">
        <f t="shared" si="58"/>
        <v/>
      </c>
      <c r="S498" s="22" t="str">
        <f ca="1">IF(A498="","",IF(OR(P498="Pagada",R498=0),"Pagada",IF(O498&lt;TODAY(),"Vencida",IF(O498&lt;=TODAY()+Inicio!$B$19,"Próxima a vencer","Vigente"))))</f>
        <v/>
      </c>
      <c r="T498" s="18"/>
      <c r="U498" s="37" t="str">
        <f t="shared" si="59"/>
        <v/>
      </c>
      <c r="V498" s="37" t="str">
        <f t="shared" si="60"/>
        <v/>
      </c>
      <c r="W498" s="37" t="str">
        <f t="shared" si="61"/>
        <v/>
      </c>
      <c r="X498" s="37" t="str">
        <f t="shared" si="62"/>
        <v/>
      </c>
      <c r="Y498" s="37" t="str">
        <f>IF(OR($H498="",$J498=""),"",$J498*IFERROR(VLOOKUP($H498,Maestro_SKU!$A$2:$P$500,12,FALSE),1))</f>
        <v/>
      </c>
      <c r="Z498" s="37" t="str">
        <f t="shared" ca="1" si="63"/>
        <v/>
      </c>
    </row>
    <row r="499" spans="1:26" x14ac:dyDescent="0.35">
      <c r="A499" s="18"/>
      <c r="B499" s="26"/>
      <c r="C499" s="18"/>
      <c r="D499" s="18"/>
      <c r="E499" s="22" t="str">
        <f>IFERROR(VLOOKUP(D499,Clientes_PDV!$A$2:$J$250,2,FALSE),"")</f>
        <v/>
      </c>
      <c r="F499" s="22" t="str">
        <f>IFERROR(VLOOKUP(D499,Clientes_PDV!$A$2:$J$250,3,FALSE),"")</f>
        <v/>
      </c>
      <c r="G499" s="22" t="str">
        <f>IFERROR(VLOOKUP(D499,Clientes_PDV!$A$2:$J$250,4,FALSE),"")</f>
        <v/>
      </c>
      <c r="H499" s="18"/>
      <c r="I499" s="22" t="str">
        <f>IFERROR(VLOOKUP(H499,Maestro_SKU!$A$2:$P$500,2,FALSE),"")</f>
        <v/>
      </c>
      <c r="J499" s="27"/>
      <c r="K499" s="19"/>
      <c r="L499" s="23" t="str">
        <f t="shared" si="56"/>
        <v/>
      </c>
      <c r="M499" s="23" t="str">
        <f>IF(L499="","",L499*Inicio!$B$13)</f>
        <v/>
      </c>
      <c r="N499" s="23" t="str">
        <f t="shared" si="57"/>
        <v/>
      </c>
      <c r="O499" s="26"/>
      <c r="P499" s="18"/>
      <c r="Q499" s="19"/>
      <c r="R499" s="23" t="str">
        <f t="shared" si="58"/>
        <v/>
      </c>
      <c r="S499" s="22" t="str">
        <f ca="1">IF(A499="","",IF(OR(P499="Pagada",R499=0),"Pagada",IF(O499&lt;TODAY(),"Vencida",IF(O499&lt;=TODAY()+Inicio!$B$19,"Próxima a vencer","Vigente"))))</f>
        <v/>
      </c>
      <c r="T499" s="18"/>
      <c r="U499" s="37" t="str">
        <f t="shared" si="59"/>
        <v/>
      </c>
      <c r="V499" s="37" t="str">
        <f t="shared" si="60"/>
        <v/>
      </c>
      <c r="W499" s="37" t="str">
        <f t="shared" si="61"/>
        <v/>
      </c>
      <c r="X499" s="37" t="str">
        <f t="shared" si="62"/>
        <v/>
      </c>
      <c r="Y499" s="37" t="str">
        <f>IF(OR($H499="",$J499=""),"",$J499*IFERROR(VLOOKUP($H499,Maestro_SKU!$A$2:$P$500,12,FALSE),1))</f>
        <v/>
      </c>
      <c r="Z499" s="37" t="str">
        <f t="shared" ca="1" si="63"/>
        <v/>
      </c>
    </row>
    <row r="500" spans="1:26" x14ac:dyDescent="0.35">
      <c r="A500" s="18"/>
      <c r="B500" s="26"/>
      <c r="C500" s="18"/>
      <c r="D500" s="18"/>
      <c r="E500" s="22" t="str">
        <f>IFERROR(VLOOKUP(D500,Clientes_PDV!$A$2:$J$250,2,FALSE),"")</f>
        <v/>
      </c>
      <c r="F500" s="22" t="str">
        <f>IFERROR(VLOOKUP(D500,Clientes_PDV!$A$2:$J$250,3,FALSE),"")</f>
        <v/>
      </c>
      <c r="G500" s="22" t="str">
        <f>IFERROR(VLOOKUP(D500,Clientes_PDV!$A$2:$J$250,4,FALSE),"")</f>
        <v/>
      </c>
      <c r="H500" s="18"/>
      <c r="I500" s="22" t="str">
        <f>IFERROR(VLOOKUP(H500,Maestro_SKU!$A$2:$P$500,2,FALSE),"")</f>
        <v/>
      </c>
      <c r="J500" s="27"/>
      <c r="K500" s="19"/>
      <c r="L500" s="23" t="str">
        <f t="shared" si="56"/>
        <v/>
      </c>
      <c r="M500" s="23" t="str">
        <f>IF(L500="","",L500*Inicio!$B$13)</f>
        <v/>
      </c>
      <c r="N500" s="23" t="str">
        <f t="shared" si="57"/>
        <v/>
      </c>
      <c r="O500" s="26"/>
      <c r="P500" s="18"/>
      <c r="Q500" s="19"/>
      <c r="R500" s="23" t="str">
        <f t="shared" si="58"/>
        <v/>
      </c>
      <c r="S500" s="22" t="str">
        <f ca="1">IF(A500="","",IF(OR(P500="Pagada",R500=0),"Pagada",IF(O500&lt;TODAY(),"Vencida",IF(O500&lt;=TODAY()+Inicio!$B$19,"Próxima a vencer","Vigente"))))</f>
        <v/>
      </c>
      <c r="T500" s="18"/>
      <c r="U500" s="37" t="str">
        <f t="shared" si="59"/>
        <v/>
      </c>
      <c r="V500" s="37" t="str">
        <f t="shared" si="60"/>
        <v/>
      </c>
      <c r="W500" s="37" t="str">
        <f t="shared" si="61"/>
        <v/>
      </c>
      <c r="X500" s="37" t="str">
        <f t="shared" si="62"/>
        <v/>
      </c>
      <c r="Y500" s="37" t="str">
        <f>IF(OR($H500="",$J500=""),"",$J500*IFERROR(VLOOKUP($H500,Maestro_SKU!$A$2:$P$500,12,FALSE),1))</f>
        <v/>
      </c>
      <c r="Z500" s="37" t="str">
        <f t="shared" ca="1" si="63"/>
        <v/>
      </c>
    </row>
    <row r="501" spans="1:26" x14ac:dyDescent="0.35">
      <c r="A501" s="18"/>
      <c r="B501" s="26"/>
      <c r="C501" s="18"/>
      <c r="D501" s="18"/>
      <c r="E501" s="22" t="str">
        <f>IFERROR(VLOOKUP(D501,Clientes_PDV!$A$2:$J$250,2,FALSE),"")</f>
        <v/>
      </c>
      <c r="F501" s="22" t="str">
        <f>IFERROR(VLOOKUP(D501,Clientes_PDV!$A$2:$J$250,3,FALSE),"")</f>
        <v/>
      </c>
      <c r="G501" s="22" t="str">
        <f>IFERROR(VLOOKUP(D501,Clientes_PDV!$A$2:$J$250,4,FALSE),"")</f>
        <v/>
      </c>
      <c r="H501" s="18"/>
      <c r="I501" s="22" t="str">
        <f>IFERROR(VLOOKUP(H501,Maestro_SKU!$A$2:$P$500,2,FALSE),"")</f>
        <v/>
      </c>
      <c r="J501" s="27"/>
      <c r="K501" s="19"/>
      <c r="L501" s="23" t="str">
        <f t="shared" si="56"/>
        <v/>
      </c>
      <c r="M501" s="23" t="str">
        <f>IF(L501="","",L501*Inicio!$B$13)</f>
        <v/>
      </c>
      <c r="N501" s="23" t="str">
        <f t="shared" si="57"/>
        <v/>
      </c>
      <c r="O501" s="26"/>
      <c r="P501" s="18"/>
      <c r="Q501" s="19"/>
      <c r="R501" s="23" t="str">
        <f t="shared" si="58"/>
        <v/>
      </c>
      <c r="S501" s="22" t="str">
        <f ca="1">IF(A501="","",IF(OR(P501="Pagada",R501=0),"Pagada",IF(O501&lt;TODAY(),"Vencida",IF(O501&lt;=TODAY()+Inicio!$B$19,"Próxima a vencer","Vigente"))))</f>
        <v/>
      </c>
      <c r="T501" s="18"/>
      <c r="U501" s="37" t="str">
        <f t="shared" si="59"/>
        <v/>
      </c>
      <c r="V501" s="37" t="str">
        <f t="shared" si="60"/>
        <v/>
      </c>
      <c r="W501" s="37" t="str">
        <f t="shared" si="61"/>
        <v/>
      </c>
      <c r="X501" s="37" t="str">
        <f t="shared" si="62"/>
        <v/>
      </c>
      <c r="Y501" s="37" t="str">
        <f>IF(OR($H501="",$J501=""),"",$J501*IFERROR(VLOOKUP($H501,Maestro_SKU!$A$2:$P$500,12,FALSE),1))</f>
        <v/>
      </c>
      <c r="Z501" s="37" t="str">
        <f t="shared" ca="1" si="63"/>
        <v/>
      </c>
    </row>
    <row r="502" spans="1:26" x14ac:dyDescent="0.35">
      <c r="A502" s="18"/>
      <c r="B502" s="26"/>
      <c r="C502" s="18"/>
      <c r="D502" s="18"/>
      <c r="E502" s="22" t="str">
        <f>IFERROR(VLOOKUP(D502,Clientes_PDV!$A$2:$J$250,2,FALSE),"")</f>
        <v/>
      </c>
      <c r="F502" s="22" t="str">
        <f>IFERROR(VLOOKUP(D502,Clientes_PDV!$A$2:$J$250,3,FALSE),"")</f>
        <v/>
      </c>
      <c r="G502" s="22" t="str">
        <f>IFERROR(VLOOKUP(D502,Clientes_PDV!$A$2:$J$250,4,FALSE),"")</f>
        <v/>
      </c>
      <c r="H502" s="18"/>
      <c r="I502" s="22" t="str">
        <f>IFERROR(VLOOKUP(H502,Maestro_SKU!$A$2:$P$500,2,FALSE),"")</f>
        <v/>
      </c>
      <c r="J502" s="27"/>
      <c r="K502" s="19"/>
      <c r="L502" s="23" t="str">
        <f t="shared" si="56"/>
        <v/>
      </c>
      <c r="M502" s="23" t="str">
        <f>IF(L502="","",L502*Inicio!$B$13)</f>
        <v/>
      </c>
      <c r="N502" s="23" t="str">
        <f t="shared" si="57"/>
        <v/>
      </c>
      <c r="O502" s="26"/>
      <c r="P502" s="18"/>
      <c r="Q502" s="19"/>
      <c r="R502" s="23" t="str">
        <f t="shared" si="58"/>
        <v/>
      </c>
      <c r="S502" s="22" t="str">
        <f ca="1">IF(A502="","",IF(OR(P502="Pagada",R502=0),"Pagada",IF(O502&lt;TODAY(),"Vencida",IF(O502&lt;=TODAY()+Inicio!$B$19,"Próxima a vencer","Vigente"))))</f>
        <v/>
      </c>
      <c r="T502" s="18"/>
      <c r="U502" s="37" t="str">
        <f t="shared" si="59"/>
        <v/>
      </c>
      <c r="V502" s="37" t="str">
        <f t="shared" si="60"/>
        <v/>
      </c>
      <c r="W502" s="37" t="str">
        <f t="shared" si="61"/>
        <v/>
      </c>
      <c r="X502" s="37" t="str">
        <f t="shared" si="62"/>
        <v/>
      </c>
      <c r="Y502" s="37" t="str">
        <f>IF(OR($H502="",$J502=""),"",$J502*IFERROR(VLOOKUP($H502,Maestro_SKU!$A$2:$P$500,12,FALSE),1))</f>
        <v/>
      </c>
      <c r="Z502" s="37" t="str">
        <f t="shared" ca="1" si="63"/>
        <v/>
      </c>
    </row>
    <row r="503" spans="1:26" x14ac:dyDescent="0.35">
      <c r="A503" s="18"/>
      <c r="B503" s="26"/>
      <c r="C503" s="18"/>
      <c r="D503" s="18"/>
      <c r="E503" s="22" t="str">
        <f>IFERROR(VLOOKUP(D503,Clientes_PDV!$A$2:$J$250,2,FALSE),"")</f>
        <v/>
      </c>
      <c r="F503" s="22" t="str">
        <f>IFERROR(VLOOKUP(D503,Clientes_PDV!$A$2:$J$250,3,FALSE),"")</f>
        <v/>
      </c>
      <c r="G503" s="22" t="str">
        <f>IFERROR(VLOOKUP(D503,Clientes_PDV!$A$2:$J$250,4,FALSE),"")</f>
        <v/>
      </c>
      <c r="H503" s="18"/>
      <c r="I503" s="22" t="str">
        <f>IFERROR(VLOOKUP(H503,Maestro_SKU!$A$2:$P$500,2,FALSE),"")</f>
        <v/>
      </c>
      <c r="J503" s="27"/>
      <c r="K503" s="19"/>
      <c r="L503" s="23" t="str">
        <f t="shared" si="56"/>
        <v/>
      </c>
      <c r="M503" s="23" t="str">
        <f>IF(L503="","",L503*Inicio!$B$13)</f>
        <v/>
      </c>
      <c r="N503" s="23" t="str">
        <f t="shared" si="57"/>
        <v/>
      </c>
      <c r="O503" s="26"/>
      <c r="P503" s="18"/>
      <c r="Q503" s="19"/>
      <c r="R503" s="23" t="str">
        <f t="shared" si="58"/>
        <v/>
      </c>
      <c r="S503" s="22" t="str">
        <f ca="1">IF(A503="","",IF(OR(P503="Pagada",R503=0),"Pagada",IF(O503&lt;TODAY(),"Vencida",IF(O503&lt;=TODAY()+Inicio!$B$19,"Próxima a vencer","Vigente"))))</f>
        <v/>
      </c>
      <c r="T503" s="18"/>
      <c r="U503" s="37" t="str">
        <f t="shared" si="59"/>
        <v/>
      </c>
      <c r="V503" s="37" t="str">
        <f t="shared" si="60"/>
        <v/>
      </c>
      <c r="W503" s="37" t="str">
        <f t="shared" si="61"/>
        <v/>
      </c>
      <c r="X503" s="37" t="str">
        <f t="shared" si="62"/>
        <v/>
      </c>
      <c r="Y503" s="37" t="str">
        <f>IF(OR($H503="",$J503=""),"",$J503*IFERROR(VLOOKUP($H503,Maestro_SKU!$A$2:$P$500,12,FALSE),1))</f>
        <v/>
      </c>
      <c r="Z503" s="37" t="str">
        <f t="shared" ca="1" si="63"/>
        <v/>
      </c>
    </row>
    <row r="504" spans="1:26" x14ac:dyDescent="0.35">
      <c r="A504" s="18"/>
      <c r="B504" s="26"/>
      <c r="C504" s="18"/>
      <c r="D504" s="18"/>
      <c r="E504" s="22" t="str">
        <f>IFERROR(VLOOKUP(D504,Clientes_PDV!$A$2:$J$250,2,FALSE),"")</f>
        <v/>
      </c>
      <c r="F504" s="22" t="str">
        <f>IFERROR(VLOOKUP(D504,Clientes_PDV!$A$2:$J$250,3,FALSE),"")</f>
        <v/>
      </c>
      <c r="G504" s="22" t="str">
        <f>IFERROR(VLOOKUP(D504,Clientes_PDV!$A$2:$J$250,4,FALSE),"")</f>
        <v/>
      </c>
      <c r="H504" s="18"/>
      <c r="I504" s="22" t="str">
        <f>IFERROR(VLOOKUP(H504,Maestro_SKU!$A$2:$P$500,2,FALSE),"")</f>
        <v/>
      </c>
      <c r="J504" s="27"/>
      <c r="K504" s="19"/>
      <c r="L504" s="23" t="str">
        <f t="shared" si="56"/>
        <v/>
      </c>
      <c r="M504" s="23" t="str">
        <f>IF(L504="","",L504*Inicio!$B$13)</f>
        <v/>
      </c>
      <c r="N504" s="23" t="str">
        <f t="shared" si="57"/>
        <v/>
      </c>
      <c r="O504" s="26"/>
      <c r="P504" s="18"/>
      <c r="Q504" s="19"/>
      <c r="R504" s="23" t="str">
        <f t="shared" si="58"/>
        <v/>
      </c>
      <c r="S504" s="22" t="str">
        <f ca="1">IF(A504="","",IF(OR(P504="Pagada",R504=0),"Pagada",IF(O504&lt;TODAY(),"Vencida",IF(O504&lt;=TODAY()+Inicio!$B$19,"Próxima a vencer","Vigente"))))</f>
        <v/>
      </c>
      <c r="T504" s="18"/>
      <c r="U504" s="37" t="str">
        <f t="shared" si="59"/>
        <v/>
      </c>
      <c r="V504" s="37" t="str">
        <f t="shared" si="60"/>
        <v/>
      </c>
      <c r="W504" s="37" t="str">
        <f t="shared" si="61"/>
        <v/>
      </c>
      <c r="X504" s="37" t="str">
        <f t="shared" si="62"/>
        <v/>
      </c>
      <c r="Y504" s="37" t="str">
        <f>IF(OR($H504="",$J504=""),"",$J504*IFERROR(VLOOKUP($H504,Maestro_SKU!$A$2:$P$500,12,FALSE),1))</f>
        <v/>
      </c>
      <c r="Z504" s="37" t="str">
        <f t="shared" ca="1" si="63"/>
        <v/>
      </c>
    </row>
    <row r="505" spans="1:26" x14ac:dyDescent="0.35">
      <c r="A505" s="18"/>
      <c r="B505" s="26"/>
      <c r="C505" s="18"/>
      <c r="D505" s="18"/>
      <c r="E505" s="22" t="str">
        <f>IFERROR(VLOOKUP(D505,Clientes_PDV!$A$2:$J$250,2,FALSE),"")</f>
        <v/>
      </c>
      <c r="F505" s="22" t="str">
        <f>IFERROR(VLOOKUP(D505,Clientes_PDV!$A$2:$J$250,3,FALSE),"")</f>
        <v/>
      </c>
      <c r="G505" s="22" t="str">
        <f>IFERROR(VLOOKUP(D505,Clientes_PDV!$A$2:$J$250,4,FALSE),"")</f>
        <v/>
      </c>
      <c r="H505" s="18"/>
      <c r="I505" s="22" t="str">
        <f>IFERROR(VLOOKUP(H505,Maestro_SKU!$A$2:$P$500,2,FALSE),"")</f>
        <v/>
      </c>
      <c r="J505" s="27"/>
      <c r="K505" s="19"/>
      <c r="L505" s="23" t="str">
        <f t="shared" si="56"/>
        <v/>
      </c>
      <c r="M505" s="23" t="str">
        <f>IF(L505="","",L505*Inicio!$B$13)</f>
        <v/>
      </c>
      <c r="N505" s="23" t="str">
        <f t="shared" si="57"/>
        <v/>
      </c>
      <c r="O505" s="26"/>
      <c r="P505" s="18"/>
      <c r="Q505" s="19"/>
      <c r="R505" s="23" t="str">
        <f t="shared" si="58"/>
        <v/>
      </c>
      <c r="S505" s="22" t="str">
        <f ca="1">IF(A505="","",IF(OR(P505="Pagada",R505=0),"Pagada",IF(O505&lt;TODAY(),"Vencida",IF(O505&lt;=TODAY()+Inicio!$B$19,"Próxima a vencer","Vigente"))))</f>
        <v/>
      </c>
      <c r="T505" s="18"/>
      <c r="U505" s="37" t="str">
        <f t="shared" si="59"/>
        <v/>
      </c>
      <c r="V505" s="37" t="str">
        <f t="shared" si="60"/>
        <v/>
      </c>
      <c r="W505" s="37" t="str">
        <f t="shared" si="61"/>
        <v/>
      </c>
      <c r="X505" s="37" t="str">
        <f t="shared" si="62"/>
        <v/>
      </c>
      <c r="Y505" s="37" t="str">
        <f>IF(OR($H505="",$J505=""),"",$J505*IFERROR(VLOOKUP($H505,Maestro_SKU!$A$2:$P$500,12,FALSE),1))</f>
        <v/>
      </c>
      <c r="Z505" s="37" t="str">
        <f t="shared" ca="1" si="63"/>
        <v/>
      </c>
    </row>
    <row r="506" spans="1:26" x14ac:dyDescent="0.35">
      <c r="A506" s="18"/>
      <c r="B506" s="26"/>
      <c r="C506" s="18"/>
      <c r="D506" s="18"/>
      <c r="E506" s="22" t="str">
        <f>IFERROR(VLOOKUP(D506,Clientes_PDV!$A$2:$J$250,2,FALSE),"")</f>
        <v/>
      </c>
      <c r="F506" s="22" t="str">
        <f>IFERROR(VLOOKUP(D506,Clientes_PDV!$A$2:$J$250,3,FALSE),"")</f>
        <v/>
      </c>
      <c r="G506" s="22" t="str">
        <f>IFERROR(VLOOKUP(D506,Clientes_PDV!$A$2:$J$250,4,FALSE),"")</f>
        <v/>
      </c>
      <c r="H506" s="18"/>
      <c r="I506" s="22" t="str">
        <f>IFERROR(VLOOKUP(H506,Maestro_SKU!$A$2:$P$500,2,FALSE),"")</f>
        <v/>
      </c>
      <c r="J506" s="27"/>
      <c r="K506" s="19"/>
      <c r="L506" s="23" t="str">
        <f t="shared" si="56"/>
        <v/>
      </c>
      <c r="M506" s="23" t="str">
        <f>IF(L506="","",L506*Inicio!$B$13)</f>
        <v/>
      </c>
      <c r="N506" s="23" t="str">
        <f t="shared" si="57"/>
        <v/>
      </c>
      <c r="O506" s="26"/>
      <c r="P506" s="18"/>
      <c r="Q506" s="19"/>
      <c r="R506" s="23" t="str">
        <f t="shared" si="58"/>
        <v/>
      </c>
      <c r="S506" s="22" t="str">
        <f ca="1">IF(A506="","",IF(OR(P506="Pagada",R506=0),"Pagada",IF(O506&lt;TODAY(),"Vencida",IF(O506&lt;=TODAY()+Inicio!$B$19,"Próxima a vencer","Vigente"))))</f>
        <v/>
      </c>
      <c r="T506" s="18"/>
      <c r="U506" s="37" t="str">
        <f t="shared" si="59"/>
        <v/>
      </c>
      <c r="V506" s="37" t="str">
        <f t="shared" si="60"/>
        <v/>
      </c>
      <c r="W506" s="37" t="str">
        <f t="shared" si="61"/>
        <v/>
      </c>
      <c r="X506" s="37" t="str">
        <f t="shared" si="62"/>
        <v/>
      </c>
      <c r="Y506" s="37" t="str">
        <f>IF(OR($H506="",$J506=""),"",$J506*IFERROR(VLOOKUP($H506,Maestro_SKU!$A$2:$P$500,12,FALSE),1))</f>
        <v/>
      </c>
      <c r="Z506" s="37" t="str">
        <f t="shared" ca="1" si="63"/>
        <v/>
      </c>
    </row>
    <row r="507" spans="1:26" x14ac:dyDescent="0.35">
      <c r="A507" s="18"/>
      <c r="B507" s="26"/>
      <c r="C507" s="18"/>
      <c r="D507" s="18"/>
      <c r="E507" s="22" t="str">
        <f>IFERROR(VLOOKUP(D507,Clientes_PDV!$A$2:$J$250,2,FALSE),"")</f>
        <v/>
      </c>
      <c r="F507" s="22" t="str">
        <f>IFERROR(VLOOKUP(D507,Clientes_PDV!$A$2:$J$250,3,FALSE),"")</f>
        <v/>
      </c>
      <c r="G507" s="22" t="str">
        <f>IFERROR(VLOOKUP(D507,Clientes_PDV!$A$2:$J$250,4,FALSE),"")</f>
        <v/>
      </c>
      <c r="H507" s="18"/>
      <c r="I507" s="22" t="str">
        <f>IFERROR(VLOOKUP(H507,Maestro_SKU!$A$2:$P$500,2,FALSE),"")</f>
        <v/>
      </c>
      <c r="J507" s="27"/>
      <c r="K507" s="19"/>
      <c r="L507" s="23" t="str">
        <f t="shared" si="56"/>
        <v/>
      </c>
      <c r="M507" s="23" t="str">
        <f>IF(L507="","",L507*Inicio!$B$13)</f>
        <v/>
      </c>
      <c r="N507" s="23" t="str">
        <f t="shared" si="57"/>
        <v/>
      </c>
      <c r="O507" s="26"/>
      <c r="P507" s="18"/>
      <c r="Q507" s="19"/>
      <c r="R507" s="23" t="str">
        <f t="shared" si="58"/>
        <v/>
      </c>
      <c r="S507" s="22" t="str">
        <f ca="1">IF(A507="","",IF(OR(P507="Pagada",R507=0),"Pagada",IF(O507&lt;TODAY(),"Vencida",IF(O507&lt;=TODAY()+Inicio!$B$19,"Próxima a vencer","Vigente"))))</f>
        <v/>
      </c>
      <c r="T507" s="18"/>
      <c r="U507" s="37" t="str">
        <f t="shared" si="59"/>
        <v/>
      </c>
      <c r="V507" s="37" t="str">
        <f t="shared" si="60"/>
        <v/>
      </c>
      <c r="W507" s="37" t="str">
        <f t="shared" si="61"/>
        <v/>
      </c>
      <c r="X507" s="37" t="str">
        <f t="shared" si="62"/>
        <v/>
      </c>
      <c r="Y507" s="37" t="str">
        <f>IF(OR($H507="",$J507=""),"",$J507*IFERROR(VLOOKUP($H507,Maestro_SKU!$A$2:$P$500,12,FALSE),1))</f>
        <v/>
      </c>
      <c r="Z507" s="37" t="str">
        <f t="shared" ca="1" si="63"/>
        <v/>
      </c>
    </row>
    <row r="508" spans="1:26" x14ac:dyDescent="0.35">
      <c r="A508" s="18"/>
      <c r="B508" s="26"/>
      <c r="C508" s="18"/>
      <c r="D508" s="18"/>
      <c r="E508" s="22" t="str">
        <f>IFERROR(VLOOKUP(D508,Clientes_PDV!$A$2:$J$250,2,FALSE),"")</f>
        <v/>
      </c>
      <c r="F508" s="22" t="str">
        <f>IFERROR(VLOOKUP(D508,Clientes_PDV!$A$2:$J$250,3,FALSE),"")</f>
        <v/>
      </c>
      <c r="G508" s="22" t="str">
        <f>IFERROR(VLOOKUP(D508,Clientes_PDV!$A$2:$J$250,4,FALSE),"")</f>
        <v/>
      </c>
      <c r="H508" s="18"/>
      <c r="I508" s="22" t="str">
        <f>IFERROR(VLOOKUP(H508,Maestro_SKU!$A$2:$P$500,2,FALSE),"")</f>
        <v/>
      </c>
      <c r="J508" s="27"/>
      <c r="K508" s="19"/>
      <c r="L508" s="23" t="str">
        <f t="shared" si="56"/>
        <v/>
      </c>
      <c r="M508" s="23" t="str">
        <f>IF(L508="","",L508*Inicio!$B$13)</f>
        <v/>
      </c>
      <c r="N508" s="23" t="str">
        <f t="shared" si="57"/>
        <v/>
      </c>
      <c r="O508" s="26"/>
      <c r="P508" s="18"/>
      <c r="Q508" s="19"/>
      <c r="R508" s="23" t="str">
        <f t="shared" si="58"/>
        <v/>
      </c>
      <c r="S508" s="22" t="str">
        <f ca="1">IF(A508="","",IF(OR(P508="Pagada",R508=0),"Pagada",IF(O508&lt;TODAY(),"Vencida",IF(O508&lt;=TODAY()+Inicio!$B$19,"Próxima a vencer","Vigente"))))</f>
        <v/>
      </c>
      <c r="T508" s="18"/>
      <c r="U508" s="37" t="str">
        <f t="shared" si="59"/>
        <v/>
      </c>
      <c r="V508" s="37" t="str">
        <f t="shared" si="60"/>
        <v/>
      </c>
      <c r="W508" s="37" t="str">
        <f t="shared" si="61"/>
        <v/>
      </c>
      <c r="X508" s="37" t="str">
        <f t="shared" si="62"/>
        <v/>
      </c>
      <c r="Y508" s="37" t="str">
        <f>IF(OR($H508="",$J508=""),"",$J508*IFERROR(VLOOKUP($H508,Maestro_SKU!$A$2:$P$500,12,FALSE),1))</f>
        <v/>
      </c>
      <c r="Z508" s="37" t="str">
        <f t="shared" ca="1" si="63"/>
        <v/>
      </c>
    </row>
    <row r="509" spans="1:26" x14ac:dyDescent="0.35">
      <c r="A509" s="18"/>
      <c r="B509" s="26"/>
      <c r="C509" s="18"/>
      <c r="D509" s="18"/>
      <c r="E509" s="22" t="str">
        <f>IFERROR(VLOOKUP(D509,Clientes_PDV!$A$2:$J$250,2,FALSE),"")</f>
        <v/>
      </c>
      <c r="F509" s="22" t="str">
        <f>IFERROR(VLOOKUP(D509,Clientes_PDV!$A$2:$J$250,3,FALSE),"")</f>
        <v/>
      </c>
      <c r="G509" s="22" t="str">
        <f>IFERROR(VLOOKUP(D509,Clientes_PDV!$A$2:$J$250,4,FALSE),"")</f>
        <v/>
      </c>
      <c r="H509" s="18"/>
      <c r="I509" s="22" t="str">
        <f>IFERROR(VLOOKUP(H509,Maestro_SKU!$A$2:$P$500,2,FALSE),"")</f>
        <v/>
      </c>
      <c r="J509" s="27"/>
      <c r="K509" s="19"/>
      <c r="L509" s="23" t="str">
        <f t="shared" si="56"/>
        <v/>
      </c>
      <c r="M509" s="23" t="str">
        <f>IF(L509="","",L509*Inicio!$B$13)</f>
        <v/>
      </c>
      <c r="N509" s="23" t="str">
        <f t="shared" si="57"/>
        <v/>
      </c>
      <c r="O509" s="26"/>
      <c r="P509" s="18"/>
      <c r="Q509" s="19"/>
      <c r="R509" s="23" t="str">
        <f t="shared" si="58"/>
        <v/>
      </c>
      <c r="S509" s="22" t="str">
        <f ca="1">IF(A509="","",IF(OR(P509="Pagada",R509=0),"Pagada",IF(O509&lt;TODAY(),"Vencida",IF(O509&lt;=TODAY()+Inicio!$B$19,"Próxima a vencer","Vigente"))))</f>
        <v/>
      </c>
      <c r="T509" s="18"/>
      <c r="U509" s="37" t="str">
        <f t="shared" si="59"/>
        <v/>
      </c>
      <c r="V509" s="37" t="str">
        <f t="shared" si="60"/>
        <v/>
      </c>
      <c r="W509" s="37" t="str">
        <f t="shared" si="61"/>
        <v/>
      </c>
      <c r="X509" s="37" t="str">
        <f t="shared" si="62"/>
        <v/>
      </c>
      <c r="Y509" s="37" t="str">
        <f>IF(OR($H509="",$J509=""),"",$J509*IFERROR(VLOOKUP($H509,Maestro_SKU!$A$2:$P$500,12,FALSE),1))</f>
        <v/>
      </c>
      <c r="Z509" s="37" t="str">
        <f t="shared" ca="1" si="63"/>
        <v/>
      </c>
    </row>
    <row r="510" spans="1:26" x14ac:dyDescent="0.35">
      <c r="A510" s="18"/>
      <c r="B510" s="26"/>
      <c r="C510" s="18"/>
      <c r="D510" s="18"/>
      <c r="E510" s="22" t="str">
        <f>IFERROR(VLOOKUP(D510,Clientes_PDV!$A$2:$J$250,2,FALSE),"")</f>
        <v/>
      </c>
      <c r="F510" s="22" t="str">
        <f>IFERROR(VLOOKUP(D510,Clientes_PDV!$A$2:$J$250,3,FALSE),"")</f>
        <v/>
      </c>
      <c r="G510" s="22" t="str">
        <f>IFERROR(VLOOKUP(D510,Clientes_PDV!$A$2:$J$250,4,FALSE),"")</f>
        <v/>
      </c>
      <c r="H510" s="18"/>
      <c r="I510" s="22" t="str">
        <f>IFERROR(VLOOKUP(H510,Maestro_SKU!$A$2:$P$500,2,FALSE),"")</f>
        <v/>
      </c>
      <c r="J510" s="27"/>
      <c r="K510" s="19"/>
      <c r="L510" s="23" t="str">
        <f t="shared" si="56"/>
        <v/>
      </c>
      <c r="M510" s="23" t="str">
        <f>IF(L510="","",L510*Inicio!$B$13)</f>
        <v/>
      </c>
      <c r="N510" s="23" t="str">
        <f t="shared" si="57"/>
        <v/>
      </c>
      <c r="O510" s="26"/>
      <c r="P510" s="18"/>
      <c r="Q510" s="19"/>
      <c r="R510" s="23" t="str">
        <f t="shared" si="58"/>
        <v/>
      </c>
      <c r="S510" s="22" t="str">
        <f ca="1">IF(A510="","",IF(OR(P510="Pagada",R510=0),"Pagada",IF(O510&lt;TODAY(),"Vencida",IF(O510&lt;=TODAY()+Inicio!$B$19,"Próxima a vencer","Vigente"))))</f>
        <v/>
      </c>
      <c r="T510" s="18"/>
      <c r="U510" s="37" t="str">
        <f t="shared" si="59"/>
        <v/>
      </c>
      <c r="V510" s="37" t="str">
        <f t="shared" si="60"/>
        <v/>
      </c>
      <c r="W510" s="37" t="str">
        <f t="shared" si="61"/>
        <v/>
      </c>
      <c r="X510" s="37" t="str">
        <f t="shared" si="62"/>
        <v/>
      </c>
      <c r="Y510" s="37" t="str">
        <f>IF(OR($H510="",$J510=""),"",$J510*IFERROR(VLOOKUP($H510,Maestro_SKU!$A$2:$P$500,12,FALSE),1))</f>
        <v/>
      </c>
      <c r="Z510" s="37" t="str">
        <f t="shared" ca="1" si="63"/>
        <v/>
      </c>
    </row>
    <row r="511" spans="1:26" x14ac:dyDescent="0.35">
      <c r="A511" s="18"/>
      <c r="B511" s="26"/>
      <c r="C511" s="18"/>
      <c r="D511" s="18"/>
      <c r="E511" s="22" t="str">
        <f>IFERROR(VLOOKUP(D511,Clientes_PDV!$A$2:$J$250,2,FALSE),"")</f>
        <v/>
      </c>
      <c r="F511" s="22" t="str">
        <f>IFERROR(VLOOKUP(D511,Clientes_PDV!$A$2:$J$250,3,FALSE),"")</f>
        <v/>
      </c>
      <c r="G511" s="22" t="str">
        <f>IFERROR(VLOOKUP(D511,Clientes_PDV!$A$2:$J$250,4,FALSE),"")</f>
        <v/>
      </c>
      <c r="H511" s="18"/>
      <c r="I511" s="22" t="str">
        <f>IFERROR(VLOOKUP(H511,Maestro_SKU!$A$2:$P$500,2,FALSE),"")</f>
        <v/>
      </c>
      <c r="J511" s="27"/>
      <c r="K511" s="19"/>
      <c r="L511" s="23" t="str">
        <f t="shared" si="56"/>
        <v/>
      </c>
      <c r="M511" s="23" t="str">
        <f>IF(L511="","",L511*Inicio!$B$13)</f>
        <v/>
      </c>
      <c r="N511" s="23" t="str">
        <f t="shared" si="57"/>
        <v/>
      </c>
      <c r="O511" s="26"/>
      <c r="P511" s="18"/>
      <c r="Q511" s="19"/>
      <c r="R511" s="23" t="str">
        <f t="shared" si="58"/>
        <v/>
      </c>
      <c r="S511" s="22" t="str">
        <f ca="1">IF(A511="","",IF(OR(P511="Pagada",R511=0),"Pagada",IF(O511&lt;TODAY(),"Vencida",IF(O511&lt;=TODAY()+Inicio!$B$19,"Próxima a vencer","Vigente"))))</f>
        <v/>
      </c>
      <c r="T511" s="18"/>
      <c r="U511" s="37" t="str">
        <f t="shared" si="59"/>
        <v/>
      </c>
      <c r="V511" s="37" t="str">
        <f t="shared" si="60"/>
        <v/>
      </c>
      <c r="W511" s="37" t="str">
        <f t="shared" si="61"/>
        <v/>
      </c>
      <c r="X511" s="37" t="str">
        <f t="shared" si="62"/>
        <v/>
      </c>
      <c r="Y511" s="37" t="str">
        <f>IF(OR($H511="",$J511=""),"",$J511*IFERROR(VLOOKUP($H511,Maestro_SKU!$A$2:$P$500,12,FALSE),1))</f>
        <v/>
      </c>
      <c r="Z511" s="37" t="str">
        <f t="shared" ca="1" si="63"/>
        <v/>
      </c>
    </row>
    <row r="512" spans="1:26" x14ac:dyDescent="0.35">
      <c r="A512" s="18"/>
      <c r="B512" s="26"/>
      <c r="C512" s="18"/>
      <c r="D512" s="18"/>
      <c r="E512" s="22" t="str">
        <f>IFERROR(VLOOKUP(D512,Clientes_PDV!$A$2:$J$250,2,FALSE),"")</f>
        <v/>
      </c>
      <c r="F512" s="22" t="str">
        <f>IFERROR(VLOOKUP(D512,Clientes_PDV!$A$2:$J$250,3,FALSE),"")</f>
        <v/>
      </c>
      <c r="G512" s="22" t="str">
        <f>IFERROR(VLOOKUP(D512,Clientes_PDV!$A$2:$J$250,4,FALSE),"")</f>
        <v/>
      </c>
      <c r="H512" s="18"/>
      <c r="I512" s="22" t="str">
        <f>IFERROR(VLOOKUP(H512,Maestro_SKU!$A$2:$P$500,2,FALSE),"")</f>
        <v/>
      </c>
      <c r="J512" s="27"/>
      <c r="K512" s="19"/>
      <c r="L512" s="23" t="str">
        <f t="shared" si="56"/>
        <v/>
      </c>
      <c r="M512" s="23" t="str">
        <f>IF(L512="","",L512*Inicio!$B$13)</f>
        <v/>
      </c>
      <c r="N512" s="23" t="str">
        <f t="shared" si="57"/>
        <v/>
      </c>
      <c r="O512" s="26"/>
      <c r="P512" s="18"/>
      <c r="Q512" s="19"/>
      <c r="R512" s="23" t="str">
        <f t="shared" si="58"/>
        <v/>
      </c>
      <c r="S512" s="22" t="str">
        <f ca="1">IF(A512="","",IF(OR(P512="Pagada",R512=0),"Pagada",IF(O512&lt;TODAY(),"Vencida",IF(O512&lt;=TODAY()+Inicio!$B$19,"Próxima a vencer","Vigente"))))</f>
        <v/>
      </c>
      <c r="T512" s="18"/>
      <c r="U512" s="37" t="str">
        <f t="shared" si="59"/>
        <v/>
      </c>
      <c r="V512" s="37" t="str">
        <f t="shared" si="60"/>
        <v/>
      </c>
      <c r="W512" s="37" t="str">
        <f t="shared" si="61"/>
        <v/>
      </c>
      <c r="X512" s="37" t="str">
        <f t="shared" si="62"/>
        <v/>
      </c>
      <c r="Y512" s="37" t="str">
        <f>IF(OR($H512="",$J512=""),"",$J512*IFERROR(VLOOKUP($H512,Maestro_SKU!$A$2:$P$500,12,FALSE),1))</f>
        <v/>
      </c>
      <c r="Z512" s="37" t="str">
        <f t="shared" ca="1" si="63"/>
        <v/>
      </c>
    </row>
    <row r="513" spans="1:26" x14ac:dyDescent="0.35">
      <c r="A513" s="18"/>
      <c r="B513" s="26"/>
      <c r="C513" s="18"/>
      <c r="D513" s="18"/>
      <c r="E513" s="22" t="str">
        <f>IFERROR(VLOOKUP(D513,Clientes_PDV!$A$2:$J$250,2,FALSE),"")</f>
        <v/>
      </c>
      <c r="F513" s="22" t="str">
        <f>IFERROR(VLOOKUP(D513,Clientes_PDV!$A$2:$J$250,3,FALSE),"")</f>
        <v/>
      </c>
      <c r="G513" s="22" t="str">
        <f>IFERROR(VLOOKUP(D513,Clientes_PDV!$A$2:$J$250,4,FALSE),"")</f>
        <v/>
      </c>
      <c r="H513" s="18"/>
      <c r="I513" s="22" t="str">
        <f>IFERROR(VLOOKUP(H513,Maestro_SKU!$A$2:$P$500,2,FALSE),"")</f>
        <v/>
      </c>
      <c r="J513" s="27"/>
      <c r="K513" s="19"/>
      <c r="L513" s="23" t="str">
        <f t="shared" si="56"/>
        <v/>
      </c>
      <c r="M513" s="23" t="str">
        <f>IF(L513="","",L513*Inicio!$B$13)</f>
        <v/>
      </c>
      <c r="N513" s="23" t="str">
        <f t="shared" si="57"/>
        <v/>
      </c>
      <c r="O513" s="26"/>
      <c r="P513" s="18"/>
      <c r="Q513" s="19"/>
      <c r="R513" s="23" t="str">
        <f t="shared" si="58"/>
        <v/>
      </c>
      <c r="S513" s="22" t="str">
        <f ca="1">IF(A513="","",IF(OR(P513="Pagada",R513=0),"Pagada",IF(O513&lt;TODAY(),"Vencida",IF(O513&lt;=TODAY()+Inicio!$B$19,"Próxima a vencer","Vigente"))))</f>
        <v/>
      </c>
      <c r="T513" s="18"/>
      <c r="U513" s="37" t="str">
        <f t="shared" si="59"/>
        <v/>
      </c>
      <c r="V513" s="37" t="str">
        <f t="shared" si="60"/>
        <v/>
      </c>
      <c r="W513" s="37" t="str">
        <f t="shared" si="61"/>
        <v/>
      </c>
      <c r="X513" s="37" t="str">
        <f t="shared" si="62"/>
        <v/>
      </c>
      <c r="Y513" s="37" t="str">
        <f>IF(OR($H513="",$J513=""),"",$J513*IFERROR(VLOOKUP($H513,Maestro_SKU!$A$2:$P$500,12,FALSE),1))</f>
        <v/>
      </c>
      <c r="Z513" s="37" t="str">
        <f t="shared" ca="1" si="63"/>
        <v/>
      </c>
    </row>
    <row r="514" spans="1:26" x14ac:dyDescent="0.35">
      <c r="A514" s="18"/>
      <c r="B514" s="26"/>
      <c r="C514" s="18"/>
      <c r="D514" s="18"/>
      <c r="E514" s="22" t="str">
        <f>IFERROR(VLOOKUP(D514,Clientes_PDV!$A$2:$J$250,2,FALSE),"")</f>
        <v/>
      </c>
      <c r="F514" s="22" t="str">
        <f>IFERROR(VLOOKUP(D514,Clientes_PDV!$A$2:$J$250,3,FALSE),"")</f>
        <v/>
      </c>
      <c r="G514" s="22" t="str">
        <f>IFERROR(VLOOKUP(D514,Clientes_PDV!$A$2:$J$250,4,FALSE),"")</f>
        <v/>
      </c>
      <c r="H514" s="18"/>
      <c r="I514" s="22" t="str">
        <f>IFERROR(VLOOKUP(H514,Maestro_SKU!$A$2:$P$500,2,FALSE),"")</f>
        <v/>
      </c>
      <c r="J514" s="27"/>
      <c r="K514" s="19"/>
      <c r="L514" s="23" t="str">
        <f t="shared" ref="L514:L577" si="64">IF(OR(J514="",K514=""),"",J514*K514)</f>
        <v/>
      </c>
      <c r="M514" s="23" t="str">
        <f>IF(L514="","",L514*Inicio!$B$13)</f>
        <v/>
      </c>
      <c r="N514" s="23" t="str">
        <f t="shared" ref="N514:N577" si="65">IF(L514="","",L514+M514)</f>
        <v/>
      </c>
      <c r="O514" s="26"/>
      <c r="P514" s="18"/>
      <c r="Q514" s="19"/>
      <c r="R514" s="23" t="str">
        <f t="shared" ref="R514:R577" si="66">IF(N514="","",MAX(N514-Q514,0))</f>
        <v/>
      </c>
      <c r="S514" s="22" t="str">
        <f ca="1">IF(A514="","",IF(OR(P514="Pagada",R514=0),"Pagada",IF(O514&lt;TODAY(),"Vencida",IF(O514&lt;=TODAY()+Inicio!$B$19,"Próxima a vencer","Vigente"))))</f>
        <v/>
      </c>
      <c r="T514" s="18"/>
      <c r="U514" s="37" t="str">
        <f t="shared" ref="U514:U577" si="67">IF($B514="","",YEAR($B514))</f>
        <v/>
      </c>
      <c r="V514" s="37" t="str">
        <f t="shared" ref="V514:V577" si="68">IF($B514="","",MONTH($B514))</f>
        <v/>
      </c>
      <c r="W514" s="37" t="str">
        <f t="shared" ref="W514:W577" si="69">IF($B514="","",DAY($B514))</f>
        <v/>
      </c>
      <c r="X514" s="37" t="str">
        <f t="shared" ref="X514:X577" si="70">IF($B514="","",YEAR($B514)&amp;"-"&amp;TEXT(MONTH($B514),"00"))</f>
        <v/>
      </c>
      <c r="Y514" s="37" t="str">
        <f>IF(OR($H514="",$J514=""),"",$J514*IFERROR(VLOOKUP($H514,Maestro_SKU!$A$2:$P$500,12,FALSE),1))</f>
        <v/>
      </c>
      <c r="Z514" s="37" t="str">
        <f t="shared" ref="Z514:Z577" ca="1" si="71">IF(OR($A514="",$O514="",$S514="Pagada"),"",$O514-TODAY())</f>
        <v/>
      </c>
    </row>
    <row r="515" spans="1:26" x14ac:dyDescent="0.35">
      <c r="A515" s="18"/>
      <c r="B515" s="26"/>
      <c r="C515" s="18"/>
      <c r="D515" s="18"/>
      <c r="E515" s="22" t="str">
        <f>IFERROR(VLOOKUP(D515,Clientes_PDV!$A$2:$J$250,2,FALSE),"")</f>
        <v/>
      </c>
      <c r="F515" s="22" t="str">
        <f>IFERROR(VLOOKUP(D515,Clientes_PDV!$A$2:$J$250,3,FALSE),"")</f>
        <v/>
      </c>
      <c r="G515" s="22" t="str">
        <f>IFERROR(VLOOKUP(D515,Clientes_PDV!$A$2:$J$250,4,FALSE),"")</f>
        <v/>
      </c>
      <c r="H515" s="18"/>
      <c r="I515" s="22" t="str">
        <f>IFERROR(VLOOKUP(H515,Maestro_SKU!$A$2:$P$500,2,FALSE),"")</f>
        <v/>
      </c>
      <c r="J515" s="27"/>
      <c r="K515" s="19"/>
      <c r="L515" s="23" t="str">
        <f t="shared" si="64"/>
        <v/>
      </c>
      <c r="M515" s="23" t="str">
        <f>IF(L515="","",L515*Inicio!$B$13)</f>
        <v/>
      </c>
      <c r="N515" s="23" t="str">
        <f t="shared" si="65"/>
        <v/>
      </c>
      <c r="O515" s="26"/>
      <c r="P515" s="18"/>
      <c r="Q515" s="19"/>
      <c r="R515" s="23" t="str">
        <f t="shared" si="66"/>
        <v/>
      </c>
      <c r="S515" s="22" t="str">
        <f ca="1">IF(A515="","",IF(OR(P515="Pagada",R515=0),"Pagada",IF(O515&lt;TODAY(),"Vencida",IF(O515&lt;=TODAY()+Inicio!$B$19,"Próxima a vencer","Vigente"))))</f>
        <v/>
      </c>
      <c r="T515" s="18"/>
      <c r="U515" s="37" t="str">
        <f t="shared" si="67"/>
        <v/>
      </c>
      <c r="V515" s="37" t="str">
        <f t="shared" si="68"/>
        <v/>
      </c>
      <c r="W515" s="37" t="str">
        <f t="shared" si="69"/>
        <v/>
      </c>
      <c r="X515" s="37" t="str">
        <f t="shared" si="70"/>
        <v/>
      </c>
      <c r="Y515" s="37" t="str">
        <f>IF(OR($H515="",$J515=""),"",$J515*IFERROR(VLOOKUP($H515,Maestro_SKU!$A$2:$P$500,12,FALSE),1))</f>
        <v/>
      </c>
      <c r="Z515" s="37" t="str">
        <f t="shared" ca="1" si="71"/>
        <v/>
      </c>
    </row>
    <row r="516" spans="1:26" x14ac:dyDescent="0.35">
      <c r="A516" s="18"/>
      <c r="B516" s="26"/>
      <c r="C516" s="18"/>
      <c r="D516" s="18"/>
      <c r="E516" s="22" t="str">
        <f>IFERROR(VLOOKUP(D516,Clientes_PDV!$A$2:$J$250,2,FALSE),"")</f>
        <v/>
      </c>
      <c r="F516" s="22" t="str">
        <f>IFERROR(VLOOKUP(D516,Clientes_PDV!$A$2:$J$250,3,FALSE),"")</f>
        <v/>
      </c>
      <c r="G516" s="22" t="str">
        <f>IFERROR(VLOOKUP(D516,Clientes_PDV!$A$2:$J$250,4,FALSE),"")</f>
        <v/>
      </c>
      <c r="H516" s="18"/>
      <c r="I516" s="22" t="str">
        <f>IFERROR(VLOOKUP(H516,Maestro_SKU!$A$2:$P$500,2,FALSE),"")</f>
        <v/>
      </c>
      <c r="J516" s="27"/>
      <c r="K516" s="19"/>
      <c r="L516" s="23" t="str">
        <f t="shared" si="64"/>
        <v/>
      </c>
      <c r="M516" s="23" t="str">
        <f>IF(L516="","",L516*Inicio!$B$13)</f>
        <v/>
      </c>
      <c r="N516" s="23" t="str">
        <f t="shared" si="65"/>
        <v/>
      </c>
      <c r="O516" s="26"/>
      <c r="P516" s="18"/>
      <c r="Q516" s="19"/>
      <c r="R516" s="23" t="str">
        <f t="shared" si="66"/>
        <v/>
      </c>
      <c r="S516" s="22" t="str">
        <f ca="1">IF(A516="","",IF(OR(P516="Pagada",R516=0),"Pagada",IF(O516&lt;TODAY(),"Vencida",IF(O516&lt;=TODAY()+Inicio!$B$19,"Próxima a vencer","Vigente"))))</f>
        <v/>
      </c>
      <c r="T516" s="18"/>
      <c r="U516" s="37" t="str">
        <f t="shared" si="67"/>
        <v/>
      </c>
      <c r="V516" s="37" t="str">
        <f t="shared" si="68"/>
        <v/>
      </c>
      <c r="W516" s="37" t="str">
        <f t="shared" si="69"/>
        <v/>
      </c>
      <c r="X516" s="37" t="str">
        <f t="shared" si="70"/>
        <v/>
      </c>
      <c r="Y516" s="37" t="str">
        <f>IF(OR($H516="",$J516=""),"",$J516*IFERROR(VLOOKUP($H516,Maestro_SKU!$A$2:$P$500,12,FALSE),1))</f>
        <v/>
      </c>
      <c r="Z516" s="37" t="str">
        <f t="shared" ca="1" si="71"/>
        <v/>
      </c>
    </row>
    <row r="517" spans="1:26" x14ac:dyDescent="0.35">
      <c r="A517" s="18"/>
      <c r="B517" s="26"/>
      <c r="C517" s="18"/>
      <c r="D517" s="18"/>
      <c r="E517" s="22" t="str">
        <f>IFERROR(VLOOKUP(D517,Clientes_PDV!$A$2:$J$250,2,FALSE),"")</f>
        <v/>
      </c>
      <c r="F517" s="22" t="str">
        <f>IFERROR(VLOOKUP(D517,Clientes_PDV!$A$2:$J$250,3,FALSE),"")</f>
        <v/>
      </c>
      <c r="G517" s="22" t="str">
        <f>IFERROR(VLOOKUP(D517,Clientes_PDV!$A$2:$J$250,4,FALSE),"")</f>
        <v/>
      </c>
      <c r="H517" s="18"/>
      <c r="I517" s="22" t="str">
        <f>IFERROR(VLOOKUP(H517,Maestro_SKU!$A$2:$P$500,2,FALSE),"")</f>
        <v/>
      </c>
      <c r="J517" s="27"/>
      <c r="K517" s="19"/>
      <c r="L517" s="23" t="str">
        <f t="shared" si="64"/>
        <v/>
      </c>
      <c r="M517" s="23" t="str">
        <f>IF(L517="","",L517*Inicio!$B$13)</f>
        <v/>
      </c>
      <c r="N517" s="23" t="str">
        <f t="shared" si="65"/>
        <v/>
      </c>
      <c r="O517" s="26"/>
      <c r="P517" s="18"/>
      <c r="Q517" s="19"/>
      <c r="R517" s="23" t="str">
        <f t="shared" si="66"/>
        <v/>
      </c>
      <c r="S517" s="22" t="str">
        <f ca="1">IF(A517="","",IF(OR(P517="Pagada",R517=0),"Pagada",IF(O517&lt;TODAY(),"Vencida",IF(O517&lt;=TODAY()+Inicio!$B$19,"Próxima a vencer","Vigente"))))</f>
        <v/>
      </c>
      <c r="T517" s="18"/>
      <c r="U517" s="37" t="str">
        <f t="shared" si="67"/>
        <v/>
      </c>
      <c r="V517" s="37" t="str">
        <f t="shared" si="68"/>
        <v/>
      </c>
      <c r="W517" s="37" t="str">
        <f t="shared" si="69"/>
        <v/>
      </c>
      <c r="X517" s="37" t="str">
        <f t="shared" si="70"/>
        <v/>
      </c>
      <c r="Y517" s="37" t="str">
        <f>IF(OR($H517="",$J517=""),"",$J517*IFERROR(VLOOKUP($H517,Maestro_SKU!$A$2:$P$500,12,FALSE),1))</f>
        <v/>
      </c>
      <c r="Z517" s="37" t="str">
        <f t="shared" ca="1" si="71"/>
        <v/>
      </c>
    </row>
    <row r="518" spans="1:26" x14ac:dyDescent="0.35">
      <c r="A518" s="18"/>
      <c r="B518" s="26"/>
      <c r="C518" s="18"/>
      <c r="D518" s="18"/>
      <c r="E518" s="22" t="str">
        <f>IFERROR(VLOOKUP(D518,Clientes_PDV!$A$2:$J$250,2,FALSE),"")</f>
        <v/>
      </c>
      <c r="F518" s="22" t="str">
        <f>IFERROR(VLOOKUP(D518,Clientes_PDV!$A$2:$J$250,3,FALSE),"")</f>
        <v/>
      </c>
      <c r="G518" s="22" t="str">
        <f>IFERROR(VLOOKUP(D518,Clientes_PDV!$A$2:$J$250,4,FALSE),"")</f>
        <v/>
      </c>
      <c r="H518" s="18"/>
      <c r="I518" s="22" t="str">
        <f>IFERROR(VLOOKUP(H518,Maestro_SKU!$A$2:$P$500,2,FALSE),"")</f>
        <v/>
      </c>
      <c r="J518" s="27"/>
      <c r="K518" s="19"/>
      <c r="L518" s="23" t="str">
        <f t="shared" si="64"/>
        <v/>
      </c>
      <c r="M518" s="23" t="str">
        <f>IF(L518="","",L518*Inicio!$B$13)</f>
        <v/>
      </c>
      <c r="N518" s="23" t="str">
        <f t="shared" si="65"/>
        <v/>
      </c>
      <c r="O518" s="26"/>
      <c r="P518" s="18"/>
      <c r="Q518" s="19"/>
      <c r="R518" s="23" t="str">
        <f t="shared" si="66"/>
        <v/>
      </c>
      <c r="S518" s="22" t="str">
        <f ca="1">IF(A518="","",IF(OR(P518="Pagada",R518=0),"Pagada",IF(O518&lt;TODAY(),"Vencida",IF(O518&lt;=TODAY()+Inicio!$B$19,"Próxima a vencer","Vigente"))))</f>
        <v/>
      </c>
      <c r="T518" s="18"/>
      <c r="U518" s="37" t="str">
        <f t="shared" si="67"/>
        <v/>
      </c>
      <c r="V518" s="37" t="str">
        <f t="shared" si="68"/>
        <v/>
      </c>
      <c r="W518" s="37" t="str">
        <f t="shared" si="69"/>
        <v/>
      </c>
      <c r="X518" s="37" t="str">
        <f t="shared" si="70"/>
        <v/>
      </c>
      <c r="Y518" s="37" t="str">
        <f>IF(OR($H518="",$J518=""),"",$J518*IFERROR(VLOOKUP($H518,Maestro_SKU!$A$2:$P$500,12,FALSE),1))</f>
        <v/>
      </c>
      <c r="Z518" s="37" t="str">
        <f t="shared" ca="1" si="71"/>
        <v/>
      </c>
    </row>
    <row r="519" spans="1:26" x14ac:dyDescent="0.35">
      <c r="A519" s="18"/>
      <c r="B519" s="26"/>
      <c r="C519" s="18"/>
      <c r="D519" s="18"/>
      <c r="E519" s="22" t="str">
        <f>IFERROR(VLOOKUP(D519,Clientes_PDV!$A$2:$J$250,2,FALSE),"")</f>
        <v/>
      </c>
      <c r="F519" s="22" t="str">
        <f>IFERROR(VLOOKUP(D519,Clientes_PDV!$A$2:$J$250,3,FALSE),"")</f>
        <v/>
      </c>
      <c r="G519" s="22" t="str">
        <f>IFERROR(VLOOKUP(D519,Clientes_PDV!$A$2:$J$250,4,FALSE),"")</f>
        <v/>
      </c>
      <c r="H519" s="18"/>
      <c r="I519" s="22" t="str">
        <f>IFERROR(VLOOKUP(H519,Maestro_SKU!$A$2:$P$500,2,FALSE),"")</f>
        <v/>
      </c>
      <c r="J519" s="27"/>
      <c r="K519" s="19"/>
      <c r="L519" s="23" t="str">
        <f t="shared" si="64"/>
        <v/>
      </c>
      <c r="M519" s="23" t="str">
        <f>IF(L519="","",L519*Inicio!$B$13)</f>
        <v/>
      </c>
      <c r="N519" s="23" t="str">
        <f t="shared" si="65"/>
        <v/>
      </c>
      <c r="O519" s="26"/>
      <c r="P519" s="18"/>
      <c r="Q519" s="19"/>
      <c r="R519" s="23" t="str">
        <f t="shared" si="66"/>
        <v/>
      </c>
      <c r="S519" s="22" t="str">
        <f ca="1">IF(A519="","",IF(OR(P519="Pagada",R519=0),"Pagada",IF(O519&lt;TODAY(),"Vencida",IF(O519&lt;=TODAY()+Inicio!$B$19,"Próxima a vencer","Vigente"))))</f>
        <v/>
      </c>
      <c r="T519" s="18"/>
      <c r="U519" s="37" t="str">
        <f t="shared" si="67"/>
        <v/>
      </c>
      <c r="V519" s="37" t="str">
        <f t="shared" si="68"/>
        <v/>
      </c>
      <c r="W519" s="37" t="str">
        <f t="shared" si="69"/>
        <v/>
      </c>
      <c r="X519" s="37" t="str">
        <f t="shared" si="70"/>
        <v/>
      </c>
      <c r="Y519" s="37" t="str">
        <f>IF(OR($H519="",$J519=""),"",$J519*IFERROR(VLOOKUP($H519,Maestro_SKU!$A$2:$P$500,12,FALSE),1))</f>
        <v/>
      </c>
      <c r="Z519" s="37" t="str">
        <f t="shared" ca="1" si="71"/>
        <v/>
      </c>
    </row>
    <row r="520" spans="1:26" x14ac:dyDescent="0.35">
      <c r="A520" s="18"/>
      <c r="B520" s="26"/>
      <c r="C520" s="18"/>
      <c r="D520" s="18"/>
      <c r="E520" s="22" t="str">
        <f>IFERROR(VLOOKUP(D520,Clientes_PDV!$A$2:$J$250,2,FALSE),"")</f>
        <v/>
      </c>
      <c r="F520" s="22" t="str">
        <f>IFERROR(VLOOKUP(D520,Clientes_PDV!$A$2:$J$250,3,FALSE),"")</f>
        <v/>
      </c>
      <c r="G520" s="22" t="str">
        <f>IFERROR(VLOOKUP(D520,Clientes_PDV!$A$2:$J$250,4,FALSE),"")</f>
        <v/>
      </c>
      <c r="H520" s="18"/>
      <c r="I520" s="22" t="str">
        <f>IFERROR(VLOOKUP(H520,Maestro_SKU!$A$2:$P$500,2,FALSE),"")</f>
        <v/>
      </c>
      <c r="J520" s="27"/>
      <c r="K520" s="19"/>
      <c r="L520" s="23" t="str">
        <f t="shared" si="64"/>
        <v/>
      </c>
      <c r="M520" s="23" t="str">
        <f>IF(L520="","",L520*Inicio!$B$13)</f>
        <v/>
      </c>
      <c r="N520" s="23" t="str">
        <f t="shared" si="65"/>
        <v/>
      </c>
      <c r="O520" s="26"/>
      <c r="P520" s="18"/>
      <c r="Q520" s="19"/>
      <c r="R520" s="23" t="str">
        <f t="shared" si="66"/>
        <v/>
      </c>
      <c r="S520" s="22" t="str">
        <f ca="1">IF(A520="","",IF(OR(P520="Pagada",R520=0),"Pagada",IF(O520&lt;TODAY(),"Vencida",IF(O520&lt;=TODAY()+Inicio!$B$19,"Próxima a vencer","Vigente"))))</f>
        <v/>
      </c>
      <c r="T520" s="18"/>
      <c r="U520" s="37" t="str">
        <f t="shared" si="67"/>
        <v/>
      </c>
      <c r="V520" s="37" t="str">
        <f t="shared" si="68"/>
        <v/>
      </c>
      <c r="W520" s="37" t="str">
        <f t="shared" si="69"/>
        <v/>
      </c>
      <c r="X520" s="37" t="str">
        <f t="shared" si="70"/>
        <v/>
      </c>
      <c r="Y520" s="37" t="str">
        <f>IF(OR($H520="",$J520=""),"",$J520*IFERROR(VLOOKUP($H520,Maestro_SKU!$A$2:$P$500,12,FALSE),1))</f>
        <v/>
      </c>
      <c r="Z520" s="37" t="str">
        <f t="shared" ca="1" si="71"/>
        <v/>
      </c>
    </row>
    <row r="521" spans="1:26" x14ac:dyDescent="0.35">
      <c r="A521" s="18"/>
      <c r="B521" s="26"/>
      <c r="C521" s="18"/>
      <c r="D521" s="18"/>
      <c r="E521" s="22" t="str">
        <f>IFERROR(VLOOKUP(D521,Clientes_PDV!$A$2:$J$250,2,FALSE),"")</f>
        <v/>
      </c>
      <c r="F521" s="22" t="str">
        <f>IFERROR(VLOOKUP(D521,Clientes_PDV!$A$2:$J$250,3,FALSE),"")</f>
        <v/>
      </c>
      <c r="G521" s="22" t="str">
        <f>IFERROR(VLOOKUP(D521,Clientes_PDV!$A$2:$J$250,4,FALSE),"")</f>
        <v/>
      </c>
      <c r="H521" s="18"/>
      <c r="I521" s="22" t="str">
        <f>IFERROR(VLOOKUP(H521,Maestro_SKU!$A$2:$P$500,2,FALSE),"")</f>
        <v/>
      </c>
      <c r="J521" s="27"/>
      <c r="K521" s="19"/>
      <c r="L521" s="23" t="str">
        <f t="shared" si="64"/>
        <v/>
      </c>
      <c r="M521" s="23" t="str">
        <f>IF(L521="","",L521*Inicio!$B$13)</f>
        <v/>
      </c>
      <c r="N521" s="23" t="str">
        <f t="shared" si="65"/>
        <v/>
      </c>
      <c r="O521" s="26"/>
      <c r="P521" s="18"/>
      <c r="Q521" s="19"/>
      <c r="R521" s="23" t="str">
        <f t="shared" si="66"/>
        <v/>
      </c>
      <c r="S521" s="22" t="str">
        <f ca="1">IF(A521="","",IF(OR(P521="Pagada",R521=0),"Pagada",IF(O521&lt;TODAY(),"Vencida",IF(O521&lt;=TODAY()+Inicio!$B$19,"Próxima a vencer","Vigente"))))</f>
        <v/>
      </c>
      <c r="T521" s="18"/>
      <c r="U521" s="37" t="str">
        <f t="shared" si="67"/>
        <v/>
      </c>
      <c r="V521" s="37" t="str">
        <f t="shared" si="68"/>
        <v/>
      </c>
      <c r="W521" s="37" t="str">
        <f t="shared" si="69"/>
        <v/>
      </c>
      <c r="X521" s="37" t="str">
        <f t="shared" si="70"/>
        <v/>
      </c>
      <c r="Y521" s="37" t="str">
        <f>IF(OR($H521="",$J521=""),"",$J521*IFERROR(VLOOKUP($H521,Maestro_SKU!$A$2:$P$500,12,FALSE),1))</f>
        <v/>
      </c>
      <c r="Z521" s="37" t="str">
        <f t="shared" ca="1" si="71"/>
        <v/>
      </c>
    </row>
    <row r="522" spans="1:26" x14ac:dyDescent="0.35">
      <c r="A522" s="18"/>
      <c r="B522" s="26"/>
      <c r="C522" s="18"/>
      <c r="D522" s="18"/>
      <c r="E522" s="22" t="str">
        <f>IFERROR(VLOOKUP(D522,Clientes_PDV!$A$2:$J$250,2,FALSE),"")</f>
        <v/>
      </c>
      <c r="F522" s="22" t="str">
        <f>IFERROR(VLOOKUP(D522,Clientes_PDV!$A$2:$J$250,3,FALSE),"")</f>
        <v/>
      </c>
      <c r="G522" s="22" t="str">
        <f>IFERROR(VLOOKUP(D522,Clientes_PDV!$A$2:$J$250,4,FALSE),"")</f>
        <v/>
      </c>
      <c r="H522" s="18"/>
      <c r="I522" s="22" t="str">
        <f>IFERROR(VLOOKUP(H522,Maestro_SKU!$A$2:$P$500,2,FALSE),"")</f>
        <v/>
      </c>
      <c r="J522" s="27"/>
      <c r="K522" s="19"/>
      <c r="L522" s="23" t="str">
        <f t="shared" si="64"/>
        <v/>
      </c>
      <c r="M522" s="23" t="str">
        <f>IF(L522="","",L522*Inicio!$B$13)</f>
        <v/>
      </c>
      <c r="N522" s="23" t="str">
        <f t="shared" si="65"/>
        <v/>
      </c>
      <c r="O522" s="26"/>
      <c r="P522" s="18"/>
      <c r="Q522" s="19"/>
      <c r="R522" s="23" t="str">
        <f t="shared" si="66"/>
        <v/>
      </c>
      <c r="S522" s="22" t="str">
        <f ca="1">IF(A522="","",IF(OR(P522="Pagada",R522=0),"Pagada",IF(O522&lt;TODAY(),"Vencida",IF(O522&lt;=TODAY()+Inicio!$B$19,"Próxima a vencer","Vigente"))))</f>
        <v/>
      </c>
      <c r="T522" s="18"/>
      <c r="U522" s="37" t="str">
        <f t="shared" si="67"/>
        <v/>
      </c>
      <c r="V522" s="37" t="str">
        <f t="shared" si="68"/>
        <v/>
      </c>
      <c r="W522" s="37" t="str">
        <f t="shared" si="69"/>
        <v/>
      </c>
      <c r="X522" s="37" t="str">
        <f t="shared" si="70"/>
        <v/>
      </c>
      <c r="Y522" s="37" t="str">
        <f>IF(OR($H522="",$J522=""),"",$J522*IFERROR(VLOOKUP($H522,Maestro_SKU!$A$2:$P$500,12,FALSE),1))</f>
        <v/>
      </c>
      <c r="Z522" s="37" t="str">
        <f t="shared" ca="1" si="71"/>
        <v/>
      </c>
    </row>
    <row r="523" spans="1:26" x14ac:dyDescent="0.35">
      <c r="A523" s="18"/>
      <c r="B523" s="26"/>
      <c r="C523" s="18"/>
      <c r="D523" s="18"/>
      <c r="E523" s="22" t="str">
        <f>IFERROR(VLOOKUP(D523,Clientes_PDV!$A$2:$J$250,2,FALSE),"")</f>
        <v/>
      </c>
      <c r="F523" s="22" t="str">
        <f>IFERROR(VLOOKUP(D523,Clientes_PDV!$A$2:$J$250,3,FALSE),"")</f>
        <v/>
      </c>
      <c r="G523" s="22" t="str">
        <f>IFERROR(VLOOKUP(D523,Clientes_PDV!$A$2:$J$250,4,FALSE),"")</f>
        <v/>
      </c>
      <c r="H523" s="18"/>
      <c r="I523" s="22" t="str">
        <f>IFERROR(VLOOKUP(H523,Maestro_SKU!$A$2:$P$500,2,FALSE),"")</f>
        <v/>
      </c>
      <c r="J523" s="27"/>
      <c r="K523" s="19"/>
      <c r="L523" s="23" t="str">
        <f t="shared" si="64"/>
        <v/>
      </c>
      <c r="M523" s="23" t="str">
        <f>IF(L523="","",L523*Inicio!$B$13)</f>
        <v/>
      </c>
      <c r="N523" s="23" t="str">
        <f t="shared" si="65"/>
        <v/>
      </c>
      <c r="O523" s="26"/>
      <c r="P523" s="18"/>
      <c r="Q523" s="19"/>
      <c r="R523" s="23" t="str">
        <f t="shared" si="66"/>
        <v/>
      </c>
      <c r="S523" s="22" t="str">
        <f ca="1">IF(A523="","",IF(OR(P523="Pagada",R523=0),"Pagada",IF(O523&lt;TODAY(),"Vencida",IF(O523&lt;=TODAY()+Inicio!$B$19,"Próxima a vencer","Vigente"))))</f>
        <v/>
      </c>
      <c r="T523" s="18"/>
      <c r="U523" s="37" t="str">
        <f t="shared" si="67"/>
        <v/>
      </c>
      <c r="V523" s="37" t="str">
        <f t="shared" si="68"/>
        <v/>
      </c>
      <c r="W523" s="37" t="str">
        <f t="shared" si="69"/>
        <v/>
      </c>
      <c r="X523" s="37" t="str">
        <f t="shared" si="70"/>
        <v/>
      </c>
      <c r="Y523" s="37" t="str">
        <f>IF(OR($H523="",$J523=""),"",$J523*IFERROR(VLOOKUP($H523,Maestro_SKU!$A$2:$P$500,12,FALSE),1))</f>
        <v/>
      </c>
      <c r="Z523" s="37" t="str">
        <f t="shared" ca="1" si="71"/>
        <v/>
      </c>
    </row>
    <row r="524" spans="1:26" x14ac:dyDescent="0.35">
      <c r="A524" s="18"/>
      <c r="B524" s="26"/>
      <c r="C524" s="18"/>
      <c r="D524" s="18"/>
      <c r="E524" s="22" t="str">
        <f>IFERROR(VLOOKUP(D524,Clientes_PDV!$A$2:$J$250,2,FALSE),"")</f>
        <v/>
      </c>
      <c r="F524" s="22" t="str">
        <f>IFERROR(VLOOKUP(D524,Clientes_PDV!$A$2:$J$250,3,FALSE),"")</f>
        <v/>
      </c>
      <c r="G524" s="22" t="str">
        <f>IFERROR(VLOOKUP(D524,Clientes_PDV!$A$2:$J$250,4,FALSE),"")</f>
        <v/>
      </c>
      <c r="H524" s="18"/>
      <c r="I524" s="22" t="str">
        <f>IFERROR(VLOOKUP(H524,Maestro_SKU!$A$2:$P$500,2,FALSE),"")</f>
        <v/>
      </c>
      <c r="J524" s="27"/>
      <c r="K524" s="19"/>
      <c r="L524" s="23" t="str">
        <f t="shared" si="64"/>
        <v/>
      </c>
      <c r="M524" s="23" t="str">
        <f>IF(L524="","",L524*Inicio!$B$13)</f>
        <v/>
      </c>
      <c r="N524" s="23" t="str">
        <f t="shared" si="65"/>
        <v/>
      </c>
      <c r="O524" s="26"/>
      <c r="P524" s="18"/>
      <c r="Q524" s="19"/>
      <c r="R524" s="23" t="str">
        <f t="shared" si="66"/>
        <v/>
      </c>
      <c r="S524" s="22" t="str">
        <f ca="1">IF(A524="","",IF(OR(P524="Pagada",R524=0),"Pagada",IF(O524&lt;TODAY(),"Vencida",IF(O524&lt;=TODAY()+Inicio!$B$19,"Próxima a vencer","Vigente"))))</f>
        <v/>
      </c>
      <c r="T524" s="18"/>
      <c r="U524" s="37" t="str">
        <f t="shared" si="67"/>
        <v/>
      </c>
      <c r="V524" s="37" t="str">
        <f t="shared" si="68"/>
        <v/>
      </c>
      <c r="W524" s="37" t="str">
        <f t="shared" si="69"/>
        <v/>
      </c>
      <c r="X524" s="37" t="str">
        <f t="shared" si="70"/>
        <v/>
      </c>
      <c r="Y524" s="37" t="str">
        <f>IF(OR($H524="",$J524=""),"",$J524*IFERROR(VLOOKUP($H524,Maestro_SKU!$A$2:$P$500,12,FALSE),1))</f>
        <v/>
      </c>
      <c r="Z524" s="37" t="str">
        <f t="shared" ca="1" si="71"/>
        <v/>
      </c>
    </row>
    <row r="525" spans="1:26" x14ac:dyDescent="0.35">
      <c r="A525" s="18"/>
      <c r="B525" s="26"/>
      <c r="C525" s="18"/>
      <c r="D525" s="18"/>
      <c r="E525" s="22" t="str">
        <f>IFERROR(VLOOKUP(D525,Clientes_PDV!$A$2:$J$250,2,FALSE),"")</f>
        <v/>
      </c>
      <c r="F525" s="22" t="str">
        <f>IFERROR(VLOOKUP(D525,Clientes_PDV!$A$2:$J$250,3,FALSE),"")</f>
        <v/>
      </c>
      <c r="G525" s="22" t="str">
        <f>IFERROR(VLOOKUP(D525,Clientes_PDV!$A$2:$J$250,4,FALSE),"")</f>
        <v/>
      </c>
      <c r="H525" s="18"/>
      <c r="I525" s="22" t="str">
        <f>IFERROR(VLOOKUP(H525,Maestro_SKU!$A$2:$P$500,2,FALSE),"")</f>
        <v/>
      </c>
      <c r="J525" s="27"/>
      <c r="K525" s="19"/>
      <c r="L525" s="23" t="str">
        <f t="shared" si="64"/>
        <v/>
      </c>
      <c r="M525" s="23" t="str">
        <f>IF(L525="","",L525*Inicio!$B$13)</f>
        <v/>
      </c>
      <c r="N525" s="23" t="str">
        <f t="shared" si="65"/>
        <v/>
      </c>
      <c r="O525" s="26"/>
      <c r="P525" s="18"/>
      <c r="Q525" s="19"/>
      <c r="R525" s="23" t="str">
        <f t="shared" si="66"/>
        <v/>
      </c>
      <c r="S525" s="22" t="str">
        <f ca="1">IF(A525="","",IF(OR(P525="Pagada",R525=0),"Pagada",IF(O525&lt;TODAY(),"Vencida",IF(O525&lt;=TODAY()+Inicio!$B$19,"Próxima a vencer","Vigente"))))</f>
        <v/>
      </c>
      <c r="T525" s="18"/>
      <c r="U525" s="37" t="str">
        <f t="shared" si="67"/>
        <v/>
      </c>
      <c r="V525" s="37" t="str">
        <f t="shared" si="68"/>
        <v/>
      </c>
      <c r="W525" s="37" t="str">
        <f t="shared" si="69"/>
        <v/>
      </c>
      <c r="X525" s="37" t="str">
        <f t="shared" si="70"/>
        <v/>
      </c>
      <c r="Y525" s="37" t="str">
        <f>IF(OR($H525="",$J525=""),"",$J525*IFERROR(VLOOKUP($H525,Maestro_SKU!$A$2:$P$500,12,FALSE),1))</f>
        <v/>
      </c>
      <c r="Z525" s="37" t="str">
        <f t="shared" ca="1" si="71"/>
        <v/>
      </c>
    </row>
    <row r="526" spans="1:26" x14ac:dyDescent="0.35">
      <c r="A526" s="18"/>
      <c r="B526" s="26"/>
      <c r="C526" s="18"/>
      <c r="D526" s="18"/>
      <c r="E526" s="22" t="str">
        <f>IFERROR(VLOOKUP(D526,Clientes_PDV!$A$2:$J$250,2,FALSE),"")</f>
        <v/>
      </c>
      <c r="F526" s="22" t="str">
        <f>IFERROR(VLOOKUP(D526,Clientes_PDV!$A$2:$J$250,3,FALSE),"")</f>
        <v/>
      </c>
      <c r="G526" s="22" t="str">
        <f>IFERROR(VLOOKUP(D526,Clientes_PDV!$A$2:$J$250,4,FALSE),"")</f>
        <v/>
      </c>
      <c r="H526" s="18"/>
      <c r="I526" s="22" t="str">
        <f>IFERROR(VLOOKUP(H526,Maestro_SKU!$A$2:$P$500,2,FALSE),"")</f>
        <v/>
      </c>
      <c r="J526" s="27"/>
      <c r="K526" s="19"/>
      <c r="L526" s="23" t="str">
        <f t="shared" si="64"/>
        <v/>
      </c>
      <c r="M526" s="23" t="str">
        <f>IF(L526="","",L526*Inicio!$B$13)</f>
        <v/>
      </c>
      <c r="N526" s="23" t="str">
        <f t="shared" si="65"/>
        <v/>
      </c>
      <c r="O526" s="26"/>
      <c r="P526" s="18"/>
      <c r="Q526" s="19"/>
      <c r="R526" s="23" t="str">
        <f t="shared" si="66"/>
        <v/>
      </c>
      <c r="S526" s="22" t="str">
        <f ca="1">IF(A526="","",IF(OR(P526="Pagada",R526=0),"Pagada",IF(O526&lt;TODAY(),"Vencida",IF(O526&lt;=TODAY()+Inicio!$B$19,"Próxima a vencer","Vigente"))))</f>
        <v/>
      </c>
      <c r="T526" s="18"/>
      <c r="U526" s="37" t="str">
        <f t="shared" si="67"/>
        <v/>
      </c>
      <c r="V526" s="37" t="str">
        <f t="shared" si="68"/>
        <v/>
      </c>
      <c r="W526" s="37" t="str">
        <f t="shared" si="69"/>
        <v/>
      </c>
      <c r="X526" s="37" t="str">
        <f t="shared" si="70"/>
        <v/>
      </c>
      <c r="Y526" s="37" t="str">
        <f>IF(OR($H526="",$J526=""),"",$J526*IFERROR(VLOOKUP($H526,Maestro_SKU!$A$2:$P$500,12,FALSE),1))</f>
        <v/>
      </c>
      <c r="Z526" s="37" t="str">
        <f t="shared" ca="1" si="71"/>
        <v/>
      </c>
    </row>
    <row r="527" spans="1:26" x14ac:dyDescent="0.35">
      <c r="A527" s="18"/>
      <c r="B527" s="26"/>
      <c r="C527" s="18"/>
      <c r="D527" s="18"/>
      <c r="E527" s="22" t="str">
        <f>IFERROR(VLOOKUP(D527,Clientes_PDV!$A$2:$J$250,2,FALSE),"")</f>
        <v/>
      </c>
      <c r="F527" s="22" t="str">
        <f>IFERROR(VLOOKUP(D527,Clientes_PDV!$A$2:$J$250,3,FALSE),"")</f>
        <v/>
      </c>
      <c r="G527" s="22" t="str">
        <f>IFERROR(VLOOKUP(D527,Clientes_PDV!$A$2:$J$250,4,FALSE),"")</f>
        <v/>
      </c>
      <c r="H527" s="18"/>
      <c r="I527" s="22" t="str">
        <f>IFERROR(VLOOKUP(H527,Maestro_SKU!$A$2:$P$500,2,FALSE),"")</f>
        <v/>
      </c>
      <c r="J527" s="27"/>
      <c r="K527" s="19"/>
      <c r="L527" s="23" t="str">
        <f t="shared" si="64"/>
        <v/>
      </c>
      <c r="M527" s="23" t="str">
        <f>IF(L527="","",L527*Inicio!$B$13)</f>
        <v/>
      </c>
      <c r="N527" s="23" t="str">
        <f t="shared" si="65"/>
        <v/>
      </c>
      <c r="O527" s="26"/>
      <c r="P527" s="18"/>
      <c r="Q527" s="19"/>
      <c r="R527" s="23" t="str">
        <f t="shared" si="66"/>
        <v/>
      </c>
      <c r="S527" s="22" t="str">
        <f ca="1">IF(A527="","",IF(OR(P527="Pagada",R527=0),"Pagada",IF(O527&lt;TODAY(),"Vencida",IF(O527&lt;=TODAY()+Inicio!$B$19,"Próxima a vencer","Vigente"))))</f>
        <v/>
      </c>
      <c r="T527" s="18"/>
      <c r="U527" s="37" t="str">
        <f t="shared" si="67"/>
        <v/>
      </c>
      <c r="V527" s="37" t="str">
        <f t="shared" si="68"/>
        <v/>
      </c>
      <c r="W527" s="37" t="str">
        <f t="shared" si="69"/>
        <v/>
      </c>
      <c r="X527" s="37" t="str">
        <f t="shared" si="70"/>
        <v/>
      </c>
      <c r="Y527" s="37" t="str">
        <f>IF(OR($H527="",$J527=""),"",$J527*IFERROR(VLOOKUP($H527,Maestro_SKU!$A$2:$P$500,12,FALSE),1))</f>
        <v/>
      </c>
      <c r="Z527" s="37" t="str">
        <f t="shared" ca="1" si="71"/>
        <v/>
      </c>
    </row>
    <row r="528" spans="1:26" x14ac:dyDescent="0.35">
      <c r="A528" s="18"/>
      <c r="B528" s="26"/>
      <c r="C528" s="18"/>
      <c r="D528" s="18"/>
      <c r="E528" s="22" t="str">
        <f>IFERROR(VLOOKUP(D528,Clientes_PDV!$A$2:$J$250,2,FALSE),"")</f>
        <v/>
      </c>
      <c r="F528" s="22" t="str">
        <f>IFERROR(VLOOKUP(D528,Clientes_PDV!$A$2:$J$250,3,FALSE),"")</f>
        <v/>
      </c>
      <c r="G528" s="22" t="str">
        <f>IFERROR(VLOOKUP(D528,Clientes_PDV!$A$2:$J$250,4,FALSE),"")</f>
        <v/>
      </c>
      <c r="H528" s="18"/>
      <c r="I528" s="22" t="str">
        <f>IFERROR(VLOOKUP(H528,Maestro_SKU!$A$2:$P$500,2,FALSE),"")</f>
        <v/>
      </c>
      <c r="J528" s="27"/>
      <c r="K528" s="19"/>
      <c r="L528" s="23" t="str">
        <f t="shared" si="64"/>
        <v/>
      </c>
      <c r="M528" s="23" t="str">
        <f>IF(L528="","",L528*Inicio!$B$13)</f>
        <v/>
      </c>
      <c r="N528" s="23" t="str">
        <f t="shared" si="65"/>
        <v/>
      </c>
      <c r="O528" s="26"/>
      <c r="P528" s="18"/>
      <c r="Q528" s="19"/>
      <c r="R528" s="23" t="str">
        <f t="shared" si="66"/>
        <v/>
      </c>
      <c r="S528" s="22" t="str">
        <f ca="1">IF(A528="","",IF(OR(P528="Pagada",R528=0),"Pagada",IF(O528&lt;TODAY(),"Vencida",IF(O528&lt;=TODAY()+Inicio!$B$19,"Próxima a vencer","Vigente"))))</f>
        <v/>
      </c>
      <c r="T528" s="18"/>
      <c r="U528" s="37" t="str">
        <f t="shared" si="67"/>
        <v/>
      </c>
      <c r="V528" s="37" t="str">
        <f t="shared" si="68"/>
        <v/>
      </c>
      <c r="W528" s="37" t="str">
        <f t="shared" si="69"/>
        <v/>
      </c>
      <c r="X528" s="37" t="str">
        <f t="shared" si="70"/>
        <v/>
      </c>
      <c r="Y528" s="37" t="str">
        <f>IF(OR($H528="",$J528=""),"",$J528*IFERROR(VLOOKUP($H528,Maestro_SKU!$A$2:$P$500,12,FALSE),1))</f>
        <v/>
      </c>
      <c r="Z528" s="37" t="str">
        <f t="shared" ca="1" si="71"/>
        <v/>
      </c>
    </row>
    <row r="529" spans="1:26" x14ac:dyDescent="0.35">
      <c r="A529" s="18"/>
      <c r="B529" s="26"/>
      <c r="C529" s="18"/>
      <c r="D529" s="18"/>
      <c r="E529" s="22" t="str">
        <f>IFERROR(VLOOKUP(D529,Clientes_PDV!$A$2:$J$250,2,FALSE),"")</f>
        <v/>
      </c>
      <c r="F529" s="22" t="str">
        <f>IFERROR(VLOOKUP(D529,Clientes_PDV!$A$2:$J$250,3,FALSE),"")</f>
        <v/>
      </c>
      <c r="G529" s="22" t="str">
        <f>IFERROR(VLOOKUP(D529,Clientes_PDV!$A$2:$J$250,4,FALSE),"")</f>
        <v/>
      </c>
      <c r="H529" s="18"/>
      <c r="I529" s="22" t="str">
        <f>IFERROR(VLOOKUP(H529,Maestro_SKU!$A$2:$P$500,2,FALSE),"")</f>
        <v/>
      </c>
      <c r="J529" s="27"/>
      <c r="K529" s="19"/>
      <c r="L529" s="23" t="str">
        <f t="shared" si="64"/>
        <v/>
      </c>
      <c r="M529" s="23" t="str">
        <f>IF(L529="","",L529*Inicio!$B$13)</f>
        <v/>
      </c>
      <c r="N529" s="23" t="str">
        <f t="shared" si="65"/>
        <v/>
      </c>
      <c r="O529" s="26"/>
      <c r="P529" s="18"/>
      <c r="Q529" s="19"/>
      <c r="R529" s="23" t="str">
        <f t="shared" si="66"/>
        <v/>
      </c>
      <c r="S529" s="22" t="str">
        <f ca="1">IF(A529="","",IF(OR(P529="Pagada",R529=0),"Pagada",IF(O529&lt;TODAY(),"Vencida",IF(O529&lt;=TODAY()+Inicio!$B$19,"Próxima a vencer","Vigente"))))</f>
        <v/>
      </c>
      <c r="T529" s="18"/>
      <c r="U529" s="37" t="str">
        <f t="shared" si="67"/>
        <v/>
      </c>
      <c r="V529" s="37" t="str">
        <f t="shared" si="68"/>
        <v/>
      </c>
      <c r="W529" s="37" t="str">
        <f t="shared" si="69"/>
        <v/>
      </c>
      <c r="X529" s="37" t="str">
        <f t="shared" si="70"/>
        <v/>
      </c>
      <c r="Y529" s="37" t="str">
        <f>IF(OR($H529="",$J529=""),"",$J529*IFERROR(VLOOKUP($H529,Maestro_SKU!$A$2:$P$500,12,FALSE),1))</f>
        <v/>
      </c>
      <c r="Z529" s="37" t="str">
        <f t="shared" ca="1" si="71"/>
        <v/>
      </c>
    </row>
    <row r="530" spans="1:26" x14ac:dyDescent="0.35">
      <c r="A530" s="18"/>
      <c r="B530" s="26"/>
      <c r="C530" s="18"/>
      <c r="D530" s="18"/>
      <c r="E530" s="22" t="str">
        <f>IFERROR(VLOOKUP(D530,Clientes_PDV!$A$2:$J$250,2,FALSE),"")</f>
        <v/>
      </c>
      <c r="F530" s="22" t="str">
        <f>IFERROR(VLOOKUP(D530,Clientes_PDV!$A$2:$J$250,3,FALSE),"")</f>
        <v/>
      </c>
      <c r="G530" s="22" t="str">
        <f>IFERROR(VLOOKUP(D530,Clientes_PDV!$A$2:$J$250,4,FALSE),"")</f>
        <v/>
      </c>
      <c r="H530" s="18"/>
      <c r="I530" s="22" t="str">
        <f>IFERROR(VLOOKUP(H530,Maestro_SKU!$A$2:$P$500,2,FALSE),"")</f>
        <v/>
      </c>
      <c r="J530" s="27"/>
      <c r="K530" s="19"/>
      <c r="L530" s="23" t="str">
        <f t="shared" si="64"/>
        <v/>
      </c>
      <c r="M530" s="23" t="str">
        <f>IF(L530="","",L530*Inicio!$B$13)</f>
        <v/>
      </c>
      <c r="N530" s="23" t="str">
        <f t="shared" si="65"/>
        <v/>
      </c>
      <c r="O530" s="26"/>
      <c r="P530" s="18"/>
      <c r="Q530" s="19"/>
      <c r="R530" s="23" t="str">
        <f t="shared" si="66"/>
        <v/>
      </c>
      <c r="S530" s="22" t="str">
        <f ca="1">IF(A530="","",IF(OR(P530="Pagada",R530=0),"Pagada",IF(O530&lt;TODAY(),"Vencida",IF(O530&lt;=TODAY()+Inicio!$B$19,"Próxima a vencer","Vigente"))))</f>
        <v/>
      </c>
      <c r="T530" s="18"/>
      <c r="U530" s="37" t="str">
        <f t="shared" si="67"/>
        <v/>
      </c>
      <c r="V530" s="37" t="str">
        <f t="shared" si="68"/>
        <v/>
      </c>
      <c r="W530" s="37" t="str">
        <f t="shared" si="69"/>
        <v/>
      </c>
      <c r="X530" s="37" t="str">
        <f t="shared" si="70"/>
        <v/>
      </c>
      <c r="Y530" s="37" t="str">
        <f>IF(OR($H530="",$J530=""),"",$J530*IFERROR(VLOOKUP($H530,Maestro_SKU!$A$2:$P$500,12,FALSE),1))</f>
        <v/>
      </c>
      <c r="Z530" s="37" t="str">
        <f t="shared" ca="1" si="71"/>
        <v/>
      </c>
    </row>
    <row r="531" spans="1:26" x14ac:dyDescent="0.35">
      <c r="A531" s="18"/>
      <c r="B531" s="26"/>
      <c r="C531" s="18"/>
      <c r="D531" s="18"/>
      <c r="E531" s="22" t="str">
        <f>IFERROR(VLOOKUP(D531,Clientes_PDV!$A$2:$J$250,2,FALSE),"")</f>
        <v/>
      </c>
      <c r="F531" s="22" t="str">
        <f>IFERROR(VLOOKUP(D531,Clientes_PDV!$A$2:$J$250,3,FALSE),"")</f>
        <v/>
      </c>
      <c r="G531" s="22" t="str">
        <f>IFERROR(VLOOKUP(D531,Clientes_PDV!$A$2:$J$250,4,FALSE),"")</f>
        <v/>
      </c>
      <c r="H531" s="18"/>
      <c r="I531" s="22" t="str">
        <f>IFERROR(VLOOKUP(H531,Maestro_SKU!$A$2:$P$500,2,FALSE),"")</f>
        <v/>
      </c>
      <c r="J531" s="27"/>
      <c r="K531" s="19"/>
      <c r="L531" s="23" t="str">
        <f t="shared" si="64"/>
        <v/>
      </c>
      <c r="M531" s="23" t="str">
        <f>IF(L531="","",L531*Inicio!$B$13)</f>
        <v/>
      </c>
      <c r="N531" s="23" t="str">
        <f t="shared" si="65"/>
        <v/>
      </c>
      <c r="O531" s="26"/>
      <c r="P531" s="18"/>
      <c r="Q531" s="19"/>
      <c r="R531" s="23" t="str">
        <f t="shared" si="66"/>
        <v/>
      </c>
      <c r="S531" s="22" t="str">
        <f ca="1">IF(A531="","",IF(OR(P531="Pagada",R531=0),"Pagada",IF(O531&lt;TODAY(),"Vencida",IF(O531&lt;=TODAY()+Inicio!$B$19,"Próxima a vencer","Vigente"))))</f>
        <v/>
      </c>
      <c r="T531" s="18"/>
      <c r="U531" s="37" t="str">
        <f t="shared" si="67"/>
        <v/>
      </c>
      <c r="V531" s="37" t="str">
        <f t="shared" si="68"/>
        <v/>
      </c>
      <c r="W531" s="37" t="str">
        <f t="shared" si="69"/>
        <v/>
      </c>
      <c r="X531" s="37" t="str">
        <f t="shared" si="70"/>
        <v/>
      </c>
      <c r="Y531" s="37" t="str">
        <f>IF(OR($H531="",$J531=""),"",$J531*IFERROR(VLOOKUP($H531,Maestro_SKU!$A$2:$P$500,12,FALSE),1))</f>
        <v/>
      </c>
      <c r="Z531" s="37" t="str">
        <f t="shared" ca="1" si="71"/>
        <v/>
      </c>
    </row>
    <row r="532" spans="1:26" x14ac:dyDescent="0.35">
      <c r="A532" s="18"/>
      <c r="B532" s="26"/>
      <c r="C532" s="18"/>
      <c r="D532" s="18"/>
      <c r="E532" s="22" t="str">
        <f>IFERROR(VLOOKUP(D532,Clientes_PDV!$A$2:$J$250,2,FALSE),"")</f>
        <v/>
      </c>
      <c r="F532" s="22" t="str">
        <f>IFERROR(VLOOKUP(D532,Clientes_PDV!$A$2:$J$250,3,FALSE),"")</f>
        <v/>
      </c>
      <c r="G532" s="22" t="str">
        <f>IFERROR(VLOOKUP(D532,Clientes_PDV!$A$2:$J$250,4,FALSE),"")</f>
        <v/>
      </c>
      <c r="H532" s="18"/>
      <c r="I532" s="22" t="str">
        <f>IFERROR(VLOOKUP(H532,Maestro_SKU!$A$2:$P$500,2,FALSE),"")</f>
        <v/>
      </c>
      <c r="J532" s="27"/>
      <c r="K532" s="19"/>
      <c r="L532" s="23" t="str">
        <f t="shared" si="64"/>
        <v/>
      </c>
      <c r="M532" s="23" t="str">
        <f>IF(L532="","",L532*Inicio!$B$13)</f>
        <v/>
      </c>
      <c r="N532" s="23" t="str">
        <f t="shared" si="65"/>
        <v/>
      </c>
      <c r="O532" s="26"/>
      <c r="P532" s="18"/>
      <c r="Q532" s="19"/>
      <c r="R532" s="23" t="str">
        <f t="shared" si="66"/>
        <v/>
      </c>
      <c r="S532" s="22" t="str">
        <f ca="1">IF(A532="","",IF(OR(P532="Pagada",R532=0),"Pagada",IF(O532&lt;TODAY(),"Vencida",IF(O532&lt;=TODAY()+Inicio!$B$19,"Próxima a vencer","Vigente"))))</f>
        <v/>
      </c>
      <c r="T532" s="18"/>
      <c r="U532" s="37" t="str">
        <f t="shared" si="67"/>
        <v/>
      </c>
      <c r="V532" s="37" t="str">
        <f t="shared" si="68"/>
        <v/>
      </c>
      <c r="W532" s="37" t="str">
        <f t="shared" si="69"/>
        <v/>
      </c>
      <c r="X532" s="37" t="str">
        <f t="shared" si="70"/>
        <v/>
      </c>
      <c r="Y532" s="37" t="str">
        <f>IF(OR($H532="",$J532=""),"",$J532*IFERROR(VLOOKUP($H532,Maestro_SKU!$A$2:$P$500,12,FALSE),1))</f>
        <v/>
      </c>
      <c r="Z532" s="37" t="str">
        <f t="shared" ca="1" si="71"/>
        <v/>
      </c>
    </row>
    <row r="533" spans="1:26" x14ac:dyDescent="0.35">
      <c r="A533" s="18"/>
      <c r="B533" s="26"/>
      <c r="C533" s="18"/>
      <c r="D533" s="18"/>
      <c r="E533" s="22" t="str">
        <f>IFERROR(VLOOKUP(D533,Clientes_PDV!$A$2:$J$250,2,FALSE),"")</f>
        <v/>
      </c>
      <c r="F533" s="22" t="str">
        <f>IFERROR(VLOOKUP(D533,Clientes_PDV!$A$2:$J$250,3,FALSE),"")</f>
        <v/>
      </c>
      <c r="G533" s="22" t="str">
        <f>IFERROR(VLOOKUP(D533,Clientes_PDV!$A$2:$J$250,4,FALSE),"")</f>
        <v/>
      </c>
      <c r="H533" s="18"/>
      <c r="I533" s="22" t="str">
        <f>IFERROR(VLOOKUP(H533,Maestro_SKU!$A$2:$P$500,2,FALSE),"")</f>
        <v/>
      </c>
      <c r="J533" s="27"/>
      <c r="K533" s="19"/>
      <c r="L533" s="23" t="str">
        <f t="shared" si="64"/>
        <v/>
      </c>
      <c r="M533" s="23" t="str">
        <f>IF(L533="","",L533*Inicio!$B$13)</f>
        <v/>
      </c>
      <c r="N533" s="23" t="str">
        <f t="shared" si="65"/>
        <v/>
      </c>
      <c r="O533" s="26"/>
      <c r="P533" s="18"/>
      <c r="Q533" s="19"/>
      <c r="R533" s="23" t="str">
        <f t="shared" si="66"/>
        <v/>
      </c>
      <c r="S533" s="22" t="str">
        <f ca="1">IF(A533="","",IF(OR(P533="Pagada",R533=0),"Pagada",IF(O533&lt;TODAY(),"Vencida",IF(O533&lt;=TODAY()+Inicio!$B$19,"Próxima a vencer","Vigente"))))</f>
        <v/>
      </c>
      <c r="T533" s="18"/>
      <c r="U533" s="37" t="str">
        <f t="shared" si="67"/>
        <v/>
      </c>
      <c r="V533" s="37" t="str">
        <f t="shared" si="68"/>
        <v/>
      </c>
      <c r="W533" s="37" t="str">
        <f t="shared" si="69"/>
        <v/>
      </c>
      <c r="X533" s="37" t="str">
        <f t="shared" si="70"/>
        <v/>
      </c>
      <c r="Y533" s="37" t="str">
        <f>IF(OR($H533="",$J533=""),"",$J533*IFERROR(VLOOKUP($H533,Maestro_SKU!$A$2:$P$500,12,FALSE),1))</f>
        <v/>
      </c>
      <c r="Z533" s="37" t="str">
        <f t="shared" ca="1" si="71"/>
        <v/>
      </c>
    </row>
    <row r="534" spans="1:26" x14ac:dyDescent="0.35">
      <c r="A534" s="18"/>
      <c r="B534" s="26"/>
      <c r="C534" s="18"/>
      <c r="D534" s="18"/>
      <c r="E534" s="22" t="str">
        <f>IFERROR(VLOOKUP(D534,Clientes_PDV!$A$2:$J$250,2,FALSE),"")</f>
        <v/>
      </c>
      <c r="F534" s="22" t="str">
        <f>IFERROR(VLOOKUP(D534,Clientes_PDV!$A$2:$J$250,3,FALSE),"")</f>
        <v/>
      </c>
      <c r="G534" s="22" t="str">
        <f>IFERROR(VLOOKUP(D534,Clientes_PDV!$A$2:$J$250,4,FALSE),"")</f>
        <v/>
      </c>
      <c r="H534" s="18"/>
      <c r="I534" s="22" t="str">
        <f>IFERROR(VLOOKUP(H534,Maestro_SKU!$A$2:$P$500,2,FALSE),"")</f>
        <v/>
      </c>
      <c r="J534" s="27"/>
      <c r="K534" s="19"/>
      <c r="L534" s="23" t="str">
        <f t="shared" si="64"/>
        <v/>
      </c>
      <c r="M534" s="23" t="str">
        <f>IF(L534="","",L534*Inicio!$B$13)</f>
        <v/>
      </c>
      <c r="N534" s="23" t="str">
        <f t="shared" si="65"/>
        <v/>
      </c>
      <c r="O534" s="26"/>
      <c r="P534" s="18"/>
      <c r="Q534" s="19"/>
      <c r="R534" s="23" t="str">
        <f t="shared" si="66"/>
        <v/>
      </c>
      <c r="S534" s="22" t="str">
        <f ca="1">IF(A534="","",IF(OR(P534="Pagada",R534=0),"Pagada",IF(O534&lt;TODAY(),"Vencida",IF(O534&lt;=TODAY()+Inicio!$B$19,"Próxima a vencer","Vigente"))))</f>
        <v/>
      </c>
      <c r="T534" s="18"/>
      <c r="U534" s="37" t="str">
        <f t="shared" si="67"/>
        <v/>
      </c>
      <c r="V534" s="37" t="str">
        <f t="shared" si="68"/>
        <v/>
      </c>
      <c r="W534" s="37" t="str">
        <f t="shared" si="69"/>
        <v/>
      </c>
      <c r="X534" s="37" t="str">
        <f t="shared" si="70"/>
        <v/>
      </c>
      <c r="Y534" s="37" t="str">
        <f>IF(OR($H534="",$J534=""),"",$J534*IFERROR(VLOOKUP($H534,Maestro_SKU!$A$2:$P$500,12,FALSE),1))</f>
        <v/>
      </c>
      <c r="Z534" s="37" t="str">
        <f t="shared" ca="1" si="71"/>
        <v/>
      </c>
    </row>
    <row r="535" spans="1:26" x14ac:dyDescent="0.35">
      <c r="A535" s="18"/>
      <c r="B535" s="26"/>
      <c r="C535" s="18"/>
      <c r="D535" s="18"/>
      <c r="E535" s="22" t="str">
        <f>IFERROR(VLOOKUP(D535,Clientes_PDV!$A$2:$J$250,2,FALSE),"")</f>
        <v/>
      </c>
      <c r="F535" s="22" t="str">
        <f>IFERROR(VLOOKUP(D535,Clientes_PDV!$A$2:$J$250,3,FALSE),"")</f>
        <v/>
      </c>
      <c r="G535" s="22" t="str">
        <f>IFERROR(VLOOKUP(D535,Clientes_PDV!$A$2:$J$250,4,FALSE),"")</f>
        <v/>
      </c>
      <c r="H535" s="18"/>
      <c r="I535" s="22" t="str">
        <f>IFERROR(VLOOKUP(H535,Maestro_SKU!$A$2:$P$500,2,FALSE),"")</f>
        <v/>
      </c>
      <c r="J535" s="27"/>
      <c r="K535" s="19"/>
      <c r="L535" s="23" t="str">
        <f t="shared" si="64"/>
        <v/>
      </c>
      <c r="M535" s="23" t="str">
        <f>IF(L535="","",L535*Inicio!$B$13)</f>
        <v/>
      </c>
      <c r="N535" s="23" t="str">
        <f t="shared" si="65"/>
        <v/>
      </c>
      <c r="O535" s="26"/>
      <c r="P535" s="18"/>
      <c r="Q535" s="19"/>
      <c r="R535" s="23" t="str">
        <f t="shared" si="66"/>
        <v/>
      </c>
      <c r="S535" s="22" t="str">
        <f ca="1">IF(A535="","",IF(OR(P535="Pagada",R535=0),"Pagada",IF(O535&lt;TODAY(),"Vencida",IF(O535&lt;=TODAY()+Inicio!$B$19,"Próxima a vencer","Vigente"))))</f>
        <v/>
      </c>
      <c r="T535" s="18"/>
      <c r="U535" s="37" t="str">
        <f t="shared" si="67"/>
        <v/>
      </c>
      <c r="V535" s="37" t="str">
        <f t="shared" si="68"/>
        <v/>
      </c>
      <c r="W535" s="37" t="str">
        <f t="shared" si="69"/>
        <v/>
      </c>
      <c r="X535" s="37" t="str">
        <f t="shared" si="70"/>
        <v/>
      </c>
      <c r="Y535" s="37" t="str">
        <f>IF(OR($H535="",$J535=""),"",$J535*IFERROR(VLOOKUP($H535,Maestro_SKU!$A$2:$P$500,12,FALSE),1))</f>
        <v/>
      </c>
      <c r="Z535" s="37" t="str">
        <f t="shared" ca="1" si="71"/>
        <v/>
      </c>
    </row>
    <row r="536" spans="1:26" x14ac:dyDescent="0.35">
      <c r="A536" s="18"/>
      <c r="B536" s="26"/>
      <c r="C536" s="18"/>
      <c r="D536" s="18"/>
      <c r="E536" s="22" t="str">
        <f>IFERROR(VLOOKUP(D536,Clientes_PDV!$A$2:$J$250,2,FALSE),"")</f>
        <v/>
      </c>
      <c r="F536" s="22" t="str">
        <f>IFERROR(VLOOKUP(D536,Clientes_PDV!$A$2:$J$250,3,FALSE),"")</f>
        <v/>
      </c>
      <c r="G536" s="22" t="str">
        <f>IFERROR(VLOOKUP(D536,Clientes_PDV!$A$2:$J$250,4,FALSE),"")</f>
        <v/>
      </c>
      <c r="H536" s="18"/>
      <c r="I536" s="22" t="str">
        <f>IFERROR(VLOOKUP(H536,Maestro_SKU!$A$2:$P$500,2,FALSE),"")</f>
        <v/>
      </c>
      <c r="J536" s="27"/>
      <c r="K536" s="19"/>
      <c r="L536" s="23" t="str">
        <f t="shared" si="64"/>
        <v/>
      </c>
      <c r="M536" s="23" t="str">
        <f>IF(L536="","",L536*Inicio!$B$13)</f>
        <v/>
      </c>
      <c r="N536" s="23" t="str">
        <f t="shared" si="65"/>
        <v/>
      </c>
      <c r="O536" s="26"/>
      <c r="P536" s="18"/>
      <c r="Q536" s="19"/>
      <c r="R536" s="23" t="str">
        <f t="shared" si="66"/>
        <v/>
      </c>
      <c r="S536" s="22" t="str">
        <f ca="1">IF(A536="","",IF(OR(P536="Pagada",R536=0),"Pagada",IF(O536&lt;TODAY(),"Vencida",IF(O536&lt;=TODAY()+Inicio!$B$19,"Próxima a vencer","Vigente"))))</f>
        <v/>
      </c>
      <c r="T536" s="18"/>
      <c r="U536" s="37" t="str">
        <f t="shared" si="67"/>
        <v/>
      </c>
      <c r="V536" s="37" t="str">
        <f t="shared" si="68"/>
        <v/>
      </c>
      <c r="W536" s="37" t="str">
        <f t="shared" si="69"/>
        <v/>
      </c>
      <c r="X536" s="37" t="str">
        <f t="shared" si="70"/>
        <v/>
      </c>
      <c r="Y536" s="37" t="str">
        <f>IF(OR($H536="",$J536=""),"",$J536*IFERROR(VLOOKUP($H536,Maestro_SKU!$A$2:$P$500,12,FALSE),1))</f>
        <v/>
      </c>
      <c r="Z536" s="37" t="str">
        <f t="shared" ca="1" si="71"/>
        <v/>
      </c>
    </row>
    <row r="537" spans="1:26" x14ac:dyDescent="0.35">
      <c r="A537" s="18"/>
      <c r="B537" s="26"/>
      <c r="C537" s="18"/>
      <c r="D537" s="18"/>
      <c r="E537" s="22" t="str">
        <f>IFERROR(VLOOKUP(D537,Clientes_PDV!$A$2:$J$250,2,FALSE),"")</f>
        <v/>
      </c>
      <c r="F537" s="22" t="str">
        <f>IFERROR(VLOOKUP(D537,Clientes_PDV!$A$2:$J$250,3,FALSE),"")</f>
        <v/>
      </c>
      <c r="G537" s="22" t="str">
        <f>IFERROR(VLOOKUP(D537,Clientes_PDV!$A$2:$J$250,4,FALSE),"")</f>
        <v/>
      </c>
      <c r="H537" s="18"/>
      <c r="I537" s="22" t="str">
        <f>IFERROR(VLOOKUP(H537,Maestro_SKU!$A$2:$P$500,2,FALSE),"")</f>
        <v/>
      </c>
      <c r="J537" s="27"/>
      <c r="K537" s="19"/>
      <c r="L537" s="23" t="str">
        <f t="shared" si="64"/>
        <v/>
      </c>
      <c r="M537" s="23" t="str">
        <f>IF(L537="","",L537*Inicio!$B$13)</f>
        <v/>
      </c>
      <c r="N537" s="23" t="str">
        <f t="shared" si="65"/>
        <v/>
      </c>
      <c r="O537" s="26"/>
      <c r="P537" s="18"/>
      <c r="Q537" s="19"/>
      <c r="R537" s="23" t="str">
        <f t="shared" si="66"/>
        <v/>
      </c>
      <c r="S537" s="22" t="str">
        <f ca="1">IF(A537="","",IF(OR(P537="Pagada",R537=0),"Pagada",IF(O537&lt;TODAY(),"Vencida",IF(O537&lt;=TODAY()+Inicio!$B$19,"Próxima a vencer","Vigente"))))</f>
        <v/>
      </c>
      <c r="T537" s="18"/>
      <c r="U537" s="37" t="str">
        <f t="shared" si="67"/>
        <v/>
      </c>
      <c r="V537" s="37" t="str">
        <f t="shared" si="68"/>
        <v/>
      </c>
      <c r="W537" s="37" t="str">
        <f t="shared" si="69"/>
        <v/>
      </c>
      <c r="X537" s="37" t="str">
        <f t="shared" si="70"/>
        <v/>
      </c>
      <c r="Y537" s="37" t="str">
        <f>IF(OR($H537="",$J537=""),"",$J537*IFERROR(VLOOKUP($H537,Maestro_SKU!$A$2:$P$500,12,FALSE),1))</f>
        <v/>
      </c>
      <c r="Z537" s="37" t="str">
        <f t="shared" ca="1" si="71"/>
        <v/>
      </c>
    </row>
    <row r="538" spans="1:26" x14ac:dyDescent="0.35">
      <c r="A538" s="18"/>
      <c r="B538" s="26"/>
      <c r="C538" s="18"/>
      <c r="D538" s="18"/>
      <c r="E538" s="22" t="str">
        <f>IFERROR(VLOOKUP(D538,Clientes_PDV!$A$2:$J$250,2,FALSE),"")</f>
        <v/>
      </c>
      <c r="F538" s="22" t="str">
        <f>IFERROR(VLOOKUP(D538,Clientes_PDV!$A$2:$J$250,3,FALSE),"")</f>
        <v/>
      </c>
      <c r="G538" s="22" t="str">
        <f>IFERROR(VLOOKUP(D538,Clientes_PDV!$A$2:$J$250,4,FALSE),"")</f>
        <v/>
      </c>
      <c r="H538" s="18"/>
      <c r="I538" s="22" t="str">
        <f>IFERROR(VLOOKUP(H538,Maestro_SKU!$A$2:$P$500,2,FALSE),"")</f>
        <v/>
      </c>
      <c r="J538" s="27"/>
      <c r="K538" s="19"/>
      <c r="L538" s="23" t="str">
        <f t="shared" si="64"/>
        <v/>
      </c>
      <c r="M538" s="23" t="str">
        <f>IF(L538="","",L538*Inicio!$B$13)</f>
        <v/>
      </c>
      <c r="N538" s="23" t="str">
        <f t="shared" si="65"/>
        <v/>
      </c>
      <c r="O538" s="26"/>
      <c r="P538" s="18"/>
      <c r="Q538" s="19"/>
      <c r="R538" s="23" t="str">
        <f t="shared" si="66"/>
        <v/>
      </c>
      <c r="S538" s="22" t="str">
        <f ca="1">IF(A538="","",IF(OR(P538="Pagada",R538=0),"Pagada",IF(O538&lt;TODAY(),"Vencida",IF(O538&lt;=TODAY()+Inicio!$B$19,"Próxima a vencer","Vigente"))))</f>
        <v/>
      </c>
      <c r="T538" s="18"/>
      <c r="U538" s="37" t="str">
        <f t="shared" si="67"/>
        <v/>
      </c>
      <c r="V538" s="37" t="str">
        <f t="shared" si="68"/>
        <v/>
      </c>
      <c r="W538" s="37" t="str">
        <f t="shared" si="69"/>
        <v/>
      </c>
      <c r="X538" s="37" t="str">
        <f t="shared" si="70"/>
        <v/>
      </c>
      <c r="Y538" s="37" t="str">
        <f>IF(OR($H538="",$J538=""),"",$J538*IFERROR(VLOOKUP($H538,Maestro_SKU!$A$2:$P$500,12,FALSE),1))</f>
        <v/>
      </c>
      <c r="Z538" s="37" t="str">
        <f t="shared" ca="1" si="71"/>
        <v/>
      </c>
    </row>
    <row r="539" spans="1:26" x14ac:dyDescent="0.35">
      <c r="A539" s="18"/>
      <c r="B539" s="26"/>
      <c r="C539" s="18"/>
      <c r="D539" s="18"/>
      <c r="E539" s="22" t="str">
        <f>IFERROR(VLOOKUP(D539,Clientes_PDV!$A$2:$J$250,2,FALSE),"")</f>
        <v/>
      </c>
      <c r="F539" s="22" t="str">
        <f>IFERROR(VLOOKUP(D539,Clientes_PDV!$A$2:$J$250,3,FALSE),"")</f>
        <v/>
      </c>
      <c r="G539" s="22" t="str">
        <f>IFERROR(VLOOKUP(D539,Clientes_PDV!$A$2:$J$250,4,FALSE),"")</f>
        <v/>
      </c>
      <c r="H539" s="18"/>
      <c r="I539" s="22" t="str">
        <f>IFERROR(VLOOKUP(H539,Maestro_SKU!$A$2:$P$500,2,FALSE),"")</f>
        <v/>
      </c>
      <c r="J539" s="27"/>
      <c r="K539" s="19"/>
      <c r="L539" s="23" t="str">
        <f t="shared" si="64"/>
        <v/>
      </c>
      <c r="M539" s="23" t="str">
        <f>IF(L539="","",L539*Inicio!$B$13)</f>
        <v/>
      </c>
      <c r="N539" s="23" t="str">
        <f t="shared" si="65"/>
        <v/>
      </c>
      <c r="O539" s="26"/>
      <c r="P539" s="18"/>
      <c r="Q539" s="19"/>
      <c r="R539" s="23" t="str">
        <f t="shared" si="66"/>
        <v/>
      </c>
      <c r="S539" s="22" t="str">
        <f ca="1">IF(A539="","",IF(OR(P539="Pagada",R539=0),"Pagada",IF(O539&lt;TODAY(),"Vencida",IF(O539&lt;=TODAY()+Inicio!$B$19,"Próxima a vencer","Vigente"))))</f>
        <v/>
      </c>
      <c r="T539" s="18"/>
      <c r="U539" s="37" t="str">
        <f t="shared" si="67"/>
        <v/>
      </c>
      <c r="V539" s="37" t="str">
        <f t="shared" si="68"/>
        <v/>
      </c>
      <c r="W539" s="37" t="str">
        <f t="shared" si="69"/>
        <v/>
      </c>
      <c r="X539" s="37" t="str">
        <f t="shared" si="70"/>
        <v/>
      </c>
      <c r="Y539" s="37" t="str">
        <f>IF(OR($H539="",$J539=""),"",$J539*IFERROR(VLOOKUP($H539,Maestro_SKU!$A$2:$P$500,12,FALSE),1))</f>
        <v/>
      </c>
      <c r="Z539" s="37" t="str">
        <f t="shared" ca="1" si="71"/>
        <v/>
      </c>
    </row>
    <row r="540" spans="1:26" x14ac:dyDescent="0.35">
      <c r="A540" s="18"/>
      <c r="B540" s="26"/>
      <c r="C540" s="18"/>
      <c r="D540" s="18"/>
      <c r="E540" s="22" t="str">
        <f>IFERROR(VLOOKUP(D540,Clientes_PDV!$A$2:$J$250,2,FALSE),"")</f>
        <v/>
      </c>
      <c r="F540" s="22" t="str">
        <f>IFERROR(VLOOKUP(D540,Clientes_PDV!$A$2:$J$250,3,FALSE),"")</f>
        <v/>
      </c>
      <c r="G540" s="22" t="str">
        <f>IFERROR(VLOOKUP(D540,Clientes_PDV!$A$2:$J$250,4,FALSE),"")</f>
        <v/>
      </c>
      <c r="H540" s="18"/>
      <c r="I540" s="22" t="str">
        <f>IFERROR(VLOOKUP(H540,Maestro_SKU!$A$2:$P$500,2,FALSE),"")</f>
        <v/>
      </c>
      <c r="J540" s="27"/>
      <c r="K540" s="19"/>
      <c r="L540" s="23" t="str">
        <f t="shared" si="64"/>
        <v/>
      </c>
      <c r="M540" s="23" t="str">
        <f>IF(L540="","",L540*Inicio!$B$13)</f>
        <v/>
      </c>
      <c r="N540" s="23" t="str">
        <f t="shared" si="65"/>
        <v/>
      </c>
      <c r="O540" s="26"/>
      <c r="P540" s="18"/>
      <c r="Q540" s="19"/>
      <c r="R540" s="23" t="str">
        <f t="shared" si="66"/>
        <v/>
      </c>
      <c r="S540" s="22" t="str">
        <f ca="1">IF(A540="","",IF(OR(P540="Pagada",R540=0),"Pagada",IF(O540&lt;TODAY(),"Vencida",IF(O540&lt;=TODAY()+Inicio!$B$19,"Próxima a vencer","Vigente"))))</f>
        <v/>
      </c>
      <c r="T540" s="18"/>
      <c r="U540" s="37" t="str">
        <f t="shared" si="67"/>
        <v/>
      </c>
      <c r="V540" s="37" t="str">
        <f t="shared" si="68"/>
        <v/>
      </c>
      <c r="W540" s="37" t="str">
        <f t="shared" si="69"/>
        <v/>
      </c>
      <c r="X540" s="37" t="str">
        <f t="shared" si="70"/>
        <v/>
      </c>
      <c r="Y540" s="37" t="str">
        <f>IF(OR($H540="",$J540=""),"",$J540*IFERROR(VLOOKUP($H540,Maestro_SKU!$A$2:$P$500,12,FALSE),1))</f>
        <v/>
      </c>
      <c r="Z540" s="37" t="str">
        <f t="shared" ca="1" si="71"/>
        <v/>
      </c>
    </row>
    <row r="541" spans="1:26" x14ac:dyDescent="0.35">
      <c r="A541" s="18"/>
      <c r="B541" s="26"/>
      <c r="C541" s="18"/>
      <c r="D541" s="18"/>
      <c r="E541" s="22" t="str">
        <f>IFERROR(VLOOKUP(D541,Clientes_PDV!$A$2:$J$250,2,FALSE),"")</f>
        <v/>
      </c>
      <c r="F541" s="22" t="str">
        <f>IFERROR(VLOOKUP(D541,Clientes_PDV!$A$2:$J$250,3,FALSE),"")</f>
        <v/>
      </c>
      <c r="G541" s="22" t="str">
        <f>IFERROR(VLOOKUP(D541,Clientes_PDV!$A$2:$J$250,4,FALSE),"")</f>
        <v/>
      </c>
      <c r="H541" s="18"/>
      <c r="I541" s="22" t="str">
        <f>IFERROR(VLOOKUP(H541,Maestro_SKU!$A$2:$P$500,2,FALSE),"")</f>
        <v/>
      </c>
      <c r="J541" s="27"/>
      <c r="K541" s="19"/>
      <c r="L541" s="23" t="str">
        <f t="shared" si="64"/>
        <v/>
      </c>
      <c r="M541" s="23" t="str">
        <f>IF(L541="","",L541*Inicio!$B$13)</f>
        <v/>
      </c>
      <c r="N541" s="23" t="str">
        <f t="shared" si="65"/>
        <v/>
      </c>
      <c r="O541" s="26"/>
      <c r="P541" s="18"/>
      <c r="Q541" s="19"/>
      <c r="R541" s="23" t="str">
        <f t="shared" si="66"/>
        <v/>
      </c>
      <c r="S541" s="22" t="str">
        <f ca="1">IF(A541="","",IF(OR(P541="Pagada",R541=0),"Pagada",IF(O541&lt;TODAY(),"Vencida",IF(O541&lt;=TODAY()+Inicio!$B$19,"Próxima a vencer","Vigente"))))</f>
        <v/>
      </c>
      <c r="T541" s="18"/>
      <c r="U541" s="37" t="str">
        <f t="shared" si="67"/>
        <v/>
      </c>
      <c r="V541" s="37" t="str">
        <f t="shared" si="68"/>
        <v/>
      </c>
      <c r="W541" s="37" t="str">
        <f t="shared" si="69"/>
        <v/>
      </c>
      <c r="X541" s="37" t="str">
        <f t="shared" si="70"/>
        <v/>
      </c>
      <c r="Y541" s="37" t="str">
        <f>IF(OR($H541="",$J541=""),"",$J541*IFERROR(VLOOKUP($H541,Maestro_SKU!$A$2:$P$500,12,FALSE),1))</f>
        <v/>
      </c>
      <c r="Z541" s="37" t="str">
        <f t="shared" ca="1" si="71"/>
        <v/>
      </c>
    </row>
    <row r="542" spans="1:26" x14ac:dyDescent="0.35">
      <c r="A542" s="18"/>
      <c r="B542" s="26"/>
      <c r="C542" s="18"/>
      <c r="D542" s="18"/>
      <c r="E542" s="22" t="str">
        <f>IFERROR(VLOOKUP(D542,Clientes_PDV!$A$2:$J$250,2,FALSE),"")</f>
        <v/>
      </c>
      <c r="F542" s="22" t="str">
        <f>IFERROR(VLOOKUP(D542,Clientes_PDV!$A$2:$J$250,3,FALSE),"")</f>
        <v/>
      </c>
      <c r="G542" s="22" t="str">
        <f>IFERROR(VLOOKUP(D542,Clientes_PDV!$A$2:$J$250,4,FALSE),"")</f>
        <v/>
      </c>
      <c r="H542" s="18"/>
      <c r="I542" s="22" t="str">
        <f>IFERROR(VLOOKUP(H542,Maestro_SKU!$A$2:$P$500,2,FALSE),"")</f>
        <v/>
      </c>
      <c r="J542" s="27"/>
      <c r="K542" s="19"/>
      <c r="L542" s="23" t="str">
        <f t="shared" si="64"/>
        <v/>
      </c>
      <c r="M542" s="23" t="str">
        <f>IF(L542="","",L542*Inicio!$B$13)</f>
        <v/>
      </c>
      <c r="N542" s="23" t="str">
        <f t="shared" si="65"/>
        <v/>
      </c>
      <c r="O542" s="26"/>
      <c r="P542" s="18"/>
      <c r="Q542" s="19"/>
      <c r="R542" s="23" t="str">
        <f t="shared" si="66"/>
        <v/>
      </c>
      <c r="S542" s="22" t="str">
        <f ca="1">IF(A542="","",IF(OR(P542="Pagada",R542=0),"Pagada",IF(O542&lt;TODAY(),"Vencida",IF(O542&lt;=TODAY()+Inicio!$B$19,"Próxima a vencer","Vigente"))))</f>
        <v/>
      </c>
      <c r="T542" s="18"/>
      <c r="U542" s="37" t="str">
        <f t="shared" si="67"/>
        <v/>
      </c>
      <c r="V542" s="37" t="str">
        <f t="shared" si="68"/>
        <v/>
      </c>
      <c r="W542" s="37" t="str">
        <f t="shared" si="69"/>
        <v/>
      </c>
      <c r="X542" s="37" t="str">
        <f t="shared" si="70"/>
        <v/>
      </c>
      <c r="Y542" s="37" t="str">
        <f>IF(OR($H542="",$J542=""),"",$J542*IFERROR(VLOOKUP($H542,Maestro_SKU!$A$2:$P$500,12,FALSE),1))</f>
        <v/>
      </c>
      <c r="Z542" s="37" t="str">
        <f t="shared" ca="1" si="71"/>
        <v/>
      </c>
    </row>
    <row r="543" spans="1:26" x14ac:dyDescent="0.35">
      <c r="A543" s="18"/>
      <c r="B543" s="26"/>
      <c r="C543" s="18"/>
      <c r="D543" s="18"/>
      <c r="E543" s="22" t="str">
        <f>IFERROR(VLOOKUP(D543,Clientes_PDV!$A$2:$J$250,2,FALSE),"")</f>
        <v/>
      </c>
      <c r="F543" s="22" t="str">
        <f>IFERROR(VLOOKUP(D543,Clientes_PDV!$A$2:$J$250,3,FALSE),"")</f>
        <v/>
      </c>
      <c r="G543" s="22" t="str">
        <f>IFERROR(VLOOKUP(D543,Clientes_PDV!$A$2:$J$250,4,FALSE),"")</f>
        <v/>
      </c>
      <c r="H543" s="18"/>
      <c r="I543" s="22" t="str">
        <f>IFERROR(VLOOKUP(H543,Maestro_SKU!$A$2:$P$500,2,FALSE),"")</f>
        <v/>
      </c>
      <c r="J543" s="27"/>
      <c r="K543" s="19"/>
      <c r="L543" s="23" t="str">
        <f t="shared" si="64"/>
        <v/>
      </c>
      <c r="M543" s="23" t="str">
        <f>IF(L543="","",L543*Inicio!$B$13)</f>
        <v/>
      </c>
      <c r="N543" s="23" t="str">
        <f t="shared" si="65"/>
        <v/>
      </c>
      <c r="O543" s="26"/>
      <c r="P543" s="18"/>
      <c r="Q543" s="19"/>
      <c r="R543" s="23" t="str">
        <f t="shared" si="66"/>
        <v/>
      </c>
      <c r="S543" s="22" t="str">
        <f ca="1">IF(A543="","",IF(OR(P543="Pagada",R543=0),"Pagada",IF(O543&lt;TODAY(),"Vencida",IF(O543&lt;=TODAY()+Inicio!$B$19,"Próxima a vencer","Vigente"))))</f>
        <v/>
      </c>
      <c r="T543" s="18"/>
      <c r="U543" s="37" t="str">
        <f t="shared" si="67"/>
        <v/>
      </c>
      <c r="V543" s="37" t="str">
        <f t="shared" si="68"/>
        <v/>
      </c>
      <c r="W543" s="37" t="str">
        <f t="shared" si="69"/>
        <v/>
      </c>
      <c r="X543" s="37" t="str">
        <f t="shared" si="70"/>
        <v/>
      </c>
      <c r="Y543" s="37" t="str">
        <f>IF(OR($H543="",$J543=""),"",$J543*IFERROR(VLOOKUP($H543,Maestro_SKU!$A$2:$P$500,12,FALSE),1))</f>
        <v/>
      </c>
      <c r="Z543" s="37" t="str">
        <f t="shared" ca="1" si="71"/>
        <v/>
      </c>
    </row>
    <row r="544" spans="1:26" x14ac:dyDescent="0.35">
      <c r="A544" s="18"/>
      <c r="B544" s="26"/>
      <c r="C544" s="18"/>
      <c r="D544" s="18"/>
      <c r="E544" s="22" t="str">
        <f>IFERROR(VLOOKUP(D544,Clientes_PDV!$A$2:$J$250,2,FALSE),"")</f>
        <v/>
      </c>
      <c r="F544" s="22" t="str">
        <f>IFERROR(VLOOKUP(D544,Clientes_PDV!$A$2:$J$250,3,FALSE),"")</f>
        <v/>
      </c>
      <c r="G544" s="22" t="str">
        <f>IFERROR(VLOOKUP(D544,Clientes_PDV!$A$2:$J$250,4,FALSE),"")</f>
        <v/>
      </c>
      <c r="H544" s="18"/>
      <c r="I544" s="22" t="str">
        <f>IFERROR(VLOOKUP(H544,Maestro_SKU!$A$2:$P$500,2,FALSE),"")</f>
        <v/>
      </c>
      <c r="J544" s="27"/>
      <c r="K544" s="19"/>
      <c r="L544" s="23" t="str">
        <f t="shared" si="64"/>
        <v/>
      </c>
      <c r="M544" s="23" t="str">
        <f>IF(L544="","",L544*Inicio!$B$13)</f>
        <v/>
      </c>
      <c r="N544" s="23" t="str">
        <f t="shared" si="65"/>
        <v/>
      </c>
      <c r="O544" s="26"/>
      <c r="P544" s="18"/>
      <c r="Q544" s="19"/>
      <c r="R544" s="23" t="str">
        <f t="shared" si="66"/>
        <v/>
      </c>
      <c r="S544" s="22" t="str">
        <f ca="1">IF(A544="","",IF(OR(P544="Pagada",R544=0),"Pagada",IF(O544&lt;TODAY(),"Vencida",IF(O544&lt;=TODAY()+Inicio!$B$19,"Próxima a vencer","Vigente"))))</f>
        <v/>
      </c>
      <c r="T544" s="18"/>
      <c r="U544" s="37" t="str">
        <f t="shared" si="67"/>
        <v/>
      </c>
      <c r="V544" s="37" t="str">
        <f t="shared" si="68"/>
        <v/>
      </c>
      <c r="W544" s="37" t="str">
        <f t="shared" si="69"/>
        <v/>
      </c>
      <c r="X544" s="37" t="str">
        <f t="shared" si="70"/>
        <v/>
      </c>
      <c r="Y544" s="37" t="str">
        <f>IF(OR($H544="",$J544=""),"",$J544*IFERROR(VLOOKUP($H544,Maestro_SKU!$A$2:$P$500,12,FALSE),1))</f>
        <v/>
      </c>
      <c r="Z544" s="37" t="str">
        <f t="shared" ca="1" si="71"/>
        <v/>
      </c>
    </row>
    <row r="545" spans="1:26" x14ac:dyDescent="0.35">
      <c r="A545" s="18"/>
      <c r="B545" s="26"/>
      <c r="C545" s="18"/>
      <c r="D545" s="18"/>
      <c r="E545" s="22" t="str">
        <f>IFERROR(VLOOKUP(D545,Clientes_PDV!$A$2:$J$250,2,FALSE),"")</f>
        <v/>
      </c>
      <c r="F545" s="22" t="str">
        <f>IFERROR(VLOOKUP(D545,Clientes_PDV!$A$2:$J$250,3,FALSE),"")</f>
        <v/>
      </c>
      <c r="G545" s="22" t="str">
        <f>IFERROR(VLOOKUP(D545,Clientes_PDV!$A$2:$J$250,4,FALSE),"")</f>
        <v/>
      </c>
      <c r="H545" s="18"/>
      <c r="I545" s="22" t="str">
        <f>IFERROR(VLOOKUP(H545,Maestro_SKU!$A$2:$P$500,2,FALSE),"")</f>
        <v/>
      </c>
      <c r="J545" s="27"/>
      <c r="K545" s="19"/>
      <c r="L545" s="23" t="str">
        <f t="shared" si="64"/>
        <v/>
      </c>
      <c r="M545" s="23" t="str">
        <f>IF(L545="","",L545*Inicio!$B$13)</f>
        <v/>
      </c>
      <c r="N545" s="23" t="str">
        <f t="shared" si="65"/>
        <v/>
      </c>
      <c r="O545" s="26"/>
      <c r="P545" s="18"/>
      <c r="Q545" s="19"/>
      <c r="R545" s="23" t="str">
        <f t="shared" si="66"/>
        <v/>
      </c>
      <c r="S545" s="22" t="str">
        <f ca="1">IF(A545="","",IF(OR(P545="Pagada",R545=0),"Pagada",IF(O545&lt;TODAY(),"Vencida",IF(O545&lt;=TODAY()+Inicio!$B$19,"Próxima a vencer","Vigente"))))</f>
        <v/>
      </c>
      <c r="T545" s="18"/>
      <c r="U545" s="37" t="str">
        <f t="shared" si="67"/>
        <v/>
      </c>
      <c r="V545" s="37" t="str">
        <f t="shared" si="68"/>
        <v/>
      </c>
      <c r="W545" s="37" t="str">
        <f t="shared" si="69"/>
        <v/>
      </c>
      <c r="X545" s="37" t="str">
        <f t="shared" si="70"/>
        <v/>
      </c>
      <c r="Y545" s="37" t="str">
        <f>IF(OR($H545="",$J545=""),"",$J545*IFERROR(VLOOKUP($H545,Maestro_SKU!$A$2:$P$500,12,FALSE),1))</f>
        <v/>
      </c>
      <c r="Z545" s="37" t="str">
        <f t="shared" ca="1" si="71"/>
        <v/>
      </c>
    </row>
    <row r="546" spans="1:26" x14ac:dyDescent="0.35">
      <c r="A546" s="18"/>
      <c r="B546" s="26"/>
      <c r="C546" s="18"/>
      <c r="D546" s="18"/>
      <c r="E546" s="22" t="str">
        <f>IFERROR(VLOOKUP(D546,Clientes_PDV!$A$2:$J$250,2,FALSE),"")</f>
        <v/>
      </c>
      <c r="F546" s="22" t="str">
        <f>IFERROR(VLOOKUP(D546,Clientes_PDV!$A$2:$J$250,3,FALSE),"")</f>
        <v/>
      </c>
      <c r="G546" s="22" t="str">
        <f>IFERROR(VLOOKUP(D546,Clientes_PDV!$A$2:$J$250,4,FALSE),"")</f>
        <v/>
      </c>
      <c r="H546" s="18"/>
      <c r="I546" s="22" t="str">
        <f>IFERROR(VLOOKUP(H546,Maestro_SKU!$A$2:$P$500,2,FALSE),"")</f>
        <v/>
      </c>
      <c r="J546" s="27"/>
      <c r="K546" s="19"/>
      <c r="L546" s="23" t="str">
        <f t="shared" si="64"/>
        <v/>
      </c>
      <c r="M546" s="23" t="str">
        <f>IF(L546="","",L546*Inicio!$B$13)</f>
        <v/>
      </c>
      <c r="N546" s="23" t="str">
        <f t="shared" si="65"/>
        <v/>
      </c>
      <c r="O546" s="26"/>
      <c r="P546" s="18"/>
      <c r="Q546" s="19"/>
      <c r="R546" s="23" t="str">
        <f t="shared" si="66"/>
        <v/>
      </c>
      <c r="S546" s="22" t="str">
        <f ca="1">IF(A546="","",IF(OR(P546="Pagada",R546=0),"Pagada",IF(O546&lt;TODAY(),"Vencida",IF(O546&lt;=TODAY()+Inicio!$B$19,"Próxima a vencer","Vigente"))))</f>
        <v/>
      </c>
      <c r="T546" s="18"/>
      <c r="U546" s="37" t="str">
        <f t="shared" si="67"/>
        <v/>
      </c>
      <c r="V546" s="37" t="str">
        <f t="shared" si="68"/>
        <v/>
      </c>
      <c r="W546" s="37" t="str">
        <f t="shared" si="69"/>
        <v/>
      </c>
      <c r="X546" s="37" t="str">
        <f t="shared" si="70"/>
        <v/>
      </c>
      <c r="Y546" s="37" t="str">
        <f>IF(OR($H546="",$J546=""),"",$J546*IFERROR(VLOOKUP($H546,Maestro_SKU!$A$2:$P$500,12,FALSE),1))</f>
        <v/>
      </c>
      <c r="Z546" s="37" t="str">
        <f t="shared" ca="1" si="71"/>
        <v/>
      </c>
    </row>
    <row r="547" spans="1:26" x14ac:dyDescent="0.35">
      <c r="A547" s="18"/>
      <c r="B547" s="26"/>
      <c r="C547" s="18"/>
      <c r="D547" s="18"/>
      <c r="E547" s="22" t="str">
        <f>IFERROR(VLOOKUP(D547,Clientes_PDV!$A$2:$J$250,2,FALSE),"")</f>
        <v/>
      </c>
      <c r="F547" s="22" t="str">
        <f>IFERROR(VLOOKUP(D547,Clientes_PDV!$A$2:$J$250,3,FALSE),"")</f>
        <v/>
      </c>
      <c r="G547" s="22" t="str">
        <f>IFERROR(VLOOKUP(D547,Clientes_PDV!$A$2:$J$250,4,FALSE),"")</f>
        <v/>
      </c>
      <c r="H547" s="18"/>
      <c r="I547" s="22" t="str">
        <f>IFERROR(VLOOKUP(H547,Maestro_SKU!$A$2:$P$500,2,FALSE),"")</f>
        <v/>
      </c>
      <c r="J547" s="27"/>
      <c r="K547" s="19"/>
      <c r="L547" s="23" t="str">
        <f t="shared" si="64"/>
        <v/>
      </c>
      <c r="M547" s="23" t="str">
        <f>IF(L547="","",L547*Inicio!$B$13)</f>
        <v/>
      </c>
      <c r="N547" s="23" t="str">
        <f t="shared" si="65"/>
        <v/>
      </c>
      <c r="O547" s="26"/>
      <c r="P547" s="18"/>
      <c r="Q547" s="19"/>
      <c r="R547" s="23" t="str">
        <f t="shared" si="66"/>
        <v/>
      </c>
      <c r="S547" s="22" t="str">
        <f ca="1">IF(A547="","",IF(OR(P547="Pagada",R547=0),"Pagada",IF(O547&lt;TODAY(),"Vencida",IF(O547&lt;=TODAY()+Inicio!$B$19,"Próxima a vencer","Vigente"))))</f>
        <v/>
      </c>
      <c r="T547" s="18"/>
      <c r="U547" s="37" t="str">
        <f t="shared" si="67"/>
        <v/>
      </c>
      <c r="V547" s="37" t="str">
        <f t="shared" si="68"/>
        <v/>
      </c>
      <c r="W547" s="37" t="str">
        <f t="shared" si="69"/>
        <v/>
      </c>
      <c r="X547" s="37" t="str">
        <f t="shared" si="70"/>
        <v/>
      </c>
      <c r="Y547" s="37" t="str">
        <f>IF(OR($H547="",$J547=""),"",$J547*IFERROR(VLOOKUP($H547,Maestro_SKU!$A$2:$P$500,12,FALSE),1))</f>
        <v/>
      </c>
      <c r="Z547" s="37" t="str">
        <f t="shared" ca="1" si="71"/>
        <v/>
      </c>
    </row>
    <row r="548" spans="1:26" x14ac:dyDescent="0.35">
      <c r="A548" s="18"/>
      <c r="B548" s="26"/>
      <c r="C548" s="18"/>
      <c r="D548" s="18"/>
      <c r="E548" s="22" t="str">
        <f>IFERROR(VLOOKUP(D548,Clientes_PDV!$A$2:$J$250,2,FALSE),"")</f>
        <v/>
      </c>
      <c r="F548" s="22" t="str">
        <f>IFERROR(VLOOKUP(D548,Clientes_PDV!$A$2:$J$250,3,FALSE),"")</f>
        <v/>
      </c>
      <c r="G548" s="22" t="str">
        <f>IFERROR(VLOOKUP(D548,Clientes_PDV!$A$2:$J$250,4,FALSE),"")</f>
        <v/>
      </c>
      <c r="H548" s="18"/>
      <c r="I548" s="22" t="str">
        <f>IFERROR(VLOOKUP(H548,Maestro_SKU!$A$2:$P$500,2,FALSE),"")</f>
        <v/>
      </c>
      <c r="J548" s="27"/>
      <c r="K548" s="19"/>
      <c r="L548" s="23" t="str">
        <f t="shared" si="64"/>
        <v/>
      </c>
      <c r="M548" s="23" t="str">
        <f>IF(L548="","",L548*Inicio!$B$13)</f>
        <v/>
      </c>
      <c r="N548" s="23" t="str">
        <f t="shared" si="65"/>
        <v/>
      </c>
      <c r="O548" s="26"/>
      <c r="P548" s="18"/>
      <c r="Q548" s="19"/>
      <c r="R548" s="23" t="str">
        <f t="shared" si="66"/>
        <v/>
      </c>
      <c r="S548" s="22" t="str">
        <f ca="1">IF(A548="","",IF(OR(P548="Pagada",R548=0),"Pagada",IF(O548&lt;TODAY(),"Vencida",IF(O548&lt;=TODAY()+Inicio!$B$19,"Próxima a vencer","Vigente"))))</f>
        <v/>
      </c>
      <c r="T548" s="18"/>
      <c r="U548" s="37" t="str">
        <f t="shared" si="67"/>
        <v/>
      </c>
      <c r="V548" s="37" t="str">
        <f t="shared" si="68"/>
        <v/>
      </c>
      <c r="W548" s="37" t="str">
        <f t="shared" si="69"/>
        <v/>
      </c>
      <c r="X548" s="37" t="str">
        <f t="shared" si="70"/>
        <v/>
      </c>
      <c r="Y548" s="37" t="str">
        <f>IF(OR($H548="",$J548=""),"",$J548*IFERROR(VLOOKUP($H548,Maestro_SKU!$A$2:$P$500,12,FALSE),1))</f>
        <v/>
      </c>
      <c r="Z548" s="37" t="str">
        <f t="shared" ca="1" si="71"/>
        <v/>
      </c>
    </row>
    <row r="549" spans="1:26" x14ac:dyDescent="0.35">
      <c r="A549" s="18"/>
      <c r="B549" s="26"/>
      <c r="C549" s="18"/>
      <c r="D549" s="18"/>
      <c r="E549" s="22" t="str">
        <f>IFERROR(VLOOKUP(D549,Clientes_PDV!$A$2:$J$250,2,FALSE),"")</f>
        <v/>
      </c>
      <c r="F549" s="22" t="str">
        <f>IFERROR(VLOOKUP(D549,Clientes_PDV!$A$2:$J$250,3,FALSE),"")</f>
        <v/>
      </c>
      <c r="G549" s="22" t="str">
        <f>IFERROR(VLOOKUP(D549,Clientes_PDV!$A$2:$J$250,4,FALSE),"")</f>
        <v/>
      </c>
      <c r="H549" s="18"/>
      <c r="I549" s="22" t="str">
        <f>IFERROR(VLOOKUP(H549,Maestro_SKU!$A$2:$P$500,2,FALSE),"")</f>
        <v/>
      </c>
      <c r="J549" s="27"/>
      <c r="K549" s="19"/>
      <c r="L549" s="23" t="str">
        <f t="shared" si="64"/>
        <v/>
      </c>
      <c r="M549" s="23" t="str">
        <f>IF(L549="","",L549*Inicio!$B$13)</f>
        <v/>
      </c>
      <c r="N549" s="23" t="str">
        <f t="shared" si="65"/>
        <v/>
      </c>
      <c r="O549" s="26"/>
      <c r="P549" s="18"/>
      <c r="Q549" s="19"/>
      <c r="R549" s="23" t="str">
        <f t="shared" si="66"/>
        <v/>
      </c>
      <c r="S549" s="22" t="str">
        <f ca="1">IF(A549="","",IF(OR(P549="Pagada",R549=0),"Pagada",IF(O549&lt;TODAY(),"Vencida",IF(O549&lt;=TODAY()+Inicio!$B$19,"Próxima a vencer","Vigente"))))</f>
        <v/>
      </c>
      <c r="T549" s="18"/>
      <c r="U549" s="37" t="str">
        <f t="shared" si="67"/>
        <v/>
      </c>
      <c r="V549" s="37" t="str">
        <f t="shared" si="68"/>
        <v/>
      </c>
      <c r="W549" s="37" t="str">
        <f t="shared" si="69"/>
        <v/>
      </c>
      <c r="X549" s="37" t="str">
        <f t="shared" si="70"/>
        <v/>
      </c>
      <c r="Y549" s="37" t="str">
        <f>IF(OR($H549="",$J549=""),"",$J549*IFERROR(VLOOKUP($H549,Maestro_SKU!$A$2:$P$500,12,FALSE),1))</f>
        <v/>
      </c>
      <c r="Z549" s="37" t="str">
        <f t="shared" ca="1" si="71"/>
        <v/>
      </c>
    </row>
    <row r="550" spans="1:26" x14ac:dyDescent="0.35">
      <c r="A550" s="18"/>
      <c r="B550" s="26"/>
      <c r="C550" s="18"/>
      <c r="D550" s="18"/>
      <c r="E550" s="22" t="str">
        <f>IFERROR(VLOOKUP(D550,Clientes_PDV!$A$2:$J$250,2,FALSE),"")</f>
        <v/>
      </c>
      <c r="F550" s="22" t="str">
        <f>IFERROR(VLOOKUP(D550,Clientes_PDV!$A$2:$J$250,3,FALSE),"")</f>
        <v/>
      </c>
      <c r="G550" s="22" t="str">
        <f>IFERROR(VLOOKUP(D550,Clientes_PDV!$A$2:$J$250,4,FALSE),"")</f>
        <v/>
      </c>
      <c r="H550" s="18"/>
      <c r="I550" s="22" t="str">
        <f>IFERROR(VLOOKUP(H550,Maestro_SKU!$A$2:$P$500,2,FALSE),"")</f>
        <v/>
      </c>
      <c r="J550" s="27"/>
      <c r="K550" s="19"/>
      <c r="L550" s="23" t="str">
        <f t="shared" si="64"/>
        <v/>
      </c>
      <c r="M550" s="23" t="str">
        <f>IF(L550="","",L550*Inicio!$B$13)</f>
        <v/>
      </c>
      <c r="N550" s="23" t="str">
        <f t="shared" si="65"/>
        <v/>
      </c>
      <c r="O550" s="26"/>
      <c r="P550" s="18"/>
      <c r="Q550" s="19"/>
      <c r="R550" s="23" t="str">
        <f t="shared" si="66"/>
        <v/>
      </c>
      <c r="S550" s="22" t="str">
        <f ca="1">IF(A550="","",IF(OR(P550="Pagada",R550=0),"Pagada",IF(O550&lt;TODAY(),"Vencida",IF(O550&lt;=TODAY()+Inicio!$B$19,"Próxima a vencer","Vigente"))))</f>
        <v/>
      </c>
      <c r="T550" s="18"/>
      <c r="U550" s="37" t="str">
        <f t="shared" si="67"/>
        <v/>
      </c>
      <c r="V550" s="37" t="str">
        <f t="shared" si="68"/>
        <v/>
      </c>
      <c r="W550" s="37" t="str">
        <f t="shared" si="69"/>
        <v/>
      </c>
      <c r="X550" s="37" t="str">
        <f t="shared" si="70"/>
        <v/>
      </c>
      <c r="Y550" s="37" t="str">
        <f>IF(OR($H550="",$J550=""),"",$J550*IFERROR(VLOOKUP($H550,Maestro_SKU!$A$2:$P$500,12,FALSE),1))</f>
        <v/>
      </c>
      <c r="Z550" s="37" t="str">
        <f t="shared" ca="1" si="71"/>
        <v/>
      </c>
    </row>
    <row r="551" spans="1:26" x14ac:dyDescent="0.35">
      <c r="A551" s="18"/>
      <c r="B551" s="26"/>
      <c r="C551" s="18"/>
      <c r="D551" s="18"/>
      <c r="E551" s="22" t="str">
        <f>IFERROR(VLOOKUP(D551,Clientes_PDV!$A$2:$J$250,2,FALSE),"")</f>
        <v/>
      </c>
      <c r="F551" s="22" t="str">
        <f>IFERROR(VLOOKUP(D551,Clientes_PDV!$A$2:$J$250,3,FALSE),"")</f>
        <v/>
      </c>
      <c r="G551" s="22" t="str">
        <f>IFERROR(VLOOKUP(D551,Clientes_PDV!$A$2:$J$250,4,FALSE),"")</f>
        <v/>
      </c>
      <c r="H551" s="18"/>
      <c r="I551" s="22" t="str">
        <f>IFERROR(VLOOKUP(H551,Maestro_SKU!$A$2:$P$500,2,FALSE),"")</f>
        <v/>
      </c>
      <c r="J551" s="27"/>
      <c r="K551" s="19"/>
      <c r="L551" s="23" t="str">
        <f t="shared" si="64"/>
        <v/>
      </c>
      <c r="M551" s="23" t="str">
        <f>IF(L551="","",L551*Inicio!$B$13)</f>
        <v/>
      </c>
      <c r="N551" s="23" t="str">
        <f t="shared" si="65"/>
        <v/>
      </c>
      <c r="O551" s="26"/>
      <c r="P551" s="18"/>
      <c r="Q551" s="19"/>
      <c r="R551" s="23" t="str">
        <f t="shared" si="66"/>
        <v/>
      </c>
      <c r="S551" s="22" t="str">
        <f ca="1">IF(A551="","",IF(OR(P551="Pagada",R551=0),"Pagada",IF(O551&lt;TODAY(),"Vencida",IF(O551&lt;=TODAY()+Inicio!$B$19,"Próxima a vencer","Vigente"))))</f>
        <v/>
      </c>
      <c r="T551" s="18"/>
      <c r="U551" s="37" t="str">
        <f t="shared" si="67"/>
        <v/>
      </c>
      <c r="V551" s="37" t="str">
        <f t="shared" si="68"/>
        <v/>
      </c>
      <c r="W551" s="37" t="str">
        <f t="shared" si="69"/>
        <v/>
      </c>
      <c r="X551" s="37" t="str">
        <f t="shared" si="70"/>
        <v/>
      </c>
      <c r="Y551" s="37" t="str">
        <f>IF(OR($H551="",$J551=""),"",$J551*IFERROR(VLOOKUP($H551,Maestro_SKU!$A$2:$P$500,12,FALSE),1))</f>
        <v/>
      </c>
      <c r="Z551" s="37" t="str">
        <f t="shared" ca="1" si="71"/>
        <v/>
      </c>
    </row>
    <row r="552" spans="1:26" x14ac:dyDescent="0.35">
      <c r="A552" s="18"/>
      <c r="B552" s="26"/>
      <c r="C552" s="18"/>
      <c r="D552" s="18"/>
      <c r="E552" s="22" t="str">
        <f>IFERROR(VLOOKUP(D552,Clientes_PDV!$A$2:$J$250,2,FALSE),"")</f>
        <v/>
      </c>
      <c r="F552" s="22" t="str">
        <f>IFERROR(VLOOKUP(D552,Clientes_PDV!$A$2:$J$250,3,FALSE),"")</f>
        <v/>
      </c>
      <c r="G552" s="22" t="str">
        <f>IFERROR(VLOOKUP(D552,Clientes_PDV!$A$2:$J$250,4,FALSE),"")</f>
        <v/>
      </c>
      <c r="H552" s="18"/>
      <c r="I552" s="22" t="str">
        <f>IFERROR(VLOOKUP(H552,Maestro_SKU!$A$2:$P$500,2,FALSE),"")</f>
        <v/>
      </c>
      <c r="J552" s="27"/>
      <c r="K552" s="19"/>
      <c r="L552" s="23" t="str">
        <f t="shared" si="64"/>
        <v/>
      </c>
      <c r="M552" s="23" t="str">
        <f>IF(L552="","",L552*Inicio!$B$13)</f>
        <v/>
      </c>
      <c r="N552" s="23" t="str">
        <f t="shared" si="65"/>
        <v/>
      </c>
      <c r="O552" s="26"/>
      <c r="P552" s="18"/>
      <c r="Q552" s="19"/>
      <c r="R552" s="23" t="str">
        <f t="shared" si="66"/>
        <v/>
      </c>
      <c r="S552" s="22" t="str">
        <f ca="1">IF(A552="","",IF(OR(P552="Pagada",R552=0),"Pagada",IF(O552&lt;TODAY(),"Vencida",IF(O552&lt;=TODAY()+Inicio!$B$19,"Próxima a vencer","Vigente"))))</f>
        <v/>
      </c>
      <c r="T552" s="18"/>
      <c r="U552" s="37" t="str">
        <f t="shared" si="67"/>
        <v/>
      </c>
      <c r="V552" s="37" t="str">
        <f t="shared" si="68"/>
        <v/>
      </c>
      <c r="W552" s="37" t="str">
        <f t="shared" si="69"/>
        <v/>
      </c>
      <c r="X552" s="37" t="str">
        <f t="shared" si="70"/>
        <v/>
      </c>
      <c r="Y552" s="37" t="str">
        <f>IF(OR($H552="",$J552=""),"",$J552*IFERROR(VLOOKUP($H552,Maestro_SKU!$A$2:$P$500,12,FALSE),1))</f>
        <v/>
      </c>
      <c r="Z552" s="37" t="str">
        <f t="shared" ca="1" si="71"/>
        <v/>
      </c>
    </row>
    <row r="553" spans="1:26" x14ac:dyDescent="0.35">
      <c r="A553" s="18"/>
      <c r="B553" s="26"/>
      <c r="C553" s="18"/>
      <c r="D553" s="18"/>
      <c r="E553" s="22" t="str">
        <f>IFERROR(VLOOKUP(D553,Clientes_PDV!$A$2:$J$250,2,FALSE),"")</f>
        <v/>
      </c>
      <c r="F553" s="22" t="str">
        <f>IFERROR(VLOOKUP(D553,Clientes_PDV!$A$2:$J$250,3,FALSE),"")</f>
        <v/>
      </c>
      <c r="G553" s="22" t="str">
        <f>IFERROR(VLOOKUP(D553,Clientes_PDV!$A$2:$J$250,4,FALSE),"")</f>
        <v/>
      </c>
      <c r="H553" s="18"/>
      <c r="I553" s="22" t="str">
        <f>IFERROR(VLOOKUP(H553,Maestro_SKU!$A$2:$P$500,2,FALSE),"")</f>
        <v/>
      </c>
      <c r="J553" s="27"/>
      <c r="K553" s="19"/>
      <c r="L553" s="23" t="str">
        <f t="shared" si="64"/>
        <v/>
      </c>
      <c r="M553" s="23" t="str">
        <f>IF(L553="","",L553*Inicio!$B$13)</f>
        <v/>
      </c>
      <c r="N553" s="23" t="str">
        <f t="shared" si="65"/>
        <v/>
      </c>
      <c r="O553" s="26"/>
      <c r="P553" s="18"/>
      <c r="Q553" s="19"/>
      <c r="R553" s="23" t="str">
        <f t="shared" si="66"/>
        <v/>
      </c>
      <c r="S553" s="22" t="str">
        <f ca="1">IF(A553="","",IF(OR(P553="Pagada",R553=0),"Pagada",IF(O553&lt;TODAY(),"Vencida",IF(O553&lt;=TODAY()+Inicio!$B$19,"Próxima a vencer","Vigente"))))</f>
        <v/>
      </c>
      <c r="T553" s="18"/>
      <c r="U553" s="37" t="str">
        <f t="shared" si="67"/>
        <v/>
      </c>
      <c r="V553" s="37" t="str">
        <f t="shared" si="68"/>
        <v/>
      </c>
      <c r="W553" s="37" t="str">
        <f t="shared" si="69"/>
        <v/>
      </c>
      <c r="X553" s="37" t="str">
        <f t="shared" si="70"/>
        <v/>
      </c>
      <c r="Y553" s="37" t="str">
        <f>IF(OR($H553="",$J553=""),"",$J553*IFERROR(VLOOKUP($H553,Maestro_SKU!$A$2:$P$500,12,FALSE),1))</f>
        <v/>
      </c>
      <c r="Z553" s="37" t="str">
        <f t="shared" ca="1" si="71"/>
        <v/>
      </c>
    </row>
    <row r="554" spans="1:26" x14ac:dyDescent="0.35">
      <c r="A554" s="18"/>
      <c r="B554" s="26"/>
      <c r="C554" s="18"/>
      <c r="D554" s="18"/>
      <c r="E554" s="22" t="str">
        <f>IFERROR(VLOOKUP(D554,Clientes_PDV!$A$2:$J$250,2,FALSE),"")</f>
        <v/>
      </c>
      <c r="F554" s="22" t="str">
        <f>IFERROR(VLOOKUP(D554,Clientes_PDV!$A$2:$J$250,3,FALSE),"")</f>
        <v/>
      </c>
      <c r="G554" s="22" t="str">
        <f>IFERROR(VLOOKUP(D554,Clientes_PDV!$A$2:$J$250,4,FALSE),"")</f>
        <v/>
      </c>
      <c r="H554" s="18"/>
      <c r="I554" s="22" t="str">
        <f>IFERROR(VLOOKUP(H554,Maestro_SKU!$A$2:$P$500,2,FALSE),"")</f>
        <v/>
      </c>
      <c r="J554" s="27"/>
      <c r="K554" s="19"/>
      <c r="L554" s="23" t="str">
        <f t="shared" si="64"/>
        <v/>
      </c>
      <c r="M554" s="23" t="str">
        <f>IF(L554="","",L554*Inicio!$B$13)</f>
        <v/>
      </c>
      <c r="N554" s="23" t="str">
        <f t="shared" si="65"/>
        <v/>
      </c>
      <c r="O554" s="26"/>
      <c r="P554" s="18"/>
      <c r="Q554" s="19"/>
      <c r="R554" s="23" t="str">
        <f t="shared" si="66"/>
        <v/>
      </c>
      <c r="S554" s="22" t="str">
        <f ca="1">IF(A554="","",IF(OR(P554="Pagada",R554=0),"Pagada",IF(O554&lt;TODAY(),"Vencida",IF(O554&lt;=TODAY()+Inicio!$B$19,"Próxima a vencer","Vigente"))))</f>
        <v/>
      </c>
      <c r="T554" s="18"/>
      <c r="U554" s="37" t="str">
        <f t="shared" si="67"/>
        <v/>
      </c>
      <c r="V554" s="37" t="str">
        <f t="shared" si="68"/>
        <v/>
      </c>
      <c r="W554" s="37" t="str">
        <f t="shared" si="69"/>
        <v/>
      </c>
      <c r="X554" s="37" t="str">
        <f t="shared" si="70"/>
        <v/>
      </c>
      <c r="Y554" s="37" t="str">
        <f>IF(OR($H554="",$J554=""),"",$J554*IFERROR(VLOOKUP($H554,Maestro_SKU!$A$2:$P$500,12,FALSE),1))</f>
        <v/>
      </c>
      <c r="Z554" s="37" t="str">
        <f t="shared" ca="1" si="71"/>
        <v/>
      </c>
    </row>
    <row r="555" spans="1:26" x14ac:dyDescent="0.35">
      <c r="A555" s="18"/>
      <c r="B555" s="26"/>
      <c r="C555" s="18"/>
      <c r="D555" s="18"/>
      <c r="E555" s="22" t="str">
        <f>IFERROR(VLOOKUP(D555,Clientes_PDV!$A$2:$J$250,2,FALSE),"")</f>
        <v/>
      </c>
      <c r="F555" s="22" t="str">
        <f>IFERROR(VLOOKUP(D555,Clientes_PDV!$A$2:$J$250,3,FALSE),"")</f>
        <v/>
      </c>
      <c r="G555" s="22" t="str">
        <f>IFERROR(VLOOKUP(D555,Clientes_PDV!$A$2:$J$250,4,FALSE),"")</f>
        <v/>
      </c>
      <c r="H555" s="18"/>
      <c r="I555" s="22" t="str">
        <f>IFERROR(VLOOKUP(H555,Maestro_SKU!$A$2:$P$500,2,FALSE),"")</f>
        <v/>
      </c>
      <c r="J555" s="27"/>
      <c r="K555" s="19"/>
      <c r="L555" s="23" t="str">
        <f t="shared" si="64"/>
        <v/>
      </c>
      <c r="M555" s="23" t="str">
        <f>IF(L555="","",L555*Inicio!$B$13)</f>
        <v/>
      </c>
      <c r="N555" s="23" t="str">
        <f t="shared" si="65"/>
        <v/>
      </c>
      <c r="O555" s="26"/>
      <c r="P555" s="18"/>
      <c r="Q555" s="19"/>
      <c r="R555" s="23" t="str">
        <f t="shared" si="66"/>
        <v/>
      </c>
      <c r="S555" s="22" t="str">
        <f ca="1">IF(A555="","",IF(OR(P555="Pagada",R555=0),"Pagada",IF(O555&lt;TODAY(),"Vencida",IF(O555&lt;=TODAY()+Inicio!$B$19,"Próxima a vencer","Vigente"))))</f>
        <v/>
      </c>
      <c r="T555" s="18"/>
      <c r="U555" s="37" t="str">
        <f t="shared" si="67"/>
        <v/>
      </c>
      <c r="V555" s="37" t="str">
        <f t="shared" si="68"/>
        <v/>
      </c>
      <c r="W555" s="37" t="str">
        <f t="shared" si="69"/>
        <v/>
      </c>
      <c r="X555" s="37" t="str">
        <f t="shared" si="70"/>
        <v/>
      </c>
      <c r="Y555" s="37" t="str">
        <f>IF(OR($H555="",$J555=""),"",$J555*IFERROR(VLOOKUP($H555,Maestro_SKU!$A$2:$P$500,12,FALSE),1))</f>
        <v/>
      </c>
      <c r="Z555" s="37" t="str">
        <f t="shared" ca="1" si="71"/>
        <v/>
      </c>
    </row>
    <row r="556" spans="1:26" x14ac:dyDescent="0.35">
      <c r="A556" s="18"/>
      <c r="B556" s="26"/>
      <c r="C556" s="18"/>
      <c r="D556" s="18"/>
      <c r="E556" s="22" t="str">
        <f>IFERROR(VLOOKUP(D556,Clientes_PDV!$A$2:$J$250,2,FALSE),"")</f>
        <v/>
      </c>
      <c r="F556" s="22" t="str">
        <f>IFERROR(VLOOKUP(D556,Clientes_PDV!$A$2:$J$250,3,FALSE),"")</f>
        <v/>
      </c>
      <c r="G556" s="22" t="str">
        <f>IFERROR(VLOOKUP(D556,Clientes_PDV!$A$2:$J$250,4,FALSE),"")</f>
        <v/>
      </c>
      <c r="H556" s="18"/>
      <c r="I556" s="22" t="str">
        <f>IFERROR(VLOOKUP(H556,Maestro_SKU!$A$2:$P$500,2,FALSE),"")</f>
        <v/>
      </c>
      <c r="J556" s="27"/>
      <c r="K556" s="19"/>
      <c r="L556" s="23" t="str">
        <f t="shared" si="64"/>
        <v/>
      </c>
      <c r="M556" s="23" t="str">
        <f>IF(L556="","",L556*Inicio!$B$13)</f>
        <v/>
      </c>
      <c r="N556" s="23" t="str">
        <f t="shared" si="65"/>
        <v/>
      </c>
      <c r="O556" s="26"/>
      <c r="P556" s="18"/>
      <c r="Q556" s="19"/>
      <c r="R556" s="23" t="str">
        <f t="shared" si="66"/>
        <v/>
      </c>
      <c r="S556" s="22" t="str">
        <f ca="1">IF(A556="","",IF(OR(P556="Pagada",R556=0),"Pagada",IF(O556&lt;TODAY(),"Vencida",IF(O556&lt;=TODAY()+Inicio!$B$19,"Próxima a vencer","Vigente"))))</f>
        <v/>
      </c>
      <c r="T556" s="18"/>
      <c r="U556" s="37" t="str">
        <f t="shared" si="67"/>
        <v/>
      </c>
      <c r="V556" s="37" t="str">
        <f t="shared" si="68"/>
        <v/>
      </c>
      <c r="W556" s="37" t="str">
        <f t="shared" si="69"/>
        <v/>
      </c>
      <c r="X556" s="37" t="str">
        <f t="shared" si="70"/>
        <v/>
      </c>
      <c r="Y556" s="37" t="str">
        <f>IF(OR($H556="",$J556=""),"",$J556*IFERROR(VLOOKUP($H556,Maestro_SKU!$A$2:$P$500,12,FALSE),1))</f>
        <v/>
      </c>
      <c r="Z556" s="37" t="str">
        <f t="shared" ca="1" si="71"/>
        <v/>
      </c>
    </row>
    <row r="557" spans="1:26" x14ac:dyDescent="0.35">
      <c r="A557" s="18"/>
      <c r="B557" s="26"/>
      <c r="C557" s="18"/>
      <c r="D557" s="18"/>
      <c r="E557" s="22" t="str">
        <f>IFERROR(VLOOKUP(D557,Clientes_PDV!$A$2:$J$250,2,FALSE),"")</f>
        <v/>
      </c>
      <c r="F557" s="22" t="str">
        <f>IFERROR(VLOOKUP(D557,Clientes_PDV!$A$2:$J$250,3,FALSE),"")</f>
        <v/>
      </c>
      <c r="G557" s="22" t="str">
        <f>IFERROR(VLOOKUP(D557,Clientes_PDV!$A$2:$J$250,4,FALSE),"")</f>
        <v/>
      </c>
      <c r="H557" s="18"/>
      <c r="I557" s="22" t="str">
        <f>IFERROR(VLOOKUP(H557,Maestro_SKU!$A$2:$P$500,2,FALSE),"")</f>
        <v/>
      </c>
      <c r="J557" s="27"/>
      <c r="K557" s="19"/>
      <c r="L557" s="23" t="str">
        <f t="shared" si="64"/>
        <v/>
      </c>
      <c r="M557" s="23" t="str">
        <f>IF(L557="","",L557*Inicio!$B$13)</f>
        <v/>
      </c>
      <c r="N557" s="23" t="str">
        <f t="shared" si="65"/>
        <v/>
      </c>
      <c r="O557" s="26"/>
      <c r="P557" s="18"/>
      <c r="Q557" s="19"/>
      <c r="R557" s="23" t="str">
        <f t="shared" si="66"/>
        <v/>
      </c>
      <c r="S557" s="22" t="str">
        <f ca="1">IF(A557="","",IF(OR(P557="Pagada",R557=0),"Pagada",IF(O557&lt;TODAY(),"Vencida",IF(O557&lt;=TODAY()+Inicio!$B$19,"Próxima a vencer","Vigente"))))</f>
        <v/>
      </c>
      <c r="T557" s="18"/>
      <c r="U557" s="37" t="str">
        <f t="shared" si="67"/>
        <v/>
      </c>
      <c r="V557" s="37" t="str">
        <f t="shared" si="68"/>
        <v/>
      </c>
      <c r="W557" s="37" t="str">
        <f t="shared" si="69"/>
        <v/>
      </c>
      <c r="X557" s="37" t="str">
        <f t="shared" si="70"/>
        <v/>
      </c>
      <c r="Y557" s="37" t="str">
        <f>IF(OR($H557="",$J557=""),"",$J557*IFERROR(VLOOKUP($H557,Maestro_SKU!$A$2:$P$500,12,FALSE),1))</f>
        <v/>
      </c>
      <c r="Z557" s="37" t="str">
        <f t="shared" ca="1" si="71"/>
        <v/>
      </c>
    </row>
    <row r="558" spans="1:26" x14ac:dyDescent="0.35">
      <c r="A558" s="18"/>
      <c r="B558" s="26"/>
      <c r="C558" s="18"/>
      <c r="D558" s="18"/>
      <c r="E558" s="22" t="str">
        <f>IFERROR(VLOOKUP(D558,Clientes_PDV!$A$2:$J$250,2,FALSE),"")</f>
        <v/>
      </c>
      <c r="F558" s="22" t="str">
        <f>IFERROR(VLOOKUP(D558,Clientes_PDV!$A$2:$J$250,3,FALSE),"")</f>
        <v/>
      </c>
      <c r="G558" s="22" t="str">
        <f>IFERROR(VLOOKUP(D558,Clientes_PDV!$A$2:$J$250,4,FALSE),"")</f>
        <v/>
      </c>
      <c r="H558" s="18"/>
      <c r="I558" s="22" t="str">
        <f>IFERROR(VLOOKUP(H558,Maestro_SKU!$A$2:$P$500,2,FALSE),"")</f>
        <v/>
      </c>
      <c r="J558" s="27"/>
      <c r="K558" s="19"/>
      <c r="L558" s="23" t="str">
        <f t="shared" si="64"/>
        <v/>
      </c>
      <c r="M558" s="23" t="str">
        <f>IF(L558="","",L558*Inicio!$B$13)</f>
        <v/>
      </c>
      <c r="N558" s="23" t="str">
        <f t="shared" si="65"/>
        <v/>
      </c>
      <c r="O558" s="26"/>
      <c r="P558" s="18"/>
      <c r="Q558" s="19"/>
      <c r="R558" s="23" t="str">
        <f t="shared" si="66"/>
        <v/>
      </c>
      <c r="S558" s="22" t="str">
        <f ca="1">IF(A558="","",IF(OR(P558="Pagada",R558=0),"Pagada",IF(O558&lt;TODAY(),"Vencida",IF(O558&lt;=TODAY()+Inicio!$B$19,"Próxima a vencer","Vigente"))))</f>
        <v/>
      </c>
      <c r="T558" s="18"/>
      <c r="U558" s="37" t="str">
        <f t="shared" si="67"/>
        <v/>
      </c>
      <c r="V558" s="37" t="str">
        <f t="shared" si="68"/>
        <v/>
      </c>
      <c r="W558" s="37" t="str">
        <f t="shared" si="69"/>
        <v/>
      </c>
      <c r="X558" s="37" t="str">
        <f t="shared" si="70"/>
        <v/>
      </c>
      <c r="Y558" s="37" t="str">
        <f>IF(OR($H558="",$J558=""),"",$J558*IFERROR(VLOOKUP($H558,Maestro_SKU!$A$2:$P$500,12,FALSE),1))</f>
        <v/>
      </c>
      <c r="Z558" s="37" t="str">
        <f t="shared" ca="1" si="71"/>
        <v/>
      </c>
    </row>
    <row r="559" spans="1:26" x14ac:dyDescent="0.35">
      <c r="A559" s="18"/>
      <c r="B559" s="26"/>
      <c r="C559" s="18"/>
      <c r="D559" s="18"/>
      <c r="E559" s="22" t="str">
        <f>IFERROR(VLOOKUP(D559,Clientes_PDV!$A$2:$J$250,2,FALSE),"")</f>
        <v/>
      </c>
      <c r="F559" s="22" t="str">
        <f>IFERROR(VLOOKUP(D559,Clientes_PDV!$A$2:$J$250,3,FALSE),"")</f>
        <v/>
      </c>
      <c r="G559" s="22" t="str">
        <f>IFERROR(VLOOKUP(D559,Clientes_PDV!$A$2:$J$250,4,FALSE),"")</f>
        <v/>
      </c>
      <c r="H559" s="18"/>
      <c r="I559" s="22" t="str">
        <f>IFERROR(VLOOKUP(H559,Maestro_SKU!$A$2:$P$500,2,FALSE),"")</f>
        <v/>
      </c>
      <c r="J559" s="27"/>
      <c r="K559" s="19"/>
      <c r="L559" s="23" t="str">
        <f t="shared" si="64"/>
        <v/>
      </c>
      <c r="M559" s="23" t="str">
        <f>IF(L559="","",L559*Inicio!$B$13)</f>
        <v/>
      </c>
      <c r="N559" s="23" t="str">
        <f t="shared" si="65"/>
        <v/>
      </c>
      <c r="O559" s="26"/>
      <c r="P559" s="18"/>
      <c r="Q559" s="19"/>
      <c r="R559" s="23" t="str">
        <f t="shared" si="66"/>
        <v/>
      </c>
      <c r="S559" s="22" t="str">
        <f ca="1">IF(A559="","",IF(OR(P559="Pagada",R559=0),"Pagada",IF(O559&lt;TODAY(),"Vencida",IF(O559&lt;=TODAY()+Inicio!$B$19,"Próxima a vencer","Vigente"))))</f>
        <v/>
      </c>
      <c r="T559" s="18"/>
      <c r="U559" s="37" t="str">
        <f t="shared" si="67"/>
        <v/>
      </c>
      <c r="V559" s="37" t="str">
        <f t="shared" si="68"/>
        <v/>
      </c>
      <c r="W559" s="37" t="str">
        <f t="shared" si="69"/>
        <v/>
      </c>
      <c r="X559" s="37" t="str">
        <f t="shared" si="70"/>
        <v/>
      </c>
      <c r="Y559" s="37" t="str">
        <f>IF(OR($H559="",$J559=""),"",$J559*IFERROR(VLOOKUP($H559,Maestro_SKU!$A$2:$P$500,12,FALSE),1))</f>
        <v/>
      </c>
      <c r="Z559" s="37" t="str">
        <f t="shared" ca="1" si="71"/>
        <v/>
      </c>
    </row>
    <row r="560" spans="1:26" x14ac:dyDescent="0.35">
      <c r="A560" s="18"/>
      <c r="B560" s="26"/>
      <c r="C560" s="18"/>
      <c r="D560" s="18"/>
      <c r="E560" s="22" t="str">
        <f>IFERROR(VLOOKUP(D560,Clientes_PDV!$A$2:$J$250,2,FALSE),"")</f>
        <v/>
      </c>
      <c r="F560" s="22" t="str">
        <f>IFERROR(VLOOKUP(D560,Clientes_PDV!$A$2:$J$250,3,FALSE),"")</f>
        <v/>
      </c>
      <c r="G560" s="22" t="str">
        <f>IFERROR(VLOOKUP(D560,Clientes_PDV!$A$2:$J$250,4,FALSE),"")</f>
        <v/>
      </c>
      <c r="H560" s="18"/>
      <c r="I560" s="22" t="str">
        <f>IFERROR(VLOOKUP(H560,Maestro_SKU!$A$2:$P$500,2,FALSE),"")</f>
        <v/>
      </c>
      <c r="J560" s="27"/>
      <c r="K560" s="19"/>
      <c r="L560" s="23" t="str">
        <f t="shared" si="64"/>
        <v/>
      </c>
      <c r="M560" s="23" t="str">
        <f>IF(L560="","",L560*Inicio!$B$13)</f>
        <v/>
      </c>
      <c r="N560" s="23" t="str">
        <f t="shared" si="65"/>
        <v/>
      </c>
      <c r="O560" s="26"/>
      <c r="P560" s="18"/>
      <c r="Q560" s="19"/>
      <c r="R560" s="23" t="str">
        <f t="shared" si="66"/>
        <v/>
      </c>
      <c r="S560" s="22" t="str">
        <f ca="1">IF(A560="","",IF(OR(P560="Pagada",R560=0),"Pagada",IF(O560&lt;TODAY(),"Vencida",IF(O560&lt;=TODAY()+Inicio!$B$19,"Próxima a vencer","Vigente"))))</f>
        <v/>
      </c>
      <c r="T560" s="18"/>
      <c r="U560" s="37" t="str">
        <f t="shared" si="67"/>
        <v/>
      </c>
      <c r="V560" s="37" t="str">
        <f t="shared" si="68"/>
        <v/>
      </c>
      <c r="W560" s="37" t="str">
        <f t="shared" si="69"/>
        <v/>
      </c>
      <c r="X560" s="37" t="str">
        <f t="shared" si="70"/>
        <v/>
      </c>
      <c r="Y560" s="37" t="str">
        <f>IF(OR($H560="",$J560=""),"",$J560*IFERROR(VLOOKUP($H560,Maestro_SKU!$A$2:$P$500,12,FALSE),1))</f>
        <v/>
      </c>
      <c r="Z560" s="37" t="str">
        <f t="shared" ca="1" si="71"/>
        <v/>
      </c>
    </row>
    <row r="561" spans="1:26" x14ac:dyDescent="0.35">
      <c r="A561" s="18"/>
      <c r="B561" s="26"/>
      <c r="C561" s="18"/>
      <c r="D561" s="18"/>
      <c r="E561" s="22" t="str">
        <f>IFERROR(VLOOKUP(D561,Clientes_PDV!$A$2:$J$250,2,FALSE),"")</f>
        <v/>
      </c>
      <c r="F561" s="22" t="str">
        <f>IFERROR(VLOOKUP(D561,Clientes_PDV!$A$2:$J$250,3,FALSE),"")</f>
        <v/>
      </c>
      <c r="G561" s="22" t="str">
        <f>IFERROR(VLOOKUP(D561,Clientes_PDV!$A$2:$J$250,4,FALSE),"")</f>
        <v/>
      </c>
      <c r="H561" s="18"/>
      <c r="I561" s="22" t="str">
        <f>IFERROR(VLOOKUP(H561,Maestro_SKU!$A$2:$P$500,2,FALSE),"")</f>
        <v/>
      </c>
      <c r="J561" s="27"/>
      <c r="K561" s="19"/>
      <c r="L561" s="23" t="str">
        <f t="shared" si="64"/>
        <v/>
      </c>
      <c r="M561" s="23" t="str">
        <f>IF(L561="","",L561*Inicio!$B$13)</f>
        <v/>
      </c>
      <c r="N561" s="23" t="str">
        <f t="shared" si="65"/>
        <v/>
      </c>
      <c r="O561" s="26"/>
      <c r="P561" s="18"/>
      <c r="Q561" s="19"/>
      <c r="R561" s="23" t="str">
        <f t="shared" si="66"/>
        <v/>
      </c>
      <c r="S561" s="22" t="str">
        <f ca="1">IF(A561="","",IF(OR(P561="Pagada",R561=0),"Pagada",IF(O561&lt;TODAY(),"Vencida",IF(O561&lt;=TODAY()+Inicio!$B$19,"Próxima a vencer","Vigente"))))</f>
        <v/>
      </c>
      <c r="T561" s="18"/>
      <c r="U561" s="37" t="str">
        <f t="shared" si="67"/>
        <v/>
      </c>
      <c r="V561" s="37" t="str">
        <f t="shared" si="68"/>
        <v/>
      </c>
      <c r="W561" s="37" t="str">
        <f t="shared" si="69"/>
        <v/>
      </c>
      <c r="X561" s="37" t="str">
        <f t="shared" si="70"/>
        <v/>
      </c>
      <c r="Y561" s="37" t="str">
        <f>IF(OR($H561="",$J561=""),"",$J561*IFERROR(VLOOKUP($H561,Maestro_SKU!$A$2:$P$500,12,FALSE),1))</f>
        <v/>
      </c>
      <c r="Z561" s="37" t="str">
        <f t="shared" ca="1" si="71"/>
        <v/>
      </c>
    </row>
    <row r="562" spans="1:26" x14ac:dyDescent="0.35">
      <c r="A562" s="18"/>
      <c r="B562" s="26"/>
      <c r="C562" s="18"/>
      <c r="D562" s="18"/>
      <c r="E562" s="22" t="str">
        <f>IFERROR(VLOOKUP(D562,Clientes_PDV!$A$2:$J$250,2,FALSE),"")</f>
        <v/>
      </c>
      <c r="F562" s="22" t="str">
        <f>IFERROR(VLOOKUP(D562,Clientes_PDV!$A$2:$J$250,3,FALSE),"")</f>
        <v/>
      </c>
      <c r="G562" s="22" t="str">
        <f>IFERROR(VLOOKUP(D562,Clientes_PDV!$A$2:$J$250,4,FALSE),"")</f>
        <v/>
      </c>
      <c r="H562" s="18"/>
      <c r="I562" s="22" t="str">
        <f>IFERROR(VLOOKUP(H562,Maestro_SKU!$A$2:$P$500,2,FALSE),"")</f>
        <v/>
      </c>
      <c r="J562" s="27"/>
      <c r="K562" s="19"/>
      <c r="L562" s="23" t="str">
        <f t="shared" si="64"/>
        <v/>
      </c>
      <c r="M562" s="23" t="str">
        <f>IF(L562="","",L562*Inicio!$B$13)</f>
        <v/>
      </c>
      <c r="N562" s="23" t="str">
        <f t="shared" si="65"/>
        <v/>
      </c>
      <c r="O562" s="26"/>
      <c r="P562" s="18"/>
      <c r="Q562" s="19"/>
      <c r="R562" s="23" t="str">
        <f t="shared" si="66"/>
        <v/>
      </c>
      <c r="S562" s="22" t="str">
        <f ca="1">IF(A562="","",IF(OR(P562="Pagada",R562=0),"Pagada",IF(O562&lt;TODAY(),"Vencida",IF(O562&lt;=TODAY()+Inicio!$B$19,"Próxima a vencer","Vigente"))))</f>
        <v/>
      </c>
      <c r="T562" s="18"/>
      <c r="U562" s="37" t="str">
        <f t="shared" si="67"/>
        <v/>
      </c>
      <c r="V562" s="37" t="str">
        <f t="shared" si="68"/>
        <v/>
      </c>
      <c r="W562" s="37" t="str">
        <f t="shared" si="69"/>
        <v/>
      </c>
      <c r="X562" s="37" t="str">
        <f t="shared" si="70"/>
        <v/>
      </c>
      <c r="Y562" s="37" t="str">
        <f>IF(OR($H562="",$J562=""),"",$J562*IFERROR(VLOOKUP($H562,Maestro_SKU!$A$2:$P$500,12,FALSE),1))</f>
        <v/>
      </c>
      <c r="Z562" s="37" t="str">
        <f t="shared" ca="1" si="71"/>
        <v/>
      </c>
    </row>
    <row r="563" spans="1:26" x14ac:dyDescent="0.35">
      <c r="A563" s="18"/>
      <c r="B563" s="26"/>
      <c r="C563" s="18"/>
      <c r="D563" s="18"/>
      <c r="E563" s="22" t="str">
        <f>IFERROR(VLOOKUP(D563,Clientes_PDV!$A$2:$J$250,2,FALSE),"")</f>
        <v/>
      </c>
      <c r="F563" s="22" t="str">
        <f>IFERROR(VLOOKUP(D563,Clientes_PDV!$A$2:$J$250,3,FALSE),"")</f>
        <v/>
      </c>
      <c r="G563" s="22" t="str">
        <f>IFERROR(VLOOKUP(D563,Clientes_PDV!$A$2:$J$250,4,FALSE),"")</f>
        <v/>
      </c>
      <c r="H563" s="18"/>
      <c r="I563" s="22" t="str">
        <f>IFERROR(VLOOKUP(H563,Maestro_SKU!$A$2:$P$500,2,FALSE),"")</f>
        <v/>
      </c>
      <c r="J563" s="27"/>
      <c r="K563" s="19"/>
      <c r="L563" s="23" t="str">
        <f t="shared" si="64"/>
        <v/>
      </c>
      <c r="M563" s="23" t="str">
        <f>IF(L563="","",L563*Inicio!$B$13)</f>
        <v/>
      </c>
      <c r="N563" s="23" t="str">
        <f t="shared" si="65"/>
        <v/>
      </c>
      <c r="O563" s="26"/>
      <c r="P563" s="18"/>
      <c r="Q563" s="19"/>
      <c r="R563" s="23" t="str">
        <f t="shared" si="66"/>
        <v/>
      </c>
      <c r="S563" s="22" t="str">
        <f ca="1">IF(A563="","",IF(OR(P563="Pagada",R563=0),"Pagada",IF(O563&lt;TODAY(),"Vencida",IF(O563&lt;=TODAY()+Inicio!$B$19,"Próxima a vencer","Vigente"))))</f>
        <v/>
      </c>
      <c r="T563" s="18"/>
      <c r="U563" s="37" t="str">
        <f t="shared" si="67"/>
        <v/>
      </c>
      <c r="V563" s="37" t="str">
        <f t="shared" si="68"/>
        <v/>
      </c>
      <c r="W563" s="37" t="str">
        <f t="shared" si="69"/>
        <v/>
      </c>
      <c r="X563" s="37" t="str">
        <f t="shared" si="70"/>
        <v/>
      </c>
      <c r="Y563" s="37" t="str">
        <f>IF(OR($H563="",$J563=""),"",$J563*IFERROR(VLOOKUP($H563,Maestro_SKU!$A$2:$P$500,12,FALSE),1))</f>
        <v/>
      </c>
      <c r="Z563" s="37" t="str">
        <f t="shared" ca="1" si="71"/>
        <v/>
      </c>
    </row>
    <row r="564" spans="1:26" x14ac:dyDescent="0.35">
      <c r="A564" s="18"/>
      <c r="B564" s="26"/>
      <c r="C564" s="18"/>
      <c r="D564" s="18"/>
      <c r="E564" s="22" t="str">
        <f>IFERROR(VLOOKUP(D564,Clientes_PDV!$A$2:$J$250,2,FALSE),"")</f>
        <v/>
      </c>
      <c r="F564" s="22" t="str">
        <f>IFERROR(VLOOKUP(D564,Clientes_PDV!$A$2:$J$250,3,FALSE),"")</f>
        <v/>
      </c>
      <c r="G564" s="22" t="str">
        <f>IFERROR(VLOOKUP(D564,Clientes_PDV!$A$2:$J$250,4,FALSE),"")</f>
        <v/>
      </c>
      <c r="H564" s="18"/>
      <c r="I564" s="22" t="str">
        <f>IFERROR(VLOOKUP(H564,Maestro_SKU!$A$2:$P$500,2,FALSE),"")</f>
        <v/>
      </c>
      <c r="J564" s="27"/>
      <c r="K564" s="19"/>
      <c r="L564" s="23" t="str">
        <f t="shared" si="64"/>
        <v/>
      </c>
      <c r="M564" s="23" t="str">
        <f>IF(L564="","",L564*Inicio!$B$13)</f>
        <v/>
      </c>
      <c r="N564" s="23" t="str">
        <f t="shared" si="65"/>
        <v/>
      </c>
      <c r="O564" s="26"/>
      <c r="P564" s="18"/>
      <c r="Q564" s="19"/>
      <c r="R564" s="23" t="str">
        <f t="shared" si="66"/>
        <v/>
      </c>
      <c r="S564" s="22" t="str">
        <f ca="1">IF(A564="","",IF(OR(P564="Pagada",R564=0),"Pagada",IF(O564&lt;TODAY(),"Vencida",IF(O564&lt;=TODAY()+Inicio!$B$19,"Próxima a vencer","Vigente"))))</f>
        <v/>
      </c>
      <c r="T564" s="18"/>
      <c r="U564" s="37" t="str">
        <f t="shared" si="67"/>
        <v/>
      </c>
      <c r="V564" s="37" t="str">
        <f t="shared" si="68"/>
        <v/>
      </c>
      <c r="W564" s="37" t="str">
        <f t="shared" si="69"/>
        <v/>
      </c>
      <c r="X564" s="37" t="str">
        <f t="shared" si="70"/>
        <v/>
      </c>
      <c r="Y564" s="37" t="str">
        <f>IF(OR($H564="",$J564=""),"",$J564*IFERROR(VLOOKUP($H564,Maestro_SKU!$A$2:$P$500,12,FALSE),1))</f>
        <v/>
      </c>
      <c r="Z564" s="37" t="str">
        <f t="shared" ca="1" si="71"/>
        <v/>
      </c>
    </row>
    <row r="565" spans="1:26" x14ac:dyDescent="0.35">
      <c r="A565" s="18"/>
      <c r="B565" s="26"/>
      <c r="C565" s="18"/>
      <c r="D565" s="18"/>
      <c r="E565" s="22" t="str">
        <f>IFERROR(VLOOKUP(D565,Clientes_PDV!$A$2:$J$250,2,FALSE),"")</f>
        <v/>
      </c>
      <c r="F565" s="22" t="str">
        <f>IFERROR(VLOOKUP(D565,Clientes_PDV!$A$2:$J$250,3,FALSE),"")</f>
        <v/>
      </c>
      <c r="G565" s="22" t="str">
        <f>IFERROR(VLOOKUP(D565,Clientes_PDV!$A$2:$J$250,4,FALSE),"")</f>
        <v/>
      </c>
      <c r="H565" s="18"/>
      <c r="I565" s="22" t="str">
        <f>IFERROR(VLOOKUP(H565,Maestro_SKU!$A$2:$P$500,2,FALSE),"")</f>
        <v/>
      </c>
      <c r="J565" s="27"/>
      <c r="K565" s="19"/>
      <c r="L565" s="23" t="str">
        <f t="shared" si="64"/>
        <v/>
      </c>
      <c r="M565" s="23" t="str">
        <f>IF(L565="","",L565*Inicio!$B$13)</f>
        <v/>
      </c>
      <c r="N565" s="23" t="str">
        <f t="shared" si="65"/>
        <v/>
      </c>
      <c r="O565" s="26"/>
      <c r="P565" s="18"/>
      <c r="Q565" s="19"/>
      <c r="R565" s="23" t="str">
        <f t="shared" si="66"/>
        <v/>
      </c>
      <c r="S565" s="22" t="str">
        <f ca="1">IF(A565="","",IF(OR(P565="Pagada",R565=0),"Pagada",IF(O565&lt;TODAY(),"Vencida",IF(O565&lt;=TODAY()+Inicio!$B$19,"Próxima a vencer","Vigente"))))</f>
        <v/>
      </c>
      <c r="T565" s="18"/>
      <c r="U565" s="37" t="str">
        <f t="shared" si="67"/>
        <v/>
      </c>
      <c r="V565" s="37" t="str">
        <f t="shared" si="68"/>
        <v/>
      </c>
      <c r="W565" s="37" t="str">
        <f t="shared" si="69"/>
        <v/>
      </c>
      <c r="X565" s="37" t="str">
        <f t="shared" si="70"/>
        <v/>
      </c>
      <c r="Y565" s="37" t="str">
        <f>IF(OR($H565="",$J565=""),"",$J565*IFERROR(VLOOKUP($H565,Maestro_SKU!$A$2:$P$500,12,FALSE),1))</f>
        <v/>
      </c>
      <c r="Z565" s="37" t="str">
        <f t="shared" ca="1" si="71"/>
        <v/>
      </c>
    </row>
    <row r="566" spans="1:26" x14ac:dyDescent="0.35">
      <c r="A566" s="18"/>
      <c r="B566" s="26"/>
      <c r="C566" s="18"/>
      <c r="D566" s="18"/>
      <c r="E566" s="22" t="str">
        <f>IFERROR(VLOOKUP(D566,Clientes_PDV!$A$2:$J$250,2,FALSE),"")</f>
        <v/>
      </c>
      <c r="F566" s="22" t="str">
        <f>IFERROR(VLOOKUP(D566,Clientes_PDV!$A$2:$J$250,3,FALSE),"")</f>
        <v/>
      </c>
      <c r="G566" s="22" t="str">
        <f>IFERROR(VLOOKUP(D566,Clientes_PDV!$A$2:$J$250,4,FALSE),"")</f>
        <v/>
      </c>
      <c r="H566" s="18"/>
      <c r="I566" s="22" t="str">
        <f>IFERROR(VLOOKUP(H566,Maestro_SKU!$A$2:$P$500,2,FALSE),"")</f>
        <v/>
      </c>
      <c r="J566" s="27"/>
      <c r="K566" s="19"/>
      <c r="L566" s="23" t="str">
        <f t="shared" si="64"/>
        <v/>
      </c>
      <c r="M566" s="23" t="str">
        <f>IF(L566="","",L566*Inicio!$B$13)</f>
        <v/>
      </c>
      <c r="N566" s="23" t="str">
        <f t="shared" si="65"/>
        <v/>
      </c>
      <c r="O566" s="26"/>
      <c r="P566" s="18"/>
      <c r="Q566" s="19"/>
      <c r="R566" s="23" t="str">
        <f t="shared" si="66"/>
        <v/>
      </c>
      <c r="S566" s="22" t="str">
        <f ca="1">IF(A566="","",IF(OR(P566="Pagada",R566=0),"Pagada",IF(O566&lt;TODAY(),"Vencida",IF(O566&lt;=TODAY()+Inicio!$B$19,"Próxima a vencer","Vigente"))))</f>
        <v/>
      </c>
      <c r="T566" s="18"/>
      <c r="U566" s="37" t="str">
        <f t="shared" si="67"/>
        <v/>
      </c>
      <c r="V566" s="37" t="str">
        <f t="shared" si="68"/>
        <v/>
      </c>
      <c r="W566" s="37" t="str">
        <f t="shared" si="69"/>
        <v/>
      </c>
      <c r="X566" s="37" t="str">
        <f t="shared" si="70"/>
        <v/>
      </c>
      <c r="Y566" s="37" t="str">
        <f>IF(OR($H566="",$J566=""),"",$J566*IFERROR(VLOOKUP($H566,Maestro_SKU!$A$2:$P$500,12,FALSE),1))</f>
        <v/>
      </c>
      <c r="Z566" s="37" t="str">
        <f t="shared" ca="1" si="71"/>
        <v/>
      </c>
    </row>
    <row r="567" spans="1:26" x14ac:dyDescent="0.35">
      <c r="A567" s="18"/>
      <c r="B567" s="26"/>
      <c r="C567" s="18"/>
      <c r="D567" s="18"/>
      <c r="E567" s="22" t="str">
        <f>IFERROR(VLOOKUP(D567,Clientes_PDV!$A$2:$J$250,2,FALSE),"")</f>
        <v/>
      </c>
      <c r="F567" s="22" t="str">
        <f>IFERROR(VLOOKUP(D567,Clientes_PDV!$A$2:$J$250,3,FALSE),"")</f>
        <v/>
      </c>
      <c r="G567" s="22" t="str">
        <f>IFERROR(VLOOKUP(D567,Clientes_PDV!$A$2:$J$250,4,FALSE),"")</f>
        <v/>
      </c>
      <c r="H567" s="18"/>
      <c r="I567" s="22" t="str">
        <f>IFERROR(VLOOKUP(H567,Maestro_SKU!$A$2:$P$500,2,FALSE),"")</f>
        <v/>
      </c>
      <c r="J567" s="27"/>
      <c r="K567" s="19"/>
      <c r="L567" s="23" t="str">
        <f t="shared" si="64"/>
        <v/>
      </c>
      <c r="M567" s="23" t="str">
        <f>IF(L567="","",L567*Inicio!$B$13)</f>
        <v/>
      </c>
      <c r="N567" s="23" t="str">
        <f t="shared" si="65"/>
        <v/>
      </c>
      <c r="O567" s="26"/>
      <c r="P567" s="18"/>
      <c r="Q567" s="19"/>
      <c r="R567" s="23" t="str">
        <f t="shared" si="66"/>
        <v/>
      </c>
      <c r="S567" s="22" t="str">
        <f ca="1">IF(A567="","",IF(OR(P567="Pagada",R567=0),"Pagada",IF(O567&lt;TODAY(),"Vencida",IF(O567&lt;=TODAY()+Inicio!$B$19,"Próxima a vencer","Vigente"))))</f>
        <v/>
      </c>
      <c r="T567" s="18"/>
      <c r="U567" s="37" t="str">
        <f t="shared" si="67"/>
        <v/>
      </c>
      <c r="V567" s="37" t="str">
        <f t="shared" si="68"/>
        <v/>
      </c>
      <c r="W567" s="37" t="str">
        <f t="shared" si="69"/>
        <v/>
      </c>
      <c r="X567" s="37" t="str">
        <f t="shared" si="70"/>
        <v/>
      </c>
      <c r="Y567" s="37" t="str">
        <f>IF(OR($H567="",$J567=""),"",$J567*IFERROR(VLOOKUP($H567,Maestro_SKU!$A$2:$P$500,12,FALSE),1))</f>
        <v/>
      </c>
      <c r="Z567" s="37" t="str">
        <f t="shared" ca="1" si="71"/>
        <v/>
      </c>
    </row>
    <row r="568" spans="1:26" x14ac:dyDescent="0.35">
      <c r="A568" s="18"/>
      <c r="B568" s="26"/>
      <c r="C568" s="18"/>
      <c r="D568" s="18"/>
      <c r="E568" s="22" t="str">
        <f>IFERROR(VLOOKUP(D568,Clientes_PDV!$A$2:$J$250,2,FALSE),"")</f>
        <v/>
      </c>
      <c r="F568" s="22" t="str">
        <f>IFERROR(VLOOKUP(D568,Clientes_PDV!$A$2:$J$250,3,FALSE),"")</f>
        <v/>
      </c>
      <c r="G568" s="22" t="str">
        <f>IFERROR(VLOOKUP(D568,Clientes_PDV!$A$2:$J$250,4,FALSE),"")</f>
        <v/>
      </c>
      <c r="H568" s="18"/>
      <c r="I568" s="22" t="str">
        <f>IFERROR(VLOOKUP(H568,Maestro_SKU!$A$2:$P$500,2,FALSE),"")</f>
        <v/>
      </c>
      <c r="J568" s="27"/>
      <c r="K568" s="19"/>
      <c r="L568" s="23" t="str">
        <f t="shared" si="64"/>
        <v/>
      </c>
      <c r="M568" s="23" t="str">
        <f>IF(L568="","",L568*Inicio!$B$13)</f>
        <v/>
      </c>
      <c r="N568" s="23" t="str">
        <f t="shared" si="65"/>
        <v/>
      </c>
      <c r="O568" s="26"/>
      <c r="P568" s="18"/>
      <c r="Q568" s="19"/>
      <c r="R568" s="23" t="str">
        <f t="shared" si="66"/>
        <v/>
      </c>
      <c r="S568" s="22" t="str">
        <f ca="1">IF(A568="","",IF(OR(P568="Pagada",R568=0),"Pagada",IF(O568&lt;TODAY(),"Vencida",IF(O568&lt;=TODAY()+Inicio!$B$19,"Próxima a vencer","Vigente"))))</f>
        <v/>
      </c>
      <c r="T568" s="18"/>
      <c r="U568" s="37" t="str">
        <f t="shared" si="67"/>
        <v/>
      </c>
      <c r="V568" s="37" t="str">
        <f t="shared" si="68"/>
        <v/>
      </c>
      <c r="W568" s="37" t="str">
        <f t="shared" si="69"/>
        <v/>
      </c>
      <c r="X568" s="37" t="str">
        <f t="shared" si="70"/>
        <v/>
      </c>
      <c r="Y568" s="37" t="str">
        <f>IF(OR($H568="",$J568=""),"",$J568*IFERROR(VLOOKUP($H568,Maestro_SKU!$A$2:$P$500,12,FALSE),1))</f>
        <v/>
      </c>
      <c r="Z568" s="37" t="str">
        <f t="shared" ca="1" si="71"/>
        <v/>
      </c>
    </row>
    <row r="569" spans="1:26" x14ac:dyDescent="0.35">
      <c r="A569" s="18"/>
      <c r="B569" s="26"/>
      <c r="C569" s="18"/>
      <c r="D569" s="18"/>
      <c r="E569" s="22" t="str">
        <f>IFERROR(VLOOKUP(D569,Clientes_PDV!$A$2:$J$250,2,FALSE),"")</f>
        <v/>
      </c>
      <c r="F569" s="22" t="str">
        <f>IFERROR(VLOOKUP(D569,Clientes_PDV!$A$2:$J$250,3,FALSE),"")</f>
        <v/>
      </c>
      <c r="G569" s="22" t="str">
        <f>IFERROR(VLOOKUP(D569,Clientes_PDV!$A$2:$J$250,4,FALSE),"")</f>
        <v/>
      </c>
      <c r="H569" s="18"/>
      <c r="I569" s="22" t="str">
        <f>IFERROR(VLOOKUP(H569,Maestro_SKU!$A$2:$P$500,2,FALSE),"")</f>
        <v/>
      </c>
      <c r="J569" s="27"/>
      <c r="K569" s="19"/>
      <c r="L569" s="23" t="str">
        <f t="shared" si="64"/>
        <v/>
      </c>
      <c r="M569" s="23" t="str">
        <f>IF(L569="","",L569*Inicio!$B$13)</f>
        <v/>
      </c>
      <c r="N569" s="23" t="str">
        <f t="shared" si="65"/>
        <v/>
      </c>
      <c r="O569" s="26"/>
      <c r="P569" s="18"/>
      <c r="Q569" s="19"/>
      <c r="R569" s="23" t="str">
        <f t="shared" si="66"/>
        <v/>
      </c>
      <c r="S569" s="22" t="str">
        <f ca="1">IF(A569="","",IF(OR(P569="Pagada",R569=0),"Pagada",IF(O569&lt;TODAY(),"Vencida",IF(O569&lt;=TODAY()+Inicio!$B$19,"Próxima a vencer","Vigente"))))</f>
        <v/>
      </c>
      <c r="T569" s="18"/>
      <c r="U569" s="37" t="str">
        <f t="shared" si="67"/>
        <v/>
      </c>
      <c r="V569" s="37" t="str">
        <f t="shared" si="68"/>
        <v/>
      </c>
      <c r="W569" s="37" t="str">
        <f t="shared" si="69"/>
        <v/>
      </c>
      <c r="X569" s="37" t="str">
        <f t="shared" si="70"/>
        <v/>
      </c>
      <c r="Y569" s="37" t="str">
        <f>IF(OR($H569="",$J569=""),"",$J569*IFERROR(VLOOKUP($H569,Maestro_SKU!$A$2:$P$500,12,FALSE),1))</f>
        <v/>
      </c>
      <c r="Z569" s="37" t="str">
        <f t="shared" ca="1" si="71"/>
        <v/>
      </c>
    </row>
    <row r="570" spans="1:26" x14ac:dyDescent="0.35">
      <c r="A570" s="18"/>
      <c r="B570" s="26"/>
      <c r="C570" s="18"/>
      <c r="D570" s="18"/>
      <c r="E570" s="22" t="str">
        <f>IFERROR(VLOOKUP(D570,Clientes_PDV!$A$2:$J$250,2,FALSE),"")</f>
        <v/>
      </c>
      <c r="F570" s="22" t="str">
        <f>IFERROR(VLOOKUP(D570,Clientes_PDV!$A$2:$J$250,3,FALSE),"")</f>
        <v/>
      </c>
      <c r="G570" s="22" t="str">
        <f>IFERROR(VLOOKUP(D570,Clientes_PDV!$A$2:$J$250,4,FALSE),"")</f>
        <v/>
      </c>
      <c r="H570" s="18"/>
      <c r="I570" s="22" t="str">
        <f>IFERROR(VLOOKUP(H570,Maestro_SKU!$A$2:$P$500,2,FALSE),"")</f>
        <v/>
      </c>
      <c r="J570" s="27"/>
      <c r="K570" s="19"/>
      <c r="L570" s="23" t="str">
        <f t="shared" si="64"/>
        <v/>
      </c>
      <c r="M570" s="23" t="str">
        <f>IF(L570="","",L570*Inicio!$B$13)</f>
        <v/>
      </c>
      <c r="N570" s="23" t="str">
        <f t="shared" si="65"/>
        <v/>
      </c>
      <c r="O570" s="26"/>
      <c r="P570" s="18"/>
      <c r="Q570" s="19"/>
      <c r="R570" s="23" t="str">
        <f t="shared" si="66"/>
        <v/>
      </c>
      <c r="S570" s="22" t="str">
        <f ca="1">IF(A570="","",IF(OR(P570="Pagada",R570=0),"Pagada",IF(O570&lt;TODAY(),"Vencida",IF(O570&lt;=TODAY()+Inicio!$B$19,"Próxima a vencer","Vigente"))))</f>
        <v/>
      </c>
      <c r="T570" s="18"/>
      <c r="U570" s="37" t="str">
        <f t="shared" si="67"/>
        <v/>
      </c>
      <c r="V570" s="37" t="str">
        <f t="shared" si="68"/>
        <v/>
      </c>
      <c r="W570" s="37" t="str">
        <f t="shared" si="69"/>
        <v/>
      </c>
      <c r="X570" s="37" t="str">
        <f t="shared" si="70"/>
        <v/>
      </c>
      <c r="Y570" s="37" t="str">
        <f>IF(OR($H570="",$J570=""),"",$J570*IFERROR(VLOOKUP($H570,Maestro_SKU!$A$2:$P$500,12,FALSE),1))</f>
        <v/>
      </c>
      <c r="Z570" s="37" t="str">
        <f t="shared" ca="1" si="71"/>
        <v/>
      </c>
    </row>
    <row r="571" spans="1:26" x14ac:dyDescent="0.35">
      <c r="A571" s="18"/>
      <c r="B571" s="26"/>
      <c r="C571" s="18"/>
      <c r="D571" s="18"/>
      <c r="E571" s="22" t="str">
        <f>IFERROR(VLOOKUP(D571,Clientes_PDV!$A$2:$J$250,2,FALSE),"")</f>
        <v/>
      </c>
      <c r="F571" s="22" t="str">
        <f>IFERROR(VLOOKUP(D571,Clientes_PDV!$A$2:$J$250,3,FALSE),"")</f>
        <v/>
      </c>
      <c r="G571" s="22" t="str">
        <f>IFERROR(VLOOKUP(D571,Clientes_PDV!$A$2:$J$250,4,FALSE),"")</f>
        <v/>
      </c>
      <c r="H571" s="18"/>
      <c r="I571" s="22" t="str">
        <f>IFERROR(VLOOKUP(H571,Maestro_SKU!$A$2:$P$500,2,FALSE),"")</f>
        <v/>
      </c>
      <c r="J571" s="27"/>
      <c r="K571" s="19"/>
      <c r="L571" s="23" t="str">
        <f t="shared" si="64"/>
        <v/>
      </c>
      <c r="M571" s="23" t="str">
        <f>IF(L571="","",L571*Inicio!$B$13)</f>
        <v/>
      </c>
      <c r="N571" s="23" t="str">
        <f t="shared" si="65"/>
        <v/>
      </c>
      <c r="O571" s="26"/>
      <c r="P571" s="18"/>
      <c r="Q571" s="19"/>
      <c r="R571" s="23" t="str">
        <f t="shared" si="66"/>
        <v/>
      </c>
      <c r="S571" s="22" t="str">
        <f ca="1">IF(A571="","",IF(OR(P571="Pagada",R571=0),"Pagada",IF(O571&lt;TODAY(),"Vencida",IF(O571&lt;=TODAY()+Inicio!$B$19,"Próxima a vencer","Vigente"))))</f>
        <v/>
      </c>
      <c r="T571" s="18"/>
      <c r="U571" s="37" t="str">
        <f t="shared" si="67"/>
        <v/>
      </c>
      <c r="V571" s="37" t="str">
        <f t="shared" si="68"/>
        <v/>
      </c>
      <c r="W571" s="37" t="str">
        <f t="shared" si="69"/>
        <v/>
      </c>
      <c r="X571" s="37" t="str">
        <f t="shared" si="70"/>
        <v/>
      </c>
      <c r="Y571" s="37" t="str">
        <f>IF(OR($H571="",$J571=""),"",$J571*IFERROR(VLOOKUP($H571,Maestro_SKU!$A$2:$P$500,12,FALSE),1))</f>
        <v/>
      </c>
      <c r="Z571" s="37" t="str">
        <f t="shared" ca="1" si="71"/>
        <v/>
      </c>
    </row>
    <row r="572" spans="1:26" x14ac:dyDescent="0.35">
      <c r="A572" s="18"/>
      <c r="B572" s="26"/>
      <c r="C572" s="18"/>
      <c r="D572" s="18"/>
      <c r="E572" s="22" t="str">
        <f>IFERROR(VLOOKUP(D572,Clientes_PDV!$A$2:$J$250,2,FALSE),"")</f>
        <v/>
      </c>
      <c r="F572" s="22" t="str">
        <f>IFERROR(VLOOKUP(D572,Clientes_PDV!$A$2:$J$250,3,FALSE),"")</f>
        <v/>
      </c>
      <c r="G572" s="22" t="str">
        <f>IFERROR(VLOOKUP(D572,Clientes_PDV!$A$2:$J$250,4,FALSE),"")</f>
        <v/>
      </c>
      <c r="H572" s="18"/>
      <c r="I572" s="22" t="str">
        <f>IFERROR(VLOOKUP(H572,Maestro_SKU!$A$2:$P$500,2,FALSE),"")</f>
        <v/>
      </c>
      <c r="J572" s="27"/>
      <c r="K572" s="19"/>
      <c r="L572" s="23" t="str">
        <f t="shared" si="64"/>
        <v/>
      </c>
      <c r="M572" s="23" t="str">
        <f>IF(L572="","",L572*Inicio!$B$13)</f>
        <v/>
      </c>
      <c r="N572" s="23" t="str">
        <f t="shared" si="65"/>
        <v/>
      </c>
      <c r="O572" s="26"/>
      <c r="P572" s="18"/>
      <c r="Q572" s="19"/>
      <c r="R572" s="23" t="str">
        <f t="shared" si="66"/>
        <v/>
      </c>
      <c r="S572" s="22" t="str">
        <f ca="1">IF(A572="","",IF(OR(P572="Pagada",R572=0),"Pagada",IF(O572&lt;TODAY(),"Vencida",IF(O572&lt;=TODAY()+Inicio!$B$19,"Próxima a vencer","Vigente"))))</f>
        <v/>
      </c>
      <c r="T572" s="18"/>
      <c r="U572" s="37" t="str">
        <f t="shared" si="67"/>
        <v/>
      </c>
      <c r="V572" s="37" t="str">
        <f t="shared" si="68"/>
        <v/>
      </c>
      <c r="W572" s="37" t="str">
        <f t="shared" si="69"/>
        <v/>
      </c>
      <c r="X572" s="37" t="str">
        <f t="shared" si="70"/>
        <v/>
      </c>
      <c r="Y572" s="37" t="str">
        <f>IF(OR($H572="",$J572=""),"",$J572*IFERROR(VLOOKUP($H572,Maestro_SKU!$A$2:$P$500,12,FALSE),1))</f>
        <v/>
      </c>
      <c r="Z572" s="37" t="str">
        <f t="shared" ca="1" si="71"/>
        <v/>
      </c>
    </row>
    <row r="573" spans="1:26" x14ac:dyDescent="0.35">
      <c r="A573" s="18"/>
      <c r="B573" s="26"/>
      <c r="C573" s="18"/>
      <c r="D573" s="18"/>
      <c r="E573" s="22" t="str">
        <f>IFERROR(VLOOKUP(D573,Clientes_PDV!$A$2:$J$250,2,FALSE),"")</f>
        <v/>
      </c>
      <c r="F573" s="22" t="str">
        <f>IFERROR(VLOOKUP(D573,Clientes_PDV!$A$2:$J$250,3,FALSE),"")</f>
        <v/>
      </c>
      <c r="G573" s="22" t="str">
        <f>IFERROR(VLOOKUP(D573,Clientes_PDV!$A$2:$J$250,4,FALSE),"")</f>
        <v/>
      </c>
      <c r="H573" s="18"/>
      <c r="I573" s="22" t="str">
        <f>IFERROR(VLOOKUP(H573,Maestro_SKU!$A$2:$P$500,2,FALSE),"")</f>
        <v/>
      </c>
      <c r="J573" s="27"/>
      <c r="K573" s="19"/>
      <c r="L573" s="23" t="str">
        <f t="shared" si="64"/>
        <v/>
      </c>
      <c r="M573" s="23" t="str">
        <f>IF(L573="","",L573*Inicio!$B$13)</f>
        <v/>
      </c>
      <c r="N573" s="23" t="str">
        <f t="shared" si="65"/>
        <v/>
      </c>
      <c r="O573" s="26"/>
      <c r="P573" s="18"/>
      <c r="Q573" s="19"/>
      <c r="R573" s="23" t="str">
        <f t="shared" si="66"/>
        <v/>
      </c>
      <c r="S573" s="22" t="str">
        <f ca="1">IF(A573="","",IF(OR(P573="Pagada",R573=0),"Pagada",IF(O573&lt;TODAY(),"Vencida",IF(O573&lt;=TODAY()+Inicio!$B$19,"Próxima a vencer","Vigente"))))</f>
        <v/>
      </c>
      <c r="T573" s="18"/>
      <c r="U573" s="37" t="str">
        <f t="shared" si="67"/>
        <v/>
      </c>
      <c r="V573" s="37" t="str">
        <f t="shared" si="68"/>
        <v/>
      </c>
      <c r="W573" s="37" t="str">
        <f t="shared" si="69"/>
        <v/>
      </c>
      <c r="X573" s="37" t="str">
        <f t="shared" si="70"/>
        <v/>
      </c>
      <c r="Y573" s="37" t="str">
        <f>IF(OR($H573="",$J573=""),"",$J573*IFERROR(VLOOKUP($H573,Maestro_SKU!$A$2:$P$500,12,FALSE),1))</f>
        <v/>
      </c>
      <c r="Z573" s="37" t="str">
        <f t="shared" ca="1" si="71"/>
        <v/>
      </c>
    </row>
    <row r="574" spans="1:26" x14ac:dyDescent="0.35">
      <c r="A574" s="18"/>
      <c r="B574" s="26"/>
      <c r="C574" s="18"/>
      <c r="D574" s="18"/>
      <c r="E574" s="22" t="str">
        <f>IFERROR(VLOOKUP(D574,Clientes_PDV!$A$2:$J$250,2,FALSE),"")</f>
        <v/>
      </c>
      <c r="F574" s="22" t="str">
        <f>IFERROR(VLOOKUP(D574,Clientes_PDV!$A$2:$J$250,3,FALSE),"")</f>
        <v/>
      </c>
      <c r="G574" s="22" t="str">
        <f>IFERROR(VLOOKUP(D574,Clientes_PDV!$A$2:$J$250,4,FALSE),"")</f>
        <v/>
      </c>
      <c r="H574" s="18"/>
      <c r="I574" s="22" t="str">
        <f>IFERROR(VLOOKUP(H574,Maestro_SKU!$A$2:$P$500,2,FALSE),"")</f>
        <v/>
      </c>
      <c r="J574" s="27"/>
      <c r="K574" s="19"/>
      <c r="L574" s="23" t="str">
        <f t="shared" si="64"/>
        <v/>
      </c>
      <c r="M574" s="23" t="str">
        <f>IF(L574="","",L574*Inicio!$B$13)</f>
        <v/>
      </c>
      <c r="N574" s="23" t="str">
        <f t="shared" si="65"/>
        <v/>
      </c>
      <c r="O574" s="26"/>
      <c r="P574" s="18"/>
      <c r="Q574" s="19"/>
      <c r="R574" s="23" t="str">
        <f t="shared" si="66"/>
        <v/>
      </c>
      <c r="S574" s="22" t="str">
        <f ca="1">IF(A574="","",IF(OR(P574="Pagada",R574=0),"Pagada",IF(O574&lt;TODAY(),"Vencida",IF(O574&lt;=TODAY()+Inicio!$B$19,"Próxima a vencer","Vigente"))))</f>
        <v/>
      </c>
      <c r="T574" s="18"/>
      <c r="U574" s="37" t="str">
        <f t="shared" si="67"/>
        <v/>
      </c>
      <c r="V574" s="37" t="str">
        <f t="shared" si="68"/>
        <v/>
      </c>
      <c r="W574" s="37" t="str">
        <f t="shared" si="69"/>
        <v/>
      </c>
      <c r="X574" s="37" t="str">
        <f t="shared" si="70"/>
        <v/>
      </c>
      <c r="Y574" s="37" t="str">
        <f>IF(OR($H574="",$J574=""),"",$J574*IFERROR(VLOOKUP($H574,Maestro_SKU!$A$2:$P$500,12,FALSE),1))</f>
        <v/>
      </c>
      <c r="Z574" s="37" t="str">
        <f t="shared" ca="1" si="71"/>
        <v/>
      </c>
    </row>
    <row r="575" spans="1:26" x14ac:dyDescent="0.35">
      <c r="A575" s="18"/>
      <c r="B575" s="26"/>
      <c r="C575" s="18"/>
      <c r="D575" s="18"/>
      <c r="E575" s="22" t="str">
        <f>IFERROR(VLOOKUP(D575,Clientes_PDV!$A$2:$J$250,2,FALSE),"")</f>
        <v/>
      </c>
      <c r="F575" s="22" t="str">
        <f>IFERROR(VLOOKUP(D575,Clientes_PDV!$A$2:$J$250,3,FALSE),"")</f>
        <v/>
      </c>
      <c r="G575" s="22" t="str">
        <f>IFERROR(VLOOKUP(D575,Clientes_PDV!$A$2:$J$250,4,FALSE),"")</f>
        <v/>
      </c>
      <c r="H575" s="18"/>
      <c r="I575" s="22" t="str">
        <f>IFERROR(VLOOKUP(H575,Maestro_SKU!$A$2:$P$500,2,FALSE),"")</f>
        <v/>
      </c>
      <c r="J575" s="27"/>
      <c r="K575" s="19"/>
      <c r="L575" s="23" t="str">
        <f t="shared" si="64"/>
        <v/>
      </c>
      <c r="M575" s="23" t="str">
        <f>IF(L575="","",L575*Inicio!$B$13)</f>
        <v/>
      </c>
      <c r="N575" s="23" t="str">
        <f t="shared" si="65"/>
        <v/>
      </c>
      <c r="O575" s="26"/>
      <c r="P575" s="18"/>
      <c r="Q575" s="19"/>
      <c r="R575" s="23" t="str">
        <f t="shared" si="66"/>
        <v/>
      </c>
      <c r="S575" s="22" t="str">
        <f ca="1">IF(A575="","",IF(OR(P575="Pagada",R575=0),"Pagada",IF(O575&lt;TODAY(),"Vencida",IF(O575&lt;=TODAY()+Inicio!$B$19,"Próxima a vencer","Vigente"))))</f>
        <v/>
      </c>
      <c r="T575" s="18"/>
      <c r="U575" s="37" t="str">
        <f t="shared" si="67"/>
        <v/>
      </c>
      <c r="V575" s="37" t="str">
        <f t="shared" si="68"/>
        <v/>
      </c>
      <c r="W575" s="37" t="str">
        <f t="shared" si="69"/>
        <v/>
      </c>
      <c r="X575" s="37" t="str">
        <f t="shared" si="70"/>
        <v/>
      </c>
      <c r="Y575" s="37" t="str">
        <f>IF(OR($H575="",$J575=""),"",$J575*IFERROR(VLOOKUP($H575,Maestro_SKU!$A$2:$P$500,12,FALSE),1))</f>
        <v/>
      </c>
      <c r="Z575" s="37" t="str">
        <f t="shared" ca="1" si="71"/>
        <v/>
      </c>
    </row>
    <row r="576" spans="1:26" x14ac:dyDescent="0.35">
      <c r="A576" s="18"/>
      <c r="B576" s="26"/>
      <c r="C576" s="18"/>
      <c r="D576" s="18"/>
      <c r="E576" s="22" t="str">
        <f>IFERROR(VLOOKUP(D576,Clientes_PDV!$A$2:$J$250,2,FALSE),"")</f>
        <v/>
      </c>
      <c r="F576" s="22" t="str">
        <f>IFERROR(VLOOKUP(D576,Clientes_PDV!$A$2:$J$250,3,FALSE),"")</f>
        <v/>
      </c>
      <c r="G576" s="22" t="str">
        <f>IFERROR(VLOOKUP(D576,Clientes_PDV!$A$2:$J$250,4,FALSE),"")</f>
        <v/>
      </c>
      <c r="H576" s="18"/>
      <c r="I576" s="22" t="str">
        <f>IFERROR(VLOOKUP(H576,Maestro_SKU!$A$2:$P$500,2,FALSE),"")</f>
        <v/>
      </c>
      <c r="J576" s="27"/>
      <c r="K576" s="19"/>
      <c r="L576" s="23" t="str">
        <f t="shared" si="64"/>
        <v/>
      </c>
      <c r="M576" s="23" t="str">
        <f>IF(L576="","",L576*Inicio!$B$13)</f>
        <v/>
      </c>
      <c r="N576" s="23" t="str">
        <f t="shared" si="65"/>
        <v/>
      </c>
      <c r="O576" s="26"/>
      <c r="P576" s="18"/>
      <c r="Q576" s="19"/>
      <c r="R576" s="23" t="str">
        <f t="shared" si="66"/>
        <v/>
      </c>
      <c r="S576" s="22" t="str">
        <f ca="1">IF(A576="","",IF(OR(P576="Pagada",R576=0),"Pagada",IF(O576&lt;TODAY(),"Vencida",IF(O576&lt;=TODAY()+Inicio!$B$19,"Próxima a vencer","Vigente"))))</f>
        <v/>
      </c>
      <c r="T576" s="18"/>
      <c r="U576" s="37" t="str">
        <f t="shared" si="67"/>
        <v/>
      </c>
      <c r="V576" s="37" t="str">
        <f t="shared" si="68"/>
        <v/>
      </c>
      <c r="W576" s="37" t="str">
        <f t="shared" si="69"/>
        <v/>
      </c>
      <c r="X576" s="37" t="str">
        <f t="shared" si="70"/>
        <v/>
      </c>
      <c r="Y576" s="37" t="str">
        <f>IF(OR($H576="",$J576=""),"",$J576*IFERROR(VLOOKUP($H576,Maestro_SKU!$A$2:$P$500,12,FALSE),1))</f>
        <v/>
      </c>
      <c r="Z576" s="37" t="str">
        <f t="shared" ca="1" si="71"/>
        <v/>
      </c>
    </row>
    <row r="577" spans="1:26" x14ac:dyDescent="0.35">
      <c r="A577" s="18"/>
      <c r="B577" s="26"/>
      <c r="C577" s="18"/>
      <c r="D577" s="18"/>
      <c r="E577" s="22" t="str">
        <f>IFERROR(VLOOKUP(D577,Clientes_PDV!$A$2:$J$250,2,FALSE),"")</f>
        <v/>
      </c>
      <c r="F577" s="22" t="str">
        <f>IFERROR(VLOOKUP(D577,Clientes_PDV!$A$2:$J$250,3,FALSE),"")</f>
        <v/>
      </c>
      <c r="G577" s="22" t="str">
        <f>IFERROR(VLOOKUP(D577,Clientes_PDV!$A$2:$J$250,4,FALSE),"")</f>
        <v/>
      </c>
      <c r="H577" s="18"/>
      <c r="I577" s="22" t="str">
        <f>IFERROR(VLOOKUP(H577,Maestro_SKU!$A$2:$P$500,2,FALSE),"")</f>
        <v/>
      </c>
      <c r="J577" s="27"/>
      <c r="K577" s="19"/>
      <c r="L577" s="23" t="str">
        <f t="shared" si="64"/>
        <v/>
      </c>
      <c r="M577" s="23" t="str">
        <f>IF(L577="","",L577*Inicio!$B$13)</f>
        <v/>
      </c>
      <c r="N577" s="23" t="str">
        <f t="shared" si="65"/>
        <v/>
      </c>
      <c r="O577" s="26"/>
      <c r="P577" s="18"/>
      <c r="Q577" s="19"/>
      <c r="R577" s="23" t="str">
        <f t="shared" si="66"/>
        <v/>
      </c>
      <c r="S577" s="22" t="str">
        <f ca="1">IF(A577="","",IF(OR(P577="Pagada",R577=0),"Pagada",IF(O577&lt;TODAY(),"Vencida",IF(O577&lt;=TODAY()+Inicio!$B$19,"Próxima a vencer","Vigente"))))</f>
        <v/>
      </c>
      <c r="T577" s="18"/>
      <c r="U577" s="37" t="str">
        <f t="shared" si="67"/>
        <v/>
      </c>
      <c r="V577" s="37" t="str">
        <f t="shared" si="68"/>
        <v/>
      </c>
      <c r="W577" s="37" t="str">
        <f t="shared" si="69"/>
        <v/>
      </c>
      <c r="X577" s="37" t="str">
        <f t="shared" si="70"/>
        <v/>
      </c>
      <c r="Y577" s="37" t="str">
        <f>IF(OR($H577="",$J577=""),"",$J577*IFERROR(VLOOKUP($H577,Maestro_SKU!$A$2:$P$500,12,FALSE),1))</f>
        <v/>
      </c>
      <c r="Z577" s="37" t="str">
        <f t="shared" ca="1" si="71"/>
        <v/>
      </c>
    </row>
    <row r="578" spans="1:26" x14ac:dyDescent="0.35">
      <c r="A578" s="18"/>
      <c r="B578" s="26"/>
      <c r="C578" s="18"/>
      <c r="D578" s="18"/>
      <c r="E578" s="22" t="str">
        <f>IFERROR(VLOOKUP(D578,Clientes_PDV!$A$2:$J$250,2,FALSE),"")</f>
        <v/>
      </c>
      <c r="F578" s="22" t="str">
        <f>IFERROR(VLOOKUP(D578,Clientes_PDV!$A$2:$J$250,3,FALSE),"")</f>
        <v/>
      </c>
      <c r="G578" s="22" t="str">
        <f>IFERROR(VLOOKUP(D578,Clientes_PDV!$A$2:$J$250,4,FALSE),"")</f>
        <v/>
      </c>
      <c r="H578" s="18"/>
      <c r="I578" s="22" t="str">
        <f>IFERROR(VLOOKUP(H578,Maestro_SKU!$A$2:$P$500,2,FALSE),"")</f>
        <v/>
      </c>
      <c r="J578" s="27"/>
      <c r="K578" s="19"/>
      <c r="L578" s="23" t="str">
        <f t="shared" ref="L578:L641" si="72">IF(OR(J578="",K578=""),"",J578*K578)</f>
        <v/>
      </c>
      <c r="M578" s="23" t="str">
        <f>IF(L578="","",L578*Inicio!$B$13)</f>
        <v/>
      </c>
      <c r="N578" s="23" t="str">
        <f t="shared" ref="N578:N641" si="73">IF(L578="","",L578+M578)</f>
        <v/>
      </c>
      <c r="O578" s="26"/>
      <c r="P578" s="18"/>
      <c r="Q578" s="19"/>
      <c r="R578" s="23" t="str">
        <f t="shared" ref="R578:R641" si="74">IF(N578="","",MAX(N578-Q578,0))</f>
        <v/>
      </c>
      <c r="S578" s="22" t="str">
        <f ca="1">IF(A578="","",IF(OR(P578="Pagada",R578=0),"Pagada",IF(O578&lt;TODAY(),"Vencida",IF(O578&lt;=TODAY()+Inicio!$B$19,"Próxima a vencer","Vigente"))))</f>
        <v/>
      </c>
      <c r="T578" s="18"/>
      <c r="U578" s="37" t="str">
        <f t="shared" ref="U578:U641" si="75">IF($B578="","",YEAR($B578))</f>
        <v/>
      </c>
      <c r="V578" s="37" t="str">
        <f t="shared" ref="V578:V641" si="76">IF($B578="","",MONTH($B578))</f>
        <v/>
      </c>
      <c r="W578" s="37" t="str">
        <f t="shared" ref="W578:W641" si="77">IF($B578="","",DAY($B578))</f>
        <v/>
      </c>
      <c r="X578" s="37" t="str">
        <f t="shared" ref="X578:X641" si="78">IF($B578="","",YEAR($B578)&amp;"-"&amp;TEXT(MONTH($B578),"00"))</f>
        <v/>
      </c>
      <c r="Y578" s="37" t="str">
        <f>IF(OR($H578="",$J578=""),"",$J578*IFERROR(VLOOKUP($H578,Maestro_SKU!$A$2:$P$500,12,FALSE),1))</f>
        <v/>
      </c>
      <c r="Z578" s="37" t="str">
        <f t="shared" ref="Z578:Z641" ca="1" si="79">IF(OR($A578="",$O578="",$S578="Pagada"),"",$O578-TODAY())</f>
        <v/>
      </c>
    </row>
    <row r="579" spans="1:26" x14ac:dyDescent="0.35">
      <c r="A579" s="18"/>
      <c r="B579" s="26"/>
      <c r="C579" s="18"/>
      <c r="D579" s="18"/>
      <c r="E579" s="22" t="str">
        <f>IFERROR(VLOOKUP(D579,Clientes_PDV!$A$2:$J$250,2,FALSE),"")</f>
        <v/>
      </c>
      <c r="F579" s="22" t="str">
        <f>IFERROR(VLOOKUP(D579,Clientes_PDV!$A$2:$J$250,3,FALSE),"")</f>
        <v/>
      </c>
      <c r="G579" s="22" t="str">
        <f>IFERROR(VLOOKUP(D579,Clientes_PDV!$A$2:$J$250,4,FALSE),"")</f>
        <v/>
      </c>
      <c r="H579" s="18"/>
      <c r="I579" s="22" t="str">
        <f>IFERROR(VLOOKUP(H579,Maestro_SKU!$A$2:$P$500,2,FALSE),"")</f>
        <v/>
      </c>
      <c r="J579" s="27"/>
      <c r="K579" s="19"/>
      <c r="L579" s="23" t="str">
        <f t="shared" si="72"/>
        <v/>
      </c>
      <c r="M579" s="23" t="str">
        <f>IF(L579="","",L579*Inicio!$B$13)</f>
        <v/>
      </c>
      <c r="N579" s="23" t="str">
        <f t="shared" si="73"/>
        <v/>
      </c>
      <c r="O579" s="26"/>
      <c r="P579" s="18"/>
      <c r="Q579" s="19"/>
      <c r="R579" s="23" t="str">
        <f t="shared" si="74"/>
        <v/>
      </c>
      <c r="S579" s="22" t="str">
        <f ca="1">IF(A579="","",IF(OR(P579="Pagada",R579=0),"Pagada",IF(O579&lt;TODAY(),"Vencida",IF(O579&lt;=TODAY()+Inicio!$B$19,"Próxima a vencer","Vigente"))))</f>
        <v/>
      </c>
      <c r="T579" s="18"/>
      <c r="U579" s="37" t="str">
        <f t="shared" si="75"/>
        <v/>
      </c>
      <c r="V579" s="37" t="str">
        <f t="shared" si="76"/>
        <v/>
      </c>
      <c r="W579" s="37" t="str">
        <f t="shared" si="77"/>
        <v/>
      </c>
      <c r="X579" s="37" t="str">
        <f t="shared" si="78"/>
        <v/>
      </c>
      <c r="Y579" s="37" t="str">
        <f>IF(OR($H579="",$J579=""),"",$J579*IFERROR(VLOOKUP($H579,Maestro_SKU!$A$2:$P$500,12,FALSE),1))</f>
        <v/>
      </c>
      <c r="Z579" s="37" t="str">
        <f t="shared" ca="1" si="79"/>
        <v/>
      </c>
    </row>
    <row r="580" spans="1:26" x14ac:dyDescent="0.35">
      <c r="A580" s="18"/>
      <c r="B580" s="26"/>
      <c r="C580" s="18"/>
      <c r="D580" s="18"/>
      <c r="E580" s="22" t="str">
        <f>IFERROR(VLOOKUP(D580,Clientes_PDV!$A$2:$J$250,2,FALSE),"")</f>
        <v/>
      </c>
      <c r="F580" s="22" t="str">
        <f>IFERROR(VLOOKUP(D580,Clientes_PDV!$A$2:$J$250,3,FALSE),"")</f>
        <v/>
      </c>
      <c r="G580" s="22" t="str">
        <f>IFERROR(VLOOKUP(D580,Clientes_PDV!$A$2:$J$250,4,FALSE),"")</f>
        <v/>
      </c>
      <c r="H580" s="18"/>
      <c r="I580" s="22" t="str">
        <f>IFERROR(VLOOKUP(H580,Maestro_SKU!$A$2:$P$500,2,FALSE),"")</f>
        <v/>
      </c>
      <c r="J580" s="27"/>
      <c r="K580" s="19"/>
      <c r="L580" s="23" t="str">
        <f t="shared" si="72"/>
        <v/>
      </c>
      <c r="M580" s="23" t="str">
        <f>IF(L580="","",L580*Inicio!$B$13)</f>
        <v/>
      </c>
      <c r="N580" s="23" t="str">
        <f t="shared" si="73"/>
        <v/>
      </c>
      <c r="O580" s="26"/>
      <c r="P580" s="18"/>
      <c r="Q580" s="19"/>
      <c r="R580" s="23" t="str">
        <f t="shared" si="74"/>
        <v/>
      </c>
      <c r="S580" s="22" t="str">
        <f ca="1">IF(A580="","",IF(OR(P580="Pagada",R580=0),"Pagada",IF(O580&lt;TODAY(),"Vencida",IF(O580&lt;=TODAY()+Inicio!$B$19,"Próxima a vencer","Vigente"))))</f>
        <v/>
      </c>
      <c r="T580" s="18"/>
      <c r="U580" s="37" t="str">
        <f t="shared" si="75"/>
        <v/>
      </c>
      <c r="V580" s="37" t="str">
        <f t="shared" si="76"/>
        <v/>
      </c>
      <c r="W580" s="37" t="str">
        <f t="shared" si="77"/>
        <v/>
      </c>
      <c r="X580" s="37" t="str">
        <f t="shared" si="78"/>
        <v/>
      </c>
      <c r="Y580" s="37" t="str">
        <f>IF(OR($H580="",$J580=""),"",$J580*IFERROR(VLOOKUP($H580,Maestro_SKU!$A$2:$P$500,12,FALSE),1))</f>
        <v/>
      </c>
      <c r="Z580" s="37" t="str">
        <f t="shared" ca="1" si="79"/>
        <v/>
      </c>
    </row>
    <row r="581" spans="1:26" x14ac:dyDescent="0.35">
      <c r="A581" s="18"/>
      <c r="B581" s="26"/>
      <c r="C581" s="18"/>
      <c r="D581" s="18"/>
      <c r="E581" s="22" t="str">
        <f>IFERROR(VLOOKUP(D581,Clientes_PDV!$A$2:$J$250,2,FALSE),"")</f>
        <v/>
      </c>
      <c r="F581" s="22" t="str">
        <f>IFERROR(VLOOKUP(D581,Clientes_PDV!$A$2:$J$250,3,FALSE),"")</f>
        <v/>
      </c>
      <c r="G581" s="22" t="str">
        <f>IFERROR(VLOOKUP(D581,Clientes_PDV!$A$2:$J$250,4,FALSE),"")</f>
        <v/>
      </c>
      <c r="H581" s="18"/>
      <c r="I581" s="22" t="str">
        <f>IFERROR(VLOOKUP(H581,Maestro_SKU!$A$2:$P$500,2,FALSE),"")</f>
        <v/>
      </c>
      <c r="J581" s="27"/>
      <c r="K581" s="19"/>
      <c r="L581" s="23" t="str">
        <f t="shared" si="72"/>
        <v/>
      </c>
      <c r="M581" s="23" t="str">
        <f>IF(L581="","",L581*Inicio!$B$13)</f>
        <v/>
      </c>
      <c r="N581" s="23" t="str">
        <f t="shared" si="73"/>
        <v/>
      </c>
      <c r="O581" s="26"/>
      <c r="P581" s="18"/>
      <c r="Q581" s="19"/>
      <c r="R581" s="23" t="str">
        <f t="shared" si="74"/>
        <v/>
      </c>
      <c r="S581" s="22" t="str">
        <f ca="1">IF(A581="","",IF(OR(P581="Pagada",R581=0),"Pagada",IF(O581&lt;TODAY(),"Vencida",IF(O581&lt;=TODAY()+Inicio!$B$19,"Próxima a vencer","Vigente"))))</f>
        <v/>
      </c>
      <c r="T581" s="18"/>
      <c r="U581" s="37" t="str">
        <f t="shared" si="75"/>
        <v/>
      </c>
      <c r="V581" s="37" t="str">
        <f t="shared" si="76"/>
        <v/>
      </c>
      <c r="W581" s="37" t="str">
        <f t="shared" si="77"/>
        <v/>
      </c>
      <c r="X581" s="37" t="str">
        <f t="shared" si="78"/>
        <v/>
      </c>
      <c r="Y581" s="37" t="str">
        <f>IF(OR($H581="",$J581=""),"",$J581*IFERROR(VLOOKUP($H581,Maestro_SKU!$A$2:$P$500,12,FALSE),1))</f>
        <v/>
      </c>
      <c r="Z581" s="37" t="str">
        <f t="shared" ca="1" si="79"/>
        <v/>
      </c>
    </row>
    <row r="582" spans="1:26" x14ac:dyDescent="0.35">
      <c r="A582" s="18"/>
      <c r="B582" s="26"/>
      <c r="C582" s="18"/>
      <c r="D582" s="18"/>
      <c r="E582" s="22" t="str">
        <f>IFERROR(VLOOKUP(D582,Clientes_PDV!$A$2:$J$250,2,FALSE),"")</f>
        <v/>
      </c>
      <c r="F582" s="22" t="str">
        <f>IFERROR(VLOOKUP(D582,Clientes_PDV!$A$2:$J$250,3,FALSE),"")</f>
        <v/>
      </c>
      <c r="G582" s="22" t="str">
        <f>IFERROR(VLOOKUP(D582,Clientes_PDV!$A$2:$J$250,4,FALSE),"")</f>
        <v/>
      </c>
      <c r="H582" s="18"/>
      <c r="I582" s="22" t="str">
        <f>IFERROR(VLOOKUP(H582,Maestro_SKU!$A$2:$P$500,2,FALSE),"")</f>
        <v/>
      </c>
      <c r="J582" s="27"/>
      <c r="K582" s="19"/>
      <c r="L582" s="23" t="str">
        <f t="shared" si="72"/>
        <v/>
      </c>
      <c r="M582" s="23" t="str">
        <f>IF(L582="","",L582*Inicio!$B$13)</f>
        <v/>
      </c>
      <c r="N582" s="23" t="str">
        <f t="shared" si="73"/>
        <v/>
      </c>
      <c r="O582" s="26"/>
      <c r="P582" s="18"/>
      <c r="Q582" s="19"/>
      <c r="R582" s="23" t="str">
        <f t="shared" si="74"/>
        <v/>
      </c>
      <c r="S582" s="22" t="str">
        <f ca="1">IF(A582="","",IF(OR(P582="Pagada",R582=0),"Pagada",IF(O582&lt;TODAY(),"Vencida",IF(O582&lt;=TODAY()+Inicio!$B$19,"Próxima a vencer","Vigente"))))</f>
        <v/>
      </c>
      <c r="T582" s="18"/>
      <c r="U582" s="37" t="str">
        <f t="shared" si="75"/>
        <v/>
      </c>
      <c r="V582" s="37" t="str">
        <f t="shared" si="76"/>
        <v/>
      </c>
      <c r="W582" s="37" t="str">
        <f t="shared" si="77"/>
        <v/>
      </c>
      <c r="X582" s="37" t="str">
        <f t="shared" si="78"/>
        <v/>
      </c>
      <c r="Y582" s="37" t="str">
        <f>IF(OR($H582="",$J582=""),"",$J582*IFERROR(VLOOKUP($H582,Maestro_SKU!$A$2:$P$500,12,FALSE),1))</f>
        <v/>
      </c>
      <c r="Z582" s="37" t="str">
        <f t="shared" ca="1" si="79"/>
        <v/>
      </c>
    </row>
    <row r="583" spans="1:26" x14ac:dyDescent="0.35">
      <c r="A583" s="18"/>
      <c r="B583" s="26"/>
      <c r="C583" s="18"/>
      <c r="D583" s="18"/>
      <c r="E583" s="22" t="str">
        <f>IFERROR(VLOOKUP(D583,Clientes_PDV!$A$2:$J$250,2,FALSE),"")</f>
        <v/>
      </c>
      <c r="F583" s="22" t="str">
        <f>IFERROR(VLOOKUP(D583,Clientes_PDV!$A$2:$J$250,3,FALSE),"")</f>
        <v/>
      </c>
      <c r="G583" s="22" t="str">
        <f>IFERROR(VLOOKUP(D583,Clientes_PDV!$A$2:$J$250,4,FALSE),"")</f>
        <v/>
      </c>
      <c r="H583" s="18"/>
      <c r="I583" s="22" t="str">
        <f>IFERROR(VLOOKUP(H583,Maestro_SKU!$A$2:$P$500,2,FALSE),"")</f>
        <v/>
      </c>
      <c r="J583" s="27"/>
      <c r="K583" s="19"/>
      <c r="L583" s="23" t="str">
        <f t="shared" si="72"/>
        <v/>
      </c>
      <c r="M583" s="23" t="str">
        <f>IF(L583="","",L583*Inicio!$B$13)</f>
        <v/>
      </c>
      <c r="N583" s="23" t="str">
        <f t="shared" si="73"/>
        <v/>
      </c>
      <c r="O583" s="26"/>
      <c r="P583" s="18"/>
      <c r="Q583" s="19"/>
      <c r="R583" s="23" t="str">
        <f t="shared" si="74"/>
        <v/>
      </c>
      <c r="S583" s="22" t="str">
        <f ca="1">IF(A583="","",IF(OR(P583="Pagada",R583=0),"Pagada",IF(O583&lt;TODAY(),"Vencida",IF(O583&lt;=TODAY()+Inicio!$B$19,"Próxima a vencer","Vigente"))))</f>
        <v/>
      </c>
      <c r="T583" s="18"/>
      <c r="U583" s="37" t="str">
        <f t="shared" si="75"/>
        <v/>
      </c>
      <c r="V583" s="37" t="str">
        <f t="shared" si="76"/>
        <v/>
      </c>
      <c r="W583" s="37" t="str">
        <f t="shared" si="77"/>
        <v/>
      </c>
      <c r="X583" s="37" t="str">
        <f t="shared" si="78"/>
        <v/>
      </c>
      <c r="Y583" s="37" t="str">
        <f>IF(OR($H583="",$J583=""),"",$J583*IFERROR(VLOOKUP($H583,Maestro_SKU!$A$2:$P$500,12,FALSE),1))</f>
        <v/>
      </c>
      <c r="Z583" s="37" t="str">
        <f t="shared" ca="1" si="79"/>
        <v/>
      </c>
    </row>
    <row r="584" spans="1:26" x14ac:dyDescent="0.35">
      <c r="A584" s="18"/>
      <c r="B584" s="26"/>
      <c r="C584" s="18"/>
      <c r="D584" s="18"/>
      <c r="E584" s="22" t="str">
        <f>IFERROR(VLOOKUP(D584,Clientes_PDV!$A$2:$J$250,2,FALSE),"")</f>
        <v/>
      </c>
      <c r="F584" s="22" t="str">
        <f>IFERROR(VLOOKUP(D584,Clientes_PDV!$A$2:$J$250,3,FALSE),"")</f>
        <v/>
      </c>
      <c r="G584" s="22" t="str">
        <f>IFERROR(VLOOKUP(D584,Clientes_PDV!$A$2:$J$250,4,FALSE),"")</f>
        <v/>
      </c>
      <c r="H584" s="18"/>
      <c r="I584" s="22" t="str">
        <f>IFERROR(VLOOKUP(H584,Maestro_SKU!$A$2:$P$500,2,FALSE),"")</f>
        <v/>
      </c>
      <c r="J584" s="27"/>
      <c r="K584" s="19"/>
      <c r="L584" s="23" t="str">
        <f t="shared" si="72"/>
        <v/>
      </c>
      <c r="M584" s="23" t="str">
        <f>IF(L584="","",L584*Inicio!$B$13)</f>
        <v/>
      </c>
      <c r="N584" s="23" t="str">
        <f t="shared" si="73"/>
        <v/>
      </c>
      <c r="O584" s="26"/>
      <c r="P584" s="18"/>
      <c r="Q584" s="19"/>
      <c r="R584" s="23" t="str">
        <f t="shared" si="74"/>
        <v/>
      </c>
      <c r="S584" s="22" t="str">
        <f ca="1">IF(A584="","",IF(OR(P584="Pagada",R584=0),"Pagada",IF(O584&lt;TODAY(),"Vencida",IF(O584&lt;=TODAY()+Inicio!$B$19,"Próxima a vencer","Vigente"))))</f>
        <v/>
      </c>
      <c r="T584" s="18"/>
      <c r="U584" s="37" t="str">
        <f t="shared" si="75"/>
        <v/>
      </c>
      <c r="V584" s="37" t="str">
        <f t="shared" si="76"/>
        <v/>
      </c>
      <c r="W584" s="37" t="str">
        <f t="shared" si="77"/>
        <v/>
      </c>
      <c r="X584" s="37" t="str">
        <f t="shared" si="78"/>
        <v/>
      </c>
      <c r="Y584" s="37" t="str">
        <f>IF(OR($H584="",$J584=""),"",$J584*IFERROR(VLOOKUP($H584,Maestro_SKU!$A$2:$P$500,12,FALSE),1))</f>
        <v/>
      </c>
      <c r="Z584" s="37" t="str">
        <f t="shared" ca="1" si="79"/>
        <v/>
      </c>
    </row>
    <row r="585" spans="1:26" x14ac:dyDescent="0.35">
      <c r="A585" s="18"/>
      <c r="B585" s="26"/>
      <c r="C585" s="18"/>
      <c r="D585" s="18"/>
      <c r="E585" s="22" t="str">
        <f>IFERROR(VLOOKUP(D585,Clientes_PDV!$A$2:$J$250,2,FALSE),"")</f>
        <v/>
      </c>
      <c r="F585" s="22" t="str">
        <f>IFERROR(VLOOKUP(D585,Clientes_PDV!$A$2:$J$250,3,FALSE),"")</f>
        <v/>
      </c>
      <c r="G585" s="22" t="str">
        <f>IFERROR(VLOOKUP(D585,Clientes_PDV!$A$2:$J$250,4,FALSE),"")</f>
        <v/>
      </c>
      <c r="H585" s="18"/>
      <c r="I585" s="22" t="str">
        <f>IFERROR(VLOOKUP(H585,Maestro_SKU!$A$2:$P$500,2,FALSE),"")</f>
        <v/>
      </c>
      <c r="J585" s="27"/>
      <c r="K585" s="19"/>
      <c r="L585" s="23" t="str">
        <f t="shared" si="72"/>
        <v/>
      </c>
      <c r="M585" s="23" t="str">
        <f>IF(L585="","",L585*Inicio!$B$13)</f>
        <v/>
      </c>
      <c r="N585" s="23" t="str">
        <f t="shared" si="73"/>
        <v/>
      </c>
      <c r="O585" s="26"/>
      <c r="P585" s="18"/>
      <c r="Q585" s="19"/>
      <c r="R585" s="23" t="str">
        <f t="shared" si="74"/>
        <v/>
      </c>
      <c r="S585" s="22" t="str">
        <f ca="1">IF(A585="","",IF(OR(P585="Pagada",R585=0),"Pagada",IF(O585&lt;TODAY(),"Vencida",IF(O585&lt;=TODAY()+Inicio!$B$19,"Próxima a vencer","Vigente"))))</f>
        <v/>
      </c>
      <c r="T585" s="18"/>
      <c r="U585" s="37" t="str">
        <f t="shared" si="75"/>
        <v/>
      </c>
      <c r="V585" s="37" t="str">
        <f t="shared" si="76"/>
        <v/>
      </c>
      <c r="W585" s="37" t="str">
        <f t="shared" si="77"/>
        <v/>
      </c>
      <c r="X585" s="37" t="str">
        <f t="shared" si="78"/>
        <v/>
      </c>
      <c r="Y585" s="37" t="str">
        <f>IF(OR($H585="",$J585=""),"",$J585*IFERROR(VLOOKUP($H585,Maestro_SKU!$A$2:$P$500,12,FALSE),1))</f>
        <v/>
      </c>
      <c r="Z585" s="37" t="str">
        <f t="shared" ca="1" si="79"/>
        <v/>
      </c>
    </row>
    <row r="586" spans="1:26" x14ac:dyDescent="0.35">
      <c r="A586" s="18"/>
      <c r="B586" s="26"/>
      <c r="C586" s="18"/>
      <c r="D586" s="18"/>
      <c r="E586" s="22" t="str">
        <f>IFERROR(VLOOKUP(D586,Clientes_PDV!$A$2:$J$250,2,FALSE),"")</f>
        <v/>
      </c>
      <c r="F586" s="22" t="str">
        <f>IFERROR(VLOOKUP(D586,Clientes_PDV!$A$2:$J$250,3,FALSE),"")</f>
        <v/>
      </c>
      <c r="G586" s="22" t="str">
        <f>IFERROR(VLOOKUP(D586,Clientes_PDV!$A$2:$J$250,4,FALSE),"")</f>
        <v/>
      </c>
      <c r="H586" s="18"/>
      <c r="I586" s="22" t="str">
        <f>IFERROR(VLOOKUP(H586,Maestro_SKU!$A$2:$P$500,2,FALSE),"")</f>
        <v/>
      </c>
      <c r="J586" s="27"/>
      <c r="K586" s="19"/>
      <c r="L586" s="23" t="str">
        <f t="shared" si="72"/>
        <v/>
      </c>
      <c r="M586" s="23" t="str">
        <f>IF(L586="","",L586*Inicio!$B$13)</f>
        <v/>
      </c>
      <c r="N586" s="23" t="str">
        <f t="shared" si="73"/>
        <v/>
      </c>
      <c r="O586" s="26"/>
      <c r="P586" s="18"/>
      <c r="Q586" s="19"/>
      <c r="R586" s="23" t="str">
        <f t="shared" si="74"/>
        <v/>
      </c>
      <c r="S586" s="22" t="str">
        <f ca="1">IF(A586="","",IF(OR(P586="Pagada",R586=0),"Pagada",IF(O586&lt;TODAY(),"Vencida",IF(O586&lt;=TODAY()+Inicio!$B$19,"Próxima a vencer","Vigente"))))</f>
        <v/>
      </c>
      <c r="T586" s="18"/>
      <c r="U586" s="37" t="str">
        <f t="shared" si="75"/>
        <v/>
      </c>
      <c r="V586" s="37" t="str">
        <f t="shared" si="76"/>
        <v/>
      </c>
      <c r="W586" s="37" t="str">
        <f t="shared" si="77"/>
        <v/>
      </c>
      <c r="X586" s="37" t="str">
        <f t="shared" si="78"/>
        <v/>
      </c>
      <c r="Y586" s="37" t="str">
        <f>IF(OR($H586="",$J586=""),"",$J586*IFERROR(VLOOKUP($H586,Maestro_SKU!$A$2:$P$500,12,FALSE),1))</f>
        <v/>
      </c>
      <c r="Z586" s="37" t="str">
        <f t="shared" ca="1" si="79"/>
        <v/>
      </c>
    </row>
    <row r="587" spans="1:26" x14ac:dyDescent="0.35">
      <c r="A587" s="18"/>
      <c r="B587" s="26"/>
      <c r="C587" s="18"/>
      <c r="D587" s="18"/>
      <c r="E587" s="22" t="str">
        <f>IFERROR(VLOOKUP(D587,Clientes_PDV!$A$2:$J$250,2,FALSE),"")</f>
        <v/>
      </c>
      <c r="F587" s="22" t="str">
        <f>IFERROR(VLOOKUP(D587,Clientes_PDV!$A$2:$J$250,3,FALSE),"")</f>
        <v/>
      </c>
      <c r="G587" s="22" t="str">
        <f>IFERROR(VLOOKUP(D587,Clientes_PDV!$A$2:$J$250,4,FALSE),"")</f>
        <v/>
      </c>
      <c r="H587" s="18"/>
      <c r="I587" s="22" t="str">
        <f>IFERROR(VLOOKUP(H587,Maestro_SKU!$A$2:$P$500,2,FALSE),"")</f>
        <v/>
      </c>
      <c r="J587" s="27"/>
      <c r="K587" s="19"/>
      <c r="L587" s="23" t="str">
        <f t="shared" si="72"/>
        <v/>
      </c>
      <c r="M587" s="23" t="str">
        <f>IF(L587="","",L587*Inicio!$B$13)</f>
        <v/>
      </c>
      <c r="N587" s="23" t="str">
        <f t="shared" si="73"/>
        <v/>
      </c>
      <c r="O587" s="26"/>
      <c r="P587" s="18"/>
      <c r="Q587" s="19"/>
      <c r="R587" s="23" t="str">
        <f t="shared" si="74"/>
        <v/>
      </c>
      <c r="S587" s="22" t="str">
        <f ca="1">IF(A587="","",IF(OR(P587="Pagada",R587=0),"Pagada",IF(O587&lt;TODAY(),"Vencida",IF(O587&lt;=TODAY()+Inicio!$B$19,"Próxima a vencer","Vigente"))))</f>
        <v/>
      </c>
      <c r="T587" s="18"/>
      <c r="U587" s="37" t="str">
        <f t="shared" si="75"/>
        <v/>
      </c>
      <c r="V587" s="37" t="str">
        <f t="shared" si="76"/>
        <v/>
      </c>
      <c r="W587" s="37" t="str">
        <f t="shared" si="77"/>
        <v/>
      </c>
      <c r="X587" s="37" t="str">
        <f t="shared" si="78"/>
        <v/>
      </c>
      <c r="Y587" s="37" t="str">
        <f>IF(OR($H587="",$J587=""),"",$J587*IFERROR(VLOOKUP($H587,Maestro_SKU!$A$2:$P$500,12,FALSE),1))</f>
        <v/>
      </c>
      <c r="Z587" s="37" t="str">
        <f t="shared" ca="1" si="79"/>
        <v/>
      </c>
    </row>
    <row r="588" spans="1:26" x14ac:dyDescent="0.35">
      <c r="A588" s="18"/>
      <c r="B588" s="26"/>
      <c r="C588" s="18"/>
      <c r="D588" s="18"/>
      <c r="E588" s="22" t="str">
        <f>IFERROR(VLOOKUP(D588,Clientes_PDV!$A$2:$J$250,2,FALSE),"")</f>
        <v/>
      </c>
      <c r="F588" s="22" t="str">
        <f>IFERROR(VLOOKUP(D588,Clientes_PDV!$A$2:$J$250,3,FALSE),"")</f>
        <v/>
      </c>
      <c r="G588" s="22" t="str">
        <f>IFERROR(VLOOKUP(D588,Clientes_PDV!$A$2:$J$250,4,FALSE),"")</f>
        <v/>
      </c>
      <c r="H588" s="18"/>
      <c r="I588" s="22" t="str">
        <f>IFERROR(VLOOKUP(H588,Maestro_SKU!$A$2:$P$500,2,FALSE),"")</f>
        <v/>
      </c>
      <c r="J588" s="27"/>
      <c r="K588" s="19"/>
      <c r="L588" s="23" t="str">
        <f t="shared" si="72"/>
        <v/>
      </c>
      <c r="M588" s="23" t="str">
        <f>IF(L588="","",L588*Inicio!$B$13)</f>
        <v/>
      </c>
      <c r="N588" s="23" t="str">
        <f t="shared" si="73"/>
        <v/>
      </c>
      <c r="O588" s="26"/>
      <c r="P588" s="18"/>
      <c r="Q588" s="19"/>
      <c r="R588" s="23" t="str">
        <f t="shared" si="74"/>
        <v/>
      </c>
      <c r="S588" s="22" t="str">
        <f ca="1">IF(A588="","",IF(OR(P588="Pagada",R588=0),"Pagada",IF(O588&lt;TODAY(),"Vencida",IF(O588&lt;=TODAY()+Inicio!$B$19,"Próxima a vencer","Vigente"))))</f>
        <v/>
      </c>
      <c r="T588" s="18"/>
      <c r="U588" s="37" t="str">
        <f t="shared" si="75"/>
        <v/>
      </c>
      <c r="V588" s="37" t="str">
        <f t="shared" si="76"/>
        <v/>
      </c>
      <c r="W588" s="37" t="str">
        <f t="shared" si="77"/>
        <v/>
      </c>
      <c r="X588" s="37" t="str">
        <f t="shared" si="78"/>
        <v/>
      </c>
      <c r="Y588" s="37" t="str">
        <f>IF(OR($H588="",$J588=""),"",$J588*IFERROR(VLOOKUP($H588,Maestro_SKU!$A$2:$P$500,12,FALSE),1))</f>
        <v/>
      </c>
      <c r="Z588" s="37" t="str">
        <f t="shared" ca="1" si="79"/>
        <v/>
      </c>
    </row>
    <row r="589" spans="1:26" x14ac:dyDescent="0.35">
      <c r="A589" s="18"/>
      <c r="B589" s="26"/>
      <c r="C589" s="18"/>
      <c r="D589" s="18"/>
      <c r="E589" s="22" t="str">
        <f>IFERROR(VLOOKUP(D589,Clientes_PDV!$A$2:$J$250,2,FALSE),"")</f>
        <v/>
      </c>
      <c r="F589" s="22" t="str">
        <f>IFERROR(VLOOKUP(D589,Clientes_PDV!$A$2:$J$250,3,FALSE),"")</f>
        <v/>
      </c>
      <c r="G589" s="22" t="str">
        <f>IFERROR(VLOOKUP(D589,Clientes_PDV!$A$2:$J$250,4,FALSE),"")</f>
        <v/>
      </c>
      <c r="H589" s="18"/>
      <c r="I589" s="22" t="str">
        <f>IFERROR(VLOOKUP(H589,Maestro_SKU!$A$2:$P$500,2,FALSE),"")</f>
        <v/>
      </c>
      <c r="J589" s="27"/>
      <c r="K589" s="19"/>
      <c r="L589" s="23" t="str">
        <f t="shared" si="72"/>
        <v/>
      </c>
      <c r="M589" s="23" t="str">
        <f>IF(L589="","",L589*Inicio!$B$13)</f>
        <v/>
      </c>
      <c r="N589" s="23" t="str">
        <f t="shared" si="73"/>
        <v/>
      </c>
      <c r="O589" s="26"/>
      <c r="P589" s="18"/>
      <c r="Q589" s="19"/>
      <c r="R589" s="23" t="str">
        <f t="shared" si="74"/>
        <v/>
      </c>
      <c r="S589" s="22" t="str">
        <f ca="1">IF(A589="","",IF(OR(P589="Pagada",R589=0),"Pagada",IF(O589&lt;TODAY(),"Vencida",IF(O589&lt;=TODAY()+Inicio!$B$19,"Próxima a vencer","Vigente"))))</f>
        <v/>
      </c>
      <c r="T589" s="18"/>
      <c r="U589" s="37" t="str">
        <f t="shared" si="75"/>
        <v/>
      </c>
      <c r="V589" s="37" t="str">
        <f t="shared" si="76"/>
        <v/>
      </c>
      <c r="W589" s="37" t="str">
        <f t="shared" si="77"/>
        <v/>
      </c>
      <c r="X589" s="37" t="str">
        <f t="shared" si="78"/>
        <v/>
      </c>
      <c r="Y589" s="37" t="str">
        <f>IF(OR($H589="",$J589=""),"",$J589*IFERROR(VLOOKUP($H589,Maestro_SKU!$A$2:$P$500,12,FALSE),1))</f>
        <v/>
      </c>
      <c r="Z589" s="37" t="str">
        <f t="shared" ca="1" si="79"/>
        <v/>
      </c>
    </row>
    <row r="590" spans="1:26" x14ac:dyDescent="0.35">
      <c r="A590" s="18"/>
      <c r="B590" s="26"/>
      <c r="C590" s="18"/>
      <c r="D590" s="18"/>
      <c r="E590" s="22" t="str">
        <f>IFERROR(VLOOKUP(D590,Clientes_PDV!$A$2:$J$250,2,FALSE),"")</f>
        <v/>
      </c>
      <c r="F590" s="22" t="str">
        <f>IFERROR(VLOOKUP(D590,Clientes_PDV!$A$2:$J$250,3,FALSE),"")</f>
        <v/>
      </c>
      <c r="G590" s="22" t="str">
        <f>IFERROR(VLOOKUP(D590,Clientes_PDV!$A$2:$J$250,4,FALSE),"")</f>
        <v/>
      </c>
      <c r="H590" s="18"/>
      <c r="I590" s="22" t="str">
        <f>IFERROR(VLOOKUP(H590,Maestro_SKU!$A$2:$P$500,2,FALSE),"")</f>
        <v/>
      </c>
      <c r="J590" s="27"/>
      <c r="K590" s="19"/>
      <c r="L590" s="23" t="str">
        <f t="shared" si="72"/>
        <v/>
      </c>
      <c r="M590" s="23" t="str">
        <f>IF(L590="","",L590*Inicio!$B$13)</f>
        <v/>
      </c>
      <c r="N590" s="23" t="str">
        <f t="shared" si="73"/>
        <v/>
      </c>
      <c r="O590" s="26"/>
      <c r="P590" s="18"/>
      <c r="Q590" s="19"/>
      <c r="R590" s="23" t="str">
        <f t="shared" si="74"/>
        <v/>
      </c>
      <c r="S590" s="22" t="str">
        <f ca="1">IF(A590="","",IF(OR(P590="Pagada",R590=0),"Pagada",IF(O590&lt;TODAY(),"Vencida",IF(O590&lt;=TODAY()+Inicio!$B$19,"Próxima a vencer","Vigente"))))</f>
        <v/>
      </c>
      <c r="T590" s="18"/>
      <c r="U590" s="37" t="str">
        <f t="shared" si="75"/>
        <v/>
      </c>
      <c r="V590" s="37" t="str">
        <f t="shared" si="76"/>
        <v/>
      </c>
      <c r="W590" s="37" t="str">
        <f t="shared" si="77"/>
        <v/>
      </c>
      <c r="X590" s="37" t="str">
        <f t="shared" si="78"/>
        <v/>
      </c>
      <c r="Y590" s="37" t="str">
        <f>IF(OR($H590="",$J590=""),"",$J590*IFERROR(VLOOKUP($H590,Maestro_SKU!$A$2:$P$500,12,FALSE),1))</f>
        <v/>
      </c>
      <c r="Z590" s="37" t="str">
        <f t="shared" ca="1" si="79"/>
        <v/>
      </c>
    </row>
    <row r="591" spans="1:26" x14ac:dyDescent="0.35">
      <c r="A591" s="18"/>
      <c r="B591" s="26"/>
      <c r="C591" s="18"/>
      <c r="D591" s="18"/>
      <c r="E591" s="22" t="str">
        <f>IFERROR(VLOOKUP(D591,Clientes_PDV!$A$2:$J$250,2,FALSE),"")</f>
        <v/>
      </c>
      <c r="F591" s="22" t="str">
        <f>IFERROR(VLOOKUP(D591,Clientes_PDV!$A$2:$J$250,3,FALSE),"")</f>
        <v/>
      </c>
      <c r="G591" s="22" t="str">
        <f>IFERROR(VLOOKUP(D591,Clientes_PDV!$A$2:$J$250,4,FALSE),"")</f>
        <v/>
      </c>
      <c r="H591" s="18"/>
      <c r="I591" s="22" t="str">
        <f>IFERROR(VLOOKUP(H591,Maestro_SKU!$A$2:$P$500,2,FALSE),"")</f>
        <v/>
      </c>
      <c r="J591" s="27"/>
      <c r="K591" s="19"/>
      <c r="L591" s="23" t="str">
        <f t="shared" si="72"/>
        <v/>
      </c>
      <c r="M591" s="23" t="str">
        <f>IF(L591="","",L591*Inicio!$B$13)</f>
        <v/>
      </c>
      <c r="N591" s="23" t="str">
        <f t="shared" si="73"/>
        <v/>
      </c>
      <c r="O591" s="26"/>
      <c r="P591" s="18"/>
      <c r="Q591" s="19"/>
      <c r="R591" s="23" t="str">
        <f t="shared" si="74"/>
        <v/>
      </c>
      <c r="S591" s="22" t="str">
        <f ca="1">IF(A591="","",IF(OR(P591="Pagada",R591=0),"Pagada",IF(O591&lt;TODAY(),"Vencida",IF(O591&lt;=TODAY()+Inicio!$B$19,"Próxima a vencer","Vigente"))))</f>
        <v/>
      </c>
      <c r="T591" s="18"/>
      <c r="U591" s="37" t="str">
        <f t="shared" si="75"/>
        <v/>
      </c>
      <c r="V591" s="37" t="str">
        <f t="shared" si="76"/>
        <v/>
      </c>
      <c r="W591" s="37" t="str">
        <f t="shared" si="77"/>
        <v/>
      </c>
      <c r="X591" s="37" t="str">
        <f t="shared" si="78"/>
        <v/>
      </c>
      <c r="Y591" s="37" t="str">
        <f>IF(OR($H591="",$J591=""),"",$J591*IFERROR(VLOOKUP($H591,Maestro_SKU!$A$2:$P$500,12,FALSE),1))</f>
        <v/>
      </c>
      <c r="Z591" s="37" t="str">
        <f t="shared" ca="1" si="79"/>
        <v/>
      </c>
    </row>
    <row r="592" spans="1:26" x14ac:dyDescent="0.35">
      <c r="A592" s="18"/>
      <c r="B592" s="26"/>
      <c r="C592" s="18"/>
      <c r="D592" s="18"/>
      <c r="E592" s="22" t="str">
        <f>IFERROR(VLOOKUP(D592,Clientes_PDV!$A$2:$J$250,2,FALSE),"")</f>
        <v/>
      </c>
      <c r="F592" s="22" t="str">
        <f>IFERROR(VLOOKUP(D592,Clientes_PDV!$A$2:$J$250,3,FALSE),"")</f>
        <v/>
      </c>
      <c r="G592" s="22" t="str">
        <f>IFERROR(VLOOKUP(D592,Clientes_PDV!$A$2:$J$250,4,FALSE),"")</f>
        <v/>
      </c>
      <c r="H592" s="18"/>
      <c r="I592" s="22" t="str">
        <f>IFERROR(VLOOKUP(H592,Maestro_SKU!$A$2:$P$500,2,FALSE),"")</f>
        <v/>
      </c>
      <c r="J592" s="27"/>
      <c r="K592" s="19"/>
      <c r="L592" s="23" t="str">
        <f t="shared" si="72"/>
        <v/>
      </c>
      <c r="M592" s="23" t="str">
        <f>IF(L592="","",L592*Inicio!$B$13)</f>
        <v/>
      </c>
      <c r="N592" s="23" t="str">
        <f t="shared" si="73"/>
        <v/>
      </c>
      <c r="O592" s="26"/>
      <c r="P592" s="18"/>
      <c r="Q592" s="19"/>
      <c r="R592" s="23" t="str">
        <f t="shared" si="74"/>
        <v/>
      </c>
      <c r="S592" s="22" t="str">
        <f ca="1">IF(A592="","",IF(OR(P592="Pagada",R592=0),"Pagada",IF(O592&lt;TODAY(),"Vencida",IF(O592&lt;=TODAY()+Inicio!$B$19,"Próxima a vencer","Vigente"))))</f>
        <v/>
      </c>
      <c r="T592" s="18"/>
      <c r="U592" s="37" t="str">
        <f t="shared" si="75"/>
        <v/>
      </c>
      <c r="V592" s="37" t="str">
        <f t="shared" si="76"/>
        <v/>
      </c>
      <c r="W592" s="37" t="str">
        <f t="shared" si="77"/>
        <v/>
      </c>
      <c r="X592" s="37" t="str">
        <f t="shared" si="78"/>
        <v/>
      </c>
      <c r="Y592" s="37" t="str">
        <f>IF(OR($H592="",$J592=""),"",$J592*IFERROR(VLOOKUP($H592,Maestro_SKU!$A$2:$P$500,12,FALSE),1))</f>
        <v/>
      </c>
      <c r="Z592" s="37" t="str">
        <f t="shared" ca="1" si="79"/>
        <v/>
      </c>
    </row>
    <row r="593" spans="1:26" x14ac:dyDescent="0.35">
      <c r="A593" s="18"/>
      <c r="B593" s="26"/>
      <c r="C593" s="18"/>
      <c r="D593" s="18"/>
      <c r="E593" s="22" t="str">
        <f>IFERROR(VLOOKUP(D593,Clientes_PDV!$A$2:$J$250,2,FALSE),"")</f>
        <v/>
      </c>
      <c r="F593" s="22" t="str">
        <f>IFERROR(VLOOKUP(D593,Clientes_PDV!$A$2:$J$250,3,FALSE),"")</f>
        <v/>
      </c>
      <c r="G593" s="22" t="str">
        <f>IFERROR(VLOOKUP(D593,Clientes_PDV!$A$2:$J$250,4,FALSE),"")</f>
        <v/>
      </c>
      <c r="H593" s="18"/>
      <c r="I593" s="22" t="str">
        <f>IFERROR(VLOOKUP(H593,Maestro_SKU!$A$2:$P$500,2,FALSE),"")</f>
        <v/>
      </c>
      <c r="J593" s="27"/>
      <c r="K593" s="19"/>
      <c r="L593" s="23" t="str">
        <f t="shared" si="72"/>
        <v/>
      </c>
      <c r="M593" s="23" t="str">
        <f>IF(L593="","",L593*Inicio!$B$13)</f>
        <v/>
      </c>
      <c r="N593" s="23" t="str">
        <f t="shared" si="73"/>
        <v/>
      </c>
      <c r="O593" s="26"/>
      <c r="P593" s="18"/>
      <c r="Q593" s="19"/>
      <c r="R593" s="23" t="str">
        <f t="shared" si="74"/>
        <v/>
      </c>
      <c r="S593" s="22" t="str">
        <f ca="1">IF(A593="","",IF(OR(P593="Pagada",R593=0),"Pagada",IF(O593&lt;TODAY(),"Vencida",IF(O593&lt;=TODAY()+Inicio!$B$19,"Próxima a vencer","Vigente"))))</f>
        <v/>
      </c>
      <c r="T593" s="18"/>
      <c r="U593" s="37" t="str">
        <f t="shared" si="75"/>
        <v/>
      </c>
      <c r="V593" s="37" t="str">
        <f t="shared" si="76"/>
        <v/>
      </c>
      <c r="W593" s="37" t="str">
        <f t="shared" si="77"/>
        <v/>
      </c>
      <c r="X593" s="37" t="str">
        <f t="shared" si="78"/>
        <v/>
      </c>
      <c r="Y593" s="37" t="str">
        <f>IF(OR($H593="",$J593=""),"",$J593*IFERROR(VLOOKUP($H593,Maestro_SKU!$A$2:$P$500,12,FALSE),1))</f>
        <v/>
      </c>
      <c r="Z593" s="37" t="str">
        <f t="shared" ca="1" si="79"/>
        <v/>
      </c>
    </row>
    <row r="594" spans="1:26" x14ac:dyDescent="0.35">
      <c r="A594" s="18"/>
      <c r="B594" s="26"/>
      <c r="C594" s="18"/>
      <c r="D594" s="18"/>
      <c r="E594" s="22" t="str">
        <f>IFERROR(VLOOKUP(D594,Clientes_PDV!$A$2:$J$250,2,FALSE),"")</f>
        <v/>
      </c>
      <c r="F594" s="22" t="str">
        <f>IFERROR(VLOOKUP(D594,Clientes_PDV!$A$2:$J$250,3,FALSE),"")</f>
        <v/>
      </c>
      <c r="G594" s="22" t="str">
        <f>IFERROR(VLOOKUP(D594,Clientes_PDV!$A$2:$J$250,4,FALSE),"")</f>
        <v/>
      </c>
      <c r="H594" s="18"/>
      <c r="I594" s="22" t="str">
        <f>IFERROR(VLOOKUP(H594,Maestro_SKU!$A$2:$P$500,2,FALSE),"")</f>
        <v/>
      </c>
      <c r="J594" s="27"/>
      <c r="K594" s="19"/>
      <c r="L594" s="23" t="str">
        <f t="shared" si="72"/>
        <v/>
      </c>
      <c r="M594" s="23" t="str">
        <f>IF(L594="","",L594*Inicio!$B$13)</f>
        <v/>
      </c>
      <c r="N594" s="23" t="str">
        <f t="shared" si="73"/>
        <v/>
      </c>
      <c r="O594" s="26"/>
      <c r="P594" s="18"/>
      <c r="Q594" s="19"/>
      <c r="R594" s="23" t="str">
        <f t="shared" si="74"/>
        <v/>
      </c>
      <c r="S594" s="22" t="str">
        <f ca="1">IF(A594="","",IF(OR(P594="Pagada",R594=0),"Pagada",IF(O594&lt;TODAY(),"Vencida",IF(O594&lt;=TODAY()+Inicio!$B$19,"Próxima a vencer","Vigente"))))</f>
        <v/>
      </c>
      <c r="T594" s="18"/>
      <c r="U594" s="37" t="str">
        <f t="shared" si="75"/>
        <v/>
      </c>
      <c r="V594" s="37" t="str">
        <f t="shared" si="76"/>
        <v/>
      </c>
      <c r="W594" s="37" t="str">
        <f t="shared" si="77"/>
        <v/>
      </c>
      <c r="X594" s="37" t="str">
        <f t="shared" si="78"/>
        <v/>
      </c>
      <c r="Y594" s="37" t="str">
        <f>IF(OR($H594="",$J594=""),"",$J594*IFERROR(VLOOKUP($H594,Maestro_SKU!$A$2:$P$500,12,FALSE),1))</f>
        <v/>
      </c>
      <c r="Z594" s="37" t="str">
        <f t="shared" ca="1" si="79"/>
        <v/>
      </c>
    </row>
    <row r="595" spans="1:26" x14ac:dyDescent="0.35">
      <c r="A595" s="18"/>
      <c r="B595" s="26"/>
      <c r="C595" s="18"/>
      <c r="D595" s="18"/>
      <c r="E595" s="22" t="str">
        <f>IFERROR(VLOOKUP(D595,Clientes_PDV!$A$2:$J$250,2,FALSE),"")</f>
        <v/>
      </c>
      <c r="F595" s="22" t="str">
        <f>IFERROR(VLOOKUP(D595,Clientes_PDV!$A$2:$J$250,3,FALSE),"")</f>
        <v/>
      </c>
      <c r="G595" s="22" t="str">
        <f>IFERROR(VLOOKUP(D595,Clientes_PDV!$A$2:$J$250,4,FALSE),"")</f>
        <v/>
      </c>
      <c r="H595" s="18"/>
      <c r="I595" s="22" t="str">
        <f>IFERROR(VLOOKUP(H595,Maestro_SKU!$A$2:$P$500,2,FALSE),"")</f>
        <v/>
      </c>
      <c r="J595" s="27"/>
      <c r="K595" s="19"/>
      <c r="L595" s="23" t="str">
        <f t="shared" si="72"/>
        <v/>
      </c>
      <c r="M595" s="23" t="str">
        <f>IF(L595="","",L595*Inicio!$B$13)</f>
        <v/>
      </c>
      <c r="N595" s="23" t="str">
        <f t="shared" si="73"/>
        <v/>
      </c>
      <c r="O595" s="26"/>
      <c r="P595" s="18"/>
      <c r="Q595" s="19"/>
      <c r="R595" s="23" t="str">
        <f t="shared" si="74"/>
        <v/>
      </c>
      <c r="S595" s="22" t="str">
        <f ca="1">IF(A595="","",IF(OR(P595="Pagada",R595=0),"Pagada",IF(O595&lt;TODAY(),"Vencida",IF(O595&lt;=TODAY()+Inicio!$B$19,"Próxima a vencer","Vigente"))))</f>
        <v/>
      </c>
      <c r="T595" s="18"/>
      <c r="U595" s="37" t="str">
        <f t="shared" si="75"/>
        <v/>
      </c>
      <c r="V595" s="37" t="str">
        <f t="shared" si="76"/>
        <v/>
      </c>
      <c r="W595" s="37" t="str">
        <f t="shared" si="77"/>
        <v/>
      </c>
      <c r="X595" s="37" t="str">
        <f t="shared" si="78"/>
        <v/>
      </c>
      <c r="Y595" s="37" t="str">
        <f>IF(OR($H595="",$J595=""),"",$J595*IFERROR(VLOOKUP($H595,Maestro_SKU!$A$2:$P$500,12,FALSE),1))</f>
        <v/>
      </c>
      <c r="Z595" s="37" t="str">
        <f t="shared" ca="1" si="79"/>
        <v/>
      </c>
    </row>
    <row r="596" spans="1:26" x14ac:dyDescent="0.35">
      <c r="A596" s="18"/>
      <c r="B596" s="26"/>
      <c r="C596" s="18"/>
      <c r="D596" s="18"/>
      <c r="E596" s="22" t="str">
        <f>IFERROR(VLOOKUP(D596,Clientes_PDV!$A$2:$J$250,2,FALSE),"")</f>
        <v/>
      </c>
      <c r="F596" s="22" t="str">
        <f>IFERROR(VLOOKUP(D596,Clientes_PDV!$A$2:$J$250,3,FALSE),"")</f>
        <v/>
      </c>
      <c r="G596" s="22" t="str">
        <f>IFERROR(VLOOKUP(D596,Clientes_PDV!$A$2:$J$250,4,FALSE),"")</f>
        <v/>
      </c>
      <c r="H596" s="18"/>
      <c r="I596" s="22" t="str">
        <f>IFERROR(VLOOKUP(H596,Maestro_SKU!$A$2:$P$500,2,FALSE),"")</f>
        <v/>
      </c>
      <c r="J596" s="27"/>
      <c r="K596" s="19"/>
      <c r="L596" s="23" t="str">
        <f t="shared" si="72"/>
        <v/>
      </c>
      <c r="M596" s="23" t="str">
        <f>IF(L596="","",L596*Inicio!$B$13)</f>
        <v/>
      </c>
      <c r="N596" s="23" t="str">
        <f t="shared" si="73"/>
        <v/>
      </c>
      <c r="O596" s="26"/>
      <c r="P596" s="18"/>
      <c r="Q596" s="19"/>
      <c r="R596" s="23" t="str">
        <f t="shared" si="74"/>
        <v/>
      </c>
      <c r="S596" s="22" t="str">
        <f ca="1">IF(A596="","",IF(OR(P596="Pagada",R596=0),"Pagada",IF(O596&lt;TODAY(),"Vencida",IF(O596&lt;=TODAY()+Inicio!$B$19,"Próxima a vencer","Vigente"))))</f>
        <v/>
      </c>
      <c r="T596" s="18"/>
      <c r="U596" s="37" t="str">
        <f t="shared" si="75"/>
        <v/>
      </c>
      <c r="V596" s="37" t="str">
        <f t="shared" si="76"/>
        <v/>
      </c>
      <c r="W596" s="37" t="str">
        <f t="shared" si="77"/>
        <v/>
      </c>
      <c r="X596" s="37" t="str">
        <f t="shared" si="78"/>
        <v/>
      </c>
      <c r="Y596" s="37" t="str">
        <f>IF(OR($H596="",$J596=""),"",$J596*IFERROR(VLOOKUP($H596,Maestro_SKU!$A$2:$P$500,12,FALSE),1))</f>
        <v/>
      </c>
      <c r="Z596" s="37" t="str">
        <f t="shared" ca="1" si="79"/>
        <v/>
      </c>
    </row>
    <row r="597" spans="1:26" x14ac:dyDescent="0.35">
      <c r="A597" s="18"/>
      <c r="B597" s="26"/>
      <c r="C597" s="18"/>
      <c r="D597" s="18"/>
      <c r="E597" s="22" t="str">
        <f>IFERROR(VLOOKUP(D597,Clientes_PDV!$A$2:$J$250,2,FALSE),"")</f>
        <v/>
      </c>
      <c r="F597" s="22" t="str">
        <f>IFERROR(VLOOKUP(D597,Clientes_PDV!$A$2:$J$250,3,FALSE),"")</f>
        <v/>
      </c>
      <c r="G597" s="22" t="str">
        <f>IFERROR(VLOOKUP(D597,Clientes_PDV!$A$2:$J$250,4,FALSE),"")</f>
        <v/>
      </c>
      <c r="H597" s="18"/>
      <c r="I597" s="22" t="str">
        <f>IFERROR(VLOOKUP(H597,Maestro_SKU!$A$2:$P$500,2,FALSE),"")</f>
        <v/>
      </c>
      <c r="J597" s="27"/>
      <c r="K597" s="19"/>
      <c r="L597" s="23" t="str">
        <f t="shared" si="72"/>
        <v/>
      </c>
      <c r="M597" s="23" t="str">
        <f>IF(L597="","",L597*Inicio!$B$13)</f>
        <v/>
      </c>
      <c r="N597" s="23" t="str">
        <f t="shared" si="73"/>
        <v/>
      </c>
      <c r="O597" s="26"/>
      <c r="P597" s="18"/>
      <c r="Q597" s="19"/>
      <c r="R597" s="23" t="str">
        <f t="shared" si="74"/>
        <v/>
      </c>
      <c r="S597" s="22" t="str">
        <f ca="1">IF(A597="","",IF(OR(P597="Pagada",R597=0),"Pagada",IF(O597&lt;TODAY(),"Vencida",IF(O597&lt;=TODAY()+Inicio!$B$19,"Próxima a vencer","Vigente"))))</f>
        <v/>
      </c>
      <c r="T597" s="18"/>
      <c r="U597" s="37" t="str">
        <f t="shared" si="75"/>
        <v/>
      </c>
      <c r="V597" s="37" t="str">
        <f t="shared" si="76"/>
        <v/>
      </c>
      <c r="W597" s="37" t="str">
        <f t="shared" si="77"/>
        <v/>
      </c>
      <c r="X597" s="37" t="str">
        <f t="shared" si="78"/>
        <v/>
      </c>
      <c r="Y597" s="37" t="str">
        <f>IF(OR($H597="",$J597=""),"",$J597*IFERROR(VLOOKUP($H597,Maestro_SKU!$A$2:$P$500,12,FALSE),1))</f>
        <v/>
      </c>
      <c r="Z597" s="37" t="str">
        <f t="shared" ca="1" si="79"/>
        <v/>
      </c>
    </row>
    <row r="598" spans="1:26" x14ac:dyDescent="0.35">
      <c r="A598" s="18"/>
      <c r="B598" s="26"/>
      <c r="C598" s="18"/>
      <c r="D598" s="18"/>
      <c r="E598" s="22" t="str">
        <f>IFERROR(VLOOKUP(D598,Clientes_PDV!$A$2:$J$250,2,FALSE),"")</f>
        <v/>
      </c>
      <c r="F598" s="22" t="str">
        <f>IFERROR(VLOOKUP(D598,Clientes_PDV!$A$2:$J$250,3,FALSE),"")</f>
        <v/>
      </c>
      <c r="G598" s="22" t="str">
        <f>IFERROR(VLOOKUP(D598,Clientes_PDV!$A$2:$J$250,4,FALSE),"")</f>
        <v/>
      </c>
      <c r="H598" s="18"/>
      <c r="I598" s="22" t="str">
        <f>IFERROR(VLOOKUP(H598,Maestro_SKU!$A$2:$P$500,2,FALSE),"")</f>
        <v/>
      </c>
      <c r="J598" s="27"/>
      <c r="K598" s="19"/>
      <c r="L598" s="23" t="str">
        <f t="shared" si="72"/>
        <v/>
      </c>
      <c r="M598" s="23" t="str">
        <f>IF(L598="","",L598*Inicio!$B$13)</f>
        <v/>
      </c>
      <c r="N598" s="23" t="str">
        <f t="shared" si="73"/>
        <v/>
      </c>
      <c r="O598" s="26"/>
      <c r="P598" s="18"/>
      <c r="Q598" s="19"/>
      <c r="R598" s="23" t="str">
        <f t="shared" si="74"/>
        <v/>
      </c>
      <c r="S598" s="22" t="str">
        <f ca="1">IF(A598="","",IF(OR(P598="Pagada",R598=0),"Pagada",IF(O598&lt;TODAY(),"Vencida",IF(O598&lt;=TODAY()+Inicio!$B$19,"Próxima a vencer","Vigente"))))</f>
        <v/>
      </c>
      <c r="T598" s="18"/>
      <c r="U598" s="37" t="str">
        <f t="shared" si="75"/>
        <v/>
      </c>
      <c r="V598" s="37" t="str">
        <f t="shared" si="76"/>
        <v/>
      </c>
      <c r="W598" s="37" t="str">
        <f t="shared" si="77"/>
        <v/>
      </c>
      <c r="X598" s="37" t="str">
        <f t="shared" si="78"/>
        <v/>
      </c>
      <c r="Y598" s="37" t="str">
        <f>IF(OR($H598="",$J598=""),"",$J598*IFERROR(VLOOKUP($H598,Maestro_SKU!$A$2:$P$500,12,FALSE),1))</f>
        <v/>
      </c>
      <c r="Z598" s="37" t="str">
        <f t="shared" ca="1" si="79"/>
        <v/>
      </c>
    </row>
    <row r="599" spans="1:26" x14ac:dyDescent="0.35">
      <c r="A599" s="18"/>
      <c r="B599" s="26"/>
      <c r="C599" s="18"/>
      <c r="D599" s="18"/>
      <c r="E599" s="22" t="str">
        <f>IFERROR(VLOOKUP(D599,Clientes_PDV!$A$2:$J$250,2,FALSE),"")</f>
        <v/>
      </c>
      <c r="F599" s="22" t="str">
        <f>IFERROR(VLOOKUP(D599,Clientes_PDV!$A$2:$J$250,3,FALSE),"")</f>
        <v/>
      </c>
      <c r="G599" s="22" t="str">
        <f>IFERROR(VLOOKUP(D599,Clientes_PDV!$A$2:$J$250,4,FALSE),"")</f>
        <v/>
      </c>
      <c r="H599" s="18"/>
      <c r="I599" s="22" t="str">
        <f>IFERROR(VLOOKUP(H599,Maestro_SKU!$A$2:$P$500,2,FALSE),"")</f>
        <v/>
      </c>
      <c r="J599" s="27"/>
      <c r="K599" s="19"/>
      <c r="L599" s="23" t="str">
        <f t="shared" si="72"/>
        <v/>
      </c>
      <c r="M599" s="23" t="str">
        <f>IF(L599="","",L599*Inicio!$B$13)</f>
        <v/>
      </c>
      <c r="N599" s="23" t="str">
        <f t="shared" si="73"/>
        <v/>
      </c>
      <c r="O599" s="26"/>
      <c r="P599" s="18"/>
      <c r="Q599" s="19"/>
      <c r="R599" s="23" t="str">
        <f t="shared" si="74"/>
        <v/>
      </c>
      <c r="S599" s="22" t="str">
        <f ca="1">IF(A599="","",IF(OR(P599="Pagada",R599=0),"Pagada",IF(O599&lt;TODAY(),"Vencida",IF(O599&lt;=TODAY()+Inicio!$B$19,"Próxima a vencer","Vigente"))))</f>
        <v/>
      </c>
      <c r="T599" s="18"/>
      <c r="U599" s="37" t="str">
        <f t="shared" si="75"/>
        <v/>
      </c>
      <c r="V599" s="37" t="str">
        <f t="shared" si="76"/>
        <v/>
      </c>
      <c r="W599" s="37" t="str">
        <f t="shared" si="77"/>
        <v/>
      </c>
      <c r="X599" s="37" t="str">
        <f t="shared" si="78"/>
        <v/>
      </c>
      <c r="Y599" s="37" t="str">
        <f>IF(OR($H599="",$J599=""),"",$J599*IFERROR(VLOOKUP($H599,Maestro_SKU!$A$2:$P$500,12,FALSE),1))</f>
        <v/>
      </c>
      <c r="Z599" s="37" t="str">
        <f t="shared" ca="1" si="79"/>
        <v/>
      </c>
    </row>
    <row r="600" spans="1:26" x14ac:dyDescent="0.35">
      <c r="A600" s="18"/>
      <c r="B600" s="26"/>
      <c r="C600" s="18"/>
      <c r="D600" s="18"/>
      <c r="E600" s="22" t="str">
        <f>IFERROR(VLOOKUP(D600,Clientes_PDV!$A$2:$J$250,2,FALSE),"")</f>
        <v/>
      </c>
      <c r="F600" s="22" t="str">
        <f>IFERROR(VLOOKUP(D600,Clientes_PDV!$A$2:$J$250,3,FALSE),"")</f>
        <v/>
      </c>
      <c r="G600" s="22" t="str">
        <f>IFERROR(VLOOKUP(D600,Clientes_PDV!$A$2:$J$250,4,FALSE),"")</f>
        <v/>
      </c>
      <c r="H600" s="18"/>
      <c r="I600" s="22" t="str">
        <f>IFERROR(VLOOKUP(H600,Maestro_SKU!$A$2:$P$500,2,FALSE),"")</f>
        <v/>
      </c>
      <c r="J600" s="27"/>
      <c r="K600" s="19"/>
      <c r="L600" s="23" t="str">
        <f t="shared" si="72"/>
        <v/>
      </c>
      <c r="M600" s="23" t="str">
        <f>IF(L600="","",L600*Inicio!$B$13)</f>
        <v/>
      </c>
      <c r="N600" s="23" t="str">
        <f t="shared" si="73"/>
        <v/>
      </c>
      <c r="O600" s="26"/>
      <c r="P600" s="18"/>
      <c r="Q600" s="19"/>
      <c r="R600" s="23" t="str">
        <f t="shared" si="74"/>
        <v/>
      </c>
      <c r="S600" s="22" t="str">
        <f ca="1">IF(A600="","",IF(OR(P600="Pagada",R600=0),"Pagada",IF(O600&lt;TODAY(),"Vencida",IF(O600&lt;=TODAY()+Inicio!$B$19,"Próxima a vencer","Vigente"))))</f>
        <v/>
      </c>
      <c r="T600" s="18"/>
      <c r="U600" s="37" t="str">
        <f t="shared" si="75"/>
        <v/>
      </c>
      <c r="V600" s="37" t="str">
        <f t="shared" si="76"/>
        <v/>
      </c>
      <c r="W600" s="37" t="str">
        <f t="shared" si="77"/>
        <v/>
      </c>
      <c r="X600" s="37" t="str">
        <f t="shared" si="78"/>
        <v/>
      </c>
      <c r="Y600" s="37" t="str">
        <f>IF(OR($H600="",$J600=""),"",$J600*IFERROR(VLOOKUP($H600,Maestro_SKU!$A$2:$P$500,12,FALSE),1))</f>
        <v/>
      </c>
      <c r="Z600" s="37" t="str">
        <f t="shared" ca="1" si="79"/>
        <v/>
      </c>
    </row>
    <row r="601" spans="1:26" x14ac:dyDescent="0.35">
      <c r="A601" s="18"/>
      <c r="B601" s="26"/>
      <c r="C601" s="18"/>
      <c r="D601" s="18"/>
      <c r="E601" s="22" t="str">
        <f>IFERROR(VLOOKUP(D601,Clientes_PDV!$A$2:$J$250,2,FALSE),"")</f>
        <v/>
      </c>
      <c r="F601" s="22" t="str">
        <f>IFERROR(VLOOKUP(D601,Clientes_PDV!$A$2:$J$250,3,FALSE),"")</f>
        <v/>
      </c>
      <c r="G601" s="22" t="str">
        <f>IFERROR(VLOOKUP(D601,Clientes_PDV!$A$2:$J$250,4,FALSE),"")</f>
        <v/>
      </c>
      <c r="H601" s="18"/>
      <c r="I601" s="22" t="str">
        <f>IFERROR(VLOOKUP(H601,Maestro_SKU!$A$2:$P$500,2,FALSE),"")</f>
        <v/>
      </c>
      <c r="J601" s="27"/>
      <c r="K601" s="19"/>
      <c r="L601" s="23" t="str">
        <f t="shared" si="72"/>
        <v/>
      </c>
      <c r="M601" s="23" t="str">
        <f>IF(L601="","",L601*Inicio!$B$13)</f>
        <v/>
      </c>
      <c r="N601" s="23" t="str">
        <f t="shared" si="73"/>
        <v/>
      </c>
      <c r="O601" s="26"/>
      <c r="P601" s="18"/>
      <c r="Q601" s="19"/>
      <c r="R601" s="23" t="str">
        <f t="shared" si="74"/>
        <v/>
      </c>
      <c r="S601" s="22" t="str">
        <f ca="1">IF(A601="","",IF(OR(P601="Pagada",R601=0),"Pagada",IF(O601&lt;TODAY(),"Vencida",IF(O601&lt;=TODAY()+Inicio!$B$19,"Próxima a vencer","Vigente"))))</f>
        <v/>
      </c>
      <c r="T601" s="18"/>
      <c r="U601" s="37" t="str">
        <f t="shared" si="75"/>
        <v/>
      </c>
      <c r="V601" s="37" t="str">
        <f t="shared" si="76"/>
        <v/>
      </c>
      <c r="W601" s="37" t="str">
        <f t="shared" si="77"/>
        <v/>
      </c>
      <c r="X601" s="37" t="str">
        <f t="shared" si="78"/>
        <v/>
      </c>
      <c r="Y601" s="37" t="str">
        <f>IF(OR($H601="",$J601=""),"",$J601*IFERROR(VLOOKUP($H601,Maestro_SKU!$A$2:$P$500,12,FALSE),1))</f>
        <v/>
      </c>
      <c r="Z601" s="37" t="str">
        <f t="shared" ca="1" si="79"/>
        <v/>
      </c>
    </row>
    <row r="602" spans="1:26" x14ac:dyDescent="0.35">
      <c r="A602" s="18"/>
      <c r="B602" s="26"/>
      <c r="C602" s="18"/>
      <c r="D602" s="18"/>
      <c r="E602" s="22" t="str">
        <f>IFERROR(VLOOKUP(D602,Clientes_PDV!$A$2:$J$250,2,FALSE),"")</f>
        <v/>
      </c>
      <c r="F602" s="22" t="str">
        <f>IFERROR(VLOOKUP(D602,Clientes_PDV!$A$2:$J$250,3,FALSE),"")</f>
        <v/>
      </c>
      <c r="G602" s="22" t="str">
        <f>IFERROR(VLOOKUP(D602,Clientes_PDV!$A$2:$J$250,4,FALSE),"")</f>
        <v/>
      </c>
      <c r="H602" s="18"/>
      <c r="I602" s="22" t="str">
        <f>IFERROR(VLOOKUP(H602,Maestro_SKU!$A$2:$P$500,2,FALSE),"")</f>
        <v/>
      </c>
      <c r="J602" s="27"/>
      <c r="K602" s="19"/>
      <c r="L602" s="23" t="str">
        <f t="shared" si="72"/>
        <v/>
      </c>
      <c r="M602" s="23" t="str">
        <f>IF(L602="","",L602*Inicio!$B$13)</f>
        <v/>
      </c>
      <c r="N602" s="23" t="str">
        <f t="shared" si="73"/>
        <v/>
      </c>
      <c r="O602" s="26"/>
      <c r="P602" s="18"/>
      <c r="Q602" s="19"/>
      <c r="R602" s="23" t="str">
        <f t="shared" si="74"/>
        <v/>
      </c>
      <c r="S602" s="22" t="str">
        <f ca="1">IF(A602="","",IF(OR(P602="Pagada",R602=0),"Pagada",IF(O602&lt;TODAY(),"Vencida",IF(O602&lt;=TODAY()+Inicio!$B$19,"Próxima a vencer","Vigente"))))</f>
        <v/>
      </c>
      <c r="T602" s="18"/>
      <c r="U602" s="37" t="str">
        <f t="shared" si="75"/>
        <v/>
      </c>
      <c r="V602" s="37" t="str">
        <f t="shared" si="76"/>
        <v/>
      </c>
      <c r="W602" s="37" t="str">
        <f t="shared" si="77"/>
        <v/>
      </c>
      <c r="X602" s="37" t="str">
        <f t="shared" si="78"/>
        <v/>
      </c>
      <c r="Y602" s="37" t="str">
        <f>IF(OR($H602="",$J602=""),"",$J602*IFERROR(VLOOKUP($H602,Maestro_SKU!$A$2:$P$500,12,FALSE),1))</f>
        <v/>
      </c>
      <c r="Z602" s="37" t="str">
        <f t="shared" ca="1" si="79"/>
        <v/>
      </c>
    </row>
    <row r="603" spans="1:26" x14ac:dyDescent="0.35">
      <c r="A603" s="18"/>
      <c r="B603" s="26"/>
      <c r="C603" s="18"/>
      <c r="D603" s="18"/>
      <c r="E603" s="22" t="str">
        <f>IFERROR(VLOOKUP(D603,Clientes_PDV!$A$2:$J$250,2,FALSE),"")</f>
        <v/>
      </c>
      <c r="F603" s="22" t="str">
        <f>IFERROR(VLOOKUP(D603,Clientes_PDV!$A$2:$J$250,3,FALSE),"")</f>
        <v/>
      </c>
      <c r="G603" s="22" t="str">
        <f>IFERROR(VLOOKUP(D603,Clientes_PDV!$A$2:$J$250,4,FALSE),"")</f>
        <v/>
      </c>
      <c r="H603" s="18"/>
      <c r="I603" s="22" t="str">
        <f>IFERROR(VLOOKUP(H603,Maestro_SKU!$A$2:$P$500,2,FALSE),"")</f>
        <v/>
      </c>
      <c r="J603" s="27"/>
      <c r="K603" s="19"/>
      <c r="L603" s="23" t="str">
        <f t="shared" si="72"/>
        <v/>
      </c>
      <c r="M603" s="23" t="str">
        <f>IF(L603="","",L603*Inicio!$B$13)</f>
        <v/>
      </c>
      <c r="N603" s="23" t="str">
        <f t="shared" si="73"/>
        <v/>
      </c>
      <c r="O603" s="26"/>
      <c r="P603" s="18"/>
      <c r="Q603" s="19"/>
      <c r="R603" s="23" t="str">
        <f t="shared" si="74"/>
        <v/>
      </c>
      <c r="S603" s="22" t="str">
        <f ca="1">IF(A603="","",IF(OR(P603="Pagada",R603=0),"Pagada",IF(O603&lt;TODAY(),"Vencida",IF(O603&lt;=TODAY()+Inicio!$B$19,"Próxima a vencer","Vigente"))))</f>
        <v/>
      </c>
      <c r="T603" s="18"/>
      <c r="U603" s="37" t="str">
        <f t="shared" si="75"/>
        <v/>
      </c>
      <c r="V603" s="37" t="str">
        <f t="shared" si="76"/>
        <v/>
      </c>
      <c r="W603" s="37" t="str">
        <f t="shared" si="77"/>
        <v/>
      </c>
      <c r="X603" s="37" t="str">
        <f t="shared" si="78"/>
        <v/>
      </c>
      <c r="Y603" s="37" t="str">
        <f>IF(OR($H603="",$J603=""),"",$J603*IFERROR(VLOOKUP($H603,Maestro_SKU!$A$2:$P$500,12,FALSE),1))</f>
        <v/>
      </c>
      <c r="Z603" s="37" t="str">
        <f t="shared" ca="1" si="79"/>
        <v/>
      </c>
    </row>
    <row r="604" spans="1:26" x14ac:dyDescent="0.35">
      <c r="A604" s="18"/>
      <c r="B604" s="26"/>
      <c r="C604" s="18"/>
      <c r="D604" s="18"/>
      <c r="E604" s="22" t="str">
        <f>IFERROR(VLOOKUP(D604,Clientes_PDV!$A$2:$J$250,2,FALSE),"")</f>
        <v/>
      </c>
      <c r="F604" s="22" t="str">
        <f>IFERROR(VLOOKUP(D604,Clientes_PDV!$A$2:$J$250,3,FALSE),"")</f>
        <v/>
      </c>
      <c r="G604" s="22" t="str">
        <f>IFERROR(VLOOKUP(D604,Clientes_PDV!$A$2:$J$250,4,FALSE),"")</f>
        <v/>
      </c>
      <c r="H604" s="18"/>
      <c r="I604" s="22" t="str">
        <f>IFERROR(VLOOKUP(H604,Maestro_SKU!$A$2:$P$500,2,FALSE),"")</f>
        <v/>
      </c>
      <c r="J604" s="27"/>
      <c r="K604" s="19"/>
      <c r="L604" s="23" t="str">
        <f t="shared" si="72"/>
        <v/>
      </c>
      <c r="M604" s="23" t="str">
        <f>IF(L604="","",L604*Inicio!$B$13)</f>
        <v/>
      </c>
      <c r="N604" s="23" t="str">
        <f t="shared" si="73"/>
        <v/>
      </c>
      <c r="O604" s="26"/>
      <c r="P604" s="18"/>
      <c r="Q604" s="19"/>
      <c r="R604" s="23" t="str">
        <f t="shared" si="74"/>
        <v/>
      </c>
      <c r="S604" s="22" t="str">
        <f ca="1">IF(A604="","",IF(OR(P604="Pagada",R604=0),"Pagada",IF(O604&lt;TODAY(),"Vencida",IF(O604&lt;=TODAY()+Inicio!$B$19,"Próxima a vencer","Vigente"))))</f>
        <v/>
      </c>
      <c r="T604" s="18"/>
      <c r="U604" s="37" t="str">
        <f t="shared" si="75"/>
        <v/>
      </c>
      <c r="V604" s="37" t="str">
        <f t="shared" si="76"/>
        <v/>
      </c>
      <c r="W604" s="37" t="str">
        <f t="shared" si="77"/>
        <v/>
      </c>
      <c r="X604" s="37" t="str">
        <f t="shared" si="78"/>
        <v/>
      </c>
      <c r="Y604" s="37" t="str">
        <f>IF(OR($H604="",$J604=""),"",$J604*IFERROR(VLOOKUP($H604,Maestro_SKU!$A$2:$P$500,12,FALSE),1))</f>
        <v/>
      </c>
      <c r="Z604" s="37" t="str">
        <f t="shared" ca="1" si="79"/>
        <v/>
      </c>
    </row>
    <row r="605" spans="1:26" x14ac:dyDescent="0.35">
      <c r="A605" s="18"/>
      <c r="B605" s="26"/>
      <c r="C605" s="18"/>
      <c r="D605" s="18"/>
      <c r="E605" s="22" t="str">
        <f>IFERROR(VLOOKUP(D605,Clientes_PDV!$A$2:$J$250,2,FALSE),"")</f>
        <v/>
      </c>
      <c r="F605" s="22" t="str">
        <f>IFERROR(VLOOKUP(D605,Clientes_PDV!$A$2:$J$250,3,FALSE),"")</f>
        <v/>
      </c>
      <c r="G605" s="22" t="str">
        <f>IFERROR(VLOOKUP(D605,Clientes_PDV!$A$2:$J$250,4,FALSE),"")</f>
        <v/>
      </c>
      <c r="H605" s="18"/>
      <c r="I605" s="22" t="str">
        <f>IFERROR(VLOOKUP(H605,Maestro_SKU!$A$2:$P$500,2,FALSE),"")</f>
        <v/>
      </c>
      <c r="J605" s="27"/>
      <c r="K605" s="19"/>
      <c r="L605" s="23" t="str">
        <f t="shared" si="72"/>
        <v/>
      </c>
      <c r="M605" s="23" t="str">
        <f>IF(L605="","",L605*Inicio!$B$13)</f>
        <v/>
      </c>
      <c r="N605" s="23" t="str">
        <f t="shared" si="73"/>
        <v/>
      </c>
      <c r="O605" s="26"/>
      <c r="P605" s="18"/>
      <c r="Q605" s="19"/>
      <c r="R605" s="23" t="str">
        <f t="shared" si="74"/>
        <v/>
      </c>
      <c r="S605" s="22" t="str">
        <f ca="1">IF(A605="","",IF(OR(P605="Pagada",R605=0),"Pagada",IF(O605&lt;TODAY(),"Vencida",IF(O605&lt;=TODAY()+Inicio!$B$19,"Próxima a vencer","Vigente"))))</f>
        <v/>
      </c>
      <c r="T605" s="18"/>
      <c r="U605" s="37" t="str">
        <f t="shared" si="75"/>
        <v/>
      </c>
      <c r="V605" s="37" t="str">
        <f t="shared" si="76"/>
        <v/>
      </c>
      <c r="W605" s="37" t="str">
        <f t="shared" si="77"/>
        <v/>
      </c>
      <c r="X605" s="37" t="str">
        <f t="shared" si="78"/>
        <v/>
      </c>
      <c r="Y605" s="37" t="str">
        <f>IF(OR($H605="",$J605=""),"",$J605*IFERROR(VLOOKUP($H605,Maestro_SKU!$A$2:$P$500,12,FALSE),1))</f>
        <v/>
      </c>
      <c r="Z605" s="37" t="str">
        <f t="shared" ca="1" si="79"/>
        <v/>
      </c>
    </row>
    <row r="606" spans="1:26" x14ac:dyDescent="0.35">
      <c r="A606" s="18"/>
      <c r="B606" s="26"/>
      <c r="C606" s="18"/>
      <c r="D606" s="18"/>
      <c r="E606" s="22" t="str">
        <f>IFERROR(VLOOKUP(D606,Clientes_PDV!$A$2:$J$250,2,FALSE),"")</f>
        <v/>
      </c>
      <c r="F606" s="22" t="str">
        <f>IFERROR(VLOOKUP(D606,Clientes_PDV!$A$2:$J$250,3,FALSE),"")</f>
        <v/>
      </c>
      <c r="G606" s="22" t="str">
        <f>IFERROR(VLOOKUP(D606,Clientes_PDV!$A$2:$J$250,4,FALSE),"")</f>
        <v/>
      </c>
      <c r="H606" s="18"/>
      <c r="I606" s="22" t="str">
        <f>IFERROR(VLOOKUP(H606,Maestro_SKU!$A$2:$P$500,2,FALSE),"")</f>
        <v/>
      </c>
      <c r="J606" s="27"/>
      <c r="K606" s="19"/>
      <c r="L606" s="23" t="str">
        <f t="shared" si="72"/>
        <v/>
      </c>
      <c r="M606" s="23" t="str">
        <f>IF(L606="","",L606*Inicio!$B$13)</f>
        <v/>
      </c>
      <c r="N606" s="23" t="str">
        <f t="shared" si="73"/>
        <v/>
      </c>
      <c r="O606" s="26"/>
      <c r="P606" s="18"/>
      <c r="Q606" s="19"/>
      <c r="R606" s="23" t="str">
        <f t="shared" si="74"/>
        <v/>
      </c>
      <c r="S606" s="22" t="str">
        <f ca="1">IF(A606="","",IF(OR(P606="Pagada",R606=0),"Pagada",IF(O606&lt;TODAY(),"Vencida",IF(O606&lt;=TODAY()+Inicio!$B$19,"Próxima a vencer","Vigente"))))</f>
        <v/>
      </c>
      <c r="T606" s="18"/>
      <c r="U606" s="37" t="str">
        <f t="shared" si="75"/>
        <v/>
      </c>
      <c r="V606" s="37" t="str">
        <f t="shared" si="76"/>
        <v/>
      </c>
      <c r="W606" s="37" t="str">
        <f t="shared" si="77"/>
        <v/>
      </c>
      <c r="X606" s="37" t="str">
        <f t="shared" si="78"/>
        <v/>
      </c>
      <c r="Y606" s="37" t="str">
        <f>IF(OR($H606="",$J606=""),"",$J606*IFERROR(VLOOKUP($H606,Maestro_SKU!$A$2:$P$500,12,FALSE),1))</f>
        <v/>
      </c>
      <c r="Z606" s="37" t="str">
        <f t="shared" ca="1" si="79"/>
        <v/>
      </c>
    </row>
    <row r="607" spans="1:26" x14ac:dyDescent="0.35">
      <c r="A607" s="18"/>
      <c r="B607" s="26"/>
      <c r="C607" s="18"/>
      <c r="D607" s="18"/>
      <c r="E607" s="22" t="str">
        <f>IFERROR(VLOOKUP(D607,Clientes_PDV!$A$2:$J$250,2,FALSE),"")</f>
        <v/>
      </c>
      <c r="F607" s="22" t="str">
        <f>IFERROR(VLOOKUP(D607,Clientes_PDV!$A$2:$J$250,3,FALSE),"")</f>
        <v/>
      </c>
      <c r="G607" s="22" t="str">
        <f>IFERROR(VLOOKUP(D607,Clientes_PDV!$A$2:$J$250,4,FALSE),"")</f>
        <v/>
      </c>
      <c r="H607" s="18"/>
      <c r="I607" s="22" t="str">
        <f>IFERROR(VLOOKUP(H607,Maestro_SKU!$A$2:$P$500,2,FALSE),"")</f>
        <v/>
      </c>
      <c r="J607" s="27"/>
      <c r="K607" s="19"/>
      <c r="L607" s="23" t="str">
        <f t="shared" si="72"/>
        <v/>
      </c>
      <c r="M607" s="23" t="str">
        <f>IF(L607="","",L607*Inicio!$B$13)</f>
        <v/>
      </c>
      <c r="N607" s="23" t="str">
        <f t="shared" si="73"/>
        <v/>
      </c>
      <c r="O607" s="26"/>
      <c r="P607" s="18"/>
      <c r="Q607" s="19"/>
      <c r="R607" s="23" t="str">
        <f t="shared" si="74"/>
        <v/>
      </c>
      <c r="S607" s="22" t="str">
        <f ca="1">IF(A607="","",IF(OR(P607="Pagada",R607=0),"Pagada",IF(O607&lt;TODAY(),"Vencida",IF(O607&lt;=TODAY()+Inicio!$B$19,"Próxima a vencer","Vigente"))))</f>
        <v/>
      </c>
      <c r="T607" s="18"/>
      <c r="U607" s="37" t="str">
        <f t="shared" si="75"/>
        <v/>
      </c>
      <c r="V607" s="37" t="str">
        <f t="shared" si="76"/>
        <v/>
      </c>
      <c r="W607" s="37" t="str">
        <f t="shared" si="77"/>
        <v/>
      </c>
      <c r="X607" s="37" t="str">
        <f t="shared" si="78"/>
        <v/>
      </c>
      <c r="Y607" s="37" t="str">
        <f>IF(OR($H607="",$J607=""),"",$J607*IFERROR(VLOOKUP($H607,Maestro_SKU!$A$2:$P$500,12,FALSE),1))</f>
        <v/>
      </c>
      <c r="Z607" s="37" t="str">
        <f t="shared" ca="1" si="79"/>
        <v/>
      </c>
    </row>
    <row r="608" spans="1:26" x14ac:dyDescent="0.35">
      <c r="A608" s="18"/>
      <c r="B608" s="26"/>
      <c r="C608" s="18"/>
      <c r="D608" s="18"/>
      <c r="E608" s="22" t="str">
        <f>IFERROR(VLOOKUP(D608,Clientes_PDV!$A$2:$J$250,2,FALSE),"")</f>
        <v/>
      </c>
      <c r="F608" s="22" t="str">
        <f>IFERROR(VLOOKUP(D608,Clientes_PDV!$A$2:$J$250,3,FALSE),"")</f>
        <v/>
      </c>
      <c r="G608" s="22" t="str">
        <f>IFERROR(VLOOKUP(D608,Clientes_PDV!$A$2:$J$250,4,FALSE),"")</f>
        <v/>
      </c>
      <c r="H608" s="18"/>
      <c r="I608" s="22" t="str">
        <f>IFERROR(VLOOKUP(H608,Maestro_SKU!$A$2:$P$500,2,FALSE),"")</f>
        <v/>
      </c>
      <c r="J608" s="27"/>
      <c r="K608" s="19"/>
      <c r="L608" s="23" t="str">
        <f t="shared" si="72"/>
        <v/>
      </c>
      <c r="M608" s="23" t="str">
        <f>IF(L608="","",L608*Inicio!$B$13)</f>
        <v/>
      </c>
      <c r="N608" s="23" t="str">
        <f t="shared" si="73"/>
        <v/>
      </c>
      <c r="O608" s="26"/>
      <c r="P608" s="18"/>
      <c r="Q608" s="19"/>
      <c r="R608" s="23" t="str">
        <f t="shared" si="74"/>
        <v/>
      </c>
      <c r="S608" s="22" t="str">
        <f ca="1">IF(A608="","",IF(OR(P608="Pagada",R608=0),"Pagada",IF(O608&lt;TODAY(),"Vencida",IF(O608&lt;=TODAY()+Inicio!$B$19,"Próxima a vencer","Vigente"))))</f>
        <v/>
      </c>
      <c r="T608" s="18"/>
      <c r="U608" s="37" t="str">
        <f t="shared" si="75"/>
        <v/>
      </c>
      <c r="V608" s="37" t="str">
        <f t="shared" si="76"/>
        <v/>
      </c>
      <c r="W608" s="37" t="str">
        <f t="shared" si="77"/>
        <v/>
      </c>
      <c r="X608" s="37" t="str">
        <f t="shared" si="78"/>
        <v/>
      </c>
      <c r="Y608" s="37" t="str">
        <f>IF(OR($H608="",$J608=""),"",$J608*IFERROR(VLOOKUP($H608,Maestro_SKU!$A$2:$P$500,12,FALSE),1))</f>
        <v/>
      </c>
      <c r="Z608" s="37" t="str">
        <f t="shared" ca="1" si="79"/>
        <v/>
      </c>
    </row>
    <row r="609" spans="1:26" x14ac:dyDescent="0.35">
      <c r="A609" s="18"/>
      <c r="B609" s="26"/>
      <c r="C609" s="18"/>
      <c r="D609" s="18"/>
      <c r="E609" s="22" t="str">
        <f>IFERROR(VLOOKUP(D609,Clientes_PDV!$A$2:$J$250,2,FALSE),"")</f>
        <v/>
      </c>
      <c r="F609" s="22" t="str">
        <f>IFERROR(VLOOKUP(D609,Clientes_PDV!$A$2:$J$250,3,FALSE),"")</f>
        <v/>
      </c>
      <c r="G609" s="22" t="str">
        <f>IFERROR(VLOOKUP(D609,Clientes_PDV!$A$2:$J$250,4,FALSE),"")</f>
        <v/>
      </c>
      <c r="H609" s="18"/>
      <c r="I609" s="22" t="str">
        <f>IFERROR(VLOOKUP(H609,Maestro_SKU!$A$2:$P$500,2,FALSE),"")</f>
        <v/>
      </c>
      <c r="J609" s="27"/>
      <c r="K609" s="19"/>
      <c r="L609" s="23" t="str">
        <f t="shared" si="72"/>
        <v/>
      </c>
      <c r="M609" s="23" t="str">
        <f>IF(L609="","",L609*Inicio!$B$13)</f>
        <v/>
      </c>
      <c r="N609" s="23" t="str">
        <f t="shared" si="73"/>
        <v/>
      </c>
      <c r="O609" s="26"/>
      <c r="P609" s="18"/>
      <c r="Q609" s="19"/>
      <c r="R609" s="23" t="str">
        <f t="shared" si="74"/>
        <v/>
      </c>
      <c r="S609" s="22" t="str">
        <f ca="1">IF(A609="","",IF(OR(P609="Pagada",R609=0),"Pagada",IF(O609&lt;TODAY(),"Vencida",IF(O609&lt;=TODAY()+Inicio!$B$19,"Próxima a vencer","Vigente"))))</f>
        <v/>
      </c>
      <c r="T609" s="18"/>
      <c r="U609" s="37" t="str">
        <f t="shared" si="75"/>
        <v/>
      </c>
      <c r="V609" s="37" t="str">
        <f t="shared" si="76"/>
        <v/>
      </c>
      <c r="W609" s="37" t="str">
        <f t="shared" si="77"/>
        <v/>
      </c>
      <c r="X609" s="37" t="str">
        <f t="shared" si="78"/>
        <v/>
      </c>
      <c r="Y609" s="37" t="str">
        <f>IF(OR($H609="",$J609=""),"",$J609*IFERROR(VLOOKUP($H609,Maestro_SKU!$A$2:$P$500,12,FALSE),1))</f>
        <v/>
      </c>
      <c r="Z609" s="37" t="str">
        <f t="shared" ca="1" si="79"/>
        <v/>
      </c>
    </row>
    <row r="610" spans="1:26" x14ac:dyDescent="0.35">
      <c r="A610" s="18"/>
      <c r="B610" s="26"/>
      <c r="C610" s="18"/>
      <c r="D610" s="18"/>
      <c r="E610" s="22" t="str">
        <f>IFERROR(VLOOKUP(D610,Clientes_PDV!$A$2:$J$250,2,FALSE),"")</f>
        <v/>
      </c>
      <c r="F610" s="22" t="str">
        <f>IFERROR(VLOOKUP(D610,Clientes_PDV!$A$2:$J$250,3,FALSE),"")</f>
        <v/>
      </c>
      <c r="G610" s="22" t="str">
        <f>IFERROR(VLOOKUP(D610,Clientes_PDV!$A$2:$J$250,4,FALSE),"")</f>
        <v/>
      </c>
      <c r="H610" s="18"/>
      <c r="I610" s="22" t="str">
        <f>IFERROR(VLOOKUP(H610,Maestro_SKU!$A$2:$P$500,2,FALSE),"")</f>
        <v/>
      </c>
      <c r="J610" s="27"/>
      <c r="K610" s="19"/>
      <c r="L610" s="23" t="str">
        <f t="shared" si="72"/>
        <v/>
      </c>
      <c r="M610" s="23" t="str">
        <f>IF(L610="","",L610*Inicio!$B$13)</f>
        <v/>
      </c>
      <c r="N610" s="23" t="str">
        <f t="shared" si="73"/>
        <v/>
      </c>
      <c r="O610" s="26"/>
      <c r="P610" s="18"/>
      <c r="Q610" s="19"/>
      <c r="R610" s="23" t="str">
        <f t="shared" si="74"/>
        <v/>
      </c>
      <c r="S610" s="22" t="str">
        <f ca="1">IF(A610="","",IF(OR(P610="Pagada",R610=0),"Pagada",IF(O610&lt;TODAY(),"Vencida",IF(O610&lt;=TODAY()+Inicio!$B$19,"Próxima a vencer","Vigente"))))</f>
        <v/>
      </c>
      <c r="T610" s="18"/>
      <c r="U610" s="37" t="str">
        <f t="shared" si="75"/>
        <v/>
      </c>
      <c r="V610" s="37" t="str">
        <f t="shared" si="76"/>
        <v/>
      </c>
      <c r="W610" s="37" t="str">
        <f t="shared" si="77"/>
        <v/>
      </c>
      <c r="X610" s="37" t="str">
        <f t="shared" si="78"/>
        <v/>
      </c>
      <c r="Y610" s="37" t="str">
        <f>IF(OR($H610="",$J610=""),"",$J610*IFERROR(VLOOKUP($H610,Maestro_SKU!$A$2:$P$500,12,FALSE),1))</f>
        <v/>
      </c>
      <c r="Z610" s="37" t="str">
        <f t="shared" ca="1" si="79"/>
        <v/>
      </c>
    </row>
    <row r="611" spans="1:26" x14ac:dyDescent="0.35">
      <c r="A611" s="18"/>
      <c r="B611" s="26"/>
      <c r="C611" s="18"/>
      <c r="D611" s="18"/>
      <c r="E611" s="22" t="str">
        <f>IFERROR(VLOOKUP(D611,Clientes_PDV!$A$2:$J$250,2,FALSE),"")</f>
        <v/>
      </c>
      <c r="F611" s="22" t="str">
        <f>IFERROR(VLOOKUP(D611,Clientes_PDV!$A$2:$J$250,3,FALSE),"")</f>
        <v/>
      </c>
      <c r="G611" s="22" t="str">
        <f>IFERROR(VLOOKUP(D611,Clientes_PDV!$A$2:$J$250,4,FALSE),"")</f>
        <v/>
      </c>
      <c r="H611" s="18"/>
      <c r="I611" s="22" t="str">
        <f>IFERROR(VLOOKUP(H611,Maestro_SKU!$A$2:$P$500,2,FALSE),"")</f>
        <v/>
      </c>
      <c r="J611" s="27"/>
      <c r="K611" s="19"/>
      <c r="L611" s="23" t="str">
        <f t="shared" si="72"/>
        <v/>
      </c>
      <c r="M611" s="23" t="str">
        <f>IF(L611="","",L611*Inicio!$B$13)</f>
        <v/>
      </c>
      <c r="N611" s="23" t="str">
        <f t="shared" si="73"/>
        <v/>
      </c>
      <c r="O611" s="26"/>
      <c r="P611" s="18"/>
      <c r="Q611" s="19"/>
      <c r="R611" s="23" t="str">
        <f t="shared" si="74"/>
        <v/>
      </c>
      <c r="S611" s="22" t="str">
        <f ca="1">IF(A611="","",IF(OR(P611="Pagada",R611=0),"Pagada",IF(O611&lt;TODAY(),"Vencida",IF(O611&lt;=TODAY()+Inicio!$B$19,"Próxima a vencer","Vigente"))))</f>
        <v/>
      </c>
      <c r="T611" s="18"/>
      <c r="U611" s="37" t="str">
        <f t="shared" si="75"/>
        <v/>
      </c>
      <c r="V611" s="37" t="str">
        <f t="shared" si="76"/>
        <v/>
      </c>
      <c r="W611" s="37" t="str">
        <f t="shared" si="77"/>
        <v/>
      </c>
      <c r="X611" s="37" t="str">
        <f t="shared" si="78"/>
        <v/>
      </c>
      <c r="Y611" s="37" t="str">
        <f>IF(OR($H611="",$J611=""),"",$J611*IFERROR(VLOOKUP($H611,Maestro_SKU!$A$2:$P$500,12,FALSE),1))</f>
        <v/>
      </c>
      <c r="Z611" s="37" t="str">
        <f t="shared" ca="1" si="79"/>
        <v/>
      </c>
    </row>
    <row r="612" spans="1:26" x14ac:dyDescent="0.35">
      <c r="A612" s="18"/>
      <c r="B612" s="26"/>
      <c r="C612" s="18"/>
      <c r="D612" s="18"/>
      <c r="E612" s="22" t="str">
        <f>IFERROR(VLOOKUP(D612,Clientes_PDV!$A$2:$J$250,2,FALSE),"")</f>
        <v/>
      </c>
      <c r="F612" s="22" t="str">
        <f>IFERROR(VLOOKUP(D612,Clientes_PDV!$A$2:$J$250,3,FALSE),"")</f>
        <v/>
      </c>
      <c r="G612" s="22" t="str">
        <f>IFERROR(VLOOKUP(D612,Clientes_PDV!$A$2:$J$250,4,FALSE),"")</f>
        <v/>
      </c>
      <c r="H612" s="18"/>
      <c r="I612" s="22" t="str">
        <f>IFERROR(VLOOKUP(H612,Maestro_SKU!$A$2:$P$500,2,FALSE),"")</f>
        <v/>
      </c>
      <c r="J612" s="27"/>
      <c r="K612" s="19"/>
      <c r="L612" s="23" t="str">
        <f t="shared" si="72"/>
        <v/>
      </c>
      <c r="M612" s="23" t="str">
        <f>IF(L612="","",L612*Inicio!$B$13)</f>
        <v/>
      </c>
      <c r="N612" s="23" t="str">
        <f t="shared" si="73"/>
        <v/>
      </c>
      <c r="O612" s="26"/>
      <c r="P612" s="18"/>
      <c r="Q612" s="19"/>
      <c r="R612" s="23" t="str">
        <f t="shared" si="74"/>
        <v/>
      </c>
      <c r="S612" s="22" t="str">
        <f ca="1">IF(A612="","",IF(OR(P612="Pagada",R612=0),"Pagada",IF(O612&lt;TODAY(),"Vencida",IF(O612&lt;=TODAY()+Inicio!$B$19,"Próxima a vencer","Vigente"))))</f>
        <v/>
      </c>
      <c r="T612" s="18"/>
      <c r="U612" s="37" t="str">
        <f t="shared" si="75"/>
        <v/>
      </c>
      <c r="V612" s="37" t="str">
        <f t="shared" si="76"/>
        <v/>
      </c>
      <c r="W612" s="37" t="str">
        <f t="shared" si="77"/>
        <v/>
      </c>
      <c r="X612" s="37" t="str">
        <f t="shared" si="78"/>
        <v/>
      </c>
      <c r="Y612" s="37" t="str">
        <f>IF(OR($H612="",$J612=""),"",$J612*IFERROR(VLOOKUP($H612,Maestro_SKU!$A$2:$P$500,12,FALSE),1))</f>
        <v/>
      </c>
      <c r="Z612" s="37" t="str">
        <f t="shared" ca="1" si="79"/>
        <v/>
      </c>
    </row>
    <row r="613" spans="1:26" x14ac:dyDescent="0.35">
      <c r="A613" s="18"/>
      <c r="B613" s="26"/>
      <c r="C613" s="18"/>
      <c r="D613" s="18"/>
      <c r="E613" s="22" t="str">
        <f>IFERROR(VLOOKUP(D613,Clientes_PDV!$A$2:$J$250,2,FALSE),"")</f>
        <v/>
      </c>
      <c r="F613" s="22" t="str">
        <f>IFERROR(VLOOKUP(D613,Clientes_PDV!$A$2:$J$250,3,FALSE),"")</f>
        <v/>
      </c>
      <c r="G613" s="22" t="str">
        <f>IFERROR(VLOOKUP(D613,Clientes_PDV!$A$2:$J$250,4,FALSE),"")</f>
        <v/>
      </c>
      <c r="H613" s="18"/>
      <c r="I613" s="22" t="str">
        <f>IFERROR(VLOOKUP(H613,Maestro_SKU!$A$2:$P$500,2,FALSE),"")</f>
        <v/>
      </c>
      <c r="J613" s="27"/>
      <c r="K613" s="19"/>
      <c r="L613" s="23" t="str">
        <f t="shared" si="72"/>
        <v/>
      </c>
      <c r="M613" s="23" t="str">
        <f>IF(L613="","",L613*Inicio!$B$13)</f>
        <v/>
      </c>
      <c r="N613" s="23" t="str">
        <f t="shared" si="73"/>
        <v/>
      </c>
      <c r="O613" s="26"/>
      <c r="P613" s="18"/>
      <c r="Q613" s="19"/>
      <c r="R613" s="23" t="str">
        <f t="shared" si="74"/>
        <v/>
      </c>
      <c r="S613" s="22" t="str">
        <f ca="1">IF(A613="","",IF(OR(P613="Pagada",R613=0),"Pagada",IF(O613&lt;TODAY(),"Vencida",IF(O613&lt;=TODAY()+Inicio!$B$19,"Próxima a vencer","Vigente"))))</f>
        <v/>
      </c>
      <c r="T613" s="18"/>
      <c r="U613" s="37" t="str">
        <f t="shared" si="75"/>
        <v/>
      </c>
      <c r="V613" s="37" t="str">
        <f t="shared" si="76"/>
        <v/>
      </c>
      <c r="W613" s="37" t="str">
        <f t="shared" si="77"/>
        <v/>
      </c>
      <c r="X613" s="37" t="str">
        <f t="shared" si="78"/>
        <v/>
      </c>
      <c r="Y613" s="37" t="str">
        <f>IF(OR($H613="",$J613=""),"",$J613*IFERROR(VLOOKUP($H613,Maestro_SKU!$A$2:$P$500,12,FALSE),1))</f>
        <v/>
      </c>
      <c r="Z613" s="37" t="str">
        <f t="shared" ca="1" si="79"/>
        <v/>
      </c>
    </row>
    <row r="614" spans="1:26" x14ac:dyDescent="0.35">
      <c r="A614" s="18"/>
      <c r="B614" s="26"/>
      <c r="C614" s="18"/>
      <c r="D614" s="18"/>
      <c r="E614" s="22" t="str">
        <f>IFERROR(VLOOKUP(D614,Clientes_PDV!$A$2:$J$250,2,FALSE),"")</f>
        <v/>
      </c>
      <c r="F614" s="22" t="str">
        <f>IFERROR(VLOOKUP(D614,Clientes_PDV!$A$2:$J$250,3,FALSE),"")</f>
        <v/>
      </c>
      <c r="G614" s="22" t="str">
        <f>IFERROR(VLOOKUP(D614,Clientes_PDV!$A$2:$J$250,4,FALSE),"")</f>
        <v/>
      </c>
      <c r="H614" s="18"/>
      <c r="I614" s="22" t="str">
        <f>IFERROR(VLOOKUP(H614,Maestro_SKU!$A$2:$P$500,2,FALSE),"")</f>
        <v/>
      </c>
      <c r="J614" s="27"/>
      <c r="K614" s="19"/>
      <c r="L614" s="23" t="str">
        <f t="shared" si="72"/>
        <v/>
      </c>
      <c r="M614" s="23" t="str">
        <f>IF(L614="","",L614*Inicio!$B$13)</f>
        <v/>
      </c>
      <c r="N614" s="23" t="str">
        <f t="shared" si="73"/>
        <v/>
      </c>
      <c r="O614" s="26"/>
      <c r="P614" s="18"/>
      <c r="Q614" s="19"/>
      <c r="R614" s="23" t="str">
        <f t="shared" si="74"/>
        <v/>
      </c>
      <c r="S614" s="22" t="str">
        <f ca="1">IF(A614="","",IF(OR(P614="Pagada",R614=0),"Pagada",IF(O614&lt;TODAY(),"Vencida",IF(O614&lt;=TODAY()+Inicio!$B$19,"Próxima a vencer","Vigente"))))</f>
        <v/>
      </c>
      <c r="T614" s="18"/>
      <c r="U614" s="37" t="str">
        <f t="shared" si="75"/>
        <v/>
      </c>
      <c r="V614" s="37" t="str">
        <f t="shared" si="76"/>
        <v/>
      </c>
      <c r="W614" s="37" t="str">
        <f t="shared" si="77"/>
        <v/>
      </c>
      <c r="X614" s="37" t="str">
        <f t="shared" si="78"/>
        <v/>
      </c>
      <c r="Y614" s="37" t="str">
        <f>IF(OR($H614="",$J614=""),"",$J614*IFERROR(VLOOKUP($H614,Maestro_SKU!$A$2:$P$500,12,FALSE),1))</f>
        <v/>
      </c>
      <c r="Z614" s="37" t="str">
        <f t="shared" ca="1" si="79"/>
        <v/>
      </c>
    </row>
    <row r="615" spans="1:26" x14ac:dyDescent="0.35">
      <c r="A615" s="18"/>
      <c r="B615" s="26"/>
      <c r="C615" s="18"/>
      <c r="D615" s="18"/>
      <c r="E615" s="22" t="str">
        <f>IFERROR(VLOOKUP(D615,Clientes_PDV!$A$2:$J$250,2,FALSE),"")</f>
        <v/>
      </c>
      <c r="F615" s="22" t="str">
        <f>IFERROR(VLOOKUP(D615,Clientes_PDV!$A$2:$J$250,3,FALSE),"")</f>
        <v/>
      </c>
      <c r="G615" s="22" t="str">
        <f>IFERROR(VLOOKUP(D615,Clientes_PDV!$A$2:$J$250,4,FALSE),"")</f>
        <v/>
      </c>
      <c r="H615" s="18"/>
      <c r="I615" s="22" t="str">
        <f>IFERROR(VLOOKUP(H615,Maestro_SKU!$A$2:$P$500,2,FALSE),"")</f>
        <v/>
      </c>
      <c r="J615" s="27"/>
      <c r="K615" s="19"/>
      <c r="L615" s="23" t="str">
        <f t="shared" si="72"/>
        <v/>
      </c>
      <c r="M615" s="23" t="str">
        <f>IF(L615="","",L615*Inicio!$B$13)</f>
        <v/>
      </c>
      <c r="N615" s="23" t="str">
        <f t="shared" si="73"/>
        <v/>
      </c>
      <c r="O615" s="26"/>
      <c r="P615" s="18"/>
      <c r="Q615" s="19"/>
      <c r="R615" s="23" t="str">
        <f t="shared" si="74"/>
        <v/>
      </c>
      <c r="S615" s="22" t="str">
        <f ca="1">IF(A615="","",IF(OR(P615="Pagada",R615=0),"Pagada",IF(O615&lt;TODAY(),"Vencida",IF(O615&lt;=TODAY()+Inicio!$B$19,"Próxima a vencer","Vigente"))))</f>
        <v/>
      </c>
      <c r="T615" s="18"/>
      <c r="U615" s="37" t="str">
        <f t="shared" si="75"/>
        <v/>
      </c>
      <c r="V615" s="37" t="str">
        <f t="shared" si="76"/>
        <v/>
      </c>
      <c r="W615" s="37" t="str">
        <f t="shared" si="77"/>
        <v/>
      </c>
      <c r="X615" s="37" t="str">
        <f t="shared" si="78"/>
        <v/>
      </c>
      <c r="Y615" s="37" t="str">
        <f>IF(OR($H615="",$J615=""),"",$J615*IFERROR(VLOOKUP($H615,Maestro_SKU!$A$2:$P$500,12,FALSE),1))</f>
        <v/>
      </c>
      <c r="Z615" s="37" t="str">
        <f t="shared" ca="1" si="79"/>
        <v/>
      </c>
    </row>
    <row r="616" spans="1:26" x14ac:dyDescent="0.35">
      <c r="A616" s="18"/>
      <c r="B616" s="26"/>
      <c r="C616" s="18"/>
      <c r="D616" s="18"/>
      <c r="E616" s="22" t="str">
        <f>IFERROR(VLOOKUP(D616,Clientes_PDV!$A$2:$J$250,2,FALSE),"")</f>
        <v/>
      </c>
      <c r="F616" s="22" t="str">
        <f>IFERROR(VLOOKUP(D616,Clientes_PDV!$A$2:$J$250,3,FALSE),"")</f>
        <v/>
      </c>
      <c r="G616" s="22" t="str">
        <f>IFERROR(VLOOKUP(D616,Clientes_PDV!$A$2:$J$250,4,FALSE),"")</f>
        <v/>
      </c>
      <c r="H616" s="18"/>
      <c r="I616" s="22" t="str">
        <f>IFERROR(VLOOKUP(H616,Maestro_SKU!$A$2:$P$500,2,FALSE),"")</f>
        <v/>
      </c>
      <c r="J616" s="27"/>
      <c r="K616" s="19"/>
      <c r="L616" s="23" t="str">
        <f t="shared" si="72"/>
        <v/>
      </c>
      <c r="M616" s="23" t="str">
        <f>IF(L616="","",L616*Inicio!$B$13)</f>
        <v/>
      </c>
      <c r="N616" s="23" t="str">
        <f t="shared" si="73"/>
        <v/>
      </c>
      <c r="O616" s="26"/>
      <c r="P616" s="18"/>
      <c r="Q616" s="19"/>
      <c r="R616" s="23" t="str">
        <f t="shared" si="74"/>
        <v/>
      </c>
      <c r="S616" s="22" t="str">
        <f ca="1">IF(A616="","",IF(OR(P616="Pagada",R616=0),"Pagada",IF(O616&lt;TODAY(),"Vencida",IF(O616&lt;=TODAY()+Inicio!$B$19,"Próxima a vencer","Vigente"))))</f>
        <v/>
      </c>
      <c r="T616" s="18"/>
      <c r="U616" s="37" t="str">
        <f t="shared" si="75"/>
        <v/>
      </c>
      <c r="V616" s="37" t="str">
        <f t="shared" si="76"/>
        <v/>
      </c>
      <c r="W616" s="37" t="str">
        <f t="shared" si="77"/>
        <v/>
      </c>
      <c r="X616" s="37" t="str">
        <f t="shared" si="78"/>
        <v/>
      </c>
      <c r="Y616" s="37" t="str">
        <f>IF(OR($H616="",$J616=""),"",$J616*IFERROR(VLOOKUP($H616,Maestro_SKU!$A$2:$P$500,12,FALSE),1))</f>
        <v/>
      </c>
      <c r="Z616" s="37" t="str">
        <f t="shared" ca="1" si="79"/>
        <v/>
      </c>
    </row>
    <row r="617" spans="1:26" x14ac:dyDescent="0.35">
      <c r="A617" s="18"/>
      <c r="B617" s="26"/>
      <c r="C617" s="18"/>
      <c r="D617" s="18"/>
      <c r="E617" s="22" t="str">
        <f>IFERROR(VLOOKUP(D617,Clientes_PDV!$A$2:$J$250,2,FALSE),"")</f>
        <v/>
      </c>
      <c r="F617" s="22" t="str">
        <f>IFERROR(VLOOKUP(D617,Clientes_PDV!$A$2:$J$250,3,FALSE),"")</f>
        <v/>
      </c>
      <c r="G617" s="22" t="str">
        <f>IFERROR(VLOOKUP(D617,Clientes_PDV!$A$2:$J$250,4,FALSE),"")</f>
        <v/>
      </c>
      <c r="H617" s="18"/>
      <c r="I617" s="22" t="str">
        <f>IFERROR(VLOOKUP(H617,Maestro_SKU!$A$2:$P$500,2,FALSE),"")</f>
        <v/>
      </c>
      <c r="J617" s="27"/>
      <c r="K617" s="19"/>
      <c r="L617" s="23" t="str">
        <f t="shared" si="72"/>
        <v/>
      </c>
      <c r="M617" s="23" t="str">
        <f>IF(L617="","",L617*Inicio!$B$13)</f>
        <v/>
      </c>
      <c r="N617" s="23" t="str">
        <f t="shared" si="73"/>
        <v/>
      </c>
      <c r="O617" s="26"/>
      <c r="P617" s="18"/>
      <c r="Q617" s="19"/>
      <c r="R617" s="23" t="str">
        <f t="shared" si="74"/>
        <v/>
      </c>
      <c r="S617" s="22" t="str">
        <f ca="1">IF(A617="","",IF(OR(P617="Pagada",R617=0),"Pagada",IF(O617&lt;TODAY(),"Vencida",IF(O617&lt;=TODAY()+Inicio!$B$19,"Próxima a vencer","Vigente"))))</f>
        <v/>
      </c>
      <c r="T617" s="18"/>
      <c r="U617" s="37" t="str">
        <f t="shared" si="75"/>
        <v/>
      </c>
      <c r="V617" s="37" t="str">
        <f t="shared" si="76"/>
        <v/>
      </c>
      <c r="W617" s="37" t="str">
        <f t="shared" si="77"/>
        <v/>
      </c>
      <c r="X617" s="37" t="str">
        <f t="shared" si="78"/>
        <v/>
      </c>
      <c r="Y617" s="37" t="str">
        <f>IF(OR($H617="",$J617=""),"",$J617*IFERROR(VLOOKUP($H617,Maestro_SKU!$A$2:$P$500,12,FALSE),1))</f>
        <v/>
      </c>
      <c r="Z617" s="37" t="str">
        <f t="shared" ca="1" si="79"/>
        <v/>
      </c>
    </row>
    <row r="618" spans="1:26" x14ac:dyDescent="0.35">
      <c r="A618" s="18"/>
      <c r="B618" s="26"/>
      <c r="C618" s="18"/>
      <c r="D618" s="18"/>
      <c r="E618" s="22" t="str">
        <f>IFERROR(VLOOKUP(D618,Clientes_PDV!$A$2:$J$250,2,FALSE),"")</f>
        <v/>
      </c>
      <c r="F618" s="22" t="str">
        <f>IFERROR(VLOOKUP(D618,Clientes_PDV!$A$2:$J$250,3,FALSE),"")</f>
        <v/>
      </c>
      <c r="G618" s="22" t="str">
        <f>IFERROR(VLOOKUP(D618,Clientes_PDV!$A$2:$J$250,4,FALSE),"")</f>
        <v/>
      </c>
      <c r="H618" s="18"/>
      <c r="I618" s="22" t="str">
        <f>IFERROR(VLOOKUP(H618,Maestro_SKU!$A$2:$P$500,2,FALSE),"")</f>
        <v/>
      </c>
      <c r="J618" s="27"/>
      <c r="K618" s="19"/>
      <c r="L618" s="23" t="str">
        <f t="shared" si="72"/>
        <v/>
      </c>
      <c r="M618" s="23" t="str">
        <f>IF(L618="","",L618*Inicio!$B$13)</f>
        <v/>
      </c>
      <c r="N618" s="23" t="str">
        <f t="shared" si="73"/>
        <v/>
      </c>
      <c r="O618" s="26"/>
      <c r="P618" s="18"/>
      <c r="Q618" s="19"/>
      <c r="R618" s="23" t="str">
        <f t="shared" si="74"/>
        <v/>
      </c>
      <c r="S618" s="22" t="str">
        <f ca="1">IF(A618="","",IF(OR(P618="Pagada",R618=0),"Pagada",IF(O618&lt;TODAY(),"Vencida",IF(O618&lt;=TODAY()+Inicio!$B$19,"Próxima a vencer","Vigente"))))</f>
        <v/>
      </c>
      <c r="T618" s="18"/>
      <c r="U618" s="37" t="str">
        <f t="shared" si="75"/>
        <v/>
      </c>
      <c r="V618" s="37" t="str">
        <f t="shared" si="76"/>
        <v/>
      </c>
      <c r="W618" s="37" t="str">
        <f t="shared" si="77"/>
        <v/>
      </c>
      <c r="X618" s="37" t="str">
        <f t="shared" si="78"/>
        <v/>
      </c>
      <c r="Y618" s="37" t="str">
        <f>IF(OR($H618="",$J618=""),"",$J618*IFERROR(VLOOKUP($H618,Maestro_SKU!$A$2:$P$500,12,FALSE),1))</f>
        <v/>
      </c>
      <c r="Z618" s="37" t="str">
        <f t="shared" ca="1" si="79"/>
        <v/>
      </c>
    </row>
    <row r="619" spans="1:26" x14ac:dyDescent="0.35">
      <c r="A619" s="18"/>
      <c r="B619" s="26"/>
      <c r="C619" s="18"/>
      <c r="D619" s="18"/>
      <c r="E619" s="22" t="str">
        <f>IFERROR(VLOOKUP(D619,Clientes_PDV!$A$2:$J$250,2,FALSE),"")</f>
        <v/>
      </c>
      <c r="F619" s="22" t="str">
        <f>IFERROR(VLOOKUP(D619,Clientes_PDV!$A$2:$J$250,3,FALSE),"")</f>
        <v/>
      </c>
      <c r="G619" s="22" t="str">
        <f>IFERROR(VLOOKUP(D619,Clientes_PDV!$A$2:$J$250,4,FALSE),"")</f>
        <v/>
      </c>
      <c r="H619" s="18"/>
      <c r="I619" s="22" t="str">
        <f>IFERROR(VLOOKUP(H619,Maestro_SKU!$A$2:$P$500,2,FALSE),"")</f>
        <v/>
      </c>
      <c r="J619" s="27"/>
      <c r="K619" s="19"/>
      <c r="L619" s="23" t="str">
        <f t="shared" si="72"/>
        <v/>
      </c>
      <c r="M619" s="23" t="str">
        <f>IF(L619="","",L619*Inicio!$B$13)</f>
        <v/>
      </c>
      <c r="N619" s="23" t="str">
        <f t="shared" si="73"/>
        <v/>
      </c>
      <c r="O619" s="26"/>
      <c r="P619" s="18"/>
      <c r="Q619" s="19"/>
      <c r="R619" s="23" t="str">
        <f t="shared" si="74"/>
        <v/>
      </c>
      <c r="S619" s="22" t="str">
        <f ca="1">IF(A619="","",IF(OR(P619="Pagada",R619=0),"Pagada",IF(O619&lt;TODAY(),"Vencida",IF(O619&lt;=TODAY()+Inicio!$B$19,"Próxima a vencer","Vigente"))))</f>
        <v/>
      </c>
      <c r="T619" s="18"/>
      <c r="U619" s="37" t="str">
        <f t="shared" si="75"/>
        <v/>
      </c>
      <c r="V619" s="37" t="str">
        <f t="shared" si="76"/>
        <v/>
      </c>
      <c r="W619" s="37" t="str">
        <f t="shared" si="77"/>
        <v/>
      </c>
      <c r="X619" s="37" t="str">
        <f t="shared" si="78"/>
        <v/>
      </c>
      <c r="Y619" s="37" t="str">
        <f>IF(OR($H619="",$J619=""),"",$J619*IFERROR(VLOOKUP($H619,Maestro_SKU!$A$2:$P$500,12,FALSE),1))</f>
        <v/>
      </c>
      <c r="Z619" s="37" t="str">
        <f t="shared" ca="1" si="79"/>
        <v/>
      </c>
    </row>
    <row r="620" spans="1:26" x14ac:dyDescent="0.35">
      <c r="A620" s="18"/>
      <c r="B620" s="26"/>
      <c r="C620" s="18"/>
      <c r="D620" s="18"/>
      <c r="E620" s="22" t="str">
        <f>IFERROR(VLOOKUP(D620,Clientes_PDV!$A$2:$J$250,2,FALSE),"")</f>
        <v/>
      </c>
      <c r="F620" s="22" t="str">
        <f>IFERROR(VLOOKUP(D620,Clientes_PDV!$A$2:$J$250,3,FALSE),"")</f>
        <v/>
      </c>
      <c r="G620" s="22" t="str">
        <f>IFERROR(VLOOKUP(D620,Clientes_PDV!$A$2:$J$250,4,FALSE),"")</f>
        <v/>
      </c>
      <c r="H620" s="18"/>
      <c r="I620" s="22" t="str">
        <f>IFERROR(VLOOKUP(H620,Maestro_SKU!$A$2:$P$500,2,FALSE),"")</f>
        <v/>
      </c>
      <c r="J620" s="27"/>
      <c r="K620" s="19"/>
      <c r="L620" s="23" t="str">
        <f t="shared" si="72"/>
        <v/>
      </c>
      <c r="M620" s="23" t="str">
        <f>IF(L620="","",L620*Inicio!$B$13)</f>
        <v/>
      </c>
      <c r="N620" s="23" t="str">
        <f t="shared" si="73"/>
        <v/>
      </c>
      <c r="O620" s="26"/>
      <c r="P620" s="18"/>
      <c r="Q620" s="19"/>
      <c r="R620" s="23" t="str">
        <f t="shared" si="74"/>
        <v/>
      </c>
      <c r="S620" s="22" t="str">
        <f ca="1">IF(A620="","",IF(OR(P620="Pagada",R620=0),"Pagada",IF(O620&lt;TODAY(),"Vencida",IF(O620&lt;=TODAY()+Inicio!$B$19,"Próxima a vencer","Vigente"))))</f>
        <v/>
      </c>
      <c r="T620" s="18"/>
      <c r="U620" s="37" t="str">
        <f t="shared" si="75"/>
        <v/>
      </c>
      <c r="V620" s="37" t="str">
        <f t="shared" si="76"/>
        <v/>
      </c>
      <c r="W620" s="37" t="str">
        <f t="shared" si="77"/>
        <v/>
      </c>
      <c r="X620" s="37" t="str">
        <f t="shared" si="78"/>
        <v/>
      </c>
      <c r="Y620" s="37" t="str">
        <f>IF(OR($H620="",$J620=""),"",$J620*IFERROR(VLOOKUP($H620,Maestro_SKU!$A$2:$P$500,12,FALSE),1))</f>
        <v/>
      </c>
      <c r="Z620" s="37" t="str">
        <f t="shared" ca="1" si="79"/>
        <v/>
      </c>
    </row>
    <row r="621" spans="1:26" x14ac:dyDescent="0.35">
      <c r="A621" s="18"/>
      <c r="B621" s="26"/>
      <c r="C621" s="18"/>
      <c r="D621" s="18"/>
      <c r="E621" s="22" t="str">
        <f>IFERROR(VLOOKUP(D621,Clientes_PDV!$A$2:$J$250,2,FALSE),"")</f>
        <v/>
      </c>
      <c r="F621" s="22" t="str">
        <f>IFERROR(VLOOKUP(D621,Clientes_PDV!$A$2:$J$250,3,FALSE),"")</f>
        <v/>
      </c>
      <c r="G621" s="22" t="str">
        <f>IFERROR(VLOOKUP(D621,Clientes_PDV!$A$2:$J$250,4,FALSE),"")</f>
        <v/>
      </c>
      <c r="H621" s="18"/>
      <c r="I621" s="22" t="str">
        <f>IFERROR(VLOOKUP(H621,Maestro_SKU!$A$2:$P$500,2,FALSE),"")</f>
        <v/>
      </c>
      <c r="J621" s="27"/>
      <c r="K621" s="19"/>
      <c r="L621" s="23" t="str">
        <f t="shared" si="72"/>
        <v/>
      </c>
      <c r="M621" s="23" t="str">
        <f>IF(L621="","",L621*Inicio!$B$13)</f>
        <v/>
      </c>
      <c r="N621" s="23" t="str">
        <f t="shared" si="73"/>
        <v/>
      </c>
      <c r="O621" s="26"/>
      <c r="P621" s="18"/>
      <c r="Q621" s="19"/>
      <c r="R621" s="23" t="str">
        <f t="shared" si="74"/>
        <v/>
      </c>
      <c r="S621" s="22" t="str">
        <f ca="1">IF(A621="","",IF(OR(P621="Pagada",R621=0),"Pagada",IF(O621&lt;TODAY(),"Vencida",IF(O621&lt;=TODAY()+Inicio!$B$19,"Próxima a vencer","Vigente"))))</f>
        <v/>
      </c>
      <c r="T621" s="18"/>
      <c r="U621" s="37" t="str">
        <f t="shared" si="75"/>
        <v/>
      </c>
      <c r="V621" s="37" t="str">
        <f t="shared" si="76"/>
        <v/>
      </c>
      <c r="W621" s="37" t="str">
        <f t="shared" si="77"/>
        <v/>
      </c>
      <c r="X621" s="37" t="str">
        <f t="shared" si="78"/>
        <v/>
      </c>
      <c r="Y621" s="37" t="str">
        <f>IF(OR($H621="",$J621=""),"",$J621*IFERROR(VLOOKUP($H621,Maestro_SKU!$A$2:$P$500,12,FALSE),1))</f>
        <v/>
      </c>
      <c r="Z621" s="37" t="str">
        <f t="shared" ca="1" si="79"/>
        <v/>
      </c>
    </row>
    <row r="622" spans="1:26" x14ac:dyDescent="0.35">
      <c r="A622" s="18"/>
      <c r="B622" s="26"/>
      <c r="C622" s="18"/>
      <c r="D622" s="18"/>
      <c r="E622" s="22" t="str">
        <f>IFERROR(VLOOKUP(D622,Clientes_PDV!$A$2:$J$250,2,FALSE),"")</f>
        <v/>
      </c>
      <c r="F622" s="22" t="str">
        <f>IFERROR(VLOOKUP(D622,Clientes_PDV!$A$2:$J$250,3,FALSE),"")</f>
        <v/>
      </c>
      <c r="G622" s="22" t="str">
        <f>IFERROR(VLOOKUP(D622,Clientes_PDV!$A$2:$J$250,4,FALSE),"")</f>
        <v/>
      </c>
      <c r="H622" s="18"/>
      <c r="I622" s="22" t="str">
        <f>IFERROR(VLOOKUP(H622,Maestro_SKU!$A$2:$P$500,2,FALSE),"")</f>
        <v/>
      </c>
      <c r="J622" s="27"/>
      <c r="K622" s="19"/>
      <c r="L622" s="23" t="str">
        <f t="shared" si="72"/>
        <v/>
      </c>
      <c r="M622" s="23" t="str">
        <f>IF(L622="","",L622*Inicio!$B$13)</f>
        <v/>
      </c>
      <c r="N622" s="23" t="str">
        <f t="shared" si="73"/>
        <v/>
      </c>
      <c r="O622" s="26"/>
      <c r="P622" s="18"/>
      <c r="Q622" s="19"/>
      <c r="R622" s="23" t="str">
        <f t="shared" si="74"/>
        <v/>
      </c>
      <c r="S622" s="22" t="str">
        <f ca="1">IF(A622="","",IF(OR(P622="Pagada",R622=0),"Pagada",IF(O622&lt;TODAY(),"Vencida",IF(O622&lt;=TODAY()+Inicio!$B$19,"Próxima a vencer","Vigente"))))</f>
        <v/>
      </c>
      <c r="T622" s="18"/>
      <c r="U622" s="37" t="str">
        <f t="shared" si="75"/>
        <v/>
      </c>
      <c r="V622" s="37" t="str">
        <f t="shared" si="76"/>
        <v/>
      </c>
      <c r="W622" s="37" t="str">
        <f t="shared" si="77"/>
        <v/>
      </c>
      <c r="X622" s="37" t="str">
        <f t="shared" si="78"/>
        <v/>
      </c>
      <c r="Y622" s="37" t="str">
        <f>IF(OR($H622="",$J622=""),"",$J622*IFERROR(VLOOKUP($H622,Maestro_SKU!$A$2:$P$500,12,FALSE),1))</f>
        <v/>
      </c>
      <c r="Z622" s="37" t="str">
        <f t="shared" ca="1" si="79"/>
        <v/>
      </c>
    </row>
    <row r="623" spans="1:26" x14ac:dyDescent="0.35">
      <c r="A623" s="18"/>
      <c r="B623" s="26"/>
      <c r="C623" s="18"/>
      <c r="D623" s="18"/>
      <c r="E623" s="22" t="str">
        <f>IFERROR(VLOOKUP(D623,Clientes_PDV!$A$2:$J$250,2,FALSE),"")</f>
        <v/>
      </c>
      <c r="F623" s="22" t="str">
        <f>IFERROR(VLOOKUP(D623,Clientes_PDV!$A$2:$J$250,3,FALSE),"")</f>
        <v/>
      </c>
      <c r="G623" s="22" t="str">
        <f>IFERROR(VLOOKUP(D623,Clientes_PDV!$A$2:$J$250,4,FALSE),"")</f>
        <v/>
      </c>
      <c r="H623" s="18"/>
      <c r="I623" s="22" t="str">
        <f>IFERROR(VLOOKUP(H623,Maestro_SKU!$A$2:$P$500,2,FALSE),"")</f>
        <v/>
      </c>
      <c r="J623" s="27"/>
      <c r="K623" s="19"/>
      <c r="L623" s="23" t="str">
        <f t="shared" si="72"/>
        <v/>
      </c>
      <c r="M623" s="23" t="str">
        <f>IF(L623="","",L623*Inicio!$B$13)</f>
        <v/>
      </c>
      <c r="N623" s="23" t="str">
        <f t="shared" si="73"/>
        <v/>
      </c>
      <c r="O623" s="26"/>
      <c r="P623" s="18"/>
      <c r="Q623" s="19"/>
      <c r="R623" s="23" t="str">
        <f t="shared" si="74"/>
        <v/>
      </c>
      <c r="S623" s="22" t="str">
        <f ca="1">IF(A623="","",IF(OR(P623="Pagada",R623=0),"Pagada",IF(O623&lt;TODAY(),"Vencida",IF(O623&lt;=TODAY()+Inicio!$B$19,"Próxima a vencer","Vigente"))))</f>
        <v/>
      </c>
      <c r="T623" s="18"/>
      <c r="U623" s="37" t="str">
        <f t="shared" si="75"/>
        <v/>
      </c>
      <c r="V623" s="37" t="str">
        <f t="shared" si="76"/>
        <v/>
      </c>
      <c r="W623" s="37" t="str">
        <f t="shared" si="77"/>
        <v/>
      </c>
      <c r="X623" s="37" t="str">
        <f t="shared" si="78"/>
        <v/>
      </c>
      <c r="Y623" s="37" t="str">
        <f>IF(OR($H623="",$J623=""),"",$J623*IFERROR(VLOOKUP($H623,Maestro_SKU!$A$2:$P$500,12,FALSE),1))</f>
        <v/>
      </c>
      <c r="Z623" s="37" t="str">
        <f t="shared" ca="1" si="79"/>
        <v/>
      </c>
    </row>
    <row r="624" spans="1:26" x14ac:dyDescent="0.35">
      <c r="A624" s="18"/>
      <c r="B624" s="26"/>
      <c r="C624" s="18"/>
      <c r="D624" s="18"/>
      <c r="E624" s="22" t="str">
        <f>IFERROR(VLOOKUP(D624,Clientes_PDV!$A$2:$J$250,2,FALSE),"")</f>
        <v/>
      </c>
      <c r="F624" s="22" t="str">
        <f>IFERROR(VLOOKUP(D624,Clientes_PDV!$A$2:$J$250,3,FALSE),"")</f>
        <v/>
      </c>
      <c r="G624" s="22" t="str">
        <f>IFERROR(VLOOKUP(D624,Clientes_PDV!$A$2:$J$250,4,FALSE),"")</f>
        <v/>
      </c>
      <c r="H624" s="18"/>
      <c r="I624" s="22" t="str">
        <f>IFERROR(VLOOKUP(H624,Maestro_SKU!$A$2:$P$500,2,FALSE),"")</f>
        <v/>
      </c>
      <c r="J624" s="27"/>
      <c r="K624" s="19"/>
      <c r="L624" s="23" t="str">
        <f t="shared" si="72"/>
        <v/>
      </c>
      <c r="M624" s="23" t="str">
        <f>IF(L624="","",L624*Inicio!$B$13)</f>
        <v/>
      </c>
      <c r="N624" s="23" t="str">
        <f t="shared" si="73"/>
        <v/>
      </c>
      <c r="O624" s="26"/>
      <c r="P624" s="18"/>
      <c r="Q624" s="19"/>
      <c r="R624" s="23" t="str">
        <f t="shared" si="74"/>
        <v/>
      </c>
      <c r="S624" s="22" t="str">
        <f ca="1">IF(A624="","",IF(OR(P624="Pagada",R624=0),"Pagada",IF(O624&lt;TODAY(),"Vencida",IF(O624&lt;=TODAY()+Inicio!$B$19,"Próxima a vencer","Vigente"))))</f>
        <v/>
      </c>
      <c r="T624" s="18"/>
      <c r="U624" s="37" t="str">
        <f t="shared" si="75"/>
        <v/>
      </c>
      <c r="V624" s="37" t="str">
        <f t="shared" si="76"/>
        <v/>
      </c>
      <c r="W624" s="37" t="str">
        <f t="shared" si="77"/>
        <v/>
      </c>
      <c r="X624" s="37" t="str">
        <f t="shared" si="78"/>
        <v/>
      </c>
      <c r="Y624" s="37" t="str">
        <f>IF(OR($H624="",$J624=""),"",$J624*IFERROR(VLOOKUP($H624,Maestro_SKU!$A$2:$P$500,12,FALSE),1))</f>
        <v/>
      </c>
      <c r="Z624" s="37" t="str">
        <f t="shared" ca="1" si="79"/>
        <v/>
      </c>
    </row>
    <row r="625" spans="1:26" x14ac:dyDescent="0.35">
      <c r="A625" s="18"/>
      <c r="B625" s="26"/>
      <c r="C625" s="18"/>
      <c r="D625" s="18"/>
      <c r="E625" s="22" t="str">
        <f>IFERROR(VLOOKUP(D625,Clientes_PDV!$A$2:$J$250,2,FALSE),"")</f>
        <v/>
      </c>
      <c r="F625" s="22" t="str">
        <f>IFERROR(VLOOKUP(D625,Clientes_PDV!$A$2:$J$250,3,FALSE),"")</f>
        <v/>
      </c>
      <c r="G625" s="22" t="str">
        <f>IFERROR(VLOOKUP(D625,Clientes_PDV!$A$2:$J$250,4,FALSE),"")</f>
        <v/>
      </c>
      <c r="H625" s="18"/>
      <c r="I625" s="22" t="str">
        <f>IFERROR(VLOOKUP(H625,Maestro_SKU!$A$2:$P$500,2,FALSE),"")</f>
        <v/>
      </c>
      <c r="J625" s="27"/>
      <c r="K625" s="19"/>
      <c r="L625" s="23" t="str">
        <f t="shared" si="72"/>
        <v/>
      </c>
      <c r="M625" s="23" t="str">
        <f>IF(L625="","",L625*Inicio!$B$13)</f>
        <v/>
      </c>
      <c r="N625" s="23" t="str">
        <f t="shared" si="73"/>
        <v/>
      </c>
      <c r="O625" s="26"/>
      <c r="P625" s="18"/>
      <c r="Q625" s="19"/>
      <c r="R625" s="23" t="str">
        <f t="shared" si="74"/>
        <v/>
      </c>
      <c r="S625" s="22" t="str">
        <f ca="1">IF(A625="","",IF(OR(P625="Pagada",R625=0),"Pagada",IF(O625&lt;TODAY(),"Vencida",IF(O625&lt;=TODAY()+Inicio!$B$19,"Próxima a vencer","Vigente"))))</f>
        <v/>
      </c>
      <c r="T625" s="18"/>
      <c r="U625" s="37" t="str">
        <f t="shared" si="75"/>
        <v/>
      </c>
      <c r="V625" s="37" t="str">
        <f t="shared" si="76"/>
        <v/>
      </c>
      <c r="W625" s="37" t="str">
        <f t="shared" si="77"/>
        <v/>
      </c>
      <c r="X625" s="37" t="str">
        <f t="shared" si="78"/>
        <v/>
      </c>
      <c r="Y625" s="37" t="str">
        <f>IF(OR($H625="",$J625=""),"",$J625*IFERROR(VLOOKUP($H625,Maestro_SKU!$A$2:$P$500,12,FALSE),1))</f>
        <v/>
      </c>
      <c r="Z625" s="37" t="str">
        <f t="shared" ca="1" si="79"/>
        <v/>
      </c>
    </row>
    <row r="626" spans="1:26" x14ac:dyDescent="0.35">
      <c r="A626" s="18"/>
      <c r="B626" s="26"/>
      <c r="C626" s="18"/>
      <c r="D626" s="18"/>
      <c r="E626" s="22" t="str">
        <f>IFERROR(VLOOKUP(D626,Clientes_PDV!$A$2:$J$250,2,FALSE),"")</f>
        <v/>
      </c>
      <c r="F626" s="22" t="str">
        <f>IFERROR(VLOOKUP(D626,Clientes_PDV!$A$2:$J$250,3,FALSE),"")</f>
        <v/>
      </c>
      <c r="G626" s="22" t="str">
        <f>IFERROR(VLOOKUP(D626,Clientes_PDV!$A$2:$J$250,4,FALSE),"")</f>
        <v/>
      </c>
      <c r="H626" s="18"/>
      <c r="I626" s="22" t="str">
        <f>IFERROR(VLOOKUP(H626,Maestro_SKU!$A$2:$P$500,2,FALSE),"")</f>
        <v/>
      </c>
      <c r="J626" s="27"/>
      <c r="K626" s="19"/>
      <c r="L626" s="23" t="str">
        <f t="shared" si="72"/>
        <v/>
      </c>
      <c r="M626" s="23" t="str">
        <f>IF(L626="","",L626*Inicio!$B$13)</f>
        <v/>
      </c>
      <c r="N626" s="23" t="str">
        <f t="shared" si="73"/>
        <v/>
      </c>
      <c r="O626" s="26"/>
      <c r="P626" s="18"/>
      <c r="Q626" s="19"/>
      <c r="R626" s="23" t="str">
        <f t="shared" si="74"/>
        <v/>
      </c>
      <c r="S626" s="22" t="str">
        <f ca="1">IF(A626="","",IF(OR(P626="Pagada",R626=0),"Pagada",IF(O626&lt;TODAY(),"Vencida",IF(O626&lt;=TODAY()+Inicio!$B$19,"Próxima a vencer","Vigente"))))</f>
        <v/>
      </c>
      <c r="T626" s="18"/>
      <c r="U626" s="37" t="str">
        <f t="shared" si="75"/>
        <v/>
      </c>
      <c r="V626" s="37" t="str">
        <f t="shared" si="76"/>
        <v/>
      </c>
      <c r="W626" s="37" t="str">
        <f t="shared" si="77"/>
        <v/>
      </c>
      <c r="X626" s="37" t="str">
        <f t="shared" si="78"/>
        <v/>
      </c>
      <c r="Y626" s="37" t="str">
        <f>IF(OR($H626="",$J626=""),"",$J626*IFERROR(VLOOKUP($H626,Maestro_SKU!$A$2:$P$500,12,FALSE),1))</f>
        <v/>
      </c>
      <c r="Z626" s="37" t="str">
        <f t="shared" ca="1" si="79"/>
        <v/>
      </c>
    </row>
    <row r="627" spans="1:26" x14ac:dyDescent="0.35">
      <c r="A627" s="18"/>
      <c r="B627" s="26"/>
      <c r="C627" s="18"/>
      <c r="D627" s="18"/>
      <c r="E627" s="22" t="str">
        <f>IFERROR(VLOOKUP(D627,Clientes_PDV!$A$2:$J$250,2,FALSE),"")</f>
        <v/>
      </c>
      <c r="F627" s="22" t="str">
        <f>IFERROR(VLOOKUP(D627,Clientes_PDV!$A$2:$J$250,3,FALSE),"")</f>
        <v/>
      </c>
      <c r="G627" s="22" t="str">
        <f>IFERROR(VLOOKUP(D627,Clientes_PDV!$A$2:$J$250,4,FALSE),"")</f>
        <v/>
      </c>
      <c r="H627" s="18"/>
      <c r="I627" s="22" t="str">
        <f>IFERROR(VLOOKUP(H627,Maestro_SKU!$A$2:$P$500,2,FALSE),"")</f>
        <v/>
      </c>
      <c r="J627" s="27"/>
      <c r="K627" s="19"/>
      <c r="L627" s="23" t="str">
        <f t="shared" si="72"/>
        <v/>
      </c>
      <c r="M627" s="23" t="str">
        <f>IF(L627="","",L627*Inicio!$B$13)</f>
        <v/>
      </c>
      <c r="N627" s="23" t="str">
        <f t="shared" si="73"/>
        <v/>
      </c>
      <c r="O627" s="26"/>
      <c r="P627" s="18"/>
      <c r="Q627" s="19"/>
      <c r="R627" s="23" t="str">
        <f t="shared" si="74"/>
        <v/>
      </c>
      <c r="S627" s="22" t="str">
        <f ca="1">IF(A627="","",IF(OR(P627="Pagada",R627=0),"Pagada",IF(O627&lt;TODAY(),"Vencida",IF(O627&lt;=TODAY()+Inicio!$B$19,"Próxima a vencer","Vigente"))))</f>
        <v/>
      </c>
      <c r="T627" s="18"/>
      <c r="U627" s="37" t="str">
        <f t="shared" si="75"/>
        <v/>
      </c>
      <c r="V627" s="37" t="str">
        <f t="shared" si="76"/>
        <v/>
      </c>
      <c r="W627" s="37" t="str">
        <f t="shared" si="77"/>
        <v/>
      </c>
      <c r="X627" s="37" t="str">
        <f t="shared" si="78"/>
        <v/>
      </c>
      <c r="Y627" s="37" t="str">
        <f>IF(OR($H627="",$J627=""),"",$J627*IFERROR(VLOOKUP($H627,Maestro_SKU!$A$2:$P$500,12,FALSE),1))</f>
        <v/>
      </c>
      <c r="Z627" s="37" t="str">
        <f t="shared" ca="1" si="79"/>
        <v/>
      </c>
    </row>
    <row r="628" spans="1:26" x14ac:dyDescent="0.35">
      <c r="A628" s="18"/>
      <c r="B628" s="26"/>
      <c r="C628" s="18"/>
      <c r="D628" s="18"/>
      <c r="E628" s="22" t="str">
        <f>IFERROR(VLOOKUP(D628,Clientes_PDV!$A$2:$J$250,2,FALSE),"")</f>
        <v/>
      </c>
      <c r="F628" s="22" t="str">
        <f>IFERROR(VLOOKUP(D628,Clientes_PDV!$A$2:$J$250,3,FALSE),"")</f>
        <v/>
      </c>
      <c r="G628" s="22" t="str">
        <f>IFERROR(VLOOKUP(D628,Clientes_PDV!$A$2:$J$250,4,FALSE),"")</f>
        <v/>
      </c>
      <c r="H628" s="18"/>
      <c r="I628" s="22" t="str">
        <f>IFERROR(VLOOKUP(H628,Maestro_SKU!$A$2:$P$500,2,FALSE),"")</f>
        <v/>
      </c>
      <c r="J628" s="27"/>
      <c r="K628" s="19"/>
      <c r="L628" s="23" t="str">
        <f t="shared" si="72"/>
        <v/>
      </c>
      <c r="M628" s="23" t="str">
        <f>IF(L628="","",L628*Inicio!$B$13)</f>
        <v/>
      </c>
      <c r="N628" s="23" t="str">
        <f t="shared" si="73"/>
        <v/>
      </c>
      <c r="O628" s="26"/>
      <c r="P628" s="18"/>
      <c r="Q628" s="19"/>
      <c r="R628" s="23" t="str">
        <f t="shared" si="74"/>
        <v/>
      </c>
      <c r="S628" s="22" t="str">
        <f ca="1">IF(A628="","",IF(OR(P628="Pagada",R628=0),"Pagada",IF(O628&lt;TODAY(),"Vencida",IF(O628&lt;=TODAY()+Inicio!$B$19,"Próxima a vencer","Vigente"))))</f>
        <v/>
      </c>
      <c r="T628" s="18"/>
      <c r="U628" s="37" t="str">
        <f t="shared" si="75"/>
        <v/>
      </c>
      <c r="V628" s="37" t="str">
        <f t="shared" si="76"/>
        <v/>
      </c>
      <c r="W628" s="37" t="str">
        <f t="shared" si="77"/>
        <v/>
      </c>
      <c r="X628" s="37" t="str">
        <f t="shared" si="78"/>
        <v/>
      </c>
      <c r="Y628" s="37" t="str">
        <f>IF(OR($H628="",$J628=""),"",$J628*IFERROR(VLOOKUP($H628,Maestro_SKU!$A$2:$P$500,12,FALSE),1))</f>
        <v/>
      </c>
      <c r="Z628" s="37" t="str">
        <f t="shared" ca="1" si="79"/>
        <v/>
      </c>
    </row>
    <row r="629" spans="1:26" x14ac:dyDescent="0.35">
      <c r="A629" s="18"/>
      <c r="B629" s="26"/>
      <c r="C629" s="18"/>
      <c r="D629" s="18"/>
      <c r="E629" s="22" t="str">
        <f>IFERROR(VLOOKUP(D629,Clientes_PDV!$A$2:$J$250,2,FALSE),"")</f>
        <v/>
      </c>
      <c r="F629" s="22" t="str">
        <f>IFERROR(VLOOKUP(D629,Clientes_PDV!$A$2:$J$250,3,FALSE),"")</f>
        <v/>
      </c>
      <c r="G629" s="22" t="str">
        <f>IFERROR(VLOOKUP(D629,Clientes_PDV!$A$2:$J$250,4,FALSE),"")</f>
        <v/>
      </c>
      <c r="H629" s="18"/>
      <c r="I629" s="22" t="str">
        <f>IFERROR(VLOOKUP(H629,Maestro_SKU!$A$2:$P$500,2,FALSE),"")</f>
        <v/>
      </c>
      <c r="J629" s="27"/>
      <c r="K629" s="19"/>
      <c r="L629" s="23" t="str">
        <f t="shared" si="72"/>
        <v/>
      </c>
      <c r="M629" s="23" t="str">
        <f>IF(L629="","",L629*Inicio!$B$13)</f>
        <v/>
      </c>
      <c r="N629" s="23" t="str">
        <f t="shared" si="73"/>
        <v/>
      </c>
      <c r="O629" s="26"/>
      <c r="P629" s="18"/>
      <c r="Q629" s="19"/>
      <c r="R629" s="23" t="str">
        <f t="shared" si="74"/>
        <v/>
      </c>
      <c r="S629" s="22" t="str">
        <f ca="1">IF(A629="","",IF(OR(P629="Pagada",R629=0),"Pagada",IF(O629&lt;TODAY(),"Vencida",IF(O629&lt;=TODAY()+Inicio!$B$19,"Próxima a vencer","Vigente"))))</f>
        <v/>
      </c>
      <c r="T629" s="18"/>
      <c r="U629" s="37" t="str">
        <f t="shared" si="75"/>
        <v/>
      </c>
      <c r="V629" s="37" t="str">
        <f t="shared" si="76"/>
        <v/>
      </c>
      <c r="W629" s="37" t="str">
        <f t="shared" si="77"/>
        <v/>
      </c>
      <c r="X629" s="37" t="str">
        <f t="shared" si="78"/>
        <v/>
      </c>
      <c r="Y629" s="37" t="str">
        <f>IF(OR($H629="",$J629=""),"",$J629*IFERROR(VLOOKUP($H629,Maestro_SKU!$A$2:$P$500,12,FALSE),1))</f>
        <v/>
      </c>
      <c r="Z629" s="37" t="str">
        <f t="shared" ca="1" si="79"/>
        <v/>
      </c>
    </row>
    <row r="630" spans="1:26" x14ac:dyDescent="0.35">
      <c r="A630" s="18"/>
      <c r="B630" s="26"/>
      <c r="C630" s="18"/>
      <c r="D630" s="18"/>
      <c r="E630" s="22" t="str">
        <f>IFERROR(VLOOKUP(D630,Clientes_PDV!$A$2:$J$250,2,FALSE),"")</f>
        <v/>
      </c>
      <c r="F630" s="22" t="str">
        <f>IFERROR(VLOOKUP(D630,Clientes_PDV!$A$2:$J$250,3,FALSE),"")</f>
        <v/>
      </c>
      <c r="G630" s="22" t="str">
        <f>IFERROR(VLOOKUP(D630,Clientes_PDV!$A$2:$J$250,4,FALSE),"")</f>
        <v/>
      </c>
      <c r="H630" s="18"/>
      <c r="I630" s="22" t="str">
        <f>IFERROR(VLOOKUP(H630,Maestro_SKU!$A$2:$P$500,2,FALSE),"")</f>
        <v/>
      </c>
      <c r="J630" s="27"/>
      <c r="K630" s="19"/>
      <c r="L630" s="23" t="str">
        <f t="shared" si="72"/>
        <v/>
      </c>
      <c r="M630" s="23" t="str">
        <f>IF(L630="","",L630*Inicio!$B$13)</f>
        <v/>
      </c>
      <c r="N630" s="23" t="str">
        <f t="shared" si="73"/>
        <v/>
      </c>
      <c r="O630" s="26"/>
      <c r="P630" s="18"/>
      <c r="Q630" s="19"/>
      <c r="R630" s="23" t="str">
        <f t="shared" si="74"/>
        <v/>
      </c>
      <c r="S630" s="22" t="str">
        <f ca="1">IF(A630="","",IF(OR(P630="Pagada",R630=0),"Pagada",IF(O630&lt;TODAY(),"Vencida",IF(O630&lt;=TODAY()+Inicio!$B$19,"Próxima a vencer","Vigente"))))</f>
        <v/>
      </c>
      <c r="T630" s="18"/>
      <c r="U630" s="37" t="str">
        <f t="shared" si="75"/>
        <v/>
      </c>
      <c r="V630" s="37" t="str">
        <f t="shared" si="76"/>
        <v/>
      </c>
      <c r="W630" s="37" t="str">
        <f t="shared" si="77"/>
        <v/>
      </c>
      <c r="X630" s="37" t="str">
        <f t="shared" si="78"/>
        <v/>
      </c>
      <c r="Y630" s="37" t="str">
        <f>IF(OR($H630="",$J630=""),"",$J630*IFERROR(VLOOKUP($H630,Maestro_SKU!$A$2:$P$500,12,FALSE),1))</f>
        <v/>
      </c>
      <c r="Z630" s="37" t="str">
        <f t="shared" ca="1" si="79"/>
        <v/>
      </c>
    </row>
    <row r="631" spans="1:26" x14ac:dyDescent="0.35">
      <c r="A631" s="18"/>
      <c r="B631" s="26"/>
      <c r="C631" s="18"/>
      <c r="D631" s="18"/>
      <c r="E631" s="22" t="str">
        <f>IFERROR(VLOOKUP(D631,Clientes_PDV!$A$2:$J$250,2,FALSE),"")</f>
        <v/>
      </c>
      <c r="F631" s="22" t="str">
        <f>IFERROR(VLOOKUP(D631,Clientes_PDV!$A$2:$J$250,3,FALSE),"")</f>
        <v/>
      </c>
      <c r="G631" s="22" t="str">
        <f>IFERROR(VLOOKUP(D631,Clientes_PDV!$A$2:$J$250,4,FALSE),"")</f>
        <v/>
      </c>
      <c r="H631" s="18"/>
      <c r="I631" s="22" t="str">
        <f>IFERROR(VLOOKUP(H631,Maestro_SKU!$A$2:$P$500,2,FALSE),"")</f>
        <v/>
      </c>
      <c r="J631" s="27"/>
      <c r="K631" s="19"/>
      <c r="L631" s="23" t="str">
        <f t="shared" si="72"/>
        <v/>
      </c>
      <c r="M631" s="23" t="str">
        <f>IF(L631="","",L631*Inicio!$B$13)</f>
        <v/>
      </c>
      <c r="N631" s="23" t="str">
        <f t="shared" si="73"/>
        <v/>
      </c>
      <c r="O631" s="26"/>
      <c r="P631" s="18"/>
      <c r="Q631" s="19"/>
      <c r="R631" s="23" t="str">
        <f t="shared" si="74"/>
        <v/>
      </c>
      <c r="S631" s="22" t="str">
        <f ca="1">IF(A631="","",IF(OR(P631="Pagada",R631=0),"Pagada",IF(O631&lt;TODAY(),"Vencida",IF(O631&lt;=TODAY()+Inicio!$B$19,"Próxima a vencer","Vigente"))))</f>
        <v/>
      </c>
      <c r="T631" s="18"/>
      <c r="U631" s="37" t="str">
        <f t="shared" si="75"/>
        <v/>
      </c>
      <c r="V631" s="37" t="str">
        <f t="shared" si="76"/>
        <v/>
      </c>
      <c r="W631" s="37" t="str">
        <f t="shared" si="77"/>
        <v/>
      </c>
      <c r="X631" s="37" t="str">
        <f t="shared" si="78"/>
        <v/>
      </c>
      <c r="Y631" s="37" t="str">
        <f>IF(OR($H631="",$J631=""),"",$J631*IFERROR(VLOOKUP($H631,Maestro_SKU!$A$2:$P$500,12,FALSE),1))</f>
        <v/>
      </c>
      <c r="Z631" s="37" t="str">
        <f t="shared" ca="1" si="79"/>
        <v/>
      </c>
    </row>
    <row r="632" spans="1:26" x14ac:dyDescent="0.35">
      <c r="A632" s="18"/>
      <c r="B632" s="26"/>
      <c r="C632" s="18"/>
      <c r="D632" s="18"/>
      <c r="E632" s="22" t="str">
        <f>IFERROR(VLOOKUP(D632,Clientes_PDV!$A$2:$J$250,2,FALSE),"")</f>
        <v/>
      </c>
      <c r="F632" s="22" t="str">
        <f>IFERROR(VLOOKUP(D632,Clientes_PDV!$A$2:$J$250,3,FALSE),"")</f>
        <v/>
      </c>
      <c r="G632" s="22" t="str">
        <f>IFERROR(VLOOKUP(D632,Clientes_PDV!$A$2:$J$250,4,FALSE),"")</f>
        <v/>
      </c>
      <c r="H632" s="18"/>
      <c r="I632" s="22" t="str">
        <f>IFERROR(VLOOKUP(H632,Maestro_SKU!$A$2:$P$500,2,FALSE),"")</f>
        <v/>
      </c>
      <c r="J632" s="27"/>
      <c r="K632" s="19"/>
      <c r="L632" s="23" t="str">
        <f t="shared" si="72"/>
        <v/>
      </c>
      <c r="M632" s="23" t="str">
        <f>IF(L632="","",L632*Inicio!$B$13)</f>
        <v/>
      </c>
      <c r="N632" s="23" t="str">
        <f t="shared" si="73"/>
        <v/>
      </c>
      <c r="O632" s="26"/>
      <c r="P632" s="18"/>
      <c r="Q632" s="19"/>
      <c r="R632" s="23" t="str">
        <f t="shared" si="74"/>
        <v/>
      </c>
      <c r="S632" s="22" t="str">
        <f ca="1">IF(A632="","",IF(OR(P632="Pagada",R632=0),"Pagada",IF(O632&lt;TODAY(),"Vencida",IF(O632&lt;=TODAY()+Inicio!$B$19,"Próxima a vencer","Vigente"))))</f>
        <v/>
      </c>
      <c r="T632" s="18"/>
      <c r="U632" s="37" t="str">
        <f t="shared" si="75"/>
        <v/>
      </c>
      <c r="V632" s="37" t="str">
        <f t="shared" si="76"/>
        <v/>
      </c>
      <c r="W632" s="37" t="str">
        <f t="shared" si="77"/>
        <v/>
      </c>
      <c r="X632" s="37" t="str">
        <f t="shared" si="78"/>
        <v/>
      </c>
      <c r="Y632" s="37" t="str">
        <f>IF(OR($H632="",$J632=""),"",$J632*IFERROR(VLOOKUP($H632,Maestro_SKU!$A$2:$P$500,12,FALSE),1))</f>
        <v/>
      </c>
      <c r="Z632" s="37" t="str">
        <f t="shared" ca="1" si="79"/>
        <v/>
      </c>
    </row>
    <row r="633" spans="1:26" x14ac:dyDescent="0.35">
      <c r="A633" s="18"/>
      <c r="B633" s="26"/>
      <c r="C633" s="18"/>
      <c r="D633" s="18"/>
      <c r="E633" s="22" t="str">
        <f>IFERROR(VLOOKUP(D633,Clientes_PDV!$A$2:$J$250,2,FALSE),"")</f>
        <v/>
      </c>
      <c r="F633" s="22" t="str">
        <f>IFERROR(VLOOKUP(D633,Clientes_PDV!$A$2:$J$250,3,FALSE),"")</f>
        <v/>
      </c>
      <c r="G633" s="22" t="str">
        <f>IFERROR(VLOOKUP(D633,Clientes_PDV!$A$2:$J$250,4,FALSE),"")</f>
        <v/>
      </c>
      <c r="H633" s="18"/>
      <c r="I633" s="22" t="str">
        <f>IFERROR(VLOOKUP(H633,Maestro_SKU!$A$2:$P$500,2,FALSE),"")</f>
        <v/>
      </c>
      <c r="J633" s="27"/>
      <c r="K633" s="19"/>
      <c r="L633" s="23" t="str">
        <f t="shared" si="72"/>
        <v/>
      </c>
      <c r="M633" s="23" t="str">
        <f>IF(L633="","",L633*Inicio!$B$13)</f>
        <v/>
      </c>
      <c r="N633" s="23" t="str">
        <f t="shared" si="73"/>
        <v/>
      </c>
      <c r="O633" s="26"/>
      <c r="P633" s="18"/>
      <c r="Q633" s="19"/>
      <c r="R633" s="23" t="str">
        <f t="shared" si="74"/>
        <v/>
      </c>
      <c r="S633" s="22" t="str">
        <f ca="1">IF(A633="","",IF(OR(P633="Pagada",R633=0),"Pagada",IF(O633&lt;TODAY(),"Vencida",IF(O633&lt;=TODAY()+Inicio!$B$19,"Próxima a vencer","Vigente"))))</f>
        <v/>
      </c>
      <c r="T633" s="18"/>
      <c r="U633" s="37" t="str">
        <f t="shared" si="75"/>
        <v/>
      </c>
      <c r="V633" s="37" t="str">
        <f t="shared" si="76"/>
        <v/>
      </c>
      <c r="W633" s="37" t="str">
        <f t="shared" si="77"/>
        <v/>
      </c>
      <c r="X633" s="37" t="str">
        <f t="shared" si="78"/>
        <v/>
      </c>
      <c r="Y633" s="37" t="str">
        <f>IF(OR($H633="",$J633=""),"",$J633*IFERROR(VLOOKUP($H633,Maestro_SKU!$A$2:$P$500,12,FALSE),1))</f>
        <v/>
      </c>
      <c r="Z633" s="37" t="str">
        <f t="shared" ca="1" si="79"/>
        <v/>
      </c>
    </row>
    <row r="634" spans="1:26" x14ac:dyDescent="0.35">
      <c r="A634" s="18"/>
      <c r="B634" s="26"/>
      <c r="C634" s="18"/>
      <c r="D634" s="18"/>
      <c r="E634" s="22" t="str">
        <f>IFERROR(VLOOKUP(D634,Clientes_PDV!$A$2:$J$250,2,FALSE),"")</f>
        <v/>
      </c>
      <c r="F634" s="22" t="str">
        <f>IFERROR(VLOOKUP(D634,Clientes_PDV!$A$2:$J$250,3,FALSE),"")</f>
        <v/>
      </c>
      <c r="G634" s="22" t="str">
        <f>IFERROR(VLOOKUP(D634,Clientes_PDV!$A$2:$J$250,4,FALSE),"")</f>
        <v/>
      </c>
      <c r="H634" s="18"/>
      <c r="I634" s="22" t="str">
        <f>IFERROR(VLOOKUP(H634,Maestro_SKU!$A$2:$P$500,2,FALSE),"")</f>
        <v/>
      </c>
      <c r="J634" s="27"/>
      <c r="K634" s="19"/>
      <c r="L634" s="23" t="str">
        <f t="shared" si="72"/>
        <v/>
      </c>
      <c r="M634" s="23" t="str">
        <f>IF(L634="","",L634*Inicio!$B$13)</f>
        <v/>
      </c>
      <c r="N634" s="23" t="str">
        <f t="shared" si="73"/>
        <v/>
      </c>
      <c r="O634" s="26"/>
      <c r="P634" s="18"/>
      <c r="Q634" s="19"/>
      <c r="R634" s="23" t="str">
        <f t="shared" si="74"/>
        <v/>
      </c>
      <c r="S634" s="22" t="str">
        <f ca="1">IF(A634="","",IF(OR(P634="Pagada",R634=0),"Pagada",IF(O634&lt;TODAY(),"Vencida",IF(O634&lt;=TODAY()+Inicio!$B$19,"Próxima a vencer","Vigente"))))</f>
        <v/>
      </c>
      <c r="T634" s="18"/>
      <c r="U634" s="37" t="str">
        <f t="shared" si="75"/>
        <v/>
      </c>
      <c r="V634" s="37" t="str">
        <f t="shared" si="76"/>
        <v/>
      </c>
      <c r="W634" s="37" t="str">
        <f t="shared" si="77"/>
        <v/>
      </c>
      <c r="X634" s="37" t="str">
        <f t="shared" si="78"/>
        <v/>
      </c>
      <c r="Y634" s="37" t="str">
        <f>IF(OR($H634="",$J634=""),"",$J634*IFERROR(VLOOKUP($H634,Maestro_SKU!$A$2:$P$500,12,FALSE),1))</f>
        <v/>
      </c>
      <c r="Z634" s="37" t="str">
        <f t="shared" ca="1" si="79"/>
        <v/>
      </c>
    </row>
    <row r="635" spans="1:26" x14ac:dyDescent="0.35">
      <c r="A635" s="18"/>
      <c r="B635" s="26"/>
      <c r="C635" s="18"/>
      <c r="D635" s="18"/>
      <c r="E635" s="22" t="str">
        <f>IFERROR(VLOOKUP(D635,Clientes_PDV!$A$2:$J$250,2,FALSE),"")</f>
        <v/>
      </c>
      <c r="F635" s="22" t="str">
        <f>IFERROR(VLOOKUP(D635,Clientes_PDV!$A$2:$J$250,3,FALSE),"")</f>
        <v/>
      </c>
      <c r="G635" s="22" t="str">
        <f>IFERROR(VLOOKUP(D635,Clientes_PDV!$A$2:$J$250,4,FALSE),"")</f>
        <v/>
      </c>
      <c r="H635" s="18"/>
      <c r="I635" s="22" t="str">
        <f>IFERROR(VLOOKUP(H635,Maestro_SKU!$A$2:$P$500,2,FALSE),"")</f>
        <v/>
      </c>
      <c r="J635" s="27"/>
      <c r="K635" s="19"/>
      <c r="L635" s="23" t="str">
        <f t="shared" si="72"/>
        <v/>
      </c>
      <c r="M635" s="23" t="str">
        <f>IF(L635="","",L635*Inicio!$B$13)</f>
        <v/>
      </c>
      <c r="N635" s="23" t="str">
        <f t="shared" si="73"/>
        <v/>
      </c>
      <c r="O635" s="26"/>
      <c r="P635" s="18"/>
      <c r="Q635" s="19"/>
      <c r="R635" s="23" t="str">
        <f t="shared" si="74"/>
        <v/>
      </c>
      <c r="S635" s="22" t="str">
        <f ca="1">IF(A635="","",IF(OR(P635="Pagada",R635=0),"Pagada",IF(O635&lt;TODAY(),"Vencida",IF(O635&lt;=TODAY()+Inicio!$B$19,"Próxima a vencer","Vigente"))))</f>
        <v/>
      </c>
      <c r="T635" s="18"/>
      <c r="U635" s="37" t="str">
        <f t="shared" si="75"/>
        <v/>
      </c>
      <c r="V635" s="37" t="str">
        <f t="shared" si="76"/>
        <v/>
      </c>
      <c r="W635" s="37" t="str">
        <f t="shared" si="77"/>
        <v/>
      </c>
      <c r="X635" s="37" t="str">
        <f t="shared" si="78"/>
        <v/>
      </c>
      <c r="Y635" s="37" t="str">
        <f>IF(OR($H635="",$J635=""),"",$J635*IFERROR(VLOOKUP($H635,Maestro_SKU!$A$2:$P$500,12,FALSE),1))</f>
        <v/>
      </c>
      <c r="Z635" s="37" t="str">
        <f t="shared" ca="1" si="79"/>
        <v/>
      </c>
    </row>
    <row r="636" spans="1:26" x14ac:dyDescent="0.35">
      <c r="A636" s="18"/>
      <c r="B636" s="26"/>
      <c r="C636" s="18"/>
      <c r="D636" s="18"/>
      <c r="E636" s="22" t="str">
        <f>IFERROR(VLOOKUP(D636,Clientes_PDV!$A$2:$J$250,2,FALSE),"")</f>
        <v/>
      </c>
      <c r="F636" s="22" t="str">
        <f>IFERROR(VLOOKUP(D636,Clientes_PDV!$A$2:$J$250,3,FALSE),"")</f>
        <v/>
      </c>
      <c r="G636" s="22" t="str">
        <f>IFERROR(VLOOKUP(D636,Clientes_PDV!$A$2:$J$250,4,FALSE),"")</f>
        <v/>
      </c>
      <c r="H636" s="18"/>
      <c r="I636" s="22" t="str">
        <f>IFERROR(VLOOKUP(H636,Maestro_SKU!$A$2:$P$500,2,FALSE),"")</f>
        <v/>
      </c>
      <c r="J636" s="27"/>
      <c r="K636" s="19"/>
      <c r="L636" s="23" t="str">
        <f t="shared" si="72"/>
        <v/>
      </c>
      <c r="M636" s="23" t="str">
        <f>IF(L636="","",L636*Inicio!$B$13)</f>
        <v/>
      </c>
      <c r="N636" s="23" t="str">
        <f t="shared" si="73"/>
        <v/>
      </c>
      <c r="O636" s="26"/>
      <c r="P636" s="18"/>
      <c r="Q636" s="19"/>
      <c r="R636" s="23" t="str">
        <f t="shared" si="74"/>
        <v/>
      </c>
      <c r="S636" s="22" t="str">
        <f ca="1">IF(A636="","",IF(OR(P636="Pagada",R636=0),"Pagada",IF(O636&lt;TODAY(),"Vencida",IF(O636&lt;=TODAY()+Inicio!$B$19,"Próxima a vencer","Vigente"))))</f>
        <v/>
      </c>
      <c r="T636" s="18"/>
      <c r="U636" s="37" t="str">
        <f t="shared" si="75"/>
        <v/>
      </c>
      <c r="V636" s="37" t="str">
        <f t="shared" si="76"/>
        <v/>
      </c>
      <c r="W636" s="37" t="str">
        <f t="shared" si="77"/>
        <v/>
      </c>
      <c r="X636" s="37" t="str">
        <f t="shared" si="78"/>
        <v/>
      </c>
      <c r="Y636" s="37" t="str">
        <f>IF(OR($H636="",$J636=""),"",$J636*IFERROR(VLOOKUP($H636,Maestro_SKU!$A$2:$P$500,12,FALSE),1))</f>
        <v/>
      </c>
      <c r="Z636" s="37" t="str">
        <f t="shared" ca="1" si="79"/>
        <v/>
      </c>
    </row>
    <row r="637" spans="1:26" x14ac:dyDescent="0.35">
      <c r="A637" s="18"/>
      <c r="B637" s="26"/>
      <c r="C637" s="18"/>
      <c r="D637" s="18"/>
      <c r="E637" s="22" t="str">
        <f>IFERROR(VLOOKUP(D637,Clientes_PDV!$A$2:$J$250,2,FALSE),"")</f>
        <v/>
      </c>
      <c r="F637" s="22" t="str">
        <f>IFERROR(VLOOKUP(D637,Clientes_PDV!$A$2:$J$250,3,FALSE),"")</f>
        <v/>
      </c>
      <c r="G637" s="22" t="str">
        <f>IFERROR(VLOOKUP(D637,Clientes_PDV!$A$2:$J$250,4,FALSE),"")</f>
        <v/>
      </c>
      <c r="H637" s="18"/>
      <c r="I637" s="22" t="str">
        <f>IFERROR(VLOOKUP(H637,Maestro_SKU!$A$2:$P$500,2,FALSE),"")</f>
        <v/>
      </c>
      <c r="J637" s="27"/>
      <c r="K637" s="19"/>
      <c r="L637" s="23" t="str">
        <f t="shared" si="72"/>
        <v/>
      </c>
      <c r="M637" s="23" t="str">
        <f>IF(L637="","",L637*Inicio!$B$13)</f>
        <v/>
      </c>
      <c r="N637" s="23" t="str">
        <f t="shared" si="73"/>
        <v/>
      </c>
      <c r="O637" s="26"/>
      <c r="P637" s="18"/>
      <c r="Q637" s="19"/>
      <c r="R637" s="23" t="str">
        <f t="shared" si="74"/>
        <v/>
      </c>
      <c r="S637" s="22" t="str">
        <f ca="1">IF(A637="","",IF(OR(P637="Pagada",R637=0),"Pagada",IF(O637&lt;TODAY(),"Vencida",IF(O637&lt;=TODAY()+Inicio!$B$19,"Próxima a vencer","Vigente"))))</f>
        <v/>
      </c>
      <c r="T637" s="18"/>
      <c r="U637" s="37" t="str">
        <f t="shared" si="75"/>
        <v/>
      </c>
      <c r="V637" s="37" t="str">
        <f t="shared" si="76"/>
        <v/>
      </c>
      <c r="W637" s="37" t="str">
        <f t="shared" si="77"/>
        <v/>
      </c>
      <c r="X637" s="37" t="str">
        <f t="shared" si="78"/>
        <v/>
      </c>
      <c r="Y637" s="37" t="str">
        <f>IF(OR($H637="",$J637=""),"",$J637*IFERROR(VLOOKUP($H637,Maestro_SKU!$A$2:$P$500,12,FALSE),1))</f>
        <v/>
      </c>
      <c r="Z637" s="37" t="str">
        <f t="shared" ca="1" si="79"/>
        <v/>
      </c>
    </row>
    <row r="638" spans="1:26" x14ac:dyDescent="0.35">
      <c r="A638" s="18"/>
      <c r="B638" s="26"/>
      <c r="C638" s="18"/>
      <c r="D638" s="18"/>
      <c r="E638" s="22" t="str">
        <f>IFERROR(VLOOKUP(D638,Clientes_PDV!$A$2:$J$250,2,FALSE),"")</f>
        <v/>
      </c>
      <c r="F638" s="22" t="str">
        <f>IFERROR(VLOOKUP(D638,Clientes_PDV!$A$2:$J$250,3,FALSE),"")</f>
        <v/>
      </c>
      <c r="G638" s="22" t="str">
        <f>IFERROR(VLOOKUP(D638,Clientes_PDV!$A$2:$J$250,4,FALSE),"")</f>
        <v/>
      </c>
      <c r="H638" s="18"/>
      <c r="I638" s="22" t="str">
        <f>IFERROR(VLOOKUP(H638,Maestro_SKU!$A$2:$P$500,2,FALSE),"")</f>
        <v/>
      </c>
      <c r="J638" s="27"/>
      <c r="K638" s="19"/>
      <c r="L638" s="23" t="str">
        <f t="shared" si="72"/>
        <v/>
      </c>
      <c r="M638" s="23" t="str">
        <f>IF(L638="","",L638*Inicio!$B$13)</f>
        <v/>
      </c>
      <c r="N638" s="23" t="str">
        <f t="shared" si="73"/>
        <v/>
      </c>
      <c r="O638" s="26"/>
      <c r="P638" s="18"/>
      <c r="Q638" s="19"/>
      <c r="R638" s="23" t="str">
        <f t="shared" si="74"/>
        <v/>
      </c>
      <c r="S638" s="22" t="str">
        <f ca="1">IF(A638="","",IF(OR(P638="Pagada",R638=0),"Pagada",IF(O638&lt;TODAY(),"Vencida",IF(O638&lt;=TODAY()+Inicio!$B$19,"Próxima a vencer","Vigente"))))</f>
        <v/>
      </c>
      <c r="T638" s="18"/>
      <c r="U638" s="37" t="str">
        <f t="shared" si="75"/>
        <v/>
      </c>
      <c r="V638" s="37" t="str">
        <f t="shared" si="76"/>
        <v/>
      </c>
      <c r="W638" s="37" t="str">
        <f t="shared" si="77"/>
        <v/>
      </c>
      <c r="X638" s="37" t="str">
        <f t="shared" si="78"/>
        <v/>
      </c>
      <c r="Y638" s="37" t="str">
        <f>IF(OR($H638="",$J638=""),"",$J638*IFERROR(VLOOKUP($H638,Maestro_SKU!$A$2:$P$500,12,FALSE),1))</f>
        <v/>
      </c>
      <c r="Z638" s="37" t="str">
        <f t="shared" ca="1" si="79"/>
        <v/>
      </c>
    </row>
    <row r="639" spans="1:26" x14ac:dyDescent="0.35">
      <c r="A639" s="18"/>
      <c r="B639" s="26"/>
      <c r="C639" s="18"/>
      <c r="D639" s="18"/>
      <c r="E639" s="22" t="str">
        <f>IFERROR(VLOOKUP(D639,Clientes_PDV!$A$2:$J$250,2,FALSE),"")</f>
        <v/>
      </c>
      <c r="F639" s="22" t="str">
        <f>IFERROR(VLOOKUP(D639,Clientes_PDV!$A$2:$J$250,3,FALSE),"")</f>
        <v/>
      </c>
      <c r="G639" s="22" t="str">
        <f>IFERROR(VLOOKUP(D639,Clientes_PDV!$A$2:$J$250,4,FALSE),"")</f>
        <v/>
      </c>
      <c r="H639" s="18"/>
      <c r="I639" s="22" t="str">
        <f>IFERROR(VLOOKUP(H639,Maestro_SKU!$A$2:$P$500,2,FALSE),"")</f>
        <v/>
      </c>
      <c r="J639" s="27"/>
      <c r="K639" s="19"/>
      <c r="L639" s="23" t="str">
        <f t="shared" si="72"/>
        <v/>
      </c>
      <c r="M639" s="23" t="str">
        <f>IF(L639="","",L639*Inicio!$B$13)</f>
        <v/>
      </c>
      <c r="N639" s="23" t="str">
        <f t="shared" si="73"/>
        <v/>
      </c>
      <c r="O639" s="26"/>
      <c r="P639" s="18"/>
      <c r="Q639" s="19"/>
      <c r="R639" s="23" t="str">
        <f t="shared" si="74"/>
        <v/>
      </c>
      <c r="S639" s="22" t="str">
        <f ca="1">IF(A639="","",IF(OR(P639="Pagada",R639=0),"Pagada",IF(O639&lt;TODAY(),"Vencida",IF(O639&lt;=TODAY()+Inicio!$B$19,"Próxima a vencer","Vigente"))))</f>
        <v/>
      </c>
      <c r="T639" s="18"/>
      <c r="U639" s="37" t="str">
        <f t="shared" si="75"/>
        <v/>
      </c>
      <c r="V639" s="37" t="str">
        <f t="shared" si="76"/>
        <v/>
      </c>
      <c r="W639" s="37" t="str">
        <f t="shared" si="77"/>
        <v/>
      </c>
      <c r="X639" s="37" t="str">
        <f t="shared" si="78"/>
        <v/>
      </c>
      <c r="Y639" s="37" t="str">
        <f>IF(OR($H639="",$J639=""),"",$J639*IFERROR(VLOOKUP($H639,Maestro_SKU!$A$2:$P$500,12,FALSE),1))</f>
        <v/>
      </c>
      <c r="Z639" s="37" t="str">
        <f t="shared" ca="1" si="79"/>
        <v/>
      </c>
    </row>
    <row r="640" spans="1:26" x14ac:dyDescent="0.35">
      <c r="A640" s="18"/>
      <c r="B640" s="26"/>
      <c r="C640" s="18"/>
      <c r="D640" s="18"/>
      <c r="E640" s="22" t="str">
        <f>IFERROR(VLOOKUP(D640,Clientes_PDV!$A$2:$J$250,2,FALSE),"")</f>
        <v/>
      </c>
      <c r="F640" s="22" t="str">
        <f>IFERROR(VLOOKUP(D640,Clientes_PDV!$A$2:$J$250,3,FALSE),"")</f>
        <v/>
      </c>
      <c r="G640" s="22" t="str">
        <f>IFERROR(VLOOKUP(D640,Clientes_PDV!$A$2:$J$250,4,FALSE),"")</f>
        <v/>
      </c>
      <c r="H640" s="18"/>
      <c r="I640" s="22" t="str">
        <f>IFERROR(VLOOKUP(H640,Maestro_SKU!$A$2:$P$500,2,FALSE),"")</f>
        <v/>
      </c>
      <c r="J640" s="27"/>
      <c r="K640" s="19"/>
      <c r="L640" s="23" t="str">
        <f t="shared" si="72"/>
        <v/>
      </c>
      <c r="M640" s="23" t="str">
        <f>IF(L640="","",L640*Inicio!$B$13)</f>
        <v/>
      </c>
      <c r="N640" s="23" t="str">
        <f t="shared" si="73"/>
        <v/>
      </c>
      <c r="O640" s="26"/>
      <c r="P640" s="18"/>
      <c r="Q640" s="19"/>
      <c r="R640" s="23" t="str">
        <f t="shared" si="74"/>
        <v/>
      </c>
      <c r="S640" s="22" t="str">
        <f ca="1">IF(A640="","",IF(OR(P640="Pagada",R640=0),"Pagada",IF(O640&lt;TODAY(),"Vencida",IF(O640&lt;=TODAY()+Inicio!$B$19,"Próxima a vencer","Vigente"))))</f>
        <v/>
      </c>
      <c r="T640" s="18"/>
      <c r="U640" s="37" t="str">
        <f t="shared" si="75"/>
        <v/>
      </c>
      <c r="V640" s="37" t="str">
        <f t="shared" si="76"/>
        <v/>
      </c>
      <c r="W640" s="37" t="str">
        <f t="shared" si="77"/>
        <v/>
      </c>
      <c r="X640" s="37" t="str">
        <f t="shared" si="78"/>
        <v/>
      </c>
      <c r="Y640" s="37" t="str">
        <f>IF(OR($H640="",$J640=""),"",$J640*IFERROR(VLOOKUP($H640,Maestro_SKU!$A$2:$P$500,12,FALSE),1))</f>
        <v/>
      </c>
      <c r="Z640" s="37" t="str">
        <f t="shared" ca="1" si="79"/>
        <v/>
      </c>
    </row>
    <row r="641" spans="1:26" x14ac:dyDescent="0.35">
      <c r="A641" s="18"/>
      <c r="B641" s="26"/>
      <c r="C641" s="18"/>
      <c r="D641" s="18"/>
      <c r="E641" s="22" t="str">
        <f>IFERROR(VLOOKUP(D641,Clientes_PDV!$A$2:$J$250,2,FALSE),"")</f>
        <v/>
      </c>
      <c r="F641" s="22" t="str">
        <f>IFERROR(VLOOKUP(D641,Clientes_PDV!$A$2:$J$250,3,FALSE),"")</f>
        <v/>
      </c>
      <c r="G641" s="22" t="str">
        <f>IFERROR(VLOOKUP(D641,Clientes_PDV!$A$2:$J$250,4,FALSE),"")</f>
        <v/>
      </c>
      <c r="H641" s="18"/>
      <c r="I641" s="22" t="str">
        <f>IFERROR(VLOOKUP(H641,Maestro_SKU!$A$2:$P$500,2,FALSE),"")</f>
        <v/>
      </c>
      <c r="J641" s="27"/>
      <c r="K641" s="19"/>
      <c r="L641" s="23" t="str">
        <f t="shared" si="72"/>
        <v/>
      </c>
      <c r="M641" s="23" t="str">
        <f>IF(L641="","",L641*Inicio!$B$13)</f>
        <v/>
      </c>
      <c r="N641" s="23" t="str">
        <f t="shared" si="73"/>
        <v/>
      </c>
      <c r="O641" s="26"/>
      <c r="P641" s="18"/>
      <c r="Q641" s="19"/>
      <c r="R641" s="23" t="str">
        <f t="shared" si="74"/>
        <v/>
      </c>
      <c r="S641" s="22" t="str">
        <f ca="1">IF(A641="","",IF(OR(P641="Pagada",R641=0),"Pagada",IF(O641&lt;TODAY(),"Vencida",IF(O641&lt;=TODAY()+Inicio!$B$19,"Próxima a vencer","Vigente"))))</f>
        <v/>
      </c>
      <c r="T641" s="18"/>
      <c r="U641" s="37" t="str">
        <f t="shared" si="75"/>
        <v/>
      </c>
      <c r="V641" s="37" t="str">
        <f t="shared" si="76"/>
        <v/>
      </c>
      <c r="W641" s="37" t="str">
        <f t="shared" si="77"/>
        <v/>
      </c>
      <c r="X641" s="37" t="str">
        <f t="shared" si="78"/>
        <v/>
      </c>
      <c r="Y641" s="37" t="str">
        <f>IF(OR($H641="",$J641=""),"",$J641*IFERROR(VLOOKUP($H641,Maestro_SKU!$A$2:$P$500,12,FALSE),1))</f>
        <v/>
      </c>
      <c r="Z641" s="37" t="str">
        <f t="shared" ca="1" si="79"/>
        <v/>
      </c>
    </row>
    <row r="642" spans="1:26" x14ac:dyDescent="0.35">
      <c r="A642" s="18"/>
      <c r="B642" s="26"/>
      <c r="C642" s="18"/>
      <c r="D642" s="18"/>
      <c r="E642" s="22" t="str">
        <f>IFERROR(VLOOKUP(D642,Clientes_PDV!$A$2:$J$250,2,FALSE),"")</f>
        <v/>
      </c>
      <c r="F642" s="22" t="str">
        <f>IFERROR(VLOOKUP(D642,Clientes_PDV!$A$2:$J$250,3,FALSE),"")</f>
        <v/>
      </c>
      <c r="G642" s="22" t="str">
        <f>IFERROR(VLOOKUP(D642,Clientes_PDV!$A$2:$J$250,4,FALSE),"")</f>
        <v/>
      </c>
      <c r="H642" s="18"/>
      <c r="I642" s="22" t="str">
        <f>IFERROR(VLOOKUP(H642,Maestro_SKU!$A$2:$P$500,2,FALSE),"")</f>
        <v/>
      </c>
      <c r="J642" s="27"/>
      <c r="K642" s="19"/>
      <c r="L642" s="23" t="str">
        <f t="shared" ref="L642:L705" si="80">IF(OR(J642="",K642=""),"",J642*K642)</f>
        <v/>
      </c>
      <c r="M642" s="23" t="str">
        <f>IF(L642="","",L642*Inicio!$B$13)</f>
        <v/>
      </c>
      <c r="N642" s="23" t="str">
        <f t="shared" ref="N642:N705" si="81">IF(L642="","",L642+M642)</f>
        <v/>
      </c>
      <c r="O642" s="26"/>
      <c r="P642" s="18"/>
      <c r="Q642" s="19"/>
      <c r="R642" s="23" t="str">
        <f t="shared" ref="R642:R705" si="82">IF(N642="","",MAX(N642-Q642,0))</f>
        <v/>
      </c>
      <c r="S642" s="22" t="str">
        <f ca="1">IF(A642="","",IF(OR(P642="Pagada",R642=0),"Pagada",IF(O642&lt;TODAY(),"Vencida",IF(O642&lt;=TODAY()+Inicio!$B$19,"Próxima a vencer","Vigente"))))</f>
        <v/>
      </c>
      <c r="T642" s="18"/>
      <c r="U642" s="37" t="str">
        <f t="shared" ref="U642:U705" si="83">IF($B642="","",YEAR($B642))</f>
        <v/>
      </c>
      <c r="V642" s="37" t="str">
        <f t="shared" ref="V642:V705" si="84">IF($B642="","",MONTH($B642))</f>
        <v/>
      </c>
      <c r="W642" s="37" t="str">
        <f t="shared" ref="W642:W705" si="85">IF($B642="","",DAY($B642))</f>
        <v/>
      </c>
      <c r="X642" s="37" t="str">
        <f t="shared" ref="X642:X705" si="86">IF($B642="","",YEAR($B642)&amp;"-"&amp;TEXT(MONTH($B642),"00"))</f>
        <v/>
      </c>
      <c r="Y642" s="37" t="str">
        <f>IF(OR($H642="",$J642=""),"",$J642*IFERROR(VLOOKUP($H642,Maestro_SKU!$A$2:$P$500,12,FALSE),1))</f>
        <v/>
      </c>
      <c r="Z642" s="37" t="str">
        <f t="shared" ref="Z642:Z705" ca="1" si="87">IF(OR($A642="",$O642="",$S642="Pagada"),"",$O642-TODAY())</f>
        <v/>
      </c>
    </row>
    <row r="643" spans="1:26" x14ac:dyDescent="0.35">
      <c r="A643" s="18"/>
      <c r="B643" s="26"/>
      <c r="C643" s="18"/>
      <c r="D643" s="18"/>
      <c r="E643" s="22" t="str">
        <f>IFERROR(VLOOKUP(D643,Clientes_PDV!$A$2:$J$250,2,FALSE),"")</f>
        <v/>
      </c>
      <c r="F643" s="22" t="str">
        <f>IFERROR(VLOOKUP(D643,Clientes_PDV!$A$2:$J$250,3,FALSE),"")</f>
        <v/>
      </c>
      <c r="G643" s="22" t="str">
        <f>IFERROR(VLOOKUP(D643,Clientes_PDV!$A$2:$J$250,4,FALSE),"")</f>
        <v/>
      </c>
      <c r="H643" s="18"/>
      <c r="I643" s="22" t="str">
        <f>IFERROR(VLOOKUP(H643,Maestro_SKU!$A$2:$P$500,2,FALSE),"")</f>
        <v/>
      </c>
      <c r="J643" s="27"/>
      <c r="K643" s="19"/>
      <c r="L643" s="23" t="str">
        <f t="shared" si="80"/>
        <v/>
      </c>
      <c r="M643" s="23" t="str">
        <f>IF(L643="","",L643*Inicio!$B$13)</f>
        <v/>
      </c>
      <c r="N643" s="23" t="str">
        <f t="shared" si="81"/>
        <v/>
      </c>
      <c r="O643" s="26"/>
      <c r="P643" s="18"/>
      <c r="Q643" s="19"/>
      <c r="R643" s="23" t="str">
        <f t="shared" si="82"/>
        <v/>
      </c>
      <c r="S643" s="22" t="str">
        <f ca="1">IF(A643="","",IF(OR(P643="Pagada",R643=0),"Pagada",IF(O643&lt;TODAY(),"Vencida",IF(O643&lt;=TODAY()+Inicio!$B$19,"Próxima a vencer","Vigente"))))</f>
        <v/>
      </c>
      <c r="T643" s="18"/>
      <c r="U643" s="37" t="str">
        <f t="shared" si="83"/>
        <v/>
      </c>
      <c r="V643" s="37" t="str">
        <f t="shared" si="84"/>
        <v/>
      </c>
      <c r="W643" s="37" t="str">
        <f t="shared" si="85"/>
        <v/>
      </c>
      <c r="X643" s="37" t="str">
        <f t="shared" si="86"/>
        <v/>
      </c>
      <c r="Y643" s="37" t="str">
        <f>IF(OR($H643="",$J643=""),"",$J643*IFERROR(VLOOKUP($H643,Maestro_SKU!$A$2:$P$500,12,FALSE),1))</f>
        <v/>
      </c>
      <c r="Z643" s="37" t="str">
        <f t="shared" ca="1" si="87"/>
        <v/>
      </c>
    </row>
    <row r="644" spans="1:26" x14ac:dyDescent="0.35">
      <c r="A644" s="18"/>
      <c r="B644" s="26"/>
      <c r="C644" s="18"/>
      <c r="D644" s="18"/>
      <c r="E644" s="22" t="str">
        <f>IFERROR(VLOOKUP(D644,Clientes_PDV!$A$2:$J$250,2,FALSE),"")</f>
        <v/>
      </c>
      <c r="F644" s="22" t="str">
        <f>IFERROR(VLOOKUP(D644,Clientes_PDV!$A$2:$J$250,3,FALSE),"")</f>
        <v/>
      </c>
      <c r="G644" s="22" t="str">
        <f>IFERROR(VLOOKUP(D644,Clientes_PDV!$A$2:$J$250,4,FALSE),"")</f>
        <v/>
      </c>
      <c r="H644" s="18"/>
      <c r="I644" s="22" t="str">
        <f>IFERROR(VLOOKUP(H644,Maestro_SKU!$A$2:$P$500,2,FALSE),"")</f>
        <v/>
      </c>
      <c r="J644" s="27"/>
      <c r="K644" s="19"/>
      <c r="L644" s="23" t="str">
        <f t="shared" si="80"/>
        <v/>
      </c>
      <c r="M644" s="23" t="str">
        <f>IF(L644="","",L644*Inicio!$B$13)</f>
        <v/>
      </c>
      <c r="N644" s="23" t="str">
        <f t="shared" si="81"/>
        <v/>
      </c>
      <c r="O644" s="26"/>
      <c r="P644" s="18"/>
      <c r="Q644" s="19"/>
      <c r="R644" s="23" t="str">
        <f t="shared" si="82"/>
        <v/>
      </c>
      <c r="S644" s="22" t="str">
        <f ca="1">IF(A644="","",IF(OR(P644="Pagada",R644=0),"Pagada",IF(O644&lt;TODAY(),"Vencida",IF(O644&lt;=TODAY()+Inicio!$B$19,"Próxima a vencer","Vigente"))))</f>
        <v/>
      </c>
      <c r="T644" s="18"/>
      <c r="U644" s="37" t="str">
        <f t="shared" si="83"/>
        <v/>
      </c>
      <c r="V644" s="37" t="str">
        <f t="shared" si="84"/>
        <v/>
      </c>
      <c r="W644" s="37" t="str">
        <f t="shared" si="85"/>
        <v/>
      </c>
      <c r="X644" s="37" t="str">
        <f t="shared" si="86"/>
        <v/>
      </c>
      <c r="Y644" s="37" t="str">
        <f>IF(OR($H644="",$J644=""),"",$J644*IFERROR(VLOOKUP($H644,Maestro_SKU!$A$2:$P$500,12,FALSE),1))</f>
        <v/>
      </c>
      <c r="Z644" s="37" t="str">
        <f t="shared" ca="1" si="87"/>
        <v/>
      </c>
    </row>
    <row r="645" spans="1:26" x14ac:dyDescent="0.35">
      <c r="A645" s="18"/>
      <c r="B645" s="26"/>
      <c r="C645" s="18"/>
      <c r="D645" s="18"/>
      <c r="E645" s="22" t="str">
        <f>IFERROR(VLOOKUP(D645,Clientes_PDV!$A$2:$J$250,2,FALSE),"")</f>
        <v/>
      </c>
      <c r="F645" s="22" t="str">
        <f>IFERROR(VLOOKUP(D645,Clientes_PDV!$A$2:$J$250,3,FALSE),"")</f>
        <v/>
      </c>
      <c r="G645" s="22" t="str">
        <f>IFERROR(VLOOKUP(D645,Clientes_PDV!$A$2:$J$250,4,FALSE),"")</f>
        <v/>
      </c>
      <c r="H645" s="18"/>
      <c r="I645" s="22" t="str">
        <f>IFERROR(VLOOKUP(H645,Maestro_SKU!$A$2:$P$500,2,FALSE),"")</f>
        <v/>
      </c>
      <c r="J645" s="27"/>
      <c r="K645" s="19"/>
      <c r="L645" s="23" t="str">
        <f t="shared" si="80"/>
        <v/>
      </c>
      <c r="M645" s="23" t="str">
        <f>IF(L645="","",L645*Inicio!$B$13)</f>
        <v/>
      </c>
      <c r="N645" s="23" t="str">
        <f t="shared" si="81"/>
        <v/>
      </c>
      <c r="O645" s="26"/>
      <c r="P645" s="18"/>
      <c r="Q645" s="19"/>
      <c r="R645" s="23" t="str">
        <f t="shared" si="82"/>
        <v/>
      </c>
      <c r="S645" s="22" t="str">
        <f ca="1">IF(A645="","",IF(OR(P645="Pagada",R645=0),"Pagada",IF(O645&lt;TODAY(),"Vencida",IF(O645&lt;=TODAY()+Inicio!$B$19,"Próxima a vencer","Vigente"))))</f>
        <v/>
      </c>
      <c r="T645" s="18"/>
      <c r="U645" s="37" t="str">
        <f t="shared" si="83"/>
        <v/>
      </c>
      <c r="V645" s="37" t="str">
        <f t="shared" si="84"/>
        <v/>
      </c>
      <c r="W645" s="37" t="str">
        <f t="shared" si="85"/>
        <v/>
      </c>
      <c r="X645" s="37" t="str">
        <f t="shared" si="86"/>
        <v/>
      </c>
      <c r="Y645" s="37" t="str">
        <f>IF(OR($H645="",$J645=""),"",$J645*IFERROR(VLOOKUP($H645,Maestro_SKU!$A$2:$P$500,12,FALSE),1))</f>
        <v/>
      </c>
      <c r="Z645" s="37" t="str">
        <f t="shared" ca="1" si="87"/>
        <v/>
      </c>
    </row>
    <row r="646" spans="1:26" x14ac:dyDescent="0.35">
      <c r="A646" s="18"/>
      <c r="B646" s="26"/>
      <c r="C646" s="18"/>
      <c r="D646" s="18"/>
      <c r="E646" s="22" t="str">
        <f>IFERROR(VLOOKUP(D646,Clientes_PDV!$A$2:$J$250,2,FALSE),"")</f>
        <v/>
      </c>
      <c r="F646" s="22" t="str">
        <f>IFERROR(VLOOKUP(D646,Clientes_PDV!$A$2:$J$250,3,FALSE),"")</f>
        <v/>
      </c>
      <c r="G646" s="22" t="str">
        <f>IFERROR(VLOOKUP(D646,Clientes_PDV!$A$2:$J$250,4,FALSE),"")</f>
        <v/>
      </c>
      <c r="H646" s="18"/>
      <c r="I646" s="22" t="str">
        <f>IFERROR(VLOOKUP(H646,Maestro_SKU!$A$2:$P$500,2,FALSE),"")</f>
        <v/>
      </c>
      <c r="J646" s="27"/>
      <c r="K646" s="19"/>
      <c r="L646" s="23" t="str">
        <f t="shared" si="80"/>
        <v/>
      </c>
      <c r="M646" s="23" t="str">
        <f>IF(L646="","",L646*Inicio!$B$13)</f>
        <v/>
      </c>
      <c r="N646" s="23" t="str">
        <f t="shared" si="81"/>
        <v/>
      </c>
      <c r="O646" s="26"/>
      <c r="P646" s="18"/>
      <c r="Q646" s="19"/>
      <c r="R646" s="23" t="str">
        <f t="shared" si="82"/>
        <v/>
      </c>
      <c r="S646" s="22" t="str">
        <f ca="1">IF(A646="","",IF(OR(P646="Pagada",R646=0),"Pagada",IF(O646&lt;TODAY(),"Vencida",IF(O646&lt;=TODAY()+Inicio!$B$19,"Próxima a vencer","Vigente"))))</f>
        <v/>
      </c>
      <c r="T646" s="18"/>
      <c r="U646" s="37" t="str">
        <f t="shared" si="83"/>
        <v/>
      </c>
      <c r="V646" s="37" t="str">
        <f t="shared" si="84"/>
        <v/>
      </c>
      <c r="W646" s="37" t="str">
        <f t="shared" si="85"/>
        <v/>
      </c>
      <c r="X646" s="37" t="str">
        <f t="shared" si="86"/>
        <v/>
      </c>
      <c r="Y646" s="37" t="str">
        <f>IF(OR($H646="",$J646=""),"",$J646*IFERROR(VLOOKUP($H646,Maestro_SKU!$A$2:$P$500,12,FALSE),1))</f>
        <v/>
      </c>
      <c r="Z646" s="37" t="str">
        <f t="shared" ca="1" si="87"/>
        <v/>
      </c>
    </row>
    <row r="647" spans="1:26" x14ac:dyDescent="0.35">
      <c r="A647" s="18"/>
      <c r="B647" s="26"/>
      <c r="C647" s="18"/>
      <c r="D647" s="18"/>
      <c r="E647" s="22" t="str">
        <f>IFERROR(VLOOKUP(D647,Clientes_PDV!$A$2:$J$250,2,FALSE),"")</f>
        <v/>
      </c>
      <c r="F647" s="22" t="str">
        <f>IFERROR(VLOOKUP(D647,Clientes_PDV!$A$2:$J$250,3,FALSE),"")</f>
        <v/>
      </c>
      <c r="G647" s="22" t="str">
        <f>IFERROR(VLOOKUP(D647,Clientes_PDV!$A$2:$J$250,4,FALSE),"")</f>
        <v/>
      </c>
      <c r="H647" s="18"/>
      <c r="I647" s="22" t="str">
        <f>IFERROR(VLOOKUP(H647,Maestro_SKU!$A$2:$P$500,2,FALSE),"")</f>
        <v/>
      </c>
      <c r="J647" s="27"/>
      <c r="K647" s="19"/>
      <c r="L647" s="23" t="str">
        <f t="shared" si="80"/>
        <v/>
      </c>
      <c r="M647" s="23" t="str">
        <f>IF(L647="","",L647*Inicio!$B$13)</f>
        <v/>
      </c>
      <c r="N647" s="23" t="str">
        <f t="shared" si="81"/>
        <v/>
      </c>
      <c r="O647" s="26"/>
      <c r="P647" s="18"/>
      <c r="Q647" s="19"/>
      <c r="R647" s="23" t="str">
        <f t="shared" si="82"/>
        <v/>
      </c>
      <c r="S647" s="22" t="str">
        <f ca="1">IF(A647="","",IF(OR(P647="Pagada",R647=0),"Pagada",IF(O647&lt;TODAY(),"Vencida",IF(O647&lt;=TODAY()+Inicio!$B$19,"Próxima a vencer","Vigente"))))</f>
        <v/>
      </c>
      <c r="T647" s="18"/>
      <c r="U647" s="37" t="str">
        <f t="shared" si="83"/>
        <v/>
      </c>
      <c r="V647" s="37" t="str">
        <f t="shared" si="84"/>
        <v/>
      </c>
      <c r="W647" s="37" t="str">
        <f t="shared" si="85"/>
        <v/>
      </c>
      <c r="X647" s="37" t="str">
        <f t="shared" si="86"/>
        <v/>
      </c>
      <c r="Y647" s="37" t="str">
        <f>IF(OR($H647="",$J647=""),"",$J647*IFERROR(VLOOKUP($H647,Maestro_SKU!$A$2:$P$500,12,FALSE),1))</f>
        <v/>
      </c>
      <c r="Z647" s="37" t="str">
        <f t="shared" ca="1" si="87"/>
        <v/>
      </c>
    </row>
    <row r="648" spans="1:26" x14ac:dyDescent="0.35">
      <c r="A648" s="18"/>
      <c r="B648" s="26"/>
      <c r="C648" s="18"/>
      <c r="D648" s="18"/>
      <c r="E648" s="22" t="str">
        <f>IFERROR(VLOOKUP(D648,Clientes_PDV!$A$2:$J$250,2,FALSE),"")</f>
        <v/>
      </c>
      <c r="F648" s="22" t="str">
        <f>IFERROR(VLOOKUP(D648,Clientes_PDV!$A$2:$J$250,3,FALSE),"")</f>
        <v/>
      </c>
      <c r="G648" s="22" t="str">
        <f>IFERROR(VLOOKUP(D648,Clientes_PDV!$A$2:$J$250,4,FALSE),"")</f>
        <v/>
      </c>
      <c r="H648" s="18"/>
      <c r="I648" s="22" t="str">
        <f>IFERROR(VLOOKUP(H648,Maestro_SKU!$A$2:$P$500,2,FALSE),"")</f>
        <v/>
      </c>
      <c r="J648" s="27"/>
      <c r="K648" s="19"/>
      <c r="L648" s="23" t="str">
        <f t="shared" si="80"/>
        <v/>
      </c>
      <c r="M648" s="23" t="str">
        <f>IF(L648="","",L648*Inicio!$B$13)</f>
        <v/>
      </c>
      <c r="N648" s="23" t="str">
        <f t="shared" si="81"/>
        <v/>
      </c>
      <c r="O648" s="26"/>
      <c r="P648" s="18"/>
      <c r="Q648" s="19"/>
      <c r="R648" s="23" t="str">
        <f t="shared" si="82"/>
        <v/>
      </c>
      <c r="S648" s="22" t="str">
        <f ca="1">IF(A648="","",IF(OR(P648="Pagada",R648=0),"Pagada",IF(O648&lt;TODAY(),"Vencida",IF(O648&lt;=TODAY()+Inicio!$B$19,"Próxima a vencer","Vigente"))))</f>
        <v/>
      </c>
      <c r="T648" s="18"/>
      <c r="U648" s="37" t="str">
        <f t="shared" si="83"/>
        <v/>
      </c>
      <c r="V648" s="37" t="str">
        <f t="shared" si="84"/>
        <v/>
      </c>
      <c r="W648" s="37" t="str">
        <f t="shared" si="85"/>
        <v/>
      </c>
      <c r="X648" s="37" t="str">
        <f t="shared" si="86"/>
        <v/>
      </c>
      <c r="Y648" s="37" t="str">
        <f>IF(OR($H648="",$J648=""),"",$J648*IFERROR(VLOOKUP($H648,Maestro_SKU!$A$2:$P$500,12,FALSE),1))</f>
        <v/>
      </c>
      <c r="Z648" s="37" t="str">
        <f t="shared" ca="1" si="87"/>
        <v/>
      </c>
    </row>
    <row r="649" spans="1:26" x14ac:dyDescent="0.35">
      <c r="A649" s="18"/>
      <c r="B649" s="26"/>
      <c r="C649" s="18"/>
      <c r="D649" s="18"/>
      <c r="E649" s="22" t="str">
        <f>IFERROR(VLOOKUP(D649,Clientes_PDV!$A$2:$J$250,2,FALSE),"")</f>
        <v/>
      </c>
      <c r="F649" s="22" t="str">
        <f>IFERROR(VLOOKUP(D649,Clientes_PDV!$A$2:$J$250,3,FALSE),"")</f>
        <v/>
      </c>
      <c r="G649" s="22" t="str">
        <f>IFERROR(VLOOKUP(D649,Clientes_PDV!$A$2:$J$250,4,FALSE),"")</f>
        <v/>
      </c>
      <c r="H649" s="18"/>
      <c r="I649" s="22" t="str">
        <f>IFERROR(VLOOKUP(H649,Maestro_SKU!$A$2:$P$500,2,FALSE),"")</f>
        <v/>
      </c>
      <c r="J649" s="27"/>
      <c r="K649" s="19"/>
      <c r="L649" s="23" t="str">
        <f t="shared" si="80"/>
        <v/>
      </c>
      <c r="M649" s="23" t="str">
        <f>IF(L649="","",L649*Inicio!$B$13)</f>
        <v/>
      </c>
      <c r="N649" s="23" t="str">
        <f t="shared" si="81"/>
        <v/>
      </c>
      <c r="O649" s="26"/>
      <c r="P649" s="18"/>
      <c r="Q649" s="19"/>
      <c r="R649" s="23" t="str">
        <f t="shared" si="82"/>
        <v/>
      </c>
      <c r="S649" s="22" t="str">
        <f ca="1">IF(A649="","",IF(OR(P649="Pagada",R649=0),"Pagada",IF(O649&lt;TODAY(),"Vencida",IF(O649&lt;=TODAY()+Inicio!$B$19,"Próxima a vencer","Vigente"))))</f>
        <v/>
      </c>
      <c r="T649" s="18"/>
      <c r="U649" s="37" t="str">
        <f t="shared" si="83"/>
        <v/>
      </c>
      <c r="V649" s="37" t="str">
        <f t="shared" si="84"/>
        <v/>
      </c>
      <c r="W649" s="37" t="str">
        <f t="shared" si="85"/>
        <v/>
      </c>
      <c r="X649" s="37" t="str">
        <f t="shared" si="86"/>
        <v/>
      </c>
      <c r="Y649" s="37" t="str">
        <f>IF(OR($H649="",$J649=""),"",$J649*IFERROR(VLOOKUP($H649,Maestro_SKU!$A$2:$P$500,12,FALSE),1))</f>
        <v/>
      </c>
      <c r="Z649" s="37" t="str">
        <f t="shared" ca="1" si="87"/>
        <v/>
      </c>
    </row>
    <row r="650" spans="1:26" x14ac:dyDescent="0.35">
      <c r="A650" s="18"/>
      <c r="B650" s="26"/>
      <c r="C650" s="18"/>
      <c r="D650" s="18"/>
      <c r="E650" s="22" t="str">
        <f>IFERROR(VLOOKUP(D650,Clientes_PDV!$A$2:$J$250,2,FALSE),"")</f>
        <v/>
      </c>
      <c r="F650" s="22" t="str">
        <f>IFERROR(VLOOKUP(D650,Clientes_PDV!$A$2:$J$250,3,FALSE),"")</f>
        <v/>
      </c>
      <c r="G650" s="22" t="str">
        <f>IFERROR(VLOOKUP(D650,Clientes_PDV!$A$2:$J$250,4,FALSE),"")</f>
        <v/>
      </c>
      <c r="H650" s="18"/>
      <c r="I650" s="22" t="str">
        <f>IFERROR(VLOOKUP(H650,Maestro_SKU!$A$2:$P$500,2,FALSE),"")</f>
        <v/>
      </c>
      <c r="J650" s="27"/>
      <c r="K650" s="19"/>
      <c r="L650" s="23" t="str">
        <f t="shared" si="80"/>
        <v/>
      </c>
      <c r="M650" s="23" t="str">
        <f>IF(L650="","",L650*Inicio!$B$13)</f>
        <v/>
      </c>
      <c r="N650" s="23" t="str">
        <f t="shared" si="81"/>
        <v/>
      </c>
      <c r="O650" s="26"/>
      <c r="P650" s="18"/>
      <c r="Q650" s="19"/>
      <c r="R650" s="23" t="str">
        <f t="shared" si="82"/>
        <v/>
      </c>
      <c r="S650" s="22" t="str">
        <f ca="1">IF(A650="","",IF(OR(P650="Pagada",R650=0),"Pagada",IF(O650&lt;TODAY(),"Vencida",IF(O650&lt;=TODAY()+Inicio!$B$19,"Próxima a vencer","Vigente"))))</f>
        <v/>
      </c>
      <c r="T650" s="18"/>
      <c r="U650" s="37" t="str">
        <f t="shared" si="83"/>
        <v/>
      </c>
      <c r="V650" s="37" t="str">
        <f t="shared" si="84"/>
        <v/>
      </c>
      <c r="W650" s="37" t="str">
        <f t="shared" si="85"/>
        <v/>
      </c>
      <c r="X650" s="37" t="str">
        <f t="shared" si="86"/>
        <v/>
      </c>
      <c r="Y650" s="37" t="str">
        <f>IF(OR($H650="",$J650=""),"",$J650*IFERROR(VLOOKUP($H650,Maestro_SKU!$A$2:$P$500,12,FALSE),1))</f>
        <v/>
      </c>
      <c r="Z650" s="37" t="str">
        <f t="shared" ca="1" si="87"/>
        <v/>
      </c>
    </row>
    <row r="651" spans="1:26" x14ac:dyDescent="0.35">
      <c r="A651" s="18"/>
      <c r="B651" s="26"/>
      <c r="C651" s="18"/>
      <c r="D651" s="18"/>
      <c r="E651" s="22" t="str">
        <f>IFERROR(VLOOKUP(D651,Clientes_PDV!$A$2:$J$250,2,FALSE),"")</f>
        <v/>
      </c>
      <c r="F651" s="22" t="str">
        <f>IFERROR(VLOOKUP(D651,Clientes_PDV!$A$2:$J$250,3,FALSE),"")</f>
        <v/>
      </c>
      <c r="G651" s="22" t="str">
        <f>IFERROR(VLOOKUP(D651,Clientes_PDV!$A$2:$J$250,4,FALSE),"")</f>
        <v/>
      </c>
      <c r="H651" s="18"/>
      <c r="I651" s="22" t="str">
        <f>IFERROR(VLOOKUP(H651,Maestro_SKU!$A$2:$P$500,2,FALSE),"")</f>
        <v/>
      </c>
      <c r="J651" s="27"/>
      <c r="K651" s="19"/>
      <c r="L651" s="23" t="str">
        <f t="shared" si="80"/>
        <v/>
      </c>
      <c r="M651" s="23" t="str">
        <f>IF(L651="","",L651*Inicio!$B$13)</f>
        <v/>
      </c>
      <c r="N651" s="23" t="str">
        <f t="shared" si="81"/>
        <v/>
      </c>
      <c r="O651" s="26"/>
      <c r="P651" s="18"/>
      <c r="Q651" s="19"/>
      <c r="R651" s="23" t="str">
        <f t="shared" si="82"/>
        <v/>
      </c>
      <c r="S651" s="22" t="str">
        <f ca="1">IF(A651="","",IF(OR(P651="Pagada",R651=0),"Pagada",IF(O651&lt;TODAY(),"Vencida",IF(O651&lt;=TODAY()+Inicio!$B$19,"Próxima a vencer","Vigente"))))</f>
        <v/>
      </c>
      <c r="T651" s="18"/>
      <c r="U651" s="37" t="str">
        <f t="shared" si="83"/>
        <v/>
      </c>
      <c r="V651" s="37" t="str">
        <f t="shared" si="84"/>
        <v/>
      </c>
      <c r="W651" s="37" t="str">
        <f t="shared" si="85"/>
        <v/>
      </c>
      <c r="X651" s="37" t="str">
        <f t="shared" si="86"/>
        <v/>
      </c>
      <c r="Y651" s="37" t="str">
        <f>IF(OR($H651="",$J651=""),"",$J651*IFERROR(VLOOKUP($H651,Maestro_SKU!$A$2:$P$500,12,FALSE),1))</f>
        <v/>
      </c>
      <c r="Z651" s="37" t="str">
        <f t="shared" ca="1" si="87"/>
        <v/>
      </c>
    </row>
    <row r="652" spans="1:26" x14ac:dyDescent="0.35">
      <c r="A652" s="18"/>
      <c r="B652" s="26"/>
      <c r="C652" s="18"/>
      <c r="D652" s="18"/>
      <c r="E652" s="22" t="str">
        <f>IFERROR(VLOOKUP(D652,Clientes_PDV!$A$2:$J$250,2,FALSE),"")</f>
        <v/>
      </c>
      <c r="F652" s="22" t="str">
        <f>IFERROR(VLOOKUP(D652,Clientes_PDV!$A$2:$J$250,3,FALSE),"")</f>
        <v/>
      </c>
      <c r="G652" s="22" t="str">
        <f>IFERROR(VLOOKUP(D652,Clientes_PDV!$A$2:$J$250,4,FALSE),"")</f>
        <v/>
      </c>
      <c r="H652" s="18"/>
      <c r="I652" s="22" t="str">
        <f>IFERROR(VLOOKUP(H652,Maestro_SKU!$A$2:$P$500,2,FALSE),"")</f>
        <v/>
      </c>
      <c r="J652" s="27"/>
      <c r="K652" s="19"/>
      <c r="L652" s="23" t="str">
        <f t="shared" si="80"/>
        <v/>
      </c>
      <c r="M652" s="23" t="str">
        <f>IF(L652="","",L652*Inicio!$B$13)</f>
        <v/>
      </c>
      <c r="N652" s="23" t="str">
        <f t="shared" si="81"/>
        <v/>
      </c>
      <c r="O652" s="26"/>
      <c r="P652" s="18"/>
      <c r="Q652" s="19"/>
      <c r="R652" s="23" t="str">
        <f t="shared" si="82"/>
        <v/>
      </c>
      <c r="S652" s="22" t="str">
        <f ca="1">IF(A652="","",IF(OR(P652="Pagada",R652=0),"Pagada",IF(O652&lt;TODAY(),"Vencida",IF(O652&lt;=TODAY()+Inicio!$B$19,"Próxima a vencer","Vigente"))))</f>
        <v/>
      </c>
      <c r="T652" s="18"/>
      <c r="U652" s="37" t="str">
        <f t="shared" si="83"/>
        <v/>
      </c>
      <c r="V652" s="37" t="str">
        <f t="shared" si="84"/>
        <v/>
      </c>
      <c r="W652" s="37" t="str">
        <f t="shared" si="85"/>
        <v/>
      </c>
      <c r="X652" s="37" t="str">
        <f t="shared" si="86"/>
        <v/>
      </c>
      <c r="Y652" s="37" t="str">
        <f>IF(OR($H652="",$J652=""),"",$J652*IFERROR(VLOOKUP($H652,Maestro_SKU!$A$2:$P$500,12,FALSE),1))</f>
        <v/>
      </c>
      <c r="Z652" s="37" t="str">
        <f t="shared" ca="1" si="87"/>
        <v/>
      </c>
    </row>
    <row r="653" spans="1:26" x14ac:dyDescent="0.35">
      <c r="A653" s="18"/>
      <c r="B653" s="26"/>
      <c r="C653" s="18"/>
      <c r="D653" s="18"/>
      <c r="E653" s="22" t="str">
        <f>IFERROR(VLOOKUP(D653,Clientes_PDV!$A$2:$J$250,2,FALSE),"")</f>
        <v/>
      </c>
      <c r="F653" s="22" t="str">
        <f>IFERROR(VLOOKUP(D653,Clientes_PDV!$A$2:$J$250,3,FALSE),"")</f>
        <v/>
      </c>
      <c r="G653" s="22" t="str">
        <f>IFERROR(VLOOKUP(D653,Clientes_PDV!$A$2:$J$250,4,FALSE),"")</f>
        <v/>
      </c>
      <c r="H653" s="18"/>
      <c r="I653" s="22" t="str">
        <f>IFERROR(VLOOKUP(H653,Maestro_SKU!$A$2:$P$500,2,FALSE),"")</f>
        <v/>
      </c>
      <c r="J653" s="27"/>
      <c r="K653" s="19"/>
      <c r="L653" s="23" t="str">
        <f t="shared" si="80"/>
        <v/>
      </c>
      <c r="M653" s="23" t="str">
        <f>IF(L653="","",L653*Inicio!$B$13)</f>
        <v/>
      </c>
      <c r="N653" s="23" t="str">
        <f t="shared" si="81"/>
        <v/>
      </c>
      <c r="O653" s="26"/>
      <c r="P653" s="18"/>
      <c r="Q653" s="19"/>
      <c r="R653" s="23" t="str">
        <f t="shared" si="82"/>
        <v/>
      </c>
      <c r="S653" s="22" t="str">
        <f ca="1">IF(A653="","",IF(OR(P653="Pagada",R653=0),"Pagada",IF(O653&lt;TODAY(),"Vencida",IF(O653&lt;=TODAY()+Inicio!$B$19,"Próxima a vencer","Vigente"))))</f>
        <v/>
      </c>
      <c r="T653" s="18"/>
      <c r="U653" s="37" t="str">
        <f t="shared" si="83"/>
        <v/>
      </c>
      <c r="V653" s="37" t="str">
        <f t="shared" si="84"/>
        <v/>
      </c>
      <c r="W653" s="37" t="str">
        <f t="shared" si="85"/>
        <v/>
      </c>
      <c r="X653" s="37" t="str">
        <f t="shared" si="86"/>
        <v/>
      </c>
      <c r="Y653" s="37" t="str">
        <f>IF(OR($H653="",$J653=""),"",$J653*IFERROR(VLOOKUP($H653,Maestro_SKU!$A$2:$P$500,12,FALSE),1))</f>
        <v/>
      </c>
      <c r="Z653" s="37" t="str">
        <f t="shared" ca="1" si="87"/>
        <v/>
      </c>
    </row>
    <row r="654" spans="1:26" x14ac:dyDescent="0.35">
      <c r="A654" s="18"/>
      <c r="B654" s="26"/>
      <c r="C654" s="18"/>
      <c r="D654" s="18"/>
      <c r="E654" s="22" t="str">
        <f>IFERROR(VLOOKUP(D654,Clientes_PDV!$A$2:$J$250,2,FALSE),"")</f>
        <v/>
      </c>
      <c r="F654" s="22" t="str">
        <f>IFERROR(VLOOKUP(D654,Clientes_PDV!$A$2:$J$250,3,FALSE),"")</f>
        <v/>
      </c>
      <c r="G654" s="22" t="str">
        <f>IFERROR(VLOOKUP(D654,Clientes_PDV!$A$2:$J$250,4,FALSE),"")</f>
        <v/>
      </c>
      <c r="H654" s="18"/>
      <c r="I654" s="22" t="str">
        <f>IFERROR(VLOOKUP(H654,Maestro_SKU!$A$2:$P$500,2,FALSE),"")</f>
        <v/>
      </c>
      <c r="J654" s="27"/>
      <c r="K654" s="19"/>
      <c r="L654" s="23" t="str">
        <f t="shared" si="80"/>
        <v/>
      </c>
      <c r="M654" s="23" t="str">
        <f>IF(L654="","",L654*Inicio!$B$13)</f>
        <v/>
      </c>
      <c r="N654" s="23" t="str">
        <f t="shared" si="81"/>
        <v/>
      </c>
      <c r="O654" s="26"/>
      <c r="P654" s="18"/>
      <c r="Q654" s="19"/>
      <c r="R654" s="23" t="str">
        <f t="shared" si="82"/>
        <v/>
      </c>
      <c r="S654" s="22" t="str">
        <f ca="1">IF(A654="","",IF(OR(P654="Pagada",R654=0),"Pagada",IF(O654&lt;TODAY(),"Vencida",IF(O654&lt;=TODAY()+Inicio!$B$19,"Próxima a vencer","Vigente"))))</f>
        <v/>
      </c>
      <c r="T654" s="18"/>
      <c r="U654" s="37" t="str">
        <f t="shared" si="83"/>
        <v/>
      </c>
      <c r="V654" s="37" t="str">
        <f t="shared" si="84"/>
        <v/>
      </c>
      <c r="W654" s="37" t="str">
        <f t="shared" si="85"/>
        <v/>
      </c>
      <c r="X654" s="37" t="str">
        <f t="shared" si="86"/>
        <v/>
      </c>
      <c r="Y654" s="37" t="str">
        <f>IF(OR($H654="",$J654=""),"",$J654*IFERROR(VLOOKUP($H654,Maestro_SKU!$A$2:$P$500,12,FALSE),1))</f>
        <v/>
      </c>
      <c r="Z654" s="37" t="str">
        <f t="shared" ca="1" si="87"/>
        <v/>
      </c>
    </row>
    <row r="655" spans="1:26" x14ac:dyDescent="0.35">
      <c r="A655" s="18"/>
      <c r="B655" s="26"/>
      <c r="C655" s="18"/>
      <c r="D655" s="18"/>
      <c r="E655" s="22" t="str">
        <f>IFERROR(VLOOKUP(D655,Clientes_PDV!$A$2:$J$250,2,FALSE),"")</f>
        <v/>
      </c>
      <c r="F655" s="22" t="str">
        <f>IFERROR(VLOOKUP(D655,Clientes_PDV!$A$2:$J$250,3,FALSE),"")</f>
        <v/>
      </c>
      <c r="G655" s="22" t="str">
        <f>IFERROR(VLOOKUP(D655,Clientes_PDV!$A$2:$J$250,4,FALSE),"")</f>
        <v/>
      </c>
      <c r="H655" s="18"/>
      <c r="I655" s="22" t="str">
        <f>IFERROR(VLOOKUP(H655,Maestro_SKU!$A$2:$P$500,2,FALSE),"")</f>
        <v/>
      </c>
      <c r="J655" s="27"/>
      <c r="K655" s="19"/>
      <c r="L655" s="23" t="str">
        <f t="shared" si="80"/>
        <v/>
      </c>
      <c r="M655" s="23" t="str">
        <f>IF(L655="","",L655*Inicio!$B$13)</f>
        <v/>
      </c>
      <c r="N655" s="23" t="str">
        <f t="shared" si="81"/>
        <v/>
      </c>
      <c r="O655" s="26"/>
      <c r="P655" s="18"/>
      <c r="Q655" s="19"/>
      <c r="R655" s="23" t="str">
        <f t="shared" si="82"/>
        <v/>
      </c>
      <c r="S655" s="22" t="str">
        <f ca="1">IF(A655="","",IF(OR(P655="Pagada",R655=0),"Pagada",IF(O655&lt;TODAY(),"Vencida",IF(O655&lt;=TODAY()+Inicio!$B$19,"Próxima a vencer","Vigente"))))</f>
        <v/>
      </c>
      <c r="T655" s="18"/>
      <c r="U655" s="37" t="str">
        <f t="shared" si="83"/>
        <v/>
      </c>
      <c r="V655" s="37" t="str">
        <f t="shared" si="84"/>
        <v/>
      </c>
      <c r="W655" s="37" t="str">
        <f t="shared" si="85"/>
        <v/>
      </c>
      <c r="X655" s="37" t="str">
        <f t="shared" si="86"/>
        <v/>
      </c>
      <c r="Y655" s="37" t="str">
        <f>IF(OR($H655="",$J655=""),"",$J655*IFERROR(VLOOKUP($H655,Maestro_SKU!$A$2:$P$500,12,FALSE),1))</f>
        <v/>
      </c>
      <c r="Z655" s="37" t="str">
        <f t="shared" ca="1" si="87"/>
        <v/>
      </c>
    </row>
    <row r="656" spans="1:26" x14ac:dyDescent="0.35">
      <c r="A656" s="18"/>
      <c r="B656" s="26"/>
      <c r="C656" s="18"/>
      <c r="D656" s="18"/>
      <c r="E656" s="22" t="str">
        <f>IFERROR(VLOOKUP(D656,Clientes_PDV!$A$2:$J$250,2,FALSE),"")</f>
        <v/>
      </c>
      <c r="F656" s="22" t="str">
        <f>IFERROR(VLOOKUP(D656,Clientes_PDV!$A$2:$J$250,3,FALSE),"")</f>
        <v/>
      </c>
      <c r="G656" s="22" t="str">
        <f>IFERROR(VLOOKUP(D656,Clientes_PDV!$A$2:$J$250,4,FALSE),"")</f>
        <v/>
      </c>
      <c r="H656" s="18"/>
      <c r="I656" s="22" t="str">
        <f>IFERROR(VLOOKUP(H656,Maestro_SKU!$A$2:$P$500,2,FALSE),"")</f>
        <v/>
      </c>
      <c r="J656" s="27"/>
      <c r="K656" s="19"/>
      <c r="L656" s="23" t="str">
        <f t="shared" si="80"/>
        <v/>
      </c>
      <c r="M656" s="23" t="str">
        <f>IF(L656="","",L656*Inicio!$B$13)</f>
        <v/>
      </c>
      <c r="N656" s="23" t="str">
        <f t="shared" si="81"/>
        <v/>
      </c>
      <c r="O656" s="26"/>
      <c r="P656" s="18"/>
      <c r="Q656" s="19"/>
      <c r="R656" s="23" t="str">
        <f t="shared" si="82"/>
        <v/>
      </c>
      <c r="S656" s="22" t="str">
        <f ca="1">IF(A656="","",IF(OR(P656="Pagada",R656=0),"Pagada",IF(O656&lt;TODAY(),"Vencida",IF(O656&lt;=TODAY()+Inicio!$B$19,"Próxima a vencer","Vigente"))))</f>
        <v/>
      </c>
      <c r="T656" s="18"/>
      <c r="U656" s="37" t="str">
        <f t="shared" si="83"/>
        <v/>
      </c>
      <c r="V656" s="37" t="str">
        <f t="shared" si="84"/>
        <v/>
      </c>
      <c r="W656" s="37" t="str">
        <f t="shared" si="85"/>
        <v/>
      </c>
      <c r="X656" s="37" t="str">
        <f t="shared" si="86"/>
        <v/>
      </c>
      <c r="Y656" s="37" t="str">
        <f>IF(OR($H656="",$J656=""),"",$J656*IFERROR(VLOOKUP($H656,Maestro_SKU!$A$2:$P$500,12,FALSE),1))</f>
        <v/>
      </c>
      <c r="Z656" s="37" t="str">
        <f t="shared" ca="1" si="87"/>
        <v/>
      </c>
    </row>
    <row r="657" spans="1:26" x14ac:dyDescent="0.35">
      <c r="A657" s="18"/>
      <c r="B657" s="26"/>
      <c r="C657" s="18"/>
      <c r="D657" s="18"/>
      <c r="E657" s="22" t="str">
        <f>IFERROR(VLOOKUP(D657,Clientes_PDV!$A$2:$J$250,2,FALSE),"")</f>
        <v/>
      </c>
      <c r="F657" s="22" t="str">
        <f>IFERROR(VLOOKUP(D657,Clientes_PDV!$A$2:$J$250,3,FALSE),"")</f>
        <v/>
      </c>
      <c r="G657" s="22" t="str">
        <f>IFERROR(VLOOKUP(D657,Clientes_PDV!$A$2:$J$250,4,FALSE),"")</f>
        <v/>
      </c>
      <c r="H657" s="18"/>
      <c r="I657" s="22" t="str">
        <f>IFERROR(VLOOKUP(H657,Maestro_SKU!$A$2:$P$500,2,FALSE),"")</f>
        <v/>
      </c>
      <c r="J657" s="27"/>
      <c r="K657" s="19"/>
      <c r="L657" s="23" t="str">
        <f t="shared" si="80"/>
        <v/>
      </c>
      <c r="M657" s="23" t="str">
        <f>IF(L657="","",L657*Inicio!$B$13)</f>
        <v/>
      </c>
      <c r="N657" s="23" t="str">
        <f t="shared" si="81"/>
        <v/>
      </c>
      <c r="O657" s="26"/>
      <c r="P657" s="18"/>
      <c r="Q657" s="19"/>
      <c r="R657" s="23" t="str">
        <f t="shared" si="82"/>
        <v/>
      </c>
      <c r="S657" s="22" t="str">
        <f ca="1">IF(A657="","",IF(OR(P657="Pagada",R657=0),"Pagada",IF(O657&lt;TODAY(),"Vencida",IF(O657&lt;=TODAY()+Inicio!$B$19,"Próxima a vencer","Vigente"))))</f>
        <v/>
      </c>
      <c r="T657" s="18"/>
      <c r="U657" s="37" t="str">
        <f t="shared" si="83"/>
        <v/>
      </c>
      <c r="V657" s="37" t="str">
        <f t="shared" si="84"/>
        <v/>
      </c>
      <c r="W657" s="37" t="str">
        <f t="shared" si="85"/>
        <v/>
      </c>
      <c r="X657" s="37" t="str">
        <f t="shared" si="86"/>
        <v/>
      </c>
      <c r="Y657" s="37" t="str">
        <f>IF(OR($H657="",$J657=""),"",$J657*IFERROR(VLOOKUP($H657,Maestro_SKU!$A$2:$P$500,12,FALSE),1))</f>
        <v/>
      </c>
      <c r="Z657" s="37" t="str">
        <f t="shared" ca="1" si="87"/>
        <v/>
      </c>
    </row>
    <row r="658" spans="1:26" x14ac:dyDescent="0.35">
      <c r="A658" s="18"/>
      <c r="B658" s="26"/>
      <c r="C658" s="18"/>
      <c r="D658" s="18"/>
      <c r="E658" s="22" t="str">
        <f>IFERROR(VLOOKUP(D658,Clientes_PDV!$A$2:$J$250,2,FALSE),"")</f>
        <v/>
      </c>
      <c r="F658" s="22" t="str">
        <f>IFERROR(VLOOKUP(D658,Clientes_PDV!$A$2:$J$250,3,FALSE),"")</f>
        <v/>
      </c>
      <c r="G658" s="22" t="str">
        <f>IFERROR(VLOOKUP(D658,Clientes_PDV!$A$2:$J$250,4,FALSE),"")</f>
        <v/>
      </c>
      <c r="H658" s="18"/>
      <c r="I658" s="22" t="str">
        <f>IFERROR(VLOOKUP(H658,Maestro_SKU!$A$2:$P$500,2,FALSE),"")</f>
        <v/>
      </c>
      <c r="J658" s="27"/>
      <c r="K658" s="19"/>
      <c r="L658" s="23" t="str">
        <f t="shared" si="80"/>
        <v/>
      </c>
      <c r="M658" s="23" t="str">
        <f>IF(L658="","",L658*Inicio!$B$13)</f>
        <v/>
      </c>
      <c r="N658" s="23" t="str">
        <f t="shared" si="81"/>
        <v/>
      </c>
      <c r="O658" s="26"/>
      <c r="P658" s="18"/>
      <c r="Q658" s="19"/>
      <c r="R658" s="23" t="str">
        <f t="shared" si="82"/>
        <v/>
      </c>
      <c r="S658" s="22" t="str">
        <f ca="1">IF(A658="","",IF(OR(P658="Pagada",R658=0),"Pagada",IF(O658&lt;TODAY(),"Vencida",IF(O658&lt;=TODAY()+Inicio!$B$19,"Próxima a vencer","Vigente"))))</f>
        <v/>
      </c>
      <c r="T658" s="18"/>
      <c r="U658" s="37" t="str">
        <f t="shared" si="83"/>
        <v/>
      </c>
      <c r="V658" s="37" t="str">
        <f t="shared" si="84"/>
        <v/>
      </c>
      <c r="W658" s="37" t="str">
        <f t="shared" si="85"/>
        <v/>
      </c>
      <c r="X658" s="37" t="str">
        <f t="shared" si="86"/>
        <v/>
      </c>
      <c r="Y658" s="37" t="str">
        <f>IF(OR($H658="",$J658=""),"",$J658*IFERROR(VLOOKUP($H658,Maestro_SKU!$A$2:$P$500,12,FALSE),1))</f>
        <v/>
      </c>
      <c r="Z658" s="37" t="str">
        <f t="shared" ca="1" si="87"/>
        <v/>
      </c>
    </row>
    <row r="659" spans="1:26" x14ac:dyDescent="0.35">
      <c r="A659" s="18"/>
      <c r="B659" s="26"/>
      <c r="C659" s="18"/>
      <c r="D659" s="18"/>
      <c r="E659" s="22" t="str">
        <f>IFERROR(VLOOKUP(D659,Clientes_PDV!$A$2:$J$250,2,FALSE),"")</f>
        <v/>
      </c>
      <c r="F659" s="22" t="str">
        <f>IFERROR(VLOOKUP(D659,Clientes_PDV!$A$2:$J$250,3,FALSE),"")</f>
        <v/>
      </c>
      <c r="G659" s="22" t="str">
        <f>IFERROR(VLOOKUP(D659,Clientes_PDV!$A$2:$J$250,4,FALSE),"")</f>
        <v/>
      </c>
      <c r="H659" s="18"/>
      <c r="I659" s="22" t="str">
        <f>IFERROR(VLOOKUP(H659,Maestro_SKU!$A$2:$P$500,2,FALSE),"")</f>
        <v/>
      </c>
      <c r="J659" s="27"/>
      <c r="K659" s="19"/>
      <c r="L659" s="23" t="str">
        <f t="shared" si="80"/>
        <v/>
      </c>
      <c r="M659" s="23" t="str">
        <f>IF(L659="","",L659*Inicio!$B$13)</f>
        <v/>
      </c>
      <c r="N659" s="23" t="str">
        <f t="shared" si="81"/>
        <v/>
      </c>
      <c r="O659" s="26"/>
      <c r="P659" s="18"/>
      <c r="Q659" s="19"/>
      <c r="R659" s="23" t="str">
        <f t="shared" si="82"/>
        <v/>
      </c>
      <c r="S659" s="22" t="str">
        <f ca="1">IF(A659="","",IF(OR(P659="Pagada",R659=0),"Pagada",IF(O659&lt;TODAY(),"Vencida",IF(O659&lt;=TODAY()+Inicio!$B$19,"Próxima a vencer","Vigente"))))</f>
        <v/>
      </c>
      <c r="T659" s="18"/>
      <c r="U659" s="37" t="str">
        <f t="shared" si="83"/>
        <v/>
      </c>
      <c r="V659" s="37" t="str">
        <f t="shared" si="84"/>
        <v/>
      </c>
      <c r="W659" s="37" t="str">
        <f t="shared" si="85"/>
        <v/>
      </c>
      <c r="X659" s="37" t="str">
        <f t="shared" si="86"/>
        <v/>
      </c>
      <c r="Y659" s="37" t="str">
        <f>IF(OR($H659="",$J659=""),"",$J659*IFERROR(VLOOKUP($H659,Maestro_SKU!$A$2:$P$500,12,FALSE),1))</f>
        <v/>
      </c>
      <c r="Z659" s="37" t="str">
        <f t="shared" ca="1" si="87"/>
        <v/>
      </c>
    </row>
    <row r="660" spans="1:26" x14ac:dyDescent="0.35">
      <c r="A660" s="18"/>
      <c r="B660" s="26"/>
      <c r="C660" s="18"/>
      <c r="D660" s="18"/>
      <c r="E660" s="22" t="str">
        <f>IFERROR(VLOOKUP(D660,Clientes_PDV!$A$2:$J$250,2,FALSE),"")</f>
        <v/>
      </c>
      <c r="F660" s="22" t="str">
        <f>IFERROR(VLOOKUP(D660,Clientes_PDV!$A$2:$J$250,3,FALSE),"")</f>
        <v/>
      </c>
      <c r="G660" s="22" t="str">
        <f>IFERROR(VLOOKUP(D660,Clientes_PDV!$A$2:$J$250,4,FALSE),"")</f>
        <v/>
      </c>
      <c r="H660" s="18"/>
      <c r="I660" s="22" t="str">
        <f>IFERROR(VLOOKUP(H660,Maestro_SKU!$A$2:$P$500,2,FALSE),"")</f>
        <v/>
      </c>
      <c r="J660" s="27"/>
      <c r="K660" s="19"/>
      <c r="L660" s="23" t="str">
        <f t="shared" si="80"/>
        <v/>
      </c>
      <c r="M660" s="23" t="str">
        <f>IF(L660="","",L660*Inicio!$B$13)</f>
        <v/>
      </c>
      <c r="N660" s="23" t="str">
        <f t="shared" si="81"/>
        <v/>
      </c>
      <c r="O660" s="26"/>
      <c r="P660" s="18"/>
      <c r="Q660" s="19"/>
      <c r="R660" s="23" t="str">
        <f t="shared" si="82"/>
        <v/>
      </c>
      <c r="S660" s="22" t="str">
        <f ca="1">IF(A660="","",IF(OR(P660="Pagada",R660=0),"Pagada",IF(O660&lt;TODAY(),"Vencida",IF(O660&lt;=TODAY()+Inicio!$B$19,"Próxima a vencer","Vigente"))))</f>
        <v/>
      </c>
      <c r="T660" s="18"/>
      <c r="U660" s="37" t="str">
        <f t="shared" si="83"/>
        <v/>
      </c>
      <c r="V660" s="37" t="str">
        <f t="shared" si="84"/>
        <v/>
      </c>
      <c r="W660" s="37" t="str">
        <f t="shared" si="85"/>
        <v/>
      </c>
      <c r="X660" s="37" t="str">
        <f t="shared" si="86"/>
        <v/>
      </c>
      <c r="Y660" s="37" t="str">
        <f>IF(OR($H660="",$J660=""),"",$J660*IFERROR(VLOOKUP($H660,Maestro_SKU!$A$2:$P$500,12,FALSE),1))</f>
        <v/>
      </c>
      <c r="Z660" s="37" t="str">
        <f t="shared" ca="1" si="87"/>
        <v/>
      </c>
    </row>
    <row r="661" spans="1:26" x14ac:dyDescent="0.35">
      <c r="A661" s="18"/>
      <c r="B661" s="26"/>
      <c r="C661" s="18"/>
      <c r="D661" s="18"/>
      <c r="E661" s="22" t="str">
        <f>IFERROR(VLOOKUP(D661,Clientes_PDV!$A$2:$J$250,2,FALSE),"")</f>
        <v/>
      </c>
      <c r="F661" s="22" t="str">
        <f>IFERROR(VLOOKUP(D661,Clientes_PDV!$A$2:$J$250,3,FALSE),"")</f>
        <v/>
      </c>
      <c r="G661" s="22" t="str">
        <f>IFERROR(VLOOKUP(D661,Clientes_PDV!$A$2:$J$250,4,FALSE),"")</f>
        <v/>
      </c>
      <c r="H661" s="18"/>
      <c r="I661" s="22" t="str">
        <f>IFERROR(VLOOKUP(H661,Maestro_SKU!$A$2:$P$500,2,FALSE),"")</f>
        <v/>
      </c>
      <c r="J661" s="27"/>
      <c r="K661" s="19"/>
      <c r="L661" s="23" t="str">
        <f t="shared" si="80"/>
        <v/>
      </c>
      <c r="M661" s="23" t="str">
        <f>IF(L661="","",L661*Inicio!$B$13)</f>
        <v/>
      </c>
      <c r="N661" s="23" t="str">
        <f t="shared" si="81"/>
        <v/>
      </c>
      <c r="O661" s="26"/>
      <c r="P661" s="18"/>
      <c r="Q661" s="19"/>
      <c r="R661" s="23" t="str">
        <f t="shared" si="82"/>
        <v/>
      </c>
      <c r="S661" s="22" t="str">
        <f ca="1">IF(A661="","",IF(OR(P661="Pagada",R661=0),"Pagada",IF(O661&lt;TODAY(),"Vencida",IF(O661&lt;=TODAY()+Inicio!$B$19,"Próxima a vencer","Vigente"))))</f>
        <v/>
      </c>
      <c r="T661" s="18"/>
      <c r="U661" s="37" t="str">
        <f t="shared" si="83"/>
        <v/>
      </c>
      <c r="V661" s="37" t="str">
        <f t="shared" si="84"/>
        <v/>
      </c>
      <c r="W661" s="37" t="str">
        <f t="shared" si="85"/>
        <v/>
      </c>
      <c r="X661" s="37" t="str">
        <f t="shared" si="86"/>
        <v/>
      </c>
      <c r="Y661" s="37" t="str">
        <f>IF(OR($H661="",$J661=""),"",$J661*IFERROR(VLOOKUP($H661,Maestro_SKU!$A$2:$P$500,12,FALSE),1))</f>
        <v/>
      </c>
      <c r="Z661" s="37" t="str">
        <f t="shared" ca="1" si="87"/>
        <v/>
      </c>
    </row>
    <row r="662" spans="1:26" x14ac:dyDescent="0.35">
      <c r="A662" s="18"/>
      <c r="B662" s="26"/>
      <c r="C662" s="18"/>
      <c r="D662" s="18"/>
      <c r="E662" s="22" t="str">
        <f>IFERROR(VLOOKUP(D662,Clientes_PDV!$A$2:$J$250,2,FALSE),"")</f>
        <v/>
      </c>
      <c r="F662" s="22" t="str">
        <f>IFERROR(VLOOKUP(D662,Clientes_PDV!$A$2:$J$250,3,FALSE),"")</f>
        <v/>
      </c>
      <c r="G662" s="22" t="str">
        <f>IFERROR(VLOOKUP(D662,Clientes_PDV!$A$2:$J$250,4,FALSE),"")</f>
        <v/>
      </c>
      <c r="H662" s="18"/>
      <c r="I662" s="22" t="str">
        <f>IFERROR(VLOOKUP(H662,Maestro_SKU!$A$2:$P$500,2,FALSE),"")</f>
        <v/>
      </c>
      <c r="J662" s="27"/>
      <c r="K662" s="19"/>
      <c r="L662" s="23" t="str">
        <f t="shared" si="80"/>
        <v/>
      </c>
      <c r="M662" s="23" t="str">
        <f>IF(L662="","",L662*Inicio!$B$13)</f>
        <v/>
      </c>
      <c r="N662" s="23" t="str">
        <f t="shared" si="81"/>
        <v/>
      </c>
      <c r="O662" s="26"/>
      <c r="P662" s="18"/>
      <c r="Q662" s="19"/>
      <c r="R662" s="23" t="str">
        <f t="shared" si="82"/>
        <v/>
      </c>
      <c r="S662" s="22" t="str">
        <f ca="1">IF(A662="","",IF(OR(P662="Pagada",R662=0),"Pagada",IF(O662&lt;TODAY(),"Vencida",IF(O662&lt;=TODAY()+Inicio!$B$19,"Próxima a vencer","Vigente"))))</f>
        <v/>
      </c>
      <c r="T662" s="18"/>
      <c r="U662" s="37" t="str">
        <f t="shared" si="83"/>
        <v/>
      </c>
      <c r="V662" s="37" t="str">
        <f t="shared" si="84"/>
        <v/>
      </c>
      <c r="W662" s="37" t="str">
        <f t="shared" si="85"/>
        <v/>
      </c>
      <c r="X662" s="37" t="str">
        <f t="shared" si="86"/>
        <v/>
      </c>
      <c r="Y662" s="37" t="str">
        <f>IF(OR($H662="",$J662=""),"",$J662*IFERROR(VLOOKUP($H662,Maestro_SKU!$A$2:$P$500,12,FALSE),1))</f>
        <v/>
      </c>
      <c r="Z662" s="37" t="str">
        <f t="shared" ca="1" si="87"/>
        <v/>
      </c>
    </row>
    <row r="663" spans="1:26" x14ac:dyDescent="0.35">
      <c r="A663" s="18"/>
      <c r="B663" s="26"/>
      <c r="C663" s="18"/>
      <c r="D663" s="18"/>
      <c r="E663" s="22" t="str">
        <f>IFERROR(VLOOKUP(D663,Clientes_PDV!$A$2:$J$250,2,FALSE),"")</f>
        <v/>
      </c>
      <c r="F663" s="22" t="str">
        <f>IFERROR(VLOOKUP(D663,Clientes_PDV!$A$2:$J$250,3,FALSE),"")</f>
        <v/>
      </c>
      <c r="G663" s="22" t="str">
        <f>IFERROR(VLOOKUP(D663,Clientes_PDV!$A$2:$J$250,4,FALSE),"")</f>
        <v/>
      </c>
      <c r="H663" s="18"/>
      <c r="I663" s="22" t="str">
        <f>IFERROR(VLOOKUP(H663,Maestro_SKU!$A$2:$P$500,2,FALSE),"")</f>
        <v/>
      </c>
      <c r="J663" s="27"/>
      <c r="K663" s="19"/>
      <c r="L663" s="23" t="str">
        <f t="shared" si="80"/>
        <v/>
      </c>
      <c r="M663" s="23" t="str">
        <f>IF(L663="","",L663*Inicio!$B$13)</f>
        <v/>
      </c>
      <c r="N663" s="23" t="str">
        <f t="shared" si="81"/>
        <v/>
      </c>
      <c r="O663" s="26"/>
      <c r="P663" s="18"/>
      <c r="Q663" s="19"/>
      <c r="R663" s="23" t="str">
        <f t="shared" si="82"/>
        <v/>
      </c>
      <c r="S663" s="22" t="str">
        <f ca="1">IF(A663="","",IF(OR(P663="Pagada",R663=0),"Pagada",IF(O663&lt;TODAY(),"Vencida",IF(O663&lt;=TODAY()+Inicio!$B$19,"Próxima a vencer","Vigente"))))</f>
        <v/>
      </c>
      <c r="T663" s="18"/>
      <c r="U663" s="37" t="str">
        <f t="shared" si="83"/>
        <v/>
      </c>
      <c r="V663" s="37" t="str">
        <f t="shared" si="84"/>
        <v/>
      </c>
      <c r="W663" s="37" t="str">
        <f t="shared" si="85"/>
        <v/>
      </c>
      <c r="X663" s="37" t="str">
        <f t="shared" si="86"/>
        <v/>
      </c>
      <c r="Y663" s="37" t="str">
        <f>IF(OR($H663="",$J663=""),"",$J663*IFERROR(VLOOKUP($H663,Maestro_SKU!$A$2:$P$500,12,FALSE),1))</f>
        <v/>
      </c>
      <c r="Z663" s="37" t="str">
        <f t="shared" ca="1" si="87"/>
        <v/>
      </c>
    </row>
    <row r="664" spans="1:26" x14ac:dyDescent="0.35">
      <c r="A664" s="18"/>
      <c r="B664" s="26"/>
      <c r="C664" s="18"/>
      <c r="D664" s="18"/>
      <c r="E664" s="22" t="str">
        <f>IFERROR(VLOOKUP(D664,Clientes_PDV!$A$2:$J$250,2,FALSE),"")</f>
        <v/>
      </c>
      <c r="F664" s="22" t="str">
        <f>IFERROR(VLOOKUP(D664,Clientes_PDV!$A$2:$J$250,3,FALSE),"")</f>
        <v/>
      </c>
      <c r="G664" s="22" t="str">
        <f>IFERROR(VLOOKUP(D664,Clientes_PDV!$A$2:$J$250,4,FALSE),"")</f>
        <v/>
      </c>
      <c r="H664" s="18"/>
      <c r="I664" s="22" t="str">
        <f>IFERROR(VLOOKUP(H664,Maestro_SKU!$A$2:$P$500,2,FALSE),"")</f>
        <v/>
      </c>
      <c r="J664" s="27"/>
      <c r="K664" s="19"/>
      <c r="L664" s="23" t="str">
        <f t="shared" si="80"/>
        <v/>
      </c>
      <c r="M664" s="23" t="str">
        <f>IF(L664="","",L664*Inicio!$B$13)</f>
        <v/>
      </c>
      <c r="N664" s="23" t="str">
        <f t="shared" si="81"/>
        <v/>
      </c>
      <c r="O664" s="26"/>
      <c r="P664" s="18"/>
      <c r="Q664" s="19"/>
      <c r="R664" s="23" t="str">
        <f t="shared" si="82"/>
        <v/>
      </c>
      <c r="S664" s="22" t="str">
        <f ca="1">IF(A664="","",IF(OR(P664="Pagada",R664=0),"Pagada",IF(O664&lt;TODAY(),"Vencida",IF(O664&lt;=TODAY()+Inicio!$B$19,"Próxima a vencer","Vigente"))))</f>
        <v/>
      </c>
      <c r="T664" s="18"/>
      <c r="U664" s="37" t="str">
        <f t="shared" si="83"/>
        <v/>
      </c>
      <c r="V664" s="37" t="str">
        <f t="shared" si="84"/>
        <v/>
      </c>
      <c r="W664" s="37" t="str">
        <f t="shared" si="85"/>
        <v/>
      </c>
      <c r="X664" s="37" t="str">
        <f t="shared" si="86"/>
        <v/>
      </c>
      <c r="Y664" s="37" t="str">
        <f>IF(OR($H664="",$J664=""),"",$J664*IFERROR(VLOOKUP($H664,Maestro_SKU!$A$2:$P$500,12,FALSE),1))</f>
        <v/>
      </c>
      <c r="Z664" s="37" t="str">
        <f t="shared" ca="1" si="87"/>
        <v/>
      </c>
    </row>
    <row r="665" spans="1:26" x14ac:dyDescent="0.35">
      <c r="A665" s="18"/>
      <c r="B665" s="26"/>
      <c r="C665" s="18"/>
      <c r="D665" s="18"/>
      <c r="E665" s="22" t="str">
        <f>IFERROR(VLOOKUP(D665,Clientes_PDV!$A$2:$J$250,2,FALSE),"")</f>
        <v/>
      </c>
      <c r="F665" s="22" t="str">
        <f>IFERROR(VLOOKUP(D665,Clientes_PDV!$A$2:$J$250,3,FALSE),"")</f>
        <v/>
      </c>
      <c r="G665" s="22" t="str">
        <f>IFERROR(VLOOKUP(D665,Clientes_PDV!$A$2:$J$250,4,FALSE),"")</f>
        <v/>
      </c>
      <c r="H665" s="18"/>
      <c r="I665" s="22" t="str">
        <f>IFERROR(VLOOKUP(H665,Maestro_SKU!$A$2:$P$500,2,FALSE),"")</f>
        <v/>
      </c>
      <c r="J665" s="27"/>
      <c r="K665" s="19"/>
      <c r="L665" s="23" t="str">
        <f t="shared" si="80"/>
        <v/>
      </c>
      <c r="M665" s="23" t="str">
        <f>IF(L665="","",L665*Inicio!$B$13)</f>
        <v/>
      </c>
      <c r="N665" s="23" t="str">
        <f t="shared" si="81"/>
        <v/>
      </c>
      <c r="O665" s="26"/>
      <c r="P665" s="18"/>
      <c r="Q665" s="19"/>
      <c r="R665" s="23" t="str">
        <f t="shared" si="82"/>
        <v/>
      </c>
      <c r="S665" s="22" t="str">
        <f ca="1">IF(A665="","",IF(OR(P665="Pagada",R665=0),"Pagada",IF(O665&lt;TODAY(),"Vencida",IF(O665&lt;=TODAY()+Inicio!$B$19,"Próxima a vencer","Vigente"))))</f>
        <v/>
      </c>
      <c r="T665" s="18"/>
      <c r="U665" s="37" t="str">
        <f t="shared" si="83"/>
        <v/>
      </c>
      <c r="V665" s="37" t="str">
        <f t="shared" si="84"/>
        <v/>
      </c>
      <c r="W665" s="37" t="str">
        <f t="shared" si="85"/>
        <v/>
      </c>
      <c r="X665" s="37" t="str">
        <f t="shared" si="86"/>
        <v/>
      </c>
      <c r="Y665" s="37" t="str">
        <f>IF(OR($H665="",$J665=""),"",$J665*IFERROR(VLOOKUP($H665,Maestro_SKU!$A$2:$P$500,12,FALSE),1))</f>
        <v/>
      </c>
      <c r="Z665" s="37" t="str">
        <f t="shared" ca="1" si="87"/>
        <v/>
      </c>
    </row>
    <row r="666" spans="1:26" x14ac:dyDescent="0.35">
      <c r="A666" s="18"/>
      <c r="B666" s="26"/>
      <c r="C666" s="18"/>
      <c r="D666" s="18"/>
      <c r="E666" s="22" t="str">
        <f>IFERROR(VLOOKUP(D666,Clientes_PDV!$A$2:$J$250,2,FALSE),"")</f>
        <v/>
      </c>
      <c r="F666" s="22" t="str">
        <f>IFERROR(VLOOKUP(D666,Clientes_PDV!$A$2:$J$250,3,FALSE),"")</f>
        <v/>
      </c>
      <c r="G666" s="22" t="str">
        <f>IFERROR(VLOOKUP(D666,Clientes_PDV!$A$2:$J$250,4,FALSE),"")</f>
        <v/>
      </c>
      <c r="H666" s="18"/>
      <c r="I666" s="22" t="str">
        <f>IFERROR(VLOOKUP(H666,Maestro_SKU!$A$2:$P$500,2,FALSE),"")</f>
        <v/>
      </c>
      <c r="J666" s="27"/>
      <c r="K666" s="19"/>
      <c r="L666" s="23" t="str">
        <f t="shared" si="80"/>
        <v/>
      </c>
      <c r="M666" s="23" t="str">
        <f>IF(L666="","",L666*Inicio!$B$13)</f>
        <v/>
      </c>
      <c r="N666" s="23" t="str">
        <f t="shared" si="81"/>
        <v/>
      </c>
      <c r="O666" s="26"/>
      <c r="P666" s="18"/>
      <c r="Q666" s="19"/>
      <c r="R666" s="23" t="str">
        <f t="shared" si="82"/>
        <v/>
      </c>
      <c r="S666" s="22" t="str">
        <f ca="1">IF(A666="","",IF(OR(P666="Pagada",R666=0),"Pagada",IF(O666&lt;TODAY(),"Vencida",IF(O666&lt;=TODAY()+Inicio!$B$19,"Próxima a vencer","Vigente"))))</f>
        <v/>
      </c>
      <c r="T666" s="18"/>
      <c r="U666" s="37" t="str">
        <f t="shared" si="83"/>
        <v/>
      </c>
      <c r="V666" s="37" t="str">
        <f t="shared" si="84"/>
        <v/>
      </c>
      <c r="W666" s="37" t="str">
        <f t="shared" si="85"/>
        <v/>
      </c>
      <c r="X666" s="37" t="str">
        <f t="shared" si="86"/>
        <v/>
      </c>
      <c r="Y666" s="37" t="str">
        <f>IF(OR($H666="",$J666=""),"",$J666*IFERROR(VLOOKUP($H666,Maestro_SKU!$A$2:$P$500,12,FALSE),1))</f>
        <v/>
      </c>
      <c r="Z666" s="37" t="str">
        <f t="shared" ca="1" si="87"/>
        <v/>
      </c>
    </row>
    <row r="667" spans="1:26" x14ac:dyDescent="0.35">
      <c r="A667" s="18"/>
      <c r="B667" s="26"/>
      <c r="C667" s="18"/>
      <c r="D667" s="18"/>
      <c r="E667" s="22" t="str">
        <f>IFERROR(VLOOKUP(D667,Clientes_PDV!$A$2:$J$250,2,FALSE),"")</f>
        <v/>
      </c>
      <c r="F667" s="22" t="str">
        <f>IFERROR(VLOOKUP(D667,Clientes_PDV!$A$2:$J$250,3,FALSE),"")</f>
        <v/>
      </c>
      <c r="G667" s="22" t="str">
        <f>IFERROR(VLOOKUP(D667,Clientes_PDV!$A$2:$J$250,4,FALSE),"")</f>
        <v/>
      </c>
      <c r="H667" s="18"/>
      <c r="I667" s="22" t="str">
        <f>IFERROR(VLOOKUP(H667,Maestro_SKU!$A$2:$P$500,2,FALSE),"")</f>
        <v/>
      </c>
      <c r="J667" s="27"/>
      <c r="K667" s="19"/>
      <c r="L667" s="23" t="str">
        <f t="shared" si="80"/>
        <v/>
      </c>
      <c r="M667" s="23" t="str">
        <f>IF(L667="","",L667*Inicio!$B$13)</f>
        <v/>
      </c>
      <c r="N667" s="23" t="str">
        <f t="shared" si="81"/>
        <v/>
      </c>
      <c r="O667" s="26"/>
      <c r="P667" s="18"/>
      <c r="Q667" s="19"/>
      <c r="R667" s="23" t="str">
        <f t="shared" si="82"/>
        <v/>
      </c>
      <c r="S667" s="22" t="str">
        <f ca="1">IF(A667="","",IF(OR(P667="Pagada",R667=0),"Pagada",IF(O667&lt;TODAY(),"Vencida",IF(O667&lt;=TODAY()+Inicio!$B$19,"Próxima a vencer","Vigente"))))</f>
        <v/>
      </c>
      <c r="T667" s="18"/>
      <c r="U667" s="37" t="str">
        <f t="shared" si="83"/>
        <v/>
      </c>
      <c r="V667" s="37" t="str">
        <f t="shared" si="84"/>
        <v/>
      </c>
      <c r="W667" s="37" t="str">
        <f t="shared" si="85"/>
        <v/>
      </c>
      <c r="X667" s="37" t="str">
        <f t="shared" si="86"/>
        <v/>
      </c>
      <c r="Y667" s="37" t="str">
        <f>IF(OR($H667="",$J667=""),"",$J667*IFERROR(VLOOKUP($H667,Maestro_SKU!$A$2:$P$500,12,FALSE),1))</f>
        <v/>
      </c>
      <c r="Z667" s="37" t="str">
        <f t="shared" ca="1" si="87"/>
        <v/>
      </c>
    </row>
    <row r="668" spans="1:26" x14ac:dyDescent="0.35">
      <c r="A668" s="18"/>
      <c r="B668" s="26"/>
      <c r="C668" s="18"/>
      <c r="D668" s="18"/>
      <c r="E668" s="22" t="str">
        <f>IFERROR(VLOOKUP(D668,Clientes_PDV!$A$2:$J$250,2,FALSE),"")</f>
        <v/>
      </c>
      <c r="F668" s="22" t="str">
        <f>IFERROR(VLOOKUP(D668,Clientes_PDV!$A$2:$J$250,3,FALSE),"")</f>
        <v/>
      </c>
      <c r="G668" s="22" t="str">
        <f>IFERROR(VLOOKUP(D668,Clientes_PDV!$A$2:$J$250,4,FALSE),"")</f>
        <v/>
      </c>
      <c r="H668" s="18"/>
      <c r="I668" s="22" t="str">
        <f>IFERROR(VLOOKUP(H668,Maestro_SKU!$A$2:$P$500,2,FALSE),"")</f>
        <v/>
      </c>
      <c r="J668" s="27"/>
      <c r="K668" s="19"/>
      <c r="L668" s="23" t="str">
        <f t="shared" si="80"/>
        <v/>
      </c>
      <c r="M668" s="23" t="str">
        <f>IF(L668="","",L668*Inicio!$B$13)</f>
        <v/>
      </c>
      <c r="N668" s="23" t="str">
        <f t="shared" si="81"/>
        <v/>
      </c>
      <c r="O668" s="26"/>
      <c r="P668" s="18"/>
      <c r="Q668" s="19"/>
      <c r="R668" s="23" t="str">
        <f t="shared" si="82"/>
        <v/>
      </c>
      <c r="S668" s="22" t="str">
        <f ca="1">IF(A668="","",IF(OR(P668="Pagada",R668=0),"Pagada",IF(O668&lt;TODAY(),"Vencida",IF(O668&lt;=TODAY()+Inicio!$B$19,"Próxima a vencer","Vigente"))))</f>
        <v/>
      </c>
      <c r="T668" s="18"/>
      <c r="U668" s="37" t="str">
        <f t="shared" si="83"/>
        <v/>
      </c>
      <c r="V668" s="37" t="str">
        <f t="shared" si="84"/>
        <v/>
      </c>
      <c r="W668" s="37" t="str">
        <f t="shared" si="85"/>
        <v/>
      </c>
      <c r="X668" s="37" t="str">
        <f t="shared" si="86"/>
        <v/>
      </c>
      <c r="Y668" s="37" t="str">
        <f>IF(OR($H668="",$J668=""),"",$J668*IFERROR(VLOOKUP($H668,Maestro_SKU!$A$2:$P$500,12,FALSE),1))</f>
        <v/>
      </c>
      <c r="Z668" s="37" t="str">
        <f t="shared" ca="1" si="87"/>
        <v/>
      </c>
    </row>
    <row r="669" spans="1:26" x14ac:dyDescent="0.35">
      <c r="A669" s="18"/>
      <c r="B669" s="26"/>
      <c r="C669" s="18"/>
      <c r="D669" s="18"/>
      <c r="E669" s="22" t="str">
        <f>IFERROR(VLOOKUP(D669,Clientes_PDV!$A$2:$J$250,2,FALSE),"")</f>
        <v/>
      </c>
      <c r="F669" s="22" t="str">
        <f>IFERROR(VLOOKUP(D669,Clientes_PDV!$A$2:$J$250,3,FALSE),"")</f>
        <v/>
      </c>
      <c r="G669" s="22" t="str">
        <f>IFERROR(VLOOKUP(D669,Clientes_PDV!$A$2:$J$250,4,FALSE),"")</f>
        <v/>
      </c>
      <c r="H669" s="18"/>
      <c r="I669" s="22" t="str">
        <f>IFERROR(VLOOKUP(H669,Maestro_SKU!$A$2:$P$500,2,FALSE),"")</f>
        <v/>
      </c>
      <c r="J669" s="27"/>
      <c r="K669" s="19"/>
      <c r="L669" s="23" t="str">
        <f t="shared" si="80"/>
        <v/>
      </c>
      <c r="M669" s="23" t="str">
        <f>IF(L669="","",L669*Inicio!$B$13)</f>
        <v/>
      </c>
      <c r="N669" s="23" t="str">
        <f t="shared" si="81"/>
        <v/>
      </c>
      <c r="O669" s="26"/>
      <c r="P669" s="18"/>
      <c r="Q669" s="19"/>
      <c r="R669" s="23" t="str">
        <f t="shared" si="82"/>
        <v/>
      </c>
      <c r="S669" s="22" t="str">
        <f ca="1">IF(A669="","",IF(OR(P669="Pagada",R669=0),"Pagada",IF(O669&lt;TODAY(),"Vencida",IF(O669&lt;=TODAY()+Inicio!$B$19,"Próxima a vencer","Vigente"))))</f>
        <v/>
      </c>
      <c r="T669" s="18"/>
      <c r="U669" s="37" t="str">
        <f t="shared" si="83"/>
        <v/>
      </c>
      <c r="V669" s="37" t="str">
        <f t="shared" si="84"/>
        <v/>
      </c>
      <c r="W669" s="37" t="str">
        <f t="shared" si="85"/>
        <v/>
      </c>
      <c r="X669" s="37" t="str">
        <f t="shared" si="86"/>
        <v/>
      </c>
      <c r="Y669" s="37" t="str">
        <f>IF(OR($H669="",$J669=""),"",$J669*IFERROR(VLOOKUP($H669,Maestro_SKU!$A$2:$P$500,12,FALSE),1))</f>
        <v/>
      </c>
      <c r="Z669" s="37" t="str">
        <f t="shared" ca="1" si="87"/>
        <v/>
      </c>
    </row>
    <row r="670" spans="1:26" x14ac:dyDescent="0.35">
      <c r="A670" s="18"/>
      <c r="B670" s="26"/>
      <c r="C670" s="18"/>
      <c r="D670" s="18"/>
      <c r="E670" s="22" t="str">
        <f>IFERROR(VLOOKUP(D670,Clientes_PDV!$A$2:$J$250,2,FALSE),"")</f>
        <v/>
      </c>
      <c r="F670" s="22" t="str">
        <f>IFERROR(VLOOKUP(D670,Clientes_PDV!$A$2:$J$250,3,FALSE),"")</f>
        <v/>
      </c>
      <c r="G670" s="22" t="str">
        <f>IFERROR(VLOOKUP(D670,Clientes_PDV!$A$2:$J$250,4,FALSE),"")</f>
        <v/>
      </c>
      <c r="H670" s="18"/>
      <c r="I670" s="22" t="str">
        <f>IFERROR(VLOOKUP(H670,Maestro_SKU!$A$2:$P$500,2,FALSE),"")</f>
        <v/>
      </c>
      <c r="J670" s="27"/>
      <c r="K670" s="19"/>
      <c r="L670" s="23" t="str">
        <f t="shared" si="80"/>
        <v/>
      </c>
      <c r="M670" s="23" t="str">
        <f>IF(L670="","",L670*Inicio!$B$13)</f>
        <v/>
      </c>
      <c r="N670" s="23" t="str">
        <f t="shared" si="81"/>
        <v/>
      </c>
      <c r="O670" s="26"/>
      <c r="P670" s="18"/>
      <c r="Q670" s="19"/>
      <c r="R670" s="23" t="str">
        <f t="shared" si="82"/>
        <v/>
      </c>
      <c r="S670" s="22" t="str">
        <f ca="1">IF(A670="","",IF(OR(P670="Pagada",R670=0),"Pagada",IF(O670&lt;TODAY(),"Vencida",IF(O670&lt;=TODAY()+Inicio!$B$19,"Próxima a vencer","Vigente"))))</f>
        <v/>
      </c>
      <c r="T670" s="18"/>
      <c r="U670" s="37" t="str">
        <f t="shared" si="83"/>
        <v/>
      </c>
      <c r="V670" s="37" t="str">
        <f t="shared" si="84"/>
        <v/>
      </c>
      <c r="W670" s="37" t="str">
        <f t="shared" si="85"/>
        <v/>
      </c>
      <c r="X670" s="37" t="str">
        <f t="shared" si="86"/>
        <v/>
      </c>
      <c r="Y670" s="37" t="str">
        <f>IF(OR($H670="",$J670=""),"",$J670*IFERROR(VLOOKUP($H670,Maestro_SKU!$A$2:$P$500,12,FALSE),1))</f>
        <v/>
      </c>
      <c r="Z670" s="37" t="str">
        <f t="shared" ca="1" si="87"/>
        <v/>
      </c>
    </row>
    <row r="671" spans="1:26" x14ac:dyDescent="0.35">
      <c r="A671" s="18"/>
      <c r="B671" s="26"/>
      <c r="C671" s="18"/>
      <c r="D671" s="18"/>
      <c r="E671" s="22" t="str">
        <f>IFERROR(VLOOKUP(D671,Clientes_PDV!$A$2:$J$250,2,FALSE),"")</f>
        <v/>
      </c>
      <c r="F671" s="22" t="str">
        <f>IFERROR(VLOOKUP(D671,Clientes_PDV!$A$2:$J$250,3,FALSE),"")</f>
        <v/>
      </c>
      <c r="G671" s="22" t="str">
        <f>IFERROR(VLOOKUP(D671,Clientes_PDV!$A$2:$J$250,4,FALSE),"")</f>
        <v/>
      </c>
      <c r="H671" s="18"/>
      <c r="I671" s="22" t="str">
        <f>IFERROR(VLOOKUP(H671,Maestro_SKU!$A$2:$P$500,2,FALSE),"")</f>
        <v/>
      </c>
      <c r="J671" s="27"/>
      <c r="K671" s="19"/>
      <c r="L671" s="23" t="str">
        <f t="shared" si="80"/>
        <v/>
      </c>
      <c r="M671" s="23" t="str">
        <f>IF(L671="","",L671*Inicio!$B$13)</f>
        <v/>
      </c>
      <c r="N671" s="23" t="str">
        <f t="shared" si="81"/>
        <v/>
      </c>
      <c r="O671" s="26"/>
      <c r="P671" s="18"/>
      <c r="Q671" s="19"/>
      <c r="R671" s="23" t="str">
        <f t="shared" si="82"/>
        <v/>
      </c>
      <c r="S671" s="22" t="str">
        <f ca="1">IF(A671="","",IF(OR(P671="Pagada",R671=0),"Pagada",IF(O671&lt;TODAY(),"Vencida",IF(O671&lt;=TODAY()+Inicio!$B$19,"Próxima a vencer","Vigente"))))</f>
        <v/>
      </c>
      <c r="T671" s="18"/>
      <c r="U671" s="37" t="str">
        <f t="shared" si="83"/>
        <v/>
      </c>
      <c r="V671" s="37" t="str">
        <f t="shared" si="84"/>
        <v/>
      </c>
      <c r="W671" s="37" t="str">
        <f t="shared" si="85"/>
        <v/>
      </c>
      <c r="X671" s="37" t="str">
        <f t="shared" si="86"/>
        <v/>
      </c>
      <c r="Y671" s="37" t="str">
        <f>IF(OR($H671="",$J671=""),"",$J671*IFERROR(VLOOKUP($H671,Maestro_SKU!$A$2:$P$500,12,FALSE),1))</f>
        <v/>
      </c>
      <c r="Z671" s="37" t="str">
        <f t="shared" ca="1" si="87"/>
        <v/>
      </c>
    </row>
    <row r="672" spans="1:26" x14ac:dyDescent="0.35">
      <c r="A672" s="18"/>
      <c r="B672" s="26"/>
      <c r="C672" s="18"/>
      <c r="D672" s="18"/>
      <c r="E672" s="22" t="str">
        <f>IFERROR(VLOOKUP(D672,Clientes_PDV!$A$2:$J$250,2,FALSE),"")</f>
        <v/>
      </c>
      <c r="F672" s="22" t="str">
        <f>IFERROR(VLOOKUP(D672,Clientes_PDV!$A$2:$J$250,3,FALSE),"")</f>
        <v/>
      </c>
      <c r="G672" s="22" t="str">
        <f>IFERROR(VLOOKUP(D672,Clientes_PDV!$A$2:$J$250,4,FALSE),"")</f>
        <v/>
      </c>
      <c r="H672" s="18"/>
      <c r="I672" s="22" t="str">
        <f>IFERROR(VLOOKUP(H672,Maestro_SKU!$A$2:$P$500,2,FALSE),"")</f>
        <v/>
      </c>
      <c r="J672" s="27"/>
      <c r="K672" s="19"/>
      <c r="L672" s="23" t="str">
        <f t="shared" si="80"/>
        <v/>
      </c>
      <c r="M672" s="23" t="str">
        <f>IF(L672="","",L672*Inicio!$B$13)</f>
        <v/>
      </c>
      <c r="N672" s="23" t="str">
        <f t="shared" si="81"/>
        <v/>
      </c>
      <c r="O672" s="26"/>
      <c r="P672" s="18"/>
      <c r="Q672" s="19"/>
      <c r="R672" s="23" t="str">
        <f t="shared" si="82"/>
        <v/>
      </c>
      <c r="S672" s="22" t="str">
        <f ca="1">IF(A672="","",IF(OR(P672="Pagada",R672=0),"Pagada",IF(O672&lt;TODAY(),"Vencida",IF(O672&lt;=TODAY()+Inicio!$B$19,"Próxima a vencer","Vigente"))))</f>
        <v/>
      </c>
      <c r="T672" s="18"/>
      <c r="U672" s="37" t="str">
        <f t="shared" si="83"/>
        <v/>
      </c>
      <c r="V672" s="37" t="str">
        <f t="shared" si="84"/>
        <v/>
      </c>
      <c r="W672" s="37" t="str">
        <f t="shared" si="85"/>
        <v/>
      </c>
      <c r="X672" s="37" t="str">
        <f t="shared" si="86"/>
        <v/>
      </c>
      <c r="Y672" s="37" t="str">
        <f>IF(OR($H672="",$J672=""),"",$J672*IFERROR(VLOOKUP($H672,Maestro_SKU!$A$2:$P$500,12,FALSE),1))</f>
        <v/>
      </c>
      <c r="Z672" s="37" t="str">
        <f t="shared" ca="1" si="87"/>
        <v/>
      </c>
    </row>
    <row r="673" spans="1:26" x14ac:dyDescent="0.35">
      <c r="A673" s="18"/>
      <c r="B673" s="26"/>
      <c r="C673" s="18"/>
      <c r="D673" s="18"/>
      <c r="E673" s="22" t="str">
        <f>IFERROR(VLOOKUP(D673,Clientes_PDV!$A$2:$J$250,2,FALSE),"")</f>
        <v/>
      </c>
      <c r="F673" s="22" t="str">
        <f>IFERROR(VLOOKUP(D673,Clientes_PDV!$A$2:$J$250,3,FALSE),"")</f>
        <v/>
      </c>
      <c r="G673" s="22" t="str">
        <f>IFERROR(VLOOKUP(D673,Clientes_PDV!$A$2:$J$250,4,FALSE),"")</f>
        <v/>
      </c>
      <c r="H673" s="18"/>
      <c r="I673" s="22" t="str">
        <f>IFERROR(VLOOKUP(H673,Maestro_SKU!$A$2:$P$500,2,FALSE),"")</f>
        <v/>
      </c>
      <c r="J673" s="27"/>
      <c r="K673" s="19"/>
      <c r="L673" s="23" t="str">
        <f t="shared" si="80"/>
        <v/>
      </c>
      <c r="M673" s="23" t="str">
        <f>IF(L673="","",L673*Inicio!$B$13)</f>
        <v/>
      </c>
      <c r="N673" s="23" t="str">
        <f t="shared" si="81"/>
        <v/>
      </c>
      <c r="O673" s="26"/>
      <c r="P673" s="18"/>
      <c r="Q673" s="19"/>
      <c r="R673" s="23" t="str">
        <f t="shared" si="82"/>
        <v/>
      </c>
      <c r="S673" s="22" t="str">
        <f ca="1">IF(A673="","",IF(OR(P673="Pagada",R673=0),"Pagada",IF(O673&lt;TODAY(),"Vencida",IF(O673&lt;=TODAY()+Inicio!$B$19,"Próxima a vencer","Vigente"))))</f>
        <v/>
      </c>
      <c r="T673" s="18"/>
      <c r="U673" s="37" t="str">
        <f t="shared" si="83"/>
        <v/>
      </c>
      <c r="V673" s="37" t="str">
        <f t="shared" si="84"/>
        <v/>
      </c>
      <c r="W673" s="37" t="str">
        <f t="shared" si="85"/>
        <v/>
      </c>
      <c r="X673" s="37" t="str">
        <f t="shared" si="86"/>
        <v/>
      </c>
      <c r="Y673" s="37" t="str">
        <f>IF(OR($H673="",$J673=""),"",$J673*IFERROR(VLOOKUP($H673,Maestro_SKU!$A$2:$P$500,12,FALSE),1))</f>
        <v/>
      </c>
      <c r="Z673" s="37" t="str">
        <f t="shared" ca="1" si="87"/>
        <v/>
      </c>
    </row>
    <row r="674" spans="1:26" x14ac:dyDescent="0.35">
      <c r="A674" s="18"/>
      <c r="B674" s="26"/>
      <c r="C674" s="18"/>
      <c r="D674" s="18"/>
      <c r="E674" s="22" t="str">
        <f>IFERROR(VLOOKUP(D674,Clientes_PDV!$A$2:$J$250,2,FALSE),"")</f>
        <v/>
      </c>
      <c r="F674" s="22" t="str">
        <f>IFERROR(VLOOKUP(D674,Clientes_PDV!$A$2:$J$250,3,FALSE),"")</f>
        <v/>
      </c>
      <c r="G674" s="22" t="str">
        <f>IFERROR(VLOOKUP(D674,Clientes_PDV!$A$2:$J$250,4,FALSE),"")</f>
        <v/>
      </c>
      <c r="H674" s="18"/>
      <c r="I674" s="22" t="str">
        <f>IFERROR(VLOOKUP(H674,Maestro_SKU!$A$2:$P$500,2,FALSE),"")</f>
        <v/>
      </c>
      <c r="J674" s="27"/>
      <c r="K674" s="19"/>
      <c r="L674" s="23" t="str">
        <f t="shared" si="80"/>
        <v/>
      </c>
      <c r="M674" s="23" t="str">
        <f>IF(L674="","",L674*Inicio!$B$13)</f>
        <v/>
      </c>
      <c r="N674" s="23" t="str">
        <f t="shared" si="81"/>
        <v/>
      </c>
      <c r="O674" s="26"/>
      <c r="P674" s="18"/>
      <c r="Q674" s="19"/>
      <c r="R674" s="23" t="str">
        <f t="shared" si="82"/>
        <v/>
      </c>
      <c r="S674" s="22" t="str">
        <f ca="1">IF(A674="","",IF(OR(P674="Pagada",R674=0),"Pagada",IF(O674&lt;TODAY(),"Vencida",IF(O674&lt;=TODAY()+Inicio!$B$19,"Próxima a vencer","Vigente"))))</f>
        <v/>
      </c>
      <c r="T674" s="18"/>
      <c r="U674" s="37" t="str">
        <f t="shared" si="83"/>
        <v/>
      </c>
      <c r="V674" s="37" t="str">
        <f t="shared" si="84"/>
        <v/>
      </c>
      <c r="W674" s="37" t="str">
        <f t="shared" si="85"/>
        <v/>
      </c>
      <c r="X674" s="37" t="str">
        <f t="shared" si="86"/>
        <v/>
      </c>
      <c r="Y674" s="37" t="str">
        <f>IF(OR($H674="",$J674=""),"",$J674*IFERROR(VLOOKUP($H674,Maestro_SKU!$A$2:$P$500,12,FALSE),1))</f>
        <v/>
      </c>
      <c r="Z674" s="37" t="str">
        <f t="shared" ca="1" si="87"/>
        <v/>
      </c>
    </row>
    <row r="675" spans="1:26" x14ac:dyDescent="0.35">
      <c r="A675" s="18"/>
      <c r="B675" s="26"/>
      <c r="C675" s="18"/>
      <c r="D675" s="18"/>
      <c r="E675" s="22" t="str">
        <f>IFERROR(VLOOKUP(D675,Clientes_PDV!$A$2:$J$250,2,FALSE),"")</f>
        <v/>
      </c>
      <c r="F675" s="22" t="str">
        <f>IFERROR(VLOOKUP(D675,Clientes_PDV!$A$2:$J$250,3,FALSE),"")</f>
        <v/>
      </c>
      <c r="G675" s="22" t="str">
        <f>IFERROR(VLOOKUP(D675,Clientes_PDV!$A$2:$J$250,4,FALSE),"")</f>
        <v/>
      </c>
      <c r="H675" s="18"/>
      <c r="I675" s="22" t="str">
        <f>IFERROR(VLOOKUP(H675,Maestro_SKU!$A$2:$P$500,2,FALSE),"")</f>
        <v/>
      </c>
      <c r="J675" s="27"/>
      <c r="K675" s="19"/>
      <c r="L675" s="23" t="str">
        <f t="shared" si="80"/>
        <v/>
      </c>
      <c r="M675" s="23" t="str">
        <f>IF(L675="","",L675*Inicio!$B$13)</f>
        <v/>
      </c>
      <c r="N675" s="23" t="str">
        <f t="shared" si="81"/>
        <v/>
      </c>
      <c r="O675" s="26"/>
      <c r="P675" s="18"/>
      <c r="Q675" s="19"/>
      <c r="R675" s="23" t="str">
        <f t="shared" si="82"/>
        <v/>
      </c>
      <c r="S675" s="22" t="str">
        <f ca="1">IF(A675="","",IF(OR(P675="Pagada",R675=0),"Pagada",IF(O675&lt;TODAY(),"Vencida",IF(O675&lt;=TODAY()+Inicio!$B$19,"Próxima a vencer","Vigente"))))</f>
        <v/>
      </c>
      <c r="T675" s="18"/>
      <c r="U675" s="37" t="str">
        <f t="shared" si="83"/>
        <v/>
      </c>
      <c r="V675" s="37" t="str">
        <f t="shared" si="84"/>
        <v/>
      </c>
      <c r="W675" s="37" t="str">
        <f t="shared" si="85"/>
        <v/>
      </c>
      <c r="X675" s="37" t="str">
        <f t="shared" si="86"/>
        <v/>
      </c>
      <c r="Y675" s="37" t="str">
        <f>IF(OR($H675="",$J675=""),"",$J675*IFERROR(VLOOKUP($H675,Maestro_SKU!$A$2:$P$500,12,FALSE),1))</f>
        <v/>
      </c>
      <c r="Z675" s="37" t="str">
        <f t="shared" ca="1" si="87"/>
        <v/>
      </c>
    </row>
    <row r="676" spans="1:26" x14ac:dyDescent="0.35">
      <c r="A676" s="18"/>
      <c r="B676" s="26"/>
      <c r="C676" s="18"/>
      <c r="D676" s="18"/>
      <c r="E676" s="22" t="str">
        <f>IFERROR(VLOOKUP(D676,Clientes_PDV!$A$2:$J$250,2,FALSE),"")</f>
        <v/>
      </c>
      <c r="F676" s="22" t="str">
        <f>IFERROR(VLOOKUP(D676,Clientes_PDV!$A$2:$J$250,3,FALSE),"")</f>
        <v/>
      </c>
      <c r="G676" s="22" t="str">
        <f>IFERROR(VLOOKUP(D676,Clientes_PDV!$A$2:$J$250,4,FALSE),"")</f>
        <v/>
      </c>
      <c r="H676" s="18"/>
      <c r="I676" s="22" t="str">
        <f>IFERROR(VLOOKUP(H676,Maestro_SKU!$A$2:$P$500,2,FALSE),"")</f>
        <v/>
      </c>
      <c r="J676" s="27"/>
      <c r="K676" s="19"/>
      <c r="L676" s="23" t="str">
        <f t="shared" si="80"/>
        <v/>
      </c>
      <c r="M676" s="23" t="str">
        <f>IF(L676="","",L676*Inicio!$B$13)</f>
        <v/>
      </c>
      <c r="N676" s="23" t="str">
        <f t="shared" si="81"/>
        <v/>
      </c>
      <c r="O676" s="26"/>
      <c r="P676" s="18"/>
      <c r="Q676" s="19"/>
      <c r="R676" s="23" t="str">
        <f t="shared" si="82"/>
        <v/>
      </c>
      <c r="S676" s="22" t="str">
        <f ca="1">IF(A676="","",IF(OR(P676="Pagada",R676=0),"Pagada",IF(O676&lt;TODAY(),"Vencida",IF(O676&lt;=TODAY()+Inicio!$B$19,"Próxima a vencer","Vigente"))))</f>
        <v/>
      </c>
      <c r="T676" s="18"/>
      <c r="U676" s="37" t="str">
        <f t="shared" si="83"/>
        <v/>
      </c>
      <c r="V676" s="37" t="str">
        <f t="shared" si="84"/>
        <v/>
      </c>
      <c r="W676" s="37" t="str">
        <f t="shared" si="85"/>
        <v/>
      </c>
      <c r="X676" s="37" t="str">
        <f t="shared" si="86"/>
        <v/>
      </c>
      <c r="Y676" s="37" t="str">
        <f>IF(OR($H676="",$J676=""),"",$J676*IFERROR(VLOOKUP($H676,Maestro_SKU!$A$2:$P$500,12,FALSE),1))</f>
        <v/>
      </c>
      <c r="Z676" s="37" t="str">
        <f t="shared" ca="1" si="87"/>
        <v/>
      </c>
    </row>
    <row r="677" spans="1:26" x14ac:dyDescent="0.35">
      <c r="A677" s="18"/>
      <c r="B677" s="26"/>
      <c r="C677" s="18"/>
      <c r="D677" s="18"/>
      <c r="E677" s="22" t="str">
        <f>IFERROR(VLOOKUP(D677,Clientes_PDV!$A$2:$J$250,2,FALSE),"")</f>
        <v/>
      </c>
      <c r="F677" s="22" t="str">
        <f>IFERROR(VLOOKUP(D677,Clientes_PDV!$A$2:$J$250,3,FALSE),"")</f>
        <v/>
      </c>
      <c r="G677" s="22" t="str">
        <f>IFERROR(VLOOKUP(D677,Clientes_PDV!$A$2:$J$250,4,FALSE),"")</f>
        <v/>
      </c>
      <c r="H677" s="18"/>
      <c r="I677" s="22" t="str">
        <f>IFERROR(VLOOKUP(H677,Maestro_SKU!$A$2:$P$500,2,FALSE),"")</f>
        <v/>
      </c>
      <c r="J677" s="27"/>
      <c r="K677" s="19"/>
      <c r="L677" s="23" t="str">
        <f t="shared" si="80"/>
        <v/>
      </c>
      <c r="M677" s="23" t="str">
        <f>IF(L677="","",L677*Inicio!$B$13)</f>
        <v/>
      </c>
      <c r="N677" s="23" t="str">
        <f t="shared" si="81"/>
        <v/>
      </c>
      <c r="O677" s="26"/>
      <c r="P677" s="18"/>
      <c r="Q677" s="19"/>
      <c r="R677" s="23" t="str">
        <f t="shared" si="82"/>
        <v/>
      </c>
      <c r="S677" s="22" t="str">
        <f ca="1">IF(A677="","",IF(OR(P677="Pagada",R677=0),"Pagada",IF(O677&lt;TODAY(),"Vencida",IF(O677&lt;=TODAY()+Inicio!$B$19,"Próxima a vencer","Vigente"))))</f>
        <v/>
      </c>
      <c r="T677" s="18"/>
      <c r="U677" s="37" t="str">
        <f t="shared" si="83"/>
        <v/>
      </c>
      <c r="V677" s="37" t="str">
        <f t="shared" si="84"/>
        <v/>
      </c>
      <c r="W677" s="37" t="str">
        <f t="shared" si="85"/>
        <v/>
      </c>
      <c r="X677" s="37" t="str">
        <f t="shared" si="86"/>
        <v/>
      </c>
      <c r="Y677" s="37" t="str">
        <f>IF(OR($H677="",$J677=""),"",$J677*IFERROR(VLOOKUP($H677,Maestro_SKU!$A$2:$P$500,12,FALSE),1))</f>
        <v/>
      </c>
      <c r="Z677" s="37" t="str">
        <f t="shared" ca="1" si="87"/>
        <v/>
      </c>
    </row>
    <row r="678" spans="1:26" x14ac:dyDescent="0.35">
      <c r="A678" s="18"/>
      <c r="B678" s="26"/>
      <c r="C678" s="18"/>
      <c r="D678" s="18"/>
      <c r="E678" s="22" t="str">
        <f>IFERROR(VLOOKUP(D678,Clientes_PDV!$A$2:$J$250,2,FALSE),"")</f>
        <v/>
      </c>
      <c r="F678" s="22" t="str">
        <f>IFERROR(VLOOKUP(D678,Clientes_PDV!$A$2:$J$250,3,FALSE),"")</f>
        <v/>
      </c>
      <c r="G678" s="22" t="str">
        <f>IFERROR(VLOOKUP(D678,Clientes_PDV!$A$2:$J$250,4,FALSE),"")</f>
        <v/>
      </c>
      <c r="H678" s="18"/>
      <c r="I678" s="22" t="str">
        <f>IFERROR(VLOOKUP(H678,Maestro_SKU!$A$2:$P$500,2,FALSE),"")</f>
        <v/>
      </c>
      <c r="J678" s="27"/>
      <c r="K678" s="19"/>
      <c r="L678" s="23" t="str">
        <f t="shared" si="80"/>
        <v/>
      </c>
      <c r="M678" s="23" t="str">
        <f>IF(L678="","",L678*Inicio!$B$13)</f>
        <v/>
      </c>
      <c r="N678" s="23" t="str">
        <f t="shared" si="81"/>
        <v/>
      </c>
      <c r="O678" s="26"/>
      <c r="P678" s="18"/>
      <c r="Q678" s="19"/>
      <c r="R678" s="23" t="str">
        <f t="shared" si="82"/>
        <v/>
      </c>
      <c r="S678" s="22" t="str">
        <f ca="1">IF(A678="","",IF(OR(P678="Pagada",R678=0),"Pagada",IF(O678&lt;TODAY(),"Vencida",IF(O678&lt;=TODAY()+Inicio!$B$19,"Próxima a vencer","Vigente"))))</f>
        <v/>
      </c>
      <c r="T678" s="18"/>
      <c r="U678" s="37" t="str">
        <f t="shared" si="83"/>
        <v/>
      </c>
      <c r="V678" s="37" t="str">
        <f t="shared" si="84"/>
        <v/>
      </c>
      <c r="W678" s="37" t="str">
        <f t="shared" si="85"/>
        <v/>
      </c>
      <c r="X678" s="37" t="str">
        <f t="shared" si="86"/>
        <v/>
      </c>
      <c r="Y678" s="37" t="str">
        <f>IF(OR($H678="",$J678=""),"",$J678*IFERROR(VLOOKUP($H678,Maestro_SKU!$A$2:$P$500,12,FALSE),1))</f>
        <v/>
      </c>
      <c r="Z678" s="37" t="str">
        <f t="shared" ca="1" si="87"/>
        <v/>
      </c>
    </row>
    <row r="679" spans="1:26" x14ac:dyDescent="0.35">
      <c r="A679" s="18"/>
      <c r="B679" s="26"/>
      <c r="C679" s="18"/>
      <c r="D679" s="18"/>
      <c r="E679" s="22" t="str">
        <f>IFERROR(VLOOKUP(D679,Clientes_PDV!$A$2:$J$250,2,FALSE),"")</f>
        <v/>
      </c>
      <c r="F679" s="22" t="str">
        <f>IFERROR(VLOOKUP(D679,Clientes_PDV!$A$2:$J$250,3,FALSE),"")</f>
        <v/>
      </c>
      <c r="G679" s="22" t="str">
        <f>IFERROR(VLOOKUP(D679,Clientes_PDV!$A$2:$J$250,4,FALSE),"")</f>
        <v/>
      </c>
      <c r="H679" s="18"/>
      <c r="I679" s="22" t="str">
        <f>IFERROR(VLOOKUP(H679,Maestro_SKU!$A$2:$P$500,2,FALSE),"")</f>
        <v/>
      </c>
      <c r="J679" s="27"/>
      <c r="K679" s="19"/>
      <c r="L679" s="23" t="str">
        <f t="shared" si="80"/>
        <v/>
      </c>
      <c r="M679" s="23" t="str">
        <f>IF(L679="","",L679*Inicio!$B$13)</f>
        <v/>
      </c>
      <c r="N679" s="23" t="str">
        <f t="shared" si="81"/>
        <v/>
      </c>
      <c r="O679" s="26"/>
      <c r="P679" s="18"/>
      <c r="Q679" s="19"/>
      <c r="R679" s="23" t="str">
        <f t="shared" si="82"/>
        <v/>
      </c>
      <c r="S679" s="22" t="str">
        <f ca="1">IF(A679="","",IF(OR(P679="Pagada",R679=0),"Pagada",IF(O679&lt;TODAY(),"Vencida",IF(O679&lt;=TODAY()+Inicio!$B$19,"Próxima a vencer","Vigente"))))</f>
        <v/>
      </c>
      <c r="T679" s="18"/>
      <c r="U679" s="37" t="str">
        <f t="shared" si="83"/>
        <v/>
      </c>
      <c r="V679" s="37" t="str">
        <f t="shared" si="84"/>
        <v/>
      </c>
      <c r="W679" s="37" t="str">
        <f t="shared" si="85"/>
        <v/>
      </c>
      <c r="X679" s="37" t="str">
        <f t="shared" si="86"/>
        <v/>
      </c>
      <c r="Y679" s="37" t="str">
        <f>IF(OR($H679="",$J679=""),"",$J679*IFERROR(VLOOKUP($H679,Maestro_SKU!$A$2:$P$500,12,FALSE),1))</f>
        <v/>
      </c>
      <c r="Z679" s="37" t="str">
        <f t="shared" ca="1" si="87"/>
        <v/>
      </c>
    </row>
    <row r="680" spans="1:26" x14ac:dyDescent="0.35">
      <c r="A680" s="18"/>
      <c r="B680" s="26"/>
      <c r="C680" s="18"/>
      <c r="D680" s="18"/>
      <c r="E680" s="22" t="str">
        <f>IFERROR(VLOOKUP(D680,Clientes_PDV!$A$2:$J$250,2,FALSE),"")</f>
        <v/>
      </c>
      <c r="F680" s="22" t="str">
        <f>IFERROR(VLOOKUP(D680,Clientes_PDV!$A$2:$J$250,3,FALSE),"")</f>
        <v/>
      </c>
      <c r="G680" s="22" t="str">
        <f>IFERROR(VLOOKUP(D680,Clientes_PDV!$A$2:$J$250,4,FALSE),"")</f>
        <v/>
      </c>
      <c r="H680" s="18"/>
      <c r="I680" s="22" t="str">
        <f>IFERROR(VLOOKUP(H680,Maestro_SKU!$A$2:$P$500,2,FALSE),"")</f>
        <v/>
      </c>
      <c r="J680" s="27"/>
      <c r="K680" s="19"/>
      <c r="L680" s="23" t="str">
        <f t="shared" si="80"/>
        <v/>
      </c>
      <c r="M680" s="23" t="str">
        <f>IF(L680="","",L680*Inicio!$B$13)</f>
        <v/>
      </c>
      <c r="N680" s="23" t="str">
        <f t="shared" si="81"/>
        <v/>
      </c>
      <c r="O680" s="26"/>
      <c r="P680" s="18"/>
      <c r="Q680" s="19"/>
      <c r="R680" s="23" t="str">
        <f t="shared" si="82"/>
        <v/>
      </c>
      <c r="S680" s="22" t="str">
        <f ca="1">IF(A680="","",IF(OR(P680="Pagada",R680=0),"Pagada",IF(O680&lt;TODAY(),"Vencida",IF(O680&lt;=TODAY()+Inicio!$B$19,"Próxima a vencer","Vigente"))))</f>
        <v/>
      </c>
      <c r="T680" s="18"/>
      <c r="U680" s="37" t="str">
        <f t="shared" si="83"/>
        <v/>
      </c>
      <c r="V680" s="37" t="str">
        <f t="shared" si="84"/>
        <v/>
      </c>
      <c r="W680" s="37" t="str">
        <f t="shared" si="85"/>
        <v/>
      </c>
      <c r="X680" s="37" t="str">
        <f t="shared" si="86"/>
        <v/>
      </c>
      <c r="Y680" s="37" t="str">
        <f>IF(OR($H680="",$J680=""),"",$J680*IFERROR(VLOOKUP($H680,Maestro_SKU!$A$2:$P$500,12,FALSE),1))</f>
        <v/>
      </c>
      <c r="Z680" s="37" t="str">
        <f t="shared" ca="1" si="87"/>
        <v/>
      </c>
    </row>
    <row r="681" spans="1:26" x14ac:dyDescent="0.35">
      <c r="A681" s="18"/>
      <c r="B681" s="26"/>
      <c r="C681" s="18"/>
      <c r="D681" s="18"/>
      <c r="E681" s="22" t="str">
        <f>IFERROR(VLOOKUP(D681,Clientes_PDV!$A$2:$J$250,2,FALSE),"")</f>
        <v/>
      </c>
      <c r="F681" s="22" t="str">
        <f>IFERROR(VLOOKUP(D681,Clientes_PDV!$A$2:$J$250,3,FALSE),"")</f>
        <v/>
      </c>
      <c r="G681" s="22" t="str">
        <f>IFERROR(VLOOKUP(D681,Clientes_PDV!$A$2:$J$250,4,FALSE),"")</f>
        <v/>
      </c>
      <c r="H681" s="18"/>
      <c r="I681" s="22" t="str">
        <f>IFERROR(VLOOKUP(H681,Maestro_SKU!$A$2:$P$500,2,FALSE),"")</f>
        <v/>
      </c>
      <c r="J681" s="27"/>
      <c r="K681" s="19"/>
      <c r="L681" s="23" t="str">
        <f t="shared" si="80"/>
        <v/>
      </c>
      <c r="M681" s="23" t="str">
        <f>IF(L681="","",L681*Inicio!$B$13)</f>
        <v/>
      </c>
      <c r="N681" s="23" t="str">
        <f t="shared" si="81"/>
        <v/>
      </c>
      <c r="O681" s="26"/>
      <c r="P681" s="18"/>
      <c r="Q681" s="19"/>
      <c r="R681" s="23" t="str">
        <f t="shared" si="82"/>
        <v/>
      </c>
      <c r="S681" s="22" t="str">
        <f ca="1">IF(A681="","",IF(OR(P681="Pagada",R681=0),"Pagada",IF(O681&lt;TODAY(),"Vencida",IF(O681&lt;=TODAY()+Inicio!$B$19,"Próxima a vencer","Vigente"))))</f>
        <v/>
      </c>
      <c r="T681" s="18"/>
      <c r="U681" s="37" t="str">
        <f t="shared" si="83"/>
        <v/>
      </c>
      <c r="V681" s="37" t="str">
        <f t="shared" si="84"/>
        <v/>
      </c>
      <c r="W681" s="37" t="str">
        <f t="shared" si="85"/>
        <v/>
      </c>
      <c r="X681" s="37" t="str">
        <f t="shared" si="86"/>
        <v/>
      </c>
      <c r="Y681" s="37" t="str">
        <f>IF(OR($H681="",$J681=""),"",$J681*IFERROR(VLOOKUP($H681,Maestro_SKU!$A$2:$P$500,12,FALSE),1))</f>
        <v/>
      </c>
      <c r="Z681" s="37" t="str">
        <f t="shared" ca="1" si="87"/>
        <v/>
      </c>
    </row>
    <row r="682" spans="1:26" x14ac:dyDescent="0.35">
      <c r="A682" s="18"/>
      <c r="B682" s="26"/>
      <c r="C682" s="18"/>
      <c r="D682" s="18"/>
      <c r="E682" s="22" t="str">
        <f>IFERROR(VLOOKUP(D682,Clientes_PDV!$A$2:$J$250,2,FALSE),"")</f>
        <v/>
      </c>
      <c r="F682" s="22" t="str">
        <f>IFERROR(VLOOKUP(D682,Clientes_PDV!$A$2:$J$250,3,FALSE),"")</f>
        <v/>
      </c>
      <c r="G682" s="22" t="str">
        <f>IFERROR(VLOOKUP(D682,Clientes_PDV!$A$2:$J$250,4,FALSE),"")</f>
        <v/>
      </c>
      <c r="H682" s="18"/>
      <c r="I682" s="22" t="str">
        <f>IFERROR(VLOOKUP(H682,Maestro_SKU!$A$2:$P$500,2,FALSE),"")</f>
        <v/>
      </c>
      <c r="J682" s="27"/>
      <c r="K682" s="19"/>
      <c r="L682" s="23" t="str">
        <f t="shared" si="80"/>
        <v/>
      </c>
      <c r="M682" s="23" t="str">
        <f>IF(L682="","",L682*Inicio!$B$13)</f>
        <v/>
      </c>
      <c r="N682" s="23" t="str">
        <f t="shared" si="81"/>
        <v/>
      </c>
      <c r="O682" s="26"/>
      <c r="P682" s="18"/>
      <c r="Q682" s="19"/>
      <c r="R682" s="23" t="str">
        <f t="shared" si="82"/>
        <v/>
      </c>
      <c r="S682" s="22" t="str">
        <f ca="1">IF(A682="","",IF(OR(P682="Pagada",R682=0),"Pagada",IF(O682&lt;TODAY(),"Vencida",IF(O682&lt;=TODAY()+Inicio!$B$19,"Próxima a vencer","Vigente"))))</f>
        <v/>
      </c>
      <c r="T682" s="18"/>
      <c r="U682" s="37" t="str">
        <f t="shared" si="83"/>
        <v/>
      </c>
      <c r="V682" s="37" t="str">
        <f t="shared" si="84"/>
        <v/>
      </c>
      <c r="W682" s="37" t="str">
        <f t="shared" si="85"/>
        <v/>
      </c>
      <c r="X682" s="37" t="str">
        <f t="shared" si="86"/>
        <v/>
      </c>
      <c r="Y682" s="37" t="str">
        <f>IF(OR($H682="",$J682=""),"",$J682*IFERROR(VLOOKUP($H682,Maestro_SKU!$A$2:$P$500,12,FALSE),1))</f>
        <v/>
      </c>
      <c r="Z682" s="37" t="str">
        <f t="shared" ca="1" si="87"/>
        <v/>
      </c>
    </row>
    <row r="683" spans="1:26" x14ac:dyDescent="0.35">
      <c r="A683" s="18"/>
      <c r="B683" s="26"/>
      <c r="C683" s="18"/>
      <c r="D683" s="18"/>
      <c r="E683" s="22" t="str">
        <f>IFERROR(VLOOKUP(D683,Clientes_PDV!$A$2:$J$250,2,FALSE),"")</f>
        <v/>
      </c>
      <c r="F683" s="22" t="str">
        <f>IFERROR(VLOOKUP(D683,Clientes_PDV!$A$2:$J$250,3,FALSE),"")</f>
        <v/>
      </c>
      <c r="G683" s="22" t="str">
        <f>IFERROR(VLOOKUP(D683,Clientes_PDV!$A$2:$J$250,4,FALSE),"")</f>
        <v/>
      </c>
      <c r="H683" s="18"/>
      <c r="I683" s="22" t="str">
        <f>IFERROR(VLOOKUP(H683,Maestro_SKU!$A$2:$P$500,2,FALSE),"")</f>
        <v/>
      </c>
      <c r="J683" s="27"/>
      <c r="K683" s="19"/>
      <c r="L683" s="23" t="str">
        <f t="shared" si="80"/>
        <v/>
      </c>
      <c r="M683" s="23" t="str">
        <f>IF(L683="","",L683*Inicio!$B$13)</f>
        <v/>
      </c>
      <c r="N683" s="23" t="str">
        <f t="shared" si="81"/>
        <v/>
      </c>
      <c r="O683" s="26"/>
      <c r="P683" s="18"/>
      <c r="Q683" s="19"/>
      <c r="R683" s="23" t="str">
        <f t="shared" si="82"/>
        <v/>
      </c>
      <c r="S683" s="22" t="str">
        <f ca="1">IF(A683="","",IF(OR(P683="Pagada",R683=0),"Pagada",IF(O683&lt;TODAY(),"Vencida",IF(O683&lt;=TODAY()+Inicio!$B$19,"Próxima a vencer","Vigente"))))</f>
        <v/>
      </c>
      <c r="T683" s="18"/>
      <c r="U683" s="37" t="str">
        <f t="shared" si="83"/>
        <v/>
      </c>
      <c r="V683" s="37" t="str">
        <f t="shared" si="84"/>
        <v/>
      </c>
      <c r="W683" s="37" t="str">
        <f t="shared" si="85"/>
        <v/>
      </c>
      <c r="X683" s="37" t="str">
        <f t="shared" si="86"/>
        <v/>
      </c>
      <c r="Y683" s="37" t="str">
        <f>IF(OR($H683="",$J683=""),"",$J683*IFERROR(VLOOKUP($H683,Maestro_SKU!$A$2:$P$500,12,FALSE),1))</f>
        <v/>
      </c>
      <c r="Z683" s="37" t="str">
        <f t="shared" ca="1" si="87"/>
        <v/>
      </c>
    </row>
    <row r="684" spans="1:26" x14ac:dyDescent="0.35">
      <c r="A684" s="18"/>
      <c r="B684" s="26"/>
      <c r="C684" s="18"/>
      <c r="D684" s="18"/>
      <c r="E684" s="22" t="str">
        <f>IFERROR(VLOOKUP(D684,Clientes_PDV!$A$2:$J$250,2,FALSE),"")</f>
        <v/>
      </c>
      <c r="F684" s="22" t="str">
        <f>IFERROR(VLOOKUP(D684,Clientes_PDV!$A$2:$J$250,3,FALSE),"")</f>
        <v/>
      </c>
      <c r="G684" s="22" t="str">
        <f>IFERROR(VLOOKUP(D684,Clientes_PDV!$A$2:$J$250,4,FALSE),"")</f>
        <v/>
      </c>
      <c r="H684" s="18"/>
      <c r="I684" s="22" t="str">
        <f>IFERROR(VLOOKUP(H684,Maestro_SKU!$A$2:$P$500,2,FALSE),"")</f>
        <v/>
      </c>
      <c r="J684" s="27"/>
      <c r="K684" s="19"/>
      <c r="L684" s="23" t="str">
        <f t="shared" si="80"/>
        <v/>
      </c>
      <c r="M684" s="23" t="str">
        <f>IF(L684="","",L684*Inicio!$B$13)</f>
        <v/>
      </c>
      <c r="N684" s="23" t="str">
        <f t="shared" si="81"/>
        <v/>
      </c>
      <c r="O684" s="26"/>
      <c r="P684" s="18"/>
      <c r="Q684" s="19"/>
      <c r="R684" s="23" t="str">
        <f t="shared" si="82"/>
        <v/>
      </c>
      <c r="S684" s="22" t="str">
        <f ca="1">IF(A684="","",IF(OR(P684="Pagada",R684=0),"Pagada",IF(O684&lt;TODAY(),"Vencida",IF(O684&lt;=TODAY()+Inicio!$B$19,"Próxima a vencer","Vigente"))))</f>
        <v/>
      </c>
      <c r="T684" s="18"/>
      <c r="U684" s="37" t="str">
        <f t="shared" si="83"/>
        <v/>
      </c>
      <c r="V684" s="37" t="str">
        <f t="shared" si="84"/>
        <v/>
      </c>
      <c r="W684" s="37" t="str">
        <f t="shared" si="85"/>
        <v/>
      </c>
      <c r="X684" s="37" t="str">
        <f t="shared" si="86"/>
        <v/>
      </c>
      <c r="Y684" s="37" t="str">
        <f>IF(OR($H684="",$J684=""),"",$J684*IFERROR(VLOOKUP($H684,Maestro_SKU!$A$2:$P$500,12,FALSE),1))</f>
        <v/>
      </c>
      <c r="Z684" s="37" t="str">
        <f t="shared" ca="1" si="87"/>
        <v/>
      </c>
    </row>
    <row r="685" spans="1:26" x14ac:dyDescent="0.35">
      <c r="A685" s="18"/>
      <c r="B685" s="26"/>
      <c r="C685" s="18"/>
      <c r="D685" s="18"/>
      <c r="E685" s="22" t="str">
        <f>IFERROR(VLOOKUP(D685,Clientes_PDV!$A$2:$J$250,2,FALSE),"")</f>
        <v/>
      </c>
      <c r="F685" s="22" t="str">
        <f>IFERROR(VLOOKUP(D685,Clientes_PDV!$A$2:$J$250,3,FALSE),"")</f>
        <v/>
      </c>
      <c r="G685" s="22" t="str">
        <f>IFERROR(VLOOKUP(D685,Clientes_PDV!$A$2:$J$250,4,FALSE),"")</f>
        <v/>
      </c>
      <c r="H685" s="18"/>
      <c r="I685" s="22" t="str">
        <f>IFERROR(VLOOKUP(H685,Maestro_SKU!$A$2:$P$500,2,FALSE),"")</f>
        <v/>
      </c>
      <c r="J685" s="27"/>
      <c r="K685" s="19"/>
      <c r="L685" s="23" t="str">
        <f t="shared" si="80"/>
        <v/>
      </c>
      <c r="M685" s="23" t="str">
        <f>IF(L685="","",L685*Inicio!$B$13)</f>
        <v/>
      </c>
      <c r="N685" s="23" t="str">
        <f t="shared" si="81"/>
        <v/>
      </c>
      <c r="O685" s="26"/>
      <c r="P685" s="18"/>
      <c r="Q685" s="19"/>
      <c r="R685" s="23" t="str">
        <f t="shared" si="82"/>
        <v/>
      </c>
      <c r="S685" s="22" t="str">
        <f ca="1">IF(A685="","",IF(OR(P685="Pagada",R685=0),"Pagada",IF(O685&lt;TODAY(),"Vencida",IF(O685&lt;=TODAY()+Inicio!$B$19,"Próxima a vencer","Vigente"))))</f>
        <v/>
      </c>
      <c r="T685" s="18"/>
      <c r="U685" s="37" t="str">
        <f t="shared" si="83"/>
        <v/>
      </c>
      <c r="V685" s="37" t="str">
        <f t="shared" si="84"/>
        <v/>
      </c>
      <c r="W685" s="37" t="str">
        <f t="shared" si="85"/>
        <v/>
      </c>
      <c r="X685" s="37" t="str">
        <f t="shared" si="86"/>
        <v/>
      </c>
      <c r="Y685" s="37" t="str">
        <f>IF(OR($H685="",$J685=""),"",$J685*IFERROR(VLOOKUP($H685,Maestro_SKU!$A$2:$P$500,12,FALSE),1))</f>
        <v/>
      </c>
      <c r="Z685" s="37" t="str">
        <f t="shared" ca="1" si="87"/>
        <v/>
      </c>
    </row>
    <row r="686" spans="1:26" x14ac:dyDescent="0.35">
      <c r="A686" s="18"/>
      <c r="B686" s="26"/>
      <c r="C686" s="18"/>
      <c r="D686" s="18"/>
      <c r="E686" s="22" t="str">
        <f>IFERROR(VLOOKUP(D686,Clientes_PDV!$A$2:$J$250,2,FALSE),"")</f>
        <v/>
      </c>
      <c r="F686" s="22" t="str">
        <f>IFERROR(VLOOKUP(D686,Clientes_PDV!$A$2:$J$250,3,FALSE),"")</f>
        <v/>
      </c>
      <c r="G686" s="22" t="str">
        <f>IFERROR(VLOOKUP(D686,Clientes_PDV!$A$2:$J$250,4,FALSE),"")</f>
        <v/>
      </c>
      <c r="H686" s="18"/>
      <c r="I686" s="22" t="str">
        <f>IFERROR(VLOOKUP(H686,Maestro_SKU!$A$2:$P$500,2,FALSE),"")</f>
        <v/>
      </c>
      <c r="J686" s="27"/>
      <c r="K686" s="19"/>
      <c r="L686" s="23" t="str">
        <f t="shared" si="80"/>
        <v/>
      </c>
      <c r="M686" s="23" t="str">
        <f>IF(L686="","",L686*Inicio!$B$13)</f>
        <v/>
      </c>
      <c r="N686" s="23" t="str">
        <f t="shared" si="81"/>
        <v/>
      </c>
      <c r="O686" s="26"/>
      <c r="P686" s="18"/>
      <c r="Q686" s="19"/>
      <c r="R686" s="23" t="str">
        <f t="shared" si="82"/>
        <v/>
      </c>
      <c r="S686" s="22" t="str">
        <f ca="1">IF(A686="","",IF(OR(P686="Pagada",R686=0),"Pagada",IF(O686&lt;TODAY(),"Vencida",IF(O686&lt;=TODAY()+Inicio!$B$19,"Próxima a vencer","Vigente"))))</f>
        <v/>
      </c>
      <c r="T686" s="18"/>
      <c r="U686" s="37" t="str">
        <f t="shared" si="83"/>
        <v/>
      </c>
      <c r="V686" s="37" t="str">
        <f t="shared" si="84"/>
        <v/>
      </c>
      <c r="W686" s="37" t="str">
        <f t="shared" si="85"/>
        <v/>
      </c>
      <c r="X686" s="37" t="str">
        <f t="shared" si="86"/>
        <v/>
      </c>
      <c r="Y686" s="37" t="str">
        <f>IF(OR($H686="",$J686=""),"",$J686*IFERROR(VLOOKUP($H686,Maestro_SKU!$A$2:$P$500,12,FALSE),1))</f>
        <v/>
      </c>
      <c r="Z686" s="37" t="str">
        <f t="shared" ca="1" si="87"/>
        <v/>
      </c>
    </row>
    <row r="687" spans="1:26" x14ac:dyDescent="0.35">
      <c r="A687" s="18"/>
      <c r="B687" s="26"/>
      <c r="C687" s="18"/>
      <c r="D687" s="18"/>
      <c r="E687" s="22" t="str">
        <f>IFERROR(VLOOKUP(D687,Clientes_PDV!$A$2:$J$250,2,FALSE),"")</f>
        <v/>
      </c>
      <c r="F687" s="22" t="str">
        <f>IFERROR(VLOOKUP(D687,Clientes_PDV!$A$2:$J$250,3,FALSE),"")</f>
        <v/>
      </c>
      <c r="G687" s="22" t="str">
        <f>IFERROR(VLOOKUP(D687,Clientes_PDV!$A$2:$J$250,4,FALSE),"")</f>
        <v/>
      </c>
      <c r="H687" s="18"/>
      <c r="I687" s="22" t="str">
        <f>IFERROR(VLOOKUP(H687,Maestro_SKU!$A$2:$P$500,2,FALSE),"")</f>
        <v/>
      </c>
      <c r="J687" s="27"/>
      <c r="K687" s="19"/>
      <c r="L687" s="23" t="str">
        <f t="shared" si="80"/>
        <v/>
      </c>
      <c r="M687" s="23" t="str">
        <f>IF(L687="","",L687*Inicio!$B$13)</f>
        <v/>
      </c>
      <c r="N687" s="23" t="str">
        <f t="shared" si="81"/>
        <v/>
      </c>
      <c r="O687" s="26"/>
      <c r="P687" s="18"/>
      <c r="Q687" s="19"/>
      <c r="R687" s="23" t="str">
        <f t="shared" si="82"/>
        <v/>
      </c>
      <c r="S687" s="22" t="str">
        <f ca="1">IF(A687="","",IF(OR(P687="Pagada",R687=0),"Pagada",IF(O687&lt;TODAY(),"Vencida",IF(O687&lt;=TODAY()+Inicio!$B$19,"Próxima a vencer","Vigente"))))</f>
        <v/>
      </c>
      <c r="T687" s="18"/>
      <c r="U687" s="37" t="str">
        <f t="shared" si="83"/>
        <v/>
      </c>
      <c r="V687" s="37" t="str">
        <f t="shared" si="84"/>
        <v/>
      </c>
      <c r="W687" s="37" t="str">
        <f t="shared" si="85"/>
        <v/>
      </c>
      <c r="X687" s="37" t="str">
        <f t="shared" si="86"/>
        <v/>
      </c>
      <c r="Y687" s="37" t="str">
        <f>IF(OR($H687="",$J687=""),"",$J687*IFERROR(VLOOKUP($H687,Maestro_SKU!$A$2:$P$500,12,FALSE),1))</f>
        <v/>
      </c>
      <c r="Z687" s="37" t="str">
        <f t="shared" ca="1" si="87"/>
        <v/>
      </c>
    </row>
    <row r="688" spans="1:26" x14ac:dyDescent="0.35">
      <c r="A688" s="18"/>
      <c r="B688" s="26"/>
      <c r="C688" s="18"/>
      <c r="D688" s="18"/>
      <c r="E688" s="22" t="str">
        <f>IFERROR(VLOOKUP(D688,Clientes_PDV!$A$2:$J$250,2,FALSE),"")</f>
        <v/>
      </c>
      <c r="F688" s="22" t="str">
        <f>IFERROR(VLOOKUP(D688,Clientes_PDV!$A$2:$J$250,3,FALSE),"")</f>
        <v/>
      </c>
      <c r="G688" s="22" t="str">
        <f>IFERROR(VLOOKUP(D688,Clientes_PDV!$A$2:$J$250,4,FALSE),"")</f>
        <v/>
      </c>
      <c r="H688" s="18"/>
      <c r="I688" s="22" t="str">
        <f>IFERROR(VLOOKUP(H688,Maestro_SKU!$A$2:$P$500,2,FALSE),"")</f>
        <v/>
      </c>
      <c r="J688" s="27"/>
      <c r="K688" s="19"/>
      <c r="L688" s="23" t="str">
        <f t="shared" si="80"/>
        <v/>
      </c>
      <c r="M688" s="23" t="str">
        <f>IF(L688="","",L688*Inicio!$B$13)</f>
        <v/>
      </c>
      <c r="N688" s="23" t="str">
        <f t="shared" si="81"/>
        <v/>
      </c>
      <c r="O688" s="26"/>
      <c r="P688" s="18"/>
      <c r="Q688" s="19"/>
      <c r="R688" s="23" t="str">
        <f t="shared" si="82"/>
        <v/>
      </c>
      <c r="S688" s="22" t="str">
        <f ca="1">IF(A688="","",IF(OR(P688="Pagada",R688=0),"Pagada",IF(O688&lt;TODAY(),"Vencida",IF(O688&lt;=TODAY()+Inicio!$B$19,"Próxima a vencer","Vigente"))))</f>
        <v/>
      </c>
      <c r="T688" s="18"/>
      <c r="U688" s="37" t="str">
        <f t="shared" si="83"/>
        <v/>
      </c>
      <c r="V688" s="37" t="str">
        <f t="shared" si="84"/>
        <v/>
      </c>
      <c r="W688" s="37" t="str">
        <f t="shared" si="85"/>
        <v/>
      </c>
      <c r="X688" s="37" t="str">
        <f t="shared" si="86"/>
        <v/>
      </c>
      <c r="Y688" s="37" t="str">
        <f>IF(OR($H688="",$J688=""),"",$J688*IFERROR(VLOOKUP($H688,Maestro_SKU!$A$2:$P$500,12,FALSE),1))</f>
        <v/>
      </c>
      <c r="Z688" s="37" t="str">
        <f t="shared" ca="1" si="87"/>
        <v/>
      </c>
    </row>
    <row r="689" spans="1:26" x14ac:dyDescent="0.35">
      <c r="A689" s="18"/>
      <c r="B689" s="26"/>
      <c r="C689" s="18"/>
      <c r="D689" s="18"/>
      <c r="E689" s="22" t="str">
        <f>IFERROR(VLOOKUP(D689,Clientes_PDV!$A$2:$J$250,2,FALSE),"")</f>
        <v/>
      </c>
      <c r="F689" s="22" t="str">
        <f>IFERROR(VLOOKUP(D689,Clientes_PDV!$A$2:$J$250,3,FALSE),"")</f>
        <v/>
      </c>
      <c r="G689" s="22" t="str">
        <f>IFERROR(VLOOKUP(D689,Clientes_PDV!$A$2:$J$250,4,FALSE),"")</f>
        <v/>
      </c>
      <c r="H689" s="18"/>
      <c r="I689" s="22" t="str">
        <f>IFERROR(VLOOKUP(H689,Maestro_SKU!$A$2:$P$500,2,FALSE),"")</f>
        <v/>
      </c>
      <c r="J689" s="27"/>
      <c r="K689" s="19"/>
      <c r="L689" s="23" t="str">
        <f t="shared" si="80"/>
        <v/>
      </c>
      <c r="M689" s="23" t="str">
        <f>IF(L689="","",L689*Inicio!$B$13)</f>
        <v/>
      </c>
      <c r="N689" s="23" t="str">
        <f t="shared" si="81"/>
        <v/>
      </c>
      <c r="O689" s="26"/>
      <c r="P689" s="18"/>
      <c r="Q689" s="19"/>
      <c r="R689" s="23" t="str">
        <f t="shared" si="82"/>
        <v/>
      </c>
      <c r="S689" s="22" t="str">
        <f ca="1">IF(A689="","",IF(OR(P689="Pagada",R689=0),"Pagada",IF(O689&lt;TODAY(),"Vencida",IF(O689&lt;=TODAY()+Inicio!$B$19,"Próxima a vencer","Vigente"))))</f>
        <v/>
      </c>
      <c r="T689" s="18"/>
      <c r="U689" s="37" t="str">
        <f t="shared" si="83"/>
        <v/>
      </c>
      <c r="V689" s="37" t="str">
        <f t="shared" si="84"/>
        <v/>
      </c>
      <c r="W689" s="37" t="str">
        <f t="shared" si="85"/>
        <v/>
      </c>
      <c r="X689" s="37" t="str">
        <f t="shared" si="86"/>
        <v/>
      </c>
      <c r="Y689" s="37" t="str">
        <f>IF(OR($H689="",$J689=""),"",$J689*IFERROR(VLOOKUP($H689,Maestro_SKU!$A$2:$P$500,12,FALSE),1))</f>
        <v/>
      </c>
      <c r="Z689" s="37" t="str">
        <f t="shared" ca="1" si="87"/>
        <v/>
      </c>
    </row>
    <row r="690" spans="1:26" x14ac:dyDescent="0.35">
      <c r="A690" s="18"/>
      <c r="B690" s="26"/>
      <c r="C690" s="18"/>
      <c r="D690" s="18"/>
      <c r="E690" s="22" t="str">
        <f>IFERROR(VLOOKUP(D690,Clientes_PDV!$A$2:$J$250,2,FALSE),"")</f>
        <v/>
      </c>
      <c r="F690" s="22" t="str">
        <f>IFERROR(VLOOKUP(D690,Clientes_PDV!$A$2:$J$250,3,FALSE),"")</f>
        <v/>
      </c>
      <c r="G690" s="22" t="str">
        <f>IFERROR(VLOOKUP(D690,Clientes_PDV!$A$2:$J$250,4,FALSE),"")</f>
        <v/>
      </c>
      <c r="H690" s="18"/>
      <c r="I690" s="22" t="str">
        <f>IFERROR(VLOOKUP(H690,Maestro_SKU!$A$2:$P$500,2,FALSE),"")</f>
        <v/>
      </c>
      <c r="J690" s="27"/>
      <c r="K690" s="19"/>
      <c r="L690" s="23" t="str">
        <f t="shared" si="80"/>
        <v/>
      </c>
      <c r="M690" s="23" t="str">
        <f>IF(L690="","",L690*Inicio!$B$13)</f>
        <v/>
      </c>
      <c r="N690" s="23" t="str">
        <f t="shared" si="81"/>
        <v/>
      </c>
      <c r="O690" s="26"/>
      <c r="P690" s="18"/>
      <c r="Q690" s="19"/>
      <c r="R690" s="23" t="str">
        <f t="shared" si="82"/>
        <v/>
      </c>
      <c r="S690" s="22" t="str">
        <f ca="1">IF(A690="","",IF(OR(P690="Pagada",R690=0),"Pagada",IF(O690&lt;TODAY(),"Vencida",IF(O690&lt;=TODAY()+Inicio!$B$19,"Próxima a vencer","Vigente"))))</f>
        <v/>
      </c>
      <c r="T690" s="18"/>
      <c r="U690" s="37" t="str">
        <f t="shared" si="83"/>
        <v/>
      </c>
      <c r="V690" s="37" t="str">
        <f t="shared" si="84"/>
        <v/>
      </c>
      <c r="W690" s="37" t="str">
        <f t="shared" si="85"/>
        <v/>
      </c>
      <c r="X690" s="37" t="str">
        <f t="shared" si="86"/>
        <v/>
      </c>
      <c r="Y690" s="37" t="str">
        <f>IF(OR($H690="",$J690=""),"",$J690*IFERROR(VLOOKUP($H690,Maestro_SKU!$A$2:$P$500,12,FALSE),1))</f>
        <v/>
      </c>
      <c r="Z690" s="37" t="str">
        <f t="shared" ca="1" si="87"/>
        <v/>
      </c>
    </row>
    <row r="691" spans="1:26" x14ac:dyDescent="0.35">
      <c r="A691" s="18"/>
      <c r="B691" s="26"/>
      <c r="C691" s="18"/>
      <c r="D691" s="18"/>
      <c r="E691" s="22" t="str">
        <f>IFERROR(VLOOKUP(D691,Clientes_PDV!$A$2:$J$250,2,FALSE),"")</f>
        <v/>
      </c>
      <c r="F691" s="22" t="str">
        <f>IFERROR(VLOOKUP(D691,Clientes_PDV!$A$2:$J$250,3,FALSE),"")</f>
        <v/>
      </c>
      <c r="G691" s="22" t="str">
        <f>IFERROR(VLOOKUP(D691,Clientes_PDV!$A$2:$J$250,4,FALSE),"")</f>
        <v/>
      </c>
      <c r="H691" s="18"/>
      <c r="I691" s="22" t="str">
        <f>IFERROR(VLOOKUP(H691,Maestro_SKU!$A$2:$P$500,2,FALSE),"")</f>
        <v/>
      </c>
      <c r="J691" s="27"/>
      <c r="K691" s="19"/>
      <c r="L691" s="23" t="str">
        <f t="shared" si="80"/>
        <v/>
      </c>
      <c r="M691" s="23" t="str">
        <f>IF(L691="","",L691*Inicio!$B$13)</f>
        <v/>
      </c>
      <c r="N691" s="23" t="str">
        <f t="shared" si="81"/>
        <v/>
      </c>
      <c r="O691" s="26"/>
      <c r="P691" s="18"/>
      <c r="Q691" s="19"/>
      <c r="R691" s="23" t="str">
        <f t="shared" si="82"/>
        <v/>
      </c>
      <c r="S691" s="22" t="str">
        <f ca="1">IF(A691="","",IF(OR(P691="Pagada",R691=0),"Pagada",IF(O691&lt;TODAY(),"Vencida",IF(O691&lt;=TODAY()+Inicio!$B$19,"Próxima a vencer","Vigente"))))</f>
        <v/>
      </c>
      <c r="T691" s="18"/>
      <c r="U691" s="37" t="str">
        <f t="shared" si="83"/>
        <v/>
      </c>
      <c r="V691" s="37" t="str">
        <f t="shared" si="84"/>
        <v/>
      </c>
      <c r="W691" s="37" t="str">
        <f t="shared" si="85"/>
        <v/>
      </c>
      <c r="X691" s="37" t="str">
        <f t="shared" si="86"/>
        <v/>
      </c>
      <c r="Y691" s="37" t="str">
        <f>IF(OR($H691="",$J691=""),"",$J691*IFERROR(VLOOKUP($H691,Maestro_SKU!$A$2:$P$500,12,FALSE),1))</f>
        <v/>
      </c>
      <c r="Z691" s="37" t="str">
        <f t="shared" ca="1" si="87"/>
        <v/>
      </c>
    </row>
    <row r="692" spans="1:26" x14ac:dyDescent="0.35">
      <c r="A692" s="18"/>
      <c r="B692" s="26"/>
      <c r="C692" s="18"/>
      <c r="D692" s="18"/>
      <c r="E692" s="22" t="str">
        <f>IFERROR(VLOOKUP(D692,Clientes_PDV!$A$2:$J$250,2,FALSE),"")</f>
        <v/>
      </c>
      <c r="F692" s="22" t="str">
        <f>IFERROR(VLOOKUP(D692,Clientes_PDV!$A$2:$J$250,3,FALSE),"")</f>
        <v/>
      </c>
      <c r="G692" s="22" t="str">
        <f>IFERROR(VLOOKUP(D692,Clientes_PDV!$A$2:$J$250,4,FALSE),"")</f>
        <v/>
      </c>
      <c r="H692" s="18"/>
      <c r="I692" s="22" t="str">
        <f>IFERROR(VLOOKUP(H692,Maestro_SKU!$A$2:$P$500,2,FALSE),"")</f>
        <v/>
      </c>
      <c r="J692" s="27"/>
      <c r="K692" s="19"/>
      <c r="L692" s="23" t="str">
        <f t="shared" si="80"/>
        <v/>
      </c>
      <c r="M692" s="23" t="str">
        <f>IF(L692="","",L692*Inicio!$B$13)</f>
        <v/>
      </c>
      <c r="N692" s="23" t="str">
        <f t="shared" si="81"/>
        <v/>
      </c>
      <c r="O692" s="26"/>
      <c r="P692" s="18"/>
      <c r="Q692" s="19"/>
      <c r="R692" s="23" t="str">
        <f t="shared" si="82"/>
        <v/>
      </c>
      <c r="S692" s="22" t="str">
        <f ca="1">IF(A692="","",IF(OR(P692="Pagada",R692=0),"Pagada",IF(O692&lt;TODAY(),"Vencida",IF(O692&lt;=TODAY()+Inicio!$B$19,"Próxima a vencer","Vigente"))))</f>
        <v/>
      </c>
      <c r="T692" s="18"/>
      <c r="U692" s="37" t="str">
        <f t="shared" si="83"/>
        <v/>
      </c>
      <c r="V692" s="37" t="str">
        <f t="shared" si="84"/>
        <v/>
      </c>
      <c r="W692" s="37" t="str">
        <f t="shared" si="85"/>
        <v/>
      </c>
      <c r="X692" s="37" t="str">
        <f t="shared" si="86"/>
        <v/>
      </c>
      <c r="Y692" s="37" t="str">
        <f>IF(OR($H692="",$J692=""),"",$J692*IFERROR(VLOOKUP($H692,Maestro_SKU!$A$2:$P$500,12,FALSE),1))</f>
        <v/>
      </c>
      <c r="Z692" s="37" t="str">
        <f t="shared" ca="1" si="87"/>
        <v/>
      </c>
    </row>
    <row r="693" spans="1:26" x14ac:dyDescent="0.35">
      <c r="A693" s="18"/>
      <c r="B693" s="26"/>
      <c r="C693" s="18"/>
      <c r="D693" s="18"/>
      <c r="E693" s="22" t="str">
        <f>IFERROR(VLOOKUP(D693,Clientes_PDV!$A$2:$J$250,2,FALSE),"")</f>
        <v/>
      </c>
      <c r="F693" s="22" t="str">
        <f>IFERROR(VLOOKUP(D693,Clientes_PDV!$A$2:$J$250,3,FALSE),"")</f>
        <v/>
      </c>
      <c r="G693" s="22" t="str">
        <f>IFERROR(VLOOKUP(D693,Clientes_PDV!$A$2:$J$250,4,FALSE),"")</f>
        <v/>
      </c>
      <c r="H693" s="18"/>
      <c r="I693" s="22" t="str">
        <f>IFERROR(VLOOKUP(H693,Maestro_SKU!$A$2:$P$500,2,FALSE),"")</f>
        <v/>
      </c>
      <c r="J693" s="27"/>
      <c r="K693" s="19"/>
      <c r="L693" s="23" t="str">
        <f t="shared" si="80"/>
        <v/>
      </c>
      <c r="M693" s="23" t="str">
        <f>IF(L693="","",L693*Inicio!$B$13)</f>
        <v/>
      </c>
      <c r="N693" s="23" t="str">
        <f t="shared" si="81"/>
        <v/>
      </c>
      <c r="O693" s="26"/>
      <c r="P693" s="18"/>
      <c r="Q693" s="19"/>
      <c r="R693" s="23" t="str">
        <f t="shared" si="82"/>
        <v/>
      </c>
      <c r="S693" s="22" t="str">
        <f ca="1">IF(A693="","",IF(OR(P693="Pagada",R693=0),"Pagada",IF(O693&lt;TODAY(),"Vencida",IF(O693&lt;=TODAY()+Inicio!$B$19,"Próxima a vencer","Vigente"))))</f>
        <v/>
      </c>
      <c r="T693" s="18"/>
      <c r="U693" s="37" t="str">
        <f t="shared" si="83"/>
        <v/>
      </c>
      <c r="V693" s="37" t="str">
        <f t="shared" si="84"/>
        <v/>
      </c>
      <c r="W693" s="37" t="str">
        <f t="shared" si="85"/>
        <v/>
      </c>
      <c r="X693" s="37" t="str">
        <f t="shared" si="86"/>
        <v/>
      </c>
      <c r="Y693" s="37" t="str">
        <f>IF(OR($H693="",$J693=""),"",$J693*IFERROR(VLOOKUP($H693,Maestro_SKU!$A$2:$P$500,12,FALSE),1))</f>
        <v/>
      </c>
      <c r="Z693" s="37" t="str">
        <f t="shared" ca="1" si="87"/>
        <v/>
      </c>
    </row>
    <row r="694" spans="1:26" x14ac:dyDescent="0.35">
      <c r="A694" s="18"/>
      <c r="B694" s="26"/>
      <c r="C694" s="18"/>
      <c r="D694" s="18"/>
      <c r="E694" s="22" t="str">
        <f>IFERROR(VLOOKUP(D694,Clientes_PDV!$A$2:$J$250,2,FALSE),"")</f>
        <v/>
      </c>
      <c r="F694" s="22" t="str">
        <f>IFERROR(VLOOKUP(D694,Clientes_PDV!$A$2:$J$250,3,FALSE),"")</f>
        <v/>
      </c>
      <c r="G694" s="22" t="str">
        <f>IFERROR(VLOOKUP(D694,Clientes_PDV!$A$2:$J$250,4,FALSE),"")</f>
        <v/>
      </c>
      <c r="H694" s="18"/>
      <c r="I694" s="22" t="str">
        <f>IFERROR(VLOOKUP(H694,Maestro_SKU!$A$2:$P$500,2,FALSE),"")</f>
        <v/>
      </c>
      <c r="J694" s="27"/>
      <c r="K694" s="19"/>
      <c r="L694" s="23" t="str">
        <f t="shared" si="80"/>
        <v/>
      </c>
      <c r="M694" s="23" t="str">
        <f>IF(L694="","",L694*Inicio!$B$13)</f>
        <v/>
      </c>
      <c r="N694" s="23" t="str">
        <f t="shared" si="81"/>
        <v/>
      </c>
      <c r="O694" s="26"/>
      <c r="P694" s="18"/>
      <c r="Q694" s="19"/>
      <c r="R694" s="23" t="str">
        <f t="shared" si="82"/>
        <v/>
      </c>
      <c r="S694" s="22" t="str">
        <f ca="1">IF(A694="","",IF(OR(P694="Pagada",R694=0),"Pagada",IF(O694&lt;TODAY(),"Vencida",IF(O694&lt;=TODAY()+Inicio!$B$19,"Próxima a vencer","Vigente"))))</f>
        <v/>
      </c>
      <c r="T694" s="18"/>
      <c r="U694" s="37" t="str">
        <f t="shared" si="83"/>
        <v/>
      </c>
      <c r="V694" s="37" t="str">
        <f t="shared" si="84"/>
        <v/>
      </c>
      <c r="W694" s="37" t="str">
        <f t="shared" si="85"/>
        <v/>
      </c>
      <c r="X694" s="37" t="str">
        <f t="shared" si="86"/>
        <v/>
      </c>
      <c r="Y694" s="37" t="str">
        <f>IF(OR($H694="",$J694=""),"",$J694*IFERROR(VLOOKUP($H694,Maestro_SKU!$A$2:$P$500,12,FALSE),1))</f>
        <v/>
      </c>
      <c r="Z694" s="37" t="str">
        <f t="shared" ca="1" si="87"/>
        <v/>
      </c>
    </row>
    <row r="695" spans="1:26" x14ac:dyDescent="0.35">
      <c r="A695" s="18"/>
      <c r="B695" s="26"/>
      <c r="C695" s="18"/>
      <c r="D695" s="18"/>
      <c r="E695" s="22" t="str">
        <f>IFERROR(VLOOKUP(D695,Clientes_PDV!$A$2:$J$250,2,FALSE),"")</f>
        <v/>
      </c>
      <c r="F695" s="22" t="str">
        <f>IFERROR(VLOOKUP(D695,Clientes_PDV!$A$2:$J$250,3,FALSE),"")</f>
        <v/>
      </c>
      <c r="G695" s="22" t="str">
        <f>IFERROR(VLOOKUP(D695,Clientes_PDV!$A$2:$J$250,4,FALSE),"")</f>
        <v/>
      </c>
      <c r="H695" s="18"/>
      <c r="I695" s="22" t="str">
        <f>IFERROR(VLOOKUP(H695,Maestro_SKU!$A$2:$P$500,2,FALSE),"")</f>
        <v/>
      </c>
      <c r="J695" s="27"/>
      <c r="K695" s="19"/>
      <c r="L695" s="23" t="str">
        <f t="shared" si="80"/>
        <v/>
      </c>
      <c r="M695" s="23" t="str">
        <f>IF(L695="","",L695*Inicio!$B$13)</f>
        <v/>
      </c>
      <c r="N695" s="23" t="str">
        <f t="shared" si="81"/>
        <v/>
      </c>
      <c r="O695" s="26"/>
      <c r="P695" s="18"/>
      <c r="Q695" s="19"/>
      <c r="R695" s="23" t="str">
        <f t="shared" si="82"/>
        <v/>
      </c>
      <c r="S695" s="22" t="str">
        <f ca="1">IF(A695="","",IF(OR(P695="Pagada",R695=0),"Pagada",IF(O695&lt;TODAY(),"Vencida",IF(O695&lt;=TODAY()+Inicio!$B$19,"Próxima a vencer","Vigente"))))</f>
        <v/>
      </c>
      <c r="T695" s="18"/>
      <c r="U695" s="37" t="str">
        <f t="shared" si="83"/>
        <v/>
      </c>
      <c r="V695" s="37" t="str">
        <f t="shared" si="84"/>
        <v/>
      </c>
      <c r="W695" s="37" t="str">
        <f t="shared" si="85"/>
        <v/>
      </c>
      <c r="X695" s="37" t="str">
        <f t="shared" si="86"/>
        <v/>
      </c>
      <c r="Y695" s="37" t="str">
        <f>IF(OR($H695="",$J695=""),"",$J695*IFERROR(VLOOKUP($H695,Maestro_SKU!$A$2:$P$500,12,FALSE),1))</f>
        <v/>
      </c>
      <c r="Z695" s="37" t="str">
        <f t="shared" ca="1" si="87"/>
        <v/>
      </c>
    </row>
    <row r="696" spans="1:26" x14ac:dyDescent="0.35">
      <c r="A696" s="18"/>
      <c r="B696" s="26"/>
      <c r="C696" s="18"/>
      <c r="D696" s="18"/>
      <c r="E696" s="22" t="str">
        <f>IFERROR(VLOOKUP(D696,Clientes_PDV!$A$2:$J$250,2,FALSE),"")</f>
        <v/>
      </c>
      <c r="F696" s="22" t="str">
        <f>IFERROR(VLOOKUP(D696,Clientes_PDV!$A$2:$J$250,3,FALSE),"")</f>
        <v/>
      </c>
      <c r="G696" s="22" t="str">
        <f>IFERROR(VLOOKUP(D696,Clientes_PDV!$A$2:$J$250,4,FALSE),"")</f>
        <v/>
      </c>
      <c r="H696" s="18"/>
      <c r="I696" s="22" t="str">
        <f>IFERROR(VLOOKUP(H696,Maestro_SKU!$A$2:$P$500,2,FALSE),"")</f>
        <v/>
      </c>
      <c r="J696" s="27"/>
      <c r="K696" s="19"/>
      <c r="L696" s="23" t="str">
        <f t="shared" si="80"/>
        <v/>
      </c>
      <c r="M696" s="23" t="str">
        <f>IF(L696="","",L696*Inicio!$B$13)</f>
        <v/>
      </c>
      <c r="N696" s="23" t="str">
        <f t="shared" si="81"/>
        <v/>
      </c>
      <c r="O696" s="26"/>
      <c r="P696" s="18"/>
      <c r="Q696" s="19"/>
      <c r="R696" s="23" t="str">
        <f t="shared" si="82"/>
        <v/>
      </c>
      <c r="S696" s="22" t="str">
        <f ca="1">IF(A696="","",IF(OR(P696="Pagada",R696=0),"Pagada",IF(O696&lt;TODAY(),"Vencida",IF(O696&lt;=TODAY()+Inicio!$B$19,"Próxima a vencer","Vigente"))))</f>
        <v/>
      </c>
      <c r="T696" s="18"/>
      <c r="U696" s="37" t="str">
        <f t="shared" si="83"/>
        <v/>
      </c>
      <c r="V696" s="37" t="str">
        <f t="shared" si="84"/>
        <v/>
      </c>
      <c r="W696" s="37" t="str">
        <f t="shared" si="85"/>
        <v/>
      </c>
      <c r="X696" s="37" t="str">
        <f t="shared" si="86"/>
        <v/>
      </c>
      <c r="Y696" s="37" t="str">
        <f>IF(OR($H696="",$J696=""),"",$J696*IFERROR(VLOOKUP($H696,Maestro_SKU!$A$2:$P$500,12,FALSE),1))</f>
        <v/>
      </c>
      <c r="Z696" s="37" t="str">
        <f t="shared" ca="1" si="87"/>
        <v/>
      </c>
    </row>
    <row r="697" spans="1:26" x14ac:dyDescent="0.35">
      <c r="A697" s="18"/>
      <c r="B697" s="26"/>
      <c r="C697" s="18"/>
      <c r="D697" s="18"/>
      <c r="E697" s="22" t="str">
        <f>IFERROR(VLOOKUP(D697,Clientes_PDV!$A$2:$J$250,2,FALSE),"")</f>
        <v/>
      </c>
      <c r="F697" s="22" t="str">
        <f>IFERROR(VLOOKUP(D697,Clientes_PDV!$A$2:$J$250,3,FALSE),"")</f>
        <v/>
      </c>
      <c r="G697" s="22" t="str">
        <f>IFERROR(VLOOKUP(D697,Clientes_PDV!$A$2:$J$250,4,FALSE),"")</f>
        <v/>
      </c>
      <c r="H697" s="18"/>
      <c r="I697" s="22" t="str">
        <f>IFERROR(VLOOKUP(H697,Maestro_SKU!$A$2:$P$500,2,FALSE),"")</f>
        <v/>
      </c>
      <c r="J697" s="27"/>
      <c r="K697" s="19"/>
      <c r="L697" s="23" t="str">
        <f t="shared" si="80"/>
        <v/>
      </c>
      <c r="M697" s="23" t="str">
        <f>IF(L697="","",L697*Inicio!$B$13)</f>
        <v/>
      </c>
      <c r="N697" s="23" t="str">
        <f t="shared" si="81"/>
        <v/>
      </c>
      <c r="O697" s="26"/>
      <c r="P697" s="18"/>
      <c r="Q697" s="19"/>
      <c r="R697" s="23" t="str">
        <f t="shared" si="82"/>
        <v/>
      </c>
      <c r="S697" s="22" t="str">
        <f ca="1">IF(A697="","",IF(OR(P697="Pagada",R697=0),"Pagada",IF(O697&lt;TODAY(),"Vencida",IF(O697&lt;=TODAY()+Inicio!$B$19,"Próxima a vencer","Vigente"))))</f>
        <v/>
      </c>
      <c r="T697" s="18"/>
      <c r="U697" s="37" t="str">
        <f t="shared" si="83"/>
        <v/>
      </c>
      <c r="V697" s="37" t="str">
        <f t="shared" si="84"/>
        <v/>
      </c>
      <c r="W697" s="37" t="str">
        <f t="shared" si="85"/>
        <v/>
      </c>
      <c r="X697" s="37" t="str">
        <f t="shared" si="86"/>
        <v/>
      </c>
      <c r="Y697" s="37" t="str">
        <f>IF(OR($H697="",$J697=""),"",$J697*IFERROR(VLOOKUP($H697,Maestro_SKU!$A$2:$P$500,12,FALSE),1))</f>
        <v/>
      </c>
      <c r="Z697" s="37" t="str">
        <f t="shared" ca="1" si="87"/>
        <v/>
      </c>
    </row>
    <row r="698" spans="1:26" x14ac:dyDescent="0.35">
      <c r="A698" s="18"/>
      <c r="B698" s="26"/>
      <c r="C698" s="18"/>
      <c r="D698" s="18"/>
      <c r="E698" s="22" t="str">
        <f>IFERROR(VLOOKUP(D698,Clientes_PDV!$A$2:$J$250,2,FALSE),"")</f>
        <v/>
      </c>
      <c r="F698" s="22" t="str">
        <f>IFERROR(VLOOKUP(D698,Clientes_PDV!$A$2:$J$250,3,FALSE),"")</f>
        <v/>
      </c>
      <c r="G698" s="22" t="str">
        <f>IFERROR(VLOOKUP(D698,Clientes_PDV!$A$2:$J$250,4,FALSE),"")</f>
        <v/>
      </c>
      <c r="H698" s="18"/>
      <c r="I698" s="22" t="str">
        <f>IFERROR(VLOOKUP(H698,Maestro_SKU!$A$2:$P$500,2,FALSE),"")</f>
        <v/>
      </c>
      <c r="J698" s="27"/>
      <c r="K698" s="19"/>
      <c r="L698" s="23" t="str">
        <f t="shared" si="80"/>
        <v/>
      </c>
      <c r="M698" s="23" t="str">
        <f>IF(L698="","",L698*Inicio!$B$13)</f>
        <v/>
      </c>
      <c r="N698" s="23" t="str">
        <f t="shared" si="81"/>
        <v/>
      </c>
      <c r="O698" s="26"/>
      <c r="P698" s="18"/>
      <c r="Q698" s="19"/>
      <c r="R698" s="23" t="str">
        <f t="shared" si="82"/>
        <v/>
      </c>
      <c r="S698" s="22" t="str">
        <f ca="1">IF(A698="","",IF(OR(P698="Pagada",R698=0),"Pagada",IF(O698&lt;TODAY(),"Vencida",IF(O698&lt;=TODAY()+Inicio!$B$19,"Próxima a vencer","Vigente"))))</f>
        <v/>
      </c>
      <c r="T698" s="18"/>
      <c r="U698" s="37" t="str">
        <f t="shared" si="83"/>
        <v/>
      </c>
      <c r="V698" s="37" t="str">
        <f t="shared" si="84"/>
        <v/>
      </c>
      <c r="W698" s="37" t="str">
        <f t="shared" si="85"/>
        <v/>
      </c>
      <c r="X698" s="37" t="str">
        <f t="shared" si="86"/>
        <v/>
      </c>
      <c r="Y698" s="37" t="str">
        <f>IF(OR($H698="",$J698=""),"",$J698*IFERROR(VLOOKUP($H698,Maestro_SKU!$A$2:$P$500,12,FALSE),1))</f>
        <v/>
      </c>
      <c r="Z698" s="37" t="str">
        <f t="shared" ca="1" si="87"/>
        <v/>
      </c>
    </row>
    <row r="699" spans="1:26" x14ac:dyDescent="0.35">
      <c r="A699" s="18"/>
      <c r="B699" s="26"/>
      <c r="C699" s="18"/>
      <c r="D699" s="18"/>
      <c r="E699" s="22" t="str">
        <f>IFERROR(VLOOKUP(D699,Clientes_PDV!$A$2:$J$250,2,FALSE),"")</f>
        <v/>
      </c>
      <c r="F699" s="22" t="str">
        <f>IFERROR(VLOOKUP(D699,Clientes_PDV!$A$2:$J$250,3,FALSE),"")</f>
        <v/>
      </c>
      <c r="G699" s="22" t="str">
        <f>IFERROR(VLOOKUP(D699,Clientes_PDV!$A$2:$J$250,4,FALSE),"")</f>
        <v/>
      </c>
      <c r="H699" s="18"/>
      <c r="I699" s="22" t="str">
        <f>IFERROR(VLOOKUP(H699,Maestro_SKU!$A$2:$P$500,2,FALSE),"")</f>
        <v/>
      </c>
      <c r="J699" s="27"/>
      <c r="K699" s="19"/>
      <c r="L699" s="23" t="str">
        <f t="shared" si="80"/>
        <v/>
      </c>
      <c r="M699" s="23" t="str">
        <f>IF(L699="","",L699*Inicio!$B$13)</f>
        <v/>
      </c>
      <c r="N699" s="23" t="str">
        <f t="shared" si="81"/>
        <v/>
      </c>
      <c r="O699" s="26"/>
      <c r="P699" s="18"/>
      <c r="Q699" s="19"/>
      <c r="R699" s="23" t="str">
        <f t="shared" si="82"/>
        <v/>
      </c>
      <c r="S699" s="22" t="str">
        <f ca="1">IF(A699="","",IF(OR(P699="Pagada",R699=0),"Pagada",IF(O699&lt;TODAY(),"Vencida",IF(O699&lt;=TODAY()+Inicio!$B$19,"Próxima a vencer","Vigente"))))</f>
        <v/>
      </c>
      <c r="T699" s="18"/>
      <c r="U699" s="37" t="str">
        <f t="shared" si="83"/>
        <v/>
      </c>
      <c r="V699" s="37" t="str">
        <f t="shared" si="84"/>
        <v/>
      </c>
      <c r="W699" s="37" t="str">
        <f t="shared" si="85"/>
        <v/>
      </c>
      <c r="X699" s="37" t="str">
        <f t="shared" si="86"/>
        <v/>
      </c>
      <c r="Y699" s="37" t="str">
        <f>IF(OR($H699="",$J699=""),"",$J699*IFERROR(VLOOKUP($H699,Maestro_SKU!$A$2:$P$500,12,FALSE),1))</f>
        <v/>
      </c>
      <c r="Z699" s="37" t="str">
        <f t="shared" ca="1" si="87"/>
        <v/>
      </c>
    </row>
    <row r="700" spans="1:26" x14ac:dyDescent="0.35">
      <c r="A700" s="18"/>
      <c r="B700" s="26"/>
      <c r="C700" s="18"/>
      <c r="D700" s="18"/>
      <c r="E700" s="22" t="str">
        <f>IFERROR(VLOOKUP(D700,Clientes_PDV!$A$2:$J$250,2,FALSE),"")</f>
        <v/>
      </c>
      <c r="F700" s="22" t="str">
        <f>IFERROR(VLOOKUP(D700,Clientes_PDV!$A$2:$J$250,3,FALSE),"")</f>
        <v/>
      </c>
      <c r="G700" s="22" t="str">
        <f>IFERROR(VLOOKUP(D700,Clientes_PDV!$A$2:$J$250,4,FALSE),"")</f>
        <v/>
      </c>
      <c r="H700" s="18"/>
      <c r="I700" s="22" t="str">
        <f>IFERROR(VLOOKUP(H700,Maestro_SKU!$A$2:$P$500,2,FALSE),"")</f>
        <v/>
      </c>
      <c r="J700" s="27"/>
      <c r="K700" s="19"/>
      <c r="L700" s="23" t="str">
        <f t="shared" si="80"/>
        <v/>
      </c>
      <c r="M700" s="23" t="str">
        <f>IF(L700="","",L700*Inicio!$B$13)</f>
        <v/>
      </c>
      <c r="N700" s="23" t="str">
        <f t="shared" si="81"/>
        <v/>
      </c>
      <c r="O700" s="26"/>
      <c r="P700" s="18"/>
      <c r="Q700" s="19"/>
      <c r="R700" s="23" t="str">
        <f t="shared" si="82"/>
        <v/>
      </c>
      <c r="S700" s="22" t="str">
        <f ca="1">IF(A700="","",IF(OR(P700="Pagada",R700=0),"Pagada",IF(O700&lt;TODAY(),"Vencida",IF(O700&lt;=TODAY()+Inicio!$B$19,"Próxima a vencer","Vigente"))))</f>
        <v/>
      </c>
      <c r="T700" s="18"/>
      <c r="U700" s="37" t="str">
        <f t="shared" si="83"/>
        <v/>
      </c>
      <c r="V700" s="37" t="str">
        <f t="shared" si="84"/>
        <v/>
      </c>
      <c r="W700" s="37" t="str">
        <f t="shared" si="85"/>
        <v/>
      </c>
      <c r="X700" s="37" t="str">
        <f t="shared" si="86"/>
        <v/>
      </c>
      <c r="Y700" s="37" t="str">
        <f>IF(OR($H700="",$J700=""),"",$J700*IFERROR(VLOOKUP($H700,Maestro_SKU!$A$2:$P$500,12,FALSE),1))</f>
        <v/>
      </c>
      <c r="Z700" s="37" t="str">
        <f t="shared" ca="1" si="87"/>
        <v/>
      </c>
    </row>
    <row r="701" spans="1:26" x14ac:dyDescent="0.35">
      <c r="A701" s="18"/>
      <c r="B701" s="26"/>
      <c r="C701" s="18"/>
      <c r="D701" s="18"/>
      <c r="E701" s="22" t="str">
        <f>IFERROR(VLOOKUP(D701,Clientes_PDV!$A$2:$J$250,2,FALSE),"")</f>
        <v/>
      </c>
      <c r="F701" s="22" t="str">
        <f>IFERROR(VLOOKUP(D701,Clientes_PDV!$A$2:$J$250,3,FALSE),"")</f>
        <v/>
      </c>
      <c r="G701" s="22" t="str">
        <f>IFERROR(VLOOKUP(D701,Clientes_PDV!$A$2:$J$250,4,FALSE),"")</f>
        <v/>
      </c>
      <c r="H701" s="18"/>
      <c r="I701" s="22" t="str">
        <f>IFERROR(VLOOKUP(H701,Maestro_SKU!$A$2:$P$500,2,FALSE),"")</f>
        <v/>
      </c>
      <c r="J701" s="27"/>
      <c r="K701" s="19"/>
      <c r="L701" s="23" t="str">
        <f t="shared" si="80"/>
        <v/>
      </c>
      <c r="M701" s="23" t="str">
        <f>IF(L701="","",L701*Inicio!$B$13)</f>
        <v/>
      </c>
      <c r="N701" s="23" t="str">
        <f t="shared" si="81"/>
        <v/>
      </c>
      <c r="O701" s="26"/>
      <c r="P701" s="18"/>
      <c r="Q701" s="19"/>
      <c r="R701" s="23" t="str">
        <f t="shared" si="82"/>
        <v/>
      </c>
      <c r="S701" s="22" t="str">
        <f ca="1">IF(A701="","",IF(OR(P701="Pagada",R701=0),"Pagada",IF(O701&lt;TODAY(),"Vencida",IF(O701&lt;=TODAY()+Inicio!$B$19,"Próxima a vencer","Vigente"))))</f>
        <v/>
      </c>
      <c r="T701" s="18"/>
      <c r="U701" s="37" t="str">
        <f t="shared" si="83"/>
        <v/>
      </c>
      <c r="V701" s="37" t="str">
        <f t="shared" si="84"/>
        <v/>
      </c>
      <c r="W701" s="37" t="str">
        <f t="shared" si="85"/>
        <v/>
      </c>
      <c r="X701" s="37" t="str">
        <f t="shared" si="86"/>
        <v/>
      </c>
      <c r="Y701" s="37" t="str">
        <f>IF(OR($H701="",$J701=""),"",$J701*IFERROR(VLOOKUP($H701,Maestro_SKU!$A$2:$P$500,12,FALSE),1))</f>
        <v/>
      </c>
      <c r="Z701" s="37" t="str">
        <f t="shared" ca="1" si="87"/>
        <v/>
      </c>
    </row>
    <row r="702" spans="1:26" x14ac:dyDescent="0.35">
      <c r="A702" s="18"/>
      <c r="B702" s="26"/>
      <c r="C702" s="18"/>
      <c r="D702" s="18"/>
      <c r="E702" s="22" t="str">
        <f>IFERROR(VLOOKUP(D702,Clientes_PDV!$A$2:$J$250,2,FALSE),"")</f>
        <v/>
      </c>
      <c r="F702" s="22" t="str">
        <f>IFERROR(VLOOKUP(D702,Clientes_PDV!$A$2:$J$250,3,FALSE),"")</f>
        <v/>
      </c>
      <c r="G702" s="22" t="str">
        <f>IFERROR(VLOOKUP(D702,Clientes_PDV!$A$2:$J$250,4,FALSE),"")</f>
        <v/>
      </c>
      <c r="H702" s="18"/>
      <c r="I702" s="22" t="str">
        <f>IFERROR(VLOOKUP(H702,Maestro_SKU!$A$2:$P$500,2,FALSE),"")</f>
        <v/>
      </c>
      <c r="J702" s="27"/>
      <c r="K702" s="19"/>
      <c r="L702" s="23" t="str">
        <f t="shared" si="80"/>
        <v/>
      </c>
      <c r="M702" s="23" t="str">
        <f>IF(L702="","",L702*Inicio!$B$13)</f>
        <v/>
      </c>
      <c r="N702" s="23" t="str">
        <f t="shared" si="81"/>
        <v/>
      </c>
      <c r="O702" s="26"/>
      <c r="P702" s="18"/>
      <c r="Q702" s="19"/>
      <c r="R702" s="23" t="str">
        <f t="shared" si="82"/>
        <v/>
      </c>
      <c r="S702" s="22" t="str">
        <f ca="1">IF(A702="","",IF(OR(P702="Pagada",R702=0),"Pagada",IF(O702&lt;TODAY(),"Vencida",IF(O702&lt;=TODAY()+Inicio!$B$19,"Próxima a vencer","Vigente"))))</f>
        <v/>
      </c>
      <c r="T702" s="18"/>
      <c r="U702" s="37" t="str">
        <f t="shared" si="83"/>
        <v/>
      </c>
      <c r="V702" s="37" t="str">
        <f t="shared" si="84"/>
        <v/>
      </c>
      <c r="W702" s="37" t="str">
        <f t="shared" si="85"/>
        <v/>
      </c>
      <c r="X702" s="37" t="str">
        <f t="shared" si="86"/>
        <v/>
      </c>
      <c r="Y702" s="37" t="str">
        <f>IF(OR($H702="",$J702=""),"",$J702*IFERROR(VLOOKUP($H702,Maestro_SKU!$A$2:$P$500,12,FALSE),1))</f>
        <v/>
      </c>
      <c r="Z702" s="37" t="str">
        <f t="shared" ca="1" si="87"/>
        <v/>
      </c>
    </row>
    <row r="703" spans="1:26" x14ac:dyDescent="0.35">
      <c r="A703" s="18"/>
      <c r="B703" s="26"/>
      <c r="C703" s="18"/>
      <c r="D703" s="18"/>
      <c r="E703" s="22" t="str">
        <f>IFERROR(VLOOKUP(D703,Clientes_PDV!$A$2:$J$250,2,FALSE),"")</f>
        <v/>
      </c>
      <c r="F703" s="22" t="str">
        <f>IFERROR(VLOOKUP(D703,Clientes_PDV!$A$2:$J$250,3,FALSE),"")</f>
        <v/>
      </c>
      <c r="G703" s="22" t="str">
        <f>IFERROR(VLOOKUP(D703,Clientes_PDV!$A$2:$J$250,4,FALSE),"")</f>
        <v/>
      </c>
      <c r="H703" s="18"/>
      <c r="I703" s="22" t="str">
        <f>IFERROR(VLOOKUP(H703,Maestro_SKU!$A$2:$P$500,2,FALSE),"")</f>
        <v/>
      </c>
      <c r="J703" s="27"/>
      <c r="K703" s="19"/>
      <c r="L703" s="23" t="str">
        <f t="shared" si="80"/>
        <v/>
      </c>
      <c r="M703" s="23" t="str">
        <f>IF(L703="","",L703*Inicio!$B$13)</f>
        <v/>
      </c>
      <c r="N703" s="23" t="str">
        <f t="shared" si="81"/>
        <v/>
      </c>
      <c r="O703" s="26"/>
      <c r="P703" s="18"/>
      <c r="Q703" s="19"/>
      <c r="R703" s="23" t="str">
        <f t="shared" si="82"/>
        <v/>
      </c>
      <c r="S703" s="22" t="str">
        <f ca="1">IF(A703="","",IF(OR(P703="Pagada",R703=0),"Pagada",IF(O703&lt;TODAY(),"Vencida",IF(O703&lt;=TODAY()+Inicio!$B$19,"Próxima a vencer","Vigente"))))</f>
        <v/>
      </c>
      <c r="T703" s="18"/>
      <c r="U703" s="37" t="str">
        <f t="shared" si="83"/>
        <v/>
      </c>
      <c r="V703" s="37" t="str">
        <f t="shared" si="84"/>
        <v/>
      </c>
      <c r="W703" s="37" t="str">
        <f t="shared" si="85"/>
        <v/>
      </c>
      <c r="X703" s="37" t="str">
        <f t="shared" si="86"/>
        <v/>
      </c>
      <c r="Y703" s="37" t="str">
        <f>IF(OR($H703="",$J703=""),"",$J703*IFERROR(VLOOKUP($H703,Maestro_SKU!$A$2:$P$500,12,FALSE),1))</f>
        <v/>
      </c>
      <c r="Z703" s="37" t="str">
        <f t="shared" ca="1" si="87"/>
        <v/>
      </c>
    </row>
    <row r="704" spans="1:26" x14ac:dyDescent="0.35">
      <c r="A704" s="18"/>
      <c r="B704" s="26"/>
      <c r="C704" s="18"/>
      <c r="D704" s="18"/>
      <c r="E704" s="22" t="str">
        <f>IFERROR(VLOOKUP(D704,Clientes_PDV!$A$2:$J$250,2,FALSE),"")</f>
        <v/>
      </c>
      <c r="F704" s="22" t="str">
        <f>IFERROR(VLOOKUP(D704,Clientes_PDV!$A$2:$J$250,3,FALSE),"")</f>
        <v/>
      </c>
      <c r="G704" s="22" t="str">
        <f>IFERROR(VLOOKUP(D704,Clientes_PDV!$A$2:$J$250,4,FALSE),"")</f>
        <v/>
      </c>
      <c r="H704" s="18"/>
      <c r="I704" s="22" t="str">
        <f>IFERROR(VLOOKUP(H704,Maestro_SKU!$A$2:$P$500,2,FALSE),"")</f>
        <v/>
      </c>
      <c r="J704" s="27"/>
      <c r="K704" s="19"/>
      <c r="L704" s="23" t="str">
        <f t="shared" si="80"/>
        <v/>
      </c>
      <c r="M704" s="23" t="str">
        <f>IF(L704="","",L704*Inicio!$B$13)</f>
        <v/>
      </c>
      <c r="N704" s="23" t="str">
        <f t="shared" si="81"/>
        <v/>
      </c>
      <c r="O704" s="26"/>
      <c r="P704" s="18"/>
      <c r="Q704" s="19"/>
      <c r="R704" s="23" t="str">
        <f t="shared" si="82"/>
        <v/>
      </c>
      <c r="S704" s="22" t="str">
        <f ca="1">IF(A704="","",IF(OR(P704="Pagada",R704=0),"Pagada",IF(O704&lt;TODAY(),"Vencida",IF(O704&lt;=TODAY()+Inicio!$B$19,"Próxima a vencer","Vigente"))))</f>
        <v/>
      </c>
      <c r="T704" s="18"/>
      <c r="U704" s="37" t="str">
        <f t="shared" si="83"/>
        <v/>
      </c>
      <c r="V704" s="37" t="str">
        <f t="shared" si="84"/>
        <v/>
      </c>
      <c r="W704" s="37" t="str">
        <f t="shared" si="85"/>
        <v/>
      </c>
      <c r="X704" s="37" t="str">
        <f t="shared" si="86"/>
        <v/>
      </c>
      <c r="Y704" s="37" t="str">
        <f>IF(OR($H704="",$J704=""),"",$J704*IFERROR(VLOOKUP($H704,Maestro_SKU!$A$2:$P$500,12,FALSE),1))</f>
        <v/>
      </c>
      <c r="Z704" s="37" t="str">
        <f t="shared" ca="1" si="87"/>
        <v/>
      </c>
    </row>
    <row r="705" spans="1:26" x14ac:dyDescent="0.35">
      <c r="A705" s="18"/>
      <c r="B705" s="26"/>
      <c r="C705" s="18"/>
      <c r="D705" s="18"/>
      <c r="E705" s="22" t="str">
        <f>IFERROR(VLOOKUP(D705,Clientes_PDV!$A$2:$J$250,2,FALSE),"")</f>
        <v/>
      </c>
      <c r="F705" s="22" t="str">
        <f>IFERROR(VLOOKUP(D705,Clientes_PDV!$A$2:$J$250,3,FALSE),"")</f>
        <v/>
      </c>
      <c r="G705" s="22" t="str">
        <f>IFERROR(VLOOKUP(D705,Clientes_PDV!$A$2:$J$250,4,FALSE),"")</f>
        <v/>
      </c>
      <c r="H705" s="18"/>
      <c r="I705" s="22" t="str">
        <f>IFERROR(VLOOKUP(H705,Maestro_SKU!$A$2:$P$500,2,FALSE),"")</f>
        <v/>
      </c>
      <c r="J705" s="27"/>
      <c r="K705" s="19"/>
      <c r="L705" s="23" t="str">
        <f t="shared" si="80"/>
        <v/>
      </c>
      <c r="M705" s="23" t="str">
        <f>IF(L705="","",L705*Inicio!$B$13)</f>
        <v/>
      </c>
      <c r="N705" s="23" t="str">
        <f t="shared" si="81"/>
        <v/>
      </c>
      <c r="O705" s="26"/>
      <c r="P705" s="18"/>
      <c r="Q705" s="19"/>
      <c r="R705" s="23" t="str">
        <f t="shared" si="82"/>
        <v/>
      </c>
      <c r="S705" s="22" t="str">
        <f ca="1">IF(A705="","",IF(OR(P705="Pagada",R705=0),"Pagada",IF(O705&lt;TODAY(),"Vencida",IF(O705&lt;=TODAY()+Inicio!$B$19,"Próxima a vencer","Vigente"))))</f>
        <v/>
      </c>
      <c r="T705" s="18"/>
      <c r="U705" s="37" t="str">
        <f t="shared" si="83"/>
        <v/>
      </c>
      <c r="V705" s="37" t="str">
        <f t="shared" si="84"/>
        <v/>
      </c>
      <c r="W705" s="37" t="str">
        <f t="shared" si="85"/>
        <v/>
      </c>
      <c r="X705" s="37" t="str">
        <f t="shared" si="86"/>
        <v/>
      </c>
      <c r="Y705" s="37" t="str">
        <f>IF(OR($H705="",$J705=""),"",$J705*IFERROR(VLOOKUP($H705,Maestro_SKU!$A$2:$P$500,12,FALSE),1))</f>
        <v/>
      </c>
      <c r="Z705" s="37" t="str">
        <f t="shared" ca="1" si="87"/>
        <v/>
      </c>
    </row>
    <row r="706" spans="1:26" x14ac:dyDescent="0.35">
      <c r="A706" s="18"/>
      <c r="B706" s="26"/>
      <c r="C706" s="18"/>
      <c r="D706" s="18"/>
      <c r="E706" s="22" t="str">
        <f>IFERROR(VLOOKUP(D706,Clientes_PDV!$A$2:$J$250,2,FALSE),"")</f>
        <v/>
      </c>
      <c r="F706" s="22" t="str">
        <f>IFERROR(VLOOKUP(D706,Clientes_PDV!$A$2:$J$250,3,FALSE),"")</f>
        <v/>
      </c>
      <c r="G706" s="22" t="str">
        <f>IFERROR(VLOOKUP(D706,Clientes_PDV!$A$2:$J$250,4,FALSE),"")</f>
        <v/>
      </c>
      <c r="H706" s="18"/>
      <c r="I706" s="22" t="str">
        <f>IFERROR(VLOOKUP(H706,Maestro_SKU!$A$2:$P$500,2,FALSE),"")</f>
        <v/>
      </c>
      <c r="J706" s="27"/>
      <c r="K706" s="19"/>
      <c r="L706" s="23" t="str">
        <f t="shared" ref="L706:L769" si="88">IF(OR(J706="",K706=""),"",J706*K706)</f>
        <v/>
      </c>
      <c r="M706" s="23" t="str">
        <f>IF(L706="","",L706*Inicio!$B$13)</f>
        <v/>
      </c>
      <c r="N706" s="23" t="str">
        <f t="shared" ref="N706:N769" si="89">IF(L706="","",L706+M706)</f>
        <v/>
      </c>
      <c r="O706" s="26"/>
      <c r="P706" s="18"/>
      <c r="Q706" s="19"/>
      <c r="R706" s="23" t="str">
        <f t="shared" ref="R706:R769" si="90">IF(N706="","",MAX(N706-Q706,0))</f>
        <v/>
      </c>
      <c r="S706" s="22" t="str">
        <f ca="1">IF(A706="","",IF(OR(P706="Pagada",R706=0),"Pagada",IF(O706&lt;TODAY(),"Vencida",IF(O706&lt;=TODAY()+Inicio!$B$19,"Próxima a vencer","Vigente"))))</f>
        <v/>
      </c>
      <c r="T706" s="18"/>
      <c r="U706" s="37" t="str">
        <f t="shared" ref="U706:U769" si="91">IF($B706="","",YEAR($B706))</f>
        <v/>
      </c>
      <c r="V706" s="37" t="str">
        <f t="shared" ref="V706:V769" si="92">IF($B706="","",MONTH($B706))</f>
        <v/>
      </c>
      <c r="W706" s="37" t="str">
        <f t="shared" ref="W706:W769" si="93">IF($B706="","",DAY($B706))</f>
        <v/>
      </c>
      <c r="X706" s="37" t="str">
        <f t="shared" ref="X706:X769" si="94">IF($B706="","",YEAR($B706)&amp;"-"&amp;TEXT(MONTH($B706),"00"))</f>
        <v/>
      </c>
      <c r="Y706" s="37" t="str">
        <f>IF(OR($H706="",$J706=""),"",$J706*IFERROR(VLOOKUP($H706,Maestro_SKU!$A$2:$P$500,12,FALSE),1))</f>
        <v/>
      </c>
      <c r="Z706" s="37" t="str">
        <f t="shared" ref="Z706:Z769" ca="1" si="95">IF(OR($A706="",$O706="",$S706="Pagada"),"",$O706-TODAY())</f>
        <v/>
      </c>
    </row>
    <row r="707" spans="1:26" x14ac:dyDescent="0.35">
      <c r="A707" s="18"/>
      <c r="B707" s="26"/>
      <c r="C707" s="18"/>
      <c r="D707" s="18"/>
      <c r="E707" s="22" t="str">
        <f>IFERROR(VLOOKUP(D707,Clientes_PDV!$A$2:$J$250,2,FALSE),"")</f>
        <v/>
      </c>
      <c r="F707" s="22" t="str">
        <f>IFERROR(VLOOKUP(D707,Clientes_PDV!$A$2:$J$250,3,FALSE),"")</f>
        <v/>
      </c>
      <c r="G707" s="22" t="str">
        <f>IFERROR(VLOOKUP(D707,Clientes_PDV!$A$2:$J$250,4,FALSE),"")</f>
        <v/>
      </c>
      <c r="H707" s="18"/>
      <c r="I707" s="22" t="str">
        <f>IFERROR(VLOOKUP(H707,Maestro_SKU!$A$2:$P$500,2,FALSE),"")</f>
        <v/>
      </c>
      <c r="J707" s="27"/>
      <c r="K707" s="19"/>
      <c r="L707" s="23" t="str">
        <f t="shared" si="88"/>
        <v/>
      </c>
      <c r="M707" s="23" t="str">
        <f>IF(L707="","",L707*Inicio!$B$13)</f>
        <v/>
      </c>
      <c r="N707" s="23" t="str">
        <f t="shared" si="89"/>
        <v/>
      </c>
      <c r="O707" s="26"/>
      <c r="P707" s="18"/>
      <c r="Q707" s="19"/>
      <c r="R707" s="23" t="str">
        <f t="shared" si="90"/>
        <v/>
      </c>
      <c r="S707" s="22" t="str">
        <f ca="1">IF(A707="","",IF(OR(P707="Pagada",R707=0),"Pagada",IF(O707&lt;TODAY(),"Vencida",IF(O707&lt;=TODAY()+Inicio!$B$19,"Próxima a vencer","Vigente"))))</f>
        <v/>
      </c>
      <c r="T707" s="18"/>
      <c r="U707" s="37" t="str">
        <f t="shared" si="91"/>
        <v/>
      </c>
      <c r="V707" s="37" t="str">
        <f t="shared" si="92"/>
        <v/>
      </c>
      <c r="W707" s="37" t="str">
        <f t="shared" si="93"/>
        <v/>
      </c>
      <c r="X707" s="37" t="str">
        <f t="shared" si="94"/>
        <v/>
      </c>
      <c r="Y707" s="37" t="str">
        <f>IF(OR($H707="",$J707=""),"",$J707*IFERROR(VLOOKUP($H707,Maestro_SKU!$A$2:$P$500,12,FALSE),1))</f>
        <v/>
      </c>
      <c r="Z707" s="37" t="str">
        <f t="shared" ca="1" si="95"/>
        <v/>
      </c>
    </row>
    <row r="708" spans="1:26" x14ac:dyDescent="0.35">
      <c r="A708" s="18"/>
      <c r="B708" s="26"/>
      <c r="C708" s="18"/>
      <c r="D708" s="18"/>
      <c r="E708" s="22" t="str">
        <f>IFERROR(VLOOKUP(D708,Clientes_PDV!$A$2:$J$250,2,FALSE),"")</f>
        <v/>
      </c>
      <c r="F708" s="22" t="str">
        <f>IFERROR(VLOOKUP(D708,Clientes_PDV!$A$2:$J$250,3,FALSE),"")</f>
        <v/>
      </c>
      <c r="G708" s="22" t="str">
        <f>IFERROR(VLOOKUP(D708,Clientes_PDV!$A$2:$J$250,4,FALSE),"")</f>
        <v/>
      </c>
      <c r="H708" s="18"/>
      <c r="I708" s="22" t="str">
        <f>IFERROR(VLOOKUP(H708,Maestro_SKU!$A$2:$P$500,2,FALSE),"")</f>
        <v/>
      </c>
      <c r="J708" s="27"/>
      <c r="K708" s="19"/>
      <c r="L708" s="23" t="str">
        <f t="shared" si="88"/>
        <v/>
      </c>
      <c r="M708" s="23" t="str">
        <f>IF(L708="","",L708*Inicio!$B$13)</f>
        <v/>
      </c>
      <c r="N708" s="23" t="str">
        <f t="shared" si="89"/>
        <v/>
      </c>
      <c r="O708" s="26"/>
      <c r="P708" s="18"/>
      <c r="Q708" s="19"/>
      <c r="R708" s="23" t="str">
        <f t="shared" si="90"/>
        <v/>
      </c>
      <c r="S708" s="22" t="str">
        <f ca="1">IF(A708="","",IF(OR(P708="Pagada",R708=0),"Pagada",IF(O708&lt;TODAY(),"Vencida",IF(O708&lt;=TODAY()+Inicio!$B$19,"Próxima a vencer","Vigente"))))</f>
        <v/>
      </c>
      <c r="T708" s="18"/>
      <c r="U708" s="37" t="str">
        <f t="shared" si="91"/>
        <v/>
      </c>
      <c r="V708" s="37" t="str">
        <f t="shared" si="92"/>
        <v/>
      </c>
      <c r="W708" s="37" t="str">
        <f t="shared" si="93"/>
        <v/>
      </c>
      <c r="X708" s="37" t="str">
        <f t="shared" si="94"/>
        <v/>
      </c>
      <c r="Y708" s="37" t="str">
        <f>IF(OR($H708="",$J708=""),"",$J708*IFERROR(VLOOKUP($H708,Maestro_SKU!$A$2:$P$500,12,FALSE),1))</f>
        <v/>
      </c>
      <c r="Z708" s="37" t="str">
        <f t="shared" ca="1" si="95"/>
        <v/>
      </c>
    </row>
    <row r="709" spans="1:26" x14ac:dyDescent="0.35">
      <c r="A709" s="18"/>
      <c r="B709" s="26"/>
      <c r="C709" s="18"/>
      <c r="D709" s="18"/>
      <c r="E709" s="22" t="str">
        <f>IFERROR(VLOOKUP(D709,Clientes_PDV!$A$2:$J$250,2,FALSE),"")</f>
        <v/>
      </c>
      <c r="F709" s="22" t="str">
        <f>IFERROR(VLOOKUP(D709,Clientes_PDV!$A$2:$J$250,3,FALSE),"")</f>
        <v/>
      </c>
      <c r="G709" s="22" t="str">
        <f>IFERROR(VLOOKUP(D709,Clientes_PDV!$A$2:$J$250,4,FALSE),"")</f>
        <v/>
      </c>
      <c r="H709" s="18"/>
      <c r="I709" s="22" t="str">
        <f>IFERROR(VLOOKUP(H709,Maestro_SKU!$A$2:$P$500,2,FALSE),"")</f>
        <v/>
      </c>
      <c r="J709" s="27"/>
      <c r="K709" s="19"/>
      <c r="L709" s="23" t="str">
        <f t="shared" si="88"/>
        <v/>
      </c>
      <c r="M709" s="23" t="str">
        <f>IF(L709="","",L709*Inicio!$B$13)</f>
        <v/>
      </c>
      <c r="N709" s="23" t="str">
        <f t="shared" si="89"/>
        <v/>
      </c>
      <c r="O709" s="26"/>
      <c r="P709" s="18"/>
      <c r="Q709" s="19"/>
      <c r="R709" s="23" t="str">
        <f t="shared" si="90"/>
        <v/>
      </c>
      <c r="S709" s="22" t="str">
        <f ca="1">IF(A709="","",IF(OR(P709="Pagada",R709=0),"Pagada",IF(O709&lt;TODAY(),"Vencida",IF(O709&lt;=TODAY()+Inicio!$B$19,"Próxima a vencer","Vigente"))))</f>
        <v/>
      </c>
      <c r="T709" s="18"/>
      <c r="U709" s="37" t="str">
        <f t="shared" si="91"/>
        <v/>
      </c>
      <c r="V709" s="37" t="str">
        <f t="shared" si="92"/>
        <v/>
      </c>
      <c r="W709" s="37" t="str">
        <f t="shared" si="93"/>
        <v/>
      </c>
      <c r="X709" s="37" t="str">
        <f t="shared" si="94"/>
        <v/>
      </c>
      <c r="Y709" s="37" t="str">
        <f>IF(OR($H709="",$J709=""),"",$J709*IFERROR(VLOOKUP($H709,Maestro_SKU!$A$2:$P$500,12,FALSE),1))</f>
        <v/>
      </c>
      <c r="Z709" s="37" t="str">
        <f t="shared" ca="1" si="95"/>
        <v/>
      </c>
    </row>
    <row r="710" spans="1:26" x14ac:dyDescent="0.35">
      <c r="A710" s="18"/>
      <c r="B710" s="26"/>
      <c r="C710" s="18"/>
      <c r="D710" s="18"/>
      <c r="E710" s="22" t="str">
        <f>IFERROR(VLOOKUP(D710,Clientes_PDV!$A$2:$J$250,2,FALSE),"")</f>
        <v/>
      </c>
      <c r="F710" s="22" t="str">
        <f>IFERROR(VLOOKUP(D710,Clientes_PDV!$A$2:$J$250,3,FALSE),"")</f>
        <v/>
      </c>
      <c r="G710" s="22" t="str">
        <f>IFERROR(VLOOKUP(D710,Clientes_PDV!$A$2:$J$250,4,FALSE),"")</f>
        <v/>
      </c>
      <c r="H710" s="18"/>
      <c r="I710" s="22" t="str">
        <f>IFERROR(VLOOKUP(H710,Maestro_SKU!$A$2:$P$500,2,FALSE),"")</f>
        <v/>
      </c>
      <c r="J710" s="27"/>
      <c r="K710" s="19"/>
      <c r="L710" s="23" t="str">
        <f t="shared" si="88"/>
        <v/>
      </c>
      <c r="M710" s="23" t="str">
        <f>IF(L710="","",L710*Inicio!$B$13)</f>
        <v/>
      </c>
      <c r="N710" s="23" t="str">
        <f t="shared" si="89"/>
        <v/>
      </c>
      <c r="O710" s="26"/>
      <c r="P710" s="18"/>
      <c r="Q710" s="19"/>
      <c r="R710" s="23" t="str">
        <f t="shared" si="90"/>
        <v/>
      </c>
      <c r="S710" s="22" t="str">
        <f ca="1">IF(A710="","",IF(OR(P710="Pagada",R710=0),"Pagada",IF(O710&lt;TODAY(),"Vencida",IF(O710&lt;=TODAY()+Inicio!$B$19,"Próxima a vencer","Vigente"))))</f>
        <v/>
      </c>
      <c r="T710" s="18"/>
      <c r="U710" s="37" t="str">
        <f t="shared" si="91"/>
        <v/>
      </c>
      <c r="V710" s="37" t="str">
        <f t="shared" si="92"/>
        <v/>
      </c>
      <c r="W710" s="37" t="str">
        <f t="shared" si="93"/>
        <v/>
      </c>
      <c r="X710" s="37" t="str">
        <f t="shared" si="94"/>
        <v/>
      </c>
      <c r="Y710" s="37" t="str">
        <f>IF(OR($H710="",$J710=""),"",$J710*IFERROR(VLOOKUP($H710,Maestro_SKU!$A$2:$P$500,12,FALSE),1))</f>
        <v/>
      </c>
      <c r="Z710" s="37" t="str">
        <f t="shared" ca="1" si="95"/>
        <v/>
      </c>
    </row>
    <row r="711" spans="1:26" x14ac:dyDescent="0.35">
      <c r="A711" s="18"/>
      <c r="B711" s="26"/>
      <c r="C711" s="18"/>
      <c r="D711" s="18"/>
      <c r="E711" s="22" t="str">
        <f>IFERROR(VLOOKUP(D711,Clientes_PDV!$A$2:$J$250,2,FALSE),"")</f>
        <v/>
      </c>
      <c r="F711" s="22" t="str">
        <f>IFERROR(VLOOKUP(D711,Clientes_PDV!$A$2:$J$250,3,FALSE),"")</f>
        <v/>
      </c>
      <c r="G711" s="22" t="str">
        <f>IFERROR(VLOOKUP(D711,Clientes_PDV!$A$2:$J$250,4,FALSE),"")</f>
        <v/>
      </c>
      <c r="H711" s="18"/>
      <c r="I711" s="22" t="str">
        <f>IFERROR(VLOOKUP(H711,Maestro_SKU!$A$2:$P$500,2,FALSE),"")</f>
        <v/>
      </c>
      <c r="J711" s="27"/>
      <c r="K711" s="19"/>
      <c r="L711" s="23" t="str">
        <f t="shared" si="88"/>
        <v/>
      </c>
      <c r="M711" s="23" t="str">
        <f>IF(L711="","",L711*Inicio!$B$13)</f>
        <v/>
      </c>
      <c r="N711" s="23" t="str">
        <f t="shared" si="89"/>
        <v/>
      </c>
      <c r="O711" s="26"/>
      <c r="P711" s="18"/>
      <c r="Q711" s="19"/>
      <c r="R711" s="23" t="str">
        <f t="shared" si="90"/>
        <v/>
      </c>
      <c r="S711" s="22" t="str">
        <f ca="1">IF(A711="","",IF(OR(P711="Pagada",R711=0),"Pagada",IF(O711&lt;TODAY(),"Vencida",IF(O711&lt;=TODAY()+Inicio!$B$19,"Próxima a vencer","Vigente"))))</f>
        <v/>
      </c>
      <c r="T711" s="18"/>
      <c r="U711" s="37" t="str">
        <f t="shared" si="91"/>
        <v/>
      </c>
      <c r="V711" s="37" t="str">
        <f t="shared" si="92"/>
        <v/>
      </c>
      <c r="W711" s="37" t="str">
        <f t="shared" si="93"/>
        <v/>
      </c>
      <c r="X711" s="37" t="str">
        <f t="shared" si="94"/>
        <v/>
      </c>
      <c r="Y711" s="37" t="str">
        <f>IF(OR($H711="",$J711=""),"",$J711*IFERROR(VLOOKUP($H711,Maestro_SKU!$A$2:$P$500,12,FALSE),1))</f>
        <v/>
      </c>
      <c r="Z711" s="37" t="str">
        <f t="shared" ca="1" si="95"/>
        <v/>
      </c>
    </row>
    <row r="712" spans="1:26" x14ac:dyDescent="0.35">
      <c r="A712" s="18"/>
      <c r="B712" s="26"/>
      <c r="C712" s="18"/>
      <c r="D712" s="18"/>
      <c r="E712" s="22" t="str">
        <f>IFERROR(VLOOKUP(D712,Clientes_PDV!$A$2:$J$250,2,FALSE),"")</f>
        <v/>
      </c>
      <c r="F712" s="22" t="str">
        <f>IFERROR(VLOOKUP(D712,Clientes_PDV!$A$2:$J$250,3,FALSE),"")</f>
        <v/>
      </c>
      <c r="G712" s="22" t="str">
        <f>IFERROR(VLOOKUP(D712,Clientes_PDV!$A$2:$J$250,4,FALSE),"")</f>
        <v/>
      </c>
      <c r="H712" s="18"/>
      <c r="I712" s="22" t="str">
        <f>IFERROR(VLOOKUP(H712,Maestro_SKU!$A$2:$P$500,2,FALSE),"")</f>
        <v/>
      </c>
      <c r="J712" s="27"/>
      <c r="K712" s="19"/>
      <c r="L712" s="23" t="str">
        <f t="shared" si="88"/>
        <v/>
      </c>
      <c r="M712" s="23" t="str">
        <f>IF(L712="","",L712*Inicio!$B$13)</f>
        <v/>
      </c>
      <c r="N712" s="23" t="str">
        <f t="shared" si="89"/>
        <v/>
      </c>
      <c r="O712" s="26"/>
      <c r="P712" s="18"/>
      <c r="Q712" s="19"/>
      <c r="R712" s="23" t="str">
        <f t="shared" si="90"/>
        <v/>
      </c>
      <c r="S712" s="22" t="str">
        <f ca="1">IF(A712="","",IF(OR(P712="Pagada",R712=0),"Pagada",IF(O712&lt;TODAY(),"Vencida",IF(O712&lt;=TODAY()+Inicio!$B$19,"Próxima a vencer","Vigente"))))</f>
        <v/>
      </c>
      <c r="T712" s="18"/>
      <c r="U712" s="37" t="str">
        <f t="shared" si="91"/>
        <v/>
      </c>
      <c r="V712" s="37" t="str">
        <f t="shared" si="92"/>
        <v/>
      </c>
      <c r="W712" s="37" t="str">
        <f t="shared" si="93"/>
        <v/>
      </c>
      <c r="X712" s="37" t="str">
        <f t="shared" si="94"/>
        <v/>
      </c>
      <c r="Y712" s="37" t="str">
        <f>IF(OR($H712="",$J712=""),"",$J712*IFERROR(VLOOKUP($H712,Maestro_SKU!$A$2:$P$500,12,FALSE),1))</f>
        <v/>
      </c>
      <c r="Z712" s="37" t="str">
        <f t="shared" ca="1" si="95"/>
        <v/>
      </c>
    </row>
    <row r="713" spans="1:26" x14ac:dyDescent="0.35">
      <c r="A713" s="18"/>
      <c r="B713" s="26"/>
      <c r="C713" s="18"/>
      <c r="D713" s="18"/>
      <c r="E713" s="22" t="str">
        <f>IFERROR(VLOOKUP(D713,Clientes_PDV!$A$2:$J$250,2,FALSE),"")</f>
        <v/>
      </c>
      <c r="F713" s="22" t="str">
        <f>IFERROR(VLOOKUP(D713,Clientes_PDV!$A$2:$J$250,3,FALSE),"")</f>
        <v/>
      </c>
      <c r="G713" s="22" t="str">
        <f>IFERROR(VLOOKUP(D713,Clientes_PDV!$A$2:$J$250,4,FALSE),"")</f>
        <v/>
      </c>
      <c r="H713" s="18"/>
      <c r="I713" s="22" t="str">
        <f>IFERROR(VLOOKUP(H713,Maestro_SKU!$A$2:$P$500,2,FALSE),"")</f>
        <v/>
      </c>
      <c r="J713" s="27"/>
      <c r="K713" s="19"/>
      <c r="L713" s="23" t="str">
        <f t="shared" si="88"/>
        <v/>
      </c>
      <c r="M713" s="23" t="str">
        <f>IF(L713="","",L713*Inicio!$B$13)</f>
        <v/>
      </c>
      <c r="N713" s="23" t="str">
        <f t="shared" si="89"/>
        <v/>
      </c>
      <c r="O713" s="26"/>
      <c r="P713" s="18"/>
      <c r="Q713" s="19"/>
      <c r="R713" s="23" t="str">
        <f t="shared" si="90"/>
        <v/>
      </c>
      <c r="S713" s="22" t="str">
        <f ca="1">IF(A713="","",IF(OR(P713="Pagada",R713=0),"Pagada",IF(O713&lt;TODAY(),"Vencida",IF(O713&lt;=TODAY()+Inicio!$B$19,"Próxima a vencer","Vigente"))))</f>
        <v/>
      </c>
      <c r="T713" s="18"/>
      <c r="U713" s="37" t="str">
        <f t="shared" si="91"/>
        <v/>
      </c>
      <c r="V713" s="37" t="str">
        <f t="shared" si="92"/>
        <v/>
      </c>
      <c r="W713" s="37" t="str">
        <f t="shared" si="93"/>
        <v/>
      </c>
      <c r="X713" s="37" t="str">
        <f t="shared" si="94"/>
        <v/>
      </c>
      <c r="Y713" s="37" t="str">
        <f>IF(OR($H713="",$J713=""),"",$J713*IFERROR(VLOOKUP($H713,Maestro_SKU!$A$2:$P$500,12,FALSE),1))</f>
        <v/>
      </c>
      <c r="Z713" s="37" t="str">
        <f t="shared" ca="1" si="95"/>
        <v/>
      </c>
    </row>
    <row r="714" spans="1:26" x14ac:dyDescent="0.35">
      <c r="A714" s="18"/>
      <c r="B714" s="26"/>
      <c r="C714" s="18"/>
      <c r="D714" s="18"/>
      <c r="E714" s="22" t="str">
        <f>IFERROR(VLOOKUP(D714,Clientes_PDV!$A$2:$J$250,2,FALSE),"")</f>
        <v/>
      </c>
      <c r="F714" s="22" t="str">
        <f>IFERROR(VLOOKUP(D714,Clientes_PDV!$A$2:$J$250,3,FALSE),"")</f>
        <v/>
      </c>
      <c r="G714" s="22" t="str">
        <f>IFERROR(VLOOKUP(D714,Clientes_PDV!$A$2:$J$250,4,FALSE),"")</f>
        <v/>
      </c>
      <c r="H714" s="18"/>
      <c r="I714" s="22" t="str">
        <f>IFERROR(VLOOKUP(H714,Maestro_SKU!$A$2:$P$500,2,FALSE),"")</f>
        <v/>
      </c>
      <c r="J714" s="27"/>
      <c r="K714" s="19"/>
      <c r="L714" s="23" t="str">
        <f t="shared" si="88"/>
        <v/>
      </c>
      <c r="M714" s="23" t="str">
        <f>IF(L714="","",L714*Inicio!$B$13)</f>
        <v/>
      </c>
      <c r="N714" s="23" t="str">
        <f t="shared" si="89"/>
        <v/>
      </c>
      <c r="O714" s="26"/>
      <c r="P714" s="18"/>
      <c r="Q714" s="19"/>
      <c r="R714" s="23" t="str">
        <f t="shared" si="90"/>
        <v/>
      </c>
      <c r="S714" s="22" t="str">
        <f ca="1">IF(A714="","",IF(OR(P714="Pagada",R714=0),"Pagada",IF(O714&lt;TODAY(),"Vencida",IF(O714&lt;=TODAY()+Inicio!$B$19,"Próxima a vencer","Vigente"))))</f>
        <v/>
      </c>
      <c r="T714" s="18"/>
      <c r="U714" s="37" t="str">
        <f t="shared" si="91"/>
        <v/>
      </c>
      <c r="V714" s="37" t="str">
        <f t="shared" si="92"/>
        <v/>
      </c>
      <c r="W714" s="37" t="str">
        <f t="shared" si="93"/>
        <v/>
      </c>
      <c r="X714" s="37" t="str">
        <f t="shared" si="94"/>
        <v/>
      </c>
      <c r="Y714" s="37" t="str">
        <f>IF(OR($H714="",$J714=""),"",$J714*IFERROR(VLOOKUP($H714,Maestro_SKU!$A$2:$P$500,12,FALSE),1))</f>
        <v/>
      </c>
      <c r="Z714" s="37" t="str">
        <f t="shared" ca="1" si="95"/>
        <v/>
      </c>
    </row>
    <row r="715" spans="1:26" x14ac:dyDescent="0.35">
      <c r="A715" s="18"/>
      <c r="B715" s="26"/>
      <c r="C715" s="18"/>
      <c r="D715" s="18"/>
      <c r="E715" s="22" t="str">
        <f>IFERROR(VLOOKUP(D715,Clientes_PDV!$A$2:$J$250,2,FALSE),"")</f>
        <v/>
      </c>
      <c r="F715" s="22" t="str">
        <f>IFERROR(VLOOKUP(D715,Clientes_PDV!$A$2:$J$250,3,FALSE),"")</f>
        <v/>
      </c>
      <c r="G715" s="22" t="str">
        <f>IFERROR(VLOOKUP(D715,Clientes_PDV!$A$2:$J$250,4,FALSE),"")</f>
        <v/>
      </c>
      <c r="H715" s="18"/>
      <c r="I715" s="22" t="str">
        <f>IFERROR(VLOOKUP(H715,Maestro_SKU!$A$2:$P$500,2,FALSE),"")</f>
        <v/>
      </c>
      <c r="J715" s="27"/>
      <c r="K715" s="19"/>
      <c r="L715" s="23" t="str">
        <f t="shared" si="88"/>
        <v/>
      </c>
      <c r="M715" s="23" t="str">
        <f>IF(L715="","",L715*Inicio!$B$13)</f>
        <v/>
      </c>
      <c r="N715" s="23" t="str">
        <f t="shared" si="89"/>
        <v/>
      </c>
      <c r="O715" s="26"/>
      <c r="P715" s="18"/>
      <c r="Q715" s="19"/>
      <c r="R715" s="23" t="str">
        <f t="shared" si="90"/>
        <v/>
      </c>
      <c r="S715" s="22" t="str">
        <f ca="1">IF(A715="","",IF(OR(P715="Pagada",R715=0),"Pagada",IF(O715&lt;TODAY(),"Vencida",IF(O715&lt;=TODAY()+Inicio!$B$19,"Próxima a vencer","Vigente"))))</f>
        <v/>
      </c>
      <c r="T715" s="18"/>
      <c r="U715" s="37" t="str">
        <f t="shared" si="91"/>
        <v/>
      </c>
      <c r="V715" s="37" t="str">
        <f t="shared" si="92"/>
        <v/>
      </c>
      <c r="W715" s="37" t="str">
        <f t="shared" si="93"/>
        <v/>
      </c>
      <c r="X715" s="37" t="str">
        <f t="shared" si="94"/>
        <v/>
      </c>
      <c r="Y715" s="37" t="str">
        <f>IF(OR($H715="",$J715=""),"",$J715*IFERROR(VLOOKUP($H715,Maestro_SKU!$A$2:$P$500,12,FALSE),1))</f>
        <v/>
      </c>
      <c r="Z715" s="37" t="str">
        <f t="shared" ca="1" si="95"/>
        <v/>
      </c>
    </row>
    <row r="716" spans="1:26" x14ac:dyDescent="0.35">
      <c r="A716" s="18"/>
      <c r="B716" s="26"/>
      <c r="C716" s="18"/>
      <c r="D716" s="18"/>
      <c r="E716" s="22" t="str">
        <f>IFERROR(VLOOKUP(D716,Clientes_PDV!$A$2:$J$250,2,FALSE),"")</f>
        <v/>
      </c>
      <c r="F716" s="22" t="str">
        <f>IFERROR(VLOOKUP(D716,Clientes_PDV!$A$2:$J$250,3,FALSE),"")</f>
        <v/>
      </c>
      <c r="G716" s="22" t="str">
        <f>IFERROR(VLOOKUP(D716,Clientes_PDV!$A$2:$J$250,4,FALSE),"")</f>
        <v/>
      </c>
      <c r="H716" s="18"/>
      <c r="I716" s="22" t="str">
        <f>IFERROR(VLOOKUP(H716,Maestro_SKU!$A$2:$P$500,2,FALSE),"")</f>
        <v/>
      </c>
      <c r="J716" s="27"/>
      <c r="K716" s="19"/>
      <c r="L716" s="23" t="str">
        <f t="shared" si="88"/>
        <v/>
      </c>
      <c r="M716" s="23" t="str">
        <f>IF(L716="","",L716*Inicio!$B$13)</f>
        <v/>
      </c>
      <c r="N716" s="23" t="str">
        <f t="shared" si="89"/>
        <v/>
      </c>
      <c r="O716" s="26"/>
      <c r="P716" s="18"/>
      <c r="Q716" s="19"/>
      <c r="R716" s="23" t="str">
        <f t="shared" si="90"/>
        <v/>
      </c>
      <c r="S716" s="22" t="str">
        <f ca="1">IF(A716="","",IF(OR(P716="Pagada",R716=0),"Pagada",IF(O716&lt;TODAY(),"Vencida",IF(O716&lt;=TODAY()+Inicio!$B$19,"Próxima a vencer","Vigente"))))</f>
        <v/>
      </c>
      <c r="T716" s="18"/>
      <c r="U716" s="37" t="str">
        <f t="shared" si="91"/>
        <v/>
      </c>
      <c r="V716" s="37" t="str">
        <f t="shared" si="92"/>
        <v/>
      </c>
      <c r="W716" s="37" t="str">
        <f t="shared" si="93"/>
        <v/>
      </c>
      <c r="X716" s="37" t="str">
        <f t="shared" si="94"/>
        <v/>
      </c>
      <c r="Y716" s="37" t="str">
        <f>IF(OR($H716="",$J716=""),"",$J716*IFERROR(VLOOKUP($H716,Maestro_SKU!$A$2:$P$500,12,FALSE),1))</f>
        <v/>
      </c>
      <c r="Z716" s="37" t="str">
        <f t="shared" ca="1" si="95"/>
        <v/>
      </c>
    </row>
    <row r="717" spans="1:26" x14ac:dyDescent="0.35">
      <c r="A717" s="18"/>
      <c r="B717" s="26"/>
      <c r="C717" s="18"/>
      <c r="D717" s="18"/>
      <c r="E717" s="22" t="str">
        <f>IFERROR(VLOOKUP(D717,Clientes_PDV!$A$2:$J$250,2,FALSE),"")</f>
        <v/>
      </c>
      <c r="F717" s="22" t="str">
        <f>IFERROR(VLOOKUP(D717,Clientes_PDV!$A$2:$J$250,3,FALSE),"")</f>
        <v/>
      </c>
      <c r="G717" s="22" t="str">
        <f>IFERROR(VLOOKUP(D717,Clientes_PDV!$A$2:$J$250,4,FALSE),"")</f>
        <v/>
      </c>
      <c r="H717" s="18"/>
      <c r="I717" s="22" t="str">
        <f>IFERROR(VLOOKUP(H717,Maestro_SKU!$A$2:$P$500,2,FALSE),"")</f>
        <v/>
      </c>
      <c r="J717" s="27"/>
      <c r="K717" s="19"/>
      <c r="L717" s="23" t="str">
        <f t="shared" si="88"/>
        <v/>
      </c>
      <c r="M717" s="23" t="str">
        <f>IF(L717="","",L717*Inicio!$B$13)</f>
        <v/>
      </c>
      <c r="N717" s="23" t="str">
        <f t="shared" si="89"/>
        <v/>
      </c>
      <c r="O717" s="26"/>
      <c r="P717" s="18"/>
      <c r="Q717" s="19"/>
      <c r="R717" s="23" t="str">
        <f t="shared" si="90"/>
        <v/>
      </c>
      <c r="S717" s="22" t="str">
        <f ca="1">IF(A717="","",IF(OR(P717="Pagada",R717=0),"Pagada",IF(O717&lt;TODAY(),"Vencida",IF(O717&lt;=TODAY()+Inicio!$B$19,"Próxima a vencer","Vigente"))))</f>
        <v/>
      </c>
      <c r="T717" s="18"/>
      <c r="U717" s="37" t="str">
        <f t="shared" si="91"/>
        <v/>
      </c>
      <c r="V717" s="37" t="str">
        <f t="shared" si="92"/>
        <v/>
      </c>
      <c r="W717" s="37" t="str">
        <f t="shared" si="93"/>
        <v/>
      </c>
      <c r="X717" s="37" t="str">
        <f t="shared" si="94"/>
        <v/>
      </c>
      <c r="Y717" s="37" t="str">
        <f>IF(OR($H717="",$J717=""),"",$J717*IFERROR(VLOOKUP($H717,Maestro_SKU!$A$2:$P$500,12,FALSE),1))</f>
        <v/>
      </c>
      <c r="Z717" s="37" t="str">
        <f t="shared" ca="1" si="95"/>
        <v/>
      </c>
    </row>
    <row r="718" spans="1:26" x14ac:dyDescent="0.35">
      <c r="A718" s="18"/>
      <c r="B718" s="26"/>
      <c r="C718" s="18"/>
      <c r="D718" s="18"/>
      <c r="E718" s="22" t="str">
        <f>IFERROR(VLOOKUP(D718,Clientes_PDV!$A$2:$J$250,2,FALSE),"")</f>
        <v/>
      </c>
      <c r="F718" s="22" t="str">
        <f>IFERROR(VLOOKUP(D718,Clientes_PDV!$A$2:$J$250,3,FALSE),"")</f>
        <v/>
      </c>
      <c r="G718" s="22" t="str">
        <f>IFERROR(VLOOKUP(D718,Clientes_PDV!$A$2:$J$250,4,FALSE),"")</f>
        <v/>
      </c>
      <c r="H718" s="18"/>
      <c r="I718" s="22" t="str">
        <f>IFERROR(VLOOKUP(H718,Maestro_SKU!$A$2:$P$500,2,FALSE),"")</f>
        <v/>
      </c>
      <c r="J718" s="27"/>
      <c r="K718" s="19"/>
      <c r="L718" s="23" t="str">
        <f t="shared" si="88"/>
        <v/>
      </c>
      <c r="M718" s="23" t="str">
        <f>IF(L718="","",L718*Inicio!$B$13)</f>
        <v/>
      </c>
      <c r="N718" s="23" t="str">
        <f t="shared" si="89"/>
        <v/>
      </c>
      <c r="O718" s="26"/>
      <c r="P718" s="18"/>
      <c r="Q718" s="19"/>
      <c r="R718" s="23" t="str">
        <f t="shared" si="90"/>
        <v/>
      </c>
      <c r="S718" s="22" t="str">
        <f ca="1">IF(A718="","",IF(OR(P718="Pagada",R718=0),"Pagada",IF(O718&lt;TODAY(),"Vencida",IF(O718&lt;=TODAY()+Inicio!$B$19,"Próxima a vencer","Vigente"))))</f>
        <v/>
      </c>
      <c r="T718" s="18"/>
      <c r="U718" s="37" t="str">
        <f t="shared" si="91"/>
        <v/>
      </c>
      <c r="V718" s="37" t="str">
        <f t="shared" si="92"/>
        <v/>
      </c>
      <c r="W718" s="37" t="str">
        <f t="shared" si="93"/>
        <v/>
      </c>
      <c r="X718" s="37" t="str">
        <f t="shared" si="94"/>
        <v/>
      </c>
      <c r="Y718" s="37" t="str">
        <f>IF(OR($H718="",$J718=""),"",$J718*IFERROR(VLOOKUP($H718,Maestro_SKU!$A$2:$P$500,12,FALSE),1))</f>
        <v/>
      </c>
      <c r="Z718" s="37" t="str">
        <f t="shared" ca="1" si="95"/>
        <v/>
      </c>
    </row>
    <row r="719" spans="1:26" x14ac:dyDescent="0.35">
      <c r="A719" s="18"/>
      <c r="B719" s="26"/>
      <c r="C719" s="18"/>
      <c r="D719" s="18"/>
      <c r="E719" s="22" t="str">
        <f>IFERROR(VLOOKUP(D719,Clientes_PDV!$A$2:$J$250,2,FALSE),"")</f>
        <v/>
      </c>
      <c r="F719" s="22" t="str">
        <f>IFERROR(VLOOKUP(D719,Clientes_PDV!$A$2:$J$250,3,FALSE),"")</f>
        <v/>
      </c>
      <c r="G719" s="22" t="str">
        <f>IFERROR(VLOOKUP(D719,Clientes_PDV!$A$2:$J$250,4,FALSE),"")</f>
        <v/>
      </c>
      <c r="H719" s="18"/>
      <c r="I719" s="22" t="str">
        <f>IFERROR(VLOOKUP(H719,Maestro_SKU!$A$2:$P$500,2,FALSE),"")</f>
        <v/>
      </c>
      <c r="J719" s="27"/>
      <c r="K719" s="19"/>
      <c r="L719" s="23" t="str">
        <f t="shared" si="88"/>
        <v/>
      </c>
      <c r="M719" s="23" t="str">
        <f>IF(L719="","",L719*Inicio!$B$13)</f>
        <v/>
      </c>
      <c r="N719" s="23" t="str">
        <f t="shared" si="89"/>
        <v/>
      </c>
      <c r="O719" s="26"/>
      <c r="P719" s="18"/>
      <c r="Q719" s="19"/>
      <c r="R719" s="23" t="str">
        <f t="shared" si="90"/>
        <v/>
      </c>
      <c r="S719" s="22" t="str">
        <f ca="1">IF(A719="","",IF(OR(P719="Pagada",R719=0),"Pagada",IF(O719&lt;TODAY(),"Vencida",IF(O719&lt;=TODAY()+Inicio!$B$19,"Próxima a vencer","Vigente"))))</f>
        <v/>
      </c>
      <c r="T719" s="18"/>
      <c r="U719" s="37" t="str">
        <f t="shared" si="91"/>
        <v/>
      </c>
      <c r="V719" s="37" t="str">
        <f t="shared" si="92"/>
        <v/>
      </c>
      <c r="W719" s="37" t="str">
        <f t="shared" si="93"/>
        <v/>
      </c>
      <c r="X719" s="37" t="str">
        <f t="shared" si="94"/>
        <v/>
      </c>
      <c r="Y719" s="37" t="str">
        <f>IF(OR($H719="",$J719=""),"",$J719*IFERROR(VLOOKUP($H719,Maestro_SKU!$A$2:$P$500,12,FALSE),1))</f>
        <v/>
      </c>
      <c r="Z719" s="37" t="str">
        <f t="shared" ca="1" si="95"/>
        <v/>
      </c>
    </row>
    <row r="720" spans="1:26" x14ac:dyDescent="0.35">
      <c r="A720" s="18"/>
      <c r="B720" s="26"/>
      <c r="C720" s="18"/>
      <c r="D720" s="18"/>
      <c r="E720" s="22" t="str">
        <f>IFERROR(VLOOKUP(D720,Clientes_PDV!$A$2:$J$250,2,FALSE),"")</f>
        <v/>
      </c>
      <c r="F720" s="22" t="str">
        <f>IFERROR(VLOOKUP(D720,Clientes_PDV!$A$2:$J$250,3,FALSE),"")</f>
        <v/>
      </c>
      <c r="G720" s="22" t="str">
        <f>IFERROR(VLOOKUP(D720,Clientes_PDV!$A$2:$J$250,4,FALSE),"")</f>
        <v/>
      </c>
      <c r="H720" s="18"/>
      <c r="I720" s="22" t="str">
        <f>IFERROR(VLOOKUP(H720,Maestro_SKU!$A$2:$P$500,2,FALSE),"")</f>
        <v/>
      </c>
      <c r="J720" s="27"/>
      <c r="K720" s="19"/>
      <c r="L720" s="23" t="str">
        <f t="shared" si="88"/>
        <v/>
      </c>
      <c r="M720" s="23" t="str">
        <f>IF(L720="","",L720*Inicio!$B$13)</f>
        <v/>
      </c>
      <c r="N720" s="23" t="str">
        <f t="shared" si="89"/>
        <v/>
      </c>
      <c r="O720" s="26"/>
      <c r="P720" s="18"/>
      <c r="Q720" s="19"/>
      <c r="R720" s="23" t="str">
        <f t="shared" si="90"/>
        <v/>
      </c>
      <c r="S720" s="22" t="str">
        <f ca="1">IF(A720="","",IF(OR(P720="Pagada",R720=0),"Pagada",IF(O720&lt;TODAY(),"Vencida",IF(O720&lt;=TODAY()+Inicio!$B$19,"Próxima a vencer","Vigente"))))</f>
        <v/>
      </c>
      <c r="T720" s="18"/>
      <c r="U720" s="37" t="str">
        <f t="shared" si="91"/>
        <v/>
      </c>
      <c r="V720" s="37" t="str">
        <f t="shared" si="92"/>
        <v/>
      </c>
      <c r="W720" s="37" t="str">
        <f t="shared" si="93"/>
        <v/>
      </c>
      <c r="X720" s="37" t="str">
        <f t="shared" si="94"/>
        <v/>
      </c>
      <c r="Y720" s="37" t="str">
        <f>IF(OR($H720="",$J720=""),"",$J720*IFERROR(VLOOKUP($H720,Maestro_SKU!$A$2:$P$500,12,FALSE),1))</f>
        <v/>
      </c>
      <c r="Z720" s="37" t="str">
        <f t="shared" ca="1" si="95"/>
        <v/>
      </c>
    </row>
    <row r="721" spans="1:26" x14ac:dyDescent="0.35">
      <c r="A721" s="18"/>
      <c r="B721" s="26"/>
      <c r="C721" s="18"/>
      <c r="D721" s="18"/>
      <c r="E721" s="22" t="str">
        <f>IFERROR(VLOOKUP(D721,Clientes_PDV!$A$2:$J$250,2,FALSE),"")</f>
        <v/>
      </c>
      <c r="F721" s="22" t="str">
        <f>IFERROR(VLOOKUP(D721,Clientes_PDV!$A$2:$J$250,3,FALSE),"")</f>
        <v/>
      </c>
      <c r="G721" s="22" t="str">
        <f>IFERROR(VLOOKUP(D721,Clientes_PDV!$A$2:$J$250,4,FALSE),"")</f>
        <v/>
      </c>
      <c r="H721" s="18"/>
      <c r="I721" s="22" t="str">
        <f>IFERROR(VLOOKUP(H721,Maestro_SKU!$A$2:$P$500,2,FALSE),"")</f>
        <v/>
      </c>
      <c r="J721" s="27"/>
      <c r="K721" s="19"/>
      <c r="L721" s="23" t="str">
        <f t="shared" si="88"/>
        <v/>
      </c>
      <c r="M721" s="23" t="str">
        <f>IF(L721="","",L721*Inicio!$B$13)</f>
        <v/>
      </c>
      <c r="N721" s="23" t="str">
        <f t="shared" si="89"/>
        <v/>
      </c>
      <c r="O721" s="26"/>
      <c r="P721" s="18"/>
      <c r="Q721" s="19"/>
      <c r="R721" s="23" t="str">
        <f t="shared" si="90"/>
        <v/>
      </c>
      <c r="S721" s="22" t="str">
        <f ca="1">IF(A721="","",IF(OR(P721="Pagada",R721=0),"Pagada",IF(O721&lt;TODAY(),"Vencida",IF(O721&lt;=TODAY()+Inicio!$B$19,"Próxima a vencer","Vigente"))))</f>
        <v/>
      </c>
      <c r="T721" s="18"/>
      <c r="U721" s="37" t="str">
        <f t="shared" si="91"/>
        <v/>
      </c>
      <c r="V721" s="37" t="str">
        <f t="shared" si="92"/>
        <v/>
      </c>
      <c r="W721" s="37" t="str">
        <f t="shared" si="93"/>
        <v/>
      </c>
      <c r="X721" s="37" t="str">
        <f t="shared" si="94"/>
        <v/>
      </c>
      <c r="Y721" s="37" t="str">
        <f>IF(OR($H721="",$J721=""),"",$J721*IFERROR(VLOOKUP($H721,Maestro_SKU!$A$2:$P$500,12,FALSE),1))</f>
        <v/>
      </c>
      <c r="Z721" s="37" t="str">
        <f t="shared" ca="1" si="95"/>
        <v/>
      </c>
    </row>
    <row r="722" spans="1:26" x14ac:dyDescent="0.35">
      <c r="A722" s="18"/>
      <c r="B722" s="26"/>
      <c r="C722" s="18"/>
      <c r="D722" s="18"/>
      <c r="E722" s="22" t="str">
        <f>IFERROR(VLOOKUP(D722,Clientes_PDV!$A$2:$J$250,2,FALSE),"")</f>
        <v/>
      </c>
      <c r="F722" s="22" t="str">
        <f>IFERROR(VLOOKUP(D722,Clientes_PDV!$A$2:$J$250,3,FALSE),"")</f>
        <v/>
      </c>
      <c r="G722" s="22" t="str">
        <f>IFERROR(VLOOKUP(D722,Clientes_PDV!$A$2:$J$250,4,FALSE),"")</f>
        <v/>
      </c>
      <c r="H722" s="18"/>
      <c r="I722" s="22" t="str">
        <f>IFERROR(VLOOKUP(H722,Maestro_SKU!$A$2:$P$500,2,FALSE),"")</f>
        <v/>
      </c>
      <c r="J722" s="27"/>
      <c r="K722" s="19"/>
      <c r="L722" s="23" t="str">
        <f t="shared" si="88"/>
        <v/>
      </c>
      <c r="M722" s="23" t="str">
        <f>IF(L722="","",L722*Inicio!$B$13)</f>
        <v/>
      </c>
      <c r="N722" s="23" t="str">
        <f t="shared" si="89"/>
        <v/>
      </c>
      <c r="O722" s="26"/>
      <c r="P722" s="18"/>
      <c r="Q722" s="19"/>
      <c r="R722" s="23" t="str">
        <f t="shared" si="90"/>
        <v/>
      </c>
      <c r="S722" s="22" t="str">
        <f ca="1">IF(A722="","",IF(OR(P722="Pagada",R722=0),"Pagada",IF(O722&lt;TODAY(),"Vencida",IF(O722&lt;=TODAY()+Inicio!$B$19,"Próxima a vencer","Vigente"))))</f>
        <v/>
      </c>
      <c r="T722" s="18"/>
      <c r="U722" s="37" t="str">
        <f t="shared" si="91"/>
        <v/>
      </c>
      <c r="V722" s="37" t="str">
        <f t="shared" si="92"/>
        <v/>
      </c>
      <c r="W722" s="37" t="str">
        <f t="shared" si="93"/>
        <v/>
      </c>
      <c r="X722" s="37" t="str">
        <f t="shared" si="94"/>
        <v/>
      </c>
      <c r="Y722" s="37" t="str">
        <f>IF(OR($H722="",$J722=""),"",$J722*IFERROR(VLOOKUP($H722,Maestro_SKU!$A$2:$P$500,12,FALSE),1))</f>
        <v/>
      </c>
      <c r="Z722" s="37" t="str">
        <f t="shared" ca="1" si="95"/>
        <v/>
      </c>
    </row>
    <row r="723" spans="1:26" x14ac:dyDescent="0.35">
      <c r="A723" s="18"/>
      <c r="B723" s="26"/>
      <c r="C723" s="18"/>
      <c r="D723" s="18"/>
      <c r="E723" s="22" t="str">
        <f>IFERROR(VLOOKUP(D723,Clientes_PDV!$A$2:$J$250,2,FALSE),"")</f>
        <v/>
      </c>
      <c r="F723" s="22" t="str">
        <f>IFERROR(VLOOKUP(D723,Clientes_PDV!$A$2:$J$250,3,FALSE),"")</f>
        <v/>
      </c>
      <c r="G723" s="22" t="str">
        <f>IFERROR(VLOOKUP(D723,Clientes_PDV!$A$2:$J$250,4,FALSE),"")</f>
        <v/>
      </c>
      <c r="H723" s="18"/>
      <c r="I723" s="22" t="str">
        <f>IFERROR(VLOOKUP(H723,Maestro_SKU!$A$2:$P$500,2,FALSE),"")</f>
        <v/>
      </c>
      <c r="J723" s="27"/>
      <c r="K723" s="19"/>
      <c r="L723" s="23" t="str">
        <f t="shared" si="88"/>
        <v/>
      </c>
      <c r="M723" s="23" t="str">
        <f>IF(L723="","",L723*Inicio!$B$13)</f>
        <v/>
      </c>
      <c r="N723" s="23" t="str">
        <f t="shared" si="89"/>
        <v/>
      </c>
      <c r="O723" s="26"/>
      <c r="P723" s="18"/>
      <c r="Q723" s="19"/>
      <c r="R723" s="23" t="str">
        <f t="shared" si="90"/>
        <v/>
      </c>
      <c r="S723" s="22" t="str">
        <f ca="1">IF(A723="","",IF(OR(P723="Pagada",R723=0),"Pagada",IF(O723&lt;TODAY(),"Vencida",IF(O723&lt;=TODAY()+Inicio!$B$19,"Próxima a vencer","Vigente"))))</f>
        <v/>
      </c>
      <c r="T723" s="18"/>
      <c r="U723" s="37" t="str">
        <f t="shared" si="91"/>
        <v/>
      </c>
      <c r="V723" s="37" t="str">
        <f t="shared" si="92"/>
        <v/>
      </c>
      <c r="W723" s="37" t="str">
        <f t="shared" si="93"/>
        <v/>
      </c>
      <c r="X723" s="37" t="str">
        <f t="shared" si="94"/>
        <v/>
      </c>
      <c r="Y723" s="37" t="str">
        <f>IF(OR($H723="",$J723=""),"",$J723*IFERROR(VLOOKUP($H723,Maestro_SKU!$A$2:$P$500,12,FALSE),1))</f>
        <v/>
      </c>
      <c r="Z723" s="37" t="str">
        <f t="shared" ca="1" si="95"/>
        <v/>
      </c>
    </row>
    <row r="724" spans="1:26" x14ac:dyDescent="0.35">
      <c r="A724" s="18"/>
      <c r="B724" s="26"/>
      <c r="C724" s="18"/>
      <c r="D724" s="18"/>
      <c r="E724" s="22" t="str">
        <f>IFERROR(VLOOKUP(D724,Clientes_PDV!$A$2:$J$250,2,FALSE),"")</f>
        <v/>
      </c>
      <c r="F724" s="22" t="str">
        <f>IFERROR(VLOOKUP(D724,Clientes_PDV!$A$2:$J$250,3,FALSE),"")</f>
        <v/>
      </c>
      <c r="G724" s="22" t="str">
        <f>IFERROR(VLOOKUP(D724,Clientes_PDV!$A$2:$J$250,4,FALSE),"")</f>
        <v/>
      </c>
      <c r="H724" s="18"/>
      <c r="I724" s="22" t="str">
        <f>IFERROR(VLOOKUP(H724,Maestro_SKU!$A$2:$P$500,2,FALSE),"")</f>
        <v/>
      </c>
      <c r="J724" s="27"/>
      <c r="K724" s="19"/>
      <c r="L724" s="23" t="str">
        <f t="shared" si="88"/>
        <v/>
      </c>
      <c r="M724" s="23" t="str">
        <f>IF(L724="","",L724*Inicio!$B$13)</f>
        <v/>
      </c>
      <c r="N724" s="23" t="str">
        <f t="shared" si="89"/>
        <v/>
      </c>
      <c r="O724" s="26"/>
      <c r="P724" s="18"/>
      <c r="Q724" s="19"/>
      <c r="R724" s="23" t="str">
        <f t="shared" si="90"/>
        <v/>
      </c>
      <c r="S724" s="22" t="str">
        <f ca="1">IF(A724="","",IF(OR(P724="Pagada",R724=0),"Pagada",IF(O724&lt;TODAY(),"Vencida",IF(O724&lt;=TODAY()+Inicio!$B$19,"Próxima a vencer","Vigente"))))</f>
        <v/>
      </c>
      <c r="T724" s="18"/>
      <c r="U724" s="37" t="str">
        <f t="shared" si="91"/>
        <v/>
      </c>
      <c r="V724" s="37" t="str">
        <f t="shared" si="92"/>
        <v/>
      </c>
      <c r="W724" s="37" t="str">
        <f t="shared" si="93"/>
        <v/>
      </c>
      <c r="X724" s="37" t="str">
        <f t="shared" si="94"/>
        <v/>
      </c>
      <c r="Y724" s="37" t="str">
        <f>IF(OR($H724="",$J724=""),"",$J724*IFERROR(VLOOKUP($H724,Maestro_SKU!$A$2:$P$500,12,FALSE),1))</f>
        <v/>
      </c>
      <c r="Z724" s="37" t="str">
        <f t="shared" ca="1" si="95"/>
        <v/>
      </c>
    </row>
    <row r="725" spans="1:26" x14ac:dyDescent="0.35">
      <c r="A725" s="18"/>
      <c r="B725" s="26"/>
      <c r="C725" s="18"/>
      <c r="D725" s="18"/>
      <c r="E725" s="22" t="str">
        <f>IFERROR(VLOOKUP(D725,Clientes_PDV!$A$2:$J$250,2,FALSE),"")</f>
        <v/>
      </c>
      <c r="F725" s="22" t="str">
        <f>IFERROR(VLOOKUP(D725,Clientes_PDV!$A$2:$J$250,3,FALSE),"")</f>
        <v/>
      </c>
      <c r="G725" s="22" t="str">
        <f>IFERROR(VLOOKUP(D725,Clientes_PDV!$A$2:$J$250,4,FALSE),"")</f>
        <v/>
      </c>
      <c r="H725" s="18"/>
      <c r="I725" s="22" t="str">
        <f>IFERROR(VLOOKUP(H725,Maestro_SKU!$A$2:$P$500,2,FALSE),"")</f>
        <v/>
      </c>
      <c r="J725" s="27"/>
      <c r="K725" s="19"/>
      <c r="L725" s="23" t="str">
        <f t="shared" si="88"/>
        <v/>
      </c>
      <c r="M725" s="23" t="str">
        <f>IF(L725="","",L725*Inicio!$B$13)</f>
        <v/>
      </c>
      <c r="N725" s="23" t="str">
        <f t="shared" si="89"/>
        <v/>
      </c>
      <c r="O725" s="26"/>
      <c r="P725" s="18"/>
      <c r="Q725" s="19"/>
      <c r="R725" s="23" t="str">
        <f t="shared" si="90"/>
        <v/>
      </c>
      <c r="S725" s="22" t="str">
        <f ca="1">IF(A725="","",IF(OR(P725="Pagada",R725=0),"Pagada",IF(O725&lt;TODAY(),"Vencida",IF(O725&lt;=TODAY()+Inicio!$B$19,"Próxima a vencer","Vigente"))))</f>
        <v/>
      </c>
      <c r="T725" s="18"/>
      <c r="U725" s="37" t="str">
        <f t="shared" si="91"/>
        <v/>
      </c>
      <c r="V725" s="37" t="str">
        <f t="shared" si="92"/>
        <v/>
      </c>
      <c r="W725" s="37" t="str">
        <f t="shared" si="93"/>
        <v/>
      </c>
      <c r="X725" s="37" t="str">
        <f t="shared" si="94"/>
        <v/>
      </c>
      <c r="Y725" s="37" t="str">
        <f>IF(OR($H725="",$J725=""),"",$J725*IFERROR(VLOOKUP($H725,Maestro_SKU!$A$2:$P$500,12,FALSE),1))</f>
        <v/>
      </c>
      <c r="Z725" s="37" t="str">
        <f t="shared" ca="1" si="95"/>
        <v/>
      </c>
    </row>
    <row r="726" spans="1:26" x14ac:dyDescent="0.35">
      <c r="A726" s="18"/>
      <c r="B726" s="26"/>
      <c r="C726" s="18"/>
      <c r="D726" s="18"/>
      <c r="E726" s="22" t="str">
        <f>IFERROR(VLOOKUP(D726,Clientes_PDV!$A$2:$J$250,2,FALSE),"")</f>
        <v/>
      </c>
      <c r="F726" s="22" t="str">
        <f>IFERROR(VLOOKUP(D726,Clientes_PDV!$A$2:$J$250,3,FALSE),"")</f>
        <v/>
      </c>
      <c r="G726" s="22" t="str">
        <f>IFERROR(VLOOKUP(D726,Clientes_PDV!$A$2:$J$250,4,FALSE),"")</f>
        <v/>
      </c>
      <c r="H726" s="18"/>
      <c r="I726" s="22" t="str">
        <f>IFERROR(VLOOKUP(H726,Maestro_SKU!$A$2:$P$500,2,FALSE),"")</f>
        <v/>
      </c>
      <c r="J726" s="27"/>
      <c r="K726" s="19"/>
      <c r="L726" s="23" t="str">
        <f t="shared" si="88"/>
        <v/>
      </c>
      <c r="M726" s="23" t="str">
        <f>IF(L726="","",L726*Inicio!$B$13)</f>
        <v/>
      </c>
      <c r="N726" s="23" t="str">
        <f t="shared" si="89"/>
        <v/>
      </c>
      <c r="O726" s="26"/>
      <c r="P726" s="18"/>
      <c r="Q726" s="19"/>
      <c r="R726" s="23" t="str">
        <f t="shared" si="90"/>
        <v/>
      </c>
      <c r="S726" s="22" t="str">
        <f ca="1">IF(A726="","",IF(OR(P726="Pagada",R726=0),"Pagada",IF(O726&lt;TODAY(),"Vencida",IF(O726&lt;=TODAY()+Inicio!$B$19,"Próxima a vencer","Vigente"))))</f>
        <v/>
      </c>
      <c r="T726" s="18"/>
      <c r="U726" s="37" t="str">
        <f t="shared" si="91"/>
        <v/>
      </c>
      <c r="V726" s="37" t="str">
        <f t="shared" si="92"/>
        <v/>
      </c>
      <c r="W726" s="37" t="str">
        <f t="shared" si="93"/>
        <v/>
      </c>
      <c r="X726" s="37" t="str">
        <f t="shared" si="94"/>
        <v/>
      </c>
      <c r="Y726" s="37" t="str">
        <f>IF(OR($H726="",$J726=""),"",$J726*IFERROR(VLOOKUP($H726,Maestro_SKU!$A$2:$P$500,12,FALSE),1))</f>
        <v/>
      </c>
      <c r="Z726" s="37" t="str">
        <f t="shared" ca="1" si="95"/>
        <v/>
      </c>
    </row>
    <row r="727" spans="1:26" x14ac:dyDescent="0.35">
      <c r="A727" s="18"/>
      <c r="B727" s="26"/>
      <c r="C727" s="18"/>
      <c r="D727" s="18"/>
      <c r="E727" s="22" t="str">
        <f>IFERROR(VLOOKUP(D727,Clientes_PDV!$A$2:$J$250,2,FALSE),"")</f>
        <v/>
      </c>
      <c r="F727" s="22" t="str">
        <f>IFERROR(VLOOKUP(D727,Clientes_PDV!$A$2:$J$250,3,FALSE),"")</f>
        <v/>
      </c>
      <c r="G727" s="22" t="str">
        <f>IFERROR(VLOOKUP(D727,Clientes_PDV!$A$2:$J$250,4,FALSE),"")</f>
        <v/>
      </c>
      <c r="H727" s="18"/>
      <c r="I727" s="22" t="str">
        <f>IFERROR(VLOOKUP(H727,Maestro_SKU!$A$2:$P$500,2,FALSE),"")</f>
        <v/>
      </c>
      <c r="J727" s="27"/>
      <c r="K727" s="19"/>
      <c r="L727" s="23" t="str">
        <f t="shared" si="88"/>
        <v/>
      </c>
      <c r="M727" s="23" t="str">
        <f>IF(L727="","",L727*Inicio!$B$13)</f>
        <v/>
      </c>
      <c r="N727" s="23" t="str">
        <f t="shared" si="89"/>
        <v/>
      </c>
      <c r="O727" s="26"/>
      <c r="P727" s="18"/>
      <c r="Q727" s="19"/>
      <c r="R727" s="23" t="str">
        <f t="shared" si="90"/>
        <v/>
      </c>
      <c r="S727" s="22" t="str">
        <f ca="1">IF(A727="","",IF(OR(P727="Pagada",R727=0),"Pagada",IF(O727&lt;TODAY(),"Vencida",IF(O727&lt;=TODAY()+Inicio!$B$19,"Próxima a vencer","Vigente"))))</f>
        <v/>
      </c>
      <c r="T727" s="18"/>
      <c r="U727" s="37" t="str">
        <f t="shared" si="91"/>
        <v/>
      </c>
      <c r="V727" s="37" t="str">
        <f t="shared" si="92"/>
        <v/>
      </c>
      <c r="W727" s="37" t="str">
        <f t="shared" si="93"/>
        <v/>
      </c>
      <c r="X727" s="37" t="str">
        <f t="shared" si="94"/>
        <v/>
      </c>
      <c r="Y727" s="37" t="str">
        <f>IF(OR($H727="",$J727=""),"",$J727*IFERROR(VLOOKUP($H727,Maestro_SKU!$A$2:$P$500,12,FALSE),1))</f>
        <v/>
      </c>
      <c r="Z727" s="37" t="str">
        <f t="shared" ca="1" si="95"/>
        <v/>
      </c>
    </row>
    <row r="728" spans="1:26" x14ac:dyDescent="0.35">
      <c r="A728" s="18"/>
      <c r="B728" s="26"/>
      <c r="C728" s="18"/>
      <c r="D728" s="18"/>
      <c r="E728" s="22" t="str">
        <f>IFERROR(VLOOKUP(D728,Clientes_PDV!$A$2:$J$250,2,FALSE),"")</f>
        <v/>
      </c>
      <c r="F728" s="22" t="str">
        <f>IFERROR(VLOOKUP(D728,Clientes_PDV!$A$2:$J$250,3,FALSE),"")</f>
        <v/>
      </c>
      <c r="G728" s="22" t="str">
        <f>IFERROR(VLOOKUP(D728,Clientes_PDV!$A$2:$J$250,4,FALSE),"")</f>
        <v/>
      </c>
      <c r="H728" s="18"/>
      <c r="I728" s="22" t="str">
        <f>IFERROR(VLOOKUP(H728,Maestro_SKU!$A$2:$P$500,2,FALSE),"")</f>
        <v/>
      </c>
      <c r="J728" s="27"/>
      <c r="K728" s="19"/>
      <c r="L728" s="23" t="str">
        <f t="shared" si="88"/>
        <v/>
      </c>
      <c r="M728" s="23" t="str">
        <f>IF(L728="","",L728*Inicio!$B$13)</f>
        <v/>
      </c>
      <c r="N728" s="23" t="str">
        <f t="shared" si="89"/>
        <v/>
      </c>
      <c r="O728" s="26"/>
      <c r="P728" s="18"/>
      <c r="Q728" s="19"/>
      <c r="R728" s="23" t="str">
        <f t="shared" si="90"/>
        <v/>
      </c>
      <c r="S728" s="22" t="str">
        <f ca="1">IF(A728="","",IF(OR(P728="Pagada",R728=0),"Pagada",IF(O728&lt;TODAY(),"Vencida",IF(O728&lt;=TODAY()+Inicio!$B$19,"Próxima a vencer","Vigente"))))</f>
        <v/>
      </c>
      <c r="T728" s="18"/>
      <c r="U728" s="37" t="str">
        <f t="shared" si="91"/>
        <v/>
      </c>
      <c r="V728" s="37" t="str">
        <f t="shared" si="92"/>
        <v/>
      </c>
      <c r="W728" s="37" t="str">
        <f t="shared" si="93"/>
        <v/>
      </c>
      <c r="X728" s="37" t="str">
        <f t="shared" si="94"/>
        <v/>
      </c>
      <c r="Y728" s="37" t="str">
        <f>IF(OR($H728="",$J728=""),"",$J728*IFERROR(VLOOKUP($H728,Maestro_SKU!$A$2:$P$500,12,FALSE),1))</f>
        <v/>
      </c>
      <c r="Z728" s="37" t="str">
        <f t="shared" ca="1" si="95"/>
        <v/>
      </c>
    </row>
    <row r="729" spans="1:26" x14ac:dyDescent="0.35">
      <c r="A729" s="18"/>
      <c r="B729" s="26"/>
      <c r="C729" s="18"/>
      <c r="D729" s="18"/>
      <c r="E729" s="22" t="str">
        <f>IFERROR(VLOOKUP(D729,Clientes_PDV!$A$2:$J$250,2,FALSE),"")</f>
        <v/>
      </c>
      <c r="F729" s="22" t="str">
        <f>IFERROR(VLOOKUP(D729,Clientes_PDV!$A$2:$J$250,3,FALSE),"")</f>
        <v/>
      </c>
      <c r="G729" s="22" t="str">
        <f>IFERROR(VLOOKUP(D729,Clientes_PDV!$A$2:$J$250,4,FALSE),"")</f>
        <v/>
      </c>
      <c r="H729" s="18"/>
      <c r="I729" s="22" t="str">
        <f>IFERROR(VLOOKUP(H729,Maestro_SKU!$A$2:$P$500,2,FALSE),"")</f>
        <v/>
      </c>
      <c r="J729" s="27"/>
      <c r="K729" s="19"/>
      <c r="L729" s="23" t="str">
        <f t="shared" si="88"/>
        <v/>
      </c>
      <c r="M729" s="23" t="str">
        <f>IF(L729="","",L729*Inicio!$B$13)</f>
        <v/>
      </c>
      <c r="N729" s="23" t="str">
        <f t="shared" si="89"/>
        <v/>
      </c>
      <c r="O729" s="26"/>
      <c r="P729" s="18"/>
      <c r="Q729" s="19"/>
      <c r="R729" s="23" t="str">
        <f t="shared" si="90"/>
        <v/>
      </c>
      <c r="S729" s="22" t="str">
        <f ca="1">IF(A729="","",IF(OR(P729="Pagada",R729=0),"Pagada",IF(O729&lt;TODAY(),"Vencida",IF(O729&lt;=TODAY()+Inicio!$B$19,"Próxima a vencer","Vigente"))))</f>
        <v/>
      </c>
      <c r="T729" s="18"/>
      <c r="U729" s="37" t="str">
        <f t="shared" si="91"/>
        <v/>
      </c>
      <c r="V729" s="37" t="str">
        <f t="shared" si="92"/>
        <v/>
      </c>
      <c r="W729" s="37" t="str">
        <f t="shared" si="93"/>
        <v/>
      </c>
      <c r="X729" s="37" t="str">
        <f t="shared" si="94"/>
        <v/>
      </c>
      <c r="Y729" s="37" t="str">
        <f>IF(OR($H729="",$J729=""),"",$J729*IFERROR(VLOOKUP($H729,Maestro_SKU!$A$2:$P$500,12,FALSE),1))</f>
        <v/>
      </c>
      <c r="Z729" s="37" t="str">
        <f t="shared" ca="1" si="95"/>
        <v/>
      </c>
    </row>
    <row r="730" spans="1:26" x14ac:dyDescent="0.35">
      <c r="A730" s="18"/>
      <c r="B730" s="26"/>
      <c r="C730" s="18"/>
      <c r="D730" s="18"/>
      <c r="E730" s="22" t="str">
        <f>IFERROR(VLOOKUP(D730,Clientes_PDV!$A$2:$J$250,2,FALSE),"")</f>
        <v/>
      </c>
      <c r="F730" s="22" t="str">
        <f>IFERROR(VLOOKUP(D730,Clientes_PDV!$A$2:$J$250,3,FALSE),"")</f>
        <v/>
      </c>
      <c r="G730" s="22" t="str">
        <f>IFERROR(VLOOKUP(D730,Clientes_PDV!$A$2:$J$250,4,FALSE),"")</f>
        <v/>
      </c>
      <c r="H730" s="18"/>
      <c r="I730" s="22" t="str">
        <f>IFERROR(VLOOKUP(H730,Maestro_SKU!$A$2:$P$500,2,FALSE),"")</f>
        <v/>
      </c>
      <c r="J730" s="27"/>
      <c r="K730" s="19"/>
      <c r="L730" s="23" t="str">
        <f t="shared" si="88"/>
        <v/>
      </c>
      <c r="M730" s="23" t="str">
        <f>IF(L730="","",L730*Inicio!$B$13)</f>
        <v/>
      </c>
      <c r="N730" s="23" t="str">
        <f t="shared" si="89"/>
        <v/>
      </c>
      <c r="O730" s="26"/>
      <c r="P730" s="18"/>
      <c r="Q730" s="19"/>
      <c r="R730" s="23" t="str">
        <f t="shared" si="90"/>
        <v/>
      </c>
      <c r="S730" s="22" t="str">
        <f ca="1">IF(A730="","",IF(OR(P730="Pagada",R730=0),"Pagada",IF(O730&lt;TODAY(),"Vencida",IF(O730&lt;=TODAY()+Inicio!$B$19,"Próxima a vencer","Vigente"))))</f>
        <v/>
      </c>
      <c r="T730" s="18"/>
      <c r="U730" s="37" t="str">
        <f t="shared" si="91"/>
        <v/>
      </c>
      <c r="V730" s="37" t="str">
        <f t="shared" si="92"/>
        <v/>
      </c>
      <c r="W730" s="37" t="str">
        <f t="shared" si="93"/>
        <v/>
      </c>
      <c r="X730" s="37" t="str">
        <f t="shared" si="94"/>
        <v/>
      </c>
      <c r="Y730" s="37" t="str">
        <f>IF(OR($H730="",$J730=""),"",$J730*IFERROR(VLOOKUP($H730,Maestro_SKU!$A$2:$P$500,12,FALSE),1))</f>
        <v/>
      </c>
      <c r="Z730" s="37" t="str">
        <f t="shared" ca="1" si="95"/>
        <v/>
      </c>
    </row>
    <row r="731" spans="1:26" x14ac:dyDescent="0.35">
      <c r="A731" s="18"/>
      <c r="B731" s="26"/>
      <c r="C731" s="18"/>
      <c r="D731" s="18"/>
      <c r="E731" s="22" t="str">
        <f>IFERROR(VLOOKUP(D731,Clientes_PDV!$A$2:$J$250,2,FALSE),"")</f>
        <v/>
      </c>
      <c r="F731" s="22" t="str">
        <f>IFERROR(VLOOKUP(D731,Clientes_PDV!$A$2:$J$250,3,FALSE),"")</f>
        <v/>
      </c>
      <c r="G731" s="22" t="str">
        <f>IFERROR(VLOOKUP(D731,Clientes_PDV!$A$2:$J$250,4,FALSE),"")</f>
        <v/>
      </c>
      <c r="H731" s="18"/>
      <c r="I731" s="22" t="str">
        <f>IFERROR(VLOOKUP(H731,Maestro_SKU!$A$2:$P$500,2,FALSE),"")</f>
        <v/>
      </c>
      <c r="J731" s="27"/>
      <c r="K731" s="19"/>
      <c r="L731" s="23" t="str">
        <f t="shared" si="88"/>
        <v/>
      </c>
      <c r="M731" s="23" t="str">
        <f>IF(L731="","",L731*Inicio!$B$13)</f>
        <v/>
      </c>
      <c r="N731" s="23" t="str">
        <f t="shared" si="89"/>
        <v/>
      </c>
      <c r="O731" s="26"/>
      <c r="P731" s="18"/>
      <c r="Q731" s="19"/>
      <c r="R731" s="23" t="str">
        <f t="shared" si="90"/>
        <v/>
      </c>
      <c r="S731" s="22" t="str">
        <f ca="1">IF(A731="","",IF(OR(P731="Pagada",R731=0),"Pagada",IF(O731&lt;TODAY(),"Vencida",IF(O731&lt;=TODAY()+Inicio!$B$19,"Próxima a vencer","Vigente"))))</f>
        <v/>
      </c>
      <c r="T731" s="18"/>
      <c r="U731" s="37" t="str">
        <f t="shared" si="91"/>
        <v/>
      </c>
      <c r="V731" s="37" t="str">
        <f t="shared" si="92"/>
        <v/>
      </c>
      <c r="W731" s="37" t="str">
        <f t="shared" si="93"/>
        <v/>
      </c>
      <c r="X731" s="37" t="str">
        <f t="shared" si="94"/>
        <v/>
      </c>
      <c r="Y731" s="37" t="str">
        <f>IF(OR($H731="",$J731=""),"",$J731*IFERROR(VLOOKUP($H731,Maestro_SKU!$A$2:$P$500,12,FALSE),1))</f>
        <v/>
      </c>
      <c r="Z731" s="37" t="str">
        <f t="shared" ca="1" si="95"/>
        <v/>
      </c>
    </row>
    <row r="732" spans="1:26" x14ac:dyDescent="0.35">
      <c r="A732" s="18"/>
      <c r="B732" s="26"/>
      <c r="C732" s="18"/>
      <c r="D732" s="18"/>
      <c r="E732" s="22" t="str">
        <f>IFERROR(VLOOKUP(D732,Clientes_PDV!$A$2:$J$250,2,FALSE),"")</f>
        <v/>
      </c>
      <c r="F732" s="22" t="str">
        <f>IFERROR(VLOOKUP(D732,Clientes_PDV!$A$2:$J$250,3,FALSE),"")</f>
        <v/>
      </c>
      <c r="G732" s="22" t="str">
        <f>IFERROR(VLOOKUP(D732,Clientes_PDV!$A$2:$J$250,4,FALSE),"")</f>
        <v/>
      </c>
      <c r="H732" s="18"/>
      <c r="I732" s="22" t="str">
        <f>IFERROR(VLOOKUP(H732,Maestro_SKU!$A$2:$P$500,2,FALSE),"")</f>
        <v/>
      </c>
      <c r="J732" s="27"/>
      <c r="K732" s="19"/>
      <c r="L732" s="23" t="str">
        <f t="shared" si="88"/>
        <v/>
      </c>
      <c r="M732" s="23" t="str">
        <f>IF(L732="","",L732*Inicio!$B$13)</f>
        <v/>
      </c>
      <c r="N732" s="23" t="str">
        <f t="shared" si="89"/>
        <v/>
      </c>
      <c r="O732" s="26"/>
      <c r="P732" s="18"/>
      <c r="Q732" s="19"/>
      <c r="R732" s="23" t="str">
        <f t="shared" si="90"/>
        <v/>
      </c>
      <c r="S732" s="22" t="str">
        <f ca="1">IF(A732="","",IF(OR(P732="Pagada",R732=0),"Pagada",IF(O732&lt;TODAY(),"Vencida",IF(O732&lt;=TODAY()+Inicio!$B$19,"Próxima a vencer","Vigente"))))</f>
        <v/>
      </c>
      <c r="T732" s="18"/>
      <c r="U732" s="37" t="str">
        <f t="shared" si="91"/>
        <v/>
      </c>
      <c r="V732" s="37" t="str">
        <f t="shared" si="92"/>
        <v/>
      </c>
      <c r="W732" s="37" t="str">
        <f t="shared" si="93"/>
        <v/>
      </c>
      <c r="X732" s="37" t="str">
        <f t="shared" si="94"/>
        <v/>
      </c>
      <c r="Y732" s="37" t="str">
        <f>IF(OR($H732="",$J732=""),"",$J732*IFERROR(VLOOKUP($H732,Maestro_SKU!$A$2:$P$500,12,FALSE),1))</f>
        <v/>
      </c>
      <c r="Z732" s="37" t="str">
        <f t="shared" ca="1" si="95"/>
        <v/>
      </c>
    </row>
    <row r="733" spans="1:26" x14ac:dyDescent="0.35">
      <c r="A733" s="18"/>
      <c r="B733" s="26"/>
      <c r="C733" s="18"/>
      <c r="D733" s="18"/>
      <c r="E733" s="22" t="str">
        <f>IFERROR(VLOOKUP(D733,Clientes_PDV!$A$2:$J$250,2,FALSE),"")</f>
        <v/>
      </c>
      <c r="F733" s="22" t="str">
        <f>IFERROR(VLOOKUP(D733,Clientes_PDV!$A$2:$J$250,3,FALSE),"")</f>
        <v/>
      </c>
      <c r="G733" s="22" t="str">
        <f>IFERROR(VLOOKUP(D733,Clientes_PDV!$A$2:$J$250,4,FALSE),"")</f>
        <v/>
      </c>
      <c r="H733" s="18"/>
      <c r="I733" s="22" t="str">
        <f>IFERROR(VLOOKUP(H733,Maestro_SKU!$A$2:$P$500,2,FALSE),"")</f>
        <v/>
      </c>
      <c r="J733" s="27"/>
      <c r="K733" s="19"/>
      <c r="L733" s="23" t="str">
        <f t="shared" si="88"/>
        <v/>
      </c>
      <c r="M733" s="23" t="str">
        <f>IF(L733="","",L733*Inicio!$B$13)</f>
        <v/>
      </c>
      <c r="N733" s="23" t="str">
        <f t="shared" si="89"/>
        <v/>
      </c>
      <c r="O733" s="26"/>
      <c r="P733" s="18"/>
      <c r="Q733" s="19"/>
      <c r="R733" s="23" t="str">
        <f t="shared" si="90"/>
        <v/>
      </c>
      <c r="S733" s="22" t="str">
        <f ca="1">IF(A733="","",IF(OR(P733="Pagada",R733=0),"Pagada",IF(O733&lt;TODAY(),"Vencida",IF(O733&lt;=TODAY()+Inicio!$B$19,"Próxima a vencer","Vigente"))))</f>
        <v/>
      </c>
      <c r="T733" s="18"/>
      <c r="U733" s="37" t="str">
        <f t="shared" si="91"/>
        <v/>
      </c>
      <c r="V733" s="37" t="str">
        <f t="shared" si="92"/>
        <v/>
      </c>
      <c r="W733" s="37" t="str">
        <f t="shared" si="93"/>
        <v/>
      </c>
      <c r="X733" s="37" t="str">
        <f t="shared" si="94"/>
        <v/>
      </c>
      <c r="Y733" s="37" t="str">
        <f>IF(OR($H733="",$J733=""),"",$J733*IFERROR(VLOOKUP($H733,Maestro_SKU!$A$2:$P$500,12,FALSE),1))</f>
        <v/>
      </c>
      <c r="Z733" s="37" t="str">
        <f t="shared" ca="1" si="95"/>
        <v/>
      </c>
    </row>
    <row r="734" spans="1:26" x14ac:dyDescent="0.35">
      <c r="A734" s="18"/>
      <c r="B734" s="26"/>
      <c r="C734" s="18"/>
      <c r="D734" s="18"/>
      <c r="E734" s="22" t="str">
        <f>IFERROR(VLOOKUP(D734,Clientes_PDV!$A$2:$J$250,2,FALSE),"")</f>
        <v/>
      </c>
      <c r="F734" s="22" t="str">
        <f>IFERROR(VLOOKUP(D734,Clientes_PDV!$A$2:$J$250,3,FALSE),"")</f>
        <v/>
      </c>
      <c r="G734" s="22" t="str">
        <f>IFERROR(VLOOKUP(D734,Clientes_PDV!$A$2:$J$250,4,FALSE),"")</f>
        <v/>
      </c>
      <c r="H734" s="18"/>
      <c r="I734" s="22" t="str">
        <f>IFERROR(VLOOKUP(H734,Maestro_SKU!$A$2:$P$500,2,FALSE),"")</f>
        <v/>
      </c>
      <c r="J734" s="27"/>
      <c r="K734" s="19"/>
      <c r="L734" s="23" t="str">
        <f t="shared" si="88"/>
        <v/>
      </c>
      <c r="M734" s="23" t="str">
        <f>IF(L734="","",L734*Inicio!$B$13)</f>
        <v/>
      </c>
      <c r="N734" s="23" t="str">
        <f t="shared" si="89"/>
        <v/>
      </c>
      <c r="O734" s="26"/>
      <c r="P734" s="18"/>
      <c r="Q734" s="19"/>
      <c r="R734" s="23" t="str">
        <f t="shared" si="90"/>
        <v/>
      </c>
      <c r="S734" s="22" t="str">
        <f ca="1">IF(A734="","",IF(OR(P734="Pagada",R734=0),"Pagada",IF(O734&lt;TODAY(),"Vencida",IF(O734&lt;=TODAY()+Inicio!$B$19,"Próxima a vencer","Vigente"))))</f>
        <v/>
      </c>
      <c r="T734" s="18"/>
      <c r="U734" s="37" t="str">
        <f t="shared" si="91"/>
        <v/>
      </c>
      <c r="V734" s="37" t="str">
        <f t="shared" si="92"/>
        <v/>
      </c>
      <c r="W734" s="37" t="str">
        <f t="shared" si="93"/>
        <v/>
      </c>
      <c r="X734" s="37" t="str">
        <f t="shared" si="94"/>
        <v/>
      </c>
      <c r="Y734" s="37" t="str">
        <f>IF(OR($H734="",$J734=""),"",$J734*IFERROR(VLOOKUP($H734,Maestro_SKU!$A$2:$P$500,12,FALSE),1))</f>
        <v/>
      </c>
      <c r="Z734" s="37" t="str">
        <f t="shared" ca="1" si="95"/>
        <v/>
      </c>
    </row>
    <row r="735" spans="1:26" x14ac:dyDescent="0.35">
      <c r="A735" s="18"/>
      <c r="B735" s="26"/>
      <c r="C735" s="18"/>
      <c r="D735" s="18"/>
      <c r="E735" s="22" t="str">
        <f>IFERROR(VLOOKUP(D735,Clientes_PDV!$A$2:$J$250,2,FALSE),"")</f>
        <v/>
      </c>
      <c r="F735" s="22" t="str">
        <f>IFERROR(VLOOKUP(D735,Clientes_PDV!$A$2:$J$250,3,FALSE),"")</f>
        <v/>
      </c>
      <c r="G735" s="22" t="str">
        <f>IFERROR(VLOOKUP(D735,Clientes_PDV!$A$2:$J$250,4,FALSE),"")</f>
        <v/>
      </c>
      <c r="H735" s="18"/>
      <c r="I735" s="22" t="str">
        <f>IFERROR(VLOOKUP(H735,Maestro_SKU!$A$2:$P$500,2,FALSE),"")</f>
        <v/>
      </c>
      <c r="J735" s="27"/>
      <c r="K735" s="19"/>
      <c r="L735" s="23" t="str">
        <f t="shared" si="88"/>
        <v/>
      </c>
      <c r="M735" s="23" t="str">
        <f>IF(L735="","",L735*Inicio!$B$13)</f>
        <v/>
      </c>
      <c r="N735" s="23" t="str">
        <f t="shared" si="89"/>
        <v/>
      </c>
      <c r="O735" s="26"/>
      <c r="P735" s="18"/>
      <c r="Q735" s="19"/>
      <c r="R735" s="23" t="str">
        <f t="shared" si="90"/>
        <v/>
      </c>
      <c r="S735" s="22" t="str">
        <f ca="1">IF(A735="","",IF(OR(P735="Pagada",R735=0),"Pagada",IF(O735&lt;TODAY(),"Vencida",IF(O735&lt;=TODAY()+Inicio!$B$19,"Próxima a vencer","Vigente"))))</f>
        <v/>
      </c>
      <c r="T735" s="18"/>
      <c r="U735" s="37" t="str">
        <f t="shared" si="91"/>
        <v/>
      </c>
      <c r="V735" s="37" t="str">
        <f t="shared" si="92"/>
        <v/>
      </c>
      <c r="W735" s="37" t="str">
        <f t="shared" si="93"/>
        <v/>
      </c>
      <c r="X735" s="37" t="str">
        <f t="shared" si="94"/>
        <v/>
      </c>
      <c r="Y735" s="37" t="str">
        <f>IF(OR($H735="",$J735=""),"",$J735*IFERROR(VLOOKUP($H735,Maestro_SKU!$A$2:$P$500,12,FALSE),1))</f>
        <v/>
      </c>
      <c r="Z735" s="37" t="str">
        <f t="shared" ca="1" si="95"/>
        <v/>
      </c>
    </row>
    <row r="736" spans="1:26" x14ac:dyDescent="0.35">
      <c r="A736" s="18"/>
      <c r="B736" s="26"/>
      <c r="C736" s="18"/>
      <c r="D736" s="18"/>
      <c r="E736" s="22" t="str">
        <f>IFERROR(VLOOKUP(D736,Clientes_PDV!$A$2:$J$250,2,FALSE),"")</f>
        <v/>
      </c>
      <c r="F736" s="22" t="str">
        <f>IFERROR(VLOOKUP(D736,Clientes_PDV!$A$2:$J$250,3,FALSE),"")</f>
        <v/>
      </c>
      <c r="G736" s="22" t="str">
        <f>IFERROR(VLOOKUP(D736,Clientes_PDV!$A$2:$J$250,4,FALSE),"")</f>
        <v/>
      </c>
      <c r="H736" s="18"/>
      <c r="I736" s="22" t="str">
        <f>IFERROR(VLOOKUP(H736,Maestro_SKU!$A$2:$P$500,2,FALSE),"")</f>
        <v/>
      </c>
      <c r="J736" s="27"/>
      <c r="K736" s="19"/>
      <c r="L736" s="23" t="str">
        <f t="shared" si="88"/>
        <v/>
      </c>
      <c r="M736" s="23" t="str">
        <f>IF(L736="","",L736*Inicio!$B$13)</f>
        <v/>
      </c>
      <c r="N736" s="23" t="str">
        <f t="shared" si="89"/>
        <v/>
      </c>
      <c r="O736" s="26"/>
      <c r="P736" s="18"/>
      <c r="Q736" s="19"/>
      <c r="R736" s="23" t="str">
        <f t="shared" si="90"/>
        <v/>
      </c>
      <c r="S736" s="22" t="str">
        <f ca="1">IF(A736="","",IF(OR(P736="Pagada",R736=0),"Pagada",IF(O736&lt;TODAY(),"Vencida",IF(O736&lt;=TODAY()+Inicio!$B$19,"Próxima a vencer","Vigente"))))</f>
        <v/>
      </c>
      <c r="T736" s="18"/>
      <c r="U736" s="37" t="str">
        <f t="shared" si="91"/>
        <v/>
      </c>
      <c r="V736" s="37" t="str">
        <f t="shared" si="92"/>
        <v/>
      </c>
      <c r="W736" s="37" t="str">
        <f t="shared" si="93"/>
        <v/>
      </c>
      <c r="X736" s="37" t="str">
        <f t="shared" si="94"/>
        <v/>
      </c>
      <c r="Y736" s="37" t="str">
        <f>IF(OR($H736="",$J736=""),"",$J736*IFERROR(VLOOKUP($H736,Maestro_SKU!$A$2:$P$500,12,FALSE),1))</f>
        <v/>
      </c>
      <c r="Z736" s="37" t="str">
        <f t="shared" ca="1" si="95"/>
        <v/>
      </c>
    </row>
    <row r="737" spans="1:26" x14ac:dyDescent="0.35">
      <c r="A737" s="18"/>
      <c r="B737" s="26"/>
      <c r="C737" s="18"/>
      <c r="D737" s="18"/>
      <c r="E737" s="22" t="str">
        <f>IFERROR(VLOOKUP(D737,Clientes_PDV!$A$2:$J$250,2,FALSE),"")</f>
        <v/>
      </c>
      <c r="F737" s="22" t="str">
        <f>IFERROR(VLOOKUP(D737,Clientes_PDV!$A$2:$J$250,3,FALSE),"")</f>
        <v/>
      </c>
      <c r="G737" s="22" t="str">
        <f>IFERROR(VLOOKUP(D737,Clientes_PDV!$A$2:$J$250,4,FALSE),"")</f>
        <v/>
      </c>
      <c r="H737" s="18"/>
      <c r="I737" s="22" t="str">
        <f>IFERROR(VLOOKUP(H737,Maestro_SKU!$A$2:$P$500,2,FALSE),"")</f>
        <v/>
      </c>
      <c r="J737" s="27"/>
      <c r="K737" s="19"/>
      <c r="L737" s="23" t="str">
        <f t="shared" si="88"/>
        <v/>
      </c>
      <c r="M737" s="23" t="str">
        <f>IF(L737="","",L737*Inicio!$B$13)</f>
        <v/>
      </c>
      <c r="N737" s="23" t="str">
        <f t="shared" si="89"/>
        <v/>
      </c>
      <c r="O737" s="26"/>
      <c r="P737" s="18"/>
      <c r="Q737" s="19"/>
      <c r="R737" s="23" t="str">
        <f t="shared" si="90"/>
        <v/>
      </c>
      <c r="S737" s="22" t="str">
        <f ca="1">IF(A737="","",IF(OR(P737="Pagada",R737=0),"Pagada",IF(O737&lt;TODAY(),"Vencida",IF(O737&lt;=TODAY()+Inicio!$B$19,"Próxima a vencer","Vigente"))))</f>
        <v/>
      </c>
      <c r="T737" s="18"/>
      <c r="U737" s="37" t="str">
        <f t="shared" si="91"/>
        <v/>
      </c>
      <c r="V737" s="37" t="str">
        <f t="shared" si="92"/>
        <v/>
      </c>
      <c r="W737" s="37" t="str">
        <f t="shared" si="93"/>
        <v/>
      </c>
      <c r="X737" s="37" t="str">
        <f t="shared" si="94"/>
        <v/>
      </c>
      <c r="Y737" s="37" t="str">
        <f>IF(OR($H737="",$J737=""),"",$J737*IFERROR(VLOOKUP($H737,Maestro_SKU!$A$2:$P$500,12,FALSE),1))</f>
        <v/>
      </c>
      <c r="Z737" s="37" t="str">
        <f t="shared" ca="1" si="95"/>
        <v/>
      </c>
    </row>
    <row r="738" spans="1:26" x14ac:dyDescent="0.35">
      <c r="A738" s="18"/>
      <c r="B738" s="26"/>
      <c r="C738" s="18"/>
      <c r="D738" s="18"/>
      <c r="E738" s="22" t="str">
        <f>IFERROR(VLOOKUP(D738,Clientes_PDV!$A$2:$J$250,2,FALSE),"")</f>
        <v/>
      </c>
      <c r="F738" s="22" t="str">
        <f>IFERROR(VLOOKUP(D738,Clientes_PDV!$A$2:$J$250,3,FALSE),"")</f>
        <v/>
      </c>
      <c r="G738" s="22" t="str">
        <f>IFERROR(VLOOKUP(D738,Clientes_PDV!$A$2:$J$250,4,FALSE),"")</f>
        <v/>
      </c>
      <c r="H738" s="18"/>
      <c r="I738" s="22" t="str">
        <f>IFERROR(VLOOKUP(H738,Maestro_SKU!$A$2:$P$500,2,FALSE),"")</f>
        <v/>
      </c>
      <c r="J738" s="27"/>
      <c r="K738" s="19"/>
      <c r="L738" s="23" t="str">
        <f t="shared" si="88"/>
        <v/>
      </c>
      <c r="M738" s="23" t="str">
        <f>IF(L738="","",L738*Inicio!$B$13)</f>
        <v/>
      </c>
      <c r="N738" s="23" t="str">
        <f t="shared" si="89"/>
        <v/>
      </c>
      <c r="O738" s="26"/>
      <c r="P738" s="18"/>
      <c r="Q738" s="19"/>
      <c r="R738" s="23" t="str">
        <f t="shared" si="90"/>
        <v/>
      </c>
      <c r="S738" s="22" t="str">
        <f ca="1">IF(A738="","",IF(OR(P738="Pagada",R738=0),"Pagada",IF(O738&lt;TODAY(),"Vencida",IF(O738&lt;=TODAY()+Inicio!$B$19,"Próxima a vencer","Vigente"))))</f>
        <v/>
      </c>
      <c r="T738" s="18"/>
      <c r="U738" s="37" t="str">
        <f t="shared" si="91"/>
        <v/>
      </c>
      <c r="V738" s="37" t="str">
        <f t="shared" si="92"/>
        <v/>
      </c>
      <c r="W738" s="37" t="str">
        <f t="shared" si="93"/>
        <v/>
      </c>
      <c r="X738" s="37" t="str">
        <f t="shared" si="94"/>
        <v/>
      </c>
      <c r="Y738" s="37" t="str">
        <f>IF(OR($H738="",$J738=""),"",$J738*IFERROR(VLOOKUP($H738,Maestro_SKU!$A$2:$P$500,12,FALSE),1))</f>
        <v/>
      </c>
      <c r="Z738" s="37" t="str">
        <f t="shared" ca="1" si="95"/>
        <v/>
      </c>
    </row>
    <row r="739" spans="1:26" x14ac:dyDescent="0.35">
      <c r="A739" s="18"/>
      <c r="B739" s="26"/>
      <c r="C739" s="18"/>
      <c r="D739" s="18"/>
      <c r="E739" s="22" t="str">
        <f>IFERROR(VLOOKUP(D739,Clientes_PDV!$A$2:$J$250,2,FALSE),"")</f>
        <v/>
      </c>
      <c r="F739" s="22" t="str">
        <f>IFERROR(VLOOKUP(D739,Clientes_PDV!$A$2:$J$250,3,FALSE),"")</f>
        <v/>
      </c>
      <c r="G739" s="22" t="str">
        <f>IFERROR(VLOOKUP(D739,Clientes_PDV!$A$2:$J$250,4,FALSE),"")</f>
        <v/>
      </c>
      <c r="H739" s="18"/>
      <c r="I739" s="22" t="str">
        <f>IFERROR(VLOOKUP(H739,Maestro_SKU!$A$2:$P$500,2,FALSE),"")</f>
        <v/>
      </c>
      <c r="J739" s="27"/>
      <c r="K739" s="19"/>
      <c r="L739" s="23" t="str">
        <f t="shared" si="88"/>
        <v/>
      </c>
      <c r="M739" s="23" t="str">
        <f>IF(L739="","",L739*Inicio!$B$13)</f>
        <v/>
      </c>
      <c r="N739" s="23" t="str">
        <f t="shared" si="89"/>
        <v/>
      </c>
      <c r="O739" s="26"/>
      <c r="P739" s="18"/>
      <c r="Q739" s="19"/>
      <c r="R739" s="23" t="str">
        <f t="shared" si="90"/>
        <v/>
      </c>
      <c r="S739" s="22" t="str">
        <f ca="1">IF(A739="","",IF(OR(P739="Pagada",R739=0),"Pagada",IF(O739&lt;TODAY(),"Vencida",IF(O739&lt;=TODAY()+Inicio!$B$19,"Próxima a vencer","Vigente"))))</f>
        <v/>
      </c>
      <c r="T739" s="18"/>
      <c r="U739" s="37" t="str">
        <f t="shared" si="91"/>
        <v/>
      </c>
      <c r="V739" s="37" t="str">
        <f t="shared" si="92"/>
        <v/>
      </c>
      <c r="W739" s="37" t="str">
        <f t="shared" si="93"/>
        <v/>
      </c>
      <c r="X739" s="37" t="str">
        <f t="shared" si="94"/>
        <v/>
      </c>
      <c r="Y739" s="37" t="str">
        <f>IF(OR($H739="",$J739=""),"",$J739*IFERROR(VLOOKUP($H739,Maestro_SKU!$A$2:$P$500,12,FALSE),1))</f>
        <v/>
      </c>
      <c r="Z739" s="37" t="str">
        <f t="shared" ca="1" si="95"/>
        <v/>
      </c>
    </row>
    <row r="740" spans="1:26" x14ac:dyDescent="0.35">
      <c r="A740" s="18"/>
      <c r="B740" s="26"/>
      <c r="C740" s="18"/>
      <c r="D740" s="18"/>
      <c r="E740" s="22" t="str">
        <f>IFERROR(VLOOKUP(D740,Clientes_PDV!$A$2:$J$250,2,FALSE),"")</f>
        <v/>
      </c>
      <c r="F740" s="22" t="str">
        <f>IFERROR(VLOOKUP(D740,Clientes_PDV!$A$2:$J$250,3,FALSE),"")</f>
        <v/>
      </c>
      <c r="G740" s="22" t="str">
        <f>IFERROR(VLOOKUP(D740,Clientes_PDV!$A$2:$J$250,4,FALSE),"")</f>
        <v/>
      </c>
      <c r="H740" s="18"/>
      <c r="I740" s="22" t="str">
        <f>IFERROR(VLOOKUP(H740,Maestro_SKU!$A$2:$P$500,2,FALSE),"")</f>
        <v/>
      </c>
      <c r="J740" s="27"/>
      <c r="K740" s="19"/>
      <c r="L740" s="23" t="str">
        <f t="shared" si="88"/>
        <v/>
      </c>
      <c r="M740" s="23" t="str">
        <f>IF(L740="","",L740*Inicio!$B$13)</f>
        <v/>
      </c>
      <c r="N740" s="23" t="str">
        <f t="shared" si="89"/>
        <v/>
      </c>
      <c r="O740" s="26"/>
      <c r="P740" s="18"/>
      <c r="Q740" s="19"/>
      <c r="R740" s="23" t="str">
        <f t="shared" si="90"/>
        <v/>
      </c>
      <c r="S740" s="22" t="str">
        <f ca="1">IF(A740="","",IF(OR(P740="Pagada",R740=0),"Pagada",IF(O740&lt;TODAY(),"Vencida",IF(O740&lt;=TODAY()+Inicio!$B$19,"Próxima a vencer","Vigente"))))</f>
        <v/>
      </c>
      <c r="T740" s="18"/>
      <c r="U740" s="37" t="str">
        <f t="shared" si="91"/>
        <v/>
      </c>
      <c r="V740" s="37" t="str">
        <f t="shared" si="92"/>
        <v/>
      </c>
      <c r="W740" s="37" t="str">
        <f t="shared" si="93"/>
        <v/>
      </c>
      <c r="X740" s="37" t="str">
        <f t="shared" si="94"/>
        <v/>
      </c>
      <c r="Y740" s="37" t="str">
        <f>IF(OR($H740="",$J740=""),"",$J740*IFERROR(VLOOKUP($H740,Maestro_SKU!$A$2:$P$500,12,FALSE),1))</f>
        <v/>
      </c>
      <c r="Z740" s="37" t="str">
        <f t="shared" ca="1" si="95"/>
        <v/>
      </c>
    </row>
    <row r="741" spans="1:26" x14ac:dyDescent="0.35">
      <c r="A741" s="18"/>
      <c r="B741" s="26"/>
      <c r="C741" s="18"/>
      <c r="D741" s="18"/>
      <c r="E741" s="22" t="str">
        <f>IFERROR(VLOOKUP(D741,Clientes_PDV!$A$2:$J$250,2,FALSE),"")</f>
        <v/>
      </c>
      <c r="F741" s="22" t="str">
        <f>IFERROR(VLOOKUP(D741,Clientes_PDV!$A$2:$J$250,3,FALSE),"")</f>
        <v/>
      </c>
      <c r="G741" s="22" t="str">
        <f>IFERROR(VLOOKUP(D741,Clientes_PDV!$A$2:$J$250,4,FALSE),"")</f>
        <v/>
      </c>
      <c r="H741" s="18"/>
      <c r="I741" s="22" t="str">
        <f>IFERROR(VLOOKUP(H741,Maestro_SKU!$A$2:$P$500,2,FALSE),"")</f>
        <v/>
      </c>
      <c r="J741" s="27"/>
      <c r="K741" s="19"/>
      <c r="L741" s="23" t="str">
        <f t="shared" si="88"/>
        <v/>
      </c>
      <c r="M741" s="23" t="str">
        <f>IF(L741="","",L741*Inicio!$B$13)</f>
        <v/>
      </c>
      <c r="N741" s="23" t="str">
        <f t="shared" si="89"/>
        <v/>
      </c>
      <c r="O741" s="26"/>
      <c r="P741" s="18"/>
      <c r="Q741" s="19"/>
      <c r="R741" s="23" t="str">
        <f t="shared" si="90"/>
        <v/>
      </c>
      <c r="S741" s="22" t="str">
        <f ca="1">IF(A741="","",IF(OR(P741="Pagada",R741=0),"Pagada",IF(O741&lt;TODAY(),"Vencida",IF(O741&lt;=TODAY()+Inicio!$B$19,"Próxima a vencer","Vigente"))))</f>
        <v/>
      </c>
      <c r="T741" s="18"/>
      <c r="U741" s="37" t="str">
        <f t="shared" si="91"/>
        <v/>
      </c>
      <c r="V741" s="37" t="str">
        <f t="shared" si="92"/>
        <v/>
      </c>
      <c r="W741" s="37" t="str">
        <f t="shared" si="93"/>
        <v/>
      </c>
      <c r="X741" s="37" t="str">
        <f t="shared" si="94"/>
        <v/>
      </c>
      <c r="Y741" s="37" t="str">
        <f>IF(OR($H741="",$J741=""),"",$J741*IFERROR(VLOOKUP($H741,Maestro_SKU!$A$2:$P$500,12,FALSE),1))</f>
        <v/>
      </c>
      <c r="Z741" s="37" t="str">
        <f t="shared" ca="1" si="95"/>
        <v/>
      </c>
    </row>
    <row r="742" spans="1:26" x14ac:dyDescent="0.35">
      <c r="A742" s="18"/>
      <c r="B742" s="26"/>
      <c r="C742" s="18"/>
      <c r="D742" s="18"/>
      <c r="E742" s="22" t="str">
        <f>IFERROR(VLOOKUP(D742,Clientes_PDV!$A$2:$J$250,2,FALSE),"")</f>
        <v/>
      </c>
      <c r="F742" s="22" t="str">
        <f>IFERROR(VLOOKUP(D742,Clientes_PDV!$A$2:$J$250,3,FALSE),"")</f>
        <v/>
      </c>
      <c r="G742" s="22" t="str">
        <f>IFERROR(VLOOKUP(D742,Clientes_PDV!$A$2:$J$250,4,FALSE),"")</f>
        <v/>
      </c>
      <c r="H742" s="18"/>
      <c r="I742" s="22" t="str">
        <f>IFERROR(VLOOKUP(H742,Maestro_SKU!$A$2:$P$500,2,FALSE),"")</f>
        <v/>
      </c>
      <c r="J742" s="27"/>
      <c r="K742" s="19"/>
      <c r="L742" s="23" t="str">
        <f t="shared" si="88"/>
        <v/>
      </c>
      <c r="M742" s="23" t="str">
        <f>IF(L742="","",L742*Inicio!$B$13)</f>
        <v/>
      </c>
      <c r="N742" s="23" t="str">
        <f t="shared" si="89"/>
        <v/>
      </c>
      <c r="O742" s="26"/>
      <c r="P742" s="18"/>
      <c r="Q742" s="19"/>
      <c r="R742" s="23" t="str">
        <f t="shared" si="90"/>
        <v/>
      </c>
      <c r="S742" s="22" t="str">
        <f ca="1">IF(A742="","",IF(OR(P742="Pagada",R742=0),"Pagada",IF(O742&lt;TODAY(),"Vencida",IF(O742&lt;=TODAY()+Inicio!$B$19,"Próxima a vencer","Vigente"))))</f>
        <v/>
      </c>
      <c r="T742" s="18"/>
      <c r="U742" s="37" t="str">
        <f t="shared" si="91"/>
        <v/>
      </c>
      <c r="V742" s="37" t="str">
        <f t="shared" si="92"/>
        <v/>
      </c>
      <c r="W742" s="37" t="str">
        <f t="shared" si="93"/>
        <v/>
      </c>
      <c r="X742" s="37" t="str">
        <f t="shared" si="94"/>
        <v/>
      </c>
      <c r="Y742" s="37" t="str">
        <f>IF(OR($H742="",$J742=""),"",$J742*IFERROR(VLOOKUP($H742,Maestro_SKU!$A$2:$P$500,12,FALSE),1))</f>
        <v/>
      </c>
      <c r="Z742" s="37" t="str">
        <f t="shared" ca="1" si="95"/>
        <v/>
      </c>
    </row>
    <row r="743" spans="1:26" x14ac:dyDescent="0.35">
      <c r="A743" s="18"/>
      <c r="B743" s="26"/>
      <c r="C743" s="18"/>
      <c r="D743" s="18"/>
      <c r="E743" s="22" t="str">
        <f>IFERROR(VLOOKUP(D743,Clientes_PDV!$A$2:$J$250,2,FALSE),"")</f>
        <v/>
      </c>
      <c r="F743" s="22" t="str">
        <f>IFERROR(VLOOKUP(D743,Clientes_PDV!$A$2:$J$250,3,FALSE),"")</f>
        <v/>
      </c>
      <c r="G743" s="22" t="str">
        <f>IFERROR(VLOOKUP(D743,Clientes_PDV!$A$2:$J$250,4,FALSE),"")</f>
        <v/>
      </c>
      <c r="H743" s="18"/>
      <c r="I743" s="22" t="str">
        <f>IFERROR(VLOOKUP(H743,Maestro_SKU!$A$2:$P$500,2,FALSE),"")</f>
        <v/>
      </c>
      <c r="J743" s="27"/>
      <c r="K743" s="19"/>
      <c r="L743" s="23" t="str">
        <f t="shared" si="88"/>
        <v/>
      </c>
      <c r="M743" s="23" t="str">
        <f>IF(L743="","",L743*Inicio!$B$13)</f>
        <v/>
      </c>
      <c r="N743" s="23" t="str">
        <f t="shared" si="89"/>
        <v/>
      </c>
      <c r="O743" s="26"/>
      <c r="P743" s="18"/>
      <c r="Q743" s="19"/>
      <c r="R743" s="23" t="str">
        <f t="shared" si="90"/>
        <v/>
      </c>
      <c r="S743" s="22" t="str">
        <f ca="1">IF(A743="","",IF(OR(P743="Pagada",R743=0),"Pagada",IF(O743&lt;TODAY(),"Vencida",IF(O743&lt;=TODAY()+Inicio!$B$19,"Próxima a vencer","Vigente"))))</f>
        <v/>
      </c>
      <c r="T743" s="18"/>
      <c r="U743" s="37" t="str">
        <f t="shared" si="91"/>
        <v/>
      </c>
      <c r="V743" s="37" t="str">
        <f t="shared" si="92"/>
        <v/>
      </c>
      <c r="W743" s="37" t="str">
        <f t="shared" si="93"/>
        <v/>
      </c>
      <c r="X743" s="37" t="str">
        <f t="shared" si="94"/>
        <v/>
      </c>
      <c r="Y743" s="37" t="str">
        <f>IF(OR($H743="",$J743=""),"",$J743*IFERROR(VLOOKUP($H743,Maestro_SKU!$A$2:$P$500,12,FALSE),1))</f>
        <v/>
      </c>
      <c r="Z743" s="37" t="str">
        <f t="shared" ca="1" si="95"/>
        <v/>
      </c>
    </row>
    <row r="744" spans="1:26" x14ac:dyDescent="0.35">
      <c r="A744" s="18"/>
      <c r="B744" s="26"/>
      <c r="C744" s="18"/>
      <c r="D744" s="18"/>
      <c r="E744" s="22" t="str">
        <f>IFERROR(VLOOKUP(D744,Clientes_PDV!$A$2:$J$250,2,FALSE),"")</f>
        <v/>
      </c>
      <c r="F744" s="22" t="str">
        <f>IFERROR(VLOOKUP(D744,Clientes_PDV!$A$2:$J$250,3,FALSE),"")</f>
        <v/>
      </c>
      <c r="G744" s="22" t="str">
        <f>IFERROR(VLOOKUP(D744,Clientes_PDV!$A$2:$J$250,4,FALSE),"")</f>
        <v/>
      </c>
      <c r="H744" s="18"/>
      <c r="I744" s="22" t="str">
        <f>IFERROR(VLOOKUP(H744,Maestro_SKU!$A$2:$P$500,2,FALSE),"")</f>
        <v/>
      </c>
      <c r="J744" s="27"/>
      <c r="K744" s="19"/>
      <c r="L744" s="23" t="str">
        <f t="shared" si="88"/>
        <v/>
      </c>
      <c r="M744" s="23" t="str">
        <f>IF(L744="","",L744*Inicio!$B$13)</f>
        <v/>
      </c>
      <c r="N744" s="23" t="str">
        <f t="shared" si="89"/>
        <v/>
      </c>
      <c r="O744" s="26"/>
      <c r="P744" s="18"/>
      <c r="Q744" s="19"/>
      <c r="R744" s="23" t="str">
        <f t="shared" si="90"/>
        <v/>
      </c>
      <c r="S744" s="22" t="str">
        <f ca="1">IF(A744="","",IF(OR(P744="Pagada",R744=0),"Pagada",IF(O744&lt;TODAY(),"Vencida",IF(O744&lt;=TODAY()+Inicio!$B$19,"Próxima a vencer","Vigente"))))</f>
        <v/>
      </c>
      <c r="T744" s="18"/>
      <c r="U744" s="37" t="str">
        <f t="shared" si="91"/>
        <v/>
      </c>
      <c r="V744" s="37" t="str">
        <f t="shared" si="92"/>
        <v/>
      </c>
      <c r="W744" s="37" t="str">
        <f t="shared" si="93"/>
        <v/>
      </c>
      <c r="X744" s="37" t="str">
        <f t="shared" si="94"/>
        <v/>
      </c>
      <c r="Y744" s="37" t="str">
        <f>IF(OR($H744="",$J744=""),"",$J744*IFERROR(VLOOKUP($H744,Maestro_SKU!$A$2:$P$500,12,FALSE),1))</f>
        <v/>
      </c>
      <c r="Z744" s="37" t="str">
        <f t="shared" ca="1" si="95"/>
        <v/>
      </c>
    </row>
    <row r="745" spans="1:26" x14ac:dyDescent="0.35">
      <c r="A745" s="18"/>
      <c r="B745" s="26"/>
      <c r="C745" s="18"/>
      <c r="D745" s="18"/>
      <c r="E745" s="22" t="str">
        <f>IFERROR(VLOOKUP(D745,Clientes_PDV!$A$2:$J$250,2,FALSE),"")</f>
        <v/>
      </c>
      <c r="F745" s="22" t="str">
        <f>IFERROR(VLOOKUP(D745,Clientes_PDV!$A$2:$J$250,3,FALSE),"")</f>
        <v/>
      </c>
      <c r="G745" s="22" t="str">
        <f>IFERROR(VLOOKUP(D745,Clientes_PDV!$A$2:$J$250,4,FALSE),"")</f>
        <v/>
      </c>
      <c r="H745" s="18"/>
      <c r="I745" s="22" t="str">
        <f>IFERROR(VLOOKUP(H745,Maestro_SKU!$A$2:$P$500,2,FALSE),"")</f>
        <v/>
      </c>
      <c r="J745" s="27"/>
      <c r="K745" s="19"/>
      <c r="L745" s="23" t="str">
        <f t="shared" si="88"/>
        <v/>
      </c>
      <c r="M745" s="23" t="str">
        <f>IF(L745="","",L745*Inicio!$B$13)</f>
        <v/>
      </c>
      <c r="N745" s="23" t="str">
        <f t="shared" si="89"/>
        <v/>
      </c>
      <c r="O745" s="26"/>
      <c r="P745" s="18"/>
      <c r="Q745" s="19"/>
      <c r="R745" s="23" t="str">
        <f t="shared" si="90"/>
        <v/>
      </c>
      <c r="S745" s="22" t="str">
        <f ca="1">IF(A745="","",IF(OR(P745="Pagada",R745=0),"Pagada",IF(O745&lt;TODAY(),"Vencida",IF(O745&lt;=TODAY()+Inicio!$B$19,"Próxima a vencer","Vigente"))))</f>
        <v/>
      </c>
      <c r="T745" s="18"/>
      <c r="U745" s="37" t="str">
        <f t="shared" si="91"/>
        <v/>
      </c>
      <c r="V745" s="37" t="str">
        <f t="shared" si="92"/>
        <v/>
      </c>
      <c r="W745" s="37" t="str">
        <f t="shared" si="93"/>
        <v/>
      </c>
      <c r="X745" s="37" t="str">
        <f t="shared" si="94"/>
        <v/>
      </c>
      <c r="Y745" s="37" t="str">
        <f>IF(OR($H745="",$J745=""),"",$J745*IFERROR(VLOOKUP($H745,Maestro_SKU!$A$2:$P$500,12,FALSE),1))</f>
        <v/>
      </c>
      <c r="Z745" s="37" t="str">
        <f t="shared" ca="1" si="95"/>
        <v/>
      </c>
    </row>
    <row r="746" spans="1:26" x14ac:dyDescent="0.35">
      <c r="A746" s="18"/>
      <c r="B746" s="26"/>
      <c r="C746" s="18"/>
      <c r="D746" s="18"/>
      <c r="E746" s="22" t="str">
        <f>IFERROR(VLOOKUP(D746,Clientes_PDV!$A$2:$J$250,2,FALSE),"")</f>
        <v/>
      </c>
      <c r="F746" s="22" t="str">
        <f>IFERROR(VLOOKUP(D746,Clientes_PDV!$A$2:$J$250,3,FALSE),"")</f>
        <v/>
      </c>
      <c r="G746" s="22" t="str">
        <f>IFERROR(VLOOKUP(D746,Clientes_PDV!$A$2:$J$250,4,FALSE),"")</f>
        <v/>
      </c>
      <c r="H746" s="18"/>
      <c r="I746" s="22" t="str">
        <f>IFERROR(VLOOKUP(H746,Maestro_SKU!$A$2:$P$500,2,FALSE),"")</f>
        <v/>
      </c>
      <c r="J746" s="27"/>
      <c r="K746" s="19"/>
      <c r="L746" s="23" t="str">
        <f t="shared" si="88"/>
        <v/>
      </c>
      <c r="M746" s="23" t="str">
        <f>IF(L746="","",L746*Inicio!$B$13)</f>
        <v/>
      </c>
      <c r="N746" s="23" t="str">
        <f t="shared" si="89"/>
        <v/>
      </c>
      <c r="O746" s="26"/>
      <c r="P746" s="18"/>
      <c r="Q746" s="19"/>
      <c r="R746" s="23" t="str">
        <f t="shared" si="90"/>
        <v/>
      </c>
      <c r="S746" s="22" t="str">
        <f ca="1">IF(A746="","",IF(OR(P746="Pagada",R746=0),"Pagada",IF(O746&lt;TODAY(),"Vencida",IF(O746&lt;=TODAY()+Inicio!$B$19,"Próxima a vencer","Vigente"))))</f>
        <v/>
      </c>
      <c r="T746" s="18"/>
      <c r="U746" s="37" t="str">
        <f t="shared" si="91"/>
        <v/>
      </c>
      <c r="V746" s="37" t="str">
        <f t="shared" si="92"/>
        <v/>
      </c>
      <c r="W746" s="37" t="str">
        <f t="shared" si="93"/>
        <v/>
      </c>
      <c r="X746" s="37" t="str">
        <f t="shared" si="94"/>
        <v/>
      </c>
      <c r="Y746" s="37" t="str">
        <f>IF(OR($H746="",$J746=""),"",$J746*IFERROR(VLOOKUP($H746,Maestro_SKU!$A$2:$P$500,12,FALSE),1))</f>
        <v/>
      </c>
      <c r="Z746" s="37" t="str">
        <f t="shared" ca="1" si="95"/>
        <v/>
      </c>
    </row>
    <row r="747" spans="1:26" x14ac:dyDescent="0.35">
      <c r="A747" s="18"/>
      <c r="B747" s="26"/>
      <c r="C747" s="18"/>
      <c r="D747" s="18"/>
      <c r="E747" s="22" t="str">
        <f>IFERROR(VLOOKUP(D747,Clientes_PDV!$A$2:$J$250,2,FALSE),"")</f>
        <v/>
      </c>
      <c r="F747" s="22" t="str">
        <f>IFERROR(VLOOKUP(D747,Clientes_PDV!$A$2:$J$250,3,FALSE),"")</f>
        <v/>
      </c>
      <c r="G747" s="22" t="str">
        <f>IFERROR(VLOOKUP(D747,Clientes_PDV!$A$2:$J$250,4,FALSE),"")</f>
        <v/>
      </c>
      <c r="H747" s="18"/>
      <c r="I747" s="22" t="str">
        <f>IFERROR(VLOOKUP(H747,Maestro_SKU!$A$2:$P$500,2,FALSE),"")</f>
        <v/>
      </c>
      <c r="J747" s="27"/>
      <c r="K747" s="19"/>
      <c r="L747" s="23" t="str">
        <f t="shared" si="88"/>
        <v/>
      </c>
      <c r="M747" s="23" t="str">
        <f>IF(L747="","",L747*Inicio!$B$13)</f>
        <v/>
      </c>
      <c r="N747" s="23" t="str">
        <f t="shared" si="89"/>
        <v/>
      </c>
      <c r="O747" s="26"/>
      <c r="P747" s="18"/>
      <c r="Q747" s="19"/>
      <c r="R747" s="23" t="str">
        <f t="shared" si="90"/>
        <v/>
      </c>
      <c r="S747" s="22" t="str">
        <f ca="1">IF(A747="","",IF(OR(P747="Pagada",R747=0),"Pagada",IF(O747&lt;TODAY(),"Vencida",IF(O747&lt;=TODAY()+Inicio!$B$19,"Próxima a vencer","Vigente"))))</f>
        <v/>
      </c>
      <c r="T747" s="18"/>
      <c r="U747" s="37" t="str">
        <f t="shared" si="91"/>
        <v/>
      </c>
      <c r="V747" s="37" t="str">
        <f t="shared" si="92"/>
        <v/>
      </c>
      <c r="W747" s="37" t="str">
        <f t="shared" si="93"/>
        <v/>
      </c>
      <c r="X747" s="37" t="str">
        <f t="shared" si="94"/>
        <v/>
      </c>
      <c r="Y747" s="37" t="str">
        <f>IF(OR($H747="",$J747=""),"",$J747*IFERROR(VLOOKUP($H747,Maestro_SKU!$A$2:$P$500,12,FALSE),1))</f>
        <v/>
      </c>
      <c r="Z747" s="37" t="str">
        <f t="shared" ca="1" si="95"/>
        <v/>
      </c>
    </row>
    <row r="748" spans="1:26" x14ac:dyDescent="0.35">
      <c r="A748" s="18"/>
      <c r="B748" s="26"/>
      <c r="C748" s="18"/>
      <c r="D748" s="18"/>
      <c r="E748" s="22" t="str">
        <f>IFERROR(VLOOKUP(D748,Clientes_PDV!$A$2:$J$250,2,FALSE),"")</f>
        <v/>
      </c>
      <c r="F748" s="22" t="str">
        <f>IFERROR(VLOOKUP(D748,Clientes_PDV!$A$2:$J$250,3,FALSE),"")</f>
        <v/>
      </c>
      <c r="G748" s="22" t="str">
        <f>IFERROR(VLOOKUP(D748,Clientes_PDV!$A$2:$J$250,4,FALSE),"")</f>
        <v/>
      </c>
      <c r="H748" s="18"/>
      <c r="I748" s="22" t="str">
        <f>IFERROR(VLOOKUP(H748,Maestro_SKU!$A$2:$P$500,2,FALSE),"")</f>
        <v/>
      </c>
      <c r="J748" s="27"/>
      <c r="K748" s="19"/>
      <c r="L748" s="23" t="str">
        <f t="shared" si="88"/>
        <v/>
      </c>
      <c r="M748" s="23" t="str">
        <f>IF(L748="","",L748*Inicio!$B$13)</f>
        <v/>
      </c>
      <c r="N748" s="23" t="str">
        <f t="shared" si="89"/>
        <v/>
      </c>
      <c r="O748" s="26"/>
      <c r="P748" s="18"/>
      <c r="Q748" s="19"/>
      <c r="R748" s="23" t="str">
        <f t="shared" si="90"/>
        <v/>
      </c>
      <c r="S748" s="22" t="str">
        <f ca="1">IF(A748="","",IF(OR(P748="Pagada",R748=0),"Pagada",IF(O748&lt;TODAY(),"Vencida",IF(O748&lt;=TODAY()+Inicio!$B$19,"Próxima a vencer","Vigente"))))</f>
        <v/>
      </c>
      <c r="T748" s="18"/>
      <c r="U748" s="37" t="str">
        <f t="shared" si="91"/>
        <v/>
      </c>
      <c r="V748" s="37" t="str">
        <f t="shared" si="92"/>
        <v/>
      </c>
      <c r="W748" s="37" t="str">
        <f t="shared" si="93"/>
        <v/>
      </c>
      <c r="X748" s="37" t="str">
        <f t="shared" si="94"/>
        <v/>
      </c>
      <c r="Y748" s="37" t="str">
        <f>IF(OR($H748="",$J748=""),"",$J748*IFERROR(VLOOKUP($H748,Maestro_SKU!$A$2:$P$500,12,FALSE),1))</f>
        <v/>
      </c>
      <c r="Z748" s="37" t="str">
        <f t="shared" ca="1" si="95"/>
        <v/>
      </c>
    </row>
    <row r="749" spans="1:26" x14ac:dyDescent="0.35">
      <c r="A749" s="18"/>
      <c r="B749" s="26"/>
      <c r="C749" s="18"/>
      <c r="D749" s="18"/>
      <c r="E749" s="22" t="str">
        <f>IFERROR(VLOOKUP(D749,Clientes_PDV!$A$2:$J$250,2,FALSE),"")</f>
        <v/>
      </c>
      <c r="F749" s="22" t="str">
        <f>IFERROR(VLOOKUP(D749,Clientes_PDV!$A$2:$J$250,3,FALSE),"")</f>
        <v/>
      </c>
      <c r="G749" s="22" t="str">
        <f>IFERROR(VLOOKUP(D749,Clientes_PDV!$A$2:$J$250,4,FALSE),"")</f>
        <v/>
      </c>
      <c r="H749" s="18"/>
      <c r="I749" s="22" t="str">
        <f>IFERROR(VLOOKUP(H749,Maestro_SKU!$A$2:$P$500,2,FALSE),"")</f>
        <v/>
      </c>
      <c r="J749" s="27"/>
      <c r="K749" s="19"/>
      <c r="L749" s="23" t="str">
        <f t="shared" si="88"/>
        <v/>
      </c>
      <c r="M749" s="23" t="str">
        <f>IF(L749="","",L749*Inicio!$B$13)</f>
        <v/>
      </c>
      <c r="N749" s="23" t="str">
        <f t="shared" si="89"/>
        <v/>
      </c>
      <c r="O749" s="26"/>
      <c r="P749" s="18"/>
      <c r="Q749" s="19"/>
      <c r="R749" s="23" t="str">
        <f t="shared" si="90"/>
        <v/>
      </c>
      <c r="S749" s="22" t="str">
        <f ca="1">IF(A749="","",IF(OR(P749="Pagada",R749=0),"Pagada",IF(O749&lt;TODAY(),"Vencida",IF(O749&lt;=TODAY()+Inicio!$B$19,"Próxima a vencer","Vigente"))))</f>
        <v/>
      </c>
      <c r="T749" s="18"/>
      <c r="U749" s="37" t="str">
        <f t="shared" si="91"/>
        <v/>
      </c>
      <c r="V749" s="37" t="str">
        <f t="shared" si="92"/>
        <v/>
      </c>
      <c r="W749" s="37" t="str">
        <f t="shared" si="93"/>
        <v/>
      </c>
      <c r="X749" s="37" t="str">
        <f t="shared" si="94"/>
        <v/>
      </c>
      <c r="Y749" s="37" t="str">
        <f>IF(OR($H749="",$J749=""),"",$J749*IFERROR(VLOOKUP($H749,Maestro_SKU!$A$2:$P$500,12,FALSE),1))</f>
        <v/>
      </c>
      <c r="Z749" s="37" t="str">
        <f t="shared" ca="1" si="95"/>
        <v/>
      </c>
    </row>
    <row r="750" spans="1:26" x14ac:dyDescent="0.35">
      <c r="A750" s="18"/>
      <c r="B750" s="26"/>
      <c r="C750" s="18"/>
      <c r="D750" s="18"/>
      <c r="E750" s="22" t="str">
        <f>IFERROR(VLOOKUP(D750,Clientes_PDV!$A$2:$J$250,2,FALSE),"")</f>
        <v/>
      </c>
      <c r="F750" s="22" t="str">
        <f>IFERROR(VLOOKUP(D750,Clientes_PDV!$A$2:$J$250,3,FALSE),"")</f>
        <v/>
      </c>
      <c r="G750" s="22" t="str">
        <f>IFERROR(VLOOKUP(D750,Clientes_PDV!$A$2:$J$250,4,FALSE),"")</f>
        <v/>
      </c>
      <c r="H750" s="18"/>
      <c r="I750" s="22" t="str">
        <f>IFERROR(VLOOKUP(H750,Maestro_SKU!$A$2:$P$500,2,FALSE),"")</f>
        <v/>
      </c>
      <c r="J750" s="27"/>
      <c r="K750" s="19"/>
      <c r="L750" s="23" t="str">
        <f t="shared" si="88"/>
        <v/>
      </c>
      <c r="M750" s="23" t="str">
        <f>IF(L750="","",L750*Inicio!$B$13)</f>
        <v/>
      </c>
      <c r="N750" s="23" t="str">
        <f t="shared" si="89"/>
        <v/>
      </c>
      <c r="O750" s="26"/>
      <c r="P750" s="18"/>
      <c r="Q750" s="19"/>
      <c r="R750" s="23" t="str">
        <f t="shared" si="90"/>
        <v/>
      </c>
      <c r="S750" s="22" t="str">
        <f ca="1">IF(A750="","",IF(OR(P750="Pagada",R750=0),"Pagada",IF(O750&lt;TODAY(),"Vencida",IF(O750&lt;=TODAY()+Inicio!$B$19,"Próxima a vencer","Vigente"))))</f>
        <v/>
      </c>
      <c r="T750" s="18"/>
      <c r="U750" s="37" t="str">
        <f t="shared" si="91"/>
        <v/>
      </c>
      <c r="V750" s="37" t="str">
        <f t="shared" si="92"/>
        <v/>
      </c>
      <c r="W750" s="37" t="str">
        <f t="shared" si="93"/>
        <v/>
      </c>
      <c r="X750" s="37" t="str">
        <f t="shared" si="94"/>
        <v/>
      </c>
      <c r="Y750" s="37" t="str">
        <f>IF(OR($H750="",$J750=""),"",$J750*IFERROR(VLOOKUP($H750,Maestro_SKU!$A$2:$P$500,12,FALSE),1))</f>
        <v/>
      </c>
      <c r="Z750" s="37" t="str">
        <f t="shared" ca="1" si="95"/>
        <v/>
      </c>
    </row>
    <row r="751" spans="1:26" x14ac:dyDescent="0.35">
      <c r="A751" s="18"/>
      <c r="B751" s="26"/>
      <c r="C751" s="18"/>
      <c r="D751" s="18"/>
      <c r="E751" s="22" t="str">
        <f>IFERROR(VLOOKUP(D751,Clientes_PDV!$A$2:$J$250,2,FALSE),"")</f>
        <v/>
      </c>
      <c r="F751" s="22" t="str">
        <f>IFERROR(VLOOKUP(D751,Clientes_PDV!$A$2:$J$250,3,FALSE),"")</f>
        <v/>
      </c>
      <c r="G751" s="22" t="str">
        <f>IFERROR(VLOOKUP(D751,Clientes_PDV!$A$2:$J$250,4,FALSE),"")</f>
        <v/>
      </c>
      <c r="H751" s="18"/>
      <c r="I751" s="22" t="str">
        <f>IFERROR(VLOOKUP(H751,Maestro_SKU!$A$2:$P$500,2,FALSE),"")</f>
        <v/>
      </c>
      <c r="J751" s="27"/>
      <c r="K751" s="19"/>
      <c r="L751" s="23" t="str">
        <f t="shared" si="88"/>
        <v/>
      </c>
      <c r="M751" s="23" t="str">
        <f>IF(L751="","",L751*Inicio!$B$13)</f>
        <v/>
      </c>
      <c r="N751" s="23" t="str">
        <f t="shared" si="89"/>
        <v/>
      </c>
      <c r="O751" s="26"/>
      <c r="P751" s="18"/>
      <c r="Q751" s="19"/>
      <c r="R751" s="23" t="str">
        <f t="shared" si="90"/>
        <v/>
      </c>
      <c r="S751" s="22" t="str">
        <f ca="1">IF(A751="","",IF(OR(P751="Pagada",R751=0),"Pagada",IF(O751&lt;TODAY(),"Vencida",IF(O751&lt;=TODAY()+Inicio!$B$19,"Próxima a vencer","Vigente"))))</f>
        <v/>
      </c>
      <c r="T751" s="18"/>
      <c r="U751" s="37" t="str">
        <f t="shared" si="91"/>
        <v/>
      </c>
      <c r="V751" s="37" t="str">
        <f t="shared" si="92"/>
        <v/>
      </c>
      <c r="W751" s="37" t="str">
        <f t="shared" si="93"/>
        <v/>
      </c>
      <c r="X751" s="37" t="str">
        <f t="shared" si="94"/>
        <v/>
      </c>
      <c r="Y751" s="37" t="str">
        <f>IF(OR($H751="",$J751=""),"",$J751*IFERROR(VLOOKUP($H751,Maestro_SKU!$A$2:$P$500,12,FALSE),1))</f>
        <v/>
      </c>
      <c r="Z751" s="37" t="str">
        <f t="shared" ca="1" si="95"/>
        <v/>
      </c>
    </row>
    <row r="752" spans="1:26" x14ac:dyDescent="0.35">
      <c r="A752" s="18"/>
      <c r="B752" s="26"/>
      <c r="C752" s="18"/>
      <c r="D752" s="18"/>
      <c r="E752" s="22" t="str">
        <f>IFERROR(VLOOKUP(D752,Clientes_PDV!$A$2:$J$250,2,FALSE),"")</f>
        <v/>
      </c>
      <c r="F752" s="22" t="str">
        <f>IFERROR(VLOOKUP(D752,Clientes_PDV!$A$2:$J$250,3,FALSE),"")</f>
        <v/>
      </c>
      <c r="G752" s="22" t="str">
        <f>IFERROR(VLOOKUP(D752,Clientes_PDV!$A$2:$J$250,4,FALSE),"")</f>
        <v/>
      </c>
      <c r="H752" s="18"/>
      <c r="I752" s="22" t="str">
        <f>IFERROR(VLOOKUP(H752,Maestro_SKU!$A$2:$P$500,2,FALSE),"")</f>
        <v/>
      </c>
      <c r="J752" s="27"/>
      <c r="K752" s="19"/>
      <c r="L752" s="23" t="str">
        <f t="shared" si="88"/>
        <v/>
      </c>
      <c r="M752" s="23" t="str">
        <f>IF(L752="","",L752*Inicio!$B$13)</f>
        <v/>
      </c>
      <c r="N752" s="23" t="str">
        <f t="shared" si="89"/>
        <v/>
      </c>
      <c r="O752" s="26"/>
      <c r="P752" s="18"/>
      <c r="Q752" s="19"/>
      <c r="R752" s="23" t="str">
        <f t="shared" si="90"/>
        <v/>
      </c>
      <c r="S752" s="22" t="str">
        <f ca="1">IF(A752="","",IF(OR(P752="Pagada",R752=0),"Pagada",IF(O752&lt;TODAY(),"Vencida",IF(O752&lt;=TODAY()+Inicio!$B$19,"Próxima a vencer","Vigente"))))</f>
        <v/>
      </c>
      <c r="T752" s="18"/>
      <c r="U752" s="37" t="str">
        <f t="shared" si="91"/>
        <v/>
      </c>
      <c r="V752" s="37" t="str">
        <f t="shared" si="92"/>
        <v/>
      </c>
      <c r="W752" s="37" t="str">
        <f t="shared" si="93"/>
        <v/>
      </c>
      <c r="X752" s="37" t="str">
        <f t="shared" si="94"/>
        <v/>
      </c>
      <c r="Y752" s="37" t="str">
        <f>IF(OR($H752="",$J752=""),"",$J752*IFERROR(VLOOKUP($H752,Maestro_SKU!$A$2:$P$500,12,FALSE),1))</f>
        <v/>
      </c>
      <c r="Z752" s="37" t="str">
        <f t="shared" ca="1" si="95"/>
        <v/>
      </c>
    </row>
    <row r="753" spans="1:26" x14ac:dyDescent="0.35">
      <c r="A753" s="18"/>
      <c r="B753" s="26"/>
      <c r="C753" s="18"/>
      <c r="D753" s="18"/>
      <c r="E753" s="22" t="str">
        <f>IFERROR(VLOOKUP(D753,Clientes_PDV!$A$2:$J$250,2,FALSE),"")</f>
        <v/>
      </c>
      <c r="F753" s="22" t="str">
        <f>IFERROR(VLOOKUP(D753,Clientes_PDV!$A$2:$J$250,3,FALSE),"")</f>
        <v/>
      </c>
      <c r="G753" s="22" t="str">
        <f>IFERROR(VLOOKUP(D753,Clientes_PDV!$A$2:$J$250,4,FALSE),"")</f>
        <v/>
      </c>
      <c r="H753" s="18"/>
      <c r="I753" s="22" t="str">
        <f>IFERROR(VLOOKUP(H753,Maestro_SKU!$A$2:$P$500,2,FALSE),"")</f>
        <v/>
      </c>
      <c r="J753" s="27"/>
      <c r="K753" s="19"/>
      <c r="L753" s="23" t="str">
        <f t="shared" si="88"/>
        <v/>
      </c>
      <c r="M753" s="23" t="str">
        <f>IF(L753="","",L753*Inicio!$B$13)</f>
        <v/>
      </c>
      <c r="N753" s="23" t="str">
        <f t="shared" si="89"/>
        <v/>
      </c>
      <c r="O753" s="26"/>
      <c r="P753" s="18"/>
      <c r="Q753" s="19"/>
      <c r="R753" s="23" t="str">
        <f t="shared" si="90"/>
        <v/>
      </c>
      <c r="S753" s="22" t="str">
        <f ca="1">IF(A753="","",IF(OR(P753="Pagada",R753=0),"Pagada",IF(O753&lt;TODAY(),"Vencida",IF(O753&lt;=TODAY()+Inicio!$B$19,"Próxima a vencer","Vigente"))))</f>
        <v/>
      </c>
      <c r="T753" s="18"/>
      <c r="U753" s="37" t="str">
        <f t="shared" si="91"/>
        <v/>
      </c>
      <c r="V753" s="37" t="str">
        <f t="shared" si="92"/>
        <v/>
      </c>
      <c r="W753" s="37" t="str">
        <f t="shared" si="93"/>
        <v/>
      </c>
      <c r="X753" s="37" t="str">
        <f t="shared" si="94"/>
        <v/>
      </c>
      <c r="Y753" s="37" t="str">
        <f>IF(OR($H753="",$J753=""),"",$J753*IFERROR(VLOOKUP($H753,Maestro_SKU!$A$2:$P$500,12,FALSE),1))</f>
        <v/>
      </c>
      <c r="Z753" s="37" t="str">
        <f t="shared" ca="1" si="95"/>
        <v/>
      </c>
    </row>
    <row r="754" spans="1:26" x14ac:dyDescent="0.35">
      <c r="A754" s="18"/>
      <c r="B754" s="26"/>
      <c r="C754" s="18"/>
      <c r="D754" s="18"/>
      <c r="E754" s="22" t="str">
        <f>IFERROR(VLOOKUP(D754,Clientes_PDV!$A$2:$J$250,2,FALSE),"")</f>
        <v/>
      </c>
      <c r="F754" s="22" t="str">
        <f>IFERROR(VLOOKUP(D754,Clientes_PDV!$A$2:$J$250,3,FALSE),"")</f>
        <v/>
      </c>
      <c r="G754" s="22" t="str">
        <f>IFERROR(VLOOKUP(D754,Clientes_PDV!$A$2:$J$250,4,FALSE),"")</f>
        <v/>
      </c>
      <c r="H754" s="18"/>
      <c r="I754" s="22" t="str">
        <f>IFERROR(VLOOKUP(H754,Maestro_SKU!$A$2:$P$500,2,FALSE),"")</f>
        <v/>
      </c>
      <c r="J754" s="27"/>
      <c r="K754" s="19"/>
      <c r="L754" s="23" t="str">
        <f t="shared" si="88"/>
        <v/>
      </c>
      <c r="M754" s="23" t="str">
        <f>IF(L754="","",L754*Inicio!$B$13)</f>
        <v/>
      </c>
      <c r="N754" s="23" t="str">
        <f t="shared" si="89"/>
        <v/>
      </c>
      <c r="O754" s="26"/>
      <c r="P754" s="18"/>
      <c r="Q754" s="19"/>
      <c r="R754" s="23" t="str">
        <f t="shared" si="90"/>
        <v/>
      </c>
      <c r="S754" s="22" t="str">
        <f ca="1">IF(A754="","",IF(OR(P754="Pagada",R754=0),"Pagada",IF(O754&lt;TODAY(),"Vencida",IF(O754&lt;=TODAY()+Inicio!$B$19,"Próxima a vencer","Vigente"))))</f>
        <v/>
      </c>
      <c r="T754" s="18"/>
      <c r="U754" s="37" t="str">
        <f t="shared" si="91"/>
        <v/>
      </c>
      <c r="V754" s="37" t="str">
        <f t="shared" si="92"/>
        <v/>
      </c>
      <c r="W754" s="37" t="str">
        <f t="shared" si="93"/>
        <v/>
      </c>
      <c r="X754" s="37" t="str">
        <f t="shared" si="94"/>
        <v/>
      </c>
      <c r="Y754" s="37" t="str">
        <f>IF(OR($H754="",$J754=""),"",$J754*IFERROR(VLOOKUP($H754,Maestro_SKU!$A$2:$P$500,12,FALSE),1))</f>
        <v/>
      </c>
      <c r="Z754" s="37" t="str">
        <f t="shared" ca="1" si="95"/>
        <v/>
      </c>
    </row>
    <row r="755" spans="1:26" x14ac:dyDescent="0.35">
      <c r="A755" s="18"/>
      <c r="B755" s="26"/>
      <c r="C755" s="18"/>
      <c r="D755" s="18"/>
      <c r="E755" s="22" t="str">
        <f>IFERROR(VLOOKUP(D755,Clientes_PDV!$A$2:$J$250,2,FALSE),"")</f>
        <v/>
      </c>
      <c r="F755" s="22" t="str">
        <f>IFERROR(VLOOKUP(D755,Clientes_PDV!$A$2:$J$250,3,FALSE),"")</f>
        <v/>
      </c>
      <c r="G755" s="22" t="str">
        <f>IFERROR(VLOOKUP(D755,Clientes_PDV!$A$2:$J$250,4,FALSE),"")</f>
        <v/>
      </c>
      <c r="H755" s="18"/>
      <c r="I755" s="22" t="str">
        <f>IFERROR(VLOOKUP(H755,Maestro_SKU!$A$2:$P$500,2,FALSE),"")</f>
        <v/>
      </c>
      <c r="J755" s="27"/>
      <c r="K755" s="19"/>
      <c r="L755" s="23" t="str">
        <f t="shared" si="88"/>
        <v/>
      </c>
      <c r="M755" s="23" t="str">
        <f>IF(L755="","",L755*Inicio!$B$13)</f>
        <v/>
      </c>
      <c r="N755" s="23" t="str">
        <f t="shared" si="89"/>
        <v/>
      </c>
      <c r="O755" s="26"/>
      <c r="P755" s="18"/>
      <c r="Q755" s="19"/>
      <c r="R755" s="23" t="str">
        <f t="shared" si="90"/>
        <v/>
      </c>
      <c r="S755" s="22" t="str">
        <f ca="1">IF(A755="","",IF(OR(P755="Pagada",R755=0),"Pagada",IF(O755&lt;TODAY(),"Vencida",IF(O755&lt;=TODAY()+Inicio!$B$19,"Próxima a vencer","Vigente"))))</f>
        <v/>
      </c>
      <c r="T755" s="18"/>
      <c r="U755" s="37" t="str">
        <f t="shared" si="91"/>
        <v/>
      </c>
      <c r="V755" s="37" t="str">
        <f t="shared" si="92"/>
        <v/>
      </c>
      <c r="W755" s="37" t="str">
        <f t="shared" si="93"/>
        <v/>
      </c>
      <c r="X755" s="37" t="str">
        <f t="shared" si="94"/>
        <v/>
      </c>
      <c r="Y755" s="37" t="str">
        <f>IF(OR($H755="",$J755=""),"",$J755*IFERROR(VLOOKUP($H755,Maestro_SKU!$A$2:$P$500,12,FALSE),1))</f>
        <v/>
      </c>
      <c r="Z755" s="37" t="str">
        <f t="shared" ca="1" si="95"/>
        <v/>
      </c>
    </row>
    <row r="756" spans="1:26" x14ac:dyDescent="0.35">
      <c r="A756" s="18"/>
      <c r="B756" s="26"/>
      <c r="C756" s="18"/>
      <c r="D756" s="18"/>
      <c r="E756" s="22" t="str">
        <f>IFERROR(VLOOKUP(D756,Clientes_PDV!$A$2:$J$250,2,FALSE),"")</f>
        <v/>
      </c>
      <c r="F756" s="22" t="str">
        <f>IFERROR(VLOOKUP(D756,Clientes_PDV!$A$2:$J$250,3,FALSE),"")</f>
        <v/>
      </c>
      <c r="G756" s="22" t="str">
        <f>IFERROR(VLOOKUP(D756,Clientes_PDV!$A$2:$J$250,4,FALSE),"")</f>
        <v/>
      </c>
      <c r="H756" s="18"/>
      <c r="I756" s="22" t="str">
        <f>IFERROR(VLOOKUP(H756,Maestro_SKU!$A$2:$P$500,2,FALSE),"")</f>
        <v/>
      </c>
      <c r="J756" s="27"/>
      <c r="K756" s="19"/>
      <c r="L756" s="23" t="str">
        <f t="shared" si="88"/>
        <v/>
      </c>
      <c r="M756" s="23" t="str">
        <f>IF(L756="","",L756*Inicio!$B$13)</f>
        <v/>
      </c>
      <c r="N756" s="23" t="str">
        <f t="shared" si="89"/>
        <v/>
      </c>
      <c r="O756" s="26"/>
      <c r="P756" s="18"/>
      <c r="Q756" s="19"/>
      <c r="R756" s="23" t="str">
        <f t="shared" si="90"/>
        <v/>
      </c>
      <c r="S756" s="22" t="str">
        <f ca="1">IF(A756="","",IF(OR(P756="Pagada",R756=0),"Pagada",IF(O756&lt;TODAY(),"Vencida",IF(O756&lt;=TODAY()+Inicio!$B$19,"Próxima a vencer","Vigente"))))</f>
        <v/>
      </c>
      <c r="T756" s="18"/>
      <c r="U756" s="37" t="str">
        <f t="shared" si="91"/>
        <v/>
      </c>
      <c r="V756" s="37" t="str">
        <f t="shared" si="92"/>
        <v/>
      </c>
      <c r="W756" s="37" t="str">
        <f t="shared" si="93"/>
        <v/>
      </c>
      <c r="X756" s="37" t="str">
        <f t="shared" si="94"/>
        <v/>
      </c>
      <c r="Y756" s="37" t="str">
        <f>IF(OR($H756="",$J756=""),"",$J756*IFERROR(VLOOKUP($H756,Maestro_SKU!$A$2:$P$500,12,FALSE),1))</f>
        <v/>
      </c>
      <c r="Z756" s="37" t="str">
        <f t="shared" ca="1" si="95"/>
        <v/>
      </c>
    </row>
    <row r="757" spans="1:26" x14ac:dyDescent="0.35">
      <c r="A757" s="18"/>
      <c r="B757" s="26"/>
      <c r="C757" s="18"/>
      <c r="D757" s="18"/>
      <c r="E757" s="22" t="str">
        <f>IFERROR(VLOOKUP(D757,Clientes_PDV!$A$2:$J$250,2,FALSE),"")</f>
        <v/>
      </c>
      <c r="F757" s="22" t="str">
        <f>IFERROR(VLOOKUP(D757,Clientes_PDV!$A$2:$J$250,3,FALSE),"")</f>
        <v/>
      </c>
      <c r="G757" s="22" t="str">
        <f>IFERROR(VLOOKUP(D757,Clientes_PDV!$A$2:$J$250,4,FALSE),"")</f>
        <v/>
      </c>
      <c r="H757" s="18"/>
      <c r="I757" s="22" t="str">
        <f>IFERROR(VLOOKUP(H757,Maestro_SKU!$A$2:$P$500,2,FALSE),"")</f>
        <v/>
      </c>
      <c r="J757" s="27"/>
      <c r="K757" s="19"/>
      <c r="L757" s="23" t="str">
        <f t="shared" si="88"/>
        <v/>
      </c>
      <c r="M757" s="23" t="str">
        <f>IF(L757="","",L757*Inicio!$B$13)</f>
        <v/>
      </c>
      <c r="N757" s="23" t="str">
        <f t="shared" si="89"/>
        <v/>
      </c>
      <c r="O757" s="26"/>
      <c r="P757" s="18"/>
      <c r="Q757" s="19"/>
      <c r="R757" s="23" t="str">
        <f t="shared" si="90"/>
        <v/>
      </c>
      <c r="S757" s="22" t="str">
        <f ca="1">IF(A757="","",IF(OR(P757="Pagada",R757=0),"Pagada",IF(O757&lt;TODAY(),"Vencida",IF(O757&lt;=TODAY()+Inicio!$B$19,"Próxima a vencer","Vigente"))))</f>
        <v/>
      </c>
      <c r="T757" s="18"/>
      <c r="U757" s="37" t="str">
        <f t="shared" si="91"/>
        <v/>
      </c>
      <c r="V757" s="37" t="str">
        <f t="shared" si="92"/>
        <v/>
      </c>
      <c r="W757" s="37" t="str">
        <f t="shared" si="93"/>
        <v/>
      </c>
      <c r="X757" s="37" t="str">
        <f t="shared" si="94"/>
        <v/>
      </c>
      <c r="Y757" s="37" t="str">
        <f>IF(OR($H757="",$J757=""),"",$J757*IFERROR(VLOOKUP($H757,Maestro_SKU!$A$2:$P$500,12,FALSE),1))</f>
        <v/>
      </c>
      <c r="Z757" s="37" t="str">
        <f t="shared" ca="1" si="95"/>
        <v/>
      </c>
    </row>
    <row r="758" spans="1:26" x14ac:dyDescent="0.35">
      <c r="A758" s="18"/>
      <c r="B758" s="26"/>
      <c r="C758" s="18"/>
      <c r="D758" s="18"/>
      <c r="E758" s="22" t="str">
        <f>IFERROR(VLOOKUP(D758,Clientes_PDV!$A$2:$J$250,2,FALSE),"")</f>
        <v/>
      </c>
      <c r="F758" s="22" t="str">
        <f>IFERROR(VLOOKUP(D758,Clientes_PDV!$A$2:$J$250,3,FALSE),"")</f>
        <v/>
      </c>
      <c r="G758" s="22" t="str">
        <f>IFERROR(VLOOKUP(D758,Clientes_PDV!$A$2:$J$250,4,FALSE),"")</f>
        <v/>
      </c>
      <c r="H758" s="18"/>
      <c r="I758" s="22" t="str">
        <f>IFERROR(VLOOKUP(H758,Maestro_SKU!$A$2:$P$500,2,FALSE),"")</f>
        <v/>
      </c>
      <c r="J758" s="27"/>
      <c r="K758" s="19"/>
      <c r="L758" s="23" t="str">
        <f t="shared" si="88"/>
        <v/>
      </c>
      <c r="M758" s="23" t="str">
        <f>IF(L758="","",L758*Inicio!$B$13)</f>
        <v/>
      </c>
      <c r="N758" s="23" t="str">
        <f t="shared" si="89"/>
        <v/>
      </c>
      <c r="O758" s="26"/>
      <c r="P758" s="18"/>
      <c r="Q758" s="19"/>
      <c r="R758" s="23" t="str">
        <f t="shared" si="90"/>
        <v/>
      </c>
      <c r="S758" s="22" t="str">
        <f ca="1">IF(A758="","",IF(OR(P758="Pagada",R758=0),"Pagada",IF(O758&lt;TODAY(),"Vencida",IF(O758&lt;=TODAY()+Inicio!$B$19,"Próxima a vencer","Vigente"))))</f>
        <v/>
      </c>
      <c r="T758" s="18"/>
      <c r="U758" s="37" t="str">
        <f t="shared" si="91"/>
        <v/>
      </c>
      <c r="V758" s="37" t="str">
        <f t="shared" si="92"/>
        <v/>
      </c>
      <c r="W758" s="37" t="str">
        <f t="shared" si="93"/>
        <v/>
      </c>
      <c r="X758" s="37" t="str">
        <f t="shared" si="94"/>
        <v/>
      </c>
      <c r="Y758" s="37" t="str">
        <f>IF(OR($H758="",$J758=""),"",$J758*IFERROR(VLOOKUP($H758,Maestro_SKU!$A$2:$P$500,12,FALSE),1))</f>
        <v/>
      </c>
      <c r="Z758" s="37" t="str">
        <f t="shared" ca="1" si="95"/>
        <v/>
      </c>
    </row>
    <row r="759" spans="1:26" x14ac:dyDescent="0.35">
      <c r="A759" s="18"/>
      <c r="B759" s="26"/>
      <c r="C759" s="18"/>
      <c r="D759" s="18"/>
      <c r="E759" s="22" t="str">
        <f>IFERROR(VLOOKUP(D759,Clientes_PDV!$A$2:$J$250,2,FALSE),"")</f>
        <v/>
      </c>
      <c r="F759" s="22" t="str">
        <f>IFERROR(VLOOKUP(D759,Clientes_PDV!$A$2:$J$250,3,FALSE),"")</f>
        <v/>
      </c>
      <c r="G759" s="22" t="str">
        <f>IFERROR(VLOOKUP(D759,Clientes_PDV!$A$2:$J$250,4,FALSE),"")</f>
        <v/>
      </c>
      <c r="H759" s="18"/>
      <c r="I759" s="22" t="str">
        <f>IFERROR(VLOOKUP(H759,Maestro_SKU!$A$2:$P$500,2,FALSE),"")</f>
        <v/>
      </c>
      <c r="J759" s="27"/>
      <c r="K759" s="19"/>
      <c r="L759" s="23" t="str">
        <f t="shared" si="88"/>
        <v/>
      </c>
      <c r="M759" s="23" t="str">
        <f>IF(L759="","",L759*Inicio!$B$13)</f>
        <v/>
      </c>
      <c r="N759" s="23" t="str">
        <f t="shared" si="89"/>
        <v/>
      </c>
      <c r="O759" s="26"/>
      <c r="P759" s="18"/>
      <c r="Q759" s="19"/>
      <c r="R759" s="23" t="str">
        <f t="shared" si="90"/>
        <v/>
      </c>
      <c r="S759" s="22" t="str">
        <f ca="1">IF(A759="","",IF(OR(P759="Pagada",R759=0),"Pagada",IF(O759&lt;TODAY(),"Vencida",IF(O759&lt;=TODAY()+Inicio!$B$19,"Próxima a vencer","Vigente"))))</f>
        <v/>
      </c>
      <c r="T759" s="18"/>
      <c r="U759" s="37" t="str">
        <f t="shared" si="91"/>
        <v/>
      </c>
      <c r="V759" s="37" t="str">
        <f t="shared" si="92"/>
        <v/>
      </c>
      <c r="W759" s="37" t="str">
        <f t="shared" si="93"/>
        <v/>
      </c>
      <c r="X759" s="37" t="str">
        <f t="shared" si="94"/>
        <v/>
      </c>
      <c r="Y759" s="37" t="str">
        <f>IF(OR($H759="",$J759=""),"",$J759*IFERROR(VLOOKUP($H759,Maestro_SKU!$A$2:$P$500,12,FALSE),1))</f>
        <v/>
      </c>
      <c r="Z759" s="37" t="str">
        <f t="shared" ca="1" si="95"/>
        <v/>
      </c>
    </row>
    <row r="760" spans="1:26" x14ac:dyDescent="0.35">
      <c r="A760" s="18"/>
      <c r="B760" s="26"/>
      <c r="C760" s="18"/>
      <c r="D760" s="18"/>
      <c r="E760" s="22" t="str">
        <f>IFERROR(VLOOKUP(D760,Clientes_PDV!$A$2:$J$250,2,FALSE),"")</f>
        <v/>
      </c>
      <c r="F760" s="22" t="str">
        <f>IFERROR(VLOOKUP(D760,Clientes_PDV!$A$2:$J$250,3,FALSE),"")</f>
        <v/>
      </c>
      <c r="G760" s="22" t="str">
        <f>IFERROR(VLOOKUP(D760,Clientes_PDV!$A$2:$J$250,4,FALSE),"")</f>
        <v/>
      </c>
      <c r="H760" s="18"/>
      <c r="I760" s="22" t="str">
        <f>IFERROR(VLOOKUP(H760,Maestro_SKU!$A$2:$P$500,2,FALSE),"")</f>
        <v/>
      </c>
      <c r="J760" s="27"/>
      <c r="K760" s="19"/>
      <c r="L760" s="23" t="str">
        <f t="shared" si="88"/>
        <v/>
      </c>
      <c r="M760" s="23" t="str">
        <f>IF(L760="","",L760*Inicio!$B$13)</f>
        <v/>
      </c>
      <c r="N760" s="23" t="str">
        <f t="shared" si="89"/>
        <v/>
      </c>
      <c r="O760" s="26"/>
      <c r="P760" s="18"/>
      <c r="Q760" s="19"/>
      <c r="R760" s="23" t="str">
        <f t="shared" si="90"/>
        <v/>
      </c>
      <c r="S760" s="22" t="str">
        <f ca="1">IF(A760="","",IF(OR(P760="Pagada",R760=0),"Pagada",IF(O760&lt;TODAY(),"Vencida",IF(O760&lt;=TODAY()+Inicio!$B$19,"Próxima a vencer","Vigente"))))</f>
        <v/>
      </c>
      <c r="T760" s="18"/>
      <c r="U760" s="37" t="str">
        <f t="shared" si="91"/>
        <v/>
      </c>
      <c r="V760" s="37" t="str">
        <f t="shared" si="92"/>
        <v/>
      </c>
      <c r="W760" s="37" t="str">
        <f t="shared" si="93"/>
        <v/>
      </c>
      <c r="X760" s="37" t="str">
        <f t="shared" si="94"/>
        <v/>
      </c>
      <c r="Y760" s="37" t="str">
        <f>IF(OR($H760="",$J760=""),"",$J760*IFERROR(VLOOKUP($H760,Maestro_SKU!$A$2:$P$500,12,FALSE),1))</f>
        <v/>
      </c>
      <c r="Z760" s="37" t="str">
        <f t="shared" ca="1" si="95"/>
        <v/>
      </c>
    </row>
    <row r="761" spans="1:26" x14ac:dyDescent="0.35">
      <c r="A761" s="18"/>
      <c r="B761" s="26"/>
      <c r="C761" s="18"/>
      <c r="D761" s="18"/>
      <c r="E761" s="22" t="str">
        <f>IFERROR(VLOOKUP(D761,Clientes_PDV!$A$2:$J$250,2,FALSE),"")</f>
        <v/>
      </c>
      <c r="F761" s="22" t="str">
        <f>IFERROR(VLOOKUP(D761,Clientes_PDV!$A$2:$J$250,3,FALSE),"")</f>
        <v/>
      </c>
      <c r="G761" s="22" t="str">
        <f>IFERROR(VLOOKUP(D761,Clientes_PDV!$A$2:$J$250,4,FALSE),"")</f>
        <v/>
      </c>
      <c r="H761" s="18"/>
      <c r="I761" s="22" t="str">
        <f>IFERROR(VLOOKUP(H761,Maestro_SKU!$A$2:$P$500,2,FALSE),"")</f>
        <v/>
      </c>
      <c r="J761" s="27"/>
      <c r="K761" s="19"/>
      <c r="L761" s="23" t="str">
        <f t="shared" si="88"/>
        <v/>
      </c>
      <c r="M761" s="23" t="str">
        <f>IF(L761="","",L761*Inicio!$B$13)</f>
        <v/>
      </c>
      <c r="N761" s="23" t="str">
        <f t="shared" si="89"/>
        <v/>
      </c>
      <c r="O761" s="26"/>
      <c r="P761" s="18"/>
      <c r="Q761" s="19"/>
      <c r="R761" s="23" t="str">
        <f t="shared" si="90"/>
        <v/>
      </c>
      <c r="S761" s="22" t="str">
        <f ca="1">IF(A761="","",IF(OR(P761="Pagada",R761=0),"Pagada",IF(O761&lt;TODAY(),"Vencida",IF(O761&lt;=TODAY()+Inicio!$B$19,"Próxima a vencer","Vigente"))))</f>
        <v/>
      </c>
      <c r="T761" s="18"/>
      <c r="U761" s="37" t="str">
        <f t="shared" si="91"/>
        <v/>
      </c>
      <c r="V761" s="37" t="str">
        <f t="shared" si="92"/>
        <v/>
      </c>
      <c r="W761" s="37" t="str">
        <f t="shared" si="93"/>
        <v/>
      </c>
      <c r="X761" s="37" t="str">
        <f t="shared" si="94"/>
        <v/>
      </c>
      <c r="Y761" s="37" t="str">
        <f>IF(OR($H761="",$J761=""),"",$J761*IFERROR(VLOOKUP($H761,Maestro_SKU!$A$2:$P$500,12,FALSE),1))</f>
        <v/>
      </c>
      <c r="Z761" s="37" t="str">
        <f t="shared" ca="1" si="95"/>
        <v/>
      </c>
    </row>
    <row r="762" spans="1:26" x14ac:dyDescent="0.35">
      <c r="A762" s="18"/>
      <c r="B762" s="26"/>
      <c r="C762" s="18"/>
      <c r="D762" s="18"/>
      <c r="E762" s="22" t="str">
        <f>IFERROR(VLOOKUP(D762,Clientes_PDV!$A$2:$J$250,2,FALSE),"")</f>
        <v/>
      </c>
      <c r="F762" s="22" t="str">
        <f>IFERROR(VLOOKUP(D762,Clientes_PDV!$A$2:$J$250,3,FALSE),"")</f>
        <v/>
      </c>
      <c r="G762" s="22" t="str">
        <f>IFERROR(VLOOKUP(D762,Clientes_PDV!$A$2:$J$250,4,FALSE),"")</f>
        <v/>
      </c>
      <c r="H762" s="18"/>
      <c r="I762" s="22" t="str">
        <f>IFERROR(VLOOKUP(H762,Maestro_SKU!$A$2:$P$500,2,FALSE),"")</f>
        <v/>
      </c>
      <c r="J762" s="27"/>
      <c r="K762" s="19"/>
      <c r="L762" s="23" t="str">
        <f t="shared" si="88"/>
        <v/>
      </c>
      <c r="M762" s="23" t="str">
        <f>IF(L762="","",L762*Inicio!$B$13)</f>
        <v/>
      </c>
      <c r="N762" s="23" t="str">
        <f t="shared" si="89"/>
        <v/>
      </c>
      <c r="O762" s="26"/>
      <c r="P762" s="18"/>
      <c r="Q762" s="19"/>
      <c r="R762" s="23" t="str">
        <f t="shared" si="90"/>
        <v/>
      </c>
      <c r="S762" s="22" t="str">
        <f ca="1">IF(A762="","",IF(OR(P762="Pagada",R762=0),"Pagada",IF(O762&lt;TODAY(),"Vencida",IF(O762&lt;=TODAY()+Inicio!$B$19,"Próxima a vencer","Vigente"))))</f>
        <v/>
      </c>
      <c r="T762" s="18"/>
      <c r="U762" s="37" t="str">
        <f t="shared" si="91"/>
        <v/>
      </c>
      <c r="V762" s="37" t="str">
        <f t="shared" si="92"/>
        <v/>
      </c>
      <c r="W762" s="37" t="str">
        <f t="shared" si="93"/>
        <v/>
      </c>
      <c r="X762" s="37" t="str">
        <f t="shared" si="94"/>
        <v/>
      </c>
      <c r="Y762" s="37" t="str">
        <f>IF(OR($H762="",$J762=""),"",$J762*IFERROR(VLOOKUP($H762,Maestro_SKU!$A$2:$P$500,12,FALSE),1))</f>
        <v/>
      </c>
      <c r="Z762" s="37" t="str">
        <f t="shared" ca="1" si="95"/>
        <v/>
      </c>
    </row>
    <row r="763" spans="1:26" x14ac:dyDescent="0.35">
      <c r="A763" s="18"/>
      <c r="B763" s="26"/>
      <c r="C763" s="18"/>
      <c r="D763" s="18"/>
      <c r="E763" s="22" t="str">
        <f>IFERROR(VLOOKUP(D763,Clientes_PDV!$A$2:$J$250,2,FALSE),"")</f>
        <v/>
      </c>
      <c r="F763" s="22" t="str">
        <f>IFERROR(VLOOKUP(D763,Clientes_PDV!$A$2:$J$250,3,FALSE),"")</f>
        <v/>
      </c>
      <c r="G763" s="22" t="str">
        <f>IFERROR(VLOOKUP(D763,Clientes_PDV!$A$2:$J$250,4,FALSE),"")</f>
        <v/>
      </c>
      <c r="H763" s="18"/>
      <c r="I763" s="22" t="str">
        <f>IFERROR(VLOOKUP(H763,Maestro_SKU!$A$2:$P$500,2,FALSE),"")</f>
        <v/>
      </c>
      <c r="J763" s="27"/>
      <c r="K763" s="19"/>
      <c r="L763" s="23" t="str">
        <f t="shared" si="88"/>
        <v/>
      </c>
      <c r="M763" s="23" t="str">
        <f>IF(L763="","",L763*Inicio!$B$13)</f>
        <v/>
      </c>
      <c r="N763" s="23" t="str">
        <f t="shared" si="89"/>
        <v/>
      </c>
      <c r="O763" s="26"/>
      <c r="P763" s="18"/>
      <c r="Q763" s="19"/>
      <c r="R763" s="23" t="str">
        <f t="shared" si="90"/>
        <v/>
      </c>
      <c r="S763" s="22" t="str">
        <f ca="1">IF(A763="","",IF(OR(P763="Pagada",R763=0),"Pagada",IF(O763&lt;TODAY(),"Vencida",IF(O763&lt;=TODAY()+Inicio!$B$19,"Próxima a vencer","Vigente"))))</f>
        <v/>
      </c>
      <c r="T763" s="18"/>
      <c r="U763" s="37" t="str">
        <f t="shared" si="91"/>
        <v/>
      </c>
      <c r="V763" s="37" t="str">
        <f t="shared" si="92"/>
        <v/>
      </c>
      <c r="W763" s="37" t="str">
        <f t="shared" si="93"/>
        <v/>
      </c>
      <c r="X763" s="37" t="str">
        <f t="shared" si="94"/>
        <v/>
      </c>
      <c r="Y763" s="37" t="str">
        <f>IF(OR($H763="",$J763=""),"",$J763*IFERROR(VLOOKUP($H763,Maestro_SKU!$A$2:$P$500,12,FALSE),1))</f>
        <v/>
      </c>
      <c r="Z763" s="37" t="str">
        <f t="shared" ca="1" si="95"/>
        <v/>
      </c>
    </row>
    <row r="764" spans="1:26" x14ac:dyDescent="0.35">
      <c r="A764" s="18"/>
      <c r="B764" s="26"/>
      <c r="C764" s="18"/>
      <c r="D764" s="18"/>
      <c r="E764" s="22" t="str">
        <f>IFERROR(VLOOKUP(D764,Clientes_PDV!$A$2:$J$250,2,FALSE),"")</f>
        <v/>
      </c>
      <c r="F764" s="22" t="str">
        <f>IFERROR(VLOOKUP(D764,Clientes_PDV!$A$2:$J$250,3,FALSE),"")</f>
        <v/>
      </c>
      <c r="G764" s="22" t="str">
        <f>IFERROR(VLOOKUP(D764,Clientes_PDV!$A$2:$J$250,4,FALSE),"")</f>
        <v/>
      </c>
      <c r="H764" s="18"/>
      <c r="I764" s="22" t="str">
        <f>IFERROR(VLOOKUP(H764,Maestro_SKU!$A$2:$P$500,2,FALSE),"")</f>
        <v/>
      </c>
      <c r="J764" s="27"/>
      <c r="K764" s="19"/>
      <c r="L764" s="23" t="str">
        <f t="shared" si="88"/>
        <v/>
      </c>
      <c r="M764" s="23" t="str">
        <f>IF(L764="","",L764*Inicio!$B$13)</f>
        <v/>
      </c>
      <c r="N764" s="23" t="str">
        <f t="shared" si="89"/>
        <v/>
      </c>
      <c r="O764" s="26"/>
      <c r="P764" s="18"/>
      <c r="Q764" s="19"/>
      <c r="R764" s="23" t="str">
        <f t="shared" si="90"/>
        <v/>
      </c>
      <c r="S764" s="22" t="str">
        <f ca="1">IF(A764="","",IF(OR(P764="Pagada",R764=0),"Pagada",IF(O764&lt;TODAY(),"Vencida",IF(O764&lt;=TODAY()+Inicio!$B$19,"Próxima a vencer","Vigente"))))</f>
        <v/>
      </c>
      <c r="T764" s="18"/>
      <c r="U764" s="37" t="str">
        <f t="shared" si="91"/>
        <v/>
      </c>
      <c r="V764" s="37" t="str">
        <f t="shared" si="92"/>
        <v/>
      </c>
      <c r="W764" s="37" t="str">
        <f t="shared" si="93"/>
        <v/>
      </c>
      <c r="X764" s="37" t="str">
        <f t="shared" si="94"/>
        <v/>
      </c>
      <c r="Y764" s="37" t="str">
        <f>IF(OR($H764="",$J764=""),"",$J764*IFERROR(VLOOKUP($H764,Maestro_SKU!$A$2:$P$500,12,FALSE),1))</f>
        <v/>
      </c>
      <c r="Z764" s="37" t="str">
        <f t="shared" ca="1" si="95"/>
        <v/>
      </c>
    </row>
    <row r="765" spans="1:26" x14ac:dyDescent="0.35">
      <c r="A765" s="18"/>
      <c r="B765" s="26"/>
      <c r="C765" s="18"/>
      <c r="D765" s="18"/>
      <c r="E765" s="22" t="str">
        <f>IFERROR(VLOOKUP(D765,Clientes_PDV!$A$2:$J$250,2,FALSE),"")</f>
        <v/>
      </c>
      <c r="F765" s="22" t="str">
        <f>IFERROR(VLOOKUP(D765,Clientes_PDV!$A$2:$J$250,3,FALSE),"")</f>
        <v/>
      </c>
      <c r="G765" s="22" t="str">
        <f>IFERROR(VLOOKUP(D765,Clientes_PDV!$A$2:$J$250,4,FALSE),"")</f>
        <v/>
      </c>
      <c r="H765" s="18"/>
      <c r="I765" s="22" t="str">
        <f>IFERROR(VLOOKUP(H765,Maestro_SKU!$A$2:$P$500,2,FALSE),"")</f>
        <v/>
      </c>
      <c r="J765" s="27"/>
      <c r="K765" s="19"/>
      <c r="L765" s="23" t="str">
        <f t="shared" si="88"/>
        <v/>
      </c>
      <c r="M765" s="23" t="str">
        <f>IF(L765="","",L765*Inicio!$B$13)</f>
        <v/>
      </c>
      <c r="N765" s="23" t="str">
        <f t="shared" si="89"/>
        <v/>
      </c>
      <c r="O765" s="26"/>
      <c r="P765" s="18"/>
      <c r="Q765" s="19"/>
      <c r="R765" s="23" t="str">
        <f t="shared" si="90"/>
        <v/>
      </c>
      <c r="S765" s="22" t="str">
        <f ca="1">IF(A765="","",IF(OR(P765="Pagada",R765=0),"Pagada",IF(O765&lt;TODAY(),"Vencida",IF(O765&lt;=TODAY()+Inicio!$B$19,"Próxima a vencer","Vigente"))))</f>
        <v/>
      </c>
      <c r="T765" s="18"/>
      <c r="U765" s="37" t="str">
        <f t="shared" si="91"/>
        <v/>
      </c>
      <c r="V765" s="37" t="str">
        <f t="shared" si="92"/>
        <v/>
      </c>
      <c r="W765" s="37" t="str">
        <f t="shared" si="93"/>
        <v/>
      </c>
      <c r="X765" s="37" t="str">
        <f t="shared" si="94"/>
        <v/>
      </c>
      <c r="Y765" s="37" t="str">
        <f>IF(OR($H765="",$J765=""),"",$J765*IFERROR(VLOOKUP($H765,Maestro_SKU!$A$2:$P$500,12,FALSE),1))</f>
        <v/>
      </c>
      <c r="Z765" s="37" t="str">
        <f t="shared" ca="1" si="95"/>
        <v/>
      </c>
    </row>
    <row r="766" spans="1:26" x14ac:dyDescent="0.35">
      <c r="A766" s="18"/>
      <c r="B766" s="26"/>
      <c r="C766" s="18"/>
      <c r="D766" s="18"/>
      <c r="E766" s="22" t="str">
        <f>IFERROR(VLOOKUP(D766,Clientes_PDV!$A$2:$J$250,2,FALSE),"")</f>
        <v/>
      </c>
      <c r="F766" s="22" t="str">
        <f>IFERROR(VLOOKUP(D766,Clientes_PDV!$A$2:$J$250,3,FALSE),"")</f>
        <v/>
      </c>
      <c r="G766" s="22" t="str">
        <f>IFERROR(VLOOKUP(D766,Clientes_PDV!$A$2:$J$250,4,FALSE),"")</f>
        <v/>
      </c>
      <c r="H766" s="18"/>
      <c r="I766" s="22" t="str">
        <f>IFERROR(VLOOKUP(H766,Maestro_SKU!$A$2:$P$500,2,FALSE),"")</f>
        <v/>
      </c>
      <c r="J766" s="27"/>
      <c r="K766" s="19"/>
      <c r="L766" s="23" t="str">
        <f t="shared" si="88"/>
        <v/>
      </c>
      <c r="M766" s="23" t="str">
        <f>IF(L766="","",L766*Inicio!$B$13)</f>
        <v/>
      </c>
      <c r="N766" s="23" t="str">
        <f t="shared" si="89"/>
        <v/>
      </c>
      <c r="O766" s="26"/>
      <c r="P766" s="18"/>
      <c r="Q766" s="19"/>
      <c r="R766" s="23" t="str">
        <f t="shared" si="90"/>
        <v/>
      </c>
      <c r="S766" s="22" t="str">
        <f ca="1">IF(A766="","",IF(OR(P766="Pagada",R766=0),"Pagada",IF(O766&lt;TODAY(),"Vencida",IF(O766&lt;=TODAY()+Inicio!$B$19,"Próxima a vencer","Vigente"))))</f>
        <v/>
      </c>
      <c r="T766" s="18"/>
      <c r="U766" s="37" t="str">
        <f t="shared" si="91"/>
        <v/>
      </c>
      <c r="V766" s="37" t="str">
        <f t="shared" si="92"/>
        <v/>
      </c>
      <c r="W766" s="37" t="str">
        <f t="shared" si="93"/>
        <v/>
      </c>
      <c r="X766" s="37" t="str">
        <f t="shared" si="94"/>
        <v/>
      </c>
      <c r="Y766" s="37" t="str">
        <f>IF(OR($H766="",$J766=""),"",$J766*IFERROR(VLOOKUP($H766,Maestro_SKU!$A$2:$P$500,12,FALSE),1))</f>
        <v/>
      </c>
      <c r="Z766" s="37" t="str">
        <f t="shared" ca="1" si="95"/>
        <v/>
      </c>
    </row>
    <row r="767" spans="1:26" x14ac:dyDescent="0.35">
      <c r="A767" s="18"/>
      <c r="B767" s="26"/>
      <c r="C767" s="18"/>
      <c r="D767" s="18"/>
      <c r="E767" s="22" t="str">
        <f>IFERROR(VLOOKUP(D767,Clientes_PDV!$A$2:$J$250,2,FALSE),"")</f>
        <v/>
      </c>
      <c r="F767" s="22" t="str">
        <f>IFERROR(VLOOKUP(D767,Clientes_PDV!$A$2:$J$250,3,FALSE),"")</f>
        <v/>
      </c>
      <c r="G767" s="22" t="str">
        <f>IFERROR(VLOOKUP(D767,Clientes_PDV!$A$2:$J$250,4,FALSE),"")</f>
        <v/>
      </c>
      <c r="H767" s="18"/>
      <c r="I767" s="22" t="str">
        <f>IFERROR(VLOOKUP(H767,Maestro_SKU!$A$2:$P$500,2,FALSE),"")</f>
        <v/>
      </c>
      <c r="J767" s="27"/>
      <c r="K767" s="19"/>
      <c r="L767" s="23" t="str">
        <f t="shared" si="88"/>
        <v/>
      </c>
      <c r="M767" s="23" t="str">
        <f>IF(L767="","",L767*Inicio!$B$13)</f>
        <v/>
      </c>
      <c r="N767" s="23" t="str">
        <f t="shared" si="89"/>
        <v/>
      </c>
      <c r="O767" s="26"/>
      <c r="P767" s="18"/>
      <c r="Q767" s="19"/>
      <c r="R767" s="23" t="str">
        <f t="shared" si="90"/>
        <v/>
      </c>
      <c r="S767" s="22" t="str">
        <f ca="1">IF(A767="","",IF(OR(P767="Pagada",R767=0),"Pagada",IF(O767&lt;TODAY(),"Vencida",IF(O767&lt;=TODAY()+Inicio!$B$19,"Próxima a vencer","Vigente"))))</f>
        <v/>
      </c>
      <c r="T767" s="18"/>
      <c r="U767" s="37" t="str">
        <f t="shared" si="91"/>
        <v/>
      </c>
      <c r="V767" s="37" t="str">
        <f t="shared" si="92"/>
        <v/>
      </c>
      <c r="W767" s="37" t="str">
        <f t="shared" si="93"/>
        <v/>
      </c>
      <c r="X767" s="37" t="str">
        <f t="shared" si="94"/>
        <v/>
      </c>
      <c r="Y767" s="37" t="str">
        <f>IF(OR($H767="",$J767=""),"",$J767*IFERROR(VLOOKUP($H767,Maestro_SKU!$A$2:$P$500,12,FALSE),1))</f>
        <v/>
      </c>
      <c r="Z767" s="37" t="str">
        <f t="shared" ca="1" si="95"/>
        <v/>
      </c>
    </row>
    <row r="768" spans="1:26" x14ac:dyDescent="0.35">
      <c r="A768" s="18"/>
      <c r="B768" s="26"/>
      <c r="C768" s="18"/>
      <c r="D768" s="18"/>
      <c r="E768" s="22" t="str">
        <f>IFERROR(VLOOKUP(D768,Clientes_PDV!$A$2:$J$250,2,FALSE),"")</f>
        <v/>
      </c>
      <c r="F768" s="22" t="str">
        <f>IFERROR(VLOOKUP(D768,Clientes_PDV!$A$2:$J$250,3,FALSE),"")</f>
        <v/>
      </c>
      <c r="G768" s="22" t="str">
        <f>IFERROR(VLOOKUP(D768,Clientes_PDV!$A$2:$J$250,4,FALSE),"")</f>
        <v/>
      </c>
      <c r="H768" s="18"/>
      <c r="I768" s="22" t="str">
        <f>IFERROR(VLOOKUP(H768,Maestro_SKU!$A$2:$P$500,2,FALSE),"")</f>
        <v/>
      </c>
      <c r="J768" s="27"/>
      <c r="K768" s="19"/>
      <c r="L768" s="23" t="str">
        <f t="shared" si="88"/>
        <v/>
      </c>
      <c r="M768" s="23" t="str">
        <f>IF(L768="","",L768*Inicio!$B$13)</f>
        <v/>
      </c>
      <c r="N768" s="23" t="str">
        <f t="shared" si="89"/>
        <v/>
      </c>
      <c r="O768" s="26"/>
      <c r="P768" s="18"/>
      <c r="Q768" s="19"/>
      <c r="R768" s="23" t="str">
        <f t="shared" si="90"/>
        <v/>
      </c>
      <c r="S768" s="22" t="str">
        <f ca="1">IF(A768="","",IF(OR(P768="Pagada",R768=0),"Pagada",IF(O768&lt;TODAY(),"Vencida",IF(O768&lt;=TODAY()+Inicio!$B$19,"Próxima a vencer","Vigente"))))</f>
        <v/>
      </c>
      <c r="T768" s="18"/>
      <c r="U768" s="37" t="str">
        <f t="shared" si="91"/>
        <v/>
      </c>
      <c r="V768" s="37" t="str">
        <f t="shared" si="92"/>
        <v/>
      </c>
      <c r="W768" s="37" t="str">
        <f t="shared" si="93"/>
        <v/>
      </c>
      <c r="X768" s="37" t="str">
        <f t="shared" si="94"/>
        <v/>
      </c>
      <c r="Y768" s="37" t="str">
        <f>IF(OR($H768="",$J768=""),"",$J768*IFERROR(VLOOKUP($H768,Maestro_SKU!$A$2:$P$500,12,FALSE),1))</f>
        <v/>
      </c>
      <c r="Z768" s="37" t="str">
        <f t="shared" ca="1" si="95"/>
        <v/>
      </c>
    </row>
    <row r="769" spans="1:26" x14ac:dyDescent="0.35">
      <c r="A769" s="18"/>
      <c r="B769" s="26"/>
      <c r="C769" s="18"/>
      <c r="D769" s="18"/>
      <c r="E769" s="22" t="str">
        <f>IFERROR(VLOOKUP(D769,Clientes_PDV!$A$2:$J$250,2,FALSE),"")</f>
        <v/>
      </c>
      <c r="F769" s="22" t="str">
        <f>IFERROR(VLOOKUP(D769,Clientes_PDV!$A$2:$J$250,3,FALSE),"")</f>
        <v/>
      </c>
      <c r="G769" s="22" t="str">
        <f>IFERROR(VLOOKUP(D769,Clientes_PDV!$A$2:$J$250,4,FALSE),"")</f>
        <v/>
      </c>
      <c r="H769" s="18"/>
      <c r="I769" s="22" t="str">
        <f>IFERROR(VLOOKUP(H769,Maestro_SKU!$A$2:$P$500,2,FALSE),"")</f>
        <v/>
      </c>
      <c r="J769" s="27"/>
      <c r="K769" s="19"/>
      <c r="L769" s="23" t="str">
        <f t="shared" si="88"/>
        <v/>
      </c>
      <c r="M769" s="23" t="str">
        <f>IF(L769="","",L769*Inicio!$B$13)</f>
        <v/>
      </c>
      <c r="N769" s="23" t="str">
        <f t="shared" si="89"/>
        <v/>
      </c>
      <c r="O769" s="26"/>
      <c r="P769" s="18"/>
      <c r="Q769" s="19"/>
      <c r="R769" s="23" t="str">
        <f t="shared" si="90"/>
        <v/>
      </c>
      <c r="S769" s="22" t="str">
        <f ca="1">IF(A769="","",IF(OR(P769="Pagada",R769=0),"Pagada",IF(O769&lt;TODAY(),"Vencida",IF(O769&lt;=TODAY()+Inicio!$B$19,"Próxima a vencer","Vigente"))))</f>
        <v/>
      </c>
      <c r="T769" s="18"/>
      <c r="U769" s="37" t="str">
        <f t="shared" si="91"/>
        <v/>
      </c>
      <c r="V769" s="37" t="str">
        <f t="shared" si="92"/>
        <v/>
      </c>
      <c r="W769" s="37" t="str">
        <f t="shared" si="93"/>
        <v/>
      </c>
      <c r="X769" s="37" t="str">
        <f t="shared" si="94"/>
        <v/>
      </c>
      <c r="Y769" s="37" t="str">
        <f>IF(OR($H769="",$J769=""),"",$J769*IFERROR(VLOOKUP($H769,Maestro_SKU!$A$2:$P$500,12,FALSE),1))</f>
        <v/>
      </c>
      <c r="Z769" s="37" t="str">
        <f t="shared" ca="1" si="95"/>
        <v/>
      </c>
    </row>
    <row r="770" spans="1:26" x14ac:dyDescent="0.35">
      <c r="A770" s="18"/>
      <c r="B770" s="26"/>
      <c r="C770" s="18"/>
      <c r="D770" s="18"/>
      <c r="E770" s="22" t="str">
        <f>IFERROR(VLOOKUP(D770,Clientes_PDV!$A$2:$J$250,2,FALSE),"")</f>
        <v/>
      </c>
      <c r="F770" s="22" t="str">
        <f>IFERROR(VLOOKUP(D770,Clientes_PDV!$A$2:$J$250,3,FALSE),"")</f>
        <v/>
      </c>
      <c r="G770" s="22" t="str">
        <f>IFERROR(VLOOKUP(D770,Clientes_PDV!$A$2:$J$250,4,FALSE),"")</f>
        <v/>
      </c>
      <c r="H770" s="18"/>
      <c r="I770" s="22" t="str">
        <f>IFERROR(VLOOKUP(H770,Maestro_SKU!$A$2:$P$500,2,FALSE),"")</f>
        <v/>
      </c>
      <c r="J770" s="27"/>
      <c r="K770" s="19"/>
      <c r="L770" s="23" t="str">
        <f t="shared" ref="L770:L800" si="96">IF(OR(J770="",K770=""),"",J770*K770)</f>
        <v/>
      </c>
      <c r="M770" s="23" t="str">
        <f>IF(L770="","",L770*Inicio!$B$13)</f>
        <v/>
      </c>
      <c r="N770" s="23" t="str">
        <f t="shared" ref="N770:N800" si="97">IF(L770="","",L770+M770)</f>
        <v/>
      </c>
      <c r="O770" s="26"/>
      <c r="P770" s="18"/>
      <c r="Q770" s="19"/>
      <c r="R770" s="23" t="str">
        <f t="shared" ref="R770:R800" si="98">IF(N770="","",MAX(N770-Q770,0))</f>
        <v/>
      </c>
      <c r="S770" s="22" t="str">
        <f ca="1">IF(A770="","",IF(OR(P770="Pagada",R770=0),"Pagada",IF(O770&lt;TODAY(),"Vencida",IF(O770&lt;=TODAY()+Inicio!$B$19,"Próxima a vencer","Vigente"))))</f>
        <v/>
      </c>
      <c r="T770" s="18"/>
      <c r="U770" s="37" t="str">
        <f t="shared" ref="U770:U800" si="99">IF($B770="","",YEAR($B770))</f>
        <v/>
      </c>
      <c r="V770" s="37" t="str">
        <f t="shared" ref="V770:V800" si="100">IF($B770="","",MONTH($B770))</f>
        <v/>
      </c>
      <c r="W770" s="37" t="str">
        <f t="shared" ref="W770:W800" si="101">IF($B770="","",DAY($B770))</f>
        <v/>
      </c>
      <c r="X770" s="37" t="str">
        <f t="shared" ref="X770:X800" si="102">IF($B770="","",YEAR($B770)&amp;"-"&amp;TEXT(MONTH($B770),"00"))</f>
        <v/>
      </c>
      <c r="Y770" s="37" t="str">
        <f>IF(OR($H770="",$J770=""),"",$J770*IFERROR(VLOOKUP($H770,Maestro_SKU!$A$2:$P$500,12,FALSE),1))</f>
        <v/>
      </c>
      <c r="Z770" s="37" t="str">
        <f t="shared" ref="Z770:Z800" ca="1" si="103">IF(OR($A770="",$O770="",$S770="Pagada"),"",$O770-TODAY())</f>
        <v/>
      </c>
    </row>
    <row r="771" spans="1:26" x14ac:dyDescent="0.35">
      <c r="A771" s="18"/>
      <c r="B771" s="26"/>
      <c r="C771" s="18"/>
      <c r="D771" s="18"/>
      <c r="E771" s="22" t="str">
        <f>IFERROR(VLOOKUP(D771,Clientes_PDV!$A$2:$J$250,2,FALSE),"")</f>
        <v/>
      </c>
      <c r="F771" s="22" t="str">
        <f>IFERROR(VLOOKUP(D771,Clientes_PDV!$A$2:$J$250,3,FALSE),"")</f>
        <v/>
      </c>
      <c r="G771" s="22" t="str">
        <f>IFERROR(VLOOKUP(D771,Clientes_PDV!$A$2:$J$250,4,FALSE),"")</f>
        <v/>
      </c>
      <c r="H771" s="18"/>
      <c r="I771" s="22" t="str">
        <f>IFERROR(VLOOKUP(H771,Maestro_SKU!$A$2:$P$500,2,FALSE),"")</f>
        <v/>
      </c>
      <c r="J771" s="27"/>
      <c r="K771" s="19"/>
      <c r="L771" s="23" t="str">
        <f t="shared" si="96"/>
        <v/>
      </c>
      <c r="M771" s="23" t="str">
        <f>IF(L771="","",L771*Inicio!$B$13)</f>
        <v/>
      </c>
      <c r="N771" s="23" t="str">
        <f t="shared" si="97"/>
        <v/>
      </c>
      <c r="O771" s="26"/>
      <c r="P771" s="18"/>
      <c r="Q771" s="19"/>
      <c r="R771" s="23" t="str">
        <f t="shared" si="98"/>
        <v/>
      </c>
      <c r="S771" s="22" t="str">
        <f ca="1">IF(A771="","",IF(OR(P771="Pagada",R771=0),"Pagada",IF(O771&lt;TODAY(),"Vencida",IF(O771&lt;=TODAY()+Inicio!$B$19,"Próxima a vencer","Vigente"))))</f>
        <v/>
      </c>
      <c r="T771" s="18"/>
      <c r="U771" s="37" t="str">
        <f t="shared" si="99"/>
        <v/>
      </c>
      <c r="V771" s="37" t="str">
        <f t="shared" si="100"/>
        <v/>
      </c>
      <c r="W771" s="37" t="str">
        <f t="shared" si="101"/>
        <v/>
      </c>
      <c r="X771" s="37" t="str">
        <f t="shared" si="102"/>
        <v/>
      </c>
      <c r="Y771" s="37" t="str">
        <f>IF(OR($H771="",$J771=""),"",$J771*IFERROR(VLOOKUP($H771,Maestro_SKU!$A$2:$P$500,12,FALSE),1))</f>
        <v/>
      </c>
      <c r="Z771" s="37" t="str">
        <f t="shared" ca="1" si="103"/>
        <v/>
      </c>
    </row>
    <row r="772" spans="1:26" x14ac:dyDescent="0.35">
      <c r="A772" s="18"/>
      <c r="B772" s="26"/>
      <c r="C772" s="18"/>
      <c r="D772" s="18"/>
      <c r="E772" s="22" t="str">
        <f>IFERROR(VLOOKUP(D772,Clientes_PDV!$A$2:$J$250,2,FALSE),"")</f>
        <v/>
      </c>
      <c r="F772" s="22" t="str">
        <f>IFERROR(VLOOKUP(D772,Clientes_PDV!$A$2:$J$250,3,FALSE),"")</f>
        <v/>
      </c>
      <c r="G772" s="22" t="str">
        <f>IFERROR(VLOOKUP(D772,Clientes_PDV!$A$2:$J$250,4,FALSE),"")</f>
        <v/>
      </c>
      <c r="H772" s="18"/>
      <c r="I772" s="22" t="str">
        <f>IFERROR(VLOOKUP(H772,Maestro_SKU!$A$2:$P$500,2,FALSE),"")</f>
        <v/>
      </c>
      <c r="J772" s="27"/>
      <c r="K772" s="19"/>
      <c r="L772" s="23" t="str">
        <f t="shared" si="96"/>
        <v/>
      </c>
      <c r="M772" s="23" t="str">
        <f>IF(L772="","",L772*Inicio!$B$13)</f>
        <v/>
      </c>
      <c r="N772" s="23" t="str">
        <f t="shared" si="97"/>
        <v/>
      </c>
      <c r="O772" s="26"/>
      <c r="P772" s="18"/>
      <c r="Q772" s="19"/>
      <c r="R772" s="23" t="str">
        <f t="shared" si="98"/>
        <v/>
      </c>
      <c r="S772" s="22" t="str">
        <f ca="1">IF(A772="","",IF(OR(P772="Pagada",R772=0),"Pagada",IF(O772&lt;TODAY(),"Vencida",IF(O772&lt;=TODAY()+Inicio!$B$19,"Próxima a vencer","Vigente"))))</f>
        <v/>
      </c>
      <c r="T772" s="18"/>
      <c r="U772" s="37" t="str">
        <f t="shared" si="99"/>
        <v/>
      </c>
      <c r="V772" s="37" t="str">
        <f t="shared" si="100"/>
        <v/>
      </c>
      <c r="W772" s="37" t="str">
        <f t="shared" si="101"/>
        <v/>
      </c>
      <c r="X772" s="37" t="str">
        <f t="shared" si="102"/>
        <v/>
      </c>
      <c r="Y772" s="37" t="str">
        <f>IF(OR($H772="",$J772=""),"",$J772*IFERROR(VLOOKUP($H772,Maestro_SKU!$A$2:$P$500,12,FALSE),1))</f>
        <v/>
      </c>
      <c r="Z772" s="37" t="str">
        <f t="shared" ca="1" si="103"/>
        <v/>
      </c>
    </row>
    <row r="773" spans="1:26" x14ac:dyDescent="0.35">
      <c r="A773" s="18"/>
      <c r="B773" s="26"/>
      <c r="C773" s="18"/>
      <c r="D773" s="18"/>
      <c r="E773" s="22" t="str">
        <f>IFERROR(VLOOKUP(D773,Clientes_PDV!$A$2:$J$250,2,FALSE),"")</f>
        <v/>
      </c>
      <c r="F773" s="22" t="str">
        <f>IFERROR(VLOOKUP(D773,Clientes_PDV!$A$2:$J$250,3,FALSE),"")</f>
        <v/>
      </c>
      <c r="G773" s="22" t="str">
        <f>IFERROR(VLOOKUP(D773,Clientes_PDV!$A$2:$J$250,4,FALSE),"")</f>
        <v/>
      </c>
      <c r="H773" s="18"/>
      <c r="I773" s="22" t="str">
        <f>IFERROR(VLOOKUP(H773,Maestro_SKU!$A$2:$P$500,2,FALSE),"")</f>
        <v/>
      </c>
      <c r="J773" s="27"/>
      <c r="K773" s="19"/>
      <c r="L773" s="23" t="str">
        <f t="shared" si="96"/>
        <v/>
      </c>
      <c r="M773" s="23" t="str">
        <f>IF(L773="","",L773*Inicio!$B$13)</f>
        <v/>
      </c>
      <c r="N773" s="23" t="str">
        <f t="shared" si="97"/>
        <v/>
      </c>
      <c r="O773" s="26"/>
      <c r="P773" s="18"/>
      <c r="Q773" s="19"/>
      <c r="R773" s="23" t="str">
        <f t="shared" si="98"/>
        <v/>
      </c>
      <c r="S773" s="22" t="str">
        <f ca="1">IF(A773="","",IF(OR(P773="Pagada",R773=0),"Pagada",IF(O773&lt;TODAY(),"Vencida",IF(O773&lt;=TODAY()+Inicio!$B$19,"Próxima a vencer","Vigente"))))</f>
        <v/>
      </c>
      <c r="T773" s="18"/>
      <c r="U773" s="37" t="str">
        <f t="shared" si="99"/>
        <v/>
      </c>
      <c r="V773" s="37" t="str">
        <f t="shared" si="100"/>
        <v/>
      </c>
      <c r="W773" s="37" t="str">
        <f t="shared" si="101"/>
        <v/>
      </c>
      <c r="X773" s="37" t="str">
        <f t="shared" si="102"/>
        <v/>
      </c>
      <c r="Y773" s="37" t="str">
        <f>IF(OR($H773="",$J773=""),"",$J773*IFERROR(VLOOKUP($H773,Maestro_SKU!$A$2:$P$500,12,FALSE),1))</f>
        <v/>
      </c>
      <c r="Z773" s="37" t="str">
        <f t="shared" ca="1" si="103"/>
        <v/>
      </c>
    </row>
    <row r="774" spans="1:26" x14ac:dyDescent="0.35">
      <c r="A774" s="18"/>
      <c r="B774" s="26"/>
      <c r="C774" s="18"/>
      <c r="D774" s="18"/>
      <c r="E774" s="22" t="str">
        <f>IFERROR(VLOOKUP(D774,Clientes_PDV!$A$2:$J$250,2,FALSE),"")</f>
        <v/>
      </c>
      <c r="F774" s="22" t="str">
        <f>IFERROR(VLOOKUP(D774,Clientes_PDV!$A$2:$J$250,3,FALSE),"")</f>
        <v/>
      </c>
      <c r="G774" s="22" t="str">
        <f>IFERROR(VLOOKUP(D774,Clientes_PDV!$A$2:$J$250,4,FALSE),"")</f>
        <v/>
      </c>
      <c r="H774" s="18"/>
      <c r="I774" s="22" t="str">
        <f>IFERROR(VLOOKUP(H774,Maestro_SKU!$A$2:$P$500,2,FALSE),"")</f>
        <v/>
      </c>
      <c r="J774" s="27"/>
      <c r="K774" s="19"/>
      <c r="L774" s="23" t="str">
        <f t="shared" si="96"/>
        <v/>
      </c>
      <c r="M774" s="23" t="str">
        <f>IF(L774="","",L774*Inicio!$B$13)</f>
        <v/>
      </c>
      <c r="N774" s="23" t="str">
        <f t="shared" si="97"/>
        <v/>
      </c>
      <c r="O774" s="26"/>
      <c r="P774" s="18"/>
      <c r="Q774" s="19"/>
      <c r="R774" s="23" t="str">
        <f t="shared" si="98"/>
        <v/>
      </c>
      <c r="S774" s="22" t="str">
        <f ca="1">IF(A774="","",IF(OR(P774="Pagada",R774=0),"Pagada",IF(O774&lt;TODAY(),"Vencida",IF(O774&lt;=TODAY()+Inicio!$B$19,"Próxima a vencer","Vigente"))))</f>
        <v/>
      </c>
      <c r="T774" s="18"/>
      <c r="U774" s="37" t="str">
        <f t="shared" si="99"/>
        <v/>
      </c>
      <c r="V774" s="37" t="str">
        <f t="shared" si="100"/>
        <v/>
      </c>
      <c r="W774" s="37" t="str">
        <f t="shared" si="101"/>
        <v/>
      </c>
      <c r="X774" s="37" t="str">
        <f t="shared" si="102"/>
        <v/>
      </c>
      <c r="Y774" s="37" t="str">
        <f>IF(OR($H774="",$J774=""),"",$J774*IFERROR(VLOOKUP($H774,Maestro_SKU!$A$2:$P$500,12,FALSE),1))</f>
        <v/>
      </c>
      <c r="Z774" s="37" t="str">
        <f t="shared" ca="1" si="103"/>
        <v/>
      </c>
    </row>
    <row r="775" spans="1:26" x14ac:dyDescent="0.35">
      <c r="A775" s="18"/>
      <c r="B775" s="26"/>
      <c r="C775" s="18"/>
      <c r="D775" s="18"/>
      <c r="E775" s="22" t="str">
        <f>IFERROR(VLOOKUP(D775,Clientes_PDV!$A$2:$J$250,2,FALSE),"")</f>
        <v/>
      </c>
      <c r="F775" s="22" t="str">
        <f>IFERROR(VLOOKUP(D775,Clientes_PDV!$A$2:$J$250,3,FALSE),"")</f>
        <v/>
      </c>
      <c r="G775" s="22" t="str">
        <f>IFERROR(VLOOKUP(D775,Clientes_PDV!$A$2:$J$250,4,FALSE),"")</f>
        <v/>
      </c>
      <c r="H775" s="18"/>
      <c r="I775" s="22" t="str">
        <f>IFERROR(VLOOKUP(H775,Maestro_SKU!$A$2:$P$500,2,FALSE),"")</f>
        <v/>
      </c>
      <c r="J775" s="27"/>
      <c r="K775" s="19"/>
      <c r="L775" s="23" t="str">
        <f t="shared" si="96"/>
        <v/>
      </c>
      <c r="M775" s="23" t="str">
        <f>IF(L775="","",L775*Inicio!$B$13)</f>
        <v/>
      </c>
      <c r="N775" s="23" t="str">
        <f t="shared" si="97"/>
        <v/>
      </c>
      <c r="O775" s="26"/>
      <c r="P775" s="18"/>
      <c r="Q775" s="19"/>
      <c r="R775" s="23" t="str">
        <f t="shared" si="98"/>
        <v/>
      </c>
      <c r="S775" s="22" t="str">
        <f ca="1">IF(A775="","",IF(OR(P775="Pagada",R775=0),"Pagada",IF(O775&lt;TODAY(),"Vencida",IF(O775&lt;=TODAY()+Inicio!$B$19,"Próxima a vencer","Vigente"))))</f>
        <v/>
      </c>
      <c r="T775" s="18"/>
      <c r="U775" s="37" t="str">
        <f t="shared" si="99"/>
        <v/>
      </c>
      <c r="V775" s="37" t="str">
        <f t="shared" si="100"/>
        <v/>
      </c>
      <c r="W775" s="37" t="str">
        <f t="shared" si="101"/>
        <v/>
      </c>
      <c r="X775" s="37" t="str">
        <f t="shared" si="102"/>
        <v/>
      </c>
      <c r="Y775" s="37" t="str">
        <f>IF(OR($H775="",$J775=""),"",$J775*IFERROR(VLOOKUP($H775,Maestro_SKU!$A$2:$P$500,12,FALSE),1))</f>
        <v/>
      </c>
      <c r="Z775" s="37" t="str">
        <f t="shared" ca="1" si="103"/>
        <v/>
      </c>
    </row>
    <row r="776" spans="1:26" x14ac:dyDescent="0.35">
      <c r="A776" s="18"/>
      <c r="B776" s="26"/>
      <c r="C776" s="18"/>
      <c r="D776" s="18"/>
      <c r="E776" s="22" t="str">
        <f>IFERROR(VLOOKUP(D776,Clientes_PDV!$A$2:$J$250,2,FALSE),"")</f>
        <v/>
      </c>
      <c r="F776" s="22" t="str">
        <f>IFERROR(VLOOKUP(D776,Clientes_PDV!$A$2:$J$250,3,FALSE),"")</f>
        <v/>
      </c>
      <c r="G776" s="22" t="str">
        <f>IFERROR(VLOOKUP(D776,Clientes_PDV!$A$2:$J$250,4,FALSE),"")</f>
        <v/>
      </c>
      <c r="H776" s="18"/>
      <c r="I776" s="22" t="str">
        <f>IFERROR(VLOOKUP(H776,Maestro_SKU!$A$2:$P$500,2,FALSE),"")</f>
        <v/>
      </c>
      <c r="J776" s="27"/>
      <c r="K776" s="19"/>
      <c r="L776" s="23" t="str">
        <f t="shared" si="96"/>
        <v/>
      </c>
      <c r="M776" s="23" t="str">
        <f>IF(L776="","",L776*Inicio!$B$13)</f>
        <v/>
      </c>
      <c r="N776" s="23" t="str">
        <f t="shared" si="97"/>
        <v/>
      </c>
      <c r="O776" s="26"/>
      <c r="P776" s="18"/>
      <c r="Q776" s="19"/>
      <c r="R776" s="23" t="str">
        <f t="shared" si="98"/>
        <v/>
      </c>
      <c r="S776" s="22" t="str">
        <f ca="1">IF(A776="","",IF(OR(P776="Pagada",R776=0),"Pagada",IF(O776&lt;TODAY(),"Vencida",IF(O776&lt;=TODAY()+Inicio!$B$19,"Próxima a vencer","Vigente"))))</f>
        <v/>
      </c>
      <c r="T776" s="18"/>
      <c r="U776" s="37" t="str">
        <f t="shared" si="99"/>
        <v/>
      </c>
      <c r="V776" s="37" t="str">
        <f t="shared" si="100"/>
        <v/>
      </c>
      <c r="W776" s="37" t="str">
        <f t="shared" si="101"/>
        <v/>
      </c>
      <c r="X776" s="37" t="str">
        <f t="shared" si="102"/>
        <v/>
      </c>
      <c r="Y776" s="37" t="str">
        <f>IF(OR($H776="",$J776=""),"",$J776*IFERROR(VLOOKUP($H776,Maestro_SKU!$A$2:$P$500,12,FALSE),1))</f>
        <v/>
      </c>
      <c r="Z776" s="37" t="str">
        <f t="shared" ca="1" si="103"/>
        <v/>
      </c>
    </row>
    <row r="777" spans="1:26" x14ac:dyDescent="0.35">
      <c r="A777" s="18"/>
      <c r="B777" s="26"/>
      <c r="C777" s="18"/>
      <c r="D777" s="18"/>
      <c r="E777" s="22" t="str">
        <f>IFERROR(VLOOKUP(D777,Clientes_PDV!$A$2:$J$250,2,FALSE),"")</f>
        <v/>
      </c>
      <c r="F777" s="22" t="str">
        <f>IFERROR(VLOOKUP(D777,Clientes_PDV!$A$2:$J$250,3,FALSE),"")</f>
        <v/>
      </c>
      <c r="G777" s="22" t="str">
        <f>IFERROR(VLOOKUP(D777,Clientes_PDV!$A$2:$J$250,4,FALSE),"")</f>
        <v/>
      </c>
      <c r="H777" s="18"/>
      <c r="I777" s="22" t="str">
        <f>IFERROR(VLOOKUP(H777,Maestro_SKU!$A$2:$P$500,2,FALSE),"")</f>
        <v/>
      </c>
      <c r="J777" s="27"/>
      <c r="K777" s="19"/>
      <c r="L777" s="23" t="str">
        <f t="shared" si="96"/>
        <v/>
      </c>
      <c r="M777" s="23" t="str">
        <f>IF(L777="","",L777*Inicio!$B$13)</f>
        <v/>
      </c>
      <c r="N777" s="23" t="str">
        <f t="shared" si="97"/>
        <v/>
      </c>
      <c r="O777" s="26"/>
      <c r="P777" s="18"/>
      <c r="Q777" s="19"/>
      <c r="R777" s="23" t="str">
        <f t="shared" si="98"/>
        <v/>
      </c>
      <c r="S777" s="22" t="str">
        <f ca="1">IF(A777="","",IF(OR(P777="Pagada",R777=0),"Pagada",IF(O777&lt;TODAY(),"Vencida",IF(O777&lt;=TODAY()+Inicio!$B$19,"Próxima a vencer","Vigente"))))</f>
        <v/>
      </c>
      <c r="T777" s="18"/>
      <c r="U777" s="37" t="str">
        <f t="shared" si="99"/>
        <v/>
      </c>
      <c r="V777" s="37" t="str">
        <f t="shared" si="100"/>
        <v/>
      </c>
      <c r="W777" s="37" t="str">
        <f t="shared" si="101"/>
        <v/>
      </c>
      <c r="X777" s="37" t="str">
        <f t="shared" si="102"/>
        <v/>
      </c>
      <c r="Y777" s="37" t="str">
        <f>IF(OR($H777="",$J777=""),"",$J777*IFERROR(VLOOKUP($H777,Maestro_SKU!$A$2:$P$500,12,FALSE),1))</f>
        <v/>
      </c>
      <c r="Z777" s="37" t="str">
        <f t="shared" ca="1" si="103"/>
        <v/>
      </c>
    </row>
    <row r="778" spans="1:26" x14ac:dyDescent="0.35">
      <c r="A778" s="18"/>
      <c r="B778" s="26"/>
      <c r="C778" s="18"/>
      <c r="D778" s="18"/>
      <c r="E778" s="22" t="str">
        <f>IFERROR(VLOOKUP(D778,Clientes_PDV!$A$2:$J$250,2,FALSE),"")</f>
        <v/>
      </c>
      <c r="F778" s="22" t="str">
        <f>IFERROR(VLOOKUP(D778,Clientes_PDV!$A$2:$J$250,3,FALSE),"")</f>
        <v/>
      </c>
      <c r="G778" s="22" t="str">
        <f>IFERROR(VLOOKUP(D778,Clientes_PDV!$A$2:$J$250,4,FALSE),"")</f>
        <v/>
      </c>
      <c r="H778" s="18"/>
      <c r="I778" s="22" t="str">
        <f>IFERROR(VLOOKUP(H778,Maestro_SKU!$A$2:$P$500,2,FALSE),"")</f>
        <v/>
      </c>
      <c r="J778" s="27"/>
      <c r="K778" s="19"/>
      <c r="L778" s="23" t="str">
        <f t="shared" si="96"/>
        <v/>
      </c>
      <c r="M778" s="23" t="str">
        <f>IF(L778="","",L778*Inicio!$B$13)</f>
        <v/>
      </c>
      <c r="N778" s="23" t="str">
        <f t="shared" si="97"/>
        <v/>
      </c>
      <c r="O778" s="26"/>
      <c r="P778" s="18"/>
      <c r="Q778" s="19"/>
      <c r="R778" s="23" t="str">
        <f t="shared" si="98"/>
        <v/>
      </c>
      <c r="S778" s="22" t="str">
        <f ca="1">IF(A778="","",IF(OR(P778="Pagada",R778=0),"Pagada",IF(O778&lt;TODAY(),"Vencida",IF(O778&lt;=TODAY()+Inicio!$B$19,"Próxima a vencer","Vigente"))))</f>
        <v/>
      </c>
      <c r="T778" s="18"/>
      <c r="U778" s="37" t="str">
        <f t="shared" si="99"/>
        <v/>
      </c>
      <c r="V778" s="37" t="str">
        <f t="shared" si="100"/>
        <v/>
      </c>
      <c r="W778" s="37" t="str">
        <f t="shared" si="101"/>
        <v/>
      </c>
      <c r="X778" s="37" t="str">
        <f t="shared" si="102"/>
        <v/>
      </c>
      <c r="Y778" s="37" t="str">
        <f>IF(OR($H778="",$J778=""),"",$J778*IFERROR(VLOOKUP($H778,Maestro_SKU!$A$2:$P$500,12,FALSE),1))</f>
        <v/>
      </c>
      <c r="Z778" s="37" t="str">
        <f t="shared" ca="1" si="103"/>
        <v/>
      </c>
    </row>
    <row r="779" spans="1:26" x14ac:dyDescent="0.35">
      <c r="A779" s="18"/>
      <c r="B779" s="26"/>
      <c r="C779" s="18"/>
      <c r="D779" s="18"/>
      <c r="E779" s="22" t="str">
        <f>IFERROR(VLOOKUP(D779,Clientes_PDV!$A$2:$J$250,2,FALSE),"")</f>
        <v/>
      </c>
      <c r="F779" s="22" t="str">
        <f>IFERROR(VLOOKUP(D779,Clientes_PDV!$A$2:$J$250,3,FALSE),"")</f>
        <v/>
      </c>
      <c r="G779" s="22" t="str">
        <f>IFERROR(VLOOKUP(D779,Clientes_PDV!$A$2:$J$250,4,FALSE),"")</f>
        <v/>
      </c>
      <c r="H779" s="18"/>
      <c r="I779" s="22" t="str">
        <f>IFERROR(VLOOKUP(H779,Maestro_SKU!$A$2:$P$500,2,FALSE),"")</f>
        <v/>
      </c>
      <c r="J779" s="27"/>
      <c r="K779" s="19"/>
      <c r="L779" s="23" t="str">
        <f t="shared" si="96"/>
        <v/>
      </c>
      <c r="M779" s="23" t="str">
        <f>IF(L779="","",L779*Inicio!$B$13)</f>
        <v/>
      </c>
      <c r="N779" s="23" t="str">
        <f t="shared" si="97"/>
        <v/>
      </c>
      <c r="O779" s="26"/>
      <c r="P779" s="18"/>
      <c r="Q779" s="19"/>
      <c r="R779" s="23" t="str">
        <f t="shared" si="98"/>
        <v/>
      </c>
      <c r="S779" s="22" t="str">
        <f ca="1">IF(A779="","",IF(OR(P779="Pagada",R779=0),"Pagada",IF(O779&lt;TODAY(),"Vencida",IF(O779&lt;=TODAY()+Inicio!$B$19,"Próxima a vencer","Vigente"))))</f>
        <v/>
      </c>
      <c r="T779" s="18"/>
      <c r="U779" s="37" t="str">
        <f t="shared" si="99"/>
        <v/>
      </c>
      <c r="V779" s="37" t="str">
        <f t="shared" si="100"/>
        <v/>
      </c>
      <c r="W779" s="37" t="str">
        <f t="shared" si="101"/>
        <v/>
      </c>
      <c r="X779" s="37" t="str">
        <f t="shared" si="102"/>
        <v/>
      </c>
      <c r="Y779" s="37" t="str">
        <f>IF(OR($H779="",$J779=""),"",$J779*IFERROR(VLOOKUP($H779,Maestro_SKU!$A$2:$P$500,12,FALSE),1))</f>
        <v/>
      </c>
      <c r="Z779" s="37" t="str">
        <f t="shared" ca="1" si="103"/>
        <v/>
      </c>
    </row>
    <row r="780" spans="1:26" x14ac:dyDescent="0.35">
      <c r="A780" s="18"/>
      <c r="B780" s="26"/>
      <c r="C780" s="18"/>
      <c r="D780" s="18"/>
      <c r="E780" s="22" t="str">
        <f>IFERROR(VLOOKUP(D780,Clientes_PDV!$A$2:$J$250,2,FALSE),"")</f>
        <v/>
      </c>
      <c r="F780" s="22" t="str">
        <f>IFERROR(VLOOKUP(D780,Clientes_PDV!$A$2:$J$250,3,FALSE),"")</f>
        <v/>
      </c>
      <c r="G780" s="22" t="str">
        <f>IFERROR(VLOOKUP(D780,Clientes_PDV!$A$2:$J$250,4,FALSE),"")</f>
        <v/>
      </c>
      <c r="H780" s="18"/>
      <c r="I780" s="22" t="str">
        <f>IFERROR(VLOOKUP(H780,Maestro_SKU!$A$2:$P$500,2,FALSE),"")</f>
        <v/>
      </c>
      <c r="J780" s="27"/>
      <c r="K780" s="19"/>
      <c r="L780" s="23" t="str">
        <f t="shared" si="96"/>
        <v/>
      </c>
      <c r="M780" s="23" t="str">
        <f>IF(L780="","",L780*Inicio!$B$13)</f>
        <v/>
      </c>
      <c r="N780" s="23" t="str">
        <f t="shared" si="97"/>
        <v/>
      </c>
      <c r="O780" s="26"/>
      <c r="P780" s="18"/>
      <c r="Q780" s="19"/>
      <c r="R780" s="23" t="str">
        <f t="shared" si="98"/>
        <v/>
      </c>
      <c r="S780" s="22" t="str">
        <f ca="1">IF(A780="","",IF(OR(P780="Pagada",R780=0),"Pagada",IF(O780&lt;TODAY(),"Vencida",IF(O780&lt;=TODAY()+Inicio!$B$19,"Próxima a vencer","Vigente"))))</f>
        <v/>
      </c>
      <c r="T780" s="18"/>
      <c r="U780" s="37" t="str">
        <f t="shared" si="99"/>
        <v/>
      </c>
      <c r="V780" s="37" t="str">
        <f t="shared" si="100"/>
        <v/>
      </c>
      <c r="W780" s="37" t="str">
        <f t="shared" si="101"/>
        <v/>
      </c>
      <c r="X780" s="37" t="str">
        <f t="shared" si="102"/>
        <v/>
      </c>
      <c r="Y780" s="37" t="str">
        <f>IF(OR($H780="",$J780=""),"",$J780*IFERROR(VLOOKUP($H780,Maestro_SKU!$A$2:$P$500,12,FALSE),1))</f>
        <v/>
      </c>
      <c r="Z780" s="37" t="str">
        <f t="shared" ca="1" si="103"/>
        <v/>
      </c>
    </row>
    <row r="781" spans="1:26" x14ac:dyDescent="0.35">
      <c r="A781" s="18"/>
      <c r="B781" s="26"/>
      <c r="C781" s="18"/>
      <c r="D781" s="18"/>
      <c r="E781" s="22" t="str">
        <f>IFERROR(VLOOKUP(D781,Clientes_PDV!$A$2:$J$250,2,FALSE),"")</f>
        <v/>
      </c>
      <c r="F781" s="22" t="str">
        <f>IFERROR(VLOOKUP(D781,Clientes_PDV!$A$2:$J$250,3,FALSE),"")</f>
        <v/>
      </c>
      <c r="G781" s="22" t="str">
        <f>IFERROR(VLOOKUP(D781,Clientes_PDV!$A$2:$J$250,4,FALSE),"")</f>
        <v/>
      </c>
      <c r="H781" s="18"/>
      <c r="I781" s="22" t="str">
        <f>IFERROR(VLOOKUP(H781,Maestro_SKU!$A$2:$P$500,2,FALSE),"")</f>
        <v/>
      </c>
      <c r="J781" s="27"/>
      <c r="K781" s="19"/>
      <c r="L781" s="23" t="str">
        <f t="shared" si="96"/>
        <v/>
      </c>
      <c r="M781" s="23" t="str">
        <f>IF(L781="","",L781*Inicio!$B$13)</f>
        <v/>
      </c>
      <c r="N781" s="23" t="str">
        <f t="shared" si="97"/>
        <v/>
      </c>
      <c r="O781" s="26"/>
      <c r="P781" s="18"/>
      <c r="Q781" s="19"/>
      <c r="R781" s="23" t="str">
        <f t="shared" si="98"/>
        <v/>
      </c>
      <c r="S781" s="22" t="str">
        <f ca="1">IF(A781="","",IF(OR(P781="Pagada",R781=0),"Pagada",IF(O781&lt;TODAY(),"Vencida",IF(O781&lt;=TODAY()+Inicio!$B$19,"Próxima a vencer","Vigente"))))</f>
        <v/>
      </c>
      <c r="T781" s="18"/>
      <c r="U781" s="37" t="str">
        <f t="shared" si="99"/>
        <v/>
      </c>
      <c r="V781" s="37" t="str">
        <f t="shared" si="100"/>
        <v/>
      </c>
      <c r="W781" s="37" t="str">
        <f t="shared" si="101"/>
        <v/>
      </c>
      <c r="X781" s="37" t="str">
        <f t="shared" si="102"/>
        <v/>
      </c>
      <c r="Y781" s="37" t="str">
        <f>IF(OR($H781="",$J781=""),"",$J781*IFERROR(VLOOKUP($H781,Maestro_SKU!$A$2:$P$500,12,FALSE),1))</f>
        <v/>
      </c>
      <c r="Z781" s="37" t="str">
        <f t="shared" ca="1" si="103"/>
        <v/>
      </c>
    </row>
    <row r="782" spans="1:26" x14ac:dyDescent="0.35">
      <c r="A782" s="18"/>
      <c r="B782" s="26"/>
      <c r="C782" s="18"/>
      <c r="D782" s="18"/>
      <c r="E782" s="22" t="str">
        <f>IFERROR(VLOOKUP(D782,Clientes_PDV!$A$2:$J$250,2,FALSE),"")</f>
        <v/>
      </c>
      <c r="F782" s="22" t="str">
        <f>IFERROR(VLOOKUP(D782,Clientes_PDV!$A$2:$J$250,3,FALSE),"")</f>
        <v/>
      </c>
      <c r="G782" s="22" t="str">
        <f>IFERROR(VLOOKUP(D782,Clientes_PDV!$A$2:$J$250,4,FALSE),"")</f>
        <v/>
      </c>
      <c r="H782" s="18"/>
      <c r="I782" s="22" t="str">
        <f>IFERROR(VLOOKUP(H782,Maestro_SKU!$A$2:$P$500,2,FALSE),"")</f>
        <v/>
      </c>
      <c r="J782" s="27"/>
      <c r="K782" s="19"/>
      <c r="L782" s="23" t="str">
        <f t="shared" si="96"/>
        <v/>
      </c>
      <c r="M782" s="23" t="str">
        <f>IF(L782="","",L782*Inicio!$B$13)</f>
        <v/>
      </c>
      <c r="N782" s="23" t="str">
        <f t="shared" si="97"/>
        <v/>
      </c>
      <c r="O782" s="26"/>
      <c r="P782" s="18"/>
      <c r="Q782" s="19"/>
      <c r="R782" s="23" t="str">
        <f t="shared" si="98"/>
        <v/>
      </c>
      <c r="S782" s="22" t="str">
        <f ca="1">IF(A782="","",IF(OR(P782="Pagada",R782=0),"Pagada",IF(O782&lt;TODAY(),"Vencida",IF(O782&lt;=TODAY()+Inicio!$B$19,"Próxima a vencer","Vigente"))))</f>
        <v/>
      </c>
      <c r="T782" s="18"/>
      <c r="U782" s="37" t="str">
        <f t="shared" si="99"/>
        <v/>
      </c>
      <c r="V782" s="37" t="str">
        <f t="shared" si="100"/>
        <v/>
      </c>
      <c r="W782" s="37" t="str">
        <f t="shared" si="101"/>
        <v/>
      </c>
      <c r="X782" s="37" t="str">
        <f t="shared" si="102"/>
        <v/>
      </c>
      <c r="Y782" s="37" t="str">
        <f>IF(OR($H782="",$J782=""),"",$J782*IFERROR(VLOOKUP($H782,Maestro_SKU!$A$2:$P$500,12,FALSE),1))</f>
        <v/>
      </c>
      <c r="Z782" s="37" t="str">
        <f t="shared" ca="1" si="103"/>
        <v/>
      </c>
    </row>
    <row r="783" spans="1:26" x14ac:dyDescent="0.35">
      <c r="A783" s="18"/>
      <c r="B783" s="26"/>
      <c r="C783" s="18"/>
      <c r="D783" s="18"/>
      <c r="E783" s="22" t="str">
        <f>IFERROR(VLOOKUP(D783,Clientes_PDV!$A$2:$J$250,2,FALSE),"")</f>
        <v/>
      </c>
      <c r="F783" s="22" t="str">
        <f>IFERROR(VLOOKUP(D783,Clientes_PDV!$A$2:$J$250,3,FALSE),"")</f>
        <v/>
      </c>
      <c r="G783" s="22" t="str">
        <f>IFERROR(VLOOKUP(D783,Clientes_PDV!$A$2:$J$250,4,FALSE),"")</f>
        <v/>
      </c>
      <c r="H783" s="18"/>
      <c r="I783" s="22" t="str">
        <f>IFERROR(VLOOKUP(H783,Maestro_SKU!$A$2:$P$500,2,FALSE),"")</f>
        <v/>
      </c>
      <c r="J783" s="27"/>
      <c r="K783" s="19"/>
      <c r="L783" s="23" t="str">
        <f t="shared" si="96"/>
        <v/>
      </c>
      <c r="M783" s="23" t="str">
        <f>IF(L783="","",L783*Inicio!$B$13)</f>
        <v/>
      </c>
      <c r="N783" s="23" t="str">
        <f t="shared" si="97"/>
        <v/>
      </c>
      <c r="O783" s="26"/>
      <c r="P783" s="18"/>
      <c r="Q783" s="19"/>
      <c r="R783" s="23" t="str">
        <f t="shared" si="98"/>
        <v/>
      </c>
      <c r="S783" s="22" t="str">
        <f ca="1">IF(A783="","",IF(OR(P783="Pagada",R783=0),"Pagada",IF(O783&lt;TODAY(),"Vencida",IF(O783&lt;=TODAY()+Inicio!$B$19,"Próxima a vencer","Vigente"))))</f>
        <v/>
      </c>
      <c r="T783" s="18"/>
      <c r="U783" s="37" t="str">
        <f t="shared" si="99"/>
        <v/>
      </c>
      <c r="V783" s="37" t="str">
        <f t="shared" si="100"/>
        <v/>
      </c>
      <c r="W783" s="37" t="str">
        <f t="shared" si="101"/>
        <v/>
      </c>
      <c r="X783" s="37" t="str">
        <f t="shared" si="102"/>
        <v/>
      </c>
      <c r="Y783" s="37" t="str">
        <f>IF(OR($H783="",$J783=""),"",$J783*IFERROR(VLOOKUP($H783,Maestro_SKU!$A$2:$P$500,12,FALSE),1))</f>
        <v/>
      </c>
      <c r="Z783" s="37" t="str">
        <f t="shared" ca="1" si="103"/>
        <v/>
      </c>
    </row>
    <row r="784" spans="1:26" x14ac:dyDescent="0.35">
      <c r="A784" s="18"/>
      <c r="B784" s="26"/>
      <c r="C784" s="18"/>
      <c r="D784" s="18"/>
      <c r="E784" s="22" t="str">
        <f>IFERROR(VLOOKUP(D784,Clientes_PDV!$A$2:$J$250,2,FALSE),"")</f>
        <v/>
      </c>
      <c r="F784" s="22" t="str">
        <f>IFERROR(VLOOKUP(D784,Clientes_PDV!$A$2:$J$250,3,FALSE),"")</f>
        <v/>
      </c>
      <c r="G784" s="22" t="str">
        <f>IFERROR(VLOOKUP(D784,Clientes_PDV!$A$2:$J$250,4,FALSE),"")</f>
        <v/>
      </c>
      <c r="H784" s="18"/>
      <c r="I784" s="22" t="str">
        <f>IFERROR(VLOOKUP(H784,Maestro_SKU!$A$2:$P$500,2,FALSE),"")</f>
        <v/>
      </c>
      <c r="J784" s="27"/>
      <c r="K784" s="19"/>
      <c r="L784" s="23" t="str">
        <f t="shared" si="96"/>
        <v/>
      </c>
      <c r="M784" s="23" t="str">
        <f>IF(L784="","",L784*Inicio!$B$13)</f>
        <v/>
      </c>
      <c r="N784" s="23" t="str">
        <f t="shared" si="97"/>
        <v/>
      </c>
      <c r="O784" s="26"/>
      <c r="P784" s="18"/>
      <c r="Q784" s="19"/>
      <c r="R784" s="23" t="str">
        <f t="shared" si="98"/>
        <v/>
      </c>
      <c r="S784" s="22" t="str">
        <f ca="1">IF(A784="","",IF(OR(P784="Pagada",R784=0),"Pagada",IF(O784&lt;TODAY(),"Vencida",IF(O784&lt;=TODAY()+Inicio!$B$19,"Próxima a vencer","Vigente"))))</f>
        <v/>
      </c>
      <c r="T784" s="18"/>
      <c r="U784" s="37" t="str">
        <f t="shared" si="99"/>
        <v/>
      </c>
      <c r="V784" s="37" t="str">
        <f t="shared" si="100"/>
        <v/>
      </c>
      <c r="W784" s="37" t="str">
        <f t="shared" si="101"/>
        <v/>
      </c>
      <c r="X784" s="37" t="str">
        <f t="shared" si="102"/>
        <v/>
      </c>
      <c r="Y784" s="37" t="str">
        <f>IF(OR($H784="",$J784=""),"",$J784*IFERROR(VLOOKUP($H784,Maestro_SKU!$A$2:$P$500,12,FALSE),1))</f>
        <v/>
      </c>
      <c r="Z784" s="37" t="str">
        <f t="shared" ca="1" si="103"/>
        <v/>
      </c>
    </row>
    <row r="785" spans="1:26" x14ac:dyDescent="0.35">
      <c r="A785" s="18"/>
      <c r="B785" s="26"/>
      <c r="C785" s="18"/>
      <c r="D785" s="18"/>
      <c r="E785" s="22" t="str">
        <f>IFERROR(VLOOKUP(D785,Clientes_PDV!$A$2:$J$250,2,FALSE),"")</f>
        <v/>
      </c>
      <c r="F785" s="22" t="str">
        <f>IFERROR(VLOOKUP(D785,Clientes_PDV!$A$2:$J$250,3,FALSE),"")</f>
        <v/>
      </c>
      <c r="G785" s="22" t="str">
        <f>IFERROR(VLOOKUP(D785,Clientes_PDV!$A$2:$J$250,4,FALSE),"")</f>
        <v/>
      </c>
      <c r="H785" s="18"/>
      <c r="I785" s="22" t="str">
        <f>IFERROR(VLOOKUP(H785,Maestro_SKU!$A$2:$P$500,2,FALSE),"")</f>
        <v/>
      </c>
      <c r="J785" s="27"/>
      <c r="K785" s="19"/>
      <c r="L785" s="23" t="str">
        <f t="shared" si="96"/>
        <v/>
      </c>
      <c r="M785" s="23" t="str">
        <f>IF(L785="","",L785*Inicio!$B$13)</f>
        <v/>
      </c>
      <c r="N785" s="23" t="str">
        <f t="shared" si="97"/>
        <v/>
      </c>
      <c r="O785" s="26"/>
      <c r="P785" s="18"/>
      <c r="Q785" s="19"/>
      <c r="R785" s="23" t="str">
        <f t="shared" si="98"/>
        <v/>
      </c>
      <c r="S785" s="22" t="str">
        <f ca="1">IF(A785="","",IF(OR(P785="Pagada",R785=0),"Pagada",IF(O785&lt;TODAY(),"Vencida",IF(O785&lt;=TODAY()+Inicio!$B$19,"Próxima a vencer","Vigente"))))</f>
        <v/>
      </c>
      <c r="T785" s="18"/>
      <c r="U785" s="37" t="str">
        <f t="shared" si="99"/>
        <v/>
      </c>
      <c r="V785" s="37" t="str">
        <f t="shared" si="100"/>
        <v/>
      </c>
      <c r="W785" s="37" t="str">
        <f t="shared" si="101"/>
        <v/>
      </c>
      <c r="X785" s="37" t="str">
        <f t="shared" si="102"/>
        <v/>
      </c>
      <c r="Y785" s="37" t="str">
        <f>IF(OR($H785="",$J785=""),"",$J785*IFERROR(VLOOKUP($H785,Maestro_SKU!$A$2:$P$500,12,FALSE),1))</f>
        <v/>
      </c>
      <c r="Z785" s="37" t="str">
        <f t="shared" ca="1" si="103"/>
        <v/>
      </c>
    </row>
    <row r="786" spans="1:26" x14ac:dyDescent="0.35">
      <c r="A786" s="18"/>
      <c r="B786" s="26"/>
      <c r="C786" s="18"/>
      <c r="D786" s="18"/>
      <c r="E786" s="22" t="str">
        <f>IFERROR(VLOOKUP(D786,Clientes_PDV!$A$2:$J$250,2,FALSE),"")</f>
        <v/>
      </c>
      <c r="F786" s="22" t="str">
        <f>IFERROR(VLOOKUP(D786,Clientes_PDV!$A$2:$J$250,3,FALSE),"")</f>
        <v/>
      </c>
      <c r="G786" s="22" t="str">
        <f>IFERROR(VLOOKUP(D786,Clientes_PDV!$A$2:$J$250,4,FALSE),"")</f>
        <v/>
      </c>
      <c r="H786" s="18"/>
      <c r="I786" s="22" t="str">
        <f>IFERROR(VLOOKUP(H786,Maestro_SKU!$A$2:$P$500,2,FALSE),"")</f>
        <v/>
      </c>
      <c r="J786" s="27"/>
      <c r="K786" s="19"/>
      <c r="L786" s="23" t="str">
        <f t="shared" si="96"/>
        <v/>
      </c>
      <c r="M786" s="23" t="str">
        <f>IF(L786="","",L786*Inicio!$B$13)</f>
        <v/>
      </c>
      <c r="N786" s="23" t="str">
        <f t="shared" si="97"/>
        <v/>
      </c>
      <c r="O786" s="26"/>
      <c r="P786" s="18"/>
      <c r="Q786" s="19"/>
      <c r="R786" s="23" t="str">
        <f t="shared" si="98"/>
        <v/>
      </c>
      <c r="S786" s="22" t="str">
        <f ca="1">IF(A786="","",IF(OR(P786="Pagada",R786=0),"Pagada",IF(O786&lt;TODAY(),"Vencida",IF(O786&lt;=TODAY()+Inicio!$B$19,"Próxima a vencer","Vigente"))))</f>
        <v/>
      </c>
      <c r="T786" s="18"/>
      <c r="U786" s="37" t="str">
        <f t="shared" si="99"/>
        <v/>
      </c>
      <c r="V786" s="37" t="str">
        <f t="shared" si="100"/>
        <v/>
      </c>
      <c r="W786" s="37" t="str">
        <f t="shared" si="101"/>
        <v/>
      </c>
      <c r="X786" s="37" t="str">
        <f t="shared" si="102"/>
        <v/>
      </c>
      <c r="Y786" s="37" t="str">
        <f>IF(OR($H786="",$J786=""),"",$J786*IFERROR(VLOOKUP($H786,Maestro_SKU!$A$2:$P$500,12,FALSE),1))</f>
        <v/>
      </c>
      <c r="Z786" s="37" t="str">
        <f t="shared" ca="1" si="103"/>
        <v/>
      </c>
    </row>
    <row r="787" spans="1:26" x14ac:dyDescent="0.35">
      <c r="A787" s="18"/>
      <c r="B787" s="26"/>
      <c r="C787" s="18"/>
      <c r="D787" s="18"/>
      <c r="E787" s="22" t="str">
        <f>IFERROR(VLOOKUP(D787,Clientes_PDV!$A$2:$J$250,2,FALSE),"")</f>
        <v/>
      </c>
      <c r="F787" s="22" t="str">
        <f>IFERROR(VLOOKUP(D787,Clientes_PDV!$A$2:$J$250,3,FALSE),"")</f>
        <v/>
      </c>
      <c r="G787" s="22" t="str">
        <f>IFERROR(VLOOKUP(D787,Clientes_PDV!$A$2:$J$250,4,FALSE),"")</f>
        <v/>
      </c>
      <c r="H787" s="18"/>
      <c r="I787" s="22" t="str">
        <f>IFERROR(VLOOKUP(H787,Maestro_SKU!$A$2:$P$500,2,FALSE),"")</f>
        <v/>
      </c>
      <c r="J787" s="27"/>
      <c r="K787" s="19"/>
      <c r="L787" s="23" t="str">
        <f t="shared" si="96"/>
        <v/>
      </c>
      <c r="M787" s="23" t="str">
        <f>IF(L787="","",L787*Inicio!$B$13)</f>
        <v/>
      </c>
      <c r="N787" s="23" t="str">
        <f t="shared" si="97"/>
        <v/>
      </c>
      <c r="O787" s="26"/>
      <c r="P787" s="18"/>
      <c r="Q787" s="19"/>
      <c r="R787" s="23" t="str">
        <f t="shared" si="98"/>
        <v/>
      </c>
      <c r="S787" s="22" t="str">
        <f ca="1">IF(A787="","",IF(OR(P787="Pagada",R787=0),"Pagada",IF(O787&lt;TODAY(),"Vencida",IF(O787&lt;=TODAY()+Inicio!$B$19,"Próxima a vencer","Vigente"))))</f>
        <v/>
      </c>
      <c r="T787" s="18"/>
      <c r="U787" s="37" t="str">
        <f t="shared" si="99"/>
        <v/>
      </c>
      <c r="V787" s="37" t="str">
        <f t="shared" si="100"/>
        <v/>
      </c>
      <c r="W787" s="37" t="str">
        <f t="shared" si="101"/>
        <v/>
      </c>
      <c r="X787" s="37" t="str">
        <f t="shared" si="102"/>
        <v/>
      </c>
      <c r="Y787" s="37" t="str">
        <f>IF(OR($H787="",$J787=""),"",$J787*IFERROR(VLOOKUP($H787,Maestro_SKU!$A$2:$P$500,12,FALSE),1))</f>
        <v/>
      </c>
      <c r="Z787" s="37" t="str">
        <f t="shared" ca="1" si="103"/>
        <v/>
      </c>
    </row>
    <row r="788" spans="1:26" x14ac:dyDescent="0.35">
      <c r="A788" s="18"/>
      <c r="B788" s="26"/>
      <c r="C788" s="18"/>
      <c r="D788" s="18"/>
      <c r="E788" s="22" t="str">
        <f>IFERROR(VLOOKUP(D788,Clientes_PDV!$A$2:$J$250,2,FALSE),"")</f>
        <v/>
      </c>
      <c r="F788" s="22" t="str">
        <f>IFERROR(VLOOKUP(D788,Clientes_PDV!$A$2:$J$250,3,FALSE),"")</f>
        <v/>
      </c>
      <c r="G788" s="22" t="str">
        <f>IFERROR(VLOOKUP(D788,Clientes_PDV!$A$2:$J$250,4,FALSE),"")</f>
        <v/>
      </c>
      <c r="H788" s="18"/>
      <c r="I788" s="22" t="str">
        <f>IFERROR(VLOOKUP(H788,Maestro_SKU!$A$2:$P$500,2,FALSE),"")</f>
        <v/>
      </c>
      <c r="J788" s="27"/>
      <c r="K788" s="19"/>
      <c r="L788" s="23" t="str">
        <f t="shared" si="96"/>
        <v/>
      </c>
      <c r="M788" s="23" t="str">
        <f>IF(L788="","",L788*Inicio!$B$13)</f>
        <v/>
      </c>
      <c r="N788" s="23" t="str">
        <f t="shared" si="97"/>
        <v/>
      </c>
      <c r="O788" s="26"/>
      <c r="P788" s="18"/>
      <c r="Q788" s="19"/>
      <c r="R788" s="23" t="str">
        <f t="shared" si="98"/>
        <v/>
      </c>
      <c r="S788" s="22" t="str">
        <f ca="1">IF(A788="","",IF(OR(P788="Pagada",R788=0),"Pagada",IF(O788&lt;TODAY(),"Vencida",IF(O788&lt;=TODAY()+Inicio!$B$19,"Próxima a vencer","Vigente"))))</f>
        <v/>
      </c>
      <c r="T788" s="18"/>
      <c r="U788" s="37" t="str">
        <f t="shared" si="99"/>
        <v/>
      </c>
      <c r="V788" s="37" t="str">
        <f t="shared" si="100"/>
        <v/>
      </c>
      <c r="W788" s="37" t="str">
        <f t="shared" si="101"/>
        <v/>
      </c>
      <c r="X788" s="37" t="str">
        <f t="shared" si="102"/>
        <v/>
      </c>
      <c r="Y788" s="37" t="str">
        <f>IF(OR($H788="",$J788=""),"",$J788*IFERROR(VLOOKUP($H788,Maestro_SKU!$A$2:$P$500,12,FALSE),1))</f>
        <v/>
      </c>
      <c r="Z788" s="37" t="str">
        <f t="shared" ca="1" si="103"/>
        <v/>
      </c>
    </row>
    <row r="789" spans="1:26" x14ac:dyDescent="0.35">
      <c r="A789" s="18"/>
      <c r="B789" s="26"/>
      <c r="C789" s="18"/>
      <c r="D789" s="18"/>
      <c r="E789" s="22" t="str">
        <f>IFERROR(VLOOKUP(D789,Clientes_PDV!$A$2:$J$250,2,FALSE),"")</f>
        <v/>
      </c>
      <c r="F789" s="22" t="str">
        <f>IFERROR(VLOOKUP(D789,Clientes_PDV!$A$2:$J$250,3,FALSE),"")</f>
        <v/>
      </c>
      <c r="G789" s="22" t="str">
        <f>IFERROR(VLOOKUP(D789,Clientes_PDV!$A$2:$J$250,4,FALSE),"")</f>
        <v/>
      </c>
      <c r="H789" s="18"/>
      <c r="I789" s="22" t="str">
        <f>IFERROR(VLOOKUP(H789,Maestro_SKU!$A$2:$P$500,2,FALSE),"")</f>
        <v/>
      </c>
      <c r="J789" s="27"/>
      <c r="K789" s="19"/>
      <c r="L789" s="23" t="str">
        <f t="shared" si="96"/>
        <v/>
      </c>
      <c r="M789" s="23" t="str">
        <f>IF(L789="","",L789*Inicio!$B$13)</f>
        <v/>
      </c>
      <c r="N789" s="23" t="str">
        <f t="shared" si="97"/>
        <v/>
      </c>
      <c r="O789" s="26"/>
      <c r="P789" s="18"/>
      <c r="Q789" s="19"/>
      <c r="R789" s="23" t="str">
        <f t="shared" si="98"/>
        <v/>
      </c>
      <c r="S789" s="22" t="str">
        <f ca="1">IF(A789="","",IF(OR(P789="Pagada",R789=0),"Pagada",IF(O789&lt;TODAY(),"Vencida",IF(O789&lt;=TODAY()+Inicio!$B$19,"Próxima a vencer","Vigente"))))</f>
        <v/>
      </c>
      <c r="T789" s="18"/>
      <c r="U789" s="37" t="str">
        <f t="shared" si="99"/>
        <v/>
      </c>
      <c r="V789" s="37" t="str">
        <f t="shared" si="100"/>
        <v/>
      </c>
      <c r="W789" s="37" t="str">
        <f t="shared" si="101"/>
        <v/>
      </c>
      <c r="X789" s="37" t="str">
        <f t="shared" si="102"/>
        <v/>
      </c>
      <c r="Y789" s="37" t="str">
        <f>IF(OR($H789="",$J789=""),"",$J789*IFERROR(VLOOKUP($H789,Maestro_SKU!$A$2:$P$500,12,FALSE),1))</f>
        <v/>
      </c>
      <c r="Z789" s="37" t="str">
        <f t="shared" ca="1" si="103"/>
        <v/>
      </c>
    </row>
    <row r="790" spans="1:26" x14ac:dyDescent="0.35">
      <c r="A790" s="18"/>
      <c r="B790" s="26"/>
      <c r="C790" s="18"/>
      <c r="D790" s="18"/>
      <c r="E790" s="22" t="str">
        <f>IFERROR(VLOOKUP(D790,Clientes_PDV!$A$2:$J$250,2,FALSE),"")</f>
        <v/>
      </c>
      <c r="F790" s="22" t="str">
        <f>IFERROR(VLOOKUP(D790,Clientes_PDV!$A$2:$J$250,3,FALSE),"")</f>
        <v/>
      </c>
      <c r="G790" s="22" t="str">
        <f>IFERROR(VLOOKUP(D790,Clientes_PDV!$A$2:$J$250,4,FALSE),"")</f>
        <v/>
      </c>
      <c r="H790" s="18"/>
      <c r="I790" s="22" t="str">
        <f>IFERROR(VLOOKUP(H790,Maestro_SKU!$A$2:$P$500,2,FALSE),"")</f>
        <v/>
      </c>
      <c r="J790" s="27"/>
      <c r="K790" s="19"/>
      <c r="L790" s="23" t="str">
        <f t="shared" si="96"/>
        <v/>
      </c>
      <c r="M790" s="23" t="str">
        <f>IF(L790="","",L790*Inicio!$B$13)</f>
        <v/>
      </c>
      <c r="N790" s="23" t="str">
        <f t="shared" si="97"/>
        <v/>
      </c>
      <c r="O790" s="26"/>
      <c r="P790" s="18"/>
      <c r="Q790" s="19"/>
      <c r="R790" s="23" t="str">
        <f t="shared" si="98"/>
        <v/>
      </c>
      <c r="S790" s="22" t="str">
        <f ca="1">IF(A790="","",IF(OR(P790="Pagada",R790=0),"Pagada",IF(O790&lt;TODAY(),"Vencida",IF(O790&lt;=TODAY()+Inicio!$B$19,"Próxima a vencer","Vigente"))))</f>
        <v/>
      </c>
      <c r="T790" s="18"/>
      <c r="U790" s="37" t="str">
        <f t="shared" si="99"/>
        <v/>
      </c>
      <c r="V790" s="37" t="str">
        <f t="shared" si="100"/>
        <v/>
      </c>
      <c r="W790" s="37" t="str">
        <f t="shared" si="101"/>
        <v/>
      </c>
      <c r="X790" s="37" t="str">
        <f t="shared" si="102"/>
        <v/>
      </c>
      <c r="Y790" s="37" t="str">
        <f>IF(OR($H790="",$J790=""),"",$J790*IFERROR(VLOOKUP($H790,Maestro_SKU!$A$2:$P$500,12,FALSE),1))</f>
        <v/>
      </c>
      <c r="Z790" s="37" t="str">
        <f t="shared" ca="1" si="103"/>
        <v/>
      </c>
    </row>
    <row r="791" spans="1:26" x14ac:dyDescent="0.35">
      <c r="A791" s="18"/>
      <c r="B791" s="26"/>
      <c r="C791" s="18"/>
      <c r="D791" s="18"/>
      <c r="E791" s="22" t="str">
        <f>IFERROR(VLOOKUP(D791,Clientes_PDV!$A$2:$J$250,2,FALSE),"")</f>
        <v/>
      </c>
      <c r="F791" s="22" t="str">
        <f>IFERROR(VLOOKUP(D791,Clientes_PDV!$A$2:$J$250,3,FALSE),"")</f>
        <v/>
      </c>
      <c r="G791" s="22" t="str">
        <f>IFERROR(VLOOKUP(D791,Clientes_PDV!$A$2:$J$250,4,FALSE),"")</f>
        <v/>
      </c>
      <c r="H791" s="18"/>
      <c r="I791" s="22" t="str">
        <f>IFERROR(VLOOKUP(H791,Maestro_SKU!$A$2:$P$500,2,FALSE),"")</f>
        <v/>
      </c>
      <c r="J791" s="27"/>
      <c r="K791" s="19"/>
      <c r="L791" s="23" t="str">
        <f t="shared" si="96"/>
        <v/>
      </c>
      <c r="M791" s="23" t="str">
        <f>IF(L791="","",L791*Inicio!$B$13)</f>
        <v/>
      </c>
      <c r="N791" s="23" t="str">
        <f t="shared" si="97"/>
        <v/>
      </c>
      <c r="O791" s="26"/>
      <c r="P791" s="18"/>
      <c r="Q791" s="19"/>
      <c r="R791" s="23" t="str">
        <f t="shared" si="98"/>
        <v/>
      </c>
      <c r="S791" s="22" t="str">
        <f ca="1">IF(A791="","",IF(OR(P791="Pagada",R791=0),"Pagada",IF(O791&lt;TODAY(),"Vencida",IF(O791&lt;=TODAY()+Inicio!$B$19,"Próxima a vencer","Vigente"))))</f>
        <v/>
      </c>
      <c r="T791" s="18"/>
      <c r="U791" s="37" t="str">
        <f t="shared" si="99"/>
        <v/>
      </c>
      <c r="V791" s="37" t="str">
        <f t="shared" si="100"/>
        <v/>
      </c>
      <c r="W791" s="37" t="str">
        <f t="shared" si="101"/>
        <v/>
      </c>
      <c r="X791" s="37" t="str">
        <f t="shared" si="102"/>
        <v/>
      </c>
      <c r="Y791" s="37" t="str">
        <f>IF(OR($H791="",$J791=""),"",$J791*IFERROR(VLOOKUP($H791,Maestro_SKU!$A$2:$P$500,12,FALSE),1))</f>
        <v/>
      </c>
      <c r="Z791" s="37" t="str">
        <f t="shared" ca="1" si="103"/>
        <v/>
      </c>
    </row>
    <row r="792" spans="1:26" x14ac:dyDescent="0.35">
      <c r="A792" s="18"/>
      <c r="B792" s="26"/>
      <c r="C792" s="18"/>
      <c r="D792" s="18"/>
      <c r="E792" s="22" t="str">
        <f>IFERROR(VLOOKUP(D792,Clientes_PDV!$A$2:$J$250,2,FALSE),"")</f>
        <v/>
      </c>
      <c r="F792" s="22" t="str">
        <f>IFERROR(VLOOKUP(D792,Clientes_PDV!$A$2:$J$250,3,FALSE),"")</f>
        <v/>
      </c>
      <c r="G792" s="22" t="str">
        <f>IFERROR(VLOOKUP(D792,Clientes_PDV!$A$2:$J$250,4,FALSE),"")</f>
        <v/>
      </c>
      <c r="H792" s="18"/>
      <c r="I792" s="22" t="str">
        <f>IFERROR(VLOOKUP(H792,Maestro_SKU!$A$2:$P$500,2,FALSE),"")</f>
        <v/>
      </c>
      <c r="J792" s="27"/>
      <c r="K792" s="19"/>
      <c r="L792" s="23" t="str">
        <f t="shared" si="96"/>
        <v/>
      </c>
      <c r="M792" s="23" t="str">
        <f>IF(L792="","",L792*Inicio!$B$13)</f>
        <v/>
      </c>
      <c r="N792" s="23" t="str">
        <f t="shared" si="97"/>
        <v/>
      </c>
      <c r="O792" s="26"/>
      <c r="P792" s="18"/>
      <c r="Q792" s="19"/>
      <c r="R792" s="23" t="str">
        <f t="shared" si="98"/>
        <v/>
      </c>
      <c r="S792" s="22" t="str">
        <f ca="1">IF(A792="","",IF(OR(P792="Pagada",R792=0),"Pagada",IF(O792&lt;TODAY(),"Vencida",IF(O792&lt;=TODAY()+Inicio!$B$19,"Próxima a vencer","Vigente"))))</f>
        <v/>
      </c>
      <c r="T792" s="18"/>
      <c r="U792" s="37" t="str">
        <f t="shared" si="99"/>
        <v/>
      </c>
      <c r="V792" s="37" t="str">
        <f t="shared" si="100"/>
        <v/>
      </c>
      <c r="W792" s="37" t="str">
        <f t="shared" si="101"/>
        <v/>
      </c>
      <c r="X792" s="37" t="str">
        <f t="shared" si="102"/>
        <v/>
      </c>
      <c r="Y792" s="37" t="str">
        <f>IF(OR($H792="",$J792=""),"",$J792*IFERROR(VLOOKUP($H792,Maestro_SKU!$A$2:$P$500,12,FALSE),1))</f>
        <v/>
      </c>
      <c r="Z792" s="37" t="str">
        <f t="shared" ca="1" si="103"/>
        <v/>
      </c>
    </row>
    <row r="793" spans="1:26" x14ac:dyDescent="0.35">
      <c r="A793" s="18"/>
      <c r="B793" s="26"/>
      <c r="C793" s="18"/>
      <c r="D793" s="18"/>
      <c r="E793" s="22" t="str">
        <f>IFERROR(VLOOKUP(D793,Clientes_PDV!$A$2:$J$250,2,FALSE),"")</f>
        <v/>
      </c>
      <c r="F793" s="22" t="str">
        <f>IFERROR(VLOOKUP(D793,Clientes_PDV!$A$2:$J$250,3,FALSE),"")</f>
        <v/>
      </c>
      <c r="G793" s="22" t="str">
        <f>IFERROR(VLOOKUP(D793,Clientes_PDV!$A$2:$J$250,4,FALSE),"")</f>
        <v/>
      </c>
      <c r="H793" s="18"/>
      <c r="I793" s="22" t="str">
        <f>IFERROR(VLOOKUP(H793,Maestro_SKU!$A$2:$P$500,2,FALSE),"")</f>
        <v/>
      </c>
      <c r="J793" s="27"/>
      <c r="K793" s="19"/>
      <c r="L793" s="23" t="str">
        <f t="shared" si="96"/>
        <v/>
      </c>
      <c r="M793" s="23" t="str">
        <f>IF(L793="","",L793*Inicio!$B$13)</f>
        <v/>
      </c>
      <c r="N793" s="23" t="str">
        <f t="shared" si="97"/>
        <v/>
      </c>
      <c r="O793" s="26"/>
      <c r="P793" s="18"/>
      <c r="Q793" s="19"/>
      <c r="R793" s="23" t="str">
        <f t="shared" si="98"/>
        <v/>
      </c>
      <c r="S793" s="22" t="str">
        <f ca="1">IF(A793="","",IF(OR(P793="Pagada",R793=0),"Pagada",IF(O793&lt;TODAY(),"Vencida",IF(O793&lt;=TODAY()+Inicio!$B$19,"Próxima a vencer","Vigente"))))</f>
        <v/>
      </c>
      <c r="T793" s="18"/>
      <c r="U793" s="37" t="str">
        <f t="shared" si="99"/>
        <v/>
      </c>
      <c r="V793" s="37" t="str">
        <f t="shared" si="100"/>
        <v/>
      </c>
      <c r="W793" s="37" t="str">
        <f t="shared" si="101"/>
        <v/>
      </c>
      <c r="X793" s="37" t="str">
        <f t="shared" si="102"/>
        <v/>
      </c>
      <c r="Y793" s="37" t="str">
        <f>IF(OR($H793="",$J793=""),"",$J793*IFERROR(VLOOKUP($H793,Maestro_SKU!$A$2:$P$500,12,FALSE),1))</f>
        <v/>
      </c>
      <c r="Z793" s="37" t="str">
        <f t="shared" ca="1" si="103"/>
        <v/>
      </c>
    </row>
    <row r="794" spans="1:26" x14ac:dyDescent="0.35">
      <c r="A794" s="18"/>
      <c r="B794" s="26"/>
      <c r="C794" s="18"/>
      <c r="D794" s="18"/>
      <c r="E794" s="22" t="str">
        <f>IFERROR(VLOOKUP(D794,Clientes_PDV!$A$2:$J$250,2,FALSE),"")</f>
        <v/>
      </c>
      <c r="F794" s="22" t="str">
        <f>IFERROR(VLOOKUP(D794,Clientes_PDV!$A$2:$J$250,3,FALSE),"")</f>
        <v/>
      </c>
      <c r="G794" s="22" t="str">
        <f>IFERROR(VLOOKUP(D794,Clientes_PDV!$A$2:$J$250,4,FALSE),"")</f>
        <v/>
      </c>
      <c r="H794" s="18"/>
      <c r="I794" s="22" t="str">
        <f>IFERROR(VLOOKUP(H794,Maestro_SKU!$A$2:$P$500,2,FALSE),"")</f>
        <v/>
      </c>
      <c r="J794" s="27"/>
      <c r="K794" s="19"/>
      <c r="L794" s="23" t="str">
        <f t="shared" si="96"/>
        <v/>
      </c>
      <c r="M794" s="23" t="str">
        <f>IF(L794="","",L794*Inicio!$B$13)</f>
        <v/>
      </c>
      <c r="N794" s="23" t="str">
        <f t="shared" si="97"/>
        <v/>
      </c>
      <c r="O794" s="26"/>
      <c r="P794" s="18"/>
      <c r="Q794" s="19"/>
      <c r="R794" s="23" t="str">
        <f t="shared" si="98"/>
        <v/>
      </c>
      <c r="S794" s="22" t="str">
        <f ca="1">IF(A794="","",IF(OR(P794="Pagada",R794=0),"Pagada",IF(O794&lt;TODAY(),"Vencida",IF(O794&lt;=TODAY()+Inicio!$B$19,"Próxima a vencer","Vigente"))))</f>
        <v/>
      </c>
      <c r="T794" s="18"/>
      <c r="U794" s="37" t="str">
        <f t="shared" si="99"/>
        <v/>
      </c>
      <c r="V794" s="37" t="str">
        <f t="shared" si="100"/>
        <v/>
      </c>
      <c r="W794" s="37" t="str">
        <f t="shared" si="101"/>
        <v/>
      </c>
      <c r="X794" s="37" t="str">
        <f t="shared" si="102"/>
        <v/>
      </c>
      <c r="Y794" s="37" t="str">
        <f>IF(OR($H794="",$J794=""),"",$J794*IFERROR(VLOOKUP($H794,Maestro_SKU!$A$2:$P$500,12,FALSE),1))</f>
        <v/>
      </c>
      <c r="Z794" s="37" t="str">
        <f t="shared" ca="1" si="103"/>
        <v/>
      </c>
    </row>
    <row r="795" spans="1:26" x14ac:dyDescent="0.35">
      <c r="A795" s="18"/>
      <c r="B795" s="26"/>
      <c r="C795" s="18"/>
      <c r="D795" s="18"/>
      <c r="E795" s="22" t="str">
        <f>IFERROR(VLOOKUP(D795,Clientes_PDV!$A$2:$J$250,2,FALSE),"")</f>
        <v/>
      </c>
      <c r="F795" s="22" t="str">
        <f>IFERROR(VLOOKUP(D795,Clientes_PDV!$A$2:$J$250,3,FALSE),"")</f>
        <v/>
      </c>
      <c r="G795" s="22" t="str">
        <f>IFERROR(VLOOKUP(D795,Clientes_PDV!$A$2:$J$250,4,FALSE),"")</f>
        <v/>
      </c>
      <c r="H795" s="18"/>
      <c r="I795" s="22" t="str">
        <f>IFERROR(VLOOKUP(H795,Maestro_SKU!$A$2:$P$500,2,FALSE),"")</f>
        <v/>
      </c>
      <c r="J795" s="27"/>
      <c r="K795" s="19"/>
      <c r="L795" s="23" t="str">
        <f t="shared" si="96"/>
        <v/>
      </c>
      <c r="M795" s="23" t="str">
        <f>IF(L795="","",L795*Inicio!$B$13)</f>
        <v/>
      </c>
      <c r="N795" s="23" t="str">
        <f t="shared" si="97"/>
        <v/>
      </c>
      <c r="O795" s="26"/>
      <c r="P795" s="18"/>
      <c r="Q795" s="19"/>
      <c r="R795" s="23" t="str">
        <f t="shared" si="98"/>
        <v/>
      </c>
      <c r="S795" s="22" t="str">
        <f ca="1">IF(A795="","",IF(OR(P795="Pagada",R795=0),"Pagada",IF(O795&lt;TODAY(),"Vencida",IF(O795&lt;=TODAY()+Inicio!$B$19,"Próxima a vencer","Vigente"))))</f>
        <v/>
      </c>
      <c r="T795" s="18"/>
      <c r="U795" s="37" t="str">
        <f t="shared" si="99"/>
        <v/>
      </c>
      <c r="V795" s="37" t="str">
        <f t="shared" si="100"/>
        <v/>
      </c>
      <c r="W795" s="37" t="str">
        <f t="shared" si="101"/>
        <v/>
      </c>
      <c r="X795" s="37" t="str">
        <f t="shared" si="102"/>
        <v/>
      </c>
      <c r="Y795" s="37" t="str">
        <f>IF(OR($H795="",$J795=""),"",$J795*IFERROR(VLOOKUP($H795,Maestro_SKU!$A$2:$P$500,12,FALSE),1))</f>
        <v/>
      </c>
      <c r="Z795" s="37" t="str">
        <f t="shared" ca="1" si="103"/>
        <v/>
      </c>
    </row>
    <row r="796" spans="1:26" x14ac:dyDescent="0.35">
      <c r="A796" s="18"/>
      <c r="B796" s="26"/>
      <c r="C796" s="18"/>
      <c r="D796" s="18"/>
      <c r="E796" s="22" t="str">
        <f>IFERROR(VLOOKUP(D796,Clientes_PDV!$A$2:$J$250,2,FALSE),"")</f>
        <v/>
      </c>
      <c r="F796" s="22" t="str">
        <f>IFERROR(VLOOKUP(D796,Clientes_PDV!$A$2:$J$250,3,FALSE),"")</f>
        <v/>
      </c>
      <c r="G796" s="22" t="str">
        <f>IFERROR(VLOOKUP(D796,Clientes_PDV!$A$2:$J$250,4,FALSE),"")</f>
        <v/>
      </c>
      <c r="H796" s="18"/>
      <c r="I796" s="22" t="str">
        <f>IFERROR(VLOOKUP(H796,Maestro_SKU!$A$2:$P$500,2,FALSE),"")</f>
        <v/>
      </c>
      <c r="J796" s="27"/>
      <c r="K796" s="19"/>
      <c r="L796" s="23" t="str">
        <f t="shared" si="96"/>
        <v/>
      </c>
      <c r="M796" s="23" t="str">
        <f>IF(L796="","",L796*Inicio!$B$13)</f>
        <v/>
      </c>
      <c r="N796" s="23" t="str">
        <f t="shared" si="97"/>
        <v/>
      </c>
      <c r="O796" s="26"/>
      <c r="P796" s="18"/>
      <c r="Q796" s="19"/>
      <c r="R796" s="23" t="str">
        <f t="shared" si="98"/>
        <v/>
      </c>
      <c r="S796" s="22" t="str">
        <f ca="1">IF(A796="","",IF(OR(P796="Pagada",R796=0),"Pagada",IF(O796&lt;TODAY(),"Vencida",IF(O796&lt;=TODAY()+Inicio!$B$19,"Próxima a vencer","Vigente"))))</f>
        <v/>
      </c>
      <c r="T796" s="18"/>
      <c r="U796" s="37" t="str">
        <f t="shared" si="99"/>
        <v/>
      </c>
      <c r="V796" s="37" t="str">
        <f t="shared" si="100"/>
        <v/>
      </c>
      <c r="W796" s="37" t="str">
        <f t="shared" si="101"/>
        <v/>
      </c>
      <c r="X796" s="37" t="str">
        <f t="shared" si="102"/>
        <v/>
      </c>
      <c r="Y796" s="37" t="str">
        <f>IF(OR($H796="",$J796=""),"",$J796*IFERROR(VLOOKUP($H796,Maestro_SKU!$A$2:$P$500,12,FALSE),1))</f>
        <v/>
      </c>
      <c r="Z796" s="37" t="str">
        <f t="shared" ca="1" si="103"/>
        <v/>
      </c>
    </row>
    <row r="797" spans="1:26" x14ac:dyDescent="0.35">
      <c r="A797" s="18"/>
      <c r="B797" s="26"/>
      <c r="C797" s="18"/>
      <c r="D797" s="18"/>
      <c r="E797" s="22" t="str">
        <f>IFERROR(VLOOKUP(D797,Clientes_PDV!$A$2:$J$250,2,FALSE),"")</f>
        <v/>
      </c>
      <c r="F797" s="22" t="str">
        <f>IFERROR(VLOOKUP(D797,Clientes_PDV!$A$2:$J$250,3,FALSE),"")</f>
        <v/>
      </c>
      <c r="G797" s="22" t="str">
        <f>IFERROR(VLOOKUP(D797,Clientes_PDV!$A$2:$J$250,4,FALSE),"")</f>
        <v/>
      </c>
      <c r="H797" s="18"/>
      <c r="I797" s="22" t="str">
        <f>IFERROR(VLOOKUP(H797,Maestro_SKU!$A$2:$P$500,2,FALSE),"")</f>
        <v/>
      </c>
      <c r="J797" s="27"/>
      <c r="K797" s="19"/>
      <c r="L797" s="23" t="str">
        <f t="shared" si="96"/>
        <v/>
      </c>
      <c r="M797" s="23" t="str">
        <f>IF(L797="","",L797*Inicio!$B$13)</f>
        <v/>
      </c>
      <c r="N797" s="23" t="str">
        <f t="shared" si="97"/>
        <v/>
      </c>
      <c r="O797" s="26"/>
      <c r="P797" s="18"/>
      <c r="Q797" s="19"/>
      <c r="R797" s="23" t="str">
        <f t="shared" si="98"/>
        <v/>
      </c>
      <c r="S797" s="22" t="str">
        <f ca="1">IF(A797="","",IF(OR(P797="Pagada",R797=0),"Pagada",IF(O797&lt;TODAY(),"Vencida",IF(O797&lt;=TODAY()+Inicio!$B$19,"Próxima a vencer","Vigente"))))</f>
        <v/>
      </c>
      <c r="T797" s="18"/>
      <c r="U797" s="37" t="str">
        <f t="shared" si="99"/>
        <v/>
      </c>
      <c r="V797" s="37" t="str">
        <f t="shared" si="100"/>
        <v/>
      </c>
      <c r="W797" s="37" t="str">
        <f t="shared" si="101"/>
        <v/>
      </c>
      <c r="X797" s="37" t="str">
        <f t="shared" si="102"/>
        <v/>
      </c>
      <c r="Y797" s="37" t="str">
        <f>IF(OR($H797="",$J797=""),"",$J797*IFERROR(VLOOKUP($H797,Maestro_SKU!$A$2:$P$500,12,FALSE),1))</f>
        <v/>
      </c>
      <c r="Z797" s="37" t="str">
        <f t="shared" ca="1" si="103"/>
        <v/>
      </c>
    </row>
    <row r="798" spans="1:26" x14ac:dyDescent="0.35">
      <c r="A798" s="18"/>
      <c r="B798" s="26"/>
      <c r="C798" s="18"/>
      <c r="D798" s="18"/>
      <c r="E798" s="22" t="str">
        <f>IFERROR(VLOOKUP(D798,Clientes_PDV!$A$2:$J$250,2,FALSE),"")</f>
        <v/>
      </c>
      <c r="F798" s="22" t="str">
        <f>IFERROR(VLOOKUP(D798,Clientes_PDV!$A$2:$J$250,3,FALSE),"")</f>
        <v/>
      </c>
      <c r="G798" s="22" t="str">
        <f>IFERROR(VLOOKUP(D798,Clientes_PDV!$A$2:$J$250,4,FALSE),"")</f>
        <v/>
      </c>
      <c r="H798" s="18"/>
      <c r="I798" s="22" t="str">
        <f>IFERROR(VLOOKUP(H798,Maestro_SKU!$A$2:$P$500,2,FALSE),"")</f>
        <v/>
      </c>
      <c r="J798" s="27"/>
      <c r="K798" s="19"/>
      <c r="L798" s="23" t="str">
        <f t="shared" si="96"/>
        <v/>
      </c>
      <c r="M798" s="23" t="str">
        <f>IF(L798="","",L798*Inicio!$B$13)</f>
        <v/>
      </c>
      <c r="N798" s="23" t="str">
        <f t="shared" si="97"/>
        <v/>
      </c>
      <c r="O798" s="26"/>
      <c r="P798" s="18"/>
      <c r="Q798" s="19"/>
      <c r="R798" s="23" t="str">
        <f t="shared" si="98"/>
        <v/>
      </c>
      <c r="S798" s="22" t="str">
        <f ca="1">IF(A798="","",IF(OR(P798="Pagada",R798=0),"Pagada",IF(O798&lt;TODAY(),"Vencida",IF(O798&lt;=TODAY()+Inicio!$B$19,"Próxima a vencer","Vigente"))))</f>
        <v/>
      </c>
      <c r="T798" s="18"/>
      <c r="U798" s="37" t="str">
        <f t="shared" si="99"/>
        <v/>
      </c>
      <c r="V798" s="37" t="str">
        <f t="shared" si="100"/>
        <v/>
      </c>
      <c r="W798" s="37" t="str">
        <f t="shared" si="101"/>
        <v/>
      </c>
      <c r="X798" s="37" t="str">
        <f t="shared" si="102"/>
        <v/>
      </c>
      <c r="Y798" s="37" t="str">
        <f>IF(OR($H798="",$J798=""),"",$J798*IFERROR(VLOOKUP($H798,Maestro_SKU!$A$2:$P$500,12,FALSE),1))</f>
        <v/>
      </c>
      <c r="Z798" s="37" t="str">
        <f t="shared" ca="1" si="103"/>
        <v/>
      </c>
    </row>
    <row r="799" spans="1:26" x14ac:dyDescent="0.35">
      <c r="A799" s="18"/>
      <c r="B799" s="26"/>
      <c r="C799" s="18"/>
      <c r="D799" s="18"/>
      <c r="E799" s="22" t="str">
        <f>IFERROR(VLOOKUP(D799,Clientes_PDV!$A$2:$J$250,2,FALSE),"")</f>
        <v/>
      </c>
      <c r="F799" s="22" t="str">
        <f>IFERROR(VLOOKUP(D799,Clientes_PDV!$A$2:$J$250,3,FALSE),"")</f>
        <v/>
      </c>
      <c r="G799" s="22" t="str">
        <f>IFERROR(VLOOKUP(D799,Clientes_PDV!$A$2:$J$250,4,FALSE),"")</f>
        <v/>
      </c>
      <c r="H799" s="18"/>
      <c r="I799" s="22" t="str">
        <f>IFERROR(VLOOKUP(H799,Maestro_SKU!$A$2:$P$500,2,FALSE),"")</f>
        <v/>
      </c>
      <c r="J799" s="27"/>
      <c r="K799" s="19"/>
      <c r="L799" s="23" t="str">
        <f t="shared" si="96"/>
        <v/>
      </c>
      <c r="M799" s="23" t="str">
        <f>IF(L799="","",L799*Inicio!$B$13)</f>
        <v/>
      </c>
      <c r="N799" s="23" t="str">
        <f t="shared" si="97"/>
        <v/>
      </c>
      <c r="O799" s="26"/>
      <c r="P799" s="18"/>
      <c r="Q799" s="19"/>
      <c r="R799" s="23" t="str">
        <f t="shared" si="98"/>
        <v/>
      </c>
      <c r="S799" s="22" t="str">
        <f ca="1">IF(A799="","",IF(OR(P799="Pagada",R799=0),"Pagada",IF(O799&lt;TODAY(),"Vencida",IF(O799&lt;=TODAY()+Inicio!$B$19,"Próxima a vencer","Vigente"))))</f>
        <v/>
      </c>
      <c r="T799" s="18"/>
      <c r="U799" s="37" t="str">
        <f t="shared" si="99"/>
        <v/>
      </c>
      <c r="V799" s="37" t="str">
        <f t="shared" si="100"/>
        <v/>
      </c>
      <c r="W799" s="37" t="str">
        <f t="shared" si="101"/>
        <v/>
      </c>
      <c r="X799" s="37" t="str">
        <f t="shared" si="102"/>
        <v/>
      </c>
      <c r="Y799" s="37" t="str">
        <f>IF(OR($H799="",$J799=""),"",$J799*IFERROR(VLOOKUP($H799,Maestro_SKU!$A$2:$P$500,12,FALSE),1))</f>
        <v/>
      </c>
      <c r="Z799" s="37" t="str">
        <f t="shared" ca="1" si="103"/>
        <v/>
      </c>
    </row>
    <row r="800" spans="1:26" x14ac:dyDescent="0.35">
      <c r="A800" s="18"/>
      <c r="B800" s="26"/>
      <c r="C800" s="18"/>
      <c r="D800" s="18"/>
      <c r="E800" s="22" t="str">
        <f>IFERROR(VLOOKUP(D800,Clientes_PDV!$A$2:$J$250,2,FALSE),"")</f>
        <v/>
      </c>
      <c r="F800" s="22" t="str">
        <f>IFERROR(VLOOKUP(D800,Clientes_PDV!$A$2:$J$250,3,FALSE),"")</f>
        <v/>
      </c>
      <c r="G800" s="22" t="str">
        <f>IFERROR(VLOOKUP(D800,Clientes_PDV!$A$2:$J$250,4,FALSE),"")</f>
        <v/>
      </c>
      <c r="H800" s="18"/>
      <c r="I800" s="22" t="str">
        <f>IFERROR(VLOOKUP(H800,Maestro_SKU!$A$2:$P$500,2,FALSE),"")</f>
        <v/>
      </c>
      <c r="J800" s="27"/>
      <c r="K800" s="19"/>
      <c r="L800" s="23" t="str">
        <f t="shared" si="96"/>
        <v/>
      </c>
      <c r="M800" s="23" t="str">
        <f>IF(L800="","",L800*Inicio!$B$13)</f>
        <v/>
      </c>
      <c r="N800" s="23" t="str">
        <f t="shared" si="97"/>
        <v/>
      </c>
      <c r="O800" s="26"/>
      <c r="P800" s="18"/>
      <c r="Q800" s="19"/>
      <c r="R800" s="23" t="str">
        <f t="shared" si="98"/>
        <v/>
      </c>
      <c r="S800" s="22" t="str">
        <f ca="1">IF(A800="","",IF(OR(P800="Pagada",R800=0),"Pagada",IF(O800&lt;TODAY(),"Vencida",IF(O800&lt;=TODAY()+Inicio!$B$19,"Próxima a vencer","Vigente"))))</f>
        <v/>
      </c>
      <c r="T800" s="18"/>
      <c r="U800" s="37" t="str">
        <f t="shared" si="99"/>
        <v/>
      </c>
      <c r="V800" s="37" t="str">
        <f t="shared" si="100"/>
        <v/>
      </c>
      <c r="W800" s="37" t="str">
        <f t="shared" si="101"/>
        <v/>
      </c>
      <c r="X800" s="37" t="str">
        <f t="shared" si="102"/>
        <v/>
      </c>
      <c r="Y800" s="37" t="str">
        <f>IF(OR($H800="",$J800=""),"",$J800*IFERROR(VLOOKUP($H800,Maestro_SKU!$A$2:$P$500,12,FALSE),1))</f>
        <v/>
      </c>
      <c r="Z800" s="37" t="str">
        <f t="shared" ca="1" si="103"/>
        <v/>
      </c>
    </row>
  </sheetData>
  <autoFilter ref="A1:Z800" xr:uid="{00000000-0009-0000-0000-000008000000}"/>
  <conditionalFormatting sqref="Z2:Z800">
    <cfRule type="cellIs" dxfId="2" priority="1" operator="lessThan">
      <formula>0</formula>
    </cfRule>
    <cfRule type="cellIs" dxfId="1" priority="2" operator="between">
      <formula>0</formula>
      <formula>7</formula>
    </cfRule>
  </conditionalFormatting>
  <dataValidations count="3">
    <dataValidation type="list" allowBlank="1" sqref="D2:D800" xr:uid="{00000000-0002-0000-0800-000000000000}">
      <formula1>rng_PDV</formula1>
    </dataValidation>
    <dataValidation type="list" allowBlank="1" sqref="H2:H800" xr:uid="{00000000-0002-0000-0800-000001000000}">
      <formula1>rng_SKU</formula1>
    </dataValidation>
    <dataValidation type="list" allowBlank="1" sqref="P2:P800" xr:uid="{00000000-0002-0000-0800-000002000000}">
      <formula1>lst_StatusPago</formula1>
    </dataValidation>
  </dataValidations>
  <hyperlinks>
    <hyperlink ref="AB1" location="Inicio!A11" display="⚙ Configuración" xr:uid="{00000000-0004-0000-0800-000000000000}"/>
  </hyperlinks>
  <pageMargins left="0.7" right="0.7" top="0.75" bottom="0.75" header="0.3" footer="0.3"/>
  <headerFooter>
    <oddHeader>&amp;C&amp;8 DOCUMENTO CONFIDENCIAL Y RESTRINGIDO  -  Uso interno Nuva Oxi</oddHeader>
    <oddFooter>&amp;LNuva Oxi&amp;RPágina &amp;P de &amp;N</oddFooter>
  </headerFooter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00000000-000E-0000-0800-000003000000}">
            <xm:f>AND($D2&lt;&gt;"",COUNTIF(Clientes_PDV!$A$2:$A$250,$D2)=0)</xm:f>
            <x14:dxf>
              <fill>
                <patternFill patternType="solid">
                  <fgColor rgb="FFF7C1C1"/>
                </patternFill>
              </fill>
            </x14:dxf>
          </x14:cfRule>
          <xm:sqref>D2:D800</xm:sqref>
        </x14:conditionalFormatting>
        <x14:conditionalFormatting xmlns:xm="http://schemas.microsoft.com/office/excel/2006/main">
          <x14:cfRule type="expression" priority="4" id="{00000000-000E-0000-0800-000004000000}">
            <xm:f>AND($H2&lt;&gt;"",COUNTIF(Maestro_SKU!$A$2:$A$500,$H2)=0)</xm:f>
            <x14:dxf>
              <fill>
                <patternFill patternType="solid">
                  <fgColor rgb="FFF7C1C1"/>
                </patternFill>
              </fill>
            </x14:dxf>
          </x14:cfRule>
          <xm:sqref>H2:H800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A56A97"/>
  </sheetPr>
  <dimension ref="A1:L111"/>
  <sheetViews>
    <sheetView showGridLines="0" workbookViewId="0">
      <pane ySplit="4" topLeftCell="A5" activePane="bottomLeft" state="frozen"/>
      <selection pane="bottomLeft" activeCell="G16" sqref="G16"/>
    </sheetView>
  </sheetViews>
  <sheetFormatPr baseColWidth="10" defaultColWidth="8.7265625" defaultRowHeight="14.5" x14ac:dyDescent="0.35"/>
  <cols>
    <col min="1" max="1" width="18" customWidth="1"/>
    <col min="2" max="2" width="16" customWidth="1"/>
    <col min="3" max="3" width="24" customWidth="1"/>
    <col min="4" max="4" width="17" customWidth="1"/>
    <col min="5" max="5" width="18" customWidth="1"/>
    <col min="6" max="6" width="17" customWidth="1"/>
    <col min="7" max="8" width="18" customWidth="1"/>
    <col min="9" max="9" width="17" customWidth="1"/>
    <col min="10" max="10" width="22" customWidth="1"/>
  </cols>
  <sheetData>
    <row r="1" spans="1:12" ht="28" customHeight="1" x14ac:dyDescent="0.35">
      <c r="A1" s="93" t="s">
        <v>400</v>
      </c>
      <c r="B1" s="90"/>
      <c r="C1" s="90"/>
      <c r="D1" s="90"/>
      <c r="E1" s="90"/>
      <c r="F1" s="90"/>
      <c r="G1" s="90"/>
      <c r="H1" s="90"/>
      <c r="I1" s="90"/>
      <c r="J1" s="90"/>
      <c r="L1" s="21" t="s">
        <v>20</v>
      </c>
    </row>
    <row r="2" spans="1:12" ht="20" customHeight="1" x14ac:dyDescent="0.35">
      <c r="A2" s="97" t="s">
        <v>401</v>
      </c>
      <c r="B2" s="90"/>
      <c r="C2" s="90"/>
      <c r="D2" s="90"/>
      <c r="E2" s="90"/>
      <c r="F2" s="90"/>
      <c r="G2" s="90"/>
      <c r="H2" s="90"/>
      <c r="I2" s="90"/>
      <c r="J2" s="90"/>
    </row>
    <row r="3" spans="1:12" ht="20" customHeight="1" x14ac:dyDescent="0.35"/>
    <row r="4" spans="1:12" ht="20" customHeight="1" x14ac:dyDescent="0.35">
      <c r="A4" s="88" t="s">
        <v>402</v>
      </c>
      <c r="B4" s="86"/>
      <c r="C4" s="86"/>
      <c r="D4" s="86"/>
      <c r="E4" s="86"/>
      <c r="F4" s="86"/>
      <c r="G4" s="86"/>
      <c r="H4" s="86"/>
      <c r="I4" s="86"/>
      <c r="J4" s="87"/>
    </row>
    <row r="5" spans="1:12" ht="28" customHeight="1" x14ac:dyDescent="0.35">
      <c r="A5" s="9" t="s">
        <v>1</v>
      </c>
      <c r="B5" s="9" t="s">
        <v>2</v>
      </c>
      <c r="C5" s="9" t="s">
        <v>403</v>
      </c>
      <c r="D5" s="9" t="s">
        <v>404</v>
      </c>
      <c r="E5" s="9" t="s">
        <v>405</v>
      </c>
      <c r="F5" s="9" t="s">
        <v>406</v>
      </c>
      <c r="G5" s="9" t="s">
        <v>407</v>
      </c>
      <c r="H5" s="9" t="s">
        <v>408</v>
      </c>
      <c r="I5" s="9" t="s">
        <v>409</v>
      </c>
      <c r="J5" s="9" t="s">
        <v>410</v>
      </c>
    </row>
    <row r="6" spans="1:12" ht="20" customHeight="1" x14ac:dyDescent="0.35">
      <c r="A6" s="8" t="s">
        <v>255</v>
      </c>
      <c r="B6" s="8" t="s">
        <v>39</v>
      </c>
      <c r="C6" s="8" t="s">
        <v>306</v>
      </c>
      <c r="D6" s="10">
        <v>1990</v>
      </c>
      <c r="E6" s="11">
        <v>0.4</v>
      </c>
      <c r="F6" s="12">
        <f>IF(D6="","",D6/(1+Inicio!$B$13))</f>
        <v>1672.2689075630253</v>
      </c>
      <c r="G6" s="12">
        <f t="shared" ref="G6:G37" si="0">IF(OR(F6="",E6=""),"",F6*(1-E6))</f>
        <v>1003.3613445378152</v>
      </c>
      <c r="H6" s="12">
        <f>IF(G6="","",G6*(1+Inicio!$B$13))</f>
        <v>1194</v>
      </c>
      <c r="I6" s="13">
        <f>IF(OR(F6="",G6=""),"",(F6-G6)/F6)</f>
        <v>0.4</v>
      </c>
      <c r="J6" s="8" t="s">
        <v>411</v>
      </c>
    </row>
    <row r="7" spans="1:12" ht="20" customHeight="1" x14ac:dyDescent="0.35">
      <c r="A7" s="8" t="s">
        <v>231</v>
      </c>
      <c r="B7" s="8" t="s">
        <v>31</v>
      </c>
      <c r="C7" s="8" t="s">
        <v>375</v>
      </c>
      <c r="D7" s="10">
        <v>5990</v>
      </c>
      <c r="E7" s="11">
        <v>0.45</v>
      </c>
      <c r="F7" s="12">
        <f>IF(D7="","",D7/(1+Inicio!$B$13))</f>
        <v>5033.6134453781515</v>
      </c>
      <c r="G7" s="12">
        <f t="shared" si="0"/>
        <v>2768.4873949579837</v>
      </c>
      <c r="H7" s="12">
        <f>IF(G7="","",G7*(1+Inicio!$B$13))</f>
        <v>3294.5000000000005</v>
      </c>
      <c r="I7" s="13">
        <f t="shared" ref="I6:I37" si="1">IF(OR(F7="",G7=""),"",(F7-G7)/F7)</f>
        <v>0.4499999999999999</v>
      </c>
      <c r="J7" s="8" t="s">
        <v>412</v>
      </c>
    </row>
    <row r="8" spans="1:12" ht="20" customHeight="1" x14ac:dyDescent="0.35">
      <c r="A8" s="8" t="s">
        <v>268</v>
      </c>
      <c r="B8" s="8" t="s">
        <v>47</v>
      </c>
      <c r="C8" s="8" t="s">
        <v>323</v>
      </c>
      <c r="D8" s="10">
        <v>1990</v>
      </c>
      <c r="E8" s="11">
        <v>0.4</v>
      </c>
      <c r="F8" s="12">
        <f>IF(D8="","",D8/(1+Inicio!$B$13))</f>
        <v>1672.2689075630253</v>
      </c>
      <c r="G8" s="12">
        <f t="shared" si="0"/>
        <v>1003.3613445378152</v>
      </c>
      <c r="H8" s="12">
        <f>IF(G8="","",G8*(1+Inicio!$B$13))</f>
        <v>1194</v>
      </c>
      <c r="I8" s="13">
        <f t="shared" si="1"/>
        <v>0.4</v>
      </c>
      <c r="J8" s="8" t="s">
        <v>413</v>
      </c>
    </row>
    <row r="9" spans="1:12" ht="20" customHeight="1" x14ac:dyDescent="0.35">
      <c r="A9" s="8"/>
      <c r="B9" s="8"/>
      <c r="C9" s="8"/>
      <c r="D9" s="10"/>
      <c r="E9" s="11"/>
      <c r="F9" s="12" t="str">
        <f>IF(D9="","",D9/(1+Inicio!$B$13))</f>
        <v/>
      </c>
      <c r="G9" s="12" t="str">
        <f t="shared" si="0"/>
        <v/>
      </c>
      <c r="H9" s="12" t="str">
        <f>IF(G9="","",G9*(1+Inicio!$B$13))</f>
        <v/>
      </c>
      <c r="I9" s="13" t="str">
        <f t="shared" si="1"/>
        <v/>
      </c>
      <c r="J9" s="8"/>
    </row>
    <row r="10" spans="1:12" ht="20" customHeight="1" x14ac:dyDescent="0.35">
      <c r="A10" s="8"/>
      <c r="B10" s="8"/>
      <c r="C10" s="8"/>
      <c r="D10" s="10"/>
      <c r="E10" s="11"/>
      <c r="F10" s="12" t="str">
        <f>IF(D10="","",D10/(1+Inicio!$B$13))</f>
        <v/>
      </c>
      <c r="G10" s="12" t="str">
        <f t="shared" si="0"/>
        <v/>
      </c>
      <c r="H10" s="12" t="str">
        <f>IF(G10="","",G10*(1+Inicio!$B$13))</f>
        <v/>
      </c>
      <c r="I10" s="13" t="str">
        <f t="shared" si="1"/>
        <v/>
      </c>
      <c r="J10" s="8"/>
    </row>
    <row r="11" spans="1:12" ht="20" customHeight="1" x14ac:dyDescent="0.35">
      <c r="A11" s="8"/>
      <c r="B11" s="8"/>
      <c r="C11" s="8"/>
      <c r="D11" s="10"/>
      <c r="E11" s="11"/>
      <c r="F11" s="12" t="str">
        <f>IF(D11="","",D11/(1+Inicio!$B$13))</f>
        <v/>
      </c>
      <c r="G11" s="12" t="str">
        <f t="shared" si="0"/>
        <v/>
      </c>
      <c r="H11" s="12" t="str">
        <f>IF(G11="","",G11*(1+Inicio!$B$13))</f>
        <v/>
      </c>
      <c r="I11" s="13" t="str">
        <f t="shared" si="1"/>
        <v/>
      </c>
      <c r="J11" s="8"/>
    </row>
    <row r="12" spans="1:12" ht="20" customHeight="1" x14ac:dyDescent="0.35">
      <c r="A12" s="8"/>
      <c r="B12" s="8"/>
      <c r="C12" s="8"/>
      <c r="D12" s="10"/>
      <c r="E12" s="11"/>
      <c r="F12" s="12" t="str">
        <f>IF(D12="","",D12/(1+Inicio!$B$13))</f>
        <v/>
      </c>
      <c r="G12" s="12" t="str">
        <f t="shared" si="0"/>
        <v/>
      </c>
      <c r="H12" s="12" t="str">
        <f>IF(G12="","",G12*(1+Inicio!$B$13))</f>
        <v/>
      </c>
      <c r="I12" s="13" t="str">
        <f t="shared" si="1"/>
        <v/>
      </c>
      <c r="J12" s="8"/>
    </row>
    <row r="13" spans="1:12" ht="20" customHeight="1" x14ac:dyDescent="0.35">
      <c r="A13" s="8"/>
      <c r="B13" s="8"/>
      <c r="C13" s="8"/>
      <c r="D13" s="10"/>
      <c r="E13" s="11"/>
      <c r="F13" s="12" t="str">
        <f>IF(D13="","",D13/(1+Inicio!$B$13))</f>
        <v/>
      </c>
      <c r="G13" s="12" t="str">
        <f t="shared" si="0"/>
        <v/>
      </c>
      <c r="H13" s="12" t="str">
        <f>IF(G13="","",G13*(1+Inicio!$B$13))</f>
        <v/>
      </c>
      <c r="I13" s="13" t="str">
        <f t="shared" si="1"/>
        <v/>
      </c>
      <c r="J13" s="8"/>
    </row>
    <row r="14" spans="1:12" ht="20" customHeight="1" x14ac:dyDescent="0.35">
      <c r="A14" s="8"/>
      <c r="B14" s="8"/>
      <c r="C14" s="8"/>
      <c r="D14" s="10"/>
      <c r="E14" s="11"/>
      <c r="F14" s="12" t="str">
        <f>IF(D14="","",D14/(1+Inicio!$B$13))</f>
        <v/>
      </c>
      <c r="G14" s="12" t="str">
        <f t="shared" si="0"/>
        <v/>
      </c>
      <c r="H14" s="12" t="str">
        <f>IF(G14="","",G14*(1+Inicio!$B$13))</f>
        <v/>
      </c>
      <c r="I14" s="13" t="str">
        <f t="shared" si="1"/>
        <v/>
      </c>
      <c r="J14" s="8"/>
    </row>
    <row r="15" spans="1:12" ht="20" customHeight="1" x14ac:dyDescent="0.35">
      <c r="A15" s="8"/>
      <c r="B15" s="8"/>
      <c r="C15" s="8"/>
      <c r="D15" s="10"/>
      <c r="E15" s="11"/>
      <c r="F15" s="12" t="str">
        <f>IF(D15="","",D15/(1+Inicio!$B$13))</f>
        <v/>
      </c>
      <c r="G15" s="12" t="str">
        <f t="shared" si="0"/>
        <v/>
      </c>
      <c r="H15" s="12" t="str">
        <f>IF(G15="","",G15*(1+Inicio!$B$13))</f>
        <v/>
      </c>
      <c r="I15" s="13" t="str">
        <f t="shared" si="1"/>
        <v/>
      </c>
      <c r="J15" s="8"/>
    </row>
    <row r="16" spans="1:12" ht="20" customHeight="1" x14ac:dyDescent="0.35">
      <c r="A16" s="8"/>
      <c r="B16" s="8"/>
      <c r="C16" s="8"/>
      <c r="D16" s="10"/>
      <c r="E16" s="11"/>
      <c r="F16" s="12" t="str">
        <f>IF(D16="","",D16/(1+Inicio!$B$13))</f>
        <v/>
      </c>
      <c r="G16" s="12" t="str">
        <f t="shared" si="0"/>
        <v/>
      </c>
      <c r="H16" s="12" t="str">
        <f>IF(G16="","",G16*(1+Inicio!$B$13))</f>
        <v/>
      </c>
      <c r="I16" s="13" t="str">
        <f t="shared" si="1"/>
        <v/>
      </c>
      <c r="J16" s="8"/>
    </row>
    <row r="17" spans="1:10" ht="20" customHeight="1" x14ac:dyDescent="0.35">
      <c r="A17" s="8"/>
      <c r="B17" s="8"/>
      <c r="C17" s="8"/>
      <c r="D17" s="10"/>
      <c r="E17" s="11"/>
      <c r="F17" s="12" t="str">
        <f>IF(D17="","",D17/(1+Inicio!$B$13))</f>
        <v/>
      </c>
      <c r="G17" s="12" t="str">
        <f t="shared" si="0"/>
        <v/>
      </c>
      <c r="H17" s="12" t="str">
        <f>IF(G17="","",G17*(1+Inicio!$B$13))</f>
        <v/>
      </c>
      <c r="I17" s="13" t="str">
        <f t="shared" si="1"/>
        <v/>
      </c>
      <c r="J17" s="8"/>
    </row>
    <row r="18" spans="1:10" ht="20" customHeight="1" x14ac:dyDescent="0.35">
      <c r="A18" s="8"/>
      <c r="B18" s="8"/>
      <c r="C18" s="8"/>
      <c r="D18" s="10"/>
      <c r="E18" s="11"/>
      <c r="F18" s="12" t="str">
        <f>IF(D18="","",D18/(1+Inicio!$B$13))</f>
        <v/>
      </c>
      <c r="G18" s="12" t="str">
        <f t="shared" si="0"/>
        <v/>
      </c>
      <c r="H18" s="12" t="str">
        <f>IF(G18="","",G18*(1+Inicio!$B$13))</f>
        <v/>
      </c>
      <c r="I18" s="13" t="str">
        <f t="shared" si="1"/>
        <v/>
      </c>
      <c r="J18" s="8"/>
    </row>
    <row r="19" spans="1:10" ht="20" customHeight="1" x14ac:dyDescent="0.35">
      <c r="A19" s="8"/>
      <c r="B19" s="8"/>
      <c r="C19" s="8"/>
      <c r="D19" s="10"/>
      <c r="E19" s="11"/>
      <c r="F19" s="12" t="str">
        <f>IF(D19="","",D19/(1+Inicio!$B$13))</f>
        <v/>
      </c>
      <c r="G19" s="12" t="str">
        <f t="shared" si="0"/>
        <v/>
      </c>
      <c r="H19" s="12" t="str">
        <f>IF(G19="","",G19*(1+Inicio!$B$13))</f>
        <v/>
      </c>
      <c r="I19" s="13" t="str">
        <f t="shared" si="1"/>
        <v/>
      </c>
      <c r="J19" s="8"/>
    </row>
    <row r="20" spans="1:10" ht="20" customHeight="1" x14ac:dyDescent="0.35">
      <c r="A20" s="8"/>
      <c r="B20" s="8"/>
      <c r="C20" s="8"/>
      <c r="D20" s="10"/>
      <c r="E20" s="11"/>
      <c r="F20" s="12" t="str">
        <f>IF(D20="","",D20/(1+Inicio!$B$13))</f>
        <v/>
      </c>
      <c r="G20" s="12" t="str">
        <f t="shared" si="0"/>
        <v/>
      </c>
      <c r="H20" s="12" t="str">
        <f>IF(G20="","",G20*(1+Inicio!$B$13))</f>
        <v/>
      </c>
      <c r="I20" s="13" t="str">
        <f t="shared" si="1"/>
        <v/>
      </c>
      <c r="J20" s="8"/>
    </row>
    <row r="21" spans="1:10" ht="20" customHeight="1" x14ac:dyDescent="0.35">
      <c r="A21" s="8"/>
      <c r="B21" s="8"/>
      <c r="C21" s="8"/>
      <c r="D21" s="10"/>
      <c r="E21" s="11"/>
      <c r="F21" s="12" t="str">
        <f>IF(D21="","",D21/(1+Inicio!$B$13))</f>
        <v/>
      </c>
      <c r="G21" s="12" t="str">
        <f t="shared" si="0"/>
        <v/>
      </c>
      <c r="H21" s="12" t="str">
        <f>IF(G21="","",G21*(1+Inicio!$B$13))</f>
        <v/>
      </c>
      <c r="I21" s="13" t="str">
        <f t="shared" si="1"/>
        <v/>
      </c>
      <c r="J21" s="8"/>
    </row>
    <row r="22" spans="1:10" ht="20" customHeight="1" x14ac:dyDescent="0.35">
      <c r="A22" s="8"/>
      <c r="B22" s="8"/>
      <c r="C22" s="8"/>
      <c r="D22" s="10"/>
      <c r="E22" s="11"/>
      <c r="F22" s="12" t="str">
        <f>IF(D22="","",D22/(1+Inicio!$B$13))</f>
        <v/>
      </c>
      <c r="G22" s="12" t="str">
        <f t="shared" si="0"/>
        <v/>
      </c>
      <c r="H22" s="12" t="str">
        <f>IF(G22="","",G22*(1+Inicio!$B$13))</f>
        <v/>
      </c>
      <c r="I22" s="13" t="str">
        <f t="shared" si="1"/>
        <v/>
      </c>
      <c r="J22" s="8"/>
    </row>
    <row r="23" spans="1:10" ht="20" customHeight="1" x14ac:dyDescent="0.35">
      <c r="A23" s="8"/>
      <c r="B23" s="8"/>
      <c r="C23" s="8"/>
      <c r="D23" s="10"/>
      <c r="E23" s="11"/>
      <c r="F23" s="12" t="str">
        <f>IF(D23="","",D23/(1+Inicio!$B$13))</f>
        <v/>
      </c>
      <c r="G23" s="12" t="str">
        <f t="shared" si="0"/>
        <v/>
      </c>
      <c r="H23" s="12" t="str">
        <f>IF(G23="","",G23*(1+Inicio!$B$13))</f>
        <v/>
      </c>
      <c r="I23" s="13" t="str">
        <f t="shared" si="1"/>
        <v/>
      </c>
      <c r="J23" s="8"/>
    </row>
    <row r="24" spans="1:10" ht="20" customHeight="1" x14ac:dyDescent="0.35">
      <c r="A24" s="8"/>
      <c r="B24" s="8"/>
      <c r="C24" s="8"/>
      <c r="D24" s="10"/>
      <c r="E24" s="11"/>
      <c r="F24" s="12" t="str">
        <f>IF(D24="","",D24/(1+Inicio!$B$13))</f>
        <v/>
      </c>
      <c r="G24" s="12" t="str">
        <f t="shared" si="0"/>
        <v/>
      </c>
      <c r="H24" s="12" t="str">
        <f>IF(G24="","",G24*(1+Inicio!$B$13))</f>
        <v/>
      </c>
      <c r="I24" s="13" t="str">
        <f t="shared" si="1"/>
        <v/>
      </c>
      <c r="J24" s="8"/>
    </row>
    <row r="25" spans="1:10" ht="20" customHeight="1" x14ac:dyDescent="0.35">
      <c r="A25" s="8"/>
      <c r="B25" s="8"/>
      <c r="C25" s="8"/>
      <c r="D25" s="10"/>
      <c r="E25" s="11"/>
      <c r="F25" s="12" t="str">
        <f>IF(D25="","",D25/(1+Inicio!$B$13))</f>
        <v/>
      </c>
      <c r="G25" s="12" t="str">
        <f t="shared" si="0"/>
        <v/>
      </c>
      <c r="H25" s="12" t="str">
        <f>IF(G25="","",G25*(1+Inicio!$B$13))</f>
        <v/>
      </c>
      <c r="I25" s="13" t="str">
        <f t="shared" si="1"/>
        <v/>
      </c>
      <c r="J25" s="8"/>
    </row>
    <row r="26" spans="1:10" ht="20" customHeight="1" x14ac:dyDescent="0.35">
      <c r="A26" s="8"/>
      <c r="B26" s="8"/>
      <c r="C26" s="8"/>
      <c r="D26" s="10"/>
      <c r="E26" s="11"/>
      <c r="F26" s="12" t="str">
        <f>IF(D26="","",D26/(1+Inicio!$B$13))</f>
        <v/>
      </c>
      <c r="G26" s="12" t="str">
        <f t="shared" si="0"/>
        <v/>
      </c>
      <c r="H26" s="12" t="str">
        <f>IF(G26="","",G26*(1+Inicio!$B$13))</f>
        <v/>
      </c>
      <c r="I26" s="13" t="str">
        <f t="shared" si="1"/>
        <v/>
      </c>
      <c r="J26" s="8"/>
    </row>
    <row r="27" spans="1:10" ht="20" customHeight="1" x14ac:dyDescent="0.35">
      <c r="A27" s="8"/>
      <c r="B27" s="8"/>
      <c r="C27" s="8"/>
      <c r="D27" s="10"/>
      <c r="E27" s="11"/>
      <c r="F27" s="12" t="str">
        <f>IF(D27="","",D27/(1+Inicio!$B$13))</f>
        <v/>
      </c>
      <c r="G27" s="12" t="str">
        <f t="shared" si="0"/>
        <v/>
      </c>
      <c r="H27" s="12" t="str">
        <f>IF(G27="","",G27*(1+Inicio!$B$13))</f>
        <v/>
      </c>
      <c r="I27" s="13" t="str">
        <f t="shared" si="1"/>
        <v/>
      </c>
      <c r="J27" s="8"/>
    </row>
    <row r="28" spans="1:10" ht="20" customHeight="1" x14ac:dyDescent="0.35">
      <c r="A28" s="8"/>
      <c r="B28" s="8"/>
      <c r="C28" s="8"/>
      <c r="D28" s="10"/>
      <c r="E28" s="11"/>
      <c r="F28" s="12" t="str">
        <f>IF(D28="","",D28/(1+Inicio!$B$13))</f>
        <v/>
      </c>
      <c r="G28" s="12" t="str">
        <f t="shared" si="0"/>
        <v/>
      </c>
      <c r="H28" s="12" t="str">
        <f>IF(G28="","",G28*(1+Inicio!$B$13))</f>
        <v/>
      </c>
      <c r="I28" s="13" t="str">
        <f t="shared" si="1"/>
        <v/>
      </c>
      <c r="J28" s="8"/>
    </row>
    <row r="29" spans="1:10" ht="20" customHeight="1" x14ac:dyDescent="0.35">
      <c r="A29" s="8"/>
      <c r="B29" s="8"/>
      <c r="C29" s="8"/>
      <c r="D29" s="10"/>
      <c r="E29" s="11"/>
      <c r="F29" s="12" t="str">
        <f>IF(D29="","",D29/(1+Inicio!$B$13))</f>
        <v/>
      </c>
      <c r="G29" s="12" t="str">
        <f t="shared" si="0"/>
        <v/>
      </c>
      <c r="H29" s="12" t="str">
        <f>IF(G29="","",G29*(1+Inicio!$B$13))</f>
        <v/>
      </c>
      <c r="I29" s="13" t="str">
        <f t="shared" si="1"/>
        <v/>
      </c>
      <c r="J29" s="8"/>
    </row>
    <row r="30" spans="1:10" ht="20" customHeight="1" x14ac:dyDescent="0.35">
      <c r="A30" s="8"/>
      <c r="B30" s="8"/>
      <c r="C30" s="8"/>
      <c r="D30" s="10"/>
      <c r="E30" s="11"/>
      <c r="F30" s="12" t="str">
        <f>IF(D30="","",D30/(1+Inicio!$B$13))</f>
        <v/>
      </c>
      <c r="G30" s="12" t="str">
        <f t="shared" si="0"/>
        <v/>
      </c>
      <c r="H30" s="12" t="str">
        <f>IF(G30="","",G30*(1+Inicio!$B$13))</f>
        <v/>
      </c>
      <c r="I30" s="13" t="str">
        <f t="shared" si="1"/>
        <v/>
      </c>
      <c r="J30" s="8"/>
    </row>
    <row r="31" spans="1:10" ht="20" customHeight="1" x14ac:dyDescent="0.35">
      <c r="A31" s="8"/>
      <c r="B31" s="8"/>
      <c r="C31" s="8"/>
      <c r="D31" s="10"/>
      <c r="E31" s="11"/>
      <c r="F31" s="12" t="str">
        <f>IF(D31="","",D31/(1+Inicio!$B$13))</f>
        <v/>
      </c>
      <c r="G31" s="12" t="str">
        <f t="shared" si="0"/>
        <v/>
      </c>
      <c r="H31" s="12" t="str">
        <f>IF(G31="","",G31*(1+Inicio!$B$13))</f>
        <v/>
      </c>
      <c r="I31" s="13" t="str">
        <f t="shared" si="1"/>
        <v/>
      </c>
      <c r="J31" s="8"/>
    </row>
    <row r="32" spans="1:10" ht="20" customHeight="1" x14ac:dyDescent="0.35">
      <c r="A32" s="8"/>
      <c r="B32" s="8"/>
      <c r="C32" s="8"/>
      <c r="D32" s="10"/>
      <c r="E32" s="11"/>
      <c r="F32" s="12" t="str">
        <f>IF(D32="","",D32/(1+Inicio!$B$13))</f>
        <v/>
      </c>
      <c r="G32" s="12" t="str">
        <f t="shared" si="0"/>
        <v/>
      </c>
      <c r="H32" s="12" t="str">
        <f>IF(G32="","",G32*(1+Inicio!$B$13))</f>
        <v/>
      </c>
      <c r="I32" s="13" t="str">
        <f t="shared" si="1"/>
        <v/>
      </c>
      <c r="J32" s="8"/>
    </row>
    <row r="33" spans="1:10" ht="20" customHeight="1" x14ac:dyDescent="0.35">
      <c r="A33" s="8"/>
      <c r="B33" s="8"/>
      <c r="C33" s="8"/>
      <c r="D33" s="10"/>
      <c r="E33" s="11"/>
      <c r="F33" s="12" t="str">
        <f>IF(D33="","",D33/(1+Inicio!$B$13))</f>
        <v/>
      </c>
      <c r="G33" s="12" t="str">
        <f t="shared" si="0"/>
        <v/>
      </c>
      <c r="H33" s="12" t="str">
        <f>IF(G33="","",G33*(1+Inicio!$B$13))</f>
        <v/>
      </c>
      <c r="I33" s="13" t="str">
        <f t="shared" si="1"/>
        <v/>
      </c>
      <c r="J33" s="8"/>
    </row>
    <row r="34" spans="1:10" ht="20" customHeight="1" x14ac:dyDescent="0.35">
      <c r="A34" s="8"/>
      <c r="B34" s="8"/>
      <c r="C34" s="8"/>
      <c r="D34" s="10"/>
      <c r="E34" s="11"/>
      <c r="F34" s="12" t="str">
        <f>IF(D34="","",D34/(1+Inicio!$B$13))</f>
        <v/>
      </c>
      <c r="G34" s="12" t="str">
        <f t="shared" si="0"/>
        <v/>
      </c>
      <c r="H34" s="12" t="str">
        <f>IF(G34="","",G34*(1+Inicio!$B$13))</f>
        <v/>
      </c>
      <c r="I34" s="13" t="str">
        <f t="shared" si="1"/>
        <v/>
      </c>
      <c r="J34" s="8"/>
    </row>
    <row r="35" spans="1:10" ht="20" customHeight="1" x14ac:dyDescent="0.35">
      <c r="A35" s="8"/>
      <c r="B35" s="8"/>
      <c r="C35" s="8"/>
      <c r="D35" s="10"/>
      <c r="E35" s="11"/>
      <c r="F35" s="12" t="str">
        <f>IF(D35="","",D35/(1+Inicio!$B$13))</f>
        <v/>
      </c>
      <c r="G35" s="12" t="str">
        <f t="shared" si="0"/>
        <v/>
      </c>
      <c r="H35" s="12" t="str">
        <f>IF(G35="","",G35*(1+Inicio!$B$13))</f>
        <v/>
      </c>
      <c r="I35" s="13" t="str">
        <f t="shared" si="1"/>
        <v/>
      </c>
      <c r="J35" s="8"/>
    </row>
    <row r="36" spans="1:10" ht="20" customHeight="1" x14ac:dyDescent="0.35">
      <c r="A36" s="8"/>
      <c r="B36" s="8"/>
      <c r="C36" s="8"/>
      <c r="D36" s="10"/>
      <c r="E36" s="11"/>
      <c r="F36" s="12" t="str">
        <f>IF(D36="","",D36/(1+Inicio!$B$13))</f>
        <v/>
      </c>
      <c r="G36" s="12" t="str">
        <f t="shared" si="0"/>
        <v/>
      </c>
      <c r="H36" s="12" t="str">
        <f>IF(G36="","",G36*(1+Inicio!$B$13))</f>
        <v/>
      </c>
      <c r="I36" s="13" t="str">
        <f t="shared" si="1"/>
        <v/>
      </c>
      <c r="J36" s="8"/>
    </row>
    <row r="37" spans="1:10" ht="20" customHeight="1" x14ac:dyDescent="0.35">
      <c r="A37" s="8"/>
      <c r="B37" s="8"/>
      <c r="C37" s="8"/>
      <c r="D37" s="10"/>
      <c r="E37" s="11"/>
      <c r="F37" s="12" t="str">
        <f>IF(D37="","",D37/(1+Inicio!$B$13))</f>
        <v/>
      </c>
      <c r="G37" s="12" t="str">
        <f t="shared" si="0"/>
        <v/>
      </c>
      <c r="H37" s="12" t="str">
        <f>IF(G37="","",G37*(1+Inicio!$B$13))</f>
        <v/>
      </c>
      <c r="I37" s="13" t="str">
        <f t="shared" si="1"/>
        <v/>
      </c>
      <c r="J37" s="8"/>
    </row>
    <row r="38" spans="1:10" ht="20" customHeight="1" x14ac:dyDescent="0.35">
      <c r="A38" s="8"/>
      <c r="B38" s="8"/>
      <c r="C38" s="8"/>
      <c r="D38" s="10"/>
      <c r="E38" s="11"/>
      <c r="F38" s="12" t="str">
        <f>IF(D38="","",D38/(1+Inicio!$B$13))</f>
        <v/>
      </c>
      <c r="G38" s="12" t="str">
        <f t="shared" ref="G38:G55" si="2">IF(OR(F38="",E38=""),"",F38*(1-E38))</f>
        <v/>
      </c>
      <c r="H38" s="12" t="str">
        <f>IF(G38="","",G38*(1+Inicio!$B$13))</f>
        <v/>
      </c>
      <c r="I38" s="13" t="str">
        <f t="shared" ref="I38:I55" si="3">IF(OR(F38="",G38=""),"",(F38-G38)/F38)</f>
        <v/>
      </c>
      <c r="J38" s="8"/>
    </row>
    <row r="39" spans="1:10" ht="20" customHeight="1" x14ac:dyDescent="0.35">
      <c r="A39" s="8"/>
      <c r="B39" s="8"/>
      <c r="C39" s="8"/>
      <c r="D39" s="10"/>
      <c r="E39" s="11"/>
      <c r="F39" s="12" t="str">
        <f>IF(D39="","",D39/(1+Inicio!$B$13))</f>
        <v/>
      </c>
      <c r="G39" s="12" t="str">
        <f t="shared" si="2"/>
        <v/>
      </c>
      <c r="H39" s="12" t="str">
        <f>IF(G39="","",G39*(1+Inicio!$B$13))</f>
        <v/>
      </c>
      <c r="I39" s="13" t="str">
        <f t="shared" si="3"/>
        <v/>
      </c>
      <c r="J39" s="8"/>
    </row>
    <row r="40" spans="1:10" ht="20" customHeight="1" x14ac:dyDescent="0.35">
      <c r="A40" s="8"/>
      <c r="B40" s="8"/>
      <c r="C40" s="8"/>
      <c r="D40" s="10"/>
      <c r="E40" s="11"/>
      <c r="F40" s="12" t="str">
        <f>IF(D40="","",D40/(1+Inicio!$B$13))</f>
        <v/>
      </c>
      <c r="G40" s="12" t="str">
        <f t="shared" si="2"/>
        <v/>
      </c>
      <c r="H40" s="12" t="str">
        <f>IF(G40="","",G40*(1+Inicio!$B$13))</f>
        <v/>
      </c>
      <c r="I40" s="13" t="str">
        <f t="shared" si="3"/>
        <v/>
      </c>
      <c r="J40" s="8"/>
    </row>
    <row r="41" spans="1:10" ht="20" customHeight="1" x14ac:dyDescent="0.35">
      <c r="A41" s="8"/>
      <c r="B41" s="8"/>
      <c r="C41" s="8"/>
      <c r="D41" s="10"/>
      <c r="E41" s="11"/>
      <c r="F41" s="12" t="str">
        <f>IF(D41="","",D41/(1+Inicio!$B$13))</f>
        <v/>
      </c>
      <c r="G41" s="12" t="str">
        <f t="shared" si="2"/>
        <v/>
      </c>
      <c r="H41" s="12" t="str">
        <f>IF(G41="","",G41*(1+Inicio!$B$13))</f>
        <v/>
      </c>
      <c r="I41" s="13" t="str">
        <f t="shared" si="3"/>
        <v/>
      </c>
      <c r="J41" s="8"/>
    </row>
    <row r="42" spans="1:10" ht="20" customHeight="1" x14ac:dyDescent="0.35">
      <c r="A42" s="8"/>
      <c r="B42" s="8"/>
      <c r="C42" s="8"/>
      <c r="D42" s="10"/>
      <c r="E42" s="11"/>
      <c r="F42" s="12" t="str">
        <f>IF(D42="","",D42/(1+Inicio!$B$13))</f>
        <v/>
      </c>
      <c r="G42" s="12" t="str">
        <f t="shared" si="2"/>
        <v/>
      </c>
      <c r="H42" s="12" t="str">
        <f>IF(G42="","",G42*(1+Inicio!$B$13))</f>
        <v/>
      </c>
      <c r="I42" s="13" t="str">
        <f t="shared" si="3"/>
        <v/>
      </c>
      <c r="J42" s="8"/>
    </row>
    <row r="43" spans="1:10" ht="20" customHeight="1" x14ac:dyDescent="0.35">
      <c r="A43" s="8"/>
      <c r="B43" s="8"/>
      <c r="C43" s="8"/>
      <c r="D43" s="10"/>
      <c r="E43" s="11"/>
      <c r="F43" s="12" t="str">
        <f>IF(D43="","",D43/(1+Inicio!$B$13))</f>
        <v/>
      </c>
      <c r="G43" s="12" t="str">
        <f t="shared" si="2"/>
        <v/>
      </c>
      <c r="H43" s="12" t="str">
        <f>IF(G43="","",G43*(1+Inicio!$B$13))</f>
        <v/>
      </c>
      <c r="I43" s="13" t="str">
        <f t="shared" si="3"/>
        <v/>
      </c>
      <c r="J43" s="8"/>
    </row>
    <row r="44" spans="1:10" ht="20" customHeight="1" x14ac:dyDescent="0.35">
      <c r="A44" s="8"/>
      <c r="B44" s="8"/>
      <c r="C44" s="8"/>
      <c r="D44" s="10"/>
      <c r="E44" s="11"/>
      <c r="F44" s="12" t="str">
        <f>IF(D44="","",D44/(1+Inicio!$B$13))</f>
        <v/>
      </c>
      <c r="G44" s="12" t="str">
        <f t="shared" si="2"/>
        <v/>
      </c>
      <c r="H44" s="12" t="str">
        <f>IF(G44="","",G44*(1+Inicio!$B$13))</f>
        <v/>
      </c>
      <c r="I44" s="13" t="str">
        <f t="shared" si="3"/>
        <v/>
      </c>
      <c r="J44" s="8"/>
    </row>
    <row r="45" spans="1:10" ht="20" customHeight="1" x14ac:dyDescent="0.35">
      <c r="A45" s="8"/>
      <c r="B45" s="8"/>
      <c r="C45" s="8"/>
      <c r="D45" s="10"/>
      <c r="E45" s="11"/>
      <c r="F45" s="12" t="str">
        <f>IF(D45="","",D45/(1+Inicio!$B$13))</f>
        <v/>
      </c>
      <c r="G45" s="12" t="str">
        <f t="shared" si="2"/>
        <v/>
      </c>
      <c r="H45" s="12" t="str">
        <f>IF(G45="","",G45*(1+Inicio!$B$13))</f>
        <v/>
      </c>
      <c r="I45" s="13" t="str">
        <f t="shared" si="3"/>
        <v/>
      </c>
      <c r="J45" s="8"/>
    </row>
    <row r="46" spans="1:10" ht="20" customHeight="1" x14ac:dyDescent="0.35">
      <c r="A46" s="8"/>
      <c r="B46" s="8"/>
      <c r="C46" s="8"/>
      <c r="D46" s="10"/>
      <c r="E46" s="11"/>
      <c r="F46" s="12" t="str">
        <f>IF(D46="","",D46/(1+Inicio!$B$13))</f>
        <v/>
      </c>
      <c r="G46" s="12" t="str">
        <f t="shared" si="2"/>
        <v/>
      </c>
      <c r="H46" s="12" t="str">
        <f>IF(G46="","",G46*(1+Inicio!$B$13))</f>
        <v/>
      </c>
      <c r="I46" s="13" t="str">
        <f t="shared" si="3"/>
        <v/>
      </c>
      <c r="J46" s="8"/>
    </row>
    <row r="47" spans="1:10" ht="20" customHeight="1" x14ac:dyDescent="0.35">
      <c r="A47" s="8"/>
      <c r="B47" s="8"/>
      <c r="C47" s="8"/>
      <c r="D47" s="10"/>
      <c r="E47" s="11"/>
      <c r="F47" s="12" t="str">
        <f>IF(D47="","",D47/(1+Inicio!$B$13))</f>
        <v/>
      </c>
      <c r="G47" s="12" t="str">
        <f t="shared" si="2"/>
        <v/>
      </c>
      <c r="H47" s="12" t="str">
        <f>IF(G47="","",G47*(1+Inicio!$B$13))</f>
        <v/>
      </c>
      <c r="I47" s="13" t="str">
        <f t="shared" si="3"/>
        <v/>
      </c>
      <c r="J47" s="8"/>
    </row>
    <row r="48" spans="1:10" ht="20" customHeight="1" x14ac:dyDescent="0.35">
      <c r="A48" s="8"/>
      <c r="B48" s="8"/>
      <c r="C48" s="8"/>
      <c r="D48" s="10"/>
      <c r="E48" s="11"/>
      <c r="F48" s="12" t="str">
        <f>IF(D48="","",D48/(1+Inicio!$B$13))</f>
        <v/>
      </c>
      <c r="G48" s="12" t="str">
        <f t="shared" si="2"/>
        <v/>
      </c>
      <c r="H48" s="12" t="str">
        <f>IF(G48="","",G48*(1+Inicio!$B$13))</f>
        <v/>
      </c>
      <c r="I48" s="13" t="str">
        <f t="shared" si="3"/>
        <v/>
      </c>
      <c r="J48" s="8"/>
    </row>
    <row r="49" spans="1:10" ht="20" customHeight="1" x14ac:dyDescent="0.35">
      <c r="A49" s="8"/>
      <c r="B49" s="8"/>
      <c r="C49" s="8"/>
      <c r="D49" s="10"/>
      <c r="E49" s="11"/>
      <c r="F49" s="12" t="str">
        <f>IF(D49="","",D49/(1+Inicio!$B$13))</f>
        <v/>
      </c>
      <c r="G49" s="12" t="str">
        <f t="shared" si="2"/>
        <v/>
      </c>
      <c r="H49" s="12" t="str">
        <f>IF(G49="","",G49*(1+Inicio!$B$13))</f>
        <v/>
      </c>
      <c r="I49" s="13" t="str">
        <f t="shared" si="3"/>
        <v/>
      </c>
      <c r="J49" s="8"/>
    </row>
    <row r="50" spans="1:10" ht="20" customHeight="1" x14ac:dyDescent="0.35">
      <c r="A50" s="8"/>
      <c r="B50" s="8"/>
      <c r="C50" s="8"/>
      <c r="D50" s="10"/>
      <c r="E50" s="11"/>
      <c r="F50" s="12" t="str">
        <f>IF(D50="","",D50/(1+Inicio!$B$13))</f>
        <v/>
      </c>
      <c r="G50" s="12" t="str">
        <f t="shared" si="2"/>
        <v/>
      </c>
      <c r="H50" s="12" t="str">
        <f>IF(G50="","",G50*(1+Inicio!$B$13))</f>
        <v/>
      </c>
      <c r="I50" s="13" t="str">
        <f t="shared" si="3"/>
        <v/>
      </c>
      <c r="J50" s="8"/>
    </row>
    <row r="51" spans="1:10" x14ac:dyDescent="0.35">
      <c r="A51" s="8"/>
      <c r="B51" s="8"/>
      <c r="C51" s="8"/>
      <c r="D51" s="10"/>
      <c r="E51" s="11"/>
      <c r="F51" s="12" t="str">
        <f>IF(D51="","",D51/(1+Inicio!$B$13))</f>
        <v/>
      </c>
      <c r="G51" s="12" t="str">
        <f t="shared" si="2"/>
        <v/>
      </c>
      <c r="H51" s="12" t="str">
        <f>IF(G51="","",G51*(1+Inicio!$B$13))</f>
        <v/>
      </c>
      <c r="I51" s="13" t="str">
        <f t="shared" si="3"/>
        <v/>
      </c>
      <c r="J51" s="8"/>
    </row>
    <row r="52" spans="1:10" x14ac:dyDescent="0.35">
      <c r="A52" s="8"/>
      <c r="B52" s="8"/>
      <c r="C52" s="8"/>
      <c r="D52" s="10"/>
      <c r="E52" s="11"/>
      <c r="F52" s="12" t="str">
        <f>IF(D52="","",D52/(1+Inicio!$B$13))</f>
        <v/>
      </c>
      <c r="G52" s="12" t="str">
        <f t="shared" si="2"/>
        <v/>
      </c>
      <c r="H52" s="12" t="str">
        <f>IF(G52="","",G52*(1+Inicio!$B$13))</f>
        <v/>
      </c>
      <c r="I52" s="13" t="str">
        <f t="shared" si="3"/>
        <v/>
      </c>
      <c r="J52" s="8"/>
    </row>
    <row r="53" spans="1:10" x14ac:dyDescent="0.35">
      <c r="A53" s="8"/>
      <c r="B53" s="8"/>
      <c r="C53" s="8"/>
      <c r="D53" s="10"/>
      <c r="E53" s="11"/>
      <c r="F53" s="12" t="str">
        <f>IF(D53="","",D53/(1+Inicio!$B$13))</f>
        <v/>
      </c>
      <c r="G53" s="12" t="str">
        <f t="shared" si="2"/>
        <v/>
      </c>
      <c r="H53" s="12" t="str">
        <f>IF(G53="","",G53*(1+Inicio!$B$13))</f>
        <v/>
      </c>
      <c r="I53" s="13" t="str">
        <f t="shared" si="3"/>
        <v/>
      </c>
      <c r="J53" s="8"/>
    </row>
    <row r="54" spans="1:10" x14ac:dyDescent="0.35">
      <c r="A54" s="8"/>
      <c r="B54" s="8"/>
      <c r="C54" s="8"/>
      <c r="D54" s="10"/>
      <c r="E54" s="11"/>
      <c r="F54" s="12" t="str">
        <f>IF(D54="","",D54/(1+Inicio!$B$13))</f>
        <v/>
      </c>
      <c r="G54" s="12" t="str">
        <f t="shared" si="2"/>
        <v/>
      </c>
      <c r="H54" s="12" t="str">
        <f>IF(G54="","",G54*(1+Inicio!$B$13))</f>
        <v/>
      </c>
      <c r="I54" s="13" t="str">
        <f t="shared" si="3"/>
        <v/>
      </c>
      <c r="J54" s="8"/>
    </row>
    <row r="55" spans="1:10" x14ac:dyDescent="0.35">
      <c r="A55" s="8"/>
      <c r="B55" s="8"/>
      <c r="C55" s="8"/>
      <c r="D55" s="10"/>
      <c r="E55" s="11"/>
      <c r="F55" s="12" t="str">
        <f>IF(D55="","",D55/(1+Inicio!$B$13))</f>
        <v/>
      </c>
      <c r="G55" s="12" t="str">
        <f t="shared" si="2"/>
        <v/>
      </c>
      <c r="H55" s="12" t="str">
        <f>IF(G55="","",G55*(1+Inicio!$B$13))</f>
        <v/>
      </c>
      <c r="I55" s="13" t="str">
        <f t="shared" si="3"/>
        <v/>
      </c>
      <c r="J55" s="8"/>
    </row>
    <row r="56" spans="1:10" x14ac:dyDescent="0.35">
      <c r="A56" s="14"/>
      <c r="B56" s="14"/>
      <c r="C56" s="14"/>
      <c r="D56" s="14"/>
      <c r="E56" s="14"/>
      <c r="F56" s="14"/>
      <c r="G56" s="14"/>
      <c r="H56" s="14"/>
      <c r="I56" s="14"/>
      <c r="J56" s="14"/>
    </row>
    <row r="57" spans="1:10" x14ac:dyDescent="0.35">
      <c r="A57" s="14"/>
      <c r="B57" s="14"/>
      <c r="C57" s="14"/>
      <c r="D57" s="14"/>
      <c r="E57" s="14"/>
      <c r="F57" s="14"/>
      <c r="G57" s="14"/>
      <c r="H57" s="14"/>
      <c r="I57" s="14"/>
      <c r="J57" s="14"/>
    </row>
    <row r="58" spans="1:10" x14ac:dyDescent="0.35">
      <c r="A58" s="14"/>
      <c r="B58" s="14"/>
      <c r="C58" s="14"/>
      <c r="D58" s="14"/>
      <c r="E58" s="14"/>
      <c r="F58" s="14"/>
      <c r="G58" s="14"/>
      <c r="H58" s="14"/>
      <c r="I58" s="14"/>
      <c r="J58" s="14"/>
    </row>
    <row r="59" spans="1:10" x14ac:dyDescent="0.35">
      <c r="A59" s="14"/>
      <c r="B59" s="14"/>
      <c r="C59" s="14"/>
      <c r="D59" s="14"/>
      <c r="E59" s="14"/>
      <c r="F59" s="14"/>
      <c r="G59" s="14"/>
      <c r="H59" s="14"/>
      <c r="I59" s="14"/>
      <c r="J59" s="14"/>
    </row>
    <row r="60" spans="1:10" x14ac:dyDescent="0.35">
      <c r="A60" s="96" t="s">
        <v>414</v>
      </c>
      <c r="B60" s="86"/>
      <c r="C60" s="86"/>
      <c r="D60" s="86"/>
      <c r="E60" s="86"/>
      <c r="F60" s="86"/>
      <c r="G60" s="86"/>
      <c r="H60" s="86"/>
      <c r="I60" s="86"/>
      <c r="J60" s="87"/>
    </row>
    <row r="61" spans="1:10" ht="28" customHeight="1" x14ac:dyDescent="0.35">
      <c r="A61" s="9" t="s">
        <v>1</v>
      </c>
      <c r="B61" s="9" t="s">
        <v>2</v>
      </c>
      <c r="C61" s="9" t="s">
        <v>403</v>
      </c>
      <c r="D61" s="9" t="s">
        <v>404</v>
      </c>
      <c r="E61" s="9" t="s">
        <v>415</v>
      </c>
      <c r="F61" s="9" t="s">
        <v>408</v>
      </c>
      <c r="G61" s="9" t="s">
        <v>406</v>
      </c>
      <c r="H61" s="9" t="s">
        <v>416</v>
      </c>
      <c r="I61" s="9" t="s">
        <v>417</v>
      </c>
      <c r="J61" s="9" t="s">
        <v>418</v>
      </c>
    </row>
    <row r="62" spans="1:10" x14ac:dyDescent="0.35">
      <c r="A62" s="8" t="s">
        <v>255</v>
      </c>
      <c r="B62" s="8" t="s">
        <v>39</v>
      </c>
      <c r="C62" s="8" t="s">
        <v>306</v>
      </c>
      <c r="D62" s="10">
        <v>1990</v>
      </c>
      <c r="E62" s="10">
        <v>1000</v>
      </c>
      <c r="F62" s="12">
        <f>IF(E62="","",E62*(1+Inicio!$B$13))</f>
        <v>1190</v>
      </c>
      <c r="G62" s="12">
        <f>IF(D62="","",D62/(1+Inicio!$B$13))</f>
        <v>1672.2689075630253</v>
      </c>
      <c r="H62" s="13">
        <f t="shared" ref="H62:H93" si="4">IF(OR(G62="",E62=""),"",(G62-E62)/G62)</f>
        <v>0.4020100502512563</v>
      </c>
      <c r="I62" s="11">
        <v>0.4</v>
      </c>
      <c r="J62" s="15" t="str">
        <f t="shared" ref="J62:J93" si="5">IF(OR(H62="",I62=""),"",IF(H62&gt;=I62,"Cumple","Bajo objetivo"))</f>
        <v>Cumple</v>
      </c>
    </row>
    <row r="63" spans="1:10" x14ac:dyDescent="0.35">
      <c r="A63" s="8" t="s">
        <v>231</v>
      </c>
      <c r="B63" s="8" t="s">
        <v>31</v>
      </c>
      <c r="C63" s="8" t="s">
        <v>375</v>
      </c>
      <c r="D63" s="10">
        <v>5990</v>
      </c>
      <c r="E63" s="10">
        <v>2800</v>
      </c>
      <c r="F63" s="12">
        <f>IF(E63="","",E63*(1+Inicio!$B$13))</f>
        <v>3332</v>
      </c>
      <c r="G63" s="12">
        <f>IF(D63="","",D63/(1+Inicio!$B$13))</f>
        <v>5033.6134453781515</v>
      </c>
      <c r="H63" s="13">
        <f t="shared" si="4"/>
        <v>0.44373956594323877</v>
      </c>
      <c r="I63" s="11">
        <v>0.45</v>
      </c>
      <c r="J63" s="15" t="str">
        <f t="shared" si="5"/>
        <v>Bajo objetivo</v>
      </c>
    </row>
    <row r="64" spans="1:10" x14ac:dyDescent="0.35">
      <c r="A64" s="8"/>
      <c r="B64" s="8"/>
      <c r="C64" s="8"/>
      <c r="D64" s="10"/>
      <c r="E64" s="10"/>
      <c r="F64" s="12" t="str">
        <f>IF(E64="","",E64*(1+Inicio!$B$13))</f>
        <v/>
      </c>
      <c r="G64" s="12" t="str">
        <f>IF(D64="","",D64/(1+Inicio!$B$13))</f>
        <v/>
      </c>
      <c r="H64" s="13" t="str">
        <f t="shared" si="4"/>
        <v/>
      </c>
      <c r="I64" s="11"/>
      <c r="J64" s="15" t="str">
        <f t="shared" si="5"/>
        <v/>
      </c>
    </row>
    <row r="65" spans="1:10" x14ac:dyDescent="0.35">
      <c r="A65" s="8"/>
      <c r="B65" s="8"/>
      <c r="C65" s="8"/>
      <c r="D65" s="10"/>
      <c r="E65" s="10"/>
      <c r="F65" s="12" t="str">
        <f>IF(E65="","",E65*(1+Inicio!$B$13))</f>
        <v/>
      </c>
      <c r="G65" s="12" t="str">
        <f>IF(D65="","",D65/(1+Inicio!$B$13))</f>
        <v/>
      </c>
      <c r="H65" s="13" t="str">
        <f t="shared" si="4"/>
        <v/>
      </c>
      <c r="I65" s="11"/>
      <c r="J65" s="15" t="str">
        <f t="shared" si="5"/>
        <v/>
      </c>
    </row>
    <row r="66" spans="1:10" x14ac:dyDescent="0.35">
      <c r="A66" s="8"/>
      <c r="B66" s="8"/>
      <c r="C66" s="8"/>
      <c r="D66" s="10"/>
      <c r="E66" s="10"/>
      <c r="F66" s="12" t="str">
        <f>IF(E66="","",E66*(1+Inicio!$B$13))</f>
        <v/>
      </c>
      <c r="G66" s="12" t="str">
        <f>IF(D66="","",D66/(1+Inicio!$B$13))</f>
        <v/>
      </c>
      <c r="H66" s="13" t="str">
        <f t="shared" si="4"/>
        <v/>
      </c>
      <c r="I66" s="11"/>
      <c r="J66" s="15" t="str">
        <f t="shared" si="5"/>
        <v/>
      </c>
    </row>
    <row r="67" spans="1:10" x14ac:dyDescent="0.35">
      <c r="A67" s="8"/>
      <c r="B67" s="8"/>
      <c r="C67" s="8"/>
      <c r="D67" s="10"/>
      <c r="E67" s="10"/>
      <c r="F67" s="12" t="str">
        <f>IF(E67="","",E67*(1+Inicio!$B$13))</f>
        <v/>
      </c>
      <c r="G67" s="12" t="str">
        <f>IF(D67="","",D67/(1+Inicio!$B$13))</f>
        <v/>
      </c>
      <c r="H67" s="13" t="str">
        <f t="shared" si="4"/>
        <v/>
      </c>
      <c r="I67" s="11"/>
      <c r="J67" s="15" t="str">
        <f t="shared" si="5"/>
        <v/>
      </c>
    </row>
    <row r="68" spans="1:10" x14ac:dyDescent="0.35">
      <c r="A68" s="8"/>
      <c r="B68" s="8"/>
      <c r="C68" s="8"/>
      <c r="D68" s="10"/>
      <c r="E68" s="10"/>
      <c r="F68" s="12" t="str">
        <f>IF(E68="","",E68*(1+Inicio!$B$13))</f>
        <v/>
      </c>
      <c r="G68" s="12" t="str">
        <f>IF(D68="","",D68/(1+Inicio!$B$13))</f>
        <v/>
      </c>
      <c r="H68" s="13" t="str">
        <f t="shared" si="4"/>
        <v/>
      </c>
      <c r="I68" s="11"/>
      <c r="J68" s="15" t="str">
        <f t="shared" si="5"/>
        <v/>
      </c>
    </row>
    <row r="69" spans="1:10" x14ac:dyDescent="0.35">
      <c r="A69" s="8"/>
      <c r="B69" s="8"/>
      <c r="C69" s="8"/>
      <c r="D69" s="10"/>
      <c r="E69" s="10"/>
      <c r="F69" s="12" t="str">
        <f>IF(E69="","",E69*(1+Inicio!$B$13))</f>
        <v/>
      </c>
      <c r="G69" s="12" t="str">
        <f>IF(D69="","",D69/(1+Inicio!$B$13))</f>
        <v/>
      </c>
      <c r="H69" s="13" t="str">
        <f t="shared" si="4"/>
        <v/>
      </c>
      <c r="I69" s="11"/>
      <c r="J69" s="15" t="str">
        <f t="shared" si="5"/>
        <v/>
      </c>
    </row>
    <row r="70" spans="1:10" x14ac:dyDescent="0.35">
      <c r="A70" s="8"/>
      <c r="B70" s="8"/>
      <c r="C70" s="8"/>
      <c r="D70" s="10"/>
      <c r="E70" s="10"/>
      <c r="F70" s="12" t="str">
        <f>IF(E70="","",E70*(1+Inicio!$B$13))</f>
        <v/>
      </c>
      <c r="G70" s="12" t="str">
        <f>IF(D70="","",D70/(1+Inicio!$B$13))</f>
        <v/>
      </c>
      <c r="H70" s="13" t="str">
        <f t="shared" si="4"/>
        <v/>
      </c>
      <c r="I70" s="11"/>
      <c r="J70" s="15" t="str">
        <f t="shared" si="5"/>
        <v/>
      </c>
    </row>
    <row r="71" spans="1:10" x14ac:dyDescent="0.35">
      <c r="A71" s="8"/>
      <c r="B71" s="8"/>
      <c r="C71" s="8"/>
      <c r="D71" s="10"/>
      <c r="E71" s="10"/>
      <c r="F71" s="12" t="str">
        <f>IF(E71="","",E71*(1+Inicio!$B$13))</f>
        <v/>
      </c>
      <c r="G71" s="12" t="str">
        <f>IF(D71="","",D71/(1+Inicio!$B$13))</f>
        <v/>
      </c>
      <c r="H71" s="13" t="str">
        <f t="shared" si="4"/>
        <v/>
      </c>
      <c r="I71" s="11"/>
      <c r="J71" s="15" t="str">
        <f t="shared" si="5"/>
        <v/>
      </c>
    </row>
    <row r="72" spans="1:10" x14ac:dyDescent="0.35">
      <c r="A72" s="8"/>
      <c r="B72" s="8"/>
      <c r="C72" s="8"/>
      <c r="D72" s="10"/>
      <c r="E72" s="10"/>
      <c r="F72" s="12" t="str">
        <f>IF(E72="","",E72*(1+Inicio!$B$13))</f>
        <v/>
      </c>
      <c r="G72" s="12" t="str">
        <f>IF(D72="","",D72/(1+Inicio!$B$13))</f>
        <v/>
      </c>
      <c r="H72" s="13" t="str">
        <f t="shared" si="4"/>
        <v/>
      </c>
      <c r="I72" s="11"/>
      <c r="J72" s="15" t="str">
        <f t="shared" si="5"/>
        <v/>
      </c>
    </row>
    <row r="73" spans="1:10" x14ac:dyDescent="0.35">
      <c r="A73" s="8"/>
      <c r="B73" s="8"/>
      <c r="C73" s="8"/>
      <c r="D73" s="10"/>
      <c r="E73" s="10"/>
      <c r="F73" s="12" t="str">
        <f>IF(E73="","",E73*(1+Inicio!$B$13))</f>
        <v/>
      </c>
      <c r="G73" s="12" t="str">
        <f>IF(D73="","",D73/(1+Inicio!$B$13))</f>
        <v/>
      </c>
      <c r="H73" s="13" t="str">
        <f t="shared" si="4"/>
        <v/>
      </c>
      <c r="I73" s="11"/>
      <c r="J73" s="15" t="str">
        <f t="shared" si="5"/>
        <v/>
      </c>
    </row>
    <row r="74" spans="1:10" x14ac:dyDescent="0.35">
      <c r="A74" s="8"/>
      <c r="B74" s="8"/>
      <c r="C74" s="8"/>
      <c r="D74" s="10"/>
      <c r="E74" s="10"/>
      <c r="F74" s="12" t="str">
        <f>IF(E74="","",E74*(1+Inicio!$B$13))</f>
        <v/>
      </c>
      <c r="G74" s="12" t="str">
        <f>IF(D74="","",D74/(1+Inicio!$B$13))</f>
        <v/>
      </c>
      <c r="H74" s="13" t="str">
        <f t="shared" si="4"/>
        <v/>
      </c>
      <c r="I74" s="11"/>
      <c r="J74" s="15" t="str">
        <f t="shared" si="5"/>
        <v/>
      </c>
    </row>
    <row r="75" spans="1:10" x14ac:dyDescent="0.35">
      <c r="A75" s="8"/>
      <c r="B75" s="8"/>
      <c r="C75" s="8"/>
      <c r="D75" s="10"/>
      <c r="E75" s="10"/>
      <c r="F75" s="12" t="str">
        <f>IF(E75="","",E75*(1+Inicio!$B$13))</f>
        <v/>
      </c>
      <c r="G75" s="12" t="str">
        <f>IF(D75="","",D75/(1+Inicio!$B$13))</f>
        <v/>
      </c>
      <c r="H75" s="13" t="str">
        <f t="shared" si="4"/>
        <v/>
      </c>
      <c r="I75" s="11"/>
      <c r="J75" s="15" t="str">
        <f t="shared" si="5"/>
        <v/>
      </c>
    </row>
    <row r="76" spans="1:10" x14ac:dyDescent="0.35">
      <c r="A76" s="8"/>
      <c r="B76" s="8"/>
      <c r="C76" s="8"/>
      <c r="D76" s="10"/>
      <c r="E76" s="10"/>
      <c r="F76" s="12" t="str">
        <f>IF(E76="","",E76*(1+Inicio!$B$13))</f>
        <v/>
      </c>
      <c r="G76" s="12" t="str">
        <f>IF(D76="","",D76/(1+Inicio!$B$13))</f>
        <v/>
      </c>
      <c r="H76" s="13" t="str">
        <f t="shared" si="4"/>
        <v/>
      </c>
      <c r="I76" s="11"/>
      <c r="J76" s="15" t="str">
        <f t="shared" si="5"/>
        <v/>
      </c>
    </row>
    <row r="77" spans="1:10" x14ac:dyDescent="0.35">
      <c r="A77" s="8"/>
      <c r="B77" s="8"/>
      <c r="C77" s="8"/>
      <c r="D77" s="10"/>
      <c r="E77" s="10"/>
      <c r="F77" s="12" t="str">
        <f>IF(E77="","",E77*(1+Inicio!$B$13))</f>
        <v/>
      </c>
      <c r="G77" s="12" t="str">
        <f>IF(D77="","",D77/(1+Inicio!$B$13))</f>
        <v/>
      </c>
      <c r="H77" s="13" t="str">
        <f t="shared" si="4"/>
        <v/>
      </c>
      <c r="I77" s="11"/>
      <c r="J77" s="15" t="str">
        <f t="shared" si="5"/>
        <v/>
      </c>
    </row>
    <row r="78" spans="1:10" x14ac:dyDescent="0.35">
      <c r="A78" s="8"/>
      <c r="B78" s="8"/>
      <c r="C78" s="8"/>
      <c r="D78" s="10"/>
      <c r="E78" s="10"/>
      <c r="F78" s="12" t="str">
        <f>IF(E78="","",E78*(1+Inicio!$B$13))</f>
        <v/>
      </c>
      <c r="G78" s="12" t="str">
        <f>IF(D78="","",D78/(1+Inicio!$B$13))</f>
        <v/>
      </c>
      <c r="H78" s="13" t="str">
        <f t="shared" si="4"/>
        <v/>
      </c>
      <c r="I78" s="11"/>
      <c r="J78" s="15" t="str">
        <f t="shared" si="5"/>
        <v/>
      </c>
    </row>
    <row r="79" spans="1:10" x14ac:dyDescent="0.35">
      <c r="A79" s="8"/>
      <c r="B79" s="8"/>
      <c r="C79" s="8"/>
      <c r="D79" s="10"/>
      <c r="E79" s="10"/>
      <c r="F79" s="12" t="str">
        <f>IF(E79="","",E79*(1+Inicio!$B$13))</f>
        <v/>
      </c>
      <c r="G79" s="12" t="str">
        <f>IF(D79="","",D79/(1+Inicio!$B$13))</f>
        <v/>
      </c>
      <c r="H79" s="13" t="str">
        <f t="shared" si="4"/>
        <v/>
      </c>
      <c r="I79" s="11"/>
      <c r="J79" s="15" t="str">
        <f t="shared" si="5"/>
        <v/>
      </c>
    </row>
    <row r="80" spans="1:10" x14ac:dyDescent="0.35">
      <c r="A80" s="8"/>
      <c r="B80" s="8"/>
      <c r="C80" s="8"/>
      <c r="D80" s="10"/>
      <c r="E80" s="10"/>
      <c r="F80" s="12" t="str">
        <f>IF(E80="","",E80*(1+Inicio!$B$13))</f>
        <v/>
      </c>
      <c r="G80" s="12" t="str">
        <f>IF(D80="","",D80/(1+Inicio!$B$13))</f>
        <v/>
      </c>
      <c r="H80" s="13" t="str">
        <f t="shared" si="4"/>
        <v/>
      </c>
      <c r="I80" s="11"/>
      <c r="J80" s="15" t="str">
        <f t="shared" si="5"/>
        <v/>
      </c>
    </row>
    <row r="81" spans="1:10" x14ac:dyDescent="0.35">
      <c r="A81" s="8"/>
      <c r="B81" s="8"/>
      <c r="C81" s="8"/>
      <c r="D81" s="10"/>
      <c r="E81" s="10"/>
      <c r="F81" s="12" t="str">
        <f>IF(E81="","",E81*(1+Inicio!$B$13))</f>
        <v/>
      </c>
      <c r="G81" s="12" t="str">
        <f>IF(D81="","",D81/(1+Inicio!$B$13))</f>
        <v/>
      </c>
      <c r="H81" s="13" t="str">
        <f t="shared" si="4"/>
        <v/>
      </c>
      <c r="I81" s="11"/>
      <c r="J81" s="15" t="str">
        <f t="shared" si="5"/>
        <v/>
      </c>
    </row>
    <row r="82" spans="1:10" x14ac:dyDescent="0.35">
      <c r="A82" s="8"/>
      <c r="B82" s="8"/>
      <c r="C82" s="8"/>
      <c r="D82" s="10"/>
      <c r="E82" s="10"/>
      <c r="F82" s="12" t="str">
        <f>IF(E82="","",E82*(1+Inicio!$B$13))</f>
        <v/>
      </c>
      <c r="G82" s="12" t="str">
        <f>IF(D82="","",D82/(1+Inicio!$B$13))</f>
        <v/>
      </c>
      <c r="H82" s="13" t="str">
        <f t="shared" si="4"/>
        <v/>
      </c>
      <c r="I82" s="11"/>
      <c r="J82" s="15" t="str">
        <f t="shared" si="5"/>
        <v/>
      </c>
    </row>
    <row r="83" spans="1:10" x14ac:dyDescent="0.35">
      <c r="A83" s="8"/>
      <c r="B83" s="8"/>
      <c r="C83" s="8"/>
      <c r="D83" s="10"/>
      <c r="E83" s="10"/>
      <c r="F83" s="12" t="str">
        <f>IF(E83="","",E83*(1+Inicio!$B$13))</f>
        <v/>
      </c>
      <c r="G83" s="12" t="str">
        <f>IF(D83="","",D83/(1+Inicio!$B$13))</f>
        <v/>
      </c>
      <c r="H83" s="13" t="str">
        <f t="shared" si="4"/>
        <v/>
      </c>
      <c r="I83" s="11"/>
      <c r="J83" s="15" t="str">
        <f t="shared" si="5"/>
        <v/>
      </c>
    </row>
    <row r="84" spans="1:10" x14ac:dyDescent="0.35">
      <c r="A84" s="8"/>
      <c r="B84" s="8"/>
      <c r="C84" s="8"/>
      <c r="D84" s="10"/>
      <c r="E84" s="10"/>
      <c r="F84" s="12" t="str">
        <f>IF(E84="","",E84*(1+Inicio!$B$13))</f>
        <v/>
      </c>
      <c r="G84" s="12" t="str">
        <f>IF(D84="","",D84/(1+Inicio!$B$13))</f>
        <v/>
      </c>
      <c r="H84" s="13" t="str">
        <f t="shared" si="4"/>
        <v/>
      </c>
      <c r="I84" s="11"/>
      <c r="J84" s="15" t="str">
        <f t="shared" si="5"/>
        <v/>
      </c>
    </row>
    <row r="85" spans="1:10" x14ac:dyDescent="0.35">
      <c r="A85" s="8"/>
      <c r="B85" s="8"/>
      <c r="C85" s="8"/>
      <c r="D85" s="10"/>
      <c r="E85" s="10"/>
      <c r="F85" s="12" t="str">
        <f>IF(E85="","",E85*(1+Inicio!$B$13))</f>
        <v/>
      </c>
      <c r="G85" s="12" t="str">
        <f>IF(D85="","",D85/(1+Inicio!$B$13))</f>
        <v/>
      </c>
      <c r="H85" s="13" t="str">
        <f t="shared" si="4"/>
        <v/>
      </c>
      <c r="I85" s="11"/>
      <c r="J85" s="15" t="str">
        <f t="shared" si="5"/>
        <v/>
      </c>
    </row>
    <row r="86" spans="1:10" x14ac:dyDescent="0.35">
      <c r="A86" s="8"/>
      <c r="B86" s="8"/>
      <c r="C86" s="8"/>
      <c r="D86" s="10"/>
      <c r="E86" s="10"/>
      <c r="F86" s="12" t="str">
        <f>IF(E86="","",E86*(1+Inicio!$B$13))</f>
        <v/>
      </c>
      <c r="G86" s="12" t="str">
        <f>IF(D86="","",D86/(1+Inicio!$B$13))</f>
        <v/>
      </c>
      <c r="H86" s="13" t="str">
        <f t="shared" si="4"/>
        <v/>
      </c>
      <c r="I86" s="11"/>
      <c r="J86" s="15" t="str">
        <f t="shared" si="5"/>
        <v/>
      </c>
    </row>
    <row r="87" spans="1:10" x14ac:dyDescent="0.35">
      <c r="A87" s="8"/>
      <c r="B87" s="8"/>
      <c r="C87" s="8"/>
      <c r="D87" s="10"/>
      <c r="E87" s="10"/>
      <c r="F87" s="12" t="str">
        <f>IF(E87="","",E87*(1+Inicio!$B$13))</f>
        <v/>
      </c>
      <c r="G87" s="12" t="str">
        <f>IF(D87="","",D87/(1+Inicio!$B$13))</f>
        <v/>
      </c>
      <c r="H87" s="13" t="str">
        <f t="shared" si="4"/>
        <v/>
      </c>
      <c r="I87" s="11"/>
      <c r="J87" s="15" t="str">
        <f t="shared" si="5"/>
        <v/>
      </c>
    </row>
    <row r="88" spans="1:10" x14ac:dyDescent="0.35">
      <c r="A88" s="8"/>
      <c r="B88" s="8"/>
      <c r="C88" s="8"/>
      <c r="D88" s="10"/>
      <c r="E88" s="10"/>
      <c r="F88" s="12" t="str">
        <f>IF(E88="","",E88*(1+Inicio!$B$13))</f>
        <v/>
      </c>
      <c r="G88" s="12" t="str">
        <f>IF(D88="","",D88/(1+Inicio!$B$13))</f>
        <v/>
      </c>
      <c r="H88" s="13" t="str">
        <f t="shared" si="4"/>
        <v/>
      </c>
      <c r="I88" s="11"/>
      <c r="J88" s="15" t="str">
        <f t="shared" si="5"/>
        <v/>
      </c>
    </row>
    <row r="89" spans="1:10" x14ac:dyDescent="0.35">
      <c r="A89" s="8"/>
      <c r="B89" s="8"/>
      <c r="C89" s="8"/>
      <c r="D89" s="10"/>
      <c r="E89" s="10"/>
      <c r="F89" s="12" t="str">
        <f>IF(E89="","",E89*(1+Inicio!$B$13))</f>
        <v/>
      </c>
      <c r="G89" s="12" t="str">
        <f>IF(D89="","",D89/(1+Inicio!$B$13))</f>
        <v/>
      </c>
      <c r="H89" s="13" t="str">
        <f t="shared" si="4"/>
        <v/>
      </c>
      <c r="I89" s="11"/>
      <c r="J89" s="15" t="str">
        <f t="shared" si="5"/>
        <v/>
      </c>
    </row>
    <row r="90" spans="1:10" x14ac:dyDescent="0.35">
      <c r="A90" s="8"/>
      <c r="B90" s="8"/>
      <c r="C90" s="8"/>
      <c r="D90" s="10"/>
      <c r="E90" s="10"/>
      <c r="F90" s="12" t="str">
        <f>IF(E90="","",E90*(1+Inicio!$B$13))</f>
        <v/>
      </c>
      <c r="G90" s="12" t="str">
        <f>IF(D90="","",D90/(1+Inicio!$B$13))</f>
        <v/>
      </c>
      <c r="H90" s="13" t="str">
        <f t="shared" si="4"/>
        <v/>
      </c>
      <c r="I90" s="11"/>
      <c r="J90" s="15" t="str">
        <f t="shared" si="5"/>
        <v/>
      </c>
    </row>
    <row r="91" spans="1:10" x14ac:dyDescent="0.35">
      <c r="A91" s="8"/>
      <c r="B91" s="8"/>
      <c r="C91" s="8"/>
      <c r="D91" s="10"/>
      <c r="E91" s="10"/>
      <c r="F91" s="12" t="str">
        <f>IF(E91="","",E91*(1+Inicio!$B$13))</f>
        <v/>
      </c>
      <c r="G91" s="12" t="str">
        <f>IF(D91="","",D91/(1+Inicio!$B$13))</f>
        <v/>
      </c>
      <c r="H91" s="13" t="str">
        <f t="shared" si="4"/>
        <v/>
      </c>
      <c r="I91" s="11"/>
      <c r="J91" s="15" t="str">
        <f t="shared" si="5"/>
        <v/>
      </c>
    </row>
    <row r="92" spans="1:10" x14ac:dyDescent="0.35">
      <c r="A92" s="8"/>
      <c r="B92" s="8"/>
      <c r="C92" s="8"/>
      <c r="D92" s="10"/>
      <c r="E92" s="10"/>
      <c r="F92" s="12" t="str">
        <f>IF(E92="","",E92*(1+Inicio!$B$13))</f>
        <v/>
      </c>
      <c r="G92" s="12" t="str">
        <f>IF(D92="","",D92/(1+Inicio!$B$13))</f>
        <v/>
      </c>
      <c r="H92" s="13" t="str">
        <f t="shared" si="4"/>
        <v/>
      </c>
      <c r="I92" s="11"/>
      <c r="J92" s="15" t="str">
        <f t="shared" si="5"/>
        <v/>
      </c>
    </row>
    <row r="93" spans="1:10" x14ac:dyDescent="0.35">
      <c r="A93" s="8"/>
      <c r="B93" s="8"/>
      <c r="C93" s="8"/>
      <c r="D93" s="10"/>
      <c r="E93" s="10"/>
      <c r="F93" s="12" t="str">
        <f>IF(E93="","",E93*(1+Inicio!$B$13))</f>
        <v/>
      </c>
      <c r="G93" s="12" t="str">
        <f>IF(D93="","",D93/(1+Inicio!$B$13))</f>
        <v/>
      </c>
      <c r="H93" s="13" t="str">
        <f t="shared" si="4"/>
        <v/>
      </c>
      <c r="I93" s="11"/>
      <c r="J93" s="15" t="str">
        <f t="shared" si="5"/>
        <v/>
      </c>
    </row>
    <row r="94" spans="1:10" x14ac:dyDescent="0.35">
      <c r="A94" s="8"/>
      <c r="B94" s="8"/>
      <c r="C94" s="8"/>
      <c r="D94" s="10"/>
      <c r="E94" s="10"/>
      <c r="F94" s="12" t="str">
        <f>IF(E94="","",E94*(1+Inicio!$B$13))</f>
        <v/>
      </c>
      <c r="G94" s="12" t="str">
        <f>IF(D94="","",D94/(1+Inicio!$B$13))</f>
        <v/>
      </c>
      <c r="H94" s="13" t="str">
        <f t="shared" ref="H94:H111" si="6">IF(OR(G94="",E94=""),"",(G94-E94)/G94)</f>
        <v/>
      </c>
      <c r="I94" s="11"/>
      <c r="J94" s="15" t="str">
        <f t="shared" ref="J94:J111" si="7">IF(OR(H94="",I94=""),"",IF(H94&gt;=I94,"Cumple","Bajo objetivo"))</f>
        <v/>
      </c>
    </row>
    <row r="95" spans="1:10" x14ac:dyDescent="0.35">
      <c r="A95" s="8"/>
      <c r="B95" s="8"/>
      <c r="C95" s="8"/>
      <c r="D95" s="10"/>
      <c r="E95" s="10"/>
      <c r="F95" s="12" t="str">
        <f>IF(E95="","",E95*(1+Inicio!$B$13))</f>
        <v/>
      </c>
      <c r="G95" s="12" t="str">
        <f>IF(D95="","",D95/(1+Inicio!$B$13))</f>
        <v/>
      </c>
      <c r="H95" s="13" t="str">
        <f t="shared" si="6"/>
        <v/>
      </c>
      <c r="I95" s="11"/>
      <c r="J95" s="15" t="str">
        <f t="shared" si="7"/>
        <v/>
      </c>
    </row>
    <row r="96" spans="1:10" x14ac:dyDescent="0.35">
      <c r="A96" s="8"/>
      <c r="B96" s="8"/>
      <c r="C96" s="8"/>
      <c r="D96" s="10"/>
      <c r="E96" s="10"/>
      <c r="F96" s="12" t="str">
        <f>IF(E96="","",E96*(1+Inicio!$B$13))</f>
        <v/>
      </c>
      <c r="G96" s="12" t="str">
        <f>IF(D96="","",D96/(1+Inicio!$B$13))</f>
        <v/>
      </c>
      <c r="H96" s="13" t="str">
        <f t="shared" si="6"/>
        <v/>
      </c>
      <c r="I96" s="11"/>
      <c r="J96" s="15" t="str">
        <f t="shared" si="7"/>
        <v/>
      </c>
    </row>
    <row r="97" spans="1:10" x14ac:dyDescent="0.35">
      <c r="A97" s="8"/>
      <c r="B97" s="8"/>
      <c r="C97" s="8"/>
      <c r="D97" s="10"/>
      <c r="E97" s="10"/>
      <c r="F97" s="12" t="str">
        <f>IF(E97="","",E97*(1+Inicio!$B$13))</f>
        <v/>
      </c>
      <c r="G97" s="12" t="str">
        <f>IF(D97="","",D97/(1+Inicio!$B$13))</f>
        <v/>
      </c>
      <c r="H97" s="13" t="str">
        <f t="shared" si="6"/>
        <v/>
      </c>
      <c r="I97" s="11"/>
      <c r="J97" s="15" t="str">
        <f t="shared" si="7"/>
        <v/>
      </c>
    </row>
    <row r="98" spans="1:10" x14ac:dyDescent="0.35">
      <c r="A98" s="8"/>
      <c r="B98" s="8"/>
      <c r="C98" s="8"/>
      <c r="D98" s="10"/>
      <c r="E98" s="10"/>
      <c r="F98" s="12" t="str">
        <f>IF(E98="","",E98*(1+Inicio!$B$13))</f>
        <v/>
      </c>
      <c r="G98" s="12" t="str">
        <f>IF(D98="","",D98/(1+Inicio!$B$13))</f>
        <v/>
      </c>
      <c r="H98" s="13" t="str">
        <f t="shared" si="6"/>
        <v/>
      </c>
      <c r="I98" s="11"/>
      <c r="J98" s="15" t="str">
        <f t="shared" si="7"/>
        <v/>
      </c>
    </row>
    <row r="99" spans="1:10" x14ac:dyDescent="0.35">
      <c r="A99" s="8"/>
      <c r="B99" s="8"/>
      <c r="C99" s="8"/>
      <c r="D99" s="10"/>
      <c r="E99" s="10"/>
      <c r="F99" s="12" t="str">
        <f>IF(E99="","",E99*(1+Inicio!$B$13))</f>
        <v/>
      </c>
      <c r="G99" s="12" t="str">
        <f>IF(D99="","",D99/(1+Inicio!$B$13))</f>
        <v/>
      </c>
      <c r="H99" s="13" t="str">
        <f t="shared" si="6"/>
        <v/>
      </c>
      <c r="I99" s="11"/>
      <c r="J99" s="15" t="str">
        <f t="shared" si="7"/>
        <v/>
      </c>
    </row>
    <row r="100" spans="1:10" x14ac:dyDescent="0.35">
      <c r="A100" s="8"/>
      <c r="B100" s="8"/>
      <c r="C100" s="8"/>
      <c r="D100" s="10"/>
      <c r="E100" s="10"/>
      <c r="F100" s="12" t="str">
        <f>IF(E100="","",E100*(1+Inicio!$B$13))</f>
        <v/>
      </c>
      <c r="G100" s="12" t="str">
        <f>IF(D100="","",D100/(1+Inicio!$B$13))</f>
        <v/>
      </c>
      <c r="H100" s="13" t="str">
        <f t="shared" si="6"/>
        <v/>
      </c>
      <c r="I100" s="11"/>
      <c r="J100" s="15" t="str">
        <f t="shared" si="7"/>
        <v/>
      </c>
    </row>
    <row r="101" spans="1:10" x14ac:dyDescent="0.35">
      <c r="A101" s="8"/>
      <c r="B101" s="8"/>
      <c r="C101" s="8"/>
      <c r="D101" s="10"/>
      <c r="E101" s="10"/>
      <c r="F101" s="12" t="str">
        <f>IF(E101="","",E101*(1+Inicio!$B$13))</f>
        <v/>
      </c>
      <c r="G101" s="12" t="str">
        <f>IF(D101="","",D101/(1+Inicio!$B$13))</f>
        <v/>
      </c>
      <c r="H101" s="13" t="str">
        <f t="shared" si="6"/>
        <v/>
      </c>
      <c r="I101" s="11"/>
      <c r="J101" s="15" t="str">
        <f t="shared" si="7"/>
        <v/>
      </c>
    </row>
    <row r="102" spans="1:10" x14ac:dyDescent="0.35">
      <c r="A102" s="8"/>
      <c r="B102" s="8"/>
      <c r="C102" s="8"/>
      <c r="D102" s="10"/>
      <c r="E102" s="10"/>
      <c r="F102" s="12" t="str">
        <f>IF(E102="","",E102*(1+Inicio!$B$13))</f>
        <v/>
      </c>
      <c r="G102" s="12" t="str">
        <f>IF(D102="","",D102/(1+Inicio!$B$13))</f>
        <v/>
      </c>
      <c r="H102" s="13" t="str">
        <f t="shared" si="6"/>
        <v/>
      </c>
      <c r="I102" s="11"/>
      <c r="J102" s="15" t="str">
        <f t="shared" si="7"/>
        <v/>
      </c>
    </row>
    <row r="103" spans="1:10" x14ac:dyDescent="0.35">
      <c r="A103" s="8"/>
      <c r="B103" s="8"/>
      <c r="C103" s="8"/>
      <c r="D103" s="10"/>
      <c r="E103" s="10"/>
      <c r="F103" s="12" t="str">
        <f>IF(E103="","",E103*(1+Inicio!$B$13))</f>
        <v/>
      </c>
      <c r="G103" s="12" t="str">
        <f>IF(D103="","",D103/(1+Inicio!$B$13))</f>
        <v/>
      </c>
      <c r="H103" s="13" t="str">
        <f t="shared" si="6"/>
        <v/>
      </c>
      <c r="I103" s="11"/>
      <c r="J103" s="15" t="str">
        <f t="shared" si="7"/>
        <v/>
      </c>
    </row>
    <row r="104" spans="1:10" x14ac:dyDescent="0.35">
      <c r="A104" s="8"/>
      <c r="B104" s="8"/>
      <c r="C104" s="8"/>
      <c r="D104" s="10"/>
      <c r="E104" s="10"/>
      <c r="F104" s="12" t="str">
        <f>IF(E104="","",E104*(1+Inicio!$B$13))</f>
        <v/>
      </c>
      <c r="G104" s="12" t="str">
        <f>IF(D104="","",D104/(1+Inicio!$B$13))</f>
        <v/>
      </c>
      <c r="H104" s="13" t="str">
        <f t="shared" si="6"/>
        <v/>
      </c>
      <c r="I104" s="11"/>
      <c r="J104" s="15" t="str">
        <f t="shared" si="7"/>
        <v/>
      </c>
    </row>
    <row r="105" spans="1:10" x14ac:dyDescent="0.35">
      <c r="A105" s="8"/>
      <c r="B105" s="8"/>
      <c r="C105" s="8"/>
      <c r="D105" s="10"/>
      <c r="E105" s="10"/>
      <c r="F105" s="12" t="str">
        <f>IF(E105="","",E105*(1+Inicio!$B$13))</f>
        <v/>
      </c>
      <c r="G105" s="12" t="str">
        <f>IF(D105="","",D105/(1+Inicio!$B$13))</f>
        <v/>
      </c>
      <c r="H105" s="13" t="str">
        <f t="shared" si="6"/>
        <v/>
      </c>
      <c r="I105" s="11"/>
      <c r="J105" s="15" t="str">
        <f t="shared" si="7"/>
        <v/>
      </c>
    </row>
    <row r="106" spans="1:10" x14ac:dyDescent="0.35">
      <c r="A106" s="8"/>
      <c r="B106" s="8"/>
      <c r="C106" s="8"/>
      <c r="D106" s="10"/>
      <c r="E106" s="10"/>
      <c r="F106" s="12" t="str">
        <f>IF(E106="","",E106*(1+Inicio!$B$13))</f>
        <v/>
      </c>
      <c r="G106" s="12" t="str">
        <f>IF(D106="","",D106/(1+Inicio!$B$13))</f>
        <v/>
      </c>
      <c r="H106" s="13" t="str">
        <f t="shared" si="6"/>
        <v/>
      </c>
      <c r="I106" s="11"/>
      <c r="J106" s="15" t="str">
        <f t="shared" si="7"/>
        <v/>
      </c>
    </row>
    <row r="107" spans="1:10" x14ac:dyDescent="0.35">
      <c r="A107" s="8"/>
      <c r="B107" s="8"/>
      <c r="C107" s="8"/>
      <c r="D107" s="10"/>
      <c r="E107" s="10"/>
      <c r="F107" s="12" t="str">
        <f>IF(E107="","",E107*(1+Inicio!$B$13))</f>
        <v/>
      </c>
      <c r="G107" s="12" t="str">
        <f>IF(D107="","",D107/(1+Inicio!$B$13))</f>
        <v/>
      </c>
      <c r="H107" s="13" t="str">
        <f t="shared" si="6"/>
        <v/>
      </c>
      <c r="I107" s="11"/>
      <c r="J107" s="15" t="str">
        <f t="shared" si="7"/>
        <v/>
      </c>
    </row>
    <row r="108" spans="1:10" x14ac:dyDescent="0.35">
      <c r="A108" s="8"/>
      <c r="B108" s="8"/>
      <c r="C108" s="8"/>
      <c r="D108" s="10"/>
      <c r="E108" s="10"/>
      <c r="F108" s="12" t="str">
        <f>IF(E108="","",E108*(1+Inicio!$B$13))</f>
        <v/>
      </c>
      <c r="G108" s="12" t="str">
        <f>IF(D108="","",D108/(1+Inicio!$B$13))</f>
        <v/>
      </c>
      <c r="H108" s="13" t="str">
        <f t="shared" si="6"/>
        <v/>
      </c>
      <c r="I108" s="11"/>
      <c r="J108" s="15" t="str">
        <f t="shared" si="7"/>
        <v/>
      </c>
    </row>
    <row r="109" spans="1:10" x14ac:dyDescent="0.35">
      <c r="A109" s="8"/>
      <c r="B109" s="8"/>
      <c r="C109" s="8"/>
      <c r="D109" s="10"/>
      <c r="E109" s="10"/>
      <c r="F109" s="12" t="str">
        <f>IF(E109="","",E109*(1+Inicio!$B$13))</f>
        <v/>
      </c>
      <c r="G109" s="12" t="str">
        <f>IF(D109="","",D109/(1+Inicio!$B$13))</f>
        <v/>
      </c>
      <c r="H109" s="13" t="str">
        <f t="shared" si="6"/>
        <v/>
      </c>
      <c r="I109" s="11"/>
      <c r="J109" s="15" t="str">
        <f t="shared" si="7"/>
        <v/>
      </c>
    </row>
    <row r="110" spans="1:10" x14ac:dyDescent="0.35">
      <c r="A110" s="8"/>
      <c r="B110" s="8"/>
      <c r="C110" s="8"/>
      <c r="D110" s="10"/>
      <c r="E110" s="10"/>
      <c r="F110" s="12" t="str">
        <f>IF(E110="","",E110*(1+Inicio!$B$13))</f>
        <v/>
      </c>
      <c r="G110" s="12" t="str">
        <f>IF(D110="","",D110/(1+Inicio!$B$13))</f>
        <v/>
      </c>
      <c r="H110" s="13" t="str">
        <f t="shared" si="6"/>
        <v/>
      </c>
      <c r="I110" s="11"/>
      <c r="J110" s="15" t="str">
        <f t="shared" si="7"/>
        <v/>
      </c>
    </row>
    <row r="111" spans="1:10" x14ac:dyDescent="0.35">
      <c r="A111" s="8"/>
      <c r="B111" s="8"/>
      <c r="C111" s="8"/>
      <c r="D111" s="10"/>
      <c r="E111" s="10"/>
      <c r="F111" s="12" t="str">
        <f>IF(E111="","",E111*(1+Inicio!$B$13))</f>
        <v/>
      </c>
      <c r="G111" s="12" t="str">
        <f>IF(D111="","",D111/(1+Inicio!$B$13))</f>
        <v/>
      </c>
      <c r="H111" s="13" t="str">
        <f t="shared" si="6"/>
        <v/>
      </c>
      <c r="I111" s="11"/>
      <c r="J111" s="15" t="str">
        <f t="shared" si="7"/>
        <v/>
      </c>
    </row>
  </sheetData>
  <autoFilter ref="A1:G101" xr:uid="{00000000-0009-0000-0000-000009000000}"/>
  <mergeCells count="4">
    <mergeCell ref="A1:J1"/>
    <mergeCell ref="A4:J4"/>
    <mergeCell ref="A60:J60"/>
    <mergeCell ref="A2:J2"/>
  </mergeCells>
  <dataValidations count="2">
    <dataValidation type="list" allowBlank="1" sqref="B6:B55 B62:B111" xr:uid="{00000000-0002-0000-0900-000000000000}">
      <formula1>lst_Canal</formula1>
    </dataValidation>
    <dataValidation type="list" allowBlank="1" sqref="C6:C55 C62:C111" xr:uid="{00000000-0002-0000-0900-000001000000}">
      <formula1>rng_SKU</formula1>
    </dataValidation>
  </dataValidations>
  <hyperlinks>
    <hyperlink ref="L1" location="Inicio!A11" display="⚙ Configuración" xr:uid="{00000000-0004-0000-0900-000000000000}"/>
  </hyperlinks>
  <pageMargins left="0.7" right="0.7" top="0.75" bottom="0.75" header="0.3" footer="0.3"/>
  <headerFooter>
    <oddHeader>&amp;C&amp;8 DOCUMENTO CONFIDENCIAL Y RESTRINGIDO  -  Uso interno Nuva Oxi</oddHeader>
    <oddFooter>&amp;LNuva Oxi&amp;RPágina &amp;P de &amp;N</oddFooter>
  </headerFooter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A56A97"/>
  </sheetPr>
  <dimension ref="A1:P800"/>
  <sheetViews>
    <sheetView showGridLines="0" topLeftCell="D1" workbookViewId="0">
      <pane ySplit="1" topLeftCell="A2" activePane="bottomLeft" state="frozen"/>
      <selection pane="bottomLeft" activeCell="P1" sqref="P1"/>
    </sheetView>
  </sheetViews>
  <sheetFormatPr baseColWidth="10" defaultColWidth="8.7265625" defaultRowHeight="14.5" x14ac:dyDescent="0.35"/>
  <cols>
    <col min="1" max="1" width="13" customWidth="1"/>
    <col min="2" max="2" width="16" customWidth="1"/>
    <col min="3" max="4" width="24" customWidth="1"/>
    <col min="5" max="5" width="32" customWidth="1"/>
    <col min="6" max="6" width="14" customWidth="1"/>
    <col min="7" max="7" width="16" customWidth="1"/>
    <col min="8" max="8" width="14" customWidth="1"/>
    <col min="9" max="9" width="24" customWidth="1"/>
    <col min="10" max="10" width="28" customWidth="1"/>
  </cols>
  <sheetData>
    <row r="1" spans="1:16" ht="28" customHeight="1" x14ac:dyDescent="0.35">
      <c r="A1" s="16" t="s">
        <v>419</v>
      </c>
      <c r="B1" s="16" t="s">
        <v>1</v>
      </c>
      <c r="C1" s="16" t="s">
        <v>420</v>
      </c>
      <c r="D1" s="16" t="s">
        <v>285</v>
      </c>
      <c r="E1" s="16" t="s">
        <v>286</v>
      </c>
      <c r="F1" s="16" t="s">
        <v>421</v>
      </c>
      <c r="G1" s="16" t="s">
        <v>422</v>
      </c>
      <c r="H1" s="16" t="s">
        <v>423</v>
      </c>
      <c r="I1" s="16" t="s">
        <v>424</v>
      </c>
      <c r="J1" s="16" t="s">
        <v>236</v>
      </c>
      <c r="K1" s="36" t="s">
        <v>296</v>
      </c>
      <c r="L1" s="36" t="s">
        <v>297</v>
      </c>
      <c r="M1" s="36" t="s">
        <v>298</v>
      </c>
      <c r="N1" s="36" t="s">
        <v>191</v>
      </c>
      <c r="O1" s="60" t="s">
        <v>299</v>
      </c>
      <c r="P1" s="21" t="s">
        <v>20</v>
      </c>
    </row>
    <row r="2" spans="1:16" ht="20" customHeight="1" x14ac:dyDescent="0.35">
      <c r="A2" s="25">
        <v>46200</v>
      </c>
      <c r="B2" s="24" t="s">
        <v>231</v>
      </c>
      <c r="C2" s="24" t="s">
        <v>252</v>
      </c>
      <c r="D2" s="24" t="s">
        <v>323</v>
      </c>
      <c r="E2" s="28" t="str">
        <f>IFERROR(VLOOKUP(D2,Maestro_SKU!$A$2:$P$500,2,FALSE),"")</f>
        <v>Barra Peanut Boost unidad</v>
      </c>
      <c r="F2" s="29">
        <v>2</v>
      </c>
      <c r="G2" s="30">
        <v>35940</v>
      </c>
      <c r="H2" s="29">
        <v>16</v>
      </c>
      <c r="I2" s="24" t="s">
        <v>425</v>
      </c>
      <c r="J2" s="24"/>
      <c r="K2" s="37">
        <f t="shared" ref="K2:K65" si="0">IF($A2="","",YEAR($A2))</f>
        <v>2026</v>
      </c>
      <c r="L2" s="37">
        <f t="shared" ref="L2:L65" si="1">IF($A2="","",MONTH($A2))</f>
        <v>6</v>
      </c>
      <c r="M2" s="37">
        <f t="shared" ref="M2:M65" si="2">IF($A2="","",DAY($A2))</f>
        <v>27</v>
      </c>
      <c r="N2" s="37" t="str">
        <f t="shared" ref="N2:N65" si="3">IF($A2="","",YEAR($A2)&amp;"-"&amp;TEXT(MONTH($A2),"00"))</f>
        <v>2026-06</v>
      </c>
      <c r="O2" s="37">
        <f>IF(OR($D2="",$F2=""),"",$F2*IFERROR(VLOOKUP($D2,Maestro_SKU!$A$2:$P$500,12,FALSE),1))</f>
        <v>2</v>
      </c>
    </row>
    <row r="3" spans="1:16" ht="20" customHeight="1" x14ac:dyDescent="0.35">
      <c r="A3" s="25">
        <v>46209</v>
      </c>
      <c r="B3" s="24" t="s">
        <v>231</v>
      </c>
      <c r="C3" s="24" t="s">
        <v>252</v>
      </c>
      <c r="D3" s="24" t="s">
        <v>375</v>
      </c>
      <c r="E3" s="28" t="str">
        <f>IFERROR(VLOOKUP(D3,Maestro_SKU!$A$2:$P$500,2,FALSE),"")</f>
        <v>Estuche Berry Mix 4 unidades</v>
      </c>
      <c r="F3" s="29">
        <v>12</v>
      </c>
      <c r="G3" s="30">
        <v>11980</v>
      </c>
      <c r="H3" s="29">
        <v>8</v>
      </c>
      <c r="I3" s="24" t="s">
        <v>425</v>
      </c>
      <c r="J3" s="24"/>
      <c r="K3" s="37">
        <f t="shared" si="0"/>
        <v>2026</v>
      </c>
      <c r="L3" s="37">
        <f t="shared" si="1"/>
        <v>7</v>
      </c>
      <c r="M3" s="37">
        <f t="shared" si="2"/>
        <v>6</v>
      </c>
      <c r="N3" s="37" t="str">
        <f t="shared" si="3"/>
        <v>2026-07</v>
      </c>
      <c r="O3" s="37">
        <f>IF(OR($D3="",$F3=""),"",$F3*IFERROR(VLOOKUP($D3,Maestro_SKU!$A$2:$P$500,12,FALSE),1))</f>
        <v>48</v>
      </c>
    </row>
    <row r="4" spans="1:16" ht="20" customHeight="1" x14ac:dyDescent="0.35">
      <c r="A4" s="25">
        <v>46201</v>
      </c>
      <c r="B4" s="24" t="s">
        <v>231</v>
      </c>
      <c r="C4" s="24" t="s">
        <v>243</v>
      </c>
      <c r="D4" s="24" t="s">
        <v>323</v>
      </c>
      <c r="E4" s="28" t="str">
        <f>IFERROR(VLOOKUP(D4,Maestro_SKU!$A$2:$P$500,2,FALSE),"")</f>
        <v>Barra Peanut Boost unidad</v>
      </c>
      <c r="F4" s="29">
        <v>12</v>
      </c>
      <c r="G4" s="30">
        <v>35940</v>
      </c>
      <c r="H4" s="29">
        <v>32</v>
      </c>
      <c r="I4" s="24" t="s">
        <v>425</v>
      </c>
      <c r="J4" s="24"/>
      <c r="K4" s="37">
        <f t="shared" si="0"/>
        <v>2026</v>
      </c>
      <c r="L4" s="37">
        <f t="shared" si="1"/>
        <v>6</v>
      </c>
      <c r="M4" s="37">
        <f t="shared" si="2"/>
        <v>28</v>
      </c>
      <c r="N4" s="37" t="str">
        <f t="shared" si="3"/>
        <v>2026-06</v>
      </c>
      <c r="O4" s="37">
        <f>IF(OR($D4="",$F4=""),"",$F4*IFERROR(VLOOKUP($D4,Maestro_SKU!$A$2:$P$500,12,FALSE),1))</f>
        <v>12</v>
      </c>
    </row>
    <row r="5" spans="1:16" ht="20" customHeight="1" x14ac:dyDescent="0.35">
      <c r="A5" s="25">
        <v>46212</v>
      </c>
      <c r="B5" s="24" t="s">
        <v>231</v>
      </c>
      <c r="C5" s="24" t="s">
        <v>243</v>
      </c>
      <c r="D5" s="24" t="s">
        <v>375</v>
      </c>
      <c r="E5" s="28" t="str">
        <f>IFERROR(VLOOKUP(D5,Maestro_SKU!$A$2:$P$500,2,FALSE),"")</f>
        <v>Estuche Berry Mix 4 unidades</v>
      </c>
      <c r="F5" s="29">
        <v>2</v>
      </c>
      <c r="G5" s="30">
        <v>5990</v>
      </c>
      <c r="H5" s="29">
        <v>16</v>
      </c>
      <c r="I5" s="24" t="s">
        <v>425</v>
      </c>
      <c r="J5" s="24"/>
      <c r="K5" s="37">
        <f t="shared" si="0"/>
        <v>2026</v>
      </c>
      <c r="L5" s="37">
        <f t="shared" si="1"/>
        <v>7</v>
      </c>
      <c r="M5" s="37">
        <f t="shared" si="2"/>
        <v>9</v>
      </c>
      <c r="N5" s="37" t="str">
        <f t="shared" si="3"/>
        <v>2026-07</v>
      </c>
      <c r="O5" s="37">
        <f>IF(OR($D5="",$F5=""),"",$F5*IFERROR(VLOOKUP($D5,Maestro_SKU!$A$2:$P$500,12,FALSE),1))</f>
        <v>8</v>
      </c>
    </row>
    <row r="6" spans="1:16" ht="20" customHeight="1" x14ac:dyDescent="0.35">
      <c r="A6" s="25">
        <v>46202</v>
      </c>
      <c r="B6" s="24" t="s">
        <v>231</v>
      </c>
      <c r="C6" s="24" t="s">
        <v>243</v>
      </c>
      <c r="D6" s="24" t="s">
        <v>309</v>
      </c>
      <c r="E6" s="28" t="str">
        <f>IFERROR(VLOOKUP(D6,Maestro_SKU!$A$2:$P$500,2,FALSE),"")</f>
        <v>Estuche Cacao Crispy 4 unidades</v>
      </c>
      <c r="F6" s="29">
        <v>2</v>
      </c>
      <c r="G6" s="30">
        <v>17970</v>
      </c>
      <c r="H6" s="29">
        <v>8</v>
      </c>
      <c r="I6" s="24" t="s">
        <v>425</v>
      </c>
      <c r="J6" s="24"/>
      <c r="K6" s="37">
        <f t="shared" si="0"/>
        <v>2026</v>
      </c>
      <c r="L6" s="37">
        <f t="shared" si="1"/>
        <v>6</v>
      </c>
      <c r="M6" s="37">
        <f t="shared" si="2"/>
        <v>29</v>
      </c>
      <c r="N6" s="37" t="str">
        <f t="shared" si="3"/>
        <v>2026-06</v>
      </c>
      <c r="O6" s="37">
        <f>IF(OR($D6="",$F6=""),"",$F6*IFERROR(VLOOKUP($D6,Maestro_SKU!$A$2:$P$500,12,FALSE),1))</f>
        <v>8</v>
      </c>
    </row>
    <row r="7" spans="1:16" ht="20" customHeight="1" x14ac:dyDescent="0.35">
      <c r="A7" s="25">
        <v>46192</v>
      </c>
      <c r="B7" s="24" t="s">
        <v>231</v>
      </c>
      <c r="C7" s="24" t="s">
        <v>248</v>
      </c>
      <c r="D7" s="24" t="s">
        <v>323</v>
      </c>
      <c r="E7" s="28" t="str">
        <f>IFERROR(VLOOKUP(D7,Maestro_SKU!$A$2:$P$500,2,FALSE),"")</f>
        <v>Barra Peanut Boost unidad</v>
      </c>
      <c r="F7" s="29">
        <v>2</v>
      </c>
      <c r="G7" s="30">
        <v>11980</v>
      </c>
      <c r="H7" s="29">
        <v>4</v>
      </c>
      <c r="I7" s="24" t="s">
        <v>425</v>
      </c>
      <c r="J7" s="24"/>
      <c r="K7" s="37">
        <f t="shared" si="0"/>
        <v>2026</v>
      </c>
      <c r="L7" s="37">
        <f t="shared" si="1"/>
        <v>6</v>
      </c>
      <c r="M7" s="37">
        <f t="shared" si="2"/>
        <v>19</v>
      </c>
      <c r="N7" s="37" t="str">
        <f t="shared" si="3"/>
        <v>2026-06</v>
      </c>
      <c r="O7" s="37">
        <f>IF(OR($D7="",$F7=""),"",$F7*IFERROR(VLOOKUP($D7,Maestro_SKU!$A$2:$P$500,12,FALSE),1))</f>
        <v>2</v>
      </c>
    </row>
    <row r="8" spans="1:16" ht="20" customHeight="1" x14ac:dyDescent="0.35">
      <c r="A8" s="25">
        <v>46203</v>
      </c>
      <c r="B8" s="24" t="s">
        <v>231</v>
      </c>
      <c r="C8" s="24" t="s">
        <v>243</v>
      </c>
      <c r="D8" s="24" t="s">
        <v>323</v>
      </c>
      <c r="E8" s="28" t="str">
        <f>IFERROR(VLOOKUP(D8,Maestro_SKU!$A$2:$P$500,2,FALSE),"")</f>
        <v>Barra Peanut Boost unidad</v>
      </c>
      <c r="F8" s="29">
        <v>4</v>
      </c>
      <c r="G8" s="30">
        <v>23960</v>
      </c>
      <c r="H8" s="29">
        <v>32</v>
      </c>
      <c r="I8" s="24" t="s">
        <v>425</v>
      </c>
      <c r="J8" s="24"/>
      <c r="K8" s="37">
        <f t="shared" si="0"/>
        <v>2026</v>
      </c>
      <c r="L8" s="37">
        <f t="shared" si="1"/>
        <v>6</v>
      </c>
      <c r="M8" s="37">
        <f t="shared" si="2"/>
        <v>30</v>
      </c>
      <c r="N8" s="37" t="str">
        <f t="shared" si="3"/>
        <v>2026-06</v>
      </c>
      <c r="O8" s="37">
        <f>IF(OR($D8="",$F8=""),"",$F8*IFERROR(VLOOKUP($D8,Maestro_SKU!$A$2:$P$500,12,FALSE),1))</f>
        <v>4</v>
      </c>
    </row>
    <row r="9" spans="1:16" ht="20" customHeight="1" x14ac:dyDescent="0.35">
      <c r="A9" s="25">
        <v>46195</v>
      </c>
      <c r="B9" s="24" t="s">
        <v>231</v>
      </c>
      <c r="C9" s="24" t="s">
        <v>252</v>
      </c>
      <c r="D9" s="24" t="s">
        <v>312</v>
      </c>
      <c r="E9" s="28" t="str">
        <f>IFERROR(VLOOKUP(D9,Maestro_SKU!$A$2:$P$500,2,FALSE),"")</f>
        <v>Estuche Peanut Boost 4 unidades</v>
      </c>
      <c r="F9" s="29">
        <v>8</v>
      </c>
      <c r="G9" s="30">
        <v>35940</v>
      </c>
      <c r="H9" s="29">
        <v>0</v>
      </c>
      <c r="I9" s="24" t="s">
        <v>425</v>
      </c>
      <c r="J9" s="24"/>
      <c r="K9" s="37">
        <f t="shared" si="0"/>
        <v>2026</v>
      </c>
      <c r="L9" s="37">
        <f t="shared" si="1"/>
        <v>6</v>
      </c>
      <c r="M9" s="37">
        <f t="shared" si="2"/>
        <v>22</v>
      </c>
      <c r="N9" s="37" t="str">
        <f t="shared" si="3"/>
        <v>2026-06</v>
      </c>
      <c r="O9" s="37">
        <f>IF(OR($D9="",$F9=""),"",$F9*IFERROR(VLOOKUP($D9,Maestro_SKU!$A$2:$P$500,12,FALSE),1))</f>
        <v>32</v>
      </c>
    </row>
    <row r="10" spans="1:16" ht="20" customHeight="1" x14ac:dyDescent="0.35">
      <c r="A10" s="25">
        <v>46208</v>
      </c>
      <c r="B10" s="24" t="s">
        <v>231</v>
      </c>
      <c r="C10" s="24" t="s">
        <v>243</v>
      </c>
      <c r="D10" s="24" t="s">
        <v>303</v>
      </c>
      <c r="E10" s="28" t="str">
        <f>IFERROR(VLOOKUP(D10,Maestro_SKU!$A$2:$P$500,2,FALSE),"")</f>
        <v>Barra Berry Mix unidad</v>
      </c>
      <c r="F10" s="29">
        <v>2</v>
      </c>
      <c r="G10" s="30">
        <v>5990</v>
      </c>
      <c r="H10" s="29">
        <v>4</v>
      </c>
      <c r="I10" s="24" t="s">
        <v>425</v>
      </c>
      <c r="J10" s="24"/>
      <c r="K10" s="37">
        <f t="shared" si="0"/>
        <v>2026</v>
      </c>
      <c r="L10" s="37">
        <f t="shared" si="1"/>
        <v>7</v>
      </c>
      <c r="M10" s="37">
        <f t="shared" si="2"/>
        <v>5</v>
      </c>
      <c r="N10" s="37" t="str">
        <f t="shared" si="3"/>
        <v>2026-07</v>
      </c>
      <c r="O10" s="37">
        <f>IF(OR($D10="",$F10=""),"",$F10*IFERROR(VLOOKUP($D10,Maestro_SKU!$A$2:$P$500,12,FALSE),1))</f>
        <v>2</v>
      </c>
    </row>
    <row r="11" spans="1:16" ht="20" customHeight="1" x14ac:dyDescent="0.35">
      <c r="A11" s="25">
        <v>46209</v>
      </c>
      <c r="B11" s="24" t="s">
        <v>231</v>
      </c>
      <c r="C11" s="24" t="s">
        <v>252</v>
      </c>
      <c r="D11" s="24" t="s">
        <v>375</v>
      </c>
      <c r="E11" s="28" t="str">
        <f>IFERROR(VLOOKUP(D11,Maestro_SKU!$A$2:$P$500,2,FALSE),"")</f>
        <v>Estuche Berry Mix 4 unidades</v>
      </c>
      <c r="F11" s="29">
        <v>2</v>
      </c>
      <c r="G11" s="30">
        <v>5990</v>
      </c>
      <c r="H11" s="29">
        <v>16</v>
      </c>
      <c r="I11" s="24" t="s">
        <v>425</v>
      </c>
      <c r="J11" s="24"/>
      <c r="K11" s="37">
        <f t="shared" si="0"/>
        <v>2026</v>
      </c>
      <c r="L11" s="37">
        <f t="shared" si="1"/>
        <v>7</v>
      </c>
      <c r="M11" s="37">
        <f t="shared" si="2"/>
        <v>6</v>
      </c>
      <c r="N11" s="37" t="str">
        <f t="shared" si="3"/>
        <v>2026-07</v>
      </c>
      <c r="O11" s="37">
        <f>IF(OR($D11="",$F11=""),"",$F11*IFERROR(VLOOKUP($D11,Maestro_SKU!$A$2:$P$500,12,FALSE),1))</f>
        <v>8</v>
      </c>
    </row>
    <row r="12" spans="1:16" ht="20" customHeight="1" x14ac:dyDescent="0.35">
      <c r="A12" s="25">
        <v>46189</v>
      </c>
      <c r="B12" s="24" t="s">
        <v>231</v>
      </c>
      <c r="C12" s="24" t="s">
        <v>252</v>
      </c>
      <c r="D12" s="24" t="s">
        <v>323</v>
      </c>
      <c r="E12" s="28" t="str">
        <f>IFERROR(VLOOKUP(D12,Maestro_SKU!$A$2:$P$500,2,FALSE),"")</f>
        <v>Barra Peanut Boost unidad</v>
      </c>
      <c r="F12" s="29">
        <v>12</v>
      </c>
      <c r="G12" s="30">
        <v>23960</v>
      </c>
      <c r="H12" s="29">
        <v>0</v>
      </c>
      <c r="I12" s="24" t="s">
        <v>425</v>
      </c>
      <c r="J12" s="24"/>
      <c r="K12" s="37">
        <f t="shared" si="0"/>
        <v>2026</v>
      </c>
      <c r="L12" s="37">
        <f t="shared" si="1"/>
        <v>6</v>
      </c>
      <c r="M12" s="37">
        <f t="shared" si="2"/>
        <v>16</v>
      </c>
      <c r="N12" s="37" t="str">
        <f t="shared" si="3"/>
        <v>2026-06</v>
      </c>
      <c r="O12" s="37">
        <f>IF(OR($D12="",$F12=""),"",$F12*IFERROR(VLOOKUP($D12,Maestro_SKU!$A$2:$P$500,12,FALSE),1))</f>
        <v>12</v>
      </c>
    </row>
    <row r="13" spans="1:16" ht="20" customHeight="1" x14ac:dyDescent="0.35">
      <c r="A13" s="25">
        <v>46195</v>
      </c>
      <c r="B13" s="24" t="s">
        <v>231</v>
      </c>
      <c r="C13" s="24" t="s">
        <v>243</v>
      </c>
      <c r="D13" s="24" t="s">
        <v>303</v>
      </c>
      <c r="E13" s="28" t="str">
        <f>IFERROR(VLOOKUP(D13,Maestro_SKU!$A$2:$P$500,2,FALSE),"")</f>
        <v>Barra Berry Mix unidad</v>
      </c>
      <c r="F13" s="29">
        <v>15</v>
      </c>
      <c r="G13" s="30">
        <v>23960</v>
      </c>
      <c r="H13" s="29">
        <v>32</v>
      </c>
      <c r="I13" s="24" t="s">
        <v>425</v>
      </c>
      <c r="J13" s="24"/>
      <c r="K13" s="37">
        <f t="shared" si="0"/>
        <v>2026</v>
      </c>
      <c r="L13" s="37">
        <f t="shared" si="1"/>
        <v>6</v>
      </c>
      <c r="M13" s="37">
        <f t="shared" si="2"/>
        <v>22</v>
      </c>
      <c r="N13" s="37" t="str">
        <f t="shared" si="3"/>
        <v>2026-06</v>
      </c>
      <c r="O13" s="37">
        <f>IF(OR($D13="",$F13=""),"",$F13*IFERROR(VLOOKUP($D13,Maestro_SKU!$A$2:$P$500,12,FALSE),1))</f>
        <v>15</v>
      </c>
    </row>
    <row r="14" spans="1:16" ht="20" customHeight="1" x14ac:dyDescent="0.35">
      <c r="A14" s="25">
        <v>46198</v>
      </c>
      <c r="B14" s="24" t="s">
        <v>231</v>
      </c>
      <c r="C14" s="24" t="s">
        <v>248</v>
      </c>
      <c r="D14" s="24" t="s">
        <v>306</v>
      </c>
      <c r="E14" s="28" t="str">
        <f>IFERROR(VLOOKUP(D14,Maestro_SKU!$A$2:$P$500,2,FALSE),"")</f>
        <v>Barra Cacao Crispy unidad</v>
      </c>
      <c r="F14" s="29">
        <v>4</v>
      </c>
      <c r="G14" s="30">
        <v>5990</v>
      </c>
      <c r="H14" s="29">
        <v>16</v>
      </c>
      <c r="I14" s="24" t="s">
        <v>425</v>
      </c>
      <c r="J14" s="24"/>
      <c r="K14" s="37">
        <f t="shared" si="0"/>
        <v>2026</v>
      </c>
      <c r="L14" s="37">
        <f t="shared" si="1"/>
        <v>6</v>
      </c>
      <c r="M14" s="37">
        <f t="shared" si="2"/>
        <v>25</v>
      </c>
      <c r="N14" s="37" t="str">
        <f t="shared" si="3"/>
        <v>2026-06</v>
      </c>
      <c r="O14" s="37">
        <f>IF(OR($D14="",$F14=""),"",$F14*IFERROR(VLOOKUP($D14,Maestro_SKU!$A$2:$P$500,12,FALSE),1))</f>
        <v>4</v>
      </c>
    </row>
    <row r="15" spans="1:16" ht="20" customHeight="1" x14ac:dyDescent="0.35">
      <c r="A15" s="25">
        <v>46192</v>
      </c>
      <c r="B15" s="24" t="s">
        <v>231</v>
      </c>
      <c r="C15" s="24" t="s">
        <v>248</v>
      </c>
      <c r="D15" s="24" t="s">
        <v>375</v>
      </c>
      <c r="E15" s="28" t="str">
        <f>IFERROR(VLOOKUP(D15,Maestro_SKU!$A$2:$P$500,2,FALSE),"")</f>
        <v>Estuche Berry Mix 4 unidades</v>
      </c>
      <c r="F15" s="29">
        <v>15</v>
      </c>
      <c r="G15" s="30">
        <v>17970</v>
      </c>
      <c r="H15" s="29">
        <v>0</v>
      </c>
      <c r="I15" s="24" t="s">
        <v>425</v>
      </c>
      <c r="J15" s="24"/>
      <c r="K15" s="37">
        <f t="shared" si="0"/>
        <v>2026</v>
      </c>
      <c r="L15" s="37">
        <f t="shared" si="1"/>
        <v>6</v>
      </c>
      <c r="M15" s="37">
        <f t="shared" si="2"/>
        <v>19</v>
      </c>
      <c r="N15" s="37" t="str">
        <f t="shared" si="3"/>
        <v>2026-06</v>
      </c>
      <c r="O15" s="37">
        <f>IF(OR($D15="",$F15=""),"",$F15*IFERROR(VLOOKUP($D15,Maestro_SKU!$A$2:$P$500,12,FALSE),1))</f>
        <v>60</v>
      </c>
    </row>
    <row r="16" spans="1:16" ht="20" customHeight="1" x14ac:dyDescent="0.35">
      <c r="A16" s="25">
        <v>46208</v>
      </c>
      <c r="B16" s="24" t="s">
        <v>231</v>
      </c>
      <c r="C16" s="24" t="s">
        <v>248</v>
      </c>
      <c r="D16" s="24" t="s">
        <v>306</v>
      </c>
      <c r="E16" s="28" t="str">
        <f>IFERROR(VLOOKUP(D16,Maestro_SKU!$A$2:$P$500,2,FALSE),"")</f>
        <v>Barra Cacao Crispy unidad</v>
      </c>
      <c r="F16" s="29">
        <v>4</v>
      </c>
      <c r="G16" s="30">
        <v>5990</v>
      </c>
      <c r="H16" s="29">
        <v>16</v>
      </c>
      <c r="I16" s="24" t="s">
        <v>425</v>
      </c>
      <c r="J16" s="24"/>
      <c r="K16" s="37">
        <f t="shared" si="0"/>
        <v>2026</v>
      </c>
      <c r="L16" s="37">
        <f t="shared" si="1"/>
        <v>7</v>
      </c>
      <c r="M16" s="37">
        <f t="shared" si="2"/>
        <v>5</v>
      </c>
      <c r="N16" s="37" t="str">
        <f t="shared" si="3"/>
        <v>2026-07</v>
      </c>
      <c r="O16" s="37">
        <f>IF(OR($D16="",$F16=""),"",$F16*IFERROR(VLOOKUP($D16,Maestro_SKU!$A$2:$P$500,12,FALSE),1))</f>
        <v>4</v>
      </c>
    </row>
    <row r="17" spans="1:15" ht="20" customHeight="1" x14ac:dyDescent="0.35">
      <c r="A17" s="25">
        <v>46212</v>
      </c>
      <c r="B17" s="24" t="s">
        <v>231</v>
      </c>
      <c r="C17" s="24" t="s">
        <v>243</v>
      </c>
      <c r="D17" s="24" t="s">
        <v>306</v>
      </c>
      <c r="E17" s="28" t="str">
        <f>IFERROR(VLOOKUP(D17,Maestro_SKU!$A$2:$P$500,2,FALSE),"")</f>
        <v>Barra Cacao Crispy unidad</v>
      </c>
      <c r="F17" s="29">
        <v>2</v>
      </c>
      <c r="G17" s="30">
        <v>35940</v>
      </c>
      <c r="H17" s="29">
        <v>8</v>
      </c>
      <c r="I17" s="24" t="s">
        <v>425</v>
      </c>
      <c r="J17" s="24"/>
      <c r="K17" s="37">
        <f t="shared" si="0"/>
        <v>2026</v>
      </c>
      <c r="L17" s="37">
        <f t="shared" si="1"/>
        <v>7</v>
      </c>
      <c r="M17" s="37">
        <f t="shared" si="2"/>
        <v>9</v>
      </c>
      <c r="N17" s="37" t="str">
        <f t="shared" si="3"/>
        <v>2026-07</v>
      </c>
      <c r="O17" s="37">
        <f>IF(OR($D17="",$F17=""),"",$F17*IFERROR(VLOOKUP($D17,Maestro_SKU!$A$2:$P$500,12,FALSE),1))</f>
        <v>2</v>
      </c>
    </row>
    <row r="18" spans="1:15" ht="20" customHeight="1" x14ac:dyDescent="0.35">
      <c r="A18" s="25">
        <v>46208</v>
      </c>
      <c r="B18" s="24" t="s">
        <v>231</v>
      </c>
      <c r="C18" s="24" t="s">
        <v>243</v>
      </c>
      <c r="D18" s="24" t="s">
        <v>312</v>
      </c>
      <c r="E18" s="28" t="str">
        <f>IFERROR(VLOOKUP(D18,Maestro_SKU!$A$2:$P$500,2,FALSE),"")</f>
        <v>Estuche Peanut Boost 4 unidades</v>
      </c>
      <c r="F18" s="29">
        <v>2</v>
      </c>
      <c r="G18" s="30">
        <v>17970</v>
      </c>
      <c r="H18" s="29">
        <v>32</v>
      </c>
      <c r="I18" s="24" t="s">
        <v>425</v>
      </c>
      <c r="J18" s="24"/>
      <c r="K18" s="37">
        <f t="shared" si="0"/>
        <v>2026</v>
      </c>
      <c r="L18" s="37">
        <f t="shared" si="1"/>
        <v>7</v>
      </c>
      <c r="M18" s="37">
        <f t="shared" si="2"/>
        <v>5</v>
      </c>
      <c r="N18" s="37" t="str">
        <f t="shared" si="3"/>
        <v>2026-07</v>
      </c>
      <c r="O18" s="37">
        <f>IF(OR($D18="",$F18=""),"",$F18*IFERROR(VLOOKUP($D18,Maestro_SKU!$A$2:$P$500,12,FALSE),1))</f>
        <v>8</v>
      </c>
    </row>
    <row r="19" spans="1:15" ht="20" customHeight="1" x14ac:dyDescent="0.35">
      <c r="A19" s="25">
        <v>46187</v>
      </c>
      <c r="B19" s="24" t="s">
        <v>231</v>
      </c>
      <c r="C19" s="24" t="s">
        <v>248</v>
      </c>
      <c r="D19" s="24" t="s">
        <v>303</v>
      </c>
      <c r="E19" s="28" t="str">
        <f>IFERROR(VLOOKUP(D19,Maestro_SKU!$A$2:$P$500,2,FALSE),"")</f>
        <v>Barra Berry Mix unidad</v>
      </c>
      <c r="F19" s="29">
        <v>12</v>
      </c>
      <c r="G19" s="30">
        <v>17970</v>
      </c>
      <c r="H19" s="29">
        <v>32</v>
      </c>
      <c r="I19" s="24" t="s">
        <v>425</v>
      </c>
      <c r="J19" s="24"/>
      <c r="K19" s="37">
        <f t="shared" si="0"/>
        <v>2026</v>
      </c>
      <c r="L19" s="37">
        <f t="shared" si="1"/>
        <v>6</v>
      </c>
      <c r="M19" s="37">
        <f t="shared" si="2"/>
        <v>14</v>
      </c>
      <c r="N19" s="37" t="str">
        <f t="shared" si="3"/>
        <v>2026-06</v>
      </c>
      <c r="O19" s="37">
        <f>IF(OR($D19="",$F19=""),"",$F19*IFERROR(VLOOKUP($D19,Maestro_SKU!$A$2:$P$500,12,FALSE),1))</f>
        <v>12</v>
      </c>
    </row>
    <row r="20" spans="1:15" ht="20" customHeight="1" x14ac:dyDescent="0.35">
      <c r="A20" s="25"/>
      <c r="B20" s="24"/>
      <c r="C20" s="24"/>
      <c r="D20" s="24"/>
      <c r="E20" s="28" t="str">
        <f>IFERROR(VLOOKUP(D20,Maestro_SKU!$A$2:$P$500,2,FALSE),"")</f>
        <v/>
      </c>
      <c r="F20" s="24"/>
      <c r="G20" s="30"/>
      <c r="H20" s="24"/>
      <c r="I20" s="24"/>
      <c r="J20" s="24"/>
      <c r="K20" s="37" t="str">
        <f t="shared" si="0"/>
        <v/>
      </c>
      <c r="L20" s="37" t="str">
        <f t="shared" si="1"/>
        <v/>
      </c>
      <c r="M20" s="37" t="str">
        <f t="shared" si="2"/>
        <v/>
      </c>
      <c r="N20" s="37" t="str">
        <f t="shared" si="3"/>
        <v/>
      </c>
      <c r="O20" s="37" t="str">
        <f>IF(OR($D20="",$F20=""),"",$F20*IFERROR(VLOOKUP($D20,Maestro_SKU!$A$2:$P$500,12,FALSE),1))</f>
        <v/>
      </c>
    </row>
    <row r="21" spans="1:15" ht="20" customHeight="1" x14ac:dyDescent="0.35">
      <c r="A21" s="25"/>
      <c r="B21" s="24"/>
      <c r="C21" s="24"/>
      <c r="D21" s="24"/>
      <c r="E21" s="28" t="str">
        <f>IFERROR(VLOOKUP(D21,Maestro_SKU!$A$2:$P$500,2,FALSE),"")</f>
        <v/>
      </c>
      <c r="F21" s="24"/>
      <c r="G21" s="30"/>
      <c r="H21" s="24"/>
      <c r="I21" s="24"/>
      <c r="J21" s="24"/>
      <c r="K21" s="37" t="str">
        <f t="shared" si="0"/>
        <v/>
      </c>
      <c r="L21" s="37" t="str">
        <f t="shared" si="1"/>
        <v/>
      </c>
      <c r="M21" s="37" t="str">
        <f t="shared" si="2"/>
        <v/>
      </c>
      <c r="N21" s="37" t="str">
        <f t="shared" si="3"/>
        <v/>
      </c>
      <c r="O21" s="37" t="str">
        <f>IF(OR($D21="",$F21=""),"",$F21*IFERROR(VLOOKUP($D21,Maestro_SKU!$A$2:$P$500,12,FALSE),1))</f>
        <v/>
      </c>
    </row>
    <row r="22" spans="1:15" ht="20" customHeight="1" x14ac:dyDescent="0.35">
      <c r="A22" s="25"/>
      <c r="B22" s="24"/>
      <c r="C22" s="24"/>
      <c r="D22" s="24"/>
      <c r="E22" s="28" t="str">
        <f>IFERROR(VLOOKUP(D22,Maestro_SKU!$A$2:$P$500,2,FALSE),"")</f>
        <v/>
      </c>
      <c r="F22" s="24"/>
      <c r="G22" s="30"/>
      <c r="H22" s="24"/>
      <c r="I22" s="24"/>
      <c r="J22" s="24"/>
      <c r="K22" s="37" t="str">
        <f t="shared" si="0"/>
        <v/>
      </c>
      <c r="L22" s="37" t="str">
        <f t="shared" si="1"/>
        <v/>
      </c>
      <c r="M22" s="37" t="str">
        <f t="shared" si="2"/>
        <v/>
      </c>
      <c r="N22" s="37" t="str">
        <f t="shared" si="3"/>
        <v/>
      </c>
      <c r="O22" s="37" t="str">
        <f>IF(OR($D22="",$F22=""),"",$F22*IFERROR(VLOOKUP($D22,Maestro_SKU!$A$2:$P$500,12,FALSE),1))</f>
        <v/>
      </c>
    </row>
    <row r="23" spans="1:15" ht="20" customHeight="1" x14ac:dyDescent="0.35">
      <c r="A23" s="25"/>
      <c r="B23" s="24"/>
      <c r="C23" s="24"/>
      <c r="D23" s="24"/>
      <c r="E23" s="28" t="str">
        <f>IFERROR(VLOOKUP(D23,Maestro_SKU!$A$2:$P$500,2,FALSE),"")</f>
        <v/>
      </c>
      <c r="F23" s="24"/>
      <c r="G23" s="30"/>
      <c r="H23" s="24"/>
      <c r="I23" s="24"/>
      <c r="J23" s="24"/>
      <c r="K23" s="37" t="str">
        <f t="shared" si="0"/>
        <v/>
      </c>
      <c r="L23" s="37" t="str">
        <f t="shared" si="1"/>
        <v/>
      </c>
      <c r="M23" s="37" t="str">
        <f t="shared" si="2"/>
        <v/>
      </c>
      <c r="N23" s="37" t="str">
        <f t="shared" si="3"/>
        <v/>
      </c>
      <c r="O23" s="37" t="str">
        <f>IF(OR($D23="",$F23=""),"",$F23*IFERROR(VLOOKUP($D23,Maestro_SKU!$A$2:$P$500,12,FALSE),1))</f>
        <v/>
      </c>
    </row>
    <row r="24" spans="1:15" ht="20" customHeight="1" x14ac:dyDescent="0.35">
      <c r="A24" s="25"/>
      <c r="B24" s="24"/>
      <c r="C24" s="24"/>
      <c r="D24" s="24"/>
      <c r="E24" s="28" t="str">
        <f>IFERROR(VLOOKUP(D24,Maestro_SKU!$A$2:$P$500,2,FALSE),"")</f>
        <v/>
      </c>
      <c r="F24" s="24"/>
      <c r="G24" s="30"/>
      <c r="H24" s="24"/>
      <c r="I24" s="24"/>
      <c r="J24" s="24"/>
      <c r="K24" s="37" t="str">
        <f t="shared" si="0"/>
        <v/>
      </c>
      <c r="L24" s="37" t="str">
        <f t="shared" si="1"/>
        <v/>
      </c>
      <c r="M24" s="37" t="str">
        <f t="shared" si="2"/>
        <v/>
      </c>
      <c r="N24" s="37" t="str">
        <f t="shared" si="3"/>
        <v/>
      </c>
      <c r="O24" s="37" t="str">
        <f>IF(OR($D24="",$F24=""),"",$F24*IFERROR(VLOOKUP($D24,Maestro_SKU!$A$2:$P$500,12,FALSE),1))</f>
        <v/>
      </c>
    </row>
    <row r="25" spans="1:15" ht="20" customHeight="1" x14ac:dyDescent="0.35">
      <c r="A25" s="25"/>
      <c r="B25" s="24"/>
      <c r="C25" s="24"/>
      <c r="D25" s="24"/>
      <c r="E25" s="28" t="str">
        <f>IFERROR(VLOOKUP(D25,Maestro_SKU!$A$2:$P$500,2,FALSE),"")</f>
        <v/>
      </c>
      <c r="F25" s="24"/>
      <c r="G25" s="30"/>
      <c r="H25" s="24"/>
      <c r="I25" s="24"/>
      <c r="J25" s="24"/>
      <c r="K25" s="37" t="str">
        <f t="shared" si="0"/>
        <v/>
      </c>
      <c r="L25" s="37" t="str">
        <f t="shared" si="1"/>
        <v/>
      </c>
      <c r="M25" s="37" t="str">
        <f t="shared" si="2"/>
        <v/>
      </c>
      <c r="N25" s="37" t="str">
        <f t="shared" si="3"/>
        <v/>
      </c>
      <c r="O25" s="37" t="str">
        <f>IF(OR($D25="",$F25=""),"",$F25*IFERROR(VLOOKUP($D25,Maestro_SKU!$A$2:$P$500,12,FALSE),1))</f>
        <v/>
      </c>
    </row>
    <row r="26" spans="1:15" ht="20" customHeight="1" x14ac:dyDescent="0.35">
      <c r="A26" s="25"/>
      <c r="B26" s="24"/>
      <c r="C26" s="24"/>
      <c r="D26" s="24"/>
      <c r="E26" s="28" t="str">
        <f>IFERROR(VLOOKUP(D26,Maestro_SKU!$A$2:$P$500,2,FALSE),"")</f>
        <v/>
      </c>
      <c r="F26" s="24"/>
      <c r="G26" s="30"/>
      <c r="H26" s="24"/>
      <c r="I26" s="24"/>
      <c r="J26" s="24"/>
      <c r="K26" s="37" t="str">
        <f t="shared" si="0"/>
        <v/>
      </c>
      <c r="L26" s="37" t="str">
        <f t="shared" si="1"/>
        <v/>
      </c>
      <c r="M26" s="37" t="str">
        <f t="shared" si="2"/>
        <v/>
      </c>
      <c r="N26" s="37" t="str">
        <f t="shared" si="3"/>
        <v/>
      </c>
      <c r="O26" s="37" t="str">
        <f>IF(OR($D26="",$F26=""),"",$F26*IFERROR(VLOOKUP($D26,Maestro_SKU!$A$2:$P$500,12,FALSE),1))</f>
        <v/>
      </c>
    </row>
    <row r="27" spans="1:15" ht="20" customHeight="1" x14ac:dyDescent="0.35">
      <c r="A27" s="25"/>
      <c r="B27" s="24"/>
      <c r="C27" s="24"/>
      <c r="D27" s="24"/>
      <c r="E27" s="28" t="str">
        <f>IFERROR(VLOOKUP(D27,Maestro_SKU!$A$2:$P$500,2,FALSE),"")</f>
        <v/>
      </c>
      <c r="F27" s="24"/>
      <c r="G27" s="30"/>
      <c r="H27" s="24"/>
      <c r="I27" s="24"/>
      <c r="J27" s="24"/>
      <c r="K27" s="37" t="str">
        <f t="shared" si="0"/>
        <v/>
      </c>
      <c r="L27" s="37" t="str">
        <f t="shared" si="1"/>
        <v/>
      </c>
      <c r="M27" s="37" t="str">
        <f t="shared" si="2"/>
        <v/>
      </c>
      <c r="N27" s="37" t="str">
        <f t="shared" si="3"/>
        <v/>
      </c>
      <c r="O27" s="37" t="str">
        <f>IF(OR($D27="",$F27=""),"",$F27*IFERROR(VLOOKUP($D27,Maestro_SKU!$A$2:$P$500,12,FALSE),1))</f>
        <v/>
      </c>
    </row>
    <row r="28" spans="1:15" ht="20" customHeight="1" x14ac:dyDescent="0.35">
      <c r="A28" s="25"/>
      <c r="B28" s="24"/>
      <c r="C28" s="24"/>
      <c r="D28" s="24"/>
      <c r="E28" s="28" t="str">
        <f>IFERROR(VLOOKUP(D28,Maestro_SKU!$A$2:$P$500,2,FALSE),"")</f>
        <v/>
      </c>
      <c r="F28" s="24"/>
      <c r="G28" s="30"/>
      <c r="H28" s="24"/>
      <c r="I28" s="24"/>
      <c r="J28" s="24"/>
      <c r="K28" s="37" t="str">
        <f t="shared" si="0"/>
        <v/>
      </c>
      <c r="L28" s="37" t="str">
        <f t="shared" si="1"/>
        <v/>
      </c>
      <c r="M28" s="37" t="str">
        <f t="shared" si="2"/>
        <v/>
      </c>
      <c r="N28" s="37" t="str">
        <f t="shared" si="3"/>
        <v/>
      </c>
      <c r="O28" s="37" t="str">
        <f>IF(OR($D28="",$F28=""),"",$F28*IFERROR(VLOOKUP($D28,Maestro_SKU!$A$2:$P$500,12,FALSE),1))</f>
        <v/>
      </c>
    </row>
    <row r="29" spans="1:15" ht="20" customHeight="1" x14ac:dyDescent="0.35">
      <c r="A29" s="25"/>
      <c r="B29" s="24"/>
      <c r="C29" s="24"/>
      <c r="D29" s="24"/>
      <c r="E29" s="28" t="str">
        <f>IFERROR(VLOOKUP(D29,Maestro_SKU!$A$2:$P$500,2,FALSE),"")</f>
        <v/>
      </c>
      <c r="F29" s="24"/>
      <c r="G29" s="30"/>
      <c r="H29" s="24"/>
      <c r="I29" s="24"/>
      <c r="J29" s="24"/>
      <c r="K29" s="37" t="str">
        <f t="shared" si="0"/>
        <v/>
      </c>
      <c r="L29" s="37" t="str">
        <f t="shared" si="1"/>
        <v/>
      </c>
      <c r="M29" s="37" t="str">
        <f t="shared" si="2"/>
        <v/>
      </c>
      <c r="N29" s="37" t="str">
        <f t="shared" si="3"/>
        <v/>
      </c>
      <c r="O29" s="37" t="str">
        <f>IF(OR($D29="",$F29=""),"",$F29*IFERROR(VLOOKUP($D29,Maestro_SKU!$A$2:$P$500,12,FALSE),1))</f>
        <v/>
      </c>
    </row>
    <row r="30" spans="1:15" ht="20" customHeight="1" x14ac:dyDescent="0.35">
      <c r="A30" s="25"/>
      <c r="B30" s="24"/>
      <c r="C30" s="24"/>
      <c r="D30" s="24"/>
      <c r="E30" s="28" t="str">
        <f>IFERROR(VLOOKUP(D30,Maestro_SKU!$A$2:$P$500,2,FALSE),"")</f>
        <v/>
      </c>
      <c r="F30" s="24"/>
      <c r="G30" s="30"/>
      <c r="H30" s="24"/>
      <c r="I30" s="24"/>
      <c r="J30" s="24"/>
      <c r="K30" s="37" t="str">
        <f t="shared" si="0"/>
        <v/>
      </c>
      <c r="L30" s="37" t="str">
        <f t="shared" si="1"/>
        <v/>
      </c>
      <c r="M30" s="37" t="str">
        <f t="shared" si="2"/>
        <v/>
      </c>
      <c r="N30" s="37" t="str">
        <f t="shared" si="3"/>
        <v/>
      </c>
      <c r="O30" s="37" t="str">
        <f>IF(OR($D30="",$F30=""),"",$F30*IFERROR(VLOOKUP($D30,Maestro_SKU!$A$2:$P$500,12,FALSE),1))</f>
        <v/>
      </c>
    </row>
    <row r="31" spans="1:15" ht="20" customHeight="1" x14ac:dyDescent="0.35">
      <c r="A31" s="25"/>
      <c r="B31" s="24"/>
      <c r="C31" s="24"/>
      <c r="D31" s="24"/>
      <c r="E31" s="28" t="str">
        <f>IFERROR(VLOOKUP(D31,Maestro_SKU!$A$2:$P$500,2,FALSE),"")</f>
        <v/>
      </c>
      <c r="F31" s="24"/>
      <c r="G31" s="30"/>
      <c r="H31" s="24"/>
      <c r="I31" s="24"/>
      <c r="J31" s="24"/>
      <c r="K31" s="37" t="str">
        <f t="shared" si="0"/>
        <v/>
      </c>
      <c r="L31" s="37" t="str">
        <f t="shared" si="1"/>
        <v/>
      </c>
      <c r="M31" s="37" t="str">
        <f t="shared" si="2"/>
        <v/>
      </c>
      <c r="N31" s="37" t="str">
        <f t="shared" si="3"/>
        <v/>
      </c>
      <c r="O31" s="37" t="str">
        <f>IF(OR($D31="",$F31=""),"",$F31*IFERROR(VLOOKUP($D31,Maestro_SKU!$A$2:$P$500,12,FALSE),1))</f>
        <v/>
      </c>
    </row>
    <row r="32" spans="1:15" ht="20" customHeight="1" x14ac:dyDescent="0.35">
      <c r="A32" s="25"/>
      <c r="B32" s="24"/>
      <c r="C32" s="24"/>
      <c r="D32" s="24"/>
      <c r="E32" s="28" t="str">
        <f>IFERROR(VLOOKUP(D32,Maestro_SKU!$A$2:$P$500,2,FALSE),"")</f>
        <v/>
      </c>
      <c r="F32" s="24"/>
      <c r="G32" s="30"/>
      <c r="H32" s="24"/>
      <c r="I32" s="24"/>
      <c r="J32" s="24"/>
      <c r="K32" s="37" t="str">
        <f t="shared" si="0"/>
        <v/>
      </c>
      <c r="L32" s="37" t="str">
        <f t="shared" si="1"/>
        <v/>
      </c>
      <c r="M32" s="37" t="str">
        <f t="shared" si="2"/>
        <v/>
      </c>
      <c r="N32" s="37" t="str">
        <f t="shared" si="3"/>
        <v/>
      </c>
      <c r="O32" s="37" t="str">
        <f>IF(OR($D32="",$F32=""),"",$F32*IFERROR(VLOOKUP($D32,Maestro_SKU!$A$2:$P$500,12,FALSE),1))</f>
        <v/>
      </c>
    </row>
    <row r="33" spans="1:15" ht="20" customHeight="1" x14ac:dyDescent="0.35">
      <c r="A33" s="25"/>
      <c r="B33" s="24"/>
      <c r="C33" s="24"/>
      <c r="D33" s="24"/>
      <c r="E33" s="28" t="str">
        <f>IFERROR(VLOOKUP(D33,Maestro_SKU!$A$2:$P$500,2,FALSE),"")</f>
        <v/>
      </c>
      <c r="F33" s="24"/>
      <c r="G33" s="30"/>
      <c r="H33" s="24"/>
      <c r="I33" s="24"/>
      <c r="J33" s="24"/>
      <c r="K33" s="37" t="str">
        <f t="shared" si="0"/>
        <v/>
      </c>
      <c r="L33" s="37" t="str">
        <f t="shared" si="1"/>
        <v/>
      </c>
      <c r="M33" s="37" t="str">
        <f t="shared" si="2"/>
        <v/>
      </c>
      <c r="N33" s="37" t="str">
        <f t="shared" si="3"/>
        <v/>
      </c>
      <c r="O33" s="37" t="str">
        <f>IF(OR($D33="",$F33=""),"",$F33*IFERROR(VLOOKUP($D33,Maestro_SKU!$A$2:$P$500,12,FALSE),1))</f>
        <v/>
      </c>
    </row>
    <row r="34" spans="1:15" ht="20" customHeight="1" x14ac:dyDescent="0.35">
      <c r="A34" s="25"/>
      <c r="B34" s="24"/>
      <c r="C34" s="24"/>
      <c r="D34" s="24"/>
      <c r="E34" s="28" t="str">
        <f>IFERROR(VLOOKUP(D34,Maestro_SKU!$A$2:$P$500,2,FALSE),"")</f>
        <v/>
      </c>
      <c r="F34" s="24"/>
      <c r="G34" s="30"/>
      <c r="H34" s="24"/>
      <c r="I34" s="24"/>
      <c r="J34" s="24"/>
      <c r="K34" s="37" t="str">
        <f t="shared" si="0"/>
        <v/>
      </c>
      <c r="L34" s="37" t="str">
        <f t="shared" si="1"/>
        <v/>
      </c>
      <c r="M34" s="37" t="str">
        <f t="shared" si="2"/>
        <v/>
      </c>
      <c r="N34" s="37" t="str">
        <f t="shared" si="3"/>
        <v/>
      </c>
      <c r="O34" s="37" t="str">
        <f>IF(OR($D34="",$F34=""),"",$F34*IFERROR(VLOOKUP($D34,Maestro_SKU!$A$2:$P$500,12,FALSE),1))</f>
        <v/>
      </c>
    </row>
    <row r="35" spans="1:15" ht="20" customHeight="1" x14ac:dyDescent="0.35">
      <c r="A35" s="25"/>
      <c r="B35" s="24"/>
      <c r="C35" s="24"/>
      <c r="D35" s="24"/>
      <c r="E35" s="28" t="str">
        <f>IFERROR(VLOOKUP(D35,Maestro_SKU!$A$2:$P$500,2,FALSE),"")</f>
        <v/>
      </c>
      <c r="F35" s="24"/>
      <c r="G35" s="30"/>
      <c r="H35" s="24"/>
      <c r="I35" s="24"/>
      <c r="J35" s="24"/>
      <c r="K35" s="37" t="str">
        <f t="shared" si="0"/>
        <v/>
      </c>
      <c r="L35" s="37" t="str">
        <f t="shared" si="1"/>
        <v/>
      </c>
      <c r="M35" s="37" t="str">
        <f t="shared" si="2"/>
        <v/>
      </c>
      <c r="N35" s="37" t="str">
        <f t="shared" si="3"/>
        <v/>
      </c>
      <c r="O35" s="37" t="str">
        <f>IF(OR($D35="",$F35=""),"",$F35*IFERROR(VLOOKUP($D35,Maestro_SKU!$A$2:$P$500,12,FALSE),1))</f>
        <v/>
      </c>
    </row>
    <row r="36" spans="1:15" ht="20" customHeight="1" x14ac:dyDescent="0.35">
      <c r="A36" s="25"/>
      <c r="B36" s="24"/>
      <c r="C36" s="24"/>
      <c r="D36" s="24"/>
      <c r="E36" s="28" t="str">
        <f>IFERROR(VLOOKUP(D36,Maestro_SKU!$A$2:$P$500,2,FALSE),"")</f>
        <v/>
      </c>
      <c r="F36" s="24"/>
      <c r="G36" s="30"/>
      <c r="H36" s="24"/>
      <c r="I36" s="24"/>
      <c r="J36" s="24"/>
      <c r="K36" s="37" t="str">
        <f t="shared" si="0"/>
        <v/>
      </c>
      <c r="L36" s="37" t="str">
        <f t="shared" si="1"/>
        <v/>
      </c>
      <c r="M36" s="37" t="str">
        <f t="shared" si="2"/>
        <v/>
      </c>
      <c r="N36" s="37" t="str">
        <f t="shared" si="3"/>
        <v/>
      </c>
      <c r="O36" s="37" t="str">
        <f>IF(OR($D36="",$F36=""),"",$F36*IFERROR(VLOOKUP($D36,Maestro_SKU!$A$2:$P$500,12,FALSE),1))</f>
        <v/>
      </c>
    </row>
    <row r="37" spans="1:15" ht="20" customHeight="1" x14ac:dyDescent="0.35">
      <c r="A37" s="25"/>
      <c r="B37" s="24"/>
      <c r="C37" s="24"/>
      <c r="D37" s="24"/>
      <c r="E37" s="28" t="str">
        <f>IFERROR(VLOOKUP(D37,Maestro_SKU!$A$2:$P$500,2,FALSE),"")</f>
        <v/>
      </c>
      <c r="F37" s="24"/>
      <c r="G37" s="30"/>
      <c r="H37" s="24"/>
      <c r="I37" s="24"/>
      <c r="J37" s="24"/>
      <c r="K37" s="37" t="str">
        <f t="shared" si="0"/>
        <v/>
      </c>
      <c r="L37" s="37" t="str">
        <f t="shared" si="1"/>
        <v/>
      </c>
      <c r="M37" s="37" t="str">
        <f t="shared" si="2"/>
        <v/>
      </c>
      <c r="N37" s="37" t="str">
        <f t="shared" si="3"/>
        <v/>
      </c>
      <c r="O37" s="37" t="str">
        <f>IF(OR($D37="",$F37=""),"",$F37*IFERROR(VLOOKUP($D37,Maestro_SKU!$A$2:$P$500,12,FALSE),1))</f>
        <v/>
      </c>
    </row>
    <row r="38" spans="1:15" ht="20" customHeight="1" x14ac:dyDescent="0.35">
      <c r="A38" s="25"/>
      <c r="B38" s="24"/>
      <c r="C38" s="24"/>
      <c r="D38" s="24"/>
      <c r="E38" s="28" t="str">
        <f>IFERROR(VLOOKUP(D38,Maestro_SKU!$A$2:$P$500,2,FALSE),"")</f>
        <v/>
      </c>
      <c r="F38" s="24"/>
      <c r="G38" s="30"/>
      <c r="H38" s="24"/>
      <c r="I38" s="24"/>
      <c r="J38" s="24"/>
      <c r="K38" s="37" t="str">
        <f t="shared" si="0"/>
        <v/>
      </c>
      <c r="L38" s="37" t="str">
        <f t="shared" si="1"/>
        <v/>
      </c>
      <c r="M38" s="37" t="str">
        <f t="shared" si="2"/>
        <v/>
      </c>
      <c r="N38" s="37" t="str">
        <f t="shared" si="3"/>
        <v/>
      </c>
      <c r="O38" s="37" t="str">
        <f>IF(OR($D38="",$F38=""),"",$F38*IFERROR(VLOOKUP($D38,Maestro_SKU!$A$2:$P$500,12,FALSE),1))</f>
        <v/>
      </c>
    </row>
    <row r="39" spans="1:15" ht="20" customHeight="1" x14ac:dyDescent="0.35">
      <c r="A39" s="25"/>
      <c r="B39" s="24"/>
      <c r="C39" s="24"/>
      <c r="D39" s="24"/>
      <c r="E39" s="28" t="str">
        <f>IFERROR(VLOOKUP(D39,Maestro_SKU!$A$2:$P$500,2,FALSE),"")</f>
        <v/>
      </c>
      <c r="F39" s="24"/>
      <c r="G39" s="30"/>
      <c r="H39" s="24"/>
      <c r="I39" s="24"/>
      <c r="J39" s="24"/>
      <c r="K39" s="37" t="str">
        <f t="shared" si="0"/>
        <v/>
      </c>
      <c r="L39" s="37" t="str">
        <f t="shared" si="1"/>
        <v/>
      </c>
      <c r="M39" s="37" t="str">
        <f t="shared" si="2"/>
        <v/>
      </c>
      <c r="N39" s="37" t="str">
        <f t="shared" si="3"/>
        <v/>
      </c>
      <c r="O39" s="37" t="str">
        <f>IF(OR($D39="",$F39=""),"",$F39*IFERROR(VLOOKUP($D39,Maestro_SKU!$A$2:$P$500,12,FALSE),1))</f>
        <v/>
      </c>
    </row>
    <row r="40" spans="1:15" ht="20" customHeight="1" x14ac:dyDescent="0.35">
      <c r="A40" s="25"/>
      <c r="B40" s="24"/>
      <c r="C40" s="24"/>
      <c r="D40" s="24"/>
      <c r="E40" s="28" t="str">
        <f>IFERROR(VLOOKUP(D40,Maestro_SKU!$A$2:$P$500,2,FALSE),"")</f>
        <v/>
      </c>
      <c r="F40" s="24"/>
      <c r="G40" s="30"/>
      <c r="H40" s="24"/>
      <c r="I40" s="24"/>
      <c r="J40" s="24"/>
      <c r="K40" s="37" t="str">
        <f t="shared" si="0"/>
        <v/>
      </c>
      <c r="L40" s="37" t="str">
        <f t="shared" si="1"/>
        <v/>
      </c>
      <c r="M40" s="37" t="str">
        <f t="shared" si="2"/>
        <v/>
      </c>
      <c r="N40" s="37" t="str">
        <f t="shared" si="3"/>
        <v/>
      </c>
      <c r="O40" s="37" t="str">
        <f>IF(OR($D40="",$F40=""),"",$F40*IFERROR(VLOOKUP($D40,Maestro_SKU!$A$2:$P$500,12,FALSE),1))</f>
        <v/>
      </c>
    </row>
    <row r="41" spans="1:15" ht="20" customHeight="1" x14ac:dyDescent="0.35">
      <c r="A41" s="25"/>
      <c r="B41" s="24"/>
      <c r="C41" s="24"/>
      <c r="D41" s="24"/>
      <c r="E41" s="28" t="str">
        <f>IFERROR(VLOOKUP(D41,Maestro_SKU!$A$2:$P$500,2,FALSE),"")</f>
        <v/>
      </c>
      <c r="F41" s="24"/>
      <c r="G41" s="30"/>
      <c r="H41" s="24"/>
      <c r="I41" s="24"/>
      <c r="J41" s="24"/>
      <c r="K41" s="37" t="str">
        <f t="shared" si="0"/>
        <v/>
      </c>
      <c r="L41" s="37" t="str">
        <f t="shared" si="1"/>
        <v/>
      </c>
      <c r="M41" s="37" t="str">
        <f t="shared" si="2"/>
        <v/>
      </c>
      <c r="N41" s="37" t="str">
        <f t="shared" si="3"/>
        <v/>
      </c>
      <c r="O41" s="37" t="str">
        <f>IF(OR($D41="",$F41=""),"",$F41*IFERROR(VLOOKUP($D41,Maestro_SKU!$A$2:$P$500,12,FALSE),1))</f>
        <v/>
      </c>
    </row>
    <row r="42" spans="1:15" ht="20" customHeight="1" x14ac:dyDescent="0.35">
      <c r="A42" s="25"/>
      <c r="B42" s="24"/>
      <c r="C42" s="24"/>
      <c r="D42" s="24"/>
      <c r="E42" s="28" t="str">
        <f>IFERROR(VLOOKUP(D42,Maestro_SKU!$A$2:$P$500,2,FALSE),"")</f>
        <v/>
      </c>
      <c r="F42" s="24"/>
      <c r="G42" s="30"/>
      <c r="H42" s="24"/>
      <c r="I42" s="24"/>
      <c r="J42" s="24"/>
      <c r="K42" s="37" t="str">
        <f t="shared" si="0"/>
        <v/>
      </c>
      <c r="L42" s="37" t="str">
        <f t="shared" si="1"/>
        <v/>
      </c>
      <c r="M42" s="37" t="str">
        <f t="shared" si="2"/>
        <v/>
      </c>
      <c r="N42" s="37" t="str">
        <f t="shared" si="3"/>
        <v/>
      </c>
      <c r="O42" s="37" t="str">
        <f>IF(OR($D42="",$F42=""),"",$F42*IFERROR(VLOOKUP($D42,Maestro_SKU!$A$2:$P$500,12,FALSE),1))</f>
        <v/>
      </c>
    </row>
    <row r="43" spans="1:15" ht="20" customHeight="1" x14ac:dyDescent="0.35">
      <c r="A43" s="25"/>
      <c r="B43" s="24"/>
      <c r="C43" s="24"/>
      <c r="D43" s="24"/>
      <c r="E43" s="28" t="str">
        <f>IFERROR(VLOOKUP(D43,Maestro_SKU!$A$2:$P$500,2,FALSE),"")</f>
        <v/>
      </c>
      <c r="F43" s="24"/>
      <c r="G43" s="30"/>
      <c r="H43" s="24"/>
      <c r="I43" s="24"/>
      <c r="J43" s="24"/>
      <c r="K43" s="37" t="str">
        <f t="shared" si="0"/>
        <v/>
      </c>
      <c r="L43" s="37" t="str">
        <f t="shared" si="1"/>
        <v/>
      </c>
      <c r="M43" s="37" t="str">
        <f t="shared" si="2"/>
        <v/>
      </c>
      <c r="N43" s="37" t="str">
        <f t="shared" si="3"/>
        <v/>
      </c>
      <c r="O43" s="37" t="str">
        <f>IF(OR($D43="",$F43=""),"",$F43*IFERROR(VLOOKUP($D43,Maestro_SKU!$A$2:$P$500,12,FALSE),1))</f>
        <v/>
      </c>
    </row>
    <row r="44" spans="1:15" ht="20" customHeight="1" x14ac:dyDescent="0.35">
      <c r="A44" s="25"/>
      <c r="B44" s="24"/>
      <c r="C44" s="24"/>
      <c r="D44" s="24"/>
      <c r="E44" s="28" t="str">
        <f>IFERROR(VLOOKUP(D44,Maestro_SKU!$A$2:$P$500,2,FALSE),"")</f>
        <v/>
      </c>
      <c r="F44" s="24"/>
      <c r="G44" s="30"/>
      <c r="H44" s="24"/>
      <c r="I44" s="24"/>
      <c r="J44" s="24"/>
      <c r="K44" s="37" t="str">
        <f t="shared" si="0"/>
        <v/>
      </c>
      <c r="L44" s="37" t="str">
        <f t="shared" si="1"/>
        <v/>
      </c>
      <c r="M44" s="37" t="str">
        <f t="shared" si="2"/>
        <v/>
      </c>
      <c r="N44" s="37" t="str">
        <f t="shared" si="3"/>
        <v/>
      </c>
      <c r="O44" s="37" t="str">
        <f>IF(OR($D44="",$F44=""),"",$F44*IFERROR(VLOOKUP($D44,Maestro_SKU!$A$2:$P$500,12,FALSE),1))</f>
        <v/>
      </c>
    </row>
    <row r="45" spans="1:15" ht="20" customHeight="1" x14ac:dyDescent="0.35">
      <c r="A45" s="25"/>
      <c r="B45" s="24"/>
      <c r="C45" s="24"/>
      <c r="D45" s="24"/>
      <c r="E45" s="28" t="str">
        <f>IFERROR(VLOOKUP(D45,Maestro_SKU!$A$2:$P$500,2,FALSE),"")</f>
        <v/>
      </c>
      <c r="F45" s="24"/>
      <c r="G45" s="30"/>
      <c r="H45" s="24"/>
      <c r="I45" s="24"/>
      <c r="J45" s="24"/>
      <c r="K45" s="37" t="str">
        <f t="shared" si="0"/>
        <v/>
      </c>
      <c r="L45" s="37" t="str">
        <f t="shared" si="1"/>
        <v/>
      </c>
      <c r="M45" s="37" t="str">
        <f t="shared" si="2"/>
        <v/>
      </c>
      <c r="N45" s="37" t="str">
        <f t="shared" si="3"/>
        <v/>
      </c>
      <c r="O45" s="37" t="str">
        <f>IF(OR($D45="",$F45=""),"",$F45*IFERROR(VLOOKUP($D45,Maestro_SKU!$A$2:$P$500,12,FALSE),1))</f>
        <v/>
      </c>
    </row>
    <row r="46" spans="1:15" ht="20" customHeight="1" x14ac:dyDescent="0.35">
      <c r="A46" s="25"/>
      <c r="B46" s="24"/>
      <c r="C46" s="24"/>
      <c r="D46" s="24"/>
      <c r="E46" s="28" t="str">
        <f>IFERROR(VLOOKUP(D46,Maestro_SKU!$A$2:$P$500,2,FALSE),"")</f>
        <v/>
      </c>
      <c r="F46" s="24"/>
      <c r="G46" s="30"/>
      <c r="H46" s="24"/>
      <c r="I46" s="24"/>
      <c r="J46" s="24"/>
      <c r="K46" s="37" t="str">
        <f t="shared" si="0"/>
        <v/>
      </c>
      <c r="L46" s="37" t="str">
        <f t="shared" si="1"/>
        <v/>
      </c>
      <c r="M46" s="37" t="str">
        <f t="shared" si="2"/>
        <v/>
      </c>
      <c r="N46" s="37" t="str">
        <f t="shared" si="3"/>
        <v/>
      </c>
      <c r="O46" s="37" t="str">
        <f>IF(OR($D46="",$F46=""),"",$F46*IFERROR(VLOOKUP($D46,Maestro_SKU!$A$2:$P$500,12,FALSE),1))</f>
        <v/>
      </c>
    </row>
    <row r="47" spans="1:15" ht="20" customHeight="1" x14ac:dyDescent="0.35">
      <c r="A47" s="25"/>
      <c r="B47" s="24"/>
      <c r="C47" s="24"/>
      <c r="D47" s="24"/>
      <c r="E47" s="28" t="str">
        <f>IFERROR(VLOOKUP(D47,Maestro_SKU!$A$2:$P$500,2,FALSE),"")</f>
        <v/>
      </c>
      <c r="F47" s="24"/>
      <c r="G47" s="30"/>
      <c r="H47" s="24"/>
      <c r="I47" s="24"/>
      <c r="J47" s="24"/>
      <c r="K47" s="37" t="str">
        <f t="shared" si="0"/>
        <v/>
      </c>
      <c r="L47" s="37" t="str">
        <f t="shared" si="1"/>
        <v/>
      </c>
      <c r="M47" s="37" t="str">
        <f t="shared" si="2"/>
        <v/>
      </c>
      <c r="N47" s="37" t="str">
        <f t="shared" si="3"/>
        <v/>
      </c>
      <c r="O47" s="37" t="str">
        <f>IF(OR($D47="",$F47=""),"",$F47*IFERROR(VLOOKUP($D47,Maestro_SKU!$A$2:$P$500,12,FALSE),1))</f>
        <v/>
      </c>
    </row>
    <row r="48" spans="1:15" ht="20" customHeight="1" x14ac:dyDescent="0.35">
      <c r="A48" s="25"/>
      <c r="B48" s="24"/>
      <c r="C48" s="24"/>
      <c r="D48" s="24"/>
      <c r="E48" s="28" t="str">
        <f>IFERROR(VLOOKUP(D48,Maestro_SKU!$A$2:$P$500,2,FALSE),"")</f>
        <v/>
      </c>
      <c r="F48" s="24"/>
      <c r="G48" s="30"/>
      <c r="H48" s="24"/>
      <c r="I48" s="24"/>
      <c r="J48" s="24"/>
      <c r="K48" s="37" t="str">
        <f t="shared" si="0"/>
        <v/>
      </c>
      <c r="L48" s="37" t="str">
        <f t="shared" si="1"/>
        <v/>
      </c>
      <c r="M48" s="37" t="str">
        <f t="shared" si="2"/>
        <v/>
      </c>
      <c r="N48" s="37" t="str">
        <f t="shared" si="3"/>
        <v/>
      </c>
      <c r="O48" s="37" t="str">
        <f>IF(OR($D48="",$F48=""),"",$F48*IFERROR(VLOOKUP($D48,Maestro_SKU!$A$2:$P$500,12,FALSE),1))</f>
        <v/>
      </c>
    </row>
    <row r="49" spans="1:15" ht="20" customHeight="1" x14ac:dyDescent="0.35">
      <c r="A49" s="25"/>
      <c r="B49" s="24"/>
      <c r="C49" s="24"/>
      <c r="D49" s="24"/>
      <c r="E49" s="28" t="str">
        <f>IFERROR(VLOOKUP(D49,Maestro_SKU!$A$2:$P$500,2,FALSE),"")</f>
        <v/>
      </c>
      <c r="F49" s="24"/>
      <c r="G49" s="30"/>
      <c r="H49" s="24"/>
      <c r="I49" s="24"/>
      <c r="J49" s="24"/>
      <c r="K49" s="37" t="str">
        <f t="shared" si="0"/>
        <v/>
      </c>
      <c r="L49" s="37" t="str">
        <f t="shared" si="1"/>
        <v/>
      </c>
      <c r="M49" s="37" t="str">
        <f t="shared" si="2"/>
        <v/>
      </c>
      <c r="N49" s="37" t="str">
        <f t="shared" si="3"/>
        <v/>
      </c>
      <c r="O49" s="37" t="str">
        <f>IF(OR($D49="",$F49=""),"",$F49*IFERROR(VLOOKUP($D49,Maestro_SKU!$A$2:$P$500,12,FALSE),1))</f>
        <v/>
      </c>
    </row>
    <row r="50" spans="1:15" ht="20" customHeight="1" x14ac:dyDescent="0.35">
      <c r="A50" s="25"/>
      <c r="B50" s="24"/>
      <c r="C50" s="24"/>
      <c r="D50" s="24"/>
      <c r="E50" s="28" t="str">
        <f>IFERROR(VLOOKUP(D50,Maestro_SKU!$A$2:$P$500,2,FALSE),"")</f>
        <v/>
      </c>
      <c r="F50" s="24"/>
      <c r="G50" s="30"/>
      <c r="H50" s="24"/>
      <c r="I50" s="24"/>
      <c r="J50" s="24"/>
      <c r="K50" s="37" t="str">
        <f t="shared" si="0"/>
        <v/>
      </c>
      <c r="L50" s="37" t="str">
        <f t="shared" si="1"/>
        <v/>
      </c>
      <c r="M50" s="37" t="str">
        <f t="shared" si="2"/>
        <v/>
      </c>
      <c r="N50" s="37" t="str">
        <f t="shared" si="3"/>
        <v/>
      </c>
      <c r="O50" s="37" t="str">
        <f>IF(OR($D50="",$F50=""),"",$F50*IFERROR(VLOOKUP($D50,Maestro_SKU!$A$2:$P$500,12,FALSE),1))</f>
        <v/>
      </c>
    </row>
    <row r="51" spans="1:15" x14ac:dyDescent="0.35">
      <c r="A51" s="25"/>
      <c r="B51" s="24"/>
      <c r="C51" s="24"/>
      <c r="D51" s="24"/>
      <c r="E51" s="28" t="str">
        <f>IFERROR(VLOOKUP(D51,Maestro_SKU!$A$2:$P$500,2,FALSE),"")</f>
        <v/>
      </c>
      <c r="F51" s="24"/>
      <c r="G51" s="30"/>
      <c r="H51" s="24"/>
      <c r="I51" s="24"/>
      <c r="J51" s="24"/>
      <c r="K51" s="37" t="str">
        <f t="shared" si="0"/>
        <v/>
      </c>
      <c r="L51" s="37" t="str">
        <f t="shared" si="1"/>
        <v/>
      </c>
      <c r="M51" s="37" t="str">
        <f t="shared" si="2"/>
        <v/>
      </c>
      <c r="N51" s="37" t="str">
        <f t="shared" si="3"/>
        <v/>
      </c>
      <c r="O51" s="37" t="str">
        <f>IF(OR($D51="",$F51=""),"",$F51*IFERROR(VLOOKUP($D51,Maestro_SKU!$A$2:$P$500,12,FALSE),1))</f>
        <v/>
      </c>
    </row>
    <row r="52" spans="1:15" x14ac:dyDescent="0.35">
      <c r="A52" s="25"/>
      <c r="B52" s="24"/>
      <c r="C52" s="24"/>
      <c r="D52" s="24"/>
      <c r="E52" s="28" t="str">
        <f>IFERROR(VLOOKUP(D52,Maestro_SKU!$A$2:$P$500,2,FALSE),"")</f>
        <v/>
      </c>
      <c r="F52" s="24"/>
      <c r="G52" s="30"/>
      <c r="H52" s="24"/>
      <c r="I52" s="24"/>
      <c r="J52" s="24"/>
      <c r="K52" s="37" t="str">
        <f t="shared" si="0"/>
        <v/>
      </c>
      <c r="L52" s="37" t="str">
        <f t="shared" si="1"/>
        <v/>
      </c>
      <c r="M52" s="37" t="str">
        <f t="shared" si="2"/>
        <v/>
      </c>
      <c r="N52" s="37" t="str">
        <f t="shared" si="3"/>
        <v/>
      </c>
      <c r="O52" s="37" t="str">
        <f>IF(OR($D52="",$F52=""),"",$F52*IFERROR(VLOOKUP($D52,Maestro_SKU!$A$2:$P$500,12,FALSE),1))</f>
        <v/>
      </c>
    </row>
    <row r="53" spans="1:15" x14ac:dyDescent="0.35">
      <c r="A53" s="25"/>
      <c r="B53" s="24"/>
      <c r="C53" s="24"/>
      <c r="D53" s="24"/>
      <c r="E53" s="28" t="str">
        <f>IFERROR(VLOOKUP(D53,Maestro_SKU!$A$2:$P$500,2,FALSE),"")</f>
        <v/>
      </c>
      <c r="F53" s="24"/>
      <c r="G53" s="30"/>
      <c r="H53" s="24"/>
      <c r="I53" s="24"/>
      <c r="J53" s="24"/>
      <c r="K53" s="37" t="str">
        <f t="shared" si="0"/>
        <v/>
      </c>
      <c r="L53" s="37" t="str">
        <f t="shared" si="1"/>
        <v/>
      </c>
      <c r="M53" s="37" t="str">
        <f t="shared" si="2"/>
        <v/>
      </c>
      <c r="N53" s="37" t="str">
        <f t="shared" si="3"/>
        <v/>
      </c>
      <c r="O53" s="37" t="str">
        <f>IF(OR($D53="",$F53=""),"",$F53*IFERROR(VLOOKUP($D53,Maestro_SKU!$A$2:$P$500,12,FALSE),1))</f>
        <v/>
      </c>
    </row>
    <row r="54" spans="1:15" x14ac:dyDescent="0.35">
      <c r="A54" s="25"/>
      <c r="B54" s="24"/>
      <c r="C54" s="24"/>
      <c r="D54" s="24"/>
      <c r="E54" s="28" t="str">
        <f>IFERROR(VLOOKUP(D54,Maestro_SKU!$A$2:$P$500,2,FALSE),"")</f>
        <v/>
      </c>
      <c r="F54" s="24"/>
      <c r="G54" s="30"/>
      <c r="H54" s="24"/>
      <c r="I54" s="24"/>
      <c r="J54" s="24"/>
      <c r="K54" s="37" t="str">
        <f t="shared" si="0"/>
        <v/>
      </c>
      <c r="L54" s="37" t="str">
        <f t="shared" si="1"/>
        <v/>
      </c>
      <c r="M54" s="37" t="str">
        <f t="shared" si="2"/>
        <v/>
      </c>
      <c r="N54" s="37" t="str">
        <f t="shared" si="3"/>
        <v/>
      </c>
      <c r="O54" s="37" t="str">
        <f>IF(OR($D54="",$F54=""),"",$F54*IFERROR(VLOOKUP($D54,Maestro_SKU!$A$2:$P$500,12,FALSE),1))</f>
        <v/>
      </c>
    </row>
    <row r="55" spans="1:15" x14ac:dyDescent="0.35">
      <c r="A55" s="25"/>
      <c r="B55" s="24"/>
      <c r="C55" s="24"/>
      <c r="D55" s="24"/>
      <c r="E55" s="28" t="str">
        <f>IFERROR(VLOOKUP(D55,Maestro_SKU!$A$2:$P$500,2,FALSE),"")</f>
        <v/>
      </c>
      <c r="F55" s="24"/>
      <c r="G55" s="30"/>
      <c r="H55" s="24"/>
      <c r="I55" s="24"/>
      <c r="J55" s="24"/>
      <c r="K55" s="37" t="str">
        <f t="shared" si="0"/>
        <v/>
      </c>
      <c r="L55" s="37" t="str">
        <f t="shared" si="1"/>
        <v/>
      </c>
      <c r="M55" s="37" t="str">
        <f t="shared" si="2"/>
        <v/>
      </c>
      <c r="N55" s="37" t="str">
        <f t="shared" si="3"/>
        <v/>
      </c>
      <c r="O55" s="37" t="str">
        <f>IF(OR($D55="",$F55=""),"",$F55*IFERROR(VLOOKUP($D55,Maestro_SKU!$A$2:$P$500,12,FALSE),1))</f>
        <v/>
      </c>
    </row>
    <row r="56" spans="1:15" x14ac:dyDescent="0.35">
      <c r="A56" s="25"/>
      <c r="B56" s="24"/>
      <c r="C56" s="24"/>
      <c r="D56" s="24"/>
      <c r="E56" s="28" t="str">
        <f>IFERROR(VLOOKUP(D56,Maestro_SKU!$A$2:$P$500,2,FALSE),"")</f>
        <v/>
      </c>
      <c r="F56" s="24"/>
      <c r="G56" s="30"/>
      <c r="H56" s="24"/>
      <c r="I56" s="24"/>
      <c r="J56" s="24"/>
      <c r="K56" s="37" t="str">
        <f t="shared" si="0"/>
        <v/>
      </c>
      <c r="L56" s="37" t="str">
        <f t="shared" si="1"/>
        <v/>
      </c>
      <c r="M56" s="37" t="str">
        <f t="shared" si="2"/>
        <v/>
      </c>
      <c r="N56" s="37" t="str">
        <f t="shared" si="3"/>
        <v/>
      </c>
      <c r="O56" s="37" t="str">
        <f>IF(OR($D56="",$F56=""),"",$F56*IFERROR(VLOOKUP($D56,Maestro_SKU!$A$2:$P$500,12,FALSE),1))</f>
        <v/>
      </c>
    </row>
    <row r="57" spans="1:15" x14ac:dyDescent="0.35">
      <c r="A57" s="25"/>
      <c r="B57" s="24"/>
      <c r="C57" s="24"/>
      <c r="D57" s="24"/>
      <c r="E57" s="28" t="str">
        <f>IFERROR(VLOOKUP(D57,Maestro_SKU!$A$2:$P$500,2,FALSE),"")</f>
        <v/>
      </c>
      <c r="F57" s="24"/>
      <c r="G57" s="30"/>
      <c r="H57" s="24"/>
      <c r="I57" s="24"/>
      <c r="J57" s="24"/>
      <c r="K57" s="37" t="str">
        <f t="shared" si="0"/>
        <v/>
      </c>
      <c r="L57" s="37" t="str">
        <f t="shared" si="1"/>
        <v/>
      </c>
      <c r="M57" s="37" t="str">
        <f t="shared" si="2"/>
        <v/>
      </c>
      <c r="N57" s="37" t="str">
        <f t="shared" si="3"/>
        <v/>
      </c>
      <c r="O57" s="37" t="str">
        <f>IF(OR($D57="",$F57=""),"",$F57*IFERROR(VLOOKUP($D57,Maestro_SKU!$A$2:$P$500,12,FALSE),1))</f>
        <v/>
      </c>
    </row>
    <row r="58" spans="1:15" x14ac:dyDescent="0.35">
      <c r="A58" s="25"/>
      <c r="B58" s="24"/>
      <c r="C58" s="24"/>
      <c r="D58" s="24"/>
      <c r="E58" s="28" t="str">
        <f>IFERROR(VLOOKUP(D58,Maestro_SKU!$A$2:$P$500,2,FALSE),"")</f>
        <v/>
      </c>
      <c r="F58" s="24"/>
      <c r="G58" s="30"/>
      <c r="H58" s="24"/>
      <c r="I58" s="24"/>
      <c r="J58" s="24"/>
      <c r="K58" s="37" t="str">
        <f t="shared" si="0"/>
        <v/>
      </c>
      <c r="L58" s="37" t="str">
        <f t="shared" si="1"/>
        <v/>
      </c>
      <c r="M58" s="37" t="str">
        <f t="shared" si="2"/>
        <v/>
      </c>
      <c r="N58" s="37" t="str">
        <f t="shared" si="3"/>
        <v/>
      </c>
      <c r="O58" s="37" t="str">
        <f>IF(OR($D58="",$F58=""),"",$F58*IFERROR(VLOOKUP($D58,Maestro_SKU!$A$2:$P$500,12,FALSE),1))</f>
        <v/>
      </c>
    </row>
    <row r="59" spans="1:15" x14ac:dyDescent="0.35">
      <c r="A59" s="25"/>
      <c r="B59" s="24"/>
      <c r="C59" s="24"/>
      <c r="D59" s="24"/>
      <c r="E59" s="28" t="str">
        <f>IFERROR(VLOOKUP(D59,Maestro_SKU!$A$2:$P$500,2,FALSE),"")</f>
        <v/>
      </c>
      <c r="F59" s="24"/>
      <c r="G59" s="30"/>
      <c r="H59" s="24"/>
      <c r="I59" s="24"/>
      <c r="J59" s="24"/>
      <c r="K59" s="37" t="str">
        <f t="shared" si="0"/>
        <v/>
      </c>
      <c r="L59" s="37" t="str">
        <f t="shared" si="1"/>
        <v/>
      </c>
      <c r="M59" s="37" t="str">
        <f t="shared" si="2"/>
        <v/>
      </c>
      <c r="N59" s="37" t="str">
        <f t="shared" si="3"/>
        <v/>
      </c>
      <c r="O59" s="37" t="str">
        <f>IF(OR($D59="",$F59=""),"",$F59*IFERROR(VLOOKUP($D59,Maestro_SKU!$A$2:$P$500,12,FALSE),1))</f>
        <v/>
      </c>
    </row>
    <row r="60" spans="1:15" x14ac:dyDescent="0.35">
      <c r="A60" s="25"/>
      <c r="B60" s="24"/>
      <c r="C60" s="24"/>
      <c r="D60" s="24"/>
      <c r="E60" s="28" t="str">
        <f>IFERROR(VLOOKUP(D60,Maestro_SKU!$A$2:$P$500,2,FALSE),"")</f>
        <v/>
      </c>
      <c r="F60" s="24"/>
      <c r="G60" s="30"/>
      <c r="H60" s="24"/>
      <c r="I60" s="24"/>
      <c r="J60" s="24"/>
      <c r="K60" s="37" t="str">
        <f t="shared" si="0"/>
        <v/>
      </c>
      <c r="L60" s="37" t="str">
        <f t="shared" si="1"/>
        <v/>
      </c>
      <c r="M60" s="37" t="str">
        <f t="shared" si="2"/>
        <v/>
      </c>
      <c r="N60" s="37" t="str">
        <f t="shared" si="3"/>
        <v/>
      </c>
      <c r="O60" s="37" t="str">
        <f>IF(OR($D60="",$F60=""),"",$F60*IFERROR(VLOOKUP($D60,Maestro_SKU!$A$2:$P$500,12,FALSE),1))</f>
        <v/>
      </c>
    </row>
    <row r="61" spans="1:15" x14ac:dyDescent="0.35">
      <c r="A61" s="25"/>
      <c r="B61" s="24"/>
      <c r="C61" s="24"/>
      <c r="D61" s="24"/>
      <c r="E61" s="28" t="str">
        <f>IFERROR(VLOOKUP(D61,Maestro_SKU!$A$2:$P$500,2,FALSE),"")</f>
        <v/>
      </c>
      <c r="F61" s="24"/>
      <c r="G61" s="30"/>
      <c r="H61" s="24"/>
      <c r="I61" s="24"/>
      <c r="J61" s="24"/>
      <c r="K61" s="37" t="str">
        <f t="shared" si="0"/>
        <v/>
      </c>
      <c r="L61" s="37" t="str">
        <f t="shared" si="1"/>
        <v/>
      </c>
      <c r="M61" s="37" t="str">
        <f t="shared" si="2"/>
        <v/>
      </c>
      <c r="N61" s="37" t="str">
        <f t="shared" si="3"/>
        <v/>
      </c>
      <c r="O61" s="37" t="str">
        <f>IF(OR($D61="",$F61=""),"",$F61*IFERROR(VLOOKUP($D61,Maestro_SKU!$A$2:$P$500,12,FALSE),1))</f>
        <v/>
      </c>
    </row>
    <row r="62" spans="1:15" x14ac:dyDescent="0.35">
      <c r="A62" s="25"/>
      <c r="B62" s="24"/>
      <c r="C62" s="24"/>
      <c r="D62" s="24"/>
      <c r="E62" s="28" t="str">
        <f>IFERROR(VLOOKUP(D62,Maestro_SKU!$A$2:$P$500,2,FALSE),"")</f>
        <v/>
      </c>
      <c r="F62" s="24"/>
      <c r="G62" s="30"/>
      <c r="H62" s="24"/>
      <c r="I62" s="24"/>
      <c r="J62" s="24"/>
      <c r="K62" s="37" t="str">
        <f t="shared" si="0"/>
        <v/>
      </c>
      <c r="L62" s="37" t="str">
        <f t="shared" si="1"/>
        <v/>
      </c>
      <c r="M62" s="37" t="str">
        <f t="shared" si="2"/>
        <v/>
      </c>
      <c r="N62" s="37" t="str">
        <f t="shared" si="3"/>
        <v/>
      </c>
      <c r="O62" s="37" t="str">
        <f>IF(OR($D62="",$F62=""),"",$F62*IFERROR(VLOOKUP($D62,Maestro_SKU!$A$2:$P$500,12,FALSE),1))</f>
        <v/>
      </c>
    </row>
    <row r="63" spans="1:15" x14ac:dyDescent="0.35">
      <c r="A63" s="25"/>
      <c r="B63" s="24"/>
      <c r="C63" s="24"/>
      <c r="D63" s="24"/>
      <c r="E63" s="28" t="str">
        <f>IFERROR(VLOOKUP(D63,Maestro_SKU!$A$2:$P$500,2,FALSE),"")</f>
        <v/>
      </c>
      <c r="F63" s="24"/>
      <c r="G63" s="30"/>
      <c r="H63" s="24"/>
      <c r="I63" s="24"/>
      <c r="J63" s="24"/>
      <c r="K63" s="37" t="str">
        <f t="shared" si="0"/>
        <v/>
      </c>
      <c r="L63" s="37" t="str">
        <f t="shared" si="1"/>
        <v/>
      </c>
      <c r="M63" s="37" t="str">
        <f t="shared" si="2"/>
        <v/>
      </c>
      <c r="N63" s="37" t="str">
        <f t="shared" si="3"/>
        <v/>
      </c>
      <c r="O63" s="37" t="str">
        <f>IF(OR($D63="",$F63=""),"",$F63*IFERROR(VLOOKUP($D63,Maestro_SKU!$A$2:$P$500,12,FALSE),1))</f>
        <v/>
      </c>
    </row>
    <row r="64" spans="1:15" x14ac:dyDescent="0.35">
      <c r="A64" s="25"/>
      <c r="B64" s="24"/>
      <c r="C64" s="24"/>
      <c r="D64" s="24"/>
      <c r="E64" s="28" t="str">
        <f>IFERROR(VLOOKUP(D64,Maestro_SKU!$A$2:$P$500,2,FALSE),"")</f>
        <v/>
      </c>
      <c r="F64" s="24"/>
      <c r="G64" s="30"/>
      <c r="H64" s="24"/>
      <c r="I64" s="24"/>
      <c r="J64" s="24"/>
      <c r="K64" s="37" t="str">
        <f t="shared" si="0"/>
        <v/>
      </c>
      <c r="L64" s="37" t="str">
        <f t="shared" si="1"/>
        <v/>
      </c>
      <c r="M64" s="37" t="str">
        <f t="shared" si="2"/>
        <v/>
      </c>
      <c r="N64" s="37" t="str">
        <f t="shared" si="3"/>
        <v/>
      </c>
      <c r="O64" s="37" t="str">
        <f>IF(OR($D64="",$F64=""),"",$F64*IFERROR(VLOOKUP($D64,Maestro_SKU!$A$2:$P$500,12,FALSE),1))</f>
        <v/>
      </c>
    </row>
    <row r="65" spans="1:15" x14ac:dyDescent="0.35">
      <c r="A65" s="25"/>
      <c r="B65" s="24"/>
      <c r="C65" s="24"/>
      <c r="D65" s="24"/>
      <c r="E65" s="28" t="str">
        <f>IFERROR(VLOOKUP(D65,Maestro_SKU!$A$2:$P$500,2,FALSE),"")</f>
        <v/>
      </c>
      <c r="F65" s="24"/>
      <c r="G65" s="30"/>
      <c r="H65" s="24"/>
      <c r="I65" s="24"/>
      <c r="J65" s="24"/>
      <c r="K65" s="37" t="str">
        <f t="shared" si="0"/>
        <v/>
      </c>
      <c r="L65" s="37" t="str">
        <f t="shared" si="1"/>
        <v/>
      </c>
      <c r="M65" s="37" t="str">
        <f t="shared" si="2"/>
        <v/>
      </c>
      <c r="N65" s="37" t="str">
        <f t="shared" si="3"/>
        <v/>
      </c>
      <c r="O65" s="37" t="str">
        <f>IF(OR($D65="",$F65=""),"",$F65*IFERROR(VLOOKUP($D65,Maestro_SKU!$A$2:$P$500,12,FALSE),1))</f>
        <v/>
      </c>
    </row>
    <row r="66" spans="1:15" x14ac:dyDescent="0.35">
      <c r="A66" s="25"/>
      <c r="B66" s="24"/>
      <c r="C66" s="24"/>
      <c r="D66" s="24"/>
      <c r="E66" s="28" t="str">
        <f>IFERROR(VLOOKUP(D66,Maestro_SKU!$A$2:$P$500,2,FALSE),"")</f>
        <v/>
      </c>
      <c r="F66" s="24"/>
      <c r="G66" s="30"/>
      <c r="H66" s="24"/>
      <c r="I66" s="24"/>
      <c r="J66" s="24"/>
      <c r="K66" s="37" t="str">
        <f t="shared" ref="K66:K129" si="4">IF($A66="","",YEAR($A66))</f>
        <v/>
      </c>
      <c r="L66" s="37" t="str">
        <f t="shared" ref="L66:L129" si="5">IF($A66="","",MONTH($A66))</f>
        <v/>
      </c>
      <c r="M66" s="37" t="str">
        <f t="shared" ref="M66:M129" si="6">IF($A66="","",DAY($A66))</f>
        <v/>
      </c>
      <c r="N66" s="37" t="str">
        <f t="shared" ref="N66:N129" si="7">IF($A66="","",YEAR($A66)&amp;"-"&amp;TEXT(MONTH($A66),"00"))</f>
        <v/>
      </c>
      <c r="O66" s="37" t="str">
        <f>IF(OR($D66="",$F66=""),"",$F66*IFERROR(VLOOKUP($D66,Maestro_SKU!$A$2:$P$500,12,FALSE),1))</f>
        <v/>
      </c>
    </row>
    <row r="67" spans="1:15" x14ac:dyDescent="0.35">
      <c r="A67" s="25"/>
      <c r="B67" s="24"/>
      <c r="C67" s="24"/>
      <c r="D67" s="24"/>
      <c r="E67" s="28" t="str">
        <f>IFERROR(VLOOKUP(D67,Maestro_SKU!$A$2:$P$500,2,FALSE),"")</f>
        <v/>
      </c>
      <c r="F67" s="24"/>
      <c r="G67" s="30"/>
      <c r="H67" s="24"/>
      <c r="I67" s="24"/>
      <c r="J67" s="24"/>
      <c r="K67" s="37" t="str">
        <f t="shared" si="4"/>
        <v/>
      </c>
      <c r="L67" s="37" t="str">
        <f t="shared" si="5"/>
        <v/>
      </c>
      <c r="M67" s="37" t="str">
        <f t="shared" si="6"/>
        <v/>
      </c>
      <c r="N67" s="37" t="str">
        <f t="shared" si="7"/>
        <v/>
      </c>
      <c r="O67" s="37" t="str">
        <f>IF(OR($D67="",$F67=""),"",$F67*IFERROR(VLOOKUP($D67,Maestro_SKU!$A$2:$P$500,12,FALSE),1))</f>
        <v/>
      </c>
    </row>
    <row r="68" spans="1:15" x14ac:dyDescent="0.35">
      <c r="A68" s="25"/>
      <c r="B68" s="24"/>
      <c r="C68" s="24"/>
      <c r="D68" s="24"/>
      <c r="E68" s="28" t="str">
        <f>IFERROR(VLOOKUP(D68,Maestro_SKU!$A$2:$P$500,2,FALSE),"")</f>
        <v/>
      </c>
      <c r="F68" s="24"/>
      <c r="G68" s="30"/>
      <c r="H68" s="24"/>
      <c r="I68" s="24"/>
      <c r="J68" s="24"/>
      <c r="K68" s="37" t="str">
        <f t="shared" si="4"/>
        <v/>
      </c>
      <c r="L68" s="37" t="str">
        <f t="shared" si="5"/>
        <v/>
      </c>
      <c r="M68" s="37" t="str">
        <f t="shared" si="6"/>
        <v/>
      </c>
      <c r="N68" s="37" t="str">
        <f t="shared" si="7"/>
        <v/>
      </c>
      <c r="O68" s="37" t="str">
        <f>IF(OR($D68="",$F68=""),"",$F68*IFERROR(VLOOKUP($D68,Maestro_SKU!$A$2:$P$500,12,FALSE),1))</f>
        <v/>
      </c>
    </row>
    <row r="69" spans="1:15" x14ac:dyDescent="0.35">
      <c r="A69" s="25"/>
      <c r="B69" s="24"/>
      <c r="C69" s="24"/>
      <c r="D69" s="24"/>
      <c r="E69" s="28" t="str">
        <f>IFERROR(VLOOKUP(D69,Maestro_SKU!$A$2:$P$500,2,FALSE),"")</f>
        <v/>
      </c>
      <c r="F69" s="24"/>
      <c r="G69" s="30"/>
      <c r="H69" s="24"/>
      <c r="I69" s="24"/>
      <c r="J69" s="24"/>
      <c r="K69" s="37" t="str">
        <f t="shared" si="4"/>
        <v/>
      </c>
      <c r="L69" s="37" t="str">
        <f t="shared" si="5"/>
        <v/>
      </c>
      <c r="M69" s="37" t="str">
        <f t="shared" si="6"/>
        <v/>
      </c>
      <c r="N69" s="37" t="str">
        <f t="shared" si="7"/>
        <v/>
      </c>
      <c r="O69" s="37" t="str">
        <f>IF(OR($D69="",$F69=""),"",$F69*IFERROR(VLOOKUP($D69,Maestro_SKU!$A$2:$P$500,12,FALSE),1))</f>
        <v/>
      </c>
    </row>
    <row r="70" spans="1:15" x14ac:dyDescent="0.35">
      <c r="A70" s="25"/>
      <c r="B70" s="24"/>
      <c r="C70" s="24"/>
      <c r="D70" s="24"/>
      <c r="E70" s="28" t="str">
        <f>IFERROR(VLOOKUP(D70,Maestro_SKU!$A$2:$P$500,2,FALSE),"")</f>
        <v/>
      </c>
      <c r="F70" s="24"/>
      <c r="G70" s="30"/>
      <c r="H70" s="24"/>
      <c r="I70" s="24"/>
      <c r="J70" s="24"/>
      <c r="K70" s="37" t="str">
        <f t="shared" si="4"/>
        <v/>
      </c>
      <c r="L70" s="37" t="str">
        <f t="shared" si="5"/>
        <v/>
      </c>
      <c r="M70" s="37" t="str">
        <f t="shared" si="6"/>
        <v/>
      </c>
      <c r="N70" s="37" t="str">
        <f t="shared" si="7"/>
        <v/>
      </c>
      <c r="O70" s="37" t="str">
        <f>IF(OR($D70="",$F70=""),"",$F70*IFERROR(VLOOKUP($D70,Maestro_SKU!$A$2:$P$500,12,FALSE),1))</f>
        <v/>
      </c>
    </row>
    <row r="71" spans="1:15" x14ac:dyDescent="0.35">
      <c r="A71" s="25"/>
      <c r="B71" s="24"/>
      <c r="C71" s="24"/>
      <c r="D71" s="24"/>
      <c r="E71" s="28" t="str">
        <f>IFERROR(VLOOKUP(D71,Maestro_SKU!$A$2:$P$500,2,FALSE),"")</f>
        <v/>
      </c>
      <c r="F71" s="24"/>
      <c r="G71" s="30"/>
      <c r="H71" s="24"/>
      <c r="I71" s="24"/>
      <c r="J71" s="24"/>
      <c r="K71" s="37" t="str">
        <f t="shared" si="4"/>
        <v/>
      </c>
      <c r="L71" s="37" t="str">
        <f t="shared" si="5"/>
        <v/>
      </c>
      <c r="M71" s="37" t="str">
        <f t="shared" si="6"/>
        <v/>
      </c>
      <c r="N71" s="37" t="str">
        <f t="shared" si="7"/>
        <v/>
      </c>
      <c r="O71" s="37" t="str">
        <f>IF(OR($D71="",$F71=""),"",$F71*IFERROR(VLOOKUP($D71,Maestro_SKU!$A$2:$P$500,12,FALSE),1))</f>
        <v/>
      </c>
    </row>
    <row r="72" spans="1:15" x14ac:dyDescent="0.35">
      <c r="A72" s="25"/>
      <c r="B72" s="24"/>
      <c r="C72" s="24"/>
      <c r="D72" s="24"/>
      <c r="E72" s="28" t="str">
        <f>IFERROR(VLOOKUP(D72,Maestro_SKU!$A$2:$P$500,2,FALSE),"")</f>
        <v/>
      </c>
      <c r="F72" s="24"/>
      <c r="G72" s="30"/>
      <c r="H72" s="24"/>
      <c r="I72" s="24"/>
      <c r="J72" s="24"/>
      <c r="K72" s="37" t="str">
        <f t="shared" si="4"/>
        <v/>
      </c>
      <c r="L72" s="37" t="str">
        <f t="shared" si="5"/>
        <v/>
      </c>
      <c r="M72" s="37" t="str">
        <f t="shared" si="6"/>
        <v/>
      </c>
      <c r="N72" s="37" t="str">
        <f t="shared" si="7"/>
        <v/>
      </c>
      <c r="O72" s="37" t="str">
        <f>IF(OR($D72="",$F72=""),"",$F72*IFERROR(VLOOKUP($D72,Maestro_SKU!$A$2:$P$500,12,FALSE),1))</f>
        <v/>
      </c>
    </row>
    <row r="73" spans="1:15" x14ac:dyDescent="0.35">
      <c r="A73" s="25"/>
      <c r="B73" s="24"/>
      <c r="C73" s="24"/>
      <c r="D73" s="24"/>
      <c r="E73" s="28" t="str">
        <f>IFERROR(VLOOKUP(D73,Maestro_SKU!$A$2:$P$500,2,FALSE),"")</f>
        <v/>
      </c>
      <c r="F73" s="24"/>
      <c r="G73" s="30"/>
      <c r="H73" s="24"/>
      <c r="I73" s="24"/>
      <c r="J73" s="24"/>
      <c r="K73" s="37" t="str">
        <f t="shared" si="4"/>
        <v/>
      </c>
      <c r="L73" s="37" t="str">
        <f t="shared" si="5"/>
        <v/>
      </c>
      <c r="M73" s="37" t="str">
        <f t="shared" si="6"/>
        <v/>
      </c>
      <c r="N73" s="37" t="str">
        <f t="shared" si="7"/>
        <v/>
      </c>
      <c r="O73" s="37" t="str">
        <f>IF(OR($D73="",$F73=""),"",$F73*IFERROR(VLOOKUP($D73,Maestro_SKU!$A$2:$P$500,12,FALSE),1))</f>
        <v/>
      </c>
    </row>
    <row r="74" spans="1:15" x14ac:dyDescent="0.35">
      <c r="A74" s="25"/>
      <c r="B74" s="24"/>
      <c r="C74" s="24"/>
      <c r="D74" s="24"/>
      <c r="E74" s="28" t="str">
        <f>IFERROR(VLOOKUP(D74,Maestro_SKU!$A$2:$P$500,2,FALSE),"")</f>
        <v/>
      </c>
      <c r="F74" s="24"/>
      <c r="G74" s="30"/>
      <c r="H74" s="24"/>
      <c r="I74" s="24"/>
      <c r="J74" s="24"/>
      <c r="K74" s="37" t="str">
        <f t="shared" si="4"/>
        <v/>
      </c>
      <c r="L74" s="37" t="str">
        <f t="shared" si="5"/>
        <v/>
      </c>
      <c r="M74" s="37" t="str">
        <f t="shared" si="6"/>
        <v/>
      </c>
      <c r="N74" s="37" t="str">
        <f t="shared" si="7"/>
        <v/>
      </c>
      <c r="O74" s="37" t="str">
        <f>IF(OR($D74="",$F74=""),"",$F74*IFERROR(VLOOKUP($D74,Maestro_SKU!$A$2:$P$500,12,FALSE),1))</f>
        <v/>
      </c>
    </row>
    <row r="75" spans="1:15" x14ac:dyDescent="0.35">
      <c r="A75" s="25"/>
      <c r="B75" s="24"/>
      <c r="C75" s="24"/>
      <c r="D75" s="24"/>
      <c r="E75" s="28" t="str">
        <f>IFERROR(VLOOKUP(D75,Maestro_SKU!$A$2:$P$500,2,FALSE),"")</f>
        <v/>
      </c>
      <c r="F75" s="24"/>
      <c r="G75" s="30"/>
      <c r="H75" s="24"/>
      <c r="I75" s="24"/>
      <c r="J75" s="24"/>
      <c r="K75" s="37" t="str">
        <f t="shared" si="4"/>
        <v/>
      </c>
      <c r="L75" s="37" t="str">
        <f t="shared" si="5"/>
        <v/>
      </c>
      <c r="M75" s="37" t="str">
        <f t="shared" si="6"/>
        <v/>
      </c>
      <c r="N75" s="37" t="str">
        <f t="shared" si="7"/>
        <v/>
      </c>
      <c r="O75" s="37" t="str">
        <f>IF(OR($D75="",$F75=""),"",$F75*IFERROR(VLOOKUP($D75,Maestro_SKU!$A$2:$P$500,12,FALSE),1))</f>
        <v/>
      </c>
    </row>
    <row r="76" spans="1:15" x14ac:dyDescent="0.35">
      <c r="A76" s="25"/>
      <c r="B76" s="24"/>
      <c r="C76" s="24"/>
      <c r="D76" s="24"/>
      <c r="E76" s="28" t="str">
        <f>IFERROR(VLOOKUP(D76,Maestro_SKU!$A$2:$P$500,2,FALSE),"")</f>
        <v/>
      </c>
      <c r="F76" s="24"/>
      <c r="G76" s="30"/>
      <c r="H76" s="24"/>
      <c r="I76" s="24"/>
      <c r="J76" s="24"/>
      <c r="K76" s="37" t="str">
        <f t="shared" si="4"/>
        <v/>
      </c>
      <c r="L76" s="37" t="str">
        <f t="shared" si="5"/>
        <v/>
      </c>
      <c r="M76" s="37" t="str">
        <f t="shared" si="6"/>
        <v/>
      </c>
      <c r="N76" s="37" t="str">
        <f t="shared" si="7"/>
        <v/>
      </c>
      <c r="O76" s="37" t="str">
        <f>IF(OR($D76="",$F76=""),"",$F76*IFERROR(VLOOKUP($D76,Maestro_SKU!$A$2:$P$500,12,FALSE),1))</f>
        <v/>
      </c>
    </row>
    <row r="77" spans="1:15" x14ac:dyDescent="0.35">
      <c r="A77" s="25"/>
      <c r="B77" s="24"/>
      <c r="C77" s="24"/>
      <c r="D77" s="24"/>
      <c r="E77" s="28" t="str">
        <f>IFERROR(VLOOKUP(D77,Maestro_SKU!$A$2:$P$500,2,FALSE),"")</f>
        <v/>
      </c>
      <c r="F77" s="24"/>
      <c r="G77" s="30"/>
      <c r="H77" s="24"/>
      <c r="I77" s="24"/>
      <c r="J77" s="24"/>
      <c r="K77" s="37" t="str">
        <f t="shared" si="4"/>
        <v/>
      </c>
      <c r="L77" s="37" t="str">
        <f t="shared" si="5"/>
        <v/>
      </c>
      <c r="M77" s="37" t="str">
        <f t="shared" si="6"/>
        <v/>
      </c>
      <c r="N77" s="37" t="str">
        <f t="shared" si="7"/>
        <v/>
      </c>
      <c r="O77" s="37" t="str">
        <f>IF(OR($D77="",$F77=""),"",$F77*IFERROR(VLOOKUP($D77,Maestro_SKU!$A$2:$P$500,12,FALSE),1))</f>
        <v/>
      </c>
    </row>
    <row r="78" spans="1:15" x14ac:dyDescent="0.35">
      <c r="A78" s="25"/>
      <c r="B78" s="24"/>
      <c r="C78" s="24"/>
      <c r="D78" s="24"/>
      <c r="E78" s="28" t="str">
        <f>IFERROR(VLOOKUP(D78,Maestro_SKU!$A$2:$P$500,2,FALSE),"")</f>
        <v/>
      </c>
      <c r="F78" s="24"/>
      <c r="G78" s="30"/>
      <c r="H78" s="24"/>
      <c r="I78" s="24"/>
      <c r="J78" s="24"/>
      <c r="K78" s="37" t="str">
        <f t="shared" si="4"/>
        <v/>
      </c>
      <c r="L78" s="37" t="str">
        <f t="shared" si="5"/>
        <v/>
      </c>
      <c r="M78" s="37" t="str">
        <f t="shared" si="6"/>
        <v/>
      </c>
      <c r="N78" s="37" t="str">
        <f t="shared" si="7"/>
        <v/>
      </c>
      <c r="O78" s="37" t="str">
        <f>IF(OR($D78="",$F78=""),"",$F78*IFERROR(VLOOKUP($D78,Maestro_SKU!$A$2:$P$500,12,FALSE),1))</f>
        <v/>
      </c>
    </row>
    <row r="79" spans="1:15" x14ac:dyDescent="0.35">
      <c r="A79" s="25"/>
      <c r="B79" s="24"/>
      <c r="C79" s="24"/>
      <c r="D79" s="24"/>
      <c r="E79" s="28" t="str">
        <f>IFERROR(VLOOKUP(D79,Maestro_SKU!$A$2:$P$500,2,FALSE),"")</f>
        <v/>
      </c>
      <c r="F79" s="24"/>
      <c r="G79" s="30"/>
      <c r="H79" s="24"/>
      <c r="I79" s="24"/>
      <c r="J79" s="24"/>
      <c r="K79" s="37" t="str">
        <f t="shared" si="4"/>
        <v/>
      </c>
      <c r="L79" s="37" t="str">
        <f t="shared" si="5"/>
        <v/>
      </c>
      <c r="M79" s="37" t="str">
        <f t="shared" si="6"/>
        <v/>
      </c>
      <c r="N79" s="37" t="str">
        <f t="shared" si="7"/>
        <v/>
      </c>
      <c r="O79" s="37" t="str">
        <f>IF(OR($D79="",$F79=""),"",$F79*IFERROR(VLOOKUP($D79,Maestro_SKU!$A$2:$P$500,12,FALSE),1))</f>
        <v/>
      </c>
    </row>
    <row r="80" spans="1:15" x14ac:dyDescent="0.35">
      <c r="A80" s="25"/>
      <c r="B80" s="24"/>
      <c r="C80" s="24"/>
      <c r="D80" s="24"/>
      <c r="E80" s="28" t="str">
        <f>IFERROR(VLOOKUP(D80,Maestro_SKU!$A$2:$P$500,2,FALSE),"")</f>
        <v/>
      </c>
      <c r="F80" s="24"/>
      <c r="G80" s="30"/>
      <c r="H80" s="24"/>
      <c r="I80" s="24"/>
      <c r="J80" s="24"/>
      <c r="K80" s="37" t="str">
        <f t="shared" si="4"/>
        <v/>
      </c>
      <c r="L80" s="37" t="str">
        <f t="shared" si="5"/>
        <v/>
      </c>
      <c r="M80" s="37" t="str">
        <f t="shared" si="6"/>
        <v/>
      </c>
      <c r="N80" s="37" t="str">
        <f t="shared" si="7"/>
        <v/>
      </c>
      <c r="O80" s="37" t="str">
        <f>IF(OR($D80="",$F80=""),"",$F80*IFERROR(VLOOKUP($D80,Maestro_SKU!$A$2:$P$500,12,FALSE),1))</f>
        <v/>
      </c>
    </row>
    <row r="81" spans="1:15" x14ac:dyDescent="0.35">
      <c r="A81" s="25"/>
      <c r="B81" s="24"/>
      <c r="C81" s="24"/>
      <c r="D81" s="24"/>
      <c r="E81" s="28" t="str">
        <f>IFERROR(VLOOKUP(D81,Maestro_SKU!$A$2:$P$500,2,FALSE),"")</f>
        <v/>
      </c>
      <c r="F81" s="24"/>
      <c r="G81" s="30"/>
      <c r="H81" s="24"/>
      <c r="I81" s="24"/>
      <c r="J81" s="24"/>
      <c r="K81" s="37" t="str">
        <f t="shared" si="4"/>
        <v/>
      </c>
      <c r="L81" s="37" t="str">
        <f t="shared" si="5"/>
        <v/>
      </c>
      <c r="M81" s="37" t="str">
        <f t="shared" si="6"/>
        <v/>
      </c>
      <c r="N81" s="37" t="str">
        <f t="shared" si="7"/>
        <v/>
      </c>
      <c r="O81" s="37" t="str">
        <f>IF(OR($D81="",$F81=""),"",$F81*IFERROR(VLOOKUP($D81,Maestro_SKU!$A$2:$P$500,12,FALSE),1))</f>
        <v/>
      </c>
    </row>
    <row r="82" spans="1:15" x14ac:dyDescent="0.35">
      <c r="A82" s="25"/>
      <c r="B82" s="24"/>
      <c r="C82" s="24"/>
      <c r="D82" s="24"/>
      <c r="E82" s="28" t="str">
        <f>IFERROR(VLOOKUP(D82,Maestro_SKU!$A$2:$P$500,2,FALSE),"")</f>
        <v/>
      </c>
      <c r="F82" s="24"/>
      <c r="G82" s="30"/>
      <c r="H82" s="24"/>
      <c r="I82" s="24"/>
      <c r="J82" s="24"/>
      <c r="K82" s="37" t="str">
        <f t="shared" si="4"/>
        <v/>
      </c>
      <c r="L82" s="37" t="str">
        <f t="shared" si="5"/>
        <v/>
      </c>
      <c r="M82" s="37" t="str">
        <f t="shared" si="6"/>
        <v/>
      </c>
      <c r="N82" s="37" t="str">
        <f t="shared" si="7"/>
        <v/>
      </c>
      <c r="O82" s="37" t="str">
        <f>IF(OR($D82="",$F82=""),"",$F82*IFERROR(VLOOKUP($D82,Maestro_SKU!$A$2:$P$500,12,FALSE),1))</f>
        <v/>
      </c>
    </row>
    <row r="83" spans="1:15" x14ac:dyDescent="0.35">
      <c r="A83" s="25"/>
      <c r="B83" s="24"/>
      <c r="C83" s="24"/>
      <c r="D83" s="24"/>
      <c r="E83" s="28" t="str">
        <f>IFERROR(VLOOKUP(D83,Maestro_SKU!$A$2:$P$500,2,FALSE),"")</f>
        <v/>
      </c>
      <c r="F83" s="24"/>
      <c r="G83" s="30"/>
      <c r="H83" s="24"/>
      <c r="I83" s="24"/>
      <c r="J83" s="24"/>
      <c r="K83" s="37" t="str">
        <f t="shared" si="4"/>
        <v/>
      </c>
      <c r="L83" s="37" t="str">
        <f t="shared" si="5"/>
        <v/>
      </c>
      <c r="M83" s="37" t="str">
        <f t="shared" si="6"/>
        <v/>
      </c>
      <c r="N83" s="37" t="str">
        <f t="shared" si="7"/>
        <v/>
      </c>
      <c r="O83" s="37" t="str">
        <f>IF(OR($D83="",$F83=""),"",$F83*IFERROR(VLOOKUP($D83,Maestro_SKU!$A$2:$P$500,12,FALSE),1))</f>
        <v/>
      </c>
    </row>
    <row r="84" spans="1:15" x14ac:dyDescent="0.35">
      <c r="A84" s="25"/>
      <c r="B84" s="24"/>
      <c r="C84" s="24"/>
      <c r="D84" s="24"/>
      <c r="E84" s="28" t="str">
        <f>IFERROR(VLOOKUP(D84,Maestro_SKU!$A$2:$P$500,2,FALSE),"")</f>
        <v/>
      </c>
      <c r="F84" s="24"/>
      <c r="G84" s="30"/>
      <c r="H84" s="24"/>
      <c r="I84" s="24"/>
      <c r="J84" s="24"/>
      <c r="K84" s="37" t="str">
        <f t="shared" si="4"/>
        <v/>
      </c>
      <c r="L84" s="37" t="str">
        <f t="shared" si="5"/>
        <v/>
      </c>
      <c r="M84" s="37" t="str">
        <f t="shared" si="6"/>
        <v/>
      </c>
      <c r="N84" s="37" t="str">
        <f t="shared" si="7"/>
        <v/>
      </c>
      <c r="O84" s="37" t="str">
        <f>IF(OR($D84="",$F84=""),"",$F84*IFERROR(VLOOKUP($D84,Maestro_SKU!$A$2:$P$500,12,FALSE),1))</f>
        <v/>
      </c>
    </row>
    <row r="85" spans="1:15" x14ac:dyDescent="0.35">
      <c r="A85" s="25"/>
      <c r="B85" s="24"/>
      <c r="C85" s="24"/>
      <c r="D85" s="24"/>
      <c r="E85" s="28" t="str">
        <f>IFERROR(VLOOKUP(D85,Maestro_SKU!$A$2:$P$500,2,FALSE),"")</f>
        <v/>
      </c>
      <c r="F85" s="24"/>
      <c r="G85" s="30"/>
      <c r="H85" s="24"/>
      <c r="I85" s="24"/>
      <c r="J85" s="24"/>
      <c r="K85" s="37" t="str">
        <f t="shared" si="4"/>
        <v/>
      </c>
      <c r="L85" s="37" t="str">
        <f t="shared" si="5"/>
        <v/>
      </c>
      <c r="M85" s="37" t="str">
        <f t="shared" si="6"/>
        <v/>
      </c>
      <c r="N85" s="37" t="str">
        <f t="shared" si="7"/>
        <v/>
      </c>
      <c r="O85" s="37" t="str">
        <f>IF(OR($D85="",$F85=""),"",$F85*IFERROR(VLOOKUP($D85,Maestro_SKU!$A$2:$P$500,12,FALSE),1))</f>
        <v/>
      </c>
    </row>
    <row r="86" spans="1:15" x14ac:dyDescent="0.35">
      <c r="A86" s="25"/>
      <c r="B86" s="24"/>
      <c r="C86" s="24"/>
      <c r="D86" s="24"/>
      <c r="E86" s="28" t="str">
        <f>IFERROR(VLOOKUP(D86,Maestro_SKU!$A$2:$P$500,2,FALSE),"")</f>
        <v/>
      </c>
      <c r="F86" s="24"/>
      <c r="G86" s="30"/>
      <c r="H86" s="24"/>
      <c r="I86" s="24"/>
      <c r="J86" s="24"/>
      <c r="K86" s="37" t="str">
        <f t="shared" si="4"/>
        <v/>
      </c>
      <c r="L86" s="37" t="str">
        <f t="shared" si="5"/>
        <v/>
      </c>
      <c r="M86" s="37" t="str">
        <f t="shared" si="6"/>
        <v/>
      </c>
      <c r="N86" s="37" t="str">
        <f t="shared" si="7"/>
        <v/>
      </c>
      <c r="O86" s="37" t="str">
        <f>IF(OR($D86="",$F86=""),"",$F86*IFERROR(VLOOKUP($D86,Maestro_SKU!$A$2:$P$500,12,FALSE),1))</f>
        <v/>
      </c>
    </row>
    <row r="87" spans="1:15" x14ac:dyDescent="0.35">
      <c r="A87" s="25"/>
      <c r="B87" s="24"/>
      <c r="C87" s="24"/>
      <c r="D87" s="24"/>
      <c r="E87" s="28" t="str">
        <f>IFERROR(VLOOKUP(D87,Maestro_SKU!$A$2:$P$500,2,FALSE),"")</f>
        <v/>
      </c>
      <c r="F87" s="24"/>
      <c r="G87" s="30"/>
      <c r="H87" s="24"/>
      <c r="I87" s="24"/>
      <c r="J87" s="24"/>
      <c r="K87" s="37" t="str">
        <f t="shared" si="4"/>
        <v/>
      </c>
      <c r="L87" s="37" t="str">
        <f t="shared" si="5"/>
        <v/>
      </c>
      <c r="M87" s="37" t="str">
        <f t="shared" si="6"/>
        <v/>
      </c>
      <c r="N87" s="37" t="str">
        <f t="shared" si="7"/>
        <v/>
      </c>
      <c r="O87" s="37" t="str">
        <f>IF(OR($D87="",$F87=""),"",$F87*IFERROR(VLOOKUP($D87,Maestro_SKU!$A$2:$P$500,12,FALSE),1))</f>
        <v/>
      </c>
    </row>
    <row r="88" spans="1:15" x14ac:dyDescent="0.35">
      <c r="A88" s="25"/>
      <c r="B88" s="24"/>
      <c r="C88" s="24"/>
      <c r="D88" s="24"/>
      <c r="E88" s="28" t="str">
        <f>IFERROR(VLOOKUP(D88,Maestro_SKU!$A$2:$P$500,2,FALSE),"")</f>
        <v/>
      </c>
      <c r="F88" s="24"/>
      <c r="G88" s="30"/>
      <c r="H88" s="24"/>
      <c r="I88" s="24"/>
      <c r="J88" s="24"/>
      <c r="K88" s="37" t="str">
        <f t="shared" si="4"/>
        <v/>
      </c>
      <c r="L88" s="37" t="str">
        <f t="shared" si="5"/>
        <v/>
      </c>
      <c r="M88" s="37" t="str">
        <f t="shared" si="6"/>
        <v/>
      </c>
      <c r="N88" s="37" t="str">
        <f t="shared" si="7"/>
        <v/>
      </c>
      <c r="O88" s="37" t="str">
        <f>IF(OR($D88="",$F88=""),"",$F88*IFERROR(VLOOKUP($D88,Maestro_SKU!$A$2:$P$500,12,FALSE),1))</f>
        <v/>
      </c>
    </row>
    <row r="89" spans="1:15" x14ac:dyDescent="0.35">
      <c r="A89" s="25"/>
      <c r="B89" s="24"/>
      <c r="C89" s="24"/>
      <c r="D89" s="24"/>
      <c r="E89" s="28" t="str">
        <f>IFERROR(VLOOKUP(D89,Maestro_SKU!$A$2:$P$500,2,FALSE),"")</f>
        <v/>
      </c>
      <c r="F89" s="24"/>
      <c r="G89" s="30"/>
      <c r="H89" s="24"/>
      <c r="I89" s="24"/>
      <c r="J89" s="24"/>
      <c r="K89" s="37" t="str">
        <f t="shared" si="4"/>
        <v/>
      </c>
      <c r="L89" s="37" t="str">
        <f t="shared" si="5"/>
        <v/>
      </c>
      <c r="M89" s="37" t="str">
        <f t="shared" si="6"/>
        <v/>
      </c>
      <c r="N89" s="37" t="str">
        <f t="shared" si="7"/>
        <v/>
      </c>
      <c r="O89" s="37" t="str">
        <f>IF(OR($D89="",$F89=""),"",$F89*IFERROR(VLOOKUP($D89,Maestro_SKU!$A$2:$P$500,12,FALSE),1))</f>
        <v/>
      </c>
    </row>
    <row r="90" spans="1:15" x14ac:dyDescent="0.35">
      <c r="A90" s="25"/>
      <c r="B90" s="24"/>
      <c r="C90" s="24"/>
      <c r="D90" s="24"/>
      <c r="E90" s="28" t="str">
        <f>IFERROR(VLOOKUP(D90,Maestro_SKU!$A$2:$P$500,2,FALSE),"")</f>
        <v/>
      </c>
      <c r="F90" s="24"/>
      <c r="G90" s="30"/>
      <c r="H90" s="24"/>
      <c r="I90" s="24"/>
      <c r="J90" s="24"/>
      <c r="K90" s="37" t="str">
        <f t="shared" si="4"/>
        <v/>
      </c>
      <c r="L90" s="37" t="str">
        <f t="shared" si="5"/>
        <v/>
      </c>
      <c r="M90" s="37" t="str">
        <f t="shared" si="6"/>
        <v/>
      </c>
      <c r="N90" s="37" t="str">
        <f t="shared" si="7"/>
        <v/>
      </c>
      <c r="O90" s="37" t="str">
        <f>IF(OR($D90="",$F90=""),"",$F90*IFERROR(VLOOKUP($D90,Maestro_SKU!$A$2:$P$500,12,FALSE),1))</f>
        <v/>
      </c>
    </row>
    <row r="91" spans="1:15" x14ac:dyDescent="0.35">
      <c r="A91" s="25"/>
      <c r="B91" s="24"/>
      <c r="C91" s="24"/>
      <c r="D91" s="24"/>
      <c r="E91" s="28" t="str">
        <f>IFERROR(VLOOKUP(D91,Maestro_SKU!$A$2:$P$500,2,FALSE),"")</f>
        <v/>
      </c>
      <c r="F91" s="24"/>
      <c r="G91" s="30"/>
      <c r="H91" s="24"/>
      <c r="I91" s="24"/>
      <c r="J91" s="24"/>
      <c r="K91" s="37" t="str">
        <f t="shared" si="4"/>
        <v/>
      </c>
      <c r="L91" s="37" t="str">
        <f t="shared" si="5"/>
        <v/>
      </c>
      <c r="M91" s="37" t="str">
        <f t="shared" si="6"/>
        <v/>
      </c>
      <c r="N91" s="37" t="str">
        <f t="shared" si="7"/>
        <v/>
      </c>
      <c r="O91" s="37" t="str">
        <f>IF(OR($D91="",$F91=""),"",$F91*IFERROR(VLOOKUP($D91,Maestro_SKU!$A$2:$P$500,12,FALSE),1))</f>
        <v/>
      </c>
    </row>
    <row r="92" spans="1:15" x14ac:dyDescent="0.35">
      <c r="A92" s="25"/>
      <c r="B92" s="24"/>
      <c r="C92" s="24"/>
      <c r="D92" s="24"/>
      <c r="E92" s="28" t="str">
        <f>IFERROR(VLOOKUP(D92,Maestro_SKU!$A$2:$P$500,2,FALSE),"")</f>
        <v/>
      </c>
      <c r="F92" s="24"/>
      <c r="G92" s="30"/>
      <c r="H92" s="24"/>
      <c r="I92" s="24"/>
      <c r="J92" s="24"/>
      <c r="K92" s="37" t="str">
        <f t="shared" si="4"/>
        <v/>
      </c>
      <c r="L92" s="37" t="str">
        <f t="shared" si="5"/>
        <v/>
      </c>
      <c r="M92" s="37" t="str">
        <f t="shared" si="6"/>
        <v/>
      </c>
      <c r="N92" s="37" t="str">
        <f t="shared" si="7"/>
        <v/>
      </c>
      <c r="O92" s="37" t="str">
        <f>IF(OR($D92="",$F92=""),"",$F92*IFERROR(VLOOKUP($D92,Maestro_SKU!$A$2:$P$500,12,FALSE),1))</f>
        <v/>
      </c>
    </row>
    <row r="93" spans="1:15" x14ac:dyDescent="0.35">
      <c r="A93" s="25"/>
      <c r="B93" s="24"/>
      <c r="C93" s="24"/>
      <c r="D93" s="24"/>
      <c r="E93" s="28" t="str">
        <f>IFERROR(VLOOKUP(D93,Maestro_SKU!$A$2:$P$500,2,FALSE),"")</f>
        <v/>
      </c>
      <c r="F93" s="24"/>
      <c r="G93" s="30"/>
      <c r="H93" s="24"/>
      <c r="I93" s="24"/>
      <c r="J93" s="24"/>
      <c r="K93" s="37" t="str">
        <f t="shared" si="4"/>
        <v/>
      </c>
      <c r="L93" s="37" t="str">
        <f t="shared" si="5"/>
        <v/>
      </c>
      <c r="M93" s="37" t="str">
        <f t="shared" si="6"/>
        <v/>
      </c>
      <c r="N93" s="37" t="str">
        <f t="shared" si="7"/>
        <v/>
      </c>
      <c r="O93" s="37" t="str">
        <f>IF(OR($D93="",$F93=""),"",$F93*IFERROR(VLOOKUP($D93,Maestro_SKU!$A$2:$P$500,12,FALSE),1))</f>
        <v/>
      </c>
    </row>
    <row r="94" spans="1:15" x14ac:dyDescent="0.35">
      <c r="A94" s="25"/>
      <c r="B94" s="24"/>
      <c r="C94" s="24"/>
      <c r="D94" s="24"/>
      <c r="E94" s="28" t="str">
        <f>IFERROR(VLOOKUP(D94,Maestro_SKU!$A$2:$P$500,2,FALSE),"")</f>
        <v/>
      </c>
      <c r="F94" s="24"/>
      <c r="G94" s="30"/>
      <c r="H94" s="24"/>
      <c r="I94" s="24"/>
      <c r="J94" s="24"/>
      <c r="K94" s="37" t="str">
        <f t="shared" si="4"/>
        <v/>
      </c>
      <c r="L94" s="37" t="str">
        <f t="shared" si="5"/>
        <v/>
      </c>
      <c r="M94" s="37" t="str">
        <f t="shared" si="6"/>
        <v/>
      </c>
      <c r="N94" s="37" t="str">
        <f t="shared" si="7"/>
        <v/>
      </c>
      <c r="O94" s="37" t="str">
        <f>IF(OR($D94="",$F94=""),"",$F94*IFERROR(VLOOKUP($D94,Maestro_SKU!$A$2:$P$500,12,FALSE),1))</f>
        <v/>
      </c>
    </row>
    <row r="95" spans="1:15" x14ac:dyDescent="0.35">
      <c r="A95" s="25"/>
      <c r="B95" s="24"/>
      <c r="C95" s="24"/>
      <c r="D95" s="24"/>
      <c r="E95" s="28" t="str">
        <f>IFERROR(VLOOKUP(D95,Maestro_SKU!$A$2:$P$500,2,FALSE),"")</f>
        <v/>
      </c>
      <c r="F95" s="24"/>
      <c r="G95" s="30"/>
      <c r="H95" s="24"/>
      <c r="I95" s="24"/>
      <c r="J95" s="24"/>
      <c r="K95" s="37" t="str">
        <f t="shared" si="4"/>
        <v/>
      </c>
      <c r="L95" s="37" t="str">
        <f t="shared" si="5"/>
        <v/>
      </c>
      <c r="M95" s="37" t="str">
        <f t="shared" si="6"/>
        <v/>
      </c>
      <c r="N95" s="37" t="str">
        <f t="shared" si="7"/>
        <v/>
      </c>
      <c r="O95" s="37" t="str">
        <f>IF(OR($D95="",$F95=""),"",$F95*IFERROR(VLOOKUP($D95,Maestro_SKU!$A$2:$P$500,12,FALSE),1))</f>
        <v/>
      </c>
    </row>
    <row r="96" spans="1:15" x14ac:dyDescent="0.35">
      <c r="A96" s="25"/>
      <c r="B96" s="24"/>
      <c r="C96" s="24"/>
      <c r="D96" s="24"/>
      <c r="E96" s="28" t="str">
        <f>IFERROR(VLOOKUP(D96,Maestro_SKU!$A$2:$P$500,2,FALSE),"")</f>
        <v/>
      </c>
      <c r="F96" s="24"/>
      <c r="G96" s="30"/>
      <c r="H96" s="24"/>
      <c r="I96" s="24"/>
      <c r="J96" s="24"/>
      <c r="K96" s="37" t="str">
        <f t="shared" si="4"/>
        <v/>
      </c>
      <c r="L96" s="37" t="str">
        <f t="shared" si="5"/>
        <v/>
      </c>
      <c r="M96" s="37" t="str">
        <f t="shared" si="6"/>
        <v/>
      </c>
      <c r="N96" s="37" t="str">
        <f t="shared" si="7"/>
        <v/>
      </c>
      <c r="O96" s="37" t="str">
        <f>IF(OR($D96="",$F96=""),"",$F96*IFERROR(VLOOKUP($D96,Maestro_SKU!$A$2:$P$500,12,FALSE),1))</f>
        <v/>
      </c>
    </row>
    <row r="97" spans="1:15" x14ac:dyDescent="0.35">
      <c r="A97" s="25"/>
      <c r="B97" s="24"/>
      <c r="C97" s="24"/>
      <c r="D97" s="24"/>
      <c r="E97" s="28" t="str">
        <f>IFERROR(VLOOKUP(D97,Maestro_SKU!$A$2:$P$500,2,FALSE),"")</f>
        <v/>
      </c>
      <c r="F97" s="24"/>
      <c r="G97" s="30"/>
      <c r="H97" s="24"/>
      <c r="I97" s="24"/>
      <c r="J97" s="24"/>
      <c r="K97" s="37" t="str">
        <f t="shared" si="4"/>
        <v/>
      </c>
      <c r="L97" s="37" t="str">
        <f t="shared" si="5"/>
        <v/>
      </c>
      <c r="M97" s="37" t="str">
        <f t="shared" si="6"/>
        <v/>
      </c>
      <c r="N97" s="37" t="str">
        <f t="shared" si="7"/>
        <v/>
      </c>
      <c r="O97" s="37" t="str">
        <f>IF(OR($D97="",$F97=""),"",$F97*IFERROR(VLOOKUP($D97,Maestro_SKU!$A$2:$P$500,12,FALSE),1))</f>
        <v/>
      </c>
    </row>
    <row r="98" spans="1:15" x14ac:dyDescent="0.35">
      <c r="A98" s="25"/>
      <c r="B98" s="24"/>
      <c r="C98" s="24"/>
      <c r="D98" s="24"/>
      <c r="E98" s="28" t="str">
        <f>IFERROR(VLOOKUP(D98,Maestro_SKU!$A$2:$P$500,2,FALSE),"")</f>
        <v/>
      </c>
      <c r="F98" s="24"/>
      <c r="G98" s="30"/>
      <c r="H98" s="24"/>
      <c r="I98" s="24"/>
      <c r="J98" s="24"/>
      <c r="K98" s="37" t="str">
        <f t="shared" si="4"/>
        <v/>
      </c>
      <c r="L98" s="37" t="str">
        <f t="shared" si="5"/>
        <v/>
      </c>
      <c r="M98" s="37" t="str">
        <f t="shared" si="6"/>
        <v/>
      </c>
      <c r="N98" s="37" t="str">
        <f t="shared" si="7"/>
        <v/>
      </c>
      <c r="O98" s="37" t="str">
        <f>IF(OR($D98="",$F98=""),"",$F98*IFERROR(VLOOKUP($D98,Maestro_SKU!$A$2:$P$500,12,FALSE),1))</f>
        <v/>
      </c>
    </row>
    <row r="99" spans="1:15" x14ac:dyDescent="0.35">
      <c r="A99" s="25"/>
      <c r="B99" s="24"/>
      <c r="C99" s="24"/>
      <c r="D99" s="24"/>
      <c r="E99" s="28" t="str">
        <f>IFERROR(VLOOKUP(D99,Maestro_SKU!$A$2:$P$500,2,FALSE),"")</f>
        <v/>
      </c>
      <c r="F99" s="24"/>
      <c r="G99" s="30"/>
      <c r="H99" s="24"/>
      <c r="I99" s="24"/>
      <c r="J99" s="24"/>
      <c r="K99" s="37" t="str">
        <f t="shared" si="4"/>
        <v/>
      </c>
      <c r="L99" s="37" t="str">
        <f t="shared" si="5"/>
        <v/>
      </c>
      <c r="M99" s="37" t="str">
        <f t="shared" si="6"/>
        <v/>
      </c>
      <c r="N99" s="37" t="str">
        <f t="shared" si="7"/>
        <v/>
      </c>
      <c r="O99" s="37" t="str">
        <f>IF(OR($D99="",$F99=""),"",$F99*IFERROR(VLOOKUP($D99,Maestro_SKU!$A$2:$P$500,12,FALSE),1))</f>
        <v/>
      </c>
    </row>
    <row r="100" spans="1:15" x14ac:dyDescent="0.35">
      <c r="A100" s="25"/>
      <c r="B100" s="24"/>
      <c r="C100" s="24"/>
      <c r="D100" s="24"/>
      <c r="E100" s="28" t="str">
        <f>IFERROR(VLOOKUP(D100,Maestro_SKU!$A$2:$P$500,2,FALSE),"")</f>
        <v/>
      </c>
      <c r="F100" s="24"/>
      <c r="G100" s="30"/>
      <c r="H100" s="24"/>
      <c r="I100" s="24"/>
      <c r="J100" s="24"/>
      <c r="K100" s="37" t="str">
        <f t="shared" si="4"/>
        <v/>
      </c>
      <c r="L100" s="37" t="str">
        <f t="shared" si="5"/>
        <v/>
      </c>
      <c r="M100" s="37" t="str">
        <f t="shared" si="6"/>
        <v/>
      </c>
      <c r="N100" s="37" t="str">
        <f t="shared" si="7"/>
        <v/>
      </c>
      <c r="O100" s="37" t="str">
        <f>IF(OR($D100="",$F100=""),"",$F100*IFERROR(VLOOKUP($D100,Maestro_SKU!$A$2:$P$500,12,FALSE),1))</f>
        <v/>
      </c>
    </row>
    <row r="101" spans="1:15" x14ac:dyDescent="0.35">
      <c r="A101" s="25"/>
      <c r="B101" s="24"/>
      <c r="C101" s="24"/>
      <c r="D101" s="24"/>
      <c r="E101" s="28" t="str">
        <f>IFERROR(VLOOKUP(D101,Maestro_SKU!$A$2:$P$500,2,FALSE),"")</f>
        <v/>
      </c>
      <c r="F101" s="24"/>
      <c r="G101" s="30"/>
      <c r="H101" s="24"/>
      <c r="I101" s="24"/>
      <c r="J101" s="24"/>
      <c r="K101" s="37" t="str">
        <f t="shared" si="4"/>
        <v/>
      </c>
      <c r="L101" s="37" t="str">
        <f t="shared" si="5"/>
        <v/>
      </c>
      <c r="M101" s="37" t="str">
        <f t="shared" si="6"/>
        <v/>
      </c>
      <c r="N101" s="37" t="str">
        <f t="shared" si="7"/>
        <v/>
      </c>
      <c r="O101" s="37" t="str">
        <f>IF(OR($D101="",$F101=""),"",$F101*IFERROR(VLOOKUP($D101,Maestro_SKU!$A$2:$P$500,12,FALSE),1))</f>
        <v/>
      </c>
    </row>
    <row r="102" spans="1:15" x14ac:dyDescent="0.35">
      <c r="A102" s="25"/>
      <c r="B102" s="24"/>
      <c r="C102" s="24"/>
      <c r="D102" s="24"/>
      <c r="E102" s="28" t="str">
        <f>IFERROR(VLOOKUP(D102,Maestro_SKU!$A$2:$P$500,2,FALSE),"")</f>
        <v/>
      </c>
      <c r="F102" s="24"/>
      <c r="G102" s="30"/>
      <c r="H102" s="24"/>
      <c r="I102" s="24"/>
      <c r="J102" s="24"/>
      <c r="K102" s="37" t="str">
        <f t="shared" si="4"/>
        <v/>
      </c>
      <c r="L102" s="37" t="str">
        <f t="shared" si="5"/>
        <v/>
      </c>
      <c r="M102" s="37" t="str">
        <f t="shared" si="6"/>
        <v/>
      </c>
      <c r="N102" s="37" t="str">
        <f t="shared" si="7"/>
        <v/>
      </c>
      <c r="O102" s="37" t="str">
        <f>IF(OR($D102="",$F102=""),"",$F102*IFERROR(VLOOKUP($D102,Maestro_SKU!$A$2:$P$500,12,FALSE),1))</f>
        <v/>
      </c>
    </row>
    <row r="103" spans="1:15" x14ac:dyDescent="0.35">
      <c r="A103" s="25"/>
      <c r="B103" s="24"/>
      <c r="C103" s="24"/>
      <c r="D103" s="24"/>
      <c r="E103" s="28" t="str">
        <f>IFERROR(VLOOKUP(D103,Maestro_SKU!$A$2:$P$500,2,FALSE),"")</f>
        <v/>
      </c>
      <c r="F103" s="24"/>
      <c r="G103" s="30"/>
      <c r="H103" s="24"/>
      <c r="I103" s="24"/>
      <c r="J103" s="24"/>
      <c r="K103" s="37" t="str">
        <f t="shared" si="4"/>
        <v/>
      </c>
      <c r="L103" s="37" t="str">
        <f t="shared" si="5"/>
        <v/>
      </c>
      <c r="M103" s="37" t="str">
        <f t="shared" si="6"/>
        <v/>
      </c>
      <c r="N103" s="37" t="str">
        <f t="shared" si="7"/>
        <v/>
      </c>
      <c r="O103" s="37" t="str">
        <f>IF(OR($D103="",$F103=""),"",$F103*IFERROR(VLOOKUP($D103,Maestro_SKU!$A$2:$P$500,12,FALSE),1))</f>
        <v/>
      </c>
    </row>
    <row r="104" spans="1:15" x14ac:dyDescent="0.35">
      <c r="A104" s="25"/>
      <c r="B104" s="24"/>
      <c r="C104" s="24"/>
      <c r="D104" s="24"/>
      <c r="E104" s="28" t="str">
        <f>IFERROR(VLOOKUP(D104,Maestro_SKU!$A$2:$P$500,2,FALSE),"")</f>
        <v/>
      </c>
      <c r="F104" s="24"/>
      <c r="G104" s="30"/>
      <c r="H104" s="24"/>
      <c r="I104" s="24"/>
      <c r="J104" s="24"/>
      <c r="K104" s="37" t="str">
        <f t="shared" si="4"/>
        <v/>
      </c>
      <c r="L104" s="37" t="str">
        <f t="shared" si="5"/>
        <v/>
      </c>
      <c r="M104" s="37" t="str">
        <f t="shared" si="6"/>
        <v/>
      </c>
      <c r="N104" s="37" t="str">
        <f t="shared" si="7"/>
        <v/>
      </c>
      <c r="O104" s="37" t="str">
        <f>IF(OR($D104="",$F104=""),"",$F104*IFERROR(VLOOKUP($D104,Maestro_SKU!$A$2:$P$500,12,FALSE),1))</f>
        <v/>
      </c>
    </row>
    <row r="105" spans="1:15" x14ac:dyDescent="0.35">
      <c r="A105" s="25"/>
      <c r="B105" s="24"/>
      <c r="C105" s="24"/>
      <c r="D105" s="24"/>
      <c r="E105" s="28" t="str">
        <f>IFERROR(VLOOKUP(D105,Maestro_SKU!$A$2:$P$500,2,FALSE),"")</f>
        <v/>
      </c>
      <c r="F105" s="24"/>
      <c r="G105" s="30"/>
      <c r="H105" s="24"/>
      <c r="I105" s="24"/>
      <c r="J105" s="24"/>
      <c r="K105" s="37" t="str">
        <f t="shared" si="4"/>
        <v/>
      </c>
      <c r="L105" s="37" t="str">
        <f t="shared" si="5"/>
        <v/>
      </c>
      <c r="M105" s="37" t="str">
        <f t="shared" si="6"/>
        <v/>
      </c>
      <c r="N105" s="37" t="str">
        <f t="shared" si="7"/>
        <v/>
      </c>
      <c r="O105" s="37" t="str">
        <f>IF(OR($D105="",$F105=""),"",$F105*IFERROR(VLOOKUP($D105,Maestro_SKU!$A$2:$P$500,12,FALSE),1))</f>
        <v/>
      </c>
    </row>
    <row r="106" spans="1:15" x14ac:dyDescent="0.35">
      <c r="A106" s="25"/>
      <c r="B106" s="24"/>
      <c r="C106" s="24"/>
      <c r="D106" s="24"/>
      <c r="E106" s="28" t="str">
        <f>IFERROR(VLOOKUP(D106,Maestro_SKU!$A$2:$P$500,2,FALSE),"")</f>
        <v/>
      </c>
      <c r="F106" s="24"/>
      <c r="G106" s="30"/>
      <c r="H106" s="24"/>
      <c r="I106" s="24"/>
      <c r="J106" s="24"/>
      <c r="K106" s="37" t="str">
        <f t="shared" si="4"/>
        <v/>
      </c>
      <c r="L106" s="37" t="str">
        <f t="shared" si="5"/>
        <v/>
      </c>
      <c r="M106" s="37" t="str">
        <f t="shared" si="6"/>
        <v/>
      </c>
      <c r="N106" s="37" t="str">
        <f t="shared" si="7"/>
        <v/>
      </c>
      <c r="O106" s="37" t="str">
        <f>IF(OR($D106="",$F106=""),"",$F106*IFERROR(VLOOKUP($D106,Maestro_SKU!$A$2:$P$500,12,FALSE),1))</f>
        <v/>
      </c>
    </row>
    <row r="107" spans="1:15" x14ac:dyDescent="0.35">
      <c r="A107" s="25"/>
      <c r="B107" s="24"/>
      <c r="C107" s="24"/>
      <c r="D107" s="24"/>
      <c r="E107" s="28" t="str">
        <f>IFERROR(VLOOKUP(D107,Maestro_SKU!$A$2:$P$500,2,FALSE),"")</f>
        <v/>
      </c>
      <c r="F107" s="24"/>
      <c r="G107" s="30"/>
      <c r="H107" s="24"/>
      <c r="I107" s="24"/>
      <c r="J107" s="24"/>
      <c r="K107" s="37" t="str">
        <f t="shared" si="4"/>
        <v/>
      </c>
      <c r="L107" s="37" t="str">
        <f t="shared" si="5"/>
        <v/>
      </c>
      <c r="M107" s="37" t="str">
        <f t="shared" si="6"/>
        <v/>
      </c>
      <c r="N107" s="37" t="str">
        <f t="shared" si="7"/>
        <v/>
      </c>
      <c r="O107" s="37" t="str">
        <f>IF(OR($D107="",$F107=""),"",$F107*IFERROR(VLOOKUP($D107,Maestro_SKU!$A$2:$P$500,12,FALSE),1))</f>
        <v/>
      </c>
    </row>
    <row r="108" spans="1:15" x14ac:dyDescent="0.35">
      <c r="A108" s="25"/>
      <c r="B108" s="24"/>
      <c r="C108" s="24"/>
      <c r="D108" s="24"/>
      <c r="E108" s="28" t="str">
        <f>IFERROR(VLOOKUP(D108,Maestro_SKU!$A$2:$P$500,2,FALSE),"")</f>
        <v/>
      </c>
      <c r="F108" s="24"/>
      <c r="G108" s="30"/>
      <c r="H108" s="24"/>
      <c r="I108" s="24"/>
      <c r="J108" s="24"/>
      <c r="K108" s="37" t="str">
        <f t="shared" si="4"/>
        <v/>
      </c>
      <c r="L108" s="37" t="str">
        <f t="shared" si="5"/>
        <v/>
      </c>
      <c r="M108" s="37" t="str">
        <f t="shared" si="6"/>
        <v/>
      </c>
      <c r="N108" s="37" t="str">
        <f t="shared" si="7"/>
        <v/>
      </c>
      <c r="O108" s="37" t="str">
        <f>IF(OR($D108="",$F108=""),"",$F108*IFERROR(VLOOKUP($D108,Maestro_SKU!$A$2:$P$500,12,FALSE),1))</f>
        <v/>
      </c>
    </row>
    <row r="109" spans="1:15" x14ac:dyDescent="0.35">
      <c r="A109" s="25"/>
      <c r="B109" s="24"/>
      <c r="C109" s="24"/>
      <c r="D109" s="24"/>
      <c r="E109" s="28" t="str">
        <f>IFERROR(VLOOKUP(D109,Maestro_SKU!$A$2:$P$500,2,FALSE),"")</f>
        <v/>
      </c>
      <c r="F109" s="24"/>
      <c r="G109" s="30"/>
      <c r="H109" s="24"/>
      <c r="I109" s="24"/>
      <c r="J109" s="24"/>
      <c r="K109" s="37" t="str">
        <f t="shared" si="4"/>
        <v/>
      </c>
      <c r="L109" s="37" t="str">
        <f t="shared" si="5"/>
        <v/>
      </c>
      <c r="M109" s="37" t="str">
        <f t="shared" si="6"/>
        <v/>
      </c>
      <c r="N109" s="37" t="str">
        <f t="shared" si="7"/>
        <v/>
      </c>
      <c r="O109" s="37" t="str">
        <f>IF(OR($D109="",$F109=""),"",$F109*IFERROR(VLOOKUP($D109,Maestro_SKU!$A$2:$P$500,12,FALSE),1))</f>
        <v/>
      </c>
    </row>
    <row r="110" spans="1:15" x14ac:dyDescent="0.35">
      <c r="A110" s="25"/>
      <c r="B110" s="24"/>
      <c r="C110" s="24"/>
      <c r="D110" s="24"/>
      <c r="E110" s="28" t="str">
        <f>IFERROR(VLOOKUP(D110,Maestro_SKU!$A$2:$P$500,2,FALSE),"")</f>
        <v/>
      </c>
      <c r="F110" s="24"/>
      <c r="G110" s="30"/>
      <c r="H110" s="24"/>
      <c r="I110" s="24"/>
      <c r="J110" s="24"/>
      <c r="K110" s="37" t="str">
        <f t="shared" si="4"/>
        <v/>
      </c>
      <c r="L110" s="37" t="str">
        <f t="shared" si="5"/>
        <v/>
      </c>
      <c r="M110" s="37" t="str">
        <f t="shared" si="6"/>
        <v/>
      </c>
      <c r="N110" s="37" t="str">
        <f t="shared" si="7"/>
        <v/>
      </c>
      <c r="O110" s="37" t="str">
        <f>IF(OR($D110="",$F110=""),"",$F110*IFERROR(VLOOKUP($D110,Maestro_SKU!$A$2:$P$500,12,FALSE),1))</f>
        <v/>
      </c>
    </row>
    <row r="111" spans="1:15" x14ac:dyDescent="0.35">
      <c r="A111" s="25"/>
      <c r="B111" s="24"/>
      <c r="C111" s="24"/>
      <c r="D111" s="24"/>
      <c r="E111" s="28" t="str">
        <f>IFERROR(VLOOKUP(D111,Maestro_SKU!$A$2:$P$500,2,FALSE),"")</f>
        <v/>
      </c>
      <c r="F111" s="24"/>
      <c r="G111" s="30"/>
      <c r="H111" s="24"/>
      <c r="I111" s="24"/>
      <c r="J111" s="24"/>
      <c r="K111" s="37" t="str">
        <f t="shared" si="4"/>
        <v/>
      </c>
      <c r="L111" s="37" t="str">
        <f t="shared" si="5"/>
        <v/>
      </c>
      <c r="M111" s="37" t="str">
        <f t="shared" si="6"/>
        <v/>
      </c>
      <c r="N111" s="37" t="str">
        <f t="shared" si="7"/>
        <v/>
      </c>
      <c r="O111" s="37" t="str">
        <f>IF(OR($D111="",$F111=""),"",$F111*IFERROR(VLOOKUP($D111,Maestro_SKU!$A$2:$P$500,12,FALSE),1))</f>
        <v/>
      </c>
    </row>
    <row r="112" spans="1:15" x14ac:dyDescent="0.35">
      <c r="A112" s="25"/>
      <c r="B112" s="24"/>
      <c r="C112" s="24"/>
      <c r="D112" s="24"/>
      <c r="E112" s="28" t="str">
        <f>IFERROR(VLOOKUP(D112,Maestro_SKU!$A$2:$P$500,2,FALSE),"")</f>
        <v/>
      </c>
      <c r="F112" s="24"/>
      <c r="G112" s="30"/>
      <c r="H112" s="24"/>
      <c r="I112" s="24"/>
      <c r="J112" s="24"/>
      <c r="K112" s="37" t="str">
        <f t="shared" si="4"/>
        <v/>
      </c>
      <c r="L112" s="37" t="str">
        <f t="shared" si="5"/>
        <v/>
      </c>
      <c r="M112" s="37" t="str">
        <f t="shared" si="6"/>
        <v/>
      </c>
      <c r="N112" s="37" t="str">
        <f t="shared" si="7"/>
        <v/>
      </c>
      <c r="O112" s="37" t="str">
        <f>IF(OR($D112="",$F112=""),"",$F112*IFERROR(VLOOKUP($D112,Maestro_SKU!$A$2:$P$500,12,FALSE),1))</f>
        <v/>
      </c>
    </row>
    <row r="113" spans="1:15" x14ac:dyDescent="0.35">
      <c r="A113" s="25"/>
      <c r="B113" s="24"/>
      <c r="C113" s="24"/>
      <c r="D113" s="24"/>
      <c r="E113" s="28" t="str">
        <f>IFERROR(VLOOKUP(D113,Maestro_SKU!$A$2:$P$500,2,FALSE),"")</f>
        <v/>
      </c>
      <c r="F113" s="24"/>
      <c r="G113" s="30"/>
      <c r="H113" s="24"/>
      <c r="I113" s="24"/>
      <c r="J113" s="24"/>
      <c r="K113" s="37" t="str">
        <f t="shared" si="4"/>
        <v/>
      </c>
      <c r="L113" s="37" t="str">
        <f t="shared" si="5"/>
        <v/>
      </c>
      <c r="M113" s="37" t="str">
        <f t="shared" si="6"/>
        <v/>
      </c>
      <c r="N113" s="37" t="str">
        <f t="shared" si="7"/>
        <v/>
      </c>
      <c r="O113" s="37" t="str">
        <f>IF(OR($D113="",$F113=""),"",$F113*IFERROR(VLOOKUP($D113,Maestro_SKU!$A$2:$P$500,12,FALSE),1))</f>
        <v/>
      </c>
    </row>
    <row r="114" spans="1:15" x14ac:dyDescent="0.35">
      <c r="A114" s="25"/>
      <c r="B114" s="24"/>
      <c r="C114" s="24"/>
      <c r="D114" s="24"/>
      <c r="E114" s="28" t="str">
        <f>IFERROR(VLOOKUP(D114,Maestro_SKU!$A$2:$P$500,2,FALSE),"")</f>
        <v/>
      </c>
      <c r="F114" s="24"/>
      <c r="G114" s="30"/>
      <c r="H114" s="24"/>
      <c r="I114" s="24"/>
      <c r="J114" s="24"/>
      <c r="K114" s="37" t="str">
        <f t="shared" si="4"/>
        <v/>
      </c>
      <c r="L114" s="37" t="str">
        <f t="shared" si="5"/>
        <v/>
      </c>
      <c r="M114" s="37" t="str">
        <f t="shared" si="6"/>
        <v/>
      </c>
      <c r="N114" s="37" t="str">
        <f t="shared" si="7"/>
        <v/>
      </c>
      <c r="O114" s="37" t="str">
        <f>IF(OR($D114="",$F114=""),"",$F114*IFERROR(VLOOKUP($D114,Maestro_SKU!$A$2:$P$500,12,FALSE),1))</f>
        <v/>
      </c>
    </row>
    <row r="115" spans="1:15" x14ac:dyDescent="0.35">
      <c r="A115" s="25"/>
      <c r="B115" s="24"/>
      <c r="C115" s="24"/>
      <c r="D115" s="24"/>
      <c r="E115" s="28" t="str">
        <f>IFERROR(VLOOKUP(D115,Maestro_SKU!$A$2:$P$500,2,FALSE),"")</f>
        <v/>
      </c>
      <c r="F115" s="24"/>
      <c r="G115" s="30"/>
      <c r="H115" s="24"/>
      <c r="I115" s="24"/>
      <c r="J115" s="24"/>
      <c r="K115" s="37" t="str">
        <f t="shared" si="4"/>
        <v/>
      </c>
      <c r="L115" s="37" t="str">
        <f t="shared" si="5"/>
        <v/>
      </c>
      <c r="M115" s="37" t="str">
        <f t="shared" si="6"/>
        <v/>
      </c>
      <c r="N115" s="37" t="str">
        <f t="shared" si="7"/>
        <v/>
      </c>
      <c r="O115" s="37" t="str">
        <f>IF(OR($D115="",$F115=""),"",$F115*IFERROR(VLOOKUP($D115,Maestro_SKU!$A$2:$P$500,12,FALSE),1))</f>
        <v/>
      </c>
    </row>
    <row r="116" spans="1:15" x14ac:dyDescent="0.35">
      <c r="A116" s="25"/>
      <c r="B116" s="24"/>
      <c r="C116" s="24"/>
      <c r="D116" s="24"/>
      <c r="E116" s="28" t="str">
        <f>IFERROR(VLOOKUP(D116,Maestro_SKU!$A$2:$P$500,2,FALSE),"")</f>
        <v/>
      </c>
      <c r="F116" s="24"/>
      <c r="G116" s="30"/>
      <c r="H116" s="24"/>
      <c r="I116" s="24"/>
      <c r="J116" s="24"/>
      <c r="K116" s="37" t="str">
        <f t="shared" si="4"/>
        <v/>
      </c>
      <c r="L116" s="37" t="str">
        <f t="shared" si="5"/>
        <v/>
      </c>
      <c r="M116" s="37" t="str">
        <f t="shared" si="6"/>
        <v/>
      </c>
      <c r="N116" s="37" t="str">
        <f t="shared" si="7"/>
        <v/>
      </c>
      <c r="O116" s="37" t="str">
        <f>IF(OR($D116="",$F116=""),"",$F116*IFERROR(VLOOKUP($D116,Maestro_SKU!$A$2:$P$500,12,FALSE),1))</f>
        <v/>
      </c>
    </row>
    <row r="117" spans="1:15" x14ac:dyDescent="0.35">
      <c r="A117" s="25"/>
      <c r="B117" s="24"/>
      <c r="C117" s="24"/>
      <c r="D117" s="24"/>
      <c r="E117" s="28" t="str">
        <f>IFERROR(VLOOKUP(D117,Maestro_SKU!$A$2:$P$500,2,FALSE),"")</f>
        <v/>
      </c>
      <c r="F117" s="24"/>
      <c r="G117" s="30"/>
      <c r="H117" s="24"/>
      <c r="I117" s="24"/>
      <c r="J117" s="24"/>
      <c r="K117" s="37" t="str">
        <f t="shared" si="4"/>
        <v/>
      </c>
      <c r="L117" s="37" t="str">
        <f t="shared" si="5"/>
        <v/>
      </c>
      <c r="M117" s="37" t="str">
        <f t="shared" si="6"/>
        <v/>
      </c>
      <c r="N117" s="37" t="str">
        <f t="shared" si="7"/>
        <v/>
      </c>
      <c r="O117" s="37" t="str">
        <f>IF(OR($D117="",$F117=""),"",$F117*IFERROR(VLOOKUP($D117,Maestro_SKU!$A$2:$P$500,12,FALSE),1))</f>
        <v/>
      </c>
    </row>
    <row r="118" spans="1:15" x14ac:dyDescent="0.35">
      <c r="A118" s="25"/>
      <c r="B118" s="24"/>
      <c r="C118" s="24"/>
      <c r="D118" s="24"/>
      <c r="E118" s="28" t="str">
        <f>IFERROR(VLOOKUP(D118,Maestro_SKU!$A$2:$P$500,2,FALSE),"")</f>
        <v/>
      </c>
      <c r="F118" s="24"/>
      <c r="G118" s="30"/>
      <c r="H118" s="24"/>
      <c r="I118" s="24"/>
      <c r="J118" s="24"/>
      <c r="K118" s="37" t="str">
        <f t="shared" si="4"/>
        <v/>
      </c>
      <c r="L118" s="37" t="str">
        <f t="shared" si="5"/>
        <v/>
      </c>
      <c r="M118" s="37" t="str">
        <f t="shared" si="6"/>
        <v/>
      </c>
      <c r="N118" s="37" t="str">
        <f t="shared" si="7"/>
        <v/>
      </c>
      <c r="O118" s="37" t="str">
        <f>IF(OR($D118="",$F118=""),"",$F118*IFERROR(VLOOKUP($D118,Maestro_SKU!$A$2:$P$500,12,FALSE),1))</f>
        <v/>
      </c>
    </row>
    <row r="119" spans="1:15" x14ac:dyDescent="0.35">
      <c r="A119" s="25"/>
      <c r="B119" s="24"/>
      <c r="C119" s="24"/>
      <c r="D119" s="24"/>
      <c r="E119" s="28" t="str">
        <f>IFERROR(VLOOKUP(D119,Maestro_SKU!$A$2:$P$500,2,FALSE),"")</f>
        <v/>
      </c>
      <c r="F119" s="24"/>
      <c r="G119" s="30"/>
      <c r="H119" s="24"/>
      <c r="I119" s="24"/>
      <c r="J119" s="24"/>
      <c r="K119" s="37" t="str">
        <f t="shared" si="4"/>
        <v/>
      </c>
      <c r="L119" s="37" t="str">
        <f t="shared" si="5"/>
        <v/>
      </c>
      <c r="M119" s="37" t="str">
        <f t="shared" si="6"/>
        <v/>
      </c>
      <c r="N119" s="37" t="str">
        <f t="shared" si="7"/>
        <v/>
      </c>
      <c r="O119" s="37" t="str">
        <f>IF(OR($D119="",$F119=""),"",$F119*IFERROR(VLOOKUP($D119,Maestro_SKU!$A$2:$P$500,12,FALSE),1))</f>
        <v/>
      </c>
    </row>
    <row r="120" spans="1:15" x14ac:dyDescent="0.35">
      <c r="A120" s="25"/>
      <c r="B120" s="24"/>
      <c r="C120" s="24"/>
      <c r="D120" s="24"/>
      <c r="E120" s="28" t="str">
        <f>IFERROR(VLOOKUP(D120,Maestro_SKU!$A$2:$P$500,2,FALSE),"")</f>
        <v/>
      </c>
      <c r="F120" s="24"/>
      <c r="G120" s="30"/>
      <c r="H120" s="24"/>
      <c r="I120" s="24"/>
      <c r="J120" s="24"/>
      <c r="K120" s="37" t="str">
        <f t="shared" si="4"/>
        <v/>
      </c>
      <c r="L120" s="37" t="str">
        <f t="shared" si="5"/>
        <v/>
      </c>
      <c r="M120" s="37" t="str">
        <f t="shared" si="6"/>
        <v/>
      </c>
      <c r="N120" s="37" t="str">
        <f t="shared" si="7"/>
        <v/>
      </c>
      <c r="O120" s="37" t="str">
        <f>IF(OR($D120="",$F120=""),"",$F120*IFERROR(VLOOKUP($D120,Maestro_SKU!$A$2:$P$500,12,FALSE),1))</f>
        <v/>
      </c>
    </row>
    <row r="121" spans="1:15" x14ac:dyDescent="0.35">
      <c r="A121" s="25"/>
      <c r="B121" s="24"/>
      <c r="C121" s="24"/>
      <c r="D121" s="24"/>
      <c r="E121" s="28" t="str">
        <f>IFERROR(VLOOKUP(D121,Maestro_SKU!$A$2:$P$500,2,FALSE),"")</f>
        <v/>
      </c>
      <c r="F121" s="24"/>
      <c r="G121" s="30"/>
      <c r="H121" s="24"/>
      <c r="I121" s="24"/>
      <c r="J121" s="24"/>
      <c r="K121" s="37" t="str">
        <f t="shared" si="4"/>
        <v/>
      </c>
      <c r="L121" s="37" t="str">
        <f t="shared" si="5"/>
        <v/>
      </c>
      <c r="M121" s="37" t="str">
        <f t="shared" si="6"/>
        <v/>
      </c>
      <c r="N121" s="37" t="str">
        <f t="shared" si="7"/>
        <v/>
      </c>
      <c r="O121" s="37" t="str">
        <f>IF(OR($D121="",$F121=""),"",$F121*IFERROR(VLOOKUP($D121,Maestro_SKU!$A$2:$P$500,12,FALSE),1))</f>
        <v/>
      </c>
    </row>
    <row r="122" spans="1:15" x14ac:dyDescent="0.35">
      <c r="A122" s="25"/>
      <c r="B122" s="24"/>
      <c r="C122" s="24"/>
      <c r="D122" s="24"/>
      <c r="E122" s="28" t="str">
        <f>IFERROR(VLOOKUP(D122,Maestro_SKU!$A$2:$P$500,2,FALSE),"")</f>
        <v/>
      </c>
      <c r="F122" s="24"/>
      <c r="G122" s="30"/>
      <c r="H122" s="24"/>
      <c r="I122" s="24"/>
      <c r="J122" s="24"/>
      <c r="K122" s="37" t="str">
        <f t="shared" si="4"/>
        <v/>
      </c>
      <c r="L122" s="37" t="str">
        <f t="shared" si="5"/>
        <v/>
      </c>
      <c r="M122" s="37" t="str">
        <f t="shared" si="6"/>
        <v/>
      </c>
      <c r="N122" s="37" t="str">
        <f t="shared" si="7"/>
        <v/>
      </c>
      <c r="O122" s="37" t="str">
        <f>IF(OR($D122="",$F122=""),"",$F122*IFERROR(VLOOKUP($D122,Maestro_SKU!$A$2:$P$500,12,FALSE),1))</f>
        <v/>
      </c>
    </row>
    <row r="123" spans="1:15" x14ac:dyDescent="0.35">
      <c r="A123" s="25"/>
      <c r="B123" s="24"/>
      <c r="C123" s="24"/>
      <c r="D123" s="24"/>
      <c r="E123" s="28" t="str">
        <f>IFERROR(VLOOKUP(D123,Maestro_SKU!$A$2:$P$500,2,FALSE),"")</f>
        <v/>
      </c>
      <c r="F123" s="24"/>
      <c r="G123" s="30"/>
      <c r="H123" s="24"/>
      <c r="I123" s="24"/>
      <c r="J123" s="24"/>
      <c r="K123" s="37" t="str">
        <f t="shared" si="4"/>
        <v/>
      </c>
      <c r="L123" s="37" t="str">
        <f t="shared" si="5"/>
        <v/>
      </c>
      <c r="M123" s="37" t="str">
        <f t="shared" si="6"/>
        <v/>
      </c>
      <c r="N123" s="37" t="str">
        <f t="shared" si="7"/>
        <v/>
      </c>
      <c r="O123" s="37" t="str">
        <f>IF(OR($D123="",$F123=""),"",$F123*IFERROR(VLOOKUP($D123,Maestro_SKU!$A$2:$P$500,12,FALSE),1))</f>
        <v/>
      </c>
    </row>
    <row r="124" spans="1:15" x14ac:dyDescent="0.35">
      <c r="A124" s="25"/>
      <c r="B124" s="24"/>
      <c r="C124" s="24"/>
      <c r="D124" s="24"/>
      <c r="E124" s="28" t="str">
        <f>IFERROR(VLOOKUP(D124,Maestro_SKU!$A$2:$P$500,2,FALSE),"")</f>
        <v/>
      </c>
      <c r="F124" s="24"/>
      <c r="G124" s="30"/>
      <c r="H124" s="24"/>
      <c r="I124" s="24"/>
      <c r="J124" s="24"/>
      <c r="K124" s="37" t="str">
        <f t="shared" si="4"/>
        <v/>
      </c>
      <c r="L124" s="37" t="str">
        <f t="shared" si="5"/>
        <v/>
      </c>
      <c r="M124" s="37" t="str">
        <f t="shared" si="6"/>
        <v/>
      </c>
      <c r="N124" s="37" t="str">
        <f t="shared" si="7"/>
        <v/>
      </c>
      <c r="O124" s="37" t="str">
        <f>IF(OR($D124="",$F124=""),"",$F124*IFERROR(VLOOKUP($D124,Maestro_SKU!$A$2:$P$500,12,FALSE),1))</f>
        <v/>
      </c>
    </row>
    <row r="125" spans="1:15" x14ac:dyDescent="0.35">
      <c r="A125" s="25"/>
      <c r="B125" s="24"/>
      <c r="C125" s="24"/>
      <c r="D125" s="24"/>
      <c r="E125" s="28" t="str">
        <f>IFERROR(VLOOKUP(D125,Maestro_SKU!$A$2:$P$500,2,FALSE),"")</f>
        <v/>
      </c>
      <c r="F125" s="24"/>
      <c r="G125" s="30"/>
      <c r="H125" s="24"/>
      <c r="I125" s="24"/>
      <c r="J125" s="24"/>
      <c r="K125" s="37" t="str">
        <f t="shared" si="4"/>
        <v/>
      </c>
      <c r="L125" s="37" t="str">
        <f t="shared" si="5"/>
        <v/>
      </c>
      <c r="M125" s="37" t="str">
        <f t="shared" si="6"/>
        <v/>
      </c>
      <c r="N125" s="37" t="str">
        <f t="shared" si="7"/>
        <v/>
      </c>
      <c r="O125" s="37" t="str">
        <f>IF(OR($D125="",$F125=""),"",$F125*IFERROR(VLOOKUP($D125,Maestro_SKU!$A$2:$P$500,12,FALSE),1))</f>
        <v/>
      </c>
    </row>
    <row r="126" spans="1:15" x14ac:dyDescent="0.35">
      <c r="A126" s="25"/>
      <c r="B126" s="24"/>
      <c r="C126" s="24"/>
      <c r="D126" s="24"/>
      <c r="E126" s="28" t="str">
        <f>IFERROR(VLOOKUP(D126,Maestro_SKU!$A$2:$P$500,2,FALSE),"")</f>
        <v/>
      </c>
      <c r="F126" s="24"/>
      <c r="G126" s="30"/>
      <c r="H126" s="24"/>
      <c r="I126" s="24"/>
      <c r="J126" s="24"/>
      <c r="K126" s="37" t="str">
        <f t="shared" si="4"/>
        <v/>
      </c>
      <c r="L126" s="37" t="str">
        <f t="shared" si="5"/>
        <v/>
      </c>
      <c r="M126" s="37" t="str">
        <f t="shared" si="6"/>
        <v/>
      </c>
      <c r="N126" s="37" t="str">
        <f t="shared" si="7"/>
        <v/>
      </c>
      <c r="O126" s="37" t="str">
        <f>IF(OR($D126="",$F126=""),"",$F126*IFERROR(VLOOKUP($D126,Maestro_SKU!$A$2:$P$500,12,FALSE),1))</f>
        <v/>
      </c>
    </row>
    <row r="127" spans="1:15" x14ac:dyDescent="0.35">
      <c r="A127" s="25"/>
      <c r="B127" s="24"/>
      <c r="C127" s="24"/>
      <c r="D127" s="24"/>
      <c r="E127" s="28" t="str">
        <f>IFERROR(VLOOKUP(D127,Maestro_SKU!$A$2:$P$500,2,FALSE),"")</f>
        <v/>
      </c>
      <c r="F127" s="24"/>
      <c r="G127" s="30"/>
      <c r="H127" s="24"/>
      <c r="I127" s="24"/>
      <c r="J127" s="24"/>
      <c r="K127" s="37" t="str">
        <f t="shared" si="4"/>
        <v/>
      </c>
      <c r="L127" s="37" t="str">
        <f t="shared" si="5"/>
        <v/>
      </c>
      <c r="M127" s="37" t="str">
        <f t="shared" si="6"/>
        <v/>
      </c>
      <c r="N127" s="37" t="str">
        <f t="shared" si="7"/>
        <v/>
      </c>
      <c r="O127" s="37" t="str">
        <f>IF(OR($D127="",$F127=""),"",$F127*IFERROR(VLOOKUP($D127,Maestro_SKU!$A$2:$P$500,12,FALSE),1))</f>
        <v/>
      </c>
    </row>
    <row r="128" spans="1:15" x14ac:dyDescent="0.35">
      <c r="A128" s="25"/>
      <c r="B128" s="24"/>
      <c r="C128" s="24"/>
      <c r="D128" s="24"/>
      <c r="E128" s="28" t="str">
        <f>IFERROR(VLOOKUP(D128,Maestro_SKU!$A$2:$P$500,2,FALSE),"")</f>
        <v/>
      </c>
      <c r="F128" s="24"/>
      <c r="G128" s="30"/>
      <c r="H128" s="24"/>
      <c r="I128" s="24"/>
      <c r="J128" s="24"/>
      <c r="K128" s="37" t="str">
        <f t="shared" si="4"/>
        <v/>
      </c>
      <c r="L128" s="37" t="str">
        <f t="shared" si="5"/>
        <v/>
      </c>
      <c r="M128" s="37" t="str">
        <f t="shared" si="6"/>
        <v/>
      </c>
      <c r="N128" s="37" t="str">
        <f t="shared" si="7"/>
        <v/>
      </c>
      <c r="O128" s="37" t="str">
        <f>IF(OR($D128="",$F128=""),"",$F128*IFERROR(VLOOKUP($D128,Maestro_SKU!$A$2:$P$500,12,FALSE),1))</f>
        <v/>
      </c>
    </row>
    <row r="129" spans="1:15" x14ac:dyDescent="0.35">
      <c r="A129" s="25"/>
      <c r="B129" s="24"/>
      <c r="C129" s="24"/>
      <c r="D129" s="24"/>
      <c r="E129" s="28" t="str">
        <f>IFERROR(VLOOKUP(D129,Maestro_SKU!$A$2:$P$500,2,FALSE),"")</f>
        <v/>
      </c>
      <c r="F129" s="24"/>
      <c r="G129" s="30"/>
      <c r="H129" s="24"/>
      <c r="I129" s="24"/>
      <c r="J129" s="24"/>
      <c r="K129" s="37" t="str">
        <f t="shared" si="4"/>
        <v/>
      </c>
      <c r="L129" s="37" t="str">
        <f t="shared" si="5"/>
        <v/>
      </c>
      <c r="M129" s="37" t="str">
        <f t="shared" si="6"/>
        <v/>
      </c>
      <c r="N129" s="37" t="str">
        <f t="shared" si="7"/>
        <v/>
      </c>
      <c r="O129" s="37" t="str">
        <f>IF(OR($D129="",$F129=""),"",$F129*IFERROR(VLOOKUP($D129,Maestro_SKU!$A$2:$P$500,12,FALSE),1))</f>
        <v/>
      </c>
    </row>
    <row r="130" spans="1:15" x14ac:dyDescent="0.35">
      <c r="A130" s="25"/>
      <c r="B130" s="24"/>
      <c r="C130" s="24"/>
      <c r="D130" s="24"/>
      <c r="E130" s="28" t="str">
        <f>IFERROR(VLOOKUP(D130,Maestro_SKU!$A$2:$P$500,2,FALSE),"")</f>
        <v/>
      </c>
      <c r="F130" s="24"/>
      <c r="G130" s="30"/>
      <c r="H130" s="24"/>
      <c r="I130" s="24"/>
      <c r="J130" s="24"/>
      <c r="K130" s="37" t="str">
        <f t="shared" ref="K130:K193" si="8">IF($A130="","",YEAR($A130))</f>
        <v/>
      </c>
      <c r="L130" s="37" t="str">
        <f t="shared" ref="L130:L193" si="9">IF($A130="","",MONTH($A130))</f>
        <v/>
      </c>
      <c r="M130" s="37" t="str">
        <f t="shared" ref="M130:M193" si="10">IF($A130="","",DAY($A130))</f>
        <v/>
      </c>
      <c r="N130" s="37" t="str">
        <f t="shared" ref="N130:N193" si="11">IF($A130="","",YEAR($A130)&amp;"-"&amp;TEXT(MONTH($A130),"00"))</f>
        <v/>
      </c>
      <c r="O130" s="37" t="str">
        <f>IF(OR($D130="",$F130=""),"",$F130*IFERROR(VLOOKUP($D130,Maestro_SKU!$A$2:$P$500,12,FALSE),1))</f>
        <v/>
      </c>
    </row>
    <row r="131" spans="1:15" x14ac:dyDescent="0.35">
      <c r="A131" s="25"/>
      <c r="B131" s="24"/>
      <c r="C131" s="24"/>
      <c r="D131" s="24"/>
      <c r="E131" s="28" t="str">
        <f>IFERROR(VLOOKUP(D131,Maestro_SKU!$A$2:$P$500,2,FALSE),"")</f>
        <v/>
      </c>
      <c r="F131" s="24"/>
      <c r="G131" s="30"/>
      <c r="H131" s="24"/>
      <c r="I131" s="24"/>
      <c r="J131" s="24"/>
      <c r="K131" s="37" t="str">
        <f t="shared" si="8"/>
        <v/>
      </c>
      <c r="L131" s="37" t="str">
        <f t="shared" si="9"/>
        <v/>
      </c>
      <c r="M131" s="37" t="str">
        <f t="shared" si="10"/>
        <v/>
      </c>
      <c r="N131" s="37" t="str">
        <f t="shared" si="11"/>
        <v/>
      </c>
      <c r="O131" s="37" t="str">
        <f>IF(OR($D131="",$F131=""),"",$F131*IFERROR(VLOOKUP($D131,Maestro_SKU!$A$2:$P$500,12,FALSE),1))</f>
        <v/>
      </c>
    </row>
    <row r="132" spans="1:15" x14ac:dyDescent="0.35">
      <c r="A132" s="25"/>
      <c r="B132" s="24"/>
      <c r="C132" s="24"/>
      <c r="D132" s="24"/>
      <c r="E132" s="28" t="str">
        <f>IFERROR(VLOOKUP(D132,Maestro_SKU!$A$2:$P$500,2,FALSE),"")</f>
        <v/>
      </c>
      <c r="F132" s="24"/>
      <c r="G132" s="30"/>
      <c r="H132" s="24"/>
      <c r="I132" s="24"/>
      <c r="J132" s="24"/>
      <c r="K132" s="37" t="str">
        <f t="shared" si="8"/>
        <v/>
      </c>
      <c r="L132" s="37" t="str">
        <f t="shared" si="9"/>
        <v/>
      </c>
      <c r="M132" s="37" t="str">
        <f t="shared" si="10"/>
        <v/>
      </c>
      <c r="N132" s="37" t="str">
        <f t="shared" si="11"/>
        <v/>
      </c>
      <c r="O132" s="37" t="str">
        <f>IF(OR($D132="",$F132=""),"",$F132*IFERROR(VLOOKUP($D132,Maestro_SKU!$A$2:$P$500,12,FALSE),1))</f>
        <v/>
      </c>
    </row>
    <row r="133" spans="1:15" x14ac:dyDescent="0.35">
      <c r="A133" s="25"/>
      <c r="B133" s="24"/>
      <c r="C133" s="24"/>
      <c r="D133" s="24"/>
      <c r="E133" s="28" t="str">
        <f>IFERROR(VLOOKUP(D133,Maestro_SKU!$A$2:$P$500,2,FALSE),"")</f>
        <v/>
      </c>
      <c r="F133" s="24"/>
      <c r="G133" s="30"/>
      <c r="H133" s="24"/>
      <c r="I133" s="24"/>
      <c r="J133" s="24"/>
      <c r="K133" s="37" t="str">
        <f t="shared" si="8"/>
        <v/>
      </c>
      <c r="L133" s="37" t="str">
        <f t="shared" si="9"/>
        <v/>
      </c>
      <c r="M133" s="37" t="str">
        <f t="shared" si="10"/>
        <v/>
      </c>
      <c r="N133" s="37" t="str">
        <f t="shared" si="11"/>
        <v/>
      </c>
      <c r="O133" s="37" t="str">
        <f>IF(OR($D133="",$F133=""),"",$F133*IFERROR(VLOOKUP($D133,Maestro_SKU!$A$2:$P$500,12,FALSE),1))</f>
        <v/>
      </c>
    </row>
    <row r="134" spans="1:15" x14ac:dyDescent="0.35">
      <c r="A134" s="25"/>
      <c r="B134" s="24"/>
      <c r="C134" s="24"/>
      <c r="D134" s="24"/>
      <c r="E134" s="28" t="str">
        <f>IFERROR(VLOOKUP(D134,Maestro_SKU!$A$2:$P$500,2,FALSE),"")</f>
        <v/>
      </c>
      <c r="F134" s="24"/>
      <c r="G134" s="30"/>
      <c r="H134" s="24"/>
      <c r="I134" s="24"/>
      <c r="J134" s="24"/>
      <c r="K134" s="37" t="str">
        <f t="shared" si="8"/>
        <v/>
      </c>
      <c r="L134" s="37" t="str">
        <f t="shared" si="9"/>
        <v/>
      </c>
      <c r="M134" s="37" t="str">
        <f t="shared" si="10"/>
        <v/>
      </c>
      <c r="N134" s="37" t="str">
        <f t="shared" si="11"/>
        <v/>
      </c>
      <c r="O134" s="37" t="str">
        <f>IF(OR($D134="",$F134=""),"",$F134*IFERROR(VLOOKUP($D134,Maestro_SKU!$A$2:$P$500,12,FALSE),1))</f>
        <v/>
      </c>
    </row>
    <row r="135" spans="1:15" x14ac:dyDescent="0.35">
      <c r="A135" s="25"/>
      <c r="B135" s="24"/>
      <c r="C135" s="24"/>
      <c r="D135" s="24"/>
      <c r="E135" s="28" t="str">
        <f>IFERROR(VLOOKUP(D135,Maestro_SKU!$A$2:$P$500,2,FALSE),"")</f>
        <v/>
      </c>
      <c r="F135" s="24"/>
      <c r="G135" s="30"/>
      <c r="H135" s="24"/>
      <c r="I135" s="24"/>
      <c r="J135" s="24"/>
      <c r="K135" s="37" t="str">
        <f t="shared" si="8"/>
        <v/>
      </c>
      <c r="L135" s="37" t="str">
        <f t="shared" si="9"/>
        <v/>
      </c>
      <c r="M135" s="37" t="str">
        <f t="shared" si="10"/>
        <v/>
      </c>
      <c r="N135" s="37" t="str">
        <f t="shared" si="11"/>
        <v/>
      </c>
      <c r="O135" s="37" t="str">
        <f>IF(OR($D135="",$F135=""),"",$F135*IFERROR(VLOOKUP($D135,Maestro_SKU!$A$2:$P$500,12,FALSE),1))</f>
        <v/>
      </c>
    </row>
    <row r="136" spans="1:15" x14ac:dyDescent="0.35">
      <c r="A136" s="25"/>
      <c r="B136" s="24"/>
      <c r="C136" s="24"/>
      <c r="D136" s="24"/>
      <c r="E136" s="28" t="str">
        <f>IFERROR(VLOOKUP(D136,Maestro_SKU!$A$2:$P$500,2,FALSE),"")</f>
        <v/>
      </c>
      <c r="F136" s="24"/>
      <c r="G136" s="30"/>
      <c r="H136" s="24"/>
      <c r="I136" s="24"/>
      <c r="J136" s="24"/>
      <c r="K136" s="37" t="str">
        <f t="shared" si="8"/>
        <v/>
      </c>
      <c r="L136" s="37" t="str">
        <f t="shared" si="9"/>
        <v/>
      </c>
      <c r="M136" s="37" t="str">
        <f t="shared" si="10"/>
        <v/>
      </c>
      <c r="N136" s="37" t="str">
        <f t="shared" si="11"/>
        <v/>
      </c>
      <c r="O136" s="37" t="str">
        <f>IF(OR($D136="",$F136=""),"",$F136*IFERROR(VLOOKUP($D136,Maestro_SKU!$A$2:$P$500,12,FALSE),1))</f>
        <v/>
      </c>
    </row>
    <row r="137" spans="1:15" x14ac:dyDescent="0.35">
      <c r="A137" s="25"/>
      <c r="B137" s="24"/>
      <c r="C137" s="24"/>
      <c r="D137" s="24"/>
      <c r="E137" s="28" t="str">
        <f>IFERROR(VLOOKUP(D137,Maestro_SKU!$A$2:$P$500,2,FALSE),"")</f>
        <v/>
      </c>
      <c r="F137" s="24"/>
      <c r="G137" s="30"/>
      <c r="H137" s="24"/>
      <c r="I137" s="24"/>
      <c r="J137" s="24"/>
      <c r="K137" s="37" t="str">
        <f t="shared" si="8"/>
        <v/>
      </c>
      <c r="L137" s="37" t="str">
        <f t="shared" si="9"/>
        <v/>
      </c>
      <c r="M137" s="37" t="str">
        <f t="shared" si="10"/>
        <v/>
      </c>
      <c r="N137" s="37" t="str">
        <f t="shared" si="11"/>
        <v/>
      </c>
      <c r="O137" s="37" t="str">
        <f>IF(OR($D137="",$F137=""),"",$F137*IFERROR(VLOOKUP($D137,Maestro_SKU!$A$2:$P$500,12,FALSE),1))</f>
        <v/>
      </c>
    </row>
    <row r="138" spans="1:15" x14ac:dyDescent="0.35">
      <c r="A138" s="25"/>
      <c r="B138" s="24"/>
      <c r="C138" s="24"/>
      <c r="D138" s="24"/>
      <c r="E138" s="28" t="str">
        <f>IFERROR(VLOOKUP(D138,Maestro_SKU!$A$2:$P$500,2,FALSE),"")</f>
        <v/>
      </c>
      <c r="F138" s="24"/>
      <c r="G138" s="30"/>
      <c r="H138" s="24"/>
      <c r="I138" s="24"/>
      <c r="J138" s="24"/>
      <c r="K138" s="37" t="str">
        <f t="shared" si="8"/>
        <v/>
      </c>
      <c r="L138" s="37" t="str">
        <f t="shared" si="9"/>
        <v/>
      </c>
      <c r="M138" s="37" t="str">
        <f t="shared" si="10"/>
        <v/>
      </c>
      <c r="N138" s="37" t="str">
        <f t="shared" si="11"/>
        <v/>
      </c>
      <c r="O138" s="37" t="str">
        <f>IF(OR($D138="",$F138=""),"",$F138*IFERROR(VLOOKUP($D138,Maestro_SKU!$A$2:$P$500,12,FALSE),1))</f>
        <v/>
      </c>
    </row>
    <row r="139" spans="1:15" x14ac:dyDescent="0.35">
      <c r="A139" s="25"/>
      <c r="B139" s="24"/>
      <c r="C139" s="24"/>
      <c r="D139" s="24"/>
      <c r="E139" s="28" t="str">
        <f>IFERROR(VLOOKUP(D139,Maestro_SKU!$A$2:$P$500,2,FALSE),"")</f>
        <v/>
      </c>
      <c r="F139" s="24"/>
      <c r="G139" s="30"/>
      <c r="H139" s="24"/>
      <c r="I139" s="24"/>
      <c r="J139" s="24"/>
      <c r="K139" s="37" t="str">
        <f t="shared" si="8"/>
        <v/>
      </c>
      <c r="L139" s="37" t="str">
        <f t="shared" si="9"/>
        <v/>
      </c>
      <c r="M139" s="37" t="str">
        <f t="shared" si="10"/>
        <v/>
      </c>
      <c r="N139" s="37" t="str">
        <f t="shared" si="11"/>
        <v/>
      </c>
      <c r="O139" s="37" t="str">
        <f>IF(OR($D139="",$F139=""),"",$F139*IFERROR(VLOOKUP($D139,Maestro_SKU!$A$2:$P$500,12,FALSE),1))</f>
        <v/>
      </c>
    </row>
    <row r="140" spans="1:15" x14ac:dyDescent="0.35">
      <c r="A140" s="25"/>
      <c r="B140" s="24"/>
      <c r="C140" s="24"/>
      <c r="D140" s="24"/>
      <c r="E140" s="28" t="str">
        <f>IFERROR(VLOOKUP(D140,Maestro_SKU!$A$2:$P$500,2,FALSE),"")</f>
        <v/>
      </c>
      <c r="F140" s="24"/>
      <c r="G140" s="30"/>
      <c r="H140" s="24"/>
      <c r="I140" s="24"/>
      <c r="J140" s="24"/>
      <c r="K140" s="37" t="str">
        <f t="shared" si="8"/>
        <v/>
      </c>
      <c r="L140" s="37" t="str">
        <f t="shared" si="9"/>
        <v/>
      </c>
      <c r="M140" s="37" t="str">
        <f t="shared" si="10"/>
        <v/>
      </c>
      <c r="N140" s="37" t="str">
        <f t="shared" si="11"/>
        <v/>
      </c>
      <c r="O140" s="37" t="str">
        <f>IF(OR($D140="",$F140=""),"",$F140*IFERROR(VLOOKUP($D140,Maestro_SKU!$A$2:$P$500,12,FALSE),1))</f>
        <v/>
      </c>
    </row>
    <row r="141" spans="1:15" x14ac:dyDescent="0.35">
      <c r="A141" s="25"/>
      <c r="B141" s="24"/>
      <c r="C141" s="24"/>
      <c r="D141" s="24"/>
      <c r="E141" s="28" t="str">
        <f>IFERROR(VLOOKUP(D141,Maestro_SKU!$A$2:$P$500,2,FALSE),"")</f>
        <v/>
      </c>
      <c r="F141" s="24"/>
      <c r="G141" s="30"/>
      <c r="H141" s="24"/>
      <c r="I141" s="24"/>
      <c r="J141" s="24"/>
      <c r="K141" s="37" t="str">
        <f t="shared" si="8"/>
        <v/>
      </c>
      <c r="L141" s="37" t="str">
        <f t="shared" si="9"/>
        <v/>
      </c>
      <c r="M141" s="37" t="str">
        <f t="shared" si="10"/>
        <v/>
      </c>
      <c r="N141" s="37" t="str">
        <f t="shared" si="11"/>
        <v/>
      </c>
      <c r="O141" s="37" t="str">
        <f>IF(OR($D141="",$F141=""),"",$F141*IFERROR(VLOOKUP($D141,Maestro_SKU!$A$2:$P$500,12,FALSE),1))</f>
        <v/>
      </c>
    </row>
    <row r="142" spans="1:15" x14ac:dyDescent="0.35">
      <c r="A142" s="25"/>
      <c r="B142" s="24"/>
      <c r="C142" s="24"/>
      <c r="D142" s="24"/>
      <c r="E142" s="28" t="str">
        <f>IFERROR(VLOOKUP(D142,Maestro_SKU!$A$2:$P$500,2,FALSE),"")</f>
        <v/>
      </c>
      <c r="F142" s="24"/>
      <c r="G142" s="30"/>
      <c r="H142" s="24"/>
      <c r="I142" s="24"/>
      <c r="J142" s="24"/>
      <c r="K142" s="37" t="str">
        <f t="shared" si="8"/>
        <v/>
      </c>
      <c r="L142" s="37" t="str">
        <f t="shared" si="9"/>
        <v/>
      </c>
      <c r="M142" s="37" t="str">
        <f t="shared" si="10"/>
        <v/>
      </c>
      <c r="N142" s="37" t="str">
        <f t="shared" si="11"/>
        <v/>
      </c>
      <c r="O142" s="37" t="str">
        <f>IF(OR($D142="",$F142=""),"",$F142*IFERROR(VLOOKUP($D142,Maestro_SKU!$A$2:$P$500,12,FALSE),1))</f>
        <v/>
      </c>
    </row>
    <row r="143" spans="1:15" x14ac:dyDescent="0.35">
      <c r="A143" s="25"/>
      <c r="B143" s="24"/>
      <c r="C143" s="24"/>
      <c r="D143" s="24"/>
      <c r="E143" s="28" t="str">
        <f>IFERROR(VLOOKUP(D143,Maestro_SKU!$A$2:$P$500,2,FALSE),"")</f>
        <v/>
      </c>
      <c r="F143" s="24"/>
      <c r="G143" s="30"/>
      <c r="H143" s="24"/>
      <c r="I143" s="24"/>
      <c r="J143" s="24"/>
      <c r="K143" s="37" t="str">
        <f t="shared" si="8"/>
        <v/>
      </c>
      <c r="L143" s="37" t="str">
        <f t="shared" si="9"/>
        <v/>
      </c>
      <c r="M143" s="37" t="str">
        <f t="shared" si="10"/>
        <v/>
      </c>
      <c r="N143" s="37" t="str">
        <f t="shared" si="11"/>
        <v/>
      </c>
      <c r="O143" s="37" t="str">
        <f>IF(OR($D143="",$F143=""),"",$F143*IFERROR(VLOOKUP($D143,Maestro_SKU!$A$2:$P$500,12,FALSE),1))</f>
        <v/>
      </c>
    </row>
    <row r="144" spans="1:15" x14ac:dyDescent="0.35">
      <c r="A144" s="25"/>
      <c r="B144" s="24"/>
      <c r="C144" s="24"/>
      <c r="D144" s="24"/>
      <c r="E144" s="28" t="str">
        <f>IFERROR(VLOOKUP(D144,Maestro_SKU!$A$2:$P$500,2,FALSE),"")</f>
        <v/>
      </c>
      <c r="F144" s="24"/>
      <c r="G144" s="30"/>
      <c r="H144" s="24"/>
      <c r="I144" s="24"/>
      <c r="J144" s="24"/>
      <c r="K144" s="37" t="str">
        <f t="shared" si="8"/>
        <v/>
      </c>
      <c r="L144" s="37" t="str">
        <f t="shared" si="9"/>
        <v/>
      </c>
      <c r="M144" s="37" t="str">
        <f t="shared" si="10"/>
        <v/>
      </c>
      <c r="N144" s="37" t="str">
        <f t="shared" si="11"/>
        <v/>
      </c>
      <c r="O144" s="37" t="str">
        <f>IF(OR($D144="",$F144=""),"",$F144*IFERROR(VLOOKUP($D144,Maestro_SKU!$A$2:$P$500,12,FALSE),1))</f>
        <v/>
      </c>
    </row>
    <row r="145" spans="1:15" x14ac:dyDescent="0.35">
      <c r="A145" s="25"/>
      <c r="B145" s="24"/>
      <c r="C145" s="24"/>
      <c r="D145" s="24"/>
      <c r="E145" s="28" t="str">
        <f>IFERROR(VLOOKUP(D145,Maestro_SKU!$A$2:$P$500,2,FALSE),"")</f>
        <v/>
      </c>
      <c r="F145" s="24"/>
      <c r="G145" s="30"/>
      <c r="H145" s="24"/>
      <c r="I145" s="24"/>
      <c r="J145" s="24"/>
      <c r="K145" s="37" t="str">
        <f t="shared" si="8"/>
        <v/>
      </c>
      <c r="L145" s="37" t="str">
        <f t="shared" si="9"/>
        <v/>
      </c>
      <c r="M145" s="37" t="str">
        <f t="shared" si="10"/>
        <v/>
      </c>
      <c r="N145" s="37" t="str">
        <f t="shared" si="11"/>
        <v/>
      </c>
      <c r="O145" s="37" t="str">
        <f>IF(OR($D145="",$F145=""),"",$F145*IFERROR(VLOOKUP($D145,Maestro_SKU!$A$2:$P$500,12,FALSE),1))</f>
        <v/>
      </c>
    </row>
    <row r="146" spans="1:15" x14ac:dyDescent="0.35">
      <c r="A146" s="25"/>
      <c r="B146" s="24"/>
      <c r="C146" s="24"/>
      <c r="D146" s="24"/>
      <c r="E146" s="28" t="str">
        <f>IFERROR(VLOOKUP(D146,Maestro_SKU!$A$2:$P$500,2,FALSE),"")</f>
        <v/>
      </c>
      <c r="F146" s="24"/>
      <c r="G146" s="30"/>
      <c r="H146" s="24"/>
      <c r="I146" s="24"/>
      <c r="J146" s="24"/>
      <c r="K146" s="37" t="str">
        <f t="shared" si="8"/>
        <v/>
      </c>
      <c r="L146" s="37" t="str">
        <f t="shared" si="9"/>
        <v/>
      </c>
      <c r="M146" s="37" t="str">
        <f t="shared" si="10"/>
        <v/>
      </c>
      <c r="N146" s="37" t="str">
        <f t="shared" si="11"/>
        <v/>
      </c>
      <c r="O146" s="37" t="str">
        <f>IF(OR($D146="",$F146=""),"",$F146*IFERROR(VLOOKUP($D146,Maestro_SKU!$A$2:$P$500,12,FALSE),1))</f>
        <v/>
      </c>
    </row>
    <row r="147" spans="1:15" x14ac:dyDescent="0.35">
      <c r="A147" s="25"/>
      <c r="B147" s="24"/>
      <c r="C147" s="24"/>
      <c r="D147" s="24"/>
      <c r="E147" s="28" t="str">
        <f>IFERROR(VLOOKUP(D147,Maestro_SKU!$A$2:$P$500,2,FALSE),"")</f>
        <v/>
      </c>
      <c r="F147" s="24"/>
      <c r="G147" s="30"/>
      <c r="H147" s="24"/>
      <c r="I147" s="24"/>
      <c r="J147" s="24"/>
      <c r="K147" s="37" t="str">
        <f t="shared" si="8"/>
        <v/>
      </c>
      <c r="L147" s="37" t="str">
        <f t="shared" si="9"/>
        <v/>
      </c>
      <c r="M147" s="37" t="str">
        <f t="shared" si="10"/>
        <v/>
      </c>
      <c r="N147" s="37" t="str">
        <f t="shared" si="11"/>
        <v/>
      </c>
      <c r="O147" s="37" t="str">
        <f>IF(OR($D147="",$F147=""),"",$F147*IFERROR(VLOOKUP($D147,Maestro_SKU!$A$2:$P$500,12,FALSE),1))</f>
        <v/>
      </c>
    </row>
    <row r="148" spans="1:15" x14ac:dyDescent="0.35">
      <c r="A148" s="25"/>
      <c r="B148" s="24"/>
      <c r="C148" s="24"/>
      <c r="D148" s="24"/>
      <c r="E148" s="28" t="str">
        <f>IFERROR(VLOOKUP(D148,Maestro_SKU!$A$2:$P$500,2,FALSE),"")</f>
        <v/>
      </c>
      <c r="F148" s="24"/>
      <c r="G148" s="30"/>
      <c r="H148" s="24"/>
      <c r="I148" s="24"/>
      <c r="J148" s="24"/>
      <c r="K148" s="37" t="str">
        <f t="shared" si="8"/>
        <v/>
      </c>
      <c r="L148" s="37" t="str">
        <f t="shared" si="9"/>
        <v/>
      </c>
      <c r="M148" s="37" t="str">
        <f t="shared" si="10"/>
        <v/>
      </c>
      <c r="N148" s="37" t="str">
        <f t="shared" si="11"/>
        <v/>
      </c>
      <c r="O148" s="37" t="str">
        <f>IF(OR($D148="",$F148=""),"",$F148*IFERROR(VLOOKUP($D148,Maestro_SKU!$A$2:$P$500,12,FALSE),1))</f>
        <v/>
      </c>
    </row>
    <row r="149" spans="1:15" x14ac:dyDescent="0.35">
      <c r="A149" s="25"/>
      <c r="B149" s="24"/>
      <c r="C149" s="24"/>
      <c r="D149" s="24"/>
      <c r="E149" s="28" t="str">
        <f>IFERROR(VLOOKUP(D149,Maestro_SKU!$A$2:$P$500,2,FALSE),"")</f>
        <v/>
      </c>
      <c r="F149" s="24"/>
      <c r="G149" s="30"/>
      <c r="H149" s="24"/>
      <c r="I149" s="24"/>
      <c r="J149" s="24"/>
      <c r="K149" s="37" t="str">
        <f t="shared" si="8"/>
        <v/>
      </c>
      <c r="L149" s="37" t="str">
        <f t="shared" si="9"/>
        <v/>
      </c>
      <c r="M149" s="37" t="str">
        <f t="shared" si="10"/>
        <v/>
      </c>
      <c r="N149" s="37" t="str">
        <f t="shared" si="11"/>
        <v/>
      </c>
      <c r="O149" s="37" t="str">
        <f>IF(OR($D149="",$F149=""),"",$F149*IFERROR(VLOOKUP($D149,Maestro_SKU!$A$2:$P$500,12,FALSE),1))</f>
        <v/>
      </c>
    </row>
    <row r="150" spans="1:15" x14ac:dyDescent="0.35">
      <c r="A150" s="25"/>
      <c r="B150" s="24"/>
      <c r="C150" s="24"/>
      <c r="D150" s="24"/>
      <c r="E150" s="28" t="str">
        <f>IFERROR(VLOOKUP(D150,Maestro_SKU!$A$2:$P$500,2,FALSE),"")</f>
        <v/>
      </c>
      <c r="F150" s="24"/>
      <c r="G150" s="30"/>
      <c r="H150" s="24"/>
      <c r="I150" s="24"/>
      <c r="J150" s="24"/>
      <c r="K150" s="37" t="str">
        <f t="shared" si="8"/>
        <v/>
      </c>
      <c r="L150" s="37" t="str">
        <f t="shared" si="9"/>
        <v/>
      </c>
      <c r="M150" s="37" t="str">
        <f t="shared" si="10"/>
        <v/>
      </c>
      <c r="N150" s="37" t="str">
        <f t="shared" si="11"/>
        <v/>
      </c>
      <c r="O150" s="37" t="str">
        <f>IF(OR($D150="",$F150=""),"",$F150*IFERROR(VLOOKUP($D150,Maestro_SKU!$A$2:$P$500,12,FALSE),1))</f>
        <v/>
      </c>
    </row>
    <row r="151" spans="1:15" x14ac:dyDescent="0.35">
      <c r="A151" s="25"/>
      <c r="B151" s="24"/>
      <c r="C151" s="24"/>
      <c r="D151" s="24"/>
      <c r="E151" s="28" t="str">
        <f>IFERROR(VLOOKUP(D151,Maestro_SKU!$A$2:$P$500,2,FALSE),"")</f>
        <v/>
      </c>
      <c r="F151" s="24"/>
      <c r="G151" s="30"/>
      <c r="H151" s="24"/>
      <c r="I151" s="24"/>
      <c r="J151" s="24"/>
      <c r="K151" s="37" t="str">
        <f t="shared" si="8"/>
        <v/>
      </c>
      <c r="L151" s="37" t="str">
        <f t="shared" si="9"/>
        <v/>
      </c>
      <c r="M151" s="37" t="str">
        <f t="shared" si="10"/>
        <v/>
      </c>
      <c r="N151" s="37" t="str">
        <f t="shared" si="11"/>
        <v/>
      </c>
      <c r="O151" s="37" t="str">
        <f>IF(OR($D151="",$F151=""),"",$F151*IFERROR(VLOOKUP($D151,Maestro_SKU!$A$2:$P$500,12,FALSE),1))</f>
        <v/>
      </c>
    </row>
    <row r="152" spans="1:15" x14ac:dyDescent="0.35">
      <c r="A152" s="25"/>
      <c r="B152" s="24"/>
      <c r="C152" s="24"/>
      <c r="D152" s="24"/>
      <c r="E152" s="28" t="str">
        <f>IFERROR(VLOOKUP(D152,Maestro_SKU!$A$2:$P$500,2,FALSE),"")</f>
        <v/>
      </c>
      <c r="F152" s="24"/>
      <c r="G152" s="30"/>
      <c r="H152" s="24"/>
      <c r="I152" s="24"/>
      <c r="J152" s="24"/>
      <c r="K152" s="37" t="str">
        <f t="shared" si="8"/>
        <v/>
      </c>
      <c r="L152" s="37" t="str">
        <f t="shared" si="9"/>
        <v/>
      </c>
      <c r="M152" s="37" t="str">
        <f t="shared" si="10"/>
        <v/>
      </c>
      <c r="N152" s="37" t="str">
        <f t="shared" si="11"/>
        <v/>
      </c>
      <c r="O152" s="37" t="str">
        <f>IF(OR($D152="",$F152=""),"",$F152*IFERROR(VLOOKUP($D152,Maestro_SKU!$A$2:$P$500,12,FALSE),1))</f>
        <v/>
      </c>
    </row>
    <row r="153" spans="1:15" x14ac:dyDescent="0.35">
      <c r="A153" s="25"/>
      <c r="B153" s="24"/>
      <c r="C153" s="24"/>
      <c r="D153" s="24"/>
      <c r="E153" s="28" t="str">
        <f>IFERROR(VLOOKUP(D153,Maestro_SKU!$A$2:$P$500,2,FALSE),"")</f>
        <v/>
      </c>
      <c r="F153" s="24"/>
      <c r="G153" s="30"/>
      <c r="H153" s="24"/>
      <c r="I153" s="24"/>
      <c r="J153" s="24"/>
      <c r="K153" s="37" t="str">
        <f t="shared" si="8"/>
        <v/>
      </c>
      <c r="L153" s="37" t="str">
        <f t="shared" si="9"/>
        <v/>
      </c>
      <c r="M153" s="37" t="str">
        <f t="shared" si="10"/>
        <v/>
      </c>
      <c r="N153" s="37" t="str">
        <f t="shared" si="11"/>
        <v/>
      </c>
      <c r="O153" s="37" t="str">
        <f>IF(OR($D153="",$F153=""),"",$F153*IFERROR(VLOOKUP($D153,Maestro_SKU!$A$2:$P$500,12,FALSE),1))</f>
        <v/>
      </c>
    </row>
    <row r="154" spans="1:15" x14ac:dyDescent="0.35">
      <c r="A154" s="25"/>
      <c r="B154" s="24"/>
      <c r="C154" s="24"/>
      <c r="D154" s="24"/>
      <c r="E154" s="28" t="str">
        <f>IFERROR(VLOOKUP(D154,Maestro_SKU!$A$2:$P$500,2,FALSE),"")</f>
        <v/>
      </c>
      <c r="F154" s="24"/>
      <c r="G154" s="30"/>
      <c r="H154" s="24"/>
      <c r="I154" s="24"/>
      <c r="J154" s="24"/>
      <c r="K154" s="37" t="str">
        <f t="shared" si="8"/>
        <v/>
      </c>
      <c r="L154" s="37" t="str">
        <f t="shared" si="9"/>
        <v/>
      </c>
      <c r="M154" s="37" t="str">
        <f t="shared" si="10"/>
        <v/>
      </c>
      <c r="N154" s="37" t="str">
        <f t="shared" si="11"/>
        <v/>
      </c>
      <c r="O154" s="37" t="str">
        <f>IF(OR($D154="",$F154=""),"",$F154*IFERROR(VLOOKUP($D154,Maestro_SKU!$A$2:$P$500,12,FALSE),1))</f>
        <v/>
      </c>
    </row>
    <row r="155" spans="1:15" x14ac:dyDescent="0.35">
      <c r="A155" s="25"/>
      <c r="B155" s="24"/>
      <c r="C155" s="24"/>
      <c r="D155" s="24"/>
      <c r="E155" s="28" t="str">
        <f>IFERROR(VLOOKUP(D155,Maestro_SKU!$A$2:$P$500,2,FALSE),"")</f>
        <v/>
      </c>
      <c r="F155" s="24"/>
      <c r="G155" s="30"/>
      <c r="H155" s="24"/>
      <c r="I155" s="24"/>
      <c r="J155" s="24"/>
      <c r="K155" s="37" t="str">
        <f t="shared" si="8"/>
        <v/>
      </c>
      <c r="L155" s="37" t="str">
        <f t="shared" si="9"/>
        <v/>
      </c>
      <c r="M155" s="37" t="str">
        <f t="shared" si="10"/>
        <v/>
      </c>
      <c r="N155" s="37" t="str">
        <f t="shared" si="11"/>
        <v/>
      </c>
      <c r="O155" s="37" t="str">
        <f>IF(OR($D155="",$F155=""),"",$F155*IFERROR(VLOOKUP($D155,Maestro_SKU!$A$2:$P$500,12,FALSE),1))</f>
        <v/>
      </c>
    </row>
    <row r="156" spans="1:15" x14ac:dyDescent="0.35">
      <c r="A156" s="25"/>
      <c r="B156" s="24"/>
      <c r="C156" s="24"/>
      <c r="D156" s="24"/>
      <c r="E156" s="28" t="str">
        <f>IFERROR(VLOOKUP(D156,Maestro_SKU!$A$2:$P$500,2,FALSE),"")</f>
        <v/>
      </c>
      <c r="F156" s="24"/>
      <c r="G156" s="30"/>
      <c r="H156" s="24"/>
      <c r="I156" s="24"/>
      <c r="J156" s="24"/>
      <c r="K156" s="37" t="str">
        <f t="shared" si="8"/>
        <v/>
      </c>
      <c r="L156" s="37" t="str">
        <f t="shared" si="9"/>
        <v/>
      </c>
      <c r="M156" s="37" t="str">
        <f t="shared" si="10"/>
        <v/>
      </c>
      <c r="N156" s="37" t="str">
        <f t="shared" si="11"/>
        <v/>
      </c>
      <c r="O156" s="37" t="str">
        <f>IF(OR($D156="",$F156=""),"",$F156*IFERROR(VLOOKUP($D156,Maestro_SKU!$A$2:$P$500,12,FALSE),1))</f>
        <v/>
      </c>
    </row>
    <row r="157" spans="1:15" x14ac:dyDescent="0.35">
      <c r="A157" s="25"/>
      <c r="B157" s="24"/>
      <c r="C157" s="24"/>
      <c r="D157" s="24"/>
      <c r="E157" s="28" t="str">
        <f>IFERROR(VLOOKUP(D157,Maestro_SKU!$A$2:$P$500,2,FALSE),"")</f>
        <v/>
      </c>
      <c r="F157" s="24"/>
      <c r="G157" s="30"/>
      <c r="H157" s="24"/>
      <c r="I157" s="24"/>
      <c r="J157" s="24"/>
      <c r="K157" s="37" t="str">
        <f t="shared" si="8"/>
        <v/>
      </c>
      <c r="L157" s="37" t="str">
        <f t="shared" si="9"/>
        <v/>
      </c>
      <c r="M157" s="37" t="str">
        <f t="shared" si="10"/>
        <v/>
      </c>
      <c r="N157" s="37" t="str">
        <f t="shared" si="11"/>
        <v/>
      </c>
      <c r="O157" s="37" t="str">
        <f>IF(OR($D157="",$F157=""),"",$F157*IFERROR(VLOOKUP($D157,Maestro_SKU!$A$2:$P$500,12,FALSE),1))</f>
        <v/>
      </c>
    </row>
    <row r="158" spans="1:15" x14ac:dyDescent="0.35">
      <c r="A158" s="25"/>
      <c r="B158" s="24"/>
      <c r="C158" s="24"/>
      <c r="D158" s="24"/>
      <c r="E158" s="28" t="str">
        <f>IFERROR(VLOOKUP(D158,Maestro_SKU!$A$2:$P$500,2,FALSE),"")</f>
        <v/>
      </c>
      <c r="F158" s="24"/>
      <c r="G158" s="30"/>
      <c r="H158" s="24"/>
      <c r="I158" s="24"/>
      <c r="J158" s="24"/>
      <c r="K158" s="37" t="str">
        <f t="shared" si="8"/>
        <v/>
      </c>
      <c r="L158" s="37" t="str">
        <f t="shared" si="9"/>
        <v/>
      </c>
      <c r="M158" s="37" t="str">
        <f t="shared" si="10"/>
        <v/>
      </c>
      <c r="N158" s="37" t="str">
        <f t="shared" si="11"/>
        <v/>
      </c>
      <c r="O158" s="37" t="str">
        <f>IF(OR($D158="",$F158=""),"",$F158*IFERROR(VLOOKUP($D158,Maestro_SKU!$A$2:$P$500,12,FALSE),1))</f>
        <v/>
      </c>
    </row>
    <row r="159" spans="1:15" x14ac:dyDescent="0.35">
      <c r="A159" s="25"/>
      <c r="B159" s="24"/>
      <c r="C159" s="24"/>
      <c r="D159" s="24"/>
      <c r="E159" s="28" t="str">
        <f>IFERROR(VLOOKUP(D159,Maestro_SKU!$A$2:$P$500,2,FALSE),"")</f>
        <v/>
      </c>
      <c r="F159" s="24"/>
      <c r="G159" s="30"/>
      <c r="H159" s="24"/>
      <c r="I159" s="24"/>
      <c r="J159" s="24"/>
      <c r="K159" s="37" t="str">
        <f t="shared" si="8"/>
        <v/>
      </c>
      <c r="L159" s="37" t="str">
        <f t="shared" si="9"/>
        <v/>
      </c>
      <c r="M159" s="37" t="str">
        <f t="shared" si="10"/>
        <v/>
      </c>
      <c r="N159" s="37" t="str">
        <f t="shared" si="11"/>
        <v/>
      </c>
      <c r="O159" s="37" t="str">
        <f>IF(OR($D159="",$F159=""),"",$F159*IFERROR(VLOOKUP($D159,Maestro_SKU!$A$2:$P$500,12,FALSE),1))</f>
        <v/>
      </c>
    </row>
    <row r="160" spans="1:15" x14ac:dyDescent="0.35">
      <c r="A160" s="25"/>
      <c r="B160" s="24"/>
      <c r="C160" s="24"/>
      <c r="D160" s="24"/>
      <c r="E160" s="28" t="str">
        <f>IFERROR(VLOOKUP(D160,Maestro_SKU!$A$2:$P$500,2,FALSE),"")</f>
        <v/>
      </c>
      <c r="F160" s="24"/>
      <c r="G160" s="30"/>
      <c r="H160" s="24"/>
      <c r="I160" s="24"/>
      <c r="J160" s="24"/>
      <c r="K160" s="37" t="str">
        <f t="shared" si="8"/>
        <v/>
      </c>
      <c r="L160" s="37" t="str">
        <f t="shared" si="9"/>
        <v/>
      </c>
      <c r="M160" s="37" t="str">
        <f t="shared" si="10"/>
        <v/>
      </c>
      <c r="N160" s="37" t="str">
        <f t="shared" si="11"/>
        <v/>
      </c>
      <c r="O160" s="37" t="str">
        <f>IF(OR($D160="",$F160=""),"",$F160*IFERROR(VLOOKUP($D160,Maestro_SKU!$A$2:$P$500,12,FALSE),1))</f>
        <v/>
      </c>
    </row>
    <row r="161" spans="1:15" x14ac:dyDescent="0.35">
      <c r="A161" s="25"/>
      <c r="B161" s="24"/>
      <c r="C161" s="24"/>
      <c r="D161" s="24"/>
      <c r="E161" s="28" t="str">
        <f>IFERROR(VLOOKUP(D161,Maestro_SKU!$A$2:$P$500,2,FALSE),"")</f>
        <v/>
      </c>
      <c r="F161" s="24"/>
      <c r="G161" s="30"/>
      <c r="H161" s="24"/>
      <c r="I161" s="24"/>
      <c r="J161" s="24"/>
      <c r="K161" s="37" t="str">
        <f t="shared" si="8"/>
        <v/>
      </c>
      <c r="L161" s="37" t="str">
        <f t="shared" si="9"/>
        <v/>
      </c>
      <c r="M161" s="37" t="str">
        <f t="shared" si="10"/>
        <v/>
      </c>
      <c r="N161" s="37" t="str">
        <f t="shared" si="11"/>
        <v/>
      </c>
      <c r="O161" s="37" t="str">
        <f>IF(OR($D161="",$F161=""),"",$F161*IFERROR(VLOOKUP($D161,Maestro_SKU!$A$2:$P$500,12,FALSE),1))</f>
        <v/>
      </c>
    </row>
    <row r="162" spans="1:15" x14ac:dyDescent="0.35">
      <c r="A162" s="25"/>
      <c r="B162" s="24"/>
      <c r="C162" s="24"/>
      <c r="D162" s="24"/>
      <c r="E162" s="28" t="str">
        <f>IFERROR(VLOOKUP(D162,Maestro_SKU!$A$2:$P$500,2,FALSE),"")</f>
        <v/>
      </c>
      <c r="F162" s="24"/>
      <c r="G162" s="30"/>
      <c r="H162" s="24"/>
      <c r="I162" s="24"/>
      <c r="J162" s="24"/>
      <c r="K162" s="37" t="str">
        <f t="shared" si="8"/>
        <v/>
      </c>
      <c r="L162" s="37" t="str">
        <f t="shared" si="9"/>
        <v/>
      </c>
      <c r="M162" s="37" t="str">
        <f t="shared" si="10"/>
        <v/>
      </c>
      <c r="N162" s="37" t="str">
        <f t="shared" si="11"/>
        <v/>
      </c>
      <c r="O162" s="37" t="str">
        <f>IF(OR($D162="",$F162=""),"",$F162*IFERROR(VLOOKUP($D162,Maestro_SKU!$A$2:$P$500,12,FALSE),1))</f>
        <v/>
      </c>
    </row>
    <row r="163" spans="1:15" x14ac:dyDescent="0.35">
      <c r="A163" s="25"/>
      <c r="B163" s="24"/>
      <c r="C163" s="24"/>
      <c r="D163" s="24"/>
      <c r="E163" s="28" t="str">
        <f>IFERROR(VLOOKUP(D163,Maestro_SKU!$A$2:$P$500,2,FALSE),"")</f>
        <v/>
      </c>
      <c r="F163" s="24"/>
      <c r="G163" s="30"/>
      <c r="H163" s="24"/>
      <c r="I163" s="24"/>
      <c r="J163" s="24"/>
      <c r="K163" s="37" t="str">
        <f t="shared" si="8"/>
        <v/>
      </c>
      <c r="L163" s="37" t="str">
        <f t="shared" si="9"/>
        <v/>
      </c>
      <c r="M163" s="37" t="str">
        <f t="shared" si="10"/>
        <v/>
      </c>
      <c r="N163" s="37" t="str">
        <f t="shared" si="11"/>
        <v/>
      </c>
      <c r="O163" s="37" t="str">
        <f>IF(OR($D163="",$F163=""),"",$F163*IFERROR(VLOOKUP($D163,Maestro_SKU!$A$2:$P$500,12,FALSE),1))</f>
        <v/>
      </c>
    </row>
    <row r="164" spans="1:15" x14ac:dyDescent="0.35">
      <c r="A164" s="25"/>
      <c r="B164" s="24"/>
      <c r="C164" s="24"/>
      <c r="D164" s="24"/>
      <c r="E164" s="28" t="str">
        <f>IFERROR(VLOOKUP(D164,Maestro_SKU!$A$2:$P$500,2,FALSE),"")</f>
        <v/>
      </c>
      <c r="F164" s="24"/>
      <c r="G164" s="30"/>
      <c r="H164" s="24"/>
      <c r="I164" s="24"/>
      <c r="J164" s="24"/>
      <c r="K164" s="37" t="str">
        <f t="shared" si="8"/>
        <v/>
      </c>
      <c r="L164" s="37" t="str">
        <f t="shared" si="9"/>
        <v/>
      </c>
      <c r="M164" s="37" t="str">
        <f t="shared" si="10"/>
        <v/>
      </c>
      <c r="N164" s="37" t="str">
        <f t="shared" si="11"/>
        <v/>
      </c>
      <c r="O164" s="37" t="str">
        <f>IF(OR($D164="",$F164=""),"",$F164*IFERROR(VLOOKUP($D164,Maestro_SKU!$A$2:$P$500,12,FALSE),1))</f>
        <v/>
      </c>
    </row>
    <row r="165" spans="1:15" x14ac:dyDescent="0.35">
      <c r="A165" s="25"/>
      <c r="B165" s="24"/>
      <c r="C165" s="24"/>
      <c r="D165" s="24"/>
      <c r="E165" s="28" t="str">
        <f>IFERROR(VLOOKUP(D165,Maestro_SKU!$A$2:$P$500,2,FALSE),"")</f>
        <v/>
      </c>
      <c r="F165" s="24"/>
      <c r="G165" s="30"/>
      <c r="H165" s="24"/>
      <c r="I165" s="24"/>
      <c r="J165" s="24"/>
      <c r="K165" s="37" t="str">
        <f t="shared" si="8"/>
        <v/>
      </c>
      <c r="L165" s="37" t="str">
        <f t="shared" si="9"/>
        <v/>
      </c>
      <c r="M165" s="37" t="str">
        <f t="shared" si="10"/>
        <v/>
      </c>
      <c r="N165" s="37" t="str">
        <f t="shared" si="11"/>
        <v/>
      </c>
      <c r="O165" s="37" t="str">
        <f>IF(OR($D165="",$F165=""),"",$F165*IFERROR(VLOOKUP($D165,Maestro_SKU!$A$2:$P$500,12,FALSE),1))</f>
        <v/>
      </c>
    </row>
    <row r="166" spans="1:15" x14ac:dyDescent="0.35">
      <c r="A166" s="25"/>
      <c r="B166" s="24"/>
      <c r="C166" s="24"/>
      <c r="D166" s="24"/>
      <c r="E166" s="28" t="str">
        <f>IFERROR(VLOOKUP(D166,Maestro_SKU!$A$2:$P$500,2,FALSE),"")</f>
        <v/>
      </c>
      <c r="F166" s="24"/>
      <c r="G166" s="30"/>
      <c r="H166" s="24"/>
      <c r="I166" s="24"/>
      <c r="J166" s="24"/>
      <c r="K166" s="37" t="str">
        <f t="shared" si="8"/>
        <v/>
      </c>
      <c r="L166" s="37" t="str">
        <f t="shared" si="9"/>
        <v/>
      </c>
      <c r="M166" s="37" t="str">
        <f t="shared" si="10"/>
        <v/>
      </c>
      <c r="N166" s="37" t="str">
        <f t="shared" si="11"/>
        <v/>
      </c>
      <c r="O166" s="37" t="str">
        <f>IF(OR($D166="",$F166=""),"",$F166*IFERROR(VLOOKUP($D166,Maestro_SKU!$A$2:$P$500,12,FALSE),1))</f>
        <v/>
      </c>
    </row>
    <row r="167" spans="1:15" x14ac:dyDescent="0.35">
      <c r="A167" s="25"/>
      <c r="B167" s="24"/>
      <c r="C167" s="24"/>
      <c r="D167" s="24"/>
      <c r="E167" s="28" t="str">
        <f>IFERROR(VLOOKUP(D167,Maestro_SKU!$A$2:$P$500,2,FALSE),"")</f>
        <v/>
      </c>
      <c r="F167" s="24"/>
      <c r="G167" s="30"/>
      <c r="H167" s="24"/>
      <c r="I167" s="24"/>
      <c r="J167" s="24"/>
      <c r="K167" s="37" t="str">
        <f t="shared" si="8"/>
        <v/>
      </c>
      <c r="L167" s="37" t="str">
        <f t="shared" si="9"/>
        <v/>
      </c>
      <c r="M167" s="37" t="str">
        <f t="shared" si="10"/>
        <v/>
      </c>
      <c r="N167" s="37" t="str">
        <f t="shared" si="11"/>
        <v/>
      </c>
      <c r="O167" s="37" t="str">
        <f>IF(OR($D167="",$F167=""),"",$F167*IFERROR(VLOOKUP($D167,Maestro_SKU!$A$2:$P$500,12,FALSE),1))</f>
        <v/>
      </c>
    </row>
    <row r="168" spans="1:15" x14ac:dyDescent="0.35">
      <c r="A168" s="25"/>
      <c r="B168" s="24"/>
      <c r="C168" s="24"/>
      <c r="D168" s="24"/>
      <c r="E168" s="28" t="str">
        <f>IFERROR(VLOOKUP(D168,Maestro_SKU!$A$2:$P$500,2,FALSE),"")</f>
        <v/>
      </c>
      <c r="F168" s="24"/>
      <c r="G168" s="30"/>
      <c r="H168" s="24"/>
      <c r="I168" s="24"/>
      <c r="J168" s="24"/>
      <c r="K168" s="37" t="str">
        <f t="shared" si="8"/>
        <v/>
      </c>
      <c r="L168" s="37" t="str">
        <f t="shared" si="9"/>
        <v/>
      </c>
      <c r="M168" s="37" t="str">
        <f t="shared" si="10"/>
        <v/>
      </c>
      <c r="N168" s="37" t="str">
        <f t="shared" si="11"/>
        <v/>
      </c>
      <c r="O168" s="37" t="str">
        <f>IF(OR($D168="",$F168=""),"",$F168*IFERROR(VLOOKUP($D168,Maestro_SKU!$A$2:$P$500,12,FALSE),1))</f>
        <v/>
      </c>
    </row>
    <row r="169" spans="1:15" x14ac:dyDescent="0.35">
      <c r="A169" s="25"/>
      <c r="B169" s="24"/>
      <c r="C169" s="24"/>
      <c r="D169" s="24"/>
      <c r="E169" s="28" t="str">
        <f>IFERROR(VLOOKUP(D169,Maestro_SKU!$A$2:$P$500,2,FALSE),"")</f>
        <v/>
      </c>
      <c r="F169" s="24"/>
      <c r="G169" s="30"/>
      <c r="H169" s="24"/>
      <c r="I169" s="24"/>
      <c r="J169" s="24"/>
      <c r="K169" s="37" t="str">
        <f t="shared" si="8"/>
        <v/>
      </c>
      <c r="L169" s="37" t="str">
        <f t="shared" si="9"/>
        <v/>
      </c>
      <c r="M169" s="37" t="str">
        <f t="shared" si="10"/>
        <v/>
      </c>
      <c r="N169" s="37" t="str">
        <f t="shared" si="11"/>
        <v/>
      </c>
      <c r="O169" s="37" t="str">
        <f>IF(OR($D169="",$F169=""),"",$F169*IFERROR(VLOOKUP($D169,Maestro_SKU!$A$2:$P$500,12,FALSE),1))</f>
        <v/>
      </c>
    </row>
    <row r="170" spans="1:15" x14ac:dyDescent="0.35">
      <c r="A170" s="25"/>
      <c r="B170" s="24"/>
      <c r="C170" s="24"/>
      <c r="D170" s="24"/>
      <c r="E170" s="28" t="str">
        <f>IFERROR(VLOOKUP(D170,Maestro_SKU!$A$2:$P$500,2,FALSE),"")</f>
        <v/>
      </c>
      <c r="F170" s="24"/>
      <c r="G170" s="30"/>
      <c r="H170" s="24"/>
      <c r="I170" s="24"/>
      <c r="J170" s="24"/>
      <c r="K170" s="37" t="str">
        <f t="shared" si="8"/>
        <v/>
      </c>
      <c r="L170" s="37" t="str">
        <f t="shared" si="9"/>
        <v/>
      </c>
      <c r="M170" s="37" t="str">
        <f t="shared" si="10"/>
        <v/>
      </c>
      <c r="N170" s="37" t="str">
        <f t="shared" si="11"/>
        <v/>
      </c>
      <c r="O170" s="37" t="str">
        <f>IF(OR($D170="",$F170=""),"",$F170*IFERROR(VLOOKUP($D170,Maestro_SKU!$A$2:$P$500,12,FALSE),1))</f>
        <v/>
      </c>
    </row>
    <row r="171" spans="1:15" x14ac:dyDescent="0.35">
      <c r="A171" s="25"/>
      <c r="B171" s="24"/>
      <c r="C171" s="24"/>
      <c r="D171" s="24"/>
      <c r="E171" s="28" t="str">
        <f>IFERROR(VLOOKUP(D171,Maestro_SKU!$A$2:$P$500,2,FALSE),"")</f>
        <v/>
      </c>
      <c r="F171" s="24"/>
      <c r="G171" s="30"/>
      <c r="H171" s="24"/>
      <c r="I171" s="24"/>
      <c r="J171" s="24"/>
      <c r="K171" s="37" t="str">
        <f t="shared" si="8"/>
        <v/>
      </c>
      <c r="L171" s="37" t="str">
        <f t="shared" si="9"/>
        <v/>
      </c>
      <c r="M171" s="37" t="str">
        <f t="shared" si="10"/>
        <v/>
      </c>
      <c r="N171" s="37" t="str">
        <f t="shared" si="11"/>
        <v/>
      </c>
      <c r="O171" s="37" t="str">
        <f>IF(OR($D171="",$F171=""),"",$F171*IFERROR(VLOOKUP($D171,Maestro_SKU!$A$2:$P$500,12,FALSE),1))</f>
        <v/>
      </c>
    </row>
    <row r="172" spans="1:15" x14ac:dyDescent="0.35">
      <c r="A172" s="25"/>
      <c r="B172" s="24"/>
      <c r="C172" s="24"/>
      <c r="D172" s="24"/>
      <c r="E172" s="28" t="str">
        <f>IFERROR(VLOOKUP(D172,Maestro_SKU!$A$2:$P$500,2,FALSE),"")</f>
        <v/>
      </c>
      <c r="F172" s="24"/>
      <c r="G172" s="30"/>
      <c r="H172" s="24"/>
      <c r="I172" s="24"/>
      <c r="J172" s="24"/>
      <c r="K172" s="37" t="str">
        <f t="shared" si="8"/>
        <v/>
      </c>
      <c r="L172" s="37" t="str">
        <f t="shared" si="9"/>
        <v/>
      </c>
      <c r="M172" s="37" t="str">
        <f t="shared" si="10"/>
        <v/>
      </c>
      <c r="N172" s="37" t="str">
        <f t="shared" si="11"/>
        <v/>
      </c>
      <c r="O172" s="37" t="str">
        <f>IF(OR($D172="",$F172=""),"",$F172*IFERROR(VLOOKUP($D172,Maestro_SKU!$A$2:$P$500,12,FALSE),1))</f>
        <v/>
      </c>
    </row>
    <row r="173" spans="1:15" x14ac:dyDescent="0.35">
      <c r="A173" s="25"/>
      <c r="B173" s="24"/>
      <c r="C173" s="24"/>
      <c r="D173" s="24"/>
      <c r="E173" s="28" t="str">
        <f>IFERROR(VLOOKUP(D173,Maestro_SKU!$A$2:$P$500,2,FALSE),"")</f>
        <v/>
      </c>
      <c r="F173" s="24"/>
      <c r="G173" s="30"/>
      <c r="H173" s="24"/>
      <c r="I173" s="24"/>
      <c r="J173" s="24"/>
      <c r="K173" s="37" t="str">
        <f t="shared" si="8"/>
        <v/>
      </c>
      <c r="L173" s="37" t="str">
        <f t="shared" si="9"/>
        <v/>
      </c>
      <c r="M173" s="37" t="str">
        <f t="shared" si="10"/>
        <v/>
      </c>
      <c r="N173" s="37" t="str">
        <f t="shared" si="11"/>
        <v/>
      </c>
      <c r="O173" s="37" t="str">
        <f>IF(OR($D173="",$F173=""),"",$F173*IFERROR(VLOOKUP($D173,Maestro_SKU!$A$2:$P$500,12,FALSE),1))</f>
        <v/>
      </c>
    </row>
    <row r="174" spans="1:15" x14ac:dyDescent="0.35">
      <c r="A174" s="25"/>
      <c r="B174" s="24"/>
      <c r="C174" s="24"/>
      <c r="D174" s="24"/>
      <c r="E174" s="28" t="str">
        <f>IFERROR(VLOOKUP(D174,Maestro_SKU!$A$2:$P$500,2,FALSE),"")</f>
        <v/>
      </c>
      <c r="F174" s="24"/>
      <c r="G174" s="30"/>
      <c r="H174" s="24"/>
      <c r="I174" s="24"/>
      <c r="J174" s="24"/>
      <c r="K174" s="37" t="str">
        <f t="shared" si="8"/>
        <v/>
      </c>
      <c r="L174" s="37" t="str">
        <f t="shared" si="9"/>
        <v/>
      </c>
      <c r="M174" s="37" t="str">
        <f t="shared" si="10"/>
        <v/>
      </c>
      <c r="N174" s="37" t="str">
        <f t="shared" si="11"/>
        <v/>
      </c>
      <c r="O174" s="37" t="str">
        <f>IF(OR($D174="",$F174=""),"",$F174*IFERROR(VLOOKUP($D174,Maestro_SKU!$A$2:$P$500,12,FALSE),1))</f>
        <v/>
      </c>
    </row>
    <row r="175" spans="1:15" x14ac:dyDescent="0.35">
      <c r="A175" s="25"/>
      <c r="B175" s="24"/>
      <c r="C175" s="24"/>
      <c r="D175" s="24"/>
      <c r="E175" s="28" t="str">
        <f>IFERROR(VLOOKUP(D175,Maestro_SKU!$A$2:$P$500,2,FALSE),"")</f>
        <v/>
      </c>
      <c r="F175" s="24"/>
      <c r="G175" s="30"/>
      <c r="H175" s="24"/>
      <c r="I175" s="24"/>
      <c r="J175" s="24"/>
      <c r="K175" s="37" t="str">
        <f t="shared" si="8"/>
        <v/>
      </c>
      <c r="L175" s="37" t="str">
        <f t="shared" si="9"/>
        <v/>
      </c>
      <c r="M175" s="37" t="str">
        <f t="shared" si="10"/>
        <v/>
      </c>
      <c r="N175" s="37" t="str">
        <f t="shared" si="11"/>
        <v/>
      </c>
      <c r="O175" s="37" t="str">
        <f>IF(OR($D175="",$F175=""),"",$F175*IFERROR(VLOOKUP($D175,Maestro_SKU!$A$2:$P$500,12,FALSE),1))</f>
        <v/>
      </c>
    </row>
    <row r="176" spans="1:15" x14ac:dyDescent="0.35">
      <c r="A176" s="25"/>
      <c r="B176" s="24"/>
      <c r="C176" s="24"/>
      <c r="D176" s="24"/>
      <c r="E176" s="28" t="str">
        <f>IFERROR(VLOOKUP(D176,Maestro_SKU!$A$2:$P$500,2,FALSE),"")</f>
        <v/>
      </c>
      <c r="F176" s="24"/>
      <c r="G176" s="30"/>
      <c r="H176" s="24"/>
      <c r="I176" s="24"/>
      <c r="J176" s="24"/>
      <c r="K176" s="37" t="str">
        <f t="shared" si="8"/>
        <v/>
      </c>
      <c r="L176" s="37" t="str">
        <f t="shared" si="9"/>
        <v/>
      </c>
      <c r="M176" s="37" t="str">
        <f t="shared" si="10"/>
        <v/>
      </c>
      <c r="N176" s="37" t="str">
        <f t="shared" si="11"/>
        <v/>
      </c>
      <c r="O176" s="37" t="str">
        <f>IF(OR($D176="",$F176=""),"",$F176*IFERROR(VLOOKUP($D176,Maestro_SKU!$A$2:$P$500,12,FALSE),1))</f>
        <v/>
      </c>
    </row>
    <row r="177" spans="1:15" x14ac:dyDescent="0.35">
      <c r="A177" s="25"/>
      <c r="B177" s="24"/>
      <c r="C177" s="24"/>
      <c r="D177" s="24"/>
      <c r="E177" s="28" t="str">
        <f>IFERROR(VLOOKUP(D177,Maestro_SKU!$A$2:$P$500,2,FALSE),"")</f>
        <v/>
      </c>
      <c r="F177" s="24"/>
      <c r="G177" s="30"/>
      <c r="H177" s="24"/>
      <c r="I177" s="24"/>
      <c r="J177" s="24"/>
      <c r="K177" s="37" t="str">
        <f t="shared" si="8"/>
        <v/>
      </c>
      <c r="L177" s="37" t="str">
        <f t="shared" si="9"/>
        <v/>
      </c>
      <c r="M177" s="37" t="str">
        <f t="shared" si="10"/>
        <v/>
      </c>
      <c r="N177" s="37" t="str">
        <f t="shared" si="11"/>
        <v/>
      </c>
      <c r="O177" s="37" t="str">
        <f>IF(OR($D177="",$F177=""),"",$F177*IFERROR(VLOOKUP($D177,Maestro_SKU!$A$2:$P$500,12,FALSE),1))</f>
        <v/>
      </c>
    </row>
    <row r="178" spans="1:15" x14ac:dyDescent="0.35">
      <c r="A178" s="25"/>
      <c r="B178" s="24"/>
      <c r="C178" s="24"/>
      <c r="D178" s="24"/>
      <c r="E178" s="28" t="str">
        <f>IFERROR(VLOOKUP(D178,Maestro_SKU!$A$2:$P$500,2,FALSE),"")</f>
        <v/>
      </c>
      <c r="F178" s="24"/>
      <c r="G178" s="30"/>
      <c r="H178" s="24"/>
      <c r="I178" s="24"/>
      <c r="J178" s="24"/>
      <c r="K178" s="37" t="str">
        <f t="shared" si="8"/>
        <v/>
      </c>
      <c r="L178" s="37" t="str">
        <f t="shared" si="9"/>
        <v/>
      </c>
      <c r="M178" s="37" t="str">
        <f t="shared" si="10"/>
        <v/>
      </c>
      <c r="N178" s="37" t="str">
        <f t="shared" si="11"/>
        <v/>
      </c>
      <c r="O178" s="37" t="str">
        <f>IF(OR($D178="",$F178=""),"",$F178*IFERROR(VLOOKUP($D178,Maestro_SKU!$A$2:$P$500,12,FALSE),1))</f>
        <v/>
      </c>
    </row>
    <row r="179" spans="1:15" x14ac:dyDescent="0.35">
      <c r="A179" s="25"/>
      <c r="B179" s="24"/>
      <c r="C179" s="24"/>
      <c r="D179" s="24"/>
      <c r="E179" s="28" t="str">
        <f>IFERROR(VLOOKUP(D179,Maestro_SKU!$A$2:$P$500,2,FALSE),"")</f>
        <v/>
      </c>
      <c r="F179" s="24"/>
      <c r="G179" s="30"/>
      <c r="H179" s="24"/>
      <c r="I179" s="24"/>
      <c r="J179" s="24"/>
      <c r="K179" s="37" t="str">
        <f t="shared" si="8"/>
        <v/>
      </c>
      <c r="L179" s="37" t="str">
        <f t="shared" si="9"/>
        <v/>
      </c>
      <c r="M179" s="37" t="str">
        <f t="shared" si="10"/>
        <v/>
      </c>
      <c r="N179" s="37" t="str">
        <f t="shared" si="11"/>
        <v/>
      </c>
      <c r="O179" s="37" t="str">
        <f>IF(OR($D179="",$F179=""),"",$F179*IFERROR(VLOOKUP($D179,Maestro_SKU!$A$2:$P$500,12,FALSE),1))</f>
        <v/>
      </c>
    </row>
    <row r="180" spans="1:15" x14ac:dyDescent="0.35">
      <c r="A180" s="25"/>
      <c r="B180" s="24"/>
      <c r="C180" s="24"/>
      <c r="D180" s="24"/>
      <c r="E180" s="28" t="str">
        <f>IFERROR(VLOOKUP(D180,Maestro_SKU!$A$2:$P$500,2,FALSE),"")</f>
        <v/>
      </c>
      <c r="F180" s="24"/>
      <c r="G180" s="30"/>
      <c r="H180" s="24"/>
      <c r="I180" s="24"/>
      <c r="J180" s="24"/>
      <c r="K180" s="37" t="str">
        <f t="shared" si="8"/>
        <v/>
      </c>
      <c r="L180" s="37" t="str">
        <f t="shared" si="9"/>
        <v/>
      </c>
      <c r="M180" s="37" t="str">
        <f t="shared" si="10"/>
        <v/>
      </c>
      <c r="N180" s="37" t="str">
        <f t="shared" si="11"/>
        <v/>
      </c>
      <c r="O180" s="37" t="str">
        <f>IF(OR($D180="",$F180=""),"",$F180*IFERROR(VLOOKUP($D180,Maestro_SKU!$A$2:$P$500,12,FALSE),1))</f>
        <v/>
      </c>
    </row>
    <row r="181" spans="1:15" x14ac:dyDescent="0.35">
      <c r="A181" s="25"/>
      <c r="B181" s="24"/>
      <c r="C181" s="24"/>
      <c r="D181" s="24"/>
      <c r="E181" s="28" t="str">
        <f>IFERROR(VLOOKUP(D181,Maestro_SKU!$A$2:$P$500,2,FALSE),"")</f>
        <v/>
      </c>
      <c r="F181" s="24"/>
      <c r="G181" s="30"/>
      <c r="H181" s="24"/>
      <c r="I181" s="24"/>
      <c r="J181" s="24"/>
      <c r="K181" s="37" t="str">
        <f t="shared" si="8"/>
        <v/>
      </c>
      <c r="L181" s="37" t="str">
        <f t="shared" si="9"/>
        <v/>
      </c>
      <c r="M181" s="37" t="str">
        <f t="shared" si="10"/>
        <v/>
      </c>
      <c r="N181" s="37" t="str">
        <f t="shared" si="11"/>
        <v/>
      </c>
      <c r="O181" s="37" t="str">
        <f>IF(OR($D181="",$F181=""),"",$F181*IFERROR(VLOOKUP($D181,Maestro_SKU!$A$2:$P$500,12,FALSE),1))</f>
        <v/>
      </c>
    </row>
    <row r="182" spans="1:15" x14ac:dyDescent="0.35">
      <c r="A182" s="25"/>
      <c r="B182" s="24"/>
      <c r="C182" s="24"/>
      <c r="D182" s="24"/>
      <c r="E182" s="28" t="str">
        <f>IFERROR(VLOOKUP(D182,Maestro_SKU!$A$2:$P$500,2,FALSE),"")</f>
        <v/>
      </c>
      <c r="F182" s="24"/>
      <c r="G182" s="30"/>
      <c r="H182" s="24"/>
      <c r="I182" s="24"/>
      <c r="J182" s="24"/>
      <c r="K182" s="37" t="str">
        <f t="shared" si="8"/>
        <v/>
      </c>
      <c r="L182" s="37" t="str">
        <f t="shared" si="9"/>
        <v/>
      </c>
      <c r="M182" s="37" t="str">
        <f t="shared" si="10"/>
        <v/>
      </c>
      <c r="N182" s="37" t="str">
        <f t="shared" si="11"/>
        <v/>
      </c>
      <c r="O182" s="37" t="str">
        <f>IF(OR($D182="",$F182=""),"",$F182*IFERROR(VLOOKUP($D182,Maestro_SKU!$A$2:$P$500,12,FALSE),1))</f>
        <v/>
      </c>
    </row>
    <row r="183" spans="1:15" x14ac:dyDescent="0.35">
      <c r="A183" s="25"/>
      <c r="B183" s="24"/>
      <c r="C183" s="24"/>
      <c r="D183" s="24"/>
      <c r="E183" s="28" t="str">
        <f>IFERROR(VLOOKUP(D183,Maestro_SKU!$A$2:$P$500,2,FALSE),"")</f>
        <v/>
      </c>
      <c r="F183" s="24"/>
      <c r="G183" s="30"/>
      <c r="H183" s="24"/>
      <c r="I183" s="24"/>
      <c r="J183" s="24"/>
      <c r="K183" s="37" t="str">
        <f t="shared" si="8"/>
        <v/>
      </c>
      <c r="L183" s="37" t="str">
        <f t="shared" si="9"/>
        <v/>
      </c>
      <c r="M183" s="37" t="str">
        <f t="shared" si="10"/>
        <v/>
      </c>
      <c r="N183" s="37" t="str">
        <f t="shared" si="11"/>
        <v/>
      </c>
      <c r="O183" s="37" t="str">
        <f>IF(OR($D183="",$F183=""),"",$F183*IFERROR(VLOOKUP($D183,Maestro_SKU!$A$2:$P$500,12,FALSE),1))</f>
        <v/>
      </c>
    </row>
    <row r="184" spans="1:15" x14ac:dyDescent="0.35">
      <c r="A184" s="25"/>
      <c r="B184" s="24"/>
      <c r="C184" s="24"/>
      <c r="D184" s="24"/>
      <c r="E184" s="28" t="str">
        <f>IFERROR(VLOOKUP(D184,Maestro_SKU!$A$2:$P$500,2,FALSE),"")</f>
        <v/>
      </c>
      <c r="F184" s="24"/>
      <c r="G184" s="30"/>
      <c r="H184" s="24"/>
      <c r="I184" s="24"/>
      <c r="J184" s="24"/>
      <c r="K184" s="37" t="str">
        <f t="shared" si="8"/>
        <v/>
      </c>
      <c r="L184" s="37" t="str">
        <f t="shared" si="9"/>
        <v/>
      </c>
      <c r="M184" s="37" t="str">
        <f t="shared" si="10"/>
        <v/>
      </c>
      <c r="N184" s="37" t="str">
        <f t="shared" si="11"/>
        <v/>
      </c>
      <c r="O184" s="37" t="str">
        <f>IF(OR($D184="",$F184=""),"",$F184*IFERROR(VLOOKUP($D184,Maestro_SKU!$A$2:$P$500,12,FALSE),1))</f>
        <v/>
      </c>
    </row>
    <row r="185" spans="1:15" x14ac:dyDescent="0.35">
      <c r="A185" s="25"/>
      <c r="B185" s="24"/>
      <c r="C185" s="24"/>
      <c r="D185" s="24"/>
      <c r="E185" s="28" t="str">
        <f>IFERROR(VLOOKUP(D185,Maestro_SKU!$A$2:$P$500,2,FALSE),"")</f>
        <v/>
      </c>
      <c r="F185" s="24"/>
      <c r="G185" s="30"/>
      <c r="H185" s="24"/>
      <c r="I185" s="24"/>
      <c r="J185" s="24"/>
      <c r="K185" s="37" t="str">
        <f t="shared" si="8"/>
        <v/>
      </c>
      <c r="L185" s="37" t="str">
        <f t="shared" si="9"/>
        <v/>
      </c>
      <c r="M185" s="37" t="str">
        <f t="shared" si="10"/>
        <v/>
      </c>
      <c r="N185" s="37" t="str">
        <f t="shared" si="11"/>
        <v/>
      </c>
      <c r="O185" s="37" t="str">
        <f>IF(OR($D185="",$F185=""),"",$F185*IFERROR(VLOOKUP($D185,Maestro_SKU!$A$2:$P$500,12,FALSE),1))</f>
        <v/>
      </c>
    </row>
    <row r="186" spans="1:15" x14ac:dyDescent="0.35">
      <c r="A186" s="25"/>
      <c r="B186" s="24"/>
      <c r="C186" s="24"/>
      <c r="D186" s="24"/>
      <c r="E186" s="28" t="str">
        <f>IFERROR(VLOOKUP(D186,Maestro_SKU!$A$2:$P$500,2,FALSE),"")</f>
        <v/>
      </c>
      <c r="F186" s="24"/>
      <c r="G186" s="30"/>
      <c r="H186" s="24"/>
      <c r="I186" s="24"/>
      <c r="J186" s="24"/>
      <c r="K186" s="37" t="str">
        <f t="shared" si="8"/>
        <v/>
      </c>
      <c r="L186" s="37" t="str">
        <f t="shared" si="9"/>
        <v/>
      </c>
      <c r="M186" s="37" t="str">
        <f t="shared" si="10"/>
        <v/>
      </c>
      <c r="N186" s="37" t="str">
        <f t="shared" si="11"/>
        <v/>
      </c>
      <c r="O186" s="37" t="str">
        <f>IF(OR($D186="",$F186=""),"",$F186*IFERROR(VLOOKUP($D186,Maestro_SKU!$A$2:$P$500,12,FALSE),1))</f>
        <v/>
      </c>
    </row>
    <row r="187" spans="1:15" x14ac:dyDescent="0.35">
      <c r="A187" s="25"/>
      <c r="B187" s="24"/>
      <c r="C187" s="24"/>
      <c r="D187" s="24"/>
      <c r="E187" s="28" t="str">
        <f>IFERROR(VLOOKUP(D187,Maestro_SKU!$A$2:$P$500,2,FALSE),"")</f>
        <v/>
      </c>
      <c r="F187" s="24"/>
      <c r="G187" s="30"/>
      <c r="H187" s="24"/>
      <c r="I187" s="24"/>
      <c r="J187" s="24"/>
      <c r="K187" s="37" t="str">
        <f t="shared" si="8"/>
        <v/>
      </c>
      <c r="L187" s="37" t="str">
        <f t="shared" si="9"/>
        <v/>
      </c>
      <c r="M187" s="37" t="str">
        <f t="shared" si="10"/>
        <v/>
      </c>
      <c r="N187" s="37" t="str">
        <f t="shared" si="11"/>
        <v/>
      </c>
      <c r="O187" s="37" t="str">
        <f>IF(OR($D187="",$F187=""),"",$F187*IFERROR(VLOOKUP($D187,Maestro_SKU!$A$2:$P$500,12,FALSE),1))</f>
        <v/>
      </c>
    </row>
    <row r="188" spans="1:15" x14ac:dyDescent="0.35">
      <c r="A188" s="25"/>
      <c r="B188" s="24"/>
      <c r="C188" s="24"/>
      <c r="D188" s="24"/>
      <c r="E188" s="28" t="str">
        <f>IFERROR(VLOOKUP(D188,Maestro_SKU!$A$2:$P$500,2,FALSE),"")</f>
        <v/>
      </c>
      <c r="F188" s="24"/>
      <c r="G188" s="30"/>
      <c r="H188" s="24"/>
      <c r="I188" s="24"/>
      <c r="J188" s="24"/>
      <c r="K188" s="37" t="str">
        <f t="shared" si="8"/>
        <v/>
      </c>
      <c r="L188" s="37" t="str">
        <f t="shared" si="9"/>
        <v/>
      </c>
      <c r="M188" s="37" t="str">
        <f t="shared" si="10"/>
        <v/>
      </c>
      <c r="N188" s="37" t="str">
        <f t="shared" si="11"/>
        <v/>
      </c>
      <c r="O188" s="37" t="str">
        <f>IF(OR($D188="",$F188=""),"",$F188*IFERROR(VLOOKUP($D188,Maestro_SKU!$A$2:$P$500,12,FALSE),1))</f>
        <v/>
      </c>
    </row>
    <row r="189" spans="1:15" x14ac:dyDescent="0.35">
      <c r="A189" s="25"/>
      <c r="B189" s="24"/>
      <c r="C189" s="24"/>
      <c r="D189" s="24"/>
      <c r="E189" s="28" t="str">
        <f>IFERROR(VLOOKUP(D189,Maestro_SKU!$A$2:$P$500,2,FALSE),"")</f>
        <v/>
      </c>
      <c r="F189" s="24"/>
      <c r="G189" s="30"/>
      <c r="H189" s="24"/>
      <c r="I189" s="24"/>
      <c r="J189" s="24"/>
      <c r="K189" s="37" t="str">
        <f t="shared" si="8"/>
        <v/>
      </c>
      <c r="L189" s="37" t="str">
        <f t="shared" si="9"/>
        <v/>
      </c>
      <c r="M189" s="37" t="str">
        <f t="shared" si="10"/>
        <v/>
      </c>
      <c r="N189" s="37" t="str">
        <f t="shared" si="11"/>
        <v/>
      </c>
      <c r="O189" s="37" t="str">
        <f>IF(OR($D189="",$F189=""),"",$F189*IFERROR(VLOOKUP($D189,Maestro_SKU!$A$2:$P$500,12,FALSE),1))</f>
        <v/>
      </c>
    </row>
    <row r="190" spans="1:15" x14ac:dyDescent="0.35">
      <c r="A190" s="25"/>
      <c r="B190" s="24"/>
      <c r="C190" s="24"/>
      <c r="D190" s="24"/>
      <c r="E190" s="28" t="str">
        <f>IFERROR(VLOOKUP(D190,Maestro_SKU!$A$2:$P$500,2,FALSE),"")</f>
        <v/>
      </c>
      <c r="F190" s="24"/>
      <c r="G190" s="30"/>
      <c r="H190" s="24"/>
      <c r="I190" s="24"/>
      <c r="J190" s="24"/>
      <c r="K190" s="37" t="str">
        <f t="shared" si="8"/>
        <v/>
      </c>
      <c r="L190" s="37" t="str">
        <f t="shared" si="9"/>
        <v/>
      </c>
      <c r="M190" s="37" t="str">
        <f t="shared" si="10"/>
        <v/>
      </c>
      <c r="N190" s="37" t="str">
        <f t="shared" si="11"/>
        <v/>
      </c>
      <c r="O190" s="37" t="str">
        <f>IF(OR($D190="",$F190=""),"",$F190*IFERROR(VLOOKUP($D190,Maestro_SKU!$A$2:$P$500,12,FALSE),1))</f>
        <v/>
      </c>
    </row>
    <row r="191" spans="1:15" x14ac:dyDescent="0.35">
      <c r="A191" s="25"/>
      <c r="B191" s="24"/>
      <c r="C191" s="24"/>
      <c r="D191" s="24"/>
      <c r="E191" s="28" t="str">
        <f>IFERROR(VLOOKUP(D191,Maestro_SKU!$A$2:$P$500,2,FALSE),"")</f>
        <v/>
      </c>
      <c r="F191" s="24"/>
      <c r="G191" s="30"/>
      <c r="H191" s="24"/>
      <c r="I191" s="24"/>
      <c r="J191" s="24"/>
      <c r="K191" s="37" t="str">
        <f t="shared" si="8"/>
        <v/>
      </c>
      <c r="L191" s="37" t="str">
        <f t="shared" si="9"/>
        <v/>
      </c>
      <c r="M191" s="37" t="str">
        <f t="shared" si="10"/>
        <v/>
      </c>
      <c r="N191" s="37" t="str">
        <f t="shared" si="11"/>
        <v/>
      </c>
      <c r="O191" s="37" t="str">
        <f>IF(OR($D191="",$F191=""),"",$F191*IFERROR(VLOOKUP($D191,Maestro_SKU!$A$2:$P$500,12,FALSE),1))</f>
        <v/>
      </c>
    </row>
    <row r="192" spans="1:15" x14ac:dyDescent="0.35">
      <c r="A192" s="25"/>
      <c r="B192" s="24"/>
      <c r="C192" s="24"/>
      <c r="D192" s="24"/>
      <c r="E192" s="28" t="str">
        <f>IFERROR(VLOOKUP(D192,Maestro_SKU!$A$2:$P$500,2,FALSE),"")</f>
        <v/>
      </c>
      <c r="F192" s="24"/>
      <c r="G192" s="30"/>
      <c r="H192" s="24"/>
      <c r="I192" s="24"/>
      <c r="J192" s="24"/>
      <c r="K192" s="37" t="str">
        <f t="shared" si="8"/>
        <v/>
      </c>
      <c r="L192" s="37" t="str">
        <f t="shared" si="9"/>
        <v/>
      </c>
      <c r="M192" s="37" t="str">
        <f t="shared" si="10"/>
        <v/>
      </c>
      <c r="N192" s="37" t="str">
        <f t="shared" si="11"/>
        <v/>
      </c>
      <c r="O192" s="37" t="str">
        <f>IF(OR($D192="",$F192=""),"",$F192*IFERROR(VLOOKUP($D192,Maestro_SKU!$A$2:$P$500,12,FALSE),1))</f>
        <v/>
      </c>
    </row>
    <row r="193" spans="1:15" x14ac:dyDescent="0.35">
      <c r="A193" s="25"/>
      <c r="B193" s="24"/>
      <c r="C193" s="24"/>
      <c r="D193" s="24"/>
      <c r="E193" s="28" t="str">
        <f>IFERROR(VLOOKUP(D193,Maestro_SKU!$A$2:$P$500,2,FALSE),"")</f>
        <v/>
      </c>
      <c r="F193" s="24"/>
      <c r="G193" s="30"/>
      <c r="H193" s="24"/>
      <c r="I193" s="24"/>
      <c r="J193" s="24"/>
      <c r="K193" s="37" t="str">
        <f t="shared" si="8"/>
        <v/>
      </c>
      <c r="L193" s="37" t="str">
        <f t="shared" si="9"/>
        <v/>
      </c>
      <c r="M193" s="37" t="str">
        <f t="shared" si="10"/>
        <v/>
      </c>
      <c r="N193" s="37" t="str">
        <f t="shared" si="11"/>
        <v/>
      </c>
      <c r="O193" s="37" t="str">
        <f>IF(OR($D193="",$F193=""),"",$F193*IFERROR(VLOOKUP($D193,Maestro_SKU!$A$2:$P$500,12,FALSE),1))</f>
        <v/>
      </c>
    </row>
    <row r="194" spans="1:15" x14ac:dyDescent="0.35">
      <c r="A194" s="25"/>
      <c r="B194" s="24"/>
      <c r="C194" s="24"/>
      <c r="D194" s="24"/>
      <c r="E194" s="28" t="str">
        <f>IFERROR(VLOOKUP(D194,Maestro_SKU!$A$2:$P$500,2,FALSE),"")</f>
        <v/>
      </c>
      <c r="F194" s="24"/>
      <c r="G194" s="30"/>
      <c r="H194" s="24"/>
      <c r="I194" s="24"/>
      <c r="J194" s="24"/>
      <c r="K194" s="37" t="str">
        <f t="shared" ref="K194:K257" si="12">IF($A194="","",YEAR($A194))</f>
        <v/>
      </c>
      <c r="L194" s="37" t="str">
        <f t="shared" ref="L194:L257" si="13">IF($A194="","",MONTH($A194))</f>
        <v/>
      </c>
      <c r="M194" s="37" t="str">
        <f t="shared" ref="M194:M257" si="14">IF($A194="","",DAY($A194))</f>
        <v/>
      </c>
      <c r="N194" s="37" t="str">
        <f t="shared" ref="N194:N257" si="15">IF($A194="","",YEAR($A194)&amp;"-"&amp;TEXT(MONTH($A194),"00"))</f>
        <v/>
      </c>
      <c r="O194" s="37" t="str">
        <f>IF(OR($D194="",$F194=""),"",$F194*IFERROR(VLOOKUP($D194,Maestro_SKU!$A$2:$P$500,12,FALSE),1))</f>
        <v/>
      </c>
    </row>
    <row r="195" spans="1:15" x14ac:dyDescent="0.35">
      <c r="A195" s="25"/>
      <c r="B195" s="24"/>
      <c r="C195" s="24"/>
      <c r="D195" s="24"/>
      <c r="E195" s="28" t="str">
        <f>IFERROR(VLOOKUP(D195,Maestro_SKU!$A$2:$P$500,2,FALSE),"")</f>
        <v/>
      </c>
      <c r="F195" s="24"/>
      <c r="G195" s="30"/>
      <c r="H195" s="24"/>
      <c r="I195" s="24"/>
      <c r="J195" s="24"/>
      <c r="K195" s="37" t="str">
        <f t="shared" si="12"/>
        <v/>
      </c>
      <c r="L195" s="37" t="str">
        <f t="shared" si="13"/>
        <v/>
      </c>
      <c r="M195" s="37" t="str">
        <f t="shared" si="14"/>
        <v/>
      </c>
      <c r="N195" s="37" t="str">
        <f t="shared" si="15"/>
        <v/>
      </c>
      <c r="O195" s="37" t="str">
        <f>IF(OR($D195="",$F195=""),"",$F195*IFERROR(VLOOKUP($D195,Maestro_SKU!$A$2:$P$500,12,FALSE),1))</f>
        <v/>
      </c>
    </row>
    <row r="196" spans="1:15" x14ac:dyDescent="0.35">
      <c r="A196" s="25"/>
      <c r="B196" s="24"/>
      <c r="C196" s="24"/>
      <c r="D196" s="24"/>
      <c r="E196" s="28" t="str">
        <f>IFERROR(VLOOKUP(D196,Maestro_SKU!$A$2:$P$500,2,FALSE),"")</f>
        <v/>
      </c>
      <c r="F196" s="24"/>
      <c r="G196" s="30"/>
      <c r="H196" s="24"/>
      <c r="I196" s="24"/>
      <c r="J196" s="24"/>
      <c r="K196" s="37" t="str">
        <f t="shared" si="12"/>
        <v/>
      </c>
      <c r="L196" s="37" t="str">
        <f t="shared" si="13"/>
        <v/>
      </c>
      <c r="M196" s="37" t="str">
        <f t="shared" si="14"/>
        <v/>
      </c>
      <c r="N196" s="37" t="str">
        <f t="shared" si="15"/>
        <v/>
      </c>
      <c r="O196" s="37" t="str">
        <f>IF(OR($D196="",$F196=""),"",$F196*IFERROR(VLOOKUP($D196,Maestro_SKU!$A$2:$P$500,12,FALSE),1))</f>
        <v/>
      </c>
    </row>
    <row r="197" spans="1:15" x14ac:dyDescent="0.35">
      <c r="A197" s="25"/>
      <c r="B197" s="24"/>
      <c r="C197" s="24"/>
      <c r="D197" s="24"/>
      <c r="E197" s="28" t="str">
        <f>IFERROR(VLOOKUP(D197,Maestro_SKU!$A$2:$P$500,2,FALSE),"")</f>
        <v/>
      </c>
      <c r="F197" s="24"/>
      <c r="G197" s="30"/>
      <c r="H197" s="24"/>
      <c r="I197" s="24"/>
      <c r="J197" s="24"/>
      <c r="K197" s="37" t="str">
        <f t="shared" si="12"/>
        <v/>
      </c>
      <c r="L197" s="37" t="str">
        <f t="shared" si="13"/>
        <v/>
      </c>
      <c r="M197" s="37" t="str">
        <f t="shared" si="14"/>
        <v/>
      </c>
      <c r="N197" s="37" t="str">
        <f t="shared" si="15"/>
        <v/>
      </c>
      <c r="O197" s="37" t="str">
        <f>IF(OR($D197="",$F197=""),"",$F197*IFERROR(VLOOKUP($D197,Maestro_SKU!$A$2:$P$500,12,FALSE),1))</f>
        <v/>
      </c>
    </row>
    <row r="198" spans="1:15" x14ac:dyDescent="0.35">
      <c r="A198" s="25"/>
      <c r="B198" s="24"/>
      <c r="C198" s="24"/>
      <c r="D198" s="24"/>
      <c r="E198" s="28" t="str">
        <f>IFERROR(VLOOKUP(D198,Maestro_SKU!$A$2:$P$500,2,FALSE),"")</f>
        <v/>
      </c>
      <c r="F198" s="24"/>
      <c r="G198" s="30"/>
      <c r="H198" s="24"/>
      <c r="I198" s="24"/>
      <c r="J198" s="24"/>
      <c r="K198" s="37" t="str">
        <f t="shared" si="12"/>
        <v/>
      </c>
      <c r="L198" s="37" t="str">
        <f t="shared" si="13"/>
        <v/>
      </c>
      <c r="M198" s="37" t="str">
        <f t="shared" si="14"/>
        <v/>
      </c>
      <c r="N198" s="37" t="str">
        <f t="shared" si="15"/>
        <v/>
      </c>
      <c r="O198" s="37" t="str">
        <f>IF(OR($D198="",$F198=""),"",$F198*IFERROR(VLOOKUP($D198,Maestro_SKU!$A$2:$P$500,12,FALSE),1))</f>
        <v/>
      </c>
    </row>
    <row r="199" spans="1:15" x14ac:dyDescent="0.35">
      <c r="A199" s="25"/>
      <c r="B199" s="24"/>
      <c r="C199" s="24"/>
      <c r="D199" s="24"/>
      <c r="E199" s="28" t="str">
        <f>IFERROR(VLOOKUP(D199,Maestro_SKU!$A$2:$P$500,2,FALSE),"")</f>
        <v/>
      </c>
      <c r="F199" s="24"/>
      <c r="G199" s="30"/>
      <c r="H199" s="24"/>
      <c r="I199" s="24"/>
      <c r="J199" s="24"/>
      <c r="K199" s="37" t="str">
        <f t="shared" si="12"/>
        <v/>
      </c>
      <c r="L199" s="37" t="str">
        <f t="shared" si="13"/>
        <v/>
      </c>
      <c r="M199" s="37" t="str">
        <f t="shared" si="14"/>
        <v/>
      </c>
      <c r="N199" s="37" t="str">
        <f t="shared" si="15"/>
        <v/>
      </c>
      <c r="O199" s="37" t="str">
        <f>IF(OR($D199="",$F199=""),"",$F199*IFERROR(VLOOKUP($D199,Maestro_SKU!$A$2:$P$500,12,FALSE),1))</f>
        <v/>
      </c>
    </row>
    <row r="200" spans="1:15" x14ac:dyDescent="0.35">
      <c r="A200" s="25"/>
      <c r="B200" s="24"/>
      <c r="C200" s="24"/>
      <c r="D200" s="24"/>
      <c r="E200" s="28" t="str">
        <f>IFERROR(VLOOKUP(D200,Maestro_SKU!$A$2:$P$500,2,FALSE),"")</f>
        <v/>
      </c>
      <c r="F200" s="24"/>
      <c r="G200" s="30"/>
      <c r="H200" s="24"/>
      <c r="I200" s="24"/>
      <c r="J200" s="24"/>
      <c r="K200" s="37" t="str">
        <f t="shared" si="12"/>
        <v/>
      </c>
      <c r="L200" s="37" t="str">
        <f t="shared" si="13"/>
        <v/>
      </c>
      <c r="M200" s="37" t="str">
        <f t="shared" si="14"/>
        <v/>
      </c>
      <c r="N200" s="37" t="str">
        <f t="shared" si="15"/>
        <v/>
      </c>
      <c r="O200" s="37" t="str">
        <f>IF(OR($D200="",$F200=""),"",$F200*IFERROR(VLOOKUP($D200,Maestro_SKU!$A$2:$P$500,12,FALSE),1))</f>
        <v/>
      </c>
    </row>
    <row r="201" spans="1:15" x14ac:dyDescent="0.35">
      <c r="A201" s="25"/>
      <c r="B201" s="24"/>
      <c r="C201" s="24"/>
      <c r="D201" s="24"/>
      <c r="E201" s="28" t="str">
        <f>IFERROR(VLOOKUP(D201,Maestro_SKU!$A$2:$P$500,2,FALSE),"")</f>
        <v/>
      </c>
      <c r="F201" s="24"/>
      <c r="G201" s="30"/>
      <c r="H201" s="24"/>
      <c r="I201" s="24"/>
      <c r="J201" s="24"/>
      <c r="K201" s="37" t="str">
        <f t="shared" si="12"/>
        <v/>
      </c>
      <c r="L201" s="37" t="str">
        <f t="shared" si="13"/>
        <v/>
      </c>
      <c r="M201" s="37" t="str">
        <f t="shared" si="14"/>
        <v/>
      </c>
      <c r="N201" s="37" t="str">
        <f t="shared" si="15"/>
        <v/>
      </c>
      <c r="O201" s="37" t="str">
        <f>IF(OR($D201="",$F201=""),"",$F201*IFERROR(VLOOKUP($D201,Maestro_SKU!$A$2:$P$500,12,FALSE),1))</f>
        <v/>
      </c>
    </row>
    <row r="202" spans="1:15" x14ac:dyDescent="0.35">
      <c r="A202" s="25"/>
      <c r="B202" s="24"/>
      <c r="C202" s="24"/>
      <c r="D202" s="24"/>
      <c r="E202" s="28" t="str">
        <f>IFERROR(VLOOKUP(D202,Maestro_SKU!$A$2:$P$500,2,FALSE),"")</f>
        <v/>
      </c>
      <c r="F202" s="24"/>
      <c r="G202" s="30"/>
      <c r="H202" s="24"/>
      <c r="I202" s="24"/>
      <c r="J202" s="24"/>
      <c r="K202" s="37" t="str">
        <f t="shared" si="12"/>
        <v/>
      </c>
      <c r="L202" s="37" t="str">
        <f t="shared" si="13"/>
        <v/>
      </c>
      <c r="M202" s="37" t="str">
        <f t="shared" si="14"/>
        <v/>
      </c>
      <c r="N202" s="37" t="str">
        <f t="shared" si="15"/>
        <v/>
      </c>
      <c r="O202" s="37" t="str">
        <f>IF(OR($D202="",$F202=""),"",$F202*IFERROR(VLOOKUP($D202,Maestro_SKU!$A$2:$P$500,12,FALSE),1))</f>
        <v/>
      </c>
    </row>
    <row r="203" spans="1:15" x14ac:dyDescent="0.35">
      <c r="A203" s="25"/>
      <c r="B203" s="24"/>
      <c r="C203" s="24"/>
      <c r="D203" s="24"/>
      <c r="E203" s="28" t="str">
        <f>IFERROR(VLOOKUP(D203,Maestro_SKU!$A$2:$P$500,2,FALSE),"")</f>
        <v/>
      </c>
      <c r="F203" s="24"/>
      <c r="G203" s="30"/>
      <c r="H203" s="24"/>
      <c r="I203" s="24"/>
      <c r="J203" s="24"/>
      <c r="K203" s="37" t="str">
        <f t="shared" si="12"/>
        <v/>
      </c>
      <c r="L203" s="37" t="str">
        <f t="shared" si="13"/>
        <v/>
      </c>
      <c r="M203" s="37" t="str">
        <f t="shared" si="14"/>
        <v/>
      </c>
      <c r="N203" s="37" t="str">
        <f t="shared" si="15"/>
        <v/>
      </c>
      <c r="O203" s="37" t="str">
        <f>IF(OR($D203="",$F203=""),"",$F203*IFERROR(VLOOKUP($D203,Maestro_SKU!$A$2:$P$500,12,FALSE),1))</f>
        <v/>
      </c>
    </row>
    <row r="204" spans="1:15" x14ac:dyDescent="0.35">
      <c r="A204" s="25"/>
      <c r="B204" s="24"/>
      <c r="C204" s="24"/>
      <c r="D204" s="24"/>
      <c r="E204" s="28" t="str">
        <f>IFERROR(VLOOKUP(D204,Maestro_SKU!$A$2:$P$500,2,FALSE),"")</f>
        <v/>
      </c>
      <c r="F204" s="24"/>
      <c r="G204" s="30"/>
      <c r="H204" s="24"/>
      <c r="I204" s="24"/>
      <c r="J204" s="24"/>
      <c r="K204" s="37" t="str">
        <f t="shared" si="12"/>
        <v/>
      </c>
      <c r="L204" s="37" t="str">
        <f t="shared" si="13"/>
        <v/>
      </c>
      <c r="M204" s="37" t="str">
        <f t="shared" si="14"/>
        <v/>
      </c>
      <c r="N204" s="37" t="str">
        <f t="shared" si="15"/>
        <v/>
      </c>
      <c r="O204" s="37" t="str">
        <f>IF(OR($D204="",$F204=""),"",$F204*IFERROR(VLOOKUP($D204,Maestro_SKU!$A$2:$P$500,12,FALSE),1))</f>
        <v/>
      </c>
    </row>
    <row r="205" spans="1:15" x14ac:dyDescent="0.35">
      <c r="A205" s="25"/>
      <c r="B205" s="24"/>
      <c r="C205" s="24"/>
      <c r="D205" s="24"/>
      <c r="E205" s="28" t="str">
        <f>IFERROR(VLOOKUP(D205,Maestro_SKU!$A$2:$P$500,2,FALSE),"")</f>
        <v/>
      </c>
      <c r="F205" s="24"/>
      <c r="G205" s="30"/>
      <c r="H205" s="24"/>
      <c r="I205" s="24"/>
      <c r="J205" s="24"/>
      <c r="K205" s="37" t="str">
        <f t="shared" si="12"/>
        <v/>
      </c>
      <c r="L205" s="37" t="str">
        <f t="shared" si="13"/>
        <v/>
      </c>
      <c r="M205" s="37" t="str">
        <f t="shared" si="14"/>
        <v/>
      </c>
      <c r="N205" s="37" t="str">
        <f t="shared" si="15"/>
        <v/>
      </c>
      <c r="O205" s="37" t="str">
        <f>IF(OR($D205="",$F205=""),"",$F205*IFERROR(VLOOKUP($D205,Maestro_SKU!$A$2:$P$500,12,FALSE),1))</f>
        <v/>
      </c>
    </row>
    <row r="206" spans="1:15" x14ac:dyDescent="0.35">
      <c r="A206" s="25"/>
      <c r="B206" s="24"/>
      <c r="C206" s="24"/>
      <c r="D206" s="24"/>
      <c r="E206" s="28" t="str">
        <f>IFERROR(VLOOKUP(D206,Maestro_SKU!$A$2:$P$500,2,FALSE),"")</f>
        <v/>
      </c>
      <c r="F206" s="24"/>
      <c r="G206" s="30"/>
      <c r="H206" s="24"/>
      <c r="I206" s="24"/>
      <c r="J206" s="24"/>
      <c r="K206" s="37" t="str">
        <f t="shared" si="12"/>
        <v/>
      </c>
      <c r="L206" s="37" t="str">
        <f t="shared" si="13"/>
        <v/>
      </c>
      <c r="M206" s="37" t="str">
        <f t="shared" si="14"/>
        <v/>
      </c>
      <c r="N206" s="37" t="str">
        <f t="shared" si="15"/>
        <v/>
      </c>
      <c r="O206" s="37" t="str">
        <f>IF(OR($D206="",$F206=""),"",$F206*IFERROR(VLOOKUP($D206,Maestro_SKU!$A$2:$P$500,12,FALSE),1))</f>
        <v/>
      </c>
    </row>
    <row r="207" spans="1:15" x14ac:dyDescent="0.35">
      <c r="A207" s="25"/>
      <c r="B207" s="24"/>
      <c r="C207" s="24"/>
      <c r="D207" s="24"/>
      <c r="E207" s="28" t="str">
        <f>IFERROR(VLOOKUP(D207,Maestro_SKU!$A$2:$P$500,2,FALSE),"")</f>
        <v/>
      </c>
      <c r="F207" s="24"/>
      <c r="G207" s="30"/>
      <c r="H207" s="24"/>
      <c r="I207" s="24"/>
      <c r="J207" s="24"/>
      <c r="K207" s="37" t="str">
        <f t="shared" si="12"/>
        <v/>
      </c>
      <c r="L207" s="37" t="str">
        <f t="shared" si="13"/>
        <v/>
      </c>
      <c r="M207" s="37" t="str">
        <f t="shared" si="14"/>
        <v/>
      </c>
      <c r="N207" s="37" t="str">
        <f t="shared" si="15"/>
        <v/>
      </c>
      <c r="O207" s="37" t="str">
        <f>IF(OR($D207="",$F207=""),"",$F207*IFERROR(VLOOKUP($D207,Maestro_SKU!$A$2:$P$500,12,FALSE),1))</f>
        <v/>
      </c>
    </row>
    <row r="208" spans="1:15" x14ac:dyDescent="0.35">
      <c r="A208" s="25"/>
      <c r="B208" s="24"/>
      <c r="C208" s="24"/>
      <c r="D208" s="24"/>
      <c r="E208" s="28" t="str">
        <f>IFERROR(VLOOKUP(D208,Maestro_SKU!$A$2:$P$500,2,FALSE),"")</f>
        <v/>
      </c>
      <c r="F208" s="24"/>
      <c r="G208" s="30"/>
      <c r="H208" s="24"/>
      <c r="I208" s="24"/>
      <c r="J208" s="24"/>
      <c r="K208" s="37" t="str">
        <f t="shared" si="12"/>
        <v/>
      </c>
      <c r="L208" s="37" t="str">
        <f t="shared" si="13"/>
        <v/>
      </c>
      <c r="M208" s="37" t="str">
        <f t="shared" si="14"/>
        <v/>
      </c>
      <c r="N208" s="37" t="str">
        <f t="shared" si="15"/>
        <v/>
      </c>
      <c r="O208" s="37" t="str">
        <f>IF(OR($D208="",$F208=""),"",$F208*IFERROR(VLOOKUP($D208,Maestro_SKU!$A$2:$P$500,12,FALSE),1))</f>
        <v/>
      </c>
    </row>
    <row r="209" spans="1:15" x14ac:dyDescent="0.35">
      <c r="A209" s="25"/>
      <c r="B209" s="24"/>
      <c r="C209" s="24"/>
      <c r="D209" s="24"/>
      <c r="E209" s="28" t="str">
        <f>IFERROR(VLOOKUP(D209,Maestro_SKU!$A$2:$P$500,2,FALSE),"")</f>
        <v/>
      </c>
      <c r="F209" s="24"/>
      <c r="G209" s="30"/>
      <c r="H209" s="24"/>
      <c r="I209" s="24"/>
      <c r="J209" s="24"/>
      <c r="K209" s="37" t="str">
        <f t="shared" si="12"/>
        <v/>
      </c>
      <c r="L209" s="37" t="str">
        <f t="shared" si="13"/>
        <v/>
      </c>
      <c r="M209" s="37" t="str">
        <f t="shared" si="14"/>
        <v/>
      </c>
      <c r="N209" s="37" t="str">
        <f t="shared" si="15"/>
        <v/>
      </c>
      <c r="O209" s="37" t="str">
        <f>IF(OR($D209="",$F209=""),"",$F209*IFERROR(VLOOKUP($D209,Maestro_SKU!$A$2:$P$500,12,FALSE),1))</f>
        <v/>
      </c>
    </row>
    <row r="210" spans="1:15" x14ac:dyDescent="0.35">
      <c r="A210" s="25"/>
      <c r="B210" s="24"/>
      <c r="C210" s="24"/>
      <c r="D210" s="24"/>
      <c r="E210" s="28" t="str">
        <f>IFERROR(VLOOKUP(D210,Maestro_SKU!$A$2:$P$500,2,FALSE),"")</f>
        <v/>
      </c>
      <c r="F210" s="24"/>
      <c r="G210" s="30"/>
      <c r="H210" s="24"/>
      <c r="I210" s="24"/>
      <c r="J210" s="24"/>
      <c r="K210" s="37" t="str">
        <f t="shared" si="12"/>
        <v/>
      </c>
      <c r="L210" s="37" t="str">
        <f t="shared" si="13"/>
        <v/>
      </c>
      <c r="M210" s="37" t="str">
        <f t="shared" si="14"/>
        <v/>
      </c>
      <c r="N210" s="37" t="str">
        <f t="shared" si="15"/>
        <v/>
      </c>
      <c r="O210" s="37" t="str">
        <f>IF(OR($D210="",$F210=""),"",$F210*IFERROR(VLOOKUP($D210,Maestro_SKU!$A$2:$P$500,12,FALSE),1))</f>
        <v/>
      </c>
    </row>
    <row r="211" spans="1:15" x14ac:dyDescent="0.35">
      <c r="A211" s="25"/>
      <c r="B211" s="24"/>
      <c r="C211" s="24"/>
      <c r="D211" s="24"/>
      <c r="E211" s="28" t="str">
        <f>IFERROR(VLOOKUP(D211,Maestro_SKU!$A$2:$P$500,2,FALSE),"")</f>
        <v/>
      </c>
      <c r="F211" s="24"/>
      <c r="G211" s="30"/>
      <c r="H211" s="24"/>
      <c r="I211" s="24"/>
      <c r="J211" s="24"/>
      <c r="K211" s="37" t="str">
        <f t="shared" si="12"/>
        <v/>
      </c>
      <c r="L211" s="37" t="str">
        <f t="shared" si="13"/>
        <v/>
      </c>
      <c r="M211" s="37" t="str">
        <f t="shared" si="14"/>
        <v/>
      </c>
      <c r="N211" s="37" t="str">
        <f t="shared" si="15"/>
        <v/>
      </c>
      <c r="O211" s="37" t="str">
        <f>IF(OR($D211="",$F211=""),"",$F211*IFERROR(VLOOKUP($D211,Maestro_SKU!$A$2:$P$500,12,FALSE),1))</f>
        <v/>
      </c>
    </row>
    <row r="212" spans="1:15" x14ac:dyDescent="0.35">
      <c r="A212" s="25"/>
      <c r="B212" s="24"/>
      <c r="C212" s="24"/>
      <c r="D212" s="24"/>
      <c r="E212" s="28" t="str">
        <f>IFERROR(VLOOKUP(D212,Maestro_SKU!$A$2:$P$500,2,FALSE),"")</f>
        <v/>
      </c>
      <c r="F212" s="24"/>
      <c r="G212" s="30"/>
      <c r="H212" s="24"/>
      <c r="I212" s="24"/>
      <c r="J212" s="24"/>
      <c r="K212" s="37" t="str">
        <f t="shared" si="12"/>
        <v/>
      </c>
      <c r="L212" s="37" t="str">
        <f t="shared" si="13"/>
        <v/>
      </c>
      <c r="M212" s="37" t="str">
        <f t="shared" si="14"/>
        <v/>
      </c>
      <c r="N212" s="37" t="str">
        <f t="shared" si="15"/>
        <v/>
      </c>
      <c r="O212" s="37" t="str">
        <f>IF(OR($D212="",$F212=""),"",$F212*IFERROR(VLOOKUP($D212,Maestro_SKU!$A$2:$P$500,12,FALSE),1))</f>
        <v/>
      </c>
    </row>
    <row r="213" spans="1:15" x14ac:dyDescent="0.35">
      <c r="A213" s="25"/>
      <c r="B213" s="24"/>
      <c r="C213" s="24"/>
      <c r="D213" s="24"/>
      <c r="E213" s="28" t="str">
        <f>IFERROR(VLOOKUP(D213,Maestro_SKU!$A$2:$P$500,2,FALSE),"")</f>
        <v/>
      </c>
      <c r="F213" s="24"/>
      <c r="G213" s="30"/>
      <c r="H213" s="24"/>
      <c r="I213" s="24"/>
      <c r="J213" s="24"/>
      <c r="K213" s="37" t="str">
        <f t="shared" si="12"/>
        <v/>
      </c>
      <c r="L213" s="37" t="str">
        <f t="shared" si="13"/>
        <v/>
      </c>
      <c r="M213" s="37" t="str">
        <f t="shared" si="14"/>
        <v/>
      </c>
      <c r="N213" s="37" t="str">
        <f t="shared" si="15"/>
        <v/>
      </c>
      <c r="O213" s="37" t="str">
        <f>IF(OR($D213="",$F213=""),"",$F213*IFERROR(VLOOKUP($D213,Maestro_SKU!$A$2:$P$500,12,FALSE),1))</f>
        <v/>
      </c>
    </row>
    <row r="214" spans="1:15" x14ac:dyDescent="0.35">
      <c r="A214" s="25"/>
      <c r="B214" s="24"/>
      <c r="C214" s="24"/>
      <c r="D214" s="24"/>
      <c r="E214" s="28" t="str">
        <f>IFERROR(VLOOKUP(D214,Maestro_SKU!$A$2:$P$500,2,FALSE),"")</f>
        <v/>
      </c>
      <c r="F214" s="24"/>
      <c r="G214" s="30"/>
      <c r="H214" s="24"/>
      <c r="I214" s="24"/>
      <c r="J214" s="24"/>
      <c r="K214" s="37" t="str">
        <f t="shared" si="12"/>
        <v/>
      </c>
      <c r="L214" s="37" t="str">
        <f t="shared" si="13"/>
        <v/>
      </c>
      <c r="M214" s="37" t="str">
        <f t="shared" si="14"/>
        <v/>
      </c>
      <c r="N214" s="37" t="str">
        <f t="shared" si="15"/>
        <v/>
      </c>
      <c r="O214" s="37" t="str">
        <f>IF(OR($D214="",$F214=""),"",$F214*IFERROR(VLOOKUP($D214,Maestro_SKU!$A$2:$P$500,12,FALSE),1))</f>
        <v/>
      </c>
    </row>
    <row r="215" spans="1:15" x14ac:dyDescent="0.35">
      <c r="A215" s="25"/>
      <c r="B215" s="24"/>
      <c r="C215" s="24"/>
      <c r="D215" s="24"/>
      <c r="E215" s="28" t="str">
        <f>IFERROR(VLOOKUP(D215,Maestro_SKU!$A$2:$P$500,2,FALSE),"")</f>
        <v/>
      </c>
      <c r="F215" s="24"/>
      <c r="G215" s="30"/>
      <c r="H215" s="24"/>
      <c r="I215" s="24"/>
      <c r="J215" s="24"/>
      <c r="K215" s="37" t="str">
        <f t="shared" si="12"/>
        <v/>
      </c>
      <c r="L215" s="37" t="str">
        <f t="shared" si="13"/>
        <v/>
      </c>
      <c r="M215" s="37" t="str">
        <f t="shared" si="14"/>
        <v/>
      </c>
      <c r="N215" s="37" t="str">
        <f t="shared" si="15"/>
        <v/>
      </c>
      <c r="O215" s="37" t="str">
        <f>IF(OR($D215="",$F215=""),"",$F215*IFERROR(VLOOKUP($D215,Maestro_SKU!$A$2:$P$500,12,FALSE),1))</f>
        <v/>
      </c>
    </row>
    <row r="216" spans="1:15" x14ac:dyDescent="0.35">
      <c r="A216" s="25"/>
      <c r="B216" s="24"/>
      <c r="C216" s="24"/>
      <c r="D216" s="24"/>
      <c r="E216" s="28" t="str">
        <f>IFERROR(VLOOKUP(D216,Maestro_SKU!$A$2:$P$500,2,FALSE),"")</f>
        <v/>
      </c>
      <c r="F216" s="24"/>
      <c r="G216" s="30"/>
      <c r="H216" s="24"/>
      <c r="I216" s="24"/>
      <c r="J216" s="24"/>
      <c r="K216" s="37" t="str">
        <f t="shared" si="12"/>
        <v/>
      </c>
      <c r="L216" s="37" t="str">
        <f t="shared" si="13"/>
        <v/>
      </c>
      <c r="M216" s="37" t="str">
        <f t="shared" si="14"/>
        <v/>
      </c>
      <c r="N216" s="37" t="str">
        <f t="shared" si="15"/>
        <v/>
      </c>
      <c r="O216" s="37" t="str">
        <f>IF(OR($D216="",$F216=""),"",$F216*IFERROR(VLOOKUP($D216,Maestro_SKU!$A$2:$P$500,12,FALSE),1))</f>
        <v/>
      </c>
    </row>
    <row r="217" spans="1:15" x14ac:dyDescent="0.35">
      <c r="A217" s="25"/>
      <c r="B217" s="24"/>
      <c r="C217" s="24"/>
      <c r="D217" s="24"/>
      <c r="E217" s="28" t="str">
        <f>IFERROR(VLOOKUP(D217,Maestro_SKU!$A$2:$P$500,2,FALSE),"")</f>
        <v/>
      </c>
      <c r="F217" s="24"/>
      <c r="G217" s="30"/>
      <c r="H217" s="24"/>
      <c r="I217" s="24"/>
      <c r="J217" s="24"/>
      <c r="K217" s="37" t="str">
        <f t="shared" si="12"/>
        <v/>
      </c>
      <c r="L217" s="37" t="str">
        <f t="shared" si="13"/>
        <v/>
      </c>
      <c r="M217" s="37" t="str">
        <f t="shared" si="14"/>
        <v/>
      </c>
      <c r="N217" s="37" t="str">
        <f t="shared" si="15"/>
        <v/>
      </c>
      <c r="O217" s="37" t="str">
        <f>IF(OR($D217="",$F217=""),"",$F217*IFERROR(VLOOKUP($D217,Maestro_SKU!$A$2:$P$500,12,FALSE),1))</f>
        <v/>
      </c>
    </row>
    <row r="218" spans="1:15" x14ac:dyDescent="0.35">
      <c r="A218" s="25"/>
      <c r="B218" s="24"/>
      <c r="C218" s="24"/>
      <c r="D218" s="24"/>
      <c r="E218" s="28" t="str">
        <f>IFERROR(VLOOKUP(D218,Maestro_SKU!$A$2:$P$500,2,FALSE),"")</f>
        <v/>
      </c>
      <c r="F218" s="24"/>
      <c r="G218" s="30"/>
      <c r="H218" s="24"/>
      <c r="I218" s="24"/>
      <c r="J218" s="24"/>
      <c r="K218" s="37" t="str">
        <f t="shared" si="12"/>
        <v/>
      </c>
      <c r="L218" s="37" t="str">
        <f t="shared" si="13"/>
        <v/>
      </c>
      <c r="M218" s="37" t="str">
        <f t="shared" si="14"/>
        <v/>
      </c>
      <c r="N218" s="37" t="str">
        <f t="shared" si="15"/>
        <v/>
      </c>
      <c r="O218" s="37" t="str">
        <f>IF(OR($D218="",$F218=""),"",$F218*IFERROR(VLOOKUP($D218,Maestro_SKU!$A$2:$P$500,12,FALSE),1))</f>
        <v/>
      </c>
    </row>
    <row r="219" spans="1:15" x14ac:dyDescent="0.35">
      <c r="A219" s="25"/>
      <c r="B219" s="24"/>
      <c r="C219" s="24"/>
      <c r="D219" s="24"/>
      <c r="E219" s="28" t="str">
        <f>IFERROR(VLOOKUP(D219,Maestro_SKU!$A$2:$P$500,2,FALSE),"")</f>
        <v/>
      </c>
      <c r="F219" s="24"/>
      <c r="G219" s="30"/>
      <c r="H219" s="24"/>
      <c r="I219" s="24"/>
      <c r="J219" s="24"/>
      <c r="K219" s="37" t="str">
        <f t="shared" si="12"/>
        <v/>
      </c>
      <c r="L219" s="37" t="str">
        <f t="shared" si="13"/>
        <v/>
      </c>
      <c r="M219" s="37" t="str">
        <f t="shared" si="14"/>
        <v/>
      </c>
      <c r="N219" s="37" t="str">
        <f t="shared" si="15"/>
        <v/>
      </c>
      <c r="O219" s="37" t="str">
        <f>IF(OR($D219="",$F219=""),"",$F219*IFERROR(VLOOKUP($D219,Maestro_SKU!$A$2:$P$500,12,FALSE),1))</f>
        <v/>
      </c>
    </row>
    <row r="220" spans="1:15" x14ac:dyDescent="0.35">
      <c r="A220" s="25"/>
      <c r="B220" s="24"/>
      <c r="C220" s="24"/>
      <c r="D220" s="24"/>
      <c r="E220" s="28" t="str">
        <f>IFERROR(VLOOKUP(D220,Maestro_SKU!$A$2:$P$500,2,FALSE),"")</f>
        <v/>
      </c>
      <c r="F220" s="24"/>
      <c r="G220" s="30"/>
      <c r="H220" s="24"/>
      <c r="I220" s="24"/>
      <c r="J220" s="24"/>
      <c r="K220" s="37" t="str">
        <f t="shared" si="12"/>
        <v/>
      </c>
      <c r="L220" s="37" t="str">
        <f t="shared" si="13"/>
        <v/>
      </c>
      <c r="M220" s="37" t="str">
        <f t="shared" si="14"/>
        <v/>
      </c>
      <c r="N220" s="37" t="str">
        <f t="shared" si="15"/>
        <v/>
      </c>
      <c r="O220" s="37" t="str">
        <f>IF(OR($D220="",$F220=""),"",$F220*IFERROR(VLOOKUP($D220,Maestro_SKU!$A$2:$P$500,12,FALSE),1))</f>
        <v/>
      </c>
    </row>
    <row r="221" spans="1:15" x14ac:dyDescent="0.35">
      <c r="A221" s="25"/>
      <c r="B221" s="24"/>
      <c r="C221" s="24"/>
      <c r="D221" s="24"/>
      <c r="E221" s="28" t="str">
        <f>IFERROR(VLOOKUP(D221,Maestro_SKU!$A$2:$P$500,2,FALSE),"")</f>
        <v/>
      </c>
      <c r="F221" s="24"/>
      <c r="G221" s="30"/>
      <c r="H221" s="24"/>
      <c r="I221" s="24"/>
      <c r="J221" s="24"/>
      <c r="K221" s="37" t="str">
        <f t="shared" si="12"/>
        <v/>
      </c>
      <c r="L221" s="37" t="str">
        <f t="shared" si="13"/>
        <v/>
      </c>
      <c r="M221" s="37" t="str">
        <f t="shared" si="14"/>
        <v/>
      </c>
      <c r="N221" s="37" t="str">
        <f t="shared" si="15"/>
        <v/>
      </c>
      <c r="O221" s="37" t="str">
        <f>IF(OR($D221="",$F221=""),"",$F221*IFERROR(VLOOKUP($D221,Maestro_SKU!$A$2:$P$500,12,FALSE),1))</f>
        <v/>
      </c>
    </row>
    <row r="222" spans="1:15" x14ac:dyDescent="0.35">
      <c r="A222" s="25"/>
      <c r="B222" s="24"/>
      <c r="C222" s="24"/>
      <c r="D222" s="24"/>
      <c r="E222" s="28" t="str">
        <f>IFERROR(VLOOKUP(D222,Maestro_SKU!$A$2:$P$500,2,FALSE),"")</f>
        <v/>
      </c>
      <c r="F222" s="24"/>
      <c r="G222" s="30"/>
      <c r="H222" s="24"/>
      <c r="I222" s="24"/>
      <c r="J222" s="24"/>
      <c r="K222" s="37" t="str">
        <f t="shared" si="12"/>
        <v/>
      </c>
      <c r="L222" s="37" t="str">
        <f t="shared" si="13"/>
        <v/>
      </c>
      <c r="M222" s="37" t="str">
        <f t="shared" si="14"/>
        <v/>
      </c>
      <c r="N222" s="37" t="str">
        <f t="shared" si="15"/>
        <v/>
      </c>
      <c r="O222" s="37" t="str">
        <f>IF(OR($D222="",$F222=""),"",$F222*IFERROR(VLOOKUP($D222,Maestro_SKU!$A$2:$P$500,12,FALSE),1))</f>
        <v/>
      </c>
    </row>
    <row r="223" spans="1:15" x14ac:dyDescent="0.35">
      <c r="A223" s="25"/>
      <c r="B223" s="24"/>
      <c r="C223" s="24"/>
      <c r="D223" s="24"/>
      <c r="E223" s="28" t="str">
        <f>IFERROR(VLOOKUP(D223,Maestro_SKU!$A$2:$P$500,2,FALSE),"")</f>
        <v/>
      </c>
      <c r="F223" s="24"/>
      <c r="G223" s="30"/>
      <c r="H223" s="24"/>
      <c r="I223" s="24"/>
      <c r="J223" s="24"/>
      <c r="K223" s="37" t="str">
        <f t="shared" si="12"/>
        <v/>
      </c>
      <c r="L223" s="37" t="str">
        <f t="shared" si="13"/>
        <v/>
      </c>
      <c r="M223" s="37" t="str">
        <f t="shared" si="14"/>
        <v/>
      </c>
      <c r="N223" s="37" t="str">
        <f t="shared" si="15"/>
        <v/>
      </c>
      <c r="O223" s="37" t="str">
        <f>IF(OR($D223="",$F223=""),"",$F223*IFERROR(VLOOKUP($D223,Maestro_SKU!$A$2:$P$500,12,FALSE),1))</f>
        <v/>
      </c>
    </row>
    <row r="224" spans="1:15" x14ac:dyDescent="0.35">
      <c r="A224" s="25"/>
      <c r="B224" s="24"/>
      <c r="C224" s="24"/>
      <c r="D224" s="24"/>
      <c r="E224" s="28" t="str">
        <f>IFERROR(VLOOKUP(D224,Maestro_SKU!$A$2:$P$500,2,FALSE),"")</f>
        <v/>
      </c>
      <c r="F224" s="24"/>
      <c r="G224" s="30"/>
      <c r="H224" s="24"/>
      <c r="I224" s="24"/>
      <c r="J224" s="24"/>
      <c r="K224" s="37" t="str">
        <f t="shared" si="12"/>
        <v/>
      </c>
      <c r="L224" s="37" t="str">
        <f t="shared" si="13"/>
        <v/>
      </c>
      <c r="M224" s="37" t="str">
        <f t="shared" si="14"/>
        <v/>
      </c>
      <c r="N224" s="37" t="str">
        <f t="shared" si="15"/>
        <v/>
      </c>
      <c r="O224" s="37" t="str">
        <f>IF(OR($D224="",$F224=""),"",$F224*IFERROR(VLOOKUP($D224,Maestro_SKU!$A$2:$P$500,12,FALSE),1))</f>
        <v/>
      </c>
    </row>
    <row r="225" spans="1:15" x14ac:dyDescent="0.35">
      <c r="A225" s="25"/>
      <c r="B225" s="24"/>
      <c r="C225" s="24"/>
      <c r="D225" s="24"/>
      <c r="E225" s="28" t="str">
        <f>IFERROR(VLOOKUP(D225,Maestro_SKU!$A$2:$P$500,2,FALSE),"")</f>
        <v/>
      </c>
      <c r="F225" s="24"/>
      <c r="G225" s="30"/>
      <c r="H225" s="24"/>
      <c r="I225" s="24"/>
      <c r="J225" s="24"/>
      <c r="K225" s="37" t="str">
        <f t="shared" si="12"/>
        <v/>
      </c>
      <c r="L225" s="37" t="str">
        <f t="shared" si="13"/>
        <v/>
      </c>
      <c r="M225" s="37" t="str">
        <f t="shared" si="14"/>
        <v/>
      </c>
      <c r="N225" s="37" t="str">
        <f t="shared" si="15"/>
        <v/>
      </c>
      <c r="O225" s="37" t="str">
        <f>IF(OR($D225="",$F225=""),"",$F225*IFERROR(VLOOKUP($D225,Maestro_SKU!$A$2:$P$500,12,FALSE),1))</f>
        <v/>
      </c>
    </row>
    <row r="226" spans="1:15" x14ac:dyDescent="0.35">
      <c r="A226" s="25"/>
      <c r="B226" s="24"/>
      <c r="C226" s="24"/>
      <c r="D226" s="24"/>
      <c r="E226" s="28" t="str">
        <f>IFERROR(VLOOKUP(D226,Maestro_SKU!$A$2:$P$500,2,FALSE),"")</f>
        <v/>
      </c>
      <c r="F226" s="24"/>
      <c r="G226" s="30"/>
      <c r="H226" s="24"/>
      <c r="I226" s="24"/>
      <c r="J226" s="24"/>
      <c r="K226" s="37" t="str">
        <f t="shared" si="12"/>
        <v/>
      </c>
      <c r="L226" s="37" t="str">
        <f t="shared" si="13"/>
        <v/>
      </c>
      <c r="M226" s="37" t="str">
        <f t="shared" si="14"/>
        <v/>
      </c>
      <c r="N226" s="37" t="str">
        <f t="shared" si="15"/>
        <v/>
      </c>
      <c r="O226" s="37" t="str">
        <f>IF(OR($D226="",$F226=""),"",$F226*IFERROR(VLOOKUP($D226,Maestro_SKU!$A$2:$P$500,12,FALSE),1))</f>
        <v/>
      </c>
    </row>
    <row r="227" spans="1:15" x14ac:dyDescent="0.35">
      <c r="A227" s="25"/>
      <c r="B227" s="24"/>
      <c r="C227" s="24"/>
      <c r="D227" s="24"/>
      <c r="E227" s="28" t="str">
        <f>IFERROR(VLOOKUP(D227,Maestro_SKU!$A$2:$P$500,2,FALSE),"")</f>
        <v/>
      </c>
      <c r="F227" s="24"/>
      <c r="G227" s="30"/>
      <c r="H227" s="24"/>
      <c r="I227" s="24"/>
      <c r="J227" s="24"/>
      <c r="K227" s="37" t="str">
        <f t="shared" si="12"/>
        <v/>
      </c>
      <c r="L227" s="37" t="str">
        <f t="shared" si="13"/>
        <v/>
      </c>
      <c r="M227" s="37" t="str">
        <f t="shared" si="14"/>
        <v/>
      </c>
      <c r="N227" s="37" t="str">
        <f t="shared" si="15"/>
        <v/>
      </c>
      <c r="O227" s="37" t="str">
        <f>IF(OR($D227="",$F227=""),"",$F227*IFERROR(VLOOKUP($D227,Maestro_SKU!$A$2:$P$500,12,FALSE),1))</f>
        <v/>
      </c>
    </row>
    <row r="228" spans="1:15" x14ac:dyDescent="0.35">
      <c r="A228" s="25"/>
      <c r="B228" s="24"/>
      <c r="C228" s="24"/>
      <c r="D228" s="24"/>
      <c r="E228" s="28" t="str">
        <f>IFERROR(VLOOKUP(D228,Maestro_SKU!$A$2:$P$500,2,FALSE),"")</f>
        <v/>
      </c>
      <c r="F228" s="24"/>
      <c r="G228" s="30"/>
      <c r="H228" s="24"/>
      <c r="I228" s="24"/>
      <c r="J228" s="24"/>
      <c r="K228" s="37" t="str">
        <f t="shared" si="12"/>
        <v/>
      </c>
      <c r="L228" s="37" t="str">
        <f t="shared" si="13"/>
        <v/>
      </c>
      <c r="M228" s="37" t="str">
        <f t="shared" si="14"/>
        <v/>
      </c>
      <c r="N228" s="37" t="str">
        <f t="shared" si="15"/>
        <v/>
      </c>
      <c r="O228" s="37" t="str">
        <f>IF(OR($D228="",$F228=""),"",$F228*IFERROR(VLOOKUP($D228,Maestro_SKU!$A$2:$P$500,12,FALSE),1))</f>
        <v/>
      </c>
    </row>
    <row r="229" spans="1:15" x14ac:dyDescent="0.35">
      <c r="A229" s="25"/>
      <c r="B229" s="24"/>
      <c r="C229" s="24"/>
      <c r="D229" s="24"/>
      <c r="E229" s="28" t="str">
        <f>IFERROR(VLOOKUP(D229,Maestro_SKU!$A$2:$P$500,2,FALSE),"")</f>
        <v/>
      </c>
      <c r="F229" s="24"/>
      <c r="G229" s="30"/>
      <c r="H229" s="24"/>
      <c r="I229" s="24"/>
      <c r="J229" s="24"/>
      <c r="K229" s="37" t="str">
        <f t="shared" si="12"/>
        <v/>
      </c>
      <c r="L229" s="37" t="str">
        <f t="shared" si="13"/>
        <v/>
      </c>
      <c r="M229" s="37" t="str">
        <f t="shared" si="14"/>
        <v/>
      </c>
      <c r="N229" s="37" t="str">
        <f t="shared" si="15"/>
        <v/>
      </c>
      <c r="O229" s="37" t="str">
        <f>IF(OR($D229="",$F229=""),"",$F229*IFERROR(VLOOKUP($D229,Maestro_SKU!$A$2:$P$500,12,FALSE),1))</f>
        <v/>
      </c>
    </row>
    <row r="230" spans="1:15" x14ac:dyDescent="0.35">
      <c r="A230" s="25"/>
      <c r="B230" s="24"/>
      <c r="C230" s="24"/>
      <c r="D230" s="24"/>
      <c r="E230" s="28" t="str">
        <f>IFERROR(VLOOKUP(D230,Maestro_SKU!$A$2:$P$500,2,FALSE),"")</f>
        <v/>
      </c>
      <c r="F230" s="24"/>
      <c r="G230" s="30"/>
      <c r="H230" s="24"/>
      <c r="I230" s="24"/>
      <c r="J230" s="24"/>
      <c r="K230" s="37" t="str">
        <f t="shared" si="12"/>
        <v/>
      </c>
      <c r="L230" s="37" t="str">
        <f t="shared" si="13"/>
        <v/>
      </c>
      <c r="M230" s="37" t="str">
        <f t="shared" si="14"/>
        <v/>
      </c>
      <c r="N230" s="37" t="str">
        <f t="shared" si="15"/>
        <v/>
      </c>
      <c r="O230" s="37" t="str">
        <f>IF(OR($D230="",$F230=""),"",$F230*IFERROR(VLOOKUP($D230,Maestro_SKU!$A$2:$P$500,12,FALSE),1))</f>
        <v/>
      </c>
    </row>
    <row r="231" spans="1:15" x14ac:dyDescent="0.35">
      <c r="A231" s="25"/>
      <c r="B231" s="24"/>
      <c r="C231" s="24"/>
      <c r="D231" s="24"/>
      <c r="E231" s="28" t="str">
        <f>IFERROR(VLOOKUP(D231,Maestro_SKU!$A$2:$P$500,2,FALSE),"")</f>
        <v/>
      </c>
      <c r="F231" s="24"/>
      <c r="G231" s="30"/>
      <c r="H231" s="24"/>
      <c r="I231" s="24"/>
      <c r="J231" s="24"/>
      <c r="K231" s="37" t="str">
        <f t="shared" si="12"/>
        <v/>
      </c>
      <c r="L231" s="37" t="str">
        <f t="shared" si="13"/>
        <v/>
      </c>
      <c r="M231" s="37" t="str">
        <f t="shared" si="14"/>
        <v/>
      </c>
      <c r="N231" s="37" t="str">
        <f t="shared" si="15"/>
        <v/>
      </c>
      <c r="O231" s="37" t="str">
        <f>IF(OR($D231="",$F231=""),"",$F231*IFERROR(VLOOKUP($D231,Maestro_SKU!$A$2:$P$500,12,FALSE),1))</f>
        <v/>
      </c>
    </row>
    <row r="232" spans="1:15" x14ac:dyDescent="0.35">
      <c r="A232" s="25"/>
      <c r="B232" s="24"/>
      <c r="C232" s="24"/>
      <c r="D232" s="24"/>
      <c r="E232" s="28" t="str">
        <f>IFERROR(VLOOKUP(D232,Maestro_SKU!$A$2:$P$500,2,FALSE),"")</f>
        <v/>
      </c>
      <c r="F232" s="24"/>
      <c r="G232" s="30"/>
      <c r="H232" s="24"/>
      <c r="I232" s="24"/>
      <c r="J232" s="24"/>
      <c r="K232" s="37" t="str">
        <f t="shared" si="12"/>
        <v/>
      </c>
      <c r="L232" s="37" t="str">
        <f t="shared" si="13"/>
        <v/>
      </c>
      <c r="M232" s="37" t="str">
        <f t="shared" si="14"/>
        <v/>
      </c>
      <c r="N232" s="37" t="str">
        <f t="shared" si="15"/>
        <v/>
      </c>
      <c r="O232" s="37" t="str">
        <f>IF(OR($D232="",$F232=""),"",$F232*IFERROR(VLOOKUP($D232,Maestro_SKU!$A$2:$P$500,12,FALSE),1))</f>
        <v/>
      </c>
    </row>
    <row r="233" spans="1:15" x14ac:dyDescent="0.35">
      <c r="A233" s="25"/>
      <c r="B233" s="24"/>
      <c r="C233" s="24"/>
      <c r="D233" s="24"/>
      <c r="E233" s="28" t="str">
        <f>IFERROR(VLOOKUP(D233,Maestro_SKU!$A$2:$P$500,2,FALSE),"")</f>
        <v/>
      </c>
      <c r="F233" s="24"/>
      <c r="G233" s="30"/>
      <c r="H233" s="24"/>
      <c r="I233" s="24"/>
      <c r="J233" s="24"/>
      <c r="K233" s="37" t="str">
        <f t="shared" si="12"/>
        <v/>
      </c>
      <c r="L233" s="37" t="str">
        <f t="shared" si="13"/>
        <v/>
      </c>
      <c r="M233" s="37" t="str">
        <f t="shared" si="14"/>
        <v/>
      </c>
      <c r="N233" s="37" t="str">
        <f t="shared" si="15"/>
        <v/>
      </c>
      <c r="O233" s="37" t="str">
        <f>IF(OR($D233="",$F233=""),"",$F233*IFERROR(VLOOKUP($D233,Maestro_SKU!$A$2:$P$500,12,FALSE),1))</f>
        <v/>
      </c>
    </row>
    <row r="234" spans="1:15" x14ac:dyDescent="0.35">
      <c r="A234" s="25"/>
      <c r="B234" s="24"/>
      <c r="C234" s="24"/>
      <c r="D234" s="24"/>
      <c r="E234" s="28" t="str">
        <f>IFERROR(VLOOKUP(D234,Maestro_SKU!$A$2:$P$500,2,FALSE),"")</f>
        <v/>
      </c>
      <c r="F234" s="24"/>
      <c r="G234" s="30"/>
      <c r="H234" s="24"/>
      <c r="I234" s="24"/>
      <c r="J234" s="24"/>
      <c r="K234" s="37" t="str">
        <f t="shared" si="12"/>
        <v/>
      </c>
      <c r="L234" s="37" t="str">
        <f t="shared" si="13"/>
        <v/>
      </c>
      <c r="M234" s="37" t="str">
        <f t="shared" si="14"/>
        <v/>
      </c>
      <c r="N234" s="37" t="str">
        <f t="shared" si="15"/>
        <v/>
      </c>
      <c r="O234" s="37" t="str">
        <f>IF(OR($D234="",$F234=""),"",$F234*IFERROR(VLOOKUP($D234,Maestro_SKU!$A$2:$P$500,12,FALSE),1))</f>
        <v/>
      </c>
    </row>
    <row r="235" spans="1:15" x14ac:dyDescent="0.35">
      <c r="A235" s="25"/>
      <c r="B235" s="24"/>
      <c r="C235" s="24"/>
      <c r="D235" s="24"/>
      <c r="E235" s="28" t="str">
        <f>IFERROR(VLOOKUP(D235,Maestro_SKU!$A$2:$P$500,2,FALSE),"")</f>
        <v/>
      </c>
      <c r="F235" s="24"/>
      <c r="G235" s="30"/>
      <c r="H235" s="24"/>
      <c r="I235" s="24"/>
      <c r="J235" s="24"/>
      <c r="K235" s="37" t="str">
        <f t="shared" si="12"/>
        <v/>
      </c>
      <c r="L235" s="37" t="str">
        <f t="shared" si="13"/>
        <v/>
      </c>
      <c r="M235" s="37" t="str">
        <f t="shared" si="14"/>
        <v/>
      </c>
      <c r="N235" s="37" t="str">
        <f t="shared" si="15"/>
        <v/>
      </c>
      <c r="O235" s="37" t="str">
        <f>IF(OR($D235="",$F235=""),"",$F235*IFERROR(VLOOKUP($D235,Maestro_SKU!$A$2:$P$500,12,FALSE),1))</f>
        <v/>
      </c>
    </row>
    <row r="236" spans="1:15" x14ac:dyDescent="0.35">
      <c r="A236" s="25"/>
      <c r="B236" s="24"/>
      <c r="C236" s="24"/>
      <c r="D236" s="24"/>
      <c r="E236" s="28" t="str">
        <f>IFERROR(VLOOKUP(D236,Maestro_SKU!$A$2:$P$500,2,FALSE),"")</f>
        <v/>
      </c>
      <c r="F236" s="24"/>
      <c r="G236" s="30"/>
      <c r="H236" s="24"/>
      <c r="I236" s="24"/>
      <c r="J236" s="24"/>
      <c r="K236" s="37" t="str">
        <f t="shared" si="12"/>
        <v/>
      </c>
      <c r="L236" s="37" t="str">
        <f t="shared" si="13"/>
        <v/>
      </c>
      <c r="M236" s="37" t="str">
        <f t="shared" si="14"/>
        <v/>
      </c>
      <c r="N236" s="37" t="str">
        <f t="shared" si="15"/>
        <v/>
      </c>
      <c r="O236" s="37" t="str">
        <f>IF(OR($D236="",$F236=""),"",$F236*IFERROR(VLOOKUP($D236,Maestro_SKU!$A$2:$P$500,12,FALSE),1))</f>
        <v/>
      </c>
    </row>
    <row r="237" spans="1:15" x14ac:dyDescent="0.35">
      <c r="A237" s="25"/>
      <c r="B237" s="24"/>
      <c r="C237" s="24"/>
      <c r="D237" s="24"/>
      <c r="E237" s="28" t="str">
        <f>IFERROR(VLOOKUP(D237,Maestro_SKU!$A$2:$P$500,2,FALSE),"")</f>
        <v/>
      </c>
      <c r="F237" s="24"/>
      <c r="G237" s="30"/>
      <c r="H237" s="24"/>
      <c r="I237" s="24"/>
      <c r="J237" s="24"/>
      <c r="K237" s="37" t="str">
        <f t="shared" si="12"/>
        <v/>
      </c>
      <c r="L237" s="37" t="str">
        <f t="shared" si="13"/>
        <v/>
      </c>
      <c r="M237" s="37" t="str">
        <f t="shared" si="14"/>
        <v/>
      </c>
      <c r="N237" s="37" t="str">
        <f t="shared" si="15"/>
        <v/>
      </c>
      <c r="O237" s="37" t="str">
        <f>IF(OR($D237="",$F237=""),"",$F237*IFERROR(VLOOKUP($D237,Maestro_SKU!$A$2:$P$500,12,FALSE),1))</f>
        <v/>
      </c>
    </row>
    <row r="238" spans="1:15" x14ac:dyDescent="0.35">
      <c r="A238" s="25"/>
      <c r="B238" s="24"/>
      <c r="C238" s="24"/>
      <c r="D238" s="24"/>
      <c r="E238" s="28" t="str">
        <f>IFERROR(VLOOKUP(D238,Maestro_SKU!$A$2:$P$500,2,FALSE),"")</f>
        <v/>
      </c>
      <c r="F238" s="24"/>
      <c r="G238" s="30"/>
      <c r="H238" s="24"/>
      <c r="I238" s="24"/>
      <c r="J238" s="24"/>
      <c r="K238" s="37" t="str">
        <f t="shared" si="12"/>
        <v/>
      </c>
      <c r="L238" s="37" t="str">
        <f t="shared" si="13"/>
        <v/>
      </c>
      <c r="M238" s="37" t="str">
        <f t="shared" si="14"/>
        <v/>
      </c>
      <c r="N238" s="37" t="str">
        <f t="shared" si="15"/>
        <v/>
      </c>
      <c r="O238" s="37" t="str">
        <f>IF(OR($D238="",$F238=""),"",$F238*IFERROR(VLOOKUP($D238,Maestro_SKU!$A$2:$P$500,12,FALSE),1))</f>
        <v/>
      </c>
    </row>
    <row r="239" spans="1:15" x14ac:dyDescent="0.35">
      <c r="A239" s="25"/>
      <c r="B239" s="24"/>
      <c r="C239" s="24"/>
      <c r="D239" s="24"/>
      <c r="E239" s="28" t="str">
        <f>IFERROR(VLOOKUP(D239,Maestro_SKU!$A$2:$P$500,2,FALSE),"")</f>
        <v/>
      </c>
      <c r="F239" s="24"/>
      <c r="G239" s="30"/>
      <c r="H239" s="24"/>
      <c r="I239" s="24"/>
      <c r="J239" s="24"/>
      <c r="K239" s="37" t="str">
        <f t="shared" si="12"/>
        <v/>
      </c>
      <c r="L239" s="37" t="str">
        <f t="shared" si="13"/>
        <v/>
      </c>
      <c r="M239" s="37" t="str">
        <f t="shared" si="14"/>
        <v/>
      </c>
      <c r="N239" s="37" t="str">
        <f t="shared" si="15"/>
        <v/>
      </c>
      <c r="O239" s="37" t="str">
        <f>IF(OR($D239="",$F239=""),"",$F239*IFERROR(VLOOKUP($D239,Maestro_SKU!$A$2:$P$500,12,FALSE),1))</f>
        <v/>
      </c>
    </row>
    <row r="240" spans="1:15" x14ac:dyDescent="0.35">
      <c r="A240" s="25"/>
      <c r="B240" s="24"/>
      <c r="C240" s="24"/>
      <c r="D240" s="24"/>
      <c r="E240" s="28" t="str">
        <f>IFERROR(VLOOKUP(D240,Maestro_SKU!$A$2:$P$500,2,FALSE),"")</f>
        <v/>
      </c>
      <c r="F240" s="24"/>
      <c r="G240" s="30"/>
      <c r="H240" s="24"/>
      <c r="I240" s="24"/>
      <c r="J240" s="24"/>
      <c r="K240" s="37" t="str">
        <f t="shared" si="12"/>
        <v/>
      </c>
      <c r="L240" s="37" t="str">
        <f t="shared" si="13"/>
        <v/>
      </c>
      <c r="M240" s="37" t="str">
        <f t="shared" si="14"/>
        <v/>
      </c>
      <c r="N240" s="37" t="str">
        <f t="shared" si="15"/>
        <v/>
      </c>
      <c r="O240" s="37" t="str">
        <f>IF(OR($D240="",$F240=""),"",$F240*IFERROR(VLOOKUP($D240,Maestro_SKU!$A$2:$P$500,12,FALSE),1))</f>
        <v/>
      </c>
    </row>
    <row r="241" spans="1:15" x14ac:dyDescent="0.35">
      <c r="A241" s="25"/>
      <c r="B241" s="24"/>
      <c r="C241" s="24"/>
      <c r="D241" s="24"/>
      <c r="E241" s="28" t="str">
        <f>IFERROR(VLOOKUP(D241,Maestro_SKU!$A$2:$P$500,2,FALSE),"")</f>
        <v/>
      </c>
      <c r="F241" s="24"/>
      <c r="G241" s="30"/>
      <c r="H241" s="24"/>
      <c r="I241" s="24"/>
      <c r="J241" s="24"/>
      <c r="K241" s="37" t="str">
        <f t="shared" si="12"/>
        <v/>
      </c>
      <c r="L241" s="37" t="str">
        <f t="shared" si="13"/>
        <v/>
      </c>
      <c r="M241" s="37" t="str">
        <f t="shared" si="14"/>
        <v/>
      </c>
      <c r="N241" s="37" t="str">
        <f t="shared" si="15"/>
        <v/>
      </c>
      <c r="O241" s="37" t="str">
        <f>IF(OR($D241="",$F241=""),"",$F241*IFERROR(VLOOKUP($D241,Maestro_SKU!$A$2:$P$500,12,FALSE),1))</f>
        <v/>
      </c>
    </row>
    <row r="242" spans="1:15" x14ac:dyDescent="0.35">
      <c r="A242" s="25"/>
      <c r="B242" s="24"/>
      <c r="C242" s="24"/>
      <c r="D242" s="24"/>
      <c r="E242" s="28" t="str">
        <f>IFERROR(VLOOKUP(D242,Maestro_SKU!$A$2:$P$500,2,FALSE),"")</f>
        <v/>
      </c>
      <c r="F242" s="24"/>
      <c r="G242" s="30"/>
      <c r="H242" s="24"/>
      <c r="I242" s="24"/>
      <c r="J242" s="24"/>
      <c r="K242" s="37" t="str">
        <f t="shared" si="12"/>
        <v/>
      </c>
      <c r="L242" s="37" t="str">
        <f t="shared" si="13"/>
        <v/>
      </c>
      <c r="M242" s="37" t="str">
        <f t="shared" si="14"/>
        <v/>
      </c>
      <c r="N242" s="37" t="str">
        <f t="shared" si="15"/>
        <v/>
      </c>
      <c r="O242" s="37" t="str">
        <f>IF(OR($D242="",$F242=""),"",$F242*IFERROR(VLOOKUP($D242,Maestro_SKU!$A$2:$P$500,12,FALSE),1))</f>
        <v/>
      </c>
    </row>
    <row r="243" spans="1:15" x14ac:dyDescent="0.35">
      <c r="A243" s="25"/>
      <c r="B243" s="24"/>
      <c r="C243" s="24"/>
      <c r="D243" s="24"/>
      <c r="E243" s="28" t="str">
        <f>IFERROR(VLOOKUP(D243,Maestro_SKU!$A$2:$P$500,2,FALSE),"")</f>
        <v/>
      </c>
      <c r="F243" s="24"/>
      <c r="G243" s="30"/>
      <c r="H243" s="24"/>
      <c r="I243" s="24"/>
      <c r="J243" s="24"/>
      <c r="K243" s="37" t="str">
        <f t="shared" si="12"/>
        <v/>
      </c>
      <c r="L243" s="37" t="str">
        <f t="shared" si="13"/>
        <v/>
      </c>
      <c r="M243" s="37" t="str">
        <f t="shared" si="14"/>
        <v/>
      </c>
      <c r="N243" s="37" t="str">
        <f t="shared" si="15"/>
        <v/>
      </c>
      <c r="O243" s="37" t="str">
        <f>IF(OR($D243="",$F243=""),"",$F243*IFERROR(VLOOKUP($D243,Maestro_SKU!$A$2:$P$500,12,FALSE),1))</f>
        <v/>
      </c>
    </row>
    <row r="244" spans="1:15" x14ac:dyDescent="0.35">
      <c r="A244" s="25"/>
      <c r="B244" s="24"/>
      <c r="C244" s="24"/>
      <c r="D244" s="24"/>
      <c r="E244" s="28" t="str">
        <f>IFERROR(VLOOKUP(D244,Maestro_SKU!$A$2:$P$500,2,FALSE),"")</f>
        <v/>
      </c>
      <c r="F244" s="24"/>
      <c r="G244" s="30"/>
      <c r="H244" s="24"/>
      <c r="I244" s="24"/>
      <c r="J244" s="24"/>
      <c r="K244" s="37" t="str">
        <f t="shared" si="12"/>
        <v/>
      </c>
      <c r="L244" s="37" t="str">
        <f t="shared" si="13"/>
        <v/>
      </c>
      <c r="M244" s="37" t="str">
        <f t="shared" si="14"/>
        <v/>
      </c>
      <c r="N244" s="37" t="str">
        <f t="shared" si="15"/>
        <v/>
      </c>
      <c r="O244" s="37" t="str">
        <f>IF(OR($D244="",$F244=""),"",$F244*IFERROR(VLOOKUP($D244,Maestro_SKU!$A$2:$P$500,12,FALSE),1))</f>
        <v/>
      </c>
    </row>
    <row r="245" spans="1:15" x14ac:dyDescent="0.35">
      <c r="A245" s="25"/>
      <c r="B245" s="24"/>
      <c r="C245" s="24"/>
      <c r="D245" s="24"/>
      <c r="E245" s="28" t="str">
        <f>IFERROR(VLOOKUP(D245,Maestro_SKU!$A$2:$P$500,2,FALSE),"")</f>
        <v/>
      </c>
      <c r="F245" s="24"/>
      <c r="G245" s="30"/>
      <c r="H245" s="24"/>
      <c r="I245" s="24"/>
      <c r="J245" s="24"/>
      <c r="K245" s="37" t="str">
        <f t="shared" si="12"/>
        <v/>
      </c>
      <c r="L245" s="37" t="str">
        <f t="shared" si="13"/>
        <v/>
      </c>
      <c r="M245" s="37" t="str">
        <f t="shared" si="14"/>
        <v/>
      </c>
      <c r="N245" s="37" t="str">
        <f t="shared" si="15"/>
        <v/>
      </c>
      <c r="O245" s="37" t="str">
        <f>IF(OR($D245="",$F245=""),"",$F245*IFERROR(VLOOKUP($D245,Maestro_SKU!$A$2:$P$500,12,FALSE),1))</f>
        <v/>
      </c>
    </row>
    <row r="246" spans="1:15" x14ac:dyDescent="0.35">
      <c r="A246" s="25"/>
      <c r="B246" s="24"/>
      <c r="C246" s="24"/>
      <c r="D246" s="24"/>
      <c r="E246" s="28" t="str">
        <f>IFERROR(VLOOKUP(D246,Maestro_SKU!$A$2:$P$500,2,FALSE),"")</f>
        <v/>
      </c>
      <c r="F246" s="24"/>
      <c r="G246" s="30"/>
      <c r="H246" s="24"/>
      <c r="I246" s="24"/>
      <c r="J246" s="24"/>
      <c r="K246" s="37" t="str">
        <f t="shared" si="12"/>
        <v/>
      </c>
      <c r="L246" s="37" t="str">
        <f t="shared" si="13"/>
        <v/>
      </c>
      <c r="M246" s="37" t="str">
        <f t="shared" si="14"/>
        <v/>
      </c>
      <c r="N246" s="37" t="str">
        <f t="shared" si="15"/>
        <v/>
      </c>
      <c r="O246" s="37" t="str">
        <f>IF(OR($D246="",$F246=""),"",$F246*IFERROR(VLOOKUP($D246,Maestro_SKU!$A$2:$P$500,12,FALSE),1))</f>
        <v/>
      </c>
    </row>
    <row r="247" spans="1:15" x14ac:dyDescent="0.35">
      <c r="A247" s="25"/>
      <c r="B247" s="24"/>
      <c r="C247" s="24"/>
      <c r="D247" s="24"/>
      <c r="E247" s="28" t="str">
        <f>IFERROR(VLOOKUP(D247,Maestro_SKU!$A$2:$P$500,2,FALSE),"")</f>
        <v/>
      </c>
      <c r="F247" s="24"/>
      <c r="G247" s="30"/>
      <c r="H247" s="24"/>
      <c r="I247" s="24"/>
      <c r="J247" s="24"/>
      <c r="K247" s="37" t="str">
        <f t="shared" si="12"/>
        <v/>
      </c>
      <c r="L247" s="37" t="str">
        <f t="shared" si="13"/>
        <v/>
      </c>
      <c r="M247" s="37" t="str">
        <f t="shared" si="14"/>
        <v/>
      </c>
      <c r="N247" s="37" t="str">
        <f t="shared" si="15"/>
        <v/>
      </c>
      <c r="O247" s="37" t="str">
        <f>IF(OR($D247="",$F247=""),"",$F247*IFERROR(VLOOKUP($D247,Maestro_SKU!$A$2:$P$500,12,FALSE),1))</f>
        <v/>
      </c>
    </row>
    <row r="248" spans="1:15" x14ac:dyDescent="0.35">
      <c r="A248" s="25"/>
      <c r="B248" s="24"/>
      <c r="C248" s="24"/>
      <c r="D248" s="24"/>
      <c r="E248" s="28" t="str">
        <f>IFERROR(VLOOKUP(D248,Maestro_SKU!$A$2:$P$500,2,FALSE),"")</f>
        <v/>
      </c>
      <c r="F248" s="24"/>
      <c r="G248" s="30"/>
      <c r="H248" s="24"/>
      <c r="I248" s="24"/>
      <c r="J248" s="24"/>
      <c r="K248" s="37" t="str">
        <f t="shared" si="12"/>
        <v/>
      </c>
      <c r="L248" s="37" t="str">
        <f t="shared" si="13"/>
        <v/>
      </c>
      <c r="M248" s="37" t="str">
        <f t="shared" si="14"/>
        <v/>
      </c>
      <c r="N248" s="37" t="str">
        <f t="shared" si="15"/>
        <v/>
      </c>
      <c r="O248" s="37" t="str">
        <f>IF(OR($D248="",$F248=""),"",$F248*IFERROR(VLOOKUP($D248,Maestro_SKU!$A$2:$P$500,12,FALSE),1))</f>
        <v/>
      </c>
    </row>
    <row r="249" spans="1:15" x14ac:dyDescent="0.35">
      <c r="A249" s="25"/>
      <c r="B249" s="24"/>
      <c r="C249" s="24"/>
      <c r="D249" s="24"/>
      <c r="E249" s="28" t="str">
        <f>IFERROR(VLOOKUP(D249,Maestro_SKU!$A$2:$P$500,2,FALSE),"")</f>
        <v/>
      </c>
      <c r="F249" s="24"/>
      <c r="G249" s="30"/>
      <c r="H249" s="24"/>
      <c r="I249" s="24"/>
      <c r="J249" s="24"/>
      <c r="K249" s="37" t="str">
        <f t="shared" si="12"/>
        <v/>
      </c>
      <c r="L249" s="37" t="str">
        <f t="shared" si="13"/>
        <v/>
      </c>
      <c r="M249" s="37" t="str">
        <f t="shared" si="14"/>
        <v/>
      </c>
      <c r="N249" s="37" t="str">
        <f t="shared" si="15"/>
        <v/>
      </c>
      <c r="O249" s="37" t="str">
        <f>IF(OR($D249="",$F249=""),"",$F249*IFERROR(VLOOKUP($D249,Maestro_SKU!$A$2:$P$500,12,FALSE),1))</f>
        <v/>
      </c>
    </row>
    <row r="250" spans="1:15" x14ac:dyDescent="0.35">
      <c r="A250" s="25"/>
      <c r="B250" s="24"/>
      <c r="C250" s="24"/>
      <c r="D250" s="24"/>
      <c r="E250" s="28" t="str">
        <f>IFERROR(VLOOKUP(D250,Maestro_SKU!$A$2:$P$500,2,FALSE),"")</f>
        <v/>
      </c>
      <c r="F250" s="24"/>
      <c r="G250" s="30"/>
      <c r="H250" s="24"/>
      <c r="I250" s="24"/>
      <c r="J250" s="24"/>
      <c r="K250" s="37" t="str">
        <f t="shared" si="12"/>
        <v/>
      </c>
      <c r="L250" s="37" t="str">
        <f t="shared" si="13"/>
        <v/>
      </c>
      <c r="M250" s="37" t="str">
        <f t="shared" si="14"/>
        <v/>
      </c>
      <c r="N250" s="37" t="str">
        <f t="shared" si="15"/>
        <v/>
      </c>
      <c r="O250" s="37" t="str">
        <f>IF(OR($D250="",$F250=""),"",$F250*IFERROR(VLOOKUP($D250,Maestro_SKU!$A$2:$P$500,12,FALSE),1))</f>
        <v/>
      </c>
    </row>
    <row r="251" spans="1:15" x14ac:dyDescent="0.35">
      <c r="A251" s="25"/>
      <c r="B251" s="24"/>
      <c r="C251" s="24"/>
      <c r="D251" s="24"/>
      <c r="E251" s="28" t="str">
        <f>IFERROR(VLOOKUP(D251,Maestro_SKU!$A$2:$P$500,2,FALSE),"")</f>
        <v/>
      </c>
      <c r="F251" s="24"/>
      <c r="G251" s="30"/>
      <c r="H251" s="24"/>
      <c r="I251" s="24"/>
      <c r="J251" s="24"/>
      <c r="K251" s="37" t="str">
        <f t="shared" si="12"/>
        <v/>
      </c>
      <c r="L251" s="37" t="str">
        <f t="shared" si="13"/>
        <v/>
      </c>
      <c r="M251" s="37" t="str">
        <f t="shared" si="14"/>
        <v/>
      </c>
      <c r="N251" s="37" t="str">
        <f t="shared" si="15"/>
        <v/>
      </c>
      <c r="O251" s="37" t="str">
        <f>IF(OR($D251="",$F251=""),"",$F251*IFERROR(VLOOKUP($D251,Maestro_SKU!$A$2:$P$500,12,FALSE),1))</f>
        <v/>
      </c>
    </row>
    <row r="252" spans="1:15" x14ac:dyDescent="0.35">
      <c r="A252" s="25"/>
      <c r="B252" s="24"/>
      <c r="C252" s="24"/>
      <c r="D252" s="24"/>
      <c r="E252" s="28" t="str">
        <f>IFERROR(VLOOKUP(D252,Maestro_SKU!$A$2:$P$500,2,FALSE),"")</f>
        <v/>
      </c>
      <c r="F252" s="24"/>
      <c r="G252" s="30"/>
      <c r="H252" s="24"/>
      <c r="I252" s="24"/>
      <c r="J252" s="24"/>
      <c r="K252" s="37" t="str">
        <f t="shared" si="12"/>
        <v/>
      </c>
      <c r="L252" s="37" t="str">
        <f t="shared" si="13"/>
        <v/>
      </c>
      <c r="M252" s="37" t="str">
        <f t="shared" si="14"/>
        <v/>
      </c>
      <c r="N252" s="37" t="str">
        <f t="shared" si="15"/>
        <v/>
      </c>
      <c r="O252" s="37" t="str">
        <f>IF(OR($D252="",$F252=""),"",$F252*IFERROR(VLOOKUP($D252,Maestro_SKU!$A$2:$P$500,12,FALSE),1))</f>
        <v/>
      </c>
    </row>
    <row r="253" spans="1:15" x14ac:dyDescent="0.35">
      <c r="A253" s="25"/>
      <c r="B253" s="24"/>
      <c r="C253" s="24"/>
      <c r="D253" s="24"/>
      <c r="E253" s="28" t="str">
        <f>IFERROR(VLOOKUP(D253,Maestro_SKU!$A$2:$P$500,2,FALSE),"")</f>
        <v/>
      </c>
      <c r="F253" s="24"/>
      <c r="G253" s="30"/>
      <c r="H253" s="24"/>
      <c r="I253" s="24"/>
      <c r="J253" s="24"/>
      <c r="K253" s="37" t="str">
        <f t="shared" si="12"/>
        <v/>
      </c>
      <c r="L253" s="37" t="str">
        <f t="shared" si="13"/>
        <v/>
      </c>
      <c r="M253" s="37" t="str">
        <f t="shared" si="14"/>
        <v/>
      </c>
      <c r="N253" s="37" t="str">
        <f t="shared" si="15"/>
        <v/>
      </c>
      <c r="O253" s="37" t="str">
        <f>IF(OR($D253="",$F253=""),"",$F253*IFERROR(VLOOKUP($D253,Maestro_SKU!$A$2:$P$500,12,FALSE),1))</f>
        <v/>
      </c>
    </row>
    <row r="254" spans="1:15" x14ac:dyDescent="0.35">
      <c r="A254" s="25"/>
      <c r="B254" s="24"/>
      <c r="C254" s="24"/>
      <c r="D254" s="24"/>
      <c r="E254" s="28" t="str">
        <f>IFERROR(VLOOKUP(D254,Maestro_SKU!$A$2:$P$500,2,FALSE),"")</f>
        <v/>
      </c>
      <c r="F254" s="24"/>
      <c r="G254" s="30"/>
      <c r="H254" s="24"/>
      <c r="I254" s="24"/>
      <c r="J254" s="24"/>
      <c r="K254" s="37" t="str">
        <f t="shared" si="12"/>
        <v/>
      </c>
      <c r="L254" s="37" t="str">
        <f t="shared" si="13"/>
        <v/>
      </c>
      <c r="M254" s="37" t="str">
        <f t="shared" si="14"/>
        <v/>
      </c>
      <c r="N254" s="37" t="str">
        <f t="shared" si="15"/>
        <v/>
      </c>
      <c r="O254" s="37" t="str">
        <f>IF(OR($D254="",$F254=""),"",$F254*IFERROR(VLOOKUP($D254,Maestro_SKU!$A$2:$P$500,12,FALSE),1))</f>
        <v/>
      </c>
    </row>
    <row r="255" spans="1:15" x14ac:dyDescent="0.35">
      <c r="A255" s="25"/>
      <c r="B255" s="24"/>
      <c r="C255" s="24"/>
      <c r="D255" s="24"/>
      <c r="E255" s="28" t="str">
        <f>IFERROR(VLOOKUP(D255,Maestro_SKU!$A$2:$P$500,2,FALSE),"")</f>
        <v/>
      </c>
      <c r="F255" s="24"/>
      <c r="G255" s="30"/>
      <c r="H255" s="24"/>
      <c r="I255" s="24"/>
      <c r="J255" s="24"/>
      <c r="K255" s="37" t="str">
        <f t="shared" si="12"/>
        <v/>
      </c>
      <c r="L255" s="37" t="str">
        <f t="shared" si="13"/>
        <v/>
      </c>
      <c r="M255" s="37" t="str">
        <f t="shared" si="14"/>
        <v/>
      </c>
      <c r="N255" s="37" t="str">
        <f t="shared" si="15"/>
        <v/>
      </c>
      <c r="O255" s="37" t="str">
        <f>IF(OR($D255="",$F255=""),"",$F255*IFERROR(VLOOKUP($D255,Maestro_SKU!$A$2:$P$500,12,FALSE),1))</f>
        <v/>
      </c>
    </row>
    <row r="256" spans="1:15" x14ac:dyDescent="0.35">
      <c r="A256" s="25"/>
      <c r="B256" s="24"/>
      <c r="C256" s="24"/>
      <c r="D256" s="24"/>
      <c r="E256" s="28" t="str">
        <f>IFERROR(VLOOKUP(D256,Maestro_SKU!$A$2:$P$500,2,FALSE),"")</f>
        <v/>
      </c>
      <c r="F256" s="24"/>
      <c r="G256" s="30"/>
      <c r="H256" s="24"/>
      <c r="I256" s="24"/>
      <c r="J256" s="24"/>
      <c r="K256" s="37" t="str">
        <f t="shared" si="12"/>
        <v/>
      </c>
      <c r="L256" s="37" t="str">
        <f t="shared" si="13"/>
        <v/>
      </c>
      <c r="M256" s="37" t="str">
        <f t="shared" si="14"/>
        <v/>
      </c>
      <c r="N256" s="37" t="str">
        <f t="shared" si="15"/>
        <v/>
      </c>
      <c r="O256" s="37" t="str">
        <f>IF(OR($D256="",$F256=""),"",$F256*IFERROR(VLOOKUP($D256,Maestro_SKU!$A$2:$P$500,12,FALSE),1))</f>
        <v/>
      </c>
    </row>
    <row r="257" spans="1:15" x14ac:dyDescent="0.35">
      <c r="A257" s="25"/>
      <c r="B257" s="24"/>
      <c r="C257" s="24"/>
      <c r="D257" s="24"/>
      <c r="E257" s="28" t="str">
        <f>IFERROR(VLOOKUP(D257,Maestro_SKU!$A$2:$P$500,2,FALSE),"")</f>
        <v/>
      </c>
      <c r="F257" s="24"/>
      <c r="G257" s="30"/>
      <c r="H257" s="24"/>
      <c r="I257" s="24"/>
      <c r="J257" s="24"/>
      <c r="K257" s="37" t="str">
        <f t="shared" si="12"/>
        <v/>
      </c>
      <c r="L257" s="37" t="str">
        <f t="shared" si="13"/>
        <v/>
      </c>
      <c r="M257" s="37" t="str">
        <f t="shared" si="14"/>
        <v/>
      </c>
      <c r="N257" s="37" t="str">
        <f t="shared" si="15"/>
        <v/>
      </c>
      <c r="O257" s="37" t="str">
        <f>IF(OR($D257="",$F257=""),"",$F257*IFERROR(VLOOKUP($D257,Maestro_SKU!$A$2:$P$500,12,FALSE),1))</f>
        <v/>
      </c>
    </row>
    <row r="258" spans="1:15" x14ac:dyDescent="0.35">
      <c r="A258" s="25"/>
      <c r="B258" s="24"/>
      <c r="C258" s="24"/>
      <c r="D258" s="24"/>
      <c r="E258" s="28" t="str">
        <f>IFERROR(VLOOKUP(D258,Maestro_SKU!$A$2:$P$500,2,FALSE),"")</f>
        <v/>
      </c>
      <c r="F258" s="24"/>
      <c r="G258" s="30"/>
      <c r="H258" s="24"/>
      <c r="I258" s="24"/>
      <c r="J258" s="24"/>
      <c r="K258" s="37" t="str">
        <f t="shared" ref="K258:K321" si="16">IF($A258="","",YEAR($A258))</f>
        <v/>
      </c>
      <c r="L258" s="37" t="str">
        <f t="shared" ref="L258:L321" si="17">IF($A258="","",MONTH($A258))</f>
        <v/>
      </c>
      <c r="M258" s="37" t="str">
        <f t="shared" ref="M258:M321" si="18">IF($A258="","",DAY($A258))</f>
        <v/>
      </c>
      <c r="N258" s="37" t="str">
        <f t="shared" ref="N258:N321" si="19">IF($A258="","",YEAR($A258)&amp;"-"&amp;TEXT(MONTH($A258),"00"))</f>
        <v/>
      </c>
      <c r="O258" s="37" t="str">
        <f>IF(OR($D258="",$F258=""),"",$F258*IFERROR(VLOOKUP($D258,Maestro_SKU!$A$2:$P$500,12,FALSE),1))</f>
        <v/>
      </c>
    </row>
    <row r="259" spans="1:15" x14ac:dyDescent="0.35">
      <c r="A259" s="25"/>
      <c r="B259" s="24"/>
      <c r="C259" s="24"/>
      <c r="D259" s="24"/>
      <c r="E259" s="28" t="str">
        <f>IFERROR(VLOOKUP(D259,Maestro_SKU!$A$2:$P$500,2,FALSE),"")</f>
        <v/>
      </c>
      <c r="F259" s="24"/>
      <c r="G259" s="30"/>
      <c r="H259" s="24"/>
      <c r="I259" s="24"/>
      <c r="J259" s="24"/>
      <c r="K259" s="37" t="str">
        <f t="shared" si="16"/>
        <v/>
      </c>
      <c r="L259" s="37" t="str">
        <f t="shared" si="17"/>
        <v/>
      </c>
      <c r="M259" s="37" t="str">
        <f t="shared" si="18"/>
        <v/>
      </c>
      <c r="N259" s="37" t="str">
        <f t="shared" si="19"/>
        <v/>
      </c>
      <c r="O259" s="37" t="str">
        <f>IF(OR($D259="",$F259=""),"",$F259*IFERROR(VLOOKUP($D259,Maestro_SKU!$A$2:$P$500,12,FALSE),1))</f>
        <v/>
      </c>
    </row>
    <row r="260" spans="1:15" x14ac:dyDescent="0.35">
      <c r="A260" s="25"/>
      <c r="B260" s="24"/>
      <c r="C260" s="24"/>
      <c r="D260" s="24"/>
      <c r="E260" s="28" t="str">
        <f>IFERROR(VLOOKUP(D260,Maestro_SKU!$A$2:$P$500,2,FALSE),"")</f>
        <v/>
      </c>
      <c r="F260" s="24"/>
      <c r="G260" s="30"/>
      <c r="H260" s="24"/>
      <c r="I260" s="24"/>
      <c r="J260" s="24"/>
      <c r="K260" s="37" t="str">
        <f t="shared" si="16"/>
        <v/>
      </c>
      <c r="L260" s="37" t="str">
        <f t="shared" si="17"/>
        <v/>
      </c>
      <c r="M260" s="37" t="str">
        <f t="shared" si="18"/>
        <v/>
      </c>
      <c r="N260" s="37" t="str">
        <f t="shared" si="19"/>
        <v/>
      </c>
      <c r="O260" s="37" t="str">
        <f>IF(OR($D260="",$F260=""),"",$F260*IFERROR(VLOOKUP($D260,Maestro_SKU!$A$2:$P$500,12,FALSE),1))</f>
        <v/>
      </c>
    </row>
    <row r="261" spans="1:15" x14ac:dyDescent="0.35">
      <c r="A261" s="25"/>
      <c r="B261" s="24"/>
      <c r="C261" s="24"/>
      <c r="D261" s="24"/>
      <c r="E261" s="28" t="str">
        <f>IFERROR(VLOOKUP(D261,Maestro_SKU!$A$2:$P$500,2,FALSE),"")</f>
        <v/>
      </c>
      <c r="F261" s="24"/>
      <c r="G261" s="30"/>
      <c r="H261" s="24"/>
      <c r="I261" s="24"/>
      <c r="J261" s="24"/>
      <c r="K261" s="37" t="str">
        <f t="shared" si="16"/>
        <v/>
      </c>
      <c r="L261" s="37" t="str">
        <f t="shared" si="17"/>
        <v/>
      </c>
      <c r="M261" s="37" t="str">
        <f t="shared" si="18"/>
        <v/>
      </c>
      <c r="N261" s="37" t="str">
        <f t="shared" si="19"/>
        <v/>
      </c>
      <c r="O261" s="37" t="str">
        <f>IF(OR($D261="",$F261=""),"",$F261*IFERROR(VLOOKUP($D261,Maestro_SKU!$A$2:$P$500,12,FALSE),1))</f>
        <v/>
      </c>
    </row>
    <row r="262" spans="1:15" x14ac:dyDescent="0.35">
      <c r="A262" s="25"/>
      <c r="B262" s="24"/>
      <c r="C262" s="24"/>
      <c r="D262" s="24"/>
      <c r="E262" s="28" t="str">
        <f>IFERROR(VLOOKUP(D262,Maestro_SKU!$A$2:$P$500,2,FALSE),"")</f>
        <v/>
      </c>
      <c r="F262" s="24"/>
      <c r="G262" s="30"/>
      <c r="H262" s="24"/>
      <c r="I262" s="24"/>
      <c r="J262" s="24"/>
      <c r="K262" s="37" t="str">
        <f t="shared" si="16"/>
        <v/>
      </c>
      <c r="L262" s="37" t="str">
        <f t="shared" si="17"/>
        <v/>
      </c>
      <c r="M262" s="37" t="str">
        <f t="shared" si="18"/>
        <v/>
      </c>
      <c r="N262" s="37" t="str">
        <f t="shared" si="19"/>
        <v/>
      </c>
      <c r="O262" s="37" t="str">
        <f>IF(OR($D262="",$F262=""),"",$F262*IFERROR(VLOOKUP($D262,Maestro_SKU!$A$2:$P$500,12,FALSE),1))</f>
        <v/>
      </c>
    </row>
    <row r="263" spans="1:15" x14ac:dyDescent="0.35">
      <c r="A263" s="25"/>
      <c r="B263" s="24"/>
      <c r="C263" s="24"/>
      <c r="D263" s="24"/>
      <c r="E263" s="28" t="str">
        <f>IFERROR(VLOOKUP(D263,Maestro_SKU!$A$2:$P$500,2,FALSE),"")</f>
        <v/>
      </c>
      <c r="F263" s="24"/>
      <c r="G263" s="30"/>
      <c r="H263" s="24"/>
      <c r="I263" s="24"/>
      <c r="J263" s="24"/>
      <c r="K263" s="37" t="str">
        <f t="shared" si="16"/>
        <v/>
      </c>
      <c r="L263" s="37" t="str">
        <f t="shared" si="17"/>
        <v/>
      </c>
      <c r="M263" s="37" t="str">
        <f t="shared" si="18"/>
        <v/>
      </c>
      <c r="N263" s="37" t="str">
        <f t="shared" si="19"/>
        <v/>
      </c>
      <c r="O263" s="37" t="str">
        <f>IF(OR($D263="",$F263=""),"",$F263*IFERROR(VLOOKUP($D263,Maestro_SKU!$A$2:$P$500,12,FALSE),1))</f>
        <v/>
      </c>
    </row>
    <row r="264" spans="1:15" x14ac:dyDescent="0.35">
      <c r="A264" s="25"/>
      <c r="B264" s="24"/>
      <c r="C264" s="24"/>
      <c r="D264" s="24"/>
      <c r="E264" s="28" t="str">
        <f>IFERROR(VLOOKUP(D264,Maestro_SKU!$A$2:$P$500,2,FALSE),"")</f>
        <v/>
      </c>
      <c r="F264" s="24"/>
      <c r="G264" s="30"/>
      <c r="H264" s="24"/>
      <c r="I264" s="24"/>
      <c r="J264" s="24"/>
      <c r="K264" s="37" t="str">
        <f t="shared" si="16"/>
        <v/>
      </c>
      <c r="L264" s="37" t="str">
        <f t="shared" si="17"/>
        <v/>
      </c>
      <c r="M264" s="37" t="str">
        <f t="shared" si="18"/>
        <v/>
      </c>
      <c r="N264" s="37" t="str">
        <f t="shared" si="19"/>
        <v/>
      </c>
      <c r="O264" s="37" t="str">
        <f>IF(OR($D264="",$F264=""),"",$F264*IFERROR(VLOOKUP($D264,Maestro_SKU!$A$2:$P$500,12,FALSE),1))</f>
        <v/>
      </c>
    </row>
    <row r="265" spans="1:15" x14ac:dyDescent="0.35">
      <c r="A265" s="25"/>
      <c r="B265" s="24"/>
      <c r="C265" s="24"/>
      <c r="D265" s="24"/>
      <c r="E265" s="28" t="str">
        <f>IFERROR(VLOOKUP(D265,Maestro_SKU!$A$2:$P$500,2,FALSE),"")</f>
        <v/>
      </c>
      <c r="F265" s="24"/>
      <c r="G265" s="30"/>
      <c r="H265" s="24"/>
      <c r="I265" s="24"/>
      <c r="J265" s="24"/>
      <c r="K265" s="37" t="str">
        <f t="shared" si="16"/>
        <v/>
      </c>
      <c r="L265" s="37" t="str">
        <f t="shared" si="17"/>
        <v/>
      </c>
      <c r="M265" s="37" t="str">
        <f t="shared" si="18"/>
        <v/>
      </c>
      <c r="N265" s="37" t="str">
        <f t="shared" si="19"/>
        <v/>
      </c>
      <c r="O265" s="37" t="str">
        <f>IF(OR($D265="",$F265=""),"",$F265*IFERROR(VLOOKUP($D265,Maestro_SKU!$A$2:$P$500,12,FALSE),1))</f>
        <v/>
      </c>
    </row>
    <row r="266" spans="1:15" x14ac:dyDescent="0.35">
      <c r="A266" s="25"/>
      <c r="B266" s="24"/>
      <c r="C266" s="24"/>
      <c r="D266" s="24"/>
      <c r="E266" s="28" t="str">
        <f>IFERROR(VLOOKUP(D266,Maestro_SKU!$A$2:$P$500,2,FALSE),"")</f>
        <v/>
      </c>
      <c r="F266" s="24"/>
      <c r="G266" s="30"/>
      <c r="H266" s="24"/>
      <c r="I266" s="24"/>
      <c r="J266" s="24"/>
      <c r="K266" s="37" t="str">
        <f t="shared" si="16"/>
        <v/>
      </c>
      <c r="L266" s="37" t="str">
        <f t="shared" si="17"/>
        <v/>
      </c>
      <c r="M266" s="37" t="str">
        <f t="shared" si="18"/>
        <v/>
      </c>
      <c r="N266" s="37" t="str">
        <f t="shared" si="19"/>
        <v/>
      </c>
      <c r="O266" s="37" t="str">
        <f>IF(OR($D266="",$F266=""),"",$F266*IFERROR(VLOOKUP($D266,Maestro_SKU!$A$2:$P$500,12,FALSE),1))</f>
        <v/>
      </c>
    </row>
    <row r="267" spans="1:15" x14ac:dyDescent="0.35">
      <c r="A267" s="25"/>
      <c r="B267" s="24"/>
      <c r="C267" s="24"/>
      <c r="D267" s="24"/>
      <c r="E267" s="28" t="str">
        <f>IFERROR(VLOOKUP(D267,Maestro_SKU!$A$2:$P$500,2,FALSE),"")</f>
        <v/>
      </c>
      <c r="F267" s="24"/>
      <c r="G267" s="30"/>
      <c r="H267" s="24"/>
      <c r="I267" s="24"/>
      <c r="J267" s="24"/>
      <c r="K267" s="37" t="str">
        <f t="shared" si="16"/>
        <v/>
      </c>
      <c r="L267" s="37" t="str">
        <f t="shared" si="17"/>
        <v/>
      </c>
      <c r="M267" s="37" t="str">
        <f t="shared" si="18"/>
        <v/>
      </c>
      <c r="N267" s="37" t="str">
        <f t="shared" si="19"/>
        <v/>
      </c>
      <c r="O267" s="37" t="str">
        <f>IF(OR($D267="",$F267=""),"",$F267*IFERROR(VLOOKUP($D267,Maestro_SKU!$A$2:$P$500,12,FALSE),1))</f>
        <v/>
      </c>
    </row>
    <row r="268" spans="1:15" x14ac:dyDescent="0.35">
      <c r="A268" s="25"/>
      <c r="B268" s="24"/>
      <c r="C268" s="24"/>
      <c r="D268" s="24"/>
      <c r="E268" s="28" t="str">
        <f>IFERROR(VLOOKUP(D268,Maestro_SKU!$A$2:$P$500,2,FALSE),"")</f>
        <v/>
      </c>
      <c r="F268" s="24"/>
      <c r="G268" s="30"/>
      <c r="H268" s="24"/>
      <c r="I268" s="24"/>
      <c r="J268" s="24"/>
      <c r="K268" s="37" t="str">
        <f t="shared" si="16"/>
        <v/>
      </c>
      <c r="L268" s="37" t="str">
        <f t="shared" si="17"/>
        <v/>
      </c>
      <c r="M268" s="37" t="str">
        <f t="shared" si="18"/>
        <v/>
      </c>
      <c r="N268" s="37" t="str">
        <f t="shared" si="19"/>
        <v/>
      </c>
      <c r="O268" s="37" t="str">
        <f>IF(OR($D268="",$F268=""),"",$F268*IFERROR(VLOOKUP($D268,Maestro_SKU!$A$2:$P$500,12,FALSE),1))</f>
        <v/>
      </c>
    </row>
    <row r="269" spans="1:15" x14ac:dyDescent="0.35">
      <c r="A269" s="25"/>
      <c r="B269" s="24"/>
      <c r="C269" s="24"/>
      <c r="D269" s="24"/>
      <c r="E269" s="28" t="str">
        <f>IFERROR(VLOOKUP(D269,Maestro_SKU!$A$2:$P$500,2,FALSE),"")</f>
        <v/>
      </c>
      <c r="F269" s="24"/>
      <c r="G269" s="30"/>
      <c r="H269" s="24"/>
      <c r="I269" s="24"/>
      <c r="J269" s="24"/>
      <c r="K269" s="37" t="str">
        <f t="shared" si="16"/>
        <v/>
      </c>
      <c r="L269" s="37" t="str">
        <f t="shared" si="17"/>
        <v/>
      </c>
      <c r="M269" s="37" t="str">
        <f t="shared" si="18"/>
        <v/>
      </c>
      <c r="N269" s="37" t="str">
        <f t="shared" si="19"/>
        <v/>
      </c>
      <c r="O269" s="37" t="str">
        <f>IF(OR($D269="",$F269=""),"",$F269*IFERROR(VLOOKUP($D269,Maestro_SKU!$A$2:$P$500,12,FALSE),1))</f>
        <v/>
      </c>
    </row>
    <row r="270" spans="1:15" x14ac:dyDescent="0.35">
      <c r="A270" s="25"/>
      <c r="B270" s="24"/>
      <c r="C270" s="24"/>
      <c r="D270" s="24"/>
      <c r="E270" s="28" t="str">
        <f>IFERROR(VLOOKUP(D270,Maestro_SKU!$A$2:$P$500,2,FALSE),"")</f>
        <v/>
      </c>
      <c r="F270" s="24"/>
      <c r="G270" s="30"/>
      <c r="H270" s="24"/>
      <c r="I270" s="24"/>
      <c r="J270" s="24"/>
      <c r="K270" s="37" t="str">
        <f t="shared" si="16"/>
        <v/>
      </c>
      <c r="L270" s="37" t="str">
        <f t="shared" si="17"/>
        <v/>
      </c>
      <c r="M270" s="37" t="str">
        <f t="shared" si="18"/>
        <v/>
      </c>
      <c r="N270" s="37" t="str">
        <f t="shared" si="19"/>
        <v/>
      </c>
      <c r="O270" s="37" t="str">
        <f>IF(OR($D270="",$F270=""),"",$F270*IFERROR(VLOOKUP($D270,Maestro_SKU!$A$2:$P$500,12,FALSE),1))</f>
        <v/>
      </c>
    </row>
    <row r="271" spans="1:15" x14ac:dyDescent="0.35">
      <c r="A271" s="25"/>
      <c r="B271" s="24"/>
      <c r="C271" s="24"/>
      <c r="D271" s="24"/>
      <c r="E271" s="28" t="str">
        <f>IFERROR(VLOOKUP(D271,Maestro_SKU!$A$2:$P$500,2,FALSE),"")</f>
        <v/>
      </c>
      <c r="F271" s="24"/>
      <c r="G271" s="30"/>
      <c r="H271" s="24"/>
      <c r="I271" s="24"/>
      <c r="J271" s="24"/>
      <c r="K271" s="37" t="str">
        <f t="shared" si="16"/>
        <v/>
      </c>
      <c r="L271" s="37" t="str">
        <f t="shared" si="17"/>
        <v/>
      </c>
      <c r="M271" s="37" t="str">
        <f t="shared" si="18"/>
        <v/>
      </c>
      <c r="N271" s="37" t="str">
        <f t="shared" si="19"/>
        <v/>
      </c>
      <c r="O271" s="37" t="str">
        <f>IF(OR($D271="",$F271=""),"",$F271*IFERROR(VLOOKUP($D271,Maestro_SKU!$A$2:$P$500,12,FALSE),1))</f>
        <v/>
      </c>
    </row>
    <row r="272" spans="1:15" x14ac:dyDescent="0.35">
      <c r="A272" s="25"/>
      <c r="B272" s="24"/>
      <c r="C272" s="24"/>
      <c r="D272" s="24"/>
      <c r="E272" s="28" t="str">
        <f>IFERROR(VLOOKUP(D272,Maestro_SKU!$A$2:$P$500,2,FALSE),"")</f>
        <v/>
      </c>
      <c r="F272" s="24"/>
      <c r="G272" s="30"/>
      <c r="H272" s="24"/>
      <c r="I272" s="24"/>
      <c r="J272" s="24"/>
      <c r="K272" s="37" t="str">
        <f t="shared" si="16"/>
        <v/>
      </c>
      <c r="L272" s="37" t="str">
        <f t="shared" si="17"/>
        <v/>
      </c>
      <c r="M272" s="37" t="str">
        <f t="shared" si="18"/>
        <v/>
      </c>
      <c r="N272" s="37" t="str">
        <f t="shared" si="19"/>
        <v/>
      </c>
      <c r="O272" s="37" t="str">
        <f>IF(OR($D272="",$F272=""),"",$F272*IFERROR(VLOOKUP($D272,Maestro_SKU!$A$2:$P$500,12,FALSE),1))</f>
        <v/>
      </c>
    </row>
    <row r="273" spans="1:15" x14ac:dyDescent="0.35">
      <c r="A273" s="25"/>
      <c r="B273" s="24"/>
      <c r="C273" s="24"/>
      <c r="D273" s="24"/>
      <c r="E273" s="28" t="str">
        <f>IFERROR(VLOOKUP(D273,Maestro_SKU!$A$2:$P$500,2,FALSE),"")</f>
        <v/>
      </c>
      <c r="F273" s="24"/>
      <c r="G273" s="30"/>
      <c r="H273" s="24"/>
      <c r="I273" s="24"/>
      <c r="J273" s="24"/>
      <c r="K273" s="37" t="str">
        <f t="shared" si="16"/>
        <v/>
      </c>
      <c r="L273" s="37" t="str">
        <f t="shared" si="17"/>
        <v/>
      </c>
      <c r="M273" s="37" t="str">
        <f t="shared" si="18"/>
        <v/>
      </c>
      <c r="N273" s="37" t="str">
        <f t="shared" si="19"/>
        <v/>
      </c>
      <c r="O273" s="37" t="str">
        <f>IF(OR($D273="",$F273=""),"",$F273*IFERROR(VLOOKUP($D273,Maestro_SKU!$A$2:$P$500,12,FALSE),1))</f>
        <v/>
      </c>
    </row>
    <row r="274" spans="1:15" x14ac:dyDescent="0.35">
      <c r="A274" s="25"/>
      <c r="B274" s="24"/>
      <c r="C274" s="24"/>
      <c r="D274" s="24"/>
      <c r="E274" s="28" t="str">
        <f>IFERROR(VLOOKUP(D274,Maestro_SKU!$A$2:$P$500,2,FALSE),"")</f>
        <v/>
      </c>
      <c r="F274" s="24"/>
      <c r="G274" s="30"/>
      <c r="H274" s="24"/>
      <c r="I274" s="24"/>
      <c r="J274" s="24"/>
      <c r="K274" s="37" t="str">
        <f t="shared" si="16"/>
        <v/>
      </c>
      <c r="L274" s="37" t="str">
        <f t="shared" si="17"/>
        <v/>
      </c>
      <c r="M274" s="37" t="str">
        <f t="shared" si="18"/>
        <v/>
      </c>
      <c r="N274" s="37" t="str">
        <f t="shared" si="19"/>
        <v/>
      </c>
      <c r="O274" s="37" t="str">
        <f>IF(OR($D274="",$F274=""),"",$F274*IFERROR(VLOOKUP($D274,Maestro_SKU!$A$2:$P$500,12,FALSE),1))</f>
        <v/>
      </c>
    </row>
    <row r="275" spans="1:15" x14ac:dyDescent="0.35">
      <c r="A275" s="25"/>
      <c r="B275" s="24"/>
      <c r="C275" s="24"/>
      <c r="D275" s="24"/>
      <c r="E275" s="28" t="str">
        <f>IFERROR(VLOOKUP(D275,Maestro_SKU!$A$2:$P$500,2,FALSE),"")</f>
        <v/>
      </c>
      <c r="F275" s="24"/>
      <c r="G275" s="30"/>
      <c r="H275" s="24"/>
      <c r="I275" s="24"/>
      <c r="J275" s="24"/>
      <c r="K275" s="37" t="str">
        <f t="shared" si="16"/>
        <v/>
      </c>
      <c r="L275" s="37" t="str">
        <f t="shared" si="17"/>
        <v/>
      </c>
      <c r="M275" s="37" t="str">
        <f t="shared" si="18"/>
        <v/>
      </c>
      <c r="N275" s="37" t="str">
        <f t="shared" si="19"/>
        <v/>
      </c>
      <c r="O275" s="37" t="str">
        <f>IF(OR($D275="",$F275=""),"",$F275*IFERROR(VLOOKUP($D275,Maestro_SKU!$A$2:$P$500,12,FALSE),1))</f>
        <v/>
      </c>
    </row>
    <row r="276" spans="1:15" x14ac:dyDescent="0.35">
      <c r="A276" s="25"/>
      <c r="B276" s="24"/>
      <c r="C276" s="24"/>
      <c r="D276" s="24"/>
      <c r="E276" s="28" t="str">
        <f>IFERROR(VLOOKUP(D276,Maestro_SKU!$A$2:$P$500,2,FALSE),"")</f>
        <v/>
      </c>
      <c r="F276" s="24"/>
      <c r="G276" s="30"/>
      <c r="H276" s="24"/>
      <c r="I276" s="24"/>
      <c r="J276" s="24"/>
      <c r="K276" s="37" t="str">
        <f t="shared" si="16"/>
        <v/>
      </c>
      <c r="L276" s="37" t="str">
        <f t="shared" si="17"/>
        <v/>
      </c>
      <c r="M276" s="37" t="str">
        <f t="shared" si="18"/>
        <v/>
      </c>
      <c r="N276" s="37" t="str">
        <f t="shared" si="19"/>
        <v/>
      </c>
      <c r="O276" s="37" t="str">
        <f>IF(OR($D276="",$F276=""),"",$F276*IFERROR(VLOOKUP($D276,Maestro_SKU!$A$2:$P$500,12,FALSE),1))</f>
        <v/>
      </c>
    </row>
    <row r="277" spans="1:15" x14ac:dyDescent="0.35">
      <c r="A277" s="25"/>
      <c r="B277" s="24"/>
      <c r="C277" s="24"/>
      <c r="D277" s="24"/>
      <c r="E277" s="28" t="str">
        <f>IFERROR(VLOOKUP(D277,Maestro_SKU!$A$2:$P$500,2,FALSE),"")</f>
        <v/>
      </c>
      <c r="F277" s="24"/>
      <c r="G277" s="30"/>
      <c r="H277" s="24"/>
      <c r="I277" s="24"/>
      <c r="J277" s="24"/>
      <c r="K277" s="37" t="str">
        <f t="shared" si="16"/>
        <v/>
      </c>
      <c r="L277" s="37" t="str">
        <f t="shared" si="17"/>
        <v/>
      </c>
      <c r="M277" s="37" t="str">
        <f t="shared" si="18"/>
        <v/>
      </c>
      <c r="N277" s="37" t="str">
        <f t="shared" si="19"/>
        <v/>
      </c>
      <c r="O277" s="37" t="str">
        <f>IF(OR($D277="",$F277=""),"",$F277*IFERROR(VLOOKUP($D277,Maestro_SKU!$A$2:$P$500,12,FALSE),1))</f>
        <v/>
      </c>
    </row>
    <row r="278" spans="1:15" x14ac:dyDescent="0.35">
      <c r="A278" s="25"/>
      <c r="B278" s="24"/>
      <c r="C278" s="24"/>
      <c r="D278" s="24"/>
      <c r="E278" s="28" t="str">
        <f>IFERROR(VLOOKUP(D278,Maestro_SKU!$A$2:$P$500,2,FALSE),"")</f>
        <v/>
      </c>
      <c r="F278" s="24"/>
      <c r="G278" s="30"/>
      <c r="H278" s="24"/>
      <c r="I278" s="24"/>
      <c r="J278" s="24"/>
      <c r="K278" s="37" t="str">
        <f t="shared" si="16"/>
        <v/>
      </c>
      <c r="L278" s="37" t="str">
        <f t="shared" si="17"/>
        <v/>
      </c>
      <c r="M278" s="37" t="str">
        <f t="shared" si="18"/>
        <v/>
      </c>
      <c r="N278" s="37" t="str">
        <f t="shared" si="19"/>
        <v/>
      </c>
      <c r="O278" s="37" t="str">
        <f>IF(OR($D278="",$F278=""),"",$F278*IFERROR(VLOOKUP($D278,Maestro_SKU!$A$2:$P$500,12,FALSE),1))</f>
        <v/>
      </c>
    </row>
    <row r="279" spans="1:15" x14ac:dyDescent="0.35">
      <c r="A279" s="25"/>
      <c r="B279" s="24"/>
      <c r="C279" s="24"/>
      <c r="D279" s="24"/>
      <c r="E279" s="28" t="str">
        <f>IFERROR(VLOOKUP(D279,Maestro_SKU!$A$2:$P$500,2,FALSE),"")</f>
        <v/>
      </c>
      <c r="F279" s="24"/>
      <c r="G279" s="30"/>
      <c r="H279" s="24"/>
      <c r="I279" s="24"/>
      <c r="J279" s="24"/>
      <c r="K279" s="37" t="str">
        <f t="shared" si="16"/>
        <v/>
      </c>
      <c r="L279" s="37" t="str">
        <f t="shared" si="17"/>
        <v/>
      </c>
      <c r="M279" s="37" t="str">
        <f t="shared" si="18"/>
        <v/>
      </c>
      <c r="N279" s="37" t="str">
        <f t="shared" si="19"/>
        <v/>
      </c>
      <c r="O279" s="37" t="str">
        <f>IF(OR($D279="",$F279=""),"",$F279*IFERROR(VLOOKUP($D279,Maestro_SKU!$A$2:$P$500,12,FALSE),1))</f>
        <v/>
      </c>
    </row>
    <row r="280" spans="1:15" x14ac:dyDescent="0.35">
      <c r="A280" s="25"/>
      <c r="B280" s="24"/>
      <c r="C280" s="24"/>
      <c r="D280" s="24"/>
      <c r="E280" s="28" t="str">
        <f>IFERROR(VLOOKUP(D280,Maestro_SKU!$A$2:$P$500,2,FALSE),"")</f>
        <v/>
      </c>
      <c r="F280" s="24"/>
      <c r="G280" s="30"/>
      <c r="H280" s="24"/>
      <c r="I280" s="24"/>
      <c r="J280" s="24"/>
      <c r="K280" s="37" t="str">
        <f t="shared" si="16"/>
        <v/>
      </c>
      <c r="L280" s="37" t="str">
        <f t="shared" si="17"/>
        <v/>
      </c>
      <c r="M280" s="37" t="str">
        <f t="shared" si="18"/>
        <v/>
      </c>
      <c r="N280" s="37" t="str">
        <f t="shared" si="19"/>
        <v/>
      </c>
      <c r="O280" s="37" t="str">
        <f>IF(OR($D280="",$F280=""),"",$F280*IFERROR(VLOOKUP($D280,Maestro_SKU!$A$2:$P$500,12,FALSE),1))</f>
        <v/>
      </c>
    </row>
    <row r="281" spans="1:15" x14ac:dyDescent="0.35">
      <c r="A281" s="25"/>
      <c r="B281" s="24"/>
      <c r="C281" s="24"/>
      <c r="D281" s="24"/>
      <c r="E281" s="28" t="str">
        <f>IFERROR(VLOOKUP(D281,Maestro_SKU!$A$2:$P$500,2,FALSE),"")</f>
        <v/>
      </c>
      <c r="F281" s="24"/>
      <c r="G281" s="30"/>
      <c r="H281" s="24"/>
      <c r="I281" s="24"/>
      <c r="J281" s="24"/>
      <c r="K281" s="37" t="str">
        <f t="shared" si="16"/>
        <v/>
      </c>
      <c r="L281" s="37" t="str">
        <f t="shared" si="17"/>
        <v/>
      </c>
      <c r="M281" s="37" t="str">
        <f t="shared" si="18"/>
        <v/>
      </c>
      <c r="N281" s="37" t="str">
        <f t="shared" si="19"/>
        <v/>
      </c>
      <c r="O281" s="37" t="str">
        <f>IF(OR($D281="",$F281=""),"",$F281*IFERROR(VLOOKUP($D281,Maestro_SKU!$A$2:$P$500,12,FALSE),1))</f>
        <v/>
      </c>
    </row>
    <row r="282" spans="1:15" x14ac:dyDescent="0.35">
      <c r="A282" s="25"/>
      <c r="B282" s="24"/>
      <c r="C282" s="24"/>
      <c r="D282" s="24"/>
      <c r="E282" s="28" t="str">
        <f>IFERROR(VLOOKUP(D282,Maestro_SKU!$A$2:$P$500,2,FALSE),"")</f>
        <v/>
      </c>
      <c r="F282" s="24"/>
      <c r="G282" s="30"/>
      <c r="H282" s="24"/>
      <c r="I282" s="24"/>
      <c r="J282" s="24"/>
      <c r="K282" s="37" t="str">
        <f t="shared" si="16"/>
        <v/>
      </c>
      <c r="L282" s="37" t="str">
        <f t="shared" si="17"/>
        <v/>
      </c>
      <c r="M282" s="37" t="str">
        <f t="shared" si="18"/>
        <v/>
      </c>
      <c r="N282" s="37" t="str">
        <f t="shared" si="19"/>
        <v/>
      </c>
      <c r="O282" s="37" t="str">
        <f>IF(OR($D282="",$F282=""),"",$F282*IFERROR(VLOOKUP($D282,Maestro_SKU!$A$2:$P$500,12,FALSE),1))</f>
        <v/>
      </c>
    </row>
    <row r="283" spans="1:15" x14ac:dyDescent="0.35">
      <c r="A283" s="25"/>
      <c r="B283" s="24"/>
      <c r="C283" s="24"/>
      <c r="D283" s="24"/>
      <c r="E283" s="28" t="str">
        <f>IFERROR(VLOOKUP(D283,Maestro_SKU!$A$2:$P$500,2,FALSE),"")</f>
        <v/>
      </c>
      <c r="F283" s="24"/>
      <c r="G283" s="30"/>
      <c r="H283" s="24"/>
      <c r="I283" s="24"/>
      <c r="J283" s="24"/>
      <c r="K283" s="37" t="str">
        <f t="shared" si="16"/>
        <v/>
      </c>
      <c r="L283" s="37" t="str">
        <f t="shared" si="17"/>
        <v/>
      </c>
      <c r="M283" s="37" t="str">
        <f t="shared" si="18"/>
        <v/>
      </c>
      <c r="N283" s="37" t="str">
        <f t="shared" si="19"/>
        <v/>
      </c>
      <c r="O283" s="37" t="str">
        <f>IF(OR($D283="",$F283=""),"",$F283*IFERROR(VLOOKUP($D283,Maestro_SKU!$A$2:$P$500,12,FALSE),1))</f>
        <v/>
      </c>
    </row>
    <row r="284" spans="1:15" x14ac:dyDescent="0.35">
      <c r="A284" s="25"/>
      <c r="B284" s="24"/>
      <c r="C284" s="24"/>
      <c r="D284" s="24"/>
      <c r="E284" s="28" t="str">
        <f>IFERROR(VLOOKUP(D284,Maestro_SKU!$A$2:$P$500,2,FALSE),"")</f>
        <v/>
      </c>
      <c r="F284" s="24"/>
      <c r="G284" s="30"/>
      <c r="H284" s="24"/>
      <c r="I284" s="24"/>
      <c r="J284" s="24"/>
      <c r="K284" s="37" t="str">
        <f t="shared" si="16"/>
        <v/>
      </c>
      <c r="L284" s="37" t="str">
        <f t="shared" si="17"/>
        <v/>
      </c>
      <c r="M284" s="37" t="str">
        <f t="shared" si="18"/>
        <v/>
      </c>
      <c r="N284" s="37" t="str">
        <f t="shared" si="19"/>
        <v/>
      </c>
      <c r="O284" s="37" t="str">
        <f>IF(OR($D284="",$F284=""),"",$F284*IFERROR(VLOOKUP($D284,Maestro_SKU!$A$2:$P$500,12,FALSE),1))</f>
        <v/>
      </c>
    </row>
    <row r="285" spans="1:15" x14ac:dyDescent="0.35">
      <c r="A285" s="25"/>
      <c r="B285" s="24"/>
      <c r="C285" s="24"/>
      <c r="D285" s="24"/>
      <c r="E285" s="28" t="str">
        <f>IFERROR(VLOOKUP(D285,Maestro_SKU!$A$2:$P$500,2,FALSE),"")</f>
        <v/>
      </c>
      <c r="F285" s="24"/>
      <c r="G285" s="30"/>
      <c r="H285" s="24"/>
      <c r="I285" s="24"/>
      <c r="J285" s="24"/>
      <c r="K285" s="37" t="str">
        <f t="shared" si="16"/>
        <v/>
      </c>
      <c r="L285" s="37" t="str">
        <f t="shared" si="17"/>
        <v/>
      </c>
      <c r="M285" s="37" t="str">
        <f t="shared" si="18"/>
        <v/>
      </c>
      <c r="N285" s="37" t="str">
        <f t="shared" si="19"/>
        <v/>
      </c>
      <c r="O285" s="37" t="str">
        <f>IF(OR($D285="",$F285=""),"",$F285*IFERROR(VLOOKUP($D285,Maestro_SKU!$A$2:$P$500,12,FALSE),1))</f>
        <v/>
      </c>
    </row>
    <row r="286" spans="1:15" x14ac:dyDescent="0.35">
      <c r="A286" s="25"/>
      <c r="B286" s="24"/>
      <c r="C286" s="24"/>
      <c r="D286" s="24"/>
      <c r="E286" s="28" t="str">
        <f>IFERROR(VLOOKUP(D286,Maestro_SKU!$A$2:$P$500,2,FALSE),"")</f>
        <v/>
      </c>
      <c r="F286" s="24"/>
      <c r="G286" s="30"/>
      <c r="H286" s="24"/>
      <c r="I286" s="24"/>
      <c r="J286" s="24"/>
      <c r="K286" s="37" t="str">
        <f t="shared" si="16"/>
        <v/>
      </c>
      <c r="L286" s="37" t="str">
        <f t="shared" si="17"/>
        <v/>
      </c>
      <c r="M286" s="37" t="str">
        <f t="shared" si="18"/>
        <v/>
      </c>
      <c r="N286" s="37" t="str">
        <f t="shared" si="19"/>
        <v/>
      </c>
      <c r="O286" s="37" t="str">
        <f>IF(OR($D286="",$F286=""),"",$F286*IFERROR(VLOOKUP($D286,Maestro_SKU!$A$2:$P$500,12,FALSE),1))</f>
        <v/>
      </c>
    </row>
    <row r="287" spans="1:15" x14ac:dyDescent="0.35">
      <c r="A287" s="25"/>
      <c r="B287" s="24"/>
      <c r="C287" s="24"/>
      <c r="D287" s="24"/>
      <c r="E287" s="28" t="str">
        <f>IFERROR(VLOOKUP(D287,Maestro_SKU!$A$2:$P$500,2,FALSE),"")</f>
        <v/>
      </c>
      <c r="F287" s="24"/>
      <c r="G287" s="30"/>
      <c r="H287" s="24"/>
      <c r="I287" s="24"/>
      <c r="J287" s="24"/>
      <c r="K287" s="37" t="str">
        <f t="shared" si="16"/>
        <v/>
      </c>
      <c r="L287" s="37" t="str">
        <f t="shared" si="17"/>
        <v/>
      </c>
      <c r="M287" s="37" t="str">
        <f t="shared" si="18"/>
        <v/>
      </c>
      <c r="N287" s="37" t="str">
        <f t="shared" si="19"/>
        <v/>
      </c>
      <c r="O287" s="37" t="str">
        <f>IF(OR($D287="",$F287=""),"",$F287*IFERROR(VLOOKUP($D287,Maestro_SKU!$A$2:$P$500,12,FALSE),1))</f>
        <v/>
      </c>
    </row>
    <row r="288" spans="1:15" x14ac:dyDescent="0.35">
      <c r="A288" s="25"/>
      <c r="B288" s="24"/>
      <c r="C288" s="24"/>
      <c r="D288" s="24"/>
      <c r="E288" s="28" t="str">
        <f>IFERROR(VLOOKUP(D288,Maestro_SKU!$A$2:$P$500,2,FALSE),"")</f>
        <v/>
      </c>
      <c r="F288" s="24"/>
      <c r="G288" s="30"/>
      <c r="H288" s="24"/>
      <c r="I288" s="24"/>
      <c r="J288" s="24"/>
      <c r="K288" s="37" t="str">
        <f t="shared" si="16"/>
        <v/>
      </c>
      <c r="L288" s="37" t="str">
        <f t="shared" si="17"/>
        <v/>
      </c>
      <c r="M288" s="37" t="str">
        <f t="shared" si="18"/>
        <v/>
      </c>
      <c r="N288" s="37" t="str">
        <f t="shared" si="19"/>
        <v/>
      </c>
      <c r="O288" s="37" t="str">
        <f>IF(OR($D288="",$F288=""),"",$F288*IFERROR(VLOOKUP($D288,Maestro_SKU!$A$2:$P$500,12,FALSE),1))</f>
        <v/>
      </c>
    </row>
    <row r="289" spans="1:15" x14ac:dyDescent="0.35">
      <c r="A289" s="25"/>
      <c r="B289" s="24"/>
      <c r="C289" s="24"/>
      <c r="D289" s="24"/>
      <c r="E289" s="28" t="str">
        <f>IFERROR(VLOOKUP(D289,Maestro_SKU!$A$2:$P$500,2,FALSE),"")</f>
        <v/>
      </c>
      <c r="F289" s="24"/>
      <c r="G289" s="30"/>
      <c r="H289" s="24"/>
      <c r="I289" s="24"/>
      <c r="J289" s="24"/>
      <c r="K289" s="37" t="str">
        <f t="shared" si="16"/>
        <v/>
      </c>
      <c r="L289" s="37" t="str">
        <f t="shared" si="17"/>
        <v/>
      </c>
      <c r="M289" s="37" t="str">
        <f t="shared" si="18"/>
        <v/>
      </c>
      <c r="N289" s="37" t="str">
        <f t="shared" si="19"/>
        <v/>
      </c>
      <c r="O289" s="37" t="str">
        <f>IF(OR($D289="",$F289=""),"",$F289*IFERROR(VLOOKUP($D289,Maestro_SKU!$A$2:$P$500,12,FALSE),1))</f>
        <v/>
      </c>
    </row>
    <row r="290" spans="1:15" x14ac:dyDescent="0.35">
      <c r="A290" s="25"/>
      <c r="B290" s="24"/>
      <c r="C290" s="24"/>
      <c r="D290" s="24"/>
      <c r="E290" s="28" t="str">
        <f>IFERROR(VLOOKUP(D290,Maestro_SKU!$A$2:$P$500,2,FALSE),"")</f>
        <v/>
      </c>
      <c r="F290" s="24"/>
      <c r="G290" s="30"/>
      <c r="H290" s="24"/>
      <c r="I290" s="24"/>
      <c r="J290" s="24"/>
      <c r="K290" s="37" t="str">
        <f t="shared" si="16"/>
        <v/>
      </c>
      <c r="L290" s="37" t="str">
        <f t="shared" si="17"/>
        <v/>
      </c>
      <c r="M290" s="37" t="str">
        <f t="shared" si="18"/>
        <v/>
      </c>
      <c r="N290" s="37" t="str">
        <f t="shared" si="19"/>
        <v/>
      </c>
      <c r="O290" s="37" t="str">
        <f>IF(OR($D290="",$F290=""),"",$F290*IFERROR(VLOOKUP($D290,Maestro_SKU!$A$2:$P$500,12,FALSE),1))</f>
        <v/>
      </c>
    </row>
    <row r="291" spans="1:15" x14ac:dyDescent="0.35">
      <c r="A291" s="25"/>
      <c r="B291" s="24"/>
      <c r="C291" s="24"/>
      <c r="D291" s="24"/>
      <c r="E291" s="28" t="str">
        <f>IFERROR(VLOOKUP(D291,Maestro_SKU!$A$2:$P$500,2,FALSE),"")</f>
        <v/>
      </c>
      <c r="F291" s="24"/>
      <c r="G291" s="30"/>
      <c r="H291" s="24"/>
      <c r="I291" s="24"/>
      <c r="J291" s="24"/>
      <c r="K291" s="37" t="str">
        <f t="shared" si="16"/>
        <v/>
      </c>
      <c r="L291" s="37" t="str">
        <f t="shared" si="17"/>
        <v/>
      </c>
      <c r="M291" s="37" t="str">
        <f t="shared" si="18"/>
        <v/>
      </c>
      <c r="N291" s="37" t="str">
        <f t="shared" si="19"/>
        <v/>
      </c>
      <c r="O291" s="37" t="str">
        <f>IF(OR($D291="",$F291=""),"",$F291*IFERROR(VLOOKUP($D291,Maestro_SKU!$A$2:$P$500,12,FALSE),1))</f>
        <v/>
      </c>
    </row>
    <row r="292" spans="1:15" x14ac:dyDescent="0.35">
      <c r="A292" s="25"/>
      <c r="B292" s="24"/>
      <c r="C292" s="24"/>
      <c r="D292" s="24"/>
      <c r="E292" s="28" t="str">
        <f>IFERROR(VLOOKUP(D292,Maestro_SKU!$A$2:$P$500,2,FALSE),"")</f>
        <v/>
      </c>
      <c r="F292" s="24"/>
      <c r="G292" s="30"/>
      <c r="H292" s="24"/>
      <c r="I292" s="24"/>
      <c r="J292" s="24"/>
      <c r="K292" s="37" t="str">
        <f t="shared" si="16"/>
        <v/>
      </c>
      <c r="L292" s="37" t="str">
        <f t="shared" si="17"/>
        <v/>
      </c>
      <c r="M292" s="37" t="str">
        <f t="shared" si="18"/>
        <v/>
      </c>
      <c r="N292" s="37" t="str">
        <f t="shared" si="19"/>
        <v/>
      </c>
      <c r="O292" s="37" t="str">
        <f>IF(OR($D292="",$F292=""),"",$F292*IFERROR(VLOOKUP($D292,Maestro_SKU!$A$2:$P$500,12,FALSE),1))</f>
        <v/>
      </c>
    </row>
    <row r="293" spans="1:15" x14ac:dyDescent="0.35">
      <c r="A293" s="25"/>
      <c r="B293" s="24"/>
      <c r="C293" s="24"/>
      <c r="D293" s="24"/>
      <c r="E293" s="28" t="str">
        <f>IFERROR(VLOOKUP(D293,Maestro_SKU!$A$2:$P$500,2,FALSE),"")</f>
        <v/>
      </c>
      <c r="F293" s="24"/>
      <c r="G293" s="30"/>
      <c r="H293" s="24"/>
      <c r="I293" s="24"/>
      <c r="J293" s="24"/>
      <c r="K293" s="37" t="str">
        <f t="shared" si="16"/>
        <v/>
      </c>
      <c r="L293" s="37" t="str">
        <f t="shared" si="17"/>
        <v/>
      </c>
      <c r="M293" s="37" t="str">
        <f t="shared" si="18"/>
        <v/>
      </c>
      <c r="N293" s="37" t="str">
        <f t="shared" si="19"/>
        <v/>
      </c>
      <c r="O293" s="37" t="str">
        <f>IF(OR($D293="",$F293=""),"",$F293*IFERROR(VLOOKUP($D293,Maestro_SKU!$A$2:$P$500,12,FALSE),1))</f>
        <v/>
      </c>
    </row>
    <row r="294" spans="1:15" x14ac:dyDescent="0.35">
      <c r="A294" s="25"/>
      <c r="B294" s="24"/>
      <c r="C294" s="24"/>
      <c r="D294" s="24"/>
      <c r="E294" s="28" t="str">
        <f>IFERROR(VLOOKUP(D294,Maestro_SKU!$A$2:$P$500,2,FALSE),"")</f>
        <v/>
      </c>
      <c r="F294" s="24"/>
      <c r="G294" s="30"/>
      <c r="H294" s="24"/>
      <c r="I294" s="24"/>
      <c r="J294" s="24"/>
      <c r="K294" s="37" t="str">
        <f t="shared" si="16"/>
        <v/>
      </c>
      <c r="L294" s="37" t="str">
        <f t="shared" si="17"/>
        <v/>
      </c>
      <c r="M294" s="37" t="str">
        <f t="shared" si="18"/>
        <v/>
      </c>
      <c r="N294" s="37" t="str">
        <f t="shared" si="19"/>
        <v/>
      </c>
      <c r="O294" s="37" t="str">
        <f>IF(OR($D294="",$F294=""),"",$F294*IFERROR(VLOOKUP($D294,Maestro_SKU!$A$2:$P$500,12,FALSE),1))</f>
        <v/>
      </c>
    </row>
    <row r="295" spans="1:15" x14ac:dyDescent="0.35">
      <c r="A295" s="25"/>
      <c r="B295" s="24"/>
      <c r="C295" s="24"/>
      <c r="D295" s="24"/>
      <c r="E295" s="28" t="str">
        <f>IFERROR(VLOOKUP(D295,Maestro_SKU!$A$2:$P$500,2,FALSE),"")</f>
        <v/>
      </c>
      <c r="F295" s="24"/>
      <c r="G295" s="30"/>
      <c r="H295" s="24"/>
      <c r="I295" s="24"/>
      <c r="J295" s="24"/>
      <c r="K295" s="37" t="str">
        <f t="shared" si="16"/>
        <v/>
      </c>
      <c r="L295" s="37" t="str">
        <f t="shared" si="17"/>
        <v/>
      </c>
      <c r="M295" s="37" t="str">
        <f t="shared" si="18"/>
        <v/>
      </c>
      <c r="N295" s="37" t="str">
        <f t="shared" si="19"/>
        <v/>
      </c>
      <c r="O295" s="37" t="str">
        <f>IF(OR($D295="",$F295=""),"",$F295*IFERROR(VLOOKUP($D295,Maestro_SKU!$A$2:$P$500,12,FALSE),1))</f>
        <v/>
      </c>
    </row>
    <row r="296" spans="1:15" x14ac:dyDescent="0.35">
      <c r="A296" s="25"/>
      <c r="B296" s="24"/>
      <c r="C296" s="24"/>
      <c r="D296" s="24"/>
      <c r="E296" s="28" t="str">
        <f>IFERROR(VLOOKUP(D296,Maestro_SKU!$A$2:$P$500,2,FALSE),"")</f>
        <v/>
      </c>
      <c r="F296" s="24"/>
      <c r="G296" s="30"/>
      <c r="H296" s="24"/>
      <c r="I296" s="24"/>
      <c r="J296" s="24"/>
      <c r="K296" s="37" t="str">
        <f t="shared" si="16"/>
        <v/>
      </c>
      <c r="L296" s="37" t="str">
        <f t="shared" si="17"/>
        <v/>
      </c>
      <c r="M296" s="37" t="str">
        <f t="shared" si="18"/>
        <v/>
      </c>
      <c r="N296" s="37" t="str">
        <f t="shared" si="19"/>
        <v/>
      </c>
      <c r="O296" s="37" t="str">
        <f>IF(OR($D296="",$F296=""),"",$F296*IFERROR(VLOOKUP($D296,Maestro_SKU!$A$2:$P$500,12,FALSE),1))</f>
        <v/>
      </c>
    </row>
    <row r="297" spans="1:15" x14ac:dyDescent="0.35">
      <c r="A297" s="25"/>
      <c r="B297" s="24"/>
      <c r="C297" s="24"/>
      <c r="D297" s="24"/>
      <c r="E297" s="28" t="str">
        <f>IFERROR(VLOOKUP(D297,Maestro_SKU!$A$2:$P$500,2,FALSE),"")</f>
        <v/>
      </c>
      <c r="F297" s="24"/>
      <c r="G297" s="30"/>
      <c r="H297" s="24"/>
      <c r="I297" s="24"/>
      <c r="J297" s="24"/>
      <c r="K297" s="37" t="str">
        <f t="shared" si="16"/>
        <v/>
      </c>
      <c r="L297" s="37" t="str">
        <f t="shared" si="17"/>
        <v/>
      </c>
      <c r="M297" s="37" t="str">
        <f t="shared" si="18"/>
        <v/>
      </c>
      <c r="N297" s="37" t="str">
        <f t="shared" si="19"/>
        <v/>
      </c>
      <c r="O297" s="37" t="str">
        <f>IF(OR($D297="",$F297=""),"",$F297*IFERROR(VLOOKUP($D297,Maestro_SKU!$A$2:$P$500,12,FALSE),1))</f>
        <v/>
      </c>
    </row>
    <row r="298" spans="1:15" x14ac:dyDescent="0.35">
      <c r="A298" s="25"/>
      <c r="B298" s="24"/>
      <c r="C298" s="24"/>
      <c r="D298" s="24"/>
      <c r="E298" s="28" t="str">
        <f>IFERROR(VLOOKUP(D298,Maestro_SKU!$A$2:$P$500,2,FALSE),"")</f>
        <v/>
      </c>
      <c r="F298" s="24"/>
      <c r="G298" s="30"/>
      <c r="H298" s="24"/>
      <c r="I298" s="24"/>
      <c r="J298" s="24"/>
      <c r="K298" s="37" t="str">
        <f t="shared" si="16"/>
        <v/>
      </c>
      <c r="L298" s="37" t="str">
        <f t="shared" si="17"/>
        <v/>
      </c>
      <c r="M298" s="37" t="str">
        <f t="shared" si="18"/>
        <v/>
      </c>
      <c r="N298" s="37" t="str">
        <f t="shared" si="19"/>
        <v/>
      </c>
      <c r="O298" s="37" t="str">
        <f>IF(OR($D298="",$F298=""),"",$F298*IFERROR(VLOOKUP($D298,Maestro_SKU!$A$2:$P$500,12,FALSE),1))</f>
        <v/>
      </c>
    </row>
    <row r="299" spans="1:15" x14ac:dyDescent="0.35">
      <c r="A299" s="25"/>
      <c r="B299" s="24"/>
      <c r="C299" s="24"/>
      <c r="D299" s="24"/>
      <c r="E299" s="28" t="str">
        <f>IFERROR(VLOOKUP(D299,Maestro_SKU!$A$2:$P$500,2,FALSE),"")</f>
        <v/>
      </c>
      <c r="F299" s="24"/>
      <c r="G299" s="30"/>
      <c r="H299" s="24"/>
      <c r="I299" s="24"/>
      <c r="J299" s="24"/>
      <c r="K299" s="37" t="str">
        <f t="shared" si="16"/>
        <v/>
      </c>
      <c r="L299" s="37" t="str">
        <f t="shared" si="17"/>
        <v/>
      </c>
      <c r="M299" s="37" t="str">
        <f t="shared" si="18"/>
        <v/>
      </c>
      <c r="N299" s="37" t="str">
        <f t="shared" si="19"/>
        <v/>
      </c>
      <c r="O299" s="37" t="str">
        <f>IF(OR($D299="",$F299=""),"",$F299*IFERROR(VLOOKUP($D299,Maestro_SKU!$A$2:$P$500,12,FALSE),1))</f>
        <v/>
      </c>
    </row>
    <row r="300" spans="1:15" x14ac:dyDescent="0.35">
      <c r="A300" s="25"/>
      <c r="B300" s="24"/>
      <c r="C300" s="24"/>
      <c r="D300" s="24"/>
      <c r="E300" s="28" t="str">
        <f>IFERROR(VLOOKUP(D300,Maestro_SKU!$A$2:$P$500,2,FALSE),"")</f>
        <v/>
      </c>
      <c r="F300" s="24"/>
      <c r="G300" s="30"/>
      <c r="H300" s="24"/>
      <c r="I300" s="24"/>
      <c r="J300" s="24"/>
      <c r="K300" s="37" t="str">
        <f t="shared" si="16"/>
        <v/>
      </c>
      <c r="L300" s="37" t="str">
        <f t="shared" si="17"/>
        <v/>
      </c>
      <c r="M300" s="37" t="str">
        <f t="shared" si="18"/>
        <v/>
      </c>
      <c r="N300" s="37" t="str">
        <f t="shared" si="19"/>
        <v/>
      </c>
      <c r="O300" s="37" t="str">
        <f>IF(OR($D300="",$F300=""),"",$F300*IFERROR(VLOOKUP($D300,Maestro_SKU!$A$2:$P$500,12,FALSE),1))</f>
        <v/>
      </c>
    </row>
    <row r="301" spans="1:15" x14ac:dyDescent="0.35">
      <c r="A301" s="25"/>
      <c r="B301" s="24"/>
      <c r="C301" s="24"/>
      <c r="D301" s="24"/>
      <c r="E301" s="28" t="str">
        <f>IFERROR(VLOOKUP(D301,Maestro_SKU!$A$2:$P$500,2,FALSE),"")</f>
        <v/>
      </c>
      <c r="F301" s="24"/>
      <c r="G301" s="30"/>
      <c r="H301" s="24"/>
      <c r="I301" s="24"/>
      <c r="J301" s="24"/>
      <c r="K301" s="37" t="str">
        <f t="shared" si="16"/>
        <v/>
      </c>
      <c r="L301" s="37" t="str">
        <f t="shared" si="17"/>
        <v/>
      </c>
      <c r="M301" s="37" t="str">
        <f t="shared" si="18"/>
        <v/>
      </c>
      <c r="N301" s="37" t="str">
        <f t="shared" si="19"/>
        <v/>
      </c>
      <c r="O301" s="37" t="str">
        <f>IF(OR($D301="",$F301=""),"",$F301*IFERROR(VLOOKUP($D301,Maestro_SKU!$A$2:$P$500,12,FALSE),1))</f>
        <v/>
      </c>
    </row>
    <row r="302" spans="1:15" x14ac:dyDescent="0.35">
      <c r="A302" s="25"/>
      <c r="B302" s="24"/>
      <c r="C302" s="24"/>
      <c r="D302" s="24"/>
      <c r="E302" s="28" t="str">
        <f>IFERROR(VLOOKUP(D302,Maestro_SKU!$A$2:$P$500,2,FALSE),"")</f>
        <v/>
      </c>
      <c r="F302" s="24"/>
      <c r="G302" s="30"/>
      <c r="H302" s="24"/>
      <c r="I302" s="24"/>
      <c r="J302" s="24"/>
      <c r="K302" s="37" t="str">
        <f t="shared" si="16"/>
        <v/>
      </c>
      <c r="L302" s="37" t="str">
        <f t="shared" si="17"/>
        <v/>
      </c>
      <c r="M302" s="37" t="str">
        <f t="shared" si="18"/>
        <v/>
      </c>
      <c r="N302" s="37" t="str">
        <f t="shared" si="19"/>
        <v/>
      </c>
      <c r="O302" s="37" t="str">
        <f>IF(OR($D302="",$F302=""),"",$F302*IFERROR(VLOOKUP($D302,Maestro_SKU!$A$2:$P$500,12,FALSE),1))</f>
        <v/>
      </c>
    </row>
    <row r="303" spans="1:15" x14ac:dyDescent="0.35">
      <c r="A303" s="25"/>
      <c r="B303" s="24"/>
      <c r="C303" s="24"/>
      <c r="D303" s="24"/>
      <c r="E303" s="28" t="str">
        <f>IFERROR(VLOOKUP(D303,Maestro_SKU!$A$2:$P$500,2,FALSE),"")</f>
        <v/>
      </c>
      <c r="F303" s="24"/>
      <c r="G303" s="30"/>
      <c r="H303" s="24"/>
      <c r="I303" s="24"/>
      <c r="J303" s="24"/>
      <c r="K303" s="37" t="str">
        <f t="shared" si="16"/>
        <v/>
      </c>
      <c r="L303" s="37" t="str">
        <f t="shared" si="17"/>
        <v/>
      </c>
      <c r="M303" s="37" t="str">
        <f t="shared" si="18"/>
        <v/>
      </c>
      <c r="N303" s="37" t="str">
        <f t="shared" si="19"/>
        <v/>
      </c>
      <c r="O303" s="37" t="str">
        <f>IF(OR($D303="",$F303=""),"",$F303*IFERROR(VLOOKUP($D303,Maestro_SKU!$A$2:$P$500,12,FALSE),1))</f>
        <v/>
      </c>
    </row>
    <row r="304" spans="1:15" x14ac:dyDescent="0.35">
      <c r="A304" s="25"/>
      <c r="B304" s="24"/>
      <c r="C304" s="24"/>
      <c r="D304" s="24"/>
      <c r="E304" s="28" t="str">
        <f>IFERROR(VLOOKUP(D304,Maestro_SKU!$A$2:$P$500,2,FALSE),"")</f>
        <v/>
      </c>
      <c r="F304" s="24"/>
      <c r="G304" s="30"/>
      <c r="H304" s="24"/>
      <c r="I304" s="24"/>
      <c r="J304" s="24"/>
      <c r="K304" s="37" t="str">
        <f t="shared" si="16"/>
        <v/>
      </c>
      <c r="L304" s="37" t="str">
        <f t="shared" si="17"/>
        <v/>
      </c>
      <c r="M304" s="37" t="str">
        <f t="shared" si="18"/>
        <v/>
      </c>
      <c r="N304" s="37" t="str">
        <f t="shared" si="19"/>
        <v/>
      </c>
      <c r="O304" s="37" t="str">
        <f>IF(OR($D304="",$F304=""),"",$F304*IFERROR(VLOOKUP($D304,Maestro_SKU!$A$2:$P$500,12,FALSE),1))</f>
        <v/>
      </c>
    </row>
    <row r="305" spans="1:15" x14ac:dyDescent="0.35">
      <c r="A305" s="25"/>
      <c r="B305" s="24"/>
      <c r="C305" s="24"/>
      <c r="D305" s="24"/>
      <c r="E305" s="28" t="str">
        <f>IFERROR(VLOOKUP(D305,Maestro_SKU!$A$2:$P$500,2,FALSE),"")</f>
        <v/>
      </c>
      <c r="F305" s="24"/>
      <c r="G305" s="30"/>
      <c r="H305" s="24"/>
      <c r="I305" s="24"/>
      <c r="J305" s="24"/>
      <c r="K305" s="37" t="str">
        <f t="shared" si="16"/>
        <v/>
      </c>
      <c r="L305" s="37" t="str">
        <f t="shared" si="17"/>
        <v/>
      </c>
      <c r="M305" s="37" t="str">
        <f t="shared" si="18"/>
        <v/>
      </c>
      <c r="N305" s="37" t="str">
        <f t="shared" si="19"/>
        <v/>
      </c>
      <c r="O305" s="37" t="str">
        <f>IF(OR($D305="",$F305=""),"",$F305*IFERROR(VLOOKUP($D305,Maestro_SKU!$A$2:$P$500,12,FALSE),1))</f>
        <v/>
      </c>
    </row>
    <row r="306" spans="1:15" x14ac:dyDescent="0.35">
      <c r="A306" s="25"/>
      <c r="B306" s="24"/>
      <c r="C306" s="24"/>
      <c r="D306" s="24"/>
      <c r="E306" s="28" t="str">
        <f>IFERROR(VLOOKUP(D306,Maestro_SKU!$A$2:$P$500,2,FALSE),"")</f>
        <v/>
      </c>
      <c r="F306" s="24"/>
      <c r="G306" s="30"/>
      <c r="H306" s="24"/>
      <c r="I306" s="24"/>
      <c r="J306" s="24"/>
      <c r="K306" s="37" t="str">
        <f t="shared" si="16"/>
        <v/>
      </c>
      <c r="L306" s="37" t="str">
        <f t="shared" si="17"/>
        <v/>
      </c>
      <c r="M306" s="37" t="str">
        <f t="shared" si="18"/>
        <v/>
      </c>
      <c r="N306" s="37" t="str">
        <f t="shared" si="19"/>
        <v/>
      </c>
      <c r="O306" s="37" t="str">
        <f>IF(OR($D306="",$F306=""),"",$F306*IFERROR(VLOOKUP($D306,Maestro_SKU!$A$2:$P$500,12,FALSE),1))</f>
        <v/>
      </c>
    </row>
    <row r="307" spans="1:15" x14ac:dyDescent="0.35">
      <c r="A307" s="25"/>
      <c r="B307" s="24"/>
      <c r="C307" s="24"/>
      <c r="D307" s="24"/>
      <c r="E307" s="28" t="str">
        <f>IFERROR(VLOOKUP(D307,Maestro_SKU!$A$2:$P$500,2,FALSE),"")</f>
        <v/>
      </c>
      <c r="F307" s="24"/>
      <c r="G307" s="30"/>
      <c r="H307" s="24"/>
      <c r="I307" s="24"/>
      <c r="J307" s="24"/>
      <c r="K307" s="37" t="str">
        <f t="shared" si="16"/>
        <v/>
      </c>
      <c r="L307" s="37" t="str">
        <f t="shared" si="17"/>
        <v/>
      </c>
      <c r="M307" s="37" t="str">
        <f t="shared" si="18"/>
        <v/>
      </c>
      <c r="N307" s="37" t="str">
        <f t="shared" si="19"/>
        <v/>
      </c>
      <c r="O307" s="37" t="str">
        <f>IF(OR($D307="",$F307=""),"",$F307*IFERROR(VLOOKUP($D307,Maestro_SKU!$A$2:$P$500,12,FALSE),1))</f>
        <v/>
      </c>
    </row>
    <row r="308" spans="1:15" x14ac:dyDescent="0.35">
      <c r="A308" s="25"/>
      <c r="B308" s="24"/>
      <c r="C308" s="24"/>
      <c r="D308" s="24"/>
      <c r="E308" s="28" t="str">
        <f>IFERROR(VLOOKUP(D308,Maestro_SKU!$A$2:$P$500,2,FALSE),"")</f>
        <v/>
      </c>
      <c r="F308" s="24"/>
      <c r="G308" s="30"/>
      <c r="H308" s="24"/>
      <c r="I308" s="24"/>
      <c r="J308" s="24"/>
      <c r="K308" s="37" t="str">
        <f t="shared" si="16"/>
        <v/>
      </c>
      <c r="L308" s="37" t="str">
        <f t="shared" si="17"/>
        <v/>
      </c>
      <c r="M308" s="37" t="str">
        <f t="shared" si="18"/>
        <v/>
      </c>
      <c r="N308" s="37" t="str">
        <f t="shared" si="19"/>
        <v/>
      </c>
      <c r="O308" s="37" t="str">
        <f>IF(OR($D308="",$F308=""),"",$F308*IFERROR(VLOOKUP($D308,Maestro_SKU!$A$2:$P$500,12,FALSE),1))</f>
        <v/>
      </c>
    </row>
    <row r="309" spans="1:15" x14ac:dyDescent="0.35">
      <c r="A309" s="25"/>
      <c r="B309" s="24"/>
      <c r="C309" s="24"/>
      <c r="D309" s="24"/>
      <c r="E309" s="28" t="str">
        <f>IFERROR(VLOOKUP(D309,Maestro_SKU!$A$2:$P$500,2,FALSE),"")</f>
        <v/>
      </c>
      <c r="F309" s="24"/>
      <c r="G309" s="30"/>
      <c r="H309" s="24"/>
      <c r="I309" s="24"/>
      <c r="J309" s="24"/>
      <c r="K309" s="37" t="str">
        <f t="shared" si="16"/>
        <v/>
      </c>
      <c r="L309" s="37" t="str">
        <f t="shared" si="17"/>
        <v/>
      </c>
      <c r="M309" s="37" t="str">
        <f t="shared" si="18"/>
        <v/>
      </c>
      <c r="N309" s="37" t="str">
        <f t="shared" si="19"/>
        <v/>
      </c>
      <c r="O309" s="37" t="str">
        <f>IF(OR($D309="",$F309=""),"",$F309*IFERROR(VLOOKUP($D309,Maestro_SKU!$A$2:$P$500,12,FALSE),1))</f>
        <v/>
      </c>
    </row>
    <row r="310" spans="1:15" x14ac:dyDescent="0.35">
      <c r="A310" s="25"/>
      <c r="B310" s="24"/>
      <c r="C310" s="24"/>
      <c r="D310" s="24"/>
      <c r="E310" s="28" t="str">
        <f>IFERROR(VLOOKUP(D310,Maestro_SKU!$A$2:$P$500,2,FALSE),"")</f>
        <v/>
      </c>
      <c r="F310" s="24"/>
      <c r="G310" s="30"/>
      <c r="H310" s="24"/>
      <c r="I310" s="24"/>
      <c r="J310" s="24"/>
      <c r="K310" s="37" t="str">
        <f t="shared" si="16"/>
        <v/>
      </c>
      <c r="L310" s="37" t="str">
        <f t="shared" si="17"/>
        <v/>
      </c>
      <c r="M310" s="37" t="str">
        <f t="shared" si="18"/>
        <v/>
      </c>
      <c r="N310" s="37" t="str">
        <f t="shared" si="19"/>
        <v/>
      </c>
      <c r="O310" s="37" t="str">
        <f>IF(OR($D310="",$F310=""),"",$F310*IFERROR(VLOOKUP($D310,Maestro_SKU!$A$2:$P$500,12,FALSE),1))</f>
        <v/>
      </c>
    </row>
    <row r="311" spans="1:15" x14ac:dyDescent="0.35">
      <c r="A311" s="25"/>
      <c r="B311" s="24"/>
      <c r="C311" s="24"/>
      <c r="D311" s="24"/>
      <c r="E311" s="28" t="str">
        <f>IFERROR(VLOOKUP(D311,Maestro_SKU!$A$2:$P$500,2,FALSE),"")</f>
        <v/>
      </c>
      <c r="F311" s="24"/>
      <c r="G311" s="30"/>
      <c r="H311" s="24"/>
      <c r="I311" s="24"/>
      <c r="J311" s="24"/>
      <c r="K311" s="37" t="str">
        <f t="shared" si="16"/>
        <v/>
      </c>
      <c r="L311" s="37" t="str">
        <f t="shared" si="17"/>
        <v/>
      </c>
      <c r="M311" s="37" t="str">
        <f t="shared" si="18"/>
        <v/>
      </c>
      <c r="N311" s="37" t="str">
        <f t="shared" si="19"/>
        <v/>
      </c>
      <c r="O311" s="37" t="str">
        <f>IF(OR($D311="",$F311=""),"",$F311*IFERROR(VLOOKUP($D311,Maestro_SKU!$A$2:$P$500,12,FALSE),1))</f>
        <v/>
      </c>
    </row>
    <row r="312" spans="1:15" x14ac:dyDescent="0.35">
      <c r="A312" s="25"/>
      <c r="B312" s="24"/>
      <c r="C312" s="24"/>
      <c r="D312" s="24"/>
      <c r="E312" s="28" t="str">
        <f>IFERROR(VLOOKUP(D312,Maestro_SKU!$A$2:$P$500,2,FALSE),"")</f>
        <v/>
      </c>
      <c r="F312" s="24"/>
      <c r="G312" s="30"/>
      <c r="H312" s="24"/>
      <c r="I312" s="24"/>
      <c r="J312" s="24"/>
      <c r="K312" s="37" t="str">
        <f t="shared" si="16"/>
        <v/>
      </c>
      <c r="L312" s="37" t="str">
        <f t="shared" si="17"/>
        <v/>
      </c>
      <c r="M312" s="37" t="str">
        <f t="shared" si="18"/>
        <v/>
      </c>
      <c r="N312" s="37" t="str">
        <f t="shared" si="19"/>
        <v/>
      </c>
      <c r="O312" s="37" t="str">
        <f>IF(OR($D312="",$F312=""),"",$F312*IFERROR(VLOOKUP($D312,Maestro_SKU!$A$2:$P$500,12,FALSE),1))</f>
        <v/>
      </c>
    </row>
    <row r="313" spans="1:15" x14ac:dyDescent="0.35">
      <c r="A313" s="25"/>
      <c r="B313" s="24"/>
      <c r="C313" s="24"/>
      <c r="D313" s="24"/>
      <c r="E313" s="28" t="str">
        <f>IFERROR(VLOOKUP(D313,Maestro_SKU!$A$2:$P$500,2,FALSE),"")</f>
        <v/>
      </c>
      <c r="F313" s="24"/>
      <c r="G313" s="30"/>
      <c r="H313" s="24"/>
      <c r="I313" s="24"/>
      <c r="J313" s="24"/>
      <c r="K313" s="37" t="str">
        <f t="shared" si="16"/>
        <v/>
      </c>
      <c r="L313" s="37" t="str">
        <f t="shared" si="17"/>
        <v/>
      </c>
      <c r="M313" s="37" t="str">
        <f t="shared" si="18"/>
        <v/>
      </c>
      <c r="N313" s="37" t="str">
        <f t="shared" si="19"/>
        <v/>
      </c>
      <c r="O313" s="37" t="str">
        <f>IF(OR($D313="",$F313=""),"",$F313*IFERROR(VLOOKUP($D313,Maestro_SKU!$A$2:$P$500,12,FALSE),1))</f>
        <v/>
      </c>
    </row>
    <row r="314" spans="1:15" x14ac:dyDescent="0.35">
      <c r="A314" s="25"/>
      <c r="B314" s="24"/>
      <c r="C314" s="24"/>
      <c r="D314" s="24"/>
      <c r="E314" s="28" t="str">
        <f>IFERROR(VLOOKUP(D314,Maestro_SKU!$A$2:$P$500,2,FALSE),"")</f>
        <v/>
      </c>
      <c r="F314" s="24"/>
      <c r="G314" s="30"/>
      <c r="H314" s="24"/>
      <c r="I314" s="24"/>
      <c r="J314" s="24"/>
      <c r="K314" s="37" t="str">
        <f t="shared" si="16"/>
        <v/>
      </c>
      <c r="L314" s="37" t="str">
        <f t="shared" si="17"/>
        <v/>
      </c>
      <c r="M314" s="37" t="str">
        <f t="shared" si="18"/>
        <v/>
      </c>
      <c r="N314" s="37" t="str">
        <f t="shared" si="19"/>
        <v/>
      </c>
      <c r="O314" s="37" t="str">
        <f>IF(OR($D314="",$F314=""),"",$F314*IFERROR(VLOOKUP($D314,Maestro_SKU!$A$2:$P$500,12,FALSE),1))</f>
        <v/>
      </c>
    </row>
    <row r="315" spans="1:15" x14ac:dyDescent="0.35">
      <c r="A315" s="25"/>
      <c r="B315" s="24"/>
      <c r="C315" s="24"/>
      <c r="D315" s="24"/>
      <c r="E315" s="28" t="str">
        <f>IFERROR(VLOOKUP(D315,Maestro_SKU!$A$2:$P$500,2,FALSE),"")</f>
        <v/>
      </c>
      <c r="F315" s="24"/>
      <c r="G315" s="30"/>
      <c r="H315" s="24"/>
      <c r="I315" s="24"/>
      <c r="J315" s="24"/>
      <c r="K315" s="37" t="str">
        <f t="shared" si="16"/>
        <v/>
      </c>
      <c r="L315" s="37" t="str">
        <f t="shared" si="17"/>
        <v/>
      </c>
      <c r="M315" s="37" t="str">
        <f t="shared" si="18"/>
        <v/>
      </c>
      <c r="N315" s="37" t="str">
        <f t="shared" si="19"/>
        <v/>
      </c>
      <c r="O315" s="37" t="str">
        <f>IF(OR($D315="",$F315=""),"",$F315*IFERROR(VLOOKUP($D315,Maestro_SKU!$A$2:$P$500,12,FALSE),1))</f>
        <v/>
      </c>
    </row>
    <row r="316" spans="1:15" x14ac:dyDescent="0.35">
      <c r="A316" s="25"/>
      <c r="B316" s="24"/>
      <c r="C316" s="24"/>
      <c r="D316" s="24"/>
      <c r="E316" s="28" t="str">
        <f>IFERROR(VLOOKUP(D316,Maestro_SKU!$A$2:$P$500,2,FALSE),"")</f>
        <v/>
      </c>
      <c r="F316" s="24"/>
      <c r="G316" s="30"/>
      <c r="H316" s="24"/>
      <c r="I316" s="24"/>
      <c r="J316" s="24"/>
      <c r="K316" s="37" t="str">
        <f t="shared" si="16"/>
        <v/>
      </c>
      <c r="L316" s="37" t="str">
        <f t="shared" si="17"/>
        <v/>
      </c>
      <c r="M316" s="37" t="str">
        <f t="shared" si="18"/>
        <v/>
      </c>
      <c r="N316" s="37" t="str">
        <f t="shared" si="19"/>
        <v/>
      </c>
      <c r="O316" s="37" t="str">
        <f>IF(OR($D316="",$F316=""),"",$F316*IFERROR(VLOOKUP($D316,Maestro_SKU!$A$2:$P$500,12,FALSE),1))</f>
        <v/>
      </c>
    </row>
    <row r="317" spans="1:15" x14ac:dyDescent="0.35">
      <c r="A317" s="25"/>
      <c r="B317" s="24"/>
      <c r="C317" s="24"/>
      <c r="D317" s="24"/>
      <c r="E317" s="28" t="str">
        <f>IFERROR(VLOOKUP(D317,Maestro_SKU!$A$2:$P$500,2,FALSE),"")</f>
        <v/>
      </c>
      <c r="F317" s="24"/>
      <c r="G317" s="30"/>
      <c r="H317" s="24"/>
      <c r="I317" s="24"/>
      <c r="J317" s="24"/>
      <c r="K317" s="37" t="str">
        <f t="shared" si="16"/>
        <v/>
      </c>
      <c r="L317" s="37" t="str">
        <f t="shared" si="17"/>
        <v/>
      </c>
      <c r="M317" s="37" t="str">
        <f t="shared" si="18"/>
        <v/>
      </c>
      <c r="N317" s="37" t="str">
        <f t="shared" si="19"/>
        <v/>
      </c>
      <c r="O317" s="37" t="str">
        <f>IF(OR($D317="",$F317=""),"",$F317*IFERROR(VLOOKUP($D317,Maestro_SKU!$A$2:$P$500,12,FALSE),1))</f>
        <v/>
      </c>
    </row>
    <row r="318" spans="1:15" x14ac:dyDescent="0.35">
      <c r="A318" s="25"/>
      <c r="B318" s="24"/>
      <c r="C318" s="24"/>
      <c r="D318" s="24"/>
      <c r="E318" s="28" t="str">
        <f>IFERROR(VLOOKUP(D318,Maestro_SKU!$A$2:$P$500,2,FALSE),"")</f>
        <v/>
      </c>
      <c r="F318" s="24"/>
      <c r="G318" s="30"/>
      <c r="H318" s="24"/>
      <c r="I318" s="24"/>
      <c r="J318" s="24"/>
      <c r="K318" s="37" t="str">
        <f t="shared" si="16"/>
        <v/>
      </c>
      <c r="L318" s="37" t="str">
        <f t="shared" si="17"/>
        <v/>
      </c>
      <c r="M318" s="37" t="str">
        <f t="shared" si="18"/>
        <v/>
      </c>
      <c r="N318" s="37" t="str">
        <f t="shared" si="19"/>
        <v/>
      </c>
      <c r="O318" s="37" t="str">
        <f>IF(OR($D318="",$F318=""),"",$F318*IFERROR(VLOOKUP($D318,Maestro_SKU!$A$2:$P$500,12,FALSE),1))</f>
        <v/>
      </c>
    </row>
    <row r="319" spans="1:15" x14ac:dyDescent="0.35">
      <c r="A319" s="25"/>
      <c r="B319" s="24"/>
      <c r="C319" s="24"/>
      <c r="D319" s="24"/>
      <c r="E319" s="28" t="str">
        <f>IFERROR(VLOOKUP(D319,Maestro_SKU!$A$2:$P$500,2,FALSE),"")</f>
        <v/>
      </c>
      <c r="F319" s="24"/>
      <c r="G319" s="30"/>
      <c r="H319" s="24"/>
      <c r="I319" s="24"/>
      <c r="J319" s="24"/>
      <c r="K319" s="37" t="str">
        <f t="shared" si="16"/>
        <v/>
      </c>
      <c r="L319" s="37" t="str">
        <f t="shared" si="17"/>
        <v/>
      </c>
      <c r="M319" s="37" t="str">
        <f t="shared" si="18"/>
        <v/>
      </c>
      <c r="N319" s="37" t="str">
        <f t="shared" si="19"/>
        <v/>
      </c>
      <c r="O319" s="37" t="str">
        <f>IF(OR($D319="",$F319=""),"",$F319*IFERROR(VLOOKUP($D319,Maestro_SKU!$A$2:$P$500,12,FALSE),1))</f>
        <v/>
      </c>
    </row>
    <row r="320" spans="1:15" x14ac:dyDescent="0.35">
      <c r="A320" s="25"/>
      <c r="B320" s="24"/>
      <c r="C320" s="24"/>
      <c r="D320" s="24"/>
      <c r="E320" s="28" t="str">
        <f>IFERROR(VLOOKUP(D320,Maestro_SKU!$A$2:$P$500,2,FALSE),"")</f>
        <v/>
      </c>
      <c r="F320" s="24"/>
      <c r="G320" s="30"/>
      <c r="H320" s="24"/>
      <c r="I320" s="24"/>
      <c r="J320" s="24"/>
      <c r="K320" s="37" t="str">
        <f t="shared" si="16"/>
        <v/>
      </c>
      <c r="L320" s="37" t="str">
        <f t="shared" si="17"/>
        <v/>
      </c>
      <c r="M320" s="37" t="str">
        <f t="shared" si="18"/>
        <v/>
      </c>
      <c r="N320" s="37" t="str">
        <f t="shared" si="19"/>
        <v/>
      </c>
      <c r="O320" s="37" t="str">
        <f>IF(OR($D320="",$F320=""),"",$F320*IFERROR(VLOOKUP($D320,Maestro_SKU!$A$2:$P$500,12,FALSE),1))</f>
        <v/>
      </c>
    </row>
    <row r="321" spans="1:15" x14ac:dyDescent="0.35">
      <c r="A321" s="25"/>
      <c r="B321" s="24"/>
      <c r="C321" s="24"/>
      <c r="D321" s="24"/>
      <c r="E321" s="28" t="str">
        <f>IFERROR(VLOOKUP(D321,Maestro_SKU!$A$2:$P$500,2,FALSE),"")</f>
        <v/>
      </c>
      <c r="F321" s="24"/>
      <c r="G321" s="30"/>
      <c r="H321" s="24"/>
      <c r="I321" s="24"/>
      <c r="J321" s="24"/>
      <c r="K321" s="37" t="str">
        <f t="shared" si="16"/>
        <v/>
      </c>
      <c r="L321" s="37" t="str">
        <f t="shared" si="17"/>
        <v/>
      </c>
      <c r="M321" s="37" t="str">
        <f t="shared" si="18"/>
        <v/>
      </c>
      <c r="N321" s="37" t="str">
        <f t="shared" si="19"/>
        <v/>
      </c>
      <c r="O321" s="37" t="str">
        <f>IF(OR($D321="",$F321=""),"",$F321*IFERROR(VLOOKUP($D321,Maestro_SKU!$A$2:$P$500,12,FALSE),1))</f>
        <v/>
      </c>
    </row>
    <row r="322" spans="1:15" x14ac:dyDescent="0.35">
      <c r="A322" s="25"/>
      <c r="B322" s="24"/>
      <c r="C322" s="24"/>
      <c r="D322" s="24"/>
      <c r="E322" s="28" t="str">
        <f>IFERROR(VLOOKUP(D322,Maestro_SKU!$A$2:$P$500,2,FALSE),"")</f>
        <v/>
      </c>
      <c r="F322" s="24"/>
      <c r="G322" s="30"/>
      <c r="H322" s="24"/>
      <c r="I322" s="24"/>
      <c r="J322" s="24"/>
      <c r="K322" s="37" t="str">
        <f t="shared" ref="K322:K385" si="20">IF($A322="","",YEAR($A322))</f>
        <v/>
      </c>
      <c r="L322" s="37" t="str">
        <f t="shared" ref="L322:L385" si="21">IF($A322="","",MONTH($A322))</f>
        <v/>
      </c>
      <c r="M322" s="37" t="str">
        <f t="shared" ref="M322:M385" si="22">IF($A322="","",DAY($A322))</f>
        <v/>
      </c>
      <c r="N322" s="37" t="str">
        <f t="shared" ref="N322:N385" si="23">IF($A322="","",YEAR($A322)&amp;"-"&amp;TEXT(MONTH($A322),"00"))</f>
        <v/>
      </c>
      <c r="O322" s="37" t="str">
        <f>IF(OR($D322="",$F322=""),"",$F322*IFERROR(VLOOKUP($D322,Maestro_SKU!$A$2:$P$500,12,FALSE),1))</f>
        <v/>
      </c>
    </row>
    <row r="323" spans="1:15" x14ac:dyDescent="0.35">
      <c r="A323" s="25"/>
      <c r="B323" s="24"/>
      <c r="C323" s="24"/>
      <c r="D323" s="24"/>
      <c r="E323" s="28" t="str">
        <f>IFERROR(VLOOKUP(D323,Maestro_SKU!$A$2:$P$500,2,FALSE),"")</f>
        <v/>
      </c>
      <c r="F323" s="24"/>
      <c r="G323" s="30"/>
      <c r="H323" s="24"/>
      <c r="I323" s="24"/>
      <c r="J323" s="24"/>
      <c r="K323" s="37" t="str">
        <f t="shared" si="20"/>
        <v/>
      </c>
      <c r="L323" s="37" t="str">
        <f t="shared" si="21"/>
        <v/>
      </c>
      <c r="M323" s="37" t="str">
        <f t="shared" si="22"/>
        <v/>
      </c>
      <c r="N323" s="37" t="str">
        <f t="shared" si="23"/>
        <v/>
      </c>
      <c r="O323" s="37" t="str">
        <f>IF(OR($D323="",$F323=""),"",$F323*IFERROR(VLOOKUP($D323,Maestro_SKU!$A$2:$P$500,12,FALSE),1))</f>
        <v/>
      </c>
    </row>
    <row r="324" spans="1:15" x14ac:dyDescent="0.35">
      <c r="A324" s="25"/>
      <c r="B324" s="24"/>
      <c r="C324" s="24"/>
      <c r="D324" s="24"/>
      <c r="E324" s="28" t="str">
        <f>IFERROR(VLOOKUP(D324,Maestro_SKU!$A$2:$P$500,2,FALSE),"")</f>
        <v/>
      </c>
      <c r="F324" s="24"/>
      <c r="G324" s="30"/>
      <c r="H324" s="24"/>
      <c r="I324" s="24"/>
      <c r="J324" s="24"/>
      <c r="K324" s="37" t="str">
        <f t="shared" si="20"/>
        <v/>
      </c>
      <c r="L324" s="37" t="str">
        <f t="shared" si="21"/>
        <v/>
      </c>
      <c r="M324" s="37" t="str">
        <f t="shared" si="22"/>
        <v/>
      </c>
      <c r="N324" s="37" t="str">
        <f t="shared" si="23"/>
        <v/>
      </c>
      <c r="O324" s="37" t="str">
        <f>IF(OR($D324="",$F324=""),"",$F324*IFERROR(VLOOKUP($D324,Maestro_SKU!$A$2:$P$500,12,FALSE),1))</f>
        <v/>
      </c>
    </row>
    <row r="325" spans="1:15" x14ac:dyDescent="0.35">
      <c r="A325" s="25"/>
      <c r="B325" s="24"/>
      <c r="C325" s="24"/>
      <c r="D325" s="24"/>
      <c r="E325" s="28" t="str">
        <f>IFERROR(VLOOKUP(D325,Maestro_SKU!$A$2:$P$500,2,FALSE),"")</f>
        <v/>
      </c>
      <c r="F325" s="24"/>
      <c r="G325" s="30"/>
      <c r="H325" s="24"/>
      <c r="I325" s="24"/>
      <c r="J325" s="24"/>
      <c r="K325" s="37" t="str">
        <f t="shared" si="20"/>
        <v/>
      </c>
      <c r="L325" s="37" t="str">
        <f t="shared" si="21"/>
        <v/>
      </c>
      <c r="M325" s="37" t="str">
        <f t="shared" si="22"/>
        <v/>
      </c>
      <c r="N325" s="37" t="str">
        <f t="shared" si="23"/>
        <v/>
      </c>
      <c r="O325" s="37" t="str">
        <f>IF(OR($D325="",$F325=""),"",$F325*IFERROR(VLOOKUP($D325,Maestro_SKU!$A$2:$P$500,12,FALSE),1))</f>
        <v/>
      </c>
    </row>
    <row r="326" spans="1:15" x14ac:dyDescent="0.35">
      <c r="A326" s="25"/>
      <c r="B326" s="24"/>
      <c r="C326" s="24"/>
      <c r="D326" s="24"/>
      <c r="E326" s="28" t="str">
        <f>IFERROR(VLOOKUP(D326,Maestro_SKU!$A$2:$P$500,2,FALSE),"")</f>
        <v/>
      </c>
      <c r="F326" s="24"/>
      <c r="G326" s="30"/>
      <c r="H326" s="24"/>
      <c r="I326" s="24"/>
      <c r="J326" s="24"/>
      <c r="K326" s="37" t="str">
        <f t="shared" si="20"/>
        <v/>
      </c>
      <c r="L326" s="37" t="str">
        <f t="shared" si="21"/>
        <v/>
      </c>
      <c r="M326" s="37" t="str">
        <f t="shared" si="22"/>
        <v/>
      </c>
      <c r="N326" s="37" t="str">
        <f t="shared" si="23"/>
        <v/>
      </c>
      <c r="O326" s="37" t="str">
        <f>IF(OR($D326="",$F326=""),"",$F326*IFERROR(VLOOKUP($D326,Maestro_SKU!$A$2:$P$500,12,FALSE),1))</f>
        <v/>
      </c>
    </row>
    <row r="327" spans="1:15" x14ac:dyDescent="0.35">
      <c r="A327" s="25"/>
      <c r="B327" s="24"/>
      <c r="C327" s="24"/>
      <c r="D327" s="24"/>
      <c r="E327" s="28" t="str">
        <f>IFERROR(VLOOKUP(D327,Maestro_SKU!$A$2:$P$500,2,FALSE),"")</f>
        <v/>
      </c>
      <c r="F327" s="24"/>
      <c r="G327" s="30"/>
      <c r="H327" s="24"/>
      <c r="I327" s="24"/>
      <c r="J327" s="24"/>
      <c r="K327" s="37" t="str">
        <f t="shared" si="20"/>
        <v/>
      </c>
      <c r="L327" s="37" t="str">
        <f t="shared" si="21"/>
        <v/>
      </c>
      <c r="M327" s="37" t="str">
        <f t="shared" si="22"/>
        <v/>
      </c>
      <c r="N327" s="37" t="str">
        <f t="shared" si="23"/>
        <v/>
      </c>
      <c r="O327" s="37" t="str">
        <f>IF(OR($D327="",$F327=""),"",$F327*IFERROR(VLOOKUP($D327,Maestro_SKU!$A$2:$P$500,12,FALSE),1))</f>
        <v/>
      </c>
    </row>
    <row r="328" spans="1:15" x14ac:dyDescent="0.35">
      <c r="A328" s="25"/>
      <c r="B328" s="24"/>
      <c r="C328" s="24"/>
      <c r="D328" s="24"/>
      <c r="E328" s="28" t="str">
        <f>IFERROR(VLOOKUP(D328,Maestro_SKU!$A$2:$P$500,2,FALSE),"")</f>
        <v/>
      </c>
      <c r="F328" s="24"/>
      <c r="G328" s="30"/>
      <c r="H328" s="24"/>
      <c r="I328" s="24"/>
      <c r="J328" s="24"/>
      <c r="K328" s="37" t="str">
        <f t="shared" si="20"/>
        <v/>
      </c>
      <c r="L328" s="37" t="str">
        <f t="shared" si="21"/>
        <v/>
      </c>
      <c r="M328" s="37" t="str">
        <f t="shared" si="22"/>
        <v/>
      </c>
      <c r="N328" s="37" t="str">
        <f t="shared" si="23"/>
        <v/>
      </c>
      <c r="O328" s="37" t="str">
        <f>IF(OR($D328="",$F328=""),"",$F328*IFERROR(VLOOKUP($D328,Maestro_SKU!$A$2:$P$500,12,FALSE),1))</f>
        <v/>
      </c>
    </row>
    <row r="329" spans="1:15" x14ac:dyDescent="0.35">
      <c r="A329" s="25"/>
      <c r="B329" s="24"/>
      <c r="C329" s="24"/>
      <c r="D329" s="24"/>
      <c r="E329" s="28" t="str">
        <f>IFERROR(VLOOKUP(D329,Maestro_SKU!$A$2:$P$500,2,FALSE),"")</f>
        <v/>
      </c>
      <c r="F329" s="24"/>
      <c r="G329" s="30"/>
      <c r="H329" s="24"/>
      <c r="I329" s="24"/>
      <c r="J329" s="24"/>
      <c r="K329" s="37" t="str">
        <f t="shared" si="20"/>
        <v/>
      </c>
      <c r="L329" s="37" t="str">
        <f t="shared" si="21"/>
        <v/>
      </c>
      <c r="M329" s="37" t="str">
        <f t="shared" si="22"/>
        <v/>
      </c>
      <c r="N329" s="37" t="str">
        <f t="shared" si="23"/>
        <v/>
      </c>
      <c r="O329" s="37" t="str">
        <f>IF(OR($D329="",$F329=""),"",$F329*IFERROR(VLOOKUP($D329,Maestro_SKU!$A$2:$P$500,12,FALSE),1))</f>
        <v/>
      </c>
    </row>
    <row r="330" spans="1:15" x14ac:dyDescent="0.35">
      <c r="A330" s="25"/>
      <c r="B330" s="24"/>
      <c r="C330" s="24"/>
      <c r="D330" s="24"/>
      <c r="E330" s="28" t="str">
        <f>IFERROR(VLOOKUP(D330,Maestro_SKU!$A$2:$P$500,2,FALSE),"")</f>
        <v/>
      </c>
      <c r="F330" s="24"/>
      <c r="G330" s="30"/>
      <c r="H330" s="24"/>
      <c r="I330" s="24"/>
      <c r="J330" s="24"/>
      <c r="K330" s="37" t="str">
        <f t="shared" si="20"/>
        <v/>
      </c>
      <c r="L330" s="37" t="str">
        <f t="shared" si="21"/>
        <v/>
      </c>
      <c r="M330" s="37" t="str">
        <f t="shared" si="22"/>
        <v/>
      </c>
      <c r="N330" s="37" t="str">
        <f t="shared" si="23"/>
        <v/>
      </c>
      <c r="O330" s="37" t="str">
        <f>IF(OR($D330="",$F330=""),"",$F330*IFERROR(VLOOKUP($D330,Maestro_SKU!$A$2:$P$500,12,FALSE),1))</f>
        <v/>
      </c>
    </row>
    <row r="331" spans="1:15" x14ac:dyDescent="0.35">
      <c r="A331" s="25"/>
      <c r="B331" s="24"/>
      <c r="C331" s="24"/>
      <c r="D331" s="24"/>
      <c r="E331" s="28" t="str">
        <f>IFERROR(VLOOKUP(D331,Maestro_SKU!$A$2:$P$500,2,FALSE),"")</f>
        <v/>
      </c>
      <c r="F331" s="24"/>
      <c r="G331" s="30"/>
      <c r="H331" s="24"/>
      <c r="I331" s="24"/>
      <c r="J331" s="24"/>
      <c r="K331" s="37" t="str">
        <f t="shared" si="20"/>
        <v/>
      </c>
      <c r="L331" s="37" t="str">
        <f t="shared" si="21"/>
        <v/>
      </c>
      <c r="M331" s="37" t="str">
        <f t="shared" si="22"/>
        <v/>
      </c>
      <c r="N331" s="37" t="str">
        <f t="shared" si="23"/>
        <v/>
      </c>
      <c r="O331" s="37" t="str">
        <f>IF(OR($D331="",$F331=""),"",$F331*IFERROR(VLOOKUP($D331,Maestro_SKU!$A$2:$P$500,12,FALSE),1))</f>
        <v/>
      </c>
    </row>
    <row r="332" spans="1:15" x14ac:dyDescent="0.35">
      <c r="A332" s="25"/>
      <c r="B332" s="24"/>
      <c r="C332" s="24"/>
      <c r="D332" s="24"/>
      <c r="E332" s="28" t="str">
        <f>IFERROR(VLOOKUP(D332,Maestro_SKU!$A$2:$P$500,2,FALSE),"")</f>
        <v/>
      </c>
      <c r="F332" s="24"/>
      <c r="G332" s="30"/>
      <c r="H332" s="24"/>
      <c r="I332" s="24"/>
      <c r="J332" s="24"/>
      <c r="K332" s="37" t="str">
        <f t="shared" si="20"/>
        <v/>
      </c>
      <c r="L332" s="37" t="str">
        <f t="shared" si="21"/>
        <v/>
      </c>
      <c r="M332" s="37" t="str">
        <f t="shared" si="22"/>
        <v/>
      </c>
      <c r="N332" s="37" t="str">
        <f t="shared" si="23"/>
        <v/>
      </c>
      <c r="O332" s="37" t="str">
        <f>IF(OR($D332="",$F332=""),"",$F332*IFERROR(VLOOKUP($D332,Maestro_SKU!$A$2:$P$500,12,FALSE),1))</f>
        <v/>
      </c>
    </row>
    <row r="333" spans="1:15" x14ac:dyDescent="0.35">
      <c r="A333" s="25"/>
      <c r="B333" s="24"/>
      <c r="C333" s="24"/>
      <c r="D333" s="24"/>
      <c r="E333" s="28" t="str">
        <f>IFERROR(VLOOKUP(D333,Maestro_SKU!$A$2:$P$500,2,FALSE),"")</f>
        <v/>
      </c>
      <c r="F333" s="24"/>
      <c r="G333" s="30"/>
      <c r="H333" s="24"/>
      <c r="I333" s="24"/>
      <c r="J333" s="24"/>
      <c r="K333" s="37" t="str">
        <f t="shared" si="20"/>
        <v/>
      </c>
      <c r="L333" s="37" t="str">
        <f t="shared" si="21"/>
        <v/>
      </c>
      <c r="M333" s="37" t="str">
        <f t="shared" si="22"/>
        <v/>
      </c>
      <c r="N333" s="37" t="str">
        <f t="shared" si="23"/>
        <v/>
      </c>
      <c r="O333" s="37" t="str">
        <f>IF(OR($D333="",$F333=""),"",$F333*IFERROR(VLOOKUP($D333,Maestro_SKU!$A$2:$P$500,12,FALSE),1))</f>
        <v/>
      </c>
    </row>
    <row r="334" spans="1:15" x14ac:dyDescent="0.35">
      <c r="A334" s="25"/>
      <c r="B334" s="24"/>
      <c r="C334" s="24"/>
      <c r="D334" s="24"/>
      <c r="E334" s="28" t="str">
        <f>IFERROR(VLOOKUP(D334,Maestro_SKU!$A$2:$P$500,2,FALSE),"")</f>
        <v/>
      </c>
      <c r="F334" s="24"/>
      <c r="G334" s="30"/>
      <c r="H334" s="24"/>
      <c r="I334" s="24"/>
      <c r="J334" s="24"/>
      <c r="K334" s="37" t="str">
        <f t="shared" si="20"/>
        <v/>
      </c>
      <c r="L334" s="37" t="str">
        <f t="shared" si="21"/>
        <v/>
      </c>
      <c r="M334" s="37" t="str">
        <f t="shared" si="22"/>
        <v/>
      </c>
      <c r="N334" s="37" t="str">
        <f t="shared" si="23"/>
        <v/>
      </c>
      <c r="O334" s="37" t="str">
        <f>IF(OR($D334="",$F334=""),"",$F334*IFERROR(VLOOKUP($D334,Maestro_SKU!$A$2:$P$500,12,FALSE),1))</f>
        <v/>
      </c>
    </row>
    <row r="335" spans="1:15" x14ac:dyDescent="0.35">
      <c r="A335" s="25"/>
      <c r="B335" s="24"/>
      <c r="C335" s="24"/>
      <c r="D335" s="24"/>
      <c r="E335" s="28" t="str">
        <f>IFERROR(VLOOKUP(D335,Maestro_SKU!$A$2:$P$500,2,FALSE),"")</f>
        <v/>
      </c>
      <c r="F335" s="24"/>
      <c r="G335" s="30"/>
      <c r="H335" s="24"/>
      <c r="I335" s="24"/>
      <c r="J335" s="24"/>
      <c r="K335" s="37" t="str">
        <f t="shared" si="20"/>
        <v/>
      </c>
      <c r="L335" s="37" t="str">
        <f t="shared" si="21"/>
        <v/>
      </c>
      <c r="M335" s="37" t="str">
        <f t="shared" si="22"/>
        <v/>
      </c>
      <c r="N335" s="37" t="str">
        <f t="shared" si="23"/>
        <v/>
      </c>
      <c r="O335" s="37" t="str">
        <f>IF(OR($D335="",$F335=""),"",$F335*IFERROR(VLOOKUP($D335,Maestro_SKU!$A$2:$P$500,12,FALSE),1))</f>
        <v/>
      </c>
    </row>
    <row r="336" spans="1:15" x14ac:dyDescent="0.35">
      <c r="A336" s="25"/>
      <c r="B336" s="24"/>
      <c r="C336" s="24"/>
      <c r="D336" s="24"/>
      <c r="E336" s="28" t="str">
        <f>IFERROR(VLOOKUP(D336,Maestro_SKU!$A$2:$P$500,2,FALSE),"")</f>
        <v/>
      </c>
      <c r="F336" s="24"/>
      <c r="G336" s="30"/>
      <c r="H336" s="24"/>
      <c r="I336" s="24"/>
      <c r="J336" s="24"/>
      <c r="K336" s="37" t="str">
        <f t="shared" si="20"/>
        <v/>
      </c>
      <c r="L336" s="37" t="str">
        <f t="shared" si="21"/>
        <v/>
      </c>
      <c r="M336" s="37" t="str">
        <f t="shared" si="22"/>
        <v/>
      </c>
      <c r="N336" s="37" t="str">
        <f t="shared" si="23"/>
        <v/>
      </c>
      <c r="O336" s="37" t="str">
        <f>IF(OR($D336="",$F336=""),"",$F336*IFERROR(VLOOKUP($D336,Maestro_SKU!$A$2:$P$500,12,FALSE),1))</f>
        <v/>
      </c>
    </row>
    <row r="337" spans="1:15" x14ac:dyDescent="0.35">
      <c r="A337" s="25"/>
      <c r="B337" s="24"/>
      <c r="C337" s="24"/>
      <c r="D337" s="24"/>
      <c r="E337" s="28" t="str">
        <f>IFERROR(VLOOKUP(D337,Maestro_SKU!$A$2:$P$500,2,FALSE),"")</f>
        <v/>
      </c>
      <c r="F337" s="24"/>
      <c r="G337" s="30"/>
      <c r="H337" s="24"/>
      <c r="I337" s="24"/>
      <c r="J337" s="24"/>
      <c r="K337" s="37" t="str">
        <f t="shared" si="20"/>
        <v/>
      </c>
      <c r="L337" s="37" t="str">
        <f t="shared" si="21"/>
        <v/>
      </c>
      <c r="M337" s="37" t="str">
        <f t="shared" si="22"/>
        <v/>
      </c>
      <c r="N337" s="37" t="str">
        <f t="shared" si="23"/>
        <v/>
      </c>
      <c r="O337" s="37" t="str">
        <f>IF(OR($D337="",$F337=""),"",$F337*IFERROR(VLOOKUP($D337,Maestro_SKU!$A$2:$P$500,12,FALSE),1))</f>
        <v/>
      </c>
    </row>
    <row r="338" spans="1:15" x14ac:dyDescent="0.35">
      <c r="A338" s="25"/>
      <c r="B338" s="24"/>
      <c r="C338" s="24"/>
      <c r="D338" s="24"/>
      <c r="E338" s="28" t="str">
        <f>IFERROR(VLOOKUP(D338,Maestro_SKU!$A$2:$P$500,2,FALSE),"")</f>
        <v/>
      </c>
      <c r="F338" s="24"/>
      <c r="G338" s="30"/>
      <c r="H338" s="24"/>
      <c r="I338" s="24"/>
      <c r="J338" s="24"/>
      <c r="K338" s="37" t="str">
        <f t="shared" si="20"/>
        <v/>
      </c>
      <c r="L338" s="37" t="str">
        <f t="shared" si="21"/>
        <v/>
      </c>
      <c r="M338" s="37" t="str">
        <f t="shared" si="22"/>
        <v/>
      </c>
      <c r="N338" s="37" t="str">
        <f t="shared" si="23"/>
        <v/>
      </c>
      <c r="O338" s="37" t="str">
        <f>IF(OR($D338="",$F338=""),"",$F338*IFERROR(VLOOKUP($D338,Maestro_SKU!$A$2:$P$500,12,FALSE),1))</f>
        <v/>
      </c>
    </row>
    <row r="339" spans="1:15" x14ac:dyDescent="0.35">
      <c r="A339" s="25"/>
      <c r="B339" s="24"/>
      <c r="C339" s="24"/>
      <c r="D339" s="24"/>
      <c r="E339" s="28" t="str">
        <f>IFERROR(VLOOKUP(D339,Maestro_SKU!$A$2:$P$500,2,FALSE),"")</f>
        <v/>
      </c>
      <c r="F339" s="24"/>
      <c r="G339" s="30"/>
      <c r="H339" s="24"/>
      <c r="I339" s="24"/>
      <c r="J339" s="24"/>
      <c r="K339" s="37" t="str">
        <f t="shared" si="20"/>
        <v/>
      </c>
      <c r="L339" s="37" t="str">
        <f t="shared" si="21"/>
        <v/>
      </c>
      <c r="M339" s="37" t="str">
        <f t="shared" si="22"/>
        <v/>
      </c>
      <c r="N339" s="37" t="str">
        <f t="shared" si="23"/>
        <v/>
      </c>
      <c r="O339" s="37" t="str">
        <f>IF(OR($D339="",$F339=""),"",$F339*IFERROR(VLOOKUP($D339,Maestro_SKU!$A$2:$P$500,12,FALSE),1))</f>
        <v/>
      </c>
    </row>
    <row r="340" spans="1:15" x14ac:dyDescent="0.35">
      <c r="A340" s="25"/>
      <c r="B340" s="24"/>
      <c r="C340" s="24"/>
      <c r="D340" s="24"/>
      <c r="E340" s="28" t="str">
        <f>IFERROR(VLOOKUP(D340,Maestro_SKU!$A$2:$P$500,2,FALSE),"")</f>
        <v/>
      </c>
      <c r="F340" s="24"/>
      <c r="G340" s="30"/>
      <c r="H340" s="24"/>
      <c r="I340" s="24"/>
      <c r="J340" s="24"/>
      <c r="K340" s="37" t="str">
        <f t="shared" si="20"/>
        <v/>
      </c>
      <c r="L340" s="37" t="str">
        <f t="shared" si="21"/>
        <v/>
      </c>
      <c r="M340" s="37" t="str">
        <f t="shared" si="22"/>
        <v/>
      </c>
      <c r="N340" s="37" t="str">
        <f t="shared" si="23"/>
        <v/>
      </c>
      <c r="O340" s="37" t="str">
        <f>IF(OR($D340="",$F340=""),"",$F340*IFERROR(VLOOKUP($D340,Maestro_SKU!$A$2:$P$500,12,FALSE),1))</f>
        <v/>
      </c>
    </row>
    <row r="341" spans="1:15" x14ac:dyDescent="0.35">
      <c r="A341" s="25"/>
      <c r="B341" s="24"/>
      <c r="C341" s="24"/>
      <c r="D341" s="24"/>
      <c r="E341" s="28" t="str">
        <f>IFERROR(VLOOKUP(D341,Maestro_SKU!$A$2:$P$500,2,FALSE),"")</f>
        <v/>
      </c>
      <c r="F341" s="24"/>
      <c r="G341" s="30"/>
      <c r="H341" s="24"/>
      <c r="I341" s="24"/>
      <c r="J341" s="24"/>
      <c r="K341" s="37" t="str">
        <f t="shared" si="20"/>
        <v/>
      </c>
      <c r="L341" s="37" t="str">
        <f t="shared" si="21"/>
        <v/>
      </c>
      <c r="M341" s="37" t="str">
        <f t="shared" si="22"/>
        <v/>
      </c>
      <c r="N341" s="37" t="str">
        <f t="shared" si="23"/>
        <v/>
      </c>
      <c r="O341" s="37" t="str">
        <f>IF(OR($D341="",$F341=""),"",$F341*IFERROR(VLOOKUP($D341,Maestro_SKU!$A$2:$P$500,12,FALSE),1))</f>
        <v/>
      </c>
    </row>
    <row r="342" spans="1:15" x14ac:dyDescent="0.35">
      <c r="A342" s="25"/>
      <c r="B342" s="24"/>
      <c r="C342" s="24"/>
      <c r="D342" s="24"/>
      <c r="E342" s="28" t="str">
        <f>IFERROR(VLOOKUP(D342,Maestro_SKU!$A$2:$P$500,2,FALSE),"")</f>
        <v/>
      </c>
      <c r="F342" s="24"/>
      <c r="G342" s="30"/>
      <c r="H342" s="24"/>
      <c r="I342" s="24"/>
      <c r="J342" s="24"/>
      <c r="K342" s="37" t="str">
        <f t="shared" si="20"/>
        <v/>
      </c>
      <c r="L342" s="37" t="str">
        <f t="shared" si="21"/>
        <v/>
      </c>
      <c r="M342" s="37" t="str">
        <f t="shared" si="22"/>
        <v/>
      </c>
      <c r="N342" s="37" t="str">
        <f t="shared" si="23"/>
        <v/>
      </c>
      <c r="O342" s="37" t="str">
        <f>IF(OR($D342="",$F342=""),"",$F342*IFERROR(VLOOKUP($D342,Maestro_SKU!$A$2:$P$500,12,FALSE),1))</f>
        <v/>
      </c>
    </row>
    <row r="343" spans="1:15" x14ac:dyDescent="0.35">
      <c r="A343" s="25"/>
      <c r="B343" s="24"/>
      <c r="C343" s="24"/>
      <c r="D343" s="24"/>
      <c r="E343" s="28" t="str">
        <f>IFERROR(VLOOKUP(D343,Maestro_SKU!$A$2:$P$500,2,FALSE),"")</f>
        <v/>
      </c>
      <c r="F343" s="24"/>
      <c r="G343" s="30"/>
      <c r="H343" s="24"/>
      <c r="I343" s="24"/>
      <c r="J343" s="24"/>
      <c r="K343" s="37" t="str">
        <f t="shared" si="20"/>
        <v/>
      </c>
      <c r="L343" s="37" t="str">
        <f t="shared" si="21"/>
        <v/>
      </c>
      <c r="M343" s="37" t="str">
        <f t="shared" si="22"/>
        <v/>
      </c>
      <c r="N343" s="37" t="str">
        <f t="shared" si="23"/>
        <v/>
      </c>
      <c r="O343" s="37" t="str">
        <f>IF(OR($D343="",$F343=""),"",$F343*IFERROR(VLOOKUP($D343,Maestro_SKU!$A$2:$P$500,12,FALSE),1))</f>
        <v/>
      </c>
    </row>
    <row r="344" spans="1:15" x14ac:dyDescent="0.35">
      <c r="A344" s="25"/>
      <c r="B344" s="24"/>
      <c r="C344" s="24"/>
      <c r="D344" s="24"/>
      <c r="E344" s="28" t="str">
        <f>IFERROR(VLOOKUP(D344,Maestro_SKU!$A$2:$P$500,2,FALSE),"")</f>
        <v/>
      </c>
      <c r="F344" s="24"/>
      <c r="G344" s="30"/>
      <c r="H344" s="24"/>
      <c r="I344" s="24"/>
      <c r="J344" s="24"/>
      <c r="K344" s="37" t="str">
        <f t="shared" si="20"/>
        <v/>
      </c>
      <c r="L344" s="37" t="str">
        <f t="shared" si="21"/>
        <v/>
      </c>
      <c r="M344" s="37" t="str">
        <f t="shared" si="22"/>
        <v/>
      </c>
      <c r="N344" s="37" t="str">
        <f t="shared" si="23"/>
        <v/>
      </c>
      <c r="O344" s="37" t="str">
        <f>IF(OR($D344="",$F344=""),"",$F344*IFERROR(VLOOKUP($D344,Maestro_SKU!$A$2:$P$500,12,FALSE),1))</f>
        <v/>
      </c>
    </row>
    <row r="345" spans="1:15" x14ac:dyDescent="0.35">
      <c r="A345" s="25"/>
      <c r="B345" s="24"/>
      <c r="C345" s="24"/>
      <c r="D345" s="24"/>
      <c r="E345" s="28" t="str">
        <f>IFERROR(VLOOKUP(D345,Maestro_SKU!$A$2:$P$500,2,FALSE),"")</f>
        <v/>
      </c>
      <c r="F345" s="24"/>
      <c r="G345" s="30"/>
      <c r="H345" s="24"/>
      <c r="I345" s="24"/>
      <c r="J345" s="24"/>
      <c r="K345" s="37" t="str">
        <f t="shared" si="20"/>
        <v/>
      </c>
      <c r="L345" s="37" t="str">
        <f t="shared" si="21"/>
        <v/>
      </c>
      <c r="M345" s="37" t="str">
        <f t="shared" si="22"/>
        <v/>
      </c>
      <c r="N345" s="37" t="str">
        <f t="shared" si="23"/>
        <v/>
      </c>
      <c r="O345" s="37" t="str">
        <f>IF(OR($D345="",$F345=""),"",$F345*IFERROR(VLOOKUP($D345,Maestro_SKU!$A$2:$P$500,12,FALSE),1))</f>
        <v/>
      </c>
    </row>
    <row r="346" spans="1:15" x14ac:dyDescent="0.35">
      <c r="A346" s="25"/>
      <c r="B346" s="24"/>
      <c r="C346" s="24"/>
      <c r="D346" s="24"/>
      <c r="E346" s="28" t="str">
        <f>IFERROR(VLOOKUP(D346,Maestro_SKU!$A$2:$P$500,2,FALSE),"")</f>
        <v/>
      </c>
      <c r="F346" s="24"/>
      <c r="G346" s="30"/>
      <c r="H346" s="24"/>
      <c r="I346" s="24"/>
      <c r="J346" s="24"/>
      <c r="K346" s="37" t="str">
        <f t="shared" si="20"/>
        <v/>
      </c>
      <c r="L346" s="37" t="str">
        <f t="shared" si="21"/>
        <v/>
      </c>
      <c r="M346" s="37" t="str">
        <f t="shared" si="22"/>
        <v/>
      </c>
      <c r="N346" s="37" t="str">
        <f t="shared" si="23"/>
        <v/>
      </c>
      <c r="O346" s="37" t="str">
        <f>IF(OR($D346="",$F346=""),"",$F346*IFERROR(VLOOKUP($D346,Maestro_SKU!$A$2:$P$500,12,FALSE),1))</f>
        <v/>
      </c>
    </row>
    <row r="347" spans="1:15" x14ac:dyDescent="0.35">
      <c r="A347" s="25"/>
      <c r="B347" s="24"/>
      <c r="C347" s="24"/>
      <c r="D347" s="24"/>
      <c r="E347" s="28" t="str">
        <f>IFERROR(VLOOKUP(D347,Maestro_SKU!$A$2:$P$500,2,FALSE),"")</f>
        <v/>
      </c>
      <c r="F347" s="24"/>
      <c r="G347" s="30"/>
      <c r="H347" s="24"/>
      <c r="I347" s="24"/>
      <c r="J347" s="24"/>
      <c r="K347" s="37" t="str">
        <f t="shared" si="20"/>
        <v/>
      </c>
      <c r="L347" s="37" t="str">
        <f t="shared" si="21"/>
        <v/>
      </c>
      <c r="M347" s="37" t="str">
        <f t="shared" si="22"/>
        <v/>
      </c>
      <c r="N347" s="37" t="str">
        <f t="shared" si="23"/>
        <v/>
      </c>
      <c r="O347" s="37" t="str">
        <f>IF(OR($D347="",$F347=""),"",$F347*IFERROR(VLOOKUP($D347,Maestro_SKU!$A$2:$P$500,12,FALSE),1))</f>
        <v/>
      </c>
    </row>
    <row r="348" spans="1:15" x14ac:dyDescent="0.35">
      <c r="A348" s="25"/>
      <c r="B348" s="24"/>
      <c r="C348" s="24"/>
      <c r="D348" s="24"/>
      <c r="E348" s="28" t="str">
        <f>IFERROR(VLOOKUP(D348,Maestro_SKU!$A$2:$P$500,2,FALSE),"")</f>
        <v/>
      </c>
      <c r="F348" s="24"/>
      <c r="G348" s="30"/>
      <c r="H348" s="24"/>
      <c r="I348" s="24"/>
      <c r="J348" s="24"/>
      <c r="K348" s="37" t="str">
        <f t="shared" si="20"/>
        <v/>
      </c>
      <c r="L348" s="37" t="str">
        <f t="shared" si="21"/>
        <v/>
      </c>
      <c r="M348" s="37" t="str">
        <f t="shared" si="22"/>
        <v/>
      </c>
      <c r="N348" s="37" t="str">
        <f t="shared" si="23"/>
        <v/>
      </c>
      <c r="O348" s="37" t="str">
        <f>IF(OR($D348="",$F348=""),"",$F348*IFERROR(VLOOKUP($D348,Maestro_SKU!$A$2:$P$500,12,FALSE),1))</f>
        <v/>
      </c>
    </row>
    <row r="349" spans="1:15" x14ac:dyDescent="0.35">
      <c r="A349" s="25"/>
      <c r="B349" s="24"/>
      <c r="C349" s="24"/>
      <c r="D349" s="24"/>
      <c r="E349" s="28" t="str">
        <f>IFERROR(VLOOKUP(D349,Maestro_SKU!$A$2:$P$500,2,FALSE),"")</f>
        <v/>
      </c>
      <c r="F349" s="24"/>
      <c r="G349" s="30"/>
      <c r="H349" s="24"/>
      <c r="I349" s="24"/>
      <c r="J349" s="24"/>
      <c r="K349" s="37" t="str">
        <f t="shared" si="20"/>
        <v/>
      </c>
      <c r="L349" s="37" t="str">
        <f t="shared" si="21"/>
        <v/>
      </c>
      <c r="M349" s="37" t="str">
        <f t="shared" si="22"/>
        <v/>
      </c>
      <c r="N349" s="37" t="str">
        <f t="shared" si="23"/>
        <v/>
      </c>
      <c r="O349" s="37" t="str">
        <f>IF(OR($D349="",$F349=""),"",$F349*IFERROR(VLOOKUP($D349,Maestro_SKU!$A$2:$P$500,12,FALSE),1))</f>
        <v/>
      </c>
    </row>
    <row r="350" spans="1:15" x14ac:dyDescent="0.35">
      <c r="A350" s="25"/>
      <c r="B350" s="24"/>
      <c r="C350" s="24"/>
      <c r="D350" s="24"/>
      <c r="E350" s="28" t="str">
        <f>IFERROR(VLOOKUP(D350,Maestro_SKU!$A$2:$P$500,2,FALSE),"")</f>
        <v/>
      </c>
      <c r="F350" s="24"/>
      <c r="G350" s="30"/>
      <c r="H350" s="24"/>
      <c r="I350" s="24"/>
      <c r="J350" s="24"/>
      <c r="K350" s="37" t="str">
        <f t="shared" si="20"/>
        <v/>
      </c>
      <c r="L350" s="37" t="str">
        <f t="shared" si="21"/>
        <v/>
      </c>
      <c r="M350" s="37" t="str">
        <f t="shared" si="22"/>
        <v/>
      </c>
      <c r="N350" s="37" t="str">
        <f t="shared" si="23"/>
        <v/>
      </c>
      <c r="O350" s="37" t="str">
        <f>IF(OR($D350="",$F350=""),"",$F350*IFERROR(VLOOKUP($D350,Maestro_SKU!$A$2:$P$500,12,FALSE),1))</f>
        <v/>
      </c>
    </row>
    <row r="351" spans="1:15" x14ac:dyDescent="0.35">
      <c r="A351" s="25"/>
      <c r="B351" s="24"/>
      <c r="C351" s="24"/>
      <c r="D351" s="24"/>
      <c r="E351" s="28" t="str">
        <f>IFERROR(VLOOKUP(D351,Maestro_SKU!$A$2:$P$500,2,FALSE),"")</f>
        <v/>
      </c>
      <c r="F351" s="24"/>
      <c r="G351" s="30"/>
      <c r="H351" s="24"/>
      <c r="I351" s="24"/>
      <c r="J351" s="24"/>
      <c r="K351" s="37" t="str">
        <f t="shared" si="20"/>
        <v/>
      </c>
      <c r="L351" s="37" t="str">
        <f t="shared" si="21"/>
        <v/>
      </c>
      <c r="M351" s="37" t="str">
        <f t="shared" si="22"/>
        <v/>
      </c>
      <c r="N351" s="37" t="str">
        <f t="shared" si="23"/>
        <v/>
      </c>
      <c r="O351" s="37" t="str">
        <f>IF(OR($D351="",$F351=""),"",$F351*IFERROR(VLOOKUP($D351,Maestro_SKU!$A$2:$P$500,12,FALSE),1))</f>
        <v/>
      </c>
    </row>
    <row r="352" spans="1:15" x14ac:dyDescent="0.35">
      <c r="A352" s="25"/>
      <c r="B352" s="24"/>
      <c r="C352" s="24"/>
      <c r="D352" s="24"/>
      <c r="E352" s="28" t="str">
        <f>IFERROR(VLOOKUP(D352,Maestro_SKU!$A$2:$P$500,2,FALSE),"")</f>
        <v/>
      </c>
      <c r="F352" s="24"/>
      <c r="G352" s="30"/>
      <c r="H352" s="24"/>
      <c r="I352" s="24"/>
      <c r="J352" s="24"/>
      <c r="K352" s="37" t="str">
        <f t="shared" si="20"/>
        <v/>
      </c>
      <c r="L352" s="37" t="str">
        <f t="shared" si="21"/>
        <v/>
      </c>
      <c r="M352" s="37" t="str">
        <f t="shared" si="22"/>
        <v/>
      </c>
      <c r="N352" s="37" t="str">
        <f t="shared" si="23"/>
        <v/>
      </c>
      <c r="O352" s="37" t="str">
        <f>IF(OR($D352="",$F352=""),"",$F352*IFERROR(VLOOKUP($D352,Maestro_SKU!$A$2:$P$500,12,FALSE),1))</f>
        <v/>
      </c>
    </row>
    <row r="353" spans="1:15" x14ac:dyDescent="0.35">
      <c r="A353" s="25"/>
      <c r="B353" s="24"/>
      <c r="C353" s="24"/>
      <c r="D353" s="24"/>
      <c r="E353" s="28" t="str">
        <f>IFERROR(VLOOKUP(D353,Maestro_SKU!$A$2:$P$500,2,FALSE),"")</f>
        <v/>
      </c>
      <c r="F353" s="24"/>
      <c r="G353" s="30"/>
      <c r="H353" s="24"/>
      <c r="I353" s="24"/>
      <c r="J353" s="24"/>
      <c r="K353" s="37" t="str">
        <f t="shared" si="20"/>
        <v/>
      </c>
      <c r="L353" s="37" t="str">
        <f t="shared" si="21"/>
        <v/>
      </c>
      <c r="M353" s="37" t="str">
        <f t="shared" si="22"/>
        <v/>
      </c>
      <c r="N353" s="37" t="str">
        <f t="shared" si="23"/>
        <v/>
      </c>
      <c r="O353" s="37" t="str">
        <f>IF(OR($D353="",$F353=""),"",$F353*IFERROR(VLOOKUP($D353,Maestro_SKU!$A$2:$P$500,12,FALSE),1))</f>
        <v/>
      </c>
    </row>
    <row r="354" spans="1:15" x14ac:dyDescent="0.35">
      <c r="A354" s="25"/>
      <c r="B354" s="24"/>
      <c r="C354" s="24"/>
      <c r="D354" s="24"/>
      <c r="E354" s="28" t="str">
        <f>IFERROR(VLOOKUP(D354,Maestro_SKU!$A$2:$P$500,2,FALSE),"")</f>
        <v/>
      </c>
      <c r="F354" s="24"/>
      <c r="G354" s="30"/>
      <c r="H354" s="24"/>
      <c r="I354" s="24"/>
      <c r="J354" s="24"/>
      <c r="K354" s="37" t="str">
        <f t="shared" si="20"/>
        <v/>
      </c>
      <c r="L354" s="37" t="str">
        <f t="shared" si="21"/>
        <v/>
      </c>
      <c r="M354" s="37" t="str">
        <f t="shared" si="22"/>
        <v/>
      </c>
      <c r="N354" s="37" t="str">
        <f t="shared" si="23"/>
        <v/>
      </c>
      <c r="O354" s="37" t="str">
        <f>IF(OR($D354="",$F354=""),"",$F354*IFERROR(VLOOKUP($D354,Maestro_SKU!$A$2:$P$500,12,FALSE),1))</f>
        <v/>
      </c>
    </row>
    <row r="355" spans="1:15" x14ac:dyDescent="0.35">
      <c r="A355" s="25"/>
      <c r="B355" s="24"/>
      <c r="C355" s="24"/>
      <c r="D355" s="24"/>
      <c r="E355" s="28" t="str">
        <f>IFERROR(VLOOKUP(D355,Maestro_SKU!$A$2:$P$500,2,FALSE),"")</f>
        <v/>
      </c>
      <c r="F355" s="24"/>
      <c r="G355" s="30"/>
      <c r="H355" s="24"/>
      <c r="I355" s="24"/>
      <c r="J355" s="24"/>
      <c r="K355" s="37" t="str">
        <f t="shared" si="20"/>
        <v/>
      </c>
      <c r="L355" s="37" t="str">
        <f t="shared" si="21"/>
        <v/>
      </c>
      <c r="M355" s="37" t="str">
        <f t="shared" si="22"/>
        <v/>
      </c>
      <c r="N355" s="37" t="str">
        <f t="shared" si="23"/>
        <v/>
      </c>
      <c r="O355" s="37" t="str">
        <f>IF(OR($D355="",$F355=""),"",$F355*IFERROR(VLOOKUP($D355,Maestro_SKU!$A$2:$P$500,12,FALSE),1))</f>
        <v/>
      </c>
    </row>
    <row r="356" spans="1:15" x14ac:dyDescent="0.35">
      <c r="A356" s="25"/>
      <c r="B356" s="24"/>
      <c r="C356" s="24"/>
      <c r="D356" s="24"/>
      <c r="E356" s="28" t="str">
        <f>IFERROR(VLOOKUP(D356,Maestro_SKU!$A$2:$P$500,2,FALSE),"")</f>
        <v/>
      </c>
      <c r="F356" s="24"/>
      <c r="G356" s="30"/>
      <c r="H356" s="24"/>
      <c r="I356" s="24"/>
      <c r="J356" s="24"/>
      <c r="K356" s="37" t="str">
        <f t="shared" si="20"/>
        <v/>
      </c>
      <c r="L356" s="37" t="str">
        <f t="shared" si="21"/>
        <v/>
      </c>
      <c r="M356" s="37" t="str">
        <f t="shared" si="22"/>
        <v/>
      </c>
      <c r="N356" s="37" t="str">
        <f t="shared" si="23"/>
        <v/>
      </c>
      <c r="O356" s="37" t="str">
        <f>IF(OR($D356="",$F356=""),"",$F356*IFERROR(VLOOKUP($D356,Maestro_SKU!$A$2:$P$500,12,FALSE),1))</f>
        <v/>
      </c>
    </row>
    <row r="357" spans="1:15" x14ac:dyDescent="0.35">
      <c r="A357" s="25"/>
      <c r="B357" s="24"/>
      <c r="C357" s="24"/>
      <c r="D357" s="24"/>
      <c r="E357" s="28" t="str">
        <f>IFERROR(VLOOKUP(D357,Maestro_SKU!$A$2:$P$500,2,FALSE),"")</f>
        <v/>
      </c>
      <c r="F357" s="24"/>
      <c r="G357" s="30"/>
      <c r="H357" s="24"/>
      <c r="I357" s="24"/>
      <c r="J357" s="24"/>
      <c r="K357" s="37" t="str">
        <f t="shared" si="20"/>
        <v/>
      </c>
      <c r="L357" s="37" t="str">
        <f t="shared" si="21"/>
        <v/>
      </c>
      <c r="M357" s="37" t="str">
        <f t="shared" si="22"/>
        <v/>
      </c>
      <c r="N357" s="37" t="str">
        <f t="shared" si="23"/>
        <v/>
      </c>
      <c r="O357" s="37" t="str">
        <f>IF(OR($D357="",$F357=""),"",$F357*IFERROR(VLOOKUP($D357,Maestro_SKU!$A$2:$P$500,12,FALSE),1))</f>
        <v/>
      </c>
    </row>
    <row r="358" spans="1:15" x14ac:dyDescent="0.35">
      <c r="A358" s="25"/>
      <c r="B358" s="24"/>
      <c r="C358" s="24"/>
      <c r="D358" s="24"/>
      <c r="E358" s="28" t="str">
        <f>IFERROR(VLOOKUP(D358,Maestro_SKU!$A$2:$P$500,2,FALSE),"")</f>
        <v/>
      </c>
      <c r="F358" s="24"/>
      <c r="G358" s="30"/>
      <c r="H358" s="24"/>
      <c r="I358" s="24"/>
      <c r="J358" s="24"/>
      <c r="K358" s="37" t="str">
        <f t="shared" si="20"/>
        <v/>
      </c>
      <c r="L358" s="37" t="str">
        <f t="shared" si="21"/>
        <v/>
      </c>
      <c r="M358" s="37" t="str">
        <f t="shared" si="22"/>
        <v/>
      </c>
      <c r="N358" s="37" t="str">
        <f t="shared" si="23"/>
        <v/>
      </c>
      <c r="O358" s="37" t="str">
        <f>IF(OR($D358="",$F358=""),"",$F358*IFERROR(VLOOKUP($D358,Maestro_SKU!$A$2:$P$500,12,FALSE),1))</f>
        <v/>
      </c>
    </row>
    <row r="359" spans="1:15" x14ac:dyDescent="0.35">
      <c r="A359" s="25"/>
      <c r="B359" s="24"/>
      <c r="C359" s="24"/>
      <c r="D359" s="24"/>
      <c r="E359" s="28" t="str">
        <f>IFERROR(VLOOKUP(D359,Maestro_SKU!$A$2:$P$500,2,FALSE),"")</f>
        <v/>
      </c>
      <c r="F359" s="24"/>
      <c r="G359" s="30"/>
      <c r="H359" s="24"/>
      <c r="I359" s="24"/>
      <c r="J359" s="24"/>
      <c r="K359" s="37" t="str">
        <f t="shared" si="20"/>
        <v/>
      </c>
      <c r="L359" s="37" t="str">
        <f t="shared" si="21"/>
        <v/>
      </c>
      <c r="M359" s="37" t="str">
        <f t="shared" si="22"/>
        <v/>
      </c>
      <c r="N359" s="37" t="str">
        <f t="shared" si="23"/>
        <v/>
      </c>
      <c r="O359" s="37" t="str">
        <f>IF(OR($D359="",$F359=""),"",$F359*IFERROR(VLOOKUP($D359,Maestro_SKU!$A$2:$P$500,12,FALSE),1))</f>
        <v/>
      </c>
    </row>
    <row r="360" spans="1:15" x14ac:dyDescent="0.35">
      <c r="A360" s="25"/>
      <c r="B360" s="24"/>
      <c r="C360" s="24"/>
      <c r="D360" s="24"/>
      <c r="E360" s="28" t="str">
        <f>IFERROR(VLOOKUP(D360,Maestro_SKU!$A$2:$P$500,2,FALSE),"")</f>
        <v/>
      </c>
      <c r="F360" s="24"/>
      <c r="G360" s="30"/>
      <c r="H360" s="24"/>
      <c r="I360" s="24"/>
      <c r="J360" s="24"/>
      <c r="K360" s="37" t="str">
        <f t="shared" si="20"/>
        <v/>
      </c>
      <c r="L360" s="37" t="str">
        <f t="shared" si="21"/>
        <v/>
      </c>
      <c r="M360" s="37" t="str">
        <f t="shared" si="22"/>
        <v/>
      </c>
      <c r="N360" s="37" t="str">
        <f t="shared" si="23"/>
        <v/>
      </c>
      <c r="O360" s="37" t="str">
        <f>IF(OR($D360="",$F360=""),"",$F360*IFERROR(VLOOKUP($D360,Maestro_SKU!$A$2:$P$500,12,FALSE),1))</f>
        <v/>
      </c>
    </row>
    <row r="361" spans="1:15" x14ac:dyDescent="0.35">
      <c r="A361" s="25"/>
      <c r="B361" s="24"/>
      <c r="C361" s="24"/>
      <c r="D361" s="24"/>
      <c r="E361" s="28" t="str">
        <f>IFERROR(VLOOKUP(D361,Maestro_SKU!$A$2:$P$500,2,FALSE),"")</f>
        <v/>
      </c>
      <c r="F361" s="24"/>
      <c r="G361" s="30"/>
      <c r="H361" s="24"/>
      <c r="I361" s="24"/>
      <c r="J361" s="24"/>
      <c r="K361" s="37" t="str">
        <f t="shared" si="20"/>
        <v/>
      </c>
      <c r="L361" s="37" t="str">
        <f t="shared" si="21"/>
        <v/>
      </c>
      <c r="M361" s="37" t="str">
        <f t="shared" si="22"/>
        <v/>
      </c>
      <c r="N361" s="37" t="str">
        <f t="shared" si="23"/>
        <v/>
      </c>
      <c r="O361" s="37" t="str">
        <f>IF(OR($D361="",$F361=""),"",$F361*IFERROR(VLOOKUP($D361,Maestro_SKU!$A$2:$P$500,12,FALSE),1))</f>
        <v/>
      </c>
    </row>
    <row r="362" spans="1:15" x14ac:dyDescent="0.35">
      <c r="A362" s="25"/>
      <c r="B362" s="24"/>
      <c r="C362" s="24"/>
      <c r="D362" s="24"/>
      <c r="E362" s="28" t="str">
        <f>IFERROR(VLOOKUP(D362,Maestro_SKU!$A$2:$P$500,2,FALSE),"")</f>
        <v/>
      </c>
      <c r="F362" s="24"/>
      <c r="G362" s="30"/>
      <c r="H362" s="24"/>
      <c r="I362" s="24"/>
      <c r="J362" s="24"/>
      <c r="K362" s="37" t="str">
        <f t="shared" si="20"/>
        <v/>
      </c>
      <c r="L362" s="37" t="str">
        <f t="shared" si="21"/>
        <v/>
      </c>
      <c r="M362" s="37" t="str">
        <f t="shared" si="22"/>
        <v/>
      </c>
      <c r="N362" s="37" t="str">
        <f t="shared" si="23"/>
        <v/>
      </c>
      <c r="O362" s="37" t="str">
        <f>IF(OR($D362="",$F362=""),"",$F362*IFERROR(VLOOKUP($D362,Maestro_SKU!$A$2:$P$500,12,FALSE),1))</f>
        <v/>
      </c>
    </row>
    <row r="363" spans="1:15" x14ac:dyDescent="0.35">
      <c r="A363" s="25"/>
      <c r="B363" s="24"/>
      <c r="C363" s="24"/>
      <c r="D363" s="24"/>
      <c r="E363" s="28" t="str">
        <f>IFERROR(VLOOKUP(D363,Maestro_SKU!$A$2:$P$500,2,FALSE),"")</f>
        <v/>
      </c>
      <c r="F363" s="24"/>
      <c r="G363" s="30"/>
      <c r="H363" s="24"/>
      <c r="I363" s="24"/>
      <c r="J363" s="24"/>
      <c r="K363" s="37" t="str">
        <f t="shared" si="20"/>
        <v/>
      </c>
      <c r="L363" s="37" t="str">
        <f t="shared" si="21"/>
        <v/>
      </c>
      <c r="M363" s="37" t="str">
        <f t="shared" si="22"/>
        <v/>
      </c>
      <c r="N363" s="37" t="str">
        <f t="shared" si="23"/>
        <v/>
      </c>
      <c r="O363" s="37" t="str">
        <f>IF(OR($D363="",$F363=""),"",$F363*IFERROR(VLOOKUP($D363,Maestro_SKU!$A$2:$P$500,12,FALSE),1))</f>
        <v/>
      </c>
    </row>
    <row r="364" spans="1:15" x14ac:dyDescent="0.35">
      <c r="A364" s="25"/>
      <c r="B364" s="24"/>
      <c r="C364" s="24"/>
      <c r="D364" s="24"/>
      <c r="E364" s="28" t="str">
        <f>IFERROR(VLOOKUP(D364,Maestro_SKU!$A$2:$P$500,2,FALSE),"")</f>
        <v/>
      </c>
      <c r="F364" s="24"/>
      <c r="G364" s="30"/>
      <c r="H364" s="24"/>
      <c r="I364" s="24"/>
      <c r="J364" s="24"/>
      <c r="K364" s="37" t="str">
        <f t="shared" si="20"/>
        <v/>
      </c>
      <c r="L364" s="37" t="str">
        <f t="shared" si="21"/>
        <v/>
      </c>
      <c r="M364" s="37" t="str">
        <f t="shared" si="22"/>
        <v/>
      </c>
      <c r="N364" s="37" t="str">
        <f t="shared" si="23"/>
        <v/>
      </c>
      <c r="O364" s="37" t="str">
        <f>IF(OR($D364="",$F364=""),"",$F364*IFERROR(VLOOKUP($D364,Maestro_SKU!$A$2:$P$500,12,FALSE),1))</f>
        <v/>
      </c>
    </row>
    <row r="365" spans="1:15" x14ac:dyDescent="0.35">
      <c r="A365" s="25"/>
      <c r="B365" s="24"/>
      <c r="C365" s="24"/>
      <c r="D365" s="24"/>
      <c r="E365" s="28" t="str">
        <f>IFERROR(VLOOKUP(D365,Maestro_SKU!$A$2:$P$500,2,FALSE),"")</f>
        <v/>
      </c>
      <c r="F365" s="24"/>
      <c r="G365" s="30"/>
      <c r="H365" s="24"/>
      <c r="I365" s="24"/>
      <c r="J365" s="24"/>
      <c r="K365" s="37" t="str">
        <f t="shared" si="20"/>
        <v/>
      </c>
      <c r="L365" s="37" t="str">
        <f t="shared" si="21"/>
        <v/>
      </c>
      <c r="M365" s="37" t="str">
        <f t="shared" si="22"/>
        <v/>
      </c>
      <c r="N365" s="37" t="str">
        <f t="shared" si="23"/>
        <v/>
      </c>
      <c r="O365" s="37" t="str">
        <f>IF(OR($D365="",$F365=""),"",$F365*IFERROR(VLOOKUP($D365,Maestro_SKU!$A$2:$P$500,12,FALSE),1))</f>
        <v/>
      </c>
    </row>
    <row r="366" spans="1:15" x14ac:dyDescent="0.35">
      <c r="A366" s="25"/>
      <c r="B366" s="24"/>
      <c r="C366" s="24"/>
      <c r="D366" s="24"/>
      <c r="E366" s="28" t="str">
        <f>IFERROR(VLOOKUP(D366,Maestro_SKU!$A$2:$P$500,2,FALSE),"")</f>
        <v/>
      </c>
      <c r="F366" s="24"/>
      <c r="G366" s="30"/>
      <c r="H366" s="24"/>
      <c r="I366" s="24"/>
      <c r="J366" s="24"/>
      <c r="K366" s="37" t="str">
        <f t="shared" si="20"/>
        <v/>
      </c>
      <c r="L366" s="37" t="str">
        <f t="shared" si="21"/>
        <v/>
      </c>
      <c r="M366" s="37" t="str">
        <f t="shared" si="22"/>
        <v/>
      </c>
      <c r="N366" s="37" t="str">
        <f t="shared" si="23"/>
        <v/>
      </c>
      <c r="O366" s="37" t="str">
        <f>IF(OR($D366="",$F366=""),"",$F366*IFERROR(VLOOKUP($D366,Maestro_SKU!$A$2:$P$500,12,FALSE),1))</f>
        <v/>
      </c>
    </row>
    <row r="367" spans="1:15" x14ac:dyDescent="0.35">
      <c r="A367" s="25"/>
      <c r="B367" s="24"/>
      <c r="C367" s="24"/>
      <c r="D367" s="24"/>
      <c r="E367" s="28" t="str">
        <f>IFERROR(VLOOKUP(D367,Maestro_SKU!$A$2:$P$500,2,FALSE),"")</f>
        <v/>
      </c>
      <c r="F367" s="24"/>
      <c r="G367" s="30"/>
      <c r="H367" s="24"/>
      <c r="I367" s="24"/>
      <c r="J367" s="24"/>
      <c r="K367" s="37" t="str">
        <f t="shared" si="20"/>
        <v/>
      </c>
      <c r="L367" s="37" t="str">
        <f t="shared" si="21"/>
        <v/>
      </c>
      <c r="M367" s="37" t="str">
        <f t="shared" si="22"/>
        <v/>
      </c>
      <c r="N367" s="37" t="str">
        <f t="shared" si="23"/>
        <v/>
      </c>
      <c r="O367" s="37" t="str">
        <f>IF(OR($D367="",$F367=""),"",$F367*IFERROR(VLOOKUP($D367,Maestro_SKU!$A$2:$P$500,12,FALSE),1))</f>
        <v/>
      </c>
    </row>
    <row r="368" spans="1:15" x14ac:dyDescent="0.35">
      <c r="A368" s="25"/>
      <c r="B368" s="24"/>
      <c r="C368" s="24"/>
      <c r="D368" s="24"/>
      <c r="E368" s="28" t="str">
        <f>IFERROR(VLOOKUP(D368,Maestro_SKU!$A$2:$P$500,2,FALSE),"")</f>
        <v/>
      </c>
      <c r="F368" s="24"/>
      <c r="G368" s="30"/>
      <c r="H368" s="24"/>
      <c r="I368" s="24"/>
      <c r="J368" s="24"/>
      <c r="K368" s="37" t="str">
        <f t="shared" si="20"/>
        <v/>
      </c>
      <c r="L368" s="37" t="str">
        <f t="shared" si="21"/>
        <v/>
      </c>
      <c r="M368" s="37" t="str">
        <f t="shared" si="22"/>
        <v/>
      </c>
      <c r="N368" s="37" t="str">
        <f t="shared" si="23"/>
        <v/>
      </c>
      <c r="O368" s="37" t="str">
        <f>IF(OR($D368="",$F368=""),"",$F368*IFERROR(VLOOKUP($D368,Maestro_SKU!$A$2:$P$500,12,FALSE),1))</f>
        <v/>
      </c>
    </row>
    <row r="369" spans="1:15" x14ac:dyDescent="0.35">
      <c r="A369" s="25"/>
      <c r="B369" s="24"/>
      <c r="C369" s="24"/>
      <c r="D369" s="24"/>
      <c r="E369" s="28" t="str">
        <f>IFERROR(VLOOKUP(D369,Maestro_SKU!$A$2:$P$500,2,FALSE),"")</f>
        <v/>
      </c>
      <c r="F369" s="24"/>
      <c r="G369" s="30"/>
      <c r="H369" s="24"/>
      <c r="I369" s="24"/>
      <c r="J369" s="24"/>
      <c r="K369" s="37" t="str">
        <f t="shared" si="20"/>
        <v/>
      </c>
      <c r="L369" s="37" t="str">
        <f t="shared" si="21"/>
        <v/>
      </c>
      <c r="M369" s="37" t="str">
        <f t="shared" si="22"/>
        <v/>
      </c>
      <c r="N369" s="37" t="str">
        <f t="shared" si="23"/>
        <v/>
      </c>
      <c r="O369" s="37" t="str">
        <f>IF(OR($D369="",$F369=""),"",$F369*IFERROR(VLOOKUP($D369,Maestro_SKU!$A$2:$P$500,12,FALSE),1))</f>
        <v/>
      </c>
    </row>
    <row r="370" spans="1:15" x14ac:dyDescent="0.35">
      <c r="A370" s="25"/>
      <c r="B370" s="24"/>
      <c r="C370" s="24"/>
      <c r="D370" s="24"/>
      <c r="E370" s="28" t="str">
        <f>IFERROR(VLOOKUP(D370,Maestro_SKU!$A$2:$P$500,2,FALSE),"")</f>
        <v/>
      </c>
      <c r="F370" s="24"/>
      <c r="G370" s="30"/>
      <c r="H370" s="24"/>
      <c r="I370" s="24"/>
      <c r="J370" s="24"/>
      <c r="K370" s="37" t="str">
        <f t="shared" si="20"/>
        <v/>
      </c>
      <c r="L370" s="37" t="str">
        <f t="shared" si="21"/>
        <v/>
      </c>
      <c r="M370" s="37" t="str">
        <f t="shared" si="22"/>
        <v/>
      </c>
      <c r="N370" s="37" t="str">
        <f t="shared" si="23"/>
        <v/>
      </c>
      <c r="O370" s="37" t="str">
        <f>IF(OR($D370="",$F370=""),"",$F370*IFERROR(VLOOKUP($D370,Maestro_SKU!$A$2:$P$500,12,FALSE),1))</f>
        <v/>
      </c>
    </row>
    <row r="371" spans="1:15" x14ac:dyDescent="0.35">
      <c r="A371" s="25"/>
      <c r="B371" s="24"/>
      <c r="C371" s="24"/>
      <c r="D371" s="24"/>
      <c r="E371" s="28" t="str">
        <f>IFERROR(VLOOKUP(D371,Maestro_SKU!$A$2:$P$500,2,FALSE),"")</f>
        <v/>
      </c>
      <c r="F371" s="24"/>
      <c r="G371" s="30"/>
      <c r="H371" s="24"/>
      <c r="I371" s="24"/>
      <c r="J371" s="24"/>
      <c r="K371" s="37" t="str">
        <f t="shared" si="20"/>
        <v/>
      </c>
      <c r="L371" s="37" t="str">
        <f t="shared" si="21"/>
        <v/>
      </c>
      <c r="M371" s="37" t="str">
        <f t="shared" si="22"/>
        <v/>
      </c>
      <c r="N371" s="37" t="str">
        <f t="shared" si="23"/>
        <v/>
      </c>
      <c r="O371" s="37" t="str">
        <f>IF(OR($D371="",$F371=""),"",$F371*IFERROR(VLOOKUP($D371,Maestro_SKU!$A$2:$P$500,12,FALSE),1))</f>
        <v/>
      </c>
    </row>
    <row r="372" spans="1:15" x14ac:dyDescent="0.35">
      <c r="A372" s="25"/>
      <c r="B372" s="24"/>
      <c r="C372" s="24"/>
      <c r="D372" s="24"/>
      <c r="E372" s="28" t="str">
        <f>IFERROR(VLOOKUP(D372,Maestro_SKU!$A$2:$P$500,2,FALSE),"")</f>
        <v/>
      </c>
      <c r="F372" s="24"/>
      <c r="G372" s="30"/>
      <c r="H372" s="24"/>
      <c r="I372" s="24"/>
      <c r="J372" s="24"/>
      <c r="K372" s="37" t="str">
        <f t="shared" si="20"/>
        <v/>
      </c>
      <c r="L372" s="37" t="str">
        <f t="shared" si="21"/>
        <v/>
      </c>
      <c r="M372" s="37" t="str">
        <f t="shared" si="22"/>
        <v/>
      </c>
      <c r="N372" s="37" t="str">
        <f t="shared" si="23"/>
        <v/>
      </c>
      <c r="O372" s="37" t="str">
        <f>IF(OR($D372="",$F372=""),"",$F372*IFERROR(VLOOKUP($D372,Maestro_SKU!$A$2:$P$500,12,FALSE),1))</f>
        <v/>
      </c>
    </row>
    <row r="373" spans="1:15" x14ac:dyDescent="0.35">
      <c r="A373" s="25"/>
      <c r="B373" s="24"/>
      <c r="C373" s="24"/>
      <c r="D373" s="24"/>
      <c r="E373" s="28" t="str">
        <f>IFERROR(VLOOKUP(D373,Maestro_SKU!$A$2:$P$500,2,FALSE),"")</f>
        <v/>
      </c>
      <c r="F373" s="24"/>
      <c r="G373" s="30"/>
      <c r="H373" s="24"/>
      <c r="I373" s="24"/>
      <c r="J373" s="24"/>
      <c r="K373" s="37" t="str">
        <f t="shared" si="20"/>
        <v/>
      </c>
      <c r="L373" s="37" t="str">
        <f t="shared" si="21"/>
        <v/>
      </c>
      <c r="M373" s="37" t="str">
        <f t="shared" si="22"/>
        <v/>
      </c>
      <c r="N373" s="37" t="str">
        <f t="shared" si="23"/>
        <v/>
      </c>
      <c r="O373" s="37" t="str">
        <f>IF(OR($D373="",$F373=""),"",$F373*IFERROR(VLOOKUP($D373,Maestro_SKU!$A$2:$P$500,12,FALSE),1))</f>
        <v/>
      </c>
    </row>
    <row r="374" spans="1:15" x14ac:dyDescent="0.35">
      <c r="A374" s="25"/>
      <c r="B374" s="24"/>
      <c r="C374" s="24"/>
      <c r="D374" s="24"/>
      <c r="E374" s="28" t="str">
        <f>IFERROR(VLOOKUP(D374,Maestro_SKU!$A$2:$P$500,2,FALSE),"")</f>
        <v/>
      </c>
      <c r="F374" s="24"/>
      <c r="G374" s="30"/>
      <c r="H374" s="24"/>
      <c r="I374" s="24"/>
      <c r="J374" s="24"/>
      <c r="K374" s="37" t="str">
        <f t="shared" si="20"/>
        <v/>
      </c>
      <c r="L374" s="37" t="str">
        <f t="shared" si="21"/>
        <v/>
      </c>
      <c r="M374" s="37" t="str">
        <f t="shared" si="22"/>
        <v/>
      </c>
      <c r="N374" s="37" t="str">
        <f t="shared" si="23"/>
        <v/>
      </c>
      <c r="O374" s="37" t="str">
        <f>IF(OR($D374="",$F374=""),"",$F374*IFERROR(VLOOKUP($D374,Maestro_SKU!$A$2:$P$500,12,FALSE),1))</f>
        <v/>
      </c>
    </row>
    <row r="375" spans="1:15" x14ac:dyDescent="0.35">
      <c r="A375" s="25"/>
      <c r="B375" s="24"/>
      <c r="C375" s="24"/>
      <c r="D375" s="24"/>
      <c r="E375" s="28" t="str">
        <f>IFERROR(VLOOKUP(D375,Maestro_SKU!$A$2:$P$500,2,FALSE),"")</f>
        <v/>
      </c>
      <c r="F375" s="24"/>
      <c r="G375" s="30"/>
      <c r="H375" s="24"/>
      <c r="I375" s="24"/>
      <c r="J375" s="24"/>
      <c r="K375" s="37" t="str">
        <f t="shared" si="20"/>
        <v/>
      </c>
      <c r="L375" s="37" t="str">
        <f t="shared" si="21"/>
        <v/>
      </c>
      <c r="M375" s="37" t="str">
        <f t="shared" si="22"/>
        <v/>
      </c>
      <c r="N375" s="37" t="str">
        <f t="shared" si="23"/>
        <v/>
      </c>
      <c r="O375" s="37" t="str">
        <f>IF(OR($D375="",$F375=""),"",$F375*IFERROR(VLOOKUP($D375,Maestro_SKU!$A$2:$P$500,12,FALSE),1))</f>
        <v/>
      </c>
    </row>
    <row r="376" spans="1:15" x14ac:dyDescent="0.35">
      <c r="A376" s="25"/>
      <c r="B376" s="24"/>
      <c r="C376" s="24"/>
      <c r="D376" s="24"/>
      <c r="E376" s="28" t="str">
        <f>IFERROR(VLOOKUP(D376,Maestro_SKU!$A$2:$P$500,2,FALSE),"")</f>
        <v/>
      </c>
      <c r="F376" s="24"/>
      <c r="G376" s="30"/>
      <c r="H376" s="24"/>
      <c r="I376" s="24"/>
      <c r="J376" s="24"/>
      <c r="K376" s="37" t="str">
        <f t="shared" si="20"/>
        <v/>
      </c>
      <c r="L376" s="37" t="str">
        <f t="shared" si="21"/>
        <v/>
      </c>
      <c r="M376" s="37" t="str">
        <f t="shared" si="22"/>
        <v/>
      </c>
      <c r="N376" s="37" t="str">
        <f t="shared" si="23"/>
        <v/>
      </c>
      <c r="O376" s="37" t="str">
        <f>IF(OR($D376="",$F376=""),"",$F376*IFERROR(VLOOKUP($D376,Maestro_SKU!$A$2:$P$500,12,FALSE),1))</f>
        <v/>
      </c>
    </row>
    <row r="377" spans="1:15" x14ac:dyDescent="0.35">
      <c r="A377" s="25"/>
      <c r="B377" s="24"/>
      <c r="C377" s="24"/>
      <c r="D377" s="24"/>
      <c r="E377" s="28" t="str">
        <f>IFERROR(VLOOKUP(D377,Maestro_SKU!$A$2:$P$500,2,FALSE),"")</f>
        <v/>
      </c>
      <c r="F377" s="24"/>
      <c r="G377" s="30"/>
      <c r="H377" s="24"/>
      <c r="I377" s="24"/>
      <c r="J377" s="24"/>
      <c r="K377" s="37" t="str">
        <f t="shared" si="20"/>
        <v/>
      </c>
      <c r="L377" s="37" t="str">
        <f t="shared" si="21"/>
        <v/>
      </c>
      <c r="M377" s="37" t="str">
        <f t="shared" si="22"/>
        <v/>
      </c>
      <c r="N377" s="37" t="str">
        <f t="shared" si="23"/>
        <v/>
      </c>
      <c r="O377" s="37" t="str">
        <f>IF(OR($D377="",$F377=""),"",$F377*IFERROR(VLOOKUP($D377,Maestro_SKU!$A$2:$P$500,12,FALSE),1))</f>
        <v/>
      </c>
    </row>
    <row r="378" spans="1:15" x14ac:dyDescent="0.35">
      <c r="A378" s="25"/>
      <c r="B378" s="24"/>
      <c r="C378" s="24"/>
      <c r="D378" s="24"/>
      <c r="E378" s="28" t="str">
        <f>IFERROR(VLOOKUP(D378,Maestro_SKU!$A$2:$P$500,2,FALSE),"")</f>
        <v/>
      </c>
      <c r="F378" s="24"/>
      <c r="G378" s="30"/>
      <c r="H378" s="24"/>
      <c r="I378" s="24"/>
      <c r="J378" s="24"/>
      <c r="K378" s="37" t="str">
        <f t="shared" si="20"/>
        <v/>
      </c>
      <c r="L378" s="37" t="str">
        <f t="shared" si="21"/>
        <v/>
      </c>
      <c r="M378" s="37" t="str">
        <f t="shared" si="22"/>
        <v/>
      </c>
      <c r="N378" s="37" t="str">
        <f t="shared" si="23"/>
        <v/>
      </c>
      <c r="O378" s="37" t="str">
        <f>IF(OR($D378="",$F378=""),"",$F378*IFERROR(VLOOKUP($D378,Maestro_SKU!$A$2:$P$500,12,FALSE),1))</f>
        <v/>
      </c>
    </row>
    <row r="379" spans="1:15" x14ac:dyDescent="0.35">
      <c r="A379" s="25"/>
      <c r="B379" s="24"/>
      <c r="C379" s="24"/>
      <c r="D379" s="24"/>
      <c r="E379" s="28" t="str">
        <f>IFERROR(VLOOKUP(D379,Maestro_SKU!$A$2:$P$500,2,FALSE),"")</f>
        <v/>
      </c>
      <c r="F379" s="24"/>
      <c r="G379" s="30"/>
      <c r="H379" s="24"/>
      <c r="I379" s="24"/>
      <c r="J379" s="24"/>
      <c r="K379" s="37" t="str">
        <f t="shared" si="20"/>
        <v/>
      </c>
      <c r="L379" s="37" t="str">
        <f t="shared" si="21"/>
        <v/>
      </c>
      <c r="M379" s="37" t="str">
        <f t="shared" si="22"/>
        <v/>
      </c>
      <c r="N379" s="37" t="str">
        <f t="shared" si="23"/>
        <v/>
      </c>
      <c r="O379" s="37" t="str">
        <f>IF(OR($D379="",$F379=""),"",$F379*IFERROR(VLOOKUP($D379,Maestro_SKU!$A$2:$P$500,12,FALSE),1))</f>
        <v/>
      </c>
    </row>
    <row r="380" spans="1:15" x14ac:dyDescent="0.35">
      <c r="A380" s="25"/>
      <c r="B380" s="24"/>
      <c r="C380" s="24"/>
      <c r="D380" s="24"/>
      <c r="E380" s="28" t="str">
        <f>IFERROR(VLOOKUP(D380,Maestro_SKU!$A$2:$P$500,2,FALSE),"")</f>
        <v/>
      </c>
      <c r="F380" s="24"/>
      <c r="G380" s="30"/>
      <c r="H380" s="24"/>
      <c r="I380" s="24"/>
      <c r="J380" s="24"/>
      <c r="K380" s="37" t="str">
        <f t="shared" si="20"/>
        <v/>
      </c>
      <c r="L380" s="37" t="str">
        <f t="shared" si="21"/>
        <v/>
      </c>
      <c r="M380" s="37" t="str">
        <f t="shared" si="22"/>
        <v/>
      </c>
      <c r="N380" s="37" t="str">
        <f t="shared" si="23"/>
        <v/>
      </c>
      <c r="O380" s="37" t="str">
        <f>IF(OR($D380="",$F380=""),"",$F380*IFERROR(VLOOKUP($D380,Maestro_SKU!$A$2:$P$500,12,FALSE),1))</f>
        <v/>
      </c>
    </row>
    <row r="381" spans="1:15" x14ac:dyDescent="0.35">
      <c r="A381" s="25"/>
      <c r="B381" s="24"/>
      <c r="C381" s="24"/>
      <c r="D381" s="24"/>
      <c r="E381" s="28" t="str">
        <f>IFERROR(VLOOKUP(D381,Maestro_SKU!$A$2:$P$500,2,FALSE),"")</f>
        <v/>
      </c>
      <c r="F381" s="24"/>
      <c r="G381" s="30"/>
      <c r="H381" s="24"/>
      <c r="I381" s="24"/>
      <c r="J381" s="24"/>
      <c r="K381" s="37" t="str">
        <f t="shared" si="20"/>
        <v/>
      </c>
      <c r="L381" s="37" t="str">
        <f t="shared" si="21"/>
        <v/>
      </c>
      <c r="M381" s="37" t="str">
        <f t="shared" si="22"/>
        <v/>
      </c>
      <c r="N381" s="37" t="str">
        <f t="shared" si="23"/>
        <v/>
      </c>
      <c r="O381" s="37" t="str">
        <f>IF(OR($D381="",$F381=""),"",$F381*IFERROR(VLOOKUP($D381,Maestro_SKU!$A$2:$P$500,12,FALSE),1))</f>
        <v/>
      </c>
    </row>
    <row r="382" spans="1:15" x14ac:dyDescent="0.35">
      <c r="A382" s="25"/>
      <c r="B382" s="24"/>
      <c r="C382" s="24"/>
      <c r="D382" s="24"/>
      <c r="E382" s="28" t="str">
        <f>IFERROR(VLOOKUP(D382,Maestro_SKU!$A$2:$P$500,2,FALSE),"")</f>
        <v/>
      </c>
      <c r="F382" s="24"/>
      <c r="G382" s="30"/>
      <c r="H382" s="24"/>
      <c r="I382" s="24"/>
      <c r="J382" s="24"/>
      <c r="K382" s="37" t="str">
        <f t="shared" si="20"/>
        <v/>
      </c>
      <c r="L382" s="37" t="str">
        <f t="shared" si="21"/>
        <v/>
      </c>
      <c r="M382" s="37" t="str">
        <f t="shared" si="22"/>
        <v/>
      </c>
      <c r="N382" s="37" t="str">
        <f t="shared" si="23"/>
        <v/>
      </c>
      <c r="O382" s="37" t="str">
        <f>IF(OR($D382="",$F382=""),"",$F382*IFERROR(VLOOKUP($D382,Maestro_SKU!$A$2:$P$500,12,FALSE),1))</f>
        <v/>
      </c>
    </row>
    <row r="383" spans="1:15" x14ac:dyDescent="0.35">
      <c r="A383" s="25"/>
      <c r="B383" s="24"/>
      <c r="C383" s="24"/>
      <c r="D383" s="24"/>
      <c r="E383" s="28" t="str">
        <f>IFERROR(VLOOKUP(D383,Maestro_SKU!$A$2:$P$500,2,FALSE),"")</f>
        <v/>
      </c>
      <c r="F383" s="24"/>
      <c r="G383" s="30"/>
      <c r="H383" s="24"/>
      <c r="I383" s="24"/>
      <c r="J383" s="24"/>
      <c r="K383" s="37" t="str">
        <f t="shared" si="20"/>
        <v/>
      </c>
      <c r="L383" s="37" t="str">
        <f t="shared" si="21"/>
        <v/>
      </c>
      <c r="M383" s="37" t="str">
        <f t="shared" si="22"/>
        <v/>
      </c>
      <c r="N383" s="37" t="str">
        <f t="shared" si="23"/>
        <v/>
      </c>
      <c r="O383" s="37" t="str">
        <f>IF(OR($D383="",$F383=""),"",$F383*IFERROR(VLOOKUP($D383,Maestro_SKU!$A$2:$P$500,12,FALSE),1))</f>
        <v/>
      </c>
    </row>
    <row r="384" spans="1:15" x14ac:dyDescent="0.35">
      <c r="A384" s="25"/>
      <c r="B384" s="24"/>
      <c r="C384" s="24"/>
      <c r="D384" s="24"/>
      <c r="E384" s="28" t="str">
        <f>IFERROR(VLOOKUP(D384,Maestro_SKU!$A$2:$P$500,2,FALSE),"")</f>
        <v/>
      </c>
      <c r="F384" s="24"/>
      <c r="G384" s="30"/>
      <c r="H384" s="24"/>
      <c r="I384" s="24"/>
      <c r="J384" s="24"/>
      <c r="K384" s="37" t="str">
        <f t="shared" si="20"/>
        <v/>
      </c>
      <c r="L384" s="37" t="str">
        <f t="shared" si="21"/>
        <v/>
      </c>
      <c r="M384" s="37" t="str">
        <f t="shared" si="22"/>
        <v/>
      </c>
      <c r="N384" s="37" t="str">
        <f t="shared" si="23"/>
        <v/>
      </c>
      <c r="O384" s="37" t="str">
        <f>IF(OR($D384="",$F384=""),"",$F384*IFERROR(VLOOKUP($D384,Maestro_SKU!$A$2:$P$500,12,FALSE),1))</f>
        <v/>
      </c>
    </row>
    <row r="385" spans="1:15" x14ac:dyDescent="0.35">
      <c r="A385" s="25"/>
      <c r="B385" s="24"/>
      <c r="C385" s="24"/>
      <c r="D385" s="24"/>
      <c r="E385" s="28" t="str">
        <f>IFERROR(VLOOKUP(D385,Maestro_SKU!$A$2:$P$500,2,FALSE),"")</f>
        <v/>
      </c>
      <c r="F385" s="24"/>
      <c r="G385" s="30"/>
      <c r="H385" s="24"/>
      <c r="I385" s="24"/>
      <c r="J385" s="24"/>
      <c r="K385" s="37" t="str">
        <f t="shared" si="20"/>
        <v/>
      </c>
      <c r="L385" s="37" t="str">
        <f t="shared" si="21"/>
        <v/>
      </c>
      <c r="M385" s="37" t="str">
        <f t="shared" si="22"/>
        <v/>
      </c>
      <c r="N385" s="37" t="str">
        <f t="shared" si="23"/>
        <v/>
      </c>
      <c r="O385" s="37" t="str">
        <f>IF(OR($D385="",$F385=""),"",$F385*IFERROR(VLOOKUP($D385,Maestro_SKU!$A$2:$P$500,12,FALSE),1))</f>
        <v/>
      </c>
    </row>
    <row r="386" spans="1:15" x14ac:dyDescent="0.35">
      <c r="A386" s="25"/>
      <c r="B386" s="24"/>
      <c r="C386" s="24"/>
      <c r="D386" s="24"/>
      <c r="E386" s="28" t="str">
        <f>IFERROR(VLOOKUP(D386,Maestro_SKU!$A$2:$P$500,2,FALSE),"")</f>
        <v/>
      </c>
      <c r="F386" s="24"/>
      <c r="G386" s="30"/>
      <c r="H386" s="24"/>
      <c r="I386" s="24"/>
      <c r="J386" s="24"/>
      <c r="K386" s="37" t="str">
        <f t="shared" ref="K386:K449" si="24">IF($A386="","",YEAR($A386))</f>
        <v/>
      </c>
      <c r="L386" s="37" t="str">
        <f t="shared" ref="L386:L449" si="25">IF($A386="","",MONTH($A386))</f>
        <v/>
      </c>
      <c r="M386" s="37" t="str">
        <f t="shared" ref="M386:M449" si="26">IF($A386="","",DAY($A386))</f>
        <v/>
      </c>
      <c r="N386" s="37" t="str">
        <f t="shared" ref="N386:N449" si="27">IF($A386="","",YEAR($A386)&amp;"-"&amp;TEXT(MONTH($A386),"00"))</f>
        <v/>
      </c>
      <c r="O386" s="37" t="str">
        <f>IF(OR($D386="",$F386=""),"",$F386*IFERROR(VLOOKUP($D386,Maestro_SKU!$A$2:$P$500,12,FALSE),1))</f>
        <v/>
      </c>
    </row>
    <row r="387" spans="1:15" x14ac:dyDescent="0.35">
      <c r="A387" s="25"/>
      <c r="B387" s="24"/>
      <c r="C387" s="24"/>
      <c r="D387" s="24"/>
      <c r="E387" s="28" t="str">
        <f>IFERROR(VLOOKUP(D387,Maestro_SKU!$A$2:$P$500,2,FALSE),"")</f>
        <v/>
      </c>
      <c r="F387" s="24"/>
      <c r="G387" s="30"/>
      <c r="H387" s="24"/>
      <c r="I387" s="24"/>
      <c r="J387" s="24"/>
      <c r="K387" s="37" t="str">
        <f t="shared" si="24"/>
        <v/>
      </c>
      <c r="L387" s="37" t="str">
        <f t="shared" si="25"/>
        <v/>
      </c>
      <c r="M387" s="37" t="str">
        <f t="shared" si="26"/>
        <v/>
      </c>
      <c r="N387" s="37" t="str">
        <f t="shared" si="27"/>
        <v/>
      </c>
      <c r="O387" s="37" t="str">
        <f>IF(OR($D387="",$F387=""),"",$F387*IFERROR(VLOOKUP($D387,Maestro_SKU!$A$2:$P$500,12,FALSE),1))</f>
        <v/>
      </c>
    </row>
    <row r="388" spans="1:15" x14ac:dyDescent="0.35">
      <c r="A388" s="25"/>
      <c r="B388" s="24"/>
      <c r="C388" s="24"/>
      <c r="D388" s="24"/>
      <c r="E388" s="28" t="str">
        <f>IFERROR(VLOOKUP(D388,Maestro_SKU!$A$2:$P$500,2,FALSE),"")</f>
        <v/>
      </c>
      <c r="F388" s="24"/>
      <c r="G388" s="30"/>
      <c r="H388" s="24"/>
      <c r="I388" s="24"/>
      <c r="J388" s="24"/>
      <c r="K388" s="37" t="str">
        <f t="shared" si="24"/>
        <v/>
      </c>
      <c r="L388" s="37" t="str">
        <f t="shared" si="25"/>
        <v/>
      </c>
      <c r="M388" s="37" t="str">
        <f t="shared" si="26"/>
        <v/>
      </c>
      <c r="N388" s="37" t="str">
        <f t="shared" si="27"/>
        <v/>
      </c>
      <c r="O388" s="37" t="str">
        <f>IF(OR($D388="",$F388=""),"",$F388*IFERROR(VLOOKUP($D388,Maestro_SKU!$A$2:$P$500,12,FALSE),1))</f>
        <v/>
      </c>
    </row>
    <row r="389" spans="1:15" x14ac:dyDescent="0.35">
      <c r="A389" s="25"/>
      <c r="B389" s="24"/>
      <c r="C389" s="24"/>
      <c r="D389" s="24"/>
      <c r="E389" s="28" t="str">
        <f>IFERROR(VLOOKUP(D389,Maestro_SKU!$A$2:$P$500,2,FALSE),"")</f>
        <v/>
      </c>
      <c r="F389" s="24"/>
      <c r="G389" s="30"/>
      <c r="H389" s="24"/>
      <c r="I389" s="24"/>
      <c r="J389" s="24"/>
      <c r="K389" s="37" t="str">
        <f t="shared" si="24"/>
        <v/>
      </c>
      <c r="L389" s="37" t="str">
        <f t="shared" si="25"/>
        <v/>
      </c>
      <c r="M389" s="37" t="str">
        <f t="shared" si="26"/>
        <v/>
      </c>
      <c r="N389" s="37" t="str">
        <f t="shared" si="27"/>
        <v/>
      </c>
      <c r="O389" s="37" t="str">
        <f>IF(OR($D389="",$F389=""),"",$F389*IFERROR(VLOOKUP($D389,Maestro_SKU!$A$2:$P$500,12,FALSE),1))</f>
        <v/>
      </c>
    </row>
    <row r="390" spans="1:15" x14ac:dyDescent="0.35">
      <c r="A390" s="25"/>
      <c r="B390" s="24"/>
      <c r="C390" s="24"/>
      <c r="D390" s="24"/>
      <c r="E390" s="28" t="str">
        <f>IFERROR(VLOOKUP(D390,Maestro_SKU!$A$2:$P$500,2,FALSE),"")</f>
        <v/>
      </c>
      <c r="F390" s="24"/>
      <c r="G390" s="30"/>
      <c r="H390" s="24"/>
      <c r="I390" s="24"/>
      <c r="J390" s="24"/>
      <c r="K390" s="37" t="str">
        <f t="shared" si="24"/>
        <v/>
      </c>
      <c r="L390" s="37" t="str">
        <f t="shared" si="25"/>
        <v/>
      </c>
      <c r="M390" s="37" t="str">
        <f t="shared" si="26"/>
        <v/>
      </c>
      <c r="N390" s="37" t="str">
        <f t="shared" si="27"/>
        <v/>
      </c>
      <c r="O390" s="37" t="str">
        <f>IF(OR($D390="",$F390=""),"",$F390*IFERROR(VLOOKUP($D390,Maestro_SKU!$A$2:$P$500,12,FALSE),1))</f>
        <v/>
      </c>
    </row>
    <row r="391" spans="1:15" x14ac:dyDescent="0.35">
      <c r="A391" s="25"/>
      <c r="B391" s="24"/>
      <c r="C391" s="24"/>
      <c r="D391" s="24"/>
      <c r="E391" s="28" t="str">
        <f>IFERROR(VLOOKUP(D391,Maestro_SKU!$A$2:$P$500,2,FALSE),"")</f>
        <v/>
      </c>
      <c r="F391" s="24"/>
      <c r="G391" s="30"/>
      <c r="H391" s="24"/>
      <c r="I391" s="24"/>
      <c r="J391" s="24"/>
      <c r="K391" s="37" t="str">
        <f t="shared" si="24"/>
        <v/>
      </c>
      <c r="L391" s="37" t="str">
        <f t="shared" si="25"/>
        <v/>
      </c>
      <c r="M391" s="37" t="str">
        <f t="shared" si="26"/>
        <v/>
      </c>
      <c r="N391" s="37" t="str">
        <f t="shared" si="27"/>
        <v/>
      </c>
      <c r="O391" s="37" t="str">
        <f>IF(OR($D391="",$F391=""),"",$F391*IFERROR(VLOOKUP($D391,Maestro_SKU!$A$2:$P$500,12,FALSE),1))</f>
        <v/>
      </c>
    </row>
    <row r="392" spans="1:15" x14ac:dyDescent="0.35">
      <c r="A392" s="25"/>
      <c r="B392" s="24"/>
      <c r="C392" s="24"/>
      <c r="D392" s="24"/>
      <c r="E392" s="28" t="str">
        <f>IFERROR(VLOOKUP(D392,Maestro_SKU!$A$2:$P$500,2,FALSE),"")</f>
        <v/>
      </c>
      <c r="F392" s="24"/>
      <c r="G392" s="30"/>
      <c r="H392" s="24"/>
      <c r="I392" s="24"/>
      <c r="J392" s="24"/>
      <c r="K392" s="37" t="str">
        <f t="shared" si="24"/>
        <v/>
      </c>
      <c r="L392" s="37" t="str">
        <f t="shared" si="25"/>
        <v/>
      </c>
      <c r="M392" s="37" t="str">
        <f t="shared" si="26"/>
        <v/>
      </c>
      <c r="N392" s="37" t="str">
        <f t="shared" si="27"/>
        <v/>
      </c>
      <c r="O392" s="37" t="str">
        <f>IF(OR($D392="",$F392=""),"",$F392*IFERROR(VLOOKUP($D392,Maestro_SKU!$A$2:$P$500,12,FALSE),1))</f>
        <v/>
      </c>
    </row>
    <row r="393" spans="1:15" x14ac:dyDescent="0.35">
      <c r="A393" s="25"/>
      <c r="B393" s="24"/>
      <c r="C393" s="24"/>
      <c r="D393" s="24"/>
      <c r="E393" s="28" t="str">
        <f>IFERROR(VLOOKUP(D393,Maestro_SKU!$A$2:$P$500,2,FALSE),"")</f>
        <v/>
      </c>
      <c r="F393" s="24"/>
      <c r="G393" s="30"/>
      <c r="H393" s="24"/>
      <c r="I393" s="24"/>
      <c r="J393" s="24"/>
      <c r="K393" s="37" t="str">
        <f t="shared" si="24"/>
        <v/>
      </c>
      <c r="L393" s="37" t="str">
        <f t="shared" si="25"/>
        <v/>
      </c>
      <c r="M393" s="37" t="str">
        <f t="shared" si="26"/>
        <v/>
      </c>
      <c r="N393" s="37" t="str">
        <f t="shared" si="27"/>
        <v/>
      </c>
      <c r="O393" s="37" t="str">
        <f>IF(OR($D393="",$F393=""),"",$F393*IFERROR(VLOOKUP($D393,Maestro_SKU!$A$2:$P$500,12,FALSE),1))</f>
        <v/>
      </c>
    </row>
    <row r="394" spans="1:15" x14ac:dyDescent="0.35">
      <c r="A394" s="25"/>
      <c r="B394" s="24"/>
      <c r="C394" s="24"/>
      <c r="D394" s="24"/>
      <c r="E394" s="28" t="str">
        <f>IFERROR(VLOOKUP(D394,Maestro_SKU!$A$2:$P$500,2,FALSE),"")</f>
        <v/>
      </c>
      <c r="F394" s="24"/>
      <c r="G394" s="30"/>
      <c r="H394" s="24"/>
      <c r="I394" s="24"/>
      <c r="J394" s="24"/>
      <c r="K394" s="37" t="str">
        <f t="shared" si="24"/>
        <v/>
      </c>
      <c r="L394" s="37" t="str">
        <f t="shared" si="25"/>
        <v/>
      </c>
      <c r="M394" s="37" t="str">
        <f t="shared" si="26"/>
        <v/>
      </c>
      <c r="N394" s="37" t="str">
        <f t="shared" si="27"/>
        <v/>
      </c>
      <c r="O394" s="37" t="str">
        <f>IF(OR($D394="",$F394=""),"",$F394*IFERROR(VLOOKUP($D394,Maestro_SKU!$A$2:$P$500,12,FALSE),1))</f>
        <v/>
      </c>
    </row>
    <row r="395" spans="1:15" x14ac:dyDescent="0.35">
      <c r="A395" s="25"/>
      <c r="B395" s="24"/>
      <c r="C395" s="24"/>
      <c r="D395" s="24"/>
      <c r="E395" s="28" t="str">
        <f>IFERROR(VLOOKUP(D395,Maestro_SKU!$A$2:$P$500,2,FALSE),"")</f>
        <v/>
      </c>
      <c r="F395" s="24"/>
      <c r="G395" s="30"/>
      <c r="H395" s="24"/>
      <c r="I395" s="24"/>
      <c r="J395" s="24"/>
      <c r="K395" s="37" t="str">
        <f t="shared" si="24"/>
        <v/>
      </c>
      <c r="L395" s="37" t="str">
        <f t="shared" si="25"/>
        <v/>
      </c>
      <c r="M395" s="37" t="str">
        <f t="shared" si="26"/>
        <v/>
      </c>
      <c r="N395" s="37" t="str">
        <f t="shared" si="27"/>
        <v/>
      </c>
      <c r="O395" s="37" t="str">
        <f>IF(OR($D395="",$F395=""),"",$F395*IFERROR(VLOOKUP($D395,Maestro_SKU!$A$2:$P$500,12,FALSE),1))</f>
        <v/>
      </c>
    </row>
    <row r="396" spans="1:15" x14ac:dyDescent="0.35">
      <c r="A396" s="25"/>
      <c r="B396" s="24"/>
      <c r="C396" s="24"/>
      <c r="D396" s="24"/>
      <c r="E396" s="28" t="str">
        <f>IFERROR(VLOOKUP(D396,Maestro_SKU!$A$2:$P$500,2,FALSE),"")</f>
        <v/>
      </c>
      <c r="F396" s="24"/>
      <c r="G396" s="30"/>
      <c r="H396" s="24"/>
      <c r="I396" s="24"/>
      <c r="J396" s="24"/>
      <c r="K396" s="37" t="str">
        <f t="shared" si="24"/>
        <v/>
      </c>
      <c r="L396" s="37" t="str">
        <f t="shared" si="25"/>
        <v/>
      </c>
      <c r="M396" s="37" t="str">
        <f t="shared" si="26"/>
        <v/>
      </c>
      <c r="N396" s="37" t="str">
        <f t="shared" si="27"/>
        <v/>
      </c>
      <c r="O396" s="37" t="str">
        <f>IF(OR($D396="",$F396=""),"",$F396*IFERROR(VLOOKUP($D396,Maestro_SKU!$A$2:$P$500,12,FALSE),1))</f>
        <v/>
      </c>
    </row>
    <row r="397" spans="1:15" x14ac:dyDescent="0.35">
      <c r="A397" s="25"/>
      <c r="B397" s="24"/>
      <c r="C397" s="24"/>
      <c r="D397" s="24"/>
      <c r="E397" s="28" t="str">
        <f>IFERROR(VLOOKUP(D397,Maestro_SKU!$A$2:$P$500,2,FALSE),"")</f>
        <v/>
      </c>
      <c r="F397" s="24"/>
      <c r="G397" s="30"/>
      <c r="H397" s="24"/>
      <c r="I397" s="24"/>
      <c r="J397" s="24"/>
      <c r="K397" s="37" t="str">
        <f t="shared" si="24"/>
        <v/>
      </c>
      <c r="L397" s="37" t="str">
        <f t="shared" si="25"/>
        <v/>
      </c>
      <c r="M397" s="37" t="str">
        <f t="shared" si="26"/>
        <v/>
      </c>
      <c r="N397" s="37" t="str">
        <f t="shared" si="27"/>
        <v/>
      </c>
      <c r="O397" s="37" t="str">
        <f>IF(OR($D397="",$F397=""),"",$F397*IFERROR(VLOOKUP($D397,Maestro_SKU!$A$2:$P$500,12,FALSE),1))</f>
        <v/>
      </c>
    </row>
    <row r="398" spans="1:15" x14ac:dyDescent="0.35">
      <c r="A398" s="25"/>
      <c r="B398" s="24"/>
      <c r="C398" s="24"/>
      <c r="D398" s="24"/>
      <c r="E398" s="28" t="str">
        <f>IFERROR(VLOOKUP(D398,Maestro_SKU!$A$2:$P$500,2,FALSE),"")</f>
        <v/>
      </c>
      <c r="F398" s="24"/>
      <c r="G398" s="30"/>
      <c r="H398" s="24"/>
      <c r="I398" s="24"/>
      <c r="J398" s="24"/>
      <c r="K398" s="37" t="str">
        <f t="shared" si="24"/>
        <v/>
      </c>
      <c r="L398" s="37" t="str">
        <f t="shared" si="25"/>
        <v/>
      </c>
      <c r="M398" s="37" t="str">
        <f t="shared" si="26"/>
        <v/>
      </c>
      <c r="N398" s="37" t="str">
        <f t="shared" si="27"/>
        <v/>
      </c>
      <c r="O398" s="37" t="str">
        <f>IF(OR($D398="",$F398=""),"",$F398*IFERROR(VLOOKUP($D398,Maestro_SKU!$A$2:$P$500,12,FALSE),1))</f>
        <v/>
      </c>
    </row>
    <row r="399" spans="1:15" x14ac:dyDescent="0.35">
      <c r="A399" s="25"/>
      <c r="B399" s="24"/>
      <c r="C399" s="24"/>
      <c r="D399" s="24"/>
      <c r="E399" s="28" t="str">
        <f>IFERROR(VLOOKUP(D399,Maestro_SKU!$A$2:$P$500,2,FALSE),"")</f>
        <v/>
      </c>
      <c r="F399" s="24"/>
      <c r="G399" s="30"/>
      <c r="H399" s="24"/>
      <c r="I399" s="24"/>
      <c r="J399" s="24"/>
      <c r="K399" s="37" t="str">
        <f t="shared" si="24"/>
        <v/>
      </c>
      <c r="L399" s="37" t="str">
        <f t="shared" si="25"/>
        <v/>
      </c>
      <c r="M399" s="37" t="str">
        <f t="shared" si="26"/>
        <v/>
      </c>
      <c r="N399" s="37" t="str">
        <f t="shared" si="27"/>
        <v/>
      </c>
      <c r="O399" s="37" t="str">
        <f>IF(OR($D399="",$F399=""),"",$F399*IFERROR(VLOOKUP($D399,Maestro_SKU!$A$2:$P$500,12,FALSE),1))</f>
        <v/>
      </c>
    </row>
    <row r="400" spans="1:15" x14ac:dyDescent="0.35">
      <c r="A400" s="25"/>
      <c r="B400" s="24"/>
      <c r="C400" s="24"/>
      <c r="D400" s="24"/>
      <c r="E400" s="28" t="str">
        <f>IFERROR(VLOOKUP(D400,Maestro_SKU!$A$2:$P$500,2,FALSE),"")</f>
        <v/>
      </c>
      <c r="F400" s="24"/>
      <c r="G400" s="30"/>
      <c r="H400" s="24"/>
      <c r="I400" s="24"/>
      <c r="J400" s="24"/>
      <c r="K400" s="37" t="str">
        <f t="shared" si="24"/>
        <v/>
      </c>
      <c r="L400" s="37" t="str">
        <f t="shared" si="25"/>
        <v/>
      </c>
      <c r="M400" s="37" t="str">
        <f t="shared" si="26"/>
        <v/>
      </c>
      <c r="N400" s="37" t="str">
        <f t="shared" si="27"/>
        <v/>
      </c>
      <c r="O400" s="37" t="str">
        <f>IF(OR($D400="",$F400=""),"",$F400*IFERROR(VLOOKUP($D400,Maestro_SKU!$A$2:$P$500,12,FALSE),1))</f>
        <v/>
      </c>
    </row>
    <row r="401" spans="1:15" x14ac:dyDescent="0.35">
      <c r="A401" s="25"/>
      <c r="B401" s="24"/>
      <c r="C401" s="24"/>
      <c r="D401" s="24"/>
      <c r="E401" s="28" t="str">
        <f>IFERROR(VLOOKUP(D401,Maestro_SKU!$A$2:$P$500,2,FALSE),"")</f>
        <v/>
      </c>
      <c r="F401" s="24"/>
      <c r="G401" s="30"/>
      <c r="H401" s="24"/>
      <c r="I401" s="24"/>
      <c r="J401" s="24"/>
      <c r="K401" s="37" t="str">
        <f t="shared" si="24"/>
        <v/>
      </c>
      <c r="L401" s="37" t="str">
        <f t="shared" si="25"/>
        <v/>
      </c>
      <c r="M401" s="37" t="str">
        <f t="shared" si="26"/>
        <v/>
      </c>
      <c r="N401" s="37" t="str">
        <f t="shared" si="27"/>
        <v/>
      </c>
      <c r="O401" s="37" t="str">
        <f>IF(OR($D401="",$F401=""),"",$F401*IFERROR(VLOOKUP($D401,Maestro_SKU!$A$2:$P$500,12,FALSE),1))</f>
        <v/>
      </c>
    </row>
    <row r="402" spans="1:15" x14ac:dyDescent="0.35">
      <c r="A402" s="25"/>
      <c r="B402" s="24"/>
      <c r="C402" s="24"/>
      <c r="D402" s="24"/>
      <c r="E402" s="28" t="str">
        <f>IFERROR(VLOOKUP(D402,Maestro_SKU!$A$2:$P$500,2,FALSE),"")</f>
        <v/>
      </c>
      <c r="F402" s="24"/>
      <c r="G402" s="30"/>
      <c r="H402" s="24"/>
      <c r="I402" s="24"/>
      <c r="J402" s="24"/>
      <c r="K402" s="37" t="str">
        <f t="shared" si="24"/>
        <v/>
      </c>
      <c r="L402" s="37" t="str">
        <f t="shared" si="25"/>
        <v/>
      </c>
      <c r="M402" s="37" t="str">
        <f t="shared" si="26"/>
        <v/>
      </c>
      <c r="N402" s="37" t="str">
        <f t="shared" si="27"/>
        <v/>
      </c>
      <c r="O402" s="37" t="str">
        <f>IF(OR($D402="",$F402=""),"",$F402*IFERROR(VLOOKUP($D402,Maestro_SKU!$A$2:$P$500,12,FALSE),1))</f>
        <v/>
      </c>
    </row>
    <row r="403" spans="1:15" x14ac:dyDescent="0.35">
      <c r="A403" s="25"/>
      <c r="B403" s="24"/>
      <c r="C403" s="24"/>
      <c r="D403" s="24"/>
      <c r="E403" s="28" t="str">
        <f>IFERROR(VLOOKUP(D403,Maestro_SKU!$A$2:$P$500,2,FALSE),"")</f>
        <v/>
      </c>
      <c r="F403" s="24"/>
      <c r="G403" s="30"/>
      <c r="H403" s="24"/>
      <c r="I403" s="24"/>
      <c r="J403" s="24"/>
      <c r="K403" s="37" t="str">
        <f t="shared" si="24"/>
        <v/>
      </c>
      <c r="L403" s="37" t="str">
        <f t="shared" si="25"/>
        <v/>
      </c>
      <c r="M403" s="37" t="str">
        <f t="shared" si="26"/>
        <v/>
      </c>
      <c r="N403" s="37" t="str">
        <f t="shared" si="27"/>
        <v/>
      </c>
      <c r="O403" s="37" t="str">
        <f>IF(OR($D403="",$F403=""),"",$F403*IFERROR(VLOOKUP($D403,Maestro_SKU!$A$2:$P$500,12,FALSE),1))</f>
        <v/>
      </c>
    </row>
    <row r="404" spans="1:15" x14ac:dyDescent="0.35">
      <c r="A404" s="25"/>
      <c r="B404" s="24"/>
      <c r="C404" s="24"/>
      <c r="D404" s="24"/>
      <c r="E404" s="28" t="str">
        <f>IFERROR(VLOOKUP(D404,Maestro_SKU!$A$2:$P$500,2,FALSE),"")</f>
        <v/>
      </c>
      <c r="F404" s="24"/>
      <c r="G404" s="30"/>
      <c r="H404" s="24"/>
      <c r="I404" s="24"/>
      <c r="J404" s="24"/>
      <c r="K404" s="37" t="str">
        <f t="shared" si="24"/>
        <v/>
      </c>
      <c r="L404" s="37" t="str">
        <f t="shared" si="25"/>
        <v/>
      </c>
      <c r="M404" s="37" t="str">
        <f t="shared" si="26"/>
        <v/>
      </c>
      <c r="N404" s="37" t="str">
        <f t="shared" si="27"/>
        <v/>
      </c>
      <c r="O404" s="37" t="str">
        <f>IF(OR($D404="",$F404=""),"",$F404*IFERROR(VLOOKUP($D404,Maestro_SKU!$A$2:$P$500,12,FALSE),1))</f>
        <v/>
      </c>
    </row>
    <row r="405" spans="1:15" x14ac:dyDescent="0.35">
      <c r="A405" s="25"/>
      <c r="B405" s="24"/>
      <c r="C405" s="24"/>
      <c r="D405" s="24"/>
      <c r="E405" s="28" t="str">
        <f>IFERROR(VLOOKUP(D405,Maestro_SKU!$A$2:$P$500,2,FALSE),"")</f>
        <v/>
      </c>
      <c r="F405" s="24"/>
      <c r="G405" s="30"/>
      <c r="H405" s="24"/>
      <c r="I405" s="24"/>
      <c r="J405" s="24"/>
      <c r="K405" s="37" t="str">
        <f t="shared" si="24"/>
        <v/>
      </c>
      <c r="L405" s="37" t="str">
        <f t="shared" si="25"/>
        <v/>
      </c>
      <c r="M405" s="37" t="str">
        <f t="shared" si="26"/>
        <v/>
      </c>
      <c r="N405" s="37" t="str">
        <f t="shared" si="27"/>
        <v/>
      </c>
      <c r="O405" s="37" t="str">
        <f>IF(OR($D405="",$F405=""),"",$F405*IFERROR(VLOOKUP($D405,Maestro_SKU!$A$2:$P$500,12,FALSE),1))</f>
        <v/>
      </c>
    </row>
    <row r="406" spans="1:15" x14ac:dyDescent="0.35">
      <c r="A406" s="25"/>
      <c r="B406" s="24"/>
      <c r="C406" s="24"/>
      <c r="D406" s="24"/>
      <c r="E406" s="28" t="str">
        <f>IFERROR(VLOOKUP(D406,Maestro_SKU!$A$2:$P$500,2,FALSE),"")</f>
        <v/>
      </c>
      <c r="F406" s="24"/>
      <c r="G406" s="30"/>
      <c r="H406" s="24"/>
      <c r="I406" s="24"/>
      <c r="J406" s="24"/>
      <c r="K406" s="37" t="str">
        <f t="shared" si="24"/>
        <v/>
      </c>
      <c r="L406" s="37" t="str">
        <f t="shared" si="25"/>
        <v/>
      </c>
      <c r="M406" s="37" t="str">
        <f t="shared" si="26"/>
        <v/>
      </c>
      <c r="N406" s="37" t="str">
        <f t="shared" si="27"/>
        <v/>
      </c>
      <c r="O406" s="37" t="str">
        <f>IF(OR($D406="",$F406=""),"",$F406*IFERROR(VLOOKUP($D406,Maestro_SKU!$A$2:$P$500,12,FALSE),1))</f>
        <v/>
      </c>
    </row>
    <row r="407" spans="1:15" x14ac:dyDescent="0.35">
      <c r="A407" s="25"/>
      <c r="B407" s="24"/>
      <c r="C407" s="24"/>
      <c r="D407" s="24"/>
      <c r="E407" s="28" t="str">
        <f>IFERROR(VLOOKUP(D407,Maestro_SKU!$A$2:$P$500,2,FALSE),"")</f>
        <v/>
      </c>
      <c r="F407" s="24"/>
      <c r="G407" s="30"/>
      <c r="H407" s="24"/>
      <c r="I407" s="24"/>
      <c r="J407" s="24"/>
      <c r="K407" s="37" t="str">
        <f t="shared" si="24"/>
        <v/>
      </c>
      <c r="L407" s="37" t="str">
        <f t="shared" si="25"/>
        <v/>
      </c>
      <c r="M407" s="37" t="str">
        <f t="shared" si="26"/>
        <v/>
      </c>
      <c r="N407" s="37" t="str">
        <f t="shared" si="27"/>
        <v/>
      </c>
      <c r="O407" s="37" t="str">
        <f>IF(OR($D407="",$F407=""),"",$F407*IFERROR(VLOOKUP($D407,Maestro_SKU!$A$2:$P$500,12,FALSE),1))</f>
        <v/>
      </c>
    </row>
    <row r="408" spans="1:15" x14ac:dyDescent="0.35">
      <c r="A408" s="25"/>
      <c r="B408" s="24"/>
      <c r="C408" s="24"/>
      <c r="D408" s="24"/>
      <c r="E408" s="28" t="str">
        <f>IFERROR(VLOOKUP(D408,Maestro_SKU!$A$2:$P$500,2,FALSE),"")</f>
        <v/>
      </c>
      <c r="F408" s="24"/>
      <c r="G408" s="30"/>
      <c r="H408" s="24"/>
      <c r="I408" s="24"/>
      <c r="J408" s="24"/>
      <c r="K408" s="37" t="str">
        <f t="shared" si="24"/>
        <v/>
      </c>
      <c r="L408" s="37" t="str">
        <f t="shared" si="25"/>
        <v/>
      </c>
      <c r="M408" s="37" t="str">
        <f t="shared" si="26"/>
        <v/>
      </c>
      <c r="N408" s="37" t="str">
        <f t="shared" si="27"/>
        <v/>
      </c>
      <c r="O408" s="37" t="str">
        <f>IF(OR($D408="",$F408=""),"",$F408*IFERROR(VLOOKUP($D408,Maestro_SKU!$A$2:$P$500,12,FALSE),1))</f>
        <v/>
      </c>
    </row>
    <row r="409" spans="1:15" x14ac:dyDescent="0.35">
      <c r="A409" s="25"/>
      <c r="B409" s="24"/>
      <c r="C409" s="24"/>
      <c r="D409" s="24"/>
      <c r="E409" s="28" t="str">
        <f>IFERROR(VLOOKUP(D409,Maestro_SKU!$A$2:$P$500,2,FALSE),"")</f>
        <v/>
      </c>
      <c r="F409" s="24"/>
      <c r="G409" s="30"/>
      <c r="H409" s="24"/>
      <c r="I409" s="24"/>
      <c r="J409" s="24"/>
      <c r="K409" s="37" t="str">
        <f t="shared" si="24"/>
        <v/>
      </c>
      <c r="L409" s="37" t="str">
        <f t="shared" si="25"/>
        <v/>
      </c>
      <c r="M409" s="37" t="str">
        <f t="shared" si="26"/>
        <v/>
      </c>
      <c r="N409" s="37" t="str">
        <f t="shared" si="27"/>
        <v/>
      </c>
      <c r="O409" s="37" t="str">
        <f>IF(OR($D409="",$F409=""),"",$F409*IFERROR(VLOOKUP($D409,Maestro_SKU!$A$2:$P$500,12,FALSE),1))</f>
        <v/>
      </c>
    </row>
    <row r="410" spans="1:15" x14ac:dyDescent="0.35">
      <c r="A410" s="25"/>
      <c r="B410" s="24"/>
      <c r="C410" s="24"/>
      <c r="D410" s="24"/>
      <c r="E410" s="28" t="str">
        <f>IFERROR(VLOOKUP(D410,Maestro_SKU!$A$2:$P$500,2,FALSE),"")</f>
        <v/>
      </c>
      <c r="F410" s="24"/>
      <c r="G410" s="30"/>
      <c r="H410" s="24"/>
      <c r="I410" s="24"/>
      <c r="J410" s="24"/>
      <c r="K410" s="37" t="str">
        <f t="shared" si="24"/>
        <v/>
      </c>
      <c r="L410" s="37" t="str">
        <f t="shared" si="25"/>
        <v/>
      </c>
      <c r="M410" s="37" t="str">
        <f t="shared" si="26"/>
        <v/>
      </c>
      <c r="N410" s="37" t="str">
        <f t="shared" si="27"/>
        <v/>
      </c>
      <c r="O410" s="37" t="str">
        <f>IF(OR($D410="",$F410=""),"",$F410*IFERROR(VLOOKUP($D410,Maestro_SKU!$A$2:$P$500,12,FALSE),1))</f>
        <v/>
      </c>
    </row>
    <row r="411" spans="1:15" x14ac:dyDescent="0.35">
      <c r="A411" s="25"/>
      <c r="B411" s="24"/>
      <c r="C411" s="24"/>
      <c r="D411" s="24"/>
      <c r="E411" s="28" t="str">
        <f>IFERROR(VLOOKUP(D411,Maestro_SKU!$A$2:$P$500,2,FALSE),"")</f>
        <v/>
      </c>
      <c r="F411" s="24"/>
      <c r="G411" s="30"/>
      <c r="H411" s="24"/>
      <c r="I411" s="24"/>
      <c r="J411" s="24"/>
      <c r="K411" s="37" t="str">
        <f t="shared" si="24"/>
        <v/>
      </c>
      <c r="L411" s="37" t="str">
        <f t="shared" si="25"/>
        <v/>
      </c>
      <c r="M411" s="37" t="str">
        <f t="shared" si="26"/>
        <v/>
      </c>
      <c r="N411" s="37" t="str">
        <f t="shared" si="27"/>
        <v/>
      </c>
      <c r="O411" s="37" t="str">
        <f>IF(OR($D411="",$F411=""),"",$F411*IFERROR(VLOOKUP($D411,Maestro_SKU!$A$2:$P$500,12,FALSE),1))</f>
        <v/>
      </c>
    </row>
    <row r="412" spans="1:15" x14ac:dyDescent="0.35">
      <c r="A412" s="25"/>
      <c r="B412" s="24"/>
      <c r="C412" s="24"/>
      <c r="D412" s="24"/>
      <c r="E412" s="28" t="str">
        <f>IFERROR(VLOOKUP(D412,Maestro_SKU!$A$2:$P$500,2,FALSE),"")</f>
        <v/>
      </c>
      <c r="F412" s="24"/>
      <c r="G412" s="30"/>
      <c r="H412" s="24"/>
      <c r="I412" s="24"/>
      <c r="J412" s="24"/>
      <c r="K412" s="37" t="str">
        <f t="shared" si="24"/>
        <v/>
      </c>
      <c r="L412" s="37" t="str">
        <f t="shared" si="25"/>
        <v/>
      </c>
      <c r="M412" s="37" t="str">
        <f t="shared" si="26"/>
        <v/>
      </c>
      <c r="N412" s="37" t="str">
        <f t="shared" si="27"/>
        <v/>
      </c>
      <c r="O412" s="37" t="str">
        <f>IF(OR($D412="",$F412=""),"",$F412*IFERROR(VLOOKUP($D412,Maestro_SKU!$A$2:$P$500,12,FALSE),1))</f>
        <v/>
      </c>
    </row>
    <row r="413" spans="1:15" x14ac:dyDescent="0.35">
      <c r="A413" s="25"/>
      <c r="B413" s="24"/>
      <c r="C413" s="24"/>
      <c r="D413" s="24"/>
      <c r="E413" s="28" t="str">
        <f>IFERROR(VLOOKUP(D413,Maestro_SKU!$A$2:$P$500,2,FALSE),"")</f>
        <v/>
      </c>
      <c r="F413" s="24"/>
      <c r="G413" s="30"/>
      <c r="H413" s="24"/>
      <c r="I413" s="24"/>
      <c r="J413" s="24"/>
      <c r="K413" s="37" t="str">
        <f t="shared" si="24"/>
        <v/>
      </c>
      <c r="L413" s="37" t="str">
        <f t="shared" si="25"/>
        <v/>
      </c>
      <c r="M413" s="37" t="str">
        <f t="shared" si="26"/>
        <v/>
      </c>
      <c r="N413" s="37" t="str">
        <f t="shared" si="27"/>
        <v/>
      </c>
      <c r="O413" s="37" t="str">
        <f>IF(OR($D413="",$F413=""),"",$F413*IFERROR(VLOOKUP($D413,Maestro_SKU!$A$2:$P$500,12,FALSE),1))</f>
        <v/>
      </c>
    </row>
    <row r="414" spans="1:15" x14ac:dyDescent="0.35">
      <c r="A414" s="25"/>
      <c r="B414" s="24"/>
      <c r="C414" s="24"/>
      <c r="D414" s="24"/>
      <c r="E414" s="28" t="str">
        <f>IFERROR(VLOOKUP(D414,Maestro_SKU!$A$2:$P$500,2,FALSE),"")</f>
        <v/>
      </c>
      <c r="F414" s="24"/>
      <c r="G414" s="30"/>
      <c r="H414" s="24"/>
      <c r="I414" s="24"/>
      <c r="J414" s="24"/>
      <c r="K414" s="37" t="str">
        <f t="shared" si="24"/>
        <v/>
      </c>
      <c r="L414" s="37" t="str">
        <f t="shared" si="25"/>
        <v/>
      </c>
      <c r="M414" s="37" t="str">
        <f t="shared" si="26"/>
        <v/>
      </c>
      <c r="N414" s="37" t="str">
        <f t="shared" si="27"/>
        <v/>
      </c>
      <c r="O414" s="37" t="str">
        <f>IF(OR($D414="",$F414=""),"",$F414*IFERROR(VLOOKUP($D414,Maestro_SKU!$A$2:$P$500,12,FALSE),1))</f>
        <v/>
      </c>
    </row>
    <row r="415" spans="1:15" x14ac:dyDescent="0.35">
      <c r="A415" s="25"/>
      <c r="B415" s="24"/>
      <c r="C415" s="24"/>
      <c r="D415" s="24"/>
      <c r="E415" s="28" t="str">
        <f>IFERROR(VLOOKUP(D415,Maestro_SKU!$A$2:$P$500,2,FALSE),"")</f>
        <v/>
      </c>
      <c r="F415" s="24"/>
      <c r="G415" s="30"/>
      <c r="H415" s="24"/>
      <c r="I415" s="24"/>
      <c r="J415" s="24"/>
      <c r="K415" s="37" t="str">
        <f t="shared" si="24"/>
        <v/>
      </c>
      <c r="L415" s="37" t="str">
        <f t="shared" si="25"/>
        <v/>
      </c>
      <c r="M415" s="37" t="str">
        <f t="shared" si="26"/>
        <v/>
      </c>
      <c r="N415" s="37" t="str">
        <f t="shared" si="27"/>
        <v/>
      </c>
      <c r="O415" s="37" t="str">
        <f>IF(OR($D415="",$F415=""),"",$F415*IFERROR(VLOOKUP($D415,Maestro_SKU!$A$2:$P$500,12,FALSE),1))</f>
        <v/>
      </c>
    </row>
    <row r="416" spans="1:15" x14ac:dyDescent="0.35">
      <c r="A416" s="25"/>
      <c r="B416" s="24"/>
      <c r="C416" s="24"/>
      <c r="D416" s="24"/>
      <c r="E416" s="28" t="str">
        <f>IFERROR(VLOOKUP(D416,Maestro_SKU!$A$2:$P$500,2,FALSE),"")</f>
        <v/>
      </c>
      <c r="F416" s="24"/>
      <c r="G416" s="30"/>
      <c r="H416" s="24"/>
      <c r="I416" s="24"/>
      <c r="J416" s="24"/>
      <c r="K416" s="37" t="str">
        <f t="shared" si="24"/>
        <v/>
      </c>
      <c r="L416" s="37" t="str">
        <f t="shared" si="25"/>
        <v/>
      </c>
      <c r="M416" s="37" t="str">
        <f t="shared" si="26"/>
        <v/>
      </c>
      <c r="N416" s="37" t="str">
        <f t="shared" si="27"/>
        <v/>
      </c>
      <c r="O416" s="37" t="str">
        <f>IF(OR($D416="",$F416=""),"",$F416*IFERROR(VLOOKUP($D416,Maestro_SKU!$A$2:$P$500,12,FALSE),1))</f>
        <v/>
      </c>
    </row>
    <row r="417" spans="1:15" x14ac:dyDescent="0.35">
      <c r="A417" s="25"/>
      <c r="B417" s="24"/>
      <c r="C417" s="24"/>
      <c r="D417" s="24"/>
      <c r="E417" s="28" t="str">
        <f>IFERROR(VLOOKUP(D417,Maestro_SKU!$A$2:$P$500,2,FALSE),"")</f>
        <v/>
      </c>
      <c r="F417" s="24"/>
      <c r="G417" s="30"/>
      <c r="H417" s="24"/>
      <c r="I417" s="24"/>
      <c r="J417" s="24"/>
      <c r="K417" s="37" t="str">
        <f t="shared" si="24"/>
        <v/>
      </c>
      <c r="L417" s="37" t="str">
        <f t="shared" si="25"/>
        <v/>
      </c>
      <c r="M417" s="37" t="str">
        <f t="shared" si="26"/>
        <v/>
      </c>
      <c r="N417" s="37" t="str">
        <f t="shared" si="27"/>
        <v/>
      </c>
      <c r="O417" s="37" t="str">
        <f>IF(OR($D417="",$F417=""),"",$F417*IFERROR(VLOOKUP($D417,Maestro_SKU!$A$2:$P$500,12,FALSE),1))</f>
        <v/>
      </c>
    </row>
    <row r="418" spans="1:15" x14ac:dyDescent="0.35">
      <c r="A418" s="25"/>
      <c r="B418" s="24"/>
      <c r="C418" s="24"/>
      <c r="D418" s="24"/>
      <c r="E418" s="28" t="str">
        <f>IFERROR(VLOOKUP(D418,Maestro_SKU!$A$2:$P$500,2,FALSE),"")</f>
        <v/>
      </c>
      <c r="F418" s="24"/>
      <c r="G418" s="30"/>
      <c r="H418" s="24"/>
      <c r="I418" s="24"/>
      <c r="J418" s="24"/>
      <c r="K418" s="37" t="str">
        <f t="shared" si="24"/>
        <v/>
      </c>
      <c r="L418" s="37" t="str">
        <f t="shared" si="25"/>
        <v/>
      </c>
      <c r="M418" s="37" t="str">
        <f t="shared" si="26"/>
        <v/>
      </c>
      <c r="N418" s="37" t="str">
        <f t="shared" si="27"/>
        <v/>
      </c>
      <c r="O418" s="37" t="str">
        <f>IF(OR($D418="",$F418=""),"",$F418*IFERROR(VLOOKUP($D418,Maestro_SKU!$A$2:$P$500,12,FALSE),1))</f>
        <v/>
      </c>
    </row>
    <row r="419" spans="1:15" x14ac:dyDescent="0.35">
      <c r="A419" s="25"/>
      <c r="B419" s="24"/>
      <c r="C419" s="24"/>
      <c r="D419" s="24"/>
      <c r="E419" s="28" t="str">
        <f>IFERROR(VLOOKUP(D419,Maestro_SKU!$A$2:$P$500,2,FALSE),"")</f>
        <v/>
      </c>
      <c r="F419" s="24"/>
      <c r="G419" s="30"/>
      <c r="H419" s="24"/>
      <c r="I419" s="24"/>
      <c r="J419" s="24"/>
      <c r="K419" s="37" t="str">
        <f t="shared" si="24"/>
        <v/>
      </c>
      <c r="L419" s="37" t="str">
        <f t="shared" si="25"/>
        <v/>
      </c>
      <c r="M419" s="37" t="str">
        <f t="shared" si="26"/>
        <v/>
      </c>
      <c r="N419" s="37" t="str">
        <f t="shared" si="27"/>
        <v/>
      </c>
      <c r="O419" s="37" t="str">
        <f>IF(OR($D419="",$F419=""),"",$F419*IFERROR(VLOOKUP($D419,Maestro_SKU!$A$2:$P$500,12,FALSE),1))</f>
        <v/>
      </c>
    </row>
    <row r="420" spans="1:15" x14ac:dyDescent="0.35">
      <c r="A420" s="25"/>
      <c r="B420" s="24"/>
      <c r="C420" s="24"/>
      <c r="D420" s="24"/>
      <c r="E420" s="28" t="str">
        <f>IFERROR(VLOOKUP(D420,Maestro_SKU!$A$2:$P$500,2,FALSE),"")</f>
        <v/>
      </c>
      <c r="F420" s="24"/>
      <c r="G420" s="30"/>
      <c r="H420" s="24"/>
      <c r="I420" s="24"/>
      <c r="J420" s="24"/>
      <c r="K420" s="37" t="str">
        <f t="shared" si="24"/>
        <v/>
      </c>
      <c r="L420" s="37" t="str">
        <f t="shared" si="25"/>
        <v/>
      </c>
      <c r="M420" s="37" t="str">
        <f t="shared" si="26"/>
        <v/>
      </c>
      <c r="N420" s="37" t="str">
        <f t="shared" si="27"/>
        <v/>
      </c>
      <c r="O420" s="37" t="str">
        <f>IF(OR($D420="",$F420=""),"",$F420*IFERROR(VLOOKUP($D420,Maestro_SKU!$A$2:$P$500,12,FALSE),1))</f>
        <v/>
      </c>
    </row>
    <row r="421" spans="1:15" x14ac:dyDescent="0.35">
      <c r="A421" s="25"/>
      <c r="B421" s="24"/>
      <c r="C421" s="24"/>
      <c r="D421" s="24"/>
      <c r="E421" s="28" t="str">
        <f>IFERROR(VLOOKUP(D421,Maestro_SKU!$A$2:$P$500,2,FALSE),"")</f>
        <v/>
      </c>
      <c r="F421" s="24"/>
      <c r="G421" s="30"/>
      <c r="H421" s="24"/>
      <c r="I421" s="24"/>
      <c r="J421" s="24"/>
      <c r="K421" s="37" t="str">
        <f t="shared" si="24"/>
        <v/>
      </c>
      <c r="L421" s="37" t="str">
        <f t="shared" si="25"/>
        <v/>
      </c>
      <c r="M421" s="37" t="str">
        <f t="shared" si="26"/>
        <v/>
      </c>
      <c r="N421" s="37" t="str">
        <f t="shared" si="27"/>
        <v/>
      </c>
      <c r="O421" s="37" t="str">
        <f>IF(OR($D421="",$F421=""),"",$F421*IFERROR(VLOOKUP($D421,Maestro_SKU!$A$2:$P$500,12,FALSE),1))</f>
        <v/>
      </c>
    </row>
    <row r="422" spans="1:15" x14ac:dyDescent="0.35">
      <c r="A422" s="25"/>
      <c r="B422" s="24"/>
      <c r="C422" s="24"/>
      <c r="D422" s="24"/>
      <c r="E422" s="28" t="str">
        <f>IFERROR(VLOOKUP(D422,Maestro_SKU!$A$2:$P$500,2,FALSE),"")</f>
        <v/>
      </c>
      <c r="F422" s="24"/>
      <c r="G422" s="30"/>
      <c r="H422" s="24"/>
      <c r="I422" s="24"/>
      <c r="J422" s="24"/>
      <c r="K422" s="37" t="str">
        <f t="shared" si="24"/>
        <v/>
      </c>
      <c r="L422" s="37" t="str">
        <f t="shared" si="25"/>
        <v/>
      </c>
      <c r="M422" s="37" t="str">
        <f t="shared" si="26"/>
        <v/>
      </c>
      <c r="N422" s="37" t="str">
        <f t="shared" si="27"/>
        <v/>
      </c>
      <c r="O422" s="37" t="str">
        <f>IF(OR($D422="",$F422=""),"",$F422*IFERROR(VLOOKUP($D422,Maestro_SKU!$A$2:$P$500,12,FALSE),1))</f>
        <v/>
      </c>
    </row>
    <row r="423" spans="1:15" x14ac:dyDescent="0.35">
      <c r="A423" s="25"/>
      <c r="B423" s="24"/>
      <c r="C423" s="24"/>
      <c r="D423" s="24"/>
      <c r="E423" s="28" t="str">
        <f>IFERROR(VLOOKUP(D423,Maestro_SKU!$A$2:$P$500,2,FALSE),"")</f>
        <v/>
      </c>
      <c r="F423" s="24"/>
      <c r="G423" s="30"/>
      <c r="H423" s="24"/>
      <c r="I423" s="24"/>
      <c r="J423" s="24"/>
      <c r="K423" s="37" t="str">
        <f t="shared" si="24"/>
        <v/>
      </c>
      <c r="L423" s="37" t="str">
        <f t="shared" si="25"/>
        <v/>
      </c>
      <c r="M423" s="37" t="str">
        <f t="shared" si="26"/>
        <v/>
      </c>
      <c r="N423" s="37" t="str">
        <f t="shared" si="27"/>
        <v/>
      </c>
      <c r="O423" s="37" t="str">
        <f>IF(OR($D423="",$F423=""),"",$F423*IFERROR(VLOOKUP($D423,Maestro_SKU!$A$2:$P$500,12,FALSE),1))</f>
        <v/>
      </c>
    </row>
    <row r="424" spans="1:15" x14ac:dyDescent="0.35">
      <c r="A424" s="25"/>
      <c r="B424" s="24"/>
      <c r="C424" s="24"/>
      <c r="D424" s="24"/>
      <c r="E424" s="28" t="str">
        <f>IFERROR(VLOOKUP(D424,Maestro_SKU!$A$2:$P$500,2,FALSE),"")</f>
        <v/>
      </c>
      <c r="F424" s="24"/>
      <c r="G424" s="30"/>
      <c r="H424" s="24"/>
      <c r="I424" s="24"/>
      <c r="J424" s="24"/>
      <c r="K424" s="37" t="str">
        <f t="shared" si="24"/>
        <v/>
      </c>
      <c r="L424" s="37" t="str">
        <f t="shared" si="25"/>
        <v/>
      </c>
      <c r="M424" s="37" t="str">
        <f t="shared" si="26"/>
        <v/>
      </c>
      <c r="N424" s="37" t="str">
        <f t="shared" si="27"/>
        <v/>
      </c>
      <c r="O424" s="37" t="str">
        <f>IF(OR($D424="",$F424=""),"",$F424*IFERROR(VLOOKUP($D424,Maestro_SKU!$A$2:$P$500,12,FALSE),1))</f>
        <v/>
      </c>
    </row>
    <row r="425" spans="1:15" x14ac:dyDescent="0.35">
      <c r="A425" s="25"/>
      <c r="B425" s="24"/>
      <c r="C425" s="24"/>
      <c r="D425" s="24"/>
      <c r="E425" s="28" t="str">
        <f>IFERROR(VLOOKUP(D425,Maestro_SKU!$A$2:$P$500,2,FALSE),"")</f>
        <v/>
      </c>
      <c r="F425" s="24"/>
      <c r="G425" s="30"/>
      <c r="H425" s="24"/>
      <c r="I425" s="24"/>
      <c r="J425" s="24"/>
      <c r="K425" s="37" t="str">
        <f t="shared" si="24"/>
        <v/>
      </c>
      <c r="L425" s="37" t="str">
        <f t="shared" si="25"/>
        <v/>
      </c>
      <c r="M425" s="37" t="str">
        <f t="shared" si="26"/>
        <v/>
      </c>
      <c r="N425" s="37" t="str">
        <f t="shared" si="27"/>
        <v/>
      </c>
      <c r="O425" s="37" t="str">
        <f>IF(OR($D425="",$F425=""),"",$F425*IFERROR(VLOOKUP($D425,Maestro_SKU!$A$2:$P$500,12,FALSE),1))</f>
        <v/>
      </c>
    </row>
    <row r="426" spans="1:15" x14ac:dyDescent="0.35">
      <c r="A426" s="25"/>
      <c r="B426" s="24"/>
      <c r="C426" s="24"/>
      <c r="D426" s="24"/>
      <c r="E426" s="28" t="str">
        <f>IFERROR(VLOOKUP(D426,Maestro_SKU!$A$2:$P$500,2,FALSE),"")</f>
        <v/>
      </c>
      <c r="F426" s="24"/>
      <c r="G426" s="30"/>
      <c r="H426" s="24"/>
      <c r="I426" s="24"/>
      <c r="J426" s="24"/>
      <c r="K426" s="37" t="str">
        <f t="shared" si="24"/>
        <v/>
      </c>
      <c r="L426" s="37" t="str">
        <f t="shared" si="25"/>
        <v/>
      </c>
      <c r="M426" s="37" t="str">
        <f t="shared" si="26"/>
        <v/>
      </c>
      <c r="N426" s="37" t="str">
        <f t="shared" si="27"/>
        <v/>
      </c>
      <c r="O426" s="37" t="str">
        <f>IF(OR($D426="",$F426=""),"",$F426*IFERROR(VLOOKUP($D426,Maestro_SKU!$A$2:$P$500,12,FALSE),1))</f>
        <v/>
      </c>
    </row>
    <row r="427" spans="1:15" x14ac:dyDescent="0.35">
      <c r="A427" s="25"/>
      <c r="B427" s="24"/>
      <c r="C427" s="24"/>
      <c r="D427" s="24"/>
      <c r="E427" s="28" t="str">
        <f>IFERROR(VLOOKUP(D427,Maestro_SKU!$A$2:$P$500,2,FALSE),"")</f>
        <v/>
      </c>
      <c r="F427" s="24"/>
      <c r="G427" s="30"/>
      <c r="H427" s="24"/>
      <c r="I427" s="24"/>
      <c r="J427" s="24"/>
      <c r="K427" s="37" t="str">
        <f t="shared" si="24"/>
        <v/>
      </c>
      <c r="L427" s="37" t="str">
        <f t="shared" si="25"/>
        <v/>
      </c>
      <c r="M427" s="37" t="str">
        <f t="shared" si="26"/>
        <v/>
      </c>
      <c r="N427" s="37" t="str">
        <f t="shared" si="27"/>
        <v/>
      </c>
      <c r="O427" s="37" t="str">
        <f>IF(OR($D427="",$F427=""),"",$F427*IFERROR(VLOOKUP($D427,Maestro_SKU!$A$2:$P$500,12,FALSE),1))</f>
        <v/>
      </c>
    </row>
    <row r="428" spans="1:15" x14ac:dyDescent="0.35">
      <c r="A428" s="25"/>
      <c r="B428" s="24"/>
      <c r="C428" s="24"/>
      <c r="D428" s="24"/>
      <c r="E428" s="28" t="str">
        <f>IFERROR(VLOOKUP(D428,Maestro_SKU!$A$2:$P$500,2,FALSE),"")</f>
        <v/>
      </c>
      <c r="F428" s="24"/>
      <c r="G428" s="30"/>
      <c r="H428" s="24"/>
      <c r="I428" s="24"/>
      <c r="J428" s="24"/>
      <c r="K428" s="37" t="str">
        <f t="shared" si="24"/>
        <v/>
      </c>
      <c r="L428" s="37" t="str">
        <f t="shared" si="25"/>
        <v/>
      </c>
      <c r="M428" s="37" t="str">
        <f t="shared" si="26"/>
        <v/>
      </c>
      <c r="N428" s="37" t="str">
        <f t="shared" si="27"/>
        <v/>
      </c>
      <c r="O428" s="37" t="str">
        <f>IF(OR($D428="",$F428=""),"",$F428*IFERROR(VLOOKUP($D428,Maestro_SKU!$A$2:$P$500,12,FALSE),1))</f>
        <v/>
      </c>
    </row>
    <row r="429" spans="1:15" x14ac:dyDescent="0.35">
      <c r="A429" s="25"/>
      <c r="B429" s="24"/>
      <c r="C429" s="24"/>
      <c r="D429" s="24"/>
      <c r="E429" s="28" t="str">
        <f>IFERROR(VLOOKUP(D429,Maestro_SKU!$A$2:$P$500,2,FALSE),"")</f>
        <v/>
      </c>
      <c r="F429" s="24"/>
      <c r="G429" s="30"/>
      <c r="H429" s="24"/>
      <c r="I429" s="24"/>
      <c r="J429" s="24"/>
      <c r="K429" s="37" t="str">
        <f t="shared" si="24"/>
        <v/>
      </c>
      <c r="L429" s="37" t="str">
        <f t="shared" si="25"/>
        <v/>
      </c>
      <c r="M429" s="37" t="str">
        <f t="shared" si="26"/>
        <v/>
      </c>
      <c r="N429" s="37" t="str">
        <f t="shared" si="27"/>
        <v/>
      </c>
      <c r="O429" s="37" t="str">
        <f>IF(OR($D429="",$F429=""),"",$F429*IFERROR(VLOOKUP($D429,Maestro_SKU!$A$2:$P$500,12,FALSE),1))</f>
        <v/>
      </c>
    </row>
    <row r="430" spans="1:15" x14ac:dyDescent="0.35">
      <c r="A430" s="25"/>
      <c r="B430" s="24"/>
      <c r="C430" s="24"/>
      <c r="D430" s="24"/>
      <c r="E430" s="28" t="str">
        <f>IFERROR(VLOOKUP(D430,Maestro_SKU!$A$2:$P$500,2,FALSE),"")</f>
        <v/>
      </c>
      <c r="F430" s="24"/>
      <c r="G430" s="30"/>
      <c r="H430" s="24"/>
      <c r="I430" s="24"/>
      <c r="J430" s="24"/>
      <c r="K430" s="37" t="str">
        <f t="shared" si="24"/>
        <v/>
      </c>
      <c r="L430" s="37" t="str">
        <f t="shared" si="25"/>
        <v/>
      </c>
      <c r="M430" s="37" t="str">
        <f t="shared" si="26"/>
        <v/>
      </c>
      <c r="N430" s="37" t="str">
        <f t="shared" si="27"/>
        <v/>
      </c>
      <c r="O430" s="37" t="str">
        <f>IF(OR($D430="",$F430=""),"",$F430*IFERROR(VLOOKUP($D430,Maestro_SKU!$A$2:$P$500,12,FALSE),1))</f>
        <v/>
      </c>
    </row>
    <row r="431" spans="1:15" x14ac:dyDescent="0.35">
      <c r="A431" s="25"/>
      <c r="B431" s="24"/>
      <c r="C431" s="24"/>
      <c r="D431" s="24"/>
      <c r="E431" s="28" t="str">
        <f>IFERROR(VLOOKUP(D431,Maestro_SKU!$A$2:$P$500,2,FALSE),"")</f>
        <v/>
      </c>
      <c r="F431" s="24"/>
      <c r="G431" s="30"/>
      <c r="H431" s="24"/>
      <c r="I431" s="24"/>
      <c r="J431" s="24"/>
      <c r="K431" s="37" t="str">
        <f t="shared" si="24"/>
        <v/>
      </c>
      <c r="L431" s="37" t="str">
        <f t="shared" si="25"/>
        <v/>
      </c>
      <c r="M431" s="37" t="str">
        <f t="shared" si="26"/>
        <v/>
      </c>
      <c r="N431" s="37" t="str">
        <f t="shared" si="27"/>
        <v/>
      </c>
      <c r="O431" s="37" t="str">
        <f>IF(OR($D431="",$F431=""),"",$F431*IFERROR(VLOOKUP($D431,Maestro_SKU!$A$2:$P$500,12,FALSE),1))</f>
        <v/>
      </c>
    </row>
    <row r="432" spans="1:15" x14ac:dyDescent="0.35">
      <c r="A432" s="25"/>
      <c r="B432" s="24"/>
      <c r="C432" s="24"/>
      <c r="D432" s="24"/>
      <c r="E432" s="28" t="str">
        <f>IFERROR(VLOOKUP(D432,Maestro_SKU!$A$2:$P$500,2,FALSE),"")</f>
        <v/>
      </c>
      <c r="F432" s="24"/>
      <c r="G432" s="30"/>
      <c r="H432" s="24"/>
      <c r="I432" s="24"/>
      <c r="J432" s="24"/>
      <c r="K432" s="37" t="str">
        <f t="shared" si="24"/>
        <v/>
      </c>
      <c r="L432" s="37" t="str">
        <f t="shared" si="25"/>
        <v/>
      </c>
      <c r="M432" s="37" t="str">
        <f t="shared" si="26"/>
        <v/>
      </c>
      <c r="N432" s="37" t="str">
        <f t="shared" si="27"/>
        <v/>
      </c>
      <c r="O432" s="37" t="str">
        <f>IF(OR($D432="",$F432=""),"",$F432*IFERROR(VLOOKUP($D432,Maestro_SKU!$A$2:$P$500,12,FALSE),1))</f>
        <v/>
      </c>
    </row>
    <row r="433" spans="1:15" x14ac:dyDescent="0.35">
      <c r="A433" s="25"/>
      <c r="B433" s="24"/>
      <c r="C433" s="24"/>
      <c r="D433" s="24"/>
      <c r="E433" s="28" t="str">
        <f>IFERROR(VLOOKUP(D433,Maestro_SKU!$A$2:$P$500,2,FALSE),"")</f>
        <v/>
      </c>
      <c r="F433" s="24"/>
      <c r="G433" s="30"/>
      <c r="H433" s="24"/>
      <c r="I433" s="24"/>
      <c r="J433" s="24"/>
      <c r="K433" s="37" t="str">
        <f t="shared" si="24"/>
        <v/>
      </c>
      <c r="L433" s="37" t="str">
        <f t="shared" si="25"/>
        <v/>
      </c>
      <c r="M433" s="37" t="str">
        <f t="shared" si="26"/>
        <v/>
      </c>
      <c r="N433" s="37" t="str">
        <f t="shared" si="27"/>
        <v/>
      </c>
      <c r="O433" s="37" t="str">
        <f>IF(OR($D433="",$F433=""),"",$F433*IFERROR(VLOOKUP($D433,Maestro_SKU!$A$2:$P$500,12,FALSE),1))</f>
        <v/>
      </c>
    </row>
    <row r="434" spans="1:15" x14ac:dyDescent="0.35">
      <c r="A434" s="25"/>
      <c r="B434" s="24"/>
      <c r="C434" s="24"/>
      <c r="D434" s="24"/>
      <c r="E434" s="28" t="str">
        <f>IFERROR(VLOOKUP(D434,Maestro_SKU!$A$2:$P$500,2,FALSE),"")</f>
        <v/>
      </c>
      <c r="F434" s="24"/>
      <c r="G434" s="30"/>
      <c r="H434" s="24"/>
      <c r="I434" s="24"/>
      <c r="J434" s="24"/>
      <c r="K434" s="37" t="str">
        <f t="shared" si="24"/>
        <v/>
      </c>
      <c r="L434" s="37" t="str">
        <f t="shared" si="25"/>
        <v/>
      </c>
      <c r="M434" s="37" t="str">
        <f t="shared" si="26"/>
        <v/>
      </c>
      <c r="N434" s="37" t="str">
        <f t="shared" si="27"/>
        <v/>
      </c>
      <c r="O434" s="37" t="str">
        <f>IF(OR($D434="",$F434=""),"",$F434*IFERROR(VLOOKUP($D434,Maestro_SKU!$A$2:$P$500,12,FALSE),1))</f>
        <v/>
      </c>
    </row>
    <row r="435" spans="1:15" x14ac:dyDescent="0.35">
      <c r="A435" s="25"/>
      <c r="B435" s="24"/>
      <c r="C435" s="24"/>
      <c r="D435" s="24"/>
      <c r="E435" s="28" t="str">
        <f>IFERROR(VLOOKUP(D435,Maestro_SKU!$A$2:$P$500,2,FALSE),"")</f>
        <v/>
      </c>
      <c r="F435" s="24"/>
      <c r="G435" s="30"/>
      <c r="H435" s="24"/>
      <c r="I435" s="24"/>
      <c r="J435" s="24"/>
      <c r="K435" s="37" t="str">
        <f t="shared" si="24"/>
        <v/>
      </c>
      <c r="L435" s="37" t="str">
        <f t="shared" si="25"/>
        <v/>
      </c>
      <c r="M435" s="37" t="str">
        <f t="shared" si="26"/>
        <v/>
      </c>
      <c r="N435" s="37" t="str">
        <f t="shared" si="27"/>
        <v/>
      </c>
      <c r="O435" s="37" t="str">
        <f>IF(OR($D435="",$F435=""),"",$F435*IFERROR(VLOOKUP($D435,Maestro_SKU!$A$2:$P$500,12,FALSE),1))</f>
        <v/>
      </c>
    </row>
    <row r="436" spans="1:15" x14ac:dyDescent="0.35">
      <c r="A436" s="25"/>
      <c r="B436" s="24"/>
      <c r="C436" s="24"/>
      <c r="D436" s="24"/>
      <c r="E436" s="28" t="str">
        <f>IFERROR(VLOOKUP(D436,Maestro_SKU!$A$2:$P$500,2,FALSE),"")</f>
        <v/>
      </c>
      <c r="F436" s="24"/>
      <c r="G436" s="30"/>
      <c r="H436" s="24"/>
      <c r="I436" s="24"/>
      <c r="J436" s="24"/>
      <c r="K436" s="37" t="str">
        <f t="shared" si="24"/>
        <v/>
      </c>
      <c r="L436" s="37" t="str">
        <f t="shared" si="25"/>
        <v/>
      </c>
      <c r="M436" s="37" t="str">
        <f t="shared" si="26"/>
        <v/>
      </c>
      <c r="N436" s="37" t="str">
        <f t="shared" si="27"/>
        <v/>
      </c>
      <c r="O436" s="37" t="str">
        <f>IF(OR($D436="",$F436=""),"",$F436*IFERROR(VLOOKUP($D436,Maestro_SKU!$A$2:$P$500,12,FALSE),1))</f>
        <v/>
      </c>
    </row>
    <row r="437" spans="1:15" x14ac:dyDescent="0.35">
      <c r="A437" s="25"/>
      <c r="B437" s="24"/>
      <c r="C437" s="24"/>
      <c r="D437" s="24"/>
      <c r="E437" s="28" t="str">
        <f>IFERROR(VLOOKUP(D437,Maestro_SKU!$A$2:$P$500,2,FALSE),"")</f>
        <v/>
      </c>
      <c r="F437" s="24"/>
      <c r="G437" s="30"/>
      <c r="H437" s="24"/>
      <c r="I437" s="24"/>
      <c r="J437" s="24"/>
      <c r="K437" s="37" t="str">
        <f t="shared" si="24"/>
        <v/>
      </c>
      <c r="L437" s="37" t="str">
        <f t="shared" si="25"/>
        <v/>
      </c>
      <c r="M437" s="37" t="str">
        <f t="shared" si="26"/>
        <v/>
      </c>
      <c r="N437" s="37" t="str">
        <f t="shared" si="27"/>
        <v/>
      </c>
      <c r="O437" s="37" t="str">
        <f>IF(OR($D437="",$F437=""),"",$F437*IFERROR(VLOOKUP($D437,Maestro_SKU!$A$2:$P$500,12,FALSE),1))</f>
        <v/>
      </c>
    </row>
    <row r="438" spans="1:15" x14ac:dyDescent="0.35">
      <c r="A438" s="25"/>
      <c r="B438" s="24"/>
      <c r="C438" s="24"/>
      <c r="D438" s="24"/>
      <c r="E438" s="28" t="str">
        <f>IFERROR(VLOOKUP(D438,Maestro_SKU!$A$2:$P$500,2,FALSE),"")</f>
        <v/>
      </c>
      <c r="F438" s="24"/>
      <c r="G438" s="30"/>
      <c r="H438" s="24"/>
      <c r="I438" s="24"/>
      <c r="J438" s="24"/>
      <c r="K438" s="37" t="str">
        <f t="shared" si="24"/>
        <v/>
      </c>
      <c r="L438" s="37" t="str">
        <f t="shared" si="25"/>
        <v/>
      </c>
      <c r="M438" s="37" t="str">
        <f t="shared" si="26"/>
        <v/>
      </c>
      <c r="N438" s="37" t="str">
        <f t="shared" si="27"/>
        <v/>
      </c>
      <c r="O438" s="37" t="str">
        <f>IF(OR($D438="",$F438=""),"",$F438*IFERROR(VLOOKUP($D438,Maestro_SKU!$A$2:$P$500,12,FALSE),1))</f>
        <v/>
      </c>
    </row>
    <row r="439" spans="1:15" x14ac:dyDescent="0.35">
      <c r="A439" s="25"/>
      <c r="B439" s="24"/>
      <c r="C439" s="24"/>
      <c r="D439" s="24"/>
      <c r="E439" s="28" t="str">
        <f>IFERROR(VLOOKUP(D439,Maestro_SKU!$A$2:$P$500,2,FALSE),"")</f>
        <v/>
      </c>
      <c r="F439" s="24"/>
      <c r="G439" s="30"/>
      <c r="H439" s="24"/>
      <c r="I439" s="24"/>
      <c r="J439" s="24"/>
      <c r="K439" s="37" t="str">
        <f t="shared" si="24"/>
        <v/>
      </c>
      <c r="L439" s="37" t="str">
        <f t="shared" si="25"/>
        <v/>
      </c>
      <c r="M439" s="37" t="str">
        <f t="shared" si="26"/>
        <v/>
      </c>
      <c r="N439" s="37" t="str">
        <f t="shared" si="27"/>
        <v/>
      </c>
      <c r="O439" s="37" t="str">
        <f>IF(OR($D439="",$F439=""),"",$F439*IFERROR(VLOOKUP($D439,Maestro_SKU!$A$2:$P$500,12,FALSE),1))</f>
        <v/>
      </c>
    </row>
    <row r="440" spans="1:15" x14ac:dyDescent="0.35">
      <c r="A440" s="25"/>
      <c r="B440" s="24"/>
      <c r="C440" s="24"/>
      <c r="D440" s="24"/>
      <c r="E440" s="28" t="str">
        <f>IFERROR(VLOOKUP(D440,Maestro_SKU!$A$2:$P$500,2,FALSE),"")</f>
        <v/>
      </c>
      <c r="F440" s="24"/>
      <c r="G440" s="30"/>
      <c r="H440" s="24"/>
      <c r="I440" s="24"/>
      <c r="J440" s="24"/>
      <c r="K440" s="37" t="str">
        <f t="shared" si="24"/>
        <v/>
      </c>
      <c r="L440" s="37" t="str">
        <f t="shared" si="25"/>
        <v/>
      </c>
      <c r="M440" s="37" t="str">
        <f t="shared" si="26"/>
        <v/>
      </c>
      <c r="N440" s="37" t="str">
        <f t="shared" si="27"/>
        <v/>
      </c>
      <c r="O440" s="37" t="str">
        <f>IF(OR($D440="",$F440=""),"",$F440*IFERROR(VLOOKUP($D440,Maestro_SKU!$A$2:$P$500,12,FALSE),1))</f>
        <v/>
      </c>
    </row>
    <row r="441" spans="1:15" x14ac:dyDescent="0.35">
      <c r="A441" s="25"/>
      <c r="B441" s="24"/>
      <c r="C441" s="24"/>
      <c r="D441" s="24"/>
      <c r="E441" s="28" t="str">
        <f>IFERROR(VLOOKUP(D441,Maestro_SKU!$A$2:$P$500,2,FALSE),"")</f>
        <v/>
      </c>
      <c r="F441" s="24"/>
      <c r="G441" s="30"/>
      <c r="H441" s="24"/>
      <c r="I441" s="24"/>
      <c r="J441" s="24"/>
      <c r="K441" s="37" t="str">
        <f t="shared" si="24"/>
        <v/>
      </c>
      <c r="L441" s="37" t="str">
        <f t="shared" si="25"/>
        <v/>
      </c>
      <c r="M441" s="37" t="str">
        <f t="shared" si="26"/>
        <v/>
      </c>
      <c r="N441" s="37" t="str">
        <f t="shared" si="27"/>
        <v/>
      </c>
      <c r="O441" s="37" t="str">
        <f>IF(OR($D441="",$F441=""),"",$F441*IFERROR(VLOOKUP($D441,Maestro_SKU!$A$2:$P$500,12,FALSE),1))</f>
        <v/>
      </c>
    </row>
    <row r="442" spans="1:15" x14ac:dyDescent="0.35">
      <c r="A442" s="25"/>
      <c r="B442" s="24"/>
      <c r="C442" s="24"/>
      <c r="D442" s="24"/>
      <c r="E442" s="28" t="str">
        <f>IFERROR(VLOOKUP(D442,Maestro_SKU!$A$2:$P$500,2,FALSE),"")</f>
        <v/>
      </c>
      <c r="F442" s="24"/>
      <c r="G442" s="30"/>
      <c r="H442" s="24"/>
      <c r="I442" s="24"/>
      <c r="J442" s="24"/>
      <c r="K442" s="37" t="str">
        <f t="shared" si="24"/>
        <v/>
      </c>
      <c r="L442" s="37" t="str">
        <f t="shared" si="25"/>
        <v/>
      </c>
      <c r="M442" s="37" t="str">
        <f t="shared" si="26"/>
        <v/>
      </c>
      <c r="N442" s="37" t="str">
        <f t="shared" si="27"/>
        <v/>
      </c>
      <c r="O442" s="37" t="str">
        <f>IF(OR($D442="",$F442=""),"",$F442*IFERROR(VLOOKUP($D442,Maestro_SKU!$A$2:$P$500,12,FALSE),1))</f>
        <v/>
      </c>
    </row>
    <row r="443" spans="1:15" x14ac:dyDescent="0.35">
      <c r="A443" s="25"/>
      <c r="B443" s="24"/>
      <c r="C443" s="24"/>
      <c r="D443" s="24"/>
      <c r="E443" s="28" t="str">
        <f>IFERROR(VLOOKUP(D443,Maestro_SKU!$A$2:$P$500,2,FALSE),"")</f>
        <v/>
      </c>
      <c r="F443" s="24"/>
      <c r="G443" s="30"/>
      <c r="H443" s="24"/>
      <c r="I443" s="24"/>
      <c r="J443" s="24"/>
      <c r="K443" s="37" t="str">
        <f t="shared" si="24"/>
        <v/>
      </c>
      <c r="L443" s="37" t="str">
        <f t="shared" si="25"/>
        <v/>
      </c>
      <c r="M443" s="37" t="str">
        <f t="shared" si="26"/>
        <v/>
      </c>
      <c r="N443" s="37" t="str">
        <f t="shared" si="27"/>
        <v/>
      </c>
      <c r="O443" s="37" t="str">
        <f>IF(OR($D443="",$F443=""),"",$F443*IFERROR(VLOOKUP($D443,Maestro_SKU!$A$2:$P$500,12,FALSE),1))</f>
        <v/>
      </c>
    </row>
    <row r="444" spans="1:15" x14ac:dyDescent="0.35">
      <c r="A444" s="25"/>
      <c r="B444" s="24"/>
      <c r="C444" s="24"/>
      <c r="D444" s="24"/>
      <c r="E444" s="28" t="str">
        <f>IFERROR(VLOOKUP(D444,Maestro_SKU!$A$2:$P$500,2,FALSE),"")</f>
        <v/>
      </c>
      <c r="F444" s="24"/>
      <c r="G444" s="30"/>
      <c r="H444" s="24"/>
      <c r="I444" s="24"/>
      <c r="J444" s="24"/>
      <c r="K444" s="37" t="str">
        <f t="shared" si="24"/>
        <v/>
      </c>
      <c r="L444" s="37" t="str">
        <f t="shared" si="25"/>
        <v/>
      </c>
      <c r="M444" s="37" t="str">
        <f t="shared" si="26"/>
        <v/>
      </c>
      <c r="N444" s="37" t="str">
        <f t="shared" si="27"/>
        <v/>
      </c>
      <c r="O444" s="37" t="str">
        <f>IF(OR($D444="",$F444=""),"",$F444*IFERROR(VLOOKUP($D444,Maestro_SKU!$A$2:$P$500,12,FALSE),1))</f>
        <v/>
      </c>
    </row>
    <row r="445" spans="1:15" x14ac:dyDescent="0.35">
      <c r="A445" s="25"/>
      <c r="B445" s="24"/>
      <c r="C445" s="24"/>
      <c r="D445" s="24"/>
      <c r="E445" s="28" t="str">
        <f>IFERROR(VLOOKUP(D445,Maestro_SKU!$A$2:$P$500,2,FALSE),"")</f>
        <v/>
      </c>
      <c r="F445" s="24"/>
      <c r="G445" s="30"/>
      <c r="H445" s="24"/>
      <c r="I445" s="24"/>
      <c r="J445" s="24"/>
      <c r="K445" s="37" t="str">
        <f t="shared" si="24"/>
        <v/>
      </c>
      <c r="L445" s="37" t="str">
        <f t="shared" si="25"/>
        <v/>
      </c>
      <c r="M445" s="37" t="str">
        <f t="shared" si="26"/>
        <v/>
      </c>
      <c r="N445" s="37" t="str">
        <f t="shared" si="27"/>
        <v/>
      </c>
      <c r="O445" s="37" t="str">
        <f>IF(OR($D445="",$F445=""),"",$F445*IFERROR(VLOOKUP($D445,Maestro_SKU!$A$2:$P$500,12,FALSE),1))</f>
        <v/>
      </c>
    </row>
    <row r="446" spans="1:15" x14ac:dyDescent="0.35">
      <c r="A446" s="25"/>
      <c r="B446" s="24"/>
      <c r="C446" s="24"/>
      <c r="D446" s="24"/>
      <c r="E446" s="28" t="str">
        <f>IFERROR(VLOOKUP(D446,Maestro_SKU!$A$2:$P$500,2,FALSE),"")</f>
        <v/>
      </c>
      <c r="F446" s="24"/>
      <c r="G446" s="30"/>
      <c r="H446" s="24"/>
      <c r="I446" s="24"/>
      <c r="J446" s="24"/>
      <c r="K446" s="37" t="str">
        <f t="shared" si="24"/>
        <v/>
      </c>
      <c r="L446" s="37" t="str">
        <f t="shared" si="25"/>
        <v/>
      </c>
      <c r="M446" s="37" t="str">
        <f t="shared" si="26"/>
        <v/>
      </c>
      <c r="N446" s="37" t="str">
        <f t="shared" si="27"/>
        <v/>
      </c>
      <c r="O446" s="37" t="str">
        <f>IF(OR($D446="",$F446=""),"",$F446*IFERROR(VLOOKUP($D446,Maestro_SKU!$A$2:$P$500,12,FALSE),1))</f>
        <v/>
      </c>
    </row>
    <row r="447" spans="1:15" x14ac:dyDescent="0.35">
      <c r="A447" s="25"/>
      <c r="B447" s="24"/>
      <c r="C447" s="24"/>
      <c r="D447" s="24"/>
      <c r="E447" s="28" t="str">
        <f>IFERROR(VLOOKUP(D447,Maestro_SKU!$A$2:$P$500,2,FALSE),"")</f>
        <v/>
      </c>
      <c r="F447" s="24"/>
      <c r="G447" s="30"/>
      <c r="H447" s="24"/>
      <c r="I447" s="24"/>
      <c r="J447" s="24"/>
      <c r="K447" s="37" t="str">
        <f t="shared" si="24"/>
        <v/>
      </c>
      <c r="L447" s="37" t="str">
        <f t="shared" si="25"/>
        <v/>
      </c>
      <c r="M447" s="37" t="str">
        <f t="shared" si="26"/>
        <v/>
      </c>
      <c r="N447" s="37" t="str">
        <f t="shared" si="27"/>
        <v/>
      </c>
      <c r="O447" s="37" t="str">
        <f>IF(OR($D447="",$F447=""),"",$F447*IFERROR(VLOOKUP($D447,Maestro_SKU!$A$2:$P$500,12,FALSE),1))</f>
        <v/>
      </c>
    </row>
    <row r="448" spans="1:15" x14ac:dyDescent="0.35">
      <c r="A448" s="25"/>
      <c r="B448" s="24"/>
      <c r="C448" s="24"/>
      <c r="D448" s="24"/>
      <c r="E448" s="28" t="str">
        <f>IFERROR(VLOOKUP(D448,Maestro_SKU!$A$2:$P$500,2,FALSE),"")</f>
        <v/>
      </c>
      <c r="F448" s="24"/>
      <c r="G448" s="30"/>
      <c r="H448" s="24"/>
      <c r="I448" s="24"/>
      <c r="J448" s="24"/>
      <c r="K448" s="37" t="str">
        <f t="shared" si="24"/>
        <v/>
      </c>
      <c r="L448" s="37" t="str">
        <f t="shared" si="25"/>
        <v/>
      </c>
      <c r="M448" s="37" t="str">
        <f t="shared" si="26"/>
        <v/>
      </c>
      <c r="N448" s="37" t="str">
        <f t="shared" si="27"/>
        <v/>
      </c>
      <c r="O448" s="37" t="str">
        <f>IF(OR($D448="",$F448=""),"",$F448*IFERROR(VLOOKUP($D448,Maestro_SKU!$A$2:$P$500,12,FALSE),1))</f>
        <v/>
      </c>
    </row>
    <row r="449" spans="1:15" x14ac:dyDescent="0.35">
      <c r="A449" s="25"/>
      <c r="B449" s="24"/>
      <c r="C449" s="24"/>
      <c r="D449" s="24"/>
      <c r="E449" s="28" t="str">
        <f>IFERROR(VLOOKUP(D449,Maestro_SKU!$A$2:$P$500,2,FALSE),"")</f>
        <v/>
      </c>
      <c r="F449" s="24"/>
      <c r="G449" s="30"/>
      <c r="H449" s="24"/>
      <c r="I449" s="24"/>
      <c r="J449" s="24"/>
      <c r="K449" s="37" t="str">
        <f t="shared" si="24"/>
        <v/>
      </c>
      <c r="L449" s="37" t="str">
        <f t="shared" si="25"/>
        <v/>
      </c>
      <c r="M449" s="37" t="str">
        <f t="shared" si="26"/>
        <v/>
      </c>
      <c r="N449" s="37" t="str">
        <f t="shared" si="27"/>
        <v/>
      </c>
      <c r="O449" s="37" t="str">
        <f>IF(OR($D449="",$F449=""),"",$F449*IFERROR(VLOOKUP($D449,Maestro_SKU!$A$2:$P$500,12,FALSE),1))</f>
        <v/>
      </c>
    </row>
    <row r="450" spans="1:15" x14ac:dyDescent="0.35">
      <c r="A450" s="25"/>
      <c r="B450" s="24"/>
      <c r="C450" s="24"/>
      <c r="D450" s="24"/>
      <c r="E450" s="28" t="str">
        <f>IFERROR(VLOOKUP(D450,Maestro_SKU!$A$2:$P$500,2,FALSE),"")</f>
        <v/>
      </c>
      <c r="F450" s="24"/>
      <c r="G450" s="30"/>
      <c r="H450" s="24"/>
      <c r="I450" s="24"/>
      <c r="J450" s="24"/>
      <c r="K450" s="37" t="str">
        <f t="shared" ref="K450:K513" si="28">IF($A450="","",YEAR($A450))</f>
        <v/>
      </c>
      <c r="L450" s="37" t="str">
        <f t="shared" ref="L450:L513" si="29">IF($A450="","",MONTH($A450))</f>
        <v/>
      </c>
      <c r="M450" s="37" t="str">
        <f t="shared" ref="M450:M513" si="30">IF($A450="","",DAY($A450))</f>
        <v/>
      </c>
      <c r="N450" s="37" t="str">
        <f t="shared" ref="N450:N513" si="31">IF($A450="","",YEAR($A450)&amp;"-"&amp;TEXT(MONTH($A450),"00"))</f>
        <v/>
      </c>
      <c r="O450" s="37" t="str">
        <f>IF(OR($D450="",$F450=""),"",$F450*IFERROR(VLOOKUP($D450,Maestro_SKU!$A$2:$P$500,12,FALSE),1))</f>
        <v/>
      </c>
    </row>
    <row r="451" spans="1:15" x14ac:dyDescent="0.35">
      <c r="A451" s="25"/>
      <c r="B451" s="24"/>
      <c r="C451" s="24"/>
      <c r="D451" s="24"/>
      <c r="E451" s="28" t="str">
        <f>IFERROR(VLOOKUP(D451,Maestro_SKU!$A$2:$P$500,2,FALSE),"")</f>
        <v/>
      </c>
      <c r="F451" s="24"/>
      <c r="G451" s="30"/>
      <c r="H451" s="24"/>
      <c r="I451" s="24"/>
      <c r="J451" s="24"/>
      <c r="K451" s="37" t="str">
        <f t="shared" si="28"/>
        <v/>
      </c>
      <c r="L451" s="37" t="str">
        <f t="shared" si="29"/>
        <v/>
      </c>
      <c r="M451" s="37" t="str">
        <f t="shared" si="30"/>
        <v/>
      </c>
      <c r="N451" s="37" t="str">
        <f t="shared" si="31"/>
        <v/>
      </c>
      <c r="O451" s="37" t="str">
        <f>IF(OR($D451="",$F451=""),"",$F451*IFERROR(VLOOKUP($D451,Maestro_SKU!$A$2:$P$500,12,FALSE),1))</f>
        <v/>
      </c>
    </row>
    <row r="452" spans="1:15" x14ac:dyDescent="0.35">
      <c r="A452" s="25"/>
      <c r="B452" s="24"/>
      <c r="C452" s="24"/>
      <c r="D452" s="24"/>
      <c r="E452" s="28" t="str">
        <f>IFERROR(VLOOKUP(D452,Maestro_SKU!$A$2:$P$500,2,FALSE),"")</f>
        <v/>
      </c>
      <c r="F452" s="24"/>
      <c r="G452" s="30"/>
      <c r="H452" s="24"/>
      <c r="I452" s="24"/>
      <c r="J452" s="24"/>
      <c r="K452" s="37" t="str">
        <f t="shared" si="28"/>
        <v/>
      </c>
      <c r="L452" s="37" t="str">
        <f t="shared" si="29"/>
        <v/>
      </c>
      <c r="M452" s="37" t="str">
        <f t="shared" si="30"/>
        <v/>
      </c>
      <c r="N452" s="37" t="str">
        <f t="shared" si="31"/>
        <v/>
      </c>
      <c r="O452" s="37" t="str">
        <f>IF(OR($D452="",$F452=""),"",$F452*IFERROR(VLOOKUP($D452,Maestro_SKU!$A$2:$P$500,12,FALSE),1))</f>
        <v/>
      </c>
    </row>
    <row r="453" spans="1:15" x14ac:dyDescent="0.35">
      <c r="A453" s="25"/>
      <c r="B453" s="24"/>
      <c r="C453" s="24"/>
      <c r="D453" s="24"/>
      <c r="E453" s="28" t="str">
        <f>IFERROR(VLOOKUP(D453,Maestro_SKU!$A$2:$P$500,2,FALSE),"")</f>
        <v/>
      </c>
      <c r="F453" s="24"/>
      <c r="G453" s="30"/>
      <c r="H453" s="24"/>
      <c r="I453" s="24"/>
      <c r="J453" s="24"/>
      <c r="K453" s="37" t="str">
        <f t="shared" si="28"/>
        <v/>
      </c>
      <c r="L453" s="37" t="str">
        <f t="shared" si="29"/>
        <v/>
      </c>
      <c r="M453" s="37" t="str">
        <f t="shared" si="30"/>
        <v/>
      </c>
      <c r="N453" s="37" t="str">
        <f t="shared" si="31"/>
        <v/>
      </c>
      <c r="O453" s="37" t="str">
        <f>IF(OR($D453="",$F453=""),"",$F453*IFERROR(VLOOKUP($D453,Maestro_SKU!$A$2:$P$500,12,FALSE),1))</f>
        <v/>
      </c>
    </row>
    <row r="454" spans="1:15" x14ac:dyDescent="0.35">
      <c r="A454" s="25"/>
      <c r="B454" s="24"/>
      <c r="C454" s="24"/>
      <c r="D454" s="24"/>
      <c r="E454" s="28" t="str">
        <f>IFERROR(VLOOKUP(D454,Maestro_SKU!$A$2:$P$500,2,FALSE),"")</f>
        <v/>
      </c>
      <c r="F454" s="24"/>
      <c r="G454" s="30"/>
      <c r="H454" s="24"/>
      <c r="I454" s="24"/>
      <c r="J454" s="24"/>
      <c r="K454" s="37" t="str">
        <f t="shared" si="28"/>
        <v/>
      </c>
      <c r="L454" s="37" t="str">
        <f t="shared" si="29"/>
        <v/>
      </c>
      <c r="M454" s="37" t="str">
        <f t="shared" si="30"/>
        <v/>
      </c>
      <c r="N454" s="37" t="str">
        <f t="shared" si="31"/>
        <v/>
      </c>
      <c r="O454" s="37" t="str">
        <f>IF(OR($D454="",$F454=""),"",$F454*IFERROR(VLOOKUP($D454,Maestro_SKU!$A$2:$P$500,12,FALSE),1))</f>
        <v/>
      </c>
    </row>
    <row r="455" spans="1:15" x14ac:dyDescent="0.35">
      <c r="A455" s="25"/>
      <c r="B455" s="24"/>
      <c r="C455" s="24"/>
      <c r="D455" s="24"/>
      <c r="E455" s="28" t="str">
        <f>IFERROR(VLOOKUP(D455,Maestro_SKU!$A$2:$P$500,2,FALSE),"")</f>
        <v/>
      </c>
      <c r="F455" s="24"/>
      <c r="G455" s="30"/>
      <c r="H455" s="24"/>
      <c r="I455" s="24"/>
      <c r="J455" s="24"/>
      <c r="K455" s="37" t="str">
        <f t="shared" si="28"/>
        <v/>
      </c>
      <c r="L455" s="37" t="str">
        <f t="shared" si="29"/>
        <v/>
      </c>
      <c r="M455" s="37" t="str">
        <f t="shared" si="30"/>
        <v/>
      </c>
      <c r="N455" s="37" t="str">
        <f t="shared" si="31"/>
        <v/>
      </c>
      <c r="O455" s="37" t="str">
        <f>IF(OR($D455="",$F455=""),"",$F455*IFERROR(VLOOKUP($D455,Maestro_SKU!$A$2:$P$500,12,FALSE),1))</f>
        <v/>
      </c>
    </row>
    <row r="456" spans="1:15" x14ac:dyDescent="0.35">
      <c r="A456" s="25"/>
      <c r="B456" s="24"/>
      <c r="C456" s="24"/>
      <c r="D456" s="24"/>
      <c r="E456" s="28" t="str">
        <f>IFERROR(VLOOKUP(D456,Maestro_SKU!$A$2:$P$500,2,FALSE),"")</f>
        <v/>
      </c>
      <c r="F456" s="24"/>
      <c r="G456" s="30"/>
      <c r="H456" s="24"/>
      <c r="I456" s="24"/>
      <c r="J456" s="24"/>
      <c r="K456" s="37" t="str">
        <f t="shared" si="28"/>
        <v/>
      </c>
      <c r="L456" s="37" t="str">
        <f t="shared" si="29"/>
        <v/>
      </c>
      <c r="M456" s="37" t="str">
        <f t="shared" si="30"/>
        <v/>
      </c>
      <c r="N456" s="37" t="str">
        <f t="shared" si="31"/>
        <v/>
      </c>
      <c r="O456" s="37" t="str">
        <f>IF(OR($D456="",$F456=""),"",$F456*IFERROR(VLOOKUP($D456,Maestro_SKU!$A$2:$P$500,12,FALSE),1))</f>
        <v/>
      </c>
    </row>
    <row r="457" spans="1:15" x14ac:dyDescent="0.35">
      <c r="A457" s="25"/>
      <c r="B457" s="24"/>
      <c r="C457" s="24"/>
      <c r="D457" s="24"/>
      <c r="E457" s="28" t="str">
        <f>IFERROR(VLOOKUP(D457,Maestro_SKU!$A$2:$P$500,2,FALSE),"")</f>
        <v/>
      </c>
      <c r="F457" s="24"/>
      <c r="G457" s="30"/>
      <c r="H457" s="24"/>
      <c r="I457" s="24"/>
      <c r="J457" s="24"/>
      <c r="K457" s="37" t="str">
        <f t="shared" si="28"/>
        <v/>
      </c>
      <c r="L457" s="37" t="str">
        <f t="shared" si="29"/>
        <v/>
      </c>
      <c r="M457" s="37" t="str">
        <f t="shared" si="30"/>
        <v/>
      </c>
      <c r="N457" s="37" t="str">
        <f t="shared" si="31"/>
        <v/>
      </c>
      <c r="O457" s="37" t="str">
        <f>IF(OR($D457="",$F457=""),"",$F457*IFERROR(VLOOKUP($D457,Maestro_SKU!$A$2:$P$500,12,FALSE),1))</f>
        <v/>
      </c>
    </row>
    <row r="458" spans="1:15" x14ac:dyDescent="0.35">
      <c r="A458" s="25"/>
      <c r="B458" s="24"/>
      <c r="C458" s="24"/>
      <c r="D458" s="24"/>
      <c r="E458" s="28" t="str">
        <f>IFERROR(VLOOKUP(D458,Maestro_SKU!$A$2:$P$500,2,FALSE),"")</f>
        <v/>
      </c>
      <c r="F458" s="24"/>
      <c r="G458" s="30"/>
      <c r="H458" s="24"/>
      <c r="I458" s="24"/>
      <c r="J458" s="24"/>
      <c r="K458" s="37" t="str">
        <f t="shared" si="28"/>
        <v/>
      </c>
      <c r="L458" s="37" t="str">
        <f t="shared" si="29"/>
        <v/>
      </c>
      <c r="M458" s="37" t="str">
        <f t="shared" si="30"/>
        <v/>
      </c>
      <c r="N458" s="37" t="str">
        <f t="shared" si="31"/>
        <v/>
      </c>
      <c r="O458" s="37" t="str">
        <f>IF(OR($D458="",$F458=""),"",$F458*IFERROR(VLOOKUP($D458,Maestro_SKU!$A$2:$P$500,12,FALSE),1))</f>
        <v/>
      </c>
    </row>
    <row r="459" spans="1:15" x14ac:dyDescent="0.35">
      <c r="A459" s="25"/>
      <c r="B459" s="24"/>
      <c r="C459" s="24"/>
      <c r="D459" s="24"/>
      <c r="E459" s="28" t="str">
        <f>IFERROR(VLOOKUP(D459,Maestro_SKU!$A$2:$P$500,2,FALSE),"")</f>
        <v/>
      </c>
      <c r="F459" s="24"/>
      <c r="G459" s="30"/>
      <c r="H459" s="24"/>
      <c r="I459" s="24"/>
      <c r="J459" s="24"/>
      <c r="K459" s="37" t="str">
        <f t="shared" si="28"/>
        <v/>
      </c>
      <c r="L459" s="37" t="str">
        <f t="shared" si="29"/>
        <v/>
      </c>
      <c r="M459" s="37" t="str">
        <f t="shared" si="30"/>
        <v/>
      </c>
      <c r="N459" s="37" t="str">
        <f t="shared" si="31"/>
        <v/>
      </c>
      <c r="O459" s="37" t="str">
        <f>IF(OR($D459="",$F459=""),"",$F459*IFERROR(VLOOKUP($D459,Maestro_SKU!$A$2:$P$500,12,FALSE),1))</f>
        <v/>
      </c>
    </row>
    <row r="460" spans="1:15" x14ac:dyDescent="0.35">
      <c r="A460" s="25"/>
      <c r="B460" s="24"/>
      <c r="C460" s="24"/>
      <c r="D460" s="24"/>
      <c r="E460" s="28" t="str">
        <f>IFERROR(VLOOKUP(D460,Maestro_SKU!$A$2:$P$500,2,FALSE),"")</f>
        <v/>
      </c>
      <c r="F460" s="24"/>
      <c r="G460" s="30"/>
      <c r="H460" s="24"/>
      <c r="I460" s="24"/>
      <c r="J460" s="24"/>
      <c r="K460" s="37" t="str">
        <f t="shared" si="28"/>
        <v/>
      </c>
      <c r="L460" s="37" t="str">
        <f t="shared" si="29"/>
        <v/>
      </c>
      <c r="M460" s="37" t="str">
        <f t="shared" si="30"/>
        <v/>
      </c>
      <c r="N460" s="37" t="str">
        <f t="shared" si="31"/>
        <v/>
      </c>
      <c r="O460" s="37" t="str">
        <f>IF(OR($D460="",$F460=""),"",$F460*IFERROR(VLOOKUP($D460,Maestro_SKU!$A$2:$P$500,12,FALSE),1))</f>
        <v/>
      </c>
    </row>
    <row r="461" spans="1:15" x14ac:dyDescent="0.35">
      <c r="A461" s="25"/>
      <c r="B461" s="24"/>
      <c r="C461" s="24"/>
      <c r="D461" s="24"/>
      <c r="E461" s="28" t="str">
        <f>IFERROR(VLOOKUP(D461,Maestro_SKU!$A$2:$P$500,2,FALSE),"")</f>
        <v/>
      </c>
      <c r="F461" s="24"/>
      <c r="G461" s="30"/>
      <c r="H461" s="24"/>
      <c r="I461" s="24"/>
      <c r="J461" s="24"/>
      <c r="K461" s="37" t="str">
        <f t="shared" si="28"/>
        <v/>
      </c>
      <c r="L461" s="37" t="str">
        <f t="shared" si="29"/>
        <v/>
      </c>
      <c r="M461" s="37" t="str">
        <f t="shared" si="30"/>
        <v/>
      </c>
      <c r="N461" s="37" t="str">
        <f t="shared" si="31"/>
        <v/>
      </c>
      <c r="O461" s="37" t="str">
        <f>IF(OR($D461="",$F461=""),"",$F461*IFERROR(VLOOKUP($D461,Maestro_SKU!$A$2:$P$500,12,FALSE),1))</f>
        <v/>
      </c>
    </row>
    <row r="462" spans="1:15" x14ac:dyDescent="0.35">
      <c r="A462" s="25"/>
      <c r="B462" s="24"/>
      <c r="C462" s="24"/>
      <c r="D462" s="24"/>
      <c r="E462" s="28" t="str">
        <f>IFERROR(VLOOKUP(D462,Maestro_SKU!$A$2:$P$500,2,FALSE),"")</f>
        <v/>
      </c>
      <c r="F462" s="24"/>
      <c r="G462" s="30"/>
      <c r="H462" s="24"/>
      <c r="I462" s="24"/>
      <c r="J462" s="24"/>
      <c r="K462" s="37" t="str">
        <f t="shared" si="28"/>
        <v/>
      </c>
      <c r="L462" s="37" t="str">
        <f t="shared" si="29"/>
        <v/>
      </c>
      <c r="M462" s="37" t="str">
        <f t="shared" si="30"/>
        <v/>
      </c>
      <c r="N462" s="37" t="str">
        <f t="shared" si="31"/>
        <v/>
      </c>
      <c r="O462" s="37" t="str">
        <f>IF(OR($D462="",$F462=""),"",$F462*IFERROR(VLOOKUP($D462,Maestro_SKU!$A$2:$P$500,12,FALSE),1))</f>
        <v/>
      </c>
    </row>
    <row r="463" spans="1:15" x14ac:dyDescent="0.35">
      <c r="A463" s="25"/>
      <c r="B463" s="24"/>
      <c r="C463" s="24"/>
      <c r="D463" s="24"/>
      <c r="E463" s="28" t="str">
        <f>IFERROR(VLOOKUP(D463,Maestro_SKU!$A$2:$P$500,2,FALSE),"")</f>
        <v/>
      </c>
      <c r="F463" s="24"/>
      <c r="G463" s="30"/>
      <c r="H463" s="24"/>
      <c r="I463" s="24"/>
      <c r="J463" s="24"/>
      <c r="K463" s="37" t="str">
        <f t="shared" si="28"/>
        <v/>
      </c>
      <c r="L463" s="37" t="str">
        <f t="shared" si="29"/>
        <v/>
      </c>
      <c r="M463" s="37" t="str">
        <f t="shared" si="30"/>
        <v/>
      </c>
      <c r="N463" s="37" t="str">
        <f t="shared" si="31"/>
        <v/>
      </c>
      <c r="O463" s="37" t="str">
        <f>IF(OR($D463="",$F463=""),"",$F463*IFERROR(VLOOKUP($D463,Maestro_SKU!$A$2:$P$500,12,FALSE),1))</f>
        <v/>
      </c>
    </row>
    <row r="464" spans="1:15" x14ac:dyDescent="0.35">
      <c r="A464" s="25"/>
      <c r="B464" s="24"/>
      <c r="C464" s="24"/>
      <c r="D464" s="24"/>
      <c r="E464" s="28" t="str">
        <f>IFERROR(VLOOKUP(D464,Maestro_SKU!$A$2:$P$500,2,FALSE),"")</f>
        <v/>
      </c>
      <c r="F464" s="24"/>
      <c r="G464" s="30"/>
      <c r="H464" s="24"/>
      <c r="I464" s="24"/>
      <c r="J464" s="24"/>
      <c r="K464" s="37" t="str">
        <f t="shared" si="28"/>
        <v/>
      </c>
      <c r="L464" s="37" t="str">
        <f t="shared" si="29"/>
        <v/>
      </c>
      <c r="M464" s="37" t="str">
        <f t="shared" si="30"/>
        <v/>
      </c>
      <c r="N464" s="37" t="str">
        <f t="shared" si="31"/>
        <v/>
      </c>
      <c r="O464" s="37" t="str">
        <f>IF(OR($D464="",$F464=""),"",$F464*IFERROR(VLOOKUP($D464,Maestro_SKU!$A$2:$P$500,12,FALSE),1))</f>
        <v/>
      </c>
    </row>
    <row r="465" spans="1:15" x14ac:dyDescent="0.35">
      <c r="A465" s="25"/>
      <c r="B465" s="24"/>
      <c r="C465" s="24"/>
      <c r="D465" s="24"/>
      <c r="E465" s="28" t="str">
        <f>IFERROR(VLOOKUP(D465,Maestro_SKU!$A$2:$P$500,2,FALSE),"")</f>
        <v/>
      </c>
      <c r="F465" s="24"/>
      <c r="G465" s="30"/>
      <c r="H465" s="24"/>
      <c r="I465" s="24"/>
      <c r="J465" s="24"/>
      <c r="K465" s="37" t="str">
        <f t="shared" si="28"/>
        <v/>
      </c>
      <c r="L465" s="37" t="str">
        <f t="shared" si="29"/>
        <v/>
      </c>
      <c r="M465" s="37" t="str">
        <f t="shared" si="30"/>
        <v/>
      </c>
      <c r="N465" s="37" t="str">
        <f t="shared" si="31"/>
        <v/>
      </c>
      <c r="O465" s="37" t="str">
        <f>IF(OR($D465="",$F465=""),"",$F465*IFERROR(VLOOKUP($D465,Maestro_SKU!$A$2:$P$500,12,FALSE),1))</f>
        <v/>
      </c>
    </row>
    <row r="466" spans="1:15" x14ac:dyDescent="0.35">
      <c r="A466" s="25"/>
      <c r="B466" s="24"/>
      <c r="C466" s="24"/>
      <c r="D466" s="24"/>
      <c r="E466" s="28" t="str">
        <f>IFERROR(VLOOKUP(D466,Maestro_SKU!$A$2:$P$500,2,FALSE),"")</f>
        <v/>
      </c>
      <c r="F466" s="24"/>
      <c r="G466" s="30"/>
      <c r="H466" s="24"/>
      <c r="I466" s="24"/>
      <c r="J466" s="24"/>
      <c r="K466" s="37" t="str">
        <f t="shared" si="28"/>
        <v/>
      </c>
      <c r="L466" s="37" t="str">
        <f t="shared" si="29"/>
        <v/>
      </c>
      <c r="M466" s="37" t="str">
        <f t="shared" si="30"/>
        <v/>
      </c>
      <c r="N466" s="37" t="str">
        <f t="shared" si="31"/>
        <v/>
      </c>
      <c r="O466" s="37" t="str">
        <f>IF(OR($D466="",$F466=""),"",$F466*IFERROR(VLOOKUP($D466,Maestro_SKU!$A$2:$P$500,12,FALSE),1))</f>
        <v/>
      </c>
    </row>
    <row r="467" spans="1:15" x14ac:dyDescent="0.35">
      <c r="A467" s="25"/>
      <c r="B467" s="24"/>
      <c r="C467" s="24"/>
      <c r="D467" s="24"/>
      <c r="E467" s="28" t="str">
        <f>IFERROR(VLOOKUP(D467,Maestro_SKU!$A$2:$P$500,2,FALSE),"")</f>
        <v/>
      </c>
      <c r="F467" s="24"/>
      <c r="G467" s="30"/>
      <c r="H467" s="24"/>
      <c r="I467" s="24"/>
      <c r="J467" s="24"/>
      <c r="K467" s="37" t="str">
        <f t="shared" si="28"/>
        <v/>
      </c>
      <c r="L467" s="37" t="str">
        <f t="shared" si="29"/>
        <v/>
      </c>
      <c r="M467" s="37" t="str">
        <f t="shared" si="30"/>
        <v/>
      </c>
      <c r="N467" s="37" t="str">
        <f t="shared" si="31"/>
        <v/>
      </c>
      <c r="O467" s="37" t="str">
        <f>IF(OR($D467="",$F467=""),"",$F467*IFERROR(VLOOKUP($D467,Maestro_SKU!$A$2:$P$500,12,FALSE),1))</f>
        <v/>
      </c>
    </row>
    <row r="468" spans="1:15" x14ac:dyDescent="0.35">
      <c r="A468" s="25"/>
      <c r="B468" s="24"/>
      <c r="C468" s="24"/>
      <c r="D468" s="24"/>
      <c r="E468" s="28" t="str">
        <f>IFERROR(VLOOKUP(D468,Maestro_SKU!$A$2:$P$500,2,FALSE),"")</f>
        <v/>
      </c>
      <c r="F468" s="24"/>
      <c r="G468" s="30"/>
      <c r="H468" s="24"/>
      <c r="I468" s="24"/>
      <c r="J468" s="24"/>
      <c r="K468" s="37" t="str">
        <f t="shared" si="28"/>
        <v/>
      </c>
      <c r="L468" s="37" t="str">
        <f t="shared" si="29"/>
        <v/>
      </c>
      <c r="M468" s="37" t="str">
        <f t="shared" si="30"/>
        <v/>
      </c>
      <c r="N468" s="37" t="str">
        <f t="shared" si="31"/>
        <v/>
      </c>
      <c r="O468" s="37" t="str">
        <f>IF(OR($D468="",$F468=""),"",$F468*IFERROR(VLOOKUP($D468,Maestro_SKU!$A$2:$P$500,12,FALSE),1))</f>
        <v/>
      </c>
    </row>
    <row r="469" spans="1:15" x14ac:dyDescent="0.35">
      <c r="A469" s="25"/>
      <c r="B469" s="24"/>
      <c r="C469" s="24"/>
      <c r="D469" s="24"/>
      <c r="E469" s="28" t="str">
        <f>IFERROR(VLOOKUP(D469,Maestro_SKU!$A$2:$P$500,2,FALSE),"")</f>
        <v/>
      </c>
      <c r="F469" s="24"/>
      <c r="G469" s="30"/>
      <c r="H469" s="24"/>
      <c r="I469" s="24"/>
      <c r="J469" s="24"/>
      <c r="K469" s="37" t="str">
        <f t="shared" si="28"/>
        <v/>
      </c>
      <c r="L469" s="37" t="str">
        <f t="shared" si="29"/>
        <v/>
      </c>
      <c r="M469" s="37" t="str">
        <f t="shared" si="30"/>
        <v/>
      </c>
      <c r="N469" s="37" t="str">
        <f t="shared" si="31"/>
        <v/>
      </c>
      <c r="O469" s="37" t="str">
        <f>IF(OR($D469="",$F469=""),"",$F469*IFERROR(VLOOKUP($D469,Maestro_SKU!$A$2:$P$500,12,FALSE),1))</f>
        <v/>
      </c>
    </row>
    <row r="470" spans="1:15" x14ac:dyDescent="0.35">
      <c r="A470" s="25"/>
      <c r="B470" s="24"/>
      <c r="C470" s="24"/>
      <c r="D470" s="24"/>
      <c r="E470" s="28" t="str">
        <f>IFERROR(VLOOKUP(D470,Maestro_SKU!$A$2:$P$500,2,FALSE),"")</f>
        <v/>
      </c>
      <c r="F470" s="24"/>
      <c r="G470" s="30"/>
      <c r="H470" s="24"/>
      <c r="I470" s="24"/>
      <c r="J470" s="24"/>
      <c r="K470" s="37" t="str">
        <f t="shared" si="28"/>
        <v/>
      </c>
      <c r="L470" s="37" t="str">
        <f t="shared" si="29"/>
        <v/>
      </c>
      <c r="M470" s="37" t="str">
        <f t="shared" si="30"/>
        <v/>
      </c>
      <c r="N470" s="37" t="str">
        <f t="shared" si="31"/>
        <v/>
      </c>
      <c r="O470" s="37" t="str">
        <f>IF(OR($D470="",$F470=""),"",$F470*IFERROR(VLOOKUP($D470,Maestro_SKU!$A$2:$P$500,12,FALSE),1))</f>
        <v/>
      </c>
    </row>
    <row r="471" spans="1:15" x14ac:dyDescent="0.35">
      <c r="A471" s="25"/>
      <c r="B471" s="24"/>
      <c r="C471" s="24"/>
      <c r="D471" s="24"/>
      <c r="E471" s="28" t="str">
        <f>IFERROR(VLOOKUP(D471,Maestro_SKU!$A$2:$P$500,2,FALSE),"")</f>
        <v/>
      </c>
      <c r="F471" s="24"/>
      <c r="G471" s="30"/>
      <c r="H471" s="24"/>
      <c r="I471" s="24"/>
      <c r="J471" s="24"/>
      <c r="K471" s="37" t="str">
        <f t="shared" si="28"/>
        <v/>
      </c>
      <c r="L471" s="37" t="str">
        <f t="shared" si="29"/>
        <v/>
      </c>
      <c r="M471" s="37" t="str">
        <f t="shared" si="30"/>
        <v/>
      </c>
      <c r="N471" s="37" t="str">
        <f t="shared" si="31"/>
        <v/>
      </c>
      <c r="O471" s="37" t="str">
        <f>IF(OR($D471="",$F471=""),"",$F471*IFERROR(VLOOKUP($D471,Maestro_SKU!$A$2:$P$500,12,FALSE),1))</f>
        <v/>
      </c>
    </row>
    <row r="472" spans="1:15" x14ac:dyDescent="0.35">
      <c r="A472" s="25"/>
      <c r="B472" s="24"/>
      <c r="C472" s="24"/>
      <c r="D472" s="24"/>
      <c r="E472" s="28" t="str">
        <f>IFERROR(VLOOKUP(D472,Maestro_SKU!$A$2:$P$500,2,FALSE),"")</f>
        <v/>
      </c>
      <c r="F472" s="24"/>
      <c r="G472" s="30"/>
      <c r="H472" s="24"/>
      <c r="I472" s="24"/>
      <c r="J472" s="24"/>
      <c r="K472" s="37" t="str">
        <f t="shared" si="28"/>
        <v/>
      </c>
      <c r="L472" s="37" t="str">
        <f t="shared" si="29"/>
        <v/>
      </c>
      <c r="M472" s="37" t="str">
        <f t="shared" si="30"/>
        <v/>
      </c>
      <c r="N472" s="37" t="str">
        <f t="shared" si="31"/>
        <v/>
      </c>
      <c r="O472" s="37" t="str">
        <f>IF(OR($D472="",$F472=""),"",$F472*IFERROR(VLOOKUP($D472,Maestro_SKU!$A$2:$P$500,12,FALSE),1))</f>
        <v/>
      </c>
    </row>
    <row r="473" spans="1:15" x14ac:dyDescent="0.35">
      <c r="A473" s="25"/>
      <c r="B473" s="24"/>
      <c r="C473" s="24"/>
      <c r="D473" s="24"/>
      <c r="E473" s="28" t="str">
        <f>IFERROR(VLOOKUP(D473,Maestro_SKU!$A$2:$P$500,2,FALSE),"")</f>
        <v/>
      </c>
      <c r="F473" s="24"/>
      <c r="G473" s="30"/>
      <c r="H473" s="24"/>
      <c r="I473" s="24"/>
      <c r="J473" s="24"/>
      <c r="K473" s="37" t="str">
        <f t="shared" si="28"/>
        <v/>
      </c>
      <c r="L473" s="37" t="str">
        <f t="shared" si="29"/>
        <v/>
      </c>
      <c r="M473" s="37" t="str">
        <f t="shared" si="30"/>
        <v/>
      </c>
      <c r="N473" s="37" t="str">
        <f t="shared" si="31"/>
        <v/>
      </c>
      <c r="O473" s="37" t="str">
        <f>IF(OR($D473="",$F473=""),"",$F473*IFERROR(VLOOKUP($D473,Maestro_SKU!$A$2:$P$500,12,FALSE),1))</f>
        <v/>
      </c>
    </row>
    <row r="474" spans="1:15" x14ac:dyDescent="0.35">
      <c r="A474" s="25"/>
      <c r="B474" s="24"/>
      <c r="C474" s="24"/>
      <c r="D474" s="24"/>
      <c r="E474" s="28" t="str">
        <f>IFERROR(VLOOKUP(D474,Maestro_SKU!$A$2:$P$500,2,FALSE),"")</f>
        <v/>
      </c>
      <c r="F474" s="24"/>
      <c r="G474" s="30"/>
      <c r="H474" s="24"/>
      <c r="I474" s="24"/>
      <c r="J474" s="24"/>
      <c r="K474" s="37" t="str">
        <f t="shared" si="28"/>
        <v/>
      </c>
      <c r="L474" s="37" t="str">
        <f t="shared" si="29"/>
        <v/>
      </c>
      <c r="M474" s="37" t="str">
        <f t="shared" si="30"/>
        <v/>
      </c>
      <c r="N474" s="37" t="str">
        <f t="shared" si="31"/>
        <v/>
      </c>
      <c r="O474" s="37" t="str">
        <f>IF(OR($D474="",$F474=""),"",$F474*IFERROR(VLOOKUP($D474,Maestro_SKU!$A$2:$P$500,12,FALSE),1))</f>
        <v/>
      </c>
    </row>
    <row r="475" spans="1:15" x14ac:dyDescent="0.35">
      <c r="A475" s="25"/>
      <c r="B475" s="24"/>
      <c r="C475" s="24"/>
      <c r="D475" s="24"/>
      <c r="E475" s="28" t="str">
        <f>IFERROR(VLOOKUP(D475,Maestro_SKU!$A$2:$P$500,2,FALSE),"")</f>
        <v/>
      </c>
      <c r="F475" s="24"/>
      <c r="G475" s="30"/>
      <c r="H475" s="24"/>
      <c r="I475" s="24"/>
      <c r="J475" s="24"/>
      <c r="K475" s="37" t="str">
        <f t="shared" si="28"/>
        <v/>
      </c>
      <c r="L475" s="37" t="str">
        <f t="shared" si="29"/>
        <v/>
      </c>
      <c r="M475" s="37" t="str">
        <f t="shared" si="30"/>
        <v/>
      </c>
      <c r="N475" s="37" t="str">
        <f t="shared" si="31"/>
        <v/>
      </c>
      <c r="O475" s="37" t="str">
        <f>IF(OR($D475="",$F475=""),"",$F475*IFERROR(VLOOKUP($D475,Maestro_SKU!$A$2:$P$500,12,FALSE),1))</f>
        <v/>
      </c>
    </row>
    <row r="476" spans="1:15" x14ac:dyDescent="0.35">
      <c r="A476" s="25"/>
      <c r="B476" s="24"/>
      <c r="C476" s="24"/>
      <c r="D476" s="24"/>
      <c r="E476" s="28" t="str">
        <f>IFERROR(VLOOKUP(D476,Maestro_SKU!$A$2:$P$500,2,FALSE),"")</f>
        <v/>
      </c>
      <c r="F476" s="24"/>
      <c r="G476" s="30"/>
      <c r="H476" s="24"/>
      <c r="I476" s="24"/>
      <c r="J476" s="24"/>
      <c r="K476" s="37" t="str">
        <f t="shared" si="28"/>
        <v/>
      </c>
      <c r="L476" s="37" t="str">
        <f t="shared" si="29"/>
        <v/>
      </c>
      <c r="M476" s="37" t="str">
        <f t="shared" si="30"/>
        <v/>
      </c>
      <c r="N476" s="37" t="str">
        <f t="shared" si="31"/>
        <v/>
      </c>
      <c r="O476" s="37" t="str">
        <f>IF(OR($D476="",$F476=""),"",$F476*IFERROR(VLOOKUP($D476,Maestro_SKU!$A$2:$P$500,12,FALSE),1))</f>
        <v/>
      </c>
    </row>
    <row r="477" spans="1:15" x14ac:dyDescent="0.35">
      <c r="A477" s="25"/>
      <c r="B477" s="24"/>
      <c r="C477" s="24"/>
      <c r="D477" s="24"/>
      <c r="E477" s="28" t="str">
        <f>IFERROR(VLOOKUP(D477,Maestro_SKU!$A$2:$P$500,2,FALSE),"")</f>
        <v/>
      </c>
      <c r="F477" s="24"/>
      <c r="G477" s="30"/>
      <c r="H477" s="24"/>
      <c r="I477" s="24"/>
      <c r="J477" s="24"/>
      <c r="K477" s="37" t="str">
        <f t="shared" si="28"/>
        <v/>
      </c>
      <c r="L477" s="37" t="str">
        <f t="shared" si="29"/>
        <v/>
      </c>
      <c r="M477" s="37" t="str">
        <f t="shared" si="30"/>
        <v/>
      </c>
      <c r="N477" s="37" t="str">
        <f t="shared" si="31"/>
        <v/>
      </c>
      <c r="O477" s="37" t="str">
        <f>IF(OR($D477="",$F477=""),"",$F477*IFERROR(VLOOKUP($D477,Maestro_SKU!$A$2:$P$500,12,FALSE),1))</f>
        <v/>
      </c>
    </row>
    <row r="478" spans="1:15" x14ac:dyDescent="0.35">
      <c r="A478" s="25"/>
      <c r="B478" s="24"/>
      <c r="C478" s="24"/>
      <c r="D478" s="24"/>
      <c r="E478" s="28" t="str">
        <f>IFERROR(VLOOKUP(D478,Maestro_SKU!$A$2:$P$500,2,FALSE),"")</f>
        <v/>
      </c>
      <c r="F478" s="24"/>
      <c r="G478" s="30"/>
      <c r="H478" s="24"/>
      <c r="I478" s="24"/>
      <c r="J478" s="24"/>
      <c r="K478" s="37" t="str">
        <f t="shared" si="28"/>
        <v/>
      </c>
      <c r="L478" s="37" t="str">
        <f t="shared" si="29"/>
        <v/>
      </c>
      <c r="M478" s="37" t="str">
        <f t="shared" si="30"/>
        <v/>
      </c>
      <c r="N478" s="37" t="str">
        <f t="shared" si="31"/>
        <v/>
      </c>
      <c r="O478" s="37" t="str">
        <f>IF(OR($D478="",$F478=""),"",$F478*IFERROR(VLOOKUP($D478,Maestro_SKU!$A$2:$P$500,12,FALSE),1))</f>
        <v/>
      </c>
    </row>
    <row r="479" spans="1:15" x14ac:dyDescent="0.35">
      <c r="A479" s="25"/>
      <c r="B479" s="24"/>
      <c r="C479" s="24"/>
      <c r="D479" s="24"/>
      <c r="E479" s="28" t="str">
        <f>IFERROR(VLOOKUP(D479,Maestro_SKU!$A$2:$P$500,2,FALSE),"")</f>
        <v/>
      </c>
      <c r="F479" s="24"/>
      <c r="G479" s="30"/>
      <c r="H479" s="24"/>
      <c r="I479" s="24"/>
      <c r="J479" s="24"/>
      <c r="K479" s="37" t="str">
        <f t="shared" si="28"/>
        <v/>
      </c>
      <c r="L479" s="37" t="str">
        <f t="shared" si="29"/>
        <v/>
      </c>
      <c r="M479" s="37" t="str">
        <f t="shared" si="30"/>
        <v/>
      </c>
      <c r="N479" s="37" t="str">
        <f t="shared" si="31"/>
        <v/>
      </c>
      <c r="O479" s="37" t="str">
        <f>IF(OR($D479="",$F479=""),"",$F479*IFERROR(VLOOKUP($D479,Maestro_SKU!$A$2:$P$500,12,FALSE),1))</f>
        <v/>
      </c>
    </row>
    <row r="480" spans="1:15" x14ac:dyDescent="0.35">
      <c r="A480" s="25"/>
      <c r="B480" s="24"/>
      <c r="C480" s="24"/>
      <c r="D480" s="24"/>
      <c r="E480" s="28" t="str">
        <f>IFERROR(VLOOKUP(D480,Maestro_SKU!$A$2:$P$500,2,FALSE),"")</f>
        <v/>
      </c>
      <c r="F480" s="24"/>
      <c r="G480" s="30"/>
      <c r="H480" s="24"/>
      <c r="I480" s="24"/>
      <c r="J480" s="24"/>
      <c r="K480" s="37" t="str">
        <f t="shared" si="28"/>
        <v/>
      </c>
      <c r="L480" s="37" t="str">
        <f t="shared" si="29"/>
        <v/>
      </c>
      <c r="M480" s="37" t="str">
        <f t="shared" si="30"/>
        <v/>
      </c>
      <c r="N480" s="37" t="str">
        <f t="shared" si="31"/>
        <v/>
      </c>
      <c r="O480" s="37" t="str">
        <f>IF(OR($D480="",$F480=""),"",$F480*IFERROR(VLOOKUP($D480,Maestro_SKU!$A$2:$P$500,12,FALSE),1))</f>
        <v/>
      </c>
    </row>
    <row r="481" spans="1:15" x14ac:dyDescent="0.35">
      <c r="A481" s="25"/>
      <c r="B481" s="24"/>
      <c r="C481" s="24"/>
      <c r="D481" s="24"/>
      <c r="E481" s="28" t="str">
        <f>IFERROR(VLOOKUP(D481,Maestro_SKU!$A$2:$P$500,2,FALSE),"")</f>
        <v/>
      </c>
      <c r="F481" s="24"/>
      <c r="G481" s="30"/>
      <c r="H481" s="24"/>
      <c r="I481" s="24"/>
      <c r="J481" s="24"/>
      <c r="K481" s="37" t="str">
        <f t="shared" si="28"/>
        <v/>
      </c>
      <c r="L481" s="37" t="str">
        <f t="shared" si="29"/>
        <v/>
      </c>
      <c r="M481" s="37" t="str">
        <f t="shared" si="30"/>
        <v/>
      </c>
      <c r="N481" s="37" t="str">
        <f t="shared" si="31"/>
        <v/>
      </c>
      <c r="O481" s="37" t="str">
        <f>IF(OR($D481="",$F481=""),"",$F481*IFERROR(VLOOKUP($D481,Maestro_SKU!$A$2:$P$500,12,FALSE),1))</f>
        <v/>
      </c>
    </row>
    <row r="482" spans="1:15" x14ac:dyDescent="0.35">
      <c r="A482" s="25"/>
      <c r="B482" s="24"/>
      <c r="C482" s="24"/>
      <c r="D482" s="24"/>
      <c r="E482" s="28" t="str">
        <f>IFERROR(VLOOKUP(D482,Maestro_SKU!$A$2:$P$500,2,FALSE),"")</f>
        <v/>
      </c>
      <c r="F482" s="24"/>
      <c r="G482" s="30"/>
      <c r="H482" s="24"/>
      <c r="I482" s="24"/>
      <c r="J482" s="24"/>
      <c r="K482" s="37" t="str">
        <f t="shared" si="28"/>
        <v/>
      </c>
      <c r="L482" s="37" t="str">
        <f t="shared" si="29"/>
        <v/>
      </c>
      <c r="M482" s="37" t="str">
        <f t="shared" si="30"/>
        <v/>
      </c>
      <c r="N482" s="37" t="str">
        <f t="shared" si="31"/>
        <v/>
      </c>
      <c r="O482" s="37" t="str">
        <f>IF(OR($D482="",$F482=""),"",$F482*IFERROR(VLOOKUP($D482,Maestro_SKU!$A$2:$P$500,12,FALSE),1))</f>
        <v/>
      </c>
    </row>
    <row r="483" spans="1:15" x14ac:dyDescent="0.35">
      <c r="A483" s="25"/>
      <c r="B483" s="24"/>
      <c r="C483" s="24"/>
      <c r="D483" s="24"/>
      <c r="E483" s="28" t="str">
        <f>IFERROR(VLOOKUP(D483,Maestro_SKU!$A$2:$P$500,2,FALSE),"")</f>
        <v/>
      </c>
      <c r="F483" s="24"/>
      <c r="G483" s="30"/>
      <c r="H483" s="24"/>
      <c r="I483" s="24"/>
      <c r="J483" s="24"/>
      <c r="K483" s="37" t="str">
        <f t="shared" si="28"/>
        <v/>
      </c>
      <c r="L483" s="37" t="str">
        <f t="shared" si="29"/>
        <v/>
      </c>
      <c r="M483" s="37" t="str">
        <f t="shared" si="30"/>
        <v/>
      </c>
      <c r="N483" s="37" t="str">
        <f t="shared" si="31"/>
        <v/>
      </c>
      <c r="O483" s="37" t="str">
        <f>IF(OR($D483="",$F483=""),"",$F483*IFERROR(VLOOKUP($D483,Maestro_SKU!$A$2:$P$500,12,FALSE),1))</f>
        <v/>
      </c>
    </row>
    <row r="484" spans="1:15" x14ac:dyDescent="0.35">
      <c r="A484" s="25"/>
      <c r="B484" s="24"/>
      <c r="C484" s="24"/>
      <c r="D484" s="24"/>
      <c r="E484" s="28" t="str">
        <f>IFERROR(VLOOKUP(D484,Maestro_SKU!$A$2:$P$500,2,FALSE),"")</f>
        <v/>
      </c>
      <c r="F484" s="24"/>
      <c r="G484" s="30"/>
      <c r="H484" s="24"/>
      <c r="I484" s="24"/>
      <c r="J484" s="24"/>
      <c r="K484" s="37" t="str">
        <f t="shared" si="28"/>
        <v/>
      </c>
      <c r="L484" s="37" t="str">
        <f t="shared" si="29"/>
        <v/>
      </c>
      <c r="M484" s="37" t="str">
        <f t="shared" si="30"/>
        <v/>
      </c>
      <c r="N484" s="37" t="str">
        <f t="shared" si="31"/>
        <v/>
      </c>
      <c r="O484" s="37" t="str">
        <f>IF(OR($D484="",$F484=""),"",$F484*IFERROR(VLOOKUP($D484,Maestro_SKU!$A$2:$P$500,12,FALSE),1))</f>
        <v/>
      </c>
    </row>
    <row r="485" spans="1:15" x14ac:dyDescent="0.35">
      <c r="A485" s="25"/>
      <c r="B485" s="24"/>
      <c r="C485" s="24"/>
      <c r="D485" s="24"/>
      <c r="E485" s="28" t="str">
        <f>IFERROR(VLOOKUP(D485,Maestro_SKU!$A$2:$P$500,2,FALSE),"")</f>
        <v/>
      </c>
      <c r="F485" s="24"/>
      <c r="G485" s="30"/>
      <c r="H485" s="24"/>
      <c r="I485" s="24"/>
      <c r="J485" s="24"/>
      <c r="K485" s="37" t="str">
        <f t="shared" si="28"/>
        <v/>
      </c>
      <c r="L485" s="37" t="str">
        <f t="shared" si="29"/>
        <v/>
      </c>
      <c r="M485" s="37" t="str">
        <f t="shared" si="30"/>
        <v/>
      </c>
      <c r="N485" s="37" t="str">
        <f t="shared" si="31"/>
        <v/>
      </c>
      <c r="O485" s="37" t="str">
        <f>IF(OR($D485="",$F485=""),"",$F485*IFERROR(VLOOKUP($D485,Maestro_SKU!$A$2:$P$500,12,FALSE),1))</f>
        <v/>
      </c>
    </row>
    <row r="486" spans="1:15" x14ac:dyDescent="0.35">
      <c r="A486" s="25"/>
      <c r="B486" s="24"/>
      <c r="C486" s="24"/>
      <c r="D486" s="24"/>
      <c r="E486" s="28" t="str">
        <f>IFERROR(VLOOKUP(D486,Maestro_SKU!$A$2:$P$500,2,FALSE),"")</f>
        <v/>
      </c>
      <c r="F486" s="24"/>
      <c r="G486" s="30"/>
      <c r="H486" s="24"/>
      <c r="I486" s="24"/>
      <c r="J486" s="24"/>
      <c r="K486" s="37" t="str">
        <f t="shared" si="28"/>
        <v/>
      </c>
      <c r="L486" s="37" t="str">
        <f t="shared" si="29"/>
        <v/>
      </c>
      <c r="M486" s="37" t="str">
        <f t="shared" si="30"/>
        <v/>
      </c>
      <c r="N486" s="37" t="str">
        <f t="shared" si="31"/>
        <v/>
      </c>
      <c r="O486" s="37" t="str">
        <f>IF(OR($D486="",$F486=""),"",$F486*IFERROR(VLOOKUP($D486,Maestro_SKU!$A$2:$P$500,12,FALSE),1))</f>
        <v/>
      </c>
    </row>
    <row r="487" spans="1:15" x14ac:dyDescent="0.35">
      <c r="A487" s="25"/>
      <c r="B487" s="24"/>
      <c r="C487" s="24"/>
      <c r="D487" s="24"/>
      <c r="E487" s="28" t="str">
        <f>IFERROR(VLOOKUP(D487,Maestro_SKU!$A$2:$P$500,2,FALSE),"")</f>
        <v/>
      </c>
      <c r="F487" s="24"/>
      <c r="G487" s="30"/>
      <c r="H487" s="24"/>
      <c r="I487" s="24"/>
      <c r="J487" s="24"/>
      <c r="K487" s="37" t="str">
        <f t="shared" si="28"/>
        <v/>
      </c>
      <c r="L487" s="37" t="str">
        <f t="shared" si="29"/>
        <v/>
      </c>
      <c r="M487" s="37" t="str">
        <f t="shared" si="30"/>
        <v/>
      </c>
      <c r="N487" s="37" t="str">
        <f t="shared" si="31"/>
        <v/>
      </c>
      <c r="O487" s="37" t="str">
        <f>IF(OR($D487="",$F487=""),"",$F487*IFERROR(VLOOKUP($D487,Maestro_SKU!$A$2:$P$500,12,FALSE),1))</f>
        <v/>
      </c>
    </row>
    <row r="488" spans="1:15" x14ac:dyDescent="0.35">
      <c r="A488" s="25"/>
      <c r="B488" s="24"/>
      <c r="C488" s="24"/>
      <c r="D488" s="24"/>
      <c r="E488" s="28" t="str">
        <f>IFERROR(VLOOKUP(D488,Maestro_SKU!$A$2:$P$500,2,FALSE),"")</f>
        <v/>
      </c>
      <c r="F488" s="24"/>
      <c r="G488" s="30"/>
      <c r="H488" s="24"/>
      <c r="I488" s="24"/>
      <c r="J488" s="24"/>
      <c r="K488" s="37" t="str">
        <f t="shared" si="28"/>
        <v/>
      </c>
      <c r="L488" s="37" t="str">
        <f t="shared" si="29"/>
        <v/>
      </c>
      <c r="M488" s="37" t="str">
        <f t="shared" si="30"/>
        <v/>
      </c>
      <c r="N488" s="37" t="str">
        <f t="shared" si="31"/>
        <v/>
      </c>
      <c r="O488" s="37" t="str">
        <f>IF(OR($D488="",$F488=""),"",$F488*IFERROR(VLOOKUP($D488,Maestro_SKU!$A$2:$P$500,12,FALSE),1))</f>
        <v/>
      </c>
    </row>
    <row r="489" spans="1:15" x14ac:dyDescent="0.35">
      <c r="A489" s="25"/>
      <c r="B489" s="24"/>
      <c r="C489" s="24"/>
      <c r="D489" s="24"/>
      <c r="E489" s="28" t="str">
        <f>IFERROR(VLOOKUP(D489,Maestro_SKU!$A$2:$P$500,2,FALSE),"")</f>
        <v/>
      </c>
      <c r="F489" s="24"/>
      <c r="G489" s="30"/>
      <c r="H489" s="24"/>
      <c r="I489" s="24"/>
      <c r="J489" s="24"/>
      <c r="K489" s="37" t="str">
        <f t="shared" si="28"/>
        <v/>
      </c>
      <c r="L489" s="37" t="str">
        <f t="shared" si="29"/>
        <v/>
      </c>
      <c r="M489" s="37" t="str">
        <f t="shared" si="30"/>
        <v/>
      </c>
      <c r="N489" s="37" t="str">
        <f t="shared" si="31"/>
        <v/>
      </c>
      <c r="O489" s="37" t="str">
        <f>IF(OR($D489="",$F489=""),"",$F489*IFERROR(VLOOKUP($D489,Maestro_SKU!$A$2:$P$500,12,FALSE),1))</f>
        <v/>
      </c>
    </row>
    <row r="490" spans="1:15" x14ac:dyDescent="0.35">
      <c r="A490" s="25"/>
      <c r="B490" s="24"/>
      <c r="C490" s="24"/>
      <c r="D490" s="24"/>
      <c r="E490" s="28" t="str">
        <f>IFERROR(VLOOKUP(D490,Maestro_SKU!$A$2:$P$500,2,FALSE),"")</f>
        <v/>
      </c>
      <c r="F490" s="24"/>
      <c r="G490" s="30"/>
      <c r="H490" s="24"/>
      <c r="I490" s="24"/>
      <c r="J490" s="24"/>
      <c r="K490" s="37" t="str">
        <f t="shared" si="28"/>
        <v/>
      </c>
      <c r="L490" s="37" t="str">
        <f t="shared" si="29"/>
        <v/>
      </c>
      <c r="M490" s="37" t="str">
        <f t="shared" si="30"/>
        <v/>
      </c>
      <c r="N490" s="37" t="str">
        <f t="shared" si="31"/>
        <v/>
      </c>
      <c r="O490" s="37" t="str">
        <f>IF(OR($D490="",$F490=""),"",$F490*IFERROR(VLOOKUP($D490,Maestro_SKU!$A$2:$P$500,12,FALSE),1))</f>
        <v/>
      </c>
    </row>
    <row r="491" spans="1:15" x14ac:dyDescent="0.35">
      <c r="A491" s="25"/>
      <c r="B491" s="24"/>
      <c r="C491" s="24"/>
      <c r="D491" s="24"/>
      <c r="E491" s="28" t="str">
        <f>IFERROR(VLOOKUP(D491,Maestro_SKU!$A$2:$P$500,2,FALSE),"")</f>
        <v/>
      </c>
      <c r="F491" s="24"/>
      <c r="G491" s="30"/>
      <c r="H491" s="24"/>
      <c r="I491" s="24"/>
      <c r="J491" s="24"/>
      <c r="K491" s="37" t="str">
        <f t="shared" si="28"/>
        <v/>
      </c>
      <c r="L491" s="37" t="str">
        <f t="shared" si="29"/>
        <v/>
      </c>
      <c r="M491" s="37" t="str">
        <f t="shared" si="30"/>
        <v/>
      </c>
      <c r="N491" s="37" t="str">
        <f t="shared" si="31"/>
        <v/>
      </c>
      <c r="O491" s="37" t="str">
        <f>IF(OR($D491="",$F491=""),"",$F491*IFERROR(VLOOKUP($D491,Maestro_SKU!$A$2:$P$500,12,FALSE),1))</f>
        <v/>
      </c>
    </row>
    <row r="492" spans="1:15" x14ac:dyDescent="0.35">
      <c r="A492" s="25"/>
      <c r="B492" s="24"/>
      <c r="C492" s="24"/>
      <c r="D492" s="24"/>
      <c r="E492" s="28" t="str">
        <f>IFERROR(VLOOKUP(D492,Maestro_SKU!$A$2:$P$500,2,FALSE),"")</f>
        <v/>
      </c>
      <c r="F492" s="24"/>
      <c r="G492" s="30"/>
      <c r="H492" s="24"/>
      <c r="I492" s="24"/>
      <c r="J492" s="24"/>
      <c r="K492" s="37" t="str">
        <f t="shared" si="28"/>
        <v/>
      </c>
      <c r="L492" s="37" t="str">
        <f t="shared" si="29"/>
        <v/>
      </c>
      <c r="M492" s="37" t="str">
        <f t="shared" si="30"/>
        <v/>
      </c>
      <c r="N492" s="37" t="str">
        <f t="shared" si="31"/>
        <v/>
      </c>
      <c r="O492" s="37" t="str">
        <f>IF(OR($D492="",$F492=""),"",$F492*IFERROR(VLOOKUP($D492,Maestro_SKU!$A$2:$P$500,12,FALSE),1))</f>
        <v/>
      </c>
    </row>
    <row r="493" spans="1:15" x14ac:dyDescent="0.35">
      <c r="A493" s="25"/>
      <c r="B493" s="24"/>
      <c r="C493" s="24"/>
      <c r="D493" s="24"/>
      <c r="E493" s="28" t="str">
        <f>IFERROR(VLOOKUP(D493,Maestro_SKU!$A$2:$P$500,2,FALSE),"")</f>
        <v/>
      </c>
      <c r="F493" s="24"/>
      <c r="G493" s="30"/>
      <c r="H493" s="24"/>
      <c r="I493" s="24"/>
      <c r="J493" s="24"/>
      <c r="K493" s="37" t="str">
        <f t="shared" si="28"/>
        <v/>
      </c>
      <c r="L493" s="37" t="str">
        <f t="shared" si="29"/>
        <v/>
      </c>
      <c r="M493" s="37" t="str">
        <f t="shared" si="30"/>
        <v/>
      </c>
      <c r="N493" s="37" t="str">
        <f t="shared" si="31"/>
        <v/>
      </c>
      <c r="O493" s="37" t="str">
        <f>IF(OR($D493="",$F493=""),"",$F493*IFERROR(VLOOKUP($D493,Maestro_SKU!$A$2:$P$500,12,FALSE),1))</f>
        <v/>
      </c>
    </row>
    <row r="494" spans="1:15" x14ac:dyDescent="0.35">
      <c r="A494" s="25"/>
      <c r="B494" s="24"/>
      <c r="C494" s="24"/>
      <c r="D494" s="24"/>
      <c r="E494" s="28" t="str">
        <f>IFERROR(VLOOKUP(D494,Maestro_SKU!$A$2:$P$500,2,FALSE),"")</f>
        <v/>
      </c>
      <c r="F494" s="24"/>
      <c r="G494" s="30"/>
      <c r="H494" s="24"/>
      <c r="I494" s="24"/>
      <c r="J494" s="24"/>
      <c r="K494" s="37" t="str">
        <f t="shared" si="28"/>
        <v/>
      </c>
      <c r="L494" s="37" t="str">
        <f t="shared" si="29"/>
        <v/>
      </c>
      <c r="M494" s="37" t="str">
        <f t="shared" si="30"/>
        <v/>
      </c>
      <c r="N494" s="37" t="str">
        <f t="shared" si="31"/>
        <v/>
      </c>
      <c r="O494" s="37" t="str">
        <f>IF(OR($D494="",$F494=""),"",$F494*IFERROR(VLOOKUP($D494,Maestro_SKU!$A$2:$P$500,12,FALSE),1))</f>
        <v/>
      </c>
    </row>
    <row r="495" spans="1:15" x14ac:dyDescent="0.35">
      <c r="A495" s="25"/>
      <c r="B495" s="24"/>
      <c r="C495" s="24"/>
      <c r="D495" s="24"/>
      <c r="E495" s="28" t="str">
        <f>IFERROR(VLOOKUP(D495,Maestro_SKU!$A$2:$P$500,2,FALSE),"")</f>
        <v/>
      </c>
      <c r="F495" s="24"/>
      <c r="G495" s="30"/>
      <c r="H495" s="24"/>
      <c r="I495" s="24"/>
      <c r="J495" s="24"/>
      <c r="K495" s="37" t="str">
        <f t="shared" si="28"/>
        <v/>
      </c>
      <c r="L495" s="37" t="str">
        <f t="shared" si="29"/>
        <v/>
      </c>
      <c r="M495" s="37" t="str">
        <f t="shared" si="30"/>
        <v/>
      </c>
      <c r="N495" s="37" t="str">
        <f t="shared" si="31"/>
        <v/>
      </c>
      <c r="O495" s="37" t="str">
        <f>IF(OR($D495="",$F495=""),"",$F495*IFERROR(VLOOKUP($D495,Maestro_SKU!$A$2:$P$500,12,FALSE),1))</f>
        <v/>
      </c>
    </row>
    <row r="496" spans="1:15" x14ac:dyDescent="0.35">
      <c r="A496" s="25"/>
      <c r="B496" s="24"/>
      <c r="C496" s="24"/>
      <c r="D496" s="24"/>
      <c r="E496" s="28" t="str">
        <f>IFERROR(VLOOKUP(D496,Maestro_SKU!$A$2:$P$500,2,FALSE),"")</f>
        <v/>
      </c>
      <c r="F496" s="24"/>
      <c r="G496" s="30"/>
      <c r="H496" s="24"/>
      <c r="I496" s="24"/>
      <c r="J496" s="24"/>
      <c r="K496" s="37" t="str">
        <f t="shared" si="28"/>
        <v/>
      </c>
      <c r="L496" s="37" t="str">
        <f t="shared" si="29"/>
        <v/>
      </c>
      <c r="M496" s="37" t="str">
        <f t="shared" si="30"/>
        <v/>
      </c>
      <c r="N496" s="37" t="str">
        <f t="shared" si="31"/>
        <v/>
      </c>
      <c r="O496" s="37" t="str">
        <f>IF(OR($D496="",$F496=""),"",$F496*IFERROR(VLOOKUP($D496,Maestro_SKU!$A$2:$P$500,12,FALSE),1))</f>
        <v/>
      </c>
    </row>
    <row r="497" spans="1:15" x14ac:dyDescent="0.35">
      <c r="A497" s="25"/>
      <c r="B497" s="24"/>
      <c r="C497" s="24"/>
      <c r="D497" s="24"/>
      <c r="E497" s="28" t="str">
        <f>IFERROR(VLOOKUP(D497,Maestro_SKU!$A$2:$P$500,2,FALSE),"")</f>
        <v/>
      </c>
      <c r="F497" s="24"/>
      <c r="G497" s="30"/>
      <c r="H497" s="24"/>
      <c r="I497" s="24"/>
      <c r="J497" s="24"/>
      <c r="K497" s="37" t="str">
        <f t="shared" si="28"/>
        <v/>
      </c>
      <c r="L497" s="37" t="str">
        <f t="shared" si="29"/>
        <v/>
      </c>
      <c r="M497" s="37" t="str">
        <f t="shared" si="30"/>
        <v/>
      </c>
      <c r="N497" s="37" t="str">
        <f t="shared" si="31"/>
        <v/>
      </c>
      <c r="O497" s="37" t="str">
        <f>IF(OR($D497="",$F497=""),"",$F497*IFERROR(VLOOKUP($D497,Maestro_SKU!$A$2:$P$500,12,FALSE),1))</f>
        <v/>
      </c>
    </row>
    <row r="498" spans="1:15" x14ac:dyDescent="0.35">
      <c r="A498" s="25"/>
      <c r="B498" s="24"/>
      <c r="C498" s="24"/>
      <c r="D498" s="24"/>
      <c r="E498" s="28" t="str">
        <f>IFERROR(VLOOKUP(D498,Maestro_SKU!$A$2:$P$500,2,FALSE),"")</f>
        <v/>
      </c>
      <c r="F498" s="24"/>
      <c r="G498" s="30"/>
      <c r="H498" s="24"/>
      <c r="I498" s="24"/>
      <c r="J498" s="24"/>
      <c r="K498" s="37" t="str">
        <f t="shared" si="28"/>
        <v/>
      </c>
      <c r="L498" s="37" t="str">
        <f t="shared" si="29"/>
        <v/>
      </c>
      <c r="M498" s="37" t="str">
        <f t="shared" si="30"/>
        <v/>
      </c>
      <c r="N498" s="37" t="str">
        <f t="shared" si="31"/>
        <v/>
      </c>
      <c r="O498" s="37" t="str">
        <f>IF(OR($D498="",$F498=""),"",$F498*IFERROR(VLOOKUP($D498,Maestro_SKU!$A$2:$P$500,12,FALSE),1))</f>
        <v/>
      </c>
    </row>
    <row r="499" spans="1:15" x14ac:dyDescent="0.35">
      <c r="A499" s="25"/>
      <c r="B499" s="24"/>
      <c r="C499" s="24"/>
      <c r="D499" s="24"/>
      <c r="E499" s="28" t="str">
        <f>IFERROR(VLOOKUP(D499,Maestro_SKU!$A$2:$P$500,2,FALSE),"")</f>
        <v/>
      </c>
      <c r="F499" s="24"/>
      <c r="G499" s="30"/>
      <c r="H499" s="24"/>
      <c r="I499" s="24"/>
      <c r="J499" s="24"/>
      <c r="K499" s="37" t="str">
        <f t="shared" si="28"/>
        <v/>
      </c>
      <c r="L499" s="37" t="str">
        <f t="shared" si="29"/>
        <v/>
      </c>
      <c r="M499" s="37" t="str">
        <f t="shared" si="30"/>
        <v/>
      </c>
      <c r="N499" s="37" t="str">
        <f t="shared" si="31"/>
        <v/>
      </c>
      <c r="O499" s="37" t="str">
        <f>IF(OR($D499="",$F499=""),"",$F499*IFERROR(VLOOKUP($D499,Maestro_SKU!$A$2:$P$500,12,FALSE),1))</f>
        <v/>
      </c>
    </row>
    <row r="500" spans="1:15" x14ac:dyDescent="0.35">
      <c r="A500" s="25"/>
      <c r="B500" s="24"/>
      <c r="C500" s="24"/>
      <c r="D500" s="24"/>
      <c r="E500" s="28" t="str">
        <f>IFERROR(VLOOKUP(D500,Maestro_SKU!$A$2:$P$500,2,FALSE),"")</f>
        <v/>
      </c>
      <c r="F500" s="24"/>
      <c r="G500" s="30"/>
      <c r="H500" s="24"/>
      <c r="I500" s="24"/>
      <c r="J500" s="24"/>
      <c r="K500" s="37" t="str">
        <f t="shared" si="28"/>
        <v/>
      </c>
      <c r="L500" s="37" t="str">
        <f t="shared" si="29"/>
        <v/>
      </c>
      <c r="M500" s="37" t="str">
        <f t="shared" si="30"/>
        <v/>
      </c>
      <c r="N500" s="37" t="str">
        <f t="shared" si="31"/>
        <v/>
      </c>
      <c r="O500" s="37" t="str">
        <f>IF(OR($D500="",$F500=""),"",$F500*IFERROR(VLOOKUP($D500,Maestro_SKU!$A$2:$P$500,12,FALSE),1))</f>
        <v/>
      </c>
    </row>
    <row r="501" spans="1:15" x14ac:dyDescent="0.35">
      <c r="A501" s="25"/>
      <c r="B501" s="24"/>
      <c r="C501" s="24"/>
      <c r="D501" s="24"/>
      <c r="E501" s="28" t="str">
        <f>IFERROR(VLOOKUP(D501,Maestro_SKU!$A$2:$P$500,2,FALSE),"")</f>
        <v/>
      </c>
      <c r="F501" s="24"/>
      <c r="G501" s="30"/>
      <c r="H501" s="24"/>
      <c r="I501" s="24"/>
      <c r="J501" s="24"/>
      <c r="K501" s="37" t="str">
        <f t="shared" si="28"/>
        <v/>
      </c>
      <c r="L501" s="37" t="str">
        <f t="shared" si="29"/>
        <v/>
      </c>
      <c r="M501" s="37" t="str">
        <f t="shared" si="30"/>
        <v/>
      </c>
      <c r="N501" s="37" t="str">
        <f t="shared" si="31"/>
        <v/>
      </c>
      <c r="O501" s="37" t="str">
        <f>IF(OR($D501="",$F501=""),"",$F501*IFERROR(VLOOKUP($D501,Maestro_SKU!$A$2:$P$500,12,FALSE),1))</f>
        <v/>
      </c>
    </row>
    <row r="502" spans="1:15" x14ac:dyDescent="0.35">
      <c r="A502" s="25"/>
      <c r="B502" s="24"/>
      <c r="C502" s="24"/>
      <c r="D502" s="24"/>
      <c r="E502" s="28" t="str">
        <f>IFERROR(VLOOKUP(D502,Maestro_SKU!$A$2:$P$500,2,FALSE),"")</f>
        <v/>
      </c>
      <c r="F502" s="24"/>
      <c r="G502" s="30"/>
      <c r="H502" s="24"/>
      <c r="I502" s="24"/>
      <c r="J502" s="24"/>
      <c r="K502" s="37" t="str">
        <f t="shared" si="28"/>
        <v/>
      </c>
      <c r="L502" s="37" t="str">
        <f t="shared" si="29"/>
        <v/>
      </c>
      <c r="M502" s="37" t="str">
        <f t="shared" si="30"/>
        <v/>
      </c>
      <c r="N502" s="37" t="str">
        <f t="shared" si="31"/>
        <v/>
      </c>
      <c r="O502" s="37" t="str">
        <f>IF(OR($D502="",$F502=""),"",$F502*IFERROR(VLOOKUP($D502,Maestro_SKU!$A$2:$P$500,12,FALSE),1))</f>
        <v/>
      </c>
    </row>
    <row r="503" spans="1:15" x14ac:dyDescent="0.35">
      <c r="A503" s="25"/>
      <c r="B503" s="24"/>
      <c r="C503" s="24"/>
      <c r="D503" s="24"/>
      <c r="E503" s="28" t="str">
        <f>IFERROR(VLOOKUP(D503,Maestro_SKU!$A$2:$P$500,2,FALSE),"")</f>
        <v/>
      </c>
      <c r="F503" s="24"/>
      <c r="G503" s="30"/>
      <c r="H503" s="24"/>
      <c r="I503" s="24"/>
      <c r="J503" s="24"/>
      <c r="K503" s="37" t="str">
        <f t="shared" si="28"/>
        <v/>
      </c>
      <c r="L503" s="37" t="str">
        <f t="shared" si="29"/>
        <v/>
      </c>
      <c r="M503" s="37" t="str">
        <f t="shared" si="30"/>
        <v/>
      </c>
      <c r="N503" s="37" t="str">
        <f t="shared" si="31"/>
        <v/>
      </c>
      <c r="O503" s="37" t="str">
        <f>IF(OR($D503="",$F503=""),"",$F503*IFERROR(VLOOKUP($D503,Maestro_SKU!$A$2:$P$500,12,FALSE),1))</f>
        <v/>
      </c>
    </row>
    <row r="504" spans="1:15" x14ac:dyDescent="0.35">
      <c r="A504" s="25"/>
      <c r="B504" s="24"/>
      <c r="C504" s="24"/>
      <c r="D504" s="24"/>
      <c r="E504" s="28" t="str">
        <f>IFERROR(VLOOKUP(D504,Maestro_SKU!$A$2:$P$500,2,FALSE),"")</f>
        <v/>
      </c>
      <c r="F504" s="24"/>
      <c r="G504" s="30"/>
      <c r="H504" s="24"/>
      <c r="I504" s="24"/>
      <c r="J504" s="24"/>
      <c r="K504" s="37" t="str">
        <f t="shared" si="28"/>
        <v/>
      </c>
      <c r="L504" s="37" t="str">
        <f t="shared" si="29"/>
        <v/>
      </c>
      <c r="M504" s="37" t="str">
        <f t="shared" si="30"/>
        <v/>
      </c>
      <c r="N504" s="37" t="str">
        <f t="shared" si="31"/>
        <v/>
      </c>
      <c r="O504" s="37" t="str">
        <f>IF(OR($D504="",$F504=""),"",$F504*IFERROR(VLOOKUP($D504,Maestro_SKU!$A$2:$P$500,12,FALSE),1))</f>
        <v/>
      </c>
    </row>
    <row r="505" spans="1:15" x14ac:dyDescent="0.35">
      <c r="A505" s="25"/>
      <c r="B505" s="24"/>
      <c r="C505" s="24"/>
      <c r="D505" s="24"/>
      <c r="E505" s="28" t="str">
        <f>IFERROR(VLOOKUP(D505,Maestro_SKU!$A$2:$P$500,2,FALSE),"")</f>
        <v/>
      </c>
      <c r="F505" s="24"/>
      <c r="G505" s="30"/>
      <c r="H505" s="24"/>
      <c r="I505" s="24"/>
      <c r="J505" s="24"/>
      <c r="K505" s="37" t="str">
        <f t="shared" si="28"/>
        <v/>
      </c>
      <c r="L505" s="37" t="str">
        <f t="shared" si="29"/>
        <v/>
      </c>
      <c r="M505" s="37" t="str">
        <f t="shared" si="30"/>
        <v/>
      </c>
      <c r="N505" s="37" t="str">
        <f t="shared" si="31"/>
        <v/>
      </c>
      <c r="O505" s="37" t="str">
        <f>IF(OR($D505="",$F505=""),"",$F505*IFERROR(VLOOKUP($D505,Maestro_SKU!$A$2:$P$500,12,FALSE),1))</f>
        <v/>
      </c>
    </row>
    <row r="506" spans="1:15" x14ac:dyDescent="0.35">
      <c r="A506" s="25"/>
      <c r="B506" s="24"/>
      <c r="C506" s="24"/>
      <c r="D506" s="24"/>
      <c r="E506" s="28" t="str">
        <f>IFERROR(VLOOKUP(D506,Maestro_SKU!$A$2:$P$500,2,FALSE),"")</f>
        <v/>
      </c>
      <c r="F506" s="24"/>
      <c r="G506" s="30"/>
      <c r="H506" s="24"/>
      <c r="I506" s="24"/>
      <c r="J506" s="24"/>
      <c r="K506" s="37" t="str">
        <f t="shared" si="28"/>
        <v/>
      </c>
      <c r="L506" s="37" t="str">
        <f t="shared" si="29"/>
        <v/>
      </c>
      <c r="M506" s="37" t="str">
        <f t="shared" si="30"/>
        <v/>
      </c>
      <c r="N506" s="37" t="str">
        <f t="shared" si="31"/>
        <v/>
      </c>
      <c r="O506" s="37" t="str">
        <f>IF(OR($D506="",$F506=""),"",$F506*IFERROR(VLOOKUP($D506,Maestro_SKU!$A$2:$P$500,12,FALSE),1))</f>
        <v/>
      </c>
    </row>
    <row r="507" spans="1:15" x14ac:dyDescent="0.35">
      <c r="A507" s="25"/>
      <c r="B507" s="24"/>
      <c r="C507" s="24"/>
      <c r="D507" s="24"/>
      <c r="E507" s="28" t="str">
        <f>IFERROR(VLOOKUP(D507,Maestro_SKU!$A$2:$P$500,2,FALSE),"")</f>
        <v/>
      </c>
      <c r="F507" s="24"/>
      <c r="G507" s="30"/>
      <c r="H507" s="24"/>
      <c r="I507" s="24"/>
      <c r="J507" s="24"/>
      <c r="K507" s="37" t="str">
        <f t="shared" si="28"/>
        <v/>
      </c>
      <c r="L507" s="37" t="str">
        <f t="shared" si="29"/>
        <v/>
      </c>
      <c r="M507" s="37" t="str">
        <f t="shared" si="30"/>
        <v/>
      </c>
      <c r="N507" s="37" t="str">
        <f t="shared" si="31"/>
        <v/>
      </c>
      <c r="O507" s="37" t="str">
        <f>IF(OR($D507="",$F507=""),"",$F507*IFERROR(VLOOKUP($D507,Maestro_SKU!$A$2:$P$500,12,FALSE),1))</f>
        <v/>
      </c>
    </row>
    <row r="508" spans="1:15" x14ac:dyDescent="0.35">
      <c r="A508" s="25"/>
      <c r="B508" s="24"/>
      <c r="C508" s="24"/>
      <c r="D508" s="24"/>
      <c r="E508" s="28" t="str">
        <f>IFERROR(VLOOKUP(D508,Maestro_SKU!$A$2:$P$500,2,FALSE),"")</f>
        <v/>
      </c>
      <c r="F508" s="24"/>
      <c r="G508" s="30"/>
      <c r="H508" s="24"/>
      <c r="I508" s="24"/>
      <c r="J508" s="24"/>
      <c r="K508" s="37" t="str">
        <f t="shared" si="28"/>
        <v/>
      </c>
      <c r="L508" s="37" t="str">
        <f t="shared" si="29"/>
        <v/>
      </c>
      <c r="M508" s="37" t="str">
        <f t="shared" si="30"/>
        <v/>
      </c>
      <c r="N508" s="37" t="str">
        <f t="shared" si="31"/>
        <v/>
      </c>
      <c r="O508" s="37" t="str">
        <f>IF(OR($D508="",$F508=""),"",$F508*IFERROR(VLOOKUP($D508,Maestro_SKU!$A$2:$P$500,12,FALSE),1))</f>
        <v/>
      </c>
    </row>
    <row r="509" spans="1:15" x14ac:dyDescent="0.35">
      <c r="A509" s="25"/>
      <c r="B509" s="24"/>
      <c r="C509" s="24"/>
      <c r="D509" s="24"/>
      <c r="E509" s="28" t="str">
        <f>IFERROR(VLOOKUP(D509,Maestro_SKU!$A$2:$P$500,2,FALSE),"")</f>
        <v/>
      </c>
      <c r="F509" s="24"/>
      <c r="G509" s="30"/>
      <c r="H509" s="24"/>
      <c r="I509" s="24"/>
      <c r="J509" s="24"/>
      <c r="K509" s="37" t="str">
        <f t="shared" si="28"/>
        <v/>
      </c>
      <c r="L509" s="37" t="str">
        <f t="shared" si="29"/>
        <v/>
      </c>
      <c r="M509" s="37" t="str">
        <f t="shared" si="30"/>
        <v/>
      </c>
      <c r="N509" s="37" t="str">
        <f t="shared" si="31"/>
        <v/>
      </c>
      <c r="O509" s="37" t="str">
        <f>IF(OR($D509="",$F509=""),"",$F509*IFERROR(VLOOKUP($D509,Maestro_SKU!$A$2:$P$500,12,FALSE),1))</f>
        <v/>
      </c>
    </row>
    <row r="510" spans="1:15" x14ac:dyDescent="0.35">
      <c r="A510" s="25"/>
      <c r="B510" s="24"/>
      <c r="C510" s="24"/>
      <c r="D510" s="24"/>
      <c r="E510" s="28" t="str">
        <f>IFERROR(VLOOKUP(D510,Maestro_SKU!$A$2:$P$500,2,FALSE),"")</f>
        <v/>
      </c>
      <c r="F510" s="24"/>
      <c r="G510" s="30"/>
      <c r="H510" s="24"/>
      <c r="I510" s="24"/>
      <c r="J510" s="24"/>
      <c r="K510" s="37" t="str">
        <f t="shared" si="28"/>
        <v/>
      </c>
      <c r="L510" s="37" t="str">
        <f t="shared" si="29"/>
        <v/>
      </c>
      <c r="M510" s="37" t="str">
        <f t="shared" si="30"/>
        <v/>
      </c>
      <c r="N510" s="37" t="str">
        <f t="shared" si="31"/>
        <v/>
      </c>
      <c r="O510" s="37" t="str">
        <f>IF(OR($D510="",$F510=""),"",$F510*IFERROR(VLOOKUP($D510,Maestro_SKU!$A$2:$P$500,12,FALSE),1))</f>
        <v/>
      </c>
    </row>
    <row r="511" spans="1:15" x14ac:dyDescent="0.35">
      <c r="A511" s="25"/>
      <c r="B511" s="24"/>
      <c r="C511" s="24"/>
      <c r="D511" s="24"/>
      <c r="E511" s="28" t="str">
        <f>IFERROR(VLOOKUP(D511,Maestro_SKU!$A$2:$P$500,2,FALSE),"")</f>
        <v/>
      </c>
      <c r="F511" s="24"/>
      <c r="G511" s="30"/>
      <c r="H511" s="24"/>
      <c r="I511" s="24"/>
      <c r="J511" s="24"/>
      <c r="K511" s="37" t="str">
        <f t="shared" si="28"/>
        <v/>
      </c>
      <c r="L511" s="37" t="str">
        <f t="shared" si="29"/>
        <v/>
      </c>
      <c r="M511" s="37" t="str">
        <f t="shared" si="30"/>
        <v/>
      </c>
      <c r="N511" s="37" t="str">
        <f t="shared" si="31"/>
        <v/>
      </c>
      <c r="O511" s="37" t="str">
        <f>IF(OR($D511="",$F511=""),"",$F511*IFERROR(VLOOKUP($D511,Maestro_SKU!$A$2:$P$500,12,FALSE),1))</f>
        <v/>
      </c>
    </row>
    <row r="512" spans="1:15" x14ac:dyDescent="0.35">
      <c r="A512" s="25"/>
      <c r="B512" s="24"/>
      <c r="C512" s="24"/>
      <c r="D512" s="24"/>
      <c r="E512" s="28" t="str">
        <f>IFERROR(VLOOKUP(D512,Maestro_SKU!$A$2:$P$500,2,FALSE),"")</f>
        <v/>
      </c>
      <c r="F512" s="24"/>
      <c r="G512" s="30"/>
      <c r="H512" s="24"/>
      <c r="I512" s="24"/>
      <c r="J512" s="24"/>
      <c r="K512" s="37" t="str">
        <f t="shared" si="28"/>
        <v/>
      </c>
      <c r="L512" s="37" t="str">
        <f t="shared" si="29"/>
        <v/>
      </c>
      <c r="M512" s="37" t="str">
        <f t="shared" si="30"/>
        <v/>
      </c>
      <c r="N512" s="37" t="str">
        <f t="shared" si="31"/>
        <v/>
      </c>
      <c r="O512" s="37" t="str">
        <f>IF(OR($D512="",$F512=""),"",$F512*IFERROR(VLOOKUP($D512,Maestro_SKU!$A$2:$P$500,12,FALSE),1))</f>
        <v/>
      </c>
    </row>
    <row r="513" spans="1:15" x14ac:dyDescent="0.35">
      <c r="A513" s="25"/>
      <c r="B513" s="24"/>
      <c r="C513" s="24"/>
      <c r="D513" s="24"/>
      <c r="E513" s="28" t="str">
        <f>IFERROR(VLOOKUP(D513,Maestro_SKU!$A$2:$P$500,2,FALSE),"")</f>
        <v/>
      </c>
      <c r="F513" s="24"/>
      <c r="G513" s="30"/>
      <c r="H513" s="24"/>
      <c r="I513" s="24"/>
      <c r="J513" s="24"/>
      <c r="K513" s="37" t="str">
        <f t="shared" si="28"/>
        <v/>
      </c>
      <c r="L513" s="37" t="str">
        <f t="shared" si="29"/>
        <v/>
      </c>
      <c r="M513" s="37" t="str">
        <f t="shared" si="30"/>
        <v/>
      </c>
      <c r="N513" s="37" t="str">
        <f t="shared" si="31"/>
        <v/>
      </c>
      <c r="O513" s="37" t="str">
        <f>IF(OR($D513="",$F513=""),"",$F513*IFERROR(VLOOKUP($D513,Maestro_SKU!$A$2:$P$500,12,FALSE),1))</f>
        <v/>
      </c>
    </row>
    <row r="514" spans="1:15" x14ac:dyDescent="0.35">
      <c r="A514" s="25"/>
      <c r="B514" s="24"/>
      <c r="C514" s="24"/>
      <c r="D514" s="24"/>
      <c r="E514" s="28" t="str">
        <f>IFERROR(VLOOKUP(D514,Maestro_SKU!$A$2:$P$500,2,FALSE),"")</f>
        <v/>
      </c>
      <c r="F514" s="24"/>
      <c r="G514" s="30"/>
      <c r="H514" s="24"/>
      <c r="I514" s="24"/>
      <c r="J514" s="24"/>
      <c r="K514" s="37" t="str">
        <f t="shared" ref="K514:K577" si="32">IF($A514="","",YEAR($A514))</f>
        <v/>
      </c>
      <c r="L514" s="37" t="str">
        <f t="shared" ref="L514:L577" si="33">IF($A514="","",MONTH($A514))</f>
        <v/>
      </c>
      <c r="M514" s="37" t="str">
        <f t="shared" ref="M514:M577" si="34">IF($A514="","",DAY($A514))</f>
        <v/>
      </c>
      <c r="N514" s="37" t="str">
        <f t="shared" ref="N514:N577" si="35">IF($A514="","",YEAR($A514)&amp;"-"&amp;TEXT(MONTH($A514),"00"))</f>
        <v/>
      </c>
      <c r="O514" s="37" t="str">
        <f>IF(OR($D514="",$F514=""),"",$F514*IFERROR(VLOOKUP($D514,Maestro_SKU!$A$2:$P$500,12,FALSE),1))</f>
        <v/>
      </c>
    </row>
    <row r="515" spans="1:15" x14ac:dyDescent="0.35">
      <c r="A515" s="25"/>
      <c r="B515" s="24"/>
      <c r="C515" s="24"/>
      <c r="D515" s="24"/>
      <c r="E515" s="28" t="str">
        <f>IFERROR(VLOOKUP(D515,Maestro_SKU!$A$2:$P$500,2,FALSE),"")</f>
        <v/>
      </c>
      <c r="F515" s="24"/>
      <c r="G515" s="30"/>
      <c r="H515" s="24"/>
      <c r="I515" s="24"/>
      <c r="J515" s="24"/>
      <c r="K515" s="37" t="str">
        <f t="shared" si="32"/>
        <v/>
      </c>
      <c r="L515" s="37" t="str">
        <f t="shared" si="33"/>
        <v/>
      </c>
      <c r="M515" s="37" t="str">
        <f t="shared" si="34"/>
        <v/>
      </c>
      <c r="N515" s="37" t="str">
        <f t="shared" si="35"/>
        <v/>
      </c>
      <c r="O515" s="37" t="str">
        <f>IF(OR($D515="",$F515=""),"",$F515*IFERROR(VLOOKUP($D515,Maestro_SKU!$A$2:$P$500,12,FALSE),1))</f>
        <v/>
      </c>
    </row>
    <row r="516" spans="1:15" x14ac:dyDescent="0.35">
      <c r="A516" s="25"/>
      <c r="B516" s="24"/>
      <c r="C516" s="24"/>
      <c r="D516" s="24"/>
      <c r="E516" s="28" t="str">
        <f>IFERROR(VLOOKUP(D516,Maestro_SKU!$A$2:$P$500,2,FALSE),"")</f>
        <v/>
      </c>
      <c r="F516" s="24"/>
      <c r="G516" s="30"/>
      <c r="H516" s="24"/>
      <c r="I516" s="24"/>
      <c r="J516" s="24"/>
      <c r="K516" s="37" t="str">
        <f t="shared" si="32"/>
        <v/>
      </c>
      <c r="L516" s="37" t="str">
        <f t="shared" si="33"/>
        <v/>
      </c>
      <c r="M516" s="37" t="str">
        <f t="shared" si="34"/>
        <v/>
      </c>
      <c r="N516" s="37" t="str">
        <f t="shared" si="35"/>
        <v/>
      </c>
      <c r="O516" s="37" t="str">
        <f>IF(OR($D516="",$F516=""),"",$F516*IFERROR(VLOOKUP($D516,Maestro_SKU!$A$2:$P$500,12,FALSE),1))</f>
        <v/>
      </c>
    </row>
    <row r="517" spans="1:15" x14ac:dyDescent="0.35">
      <c r="A517" s="25"/>
      <c r="B517" s="24"/>
      <c r="C517" s="24"/>
      <c r="D517" s="24"/>
      <c r="E517" s="28" t="str">
        <f>IFERROR(VLOOKUP(D517,Maestro_SKU!$A$2:$P$500,2,FALSE),"")</f>
        <v/>
      </c>
      <c r="F517" s="24"/>
      <c r="G517" s="30"/>
      <c r="H517" s="24"/>
      <c r="I517" s="24"/>
      <c r="J517" s="24"/>
      <c r="K517" s="37" t="str">
        <f t="shared" si="32"/>
        <v/>
      </c>
      <c r="L517" s="37" t="str">
        <f t="shared" si="33"/>
        <v/>
      </c>
      <c r="M517" s="37" t="str">
        <f t="shared" si="34"/>
        <v/>
      </c>
      <c r="N517" s="37" t="str">
        <f t="shared" si="35"/>
        <v/>
      </c>
      <c r="O517" s="37" t="str">
        <f>IF(OR($D517="",$F517=""),"",$F517*IFERROR(VLOOKUP($D517,Maestro_SKU!$A$2:$P$500,12,FALSE),1))</f>
        <v/>
      </c>
    </row>
    <row r="518" spans="1:15" x14ac:dyDescent="0.35">
      <c r="A518" s="25"/>
      <c r="B518" s="24"/>
      <c r="C518" s="24"/>
      <c r="D518" s="24"/>
      <c r="E518" s="28" t="str">
        <f>IFERROR(VLOOKUP(D518,Maestro_SKU!$A$2:$P$500,2,FALSE),"")</f>
        <v/>
      </c>
      <c r="F518" s="24"/>
      <c r="G518" s="30"/>
      <c r="H518" s="24"/>
      <c r="I518" s="24"/>
      <c r="J518" s="24"/>
      <c r="K518" s="37" t="str">
        <f t="shared" si="32"/>
        <v/>
      </c>
      <c r="L518" s="37" t="str">
        <f t="shared" si="33"/>
        <v/>
      </c>
      <c r="M518" s="37" t="str">
        <f t="shared" si="34"/>
        <v/>
      </c>
      <c r="N518" s="37" t="str">
        <f t="shared" si="35"/>
        <v/>
      </c>
      <c r="O518" s="37" t="str">
        <f>IF(OR($D518="",$F518=""),"",$F518*IFERROR(VLOOKUP($D518,Maestro_SKU!$A$2:$P$500,12,FALSE),1))</f>
        <v/>
      </c>
    </row>
    <row r="519" spans="1:15" x14ac:dyDescent="0.35">
      <c r="A519" s="25"/>
      <c r="B519" s="24"/>
      <c r="C519" s="24"/>
      <c r="D519" s="24"/>
      <c r="E519" s="28" t="str">
        <f>IFERROR(VLOOKUP(D519,Maestro_SKU!$A$2:$P$500,2,FALSE),"")</f>
        <v/>
      </c>
      <c r="F519" s="24"/>
      <c r="G519" s="30"/>
      <c r="H519" s="24"/>
      <c r="I519" s="24"/>
      <c r="J519" s="24"/>
      <c r="K519" s="37" t="str">
        <f t="shared" si="32"/>
        <v/>
      </c>
      <c r="L519" s="37" t="str">
        <f t="shared" si="33"/>
        <v/>
      </c>
      <c r="M519" s="37" t="str">
        <f t="shared" si="34"/>
        <v/>
      </c>
      <c r="N519" s="37" t="str">
        <f t="shared" si="35"/>
        <v/>
      </c>
      <c r="O519" s="37" t="str">
        <f>IF(OR($D519="",$F519=""),"",$F519*IFERROR(VLOOKUP($D519,Maestro_SKU!$A$2:$P$500,12,FALSE),1))</f>
        <v/>
      </c>
    </row>
    <row r="520" spans="1:15" x14ac:dyDescent="0.35">
      <c r="A520" s="25"/>
      <c r="B520" s="24"/>
      <c r="C520" s="24"/>
      <c r="D520" s="24"/>
      <c r="E520" s="28" t="str">
        <f>IFERROR(VLOOKUP(D520,Maestro_SKU!$A$2:$P$500,2,FALSE),"")</f>
        <v/>
      </c>
      <c r="F520" s="24"/>
      <c r="G520" s="30"/>
      <c r="H520" s="24"/>
      <c r="I520" s="24"/>
      <c r="J520" s="24"/>
      <c r="K520" s="37" t="str">
        <f t="shared" si="32"/>
        <v/>
      </c>
      <c r="L520" s="37" t="str">
        <f t="shared" si="33"/>
        <v/>
      </c>
      <c r="M520" s="37" t="str">
        <f t="shared" si="34"/>
        <v/>
      </c>
      <c r="N520" s="37" t="str">
        <f t="shared" si="35"/>
        <v/>
      </c>
      <c r="O520" s="37" t="str">
        <f>IF(OR($D520="",$F520=""),"",$F520*IFERROR(VLOOKUP($D520,Maestro_SKU!$A$2:$P$500,12,FALSE),1))</f>
        <v/>
      </c>
    </row>
    <row r="521" spans="1:15" x14ac:dyDescent="0.35">
      <c r="A521" s="25"/>
      <c r="B521" s="24"/>
      <c r="C521" s="24"/>
      <c r="D521" s="24"/>
      <c r="E521" s="28" t="str">
        <f>IFERROR(VLOOKUP(D521,Maestro_SKU!$A$2:$P$500,2,FALSE),"")</f>
        <v/>
      </c>
      <c r="F521" s="24"/>
      <c r="G521" s="30"/>
      <c r="H521" s="24"/>
      <c r="I521" s="24"/>
      <c r="J521" s="24"/>
      <c r="K521" s="37" t="str">
        <f t="shared" si="32"/>
        <v/>
      </c>
      <c r="L521" s="37" t="str">
        <f t="shared" si="33"/>
        <v/>
      </c>
      <c r="M521" s="37" t="str">
        <f t="shared" si="34"/>
        <v/>
      </c>
      <c r="N521" s="37" t="str">
        <f t="shared" si="35"/>
        <v/>
      </c>
      <c r="O521" s="37" t="str">
        <f>IF(OR($D521="",$F521=""),"",$F521*IFERROR(VLOOKUP($D521,Maestro_SKU!$A$2:$P$500,12,FALSE),1))</f>
        <v/>
      </c>
    </row>
    <row r="522" spans="1:15" x14ac:dyDescent="0.35">
      <c r="A522" s="25"/>
      <c r="B522" s="24"/>
      <c r="C522" s="24"/>
      <c r="D522" s="24"/>
      <c r="E522" s="28" t="str">
        <f>IFERROR(VLOOKUP(D522,Maestro_SKU!$A$2:$P$500,2,FALSE),"")</f>
        <v/>
      </c>
      <c r="F522" s="24"/>
      <c r="G522" s="30"/>
      <c r="H522" s="24"/>
      <c r="I522" s="24"/>
      <c r="J522" s="24"/>
      <c r="K522" s="37" t="str">
        <f t="shared" si="32"/>
        <v/>
      </c>
      <c r="L522" s="37" t="str">
        <f t="shared" si="33"/>
        <v/>
      </c>
      <c r="M522" s="37" t="str">
        <f t="shared" si="34"/>
        <v/>
      </c>
      <c r="N522" s="37" t="str">
        <f t="shared" si="35"/>
        <v/>
      </c>
      <c r="O522" s="37" t="str">
        <f>IF(OR($D522="",$F522=""),"",$F522*IFERROR(VLOOKUP($D522,Maestro_SKU!$A$2:$P$500,12,FALSE),1))</f>
        <v/>
      </c>
    </row>
    <row r="523" spans="1:15" x14ac:dyDescent="0.35">
      <c r="A523" s="25"/>
      <c r="B523" s="24"/>
      <c r="C523" s="24"/>
      <c r="D523" s="24"/>
      <c r="E523" s="28" t="str">
        <f>IFERROR(VLOOKUP(D523,Maestro_SKU!$A$2:$P$500,2,FALSE),"")</f>
        <v/>
      </c>
      <c r="F523" s="24"/>
      <c r="G523" s="30"/>
      <c r="H523" s="24"/>
      <c r="I523" s="24"/>
      <c r="J523" s="24"/>
      <c r="K523" s="37" t="str">
        <f t="shared" si="32"/>
        <v/>
      </c>
      <c r="L523" s="37" t="str">
        <f t="shared" si="33"/>
        <v/>
      </c>
      <c r="M523" s="37" t="str">
        <f t="shared" si="34"/>
        <v/>
      </c>
      <c r="N523" s="37" t="str">
        <f t="shared" si="35"/>
        <v/>
      </c>
      <c r="O523" s="37" t="str">
        <f>IF(OR($D523="",$F523=""),"",$F523*IFERROR(VLOOKUP($D523,Maestro_SKU!$A$2:$P$500,12,FALSE),1))</f>
        <v/>
      </c>
    </row>
    <row r="524" spans="1:15" x14ac:dyDescent="0.35">
      <c r="A524" s="25"/>
      <c r="B524" s="24"/>
      <c r="C524" s="24"/>
      <c r="D524" s="24"/>
      <c r="E524" s="28" t="str">
        <f>IFERROR(VLOOKUP(D524,Maestro_SKU!$A$2:$P$500,2,FALSE),"")</f>
        <v/>
      </c>
      <c r="F524" s="24"/>
      <c r="G524" s="30"/>
      <c r="H524" s="24"/>
      <c r="I524" s="24"/>
      <c r="J524" s="24"/>
      <c r="K524" s="37" t="str">
        <f t="shared" si="32"/>
        <v/>
      </c>
      <c r="L524" s="37" t="str">
        <f t="shared" si="33"/>
        <v/>
      </c>
      <c r="M524" s="37" t="str">
        <f t="shared" si="34"/>
        <v/>
      </c>
      <c r="N524" s="37" t="str">
        <f t="shared" si="35"/>
        <v/>
      </c>
      <c r="O524" s="37" t="str">
        <f>IF(OR($D524="",$F524=""),"",$F524*IFERROR(VLOOKUP($D524,Maestro_SKU!$A$2:$P$500,12,FALSE),1))</f>
        <v/>
      </c>
    </row>
    <row r="525" spans="1:15" x14ac:dyDescent="0.35">
      <c r="A525" s="25"/>
      <c r="B525" s="24"/>
      <c r="C525" s="24"/>
      <c r="D525" s="24"/>
      <c r="E525" s="28" t="str">
        <f>IFERROR(VLOOKUP(D525,Maestro_SKU!$A$2:$P$500,2,FALSE),"")</f>
        <v/>
      </c>
      <c r="F525" s="24"/>
      <c r="G525" s="30"/>
      <c r="H525" s="24"/>
      <c r="I525" s="24"/>
      <c r="J525" s="24"/>
      <c r="K525" s="37" t="str">
        <f t="shared" si="32"/>
        <v/>
      </c>
      <c r="L525" s="37" t="str">
        <f t="shared" si="33"/>
        <v/>
      </c>
      <c r="M525" s="37" t="str">
        <f t="shared" si="34"/>
        <v/>
      </c>
      <c r="N525" s="37" t="str">
        <f t="shared" si="35"/>
        <v/>
      </c>
      <c r="O525" s="37" t="str">
        <f>IF(OR($D525="",$F525=""),"",$F525*IFERROR(VLOOKUP($D525,Maestro_SKU!$A$2:$P$500,12,FALSE),1))</f>
        <v/>
      </c>
    </row>
    <row r="526" spans="1:15" x14ac:dyDescent="0.35">
      <c r="A526" s="25"/>
      <c r="B526" s="24"/>
      <c r="C526" s="24"/>
      <c r="D526" s="24"/>
      <c r="E526" s="28" t="str">
        <f>IFERROR(VLOOKUP(D526,Maestro_SKU!$A$2:$P$500,2,FALSE),"")</f>
        <v/>
      </c>
      <c r="F526" s="24"/>
      <c r="G526" s="30"/>
      <c r="H526" s="24"/>
      <c r="I526" s="24"/>
      <c r="J526" s="24"/>
      <c r="K526" s="37" t="str">
        <f t="shared" si="32"/>
        <v/>
      </c>
      <c r="L526" s="37" t="str">
        <f t="shared" si="33"/>
        <v/>
      </c>
      <c r="M526" s="37" t="str">
        <f t="shared" si="34"/>
        <v/>
      </c>
      <c r="N526" s="37" t="str">
        <f t="shared" si="35"/>
        <v/>
      </c>
      <c r="O526" s="37" t="str">
        <f>IF(OR($D526="",$F526=""),"",$F526*IFERROR(VLOOKUP($D526,Maestro_SKU!$A$2:$P$500,12,FALSE),1))</f>
        <v/>
      </c>
    </row>
    <row r="527" spans="1:15" x14ac:dyDescent="0.35">
      <c r="A527" s="25"/>
      <c r="B527" s="24"/>
      <c r="C527" s="24"/>
      <c r="D527" s="24"/>
      <c r="E527" s="28" t="str">
        <f>IFERROR(VLOOKUP(D527,Maestro_SKU!$A$2:$P$500,2,FALSE),"")</f>
        <v/>
      </c>
      <c r="F527" s="24"/>
      <c r="G527" s="30"/>
      <c r="H527" s="24"/>
      <c r="I527" s="24"/>
      <c r="J527" s="24"/>
      <c r="K527" s="37" t="str">
        <f t="shared" si="32"/>
        <v/>
      </c>
      <c r="L527" s="37" t="str">
        <f t="shared" si="33"/>
        <v/>
      </c>
      <c r="M527" s="37" t="str">
        <f t="shared" si="34"/>
        <v/>
      </c>
      <c r="N527" s="37" t="str">
        <f t="shared" si="35"/>
        <v/>
      </c>
      <c r="O527" s="37" t="str">
        <f>IF(OR($D527="",$F527=""),"",$F527*IFERROR(VLOOKUP($D527,Maestro_SKU!$A$2:$P$500,12,FALSE),1))</f>
        <v/>
      </c>
    </row>
    <row r="528" spans="1:15" x14ac:dyDescent="0.35">
      <c r="A528" s="25"/>
      <c r="B528" s="24"/>
      <c r="C528" s="24"/>
      <c r="D528" s="24"/>
      <c r="E528" s="28" t="str">
        <f>IFERROR(VLOOKUP(D528,Maestro_SKU!$A$2:$P$500,2,FALSE),"")</f>
        <v/>
      </c>
      <c r="F528" s="24"/>
      <c r="G528" s="30"/>
      <c r="H528" s="24"/>
      <c r="I528" s="24"/>
      <c r="J528" s="24"/>
      <c r="K528" s="37" t="str">
        <f t="shared" si="32"/>
        <v/>
      </c>
      <c r="L528" s="37" t="str">
        <f t="shared" si="33"/>
        <v/>
      </c>
      <c r="M528" s="37" t="str">
        <f t="shared" si="34"/>
        <v/>
      </c>
      <c r="N528" s="37" t="str">
        <f t="shared" si="35"/>
        <v/>
      </c>
      <c r="O528" s="37" t="str">
        <f>IF(OR($D528="",$F528=""),"",$F528*IFERROR(VLOOKUP($D528,Maestro_SKU!$A$2:$P$500,12,FALSE),1))</f>
        <v/>
      </c>
    </row>
    <row r="529" spans="1:15" x14ac:dyDescent="0.35">
      <c r="A529" s="25"/>
      <c r="B529" s="24"/>
      <c r="C529" s="24"/>
      <c r="D529" s="24"/>
      <c r="E529" s="28" t="str">
        <f>IFERROR(VLOOKUP(D529,Maestro_SKU!$A$2:$P$500,2,FALSE),"")</f>
        <v/>
      </c>
      <c r="F529" s="24"/>
      <c r="G529" s="30"/>
      <c r="H529" s="24"/>
      <c r="I529" s="24"/>
      <c r="J529" s="24"/>
      <c r="K529" s="37" t="str">
        <f t="shared" si="32"/>
        <v/>
      </c>
      <c r="L529" s="37" t="str">
        <f t="shared" si="33"/>
        <v/>
      </c>
      <c r="M529" s="37" t="str">
        <f t="shared" si="34"/>
        <v/>
      </c>
      <c r="N529" s="37" t="str">
        <f t="shared" si="35"/>
        <v/>
      </c>
      <c r="O529" s="37" t="str">
        <f>IF(OR($D529="",$F529=""),"",$F529*IFERROR(VLOOKUP($D529,Maestro_SKU!$A$2:$P$500,12,FALSE),1))</f>
        <v/>
      </c>
    </row>
    <row r="530" spans="1:15" x14ac:dyDescent="0.35">
      <c r="A530" s="25"/>
      <c r="B530" s="24"/>
      <c r="C530" s="24"/>
      <c r="D530" s="24"/>
      <c r="E530" s="28" t="str">
        <f>IFERROR(VLOOKUP(D530,Maestro_SKU!$A$2:$P$500,2,FALSE),"")</f>
        <v/>
      </c>
      <c r="F530" s="24"/>
      <c r="G530" s="30"/>
      <c r="H530" s="24"/>
      <c r="I530" s="24"/>
      <c r="J530" s="24"/>
      <c r="K530" s="37" t="str">
        <f t="shared" si="32"/>
        <v/>
      </c>
      <c r="L530" s="37" t="str">
        <f t="shared" si="33"/>
        <v/>
      </c>
      <c r="M530" s="37" t="str">
        <f t="shared" si="34"/>
        <v/>
      </c>
      <c r="N530" s="37" t="str">
        <f t="shared" si="35"/>
        <v/>
      </c>
      <c r="O530" s="37" t="str">
        <f>IF(OR($D530="",$F530=""),"",$F530*IFERROR(VLOOKUP($D530,Maestro_SKU!$A$2:$P$500,12,FALSE),1))</f>
        <v/>
      </c>
    </row>
    <row r="531" spans="1:15" x14ac:dyDescent="0.35">
      <c r="A531" s="25"/>
      <c r="B531" s="24"/>
      <c r="C531" s="24"/>
      <c r="D531" s="24"/>
      <c r="E531" s="28" t="str">
        <f>IFERROR(VLOOKUP(D531,Maestro_SKU!$A$2:$P$500,2,FALSE),"")</f>
        <v/>
      </c>
      <c r="F531" s="24"/>
      <c r="G531" s="30"/>
      <c r="H531" s="24"/>
      <c r="I531" s="24"/>
      <c r="J531" s="24"/>
      <c r="K531" s="37" t="str">
        <f t="shared" si="32"/>
        <v/>
      </c>
      <c r="L531" s="37" t="str">
        <f t="shared" si="33"/>
        <v/>
      </c>
      <c r="M531" s="37" t="str">
        <f t="shared" si="34"/>
        <v/>
      </c>
      <c r="N531" s="37" t="str">
        <f t="shared" si="35"/>
        <v/>
      </c>
      <c r="O531" s="37" t="str">
        <f>IF(OR($D531="",$F531=""),"",$F531*IFERROR(VLOOKUP($D531,Maestro_SKU!$A$2:$P$500,12,FALSE),1))</f>
        <v/>
      </c>
    </row>
    <row r="532" spans="1:15" x14ac:dyDescent="0.35">
      <c r="A532" s="25"/>
      <c r="B532" s="24"/>
      <c r="C532" s="24"/>
      <c r="D532" s="24"/>
      <c r="E532" s="28" t="str">
        <f>IFERROR(VLOOKUP(D532,Maestro_SKU!$A$2:$P$500,2,FALSE),"")</f>
        <v/>
      </c>
      <c r="F532" s="24"/>
      <c r="G532" s="30"/>
      <c r="H532" s="24"/>
      <c r="I532" s="24"/>
      <c r="J532" s="24"/>
      <c r="K532" s="37" t="str">
        <f t="shared" si="32"/>
        <v/>
      </c>
      <c r="L532" s="37" t="str">
        <f t="shared" si="33"/>
        <v/>
      </c>
      <c r="M532" s="37" t="str">
        <f t="shared" si="34"/>
        <v/>
      </c>
      <c r="N532" s="37" t="str">
        <f t="shared" si="35"/>
        <v/>
      </c>
      <c r="O532" s="37" t="str">
        <f>IF(OR($D532="",$F532=""),"",$F532*IFERROR(VLOOKUP($D532,Maestro_SKU!$A$2:$P$500,12,FALSE),1))</f>
        <v/>
      </c>
    </row>
    <row r="533" spans="1:15" x14ac:dyDescent="0.35">
      <c r="A533" s="25"/>
      <c r="B533" s="24"/>
      <c r="C533" s="24"/>
      <c r="D533" s="24"/>
      <c r="E533" s="28" t="str">
        <f>IFERROR(VLOOKUP(D533,Maestro_SKU!$A$2:$P$500,2,FALSE),"")</f>
        <v/>
      </c>
      <c r="F533" s="24"/>
      <c r="G533" s="30"/>
      <c r="H533" s="24"/>
      <c r="I533" s="24"/>
      <c r="J533" s="24"/>
      <c r="K533" s="37" t="str">
        <f t="shared" si="32"/>
        <v/>
      </c>
      <c r="L533" s="37" t="str">
        <f t="shared" si="33"/>
        <v/>
      </c>
      <c r="M533" s="37" t="str">
        <f t="shared" si="34"/>
        <v/>
      </c>
      <c r="N533" s="37" t="str">
        <f t="shared" si="35"/>
        <v/>
      </c>
      <c r="O533" s="37" t="str">
        <f>IF(OR($D533="",$F533=""),"",$F533*IFERROR(VLOOKUP($D533,Maestro_SKU!$A$2:$P$500,12,FALSE),1))</f>
        <v/>
      </c>
    </row>
    <row r="534" spans="1:15" x14ac:dyDescent="0.35">
      <c r="A534" s="25"/>
      <c r="B534" s="24"/>
      <c r="C534" s="24"/>
      <c r="D534" s="24"/>
      <c r="E534" s="28" t="str">
        <f>IFERROR(VLOOKUP(D534,Maestro_SKU!$A$2:$P$500,2,FALSE),"")</f>
        <v/>
      </c>
      <c r="F534" s="24"/>
      <c r="G534" s="30"/>
      <c r="H534" s="24"/>
      <c r="I534" s="24"/>
      <c r="J534" s="24"/>
      <c r="K534" s="37" t="str">
        <f t="shared" si="32"/>
        <v/>
      </c>
      <c r="L534" s="37" t="str">
        <f t="shared" si="33"/>
        <v/>
      </c>
      <c r="M534" s="37" t="str">
        <f t="shared" si="34"/>
        <v/>
      </c>
      <c r="N534" s="37" t="str">
        <f t="shared" si="35"/>
        <v/>
      </c>
      <c r="O534" s="37" t="str">
        <f>IF(OR($D534="",$F534=""),"",$F534*IFERROR(VLOOKUP($D534,Maestro_SKU!$A$2:$P$500,12,FALSE),1))</f>
        <v/>
      </c>
    </row>
    <row r="535" spans="1:15" x14ac:dyDescent="0.35">
      <c r="A535" s="25"/>
      <c r="B535" s="24"/>
      <c r="C535" s="24"/>
      <c r="D535" s="24"/>
      <c r="E535" s="28" t="str">
        <f>IFERROR(VLOOKUP(D535,Maestro_SKU!$A$2:$P$500,2,FALSE),"")</f>
        <v/>
      </c>
      <c r="F535" s="24"/>
      <c r="G535" s="30"/>
      <c r="H535" s="24"/>
      <c r="I535" s="24"/>
      <c r="J535" s="24"/>
      <c r="K535" s="37" t="str">
        <f t="shared" si="32"/>
        <v/>
      </c>
      <c r="L535" s="37" t="str">
        <f t="shared" si="33"/>
        <v/>
      </c>
      <c r="M535" s="37" t="str">
        <f t="shared" si="34"/>
        <v/>
      </c>
      <c r="N535" s="37" t="str">
        <f t="shared" si="35"/>
        <v/>
      </c>
      <c r="O535" s="37" t="str">
        <f>IF(OR($D535="",$F535=""),"",$F535*IFERROR(VLOOKUP($D535,Maestro_SKU!$A$2:$P$500,12,FALSE),1))</f>
        <v/>
      </c>
    </row>
    <row r="536" spans="1:15" x14ac:dyDescent="0.35">
      <c r="A536" s="25"/>
      <c r="B536" s="24"/>
      <c r="C536" s="24"/>
      <c r="D536" s="24"/>
      <c r="E536" s="28" t="str">
        <f>IFERROR(VLOOKUP(D536,Maestro_SKU!$A$2:$P$500,2,FALSE),"")</f>
        <v/>
      </c>
      <c r="F536" s="24"/>
      <c r="G536" s="30"/>
      <c r="H536" s="24"/>
      <c r="I536" s="24"/>
      <c r="J536" s="24"/>
      <c r="K536" s="37" t="str">
        <f t="shared" si="32"/>
        <v/>
      </c>
      <c r="L536" s="37" t="str">
        <f t="shared" si="33"/>
        <v/>
      </c>
      <c r="M536" s="37" t="str">
        <f t="shared" si="34"/>
        <v/>
      </c>
      <c r="N536" s="37" t="str">
        <f t="shared" si="35"/>
        <v/>
      </c>
      <c r="O536" s="37" t="str">
        <f>IF(OR($D536="",$F536=""),"",$F536*IFERROR(VLOOKUP($D536,Maestro_SKU!$A$2:$P$500,12,FALSE),1))</f>
        <v/>
      </c>
    </row>
    <row r="537" spans="1:15" x14ac:dyDescent="0.35">
      <c r="A537" s="25"/>
      <c r="B537" s="24"/>
      <c r="C537" s="24"/>
      <c r="D537" s="24"/>
      <c r="E537" s="28" t="str">
        <f>IFERROR(VLOOKUP(D537,Maestro_SKU!$A$2:$P$500,2,FALSE),"")</f>
        <v/>
      </c>
      <c r="F537" s="24"/>
      <c r="G537" s="30"/>
      <c r="H537" s="24"/>
      <c r="I537" s="24"/>
      <c r="J537" s="24"/>
      <c r="K537" s="37" t="str">
        <f t="shared" si="32"/>
        <v/>
      </c>
      <c r="L537" s="37" t="str">
        <f t="shared" si="33"/>
        <v/>
      </c>
      <c r="M537" s="37" t="str">
        <f t="shared" si="34"/>
        <v/>
      </c>
      <c r="N537" s="37" t="str">
        <f t="shared" si="35"/>
        <v/>
      </c>
      <c r="O537" s="37" t="str">
        <f>IF(OR($D537="",$F537=""),"",$F537*IFERROR(VLOOKUP($D537,Maestro_SKU!$A$2:$P$500,12,FALSE),1))</f>
        <v/>
      </c>
    </row>
    <row r="538" spans="1:15" x14ac:dyDescent="0.35">
      <c r="A538" s="25"/>
      <c r="B538" s="24"/>
      <c r="C538" s="24"/>
      <c r="D538" s="24"/>
      <c r="E538" s="28" t="str">
        <f>IFERROR(VLOOKUP(D538,Maestro_SKU!$A$2:$P$500,2,FALSE),"")</f>
        <v/>
      </c>
      <c r="F538" s="24"/>
      <c r="G538" s="30"/>
      <c r="H538" s="24"/>
      <c r="I538" s="24"/>
      <c r="J538" s="24"/>
      <c r="K538" s="37" t="str">
        <f t="shared" si="32"/>
        <v/>
      </c>
      <c r="L538" s="37" t="str">
        <f t="shared" si="33"/>
        <v/>
      </c>
      <c r="M538" s="37" t="str">
        <f t="shared" si="34"/>
        <v/>
      </c>
      <c r="N538" s="37" t="str">
        <f t="shared" si="35"/>
        <v/>
      </c>
      <c r="O538" s="37" t="str">
        <f>IF(OR($D538="",$F538=""),"",$F538*IFERROR(VLOOKUP($D538,Maestro_SKU!$A$2:$P$500,12,FALSE),1))</f>
        <v/>
      </c>
    </row>
    <row r="539" spans="1:15" x14ac:dyDescent="0.35">
      <c r="A539" s="25"/>
      <c r="B539" s="24"/>
      <c r="C539" s="24"/>
      <c r="D539" s="24"/>
      <c r="E539" s="28" t="str">
        <f>IFERROR(VLOOKUP(D539,Maestro_SKU!$A$2:$P$500,2,FALSE),"")</f>
        <v/>
      </c>
      <c r="F539" s="24"/>
      <c r="G539" s="30"/>
      <c r="H539" s="24"/>
      <c r="I539" s="24"/>
      <c r="J539" s="24"/>
      <c r="K539" s="37" t="str">
        <f t="shared" si="32"/>
        <v/>
      </c>
      <c r="L539" s="37" t="str">
        <f t="shared" si="33"/>
        <v/>
      </c>
      <c r="M539" s="37" t="str">
        <f t="shared" si="34"/>
        <v/>
      </c>
      <c r="N539" s="37" t="str">
        <f t="shared" si="35"/>
        <v/>
      </c>
      <c r="O539" s="37" t="str">
        <f>IF(OR($D539="",$F539=""),"",$F539*IFERROR(VLOOKUP($D539,Maestro_SKU!$A$2:$P$500,12,FALSE),1))</f>
        <v/>
      </c>
    </row>
    <row r="540" spans="1:15" x14ac:dyDescent="0.35">
      <c r="A540" s="25"/>
      <c r="B540" s="24"/>
      <c r="C540" s="24"/>
      <c r="D540" s="24"/>
      <c r="E540" s="28" t="str">
        <f>IFERROR(VLOOKUP(D540,Maestro_SKU!$A$2:$P$500,2,FALSE),"")</f>
        <v/>
      </c>
      <c r="F540" s="24"/>
      <c r="G540" s="30"/>
      <c r="H540" s="24"/>
      <c r="I540" s="24"/>
      <c r="J540" s="24"/>
      <c r="K540" s="37" t="str">
        <f t="shared" si="32"/>
        <v/>
      </c>
      <c r="L540" s="37" t="str">
        <f t="shared" si="33"/>
        <v/>
      </c>
      <c r="M540" s="37" t="str">
        <f t="shared" si="34"/>
        <v/>
      </c>
      <c r="N540" s="37" t="str">
        <f t="shared" si="35"/>
        <v/>
      </c>
      <c r="O540" s="37" t="str">
        <f>IF(OR($D540="",$F540=""),"",$F540*IFERROR(VLOOKUP($D540,Maestro_SKU!$A$2:$P$500,12,FALSE),1))</f>
        <v/>
      </c>
    </row>
    <row r="541" spans="1:15" x14ac:dyDescent="0.35">
      <c r="A541" s="25"/>
      <c r="B541" s="24"/>
      <c r="C541" s="24"/>
      <c r="D541" s="24"/>
      <c r="E541" s="28" t="str">
        <f>IFERROR(VLOOKUP(D541,Maestro_SKU!$A$2:$P$500,2,FALSE),"")</f>
        <v/>
      </c>
      <c r="F541" s="24"/>
      <c r="G541" s="30"/>
      <c r="H541" s="24"/>
      <c r="I541" s="24"/>
      <c r="J541" s="24"/>
      <c r="K541" s="37" t="str">
        <f t="shared" si="32"/>
        <v/>
      </c>
      <c r="L541" s="37" t="str">
        <f t="shared" si="33"/>
        <v/>
      </c>
      <c r="M541" s="37" t="str">
        <f t="shared" si="34"/>
        <v/>
      </c>
      <c r="N541" s="37" t="str">
        <f t="shared" si="35"/>
        <v/>
      </c>
      <c r="O541" s="37" t="str">
        <f>IF(OR($D541="",$F541=""),"",$F541*IFERROR(VLOOKUP($D541,Maestro_SKU!$A$2:$P$500,12,FALSE),1))</f>
        <v/>
      </c>
    </row>
    <row r="542" spans="1:15" x14ac:dyDescent="0.35">
      <c r="A542" s="25"/>
      <c r="B542" s="24"/>
      <c r="C542" s="24"/>
      <c r="D542" s="24"/>
      <c r="E542" s="28" t="str">
        <f>IFERROR(VLOOKUP(D542,Maestro_SKU!$A$2:$P$500,2,FALSE),"")</f>
        <v/>
      </c>
      <c r="F542" s="24"/>
      <c r="G542" s="30"/>
      <c r="H542" s="24"/>
      <c r="I542" s="24"/>
      <c r="J542" s="24"/>
      <c r="K542" s="37" t="str">
        <f t="shared" si="32"/>
        <v/>
      </c>
      <c r="L542" s="37" t="str">
        <f t="shared" si="33"/>
        <v/>
      </c>
      <c r="M542" s="37" t="str">
        <f t="shared" si="34"/>
        <v/>
      </c>
      <c r="N542" s="37" t="str">
        <f t="shared" si="35"/>
        <v/>
      </c>
      <c r="O542" s="37" t="str">
        <f>IF(OR($D542="",$F542=""),"",$F542*IFERROR(VLOOKUP($D542,Maestro_SKU!$A$2:$P$500,12,FALSE),1))</f>
        <v/>
      </c>
    </row>
    <row r="543" spans="1:15" x14ac:dyDescent="0.35">
      <c r="A543" s="25"/>
      <c r="B543" s="24"/>
      <c r="C543" s="24"/>
      <c r="D543" s="24"/>
      <c r="E543" s="28" t="str">
        <f>IFERROR(VLOOKUP(D543,Maestro_SKU!$A$2:$P$500,2,FALSE),"")</f>
        <v/>
      </c>
      <c r="F543" s="24"/>
      <c r="G543" s="30"/>
      <c r="H543" s="24"/>
      <c r="I543" s="24"/>
      <c r="J543" s="24"/>
      <c r="K543" s="37" t="str">
        <f t="shared" si="32"/>
        <v/>
      </c>
      <c r="L543" s="37" t="str">
        <f t="shared" si="33"/>
        <v/>
      </c>
      <c r="M543" s="37" t="str">
        <f t="shared" si="34"/>
        <v/>
      </c>
      <c r="N543" s="37" t="str">
        <f t="shared" si="35"/>
        <v/>
      </c>
      <c r="O543" s="37" t="str">
        <f>IF(OR($D543="",$F543=""),"",$F543*IFERROR(VLOOKUP($D543,Maestro_SKU!$A$2:$P$500,12,FALSE),1))</f>
        <v/>
      </c>
    </row>
    <row r="544" spans="1:15" x14ac:dyDescent="0.35">
      <c r="A544" s="25"/>
      <c r="B544" s="24"/>
      <c r="C544" s="24"/>
      <c r="D544" s="24"/>
      <c r="E544" s="28" t="str">
        <f>IFERROR(VLOOKUP(D544,Maestro_SKU!$A$2:$P$500,2,FALSE),"")</f>
        <v/>
      </c>
      <c r="F544" s="24"/>
      <c r="G544" s="30"/>
      <c r="H544" s="24"/>
      <c r="I544" s="24"/>
      <c r="J544" s="24"/>
      <c r="K544" s="37" t="str">
        <f t="shared" si="32"/>
        <v/>
      </c>
      <c r="L544" s="37" t="str">
        <f t="shared" si="33"/>
        <v/>
      </c>
      <c r="M544" s="37" t="str">
        <f t="shared" si="34"/>
        <v/>
      </c>
      <c r="N544" s="37" t="str">
        <f t="shared" si="35"/>
        <v/>
      </c>
      <c r="O544" s="37" t="str">
        <f>IF(OR($D544="",$F544=""),"",$F544*IFERROR(VLOOKUP($D544,Maestro_SKU!$A$2:$P$500,12,FALSE),1))</f>
        <v/>
      </c>
    </row>
    <row r="545" spans="1:15" x14ac:dyDescent="0.35">
      <c r="A545" s="25"/>
      <c r="B545" s="24"/>
      <c r="C545" s="24"/>
      <c r="D545" s="24"/>
      <c r="E545" s="28" t="str">
        <f>IFERROR(VLOOKUP(D545,Maestro_SKU!$A$2:$P$500,2,FALSE),"")</f>
        <v/>
      </c>
      <c r="F545" s="24"/>
      <c r="G545" s="30"/>
      <c r="H545" s="24"/>
      <c r="I545" s="24"/>
      <c r="J545" s="24"/>
      <c r="K545" s="37" t="str">
        <f t="shared" si="32"/>
        <v/>
      </c>
      <c r="L545" s="37" t="str">
        <f t="shared" si="33"/>
        <v/>
      </c>
      <c r="M545" s="37" t="str">
        <f t="shared" si="34"/>
        <v/>
      </c>
      <c r="N545" s="37" t="str">
        <f t="shared" si="35"/>
        <v/>
      </c>
      <c r="O545" s="37" t="str">
        <f>IF(OR($D545="",$F545=""),"",$F545*IFERROR(VLOOKUP($D545,Maestro_SKU!$A$2:$P$500,12,FALSE),1))</f>
        <v/>
      </c>
    </row>
    <row r="546" spans="1:15" x14ac:dyDescent="0.35">
      <c r="A546" s="25"/>
      <c r="B546" s="24"/>
      <c r="C546" s="24"/>
      <c r="D546" s="24"/>
      <c r="E546" s="28" t="str">
        <f>IFERROR(VLOOKUP(D546,Maestro_SKU!$A$2:$P$500,2,FALSE),"")</f>
        <v/>
      </c>
      <c r="F546" s="24"/>
      <c r="G546" s="30"/>
      <c r="H546" s="24"/>
      <c r="I546" s="24"/>
      <c r="J546" s="24"/>
      <c r="K546" s="37" t="str">
        <f t="shared" si="32"/>
        <v/>
      </c>
      <c r="L546" s="37" t="str">
        <f t="shared" si="33"/>
        <v/>
      </c>
      <c r="M546" s="37" t="str">
        <f t="shared" si="34"/>
        <v/>
      </c>
      <c r="N546" s="37" t="str">
        <f t="shared" si="35"/>
        <v/>
      </c>
      <c r="O546" s="37" t="str">
        <f>IF(OR($D546="",$F546=""),"",$F546*IFERROR(VLOOKUP($D546,Maestro_SKU!$A$2:$P$500,12,FALSE),1))</f>
        <v/>
      </c>
    </row>
    <row r="547" spans="1:15" x14ac:dyDescent="0.35">
      <c r="A547" s="25"/>
      <c r="B547" s="24"/>
      <c r="C547" s="24"/>
      <c r="D547" s="24"/>
      <c r="E547" s="28" t="str">
        <f>IFERROR(VLOOKUP(D547,Maestro_SKU!$A$2:$P$500,2,FALSE),"")</f>
        <v/>
      </c>
      <c r="F547" s="24"/>
      <c r="G547" s="30"/>
      <c r="H547" s="24"/>
      <c r="I547" s="24"/>
      <c r="J547" s="24"/>
      <c r="K547" s="37" t="str">
        <f t="shared" si="32"/>
        <v/>
      </c>
      <c r="L547" s="37" t="str">
        <f t="shared" si="33"/>
        <v/>
      </c>
      <c r="M547" s="37" t="str">
        <f t="shared" si="34"/>
        <v/>
      </c>
      <c r="N547" s="37" t="str">
        <f t="shared" si="35"/>
        <v/>
      </c>
      <c r="O547" s="37" t="str">
        <f>IF(OR($D547="",$F547=""),"",$F547*IFERROR(VLOOKUP($D547,Maestro_SKU!$A$2:$P$500,12,FALSE),1))</f>
        <v/>
      </c>
    </row>
    <row r="548" spans="1:15" x14ac:dyDescent="0.35">
      <c r="A548" s="25"/>
      <c r="B548" s="24"/>
      <c r="C548" s="24"/>
      <c r="D548" s="24"/>
      <c r="E548" s="28" t="str">
        <f>IFERROR(VLOOKUP(D548,Maestro_SKU!$A$2:$P$500,2,FALSE),"")</f>
        <v/>
      </c>
      <c r="F548" s="24"/>
      <c r="G548" s="30"/>
      <c r="H548" s="24"/>
      <c r="I548" s="24"/>
      <c r="J548" s="24"/>
      <c r="K548" s="37" t="str">
        <f t="shared" si="32"/>
        <v/>
      </c>
      <c r="L548" s="37" t="str">
        <f t="shared" si="33"/>
        <v/>
      </c>
      <c r="M548" s="37" t="str">
        <f t="shared" si="34"/>
        <v/>
      </c>
      <c r="N548" s="37" t="str">
        <f t="shared" si="35"/>
        <v/>
      </c>
      <c r="O548" s="37" t="str">
        <f>IF(OR($D548="",$F548=""),"",$F548*IFERROR(VLOOKUP($D548,Maestro_SKU!$A$2:$P$500,12,FALSE),1))</f>
        <v/>
      </c>
    </row>
    <row r="549" spans="1:15" x14ac:dyDescent="0.35">
      <c r="A549" s="25"/>
      <c r="B549" s="24"/>
      <c r="C549" s="24"/>
      <c r="D549" s="24"/>
      <c r="E549" s="28" t="str">
        <f>IFERROR(VLOOKUP(D549,Maestro_SKU!$A$2:$P$500,2,FALSE),"")</f>
        <v/>
      </c>
      <c r="F549" s="24"/>
      <c r="G549" s="30"/>
      <c r="H549" s="24"/>
      <c r="I549" s="24"/>
      <c r="J549" s="24"/>
      <c r="K549" s="37" t="str">
        <f t="shared" si="32"/>
        <v/>
      </c>
      <c r="L549" s="37" t="str">
        <f t="shared" si="33"/>
        <v/>
      </c>
      <c r="M549" s="37" t="str">
        <f t="shared" si="34"/>
        <v/>
      </c>
      <c r="N549" s="37" t="str">
        <f t="shared" si="35"/>
        <v/>
      </c>
      <c r="O549" s="37" t="str">
        <f>IF(OR($D549="",$F549=""),"",$F549*IFERROR(VLOOKUP($D549,Maestro_SKU!$A$2:$P$500,12,FALSE),1))</f>
        <v/>
      </c>
    </row>
    <row r="550" spans="1:15" x14ac:dyDescent="0.35">
      <c r="A550" s="25"/>
      <c r="B550" s="24"/>
      <c r="C550" s="24"/>
      <c r="D550" s="24"/>
      <c r="E550" s="28" t="str">
        <f>IFERROR(VLOOKUP(D550,Maestro_SKU!$A$2:$P$500,2,FALSE),"")</f>
        <v/>
      </c>
      <c r="F550" s="24"/>
      <c r="G550" s="30"/>
      <c r="H550" s="24"/>
      <c r="I550" s="24"/>
      <c r="J550" s="24"/>
      <c r="K550" s="37" t="str">
        <f t="shared" si="32"/>
        <v/>
      </c>
      <c r="L550" s="37" t="str">
        <f t="shared" si="33"/>
        <v/>
      </c>
      <c r="M550" s="37" t="str">
        <f t="shared" si="34"/>
        <v/>
      </c>
      <c r="N550" s="37" t="str">
        <f t="shared" si="35"/>
        <v/>
      </c>
      <c r="O550" s="37" t="str">
        <f>IF(OR($D550="",$F550=""),"",$F550*IFERROR(VLOOKUP($D550,Maestro_SKU!$A$2:$P$500,12,FALSE),1))</f>
        <v/>
      </c>
    </row>
    <row r="551" spans="1:15" x14ac:dyDescent="0.35">
      <c r="A551" s="25"/>
      <c r="B551" s="24"/>
      <c r="C551" s="24"/>
      <c r="D551" s="24"/>
      <c r="E551" s="28" t="str">
        <f>IFERROR(VLOOKUP(D551,Maestro_SKU!$A$2:$P$500,2,FALSE),"")</f>
        <v/>
      </c>
      <c r="F551" s="24"/>
      <c r="G551" s="30"/>
      <c r="H551" s="24"/>
      <c r="I551" s="24"/>
      <c r="J551" s="24"/>
      <c r="K551" s="37" t="str">
        <f t="shared" si="32"/>
        <v/>
      </c>
      <c r="L551" s="37" t="str">
        <f t="shared" si="33"/>
        <v/>
      </c>
      <c r="M551" s="37" t="str">
        <f t="shared" si="34"/>
        <v/>
      </c>
      <c r="N551" s="37" t="str">
        <f t="shared" si="35"/>
        <v/>
      </c>
      <c r="O551" s="37" t="str">
        <f>IF(OR($D551="",$F551=""),"",$F551*IFERROR(VLOOKUP($D551,Maestro_SKU!$A$2:$P$500,12,FALSE),1))</f>
        <v/>
      </c>
    </row>
    <row r="552" spans="1:15" x14ac:dyDescent="0.35">
      <c r="A552" s="25"/>
      <c r="B552" s="24"/>
      <c r="C552" s="24"/>
      <c r="D552" s="24"/>
      <c r="E552" s="28" t="str">
        <f>IFERROR(VLOOKUP(D552,Maestro_SKU!$A$2:$P$500,2,FALSE),"")</f>
        <v/>
      </c>
      <c r="F552" s="24"/>
      <c r="G552" s="30"/>
      <c r="H552" s="24"/>
      <c r="I552" s="24"/>
      <c r="J552" s="24"/>
      <c r="K552" s="37" t="str">
        <f t="shared" si="32"/>
        <v/>
      </c>
      <c r="L552" s="37" t="str">
        <f t="shared" si="33"/>
        <v/>
      </c>
      <c r="M552" s="37" t="str">
        <f t="shared" si="34"/>
        <v/>
      </c>
      <c r="N552" s="37" t="str">
        <f t="shared" si="35"/>
        <v/>
      </c>
      <c r="O552" s="37" t="str">
        <f>IF(OR($D552="",$F552=""),"",$F552*IFERROR(VLOOKUP($D552,Maestro_SKU!$A$2:$P$500,12,FALSE),1))</f>
        <v/>
      </c>
    </row>
    <row r="553" spans="1:15" x14ac:dyDescent="0.35">
      <c r="A553" s="25"/>
      <c r="B553" s="24"/>
      <c r="C553" s="24"/>
      <c r="D553" s="24"/>
      <c r="E553" s="28" t="str">
        <f>IFERROR(VLOOKUP(D553,Maestro_SKU!$A$2:$P$500,2,FALSE),"")</f>
        <v/>
      </c>
      <c r="F553" s="24"/>
      <c r="G553" s="30"/>
      <c r="H553" s="24"/>
      <c r="I553" s="24"/>
      <c r="J553" s="24"/>
      <c r="K553" s="37" t="str">
        <f t="shared" si="32"/>
        <v/>
      </c>
      <c r="L553" s="37" t="str">
        <f t="shared" si="33"/>
        <v/>
      </c>
      <c r="M553" s="37" t="str">
        <f t="shared" si="34"/>
        <v/>
      </c>
      <c r="N553" s="37" t="str">
        <f t="shared" si="35"/>
        <v/>
      </c>
      <c r="O553" s="37" t="str">
        <f>IF(OR($D553="",$F553=""),"",$F553*IFERROR(VLOOKUP($D553,Maestro_SKU!$A$2:$P$500,12,FALSE),1))</f>
        <v/>
      </c>
    </row>
    <row r="554" spans="1:15" x14ac:dyDescent="0.35">
      <c r="A554" s="25"/>
      <c r="B554" s="24"/>
      <c r="C554" s="24"/>
      <c r="D554" s="24"/>
      <c r="E554" s="28" t="str">
        <f>IFERROR(VLOOKUP(D554,Maestro_SKU!$A$2:$P$500,2,FALSE),"")</f>
        <v/>
      </c>
      <c r="F554" s="24"/>
      <c r="G554" s="30"/>
      <c r="H554" s="24"/>
      <c r="I554" s="24"/>
      <c r="J554" s="24"/>
      <c r="K554" s="37" t="str">
        <f t="shared" si="32"/>
        <v/>
      </c>
      <c r="L554" s="37" t="str">
        <f t="shared" si="33"/>
        <v/>
      </c>
      <c r="M554" s="37" t="str">
        <f t="shared" si="34"/>
        <v/>
      </c>
      <c r="N554" s="37" t="str">
        <f t="shared" si="35"/>
        <v/>
      </c>
      <c r="O554" s="37" t="str">
        <f>IF(OR($D554="",$F554=""),"",$F554*IFERROR(VLOOKUP($D554,Maestro_SKU!$A$2:$P$500,12,FALSE),1))</f>
        <v/>
      </c>
    </row>
    <row r="555" spans="1:15" x14ac:dyDescent="0.35">
      <c r="A555" s="25"/>
      <c r="B555" s="24"/>
      <c r="C555" s="24"/>
      <c r="D555" s="24"/>
      <c r="E555" s="28" t="str">
        <f>IFERROR(VLOOKUP(D555,Maestro_SKU!$A$2:$P$500,2,FALSE),"")</f>
        <v/>
      </c>
      <c r="F555" s="24"/>
      <c r="G555" s="30"/>
      <c r="H555" s="24"/>
      <c r="I555" s="24"/>
      <c r="J555" s="24"/>
      <c r="K555" s="37" t="str">
        <f t="shared" si="32"/>
        <v/>
      </c>
      <c r="L555" s="37" t="str">
        <f t="shared" si="33"/>
        <v/>
      </c>
      <c r="M555" s="37" t="str">
        <f t="shared" si="34"/>
        <v/>
      </c>
      <c r="N555" s="37" t="str">
        <f t="shared" si="35"/>
        <v/>
      </c>
      <c r="O555" s="37" t="str">
        <f>IF(OR($D555="",$F555=""),"",$F555*IFERROR(VLOOKUP($D555,Maestro_SKU!$A$2:$P$500,12,FALSE),1))</f>
        <v/>
      </c>
    </row>
    <row r="556" spans="1:15" x14ac:dyDescent="0.35">
      <c r="A556" s="25"/>
      <c r="B556" s="24"/>
      <c r="C556" s="24"/>
      <c r="D556" s="24"/>
      <c r="E556" s="28" t="str">
        <f>IFERROR(VLOOKUP(D556,Maestro_SKU!$A$2:$P$500,2,FALSE),"")</f>
        <v/>
      </c>
      <c r="F556" s="24"/>
      <c r="G556" s="30"/>
      <c r="H556" s="24"/>
      <c r="I556" s="24"/>
      <c r="J556" s="24"/>
      <c r="K556" s="37" t="str">
        <f t="shared" si="32"/>
        <v/>
      </c>
      <c r="L556" s="37" t="str">
        <f t="shared" si="33"/>
        <v/>
      </c>
      <c r="M556" s="37" t="str">
        <f t="shared" si="34"/>
        <v/>
      </c>
      <c r="N556" s="37" t="str">
        <f t="shared" si="35"/>
        <v/>
      </c>
      <c r="O556" s="37" t="str">
        <f>IF(OR($D556="",$F556=""),"",$F556*IFERROR(VLOOKUP($D556,Maestro_SKU!$A$2:$P$500,12,FALSE),1))</f>
        <v/>
      </c>
    </row>
    <row r="557" spans="1:15" x14ac:dyDescent="0.35">
      <c r="A557" s="25"/>
      <c r="B557" s="24"/>
      <c r="C557" s="24"/>
      <c r="D557" s="24"/>
      <c r="E557" s="28" t="str">
        <f>IFERROR(VLOOKUP(D557,Maestro_SKU!$A$2:$P$500,2,FALSE),"")</f>
        <v/>
      </c>
      <c r="F557" s="24"/>
      <c r="G557" s="30"/>
      <c r="H557" s="24"/>
      <c r="I557" s="24"/>
      <c r="J557" s="24"/>
      <c r="K557" s="37" t="str">
        <f t="shared" si="32"/>
        <v/>
      </c>
      <c r="L557" s="37" t="str">
        <f t="shared" si="33"/>
        <v/>
      </c>
      <c r="M557" s="37" t="str">
        <f t="shared" si="34"/>
        <v/>
      </c>
      <c r="N557" s="37" t="str">
        <f t="shared" si="35"/>
        <v/>
      </c>
      <c r="O557" s="37" t="str">
        <f>IF(OR($D557="",$F557=""),"",$F557*IFERROR(VLOOKUP($D557,Maestro_SKU!$A$2:$P$500,12,FALSE),1))</f>
        <v/>
      </c>
    </row>
    <row r="558" spans="1:15" x14ac:dyDescent="0.35">
      <c r="A558" s="25"/>
      <c r="B558" s="24"/>
      <c r="C558" s="24"/>
      <c r="D558" s="24"/>
      <c r="E558" s="28" t="str">
        <f>IFERROR(VLOOKUP(D558,Maestro_SKU!$A$2:$P$500,2,FALSE),"")</f>
        <v/>
      </c>
      <c r="F558" s="24"/>
      <c r="G558" s="30"/>
      <c r="H558" s="24"/>
      <c r="I558" s="24"/>
      <c r="J558" s="24"/>
      <c r="K558" s="37" t="str">
        <f t="shared" si="32"/>
        <v/>
      </c>
      <c r="L558" s="37" t="str">
        <f t="shared" si="33"/>
        <v/>
      </c>
      <c r="M558" s="37" t="str">
        <f t="shared" si="34"/>
        <v/>
      </c>
      <c r="N558" s="37" t="str">
        <f t="shared" si="35"/>
        <v/>
      </c>
      <c r="O558" s="37" t="str">
        <f>IF(OR($D558="",$F558=""),"",$F558*IFERROR(VLOOKUP($D558,Maestro_SKU!$A$2:$P$500,12,FALSE),1))</f>
        <v/>
      </c>
    </row>
    <row r="559" spans="1:15" x14ac:dyDescent="0.35">
      <c r="A559" s="25"/>
      <c r="B559" s="24"/>
      <c r="C559" s="24"/>
      <c r="D559" s="24"/>
      <c r="E559" s="28" t="str">
        <f>IFERROR(VLOOKUP(D559,Maestro_SKU!$A$2:$P$500,2,FALSE),"")</f>
        <v/>
      </c>
      <c r="F559" s="24"/>
      <c r="G559" s="30"/>
      <c r="H559" s="24"/>
      <c r="I559" s="24"/>
      <c r="J559" s="24"/>
      <c r="K559" s="37" t="str">
        <f t="shared" si="32"/>
        <v/>
      </c>
      <c r="L559" s="37" t="str">
        <f t="shared" si="33"/>
        <v/>
      </c>
      <c r="M559" s="37" t="str">
        <f t="shared" si="34"/>
        <v/>
      </c>
      <c r="N559" s="37" t="str">
        <f t="shared" si="35"/>
        <v/>
      </c>
      <c r="O559" s="37" t="str">
        <f>IF(OR($D559="",$F559=""),"",$F559*IFERROR(VLOOKUP($D559,Maestro_SKU!$A$2:$P$500,12,FALSE),1))</f>
        <v/>
      </c>
    </row>
    <row r="560" spans="1:15" x14ac:dyDescent="0.35">
      <c r="A560" s="25"/>
      <c r="B560" s="24"/>
      <c r="C560" s="24"/>
      <c r="D560" s="24"/>
      <c r="E560" s="28" t="str">
        <f>IFERROR(VLOOKUP(D560,Maestro_SKU!$A$2:$P$500,2,FALSE),"")</f>
        <v/>
      </c>
      <c r="F560" s="24"/>
      <c r="G560" s="30"/>
      <c r="H560" s="24"/>
      <c r="I560" s="24"/>
      <c r="J560" s="24"/>
      <c r="K560" s="37" t="str">
        <f t="shared" si="32"/>
        <v/>
      </c>
      <c r="L560" s="37" t="str">
        <f t="shared" si="33"/>
        <v/>
      </c>
      <c r="M560" s="37" t="str">
        <f t="shared" si="34"/>
        <v/>
      </c>
      <c r="N560" s="37" t="str">
        <f t="shared" si="35"/>
        <v/>
      </c>
      <c r="O560" s="37" t="str">
        <f>IF(OR($D560="",$F560=""),"",$F560*IFERROR(VLOOKUP($D560,Maestro_SKU!$A$2:$P$500,12,FALSE),1))</f>
        <v/>
      </c>
    </row>
    <row r="561" spans="1:15" x14ac:dyDescent="0.35">
      <c r="A561" s="25"/>
      <c r="B561" s="24"/>
      <c r="C561" s="24"/>
      <c r="D561" s="24"/>
      <c r="E561" s="28" t="str">
        <f>IFERROR(VLOOKUP(D561,Maestro_SKU!$A$2:$P$500,2,FALSE),"")</f>
        <v/>
      </c>
      <c r="F561" s="24"/>
      <c r="G561" s="30"/>
      <c r="H561" s="24"/>
      <c r="I561" s="24"/>
      <c r="J561" s="24"/>
      <c r="K561" s="37" t="str">
        <f t="shared" si="32"/>
        <v/>
      </c>
      <c r="L561" s="37" t="str">
        <f t="shared" si="33"/>
        <v/>
      </c>
      <c r="M561" s="37" t="str">
        <f t="shared" si="34"/>
        <v/>
      </c>
      <c r="N561" s="37" t="str">
        <f t="shared" si="35"/>
        <v/>
      </c>
      <c r="O561" s="37" t="str">
        <f>IF(OR($D561="",$F561=""),"",$F561*IFERROR(VLOOKUP($D561,Maestro_SKU!$A$2:$P$500,12,FALSE),1))</f>
        <v/>
      </c>
    </row>
    <row r="562" spans="1:15" x14ac:dyDescent="0.35">
      <c r="A562" s="25"/>
      <c r="B562" s="24"/>
      <c r="C562" s="24"/>
      <c r="D562" s="24"/>
      <c r="E562" s="28" t="str">
        <f>IFERROR(VLOOKUP(D562,Maestro_SKU!$A$2:$P$500,2,FALSE),"")</f>
        <v/>
      </c>
      <c r="F562" s="24"/>
      <c r="G562" s="30"/>
      <c r="H562" s="24"/>
      <c r="I562" s="24"/>
      <c r="J562" s="24"/>
      <c r="K562" s="37" t="str">
        <f t="shared" si="32"/>
        <v/>
      </c>
      <c r="L562" s="37" t="str">
        <f t="shared" si="33"/>
        <v/>
      </c>
      <c r="M562" s="37" t="str">
        <f t="shared" si="34"/>
        <v/>
      </c>
      <c r="N562" s="37" t="str">
        <f t="shared" si="35"/>
        <v/>
      </c>
      <c r="O562" s="37" t="str">
        <f>IF(OR($D562="",$F562=""),"",$F562*IFERROR(VLOOKUP($D562,Maestro_SKU!$A$2:$P$500,12,FALSE),1))</f>
        <v/>
      </c>
    </row>
    <row r="563" spans="1:15" x14ac:dyDescent="0.35">
      <c r="A563" s="25"/>
      <c r="B563" s="24"/>
      <c r="C563" s="24"/>
      <c r="D563" s="24"/>
      <c r="E563" s="28" t="str">
        <f>IFERROR(VLOOKUP(D563,Maestro_SKU!$A$2:$P$500,2,FALSE),"")</f>
        <v/>
      </c>
      <c r="F563" s="24"/>
      <c r="G563" s="30"/>
      <c r="H563" s="24"/>
      <c r="I563" s="24"/>
      <c r="J563" s="24"/>
      <c r="K563" s="37" t="str">
        <f t="shared" si="32"/>
        <v/>
      </c>
      <c r="L563" s="37" t="str">
        <f t="shared" si="33"/>
        <v/>
      </c>
      <c r="M563" s="37" t="str">
        <f t="shared" si="34"/>
        <v/>
      </c>
      <c r="N563" s="37" t="str">
        <f t="shared" si="35"/>
        <v/>
      </c>
      <c r="O563" s="37" t="str">
        <f>IF(OR($D563="",$F563=""),"",$F563*IFERROR(VLOOKUP($D563,Maestro_SKU!$A$2:$P$500,12,FALSE),1))</f>
        <v/>
      </c>
    </row>
    <row r="564" spans="1:15" x14ac:dyDescent="0.35">
      <c r="A564" s="25"/>
      <c r="B564" s="24"/>
      <c r="C564" s="24"/>
      <c r="D564" s="24"/>
      <c r="E564" s="28" t="str">
        <f>IFERROR(VLOOKUP(D564,Maestro_SKU!$A$2:$P$500,2,FALSE),"")</f>
        <v/>
      </c>
      <c r="F564" s="24"/>
      <c r="G564" s="30"/>
      <c r="H564" s="24"/>
      <c r="I564" s="24"/>
      <c r="J564" s="24"/>
      <c r="K564" s="37" t="str">
        <f t="shared" si="32"/>
        <v/>
      </c>
      <c r="L564" s="37" t="str">
        <f t="shared" si="33"/>
        <v/>
      </c>
      <c r="M564" s="37" t="str">
        <f t="shared" si="34"/>
        <v/>
      </c>
      <c r="N564" s="37" t="str">
        <f t="shared" si="35"/>
        <v/>
      </c>
      <c r="O564" s="37" t="str">
        <f>IF(OR($D564="",$F564=""),"",$F564*IFERROR(VLOOKUP($D564,Maestro_SKU!$A$2:$P$500,12,FALSE),1))</f>
        <v/>
      </c>
    </row>
    <row r="565" spans="1:15" x14ac:dyDescent="0.35">
      <c r="A565" s="25"/>
      <c r="B565" s="24"/>
      <c r="C565" s="24"/>
      <c r="D565" s="24"/>
      <c r="E565" s="28" t="str">
        <f>IFERROR(VLOOKUP(D565,Maestro_SKU!$A$2:$P$500,2,FALSE),"")</f>
        <v/>
      </c>
      <c r="F565" s="24"/>
      <c r="G565" s="30"/>
      <c r="H565" s="24"/>
      <c r="I565" s="24"/>
      <c r="J565" s="24"/>
      <c r="K565" s="37" t="str">
        <f t="shared" si="32"/>
        <v/>
      </c>
      <c r="L565" s="37" t="str">
        <f t="shared" si="33"/>
        <v/>
      </c>
      <c r="M565" s="37" t="str">
        <f t="shared" si="34"/>
        <v/>
      </c>
      <c r="N565" s="37" t="str">
        <f t="shared" si="35"/>
        <v/>
      </c>
      <c r="O565" s="37" t="str">
        <f>IF(OR($D565="",$F565=""),"",$F565*IFERROR(VLOOKUP($D565,Maestro_SKU!$A$2:$P$500,12,FALSE),1))</f>
        <v/>
      </c>
    </row>
    <row r="566" spans="1:15" x14ac:dyDescent="0.35">
      <c r="A566" s="25"/>
      <c r="B566" s="24"/>
      <c r="C566" s="24"/>
      <c r="D566" s="24"/>
      <c r="E566" s="28" t="str">
        <f>IFERROR(VLOOKUP(D566,Maestro_SKU!$A$2:$P$500,2,FALSE),"")</f>
        <v/>
      </c>
      <c r="F566" s="24"/>
      <c r="G566" s="30"/>
      <c r="H566" s="24"/>
      <c r="I566" s="24"/>
      <c r="J566" s="24"/>
      <c r="K566" s="37" t="str">
        <f t="shared" si="32"/>
        <v/>
      </c>
      <c r="L566" s="37" t="str">
        <f t="shared" si="33"/>
        <v/>
      </c>
      <c r="M566" s="37" t="str">
        <f t="shared" si="34"/>
        <v/>
      </c>
      <c r="N566" s="37" t="str">
        <f t="shared" si="35"/>
        <v/>
      </c>
      <c r="O566" s="37" t="str">
        <f>IF(OR($D566="",$F566=""),"",$F566*IFERROR(VLOOKUP($D566,Maestro_SKU!$A$2:$P$500,12,FALSE),1))</f>
        <v/>
      </c>
    </row>
    <row r="567" spans="1:15" x14ac:dyDescent="0.35">
      <c r="A567" s="25"/>
      <c r="B567" s="24"/>
      <c r="C567" s="24"/>
      <c r="D567" s="24"/>
      <c r="E567" s="28" t="str">
        <f>IFERROR(VLOOKUP(D567,Maestro_SKU!$A$2:$P$500,2,FALSE),"")</f>
        <v/>
      </c>
      <c r="F567" s="24"/>
      <c r="G567" s="30"/>
      <c r="H567" s="24"/>
      <c r="I567" s="24"/>
      <c r="J567" s="24"/>
      <c r="K567" s="37" t="str">
        <f t="shared" si="32"/>
        <v/>
      </c>
      <c r="L567" s="37" t="str">
        <f t="shared" si="33"/>
        <v/>
      </c>
      <c r="M567" s="37" t="str">
        <f t="shared" si="34"/>
        <v/>
      </c>
      <c r="N567" s="37" t="str">
        <f t="shared" si="35"/>
        <v/>
      </c>
      <c r="O567" s="37" t="str">
        <f>IF(OR($D567="",$F567=""),"",$F567*IFERROR(VLOOKUP($D567,Maestro_SKU!$A$2:$P$500,12,FALSE),1))</f>
        <v/>
      </c>
    </row>
    <row r="568" spans="1:15" x14ac:dyDescent="0.35">
      <c r="A568" s="25"/>
      <c r="B568" s="24"/>
      <c r="C568" s="24"/>
      <c r="D568" s="24"/>
      <c r="E568" s="28" t="str">
        <f>IFERROR(VLOOKUP(D568,Maestro_SKU!$A$2:$P$500,2,FALSE),"")</f>
        <v/>
      </c>
      <c r="F568" s="24"/>
      <c r="G568" s="30"/>
      <c r="H568" s="24"/>
      <c r="I568" s="24"/>
      <c r="J568" s="24"/>
      <c r="K568" s="37" t="str">
        <f t="shared" si="32"/>
        <v/>
      </c>
      <c r="L568" s="37" t="str">
        <f t="shared" si="33"/>
        <v/>
      </c>
      <c r="M568" s="37" t="str">
        <f t="shared" si="34"/>
        <v/>
      </c>
      <c r="N568" s="37" t="str">
        <f t="shared" si="35"/>
        <v/>
      </c>
      <c r="O568" s="37" t="str">
        <f>IF(OR($D568="",$F568=""),"",$F568*IFERROR(VLOOKUP($D568,Maestro_SKU!$A$2:$P$500,12,FALSE),1))</f>
        <v/>
      </c>
    </row>
    <row r="569" spans="1:15" x14ac:dyDescent="0.35">
      <c r="A569" s="25"/>
      <c r="B569" s="24"/>
      <c r="C569" s="24"/>
      <c r="D569" s="24"/>
      <c r="E569" s="28" t="str">
        <f>IFERROR(VLOOKUP(D569,Maestro_SKU!$A$2:$P$500,2,FALSE),"")</f>
        <v/>
      </c>
      <c r="F569" s="24"/>
      <c r="G569" s="30"/>
      <c r="H569" s="24"/>
      <c r="I569" s="24"/>
      <c r="J569" s="24"/>
      <c r="K569" s="37" t="str">
        <f t="shared" si="32"/>
        <v/>
      </c>
      <c r="L569" s="37" t="str">
        <f t="shared" si="33"/>
        <v/>
      </c>
      <c r="M569" s="37" t="str">
        <f t="shared" si="34"/>
        <v/>
      </c>
      <c r="N569" s="37" t="str">
        <f t="shared" si="35"/>
        <v/>
      </c>
      <c r="O569" s="37" t="str">
        <f>IF(OR($D569="",$F569=""),"",$F569*IFERROR(VLOOKUP($D569,Maestro_SKU!$A$2:$P$500,12,FALSE),1))</f>
        <v/>
      </c>
    </row>
    <row r="570" spans="1:15" x14ac:dyDescent="0.35">
      <c r="A570" s="25"/>
      <c r="B570" s="24"/>
      <c r="C570" s="24"/>
      <c r="D570" s="24"/>
      <c r="E570" s="28" t="str">
        <f>IFERROR(VLOOKUP(D570,Maestro_SKU!$A$2:$P$500,2,FALSE),"")</f>
        <v/>
      </c>
      <c r="F570" s="24"/>
      <c r="G570" s="30"/>
      <c r="H570" s="24"/>
      <c r="I570" s="24"/>
      <c r="J570" s="24"/>
      <c r="K570" s="37" t="str">
        <f t="shared" si="32"/>
        <v/>
      </c>
      <c r="L570" s="37" t="str">
        <f t="shared" si="33"/>
        <v/>
      </c>
      <c r="M570" s="37" t="str">
        <f t="shared" si="34"/>
        <v/>
      </c>
      <c r="N570" s="37" t="str">
        <f t="shared" si="35"/>
        <v/>
      </c>
      <c r="O570" s="37" t="str">
        <f>IF(OR($D570="",$F570=""),"",$F570*IFERROR(VLOOKUP($D570,Maestro_SKU!$A$2:$P$500,12,FALSE),1))</f>
        <v/>
      </c>
    </row>
    <row r="571" spans="1:15" x14ac:dyDescent="0.35">
      <c r="A571" s="25"/>
      <c r="B571" s="24"/>
      <c r="C571" s="24"/>
      <c r="D571" s="24"/>
      <c r="E571" s="28" t="str">
        <f>IFERROR(VLOOKUP(D571,Maestro_SKU!$A$2:$P$500,2,FALSE),"")</f>
        <v/>
      </c>
      <c r="F571" s="24"/>
      <c r="G571" s="30"/>
      <c r="H571" s="24"/>
      <c r="I571" s="24"/>
      <c r="J571" s="24"/>
      <c r="K571" s="37" t="str">
        <f t="shared" si="32"/>
        <v/>
      </c>
      <c r="L571" s="37" t="str">
        <f t="shared" si="33"/>
        <v/>
      </c>
      <c r="M571" s="37" t="str">
        <f t="shared" si="34"/>
        <v/>
      </c>
      <c r="N571" s="37" t="str">
        <f t="shared" si="35"/>
        <v/>
      </c>
      <c r="O571" s="37" t="str">
        <f>IF(OR($D571="",$F571=""),"",$F571*IFERROR(VLOOKUP($D571,Maestro_SKU!$A$2:$P$500,12,FALSE),1))</f>
        <v/>
      </c>
    </row>
    <row r="572" spans="1:15" x14ac:dyDescent="0.35">
      <c r="A572" s="25"/>
      <c r="B572" s="24"/>
      <c r="C572" s="24"/>
      <c r="D572" s="24"/>
      <c r="E572" s="28" t="str">
        <f>IFERROR(VLOOKUP(D572,Maestro_SKU!$A$2:$P$500,2,FALSE),"")</f>
        <v/>
      </c>
      <c r="F572" s="24"/>
      <c r="G572" s="30"/>
      <c r="H572" s="24"/>
      <c r="I572" s="24"/>
      <c r="J572" s="24"/>
      <c r="K572" s="37" t="str">
        <f t="shared" si="32"/>
        <v/>
      </c>
      <c r="L572" s="37" t="str">
        <f t="shared" si="33"/>
        <v/>
      </c>
      <c r="M572" s="37" t="str">
        <f t="shared" si="34"/>
        <v/>
      </c>
      <c r="N572" s="37" t="str">
        <f t="shared" si="35"/>
        <v/>
      </c>
      <c r="O572" s="37" t="str">
        <f>IF(OR($D572="",$F572=""),"",$F572*IFERROR(VLOOKUP($D572,Maestro_SKU!$A$2:$P$500,12,FALSE),1))</f>
        <v/>
      </c>
    </row>
    <row r="573" spans="1:15" x14ac:dyDescent="0.35">
      <c r="A573" s="25"/>
      <c r="B573" s="24"/>
      <c r="C573" s="24"/>
      <c r="D573" s="24"/>
      <c r="E573" s="28" t="str">
        <f>IFERROR(VLOOKUP(D573,Maestro_SKU!$A$2:$P$500,2,FALSE),"")</f>
        <v/>
      </c>
      <c r="F573" s="24"/>
      <c r="G573" s="30"/>
      <c r="H573" s="24"/>
      <c r="I573" s="24"/>
      <c r="J573" s="24"/>
      <c r="K573" s="37" t="str">
        <f t="shared" si="32"/>
        <v/>
      </c>
      <c r="L573" s="37" t="str">
        <f t="shared" si="33"/>
        <v/>
      </c>
      <c r="M573" s="37" t="str">
        <f t="shared" si="34"/>
        <v/>
      </c>
      <c r="N573" s="37" t="str">
        <f t="shared" si="35"/>
        <v/>
      </c>
      <c r="O573" s="37" t="str">
        <f>IF(OR($D573="",$F573=""),"",$F573*IFERROR(VLOOKUP($D573,Maestro_SKU!$A$2:$P$500,12,FALSE),1))</f>
        <v/>
      </c>
    </row>
    <row r="574" spans="1:15" x14ac:dyDescent="0.35">
      <c r="A574" s="25"/>
      <c r="B574" s="24"/>
      <c r="C574" s="24"/>
      <c r="D574" s="24"/>
      <c r="E574" s="28" t="str">
        <f>IFERROR(VLOOKUP(D574,Maestro_SKU!$A$2:$P$500,2,FALSE),"")</f>
        <v/>
      </c>
      <c r="F574" s="24"/>
      <c r="G574" s="30"/>
      <c r="H574" s="24"/>
      <c r="I574" s="24"/>
      <c r="J574" s="24"/>
      <c r="K574" s="37" t="str">
        <f t="shared" si="32"/>
        <v/>
      </c>
      <c r="L574" s="37" t="str">
        <f t="shared" si="33"/>
        <v/>
      </c>
      <c r="M574" s="37" t="str">
        <f t="shared" si="34"/>
        <v/>
      </c>
      <c r="N574" s="37" t="str">
        <f t="shared" si="35"/>
        <v/>
      </c>
      <c r="O574" s="37" t="str">
        <f>IF(OR($D574="",$F574=""),"",$F574*IFERROR(VLOOKUP($D574,Maestro_SKU!$A$2:$P$500,12,FALSE),1))</f>
        <v/>
      </c>
    </row>
    <row r="575" spans="1:15" x14ac:dyDescent="0.35">
      <c r="A575" s="25"/>
      <c r="B575" s="24"/>
      <c r="C575" s="24"/>
      <c r="D575" s="24"/>
      <c r="E575" s="28" t="str">
        <f>IFERROR(VLOOKUP(D575,Maestro_SKU!$A$2:$P$500,2,FALSE),"")</f>
        <v/>
      </c>
      <c r="F575" s="24"/>
      <c r="G575" s="30"/>
      <c r="H575" s="24"/>
      <c r="I575" s="24"/>
      <c r="J575" s="24"/>
      <c r="K575" s="37" t="str">
        <f t="shared" si="32"/>
        <v/>
      </c>
      <c r="L575" s="37" t="str">
        <f t="shared" si="33"/>
        <v/>
      </c>
      <c r="M575" s="37" t="str">
        <f t="shared" si="34"/>
        <v/>
      </c>
      <c r="N575" s="37" t="str">
        <f t="shared" si="35"/>
        <v/>
      </c>
      <c r="O575" s="37" t="str">
        <f>IF(OR($D575="",$F575=""),"",$F575*IFERROR(VLOOKUP($D575,Maestro_SKU!$A$2:$P$500,12,FALSE),1))</f>
        <v/>
      </c>
    </row>
    <row r="576" spans="1:15" x14ac:dyDescent="0.35">
      <c r="A576" s="25"/>
      <c r="B576" s="24"/>
      <c r="C576" s="24"/>
      <c r="D576" s="24"/>
      <c r="E576" s="28" t="str">
        <f>IFERROR(VLOOKUP(D576,Maestro_SKU!$A$2:$P$500,2,FALSE),"")</f>
        <v/>
      </c>
      <c r="F576" s="24"/>
      <c r="G576" s="30"/>
      <c r="H576" s="24"/>
      <c r="I576" s="24"/>
      <c r="J576" s="24"/>
      <c r="K576" s="37" t="str">
        <f t="shared" si="32"/>
        <v/>
      </c>
      <c r="L576" s="37" t="str">
        <f t="shared" si="33"/>
        <v/>
      </c>
      <c r="M576" s="37" t="str">
        <f t="shared" si="34"/>
        <v/>
      </c>
      <c r="N576" s="37" t="str">
        <f t="shared" si="35"/>
        <v/>
      </c>
      <c r="O576" s="37" t="str">
        <f>IF(OR($D576="",$F576=""),"",$F576*IFERROR(VLOOKUP($D576,Maestro_SKU!$A$2:$P$500,12,FALSE),1))</f>
        <v/>
      </c>
    </row>
    <row r="577" spans="1:15" x14ac:dyDescent="0.35">
      <c r="A577" s="25"/>
      <c r="B577" s="24"/>
      <c r="C577" s="24"/>
      <c r="D577" s="24"/>
      <c r="E577" s="28" t="str">
        <f>IFERROR(VLOOKUP(D577,Maestro_SKU!$A$2:$P$500,2,FALSE),"")</f>
        <v/>
      </c>
      <c r="F577" s="24"/>
      <c r="G577" s="30"/>
      <c r="H577" s="24"/>
      <c r="I577" s="24"/>
      <c r="J577" s="24"/>
      <c r="K577" s="37" t="str">
        <f t="shared" si="32"/>
        <v/>
      </c>
      <c r="L577" s="37" t="str">
        <f t="shared" si="33"/>
        <v/>
      </c>
      <c r="M577" s="37" t="str">
        <f t="shared" si="34"/>
        <v/>
      </c>
      <c r="N577" s="37" t="str">
        <f t="shared" si="35"/>
        <v/>
      </c>
      <c r="O577" s="37" t="str">
        <f>IF(OR($D577="",$F577=""),"",$F577*IFERROR(VLOOKUP($D577,Maestro_SKU!$A$2:$P$500,12,FALSE),1))</f>
        <v/>
      </c>
    </row>
    <row r="578" spans="1:15" x14ac:dyDescent="0.35">
      <c r="A578" s="25"/>
      <c r="B578" s="24"/>
      <c r="C578" s="24"/>
      <c r="D578" s="24"/>
      <c r="E578" s="28" t="str">
        <f>IFERROR(VLOOKUP(D578,Maestro_SKU!$A$2:$P$500,2,FALSE),"")</f>
        <v/>
      </c>
      <c r="F578" s="24"/>
      <c r="G578" s="30"/>
      <c r="H578" s="24"/>
      <c r="I578" s="24"/>
      <c r="J578" s="24"/>
      <c r="K578" s="37" t="str">
        <f t="shared" ref="K578:K641" si="36">IF($A578="","",YEAR($A578))</f>
        <v/>
      </c>
      <c r="L578" s="37" t="str">
        <f t="shared" ref="L578:L641" si="37">IF($A578="","",MONTH($A578))</f>
        <v/>
      </c>
      <c r="M578" s="37" t="str">
        <f t="shared" ref="M578:M641" si="38">IF($A578="","",DAY($A578))</f>
        <v/>
      </c>
      <c r="N578" s="37" t="str">
        <f t="shared" ref="N578:N641" si="39">IF($A578="","",YEAR($A578)&amp;"-"&amp;TEXT(MONTH($A578),"00"))</f>
        <v/>
      </c>
      <c r="O578" s="37" t="str">
        <f>IF(OR($D578="",$F578=""),"",$F578*IFERROR(VLOOKUP($D578,Maestro_SKU!$A$2:$P$500,12,FALSE),1))</f>
        <v/>
      </c>
    </row>
    <row r="579" spans="1:15" x14ac:dyDescent="0.35">
      <c r="A579" s="25"/>
      <c r="B579" s="24"/>
      <c r="C579" s="24"/>
      <c r="D579" s="24"/>
      <c r="E579" s="28" t="str">
        <f>IFERROR(VLOOKUP(D579,Maestro_SKU!$A$2:$P$500,2,FALSE),"")</f>
        <v/>
      </c>
      <c r="F579" s="24"/>
      <c r="G579" s="30"/>
      <c r="H579" s="24"/>
      <c r="I579" s="24"/>
      <c r="J579" s="24"/>
      <c r="K579" s="37" t="str">
        <f t="shared" si="36"/>
        <v/>
      </c>
      <c r="L579" s="37" t="str">
        <f t="shared" si="37"/>
        <v/>
      </c>
      <c r="M579" s="37" t="str">
        <f t="shared" si="38"/>
        <v/>
      </c>
      <c r="N579" s="37" t="str">
        <f t="shared" si="39"/>
        <v/>
      </c>
      <c r="O579" s="37" t="str">
        <f>IF(OR($D579="",$F579=""),"",$F579*IFERROR(VLOOKUP($D579,Maestro_SKU!$A$2:$P$500,12,FALSE),1))</f>
        <v/>
      </c>
    </row>
    <row r="580" spans="1:15" x14ac:dyDescent="0.35">
      <c r="A580" s="25"/>
      <c r="B580" s="24"/>
      <c r="C580" s="24"/>
      <c r="D580" s="24"/>
      <c r="E580" s="28" t="str">
        <f>IFERROR(VLOOKUP(D580,Maestro_SKU!$A$2:$P$500,2,FALSE),"")</f>
        <v/>
      </c>
      <c r="F580" s="24"/>
      <c r="G580" s="30"/>
      <c r="H580" s="24"/>
      <c r="I580" s="24"/>
      <c r="J580" s="24"/>
      <c r="K580" s="37" t="str">
        <f t="shared" si="36"/>
        <v/>
      </c>
      <c r="L580" s="37" t="str">
        <f t="shared" si="37"/>
        <v/>
      </c>
      <c r="M580" s="37" t="str">
        <f t="shared" si="38"/>
        <v/>
      </c>
      <c r="N580" s="37" t="str">
        <f t="shared" si="39"/>
        <v/>
      </c>
      <c r="O580" s="37" t="str">
        <f>IF(OR($D580="",$F580=""),"",$F580*IFERROR(VLOOKUP($D580,Maestro_SKU!$A$2:$P$500,12,FALSE),1))</f>
        <v/>
      </c>
    </row>
    <row r="581" spans="1:15" x14ac:dyDescent="0.35">
      <c r="A581" s="25"/>
      <c r="B581" s="24"/>
      <c r="C581" s="24"/>
      <c r="D581" s="24"/>
      <c r="E581" s="28" t="str">
        <f>IFERROR(VLOOKUP(D581,Maestro_SKU!$A$2:$P$500,2,FALSE),"")</f>
        <v/>
      </c>
      <c r="F581" s="24"/>
      <c r="G581" s="30"/>
      <c r="H581" s="24"/>
      <c r="I581" s="24"/>
      <c r="J581" s="24"/>
      <c r="K581" s="37" t="str">
        <f t="shared" si="36"/>
        <v/>
      </c>
      <c r="L581" s="37" t="str">
        <f t="shared" si="37"/>
        <v/>
      </c>
      <c r="M581" s="37" t="str">
        <f t="shared" si="38"/>
        <v/>
      </c>
      <c r="N581" s="37" t="str">
        <f t="shared" si="39"/>
        <v/>
      </c>
      <c r="O581" s="37" t="str">
        <f>IF(OR($D581="",$F581=""),"",$F581*IFERROR(VLOOKUP($D581,Maestro_SKU!$A$2:$P$500,12,FALSE),1))</f>
        <v/>
      </c>
    </row>
    <row r="582" spans="1:15" x14ac:dyDescent="0.35">
      <c r="A582" s="25"/>
      <c r="B582" s="24"/>
      <c r="C582" s="24"/>
      <c r="D582" s="24"/>
      <c r="E582" s="28" t="str">
        <f>IFERROR(VLOOKUP(D582,Maestro_SKU!$A$2:$P$500,2,FALSE),"")</f>
        <v/>
      </c>
      <c r="F582" s="24"/>
      <c r="G582" s="30"/>
      <c r="H582" s="24"/>
      <c r="I582" s="24"/>
      <c r="J582" s="24"/>
      <c r="K582" s="37" t="str">
        <f t="shared" si="36"/>
        <v/>
      </c>
      <c r="L582" s="37" t="str">
        <f t="shared" si="37"/>
        <v/>
      </c>
      <c r="M582" s="37" t="str">
        <f t="shared" si="38"/>
        <v/>
      </c>
      <c r="N582" s="37" t="str">
        <f t="shared" si="39"/>
        <v/>
      </c>
      <c r="O582" s="37" t="str">
        <f>IF(OR($D582="",$F582=""),"",$F582*IFERROR(VLOOKUP($D582,Maestro_SKU!$A$2:$P$500,12,FALSE),1))</f>
        <v/>
      </c>
    </row>
    <row r="583" spans="1:15" x14ac:dyDescent="0.35">
      <c r="A583" s="25"/>
      <c r="B583" s="24"/>
      <c r="C583" s="24"/>
      <c r="D583" s="24"/>
      <c r="E583" s="28" t="str">
        <f>IFERROR(VLOOKUP(D583,Maestro_SKU!$A$2:$P$500,2,FALSE),"")</f>
        <v/>
      </c>
      <c r="F583" s="24"/>
      <c r="G583" s="30"/>
      <c r="H583" s="24"/>
      <c r="I583" s="24"/>
      <c r="J583" s="24"/>
      <c r="K583" s="37" t="str">
        <f t="shared" si="36"/>
        <v/>
      </c>
      <c r="L583" s="37" t="str">
        <f t="shared" si="37"/>
        <v/>
      </c>
      <c r="M583" s="37" t="str">
        <f t="shared" si="38"/>
        <v/>
      </c>
      <c r="N583" s="37" t="str">
        <f t="shared" si="39"/>
        <v/>
      </c>
      <c r="O583" s="37" t="str">
        <f>IF(OR($D583="",$F583=""),"",$F583*IFERROR(VLOOKUP($D583,Maestro_SKU!$A$2:$P$500,12,FALSE),1))</f>
        <v/>
      </c>
    </row>
    <row r="584" spans="1:15" x14ac:dyDescent="0.35">
      <c r="A584" s="25"/>
      <c r="B584" s="24"/>
      <c r="C584" s="24"/>
      <c r="D584" s="24"/>
      <c r="E584" s="28" t="str">
        <f>IFERROR(VLOOKUP(D584,Maestro_SKU!$A$2:$P$500,2,FALSE),"")</f>
        <v/>
      </c>
      <c r="F584" s="24"/>
      <c r="G584" s="30"/>
      <c r="H584" s="24"/>
      <c r="I584" s="24"/>
      <c r="J584" s="24"/>
      <c r="K584" s="37" t="str">
        <f t="shared" si="36"/>
        <v/>
      </c>
      <c r="L584" s="37" t="str">
        <f t="shared" si="37"/>
        <v/>
      </c>
      <c r="M584" s="37" t="str">
        <f t="shared" si="38"/>
        <v/>
      </c>
      <c r="N584" s="37" t="str">
        <f t="shared" si="39"/>
        <v/>
      </c>
      <c r="O584" s="37" t="str">
        <f>IF(OR($D584="",$F584=""),"",$F584*IFERROR(VLOOKUP($D584,Maestro_SKU!$A$2:$P$500,12,FALSE),1))</f>
        <v/>
      </c>
    </row>
    <row r="585" spans="1:15" x14ac:dyDescent="0.35">
      <c r="A585" s="25"/>
      <c r="B585" s="24"/>
      <c r="C585" s="24"/>
      <c r="D585" s="24"/>
      <c r="E585" s="28" t="str">
        <f>IFERROR(VLOOKUP(D585,Maestro_SKU!$A$2:$P$500,2,FALSE),"")</f>
        <v/>
      </c>
      <c r="F585" s="24"/>
      <c r="G585" s="30"/>
      <c r="H585" s="24"/>
      <c r="I585" s="24"/>
      <c r="J585" s="24"/>
      <c r="K585" s="37" t="str">
        <f t="shared" si="36"/>
        <v/>
      </c>
      <c r="L585" s="37" t="str">
        <f t="shared" si="37"/>
        <v/>
      </c>
      <c r="M585" s="37" t="str">
        <f t="shared" si="38"/>
        <v/>
      </c>
      <c r="N585" s="37" t="str">
        <f t="shared" si="39"/>
        <v/>
      </c>
      <c r="O585" s="37" t="str">
        <f>IF(OR($D585="",$F585=""),"",$F585*IFERROR(VLOOKUP($D585,Maestro_SKU!$A$2:$P$500,12,FALSE),1))</f>
        <v/>
      </c>
    </row>
    <row r="586" spans="1:15" x14ac:dyDescent="0.35">
      <c r="A586" s="25"/>
      <c r="B586" s="24"/>
      <c r="C586" s="24"/>
      <c r="D586" s="24"/>
      <c r="E586" s="28" t="str">
        <f>IFERROR(VLOOKUP(D586,Maestro_SKU!$A$2:$P$500,2,FALSE),"")</f>
        <v/>
      </c>
      <c r="F586" s="24"/>
      <c r="G586" s="30"/>
      <c r="H586" s="24"/>
      <c r="I586" s="24"/>
      <c r="J586" s="24"/>
      <c r="K586" s="37" t="str">
        <f t="shared" si="36"/>
        <v/>
      </c>
      <c r="L586" s="37" t="str">
        <f t="shared" si="37"/>
        <v/>
      </c>
      <c r="M586" s="37" t="str">
        <f t="shared" si="38"/>
        <v/>
      </c>
      <c r="N586" s="37" t="str">
        <f t="shared" si="39"/>
        <v/>
      </c>
      <c r="O586" s="37" t="str">
        <f>IF(OR($D586="",$F586=""),"",$F586*IFERROR(VLOOKUP($D586,Maestro_SKU!$A$2:$P$500,12,FALSE),1))</f>
        <v/>
      </c>
    </row>
    <row r="587" spans="1:15" x14ac:dyDescent="0.35">
      <c r="A587" s="25"/>
      <c r="B587" s="24"/>
      <c r="C587" s="24"/>
      <c r="D587" s="24"/>
      <c r="E587" s="28" t="str">
        <f>IFERROR(VLOOKUP(D587,Maestro_SKU!$A$2:$P$500,2,FALSE),"")</f>
        <v/>
      </c>
      <c r="F587" s="24"/>
      <c r="G587" s="30"/>
      <c r="H587" s="24"/>
      <c r="I587" s="24"/>
      <c r="J587" s="24"/>
      <c r="K587" s="37" t="str">
        <f t="shared" si="36"/>
        <v/>
      </c>
      <c r="L587" s="37" t="str">
        <f t="shared" si="37"/>
        <v/>
      </c>
      <c r="M587" s="37" t="str">
        <f t="shared" si="38"/>
        <v/>
      </c>
      <c r="N587" s="37" t="str">
        <f t="shared" si="39"/>
        <v/>
      </c>
      <c r="O587" s="37" t="str">
        <f>IF(OR($D587="",$F587=""),"",$F587*IFERROR(VLOOKUP($D587,Maestro_SKU!$A$2:$P$500,12,FALSE),1))</f>
        <v/>
      </c>
    </row>
    <row r="588" spans="1:15" x14ac:dyDescent="0.35">
      <c r="A588" s="25"/>
      <c r="B588" s="24"/>
      <c r="C588" s="24"/>
      <c r="D588" s="24"/>
      <c r="E588" s="28" t="str">
        <f>IFERROR(VLOOKUP(D588,Maestro_SKU!$A$2:$P$500,2,FALSE),"")</f>
        <v/>
      </c>
      <c r="F588" s="24"/>
      <c r="G588" s="30"/>
      <c r="H588" s="24"/>
      <c r="I588" s="24"/>
      <c r="J588" s="24"/>
      <c r="K588" s="37" t="str">
        <f t="shared" si="36"/>
        <v/>
      </c>
      <c r="L588" s="37" t="str">
        <f t="shared" si="37"/>
        <v/>
      </c>
      <c r="M588" s="37" t="str">
        <f t="shared" si="38"/>
        <v/>
      </c>
      <c r="N588" s="37" t="str">
        <f t="shared" si="39"/>
        <v/>
      </c>
      <c r="O588" s="37" t="str">
        <f>IF(OR($D588="",$F588=""),"",$F588*IFERROR(VLOOKUP($D588,Maestro_SKU!$A$2:$P$500,12,FALSE),1))</f>
        <v/>
      </c>
    </row>
    <row r="589" spans="1:15" x14ac:dyDescent="0.35">
      <c r="A589" s="25"/>
      <c r="B589" s="24"/>
      <c r="C589" s="24"/>
      <c r="D589" s="24"/>
      <c r="E589" s="28" t="str">
        <f>IFERROR(VLOOKUP(D589,Maestro_SKU!$A$2:$P$500,2,FALSE),"")</f>
        <v/>
      </c>
      <c r="F589" s="24"/>
      <c r="G589" s="30"/>
      <c r="H589" s="24"/>
      <c r="I589" s="24"/>
      <c r="J589" s="24"/>
      <c r="K589" s="37" t="str">
        <f t="shared" si="36"/>
        <v/>
      </c>
      <c r="L589" s="37" t="str">
        <f t="shared" si="37"/>
        <v/>
      </c>
      <c r="M589" s="37" t="str">
        <f t="shared" si="38"/>
        <v/>
      </c>
      <c r="N589" s="37" t="str">
        <f t="shared" si="39"/>
        <v/>
      </c>
      <c r="O589" s="37" t="str">
        <f>IF(OR($D589="",$F589=""),"",$F589*IFERROR(VLOOKUP($D589,Maestro_SKU!$A$2:$P$500,12,FALSE),1))</f>
        <v/>
      </c>
    </row>
    <row r="590" spans="1:15" x14ac:dyDescent="0.35">
      <c r="A590" s="25"/>
      <c r="B590" s="24"/>
      <c r="C590" s="24"/>
      <c r="D590" s="24"/>
      <c r="E590" s="28" t="str">
        <f>IFERROR(VLOOKUP(D590,Maestro_SKU!$A$2:$P$500,2,FALSE),"")</f>
        <v/>
      </c>
      <c r="F590" s="24"/>
      <c r="G590" s="30"/>
      <c r="H590" s="24"/>
      <c r="I590" s="24"/>
      <c r="J590" s="24"/>
      <c r="K590" s="37" t="str">
        <f t="shared" si="36"/>
        <v/>
      </c>
      <c r="L590" s="37" t="str">
        <f t="shared" si="37"/>
        <v/>
      </c>
      <c r="M590" s="37" t="str">
        <f t="shared" si="38"/>
        <v/>
      </c>
      <c r="N590" s="37" t="str">
        <f t="shared" si="39"/>
        <v/>
      </c>
      <c r="O590" s="37" t="str">
        <f>IF(OR($D590="",$F590=""),"",$F590*IFERROR(VLOOKUP($D590,Maestro_SKU!$A$2:$P$500,12,FALSE),1))</f>
        <v/>
      </c>
    </row>
    <row r="591" spans="1:15" x14ac:dyDescent="0.35">
      <c r="A591" s="25"/>
      <c r="B591" s="24"/>
      <c r="C591" s="24"/>
      <c r="D591" s="24"/>
      <c r="E591" s="28" t="str">
        <f>IFERROR(VLOOKUP(D591,Maestro_SKU!$A$2:$P$500,2,FALSE),"")</f>
        <v/>
      </c>
      <c r="F591" s="24"/>
      <c r="G591" s="30"/>
      <c r="H591" s="24"/>
      <c r="I591" s="24"/>
      <c r="J591" s="24"/>
      <c r="K591" s="37" t="str">
        <f t="shared" si="36"/>
        <v/>
      </c>
      <c r="L591" s="37" t="str">
        <f t="shared" si="37"/>
        <v/>
      </c>
      <c r="M591" s="37" t="str">
        <f t="shared" si="38"/>
        <v/>
      </c>
      <c r="N591" s="37" t="str">
        <f t="shared" si="39"/>
        <v/>
      </c>
      <c r="O591" s="37" t="str">
        <f>IF(OR($D591="",$F591=""),"",$F591*IFERROR(VLOOKUP($D591,Maestro_SKU!$A$2:$P$500,12,FALSE),1))</f>
        <v/>
      </c>
    </row>
    <row r="592" spans="1:15" x14ac:dyDescent="0.35">
      <c r="A592" s="25"/>
      <c r="B592" s="24"/>
      <c r="C592" s="24"/>
      <c r="D592" s="24"/>
      <c r="E592" s="28" t="str">
        <f>IFERROR(VLOOKUP(D592,Maestro_SKU!$A$2:$P$500,2,FALSE),"")</f>
        <v/>
      </c>
      <c r="F592" s="24"/>
      <c r="G592" s="30"/>
      <c r="H592" s="24"/>
      <c r="I592" s="24"/>
      <c r="J592" s="24"/>
      <c r="K592" s="37" t="str">
        <f t="shared" si="36"/>
        <v/>
      </c>
      <c r="L592" s="37" t="str">
        <f t="shared" si="37"/>
        <v/>
      </c>
      <c r="M592" s="37" t="str">
        <f t="shared" si="38"/>
        <v/>
      </c>
      <c r="N592" s="37" t="str">
        <f t="shared" si="39"/>
        <v/>
      </c>
      <c r="O592" s="37" t="str">
        <f>IF(OR($D592="",$F592=""),"",$F592*IFERROR(VLOOKUP($D592,Maestro_SKU!$A$2:$P$500,12,FALSE),1))</f>
        <v/>
      </c>
    </row>
    <row r="593" spans="1:15" x14ac:dyDescent="0.35">
      <c r="A593" s="25"/>
      <c r="B593" s="24"/>
      <c r="C593" s="24"/>
      <c r="D593" s="24"/>
      <c r="E593" s="28" t="str">
        <f>IFERROR(VLOOKUP(D593,Maestro_SKU!$A$2:$P$500,2,FALSE),"")</f>
        <v/>
      </c>
      <c r="F593" s="24"/>
      <c r="G593" s="30"/>
      <c r="H593" s="24"/>
      <c r="I593" s="24"/>
      <c r="J593" s="24"/>
      <c r="K593" s="37" t="str">
        <f t="shared" si="36"/>
        <v/>
      </c>
      <c r="L593" s="37" t="str">
        <f t="shared" si="37"/>
        <v/>
      </c>
      <c r="M593" s="37" t="str">
        <f t="shared" si="38"/>
        <v/>
      </c>
      <c r="N593" s="37" t="str">
        <f t="shared" si="39"/>
        <v/>
      </c>
      <c r="O593" s="37" t="str">
        <f>IF(OR($D593="",$F593=""),"",$F593*IFERROR(VLOOKUP($D593,Maestro_SKU!$A$2:$P$500,12,FALSE),1))</f>
        <v/>
      </c>
    </row>
    <row r="594" spans="1:15" x14ac:dyDescent="0.35">
      <c r="A594" s="25"/>
      <c r="B594" s="24"/>
      <c r="C594" s="24"/>
      <c r="D594" s="24"/>
      <c r="E594" s="28" t="str">
        <f>IFERROR(VLOOKUP(D594,Maestro_SKU!$A$2:$P$500,2,FALSE),"")</f>
        <v/>
      </c>
      <c r="F594" s="24"/>
      <c r="G594" s="30"/>
      <c r="H594" s="24"/>
      <c r="I594" s="24"/>
      <c r="J594" s="24"/>
      <c r="K594" s="37" t="str">
        <f t="shared" si="36"/>
        <v/>
      </c>
      <c r="L594" s="37" t="str">
        <f t="shared" si="37"/>
        <v/>
      </c>
      <c r="M594" s="37" t="str">
        <f t="shared" si="38"/>
        <v/>
      </c>
      <c r="N594" s="37" t="str">
        <f t="shared" si="39"/>
        <v/>
      </c>
      <c r="O594" s="37" t="str">
        <f>IF(OR($D594="",$F594=""),"",$F594*IFERROR(VLOOKUP($D594,Maestro_SKU!$A$2:$P$500,12,FALSE),1))</f>
        <v/>
      </c>
    </row>
    <row r="595" spans="1:15" x14ac:dyDescent="0.35">
      <c r="A595" s="25"/>
      <c r="B595" s="24"/>
      <c r="C595" s="24"/>
      <c r="D595" s="24"/>
      <c r="E595" s="28" t="str">
        <f>IFERROR(VLOOKUP(D595,Maestro_SKU!$A$2:$P$500,2,FALSE),"")</f>
        <v/>
      </c>
      <c r="F595" s="24"/>
      <c r="G595" s="30"/>
      <c r="H595" s="24"/>
      <c r="I595" s="24"/>
      <c r="J595" s="24"/>
      <c r="K595" s="37" t="str">
        <f t="shared" si="36"/>
        <v/>
      </c>
      <c r="L595" s="37" t="str">
        <f t="shared" si="37"/>
        <v/>
      </c>
      <c r="M595" s="37" t="str">
        <f t="shared" si="38"/>
        <v/>
      </c>
      <c r="N595" s="37" t="str">
        <f t="shared" si="39"/>
        <v/>
      </c>
      <c r="O595" s="37" t="str">
        <f>IF(OR($D595="",$F595=""),"",$F595*IFERROR(VLOOKUP($D595,Maestro_SKU!$A$2:$P$500,12,FALSE),1))</f>
        <v/>
      </c>
    </row>
    <row r="596" spans="1:15" x14ac:dyDescent="0.35">
      <c r="A596" s="25"/>
      <c r="B596" s="24"/>
      <c r="C596" s="24"/>
      <c r="D596" s="24"/>
      <c r="E596" s="28" t="str">
        <f>IFERROR(VLOOKUP(D596,Maestro_SKU!$A$2:$P$500,2,FALSE),"")</f>
        <v/>
      </c>
      <c r="F596" s="24"/>
      <c r="G596" s="30"/>
      <c r="H596" s="24"/>
      <c r="I596" s="24"/>
      <c r="J596" s="24"/>
      <c r="K596" s="37" t="str">
        <f t="shared" si="36"/>
        <v/>
      </c>
      <c r="L596" s="37" t="str">
        <f t="shared" si="37"/>
        <v/>
      </c>
      <c r="M596" s="37" t="str">
        <f t="shared" si="38"/>
        <v/>
      </c>
      <c r="N596" s="37" t="str">
        <f t="shared" si="39"/>
        <v/>
      </c>
      <c r="O596" s="37" t="str">
        <f>IF(OR($D596="",$F596=""),"",$F596*IFERROR(VLOOKUP($D596,Maestro_SKU!$A$2:$P$500,12,FALSE),1))</f>
        <v/>
      </c>
    </row>
    <row r="597" spans="1:15" x14ac:dyDescent="0.35">
      <c r="A597" s="25"/>
      <c r="B597" s="24"/>
      <c r="C597" s="24"/>
      <c r="D597" s="24"/>
      <c r="E597" s="28" t="str">
        <f>IFERROR(VLOOKUP(D597,Maestro_SKU!$A$2:$P$500,2,FALSE),"")</f>
        <v/>
      </c>
      <c r="F597" s="24"/>
      <c r="G597" s="30"/>
      <c r="H597" s="24"/>
      <c r="I597" s="24"/>
      <c r="J597" s="24"/>
      <c r="K597" s="37" t="str">
        <f t="shared" si="36"/>
        <v/>
      </c>
      <c r="L597" s="37" t="str">
        <f t="shared" si="37"/>
        <v/>
      </c>
      <c r="M597" s="37" t="str">
        <f t="shared" si="38"/>
        <v/>
      </c>
      <c r="N597" s="37" t="str">
        <f t="shared" si="39"/>
        <v/>
      </c>
      <c r="O597" s="37" t="str">
        <f>IF(OR($D597="",$F597=""),"",$F597*IFERROR(VLOOKUP($D597,Maestro_SKU!$A$2:$P$500,12,FALSE),1))</f>
        <v/>
      </c>
    </row>
    <row r="598" spans="1:15" x14ac:dyDescent="0.35">
      <c r="A598" s="25"/>
      <c r="B598" s="24"/>
      <c r="C598" s="24"/>
      <c r="D598" s="24"/>
      <c r="E598" s="28" t="str">
        <f>IFERROR(VLOOKUP(D598,Maestro_SKU!$A$2:$P$500,2,FALSE),"")</f>
        <v/>
      </c>
      <c r="F598" s="24"/>
      <c r="G598" s="30"/>
      <c r="H598" s="24"/>
      <c r="I598" s="24"/>
      <c r="J598" s="24"/>
      <c r="K598" s="37" t="str">
        <f t="shared" si="36"/>
        <v/>
      </c>
      <c r="L598" s="37" t="str">
        <f t="shared" si="37"/>
        <v/>
      </c>
      <c r="M598" s="37" t="str">
        <f t="shared" si="38"/>
        <v/>
      </c>
      <c r="N598" s="37" t="str">
        <f t="shared" si="39"/>
        <v/>
      </c>
      <c r="O598" s="37" t="str">
        <f>IF(OR($D598="",$F598=""),"",$F598*IFERROR(VLOOKUP($D598,Maestro_SKU!$A$2:$P$500,12,FALSE),1))</f>
        <v/>
      </c>
    </row>
    <row r="599" spans="1:15" x14ac:dyDescent="0.35">
      <c r="A599" s="25"/>
      <c r="B599" s="24"/>
      <c r="C599" s="24"/>
      <c r="D599" s="24"/>
      <c r="E599" s="28" t="str">
        <f>IFERROR(VLOOKUP(D599,Maestro_SKU!$A$2:$P$500,2,FALSE),"")</f>
        <v/>
      </c>
      <c r="F599" s="24"/>
      <c r="G599" s="30"/>
      <c r="H599" s="24"/>
      <c r="I599" s="24"/>
      <c r="J599" s="24"/>
      <c r="K599" s="37" t="str">
        <f t="shared" si="36"/>
        <v/>
      </c>
      <c r="L599" s="37" t="str">
        <f t="shared" si="37"/>
        <v/>
      </c>
      <c r="M599" s="37" t="str">
        <f t="shared" si="38"/>
        <v/>
      </c>
      <c r="N599" s="37" t="str">
        <f t="shared" si="39"/>
        <v/>
      </c>
      <c r="O599" s="37" t="str">
        <f>IF(OR($D599="",$F599=""),"",$F599*IFERROR(VLOOKUP($D599,Maestro_SKU!$A$2:$P$500,12,FALSE),1))</f>
        <v/>
      </c>
    </row>
    <row r="600" spans="1:15" x14ac:dyDescent="0.35">
      <c r="A600" s="25"/>
      <c r="B600" s="24"/>
      <c r="C600" s="24"/>
      <c r="D600" s="24"/>
      <c r="E600" s="28" t="str">
        <f>IFERROR(VLOOKUP(D600,Maestro_SKU!$A$2:$P$500,2,FALSE),"")</f>
        <v/>
      </c>
      <c r="F600" s="24"/>
      <c r="G600" s="30"/>
      <c r="H600" s="24"/>
      <c r="I600" s="24"/>
      <c r="J600" s="24"/>
      <c r="K600" s="37" t="str">
        <f t="shared" si="36"/>
        <v/>
      </c>
      <c r="L600" s="37" t="str">
        <f t="shared" si="37"/>
        <v/>
      </c>
      <c r="M600" s="37" t="str">
        <f t="shared" si="38"/>
        <v/>
      </c>
      <c r="N600" s="37" t="str">
        <f t="shared" si="39"/>
        <v/>
      </c>
      <c r="O600" s="37" t="str">
        <f>IF(OR($D600="",$F600=""),"",$F600*IFERROR(VLOOKUP($D600,Maestro_SKU!$A$2:$P$500,12,FALSE),1))</f>
        <v/>
      </c>
    </row>
    <row r="601" spans="1:15" x14ac:dyDescent="0.35">
      <c r="A601" s="25"/>
      <c r="B601" s="24"/>
      <c r="C601" s="24"/>
      <c r="D601" s="24"/>
      <c r="E601" s="28" t="str">
        <f>IFERROR(VLOOKUP(D601,Maestro_SKU!$A$2:$P$500,2,FALSE),"")</f>
        <v/>
      </c>
      <c r="F601" s="24"/>
      <c r="G601" s="30"/>
      <c r="H601" s="24"/>
      <c r="I601" s="24"/>
      <c r="J601" s="24"/>
      <c r="K601" s="37" t="str">
        <f t="shared" si="36"/>
        <v/>
      </c>
      <c r="L601" s="37" t="str">
        <f t="shared" si="37"/>
        <v/>
      </c>
      <c r="M601" s="37" t="str">
        <f t="shared" si="38"/>
        <v/>
      </c>
      <c r="N601" s="37" t="str">
        <f t="shared" si="39"/>
        <v/>
      </c>
      <c r="O601" s="37" t="str">
        <f>IF(OR($D601="",$F601=""),"",$F601*IFERROR(VLOOKUP($D601,Maestro_SKU!$A$2:$P$500,12,FALSE),1))</f>
        <v/>
      </c>
    </row>
    <row r="602" spans="1:15" x14ac:dyDescent="0.35">
      <c r="A602" s="25"/>
      <c r="B602" s="24"/>
      <c r="C602" s="24"/>
      <c r="D602" s="24"/>
      <c r="E602" s="28" t="str">
        <f>IFERROR(VLOOKUP(D602,Maestro_SKU!$A$2:$P$500,2,FALSE),"")</f>
        <v/>
      </c>
      <c r="F602" s="24"/>
      <c r="G602" s="30"/>
      <c r="H602" s="24"/>
      <c r="I602" s="24"/>
      <c r="J602" s="24"/>
      <c r="K602" s="37" t="str">
        <f t="shared" si="36"/>
        <v/>
      </c>
      <c r="L602" s="37" t="str">
        <f t="shared" si="37"/>
        <v/>
      </c>
      <c r="M602" s="37" t="str">
        <f t="shared" si="38"/>
        <v/>
      </c>
      <c r="N602" s="37" t="str">
        <f t="shared" si="39"/>
        <v/>
      </c>
      <c r="O602" s="37" t="str">
        <f>IF(OR($D602="",$F602=""),"",$F602*IFERROR(VLOOKUP($D602,Maestro_SKU!$A$2:$P$500,12,FALSE),1))</f>
        <v/>
      </c>
    </row>
    <row r="603" spans="1:15" x14ac:dyDescent="0.35">
      <c r="A603" s="25"/>
      <c r="B603" s="24"/>
      <c r="C603" s="24"/>
      <c r="D603" s="24"/>
      <c r="E603" s="28" t="str">
        <f>IFERROR(VLOOKUP(D603,Maestro_SKU!$A$2:$P$500,2,FALSE),"")</f>
        <v/>
      </c>
      <c r="F603" s="24"/>
      <c r="G603" s="30"/>
      <c r="H603" s="24"/>
      <c r="I603" s="24"/>
      <c r="J603" s="24"/>
      <c r="K603" s="37" t="str">
        <f t="shared" si="36"/>
        <v/>
      </c>
      <c r="L603" s="37" t="str">
        <f t="shared" si="37"/>
        <v/>
      </c>
      <c r="M603" s="37" t="str">
        <f t="shared" si="38"/>
        <v/>
      </c>
      <c r="N603" s="37" t="str">
        <f t="shared" si="39"/>
        <v/>
      </c>
      <c r="O603" s="37" t="str">
        <f>IF(OR($D603="",$F603=""),"",$F603*IFERROR(VLOOKUP($D603,Maestro_SKU!$A$2:$P$500,12,FALSE),1))</f>
        <v/>
      </c>
    </row>
    <row r="604" spans="1:15" x14ac:dyDescent="0.35">
      <c r="A604" s="25"/>
      <c r="B604" s="24"/>
      <c r="C604" s="24"/>
      <c r="D604" s="24"/>
      <c r="E604" s="28" t="str">
        <f>IFERROR(VLOOKUP(D604,Maestro_SKU!$A$2:$P$500,2,FALSE),"")</f>
        <v/>
      </c>
      <c r="F604" s="24"/>
      <c r="G604" s="30"/>
      <c r="H604" s="24"/>
      <c r="I604" s="24"/>
      <c r="J604" s="24"/>
      <c r="K604" s="37" t="str">
        <f t="shared" si="36"/>
        <v/>
      </c>
      <c r="L604" s="37" t="str">
        <f t="shared" si="37"/>
        <v/>
      </c>
      <c r="M604" s="37" t="str">
        <f t="shared" si="38"/>
        <v/>
      </c>
      <c r="N604" s="37" t="str">
        <f t="shared" si="39"/>
        <v/>
      </c>
      <c r="O604" s="37" t="str">
        <f>IF(OR($D604="",$F604=""),"",$F604*IFERROR(VLOOKUP($D604,Maestro_SKU!$A$2:$P$500,12,FALSE),1))</f>
        <v/>
      </c>
    </row>
    <row r="605" spans="1:15" x14ac:dyDescent="0.35">
      <c r="A605" s="25"/>
      <c r="B605" s="24"/>
      <c r="C605" s="24"/>
      <c r="D605" s="24"/>
      <c r="E605" s="28" t="str">
        <f>IFERROR(VLOOKUP(D605,Maestro_SKU!$A$2:$P$500,2,FALSE),"")</f>
        <v/>
      </c>
      <c r="F605" s="24"/>
      <c r="G605" s="30"/>
      <c r="H605" s="24"/>
      <c r="I605" s="24"/>
      <c r="J605" s="24"/>
      <c r="K605" s="37" t="str">
        <f t="shared" si="36"/>
        <v/>
      </c>
      <c r="L605" s="37" t="str">
        <f t="shared" si="37"/>
        <v/>
      </c>
      <c r="M605" s="37" t="str">
        <f t="shared" si="38"/>
        <v/>
      </c>
      <c r="N605" s="37" t="str">
        <f t="shared" si="39"/>
        <v/>
      </c>
      <c r="O605" s="37" t="str">
        <f>IF(OR($D605="",$F605=""),"",$F605*IFERROR(VLOOKUP($D605,Maestro_SKU!$A$2:$P$500,12,FALSE),1))</f>
        <v/>
      </c>
    </row>
    <row r="606" spans="1:15" x14ac:dyDescent="0.35">
      <c r="A606" s="25"/>
      <c r="B606" s="24"/>
      <c r="C606" s="24"/>
      <c r="D606" s="24"/>
      <c r="E606" s="28" t="str">
        <f>IFERROR(VLOOKUP(D606,Maestro_SKU!$A$2:$P$500,2,FALSE),"")</f>
        <v/>
      </c>
      <c r="F606" s="24"/>
      <c r="G606" s="30"/>
      <c r="H606" s="24"/>
      <c r="I606" s="24"/>
      <c r="J606" s="24"/>
      <c r="K606" s="37" t="str">
        <f t="shared" si="36"/>
        <v/>
      </c>
      <c r="L606" s="37" t="str">
        <f t="shared" si="37"/>
        <v/>
      </c>
      <c r="M606" s="37" t="str">
        <f t="shared" si="38"/>
        <v/>
      </c>
      <c r="N606" s="37" t="str">
        <f t="shared" si="39"/>
        <v/>
      </c>
      <c r="O606" s="37" t="str">
        <f>IF(OR($D606="",$F606=""),"",$F606*IFERROR(VLOOKUP($D606,Maestro_SKU!$A$2:$P$500,12,FALSE),1))</f>
        <v/>
      </c>
    </row>
    <row r="607" spans="1:15" x14ac:dyDescent="0.35">
      <c r="A607" s="25"/>
      <c r="B607" s="24"/>
      <c r="C607" s="24"/>
      <c r="D607" s="24"/>
      <c r="E607" s="28" t="str">
        <f>IFERROR(VLOOKUP(D607,Maestro_SKU!$A$2:$P$500,2,FALSE),"")</f>
        <v/>
      </c>
      <c r="F607" s="24"/>
      <c r="G607" s="30"/>
      <c r="H607" s="24"/>
      <c r="I607" s="24"/>
      <c r="J607" s="24"/>
      <c r="K607" s="37" t="str">
        <f t="shared" si="36"/>
        <v/>
      </c>
      <c r="L607" s="37" t="str">
        <f t="shared" si="37"/>
        <v/>
      </c>
      <c r="M607" s="37" t="str">
        <f t="shared" si="38"/>
        <v/>
      </c>
      <c r="N607" s="37" t="str">
        <f t="shared" si="39"/>
        <v/>
      </c>
      <c r="O607" s="37" t="str">
        <f>IF(OR($D607="",$F607=""),"",$F607*IFERROR(VLOOKUP($D607,Maestro_SKU!$A$2:$P$500,12,FALSE),1))</f>
        <v/>
      </c>
    </row>
    <row r="608" spans="1:15" x14ac:dyDescent="0.35">
      <c r="A608" s="25"/>
      <c r="B608" s="24"/>
      <c r="C608" s="24"/>
      <c r="D608" s="24"/>
      <c r="E608" s="28" t="str">
        <f>IFERROR(VLOOKUP(D608,Maestro_SKU!$A$2:$P$500,2,FALSE),"")</f>
        <v/>
      </c>
      <c r="F608" s="24"/>
      <c r="G608" s="30"/>
      <c r="H608" s="24"/>
      <c r="I608" s="24"/>
      <c r="J608" s="24"/>
      <c r="K608" s="37" t="str">
        <f t="shared" si="36"/>
        <v/>
      </c>
      <c r="L608" s="37" t="str">
        <f t="shared" si="37"/>
        <v/>
      </c>
      <c r="M608" s="37" t="str">
        <f t="shared" si="38"/>
        <v/>
      </c>
      <c r="N608" s="37" t="str">
        <f t="shared" si="39"/>
        <v/>
      </c>
      <c r="O608" s="37" t="str">
        <f>IF(OR($D608="",$F608=""),"",$F608*IFERROR(VLOOKUP($D608,Maestro_SKU!$A$2:$P$500,12,FALSE),1))</f>
        <v/>
      </c>
    </row>
    <row r="609" spans="1:15" x14ac:dyDescent="0.35">
      <c r="A609" s="25"/>
      <c r="B609" s="24"/>
      <c r="C609" s="24"/>
      <c r="D609" s="24"/>
      <c r="E609" s="28" t="str">
        <f>IFERROR(VLOOKUP(D609,Maestro_SKU!$A$2:$P$500,2,FALSE),"")</f>
        <v/>
      </c>
      <c r="F609" s="24"/>
      <c r="G609" s="30"/>
      <c r="H609" s="24"/>
      <c r="I609" s="24"/>
      <c r="J609" s="24"/>
      <c r="K609" s="37" t="str">
        <f t="shared" si="36"/>
        <v/>
      </c>
      <c r="L609" s="37" t="str">
        <f t="shared" si="37"/>
        <v/>
      </c>
      <c r="M609" s="37" t="str">
        <f t="shared" si="38"/>
        <v/>
      </c>
      <c r="N609" s="37" t="str">
        <f t="shared" si="39"/>
        <v/>
      </c>
      <c r="O609" s="37" t="str">
        <f>IF(OR($D609="",$F609=""),"",$F609*IFERROR(VLOOKUP($D609,Maestro_SKU!$A$2:$P$500,12,FALSE),1))</f>
        <v/>
      </c>
    </row>
    <row r="610" spans="1:15" x14ac:dyDescent="0.35">
      <c r="A610" s="25"/>
      <c r="B610" s="24"/>
      <c r="C610" s="24"/>
      <c r="D610" s="24"/>
      <c r="E610" s="28" t="str">
        <f>IFERROR(VLOOKUP(D610,Maestro_SKU!$A$2:$P$500,2,FALSE),"")</f>
        <v/>
      </c>
      <c r="F610" s="24"/>
      <c r="G610" s="30"/>
      <c r="H610" s="24"/>
      <c r="I610" s="24"/>
      <c r="J610" s="24"/>
      <c r="K610" s="37" t="str">
        <f t="shared" si="36"/>
        <v/>
      </c>
      <c r="L610" s="37" t="str">
        <f t="shared" si="37"/>
        <v/>
      </c>
      <c r="M610" s="37" t="str">
        <f t="shared" si="38"/>
        <v/>
      </c>
      <c r="N610" s="37" t="str">
        <f t="shared" si="39"/>
        <v/>
      </c>
      <c r="O610" s="37" t="str">
        <f>IF(OR($D610="",$F610=""),"",$F610*IFERROR(VLOOKUP($D610,Maestro_SKU!$A$2:$P$500,12,FALSE),1))</f>
        <v/>
      </c>
    </row>
    <row r="611" spans="1:15" x14ac:dyDescent="0.35">
      <c r="A611" s="25"/>
      <c r="B611" s="24"/>
      <c r="C611" s="24"/>
      <c r="D611" s="24"/>
      <c r="E611" s="28" t="str">
        <f>IFERROR(VLOOKUP(D611,Maestro_SKU!$A$2:$P$500,2,FALSE),"")</f>
        <v/>
      </c>
      <c r="F611" s="24"/>
      <c r="G611" s="30"/>
      <c r="H611" s="24"/>
      <c r="I611" s="24"/>
      <c r="J611" s="24"/>
      <c r="K611" s="37" t="str">
        <f t="shared" si="36"/>
        <v/>
      </c>
      <c r="L611" s="37" t="str">
        <f t="shared" si="37"/>
        <v/>
      </c>
      <c r="M611" s="37" t="str">
        <f t="shared" si="38"/>
        <v/>
      </c>
      <c r="N611" s="37" t="str">
        <f t="shared" si="39"/>
        <v/>
      </c>
      <c r="O611" s="37" t="str">
        <f>IF(OR($D611="",$F611=""),"",$F611*IFERROR(VLOOKUP($D611,Maestro_SKU!$A$2:$P$500,12,FALSE),1))</f>
        <v/>
      </c>
    </row>
    <row r="612" spans="1:15" x14ac:dyDescent="0.35">
      <c r="A612" s="25"/>
      <c r="B612" s="24"/>
      <c r="C612" s="24"/>
      <c r="D612" s="24"/>
      <c r="E612" s="28" t="str">
        <f>IFERROR(VLOOKUP(D612,Maestro_SKU!$A$2:$P$500,2,FALSE),"")</f>
        <v/>
      </c>
      <c r="F612" s="24"/>
      <c r="G612" s="30"/>
      <c r="H612" s="24"/>
      <c r="I612" s="24"/>
      <c r="J612" s="24"/>
      <c r="K612" s="37" t="str">
        <f t="shared" si="36"/>
        <v/>
      </c>
      <c r="L612" s="37" t="str">
        <f t="shared" si="37"/>
        <v/>
      </c>
      <c r="M612" s="37" t="str">
        <f t="shared" si="38"/>
        <v/>
      </c>
      <c r="N612" s="37" t="str">
        <f t="shared" si="39"/>
        <v/>
      </c>
      <c r="O612" s="37" t="str">
        <f>IF(OR($D612="",$F612=""),"",$F612*IFERROR(VLOOKUP($D612,Maestro_SKU!$A$2:$P$500,12,FALSE),1))</f>
        <v/>
      </c>
    </row>
    <row r="613" spans="1:15" x14ac:dyDescent="0.35">
      <c r="A613" s="25"/>
      <c r="B613" s="24"/>
      <c r="C613" s="24"/>
      <c r="D613" s="24"/>
      <c r="E613" s="28" t="str">
        <f>IFERROR(VLOOKUP(D613,Maestro_SKU!$A$2:$P$500,2,FALSE),"")</f>
        <v/>
      </c>
      <c r="F613" s="24"/>
      <c r="G613" s="30"/>
      <c r="H613" s="24"/>
      <c r="I613" s="24"/>
      <c r="J613" s="24"/>
      <c r="K613" s="37" t="str">
        <f t="shared" si="36"/>
        <v/>
      </c>
      <c r="L613" s="37" t="str">
        <f t="shared" si="37"/>
        <v/>
      </c>
      <c r="M613" s="37" t="str">
        <f t="shared" si="38"/>
        <v/>
      </c>
      <c r="N613" s="37" t="str">
        <f t="shared" si="39"/>
        <v/>
      </c>
      <c r="O613" s="37" t="str">
        <f>IF(OR($D613="",$F613=""),"",$F613*IFERROR(VLOOKUP($D613,Maestro_SKU!$A$2:$P$500,12,FALSE),1))</f>
        <v/>
      </c>
    </row>
    <row r="614" spans="1:15" x14ac:dyDescent="0.35">
      <c r="A614" s="25"/>
      <c r="B614" s="24"/>
      <c r="C614" s="24"/>
      <c r="D614" s="24"/>
      <c r="E614" s="28" t="str">
        <f>IFERROR(VLOOKUP(D614,Maestro_SKU!$A$2:$P$500,2,FALSE),"")</f>
        <v/>
      </c>
      <c r="F614" s="24"/>
      <c r="G614" s="30"/>
      <c r="H614" s="24"/>
      <c r="I614" s="24"/>
      <c r="J614" s="24"/>
      <c r="K614" s="37" t="str">
        <f t="shared" si="36"/>
        <v/>
      </c>
      <c r="L614" s="37" t="str">
        <f t="shared" si="37"/>
        <v/>
      </c>
      <c r="M614" s="37" t="str">
        <f t="shared" si="38"/>
        <v/>
      </c>
      <c r="N614" s="37" t="str">
        <f t="shared" si="39"/>
        <v/>
      </c>
      <c r="O614" s="37" t="str">
        <f>IF(OR($D614="",$F614=""),"",$F614*IFERROR(VLOOKUP($D614,Maestro_SKU!$A$2:$P$500,12,FALSE),1))</f>
        <v/>
      </c>
    </row>
    <row r="615" spans="1:15" x14ac:dyDescent="0.35">
      <c r="A615" s="25"/>
      <c r="B615" s="24"/>
      <c r="C615" s="24"/>
      <c r="D615" s="24"/>
      <c r="E615" s="28" t="str">
        <f>IFERROR(VLOOKUP(D615,Maestro_SKU!$A$2:$P$500,2,FALSE),"")</f>
        <v/>
      </c>
      <c r="F615" s="24"/>
      <c r="G615" s="30"/>
      <c r="H615" s="24"/>
      <c r="I615" s="24"/>
      <c r="J615" s="24"/>
      <c r="K615" s="37" t="str">
        <f t="shared" si="36"/>
        <v/>
      </c>
      <c r="L615" s="37" t="str">
        <f t="shared" si="37"/>
        <v/>
      </c>
      <c r="M615" s="37" t="str">
        <f t="shared" si="38"/>
        <v/>
      </c>
      <c r="N615" s="37" t="str">
        <f t="shared" si="39"/>
        <v/>
      </c>
      <c r="O615" s="37" t="str">
        <f>IF(OR($D615="",$F615=""),"",$F615*IFERROR(VLOOKUP($D615,Maestro_SKU!$A$2:$P$500,12,FALSE),1))</f>
        <v/>
      </c>
    </row>
    <row r="616" spans="1:15" x14ac:dyDescent="0.35">
      <c r="A616" s="25"/>
      <c r="B616" s="24"/>
      <c r="C616" s="24"/>
      <c r="D616" s="24"/>
      <c r="E616" s="28" t="str">
        <f>IFERROR(VLOOKUP(D616,Maestro_SKU!$A$2:$P$500,2,FALSE),"")</f>
        <v/>
      </c>
      <c r="F616" s="24"/>
      <c r="G616" s="30"/>
      <c r="H616" s="24"/>
      <c r="I616" s="24"/>
      <c r="J616" s="24"/>
      <c r="K616" s="37" t="str">
        <f t="shared" si="36"/>
        <v/>
      </c>
      <c r="L616" s="37" t="str">
        <f t="shared" si="37"/>
        <v/>
      </c>
      <c r="M616" s="37" t="str">
        <f t="shared" si="38"/>
        <v/>
      </c>
      <c r="N616" s="37" t="str">
        <f t="shared" si="39"/>
        <v/>
      </c>
      <c r="O616" s="37" t="str">
        <f>IF(OR($D616="",$F616=""),"",$F616*IFERROR(VLOOKUP($D616,Maestro_SKU!$A$2:$P$500,12,FALSE),1))</f>
        <v/>
      </c>
    </row>
    <row r="617" spans="1:15" x14ac:dyDescent="0.35">
      <c r="A617" s="25"/>
      <c r="B617" s="24"/>
      <c r="C617" s="24"/>
      <c r="D617" s="24"/>
      <c r="E617" s="28" t="str">
        <f>IFERROR(VLOOKUP(D617,Maestro_SKU!$A$2:$P$500,2,FALSE),"")</f>
        <v/>
      </c>
      <c r="F617" s="24"/>
      <c r="G617" s="30"/>
      <c r="H617" s="24"/>
      <c r="I617" s="24"/>
      <c r="J617" s="24"/>
      <c r="K617" s="37" t="str">
        <f t="shared" si="36"/>
        <v/>
      </c>
      <c r="L617" s="37" t="str">
        <f t="shared" si="37"/>
        <v/>
      </c>
      <c r="M617" s="37" t="str">
        <f t="shared" si="38"/>
        <v/>
      </c>
      <c r="N617" s="37" t="str">
        <f t="shared" si="39"/>
        <v/>
      </c>
      <c r="O617" s="37" t="str">
        <f>IF(OR($D617="",$F617=""),"",$F617*IFERROR(VLOOKUP($D617,Maestro_SKU!$A$2:$P$500,12,FALSE),1))</f>
        <v/>
      </c>
    </row>
    <row r="618" spans="1:15" x14ac:dyDescent="0.35">
      <c r="A618" s="25"/>
      <c r="B618" s="24"/>
      <c r="C618" s="24"/>
      <c r="D618" s="24"/>
      <c r="E618" s="28" t="str">
        <f>IFERROR(VLOOKUP(D618,Maestro_SKU!$A$2:$P$500,2,FALSE),"")</f>
        <v/>
      </c>
      <c r="F618" s="24"/>
      <c r="G618" s="30"/>
      <c r="H618" s="24"/>
      <c r="I618" s="24"/>
      <c r="J618" s="24"/>
      <c r="K618" s="37" t="str">
        <f t="shared" si="36"/>
        <v/>
      </c>
      <c r="L618" s="37" t="str">
        <f t="shared" si="37"/>
        <v/>
      </c>
      <c r="M618" s="37" t="str">
        <f t="shared" si="38"/>
        <v/>
      </c>
      <c r="N618" s="37" t="str">
        <f t="shared" si="39"/>
        <v/>
      </c>
      <c r="O618" s="37" t="str">
        <f>IF(OR($D618="",$F618=""),"",$F618*IFERROR(VLOOKUP($D618,Maestro_SKU!$A$2:$P$500,12,FALSE),1))</f>
        <v/>
      </c>
    </row>
    <row r="619" spans="1:15" x14ac:dyDescent="0.35">
      <c r="A619" s="25"/>
      <c r="B619" s="24"/>
      <c r="C619" s="24"/>
      <c r="D619" s="24"/>
      <c r="E619" s="28" t="str">
        <f>IFERROR(VLOOKUP(D619,Maestro_SKU!$A$2:$P$500,2,FALSE),"")</f>
        <v/>
      </c>
      <c r="F619" s="24"/>
      <c r="G619" s="30"/>
      <c r="H619" s="24"/>
      <c r="I619" s="24"/>
      <c r="J619" s="24"/>
      <c r="K619" s="37" t="str">
        <f t="shared" si="36"/>
        <v/>
      </c>
      <c r="L619" s="37" t="str">
        <f t="shared" si="37"/>
        <v/>
      </c>
      <c r="M619" s="37" t="str">
        <f t="shared" si="38"/>
        <v/>
      </c>
      <c r="N619" s="37" t="str">
        <f t="shared" si="39"/>
        <v/>
      </c>
      <c r="O619" s="37" t="str">
        <f>IF(OR($D619="",$F619=""),"",$F619*IFERROR(VLOOKUP($D619,Maestro_SKU!$A$2:$P$500,12,FALSE),1))</f>
        <v/>
      </c>
    </row>
    <row r="620" spans="1:15" x14ac:dyDescent="0.35">
      <c r="A620" s="25"/>
      <c r="B620" s="24"/>
      <c r="C620" s="24"/>
      <c r="D620" s="24"/>
      <c r="E620" s="28" t="str">
        <f>IFERROR(VLOOKUP(D620,Maestro_SKU!$A$2:$P$500,2,FALSE),"")</f>
        <v/>
      </c>
      <c r="F620" s="24"/>
      <c r="G620" s="30"/>
      <c r="H620" s="24"/>
      <c r="I620" s="24"/>
      <c r="J620" s="24"/>
      <c r="K620" s="37" t="str">
        <f t="shared" si="36"/>
        <v/>
      </c>
      <c r="L620" s="37" t="str">
        <f t="shared" si="37"/>
        <v/>
      </c>
      <c r="M620" s="37" t="str">
        <f t="shared" si="38"/>
        <v/>
      </c>
      <c r="N620" s="37" t="str">
        <f t="shared" si="39"/>
        <v/>
      </c>
      <c r="O620" s="37" t="str">
        <f>IF(OR($D620="",$F620=""),"",$F620*IFERROR(VLOOKUP($D620,Maestro_SKU!$A$2:$P$500,12,FALSE),1))</f>
        <v/>
      </c>
    </row>
    <row r="621" spans="1:15" x14ac:dyDescent="0.35">
      <c r="A621" s="25"/>
      <c r="B621" s="24"/>
      <c r="C621" s="24"/>
      <c r="D621" s="24"/>
      <c r="E621" s="28" t="str">
        <f>IFERROR(VLOOKUP(D621,Maestro_SKU!$A$2:$P$500,2,FALSE),"")</f>
        <v/>
      </c>
      <c r="F621" s="24"/>
      <c r="G621" s="30"/>
      <c r="H621" s="24"/>
      <c r="I621" s="24"/>
      <c r="J621" s="24"/>
      <c r="K621" s="37" t="str">
        <f t="shared" si="36"/>
        <v/>
      </c>
      <c r="L621" s="37" t="str">
        <f t="shared" si="37"/>
        <v/>
      </c>
      <c r="M621" s="37" t="str">
        <f t="shared" si="38"/>
        <v/>
      </c>
      <c r="N621" s="37" t="str">
        <f t="shared" si="39"/>
        <v/>
      </c>
      <c r="O621" s="37" t="str">
        <f>IF(OR($D621="",$F621=""),"",$F621*IFERROR(VLOOKUP($D621,Maestro_SKU!$A$2:$P$500,12,FALSE),1))</f>
        <v/>
      </c>
    </row>
    <row r="622" spans="1:15" x14ac:dyDescent="0.35">
      <c r="A622" s="25"/>
      <c r="B622" s="24"/>
      <c r="C622" s="24"/>
      <c r="D622" s="24"/>
      <c r="E622" s="28" t="str">
        <f>IFERROR(VLOOKUP(D622,Maestro_SKU!$A$2:$P$500,2,FALSE),"")</f>
        <v/>
      </c>
      <c r="F622" s="24"/>
      <c r="G622" s="30"/>
      <c r="H622" s="24"/>
      <c r="I622" s="24"/>
      <c r="J622" s="24"/>
      <c r="K622" s="37" t="str">
        <f t="shared" si="36"/>
        <v/>
      </c>
      <c r="L622" s="37" t="str">
        <f t="shared" si="37"/>
        <v/>
      </c>
      <c r="M622" s="37" t="str">
        <f t="shared" si="38"/>
        <v/>
      </c>
      <c r="N622" s="37" t="str">
        <f t="shared" si="39"/>
        <v/>
      </c>
      <c r="O622" s="37" t="str">
        <f>IF(OR($D622="",$F622=""),"",$F622*IFERROR(VLOOKUP($D622,Maestro_SKU!$A$2:$P$500,12,FALSE),1))</f>
        <v/>
      </c>
    </row>
    <row r="623" spans="1:15" x14ac:dyDescent="0.35">
      <c r="A623" s="25"/>
      <c r="B623" s="24"/>
      <c r="C623" s="24"/>
      <c r="D623" s="24"/>
      <c r="E623" s="28" t="str">
        <f>IFERROR(VLOOKUP(D623,Maestro_SKU!$A$2:$P$500,2,FALSE),"")</f>
        <v/>
      </c>
      <c r="F623" s="24"/>
      <c r="G623" s="30"/>
      <c r="H623" s="24"/>
      <c r="I623" s="24"/>
      <c r="J623" s="24"/>
      <c r="K623" s="37" t="str">
        <f t="shared" si="36"/>
        <v/>
      </c>
      <c r="L623" s="37" t="str">
        <f t="shared" si="37"/>
        <v/>
      </c>
      <c r="M623" s="37" t="str">
        <f t="shared" si="38"/>
        <v/>
      </c>
      <c r="N623" s="37" t="str">
        <f t="shared" si="39"/>
        <v/>
      </c>
      <c r="O623" s="37" t="str">
        <f>IF(OR($D623="",$F623=""),"",$F623*IFERROR(VLOOKUP($D623,Maestro_SKU!$A$2:$P$500,12,FALSE),1))</f>
        <v/>
      </c>
    </row>
    <row r="624" spans="1:15" x14ac:dyDescent="0.35">
      <c r="A624" s="25"/>
      <c r="B624" s="24"/>
      <c r="C624" s="24"/>
      <c r="D624" s="24"/>
      <c r="E624" s="28" t="str">
        <f>IFERROR(VLOOKUP(D624,Maestro_SKU!$A$2:$P$500,2,FALSE),"")</f>
        <v/>
      </c>
      <c r="F624" s="24"/>
      <c r="G624" s="30"/>
      <c r="H624" s="24"/>
      <c r="I624" s="24"/>
      <c r="J624" s="24"/>
      <c r="K624" s="37" t="str">
        <f t="shared" si="36"/>
        <v/>
      </c>
      <c r="L624" s="37" t="str">
        <f t="shared" si="37"/>
        <v/>
      </c>
      <c r="M624" s="37" t="str">
        <f t="shared" si="38"/>
        <v/>
      </c>
      <c r="N624" s="37" t="str">
        <f t="shared" si="39"/>
        <v/>
      </c>
      <c r="O624" s="37" t="str">
        <f>IF(OR($D624="",$F624=""),"",$F624*IFERROR(VLOOKUP($D624,Maestro_SKU!$A$2:$P$500,12,FALSE),1))</f>
        <v/>
      </c>
    </row>
    <row r="625" spans="1:15" x14ac:dyDescent="0.35">
      <c r="A625" s="25"/>
      <c r="B625" s="24"/>
      <c r="C625" s="24"/>
      <c r="D625" s="24"/>
      <c r="E625" s="28" t="str">
        <f>IFERROR(VLOOKUP(D625,Maestro_SKU!$A$2:$P$500,2,FALSE),"")</f>
        <v/>
      </c>
      <c r="F625" s="24"/>
      <c r="G625" s="30"/>
      <c r="H625" s="24"/>
      <c r="I625" s="24"/>
      <c r="J625" s="24"/>
      <c r="K625" s="37" t="str">
        <f t="shared" si="36"/>
        <v/>
      </c>
      <c r="L625" s="37" t="str">
        <f t="shared" si="37"/>
        <v/>
      </c>
      <c r="M625" s="37" t="str">
        <f t="shared" si="38"/>
        <v/>
      </c>
      <c r="N625" s="37" t="str">
        <f t="shared" si="39"/>
        <v/>
      </c>
      <c r="O625" s="37" t="str">
        <f>IF(OR($D625="",$F625=""),"",$F625*IFERROR(VLOOKUP($D625,Maestro_SKU!$A$2:$P$500,12,FALSE),1))</f>
        <v/>
      </c>
    </row>
    <row r="626" spans="1:15" x14ac:dyDescent="0.35">
      <c r="A626" s="25"/>
      <c r="B626" s="24"/>
      <c r="C626" s="24"/>
      <c r="D626" s="24"/>
      <c r="E626" s="28" t="str">
        <f>IFERROR(VLOOKUP(D626,Maestro_SKU!$A$2:$P$500,2,FALSE),"")</f>
        <v/>
      </c>
      <c r="F626" s="24"/>
      <c r="G626" s="30"/>
      <c r="H626" s="24"/>
      <c r="I626" s="24"/>
      <c r="J626" s="24"/>
      <c r="K626" s="37" t="str">
        <f t="shared" si="36"/>
        <v/>
      </c>
      <c r="L626" s="37" t="str">
        <f t="shared" si="37"/>
        <v/>
      </c>
      <c r="M626" s="37" t="str">
        <f t="shared" si="38"/>
        <v/>
      </c>
      <c r="N626" s="37" t="str">
        <f t="shared" si="39"/>
        <v/>
      </c>
      <c r="O626" s="37" t="str">
        <f>IF(OR($D626="",$F626=""),"",$F626*IFERROR(VLOOKUP($D626,Maestro_SKU!$A$2:$P$500,12,FALSE),1))</f>
        <v/>
      </c>
    </row>
    <row r="627" spans="1:15" x14ac:dyDescent="0.35">
      <c r="A627" s="25"/>
      <c r="B627" s="24"/>
      <c r="C627" s="24"/>
      <c r="D627" s="24"/>
      <c r="E627" s="28" t="str">
        <f>IFERROR(VLOOKUP(D627,Maestro_SKU!$A$2:$P$500,2,FALSE),"")</f>
        <v/>
      </c>
      <c r="F627" s="24"/>
      <c r="G627" s="30"/>
      <c r="H627" s="24"/>
      <c r="I627" s="24"/>
      <c r="J627" s="24"/>
      <c r="K627" s="37" t="str">
        <f t="shared" si="36"/>
        <v/>
      </c>
      <c r="L627" s="37" t="str">
        <f t="shared" si="37"/>
        <v/>
      </c>
      <c r="M627" s="37" t="str">
        <f t="shared" si="38"/>
        <v/>
      </c>
      <c r="N627" s="37" t="str">
        <f t="shared" si="39"/>
        <v/>
      </c>
      <c r="O627" s="37" t="str">
        <f>IF(OR($D627="",$F627=""),"",$F627*IFERROR(VLOOKUP($D627,Maestro_SKU!$A$2:$P$500,12,FALSE),1))</f>
        <v/>
      </c>
    </row>
    <row r="628" spans="1:15" x14ac:dyDescent="0.35">
      <c r="A628" s="25"/>
      <c r="B628" s="24"/>
      <c r="C628" s="24"/>
      <c r="D628" s="24"/>
      <c r="E628" s="28" t="str">
        <f>IFERROR(VLOOKUP(D628,Maestro_SKU!$A$2:$P$500,2,FALSE),"")</f>
        <v/>
      </c>
      <c r="F628" s="24"/>
      <c r="G628" s="30"/>
      <c r="H628" s="24"/>
      <c r="I628" s="24"/>
      <c r="J628" s="24"/>
      <c r="K628" s="37" t="str">
        <f t="shared" si="36"/>
        <v/>
      </c>
      <c r="L628" s="37" t="str">
        <f t="shared" si="37"/>
        <v/>
      </c>
      <c r="M628" s="37" t="str">
        <f t="shared" si="38"/>
        <v/>
      </c>
      <c r="N628" s="37" t="str">
        <f t="shared" si="39"/>
        <v/>
      </c>
      <c r="O628" s="37" t="str">
        <f>IF(OR($D628="",$F628=""),"",$F628*IFERROR(VLOOKUP($D628,Maestro_SKU!$A$2:$P$500,12,FALSE),1))</f>
        <v/>
      </c>
    </row>
    <row r="629" spans="1:15" x14ac:dyDescent="0.35">
      <c r="A629" s="25"/>
      <c r="B629" s="24"/>
      <c r="C629" s="24"/>
      <c r="D629" s="24"/>
      <c r="E629" s="28" t="str">
        <f>IFERROR(VLOOKUP(D629,Maestro_SKU!$A$2:$P$500,2,FALSE),"")</f>
        <v/>
      </c>
      <c r="F629" s="24"/>
      <c r="G629" s="30"/>
      <c r="H629" s="24"/>
      <c r="I629" s="24"/>
      <c r="J629" s="24"/>
      <c r="K629" s="37" t="str">
        <f t="shared" si="36"/>
        <v/>
      </c>
      <c r="L629" s="37" t="str">
        <f t="shared" si="37"/>
        <v/>
      </c>
      <c r="M629" s="37" t="str">
        <f t="shared" si="38"/>
        <v/>
      </c>
      <c r="N629" s="37" t="str">
        <f t="shared" si="39"/>
        <v/>
      </c>
      <c r="O629" s="37" t="str">
        <f>IF(OR($D629="",$F629=""),"",$F629*IFERROR(VLOOKUP($D629,Maestro_SKU!$A$2:$P$500,12,FALSE),1))</f>
        <v/>
      </c>
    </row>
    <row r="630" spans="1:15" x14ac:dyDescent="0.35">
      <c r="A630" s="25"/>
      <c r="B630" s="24"/>
      <c r="C630" s="24"/>
      <c r="D630" s="24"/>
      <c r="E630" s="28" t="str">
        <f>IFERROR(VLOOKUP(D630,Maestro_SKU!$A$2:$P$500,2,FALSE),"")</f>
        <v/>
      </c>
      <c r="F630" s="24"/>
      <c r="G630" s="30"/>
      <c r="H630" s="24"/>
      <c r="I630" s="24"/>
      <c r="J630" s="24"/>
      <c r="K630" s="37" t="str">
        <f t="shared" si="36"/>
        <v/>
      </c>
      <c r="L630" s="37" t="str">
        <f t="shared" si="37"/>
        <v/>
      </c>
      <c r="M630" s="37" t="str">
        <f t="shared" si="38"/>
        <v/>
      </c>
      <c r="N630" s="37" t="str">
        <f t="shared" si="39"/>
        <v/>
      </c>
      <c r="O630" s="37" t="str">
        <f>IF(OR($D630="",$F630=""),"",$F630*IFERROR(VLOOKUP($D630,Maestro_SKU!$A$2:$P$500,12,FALSE),1))</f>
        <v/>
      </c>
    </row>
    <row r="631" spans="1:15" x14ac:dyDescent="0.35">
      <c r="A631" s="25"/>
      <c r="B631" s="24"/>
      <c r="C631" s="24"/>
      <c r="D631" s="24"/>
      <c r="E631" s="28" t="str">
        <f>IFERROR(VLOOKUP(D631,Maestro_SKU!$A$2:$P$500,2,FALSE),"")</f>
        <v/>
      </c>
      <c r="F631" s="24"/>
      <c r="G631" s="30"/>
      <c r="H631" s="24"/>
      <c r="I631" s="24"/>
      <c r="J631" s="24"/>
      <c r="K631" s="37" t="str">
        <f t="shared" si="36"/>
        <v/>
      </c>
      <c r="L631" s="37" t="str">
        <f t="shared" si="37"/>
        <v/>
      </c>
      <c r="M631" s="37" t="str">
        <f t="shared" si="38"/>
        <v/>
      </c>
      <c r="N631" s="37" t="str">
        <f t="shared" si="39"/>
        <v/>
      </c>
      <c r="O631" s="37" t="str">
        <f>IF(OR($D631="",$F631=""),"",$F631*IFERROR(VLOOKUP($D631,Maestro_SKU!$A$2:$P$500,12,FALSE),1))</f>
        <v/>
      </c>
    </row>
    <row r="632" spans="1:15" x14ac:dyDescent="0.35">
      <c r="A632" s="25"/>
      <c r="B632" s="24"/>
      <c r="C632" s="24"/>
      <c r="D632" s="24"/>
      <c r="E632" s="28" t="str">
        <f>IFERROR(VLOOKUP(D632,Maestro_SKU!$A$2:$P$500,2,FALSE),"")</f>
        <v/>
      </c>
      <c r="F632" s="24"/>
      <c r="G632" s="30"/>
      <c r="H632" s="24"/>
      <c r="I632" s="24"/>
      <c r="J632" s="24"/>
      <c r="K632" s="37" t="str">
        <f t="shared" si="36"/>
        <v/>
      </c>
      <c r="L632" s="37" t="str">
        <f t="shared" si="37"/>
        <v/>
      </c>
      <c r="M632" s="37" t="str">
        <f t="shared" si="38"/>
        <v/>
      </c>
      <c r="N632" s="37" t="str">
        <f t="shared" si="39"/>
        <v/>
      </c>
      <c r="O632" s="37" t="str">
        <f>IF(OR($D632="",$F632=""),"",$F632*IFERROR(VLOOKUP($D632,Maestro_SKU!$A$2:$P$500,12,FALSE),1))</f>
        <v/>
      </c>
    </row>
    <row r="633" spans="1:15" x14ac:dyDescent="0.35">
      <c r="A633" s="25"/>
      <c r="B633" s="24"/>
      <c r="C633" s="24"/>
      <c r="D633" s="24"/>
      <c r="E633" s="28" t="str">
        <f>IFERROR(VLOOKUP(D633,Maestro_SKU!$A$2:$P$500,2,FALSE),"")</f>
        <v/>
      </c>
      <c r="F633" s="24"/>
      <c r="G633" s="30"/>
      <c r="H633" s="24"/>
      <c r="I633" s="24"/>
      <c r="J633" s="24"/>
      <c r="K633" s="37" t="str">
        <f t="shared" si="36"/>
        <v/>
      </c>
      <c r="L633" s="37" t="str">
        <f t="shared" si="37"/>
        <v/>
      </c>
      <c r="M633" s="37" t="str">
        <f t="shared" si="38"/>
        <v/>
      </c>
      <c r="N633" s="37" t="str">
        <f t="shared" si="39"/>
        <v/>
      </c>
      <c r="O633" s="37" t="str">
        <f>IF(OR($D633="",$F633=""),"",$F633*IFERROR(VLOOKUP($D633,Maestro_SKU!$A$2:$P$500,12,FALSE),1))</f>
        <v/>
      </c>
    </row>
    <row r="634" spans="1:15" x14ac:dyDescent="0.35">
      <c r="A634" s="25"/>
      <c r="B634" s="24"/>
      <c r="C634" s="24"/>
      <c r="D634" s="24"/>
      <c r="E634" s="28" t="str">
        <f>IFERROR(VLOOKUP(D634,Maestro_SKU!$A$2:$P$500,2,FALSE),"")</f>
        <v/>
      </c>
      <c r="F634" s="24"/>
      <c r="G634" s="30"/>
      <c r="H634" s="24"/>
      <c r="I634" s="24"/>
      <c r="J634" s="24"/>
      <c r="K634" s="37" t="str">
        <f t="shared" si="36"/>
        <v/>
      </c>
      <c r="L634" s="37" t="str">
        <f t="shared" si="37"/>
        <v/>
      </c>
      <c r="M634" s="37" t="str">
        <f t="shared" si="38"/>
        <v/>
      </c>
      <c r="N634" s="37" t="str">
        <f t="shared" si="39"/>
        <v/>
      </c>
      <c r="O634" s="37" t="str">
        <f>IF(OR($D634="",$F634=""),"",$F634*IFERROR(VLOOKUP($D634,Maestro_SKU!$A$2:$P$500,12,FALSE),1))</f>
        <v/>
      </c>
    </row>
    <row r="635" spans="1:15" x14ac:dyDescent="0.35">
      <c r="A635" s="25"/>
      <c r="B635" s="24"/>
      <c r="C635" s="24"/>
      <c r="D635" s="24"/>
      <c r="E635" s="28" t="str">
        <f>IFERROR(VLOOKUP(D635,Maestro_SKU!$A$2:$P$500,2,FALSE),"")</f>
        <v/>
      </c>
      <c r="F635" s="24"/>
      <c r="G635" s="30"/>
      <c r="H635" s="24"/>
      <c r="I635" s="24"/>
      <c r="J635" s="24"/>
      <c r="K635" s="37" t="str">
        <f t="shared" si="36"/>
        <v/>
      </c>
      <c r="L635" s="37" t="str">
        <f t="shared" si="37"/>
        <v/>
      </c>
      <c r="M635" s="37" t="str">
        <f t="shared" si="38"/>
        <v/>
      </c>
      <c r="N635" s="37" t="str">
        <f t="shared" si="39"/>
        <v/>
      </c>
      <c r="O635" s="37" t="str">
        <f>IF(OR($D635="",$F635=""),"",$F635*IFERROR(VLOOKUP($D635,Maestro_SKU!$A$2:$P$500,12,FALSE),1))</f>
        <v/>
      </c>
    </row>
    <row r="636" spans="1:15" x14ac:dyDescent="0.35">
      <c r="A636" s="25"/>
      <c r="B636" s="24"/>
      <c r="C636" s="24"/>
      <c r="D636" s="24"/>
      <c r="E636" s="28" t="str">
        <f>IFERROR(VLOOKUP(D636,Maestro_SKU!$A$2:$P$500,2,FALSE),"")</f>
        <v/>
      </c>
      <c r="F636" s="24"/>
      <c r="G636" s="30"/>
      <c r="H636" s="24"/>
      <c r="I636" s="24"/>
      <c r="J636" s="24"/>
      <c r="K636" s="37" t="str">
        <f t="shared" si="36"/>
        <v/>
      </c>
      <c r="L636" s="37" t="str">
        <f t="shared" si="37"/>
        <v/>
      </c>
      <c r="M636" s="37" t="str">
        <f t="shared" si="38"/>
        <v/>
      </c>
      <c r="N636" s="37" t="str">
        <f t="shared" si="39"/>
        <v/>
      </c>
      <c r="O636" s="37" t="str">
        <f>IF(OR($D636="",$F636=""),"",$F636*IFERROR(VLOOKUP($D636,Maestro_SKU!$A$2:$P$500,12,FALSE),1))</f>
        <v/>
      </c>
    </row>
    <row r="637" spans="1:15" x14ac:dyDescent="0.35">
      <c r="A637" s="25"/>
      <c r="B637" s="24"/>
      <c r="C637" s="24"/>
      <c r="D637" s="24"/>
      <c r="E637" s="28" t="str">
        <f>IFERROR(VLOOKUP(D637,Maestro_SKU!$A$2:$P$500,2,FALSE),"")</f>
        <v/>
      </c>
      <c r="F637" s="24"/>
      <c r="G637" s="30"/>
      <c r="H637" s="24"/>
      <c r="I637" s="24"/>
      <c r="J637" s="24"/>
      <c r="K637" s="37" t="str">
        <f t="shared" si="36"/>
        <v/>
      </c>
      <c r="L637" s="37" t="str">
        <f t="shared" si="37"/>
        <v/>
      </c>
      <c r="M637" s="37" t="str">
        <f t="shared" si="38"/>
        <v/>
      </c>
      <c r="N637" s="37" t="str">
        <f t="shared" si="39"/>
        <v/>
      </c>
      <c r="O637" s="37" t="str">
        <f>IF(OR($D637="",$F637=""),"",$F637*IFERROR(VLOOKUP($D637,Maestro_SKU!$A$2:$P$500,12,FALSE),1))</f>
        <v/>
      </c>
    </row>
    <row r="638" spans="1:15" x14ac:dyDescent="0.35">
      <c r="A638" s="25"/>
      <c r="B638" s="24"/>
      <c r="C638" s="24"/>
      <c r="D638" s="24"/>
      <c r="E638" s="28" t="str">
        <f>IFERROR(VLOOKUP(D638,Maestro_SKU!$A$2:$P$500,2,FALSE),"")</f>
        <v/>
      </c>
      <c r="F638" s="24"/>
      <c r="G638" s="30"/>
      <c r="H638" s="24"/>
      <c r="I638" s="24"/>
      <c r="J638" s="24"/>
      <c r="K638" s="37" t="str">
        <f t="shared" si="36"/>
        <v/>
      </c>
      <c r="L638" s="37" t="str">
        <f t="shared" si="37"/>
        <v/>
      </c>
      <c r="M638" s="37" t="str">
        <f t="shared" si="38"/>
        <v/>
      </c>
      <c r="N638" s="37" t="str">
        <f t="shared" si="39"/>
        <v/>
      </c>
      <c r="O638" s="37" t="str">
        <f>IF(OR($D638="",$F638=""),"",$F638*IFERROR(VLOOKUP($D638,Maestro_SKU!$A$2:$P$500,12,FALSE),1))</f>
        <v/>
      </c>
    </row>
    <row r="639" spans="1:15" x14ac:dyDescent="0.35">
      <c r="A639" s="25"/>
      <c r="B639" s="24"/>
      <c r="C639" s="24"/>
      <c r="D639" s="24"/>
      <c r="E639" s="28" t="str">
        <f>IFERROR(VLOOKUP(D639,Maestro_SKU!$A$2:$P$500,2,FALSE),"")</f>
        <v/>
      </c>
      <c r="F639" s="24"/>
      <c r="G639" s="30"/>
      <c r="H639" s="24"/>
      <c r="I639" s="24"/>
      <c r="J639" s="24"/>
      <c r="K639" s="37" t="str">
        <f t="shared" si="36"/>
        <v/>
      </c>
      <c r="L639" s="37" t="str">
        <f t="shared" si="37"/>
        <v/>
      </c>
      <c r="M639" s="37" t="str">
        <f t="shared" si="38"/>
        <v/>
      </c>
      <c r="N639" s="37" t="str">
        <f t="shared" si="39"/>
        <v/>
      </c>
      <c r="O639" s="37" t="str">
        <f>IF(OR($D639="",$F639=""),"",$F639*IFERROR(VLOOKUP($D639,Maestro_SKU!$A$2:$P$500,12,FALSE),1))</f>
        <v/>
      </c>
    </row>
    <row r="640" spans="1:15" x14ac:dyDescent="0.35">
      <c r="A640" s="25"/>
      <c r="B640" s="24"/>
      <c r="C640" s="24"/>
      <c r="D640" s="24"/>
      <c r="E640" s="28" t="str">
        <f>IFERROR(VLOOKUP(D640,Maestro_SKU!$A$2:$P$500,2,FALSE),"")</f>
        <v/>
      </c>
      <c r="F640" s="24"/>
      <c r="G640" s="30"/>
      <c r="H640" s="24"/>
      <c r="I640" s="24"/>
      <c r="J640" s="24"/>
      <c r="K640" s="37" t="str">
        <f t="shared" si="36"/>
        <v/>
      </c>
      <c r="L640" s="37" t="str">
        <f t="shared" si="37"/>
        <v/>
      </c>
      <c r="M640" s="37" t="str">
        <f t="shared" si="38"/>
        <v/>
      </c>
      <c r="N640" s="37" t="str">
        <f t="shared" si="39"/>
        <v/>
      </c>
      <c r="O640" s="37" t="str">
        <f>IF(OR($D640="",$F640=""),"",$F640*IFERROR(VLOOKUP($D640,Maestro_SKU!$A$2:$P$500,12,FALSE),1))</f>
        <v/>
      </c>
    </row>
    <row r="641" spans="1:15" x14ac:dyDescent="0.35">
      <c r="A641" s="25"/>
      <c r="B641" s="24"/>
      <c r="C641" s="24"/>
      <c r="D641" s="24"/>
      <c r="E641" s="28" t="str">
        <f>IFERROR(VLOOKUP(D641,Maestro_SKU!$A$2:$P$500,2,FALSE),"")</f>
        <v/>
      </c>
      <c r="F641" s="24"/>
      <c r="G641" s="30"/>
      <c r="H641" s="24"/>
      <c r="I641" s="24"/>
      <c r="J641" s="24"/>
      <c r="K641" s="37" t="str">
        <f t="shared" si="36"/>
        <v/>
      </c>
      <c r="L641" s="37" t="str">
        <f t="shared" si="37"/>
        <v/>
      </c>
      <c r="M641" s="37" t="str">
        <f t="shared" si="38"/>
        <v/>
      </c>
      <c r="N641" s="37" t="str">
        <f t="shared" si="39"/>
        <v/>
      </c>
      <c r="O641" s="37" t="str">
        <f>IF(OR($D641="",$F641=""),"",$F641*IFERROR(VLOOKUP($D641,Maestro_SKU!$A$2:$P$500,12,FALSE),1))</f>
        <v/>
      </c>
    </row>
    <row r="642" spans="1:15" x14ac:dyDescent="0.35">
      <c r="A642" s="25"/>
      <c r="B642" s="24"/>
      <c r="C642" s="24"/>
      <c r="D642" s="24"/>
      <c r="E642" s="28" t="str">
        <f>IFERROR(VLOOKUP(D642,Maestro_SKU!$A$2:$P$500,2,FALSE),"")</f>
        <v/>
      </c>
      <c r="F642" s="24"/>
      <c r="G642" s="30"/>
      <c r="H642" s="24"/>
      <c r="I642" s="24"/>
      <c r="J642" s="24"/>
      <c r="K642" s="37" t="str">
        <f t="shared" ref="K642:K705" si="40">IF($A642="","",YEAR($A642))</f>
        <v/>
      </c>
      <c r="L642" s="37" t="str">
        <f t="shared" ref="L642:L705" si="41">IF($A642="","",MONTH($A642))</f>
        <v/>
      </c>
      <c r="M642" s="37" t="str">
        <f t="shared" ref="M642:M705" si="42">IF($A642="","",DAY($A642))</f>
        <v/>
      </c>
      <c r="N642" s="37" t="str">
        <f t="shared" ref="N642:N705" si="43">IF($A642="","",YEAR($A642)&amp;"-"&amp;TEXT(MONTH($A642),"00"))</f>
        <v/>
      </c>
      <c r="O642" s="37" t="str">
        <f>IF(OR($D642="",$F642=""),"",$F642*IFERROR(VLOOKUP($D642,Maestro_SKU!$A$2:$P$500,12,FALSE),1))</f>
        <v/>
      </c>
    </row>
    <row r="643" spans="1:15" x14ac:dyDescent="0.35">
      <c r="A643" s="25"/>
      <c r="B643" s="24"/>
      <c r="C643" s="24"/>
      <c r="D643" s="24"/>
      <c r="E643" s="28" t="str">
        <f>IFERROR(VLOOKUP(D643,Maestro_SKU!$A$2:$P$500,2,FALSE),"")</f>
        <v/>
      </c>
      <c r="F643" s="24"/>
      <c r="G643" s="30"/>
      <c r="H643" s="24"/>
      <c r="I643" s="24"/>
      <c r="J643" s="24"/>
      <c r="K643" s="37" t="str">
        <f t="shared" si="40"/>
        <v/>
      </c>
      <c r="L643" s="37" t="str">
        <f t="shared" si="41"/>
        <v/>
      </c>
      <c r="M643" s="37" t="str">
        <f t="shared" si="42"/>
        <v/>
      </c>
      <c r="N643" s="37" t="str">
        <f t="shared" si="43"/>
        <v/>
      </c>
      <c r="O643" s="37" t="str">
        <f>IF(OR($D643="",$F643=""),"",$F643*IFERROR(VLOOKUP($D643,Maestro_SKU!$A$2:$P$500,12,FALSE),1))</f>
        <v/>
      </c>
    </row>
    <row r="644" spans="1:15" x14ac:dyDescent="0.35">
      <c r="A644" s="25"/>
      <c r="B644" s="24"/>
      <c r="C644" s="24"/>
      <c r="D644" s="24"/>
      <c r="E644" s="28" t="str">
        <f>IFERROR(VLOOKUP(D644,Maestro_SKU!$A$2:$P$500,2,FALSE),"")</f>
        <v/>
      </c>
      <c r="F644" s="24"/>
      <c r="G644" s="30"/>
      <c r="H644" s="24"/>
      <c r="I644" s="24"/>
      <c r="J644" s="24"/>
      <c r="K644" s="37" t="str">
        <f t="shared" si="40"/>
        <v/>
      </c>
      <c r="L644" s="37" t="str">
        <f t="shared" si="41"/>
        <v/>
      </c>
      <c r="M644" s="37" t="str">
        <f t="shared" si="42"/>
        <v/>
      </c>
      <c r="N644" s="37" t="str">
        <f t="shared" si="43"/>
        <v/>
      </c>
      <c r="O644" s="37" t="str">
        <f>IF(OR($D644="",$F644=""),"",$F644*IFERROR(VLOOKUP($D644,Maestro_SKU!$A$2:$P$500,12,FALSE),1))</f>
        <v/>
      </c>
    </row>
    <row r="645" spans="1:15" x14ac:dyDescent="0.35">
      <c r="A645" s="25"/>
      <c r="B645" s="24"/>
      <c r="C645" s="24"/>
      <c r="D645" s="24"/>
      <c r="E645" s="28" t="str">
        <f>IFERROR(VLOOKUP(D645,Maestro_SKU!$A$2:$P$500,2,FALSE),"")</f>
        <v/>
      </c>
      <c r="F645" s="24"/>
      <c r="G645" s="30"/>
      <c r="H645" s="24"/>
      <c r="I645" s="24"/>
      <c r="J645" s="24"/>
      <c r="K645" s="37" t="str">
        <f t="shared" si="40"/>
        <v/>
      </c>
      <c r="L645" s="37" t="str">
        <f t="shared" si="41"/>
        <v/>
      </c>
      <c r="M645" s="37" t="str">
        <f t="shared" si="42"/>
        <v/>
      </c>
      <c r="N645" s="37" t="str">
        <f t="shared" si="43"/>
        <v/>
      </c>
      <c r="O645" s="37" t="str">
        <f>IF(OR($D645="",$F645=""),"",$F645*IFERROR(VLOOKUP($D645,Maestro_SKU!$A$2:$P$500,12,FALSE),1))</f>
        <v/>
      </c>
    </row>
    <row r="646" spans="1:15" x14ac:dyDescent="0.35">
      <c r="A646" s="25"/>
      <c r="B646" s="24"/>
      <c r="C646" s="24"/>
      <c r="D646" s="24"/>
      <c r="E646" s="28" t="str">
        <f>IFERROR(VLOOKUP(D646,Maestro_SKU!$A$2:$P$500,2,FALSE),"")</f>
        <v/>
      </c>
      <c r="F646" s="24"/>
      <c r="G646" s="30"/>
      <c r="H646" s="24"/>
      <c r="I646" s="24"/>
      <c r="J646" s="24"/>
      <c r="K646" s="37" t="str">
        <f t="shared" si="40"/>
        <v/>
      </c>
      <c r="L646" s="37" t="str">
        <f t="shared" si="41"/>
        <v/>
      </c>
      <c r="M646" s="37" t="str">
        <f t="shared" si="42"/>
        <v/>
      </c>
      <c r="N646" s="37" t="str">
        <f t="shared" si="43"/>
        <v/>
      </c>
      <c r="O646" s="37" t="str">
        <f>IF(OR($D646="",$F646=""),"",$F646*IFERROR(VLOOKUP($D646,Maestro_SKU!$A$2:$P$500,12,FALSE),1))</f>
        <v/>
      </c>
    </row>
    <row r="647" spans="1:15" x14ac:dyDescent="0.35">
      <c r="A647" s="25"/>
      <c r="B647" s="24"/>
      <c r="C647" s="24"/>
      <c r="D647" s="24"/>
      <c r="E647" s="28" t="str">
        <f>IFERROR(VLOOKUP(D647,Maestro_SKU!$A$2:$P$500,2,FALSE),"")</f>
        <v/>
      </c>
      <c r="F647" s="24"/>
      <c r="G647" s="30"/>
      <c r="H647" s="24"/>
      <c r="I647" s="24"/>
      <c r="J647" s="24"/>
      <c r="K647" s="37" t="str">
        <f t="shared" si="40"/>
        <v/>
      </c>
      <c r="L647" s="37" t="str">
        <f t="shared" si="41"/>
        <v/>
      </c>
      <c r="M647" s="37" t="str">
        <f t="shared" si="42"/>
        <v/>
      </c>
      <c r="N647" s="37" t="str">
        <f t="shared" si="43"/>
        <v/>
      </c>
      <c r="O647" s="37" t="str">
        <f>IF(OR($D647="",$F647=""),"",$F647*IFERROR(VLOOKUP($D647,Maestro_SKU!$A$2:$P$500,12,FALSE),1))</f>
        <v/>
      </c>
    </row>
    <row r="648" spans="1:15" x14ac:dyDescent="0.35">
      <c r="A648" s="25"/>
      <c r="B648" s="24"/>
      <c r="C648" s="24"/>
      <c r="D648" s="24"/>
      <c r="E648" s="28" t="str">
        <f>IFERROR(VLOOKUP(D648,Maestro_SKU!$A$2:$P$500,2,FALSE),"")</f>
        <v/>
      </c>
      <c r="F648" s="24"/>
      <c r="G648" s="30"/>
      <c r="H648" s="24"/>
      <c r="I648" s="24"/>
      <c r="J648" s="24"/>
      <c r="K648" s="37" t="str">
        <f t="shared" si="40"/>
        <v/>
      </c>
      <c r="L648" s="37" t="str">
        <f t="shared" si="41"/>
        <v/>
      </c>
      <c r="M648" s="37" t="str">
        <f t="shared" si="42"/>
        <v/>
      </c>
      <c r="N648" s="37" t="str">
        <f t="shared" si="43"/>
        <v/>
      </c>
      <c r="O648" s="37" t="str">
        <f>IF(OR($D648="",$F648=""),"",$F648*IFERROR(VLOOKUP($D648,Maestro_SKU!$A$2:$P$500,12,FALSE),1))</f>
        <v/>
      </c>
    </row>
    <row r="649" spans="1:15" x14ac:dyDescent="0.35">
      <c r="A649" s="25"/>
      <c r="B649" s="24"/>
      <c r="C649" s="24"/>
      <c r="D649" s="24"/>
      <c r="E649" s="28" t="str">
        <f>IFERROR(VLOOKUP(D649,Maestro_SKU!$A$2:$P$500,2,FALSE),"")</f>
        <v/>
      </c>
      <c r="F649" s="24"/>
      <c r="G649" s="30"/>
      <c r="H649" s="24"/>
      <c r="I649" s="24"/>
      <c r="J649" s="24"/>
      <c r="K649" s="37" t="str">
        <f t="shared" si="40"/>
        <v/>
      </c>
      <c r="L649" s="37" t="str">
        <f t="shared" si="41"/>
        <v/>
      </c>
      <c r="M649" s="37" t="str">
        <f t="shared" si="42"/>
        <v/>
      </c>
      <c r="N649" s="37" t="str">
        <f t="shared" si="43"/>
        <v/>
      </c>
      <c r="O649" s="37" t="str">
        <f>IF(OR($D649="",$F649=""),"",$F649*IFERROR(VLOOKUP($D649,Maestro_SKU!$A$2:$P$500,12,FALSE),1))</f>
        <v/>
      </c>
    </row>
    <row r="650" spans="1:15" x14ac:dyDescent="0.35">
      <c r="A650" s="25"/>
      <c r="B650" s="24"/>
      <c r="C650" s="24"/>
      <c r="D650" s="24"/>
      <c r="E650" s="28" t="str">
        <f>IFERROR(VLOOKUP(D650,Maestro_SKU!$A$2:$P$500,2,FALSE),"")</f>
        <v/>
      </c>
      <c r="F650" s="24"/>
      <c r="G650" s="30"/>
      <c r="H650" s="24"/>
      <c r="I650" s="24"/>
      <c r="J650" s="24"/>
      <c r="K650" s="37" t="str">
        <f t="shared" si="40"/>
        <v/>
      </c>
      <c r="L650" s="37" t="str">
        <f t="shared" si="41"/>
        <v/>
      </c>
      <c r="M650" s="37" t="str">
        <f t="shared" si="42"/>
        <v/>
      </c>
      <c r="N650" s="37" t="str">
        <f t="shared" si="43"/>
        <v/>
      </c>
      <c r="O650" s="37" t="str">
        <f>IF(OR($D650="",$F650=""),"",$F650*IFERROR(VLOOKUP($D650,Maestro_SKU!$A$2:$P$500,12,FALSE),1))</f>
        <v/>
      </c>
    </row>
    <row r="651" spans="1:15" x14ac:dyDescent="0.35">
      <c r="A651" s="25"/>
      <c r="B651" s="24"/>
      <c r="C651" s="24"/>
      <c r="D651" s="24"/>
      <c r="E651" s="28" t="str">
        <f>IFERROR(VLOOKUP(D651,Maestro_SKU!$A$2:$P$500,2,FALSE),"")</f>
        <v/>
      </c>
      <c r="F651" s="24"/>
      <c r="G651" s="30"/>
      <c r="H651" s="24"/>
      <c r="I651" s="24"/>
      <c r="J651" s="24"/>
      <c r="K651" s="37" t="str">
        <f t="shared" si="40"/>
        <v/>
      </c>
      <c r="L651" s="37" t="str">
        <f t="shared" si="41"/>
        <v/>
      </c>
      <c r="M651" s="37" t="str">
        <f t="shared" si="42"/>
        <v/>
      </c>
      <c r="N651" s="37" t="str">
        <f t="shared" si="43"/>
        <v/>
      </c>
      <c r="O651" s="37" t="str">
        <f>IF(OR($D651="",$F651=""),"",$F651*IFERROR(VLOOKUP($D651,Maestro_SKU!$A$2:$P$500,12,FALSE),1))</f>
        <v/>
      </c>
    </row>
    <row r="652" spans="1:15" x14ac:dyDescent="0.35">
      <c r="A652" s="25"/>
      <c r="B652" s="24"/>
      <c r="C652" s="24"/>
      <c r="D652" s="24"/>
      <c r="E652" s="28" t="str">
        <f>IFERROR(VLOOKUP(D652,Maestro_SKU!$A$2:$P$500,2,FALSE),"")</f>
        <v/>
      </c>
      <c r="F652" s="24"/>
      <c r="G652" s="30"/>
      <c r="H652" s="24"/>
      <c r="I652" s="24"/>
      <c r="J652" s="24"/>
      <c r="K652" s="37" t="str">
        <f t="shared" si="40"/>
        <v/>
      </c>
      <c r="L652" s="37" t="str">
        <f t="shared" si="41"/>
        <v/>
      </c>
      <c r="M652" s="37" t="str">
        <f t="shared" si="42"/>
        <v/>
      </c>
      <c r="N652" s="37" t="str">
        <f t="shared" si="43"/>
        <v/>
      </c>
      <c r="O652" s="37" t="str">
        <f>IF(OR($D652="",$F652=""),"",$F652*IFERROR(VLOOKUP($D652,Maestro_SKU!$A$2:$P$500,12,FALSE),1))</f>
        <v/>
      </c>
    </row>
    <row r="653" spans="1:15" x14ac:dyDescent="0.35">
      <c r="A653" s="25"/>
      <c r="B653" s="24"/>
      <c r="C653" s="24"/>
      <c r="D653" s="24"/>
      <c r="E653" s="28" t="str">
        <f>IFERROR(VLOOKUP(D653,Maestro_SKU!$A$2:$P$500,2,FALSE),"")</f>
        <v/>
      </c>
      <c r="F653" s="24"/>
      <c r="G653" s="30"/>
      <c r="H653" s="24"/>
      <c r="I653" s="24"/>
      <c r="J653" s="24"/>
      <c r="K653" s="37" t="str">
        <f t="shared" si="40"/>
        <v/>
      </c>
      <c r="L653" s="37" t="str">
        <f t="shared" si="41"/>
        <v/>
      </c>
      <c r="M653" s="37" t="str">
        <f t="shared" si="42"/>
        <v/>
      </c>
      <c r="N653" s="37" t="str">
        <f t="shared" si="43"/>
        <v/>
      </c>
      <c r="O653" s="37" t="str">
        <f>IF(OR($D653="",$F653=""),"",$F653*IFERROR(VLOOKUP($D653,Maestro_SKU!$A$2:$P$500,12,FALSE),1))</f>
        <v/>
      </c>
    </row>
    <row r="654" spans="1:15" x14ac:dyDescent="0.35">
      <c r="A654" s="25"/>
      <c r="B654" s="24"/>
      <c r="C654" s="24"/>
      <c r="D654" s="24"/>
      <c r="E654" s="28" t="str">
        <f>IFERROR(VLOOKUP(D654,Maestro_SKU!$A$2:$P$500,2,FALSE),"")</f>
        <v/>
      </c>
      <c r="F654" s="24"/>
      <c r="G654" s="30"/>
      <c r="H654" s="24"/>
      <c r="I654" s="24"/>
      <c r="J654" s="24"/>
      <c r="K654" s="37" t="str">
        <f t="shared" si="40"/>
        <v/>
      </c>
      <c r="L654" s="37" t="str">
        <f t="shared" si="41"/>
        <v/>
      </c>
      <c r="M654" s="37" t="str">
        <f t="shared" si="42"/>
        <v/>
      </c>
      <c r="N654" s="37" t="str">
        <f t="shared" si="43"/>
        <v/>
      </c>
      <c r="O654" s="37" t="str">
        <f>IF(OR($D654="",$F654=""),"",$F654*IFERROR(VLOOKUP($D654,Maestro_SKU!$A$2:$P$500,12,FALSE),1))</f>
        <v/>
      </c>
    </row>
    <row r="655" spans="1:15" x14ac:dyDescent="0.35">
      <c r="A655" s="25"/>
      <c r="B655" s="24"/>
      <c r="C655" s="24"/>
      <c r="D655" s="24"/>
      <c r="E655" s="28" t="str">
        <f>IFERROR(VLOOKUP(D655,Maestro_SKU!$A$2:$P$500,2,FALSE),"")</f>
        <v/>
      </c>
      <c r="F655" s="24"/>
      <c r="G655" s="30"/>
      <c r="H655" s="24"/>
      <c r="I655" s="24"/>
      <c r="J655" s="24"/>
      <c r="K655" s="37" t="str">
        <f t="shared" si="40"/>
        <v/>
      </c>
      <c r="L655" s="37" t="str">
        <f t="shared" si="41"/>
        <v/>
      </c>
      <c r="M655" s="37" t="str">
        <f t="shared" si="42"/>
        <v/>
      </c>
      <c r="N655" s="37" t="str">
        <f t="shared" si="43"/>
        <v/>
      </c>
      <c r="O655" s="37" t="str">
        <f>IF(OR($D655="",$F655=""),"",$F655*IFERROR(VLOOKUP($D655,Maestro_SKU!$A$2:$P$500,12,FALSE),1))</f>
        <v/>
      </c>
    </row>
    <row r="656" spans="1:15" x14ac:dyDescent="0.35">
      <c r="A656" s="25"/>
      <c r="B656" s="24"/>
      <c r="C656" s="24"/>
      <c r="D656" s="24"/>
      <c r="E656" s="28" t="str">
        <f>IFERROR(VLOOKUP(D656,Maestro_SKU!$A$2:$P$500,2,FALSE),"")</f>
        <v/>
      </c>
      <c r="F656" s="24"/>
      <c r="G656" s="30"/>
      <c r="H656" s="24"/>
      <c r="I656" s="24"/>
      <c r="J656" s="24"/>
      <c r="K656" s="37" t="str">
        <f t="shared" si="40"/>
        <v/>
      </c>
      <c r="L656" s="37" t="str">
        <f t="shared" si="41"/>
        <v/>
      </c>
      <c r="M656" s="37" t="str">
        <f t="shared" si="42"/>
        <v/>
      </c>
      <c r="N656" s="37" t="str">
        <f t="shared" si="43"/>
        <v/>
      </c>
      <c r="O656" s="37" t="str">
        <f>IF(OR($D656="",$F656=""),"",$F656*IFERROR(VLOOKUP($D656,Maestro_SKU!$A$2:$P$500,12,FALSE),1))</f>
        <v/>
      </c>
    </row>
    <row r="657" spans="1:15" x14ac:dyDescent="0.35">
      <c r="A657" s="25"/>
      <c r="B657" s="24"/>
      <c r="C657" s="24"/>
      <c r="D657" s="24"/>
      <c r="E657" s="28" t="str">
        <f>IFERROR(VLOOKUP(D657,Maestro_SKU!$A$2:$P$500,2,FALSE),"")</f>
        <v/>
      </c>
      <c r="F657" s="24"/>
      <c r="G657" s="30"/>
      <c r="H657" s="24"/>
      <c r="I657" s="24"/>
      <c r="J657" s="24"/>
      <c r="K657" s="37" t="str">
        <f t="shared" si="40"/>
        <v/>
      </c>
      <c r="L657" s="37" t="str">
        <f t="shared" si="41"/>
        <v/>
      </c>
      <c r="M657" s="37" t="str">
        <f t="shared" si="42"/>
        <v/>
      </c>
      <c r="N657" s="37" t="str">
        <f t="shared" si="43"/>
        <v/>
      </c>
      <c r="O657" s="37" t="str">
        <f>IF(OR($D657="",$F657=""),"",$F657*IFERROR(VLOOKUP($D657,Maestro_SKU!$A$2:$P$500,12,FALSE),1))</f>
        <v/>
      </c>
    </row>
    <row r="658" spans="1:15" x14ac:dyDescent="0.35">
      <c r="A658" s="25"/>
      <c r="B658" s="24"/>
      <c r="C658" s="24"/>
      <c r="D658" s="24"/>
      <c r="E658" s="28" t="str">
        <f>IFERROR(VLOOKUP(D658,Maestro_SKU!$A$2:$P$500,2,FALSE),"")</f>
        <v/>
      </c>
      <c r="F658" s="24"/>
      <c r="G658" s="30"/>
      <c r="H658" s="24"/>
      <c r="I658" s="24"/>
      <c r="J658" s="24"/>
      <c r="K658" s="37" t="str">
        <f t="shared" si="40"/>
        <v/>
      </c>
      <c r="L658" s="37" t="str">
        <f t="shared" si="41"/>
        <v/>
      </c>
      <c r="M658" s="37" t="str">
        <f t="shared" si="42"/>
        <v/>
      </c>
      <c r="N658" s="37" t="str">
        <f t="shared" si="43"/>
        <v/>
      </c>
      <c r="O658" s="37" t="str">
        <f>IF(OR($D658="",$F658=""),"",$F658*IFERROR(VLOOKUP($D658,Maestro_SKU!$A$2:$P$500,12,FALSE),1))</f>
        <v/>
      </c>
    </row>
    <row r="659" spans="1:15" x14ac:dyDescent="0.35">
      <c r="A659" s="25"/>
      <c r="B659" s="24"/>
      <c r="C659" s="24"/>
      <c r="D659" s="24"/>
      <c r="E659" s="28" t="str">
        <f>IFERROR(VLOOKUP(D659,Maestro_SKU!$A$2:$P$500,2,FALSE),"")</f>
        <v/>
      </c>
      <c r="F659" s="24"/>
      <c r="G659" s="30"/>
      <c r="H659" s="24"/>
      <c r="I659" s="24"/>
      <c r="J659" s="24"/>
      <c r="K659" s="37" t="str">
        <f t="shared" si="40"/>
        <v/>
      </c>
      <c r="L659" s="37" t="str">
        <f t="shared" si="41"/>
        <v/>
      </c>
      <c r="M659" s="37" t="str">
        <f t="shared" si="42"/>
        <v/>
      </c>
      <c r="N659" s="37" t="str">
        <f t="shared" si="43"/>
        <v/>
      </c>
      <c r="O659" s="37" t="str">
        <f>IF(OR($D659="",$F659=""),"",$F659*IFERROR(VLOOKUP($D659,Maestro_SKU!$A$2:$P$500,12,FALSE),1))</f>
        <v/>
      </c>
    </row>
    <row r="660" spans="1:15" x14ac:dyDescent="0.35">
      <c r="A660" s="25"/>
      <c r="B660" s="24"/>
      <c r="C660" s="24"/>
      <c r="D660" s="24"/>
      <c r="E660" s="28" t="str">
        <f>IFERROR(VLOOKUP(D660,Maestro_SKU!$A$2:$P$500,2,FALSE),"")</f>
        <v/>
      </c>
      <c r="F660" s="24"/>
      <c r="G660" s="30"/>
      <c r="H660" s="24"/>
      <c r="I660" s="24"/>
      <c r="J660" s="24"/>
      <c r="K660" s="37" t="str">
        <f t="shared" si="40"/>
        <v/>
      </c>
      <c r="L660" s="37" t="str">
        <f t="shared" si="41"/>
        <v/>
      </c>
      <c r="M660" s="37" t="str">
        <f t="shared" si="42"/>
        <v/>
      </c>
      <c r="N660" s="37" t="str">
        <f t="shared" si="43"/>
        <v/>
      </c>
      <c r="O660" s="37" t="str">
        <f>IF(OR($D660="",$F660=""),"",$F660*IFERROR(VLOOKUP($D660,Maestro_SKU!$A$2:$P$500,12,FALSE),1))</f>
        <v/>
      </c>
    </row>
    <row r="661" spans="1:15" x14ac:dyDescent="0.35">
      <c r="A661" s="25"/>
      <c r="B661" s="24"/>
      <c r="C661" s="24"/>
      <c r="D661" s="24"/>
      <c r="E661" s="28" t="str">
        <f>IFERROR(VLOOKUP(D661,Maestro_SKU!$A$2:$P$500,2,FALSE),"")</f>
        <v/>
      </c>
      <c r="F661" s="24"/>
      <c r="G661" s="30"/>
      <c r="H661" s="24"/>
      <c r="I661" s="24"/>
      <c r="J661" s="24"/>
      <c r="K661" s="37" t="str">
        <f t="shared" si="40"/>
        <v/>
      </c>
      <c r="L661" s="37" t="str">
        <f t="shared" si="41"/>
        <v/>
      </c>
      <c r="M661" s="37" t="str">
        <f t="shared" si="42"/>
        <v/>
      </c>
      <c r="N661" s="37" t="str">
        <f t="shared" si="43"/>
        <v/>
      </c>
      <c r="O661" s="37" t="str">
        <f>IF(OR($D661="",$F661=""),"",$F661*IFERROR(VLOOKUP($D661,Maestro_SKU!$A$2:$P$500,12,FALSE),1))</f>
        <v/>
      </c>
    </row>
    <row r="662" spans="1:15" x14ac:dyDescent="0.35">
      <c r="A662" s="25"/>
      <c r="B662" s="24"/>
      <c r="C662" s="24"/>
      <c r="D662" s="24"/>
      <c r="E662" s="28" t="str">
        <f>IFERROR(VLOOKUP(D662,Maestro_SKU!$A$2:$P$500,2,FALSE),"")</f>
        <v/>
      </c>
      <c r="F662" s="24"/>
      <c r="G662" s="30"/>
      <c r="H662" s="24"/>
      <c r="I662" s="24"/>
      <c r="J662" s="24"/>
      <c r="K662" s="37" t="str">
        <f t="shared" si="40"/>
        <v/>
      </c>
      <c r="L662" s="37" t="str">
        <f t="shared" si="41"/>
        <v/>
      </c>
      <c r="M662" s="37" t="str">
        <f t="shared" si="42"/>
        <v/>
      </c>
      <c r="N662" s="37" t="str">
        <f t="shared" si="43"/>
        <v/>
      </c>
      <c r="O662" s="37" t="str">
        <f>IF(OR($D662="",$F662=""),"",$F662*IFERROR(VLOOKUP($D662,Maestro_SKU!$A$2:$P$500,12,FALSE),1))</f>
        <v/>
      </c>
    </row>
    <row r="663" spans="1:15" x14ac:dyDescent="0.35">
      <c r="A663" s="25"/>
      <c r="B663" s="24"/>
      <c r="C663" s="24"/>
      <c r="D663" s="24"/>
      <c r="E663" s="28" t="str">
        <f>IFERROR(VLOOKUP(D663,Maestro_SKU!$A$2:$P$500,2,FALSE),"")</f>
        <v/>
      </c>
      <c r="F663" s="24"/>
      <c r="G663" s="30"/>
      <c r="H663" s="24"/>
      <c r="I663" s="24"/>
      <c r="J663" s="24"/>
      <c r="K663" s="37" t="str">
        <f t="shared" si="40"/>
        <v/>
      </c>
      <c r="L663" s="37" t="str">
        <f t="shared" si="41"/>
        <v/>
      </c>
      <c r="M663" s="37" t="str">
        <f t="shared" si="42"/>
        <v/>
      </c>
      <c r="N663" s="37" t="str">
        <f t="shared" si="43"/>
        <v/>
      </c>
      <c r="O663" s="37" t="str">
        <f>IF(OR($D663="",$F663=""),"",$F663*IFERROR(VLOOKUP($D663,Maestro_SKU!$A$2:$P$500,12,FALSE),1))</f>
        <v/>
      </c>
    </row>
    <row r="664" spans="1:15" x14ac:dyDescent="0.35">
      <c r="A664" s="25"/>
      <c r="B664" s="24"/>
      <c r="C664" s="24"/>
      <c r="D664" s="24"/>
      <c r="E664" s="28" t="str">
        <f>IFERROR(VLOOKUP(D664,Maestro_SKU!$A$2:$P$500,2,FALSE),"")</f>
        <v/>
      </c>
      <c r="F664" s="24"/>
      <c r="G664" s="30"/>
      <c r="H664" s="24"/>
      <c r="I664" s="24"/>
      <c r="J664" s="24"/>
      <c r="K664" s="37" t="str">
        <f t="shared" si="40"/>
        <v/>
      </c>
      <c r="L664" s="37" t="str">
        <f t="shared" si="41"/>
        <v/>
      </c>
      <c r="M664" s="37" t="str">
        <f t="shared" si="42"/>
        <v/>
      </c>
      <c r="N664" s="37" t="str">
        <f t="shared" si="43"/>
        <v/>
      </c>
      <c r="O664" s="37" t="str">
        <f>IF(OR($D664="",$F664=""),"",$F664*IFERROR(VLOOKUP($D664,Maestro_SKU!$A$2:$P$500,12,FALSE),1))</f>
        <v/>
      </c>
    </row>
    <row r="665" spans="1:15" x14ac:dyDescent="0.35">
      <c r="A665" s="25"/>
      <c r="B665" s="24"/>
      <c r="C665" s="24"/>
      <c r="D665" s="24"/>
      <c r="E665" s="28" t="str">
        <f>IFERROR(VLOOKUP(D665,Maestro_SKU!$A$2:$P$500,2,FALSE),"")</f>
        <v/>
      </c>
      <c r="F665" s="24"/>
      <c r="G665" s="30"/>
      <c r="H665" s="24"/>
      <c r="I665" s="24"/>
      <c r="J665" s="24"/>
      <c r="K665" s="37" t="str">
        <f t="shared" si="40"/>
        <v/>
      </c>
      <c r="L665" s="37" t="str">
        <f t="shared" si="41"/>
        <v/>
      </c>
      <c r="M665" s="37" t="str">
        <f t="shared" si="42"/>
        <v/>
      </c>
      <c r="N665" s="37" t="str">
        <f t="shared" si="43"/>
        <v/>
      </c>
      <c r="O665" s="37" t="str">
        <f>IF(OR($D665="",$F665=""),"",$F665*IFERROR(VLOOKUP($D665,Maestro_SKU!$A$2:$P$500,12,FALSE),1))</f>
        <v/>
      </c>
    </row>
    <row r="666" spans="1:15" x14ac:dyDescent="0.35">
      <c r="A666" s="25"/>
      <c r="B666" s="24"/>
      <c r="C666" s="24"/>
      <c r="D666" s="24"/>
      <c r="E666" s="28" t="str">
        <f>IFERROR(VLOOKUP(D666,Maestro_SKU!$A$2:$P$500,2,FALSE),"")</f>
        <v/>
      </c>
      <c r="F666" s="24"/>
      <c r="G666" s="30"/>
      <c r="H666" s="24"/>
      <c r="I666" s="24"/>
      <c r="J666" s="24"/>
      <c r="K666" s="37" t="str">
        <f t="shared" si="40"/>
        <v/>
      </c>
      <c r="L666" s="37" t="str">
        <f t="shared" si="41"/>
        <v/>
      </c>
      <c r="M666" s="37" t="str">
        <f t="shared" si="42"/>
        <v/>
      </c>
      <c r="N666" s="37" t="str">
        <f t="shared" si="43"/>
        <v/>
      </c>
      <c r="O666" s="37" t="str">
        <f>IF(OR($D666="",$F666=""),"",$F666*IFERROR(VLOOKUP($D666,Maestro_SKU!$A$2:$P$500,12,FALSE),1))</f>
        <v/>
      </c>
    </row>
    <row r="667" spans="1:15" x14ac:dyDescent="0.35">
      <c r="A667" s="25"/>
      <c r="B667" s="24"/>
      <c r="C667" s="24"/>
      <c r="D667" s="24"/>
      <c r="E667" s="28" t="str">
        <f>IFERROR(VLOOKUP(D667,Maestro_SKU!$A$2:$P$500,2,FALSE),"")</f>
        <v/>
      </c>
      <c r="F667" s="24"/>
      <c r="G667" s="30"/>
      <c r="H667" s="24"/>
      <c r="I667" s="24"/>
      <c r="J667" s="24"/>
      <c r="K667" s="37" t="str">
        <f t="shared" si="40"/>
        <v/>
      </c>
      <c r="L667" s="37" t="str">
        <f t="shared" si="41"/>
        <v/>
      </c>
      <c r="M667" s="37" t="str">
        <f t="shared" si="42"/>
        <v/>
      </c>
      <c r="N667" s="37" t="str">
        <f t="shared" si="43"/>
        <v/>
      </c>
      <c r="O667" s="37" t="str">
        <f>IF(OR($D667="",$F667=""),"",$F667*IFERROR(VLOOKUP($D667,Maestro_SKU!$A$2:$P$500,12,FALSE),1))</f>
        <v/>
      </c>
    </row>
    <row r="668" spans="1:15" x14ac:dyDescent="0.35">
      <c r="A668" s="25"/>
      <c r="B668" s="24"/>
      <c r="C668" s="24"/>
      <c r="D668" s="24"/>
      <c r="E668" s="28" t="str">
        <f>IFERROR(VLOOKUP(D668,Maestro_SKU!$A$2:$P$500,2,FALSE),"")</f>
        <v/>
      </c>
      <c r="F668" s="24"/>
      <c r="G668" s="30"/>
      <c r="H668" s="24"/>
      <c r="I668" s="24"/>
      <c r="J668" s="24"/>
      <c r="K668" s="37" t="str">
        <f t="shared" si="40"/>
        <v/>
      </c>
      <c r="L668" s="37" t="str">
        <f t="shared" si="41"/>
        <v/>
      </c>
      <c r="M668" s="37" t="str">
        <f t="shared" si="42"/>
        <v/>
      </c>
      <c r="N668" s="37" t="str">
        <f t="shared" si="43"/>
        <v/>
      </c>
      <c r="O668" s="37" t="str">
        <f>IF(OR($D668="",$F668=""),"",$F668*IFERROR(VLOOKUP($D668,Maestro_SKU!$A$2:$P$500,12,FALSE),1))</f>
        <v/>
      </c>
    </row>
    <row r="669" spans="1:15" x14ac:dyDescent="0.35">
      <c r="A669" s="25"/>
      <c r="B669" s="24"/>
      <c r="C669" s="24"/>
      <c r="D669" s="24"/>
      <c r="E669" s="28" t="str">
        <f>IFERROR(VLOOKUP(D669,Maestro_SKU!$A$2:$P$500,2,FALSE),"")</f>
        <v/>
      </c>
      <c r="F669" s="24"/>
      <c r="G669" s="30"/>
      <c r="H669" s="24"/>
      <c r="I669" s="24"/>
      <c r="J669" s="24"/>
      <c r="K669" s="37" t="str">
        <f t="shared" si="40"/>
        <v/>
      </c>
      <c r="L669" s="37" t="str">
        <f t="shared" si="41"/>
        <v/>
      </c>
      <c r="M669" s="37" t="str">
        <f t="shared" si="42"/>
        <v/>
      </c>
      <c r="N669" s="37" t="str">
        <f t="shared" si="43"/>
        <v/>
      </c>
      <c r="O669" s="37" t="str">
        <f>IF(OR($D669="",$F669=""),"",$F669*IFERROR(VLOOKUP($D669,Maestro_SKU!$A$2:$P$500,12,FALSE),1))</f>
        <v/>
      </c>
    </row>
    <row r="670" spans="1:15" x14ac:dyDescent="0.35">
      <c r="A670" s="25"/>
      <c r="B670" s="24"/>
      <c r="C670" s="24"/>
      <c r="D670" s="24"/>
      <c r="E670" s="28" t="str">
        <f>IFERROR(VLOOKUP(D670,Maestro_SKU!$A$2:$P$500,2,FALSE),"")</f>
        <v/>
      </c>
      <c r="F670" s="24"/>
      <c r="G670" s="30"/>
      <c r="H670" s="24"/>
      <c r="I670" s="24"/>
      <c r="J670" s="24"/>
      <c r="K670" s="37" t="str">
        <f t="shared" si="40"/>
        <v/>
      </c>
      <c r="L670" s="37" t="str">
        <f t="shared" si="41"/>
        <v/>
      </c>
      <c r="M670" s="37" t="str">
        <f t="shared" si="42"/>
        <v/>
      </c>
      <c r="N670" s="37" t="str">
        <f t="shared" si="43"/>
        <v/>
      </c>
      <c r="O670" s="37" t="str">
        <f>IF(OR($D670="",$F670=""),"",$F670*IFERROR(VLOOKUP($D670,Maestro_SKU!$A$2:$P$500,12,FALSE),1))</f>
        <v/>
      </c>
    </row>
    <row r="671" spans="1:15" x14ac:dyDescent="0.35">
      <c r="A671" s="25"/>
      <c r="B671" s="24"/>
      <c r="C671" s="24"/>
      <c r="D671" s="24"/>
      <c r="E671" s="28" t="str">
        <f>IFERROR(VLOOKUP(D671,Maestro_SKU!$A$2:$P$500,2,FALSE),"")</f>
        <v/>
      </c>
      <c r="F671" s="24"/>
      <c r="G671" s="30"/>
      <c r="H671" s="24"/>
      <c r="I671" s="24"/>
      <c r="J671" s="24"/>
      <c r="K671" s="37" t="str">
        <f t="shared" si="40"/>
        <v/>
      </c>
      <c r="L671" s="37" t="str">
        <f t="shared" si="41"/>
        <v/>
      </c>
      <c r="M671" s="37" t="str">
        <f t="shared" si="42"/>
        <v/>
      </c>
      <c r="N671" s="37" t="str">
        <f t="shared" si="43"/>
        <v/>
      </c>
      <c r="O671" s="37" t="str">
        <f>IF(OR($D671="",$F671=""),"",$F671*IFERROR(VLOOKUP($D671,Maestro_SKU!$A$2:$P$500,12,FALSE),1))</f>
        <v/>
      </c>
    </row>
    <row r="672" spans="1:15" x14ac:dyDescent="0.35">
      <c r="A672" s="25"/>
      <c r="B672" s="24"/>
      <c r="C672" s="24"/>
      <c r="D672" s="24"/>
      <c r="E672" s="28" t="str">
        <f>IFERROR(VLOOKUP(D672,Maestro_SKU!$A$2:$P$500,2,FALSE),"")</f>
        <v/>
      </c>
      <c r="F672" s="24"/>
      <c r="G672" s="30"/>
      <c r="H672" s="24"/>
      <c r="I672" s="24"/>
      <c r="J672" s="24"/>
      <c r="K672" s="37" t="str">
        <f t="shared" si="40"/>
        <v/>
      </c>
      <c r="L672" s="37" t="str">
        <f t="shared" si="41"/>
        <v/>
      </c>
      <c r="M672" s="37" t="str">
        <f t="shared" si="42"/>
        <v/>
      </c>
      <c r="N672" s="37" t="str">
        <f t="shared" si="43"/>
        <v/>
      </c>
      <c r="O672" s="37" t="str">
        <f>IF(OR($D672="",$F672=""),"",$F672*IFERROR(VLOOKUP($D672,Maestro_SKU!$A$2:$P$500,12,FALSE),1))</f>
        <v/>
      </c>
    </row>
    <row r="673" spans="1:15" x14ac:dyDescent="0.35">
      <c r="A673" s="25"/>
      <c r="B673" s="24"/>
      <c r="C673" s="24"/>
      <c r="D673" s="24"/>
      <c r="E673" s="28" t="str">
        <f>IFERROR(VLOOKUP(D673,Maestro_SKU!$A$2:$P$500,2,FALSE),"")</f>
        <v/>
      </c>
      <c r="F673" s="24"/>
      <c r="G673" s="30"/>
      <c r="H673" s="24"/>
      <c r="I673" s="24"/>
      <c r="J673" s="24"/>
      <c r="K673" s="37" t="str">
        <f t="shared" si="40"/>
        <v/>
      </c>
      <c r="L673" s="37" t="str">
        <f t="shared" si="41"/>
        <v/>
      </c>
      <c r="M673" s="37" t="str">
        <f t="shared" si="42"/>
        <v/>
      </c>
      <c r="N673" s="37" t="str">
        <f t="shared" si="43"/>
        <v/>
      </c>
      <c r="O673" s="37" t="str">
        <f>IF(OR($D673="",$F673=""),"",$F673*IFERROR(VLOOKUP($D673,Maestro_SKU!$A$2:$P$500,12,FALSE),1))</f>
        <v/>
      </c>
    </row>
    <row r="674" spans="1:15" x14ac:dyDescent="0.35">
      <c r="A674" s="25"/>
      <c r="B674" s="24"/>
      <c r="C674" s="24"/>
      <c r="D674" s="24"/>
      <c r="E674" s="28" t="str">
        <f>IFERROR(VLOOKUP(D674,Maestro_SKU!$A$2:$P$500,2,FALSE),"")</f>
        <v/>
      </c>
      <c r="F674" s="24"/>
      <c r="G674" s="30"/>
      <c r="H674" s="24"/>
      <c r="I674" s="24"/>
      <c r="J674" s="24"/>
      <c r="K674" s="37" t="str">
        <f t="shared" si="40"/>
        <v/>
      </c>
      <c r="L674" s="37" t="str">
        <f t="shared" si="41"/>
        <v/>
      </c>
      <c r="M674" s="37" t="str">
        <f t="shared" si="42"/>
        <v/>
      </c>
      <c r="N674" s="37" t="str">
        <f t="shared" si="43"/>
        <v/>
      </c>
      <c r="O674" s="37" t="str">
        <f>IF(OR($D674="",$F674=""),"",$F674*IFERROR(VLOOKUP($D674,Maestro_SKU!$A$2:$P$500,12,FALSE),1))</f>
        <v/>
      </c>
    </row>
    <row r="675" spans="1:15" x14ac:dyDescent="0.35">
      <c r="A675" s="25"/>
      <c r="B675" s="24"/>
      <c r="C675" s="24"/>
      <c r="D675" s="24"/>
      <c r="E675" s="28" t="str">
        <f>IFERROR(VLOOKUP(D675,Maestro_SKU!$A$2:$P$500,2,FALSE),"")</f>
        <v/>
      </c>
      <c r="F675" s="24"/>
      <c r="G675" s="30"/>
      <c r="H675" s="24"/>
      <c r="I675" s="24"/>
      <c r="J675" s="24"/>
      <c r="K675" s="37" t="str">
        <f t="shared" si="40"/>
        <v/>
      </c>
      <c r="L675" s="37" t="str">
        <f t="shared" si="41"/>
        <v/>
      </c>
      <c r="M675" s="37" t="str">
        <f t="shared" si="42"/>
        <v/>
      </c>
      <c r="N675" s="37" t="str">
        <f t="shared" si="43"/>
        <v/>
      </c>
      <c r="O675" s="37" t="str">
        <f>IF(OR($D675="",$F675=""),"",$F675*IFERROR(VLOOKUP($D675,Maestro_SKU!$A$2:$P$500,12,FALSE),1))</f>
        <v/>
      </c>
    </row>
    <row r="676" spans="1:15" x14ac:dyDescent="0.35">
      <c r="A676" s="25"/>
      <c r="B676" s="24"/>
      <c r="C676" s="24"/>
      <c r="D676" s="24"/>
      <c r="E676" s="28" t="str">
        <f>IFERROR(VLOOKUP(D676,Maestro_SKU!$A$2:$P$500,2,FALSE),"")</f>
        <v/>
      </c>
      <c r="F676" s="24"/>
      <c r="G676" s="30"/>
      <c r="H676" s="24"/>
      <c r="I676" s="24"/>
      <c r="J676" s="24"/>
      <c r="K676" s="37" t="str">
        <f t="shared" si="40"/>
        <v/>
      </c>
      <c r="L676" s="37" t="str">
        <f t="shared" si="41"/>
        <v/>
      </c>
      <c r="M676" s="37" t="str">
        <f t="shared" si="42"/>
        <v/>
      </c>
      <c r="N676" s="37" t="str">
        <f t="shared" si="43"/>
        <v/>
      </c>
      <c r="O676" s="37" t="str">
        <f>IF(OR($D676="",$F676=""),"",$F676*IFERROR(VLOOKUP($D676,Maestro_SKU!$A$2:$P$500,12,FALSE),1))</f>
        <v/>
      </c>
    </row>
    <row r="677" spans="1:15" x14ac:dyDescent="0.35">
      <c r="A677" s="25"/>
      <c r="B677" s="24"/>
      <c r="C677" s="24"/>
      <c r="D677" s="24"/>
      <c r="E677" s="28" t="str">
        <f>IFERROR(VLOOKUP(D677,Maestro_SKU!$A$2:$P$500,2,FALSE),"")</f>
        <v/>
      </c>
      <c r="F677" s="24"/>
      <c r="G677" s="30"/>
      <c r="H677" s="24"/>
      <c r="I677" s="24"/>
      <c r="J677" s="24"/>
      <c r="K677" s="37" t="str">
        <f t="shared" si="40"/>
        <v/>
      </c>
      <c r="L677" s="37" t="str">
        <f t="shared" si="41"/>
        <v/>
      </c>
      <c r="M677" s="37" t="str">
        <f t="shared" si="42"/>
        <v/>
      </c>
      <c r="N677" s="37" t="str">
        <f t="shared" si="43"/>
        <v/>
      </c>
      <c r="O677" s="37" t="str">
        <f>IF(OR($D677="",$F677=""),"",$F677*IFERROR(VLOOKUP($D677,Maestro_SKU!$A$2:$P$500,12,FALSE),1))</f>
        <v/>
      </c>
    </row>
    <row r="678" spans="1:15" x14ac:dyDescent="0.35">
      <c r="A678" s="25"/>
      <c r="B678" s="24"/>
      <c r="C678" s="24"/>
      <c r="D678" s="24"/>
      <c r="E678" s="28" t="str">
        <f>IFERROR(VLOOKUP(D678,Maestro_SKU!$A$2:$P$500,2,FALSE),"")</f>
        <v/>
      </c>
      <c r="F678" s="24"/>
      <c r="G678" s="30"/>
      <c r="H678" s="24"/>
      <c r="I678" s="24"/>
      <c r="J678" s="24"/>
      <c r="K678" s="37" t="str">
        <f t="shared" si="40"/>
        <v/>
      </c>
      <c r="L678" s="37" t="str">
        <f t="shared" si="41"/>
        <v/>
      </c>
      <c r="M678" s="37" t="str">
        <f t="shared" si="42"/>
        <v/>
      </c>
      <c r="N678" s="37" t="str">
        <f t="shared" si="43"/>
        <v/>
      </c>
      <c r="O678" s="37" t="str">
        <f>IF(OR($D678="",$F678=""),"",$F678*IFERROR(VLOOKUP($D678,Maestro_SKU!$A$2:$P$500,12,FALSE),1))</f>
        <v/>
      </c>
    </row>
    <row r="679" spans="1:15" x14ac:dyDescent="0.35">
      <c r="A679" s="25"/>
      <c r="B679" s="24"/>
      <c r="C679" s="24"/>
      <c r="D679" s="24"/>
      <c r="E679" s="28" t="str">
        <f>IFERROR(VLOOKUP(D679,Maestro_SKU!$A$2:$P$500,2,FALSE),"")</f>
        <v/>
      </c>
      <c r="F679" s="24"/>
      <c r="G679" s="30"/>
      <c r="H679" s="24"/>
      <c r="I679" s="24"/>
      <c r="J679" s="24"/>
      <c r="K679" s="37" t="str">
        <f t="shared" si="40"/>
        <v/>
      </c>
      <c r="L679" s="37" t="str">
        <f t="shared" si="41"/>
        <v/>
      </c>
      <c r="M679" s="37" t="str">
        <f t="shared" si="42"/>
        <v/>
      </c>
      <c r="N679" s="37" t="str">
        <f t="shared" si="43"/>
        <v/>
      </c>
      <c r="O679" s="37" t="str">
        <f>IF(OR($D679="",$F679=""),"",$F679*IFERROR(VLOOKUP($D679,Maestro_SKU!$A$2:$P$500,12,FALSE),1))</f>
        <v/>
      </c>
    </row>
    <row r="680" spans="1:15" x14ac:dyDescent="0.35">
      <c r="A680" s="25"/>
      <c r="B680" s="24"/>
      <c r="C680" s="24"/>
      <c r="D680" s="24"/>
      <c r="E680" s="28" t="str">
        <f>IFERROR(VLOOKUP(D680,Maestro_SKU!$A$2:$P$500,2,FALSE),"")</f>
        <v/>
      </c>
      <c r="F680" s="24"/>
      <c r="G680" s="30"/>
      <c r="H680" s="24"/>
      <c r="I680" s="24"/>
      <c r="J680" s="24"/>
      <c r="K680" s="37" t="str">
        <f t="shared" si="40"/>
        <v/>
      </c>
      <c r="L680" s="37" t="str">
        <f t="shared" si="41"/>
        <v/>
      </c>
      <c r="M680" s="37" t="str">
        <f t="shared" si="42"/>
        <v/>
      </c>
      <c r="N680" s="37" t="str">
        <f t="shared" si="43"/>
        <v/>
      </c>
      <c r="O680" s="37" t="str">
        <f>IF(OR($D680="",$F680=""),"",$F680*IFERROR(VLOOKUP($D680,Maestro_SKU!$A$2:$P$500,12,FALSE),1))</f>
        <v/>
      </c>
    </row>
    <row r="681" spans="1:15" x14ac:dyDescent="0.35">
      <c r="A681" s="25"/>
      <c r="B681" s="24"/>
      <c r="C681" s="24"/>
      <c r="D681" s="24"/>
      <c r="E681" s="28" t="str">
        <f>IFERROR(VLOOKUP(D681,Maestro_SKU!$A$2:$P$500,2,FALSE),"")</f>
        <v/>
      </c>
      <c r="F681" s="24"/>
      <c r="G681" s="30"/>
      <c r="H681" s="24"/>
      <c r="I681" s="24"/>
      <c r="J681" s="24"/>
      <c r="K681" s="37" t="str">
        <f t="shared" si="40"/>
        <v/>
      </c>
      <c r="L681" s="37" t="str">
        <f t="shared" si="41"/>
        <v/>
      </c>
      <c r="M681" s="37" t="str">
        <f t="shared" si="42"/>
        <v/>
      </c>
      <c r="N681" s="37" t="str">
        <f t="shared" si="43"/>
        <v/>
      </c>
      <c r="O681" s="37" t="str">
        <f>IF(OR($D681="",$F681=""),"",$F681*IFERROR(VLOOKUP($D681,Maestro_SKU!$A$2:$P$500,12,FALSE),1))</f>
        <v/>
      </c>
    </row>
    <row r="682" spans="1:15" x14ac:dyDescent="0.35">
      <c r="A682" s="25"/>
      <c r="B682" s="24"/>
      <c r="C682" s="24"/>
      <c r="D682" s="24"/>
      <c r="E682" s="28" t="str">
        <f>IFERROR(VLOOKUP(D682,Maestro_SKU!$A$2:$P$500,2,FALSE),"")</f>
        <v/>
      </c>
      <c r="F682" s="24"/>
      <c r="G682" s="30"/>
      <c r="H682" s="24"/>
      <c r="I682" s="24"/>
      <c r="J682" s="24"/>
      <c r="K682" s="37" t="str">
        <f t="shared" si="40"/>
        <v/>
      </c>
      <c r="L682" s="37" t="str">
        <f t="shared" si="41"/>
        <v/>
      </c>
      <c r="M682" s="37" t="str">
        <f t="shared" si="42"/>
        <v/>
      </c>
      <c r="N682" s="37" t="str">
        <f t="shared" si="43"/>
        <v/>
      </c>
      <c r="O682" s="37" t="str">
        <f>IF(OR($D682="",$F682=""),"",$F682*IFERROR(VLOOKUP($D682,Maestro_SKU!$A$2:$P$500,12,FALSE),1))</f>
        <v/>
      </c>
    </row>
    <row r="683" spans="1:15" x14ac:dyDescent="0.35">
      <c r="A683" s="25"/>
      <c r="B683" s="24"/>
      <c r="C683" s="24"/>
      <c r="D683" s="24"/>
      <c r="E683" s="28" t="str">
        <f>IFERROR(VLOOKUP(D683,Maestro_SKU!$A$2:$P$500,2,FALSE),"")</f>
        <v/>
      </c>
      <c r="F683" s="24"/>
      <c r="G683" s="30"/>
      <c r="H683" s="24"/>
      <c r="I683" s="24"/>
      <c r="J683" s="24"/>
      <c r="K683" s="37" t="str">
        <f t="shared" si="40"/>
        <v/>
      </c>
      <c r="L683" s="37" t="str">
        <f t="shared" si="41"/>
        <v/>
      </c>
      <c r="M683" s="37" t="str">
        <f t="shared" si="42"/>
        <v/>
      </c>
      <c r="N683" s="37" t="str">
        <f t="shared" si="43"/>
        <v/>
      </c>
      <c r="O683" s="37" t="str">
        <f>IF(OR($D683="",$F683=""),"",$F683*IFERROR(VLOOKUP($D683,Maestro_SKU!$A$2:$P$500,12,FALSE),1))</f>
        <v/>
      </c>
    </row>
    <row r="684" spans="1:15" x14ac:dyDescent="0.35">
      <c r="A684" s="25"/>
      <c r="B684" s="24"/>
      <c r="C684" s="24"/>
      <c r="D684" s="24"/>
      <c r="E684" s="28" t="str">
        <f>IFERROR(VLOOKUP(D684,Maestro_SKU!$A$2:$P$500,2,FALSE),"")</f>
        <v/>
      </c>
      <c r="F684" s="24"/>
      <c r="G684" s="30"/>
      <c r="H684" s="24"/>
      <c r="I684" s="24"/>
      <c r="J684" s="24"/>
      <c r="K684" s="37" t="str">
        <f t="shared" si="40"/>
        <v/>
      </c>
      <c r="L684" s="37" t="str">
        <f t="shared" si="41"/>
        <v/>
      </c>
      <c r="M684" s="37" t="str">
        <f t="shared" si="42"/>
        <v/>
      </c>
      <c r="N684" s="37" t="str">
        <f t="shared" si="43"/>
        <v/>
      </c>
      <c r="O684" s="37" t="str">
        <f>IF(OR($D684="",$F684=""),"",$F684*IFERROR(VLOOKUP($D684,Maestro_SKU!$A$2:$P$500,12,FALSE),1))</f>
        <v/>
      </c>
    </row>
    <row r="685" spans="1:15" x14ac:dyDescent="0.35">
      <c r="A685" s="25"/>
      <c r="B685" s="24"/>
      <c r="C685" s="24"/>
      <c r="D685" s="24"/>
      <c r="E685" s="28" t="str">
        <f>IFERROR(VLOOKUP(D685,Maestro_SKU!$A$2:$P$500,2,FALSE),"")</f>
        <v/>
      </c>
      <c r="F685" s="24"/>
      <c r="G685" s="30"/>
      <c r="H685" s="24"/>
      <c r="I685" s="24"/>
      <c r="J685" s="24"/>
      <c r="K685" s="37" t="str">
        <f t="shared" si="40"/>
        <v/>
      </c>
      <c r="L685" s="37" t="str">
        <f t="shared" si="41"/>
        <v/>
      </c>
      <c r="M685" s="37" t="str">
        <f t="shared" si="42"/>
        <v/>
      </c>
      <c r="N685" s="37" t="str">
        <f t="shared" si="43"/>
        <v/>
      </c>
      <c r="O685" s="37" t="str">
        <f>IF(OR($D685="",$F685=""),"",$F685*IFERROR(VLOOKUP($D685,Maestro_SKU!$A$2:$P$500,12,FALSE),1))</f>
        <v/>
      </c>
    </row>
    <row r="686" spans="1:15" x14ac:dyDescent="0.35">
      <c r="A686" s="25"/>
      <c r="B686" s="24"/>
      <c r="C686" s="24"/>
      <c r="D686" s="24"/>
      <c r="E686" s="28" t="str">
        <f>IFERROR(VLOOKUP(D686,Maestro_SKU!$A$2:$P$500,2,FALSE),"")</f>
        <v/>
      </c>
      <c r="F686" s="24"/>
      <c r="G686" s="30"/>
      <c r="H686" s="24"/>
      <c r="I686" s="24"/>
      <c r="J686" s="24"/>
      <c r="K686" s="37" t="str">
        <f t="shared" si="40"/>
        <v/>
      </c>
      <c r="L686" s="37" t="str">
        <f t="shared" si="41"/>
        <v/>
      </c>
      <c r="M686" s="37" t="str">
        <f t="shared" si="42"/>
        <v/>
      </c>
      <c r="N686" s="37" t="str">
        <f t="shared" si="43"/>
        <v/>
      </c>
      <c r="O686" s="37" t="str">
        <f>IF(OR($D686="",$F686=""),"",$F686*IFERROR(VLOOKUP($D686,Maestro_SKU!$A$2:$P$500,12,FALSE),1))</f>
        <v/>
      </c>
    </row>
    <row r="687" spans="1:15" x14ac:dyDescent="0.35">
      <c r="A687" s="25"/>
      <c r="B687" s="24"/>
      <c r="C687" s="24"/>
      <c r="D687" s="24"/>
      <c r="E687" s="28" t="str">
        <f>IFERROR(VLOOKUP(D687,Maestro_SKU!$A$2:$P$500,2,FALSE),"")</f>
        <v/>
      </c>
      <c r="F687" s="24"/>
      <c r="G687" s="30"/>
      <c r="H687" s="24"/>
      <c r="I687" s="24"/>
      <c r="J687" s="24"/>
      <c r="K687" s="37" t="str">
        <f t="shared" si="40"/>
        <v/>
      </c>
      <c r="L687" s="37" t="str">
        <f t="shared" si="41"/>
        <v/>
      </c>
      <c r="M687" s="37" t="str">
        <f t="shared" si="42"/>
        <v/>
      </c>
      <c r="N687" s="37" t="str">
        <f t="shared" si="43"/>
        <v/>
      </c>
      <c r="O687" s="37" t="str">
        <f>IF(OR($D687="",$F687=""),"",$F687*IFERROR(VLOOKUP($D687,Maestro_SKU!$A$2:$P$500,12,FALSE),1))</f>
        <v/>
      </c>
    </row>
    <row r="688" spans="1:15" x14ac:dyDescent="0.35">
      <c r="A688" s="25"/>
      <c r="B688" s="24"/>
      <c r="C688" s="24"/>
      <c r="D688" s="24"/>
      <c r="E688" s="28" t="str">
        <f>IFERROR(VLOOKUP(D688,Maestro_SKU!$A$2:$P$500,2,FALSE),"")</f>
        <v/>
      </c>
      <c r="F688" s="24"/>
      <c r="G688" s="30"/>
      <c r="H688" s="24"/>
      <c r="I688" s="24"/>
      <c r="J688" s="24"/>
      <c r="K688" s="37" t="str">
        <f t="shared" si="40"/>
        <v/>
      </c>
      <c r="L688" s="37" t="str">
        <f t="shared" si="41"/>
        <v/>
      </c>
      <c r="M688" s="37" t="str">
        <f t="shared" si="42"/>
        <v/>
      </c>
      <c r="N688" s="37" t="str">
        <f t="shared" si="43"/>
        <v/>
      </c>
      <c r="O688" s="37" t="str">
        <f>IF(OR($D688="",$F688=""),"",$F688*IFERROR(VLOOKUP($D688,Maestro_SKU!$A$2:$P$500,12,FALSE),1))</f>
        <v/>
      </c>
    </row>
    <row r="689" spans="1:15" x14ac:dyDescent="0.35">
      <c r="A689" s="25"/>
      <c r="B689" s="24"/>
      <c r="C689" s="24"/>
      <c r="D689" s="24"/>
      <c r="E689" s="28" t="str">
        <f>IFERROR(VLOOKUP(D689,Maestro_SKU!$A$2:$P$500,2,FALSE),"")</f>
        <v/>
      </c>
      <c r="F689" s="24"/>
      <c r="G689" s="30"/>
      <c r="H689" s="24"/>
      <c r="I689" s="24"/>
      <c r="J689" s="24"/>
      <c r="K689" s="37" t="str">
        <f t="shared" si="40"/>
        <v/>
      </c>
      <c r="L689" s="37" t="str">
        <f t="shared" si="41"/>
        <v/>
      </c>
      <c r="M689" s="37" t="str">
        <f t="shared" si="42"/>
        <v/>
      </c>
      <c r="N689" s="37" t="str">
        <f t="shared" si="43"/>
        <v/>
      </c>
      <c r="O689" s="37" t="str">
        <f>IF(OR($D689="",$F689=""),"",$F689*IFERROR(VLOOKUP($D689,Maestro_SKU!$A$2:$P$500,12,FALSE),1))</f>
        <v/>
      </c>
    </row>
    <row r="690" spans="1:15" x14ac:dyDescent="0.35">
      <c r="A690" s="25"/>
      <c r="B690" s="24"/>
      <c r="C690" s="24"/>
      <c r="D690" s="24"/>
      <c r="E690" s="28" t="str">
        <f>IFERROR(VLOOKUP(D690,Maestro_SKU!$A$2:$P$500,2,FALSE),"")</f>
        <v/>
      </c>
      <c r="F690" s="24"/>
      <c r="G690" s="30"/>
      <c r="H690" s="24"/>
      <c r="I690" s="24"/>
      <c r="J690" s="24"/>
      <c r="K690" s="37" t="str">
        <f t="shared" si="40"/>
        <v/>
      </c>
      <c r="L690" s="37" t="str">
        <f t="shared" si="41"/>
        <v/>
      </c>
      <c r="M690" s="37" t="str">
        <f t="shared" si="42"/>
        <v/>
      </c>
      <c r="N690" s="37" t="str">
        <f t="shared" si="43"/>
        <v/>
      </c>
      <c r="O690" s="37" t="str">
        <f>IF(OR($D690="",$F690=""),"",$F690*IFERROR(VLOOKUP($D690,Maestro_SKU!$A$2:$P$500,12,FALSE),1))</f>
        <v/>
      </c>
    </row>
    <row r="691" spans="1:15" x14ac:dyDescent="0.35">
      <c r="A691" s="25"/>
      <c r="B691" s="24"/>
      <c r="C691" s="24"/>
      <c r="D691" s="24"/>
      <c r="E691" s="28" t="str">
        <f>IFERROR(VLOOKUP(D691,Maestro_SKU!$A$2:$P$500,2,FALSE),"")</f>
        <v/>
      </c>
      <c r="F691" s="24"/>
      <c r="G691" s="30"/>
      <c r="H691" s="24"/>
      <c r="I691" s="24"/>
      <c r="J691" s="24"/>
      <c r="K691" s="37" t="str">
        <f t="shared" si="40"/>
        <v/>
      </c>
      <c r="L691" s="37" t="str">
        <f t="shared" si="41"/>
        <v/>
      </c>
      <c r="M691" s="37" t="str">
        <f t="shared" si="42"/>
        <v/>
      </c>
      <c r="N691" s="37" t="str">
        <f t="shared" si="43"/>
        <v/>
      </c>
      <c r="O691" s="37" t="str">
        <f>IF(OR($D691="",$F691=""),"",$F691*IFERROR(VLOOKUP($D691,Maestro_SKU!$A$2:$P$500,12,FALSE),1))</f>
        <v/>
      </c>
    </row>
    <row r="692" spans="1:15" x14ac:dyDescent="0.35">
      <c r="A692" s="25"/>
      <c r="B692" s="24"/>
      <c r="C692" s="24"/>
      <c r="D692" s="24"/>
      <c r="E692" s="28" t="str">
        <f>IFERROR(VLOOKUP(D692,Maestro_SKU!$A$2:$P$500,2,FALSE),"")</f>
        <v/>
      </c>
      <c r="F692" s="24"/>
      <c r="G692" s="30"/>
      <c r="H692" s="24"/>
      <c r="I692" s="24"/>
      <c r="J692" s="24"/>
      <c r="K692" s="37" t="str">
        <f t="shared" si="40"/>
        <v/>
      </c>
      <c r="L692" s="37" t="str">
        <f t="shared" si="41"/>
        <v/>
      </c>
      <c r="M692" s="37" t="str">
        <f t="shared" si="42"/>
        <v/>
      </c>
      <c r="N692" s="37" t="str">
        <f t="shared" si="43"/>
        <v/>
      </c>
      <c r="O692" s="37" t="str">
        <f>IF(OR($D692="",$F692=""),"",$F692*IFERROR(VLOOKUP($D692,Maestro_SKU!$A$2:$P$500,12,FALSE),1))</f>
        <v/>
      </c>
    </row>
    <row r="693" spans="1:15" x14ac:dyDescent="0.35">
      <c r="A693" s="25"/>
      <c r="B693" s="24"/>
      <c r="C693" s="24"/>
      <c r="D693" s="24"/>
      <c r="E693" s="28" t="str">
        <f>IFERROR(VLOOKUP(D693,Maestro_SKU!$A$2:$P$500,2,FALSE),"")</f>
        <v/>
      </c>
      <c r="F693" s="24"/>
      <c r="G693" s="30"/>
      <c r="H693" s="24"/>
      <c r="I693" s="24"/>
      <c r="J693" s="24"/>
      <c r="K693" s="37" t="str">
        <f t="shared" si="40"/>
        <v/>
      </c>
      <c r="L693" s="37" t="str">
        <f t="shared" si="41"/>
        <v/>
      </c>
      <c r="M693" s="37" t="str">
        <f t="shared" si="42"/>
        <v/>
      </c>
      <c r="N693" s="37" t="str">
        <f t="shared" si="43"/>
        <v/>
      </c>
      <c r="O693" s="37" t="str">
        <f>IF(OR($D693="",$F693=""),"",$F693*IFERROR(VLOOKUP($D693,Maestro_SKU!$A$2:$P$500,12,FALSE),1))</f>
        <v/>
      </c>
    </row>
    <row r="694" spans="1:15" x14ac:dyDescent="0.35">
      <c r="A694" s="25"/>
      <c r="B694" s="24"/>
      <c r="C694" s="24"/>
      <c r="D694" s="24"/>
      <c r="E694" s="28" t="str">
        <f>IFERROR(VLOOKUP(D694,Maestro_SKU!$A$2:$P$500,2,FALSE),"")</f>
        <v/>
      </c>
      <c r="F694" s="24"/>
      <c r="G694" s="30"/>
      <c r="H694" s="24"/>
      <c r="I694" s="24"/>
      <c r="J694" s="24"/>
      <c r="K694" s="37" t="str">
        <f t="shared" si="40"/>
        <v/>
      </c>
      <c r="L694" s="37" t="str">
        <f t="shared" si="41"/>
        <v/>
      </c>
      <c r="M694" s="37" t="str">
        <f t="shared" si="42"/>
        <v/>
      </c>
      <c r="N694" s="37" t="str">
        <f t="shared" si="43"/>
        <v/>
      </c>
      <c r="O694" s="37" t="str">
        <f>IF(OR($D694="",$F694=""),"",$F694*IFERROR(VLOOKUP($D694,Maestro_SKU!$A$2:$P$500,12,FALSE),1))</f>
        <v/>
      </c>
    </row>
    <row r="695" spans="1:15" x14ac:dyDescent="0.35">
      <c r="A695" s="25"/>
      <c r="B695" s="24"/>
      <c r="C695" s="24"/>
      <c r="D695" s="24"/>
      <c r="E695" s="28" t="str">
        <f>IFERROR(VLOOKUP(D695,Maestro_SKU!$A$2:$P$500,2,FALSE),"")</f>
        <v/>
      </c>
      <c r="F695" s="24"/>
      <c r="G695" s="30"/>
      <c r="H695" s="24"/>
      <c r="I695" s="24"/>
      <c r="J695" s="24"/>
      <c r="K695" s="37" t="str">
        <f t="shared" si="40"/>
        <v/>
      </c>
      <c r="L695" s="37" t="str">
        <f t="shared" si="41"/>
        <v/>
      </c>
      <c r="M695" s="37" t="str">
        <f t="shared" si="42"/>
        <v/>
      </c>
      <c r="N695" s="37" t="str">
        <f t="shared" si="43"/>
        <v/>
      </c>
      <c r="O695" s="37" t="str">
        <f>IF(OR($D695="",$F695=""),"",$F695*IFERROR(VLOOKUP($D695,Maestro_SKU!$A$2:$P$500,12,FALSE),1))</f>
        <v/>
      </c>
    </row>
    <row r="696" spans="1:15" x14ac:dyDescent="0.35">
      <c r="A696" s="25"/>
      <c r="B696" s="24"/>
      <c r="C696" s="24"/>
      <c r="D696" s="24"/>
      <c r="E696" s="28" t="str">
        <f>IFERROR(VLOOKUP(D696,Maestro_SKU!$A$2:$P$500,2,FALSE),"")</f>
        <v/>
      </c>
      <c r="F696" s="24"/>
      <c r="G696" s="30"/>
      <c r="H696" s="24"/>
      <c r="I696" s="24"/>
      <c r="J696" s="24"/>
      <c r="K696" s="37" t="str">
        <f t="shared" si="40"/>
        <v/>
      </c>
      <c r="L696" s="37" t="str">
        <f t="shared" si="41"/>
        <v/>
      </c>
      <c r="M696" s="37" t="str">
        <f t="shared" si="42"/>
        <v/>
      </c>
      <c r="N696" s="37" t="str">
        <f t="shared" si="43"/>
        <v/>
      </c>
      <c r="O696" s="37" t="str">
        <f>IF(OR($D696="",$F696=""),"",$F696*IFERROR(VLOOKUP($D696,Maestro_SKU!$A$2:$P$500,12,FALSE),1))</f>
        <v/>
      </c>
    </row>
    <row r="697" spans="1:15" x14ac:dyDescent="0.35">
      <c r="A697" s="25"/>
      <c r="B697" s="24"/>
      <c r="C697" s="24"/>
      <c r="D697" s="24"/>
      <c r="E697" s="28" t="str">
        <f>IFERROR(VLOOKUP(D697,Maestro_SKU!$A$2:$P$500,2,FALSE),"")</f>
        <v/>
      </c>
      <c r="F697" s="24"/>
      <c r="G697" s="30"/>
      <c r="H697" s="24"/>
      <c r="I697" s="24"/>
      <c r="J697" s="24"/>
      <c r="K697" s="37" t="str">
        <f t="shared" si="40"/>
        <v/>
      </c>
      <c r="L697" s="37" t="str">
        <f t="shared" si="41"/>
        <v/>
      </c>
      <c r="M697" s="37" t="str">
        <f t="shared" si="42"/>
        <v/>
      </c>
      <c r="N697" s="37" t="str">
        <f t="shared" si="43"/>
        <v/>
      </c>
      <c r="O697" s="37" t="str">
        <f>IF(OR($D697="",$F697=""),"",$F697*IFERROR(VLOOKUP($D697,Maestro_SKU!$A$2:$P$500,12,FALSE),1))</f>
        <v/>
      </c>
    </row>
    <row r="698" spans="1:15" x14ac:dyDescent="0.35">
      <c r="A698" s="25"/>
      <c r="B698" s="24"/>
      <c r="C698" s="24"/>
      <c r="D698" s="24"/>
      <c r="E698" s="28" t="str">
        <f>IFERROR(VLOOKUP(D698,Maestro_SKU!$A$2:$P$500,2,FALSE),"")</f>
        <v/>
      </c>
      <c r="F698" s="24"/>
      <c r="G698" s="30"/>
      <c r="H698" s="24"/>
      <c r="I698" s="24"/>
      <c r="J698" s="24"/>
      <c r="K698" s="37" t="str">
        <f t="shared" si="40"/>
        <v/>
      </c>
      <c r="L698" s="37" t="str">
        <f t="shared" si="41"/>
        <v/>
      </c>
      <c r="M698" s="37" t="str">
        <f t="shared" si="42"/>
        <v/>
      </c>
      <c r="N698" s="37" t="str">
        <f t="shared" si="43"/>
        <v/>
      </c>
      <c r="O698" s="37" t="str">
        <f>IF(OR($D698="",$F698=""),"",$F698*IFERROR(VLOOKUP($D698,Maestro_SKU!$A$2:$P$500,12,FALSE),1))</f>
        <v/>
      </c>
    </row>
    <row r="699" spans="1:15" x14ac:dyDescent="0.35">
      <c r="A699" s="25"/>
      <c r="B699" s="24"/>
      <c r="C699" s="24"/>
      <c r="D699" s="24"/>
      <c r="E699" s="28" t="str">
        <f>IFERROR(VLOOKUP(D699,Maestro_SKU!$A$2:$P$500,2,FALSE),"")</f>
        <v/>
      </c>
      <c r="F699" s="24"/>
      <c r="G699" s="30"/>
      <c r="H699" s="24"/>
      <c r="I699" s="24"/>
      <c r="J699" s="24"/>
      <c r="K699" s="37" t="str">
        <f t="shared" si="40"/>
        <v/>
      </c>
      <c r="L699" s="37" t="str">
        <f t="shared" si="41"/>
        <v/>
      </c>
      <c r="M699" s="37" t="str">
        <f t="shared" si="42"/>
        <v/>
      </c>
      <c r="N699" s="37" t="str">
        <f t="shared" si="43"/>
        <v/>
      </c>
      <c r="O699" s="37" t="str">
        <f>IF(OR($D699="",$F699=""),"",$F699*IFERROR(VLOOKUP($D699,Maestro_SKU!$A$2:$P$500,12,FALSE),1))</f>
        <v/>
      </c>
    </row>
    <row r="700" spans="1:15" x14ac:dyDescent="0.35">
      <c r="A700" s="25"/>
      <c r="B700" s="24"/>
      <c r="C700" s="24"/>
      <c r="D700" s="24"/>
      <c r="E700" s="28" t="str">
        <f>IFERROR(VLOOKUP(D700,Maestro_SKU!$A$2:$P$500,2,FALSE),"")</f>
        <v/>
      </c>
      <c r="F700" s="24"/>
      <c r="G700" s="30"/>
      <c r="H700" s="24"/>
      <c r="I700" s="24"/>
      <c r="J700" s="24"/>
      <c r="K700" s="37" t="str">
        <f t="shared" si="40"/>
        <v/>
      </c>
      <c r="L700" s="37" t="str">
        <f t="shared" si="41"/>
        <v/>
      </c>
      <c r="M700" s="37" t="str">
        <f t="shared" si="42"/>
        <v/>
      </c>
      <c r="N700" s="37" t="str">
        <f t="shared" si="43"/>
        <v/>
      </c>
      <c r="O700" s="37" t="str">
        <f>IF(OR($D700="",$F700=""),"",$F700*IFERROR(VLOOKUP($D700,Maestro_SKU!$A$2:$P$500,12,FALSE),1))</f>
        <v/>
      </c>
    </row>
    <row r="701" spans="1:15" x14ac:dyDescent="0.35">
      <c r="A701" s="25"/>
      <c r="B701" s="24"/>
      <c r="C701" s="24"/>
      <c r="D701" s="24"/>
      <c r="E701" s="28" t="str">
        <f>IFERROR(VLOOKUP(D701,Maestro_SKU!$A$2:$P$500,2,FALSE),"")</f>
        <v/>
      </c>
      <c r="F701" s="24"/>
      <c r="G701" s="30"/>
      <c r="H701" s="24"/>
      <c r="I701" s="24"/>
      <c r="J701" s="24"/>
      <c r="K701" s="37" t="str">
        <f t="shared" si="40"/>
        <v/>
      </c>
      <c r="L701" s="37" t="str">
        <f t="shared" si="41"/>
        <v/>
      </c>
      <c r="M701" s="37" t="str">
        <f t="shared" si="42"/>
        <v/>
      </c>
      <c r="N701" s="37" t="str">
        <f t="shared" si="43"/>
        <v/>
      </c>
      <c r="O701" s="37" t="str">
        <f>IF(OR($D701="",$F701=""),"",$F701*IFERROR(VLOOKUP($D701,Maestro_SKU!$A$2:$P$500,12,FALSE),1))</f>
        <v/>
      </c>
    </row>
    <row r="702" spans="1:15" x14ac:dyDescent="0.35">
      <c r="A702" s="25"/>
      <c r="B702" s="24"/>
      <c r="C702" s="24"/>
      <c r="D702" s="24"/>
      <c r="E702" s="28" t="str">
        <f>IFERROR(VLOOKUP(D702,Maestro_SKU!$A$2:$P$500,2,FALSE),"")</f>
        <v/>
      </c>
      <c r="F702" s="24"/>
      <c r="G702" s="30"/>
      <c r="H702" s="24"/>
      <c r="I702" s="24"/>
      <c r="J702" s="24"/>
      <c r="K702" s="37" t="str">
        <f t="shared" si="40"/>
        <v/>
      </c>
      <c r="L702" s="37" t="str">
        <f t="shared" si="41"/>
        <v/>
      </c>
      <c r="M702" s="37" t="str">
        <f t="shared" si="42"/>
        <v/>
      </c>
      <c r="N702" s="37" t="str">
        <f t="shared" si="43"/>
        <v/>
      </c>
      <c r="O702" s="37" t="str">
        <f>IF(OR($D702="",$F702=""),"",$F702*IFERROR(VLOOKUP($D702,Maestro_SKU!$A$2:$P$500,12,FALSE),1))</f>
        <v/>
      </c>
    </row>
    <row r="703" spans="1:15" x14ac:dyDescent="0.35">
      <c r="A703" s="25"/>
      <c r="B703" s="24"/>
      <c r="C703" s="24"/>
      <c r="D703" s="24"/>
      <c r="E703" s="28" t="str">
        <f>IFERROR(VLOOKUP(D703,Maestro_SKU!$A$2:$P$500,2,FALSE),"")</f>
        <v/>
      </c>
      <c r="F703" s="24"/>
      <c r="G703" s="30"/>
      <c r="H703" s="24"/>
      <c r="I703" s="24"/>
      <c r="J703" s="24"/>
      <c r="K703" s="37" t="str">
        <f t="shared" si="40"/>
        <v/>
      </c>
      <c r="L703" s="37" t="str">
        <f t="shared" si="41"/>
        <v/>
      </c>
      <c r="M703" s="37" t="str">
        <f t="shared" si="42"/>
        <v/>
      </c>
      <c r="N703" s="37" t="str">
        <f t="shared" si="43"/>
        <v/>
      </c>
      <c r="O703" s="37" t="str">
        <f>IF(OR($D703="",$F703=""),"",$F703*IFERROR(VLOOKUP($D703,Maestro_SKU!$A$2:$P$500,12,FALSE),1))</f>
        <v/>
      </c>
    </row>
    <row r="704" spans="1:15" x14ac:dyDescent="0.35">
      <c r="A704" s="25"/>
      <c r="B704" s="24"/>
      <c r="C704" s="24"/>
      <c r="D704" s="24"/>
      <c r="E704" s="28" t="str">
        <f>IFERROR(VLOOKUP(D704,Maestro_SKU!$A$2:$P$500,2,FALSE),"")</f>
        <v/>
      </c>
      <c r="F704" s="24"/>
      <c r="G704" s="30"/>
      <c r="H704" s="24"/>
      <c r="I704" s="24"/>
      <c r="J704" s="24"/>
      <c r="K704" s="37" t="str">
        <f t="shared" si="40"/>
        <v/>
      </c>
      <c r="L704" s="37" t="str">
        <f t="shared" si="41"/>
        <v/>
      </c>
      <c r="M704" s="37" t="str">
        <f t="shared" si="42"/>
        <v/>
      </c>
      <c r="N704" s="37" t="str">
        <f t="shared" si="43"/>
        <v/>
      </c>
      <c r="O704" s="37" t="str">
        <f>IF(OR($D704="",$F704=""),"",$F704*IFERROR(VLOOKUP($D704,Maestro_SKU!$A$2:$P$500,12,FALSE),1))</f>
        <v/>
      </c>
    </row>
    <row r="705" spans="1:15" x14ac:dyDescent="0.35">
      <c r="A705" s="25"/>
      <c r="B705" s="24"/>
      <c r="C705" s="24"/>
      <c r="D705" s="24"/>
      <c r="E705" s="28" t="str">
        <f>IFERROR(VLOOKUP(D705,Maestro_SKU!$A$2:$P$500,2,FALSE),"")</f>
        <v/>
      </c>
      <c r="F705" s="24"/>
      <c r="G705" s="30"/>
      <c r="H705" s="24"/>
      <c r="I705" s="24"/>
      <c r="J705" s="24"/>
      <c r="K705" s="37" t="str">
        <f t="shared" si="40"/>
        <v/>
      </c>
      <c r="L705" s="37" t="str">
        <f t="shared" si="41"/>
        <v/>
      </c>
      <c r="M705" s="37" t="str">
        <f t="shared" si="42"/>
        <v/>
      </c>
      <c r="N705" s="37" t="str">
        <f t="shared" si="43"/>
        <v/>
      </c>
      <c r="O705" s="37" t="str">
        <f>IF(OR($D705="",$F705=""),"",$F705*IFERROR(VLOOKUP($D705,Maestro_SKU!$A$2:$P$500,12,FALSE),1))</f>
        <v/>
      </c>
    </row>
    <row r="706" spans="1:15" x14ac:dyDescent="0.35">
      <c r="A706" s="25"/>
      <c r="B706" s="24"/>
      <c r="C706" s="24"/>
      <c r="D706" s="24"/>
      <c r="E706" s="28" t="str">
        <f>IFERROR(VLOOKUP(D706,Maestro_SKU!$A$2:$P$500,2,FALSE),"")</f>
        <v/>
      </c>
      <c r="F706" s="24"/>
      <c r="G706" s="30"/>
      <c r="H706" s="24"/>
      <c r="I706" s="24"/>
      <c r="J706" s="24"/>
      <c r="K706" s="37" t="str">
        <f t="shared" ref="K706:K769" si="44">IF($A706="","",YEAR($A706))</f>
        <v/>
      </c>
      <c r="L706" s="37" t="str">
        <f t="shared" ref="L706:L769" si="45">IF($A706="","",MONTH($A706))</f>
        <v/>
      </c>
      <c r="M706" s="37" t="str">
        <f t="shared" ref="M706:M769" si="46">IF($A706="","",DAY($A706))</f>
        <v/>
      </c>
      <c r="N706" s="37" t="str">
        <f t="shared" ref="N706:N769" si="47">IF($A706="","",YEAR($A706)&amp;"-"&amp;TEXT(MONTH($A706),"00"))</f>
        <v/>
      </c>
      <c r="O706" s="37" t="str">
        <f>IF(OR($D706="",$F706=""),"",$F706*IFERROR(VLOOKUP($D706,Maestro_SKU!$A$2:$P$500,12,FALSE),1))</f>
        <v/>
      </c>
    </row>
    <row r="707" spans="1:15" x14ac:dyDescent="0.35">
      <c r="A707" s="25"/>
      <c r="B707" s="24"/>
      <c r="C707" s="24"/>
      <c r="D707" s="24"/>
      <c r="E707" s="28" t="str">
        <f>IFERROR(VLOOKUP(D707,Maestro_SKU!$A$2:$P$500,2,FALSE),"")</f>
        <v/>
      </c>
      <c r="F707" s="24"/>
      <c r="G707" s="30"/>
      <c r="H707" s="24"/>
      <c r="I707" s="24"/>
      <c r="J707" s="24"/>
      <c r="K707" s="37" t="str">
        <f t="shared" si="44"/>
        <v/>
      </c>
      <c r="L707" s="37" t="str">
        <f t="shared" si="45"/>
        <v/>
      </c>
      <c r="M707" s="37" t="str">
        <f t="shared" si="46"/>
        <v/>
      </c>
      <c r="N707" s="37" t="str">
        <f t="shared" si="47"/>
        <v/>
      </c>
      <c r="O707" s="37" t="str">
        <f>IF(OR($D707="",$F707=""),"",$F707*IFERROR(VLOOKUP($D707,Maestro_SKU!$A$2:$P$500,12,FALSE),1))</f>
        <v/>
      </c>
    </row>
    <row r="708" spans="1:15" x14ac:dyDescent="0.35">
      <c r="A708" s="25"/>
      <c r="B708" s="24"/>
      <c r="C708" s="24"/>
      <c r="D708" s="24"/>
      <c r="E708" s="28" t="str">
        <f>IFERROR(VLOOKUP(D708,Maestro_SKU!$A$2:$P$500,2,FALSE),"")</f>
        <v/>
      </c>
      <c r="F708" s="24"/>
      <c r="G708" s="30"/>
      <c r="H708" s="24"/>
      <c r="I708" s="24"/>
      <c r="J708" s="24"/>
      <c r="K708" s="37" t="str">
        <f t="shared" si="44"/>
        <v/>
      </c>
      <c r="L708" s="37" t="str">
        <f t="shared" si="45"/>
        <v/>
      </c>
      <c r="M708" s="37" t="str">
        <f t="shared" si="46"/>
        <v/>
      </c>
      <c r="N708" s="37" t="str">
        <f t="shared" si="47"/>
        <v/>
      </c>
      <c r="O708" s="37" t="str">
        <f>IF(OR($D708="",$F708=""),"",$F708*IFERROR(VLOOKUP($D708,Maestro_SKU!$A$2:$P$500,12,FALSE),1))</f>
        <v/>
      </c>
    </row>
    <row r="709" spans="1:15" x14ac:dyDescent="0.35">
      <c r="A709" s="25"/>
      <c r="B709" s="24"/>
      <c r="C709" s="24"/>
      <c r="D709" s="24"/>
      <c r="E709" s="28" t="str">
        <f>IFERROR(VLOOKUP(D709,Maestro_SKU!$A$2:$P$500,2,FALSE),"")</f>
        <v/>
      </c>
      <c r="F709" s="24"/>
      <c r="G709" s="30"/>
      <c r="H709" s="24"/>
      <c r="I709" s="24"/>
      <c r="J709" s="24"/>
      <c r="K709" s="37" t="str">
        <f t="shared" si="44"/>
        <v/>
      </c>
      <c r="L709" s="37" t="str">
        <f t="shared" si="45"/>
        <v/>
      </c>
      <c r="M709" s="37" t="str">
        <f t="shared" si="46"/>
        <v/>
      </c>
      <c r="N709" s="37" t="str">
        <f t="shared" si="47"/>
        <v/>
      </c>
      <c r="O709" s="37" t="str">
        <f>IF(OR($D709="",$F709=""),"",$F709*IFERROR(VLOOKUP($D709,Maestro_SKU!$A$2:$P$500,12,FALSE),1))</f>
        <v/>
      </c>
    </row>
    <row r="710" spans="1:15" x14ac:dyDescent="0.35">
      <c r="A710" s="25"/>
      <c r="B710" s="24"/>
      <c r="C710" s="24"/>
      <c r="D710" s="24"/>
      <c r="E710" s="28" t="str">
        <f>IFERROR(VLOOKUP(D710,Maestro_SKU!$A$2:$P$500,2,FALSE),"")</f>
        <v/>
      </c>
      <c r="F710" s="24"/>
      <c r="G710" s="30"/>
      <c r="H710" s="24"/>
      <c r="I710" s="24"/>
      <c r="J710" s="24"/>
      <c r="K710" s="37" t="str">
        <f t="shared" si="44"/>
        <v/>
      </c>
      <c r="L710" s="37" t="str">
        <f t="shared" si="45"/>
        <v/>
      </c>
      <c r="M710" s="37" t="str">
        <f t="shared" si="46"/>
        <v/>
      </c>
      <c r="N710" s="37" t="str">
        <f t="shared" si="47"/>
        <v/>
      </c>
      <c r="O710" s="37" t="str">
        <f>IF(OR($D710="",$F710=""),"",$F710*IFERROR(VLOOKUP($D710,Maestro_SKU!$A$2:$P$500,12,FALSE),1))</f>
        <v/>
      </c>
    </row>
    <row r="711" spans="1:15" x14ac:dyDescent="0.35">
      <c r="A711" s="25"/>
      <c r="B711" s="24"/>
      <c r="C711" s="24"/>
      <c r="D711" s="24"/>
      <c r="E711" s="28" t="str">
        <f>IFERROR(VLOOKUP(D711,Maestro_SKU!$A$2:$P$500,2,FALSE),"")</f>
        <v/>
      </c>
      <c r="F711" s="24"/>
      <c r="G711" s="30"/>
      <c r="H711" s="24"/>
      <c r="I711" s="24"/>
      <c r="J711" s="24"/>
      <c r="K711" s="37" t="str">
        <f t="shared" si="44"/>
        <v/>
      </c>
      <c r="L711" s="37" t="str">
        <f t="shared" si="45"/>
        <v/>
      </c>
      <c r="M711" s="37" t="str">
        <f t="shared" si="46"/>
        <v/>
      </c>
      <c r="N711" s="37" t="str">
        <f t="shared" si="47"/>
        <v/>
      </c>
      <c r="O711" s="37" t="str">
        <f>IF(OR($D711="",$F711=""),"",$F711*IFERROR(VLOOKUP($D711,Maestro_SKU!$A$2:$P$500,12,FALSE),1))</f>
        <v/>
      </c>
    </row>
    <row r="712" spans="1:15" x14ac:dyDescent="0.35">
      <c r="A712" s="25"/>
      <c r="B712" s="24"/>
      <c r="C712" s="24"/>
      <c r="D712" s="24"/>
      <c r="E712" s="28" t="str">
        <f>IFERROR(VLOOKUP(D712,Maestro_SKU!$A$2:$P$500,2,FALSE),"")</f>
        <v/>
      </c>
      <c r="F712" s="24"/>
      <c r="G712" s="30"/>
      <c r="H712" s="24"/>
      <c r="I712" s="24"/>
      <c r="J712" s="24"/>
      <c r="K712" s="37" t="str">
        <f t="shared" si="44"/>
        <v/>
      </c>
      <c r="L712" s="37" t="str">
        <f t="shared" si="45"/>
        <v/>
      </c>
      <c r="M712" s="37" t="str">
        <f t="shared" si="46"/>
        <v/>
      </c>
      <c r="N712" s="37" t="str">
        <f t="shared" si="47"/>
        <v/>
      </c>
      <c r="O712" s="37" t="str">
        <f>IF(OR($D712="",$F712=""),"",$F712*IFERROR(VLOOKUP($D712,Maestro_SKU!$A$2:$P$500,12,FALSE),1))</f>
        <v/>
      </c>
    </row>
    <row r="713" spans="1:15" x14ac:dyDescent="0.35">
      <c r="A713" s="25"/>
      <c r="B713" s="24"/>
      <c r="C713" s="24"/>
      <c r="D713" s="24"/>
      <c r="E713" s="28" t="str">
        <f>IFERROR(VLOOKUP(D713,Maestro_SKU!$A$2:$P$500,2,FALSE),"")</f>
        <v/>
      </c>
      <c r="F713" s="24"/>
      <c r="G713" s="30"/>
      <c r="H713" s="24"/>
      <c r="I713" s="24"/>
      <c r="J713" s="24"/>
      <c r="K713" s="37" t="str">
        <f t="shared" si="44"/>
        <v/>
      </c>
      <c r="L713" s="37" t="str">
        <f t="shared" si="45"/>
        <v/>
      </c>
      <c r="M713" s="37" t="str">
        <f t="shared" si="46"/>
        <v/>
      </c>
      <c r="N713" s="37" t="str">
        <f t="shared" si="47"/>
        <v/>
      </c>
      <c r="O713" s="37" t="str">
        <f>IF(OR($D713="",$F713=""),"",$F713*IFERROR(VLOOKUP($D713,Maestro_SKU!$A$2:$P$500,12,FALSE),1))</f>
        <v/>
      </c>
    </row>
    <row r="714" spans="1:15" x14ac:dyDescent="0.35">
      <c r="A714" s="25"/>
      <c r="B714" s="24"/>
      <c r="C714" s="24"/>
      <c r="D714" s="24"/>
      <c r="E714" s="28" t="str">
        <f>IFERROR(VLOOKUP(D714,Maestro_SKU!$A$2:$P$500,2,FALSE),"")</f>
        <v/>
      </c>
      <c r="F714" s="24"/>
      <c r="G714" s="30"/>
      <c r="H714" s="24"/>
      <c r="I714" s="24"/>
      <c r="J714" s="24"/>
      <c r="K714" s="37" t="str">
        <f t="shared" si="44"/>
        <v/>
      </c>
      <c r="L714" s="37" t="str">
        <f t="shared" si="45"/>
        <v/>
      </c>
      <c r="M714" s="37" t="str">
        <f t="shared" si="46"/>
        <v/>
      </c>
      <c r="N714" s="37" t="str">
        <f t="shared" si="47"/>
        <v/>
      </c>
      <c r="O714" s="37" t="str">
        <f>IF(OR($D714="",$F714=""),"",$F714*IFERROR(VLOOKUP($D714,Maestro_SKU!$A$2:$P$500,12,FALSE),1))</f>
        <v/>
      </c>
    </row>
    <row r="715" spans="1:15" x14ac:dyDescent="0.35">
      <c r="A715" s="25"/>
      <c r="B715" s="24"/>
      <c r="C715" s="24"/>
      <c r="D715" s="24"/>
      <c r="E715" s="28" t="str">
        <f>IFERROR(VLOOKUP(D715,Maestro_SKU!$A$2:$P$500,2,FALSE),"")</f>
        <v/>
      </c>
      <c r="F715" s="24"/>
      <c r="G715" s="30"/>
      <c r="H715" s="24"/>
      <c r="I715" s="24"/>
      <c r="J715" s="24"/>
      <c r="K715" s="37" t="str">
        <f t="shared" si="44"/>
        <v/>
      </c>
      <c r="L715" s="37" t="str">
        <f t="shared" si="45"/>
        <v/>
      </c>
      <c r="M715" s="37" t="str">
        <f t="shared" si="46"/>
        <v/>
      </c>
      <c r="N715" s="37" t="str">
        <f t="shared" si="47"/>
        <v/>
      </c>
      <c r="O715" s="37" t="str">
        <f>IF(OR($D715="",$F715=""),"",$F715*IFERROR(VLOOKUP($D715,Maestro_SKU!$A$2:$P$500,12,FALSE),1))</f>
        <v/>
      </c>
    </row>
    <row r="716" spans="1:15" x14ac:dyDescent="0.35">
      <c r="A716" s="25"/>
      <c r="B716" s="24"/>
      <c r="C716" s="24"/>
      <c r="D716" s="24"/>
      <c r="E716" s="28" t="str">
        <f>IFERROR(VLOOKUP(D716,Maestro_SKU!$A$2:$P$500,2,FALSE),"")</f>
        <v/>
      </c>
      <c r="F716" s="24"/>
      <c r="G716" s="30"/>
      <c r="H716" s="24"/>
      <c r="I716" s="24"/>
      <c r="J716" s="24"/>
      <c r="K716" s="37" t="str">
        <f t="shared" si="44"/>
        <v/>
      </c>
      <c r="L716" s="37" t="str">
        <f t="shared" si="45"/>
        <v/>
      </c>
      <c r="M716" s="37" t="str">
        <f t="shared" si="46"/>
        <v/>
      </c>
      <c r="N716" s="37" t="str">
        <f t="shared" si="47"/>
        <v/>
      </c>
      <c r="O716" s="37" t="str">
        <f>IF(OR($D716="",$F716=""),"",$F716*IFERROR(VLOOKUP($D716,Maestro_SKU!$A$2:$P$500,12,FALSE),1))</f>
        <v/>
      </c>
    </row>
    <row r="717" spans="1:15" x14ac:dyDescent="0.35">
      <c r="A717" s="25"/>
      <c r="B717" s="24"/>
      <c r="C717" s="24"/>
      <c r="D717" s="24"/>
      <c r="E717" s="28" t="str">
        <f>IFERROR(VLOOKUP(D717,Maestro_SKU!$A$2:$P$500,2,FALSE),"")</f>
        <v/>
      </c>
      <c r="F717" s="24"/>
      <c r="G717" s="30"/>
      <c r="H717" s="24"/>
      <c r="I717" s="24"/>
      <c r="J717" s="24"/>
      <c r="K717" s="37" t="str">
        <f t="shared" si="44"/>
        <v/>
      </c>
      <c r="L717" s="37" t="str">
        <f t="shared" si="45"/>
        <v/>
      </c>
      <c r="M717" s="37" t="str">
        <f t="shared" si="46"/>
        <v/>
      </c>
      <c r="N717" s="37" t="str">
        <f t="shared" si="47"/>
        <v/>
      </c>
      <c r="O717" s="37" t="str">
        <f>IF(OR($D717="",$F717=""),"",$F717*IFERROR(VLOOKUP($D717,Maestro_SKU!$A$2:$P$500,12,FALSE),1))</f>
        <v/>
      </c>
    </row>
    <row r="718" spans="1:15" x14ac:dyDescent="0.35">
      <c r="A718" s="25"/>
      <c r="B718" s="24"/>
      <c r="C718" s="24"/>
      <c r="D718" s="24"/>
      <c r="E718" s="28" t="str">
        <f>IFERROR(VLOOKUP(D718,Maestro_SKU!$A$2:$P$500,2,FALSE),"")</f>
        <v/>
      </c>
      <c r="F718" s="24"/>
      <c r="G718" s="30"/>
      <c r="H718" s="24"/>
      <c r="I718" s="24"/>
      <c r="J718" s="24"/>
      <c r="K718" s="37" t="str">
        <f t="shared" si="44"/>
        <v/>
      </c>
      <c r="L718" s="37" t="str">
        <f t="shared" si="45"/>
        <v/>
      </c>
      <c r="M718" s="37" t="str">
        <f t="shared" si="46"/>
        <v/>
      </c>
      <c r="N718" s="37" t="str">
        <f t="shared" si="47"/>
        <v/>
      </c>
      <c r="O718" s="37" t="str">
        <f>IF(OR($D718="",$F718=""),"",$F718*IFERROR(VLOOKUP($D718,Maestro_SKU!$A$2:$P$500,12,FALSE),1))</f>
        <v/>
      </c>
    </row>
    <row r="719" spans="1:15" x14ac:dyDescent="0.35">
      <c r="A719" s="25"/>
      <c r="B719" s="24"/>
      <c r="C719" s="24"/>
      <c r="D719" s="24"/>
      <c r="E719" s="28" t="str">
        <f>IFERROR(VLOOKUP(D719,Maestro_SKU!$A$2:$P$500,2,FALSE),"")</f>
        <v/>
      </c>
      <c r="F719" s="24"/>
      <c r="G719" s="30"/>
      <c r="H719" s="24"/>
      <c r="I719" s="24"/>
      <c r="J719" s="24"/>
      <c r="K719" s="37" t="str">
        <f t="shared" si="44"/>
        <v/>
      </c>
      <c r="L719" s="37" t="str">
        <f t="shared" si="45"/>
        <v/>
      </c>
      <c r="M719" s="37" t="str">
        <f t="shared" si="46"/>
        <v/>
      </c>
      <c r="N719" s="37" t="str">
        <f t="shared" si="47"/>
        <v/>
      </c>
      <c r="O719" s="37" t="str">
        <f>IF(OR($D719="",$F719=""),"",$F719*IFERROR(VLOOKUP($D719,Maestro_SKU!$A$2:$P$500,12,FALSE),1))</f>
        <v/>
      </c>
    </row>
    <row r="720" spans="1:15" x14ac:dyDescent="0.35">
      <c r="A720" s="25"/>
      <c r="B720" s="24"/>
      <c r="C720" s="24"/>
      <c r="D720" s="24"/>
      <c r="E720" s="28" t="str">
        <f>IFERROR(VLOOKUP(D720,Maestro_SKU!$A$2:$P$500,2,FALSE),"")</f>
        <v/>
      </c>
      <c r="F720" s="24"/>
      <c r="G720" s="30"/>
      <c r="H720" s="24"/>
      <c r="I720" s="24"/>
      <c r="J720" s="24"/>
      <c r="K720" s="37" t="str">
        <f t="shared" si="44"/>
        <v/>
      </c>
      <c r="L720" s="37" t="str">
        <f t="shared" si="45"/>
        <v/>
      </c>
      <c r="M720" s="37" t="str">
        <f t="shared" si="46"/>
        <v/>
      </c>
      <c r="N720" s="37" t="str">
        <f t="shared" si="47"/>
        <v/>
      </c>
      <c r="O720" s="37" t="str">
        <f>IF(OR($D720="",$F720=""),"",$F720*IFERROR(VLOOKUP($D720,Maestro_SKU!$A$2:$P$500,12,FALSE),1))</f>
        <v/>
      </c>
    </row>
    <row r="721" spans="1:15" x14ac:dyDescent="0.35">
      <c r="A721" s="25"/>
      <c r="B721" s="24"/>
      <c r="C721" s="24"/>
      <c r="D721" s="24"/>
      <c r="E721" s="28" t="str">
        <f>IFERROR(VLOOKUP(D721,Maestro_SKU!$A$2:$P$500,2,FALSE),"")</f>
        <v/>
      </c>
      <c r="F721" s="24"/>
      <c r="G721" s="30"/>
      <c r="H721" s="24"/>
      <c r="I721" s="24"/>
      <c r="J721" s="24"/>
      <c r="K721" s="37" t="str">
        <f t="shared" si="44"/>
        <v/>
      </c>
      <c r="L721" s="37" t="str">
        <f t="shared" si="45"/>
        <v/>
      </c>
      <c r="M721" s="37" t="str">
        <f t="shared" si="46"/>
        <v/>
      </c>
      <c r="N721" s="37" t="str">
        <f t="shared" si="47"/>
        <v/>
      </c>
      <c r="O721" s="37" t="str">
        <f>IF(OR($D721="",$F721=""),"",$F721*IFERROR(VLOOKUP($D721,Maestro_SKU!$A$2:$P$500,12,FALSE),1))</f>
        <v/>
      </c>
    </row>
    <row r="722" spans="1:15" x14ac:dyDescent="0.35">
      <c r="A722" s="25"/>
      <c r="B722" s="24"/>
      <c r="C722" s="24"/>
      <c r="D722" s="24"/>
      <c r="E722" s="28" t="str">
        <f>IFERROR(VLOOKUP(D722,Maestro_SKU!$A$2:$P$500,2,FALSE),"")</f>
        <v/>
      </c>
      <c r="F722" s="24"/>
      <c r="G722" s="30"/>
      <c r="H722" s="24"/>
      <c r="I722" s="24"/>
      <c r="J722" s="24"/>
      <c r="K722" s="37" t="str">
        <f t="shared" si="44"/>
        <v/>
      </c>
      <c r="L722" s="37" t="str">
        <f t="shared" si="45"/>
        <v/>
      </c>
      <c r="M722" s="37" t="str">
        <f t="shared" si="46"/>
        <v/>
      </c>
      <c r="N722" s="37" t="str">
        <f t="shared" si="47"/>
        <v/>
      </c>
      <c r="O722" s="37" t="str">
        <f>IF(OR($D722="",$F722=""),"",$F722*IFERROR(VLOOKUP($D722,Maestro_SKU!$A$2:$P$500,12,FALSE),1))</f>
        <v/>
      </c>
    </row>
    <row r="723" spans="1:15" x14ac:dyDescent="0.35">
      <c r="A723" s="25"/>
      <c r="B723" s="24"/>
      <c r="C723" s="24"/>
      <c r="D723" s="24"/>
      <c r="E723" s="28" t="str">
        <f>IFERROR(VLOOKUP(D723,Maestro_SKU!$A$2:$P$500,2,FALSE),"")</f>
        <v/>
      </c>
      <c r="F723" s="24"/>
      <c r="G723" s="30"/>
      <c r="H723" s="24"/>
      <c r="I723" s="24"/>
      <c r="J723" s="24"/>
      <c r="K723" s="37" t="str">
        <f t="shared" si="44"/>
        <v/>
      </c>
      <c r="L723" s="37" t="str">
        <f t="shared" si="45"/>
        <v/>
      </c>
      <c r="M723" s="37" t="str">
        <f t="shared" si="46"/>
        <v/>
      </c>
      <c r="N723" s="37" t="str">
        <f t="shared" si="47"/>
        <v/>
      </c>
      <c r="O723" s="37" t="str">
        <f>IF(OR($D723="",$F723=""),"",$F723*IFERROR(VLOOKUP($D723,Maestro_SKU!$A$2:$P$500,12,FALSE),1))</f>
        <v/>
      </c>
    </row>
    <row r="724" spans="1:15" x14ac:dyDescent="0.35">
      <c r="A724" s="25"/>
      <c r="B724" s="24"/>
      <c r="C724" s="24"/>
      <c r="D724" s="24"/>
      <c r="E724" s="28" t="str">
        <f>IFERROR(VLOOKUP(D724,Maestro_SKU!$A$2:$P$500,2,FALSE),"")</f>
        <v/>
      </c>
      <c r="F724" s="24"/>
      <c r="G724" s="30"/>
      <c r="H724" s="24"/>
      <c r="I724" s="24"/>
      <c r="J724" s="24"/>
      <c r="K724" s="37" t="str">
        <f t="shared" si="44"/>
        <v/>
      </c>
      <c r="L724" s="37" t="str">
        <f t="shared" si="45"/>
        <v/>
      </c>
      <c r="M724" s="37" t="str">
        <f t="shared" si="46"/>
        <v/>
      </c>
      <c r="N724" s="37" t="str">
        <f t="shared" si="47"/>
        <v/>
      </c>
      <c r="O724" s="37" t="str">
        <f>IF(OR($D724="",$F724=""),"",$F724*IFERROR(VLOOKUP($D724,Maestro_SKU!$A$2:$P$500,12,FALSE),1))</f>
        <v/>
      </c>
    </row>
    <row r="725" spans="1:15" x14ac:dyDescent="0.35">
      <c r="A725" s="25"/>
      <c r="B725" s="24"/>
      <c r="C725" s="24"/>
      <c r="D725" s="24"/>
      <c r="E725" s="28" t="str">
        <f>IFERROR(VLOOKUP(D725,Maestro_SKU!$A$2:$P$500,2,FALSE),"")</f>
        <v/>
      </c>
      <c r="F725" s="24"/>
      <c r="G725" s="30"/>
      <c r="H725" s="24"/>
      <c r="I725" s="24"/>
      <c r="J725" s="24"/>
      <c r="K725" s="37" t="str">
        <f t="shared" si="44"/>
        <v/>
      </c>
      <c r="L725" s="37" t="str">
        <f t="shared" si="45"/>
        <v/>
      </c>
      <c r="M725" s="37" t="str">
        <f t="shared" si="46"/>
        <v/>
      </c>
      <c r="N725" s="37" t="str">
        <f t="shared" si="47"/>
        <v/>
      </c>
      <c r="O725" s="37" t="str">
        <f>IF(OR($D725="",$F725=""),"",$F725*IFERROR(VLOOKUP($D725,Maestro_SKU!$A$2:$P$500,12,FALSE),1))</f>
        <v/>
      </c>
    </row>
    <row r="726" spans="1:15" x14ac:dyDescent="0.35">
      <c r="A726" s="25"/>
      <c r="B726" s="24"/>
      <c r="C726" s="24"/>
      <c r="D726" s="24"/>
      <c r="E726" s="28" t="str">
        <f>IFERROR(VLOOKUP(D726,Maestro_SKU!$A$2:$P$500,2,FALSE),"")</f>
        <v/>
      </c>
      <c r="F726" s="24"/>
      <c r="G726" s="30"/>
      <c r="H726" s="24"/>
      <c r="I726" s="24"/>
      <c r="J726" s="24"/>
      <c r="K726" s="37" t="str">
        <f t="shared" si="44"/>
        <v/>
      </c>
      <c r="L726" s="37" t="str">
        <f t="shared" si="45"/>
        <v/>
      </c>
      <c r="M726" s="37" t="str">
        <f t="shared" si="46"/>
        <v/>
      </c>
      <c r="N726" s="37" t="str">
        <f t="shared" si="47"/>
        <v/>
      </c>
      <c r="O726" s="37" t="str">
        <f>IF(OR($D726="",$F726=""),"",$F726*IFERROR(VLOOKUP($D726,Maestro_SKU!$A$2:$P$500,12,FALSE),1))</f>
        <v/>
      </c>
    </row>
    <row r="727" spans="1:15" x14ac:dyDescent="0.35">
      <c r="A727" s="25"/>
      <c r="B727" s="24"/>
      <c r="C727" s="24"/>
      <c r="D727" s="24"/>
      <c r="E727" s="28" t="str">
        <f>IFERROR(VLOOKUP(D727,Maestro_SKU!$A$2:$P$500,2,FALSE),"")</f>
        <v/>
      </c>
      <c r="F727" s="24"/>
      <c r="G727" s="30"/>
      <c r="H727" s="24"/>
      <c r="I727" s="24"/>
      <c r="J727" s="24"/>
      <c r="K727" s="37" t="str">
        <f t="shared" si="44"/>
        <v/>
      </c>
      <c r="L727" s="37" t="str">
        <f t="shared" si="45"/>
        <v/>
      </c>
      <c r="M727" s="37" t="str">
        <f t="shared" si="46"/>
        <v/>
      </c>
      <c r="N727" s="37" t="str">
        <f t="shared" si="47"/>
        <v/>
      </c>
      <c r="O727" s="37" t="str">
        <f>IF(OR($D727="",$F727=""),"",$F727*IFERROR(VLOOKUP($D727,Maestro_SKU!$A$2:$P$500,12,FALSE),1))</f>
        <v/>
      </c>
    </row>
    <row r="728" spans="1:15" x14ac:dyDescent="0.35">
      <c r="A728" s="25"/>
      <c r="B728" s="24"/>
      <c r="C728" s="24"/>
      <c r="D728" s="24"/>
      <c r="E728" s="28" t="str">
        <f>IFERROR(VLOOKUP(D728,Maestro_SKU!$A$2:$P$500,2,FALSE),"")</f>
        <v/>
      </c>
      <c r="F728" s="24"/>
      <c r="G728" s="30"/>
      <c r="H728" s="24"/>
      <c r="I728" s="24"/>
      <c r="J728" s="24"/>
      <c r="K728" s="37" t="str">
        <f t="shared" si="44"/>
        <v/>
      </c>
      <c r="L728" s="37" t="str">
        <f t="shared" si="45"/>
        <v/>
      </c>
      <c r="M728" s="37" t="str">
        <f t="shared" si="46"/>
        <v/>
      </c>
      <c r="N728" s="37" t="str">
        <f t="shared" si="47"/>
        <v/>
      </c>
      <c r="O728" s="37" t="str">
        <f>IF(OR($D728="",$F728=""),"",$F728*IFERROR(VLOOKUP($D728,Maestro_SKU!$A$2:$P$500,12,FALSE),1))</f>
        <v/>
      </c>
    </row>
    <row r="729" spans="1:15" x14ac:dyDescent="0.35">
      <c r="A729" s="25"/>
      <c r="B729" s="24"/>
      <c r="C729" s="24"/>
      <c r="D729" s="24"/>
      <c r="E729" s="28" t="str">
        <f>IFERROR(VLOOKUP(D729,Maestro_SKU!$A$2:$P$500,2,FALSE),"")</f>
        <v/>
      </c>
      <c r="F729" s="24"/>
      <c r="G729" s="30"/>
      <c r="H729" s="24"/>
      <c r="I729" s="24"/>
      <c r="J729" s="24"/>
      <c r="K729" s="37" t="str">
        <f t="shared" si="44"/>
        <v/>
      </c>
      <c r="L729" s="37" t="str">
        <f t="shared" si="45"/>
        <v/>
      </c>
      <c r="M729" s="37" t="str">
        <f t="shared" si="46"/>
        <v/>
      </c>
      <c r="N729" s="37" t="str">
        <f t="shared" si="47"/>
        <v/>
      </c>
      <c r="O729" s="37" t="str">
        <f>IF(OR($D729="",$F729=""),"",$F729*IFERROR(VLOOKUP($D729,Maestro_SKU!$A$2:$P$500,12,FALSE),1))</f>
        <v/>
      </c>
    </row>
    <row r="730" spans="1:15" x14ac:dyDescent="0.35">
      <c r="A730" s="25"/>
      <c r="B730" s="24"/>
      <c r="C730" s="24"/>
      <c r="D730" s="24"/>
      <c r="E730" s="28" t="str">
        <f>IFERROR(VLOOKUP(D730,Maestro_SKU!$A$2:$P$500,2,FALSE),"")</f>
        <v/>
      </c>
      <c r="F730" s="24"/>
      <c r="G730" s="30"/>
      <c r="H730" s="24"/>
      <c r="I730" s="24"/>
      <c r="J730" s="24"/>
      <c r="K730" s="37" t="str">
        <f t="shared" si="44"/>
        <v/>
      </c>
      <c r="L730" s="37" t="str">
        <f t="shared" si="45"/>
        <v/>
      </c>
      <c r="M730" s="37" t="str">
        <f t="shared" si="46"/>
        <v/>
      </c>
      <c r="N730" s="37" t="str">
        <f t="shared" si="47"/>
        <v/>
      </c>
      <c r="O730" s="37" t="str">
        <f>IF(OR($D730="",$F730=""),"",$F730*IFERROR(VLOOKUP($D730,Maestro_SKU!$A$2:$P$500,12,FALSE),1))</f>
        <v/>
      </c>
    </row>
    <row r="731" spans="1:15" x14ac:dyDescent="0.35">
      <c r="A731" s="25"/>
      <c r="B731" s="24"/>
      <c r="C731" s="24"/>
      <c r="D731" s="24"/>
      <c r="E731" s="28" t="str">
        <f>IFERROR(VLOOKUP(D731,Maestro_SKU!$A$2:$P$500,2,FALSE),"")</f>
        <v/>
      </c>
      <c r="F731" s="24"/>
      <c r="G731" s="30"/>
      <c r="H731" s="24"/>
      <c r="I731" s="24"/>
      <c r="J731" s="24"/>
      <c r="K731" s="37" t="str">
        <f t="shared" si="44"/>
        <v/>
      </c>
      <c r="L731" s="37" t="str">
        <f t="shared" si="45"/>
        <v/>
      </c>
      <c r="M731" s="37" t="str">
        <f t="shared" si="46"/>
        <v/>
      </c>
      <c r="N731" s="37" t="str">
        <f t="shared" si="47"/>
        <v/>
      </c>
      <c r="O731" s="37" t="str">
        <f>IF(OR($D731="",$F731=""),"",$F731*IFERROR(VLOOKUP($D731,Maestro_SKU!$A$2:$P$500,12,FALSE),1))</f>
        <v/>
      </c>
    </row>
    <row r="732" spans="1:15" x14ac:dyDescent="0.35">
      <c r="A732" s="25"/>
      <c r="B732" s="24"/>
      <c r="C732" s="24"/>
      <c r="D732" s="24"/>
      <c r="E732" s="28" t="str">
        <f>IFERROR(VLOOKUP(D732,Maestro_SKU!$A$2:$P$500,2,FALSE),"")</f>
        <v/>
      </c>
      <c r="F732" s="24"/>
      <c r="G732" s="30"/>
      <c r="H732" s="24"/>
      <c r="I732" s="24"/>
      <c r="J732" s="24"/>
      <c r="K732" s="37" t="str">
        <f t="shared" si="44"/>
        <v/>
      </c>
      <c r="L732" s="37" t="str">
        <f t="shared" si="45"/>
        <v/>
      </c>
      <c r="M732" s="37" t="str">
        <f t="shared" si="46"/>
        <v/>
      </c>
      <c r="N732" s="37" t="str">
        <f t="shared" si="47"/>
        <v/>
      </c>
      <c r="O732" s="37" t="str">
        <f>IF(OR($D732="",$F732=""),"",$F732*IFERROR(VLOOKUP($D732,Maestro_SKU!$A$2:$P$500,12,FALSE),1))</f>
        <v/>
      </c>
    </row>
    <row r="733" spans="1:15" x14ac:dyDescent="0.35">
      <c r="A733" s="25"/>
      <c r="B733" s="24"/>
      <c r="C733" s="24"/>
      <c r="D733" s="24"/>
      <c r="E733" s="28" t="str">
        <f>IFERROR(VLOOKUP(D733,Maestro_SKU!$A$2:$P$500,2,FALSE),"")</f>
        <v/>
      </c>
      <c r="F733" s="24"/>
      <c r="G733" s="30"/>
      <c r="H733" s="24"/>
      <c r="I733" s="24"/>
      <c r="J733" s="24"/>
      <c r="K733" s="37" t="str">
        <f t="shared" si="44"/>
        <v/>
      </c>
      <c r="L733" s="37" t="str">
        <f t="shared" si="45"/>
        <v/>
      </c>
      <c r="M733" s="37" t="str">
        <f t="shared" si="46"/>
        <v/>
      </c>
      <c r="N733" s="37" t="str">
        <f t="shared" si="47"/>
        <v/>
      </c>
      <c r="O733" s="37" t="str">
        <f>IF(OR($D733="",$F733=""),"",$F733*IFERROR(VLOOKUP($D733,Maestro_SKU!$A$2:$P$500,12,FALSE),1))</f>
        <v/>
      </c>
    </row>
    <row r="734" spans="1:15" x14ac:dyDescent="0.35">
      <c r="A734" s="25"/>
      <c r="B734" s="24"/>
      <c r="C734" s="24"/>
      <c r="D734" s="24"/>
      <c r="E734" s="28" t="str">
        <f>IFERROR(VLOOKUP(D734,Maestro_SKU!$A$2:$P$500,2,FALSE),"")</f>
        <v/>
      </c>
      <c r="F734" s="24"/>
      <c r="G734" s="30"/>
      <c r="H734" s="24"/>
      <c r="I734" s="24"/>
      <c r="J734" s="24"/>
      <c r="K734" s="37" t="str">
        <f t="shared" si="44"/>
        <v/>
      </c>
      <c r="L734" s="37" t="str">
        <f t="shared" si="45"/>
        <v/>
      </c>
      <c r="M734" s="37" t="str">
        <f t="shared" si="46"/>
        <v/>
      </c>
      <c r="N734" s="37" t="str">
        <f t="shared" si="47"/>
        <v/>
      </c>
      <c r="O734" s="37" t="str">
        <f>IF(OR($D734="",$F734=""),"",$F734*IFERROR(VLOOKUP($D734,Maestro_SKU!$A$2:$P$500,12,FALSE),1))</f>
        <v/>
      </c>
    </row>
    <row r="735" spans="1:15" x14ac:dyDescent="0.35">
      <c r="A735" s="25"/>
      <c r="B735" s="24"/>
      <c r="C735" s="24"/>
      <c r="D735" s="24"/>
      <c r="E735" s="28" t="str">
        <f>IFERROR(VLOOKUP(D735,Maestro_SKU!$A$2:$P$500,2,FALSE),"")</f>
        <v/>
      </c>
      <c r="F735" s="24"/>
      <c r="G735" s="30"/>
      <c r="H735" s="24"/>
      <c r="I735" s="24"/>
      <c r="J735" s="24"/>
      <c r="K735" s="37" t="str">
        <f t="shared" si="44"/>
        <v/>
      </c>
      <c r="L735" s="37" t="str">
        <f t="shared" si="45"/>
        <v/>
      </c>
      <c r="M735" s="37" t="str">
        <f t="shared" si="46"/>
        <v/>
      </c>
      <c r="N735" s="37" t="str">
        <f t="shared" si="47"/>
        <v/>
      </c>
      <c r="O735" s="37" t="str">
        <f>IF(OR($D735="",$F735=""),"",$F735*IFERROR(VLOOKUP($D735,Maestro_SKU!$A$2:$P$500,12,FALSE),1))</f>
        <v/>
      </c>
    </row>
    <row r="736" spans="1:15" x14ac:dyDescent="0.35">
      <c r="A736" s="25"/>
      <c r="B736" s="24"/>
      <c r="C736" s="24"/>
      <c r="D736" s="24"/>
      <c r="E736" s="28" t="str">
        <f>IFERROR(VLOOKUP(D736,Maestro_SKU!$A$2:$P$500,2,FALSE),"")</f>
        <v/>
      </c>
      <c r="F736" s="24"/>
      <c r="G736" s="30"/>
      <c r="H736" s="24"/>
      <c r="I736" s="24"/>
      <c r="J736" s="24"/>
      <c r="K736" s="37" t="str">
        <f t="shared" si="44"/>
        <v/>
      </c>
      <c r="L736" s="37" t="str">
        <f t="shared" si="45"/>
        <v/>
      </c>
      <c r="M736" s="37" t="str">
        <f t="shared" si="46"/>
        <v/>
      </c>
      <c r="N736" s="37" t="str">
        <f t="shared" si="47"/>
        <v/>
      </c>
      <c r="O736" s="37" t="str">
        <f>IF(OR($D736="",$F736=""),"",$F736*IFERROR(VLOOKUP($D736,Maestro_SKU!$A$2:$P$500,12,FALSE),1))</f>
        <v/>
      </c>
    </row>
    <row r="737" spans="1:15" x14ac:dyDescent="0.35">
      <c r="A737" s="25"/>
      <c r="B737" s="24"/>
      <c r="C737" s="24"/>
      <c r="D737" s="24"/>
      <c r="E737" s="28" t="str">
        <f>IFERROR(VLOOKUP(D737,Maestro_SKU!$A$2:$P$500,2,FALSE),"")</f>
        <v/>
      </c>
      <c r="F737" s="24"/>
      <c r="G737" s="30"/>
      <c r="H737" s="24"/>
      <c r="I737" s="24"/>
      <c r="J737" s="24"/>
      <c r="K737" s="37" t="str">
        <f t="shared" si="44"/>
        <v/>
      </c>
      <c r="L737" s="37" t="str">
        <f t="shared" si="45"/>
        <v/>
      </c>
      <c r="M737" s="37" t="str">
        <f t="shared" si="46"/>
        <v/>
      </c>
      <c r="N737" s="37" t="str">
        <f t="shared" si="47"/>
        <v/>
      </c>
      <c r="O737" s="37" t="str">
        <f>IF(OR($D737="",$F737=""),"",$F737*IFERROR(VLOOKUP($D737,Maestro_SKU!$A$2:$P$500,12,FALSE),1))</f>
        <v/>
      </c>
    </row>
    <row r="738" spans="1:15" x14ac:dyDescent="0.35">
      <c r="A738" s="25"/>
      <c r="B738" s="24"/>
      <c r="C738" s="24"/>
      <c r="D738" s="24"/>
      <c r="E738" s="28" t="str">
        <f>IFERROR(VLOOKUP(D738,Maestro_SKU!$A$2:$P$500,2,FALSE),"")</f>
        <v/>
      </c>
      <c r="F738" s="24"/>
      <c r="G738" s="30"/>
      <c r="H738" s="24"/>
      <c r="I738" s="24"/>
      <c r="J738" s="24"/>
      <c r="K738" s="37" t="str">
        <f t="shared" si="44"/>
        <v/>
      </c>
      <c r="L738" s="37" t="str">
        <f t="shared" si="45"/>
        <v/>
      </c>
      <c r="M738" s="37" t="str">
        <f t="shared" si="46"/>
        <v/>
      </c>
      <c r="N738" s="37" t="str">
        <f t="shared" si="47"/>
        <v/>
      </c>
      <c r="O738" s="37" t="str">
        <f>IF(OR($D738="",$F738=""),"",$F738*IFERROR(VLOOKUP($D738,Maestro_SKU!$A$2:$P$500,12,FALSE),1))</f>
        <v/>
      </c>
    </row>
    <row r="739" spans="1:15" x14ac:dyDescent="0.35">
      <c r="A739" s="25"/>
      <c r="B739" s="24"/>
      <c r="C739" s="24"/>
      <c r="D739" s="24"/>
      <c r="E739" s="28" t="str">
        <f>IFERROR(VLOOKUP(D739,Maestro_SKU!$A$2:$P$500,2,FALSE),"")</f>
        <v/>
      </c>
      <c r="F739" s="24"/>
      <c r="G739" s="30"/>
      <c r="H739" s="24"/>
      <c r="I739" s="24"/>
      <c r="J739" s="24"/>
      <c r="K739" s="37" t="str">
        <f t="shared" si="44"/>
        <v/>
      </c>
      <c r="L739" s="37" t="str">
        <f t="shared" si="45"/>
        <v/>
      </c>
      <c r="M739" s="37" t="str">
        <f t="shared" si="46"/>
        <v/>
      </c>
      <c r="N739" s="37" t="str">
        <f t="shared" si="47"/>
        <v/>
      </c>
      <c r="O739" s="37" t="str">
        <f>IF(OR($D739="",$F739=""),"",$F739*IFERROR(VLOOKUP($D739,Maestro_SKU!$A$2:$P$500,12,FALSE),1))</f>
        <v/>
      </c>
    </row>
    <row r="740" spans="1:15" x14ac:dyDescent="0.35">
      <c r="A740" s="25"/>
      <c r="B740" s="24"/>
      <c r="C740" s="24"/>
      <c r="D740" s="24"/>
      <c r="E740" s="28" t="str">
        <f>IFERROR(VLOOKUP(D740,Maestro_SKU!$A$2:$P$500,2,FALSE),"")</f>
        <v/>
      </c>
      <c r="F740" s="24"/>
      <c r="G740" s="30"/>
      <c r="H740" s="24"/>
      <c r="I740" s="24"/>
      <c r="J740" s="24"/>
      <c r="K740" s="37" t="str">
        <f t="shared" si="44"/>
        <v/>
      </c>
      <c r="L740" s="37" t="str">
        <f t="shared" si="45"/>
        <v/>
      </c>
      <c r="M740" s="37" t="str">
        <f t="shared" si="46"/>
        <v/>
      </c>
      <c r="N740" s="37" t="str">
        <f t="shared" si="47"/>
        <v/>
      </c>
      <c r="O740" s="37" t="str">
        <f>IF(OR($D740="",$F740=""),"",$F740*IFERROR(VLOOKUP($D740,Maestro_SKU!$A$2:$P$500,12,FALSE),1))</f>
        <v/>
      </c>
    </row>
    <row r="741" spans="1:15" x14ac:dyDescent="0.35">
      <c r="A741" s="25"/>
      <c r="B741" s="24"/>
      <c r="C741" s="24"/>
      <c r="D741" s="24"/>
      <c r="E741" s="28" t="str">
        <f>IFERROR(VLOOKUP(D741,Maestro_SKU!$A$2:$P$500,2,FALSE),"")</f>
        <v/>
      </c>
      <c r="F741" s="24"/>
      <c r="G741" s="30"/>
      <c r="H741" s="24"/>
      <c r="I741" s="24"/>
      <c r="J741" s="24"/>
      <c r="K741" s="37" t="str">
        <f t="shared" si="44"/>
        <v/>
      </c>
      <c r="L741" s="37" t="str">
        <f t="shared" si="45"/>
        <v/>
      </c>
      <c r="M741" s="37" t="str">
        <f t="shared" si="46"/>
        <v/>
      </c>
      <c r="N741" s="37" t="str">
        <f t="shared" si="47"/>
        <v/>
      </c>
      <c r="O741" s="37" t="str">
        <f>IF(OR($D741="",$F741=""),"",$F741*IFERROR(VLOOKUP($D741,Maestro_SKU!$A$2:$P$500,12,FALSE),1))</f>
        <v/>
      </c>
    </row>
    <row r="742" spans="1:15" x14ac:dyDescent="0.35">
      <c r="A742" s="25"/>
      <c r="B742" s="24"/>
      <c r="C742" s="24"/>
      <c r="D742" s="24"/>
      <c r="E742" s="28" t="str">
        <f>IFERROR(VLOOKUP(D742,Maestro_SKU!$A$2:$P$500,2,FALSE),"")</f>
        <v/>
      </c>
      <c r="F742" s="24"/>
      <c r="G742" s="30"/>
      <c r="H742" s="24"/>
      <c r="I742" s="24"/>
      <c r="J742" s="24"/>
      <c r="K742" s="37" t="str">
        <f t="shared" si="44"/>
        <v/>
      </c>
      <c r="L742" s="37" t="str">
        <f t="shared" si="45"/>
        <v/>
      </c>
      <c r="M742" s="37" t="str">
        <f t="shared" si="46"/>
        <v/>
      </c>
      <c r="N742" s="37" t="str">
        <f t="shared" si="47"/>
        <v/>
      </c>
      <c r="O742" s="37" t="str">
        <f>IF(OR($D742="",$F742=""),"",$F742*IFERROR(VLOOKUP($D742,Maestro_SKU!$A$2:$P$500,12,FALSE),1))</f>
        <v/>
      </c>
    </row>
    <row r="743" spans="1:15" x14ac:dyDescent="0.35">
      <c r="A743" s="25"/>
      <c r="B743" s="24"/>
      <c r="C743" s="24"/>
      <c r="D743" s="24"/>
      <c r="E743" s="28" t="str">
        <f>IFERROR(VLOOKUP(D743,Maestro_SKU!$A$2:$P$500,2,FALSE),"")</f>
        <v/>
      </c>
      <c r="F743" s="24"/>
      <c r="G743" s="30"/>
      <c r="H743" s="24"/>
      <c r="I743" s="24"/>
      <c r="J743" s="24"/>
      <c r="K743" s="37" t="str">
        <f t="shared" si="44"/>
        <v/>
      </c>
      <c r="L743" s="37" t="str">
        <f t="shared" si="45"/>
        <v/>
      </c>
      <c r="M743" s="37" t="str">
        <f t="shared" si="46"/>
        <v/>
      </c>
      <c r="N743" s="37" t="str">
        <f t="shared" si="47"/>
        <v/>
      </c>
      <c r="O743" s="37" t="str">
        <f>IF(OR($D743="",$F743=""),"",$F743*IFERROR(VLOOKUP($D743,Maestro_SKU!$A$2:$P$500,12,FALSE),1))</f>
        <v/>
      </c>
    </row>
    <row r="744" spans="1:15" x14ac:dyDescent="0.35">
      <c r="A744" s="25"/>
      <c r="B744" s="24"/>
      <c r="C744" s="24"/>
      <c r="D744" s="24"/>
      <c r="E744" s="28" t="str">
        <f>IFERROR(VLOOKUP(D744,Maestro_SKU!$A$2:$P$500,2,FALSE),"")</f>
        <v/>
      </c>
      <c r="F744" s="24"/>
      <c r="G744" s="30"/>
      <c r="H744" s="24"/>
      <c r="I744" s="24"/>
      <c r="J744" s="24"/>
      <c r="K744" s="37" t="str">
        <f t="shared" si="44"/>
        <v/>
      </c>
      <c r="L744" s="37" t="str">
        <f t="shared" si="45"/>
        <v/>
      </c>
      <c r="M744" s="37" t="str">
        <f t="shared" si="46"/>
        <v/>
      </c>
      <c r="N744" s="37" t="str">
        <f t="shared" si="47"/>
        <v/>
      </c>
      <c r="O744" s="37" t="str">
        <f>IF(OR($D744="",$F744=""),"",$F744*IFERROR(VLOOKUP($D744,Maestro_SKU!$A$2:$P$500,12,FALSE),1))</f>
        <v/>
      </c>
    </row>
    <row r="745" spans="1:15" x14ac:dyDescent="0.35">
      <c r="A745" s="25"/>
      <c r="B745" s="24"/>
      <c r="C745" s="24"/>
      <c r="D745" s="24"/>
      <c r="E745" s="28" t="str">
        <f>IFERROR(VLOOKUP(D745,Maestro_SKU!$A$2:$P$500,2,FALSE),"")</f>
        <v/>
      </c>
      <c r="F745" s="24"/>
      <c r="G745" s="30"/>
      <c r="H745" s="24"/>
      <c r="I745" s="24"/>
      <c r="J745" s="24"/>
      <c r="K745" s="37" t="str">
        <f t="shared" si="44"/>
        <v/>
      </c>
      <c r="L745" s="37" t="str">
        <f t="shared" si="45"/>
        <v/>
      </c>
      <c r="M745" s="37" t="str">
        <f t="shared" si="46"/>
        <v/>
      </c>
      <c r="N745" s="37" t="str">
        <f t="shared" si="47"/>
        <v/>
      </c>
      <c r="O745" s="37" t="str">
        <f>IF(OR($D745="",$F745=""),"",$F745*IFERROR(VLOOKUP($D745,Maestro_SKU!$A$2:$P$500,12,FALSE),1))</f>
        <v/>
      </c>
    </row>
    <row r="746" spans="1:15" x14ac:dyDescent="0.35">
      <c r="A746" s="25"/>
      <c r="B746" s="24"/>
      <c r="C746" s="24"/>
      <c r="D746" s="24"/>
      <c r="E746" s="28" t="str">
        <f>IFERROR(VLOOKUP(D746,Maestro_SKU!$A$2:$P$500,2,FALSE),"")</f>
        <v/>
      </c>
      <c r="F746" s="24"/>
      <c r="G746" s="30"/>
      <c r="H746" s="24"/>
      <c r="I746" s="24"/>
      <c r="J746" s="24"/>
      <c r="K746" s="37" t="str">
        <f t="shared" si="44"/>
        <v/>
      </c>
      <c r="L746" s="37" t="str">
        <f t="shared" si="45"/>
        <v/>
      </c>
      <c r="M746" s="37" t="str">
        <f t="shared" si="46"/>
        <v/>
      </c>
      <c r="N746" s="37" t="str">
        <f t="shared" si="47"/>
        <v/>
      </c>
      <c r="O746" s="37" t="str">
        <f>IF(OR($D746="",$F746=""),"",$F746*IFERROR(VLOOKUP($D746,Maestro_SKU!$A$2:$P$500,12,FALSE),1))</f>
        <v/>
      </c>
    </row>
    <row r="747" spans="1:15" x14ac:dyDescent="0.35">
      <c r="A747" s="25"/>
      <c r="B747" s="24"/>
      <c r="C747" s="24"/>
      <c r="D747" s="24"/>
      <c r="E747" s="28" t="str">
        <f>IFERROR(VLOOKUP(D747,Maestro_SKU!$A$2:$P$500,2,FALSE),"")</f>
        <v/>
      </c>
      <c r="F747" s="24"/>
      <c r="G747" s="30"/>
      <c r="H747" s="24"/>
      <c r="I747" s="24"/>
      <c r="J747" s="24"/>
      <c r="K747" s="37" t="str">
        <f t="shared" si="44"/>
        <v/>
      </c>
      <c r="L747" s="37" t="str">
        <f t="shared" si="45"/>
        <v/>
      </c>
      <c r="M747" s="37" t="str">
        <f t="shared" si="46"/>
        <v/>
      </c>
      <c r="N747" s="37" t="str">
        <f t="shared" si="47"/>
        <v/>
      </c>
      <c r="O747" s="37" t="str">
        <f>IF(OR($D747="",$F747=""),"",$F747*IFERROR(VLOOKUP($D747,Maestro_SKU!$A$2:$P$500,12,FALSE),1))</f>
        <v/>
      </c>
    </row>
    <row r="748" spans="1:15" x14ac:dyDescent="0.35">
      <c r="A748" s="25"/>
      <c r="B748" s="24"/>
      <c r="C748" s="24"/>
      <c r="D748" s="24"/>
      <c r="E748" s="28" t="str">
        <f>IFERROR(VLOOKUP(D748,Maestro_SKU!$A$2:$P$500,2,FALSE),"")</f>
        <v/>
      </c>
      <c r="F748" s="24"/>
      <c r="G748" s="30"/>
      <c r="H748" s="24"/>
      <c r="I748" s="24"/>
      <c r="J748" s="24"/>
      <c r="K748" s="37" t="str">
        <f t="shared" si="44"/>
        <v/>
      </c>
      <c r="L748" s="37" t="str">
        <f t="shared" si="45"/>
        <v/>
      </c>
      <c r="M748" s="37" t="str">
        <f t="shared" si="46"/>
        <v/>
      </c>
      <c r="N748" s="37" t="str">
        <f t="shared" si="47"/>
        <v/>
      </c>
      <c r="O748" s="37" t="str">
        <f>IF(OR($D748="",$F748=""),"",$F748*IFERROR(VLOOKUP($D748,Maestro_SKU!$A$2:$P$500,12,FALSE),1))</f>
        <v/>
      </c>
    </row>
    <row r="749" spans="1:15" x14ac:dyDescent="0.35">
      <c r="A749" s="25"/>
      <c r="B749" s="24"/>
      <c r="C749" s="24"/>
      <c r="D749" s="24"/>
      <c r="E749" s="28" t="str">
        <f>IFERROR(VLOOKUP(D749,Maestro_SKU!$A$2:$P$500,2,FALSE),"")</f>
        <v/>
      </c>
      <c r="F749" s="24"/>
      <c r="G749" s="30"/>
      <c r="H749" s="24"/>
      <c r="I749" s="24"/>
      <c r="J749" s="24"/>
      <c r="K749" s="37" t="str">
        <f t="shared" si="44"/>
        <v/>
      </c>
      <c r="L749" s="37" t="str">
        <f t="shared" si="45"/>
        <v/>
      </c>
      <c r="M749" s="37" t="str">
        <f t="shared" si="46"/>
        <v/>
      </c>
      <c r="N749" s="37" t="str">
        <f t="shared" si="47"/>
        <v/>
      </c>
      <c r="O749" s="37" t="str">
        <f>IF(OR($D749="",$F749=""),"",$F749*IFERROR(VLOOKUP($D749,Maestro_SKU!$A$2:$P$500,12,FALSE),1))</f>
        <v/>
      </c>
    </row>
    <row r="750" spans="1:15" x14ac:dyDescent="0.35">
      <c r="A750" s="25"/>
      <c r="B750" s="24"/>
      <c r="C750" s="24"/>
      <c r="D750" s="24"/>
      <c r="E750" s="28" t="str">
        <f>IFERROR(VLOOKUP(D750,Maestro_SKU!$A$2:$P$500,2,FALSE),"")</f>
        <v/>
      </c>
      <c r="F750" s="24"/>
      <c r="G750" s="30"/>
      <c r="H750" s="24"/>
      <c r="I750" s="24"/>
      <c r="J750" s="24"/>
      <c r="K750" s="37" t="str">
        <f t="shared" si="44"/>
        <v/>
      </c>
      <c r="L750" s="37" t="str">
        <f t="shared" si="45"/>
        <v/>
      </c>
      <c r="M750" s="37" t="str">
        <f t="shared" si="46"/>
        <v/>
      </c>
      <c r="N750" s="37" t="str">
        <f t="shared" si="47"/>
        <v/>
      </c>
      <c r="O750" s="37" t="str">
        <f>IF(OR($D750="",$F750=""),"",$F750*IFERROR(VLOOKUP($D750,Maestro_SKU!$A$2:$P$500,12,FALSE),1))</f>
        <v/>
      </c>
    </row>
    <row r="751" spans="1:15" x14ac:dyDescent="0.35">
      <c r="A751" s="25"/>
      <c r="B751" s="24"/>
      <c r="C751" s="24"/>
      <c r="D751" s="24"/>
      <c r="E751" s="28" t="str">
        <f>IFERROR(VLOOKUP(D751,Maestro_SKU!$A$2:$P$500,2,FALSE),"")</f>
        <v/>
      </c>
      <c r="F751" s="24"/>
      <c r="G751" s="30"/>
      <c r="H751" s="24"/>
      <c r="I751" s="24"/>
      <c r="J751" s="24"/>
      <c r="K751" s="37" t="str">
        <f t="shared" si="44"/>
        <v/>
      </c>
      <c r="L751" s="37" t="str">
        <f t="shared" si="45"/>
        <v/>
      </c>
      <c r="M751" s="37" t="str">
        <f t="shared" si="46"/>
        <v/>
      </c>
      <c r="N751" s="37" t="str">
        <f t="shared" si="47"/>
        <v/>
      </c>
      <c r="O751" s="37" t="str">
        <f>IF(OR($D751="",$F751=""),"",$F751*IFERROR(VLOOKUP($D751,Maestro_SKU!$A$2:$P$500,12,FALSE),1))</f>
        <v/>
      </c>
    </row>
    <row r="752" spans="1:15" x14ac:dyDescent="0.35">
      <c r="A752" s="25"/>
      <c r="B752" s="24"/>
      <c r="C752" s="24"/>
      <c r="D752" s="24"/>
      <c r="E752" s="28" t="str">
        <f>IFERROR(VLOOKUP(D752,Maestro_SKU!$A$2:$P$500,2,FALSE),"")</f>
        <v/>
      </c>
      <c r="F752" s="24"/>
      <c r="G752" s="30"/>
      <c r="H752" s="24"/>
      <c r="I752" s="24"/>
      <c r="J752" s="24"/>
      <c r="K752" s="37" t="str">
        <f t="shared" si="44"/>
        <v/>
      </c>
      <c r="L752" s="37" t="str">
        <f t="shared" si="45"/>
        <v/>
      </c>
      <c r="M752" s="37" t="str">
        <f t="shared" si="46"/>
        <v/>
      </c>
      <c r="N752" s="37" t="str">
        <f t="shared" si="47"/>
        <v/>
      </c>
      <c r="O752" s="37" t="str">
        <f>IF(OR($D752="",$F752=""),"",$F752*IFERROR(VLOOKUP($D752,Maestro_SKU!$A$2:$P$500,12,FALSE),1))</f>
        <v/>
      </c>
    </row>
    <row r="753" spans="1:15" x14ac:dyDescent="0.35">
      <c r="A753" s="25"/>
      <c r="B753" s="24"/>
      <c r="C753" s="24"/>
      <c r="D753" s="24"/>
      <c r="E753" s="28" t="str">
        <f>IFERROR(VLOOKUP(D753,Maestro_SKU!$A$2:$P$500,2,FALSE),"")</f>
        <v/>
      </c>
      <c r="F753" s="24"/>
      <c r="G753" s="30"/>
      <c r="H753" s="24"/>
      <c r="I753" s="24"/>
      <c r="J753" s="24"/>
      <c r="K753" s="37" t="str">
        <f t="shared" si="44"/>
        <v/>
      </c>
      <c r="L753" s="37" t="str">
        <f t="shared" si="45"/>
        <v/>
      </c>
      <c r="M753" s="37" t="str">
        <f t="shared" si="46"/>
        <v/>
      </c>
      <c r="N753" s="37" t="str">
        <f t="shared" si="47"/>
        <v/>
      </c>
      <c r="O753" s="37" t="str">
        <f>IF(OR($D753="",$F753=""),"",$F753*IFERROR(VLOOKUP($D753,Maestro_SKU!$A$2:$P$500,12,FALSE),1))</f>
        <v/>
      </c>
    </row>
    <row r="754" spans="1:15" x14ac:dyDescent="0.35">
      <c r="A754" s="25"/>
      <c r="B754" s="24"/>
      <c r="C754" s="24"/>
      <c r="D754" s="24"/>
      <c r="E754" s="28" t="str">
        <f>IFERROR(VLOOKUP(D754,Maestro_SKU!$A$2:$P$500,2,FALSE),"")</f>
        <v/>
      </c>
      <c r="F754" s="24"/>
      <c r="G754" s="30"/>
      <c r="H754" s="24"/>
      <c r="I754" s="24"/>
      <c r="J754" s="24"/>
      <c r="K754" s="37" t="str">
        <f t="shared" si="44"/>
        <v/>
      </c>
      <c r="L754" s="37" t="str">
        <f t="shared" si="45"/>
        <v/>
      </c>
      <c r="M754" s="37" t="str">
        <f t="shared" si="46"/>
        <v/>
      </c>
      <c r="N754" s="37" t="str">
        <f t="shared" si="47"/>
        <v/>
      </c>
      <c r="O754" s="37" t="str">
        <f>IF(OR($D754="",$F754=""),"",$F754*IFERROR(VLOOKUP($D754,Maestro_SKU!$A$2:$P$500,12,FALSE),1))</f>
        <v/>
      </c>
    </row>
    <row r="755" spans="1:15" x14ac:dyDescent="0.35">
      <c r="A755" s="25"/>
      <c r="B755" s="24"/>
      <c r="C755" s="24"/>
      <c r="D755" s="24"/>
      <c r="E755" s="28" t="str">
        <f>IFERROR(VLOOKUP(D755,Maestro_SKU!$A$2:$P$500,2,FALSE),"")</f>
        <v/>
      </c>
      <c r="F755" s="24"/>
      <c r="G755" s="30"/>
      <c r="H755" s="24"/>
      <c r="I755" s="24"/>
      <c r="J755" s="24"/>
      <c r="K755" s="37" t="str">
        <f t="shared" si="44"/>
        <v/>
      </c>
      <c r="L755" s="37" t="str">
        <f t="shared" si="45"/>
        <v/>
      </c>
      <c r="M755" s="37" t="str">
        <f t="shared" si="46"/>
        <v/>
      </c>
      <c r="N755" s="37" t="str">
        <f t="shared" si="47"/>
        <v/>
      </c>
      <c r="O755" s="37" t="str">
        <f>IF(OR($D755="",$F755=""),"",$F755*IFERROR(VLOOKUP($D755,Maestro_SKU!$A$2:$P$500,12,FALSE),1))</f>
        <v/>
      </c>
    </row>
    <row r="756" spans="1:15" x14ac:dyDescent="0.35">
      <c r="A756" s="25"/>
      <c r="B756" s="24"/>
      <c r="C756" s="24"/>
      <c r="D756" s="24"/>
      <c r="E756" s="28" t="str">
        <f>IFERROR(VLOOKUP(D756,Maestro_SKU!$A$2:$P$500,2,FALSE),"")</f>
        <v/>
      </c>
      <c r="F756" s="24"/>
      <c r="G756" s="30"/>
      <c r="H756" s="24"/>
      <c r="I756" s="24"/>
      <c r="J756" s="24"/>
      <c r="K756" s="37" t="str">
        <f t="shared" si="44"/>
        <v/>
      </c>
      <c r="L756" s="37" t="str">
        <f t="shared" si="45"/>
        <v/>
      </c>
      <c r="M756" s="37" t="str">
        <f t="shared" si="46"/>
        <v/>
      </c>
      <c r="N756" s="37" t="str">
        <f t="shared" si="47"/>
        <v/>
      </c>
      <c r="O756" s="37" t="str">
        <f>IF(OR($D756="",$F756=""),"",$F756*IFERROR(VLOOKUP($D756,Maestro_SKU!$A$2:$P$500,12,FALSE),1))</f>
        <v/>
      </c>
    </row>
    <row r="757" spans="1:15" x14ac:dyDescent="0.35">
      <c r="A757" s="25"/>
      <c r="B757" s="24"/>
      <c r="C757" s="24"/>
      <c r="D757" s="24"/>
      <c r="E757" s="28" t="str">
        <f>IFERROR(VLOOKUP(D757,Maestro_SKU!$A$2:$P$500,2,FALSE),"")</f>
        <v/>
      </c>
      <c r="F757" s="24"/>
      <c r="G757" s="30"/>
      <c r="H757" s="24"/>
      <c r="I757" s="24"/>
      <c r="J757" s="24"/>
      <c r="K757" s="37" t="str">
        <f t="shared" si="44"/>
        <v/>
      </c>
      <c r="L757" s="37" t="str">
        <f t="shared" si="45"/>
        <v/>
      </c>
      <c r="M757" s="37" t="str">
        <f t="shared" si="46"/>
        <v/>
      </c>
      <c r="N757" s="37" t="str">
        <f t="shared" si="47"/>
        <v/>
      </c>
      <c r="O757" s="37" t="str">
        <f>IF(OR($D757="",$F757=""),"",$F757*IFERROR(VLOOKUP($D757,Maestro_SKU!$A$2:$P$500,12,FALSE),1))</f>
        <v/>
      </c>
    </row>
    <row r="758" spans="1:15" x14ac:dyDescent="0.35">
      <c r="A758" s="25"/>
      <c r="B758" s="24"/>
      <c r="C758" s="24"/>
      <c r="D758" s="24"/>
      <c r="E758" s="28" t="str">
        <f>IFERROR(VLOOKUP(D758,Maestro_SKU!$A$2:$P$500,2,FALSE),"")</f>
        <v/>
      </c>
      <c r="F758" s="24"/>
      <c r="G758" s="30"/>
      <c r="H758" s="24"/>
      <c r="I758" s="24"/>
      <c r="J758" s="24"/>
      <c r="K758" s="37" t="str">
        <f t="shared" si="44"/>
        <v/>
      </c>
      <c r="L758" s="37" t="str">
        <f t="shared" si="45"/>
        <v/>
      </c>
      <c r="M758" s="37" t="str">
        <f t="shared" si="46"/>
        <v/>
      </c>
      <c r="N758" s="37" t="str">
        <f t="shared" si="47"/>
        <v/>
      </c>
      <c r="O758" s="37" t="str">
        <f>IF(OR($D758="",$F758=""),"",$F758*IFERROR(VLOOKUP($D758,Maestro_SKU!$A$2:$P$500,12,FALSE),1))</f>
        <v/>
      </c>
    </row>
    <row r="759" spans="1:15" x14ac:dyDescent="0.35">
      <c r="A759" s="25"/>
      <c r="B759" s="24"/>
      <c r="C759" s="24"/>
      <c r="D759" s="24"/>
      <c r="E759" s="28" t="str">
        <f>IFERROR(VLOOKUP(D759,Maestro_SKU!$A$2:$P$500,2,FALSE),"")</f>
        <v/>
      </c>
      <c r="F759" s="24"/>
      <c r="G759" s="30"/>
      <c r="H759" s="24"/>
      <c r="I759" s="24"/>
      <c r="J759" s="24"/>
      <c r="K759" s="37" t="str">
        <f t="shared" si="44"/>
        <v/>
      </c>
      <c r="L759" s="37" t="str">
        <f t="shared" si="45"/>
        <v/>
      </c>
      <c r="M759" s="37" t="str">
        <f t="shared" si="46"/>
        <v/>
      </c>
      <c r="N759" s="37" t="str">
        <f t="shared" si="47"/>
        <v/>
      </c>
      <c r="O759" s="37" t="str">
        <f>IF(OR($D759="",$F759=""),"",$F759*IFERROR(VLOOKUP($D759,Maestro_SKU!$A$2:$P$500,12,FALSE),1))</f>
        <v/>
      </c>
    </row>
    <row r="760" spans="1:15" x14ac:dyDescent="0.35">
      <c r="A760" s="25"/>
      <c r="B760" s="24"/>
      <c r="C760" s="24"/>
      <c r="D760" s="24"/>
      <c r="E760" s="28" t="str">
        <f>IFERROR(VLOOKUP(D760,Maestro_SKU!$A$2:$P$500,2,FALSE),"")</f>
        <v/>
      </c>
      <c r="F760" s="24"/>
      <c r="G760" s="30"/>
      <c r="H760" s="24"/>
      <c r="I760" s="24"/>
      <c r="J760" s="24"/>
      <c r="K760" s="37" t="str">
        <f t="shared" si="44"/>
        <v/>
      </c>
      <c r="L760" s="37" t="str">
        <f t="shared" si="45"/>
        <v/>
      </c>
      <c r="M760" s="37" t="str">
        <f t="shared" si="46"/>
        <v/>
      </c>
      <c r="N760" s="37" t="str">
        <f t="shared" si="47"/>
        <v/>
      </c>
      <c r="O760" s="37" t="str">
        <f>IF(OR($D760="",$F760=""),"",$F760*IFERROR(VLOOKUP($D760,Maestro_SKU!$A$2:$P$500,12,FALSE),1))</f>
        <v/>
      </c>
    </row>
    <row r="761" spans="1:15" x14ac:dyDescent="0.35">
      <c r="A761" s="25"/>
      <c r="B761" s="24"/>
      <c r="C761" s="24"/>
      <c r="D761" s="24"/>
      <c r="E761" s="28" t="str">
        <f>IFERROR(VLOOKUP(D761,Maestro_SKU!$A$2:$P$500,2,FALSE),"")</f>
        <v/>
      </c>
      <c r="F761" s="24"/>
      <c r="G761" s="30"/>
      <c r="H761" s="24"/>
      <c r="I761" s="24"/>
      <c r="J761" s="24"/>
      <c r="K761" s="37" t="str">
        <f t="shared" si="44"/>
        <v/>
      </c>
      <c r="L761" s="37" t="str">
        <f t="shared" si="45"/>
        <v/>
      </c>
      <c r="M761" s="37" t="str">
        <f t="shared" si="46"/>
        <v/>
      </c>
      <c r="N761" s="37" t="str">
        <f t="shared" si="47"/>
        <v/>
      </c>
      <c r="O761" s="37" t="str">
        <f>IF(OR($D761="",$F761=""),"",$F761*IFERROR(VLOOKUP($D761,Maestro_SKU!$A$2:$P$500,12,FALSE),1))</f>
        <v/>
      </c>
    </row>
    <row r="762" spans="1:15" x14ac:dyDescent="0.35">
      <c r="A762" s="25"/>
      <c r="B762" s="24"/>
      <c r="C762" s="24"/>
      <c r="D762" s="24"/>
      <c r="E762" s="28" t="str">
        <f>IFERROR(VLOOKUP(D762,Maestro_SKU!$A$2:$P$500,2,FALSE),"")</f>
        <v/>
      </c>
      <c r="F762" s="24"/>
      <c r="G762" s="30"/>
      <c r="H762" s="24"/>
      <c r="I762" s="24"/>
      <c r="J762" s="24"/>
      <c r="K762" s="37" t="str">
        <f t="shared" si="44"/>
        <v/>
      </c>
      <c r="L762" s="37" t="str">
        <f t="shared" si="45"/>
        <v/>
      </c>
      <c r="M762" s="37" t="str">
        <f t="shared" si="46"/>
        <v/>
      </c>
      <c r="N762" s="37" t="str">
        <f t="shared" si="47"/>
        <v/>
      </c>
      <c r="O762" s="37" t="str">
        <f>IF(OR($D762="",$F762=""),"",$F762*IFERROR(VLOOKUP($D762,Maestro_SKU!$A$2:$P$500,12,FALSE),1))</f>
        <v/>
      </c>
    </row>
    <row r="763" spans="1:15" x14ac:dyDescent="0.35">
      <c r="A763" s="25"/>
      <c r="B763" s="24"/>
      <c r="C763" s="24"/>
      <c r="D763" s="24"/>
      <c r="E763" s="28" t="str">
        <f>IFERROR(VLOOKUP(D763,Maestro_SKU!$A$2:$P$500,2,FALSE),"")</f>
        <v/>
      </c>
      <c r="F763" s="24"/>
      <c r="G763" s="30"/>
      <c r="H763" s="24"/>
      <c r="I763" s="24"/>
      <c r="J763" s="24"/>
      <c r="K763" s="37" t="str">
        <f t="shared" si="44"/>
        <v/>
      </c>
      <c r="L763" s="37" t="str">
        <f t="shared" si="45"/>
        <v/>
      </c>
      <c r="M763" s="37" t="str">
        <f t="shared" si="46"/>
        <v/>
      </c>
      <c r="N763" s="37" t="str">
        <f t="shared" si="47"/>
        <v/>
      </c>
      <c r="O763" s="37" t="str">
        <f>IF(OR($D763="",$F763=""),"",$F763*IFERROR(VLOOKUP($D763,Maestro_SKU!$A$2:$P$500,12,FALSE),1))</f>
        <v/>
      </c>
    </row>
    <row r="764" spans="1:15" x14ac:dyDescent="0.35">
      <c r="A764" s="25"/>
      <c r="B764" s="24"/>
      <c r="C764" s="24"/>
      <c r="D764" s="24"/>
      <c r="E764" s="28" t="str">
        <f>IFERROR(VLOOKUP(D764,Maestro_SKU!$A$2:$P$500,2,FALSE),"")</f>
        <v/>
      </c>
      <c r="F764" s="24"/>
      <c r="G764" s="30"/>
      <c r="H764" s="24"/>
      <c r="I764" s="24"/>
      <c r="J764" s="24"/>
      <c r="K764" s="37" t="str">
        <f t="shared" si="44"/>
        <v/>
      </c>
      <c r="L764" s="37" t="str">
        <f t="shared" si="45"/>
        <v/>
      </c>
      <c r="M764" s="37" t="str">
        <f t="shared" si="46"/>
        <v/>
      </c>
      <c r="N764" s="37" t="str">
        <f t="shared" si="47"/>
        <v/>
      </c>
      <c r="O764" s="37" t="str">
        <f>IF(OR($D764="",$F764=""),"",$F764*IFERROR(VLOOKUP($D764,Maestro_SKU!$A$2:$P$500,12,FALSE),1))</f>
        <v/>
      </c>
    </row>
    <row r="765" spans="1:15" x14ac:dyDescent="0.35">
      <c r="A765" s="25"/>
      <c r="B765" s="24"/>
      <c r="C765" s="24"/>
      <c r="D765" s="24"/>
      <c r="E765" s="28" t="str">
        <f>IFERROR(VLOOKUP(D765,Maestro_SKU!$A$2:$P$500,2,FALSE),"")</f>
        <v/>
      </c>
      <c r="F765" s="24"/>
      <c r="G765" s="30"/>
      <c r="H765" s="24"/>
      <c r="I765" s="24"/>
      <c r="J765" s="24"/>
      <c r="K765" s="37" t="str">
        <f t="shared" si="44"/>
        <v/>
      </c>
      <c r="L765" s="37" t="str">
        <f t="shared" si="45"/>
        <v/>
      </c>
      <c r="M765" s="37" t="str">
        <f t="shared" si="46"/>
        <v/>
      </c>
      <c r="N765" s="37" t="str">
        <f t="shared" si="47"/>
        <v/>
      </c>
      <c r="O765" s="37" t="str">
        <f>IF(OR($D765="",$F765=""),"",$F765*IFERROR(VLOOKUP($D765,Maestro_SKU!$A$2:$P$500,12,FALSE),1))</f>
        <v/>
      </c>
    </row>
    <row r="766" spans="1:15" x14ac:dyDescent="0.35">
      <c r="A766" s="25"/>
      <c r="B766" s="24"/>
      <c r="C766" s="24"/>
      <c r="D766" s="24"/>
      <c r="E766" s="28" t="str">
        <f>IFERROR(VLOOKUP(D766,Maestro_SKU!$A$2:$P$500,2,FALSE),"")</f>
        <v/>
      </c>
      <c r="F766" s="24"/>
      <c r="G766" s="30"/>
      <c r="H766" s="24"/>
      <c r="I766" s="24"/>
      <c r="J766" s="24"/>
      <c r="K766" s="37" t="str">
        <f t="shared" si="44"/>
        <v/>
      </c>
      <c r="L766" s="37" t="str">
        <f t="shared" si="45"/>
        <v/>
      </c>
      <c r="M766" s="37" t="str">
        <f t="shared" si="46"/>
        <v/>
      </c>
      <c r="N766" s="37" t="str">
        <f t="shared" si="47"/>
        <v/>
      </c>
      <c r="O766" s="37" t="str">
        <f>IF(OR($D766="",$F766=""),"",$F766*IFERROR(VLOOKUP($D766,Maestro_SKU!$A$2:$P$500,12,FALSE),1))</f>
        <v/>
      </c>
    </row>
    <row r="767" spans="1:15" x14ac:dyDescent="0.35">
      <c r="A767" s="25"/>
      <c r="B767" s="24"/>
      <c r="C767" s="24"/>
      <c r="D767" s="24"/>
      <c r="E767" s="28" t="str">
        <f>IFERROR(VLOOKUP(D767,Maestro_SKU!$A$2:$P$500,2,FALSE),"")</f>
        <v/>
      </c>
      <c r="F767" s="24"/>
      <c r="G767" s="30"/>
      <c r="H767" s="24"/>
      <c r="I767" s="24"/>
      <c r="J767" s="24"/>
      <c r="K767" s="37" t="str">
        <f t="shared" si="44"/>
        <v/>
      </c>
      <c r="L767" s="37" t="str">
        <f t="shared" si="45"/>
        <v/>
      </c>
      <c r="M767" s="37" t="str">
        <f t="shared" si="46"/>
        <v/>
      </c>
      <c r="N767" s="37" t="str">
        <f t="shared" si="47"/>
        <v/>
      </c>
      <c r="O767" s="37" t="str">
        <f>IF(OR($D767="",$F767=""),"",$F767*IFERROR(VLOOKUP($D767,Maestro_SKU!$A$2:$P$500,12,FALSE),1))</f>
        <v/>
      </c>
    </row>
    <row r="768" spans="1:15" x14ac:dyDescent="0.35">
      <c r="A768" s="25"/>
      <c r="B768" s="24"/>
      <c r="C768" s="24"/>
      <c r="D768" s="24"/>
      <c r="E768" s="28" t="str">
        <f>IFERROR(VLOOKUP(D768,Maestro_SKU!$A$2:$P$500,2,FALSE),"")</f>
        <v/>
      </c>
      <c r="F768" s="24"/>
      <c r="G768" s="30"/>
      <c r="H768" s="24"/>
      <c r="I768" s="24"/>
      <c r="J768" s="24"/>
      <c r="K768" s="37" t="str">
        <f t="shared" si="44"/>
        <v/>
      </c>
      <c r="L768" s="37" t="str">
        <f t="shared" si="45"/>
        <v/>
      </c>
      <c r="M768" s="37" t="str">
        <f t="shared" si="46"/>
        <v/>
      </c>
      <c r="N768" s="37" t="str">
        <f t="shared" si="47"/>
        <v/>
      </c>
      <c r="O768" s="37" t="str">
        <f>IF(OR($D768="",$F768=""),"",$F768*IFERROR(VLOOKUP($D768,Maestro_SKU!$A$2:$P$500,12,FALSE),1))</f>
        <v/>
      </c>
    </row>
    <row r="769" spans="1:15" x14ac:dyDescent="0.35">
      <c r="A769" s="25"/>
      <c r="B769" s="24"/>
      <c r="C769" s="24"/>
      <c r="D769" s="24"/>
      <c r="E769" s="28" t="str">
        <f>IFERROR(VLOOKUP(D769,Maestro_SKU!$A$2:$P$500,2,FALSE),"")</f>
        <v/>
      </c>
      <c r="F769" s="24"/>
      <c r="G769" s="30"/>
      <c r="H769" s="24"/>
      <c r="I769" s="24"/>
      <c r="J769" s="24"/>
      <c r="K769" s="37" t="str">
        <f t="shared" si="44"/>
        <v/>
      </c>
      <c r="L769" s="37" t="str">
        <f t="shared" si="45"/>
        <v/>
      </c>
      <c r="M769" s="37" t="str">
        <f t="shared" si="46"/>
        <v/>
      </c>
      <c r="N769" s="37" t="str">
        <f t="shared" si="47"/>
        <v/>
      </c>
      <c r="O769" s="37" t="str">
        <f>IF(OR($D769="",$F769=""),"",$F769*IFERROR(VLOOKUP($D769,Maestro_SKU!$A$2:$P$500,12,FALSE),1))</f>
        <v/>
      </c>
    </row>
    <row r="770" spans="1:15" x14ac:dyDescent="0.35">
      <c r="A770" s="25"/>
      <c r="B770" s="24"/>
      <c r="C770" s="24"/>
      <c r="D770" s="24"/>
      <c r="E770" s="28" t="str">
        <f>IFERROR(VLOOKUP(D770,Maestro_SKU!$A$2:$P$500,2,FALSE),"")</f>
        <v/>
      </c>
      <c r="F770" s="24"/>
      <c r="G770" s="30"/>
      <c r="H770" s="24"/>
      <c r="I770" s="24"/>
      <c r="J770" s="24"/>
      <c r="K770" s="37" t="str">
        <f t="shared" ref="K770:K800" si="48">IF($A770="","",YEAR($A770))</f>
        <v/>
      </c>
      <c r="L770" s="37" t="str">
        <f t="shared" ref="L770:L800" si="49">IF($A770="","",MONTH($A770))</f>
        <v/>
      </c>
      <c r="M770" s="37" t="str">
        <f t="shared" ref="M770:M800" si="50">IF($A770="","",DAY($A770))</f>
        <v/>
      </c>
      <c r="N770" s="37" t="str">
        <f t="shared" ref="N770:N800" si="51">IF($A770="","",YEAR($A770)&amp;"-"&amp;TEXT(MONTH($A770),"00"))</f>
        <v/>
      </c>
      <c r="O770" s="37" t="str">
        <f>IF(OR($D770="",$F770=""),"",$F770*IFERROR(VLOOKUP($D770,Maestro_SKU!$A$2:$P$500,12,FALSE),1))</f>
        <v/>
      </c>
    </row>
    <row r="771" spans="1:15" x14ac:dyDescent="0.35">
      <c r="A771" s="25"/>
      <c r="B771" s="24"/>
      <c r="C771" s="24"/>
      <c r="D771" s="24"/>
      <c r="E771" s="28" t="str">
        <f>IFERROR(VLOOKUP(D771,Maestro_SKU!$A$2:$P$500,2,FALSE),"")</f>
        <v/>
      </c>
      <c r="F771" s="24"/>
      <c r="G771" s="30"/>
      <c r="H771" s="24"/>
      <c r="I771" s="24"/>
      <c r="J771" s="24"/>
      <c r="K771" s="37" t="str">
        <f t="shared" si="48"/>
        <v/>
      </c>
      <c r="L771" s="37" t="str">
        <f t="shared" si="49"/>
        <v/>
      </c>
      <c r="M771" s="37" t="str">
        <f t="shared" si="50"/>
        <v/>
      </c>
      <c r="N771" s="37" t="str">
        <f t="shared" si="51"/>
        <v/>
      </c>
      <c r="O771" s="37" t="str">
        <f>IF(OR($D771="",$F771=""),"",$F771*IFERROR(VLOOKUP($D771,Maestro_SKU!$A$2:$P$500,12,FALSE),1))</f>
        <v/>
      </c>
    </row>
    <row r="772" spans="1:15" x14ac:dyDescent="0.35">
      <c r="A772" s="25"/>
      <c r="B772" s="24"/>
      <c r="C772" s="24"/>
      <c r="D772" s="24"/>
      <c r="E772" s="28" t="str">
        <f>IFERROR(VLOOKUP(D772,Maestro_SKU!$A$2:$P$500,2,FALSE),"")</f>
        <v/>
      </c>
      <c r="F772" s="24"/>
      <c r="G772" s="30"/>
      <c r="H772" s="24"/>
      <c r="I772" s="24"/>
      <c r="J772" s="24"/>
      <c r="K772" s="37" t="str">
        <f t="shared" si="48"/>
        <v/>
      </c>
      <c r="L772" s="37" t="str">
        <f t="shared" si="49"/>
        <v/>
      </c>
      <c r="M772" s="37" t="str">
        <f t="shared" si="50"/>
        <v/>
      </c>
      <c r="N772" s="37" t="str">
        <f t="shared" si="51"/>
        <v/>
      </c>
      <c r="O772" s="37" t="str">
        <f>IF(OR($D772="",$F772=""),"",$F772*IFERROR(VLOOKUP($D772,Maestro_SKU!$A$2:$P$500,12,FALSE),1))</f>
        <v/>
      </c>
    </row>
    <row r="773" spans="1:15" x14ac:dyDescent="0.35">
      <c r="A773" s="25"/>
      <c r="B773" s="24"/>
      <c r="C773" s="24"/>
      <c r="D773" s="24"/>
      <c r="E773" s="28" t="str">
        <f>IFERROR(VLOOKUP(D773,Maestro_SKU!$A$2:$P$500,2,FALSE),"")</f>
        <v/>
      </c>
      <c r="F773" s="24"/>
      <c r="G773" s="30"/>
      <c r="H773" s="24"/>
      <c r="I773" s="24"/>
      <c r="J773" s="24"/>
      <c r="K773" s="37" t="str">
        <f t="shared" si="48"/>
        <v/>
      </c>
      <c r="L773" s="37" t="str">
        <f t="shared" si="49"/>
        <v/>
      </c>
      <c r="M773" s="37" t="str">
        <f t="shared" si="50"/>
        <v/>
      </c>
      <c r="N773" s="37" t="str">
        <f t="shared" si="51"/>
        <v/>
      </c>
      <c r="O773" s="37" t="str">
        <f>IF(OR($D773="",$F773=""),"",$F773*IFERROR(VLOOKUP($D773,Maestro_SKU!$A$2:$P$500,12,FALSE),1))</f>
        <v/>
      </c>
    </row>
    <row r="774" spans="1:15" x14ac:dyDescent="0.35">
      <c r="A774" s="25"/>
      <c r="B774" s="24"/>
      <c r="C774" s="24"/>
      <c r="D774" s="24"/>
      <c r="E774" s="28" t="str">
        <f>IFERROR(VLOOKUP(D774,Maestro_SKU!$A$2:$P$500,2,FALSE),"")</f>
        <v/>
      </c>
      <c r="F774" s="24"/>
      <c r="G774" s="30"/>
      <c r="H774" s="24"/>
      <c r="I774" s="24"/>
      <c r="J774" s="24"/>
      <c r="K774" s="37" t="str">
        <f t="shared" si="48"/>
        <v/>
      </c>
      <c r="L774" s="37" t="str">
        <f t="shared" si="49"/>
        <v/>
      </c>
      <c r="M774" s="37" t="str">
        <f t="shared" si="50"/>
        <v/>
      </c>
      <c r="N774" s="37" t="str">
        <f t="shared" si="51"/>
        <v/>
      </c>
      <c r="O774" s="37" t="str">
        <f>IF(OR($D774="",$F774=""),"",$F774*IFERROR(VLOOKUP($D774,Maestro_SKU!$A$2:$P$500,12,FALSE),1))</f>
        <v/>
      </c>
    </row>
    <row r="775" spans="1:15" x14ac:dyDescent="0.35">
      <c r="A775" s="25"/>
      <c r="B775" s="24"/>
      <c r="C775" s="24"/>
      <c r="D775" s="24"/>
      <c r="E775" s="28" t="str">
        <f>IFERROR(VLOOKUP(D775,Maestro_SKU!$A$2:$P$500,2,FALSE),"")</f>
        <v/>
      </c>
      <c r="F775" s="24"/>
      <c r="G775" s="30"/>
      <c r="H775" s="24"/>
      <c r="I775" s="24"/>
      <c r="J775" s="24"/>
      <c r="K775" s="37" t="str">
        <f t="shared" si="48"/>
        <v/>
      </c>
      <c r="L775" s="37" t="str">
        <f t="shared" si="49"/>
        <v/>
      </c>
      <c r="M775" s="37" t="str">
        <f t="shared" si="50"/>
        <v/>
      </c>
      <c r="N775" s="37" t="str">
        <f t="shared" si="51"/>
        <v/>
      </c>
      <c r="O775" s="37" t="str">
        <f>IF(OR($D775="",$F775=""),"",$F775*IFERROR(VLOOKUP($D775,Maestro_SKU!$A$2:$P$500,12,FALSE),1))</f>
        <v/>
      </c>
    </row>
    <row r="776" spans="1:15" x14ac:dyDescent="0.35">
      <c r="A776" s="25"/>
      <c r="B776" s="24"/>
      <c r="C776" s="24"/>
      <c r="D776" s="24"/>
      <c r="E776" s="28" t="str">
        <f>IFERROR(VLOOKUP(D776,Maestro_SKU!$A$2:$P$500,2,FALSE),"")</f>
        <v/>
      </c>
      <c r="F776" s="24"/>
      <c r="G776" s="30"/>
      <c r="H776" s="24"/>
      <c r="I776" s="24"/>
      <c r="J776" s="24"/>
      <c r="K776" s="37" t="str">
        <f t="shared" si="48"/>
        <v/>
      </c>
      <c r="L776" s="37" t="str">
        <f t="shared" si="49"/>
        <v/>
      </c>
      <c r="M776" s="37" t="str">
        <f t="shared" si="50"/>
        <v/>
      </c>
      <c r="N776" s="37" t="str">
        <f t="shared" si="51"/>
        <v/>
      </c>
      <c r="O776" s="37" t="str">
        <f>IF(OR($D776="",$F776=""),"",$F776*IFERROR(VLOOKUP($D776,Maestro_SKU!$A$2:$P$500,12,FALSE),1))</f>
        <v/>
      </c>
    </row>
    <row r="777" spans="1:15" x14ac:dyDescent="0.35">
      <c r="A777" s="25"/>
      <c r="B777" s="24"/>
      <c r="C777" s="24"/>
      <c r="D777" s="24"/>
      <c r="E777" s="28" t="str">
        <f>IFERROR(VLOOKUP(D777,Maestro_SKU!$A$2:$P$500,2,FALSE),"")</f>
        <v/>
      </c>
      <c r="F777" s="24"/>
      <c r="G777" s="30"/>
      <c r="H777" s="24"/>
      <c r="I777" s="24"/>
      <c r="J777" s="24"/>
      <c r="K777" s="37" t="str">
        <f t="shared" si="48"/>
        <v/>
      </c>
      <c r="L777" s="37" t="str">
        <f t="shared" si="49"/>
        <v/>
      </c>
      <c r="M777" s="37" t="str">
        <f t="shared" si="50"/>
        <v/>
      </c>
      <c r="N777" s="37" t="str">
        <f t="shared" si="51"/>
        <v/>
      </c>
      <c r="O777" s="37" t="str">
        <f>IF(OR($D777="",$F777=""),"",$F777*IFERROR(VLOOKUP($D777,Maestro_SKU!$A$2:$P$500,12,FALSE),1))</f>
        <v/>
      </c>
    </row>
    <row r="778" spans="1:15" x14ac:dyDescent="0.35">
      <c r="A778" s="25"/>
      <c r="B778" s="24"/>
      <c r="C778" s="24"/>
      <c r="D778" s="24"/>
      <c r="E778" s="28" t="str">
        <f>IFERROR(VLOOKUP(D778,Maestro_SKU!$A$2:$P$500,2,FALSE),"")</f>
        <v/>
      </c>
      <c r="F778" s="24"/>
      <c r="G778" s="30"/>
      <c r="H778" s="24"/>
      <c r="I778" s="24"/>
      <c r="J778" s="24"/>
      <c r="K778" s="37" t="str">
        <f t="shared" si="48"/>
        <v/>
      </c>
      <c r="L778" s="37" t="str">
        <f t="shared" si="49"/>
        <v/>
      </c>
      <c r="M778" s="37" t="str">
        <f t="shared" si="50"/>
        <v/>
      </c>
      <c r="N778" s="37" t="str">
        <f t="shared" si="51"/>
        <v/>
      </c>
      <c r="O778" s="37" t="str">
        <f>IF(OR($D778="",$F778=""),"",$F778*IFERROR(VLOOKUP($D778,Maestro_SKU!$A$2:$P$500,12,FALSE),1))</f>
        <v/>
      </c>
    </row>
    <row r="779" spans="1:15" x14ac:dyDescent="0.35">
      <c r="A779" s="25"/>
      <c r="B779" s="24"/>
      <c r="C779" s="24"/>
      <c r="D779" s="24"/>
      <c r="E779" s="28" t="str">
        <f>IFERROR(VLOOKUP(D779,Maestro_SKU!$A$2:$P$500,2,FALSE),"")</f>
        <v/>
      </c>
      <c r="F779" s="24"/>
      <c r="G779" s="30"/>
      <c r="H779" s="24"/>
      <c r="I779" s="24"/>
      <c r="J779" s="24"/>
      <c r="K779" s="37" t="str">
        <f t="shared" si="48"/>
        <v/>
      </c>
      <c r="L779" s="37" t="str">
        <f t="shared" si="49"/>
        <v/>
      </c>
      <c r="M779" s="37" t="str">
        <f t="shared" si="50"/>
        <v/>
      </c>
      <c r="N779" s="37" t="str">
        <f t="shared" si="51"/>
        <v/>
      </c>
      <c r="O779" s="37" t="str">
        <f>IF(OR($D779="",$F779=""),"",$F779*IFERROR(VLOOKUP($D779,Maestro_SKU!$A$2:$P$500,12,FALSE),1))</f>
        <v/>
      </c>
    </row>
    <row r="780" spans="1:15" x14ac:dyDescent="0.35">
      <c r="A780" s="25"/>
      <c r="B780" s="24"/>
      <c r="C780" s="24"/>
      <c r="D780" s="24"/>
      <c r="E780" s="28" t="str">
        <f>IFERROR(VLOOKUP(D780,Maestro_SKU!$A$2:$P$500,2,FALSE),"")</f>
        <v/>
      </c>
      <c r="F780" s="24"/>
      <c r="G780" s="30"/>
      <c r="H780" s="24"/>
      <c r="I780" s="24"/>
      <c r="J780" s="24"/>
      <c r="K780" s="37" t="str">
        <f t="shared" si="48"/>
        <v/>
      </c>
      <c r="L780" s="37" t="str">
        <f t="shared" si="49"/>
        <v/>
      </c>
      <c r="M780" s="37" t="str">
        <f t="shared" si="50"/>
        <v/>
      </c>
      <c r="N780" s="37" t="str">
        <f t="shared" si="51"/>
        <v/>
      </c>
      <c r="O780" s="37" t="str">
        <f>IF(OR($D780="",$F780=""),"",$F780*IFERROR(VLOOKUP($D780,Maestro_SKU!$A$2:$P$500,12,FALSE),1))</f>
        <v/>
      </c>
    </row>
    <row r="781" spans="1:15" x14ac:dyDescent="0.35">
      <c r="A781" s="25"/>
      <c r="B781" s="24"/>
      <c r="C781" s="24"/>
      <c r="D781" s="24"/>
      <c r="E781" s="28" t="str">
        <f>IFERROR(VLOOKUP(D781,Maestro_SKU!$A$2:$P$500,2,FALSE),"")</f>
        <v/>
      </c>
      <c r="F781" s="24"/>
      <c r="G781" s="30"/>
      <c r="H781" s="24"/>
      <c r="I781" s="24"/>
      <c r="J781" s="24"/>
      <c r="K781" s="37" t="str">
        <f t="shared" si="48"/>
        <v/>
      </c>
      <c r="L781" s="37" t="str">
        <f t="shared" si="49"/>
        <v/>
      </c>
      <c r="M781" s="37" t="str">
        <f t="shared" si="50"/>
        <v/>
      </c>
      <c r="N781" s="37" t="str">
        <f t="shared" si="51"/>
        <v/>
      </c>
      <c r="O781" s="37" t="str">
        <f>IF(OR($D781="",$F781=""),"",$F781*IFERROR(VLOOKUP($D781,Maestro_SKU!$A$2:$P$500,12,FALSE),1))</f>
        <v/>
      </c>
    </row>
    <row r="782" spans="1:15" x14ac:dyDescent="0.35">
      <c r="A782" s="25"/>
      <c r="B782" s="24"/>
      <c r="C782" s="24"/>
      <c r="D782" s="24"/>
      <c r="E782" s="28" t="str">
        <f>IFERROR(VLOOKUP(D782,Maestro_SKU!$A$2:$P$500,2,FALSE),"")</f>
        <v/>
      </c>
      <c r="F782" s="24"/>
      <c r="G782" s="30"/>
      <c r="H782" s="24"/>
      <c r="I782" s="24"/>
      <c r="J782" s="24"/>
      <c r="K782" s="37" t="str">
        <f t="shared" si="48"/>
        <v/>
      </c>
      <c r="L782" s="37" t="str">
        <f t="shared" si="49"/>
        <v/>
      </c>
      <c r="M782" s="37" t="str">
        <f t="shared" si="50"/>
        <v/>
      </c>
      <c r="N782" s="37" t="str">
        <f t="shared" si="51"/>
        <v/>
      </c>
      <c r="O782" s="37" t="str">
        <f>IF(OR($D782="",$F782=""),"",$F782*IFERROR(VLOOKUP($D782,Maestro_SKU!$A$2:$P$500,12,FALSE),1))</f>
        <v/>
      </c>
    </row>
    <row r="783" spans="1:15" x14ac:dyDescent="0.35">
      <c r="A783" s="25"/>
      <c r="B783" s="24"/>
      <c r="C783" s="24"/>
      <c r="D783" s="24"/>
      <c r="E783" s="28" t="str">
        <f>IFERROR(VLOOKUP(D783,Maestro_SKU!$A$2:$P$500,2,FALSE),"")</f>
        <v/>
      </c>
      <c r="F783" s="24"/>
      <c r="G783" s="30"/>
      <c r="H783" s="24"/>
      <c r="I783" s="24"/>
      <c r="J783" s="24"/>
      <c r="K783" s="37" t="str">
        <f t="shared" si="48"/>
        <v/>
      </c>
      <c r="L783" s="37" t="str">
        <f t="shared" si="49"/>
        <v/>
      </c>
      <c r="M783" s="37" t="str">
        <f t="shared" si="50"/>
        <v/>
      </c>
      <c r="N783" s="37" t="str">
        <f t="shared" si="51"/>
        <v/>
      </c>
      <c r="O783" s="37" t="str">
        <f>IF(OR($D783="",$F783=""),"",$F783*IFERROR(VLOOKUP($D783,Maestro_SKU!$A$2:$P$500,12,FALSE),1))</f>
        <v/>
      </c>
    </row>
    <row r="784" spans="1:15" x14ac:dyDescent="0.35">
      <c r="A784" s="25"/>
      <c r="B784" s="24"/>
      <c r="C784" s="24"/>
      <c r="D784" s="24"/>
      <c r="E784" s="28" t="str">
        <f>IFERROR(VLOOKUP(D784,Maestro_SKU!$A$2:$P$500,2,FALSE),"")</f>
        <v/>
      </c>
      <c r="F784" s="24"/>
      <c r="G784" s="30"/>
      <c r="H784" s="24"/>
      <c r="I784" s="24"/>
      <c r="J784" s="24"/>
      <c r="K784" s="37" t="str">
        <f t="shared" si="48"/>
        <v/>
      </c>
      <c r="L784" s="37" t="str">
        <f t="shared" si="49"/>
        <v/>
      </c>
      <c r="M784" s="37" t="str">
        <f t="shared" si="50"/>
        <v/>
      </c>
      <c r="N784" s="37" t="str">
        <f t="shared" si="51"/>
        <v/>
      </c>
      <c r="O784" s="37" t="str">
        <f>IF(OR($D784="",$F784=""),"",$F784*IFERROR(VLOOKUP($D784,Maestro_SKU!$A$2:$P$500,12,FALSE),1))</f>
        <v/>
      </c>
    </row>
    <row r="785" spans="1:15" x14ac:dyDescent="0.35">
      <c r="A785" s="25"/>
      <c r="B785" s="24"/>
      <c r="C785" s="24"/>
      <c r="D785" s="24"/>
      <c r="E785" s="28" t="str">
        <f>IFERROR(VLOOKUP(D785,Maestro_SKU!$A$2:$P$500,2,FALSE),"")</f>
        <v/>
      </c>
      <c r="F785" s="24"/>
      <c r="G785" s="30"/>
      <c r="H785" s="24"/>
      <c r="I785" s="24"/>
      <c r="J785" s="24"/>
      <c r="K785" s="37" t="str">
        <f t="shared" si="48"/>
        <v/>
      </c>
      <c r="L785" s="37" t="str">
        <f t="shared" si="49"/>
        <v/>
      </c>
      <c r="M785" s="37" t="str">
        <f t="shared" si="50"/>
        <v/>
      </c>
      <c r="N785" s="37" t="str">
        <f t="shared" si="51"/>
        <v/>
      </c>
      <c r="O785" s="37" t="str">
        <f>IF(OR($D785="",$F785=""),"",$F785*IFERROR(VLOOKUP($D785,Maestro_SKU!$A$2:$P$500,12,FALSE),1))</f>
        <v/>
      </c>
    </row>
    <row r="786" spans="1:15" x14ac:dyDescent="0.35">
      <c r="A786" s="25"/>
      <c r="B786" s="24"/>
      <c r="C786" s="24"/>
      <c r="D786" s="24"/>
      <c r="E786" s="28" t="str">
        <f>IFERROR(VLOOKUP(D786,Maestro_SKU!$A$2:$P$500,2,FALSE),"")</f>
        <v/>
      </c>
      <c r="F786" s="24"/>
      <c r="G786" s="30"/>
      <c r="H786" s="24"/>
      <c r="I786" s="24"/>
      <c r="J786" s="24"/>
      <c r="K786" s="37" t="str">
        <f t="shared" si="48"/>
        <v/>
      </c>
      <c r="L786" s="37" t="str">
        <f t="shared" si="49"/>
        <v/>
      </c>
      <c r="M786" s="37" t="str">
        <f t="shared" si="50"/>
        <v/>
      </c>
      <c r="N786" s="37" t="str">
        <f t="shared" si="51"/>
        <v/>
      </c>
      <c r="O786" s="37" t="str">
        <f>IF(OR($D786="",$F786=""),"",$F786*IFERROR(VLOOKUP($D786,Maestro_SKU!$A$2:$P$500,12,FALSE),1))</f>
        <v/>
      </c>
    </row>
    <row r="787" spans="1:15" x14ac:dyDescent="0.35">
      <c r="A787" s="25"/>
      <c r="B787" s="24"/>
      <c r="C787" s="24"/>
      <c r="D787" s="24"/>
      <c r="E787" s="28" t="str">
        <f>IFERROR(VLOOKUP(D787,Maestro_SKU!$A$2:$P$500,2,FALSE),"")</f>
        <v/>
      </c>
      <c r="F787" s="24"/>
      <c r="G787" s="30"/>
      <c r="H787" s="24"/>
      <c r="I787" s="24"/>
      <c r="J787" s="24"/>
      <c r="K787" s="37" t="str">
        <f t="shared" si="48"/>
        <v/>
      </c>
      <c r="L787" s="37" t="str">
        <f t="shared" si="49"/>
        <v/>
      </c>
      <c r="M787" s="37" t="str">
        <f t="shared" si="50"/>
        <v/>
      </c>
      <c r="N787" s="37" t="str">
        <f t="shared" si="51"/>
        <v/>
      </c>
      <c r="O787" s="37" t="str">
        <f>IF(OR($D787="",$F787=""),"",$F787*IFERROR(VLOOKUP($D787,Maestro_SKU!$A$2:$P$500,12,FALSE),1))</f>
        <v/>
      </c>
    </row>
    <row r="788" spans="1:15" x14ac:dyDescent="0.35">
      <c r="A788" s="25"/>
      <c r="B788" s="24"/>
      <c r="C788" s="24"/>
      <c r="D788" s="24"/>
      <c r="E788" s="28" t="str">
        <f>IFERROR(VLOOKUP(D788,Maestro_SKU!$A$2:$P$500,2,FALSE),"")</f>
        <v/>
      </c>
      <c r="F788" s="24"/>
      <c r="G788" s="30"/>
      <c r="H788" s="24"/>
      <c r="I788" s="24"/>
      <c r="J788" s="24"/>
      <c r="K788" s="37" t="str">
        <f t="shared" si="48"/>
        <v/>
      </c>
      <c r="L788" s="37" t="str">
        <f t="shared" si="49"/>
        <v/>
      </c>
      <c r="M788" s="37" t="str">
        <f t="shared" si="50"/>
        <v/>
      </c>
      <c r="N788" s="37" t="str">
        <f t="shared" si="51"/>
        <v/>
      </c>
      <c r="O788" s="37" t="str">
        <f>IF(OR($D788="",$F788=""),"",$F788*IFERROR(VLOOKUP($D788,Maestro_SKU!$A$2:$P$500,12,FALSE),1))</f>
        <v/>
      </c>
    </row>
    <row r="789" spans="1:15" x14ac:dyDescent="0.35">
      <c r="A789" s="25"/>
      <c r="B789" s="24"/>
      <c r="C789" s="24"/>
      <c r="D789" s="24"/>
      <c r="E789" s="28" t="str">
        <f>IFERROR(VLOOKUP(D789,Maestro_SKU!$A$2:$P$500,2,FALSE),"")</f>
        <v/>
      </c>
      <c r="F789" s="24"/>
      <c r="G789" s="30"/>
      <c r="H789" s="24"/>
      <c r="I789" s="24"/>
      <c r="J789" s="24"/>
      <c r="K789" s="37" t="str">
        <f t="shared" si="48"/>
        <v/>
      </c>
      <c r="L789" s="37" t="str">
        <f t="shared" si="49"/>
        <v/>
      </c>
      <c r="M789" s="37" t="str">
        <f t="shared" si="50"/>
        <v/>
      </c>
      <c r="N789" s="37" t="str">
        <f t="shared" si="51"/>
        <v/>
      </c>
      <c r="O789" s="37" t="str">
        <f>IF(OR($D789="",$F789=""),"",$F789*IFERROR(VLOOKUP($D789,Maestro_SKU!$A$2:$P$500,12,FALSE),1))</f>
        <v/>
      </c>
    </row>
    <row r="790" spans="1:15" x14ac:dyDescent="0.35">
      <c r="A790" s="25"/>
      <c r="B790" s="24"/>
      <c r="C790" s="24"/>
      <c r="D790" s="24"/>
      <c r="E790" s="28" t="str">
        <f>IFERROR(VLOOKUP(D790,Maestro_SKU!$A$2:$P$500,2,FALSE),"")</f>
        <v/>
      </c>
      <c r="F790" s="24"/>
      <c r="G790" s="30"/>
      <c r="H790" s="24"/>
      <c r="I790" s="24"/>
      <c r="J790" s="24"/>
      <c r="K790" s="37" t="str">
        <f t="shared" si="48"/>
        <v/>
      </c>
      <c r="L790" s="37" t="str">
        <f t="shared" si="49"/>
        <v/>
      </c>
      <c r="M790" s="37" t="str">
        <f t="shared" si="50"/>
        <v/>
      </c>
      <c r="N790" s="37" t="str">
        <f t="shared" si="51"/>
        <v/>
      </c>
      <c r="O790" s="37" t="str">
        <f>IF(OR($D790="",$F790=""),"",$F790*IFERROR(VLOOKUP($D790,Maestro_SKU!$A$2:$P$500,12,FALSE),1))</f>
        <v/>
      </c>
    </row>
    <row r="791" spans="1:15" x14ac:dyDescent="0.35">
      <c r="A791" s="25"/>
      <c r="B791" s="24"/>
      <c r="C791" s="24"/>
      <c r="D791" s="24"/>
      <c r="E791" s="28" t="str">
        <f>IFERROR(VLOOKUP(D791,Maestro_SKU!$A$2:$P$500,2,FALSE),"")</f>
        <v/>
      </c>
      <c r="F791" s="24"/>
      <c r="G791" s="30"/>
      <c r="H791" s="24"/>
      <c r="I791" s="24"/>
      <c r="J791" s="24"/>
      <c r="K791" s="37" t="str">
        <f t="shared" si="48"/>
        <v/>
      </c>
      <c r="L791" s="37" t="str">
        <f t="shared" si="49"/>
        <v/>
      </c>
      <c r="M791" s="37" t="str">
        <f t="shared" si="50"/>
        <v/>
      </c>
      <c r="N791" s="37" t="str">
        <f t="shared" si="51"/>
        <v/>
      </c>
      <c r="O791" s="37" t="str">
        <f>IF(OR($D791="",$F791=""),"",$F791*IFERROR(VLOOKUP($D791,Maestro_SKU!$A$2:$P$500,12,FALSE),1))</f>
        <v/>
      </c>
    </row>
    <row r="792" spans="1:15" x14ac:dyDescent="0.35">
      <c r="A792" s="25"/>
      <c r="B792" s="24"/>
      <c r="C792" s="24"/>
      <c r="D792" s="24"/>
      <c r="E792" s="28" t="str">
        <f>IFERROR(VLOOKUP(D792,Maestro_SKU!$A$2:$P$500,2,FALSE),"")</f>
        <v/>
      </c>
      <c r="F792" s="24"/>
      <c r="G792" s="30"/>
      <c r="H792" s="24"/>
      <c r="I792" s="24"/>
      <c r="J792" s="24"/>
      <c r="K792" s="37" t="str">
        <f t="shared" si="48"/>
        <v/>
      </c>
      <c r="L792" s="37" t="str">
        <f t="shared" si="49"/>
        <v/>
      </c>
      <c r="M792" s="37" t="str">
        <f t="shared" si="50"/>
        <v/>
      </c>
      <c r="N792" s="37" t="str">
        <f t="shared" si="51"/>
        <v/>
      </c>
      <c r="O792" s="37" t="str">
        <f>IF(OR($D792="",$F792=""),"",$F792*IFERROR(VLOOKUP($D792,Maestro_SKU!$A$2:$P$500,12,FALSE),1))</f>
        <v/>
      </c>
    </row>
    <row r="793" spans="1:15" x14ac:dyDescent="0.35">
      <c r="A793" s="25"/>
      <c r="B793" s="24"/>
      <c r="C793" s="24"/>
      <c r="D793" s="24"/>
      <c r="E793" s="28" t="str">
        <f>IFERROR(VLOOKUP(D793,Maestro_SKU!$A$2:$P$500,2,FALSE),"")</f>
        <v/>
      </c>
      <c r="F793" s="24"/>
      <c r="G793" s="30"/>
      <c r="H793" s="24"/>
      <c r="I793" s="24"/>
      <c r="J793" s="24"/>
      <c r="K793" s="37" t="str">
        <f t="shared" si="48"/>
        <v/>
      </c>
      <c r="L793" s="37" t="str">
        <f t="shared" si="49"/>
        <v/>
      </c>
      <c r="M793" s="37" t="str">
        <f t="shared" si="50"/>
        <v/>
      </c>
      <c r="N793" s="37" t="str">
        <f t="shared" si="51"/>
        <v/>
      </c>
      <c r="O793" s="37" t="str">
        <f>IF(OR($D793="",$F793=""),"",$F793*IFERROR(VLOOKUP($D793,Maestro_SKU!$A$2:$P$500,12,FALSE),1))</f>
        <v/>
      </c>
    </row>
    <row r="794" spans="1:15" x14ac:dyDescent="0.35">
      <c r="A794" s="25"/>
      <c r="B794" s="24"/>
      <c r="C794" s="24"/>
      <c r="D794" s="24"/>
      <c r="E794" s="28" t="str">
        <f>IFERROR(VLOOKUP(D794,Maestro_SKU!$A$2:$P$500,2,FALSE),"")</f>
        <v/>
      </c>
      <c r="F794" s="24"/>
      <c r="G794" s="30"/>
      <c r="H794" s="24"/>
      <c r="I794" s="24"/>
      <c r="J794" s="24"/>
      <c r="K794" s="37" t="str">
        <f t="shared" si="48"/>
        <v/>
      </c>
      <c r="L794" s="37" t="str">
        <f t="shared" si="49"/>
        <v/>
      </c>
      <c r="M794" s="37" t="str">
        <f t="shared" si="50"/>
        <v/>
      </c>
      <c r="N794" s="37" t="str">
        <f t="shared" si="51"/>
        <v/>
      </c>
      <c r="O794" s="37" t="str">
        <f>IF(OR($D794="",$F794=""),"",$F794*IFERROR(VLOOKUP($D794,Maestro_SKU!$A$2:$P$500,12,FALSE),1))</f>
        <v/>
      </c>
    </row>
    <row r="795" spans="1:15" x14ac:dyDescent="0.35">
      <c r="A795" s="25"/>
      <c r="B795" s="24"/>
      <c r="C795" s="24"/>
      <c r="D795" s="24"/>
      <c r="E795" s="28" t="str">
        <f>IFERROR(VLOOKUP(D795,Maestro_SKU!$A$2:$P$500,2,FALSE),"")</f>
        <v/>
      </c>
      <c r="F795" s="24"/>
      <c r="G795" s="30"/>
      <c r="H795" s="24"/>
      <c r="I795" s="24"/>
      <c r="J795" s="24"/>
      <c r="K795" s="37" t="str">
        <f t="shared" si="48"/>
        <v/>
      </c>
      <c r="L795" s="37" t="str">
        <f t="shared" si="49"/>
        <v/>
      </c>
      <c r="M795" s="37" t="str">
        <f t="shared" si="50"/>
        <v/>
      </c>
      <c r="N795" s="37" t="str">
        <f t="shared" si="51"/>
        <v/>
      </c>
      <c r="O795" s="37" t="str">
        <f>IF(OR($D795="",$F795=""),"",$F795*IFERROR(VLOOKUP($D795,Maestro_SKU!$A$2:$P$500,12,FALSE),1))</f>
        <v/>
      </c>
    </row>
    <row r="796" spans="1:15" x14ac:dyDescent="0.35">
      <c r="A796" s="25"/>
      <c r="B796" s="24"/>
      <c r="C796" s="24"/>
      <c r="D796" s="24"/>
      <c r="E796" s="28" t="str">
        <f>IFERROR(VLOOKUP(D796,Maestro_SKU!$A$2:$P$500,2,FALSE),"")</f>
        <v/>
      </c>
      <c r="F796" s="24"/>
      <c r="G796" s="30"/>
      <c r="H796" s="24"/>
      <c r="I796" s="24"/>
      <c r="J796" s="24"/>
      <c r="K796" s="37" t="str">
        <f t="shared" si="48"/>
        <v/>
      </c>
      <c r="L796" s="37" t="str">
        <f t="shared" si="49"/>
        <v/>
      </c>
      <c r="M796" s="37" t="str">
        <f t="shared" si="50"/>
        <v/>
      </c>
      <c r="N796" s="37" t="str">
        <f t="shared" si="51"/>
        <v/>
      </c>
      <c r="O796" s="37" t="str">
        <f>IF(OR($D796="",$F796=""),"",$F796*IFERROR(VLOOKUP($D796,Maestro_SKU!$A$2:$P$500,12,FALSE),1))</f>
        <v/>
      </c>
    </row>
    <row r="797" spans="1:15" x14ac:dyDescent="0.35">
      <c r="A797" s="25"/>
      <c r="B797" s="24"/>
      <c r="C797" s="24"/>
      <c r="D797" s="24"/>
      <c r="E797" s="28" t="str">
        <f>IFERROR(VLOOKUP(D797,Maestro_SKU!$A$2:$P$500,2,FALSE),"")</f>
        <v/>
      </c>
      <c r="F797" s="24"/>
      <c r="G797" s="30"/>
      <c r="H797" s="24"/>
      <c r="I797" s="24"/>
      <c r="J797" s="24"/>
      <c r="K797" s="37" t="str">
        <f t="shared" si="48"/>
        <v/>
      </c>
      <c r="L797" s="37" t="str">
        <f t="shared" si="49"/>
        <v/>
      </c>
      <c r="M797" s="37" t="str">
        <f t="shared" si="50"/>
        <v/>
      </c>
      <c r="N797" s="37" t="str">
        <f t="shared" si="51"/>
        <v/>
      </c>
      <c r="O797" s="37" t="str">
        <f>IF(OR($D797="",$F797=""),"",$F797*IFERROR(VLOOKUP($D797,Maestro_SKU!$A$2:$P$500,12,FALSE),1))</f>
        <v/>
      </c>
    </row>
    <row r="798" spans="1:15" x14ac:dyDescent="0.35">
      <c r="A798" s="25"/>
      <c r="B798" s="24"/>
      <c r="C798" s="24"/>
      <c r="D798" s="24"/>
      <c r="E798" s="28" t="str">
        <f>IFERROR(VLOOKUP(D798,Maestro_SKU!$A$2:$P$500,2,FALSE),"")</f>
        <v/>
      </c>
      <c r="F798" s="24"/>
      <c r="G798" s="30"/>
      <c r="H798" s="24"/>
      <c r="I798" s="24"/>
      <c r="J798" s="24"/>
      <c r="K798" s="37" t="str">
        <f t="shared" si="48"/>
        <v/>
      </c>
      <c r="L798" s="37" t="str">
        <f t="shared" si="49"/>
        <v/>
      </c>
      <c r="M798" s="37" t="str">
        <f t="shared" si="50"/>
        <v/>
      </c>
      <c r="N798" s="37" t="str">
        <f t="shared" si="51"/>
        <v/>
      </c>
      <c r="O798" s="37" t="str">
        <f>IF(OR($D798="",$F798=""),"",$F798*IFERROR(VLOOKUP($D798,Maestro_SKU!$A$2:$P$500,12,FALSE),1))</f>
        <v/>
      </c>
    </row>
    <row r="799" spans="1:15" x14ac:dyDescent="0.35">
      <c r="A799" s="25"/>
      <c r="B799" s="24"/>
      <c r="C799" s="24"/>
      <c r="D799" s="24"/>
      <c r="E799" s="28" t="str">
        <f>IFERROR(VLOOKUP(D799,Maestro_SKU!$A$2:$P$500,2,FALSE),"")</f>
        <v/>
      </c>
      <c r="F799" s="24"/>
      <c r="G799" s="30"/>
      <c r="H799" s="24"/>
      <c r="I799" s="24"/>
      <c r="J799" s="24"/>
      <c r="K799" s="37" t="str">
        <f t="shared" si="48"/>
        <v/>
      </c>
      <c r="L799" s="37" t="str">
        <f t="shared" si="49"/>
        <v/>
      </c>
      <c r="M799" s="37" t="str">
        <f t="shared" si="50"/>
        <v/>
      </c>
      <c r="N799" s="37" t="str">
        <f t="shared" si="51"/>
        <v/>
      </c>
      <c r="O799" s="37" t="str">
        <f>IF(OR($D799="",$F799=""),"",$F799*IFERROR(VLOOKUP($D799,Maestro_SKU!$A$2:$P$500,12,FALSE),1))</f>
        <v/>
      </c>
    </row>
    <row r="800" spans="1:15" x14ac:dyDescent="0.35">
      <c r="A800" s="25"/>
      <c r="B800" s="24"/>
      <c r="C800" s="24"/>
      <c r="D800" s="24"/>
      <c r="E800" s="28" t="str">
        <f>IFERROR(VLOOKUP(D800,Maestro_SKU!$A$2:$P$500,2,FALSE),"")</f>
        <v/>
      </c>
      <c r="F800" s="24"/>
      <c r="G800" s="30"/>
      <c r="H800" s="24"/>
      <c r="I800" s="24"/>
      <c r="J800" s="24"/>
      <c r="K800" s="37" t="str">
        <f t="shared" si="48"/>
        <v/>
      </c>
      <c r="L800" s="37" t="str">
        <f t="shared" si="49"/>
        <v/>
      </c>
      <c r="M800" s="37" t="str">
        <f t="shared" si="50"/>
        <v/>
      </c>
      <c r="N800" s="37" t="str">
        <f t="shared" si="51"/>
        <v/>
      </c>
      <c r="O800" s="37" t="str">
        <f>IF(OR($D800="",$F800=""),"",$F800*IFERROR(VLOOKUP($D800,Maestro_SKU!$A$2:$P$500,12,FALSE),1))</f>
        <v/>
      </c>
    </row>
  </sheetData>
  <autoFilter ref="A1:O800" xr:uid="{00000000-0009-0000-0000-00000A000000}"/>
  <dataValidations count="1">
    <dataValidation type="list" allowBlank="1" sqref="D2:D800" xr:uid="{00000000-0002-0000-0A00-000000000000}">
      <formula1>rng_SKU</formula1>
    </dataValidation>
  </dataValidations>
  <hyperlinks>
    <hyperlink ref="P1" location="Inicio!A11" display="⚙ Configuración" xr:uid="{00000000-0004-0000-0A00-000000000000}"/>
  </hyperlinks>
  <pageMargins left="0.7" right="0.7" top="0.75" bottom="0.75" header="0.3" footer="0.3"/>
  <headerFooter>
    <oddHeader>&amp;C&amp;8 DOCUMENTO CONFIDENCIAL Y RESTRINGIDO  -  Uso interno Nuva Oxi</oddHeader>
    <oddFooter>&amp;LNuva Oxi&amp;RPágina &amp;P de &amp;N</oddFooter>
  </headerFooter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A56A97"/>
  </sheetPr>
  <dimension ref="A1:M800"/>
  <sheetViews>
    <sheetView showGridLines="0" workbookViewId="0">
      <pane ySplit="1" topLeftCell="A2" activePane="bottomLeft" state="frozen"/>
      <selection pane="bottomLeft" activeCell="J2" sqref="J2"/>
    </sheetView>
  </sheetViews>
  <sheetFormatPr baseColWidth="10" defaultColWidth="8.7265625" defaultRowHeight="14.5" x14ac:dyDescent="0.35"/>
  <cols>
    <col min="1" max="1" width="12" customWidth="1"/>
    <col min="2" max="3" width="16" customWidth="1"/>
    <col min="4" max="5" width="24" customWidth="1"/>
    <col min="6" max="6" width="32" customWidth="1"/>
    <col min="7" max="7" width="14" customWidth="1"/>
    <col min="8" max="8" width="16" customWidth="1"/>
    <col min="9" max="9" width="13" customWidth="1"/>
    <col min="10" max="10" width="14" customWidth="1"/>
    <col min="11" max="11" width="28" customWidth="1"/>
  </cols>
  <sheetData>
    <row r="1" spans="1:13" ht="28" customHeight="1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285</v>
      </c>
      <c r="F1" s="7" t="s">
        <v>286</v>
      </c>
      <c r="G1" s="7" t="s">
        <v>426</v>
      </c>
      <c r="H1" s="7" t="s">
        <v>427</v>
      </c>
      <c r="I1" s="7" t="s">
        <v>428</v>
      </c>
      <c r="J1" s="7" t="s">
        <v>15</v>
      </c>
      <c r="K1" s="7" t="s">
        <v>236</v>
      </c>
      <c r="M1" s="21" t="s">
        <v>20</v>
      </c>
    </row>
    <row r="2" spans="1:13" ht="20" customHeight="1" x14ac:dyDescent="0.35">
      <c r="A2" s="24" t="s">
        <v>242</v>
      </c>
      <c r="B2" s="31" t="str">
        <f>IFERROR(VLOOKUP(A2,Clientes_PDV!$A$2:$J$250,2,FALSE),"")</f>
        <v>Jumbo</v>
      </c>
      <c r="C2" s="31" t="str">
        <f>IFERROR(VLOOKUP(A2,Clientes_PDV!$A$2:$J$250,3,FALSE),"")</f>
        <v>Retail</v>
      </c>
      <c r="D2" s="31" t="str">
        <f>IFERROR(VLOOKUP(A2,Clientes_PDV!$A$2:$J$250,4,FALSE),"")</f>
        <v>Jumbo Bilbao</v>
      </c>
      <c r="E2" s="24" t="s">
        <v>303</v>
      </c>
      <c r="F2" s="31" t="str">
        <f>IFERROR(VLOOKUP(E2,Maestro_SKU!$A$2:$P$500,2,FALSE),"")</f>
        <v>Barra Berry Mix unidad</v>
      </c>
      <c r="G2" s="29">
        <v>5</v>
      </c>
      <c r="H2" s="32">
        <f>IF(OR(G2="",E2=""),"",G2*IFERROR(VLOOKUP(E2,Maestro_SKU!$A$2:$P$500,12,FALSE),1))</f>
        <v>5</v>
      </c>
      <c r="I2" s="25">
        <v>46201</v>
      </c>
      <c r="J2" s="31" t="str">
        <f>IF(A2="","",IF(H2&lt;=Inicio!$B$16,"Crítico",IF(H2&lt;=Inicio!$B$17,"Observar","OK")))</f>
        <v>Crítico</v>
      </c>
      <c r="K2" s="24"/>
    </row>
    <row r="3" spans="1:13" ht="20" customHeight="1" x14ac:dyDescent="0.35">
      <c r="A3" s="24" t="s">
        <v>242</v>
      </c>
      <c r="B3" s="31" t="str">
        <f>IFERROR(VLOOKUP(A3,Clientes_PDV!$A$2:$J$250,2,FALSE),"")</f>
        <v>Jumbo</v>
      </c>
      <c r="C3" s="31" t="str">
        <f>IFERROR(VLOOKUP(A3,Clientes_PDV!$A$2:$J$250,3,FALSE),"")</f>
        <v>Retail</v>
      </c>
      <c r="D3" s="31" t="str">
        <f>IFERROR(VLOOKUP(A3,Clientes_PDV!$A$2:$J$250,4,FALSE),"")</f>
        <v>Jumbo Bilbao</v>
      </c>
      <c r="E3" s="24" t="s">
        <v>323</v>
      </c>
      <c r="F3" s="31" t="str">
        <f>IFERROR(VLOOKUP(E3,Maestro_SKU!$A$2:$P$500,2,FALSE),"")</f>
        <v>Barra Peanut Boost unidad</v>
      </c>
      <c r="G3" s="29">
        <v>0</v>
      </c>
      <c r="H3" s="32">
        <f>IF(OR(G3="",E3=""),"",G3*IFERROR(VLOOKUP(E3,Maestro_SKU!$A$2:$P$500,12,FALSE),1))</f>
        <v>0</v>
      </c>
      <c r="I3" s="25">
        <v>46203</v>
      </c>
      <c r="J3" s="31" t="str">
        <f>IF(A3="","",IF(H3&lt;=Inicio!$B$16,"Crítico",IF(H3&lt;=Inicio!$B$17,"Observar","OK")))</f>
        <v>Crítico</v>
      </c>
      <c r="K3" s="24"/>
    </row>
    <row r="4" spans="1:13" ht="20" customHeight="1" x14ac:dyDescent="0.35">
      <c r="A4" s="24" t="s">
        <v>242</v>
      </c>
      <c r="B4" s="31" t="str">
        <f>IFERROR(VLOOKUP(A4,Clientes_PDV!$A$2:$J$250,2,FALSE),"")</f>
        <v>Jumbo</v>
      </c>
      <c r="C4" s="31" t="str">
        <f>IFERROR(VLOOKUP(A4,Clientes_PDV!$A$2:$J$250,3,FALSE),"")</f>
        <v>Retail</v>
      </c>
      <c r="D4" s="31" t="str">
        <f>IFERROR(VLOOKUP(A4,Clientes_PDV!$A$2:$J$250,4,FALSE),"")</f>
        <v>Jumbo Bilbao</v>
      </c>
      <c r="E4" s="24" t="s">
        <v>306</v>
      </c>
      <c r="F4" s="31" t="str">
        <f>IFERROR(VLOOKUP(E4,Maestro_SKU!$A$2:$P$500,2,FALSE),"")</f>
        <v>Barra Cacao Crispy unidad</v>
      </c>
      <c r="G4" s="29">
        <v>8</v>
      </c>
      <c r="H4" s="32">
        <f>IF(OR(G4="",E4=""),"",G4*IFERROR(VLOOKUP(E4,Maestro_SKU!$A$2:$P$500,12,FALSE),1))</f>
        <v>8</v>
      </c>
      <c r="I4" s="25">
        <v>46204</v>
      </c>
      <c r="J4" s="31" t="str">
        <f>IF(A4="","",IF(H4&lt;=Inicio!$B$16,"Crítico",IF(H4&lt;=Inicio!$B$17,"Observar","OK")))</f>
        <v>Crítico</v>
      </c>
      <c r="K4" s="24"/>
    </row>
    <row r="5" spans="1:13" ht="20" customHeight="1" x14ac:dyDescent="0.35">
      <c r="A5" s="24" t="s">
        <v>242</v>
      </c>
      <c r="B5" s="31" t="str">
        <f>IFERROR(VLOOKUP(A5,Clientes_PDV!$A$2:$J$250,2,FALSE),"")</f>
        <v>Jumbo</v>
      </c>
      <c r="C5" s="31" t="str">
        <f>IFERROR(VLOOKUP(A5,Clientes_PDV!$A$2:$J$250,3,FALSE),"")</f>
        <v>Retail</v>
      </c>
      <c r="D5" s="31" t="str">
        <f>IFERROR(VLOOKUP(A5,Clientes_PDV!$A$2:$J$250,4,FALSE),"")</f>
        <v>Jumbo Bilbao</v>
      </c>
      <c r="E5" s="24" t="s">
        <v>375</v>
      </c>
      <c r="F5" s="31" t="str">
        <f>IFERROR(VLOOKUP(E5,Maestro_SKU!$A$2:$P$500,2,FALSE),"")</f>
        <v>Estuche Berry Mix 4 unidades</v>
      </c>
      <c r="G5" s="29">
        <v>5</v>
      </c>
      <c r="H5" s="32">
        <f>IF(OR(G5="",E5=""),"",G5*IFERROR(VLOOKUP(E5,Maestro_SKU!$A$2:$P$500,12,FALSE),1))</f>
        <v>20</v>
      </c>
      <c r="I5" s="25">
        <v>46208</v>
      </c>
      <c r="J5" s="31" t="str">
        <f>IF(A5="","",IF(H5&lt;=Inicio!$B$16,"Crítico",IF(H5&lt;=Inicio!$B$17,"Observar","OK")))</f>
        <v>Observar</v>
      </c>
      <c r="K5" s="24"/>
    </row>
    <row r="6" spans="1:13" ht="20" customHeight="1" x14ac:dyDescent="0.35">
      <c r="A6" s="24" t="s">
        <v>247</v>
      </c>
      <c r="B6" s="31" t="str">
        <f>IFERROR(VLOOKUP(A6,Clientes_PDV!$A$2:$J$250,2,FALSE),"")</f>
        <v>Jumbo</v>
      </c>
      <c r="C6" s="31" t="str">
        <f>IFERROR(VLOOKUP(A6,Clientes_PDV!$A$2:$J$250,3,FALSE),"")</f>
        <v>Retail</v>
      </c>
      <c r="D6" s="31" t="str">
        <f>IFERROR(VLOOKUP(A6,Clientes_PDV!$A$2:$J$250,4,FALSE),"")</f>
        <v>Jumbo Kennedy</v>
      </c>
      <c r="E6" s="24" t="s">
        <v>303</v>
      </c>
      <c r="F6" s="31" t="str">
        <f>IFERROR(VLOOKUP(E6,Maestro_SKU!$A$2:$P$500,2,FALSE),"")</f>
        <v>Barra Berry Mix unidad</v>
      </c>
      <c r="G6" s="29">
        <v>0</v>
      </c>
      <c r="H6" s="32">
        <f>IF(OR(G6="",E6=""),"",G6*IFERROR(VLOOKUP(E6,Maestro_SKU!$A$2:$P$500,12,FALSE),1))</f>
        <v>0</v>
      </c>
      <c r="I6" s="25">
        <v>46207</v>
      </c>
      <c r="J6" s="31" t="str">
        <f>IF(A6="","",IF(H6&lt;=Inicio!$B$16,"Crítico",IF(H6&lt;=Inicio!$B$17,"Observar","OK")))</f>
        <v>Crítico</v>
      </c>
      <c r="K6" s="24"/>
    </row>
    <row r="7" spans="1:13" ht="20" customHeight="1" x14ac:dyDescent="0.35">
      <c r="A7" s="24" t="s">
        <v>251</v>
      </c>
      <c r="B7" s="31" t="str">
        <f>IFERROR(VLOOKUP(A7,Clientes_PDV!$A$2:$J$250,2,FALSE),"")</f>
        <v>Jumbo</v>
      </c>
      <c r="C7" s="31" t="str">
        <f>IFERROR(VLOOKUP(A7,Clientes_PDV!$A$2:$J$250,3,FALSE),"")</f>
        <v>Retail</v>
      </c>
      <c r="D7" s="31" t="str">
        <f>IFERROR(VLOOKUP(A7,Clientes_PDV!$A$2:$J$250,4,FALSE),"")</f>
        <v>Jumbo La Reina</v>
      </c>
      <c r="E7" s="24" t="s">
        <v>323</v>
      </c>
      <c r="F7" s="31" t="str">
        <f>IFERROR(VLOOKUP(E7,Maestro_SKU!$A$2:$P$500,2,FALSE),"")</f>
        <v>Barra Peanut Boost unidad</v>
      </c>
      <c r="G7" s="29">
        <v>30</v>
      </c>
      <c r="H7" s="32">
        <f>IF(OR(G7="",E7=""),"",G7*IFERROR(VLOOKUP(E7,Maestro_SKU!$A$2:$P$500,12,FALSE),1))</f>
        <v>30</v>
      </c>
      <c r="I7" s="25">
        <v>46203</v>
      </c>
      <c r="J7" s="31" t="str">
        <f>IF(A7="","",IF(H7&lt;=Inicio!$B$16,"Crítico",IF(H7&lt;=Inicio!$B$17,"Observar","OK")))</f>
        <v>OK</v>
      </c>
      <c r="K7" s="24"/>
    </row>
    <row r="8" spans="1:13" ht="20" customHeight="1" x14ac:dyDescent="0.35">
      <c r="A8" s="24" t="s">
        <v>251</v>
      </c>
      <c r="B8" s="31" t="str">
        <f>IFERROR(VLOOKUP(A8,Clientes_PDV!$A$2:$J$250,2,FALSE),"")</f>
        <v>Jumbo</v>
      </c>
      <c r="C8" s="31" t="str">
        <f>IFERROR(VLOOKUP(A8,Clientes_PDV!$A$2:$J$250,3,FALSE),"")</f>
        <v>Retail</v>
      </c>
      <c r="D8" s="31" t="str">
        <f>IFERROR(VLOOKUP(A8,Clientes_PDV!$A$2:$J$250,4,FALSE),"")</f>
        <v>Jumbo La Reina</v>
      </c>
      <c r="E8" s="24" t="s">
        <v>306</v>
      </c>
      <c r="F8" s="31" t="str">
        <f>IFERROR(VLOOKUP(E8,Maestro_SKU!$A$2:$P$500,2,FALSE),"")</f>
        <v>Barra Cacao Crispy unidad</v>
      </c>
      <c r="G8" s="29">
        <v>5</v>
      </c>
      <c r="H8" s="32">
        <f>IF(OR(G8="",E8=""),"",G8*IFERROR(VLOOKUP(E8,Maestro_SKU!$A$2:$P$500,12,FALSE),1))</f>
        <v>5</v>
      </c>
      <c r="I8" s="25">
        <v>46207</v>
      </c>
      <c r="J8" s="31" t="str">
        <f>IF(A8="","",IF(H8&lt;=Inicio!$B$16,"Crítico",IF(H8&lt;=Inicio!$B$17,"Observar","OK")))</f>
        <v>Crítico</v>
      </c>
      <c r="K8" s="24"/>
    </row>
    <row r="9" spans="1:13" ht="20" customHeight="1" x14ac:dyDescent="0.35">
      <c r="A9" s="24" t="s">
        <v>251</v>
      </c>
      <c r="B9" s="31" t="str">
        <f>IFERROR(VLOOKUP(A9,Clientes_PDV!$A$2:$J$250,2,FALSE),"")</f>
        <v>Jumbo</v>
      </c>
      <c r="C9" s="31" t="str">
        <f>IFERROR(VLOOKUP(A9,Clientes_PDV!$A$2:$J$250,3,FALSE),"")</f>
        <v>Retail</v>
      </c>
      <c r="D9" s="31" t="str">
        <f>IFERROR(VLOOKUP(A9,Clientes_PDV!$A$2:$J$250,4,FALSE),"")</f>
        <v>Jumbo La Reina</v>
      </c>
      <c r="E9" s="24" t="s">
        <v>309</v>
      </c>
      <c r="F9" s="31" t="str">
        <f>IFERROR(VLOOKUP(E9,Maestro_SKU!$A$2:$P$500,2,FALSE),"")</f>
        <v>Estuche Cacao Crispy 4 unidades</v>
      </c>
      <c r="G9" s="29">
        <v>30</v>
      </c>
      <c r="H9" s="32">
        <f>IF(OR(G9="",E9=""),"",G9*IFERROR(VLOOKUP(E9,Maestro_SKU!$A$2:$P$500,12,FALSE),1))</f>
        <v>120</v>
      </c>
      <c r="I9" s="25">
        <v>46210</v>
      </c>
      <c r="J9" s="31" t="str">
        <f>IF(A9="","",IF(H9&lt;=Inicio!$B$16,"Crítico",IF(H9&lt;=Inicio!$B$17,"Observar","OK")))</f>
        <v>OK</v>
      </c>
      <c r="K9" s="24"/>
    </row>
    <row r="10" spans="1:13" ht="20" customHeight="1" x14ac:dyDescent="0.35">
      <c r="A10" s="24" t="s">
        <v>254</v>
      </c>
      <c r="B10" s="31" t="str">
        <f>IFERROR(VLOOKUP(A10,Clientes_PDV!$A$2:$J$250,2,FALSE),"")</f>
        <v>Get It</v>
      </c>
      <c r="C10" s="31" t="str">
        <f>IFERROR(VLOOKUP(A10,Clientes_PDV!$A$2:$J$250,3,FALSE),"")</f>
        <v>Conveniencia</v>
      </c>
      <c r="D10" s="31" t="str">
        <f>IFERROR(VLOOKUP(A10,Clientes_PDV!$A$2:$J$250,4,FALSE),"")</f>
        <v>Get It Apoquindo</v>
      </c>
      <c r="E10" s="24" t="s">
        <v>323</v>
      </c>
      <c r="F10" s="31" t="str">
        <f>IFERROR(VLOOKUP(E10,Maestro_SKU!$A$2:$P$500,2,FALSE),"")</f>
        <v>Barra Peanut Boost unidad</v>
      </c>
      <c r="G10" s="29">
        <v>8</v>
      </c>
      <c r="H10" s="32">
        <f>IF(OR(G10="",E10=""),"",G10*IFERROR(VLOOKUP(E10,Maestro_SKU!$A$2:$P$500,12,FALSE),1))</f>
        <v>8</v>
      </c>
      <c r="I10" s="25">
        <v>46205</v>
      </c>
      <c r="J10" s="31" t="str">
        <f>IF(A10="","",IF(H10&lt;=Inicio!$B$16,"Crítico",IF(H10&lt;=Inicio!$B$17,"Observar","OK")))</f>
        <v>Crítico</v>
      </c>
      <c r="K10" s="24"/>
    </row>
    <row r="11" spans="1:13" ht="20" customHeight="1" x14ac:dyDescent="0.35">
      <c r="A11" s="24" t="s">
        <v>257</v>
      </c>
      <c r="B11" s="31" t="str">
        <f>IFERROR(VLOOKUP(A11,Clientes_PDV!$A$2:$J$250,2,FALSE),"")</f>
        <v>Get It</v>
      </c>
      <c r="C11" s="31" t="str">
        <f>IFERROR(VLOOKUP(A11,Clientes_PDV!$A$2:$J$250,3,FALSE),"")</f>
        <v>Conveniencia</v>
      </c>
      <c r="D11" s="31" t="str">
        <f>IFERROR(VLOOKUP(A11,Clientes_PDV!$A$2:$J$250,4,FALSE),"")</f>
        <v>Get It Vitacura</v>
      </c>
      <c r="E11" s="24" t="s">
        <v>323</v>
      </c>
      <c r="F11" s="31" t="str">
        <f>IFERROR(VLOOKUP(E11,Maestro_SKU!$A$2:$P$500,2,FALSE),"")</f>
        <v>Barra Peanut Boost unidad</v>
      </c>
      <c r="G11" s="29">
        <v>20</v>
      </c>
      <c r="H11" s="32">
        <f>IF(OR(G11="",E11=""),"",G11*IFERROR(VLOOKUP(E11,Maestro_SKU!$A$2:$P$500,12,FALSE),1))</f>
        <v>20</v>
      </c>
      <c r="I11" s="25">
        <v>46201</v>
      </c>
      <c r="J11" s="31" t="str">
        <f>IF(A11="","",IF(H11&lt;=Inicio!$B$16,"Crítico",IF(H11&lt;=Inicio!$B$17,"Observar","OK")))</f>
        <v>Observar</v>
      </c>
      <c r="K11" s="24"/>
    </row>
    <row r="12" spans="1:13" ht="20" customHeight="1" x14ac:dyDescent="0.35">
      <c r="A12" s="24" t="s">
        <v>257</v>
      </c>
      <c r="B12" s="31" t="str">
        <f>IFERROR(VLOOKUP(A12,Clientes_PDV!$A$2:$J$250,2,FALSE),"")</f>
        <v>Get It</v>
      </c>
      <c r="C12" s="31" t="str">
        <f>IFERROR(VLOOKUP(A12,Clientes_PDV!$A$2:$J$250,3,FALSE),"")</f>
        <v>Conveniencia</v>
      </c>
      <c r="D12" s="31" t="str">
        <f>IFERROR(VLOOKUP(A12,Clientes_PDV!$A$2:$J$250,4,FALSE),"")</f>
        <v>Get It Vitacura</v>
      </c>
      <c r="E12" s="24" t="s">
        <v>375</v>
      </c>
      <c r="F12" s="31" t="str">
        <f>IFERROR(VLOOKUP(E12,Maestro_SKU!$A$2:$P$500,2,FALSE),"")</f>
        <v>Estuche Berry Mix 4 unidades</v>
      </c>
      <c r="G12" s="29">
        <v>45</v>
      </c>
      <c r="H12" s="32">
        <f>IF(OR(G12="",E12=""),"",G12*IFERROR(VLOOKUP(E12,Maestro_SKU!$A$2:$P$500,12,FALSE),1))</f>
        <v>180</v>
      </c>
      <c r="I12" s="25">
        <v>46212</v>
      </c>
      <c r="J12" s="31" t="str">
        <f>IF(A12="","",IF(H12&lt;=Inicio!$B$16,"Crítico",IF(H12&lt;=Inicio!$B$17,"Observar","OK")))</f>
        <v>OK</v>
      </c>
      <c r="K12" s="24"/>
    </row>
    <row r="13" spans="1:13" ht="20" customHeight="1" x14ac:dyDescent="0.35">
      <c r="A13" s="24" t="s">
        <v>259</v>
      </c>
      <c r="B13" s="31" t="str">
        <f>IFERROR(VLOOKUP(A13,Clientes_PDV!$A$2:$J$250,2,FALSE),"")</f>
        <v>Aldea Nativa</v>
      </c>
      <c r="C13" s="31" t="str">
        <f>IFERROR(VLOOKUP(A13,Clientes_PDV!$A$2:$J$250,3,FALSE),"")</f>
        <v>Especializadas</v>
      </c>
      <c r="D13" s="31" t="str">
        <f>IFERROR(VLOOKUP(A13,Clientes_PDV!$A$2:$J$250,4,FALSE),"")</f>
        <v>Aldea Nativa Providencia</v>
      </c>
      <c r="E13" s="24" t="s">
        <v>323</v>
      </c>
      <c r="F13" s="31" t="str">
        <f>IFERROR(VLOOKUP(E13,Maestro_SKU!$A$2:$P$500,2,FALSE),"")</f>
        <v>Barra Peanut Boost unidad</v>
      </c>
      <c r="G13" s="29">
        <v>3</v>
      </c>
      <c r="H13" s="32">
        <f>IF(OR(G13="",E13=""),"",G13*IFERROR(VLOOKUP(E13,Maestro_SKU!$A$2:$P$500,12,FALSE),1))</f>
        <v>3</v>
      </c>
      <c r="I13" s="25">
        <v>46198</v>
      </c>
      <c r="J13" s="31" t="str">
        <f>IF(A13="","",IF(H13&lt;=Inicio!$B$16,"Crítico",IF(H13&lt;=Inicio!$B$17,"Observar","OK")))</f>
        <v>Crítico</v>
      </c>
      <c r="K13" s="24"/>
    </row>
    <row r="14" spans="1:13" ht="20" customHeight="1" x14ac:dyDescent="0.35">
      <c r="A14" s="24" t="s">
        <v>259</v>
      </c>
      <c r="B14" s="31" t="str">
        <f>IFERROR(VLOOKUP(A14,Clientes_PDV!$A$2:$J$250,2,FALSE),"")</f>
        <v>Aldea Nativa</v>
      </c>
      <c r="C14" s="31" t="str">
        <f>IFERROR(VLOOKUP(A14,Clientes_PDV!$A$2:$J$250,3,FALSE),"")</f>
        <v>Especializadas</v>
      </c>
      <c r="D14" s="31" t="str">
        <f>IFERROR(VLOOKUP(A14,Clientes_PDV!$A$2:$J$250,4,FALSE),"")</f>
        <v>Aldea Nativa Providencia</v>
      </c>
      <c r="E14" s="24" t="s">
        <v>375</v>
      </c>
      <c r="F14" s="31" t="str">
        <f>IFERROR(VLOOKUP(E14,Maestro_SKU!$A$2:$P$500,2,FALSE),"")</f>
        <v>Estuche Berry Mix 4 unidades</v>
      </c>
      <c r="G14" s="29">
        <v>0</v>
      </c>
      <c r="H14" s="32">
        <f>IF(OR(G14="",E14=""),"",G14*IFERROR(VLOOKUP(E14,Maestro_SKU!$A$2:$P$500,12,FALSE),1))</f>
        <v>0</v>
      </c>
      <c r="I14" s="25">
        <v>46212</v>
      </c>
      <c r="J14" s="31" t="str">
        <f>IF(A14="","",IF(H14&lt;=Inicio!$B$16,"Crítico",IF(H14&lt;=Inicio!$B$17,"Observar","OK")))</f>
        <v>Crítico</v>
      </c>
      <c r="K14" s="24"/>
    </row>
    <row r="15" spans="1:13" ht="20" customHeight="1" x14ac:dyDescent="0.35">
      <c r="A15" s="24" t="s">
        <v>259</v>
      </c>
      <c r="B15" s="31" t="str">
        <f>IFERROR(VLOOKUP(A15,Clientes_PDV!$A$2:$J$250,2,FALSE),"")</f>
        <v>Aldea Nativa</v>
      </c>
      <c r="C15" s="31" t="str">
        <f>IFERROR(VLOOKUP(A15,Clientes_PDV!$A$2:$J$250,3,FALSE),"")</f>
        <v>Especializadas</v>
      </c>
      <c r="D15" s="31" t="str">
        <f>IFERROR(VLOOKUP(A15,Clientes_PDV!$A$2:$J$250,4,FALSE),"")</f>
        <v>Aldea Nativa Providencia</v>
      </c>
      <c r="E15" s="24" t="s">
        <v>309</v>
      </c>
      <c r="F15" s="31" t="str">
        <f>IFERROR(VLOOKUP(E15,Maestro_SKU!$A$2:$P$500,2,FALSE),"")</f>
        <v>Estuche Cacao Crispy 4 unidades</v>
      </c>
      <c r="G15" s="29">
        <v>45</v>
      </c>
      <c r="H15" s="32">
        <f>IF(OR(G15="",E15=""),"",G15*IFERROR(VLOOKUP(E15,Maestro_SKU!$A$2:$P$500,12,FALSE),1))</f>
        <v>180</v>
      </c>
      <c r="I15" s="25">
        <v>46199</v>
      </c>
      <c r="J15" s="31" t="str">
        <f>IF(A15="","",IF(H15&lt;=Inicio!$B$16,"Crítico",IF(H15&lt;=Inicio!$B$17,"Observar","OK")))</f>
        <v>OK</v>
      </c>
      <c r="K15" s="24"/>
    </row>
    <row r="16" spans="1:13" ht="20" customHeight="1" x14ac:dyDescent="0.35">
      <c r="A16" s="24" t="s">
        <v>263</v>
      </c>
      <c r="B16" s="31" t="str">
        <f>IFERROR(VLOOKUP(A16,Clientes_PDV!$A$2:$J$250,2,FALSE),"")</f>
        <v>All Nutrition</v>
      </c>
      <c r="C16" s="31" t="str">
        <f>IFERROR(VLOOKUP(A16,Clientes_PDV!$A$2:$J$250,3,FALSE),"")</f>
        <v>Especializadas</v>
      </c>
      <c r="D16" s="31" t="str">
        <f>IFERROR(VLOOKUP(A16,Clientes_PDV!$A$2:$J$250,4,FALSE),"")</f>
        <v>All Nutrition La Reina</v>
      </c>
      <c r="E16" s="24" t="s">
        <v>375</v>
      </c>
      <c r="F16" s="31" t="str">
        <f>IFERROR(VLOOKUP(E16,Maestro_SKU!$A$2:$P$500,2,FALSE),"")</f>
        <v>Estuche Berry Mix 4 unidades</v>
      </c>
      <c r="G16" s="29">
        <v>20</v>
      </c>
      <c r="H16" s="32">
        <f>IF(OR(G16="",E16=""),"",G16*IFERROR(VLOOKUP(E16,Maestro_SKU!$A$2:$P$500,12,FALSE),1))</f>
        <v>80</v>
      </c>
      <c r="I16" s="25">
        <v>46200</v>
      </c>
      <c r="J16" s="31" t="str">
        <f>IF(A16="","",IF(H16&lt;=Inicio!$B$16,"Crítico",IF(H16&lt;=Inicio!$B$17,"Observar","OK")))</f>
        <v>OK</v>
      </c>
      <c r="K16" s="24"/>
    </row>
    <row r="17" spans="1:11" ht="20" customHeight="1" x14ac:dyDescent="0.35">
      <c r="A17" s="24" t="s">
        <v>263</v>
      </c>
      <c r="B17" s="31" t="str">
        <f>IFERROR(VLOOKUP(A17,Clientes_PDV!$A$2:$J$250,2,FALSE),"")</f>
        <v>All Nutrition</v>
      </c>
      <c r="C17" s="31" t="str">
        <f>IFERROR(VLOOKUP(A17,Clientes_PDV!$A$2:$J$250,3,FALSE),"")</f>
        <v>Especializadas</v>
      </c>
      <c r="D17" s="31" t="str">
        <f>IFERROR(VLOOKUP(A17,Clientes_PDV!$A$2:$J$250,4,FALSE),"")</f>
        <v>All Nutrition La Reina</v>
      </c>
      <c r="E17" s="24" t="s">
        <v>309</v>
      </c>
      <c r="F17" s="31" t="str">
        <f>IFERROR(VLOOKUP(E17,Maestro_SKU!$A$2:$P$500,2,FALSE),"")</f>
        <v>Estuche Cacao Crispy 4 unidades</v>
      </c>
      <c r="G17" s="29">
        <v>5</v>
      </c>
      <c r="H17" s="32">
        <f>IF(OR(G17="",E17=""),"",G17*IFERROR(VLOOKUP(E17,Maestro_SKU!$A$2:$P$500,12,FALSE),1))</f>
        <v>20</v>
      </c>
      <c r="I17" s="25">
        <v>46200</v>
      </c>
      <c r="J17" s="31" t="str">
        <f>IF(A17="","",IF(H17&lt;=Inicio!$B$16,"Crítico",IF(H17&lt;=Inicio!$B$17,"Observar","OK")))</f>
        <v>Observar</v>
      </c>
      <c r="K17" s="24"/>
    </row>
    <row r="18" spans="1:11" ht="20" customHeight="1" x14ac:dyDescent="0.35">
      <c r="A18" s="24" t="s">
        <v>270</v>
      </c>
      <c r="B18" s="31" t="str">
        <f>IFERROR(VLOOKUP(A18,Clientes_PDV!$A$2:$J$250,2,FALSE),"")</f>
        <v>Cruz Verde</v>
      </c>
      <c r="C18" s="31" t="str">
        <f>IFERROR(VLOOKUP(A18,Clientes_PDV!$A$2:$J$250,3,FALSE),"")</f>
        <v>Farmacias</v>
      </c>
      <c r="D18" s="31" t="str">
        <f>IFERROR(VLOOKUP(A18,Clientes_PDV!$A$2:$J$250,4,FALSE),"")</f>
        <v>Cruz Verde Vitacura</v>
      </c>
      <c r="E18" s="24" t="s">
        <v>323</v>
      </c>
      <c r="F18" s="31" t="str">
        <f>IFERROR(VLOOKUP(E18,Maestro_SKU!$A$2:$P$500,2,FALSE),"")</f>
        <v>Barra Peanut Boost unidad</v>
      </c>
      <c r="G18" s="29">
        <v>45</v>
      </c>
      <c r="H18" s="32">
        <f>IF(OR(G18="",E18=""),"",G18*IFERROR(VLOOKUP(E18,Maestro_SKU!$A$2:$P$500,12,FALSE),1))</f>
        <v>45</v>
      </c>
      <c r="I18" s="25">
        <v>46202</v>
      </c>
      <c r="J18" s="31" t="str">
        <f>IF(A18="","",IF(H18&lt;=Inicio!$B$16,"Crítico",IF(H18&lt;=Inicio!$B$17,"Observar","OK")))</f>
        <v>OK</v>
      </c>
      <c r="K18" s="24"/>
    </row>
    <row r="19" spans="1:11" ht="20" customHeight="1" x14ac:dyDescent="0.35">
      <c r="A19" s="24" t="s">
        <v>270</v>
      </c>
      <c r="B19" s="31" t="str">
        <f>IFERROR(VLOOKUP(A19,Clientes_PDV!$A$2:$J$250,2,FALSE),"")</f>
        <v>Cruz Verde</v>
      </c>
      <c r="C19" s="31" t="str">
        <f>IFERROR(VLOOKUP(A19,Clientes_PDV!$A$2:$J$250,3,FALSE),"")</f>
        <v>Farmacias</v>
      </c>
      <c r="D19" s="31" t="str">
        <f>IFERROR(VLOOKUP(A19,Clientes_PDV!$A$2:$J$250,4,FALSE),"")</f>
        <v>Cruz Verde Vitacura</v>
      </c>
      <c r="E19" s="24" t="s">
        <v>309</v>
      </c>
      <c r="F19" s="31" t="str">
        <f>IFERROR(VLOOKUP(E19,Maestro_SKU!$A$2:$P$500,2,FALSE),"")</f>
        <v>Estuche Cacao Crispy 4 unidades</v>
      </c>
      <c r="G19" s="29">
        <v>3</v>
      </c>
      <c r="H19" s="32">
        <f>IF(OR(G19="",E19=""),"",G19*IFERROR(VLOOKUP(E19,Maestro_SKU!$A$2:$P$500,12,FALSE),1))</f>
        <v>12</v>
      </c>
      <c r="I19" s="25">
        <v>46204</v>
      </c>
      <c r="J19" s="31" t="str">
        <f>IF(A19="","",IF(H19&lt;=Inicio!$B$16,"Crítico",IF(H19&lt;=Inicio!$B$17,"Observar","OK")))</f>
        <v>Observar</v>
      </c>
      <c r="K19" s="24"/>
    </row>
    <row r="20" spans="1:11" ht="20" customHeight="1" x14ac:dyDescent="0.35">
      <c r="A20" s="24" t="s">
        <v>273</v>
      </c>
      <c r="B20" s="31" t="str">
        <f>IFERROR(VLOOKUP(A20,Clientes_PDV!$A$2:$J$250,2,FALSE),"")</f>
        <v>Sodexo</v>
      </c>
      <c r="C20" s="31" t="str">
        <f>IFERROR(VLOOKUP(A20,Clientes_PDV!$A$2:$J$250,3,FALSE),"")</f>
        <v>Corporativo</v>
      </c>
      <c r="D20" s="31" t="str">
        <f>IFERROR(VLOOKUP(A20,Clientes_PDV!$A$2:$J$250,4,FALSE),"")</f>
        <v>Sodexo Casa Matriz</v>
      </c>
      <c r="E20" s="24" t="s">
        <v>323</v>
      </c>
      <c r="F20" s="31" t="str">
        <f>IFERROR(VLOOKUP(E20,Maestro_SKU!$A$2:$P$500,2,FALSE),"")</f>
        <v>Barra Peanut Boost unidad</v>
      </c>
      <c r="G20" s="29">
        <v>5</v>
      </c>
      <c r="H20" s="32">
        <f>IF(OR(G20="",E20=""),"",G20*IFERROR(VLOOKUP(E20,Maestro_SKU!$A$2:$P$500,12,FALSE),1))</f>
        <v>5</v>
      </c>
      <c r="I20" s="25">
        <v>46211</v>
      </c>
      <c r="J20" s="31" t="str">
        <f>IF(A20="","",IF(H20&lt;=Inicio!$B$16,"Crítico",IF(H20&lt;=Inicio!$B$17,"Observar","OK")))</f>
        <v>Crítico</v>
      </c>
      <c r="K20" s="24"/>
    </row>
    <row r="21" spans="1:11" ht="20" customHeight="1" x14ac:dyDescent="0.35">
      <c r="A21" s="24" t="s">
        <v>273</v>
      </c>
      <c r="B21" s="31" t="str">
        <f>IFERROR(VLOOKUP(A21,Clientes_PDV!$A$2:$J$250,2,FALSE),"")</f>
        <v>Sodexo</v>
      </c>
      <c r="C21" s="31" t="str">
        <f>IFERROR(VLOOKUP(A21,Clientes_PDV!$A$2:$J$250,3,FALSE),"")</f>
        <v>Corporativo</v>
      </c>
      <c r="D21" s="31" t="str">
        <f>IFERROR(VLOOKUP(A21,Clientes_PDV!$A$2:$J$250,4,FALSE),"")</f>
        <v>Sodexo Casa Matriz</v>
      </c>
      <c r="E21" s="24" t="s">
        <v>309</v>
      </c>
      <c r="F21" s="31" t="str">
        <f>IFERROR(VLOOKUP(E21,Maestro_SKU!$A$2:$P$500,2,FALSE),"")</f>
        <v>Estuche Cacao Crispy 4 unidades</v>
      </c>
      <c r="G21" s="29">
        <v>0</v>
      </c>
      <c r="H21" s="32">
        <f>IF(OR(G21="",E21=""),"",G21*IFERROR(VLOOKUP(E21,Maestro_SKU!$A$2:$P$500,12,FALSE),1))</f>
        <v>0</v>
      </c>
      <c r="I21" s="25">
        <v>46205</v>
      </c>
      <c r="J21" s="31" t="str">
        <f>IF(A21="","",IF(H21&lt;=Inicio!$B$16,"Crítico",IF(H21&lt;=Inicio!$B$17,"Observar","OK")))</f>
        <v>Crítico</v>
      </c>
      <c r="K21" s="24"/>
    </row>
    <row r="22" spans="1:11" ht="20" customHeight="1" x14ac:dyDescent="0.35">
      <c r="A22" s="24" t="s">
        <v>276</v>
      </c>
      <c r="B22" s="31" t="str">
        <f>IFERROR(VLOOKUP(A22,Clientes_PDV!$A$2:$J$250,2,FALSE),"")</f>
        <v>Tres Toques</v>
      </c>
      <c r="C22" s="31" t="str">
        <f>IFERROR(VLOOKUP(A22,Clientes_PDV!$A$2:$J$250,3,FALSE),"")</f>
        <v>HORECA</v>
      </c>
      <c r="D22" s="31" t="str">
        <f>IFERROR(VLOOKUP(A22,Clientes_PDV!$A$2:$J$250,4,FALSE),"")</f>
        <v>Tres Toques Vitacura</v>
      </c>
      <c r="E22" s="24" t="s">
        <v>303</v>
      </c>
      <c r="F22" s="31" t="str">
        <f>IFERROR(VLOOKUP(E22,Maestro_SKU!$A$2:$P$500,2,FALSE),"")</f>
        <v>Barra Berry Mix unidad</v>
      </c>
      <c r="G22" s="29">
        <v>5</v>
      </c>
      <c r="H22" s="32">
        <f>IF(OR(G22="",E22=""),"",G22*IFERROR(VLOOKUP(E22,Maestro_SKU!$A$2:$P$500,12,FALSE),1))</f>
        <v>5</v>
      </c>
      <c r="I22" s="25">
        <v>46207</v>
      </c>
      <c r="J22" s="31" t="str">
        <f>IF(A22="","",IF(H22&lt;=Inicio!$B$16,"Crítico",IF(H22&lt;=Inicio!$B$17,"Observar","OK")))</f>
        <v>Crítico</v>
      </c>
      <c r="K22" s="24"/>
    </row>
    <row r="23" spans="1:11" ht="20" customHeight="1" x14ac:dyDescent="0.35">
      <c r="A23" s="24" t="s">
        <v>276</v>
      </c>
      <c r="B23" s="31" t="str">
        <f>IFERROR(VLOOKUP(A23,Clientes_PDV!$A$2:$J$250,2,FALSE),"")</f>
        <v>Tres Toques</v>
      </c>
      <c r="C23" s="31" t="str">
        <f>IFERROR(VLOOKUP(A23,Clientes_PDV!$A$2:$J$250,3,FALSE),"")</f>
        <v>HORECA</v>
      </c>
      <c r="D23" s="31" t="str">
        <f>IFERROR(VLOOKUP(A23,Clientes_PDV!$A$2:$J$250,4,FALSE),"")</f>
        <v>Tres Toques Vitacura</v>
      </c>
      <c r="E23" s="24" t="s">
        <v>323</v>
      </c>
      <c r="F23" s="31" t="str">
        <f>IFERROR(VLOOKUP(E23,Maestro_SKU!$A$2:$P$500,2,FALSE),"")</f>
        <v>Barra Peanut Boost unidad</v>
      </c>
      <c r="G23" s="29">
        <v>8</v>
      </c>
      <c r="H23" s="32">
        <f>IF(OR(G23="",E23=""),"",G23*IFERROR(VLOOKUP(E23,Maestro_SKU!$A$2:$P$500,12,FALSE),1))</f>
        <v>8</v>
      </c>
      <c r="I23" s="25">
        <v>46209</v>
      </c>
      <c r="J23" s="31" t="str">
        <f>IF(A23="","",IF(H23&lt;=Inicio!$B$16,"Crítico",IF(H23&lt;=Inicio!$B$17,"Observar","OK")))</f>
        <v>Crítico</v>
      </c>
      <c r="K23" s="24"/>
    </row>
    <row r="24" spans="1:11" ht="20" customHeight="1" x14ac:dyDescent="0.35">
      <c r="A24" s="24" t="s">
        <v>276</v>
      </c>
      <c r="B24" s="31" t="str">
        <f>IFERROR(VLOOKUP(A24,Clientes_PDV!$A$2:$J$250,2,FALSE),"")</f>
        <v>Tres Toques</v>
      </c>
      <c r="C24" s="31" t="str">
        <f>IFERROR(VLOOKUP(A24,Clientes_PDV!$A$2:$J$250,3,FALSE),"")</f>
        <v>HORECA</v>
      </c>
      <c r="D24" s="31" t="str">
        <f>IFERROR(VLOOKUP(A24,Clientes_PDV!$A$2:$J$250,4,FALSE),"")</f>
        <v>Tres Toques Vitacura</v>
      </c>
      <c r="E24" s="24" t="s">
        <v>306</v>
      </c>
      <c r="F24" s="31" t="str">
        <f>IFERROR(VLOOKUP(E24,Maestro_SKU!$A$2:$P$500,2,FALSE),"")</f>
        <v>Barra Cacao Crispy unidad</v>
      </c>
      <c r="G24" s="29">
        <v>12</v>
      </c>
      <c r="H24" s="32">
        <f>IF(OR(G24="",E24=""),"",G24*IFERROR(VLOOKUP(E24,Maestro_SKU!$A$2:$P$500,12,FALSE),1))</f>
        <v>12</v>
      </c>
      <c r="I24" s="25">
        <v>46210</v>
      </c>
      <c r="J24" s="31" t="str">
        <f>IF(A24="","",IF(H24&lt;=Inicio!$B$16,"Crítico",IF(H24&lt;=Inicio!$B$17,"Observar","OK")))</f>
        <v>Observar</v>
      </c>
      <c r="K24" s="24"/>
    </row>
    <row r="25" spans="1:11" ht="20" customHeight="1" x14ac:dyDescent="0.35">
      <c r="A25" s="24" t="s">
        <v>276</v>
      </c>
      <c r="B25" s="31" t="str">
        <f>IFERROR(VLOOKUP(A25,Clientes_PDV!$A$2:$J$250,2,FALSE),"")</f>
        <v>Tres Toques</v>
      </c>
      <c r="C25" s="31" t="str">
        <f>IFERROR(VLOOKUP(A25,Clientes_PDV!$A$2:$J$250,3,FALSE),"")</f>
        <v>HORECA</v>
      </c>
      <c r="D25" s="31" t="str">
        <f>IFERROR(VLOOKUP(A25,Clientes_PDV!$A$2:$J$250,4,FALSE),"")</f>
        <v>Tres Toques Vitacura</v>
      </c>
      <c r="E25" s="24" t="s">
        <v>375</v>
      </c>
      <c r="F25" s="31" t="str">
        <f>IFERROR(VLOOKUP(E25,Maestro_SKU!$A$2:$P$500,2,FALSE),"")</f>
        <v>Estuche Berry Mix 4 unidades</v>
      </c>
      <c r="G25" s="29">
        <v>30</v>
      </c>
      <c r="H25" s="32">
        <f>IF(OR(G25="",E25=""),"",G25*IFERROR(VLOOKUP(E25,Maestro_SKU!$A$2:$P$500,12,FALSE),1))</f>
        <v>120</v>
      </c>
      <c r="I25" s="25">
        <v>46207</v>
      </c>
      <c r="J25" s="31" t="str">
        <f>IF(A25="","",IF(H25&lt;=Inicio!$B$16,"Crítico",IF(H25&lt;=Inicio!$B$17,"Observar","OK")))</f>
        <v>OK</v>
      </c>
      <c r="K25" s="24"/>
    </row>
    <row r="26" spans="1:11" ht="20" customHeight="1" x14ac:dyDescent="0.35">
      <c r="A26" s="24" t="s">
        <v>276</v>
      </c>
      <c r="B26" s="31" t="str">
        <f>IFERROR(VLOOKUP(A26,Clientes_PDV!$A$2:$J$250,2,FALSE),"")</f>
        <v>Tres Toques</v>
      </c>
      <c r="C26" s="31" t="str">
        <f>IFERROR(VLOOKUP(A26,Clientes_PDV!$A$2:$J$250,3,FALSE),"")</f>
        <v>HORECA</v>
      </c>
      <c r="D26" s="31" t="str">
        <f>IFERROR(VLOOKUP(A26,Clientes_PDV!$A$2:$J$250,4,FALSE),"")</f>
        <v>Tres Toques Vitacura</v>
      </c>
      <c r="E26" s="24" t="s">
        <v>312</v>
      </c>
      <c r="F26" s="31" t="str">
        <f>IFERROR(VLOOKUP(E26,Maestro_SKU!$A$2:$P$500,2,FALSE),"")</f>
        <v>Estuche Peanut Boost 4 unidades</v>
      </c>
      <c r="G26" s="29">
        <v>20</v>
      </c>
      <c r="H26" s="32">
        <f>IF(OR(G26="",E26=""),"",G26*IFERROR(VLOOKUP(E26,Maestro_SKU!$A$2:$P$500,12,FALSE),1))</f>
        <v>80</v>
      </c>
      <c r="I26" s="25">
        <v>46202</v>
      </c>
      <c r="J26" s="31" t="str">
        <f>IF(A26="","",IF(H26&lt;=Inicio!$B$16,"Crítico",IF(H26&lt;=Inicio!$B$17,"Observar","OK")))</f>
        <v>OK</v>
      </c>
      <c r="K26" s="24"/>
    </row>
    <row r="27" spans="1:11" ht="20" customHeight="1" x14ac:dyDescent="0.35">
      <c r="A27" s="24" t="s">
        <v>276</v>
      </c>
      <c r="B27" s="31" t="str">
        <f>IFERROR(VLOOKUP(A27,Clientes_PDV!$A$2:$J$250,2,FALSE),"")</f>
        <v>Tres Toques</v>
      </c>
      <c r="C27" s="31" t="str">
        <f>IFERROR(VLOOKUP(A27,Clientes_PDV!$A$2:$J$250,3,FALSE),"")</f>
        <v>HORECA</v>
      </c>
      <c r="D27" s="31" t="str">
        <f>IFERROR(VLOOKUP(A27,Clientes_PDV!$A$2:$J$250,4,FALSE),"")</f>
        <v>Tres Toques Vitacura</v>
      </c>
      <c r="E27" s="24" t="s">
        <v>309</v>
      </c>
      <c r="F27" s="31" t="str">
        <f>IFERROR(VLOOKUP(E27,Maestro_SKU!$A$2:$P$500,2,FALSE),"")</f>
        <v>Estuche Cacao Crispy 4 unidades</v>
      </c>
      <c r="G27" s="29">
        <v>0</v>
      </c>
      <c r="H27" s="32">
        <f>IF(OR(G27="",E27=""),"",G27*IFERROR(VLOOKUP(E27,Maestro_SKU!$A$2:$P$500,12,FALSE),1))</f>
        <v>0</v>
      </c>
      <c r="I27" s="25">
        <v>46206</v>
      </c>
      <c r="J27" s="31" t="str">
        <f>IF(A27="","",IF(H27&lt;=Inicio!$B$16,"Crítico",IF(H27&lt;=Inicio!$B$17,"Observar","OK")))</f>
        <v>Crítico</v>
      </c>
      <c r="K27" s="24"/>
    </row>
    <row r="28" spans="1:11" ht="20" customHeight="1" x14ac:dyDescent="0.35">
      <c r="A28" s="24" t="s">
        <v>279</v>
      </c>
      <c r="B28" s="31" t="str">
        <f>IFERROR(VLOOKUP(A28,Clientes_PDV!$A$2:$J$250,2,FALSE),"")</f>
        <v>Mundo del Vino</v>
      </c>
      <c r="C28" s="31" t="str">
        <f>IFERROR(VLOOKUP(A28,Clientes_PDV!$A$2:$J$250,3,FALSE),"")</f>
        <v>Especializadas</v>
      </c>
      <c r="D28" s="31" t="str">
        <f>IFERROR(VLOOKUP(A28,Clientes_PDV!$A$2:$J$250,4,FALSE),"")</f>
        <v>Mundo del Vino Escuela Militar</v>
      </c>
      <c r="E28" s="24" t="s">
        <v>375</v>
      </c>
      <c r="F28" s="31" t="str">
        <f>IFERROR(VLOOKUP(E28,Maestro_SKU!$A$2:$P$500,2,FALSE),"")</f>
        <v>Estuche Berry Mix 4 unidades</v>
      </c>
      <c r="G28" s="29">
        <v>30</v>
      </c>
      <c r="H28" s="32">
        <f>IF(OR(G28="",E28=""),"",G28*IFERROR(VLOOKUP(E28,Maestro_SKU!$A$2:$P$500,12,FALSE),1))</f>
        <v>120</v>
      </c>
      <c r="I28" s="25">
        <v>46206</v>
      </c>
      <c r="J28" s="31" t="str">
        <f>IF(A28="","",IF(H28&lt;=Inicio!$B$16,"Crítico",IF(H28&lt;=Inicio!$B$17,"Observar","OK")))</f>
        <v>OK</v>
      </c>
      <c r="K28" s="24"/>
    </row>
    <row r="29" spans="1:11" ht="20" customHeight="1" x14ac:dyDescent="0.35">
      <c r="A29" s="24" t="s">
        <v>279</v>
      </c>
      <c r="B29" s="31" t="str">
        <f>IFERROR(VLOOKUP(A29,Clientes_PDV!$A$2:$J$250,2,FALSE),"")</f>
        <v>Mundo del Vino</v>
      </c>
      <c r="C29" s="31" t="str">
        <f>IFERROR(VLOOKUP(A29,Clientes_PDV!$A$2:$J$250,3,FALSE),"")</f>
        <v>Especializadas</v>
      </c>
      <c r="D29" s="31" t="str">
        <f>IFERROR(VLOOKUP(A29,Clientes_PDV!$A$2:$J$250,4,FALSE),"")</f>
        <v>Mundo del Vino Escuela Militar</v>
      </c>
      <c r="E29" s="24" t="s">
        <v>309</v>
      </c>
      <c r="F29" s="31" t="str">
        <f>IFERROR(VLOOKUP(E29,Maestro_SKU!$A$2:$P$500,2,FALSE),"")</f>
        <v>Estuche Cacao Crispy 4 unidades</v>
      </c>
      <c r="G29" s="29">
        <v>5</v>
      </c>
      <c r="H29" s="32">
        <f>IF(OR(G29="",E29=""),"",G29*IFERROR(VLOOKUP(E29,Maestro_SKU!$A$2:$P$500,12,FALSE),1))</f>
        <v>20</v>
      </c>
      <c r="I29" s="25">
        <v>46198</v>
      </c>
      <c r="J29" s="31" t="str">
        <f>IF(A29="","",IF(H29&lt;=Inicio!$B$16,"Crítico",IF(H29&lt;=Inicio!$B$17,"Observar","OK")))</f>
        <v>Observar</v>
      </c>
      <c r="K29" s="24"/>
    </row>
    <row r="30" spans="1:11" ht="20" customHeight="1" x14ac:dyDescent="0.35">
      <c r="A30" s="24"/>
      <c r="B30" s="31" t="str">
        <f>IFERROR(VLOOKUP(A30,Clientes_PDV!$A$2:$J$250,2,FALSE),"")</f>
        <v/>
      </c>
      <c r="C30" s="31" t="str">
        <f>IFERROR(VLOOKUP(A30,Clientes_PDV!$A$2:$J$250,3,FALSE),"")</f>
        <v/>
      </c>
      <c r="D30" s="31" t="str">
        <f>IFERROR(VLOOKUP(A30,Clientes_PDV!$A$2:$J$250,4,FALSE),"")</f>
        <v/>
      </c>
      <c r="E30" s="24"/>
      <c r="F30" s="31" t="str">
        <f>IFERROR(VLOOKUP(E30,Maestro_SKU!$A$2:$P$500,2,FALSE),"")</f>
        <v/>
      </c>
      <c r="G30" s="29"/>
      <c r="H30" s="32" t="str">
        <f>IF(OR(G30="",E30=""),"",G30*IFERROR(VLOOKUP(E30,Maestro_SKU!$A$2:$P$500,12,FALSE),1))</f>
        <v/>
      </c>
      <c r="I30" s="25"/>
      <c r="J30" s="31" t="str">
        <f>IF(A30="","",IF(H30&lt;=Inicio!$B$16,"Crítico",IF(H30&lt;=Inicio!$B$17,"Observar","OK")))</f>
        <v/>
      </c>
      <c r="K30" s="24"/>
    </row>
    <row r="31" spans="1:11" ht="20" customHeight="1" x14ac:dyDescent="0.35">
      <c r="A31" s="24"/>
      <c r="B31" s="31" t="str">
        <f>IFERROR(VLOOKUP(A31,Clientes_PDV!$A$2:$J$250,2,FALSE),"")</f>
        <v/>
      </c>
      <c r="C31" s="31" t="str">
        <f>IFERROR(VLOOKUP(A31,Clientes_PDV!$A$2:$J$250,3,FALSE),"")</f>
        <v/>
      </c>
      <c r="D31" s="31" t="str">
        <f>IFERROR(VLOOKUP(A31,Clientes_PDV!$A$2:$J$250,4,FALSE),"")</f>
        <v/>
      </c>
      <c r="E31" s="24"/>
      <c r="F31" s="31" t="str">
        <f>IFERROR(VLOOKUP(E31,Maestro_SKU!$A$2:$P$500,2,FALSE),"")</f>
        <v/>
      </c>
      <c r="G31" s="29"/>
      <c r="H31" s="32" t="str">
        <f>IF(OR(G31="",E31=""),"",G31*IFERROR(VLOOKUP(E31,Maestro_SKU!$A$2:$P$500,12,FALSE),1))</f>
        <v/>
      </c>
      <c r="I31" s="25"/>
      <c r="J31" s="31" t="str">
        <f>IF(A31="","",IF(H31&lt;=Inicio!$B$16,"Crítico",IF(H31&lt;=Inicio!$B$17,"Observar","OK")))</f>
        <v/>
      </c>
      <c r="K31" s="24"/>
    </row>
    <row r="32" spans="1:11" ht="20" customHeight="1" x14ac:dyDescent="0.35">
      <c r="A32" s="24"/>
      <c r="B32" s="31" t="str">
        <f>IFERROR(VLOOKUP(A32,Clientes_PDV!$A$2:$J$250,2,FALSE),"")</f>
        <v/>
      </c>
      <c r="C32" s="31" t="str">
        <f>IFERROR(VLOOKUP(A32,Clientes_PDV!$A$2:$J$250,3,FALSE),"")</f>
        <v/>
      </c>
      <c r="D32" s="31" t="str">
        <f>IFERROR(VLOOKUP(A32,Clientes_PDV!$A$2:$J$250,4,FALSE),"")</f>
        <v/>
      </c>
      <c r="E32" s="24"/>
      <c r="F32" s="31" t="str">
        <f>IFERROR(VLOOKUP(E32,Maestro_SKU!$A$2:$P$500,2,FALSE),"")</f>
        <v/>
      </c>
      <c r="G32" s="29"/>
      <c r="H32" s="32" t="str">
        <f>IF(OR(G32="",E32=""),"",G32*IFERROR(VLOOKUP(E32,Maestro_SKU!$A$2:$P$500,12,FALSE),1))</f>
        <v/>
      </c>
      <c r="I32" s="25"/>
      <c r="J32" s="31" t="str">
        <f>IF(A32="","",IF(H32&lt;=Inicio!$B$16,"Crítico",IF(H32&lt;=Inicio!$B$17,"Observar","OK")))</f>
        <v/>
      </c>
      <c r="K32" s="24"/>
    </row>
    <row r="33" spans="1:11" ht="20" customHeight="1" x14ac:dyDescent="0.35">
      <c r="A33" s="24"/>
      <c r="B33" s="31" t="str">
        <f>IFERROR(VLOOKUP(A33,Clientes_PDV!$A$2:$J$250,2,FALSE),"")</f>
        <v/>
      </c>
      <c r="C33" s="31" t="str">
        <f>IFERROR(VLOOKUP(A33,Clientes_PDV!$A$2:$J$250,3,FALSE),"")</f>
        <v/>
      </c>
      <c r="D33" s="31" t="str">
        <f>IFERROR(VLOOKUP(A33,Clientes_PDV!$A$2:$J$250,4,FALSE),"")</f>
        <v/>
      </c>
      <c r="E33" s="24"/>
      <c r="F33" s="31" t="str">
        <f>IFERROR(VLOOKUP(E33,Maestro_SKU!$A$2:$P$500,2,FALSE),"")</f>
        <v/>
      </c>
      <c r="G33" s="29"/>
      <c r="H33" s="32" t="str">
        <f>IF(OR(G33="",E33=""),"",G33*IFERROR(VLOOKUP(E33,Maestro_SKU!$A$2:$P$500,12,FALSE),1))</f>
        <v/>
      </c>
      <c r="I33" s="25"/>
      <c r="J33" s="31" t="str">
        <f>IF(A33="","",IF(H33&lt;=Inicio!$B$16,"Crítico",IF(H33&lt;=Inicio!$B$17,"Observar","OK")))</f>
        <v/>
      </c>
      <c r="K33" s="24"/>
    </row>
    <row r="34" spans="1:11" ht="20" customHeight="1" x14ac:dyDescent="0.35">
      <c r="A34" s="24"/>
      <c r="B34" s="31" t="str">
        <f>IFERROR(VLOOKUP(A34,Clientes_PDV!$A$2:$J$250,2,FALSE),"")</f>
        <v/>
      </c>
      <c r="C34" s="31" t="str">
        <f>IFERROR(VLOOKUP(A34,Clientes_PDV!$A$2:$J$250,3,FALSE),"")</f>
        <v/>
      </c>
      <c r="D34" s="31" t="str">
        <f>IFERROR(VLOOKUP(A34,Clientes_PDV!$A$2:$J$250,4,FALSE),"")</f>
        <v/>
      </c>
      <c r="E34" s="24"/>
      <c r="F34" s="31" t="str">
        <f>IFERROR(VLOOKUP(E34,Maestro_SKU!$A$2:$P$500,2,FALSE),"")</f>
        <v/>
      </c>
      <c r="G34" s="29"/>
      <c r="H34" s="32" t="str">
        <f>IF(OR(G34="",E34=""),"",G34*IFERROR(VLOOKUP(E34,Maestro_SKU!$A$2:$P$500,12,FALSE),1))</f>
        <v/>
      </c>
      <c r="I34" s="25"/>
      <c r="J34" s="31" t="str">
        <f>IF(A34="","",IF(H34&lt;=Inicio!$B$16,"Crítico",IF(H34&lt;=Inicio!$B$17,"Observar","OK")))</f>
        <v/>
      </c>
      <c r="K34" s="24"/>
    </row>
    <row r="35" spans="1:11" ht="20" customHeight="1" x14ac:dyDescent="0.35">
      <c r="A35" s="24"/>
      <c r="B35" s="31" t="str">
        <f>IFERROR(VLOOKUP(A35,Clientes_PDV!$A$2:$J$250,2,FALSE),"")</f>
        <v/>
      </c>
      <c r="C35" s="31" t="str">
        <f>IFERROR(VLOOKUP(A35,Clientes_PDV!$A$2:$J$250,3,FALSE),"")</f>
        <v/>
      </c>
      <c r="D35" s="31" t="str">
        <f>IFERROR(VLOOKUP(A35,Clientes_PDV!$A$2:$J$250,4,FALSE),"")</f>
        <v/>
      </c>
      <c r="E35" s="24"/>
      <c r="F35" s="31" t="str">
        <f>IFERROR(VLOOKUP(E35,Maestro_SKU!$A$2:$P$500,2,FALSE),"")</f>
        <v/>
      </c>
      <c r="G35" s="29"/>
      <c r="H35" s="32" t="str">
        <f>IF(OR(G35="",E35=""),"",G35*IFERROR(VLOOKUP(E35,Maestro_SKU!$A$2:$P$500,12,FALSE),1))</f>
        <v/>
      </c>
      <c r="I35" s="25"/>
      <c r="J35" s="31" t="str">
        <f>IF(A35="","",IF(H35&lt;=Inicio!$B$16,"Crítico",IF(H35&lt;=Inicio!$B$17,"Observar","OK")))</f>
        <v/>
      </c>
      <c r="K35" s="24"/>
    </row>
    <row r="36" spans="1:11" ht="20" customHeight="1" x14ac:dyDescent="0.35">
      <c r="A36" s="24"/>
      <c r="B36" s="31" t="str">
        <f>IFERROR(VLOOKUP(A36,Clientes_PDV!$A$2:$J$250,2,FALSE),"")</f>
        <v/>
      </c>
      <c r="C36" s="31" t="str">
        <f>IFERROR(VLOOKUP(A36,Clientes_PDV!$A$2:$J$250,3,FALSE),"")</f>
        <v/>
      </c>
      <c r="D36" s="31" t="str">
        <f>IFERROR(VLOOKUP(A36,Clientes_PDV!$A$2:$J$250,4,FALSE),"")</f>
        <v/>
      </c>
      <c r="E36" s="24"/>
      <c r="F36" s="31" t="str">
        <f>IFERROR(VLOOKUP(E36,Maestro_SKU!$A$2:$P$500,2,FALSE),"")</f>
        <v/>
      </c>
      <c r="G36" s="29"/>
      <c r="H36" s="32" t="str">
        <f>IF(OR(G36="",E36=""),"",G36*IFERROR(VLOOKUP(E36,Maestro_SKU!$A$2:$P$500,12,FALSE),1))</f>
        <v/>
      </c>
      <c r="I36" s="25"/>
      <c r="J36" s="31" t="str">
        <f>IF(A36="","",IF(H36&lt;=Inicio!$B$16,"Crítico",IF(H36&lt;=Inicio!$B$17,"Observar","OK")))</f>
        <v/>
      </c>
      <c r="K36" s="24"/>
    </row>
    <row r="37" spans="1:11" ht="20" customHeight="1" x14ac:dyDescent="0.35">
      <c r="A37" s="24"/>
      <c r="B37" s="31" t="str">
        <f>IFERROR(VLOOKUP(A37,Clientes_PDV!$A$2:$J$250,2,FALSE),"")</f>
        <v/>
      </c>
      <c r="C37" s="31" t="str">
        <f>IFERROR(VLOOKUP(A37,Clientes_PDV!$A$2:$J$250,3,FALSE),"")</f>
        <v/>
      </c>
      <c r="D37" s="31" t="str">
        <f>IFERROR(VLOOKUP(A37,Clientes_PDV!$A$2:$J$250,4,FALSE),"")</f>
        <v/>
      </c>
      <c r="E37" s="24"/>
      <c r="F37" s="31" t="str">
        <f>IFERROR(VLOOKUP(E37,Maestro_SKU!$A$2:$P$500,2,FALSE),"")</f>
        <v/>
      </c>
      <c r="G37" s="29"/>
      <c r="H37" s="32" t="str">
        <f>IF(OR(G37="",E37=""),"",G37*IFERROR(VLOOKUP(E37,Maestro_SKU!$A$2:$P$500,12,FALSE),1))</f>
        <v/>
      </c>
      <c r="I37" s="25"/>
      <c r="J37" s="31" t="str">
        <f>IF(A37="","",IF(H37&lt;=Inicio!$B$16,"Crítico",IF(H37&lt;=Inicio!$B$17,"Observar","OK")))</f>
        <v/>
      </c>
      <c r="K37" s="24"/>
    </row>
    <row r="38" spans="1:11" ht="20" customHeight="1" x14ac:dyDescent="0.35">
      <c r="A38" s="24"/>
      <c r="B38" s="31" t="str">
        <f>IFERROR(VLOOKUP(A38,Clientes_PDV!$A$2:$J$250,2,FALSE),"")</f>
        <v/>
      </c>
      <c r="C38" s="31" t="str">
        <f>IFERROR(VLOOKUP(A38,Clientes_PDV!$A$2:$J$250,3,FALSE),"")</f>
        <v/>
      </c>
      <c r="D38" s="31" t="str">
        <f>IFERROR(VLOOKUP(A38,Clientes_PDV!$A$2:$J$250,4,FALSE),"")</f>
        <v/>
      </c>
      <c r="E38" s="24"/>
      <c r="F38" s="31" t="str">
        <f>IFERROR(VLOOKUP(E38,Maestro_SKU!$A$2:$P$500,2,FALSE),"")</f>
        <v/>
      </c>
      <c r="G38" s="29"/>
      <c r="H38" s="32" t="str">
        <f>IF(OR(G38="",E38=""),"",G38*IFERROR(VLOOKUP(E38,Maestro_SKU!$A$2:$P$500,12,FALSE),1))</f>
        <v/>
      </c>
      <c r="I38" s="25"/>
      <c r="J38" s="31" t="str">
        <f>IF(A38="","",IF(H38&lt;=Inicio!$B$16,"Crítico",IF(H38&lt;=Inicio!$B$17,"Observar","OK")))</f>
        <v/>
      </c>
      <c r="K38" s="24"/>
    </row>
    <row r="39" spans="1:11" ht="20" customHeight="1" x14ac:dyDescent="0.35">
      <c r="A39" s="24"/>
      <c r="B39" s="31" t="str">
        <f>IFERROR(VLOOKUP(A39,Clientes_PDV!$A$2:$J$250,2,FALSE),"")</f>
        <v/>
      </c>
      <c r="C39" s="31" t="str">
        <f>IFERROR(VLOOKUP(A39,Clientes_PDV!$A$2:$J$250,3,FALSE),"")</f>
        <v/>
      </c>
      <c r="D39" s="31" t="str">
        <f>IFERROR(VLOOKUP(A39,Clientes_PDV!$A$2:$J$250,4,FALSE),"")</f>
        <v/>
      </c>
      <c r="E39" s="24"/>
      <c r="F39" s="31" t="str">
        <f>IFERROR(VLOOKUP(E39,Maestro_SKU!$A$2:$P$500,2,FALSE),"")</f>
        <v/>
      </c>
      <c r="G39" s="29"/>
      <c r="H39" s="32" t="str">
        <f>IF(OR(G39="",E39=""),"",G39*IFERROR(VLOOKUP(E39,Maestro_SKU!$A$2:$P$500,12,FALSE),1))</f>
        <v/>
      </c>
      <c r="I39" s="25"/>
      <c r="J39" s="31" t="str">
        <f>IF(A39="","",IF(H39&lt;=Inicio!$B$16,"Crítico",IF(H39&lt;=Inicio!$B$17,"Observar","OK")))</f>
        <v/>
      </c>
      <c r="K39" s="24"/>
    </row>
    <row r="40" spans="1:11" ht="20" customHeight="1" x14ac:dyDescent="0.35">
      <c r="A40" s="24"/>
      <c r="B40" s="31" t="str">
        <f>IFERROR(VLOOKUP(A40,Clientes_PDV!$A$2:$J$250,2,FALSE),"")</f>
        <v/>
      </c>
      <c r="C40" s="31" t="str">
        <f>IFERROR(VLOOKUP(A40,Clientes_PDV!$A$2:$J$250,3,FALSE),"")</f>
        <v/>
      </c>
      <c r="D40" s="31" t="str">
        <f>IFERROR(VLOOKUP(A40,Clientes_PDV!$A$2:$J$250,4,FALSE),"")</f>
        <v/>
      </c>
      <c r="E40" s="24"/>
      <c r="F40" s="31" t="str">
        <f>IFERROR(VLOOKUP(E40,Maestro_SKU!$A$2:$P$500,2,FALSE),"")</f>
        <v/>
      </c>
      <c r="G40" s="29"/>
      <c r="H40" s="32" t="str">
        <f>IF(OR(G40="",E40=""),"",G40*IFERROR(VLOOKUP(E40,Maestro_SKU!$A$2:$P$500,12,FALSE),1))</f>
        <v/>
      </c>
      <c r="I40" s="25"/>
      <c r="J40" s="31" t="str">
        <f>IF(A40="","",IF(H40&lt;=Inicio!$B$16,"Crítico",IF(H40&lt;=Inicio!$B$17,"Observar","OK")))</f>
        <v/>
      </c>
      <c r="K40" s="24"/>
    </row>
    <row r="41" spans="1:11" ht="20" customHeight="1" x14ac:dyDescent="0.35">
      <c r="A41" s="24"/>
      <c r="B41" s="31" t="str">
        <f>IFERROR(VLOOKUP(A41,Clientes_PDV!$A$2:$J$250,2,FALSE),"")</f>
        <v/>
      </c>
      <c r="C41" s="31" t="str">
        <f>IFERROR(VLOOKUP(A41,Clientes_PDV!$A$2:$J$250,3,FALSE),"")</f>
        <v/>
      </c>
      <c r="D41" s="31" t="str">
        <f>IFERROR(VLOOKUP(A41,Clientes_PDV!$A$2:$J$250,4,FALSE),"")</f>
        <v/>
      </c>
      <c r="E41" s="24"/>
      <c r="F41" s="31" t="str">
        <f>IFERROR(VLOOKUP(E41,Maestro_SKU!$A$2:$P$500,2,FALSE),"")</f>
        <v/>
      </c>
      <c r="G41" s="29"/>
      <c r="H41" s="32" t="str">
        <f>IF(OR(G41="",E41=""),"",G41*IFERROR(VLOOKUP(E41,Maestro_SKU!$A$2:$P$500,12,FALSE),1))</f>
        <v/>
      </c>
      <c r="I41" s="25"/>
      <c r="J41" s="31" t="str">
        <f>IF(A41="","",IF(H41&lt;=Inicio!$B$16,"Crítico",IF(H41&lt;=Inicio!$B$17,"Observar","OK")))</f>
        <v/>
      </c>
      <c r="K41" s="24"/>
    </row>
    <row r="42" spans="1:11" ht="20" customHeight="1" x14ac:dyDescent="0.35">
      <c r="A42" s="24"/>
      <c r="B42" s="31" t="str">
        <f>IFERROR(VLOOKUP(A42,Clientes_PDV!$A$2:$J$250,2,FALSE),"")</f>
        <v/>
      </c>
      <c r="C42" s="31" t="str">
        <f>IFERROR(VLOOKUP(A42,Clientes_PDV!$A$2:$J$250,3,FALSE),"")</f>
        <v/>
      </c>
      <c r="D42" s="31" t="str">
        <f>IFERROR(VLOOKUP(A42,Clientes_PDV!$A$2:$J$250,4,FALSE),"")</f>
        <v/>
      </c>
      <c r="E42" s="24"/>
      <c r="F42" s="31" t="str">
        <f>IFERROR(VLOOKUP(E42,Maestro_SKU!$A$2:$P$500,2,FALSE),"")</f>
        <v/>
      </c>
      <c r="G42" s="29"/>
      <c r="H42" s="32" t="str">
        <f>IF(OR(G42="",E42=""),"",G42*IFERROR(VLOOKUP(E42,Maestro_SKU!$A$2:$P$500,12,FALSE),1))</f>
        <v/>
      </c>
      <c r="I42" s="25"/>
      <c r="J42" s="31" t="str">
        <f>IF(A42="","",IF(H42&lt;=Inicio!$B$16,"Crítico",IF(H42&lt;=Inicio!$B$17,"Observar","OK")))</f>
        <v/>
      </c>
      <c r="K42" s="24"/>
    </row>
    <row r="43" spans="1:11" ht="20" customHeight="1" x14ac:dyDescent="0.35">
      <c r="A43" s="24"/>
      <c r="B43" s="31" t="str">
        <f>IFERROR(VLOOKUP(A43,Clientes_PDV!$A$2:$J$250,2,FALSE),"")</f>
        <v/>
      </c>
      <c r="C43" s="31" t="str">
        <f>IFERROR(VLOOKUP(A43,Clientes_PDV!$A$2:$J$250,3,FALSE),"")</f>
        <v/>
      </c>
      <c r="D43" s="31" t="str">
        <f>IFERROR(VLOOKUP(A43,Clientes_PDV!$A$2:$J$250,4,FALSE),"")</f>
        <v/>
      </c>
      <c r="E43" s="24"/>
      <c r="F43" s="31" t="str">
        <f>IFERROR(VLOOKUP(E43,Maestro_SKU!$A$2:$P$500,2,FALSE),"")</f>
        <v/>
      </c>
      <c r="G43" s="29"/>
      <c r="H43" s="32" t="str">
        <f>IF(OR(G43="",E43=""),"",G43*IFERROR(VLOOKUP(E43,Maestro_SKU!$A$2:$P$500,12,FALSE),1))</f>
        <v/>
      </c>
      <c r="I43" s="25"/>
      <c r="J43" s="31" t="str">
        <f>IF(A43="","",IF(H43&lt;=Inicio!$B$16,"Crítico",IF(H43&lt;=Inicio!$B$17,"Observar","OK")))</f>
        <v/>
      </c>
      <c r="K43" s="24"/>
    </row>
    <row r="44" spans="1:11" ht="20" customHeight="1" x14ac:dyDescent="0.35">
      <c r="A44" s="24"/>
      <c r="B44" s="31" t="str">
        <f>IFERROR(VLOOKUP(A44,Clientes_PDV!$A$2:$J$250,2,FALSE),"")</f>
        <v/>
      </c>
      <c r="C44" s="31" t="str">
        <f>IFERROR(VLOOKUP(A44,Clientes_PDV!$A$2:$J$250,3,FALSE),"")</f>
        <v/>
      </c>
      <c r="D44" s="31" t="str">
        <f>IFERROR(VLOOKUP(A44,Clientes_PDV!$A$2:$J$250,4,FALSE),"")</f>
        <v/>
      </c>
      <c r="E44" s="24"/>
      <c r="F44" s="31" t="str">
        <f>IFERROR(VLOOKUP(E44,Maestro_SKU!$A$2:$P$500,2,FALSE),"")</f>
        <v/>
      </c>
      <c r="G44" s="29"/>
      <c r="H44" s="32" t="str">
        <f>IF(OR(G44="",E44=""),"",G44*IFERROR(VLOOKUP(E44,Maestro_SKU!$A$2:$P$500,12,FALSE),1))</f>
        <v/>
      </c>
      <c r="I44" s="25"/>
      <c r="J44" s="31" t="str">
        <f>IF(A44="","",IF(H44&lt;=Inicio!$B$16,"Crítico",IF(H44&lt;=Inicio!$B$17,"Observar","OK")))</f>
        <v/>
      </c>
      <c r="K44" s="24"/>
    </row>
    <row r="45" spans="1:11" ht="20" customHeight="1" x14ac:dyDescent="0.35">
      <c r="A45" s="24"/>
      <c r="B45" s="31" t="str">
        <f>IFERROR(VLOOKUP(A45,Clientes_PDV!$A$2:$J$250,2,FALSE),"")</f>
        <v/>
      </c>
      <c r="C45" s="31" t="str">
        <f>IFERROR(VLOOKUP(A45,Clientes_PDV!$A$2:$J$250,3,FALSE),"")</f>
        <v/>
      </c>
      <c r="D45" s="31" t="str">
        <f>IFERROR(VLOOKUP(A45,Clientes_PDV!$A$2:$J$250,4,FALSE),"")</f>
        <v/>
      </c>
      <c r="E45" s="24"/>
      <c r="F45" s="31" t="str">
        <f>IFERROR(VLOOKUP(E45,Maestro_SKU!$A$2:$P$500,2,FALSE),"")</f>
        <v/>
      </c>
      <c r="G45" s="29"/>
      <c r="H45" s="32" t="str">
        <f>IF(OR(G45="",E45=""),"",G45*IFERROR(VLOOKUP(E45,Maestro_SKU!$A$2:$P$500,12,FALSE),1))</f>
        <v/>
      </c>
      <c r="I45" s="25"/>
      <c r="J45" s="31" t="str">
        <f>IF(A45="","",IF(H45&lt;=Inicio!$B$16,"Crítico",IF(H45&lt;=Inicio!$B$17,"Observar","OK")))</f>
        <v/>
      </c>
      <c r="K45" s="24"/>
    </row>
    <row r="46" spans="1:11" ht="20" customHeight="1" x14ac:dyDescent="0.35">
      <c r="A46" s="24"/>
      <c r="B46" s="31" t="str">
        <f>IFERROR(VLOOKUP(A46,Clientes_PDV!$A$2:$J$250,2,FALSE),"")</f>
        <v/>
      </c>
      <c r="C46" s="31" t="str">
        <f>IFERROR(VLOOKUP(A46,Clientes_PDV!$A$2:$J$250,3,FALSE),"")</f>
        <v/>
      </c>
      <c r="D46" s="31" t="str">
        <f>IFERROR(VLOOKUP(A46,Clientes_PDV!$A$2:$J$250,4,FALSE),"")</f>
        <v/>
      </c>
      <c r="E46" s="24"/>
      <c r="F46" s="31" t="str">
        <f>IFERROR(VLOOKUP(E46,Maestro_SKU!$A$2:$P$500,2,FALSE),"")</f>
        <v/>
      </c>
      <c r="G46" s="29"/>
      <c r="H46" s="32" t="str">
        <f>IF(OR(G46="",E46=""),"",G46*IFERROR(VLOOKUP(E46,Maestro_SKU!$A$2:$P$500,12,FALSE),1))</f>
        <v/>
      </c>
      <c r="I46" s="25"/>
      <c r="J46" s="31" t="str">
        <f>IF(A46="","",IF(H46&lt;=Inicio!$B$16,"Crítico",IF(H46&lt;=Inicio!$B$17,"Observar","OK")))</f>
        <v/>
      </c>
      <c r="K46" s="24"/>
    </row>
    <row r="47" spans="1:11" ht="20" customHeight="1" x14ac:dyDescent="0.35">
      <c r="A47" s="24"/>
      <c r="B47" s="31" t="str">
        <f>IFERROR(VLOOKUP(A47,Clientes_PDV!$A$2:$J$250,2,FALSE),"")</f>
        <v/>
      </c>
      <c r="C47" s="31" t="str">
        <f>IFERROR(VLOOKUP(A47,Clientes_PDV!$A$2:$J$250,3,FALSE),"")</f>
        <v/>
      </c>
      <c r="D47" s="31" t="str">
        <f>IFERROR(VLOOKUP(A47,Clientes_PDV!$A$2:$J$250,4,FALSE),"")</f>
        <v/>
      </c>
      <c r="E47" s="24"/>
      <c r="F47" s="31" t="str">
        <f>IFERROR(VLOOKUP(E47,Maestro_SKU!$A$2:$P$500,2,FALSE),"")</f>
        <v/>
      </c>
      <c r="G47" s="29"/>
      <c r="H47" s="32" t="str">
        <f>IF(OR(G47="",E47=""),"",G47*IFERROR(VLOOKUP(E47,Maestro_SKU!$A$2:$P$500,12,FALSE),1))</f>
        <v/>
      </c>
      <c r="I47" s="25"/>
      <c r="J47" s="31" t="str">
        <f>IF(A47="","",IF(H47&lt;=Inicio!$B$16,"Crítico",IF(H47&lt;=Inicio!$B$17,"Observar","OK")))</f>
        <v/>
      </c>
      <c r="K47" s="24"/>
    </row>
    <row r="48" spans="1:11" ht="20" customHeight="1" x14ac:dyDescent="0.35">
      <c r="A48" s="24"/>
      <c r="B48" s="31" t="str">
        <f>IFERROR(VLOOKUP(A48,Clientes_PDV!$A$2:$J$250,2,FALSE),"")</f>
        <v/>
      </c>
      <c r="C48" s="31" t="str">
        <f>IFERROR(VLOOKUP(A48,Clientes_PDV!$A$2:$J$250,3,FALSE),"")</f>
        <v/>
      </c>
      <c r="D48" s="31" t="str">
        <f>IFERROR(VLOOKUP(A48,Clientes_PDV!$A$2:$J$250,4,FALSE),"")</f>
        <v/>
      </c>
      <c r="E48" s="24"/>
      <c r="F48" s="31" t="str">
        <f>IFERROR(VLOOKUP(E48,Maestro_SKU!$A$2:$P$500,2,FALSE),"")</f>
        <v/>
      </c>
      <c r="G48" s="29"/>
      <c r="H48" s="32" t="str">
        <f>IF(OR(G48="",E48=""),"",G48*IFERROR(VLOOKUP(E48,Maestro_SKU!$A$2:$P$500,12,FALSE),1))</f>
        <v/>
      </c>
      <c r="I48" s="25"/>
      <c r="J48" s="31" t="str">
        <f>IF(A48="","",IF(H48&lt;=Inicio!$B$16,"Crítico",IF(H48&lt;=Inicio!$B$17,"Observar","OK")))</f>
        <v/>
      </c>
      <c r="K48" s="24"/>
    </row>
    <row r="49" spans="1:11" ht="20" customHeight="1" x14ac:dyDescent="0.35">
      <c r="A49" s="24"/>
      <c r="B49" s="31" t="str">
        <f>IFERROR(VLOOKUP(A49,Clientes_PDV!$A$2:$J$250,2,FALSE),"")</f>
        <v/>
      </c>
      <c r="C49" s="31" t="str">
        <f>IFERROR(VLOOKUP(A49,Clientes_PDV!$A$2:$J$250,3,FALSE),"")</f>
        <v/>
      </c>
      <c r="D49" s="31" t="str">
        <f>IFERROR(VLOOKUP(A49,Clientes_PDV!$A$2:$J$250,4,FALSE),"")</f>
        <v/>
      </c>
      <c r="E49" s="24"/>
      <c r="F49" s="31" t="str">
        <f>IFERROR(VLOOKUP(E49,Maestro_SKU!$A$2:$P$500,2,FALSE),"")</f>
        <v/>
      </c>
      <c r="G49" s="29"/>
      <c r="H49" s="32" t="str">
        <f>IF(OR(G49="",E49=""),"",G49*IFERROR(VLOOKUP(E49,Maestro_SKU!$A$2:$P$500,12,FALSE),1))</f>
        <v/>
      </c>
      <c r="I49" s="25"/>
      <c r="J49" s="31" t="str">
        <f>IF(A49="","",IF(H49&lt;=Inicio!$B$16,"Crítico",IF(H49&lt;=Inicio!$B$17,"Observar","OK")))</f>
        <v/>
      </c>
      <c r="K49" s="24"/>
    </row>
    <row r="50" spans="1:11" ht="20" customHeight="1" x14ac:dyDescent="0.35">
      <c r="A50" s="24"/>
      <c r="B50" s="31" t="str">
        <f>IFERROR(VLOOKUP(A50,Clientes_PDV!$A$2:$J$250,2,FALSE),"")</f>
        <v/>
      </c>
      <c r="C50" s="31" t="str">
        <f>IFERROR(VLOOKUP(A50,Clientes_PDV!$A$2:$J$250,3,FALSE),"")</f>
        <v/>
      </c>
      <c r="D50" s="31" t="str">
        <f>IFERROR(VLOOKUP(A50,Clientes_PDV!$A$2:$J$250,4,FALSE),"")</f>
        <v/>
      </c>
      <c r="E50" s="24"/>
      <c r="F50" s="31" t="str">
        <f>IFERROR(VLOOKUP(E50,Maestro_SKU!$A$2:$P$500,2,FALSE),"")</f>
        <v/>
      </c>
      <c r="G50" s="29"/>
      <c r="H50" s="32" t="str">
        <f>IF(OR(G50="",E50=""),"",G50*IFERROR(VLOOKUP(E50,Maestro_SKU!$A$2:$P$500,12,FALSE),1))</f>
        <v/>
      </c>
      <c r="I50" s="25"/>
      <c r="J50" s="31" t="str">
        <f>IF(A50="","",IF(H50&lt;=Inicio!$B$16,"Crítico",IF(H50&lt;=Inicio!$B$17,"Observar","OK")))</f>
        <v/>
      </c>
      <c r="K50" s="24"/>
    </row>
    <row r="51" spans="1:11" x14ac:dyDescent="0.35">
      <c r="A51" s="24"/>
      <c r="B51" s="31" t="str">
        <f>IFERROR(VLOOKUP(A51,Clientes_PDV!$A$2:$J$250,2,FALSE),"")</f>
        <v/>
      </c>
      <c r="C51" s="31" t="str">
        <f>IFERROR(VLOOKUP(A51,Clientes_PDV!$A$2:$J$250,3,FALSE),"")</f>
        <v/>
      </c>
      <c r="D51" s="31" t="str">
        <f>IFERROR(VLOOKUP(A51,Clientes_PDV!$A$2:$J$250,4,FALSE),"")</f>
        <v/>
      </c>
      <c r="E51" s="24"/>
      <c r="F51" s="31" t="str">
        <f>IFERROR(VLOOKUP(E51,Maestro_SKU!$A$2:$P$500,2,FALSE),"")</f>
        <v/>
      </c>
      <c r="G51" s="29"/>
      <c r="H51" s="32" t="str">
        <f>IF(OR(G51="",E51=""),"",G51*IFERROR(VLOOKUP(E51,Maestro_SKU!$A$2:$P$500,12,FALSE),1))</f>
        <v/>
      </c>
      <c r="I51" s="25"/>
      <c r="J51" s="31" t="str">
        <f>IF(A51="","",IF(H51&lt;=Inicio!$B$16,"Crítico",IF(H51&lt;=Inicio!$B$17,"Observar","OK")))</f>
        <v/>
      </c>
      <c r="K51" s="24"/>
    </row>
    <row r="52" spans="1:11" x14ac:dyDescent="0.35">
      <c r="A52" s="24"/>
      <c r="B52" s="31" t="str">
        <f>IFERROR(VLOOKUP(A52,Clientes_PDV!$A$2:$J$250,2,FALSE),"")</f>
        <v/>
      </c>
      <c r="C52" s="31" t="str">
        <f>IFERROR(VLOOKUP(A52,Clientes_PDV!$A$2:$J$250,3,FALSE),"")</f>
        <v/>
      </c>
      <c r="D52" s="31" t="str">
        <f>IFERROR(VLOOKUP(A52,Clientes_PDV!$A$2:$J$250,4,FALSE),"")</f>
        <v/>
      </c>
      <c r="E52" s="24"/>
      <c r="F52" s="31" t="str">
        <f>IFERROR(VLOOKUP(E52,Maestro_SKU!$A$2:$P$500,2,FALSE),"")</f>
        <v/>
      </c>
      <c r="G52" s="29"/>
      <c r="H52" s="32" t="str">
        <f>IF(OR(G52="",E52=""),"",G52*IFERROR(VLOOKUP(E52,Maestro_SKU!$A$2:$P$500,12,FALSE),1))</f>
        <v/>
      </c>
      <c r="I52" s="25"/>
      <c r="J52" s="31" t="str">
        <f>IF(A52="","",IF(H52&lt;=Inicio!$B$16,"Crítico",IF(H52&lt;=Inicio!$B$17,"Observar","OK")))</f>
        <v/>
      </c>
      <c r="K52" s="24"/>
    </row>
    <row r="53" spans="1:11" x14ac:dyDescent="0.35">
      <c r="A53" s="24"/>
      <c r="B53" s="31" t="str">
        <f>IFERROR(VLOOKUP(A53,Clientes_PDV!$A$2:$J$250,2,FALSE),"")</f>
        <v/>
      </c>
      <c r="C53" s="31" t="str">
        <f>IFERROR(VLOOKUP(A53,Clientes_PDV!$A$2:$J$250,3,FALSE),"")</f>
        <v/>
      </c>
      <c r="D53" s="31" t="str">
        <f>IFERROR(VLOOKUP(A53,Clientes_PDV!$A$2:$J$250,4,FALSE),"")</f>
        <v/>
      </c>
      <c r="E53" s="24"/>
      <c r="F53" s="31" t="str">
        <f>IFERROR(VLOOKUP(E53,Maestro_SKU!$A$2:$P$500,2,FALSE),"")</f>
        <v/>
      </c>
      <c r="G53" s="29"/>
      <c r="H53" s="32" t="str">
        <f>IF(OR(G53="",E53=""),"",G53*IFERROR(VLOOKUP(E53,Maestro_SKU!$A$2:$P$500,12,FALSE),1))</f>
        <v/>
      </c>
      <c r="I53" s="25"/>
      <c r="J53" s="31" t="str">
        <f>IF(A53="","",IF(H53&lt;=Inicio!$B$16,"Crítico",IF(H53&lt;=Inicio!$B$17,"Observar","OK")))</f>
        <v/>
      </c>
      <c r="K53" s="24"/>
    </row>
    <row r="54" spans="1:11" x14ac:dyDescent="0.35">
      <c r="A54" s="24"/>
      <c r="B54" s="31" t="str">
        <f>IFERROR(VLOOKUP(A54,Clientes_PDV!$A$2:$J$250,2,FALSE),"")</f>
        <v/>
      </c>
      <c r="C54" s="31" t="str">
        <f>IFERROR(VLOOKUP(A54,Clientes_PDV!$A$2:$J$250,3,FALSE),"")</f>
        <v/>
      </c>
      <c r="D54" s="31" t="str">
        <f>IFERROR(VLOOKUP(A54,Clientes_PDV!$A$2:$J$250,4,FALSE),"")</f>
        <v/>
      </c>
      <c r="E54" s="24"/>
      <c r="F54" s="31" t="str">
        <f>IFERROR(VLOOKUP(E54,Maestro_SKU!$A$2:$P$500,2,FALSE),"")</f>
        <v/>
      </c>
      <c r="G54" s="29"/>
      <c r="H54" s="32" t="str">
        <f>IF(OR(G54="",E54=""),"",G54*IFERROR(VLOOKUP(E54,Maestro_SKU!$A$2:$P$500,12,FALSE),1))</f>
        <v/>
      </c>
      <c r="I54" s="25"/>
      <c r="J54" s="31" t="str">
        <f>IF(A54="","",IF(H54&lt;=Inicio!$B$16,"Crítico",IF(H54&lt;=Inicio!$B$17,"Observar","OK")))</f>
        <v/>
      </c>
      <c r="K54" s="24"/>
    </row>
    <row r="55" spans="1:11" x14ac:dyDescent="0.35">
      <c r="A55" s="24"/>
      <c r="B55" s="31" t="str">
        <f>IFERROR(VLOOKUP(A55,Clientes_PDV!$A$2:$J$250,2,FALSE),"")</f>
        <v/>
      </c>
      <c r="C55" s="31" t="str">
        <f>IFERROR(VLOOKUP(A55,Clientes_PDV!$A$2:$J$250,3,FALSE),"")</f>
        <v/>
      </c>
      <c r="D55" s="31" t="str">
        <f>IFERROR(VLOOKUP(A55,Clientes_PDV!$A$2:$J$250,4,FALSE),"")</f>
        <v/>
      </c>
      <c r="E55" s="24"/>
      <c r="F55" s="31" t="str">
        <f>IFERROR(VLOOKUP(E55,Maestro_SKU!$A$2:$P$500,2,FALSE),"")</f>
        <v/>
      </c>
      <c r="G55" s="29"/>
      <c r="H55" s="32" t="str">
        <f>IF(OR(G55="",E55=""),"",G55*IFERROR(VLOOKUP(E55,Maestro_SKU!$A$2:$P$500,12,FALSE),1))</f>
        <v/>
      </c>
      <c r="I55" s="25"/>
      <c r="J55" s="31" t="str">
        <f>IF(A55="","",IF(H55&lt;=Inicio!$B$16,"Crítico",IF(H55&lt;=Inicio!$B$17,"Observar","OK")))</f>
        <v/>
      </c>
      <c r="K55" s="24"/>
    </row>
    <row r="56" spans="1:11" x14ac:dyDescent="0.35">
      <c r="A56" s="24"/>
      <c r="B56" s="31" t="str">
        <f>IFERROR(VLOOKUP(A56,Clientes_PDV!$A$2:$J$250,2,FALSE),"")</f>
        <v/>
      </c>
      <c r="C56" s="31" t="str">
        <f>IFERROR(VLOOKUP(A56,Clientes_PDV!$A$2:$J$250,3,FALSE),"")</f>
        <v/>
      </c>
      <c r="D56" s="31" t="str">
        <f>IFERROR(VLOOKUP(A56,Clientes_PDV!$A$2:$J$250,4,FALSE),"")</f>
        <v/>
      </c>
      <c r="E56" s="24"/>
      <c r="F56" s="31" t="str">
        <f>IFERROR(VLOOKUP(E56,Maestro_SKU!$A$2:$P$500,2,FALSE),"")</f>
        <v/>
      </c>
      <c r="G56" s="29"/>
      <c r="H56" s="32" t="str">
        <f>IF(OR(G56="",E56=""),"",G56*IFERROR(VLOOKUP(E56,Maestro_SKU!$A$2:$P$500,12,FALSE),1))</f>
        <v/>
      </c>
      <c r="I56" s="25"/>
      <c r="J56" s="31" t="str">
        <f>IF(A56="","",IF(H56&lt;=Inicio!$B$16,"Crítico",IF(H56&lt;=Inicio!$B$17,"Observar","OK")))</f>
        <v/>
      </c>
      <c r="K56" s="24"/>
    </row>
    <row r="57" spans="1:11" x14ac:dyDescent="0.35">
      <c r="A57" s="24"/>
      <c r="B57" s="31" t="str">
        <f>IFERROR(VLOOKUP(A57,Clientes_PDV!$A$2:$J$250,2,FALSE),"")</f>
        <v/>
      </c>
      <c r="C57" s="31" t="str">
        <f>IFERROR(VLOOKUP(A57,Clientes_PDV!$A$2:$J$250,3,FALSE),"")</f>
        <v/>
      </c>
      <c r="D57" s="31" t="str">
        <f>IFERROR(VLOOKUP(A57,Clientes_PDV!$A$2:$J$250,4,FALSE),"")</f>
        <v/>
      </c>
      <c r="E57" s="24"/>
      <c r="F57" s="31" t="str">
        <f>IFERROR(VLOOKUP(E57,Maestro_SKU!$A$2:$P$500,2,FALSE),"")</f>
        <v/>
      </c>
      <c r="G57" s="29"/>
      <c r="H57" s="32" t="str">
        <f>IF(OR(G57="",E57=""),"",G57*IFERROR(VLOOKUP(E57,Maestro_SKU!$A$2:$P$500,12,FALSE),1))</f>
        <v/>
      </c>
      <c r="I57" s="25"/>
      <c r="J57" s="31" t="str">
        <f>IF(A57="","",IF(H57&lt;=Inicio!$B$16,"Crítico",IF(H57&lt;=Inicio!$B$17,"Observar","OK")))</f>
        <v/>
      </c>
      <c r="K57" s="24"/>
    </row>
    <row r="58" spans="1:11" x14ac:dyDescent="0.35">
      <c r="A58" s="24"/>
      <c r="B58" s="31" t="str">
        <f>IFERROR(VLOOKUP(A58,Clientes_PDV!$A$2:$J$250,2,FALSE),"")</f>
        <v/>
      </c>
      <c r="C58" s="31" t="str">
        <f>IFERROR(VLOOKUP(A58,Clientes_PDV!$A$2:$J$250,3,FALSE),"")</f>
        <v/>
      </c>
      <c r="D58" s="31" t="str">
        <f>IFERROR(VLOOKUP(A58,Clientes_PDV!$A$2:$J$250,4,FALSE),"")</f>
        <v/>
      </c>
      <c r="E58" s="24"/>
      <c r="F58" s="31" t="str">
        <f>IFERROR(VLOOKUP(E58,Maestro_SKU!$A$2:$P$500,2,FALSE),"")</f>
        <v/>
      </c>
      <c r="G58" s="29"/>
      <c r="H58" s="32" t="str">
        <f>IF(OR(G58="",E58=""),"",G58*IFERROR(VLOOKUP(E58,Maestro_SKU!$A$2:$P$500,12,FALSE),1))</f>
        <v/>
      </c>
      <c r="I58" s="25"/>
      <c r="J58" s="31" t="str">
        <f>IF(A58="","",IF(H58&lt;=Inicio!$B$16,"Crítico",IF(H58&lt;=Inicio!$B$17,"Observar","OK")))</f>
        <v/>
      </c>
      <c r="K58" s="24"/>
    </row>
    <row r="59" spans="1:11" x14ac:dyDescent="0.35">
      <c r="A59" s="24"/>
      <c r="B59" s="31" t="str">
        <f>IFERROR(VLOOKUP(A59,Clientes_PDV!$A$2:$J$250,2,FALSE),"")</f>
        <v/>
      </c>
      <c r="C59" s="31" t="str">
        <f>IFERROR(VLOOKUP(A59,Clientes_PDV!$A$2:$J$250,3,FALSE),"")</f>
        <v/>
      </c>
      <c r="D59" s="31" t="str">
        <f>IFERROR(VLOOKUP(A59,Clientes_PDV!$A$2:$J$250,4,FALSE),"")</f>
        <v/>
      </c>
      <c r="E59" s="24"/>
      <c r="F59" s="31" t="str">
        <f>IFERROR(VLOOKUP(E59,Maestro_SKU!$A$2:$P$500,2,FALSE),"")</f>
        <v/>
      </c>
      <c r="G59" s="29"/>
      <c r="H59" s="32" t="str">
        <f>IF(OR(G59="",E59=""),"",G59*IFERROR(VLOOKUP(E59,Maestro_SKU!$A$2:$P$500,12,FALSE),1))</f>
        <v/>
      </c>
      <c r="I59" s="25"/>
      <c r="J59" s="31" t="str">
        <f>IF(A59="","",IF(H59&lt;=Inicio!$B$16,"Crítico",IF(H59&lt;=Inicio!$B$17,"Observar","OK")))</f>
        <v/>
      </c>
      <c r="K59" s="24"/>
    </row>
    <row r="60" spans="1:11" x14ac:dyDescent="0.35">
      <c r="A60" s="24"/>
      <c r="B60" s="31" t="str">
        <f>IFERROR(VLOOKUP(A60,Clientes_PDV!$A$2:$J$250,2,FALSE),"")</f>
        <v/>
      </c>
      <c r="C60" s="31" t="str">
        <f>IFERROR(VLOOKUP(A60,Clientes_PDV!$A$2:$J$250,3,FALSE),"")</f>
        <v/>
      </c>
      <c r="D60" s="31" t="str">
        <f>IFERROR(VLOOKUP(A60,Clientes_PDV!$A$2:$J$250,4,FALSE),"")</f>
        <v/>
      </c>
      <c r="E60" s="24"/>
      <c r="F60" s="31" t="str">
        <f>IFERROR(VLOOKUP(E60,Maestro_SKU!$A$2:$P$500,2,FALSE),"")</f>
        <v/>
      </c>
      <c r="G60" s="29"/>
      <c r="H60" s="32" t="str">
        <f>IF(OR(G60="",E60=""),"",G60*IFERROR(VLOOKUP(E60,Maestro_SKU!$A$2:$P$500,12,FALSE),1))</f>
        <v/>
      </c>
      <c r="I60" s="25"/>
      <c r="J60" s="31" t="str">
        <f>IF(A60="","",IF(H60&lt;=Inicio!$B$16,"Crítico",IF(H60&lt;=Inicio!$B$17,"Observar","OK")))</f>
        <v/>
      </c>
      <c r="K60" s="24"/>
    </row>
    <row r="61" spans="1:11" x14ac:dyDescent="0.35">
      <c r="A61" s="24"/>
      <c r="B61" s="31" t="str">
        <f>IFERROR(VLOOKUP(A61,Clientes_PDV!$A$2:$J$250,2,FALSE),"")</f>
        <v/>
      </c>
      <c r="C61" s="31" t="str">
        <f>IFERROR(VLOOKUP(A61,Clientes_PDV!$A$2:$J$250,3,FALSE),"")</f>
        <v/>
      </c>
      <c r="D61" s="31" t="str">
        <f>IFERROR(VLOOKUP(A61,Clientes_PDV!$A$2:$J$250,4,FALSE),"")</f>
        <v/>
      </c>
      <c r="E61" s="24"/>
      <c r="F61" s="31" t="str">
        <f>IFERROR(VLOOKUP(E61,Maestro_SKU!$A$2:$P$500,2,FALSE),"")</f>
        <v/>
      </c>
      <c r="G61" s="29"/>
      <c r="H61" s="32" t="str">
        <f>IF(OR(G61="",E61=""),"",G61*IFERROR(VLOOKUP(E61,Maestro_SKU!$A$2:$P$500,12,FALSE),1))</f>
        <v/>
      </c>
      <c r="I61" s="25"/>
      <c r="J61" s="31" t="str">
        <f>IF(A61="","",IF(H61&lt;=Inicio!$B$16,"Crítico",IF(H61&lt;=Inicio!$B$17,"Observar","OK")))</f>
        <v/>
      </c>
      <c r="K61" s="24"/>
    </row>
    <row r="62" spans="1:11" x14ac:dyDescent="0.35">
      <c r="A62" s="24"/>
      <c r="B62" s="31" t="str">
        <f>IFERROR(VLOOKUP(A62,Clientes_PDV!$A$2:$J$250,2,FALSE),"")</f>
        <v/>
      </c>
      <c r="C62" s="31" t="str">
        <f>IFERROR(VLOOKUP(A62,Clientes_PDV!$A$2:$J$250,3,FALSE),"")</f>
        <v/>
      </c>
      <c r="D62" s="31" t="str">
        <f>IFERROR(VLOOKUP(A62,Clientes_PDV!$A$2:$J$250,4,FALSE),"")</f>
        <v/>
      </c>
      <c r="E62" s="24"/>
      <c r="F62" s="31" t="str">
        <f>IFERROR(VLOOKUP(E62,Maestro_SKU!$A$2:$P$500,2,FALSE),"")</f>
        <v/>
      </c>
      <c r="G62" s="29"/>
      <c r="H62" s="32" t="str">
        <f>IF(OR(G62="",E62=""),"",G62*IFERROR(VLOOKUP(E62,Maestro_SKU!$A$2:$P$500,12,FALSE),1))</f>
        <v/>
      </c>
      <c r="I62" s="25"/>
      <c r="J62" s="31" t="str">
        <f>IF(A62="","",IF(H62&lt;=Inicio!$B$16,"Crítico",IF(H62&lt;=Inicio!$B$17,"Observar","OK")))</f>
        <v/>
      </c>
      <c r="K62" s="24"/>
    </row>
    <row r="63" spans="1:11" x14ac:dyDescent="0.35">
      <c r="A63" s="24"/>
      <c r="B63" s="31" t="str">
        <f>IFERROR(VLOOKUP(A63,Clientes_PDV!$A$2:$J$250,2,FALSE),"")</f>
        <v/>
      </c>
      <c r="C63" s="31" t="str">
        <f>IFERROR(VLOOKUP(A63,Clientes_PDV!$A$2:$J$250,3,FALSE),"")</f>
        <v/>
      </c>
      <c r="D63" s="31" t="str">
        <f>IFERROR(VLOOKUP(A63,Clientes_PDV!$A$2:$J$250,4,FALSE),"")</f>
        <v/>
      </c>
      <c r="E63" s="24"/>
      <c r="F63" s="31" t="str">
        <f>IFERROR(VLOOKUP(E63,Maestro_SKU!$A$2:$P$500,2,FALSE),"")</f>
        <v/>
      </c>
      <c r="G63" s="29"/>
      <c r="H63" s="32" t="str">
        <f>IF(OR(G63="",E63=""),"",G63*IFERROR(VLOOKUP(E63,Maestro_SKU!$A$2:$P$500,12,FALSE),1))</f>
        <v/>
      </c>
      <c r="I63" s="25"/>
      <c r="J63" s="31" t="str">
        <f>IF(A63="","",IF(H63&lt;=Inicio!$B$16,"Crítico",IF(H63&lt;=Inicio!$B$17,"Observar","OK")))</f>
        <v/>
      </c>
      <c r="K63" s="24"/>
    </row>
    <row r="64" spans="1:11" x14ac:dyDescent="0.35">
      <c r="A64" s="24"/>
      <c r="B64" s="31" t="str">
        <f>IFERROR(VLOOKUP(A64,Clientes_PDV!$A$2:$J$250,2,FALSE),"")</f>
        <v/>
      </c>
      <c r="C64" s="31" t="str">
        <f>IFERROR(VLOOKUP(A64,Clientes_PDV!$A$2:$J$250,3,FALSE),"")</f>
        <v/>
      </c>
      <c r="D64" s="31" t="str">
        <f>IFERROR(VLOOKUP(A64,Clientes_PDV!$A$2:$J$250,4,FALSE),"")</f>
        <v/>
      </c>
      <c r="E64" s="24"/>
      <c r="F64" s="31" t="str">
        <f>IFERROR(VLOOKUP(E64,Maestro_SKU!$A$2:$P$500,2,FALSE),"")</f>
        <v/>
      </c>
      <c r="G64" s="29"/>
      <c r="H64" s="32" t="str">
        <f>IF(OR(G64="",E64=""),"",G64*IFERROR(VLOOKUP(E64,Maestro_SKU!$A$2:$P$500,12,FALSE),1))</f>
        <v/>
      </c>
      <c r="I64" s="25"/>
      <c r="J64" s="31" t="str">
        <f>IF(A64="","",IF(H64&lt;=Inicio!$B$16,"Crítico",IF(H64&lt;=Inicio!$B$17,"Observar","OK")))</f>
        <v/>
      </c>
      <c r="K64" s="24"/>
    </row>
    <row r="65" spans="1:11" x14ac:dyDescent="0.35">
      <c r="A65" s="24"/>
      <c r="B65" s="31" t="str">
        <f>IFERROR(VLOOKUP(A65,Clientes_PDV!$A$2:$J$250,2,FALSE),"")</f>
        <v/>
      </c>
      <c r="C65" s="31" t="str">
        <f>IFERROR(VLOOKUP(A65,Clientes_PDV!$A$2:$J$250,3,FALSE),"")</f>
        <v/>
      </c>
      <c r="D65" s="31" t="str">
        <f>IFERROR(VLOOKUP(A65,Clientes_PDV!$A$2:$J$250,4,FALSE),"")</f>
        <v/>
      </c>
      <c r="E65" s="24"/>
      <c r="F65" s="31" t="str">
        <f>IFERROR(VLOOKUP(E65,Maestro_SKU!$A$2:$P$500,2,FALSE),"")</f>
        <v/>
      </c>
      <c r="G65" s="29"/>
      <c r="H65" s="32" t="str">
        <f>IF(OR(G65="",E65=""),"",G65*IFERROR(VLOOKUP(E65,Maestro_SKU!$A$2:$P$500,12,FALSE),1))</f>
        <v/>
      </c>
      <c r="I65" s="25"/>
      <c r="J65" s="31" t="str">
        <f>IF(A65="","",IF(H65&lt;=Inicio!$B$16,"Crítico",IF(H65&lt;=Inicio!$B$17,"Observar","OK")))</f>
        <v/>
      </c>
      <c r="K65" s="24"/>
    </row>
    <row r="66" spans="1:11" x14ac:dyDescent="0.35">
      <c r="A66" s="24"/>
      <c r="B66" s="31" t="str">
        <f>IFERROR(VLOOKUP(A66,Clientes_PDV!$A$2:$J$250,2,FALSE),"")</f>
        <v/>
      </c>
      <c r="C66" s="31" t="str">
        <f>IFERROR(VLOOKUP(A66,Clientes_PDV!$A$2:$J$250,3,FALSE),"")</f>
        <v/>
      </c>
      <c r="D66" s="31" t="str">
        <f>IFERROR(VLOOKUP(A66,Clientes_PDV!$A$2:$J$250,4,FALSE),"")</f>
        <v/>
      </c>
      <c r="E66" s="24"/>
      <c r="F66" s="31" t="str">
        <f>IFERROR(VLOOKUP(E66,Maestro_SKU!$A$2:$P$500,2,FALSE),"")</f>
        <v/>
      </c>
      <c r="G66" s="29"/>
      <c r="H66" s="32" t="str">
        <f>IF(OR(G66="",E66=""),"",G66*IFERROR(VLOOKUP(E66,Maestro_SKU!$A$2:$P$500,12,FALSE),1))</f>
        <v/>
      </c>
      <c r="I66" s="25"/>
      <c r="J66" s="31" t="str">
        <f>IF(A66="","",IF(H66&lt;=Inicio!$B$16,"Crítico",IF(H66&lt;=Inicio!$B$17,"Observar","OK")))</f>
        <v/>
      </c>
      <c r="K66" s="24"/>
    </row>
    <row r="67" spans="1:11" x14ac:dyDescent="0.35">
      <c r="A67" s="24"/>
      <c r="B67" s="31" t="str">
        <f>IFERROR(VLOOKUP(A67,Clientes_PDV!$A$2:$J$250,2,FALSE),"")</f>
        <v/>
      </c>
      <c r="C67" s="31" t="str">
        <f>IFERROR(VLOOKUP(A67,Clientes_PDV!$A$2:$J$250,3,FALSE),"")</f>
        <v/>
      </c>
      <c r="D67" s="31" t="str">
        <f>IFERROR(VLOOKUP(A67,Clientes_PDV!$A$2:$J$250,4,FALSE),"")</f>
        <v/>
      </c>
      <c r="E67" s="24"/>
      <c r="F67" s="31" t="str">
        <f>IFERROR(VLOOKUP(E67,Maestro_SKU!$A$2:$P$500,2,FALSE),"")</f>
        <v/>
      </c>
      <c r="G67" s="29"/>
      <c r="H67" s="32" t="str">
        <f>IF(OR(G67="",E67=""),"",G67*IFERROR(VLOOKUP(E67,Maestro_SKU!$A$2:$P$500,12,FALSE),1))</f>
        <v/>
      </c>
      <c r="I67" s="25"/>
      <c r="J67" s="31" t="str">
        <f>IF(A67="","",IF(H67&lt;=Inicio!$B$16,"Crítico",IF(H67&lt;=Inicio!$B$17,"Observar","OK")))</f>
        <v/>
      </c>
      <c r="K67" s="24"/>
    </row>
    <row r="68" spans="1:11" x14ac:dyDescent="0.35">
      <c r="A68" s="24"/>
      <c r="B68" s="31" t="str">
        <f>IFERROR(VLOOKUP(A68,Clientes_PDV!$A$2:$J$250,2,FALSE),"")</f>
        <v/>
      </c>
      <c r="C68" s="31" t="str">
        <f>IFERROR(VLOOKUP(A68,Clientes_PDV!$A$2:$J$250,3,FALSE),"")</f>
        <v/>
      </c>
      <c r="D68" s="31" t="str">
        <f>IFERROR(VLOOKUP(A68,Clientes_PDV!$A$2:$J$250,4,FALSE),"")</f>
        <v/>
      </c>
      <c r="E68" s="24"/>
      <c r="F68" s="31" t="str">
        <f>IFERROR(VLOOKUP(E68,Maestro_SKU!$A$2:$P$500,2,FALSE),"")</f>
        <v/>
      </c>
      <c r="G68" s="29"/>
      <c r="H68" s="32" t="str">
        <f>IF(OR(G68="",E68=""),"",G68*IFERROR(VLOOKUP(E68,Maestro_SKU!$A$2:$P$500,12,FALSE),1))</f>
        <v/>
      </c>
      <c r="I68" s="25"/>
      <c r="J68" s="31" t="str">
        <f>IF(A68="","",IF(H68&lt;=Inicio!$B$16,"Crítico",IF(H68&lt;=Inicio!$B$17,"Observar","OK")))</f>
        <v/>
      </c>
      <c r="K68" s="24"/>
    </row>
    <row r="69" spans="1:11" x14ac:dyDescent="0.35">
      <c r="A69" s="24"/>
      <c r="B69" s="31" t="str">
        <f>IFERROR(VLOOKUP(A69,Clientes_PDV!$A$2:$J$250,2,FALSE),"")</f>
        <v/>
      </c>
      <c r="C69" s="31" t="str">
        <f>IFERROR(VLOOKUP(A69,Clientes_PDV!$A$2:$J$250,3,FALSE),"")</f>
        <v/>
      </c>
      <c r="D69" s="31" t="str">
        <f>IFERROR(VLOOKUP(A69,Clientes_PDV!$A$2:$J$250,4,FALSE),"")</f>
        <v/>
      </c>
      <c r="E69" s="24"/>
      <c r="F69" s="31" t="str">
        <f>IFERROR(VLOOKUP(E69,Maestro_SKU!$A$2:$P$500,2,FALSE),"")</f>
        <v/>
      </c>
      <c r="G69" s="29"/>
      <c r="H69" s="32" t="str">
        <f>IF(OR(G69="",E69=""),"",G69*IFERROR(VLOOKUP(E69,Maestro_SKU!$A$2:$P$500,12,FALSE),1))</f>
        <v/>
      </c>
      <c r="I69" s="25"/>
      <c r="J69" s="31" t="str">
        <f>IF(A69="","",IF(H69&lt;=Inicio!$B$16,"Crítico",IF(H69&lt;=Inicio!$B$17,"Observar","OK")))</f>
        <v/>
      </c>
      <c r="K69" s="24"/>
    </row>
    <row r="70" spans="1:11" x14ac:dyDescent="0.35">
      <c r="A70" s="24"/>
      <c r="B70" s="31" t="str">
        <f>IFERROR(VLOOKUP(A70,Clientes_PDV!$A$2:$J$250,2,FALSE),"")</f>
        <v/>
      </c>
      <c r="C70" s="31" t="str">
        <f>IFERROR(VLOOKUP(A70,Clientes_PDV!$A$2:$J$250,3,FALSE),"")</f>
        <v/>
      </c>
      <c r="D70" s="31" t="str">
        <f>IFERROR(VLOOKUP(A70,Clientes_PDV!$A$2:$J$250,4,FALSE),"")</f>
        <v/>
      </c>
      <c r="E70" s="24"/>
      <c r="F70" s="31" t="str">
        <f>IFERROR(VLOOKUP(E70,Maestro_SKU!$A$2:$P$500,2,FALSE),"")</f>
        <v/>
      </c>
      <c r="G70" s="29"/>
      <c r="H70" s="32" t="str">
        <f>IF(OR(G70="",E70=""),"",G70*IFERROR(VLOOKUP(E70,Maestro_SKU!$A$2:$P$500,12,FALSE),1))</f>
        <v/>
      </c>
      <c r="I70" s="25"/>
      <c r="J70" s="31" t="str">
        <f>IF(A70="","",IF(H70&lt;=Inicio!$B$16,"Crítico",IF(H70&lt;=Inicio!$B$17,"Observar","OK")))</f>
        <v/>
      </c>
      <c r="K70" s="24"/>
    </row>
    <row r="71" spans="1:11" x14ac:dyDescent="0.35">
      <c r="A71" s="24"/>
      <c r="B71" s="31" t="str">
        <f>IFERROR(VLOOKUP(A71,Clientes_PDV!$A$2:$J$250,2,FALSE),"")</f>
        <v/>
      </c>
      <c r="C71" s="31" t="str">
        <f>IFERROR(VLOOKUP(A71,Clientes_PDV!$A$2:$J$250,3,FALSE),"")</f>
        <v/>
      </c>
      <c r="D71" s="31" t="str">
        <f>IFERROR(VLOOKUP(A71,Clientes_PDV!$A$2:$J$250,4,FALSE),"")</f>
        <v/>
      </c>
      <c r="E71" s="24"/>
      <c r="F71" s="31" t="str">
        <f>IFERROR(VLOOKUP(E71,Maestro_SKU!$A$2:$P$500,2,FALSE),"")</f>
        <v/>
      </c>
      <c r="G71" s="29"/>
      <c r="H71" s="32" t="str">
        <f>IF(OR(G71="",E71=""),"",G71*IFERROR(VLOOKUP(E71,Maestro_SKU!$A$2:$P$500,12,FALSE),1))</f>
        <v/>
      </c>
      <c r="I71" s="25"/>
      <c r="J71" s="31" t="str">
        <f>IF(A71="","",IF(H71&lt;=Inicio!$B$16,"Crítico",IF(H71&lt;=Inicio!$B$17,"Observar","OK")))</f>
        <v/>
      </c>
      <c r="K71" s="24"/>
    </row>
    <row r="72" spans="1:11" x14ac:dyDescent="0.35">
      <c r="A72" s="24"/>
      <c r="B72" s="31" t="str">
        <f>IFERROR(VLOOKUP(A72,Clientes_PDV!$A$2:$J$250,2,FALSE),"")</f>
        <v/>
      </c>
      <c r="C72" s="31" t="str">
        <f>IFERROR(VLOOKUP(A72,Clientes_PDV!$A$2:$J$250,3,FALSE),"")</f>
        <v/>
      </c>
      <c r="D72" s="31" t="str">
        <f>IFERROR(VLOOKUP(A72,Clientes_PDV!$A$2:$J$250,4,FALSE),"")</f>
        <v/>
      </c>
      <c r="E72" s="24"/>
      <c r="F72" s="31" t="str">
        <f>IFERROR(VLOOKUP(E72,Maestro_SKU!$A$2:$P$500,2,FALSE),"")</f>
        <v/>
      </c>
      <c r="G72" s="29"/>
      <c r="H72" s="32" t="str">
        <f>IF(OR(G72="",E72=""),"",G72*IFERROR(VLOOKUP(E72,Maestro_SKU!$A$2:$P$500,12,FALSE),1))</f>
        <v/>
      </c>
      <c r="I72" s="25"/>
      <c r="J72" s="31" t="str">
        <f>IF(A72="","",IF(H72&lt;=Inicio!$B$16,"Crítico",IF(H72&lt;=Inicio!$B$17,"Observar","OK")))</f>
        <v/>
      </c>
      <c r="K72" s="24"/>
    </row>
    <row r="73" spans="1:11" x14ac:dyDescent="0.35">
      <c r="A73" s="24"/>
      <c r="B73" s="31" t="str">
        <f>IFERROR(VLOOKUP(A73,Clientes_PDV!$A$2:$J$250,2,FALSE),"")</f>
        <v/>
      </c>
      <c r="C73" s="31" t="str">
        <f>IFERROR(VLOOKUP(A73,Clientes_PDV!$A$2:$J$250,3,FALSE),"")</f>
        <v/>
      </c>
      <c r="D73" s="31" t="str">
        <f>IFERROR(VLOOKUP(A73,Clientes_PDV!$A$2:$J$250,4,FALSE),"")</f>
        <v/>
      </c>
      <c r="E73" s="24"/>
      <c r="F73" s="31" t="str">
        <f>IFERROR(VLOOKUP(E73,Maestro_SKU!$A$2:$P$500,2,FALSE),"")</f>
        <v/>
      </c>
      <c r="G73" s="29"/>
      <c r="H73" s="32" t="str">
        <f>IF(OR(G73="",E73=""),"",G73*IFERROR(VLOOKUP(E73,Maestro_SKU!$A$2:$P$500,12,FALSE),1))</f>
        <v/>
      </c>
      <c r="I73" s="25"/>
      <c r="J73" s="31" t="str">
        <f>IF(A73="","",IF(H73&lt;=Inicio!$B$16,"Crítico",IF(H73&lt;=Inicio!$B$17,"Observar","OK")))</f>
        <v/>
      </c>
      <c r="K73" s="24"/>
    </row>
    <row r="74" spans="1:11" x14ac:dyDescent="0.35">
      <c r="A74" s="24"/>
      <c r="B74" s="31" t="str">
        <f>IFERROR(VLOOKUP(A74,Clientes_PDV!$A$2:$J$250,2,FALSE),"")</f>
        <v/>
      </c>
      <c r="C74" s="31" t="str">
        <f>IFERROR(VLOOKUP(A74,Clientes_PDV!$A$2:$J$250,3,FALSE),"")</f>
        <v/>
      </c>
      <c r="D74" s="31" t="str">
        <f>IFERROR(VLOOKUP(A74,Clientes_PDV!$A$2:$J$250,4,FALSE),"")</f>
        <v/>
      </c>
      <c r="E74" s="24"/>
      <c r="F74" s="31" t="str">
        <f>IFERROR(VLOOKUP(E74,Maestro_SKU!$A$2:$P$500,2,FALSE),"")</f>
        <v/>
      </c>
      <c r="G74" s="29"/>
      <c r="H74" s="32" t="str">
        <f>IF(OR(G74="",E74=""),"",G74*IFERROR(VLOOKUP(E74,Maestro_SKU!$A$2:$P$500,12,FALSE),1))</f>
        <v/>
      </c>
      <c r="I74" s="25"/>
      <c r="J74" s="31" t="str">
        <f>IF(A74="","",IF(H74&lt;=Inicio!$B$16,"Crítico",IF(H74&lt;=Inicio!$B$17,"Observar","OK")))</f>
        <v/>
      </c>
      <c r="K74" s="24"/>
    </row>
    <row r="75" spans="1:11" x14ac:dyDescent="0.35">
      <c r="A75" s="24"/>
      <c r="B75" s="31" t="str">
        <f>IFERROR(VLOOKUP(A75,Clientes_PDV!$A$2:$J$250,2,FALSE),"")</f>
        <v/>
      </c>
      <c r="C75" s="31" t="str">
        <f>IFERROR(VLOOKUP(A75,Clientes_PDV!$A$2:$J$250,3,FALSE),"")</f>
        <v/>
      </c>
      <c r="D75" s="31" t="str">
        <f>IFERROR(VLOOKUP(A75,Clientes_PDV!$A$2:$J$250,4,FALSE),"")</f>
        <v/>
      </c>
      <c r="E75" s="24"/>
      <c r="F75" s="31" t="str">
        <f>IFERROR(VLOOKUP(E75,Maestro_SKU!$A$2:$P$500,2,FALSE),"")</f>
        <v/>
      </c>
      <c r="G75" s="29"/>
      <c r="H75" s="32" t="str">
        <f>IF(OR(G75="",E75=""),"",G75*IFERROR(VLOOKUP(E75,Maestro_SKU!$A$2:$P$500,12,FALSE),1))</f>
        <v/>
      </c>
      <c r="I75" s="25"/>
      <c r="J75" s="31" t="str">
        <f>IF(A75="","",IF(H75&lt;=Inicio!$B$16,"Crítico",IF(H75&lt;=Inicio!$B$17,"Observar","OK")))</f>
        <v/>
      </c>
      <c r="K75" s="24"/>
    </row>
    <row r="76" spans="1:11" x14ac:dyDescent="0.35">
      <c r="A76" s="24"/>
      <c r="B76" s="31" t="str">
        <f>IFERROR(VLOOKUP(A76,Clientes_PDV!$A$2:$J$250,2,FALSE),"")</f>
        <v/>
      </c>
      <c r="C76" s="31" t="str">
        <f>IFERROR(VLOOKUP(A76,Clientes_PDV!$A$2:$J$250,3,FALSE),"")</f>
        <v/>
      </c>
      <c r="D76" s="31" t="str">
        <f>IFERROR(VLOOKUP(A76,Clientes_PDV!$A$2:$J$250,4,FALSE),"")</f>
        <v/>
      </c>
      <c r="E76" s="24"/>
      <c r="F76" s="31" t="str">
        <f>IFERROR(VLOOKUP(E76,Maestro_SKU!$A$2:$P$500,2,FALSE),"")</f>
        <v/>
      </c>
      <c r="G76" s="29"/>
      <c r="H76" s="32" t="str">
        <f>IF(OR(G76="",E76=""),"",G76*IFERROR(VLOOKUP(E76,Maestro_SKU!$A$2:$P$500,12,FALSE),1))</f>
        <v/>
      </c>
      <c r="I76" s="25"/>
      <c r="J76" s="31" t="str">
        <f>IF(A76="","",IF(H76&lt;=Inicio!$B$16,"Crítico",IF(H76&lt;=Inicio!$B$17,"Observar","OK")))</f>
        <v/>
      </c>
      <c r="K76" s="24"/>
    </row>
    <row r="77" spans="1:11" x14ac:dyDescent="0.35">
      <c r="A77" s="24"/>
      <c r="B77" s="31" t="str">
        <f>IFERROR(VLOOKUP(A77,Clientes_PDV!$A$2:$J$250,2,FALSE),"")</f>
        <v/>
      </c>
      <c r="C77" s="31" t="str">
        <f>IFERROR(VLOOKUP(A77,Clientes_PDV!$A$2:$J$250,3,FALSE),"")</f>
        <v/>
      </c>
      <c r="D77" s="31" t="str">
        <f>IFERROR(VLOOKUP(A77,Clientes_PDV!$A$2:$J$250,4,FALSE),"")</f>
        <v/>
      </c>
      <c r="E77" s="24"/>
      <c r="F77" s="31" t="str">
        <f>IFERROR(VLOOKUP(E77,Maestro_SKU!$A$2:$P$500,2,FALSE),"")</f>
        <v/>
      </c>
      <c r="G77" s="29"/>
      <c r="H77" s="32" t="str">
        <f>IF(OR(G77="",E77=""),"",G77*IFERROR(VLOOKUP(E77,Maestro_SKU!$A$2:$P$500,12,FALSE),1))</f>
        <v/>
      </c>
      <c r="I77" s="25"/>
      <c r="J77" s="31" t="str">
        <f>IF(A77="","",IF(H77&lt;=Inicio!$B$16,"Crítico",IF(H77&lt;=Inicio!$B$17,"Observar","OK")))</f>
        <v/>
      </c>
      <c r="K77" s="24"/>
    </row>
    <row r="78" spans="1:11" x14ac:dyDescent="0.35">
      <c r="A78" s="24"/>
      <c r="B78" s="31" t="str">
        <f>IFERROR(VLOOKUP(A78,Clientes_PDV!$A$2:$J$250,2,FALSE),"")</f>
        <v/>
      </c>
      <c r="C78" s="31" t="str">
        <f>IFERROR(VLOOKUP(A78,Clientes_PDV!$A$2:$J$250,3,FALSE),"")</f>
        <v/>
      </c>
      <c r="D78" s="31" t="str">
        <f>IFERROR(VLOOKUP(A78,Clientes_PDV!$A$2:$J$250,4,FALSE),"")</f>
        <v/>
      </c>
      <c r="E78" s="24"/>
      <c r="F78" s="31" t="str">
        <f>IFERROR(VLOOKUP(E78,Maestro_SKU!$A$2:$P$500,2,FALSE),"")</f>
        <v/>
      </c>
      <c r="G78" s="29"/>
      <c r="H78" s="32" t="str">
        <f>IF(OR(G78="",E78=""),"",G78*IFERROR(VLOOKUP(E78,Maestro_SKU!$A$2:$P$500,12,FALSE),1))</f>
        <v/>
      </c>
      <c r="I78" s="25"/>
      <c r="J78" s="31" t="str">
        <f>IF(A78="","",IF(H78&lt;=Inicio!$B$16,"Crítico",IF(H78&lt;=Inicio!$B$17,"Observar","OK")))</f>
        <v/>
      </c>
      <c r="K78" s="24"/>
    </row>
    <row r="79" spans="1:11" x14ac:dyDescent="0.35">
      <c r="A79" s="24"/>
      <c r="B79" s="31" t="str">
        <f>IFERROR(VLOOKUP(A79,Clientes_PDV!$A$2:$J$250,2,FALSE),"")</f>
        <v/>
      </c>
      <c r="C79" s="31" t="str">
        <f>IFERROR(VLOOKUP(A79,Clientes_PDV!$A$2:$J$250,3,FALSE),"")</f>
        <v/>
      </c>
      <c r="D79" s="31" t="str">
        <f>IFERROR(VLOOKUP(A79,Clientes_PDV!$A$2:$J$250,4,FALSE),"")</f>
        <v/>
      </c>
      <c r="E79" s="24"/>
      <c r="F79" s="31" t="str">
        <f>IFERROR(VLOOKUP(E79,Maestro_SKU!$A$2:$P$500,2,FALSE),"")</f>
        <v/>
      </c>
      <c r="G79" s="29"/>
      <c r="H79" s="32" t="str">
        <f>IF(OR(G79="",E79=""),"",G79*IFERROR(VLOOKUP(E79,Maestro_SKU!$A$2:$P$500,12,FALSE),1))</f>
        <v/>
      </c>
      <c r="I79" s="25"/>
      <c r="J79" s="31" t="str">
        <f>IF(A79="","",IF(H79&lt;=Inicio!$B$16,"Crítico",IF(H79&lt;=Inicio!$B$17,"Observar","OK")))</f>
        <v/>
      </c>
      <c r="K79" s="24"/>
    </row>
    <row r="80" spans="1:11" x14ac:dyDescent="0.35">
      <c r="A80" s="24"/>
      <c r="B80" s="31" t="str">
        <f>IFERROR(VLOOKUP(A80,Clientes_PDV!$A$2:$J$250,2,FALSE),"")</f>
        <v/>
      </c>
      <c r="C80" s="31" t="str">
        <f>IFERROR(VLOOKUP(A80,Clientes_PDV!$A$2:$J$250,3,FALSE),"")</f>
        <v/>
      </c>
      <c r="D80" s="31" t="str">
        <f>IFERROR(VLOOKUP(A80,Clientes_PDV!$A$2:$J$250,4,FALSE),"")</f>
        <v/>
      </c>
      <c r="E80" s="24"/>
      <c r="F80" s="31" t="str">
        <f>IFERROR(VLOOKUP(E80,Maestro_SKU!$A$2:$P$500,2,FALSE),"")</f>
        <v/>
      </c>
      <c r="G80" s="29"/>
      <c r="H80" s="32" t="str">
        <f>IF(OR(G80="",E80=""),"",G80*IFERROR(VLOOKUP(E80,Maestro_SKU!$A$2:$P$500,12,FALSE),1))</f>
        <v/>
      </c>
      <c r="I80" s="25"/>
      <c r="J80" s="31" t="str">
        <f>IF(A80="","",IF(H80&lt;=Inicio!$B$16,"Crítico",IF(H80&lt;=Inicio!$B$17,"Observar","OK")))</f>
        <v/>
      </c>
      <c r="K80" s="24"/>
    </row>
    <row r="81" spans="1:11" x14ac:dyDescent="0.35">
      <c r="A81" s="24"/>
      <c r="B81" s="31" t="str">
        <f>IFERROR(VLOOKUP(A81,Clientes_PDV!$A$2:$J$250,2,FALSE),"")</f>
        <v/>
      </c>
      <c r="C81" s="31" t="str">
        <f>IFERROR(VLOOKUP(A81,Clientes_PDV!$A$2:$J$250,3,FALSE),"")</f>
        <v/>
      </c>
      <c r="D81" s="31" t="str">
        <f>IFERROR(VLOOKUP(A81,Clientes_PDV!$A$2:$J$250,4,FALSE),"")</f>
        <v/>
      </c>
      <c r="E81" s="24"/>
      <c r="F81" s="31" t="str">
        <f>IFERROR(VLOOKUP(E81,Maestro_SKU!$A$2:$P$500,2,FALSE),"")</f>
        <v/>
      </c>
      <c r="G81" s="29"/>
      <c r="H81" s="32" t="str">
        <f>IF(OR(G81="",E81=""),"",G81*IFERROR(VLOOKUP(E81,Maestro_SKU!$A$2:$P$500,12,FALSE),1))</f>
        <v/>
      </c>
      <c r="I81" s="25"/>
      <c r="J81" s="31" t="str">
        <f>IF(A81="","",IF(H81&lt;=Inicio!$B$16,"Crítico",IF(H81&lt;=Inicio!$B$17,"Observar","OK")))</f>
        <v/>
      </c>
      <c r="K81" s="24"/>
    </row>
    <row r="82" spans="1:11" x14ac:dyDescent="0.35">
      <c r="A82" s="24"/>
      <c r="B82" s="31" t="str">
        <f>IFERROR(VLOOKUP(A82,Clientes_PDV!$A$2:$J$250,2,FALSE),"")</f>
        <v/>
      </c>
      <c r="C82" s="31" t="str">
        <f>IFERROR(VLOOKUP(A82,Clientes_PDV!$A$2:$J$250,3,FALSE),"")</f>
        <v/>
      </c>
      <c r="D82" s="31" t="str">
        <f>IFERROR(VLOOKUP(A82,Clientes_PDV!$A$2:$J$250,4,FALSE),"")</f>
        <v/>
      </c>
      <c r="E82" s="24"/>
      <c r="F82" s="31" t="str">
        <f>IFERROR(VLOOKUP(E82,Maestro_SKU!$A$2:$P$500,2,FALSE),"")</f>
        <v/>
      </c>
      <c r="G82" s="29"/>
      <c r="H82" s="32" t="str">
        <f>IF(OR(G82="",E82=""),"",G82*IFERROR(VLOOKUP(E82,Maestro_SKU!$A$2:$P$500,12,FALSE),1))</f>
        <v/>
      </c>
      <c r="I82" s="25"/>
      <c r="J82" s="31" t="str">
        <f>IF(A82="","",IF(H82&lt;=Inicio!$B$16,"Crítico",IF(H82&lt;=Inicio!$B$17,"Observar","OK")))</f>
        <v/>
      </c>
      <c r="K82" s="24"/>
    </row>
    <row r="83" spans="1:11" x14ac:dyDescent="0.35">
      <c r="A83" s="24"/>
      <c r="B83" s="31" t="str">
        <f>IFERROR(VLOOKUP(A83,Clientes_PDV!$A$2:$J$250,2,FALSE),"")</f>
        <v/>
      </c>
      <c r="C83" s="31" t="str">
        <f>IFERROR(VLOOKUP(A83,Clientes_PDV!$A$2:$J$250,3,FALSE),"")</f>
        <v/>
      </c>
      <c r="D83" s="31" t="str">
        <f>IFERROR(VLOOKUP(A83,Clientes_PDV!$A$2:$J$250,4,FALSE),"")</f>
        <v/>
      </c>
      <c r="E83" s="24"/>
      <c r="F83" s="31" t="str">
        <f>IFERROR(VLOOKUP(E83,Maestro_SKU!$A$2:$P$500,2,FALSE),"")</f>
        <v/>
      </c>
      <c r="G83" s="29"/>
      <c r="H83" s="32" t="str">
        <f>IF(OR(G83="",E83=""),"",G83*IFERROR(VLOOKUP(E83,Maestro_SKU!$A$2:$P$500,12,FALSE),1))</f>
        <v/>
      </c>
      <c r="I83" s="25"/>
      <c r="J83" s="31" t="str">
        <f>IF(A83="","",IF(H83&lt;=Inicio!$B$16,"Crítico",IF(H83&lt;=Inicio!$B$17,"Observar","OK")))</f>
        <v/>
      </c>
      <c r="K83" s="24"/>
    </row>
    <row r="84" spans="1:11" x14ac:dyDescent="0.35">
      <c r="A84" s="24"/>
      <c r="B84" s="31" t="str">
        <f>IFERROR(VLOOKUP(A84,Clientes_PDV!$A$2:$J$250,2,FALSE),"")</f>
        <v/>
      </c>
      <c r="C84" s="31" t="str">
        <f>IFERROR(VLOOKUP(A84,Clientes_PDV!$A$2:$J$250,3,FALSE),"")</f>
        <v/>
      </c>
      <c r="D84" s="31" t="str">
        <f>IFERROR(VLOOKUP(A84,Clientes_PDV!$A$2:$J$250,4,FALSE),"")</f>
        <v/>
      </c>
      <c r="E84" s="24"/>
      <c r="F84" s="31" t="str">
        <f>IFERROR(VLOOKUP(E84,Maestro_SKU!$A$2:$P$500,2,FALSE),"")</f>
        <v/>
      </c>
      <c r="G84" s="29"/>
      <c r="H84" s="32" t="str">
        <f>IF(OR(G84="",E84=""),"",G84*IFERROR(VLOOKUP(E84,Maestro_SKU!$A$2:$P$500,12,FALSE),1))</f>
        <v/>
      </c>
      <c r="I84" s="25"/>
      <c r="J84" s="31" t="str">
        <f>IF(A84="","",IF(H84&lt;=Inicio!$B$16,"Crítico",IF(H84&lt;=Inicio!$B$17,"Observar","OK")))</f>
        <v/>
      </c>
      <c r="K84" s="24"/>
    </row>
    <row r="85" spans="1:11" x14ac:dyDescent="0.35">
      <c r="A85" s="24"/>
      <c r="B85" s="31" t="str">
        <f>IFERROR(VLOOKUP(A85,Clientes_PDV!$A$2:$J$250,2,FALSE),"")</f>
        <v/>
      </c>
      <c r="C85" s="31" t="str">
        <f>IFERROR(VLOOKUP(A85,Clientes_PDV!$A$2:$J$250,3,FALSE),"")</f>
        <v/>
      </c>
      <c r="D85" s="31" t="str">
        <f>IFERROR(VLOOKUP(A85,Clientes_PDV!$A$2:$J$250,4,FALSE),"")</f>
        <v/>
      </c>
      <c r="E85" s="24"/>
      <c r="F85" s="31" t="str">
        <f>IFERROR(VLOOKUP(E85,Maestro_SKU!$A$2:$P$500,2,FALSE),"")</f>
        <v/>
      </c>
      <c r="G85" s="29"/>
      <c r="H85" s="32" t="str">
        <f>IF(OR(G85="",E85=""),"",G85*IFERROR(VLOOKUP(E85,Maestro_SKU!$A$2:$P$500,12,FALSE),1))</f>
        <v/>
      </c>
      <c r="I85" s="25"/>
      <c r="J85" s="31" t="str">
        <f>IF(A85="","",IF(H85&lt;=Inicio!$B$16,"Crítico",IF(H85&lt;=Inicio!$B$17,"Observar","OK")))</f>
        <v/>
      </c>
      <c r="K85" s="24"/>
    </row>
    <row r="86" spans="1:11" x14ac:dyDescent="0.35">
      <c r="A86" s="24"/>
      <c r="B86" s="31" t="str">
        <f>IFERROR(VLOOKUP(A86,Clientes_PDV!$A$2:$J$250,2,FALSE),"")</f>
        <v/>
      </c>
      <c r="C86" s="31" t="str">
        <f>IFERROR(VLOOKUP(A86,Clientes_PDV!$A$2:$J$250,3,FALSE),"")</f>
        <v/>
      </c>
      <c r="D86" s="31" t="str">
        <f>IFERROR(VLOOKUP(A86,Clientes_PDV!$A$2:$J$250,4,FALSE),"")</f>
        <v/>
      </c>
      <c r="E86" s="24"/>
      <c r="F86" s="31" t="str">
        <f>IFERROR(VLOOKUP(E86,Maestro_SKU!$A$2:$P$500,2,FALSE),"")</f>
        <v/>
      </c>
      <c r="G86" s="29"/>
      <c r="H86" s="32" t="str">
        <f>IF(OR(G86="",E86=""),"",G86*IFERROR(VLOOKUP(E86,Maestro_SKU!$A$2:$P$500,12,FALSE),1))</f>
        <v/>
      </c>
      <c r="I86" s="25"/>
      <c r="J86" s="31" t="str">
        <f>IF(A86="","",IF(H86&lt;=Inicio!$B$16,"Crítico",IF(H86&lt;=Inicio!$B$17,"Observar","OK")))</f>
        <v/>
      </c>
      <c r="K86" s="24"/>
    </row>
    <row r="87" spans="1:11" x14ac:dyDescent="0.35">
      <c r="A87" s="24"/>
      <c r="B87" s="31" t="str">
        <f>IFERROR(VLOOKUP(A87,Clientes_PDV!$A$2:$J$250,2,FALSE),"")</f>
        <v/>
      </c>
      <c r="C87" s="31" t="str">
        <f>IFERROR(VLOOKUP(A87,Clientes_PDV!$A$2:$J$250,3,FALSE),"")</f>
        <v/>
      </c>
      <c r="D87" s="31" t="str">
        <f>IFERROR(VLOOKUP(A87,Clientes_PDV!$A$2:$J$250,4,FALSE),"")</f>
        <v/>
      </c>
      <c r="E87" s="24"/>
      <c r="F87" s="31" t="str">
        <f>IFERROR(VLOOKUP(E87,Maestro_SKU!$A$2:$P$500,2,FALSE),"")</f>
        <v/>
      </c>
      <c r="G87" s="29"/>
      <c r="H87" s="32" t="str">
        <f>IF(OR(G87="",E87=""),"",G87*IFERROR(VLOOKUP(E87,Maestro_SKU!$A$2:$P$500,12,FALSE),1))</f>
        <v/>
      </c>
      <c r="I87" s="25"/>
      <c r="J87" s="31" t="str">
        <f>IF(A87="","",IF(H87&lt;=Inicio!$B$16,"Crítico",IF(H87&lt;=Inicio!$B$17,"Observar","OK")))</f>
        <v/>
      </c>
      <c r="K87" s="24"/>
    </row>
    <row r="88" spans="1:11" x14ac:dyDescent="0.35">
      <c r="A88" s="24"/>
      <c r="B88" s="31" t="str">
        <f>IFERROR(VLOOKUP(A88,Clientes_PDV!$A$2:$J$250,2,FALSE),"")</f>
        <v/>
      </c>
      <c r="C88" s="31" t="str">
        <f>IFERROR(VLOOKUP(A88,Clientes_PDV!$A$2:$J$250,3,FALSE),"")</f>
        <v/>
      </c>
      <c r="D88" s="31" t="str">
        <f>IFERROR(VLOOKUP(A88,Clientes_PDV!$A$2:$J$250,4,FALSE),"")</f>
        <v/>
      </c>
      <c r="E88" s="24"/>
      <c r="F88" s="31" t="str">
        <f>IFERROR(VLOOKUP(E88,Maestro_SKU!$A$2:$P$500,2,FALSE),"")</f>
        <v/>
      </c>
      <c r="G88" s="29"/>
      <c r="H88" s="32" t="str">
        <f>IF(OR(G88="",E88=""),"",G88*IFERROR(VLOOKUP(E88,Maestro_SKU!$A$2:$P$500,12,FALSE),1))</f>
        <v/>
      </c>
      <c r="I88" s="25"/>
      <c r="J88" s="31" t="str">
        <f>IF(A88="","",IF(H88&lt;=Inicio!$B$16,"Crítico",IF(H88&lt;=Inicio!$B$17,"Observar","OK")))</f>
        <v/>
      </c>
      <c r="K88" s="24"/>
    </row>
    <row r="89" spans="1:11" x14ac:dyDescent="0.35">
      <c r="A89" s="24"/>
      <c r="B89" s="31" t="str">
        <f>IFERROR(VLOOKUP(A89,Clientes_PDV!$A$2:$J$250,2,FALSE),"")</f>
        <v/>
      </c>
      <c r="C89" s="31" t="str">
        <f>IFERROR(VLOOKUP(A89,Clientes_PDV!$A$2:$J$250,3,FALSE),"")</f>
        <v/>
      </c>
      <c r="D89" s="31" t="str">
        <f>IFERROR(VLOOKUP(A89,Clientes_PDV!$A$2:$J$250,4,FALSE),"")</f>
        <v/>
      </c>
      <c r="E89" s="24"/>
      <c r="F89" s="31" t="str">
        <f>IFERROR(VLOOKUP(E89,Maestro_SKU!$A$2:$P$500,2,FALSE),"")</f>
        <v/>
      </c>
      <c r="G89" s="29"/>
      <c r="H89" s="32" t="str">
        <f>IF(OR(G89="",E89=""),"",G89*IFERROR(VLOOKUP(E89,Maestro_SKU!$A$2:$P$500,12,FALSE),1))</f>
        <v/>
      </c>
      <c r="I89" s="25"/>
      <c r="J89" s="31" t="str">
        <f>IF(A89="","",IF(H89&lt;=Inicio!$B$16,"Crítico",IF(H89&lt;=Inicio!$B$17,"Observar","OK")))</f>
        <v/>
      </c>
      <c r="K89" s="24"/>
    </row>
    <row r="90" spans="1:11" x14ac:dyDescent="0.35">
      <c r="A90" s="24"/>
      <c r="B90" s="31" t="str">
        <f>IFERROR(VLOOKUP(A90,Clientes_PDV!$A$2:$J$250,2,FALSE),"")</f>
        <v/>
      </c>
      <c r="C90" s="31" t="str">
        <f>IFERROR(VLOOKUP(A90,Clientes_PDV!$A$2:$J$250,3,FALSE),"")</f>
        <v/>
      </c>
      <c r="D90" s="31" t="str">
        <f>IFERROR(VLOOKUP(A90,Clientes_PDV!$A$2:$J$250,4,FALSE),"")</f>
        <v/>
      </c>
      <c r="E90" s="24"/>
      <c r="F90" s="31" t="str">
        <f>IFERROR(VLOOKUP(E90,Maestro_SKU!$A$2:$P$500,2,FALSE),"")</f>
        <v/>
      </c>
      <c r="G90" s="29"/>
      <c r="H90" s="32" t="str">
        <f>IF(OR(G90="",E90=""),"",G90*IFERROR(VLOOKUP(E90,Maestro_SKU!$A$2:$P$500,12,FALSE),1))</f>
        <v/>
      </c>
      <c r="I90" s="25"/>
      <c r="J90" s="31" t="str">
        <f>IF(A90="","",IF(H90&lt;=Inicio!$B$16,"Crítico",IF(H90&lt;=Inicio!$B$17,"Observar","OK")))</f>
        <v/>
      </c>
      <c r="K90" s="24"/>
    </row>
    <row r="91" spans="1:11" x14ac:dyDescent="0.35">
      <c r="A91" s="24"/>
      <c r="B91" s="31" t="str">
        <f>IFERROR(VLOOKUP(A91,Clientes_PDV!$A$2:$J$250,2,FALSE),"")</f>
        <v/>
      </c>
      <c r="C91" s="31" t="str">
        <f>IFERROR(VLOOKUP(A91,Clientes_PDV!$A$2:$J$250,3,FALSE),"")</f>
        <v/>
      </c>
      <c r="D91" s="31" t="str">
        <f>IFERROR(VLOOKUP(A91,Clientes_PDV!$A$2:$J$250,4,FALSE),"")</f>
        <v/>
      </c>
      <c r="E91" s="24"/>
      <c r="F91" s="31" t="str">
        <f>IFERROR(VLOOKUP(E91,Maestro_SKU!$A$2:$P$500,2,FALSE),"")</f>
        <v/>
      </c>
      <c r="G91" s="29"/>
      <c r="H91" s="32" t="str">
        <f>IF(OR(G91="",E91=""),"",G91*IFERROR(VLOOKUP(E91,Maestro_SKU!$A$2:$P$500,12,FALSE),1))</f>
        <v/>
      </c>
      <c r="I91" s="25"/>
      <c r="J91" s="31" t="str">
        <f>IF(A91="","",IF(H91&lt;=Inicio!$B$16,"Crítico",IF(H91&lt;=Inicio!$B$17,"Observar","OK")))</f>
        <v/>
      </c>
      <c r="K91" s="24"/>
    </row>
    <row r="92" spans="1:11" x14ac:dyDescent="0.35">
      <c r="A92" s="24"/>
      <c r="B92" s="31" t="str">
        <f>IFERROR(VLOOKUP(A92,Clientes_PDV!$A$2:$J$250,2,FALSE),"")</f>
        <v/>
      </c>
      <c r="C92" s="31" t="str">
        <f>IFERROR(VLOOKUP(A92,Clientes_PDV!$A$2:$J$250,3,FALSE),"")</f>
        <v/>
      </c>
      <c r="D92" s="31" t="str">
        <f>IFERROR(VLOOKUP(A92,Clientes_PDV!$A$2:$J$250,4,FALSE),"")</f>
        <v/>
      </c>
      <c r="E92" s="24"/>
      <c r="F92" s="31" t="str">
        <f>IFERROR(VLOOKUP(E92,Maestro_SKU!$A$2:$P$500,2,FALSE),"")</f>
        <v/>
      </c>
      <c r="G92" s="29"/>
      <c r="H92" s="32" t="str">
        <f>IF(OR(G92="",E92=""),"",G92*IFERROR(VLOOKUP(E92,Maestro_SKU!$A$2:$P$500,12,FALSE),1))</f>
        <v/>
      </c>
      <c r="I92" s="25"/>
      <c r="J92" s="31" t="str">
        <f>IF(A92="","",IF(H92&lt;=Inicio!$B$16,"Crítico",IF(H92&lt;=Inicio!$B$17,"Observar","OK")))</f>
        <v/>
      </c>
      <c r="K92" s="24"/>
    </row>
    <row r="93" spans="1:11" x14ac:dyDescent="0.35">
      <c r="A93" s="24"/>
      <c r="B93" s="31" t="str">
        <f>IFERROR(VLOOKUP(A93,Clientes_PDV!$A$2:$J$250,2,FALSE),"")</f>
        <v/>
      </c>
      <c r="C93" s="31" t="str">
        <f>IFERROR(VLOOKUP(A93,Clientes_PDV!$A$2:$J$250,3,FALSE),"")</f>
        <v/>
      </c>
      <c r="D93" s="31" t="str">
        <f>IFERROR(VLOOKUP(A93,Clientes_PDV!$A$2:$J$250,4,FALSE),"")</f>
        <v/>
      </c>
      <c r="E93" s="24"/>
      <c r="F93" s="31" t="str">
        <f>IFERROR(VLOOKUP(E93,Maestro_SKU!$A$2:$P$500,2,FALSE),"")</f>
        <v/>
      </c>
      <c r="G93" s="29"/>
      <c r="H93" s="32" t="str">
        <f>IF(OR(G93="",E93=""),"",G93*IFERROR(VLOOKUP(E93,Maestro_SKU!$A$2:$P$500,12,FALSE),1))</f>
        <v/>
      </c>
      <c r="I93" s="25"/>
      <c r="J93" s="31" t="str">
        <f>IF(A93="","",IF(H93&lt;=Inicio!$B$16,"Crítico",IF(H93&lt;=Inicio!$B$17,"Observar","OK")))</f>
        <v/>
      </c>
      <c r="K93" s="24"/>
    </row>
    <row r="94" spans="1:11" x14ac:dyDescent="0.35">
      <c r="A94" s="24"/>
      <c r="B94" s="31" t="str">
        <f>IFERROR(VLOOKUP(A94,Clientes_PDV!$A$2:$J$250,2,FALSE),"")</f>
        <v/>
      </c>
      <c r="C94" s="31" t="str">
        <f>IFERROR(VLOOKUP(A94,Clientes_PDV!$A$2:$J$250,3,FALSE),"")</f>
        <v/>
      </c>
      <c r="D94" s="31" t="str">
        <f>IFERROR(VLOOKUP(A94,Clientes_PDV!$A$2:$J$250,4,FALSE),"")</f>
        <v/>
      </c>
      <c r="E94" s="24"/>
      <c r="F94" s="31" t="str">
        <f>IFERROR(VLOOKUP(E94,Maestro_SKU!$A$2:$P$500,2,FALSE),"")</f>
        <v/>
      </c>
      <c r="G94" s="29"/>
      <c r="H94" s="32" t="str">
        <f>IF(OR(G94="",E94=""),"",G94*IFERROR(VLOOKUP(E94,Maestro_SKU!$A$2:$P$500,12,FALSE),1))</f>
        <v/>
      </c>
      <c r="I94" s="25"/>
      <c r="J94" s="31" t="str">
        <f>IF(A94="","",IF(H94&lt;=Inicio!$B$16,"Crítico",IF(H94&lt;=Inicio!$B$17,"Observar","OK")))</f>
        <v/>
      </c>
      <c r="K94" s="24"/>
    </row>
    <row r="95" spans="1:11" x14ac:dyDescent="0.35">
      <c r="A95" s="24"/>
      <c r="B95" s="31" t="str">
        <f>IFERROR(VLOOKUP(A95,Clientes_PDV!$A$2:$J$250,2,FALSE),"")</f>
        <v/>
      </c>
      <c r="C95" s="31" t="str">
        <f>IFERROR(VLOOKUP(A95,Clientes_PDV!$A$2:$J$250,3,FALSE),"")</f>
        <v/>
      </c>
      <c r="D95" s="31" t="str">
        <f>IFERROR(VLOOKUP(A95,Clientes_PDV!$A$2:$J$250,4,FALSE),"")</f>
        <v/>
      </c>
      <c r="E95" s="24"/>
      <c r="F95" s="31" t="str">
        <f>IFERROR(VLOOKUP(E95,Maestro_SKU!$A$2:$P$500,2,FALSE),"")</f>
        <v/>
      </c>
      <c r="G95" s="29"/>
      <c r="H95" s="32" t="str">
        <f>IF(OR(G95="",E95=""),"",G95*IFERROR(VLOOKUP(E95,Maestro_SKU!$A$2:$P$500,12,FALSE),1))</f>
        <v/>
      </c>
      <c r="I95" s="25"/>
      <c r="J95" s="31" t="str">
        <f>IF(A95="","",IF(H95&lt;=Inicio!$B$16,"Crítico",IF(H95&lt;=Inicio!$B$17,"Observar","OK")))</f>
        <v/>
      </c>
      <c r="K95" s="24"/>
    </row>
    <row r="96" spans="1:11" x14ac:dyDescent="0.35">
      <c r="A96" s="24"/>
      <c r="B96" s="31" t="str">
        <f>IFERROR(VLOOKUP(A96,Clientes_PDV!$A$2:$J$250,2,FALSE),"")</f>
        <v/>
      </c>
      <c r="C96" s="31" t="str">
        <f>IFERROR(VLOOKUP(A96,Clientes_PDV!$A$2:$J$250,3,FALSE),"")</f>
        <v/>
      </c>
      <c r="D96" s="31" t="str">
        <f>IFERROR(VLOOKUP(A96,Clientes_PDV!$A$2:$J$250,4,FALSE),"")</f>
        <v/>
      </c>
      <c r="E96" s="24"/>
      <c r="F96" s="31" t="str">
        <f>IFERROR(VLOOKUP(E96,Maestro_SKU!$A$2:$P$500,2,FALSE),"")</f>
        <v/>
      </c>
      <c r="G96" s="29"/>
      <c r="H96" s="32" t="str">
        <f>IF(OR(G96="",E96=""),"",G96*IFERROR(VLOOKUP(E96,Maestro_SKU!$A$2:$P$500,12,FALSE),1))</f>
        <v/>
      </c>
      <c r="I96" s="25"/>
      <c r="J96" s="31" t="str">
        <f>IF(A96="","",IF(H96&lt;=Inicio!$B$16,"Crítico",IF(H96&lt;=Inicio!$B$17,"Observar","OK")))</f>
        <v/>
      </c>
      <c r="K96" s="24"/>
    </row>
    <row r="97" spans="1:11" x14ac:dyDescent="0.35">
      <c r="A97" s="24"/>
      <c r="B97" s="31" t="str">
        <f>IFERROR(VLOOKUP(A97,Clientes_PDV!$A$2:$J$250,2,FALSE),"")</f>
        <v/>
      </c>
      <c r="C97" s="31" t="str">
        <f>IFERROR(VLOOKUP(A97,Clientes_PDV!$A$2:$J$250,3,FALSE),"")</f>
        <v/>
      </c>
      <c r="D97" s="31" t="str">
        <f>IFERROR(VLOOKUP(A97,Clientes_PDV!$A$2:$J$250,4,FALSE),"")</f>
        <v/>
      </c>
      <c r="E97" s="24"/>
      <c r="F97" s="31" t="str">
        <f>IFERROR(VLOOKUP(E97,Maestro_SKU!$A$2:$P$500,2,FALSE),"")</f>
        <v/>
      </c>
      <c r="G97" s="29"/>
      <c r="H97" s="32" t="str">
        <f>IF(OR(G97="",E97=""),"",G97*IFERROR(VLOOKUP(E97,Maestro_SKU!$A$2:$P$500,12,FALSE),1))</f>
        <v/>
      </c>
      <c r="I97" s="25"/>
      <c r="J97" s="31" t="str">
        <f>IF(A97="","",IF(H97&lt;=Inicio!$B$16,"Crítico",IF(H97&lt;=Inicio!$B$17,"Observar","OK")))</f>
        <v/>
      </c>
      <c r="K97" s="24"/>
    </row>
    <row r="98" spans="1:11" x14ac:dyDescent="0.35">
      <c r="A98" s="24"/>
      <c r="B98" s="31" t="str">
        <f>IFERROR(VLOOKUP(A98,Clientes_PDV!$A$2:$J$250,2,FALSE),"")</f>
        <v/>
      </c>
      <c r="C98" s="31" t="str">
        <f>IFERROR(VLOOKUP(A98,Clientes_PDV!$A$2:$J$250,3,FALSE),"")</f>
        <v/>
      </c>
      <c r="D98" s="31" t="str">
        <f>IFERROR(VLOOKUP(A98,Clientes_PDV!$A$2:$J$250,4,FALSE),"")</f>
        <v/>
      </c>
      <c r="E98" s="24"/>
      <c r="F98" s="31" t="str">
        <f>IFERROR(VLOOKUP(E98,Maestro_SKU!$A$2:$P$500,2,FALSE),"")</f>
        <v/>
      </c>
      <c r="G98" s="29"/>
      <c r="H98" s="32" t="str">
        <f>IF(OR(G98="",E98=""),"",G98*IFERROR(VLOOKUP(E98,Maestro_SKU!$A$2:$P$500,12,FALSE),1))</f>
        <v/>
      </c>
      <c r="I98" s="25"/>
      <c r="J98" s="31" t="str">
        <f>IF(A98="","",IF(H98&lt;=Inicio!$B$16,"Crítico",IF(H98&lt;=Inicio!$B$17,"Observar","OK")))</f>
        <v/>
      </c>
      <c r="K98" s="24"/>
    </row>
    <row r="99" spans="1:11" x14ac:dyDescent="0.35">
      <c r="A99" s="24"/>
      <c r="B99" s="31" t="str">
        <f>IFERROR(VLOOKUP(A99,Clientes_PDV!$A$2:$J$250,2,FALSE),"")</f>
        <v/>
      </c>
      <c r="C99" s="31" t="str">
        <f>IFERROR(VLOOKUP(A99,Clientes_PDV!$A$2:$J$250,3,FALSE),"")</f>
        <v/>
      </c>
      <c r="D99" s="31" t="str">
        <f>IFERROR(VLOOKUP(A99,Clientes_PDV!$A$2:$J$250,4,FALSE),"")</f>
        <v/>
      </c>
      <c r="E99" s="24"/>
      <c r="F99" s="31" t="str">
        <f>IFERROR(VLOOKUP(E99,Maestro_SKU!$A$2:$P$500,2,FALSE),"")</f>
        <v/>
      </c>
      <c r="G99" s="29"/>
      <c r="H99" s="32" t="str">
        <f>IF(OR(G99="",E99=""),"",G99*IFERROR(VLOOKUP(E99,Maestro_SKU!$A$2:$P$500,12,FALSE),1))</f>
        <v/>
      </c>
      <c r="I99" s="25"/>
      <c r="J99" s="31" t="str">
        <f>IF(A99="","",IF(H99&lt;=Inicio!$B$16,"Crítico",IF(H99&lt;=Inicio!$B$17,"Observar","OK")))</f>
        <v/>
      </c>
      <c r="K99" s="24"/>
    </row>
    <row r="100" spans="1:11" x14ac:dyDescent="0.35">
      <c r="A100" s="24"/>
      <c r="B100" s="31" t="str">
        <f>IFERROR(VLOOKUP(A100,Clientes_PDV!$A$2:$J$250,2,FALSE),"")</f>
        <v/>
      </c>
      <c r="C100" s="31" t="str">
        <f>IFERROR(VLOOKUP(A100,Clientes_PDV!$A$2:$J$250,3,FALSE),"")</f>
        <v/>
      </c>
      <c r="D100" s="31" t="str">
        <f>IFERROR(VLOOKUP(A100,Clientes_PDV!$A$2:$J$250,4,FALSE),"")</f>
        <v/>
      </c>
      <c r="E100" s="24"/>
      <c r="F100" s="31" t="str">
        <f>IFERROR(VLOOKUP(E100,Maestro_SKU!$A$2:$P$500,2,FALSE),"")</f>
        <v/>
      </c>
      <c r="G100" s="29"/>
      <c r="H100" s="32" t="str">
        <f>IF(OR(G100="",E100=""),"",G100*IFERROR(VLOOKUP(E100,Maestro_SKU!$A$2:$P$500,12,FALSE),1))</f>
        <v/>
      </c>
      <c r="I100" s="25"/>
      <c r="J100" s="31" t="str">
        <f>IF(A100="","",IF(H100&lt;=Inicio!$B$16,"Crítico",IF(H100&lt;=Inicio!$B$17,"Observar","OK")))</f>
        <v/>
      </c>
      <c r="K100" s="24"/>
    </row>
    <row r="101" spans="1:11" x14ac:dyDescent="0.35">
      <c r="A101" s="24"/>
      <c r="B101" s="31" t="str">
        <f>IFERROR(VLOOKUP(A101,Clientes_PDV!$A$2:$J$250,2,FALSE),"")</f>
        <v/>
      </c>
      <c r="C101" s="31" t="str">
        <f>IFERROR(VLOOKUP(A101,Clientes_PDV!$A$2:$J$250,3,FALSE),"")</f>
        <v/>
      </c>
      <c r="D101" s="31" t="str">
        <f>IFERROR(VLOOKUP(A101,Clientes_PDV!$A$2:$J$250,4,FALSE),"")</f>
        <v/>
      </c>
      <c r="E101" s="24"/>
      <c r="F101" s="31" t="str">
        <f>IFERROR(VLOOKUP(E101,Maestro_SKU!$A$2:$P$500,2,FALSE),"")</f>
        <v/>
      </c>
      <c r="G101" s="29"/>
      <c r="H101" s="32" t="str">
        <f>IF(OR(G101="",E101=""),"",G101*IFERROR(VLOOKUP(E101,Maestro_SKU!$A$2:$P$500,12,FALSE),1))</f>
        <v/>
      </c>
      <c r="I101" s="25"/>
      <c r="J101" s="31" t="str">
        <f>IF(A101="","",IF(H101&lt;=Inicio!$B$16,"Crítico",IF(H101&lt;=Inicio!$B$17,"Observar","OK")))</f>
        <v/>
      </c>
      <c r="K101" s="24"/>
    </row>
    <row r="102" spans="1:11" x14ac:dyDescent="0.35">
      <c r="A102" s="24"/>
      <c r="B102" s="31" t="str">
        <f>IFERROR(VLOOKUP(A102,Clientes_PDV!$A$2:$J$250,2,FALSE),"")</f>
        <v/>
      </c>
      <c r="C102" s="31" t="str">
        <f>IFERROR(VLOOKUP(A102,Clientes_PDV!$A$2:$J$250,3,FALSE),"")</f>
        <v/>
      </c>
      <c r="D102" s="31" t="str">
        <f>IFERROR(VLOOKUP(A102,Clientes_PDV!$A$2:$J$250,4,FALSE),"")</f>
        <v/>
      </c>
      <c r="E102" s="24"/>
      <c r="F102" s="31" t="str">
        <f>IFERROR(VLOOKUP(E102,Maestro_SKU!$A$2:$P$500,2,FALSE),"")</f>
        <v/>
      </c>
      <c r="G102" s="29"/>
      <c r="H102" s="32" t="str">
        <f>IF(OR(G102="",E102=""),"",G102*IFERROR(VLOOKUP(E102,Maestro_SKU!$A$2:$P$500,12,FALSE),1))</f>
        <v/>
      </c>
      <c r="I102" s="25"/>
      <c r="J102" s="31" t="str">
        <f>IF(A102="","",IF(H102&lt;=Inicio!$B$16,"Crítico",IF(H102&lt;=Inicio!$B$17,"Observar","OK")))</f>
        <v/>
      </c>
      <c r="K102" s="24"/>
    </row>
    <row r="103" spans="1:11" x14ac:dyDescent="0.35">
      <c r="A103" s="24"/>
      <c r="B103" s="31" t="str">
        <f>IFERROR(VLOOKUP(A103,Clientes_PDV!$A$2:$J$250,2,FALSE),"")</f>
        <v/>
      </c>
      <c r="C103" s="31" t="str">
        <f>IFERROR(VLOOKUP(A103,Clientes_PDV!$A$2:$J$250,3,FALSE),"")</f>
        <v/>
      </c>
      <c r="D103" s="31" t="str">
        <f>IFERROR(VLOOKUP(A103,Clientes_PDV!$A$2:$J$250,4,FALSE),"")</f>
        <v/>
      </c>
      <c r="E103" s="24"/>
      <c r="F103" s="31" t="str">
        <f>IFERROR(VLOOKUP(E103,Maestro_SKU!$A$2:$P$500,2,FALSE),"")</f>
        <v/>
      </c>
      <c r="G103" s="29"/>
      <c r="H103" s="32" t="str">
        <f>IF(OR(G103="",E103=""),"",G103*IFERROR(VLOOKUP(E103,Maestro_SKU!$A$2:$P$500,12,FALSE),1))</f>
        <v/>
      </c>
      <c r="I103" s="25"/>
      <c r="J103" s="31" t="str">
        <f>IF(A103="","",IF(H103&lt;=Inicio!$B$16,"Crítico",IF(H103&lt;=Inicio!$B$17,"Observar","OK")))</f>
        <v/>
      </c>
      <c r="K103" s="24"/>
    </row>
    <row r="104" spans="1:11" x14ac:dyDescent="0.35">
      <c r="A104" s="24"/>
      <c r="B104" s="31" t="str">
        <f>IFERROR(VLOOKUP(A104,Clientes_PDV!$A$2:$J$250,2,FALSE),"")</f>
        <v/>
      </c>
      <c r="C104" s="31" t="str">
        <f>IFERROR(VLOOKUP(A104,Clientes_PDV!$A$2:$J$250,3,FALSE),"")</f>
        <v/>
      </c>
      <c r="D104" s="31" t="str">
        <f>IFERROR(VLOOKUP(A104,Clientes_PDV!$A$2:$J$250,4,FALSE),"")</f>
        <v/>
      </c>
      <c r="E104" s="24"/>
      <c r="F104" s="31" t="str">
        <f>IFERROR(VLOOKUP(E104,Maestro_SKU!$A$2:$P$500,2,FALSE),"")</f>
        <v/>
      </c>
      <c r="G104" s="29"/>
      <c r="H104" s="32" t="str">
        <f>IF(OR(G104="",E104=""),"",G104*IFERROR(VLOOKUP(E104,Maestro_SKU!$A$2:$P$500,12,FALSE),1))</f>
        <v/>
      </c>
      <c r="I104" s="25"/>
      <c r="J104" s="31" t="str">
        <f>IF(A104="","",IF(H104&lt;=Inicio!$B$16,"Crítico",IF(H104&lt;=Inicio!$B$17,"Observar","OK")))</f>
        <v/>
      </c>
      <c r="K104" s="24"/>
    </row>
    <row r="105" spans="1:11" x14ac:dyDescent="0.35">
      <c r="A105" s="24"/>
      <c r="B105" s="31" t="str">
        <f>IFERROR(VLOOKUP(A105,Clientes_PDV!$A$2:$J$250,2,FALSE),"")</f>
        <v/>
      </c>
      <c r="C105" s="31" t="str">
        <f>IFERROR(VLOOKUP(A105,Clientes_PDV!$A$2:$J$250,3,FALSE),"")</f>
        <v/>
      </c>
      <c r="D105" s="31" t="str">
        <f>IFERROR(VLOOKUP(A105,Clientes_PDV!$A$2:$J$250,4,FALSE),"")</f>
        <v/>
      </c>
      <c r="E105" s="24"/>
      <c r="F105" s="31" t="str">
        <f>IFERROR(VLOOKUP(E105,Maestro_SKU!$A$2:$P$500,2,FALSE),"")</f>
        <v/>
      </c>
      <c r="G105" s="29"/>
      <c r="H105" s="32" t="str">
        <f>IF(OR(G105="",E105=""),"",G105*IFERROR(VLOOKUP(E105,Maestro_SKU!$A$2:$P$500,12,FALSE),1))</f>
        <v/>
      </c>
      <c r="I105" s="25"/>
      <c r="J105" s="31" t="str">
        <f>IF(A105="","",IF(H105&lt;=Inicio!$B$16,"Crítico",IF(H105&lt;=Inicio!$B$17,"Observar","OK")))</f>
        <v/>
      </c>
      <c r="K105" s="24"/>
    </row>
    <row r="106" spans="1:11" x14ac:dyDescent="0.35">
      <c r="A106" s="24"/>
      <c r="B106" s="31" t="str">
        <f>IFERROR(VLOOKUP(A106,Clientes_PDV!$A$2:$J$250,2,FALSE),"")</f>
        <v/>
      </c>
      <c r="C106" s="31" t="str">
        <f>IFERROR(VLOOKUP(A106,Clientes_PDV!$A$2:$J$250,3,FALSE),"")</f>
        <v/>
      </c>
      <c r="D106" s="31" t="str">
        <f>IFERROR(VLOOKUP(A106,Clientes_PDV!$A$2:$J$250,4,FALSE),"")</f>
        <v/>
      </c>
      <c r="E106" s="24"/>
      <c r="F106" s="31" t="str">
        <f>IFERROR(VLOOKUP(E106,Maestro_SKU!$A$2:$P$500,2,FALSE),"")</f>
        <v/>
      </c>
      <c r="G106" s="29"/>
      <c r="H106" s="32" t="str">
        <f>IF(OR(G106="",E106=""),"",G106*IFERROR(VLOOKUP(E106,Maestro_SKU!$A$2:$P$500,12,FALSE),1))</f>
        <v/>
      </c>
      <c r="I106" s="25"/>
      <c r="J106" s="31" t="str">
        <f>IF(A106="","",IF(H106&lt;=Inicio!$B$16,"Crítico",IF(H106&lt;=Inicio!$B$17,"Observar","OK")))</f>
        <v/>
      </c>
      <c r="K106" s="24"/>
    </row>
    <row r="107" spans="1:11" x14ac:dyDescent="0.35">
      <c r="A107" s="24"/>
      <c r="B107" s="31" t="str">
        <f>IFERROR(VLOOKUP(A107,Clientes_PDV!$A$2:$J$250,2,FALSE),"")</f>
        <v/>
      </c>
      <c r="C107" s="31" t="str">
        <f>IFERROR(VLOOKUP(A107,Clientes_PDV!$A$2:$J$250,3,FALSE),"")</f>
        <v/>
      </c>
      <c r="D107" s="31" t="str">
        <f>IFERROR(VLOOKUP(A107,Clientes_PDV!$A$2:$J$250,4,FALSE),"")</f>
        <v/>
      </c>
      <c r="E107" s="24"/>
      <c r="F107" s="31" t="str">
        <f>IFERROR(VLOOKUP(E107,Maestro_SKU!$A$2:$P$500,2,FALSE),"")</f>
        <v/>
      </c>
      <c r="G107" s="29"/>
      <c r="H107" s="32" t="str">
        <f>IF(OR(G107="",E107=""),"",G107*IFERROR(VLOOKUP(E107,Maestro_SKU!$A$2:$P$500,12,FALSE),1))</f>
        <v/>
      </c>
      <c r="I107" s="25"/>
      <c r="J107" s="31" t="str">
        <f>IF(A107="","",IF(H107&lt;=Inicio!$B$16,"Crítico",IF(H107&lt;=Inicio!$B$17,"Observar","OK")))</f>
        <v/>
      </c>
      <c r="K107" s="24"/>
    </row>
    <row r="108" spans="1:11" x14ac:dyDescent="0.35">
      <c r="A108" s="24"/>
      <c r="B108" s="31" t="str">
        <f>IFERROR(VLOOKUP(A108,Clientes_PDV!$A$2:$J$250,2,FALSE),"")</f>
        <v/>
      </c>
      <c r="C108" s="31" t="str">
        <f>IFERROR(VLOOKUP(A108,Clientes_PDV!$A$2:$J$250,3,FALSE),"")</f>
        <v/>
      </c>
      <c r="D108" s="31" t="str">
        <f>IFERROR(VLOOKUP(A108,Clientes_PDV!$A$2:$J$250,4,FALSE),"")</f>
        <v/>
      </c>
      <c r="E108" s="24"/>
      <c r="F108" s="31" t="str">
        <f>IFERROR(VLOOKUP(E108,Maestro_SKU!$A$2:$P$500,2,FALSE),"")</f>
        <v/>
      </c>
      <c r="G108" s="29"/>
      <c r="H108" s="32" t="str">
        <f>IF(OR(G108="",E108=""),"",G108*IFERROR(VLOOKUP(E108,Maestro_SKU!$A$2:$P$500,12,FALSE),1))</f>
        <v/>
      </c>
      <c r="I108" s="25"/>
      <c r="J108" s="31" t="str">
        <f>IF(A108="","",IF(H108&lt;=Inicio!$B$16,"Crítico",IF(H108&lt;=Inicio!$B$17,"Observar","OK")))</f>
        <v/>
      </c>
      <c r="K108" s="24"/>
    </row>
    <row r="109" spans="1:11" x14ac:dyDescent="0.35">
      <c r="A109" s="24"/>
      <c r="B109" s="31" t="str">
        <f>IFERROR(VLOOKUP(A109,Clientes_PDV!$A$2:$J$250,2,FALSE),"")</f>
        <v/>
      </c>
      <c r="C109" s="31" t="str">
        <f>IFERROR(VLOOKUP(A109,Clientes_PDV!$A$2:$J$250,3,FALSE),"")</f>
        <v/>
      </c>
      <c r="D109" s="31" t="str">
        <f>IFERROR(VLOOKUP(A109,Clientes_PDV!$A$2:$J$250,4,FALSE),"")</f>
        <v/>
      </c>
      <c r="E109" s="24"/>
      <c r="F109" s="31" t="str">
        <f>IFERROR(VLOOKUP(E109,Maestro_SKU!$A$2:$P$500,2,FALSE),"")</f>
        <v/>
      </c>
      <c r="G109" s="29"/>
      <c r="H109" s="32" t="str">
        <f>IF(OR(G109="",E109=""),"",G109*IFERROR(VLOOKUP(E109,Maestro_SKU!$A$2:$P$500,12,FALSE),1))</f>
        <v/>
      </c>
      <c r="I109" s="25"/>
      <c r="J109" s="31" t="str">
        <f>IF(A109="","",IF(H109&lt;=Inicio!$B$16,"Crítico",IF(H109&lt;=Inicio!$B$17,"Observar","OK")))</f>
        <v/>
      </c>
      <c r="K109" s="24"/>
    </row>
    <row r="110" spans="1:11" x14ac:dyDescent="0.35">
      <c r="A110" s="24"/>
      <c r="B110" s="31" t="str">
        <f>IFERROR(VLOOKUP(A110,Clientes_PDV!$A$2:$J$250,2,FALSE),"")</f>
        <v/>
      </c>
      <c r="C110" s="31" t="str">
        <f>IFERROR(VLOOKUP(A110,Clientes_PDV!$A$2:$J$250,3,FALSE),"")</f>
        <v/>
      </c>
      <c r="D110" s="31" t="str">
        <f>IFERROR(VLOOKUP(A110,Clientes_PDV!$A$2:$J$250,4,FALSE),"")</f>
        <v/>
      </c>
      <c r="E110" s="24"/>
      <c r="F110" s="31" t="str">
        <f>IFERROR(VLOOKUP(E110,Maestro_SKU!$A$2:$P$500,2,FALSE),"")</f>
        <v/>
      </c>
      <c r="G110" s="29"/>
      <c r="H110" s="32" t="str">
        <f>IF(OR(G110="",E110=""),"",G110*IFERROR(VLOOKUP(E110,Maestro_SKU!$A$2:$P$500,12,FALSE),1))</f>
        <v/>
      </c>
      <c r="I110" s="25"/>
      <c r="J110" s="31" t="str">
        <f>IF(A110="","",IF(H110&lt;=Inicio!$B$16,"Crítico",IF(H110&lt;=Inicio!$B$17,"Observar","OK")))</f>
        <v/>
      </c>
      <c r="K110" s="24"/>
    </row>
    <row r="111" spans="1:11" x14ac:dyDescent="0.35">
      <c r="A111" s="24"/>
      <c r="B111" s="31" t="str">
        <f>IFERROR(VLOOKUP(A111,Clientes_PDV!$A$2:$J$250,2,FALSE),"")</f>
        <v/>
      </c>
      <c r="C111" s="31" t="str">
        <f>IFERROR(VLOOKUP(A111,Clientes_PDV!$A$2:$J$250,3,FALSE),"")</f>
        <v/>
      </c>
      <c r="D111" s="31" t="str">
        <f>IFERROR(VLOOKUP(A111,Clientes_PDV!$A$2:$J$250,4,FALSE),"")</f>
        <v/>
      </c>
      <c r="E111" s="24"/>
      <c r="F111" s="31" t="str">
        <f>IFERROR(VLOOKUP(E111,Maestro_SKU!$A$2:$P$500,2,FALSE),"")</f>
        <v/>
      </c>
      <c r="G111" s="29"/>
      <c r="H111" s="32" t="str">
        <f>IF(OR(G111="",E111=""),"",G111*IFERROR(VLOOKUP(E111,Maestro_SKU!$A$2:$P$500,12,FALSE),1))</f>
        <v/>
      </c>
      <c r="I111" s="25"/>
      <c r="J111" s="31" t="str">
        <f>IF(A111="","",IF(H111&lt;=Inicio!$B$16,"Crítico",IF(H111&lt;=Inicio!$B$17,"Observar","OK")))</f>
        <v/>
      </c>
      <c r="K111" s="24"/>
    </row>
    <row r="112" spans="1:11" x14ac:dyDescent="0.35">
      <c r="A112" s="24"/>
      <c r="B112" s="31" t="str">
        <f>IFERROR(VLOOKUP(A112,Clientes_PDV!$A$2:$J$250,2,FALSE),"")</f>
        <v/>
      </c>
      <c r="C112" s="31" t="str">
        <f>IFERROR(VLOOKUP(A112,Clientes_PDV!$A$2:$J$250,3,FALSE),"")</f>
        <v/>
      </c>
      <c r="D112" s="31" t="str">
        <f>IFERROR(VLOOKUP(A112,Clientes_PDV!$A$2:$J$250,4,FALSE),"")</f>
        <v/>
      </c>
      <c r="E112" s="24"/>
      <c r="F112" s="31" t="str">
        <f>IFERROR(VLOOKUP(E112,Maestro_SKU!$A$2:$P$500,2,FALSE),"")</f>
        <v/>
      </c>
      <c r="G112" s="29"/>
      <c r="H112" s="32" t="str">
        <f>IF(OR(G112="",E112=""),"",G112*IFERROR(VLOOKUP(E112,Maestro_SKU!$A$2:$P$500,12,FALSE),1))</f>
        <v/>
      </c>
      <c r="I112" s="25"/>
      <c r="J112" s="31" t="str">
        <f>IF(A112="","",IF(H112&lt;=Inicio!$B$16,"Crítico",IF(H112&lt;=Inicio!$B$17,"Observar","OK")))</f>
        <v/>
      </c>
      <c r="K112" s="24"/>
    </row>
    <row r="113" spans="1:11" x14ac:dyDescent="0.35">
      <c r="A113" s="24"/>
      <c r="B113" s="31" t="str">
        <f>IFERROR(VLOOKUP(A113,Clientes_PDV!$A$2:$J$250,2,FALSE),"")</f>
        <v/>
      </c>
      <c r="C113" s="31" t="str">
        <f>IFERROR(VLOOKUP(A113,Clientes_PDV!$A$2:$J$250,3,FALSE),"")</f>
        <v/>
      </c>
      <c r="D113" s="31" t="str">
        <f>IFERROR(VLOOKUP(A113,Clientes_PDV!$A$2:$J$250,4,FALSE),"")</f>
        <v/>
      </c>
      <c r="E113" s="24"/>
      <c r="F113" s="31" t="str">
        <f>IFERROR(VLOOKUP(E113,Maestro_SKU!$A$2:$P$500,2,FALSE),"")</f>
        <v/>
      </c>
      <c r="G113" s="29"/>
      <c r="H113" s="32" t="str">
        <f>IF(OR(G113="",E113=""),"",G113*IFERROR(VLOOKUP(E113,Maestro_SKU!$A$2:$P$500,12,FALSE),1))</f>
        <v/>
      </c>
      <c r="I113" s="25"/>
      <c r="J113" s="31" t="str">
        <f>IF(A113="","",IF(H113&lt;=Inicio!$B$16,"Crítico",IF(H113&lt;=Inicio!$B$17,"Observar","OK")))</f>
        <v/>
      </c>
      <c r="K113" s="24"/>
    </row>
    <row r="114" spans="1:11" x14ac:dyDescent="0.35">
      <c r="A114" s="24"/>
      <c r="B114" s="31" t="str">
        <f>IFERROR(VLOOKUP(A114,Clientes_PDV!$A$2:$J$250,2,FALSE),"")</f>
        <v/>
      </c>
      <c r="C114" s="31" t="str">
        <f>IFERROR(VLOOKUP(A114,Clientes_PDV!$A$2:$J$250,3,FALSE),"")</f>
        <v/>
      </c>
      <c r="D114" s="31" t="str">
        <f>IFERROR(VLOOKUP(A114,Clientes_PDV!$A$2:$J$250,4,FALSE),"")</f>
        <v/>
      </c>
      <c r="E114" s="24"/>
      <c r="F114" s="31" t="str">
        <f>IFERROR(VLOOKUP(E114,Maestro_SKU!$A$2:$P$500,2,FALSE),"")</f>
        <v/>
      </c>
      <c r="G114" s="29"/>
      <c r="H114" s="32" t="str">
        <f>IF(OR(G114="",E114=""),"",G114*IFERROR(VLOOKUP(E114,Maestro_SKU!$A$2:$P$500,12,FALSE),1))</f>
        <v/>
      </c>
      <c r="I114" s="25"/>
      <c r="J114" s="31" t="str">
        <f>IF(A114="","",IF(H114&lt;=Inicio!$B$16,"Crítico",IF(H114&lt;=Inicio!$B$17,"Observar","OK")))</f>
        <v/>
      </c>
      <c r="K114" s="24"/>
    </row>
    <row r="115" spans="1:11" x14ac:dyDescent="0.35">
      <c r="A115" s="24"/>
      <c r="B115" s="31" t="str">
        <f>IFERROR(VLOOKUP(A115,Clientes_PDV!$A$2:$J$250,2,FALSE),"")</f>
        <v/>
      </c>
      <c r="C115" s="31" t="str">
        <f>IFERROR(VLOOKUP(A115,Clientes_PDV!$A$2:$J$250,3,FALSE),"")</f>
        <v/>
      </c>
      <c r="D115" s="31" t="str">
        <f>IFERROR(VLOOKUP(A115,Clientes_PDV!$A$2:$J$250,4,FALSE),"")</f>
        <v/>
      </c>
      <c r="E115" s="24"/>
      <c r="F115" s="31" t="str">
        <f>IFERROR(VLOOKUP(E115,Maestro_SKU!$A$2:$P$500,2,FALSE),"")</f>
        <v/>
      </c>
      <c r="G115" s="29"/>
      <c r="H115" s="32" t="str">
        <f>IF(OR(G115="",E115=""),"",G115*IFERROR(VLOOKUP(E115,Maestro_SKU!$A$2:$P$500,12,FALSE),1))</f>
        <v/>
      </c>
      <c r="I115" s="25"/>
      <c r="J115" s="31" t="str">
        <f>IF(A115="","",IF(H115&lt;=Inicio!$B$16,"Crítico",IF(H115&lt;=Inicio!$B$17,"Observar","OK")))</f>
        <v/>
      </c>
      <c r="K115" s="24"/>
    </row>
    <row r="116" spans="1:11" x14ac:dyDescent="0.35">
      <c r="A116" s="24"/>
      <c r="B116" s="31" t="str">
        <f>IFERROR(VLOOKUP(A116,Clientes_PDV!$A$2:$J$250,2,FALSE),"")</f>
        <v/>
      </c>
      <c r="C116" s="31" t="str">
        <f>IFERROR(VLOOKUP(A116,Clientes_PDV!$A$2:$J$250,3,FALSE),"")</f>
        <v/>
      </c>
      <c r="D116" s="31" t="str">
        <f>IFERROR(VLOOKUP(A116,Clientes_PDV!$A$2:$J$250,4,FALSE),"")</f>
        <v/>
      </c>
      <c r="E116" s="24"/>
      <c r="F116" s="31" t="str">
        <f>IFERROR(VLOOKUP(E116,Maestro_SKU!$A$2:$P$500,2,FALSE),"")</f>
        <v/>
      </c>
      <c r="G116" s="29"/>
      <c r="H116" s="32" t="str">
        <f>IF(OR(G116="",E116=""),"",G116*IFERROR(VLOOKUP(E116,Maestro_SKU!$A$2:$P$500,12,FALSE),1))</f>
        <v/>
      </c>
      <c r="I116" s="25"/>
      <c r="J116" s="31" t="str">
        <f>IF(A116="","",IF(H116&lt;=Inicio!$B$16,"Crítico",IF(H116&lt;=Inicio!$B$17,"Observar","OK")))</f>
        <v/>
      </c>
      <c r="K116" s="24"/>
    </row>
    <row r="117" spans="1:11" x14ac:dyDescent="0.35">
      <c r="A117" s="24"/>
      <c r="B117" s="31" t="str">
        <f>IFERROR(VLOOKUP(A117,Clientes_PDV!$A$2:$J$250,2,FALSE),"")</f>
        <v/>
      </c>
      <c r="C117" s="31" t="str">
        <f>IFERROR(VLOOKUP(A117,Clientes_PDV!$A$2:$J$250,3,FALSE),"")</f>
        <v/>
      </c>
      <c r="D117" s="31" t="str">
        <f>IFERROR(VLOOKUP(A117,Clientes_PDV!$A$2:$J$250,4,FALSE),"")</f>
        <v/>
      </c>
      <c r="E117" s="24"/>
      <c r="F117" s="31" t="str">
        <f>IFERROR(VLOOKUP(E117,Maestro_SKU!$A$2:$P$500,2,FALSE),"")</f>
        <v/>
      </c>
      <c r="G117" s="29"/>
      <c r="H117" s="32" t="str">
        <f>IF(OR(G117="",E117=""),"",G117*IFERROR(VLOOKUP(E117,Maestro_SKU!$A$2:$P$500,12,FALSE),1))</f>
        <v/>
      </c>
      <c r="I117" s="25"/>
      <c r="J117" s="31" t="str">
        <f>IF(A117="","",IF(H117&lt;=Inicio!$B$16,"Crítico",IF(H117&lt;=Inicio!$B$17,"Observar","OK")))</f>
        <v/>
      </c>
      <c r="K117" s="24"/>
    </row>
    <row r="118" spans="1:11" x14ac:dyDescent="0.35">
      <c r="A118" s="24"/>
      <c r="B118" s="31" t="str">
        <f>IFERROR(VLOOKUP(A118,Clientes_PDV!$A$2:$J$250,2,FALSE),"")</f>
        <v/>
      </c>
      <c r="C118" s="31" t="str">
        <f>IFERROR(VLOOKUP(A118,Clientes_PDV!$A$2:$J$250,3,FALSE),"")</f>
        <v/>
      </c>
      <c r="D118" s="31" t="str">
        <f>IFERROR(VLOOKUP(A118,Clientes_PDV!$A$2:$J$250,4,FALSE),"")</f>
        <v/>
      </c>
      <c r="E118" s="24"/>
      <c r="F118" s="31" t="str">
        <f>IFERROR(VLOOKUP(E118,Maestro_SKU!$A$2:$P$500,2,FALSE),"")</f>
        <v/>
      </c>
      <c r="G118" s="29"/>
      <c r="H118" s="32" t="str">
        <f>IF(OR(G118="",E118=""),"",G118*IFERROR(VLOOKUP(E118,Maestro_SKU!$A$2:$P$500,12,FALSE),1))</f>
        <v/>
      </c>
      <c r="I118" s="25"/>
      <c r="J118" s="31" t="str">
        <f>IF(A118="","",IF(H118&lt;=Inicio!$B$16,"Crítico",IF(H118&lt;=Inicio!$B$17,"Observar","OK")))</f>
        <v/>
      </c>
      <c r="K118" s="24"/>
    </row>
    <row r="119" spans="1:11" x14ac:dyDescent="0.35">
      <c r="A119" s="24"/>
      <c r="B119" s="31" t="str">
        <f>IFERROR(VLOOKUP(A119,Clientes_PDV!$A$2:$J$250,2,FALSE),"")</f>
        <v/>
      </c>
      <c r="C119" s="31" t="str">
        <f>IFERROR(VLOOKUP(A119,Clientes_PDV!$A$2:$J$250,3,FALSE),"")</f>
        <v/>
      </c>
      <c r="D119" s="31" t="str">
        <f>IFERROR(VLOOKUP(A119,Clientes_PDV!$A$2:$J$250,4,FALSE),"")</f>
        <v/>
      </c>
      <c r="E119" s="24"/>
      <c r="F119" s="31" t="str">
        <f>IFERROR(VLOOKUP(E119,Maestro_SKU!$A$2:$P$500,2,FALSE),"")</f>
        <v/>
      </c>
      <c r="G119" s="29"/>
      <c r="H119" s="32" t="str">
        <f>IF(OR(G119="",E119=""),"",G119*IFERROR(VLOOKUP(E119,Maestro_SKU!$A$2:$P$500,12,FALSE),1))</f>
        <v/>
      </c>
      <c r="I119" s="25"/>
      <c r="J119" s="31" t="str">
        <f>IF(A119="","",IF(H119&lt;=Inicio!$B$16,"Crítico",IF(H119&lt;=Inicio!$B$17,"Observar","OK")))</f>
        <v/>
      </c>
      <c r="K119" s="24"/>
    </row>
    <row r="120" spans="1:11" x14ac:dyDescent="0.35">
      <c r="A120" s="24"/>
      <c r="B120" s="31" t="str">
        <f>IFERROR(VLOOKUP(A120,Clientes_PDV!$A$2:$J$250,2,FALSE),"")</f>
        <v/>
      </c>
      <c r="C120" s="31" t="str">
        <f>IFERROR(VLOOKUP(A120,Clientes_PDV!$A$2:$J$250,3,FALSE),"")</f>
        <v/>
      </c>
      <c r="D120" s="31" t="str">
        <f>IFERROR(VLOOKUP(A120,Clientes_PDV!$A$2:$J$250,4,FALSE),"")</f>
        <v/>
      </c>
      <c r="E120" s="24"/>
      <c r="F120" s="31" t="str">
        <f>IFERROR(VLOOKUP(E120,Maestro_SKU!$A$2:$P$500,2,FALSE),"")</f>
        <v/>
      </c>
      <c r="G120" s="29"/>
      <c r="H120" s="32" t="str">
        <f>IF(OR(G120="",E120=""),"",G120*IFERROR(VLOOKUP(E120,Maestro_SKU!$A$2:$P$500,12,FALSE),1))</f>
        <v/>
      </c>
      <c r="I120" s="25"/>
      <c r="J120" s="31" t="str">
        <f>IF(A120="","",IF(H120&lt;=Inicio!$B$16,"Crítico",IF(H120&lt;=Inicio!$B$17,"Observar","OK")))</f>
        <v/>
      </c>
      <c r="K120" s="24"/>
    </row>
    <row r="121" spans="1:11" x14ac:dyDescent="0.35">
      <c r="A121" s="24"/>
      <c r="B121" s="31" t="str">
        <f>IFERROR(VLOOKUP(A121,Clientes_PDV!$A$2:$J$250,2,FALSE),"")</f>
        <v/>
      </c>
      <c r="C121" s="31" t="str">
        <f>IFERROR(VLOOKUP(A121,Clientes_PDV!$A$2:$J$250,3,FALSE),"")</f>
        <v/>
      </c>
      <c r="D121" s="31" t="str">
        <f>IFERROR(VLOOKUP(A121,Clientes_PDV!$A$2:$J$250,4,FALSE),"")</f>
        <v/>
      </c>
      <c r="E121" s="24"/>
      <c r="F121" s="31" t="str">
        <f>IFERROR(VLOOKUP(E121,Maestro_SKU!$A$2:$P$500,2,FALSE),"")</f>
        <v/>
      </c>
      <c r="G121" s="29"/>
      <c r="H121" s="32" t="str">
        <f>IF(OR(G121="",E121=""),"",G121*IFERROR(VLOOKUP(E121,Maestro_SKU!$A$2:$P$500,12,FALSE),1))</f>
        <v/>
      </c>
      <c r="I121" s="25"/>
      <c r="J121" s="31" t="str">
        <f>IF(A121="","",IF(H121&lt;=Inicio!$B$16,"Crítico",IF(H121&lt;=Inicio!$B$17,"Observar","OK")))</f>
        <v/>
      </c>
      <c r="K121" s="24"/>
    </row>
    <row r="122" spans="1:11" x14ac:dyDescent="0.35">
      <c r="A122" s="24"/>
      <c r="B122" s="31" t="str">
        <f>IFERROR(VLOOKUP(A122,Clientes_PDV!$A$2:$J$250,2,FALSE),"")</f>
        <v/>
      </c>
      <c r="C122" s="31" t="str">
        <f>IFERROR(VLOOKUP(A122,Clientes_PDV!$A$2:$J$250,3,FALSE),"")</f>
        <v/>
      </c>
      <c r="D122" s="31" t="str">
        <f>IFERROR(VLOOKUP(A122,Clientes_PDV!$A$2:$J$250,4,FALSE),"")</f>
        <v/>
      </c>
      <c r="E122" s="24"/>
      <c r="F122" s="31" t="str">
        <f>IFERROR(VLOOKUP(E122,Maestro_SKU!$A$2:$P$500,2,FALSE),"")</f>
        <v/>
      </c>
      <c r="G122" s="29"/>
      <c r="H122" s="32" t="str">
        <f>IF(OR(G122="",E122=""),"",G122*IFERROR(VLOOKUP(E122,Maestro_SKU!$A$2:$P$500,12,FALSE),1))</f>
        <v/>
      </c>
      <c r="I122" s="25"/>
      <c r="J122" s="31" t="str">
        <f>IF(A122="","",IF(H122&lt;=Inicio!$B$16,"Crítico",IF(H122&lt;=Inicio!$B$17,"Observar","OK")))</f>
        <v/>
      </c>
      <c r="K122" s="24"/>
    </row>
    <row r="123" spans="1:11" x14ac:dyDescent="0.35">
      <c r="A123" s="24"/>
      <c r="B123" s="31" t="str">
        <f>IFERROR(VLOOKUP(A123,Clientes_PDV!$A$2:$J$250,2,FALSE),"")</f>
        <v/>
      </c>
      <c r="C123" s="31" t="str">
        <f>IFERROR(VLOOKUP(A123,Clientes_PDV!$A$2:$J$250,3,FALSE),"")</f>
        <v/>
      </c>
      <c r="D123" s="31" t="str">
        <f>IFERROR(VLOOKUP(A123,Clientes_PDV!$A$2:$J$250,4,FALSE),"")</f>
        <v/>
      </c>
      <c r="E123" s="24"/>
      <c r="F123" s="31" t="str">
        <f>IFERROR(VLOOKUP(E123,Maestro_SKU!$A$2:$P$500,2,FALSE),"")</f>
        <v/>
      </c>
      <c r="G123" s="29"/>
      <c r="H123" s="32" t="str">
        <f>IF(OR(G123="",E123=""),"",G123*IFERROR(VLOOKUP(E123,Maestro_SKU!$A$2:$P$500,12,FALSE),1))</f>
        <v/>
      </c>
      <c r="I123" s="25"/>
      <c r="J123" s="31" t="str">
        <f>IF(A123="","",IF(H123&lt;=Inicio!$B$16,"Crítico",IF(H123&lt;=Inicio!$B$17,"Observar","OK")))</f>
        <v/>
      </c>
      <c r="K123" s="24"/>
    </row>
    <row r="124" spans="1:11" x14ac:dyDescent="0.35">
      <c r="A124" s="24"/>
      <c r="B124" s="31" t="str">
        <f>IFERROR(VLOOKUP(A124,Clientes_PDV!$A$2:$J$250,2,FALSE),"")</f>
        <v/>
      </c>
      <c r="C124" s="31" t="str">
        <f>IFERROR(VLOOKUP(A124,Clientes_PDV!$A$2:$J$250,3,FALSE),"")</f>
        <v/>
      </c>
      <c r="D124" s="31" t="str">
        <f>IFERROR(VLOOKUP(A124,Clientes_PDV!$A$2:$J$250,4,FALSE),"")</f>
        <v/>
      </c>
      <c r="E124" s="24"/>
      <c r="F124" s="31" t="str">
        <f>IFERROR(VLOOKUP(E124,Maestro_SKU!$A$2:$P$500,2,FALSE),"")</f>
        <v/>
      </c>
      <c r="G124" s="29"/>
      <c r="H124" s="32" t="str">
        <f>IF(OR(G124="",E124=""),"",G124*IFERROR(VLOOKUP(E124,Maestro_SKU!$A$2:$P$500,12,FALSE),1))</f>
        <v/>
      </c>
      <c r="I124" s="25"/>
      <c r="J124" s="31" t="str">
        <f>IF(A124="","",IF(H124&lt;=Inicio!$B$16,"Crítico",IF(H124&lt;=Inicio!$B$17,"Observar","OK")))</f>
        <v/>
      </c>
      <c r="K124" s="24"/>
    </row>
    <row r="125" spans="1:11" x14ac:dyDescent="0.35">
      <c r="A125" s="24"/>
      <c r="B125" s="31" t="str">
        <f>IFERROR(VLOOKUP(A125,Clientes_PDV!$A$2:$J$250,2,FALSE),"")</f>
        <v/>
      </c>
      <c r="C125" s="31" t="str">
        <f>IFERROR(VLOOKUP(A125,Clientes_PDV!$A$2:$J$250,3,FALSE),"")</f>
        <v/>
      </c>
      <c r="D125" s="31" t="str">
        <f>IFERROR(VLOOKUP(A125,Clientes_PDV!$A$2:$J$250,4,FALSE),"")</f>
        <v/>
      </c>
      <c r="E125" s="24"/>
      <c r="F125" s="31" t="str">
        <f>IFERROR(VLOOKUP(E125,Maestro_SKU!$A$2:$P$500,2,FALSE),"")</f>
        <v/>
      </c>
      <c r="G125" s="29"/>
      <c r="H125" s="32" t="str">
        <f>IF(OR(G125="",E125=""),"",G125*IFERROR(VLOOKUP(E125,Maestro_SKU!$A$2:$P$500,12,FALSE),1))</f>
        <v/>
      </c>
      <c r="I125" s="25"/>
      <c r="J125" s="31" t="str">
        <f>IF(A125="","",IF(H125&lt;=Inicio!$B$16,"Crítico",IF(H125&lt;=Inicio!$B$17,"Observar","OK")))</f>
        <v/>
      </c>
      <c r="K125" s="24"/>
    </row>
    <row r="126" spans="1:11" x14ac:dyDescent="0.35">
      <c r="A126" s="24"/>
      <c r="B126" s="31" t="str">
        <f>IFERROR(VLOOKUP(A126,Clientes_PDV!$A$2:$J$250,2,FALSE),"")</f>
        <v/>
      </c>
      <c r="C126" s="31" t="str">
        <f>IFERROR(VLOOKUP(A126,Clientes_PDV!$A$2:$J$250,3,FALSE),"")</f>
        <v/>
      </c>
      <c r="D126" s="31" t="str">
        <f>IFERROR(VLOOKUP(A126,Clientes_PDV!$A$2:$J$250,4,FALSE),"")</f>
        <v/>
      </c>
      <c r="E126" s="24"/>
      <c r="F126" s="31" t="str">
        <f>IFERROR(VLOOKUP(E126,Maestro_SKU!$A$2:$P$500,2,FALSE),"")</f>
        <v/>
      </c>
      <c r="G126" s="29"/>
      <c r="H126" s="32" t="str">
        <f>IF(OR(G126="",E126=""),"",G126*IFERROR(VLOOKUP(E126,Maestro_SKU!$A$2:$P$500,12,FALSE),1))</f>
        <v/>
      </c>
      <c r="I126" s="25"/>
      <c r="J126" s="31" t="str">
        <f>IF(A126="","",IF(H126&lt;=Inicio!$B$16,"Crítico",IF(H126&lt;=Inicio!$B$17,"Observar","OK")))</f>
        <v/>
      </c>
      <c r="K126" s="24"/>
    </row>
    <row r="127" spans="1:11" x14ac:dyDescent="0.35">
      <c r="A127" s="24"/>
      <c r="B127" s="31" t="str">
        <f>IFERROR(VLOOKUP(A127,Clientes_PDV!$A$2:$J$250,2,FALSE),"")</f>
        <v/>
      </c>
      <c r="C127" s="31" t="str">
        <f>IFERROR(VLOOKUP(A127,Clientes_PDV!$A$2:$J$250,3,FALSE),"")</f>
        <v/>
      </c>
      <c r="D127" s="31" t="str">
        <f>IFERROR(VLOOKUP(A127,Clientes_PDV!$A$2:$J$250,4,FALSE),"")</f>
        <v/>
      </c>
      <c r="E127" s="24"/>
      <c r="F127" s="31" t="str">
        <f>IFERROR(VLOOKUP(E127,Maestro_SKU!$A$2:$P$500,2,FALSE),"")</f>
        <v/>
      </c>
      <c r="G127" s="29"/>
      <c r="H127" s="32" t="str">
        <f>IF(OR(G127="",E127=""),"",G127*IFERROR(VLOOKUP(E127,Maestro_SKU!$A$2:$P$500,12,FALSE),1))</f>
        <v/>
      </c>
      <c r="I127" s="25"/>
      <c r="J127" s="31" t="str">
        <f>IF(A127="","",IF(H127&lt;=Inicio!$B$16,"Crítico",IF(H127&lt;=Inicio!$B$17,"Observar","OK")))</f>
        <v/>
      </c>
      <c r="K127" s="24"/>
    </row>
    <row r="128" spans="1:11" x14ac:dyDescent="0.35">
      <c r="A128" s="24"/>
      <c r="B128" s="31" t="str">
        <f>IFERROR(VLOOKUP(A128,Clientes_PDV!$A$2:$J$250,2,FALSE),"")</f>
        <v/>
      </c>
      <c r="C128" s="31" t="str">
        <f>IFERROR(VLOOKUP(A128,Clientes_PDV!$A$2:$J$250,3,FALSE),"")</f>
        <v/>
      </c>
      <c r="D128" s="31" t="str">
        <f>IFERROR(VLOOKUP(A128,Clientes_PDV!$A$2:$J$250,4,FALSE),"")</f>
        <v/>
      </c>
      <c r="E128" s="24"/>
      <c r="F128" s="31" t="str">
        <f>IFERROR(VLOOKUP(E128,Maestro_SKU!$A$2:$P$500,2,FALSE),"")</f>
        <v/>
      </c>
      <c r="G128" s="29"/>
      <c r="H128" s="32" t="str">
        <f>IF(OR(G128="",E128=""),"",G128*IFERROR(VLOOKUP(E128,Maestro_SKU!$A$2:$P$500,12,FALSE),1))</f>
        <v/>
      </c>
      <c r="I128" s="25"/>
      <c r="J128" s="31" t="str">
        <f>IF(A128="","",IF(H128&lt;=Inicio!$B$16,"Crítico",IF(H128&lt;=Inicio!$B$17,"Observar","OK")))</f>
        <v/>
      </c>
      <c r="K128" s="24"/>
    </row>
    <row r="129" spans="1:11" x14ac:dyDescent="0.35">
      <c r="A129" s="24"/>
      <c r="B129" s="31" t="str">
        <f>IFERROR(VLOOKUP(A129,Clientes_PDV!$A$2:$J$250,2,FALSE),"")</f>
        <v/>
      </c>
      <c r="C129" s="31" t="str">
        <f>IFERROR(VLOOKUP(A129,Clientes_PDV!$A$2:$J$250,3,FALSE),"")</f>
        <v/>
      </c>
      <c r="D129" s="31" t="str">
        <f>IFERROR(VLOOKUP(A129,Clientes_PDV!$A$2:$J$250,4,FALSE),"")</f>
        <v/>
      </c>
      <c r="E129" s="24"/>
      <c r="F129" s="31" t="str">
        <f>IFERROR(VLOOKUP(E129,Maestro_SKU!$A$2:$P$500,2,FALSE),"")</f>
        <v/>
      </c>
      <c r="G129" s="29"/>
      <c r="H129" s="32" t="str">
        <f>IF(OR(G129="",E129=""),"",G129*IFERROR(VLOOKUP(E129,Maestro_SKU!$A$2:$P$500,12,FALSE),1))</f>
        <v/>
      </c>
      <c r="I129" s="25"/>
      <c r="J129" s="31" t="str">
        <f>IF(A129="","",IF(H129&lt;=Inicio!$B$16,"Crítico",IF(H129&lt;=Inicio!$B$17,"Observar","OK")))</f>
        <v/>
      </c>
      <c r="K129" s="24"/>
    </row>
    <row r="130" spans="1:11" x14ac:dyDescent="0.35">
      <c r="A130" s="24"/>
      <c r="B130" s="31" t="str">
        <f>IFERROR(VLOOKUP(A130,Clientes_PDV!$A$2:$J$250,2,FALSE),"")</f>
        <v/>
      </c>
      <c r="C130" s="31" t="str">
        <f>IFERROR(VLOOKUP(A130,Clientes_PDV!$A$2:$J$250,3,FALSE),"")</f>
        <v/>
      </c>
      <c r="D130" s="31" t="str">
        <f>IFERROR(VLOOKUP(A130,Clientes_PDV!$A$2:$J$250,4,FALSE),"")</f>
        <v/>
      </c>
      <c r="E130" s="24"/>
      <c r="F130" s="31" t="str">
        <f>IFERROR(VLOOKUP(E130,Maestro_SKU!$A$2:$P$500,2,FALSE),"")</f>
        <v/>
      </c>
      <c r="G130" s="29"/>
      <c r="H130" s="32" t="str">
        <f>IF(OR(G130="",E130=""),"",G130*IFERROR(VLOOKUP(E130,Maestro_SKU!$A$2:$P$500,12,FALSE),1))</f>
        <v/>
      </c>
      <c r="I130" s="25"/>
      <c r="J130" s="31" t="str">
        <f>IF(A130="","",IF(H130&lt;=Inicio!$B$16,"Crítico",IF(H130&lt;=Inicio!$B$17,"Observar","OK")))</f>
        <v/>
      </c>
      <c r="K130" s="24"/>
    </row>
    <row r="131" spans="1:11" x14ac:dyDescent="0.35">
      <c r="A131" s="24"/>
      <c r="B131" s="31" t="str">
        <f>IFERROR(VLOOKUP(A131,Clientes_PDV!$A$2:$J$250,2,FALSE),"")</f>
        <v/>
      </c>
      <c r="C131" s="31" t="str">
        <f>IFERROR(VLOOKUP(A131,Clientes_PDV!$A$2:$J$250,3,FALSE),"")</f>
        <v/>
      </c>
      <c r="D131" s="31" t="str">
        <f>IFERROR(VLOOKUP(A131,Clientes_PDV!$A$2:$J$250,4,FALSE),"")</f>
        <v/>
      </c>
      <c r="E131" s="24"/>
      <c r="F131" s="31" t="str">
        <f>IFERROR(VLOOKUP(E131,Maestro_SKU!$A$2:$P$500,2,FALSE),"")</f>
        <v/>
      </c>
      <c r="G131" s="29"/>
      <c r="H131" s="32" t="str">
        <f>IF(OR(G131="",E131=""),"",G131*IFERROR(VLOOKUP(E131,Maestro_SKU!$A$2:$P$500,12,FALSE),1))</f>
        <v/>
      </c>
      <c r="I131" s="25"/>
      <c r="J131" s="31" t="str">
        <f>IF(A131="","",IF(H131&lt;=Inicio!$B$16,"Crítico",IF(H131&lt;=Inicio!$B$17,"Observar","OK")))</f>
        <v/>
      </c>
      <c r="K131" s="24"/>
    </row>
    <row r="132" spans="1:11" x14ac:dyDescent="0.35">
      <c r="A132" s="24"/>
      <c r="B132" s="31" t="str">
        <f>IFERROR(VLOOKUP(A132,Clientes_PDV!$A$2:$J$250,2,FALSE),"")</f>
        <v/>
      </c>
      <c r="C132" s="31" t="str">
        <f>IFERROR(VLOOKUP(A132,Clientes_PDV!$A$2:$J$250,3,FALSE),"")</f>
        <v/>
      </c>
      <c r="D132" s="31" t="str">
        <f>IFERROR(VLOOKUP(A132,Clientes_PDV!$A$2:$J$250,4,FALSE),"")</f>
        <v/>
      </c>
      <c r="E132" s="24"/>
      <c r="F132" s="31" t="str">
        <f>IFERROR(VLOOKUP(E132,Maestro_SKU!$A$2:$P$500,2,FALSE),"")</f>
        <v/>
      </c>
      <c r="G132" s="29"/>
      <c r="H132" s="32" t="str">
        <f>IF(OR(G132="",E132=""),"",G132*IFERROR(VLOOKUP(E132,Maestro_SKU!$A$2:$P$500,12,FALSE),1))</f>
        <v/>
      </c>
      <c r="I132" s="25"/>
      <c r="J132" s="31" t="str">
        <f>IF(A132="","",IF(H132&lt;=Inicio!$B$16,"Crítico",IF(H132&lt;=Inicio!$B$17,"Observar","OK")))</f>
        <v/>
      </c>
      <c r="K132" s="24"/>
    </row>
    <row r="133" spans="1:11" x14ac:dyDescent="0.35">
      <c r="A133" s="24"/>
      <c r="B133" s="31" t="str">
        <f>IFERROR(VLOOKUP(A133,Clientes_PDV!$A$2:$J$250,2,FALSE),"")</f>
        <v/>
      </c>
      <c r="C133" s="31" t="str">
        <f>IFERROR(VLOOKUP(A133,Clientes_PDV!$A$2:$J$250,3,FALSE),"")</f>
        <v/>
      </c>
      <c r="D133" s="31" t="str">
        <f>IFERROR(VLOOKUP(A133,Clientes_PDV!$A$2:$J$250,4,FALSE),"")</f>
        <v/>
      </c>
      <c r="E133" s="24"/>
      <c r="F133" s="31" t="str">
        <f>IFERROR(VLOOKUP(E133,Maestro_SKU!$A$2:$P$500,2,FALSE),"")</f>
        <v/>
      </c>
      <c r="G133" s="29"/>
      <c r="H133" s="32" t="str">
        <f>IF(OR(G133="",E133=""),"",G133*IFERROR(VLOOKUP(E133,Maestro_SKU!$A$2:$P$500,12,FALSE),1))</f>
        <v/>
      </c>
      <c r="I133" s="25"/>
      <c r="J133" s="31" t="str">
        <f>IF(A133="","",IF(H133&lt;=Inicio!$B$16,"Crítico",IF(H133&lt;=Inicio!$B$17,"Observar","OK")))</f>
        <v/>
      </c>
      <c r="K133" s="24"/>
    </row>
    <row r="134" spans="1:11" x14ac:dyDescent="0.35">
      <c r="A134" s="24"/>
      <c r="B134" s="31" t="str">
        <f>IFERROR(VLOOKUP(A134,Clientes_PDV!$A$2:$J$250,2,FALSE),"")</f>
        <v/>
      </c>
      <c r="C134" s="31" t="str">
        <f>IFERROR(VLOOKUP(A134,Clientes_PDV!$A$2:$J$250,3,FALSE),"")</f>
        <v/>
      </c>
      <c r="D134" s="31" t="str">
        <f>IFERROR(VLOOKUP(A134,Clientes_PDV!$A$2:$J$250,4,FALSE),"")</f>
        <v/>
      </c>
      <c r="E134" s="24"/>
      <c r="F134" s="31" t="str">
        <f>IFERROR(VLOOKUP(E134,Maestro_SKU!$A$2:$P$500,2,FALSE),"")</f>
        <v/>
      </c>
      <c r="G134" s="29"/>
      <c r="H134" s="32" t="str">
        <f>IF(OR(G134="",E134=""),"",G134*IFERROR(VLOOKUP(E134,Maestro_SKU!$A$2:$P$500,12,FALSE),1))</f>
        <v/>
      </c>
      <c r="I134" s="25"/>
      <c r="J134" s="31" t="str">
        <f>IF(A134="","",IF(H134&lt;=Inicio!$B$16,"Crítico",IF(H134&lt;=Inicio!$B$17,"Observar","OK")))</f>
        <v/>
      </c>
      <c r="K134" s="24"/>
    </row>
    <row r="135" spans="1:11" x14ac:dyDescent="0.35">
      <c r="A135" s="24"/>
      <c r="B135" s="31" t="str">
        <f>IFERROR(VLOOKUP(A135,Clientes_PDV!$A$2:$J$250,2,FALSE),"")</f>
        <v/>
      </c>
      <c r="C135" s="31" t="str">
        <f>IFERROR(VLOOKUP(A135,Clientes_PDV!$A$2:$J$250,3,FALSE),"")</f>
        <v/>
      </c>
      <c r="D135" s="31" t="str">
        <f>IFERROR(VLOOKUP(A135,Clientes_PDV!$A$2:$J$250,4,FALSE),"")</f>
        <v/>
      </c>
      <c r="E135" s="24"/>
      <c r="F135" s="31" t="str">
        <f>IFERROR(VLOOKUP(E135,Maestro_SKU!$A$2:$P$500,2,FALSE),"")</f>
        <v/>
      </c>
      <c r="G135" s="29"/>
      <c r="H135" s="32" t="str">
        <f>IF(OR(G135="",E135=""),"",G135*IFERROR(VLOOKUP(E135,Maestro_SKU!$A$2:$P$500,12,FALSE),1))</f>
        <v/>
      </c>
      <c r="I135" s="25"/>
      <c r="J135" s="31" t="str">
        <f>IF(A135="","",IF(H135&lt;=Inicio!$B$16,"Crítico",IF(H135&lt;=Inicio!$B$17,"Observar","OK")))</f>
        <v/>
      </c>
      <c r="K135" s="24"/>
    </row>
    <row r="136" spans="1:11" x14ac:dyDescent="0.35">
      <c r="A136" s="24"/>
      <c r="B136" s="31" t="str">
        <f>IFERROR(VLOOKUP(A136,Clientes_PDV!$A$2:$J$250,2,FALSE),"")</f>
        <v/>
      </c>
      <c r="C136" s="31" t="str">
        <f>IFERROR(VLOOKUP(A136,Clientes_PDV!$A$2:$J$250,3,FALSE),"")</f>
        <v/>
      </c>
      <c r="D136" s="31" t="str">
        <f>IFERROR(VLOOKUP(A136,Clientes_PDV!$A$2:$J$250,4,FALSE),"")</f>
        <v/>
      </c>
      <c r="E136" s="24"/>
      <c r="F136" s="31" t="str">
        <f>IFERROR(VLOOKUP(E136,Maestro_SKU!$A$2:$P$500,2,FALSE),"")</f>
        <v/>
      </c>
      <c r="G136" s="29"/>
      <c r="H136" s="32" t="str">
        <f>IF(OR(G136="",E136=""),"",G136*IFERROR(VLOOKUP(E136,Maestro_SKU!$A$2:$P$500,12,FALSE),1))</f>
        <v/>
      </c>
      <c r="I136" s="25"/>
      <c r="J136" s="31" t="str">
        <f>IF(A136="","",IF(H136&lt;=Inicio!$B$16,"Crítico",IF(H136&lt;=Inicio!$B$17,"Observar","OK")))</f>
        <v/>
      </c>
      <c r="K136" s="24"/>
    </row>
    <row r="137" spans="1:11" x14ac:dyDescent="0.35">
      <c r="A137" s="24"/>
      <c r="B137" s="31" t="str">
        <f>IFERROR(VLOOKUP(A137,Clientes_PDV!$A$2:$J$250,2,FALSE),"")</f>
        <v/>
      </c>
      <c r="C137" s="31" t="str">
        <f>IFERROR(VLOOKUP(A137,Clientes_PDV!$A$2:$J$250,3,FALSE),"")</f>
        <v/>
      </c>
      <c r="D137" s="31" t="str">
        <f>IFERROR(VLOOKUP(A137,Clientes_PDV!$A$2:$J$250,4,FALSE),"")</f>
        <v/>
      </c>
      <c r="E137" s="24"/>
      <c r="F137" s="31" t="str">
        <f>IFERROR(VLOOKUP(E137,Maestro_SKU!$A$2:$P$500,2,FALSE),"")</f>
        <v/>
      </c>
      <c r="G137" s="29"/>
      <c r="H137" s="32" t="str">
        <f>IF(OR(G137="",E137=""),"",G137*IFERROR(VLOOKUP(E137,Maestro_SKU!$A$2:$P$500,12,FALSE),1))</f>
        <v/>
      </c>
      <c r="I137" s="25"/>
      <c r="J137" s="31" t="str">
        <f>IF(A137="","",IF(H137&lt;=Inicio!$B$16,"Crítico",IF(H137&lt;=Inicio!$B$17,"Observar","OK")))</f>
        <v/>
      </c>
      <c r="K137" s="24"/>
    </row>
    <row r="138" spans="1:11" x14ac:dyDescent="0.35">
      <c r="A138" s="24"/>
      <c r="B138" s="31" t="str">
        <f>IFERROR(VLOOKUP(A138,Clientes_PDV!$A$2:$J$250,2,FALSE),"")</f>
        <v/>
      </c>
      <c r="C138" s="31" t="str">
        <f>IFERROR(VLOOKUP(A138,Clientes_PDV!$A$2:$J$250,3,FALSE),"")</f>
        <v/>
      </c>
      <c r="D138" s="31" t="str">
        <f>IFERROR(VLOOKUP(A138,Clientes_PDV!$A$2:$J$250,4,FALSE),"")</f>
        <v/>
      </c>
      <c r="E138" s="24"/>
      <c r="F138" s="31" t="str">
        <f>IFERROR(VLOOKUP(E138,Maestro_SKU!$A$2:$P$500,2,FALSE),"")</f>
        <v/>
      </c>
      <c r="G138" s="29"/>
      <c r="H138" s="32" t="str">
        <f>IF(OR(G138="",E138=""),"",G138*IFERROR(VLOOKUP(E138,Maestro_SKU!$A$2:$P$500,12,FALSE),1))</f>
        <v/>
      </c>
      <c r="I138" s="25"/>
      <c r="J138" s="31" t="str">
        <f>IF(A138="","",IF(H138&lt;=Inicio!$B$16,"Crítico",IF(H138&lt;=Inicio!$B$17,"Observar","OK")))</f>
        <v/>
      </c>
      <c r="K138" s="24"/>
    </row>
    <row r="139" spans="1:11" x14ac:dyDescent="0.35">
      <c r="A139" s="24"/>
      <c r="B139" s="31" t="str">
        <f>IFERROR(VLOOKUP(A139,Clientes_PDV!$A$2:$J$250,2,FALSE),"")</f>
        <v/>
      </c>
      <c r="C139" s="31" t="str">
        <f>IFERROR(VLOOKUP(A139,Clientes_PDV!$A$2:$J$250,3,FALSE),"")</f>
        <v/>
      </c>
      <c r="D139" s="31" t="str">
        <f>IFERROR(VLOOKUP(A139,Clientes_PDV!$A$2:$J$250,4,FALSE),"")</f>
        <v/>
      </c>
      <c r="E139" s="24"/>
      <c r="F139" s="31" t="str">
        <f>IFERROR(VLOOKUP(E139,Maestro_SKU!$A$2:$P$500,2,FALSE),"")</f>
        <v/>
      </c>
      <c r="G139" s="29"/>
      <c r="H139" s="32" t="str">
        <f>IF(OR(G139="",E139=""),"",G139*IFERROR(VLOOKUP(E139,Maestro_SKU!$A$2:$P$500,12,FALSE),1))</f>
        <v/>
      </c>
      <c r="I139" s="25"/>
      <c r="J139" s="31" t="str">
        <f>IF(A139="","",IF(H139&lt;=Inicio!$B$16,"Crítico",IF(H139&lt;=Inicio!$B$17,"Observar","OK")))</f>
        <v/>
      </c>
      <c r="K139" s="24"/>
    </row>
    <row r="140" spans="1:11" x14ac:dyDescent="0.35">
      <c r="A140" s="24"/>
      <c r="B140" s="31" t="str">
        <f>IFERROR(VLOOKUP(A140,Clientes_PDV!$A$2:$J$250,2,FALSE),"")</f>
        <v/>
      </c>
      <c r="C140" s="31" t="str">
        <f>IFERROR(VLOOKUP(A140,Clientes_PDV!$A$2:$J$250,3,FALSE),"")</f>
        <v/>
      </c>
      <c r="D140" s="31" t="str">
        <f>IFERROR(VLOOKUP(A140,Clientes_PDV!$A$2:$J$250,4,FALSE),"")</f>
        <v/>
      </c>
      <c r="E140" s="24"/>
      <c r="F140" s="31" t="str">
        <f>IFERROR(VLOOKUP(E140,Maestro_SKU!$A$2:$P$500,2,FALSE),"")</f>
        <v/>
      </c>
      <c r="G140" s="29"/>
      <c r="H140" s="32" t="str">
        <f>IF(OR(G140="",E140=""),"",G140*IFERROR(VLOOKUP(E140,Maestro_SKU!$A$2:$P$500,12,FALSE),1))</f>
        <v/>
      </c>
      <c r="I140" s="25"/>
      <c r="J140" s="31" t="str">
        <f>IF(A140="","",IF(H140&lt;=Inicio!$B$16,"Crítico",IF(H140&lt;=Inicio!$B$17,"Observar","OK")))</f>
        <v/>
      </c>
      <c r="K140" s="24"/>
    </row>
    <row r="141" spans="1:11" x14ac:dyDescent="0.35">
      <c r="A141" s="24"/>
      <c r="B141" s="31" t="str">
        <f>IFERROR(VLOOKUP(A141,Clientes_PDV!$A$2:$J$250,2,FALSE),"")</f>
        <v/>
      </c>
      <c r="C141" s="31" t="str">
        <f>IFERROR(VLOOKUP(A141,Clientes_PDV!$A$2:$J$250,3,FALSE),"")</f>
        <v/>
      </c>
      <c r="D141" s="31" t="str">
        <f>IFERROR(VLOOKUP(A141,Clientes_PDV!$A$2:$J$250,4,FALSE),"")</f>
        <v/>
      </c>
      <c r="E141" s="24"/>
      <c r="F141" s="31" t="str">
        <f>IFERROR(VLOOKUP(E141,Maestro_SKU!$A$2:$P$500,2,FALSE),"")</f>
        <v/>
      </c>
      <c r="G141" s="29"/>
      <c r="H141" s="32" t="str">
        <f>IF(OR(G141="",E141=""),"",G141*IFERROR(VLOOKUP(E141,Maestro_SKU!$A$2:$P$500,12,FALSE),1))</f>
        <v/>
      </c>
      <c r="I141" s="25"/>
      <c r="J141" s="31" t="str">
        <f>IF(A141="","",IF(H141&lt;=Inicio!$B$16,"Crítico",IF(H141&lt;=Inicio!$B$17,"Observar","OK")))</f>
        <v/>
      </c>
      <c r="K141" s="24"/>
    </row>
    <row r="142" spans="1:11" x14ac:dyDescent="0.35">
      <c r="A142" s="24"/>
      <c r="B142" s="31" t="str">
        <f>IFERROR(VLOOKUP(A142,Clientes_PDV!$A$2:$J$250,2,FALSE),"")</f>
        <v/>
      </c>
      <c r="C142" s="31" t="str">
        <f>IFERROR(VLOOKUP(A142,Clientes_PDV!$A$2:$J$250,3,FALSE),"")</f>
        <v/>
      </c>
      <c r="D142" s="31" t="str">
        <f>IFERROR(VLOOKUP(A142,Clientes_PDV!$A$2:$J$250,4,FALSE),"")</f>
        <v/>
      </c>
      <c r="E142" s="24"/>
      <c r="F142" s="31" t="str">
        <f>IFERROR(VLOOKUP(E142,Maestro_SKU!$A$2:$P$500,2,FALSE),"")</f>
        <v/>
      </c>
      <c r="G142" s="29"/>
      <c r="H142" s="32" t="str">
        <f>IF(OR(G142="",E142=""),"",G142*IFERROR(VLOOKUP(E142,Maestro_SKU!$A$2:$P$500,12,FALSE),1))</f>
        <v/>
      </c>
      <c r="I142" s="25"/>
      <c r="J142" s="31" t="str">
        <f>IF(A142="","",IF(H142&lt;=Inicio!$B$16,"Crítico",IF(H142&lt;=Inicio!$B$17,"Observar","OK")))</f>
        <v/>
      </c>
      <c r="K142" s="24"/>
    </row>
    <row r="143" spans="1:11" x14ac:dyDescent="0.35">
      <c r="A143" s="24"/>
      <c r="B143" s="31" t="str">
        <f>IFERROR(VLOOKUP(A143,Clientes_PDV!$A$2:$J$250,2,FALSE),"")</f>
        <v/>
      </c>
      <c r="C143" s="31" t="str">
        <f>IFERROR(VLOOKUP(A143,Clientes_PDV!$A$2:$J$250,3,FALSE),"")</f>
        <v/>
      </c>
      <c r="D143" s="31" t="str">
        <f>IFERROR(VLOOKUP(A143,Clientes_PDV!$A$2:$J$250,4,FALSE),"")</f>
        <v/>
      </c>
      <c r="E143" s="24"/>
      <c r="F143" s="31" t="str">
        <f>IFERROR(VLOOKUP(E143,Maestro_SKU!$A$2:$P$500,2,FALSE),"")</f>
        <v/>
      </c>
      <c r="G143" s="29"/>
      <c r="H143" s="32" t="str">
        <f>IF(OR(G143="",E143=""),"",G143*IFERROR(VLOOKUP(E143,Maestro_SKU!$A$2:$P$500,12,FALSE),1))</f>
        <v/>
      </c>
      <c r="I143" s="25"/>
      <c r="J143" s="31" t="str">
        <f>IF(A143="","",IF(H143&lt;=Inicio!$B$16,"Crítico",IF(H143&lt;=Inicio!$B$17,"Observar","OK")))</f>
        <v/>
      </c>
      <c r="K143" s="24"/>
    </row>
    <row r="144" spans="1:11" x14ac:dyDescent="0.35">
      <c r="A144" s="24"/>
      <c r="B144" s="31" t="str">
        <f>IFERROR(VLOOKUP(A144,Clientes_PDV!$A$2:$J$250,2,FALSE),"")</f>
        <v/>
      </c>
      <c r="C144" s="31" t="str">
        <f>IFERROR(VLOOKUP(A144,Clientes_PDV!$A$2:$J$250,3,FALSE),"")</f>
        <v/>
      </c>
      <c r="D144" s="31" t="str">
        <f>IFERROR(VLOOKUP(A144,Clientes_PDV!$A$2:$J$250,4,FALSE),"")</f>
        <v/>
      </c>
      <c r="E144" s="24"/>
      <c r="F144" s="31" t="str">
        <f>IFERROR(VLOOKUP(E144,Maestro_SKU!$A$2:$P$500,2,FALSE),"")</f>
        <v/>
      </c>
      <c r="G144" s="29"/>
      <c r="H144" s="32" t="str">
        <f>IF(OR(G144="",E144=""),"",G144*IFERROR(VLOOKUP(E144,Maestro_SKU!$A$2:$P$500,12,FALSE),1))</f>
        <v/>
      </c>
      <c r="I144" s="25"/>
      <c r="J144" s="31" t="str">
        <f>IF(A144="","",IF(H144&lt;=Inicio!$B$16,"Crítico",IF(H144&lt;=Inicio!$B$17,"Observar","OK")))</f>
        <v/>
      </c>
      <c r="K144" s="24"/>
    </row>
    <row r="145" spans="1:11" x14ac:dyDescent="0.35">
      <c r="A145" s="24"/>
      <c r="B145" s="31" t="str">
        <f>IFERROR(VLOOKUP(A145,Clientes_PDV!$A$2:$J$250,2,FALSE),"")</f>
        <v/>
      </c>
      <c r="C145" s="31" t="str">
        <f>IFERROR(VLOOKUP(A145,Clientes_PDV!$A$2:$J$250,3,FALSE),"")</f>
        <v/>
      </c>
      <c r="D145" s="31" t="str">
        <f>IFERROR(VLOOKUP(A145,Clientes_PDV!$A$2:$J$250,4,FALSE),"")</f>
        <v/>
      </c>
      <c r="E145" s="24"/>
      <c r="F145" s="31" t="str">
        <f>IFERROR(VLOOKUP(E145,Maestro_SKU!$A$2:$P$500,2,FALSE),"")</f>
        <v/>
      </c>
      <c r="G145" s="29"/>
      <c r="H145" s="32" t="str">
        <f>IF(OR(G145="",E145=""),"",G145*IFERROR(VLOOKUP(E145,Maestro_SKU!$A$2:$P$500,12,FALSE),1))</f>
        <v/>
      </c>
      <c r="I145" s="25"/>
      <c r="J145" s="31" t="str">
        <f>IF(A145="","",IF(H145&lt;=Inicio!$B$16,"Crítico",IF(H145&lt;=Inicio!$B$17,"Observar","OK")))</f>
        <v/>
      </c>
      <c r="K145" s="24"/>
    </row>
    <row r="146" spans="1:11" x14ac:dyDescent="0.35">
      <c r="A146" s="24"/>
      <c r="B146" s="31" t="str">
        <f>IFERROR(VLOOKUP(A146,Clientes_PDV!$A$2:$J$250,2,FALSE),"")</f>
        <v/>
      </c>
      <c r="C146" s="31" t="str">
        <f>IFERROR(VLOOKUP(A146,Clientes_PDV!$A$2:$J$250,3,FALSE),"")</f>
        <v/>
      </c>
      <c r="D146" s="31" t="str">
        <f>IFERROR(VLOOKUP(A146,Clientes_PDV!$A$2:$J$250,4,FALSE),"")</f>
        <v/>
      </c>
      <c r="E146" s="24"/>
      <c r="F146" s="31" t="str">
        <f>IFERROR(VLOOKUP(E146,Maestro_SKU!$A$2:$P$500,2,FALSE),"")</f>
        <v/>
      </c>
      <c r="G146" s="29"/>
      <c r="H146" s="32" t="str">
        <f>IF(OR(G146="",E146=""),"",G146*IFERROR(VLOOKUP(E146,Maestro_SKU!$A$2:$P$500,12,FALSE),1))</f>
        <v/>
      </c>
      <c r="I146" s="25"/>
      <c r="J146" s="31" t="str">
        <f>IF(A146="","",IF(H146&lt;=Inicio!$B$16,"Crítico",IF(H146&lt;=Inicio!$B$17,"Observar","OK")))</f>
        <v/>
      </c>
      <c r="K146" s="24"/>
    </row>
    <row r="147" spans="1:11" x14ac:dyDescent="0.35">
      <c r="A147" s="24"/>
      <c r="B147" s="31" t="str">
        <f>IFERROR(VLOOKUP(A147,Clientes_PDV!$A$2:$J$250,2,FALSE),"")</f>
        <v/>
      </c>
      <c r="C147" s="31" t="str">
        <f>IFERROR(VLOOKUP(A147,Clientes_PDV!$A$2:$J$250,3,FALSE),"")</f>
        <v/>
      </c>
      <c r="D147" s="31" t="str">
        <f>IFERROR(VLOOKUP(A147,Clientes_PDV!$A$2:$J$250,4,FALSE),"")</f>
        <v/>
      </c>
      <c r="E147" s="24"/>
      <c r="F147" s="31" t="str">
        <f>IFERROR(VLOOKUP(E147,Maestro_SKU!$A$2:$P$500,2,FALSE),"")</f>
        <v/>
      </c>
      <c r="G147" s="29"/>
      <c r="H147" s="32" t="str">
        <f>IF(OR(G147="",E147=""),"",G147*IFERROR(VLOOKUP(E147,Maestro_SKU!$A$2:$P$500,12,FALSE),1))</f>
        <v/>
      </c>
      <c r="I147" s="25"/>
      <c r="J147" s="31" t="str">
        <f>IF(A147="","",IF(H147&lt;=Inicio!$B$16,"Crítico",IF(H147&lt;=Inicio!$B$17,"Observar","OK")))</f>
        <v/>
      </c>
      <c r="K147" s="24"/>
    </row>
    <row r="148" spans="1:11" x14ac:dyDescent="0.35">
      <c r="A148" s="24"/>
      <c r="B148" s="31" t="str">
        <f>IFERROR(VLOOKUP(A148,Clientes_PDV!$A$2:$J$250,2,FALSE),"")</f>
        <v/>
      </c>
      <c r="C148" s="31" t="str">
        <f>IFERROR(VLOOKUP(A148,Clientes_PDV!$A$2:$J$250,3,FALSE),"")</f>
        <v/>
      </c>
      <c r="D148" s="31" t="str">
        <f>IFERROR(VLOOKUP(A148,Clientes_PDV!$A$2:$J$250,4,FALSE),"")</f>
        <v/>
      </c>
      <c r="E148" s="24"/>
      <c r="F148" s="31" t="str">
        <f>IFERROR(VLOOKUP(E148,Maestro_SKU!$A$2:$P$500,2,FALSE),"")</f>
        <v/>
      </c>
      <c r="G148" s="29"/>
      <c r="H148" s="32" t="str">
        <f>IF(OR(G148="",E148=""),"",G148*IFERROR(VLOOKUP(E148,Maestro_SKU!$A$2:$P$500,12,FALSE),1))</f>
        <v/>
      </c>
      <c r="I148" s="25"/>
      <c r="J148" s="31" t="str">
        <f>IF(A148="","",IF(H148&lt;=Inicio!$B$16,"Crítico",IF(H148&lt;=Inicio!$B$17,"Observar","OK")))</f>
        <v/>
      </c>
      <c r="K148" s="24"/>
    </row>
    <row r="149" spans="1:11" x14ac:dyDescent="0.35">
      <c r="A149" s="24"/>
      <c r="B149" s="31" t="str">
        <f>IFERROR(VLOOKUP(A149,Clientes_PDV!$A$2:$J$250,2,FALSE),"")</f>
        <v/>
      </c>
      <c r="C149" s="31" t="str">
        <f>IFERROR(VLOOKUP(A149,Clientes_PDV!$A$2:$J$250,3,FALSE),"")</f>
        <v/>
      </c>
      <c r="D149" s="31" t="str">
        <f>IFERROR(VLOOKUP(A149,Clientes_PDV!$A$2:$J$250,4,FALSE),"")</f>
        <v/>
      </c>
      <c r="E149" s="24"/>
      <c r="F149" s="31" t="str">
        <f>IFERROR(VLOOKUP(E149,Maestro_SKU!$A$2:$P$500,2,FALSE),"")</f>
        <v/>
      </c>
      <c r="G149" s="29"/>
      <c r="H149" s="32" t="str">
        <f>IF(OR(G149="",E149=""),"",G149*IFERROR(VLOOKUP(E149,Maestro_SKU!$A$2:$P$500,12,FALSE),1))</f>
        <v/>
      </c>
      <c r="I149" s="25"/>
      <c r="J149" s="31" t="str">
        <f>IF(A149="","",IF(H149&lt;=Inicio!$B$16,"Crítico",IF(H149&lt;=Inicio!$B$17,"Observar","OK")))</f>
        <v/>
      </c>
      <c r="K149" s="24"/>
    </row>
    <row r="150" spans="1:11" x14ac:dyDescent="0.35">
      <c r="A150" s="24"/>
      <c r="B150" s="31" t="str">
        <f>IFERROR(VLOOKUP(A150,Clientes_PDV!$A$2:$J$250,2,FALSE),"")</f>
        <v/>
      </c>
      <c r="C150" s="31" t="str">
        <f>IFERROR(VLOOKUP(A150,Clientes_PDV!$A$2:$J$250,3,FALSE),"")</f>
        <v/>
      </c>
      <c r="D150" s="31" t="str">
        <f>IFERROR(VLOOKUP(A150,Clientes_PDV!$A$2:$J$250,4,FALSE),"")</f>
        <v/>
      </c>
      <c r="E150" s="24"/>
      <c r="F150" s="31" t="str">
        <f>IFERROR(VLOOKUP(E150,Maestro_SKU!$A$2:$P$500,2,FALSE),"")</f>
        <v/>
      </c>
      <c r="G150" s="29"/>
      <c r="H150" s="32" t="str">
        <f>IF(OR(G150="",E150=""),"",G150*IFERROR(VLOOKUP(E150,Maestro_SKU!$A$2:$P$500,12,FALSE),1))</f>
        <v/>
      </c>
      <c r="I150" s="25"/>
      <c r="J150" s="31" t="str">
        <f>IF(A150="","",IF(H150&lt;=Inicio!$B$16,"Crítico",IF(H150&lt;=Inicio!$B$17,"Observar","OK")))</f>
        <v/>
      </c>
      <c r="K150" s="24"/>
    </row>
    <row r="151" spans="1:11" x14ac:dyDescent="0.35">
      <c r="A151" s="24"/>
      <c r="B151" s="31" t="str">
        <f>IFERROR(VLOOKUP(A151,Clientes_PDV!$A$2:$J$250,2,FALSE),"")</f>
        <v/>
      </c>
      <c r="C151" s="31" t="str">
        <f>IFERROR(VLOOKUP(A151,Clientes_PDV!$A$2:$J$250,3,FALSE),"")</f>
        <v/>
      </c>
      <c r="D151" s="31" t="str">
        <f>IFERROR(VLOOKUP(A151,Clientes_PDV!$A$2:$J$250,4,FALSE),"")</f>
        <v/>
      </c>
      <c r="E151" s="24"/>
      <c r="F151" s="31" t="str">
        <f>IFERROR(VLOOKUP(E151,Maestro_SKU!$A$2:$P$500,2,FALSE),"")</f>
        <v/>
      </c>
      <c r="G151" s="29"/>
      <c r="H151" s="32" t="str">
        <f>IF(OR(G151="",E151=""),"",G151*IFERROR(VLOOKUP(E151,Maestro_SKU!$A$2:$P$500,12,FALSE),1))</f>
        <v/>
      </c>
      <c r="I151" s="25"/>
      <c r="J151" s="31" t="str">
        <f>IF(A151="","",IF(H151&lt;=Inicio!$B$16,"Crítico",IF(H151&lt;=Inicio!$B$17,"Observar","OK")))</f>
        <v/>
      </c>
      <c r="K151" s="24"/>
    </row>
    <row r="152" spans="1:11" x14ac:dyDescent="0.35">
      <c r="A152" s="24"/>
      <c r="B152" s="31" t="str">
        <f>IFERROR(VLOOKUP(A152,Clientes_PDV!$A$2:$J$250,2,FALSE),"")</f>
        <v/>
      </c>
      <c r="C152" s="31" t="str">
        <f>IFERROR(VLOOKUP(A152,Clientes_PDV!$A$2:$J$250,3,FALSE),"")</f>
        <v/>
      </c>
      <c r="D152" s="31" t="str">
        <f>IFERROR(VLOOKUP(A152,Clientes_PDV!$A$2:$J$250,4,FALSE),"")</f>
        <v/>
      </c>
      <c r="E152" s="24"/>
      <c r="F152" s="31" t="str">
        <f>IFERROR(VLOOKUP(E152,Maestro_SKU!$A$2:$P$500,2,FALSE),"")</f>
        <v/>
      </c>
      <c r="G152" s="29"/>
      <c r="H152" s="32" t="str">
        <f>IF(OR(G152="",E152=""),"",G152*IFERROR(VLOOKUP(E152,Maestro_SKU!$A$2:$P$500,12,FALSE),1))</f>
        <v/>
      </c>
      <c r="I152" s="25"/>
      <c r="J152" s="31" t="str">
        <f>IF(A152="","",IF(H152&lt;=Inicio!$B$16,"Crítico",IF(H152&lt;=Inicio!$B$17,"Observar","OK")))</f>
        <v/>
      </c>
      <c r="K152" s="24"/>
    </row>
    <row r="153" spans="1:11" x14ac:dyDescent="0.35">
      <c r="A153" s="24"/>
      <c r="B153" s="31" t="str">
        <f>IFERROR(VLOOKUP(A153,Clientes_PDV!$A$2:$J$250,2,FALSE),"")</f>
        <v/>
      </c>
      <c r="C153" s="31" t="str">
        <f>IFERROR(VLOOKUP(A153,Clientes_PDV!$A$2:$J$250,3,FALSE),"")</f>
        <v/>
      </c>
      <c r="D153" s="31" t="str">
        <f>IFERROR(VLOOKUP(A153,Clientes_PDV!$A$2:$J$250,4,FALSE),"")</f>
        <v/>
      </c>
      <c r="E153" s="24"/>
      <c r="F153" s="31" t="str">
        <f>IFERROR(VLOOKUP(E153,Maestro_SKU!$A$2:$P$500,2,FALSE),"")</f>
        <v/>
      </c>
      <c r="G153" s="29"/>
      <c r="H153" s="32" t="str">
        <f>IF(OR(G153="",E153=""),"",G153*IFERROR(VLOOKUP(E153,Maestro_SKU!$A$2:$P$500,12,FALSE),1))</f>
        <v/>
      </c>
      <c r="I153" s="25"/>
      <c r="J153" s="31" t="str">
        <f>IF(A153="","",IF(H153&lt;=Inicio!$B$16,"Crítico",IF(H153&lt;=Inicio!$B$17,"Observar","OK")))</f>
        <v/>
      </c>
      <c r="K153" s="24"/>
    </row>
    <row r="154" spans="1:11" x14ac:dyDescent="0.35">
      <c r="A154" s="24"/>
      <c r="B154" s="31" t="str">
        <f>IFERROR(VLOOKUP(A154,Clientes_PDV!$A$2:$J$250,2,FALSE),"")</f>
        <v/>
      </c>
      <c r="C154" s="31" t="str">
        <f>IFERROR(VLOOKUP(A154,Clientes_PDV!$A$2:$J$250,3,FALSE),"")</f>
        <v/>
      </c>
      <c r="D154" s="31" t="str">
        <f>IFERROR(VLOOKUP(A154,Clientes_PDV!$A$2:$J$250,4,FALSE),"")</f>
        <v/>
      </c>
      <c r="E154" s="24"/>
      <c r="F154" s="31" t="str">
        <f>IFERROR(VLOOKUP(E154,Maestro_SKU!$A$2:$P$500,2,FALSE),"")</f>
        <v/>
      </c>
      <c r="G154" s="29"/>
      <c r="H154" s="32" t="str">
        <f>IF(OR(G154="",E154=""),"",G154*IFERROR(VLOOKUP(E154,Maestro_SKU!$A$2:$P$500,12,FALSE),1))</f>
        <v/>
      </c>
      <c r="I154" s="25"/>
      <c r="J154" s="31" t="str">
        <f>IF(A154="","",IF(H154&lt;=Inicio!$B$16,"Crítico",IF(H154&lt;=Inicio!$B$17,"Observar","OK")))</f>
        <v/>
      </c>
      <c r="K154" s="24"/>
    </row>
    <row r="155" spans="1:11" x14ac:dyDescent="0.35">
      <c r="A155" s="24"/>
      <c r="B155" s="31" t="str">
        <f>IFERROR(VLOOKUP(A155,Clientes_PDV!$A$2:$J$250,2,FALSE),"")</f>
        <v/>
      </c>
      <c r="C155" s="31" t="str">
        <f>IFERROR(VLOOKUP(A155,Clientes_PDV!$A$2:$J$250,3,FALSE),"")</f>
        <v/>
      </c>
      <c r="D155" s="31" t="str">
        <f>IFERROR(VLOOKUP(A155,Clientes_PDV!$A$2:$J$250,4,FALSE),"")</f>
        <v/>
      </c>
      <c r="E155" s="24"/>
      <c r="F155" s="31" t="str">
        <f>IFERROR(VLOOKUP(E155,Maestro_SKU!$A$2:$P$500,2,FALSE),"")</f>
        <v/>
      </c>
      <c r="G155" s="29"/>
      <c r="H155" s="32" t="str">
        <f>IF(OR(G155="",E155=""),"",G155*IFERROR(VLOOKUP(E155,Maestro_SKU!$A$2:$P$500,12,FALSE),1))</f>
        <v/>
      </c>
      <c r="I155" s="25"/>
      <c r="J155" s="31" t="str">
        <f>IF(A155="","",IF(H155&lt;=Inicio!$B$16,"Crítico",IF(H155&lt;=Inicio!$B$17,"Observar","OK")))</f>
        <v/>
      </c>
      <c r="K155" s="24"/>
    </row>
    <row r="156" spans="1:11" x14ac:dyDescent="0.35">
      <c r="A156" s="24"/>
      <c r="B156" s="31" t="str">
        <f>IFERROR(VLOOKUP(A156,Clientes_PDV!$A$2:$J$250,2,FALSE),"")</f>
        <v/>
      </c>
      <c r="C156" s="31" t="str">
        <f>IFERROR(VLOOKUP(A156,Clientes_PDV!$A$2:$J$250,3,FALSE),"")</f>
        <v/>
      </c>
      <c r="D156" s="31" t="str">
        <f>IFERROR(VLOOKUP(A156,Clientes_PDV!$A$2:$J$250,4,FALSE),"")</f>
        <v/>
      </c>
      <c r="E156" s="24"/>
      <c r="F156" s="31" t="str">
        <f>IFERROR(VLOOKUP(E156,Maestro_SKU!$A$2:$P$500,2,FALSE),"")</f>
        <v/>
      </c>
      <c r="G156" s="29"/>
      <c r="H156" s="32" t="str">
        <f>IF(OR(G156="",E156=""),"",G156*IFERROR(VLOOKUP(E156,Maestro_SKU!$A$2:$P$500,12,FALSE),1))</f>
        <v/>
      </c>
      <c r="I156" s="25"/>
      <c r="J156" s="31" t="str">
        <f>IF(A156="","",IF(H156&lt;=Inicio!$B$16,"Crítico",IF(H156&lt;=Inicio!$B$17,"Observar","OK")))</f>
        <v/>
      </c>
      <c r="K156" s="24"/>
    </row>
    <row r="157" spans="1:11" x14ac:dyDescent="0.35">
      <c r="A157" s="24"/>
      <c r="B157" s="31" t="str">
        <f>IFERROR(VLOOKUP(A157,Clientes_PDV!$A$2:$J$250,2,FALSE),"")</f>
        <v/>
      </c>
      <c r="C157" s="31" t="str">
        <f>IFERROR(VLOOKUP(A157,Clientes_PDV!$A$2:$J$250,3,FALSE),"")</f>
        <v/>
      </c>
      <c r="D157" s="31" t="str">
        <f>IFERROR(VLOOKUP(A157,Clientes_PDV!$A$2:$J$250,4,FALSE),"")</f>
        <v/>
      </c>
      <c r="E157" s="24"/>
      <c r="F157" s="31" t="str">
        <f>IFERROR(VLOOKUP(E157,Maestro_SKU!$A$2:$P$500,2,FALSE),"")</f>
        <v/>
      </c>
      <c r="G157" s="29"/>
      <c r="H157" s="32" t="str">
        <f>IF(OR(G157="",E157=""),"",G157*IFERROR(VLOOKUP(E157,Maestro_SKU!$A$2:$P$500,12,FALSE),1))</f>
        <v/>
      </c>
      <c r="I157" s="25"/>
      <c r="J157" s="31" t="str">
        <f>IF(A157="","",IF(H157&lt;=Inicio!$B$16,"Crítico",IF(H157&lt;=Inicio!$B$17,"Observar","OK")))</f>
        <v/>
      </c>
      <c r="K157" s="24"/>
    </row>
    <row r="158" spans="1:11" x14ac:dyDescent="0.35">
      <c r="A158" s="24"/>
      <c r="B158" s="31" t="str">
        <f>IFERROR(VLOOKUP(A158,Clientes_PDV!$A$2:$J$250,2,FALSE),"")</f>
        <v/>
      </c>
      <c r="C158" s="31" t="str">
        <f>IFERROR(VLOOKUP(A158,Clientes_PDV!$A$2:$J$250,3,FALSE),"")</f>
        <v/>
      </c>
      <c r="D158" s="31" t="str">
        <f>IFERROR(VLOOKUP(A158,Clientes_PDV!$A$2:$J$250,4,FALSE),"")</f>
        <v/>
      </c>
      <c r="E158" s="24"/>
      <c r="F158" s="31" t="str">
        <f>IFERROR(VLOOKUP(E158,Maestro_SKU!$A$2:$P$500,2,FALSE),"")</f>
        <v/>
      </c>
      <c r="G158" s="29"/>
      <c r="H158" s="32" t="str">
        <f>IF(OR(G158="",E158=""),"",G158*IFERROR(VLOOKUP(E158,Maestro_SKU!$A$2:$P$500,12,FALSE),1))</f>
        <v/>
      </c>
      <c r="I158" s="25"/>
      <c r="J158" s="31" t="str">
        <f>IF(A158="","",IF(H158&lt;=Inicio!$B$16,"Crítico",IF(H158&lt;=Inicio!$B$17,"Observar","OK")))</f>
        <v/>
      </c>
      <c r="K158" s="24"/>
    </row>
    <row r="159" spans="1:11" x14ac:dyDescent="0.35">
      <c r="A159" s="24"/>
      <c r="B159" s="31" t="str">
        <f>IFERROR(VLOOKUP(A159,Clientes_PDV!$A$2:$J$250,2,FALSE),"")</f>
        <v/>
      </c>
      <c r="C159" s="31" t="str">
        <f>IFERROR(VLOOKUP(A159,Clientes_PDV!$A$2:$J$250,3,FALSE),"")</f>
        <v/>
      </c>
      <c r="D159" s="31" t="str">
        <f>IFERROR(VLOOKUP(A159,Clientes_PDV!$A$2:$J$250,4,FALSE),"")</f>
        <v/>
      </c>
      <c r="E159" s="24"/>
      <c r="F159" s="31" t="str">
        <f>IFERROR(VLOOKUP(E159,Maestro_SKU!$A$2:$P$500,2,FALSE),"")</f>
        <v/>
      </c>
      <c r="G159" s="29"/>
      <c r="H159" s="32" t="str">
        <f>IF(OR(G159="",E159=""),"",G159*IFERROR(VLOOKUP(E159,Maestro_SKU!$A$2:$P$500,12,FALSE),1))</f>
        <v/>
      </c>
      <c r="I159" s="25"/>
      <c r="J159" s="31" t="str">
        <f>IF(A159="","",IF(H159&lt;=Inicio!$B$16,"Crítico",IF(H159&lt;=Inicio!$B$17,"Observar","OK")))</f>
        <v/>
      </c>
      <c r="K159" s="24"/>
    </row>
    <row r="160" spans="1:11" x14ac:dyDescent="0.35">
      <c r="A160" s="24"/>
      <c r="B160" s="31" t="str">
        <f>IFERROR(VLOOKUP(A160,Clientes_PDV!$A$2:$J$250,2,FALSE),"")</f>
        <v/>
      </c>
      <c r="C160" s="31" t="str">
        <f>IFERROR(VLOOKUP(A160,Clientes_PDV!$A$2:$J$250,3,FALSE),"")</f>
        <v/>
      </c>
      <c r="D160" s="31" t="str">
        <f>IFERROR(VLOOKUP(A160,Clientes_PDV!$A$2:$J$250,4,FALSE),"")</f>
        <v/>
      </c>
      <c r="E160" s="24"/>
      <c r="F160" s="31" t="str">
        <f>IFERROR(VLOOKUP(E160,Maestro_SKU!$A$2:$P$500,2,FALSE),"")</f>
        <v/>
      </c>
      <c r="G160" s="29"/>
      <c r="H160" s="32" t="str">
        <f>IF(OR(G160="",E160=""),"",G160*IFERROR(VLOOKUP(E160,Maestro_SKU!$A$2:$P$500,12,FALSE),1))</f>
        <v/>
      </c>
      <c r="I160" s="25"/>
      <c r="J160" s="31" t="str">
        <f>IF(A160="","",IF(H160&lt;=Inicio!$B$16,"Crítico",IF(H160&lt;=Inicio!$B$17,"Observar","OK")))</f>
        <v/>
      </c>
      <c r="K160" s="24"/>
    </row>
    <row r="161" spans="1:11" x14ac:dyDescent="0.35">
      <c r="A161" s="24"/>
      <c r="B161" s="31" t="str">
        <f>IFERROR(VLOOKUP(A161,Clientes_PDV!$A$2:$J$250,2,FALSE),"")</f>
        <v/>
      </c>
      <c r="C161" s="31" t="str">
        <f>IFERROR(VLOOKUP(A161,Clientes_PDV!$A$2:$J$250,3,FALSE),"")</f>
        <v/>
      </c>
      <c r="D161" s="31" t="str">
        <f>IFERROR(VLOOKUP(A161,Clientes_PDV!$A$2:$J$250,4,FALSE),"")</f>
        <v/>
      </c>
      <c r="E161" s="24"/>
      <c r="F161" s="31" t="str">
        <f>IFERROR(VLOOKUP(E161,Maestro_SKU!$A$2:$P$500,2,FALSE),"")</f>
        <v/>
      </c>
      <c r="G161" s="29"/>
      <c r="H161" s="32" t="str">
        <f>IF(OR(G161="",E161=""),"",G161*IFERROR(VLOOKUP(E161,Maestro_SKU!$A$2:$P$500,12,FALSE),1))</f>
        <v/>
      </c>
      <c r="I161" s="25"/>
      <c r="J161" s="31" t="str">
        <f>IF(A161="","",IF(H161&lt;=Inicio!$B$16,"Crítico",IF(H161&lt;=Inicio!$B$17,"Observar","OK")))</f>
        <v/>
      </c>
      <c r="K161" s="24"/>
    </row>
    <row r="162" spans="1:11" x14ac:dyDescent="0.35">
      <c r="A162" s="24"/>
      <c r="B162" s="31" t="str">
        <f>IFERROR(VLOOKUP(A162,Clientes_PDV!$A$2:$J$250,2,FALSE),"")</f>
        <v/>
      </c>
      <c r="C162" s="31" t="str">
        <f>IFERROR(VLOOKUP(A162,Clientes_PDV!$A$2:$J$250,3,FALSE),"")</f>
        <v/>
      </c>
      <c r="D162" s="31" t="str">
        <f>IFERROR(VLOOKUP(A162,Clientes_PDV!$A$2:$J$250,4,FALSE),"")</f>
        <v/>
      </c>
      <c r="E162" s="24"/>
      <c r="F162" s="31" t="str">
        <f>IFERROR(VLOOKUP(E162,Maestro_SKU!$A$2:$P$500,2,FALSE),"")</f>
        <v/>
      </c>
      <c r="G162" s="29"/>
      <c r="H162" s="32" t="str">
        <f>IF(OR(G162="",E162=""),"",G162*IFERROR(VLOOKUP(E162,Maestro_SKU!$A$2:$P$500,12,FALSE),1))</f>
        <v/>
      </c>
      <c r="I162" s="25"/>
      <c r="J162" s="31" t="str">
        <f>IF(A162="","",IF(H162&lt;=Inicio!$B$16,"Crítico",IF(H162&lt;=Inicio!$B$17,"Observar","OK")))</f>
        <v/>
      </c>
      <c r="K162" s="24"/>
    </row>
    <row r="163" spans="1:11" x14ac:dyDescent="0.35">
      <c r="A163" s="24"/>
      <c r="B163" s="31" t="str">
        <f>IFERROR(VLOOKUP(A163,Clientes_PDV!$A$2:$J$250,2,FALSE),"")</f>
        <v/>
      </c>
      <c r="C163" s="31" t="str">
        <f>IFERROR(VLOOKUP(A163,Clientes_PDV!$A$2:$J$250,3,FALSE),"")</f>
        <v/>
      </c>
      <c r="D163" s="31" t="str">
        <f>IFERROR(VLOOKUP(A163,Clientes_PDV!$A$2:$J$250,4,FALSE),"")</f>
        <v/>
      </c>
      <c r="E163" s="24"/>
      <c r="F163" s="31" t="str">
        <f>IFERROR(VLOOKUP(E163,Maestro_SKU!$A$2:$P$500,2,FALSE),"")</f>
        <v/>
      </c>
      <c r="G163" s="29"/>
      <c r="H163" s="32" t="str">
        <f>IF(OR(G163="",E163=""),"",G163*IFERROR(VLOOKUP(E163,Maestro_SKU!$A$2:$P$500,12,FALSE),1))</f>
        <v/>
      </c>
      <c r="I163" s="25"/>
      <c r="J163" s="31" t="str">
        <f>IF(A163="","",IF(H163&lt;=Inicio!$B$16,"Crítico",IF(H163&lt;=Inicio!$B$17,"Observar","OK")))</f>
        <v/>
      </c>
      <c r="K163" s="24"/>
    </row>
    <row r="164" spans="1:11" x14ac:dyDescent="0.35">
      <c r="A164" s="24"/>
      <c r="B164" s="31" t="str">
        <f>IFERROR(VLOOKUP(A164,Clientes_PDV!$A$2:$J$250,2,FALSE),"")</f>
        <v/>
      </c>
      <c r="C164" s="31" t="str">
        <f>IFERROR(VLOOKUP(A164,Clientes_PDV!$A$2:$J$250,3,FALSE),"")</f>
        <v/>
      </c>
      <c r="D164" s="31" t="str">
        <f>IFERROR(VLOOKUP(A164,Clientes_PDV!$A$2:$J$250,4,FALSE),"")</f>
        <v/>
      </c>
      <c r="E164" s="24"/>
      <c r="F164" s="31" t="str">
        <f>IFERROR(VLOOKUP(E164,Maestro_SKU!$A$2:$P$500,2,FALSE),"")</f>
        <v/>
      </c>
      <c r="G164" s="29"/>
      <c r="H164" s="32" t="str">
        <f>IF(OR(G164="",E164=""),"",G164*IFERROR(VLOOKUP(E164,Maestro_SKU!$A$2:$P$500,12,FALSE),1))</f>
        <v/>
      </c>
      <c r="I164" s="25"/>
      <c r="J164" s="31" t="str">
        <f>IF(A164="","",IF(H164&lt;=Inicio!$B$16,"Crítico",IF(H164&lt;=Inicio!$B$17,"Observar","OK")))</f>
        <v/>
      </c>
      <c r="K164" s="24"/>
    </row>
    <row r="165" spans="1:11" x14ac:dyDescent="0.35">
      <c r="A165" s="24"/>
      <c r="B165" s="31" t="str">
        <f>IFERROR(VLOOKUP(A165,Clientes_PDV!$A$2:$J$250,2,FALSE),"")</f>
        <v/>
      </c>
      <c r="C165" s="31" t="str">
        <f>IFERROR(VLOOKUP(A165,Clientes_PDV!$A$2:$J$250,3,FALSE),"")</f>
        <v/>
      </c>
      <c r="D165" s="31" t="str">
        <f>IFERROR(VLOOKUP(A165,Clientes_PDV!$A$2:$J$250,4,FALSE),"")</f>
        <v/>
      </c>
      <c r="E165" s="24"/>
      <c r="F165" s="31" t="str">
        <f>IFERROR(VLOOKUP(E165,Maestro_SKU!$A$2:$P$500,2,FALSE),"")</f>
        <v/>
      </c>
      <c r="G165" s="29"/>
      <c r="H165" s="32" t="str">
        <f>IF(OR(G165="",E165=""),"",G165*IFERROR(VLOOKUP(E165,Maestro_SKU!$A$2:$P$500,12,FALSE),1))</f>
        <v/>
      </c>
      <c r="I165" s="25"/>
      <c r="J165" s="31" t="str">
        <f>IF(A165="","",IF(H165&lt;=Inicio!$B$16,"Crítico",IF(H165&lt;=Inicio!$B$17,"Observar","OK")))</f>
        <v/>
      </c>
      <c r="K165" s="24"/>
    </row>
    <row r="166" spans="1:11" x14ac:dyDescent="0.35">
      <c r="A166" s="24"/>
      <c r="B166" s="31" t="str">
        <f>IFERROR(VLOOKUP(A166,Clientes_PDV!$A$2:$J$250,2,FALSE),"")</f>
        <v/>
      </c>
      <c r="C166" s="31" t="str">
        <f>IFERROR(VLOOKUP(A166,Clientes_PDV!$A$2:$J$250,3,FALSE),"")</f>
        <v/>
      </c>
      <c r="D166" s="31" t="str">
        <f>IFERROR(VLOOKUP(A166,Clientes_PDV!$A$2:$J$250,4,FALSE),"")</f>
        <v/>
      </c>
      <c r="E166" s="24"/>
      <c r="F166" s="31" t="str">
        <f>IFERROR(VLOOKUP(E166,Maestro_SKU!$A$2:$P$500,2,FALSE),"")</f>
        <v/>
      </c>
      <c r="G166" s="29"/>
      <c r="H166" s="32" t="str">
        <f>IF(OR(G166="",E166=""),"",G166*IFERROR(VLOOKUP(E166,Maestro_SKU!$A$2:$P$500,12,FALSE),1))</f>
        <v/>
      </c>
      <c r="I166" s="25"/>
      <c r="J166" s="31" t="str">
        <f>IF(A166="","",IF(H166&lt;=Inicio!$B$16,"Crítico",IF(H166&lt;=Inicio!$B$17,"Observar","OK")))</f>
        <v/>
      </c>
      <c r="K166" s="24"/>
    </row>
    <row r="167" spans="1:11" x14ac:dyDescent="0.35">
      <c r="A167" s="24"/>
      <c r="B167" s="31" t="str">
        <f>IFERROR(VLOOKUP(A167,Clientes_PDV!$A$2:$J$250,2,FALSE),"")</f>
        <v/>
      </c>
      <c r="C167" s="31" t="str">
        <f>IFERROR(VLOOKUP(A167,Clientes_PDV!$A$2:$J$250,3,FALSE),"")</f>
        <v/>
      </c>
      <c r="D167" s="31" t="str">
        <f>IFERROR(VLOOKUP(A167,Clientes_PDV!$A$2:$J$250,4,FALSE),"")</f>
        <v/>
      </c>
      <c r="E167" s="24"/>
      <c r="F167" s="31" t="str">
        <f>IFERROR(VLOOKUP(E167,Maestro_SKU!$A$2:$P$500,2,FALSE),"")</f>
        <v/>
      </c>
      <c r="G167" s="29"/>
      <c r="H167" s="32" t="str">
        <f>IF(OR(G167="",E167=""),"",G167*IFERROR(VLOOKUP(E167,Maestro_SKU!$A$2:$P$500,12,FALSE),1))</f>
        <v/>
      </c>
      <c r="I167" s="25"/>
      <c r="J167" s="31" t="str">
        <f>IF(A167="","",IF(H167&lt;=Inicio!$B$16,"Crítico",IF(H167&lt;=Inicio!$B$17,"Observar","OK")))</f>
        <v/>
      </c>
      <c r="K167" s="24"/>
    </row>
    <row r="168" spans="1:11" x14ac:dyDescent="0.35">
      <c r="A168" s="24"/>
      <c r="B168" s="31" t="str">
        <f>IFERROR(VLOOKUP(A168,Clientes_PDV!$A$2:$J$250,2,FALSE),"")</f>
        <v/>
      </c>
      <c r="C168" s="31" t="str">
        <f>IFERROR(VLOOKUP(A168,Clientes_PDV!$A$2:$J$250,3,FALSE),"")</f>
        <v/>
      </c>
      <c r="D168" s="31" t="str">
        <f>IFERROR(VLOOKUP(A168,Clientes_PDV!$A$2:$J$250,4,FALSE),"")</f>
        <v/>
      </c>
      <c r="E168" s="24"/>
      <c r="F168" s="31" t="str">
        <f>IFERROR(VLOOKUP(E168,Maestro_SKU!$A$2:$P$500,2,FALSE),"")</f>
        <v/>
      </c>
      <c r="G168" s="29"/>
      <c r="H168" s="32" t="str">
        <f>IF(OR(G168="",E168=""),"",G168*IFERROR(VLOOKUP(E168,Maestro_SKU!$A$2:$P$500,12,FALSE),1))</f>
        <v/>
      </c>
      <c r="I168" s="25"/>
      <c r="J168" s="31" t="str">
        <f>IF(A168="","",IF(H168&lt;=Inicio!$B$16,"Crítico",IF(H168&lt;=Inicio!$B$17,"Observar","OK")))</f>
        <v/>
      </c>
      <c r="K168" s="24"/>
    </row>
    <row r="169" spans="1:11" x14ac:dyDescent="0.35">
      <c r="A169" s="24"/>
      <c r="B169" s="31" t="str">
        <f>IFERROR(VLOOKUP(A169,Clientes_PDV!$A$2:$J$250,2,FALSE),"")</f>
        <v/>
      </c>
      <c r="C169" s="31" t="str">
        <f>IFERROR(VLOOKUP(A169,Clientes_PDV!$A$2:$J$250,3,FALSE),"")</f>
        <v/>
      </c>
      <c r="D169" s="31" t="str">
        <f>IFERROR(VLOOKUP(A169,Clientes_PDV!$A$2:$J$250,4,FALSE),"")</f>
        <v/>
      </c>
      <c r="E169" s="24"/>
      <c r="F169" s="31" t="str">
        <f>IFERROR(VLOOKUP(E169,Maestro_SKU!$A$2:$P$500,2,FALSE),"")</f>
        <v/>
      </c>
      <c r="G169" s="29"/>
      <c r="H169" s="32" t="str">
        <f>IF(OR(G169="",E169=""),"",G169*IFERROR(VLOOKUP(E169,Maestro_SKU!$A$2:$P$500,12,FALSE),1))</f>
        <v/>
      </c>
      <c r="I169" s="25"/>
      <c r="J169" s="31" t="str">
        <f>IF(A169="","",IF(H169&lt;=Inicio!$B$16,"Crítico",IF(H169&lt;=Inicio!$B$17,"Observar","OK")))</f>
        <v/>
      </c>
      <c r="K169" s="24"/>
    </row>
    <row r="170" spans="1:11" x14ac:dyDescent="0.35">
      <c r="A170" s="24"/>
      <c r="B170" s="31" t="str">
        <f>IFERROR(VLOOKUP(A170,Clientes_PDV!$A$2:$J$250,2,FALSE),"")</f>
        <v/>
      </c>
      <c r="C170" s="31" t="str">
        <f>IFERROR(VLOOKUP(A170,Clientes_PDV!$A$2:$J$250,3,FALSE),"")</f>
        <v/>
      </c>
      <c r="D170" s="31" t="str">
        <f>IFERROR(VLOOKUP(A170,Clientes_PDV!$A$2:$J$250,4,FALSE),"")</f>
        <v/>
      </c>
      <c r="E170" s="24"/>
      <c r="F170" s="31" t="str">
        <f>IFERROR(VLOOKUP(E170,Maestro_SKU!$A$2:$P$500,2,FALSE),"")</f>
        <v/>
      </c>
      <c r="G170" s="29"/>
      <c r="H170" s="32" t="str">
        <f>IF(OR(G170="",E170=""),"",G170*IFERROR(VLOOKUP(E170,Maestro_SKU!$A$2:$P$500,12,FALSE),1))</f>
        <v/>
      </c>
      <c r="I170" s="25"/>
      <c r="J170" s="31" t="str">
        <f>IF(A170="","",IF(H170&lt;=Inicio!$B$16,"Crítico",IF(H170&lt;=Inicio!$B$17,"Observar","OK")))</f>
        <v/>
      </c>
      <c r="K170" s="24"/>
    </row>
    <row r="171" spans="1:11" x14ac:dyDescent="0.35">
      <c r="A171" s="24"/>
      <c r="B171" s="31" t="str">
        <f>IFERROR(VLOOKUP(A171,Clientes_PDV!$A$2:$J$250,2,FALSE),"")</f>
        <v/>
      </c>
      <c r="C171" s="31" t="str">
        <f>IFERROR(VLOOKUP(A171,Clientes_PDV!$A$2:$J$250,3,FALSE),"")</f>
        <v/>
      </c>
      <c r="D171" s="31" t="str">
        <f>IFERROR(VLOOKUP(A171,Clientes_PDV!$A$2:$J$250,4,FALSE),"")</f>
        <v/>
      </c>
      <c r="E171" s="24"/>
      <c r="F171" s="31" t="str">
        <f>IFERROR(VLOOKUP(E171,Maestro_SKU!$A$2:$P$500,2,FALSE),"")</f>
        <v/>
      </c>
      <c r="G171" s="29"/>
      <c r="H171" s="32" t="str">
        <f>IF(OR(G171="",E171=""),"",G171*IFERROR(VLOOKUP(E171,Maestro_SKU!$A$2:$P$500,12,FALSE),1))</f>
        <v/>
      </c>
      <c r="I171" s="25"/>
      <c r="J171" s="31" t="str">
        <f>IF(A171="","",IF(H171&lt;=Inicio!$B$16,"Crítico",IF(H171&lt;=Inicio!$B$17,"Observar","OK")))</f>
        <v/>
      </c>
      <c r="K171" s="24"/>
    </row>
    <row r="172" spans="1:11" x14ac:dyDescent="0.35">
      <c r="A172" s="24"/>
      <c r="B172" s="31" t="str">
        <f>IFERROR(VLOOKUP(A172,Clientes_PDV!$A$2:$J$250,2,FALSE),"")</f>
        <v/>
      </c>
      <c r="C172" s="31" t="str">
        <f>IFERROR(VLOOKUP(A172,Clientes_PDV!$A$2:$J$250,3,FALSE),"")</f>
        <v/>
      </c>
      <c r="D172" s="31" t="str">
        <f>IFERROR(VLOOKUP(A172,Clientes_PDV!$A$2:$J$250,4,FALSE),"")</f>
        <v/>
      </c>
      <c r="E172" s="24"/>
      <c r="F172" s="31" t="str">
        <f>IFERROR(VLOOKUP(E172,Maestro_SKU!$A$2:$P$500,2,FALSE),"")</f>
        <v/>
      </c>
      <c r="G172" s="29"/>
      <c r="H172" s="32" t="str">
        <f>IF(OR(G172="",E172=""),"",G172*IFERROR(VLOOKUP(E172,Maestro_SKU!$A$2:$P$500,12,FALSE),1))</f>
        <v/>
      </c>
      <c r="I172" s="25"/>
      <c r="J172" s="31" t="str">
        <f>IF(A172="","",IF(H172&lt;=Inicio!$B$16,"Crítico",IF(H172&lt;=Inicio!$B$17,"Observar","OK")))</f>
        <v/>
      </c>
      <c r="K172" s="24"/>
    </row>
    <row r="173" spans="1:11" x14ac:dyDescent="0.35">
      <c r="A173" s="24"/>
      <c r="B173" s="31" t="str">
        <f>IFERROR(VLOOKUP(A173,Clientes_PDV!$A$2:$J$250,2,FALSE),"")</f>
        <v/>
      </c>
      <c r="C173" s="31" t="str">
        <f>IFERROR(VLOOKUP(A173,Clientes_PDV!$A$2:$J$250,3,FALSE),"")</f>
        <v/>
      </c>
      <c r="D173" s="31" t="str">
        <f>IFERROR(VLOOKUP(A173,Clientes_PDV!$A$2:$J$250,4,FALSE),"")</f>
        <v/>
      </c>
      <c r="E173" s="24"/>
      <c r="F173" s="31" t="str">
        <f>IFERROR(VLOOKUP(E173,Maestro_SKU!$A$2:$P$500,2,FALSE),"")</f>
        <v/>
      </c>
      <c r="G173" s="29"/>
      <c r="H173" s="32" t="str">
        <f>IF(OR(G173="",E173=""),"",G173*IFERROR(VLOOKUP(E173,Maestro_SKU!$A$2:$P$500,12,FALSE),1))</f>
        <v/>
      </c>
      <c r="I173" s="25"/>
      <c r="J173" s="31" t="str">
        <f>IF(A173="","",IF(H173&lt;=Inicio!$B$16,"Crítico",IF(H173&lt;=Inicio!$B$17,"Observar","OK")))</f>
        <v/>
      </c>
      <c r="K173" s="24"/>
    </row>
    <row r="174" spans="1:11" x14ac:dyDescent="0.35">
      <c r="A174" s="24"/>
      <c r="B174" s="31" t="str">
        <f>IFERROR(VLOOKUP(A174,Clientes_PDV!$A$2:$J$250,2,FALSE),"")</f>
        <v/>
      </c>
      <c r="C174" s="31" t="str">
        <f>IFERROR(VLOOKUP(A174,Clientes_PDV!$A$2:$J$250,3,FALSE),"")</f>
        <v/>
      </c>
      <c r="D174" s="31" t="str">
        <f>IFERROR(VLOOKUP(A174,Clientes_PDV!$A$2:$J$250,4,FALSE),"")</f>
        <v/>
      </c>
      <c r="E174" s="24"/>
      <c r="F174" s="31" t="str">
        <f>IFERROR(VLOOKUP(E174,Maestro_SKU!$A$2:$P$500,2,FALSE),"")</f>
        <v/>
      </c>
      <c r="G174" s="29"/>
      <c r="H174" s="32" t="str">
        <f>IF(OR(G174="",E174=""),"",G174*IFERROR(VLOOKUP(E174,Maestro_SKU!$A$2:$P$500,12,FALSE),1))</f>
        <v/>
      </c>
      <c r="I174" s="25"/>
      <c r="J174" s="31" t="str">
        <f>IF(A174="","",IF(H174&lt;=Inicio!$B$16,"Crítico",IF(H174&lt;=Inicio!$B$17,"Observar","OK")))</f>
        <v/>
      </c>
      <c r="K174" s="24"/>
    </row>
    <row r="175" spans="1:11" x14ac:dyDescent="0.35">
      <c r="A175" s="24"/>
      <c r="B175" s="31" t="str">
        <f>IFERROR(VLOOKUP(A175,Clientes_PDV!$A$2:$J$250,2,FALSE),"")</f>
        <v/>
      </c>
      <c r="C175" s="31" t="str">
        <f>IFERROR(VLOOKUP(A175,Clientes_PDV!$A$2:$J$250,3,FALSE),"")</f>
        <v/>
      </c>
      <c r="D175" s="31" t="str">
        <f>IFERROR(VLOOKUP(A175,Clientes_PDV!$A$2:$J$250,4,FALSE),"")</f>
        <v/>
      </c>
      <c r="E175" s="24"/>
      <c r="F175" s="31" t="str">
        <f>IFERROR(VLOOKUP(E175,Maestro_SKU!$A$2:$P$500,2,FALSE),"")</f>
        <v/>
      </c>
      <c r="G175" s="29"/>
      <c r="H175" s="32" t="str">
        <f>IF(OR(G175="",E175=""),"",G175*IFERROR(VLOOKUP(E175,Maestro_SKU!$A$2:$P$500,12,FALSE),1))</f>
        <v/>
      </c>
      <c r="I175" s="25"/>
      <c r="J175" s="31" t="str">
        <f>IF(A175="","",IF(H175&lt;=Inicio!$B$16,"Crítico",IF(H175&lt;=Inicio!$B$17,"Observar","OK")))</f>
        <v/>
      </c>
      <c r="K175" s="24"/>
    </row>
    <row r="176" spans="1:11" x14ac:dyDescent="0.35">
      <c r="A176" s="24"/>
      <c r="B176" s="31" t="str">
        <f>IFERROR(VLOOKUP(A176,Clientes_PDV!$A$2:$J$250,2,FALSE),"")</f>
        <v/>
      </c>
      <c r="C176" s="31" t="str">
        <f>IFERROR(VLOOKUP(A176,Clientes_PDV!$A$2:$J$250,3,FALSE),"")</f>
        <v/>
      </c>
      <c r="D176" s="31" t="str">
        <f>IFERROR(VLOOKUP(A176,Clientes_PDV!$A$2:$J$250,4,FALSE),"")</f>
        <v/>
      </c>
      <c r="E176" s="24"/>
      <c r="F176" s="31" t="str">
        <f>IFERROR(VLOOKUP(E176,Maestro_SKU!$A$2:$P$500,2,FALSE),"")</f>
        <v/>
      </c>
      <c r="G176" s="29"/>
      <c r="H176" s="32" t="str">
        <f>IF(OR(G176="",E176=""),"",G176*IFERROR(VLOOKUP(E176,Maestro_SKU!$A$2:$P$500,12,FALSE),1))</f>
        <v/>
      </c>
      <c r="I176" s="25"/>
      <c r="J176" s="31" t="str">
        <f>IF(A176="","",IF(H176&lt;=Inicio!$B$16,"Crítico",IF(H176&lt;=Inicio!$B$17,"Observar","OK")))</f>
        <v/>
      </c>
      <c r="K176" s="24"/>
    </row>
    <row r="177" spans="1:11" x14ac:dyDescent="0.35">
      <c r="A177" s="24"/>
      <c r="B177" s="31" t="str">
        <f>IFERROR(VLOOKUP(A177,Clientes_PDV!$A$2:$J$250,2,FALSE),"")</f>
        <v/>
      </c>
      <c r="C177" s="31" t="str">
        <f>IFERROR(VLOOKUP(A177,Clientes_PDV!$A$2:$J$250,3,FALSE),"")</f>
        <v/>
      </c>
      <c r="D177" s="31" t="str">
        <f>IFERROR(VLOOKUP(A177,Clientes_PDV!$A$2:$J$250,4,FALSE),"")</f>
        <v/>
      </c>
      <c r="E177" s="24"/>
      <c r="F177" s="31" t="str">
        <f>IFERROR(VLOOKUP(E177,Maestro_SKU!$A$2:$P$500,2,FALSE),"")</f>
        <v/>
      </c>
      <c r="G177" s="29"/>
      <c r="H177" s="32" t="str">
        <f>IF(OR(G177="",E177=""),"",G177*IFERROR(VLOOKUP(E177,Maestro_SKU!$A$2:$P$500,12,FALSE),1))</f>
        <v/>
      </c>
      <c r="I177" s="25"/>
      <c r="J177" s="31" t="str">
        <f>IF(A177="","",IF(H177&lt;=Inicio!$B$16,"Crítico",IF(H177&lt;=Inicio!$B$17,"Observar","OK")))</f>
        <v/>
      </c>
      <c r="K177" s="24"/>
    </row>
    <row r="178" spans="1:11" x14ac:dyDescent="0.35">
      <c r="A178" s="24"/>
      <c r="B178" s="31" t="str">
        <f>IFERROR(VLOOKUP(A178,Clientes_PDV!$A$2:$J$250,2,FALSE),"")</f>
        <v/>
      </c>
      <c r="C178" s="31" t="str">
        <f>IFERROR(VLOOKUP(A178,Clientes_PDV!$A$2:$J$250,3,FALSE),"")</f>
        <v/>
      </c>
      <c r="D178" s="31" t="str">
        <f>IFERROR(VLOOKUP(A178,Clientes_PDV!$A$2:$J$250,4,FALSE),"")</f>
        <v/>
      </c>
      <c r="E178" s="24"/>
      <c r="F178" s="31" t="str">
        <f>IFERROR(VLOOKUP(E178,Maestro_SKU!$A$2:$P$500,2,FALSE),"")</f>
        <v/>
      </c>
      <c r="G178" s="29"/>
      <c r="H178" s="32" t="str">
        <f>IF(OR(G178="",E178=""),"",G178*IFERROR(VLOOKUP(E178,Maestro_SKU!$A$2:$P$500,12,FALSE),1))</f>
        <v/>
      </c>
      <c r="I178" s="25"/>
      <c r="J178" s="31" t="str">
        <f>IF(A178="","",IF(H178&lt;=Inicio!$B$16,"Crítico",IF(H178&lt;=Inicio!$B$17,"Observar","OK")))</f>
        <v/>
      </c>
      <c r="K178" s="24"/>
    </row>
    <row r="179" spans="1:11" x14ac:dyDescent="0.35">
      <c r="A179" s="24"/>
      <c r="B179" s="31" t="str">
        <f>IFERROR(VLOOKUP(A179,Clientes_PDV!$A$2:$J$250,2,FALSE),"")</f>
        <v/>
      </c>
      <c r="C179" s="31" t="str">
        <f>IFERROR(VLOOKUP(A179,Clientes_PDV!$A$2:$J$250,3,FALSE),"")</f>
        <v/>
      </c>
      <c r="D179" s="31" t="str">
        <f>IFERROR(VLOOKUP(A179,Clientes_PDV!$A$2:$J$250,4,FALSE),"")</f>
        <v/>
      </c>
      <c r="E179" s="24"/>
      <c r="F179" s="31" t="str">
        <f>IFERROR(VLOOKUP(E179,Maestro_SKU!$A$2:$P$500,2,FALSE),"")</f>
        <v/>
      </c>
      <c r="G179" s="29"/>
      <c r="H179" s="32" t="str">
        <f>IF(OR(G179="",E179=""),"",G179*IFERROR(VLOOKUP(E179,Maestro_SKU!$A$2:$P$500,12,FALSE),1))</f>
        <v/>
      </c>
      <c r="I179" s="25"/>
      <c r="J179" s="31" t="str">
        <f>IF(A179="","",IF(H179&lt;=Inicio!$B$16,"Crítico",IF(H179&lt;=Inicio!$B$17,"Observar","OK")))</f>
        <v/>
      </c>
      <c r="K179" s="24"/>
    </row>
    <row r="180" spans="1:11" x14ac:dyDescent="0.35">
      <c r="A180" s="24"/>
      <c r="B180" s="31" t="str">
        <f>IFERROR(VLOOKUP(A180,Clientes_PDV!$A$2:$J$250,2,FALSE),"")</f>
        <v/>
      </c>
      <c r="C180" s="31" t="str">
        <f>IFERROR(VLOOKUP(A180,Clientes_PDV!$A$2:$J$250,3,FALSE),"")</f>
        <v/>
      </c>
      <c r="D180" s="31" t="str">
        <f>IFERROR(VLOOKUP(A180,Clientes_PDV!$A$2:$J$250,4,FALSE),"")</f>
        <v/>
      </c>
      <c r="E180" s="24"/>
      <c r="F180" s="31" t="str">
        <f>IFERROR(VLOOKUP(E180,Maestro_SKU!$A$2:$P$500,2,FALSE),"")</f>
        <v/>
      </c>
      <c r="G180" s="29"/>
      <c r="H180" s="32" t="str">
        <f>IF(OR(G180="",E180=""),"",G180*IFERROR(VLOOKUP(E180,Maestro_SKU!$A$2:$P$500,12,FALSE),1))</f>
        <v/>
      </c>
      <c r="I180" s="25"/>
      <c r="J180" s="31" t="str">
        <f>IF(A180="","",IF(H180&lt;=Inicio!$B$16,"Crítico",IF(H180&lt;=Inicio!$B$17,"Observar","OK")))</f>
        <v/>
      </c>
      <c r="K180" s="24"/>
    </row>
    <row r="181" spans="1:11" x14ac:dyDescent="0.35">
      <c r="A181" s="24"/>
      <c r="B181" s="31" t="str">
        <f>IFERROR(VLOOKUP(A181,Clientes_PDV!$A$2:$J$250,2,FALSE),"")</f>
        <v/>
      </c>
      <c r="C181" s="31" t="str">
        <f>IFERROR(VLOOKUP(A181,Clientes_PDV!$A$2:$J$250,3,FALSE),"")</f>
        <v/>
      </c>
      <c r="D181" s="31" t="str">
        <f>IFERROR(VLOOKUP(A181,Clientes_PDV!$A$2:$J$250,4,FALSE),"")</f>
        <v/>
      </c>
      <c r="E181" s="24"/>
      <c r="F181" s="31" t="str">
        <f>IFERROR(VLOOKUP(E181,Maestro_SKU!$A$2:$P$500,2,FALSE),"")</f>
        <v/>
      </c>
      <c r="G181" s="29"/>
      <c r="H181" s="32" t="str">
        <f>IF(OR(G181="",E181=""),"",G181*IFERROR(VLOOKUP(E181,Maestro_SKU!$A$2:$P$500,12,FALSE),1))</f>
        <v/>
      </c>
      <c r="I181" s="25"/>
      <c r="J181" s="31" t="str">
        <f>IF(A181="","",IF(H181&lt;=Inicio!$B$16,"Crítico",IF(H181&lt;=Inicio!$B$17,"Observar","OK")))</f>
        <v/>
      </c>
      <c r="K181" s="24"/>
    </row>
    <row r="182" spans="1:11" x14ac:dyDescent="0.35">
      <c r="A182" s="24"/>
      <c r="B182" s="31" t="str">
        <f>IFERROR(VLOOKUP(A182,Clientes_PDV!$A$2:$J$250,2,FALSE),"")</f>
        <v/>
      </c>
      <c r="C182" s="31" t="str">
        <f>IFERROR(VLOOKUP(A182,Clientes_PDV!$A$2:$J$250,3,FALSE),"")</f>
        <v/>
      </c>
      <c r="D182" s="31" t="str">
        <f>IFERROR(VLOOKUP(A182,Clientes_PDV!$A$2:$J$250,4,FALSE),"")</f>
        <v/>
      </c>
      <c r="E182" s="24"/>
      <c r="F182" s="31" t="str">
        <f>IFERROR(VLOOKUP(E182,Maestro_SKU!$A$2:$P$500,2,FALSE),"")</f>
        <v/>
      </c>
      <c r="G182" s="29"/>
      <c r="H182" s="32" t="str">
        <f>IF(OR(G182="",E182=""),"",G182*IFERROR(VLOOKUP(E182,Maestro_SKU!$A$2:$P$500,12,FALSE),1))</f>
        <v/>
      </c>
      <c r="I182" s="25"/>
      <c r="J182" s="31" t="str">
        <f>IF(A182="","",IF(H182&lt;=Inicio!$B$16,"Crítico",IF(H182&lt;=Inicio!$B$17,"Observar","OK")))</f>
        <v/>
      </c>
      <c r="K182" s="24"/>
    </row>
    <row r="183" spans="1:11" x14ac:dyDescent="0.35">
      <c r="A183" s="24"/>
      <c r="B183" s="31" t="str">
        <f>IFERROR(VLOOKUP(A183,Clientes_PDV!$A$2:$J$250,2,FALSE),"")</f>
        <v/>
      </c>
      <c r="C183" s="31" t="str">
        <f>IFERROR(VLOOKUP(A183,Clientes_PDV!$A$2:$J$250,3,FALSE),"")</f>
        <v/>
      </c>
      <c r="D183" s="31" t="str">
        <f>IFERROR(VLOOKUP(A183,Clientes_PDV!$A$2:$J$250,4,FALSE),"")</f>
        <v/>
      </c>
      <c r="E183" s="24"/>
      <c r="F183" s="31" t="str">
        <f>IFERROR(VLOOKUP(E183,Maestro_SKU!$A$2:$P$500,2,FALSE),"")</f>
        <v/>
      </c>
      <c r="G183" s="29"/>
      <c r="H183" s="32" t="str">
        <f>IF(OR(G183="",E183=""),"",G183*IFERROR(VLOOKUP(E183,Maestro_SKU!$A$2:$P$500,12,FALSE),1))</f>
        <v/>
      </c>
      <c r="I183" s="25"/>
      <c r="J183" s="31" t="str">
        <f>IF(A183="","",IF(H183&lt;=Inicio!$B$16,"Crítico",IF(H183&lt;=Inicio!$B$17,"Observar","OK")))</f>
        <v/>
      </c>
      <c r="K183" s="24"/>
    </row>
    <row r="184" spans="1:11" x14ac:dyDescent="0.35">
      <c r="A184" s="24"/>
      <c r="B184" s="31" t="str">
        <f>IFERROR(VLOOKUP(A184,Clientes_PDV!$A$2:$J$250,2,FALSE),"")</f>
        <v/>
      </c>
      <c r="C184" s="31" t="str">
        <f>IFERROR(VLOOKUP(A184,Clientes_PDV!$A$2:$J$250,3,FALSE),"")</f>
        <v/>
      </c>
      <c r="D184" s="31" t="str">
        <f>IFERROR(VLOOKUP(A184,Clientes_PDV!$A$2:$J$250,4,FALSE),"")</f>
        <v/>
      </c>
      <c r="E184" s="24"/>
      <c r="F184" s="31" t="str">
        <f>IFERROR(VLOOKUP(E184,Maestro_SKU!$A$2:$P$500,2,FALSE),"")</f>
        <v/>
      </c>
      <c r="G184" s="29"/>
      <c r="H184" s="32" t="str">
        <f>IF(OR(G184="",E184=""),"",G184*IFERROR(VLOOKUP(E184,Maestro_SKU!$A$2:$P$500,12,FALSE),1))</f>
        <v/>
      </c>
      <c r="I184" s="25"/>
      <c r="J184" s="31" t="str">
        <f>IF(A184="","",IF(H184&lt;=Inicio!$B$16,"Crítico",IF(H184&lt;=Inicio!$B$17,"Observar","OK")))</f>
        <v/>
      </c>
      <c r="K184" s="24"/>
    </row>
    <row r="185" spans="1:11" x14ac:dyDescent="0.35">
      <c r="A185" s="24"/>
      <c r="B185" s="31" t="str">
        <f>IFERROR(VLOOKUP(A185,Clientes_PDV!$A$2:$J$250,2,FALSE),"")</f>
        <v/>
      </c>
      <c r="C185" s="31" t="str">
        <f>IFERROR(VLOOKUP(A185,Clientes_PDV!$A$2:$J$250,3,FALSE),"")</f>
        <v/>
      </c>
      <c r="D185" s="31" t="str">
        <f>IFERROR(VLOOKUP(A185,Clientes_PDV!$A$2:$J$250,4,FALSE),"")</f>
        <v/>
      </c>
      <c r="E185" s="24"/>
      <c r="F185" s="31" t="str">
        <f>IFERROR(VLOOKUP(E185,Maestro_SKU!$A$2:$P$500,2,FALSE),"")</f>
        <v/>
      </c>
      <c r="G185" s="29"/>
      <c r="H185" s="32" t="str">
        <f>IF(OR(G185="",E185=""),"",G185*IFERROR(VLOOKUP(E185,Maestro_SKU!$A$2:$P$500,12,FALSE),1))</f>
        <v/>
      </c>
      <c r="I185" s="25"/>
      <c r="J185" s="31" t="str">
        <f>IF(A185="","",IF(H185&lt;=Inicio!$B$16,"Crítico",IF(H185&lt;=Inicio!$B$17,"Observar","OK")))</f>
        <v/>
      </c>
      <c r="K185" s="24"/>
    </row>
    <row r="186" spans="1:11" x14ac:dyDescent="0.35">
      <c r="A186" s="24"/>
      <c r="B186" s="31" t="str">
        <f>IFERROR(VLOOKUP(A186,Clientes_PDV!$A$2:$J$250,2,FALSE),"")</f>
        <v/>
      </c>
      <c r="C186" s="31" t="str">
        <f>IFERROR(VLOOKUP(A186,Clientes_PDV!$A$2:$J$250,3,FALSE),"")</f>
        <v/>
      </c>
      <c r="D186" s="31" t="str">
        <f>IFERROR(VLOOKUP(A186,Clientes_PDV!$A$2:$J$250,4,FALSE),"")</f>
        <v/>
      </c>
      <c r="E186" s="24"/>
      <c r="F186" s="31" t="str">
        <f>IFERROR(VLOOKUP(E186,Maestro_SKU!$A$2:$P$500,2,FALSE),"")</f>
        <v/>
      </c>
      <c r="G186" s="29"/>
      <c r="H186" s="32" t="str">
        <f>IF(OR(G186="",E186=""),"",G186*IFERROR(VLOOKUP(E186,Maestro_SKU!$A$2:$P$500,12,FALSE),1))</f>
        <v/>
      </c>
      <c r="I186" s="25"/>
      <c r="J186" s="31" t="str">
        <f>IF(A186="","",IF(H186&lt;=Inicio!$B$16,"Crítico",IF(H186&lt;=Inicio!$B$17,"Observar","OK")))</f>
        <v/>
      </c>
      <c r="K186" s="24"/>
    </row>
    <row r="187" spans="1:11" x14ac:dyDescent="0.35">
      <c r="A187" s="24"/>
      <c r="B187" s="31" t="str">
        <f>IFERROR(VLOOKUP(A187,Clientes_PDV!$A$2:$J$250,2,FALSE),"")</f>
        <v/>
      </c>
      <c r="C187" s="31" t="str">
        <f>IFERROR(VLOOKUP(A187,Clientes_PDV!$A$2:$J$250,3,FALSE),"")</f>
        <v/>
      </c>
      <c r="D187" s="31" t="str">
        <f>IFERROR(VLOOKUP(A187,Clientes_PDV!$A$2:$J$250,4,FALSE),"")</f>
        <v/>
      </c>
      <c r="E187" s="24"/>
      <c r="F187" s="31" t="str">
        <f>IFERROR(VLOOKUP(E187,Maestro_SKU!$A$2:$P$500,2,FALSE),"")</f>
        <v/>
      </c>
      <c r="G187" s="29"/>
      <c r="H187" s="32" t="str">
        <f>IF(OR(G187="",E187=""),"",G187*IFERROR(VLOOKUP(E187,Maestro_SKU!$A$2:$P$500,12,FALSE),1))</f>
        <v/>
      </c>
      <c r="I187" s="25"/>
      <c r="J187" s="31" t="str">
        <f>IF(A187="","",IF(H187&lt;=Inicio!$B$16,"Crítico",IF(H187&lt;=Inicio!$B$17,"Observar","OK")))</f>
        <v/>
      </c>
      <c r="K187" s="24"/>
    </row>
    <row r="188" spans="1:11" x14ac:dyDescent="0.35">
      <c r="A188" s="24"/>
      <c r="B188" s="31" t="str">
        <f>IFERROR(VLOOKUP(A188,Clientes_PDV!$A$2:$J$250,2,FALSE),"")</f>
        <v/>
      </c>
      <c r="C188" s="31" t="str">
        <f>IFERROR(VLOOKUP(A188,Clientes_PDV!$A$2:$J$250,3,FALSE),"")</f>
        <v/>
      </c>
      <c r="D188" s="31" t="str">
        <f>IFERROR(VLOOKUP(A188,Clientes_PDV!$A$2:$J$250,4,FALSE),"")</f>
        <v/>
      </c>
      <c r="E188" s="24"/>
      <c r="F188" s="31" t="str">
        <f>IFERROR(VLOOKUP(E188,Maestro_SKU!$A$2:$P$500,2,FALSE),"")</f>
        <v/>
      </c>
      <c r="G188" s="29"/>
      <c r="H188" s="32" t="str">
        <f>IF(OR(G188="",E188=""),"",G188*IFERROR(VLOOKUP(E188,Maestro_SKU!$A$2:$P$500,12,FALSE),1))</f>
        <v/>
      </c>
      <c r="I188" s="25"/>
      <c r="J188" s="31" t="str">
        <f>IF(A188="","",IF(H188&lt;=Inicio!$B$16,"Crítico",IF(H188&lt;=Inicio!$B$17,"Observar","OK")))</f>
        <v/>
      </c>
      <c r="K188" s="24"/>
    </row>
    <row r="189" spans="1:11" x14ac:dyDescent="0.35">
      <c r="A189" s="24"/>
      <c r="B189" s="31" t="str">
        <f>IFERROR(VLOOKUP(A189,Clientes_PDV!$A$2:$J$250,2,FALSE),"")</f>
        <v/>
      </c>
      <c r="C189" s="31" t="str">
        <f>IFERROR(VLOOKUP(A189,Clientes_PDV!$A$2:$J$250,3,FALSE),"")</f>
        <v/>
      </c>
      <c r="D189" s="31" t="str">
        <f>IFERROR(VLOOKUP(A189,Clientes_PDV!$A$2:$J$250,4,FALSE),"")</f>
        <v/>
      </c>
      <c r="E189" s="24"/>
      <c r="F189" s="31" t="str">
        <f>IFERROR(VLOOKUP(E189,Maestro_SKU!$A$2:$P$500,2,FALSE),"")</f>
        <v/>
      </c>
      <c r="G189" s="29"/>
      <c r="H189" s="32" t="str">
        <f>IF(OR(G189="",E189=""),"",G189*IFERROR(VLOOKUP(E189,Maestro_SKU!$A$2:$P$500,12,FALSE),1))</f>
        <v/>
      </c>
      <c r="I189" s="25"/>
      <c r="J189" s="31" t="str">
        <f>IF(A189="","",IF(H189&lt;=Inicio!$B$16,"Crítico",IF(H189&lt;=Inicio!$B$17,"Observar","OK")))</f>
        <v/>
      </c>
      <c r="K189" s="24"/>
    </row>
    <row r="190" spans="1:11" x14ac:dyDescent="0.35">
      <c r="A190" s="24"/>
      <c r="B190" s="31" t="str">
        <f>IFERROR(VLOOKUP(A190,Clientes_PDV!$A$2:$J$250,2,FALSE),"")</f>
        <v/>
      </c>
      <c r="C190" s="31" t="str">
        <f>IFERROR(VLOOKUP(A190,Clientes_PDV!$A$2:$J$250,3,FALSE),"")</f>
        <v/>
      </c>
      <c r="D190" s="31" t="str">
        <f>IFERROR(VLOOKUP(A190,Clientes_PDV!$A$2:$J$250,4,FALSE),"")</f>
        <v/>
      </c>
      <c r="E190" s="24"/>
      <c r="F190" s="31" t="str">
        <f>IFERROR(VLOOKUP(E190,Maestro_SKU!$A$2:$P$500,2,FALSE),"")</f>
        <v/>
      </c>
      <c r="G190" s="29"/>
      <c r="H190" s="32" t="str">
        <f>IF(OR(G190="",E190=""),"",G190*IFERROR(VLOOKUP(E190,Maestro_SKU!$A$2:$P$500,12,FALSE),1))</f>
        <v/>
      </c>
      <c r="I190" s="25"/>
      <c r="J190" s="31" t="str">
        <f>IF(A190="","",IF(H190&lt;=Inicio!$B$16,"Crítico",IF(H190&lt;=Inicio!$B$17,"Observar","OK")))</f>
        <v/>
      </c>
      <c r="K190" s="24"/>
    </row>
    <row r="191" spans="1:11" x14ac:dyDescent="0.35">
      <c r="A191" s="24"/>
      <c r="B191" s="31" t="str">
        <f>IFERROR(VLOOKUP(A191,Clientes_PDV!$A$2:$J$250,2,FALSE),"")</f>
        <v/>
      </c>
      <c r="C191" s="31" t="str">
        <f>IFERROR(VLOOKUP(A191,Clientes_PDV!$A$2:$J$250,3,FALSE),"")</f>
        <v/>
      </c>
      <c r="D191" s="31" t="str">
        <f>IFERROR(VLOOKUP(A191,Clientes_PDV!$A$2:$J$250,4,FALSE),"")</f>
        <v/>
      </c>
      <c r="E191" s="24"/>
      <c r="F191" s="31" t="str">
        <f>IFERROR(VLOOKUP(E191,Maestro_SKU!$A$2:$P$500,2,FALSE),"")</f>
        <v/>
      </c>
      <c r="G191" s="29"/>
      <c r="H191" s="32" t="str">
        <f>IF(OR(G191="",E191=""),"",G191*IFERROR(VLOOKUP(E191,Maestro_SKU!$A$2:$P$500,12,FALSE),1))</f>
        <v/>
      </c>
      <c r="I191" s="25"/>
      <c r="J191" s="31" t="str">
        <f>IF(A191="","",IF(H191&lt;=Inicio!$B$16,"Crítico",IF(H191&lt;=Inicio!$B$17,"Observar","OK")))</f>
        <v/>
      </c>
      <c r="K191" s="24"/>
    </row>
    <row r="192" spans="1:11" x14ac:dyDescent="0.35">
      <c r="A192" s="24"/>
      <c r="B192" s="31" t="str">
        <f>IFERROR(VLOOKUP(A192,Clientes_PDV!$A$2:$J$250,2,FALSE),"")</f>
        <v/>
      </c>
      <c r="C192" s="31" t="str">
        <f>IFERROR(VLOOKUP(A192,Clientes_PDV!$A$2:$J$250,3,FALSE),"")</f>
        <v/>
      </c>
      <c r="D192" s="31" t="str">
        <f>IFERROR(VLOOKUP(A192,Clientes_PDV!$A$2:$J$250,4,FALSE),"")</f>
        <v/>
      </c>
      <c r="E192" s="24"/>
      <c r="F192" s="31" t="str">
        <f>IFERROR(VLOOKUP(E192,Maestro_SKU!$A$2:$P$500,2,FALSE),"")</f>
        <v/>
      </c>
      <c r="G192" s="29"/>
      <c r="H192" s="32" t="str">
        <f>IF(OR(G192="",E192=""),"",G192*IFERROR(VLOOKUP(E192,Maestro_SKU!$A$2:$P$500,12,FALSE),1))</f>
        <v/>
      </c>
      <c r="I192" s="25"/>
      <c r="J192" s="31" t="str">
        <f>IF(A192="","",IF(H192&lt;=Inicio!$B$16,"Crítico",IF(H192&lt;=Inicio!$B$17,"Observar","OK")))</f>
        <v/>
      </c>
      <c r="K192" s="24"/>
    </row>
    <row r="193" spans="1:11" x14ac:dyDescent="0.35">
      <c r="A193" s="24"/>
      <c r="B193" s="31" t="str">
        <f>IFERROR(VLOOKUP(A193,Clientes_PDV!$A$2:$J$250,2,FALSE),"")</f>
        <v/>
      </c>
      <c r="C193" s="31" t="str">
        <f>IFERROR(VLOOKUP(A193,Clientes_PDV!$A$2:$J$250,3,FALSE),"")</f>
        <v/>
      </c>
      <c r="D193" s="31" t="str">
        <f>IFERROR(VLOOKUP(A193,Clientes_PDV!$A$2:$J$250,4,FALSE),"")</f>
        <v/>
      </c>
      <c r="E193" s="24"/>
      <c r="F193" s="31" t="str">
        <f>IFERROR(VLOOKUP(E193,Maestro_SKU!$A$2:$P$500,2,FALSE),"")</f>
        <v/>
      </c>
      <c r="G193" s="29"/>
      <c r="H193" s="32" t="str">
        <f>IF(OR(G193="",E193=""),"",G193*IFERROR(VLOOKUP(E193,Maestro_SKU!$A$2:$P$500,12,FALSE),1))</f>
        <v/>
      </c>
      <c r="I193" s="25"/>
      <c r="J193" s="31" t="str">
        <f>IF(A193="","",IF(H193&lt;=Inicio!$B$16,"Crítico",IF(H193&lt;=Inicio!$B$17,"Observar","OK")))</f>
        <v/>
      </c>
      <c r="K193" s="24"/>
    </row>
    <row r="194" spans="1:11" x14ac:dyDescent="0.35">
      <c r="A194" s="24"/>
      <c r="B194" s="31" t="str">
        <f>IFERROR(VLOOKUP(A194,Clientes_PDV!$A$2:$J$250,2,FALSE),"")</f>
        <v/>
      </c>
      <c r="C194" s="31" t="str">
        <f>IFERROR(VLOOKUP(A194,Clientes_PDV!$A$2:$J$250,3,FALSE),"")</f>
        <v/>
      </c>
      <c r="D194" s="31" t="str">
        <f>IFERROR(VLOOKUP(A194,Clientes_PDV!$A$2:$J$250,4,FALSE),"")</f>
        <v/>
      </c>
      <c r="E194" s="24"/>
      <c r="F194" s="31" t="str">
        <f>IFERROR(VLOOKUP(E194,Maestro_SKU!$A$2:$P$500,2,FALSE),"")</f>
        <v/>
      </c>
      <c r="G194" s="29"/>
      <c r="H194" s="32" t="str">
        <f>IF(OR(G194="",E194=""),"",G194*IFERROR(VLOOKUP(E194,Maestro_SKU!$A$2:$P$500,12,FALSE),1))</f>
        <v/>
      </c>
      <c r="I194" s="25"/>
      <c r="J194" s="31" t="str">
        <f>IF(A194="","",IF(H194&lt;=Inicio!$B$16,"Crítico",IF(H194&lt;=Inicio!$B$17,"Observar","OK")))</f>
        <v/>
      </c>
      <c r="K194" s="24"/>
    </row>
    <row r="195" spans="1:11" x14ac:dyDescent="0.35">
      <c r="A195" s="24"/>
      <c r="B195" s="31" t="str">
        <f>IFERROR(VLOOKUP(A195,Clientes_PDV!$A$2:$J$250,2,FALSE),"")</f>
        <v/>
      </c>
      <c r="C195" s="31" t="str">
        <f>IFERROR(VLOOKUP(A195,Clientes_PDV!$A$2:$J$250,3,FALSE),"")</f>
        <v/>
      </c>
      <c r="D195" s="31" t="str">
        <f>IFERROR(VLOOKUP(A195,Clientes_PDV!$A$2:$J$250,4,FALSE),"")</f>
        <v/>
      </c>
      <c r="E195" s="24"/>
      <c r="F195" s="31" t="str">
        <f>IFERROR(VLOOKUP(E195,Maestro_SKU!$A$2:$P$500,2,FALSE),"")</f>
        <v/>
      </c>
      <c r="G195" s="29"/>
      <c r="H195" s="32" t="str">
        <f>IF(OR(G195="",E195=""),"",G195*IFERROR(VLOOKUP(E195,Maestro_SKU!$A$2:$P$500,12,FALSE),1))</f>
        <v/>
      </c>
      <c r="I195" s="25"/>
      <c r="J195" s="31" t="str">
        <f>IF(A195="","",IF(H195&lt;=Inicio!$B$16,"Crítico",IF(H195&lt;=Inicio!$B$17,"Observar","OK")))</f>
        <v/>
      </c>
      <c r="K195" s="24"/>
    </row>
    <row r="196" spans="1:11" x14ac:dyDescent="0.35">
      <c r="A196" s="24"/>
      <c r="B196" s="31" t="str">
        <f>IFERROR(VLOOKUP(A196,Clientes_PDV!$A$2:$J$250,2,FALSE),"")</f>
        <v/>
      </c>
      <c r="C196" s="31" t="str">
        <f>IFERROR(VLOOKUP(A196,Clientes_PDV!$A$2:$J$250,3,FALSE),"")</f>
        <v/>
      </c>
      <c r="D196" s="31" t="str">
        <f>IFERROR(VLOOKUP(A196,Clientes_PDV!$A$2:$J$250,4,FALSE),"")</f>
        <v/>
      </c>
      <c r="E196" s="24"/>
      <c r="F196" s="31" t="str">
        <f>IFERROR(VLOOKUP(E196,Maestro_SKU!$A$2:$P$500,2,FALSE),"")</f>
        <v/>
      </c>
      <c r="G196" s="29"/>
      <c r="H196" s="32" t="str">
        <f>IF(OR(G196="",E196=""),"",G196*IFERROR(VLOOKUP(E196,Maestro_SKU!$A$2:$P$500,12,FALSE),1))</f>
        <v/>
      </c>
      <c r="I196" s="25"/>
      <c r="J196" s="31" t="str">
        <f>IF(A196="","",IF(H196&lt;=Inicio!$B$16,"Crítico",IF(H196&lt;=Inicio!$B$17,"Observar","OK")))</f>
        <v/>
      </c>
      <c r="K196" s="24"/>
    </row>
    <row r="197" spans="1:11" x14ac:dyDescent="0.35">
      <c r="A197" s="24"/>
      <c r="B197" s="31" t="str">
        <f>IFERROR(VLOOKUP(A197,Clientes_PDV!$A$2:$J$250,2,FALSE),"")</f>
        <v/>
      </c>
      <c r="C197" s="31" t="str">
        <f>IFERROR(VLOOKUP(A197,Clientes_PDV!$A$2:$J$250,3,FALSE),"")</f>
        <v/>
      </c>
      <c r="D197" s="31" t="str">
        <f>IFERROR(VLOOKUP(A197,Clientes_PDV!$A$2:$J$250,4,FALSE),"")</f>
        <v/>
      </c>
      <c r="E197" s="24"/>
      <c r="F197" s="31" t="str">
        <f>IFERROR(VLOOKUP(E197,Maestro_SKU!$A$2:$P$500,2,FALSE),"")</f>
        <v/>
      </c>
      <c r="G197" s="29"/>
      <c r="H197" s="32" t="str">
        <f>IF(OR(G197="",E197=""),"",G197*IFERROR(VLOOKUP(E197,Maestro_SKU!$A$2:$P$500,12,FALSE),1))</f>
        <v/>
      </c>
      <c r="I197" s="25"/>
      <c r="J197" s="31" t="str">
        <f>IF(A197="","",IF(H197&lt;=Inicio!$B$16,"Crítico",IF(H197&lt;=Inicio!$B$17,"Observar","OK")))</f>
        <v/>
      </c>
      <c r="K197" s="24"/>
    </row>
    <row r="198" spans="1:11" x14ac:dyDescent="0.35">
      <c r="A198" s="24"/>
      <c r="B198" s="31" t="str">
        <f>IFERROR(VLOOKUP(A198,Clientes_PDV!$A$2:$J$250,2,FALSE),"")</f>
        <v/>
      </c>
      <c r="C198" s="31" t="str">
        <f>IFERROR(VLOOKUP(A198,Clientes_PDV!$A$2:$J$250,3,FALSE),"")</f>
        <v/>
      </c>
      <c r="D198" s="31" t="str">
        <f>IFERROR(VLOOKUP(A198,Clientes_PDV!$A$2:$J$250,4,FALSE),"")</f>
        <v/>
      </c>
      <c r="E198" s="24"/>
      <c r="F198" s="31" t="str">
        <f>IFERROR(VLOOKUP(E198,Maestro_SKU!$A$2:$P$500,2,FALSE),"")</f>
        <v/>
      </c>
      <c r="G198" s="29"/>
      <c r="H198" s="32" t="str">
        <f>IF(OR(G198="",E198=""),"",G198*IFERROR(VLOOKUP(E198,Maestro_SKU!$A$2:$P$500,12,FALSE),1))</f>
        <v/>
      </c>
      <c r="I198" s="25"/>
      <c r="J198" s="31" t="str">
        <f>IF(A198="","",IF(H198&lt;=Inicio!$B$16,"Crítico",IF(H198&lt;=Inicio!$B$17,"Observar","OK")))</f>
        <v/>
      </c>
      <c r="K198" s="24"/>
    </row>
    <row r="199" spans="1:11" x14ac:dyDescent="0.35">
      <c r="A199" s="24"/>
      <c r="B199" s="31" t="str">
        <f>IFERROR(VLOOKUP(A199,Clientes_PDV!$A$2:$J$250,2,FALSE),"")</f>
        <v/>
      </c>
      <c r="C199" s="31" t="str">
        <f>IFERROR(VLOOKUP(A199,Clientes_PDV!$A$2:$J$250,3,FALSE),"")</f>
        <v/>
      </c>
      <c r="D199" s="31" t="str">
        <f>IFERROR(VLOOKUP(A199,Clientes_PDV!$A$2:$J$250,4,FALSE),"")</f>
        <v/>
      </c>
      <c r="E199" s="24"/>
      <c r="F199" s="31" t="str">
        <f>IFERROR(VLOOKUP(E199,Maestro_SKU!$A$2:$P$500,2,FALSE),"")</f>
        <v/>
      </c>
      <c r="G199" s="29"/>
      <c r="H199" s="32" t="str">
        <f>IF(OR(G199="",E199=""),"",G199*IFERROR(VLOOKUP(E199,Maestro_SKU!$A$2:$P$500,12,FALSE),1))</f>
        <v/>
      </c>
      <c r="I199" s="25"/>
      <c r="J199" s="31" t="str">
        <f>IF(A199="","",IF(H199&lt;=Inicio!$B$16,"Crítico",IF(H199&lt;=Inicio!$B$17,"Observar","OK")))</f>
        <v/>
      </c>
      <c r="K199" s="24"/>
    </row>
    <row r="200" spans="1:11" x14ac:dyDescent="0.35">
      <c r="A200" s="24"/>
      <c r="B200" s="31" t="str">
        <f>IFERROR(VLOOKUP(A200,Clientes_PDV!$A$2:$J$250,2,FALSE),"")</f>
        <v/>
      </c>
      <c r="C200" s="31" t="str">
        <f>IFERROR(VLOOKUP(A200,Clientes_PDV!$A$2:$J$250,3,FALSE),"")</f>
        <v/>
      </c>
      <c r="D200" s="31" t="str">
        <f>IFERROR(VLOOKUP(A200,Clientes_PDV!$A$2:$J$250,4,FALSE),"")</f>
        <v/>
      </c>
      <c r="E200" s="24"/>
      <c r="F200" s="31" t="str">
        <f>IFERROR(VLOOKUP(E200,Maestro_SKU!$A$2:$P$500,2,FALSE),"")</f>
        <v/>
      </c>
      <c r="G200" s="29"/>
      <c r="H200" s="32" t="str">
        <f>IF(OR(G200="",E200=""),"",G200*IFERROR(VLOOKUP(E200,Maestro_SKU!$A$2:$P$500,12,FALSE),1))</f>
        <v/>
      </c>
      <c r="I200" s="25"/>
      <c r="J200" s="31" t="str">
        <f>IF(A200="","",IF(H200&lt;=Inicio!$B$16,"Crítico",IF(H200&lt;=Inicio!$B$17,"Observar","OK")))</f>
        <v/>
      </c>
      <c r="K200" s="24"/>
    </row>
    <row r="201" spans="1:11" x14ac:dyDescent="0.35">
      <c r="A201" s="24"/>
      <c r="B201" s="31" t="str">
        <f>IFERROR(VLOOKUP(A201,Clientes_PDV!$A$2:$J$250,2,FALSE),"")</f>
        <v/>
      </c>
      <c r="C201" s="31" t="str">
        <f>IFERROR(VLOOKUP(A201,Clientes_PDV!$A$2:$J$250,3,FALSE),"")</f>
        <v/>
      </c>
      <c r="D201" s="31" t="str">
        <f>IFERROR(VLOOKUP(A201,Clientes_PDV!$A$2:$J$250,4,FALSE),"")</f>
        <v/>
      </c>
      <c r="E201" s="24"/>
      <c r="F201" s="31" t="str">
        <f>IFERROR(VLOOKUP(E201,Maestro_SKU!$A$2:$P$500,2,FALSE),"")</f>
        <v/>
      </c>
      <c r="G201" s="29"/>
      <c r="H201" s="32" t="str">
        <f>IF(OR(G201="",E201=""),"",G201*IFERROR(VLOOKUP(E201,Maestro_SKU!$A$2:$P$500,12,FALSE),1))</f>
        <v/>
      </c>
      <c r="I201" s="25"/>
      <c r="J201" s="31" t="str">
        <f>IF(A201="","",IF(H201&lt;=Inicio!$B$16,"Crítico",IF(H201&lt;=Inicio!$B$17,"Observar","OK")))</f>
        <v/>
      </c>
      <c r="K201" s="24"/>
    </row>
    <row r="202" spans="1:11" x14ac:dyDescent="0.35">
      <c r="A202" s="24"/>
      <c r="B202" s="31" t="str">
        <f>IFERROR(VLOOKUP(A202,Clientes_PDV!$A$2:$J$250,2,FALSE),"")</f>
        <v/>
      </c>
      <c r="C202" s="31" t="str">
        <f>IFERROR(VLOOKUP(A202,Clientes_PDV!$A$2:$J$250,3,FALSE),"")</f>
        <v/>
      </c>
      <c r="D202" s="31" t="str">
        <f>IFERROR(VLOOKUP(A202,Clientes_PDV!$A$2:$J$250,4,FALSE),"")</f>
        <v/>
      </c>
      <c r="E202" s="24"/>
      <c r="F202" s="31" t="str">
        <f>IFERROR(VLOOKUP(E202,Maestro_SKU!$A$2:$P$500,2,FALSE),"")</f>
        <v/>
      </c>
      <c r="G202" s="29"/>
      <c r="H202" s="32" t="str">
        <f>IF(OR(G202="",E202=""),"",G202*IFERROR(VLOOKUP(E202,Maestro_SKU!$A$2:$P$500,12,FALSE),1))</f>
        <v/>
      </c>
      <c r="I202" s="25"/>
      <c r="J202" s="31" t="str">
        <f>IF(A202="","",IF(H202&lt;=Inicio!$B$16,"Crítico",IF(H202&lt;=Inicio!$B$17,"Observar","OK")))</f>
        <v/>
      </c>
      <c r="K202" s="24"/>
    </row>
    <row r="203" spans="1:11" x14ac:dyDescent="0.35">
      <c r="A203" s="24"/>
      <c r="B203" s="31" t="str">
        <f>IFERROR(VLOOKUP(A203,Clientes_PDV!$A$2:$J$250,2,FALSE),"")</f>
        <v/>
      </c>
      <c r="C203" s="31" t="str">
        <f>IFERROR(VLOOKUP(A203,Clientes_PDV!$A$2:$J$250,3,FALSE),"")</f>
        <v/>
      </c>
      <c r="D203" s="31" t="str">
        <f>IFERROR(VLOOKUP(A203,Clientes_PDV!$A$2:$J$250,4,FALSE),"")</f>
        <v/>
      </c>
      <c r="E203" s="24"/>
      <c r="F203" s="31" t="str">
        <f>IFERROR(VLOOKUP(E203,Maestro_SKU!$A$2:$P$500,2,FALSE),"")</f>
        <v/>
      </c>
      <c r="G203" s="29"/>
      <c r="H203" s="32" t="str">
        <f>IF(OR(G203="",E203=""),"",G203*IFERROR(VLOOKUP(E203,Maestro_SKU!$A$2:$P$500,12,FALSE),1))</f>
        <v/>
      </c>
      <c r="I203" s="25"/>
      <c r="J203" s="31" t="str">
        <f>IF(A203="","",IF(H203&lt;=Inicio!$B$16,"Crítico",IF(H203&lt;=Inicio!$B$17,"Observar","OK")))</f>
        <v/>
      </c>
      <c r="K203" s="24"/>
    </row>
    <row r="204" spans="1:11" x14ac:dyDescent="0.35">
      <c r="A204" s="24"/>
      <c r="B204" s="31" t="str">
        <f>IFERROR(VLOOKUP(A204,Clientes_PDV!$A$2:$J$250,2,FALSE),"")</f>
        <v/>
      </c>
      <c r="C204" s="31" t="str">
        <f>IFERROR(VLOOKUP(A204,Clientes_PDV!$A$2:$J$250,3,FALSE),"")</f>
        <v/>
      </c>
      <c r="D204" s="31" t="str">
        <f>IFERROR(VLOOKUP(A204,Clientes_PDV!$A$2:$J$250,4,FALSE),"")</f>
        <v/>
      </c>
      <c r="E204" s="24"/>
      <c r="F204" s="31" t="str">
        <f>IFERROR(VLOOKUP(E204,Maestro_SKU!$A$2:$P$500,2,FALSE),"")</f>
        <v/>
      </c>
      <c r="G204" s="29"/>
      <c r="H204" s="32" t="str">
        <f>IF(OR(G204="",E204=""),"",G204*IFERROR(VLOOKUP(E204,Maestro_SKU!$A$2:$P$500,12,FALSE),1))</f>
        <v/>
      </c>
      <c r="I204" s="25"/>
      <c r="J204" s="31" t="str">
        <f>IF(A204="","",IF(H204&lt;=Inicio!$B$16,"Crítico",IF(H204&lt;=Inicio!$B$17,"Observar","OK")))</f>
        <v/>
      </c>
      <c r="K204" s="24"/>
    </row>
    <row r="205" spans="1:11" x14ac:dyDescent="0.35">
      <c r="A205" s="24"/>
      <c r="B205" s="31" t="str">
        <f>IFERROR(VLOOKUP(A205,Clientes_PDV!$A$2:$J$250,2,FALSE),"")</f>
        <v/>
      </c>
      <c r="C205" s="31" t="str">
        <f>IFERROR(VLOOKUP(A205,Clientes_PDV!$A$2:$J$250,3,FALSE),"")</f>
        <v/>
      </c>
      <c r="D205" s="31" t="str">
        <f>IFERROR(VLOOKUP(A205,Clientes_PDV!$A$2:$J$250,4,FALSE),"")</f>
        <v/>
      </c>
      <c r="E205" s="24"/>
      <c r="F205" s="31" t="str">
        <f>IFERROR(VLOOKUP(E205,Maestro_SKU!$A$2:$P$500,2,FALSE),"")</f>
        <v/>
      </c>
      <c r="G205" s="29"/>
      <c r="H205" s="32" t="str">
        <f>IF(OR(G205="",E205=""),"",G205*IFERROR(VLOOKUP(E205,Maestro_SKU!$A$2:$P$500,12,FALSE),1))</f>
        <v/>
      </c>
      <c r="I205" s="25"/>
      <c r="J205" s="31" t="str">
        <f>IF(A205="","",IF(H205&lt;=Inicio!$B$16,"Crítico",IF(H205&lt;=Inicio!$B$17,"Observar","OK")))</f>
        <v/>
      </c>
      <c r="K205" s="24"/>
    </row>
    <row r="206" spans="1:11" x14ac:dyDescent="0.35">
      <c r="A206" s="24"/>
      <c r="B206" s="31" t="str">
        <f>IFERROR(VLOOKUP(A206,Clientes_PDV!$A$2:$J$250,2,FALSE),"")</f>
        <v/>
      </c>
      <c r="C206" s="31" t="str">
        <f>IFERROR(VLOOKUP(A206,Clientes_PDV!$A$2:$J$250,3,FALSE),"")</f>
        <v/>
      </c>
      <c r="D206" s="31" t="str">
        <f>IFERROR(VLOOKUP(A206,Clientes_PDV!$A$2:$J$250,4,FALSE),"")</f>
        <v/>
      </c>
      <c r="E206" s="24"/>
      <c r="F206" s="31" t="str">
        <f>IFERROR(VLOOKUP(E206,Maestro_SKU!$A$2:$P$500,2,FALSE),"")</f>
        <v/>
      </c>
      <c r="G206" s="29"/>
      <c r="H206" s="32" t="str">
        <f>IF(OR(G206="",E206=""),"",G206*IFERROR(VLOOKUP(E206,Maestro_SKU!$A$2:$P$500,12,FALSE),1))</f>
        <v/>
      </c>
      <c r="I206" s="25"/>
      <c r="J206" s="31" t="str">
        <f>IF(A206="","",IF(H206&lt;=Inicio!$B$16,"Crítico",IF(H206&lt;=Inicio!$B$17,"Observar","OK")))</f>
        <v/>
      </c>
      <c r="K206" s="24"/>
    </row>
    <row r="207" spans="1:11" x14ac:dyDescent="0.35">
      <c r="A207" s="24"/>
      <c r="B207" s="31" t="str">
        <f>IFERROR(VLOOKUP(A207,Clientes_PDV!$A$2:$J$250,2,FALSE),"")</f>
        <v/>
      </c>
      <c r="C207" s="31" t="str">
        <f>IFERROR(VLOOKUP(A207,Clientes_PDV!$A$2:$J$250,3,FALSE),"")</f>
        <v/>
      </c>
      <c r="D207" s="31" t="str">
        <f>IFERROR(VLOOKUP(A207,Clientes_PDV!$A$2:$J$250,4,FALSE),"")</f>
        <v/>
      </c>
      <c r="E207" s="24"/>
      <c r="F207" s="31" t="str">
        <f>IFERROR(VLOOKUP(E207,Maestro_SKU!$A$2:$P$500,2,FALSE),"")</f>
        <v/>
      </c>
      <c r="G207" s="29"/>
      <c r="H207" s="32" t="str">
        <f>IF(OR(G207="",E207=""),"",G207*IFERROR(VLOOKUP(E207,Maestro_SKU!$A$2:$P$500,12,FALSE),1))</f>
        <v/>
      </c>
      <c r="I207" s="25"/>
      <c r="J207" s="31" t="str">
        <f>IF(A207="","",IF(H207&lt;=Inicio!$B$16,"Crítico",IF(H207&lt;=Inicio!$B$17,"Observar","OK")))</f>
        <v/>
      </c>
      <c r="K207" s="24"/>
    </row>
    <row r="208" spans="1:11" x14ac:dyDescent="0.35">
      <c r="A208" s="24"/>
      <c r="B208" s="31" t="str">
        <f>IFERROR(VLOOKUP(A208,Clientes_PDV!$A$2:$J$250,2,FALSE),"")</f>
        <v/>
      </c>
      <c r="C208" s="31" t="str">
        <f>IFERROR(VLOOKUP(A208,Clientes_PDV!$A$2:$J$250,3,FALSE),"")</f>
        <v/>
      </c>
      <c r="D208" s="31" t="str">
        <f>IFERROR(VLOOKUP(A208,Clientes_PDV!$A$2:$J$250,4,FALSE),"")</f>
        <v/>
      </c>
      <c r="E208" s="24"/>
      <c r="F208" s="31" t="str">
        <f>IFERROR(VLOOKUP(E208,Maestro_SKU!$A$2:$P$500,2,FALSE),"")</f>
        <v/>
      </c>
      <c r="G208" s="29"/>
      <c r="H208" s="32" t="str">
        <f>IF(OR(G208="",E208=""),"",G208*IFERROR(VLOOKUP(E208,Maestro_SKU!$A$2:$P$500,12,FALSE),1))</f>
        <v/>
      </c>
      <c r="I208" s="25"/>
      <c r="J208" s="31" t="str">
        <f>IF(A208="","",IF(H208&lt;=Inicio!$B$16,"Crítico",IF(H208&lt;=Inicio!$B$17,"Observar","OK")))</f>
        <v/>
      </c>
      <c r="K208" s="24"/>
    </row>
    <row r="209" spans="1:11" x14ac:dyDescent="0.35">
      <c r="A209" s="24"/>
      <c r="B209" s="31" t="str">
        <f>IFERROR(VLOOKUP(A209,Clientes_PDV!$A$2:$J$250,2,FALSE),"")</f>
        <v/>
      </c>
      <c r="C209" s="31" t="str">
        <f>IFERROR(VLOOKUP(A209,Clientes_PDV!$A$2:$J$250,3,FALSE),"")</f>
        <v/>
      </c>
      <c r="D209" s="31" t="str">
        <f>IFERROR(VLOOKUP(A209,Clientes_PDV!$A$2:$J$250,4,FALSE),"")</f>
        <v/>
      </c>
      <c r="E209" s="24"/>
      <c r="F209" s="31" t="str">
        <f>IFERROR(VLOOKUP(E209,Maestro_SKU!$A$2:$P$500,2,FALSE),"")</f>
        <v/>
      </c>
      <c r="G209" s="29"/>
      <c r="H209" s="32" t="str">
        <f>IF(OR(G209="",E209=""),"",G209*IFERROR(VLOOKUP(E209,Maestro_SKU!$A$2:$P$500,12,FALSE),1))</f>
        <v/>
      </c>
      <c r="I209" s="25"/>
      <c r="J209" s="31" t="str">
        <f>IF(A209="","",IF(H209&lt;=Inicio!$B$16,"Crítico",IF(H209&lt;=Inicio!$B$17,"Observar","OK")))</f>
        <v/>
      </c>
      <c r="K209" s="24"/>
    </row>
    <row r="210" spans="1:11" x14ac:dyDescent="0.35">
      <c r="A210" s="24"/>
      <c r="B210" s="31" t="str">
        <f>IFERROR(VLOOKUP(A210,Clientes_PDV!$A$2:$J$250,2,FALSE),"")</f>
        <v/>
      </c>
      <c r="C210" s="31" t="str">
        <f>IFERROR(VLOOKUP(A210,Clientes_PDV!$A$2:$J$250,3,FALSE),"")</f>
        <v/>
      </c>
      <c r="D210" s="31" t="str">
        <f>IFERROR(VLOOKUP(A210,Clientes_PDV!$A$2:$J$250,4,FALSE),"")</f>
        <v/>
      </c>
      <c r="E210" s="24"/>
      <c r="F210" s="31" t="str">
        <f>IFERROR(VLOOKUP(E210,Maestro_SKU!$A$2:$P$500,2,FALSE),"")</f>
        <v/>
      </c>
      <c r="G210" s="29"/>
      <c r="H210" s="32" t="str">
        <f>IF(OR(G210="",E210=""),"",G210*IFERROR(VLOOKUP(E210,Maestro_SKU!$A$2:$P$500,12,FALSE),1))</f>
        <v/>
      </c>
      <c r="I210" s="25"/>
      <c r="J210" s="31" t="str">
        <f>IF(A210="","",IF(H210&lt;=Inicio!$B$16,"Crítico",IF(H210&lt;=Inicio!$B$17,"Observar","OK")))</f>
        <v/>
      </c>
      <c r="K210" s="24"/>
    </row>
    <row r="211" spans="1:11" x14ac:dyDescent="0.35">
      <c r="A211" s="24"/>
      <c r="B211" s="31" t="str">
        <f>IFERROR(VLOOKUP(A211,Clientes_PDV!$A$2:$J$250,2,FALSE),"")</f>
        <v/>
      </c>
      <c r="C211" s="31" t="str">
        <f>IFERROR(VLOOKUP(A211,Clientes_PDV!$A$2:$J$250,3,FALSE),"")</f>
        <v/>
      </c>
      <c r="D211" s="31" t="str">
        <f>IFERROR(VLOOKUP(A211,Clientes_PDV!$A$2:$J$250,4,FALSE),"")</f>
        <v/>
      </c>
      <c r="E211" s="24"/>
      <c r="F211" s="31" t="str">
        <f>IFERROR(VLOOKUP(E211,Maestro_SKU!$A$2:$P$500,2,FALSE),"")</f>
        <v/>
      </c>
      <c r="G211" s="29"/>
      <c r="H211" s="32" t="str">
        <f>IF(OR(G211="",E211=""),"",G211*IFERROR(VLOOKUP(E211,Maestro_SKU!$A$2:$P$500,12,FALSE),1))</f>
        <v/>
      </c>
      <c r="I211" s="25"/>
      <c r="J211" s="31" t="str">
        <f>IF(A211="","",IF(H211&lt;=Inicio!$B$16,"Crítico",IF(H211&lt;=Inicio!$B$17,"Observar","OK")))</f>
        <v/>
      </c>
      <c r="K211" s="24"/>
    </row>
    <row r="212" spans="1:11" x14ac:dyDescent="0.35">
      <c r="A212" s="24"/>
      <c r="B212" s="31" t="str">
        <f>IFERROR(VLOOKUP(A212,Clientes_PDV!$A$2:$J$250,2,FALSE),"")</f>
        <v/>
      </c>
      <c r="C212" s="31" t="str">
        <f>IFERROR(VLOOKUP(A212,Clientes_PDV!$A$2:$J$250,3,FALSE),"")</f>
        <v/>
      </c>
      <c r="D212" s="31" t="str">
        <f>IFERROR(VLOOKUP(A212,Clientes_PDV!$A$2:$J$250,4,FALSE),"")</f>
        <v/>
      </c>
      <c r="E212" s="24"/>
      <c r="F212" s="31" t="str">
        <f>IFERROR(VLOOKUP(E212,Maestro_SKU!$A$2:$P$500,2,FALSE),"")</f>
        <v/>
      </c>
      <c r="G212" s="29"/>
      <c r="H212" s="32" t="str">
        <f>IF(OR(G212="",E212=""),"",G212*IFERROR(VLOOKUP(E212,Maestro_SKU!$A$2:$P$500,12,FALSE),1))</f>
        <v/>
      </c>
      <c r="I212" s="25"/>
      <c r="J212" s="31" t="str">
        <f>IF(A212="","",IF(H212&lt;=Inicio!$B$16,"Crítico",IF(H212&lt;=Inicio!$B$17,"Observar","OK")))</f>
        <v/>
      </c>
      <c r="K212" s="24"/>
    </row>
    <row r="213" spans="1:11" x14ac:dyDescent="0.35">
      <c r="A213" s="24"/>
      <c r="B213" s="31" t="str">
        <f>IFERROR(VLOOKUP(A213,Clientes_PDV!$A$2:$J$250,2,FALSE),"")</f>
        <v/>
      </c>
      <c r="C213" s="31" t="str">
        <f>IFERROR(VLOOKUP(A213,Clientes_PDV!$A$2:$J$250,3,FALSE),"")</f>
        <v/>
      </c>
      <c r="D213" s="31" t="str">
        <f>IFERROR(VLOOKUP(A213,Clientes_PDV!$A$2:$J$250,4,FALSE),"")</f>
        <v/>
      </c>
      <c r="E213" s="24"/>
      <c r="F213" s="31" t="str">
        <f>IFERROR(VLOOKUP(E213,Maestro_SKU!$A$2:$P$500,2,FALSE),"")</f>
        <v/>
      </c>
      <c r="G213" s="29"/>
      <c r="H213" s="32" t="str">
        <f>IF(OR(G213="",E213=""),"",G213*IFERROR(VLOOKUP(E213,Maestro_SKU!$A$2:$P$500,12,FALSE),1))</f>
        <v/>
      </c>
      <c r="I213" s="25"/>
      <c r="J213" s="31" t="str">
        <f>IF(A213="","",IF(H213&lt;=Inicio!$B$16,"Crítico",IF(H213&lt;=Inicio!$B$17,"Observar","OK")))</f>
        <v/>
      </c>
      <c r="K213" s="24"/>
    </row>
    <row r="214" spans="1:11" x14ac:dyDescent="0.35">
      <c r="A214" s="24"/>
      <c r="B214" s="31" t="str">
        <f>IFERROR(VLOOKUP(A214,Clientes_PDV!$A$2:$J$250,2,FALSE),"")</f>
        <v/>
      </c>
      <c r="C214" s="31" t="str">
        <f>IFERROR(VLOOKUP(A214,Clientes_PDV!$A$2:$J$250,3,FALSE),"")</f>
        <v/>
      </c>
      <c r="D214" s="31" t="str">
        <f>IFERROR(VLOOKUP(A214,Clientes_PDV!$A$2:$J$250,4,FALSE),"")</f>
        <v/>
      </c>
      <c r="E214" s="24"/>
      <c r="F214" s="31" t="str">
        <f>IFERROR(VLOOKUP(E214,Maestro_SKU!$A$2:$P$500,2,FALSE),"")</f>
        <v/>
      </c>
      <c r="G214" s="29"/>
      <c r="H214" s="32" t="str">
        <f>IF(OR(G214="",E214=""),"",G214*IFERROR(VLOOKUP(E214,Maestro_SKU!$A$2:$P$500,12,FALSE),1))</f>
        <v/>
      </c>
      <c r="I214" s="25"/>
      <c r="J214" s="31" t="str">
        <f>IF(A214="","",IF(H214&lt;=Inicio!$B$16,"Crítico",IF(H214&lt;=Inicio!$B$17,"Observar","OK")))</f>
        <v/>
      </c>
      <c r="K214" s="24"/>
    </row>
    <row r="215" spans="1:11" x14ac:dyDescent="0.35">
      <c r="A215" s="24"/>
      <c r="B215" s="31" t="str">
        <f>IFERROR(VLOOKUP(A215,Clientes_PDV!$A$2:$J$250,2,FALSE),"")</f>
        <v/>
      </c>
      <c r="C215" s="31" t="str">
        <f>IFERROR(VLOOKUP(A215,Clientes_PDV!$A$2:$J$250,3,FALSE),"")</f>
        <v/>
      </c>
      <c r="D215" s="31" t="str">
        <f>IFERROR(VLOOKUP(A215,Clientes_PDV!$A$2:$J$250,4,FALSE),"")</f>
        <v/>
      </c>
      <c r="E215" s="24"/>
      <c r="F215" s="31" t="str">
        <f>IFERROR(VLOOKUP(E215,Maestro_SKU!$A$2:$P$500,2,FALSE),"")</f>
        <v/>
      </c>
      <c r="G215" s="29"/>
      <c r="H215" s="32" t="str">
        <f>IF(OR(G215="",E215=""),"",G215*IFERROR(VLOOKUP(E215,Maestro_SKU!$A$2:$P$500,12,FALSE),1))</f>
        <v/>
      </c>
      <c r="I215" s="25"/>
      <c r="J215" s="31" t="str">
        <f>IF(A215="","",IF(H215&lt;=Inicio!$B$16,"Crítico",IF(H215&lt;=Inicio!$B$17,"Observar","OK")))</f>
        <v/>
      </c>
      <c r="K215" s="24"/>
    </row>
    <row r="216" spans="1:11" x14ac:dyDescent="0.35">
      <c r="A216" s="24"/>
      <c r="B216" s="31" t="str">
        <f>IFERROR(VLOOKUP(A216,Clientes_PDV!$A$2:$J$250,2,FALSE),"")</f>
        <v/>
      </c>
      <c r="C216" s="31" t="str">
        <f>IFERROR(VLOOKUP(A216,Clientes_PDV!$A$2:$J$250,3,FALSE),"")</f>
        <v/>
      </c>
      <c r="D216" s="31" t="str">
        <f>IFERROR(VLOOKUP(A216,Clientes_PDV!$A$2:$J$250,4,FALSE),"")</f>
        <v/>
      </c>
      <c r="E216" s="24"/>
      <c r="F216" s="31" t="str">
        <f>IFERROR(VLOOKUP(E216,Maestro_SKU!$A$2:$P$500,2,FALSE),"")</f>
        <v/>
      </c>
      <c r="G216" s="29"/>
      <c r="H216" s="32" t="str">
        <f>IF(OR(G216="",E216=""),"",G216*IFERROR(VLOOKUP(E216,Maestro_SKU!$A$2:$P$500,12,FALSE),1))</f>
        <v/>
      </c>
      <c r="I216" s="25"/>
      <c r="J216" s="31" t="str">
        <f>IF(A216="","",IF(H216&lt;=Inicio!$B$16,"Crítico",IF(H216&lt;=Inicio!$B$17,"Observar","OK")))</f>
        <v/>
      </c>
      <c r="K216" s="24"/>
    </row>
    <row r="217" spans="1:11" x14ac:dyDescent="0.35">
      <c r="A217" s="24"/>
      <c r="B217" s="31" t="str">
        <f>IFERROR(VLOOKUP(A217,Clientes_PDV!$A$2:$J$250,2,FALSE),"")</f>
        <v/>
      </c>
      <c r="C217" s="31" t="str">
        <f>IFERROR(VLOOKUP(A217,Clientes_PDV!$A$2:$J$250,3,FALSE),"")</f>
        <v/>
      </c>
      <c r="D217" s="31" t="str">
        <f>IFERROR(VLOOKUP(A217,Clientes_PDV!$A$2:$J$250,4,FALSE),"")</f>
        <v/>
      </c>
      <c r="E217" s="24"/>
      <c r="F217" s="31" t="str">
        <f>IFERROR(VLOOKUP(E217,Maestro_SKU!$A$2:$P$500,2,FALSE),"")</f>
        <v/>
      </c>
      <c r="G217" s="29"/>
      <c r="H217" s="32" t="str">
        <f>IF(OR(G217="",E217=""),"",G217*IFERROR(VLOOKUP(E217,Maestro_SKU!$A$2:$P$500,12,FALSE),1))</f>
        <v/>
      </c>
      <c r="I217" s="25"/>
      <c r="J217" s="31" t="str">
        <f>IF(A217="","",IF(H217&lt;=Inicio!$B$16,"Crítico",IF(H217&lt;=Inicio!$B$17,"Observar","OK")))</f>
        <v/>
      </c>
      <c r="K217" s="24"/>
    </row>
    <row r="218" spans="1:11" x14ac:dyDescent="0.35">
      <c r="A218" s="24"/>
      <c r="B218" s="31" t="str">
        <f>IFERROR(VLOOKUP(A218,Clientes_PDV!$A$2:$J$250,2,FALSE),"")</f>
        <v/>
      </c>
      <c r="C218" s="31" t="str">
        <f>IFERROR(VLOOKUP(A218,Clientes_PDV!$A$2:$J$250,3,FALSE),"")</f>
        <v/>
      </c>
      <c r="D218" s="31" t="str">
        <f>IFERROR(VLOOKUP(A218,Clientes_PDV!$A$2:$J$250,4,FALSE),"")</f>
        <v/>
      </c>
      <c r="E218" s="24"/>
      <c r="F218" s="31" t="str">
        <f>IFERROR(VLOOKUP(E218,Maestro_SKU!$A$2:$P$500,2,FALSE),"")</f>
        <v/>
      </c>
      <c r="G218" s="29"/>
      <c r="H218" s="32" t="str">
        <f>IF(OR(G218="",E218=""),"",G218*IFERROR(VLOOKUP(E218,Maestro_SKU!$A$2:$P$500,12,FALSE),1))</f>
        <v/>
      </c>
      <c r="I218" s="25"/>
      <c r="J218" s="31" t="str">
        <f>IF(A218="","",IF(H218&lt;=Inicio!$B$16,"Crítico",IF(H218&lt;=Inicio!$B$17,"Observar","OK")))</f>
        <v/>
      </c>
      <c r="K218" s="24"/>
    </row>
    <row r="219" spans="1:11" x14ac:dyDescent="0.35">
      <c r="A219" s="24"/>
      <c r="B219" s="31" t="str">
        <f>IFERROR(VLOOKUP(A219,Clientes_PDV!$A$2:$J$250,2,FALSE),"")</f>
        <v/>
      </c>
      <c r="C219" s="31" t="str">
        <f>IFERROR(VLOOKUP(A219,Clientes_PDV!$A$2:$J$250,3,FALSE),"")</f>
        <v/>
      </c>
      <c r="D219" s="31" t="str">
        <f>IFERROR(VLOOKUP(A219,Clientes_PDV!$A$2:$J$250,4,FALSE),"")</f>
        <v/>
      </c>
      <c r="E219" s="24"/>
      <c r="F219" s="31" t="str">
        <f>IFERROR(VLOOKUP(E219,Maestro_SKU!$A$2:$P$500,2,FALSE),"")</f>
        <v/>
      </c>
      <c r="G219" s="29"/>
      <c r="H219" s="32" t="str">
        <f>IF(OR(G219="",E219=""),"",G219*IFERROR(VLOOKUP(E219,Maestro_SKU!$A$2:$P$500,12,FALSE),1))</f>
        <v/>
      </c>
      <c r="I219" s="25"/>
      <c r="J219" s="31" t="str">
        <f>IF(A219="","",IF(H219&lt;=Inicio!$B$16,"Crítico",IF(H219&lt;=Inicio!$B$17,"Observar","OK")))</f>
        <v/>
      </c>
      <c r="K219" s="24"/>
    </row>
    <row r="220" spans="1:11" x14ac:dyDescent="0.35">
      <c r="A220" s="24"/>
      <c r="B220" s="31" t="str">
        <f>IFERROR(VLOOKUP(A220,Clientes_PDV!$A$2:$J$250,2,FALSE),"")</f>
        <v/>
      </c>
      <c r="C220" s="31" t="str">
        <f>IFERROR(VLOOKUP(A220,Clientes_PDV!$A$2:$J$250,3,FALSE),"")</f>
        <v/>
      </c>
      <c r="D220" s="31" t="str">
        <f>IFERROR(VLOOKUP(A220,Clientes_PDV!$A$2:$J$250,4,FALSE),"")</f>
        <v/>
      </c>
      <c r="E220" s="24"/>
      <c r="F220" s="31" t="str">
        <f>IFERROR(VLOOKUP(E220,Maestro_SKU!$A$2:$P$500,2,FALSE),"")</f>
        <v/>
      </c>
      <c r="G220" s="29"/>
      <c r="H220" s="32" t="str">
        <f>IF(OR(G220="",E220=""),"",G220*IFERROR(VLOOKUP(E220,Maestro_SKU!$A$2:$P$500,12,FALSE),1))</f>
        <v/>
      </c>
      <c r="I220" s="25"/>
      <c r="J220" s="31" t="str">
        <f>IF(A220="","",IF(H220&lt;=Inicio!$B$16,"Crítico",IF(H220&lt;=Inicio!$B$17,"Observar","OK")))</f>
        <v/>
      </c>
      <c r="K220" s="24"/>
    </row>
    <row r="221" spans="1:11" x14ac:dyDescent="0.35">
      <c r="A221" s="24"/>
      <c r="B221" s="31" t="str">
        <f>IFERROR(VLOOKUP(A221,Clientes_PDV!$A$2:$J$250,2,FALSE),"")</f>
        <v/>
      </c>
      <c r="C221" s="31" t="str">
        <f>IFERROR(VLOOKUP(A221,Clientes_PDV!$A$2:$J$250,3,FALSE),"")</f>
        <v/>
      </c>
      <c r="D221" s="31" t="str">
        <f>IFERROR(VLOOKUP(A221,Clientes_PDV!$A$2:$J$250,4,FALSE),"")</f>
        <v/>
      </c>
      <c r="E221" s="24"/>
      <c r="F221" s="31" t="str">
        <f>IFERROR(VLOOKUP(E221,Maestro_SKU!$A$2:$P$500,2,FALSE),"")</f>
        <v/>
      </c>
      <c r="G221" s="29"/>
      <c r="H221" s="32" t="str">
        <f>IF(OR(G221="",E221=""),"",G221*IFERROR(VLOOKUP(E221,Maestro_SKU!$A$2:$P$500,12,FALSE),1))</f>
        <v/>
      </c>
      <c r="I221" s="25"/>
      <c r="J221" s="31" t="str">
        <f>IF(A221="","",IF(H221&lt;=Inicio!$B$16,"Crítico",IF(H221&lt;=Inicio!$B$17,"Observar","OK")))</f>
        <v/>
      </c>
      <c r="K221" s="24"/>
    </row>
    <row r="222" spans="1:11" x14ac:dyDescent="0.35">
      <c r="A222" s="24"/>
      <c r="B222" s="31" t="str">
        <f>IFERROR(VLOOKUP(A222,Clientes_PDV!$A$2:$J$250,2,FALSE),"")</f>
        <v/>
      </c>
      <c r="C222" s="31" t="str">
        <f>IFERROR(VLOOKUP(A222,Clientes_PDV!$A$2:$J$250,3,FALSE),"")</f>
        <v/>
      </c>
      <c r="D222" s="31" t="str">
        <f>IFERROR(VLOOKUP(A222,Clientes_PDV!$A$2:$J$250,4,FALSE),"")</f>
        <v/>
      </c>
      <c r="E222" s="24"/>
      <c r="F222" s="31" t="str">
        <f>IFERROR(VLOOKUP(E222,Maestro_SKU!$A$2:$P$500,2,FALSE),"")</f>
        <v/>
      </c>
      <c r="G222" s="29"/>
      <c r="H222" s="32" t="str">
        <f>IF(OR(G222="",E222=""),"",G222*IFERROR(VLOOKUP(E222,Maestro_SKU!$A$2:$P$500,12,FALSE),1))</f>
        <v/>
      </c>
      <c r="I222" s="25"/>
      <c r="J222" s="31" t="str">
        <f>IF(A222="","",IF(H222&lt;=Inicio!$B$16,"Crítico",IF(H222&lt;=Inicio!$B$17,"Observar","OK")))</f>
        <v/>
      </c>
      <c r="K222" s="24"/>
    </row>
    <row r="223" spans="1:11" x14ac:dyDescent="0.35">
      <c r="A223" s="24"/>
      <c r="B223" s="31" t="str">
        <f>IFERROR(VLOOKUP(A223,Clientes_PDV!$A$2:$J$250,2,FALSE),"")</f>
        <v/>
      </c>
      <c r="C223" s="31" t="str">
        <f>IFERROR(VLOOKUP(A223,Clientes_PDV!$A$2:$J$250,3,FALSE),"")</f>
        <v/>
      </c>
      <c r="D223" s="31" t="str">
        <f>IFERROR(VLOOKUP(A223,Clientes_PDV!$A$2:$J$250,4,FALSE),"")</f>
        <v/>
      </c>
      <c r="E223" s="24"/>
      <c r="F223" s="31" t="str">
        <f>IFERROR(VLOOKUP(E223,Maestro_SKU!$A$2:$P$500,2,FALSE),"")</f>
        <v/>
      </c>
      <c r="G223" s="29"/>
      <c r="H223" s="32" t="str">
        <f>IF(OR(G223="",E223=""),"",G223*IFERROR(VLOOKUP(E223,Maestro_SKU!$A$2:$P$500,12,FALSE),1))</f>
        <v/>
      </c>
      <c r="I223" s="25"/>
      <c r="J223" s="31" t="str">
        <f>IF(A223="","",IF(H223&lt;=Inicio!$B$16,"Crítico",IF(H223&lt;=Inicio!$B$17,"Observar","OK")))</f>
        <v/>
      </c>
      <c r="K223" s="24"/>
    </row>
    <row r="224" spans="1:11" x14ac:dyDescent="0.35">
      <c r="A224" s="24"/>
      <c r="B224" s="31" t="str">
        <f>IFERROR(VLOOKUP(A224,Clientes_PDV!$A$2:$J$250,2,FALSE),"")</f>
        <v/>
      </c>
      <c r="C224" s="31" t="str">
        <f>IFERROR(VLOOKUP(A224,Clientes_PDV!$A$2:$J$250,3,FALSE),"")</f>
        <v/>
      </c>
      <c r="D224" s="31" t="str">
        <f>IFERROR(VLOOKUP(A224,Clientes_PDV!$A$2:$J$250,4,FALSE),"")</f>
        <v/>
      </c>
      <c r="E224" s="24"/>
      <c r="F224" s="31" t="str">
        <f>IFERROR(VLOOKUP(E224,Maestro_SKU!$A$2:$P$500,2,FALSE),"")</f>
        <v/>
      </c>
      <c r="G224" s="29"/>
      <c r="H224" s="32" t="str">
        <f>IF(OR(G224="",E224=""),"",G224*IFERROR(VLOOKUP(E224,Maestro_SKU!$A$2:$P$500,12,FALSE),1))</f>
        <v/>
      </c>
      <c r="I224" s="25"/>
      <c r="J224" s="31" t="str">
        <f>IF(A224="","",IF(H224&lt;=Inicio!$B$16,"Crítico",IF(H224&lt;=Inicio!$B$17,"Observar","OK")))</f>
        <v/>
      </c>
      <c r="K224" s="24"/>
    </row>
    <row r="225" spans="1:11" x14ac:dyDescent="0.35">
      <c r="A225" s="24"/>
      <c r="B225" s="31" t="str">
        <f>IFERROR(VLOOKUP(A225,Clientes_PDV!$A$2:$J$250,2,FALSE),"")</f>
        <v/>
      </c>
      <c r="C225" s="31" t="str">
        <f>IFERROR(VLOOKUP(A225,Clientes_PDV!$A$2:$J$250,3,FALSE),"")</f>
        <v/>
      </c>
      <c r="D225" s="31" t="str">
        <f>IFERROR(VLOOKUP(A225,Clientes_PDV!$A$2:$J$250,4,FALSE),"")</f>
        <v/>
      </c>
      <c r="E225" s="24"/>
      <c r="F225" s="31" t="str">
        <f>IFERROR(VLOOKUP(E225,Maestro_SKU!$A$2:$P$500,2,FALSE),"")</f>
        <v/>
      </c>
      <c r="G225" s="29"/>
      <c r="H225" s="32" t="str">
        <f>IF(OR(G225="",E225=""),"",G225*IFERROR(VLOOKUP(E225,Maestro_SKU!$A$2:$P$500,12,FALSE),1))</f>
        <v/>
      </c>
      <c r="I225" s="25"/>
      <c r="J225" s="31" t="str">
        <f>IF(A225="","",IF(H225&lt;=Inicio!$B$16,"Crítico",IF(H225&lt;=Inicio!$B$17,"Observar","OK")))</f>
        <v/>
      </c>
      <c r="K225" s="24"/>
    </row>
    <row r="226" spans="1:11" x14ac:dyDescent="0.35">
      <c r="A226" s="24"/>
      <c r="B226" s="31" t="str">
        <f>IFERROR(VLOOKUP(A226,Clientes_PDV!$A$2:$J$250,2,FALSE),"")</f>
        <v/>
      </c>
      <c r="C226" s="31" t="str">
        <f>IFERROR(VLOOKUP(A226,Clientes_PDV!$A$2:$J$250,3,FALSE),"")</f>
        <v/>
      </c>
      <c r="D226" s="31" t="str">
        <f>IFERROR(VLOOKUP(A226,Clientes_PDV!$A$2:$J$250,4,FALSE),"")</f>
        <v/>
      </c>
      <c r="E226" s="24"/>
      <c r="F226" s="31" t="str">
        <f>IFERROR(VLOOKUP(E226,Maestro_SKU!$A$2:$P$500,2,FALSE),"")</f>
        <v/>
      </c>
      <c r="G226" s="29"/>
      <c r="H226" s="32" t="str">
        <f>IF(OR(G226="",E226=""),"",G226*IFERROR(VLOOKUP(E226,Maestro_SKU!$A$2:$P$500,12,FALSE),1))</f>
        <v/>
      </c>
      <c r="I226" s="25"/>
      <c r="J226" s="31" t="str">
        <f>IF(A226="","",IF(H226&lt;=Inicio!$B$16,"Crítico",IF(H226&lt;=Inicio!$B$17,"Observar","OK")))</f>
        <v/>
      </c>
      <c r="K226" s="24"/>
    </row>
    <row r="227" spans="1:11" x14ac:dyDescent="0.35">
      <c r="A227" s="24"/>
      <c r="B227" s="31" t="str">
        <f>IFERROR(VLOOKUP(A227,Clientes_PDV!$A$2:$J$250,2,FALSE),"")</f>
        <v/>
      </c>
      <c r="C227" s="31" t="str">
        <f>IFERROR(VLOOKUP(A227,Clientes_PDV!$A$2:$J$250,3,FALSE),"")</f>
        <v/>
      </c>
      <c r="D227" s="31" t="str">
        <f>IFERROR(VLOOKUP(A227,Clientes_PDV!$A$2:$J$250,4,FALSE),"")</f>
        <v/>
      </c>
      <c r="E227" s="24"/>
      <c r="F227" s="31" t="str">
        <f>IFERROR(VLOOKUP(E227,Maestro_SKU!$A$2:$P$500,2,FALSE),"")</f>
        <v/>
      </c>
      <c r="G227" s="29"/>
      <c r="H227" s="32" t="str">
        <f>IF(OR(G227="",E227=""),"",G227*IFERROR(VLOOKUP(E227,Maestro_SKU!$A$2:$P$500,12,FALSE),1))</f>
        <v/>
      </c>
      <c r="I227" s="25"/>
      <c r="J227" s="31" t="str">
        <f>IF(A227="","",IF(H227&lt;=Inicio!$B$16,"Crítico",IF(H227&lt;=Inicio!$B$17,"Observar","OK")))</f>
        <v/>
      </c>
      <c r="K227" s="24"/>
    </row>
    <row r="228" spans="1:11" x14ac:dyDescent="0.35">
      <c r="A228" s="24"/>
      <c r="B228" s="31" t="str">
        <f>IFERROR(VLOOKUP(A228,Clientes_PDV!$A$2:$J$250,2,FALSE),"")</f>
        <v/>
      </c>
      <c r="C228" s="31" t="str">
        <f>IFERROR(VLOOKUP(A228,Clientes_PDV!$A$2:$J$250,3,FALSE),"")</f>
        <v/>
      </c>
      <c r="D228" s="31" t="str">
        <f>IFERROR(VLOOKUP(A228,Clientes_PDV!$A$2:$J$250,4,FALSE),"")</f>
        <v/>
      </c>
      <c r="E228" s="24"/>
      <c r="F228" s="31" t="str">
        <f>IFERROR(VLOOKUP(E228,Maestro_SKU!$A$2:$P$500,2,FALSE),"")</f>
        <v/>
      </c>
      <c r="G228" s="29"/>
      <c r="H228" s="32" t="str">
        <f>IF(OR(G228="",E228=""),"",G228*IFERROR(VLOOKUP(E228,Maestro_SKU!$A$2:$P$500,12,FALSE),1))</f>
        <v/>
      </c>
      <c r="I228" s="25"/>
      <c r="J228" s="31" t="str">
        <f>IF(A228="","",IF(H228&lt;=Inicio!$B$16,"Crítico",IF(H228&lt;=Inicio!$B$17,"Observar","OK")))</f>
        <v/>
      </c>
      <c r="K228" s="24"/>
    </row>
    <row r="229" spans="1:11" x14ac:dyDescent="0.35">
      <c r="A229" s="24"/>
      <c r="B229" s="31" t="str">
        <f>IFERROR(VLOOKUP(A229,Clientes_PDV!$A$2:$J$250,2,FALSE),"")</f>
        <v/>
      </c>
      <c r="C229" s="31" t="str">
        <f>IFERROR(VLOOKUP(A229,Clientes_PDV!$A$2:$J$250,3,FALSE),"")</f>
        <v/>
      </c>
      <c r="D229" s="31" t="str">
        <f>IFERROR(VLOOKUP(A229,Clientes_PDV!$A$2:$J$250,4,FALSE),"")</f>
        <v/>
      </c>
      <c r="E229" s="24"/>
      <c r="F229" s="31" t="str">
        <f>IFERROR(VLOOKUP(E229,Maestro_SKU!$A$2:$P$500,2,FALSE),"")</f>
        <v/>
      </c>
      <c r="G229" s="29"/>
      <c r="H229" s="32" t="str">
        <f>IF(OR(G229="",E229=""),"",G229*IFERROR(VLOOKUP(E229,Maestro_SKU!$A$2:$P$500,12,FALSE),1))</f>
        <v/>
      </c>
      <c r="I229" s="25"/>
      <c r="J229" s="31" t="str">
        <f>IF(A229="","",IF(H229&lt;=Inicio!$B$16,"Crítico",IF(H229&lt;=Inicio!$B$17,"Observar","OK")))</f>
        <v/>
      </c>
      <c r="K229" s="24"/>
    </row>
    <row r="230" spans="1:11" x14ac:dyDescent="0.35">
      <c r="A230" s="24"/>
      <c r="B230" s="31" t="str">
        <f>IFERROR(VLOOKUP(A230,Clientes_PDV!$A$2:$J$250,2,FALSE),"")</f>
        <v/>
      </c>
      <c r="C230" s="31" t="str">
        <f>IFERROR(VLOOKUP(A230,Clientes_PDV!$A$2:$J$250,3,FALSE),"")</f>
        <v/>
      </c>
      <c r="D230" s="31" t="str">
        <f>IFERROR(VLOOKUP(A230,Clientes_PDV!$A$2:$J$250,4,FALSE),"")</f>
        <v/>
      </c>
      <c r="E230" s="24"/>
      <c r="F230" s="31" t="str">
        <f>IFERROR(VLOOKUP(E230,Maestro_SKU!$A$2:$P$500,2,FALSE),"")</f>
        <v/>
      </c>
      <c r="G230" s="29"/>
      <c r="H230" s="32" t="str">
        <f>IF(OR(G230="",E230=""),"",G230*IFERROR(VLOOKUP(E230,Maestro_SKU!$A$2:$P$500,12,FALSE),1))</f>
        <v/>
      </c>
      <c r="I230" s="25"/>
      <c r="J230" s="31" t="str">
        <f>IF(A230="","",IF(H230&lt;=Inicio!$B$16,"Crítico",IF(H230&lt;=Inicio!$B$17,"Observar","OK")))</f>
        <v/>
      </c>
      <c r="K230" s="24"/>
    </row>
    <row r="231" spans="1:11" x14ac:dyDescent="0.35">
      <c r="A231" s="24"/>
      <c r="B231" s="31" t="str">
        <f>IFERROR(VLOOKUP(A231,Clientes_PDV!$A$2:$J$250,2,FALSE),"")</f>
        <v/>
      </c>
      <c r="C231" s="31" t="str">
        <f>IFERROR(VLOOKUP(A231,Clientes_PDV!$A$2:$J$250,3,FALSE),"")</f>
        <v/>
      </c>
      <c r="D231" s="31" t="str">
        <f>IFERROR(VLOOKUP(A231,Clientes_PDV!$A$2:$J$250,4,FALSE),"")</f>
        <v/>
      </c>
      <c r="E231" s="24"/>
      <c r="F231" s="31" t="str">
        <f>IFERROR(VLOOKUP(E231,Maestro_SKU!$A$2:$P$500,2,FALSE),"")</f>
        <v/>
      </c>
      <c r="G231" s="29"/>
      <c r="H231" s="32" t="str">
        <f>IF(OR(G231="",E231=""),"",G231*IFERROR(VLOOKUP(E231,Maestro_SKU!$A$2:$P$500,12,FALSE),1))</f>
        <v/>
      </c>
      <c r="I231" s="25"/>
      <c r="J231" s="31" t="str">
        <f>IF(A231="","",IF(H231&lt;=Inicio!$B$16,"Crítico",IF(H231&lt;=Inicio!$B$17,"Observar","OK")))</f>
        <v/>
      </c>
      <c r="K231" s="24"/>
    </row>
    <row r="232" spans="1:11" x14ac:dyDescent="0.35">
      <c r="A232" s="24"/>
      <c r="B232" s="31" t="str">
        <f>IFERROR(VLOOKUP(A232,Clientes_PDV!$A$2:$J$250,2,FALSE),"")</f>
        <v/>
      </c>
      <c r="C232" s="31" t="str">
        <f>IFERROR(VLOOKUP(A232,Clientes_PDV!$A$2:$J$250,3,FALSE),"")</f>
        <v/>
      </c>
      <c r="D232" s="31" t="str">
        <f>IFERROR(VLOOKUP(A232,Clientes_PDV!$A$2:$J$250,4,FALSE),"")</f>
        <v/>
      </c>
      <c r="E232" s="24"/>
      <c r="F232" s="31" t="str">
        <f>IFERROR(VLOOKUP(E232,Maestro_SKU!$A$2:$P$500,2,FALSE),"")</f>
        <v/>
      </c>
      <c r="G232" s="29"/>
      <c r="H232" s="32" t="str">
        <f>IF(OR(G232="",E232=""),"",G232*IFERROR(VLOOKUP(E232,Maestro_SKU!$A$2:$P$500,12,FALSE),1))</f>
        <v/>
      </c>
      <c r="I232" s="25"/>
      <c r="J232" s="31" t="str">
        <f>IF(A232="","",IF(H232&lt;=Inicio!$B$16,"Crítico",IF(H232&lt;=Inicio!$B$17,"Observar","OK")))</f>
        <v/>
      </c>
      <c r="K232" s="24"/>
    </row>
    <row r="233" spans="1:11" x14ac:dyDescent="0.35">
      <c r="A233" s="24"/>
      <c r="B233" s="31" t="str">
        <f>IFERROR(VLOOKUP(A233,Clientes_PDV!$A$2:$J$250,2,FALSE),"")</f>
        <v/>
      </c>
      <c r="C233" s="31" t="str">
        <f>IFERROR(VLOOKUP(A233,Clientes_PDV!$A$2:$J$250,3,FALSE),"")</f>
        <v/>
      </c>
      <c r="D233" s="31" t="str">
        <f>IFERROR(VLOOKUP(A233,Clientes_PDV!$A$2:$J$250,4,FALSE),"")</f>
        <v/>
      </c>
      <c r="E233" s="24"/>
      <c r="F233" s="31" t="str">
        <f>IFERROR(VLOOKUP(E233,Maestro_SKU!$A$2:$P$500,2,FALSE),"")</f>
        <v/>
      </c>
      <c r="G233" s="29"/>
      <c r="H233" s="32" t="str">
        <f>IF(OR(G233="",E233=""),"",G233*IFERROR(VLOOKUP(E233,Maestro_SKU!$A$2:$P$500,12,FALSE),1))</f>
        <v/>
      </c>
      <c r="I233" s="25"/>
      <c r="J233" s="31" t="str">
        <f>IF(A233="","",IF(H233&lt;=Inicio!$B$16,"Crítico",IF(H233&lt;=Inicio!$B$17,"Observar","OK")))</f>
        <v/>
      </c>
      <c r="K233" s="24"/>
    </row>
    <row r="234" spans="1:11" x14ac:dyDescent="0.35">
      <c r="A234" s="24"/>
      <c r="B234" s="31" t="str">
        <f>IFERROR(VLOOKUP(A234,Clientes_PDV!$A$2:$J$250,2,FALSE),"")</f>
        <v/>
      </c>
      <c r="C234" s="31" t="str">
        <f>IFERROR(VLOOKUP(A234,Clientes_PDV!$A$2:$J$250,3,FALSE),"")</f>
        <v/>
      </c>
      <c r="D234" s="31" t="str">
        <f>IFERROR(VLOOKUP(A234,Clientes_PDV!$A$2:$J$250,4,FALSE),"")</f>
        <v/>
      </c>
      <c r="E234" s="24"/>
      <c r="F234" s="31" t="str">
        <f>IFERROR(VLOOKUP(E234,Maestro_SKU!$A$2:$P$500,2,FALSE),"")</f>
        <v/>
      </c>
      <c r="G234" s="29"/>
      <c r="H234" s="32" t="str">
        <f>IF(OR(G234="",E234=""),"",G234*IFERROR(VLOOKUP(E234,Maestro_SKU!$A$2:$P$500,12,FALSE),1))</f>
        <v/>
      </c>
      <c r="I234" s="25"/>
      <c r="J234" s="31" t="str">
        <f>IF(A234="","",IF(H234&lt;=Inicio!$B$16,"Crítico",IF(H234&lt;=Inicio!$B$17,"Observar","OK")))</f>
        <v/>
      </c>
      <c r="K234" s="24"/>
    </row>
    <row r="235" spans="1:11" x14ac:dyDescent="0.35">
      <c r="A235" s="24"/>
      <c r="B235" s="31" t="str">
        <f>IFERROR(VLOOKUP(A235,Clientes_PDV!$A$2:$J$250,2,FALSE),"")</f>
        <v/>
      </c>
      <c r="C235" s="31" t="str">
        <f>IFERROR(VLOOKUP(A235,Clientes_PDV!$A$2:$J$250,3,FALSE),"")</f>
        <v/>
      </c>
      <c r="D235" s="31" t="str">
        <f>IFERROR(VLOOKUP(A235,Clientes_PDV!$A$2:$J$250,4,FALSE),"")</f>
        <v/>
      </c>
      <c r="E235" s="24"/>
      <c r="F235" s="31" t="str">
        <f>IFERROR(VLOOKUP(E235,Maestro_SKU!$A$2:$P$500,2,FALSE),"")</f>
        <v/>
      </c>
      <c r="G235" s="29"/>
      <c r="H235" s="32" t="str">
        <f>IF(OR(G235="",E235=""),"",G235*IFERROR(VLOOKUP(E235,Maestro_SKU!$A$2:$P$500,12,FALSE),1))</f>
        <v/>
      </c>
      <c r="I235" s="25"/>
      <c r="J235" s="31" t="str">
        <f>IF(A235="","",IF(H235&lt;=Inicio!$B$16,"Crítico",IF(H235&lt;=Inicio!$B$17,"Observar","OK")))</f>
        <v/>
      </c>
      <c r="K235" s="24"/>
    </row>
    <row r="236" spans="1:11" x14ac:dyDescent="0.35">
      <c r="A236" s="24"/>
      <c r="B236" s="31" t="str">
        <f>IFERROR(VLOOKUP(A236,Clientes_PDV!$A$2:$J$250,2,FALSE),"")</f>
        <v/>
      </c>
      <c r="C236" s="31" t="str">
        <f>IFERROR(VLOOKUP(A236,Clientes_PDV!$A$2:$J$250,3,FALSE),"")</f>
        <v/>
      </c>
      <c r="D236" s="31" t="str">
        <f>IFERROR(VLOOKUP(A236,Clientes_PDV!$A$2:$J$250,4,FALSE),"")</f>
        <v/>
      </c>
      <c r="E236" s="24"/>
      <c r="F236" s="31" t="str">
        <f>IFERROR(VLOOKUP(E236,Maestro_SKU!$A$2:$P$500,2,FALSE),"")</f>
        <v/>
      </c>
      <c r="G236" s="29"/>
      <c r="H236" s="32" t="str">
        <f>IF(OR(G236="",E236=""),"",G236*IFERROR(VLOOKUP(E236,Maestro_SKU!$A$2:$P$500,12,FALSE),1))</f>
        <v/>
      </c>
      <c r="I236" s="25"/>
      <c r="J236" s="31" t="str">
        <f>IF(A236="","",IF(H236&lt;=Inicio!$B$16,"Crítico",IF(H236&lt;=Inicio!$B$17,"Observar","OK")))</f>
        <v/>
      </c>
      <c r="K236" s="24"/>
    </row>
    <row r="237" spans="1:11" x14ac:dyDescent="0.35">
      <c r="A237" s="24"/>
      <c r="B237" s="31" t="str">
        <f>IFERROR(VLOOKUP(A237,Clientes_PDV!$A$2:$J$250,2,FALSE),"")</f>
        <v/>
      </c>
      <c r="C237" s="31" t="str">
        <f>IFERROR(VLOOKUP(A237,Clientes_PDV!$A$2:$J$250,3,FALSE),"")</f>
        <v/>
      </c>
      <c r="D237" s="31" t="str">
        <f>IFERROR(VLOOKUP(A237,Clientes_PDV!$A$2:$J$250,4,FALSE),"")</f>
        <v/>
      </c>
      <c r="E237" s="24"/>
      <c r="F237" s="31" t="str">
        <f>IFERROR(VLOOKUP(E237,Maestro_SKU!$A$2:$P$500,2,FALSE),"")</f>
        <v/>
      </c>
      <c r="G237" s="29"/>
      <c r="H237" s="32" t="str">
        <f>IF(OR(G237="",E237=""),"",G237*IFERROR(VLOOKUP(E237,Maestro_SKU!$A$2:$P$500,12,FALSE),1))</f>
        <v/>
      </c>
      <c r="I237" s="25"/>
      <c r="J237" s="31" t="str">
        <f>IF(A237="","",IF(H237&lt;=Inicio!$B$16,"Crítico",IF(H237&lt;=Inicio!$B$17,"Observar","OK")))</f>
        <v/>
      </c>
      <c r="K237" s="24"/>
    </row>
    <row r="238" spans="1:11" x14ac:dyDescent="0.35">
      <c r="A238" s="24"/>
      <c r="B238" s="31" t="str">
        <f>IFERROR(VLOOKUP(A238,Clientes_PDV!$A$2:$J$250,2,FALSE),"")</f>
        <v/>
      </c>
      <c r="C238" s="31" t="str">
        <f>IFERROR(VLOOKUP(A238,Clientes_PDV!$A$2:$J$250,3,FALSE),"")</f>
        <v/>
      </c>
      <c r="D238" s="31" t="str">
        <f>IFERROR(VLOOKUP(A238,Clientes_PDV!$A$2:$J$250,4,FALSE),"")</f>
        <v/>
      </c>
      <c r="E238" s="24"/>
      <c r="F238" s="31" t="str">
        <f>IFERROR(VLOOKUP(E238,Maestro_SKU!$A$2:$P$500,2,FALSE),"")</f>
        <v/>
      </c>
      <c r="G238" s="29"/>
      <c r="H238" s="32" t="str">
        <f>IF(OR(G238="",E238=""),"",G238*IFERROR(VLOOKUP(E238,Maestro_SKU!$A$2:$P$500,12,FALSE),1))</f>
        <v/>
      </c>
      <c r="I238" s="25"/>
      <c r="J238" s="31" t="str">
        <f>IF(A238="","",IF(H238&lt;=Inicio!$B$16,"Crítico",IF(H238&lt;=Inicio!$B$17,"Observar","OK")))</f>
        <v/>
      </c>
      <c r="K238" s="24"/>
    </row>
    <row r="239" spans="1:11" x14ac:dyDescent="0.35">
      <c r="A239" s="24"/>
      <c r="B239" s="31" t="str">
        <f>IFERROR(VLOOKUP(A239,Clientes_PDV!$A$2:$J$250,2,FALSE),"")</f>
        <v/>
      </c>
      <c r="C239" s="31" t="str">
        <f>IFERROR(VLOOKUP(A239,Clientes_PDV!$A$2:$J$250,3,FALSE),"")</f>
        <v/>
      </c>
      <c r="D239" s="31" t="str">
        <f>IFERROR(VLOOKUP(A239,Clientes_PDV!$A$2:$J$250,4,FALSE),"")</f>
        <v/>
      </c>
      <c r="E239" s="24"/>
      <c r="F239" s="31" t="str">
        <f>IFERROR(VLOOKUP(E239,Maestro_SKU!$A$2:$P$500,2,FALSE),"")</f>
        <v/>
      </c>
      <c r="G239" s="29"/>
      <c r="H239" s="32" t="str">
        <f>IF(OR(G239="",E239=""),"",G239*IFERROR(VLOOKUP(E239,Maestro_SKU!$A$2:$P$500,12,FALSE),1))</f>
        <v/>
      </c>
      <c r="I239" s="25"/>
      <c r="J239" s="31" t="str">
        <f>IF(A239="","",IF(H239&lt;=Inicio!$B$16,"Crítico",IF(H239&lt;=Inicio!$B$17,"Observar","OK")))</f>
        <v/>
      </c>
      <c r="K239" s="24"/>
    </row>
    <row r="240" spans="1:11" x14ac:dyDescent="0.35">
      <c r="A240" s="24"/>
      <c r="B240" s="31" t="str">
        <f>IFERROR(VLOOKUP(A240,Clientes_PDV!$A$2:$J$250,2,FALSE),"")</f>
        <v/>
      </c>
      <c r="C240" s="31" t="str">
        <f>IFERROR(VLOOKUP(A240,Clientes_PDV!$A$2:$J$250,3,FALSE),"")</f>
        <v/>
      </c>
      <c r="D240" s="31" t="str">
        <f>IFERROR(VLOOKUP(A240,Clientes_PDV!$A$2:$J$250,4,FALSE),"")</f>
        <v/>
      </c>
      <c r="E240" s="24"/>
      <c r="F240" s="31" t="str">
        <f>IFERROR(VLOOKUP(E240,Maestro_SKU!$A$2:$P$500,2,FALSE),"")</f>
        <v/>
      </c>
      <c r="G240" s="29"/>
      <c r="H240" s="32" t="str">
        <f>IF(OR(G240="",E240=""),"",G240*IFERROR(VLOOKUP(E240,Maestro_SKU!$A$2:$P$500,12,FALSE),1))</f>
        <v/>
      </c>
      <c r="I240" s="25"/>
      <c r="J240" s="31" t="str">
        <f>IF(A240="","",IF(H240&lt;=Inicio!$B$16,"Crítico",IF(H240&lt;=Inicio!$B$17,"Observar","OK")))</f>
        <v/>
      </c>
      <c r="K240" s="24"/>
    </row>
    <row r="241" spans="1:11" x14ac:dyDescent="0.35">
      <c r="A241" s="24"/>
      <c r="B241" s="31" t="str">
        <f>IFERROR(VLOOKUP(A241,Clientes_PDV!$A$2:$J$250,2,FALSE),"")</f>
        <v/>
      </c>
      <c r="C241" s="31" t="str">
        <f>IFERROR(VLOOKUP(A241,Clientes_PDV!$A$2:$J$250,3,FALSE),"")</f>
        <v/>
      </c>
      <c r="D241" s="31" t="str">
        <f>IFERROR(VLOOKUP(A241,Clientes_PDV!$A$2:$J$250,4,FALSE),"")</f>
        <v/>
      </c>
      <c r="E241" s="24"/>
      <c r="F241" s="31" t="str">
        <f>IFERROR(VLOOKUP(E241,Maestro_SKU!$A$2:$P$500,2,FALSE),"")</f>
        <v/>
      </c>
      <c r="G241" s="29"/>
      <c r="H241" s="32" t="str">
        <f>IF(OR(G241="",E241=""),"",G241*IFERROR(VLOOKUP(E241,Maestro_SKU!$A$2:$P$500,12,FALSE),1))</f>
        <v/>
      </c>
      <c r="I241" s="25"/>
      <c r="J241" s="31" t="str">
        <f>IF(A241="","",IF(H241&lt;=Inicio!$B$16,"Crítico",IF(H241&lt;=Inicio!$B$17,"Observar","OK")))</f>
        <v/>
      </c>
      <c r="K241" s="24"/>
    </row>
    <row r="242" spans="1:11" x14ac:dyDescent="0.35">
      <c r="A242" s="24"/>
      <c r="B242" s="31" t="str">
        <f>IFERROR(VLOOKUP(A242,Clientes_PDV!$A$2:$J$250,2,FALSE),"")</f>
        <v/>
      </c>
      <c r="C242" s="31" t="str">
        <f>IFERROR(VLOOKUP(A242,Clientes_PDV!$A$2:$J$250,3,FALSE),"")</f>
        <v/>
      </c>
      <c r="D242" s="31" t="str">
        <f>IFERROR(VLOOKUP(A242,Clientes_PDV!$A$2:$J$250,4,FALSE),"")</f>
        <v/>
      </c>
      <c r="E242" s="24"/>
      <c r="F242" s="31" t="str">
        <f>IFERROR(VLOOKUP(E242,Maestro_SKU!$A$2:$P$500,2,FALSE),"")</f>
        <v/>
      </c>
      <c r="G242" s="29"/>
      <c r="H242" s="32" t="str">
        <f>IF(OR(G242="",E242=""),"",G242*IFERROR(VLOOKUP(E242,Maestro_SKU!$A$2:$P$500,12,FALSE),1))</f>
        <v/>
      </c>
      <c r="I242" s="25"/>
      <c r="J242" s="31" t="str">
        <f>IF(A242="","",IF(H242&lt;=Inicio!$B$16,"Crítico",IF(H242&lt;=Inicio!$B$17,"Observar","OK")))</f>
        <v/>
      </c>
      <c r="K242" s="24"/>
    </row>
    <row r="243" spans="1:11" x14ac:dyDescent="0.35">
      <c r="A243" s="24"/>
      <c r="B243" s="31" t="str">
        <f>IFERROR(VLOOKUP(A243,Clientes_PDV!$A$2:$J$250,2,FALSE),"")</f>
        <v/>
      </c>
      <c r="C243" s="31" t="str">
        <f>IFERROR(VLOOKUP(A243,Clientes_PDV!$A$2:$J$250,3,FALSE),"")</f>
        <v/>
      </c>
      <c r="D243" s="31" t="str">
        <f>IFERROR(VLOOKUP(A243,Clientes_PDV!$A$2:$J$250,4,FALSE),"")</f>
        <v/>
      </c>
      <c r="E243" s="24"/>
      <c r="F243" s="31" t="str">
        <f>IFERROR(VLOOKUP(E243,Maestro_SKU!$A$2:$P$500,2,FALSE),"")</f>
        <v/>
      </c>
      <c r="G243" s="29"/>
      <c r="H243" s="32" t="str">
        <f>IF(OR(G243="",E243=""),"",G243*IFERROR(VLOOKUP(E243,Maestro_SKU!$A$2:$P$500,12,FALSE),1))</f>
        <v/>
      </c>
      <c r="I243" s="25"/>
      <c r="J243" s="31" t="str">
        <f>IF(A243="","",IF(H243&lt;=Inicio!$B$16,"Crítico",IF(H243&lt;=Inicio!$B$17,"Observar","OK")))</f>
        <v/>
      </c>
      <c r="K243" s="24"/>
    </row>
    <row r="244" spans="1:11" x14ac:dyDescent="0.35">
      <c r="A244" s="24"/>
      <c r="B244" s="31" t="str">
        <f>IFERROR(VLOOKUP(A244,Clientes_PDV!$A$2:$J$250,2,FALSE),"")</f>
        <v/>
      </c>
      <c r="C244" s="31" t="str">
        <f>IFERROR(VLOOKUP(A244,Clientes_PDV!$A$2:$J$250,3,FALSE),"")</f>
        <v/>
      </c>
      <c r="D244" s="31" t="str">
        <f>IFERROR(VLOOKUP(A244,Clientes_PDV!$A$2:$J$250,4,FALSE),"")</f>
        <v/>
      </c>
      <c r="E244" s="24"/>
      <c r="F244" s="31" t="str">
        <f>IFERROR(VLOOKUP(E244,Maestro_SKU!$A$2:$P$500,2,FALSE),"")</f>
        <v/>
      </c>
      <c r="G244" s="29"/>
      <c r="H244" s="32" t="str">
        <f>IF(OR(G244="",E244=""),"",G244*IFERROR(VLOOKUP(E244,Maestro_SKU!$A$2:$P$500,12,FALSE),1))</f>
        <v/>
      </c>
      <c r="I244" s="25"/>
      <c r="J244" s="31" t="str">
        <f>IF(A244="","",IF(H244&lt;=Inicio!$B$16,"Crítico",IF(H244&lt;=Inicio!$B$17,"Observar","OK")))</f>
        <v/>
      </c>
      <c r="K244" s="24"/>
    </row>
    <row r="245" spans="1:11" x14ac:dyDescent="0.35">
      <c r="A245" s="24"/>
      <c r="B245" s="31" t="str">
        <f>IFERROR(VLOOKUP(A245,Clientes_PDV!$A$2:$J$250,2,FALSE),"")</f>
        <v/>
      </c>
      <c r="C245" s="31" t="str">
        <f>IFERROR(VLOOKUP(A245,Clientes_PDV!$A$2:$J$250,3,FALSE),"")</f>
        <v/>
      </c>
      <c r="D245" s="31" t="str">
        <f>IFERROR(VLOOKUP(A245,Clientes_PDV!$A$2:$J$250,4,FALSE),"")</f>
        <v/>
      </c>
      <c r="E245" s="24"/>
      <c r="F245" s="31" t="str">
        <f>IFERROR(VLOOKUP(E245,Maestro_SKU!$A$2:$P$500,2,FALSE),"")</f>
        <v/>
      </c>
      <c r="G245" s="29"/>
      <c r="H245" s="32" t="str">
        <f>IF(OR(G245="",E245=""),"",G245*IFERROR(VLOOKUP(E245,Maestro_SKU!$A$2:$P$500,12,FALSE),1))</f>
        <v/>
      </c>
      <c r="I245" s="25"/>
      <c r="J245" s="31" t="str">
        <f>IF(A245="","",IF(H245&lt;=Inicio!$B$16,"Crítico",IF(H245&lt;=Inicio!$B$17,"Observar","OK")))</f>
        <v/>
      </c>
      <c r="K245" s="24"/>
    </row>
    <row r="246" spans="1:11" x14ac:dyDescent="0.35">
      <c r="A246" s="24"/>
      <c r="B246" s="31" t="str">
        <f>IFERROR(VLOOKUP(A246,Clientes_PDV!$A$2:$J$250,2,FALSE),"")</f>
        <v/>
      </c>
      <c r="C246" s="31" t="str">
        <f>IFERROR(VLOOKUP(A246,Clientes_PDV!$A$2:$J$250,3,FALSE),"")</f>
        <v/>
      </c>
      <c r="D246" s="31" t="str">
        <f>IFERROR(VLOOKUP(A246,Clientes_PDV!$A$2:$J$250,4,FALSE),"")</f>
        <v/>
      </c>
      <c r="E246" s="24"/>
      <c r="F246" s="31" t="str">
        <f>IFERROR(VLOOKUP(E246,Maestro_SKU!$A$2:$P$500,2,FALSE),"")</f>
        <v/>
      </c>
      <c r="G246" s="29"/>
      <c r="H246" s="32" t="str">
        <f>IF(OR(G246="",E246=""),"",G246*IFERROR(VLOOKUP(E246,Maestro_SKU!$A$2:$P$500,12,FALSE),1))</f>
        <v/>
      </c>
      <c r="I246" s="25"/>
      <c r="J246" s="31" t="str">
        <f>IF(A246="","",IF(H246&lt;=Inicio!$B$16,"Crítico",IF(H246&lt;=Inicio!$B$17,"Observar","OK")))</f>
        <v/>
      </c>
      <c r="K246" s="24"/>
    </row>
    <row r="247" spans="1:11" x14ac:dyDescent="0.35">
      <c r="A247" s="24"/>
      <c r="B247" s="31" t="str">
        <f>IFERROR(VLOOKUP(A247,Clientes_PDV!$A$2:$J$250,2,FALSE),"")</f>
        <v/>
      </c>
      <c r="C247" s="31" t="str">
        <f>IFERROR(VLOOKUP(A247,Clientes_PDV!$A$2:$J$250,3,FALSE),"")</f>
        <v/>
      </c>
      <c r="D247" s="31" t="str">
        <f>IFERROR(VLOOKUP(A247,Clientes_PDV!$A$2:$J$250,4,FALSE),"")</f>
        <v/>
      </c>
      <c r="E247" s="24"/>
      <c r="F247" s="31" t="str">
        <f>IFERROR(VLOOKUP(E247,Maestro_SKU!$A$2:$P$500,2,FALSE),"")</f>
        <v/>
      </c>
      <c r="G247" s="29"/>
      <c r="H247" s="32" t="str">
        <f>IF(OR(G247="",E247=""),"",G247*IFERROR(VLOOKUP(E247,Maestro_SKU!$A$2:$P$500,12,FALSE),1))</f>
        <v/>
      </c>
      <c r="I247" s="25"/>
      <c r="J247" s="31" t="str">
        <f>IF(A247="","",IF(H247&lt;=Inicio!$B$16,"Crítico",IF(H247&lt;=Inicio!$B$17,"Observar","OK")))</f>
        <v/>
      </c>
      <c r="K247" s="24"/>
    </row>
    <row r="248" spans="1:11" x14ac:dyDescent="0.35">
      <c r="A248" s="24"/>
      <c r="B248" s="31" t="str">
        <f>IFERROR(VLOOKUP(A248,Clientes_PDV!$A$2:$J$250,2,FALSE),"")</f>
        <v/>
      </c>
      <c r="C248" s="31" t="str">
        <f>IFERROR(VLOOKUP(A248,Clientes_PDV!$A$2:$J$250,3,FALSE),"")</f>
        <v/>
      </c>
      <c r="D248" s="31" t="str">
        <f>IFERROR(VLOOKUP(A248,Clientes_PDV!$A$2:$J$250,4,FALSE),"")</f>
        <v/>
      </c>
      <c r="E248" s="24"/>
      <c r="F248" s="31" t="str">
        <f>IFERROR(VLOOKUP(E248,Maestro_SKU!$A$2:$P$500,2,FALSE),"")</f>
        <v/>
      </c>
      <c r="G248" s="29"/>
      <c r="H248" s="32" t="str">
        <f>IF(OR(G248="",E248=""),"",G248*IFERROR(VLOOKUP(E248,Maestro_SKU!$A$2:$P$500,12,FALSE),1))</f>
        <v/>
      </c>
      <c r="I248" s="25"/>
      <c r="J248" s="31" t="str">
        <f>IF(A248="","",IF(H248&lt;=Inicio!$B$16,"Crítico",IF(H248&lt;=Inicio!$B$17,"Observar","OK")))</f>
        <v/>
      </c>
      <c r="K248" s="24"/>
    </row>
    <row r="249" spans="1:11" x14ac:dyDescent="0.35">
      <c r="A249" s="24"/>
      <c r="B249" s="31" t="str">
        <f>IFERROR(VLOOKUP(A249,Clientes_PDV!$A$2:$J$250,2,FALSE),"")</f>
        <v/>
      </c>
      <c r="C249" s="31" t="str">
        <f>IFERROR(VLOOKUP(A249,Clientes_PDV!$A$2:$J$250,3,FALSE),"")</f>
        <v/>
      </c>
      <c r="D249" s="31" t="str">
        <f>IFERROR(VLOOKUP(A249,Clientes_PDV!$A$2:$J$250,4,FALSE),"")</f>
        <v/>
      </c>
      <c r="E249" s="24"/>
      <c r="F249" s="31" t="str">
        <f>IFERROR(VLOOKUP(E249,Maestro_SKU!$A$2:$P$500,2,FALSE),"")</f>
        <v/>
      </c>
      <c r="G249" s="29"/>
      <c r="H249" s="32" t="str">
        <f>IF(OR(G249="",E249=""),"",G249*IFERROR(VLOOKUP(E249,Maestro_SKU!$A$2:$P$500,12,FALSE),1))</f>
        <v/>
      </c>
      <c r="I249" s="25"/>
      <c r="J249" s="31" t="str">
        <f>IF(A249="","",IF(H249&lt;=Inicio!$B$16,"Crítico",IF(H249&lt;=Inicio!$B$17,"Observar","OK")))</f>
        <v/>
      </c>
      <c r="K249" s="24"/>
    </row>
    <row r="250" spans="1:11" x14ac:dyDescent="0.35">
      <c r="A250" s="24"/>
      <c r="B250" s="31" t="str">
        <f>IFERROR(VLOOKUP(A250,Clientes_PDV!$A$2:$J$250,2,FALSE),"")</f>
        <v/>
      </c>
      <c r="C250" s="31" t="str">
        <f>IFERROR(VLOOKUP(A250,Clientes_PDV!$A$2:$J$250,3,FALSE),"")</f>
        <v/>
      </c>
      <c r="D250" s="31" t="str">
        <f>IFERROR(VLOOKUP(A250,Clientes_PDV!$A$2:$J$250,4,FALSE),"")</f>
        <v/>
      </c>
      <c r="E250" s="24"/>
      <c r="F250" s="31" t="str">
        <f>IFERROR(VLOOKUP(E250,Maestro_SKU!$A$2:$P$500,2,FALSE),"")</f>
        <v/>
      </c>
      <c r="G250" s="29"/>
      <c r="H250" s="32" t="str">
        <f>IF(OR(G250="",E250=""),"",G250*IFERROR(VLOOKUP(E250,Maestro_SKU!$A$2:$P$500,12,FALSE),1))</f>
        <v/>
      </c>
      <c r="I250" s="25"/>
      <c r="J250" s="31" t="str">
        <f>IF(A250="","",IF(H250&lt;=Inicio!$B$16,"Crítico",IF(H250&lt;=Inicio!$B$17,"Observar","OK")))</f>
        <v/>
      </c>
      <c r="K250" s="24"/>
    </row>
    <row r="251" spans="1:11" x14ac:dyDescent="0.35">
      <c r="A251" s="24"/>
      <c r="B251" s="31" t="str">
        <f>IFERROR(VLOOKUP(A251,Clientes_PDV!$A$2:$J$250,2,FALSE),"")</f>
        <v/>
      </c>
      <c r="C251" s="31" t="str">
        <f>IFERROR(VLOOKUP(A251,Clientes_PDV!$A$2:$J$250,3,FALSE),"")</f>
        <v/>
      </c>
      <c r="D251" s="31" t="str">
        <f>IFERROR(VLOOKUP(A251,Clientes_PDV!$A$2:$J$250,4,FALSE),"")</f>
        <v/>
      </c>
      <c r="E251" s="24"/>
      <c r="F251" s="31" t="str">
        <f>IFERROR(VLOOKUP(E251,Maestro_SKU!$A$2:$P$500,2,FALSE),"")</f>
        <v/>
      </c>
      <c r="G251" s="29"/>
      <c r="H251" s="32" t="str">
        <f>IF(OR(G251="",E251=""),"",G251*IFERROR(VLOOKUP(E251,Maestro_SKU!$A$2:$P$500,12,FALSE),1))</f>
        <v/>
      </c>
      <c r="I251" s="25"/>
      <c r="J251" s="31" t="str">
        <f>IF(A251="","",IF(H251&lt;=Inicio!$B$16,"Crítico",IF(H251&lt;=Inicio!$B$17,"Observar","OK")))</f>
        <v/>
      </c>
      <c r="K251" s="24"/>
    </row>
    <row r="252" spans="1:11" x14ac:dyDescent="0.35">
      <c r="A252" s="24"/>
      <c r="B252" s="31" t="str">
        <f>IFERROR(VLOOKUP(A252,Clientes_PDV!$A$2:$J$250,2,FALSE),"")</f>
        <v/>
      </c>
      <c r="C252" s="31" t="str">
        <f>IFERROR(VLOOKUP(A252,Clientes_PDV!$A$2:$J$250,3,FALSE),"")</f>
        <v/>
      </c>
      <c r="D252" s="31" t="str">
        <f>IFERROR(VLOOKUP(A252,Clientes_PDV!$A$2:$J$250,4,FALSE),"")</f>
        <v/>
      </c>
      <c r="E252" s="24"/>
      <c r="F252" s="31" t="str">
        <f>IFERROR(VLOOKUP(E252,Maestro_SKU!$A$2:$P$500,2,FALSE),"")</f>
        <v/>
      </c>
      <c r="G252" s="29"/>
      <c r="H252" s="32" t="str">
        <f>IF(OR(G252="",E252=""),"",G252*IFERROR(VLOOKUP(E252,Maestro_SKU!$A$2:$P$500,12,FALSE),1))</f>
        <v/>
      </c>
      <c r="I252" s="25"/>
      <c r="J252" s="31" t="str">
        <f>IF(A252="","",IF(H252&lt;=Inicio!$B$16,"Crítico",IF(H252&lt;=Inicio!$B$17,"Observar","OK")))</f>
        <v/>
      </c>
      <c r="K252" s="24"/>
    </row>
    <row r="253" spans="1:11" x14ac:dyDescent="0.35">
      <c r="A253" s="24"/>
      <c r="B253" s="31" t="str">
        <f>IFERROR(VLOOKUP(A253,Clientes_PDV!$A$2:$J$250,2,FALSE),"")</f>
        <v/>
      </c>
      <c r="C253" s="31" t="str">
        <f>IFERROR(VLOOKUP(A253,Clientes_PDV!$A$2:$J$250,3,FALSE),"")</f>
        <v/>
      </c>
      <c r="D253" s="31" t="str">
        <f>IFERROR(VLOOKUP(A253,Clientes_PDV!$A$2:$J$250,4,FALSE),"")</f>
        <v/>
      </c>
      <c r="E253" s="24"/>
      <c r="F253" s="31" t="str">
        <f>IFERROR(VLOOKUP(E253,Maestro_SKU!$A$2:$P$500,2,FALSE),"")</f>
        <v/>
      </c>
      <c r="G253" s="29"/>
      <c r="H253" s="32" t="str">
        <f>IF(OR(G253="",E253=""),"",G253*IFERROR(VLOOKUP(E253,Maestro_SKU!$A$2:$P$500,12,FALSE),1))</f>
        <v/>
      </c>
      <c r="I253" s="25"/>
      <c r="J253" s="31" t="str">
        <f>IF(A253="","",IF(H253&lt;=Inicio!$B$16,"Crítico",IF(H253&lt;=Inicio!$B$17,"Observar","OK")))</f>
        <v/>
      </c>
      <c r="K253" s="24"/>
    </row>
    <row r="254" spans="1:11" x14ac:dyDescent="0.35">
      <c r="A254" s="24"/>
      <c r="B254" s="31" t="str">
        <f>IFERROR(VLOOKUP(A254,Clientes_PDV!$A$2:$J$250,2,FALSE),"")</f>
        <v/>
      </c>
      <c r="C254" s="31" t="str">
        <f>IFERROR(VLOOKUP(A254,Clientes_PDV!$A$2:$J$250,3,FALSE),"")</f>
        <v/>
      </c>
      <c r="D254" s="31" t="str">
        <f>IFERROR(VLOOKUP(A254,Clientes_PDV!$A$2:$J$250,4,FALSE),"")</f>
        <v/>
      </c>
      <c r="E254" s="24"/>
      <c r="F254" s="31" t="str">
        <f>IFERROR(VLOOKUP(E254,Maestro_SKU!$A$2:$P$500,2,FALSE),"")</f>
        <v/>
      </c>
      <c r="G254" s="29"/>
      <c r="H254" s="32" t="str">
        <f>IF(OR(G254="",E254=""),"",G254*IFERROR(VLOOKUP(E254,Maestro_SKU!$A$2:$P$500,12,FALSE),1))</f>
        <v/>
      </c>
      <c r="I254" s="25"/>
      <c r="J254" s="31" t="str">
        <f>IF(A254="","",IF(H254&lt;=Inicio!$B$16,"Crítico",IF(H254&lt;=Inicio!$B$17,"Observar","OK")))</f>
        <v/>
      </c>
      <c r="K254" s="24"/>
    </row>
    <row r="255" spans="1:11" x14ac:dyDescent="0.35">
      <c r="A255" s="24"/>
      <c r="B255" s="31" t="str">
        <f>IFERROR(VLOOKUP(A255,Clientes_PDV!$A$2:$J$250,2,FALSE),"")</f>
        <v/>
      </c>
      <c r="C255" s="31" t="str">
        <f>IFERROR(VLOOKUP(A255,Clientes_PDV!$A$2:$J$250,3,FALSE),"")</f>
        <v/>
      </c>
      <c r="D255" s="31" t="str">
        <f>IFERROR(VLOOKUP(A255,Clientes_PDV!$A$2:$J$250,4,FALSE),"")</f>
        <v/>
      </c>
      <c r="E255" s="24"/>
      <c r="F255" s="31" t="str">
        <f>IFERROR(VLOOKUP(E255,Maestro_SKU!$A$2:$P$500,2,FALSE),"")</f>
        <v/>
      </c>
      <c r="G255" s="29"/>
      <c r="H255" s="32" t="str">
        <f>IF(OR(G255="",E255=""),"",G255*IFERROR(VLOOKUP(E255,Maestro_SKU!$A$2:$P$500,12,FALSE),1))</f>
        <v/>
      </c>
      <c r="I255" s="25"/>
      <c r="J255" s="31" t="str">
        <f>IF(A255="","",IF(H255&lt;=Inicio!$B$16,"Crítico",IF(H255&lt;=Inicio!$B$17,"Observar","OK")))</f>
        <v/>
      </c>
      <c r="K255" s="24"/>
    </row>
    <row r="256" spans="1:11" x14ac:dyDescent="0.35">
      <c r="A256" s="24"/>
      <c r="B256" s="31" t="str">
        <f>IFERROR(VLOOKUP(A256,Clientes_PDV!$A$2:$J$250,2,FALSE),"")</f>
        <v/>
      </c>
      <c r="C256" s="31" t="str">
        <f>IFERROR(VLOOKUP(A256,Clientes_PDV!$A$2:$J$250,3,FALSE),"")</f>
        <v/>
      </c>
      <c r="D256" s="31" t="str">
        <f>IFERROR(VLOOKUP(A256,Clientes_PDV!$A$2:$J$250,4,FALSE),"")</f>
        <v/>
      </c>
      <c r="E256" s="24"/>
      <c r="F256" s="31" t="str">
        <f>IFERROR(VLOOKUP(E256,Maestro_SKU!$A$2:$P$500,2,FALSE),"")</f>
        <v/>
      </c>
      <c r="G256" s="29"/>
      <c r="H256" s="32" t="str">
        <f>IF(OR(G256="",E256=""),"",G256*IFERROR(VLOOKUP(E256,Maestro_SKU!$A$2:$P$500,12,FALSE),1))</f>
        <v/>
      </c>
      <c r="I256" s="25"/>
      <c r="J256" s="31" t="str">
        <f>IF(A256="","",IF(H256&lt;=Inicio!$B$16,"Crítico",IF(H256&lt;=Inicio!$B$17,"Observar","OK")))</f>
        <v/>
      </c>
      <c r="K256" s="24"/>
    </row>
    <row r="257" spans="1:11" x14ac:dyDescent="0.35">
      <c r="A257" s="24"/>
      <c r="B257" s="31" t="str">
        <f>IFERROR(VLOOKUP(A257,Clientes_PDV!$A$2:$J$250,2,FALSE),"")</f>
        <v/>
      </c>
      <c r="C257" s="31" t="str">
        <f>IFERROR(VLOOKUP(A257,Clientes_PDV!$A$2:$J$250,3,FALSE),"")</f>
        <v/>
      </c>
      <c r="D257" s="31" t="str">
        <f>IFERROR(VLOOKUP(A257,Clientes_PDV!$A$2:$J$250,4,FALSE),"")</f>
        <v/>
      </c>
      <c r="E257" s="24"/>
      <c r="F257" s="31" t="str">
        <f>IFERROR(VLOOKUP(E257,Maestro_SKU!$A$2:$P$500,2,FALSE),"")</f>
        <v/>
      </c>
      <c r="G257" s="29"/>
      <c r="H257" s="32" t="str">
        <f>IF(OR(G257="",E257=""),"",G257*IFERROR(VLOOKUP(E257,Maestro_SKU!$A$2:$P$500,12,FALSE),1))</f>
        <v/>
      </c>
      <c r="I257" s="25"/>
      <c r="J257" s="31" t="str">
        <f>IF(A257="","",IF(H257&lt;=Inicio!$B$16,"Crítico",IF(H257&lt;=Inicio!$B$17,"Observar","OK")))</f>
        <v/>
      </c>
      <c r="K257" s="24"/>
    </row>
    <row r="258" spans="1:11" x14ac:dyDescent="0.35">
      <c r="A258" s="24"/>
      <c r="B258" s="31" t="str">
        <f>IFERROR(VLOOKUP(A258,Clientes_PDV!$A$2:$J$250,2,FALSE),"")</f>
        <v/>
      </c>
      <c r="C258" s="31" t="str">
        <f>IFERROR(VLOOKUP(A258,Clientes_PDV!$A$2:$J$250,3,FALSE),"")</f>
        <v/>
      </c>
      <c r="D258" s="31" t="str">
        <f>IFERROR(VLOOKUP(A258,Clientes_PDV!$A$2:$J$250,4,FALSE),"")</f>
        <v/>
      </c>
      <c r="E258" s="24"/>
      <c r="F258" s="31" t="str">
        <f>IFERROR(VLOOKUP(E258,Maestro_SKU!$A$2:$P$500,2,FALSE),"")</f>
        <v/>
      </c>
      <c r="G258" s="29"/>
      <c r="H258" s="32" t="str">
        <f>IF(OR(G258="",E258=""),"",G258*IFERROR(VLOOKUP(E258,Maestro_SKU!$A$2:$P$500,12,FALSE),1))</f>
        <v/>
      </c>
      <c r="I258" s="25"/>
      <c r="J258" s="31" t="str">
        <f>IF(A258="","",IF(H258&lt;=Inicio!$B$16,"Crítico",IF(H258&lt;=Inicio!$B$17,"Observar","OK")))</f>
        <v/>
      </c>
      <c r="K258" s="24"/>
    </row>
    <row r="259" spans="1:11" x14ac:dyDescent="0.35">
      <c r="A259" s="24"/>
      <c r="B259" s="31" t="str">
        <f>IFERROR(VLOOKUP(A259,Clientes_PDV!$A$2:$J$250,2,FALSE),"")</f>
        <v/>
      </c>
      <c r="C259" s="31" t="str">
        <f>IFERROR(VLOOKUP(A259,Clientes_PDV!$A$2:$J$250,3,FALSE),"")</f>
        <v/>
      </c>
      <c r="D259" s="31" t="str">
        <f>IFERROR(VLOOKUP(A259,Clientes_PDV!$A$2:$J$250,4,FALSE),"")</f>
        <v/>
      </c>
      <c r="E259" s="24"/>
      <c r="F259" s="31" t="str">
        <f>IFERROR(VLOOKUP(E259,Maestro_SKU!$A$2:$P$500,2,FALSE),"")</f>
        <v/>
      </c>
      <c r="G259" s="29"/>
      <c r="H259" s="32" t="str">
        <f>IF(OR(G259="",E259=""),"",G259*IFERROR(VLOOKUP(E259,Maestro_SKU!$A$2:$P$500,12,FALSE),1))</f>
        <v/>
      </c>
      <c r="I259" s="25"/>
      <c r="J259" s="31" t="str">
        <f>IF(A259="","",IF(H259&lt;=Inicio!$B$16,"Crítico",IF(H259&lt;=Inicio!$B$17,"Observar","OK")))</f>
        <v/>
      </c>
      <c r="K259" s="24"/>
    </row>
    <row r="260" spans="1:11" x14ac:dyDescent="0.35">
      <c r="A260" s="24"/>
      <c r="B260" s="31" t="str">
        <f>IFERROR(VLOOKUP(A260,Clientes_PDV!$A$2:$J$250,2,FALSE),"")</f>
        <v/>
      </c>
      <c r="C260" s="31" t="str">
        <f>IFERROR(VLOOKUP(A260,Clientes_PDV!$A$2:$J$250,3,FALSE),"")</f>
        <v/>
      </c>
      <c r="D260" s="31" t="str">
        <f>IFERROR(VLOOKUP(A260,Clientes_PDV!$A$2:$J$250,4,FALSE),"")</f>
        <v/>
      </c>
      <c r="E260" s="24"/>
      <c r="F260" s="31" t="str">
        <f>IFERROR(VLOOKUP(E260,Maestro_SKU!$A$2:$P$500,2,FALSE),"")</f>
        <v/>
      </c>
      <c r="G260" s="29"/>
      <c r="H260" s="32" t="str">
        <f>IF(OR(G260="",E260=""),"",G260*IFERROR(VLOOKUP(E260,Maestro_SKU!$A$2:$P$500,12,FALSE),1))</f>
        <v/>
      </c>
      <c r="I260" s="25"/>
      <c r="J260" s="31" t="str">
        <f>IF(A260="","",IF(H260&lt;=Inicio!$B$16,"Crítico",IF(H260&lt;=Inicio!$B$17,"Observar","OK")))</f>
        <v/>
      </c>
      <c r="K260" s="24"/>
    </row>
    <row r="261" spans="1:11" x14ac:dyDescent="0.35">
      <c r="A261" s="24"/>
      <c r="B261" s="31" t="str">
        <f>IFERROR(VLOOKUP(A261,Clientes_PDV!$A$2:$J$250,2,FALSE),"")</f>
        <v/>
      </c>
      <c r="C261" s="31" t="str">
        <f>IFERROR(VLOOKUP(A261,Clientes_PDV!$A$2:$J$250,3,FALSE),"")</f>
        <v/>
      </c>
      <c r="D261" s="31" t="str">
        <f>IFERROR(VLOOKUP(A261,Clientes_PDV!$A$2:$J$250,4,FALSE),"")</f>
        <v/>
      </c>
      <c r="E261" s="24"/>
      <c r="F261" s="31" t="str">
        <f>IFERROR(VLOOKUP(E261,Maestro_SKU!$A$2:$P$500,2,FALSE),"")</f>
        <v/>
      </c>
      <c r="G261" s="29"/>
      <c r="H261" s="32" t="str">
        <f>IF(OR(G261="",E261=""),"",G261*IFERROR(VLOOKUP(E261,Maestro_SKU!$A$2:$P$500,12,FALSE),1))</f>
        <v/>
      </c>
      <c r="I261" s="25"/>
      <c r="J261" s="31" t="str">
        <f>IF(A261="","",IF(H261&lt;=Inicio!$B$16,"Crítico",IF(H261&lt;=Inicio!$B$17,"Observar","OK")))</f>
        <v/>
      </c>
      <c r="K261" s="24"/>
    </row>
    <row r="262" spans="1:11" x14ac:dyDescent="0.35">
      <c r="A262" s="24"/>
      <c r="B262" s="31" t="str">
        <f>IFERROR(VLOOKUP(A262,Clientes_PDV!$A$2:$J$250,2,FALSE),"")</f>
        <v/>
      </c>
      <c r="C262" s="31" t="str">
        <f>IFERROR(VLOOKUP(A262,Clientes_PDV!$A$2:$J$250,3,FALSE),"")</f>
        <v/>
      </c>
      <c r="D262" s="31" t="str">
        <f>IFERROR(VLOOKUP(A262,Clientes_PDV!$A$2:$J$250,4,FALSE),"")</f>
        <v/>
      </c>
      <c r="E262" s="24"/>
      <c r="F262" s="31" t="str">
        <f>IFERROR(VLOOKUP(E262,Maestro_SKU!$A$2:$P$500,2,FALSE),"")</f>
        <v/>
      </c>
      <c r="G262" s="29"/>
      <c r="H262" s="32" t="str">
        <f>IF(OR(G262="",E262=""),"",G262*IFERROR(VLOOKUP(E262,Maestro_SKU!$A$2:$P$500,12,FALSE),1))</f>
        <v/>
      </c>
      <c r="I262" s="25"/>
      <c r="J262" s="31" t="str">
        <f>IF(A262="","",IF(H262&lt;=Inicio!$B$16,"Crítico",IF(H262&lt;=Inicio!$B$17,"Observar","OK")))</f>
        <v/>
      </c>
      <c r="K262" s="24"/>
    </row>
    <row r="263" spans="1:11" x14ac:dyDescent="0.35">
      <c r="A263" s="24"/>
      <c r="B263" s="31" t="str">
        <f>IFERROR(VLOOKUP(A263,Clientes_PDV!$A$2:$J$250,2,FALSE),"")</f>
        <v/>
      </c>
      <c r="C263" s="31" t="str">
        <f>IFERROR(VLOOKUP(A263,Clientes_PDV!$A$2:$J$250,3,FALSE),"")</f>
        <v/>
      </c>
      <c r="D263" s="31" t="str">
        <f>IFERROR(VLOOKUP(A263,Clientes_PDV!$A$2:$J$250,4,FALSE),"")</f>
        <v/>
      </c>
      <c r="E263" s="24"/>
      <c r="F263" s="31" t="str">
        <f>IFERROR(VLOOKUP(E263,Maestro_SKU!$A$2:$P$500,2,FALSE),"")</f>
        <v/>
      </c>
      <c r="G263" s="29"/>
      <c r="H263" s="32" t="str">
        <f>IF(OR(G263="",E263=""),"",G263*IFERROR(VLOOKUP(E263,Maestro_SKU!$A$2:$P$500,12,FALSE),1))</f>
        <v/>
      </c>
      <c r="I263" s="25"/>
      <c r="J263" s="31" t="str">
        <f>IF(A263="","",IF(H263&lt;=Inicio!$B$16,"Crítico",IF(H263&lt;=Inicio!$B$17,"Observar","OK")))</f>
        <v/>
      </c>
      <c r="K263" s="24"/>
    </row>
    <row r="264" spans="1:11" x14ac:dyDescent="0.35">
      <c r="A264" s="24"/>
      <c r="B264" s="31" t="str">
        <f>IFERROR(VLOOKUP(A264,Clientes_PDV!$A$2:$J$250,2,FALSE),"")</f>
        <v/>
      </c>
      <c r="C264" s="31" t="str">
        <f>IFERROR(VLOOKUP(A264,Clientes_PDV!$A$2:$J$250,3,FALSE),"")</f>
        <v/>
      </c>
      <c r="D264" s="31" t="str">
        <f>IFERROR(VLOOKUP(A264,Clientes_PDV!$A$2:$J$250,4,FALSE),"")</f>
        <v/>
      </c>
      <c r="E264" s="24"/>
      <c r="F264" s="31" t="str">
        <f>IFERROR(VLOOKUP(E264,Maestro_SKU!$A$2:$P$500,2,FALSE),"")</f>
        <v/>
      </c>
      <c r="G264" s="29"/>
      <c r="H264" s="32" t="str">
        <f>IF(OR(G264="",E264=""),"",G264*IFERROR(VLOOKUP(E264,Maestro_SKU!$A$2:$P$500,12,FALSE),1))</f>
        <v/>
      </c>
      <c r="I264" s="25"/>
      <c r="J264" s="31" t="str">
        <f>IF(A264="","",IF(H264&lt;=Inicio!$B$16,"Crítico",IF(H264&lt;=Inicio!$B$17,"Observar","OK")))</f>
        <v/>
      </c>
      <c r="K264" s="24"/>
    </row>
    <row r="265" spans="1:11" x14ac:dyDescent="0.35">
      <c r="A265" s="24"/>
      <c r="B265" s="31" t="str">
        <f>IFERROR(VLOOKUP(A265,Clientes_PDV!$A$2:$J$250,2,FALSE),"")</f>
        <v/>
      </c>
      <c r="C265" s="31" t="str">
        <f>IFERROR(VLOOKUP(A265,Clientes_PDV!$A$2:$J$250,3,FALSE),"")</f>
        <v/>
      </c>
      <c r="D265" s="31" t="str">
        <f>IFERROR(VLOOKUP(A265,Clientes_PDV!$A$2:$J$250,4,FALSE),"")</f>
        <v/>
      </c>
      <c r="E265" s="24"/>
      <c r="F265" s="31" t="str">
        <f>IFERROR(VLOOKUP(E265,Maestro_SKU!$A$2:$P$500,2,FALSE),"")</f>
        <v/>
      </c>
      <c r="G265" s="29"/>
      <c r="H265" s="32" t="str">
        <f>IF(OR(G265="",E265=""),"",G265*IFERROR(VLOOKUP(E265,Maestro_SKU!$A$2:$P$500,12,FALSE),1))</f>
        <v/>
      </c>
      <c r="I265" s="25"/>
      <c r="J265" s="31" t="str">
        <f>IF(A265="","",IF(H265&lt;=Inicio!$B$16,"Crítico",IF(H265&lt;=Inicio!$B$17,"Observar","OK")))</f>
        <v/>
      </c>
      <c r="K265" s="24"/>
    </row>
    <row r="266" spans="1:11" x14ac:dyDescent="0.35">
      <c r="A266" s="24"/>
      <c r="B266" s="31" t="str">
        <f>IFERROR(VLOOKUP(A266,Clientes_PDV!$A$2:$J$250,2,FALSE),"")</f>
        <v/>
      </c>
      <c r="C266" s="31" t="str">
        <f>IFERROR(VLOOKUP(A266,Clientes_PDV!$A$2:$J$250,3,FALSE),"")</f>
        <v/>
      </c>
      <c r="D266" s="31" t="str">
        <f>IFERROR(VLOOKUP(A266,Clientes_PDV!$A$2:$J$250,4,FALSE),"")</f>
        <v/>
      </c>
      <c r="E266" s="24"/>
      <c r="F266" s="31" t="str">
        <f>IFERROR(VLOOKUP(E266,Maestro_SKU!$A$2:$P$500,2,FALSE),"")</f>
        <v/>
      </c>
      <c r="G266" s="29"/>
      <c r="H266" s="32" t="str">
        <f>IF(OR(G266="",E266=""),"",G266*IFERROR(VLOOKUP(E266,Maestro_SKU!$A$2:$P$500,12,FALSE),1))</f>
        <v/>
      </c>
      <c r="I266" s="25"/>
      <c r="J266" s="31" t="str">
        <f>IF(A266="","",IF(H266&lt;=Inicio!$B$16,"Crítico",IF(H266&lt;=Inicio!$B$17,"Observar","OK")))</f>
        <v/>
      </c>
      <c r="K266" s="24"/>
    </row>
    <row r="267" spans="1:11" x14ac:dyDescent="0.35">
      <c r="A267" s="24"/>
      <c r="B267" s="31" t="str">
        <f>IFERROR(VLOOKUP(A267,Clientes_PDV!$A$2:$J$250,2,FALSE),"")</f>
        <v/>
      </c>
      <c r="C267" s="31" t="str">
        <f>IFERROR(VLOOKUP(A267,Clientes_PDV!$A$2:$J$250,3,FALSE),"")</f>
        <v/>
      </c>
      <c r="D267" s="31" t="str">
        <f>IFERROR(VLOOKUP(A267,Clientes_PDV!$A$2:$J$250,4,FALSE),"")</f>
        <v/>
      </c>
      <c r="E267" s="24"/>
      <c r="F267" s="31" t="str">
        <f>IFERROR(VLOOKUP(E267,Maestro_SKU!$A$2:$P$500,2,FALSE),"")</f>
        <v/>
      </c>
      <c r="G267" s="29"/>
      <c r="H267" s="32" t="str">
        <f>IF(OR(G267="",E267=""),"",G267*IFERROR(VLOOKUP(E267,Maestro_SKU!$A$2:$P$500,12,FALSE),1))</f>
        <v/>
      </c>
      <c r="I267" s="25"/>
      <c r="J267" s="31" t="str">
        <f>IF(A267="","",IF(H267&lt;=Inicio!$B$16,"Crítico",IF(H267&lt;=Inicio!$B$17,"Observar","OK")))</f>
        <v/>
      </c>
      <c r="K267" s="24"/>
    </row>
    <row r="268" spans="1:11" x14ac:dyDescent="0.35">
      <c r="A268" s="24"/>
      <c r="B268" s="31" t="str">
        <f>IFERROR(VLOOKUP(A268,Clientes_PDV!$A$2:$J$250,2,FALSE),"")</f>
        <v/>
      </c>
      <c r="C268" s="31" t="str">
        <f>IFERROR(VLOOKUP(A268,Clientes_PDV!$A$2:$J$250,3,FALSE),"")</f>
        <v/>
      </c>
      <c r="D268" s="31" t="str">
        <f>IFERROR(VLOOKUP(A268,Clientes_PDV!$A$2:$J$250,4,FALSE),"")</f>
        <v/>
      </c>
      <c r="E268" s="24"/>
      <c r="F268" s="31" t="str">
        <f>IFERROR(VLOOKUP(E268,Maestro_SKU!$A$2:$P$500,2,FALSE),"")</f>
        <v/>
      </c>
      <c r="G268" s="29"/>
      <c r="H268" s="32" t="str">
        <f>IF(OR(G268="",E268=""),"",G268*IFERROR(VLOOKUP(E268,Maestro_SKU!$A$2:$P$500,12,FALSE),1))</f>
        <v/>
      </c>
      <c r="I268" s="25"/>
      <c r="J268" s="31" t="str">
        <f>IF(A268="","",IF(H268&lt;=Inicio!$B$16,"Crítico",IF(H268&lt;=Inicio!$B$17,"Observar","OK")))</f>
        <v/>
      </c>
      <c r="K268" s="24"/>
    </row>
    <row r="269" spans="1:11" x14ac:dyDescent="0.35">
      <c r="A269" s="24"/>
      <c r="B269" s="31" t="str">
        <f>IFERROR(VLOOKUP(A269,Clientes_PDV!$A$2:$J$250,2,FALSE),"")</f>
        <v/>
      </c>
      <c r="C269" s="31" t="str">
        <f>IFERROR(VLOOKUP(A269,Clientes_PDV!$A$2:$J$250,3,FALSE),"")</f>
        <v/>
      </c>
      <c r="D269" s="31" t="str">
        <f>IFERROR(VLOOKUP(A269,Clientes_PDV!$A$2:$J$250,4,FALSE),"")</f>
        <v/>
      </c>
      <c r="E269" s="24"/>
      <c r="F269" s="31" t="str">
        <f>IFERROR(VLOOKUP(E269,Maestro_SKU!$A$2:$P$500,2,FALSE),"")</f>
        <v/>
      </c>
      <c r="G269" s="29"/>
      <c r="H269" s="32" t="str">
        <f>IF(OR(G269="",E269=""),"",G269*IFERROR(VLOOKUP(E269,Maestro_SKU!$A$2:$P$500,12,FALSE),1))</f>
        <v/>
      </c>
      <c r="I269" s="25"/>
      <c r="J269" s="31" t="str">
        <f>IF(A269="","",IF(H269&lt;=Inicio!$B$16,"Crítico",IF(H269&lt;=Inicio!$B$17,"Observar","OK")))</f>
        <v/>
      </c>
      <c r="K269" s="24"/>
    </row>
    <row r="270" spans="1:11" x14ac:dyDescent="0.35">
      <c r="A270" s="24"/>
      <c r="B270" s="31" t="str">
        <f>IFERROR(VLOOKUP(A270,Clientes_PDV!$A$2:$J$250,2,FALSE),"")</f>
        <v/>
      </c>
      <c r="C270" s="31" t="str">
        <f>IFERROR(VLOOKUP(A270,Clientes_PDV!$A$2:$J$250,3,FALSE),"")</f>
        <v/>
      </c>
      <c r="D270" s="31" t="str">
        <f>IFERROR(VLOOKUP(A270,Clientes_PDV!$A$2:$J$250,4,FALSE),"")</f>
        <v/>
      </c>
      <c r="E270" s="24"/>
      <c r="F270" s="31" t="str">
        <f>IFERROR(VLOOKUP(E270,Maestro_SKU!$A$2:$P$500,2,FALSE),"")</f>
        <v/>
      </c>
      <c r="G270" s="29"/>
      <c r="H270" s="32" t="str">
        <f>IF(OR(G270="",E270=""),"",G270*IFERROR(VLOOKUP(E270,Maestro_SKU!$A$2:$P$500,12,FALSE),1))</f>
        <v/>
      </c>
      <c r="I270" s="25"/>
      <c r="J270" s="31" t="str">
        <f>IF(A270="","",IF(H270&lt;=Inicio!$B$16,"Crítico",IF(H270&lt;=Inicio!$B$17,"Observar","OK")))</f>
        <v/>
      </c>
      <c r="K270" s="24"/>
    </row>
    <row r="271" spans="1:11" x14ac:dyDescent="0.35">
      <c r="A271" s="24"/>
      <c r="B271" s="31" t="str">
        <f>IFERROR(VLOOKUP(A271,Clientes_PDV!$A$2:$J$250,2,FALSE),"")</f>
        <v/>
      </c>
      <c r="C271" s="31" t="str">
        <f>IFERROR(VLOOKUP(A271,Clientes_PDV!$A$2:$J$250,3,FALSE),"")</f>
        <v/>
      </c>
      <c r="D271" s="31" t="str">
        <f>IFERROR(VLOOKUP(A271,Clientes_PDV!$A$2:$J$250,4,FALSE),"")</f>
        <v/>
      </c>
      <c r="E271" s="24"/>
      <c r="F271" s="31" t="str">
        <f>IFERROR(VLOOKUP(E271,Maestro_SKU!$A$2:$P$500,2,FALSE),"")</f>
        <v/>
      </c>
      <c r="G271" s="29"/>
      <c r="H271" s="32" t="str">
        <f>IF(OR(G271="",E271=""),"",G271*IFERROR(VLOOKUP(E271,Maestro_SKU!$A$2:$P$500,12,FALSE),1))</f>
        <v/>
      </c>
      <c r="I271" s="25"/>
      <c r="J271" s="31" t="str">
        <f>IF(A271="","",IF(H271&lt;=Inicio!$B$16,"Crítico",IF(H271&lt;=Inicio!$B$17,"Observar","OK")))</f>
        <v/>
      </c>
      <c r="K271" s="24"/>
    </row>
    <row r="272" spans="1:11" x14ac:dyDescent="0.35">
      <c r="A272" s="24"/>
      <c r="B272" s="31" t="str">
        <f>IFERROR(VLOOKUP(A272,Clientes_PDV!$A$2:$J$250,2,FALSE),"")</f>
        <v/>
      </c>
      <c r="C272" s="31" t="str">
        <f>IFERROR(VLOOKUP(A272,Clientes_PDV!$A$2:$J$250,3,FALSE),"")</f>
        <v/>
      </c>
      <c r="D272" s="31" t="str">
        <f>IFERROR(VLOOKUP(A272,Clientes_PDV!$A$2:$J$250,4,FALSE),"")</f>
        <v/>
      </c>
      <c r="E272" s="24"/>
      <c r="F272" s="31" t="str">
        <f>IFERROR(VLOOKUP(E272,Maestro_SKU!$A$2:$P$500,2,FALSE),"")</f>
        <v/>
      </c>
      <c r="G272" s="29"/>
      <c r="H272" s="32" t="str">
        <f>IF(OR(G272="",E272=""),"",G272*IFERROR(VLOOKUP(E272,Maestro_SKU!$A$2:$P$500,12,FALSE),1))</f>
        <v/>
      </c>
      <c r="I272" s="25"/>
      <c r="J272" s="31" t="str">
        <f>IF(A272="","",IF(H272&lt;=Inicio!$B$16,"Crítico",IF(H272&lt;=Inicio!$B$17,"Observar","OK")))</f>
        <v/>
      </c>
      <c r="K272" s="24"/>
    </row>
    <row r="273" spans="1:11" x14ac:dyDescent="0.35">
      <c r="A273" s="24"/>
      <c r="B273" s="31" t="str">
        <f>IFERROR(VLOOKUP(A273,Clientes_PDV!$A$2:$J$250,2,FALSE),"")</f>
        <v/>
      </c>
      <c r="C273" s="31" t="str">
        <f>IFERROR(VLOOKUP(A273,Clientes_PDV!$A$2:$J$250,3,FALSE),"")</f>
        <v/>
      </c>
      <c r="D273" s="31" t="str">
        <f>IFERROR(VLOOKUP(A273,Clientes_PDV!$A$2:$J$250,4,FALSE),"")</f>
        <v/>
      </c>
      <c r="E273" s="24"/>
      <c r="F273" s="31" t="str">
        <f>IFERROR(VLOOKUP(E273,Maestro_SKU!$A$2:$P$500,2,FALSE),"")</f>
        <v/>
      </c>
      <c r="G273" s="29"/>
      <c r="H273" s="32" t="str">
        <f>IF(OR(G273="",E273=""),"",G273*IFERROR(VLOOKUP(E273,Maestro_SKU!$A$2:$P$500,12,FALSE),1))</f>
        <v/>
      </c>
      <c r="I273" s="25"/>
      <c r="J273" s="31" t="str">
        <f>IF(A273="","",IF(H273&lt;=Inicio!$B$16,"Crítico",IF(H273&lt;=Inicio!$B$17,"Observar","OK")))</f>
        <v/>
      </c>
      <c r="K273" s="24"/>
    </row>
    <row r="274" spans="1:11" x14ac:dyDescent="0.35">
      <c r="A274" s="24"/>
      <c r="B274" s="31" t="str">
        <f>IFERROR(VLOOKUP(A274,Clientes_PDV!$A$2:$J$250,2,FALSE),"")</f>
        <v/>
      </c>
      <c r="C274" s="31" t="str">
        <f>IFERROR(VLOOKUP(A274,Clientes_PDV!$A$2:$J$250,3,FALSE),"")</f>
        <v/>
      </c>
      <c r="D274" s="31" t="str">
        <f>IFERROR(VLOOKUP(A274,Clientes_PDV!$A$2:$J$250,4,FALSE),"")</f>
        <v/>
      </c>
      <c r="E274" s="24"/>
      <c r="F274" s="31" t="str">
        <f>IFERROR(VLOOKUP(E274,Maestro_SKU!$A$2:$P$500,2,FALSE),"")</f>
        <v/>
      </c>
      <c r="G274" s="29"/>
      <c r="H274" s="32" t="str">
        <f>IF(OR(G274="",E274=""),"",G274*IFERROR(VLOOKUP(E274,Maestro_SKU!$A$2:$P$500,12,FALSE),1))</f>
        <v/>
      </c>
      <c r="I274" s="25"/>
      <c r="J274" s="31" t="str">
        <f>IF(A274="","",IF(H274&lt;=Inicio!$B$16,"Crítico",IF(H274&lt;=Inicio!$B$17,"Observar","OK")))</f>
        <v/>
      </c>
      <c r="K274" s="24"/>
    </row>
    <row r="275" spans="1:11" x14ac:dyDescent="0.35">
      <c r="A275" s="24"/>
      <c r="B275" s="31" t="str">
        <f>IFERROR(VLOOKUP(A275,Clientes_PDV!$A$2:$J$250,2,FALSE),"")</f>
        <v/>
      </c>
      <c r="C275" s="31" t="str">
        <f>IFERROR(VLOOKUP(A275,Clientes_PDV!$A$2:$J$250,3,FALSE),"")</f>
        <v/>
      </c>
      <c r="D275" s="31" t="str">
        <f>IFERROR(VLOOKUP(A275,Clientes_PDV!$A$2:$J$250,4,FALSE),"")</f>
        <v/>
      </c>
      <c r="E275" s="24"/>
      <c r="F275" s="31" t="str">
        <f>IFERROR(VLOOKUP(E275,Maestro_SKU!$A$2:$P$500,2,FALSE),"")</f>
        <v/>
      </c>
      <c r="G275" s="29"/>
      <c r="H275" s="32" t="str">
        <f>IF(OR(G275="",E275=""),"",G275*IFERROR(VLOOKUP(E275,Maestro_SKU!$A$2:$P$500,12,FALSE),1))</f>
        <v/>
      </c>
      <c r="I275" s="25"/>
      <c r="J275" s="31" t="str">
        <f>IF(A275="","",IF(H275&lt;=Inicio!$B$16,"Crítico",IF(H275&lt;=Inicio!$B$17,"Observar","OK")))</f>
        <v/>
      </c>
      <c r="K275" s="24"/>
    </row>
    <row r="276" spans="1:11" x14ac:dyDescent="0.35">
      <c r="A276" s="24"/>
      <c r="B276" s="31" t="str">
        <f>IFERROR(VLOOKUP(A276,Clientes_PDV!$A$2:$J$250,2,FALSE),"")</f>
        <v/>
      </c>
      <c r="C276" s="31" t="str">
        <f>IFERROR(VLOOKUP(A276,Clientes_PDV!$A$2:$J$250,3,FALSE),"")</f>
        <v/>
      </c>
      <c r="D276" s="31" t="str">
        <f>IFERROR(VLOOKUP(A276,Clientes_PDV!$A$2:$J$250,4,FALSE),"")</f>
        <v/>
      </c>
      <c r="E276" s="24"/>
      <c r="F276" s="31" t="str">
        <f>IFERROR(VLOOKUP(E276,Maestro_SKU!$A$2:$P$500,2,FALSE),"")</f>
        <v/>
      </c>
      <c r="G276" s="29"/>
      <c r="H276" s="32" t="str">
        <f>IF(OR(G276="",E276=""),"",G276*IFERROR(VLOOKUP(E276,Maestro_SKU!$A$2:$P$500,12,FALSE),1))</f>
        <v/>
      </c>
      <c r="I276" s="25"/>
      <c r="J276" s="31" t="str">
        <f>IF(A276="","",IF(H276&lt;=Inicio!$B$16,"Crítico",IF(H276&lt;=Inicio!$B$17,"Observar","OK")))</f>
        <v/>
      </c>
      <c r="K276" s="24"/>
    </row>
    <row r="277" spans="1:11" x14ac:dyDescent="0.35">
      <c r="A277" s="24"/>
      <c r="B277" s="31" t="str">
        <f>IFERROR(VLOOKUP(A277,Clientes_PDV!$A$2:$J$250,2,FALSE),"")</f>
        <v/>
      </c>
      <c r="C277" s="31" t="str">
        <f>IFERROR(VLOOKUP(A277,Clientes_PDV!$A$2:$J$250,3,FALSE),"")</f>
        <v/>
      </c>
      <c r="D277" s="31" t="str">
        <f>IFERROR(VLOOKUP(A277,Clientes_PDV!$A$2:$J$250,4,FALSE),"")</f>
        <v/>
      </c>
      <c r="E277" s="24"/>
      <c r="F277" s="31" t="str">
        <f>IFERROR(VLOOKUP(E277,Maestro_SKU!$A$2:$P$500,2,FALSE),"")</f>
        <v/>
      </c>
      <c r="G277" s="29"/>
      <c r="H277" s="32" t="str">
        <f>IF(OR(G277="",E277=""),"",G277*IFERROR(VLOOKUP(E277,Maestro_SKU!$A$2:$P$500,12,FALSE),1))</f>
        <v/>
      </c>
      <c r="I277" s="25"/>
      <c r="J277" s="31" t="str">
        <f>IF(A277="","",IF(H277&lt;=Inicio!$B$16,"Crítico",IF(H277&lt;=Inicio!$B$17,"Observar","OK")))</f>
        <v/>
      </c>
      <c r="K277" s="24"/>
    </row>
    <row r="278" spans="1:11" x14ac:dyDescent="0.35">
      <c r="A278" s="24"/>
      <c r="B278" s="31" t="str">
        <f>IFERROR(VLOOKUP(A278,Clientes_PDV!$A$2:$J$250,2,FALSE),"")</f>
        <v/>
      </c>
      <c r="C278" s="31" t="str">
        <f>IFERROR(VLOOKUP(A278,Clientes_PDV!$A$2:$J$250,3,FALSE),"")</f>
        <v/>
      </c>
      <c r="D278" s="31" t="str">
        <f>IFERROR(VLOOKUP(A278,Clientes_PDV!$A$2:$J$250,4,FALSE),"")</f>
        <v/>
      </c>
      <c r="E278" s="24"/>
      <c r="F278" s="31" t="str">
        <f>IFERROR(VLOOKUP(E278,Maestro_SKU!$A$2:$P$500,2,FALSE),"")</f>
        <v/>
      </c>
      <c r="G278" s="29"/>
      <c r="H278" s="32" t="str">
        <f>IF(OR(G278="",E278=""),"",G278*IFERROR(VLOOKUP(E278,Maestro_SKU!$A$2:$P$500,12,FALSE),1))</f>
        <v/>
      </c>
      <c r="I278" s="25"/>
      <c r="J278" s="31" t="str">
        <f>IF(A278="","",IF(H278&lt;=Inicio!$B$16,"Crítico",IF(H278&lt;=Inicio!$B$17,"Observar","OK")))</f>
        <v/>
      </c>
      <c r="K278" s="24"/>
    </row>
    <row r="279" spans="1:11" x14ac:dyDescent="0.35">
      <c r="A279" s="24"/>
      <c r="B279" s="31" t="str">
        <f>IFERROR(VLOOKUP(A279,Clientes_PDV!$A$2:$J$250,2,FALSE),"")</f>
        <v/>
      </c>
      <c r="C279" s="31" t="str">
        <f>IFERROR(VLOOKUP(A279,Clientes_PDV!$A$2:$J$250,3,FALSE),"")</f>
        <v/>
      </c>
      <c r="D279" s="31" t="str">
        <f>IFERROR(VLOOKUP(A279,Clientes_PDV!$A$2:$J$250,4,FALSE),"")</f>
        <v/>
      </c>
      <c r="E279" s="24"/>
      <c r="F279" s="31" t="str">
        <f>IFERROR(VLOOKUP(E279,Maestro_SKU!$A$2:$P$500,2,FALSE),"")</f>
        <v/>
      </c>
      <c r="G279" s="29"/>
      <c r="H279" s="32" t="str">
        <f>IF(OR(G279="",E279=""),"",G279*IFERROR(VLOOKUP(E279,Maestro_SKU!$A$2:$P$500,12,FALSE),1))</f>
        <v/>
      </c>
      <c r="I279" s="25"/>
      <c r="J279" s="31" t="str">
        <f>IF(A279="","",IF(H279&lt;=Inicio!$B$16,"Crítico",IF(H279&lt;=Inicio!$B$17,"Observar","OK")))</f>
        <v/>
      </c>
      <c r="K279" s="24"/>
    </row>
    <row r="280" spans="1:11" x14ac:dyDescent="0.35">
      <c r="A280" s="24"/>
      <c r="B280" s="31" t="str">
        <f>IFERROR(VLOOKUP(A280,Clientes_PDV!$A$2:$J$250,2,FALSE),"")</f>
        <v/>
      </c>
      <c r="C280" s="31" t="str">
        <f>IFERROR(VLOOKUP(A280,Clientes_PDV!$A$2:$J$250,3,FALSE),"")</f>
        <v/>
      </c>
      <c r="D280" s="31" t="str">
        <f>IFERROR(VLOOKUP(A280,Clientes_PDV!$A$2:$J$250,4,FALSE),"")</f>
        <v/>
      </c>
      <c r="E280" s="24"/>
      <c r="F280" s="31" t="str">
        <f>IFERROR(VLOOKUP(E280,Maestro_SKU!$A$2:$P$500,2,FALSE),"")</f>
        <v/>
      </c>
      <c r="G280" s="29"/>
      <c r="H280" s="32" t="str">
        <f>IF(OR(G280="",E280=""),"",G280*IFERROR(VLOOKUP(E280,Maestro_SKU!$A$2:$P$500,12,FALSE),1))</f>
        <v/>
      </c>
      <c r="I280" s="25"/>
      <c r="J280" s="31" t="str">
        <f>IF(A280="","",IF(H280&lt;=Inicio!$B$16,"Crítico",IF(H280&lt;=Inicio!$B$17,"Observar","OK")))</f>
        <v/>
      </c>
      <c r="K280" s="24"/>
    </row>
    <row r="281" spans="1:11" x14ac:dyDescent="0.35">
      <c r="A281" s="24"/>
      <c r="B281" s="31" t="str">
        <f>IFERROR(VLOOKUP(A281,Clientes_PDV!$A$2:$J$250,2,FALSE),"")</f>
        <v/>
      </c>
      <c r="C281" s="31" t="str">
        <f>IFERROR(VLOOKUP(A281,Clientes_PDV!$A$2:$J$250,3,FALSE),"")</f>
        <v/>
      </c>
      <c r="D281" s="31" t="str">
        <f>IFERROR(VLOOKUP(A281,Clientes_PDV!$A$2:$J$250,4,FALSE),"")</f>
        <v/>
      </c>
      <c r="E281" s="24"/>
      <c r="F281" s="31" t="str">
        <f>IFERROR(VLOOKUP(E281,Maestro_SKU!$A$2:$P$500,2,FALSE),"")</f>
        <v/>
      </c>
      <c r="G281" s="29"/>
      <c r="H281" s="32" t="str">
        <f>IF(OR(G281="",E281=""),"",G281*IFERROR(VLOOKUP(E281,Maestro_SKU!$A$2:$P$500,12,FALSE),1))</f>
        <v/>
      </c>
      <c r="I281" s="25"/>
      <c r="J281" s="31" t="str">
        <f>IF(A281="","",IF(H281&lt;=Inicio!$B$16,"Crítico",IF(H281&lt;=Inicio!$B$17,"Observar","OK")))</f>
        <v/>
      </c>
      <c r="K281" s="24"/>
    </row>
    <row r="282" spans="1:11" x14ac:dyDescent="0.35">
      <c r="A282" s="24"/>
      <c r="B282" s="31" t="str">
        <f>IFERROR(VLOOKUP(A282,Clientes_PDV!$A$2:$J$250,2,FALSE),"")</f>
        <v/>
      </c>
      <c r="C282" s="31" t="str">
        <f>IFERROR(VLOOKUP(A282,Clientes_PDV!$A$2:$J$250,3,FALSE),"")</f>
        <v/>
      </c>
      <c r="D282" s="31" t="str">
        <f>IFERROR(VLOOKUP(A282,Clientes_PDV!$A$2:$J$250,4,FALSE),"")</f>
        <v/>
      </c>
      <c r="E282" s="24"/>
      <c r="F282" s="31" t="str">
        <f>IFERROR(VLOOKUP(E282,Maestro_SKU!$A$2:$P$500,2,FALSE),"")</f>
        <v/>
      </c>
      <c r="G282" s="29"/>
      <c r="H282" s="32" t="str">
        <f>IF(OR(G282="",E282=""),"",G282*IFERROR(VLOOKUP(E282,Maestro_SKU!$A$2:$P$500,12,FALSE),1))</f>
        <v/>
      </c>
      <c r="I282" s="25"/>
      <c r="J282" s="31" t="str">
        <f>IF(A282="","",IF(H282&lt;=Inicio!$B$16,"Crítico",IF(H282&lt;=Inicio!$B$17,"Observar","OK")))</f>
        <v/>
      </c>
      <c r="K282" s="24"/>
    </row>
    <row r="283" spans="1:11" x14ac:dyDescent="0.35">
      <c r="A283" s="24"/>
      <c r="B283" s="31" t="str">
        <f>IFERROR(VLOOKUP(A283,Clientes_PDV!$A$2:$J$250,2,FALSE),"")</f>
        <v/>
      </c>
      <c r="C283" s="31" t="str">
        <f>IFERROR(VLOOKUP(A283,Clientes_PDV!$A$2:$J$250,3,FALSE),"")</f>
        <v/>
      </c>
      <c r="D283" s="31" t="str">
        <f>IFERROR(VLOOKUP(A283,Clientes_PDV!$A$2:$J$250,4,FALSE),"")</f>
        <v/>
      </c>
      <c r="E283" s="24"/>
      <c r="F283" s="31" t="str">
        <f>IFERROR(VLOOKUP(E283,Maestro_SKU!$A$2:$P$500,2,FALSE),"")</f>
        <v/>
      </c>
      <c r="G283" s="29"/>
      <c r="H283" s="32" t="str">
        <f>IF(OR(G283="",E283=""),"",G283*IFERROR(VLOOKUP(E283,Maestro_SKU!$A$2:$P$500,12,FALSE),1))</f>
        <v/>
      </c>
      <c r="I283" s="25"/>
      <c r="J283" s="31" t="str">
        <f>IF(A283="","",IF(H283&lt;=Inicio!$B$16,"Crítico",IF(H283&lt;=Inicio!$B$17,"Observar","OK")))</f>
        <v/>
      </c>
      <c r="K283" s="24"/>
    </row>
    <row r="284" spans="1:11" x14ac:dyDescent="0.35">
      <c r="A284" s="24"/>
      <c r="B284" s="31" t="str">
        <f>IFERROR(VLOOKUP(A284,Clientes_PDV!$A$2:$J$250,2,FALSE),"")</f>
        <v/>
      </c>
      <c r="C284" s="31" t="str">
        <f>IFERROR(VLOOKUP(A284,Clientes_PDV!$A$2:$J$250,3,FALSE),"")</f>
        <v/>
      </c>
      <c r="D284" s="31" t="str">
        <f>IFERROR(VLOOKUP(A284,Clientes_PDV!$A$2:$J$250,4,FALSE),"")</f>
        <v/>
      </c>
      <c r="E284" s="24"/>
      <c r="F284" s="31" t="str">
        <f>IFERROR(VLOOKUP(E284,Maestro_SKU!$A$2:$P$500,2,FALSE),"")</f>
        <v/>
      </c>
      <c r="G284" s="29"/>
      <c r="H284" s="32" t="str">
        <f>IF(OR(G284="",E284=""),"",G284*IFERROR(VLOOKUP(E284,Maestro_SKU!$A$2:$P$500,12,FALSE),1))</f>
        <v/>
      </c>
      <c r="I284" s="25"/>
      <c r="J284" s="31" t="str">
        <f>IF(A284="","",IF(H284&lt;=Inicio!$B$16,"Crítico",IF(H284&lt;=Inicio!$B$17,"Observar","OK")))</f>
        <v/>
      </c>
      <c r="K284" s="24"/>
    </row>
    <row r="285" spans="1:11" x14ac:dyDescent="0.35">
      <c r="A285" s="24"/>
      <c r="B285" s="31" t="str">
        <f>IFERROR(VLOOKUP(A285,Clientes_PDV!$A$2:$J$250,2,FALSE),"")</f>
        <v/>
      </c>
      <c r="C285" s="31" t="str">
        <f>IFERROR(VLOOKUP(A285,Clientes_PDV!$A$2:$J$250,3,FALSE),"")</f>
        <v/>
      </c>
      <c r="D285" s="31" t="str">
        <f>IFERROR(VLOOKUP(A285,Clientes_PDV!$A$2:$J$250,4,FALSE),"")</f>
        <v/>
      </c>
      <c r="E285" s="24"/>
      <c r="F285" s="31" t="str">
        <f>IFERROR(VLOOKUP(E285,Maestro_SKU!$A$2:$P$500,2,FALSE),"")</f>
        <v/>
      </c>
      <c r="G285" s="29"/>
      <c r="H285" s="32" t="str">
        <f>IF(OR(G285="",E285=""),"",G285*IFERROR(VLOOKUP(E285,Maestro_SKU!$A$2:$P$500,12,FALSE),1))</f>
        <v/>
      </c>
      <c r="I285" s="25"/>
      <c r="J285" s="31" t="str">
        <f>IF(A285="","",IF(H285&lt;=Inicio!$B$16,"Crítico",IF(H285&lt;=Inicio!$B$17,"Observar","OK")))</f>
        <v/>
      </c>
      <c r="K285" s="24"/>
    </row>
    <row r="286" spans="1:11" x14ac:dyDescent="0.35">
      <c r="A286" s="24"/>
      <c r="B286" s="31" t="str">
        <f>IFERROR(VLOOKUP(A286,Clientes_PDV!$A$2:$J$250,2,FALSE),"")</f>
        <v/>
      </c>
      <c r="C286" s="31" t="str">
        <f>IFERROR(VLOOKUP(A286,Clientes_PDV!$A$2:$J$250,3,FALSE),"")</f>
        <v/>
      </c>
      <c r="D286" s="31" t="str">
        <f>IFERROR(VLOOKUP(A286,Clientes_PDV!$A$2:$J$250,4,FALSE),"")</f>
        <v/>
      </c>
      <c r="E286" s="24"/>
      <c r="F286" s="31" t="str">
        <f>IFERROR(VLOOKUP(E286,Maestro_SKU!$A$2:$P$500,2,FALSE),"")</f>
        <v/>
      </c>
      <c r="G286" s="29"/>
      <c r="H286" s="32" t="str">
        <f>IF(OR(G286="",E286=""),"",G286*IFERROR(VLOOKUP(E286,Maestro_SKU!$A$2:$P$500,12,FALSE),1))</f>
        <v/>
      </c>
      <c r="I286" s="25"/>
      <c r="J286" s="31" t="str">
        <f>IF(A286="","",IF(H286&lt;=Inicio!$B$16,"Crítico",IF(H286&lt;=Inicio!$B$17,"Observar","OK")))</f>
        <v/>
      </c>
      <c r="K286" s="24"/>
    </row>
    <row r="287" spans="1:11" x14ac:dyDescent="0.35">
      <c r="A287" s="24"/>
      <c r="B287" s="31" t="str">
        <f>IFERROR(VLOOKUP(A287,Clientes_PDV!$A$2:$J$250,2,FALSE),"")</f>
        <v/>
      </c>
      <c r="C287" s="31" t="str">
        <f>IFERROR(VLOOKUP(A287,Clientes_PDV!$A$2:$J$250,3,FALSE),"")</f>
        <v/>
      </c>
      <c r="D287" s="31" t="str">
        <f>IFERROR(VLOOKUP(A287,Clientes_PDV!$A$2:$J$250,4,FALSE),"")</f>
        <v/>
      </c>
      <c r="E287" s="24"/>
      <c r="F287" s="31" t="str">
        <f>IFERROR(VLOOKUP(E287,Maestro_SKU!$A$2:$P$500,2,FALSE),"")</f>
        <v/>
      </c>
      <c r="G287" s="29"/>
      <c r="H287" s="32" t="str">
        <f>IF(OR(G287="",E287=""),"",G287*IFERROR(VLOOKUP(E287,Maestro_SKU!$A$2:$P$500,12,FALSE),1))</f>
        <v/>
      </c>
      <c r="I287" s="25"/>
      <c r="J287" s="31" t="str">
        <f>IF(A287="","",IF(H287&lt;=Inicio!$B$16,"Crítico",IF(H287&lt;=Inicio!$B$17,"Observar","OK")))</f>
        <v/>
      </c>
      <c r="K287" s="24"/>
    </row>
    <row r="288" spans="1:11" x14ac:dyDescent="0.35">
      <c r="A288" s="24"/>
      <c r="B288" s="31" t="str">
        <f>IFERROR(VLOOKUP(A288,Clientes_PDV!$A$2:$J$250,2,FALSE),"")</f>
        <v/>
      </c>
      <c r="C288" s="31" t="str">
        <f>IFERROR(VLOOKUP(A288,Clientes_PDV!$A$2:$J$250,3,FALSE),"")</f>
        <v/>
      </c>
      <c r="D288" s="31" t="str">
        <f>IFERROR(VLOOKUP(A288,Clientes_PDV!$A$2:$J$250,4,FALSE),"")</f>
        <v/>
      </c>
      <c r="E288" s="24"/>
      <c r="F288" s="31" t="str">
        <f>IFERROR(VLOOKUP(E288,Maestro_SKU!$A$2:$P$500,2,FALSE),"")</f>
        <v/>
      </c>
      <c r="G288" s="29"/>
      <c r="H288" s="32" t="str">
        <f>IF(OR(G288="",E288=""),"",G288*IFERROR(VLOOKUP(E288,Maestro_SKU!$A$2:$P$500,12,FALSE),1))</f>
        <v/>
      </c>
      <c r="I288" s="25"/>
      <c r="J288" s="31" t="str">
        <f>IF(A288="","",IF(H288&lt;=Inicio!$B$16,"Crítico",IF(H288&lt;=Inicio!$B$17,"Observar","OK")))</f>
        <v/>
      </c>
      <c r="K288" s="24"/>
    </row>
    <row r="289" spans="1:11" x14ac:dyDescent="0.35">
      <c r="A289" s="24"/>
      <c r="B289" s="31" t="str">
        <f>IFERROR(VLOOKUP(A289,Clientes_PDV!$A$2:$J$250,2,FALSE),"")</f>
        <v/>
      </c>
      <c r="C289" s="31" t="str">
        <f>IFERROR(VLOOKUP(A289,Clientes_PDV!$A$2:$J$250,3,FALSE),"")</f>
        <v/>
      </c>
      <c r="D289" s="31" t="str">
        <f>IFERROR(VLOOKUP(A289,Clientes_PDV!$A$2:$J$250,4,FALSE),"")</f>
        <v/>
      </c>
      <c r="E289" s="24"/>
      <c r="F289" s="31" t="str">
        <f>IFERROR(VLOOKUP(E289,Maestro_SKU!$A$2:$P$500,2,FALSE),"")</f>
        <v/>
      </c>
      <c r="G289" s="29"/>
      <c r="H289" s="32" t="str">
        <f>IF(OR(G289="",E289=""),"",G289*IFERROR(VLOOKUP(E289,Maestro_SKU!$A$2:$P$500,12,FALSE),1))</f>
        <v/>
      </c>
      <c r="I289" s="25"/>
      <c r="J289" s="31" t="str">
        <f>IF(A289="","",IF(H289&lt;=Inicio!$B$16,"Crítico",IF(H289&lt;=Inicio!$B$17,"Observar","OK")))</f>
        <v/>
      </c>
      <c r="K289" s="24"/>
    </row>
    <row r="290" spans="1:11" x14ac:dyDescent="0.35">
      <c r="A290" s="24"/>
      <c r="B290" s="31" t="str">
        <f>IFERROR(VLOOKUP(A290,Clientes_PDV!$A$2:$J$250,2,FALSE),"")</f>
        <v/>
      </c>
      <c r="C290" s="31" t="str">
        <f>IFERROR(VLOOKUP(A290,Clientes_PDV!$A$2:$J$250,3,FALSE),"")</f>
        <v/>
      </c>
      <c r="D290" s="31" t="str">
        <f>IFERROR(VLOOKUP(A290,Clientes_PDV!$A$2:$J$250,4,FALSE),"")</f>
        <v/>
      </c>
      <c r="E290" s="24"/>
      <c r="F290" s="31" t="str">
        <f>IFERROR(VLOOKUP(E290,Maestro_SKU!$A$2:$P$500,2,FALSE),"")</f>
        <v/>
      </c>
      <c r="G290" s="29"/>
      <c r="H290" s="32" t="str">
        <f>IF(OR(G290="",E290=""),"",G290*IFERROR(VLOOKUP(E290,Maestro_SKU!$A$2:$P$500,12,FALSE),1))</f>
        <v/>
      </c>
      <c r="I290" s="25"/>
      <c r="J290" s="31" t="str">
        <f>IF(A290="","",IF(H290&lt;=Inicio!$B$16,"Crítico",IF(H290&lt;=Inicio!$B$17,"Observar","OK")))</f>
        <v/>
      </c>
      <c r="K290" s="24"/>
    </row>
    <row r="291" spans="1:11" x14ac:dyDescent="0.35">
      <c r="A291" s="24"/>
      <c r="B291" s="31" t="str">
        <f>IFERROR(VLOOKUP(A291,Clientes_PDV!$A$2:$J$250,2,FALSE),"")</f>
        <v/>
      </c>
      <c r="C291" s="31" t="str">
        <f>IFERROR(VLOOKUP(A291,Clientes_PDV!$A$2:$J$250,3,FALSE),"")</f>
        <v/>
      </c>
      <c r="D291" s="31" t="str">
        <f>IFERROR(VLOOKUP(A291,Clientes_PDV!$A$2:$J$250,4,FALSE),"")</f>
        <v/>
      </c>
      <c r="E291" s="24"/>
      <c r="F291" s="31" t="str">
        <f>IFERROR(VLOOKUP(E291,Maestro_SKU!$A$2:$P$500,2,FALSE),"")</f>
        <v/>
      </c>
      <c r="G291" s="29"/>
      <c r="H291" s="32" t="str">
        <f>IF(OR(G291="",E291=""),"",G291*IFERROR(VLOOKUP(E291,Maestro_SKU!$A$2:$P$500,12,FALSE),1))</f>
        <v/>
      </c>
      <c r="I291" s="25"/>
      <c r="J291" s="31" t="str">
        <f>IF(A291="","",IF(H291&lt;=Inicio!$B$16,"Crítico",IF(H291&lt;=Inicio!$B$17,"Observar","OK")))</f>
        <v/>
      </c>
      <c r="K291" s="24"/>
    </row>
    <row r="292" spans="1:11" x14ac:dyDescent="0.35">
      <c r="A292" s="24"/>
      <c r="B292" s="31" t="str">
        <f>IFERROR(VLOOKUP(A292,Clientes_PDV!$A$2:$J$250,2,FALSE),"")</f>
        <v/>
      </c>
      <c r="C292" s="31" t="str">
        <f>IFERROR(VLOOKUP(A292,Clientes_PDV!$A$2:$J$250,3,FALSE),"")</f>
        <v/>
      </c>
      <c r="D292" s="31" t="str">
        <f>IFERROR(VLOOKUP(A292,Clientes_PDV!$A$2:$J$250,4,FALSE),"")</f>
        <v/>
      </c>
      <c r="E292" s="24"/>
      <c r="F292" s="31" t="str">
        <f>IFERROR(VLOOKUP(E292,Maestro_SKU!$A$2:$P$500,2,FALSE),"")</f>
        <v/>
      </c>
      <c r="G292" s="29"/>
      <c r="H292" s="32" t="str">
        <f>IF(OR(G292="",E292=""),"",G292*IFERROR(VLOOKUP(E292,Maestro_SKU!$A$2:$P$500,12,FALSE),1))</f>
        <v/>
      </c>
      <c r="I292" s="25"/>
      <c r="J292" s="31" t="str">
        <f>IF(A292="","",IF(H292&lt;=Inicio!$B$16,"Crítico",IF(H292&lt;=Inicio!$B$17,"Observar","OK")))</f>
        <v/>
      </c>
      <c r="K292" s="24"/>
    </row>
    <row r="293" spans="1:11" x14ac:dyDescent="0.35">
      <c r="A293" s="24"/>
      <c r="B293" s="31" t="str">
        <f>IFERROR(VLOOKUP(A293,Clientes_PDV!$A$2:$J$250,2,FALSE),"")</f>
        <v/>
      </c>
      <c r="C293" s="31" t="str">
        <f>IFERROR(VLOOKUP(A293,Clientes_PDV!$A$2:$J$250,3,FALSE),"")</f>
        <v/>
      </c>
      <c r="D293" s="31" t="str">
        <f>IFERROR(VLOOKUP(A293,Clientes_PDV!$A$2:$J$250,4,FALSE),"")</f>
        <v/>
      </c>
      <c r="E293" s="24"/>
      <c r="F293" s="31" t="str">
        <f>IFERROR(VLOOKUP(E293,Maestro_SKU!$A$2:$P$500,2,FALSE),"")</f>
        <v/>
      </c>
      <c r="G293" s="29"/>
      <c r="H293" s="32" t="str">
        <f>IF(OR(G293="",E293=""),"",G293*IFERROR(VLOOKUP(E293,Maestro_SKU!$A$2:$P$500,12,FALSE),1))</f>
        <v/>
      </c>
      <c r="I293" s="25"/>
      <c r="J293" s="31" t="str">
        <f>IF(A293="","",IF(H293&lt;=Inicio!$B$16,"Crítico",IF(H293&lt;=Inicio!$B$17,"Observar","OK")))</f>
        <v/>
      </c>
      <c r="K293" s="24"/>
    </row>
    <row r="294" spans="1:11" x14ac:dyDescent="0.35">
      <c r="A294" s="24"/>
      <c r="B294" s="31" t="str">
        <f>IFERROR(VLOOKUP(A294,Clientes_PDV!$A$2:$J$250,2,FALSE),"")</f>
        <v/>
      </c>
      <c r="C294" s="31" t="str">
        <f>IFERROR(VLOOKUP(A294,Clientes_PDV!$A$2:$J$250,3,FALSE),"")</f>
        <v/>
      </c>
      <c r="D294" s="31" t="str">
        <f>IFERROR(VLOOKUP(A294,Clientes_PDV!$A$2:$J$250,4,FALSE),"")</f>
        <v/>
      </c>
      <c r="E294" s="24"/>
      <c r="F294" s="31" t="str">
        <f>IFERROR(VLOOKUP(E294,Maestro_SKU!$A$2:$P$500,2,FALSE),"")</f>
        <v/>
      </c>
      <c r="G294" s="29"/>
      <c r="H294" s="32" t="str">
        <f>IF(OR(G294="",E294=""),"",G294*IFERROR(VLOOKUP(E294,Maestro_SKU!$A$2:$P$500,12,FALSE),1))</f>
        <v/>
      </c>
      <c r="I294" s="25"/>
      <c r="J294" s="31" t="str">
        <f>IF(A294="","",IF(H294&lt;=Inicio!$B$16,"Crítico",IF(H294&lt;=Inicio!$B$17,"Observar","OK")))</f>
        <v/>
      </c>
      <c r="K294" s="24"/>
    </row>
    <row r="295" spans="1:11" x14ac:dyDescent="0.35">
      <c r="A295" s="24"/>
      <c r="B295" s="31" t="str">
        <f>IFERROR(VLOOKUP(A295,Clientes_PDV!$A$2:$J$250,2,FALSE),"")</f>
        <v/>
      </c>
      <c r="C295" s="31" t="str">
        <f>IFERROR(VLOOKUP(A295,Clientes_PDV!$A$2:$J$250,3,FALSE),"")</f>
        <v/>
      </c>
      <c r="D295" s="31" t="str">
        <f>IFERROR(VLOOKUP(A295,Clientes_PDV!$A$2:$J$250,4,FALSE),"")</f>
        <v/>
      </c>
      <c r="E295" s="24"/>
      <c r="F295" s="31" t="str">
        <f>IFERROR(VLOOKUP(E295,Maestro_SKU!$A$2:$P$500,2,FALSE),"")</f>
        <v/>
      </c>
      <c r="G295" s="29"/>
      <c r="H295" s="32" t="str">
        <f>IF(OR(G295="",E295=""),"",G295*IFERROR(VLOOKUP(E295,Maestro_SKU!$A$2:$P$500,12,FALSE),1))</f>
        <v/>
      </c>
      <c r="I295" s="25"/>
      <c r="J295" s="31" t="str">
        <f>IF(A295="","",IF(H295&lt;=Inicio!$B$16,"Crítico",IF(H295&lt;=Inicio!$B$17,"Observar","OK")))</f>
        <v/>
      </c>
      <c r="K295" s="24"/>
    </row>
    <row r="296" spans="1:11" x14ac:dyDescent="0.35">
      <c r="A296" s="24"/>
      <c r="B296" s="31" t="str">
        <f>IFERROR(VLOOKUP(A296,Clientes_PDV!$A$2:$J$250,2,FALSE),"")</f>
        <v/>
      </c>
      <c r="C296" s="31" t="str">
        <f>IFERROR(VLOOKUP(A296,Clientes_PDV!$A$2:$J$250,3,FALSE),"")</f>
        <v/>
      </c>
      <c r="D296" s="31" t="str">
        <f>IFERROR(VLOOKUP(A296,Clientes_PDV!$A$2:$J$250,4,FALSE),"")</f>
        <v/>
      </c>
      <c r="E296" s="24"/>
      <c r="F296" s="31" t="str">
        <f>IFERROR(VLOOKUP(E296,Maestro_SKU!$A$2:$P$500,2,FALSE),"")</f>
        <v/>
      </c>
      <c r="G296" s="29"/>
      <c r="H296" s="32" t="str">
        <f>IF(OR(G296="",E296=""),"",G296*IFERROR(VLOOKUP(E296,Maestro_SKU!$A$2:$P$500,12,FALSE),1))</f>
        <v/>
      </c>
      <c r="I296" s="25"/>
      <c r="J296" s="31" t="str">
        <f>IF(A296="","",IF(H296&lt;=Inicio!$B$16,"Crítico",IF(H296&lt;=Inicio!$B$17,"Observar","OK")))</f>
        <v/>
      </c>
      <c r="K296" s="24"/>
    </row>
    <row r="297" spans="1:11" x14ac:dyDescent="0.35">
      <c r="A297" s="24"/>
      <c r="B297" s="31" t="str">
        <f>IFERROR(VLOOKUP(A297,Clientes_PDV!$A$2:$J$250,2,FALSE),"")</f>
        <v/>
      </c>
      <c r="C297" s="31" t="str">
        <f>IFERROR(VLOOKUP(A297,Clientes_PDV!$A$2:$J$250,3,FALSE),"")</f>
        <v/>
      </c>
      <c r="D297" s="31" t="str">
        <f>IFERROR(VLOOKUP(A297,Clientes_PDV!$A$2:$J$250,4,FALSE),"")</f>
        <v/>
      </c>
      <c r="E297" s="24"/>
      <c r="F297" s="31" t="str">
        <f>IFERROR(VLOOKUP(E297,Maestro_SKU!$A$2:$P$500,2,FALSE),"")</f>
        <v/>
      </c>
      <c r="G297" s="29"/>
      <c r="H297" s="32" t="str">
        <f>IF(OR(G297="",E297=""),"",G297*IFERROR(VLOOKUP(E297,Maestro_SKU!$A$2:$P$500,12,FALSE),1))</f>
        <v/>
      </c>
      <c r="I297" s="25"/>
      <c r="J297" s="31" t="str">
        <f>IF(A297="","",IF(H297&lt;=Inicio!$B$16,"Crítico",IF(H297&lt;=Inicio!$B$17,"Observar","OK")))</f>
        <v/>
      </c>
      <c r="K297" s="24"/>
    </row>
    <row r="298" spans="1:11" x14ac:dyDescent="0.35">
      <c r="A298" s="24"/>
      <c r="B298" s="31" t="str">
        <f>IFERROR(VLOOKUP(A298,Clientes_PDV!$A$2:$J$250,2,FALSE),"")</f>
        <v/>
      </c>
      <c r="C298" s="31" t="str">
        <f>IFERROR(VLOOKUP(A298,Clientes_PDV!$A$2:$J$250,3,FALSE),"")</f>
        <v/>
      </c>
      <c r="D298" s="31" t="str">
        <f>IFERROR(VLOOKUP(A298,Clientes_PDV!$A$2:$J$250,4,FALSE),"")</f>
        <v/>
      </c>
      <c r="E298" s="24"/>
      <c r="F298" s="31" t="str">
        <f>IFERROR(VLOOKUP(E298,Maestro_SKU!$A$2:$P$500,2,FALSE),"")</f>
        <v/>
      </c>
      <c r="G298" s="29"/>
      <c r="H298" s="32" t="str">
        <f>IF(OR(G298="",E298=""),"",G298*IFERROR(VLOOKUP(E298,Maestro_SKU!$A$2:$P$500,12,FALSE),1))</f>
        <v/>
      </c>
      <c r="I298" s="25"/>
      <c r="J298" s="31" t="str">
        <f>IF(A298="","",IF(H298&lt;=Inicio!$B$16,"Crítico",IF(H298&lt;=Inicio!$B$17,"Observar","OK")))</f>
        <v/>
      </c>
      <c r="K298" s="24"/>
    </row>
    <row r="299" spans="1:11" x14ac:dyDescent="0.35">
      <c r="A299" s="24"/>
      <c r="B299" s="31" t="str">
        <f>IFERROR(VLOOKUP(A299,Clientes_PDV!$A$2:$J$250,2,FALSE),"")</f>
        <v/>
      </c>
      <c r="C299" s="31" t="str">
        <f>IFERROR(VLOOKUP(A299,Clientes_PDV!$A$2:$J$250,3,FALSE),"")</f>
        <v/>
      </c>
      <c r="D299" s="31" t="str">
        <f>IFERROR(VLOOKUP(A299,Clientes_PDV!$A$2:$J$250,4,FALSE),"")</f>
        <v/>
      </c>
      <c r="E299" s="24"/>
      <c r="F299" s="31" t="str">
        <f>IFERROR(VLOOKUP(E299,Maestro_SKU!$A$2:$P$500,2,FALSE),"")</f>
        <v/>
      </c>
      <c r="G299" s="29"/>
      <c r="H299" s="32" t="str">
        <f>IF(OR(G299="",E299=""),"",G299*IFERROR(VLOOKUP(E299,Maestro_SKU!$A$2:$P$500,12,FALSE),1))</f>
        <v/>
      </c>
      <c r="I299" s="25"/>
      <c r="J299" s="31" t="str">
        <f>IF(A299="","",IF(H299&lt;=Inicio!$B$16,"Crítico",IF(H299&lt;=Inicio!$B$17,"Observar","OK")))</f>
        <v/>
      </c>
      <c r="K299" s="24"/>
    </row>
    <row r="300" spans="1:11" x14ac:dyDescent="0.35">
      <c r="A300" s="24"/>
      <c r="B300" s="31" t="str">
        <f>IFERROR(VLOOKUP(A300,Clientes_PDV!$A$2:$J$250,2,FALSE),"")</f>
        <v/>
      </c>
      <c r="C300" s="31" t="str">
        <f>IFERROR(VLOOKUP(A300,Clientes_PDV!$A$2:$J$250,3,FALSE),"")</f>
        <v/>
      </c>
      <c r="D300" s="31" t="str">
        <f>IFERROR(VLOOKUP(A300,Clientes_PDV!$A$2:$J$250,4,FALSE),"")</f>
        <v/>
      </c>
      <c r="E300" s="24"/>
      <c r="F300" s="31" t="str">
        <f>IFERROR(VLOOKUP(E300,Maestro_SKU!$A$2:$P$500,2,FALSE),"")</f>
        <v/>
      </c>
      <c r="G300" s="29"/>
      <c r="H300" s="32" t="str">
        <f>IF(OR(G300="",E300=""),"",G300*IFERROR(VLOOKUP(E300,Maestro_SKU!$A$2:$P$500,12,FALSE),1))</f>
        <v/>
      </c>
      <c r="I300" s="25"/>
      <c r="J300" s="31" t="str">
        <f>IF(A300="","",IF(H300&lt;=Inicio!$B$16,"Crítico",IF(H300&lt;=Inicio!$B$17,"Observar","OK")))</f>
        <v/>
      </c>
      <c r="K300" s="24"/>
    </row>
    <row r="301" spans="1:11" x14ac:dyDescent="0.35">
      <c r="A301" s="24"/>
      <c r="B301" s="31" t="str">
        <f>IFERROR(VLOOKUP(A301,Clientes_PDV!$A$2:$J$250,2,FALSE),"")</f>
        <v/>
      </c>
      <c r="C301" s="31" t="str">
        <f>IFERROR(VLOOKUP(A301,Clientes_PDV!$A$2:$J$250,3,FALSE),"")</f>
        <v/>
      </c>
      <c r="D301" s="31" t="str">
        <f>IFERROR(VLOOKUP(A301,Clientes_PDV!$A$2:$J$250,4,FALSE),"")</f>
        <v/>
      </c>
      <c r="E301" s="24"/>
      <c r="F301" s="31" t="str">
        <f>IFERROR(VLOOKUP(E301,Maestro_SKU!$A$2:$P$500,2,FALSE),"")</f>
        <v/>
      </c>
      <c r="G301" s="29"/>
      <c r="H301" s="32" t="str">
        <f>IF(OR(G301="",E301=""),"",G301*IFERROR(VLOOKUP(E301,Maestro_SKU!$A$2:$P$500,12,FALSE),1))</f>
        <v/>
      </c>
      <c r="I301" s="25"/>
      <c r="J301" s="31" t="str">
        <f>IF(A301="","",IF(H301&lt;=Inicio!$B$16,"Crítico",IF(H301&lt;=Inicio!$B$17,"Observar","OK")))</f>
        <v/>
      </c>
      <c r="K301" s="24"/>
    </row>
    <row r="302" spans="1:11" x14ac:dyDescent="0.35">
      <c r="A302" s="24"/>
      <c r="B302" s="31" t="str">
        <f>IFERROR(VLOOKUP(A302,Clientes_PDV!$A$2:$J$250,2,FALSE),"")</f>
        <v/>
      </c>
      <c r="C302" s="31" t="str">
        <f>IFERROR(VLOOKUP(A302,Clientes_PDV!$A$2:$J$250,3,FALSE),"")</f>
        <v/>
      </c>
      <c r="D302" s="31" t="str">
        <f>IFERROR(VLOOKUP(A302,Clientes_PDV!$A$2:$J$250,4,FALSE),"")</f>
        <v/>
      </c>
      <c r="E302" s="24"/>
      <c r="F302" s="31" t="str">
        <f>IFERROR(VLOOKUP(E302,Maestro_SKU!$A$2:$P$500,2,FALSE),"")</f>
        <v/>
      </c>
      <c r="G302" s="29"/>
      <c r="H302" s="32" t="str">
        <f>IF(OR(G302="",E302=""),"",G302*IFERROR(VLOOKUP(E302,Maestro_SKU!$A$2:$P$500,12,FALSE),1))</f>
        <v/>
      </c>
      <c r="I302" s="25"/>
      <c r="J302" s="31" t="str">
        <f>IF(A302="","",IF(H302&lt;=Inicio!$B$16,"Crítico",IF(H302&lt;=Inicio!$B$17,"Observar","OK")))</f>
        <v/>
      </c>
      <c r="K302" s="24"/>
    </row>
    <row r="303" spans="1:11" x14ac:dyDescent="0.35">
      <c r="A303" s="24"/>
      <c r="B303" s="31" t="str">
        <f>IFERROR(VLOOKUP(A303,Clientes_PDV!$A$2:$J$250,2,FALSE),"")</f>
        <v/>
      </c>
      <c r="C303" s="31" t="str">
        <f>IFERROR(VLOOKUP(A303,Clientes_PDV!$A$2:$J$250,3,FALSE),"")</f>
        <v/>
      </c>
      <c r="D303" s="31" t="str">
        <f>IFERROR(VLOOKUP(A303,Clientes_PDV!$A$2:$J$250,4,FALSE),"")</f>
        <v/>
      </c>
      <c r="E303" s="24"/>
      <c r="F303" s="31" t="str">
        <f>IFERROR(VLOOKUP(E303,Maestro_SKU!$A$2:$P$500,2,FALSE),"")</f>
        <v/>
      </c>
      <c r="G303" s="29"/>
      <c r="H303" s="32" t="str">
        <f>IF(OR(G303="",E303=""),"",G303*IFERROR(VLOOKUP(E303,Maestro_SKU!$A$2:$P$500,12,FALSE),1))</f>
        <v/>
      </c>
      <c r="I303" s="25"/>
      <c r="J303" s="31" t="str">
        <f>IF(A303="","",IF(H303&lt;=Inicio!$B$16,"Crítico",IF(H303&lt;=Inicio!$B$17,"Observar","OK")))</f>
        <v/>
      </c>
      <c r="K303" s="24"/>
    </row>
    <row r="304" spans="1:11" x14ac:dyDescent="0.35">
      <c r="A304" s="24"/>
      <c r="B304" s="31" t="str">
        <f>IFERROR(VLOOKUP(A304,Clientes_PDV!$A$2:$J$250,2,FALSE),"")</f>
        <v/>
      </c>
      <c r="C304" s="31" t="str">
        <f>IFERROR(VLOOKUP(A304,Clientes_PDV!$A$2:$J$250,3,FALSE),"")</f>
        <v/>
      </c>
      <c r="D304" s="31" t="str">
        <f>IFERROR(VLOOKUP(A304,Clientes_PDV!$A$2:$J$250,4,FALSE),"")</f>
        <v/>
      </c>
      <c r="E304" s="24"/>
      <c r="F304" s="31" t="str">
        <f>IFERROR(VLOOKUP(E304,Maestro_SKU!$A$2:$P$500,2,FALSE),"")</f>
        <v/>
      </c>
      <c r="G304" s="29"/>
      <c r="H304" s="32" t="str">
        <f>IF(OR(G304="",E304=""),"",G304*IFERROR(VLOOKUP(E304,Maestro_SKU!$A$2:$P$500,12,FALSE),1))</f>
        <v/>
      </c>
      <c r="I304" s="25"/>
      <c r="J304" s="31" t="str">
        <f>IF(A304="","",IF(H304&lt;=Inicio!$B$16,"Crítico",IF(H304&lt;=Inicio!$B$17,"Observar","OK")))</f>
        <v/>
      </c>
      <c r="K304" s="24"/>
    </row>
    <row r="305" spans="1:11" x14ac:dyDescent="0.35">
      <c r="A305" s="24"/>
      <c r="B305" s="31" t="str">
        <f>IFERROR(VLOOKUP(A305,Clientes_PDV!$A$2:$J$250,2,FALSE),"")</f>
        <v/>
      </c>
      <c r="C305" s="31" t="str">
        <f>IFERROR(VLOOKUP(A305,Clientes_PDV!$A$2:$J$250,3,FALSE),"")</f>
        <v/>
      </c>
      <c r="D305" s="31" t="str">
        <f>IFERROR(VLOOKUP(A305,Clientes_PDV!$A$2:$J$250,4,FALSE),"")</f>
        <v/>
      </c>
      <c r="E305" s="24"/>
      <c r="F305" s="31" t="str">
        <f>IFERROR(VLOOKUP(E305,Maestro_SKU!$A$2:$P$500,2,FALSE),"")</f>
        <v/>
      </c>
      <c r="G305" s="29"/>
      <c r="H305" s="32" t="str">
        <f>IF(OR(G305="",E305=""),"",G305*IFERROR(VLOOKUP(E305,Maestro_SKU!$A$2:$P$500,12,FALSE),1))</f>
        <v/>
      </c>
      <c r="I305" s="25"/>
      <c r="J305" s="31" t="str">
        <f>IF(A305="","",IF(H305&lt;=Inicio!$B$16,"Crítico",IF(H305&lt;=Inicio!$B$17,"Observar","OK")))</f>
        <v/>
      </c>
      <c r="K305" s="24"/>
    </row>
    <row r="306" spans="1:11" x14ac:dyDescent="0.35">
      <c r="A306" s="24"/>
      <c r="B306" s="31" t="str">
        <f>IFERROR(VLOOKUP(A306,Clientes_PDV!$A$2:$J$250,2,FALSE),"")</f>
        <v/>
      </c>
      <c r="C306" s="31" t="str">
        <f>IFERROR(VLOOKUP(A306,Clientes_PDV!$A$2:$J$250,3,FALSE),"")</f>
        <v/>
      </c>
      <c r="D306" s="31" t="str">
        <f>IFERROR(VLOOKUP(A306,Clientes_PDV!$A$2:$J$250,4,FALSE),"")</f>
        <v/>
      </c>
      <c r="E306" s="24"/>
      <c r="F306" s="31" t="str">
        <f>IFERROR(VLOOKUP(E306,Maestro_SKU!$A$2:$P$500,2,FALSE),"")</f>
        <v/>
      </c>
      <c r="G306" s="29"/>
      <c r="H306" s="32" t="str">
        <f>IF(OR(G306="",E306=""),"",G306*IFERROR(VLOOKUP(E306,Maestro_SKU!$A$2:$P$500,12,FALSE),1))</f>
        <v/>
      </c>
      <c r="I306" s="25"/>
      <c r="J306" s="31" t="str">
        <f>IF(A306="","",IF(H306&lt;=Inicio!$B$16,"Crítico",IF(H306&lt;=Inicio!$B$17,"Observar","OK")))</f>
        <v/>
      </c>
      <c r="K306" s="24"/>
    </row>
    <row r="307" spans="1:11" x14ac:dyDescent="0.35">
      <c r="A307" s="24"/>
      <c r="B307" s="31" t="str">
        <f>IFERROR(VLOOKUP(A307,Clientes_PDV!$A$2:$J$250,2,FALSE),"")</f>
        <v/>
      </c>
      <c r="C307" s="31" t="str">
        <f>IFERROR(VLOOKUP(A307,Clientes_PDV!$A$2:$J$250,3,FALSE),"")</f>
        <v/>
      </c>
      <c r="D307" s="31" t="str">
        <f>IFERROR(VLOOKUP(A307,Clientes_PDV!$A$2:$J$250,4,FALSE),"")</f>
        <v/>
      </c>
      <c r="E307" s="24"/>
      <c r="F307" s="31" t="str">
        <f>IFERROR(VLOOKUP(E307,Maestro_SKU!$A$2:$P$500,2,FALSE),"")</f>
        <v/>
      </c>
      <c r="G307" s="29"/>
      <c r="H307" s="32" t="str">
        <f>IF(OR(G307="",E307=""),"",G307*IFERROR(VLOOKUP(E307,Maestro_SKU!$A$2:$P$500,12,FALSE),1))</f>
        <v/>
      </c>
      <c r="I307" s="25"/>
      <c r="J307" s="31" t="str">
        <f>IF(A307="","",IF(H307&lt;=Inicio!$B$16,"Crítico",IF(H307&lt;=Inicio!$B$17,"Observar","OK")))</f>
        <v/>
      </c>
      <c r="K307" s="24"/>
    </row>
    <row r="308" spans="1:11" x14ac:dyDescent="0.35">
      <c r="A308" s="24"/>
      <c r="B308" s="31" t="str">
        <f>IFERROR(VLOOKUP(A308,Clientes_PDV!$A$2:$J$250,2,FALSE),"")</f>
        <v/>
      </c>
      <c r="C308" s="31" t="str">
        <f>IFERROR(VLOOKUP(A308,Clientes_PDV!$A$2:$J$250,3,FALSE),"")</f>
        <v/>
      </c>
      <c r="D308" s="31" t="str">
        <f>IFERROR(VLOOKUP(A308,Clientes_PDV!$A$2:$J$250,4,FALSE),"")</f>
        <v/>
      </c>
      <c r="E308" s="24"/>
      <c r="F308" s="31" t="str">
        <f>IFERROR(VLOOKUP(E308,Maestro_SKU!$A$2:$P$500,2,FALSE),"")</f>
        <v/>
      </c>
      <c r="G308" s="29"/>
      <c r="H308" s="32" t="str">
        <f>IF(OR(G308="",E308=""),"",G308*IFERROR(VLOOKUP(E308,Maestro_SKU!$A$2:$P$500,12,FALSE),1))</f>
        <v/>
      </c>
      <c r="I308" s="25"/>
      <c r="J308" s="31" t="str">
        <f>IF(A308="","",IF(H308&lt;=Inicio!$B$16,"Crítico",IF(H308&lt;=Inicio!$B$17,"Observar","OK")))</f>
        <v/>
      </c>
      <c r="K308" s="24"/>
    </row>
    <row r="309" spans="1:11" x14ac:dyDescent="0.35">
      <c r="A309" s="24"/>
      <c r="B309" s="31" t="str">
        <f>IFERROR(VLOOKUP(A309,Clientes_PDV!$A$2:$J$250,2,FALSE),"")</f>
        <v/>
      </c>
      <c r="C309" s="31" t="str">
        <f>IFERROR(VLOOKUP(A309,Clientes_PDV!$A$2:$J$250,3,FALSE),"")</f>
        <v/>
      </c>
      <c r="D309" s="31" t="str">
        <f>IFERROR(VLOOKUP(A309,Clientes_PDV!$A$2:$J$250,4,FALSE),"")</f>
        <v/>
      </c>
      <c r="E309" s="24"/>
      <c r="F309" s="31" t="str">
        <f>IFERROR(VLOOKUP(E309,Maestro_SKU!$A$2:$P$500,2,FALSE),"")</f>
        <v/>
      </c>
      <c r="G309" s="29"/>
      <c r="H309" s="32" t="str">
        <f>IF(OR(G309="",E309=""),"",G309*IFERROR(VLOOKUP(E309,Maestro_SKU!$A$2:$P$500,12,FALSE),1))</f>
        <v/>
      </c>
      <c r="I309" s="25"/>
      <c r="J309" s="31" t="str">
        <f>IF(A309="","",IF(H309&lt;=Inicio!$B$16,"Crítico",IF(H309&lt;=Inicio!$B$17,"Observar","OK")))</f>
        <v/>
      </c>
      <c r="K309" s="24"/>
    </row>
    <row r="310" spans="1:11" x14ac:dyDescent="0.35">
      <c r="A310" s="24"/>
      <c r="B310" s="31" t="str">
        <f>IFERROR(VLOOKUP(A310,Clientes_PDV!$A$2:$J$250,2,FALSE),"")</f>
        <v/>
      </c>
      <c r="C310" s="31" t="str">
        <f>IFERROR(VLOOKUP(A310,Clientes_PDV!$A$2:$J$250,3,FALSE),"")</f>
        <v/>
      </c>
      <c r="D310" s="31" t="str">
        <f>IFERROR(VLOOKUP(A310,Clientes_PDV!$A$2:$J$250,4,FALSE),"")</f>
        <v/>
      </c>
      <c r="E310" s="24"/>
      <c r="F310" s="31" t="str">
        <f>IFERROR(VLOOKUP(E310,Maestro_SKU!$A$2:$P$500,2,FALSE),"")</f>
        <v/>
      </c>
      <c r="G310" s="29"/>
      <c r="H310" s="32" t="str">
        <f>IF(OR(G310="",E310=""),"",G310*IFERROR(VLOOKUP(E310,Maestro_SKU!$A$2:$P$500,12,FALSE),1))</f>
        <v/>
      </c>
      <c r="I310" s="25"/>
      <c r="J310" s="31" t="str">
        <f>IF(A310="","",IF(H310&lt;=Inicio!$B$16,"Crítico",IF(H310&lt;=Inicio!$B$17,"Observar","OK")))</f>
        <v/>
      </c>
      <c r="K310" s="24"/>
    </row>
    <row r="311" spans="1:11" x14ac:dyDescent="0.35">
      <c r="A311" s="24"/>
      <c r="B311" s="31" t="str">
        <f>IFERROR(VLOOKUP(A311,Clientes_PDV!$A$2:$J$250,2,FALSE),"")</f>
        <v/>
      </c>
      <c r="C311" s="31" t="str">
        <f>IFERROR(VLOOKUP(A311,Clientes_PDV!$A$2:$J$250,3,FALSE),"")</f>
        <v/>
      </c>
      <c r="D311" s="31" t="str">
        <f>IFERROR(VLOOKUP(A311,Clientes_PDV!$A$2:$J$250,4,FALSE),"")</f>
        <v/>
      </c>
      <c r="E311" s="24"/>
      <c r="F311" s="31" t="str">
        <f>IFERROR(VLOOKUP(E311,Maestro_SKU!$A$2:$P$500,2,FALSE),"")</f>
        <v/>
      </c>
      <c r="G311" s="29"/>
      <c r="H311" s="32" t="str">
        <f>IF(OR(G311="",E311=""),"",G311*IFERROR(VLOOKUP(E311,Maestro_SKU!$A$2:$P$500,12,FALSE),1))</f>
        <v/>
      </c>
      <c r="I311" s="25"/>
      <c r="J311" s="31" t="str">
        <f>IF(A311="","",IF(H311&lt;=Inicio!$B$16,"Crítico",IF(H311&lt;=Inicio!$B$17,"Observar","OK")))</f>
        <v/>
      </c>
      <c r="K311" s="24"/>
    </row>
    <row r="312" spans="1:11" x14ac:dyDescent="0.35">
      <c r="A312" s="24"/>
      <c r="B312" s="31" t="str">
        <f>IFERROR(VLOOKUP(A312,Clientes_PDV!$A$2:$J$250,2,FALSE),"")</f>
        <v/>
      </c>
      <c r="C312" s="31" t="str">
        <f>IFERROR(VLOOKUP(A312,Clientes_PDV!$A$2:$J$250,3,FALSE),"")</f>
        <v/>
      </c>
      <c r="D312" s="31" t="str">
        <f>IFERROR(VLOOKUP(A312,Clientes_PDV!$A$2:$J$250,4,FALSE),"")</f>
        <v/>
      </c>
      <c r="E312" s="24"/>
      <c r="F312" s="31" t="str">
        <f>IFERROR(VLOOKUP(E312,Maestro_SKU!$A$2:$P$500,2,FALSE),"")</f>
        <v/>
      </c>
      <c r="G312" s="29"/>
      <c r="H312" s="32" t="str">
        <f>IF(OR(G312="",E312=""),"",G312*IFERROR(VLOOKUP(E312,Maestro_SKU!$A$2:$P$500,12,FALSE),1))</f>
        <v/>
      </c>
      <c r="I312" s="25"/>
      <c r="J312" s="31" t="str">
        <f>IF(A312="","",IF(H312&lt;=Inicio!$B$16,"Crítico",IF(H312&lt;=Inicio!$B$17,"Observar","OK")))</f>
        <v/>
      </c>
      <c r="K312" s="24"/>
    </row>
    <row r="313" spans="1:11" x14ac:dyDescent="0.35">
      <c r="A313" s="24"/>
      <c r="B313" s="31" t="str">
        <f>IFERROR(VLOOKUP(A313,Clientes_PDV!$A$2:$J$250,2,FALSE),"")</f>
        <v/>
      </c>
      <c r="C313" s="31" t="str">
        <f>IFERROR(VLOOKUP(A313,Clientes_PDV!$A$2:$J$250,3,FALSE),"")</f>
        <v/>
      </c>
      <c r="D313" s="31" t="str">
        <f>IFERROR(VLOOKUP(A313,Clientes_PDV!$A$2:$J$250,4,FALSE),"")</f>
        <v/>
      </c>
      <c r="E313" s="24"/>
      <c r="F313" s="31" t="str">
        <f>IFERROR(VLOOKUP(E313,Maestro_SKU!$A$2:$P$500,2,FALSE),"")</f>
        <v/>
      </c>
      <c r="G313" s="29"/>
      <c r="H313" s="32" t="str">
        <f>IF(OR(G313="",E313=""),"",G313*IFERROR(VLOOKUP(E313,Maestro_SKU!$A$2:$P$500,12,FALSE),1))</f>
        <v/>
      </c>
      <c r="I313" s="25"/>
      <c r="J313" s="31" t="str">
        <f>IF(A313="","",IF(H313&lt;=Inicio!$B$16,"Crítico",IF(H313&lt;=Inicio!$B$17,"Observar","OK")))</f>
        <v/>
      </c>
      <c r="K313" s="24"/>
    </row>
    <row r="314" spans="1:11" x14ac:dyDescent="0.35">
      <c r="A314" s="24"/>
      <c r="B314" s="31" t="str">
        <f>IFERROR(VLOOKUP(A314,Clientes_PDV!$A$2:$J$250,2,FALSE),"")</f>
        <v/>
      </c>
      <c r="C314" s="31" t="str">
        <f>IFERROR(VLOOKUP(A314,Clientes_PDV!$A$2:$J$250,3,FALSE),"")</f>
        <v/>
      </c>
      <c r="D314" s="31" t="str">
        <f>IFERROR(VLOOKUP(A314,Clientes_PDV!$A$2:$J$250,4,FALSE),"")</f>
        <v/>
      </c>
      <c r="E314" s="24"/>
      <c r="F314" s="31" t="str">
        <f>IFERROR(VLOOKUP(E314,Maestro_SKU!$A$2:$P$500,2,FALSE),"")</f>
        <v/>
      </c>
      <c r="G314" s="29"/>
      <c r="H314" s="32" t="str">
        <f>IF(OR(G314="",E314=""),"",G314*IFERROR(VLOOKUP(E314,Maestro_SKU!$A$2:$P$500,12,FALSE),1))</f>
        <v/>
      </c>
      <c r="I314" s="25"/>
      <c r="J314" s="31" t="str">
        <f>IF(A314="","",IF(H314&lt;=Inicio!$B$16,"Crítico",IF(H314&lt;=Inicio!$B$17,"Observar","OK")))</f>
        <v/>
      </c>
      <c r="K314" s="24"/>
    </row>
    <row r="315" spans="1:11" x14ac:dyDescent="0.35">
      <c r="A315" s="24"/>
      <c r="B315" s="31" t="str">
        <f>IFERROR(VLOOKUP(A315,Clientes_PDV!$A$2:$J$250,2,FALSE),"")</f>
        <v/>
      </c>
      <c r="C315" s="31" t="str">
        <f>IFERROR(VLOOKUP(A315,Clientes_PDV!$A$2:$J$250,3,FALSE),"")</f>
        <v/>
      </c>
      <c r="D315" s="31" t="str">
        <f>IFERROR(VLOOKUP(A315,Clientes_PDV!$A$2:$J$250,4,FALSE),"")</f>
        <v/>
      </c>
      <c r="E315" s="24"/>
      <c r="F315" s="31" t="str">
        <f>IFERROR(VLOOKUP(E315,Maestro_SKU!$A$2:$P$500,2,FALSE),"")</f>
        <v/>
      </c>
      <c r="G315" s="29"/>
      <c r="H315" s="32" t="str">
        <f>IF(OR(G315="",E315=""),"",G315*IFERROR(VLOOKUP(E315,Maestro_SKU!$A$2:$P$500,12,FALSE),1))</f>
        <v/>
      </c>
      <c r="I315" s="25"/>
      <c r="J315" s="31" t="str">
        <f>IF(A315="","",IF(H315&lt;=Inicio!$B$16,"Crítico",IF(H315&lt;=Inicio!$B$17,"Observar","OK")))</f>
        <v/>
      </c>
      <c r="K315" s="24"/>
    </row>
    <row r="316" spans="1:11" x14ac:dyDescent="0.35">
      <c r="A316" s="24"/>
      <c r="B316" s="31" t="str">
        <f>IFERROR(VLOOKUP(A316,Clientes_PDV!$A$2:$J$250,2,FALSE),"")</f>
        <v/>
      </c>
      <c r="C316" s="31" t="str">
        <f>IFERROR(VLOOKUP(A316,Clientes_PDV!$A$2:$J$250,3,FALSE),"")</f>
        <v/>
      </c>
      <c r="D316" s="31" t="str">
        <f>IFERROR(VLOOKUP(A316,Clientes_PDV!$A$2:$J$250,4,FALSE),"")</f>
        <v/>
      </c>
      <c r="E316" s="24"/>
      <c r="F316" s="31" t="str">
        <f>IFERROR(VLOOKUP(E316,Maestro_SKU!$A$2:$P$500,2,FALSE),"")</f>
        <v/>
      </c>
      <c r="G316" s="29"/>
      <c r="H316" s="32" t="str">
        <f>IF(OR(G316="",E316=""),"",G316*IFERROR(VLOOKUP(E316,Maestro_SKU!$A$2:$P$500,12,FALSE),1))</f>
        <v/>
      </c>
      <c r="I316" s="25"/>
      <c r="J316" s="31" t="str">
        <f>IF(A316="","",IF(H316&lt;=Inicio!$B$16,"Crítico",IF(H316&lt;=Inicio!$B$17,"Observar","OK")))</f>
        <v/>
      </c>
      <c r="K316" s="24"/>
    </row>
    <row r="317" spans="1:11" x14ac:dyDescent="0.35">
      <c r="A317" s="24"/>
      <c r="B317" s="31" t="str">
        <f>IFERROR(VLOOKUP(A317,Clientes_PDV!$A$2:$J$250,2,FALSE),"")</f>
        <v/>
      </c>
      <c r="C317" s="31" t="str">
        <f>IFERROR(VLOOKUP(A317,Clientes_PDV!$A$2:$J$250,3,FALSE),"")</f>
        <v/>
      </c>
      <c r="D317" s="31" t="str">
        <f>IFERROR(VLOOKUP(A317,Clientes_PDV!$A$2:$J$250,4,FALSE),"")</f>
        <v/>
      </c>
      <c r="E317" s="24"/>
      <c r="F317" s="31" t="str">
        <f>IFERROR(VLOOKUP(E317,Maestro_SKU!$A$2:$P$500,2,FALSE),"")</f>
        <v/>
      </c>
      <c r="G317" s="29"/>
      <c r="H317" s="32" t="str">
        <f>IF(OR(G317="",E317=""),"",G317*IFERROR(VLOOKUP(E317,Maestro_SKU!$A$2:$P$500,12,FALSE),1))</f>
        <v/>
      </c>
      <c r="I317" s="25"/>
      <c r="J317" s="31" t="str">
        <f>IF(A317="","",IF(H317&lt;=Inicio!$B$16,"Crítico",IF(H317&lt;=Inicio!$B$17,"Observar","OK")))</f>
        <v/>
      </c>
      <c r="K317" s="24"/>
    </row>
    <row r="318" spans="1:11" x14ac:dyDescent="0.35">
      <c r="A318" s="24"/>
      <c r="B318" s="31" t="str">
        <f>IFERROR(VLOOKUP(A318,Clientes_PDV!$A$2:$J$250,2,FALSE),"")</f>
        <v/>
      </c>
      <c r="C318" s="31" t="str">
        <f>IFERROR(VLOOKUP(A318,Clientes_PDV!$A$2:$J$250,3,FALSE),"")</f>
        <v/>
      </c>
      <c r="D318" s="31" t="str">
        <f>IFERROR(VLOOKUP(A318,Clientes_PDV!$A$2:$J$250,4,FALSE),"")</f>
        <v/>
      </c>
      <c r="E318" s="24"/>
      <c r="F318" s="31" t="str">
        <f>IFERROR(VLOOKUP(E318,Maestro_SKU!$A$2:$P$500,2,FALSE),"")</f>
        <v/>
      </c>
      <c r="G318" s="29"/>
      <c r="H318" s="32" t="str">
        <f>IF(OR(G318="",E318=""),"",G318*IFERROR(VLOOKUP(E318,Maestro_SKU!$A$2:$P$500,12,FALSE),1))</f>
        <v/>
      </c>
      <c r="I318" s="25"/>
      <c r="J318" s="31" t="str">
        <f>IF(A318="","",IF(H318&lt;=Inicio!$B$16,"Crítico",IF(H318&lt;=Inicio!$B$17,"Observar","OK")))</f>
        <v/>
      </c>
      <c r="K318" s="24"/>
    </row>
    <row r="319" spans="1:11" x14ac:dyDescent="0.35">
      <c r="A319" s="24"/>
      <c r="B319" s="31" t="str">
        <f>IFERROR(VLOOKUP(A319,Clientes_PDV!$A$2:$J$250,2,FALSE),"")</f>
        <v/>
      </c>
      <c r="C319" s="31" t="str">
        <f>IFERROR(VLOOKUP(A319,Clientes_PDV!$A$2:$J$250,3,FALSE),"")</f>
        <v/>
      </c>
      <c r="D319" s="31" t="str">
        <f>IFERROR(VLOOKUP(A319,Clientes_PDV!$A$2:$J$250,4,FALSE),"")</f>
        <v/>
      </c>
      <c r="E319" s="24"/>
      <c r="F319" s="31" t="str">
        <f>IFERROR(VLOOKUP(E319,Maestro_SKU!$A$2:$P$500,2,FALSE),"")</f>
        <v/>
      </c>
      <c r="G319" s="29"/>
      <c r="H319" s="32" t="str">
        <f>IF(OR(G319="",E319=""),"",G319*IFERROR(VLOOKUP(E319,Maestro_SKU!$A$2:$P$500,12,FALSE),1))</f>
        <v/>
      </c>
      <c r="I319" s="25"/>
      <c r="J319" s="31" t="str">
        <f>IF(A319="","",IF(H319&lt;=Inicio!$B$16,"Crítico",IF(H319&lt;=Inicio!$B$17,"Observar","OK")))</f>
        <v/>
      </c>
      <c r="K319" s="24"/>
    </row>
    <row r="320" spans="1:11" x14ac:dyDescent="0.35">
      <c r="A320" s="24"/>
      <c r="B320" s="31" t="str">
        <f>IFERROR(VLOOKUP(A320,Clientes_PDV!$A$2:$J$250,2,FALSE),"")</f>
        <v/>
      </c>
      <c r="C320" s="31" t="str">
        <f>IFERROR(VLOOKUP(A320,Clientes_PDV!$A$2:$J$250,3,FALSE),"")</f>
        <v/>
      </c>
      <c r="D320" s="31" t="str">
        <f>IFERROR(VLOOKUP(A320,Clientes_PDV!$A$2:$J$250,4,FALSE),"")</f>
        <v/>
      </c>
      <c r="E320" s="24"/>
      <c r="F320" s="31" t="str">
        <f>IFERROR(VLOOKUP(E320,Maestro_SKU!$A$2:$P$500,2,FALSE),"")</f>
        <v/>
      </c>
      <c r="G320" s="29"/>
      <c r="H320" s="32" t="str">
        <f>IF(OR(G320="",E320=""),"",G320*IFERROR(VLOOKUP(E320,Maestro_SKU!$A$2:$P$500,12,FALSE),1))</f>
        <v/>
      </c>
      <c r="I320" s="25"/>
      <c r="J320" s="31" t="str">
        <f>IF(A320="","",IF(H320&lt;=Inicio!$B$16,"Crítico",IF(H320&lt;=Inicio!$B$17,"Observar","OK")))</f>
        <v/>
      </c>
      <c r="K320" s="24"/>
    </row>
    <row r="321" spans="1:11" x14ac:dyDescent="0.35">
      <c r="A321" s="24"/>
      <c r="B321" s="31" t="str">
        <f>IFERROR(VLOOKUP(A321,Clientes_PDV!$A$2:$J$250,2,FALSE),"")</f>
        <v/>
      </c>
      <c r="C321" s="31" t="str">
        <f>IFERROR(VLOOKUP(A321,Clientes_PDV!$A$2:$J$250,3,FALSE),"")</f>
        <v/>
      </c>
      <c r="D321" s="31" t="str">
        <f>IFERROR(VLOOKUP(A321,Clientes_PDV!$A$2:$J$250,4,FALSE),"")</f>
        <v/>
      </c>
      <c r="E321" s="24"/>
      <c r="F321" s="31" t="str">
        <f>IFERROR(VLOOKUP(E321,Maestro_SKU!$A$2:$P$500,2,FALSE),"")</f>
        <v/>
      </c>
      <c r="G321" s="29"/>
      <c r="H321" s="32" t="str">
        <f>IF(OR(G321="",E321=""),"",G321*IFERROR(VLOOKUP(E321,Maestro_SKU!$A$2:$P$500,12,FALSE),1))</f>
        <v/>
      </c>
      <c r="I321" s="25"/>
      <c r="J321" s="31" t="str">
        <f>IF(A321="","",IF(H321&lt;=Inicio!$B$16,"Crítico",IF(H321&lt;=Inicio!$B$17,"Observar","OK")))</f>
        <v/>
      </c>
      <c r="K321" s="24"/>
    </row>
    <row r="322" spans="1:11" x14ac:dyDescent="0.35">
      <c r="A322" s="24"/>
      <c r="B322" s="31" t="str">
        <f>IFERROR(VLOOKUP(A322,Clientes_PDV!$A$2:$J$250,2,FALSE),"")</f>
        <v/>
      </c>
      <c r="C322" s="31" t="str">
        <f>IFERROR(VLOOKUP(A322,Clientes_PDV!$A$2:$J$250,3,FALSE),"")</f>
        <v/>
      </c>
      <c r="D322" s="31" t="str">
        <f>IFERROR(VLOOKUP(A322,Clientes_PDV!$A$2:$J$250,4,FALSE),"")</f>
        <v/>
      </c>
      <c r="E322" s="24"/>
      <c r="F322" s="31" t="str">
        <f>IFERROR(VLOOKUP(E322,Maestro_SKU!$A$2:$P$500,2,FALSE),"")</f>
        <v/>
      </c>
      <c r="G322" s="29"/>
      <c r="H322" s="32" t="str">
        <f>IF(OR(G322="",E322=""),"",G322*IFERROR(VLOOKUP(E322,Maestro_SKU!$A$2:$P$500,12,FALSE),1))</f>
        <v/>
      </c>
      <c r="I322" s="25"/>
      <c r="J322" s="31" t="str">
        <f>IF(A322="","",IF(H322&lt;=Inicio!$B$16,"Crítico",IF(H322&lt;=Inicio!$B$17,"Observar","OK")))</f>
        <v/>
      </c>
      <c r="K322" s="24"/>
    </row>
    <row r="323" spans="1:11" x14ac:dyDescent="0.35">
      <c r="A323" s="24"/>
      <c r="B323" s="31" t="str">
        <f>IFERROR(VLOOKUP(A323,Clientes_PDV!$A$2:$J$250,2,FALSE),"")</f>
        <v/>
      </c>
      <c r="C323" s="31" t="str">
        <f>IFERROR(VLOOKUP(A323,Clientes_PDV!$A$2:$J$250,3,FALSE),"")</f>
        <v/>
      </c>
      <c r="D323" s="31" t="str">
        <f>IFERROR(VLOOKUP(A323,Clientes_PDV!$A$2:$J$250,4,FALSE),"")</f>
        <v/>
      </c>
      <c r="E323" s="24"/>
      <c r="F323" s="31" t="str">
        <f>IFERROR(VLOOKUP(E323,Maestro_SKU!$A$2:$P$500,2,FALSE),"")</f>
        <v/>
      </c>
      <c r="G323" s="29"/>
      <c r="H323" s="32" t="str">
        <f>IF(OR(G323="",E323=""),"",G323*IFERROR(VLOOKUP(E323,Maestro_SKU!$A$2:$P$500,12,FALSE),1))</f>
        <v/>
      </c>
      <c r="I323" s="25"/>
      <c r="J323" s="31" t="str">
        <f>IF(A323="","",IF(H323&lt;=Inicio!$B$16,"Crítico",IF(H323&lt;=Inicio!$B$17,"Observar","OK")))</f>
        <v/>
      </c>
      <c r="K323" s="24"/>
    </row>
    <row r="324" spans="1:11" x14ac:dyDescent="0.35">
      <c r="A324" s="24"/>
      <c r="B324" s="31" t="str">
        <f>IFERROR(VLOOKUP(A324,Clientes_PDV!$A$2:$J$250,2,FALSE),"")</f>
        <v/>
      </c>
      <c r="C324" s="31" t="str">
        <f>IFERROR(VLOOKUP(A324,Clientes_PDV!$A$2:$J$250,3,FALSE),"")</f>
        <v/>
      </c>
      <c r="D324" s="31" t="str">
        <f>IFERROR(VLOOKUP(A324,Clientes_PDV!$A$2:$J$250,4,FALSE),"")</f>
        <v/>
      </c>
      <c r="E324" s="24"/>
      <c r="F324" s="31" t="str">
        <f>IFERROR(VLOOKUP(E324,Maestro_SKU!$A$2:$P$500,2,FALSE),"")</f>
        <v/>
      </c>
      <c r="G324" s="29"/>
      <c r="H324" s="32" t="str">
        <f>IF(OR(G324="",E324=""),"",G324*IFERROR(VLOOKUP(E324,Maestro_SKU!$A$2:$P$500,12,FALSE),1))</f>
        <v/>
      </c>
      <c r="I324" s="25"/>
      <c r="J324" s="31" t="str">
        <f>IF(A324="","",IF(H324&lt;=Inicio!$B$16,"Crítico",IF(H324&lt;=Inicio!$B$17,"Observar","OK")))</f>
        <v/>
      </c>
      <c r="K324" s="24"/>
    </row>
    <row r="325" spans="1:11" x14ac:dyDescent="0.35">
      <c r="A325" s="24"/>
      <c r="B325" s="31" t="str">
        <f>IFERROR(VLOOKUP(A325,Clientes_PDV!$A$2:$J$250,2,FALSE),"")</f>
        <v/>
      </c>
      <c r="C325" s="31" t="str">
        <f>IFERROR(VLOOKUP(A325,Clientes_PDV!$A$2:$J$250,3,FALSE),"")</f>
        <v/>
      </c>
      <c r="D325" s="31" t="str">
        <f>IFERROR(VLOOKUP(A325,Clientes_PDV!$A$2:$J$250,4,FALSE),"")</f>
        <v/>
      </c>
      <c r="E325" s="24"/>
      <c r="F325" s="31" t="str">
        <f>IFERROR(VLOOKUP(E325,Maestro_SKU!$A$2:$P$500,2,FALSE),"")</f>
        <v/>
      </c>
      <c r="G325" s="29"/>
      <c r="H325" s="32" t="str">
        <f>IF(OR(G325="",E325=""),"",G325*IFERROR(VLOOKUP(E325,Maestro_SKU!$A$2:$P$500,12,FALSE),1))</f>
        <v/>
      </c>
      <c r="I325" s="25"/>
      <c r="J325" s="31" t="str">
        <f>IF(A325="","",IF(H325&lt;=Inicio!$B$16,"Crítico",IF(H325&lt;=Inicio!$B$17,"Observar","OK")))</f>
        <v/>
      </c>
      <c r="K325" s="24"/>
    </row>
    <row r="326" spans="1:11" x14ac:dyDescent="0.35">
      <c r="A326" s="24"/>
      <c r="B326" s="31" t="str">
        <f>IFERROR(VLOOKUP(A326,Clientes_PDV!$A$2:$J$250,2,FALSE),"")</f>
        <v/>
      </c>
      <c r="C326" s="31" t="str">
        <f>IFERROR(VLOOKUP(A326,Clientes_PDV!$A$2:$J$250,3,FALSE),"")</f>
        <v/>
      </c>
      <c r="D326" s="31" t="str">
        <f>IFERROR(VLOOKUP(A326,Clientes_PDV!$A$2:$J$250,4,FALSE),"")</f>
        <v/>
      </c>
      <c r="E326" s="24"/>
      <c r="F326" s="31" t="str">
        <f>IFERROR(VLOOKUP(E326,Maestro_SKU!$A$2:$P$500,2,FALSE),"")</f>
        <v/>
      </c>
      <c r="G326" s="29"/>
      <c r="H326" s="32" t="str">
        <f>IF(OR(G326="",E326=""),"",G326*IFERROR(VLOOKUP(E326,Maestro_SKU!$A$2:$P$500,12,FALSE),1))</f>
        <v/>
      </c>
      <c r="I326" s="25"/>
      <c r="J326" s="31" t="str">
        <f>IF(A326="","",IF(H326&lt;=Inicio!$B$16,"Crítico",IF(H326&lt;=Inicio!$B$17,"Observar","OK")))</f>
        <v/>
      </c>
      <c r="K326" s="24"/>
    </row>
    <row r="327" spans="1:11" x14ac:dyDescent="0.35">
      <c r="A327" s="24"/>
      <c r="B327" s="31" t="str">
        <f>IFERROR(VLOOKUP(A327,Clientes_PDV!$A$2:$J$250,2,FALSE),"")</f>
        <v/>
      </c>
      <c r="C327" s="31" t="str">
        <f>IFERROR(VLOOKUP(A327,Clientes_PDV!$A$2:$J$250,3,FALSE),"")</f>
        <v/>
      </c>
      <c r="D327" s="31" t="str">
        <f>IFERROR(VLOOKUP(A327,Clientes_PDV!$A$2:$J$250,4,FALSE),"")</f>
        <v/>
      </c>
      <c r="E327" s="24"/>
      <c r="F327" s="31" t="str">
        <f>IFERROR(VLOOKUP(E327,Maestro_SKU!$A$2:$P$500,2,FALSE),"")</f>
        <v/>
      </c>
      <c r="G327" s="29"/>
      <c r="H327" s="32" t="str">
        <f>IF(OR(G327="",E327=""),"",G327*IFERROR(VLOOKUP(E327,Maestro_SKU!$A$2:$P$500,12,FALSE),1))</f>
        <v/>
      </c>
      <c r="I327" s="25"/>
      <c r="J327" s="31" t="str">
        <f>IF(A327="","",IF(H327&lt;=Inicio!$B$16,"Crítico",IF(H327&lt;=Inicio!$B$17,"Observar","OK")))</f>
        <v/>
      </c>
      <c r="K327" s="24"/>
    </row>
    <row r="328" spans="1:11" x14ac:dyDescent="0.35">
      <c r="A328" s="24"/>
      <c r="B328" s="31" t="str">
        <f>IFERROR(VLOOKUP(A328,Clientes_PDV!$A$2:$J$250,2,FALSE),"")</f>
        <v/>
      </c>
      <c r="C328" s="31" t="str">
        <f>IFERROR(VLOOKUP(A328,Clientes_PDV!$A$2:$J$250,3,FALSE),"")</f>
        <v/>
      </c>
      <c r="D328" s="31" t="str">
        <f>IFERROR(VLOOKUP(A328,Clientes_PDV!$A$2:$J$250,4,FALSE),"")</f>
        <v/>
      </c>
      <c r="E328" s="24"/>
      <c r="F328" s="31" t="str">
        <f>IFERROR(VLOOKUP(E328,Maestro_SKU!$A$2:$P$500,2,FALSE),"")</f>
        <v/>
      </c>
      <c r="G328" s="29"/>
      <c r="H328" s="32" t="str">
        <f>IF(OR(G328="",E328=""),"",G328*IFERROR(VLOOKUP(E328,Maestro_SKU!$A$2:$P$500,12,FALSE),1))</f>
        <v/>
      </c>
      <c r="I328" s="25"/>
      <c r="J328" s="31" t="str">
        <f>IF(A328="","",IF(H328&lt;=Inicio!$B$16,"Crítico",IF(H328&lt;=Inicio!$B$17,"Observar","OK")))</f>
        <v/>
      </c>
      <c r="K328" s="24"/>
    </row>
    <row r="329" spans="1:11" x14ac:dyDescent="0.35">
      <c r="A329" s="24"/>
      <c r="B329" s="31" t="str">
        <f>IFERROR(VLOOKUP(A329,Clientes_PDV!$A$2:$J$250,2,FALSE),"")</f>
        <v/>
      </c>
      <c r="C329" s="31" t="str">
        <f>IFERROR(VLOOKUP(A329,Clientes_PDV!$A$2:$J$250,3,FALSE),"")</f>
        <v/>
      </c>
      <c r="D329" s="31" t="str">
        <f>IFERROR(VLOOKUP(A329,Clientes_PDV!$A$2:$J$250,4,FALSE),"")</f>
        <v/>
      </c>
      <c r="E329" s="24"/>
      <c r="F329" s="31" t="str">
        <f>IFERROR(VLOOKUP(E329,Maestro_SKU!$A$2:$P$500,2,FALSE),"")</f>
        <v/>
      </c>
      <c r="G329" s="29"/>
      <c r="H329" s="32" t="str">
        <f>IF(OR(G329="",E329=""),"",G329*IFERROR(VLOOKUP(E329,Maestro_SKU!$A$2:$P$500,12,FALSE),1))</f>
        <v/>
      </c>
      <c r="I329" s="25"/>
      <c r="J329" s="31" t="str">
        <f>IF(A329="","",IF(H329&lt;=Inicio!$B$16,"Crítico",IF(H329&lt;=Inicio!$B$17,"Observar","OK")))</f>
        <v/>
      </c>
      <c r="K329" s="24"/>
    </row>
    <row r="330" spans="1:11" x14ac:dyDescent="0.35">
      <c r="A330" s="24"/>
      <c r="B330" s="31" t="str">
        <f>IFERROR(VLOOKUP(A330,Clientes_PDV!$A$2:$J$250,2,FALSE),"")</f>
        <v/>
      </c>
      <c r="C330" s="31" t="str">
        <f>IFERROR(VLOOKUP(A330,Clientes_PDV!$A$2:$J$250,3,FALSE),"")</f>
        <v/>
      </c>
      <c r="D330" s="31" t="str">
        <f>IFERROR(VLOOKUP(A330,Clientes_PDV!$A$2:$J$250,4,FALSE),"")</f>
        <v/>
      </c>
      <c r="E330" s="24"/>
      <c r="F330" s="31" t="str">
        <f>IFERROR(VLOOKUP(E330,Maestro_SKU!$A$2:$P$500,2,FALSE),"")</f>
        <v/>
      </c>
      <c r="G330" s="29"/>
      <c r="H330" s="32" t="str">
        <f>IF(OR(G330="",E330=""),"",G330*IFERROR(VLOOKUP(E330,Maestro_SKU!$A$2:$P$500,12,FALSE),1))</f>
        <v/>
      </c>
      <c r="I330" s="25"/>
      <c r="J330" s="31" t="str">
        <f>IF(A330="","",IF(H330&lt;=Inicio!$B$16,"Crítico",IF(H330&lt;=Inicio!$B$17,"Observar","OK")))</f>
        <v/>
      </c>
      <c r="K330" s="24"/>
    </row>
    <row r="331" spans="1:11" x14ac:dyDescent="0.35">
      <c r="A331" s="24"/>
      <c r="B331" s="31" t="str">
        <f>IFERROR(VLOOKUP(A331,Clientes_PDV!$A$2:$J$250,2,FALSE),"")</f>
        <v/>
      </c>
      <c r="C331" s="31" t="str">
        <f>IFERROR(VLOOKUP(A331,Clientes_PDV!$A$2:$J$250,3,FALSE),"")</f>
        <v/>
      </c>
      <c r="D331" s="31" t="str">
        <f>IFERROR(VLOOKUP(A331,Clientes_PDV!$A$2:$J$250,4,FALSE),"")</f>
        <v/>
      </c>
      <c r="E331" s="24"/>
      <c r="F331" s="31" t="str">
        <f>IFERROR(VLOOKUP(E331,Maestro_SKU!$A$2:$P$500,2,FALSE),"")</f>
        <v/>
      </c>
      <c r="G331" s="29"/>
      <c r="H331" s="32" t="str">
        <f>IF(OR(G331="",E331=""),"",G331*IFERROR(VLOOKUP(E331,Maestro_SKU!$A$2:$P$500,12,FALSE),1))</f>
        <v/>
      </c>
      <c r="I331" s="25"/>
      <c r="J331" s="31" t="str">
        <f>IF(A331="","",IF(H331&lt;=Inicio!$B$16,"Crítico",IF(H331&lt;=Inicio!$B$17,"Observar","OK")))</f>
        <v/>
      </c>
      <c r="K331" s="24"/>
    </row>
    <row r="332" spans="1:11" x14ac:dyDescent="0.35">
      <c r="A332" s="24"/>
      <c r="B332" s="31" t="str">
        <f>IFERROR(VLOOKUP(A332,Clientes_PDV!$A$2:$J$250,2,FALSE),"")</f>
        <v/>
      </c>
      <c r="C332" s="31" t="str">
        <f>IFERROR(VLOOKUP(A332,Clientes_PDV!$A$2:$J$250,3,FALSE),"")</f>
        <v/>
      </c>
      <c r="D332" s="31" t="str">
        <f>IFERROR(VLOOKUP(A332,Clientes_PDV!$A$2:$J$250,4,FALSE),"")</f>
        <v/>
      </c>
      <c r="E332" s="24"/>
      <c r="F332" s="31" t="str">
        <f>IFERROR(VLOOKUP(E332,Maestro_SKU!$A$2:$P$500,2,FALSE),"")</f>
        <v/>
      </c>
      <c r="G332" s="29"/>
      <c r="H332" s="32" t="str">
        <f>IF(OR(G332="",E332=""),"",G332*IFERROR(VLOOKUP(E332,Maestro_SKU!$A$2:$P$500,12,FALSE),1))</f>
        <v/>
      </c>
      <c r="I332" s="25"/>
      <c r="J332" s="31" t="str">
        <f>IF(A332="","",IF(H332&lt;=Inicio!$B$16,"Crítico",IF(H332&lt;=Inicio!$B$17,"Observar","OK")))</f>
        <v/>
      </c>
      <c r="K332" s="24"/>
    </row>
    <row r="333" spans="1:11" x14ac:dyDescent="0.35">
      <c r="A333" s="24"/>
      <c r="B333" s="31" t="str">
        <f>IFERROR(VLOOKUP(A333,Clientes_PDV!$A$2:$J$250,2,FALSE),"")</f>
        <v/>
      </c>
      <c r="C333" s="31" t="str">
        <f>IFERROR(VLOOKUP(A333,Clientes_PDV!$A$2:$J$250,3,FALSE),"")</f>
        <v/>
      </c>
      <c r="D333" s="31" t="str">
        <f>IFERROR(VLOOKUP(A333,Clientes_PDV!$A$2:$J$250,4,FALSE),"")</f>
        <v/>
      </c>
      <c r="E333" s="24"/>
      <c r="F333" s="31" t="str">
        <f>IFERROR(VLOOKUP(E333,Maestro_SKU!$A$2:$P$500,2,FALSE),"")</f>
        <v/>
      </c>
      <c r="G333" s="29"/>
      <c r="H333" s="32" t="str">
        <f>IF(OR(G333="",E333=""),"",G333*IFERROR(VLOOKUP(E333,Maestro_SKU!$A$2:$P$500,12,FALSE),1))</f>
        <v/>
      </c>
      <c r="I333" s="25"/>
      <c r="J333" s="31" t="str">
        <f>IF(A333="","",IF(H333&lt;=Inicio!$B$16,"Crítico",IF(H333&lt;=Inicio!$B$17,"Observar","OK")))</f>
        <v/>
      </c>
      <c r="K333" s="24"/>
    </row>
    <row r="334" spans="1:11" x14ac:dyDescent="0.35">
      <c r="A334" s="24"/>
      <c r="B334" s="31" t="str">
        <f>IFERROR(VLOOKUP(A334,Clientes_PDV!$A$2:$J$250,2,FALSE),"")</f>
        <v/>
      </c>
      <c r="C334" s="31" t="str">
        <f>IFERROR(VLOOKUP(A334,Clientes_PDV!$A$2:$J$250,3,FALSE),"")</f>
        <v/>
      </c>
      <c r="D334" s="31" t="str">
        <f>IFERROR(VLOOKUP(A334,Clientes_PDV!$A$2:$J$250,4,FALSE),"")</f>
        <v/>
      </c>
      <c r="E334" s="24"/>
      <c r="F334" s="31" t="str">
        <f>IFERROR(VLOOKUP(E334,Maestro_SKU!$A$2:$P$500,2,FALSE),"")</f>
        <v/>
      </c>
      <c r="G334" s="29"/>
      <c r="H334" s="32" t="str">
        <f>IF(OR(G334="",E334=""),"",G334*IFERROR(VLOOKUP(E334,Maestro_SKU!$A$2:$P$500,12,FALSE),1))</f>
        <v/>
      </c>
      <c r="I334" s="25"/>
      <c r="J334" s="31" t="str">
        <f>IF(A334="","",IF(H334&lt;=Inicio!$B$16,"Crítico",IF(H334&lt;=Inicio!$B$17,"Observar","OK")))</f>
        <v/>
      </c>
      <c r="K334" s="24"/>
    </row>
    <row r="335" spans="1:11" x14ac:dyDescent="0.35">
      <c r="A335" s="24"/>
      <c r="B335" s="31" t="str">
        <f>IFERROR(VLOOKUP(A335,Clientes_PDV!$A$2:$J$250,2,FALSE),"")</f>
        <v/>
      </c>
      <c r="C335" s="31" t="str">
        <f>IFERROR(VLOOKUP(A335,Clientes_PDV!$A$2:$J$250,3,FALSE),"")</f>
        <v/>
      </c>
      <c r="D335" s="31" t="str">
        <f>IFERROR(VLOOKUP(A335,Clientes_PDV!$A$2:$J$250,4,FALSE),"")</f>
        <v/>
      </c>
      <c r="E335" s="24"/>
      <c r="F335" s="31" t="str">
        <f>IFERROR(VLOOKUP(E335,Maestro_SKU!$A$2:$P$500,2,FALSE),"")</f>
        <v/>
      </c>
      <c r="G335" s="29"/>
      <c r="H335" s="32" t="str">
        <f>IF(OR(G335="",E335=""),"",G335*IFERROR(VLOOKUP(E335,Maestro_SKU!$A$2:$P$500,12,FALSE),1))</f>
        <v/>
      </c>
      <c r="I335" s="25"/>
      <c r="J335" s="31" t="str">
        <f>IF(A335="","",IF(H335&lt;=Inicio!$B$16,"Crítico",IF(H335&lt;=Inicio!$B$17,"Observar","OK")))</f>
        <v/>
      </c>
      <c r="K335" s="24"/>
    </row>
    <row r="336" spans="1:11" x14ac:dyDescent="0.35">
      <c r="A336" s="24"/>
      <c r="B336" s="31" t="str">
        <f>IFERROR(VLOOKUP(A336,Clientes_PDV!$A$2:$J$250,2,FALSE),"")</f>
        <v/>
      </c>
      <c r="C336" s="31" t="str">
        <f>IFERROR(VLOOKUP(A336,Clientes_PDV!$A$2:$J$250,3,FALSE),"")</f>
        <v/>
      </c>
      <c r="D336" s="31" t="str">
        <f>IFERROR(VLOOKUP(A336,Clientes_PDV!$A$2:$J$250,4,FALSE),"")</f>
        <v/>
      </c>
      <c r="E336" s="24"/>
      <c r="F336" s="31" t="str">
        <f>IFERROR(VLOOKUP(E336,Maestro_SKU!$A$2:$P$500,2,FALSE),"")</f>
        <v/>
      </c>
      <c r="G336" s="29"/>
      <c r="H336" s="32" t="str">
        <f>IF(OR(G336="",E336=""),"",G336*IFERROR(VLOOKUP(E336,Maestro_SKU!$A$2:$P$500,12,FALSE),1))</f>
        <v/>
      </c>
      <c r="I336" s="25"/>
      <c r="J336" s="31" t="str">
        <f>IF(A336="","",IF(H336&lt;=Inicio!$B$16,"Crítico",IF(H336&lt;=Inicio!$B$17,"Observar","OK")))</f>
        <v/>
      </c>
      <c r="K336" s="24"/>
    </row>
    <row r="337" spans="1:11" x14ac:dyDescent="0.35">
      <c r="A337" s="24"/>
      <c r="B337" s="31" t="str">
        <f>IFERROR(VLOOKUP(A337,Clientes_PDV!$A$2:$J$250,2,FALSE),"")</f>
        <v/>
      </c>
      <c r="C337" s="31" t="str">
        <f>IFERROR(VLOOKUP(A337,Clientes_PDV!$A$2:$J$250,3,FALSE),"")</f>
        <v/>
      </c>
      <c r="D337" s="31" t="str">
        <f>IFERROR(VLOOKUP(A337,Clientes_PDV!$A$2:$J$250,4,FALSE),"")</f>
        <v/>
      </c>
      <c r="E337" s="24"/>
      <c r="F337" s="31" t="str">
        <f>IFERROR(VLOOKUP(E337,Maestro_SKU!$A$2:$P$500,2,FALSE),"")</f>
        <v/>
      </c>
      <c r="G337" s="29"/>
      <c r="H337" s="32" t="str">
        <f>IF(OR(G337="",E337=""),"",G337*IFERROR(VLOOKUP(E337,Maestro_SKU!$A$2:$P$500,12,FALSE),1))</f>
        <v/>
      </c>
      <c r="I337" s="25"/>
      <c r="J337" s="31" t="str">
        <f>IF(A337="","",IF(H337&lt;=Inicio!$B$16,"Crítico",IF(H337&lt;=Inicio!$B$17,"Observar","OK")))</f>
        <v/>
      </c>
      <c r="K337" s="24"/>
    </row>
    <row r="338" spans="1:11" x14ac:dyDescent="0.35">
      <c r="A338" s="24"/>
      <c r="B338" s="31" t="str">
        <f>IFERROR(VLOOKUP(A338,Clientes_PDV!$A$2:$J$250,2,FALSE),"")</f>
        <v/>
      </c>
      <c r="C338" s="31" t="str">
        <f>IFERROR(VLOOKUP(A338,Clientes_PDV!$A$2:$J$250,3,FALSE),"")</f>
        <v/>
      </c>
      <c r="D338" s="31" t="str">
        <f>IFERROR(VLOOKUP(A338,Clientes_PDV!$A$2:$J$250,4,FALSE),"")</f>
        <v/>
      </c>
      <c r="E338" s="24"/>
      <c r="F338" s="31" t="str">
        <f>IFERROR(VLOOKUP(E338,Maestro_SKU!$A$2:$P$500,2,FALSE),"")</f>
        <v/>
      </c>
      <c r="G338" s="29"/>
      <c r="H338" s="32" t="str">
        <f>IF(OR(G338="",E338=""),"",G338*IFERROR(VLOOKUP(E338,Maestro_SKU!$A$2:$P$500,12,FALSE),1))</f>
        <v/>
      </c>
      <c r="I338" s="25"/>
      <c r="J338" s="31" t="str">
        <f>IF(A338="","",IF(H338&lt;=Inicio!$B$16,"Crítico",IF(H338&lt;=Inicio!$B$17,"Observar","OK")))</f>
        <v/>
      </c>
      <c r="K338" s="24"/>
    </row>
    <row r="339" spans="1:11" x14ac:dyDescent="0.35">
      <c r="A339" s="24"/>
      <c r="B339" s="31" t="str">
        <f>IFERROR(VLOOKUP(A339,Clientes_PDV!$A$2:$J$250,2,FALSE),"")</f>
        <v/>
      </c>
      <c r="C339" s="31" t="str">
        <f>IFERROR(VLOOKUP(A339,Clientes_PDV!$A$2:$J$250,3,FALSE),"")</f>
        <v/>
      </c>
      <c r="D339" s="31" t="str">
        <f>IFERROR(VLOOKUP(A339,Clientes_PDV!$A$2:$J$250,4,FALSE),"")</f>
        <v/>
      </c>
      <c r="E339" s="24"/>
      <c r="F339" s="31" t="str">
        <f>IFERROR(VLOOKUP(E339,Maestro_SKU!$A$2:$P$500,2,FALSE),"")</f>
        <v/>
      </c>
      <c r="G339" s="29"/>
      <c r="H339" s="32" t="str">
        <f>IF(OR(G339="",E339=""),"",G339*IFERROR(VLOOKUP(E339,Maestro_SKU!$A$2:$P$500,12,FALSE),1))</f>
        <v/>
      </c>
      <c r="I339" s="25"/>
      <c r="J339" s="31" t="str">
        <f>IF(A339="","",IF(H339&lt;=Inicio!$B$16,"Crítico",IF(H339&lt;=Inicio!$B$17,"Observar","OK")))</f>
        <v/>
      </c>
      <c r="K339" s="24"/>
    </row>
    <row r="340" spans="1:11" x14ac:dyDescent="0.35">
      <c r="A340" s="24"/>
      <c r="B340" s="31" t="str">
        <f>IFERROR(VLOOKUP(A340,Clientes_PDV!$A$2:$J$250,2,FALSE),"")</f>
        <v/>
      </c>
      <c r="C340" s="31" t="str">
        <f>IFERROR(VLOOKUP(A340,Clientes_PDV!$A$2:$J$250,3,FALSE),"")</f>
        <v/>
      </c>
      <c r="D340" s="31" t="str">
        <f>IFERROR(VLOOKUP(A340,Clientes_PDV!$A$2:$J$250,4,FALSE),"")</f>
        <v/>
      </c>
      <c r="E340" s="24"/>
      <c r="F340" s="31" t="str">
        <f>IFERROR(VLOOKUP(E340,Maestro_SKU!$A$2:$P$500,2,FALSE),"")</f>
        <v/>
      </c>
      <c r="G340" s="29"/>
      <c r="H340" s="32" t="str">
        <f>IF(OR(G340="",E340=""),"",G340*IFERROR(VLOOKUP(E340,Maestro_SKU!$A$2:$P$500,12,FALSE),1))</f>
        <v/>
      </c>
      <c r="I340" s="25"/>
      <c r="J340" s="31" t="str">
        <f>IF(A340="","",IF(H340&lt;=Inicio!$B$16,"Crítico",IF(H340&lt;=Inicio!$B$17,"Observar","OK")))</f>
        <v/>
      </c>
      <c r="K340" s="24"/>
    </row>
    <row r="341" spans="1:11" x14ac:dyDescent="0.35">
      <c r="A341" s="24"/>
      <c r="B341" s="31" t="str">
        <f>IFERROR(VLOOKUP(A341,Clientes_PDV!$A$2:$J$250,2,FALSE),"")</f>
        <v/>
      </c>
      <c r="C341" s="31" t="str">
        <f>IFERROR(VLOOKUP(A341,Clientes_PDV!$A$2:$J$250,3,FALSE),"")</f>
        <v/>
      </c>
      <c r="D341" s="31" t="str">
        <f>IFERROR(VLOOKUP(A341,Clientes_PDV!$A$2:$J$250,4,FALSE),"")</f>
        <v/>
      </c>
      <c r="E341" s="24"/>
      <c r="F341" s="31" t="str">
        <f>IFERROR(VLOOKUP(E341,Maestro_SKU!$A$2:$P$500,2,FALSE),"")</f>
        <v/>
      </c>
      <c r="G341" s="29"/>
      <c r="H341" s="32" t="str">
        <f>IF(OR(G341="",E341=""),"",G341*IFERROR(VLOOKUP(E341,Maestro_SKU!$A$2:$P$500,12,FALSE),1))</f>
        <v/>
      </c>
      <c r="I341" s="25"/>
      <c r="J341" s="31" t="str">
        <f>IF(A341="","",IF(H341&lt;=Inicio!$B$16,"Crítico",IF(H341&lt;=Inicio!$B$17,"Observar","OK")))</f>
        <v/>
      </c>
      <c r="K341" s="24"/>
    </row>
    <row r="342" spans="1:11" x14ac:dyDescent="0.35">
      <c r="A342" s="24"/>
      <c r="B342" s="31" t="str">
        <f>IFERROR(VLOOKUP(A342,Clientes_PDV!$A$2:$J$250,2,FALSE),"")</f>
        <v/>
      </c>
      <c r="C342" s="31" t="str">
        <f>IFERROR(VLOOKUP(A342,Clientes_PDV!$A$2:$J$250,3,FALSE),"")</f>
        <v/>
      </c>
      <c r="D342" s="31" t="str">
        <f>IFERROR(VLOOKUP(A342,Clientes_PDV!$A$2:$J$250,4,FALSE),"")</f>
        <v/>
      </c>
      <c r="E342" s="24"/>
      <c r="F342" s="31" t="str">
        <f>IFERROR(VLOOKUP(E342,Maestro_SKU!$A$2:$P$500,2,FALSE),"")</f>
        <v/>
      </c>
      <c r="G342" s="29"/>
      <c r="H342" s="32" t="str">
        <f>IF(OR(G342="",E342=""),"",G342*IFERROR(VLOOKUP(E342,Maestro_SKU!$A$2:$P$500,12,FALSE),1))</f>
        <v/>
      </c>
      <c r="I342" s="25"/>
      <c r="J342" s="31" t="str">
        <f>IF(A342="","",IF(H342&lt;=Inicio!$B$16,"Crítico",IF(H342&lt;=Inicio!$B$17,"Observar","OK")))</f>
        <v/>
      </c>
      <c r="K342" s="24"/>
    </row>
    <row r="343" spans="1:11" x14ac:dyDescent="0.35">
      <c r="A343" s="24"/>
      <c r="B343" s="31" t="str">
        <f>IFERROR(VLOOKUP(A343,Clientes_PDV!$A$2:$J$250,2,FALSE),"")</f>
        <v/>
      </c>
      <c r="C343" s="31" t="str">
        <f>IFERROR(VLOOKUP(A343,Clientes_PDV!$A$2:$J$250,3,FALSE),"")</f>
        <v/>
      </c>
      <c r="D343" s="31" t="str">
        <f>IFERROR(VLOOKUP(A343,Clientes_PDV!$A$2:$J$250,4,FALSE),"")</f>
        <v/>
      </c>
      <c r="E343" s="24"/>
      <c r="F343" s="31" t="str">
        <f>IFERROR(VLOOKUP(E343,Maestro_SKU!$A$2:$P$500,2,FALSE),"")</f>
        <v/>
      </c>
      <c r="G343" s="29"/>
      <c r="H343" s="32" t="str">
        <f>IF(OR(G343="",E343=""),"",G343*IFERROR(VLOOKUP(E343,Maestro_SKU!$A$2:$P$500,12,FALSE),1))</f>
        <v/>
      </c>
      <c r="I343" s="25"/>
      <c r="J343" s="31" t="str">
        <f>IF(A343="","",IF(H343&lt;=Inicio!$B$16,"Crítico",IF(H343&lt;=Inicio!$B$17,"Observar","OK")))</f>
        <v/>
      </c>
      <c r="K343" s="24"/>
    </row>
    <row r="344" spans="1:11" x14ac:dyDescent="0.35">
      <c r="A344" s="24"/>
      <c r="B344" s="31" t="str">
        <f>IFERROR(VLOOKUP(A344,Clientes_PDV!$A$2:$J$250,2,FALSE),"")</f>
        <v/>
      </c>
      <c r="C344" s="31" t="str">
        <f>IFERROR(VLOOKUP(A344,Clientes_PDV!$A$2:$J$250,3,FALSE),"")</f>
        <v/>
      </c>
      <c r="D344" s="31" t="str">
        <f>IFERROR(VLOOKUP(A344,Clientes_PDV!$A$2:$J$250,4,FALSE),"")</f>
        <v/>
      </c>
      <c r="E344" s="24"/>
      <c r="F344" s="31" t="str">
        <f>IFERROR(VLOOKUP(E344,Maestro_SKU!$A$2:$P$500,2,FALSE),"")</f>
        <v/>
      </c>
      <c r="G344" s="29"/>
      <c r="H344" s="32" t="str">
        <f>IF(OR(G344="",E344=""),"",G344*IFERROR(VLOOKUP(E344,Maestro_SKU!$A$2:$P$500,12,FALSE),1))</f>
        <v/>
      </c>
      <c r="I344" s="25"/>
      <c r="J344" s="31" t="str">
        <f>IF(A344="","",IF(H344&lt;=Inicio!$B$16,"Crítico",IF(H344&lt;=Inicio!$B$17,"Observar","OK")))</f>
        <v/>
      </c>
      <c r="K344" s="24"/>
    </row>
    <row r="345" spans="1:11" x14ac:dyDescent="0.35">
      <c r="A345" s="24"/>
      <c r="B345" s="31" t="str">
        <f>IFERROR(VLOOKUP(A345,Clientes_PDV!$A$2:$J$250,2,FALSE),"")</f>
        <v/>
      </c>
      <c r="C345" s="31" t="str">
        <f>IFERROR(VLOOKUP(A345,Clientes_PDV!$A$2:$J$250,3,FALSE),"")</f>
        <v/>
      </c>
      <c r="D345" s="31" t="str">
        <f>IFERROR(VLOOKUP(A345,Clientes_PDV!$A$2:$J$250,4,FALSE),"")</f>
        <v/>
      </c>
      <c r="E345" s="24"/>
      <c r="F345" s="31" t="str">
        <f>IFERROR(VLOOKUP(E345,Maestro_SKU!$A$2:$P$500,2,FALSE),"")</f>
        <v/>
      </c>
      <c r="G345" s="29"/>
      <c r="H345" s="32" t="str">
        <f>IF(OR(G345="",E345=""),"",G345*IFERROR(VLOOKUP(E345,Maestro_SKU!$A$2:$P$500,12,FALSE),1))</f>
        <v/>
      </c>
      <c r="I345" s="25"/>
      <c r="J345" s="31" t="str">
        <f>IF(A345="","",IF(H345&lt;=Inicio!$B$16,"Crítico",IF(H345&lt;=Inicio!$B$17,"Observar","OK")))</f>
        <v/>
      </c>
      <c r="K345" s="24"/>
    </row>
    <row r="346" spans="1:11" x14ac:dyDescent="0.35">
      <c r="A346" s="24"/>
      <c r="B346" s="31" t="str">
        <f>IFERROR(VLOOKUP(A346,Clientes_PDV!$A$2:$J$250,2,FALSE),"")</f>
        <v/>
      </c>
      <c r="C346" s="31" t="str">
        <f>IFERROR(VLOOKUP(A346,Clientes_PDV!$A$2:$J$250,3,FALSE),"")</f>
        <v/>
      </c>
      <c r="D346" s="31" t="str">
        <f>IFERROR(VLOOKUP(A346,Clientes_PDV!$A$2:$J$250,4,FALSE),"")</f>
        <v/>
      </c>
      <c r="E346" s="24"/>
      <c r="F346" s="31" t="str">
        <f>IFERROR(VLOOKUP(E346,Maestro_SKU!$A$2:$P$500,2,FALSE),"")</f>
        <v/>
      </c>
      <c r="G346" s="29"/>
      <c r="H346" s="32" t="str">
        <f>IF(OR(G346="",E346=""),"",G346*IFERROR(VLOOKUP(E346,Maestro_SKU!$A$2:$P$500,12,FALSE),1))</f>
        <v/>
      </c>
      <c r="I346" s="25"/>
      <c r="J346" s="31" t="str">
        <f>IF(A346="","",IF(H346&lt;=Inicio!$B$16,"Crítico",IF(H346&lt;=Inicio!$B$17,"Observar","OK")))</f>
        <v/>
      </c>
      <c r="K346" s="24"/>
    </row>
    <row r="347" spans="1:11" x14ac:dyDescent="0.35">
      <c r="A347" s="24"/>
      <c r="B347" s="31" t="str">
        <f>IFERROR(VLOOKUP(A347,Clientes_PDV!$A$2:$J$250,2,FALSE),"")</f>
        <v/>
      </c>
      <c r="C347" s="31" t="str">
        <f>IFERROR(VLOOKUP(A347,Clientes_PDV!$A$2:$J$250,3,FALSE),"")</f>
        <v/>
      </c>
      <c r="D347" s="31" t="str">
        <f>IFERROR(VLOOKUP(A347,Clientes_PDV!$A$2:$J$250,4,FALSE),"")</f>
        <v/>
      </c>
      <c r="E347" s="24"/>
      <c r="F347" s="31" t="str">
        <f>IFERROR(VLOOKUP(E347,Maestro_SKU!$A$2:$P$500,2,FALSE),"")</f>
        <v/>
      </c>
      <c r="G347" s="29"/>
      <c r="H347" s="32" t="str">
        <f>IF(OR(G347="",E347=""),"",G347*IFERROR(VLOOKUP(E347,Maestro_SKU!$A$2:$P$500,12,FALSE),1))</f>
        <v/>
      </c>
      <c r="I347" s="25"/>
      <c r="J347" s="31" t="str">
        <f>IF(A347="","",IF(H347&lt;=Inicio!$B$16,"Crítico",IF(H347&lt;=Inicio!$B$17,"Observar","OK")))</f>
        <v/>
      </c>
      <c r="K347" s="24"/>
    </row>
    <row r="348" spans="1:11" x14ac:dyDescent="0.35">
      <c r="A348" s="24"/>
      <c r="B348" s="31" t="str">
        <f>IFERROR(VLOOKUP(A348,Clientes_PDV!$A$2:$J$250,2,FALSE),"")</f>
        <v/>
      </c>
      <c r="C348" s="31" t="str">
        <f>IFERROR(VLOOKUP(A348,Clientes_PDV!$A$2:$J$250,3,FALSE),"")</f>
        <v/>
      </c>
      <c r="D348" s="31" t="str">
        <f>IFERROR(VLOOKUP(A348,Clientes_PDV!$A$2:$J$250,4,FALSE),"")</f>
        <v/>
      </c>
      <c r="E348" s="24"/>
      <c r="F348" s="31" t="str">
        <f>IFERROR(VLOOKUP(E348,Maestro_SKU!$A$2:$P$500,2,FALSE),"")</f>
        <v/>
      </c>
      <c r="G348" s="29"/>
      <c r="H348" s="32" t="str">
        <f>IF(OR(G348="",E348=""),"",G348*IFERROR(VLOOKUP(E348,Maestro_SKU!$A$2:$P$500,12,FALSE),1))</f>
        <v/>
      </c>
      <c r="I348" s="25"/>
      <c r="J348" s="31" t="str">
        <f>IF(A348="","",IF(H348&lt;=Inicio!$B$16,"Crítico",IF(H348&lt;=Inicio!$B$17,"Observar","OK")))</f>
        <v/>
      </c>
      <c r="K348" s="24"/>
    </row>
    <row r="349" spans="1:11" x14ac:dyDescent="0.35">
      <c r="A349" s="24"/>
      <c r="B349" s="31" t="str">
        <f>IFERROR(VLOOKUP(A349,Clientes_PDV!$A$2:$J$250,2,FALSE),"")</f>
        <v/>
      </c>
      <c r="C349" s="31" t="str">
        <f>IFERROR(VLOOKUP(A349,Clientes_PDV!$A$2:$J$250,3,FALSE),"")</f>
        <v/>
      </c>
      <c r="D349" s="31" t="str">
        <f>IFERROR(VLOOKUP(A349,Clientes_PDV!$A$2:$J$250,4,FALSE),"")</f>
        <v/>
      </c>
      <c r="E349" s="24"/>
      <c r="F349" s="31" t="str">
        <f>IFERROR(VLOOKUP(E349,Maestro_SKU!$A$2:$P$500,2,FALSE),"")</f>
        <v/>
      </c>
      <c r="G349" s="29"/>
      <c r="H349" s="32" t="str">
        <f>IF(OR(G349="",E349=""),"",G349*IFERROR(VLOOKUP(E349,Maestro_SKU!$A$2:$P$500,12,FALSE),1))</f>
        <v/>
      </c>
      <c r="I349" s="25"/>
      <c r="J349" s="31" t="str">
        <f>IF(A349="","",IF(H349&lt;=Inicio!$B$16,"Crítico",IF(H349&lt;=Inicio!$B$17,"Observar","OK")))</f>
        <v/>
      </c>
      <c r="K349" s="24"/>
    </row>
    <row r="350" spans="1:11" x14ac:dyDescent="0.35">
      <c r="A350" s="24"/>
      <c r="B350" s="31" t="str">
        <f>IFERROR(VLOOKUP(A350,Clientes_PDV!$A$2:$J$250,2,FALSE),"")</f>
        <v/>
      </c>
      <c r="C350" s="31" t="str">
        <f>IFERROR(VLOOKUP(A350,Clientes_PDV!$A$2:$J$250,3,FALSE),"")</f>
        <v/>
      </c>
      <c r="D350" s="31" t="str">
        <f>IFERROR(VLOOKUP(A350,Clientes_PDV!$A$2:$J$250,4,FALSE),"")</f>
        <v/>
      </c>
      <c r="E350" s="24"/>
      <c r="F350" s="31" t="str">
        <f>IFERROR(VLOOKUP(E350,Maestro_SKU!$A$2:$P$500,2,FALSE),"")</f>
        <v/>
      </c>
      <c r="G350" s="29"/>
      <c r="H350" s="32" t="str">
        <f>IF(OR(G350="",E350=""),"",G350*IFERROR(VLOOKUP(E350,Maestro_SKU!$A$2:$P$500,12,FALSE),1))</f>
        <v/>
      </c>
      <c r="I350" s="25"/>
      <c r="J350" s="31" t="str">
        <f>IF(A350="","",IF(H350&lt;=Inicio!$B$16,"Crítico",IF(H350&lt;=Inicio!$B$17,"Observar","OK")))</f>
        <v/>
      </c>
      <c r="K350" s="24"/>
    </row>
    <row r="351" spans="1:11" x14ac:dyDescent="0.35">
      <c r="A351" s="24"/>
      <c r="B351" s="31" t="str">
        <f>IFERROR(VLOOKUP(A351,Clientes_PDV!$A$2:$J$250,2,FALSE),"")</f>
        <v/>
      </c>
      <c r="C351" s="31" t="str">
        <f>IFERROR(VLOOKUP(A351,Clientes_PDV!$A$2:$J$250,3,FALSE),"")</f>
        <v/>
      </c>
      <c r="D351" s="31" t="str">
        <f>IFERROR(VLOOKUP(A351,Clientes_PDV!$A$2:$J$250,4,FALSE),"")</f>
        <v/>
      </c>
      <c r="E351" s="24"/>
      <c r="F351" s="31" t="str">
        <f>IFERROR(VLOOKUP(E351,Maestro_SKU!$A$2:$P$500,2,FALSE),"")</f>
        <v/>
      </c>
      <c r="G351" s="29"/>
      <c r="H351" s="32" t="str">
        <f>IF(OR(G351="",E351=""),"",G351*IFERROR(VLOOKUP(E351,Maestro_SKU!$A$2:$P$500,12,FALSE),1))</f>
        <v/>
      </c>
      <c r="I351" s="25"/>
      <c r="J351" s="31" t="str">
        <f>IF(A351="","",IF(H351&lt;=Inicio!$B$16,"Crítico",IF(H351&lt;=Inicio!$B$17,"Observar","OK")))</f>
        <v/>
      </c>
      <c r="K351" s="24"/>
    </row>
    <row r="352" spans="1:11" x14ac:dyDescent="0.35">
      <c r="A352" s="24"/>
      <c r="B352" s="31" t="str">
        <f>IFERROR(VLOOKUP(A352,Clientes_PDV!$A$2:$J$250,2,FALSE),"")</f>
        <v/>
      </c>
      <c r="C352" s="31" t="str">
        <f>IFERROR(VLOOKUP(A352,Clientes_PDV!$A$2:$J$250,3,FALSE),"")</f>
        <v/>
      </c>
      <c r="D352" s="31" t="str">
        <f>IFERROR(VLOOKUP(A352,Clientes_PDV!$A$2:$J$250,4,FALSE),"")</f>
        <v/>
      </c>
      <c r="E352" s="24"/>
      <c r="F352" s="31" t="str">
        <f>IFERROR(VLOOKUP(E352,Maestro_SKU!$A$2:$P$500,2,FALSE),"")</f>
        <v/>
      </c>
      <c r="G352" s="29"/>
      <c r="H352" s="32" t="str">
        <f>IF(OR(G352="",E352=""),"",G352*IFERROR(VLOOKUP(E352,Maestro_SKU!$A$2:$P$500,12,FALSE),1))</f>
        <v/>
      </c>
      <c r="I352" s="25"/>
      <c r="J352" s="31" t="str">
        <f>IF(A352="","",IF(H352&lt;=Inicio!$B$16,"Crítico",IF(H352&lt;=Inicio!$B$17,"Observar","OK")))</f>
        <v/>
      </c>
      <c r="K352" s="24"/>
    </row>
    <row r="353" spans="1:11" x14ac:dyDescent="0.35">
      <c r="A353" s="24"/>
      <c r="B353" s="31" t="str">
        <f>IFERROR(VLOOKUP(A353,Clientes_PDV!$A$2:$J$250,2,FALSE),"")</f>
        <v/>
      </c>
      <c r="C353" s="31" t="str">
        <f>IFERROR(VLOOKUP(A353,Clientes_PDV!$A$2:$J$250,3,FALSE),"")</f>
        <v/>
      </c>
      <c r="D353" s="31" t="str">
        <f>IFERROR(VLOOKUP(A353,Clientes_PDV!$A$2:$J$250,4,FALSE),"")</f>
        <v/>
      </c>
      <c r="E353" s="24"/>
      <c r="F353" s="31" t="str">
        <f>IFERROR(VLOOKUP(E353,Maestro_SKU!$A$2:$P$500,2,FALSE),"")</f>
        <v/>
      </c>
      <c r="G353" s="29"/>
      <c r="H353" s="32" t="str">
        <f>IF(OR(G353="",E353=""),"",G353*IFERROR(VLOOKUP(E353,Maestro_SKU!$A$2:$P$500,12,FALSE),1))</f>
        <v/>
      </c>
      <c r="I353" s="25"/>
      <c r="J353" s="31" t="str">
        <f>IF(A353="","",IF(H353&lt;=Inicio!$B$16,"Crítico",IF(H353&lt;=Inicio!$B$17,"Observar","OK")))</f>
        <v/>
      </c>
      <c r="K353" s="24"/>
    </row>
    <row r="354" spans="1:11" x14ac:dyDescent="0.35">
      <c r="A354" s="24"/>
      <c r="B354" s="31" t="str">
        <f>IFERROR(VLOOKUP(A354,Clientes_PDV!$A$2:$J$250,2,FALSE),"")</f>
        <v/>
      </c>
      <c r="C354" s="31" t="str">
        <f>IFERROR(VLOOKUP(A354,Clientes_PDV!$A$2:$J$250,3,FALSE),"")</f>
        <v/>
      </c>
      <c r="D354" s="31" t="str">
        <f>IFERROR(VLOOKUP(A354,Clientes_PDV!$A$2:$J$250,4,FALSE),"")</f>
        <v/>
      </c>
      <c r="E354" s="24"/>
      <c r="F354" s="31" t="str">
        <f>IFERROR(VLOOKUP(E354,Maestro_SKU!$A$2:$P$500,2,FALSE),"")</f>
        <v/>
      </c>
      <c r="G354" s="29"/>
      <c r="H354" s="32" t="str">
        <f>IF(OR(G354="",E354=""),"",G354*IFERROR(VLOOKUP(E354,Maestro_SKU!$A$2:$P$500,12,FALSE),1))</f>
        <v/>
      </c>
      <c r="I354" s="25"/>
      <c r="J354" s="31" t="str">
        <f>IF(A354="","",IF(H354&lt;=Inicio!$B$16,"Crítico",IF(H354&lt;=Inicio!$B$17,"Observar","OK")))</f>
        <v/>
      </c>
      <c r="K354" s="24"/>
    </row>
    <row r="355" spans="1:11" x14ac:dyDescent="0.35">
      <c r="A355" s="24"/>
      <c r="B355" s="31" t="str">
        <f>IFERROR(VLOOKUP(A355,Clientes_PDV!$A$2:$J$250,2,FALSE),"")</f>
        <v/>
      </c>
      <c r="C355" s="31" t="str">
        <f>IFERROR(VLOOKUP(A355,Clientes_PDV!$A$2:$J$250,3,FALSE),"")</f>
        <v/>
      </c>
      <c r="D355" s="31" t="str">
        <f>IFERROR(VLOOKUP(A355,Clientes_PDV!$A$2:$J$250,4,FALSE),"")</f>
        <v/>
      </c>
      <c r="E355" s="24"/>
      <c r="F355" s="31" t="str">
        <f>IFERROR(VLOOKUP(E355,Maestro_SKU!$A$2:$P$500,2,FALSE),"")</f>
        <v/>
      </c>
      <c r="G355" s="29"/>
      <c r="H355" s="32" t="str">
        <f>IF(OR(G355="",E355=""),"",G355*IFERROR(VLOOKUP(E355,Maestro_SKU!$A$2:$P$500,12,FALSE),1))</f>
        <v/>
      </c>
      <c r="I355" s="25"/>
      <c r="J355" s="31" t="str">
        <f>IF(A355="","",IF(H355&lt;=Inicio!$B$16,"Crítico",IF(H355&lt;=Inicio!$B$17,"Observar","OK")))</f>
        <v/>
      </c>
      <c r="K355" s="24"/>
    </row>
    <row r="356" spans="1:11" x14ac:dyDescent="0.35">
      <c r="A356" s="24"/>
      <c r="B356" s="31" t="str">
        <f>IFERROR(VLOOKUP(A356,Clientes_PDV!$A$2:$J$250,2,FALSE),"")</f>
        <v/>
      </c>
      <c r="C356" s="31" t="str">
        <f>IFERROR(VLOOKUP(A356,Clientes_PDV!$A$2:$J$250,3,FALSE),"")</f>
        <v/>
      </c>
      <c r="D356" s="31" t="str">
        <f>IFERROR(VLOOKUP(A356,Clientes_PDV!$A$2:$J$250,4,FALSE),"")</f>
        <v/>
      </c>
      <c r="E356" s="24"/>
      <c r="F356" s="31" t="str">
        <f>IFERROR(VLOOKUP(E356,Maestro_SKU!$A$2:$P$500,2,FALSE),"")</f>
        <v/>
      </c>
      <c r="G356" s="29"/>
      <c r="H356" s="32" t="str">
        <f>IF(OR(G356="",E356=""),"",G356*IFERROR(VLOOKUP(E356,Maestro_SKU!$A$2:$P$500,12,FALSE),1))</f>
        <v/>
      </c>
      <c r="I356" s="25"/>
      <c r="J356" s="31" t="str">
        <f>IF(A356="","",IF(H356&lt;=Inicio!$B$16,"Crítico",IF(H356&lt;=Inicio!$B$17,"Observar","OK")))</f>
        <v/>
      </c>
      <c r="K356" s="24"/>
    </row>
    <row r="357" spans="1:11" x14ac:dyDescent="0.35">
      <c r="A357" s="24"/>
      <c r="B357" s="31" t="str">
        <f>IFERROR(VLOOKUP(A357,Clientes_PDV!$A$2:$J$250,2,FALSE),"")</f>
        <v/>
      </c>
      <c r="C357" s="31" t="str">
        <f>IFERROR(VLOOKUP(A357,Clientes_PDV!$A$2:$J$250,3,FALSE),"")</f>
        <v/>
      </c>
      <c r="D357" s="31" t="str">
        <f>IFERROR(VLOOKUP(A357,Clientes_PDV!$A$2:$J$250,4,FALSE),"")</f>
        <v/>
      </c>
      <c r="E357" s="24"/>
      <c r="F357" s="31" t="str">
        <f>IFERROR(VLOOKUP(E357,Maestro_SKU!$A$2:$P$500,2,FALSE),"")</f>
        <v/>
      </c>
      <c r="G357" s="29"/>
      <c r="H357" s="32" t="str">
        <f>IF(OR(G357="",E357=""),"",G357*IFERROR(VLOOKUP(E357,Maestro_SKU!$A$2:$P$500,12,FALSE),1))</f>
        <v/>
      </c>
      <c r="I357" s="25"/>
      <c r="J357" s="31" t="str">
        <f>IF(A357="","",IF(H357&lt;=Inicio!$B$16,"Crítico",IF(H357&lt;=Inicio!$B$17,"Observar","OK")))</f>
        <v/>
      </c>
      <c r="K357" s="24"/>
    </row>
    <row r="358" spans="1:11" x14ac:dyDescent="0.35">
      <c r="A358" s="24"/>
      <c r="B358" s="31" t="str">
        <f>IFERROR(VLOOKUP(A358,Clientes_PDV!$A$2:$J$250,2,FALSE),"")</f>
        <v/>
      </c>
      <c r="C358" s="31" t="str">
        <f>IFERROR(VLOOKUP(A358,Clientes_PDV!$A$2:$J$250,3,FALSE),"")</f>
        <v/>
      </c>
      <c r="D358" s="31" t="str">
        <f>IFERROR(VLOOKUP(A358,Clientes_PDV!$A$2:$J$250,4,FALSE),"")</f>
        <v/>
      </c>
      <c r="E358" s="24"/>
      <c r="F358" s="31" t="str">
        <f>IFERROR(VLOOKUP(E358,Maestro_SKU!$A$2:$P$500,2,FALSE),"")</f>
        <v/>
      </c>
      <c r="G358" s="29"/>
      <c r="H358" s="32" t="str">
        <f>IF(OR(G358="",E358=""),"",G358*IFERROR(VLOOKUP(E358,Maestro_SKU!$A$2:$P$500,12,FALSE),1))</f>
        <v/>
      </c>
      <c r="I358" s="25"/>
      <c r="J358" s="31" t="str">
        <f>IF(A358="","",IF(H358&lt;=Inicio!$B$16,"Crítico",IF(H358&lt;=Inicio!$B$17,"Observar","OK")))</f>
        <v/>
      </c>
      <c r="K358" s="24"/>
    </row>
    <row r="359" spans="1:11" x14ac:dyDescent="0.35">
      <c r="A359" s="24"/>
      <c r="B359" s="31" t="str">
        <f>IFERROR(VLOOKUP(A359,Clientes_PDV!$A$2:$J$250,2,FALSE),"")</f>
        <v/>
      </c>
      <c r="C359" s="31" t="str">
        <f>IFERROR(VLOOKUP(A359,Clientes_PDV!$A$2:$J$250,3,FALSE),"")</f>
        <v/>
      </c>
      <c r="D359" s="31" t="str">
        <f>IFERROR(VLOOKUP(A359,Clientes_PDV!$A$2:$J$250,4,FALSE),"")</f>
        <v/>
      </c>
      <c r="E359" s="24"/>
      <c r="F359" s="31" t="str">
        <f>IFERROR(VLOOKUP(E359,Maestro_SKU!$A$2:$P$500,2,FALSE),"")</f>
        <v/>
      </c>
      <c r="G359" s="29"/>
      <c r="H359" s="32" t="str">
        <f>IF(OR(G359="",E359=""),"",G359*IFERROR(VLOOKUP(E359,Maestro_SKU!$A$2:$P$500,12,FALSE),1))</f>
        <v/>
      </c>
      <c r="I359" s="25"/>
      <c r="J359" s="31" t="str">
        <f>IF(A359="","",IF(H359&lt;=Inicio!$B$16,"Crítico",IF(H359&lt;=Inicio!$B$17,"Observar","OK")))</f>
        <v/>
      </c>
      <c r="K359" s="24"/>
    </row>
    <row r="360" spans="1:11" x14ac:dyDescent="0.35">
      <c r="A360" s="24"/>
      <c r="B360" s="31" t="str">
        <f>IFERROR(VLOOKUP(A360,Clientes_PDV!$A$2:$J$250,2,FALSE),"")</f>
        <v/>
      </c>
      <c r="C360" s="31" t="str">
        <f>IFERROR(VLOOKUP(A360,Clientes_PDV!$A$2:$J$250,3,FALSE),"")</f>
        <v/>
      </c>
      <c r="D360" s="31" t="str">
        <f>IFERROR(VLOOKUP(A360,Clientes_PDV!$A$2:$J$250,4,FALSE),"")</f>
        <v/>
      </c>
      <c r="E360" s="24"/>
      <c r="F360" s="31" t="str">
        <f>IFERROR(VLOOKUP(E360,Maestro_SKU!$A$2:$P$500,2,FALSE),"")</f>
        <v/>
      </c>
      <c r="G360" s="29"/>
      <c r="H360" s="32" t="str">
        <f>IF(OR(G360="",E360=""),"",G360*IFERROR(VLOOKUP(E360,Maestro_SKU!$A$2:$P$500,12,FALSE),1))</f>
        <v/>
      </c>
      <c r="I360" s="25"/>
      <c r="J360" s="31" t="str">
        <f>IF(A360="","",IF(H360&lt;=Inicio!$B$16,"Crítico",IF(H360&lt;=Inicio!$B$17,"Observar","OK")))</f>
        <v/>
      </c>
      <c r="K360" s="24"/>
    </row>
    <row r="361" spans="1:11" x14ac:dyDescent="0.35">
      <c r="A361" s="24"/>
      <c r="B361" s="31" t="str">
        <f>IFERROR(VLOOKUP(A361,Clientes_PDV!$A$2:$J$250,2,FALSE),"")</f>
        <v/>
      </c>
      <c r="C361" s="31" t="str">
        <f>IFERROR(VLOOKUP(A361,Clientes_PDV!$A$2:$J$250,3,FALSE),"")</f>
        <v/>
      </c>
      <c r="D361" s="31" t="str">
        <f>IFERROR(VLOOKUP(A361,Clientes_PDV!$A$2:$J$250,4,FALSE),"")</f>
        <v/>
      </c>
      <c r="E361" s="24"/>
      <c r="F361" s="31" t="str">
        <f>IFERROR(VLOOKUP(E361,Maestro_SKU!$A$2:$P$500,2,FALSE),"")</f>
        <v/>
      </c>
      <c r="G361" s="29"/>
      <c r="H361" s="32" t="str">
        <f>IF(OR(G361="",E361=""),"",G361*IFERROR(VLOOKUP(E361,Maestro_SKU!$A$2:$P$500,12,FALSE),1))</f>
        <v/>
      </c>
      <c r="I361" s="25"/>
      <c r="J361" s="31" t="str">
        <f>IF(A361="","",IF(H361&lt;=Inicio!$B$16,"Crítico",IF(H361&lt;=Inicio!$B$17,"Observar","OK")))</f>
        <v/>
      </c>
      <c r="K361" s="24"/>
    </row>
    <row r="362" spans="1:11" x14ac:dyDescent="0.35">
      <c r="A362" s="24"/>
      <c r="B362" s="31" t="str">
        <f>IFERROR(VLOOKUP(A362,Clientes_PDV!$A$2:$J$250,2,FALSE),"")</f>
        <v/>
      </c>
      <c r="C362" s="31" t="str">
        <f>IFERROR(VLOOKUP(A362,Clientes_PDV!$A$2:$J$250,3,FALSE),"")</f>
        <v/>
      </c>
      <c r="D362" s="31" t="str">
        <f>IFERROR(VLOOKUP(A362,Clientes_PDV!$A$2:$J$250,4,FALSE),"")</f>
        <v/>
      </c>
      <c r="E362" s="24"/>
      <c r="F362" s="31" t="str">
        <f>IFERROR(VLOOKUP(E362,Maestro_SKU!$A$2:$P$500,2,FALSE),"")</f>
        <v/>
      </c>
      <c r="G362" s="29"/>
      <c r="H362" s="32" t="str">
        <f>IF(OR(G362="",E362=""),"",G362*IFERROR(VLOOKUP(E362,Maestro_SKU!$A$2:$P$500,12,FALSE),1))</f>
        <v/>
      </c>
      <c r="I362" s="25"/>
      <c r="J362" s="31" t="str">
        <f>IF(A362="","",IF(H362&lt;=Inicio!$B$16,"Crítico",IF(H362&lt;=Inicio!$B$17,"Observar","OK")))</f>
        <v/>
      </c>
      <c r="K362" s="24"/>
    </row>
    <row r="363" spans="1:11" x14ac:dyDescent="0.35">
      <c r="A363" s="24"/>
      <c r="B363" s="31" t="str">
        <f>IFERROR(VLOOKUP(A363,Clientes_PDV!$A$2:$J$250,2,FALSE),"")</f>
        <v/>
      </c>
      <c r="C363" s="31" t="str">
        <f>IFERROR(VLOOKUP(A363,Clientes_PDV!$A$2:$J$250,3,FALSE),"")</f>
        <v/>
      </c>
      <c r="D363" s="31" t="str">
        <f>IFERROR(VLOOKUP(A363,Clientes_PDV!$A$2:$J$250,4,FALSE),"")</f>
        <v/>
      </c>
      <c r="E363" s="24"/>
      <c r="F363" s="31" t="str">
        <f>IFERROR(VLOOKUP(E363,Maestro_SKU!$A$2:$P$500,2,FALSE),"")</f>
        <v/>
      </c>
      <c r="G363" s="29"/>
      <c r="H363" s="32" t="str">
        <f>IF(OR(G363="",E363=""),"",G363*IFERROR(VLOOKUP(E363,Maestro_SKU!$A$2:$P$500,12,FALSE),1))</f>
        <v/>
      </c>
      <c r="I363" s="25"/>
      <c r="J363" s="31" t="str">
        <f>IF(A363="","",IF(H363&lt;=Inicio!$B$16,"Crítico",IF(H363&lt;=Inicio!$B$17,"Observar","OK")))</f>
        <v/>
      </c>
      <c r="K363" s="24"/>
    </row>
    <row r="364" spans="1:11" x14ac:dyDescent="0.35">
      <c r="A364" s="24"/>
      <c r="B364" s="31" t="str">
        <f>IFERROR(VLOOKUP(A364,Clientes_PDV!$A$2:$J$250,2,FALSE),"")</f>
        <v/>
      </c>
      <c r="C364" s="31" t="str">
        <f>IFERROR(VLOOKUP(A364,Clientes_PDV!$A$2:$J$250,3,FALSE),"")</f>
        <v/>
      </c>
      <c r="D364" s="31" t="str">
        <f>IFERROR(VLOOKUP(A364,Clientes_PDV!$A$2:$J$250,4,FALSE),"")</f>
        <v/>
      </c>
      <c r="E364" s="24"/>
      <c r="F364" s="31" t="str">
        <f>IFERROR(VLOOKUP(E364,Maestro_SKU!$A$2:$P$500,2,FALSE),"")</f>
        <v/>
      </c>
      <c r="G364" s="29"/>
      <c r="H364" s="32" t="str">
        <f>IF(OR(G364="",E364=""),"",G364*IFERROR(VLOOKUP(E364,Maestro_SKU!$A$2:$P$500,12,FALSE),1))</f>
        <v/>
      </c>
      <c r="I364" s="25"/>
      <c r="J364" s="31" t="str">
        <f>IF(A364="","",IF(H364&lt;=Inicio!$B$16,"Crítico",IF(H364&lt;=Inicio!$B$17,"Observar","OK")))</f>
        <v/>
      </c>
      <c r="K364" s="24"/>
    </row>
    <row r="365" spans="1:11" x14ac:dyDescent="0.35">
      <c r="A365" s="24"/>
      <c r="B365" s="31" t="str">
        <f>IFERROR(VLOOKUP(A365,Clientes_PDV!$A$2:$J$250,2,FALSE),"")</f>
        <v/>
      </c>
      <c r="C365" s="31" t="str">
        <f>IFERROR(VLOOKUP(A365,Clientes_PDV!$A$2:$J$250,3,FALSE),"")</f>
        <v/>
      </c>
      <c r="D365" s="31" t="str">
        <f>IFERROR(VLOOKUP(A365,Clientes_PDV!$A$2:$J$250,4,FALSE),"")</f>
        <v/>
      </c>
      <c r="E365" s="24"/>
      <c r="F365" s="31" t="str">
        <f>IFERROR(VLOOKUP(E365,Maestro_SKU!$A$2:$P$500,2,FALSE),"")</f>
        <v/>
      </c>
      <c r="G365" s="29"/>
      <c r="H365" s="32" t="str">
        <f>IF(OR(G365="",E365=""),"",G365*IFERROR(VLOOKUP(E365,Maestro_SKU!$A$2:$P$500,12,FALSE),1))</f>
        <v/>
      </c>
      <c r="I365" s="25"/>
      <c r="J365" s="31" t="str">
        <f>IF(A365="","",IF(H365&lt;=Inicio!$B$16,"Crítico",IF(H365&lt;=Inicio!$B$17,"Observar","OK")))</f>
        <v/>
      </c>
      <c r="K365" s="24"/>
    </row>
    <row r="366" spans="1:11" x14ac:dyDescent="0.35">
      <c r="A366" s="24"/>
      <c r="B366" s="31" t="str">
        <f>IFERROR(VLOOKUP(A366,Clientes_PDV!$A$2:$J$250,2,FALSE),"")</f>
        <v/>
      </c>
      <c r="C366" s="31" t="str">
        <f>IFERROR(VLOOKUP(A366,Clientes_PDV!$A$2:$J$250,3,FALSE),"")</f>
        <v/>
      </c>
      <c r="D366" s="31" t="str">
        <f>IFERROR(VLOOKUP(A366,Clientes_PDV!$A$2:$J$250,4,FALSE),"")</f>
        <v/>
      </c>
      <c r="E366" s="24"/>
      <c r="F366" s="31" t="str">
        <f>IFERROR(VLOOKUP(E366,Maestro_SKU!$A$2:$P$500,2,FALSE),"")</f>
        <v/>
      </c>
      <c r="G366" s="29"/>
      <c r="H366" s="32" t="str">
        <f>IF(OR(G366="",E366=""),"",G366*IFERROR(VLOOKUP(E366,Maestro_SKU!$A$2:$P$500,12,FALSE),1))</f>
        <v/>
      </c>
      <c r="I366" s="25"/>
      <c r="J366" s="31" t="str">
        <f>IF(A366="","",IF(H366&lt;=Inicio!$B$16,"Crítico",IF(H366&lt;=Inicio!$B$17,"Observar","OK")))</f>
        <v/>
      </c>
      <c r="K366" s="24"/>
    </row>
    <row r="367" spans="1:11" x14ac:dyDescent="0.35">
      <c r="A367" s="24"/>
      <c r="B367" s="31" t="str">
        <f>IFERROR(VLOOKUP(A367,Clientes_PDV!$A$2:$J$250,2,FALSE),"")</f>
        <v/>
      </c>
      <c r="C367" s="31" t="str">
        <f>IFERROR(VLOOKUP(A367,Clientes_PDV!$A$2:$J$250,3,FALSE),"")</f>
        <v/>
      </c>
      <c r="D367" s="31" t="str">
        <f>IFERROR(VLOOKUP(A367,Clientes_PDV!$A$2:$J$250,4,FALSE),"")</f>
        <v/>
      </c>
      <c r="E367" s="24"/>
      <c r="F367" s="31" t="str">
        <f>IFERROR(VLOOKUP(E367,Maestro_SKU!$A$2:$P$500,2,FALSE),"")</f>
        <v/>
      </c>
      <c r="G367" s="29"/>
      <c r="H367" s="32" t="str">
        <f>IF(OR(G367="",E367=""),"",G367*IFERROR(VLOOKUP(E367,Maestro_SKU!$A$2:$P$500,12,FALSE),1))</f>
        <v/>
      </c>
      <c r="I367" s="25"/>
      <c r="J367" s="31" t="str">
        <f>IF(A367="","",IF(H367&lt;=Inicio!$B$16,"Crítico",IF(H367&lt;=Inicio!$B$17,"Observar","OK")))</f>
        <v/>
      </c>
      <c r="K367" s="24"/>
    </row>
    <row r="368" spans="1:11" x14ac:dyDescent="0.35">
      <c r="A368" s="24"/>
      <c r="B368" s="31" t="str">
        <f>IFERROR(VLOOKUP(A368,Clientes_PDV!$A$2:$J$250,2,FALSE),"")</f>
        <v/>
      </c>
      <c r="C368" s="31" t="str">
        <f>IFERROR(VLOOKUP(A368,Clientes_PDV!$A$2:$J$250,3,FALSE),"")</f>
        <v/>
      </c>
      <c r="D368" s="31" t="str">
        <f>IFERROR(VLOOKUP(A368,Clientes_PDV!$A$2:$J$250,4,FALSE),"")</f>
        <v/>
      </c>
      <c r="E368" s="24"/>
      <c r="F368" s="31" t="str">
        <f>IFERROR(VLOOKUP(E368,Maestro_SKU!$A$2:$P$500,2,FALSE),"")</f>
        <v/>
      </c>
      <c r="G368" s="29"/>
      <c r="H368" s="32" t="str">
        <f>IF(OR(G368="",E368=""),"",G368*IFERROR(VLOOKUP(E368,Maestro_SKU!$A$2:$P$500,12,FALSE),1))</f>
        <v/>
      </c>
      <c r="I368" s="25"/>
      <c r="J368" s="31" t="str">
        <f>IF(A368="","",IF(H368&lt;=Inicio!$B$16,"Crítico",IF(H368&lt;=Inicio!$B$17,"Observar","OK")))</f>
        <v/>
      </c>
      <c r="K368" s="24"/>
    </row>
    <row r="369" spans="1:11" x14ac:dyDescent="0.35">
      <c r="A369" s="24"/>
      <c r="B369" s="31" t="str">
        <f>IFERROR(VLOOKUP(A369,Clientes_PDV!$A$2:$J$250,2,FALSE),"")</f>
        <v/>
      </c>
      <c r="C369" s="31" t="str">
        <f>IFERROR(VLOOKUP(A369,Clientes_PDV!$A$2:$J$250,3,FALSE),"")</f>
        <v/>
      </c>
      <c r="D369" s="31" t="str">
        <f>IFERROR(VLOOKUP(A369,Clientes_PDV!$A$2:$J$250,4,FALSE),"")</f>
        <v/>
      </c>
      <c r="E369" s="24"/>
      <c r="F369" s="31" t="str">
        <f>IFERROR(VLOOKUP(E369,Maestro_SKU!$A$2:$P$500,2,FALSE),"")</f>
        <v/>
      </c>
      <c r="G369" s="29"/>
      <c r="H369" s="32" t="str">
        <f>IF(OR(G369="",E369=""),"",G369*IFERROR(VLOOKUP(E369,Maestro_SKU!$A$2:$P$500,12,FALSE),1))</f>
        <v/>
      </c>
      <c r="I369" s="25"/>
      <c r="J369" s="31" t="str">
        <f>IF(A369="","",IF(H369&lt;=Inicio!$B$16,"Crítico",IF(H369&lt;=Inicio!$B$17,"Observar","OK")))</f>
        <v/>
      </c>
      <c r="K369" s="24"/>
    </row>
    <row r="370" spans="1:11" x14ac:dyDescent="0.35">
      <c r="A370" s="24"/>
      <c r="B370" s="31" t="str">
        <f>IFERROR(VLOOKUP(A370,Clientes_PDV!$A$2:$J$250,2,FALSE),"")</f>
        <v/>
      </c>
      <c r="C370" s="31" t="str">
        <f>IFERROR(VLOOKUP(A370,Clientes_PDV!$A$2:$J$250,3,FALSE),"")</f>
        <v/>
      </c>
      <c r="D370" s="31" t="str">
        <f>IFERROR(VLOOKUP(A370,Clientes_PDV!$A$2:$J$250,4,FALSE),"")</f>
        <v/>
      </c>
      <c r="E370" s="24"/>
      <c r="F370" s="31" t="str">
        <f>IFERROR(VLOOKUP(E370,Maestro_SKU!$A$2:$P$500,2,FALSE),"")</f>
        <v/>
      </c>
      <c r="G370" s="29"/>
      <c r="H370" s="32" t="str">
        <f>IF(OR(G370="",E370=""),"",G370*IFERROR(VLOOKUP(E370,Maestro_SKU!$A$2:$P$500,12,FALSE),1))</f>
        <v/>
      </c>
      <c r="I370" s="25"/>
      <c r="J370" s="31" t="str">
        <f>IF(A370="","",IF(H370&lt;=Inicio!$B$16,"Crítico",IF(H370&lt;=Inicio!$B$17,"Observar","OK")))</f>
        <v/>
      </c>
      <c r="K370" s="24"/>
    </row>
    <row r="371" spans="1:11" x14ac:dyDescent="0.35">
      <c r="A371" s="24"/>
      <c r="B371" s="31" t="str">
        <f>IFERROR(VLOOKUP(A371,Clientes_PDV!$A$2:$J$250,2,FALSE),"")</f>
        <v/>
      </c>
      <c r="C371" s="31" t="str">
        <f>IFERROR(VLOOKUP(A371,Clientes_PDV!$A$2:$J$250,3,FALSE),"")</f>
        <v/>
      </c>
      <c r="D371" s="31" t="str">
        <f>IFERROR(VLOOKUP(A371,Clientes_PDV!$A$2:$J$250,4,FALSE),"")</f>
        <v/>
      </c>
      <c r="E371" s="24"/>
      <c r="F371" s="31" t="str">
        <f>IFERROR(VLOOKUP(E371,Maestro_SKU!$A$2:$P$500,2,FALSE),"")</f>
        <v/>
      </c>
      <c r="G371" s="29"/>
      <c r="H371" s="32" t="str">
        <f>IF(OR(G371="",E371=""),"",G371*IFERROR(VLOOKUP(E371,Maestro_SKU!$A$2:$P$500,12,FALSE),1))</f>
        <v/>
      </c>
      <c r="I371" s="25"/>
      <c r="J371" s="31" t="str">
        <f>IF(A371="","",IF(H371&lt;=Inicio!$B$16,"Crítico",IF(H371&lt;=Inicio!$B$17,"Observar","OK")))</f>
        <v/>
      </c>
      <c r="K371" s="24"/>
    </row>
    <row r="372" spans="1:11" x14ac:dyDescent="0.35">
      <c r="A372" s="24"/>
      <c r="B372" s="31" t="str">
        <f>IFERROR(VLOOKUP(A372,Clientes_PDV!$A$2:$J$250,2,FALSE),"")</f>
        <v/>
      </c>
      <c r="C372" s="31" t="str">
        <f>IFERROR(VLOOKUP(A372,Clientes_PDV!$A$2:$J$250,3,FALSE),"")</f>
        <v/>
      </c>
      <c r="D372" s="31" t="str">
        <f>IFERROR(VLOOKUP(A372,Clientes_PDV!$A$2:$J$250,4,FALSE),"")</f>
        <v/>
      </c>
      <c r="E372" s="24"/>
      <c r="F372" s="31" t="str">
        <f>IFERROR(VLOOKUP(E372,Maestro_SKU!$A$2:$P$500,2,FALSE),"")</f>
        <v/>
      </c>
      <c r="G372" s="29"/>
      <c r="H372" s="32" t="str">
        <f>IF(OR(G372="",E372=""),"",G372*IFERROR(VLOOKUP(E372,Maestro_SKU!$A$2:$P$500,12,FALSE),1))</f>
        <v/>
      </c>
      <c r="I372" s="25"/>
      <c r="J372" s="31" t="str">
        <f>IF(A372="","",IF(H372&lt;=Inicio!$B$16,"Crítico",IF(H372&lt;=Inicio!$B$17,"Observar","OK")))</f>
        <v/>
      </c>
      <c r="K372" s="24"/>
    </row>
    <row r="373" spans="1:11" x14ac:dyDescent="0.35">
      <c r="A373" s="24"/>
      <c r="B373" s="31" t="str">
        <f>IFERROR(VLOOKUP(A373,Clientes_PDV!$A$2:$J$250,2,FALSE),"")</f>
        <v/>
      </c>
      <c r="C373" s="31" t="str">
        <f>IFERROR(VLOOKUP(A373,Clientes_PDV!$A$2:$J$250,3,FALSE),"")</f>
        <v/>
      </c>
      <c r="D373" s="31" t="str">
        <f>IFERROR(VLOOKUP(A373,Clientes_PDV!$A$2:$J$250,4,FALSE),"")</f>
        <v/>
      </c>
      <c r="E373" s="24"/>
      <c r="F373" s="31" t="str">
        <f>IFERROR(VLOOKUP(E373,Maestro_SKU!$A$2:$P$500,2,FALSE),"")</f>
        <v/>
      </c>
      <c r="G373" s="29"/>
      <c r="H373" s="32" t="str">
        <f>IF(OR(G373="",E373=""),"",G373*IFERROR(VLOOKUP(E373,Maestro_SKU!$A$2:$P$500,12,FALSE),1))</f>
        <v/>
      </c>
      <c r="I373" s="25"/>
      <c r="J373" s="31" t="str">
        <f>IF(A373="","",IF(H373&lt;=Inicio!$B$16,"Crítico",IF(H373&lt;=Inicio!$B$17,"Observar","OK")))</f>
        <v/>
      </c>
      <c r="K373" s="24"/>
    </row>
    <row r="374" spans="1:11" x14ac:dyDescent="0.35">
      <c r="A374" s="24"/>
      <c r="B374" s="31" t="str">
        <f>IFERROR(VLOOKUP(A374,Clientes_PDV!$A$2:$J$250,2,FALSE),"")</f>
        <v/>
      </c>
      <c r="C374" s="31" t="str">
        <f>IFERROR(VLOOKUP(A374,Clientes_PDV!$A$2:$J$250,3,FALSE),"")</f>
        <v/>
      </c>
      <c r="D374" s="31" t="str">
        <f>IFERROR(VLOOKUP(A374,Clientes_PDV!$A$2:$J$250,4,FALSE),"")</f>
        <v/>
      </c>
      <c r="E374" s="24"/>
      <c r="F374" s="31" t="str">
        <f>IFERROR(VLOOKUP(E374,Maestro_SKU!$A$2:$P$500,2,FALSE),"")</f>
        <v/>
      </c>
      <c r="G374" s="29"/>
      <c r="H374" s="32" t="str">
        <f>IF(OR(G374="",E374=""),"",G374*IFERROR(VLOOKUP(E374,Maestro_SKU!$A$2:$P$500,12,FALSE),1))</f>
        <v/>
      </c>
      <c r="I374" s="25"/>
      <c r="J374" s="31" t="str">
        <f>IF(A374="","",IF(H374&lt;=Inicio!$B$16,"Crítico",IF(H374&lt;=Inicio!$B$17,"Observar","OK")))</f>
        <v/>
      </c>
      <c r="K374" s="24"/>
    </row>
    <row r="375" spans="1:11" x14ac:dyDescent="0.35">
      <c r="A375" s="24"/>
      <c r="B375" s="31" t="str">
        <f>IFERROR(VLOOKUP(A375,Clientes_PDV!$A$2:$J$250,2,FALSE),"")</f>
        <v/>
      </c>
      <c r="C375" s="31" t="str">
        <f>IFERROR(VLOOKUP(A375,Clientes_PDV!$A$2:$J$250,3,FALSE),"")</f>
        <v/>
      </c>
      <c r="D375" s="31" t="str">
        <f>IFERROR(VLOOKUP(A375,Clientes_PDV!$A$2:$J$250,4,FALSE),"")</f>
        <v/>
      </c>
      <c r="E375" s="24"/>
      <c r="F375" s="31" t="str">
        <f>IFERROR(VLOOKUP(E375,Maestro_SKU!$A$2:$P$500,2,FALSE),"")</f>
        <v/>
      </c>
      <c r="G375" s="29"/>
      <c r="H375" s="32" t="str">
        <f>IF(OR(G375="",E375=""),"",G375*IFERROR(VLOOKUP(E375,Maestro_SKU!$A$2:$P$500,12,FALSE),1))</f>
        <v/>
      </c>
      <c r="I375" s="25"/>
      <c r="J375" s="31" t="str">
        <f>IF(A375="","",IF(H375&lt;=Inicio!$B$16,"Crítico",IF(H375&lt;=Inicio!$B$17,"Observar","OK")))</f>
        <v/>
      </c>
      <c r="K375" s="24"/>
    </row>
    <row r="376" spans="1:11" x14ac:dyDescent="0.35">
      <c r="A376" s="24"/>
      <c r="B376" s="31" t="str">
        <f>IFERROR(VLOOKUP(A376,Clientes_PDV!$A$2:$J$250,2,FALSE),"")</f>
        <v/>
      </c>
      <c r="C376" s="31" t="str">
        <f>IFERROR(VLOOKUP(A376,Clientes_PDV!$A$2:$J$250,3,FALSE),"")</f>
        <v/>
      </c>
      <c r="D376" s="31" t="str">
        <f>IFERROR(VLOOKUP(A376,Clientes_PDV!$A$2:$J$250,4,FALSE),"")</f>
        <v/>
      </c>
      <c r="E376" s="24"/>
      <c r="F376" s="31" t="str">
        <f>IFERROR(VLOOKUP(E376,Maestro_SKU!$A$2:$P$500,2,FALSE),"")</f>
        <v/>
      </c>
      <c r="G376" s="29"/>
      <c r="H376" s="32" t="str">
        <f>IF(OR(G376="",E376=""),"",G376*IFERROR(VLOOKUP(E376,Maestro_SKU!$A$2:$P$500,12,FALSE),1))</f>
        <v/>
      </c>
      <c r="I376" s="25"/>
      <c r="J376" s="31" t="str">
        <f>IF(A376="","",IF(H376&lt;=Inicio!$B$16,"Crítico",IF(H376&lt;=Inicio!$B$17,"Observar","OK")))</f>
        <v/>
      </c>
      <c r="K376" s="24"/>
    </row>
    <row r="377" spans="1:11" x14ac:dyDescent="0.35">
      <c r="A377" s="24"/>
      <c r="B377" s="31" t="str">
        <f>IFERROR(VLOOKUP(A377,Clientes_PDV!$A$2:$J$250,2,FALSE),"")</f>
        <v/>
      </c>
      <c r="C377" s="31" t="str">
        <f>IFERROR(VLOOKUP(A377,Clientes_PDV!$A$2:$J$250,3,FALSE),"")</f>
        <v/>
      </c>
      <c r="D377" s="31" t="str">
        <f>IFERROR(VLOOKUP(A377,Clientes_PDV!$A$2:$J$250,4,FALSE),"")</f>
        <v/>
      </c>
      <c r="E377" s="24"/>
      <c r="F377" s="31" t="str">
        <f>IFERROR(VLOOKUP(E377,Maestro_SKU!$A$2:$P$500,2,FALSE),"")</f>
        <v/>
      </c>
      <c r="G377" s="29"/>
      <c r="H377" s="32" t="str">
        <f>IF(OR(G377="",E377=""),"",G377*IFERROR(VLOOKUP(E377,Maestro_SKU!$A$2:$P$500,12,FALSE),1))</f>
        <v/>
      </c>
      <c r="I377" s="25"/>
      <c r="J377" s="31" t="str">
        <f>IF(A377="","",IF(H377&lt;=Inicio!$B$16,"Crítico",IF(H377&lt;=Inicio!$B$17,"Observar","OK")))</f>
        <v/>
      </c>
      <c r="K377" s="24"/>
    </row>
    <row r="378" spans="1:11" x14ac:dyDescent="0.35">
      <c r="A378" s="24"/>
      <c r="B378" s="31" t="str">
        <f>IFERROR(VLOOKUP(A378,Clientes_PDV!$A$2:$J$250,2,FALSE),"")</f>
        <v/>
      </c>
      <c r="C378" s="31" t="str">
        <f>IFERROR(VLOOKUP(A378,Clientes_PDV!$A$2:$J$250,3,FALSE),"")</f>
        <v/>
      </c>
      <c r="D378" s="31" t="str">
        <f>IFERROR(VLOOKUP(A378,Clientes_PDV!$A$2:$J$250,4,FALSE),"")</f>
        <v/>
      </c>
      <c r="E378" s="24"/>
      <c r="F378" s="31" t="str">
        <f>IFERROR(VLOOKUP(E378,Maestro_SKU!$A$2:$P$500,2,FALSE),"")</f>
        <v/>
      </c>
      <c r="G378" s="29"/>
      <c r="H378" s="32" t="str">
        <f>IF(OR(G378="",E378=""),"",G378*IFERROR(VLOOKUP(E378,Maestro_SKU!$A$2:$P$500,12,FALSE),1))</f>
        <v/>
      </c>
      <c r="I378" s="25"/>
      <c r="J378" s="31" t="str">
        <f>IF(A378="","",IF(H378&lt;=Inicio!$B$16,"Crítico",IF(H378&lt;=Inicio!$B$17,"Observar","OK")))</f>
        <v/>
      </c>
      <c r="K378" s="24"/>
    </row>
    <row r="379" spans="1:11" x14ac:dyDescent="0.35">
      <c r="A379" s="24"/>
      <c r="B379" s="31" t="str">
        <f>IFERROR(VLOOKUP(A379,Clientes_PDV!$A$2:$J$250,2,FALSE),"")</f>
        <v/>
      </c>
      <c r="C379" s="31" t="str">
        <f>IFERROR(VLOOKUP(A379,Clientes_PDV!$A$2:$J$250,3,FALSE),"")</f>
        <v/>
      </c>
      <c r="D379" s="31" t="str">
        <f>IFERROR(VLOOKUP(A379,Clientes_PDV!$A$2:$J$250,4,FALSE),"")</f>
        <v/>
      </c>
      <c r="E379" s="24"/>
      <c r="F379" s="31" t="str">
        <f>IFERROR(VLOOKUP(E379,Maestro_SKU!$A$2:$P$500,2,FALSE),"")</f>
        <v/>
      </c>
      <c r="G379" s="29"/>
      <c r="H379" s="32" t="str">
        <f>IF(OR(G379="",E379=""),"",G379*IFERROR(VLOOKUP(E379,Maestro_SKU!$A$2:$P$500,12,FALSE),1))</f>
        <v/>
      </c>
      <c r="I379" s="25"/>
      <c r="J379" s="31" t="str">
        <f>IF(A379="","",IF(H379&lt;=Inicio!$B$16,"Crítico",IF(H379&lt;=Inicio!$B$17,"Observar","OK")))</f>
        <v/>
      </c>
      <c r="K379" s="24"/>
    </row>
    <row r="380" spans="1:11" x14ac:dyDescent="0.35">
      <c r="A380" s="24"/>
      <c r="B380" s="31" t="str">
        <f>IFERROR(VLOOKUP(A380,Clientes_PDV!$A$2:$J$250,2,FALSE),"")</f>
        <v/>
      </c>
      <c r="C380" s="31" t="str">
        <f>IFERROR(VLOOKUP(A380,Clientes_PDV!$A$2:$J$250,3,FALSE),"")</f>
        <v/>
      </c>
      <c r="D380" s="31" t="str">
        <f>IFERROR(VLOOKUP(A380,Clientes_PDV!$A$2:$J$250,4,FALSE),"")</f>
        <v/>
      </c>
      <c r="E380" s="24"/>
      <c r="F380" s="31" t="str">
        <f>IFERROR(VLOOKUP(E380,Maestro_SKU!$A$2:$P$500,2,FALSE),"")</f>
        <v/>
      </c>
      <c r="G380" s="29"/>
      <c r="H380" s="32" t="str">
        <f>IF(OR(G380="",E380=""),"",G380*IFERROR(VLOOKUP(E380,Maestro_SKU!$A$2:$P$500,12,FALSE),1))</f>
        <v/>
      </c>
      <c r="I380" s="25"/>
      <c r="J380" s="31" t="str">
        <f>IF(A380="","",IF(H380&lt;=Inicio!$B$16,"Crítico",IF(H380&lt;=Inicio!$B$17,"Observar","OK")))</f>
        <v/>
      </c>
      <c r="K380" s="24"/>
    </row>
    <row r="381" spans="1:11" x14ac:dyDescent="0.35">
      <c r="A381" s="24"/>
      <c r="B381" s="31" t="str">
        <f>IFERROR(VLOOKUP(A381,Clientes_PDV!$A$2:$J$250,2,FALSE),"")</f>
        <v/>
      </c>
      <c r="C381" s="31" t="str">
        <f>IFERROR(VLOOKUP(A381,Clientes_PDV!$A$2:$J$250,3,FALSE),"")</f>
        <v/>
      </c>
      <c r="D381" s="31" t="str">
        <f>IFERROR(VLOOKUP(A381,Clientes_PDV!$A$2:$J$250,4,FALSE),"")</f>
        <v/>
      </c>
      <c r="E381" s="24"/>
      <c r="F381" s="31" t="str">
        <f>IFERROR(VLOOKUP(E381,Maestro_SKU!$A$2:$P$500,2,FALSE),"")</f>
        <v/>
      </c>
      <c r="G381" s="29"/>
      <c r="H381" s="32" t="str">
        <f>IF(OR(G381="",E381=""),"",G381*IFERROR(VLOOKUP(E381,Maestro_SKU!$A$2:$P$500,12,FALSE),1))</f>
        <v/>
      </c>
      <c r="I381" s="25"/>
      <c r="J381" s="31" t="str">
        <f>IF(A381="","",IF(H381&lt;=Inicio!$B$16,"Crítico",IF(H381&lt;=Inicio!$B$17,"Observar","OK")))</f>
        <v/>
      </c>
      <c r="K381" s="24"/>
    </row>
    <row r="382" spans="1:11" x14ac:dyDescent="0.35">
      <c r="A382" s="24"/>
      <c r="B382" s="31" t="str">
        <f>IFERROR(VLOOKUP(A382,Clientes_PDV!$A$2:$J$250,2,FALSE),"")</f>
        <v/>
      </c>
      <c r="C382" s="31" t="str">
        <f>IFERROR(VLOOKUP(A382,Clientes_PDV!$A$2:$J$250,3,FALSE),"")</f>
        <v/>
      </c>
      <c r="D382" s="31" t="str">
        <f>IFERROR(VLOOKUP(A382,Clientes_PDV!$A$2:$J$250,4,FALSE),"")</f>
        <v/>
      </c>
      <c r="E382" s="24"/>
      <c r="F382" s="31" t="str">
        <f>IFERROR(VLOOKUP(E382,Maestro_SKU!$A$2:$P$500,2,FALSE),"")</f>
        <v/>
      </c>
      <c r="G382" s="29"/>
      <c r="H382" s="32" t="str">
        <f>IF(OR(G382="",E382=""),"",G382*IFERROR(VLOOKUP(E382,Maestro_SKU!$A$2:$P$500,12,FALSE),1))</f>
        <v/>
      </c>
      <c r="I382" s="25"/>
      <c r="J382" s="31" t="str">
        <f>IF(A382="","",IF(H382&lt;=Inicio!$B$16,"Crítico",IF(H382&lt;=Inicio!$B$17,"Observar","OK")))</f>
        <v/>
      </c>
      <c r="K382" s="24"/>
    </row>
    <row r="383" spans="1:11" x14ac:dyDescent="0.35">
      <c r="A383" s="24"/>
      <c r="B383" s="31" t="str">
        <f>IFERROR(VLOOKUP(A383,Clientes_PDV!$A$2:$J$250,2,FALSE),"")</f>
        <v/>
      </c>
      <c r="C383" s="31" t="str">
        <f>IFERROR(VLOOKUP(A383,Clientes_PDV!$A$2:$J$250,3,FALSE),"")</f>
        <v/>
      </c>
      <c r="D383" s="31" t="str">
        <f>IFERROR(VLOOKUP(A383,Clientes_PDV!$A$2:$J$250,4,FALSE),"")</f>
        <v/>
      </c>
      <c r="E383" s="24"/>
      <c r="F383" s="31" t="str">
        <f>IFERROR(VLOOKUP(E383,Maestro_SKU!$A$2:$P$500,2,FALSE),"")</f>
        <v/>
      </c>
      <c r="G383" s="29"/>
      <c r="H383" s="32" t="str">
        <f>IF(OR(G383="",E383=""),"",G383*IFERROR(VLOOKUP(E383,Maestro_SKU!$A$2:$P$500,12,FALSE),1))</f>
        <v/>
      </c>
      <c r="I383" s="25"/>
      <c r="J383" s="31" t="str">
        <f>IF(A383="","",IF(H383&lt;=Inicio!$B$16,"Crítico",IF(H383&lt;=Inicio!$B$17,"Observar","OK")))</f>
        <v/>
      </c>
      <c r="K383" s="24"/>
    </row>
    <row r="384" spans="1:11" x14ac:dyDescent="0.35">
      <c r="A384" s="24"/>
      <c r="B384" s="31" t="str">
        <f>IFERROR(VLOOKUP(A384,Clientes_PDV!$A$2:$J$250,2,FALSE),"")</f>
        <v/>
      </c>
      <c r="C384" s="31" t="str">
        <f>IFERROR(VLOOKUP(A384,Clientes_PDV!$A$2:$J$250,3,FALSE),"")</f>
        <v/>
      </c>
      <c r="D384" s="31" t="str">
        <f>IFERROR(VLOOKUP(A384,Clientes_PDV!$A$2:$J$250,4,FALSE),"")</f>
        <v/>
      </c>
      <c r="E384" s="24"/>
      <c r="F384" s="31" t="str">
        <f>IFERROR(VLOOKUP(E384,Maestro_SKU!$A$2:$P$500,2,FALSE),"")</f>
        <v/>
      </c>
      <c r="G384" s="29"/>
      <c r="H384" s="32" t="str">
        <f>IF(OR(G384="",E384=""),"",G384*IFERROR(VLOOKUP(E384,Maestro_SKU!$A$2:$P$500,12,FALSE),1))</f>
        <v/>
      </c>
      <c r="I384" s="25"/>
      <c r="J384" s="31" t="str">
        <f>IF(A384="","",IF(H384&lt;=Inicio!$B$16,"Crítico",IF(H384&lt;=Inicio!$B$17,"Observar","OK")))</f>
        <v/>
      </c>
      <c r="K384" s="24"/>
    </row>
    <row r="385" spans="1:11" x14ac:dyDescent="0.35">
      <c r="A385" s="24"/>
      <c r="B385" s="31" t="str">
        <f>IFERROR(VLOOKUP(A385,Clientes_PDV!$A$2:$J$250,2,FALSE),"")</f>
        <v/>
      </c>
      <c r="C385" s="31" t="str">
        <f>IFERROR(VLOOKUP(A385,Clientes_PDV!$A$2:$J$250,3,FALSE),"")</f>
        <v/>
      </c>
      <c r="D385" s="31" t="str">
        <f>IFERROR(VLOOKUP(A385,Clientes_PDV!$A$2:$J$250,4,FALSE),"")</f>
        <v/>
      </c>
      <c r="E385" s="24"/>
      <c r="F385" s="31" t="str">
        <f>IFERROR(VLOOKUP(E385,Maestro_SKU!$A$2:$P$500,2,FALSE),"")</f>
        <v/>
      </c>
      <c r="G385" s="29"/>
      <c r="H385" s="32" t="str">
        <f>IF(OR(G385="",E385=""),"",G385*IFERROR(VLOOKUP(E385,Maestro_SKU!$A$2:$P$500,12,FALSE),1))</f>
        <v/>
      </c>
      <c r="I385" s="25"/>
      <c r="J385" s="31" t="str">
        <f>IF(A385="","",IF(H385&lt;=Inicio!$B$16,"Crítico",IF(H385&lt;=Inicio!$B$17,"Observar","OK")))</f>
        <v/>
      </c>
      <c r="K385" s="24"/>
    </row>
    <row r="386" spans="1:11" x14ac:dyDescent="0.35">
      <c r="A386" s="24"/>
      <c r="B386" s="31" t="str">
        <f>IFERROR(VLOOKUP(A386,Clientes_PDV!$A$2:$J$250,2,FALSE),"")</f>
        <v/>
      </c>
      <c r="C386" s="31" t="str">
        <f>IFERROR(VLOOKUP(A386,Clientes_PDV!$A$2:$J$250,3,FALSE),"")</f>
        <v/>
      </c>
      <c r="D386" s="31" t="str">
        <f>IFERROR(VLOOKUP(A386,Clientes_PDV!$A$2:$J$250,4,FALSE),"")</f>
        <v/>
      </c>
      <c r="E386" s="24"/>
      <c r="F386" s="31" t="str">
        <f>IFERROR(VLOOKUP(E386,Maestro_SKU!$A$2:$P$500,2,FALSE),"")</f>
        <v/>
      </c>
      <c r="G386" s="29"/>
      <c r="H386" s="32" t="str">
        <f>IF(OR(G386="",E386=""),"",G386*IFERROR(VLOOKUP(E386,Maestro_SKU!$A$2:$P$500,12,FALSE),1))</f>
        <v/>
      </c>
      <c r="I386" s="25"/>
      <c r="J386" s="31" t="str">
        <f>IF(A386="","",IF(H386&lt;=Inicio!$B$16,"Crítico",IF(H386&lt;=Inicio!$B$17,"Observar","OK")))</f>
        <v/>
      </c>
      <c r="K386" s="24"/>
    </row>
    <row r="387" spans="1:11" x14ac:dyDescent="0.35">
      <c r="A387" s="24"/>
      <c r="B387" s="31" t="str">
        <f>IFERROR(VLOOKUP(A387,Clientes_PDV!$A$2:$J$250,2,FALSE),"")</f>
        <v/>
      </c>
      <c r="C387" s="31" t="str">
        <f>IFERROR(VLOOKUP(A387,Clientes_PDV!$A$2:$J$250,3,FALSE),"")</f>
        <v/>
      </c>
      <c r="D387" s="31" t="str">
        <f>IFERROR(VLOOKUP(A387,Clientes_PDV!$A$2:$J$250,4,FALSE),"")</f>
        <v/>
      </c>
      <c r="E387" s="24"/>
      <c r="F387" s="31" t="str">
        <f>IFERROR(VLOOKUP(E387,Maestro_SKU!$A$2:$P$500,2,FALSE),"")</f>
        <v/>
      </c>
      <c r="G387" s="29"/>
      <c r="H387" s="32" t="str">
        <f>IF(OR(G387="",E387=""),"",G387*IFERROR(VLOOKUP(E387,Maestro_SKU!$A$2:$P$500,12,FALSE),1))</f>
        <v/>
      </c>
      <c r="I387" s="25"/>
      <c r="J387" s="31" t="str">
        <f>IF(A387="","",IF(H387&lt;=Inicio!$B$16,"Crítico",IF(H387&lt;=Inicio!$B$17,"Observar","OK")))</f>
        <v/>
      </c>
      <c r="K387" s="24"/>
    </row>
    <row r="388" spans="1:11" x14ac:dyDescent="0.35">
      <c r="A388" s="24"/>
      <c r="B388" s="31" t="str">
        <f>IFERROR(VLOOKUP(A388,Clientes_PDV!$A$2:$J$250,2,FALSE),"")</f>
        <v/>
      </c>
      <c r="C388" s="31" t="str">
        <f>IFERROR(VLOOKUP(A388,Clientes_PDV!$A$2:$J$250,3,FALSE),"")</f>
        <v/>
      </c>
      <c r="D388" s="31" t="str">
        <f>IFERROR(VLOOKUP(A388,Clientes_PDV!$A$2:$J$250,4,FALSE),"")</f>
        <v/>
      </c>
      <c r="E388" s="24"/>
      <c r="F388" s="31" t="str">
        <f>IFERROR(VLOOKUP(E388,Maestro_SKU!$A$2:$P$500,2,FALSE),"")</f>
        <v/>
      </c>
      <c r="G388" s="29"/>
      <c r="H388" s="32" t="str">
        <f>IF(OR(G388="",E388=""),"",G388*IFERROR(VLOOKUP(E388,Maestro_SKU!$A$2:$P$500,12,FALSE),1))</f>
        <v/>
      </c>
      <c r="I388" s="25"/>
      <c r="J388" s="31" t="str">
        <f>IF(A388="","",IF(H388&lt;=Inicio!$B$16,"Crítico",IF(H388&lt;=Inicio!$B$17,"Observar","OK")))</f>
        <v/>
      </c>
      <c r="K388" s="24"/>
    </row>
    <row r="389" spans="1:11" x14ac:dyDescent="0.35">
      <c r="A389" s="24"/>
      <c r="B389" s="31" t="str">
        <f>IFERROR(VLOOKUP(A389,Clientes_PDV!$A$2:$J$250,2,FALSE),"")</f>
        <v/>
      </c>
      <c r="C389" s="31" t="str">
        <f>IFERROR(VLOOKUP(A389,Clientes_PDV!$A$2:$J$250,3,FALSE),"")</f>
        <v/>
      </c>
      <c r="D389" s="31" t="str">
        <f>IFERROR(VLOOKUP(A389,Clientes_PDV!$A$2:$J$250,4,FALSE),"")</f>
        <v/>
      </c>
      <c r="E389" s="24"/>
      <c r="F389" s="31" t="str">
        <f>IFERROR(VLOOKUP(E389,Maestro_SKU!$A$2:$P$500,2,FALSE),"")</f>
        <v/>
      </c>
      <c r="G389" s="29"/>
      <c r="H389" s="32" t="str">
        <f>IF(OR(G389="",E389=""),"",G389*IFERROR(VLOOKUP(E389,Maestro_SKU!$A$2:$P$500,12,FALSE),1))</f>
        <v/>
      </c>
      <c r="I389" s="25"/>
      <c r="J389" s="31" t="str">
        <f>IF(A389="","",IF(H389&lt;=Inicio!$B$16,"Crítico",IF(H389&lt;=Inicio!$B$17,"Observar","OK")))</f>
        <v/>
      </c>
      <c r="K389" s="24"/>
    </row>
    <row r="390" spans="1:11" x14ac:dyDescent="0.35">
      <c r="A390" s="24"/>
      <c r="B390" s="31" t="str">
        <f>IFERROR(VLOOKUP(A390,Clientes_PDV!$A$2:$J$250,2,FALSE),"")</f>
        <v/>
      </c>
      <c r="C390" s="31" t="str">
        <f>IFERROR(VLOOKUP(A390,Clientes_PDV!$A$2:$J$250,3,FALSE),"")</f>
        <v/>
      </c>
      <c r="D390" s="31" t="str">
        <f>IFERROR(VLOOKUP(A390,Clientes_PDV!$A$2:$J$250,4,FALSE),"")</f>
        <v/>
      </c>
      <c r="E390" s="24"/>
      <c r="F390" s="31" t="str">
        <f>IFERROR(VLOOKUP(E390,Maestro_SKU!$A$2:$P$500,2,FALSE),"")</f>
        <v/>
      </c>
      <c r="G390" s="29"/>
      <c r="H390" s="32" t="str">
        <f>IF(OR(G390="",E390=""),"",G390*IFERROR(VLOOKUP(E390,Maestro_SKU!$A$2:$P$500,12,FALSE),1))</f>
        <v/>
      </c>
      <c r="I390" s="25"/>
      <c r="J390" s="31" t="str">
        <f>IF(A390="","",IF(H390&lt;=Inicio!$B$16,"Crítico",IF(H390&lt;=Inicio!$B$17,"Observar","OK")))</f>
        <v/>
      </c>
      <c r="K390" s="24"/>
    </row>
    <row r="391" spans="1:11" x14ac:dyDescent="0.35">
      <c r="A391" s="24"/>
      <c r="B391" s="31" t="str">
        <f>IFERROR(VLOOKUP(A391,Clientes_PDV!$A$2:$J$250,2,FALSE),"")</f>
        <v/>
      </c>
      <c r="C391" s="31" t="str">
        <f>IFERROR(VLOOKUP(A391,Clientes_PDV!$A$2:$J$250,3,FALSE),"")</f>
        <v/>
      </c>
      <c r="D391" s="31" t="str">
        <f>IFERROR(VLOOKUP(A391,Clientes_PDV!$A$2:$J$250,4,FALSE),"")</f>
        <v/>
      </c>
      <c r="E391" s="24"/>
      <c r="F391" s="31" t="str">
        <f>IFERROR(VLOOKUP(E391,Maestro_SKU!$A$2:$P$500,2,FALSE),"")</f>
        <v/>
      </c>
      <c r="G391" s="29"/>
      <c r="H391" s="32" t="str">
        <f>IF(OR(G391="",E391=""),"",G391*IFERROR(VLOOKUP(E391,Maestro_SKU!$A$2:$P$500,12,FALSE),1))</f>
        <v/>
      </c>
      <c r="I391" s="25"/>
      <c r="J391" s="31" t="str">
        <f>IF(A391="","",IF(H391&lt;=Inicio!$B$16,"Crítico",IF(H391&lt;=Inicio!$B$17,"Observar","OK")))</f>
        <v/>
      </c>
      <c r="K391" s="24"/>
    </row>
    <row r="392" spans="1:11" x14ac:dyDescent="0.35">
      <c r="A392" s="24"/>
      <c r="B392" s="31" t="str">
        <f>IFERROR(VLOOKUP(A392,Clientes_PDV!$A$2:$J$250,2,FALSE),"")</f>
        <v/>
      </c>
      <c r="C392" s="31" t="str">
        <f>IFERROR(VLOOKUP(A392,Clientes_PDV!$A$2:$J$250,3,FALSE),"")</f>
        <v/>
      </c>
      <c r="D392" s="31" t="str">
        <f>IFERROR(VLOOKUP(A392,Clientes_PDV!$A$2:$J$250,4,FALSE),"")</f>
        <v/>
      </c>
      <c r="E392" s="24"/>
      <c r="F392" s="31" t="str">
        <f>IFERROR(VLOOKUP(E392,Maestro_SKU!$A$2:$P$500,2,FALSE),"")</f>
        <v/>
      </c>
      <c r="G392" s="29"/>
      <c r="H392" s="32" t="str">
        <f>IF(OR(G392="",E392=""),"",G392*IFERROR(VLOOKUP(E392,Maestro_SKU!$A$2:$P$500,12,FALSE),1))</f>
        <v/>
      </c>
      <c r="I392" s="25"/>
      <c r="J392" s="31" t="str">
        <f>IF(A392="","",IF(H392&lt;=Inicio!$B$16,"Crítico",IF(H392&lt;=Inicio!$B$17,"Observar","OK")))</f>
        <v/>
      </c>
      <c r="K392" s="24"/>
    </row>
    <row r="393" spans="1:11" x14ac:dyDescent="0.35">
      <c r="A393" s="24"/>
      <c r="B393" s="31" t="str">
        <f>IFERROR(VLOOKUP(A393,Clientes_PDV!$A$2:$J$250,2,FALSE),"")</f>
        <v/>
      </c>
      <c r="C393" s="31" t="str">
        <f>IFERROR(VLOOKUP(A393,Clientes_PDV!$A$2:$J$250,3,FALSE),"")</f>
        <v/>
      </c>
      <c r="D393" s="31" t="str">
        <f>IFERROR(VLOOKUP(A393,Clientes_PDV!$A$2:$J$250,4,FALSE),"")</f>
        <v/>
      </c>
      <c r="E393" s="24"/>
      <c r="F393" s="31" t="str">
        <f>IFERROR(VLOOKUP(E393,Maestro_SKU!$A$2:$P$500,2,FALSE),"")</f>
        <v/>
      </c>
      <c r="G393" s="29"/>
      <c r="H393" s="32" t="str">
        <f>IF(OR(G393="",E393=""),"",G393*IFERROR(VLOOKUP(E393,Maestro_SKU!$A$2:$P$500,12,FALSE),1))</f>
        <v/>
      </c>
      <c r="I393" s="25"/>
      <c r="J393" s="31" t="str">
        <f>IF(A393="","",IF(H393&lt;=Inicio!$B$16,"Crítico",IF(H393&lt;=Inicio!$B$17,"Observar","OK")))</f>
        <v/>
      </c>
      <c r="K393" s="24"/>
    </row>
    <row r="394" spans="1:11" x14ac:dyDescent="0.35">
      <c r="A394" s="24"/>
      <c r="B394" s="31" t="str">
        <f>IFERROR(VLOOKUP(A394,Clientes_PDV!$A$2:$J$250,2,FALSE),"")</f>
        <v/>
      </c>
      <c r="C394" s="31" t="str">
        <f>IFERROR(VLOOKUP(A394,Clientes_PDV!$A$2:$J$250,3,FALSE),"")</f>
        <v/>
      </c>
      <c r="D394" s="31" t="str">
        <f>IFERROR(VLOOKUP(A394,Clientes_PDV!$A$2:$J$250,4,FALSE),"")</f>
        <v/>
      </c>
      <c r="E394" s="24"/>
      <c r="F394" s="31" t="str">
        <f>IFERROR(VLOOKUP(E394,Maestro_SKU!$A$2:$P$500,2,FALSE),"")</f>
        <v/>
      </c>
      <c r="G394" s="29"/>
      <c r="H394" s="32" t="str">
        <f>IF(OR(G394="",E394=""),"",G394*IFERROR(VLOOKUP(E394,Maestro_SKU!$A$2:$P$500,12,FALSE),1))</f>
        <v/>
      </c>
      <c r="I394" s="25"/>
      <c r="J394" s="31" t="str">
        <f>IF(A394="","",IF(H394&lt;=Inicio!$B$16,"Crítico",IF(H394&lt;=Inicio!$B$17,"Observar","OK")))</f>
        <v/>
      </c>
      <c r="K394" s="24"/>
    </row>
    <row r="395" spans="1:11" x14ac:dyDescent="0.35">
      <c r="A395" s="24"/>
      <c r="B395" s="31" t="str">
        <f>IFERROR(VLOOKUP(A395,Clientes_PDV!$A$2:$J$250,2,FALSE),"")</f>
        <v/>
      </c>
      <c r="C395" s="31" t="str">
        <f>IFERROR(VLOOKUP(A395,Clientes_PDV!$A$2:$J$250,3,FALSE),"")</f>
        <v/>
      </c>
      <c r="D395" s="31" t="str">
        <f>IFERROR(VLOOKUP(A395,Clientes_PDV!$A$2:$J$250,4,FALSE),"")</f>
        <v/>
      </c>
      <c r="E395" s="24"/>
      <c r="F395" s="31" t="str">
        <f>IFERROR(VLOOKUP(E395,Maestro_SKU!$A$2:$P$500,2,FALSE),"")</f>
        <v/>
      </c>
      <c r="G395" s="29"/>
      <c r="H395" s="32" t="str">
        <f>IF(OR(G395="",E395=""),"",G395*IFERROR(VLOOKUP(E395,Maestro_SKU!$A$2:$P$500,12,FALSE),1))</f>
        <v/>
      </c>
      <c r="I395" s="25"/>
      <c r="J395" s="31" t="str">
        <f>IF(A395="","",IF(H395&lt;=Inicio!$B$16,"Crítico",IF(H395&lt;=Inicio!$B$17,"Observar","OK")))</f>
        <v/>
      </c>
      <c r="K395" s="24"/>
    </row>
    <row r="396" spans="1:11" x14ac:dyDescent="0.35">
      <c r="A396" s="24"/>
      <c r="B396" s="31" t="str">
        <f>IFERROR(VLOOKUP(A396,Clientes_PDV!$A$2:$J$250,2,FALSE),"")</f>
        <v/>
      </c>
      <c r="C396" s="31" t="str">
        <f>IFERROR(VLOOKUP(A396,Clientes_PDV!$A$2:$J$250,3,FALSE),"")</f>
        <v/>
      </c>
      <c r="D396" s="31" t="str">
        <f>IFERROR(VLOOKUP(A396,Clientes_PDV!$A$2:$J$250,4,FALSE),"")</f>
        <v/>
      </c>
      <c r="E396" s="24"/>
      <c r="F396" s="31" t="str">
        <f>IFERROR(VLOOKUP(E396,Maestro_SKU!$A$2:$P$500,2,FALSE),"")</f>
        <v/>
      </c>
      <c r="G396" s="29"/>
      <c r="H396" s="32" t="str">
        <f>IF(OR(G396="",E396=""),"",G396*IFERROR(VLOOKUP(E396,Maestro_SKU!$A$2:$P$500,12,FALSE),1))</f>
        <v/>
      </c>
      <c r="I396" s="25"/>
      <c r="J396" s="31" t="str">
        <f>IF(A396="","",IF(H396&lt;=Inicio!$B$16,"Crítico",IF(H396&lt;=Inicio!$B$17,"Observar","OK")))</f>
        <v/>
      </c>
      <c r="K396" s="24"/>
    </row>
    <row r="397" spans="1:11" x14ac:dyDescent="0.35">
      <c r="A397" s="24"/>
      <c r="B397" s="31" t="str">
        <f>IFERROR(VLOOKUP(A397,Clientes_PDV!$A$2:$J$250,2,FALSE),"")</f>
        <v/>
      </c>
      <c r="C397" s="31" t="str">
        <f>IFERROR(VLOOKUP(A397,Clientes_PDV!$A$2:$J$250,3,FALSE),"")</f>
        <v/>
      </c>
      <c r="D397" s="31" t="str">
        <f>IFERROR(VLOOKUP(A397,Clientes_PDV!$A$2:$J$250,4,FALSE),"")</f>
        <v/>
      </c>
      <c r="E397" s="24"/>
      <c r="F397" s="31" t="str">
        <f>IFERROR(VLOOKUP(E397,Maestro_SKU!$A$2:$P$500,2,FALSE),"")</f>
        <v/>
      </c>
      <c r="G397" s="29"/>
      <c r="H397" s="32" t="str">
        <f>IF(OR(G397="",E397=""),"",G397*IFERROR(VLOOKUP(E397,Maestro_SKU!$A$2:$P$500,12,FALSE),1))</f>
        <v/>
      </c>
      <c r="I397" s="25"/>
      <c r="J397" s="31" t="str">
        <f>IF(A397="","",IF(H397&lt;=Inicio!$B$16,"Crítico",IF(H397&lt;=Inicio!$B$17,"Observar","OK")))</f>
        <v/>
      </c>
      <c r="K397" s="24"/>
    </row>
    <row r="398" spans="1:11" x14ac:dyDescent="0.35">
      <c r="A398" s="24"/>
      <c r="B398" s="31" t="str">
        <f>IFERROR(VLOOKUP(A398,Clientes_PDV!$A$2:$J$250,2,FALSE),"")</f>
        <v/>
      </c>
      <c r="C398" s="31" t="str">
        <f>IFERROR(VLOOKUP(A398,Clientes_PDV!$A$2:$J$250,3,FALSE),"")</f>
        <v/>
      </c>
      <c r="D398" s="31" t="str">
        <f>IFERROR(VLOOKUP(A398,Clientes_PDV!$A$2:$J$250,4,FALSE),"")</f>
        <v/>
      </c>
      <c r="E398" s="24"/>
      <c r="F398" s="31" t="str">
        <f>IFERROR(VLOOKUP(E398,Maestro_SKU!$A$2:$P$500,2,FALSE),"")</f>
        <v/>
      </c>
      <c r="G398" s="29"/>
      <c r="H398" s="32" t="str">
        <f>IF(OR(G398="",E398=""),"",G398*IFERROR(VLOOKUP(E398,Maestro_SKU!$A$2:$P$500,12,FALSE),1))</f>
        <v/>
      </c>
      <c r="I398" s="25"/>
      <c r="J398" s="31" t="str">
        <f>IF(A398="","",IF(H398&lt;=Inicio!$B$16,"Crítico",IF(H398&lt;=Inicio!$B$17,"Observar","OK")))</f>
        <v/>
      </c>
      <c r="K398" s="24"/>
    </row>
    <row r="399" spans="1:11" x14ac:dyDescent="0.35">
      <c r="A399" s="24"/>
      <c r="B399" s="31" t="str">
        <f>IFERROR(VLOOKUP(A399,Clientes_PDV!$A$2:$J$250,2,FALSE),"")</f>
        <v/>
      </c>
      <c r="C399" s="31" t="str">
        <f>IFERROR(VLOOKUP(A399,Clientes_PDV!$A$2:$J$250,3,FALSE),"")</f>
        <v/>
      </c>
      <c r="D399" s="31" t="str">
        <f>IFERROR(VLOOKUP(A399,Clientes_PDV!$A$2:$J$250,4,FALSE),"")</f>
        <v/>
      </c>
      <c r="E399" s="24"/>
      <c r="F399" s="31" t="str">
        <f>IFERROR(VLOOKUP(E399,Maestro_SKU!$A$2:$P$500,2,FALSE),"")</f>
        <v/>
      </c>
      <c r="G399" s="29"/>
      <c r="H399" s="32" t="str">
        <f>IF(OR(G399="",E399=""),"",G399*IFERROR(VLOOKUP(E399,Maestro_SKU!$A$2:$P$500,12,FALSE),1))</f>
        <v/>
      </c>
      <c r="I399" s="25"/>
      <c r="J399" s="31" t="str">
        <f>IF(A399="","",IF(H399&lt;=Inicio!$B$16,"Crítico",IF(H399&lt;=Inicio!$B$17,"Observar","OK")))</f>
        <v/>
      </c>
      <c r="K399" s="24"/>
    </row>
    <row r="400" spans="1:11" x14ac:dyDescent="0.35">
      <c r="A400" s="24"/>
      <c r="B400" s="31" t="str">
        <f>IFERROR(VLOOKUP(A400,Clientes_PDV!$A$2:$J$250,2,FALSE),"")</f>
        <v/>
      </c>
      <c r="C400" s="31" t="str">
        <f>IFERROR(VLOOKUP(A400,Clientes_PDV!$A$2:$J$250,3,FALSE),"")</f>
        <v/>
      </c>
      <c r="D400" s="31" t="str">
        <f>IFERROR(VLOOKUP(A400,Clientes_PDV!$A$2:$J$250,4,FALSE),"")</f>
        <v/>
      </c>
      <c r="E400" s="24"/>
      <c r="F400" s="31" t="str">
        <f>IFERROR(VLOOKUP(E400,Maestro_SKU!$A$2:$P$500,2,FALSE),"")</f>
        <v/>
      </c>
      <c r="G400" s="29"/>
      <c r="H400" s="32" t="str">
        <f>IF(OR(G400="",E400=""),"",G400*IFERROR(VLOOKUP(E400,Maestro_SKU!$A$2:$P$500,12,FALSE),1))</f>
        <v/>
      </c>
      <c r="I400" s="25"/>
      <c r="J400" s="31" t="str">
        <f>IF(A400="","",IF(H400&lt;=Inicio!$B$16,"Crítico",IF(H400&lt;=Inicio!$B$17,"Observar","OK")))</f>
        <v/>
      </c>
      <c r="K400" s="24"/>
    </row>
    <row r="401" spans="1:11" x14ac:dyDescent="0.35">
      <c r="A401" s="24"/>
      <c r="B401" s="31" t="str">
        <f>IFERROR(VLOOKUP(A401,Clientes_PDV!$A$2:$J$250,2,FALSE),"")</f>
        <v/>
      </c>
      <c r="C401" s="31" t="str">
        <f>IFERROR(VLOOKUP(A401,Clientes_PDV!$A$2:$J$250,3,FALSE),"")</f>
        <v/>
      </c>
      <c r="D401" s="31" t="str">
        <f>IFERROR(VLOOKUP(A401,Clientes_PDV!$A$2:$J$250,4,FALSE),"")</f>
        <v/>
      </c>
      <c r="E401" s="24"/>
      <c r="F401" s="31" t="str">
        <f>IFERROR(VLOOKUP(E401,Maestro_SKU!$A$2:$P$500,2,FALSE),"")</f>
        <v/>
      </c>
      <c r="G401" s="29"/>
      <c r="H401" s="32" t="str">
        <f>IF(OR(G401="",E401=""),"",G401*IFERROR(VLOOKUP(E401,Maestro_SKU!$A$2:$P$500,12,FALSE),1))</f>
        <v/>
      </c>
      <c r="I401" s="25"/>
      <c r="J401" s="31" t="str">
        <f>IF(A401="","",IF(H401&lt;=Inicio!$B$16,"Crítico",IF(H401&lt;=Inicio!$B$17,"Observar","OK")))</f>
        <v/>
      </c>
      <c r="K401" s="24"/>
    </row>
    <row r="402" spans="1:11" x14ac:dyDescent="0.35">
      <c r="A402" s="24"/>
      <c r="B402" s="31" t="str">
        <f>IFERROR(VLOOKUP(A402,Clientes_PDV!$A$2:$J$250,2,FALSE),"")</f>
        <v/>
      </c>
      <c r="C402" s="31" t="str">
        <f>IFERROR(VLOOKUP(A402,Clientes_PDV!$A$2:$J$250,3,FALSE),"")</f>
        <v/>
      </c>
      <c r="D402" s="31" t="str">
        <f>IFERROR(VLOOKUP(A402,Clientes_PDV!$A$2:$J$250,4,FALSE),"")</f>
        <v/>
      </c>
      <c r="E402" s="24"/>
      <c r="F402" s="31" t="str">
        <f>IFERROR(VLOOKUP(E402,Maestro_SKU!$A$2:$P$500,2,FALSE),"")</f>
        <v/>
      </c>
      <c r="G402" s="29"/>
      <c r="H402" s="32" t="str">
        <f>IF(OR(G402="",E402=""),"",G402*IFERROR(VLOOKUP(E402,Maestro_SKU!$A$2:$P$500,12,FALSE),1))</f>
        <v/>
      </c>
      <c r="I402" s="25"/>
      <c r="J402" s="31" t="str">
        <f>IF(A402="","",IF(H402&lt;=Inicio!$B$16,"Crítico",IF(H402&lt;=Inicio!$B$17,"Observar","OK")))</f>
        <v/>
      </c>
      <c r="K402" s="24"/>
    </row>
    <row r="403" spans="1:11" x14ac:dyDescent="0.35">
      <c r="A403" s="24"/>
      <c r="B403" s="31" t="str">
        <f>IFERROR(VLOOKUP(A403,Clientes_PDV!$A$2:$J$250,2,FALSE),"")</f>
        <v/>
      </c>
      <c r="C403" s="31" t="str">
        <f>IFERROR(VLOOKUP(A403,Clientes_PDV!$A$2:$J$250,3,FALSE),"")</f>
        <v/>
      </c>
      <c r="D403" s="31" t="str">
        <f>IFERROR(VLOOKUP(A403,Clientes_PDV!$A$2:$J$250,4,FALSE),"")</f>
        <v/>
      </c>
      <c r="E403" s="24"/>
      <c r="F403" s="31" t="str">
        <f>IFERROR(VLOOKUP(E403,Maestro_SKU!$A$2:$P$500,2,FALSE),"")</f>
        <v/>
      </c>
      <c r="G403" s="29"/>
      <c r="H403" s="32" t="str">
        <f>IF(OR(G403="",E403=""),"",G403*IFERROR(VLOOKUP(E403,Maestro_SKU!$A$2:$P$500,12,FALSE),1))</f>
        <v/>
      </c>
      <c r="I403" s="25"/>
      <c r="J403" s="31" t="str">
        <f>IF(A403="","",IF(H403&lt;=Inicio!$B$16,"Crítico",IF(H403&lt;=Inicio!$B$17,"Observar","OK")))</f>
        <v/>
      </c>
      <c r="K403" s="24"/>
    </row>
    <row r="404" spans="1:11" x14ac:dyDescent="0.35">
      <c r="A404" s="24"/>
      <c r="B404" s="31" t="str">
        <f>IFERROR(VLOOKUP(A404,Clientes_PDV!$A$2:$J$250,2,FALSE),"")</f>
        <v/>
      </c>
      <c r="C404" s="31" t="str">
        <f>IFERROR(VLOOKUP(A404,Clientes_PDV!$A$2:$J$250,3,FALSE),"")</f>
        <v/>
      </c>
      <c r="D404" s="31" t="str">
        <f>IFERROR(VLOOKUP(A404,Clientes_PDV!$A$2:$J$250,4,FALSE),"")</f>
        <v/>
      </c>
      <c r="E404" s="24"/>
      <c r="F404" s="31" t="str">
        <f>IFERROR(VLOOKUP(E404,Maestro_SKU!$A$2:$P$500,2,FALSE),"")</f>
        <v/>
      </c>
      <c r="G404" s="29"/>
      <c r="H404" s="32" t="str">
        <f>IF(OR(G404="",E404=""),"",G404*IFERROR(VLOOKUP(E404,Maestro_SKU!$A$2:$P$500,12,FALSE),1))</f>
        <v/>
      </c>
      <c r="I404" s="25"/>
      <c r="J404" s="31" t="str">
        <f>IF(A404="","",IF(H404&lt;=Inicio!$B$16,"Crítico",IF(H404&lt;=Inicio!$B$17,"Observar","OK")))</f>
        <v/>
      </c>
      <c r="K404" s="24"/>
    </row>
    <row r="405" spans="1:11" x14ac:dyDescent="0.35">
      <c r="A405" s="24"/>
      <c r="B405" s="31" t="str">
        <f>IFERROR(VLOOKUP(A405,Clientes_PDV!$A$2:$J$250,2,FALSE),"")</f>
        <v/>
      </c>
      <c r="C405" s="31" t="str">
        <f>IFERROR(VLOOKUP(A405,Clientes_PDV!$A$2:$J$250,3,FALSE),"")</f>
        <v/>
      </c>
      <c r="D405" s="31" t="str">
        <f>IFERROR(VLOOKUP(A405,Clientes_PDV!$A$2:$J$250,4,FALSE),"")</f>
        <v/>
      </c>
      <c r="E405" s="24"/>
      <c r="F405" s="31" t="str">
        <f>IFERROR(VLOOKUP(E405,Maestro_SKU!$A$2:$P$500,2,FALSE),"")</f>
        <v/>
      </c>
      <c r="G405" s="29"/>
      <c r="H405" s="32" t="str">
        <f>IF(OR(G405="",E405=""),"",G405*IFERROR(VLOOKUP(E405,Maestro_SKU!$A$2:$P$500,12,FALSE),1))</f>
        <v/>
      </c>
      <c r="I405" s="25"/>
      <c r="J405" s="31" t="str">
        <f>IF(A405="","",IF(H405&lt;=Inicio!$B$16,"Crítico",IF(H405&lt;=Inicio!$B$17,"Observar","OK")))</f>
        <v/>
      </c>
      <c r="K405" s="24"/>
    </row>
    <row r="406" spans="1:11" x14ac:dyDescent="0.35">
      <c r="A406" s="24"/>
      <c r="B406" s="31" t="str">
        <f>IFERROR(VLOOKUP(A406,Clientes_PDV!$A$2:$J$250,2,FALSE),"")</f>
        <v/>
      </c>
      <c r="C406" s="31" t="str">
        <f>IFERROR(VLOOKUP(A406,Clientes_PDV!$A$2:$J$250,3,FALSE),"")</f>
        <v/>
      </c>
      <c r="D406" s="31" t="str">
        <f>IFERROR(VLOOKUP(A406,Clientes_PDV!$A$2:$J$250,4,FALSE),"")</f>
        <v/>
      </c>
      <c r="E406" s="24"/>
      <c r="F406" s="31" t="str">
        <f>IFERROR(VLOOKUP(E406,Maestro_SKU!$A$2:$P$500,2,FALSE),"")</f>
        <v/>
      </c>
      <c r="G406" s="29"/>
      <c r="H406" s="32" t="str">
        <f>IF(OR(G406="",E406=""),"",G406*IFERROR(VLOOKUP(E406,Maestro_SKU!$A$2:$P$500,12,FALSE),1))</f>
        <v/>
      </c>
      <c r="I406" s="25"/>
      <c r="J406" s="31" t="str">
        <f>IF(A406="","",IF(H406&lt;=Inicio!$B$16,"Crítico",IF(H406&lt;=Inicio!$B$17,"Observar","OK")))</f>
        <v/>
      </c>
      <c r="K406" s="24"/>
    </row>
    <row r="407" spans="1:11" x14ac:dyDescent="0.35">
      <c r="A407" s="24"/>
      <c r="B407" s="31" t="str">
        <f>IFERROR(VLOOKUP(A407,Clientes_PDV!$A$2:$J$250,2,FALSE),"")</f>
        <v/>
      </c>
      <c r="C407" s="31" t="str">
        <f>IFERROR(VLOOKUP(A407,Clientes_PDV!$A$2:$J$250,3,FALSE),"")</f>
        <v/>
      </c>
      <c r="D407" s="31" t="str">
        <f>IFERROR(VLOOKUP(A407,Clientes_PDV!$A$2:$J$250,4,FALSE),"")</f>
        <v/>
      </c>
      <c r="E407" s="24"/>
      <c r="F407" s="31" t="str">
        <f>IFERROR(VLOOKUP(E407,Maestro_SKU!$A$2:$P$500,2,FALSE),"")</f>
        <v/>
      </c>
      <c r="G407" s="29"/>
      <c r="H407" s="32" t="str">
        <f>IF(OR(G407="",E407=""),"",G407*IFERROR(VLOOKUP(E407,Maestro_SKU!$A$2:$P$500,12,FALSE),1))</f>
        <v/>
      </c>
      <c r="I407" s="25"/>
      <c r="J407" s="31" t="str">
        <f>IF(A407="","",IF(H407&lt;=Inicio!$B$16,"Crítico",IF(H407&lt;=Inicio!$B$17,"Observar","OK")))</f>
        <v/>
      </c>
      <c r="K407" s="24"/>
    </row>
    <row r="408" spans="1:11" x14ac:dyDescent="0.35">
      <c r="A408" s="24"/>
      <c r="B408" s="31" t="str">
        <f>IFERROR(VLOOKUP(A408,Clientes_PDV!$A$2:$J$250,2,FALSE),"")</f>
        <v/>
      </c>
      <c r="C408" s="31" t="str">
        <f>IFERROR(VLOOKUP(A408,Clientes_PDV!$A$2:$J$250,3,FALSE),"")</f>
        <v/>
      </c>
      <c r="D408" s="31" t="str">
        <f>IFERROR(VLOOKUP(A408,Clientes_PDV!$A$2:$J$250,4,FALSE),"")</f>
        <v/>
      </c>
      <c r="E408" s="24"/>
      <c r="F408" s="31" t="str">
        <f>IFERROR(VLOOKUP(E408,Maestro_SKU!$A$2:$P$500,2,FALSE),"")</f>
        <v/>
      </c>
      <c r="G408" s="29"/>
      <c r="H408" s="32" t="str">
        <f>IF(OR(G408="",E408=""),"",G408*IFERROR(VLOOKUP(E408,Maestro_SKU!$A$2:$P$500,12,FALSE),1))</f>
        <v/>
      </c>
      <c r="I408" s="25"/>
      <c r="J408" s="31" t="str">
        <f>IF(A408="","",IF(H408&lt;=Inicio!$B$16,"Crítico",IF(H408&lt;=Inicio!$B$17,"Observar","OK")))</f>
        <v/>
      </c>
      <c r="K408" s="24"/>
    </row>
    <row r="409" spans="1:11" x14ac:dyDescent="0.35">
      <c r="A409" s="24"/>
      <c r="B409" s="31" t="str">
        <f>IFERROR(VLOOKUP(A409,Clientes_PDV!$A$2:$J$250,2,FALSE),"")</f>
        <v/>
      </c>
      <c r="C409" s="31" t="str">
        <f>IFERROR(VLOOKUP(A409,Clientes_PDV!$A$2:$J$250,3,FALSE),"")</f>
        <v/>
      </c>
      <c r="D409" s="31" t="str">
        <f>IFERROR(VLOOKUP(A409,Clientes_PDV!$A$2:$J$250,4,FALSE),"")</f>
        <v/>
      </c>
      <c r="E409" s="24"/>
      <c r="F409" s="31" t="str">
        <f>IFERROR(VLOOKUP(E409,Maestro_SKU!$A$2:$P$500,2,FALSE),"")</f>
        <v/>
      </c>
      <c r="G409" s="29"/>
      <c r="H409" s="32" t="str">
        <f>IF(OR(G409="",E409=""),"",G409*IFERROR(VLOOKUP(E409,Maestro_SKU!$A$2:$P$500,12,FALSE),1))</f>
        <v/>
      </c>
      <c r="I409" s="25"/>
      <c r="J409" s="31" t="str">
        <f>IF(A409="","",IF(H409&lt;=Inicio!$B$16,"Crítico",IF(H409&lt;=Inicio!$B$17,"Observar","OK")))</f>
        <v/>
      </c>
      <c r="K409" s="24"/>
    </row>
    <row r="410" spans="1:11" x14ac:dyDescent="0.35">
      <c r="A410" s="24"/>
      <c r="B410" s="31" t="str">
        <f>IFERROR(VLOOKUP(A410,Clientes_PDV!$A$2:$J$250,2,FALSE),"")</f>
        <v/>
      </c>
      <c r="C410" s="31" t="str">
        <f>IFERROR(VLOOKUP(A410,Clientes_PDV!$A$2:$J$250,3,FALSE),"")</f>
        <v/>
      </c>
      <c r="D410" s="31" t="str">
        <f>IFERROR(VLOOKUP(A410,Clientes_PDV!$A$2:$J$250,4,FALSE),"")</f>
        <v/>
      </c>
      <c r="E410" s="24"/>
      <c r="F410" s="31" t="str">
        <f>IFERROR(VLOOKUP(E410,Maestro_SKU!$A$2:$P$500,2,FALSE),"")</f>
        <v/>
      </c>
      <c r="G410" s="29"/>
      <c r="H410" s="32" t="str">
        <f>IF(OR(G410="",E410=""),"",G410*IFERROR(VLOOKUP(E410,Maestro_SKU!$A$2:$P$500,12,FALSE),1))</f>
        <v/>
      </c>
      <c r="I410" s="25"/>
      <c r="J410" s="31" t="str">
        <f>IF(A410="","",IF(H410&lt;=Inicio!$B$16,"Crítico",IF(H410&lt;=Inicio!$B$17,"Observar","OK")))</f>
        <v/>
      </c>
      <c r="K410" s="24"/>
    </row>
    <row r="411" spans="1:11" x14ac:dyDescent="0.35">
      <c r="A411" s="24"/>
      <c r="B411" s="31" t="str">
        <f>IFERROR(VLOOKUP(A411,Clientes_PDV!$A$2:$J$250,2,FALSE),"")</f>
        <v/>
      </c>
      <c r="C411" s="31" t="str">
        <f>IFERROR(VLOOKUP(A411,Clientes_PDV!$A$2:$J$250,3,FALSE),"")</f>
        <v/>
      </c>
      <c r="D411" s="31" t="str">
        <f>IFERROR(VLOOKUP(A411,Clientes_PDV!$A$2:$J$250,4,FALSE),"")</f>
        <v/>
      </c>
      <c r="E411" s="24"/>
      <c r="F411" s="31" t="str">
        <f>IFERROR(VLOOKUP(E411,Maestro_SKU!$A$2:$P$500,2,FALSE),"")</f>
        <v/>
      </c>
      <c r="G411" s="29"/>
      <c r="H411" s="32" t="str">
        <f>IF(OR(G411="",E411=""),"",G411*IFERROR(VLOOKUP(E411,Maestro_SKU!$A$2:$P$500,12,FALSE),1))</f>
        <v/>
      </c>
      <c r="I411" s="25"/>
      <c r="J411" s="31" t="str">
        <f>IF(A411="","",IF(H411&lt;=Inicio!$B$16,"Crítico",IF(H411&lt;=Inicio!$B$17,"Observar","OK")))</f>
        <v/>
      </c>
      <c r="K411" s="24"/>
    </row>
    <row r="412" spans="1:11" x14ac:dyDescent="0.35">
      <c r="A412" s="24"/>
      <c r="B412" s="31" t="str">
        <f>IFERROR(VLOOKUP(A412,Clientes_PDV!$A$2:$J$250,2,FALSE),"")</f>
        <v/>
      </c>
      <c r="C412" s="31" t="str">
        <f>IFERROR(VLOOKUP(A412,Clientes_PDV!$A$2:$J$250,3,FALSE),"")</f>
        <v/>
      </c>
      <c r="D412" s="31" t="str">
        <f>IFERROR(VLOOKUP(A412,Clientes_PDV!$A$2:$J$250,4,FALSE),"")</f>
        <v/>
      </c>
      <c r="E412" s="24"/>
      <c r="F412" s="31" t="str">
        <f>IFERROR(VLOOKUP(E412,Maestro_SKU!$A$2:$P$500,2,FALSE),"")</f>
        <v/>
      </c>
      <c r="G412" s="29"/>
      <c r="H412" s="32" t="str">
        <f>IF(OR(G412="",E412=""),"",G412*IFERROR(VLOOKUP(E412,Maestro_SKU!$A$2:$P$500,12,FALSE),1))</f>
        <v/>
      </c>
      <c r="I412" s="25"/>
      <c r="J412" s="31" t="str">
        <f>IF(A412="","",IF(H412&lt;=Inicio!$B$16,"Crítico",IF(H412&lt;=Inicio!$B$17,"Observar","OK")))</f>
        <v/>
      </c>
      <c r="K412" s="24"/>
    </row>
    <row r="413" spans="1:11" x14ac:dyDescent="0.35">
      <c r="A413" s="24"/>
      <c r="B413" s="31" t="str">
        <f>IFERROR(VLOOKUP(A413,Clientes_PDV!$A$2:$J$250,2,FALSE),"")</f>
        <v/>
      </c>
      <c r="C413" s="31" t="str">
        <f>IFERROR(VLOOKUP(A413,Clientes_PDV!$A$2:$J$250,3,FALSE),"")</f>
        <v/>
      </c>
      <c r="D413" s="31" t="str">
        <f>IFERROR(VLOOKUP(A413,Clientes_PDV!$A$2:$J$250,4,FALSE),"")</f>
        <v/>
      </c>
      <c r="E413" s="24"/>
      <c r="F413" s="31" t="str">
        <f>IFERROR(VLOOKUP(E413,Maestro_SKU!$A$2:$P$500,2,FALSE),"")</f>
        <v/>
      </c>
      <c r="G413" s="29"/>
      <c r="H413" s="32" t="str">
        <f>IF(OR(G413="",E413=""),"",G413*IFERROR(VLOOKUP(E413,Maestro_SKU!$A$2:$P$500,12,FALSE),1))</f>
        <v/>
      </c>
      <c r="I413" s="25"/>
      <c r="J413" s="31" t="str">
        <f>IF(A413="","",IF(H413&lt;=Inicio!$B$16,"Crítico",IF(H413&lt;=Inicio!$B$17,"Observar","OK")))</f>
        <v/>
      </c>
      <c r="K413" s="24"/>
    </row>
    <row r="414" spans="1:11" x14ac:dyDescent="0.35">
      <c r="A414" s="24"/>
      <c r="B414" s="31" t="str">
        <f>IFERROR(VLOOKUP(A414,Clientes_PDV!$A$2:$J$250,2,FALSE),"")</f>
        <v/>
      </c>
      <c r="C414" s="31" t="str">
        <f>IFERROR(VLOOKUP(A414,Clientes_PDV!$A$2:$J$250,3,FALSE),"")</f>
        <v/>
      </c>
      <c r="D414" s="31" t="str">
        <f>IFERROR(VLOOKUP(A414,Clientes_PDV!$A$2:$J$250,4,FALSE),"")</f>
        <v/>
      </c>
      <c r="E414" s="24"/>
      <c r="F414" s="31" t="str">
        <f>IFERROR(VLOOKUP(E414,Maestro_SKU!$A$2:$P$500,2,FALSE),"")</f>
        <v/>
      </c>
      <c r="G414" s="29"/>
      <c r="H414" s="32" t="str">
        <f>IF(OR(G414="",E414=""),"",G414*IFERROR(VLOOKUP(E414,Maestro_SKU!$A$2:$P$500,12,FALSE),1))</f>
        <v/>
      </c>
      <c r="I414" s="25"/>
      <c r="J414" s="31" t="str">
        <f>IF(A414="","",IF(H414&lt;=Inicio!$B$16,"Crítico",IF(H414&lt;=Inicio!$B$17,"Observar","OK")))</f>
        <v/>
      </c>
      <c r="K414" s="24"/>
    </row>
    <row r="415" spans="1:11" x14ac:dyDescent="0.35">
      <c r="A415" s="24"/>
      <c r="B415" s="31" t="str">
        <f>IFERROR(VLOOKUP(A415,Clientes_PDV!$A$2:$J$250,2,FALSE),"")</f>
        <v/>
      </c>
      <c r="C415" s="31" t="str">
        <f>IFERROR(VLOOKUP(A415,Clientes_PDV!$A$2:$J$250,3,FALSE),"")</f>
        <v/>
      </c>
      <c r="D415" s="31" t="str">
        <f>IFERROR(VLOOKUP(A415,Clientes_PDV!$A$2:$J$250,4,FALSE),"")</f>
        <v/>
      </c>
      <c r="E415" s="24"/>
      <c r="F415" s="31" t="str">
        <f>IFERROR(VLOOKUP(E415,Maestro_SKU!$A$2:$P$500,2,FALSE),"")</f>
        <v/>
      </c>
      <c r="G415" s="29"/>
      <c r="H415" s="32" t="str">
        <f>IF(OR(G415="",E415=""),"",G415*IFERROR(VLOOKUP(E415,Maestro_SKU!$A$2:$P$500,12,FALSE),1))</f>
        <v/>
      </c>
      <c r="I415" s="25"/>
      <c r="J415" s="31" t="str">
        <f>IF(A415="","",IF(H415&lt;=Inicio!$B$16,"Crítico",IF(H415&lt;=Inicio!$B$17,"Observar","OK")))</f>
        <v/>
      </c>
      <c r="K415" s="24"/>
    </row>
    <row r="416" spans="1:11" x14ac:dyDescent="0.35">
      <c r="A416" s="24"/>
      <c r="B416" s="31" t="str">
        <f>IFERROR(VLOOKUP(A416,Clientes_PDV!$A$2:$J$250,2,FALSE),"")</f>
        <v/>
      </c>
      <c r="C416" s="31" t="str">
        <f>IFERROR(VLOOKUP(A416,Clientes_PDV!$A$2:$J$250,3,FALSE),"")</f>
        <v/>
      </c>
      <c r="D416" s="31" t="str">
        <f>IFERROR(VLOOKUP(A416,Clientes_PDV!$A$2:$J$250,4,FALSE),"")</f>
        <v/>
      </c>
      <c r="E416" s="24"/>
      <c r="F416" s="31" t="str">
        <f>IFERROR(VLOOKUP(E416,Maestro_SKU!$A$2:$P$500,2,FALSE),"")</f>
        <v/>
      </c>
      <c r="G416" s="29"/>
      <c r="H416" s="32" t="str">
        <f>IF(OR(G416="",E416=""),"",G416*IFERROR(VLOOKUP(E416,Maestro_SKU!$A$2:$P$500,12,FALSE),1))</f>
        <v/>
      </c>
      <c r="I416" s="25"/>
      <c r="J416" s="31" t="str">
        <f>IF(A416="","",IF(H416&lt;=Inicio!$B$16,"Crítico",IF(H416&lt;=Inicio!$B$17,"Observar","OK")))</f>
        <v/>
      </c>
      <c r="K416" s="24"/>
    </row>
    <row r="417" spans="1:11" x14ac:dyDescent="0.35">
      <c r="A417" s="24"/>
      <c r="B417" s="31" t="str">
        <f>IFERROR(VLOOKUP(A417,Clientes_PDV!$A$2:$J$250,2,FALSE),"")</f>
        <v/>
      </c>
      <c r="C417" s="31" t="str">
        <f>IFERROR(VLOOKUP(A417,Clientes_PDV!$A$2:$J$250,3,FALSE),"")</f>
        <v/>
      </c>
      <c r="D417" s="31" t="str">
        <f>IFERROR(VLOOKUP(A417,Clientes_PDV!$A$2:$J$250,4,FALSE),"")</f>
        <v/>
      </c>
      <c r="E417" s="24"/>
      <c r="F417" s="31" t="str">
        <f>IFERROR(VLOOKUP(E417,Maestro_SKU!$A$2:$P$500,2,FALSE),"")</f>
        <v/>
      </c>
      <c r="G417" s="29"/>
      <c r="H417" s="32" t="str">
        <f>IF(OR(G417="",E417=""),"",G417*IFERROR(VLOOKUP(E417,Maestro_SKU!$A$2:$P$500,12,FALSE),1))</f>
        <v/>
      </c>
      <c r="I417" s="25"/>
      <c r="J417" s="31" t="str">
        <f>IF(A417="","",IF(H417&lt;=Inicio!$B$16,"Crítico",IF(H417&lt;=Inicio!$B$17,"Observar","OK")))</f>
        <v/>
      </c>
      <c r="K417" s="24"/>
    </row>
    <row r="418" spans="1:11" x14ac:dyDescent="0.35">
      <c r="A418" s="24"/>
      <c r="B418" s="31" t="str">
        <f>IFERROR(VLOOKUP(A418,Clientes_PDV!$A$2:$J$250,2,FALSE),"")</f>
        <v/>
      </c>
      <c r="C418" s="31" t="str">
        <f>IFERROR(VLOOKUP(A418,Clientes_PDV!$A$2:$J$250,3,FALSE),"")</f>
        <v/>
      </c>
      <c r="D418" s="31" t="str">
        <f>IFERROR(VLOOKUP(A418,Clientes_PDV!$A$2:$J$250,4,FALSE),"")</f>
        <v/>
      </c>
      <c r="E418" s="24"/>
      <c r="F418" s="31" t="str">
        <f>IFERROR(VLOOKUP(E418,Maestro_SKU!$A$2:$P$500,2,FALSE),"")</f>
        <v/>
      </c>
      <c r="G418" s="29"/>
      <c r="H418" s="32" t="str">
        <f>IF(OR(G418="",E418=""),"",G418*IFERROR(VLOOKUP(E418,Maestro_SKU!$A$2:$P$500,12,FALSE),1))</f>
        <v/>
      </c>
      <c r="I418" s="25"/>
      <c r="J418" s="31" t="str">
        <f>IF(A418="","",IF(H418&lt;=Inicio!$B$16,"Crítico",IF(H418&lt;=Inicio!$B$17,"Observar","OK")))</f>
        <v/>
      </c>
      <c r="K418" s="24"/>
    </row>
    <row r="419" spans="1:11" x14ac:dyDescent="0.35">
      <c r="A419" s="24"/>
      <c r="B419" s="31" t="str">
        <f>IFERROR(VLOOKUP(A419,Clientes_PDV!$A$2:$J$250,2,FALSE),"")</f>
        <v/>
      </c>
      <c r="C419" s="31" t="str">
        <f>IFERROR(VLOOKUP(A419,Clientes_PDV!$A$2:$J$250,3,FALSE),"")</f>
        <v/>
      </c>
      <c r="D419" s="31" t="str">
        <f>IFERROR(VLOOKUP(A419,Clientes_PDV!$A$2:$J$250,4,FALSE),"")</f>
        <v/>
      </c>
      <c r="E419" s="24"/>
      <c r="F419" s="31" t="str">
        <f>IFERROR(VLOOKUP(E419,Maestro_SKU!$A$2:$P$500,2,FALSE),"")</f>
        <v/>
      </c>
      <c r="G419" s="29"/>
      <c r="H419" s="32" t="str">
        <f>IF(OR(G419="",E419=""),"",G419*IFERROR(VLOOKUP(E419,Maestro_SKU!$A$2:$P$500,12,FALSE),1))</f>
        <v/>
      </c>
      <c r="I419" s="25"/>
      <c r="J419" s="31" t="str">
        <f>IF(A419="","",IF(H419&lt;=Inicio!$B$16,"Crítico",IF(H419&lt;=Inicio!$B$17,"Observar","OK")))</f>
        <v/>
      </c>
      <c r="K419" s="24"/>
    </row>
    <row r="420" spans="1:11" x14ac:dyDescent="0.35">
      <c r="A420" s="24"/>
      <c r="B420" s="31" t="str">
        <f>IFERROR(VLOOKUP(A420,Clientes_PDV!$A$2:$J$250,2,FALSE),"")</f>
        <v/>
      </c>
      <c r="C420" s="31" t="str">
        <f>IFERROR(VLOOKUP(A420,Clientes_PDV!$A$2:$J$250,3,FALSE),"")</f>
        <v/>
      </c>
      <c r="D420" s="31" t="str">
        <f>IFERROR(VLOOKUP(A420,Clientes_PDV!$A$2:$J$250,4,FALSE),"")</f>
        <v/>
      </c>
      <c r="E420" s="24"/>
      <c r="F420" s="31" t="str">
        <f>IFERROR(VLOOKUP(E420,Maestro_SKU!$A$2:$P$500,2,FALSE),"")</f>
        <v/>
      </c>
      <c r="G420" s="29"/>
      <c r="H420" s="32" t="str">
        <f>IF(OR(G420="",E420=""),"",G420*IFERROR(VLOOKUP(E420,Maestro_SKU!$A$2:$P$500,12,FALSE),1))</f>
        <v/>
      </c>
      <c r="I420" s="25"/>
      <c r="J420" s="31" t="str">
        <f>IF(A420="","",IF(H420&lt;=Inicio!$B$16,"Crítico",IF(H420&lt;=Inicio!$B$17,"Observar","OK")))</f>
        <v/>
      </c>
      <c r="K420" s="24"/>
    </row>
    <row r="421" spans="1:11" x14ac:dyDescent="0.35">
      <c r="A421" s="24"/>
      <c r="B421" s="31" t="str">
        <f>IFERROR(VLOOKUP(A421,Clientes_PDV!$A$2:$J$250,2,FALSE),"")</f>
        <v/>
      </c>
      <c r="C421" s="31" t="str">
        <f>IFERROR(VLOOKUP(A421,Clientes_PDV!$A$2:$J$250,3,FALSE),"")</f>
        <v/>
      </c>
      <c r="D421" s="31" t="str">
        <f>IFERROR(VLOOKUP(A421,Clientes_PDV!$A$2:$J$250,4,FALSE),"")</f>
        <v/>
      </c>
      <c r="E421" s="24"/>
      <c r="F421" s="31" t="str">
        <f>IFERROR(VLOOKUP(E421,Maestro_SKU!$A$2:$P$500,2,FALSE),"")</f>
        <v/>
      </c>
      <c r="G421" s="29"/>
      <c r="H421" s="32" t="str">
        <f>IF(OR(G421="",E421=""),"",G421*IFERROR(VLOOKUP(E421,Maestro_SKU!$A$2:$P$500,12,FALSE),1))</f>
        <v/>
      </c>
      <c r="I421" s="25"/>
      <c r="J421" s="31" t="str">
        <f>IF(A421="","",IF(H421&lt;=Inicio!$B$16,"Crítico",IF(H421&lt;=Inicio!$B$17,"Observar","OK")))</f>
        <v/>
      </c>
      <c r="K421" s="24"/>
    </row>
    <row r="422" spans="1:11" x14ac:dyDescent="0.35">
      <c r="A422" s="24"/>
      <c r="B422" s="31" t="str">
        <f>IFERROR(VLOOKUP(A422,Clientes_PDV!$A$2:$J$250,2,FALSE),"")</f>
        <v/>
      </c>
      <c r="C422" s="31" t="str">
        <f>IFERROR(VLOOKUP(A422,Clientes_PDV!$A$2:$J$250,3,FALSE),"")</f>
        <v/>
      </c>
      <c r="D422" s="31" t="str">
        <f>IFERROR(VLOOKUP(A422,Clientes_PDV!$A$2:$J$250,4,FALSE),"")</f>
        <v/>
      </c>
      <c r="E422" s="24"/>
      <c r="F422" s="31" t="str">
        <f>IFERROR(VLOOKUP(E422,Maestro_SKU!$A$2:$P$500,2,FALSE),"")</f>
        <v/>
      </c>
      <c r="G422" s="29"/>
      <c r="H422" s="32" t="str">
        <f>IF(OR(G422="",E422=""),"",G422*IFERROR(VLOOKUP(E422,Maestro_SKU!$A$2:$P$500,12,FALSE),1))</f>
        <v/>
      </c>
      <c r="I422" s="25"/>
      <c r="J422" s="31" t="str">
        <f>IF(A422="","",IF(H422&lt;=Inicio!$B$16,"Crítico",IF(H422&lt;=Inicio!$B$17,"Observar","OK")))</f>
        <v/>
      </c>
      <c r="K422" s="24"/>
    </row>
    <row r="423" spans="1:11" x14ac:dyDescent="0.35">
      <c r="A423" s="24"/>
      <c r="B423" s="31" t="str">
        <f>IFERROR(VLOOKUP(A423,Clientes_PDV!$A$2:$J$250,2,FALSE),"")</f>
        <v/>
      </c>
      <c r="C423" s="31" t="str">
        <f>IFERROR(VLOOKUP(A423,Clientes_PDV!$A$2:$J$250,3,FALSE),"")</f>
        <v/>
      </c>
      <c r="D423" s="31" t="str">
        <f>IFERROR(VLOOKUP(A423,Clientes_PDV!$A$2:$J$250,4,FALSE),"")</f>
        <v/>
      </c>
      <c r="E423" s="24"/>
      <c r="F423" s="31" t="str">
        <f>IFERROR(VLOOKUP(E423,Maestro_SKU!$A$2:$P$500,2,FALSE),"")</f>
        <v/>
      </c>
      <c r="G423" s="29"/>
      <c r="H423" s="32" t="str">
        <f>IF(OR(G423="",E423=""),"",G423*IFERROR(VLOOKUP(E423,Maestro_SKU!$A$2:$P$500,12,FALSE),1))</f>
        <v/>
      </c>
      <c r="I423" s="25"/>
      <c r="J423" s="31" t="str">
        <f>IF(A423="","",IF(H423&lt;=Inicio!$B$16,"Crítico",IF(H423&lt;=Inicio!$B$17,"Observar","OK")))</f>
        <v/>
      </c>
      <c r="K423" s="24"/>
    </row>
    <row r="424" spans="1:11" x14ac:dyDescent="0.35">
      <c r="A424" s="24"/>
      <c r="B424" s="31" t="str">
        <f>IFERROR(VLOOKUP(A424,Clientes_PDV!$A$2:$J$250,2,FALSE),"")</f>
        <v/>
      </c>
      <c r="C424" s="31" t="str">
        <f>IFERROR(VLOOKUP(A424,Clientes_PDV!$A$2:$J$250,3,FALSE),"")</f>
        <v/>
      </c>
      <c r="D424" s="31" t="str">
        <f>IFERROR(VLOOKUP(A424,Clientes_PDV!$A$2:$J$250,4,FALSE),"")</f>
        <v/>
      </c>
      <c r="E424" s="24"/>
      <c r="F424" s="31" t="str">
        <f>IFERROR(VLOOKUP(E424,Maestro_SKU!$A$2:$P$500,2,FALSE),"")</f>
        <v/>
      </c>
      <c r="G424" s="29"/>
      <c r="H424" s="32" t="str">
        <f>IF(OR(G424="",E424=""),"",G424*IFERROR(VLOOKUP(E424,Maestro_SKU!$A$2:$P$500,12,FALSE),1))</f>
        <v/>
      </c>
      <c r="I424" s="25"/>
      <c r="J424" s="31" t="str">
        <f>IF(A424="","",IF(H424&lt;=Inicio!$B$16,"Crítico",IF(H424&lt;=Inicio!$B$17,"Observar","OK")))</f>
        <v/>
      </c>
      <c r="K424" s="24"/>
    </row>
    <row r="425" spans="1:11" x14ac:dyDescent="0.35">
      <c r="A425" s="24"/>
      <c r="B425" s="31" t="str">
        <f>IFERROR(VLOOKUP(A425,Clientes_PDV!$A$2:$J$250,2,FALSE),"")</f>
        <v/>
      </c>
      <c r="C425" s="31" t="str">
        <f>IFERROR(VLOOKUP(A425,Clientes_PDV!$A$2:$J$250,3,FALSE),"")</f>
        <v/>
      </c>
      <c r="D425" s="31" t="str">
        <f>IFERROR(VLOOKUP(A425,Clientes_PDV!$A$2:$J$250,4,FALSE),"")</f>
        <v/>
      </c>
      <c r="E425" s="24"/>
      <c r="F425" s="31" t="str">
        <f>IFERROR(VLOOKUP(E425,Maestro_SKU!$A$2:$P$500,2,FALSE),"")</f>
        <v/>
      </c>
      <c r="G425" s="29"/>
      <c r="H425" s="32" t="str">
        <f>IF(OR(G425="",E425=""),"",G425*IFERROR(VLOOKUP(E425,Maestro_SKU!$A$2:$P$500,12,FALSE),1))</f>
        <v/>
      </c>
      <c r="I425" s="25"/>
      <c r="J425" s="31" t="str">
        <f>IF(A425="","",IF(H425&lt;=Inicio!$B$16,"Crítico",IF(H425&lt;=Inicio!$B$17,"Observar","OK")))</f>
        <v/>
      </c>
      <c r="K425" s="24"/>
    </row>
    <row r="426" spans="1:11" x14ac:dyDescent="0.35">
      <c r="A426" s="24"/>
      <c r="B426" s="31" t="str">
        <f>IFERROR(VLOOKUP(A426,Clientes_PDV!$A$2:$J$250,2,FALSE),"")</f>
        <v/>
      </c>
      <c r="C426" s="31" t="str">
        <f>IFERROR(VLOOKUP(A426,Clientes_PDV!$A$2:$J$250,3,FALSE),"")</f>
        <v/>
      </c>
      <c r="D426" s="31" t="str">
        <f>IFERROR(VLOOKUP(A426,Clientes_PDV!$A$2:$J$250,4,FALSE),"")</f>
        <v/>
      </c>
      <c r="E426" s="24"/>
      <c r="F426" s="31" t="str">
        <f>IFERROR(VLOOKUP(E426,Maestro_SKU!$A$2:$P$500,2,FALSE),"")</f>
        <v/>
      </c>
      <c r="G426" s="29"/>
      <c r="H426" s="32" t="str">
        <f>IF(OR(G426="",E426=""),"",G426*IFERROR(VLOOKUP(E426,Maestro_SKU!$A$2:$P$500,12,FALSE),1))</f>
        <v/>
      </c>
      <c r="I426" s="25"/>
      <c r="J426" s="31" t="str">
        <f>IF(A426="","",IF(H426&lt;=Inicio!$B$16,"Crítico",IF(H426&lt;=Inicio!$B$17,"Observar","OK")))</f>
        <v/>
      </c>
      <c r="K426" s="24"/>
    </row>
    <row r="427" spans="1:11" x14ac:dyDescent="0.35">
      <c r="A427" s="24"/>
      <c r="B427" s="31" t="str">
        <f>IFERROR(VLOOKUP(A427,Clientes_PDV!$A$2:$J$250,2,FALSE),"")</f>
        <v/>
      </c>
      <c r="C427" s="31" t="str">
        <f>IFERROR(VLOOKUP(A427,Clientes_PDV!$A$2:$J$250,3,FALSE),"")</f>
        <v/>
      </c>
      <c r="D427" s="31" t="str">
        <f>IFERROR(VLOOKUP(A427,Clientes_PDV!$A$2:$J$250,4,FALSE),"")</f>
        <v/>
      </c>
      <c r="E427" s="24"/>
      <c r="F427" s="31" t="str">
        <f>IFERROR(VLOOKUP(E427,Maestro_SKU!$A$2:$P$500,2,FALSE),"")</f>
        <v/>
      </c>
      <c r="G427" s="29"/>
      <c r="H427" s="32" t="str">
        <f>IF(OR(G427="",E427=""),"",G427*IFERROR(VLOOKUP(E427,Maestro_SKU!$A$2:$P$500,12,FALSE),1))</f>
        <v/>
      </c>
      <c r="I427" s="25"/>
      <c r="J427" s="31" t="str">
        <f>IF(A427="","",IF(H427&lt;=Inicio!$B$16,"Crítico",IF(H427&lt;=Inicio!$B$17,"Observar","OK")))</f>
        <v/>
      </c>
      <c r="K427" s="24"/>
    </row>
    <row r="428" spans="1:11" x14ac:dyDescent="0.35">
      <c r="A428" s="24"/>
      <c r="B428" s="31" t="str">
        <f>IFERROR(VLOOKUP(A428,Clientes_PDV!$A$2:$J$250,2,FALSE),"")</f>
        <v/>
      </c>
      <c r="C428" s="31" t="str">
        <f>IFERROR(VLOOKUP(A428,Clientes_PDV!$A$2:$J$250,3,FALSE),"")</f>
        <v/>
      </c>
      <c r="D428" s="31" t="str">
        <f>IFERROR(VLOOKUP(A428,Clientes_PDV!$A$2:$J$250,4,FALSE),"")</f>
        <v/>
      </c>
      <c r="E428" s="24"/>
      <c r="F428" s="31" t="str">
        <f>IFERROR(VLOOKUP(E428,Maestro_SKU!$A$2:$P$500,2,FALSE),"")</f>
        <v/>
      </c>
      <c r="G428" s="29"/>
      <c r="H428" s="32" t="str">
        <f>IF(OR(G428="",E428=""),"",G428*IFERROR(VLOOKUP(E428,Maestro_SKU!$A$2:$P$500,12,FALSE),1))</f>
        <v/>
      </c>
      <c r="I428" s="25"/>
      <c r="J428" s="31" t="str">
        <f>IF(A428="","",IF(H428&lt;=Inicio!$B$16,"Crítico",IF(H428&lt;=Inicio!$B$17,"Observar","OK")))</f>
        <v/>
      </c>
      <c r="K428" s="24"/>
    </row>
    <row r="429" spans="1:11" x14ac:dyDescent="0.35">
      <c r="A429" s="24"/>
      <c r="B429" s="31" t="str">
        <f>IFERROR(VLOOKUP(A429,Clientes_PDV!$A$2:$J$250,2,FALSE),"")</f>
        <v/>
      </c>
      <c r="C429" s="31" t="str">
        <f>IFERROR(VLOOKUP(A429,Clientes_PDV!$A$2:$J$250,3,FALSE),"")</f>
        <v/>
      </c>
      <c r="D429" s="31" t="str">
        <f>IFERROR(VLOOKUP(A429,Clientes_PDV!$A$2:$J$250,4,FALSE),"")</f>
        <v/>
      </c>
      <c r="E429" s="24"/>
      <c r="F429" s="31" t="str">
        <f>IFERROR(VLOOKUP(E429,Maestro_SKU!$A$2:$P$500,2,FALSE),"")</f>
        <v/>
      </c>
      <c r="G429" s="29"/>
      <c r="H429" s="32" t="str">
        <f>IF(OR(G429="",E429=""),"",G429*IFERROR(VLOOKUP(E429,Maestro_SKU!$A$2:$P$500,12,FALSE),1))</f>
        <v/>
      </c>
      <c r="I429" s="25"/>
      <c r="J429" s="31" t="str">
        <f>IF(A429="","",IF(H429&lt;=Inicio!$B$16,"Crítico",IF(H429&lt;=Inicio!$B$17,"Observar","OK")))</f>
        <v/>
      </c>
      <c r="K429" s="24"/>
    </row>
    <row r="430" spans="1:11" x14ac:dyDescent="0.35">
      <c r="A430" s="24"/>
      <c r="B430" s="31" t="str">
        <f>IFERROR(VLOOKUP(A430,Clientes_PDV!$A$2:$J$250,2,FALSE),"")</f>
        <v/>
      </c>
      <c r="C430" s="31" t="str">
        <f>IFERROR(VLOOKUP(A430,Clientes_PDV!$A$2:$J$250,3,FALSE),"")</f>
        <v/>
      </c>
      <c r="D430" s="31" t="str">
        <f>IFERROR(VLOOKUP(A430,Clientes_PDV!$A$2:$J$250,4,FALSE),"")</f>
        <v/>
      </c>
      <c r="E430" s="24"/>
      <c r="F430" s="31" t="str">
        <f>IFERROR(VLOOKUP(E430,Maestro_SKU!$A$2:$P$500,2,FALSE),"")</f>
        <v/>
      </c>
      <c r="G430" s="29"/>
      <c r="H430" s="32" t="str">
        <f>IF(OR(G430="",E430=""),"",G430*IFERROR(VLOOKUP(E430,Maestro_SKU!$A$2:$P$500,12,FALSE),1))</f>
        <v/>
      </c>
      <c r="I430" s="25"/>
      <c r="J430" s="31" t="str">
        <f>IF(A430="","",IF(H430&lt;=Inicio!$B$16,"Crítico",IF(H430&lt;=Inicio!$B$17,"Observar","OK")))</f>
        <v/>
      </c>
      <c r="K430" s="24"/>
    </row>
    <row r="431" spans="1:11" x14ac:dyDescent="0.35">
      <c r="A431" s="24"/>
      <c r="B431" s="31" t="str">
        <f>IFERROR(VLOOKUP(A431,Clientes_PDV!$A$2:$J$250,2,FALSE),"")</f>
        <v/>
      </c>
      <c r="C431" s="31" t="str">
        <f>IFERROR(VLOOKUP(A431,Clientes_PDV!$A$2:$J$250,3,FALSE),"")</f>
        <v/>
      </c>
      <c r="D431" s="31" t="str">
        <f>IFERROR(VLOOKUP(A431,Clientes_PDV!$A$2:$J$250,4,FALSE),"")</f>
        <v/>
      </c>
      <c r="E431" s="24"/>
      <c r="F431" s="31" t="str">
        <f>IFERROR(VLOOKUP(E431,Maestro_SKU!$A$2:$P$500,2,FALSE),"")</f>
        <v/>
      </c>
      <c r="G431" s="29"/>
      <c r="H431" s="32" t="str">
        <f>IF(OR(G431="",E431=""),"",G431*IFERROR(VLOOKUP(E431,Maestro_SKU!$A$2:$P$500,12,FALSE),1))</f>
        <v/>
      </c>
      <c r="I431" s="25"/>
      <c r="J431" s="31" t="str">
        <f>IF(A431="","",IF(H431&lt;=Inicio!$B$16,"Crítico",IF(H431&lt;=Inicio!$B$17,"Observar","OK")))</f>
        <v/>
      </c>
      <c r="K431" s="24"/>
    </row>
    <row r="432" spans="1:11" x14ac:dyDescent="0.35">
      <c r="A432" s="24"/>
      <c r="B432" s="31" t="str">
        <f>IFERROR(VLOOKUP(A432,Clientes_PDV!$A$2:$J$250,2,FALSE),"")</f>
        <v/>
      </c>
      <c r="C432" s="31" t="str">
        <f>IFERROR(VLOOKUP(A432,Clientes_PDV!$A$2:$J$250,3,FALSE),"")</f>
        <v/>
      </c>
      <c r="D432" s="31" t="str">
        <f>IFERROR(VLOOKUP(A432,Clientes_PDV!$A$2:$J$250,4,FALSE),"")</f>
        <v/>
      </c>
      <c r="E432" s="24"/>
      <c r="F432" s="31" t="str">
        <f>IFERROR(VLOOKUP(E432,Maestro_SKU!$A$2:$P$500,2,FALSE),"")</f>
        <v/>
      </c>
      <c r="G432" s="29"/>
      <c r="H432" s="32" t="str">
        <f>IF(OR(G432="",E432=""),"",G432*IFERROR(VLOOKUP(E432,Maestro_SKU!$A$2:$P$500,12,FALSE),1))</f>
        <v/>
      </c>
      <c r="I432" s="25"/>
      <c r="J432" s="31" t="str">
        <f>IF(A432="","",IF(H432&lt;=Inicio!$B$16,"Crítico",IF(H432&lt;=Inicio!$B$17,"Observar","OK")))</f>
        <v/>
      </c>
      <c r="K432" s="24"/>
    </row>
    <row r="433" spans="1:11" x14ac:dyDescent="0.35">
      <c r="A433" s="24"/>
      <c r="B433" s="31" t="str">
        <f>IFERROR(VLOOKUP(A433,Clientes_PDV!$A$2:$J$250,2,FALSE),"")</f>
        <v/>
      </c>
      <c r="C433" s="31" t="str">
        <f>IFERROR(VLOOKUP(A433,Clientes_PDV!$A$2:$J$250,3,FALSE),"")</f>
        <v/>
      </c>
      <c r="D433" s="31" t="str">
        <f>IFERROR(VLOOKUP(A433,Clientes_PDV!$A$2:$J$250,4,FALSE),"")</f>
        <v/>
      </c>
      <c r="E433" s="24"/>
      <c r="F433" s="31" t="str">
        <f>IFERROR(VLOOKUP(E433,Maestro_SKU!$A$2:$P$500,2,FALSE),"")</f>
        <v/>
      </c>
      <c r="G433" s="29"/>
      <c r="H433" s="32" t="str">
        <f>IF(OR(G433="",E433=""),"",G433*IFERROR(VLOOKUP(E433,Maestro_SKU!$A$2:$P$500,12,FALSE),1))</f>
        <v/>
      </c>
      <c r="I433" s="25"/>
      <c r="J433" s="31" t="str">
        <f>IF(A433="","",IF(H433&lt;=Inicio!$B$16,"Crítico",IF(H433&lt;=Inicio!$B$17,"Observar","OK")))</f>
        <v/>
      </c>
      <c r="K433" s="24"/>
    </row>
    <row r="434" spans="1:11" x14ac:dyDescent="0.35">
      <c r="A434" s="24"/>
      <c r="B434" s="31" t="str">
        <f>IFERROR(VLOOKUP(A434,Clientes_PDV!$A$2:$J$250,2,FALSE),"")</f>
        <v/>
      </c>
      <c r="C434" s="31" t="str">
        <f>IFERROR(VLOOKUP(A434,Clientes_PDV!$A$2:$J$250,3,FALSE),"")</f>
        <v/>
      </c>
      <c r="D434" s="31" t="str">
        <f>IFERROR(VLOOKUP(A434,Clientes_PDV!$A$2:$J$250,4,FALSE),"")</f>
        <v/>
      </c>
      <c r="E434" s="24"/>
      <c r="F434" s="31" t="str">
        <f>IFERROR(VLOOKUP(E434,Maestro_SKU!$A$2:$P$500,2,FALSE),"")</f>
        <v/>
      </c>
      <c r="G434" s="29"/>
      <c r="H434" s="32" t="str">
        <f>IF(OR(G434="",E434=""),"",G434*IFERROR(VLOOKUP(E434,Maestro_SKU!$A$2:$P$500,12,FALSE),1))</f>
        <v/>
      </c>
      <c r="I434" s="25"/>
      <c r="J434" s="31" t="str">
        <f>IF(A434="","",IF(H434&lt;=Inicio!$B$16,"Crítico",IF(H434&lt;=Inicio!$B$17,"Observar","OK")))</f>
        <v/>
      </c>
      <c r="K434" s="24"/>
    </row>
    <row r="435" spans="1:11" x14ac:dyDescent="0.35">
      <c r="A435" s="24"/>
      <c r="B435" s="31" t="str">
        <f>IFERROR(VLOOKUP(A435,Clientes_PDV!$A$2:$J$250,2,FALSE),"")</f>
        <v/>
      </c>
      <c r="C435" s="31" t="str">
        <f>IFERROR(VLOOKUP(A435,Clientes_PDV!$A$2:$J$250,3,FALSE),"")</f>
        <v/>
      </c>
      <c r="D435" s="31" t="str">
        <f>IFERROR(VLOOKUP(A435,Clientes_PDV!$A$2:$J$250,4,FALSE),"")</f>
        <v/>
      </c>
      <c r="E435" s="24"/>
      <c r="F435" s="31" t="str">
        <f>IFERROR(VLOOKUP(E435,Maestro_SKU!$A$2:$P$500,2,FALSE),"")</f>
        <v/>
      </c>
      <c r="G435" s="29"/>
      <c r="H435" s="32" t="str">
        <f>IF(OR(G435="",E435=""),"",G435*IFERROR(VLOOKUP(E435,Maestro_SKU!$A$2:$P$500,12,FALSE),1))</f>
        <v/>
      </c>
      <c r="I435" s="25"/>
      <c r="J435" s="31" t="str">
        <f>IF(A435="","",IF(H435&lt;=Inicio!$B$16,"Crítico",IF(H435&lt;=Inicio!$B$17,"Observar","OK")))</f>
        <v/>
      </c>
      <c r="K435" s="24"/>
    </row>
    <row r="436" spans="1:11" x14ac:dyDescent="0.35">
      <c r="A436" s="24"/>
      <c r="B436" s="31" t="str">
        <f>IFERROR(VLOOKUP(A436,Clientes_PDV!$A$2:$J$250,2,FALSE),"")</f>
        <v/>
      </c>
      <c r="C436" s="31" t="str">
        <f>IFERROR(VLOOKUP(A436,Clientes_PDV!$A$2:$J$250,3,FALSE),"")</f>
        <v/>
      </c>
      <c r="D436" s="31" t="str">
        <f>IFERROR(VLOOKUP(A436,Clientes_PDV!$A$2:$J$250,4,FALSE),"")</f>
        <v/>
      </c>
      <c r="E436" s="24"/>
      <c r="F436" s="31" t="str">
        <f>IFERROR(VLOOKUP(E436,Maestro_SKU!$A$2:$P$500,2,FALSE),"")</f>
        <v/>
      </c>
      <c r="G436" s="29"/>
      <c r="H436" s="32" t="str">
        <f>IF(OR(G436="",E436=""),"",G436*IFERROR(VLOOKUP(E436,Maestro_SKU!$A$2:$P$500,12,FALSE),1))</f>
        <v/>
      </c>
      <c r="I436" s="25"/>
      <c r="J436" s="31" t="str">
        <f>IF(A436="","",IF(H436&lt;=Inicio!$B$16,"Crítico",IF(H436&lt;=Inicio!$B$17,"Observar","OK")))</f>
        <v/>
      </c>
      <c r="K436" s="24"/>
    </row>
    <row r="437" spans="1:11" x14ac:dyDescent="0.35">
      <c r="A437" s="24"/>
      <c r="B437" s="31" t="str">
        <f>IFERROR(VLOOKUP(A437,Clientes_PDV!$A$2:$J$250,2,FALSE),"")</f>
        <v/>
      </c>
      <c r="C437" s="31" t="str">
        <f>IFERROR(VLOOKUP(A437,Clientes_PDV!$A$2:$J$250,3,FALSE),"")</f>
        <v/>
      </c>
      <c r="D437" s="31" t="str">
        <f>IFERROR(VLOOKUP(A437,Clientes_PDV!$A$2:$J$250,4,FALSE),"")</f>
        <v/>
      </c>
      <c r="E437" s="24"/>
      <c r="F437" s="31" t="str">
        <f>IFERROR(VLOOKUP(E437,Maestro_SKU!$A$2:$P$500,2,FALSE),"")</f>
        <v/>
      </c>
      <c r="G437" s="29"/>
      <c r="H437" s="32" t="str">
        <f>IF(OR(G437="",E437=""),"",G437*IFERROR(VLOOKUP(E437,Maestro_SKU!$A$2:$P$500,12,FALSE),1))</f>
        <v/>
      </c>
      <c r="I437" s="25"/>
      <c r="J437" s="31" t="str">
        <f>IF(A437="","",IF(H437&lt;=Inicio!$B$16,"Crítico",IF(H437&lt;=Inicio!$B$17,"Observar","OK")))</f>
        <v/>
      </c>
      <c r="K437" s="24"/>
    </row>
    <row r="438" spans="1:11" x14ac:dyDescent="0.35">
      <c r="A438" s="24"/>
      <c r="B438" s="31" t="str">
        <f>IFERROR(VLOOKUP(A438,Clientes_PDV!$A$2:$J$250,2,FALSE),"")</f>
        <v/>
      </c>
      <c r="C438" s="31" t="str">
        <f>IFERROR(VLOOKUP(A438,Clientes_PDV!$A$2:$J$250,3,FALSE),"")</f>
        <v/>
      </c>
      <c r="D438" s="31" t="str">
        <f>IFERROR(VLOOKUP(A438,Clientes_PDV!$A$2:$J$250,4,FALSE),"")</f>
        <v/>
      </c>
      <c r="E438" s="24"/>
      <c r="F438" s="31" t="str">
        <f>IFERROR(VLOOKUP(E438,Maestro_SKU!$A$2:$P$500,2,FALSE),"")</f>
        <v/>
      </c>
      <c r="G438" s="29"/>
      <c r="H438" s="32" t="str">
        <f>IF(OR(G438="",E438=""),"",G438*IFERROR(VLOOKUP(E438,Maestro_SKU!$A$2:$P$500,12,FALSE),1))</f>
        <v/>
      </c>
      <c r="I438" s="25"/>
      <c r="J438" s="31" t="str">
        <f>IF(A438="","",IF(H438&lt;=Inicio!$B$16,"Crítico",IF(H438&lt;=Inicio!$B$17,"Observar","OK")))</f>
        <v/>
      </c>
      <c r="K438" s="24"/>
    </row>
    <row r="439" spans="1:11" x14ac:dyDescent="0.35">
      <c r="A439" s="24"/>
      <c r="B439" s="31" t="str">
        <f>IFERROR(VLOOKUP(A439,Clientes_PDV!$A$2:$J$250,2,FALSE),"")</f>
        <v/>
      </c>
      <c r="C439" s="31" t="str">
        <f>IFERROR(VLOOKUP(A439,Clientes_PDV!$A$2:$J$250,3,FALSE),"")</f>
        <v/>
      </c>
      <c r="D439" s="31" t="str">
        <f>IFERROR(VLOOKUP(A439,Clientes_PDV!$A$2:$J$250,4,FALSE),"")</f>
        <v/>
      </c>
      <c r="E439" s="24"/>
      <c r="F439" s="31" t="str">
        <f>IFERROR(VLOOKUP(E439,Maestro_SKU!$A$2:$P$500,2,FALSE),"")</f>
        <v/>
      </c>
      <c r="G439" s="29"/>
      <c r="H439" s="32" t="str">
        <f>IF(OR(G439="",E439=""),"",G439*IFERROR(VLOOKUP(E439,Maestro_SKU!$A$2:$P$500,12,FALSE),1))</f>
        <v/>
      </c>
      <c r="I439" s="25"/>
      <c r="J439" s="31" t="str">
        <f>IF(A439="","",IF(H439&lt;=Inicio!$B$16,"Crítico",IF(H439&lt;=Inicio!$B$17,"Observar","OK")))</f>
        <v/>
      </c>
      <c r="K439" s="24"/>
    </row>
    <row r="440" spans="1:11" x14ac:dyDescent="0.35">
      <c r="A440" s="24"/>
      <c r="B440" s="31" t="str">
        <f>IFERROR(VLOOKUP(A440,Clientes_PDV!$A$2:$J$250,2,FALSE),"")</f>
        <v/>
      </c>
      <c r="C440" s="31" t="str">
        <f>IFERROR(VLOOKUP(A440,Clientes_PDV!$A$2:$J$250,3,FALSE),"")</f>
        <v/>
      </c>
      <c r="D440" s="31" t="str">
        <f>IFERROR(VLOOKUP(A440,Clientes_PDV!$A$2:$J$250,4,FALSE),"")</f>
        <v/>
      </c>
      <c r="E440" s="24"/>
      <c r="F440" s="31" t="str">
        <f>IFERROR(VLOOKUP(E440,Maestro_SKU!$A$2:$P$500,2,FALSE),"")</f>
        <v/>
      </c>
      <c r="G440" s="29"/>
      <c r="H440" s="32" t="str">
        <f>IF(OR(G440="",E440=""),"",G440*IFERROR(VLOOKUP(E440,Maestro_SKU!$A$2:$P$500,12,FALSE),1))</f>
        <v/>
      </c>
      <c r="I440" s="25"/>
      <c r="J440" s="31" t="str">
        <f>IF(A440="","",IF(H440&lt;=Inicio!$B$16,"Crítico",IF(H440&lt;=Inicio!$B$17,"Observar","OK")))</f>
        <v/>
      </c>
      <c r="K440" s="24"/>
    </row>
    <row r="441" spans="1:11" x14ac:dyDescent="0.35">
      <c r="A441" s="24"/>
      <c r="B441" s="31" t="str">
        <f>IFERROR(VLOOKUP(A441,Clientes_PDV!$A$2:$J$250,2,FALSE),"")</f>
        <v/>
      </c>
      <c r="C441" s="31" t="str">
        <f>IFERROR(VLOOKUP(A441,Clientes_PDV!$A$2:$J$250,3,FALSE),"")</f>
        <v/>
      </c>
      <c r="D441" s="31" t="str">
        <f>IFERROR(VLOOKUP(A441,Clientes_PDV!$A$2:$J$250,4,FALSE),"")</f>
        <v/>
      </c>
      <c r="E441" s="24"/>
      <c r="F441" s="31" t="str">
        <f>IFERROR(VLOOKUP(E441,Maestro_SKU!$A$2:$P$500,2,FALSE),"")</f>
        <v/>
      </c>
      <c r="G441" s="29"/>
      <c r="H441" s="32" t="str">
        <f>IF(OR(G441="",E441=""),"",G441*IFERROR(VLOOKUP(E441,Maestro_SKU!$A$2:$P$500,12,FALSE),1))</f>
        <v/>
      </c>
      <c r="I441" s="25"/>
      <c r="J441" s="31" t="str">
        <f>IF(A441="","",IF(H441&lt;=Inicio!$B$16,"Crítico",IF(H441&lt;=Inicio!$B$17,"Observar","OK")))</f>
        <v/>
      </c>
      <c r="K441" s="24"/>
    </row>
    <row r="442" spans="1:11" x14ac:dyDescent="0.35">
      <c r="A442" s="24"/>
      <c r="B442" s="31" t="str">
        <f>IFERROR(VLOOKUP(A442,Clientes_PDV!$A$2:$J$250,2,FALSE),"")</f>
        <v/>
      </c>
      <c r="C442" s="31" t="str">
        <f>IFERROR(VLOOKUP(A442,Clientes_PDV!$A$2:$J$250,3,FALSE),"")</f>
        <v/>
      </c>
      <c r="D442" s="31" t="str">
        <f>IFERROR(VLOOKUP(A442,Clientes_PDV!$A$2:$J$250,4,FALSE),"")</f>
        <v/>
      </c>
      <c r="E442" s="24"/>
      <c r="F442" s="31" t="str">
        <f>IFERROR(VLOOKUP(E442,Maestro_SKU!$A$2:$P$500,2,FALSE),"")</f>
        <v/>
      </c>
      <c r="G442" s="29"/>
      <c r="H442" s="32" t="str">
        <f>IF(OR(G442="",E442=""),"",G442*IFERROR(VLOOKUP(E442,Maestro_SKU!$A$2:$P$500,12,FALSE),1))</f>
        <v/>
      </c>
      <c r="I442" s="25"/>
      <c r="J442" s="31" t="str">
        <f>IF(A442="","",IF(H442&lt;=Inicio!$B$16,"Crítico",IF(H442&lt;=Inicio!$B$17,"Observar","OK")))</f>
        <v/>
      </c>
      <c r="K442" s="24"/>
    </row>
    <row r="443" spans="1:11" x14ac:dyDescent="0.35">
      <c r="A443" s="24"/>
      <c r="B443" s="31" t="str">
        <f>IFERROR(VLOOKUP(A443,Clientes_PDV!$A$2:$J$250,2,FALSE),"")</f>
        <v/>
      </c>
      <c r="C443" s="31" t="str">
        <f>IFERROR(VLOOKUP(A443,Clientes_PDV!$A$2:$J$250,3,FALSE),"")</f>
        <v/>
      </c>
      <c r="D443" s="31" t="str">
        <f>IFERROR(VLOOKUP(A443,Clientes_PDV!$A$2:$J$250,4,FALSE),"")</f>
        <v/>
      </c>
      <c r="E443" s="24"/>
      <c r="F443" s="31" t="str">
        <f>IFERROR(VLOOKUP(E443,Maestro_SKU!$A$2:$P$500,2,FALSE),"")</f>
        <v/>
      </c>
      <c r="G443" s="29"/>
      <c r="H443" s="32" t="str">
        <f>IF(OR(G443="",E443=""),"",G443*IFERROR(VLOOKUP(E443,Maestro_SKU!$A$2:$P$500,12,FALSE),1))</f>
        <v/>
      </c>
      <c r="I443" s="25"/>
      <c r="J443" s="31" t="str">
        <f>IF(A443="","",IF(H443&lt;=Inicio!$B$16,"Crítico",IF(H443&lt;=Inicio!$B$17,"Observar","OK")))</f>
        <v/>
      </c>
      <c r="K443" s="24"/>
    </row>
    <row r="444" spans="1:11" x14ac:dyDescent="0.35">
      <c r="A444" s="24"/>
      <c r="B444" s="31" t="str">
        <f>IFERROR(VLOOKUP(A444,Clientes_PDV!$A$2:$J$250,2,FALSE),"")</f>
        <v/>
      </c>
      <c r="C444" s="31" t="str">
        <f>IFERROR(VLOOKUP(A444,Clientes_PDV!$A$2:$J$250,3,FALSE),"")</f>
        <v/>
      </c>
      <c r="D444" s="31" t="str">
        <f>IFERROR(VLOOKUP(A444,Clientes_PDV!$A$2:$J$250,4,FALSE),"")</f>
        <v/>
      </c>
      <c r="E444" s="24"/>
      <c r="F444" s="31" t="str">
        <f>IFERROR(VLOOKUP(E444,Maestro_SKU!$A$2:$P$500,2,FALSE),"")</f>
        <v/>
      </c>
      <c r="G444" s="29"/>
      <c r="H444" s="32" t="str">
        <f>IF(OR(G444="",E444=""),"",G444*IFERROR(VLOOKUP(E444,Maestro_SKU!$A$2:$P$500,12,FALSE),1))</f>
        <v/>
      </c>
      <c r="I444" s="25"/>
      <c r="J444" s="31" t="str">
        <f>IF(A444="","",IF(H444&lt;=Inicio!$B$16,"Crítico",IF(H444&lt;=Inicio!$B$17,"Observar","OK")))</f>
        <v/>
      </c>
      <c r="K444" s="24"/>
    </row>
    <row r="445" spans="1:11" x14ac:dyDescent="0.35">
      <c r="A445" s="24"/>
      <c r="B445" s="31" t="str">
        <f>IFERROR(VLOOKUP(A445,Clientes_PDV!$A$2:$J$250,2,FALSE),"")</f>
        <v/>
      </c>
      <c r="C445" s="31" t="str">
        <f>IFERROR(VLOOKUP(A445,Clientes_PDV!$A$2:$J$250,3,FALSE),"")</f>
        <v/>
      </c>
      <c r="D445" s="31" t="str">
        <f>IFERROR(VLOOKUP(A445,Clientes_PDV!$A$2:$J$250,4,FALSE),"")</f>
        <v/>
      </c>
      <c r="E445" s="24"/>
      <c r="F445" s="31" t="str">
        <f>IFERROR(VLOOKUP(E445,Maestro_SKU!$A$2:$P$500,2,FALSE),"")</f>
        <v/>
      </c>
      <c r="G445" s="29"/>
      <c r="H445" s="32" t="str">
        <f>IF(OR(G445="",E445=""),"",G445*IFERROR(VLOOKUP(E445,Maestro_SKU!$A$2:$P$500,12,FALSE),1))</f>
        <v/>
      </c>
      <c r="I445" s="25"/>
      <c r="J445" s="31" t="str">
        <f>IF(A445="","",IF(H445&lt;=Inicio!$B$16,"Crítico",IF(H445&lt;=Inicio!$B$17,"Observar","OK")))</f>
        <v/>
      </c>
      <c r="K445" s="24"/>
    </row>
    <row r="446" spans="1:11" x14ac:dyDescent="0.35">
      <c r="A446" s="24"/>
      <c r="B446" s="31" t="str">
        <f>IFERROR(VLOOKUP(A446,Clientes_PDV!$A$2:$J$250,2,FALSE),"")</f>
        <v/>
      </c>
      <c r="C446" s="31" t="str">
        <f>IFERROR(VLOOKUP(A446,Clientes_PDV!$A$2:$J$250,3,FALSE),"")</f>
        <v/>
      </c>
      <c r="D446" s="31" t="str">
        <f>IFERROR(VLOOKUP(A446,Clientes_PDV!$A$2:$J$250,4,FALSE),"")</f>
        <v/>
      </c>
      <c r="E446" s="24"/>
      <c r="F446" s="31" t="str">
        <f>IFERROR(VLOOKUP(E446,Maestro_SKU!$A$2:$P$500,2,FALSE),"")</f>
        <v/>
      </c>
      <c r="G446" s="29"/>
      <c r="H446" s="32" t="str">
        <f>IF(OR(G446="",E446=""),"",G446*IFERROR(VLOOKUP(E446,Maestro_SKU!$A$2:$P$500,12,FALSE),1))</f>
        <v/>
      </c>
      <c r="I446" s="25"/>
      <c r="J446" s="31" t="str">
        <f>IF(A446="","",IF(H446&lt;=Inicio!$B$16,"Crítico",IF(H446&lt;=Inicio!$B$17,"Observar","OK")))</f>
        <v/>
      </c>
      <c r="K446" s="24"/>
    </row>
    <row r="447" spans="1:11" x14ac:dyDescent="0.35">
      <c r="A447" s="24"/>
      <c r="B447" s="31" t="str">
        <f>IFERROR(VLOOKUP(A447,Clientes_PDV!$A$2:$J$250,2,FALSE),"")</f>
        <v/>
      </c>
      <c r="C447" s="31" t="str">
        <f>IFERROR(VLOOKUP(A447,Clientes_PDV!$A$2:$J$250,3,FALSE),"")</f>
        <v/>
      </c>
      <c r="D447" s="31" t="str">
        <f>IFERROR(VLOOKUP(A447,Clientes_PDV!$A$2:$J$250,4,FALSE),"")</f>
        <v/>
      </c>
      <c r="E447" s="24"/>
      <c r="F447" s="31" t="str">
        <f>IFERROR(VLOOKUP(E447,Maestro_SKU!$A$2:$P$500,2,FALSE),"")</f>
        <v/>
      </c>
      <c r="G447" s="29"/>
      <c r="H447" s="32" t="str">
        <f>IF(OR(G447="",E447=""),"",G447*IFERROR(VLOOKUP(E447,Maestro_SKU!$A$2:$P$500,12,FALSE),1))</f>
        <v/>
      </c>
      <c r="I447" s="25"/>
      <c r="J447" s="31" t="str">
        <f>IF(A447="","",IF(H447&lt;=Inicio!$B$16,"Crítico",IF(H447&lt;=Inicio!$B$17,"Observar","OK")))</f>
        <v/>
      </c>
      <c r="K447" s="24"/>
    </row>
    <row r="448" spans="1:11" x14ac:dyDescent="0.35">
      <c r="A448" s="24"/>
      <c r="B448" s="31" t="str">
        <f>IFERROR(VLOOKUP(A448,Clientes_PDV!$A$2:$J$250,2,FALSE),"")</f>
        <v/>
      </c>
      <c r="C448" s="31" t="str">
        <f>IFERROR(VLOOKUP(A448,Clientes_PDV!$A$2:$J$250,3,FALSE),"")</f>
        <v/>
      </c>
      <c r="D448" s="31" t="str">
        <f>IFERROR(VLOOKUP(A448,Clientes_PDV!$A$2:$J$250,4,FALSE),"")</f>
        <v/>
      </c>
      <c r="E448" s="24"/>
      <c r="F448" s="31" t="str">
        <f>IFERROR(VLOOKUP(E448,Maestro_SKU!$A$2:$P$500,2,FALSE),"")</f>
        <v/>
      </c>
      <c r="G448" s="29"/>
      <c r="H448" s="32" t="str">
        <f>IF(OR(G448="",E448=""),"",G448*IFERROR(VLOOKUP(E448,Maestro_SKU!$A$2:$P$500,12,FALSE),1))</f>
        <v/>
      </c>
      <c r="I448" s="25"/>
      <c r="J448" s="31" t="str">
        <f>IF(A448="","",IF(H448&lt;=Inicio!$B$16,"Crítico",IF(H448&lt;=Inicio!$B$17,"Observar","OK")))</f>
        <v/>
      </c>
      <c r="K448" s="24"/>
    </row>
    <row r="449" spans="1:11" x14ac:dyDescent="0.35">
      <c r="A449" s="24"/>
      <c r="B449" s="31" t="str">
        <f>IFERROR(VLOOKUP(A449,Clientes_PDV!$A$2:$J$250,2,FALSE),"")</f>
        <v/>
      </c>
      <c r="C449" s="31" t="str">
        <f>IFERROR(VLOOKUP(A449,Clientes_PDV!$A$2:$J$250,3,FALSE),"")</f>
        <v/>
      </c>
      <c r="D449" s="31" t="str">
        <f>IFERROR(VLOOKUP(A449,Clientes_PDV!$A$2:$J$250,4,FALSE),"")</f>
        <v/>
      </c>
      <c r="E449" s="24"/>
      <c r="F449" s="31" t="str">
        <f>IFERROR(VLOOKUP(E449,Maestro_SKU!$A$2:$P$500,2,FALSE),"")</f>
        <v/>
      </c>
      <c r="G449" s="29"/>
      <c r="H449" s="32" t="str">
        <f>IF(OR(G449="",E449=""),"",G449*IFERROR(VLOOKUP(E449,Maestro_SKU!$A$2:$P$500,12,FALSE),1))</f>
        <v/>
      </c>
      <c r="I449" s="25"/>
      <c r="J449" s="31" t="str">
        <f>IF(A449="","",IF(H449&lt;=Inicio!$B$16,"Crítico",IF(H449&lt;=Inicio!$B$17,"Observar","OK")))</f>
        <v/>
      </c>
      <c r="K449" s="24"/>
    </row>
    <row r="450" spans="1:11" x14ac:dyDescent="0.35">
      <c r="A450" s="24"/>
      <c r="B450" s="31" t="str">
        <f>IFERROR(VLOOKUP(A450,Clientes_PDV!$A$2:$J$250,2,FALSE),"")</f>
        <v/>
      </c>
      <c r="C450" s="31" t="str">
        <f>IFERROR(VLOOKUP(A450,Clientes_PDV!$A$2:$J$250,3,FALSE),"")</f>
        <v/>
      </c>
      <c r="D450" s="31" t="str">
        <f>IFERROR(VLOOKUP(A450,Clientes_PDV!$A$2:$J$250,4,FALSE),"")</f>
        <v/>
      </c>
      <c r="E450" s="24"/>
      <c r="F450" s="31" t="str">
        <f>IFERROR(VLOOKUP(E450,Maestro_SKU!$A$2:$P$500,2,FALSE),"")</f>
        <v/>
      </c>
      <c r="G450" s="29"/>
      <c r="H450" s="32" t="str">
        <f>IF(OR(G450="",E450=""),"",G450*IFERROR(VLOOKUP(E450,Maestro_SKU!$A$2:$P$500,12,FALSE),1))</f>
        <v/>
      </c>
      <c r="I450" s="25"/>
      <c r="J450" s="31" t="str">
        <f>IF(A450="","",IF(H450&lt;=Inicio!$B$16,"Crítico",IF(H450&lt;=Inicio!$B$17,"Observar","OK")))</f>
        <v/>
      </c>
      <c r="K450" s="24"/>
    </row>
    <row r="451" spans="1:11" x14ac:dyDescent="0.35">
      <c r="A451" s="24"/>
      <c r="B451" s="31" t="str">
        <f>IFERROR(VLOOKUP(A451,Clientes_PDV!$A$2:$J$250,2,FALSE),"")</f>
        <v/>
      </c>
      <c r="C451" s="31" t="str">
        <f>IFERROR(VLOOKUP(A451,Clientes_PDV!$A$2:$J$250,3,FALSE),"")</f>
        <v/>
      </c>
      <c r="D451" s="31" t="str">
        <f>IFERROR(VLOOKUP(A451,Clientes_PDV!$A$2:$J$250,4,FALSE),"")</f>
        <v/>
      </c>
      <c r="E451" s="24"/>
      <c r="F451" s="31" t="str">
        <f>IFERROR(VLOOKUP(E451,Maestro_SKU!$A$2:$P$500,2,FALSE),"")</f>
        <v/>
      </c>
      <c r="G451" s="29"/>
      <c r="H451" s="32" t="str">
        <f>IF(OR(G451="",E451=""),"",G451*IFERROR(VLOOKUP(E451,Maestro_SKU!$A$2:$P$500,12,FALSE),1))</f>
        <v/>
      </c>
      <c r="I451" s="25"/>
      <c r="J451" s="31" t="str">
        <f>IF(A451="","",IF(H451&lt;=Inicio!$B$16,"Crítico",IF(H451&lt;=Inicio!$B$17,"Observar","OK")))</f>
        <v/>
      </c>
      <c r="K451" s="24"/>
    </row>
    <row r="452" spans="1:11" x14ac:dyDescent="0.35">
      <c r="A452" s="24"/>
      <c r="B452" s="31" t="str">
        <f>IFERROR(VLOOKUP(A452,Clientes_PDV!$A$2:$J$250,2,FALSE),"")</f>
        <v/>
      </c>
      <c r="C452" s="31" t="str">
        <f>IFERROR(VLOOKUP(A452,Clientes_PDV!$A$2:$J$250,3,FALSE),"")</f>
        <v/>
      </c>
      <c r="D452" s="31" t="str">
        <f>IFERROR(VLOOKUP(A452,Clientes_PDV!$A$2:$J$250,4,FALSE),"")</f>
        <v/>
      </c>
      <c r="E452" s="24"/>
      <c r="F452" s="31" t="str">
        <f>IFERROR(VLOOKUP(E452,Maestro_SKU!$A$2:$P$500,2,FALSE),"")</f>
        <v/>
      </c>
      <c r="G452" s="29"/>
      <c r="H452" s="32" t="str">
        <f>IF(OR(G452="",E452=""),"",G452*IFERROR(VLOOKUP(E452,Maestro_SKU!$A$2:$P$500,12,FALSE),1))</f>
        <v/>
      </c>
      <c r="I452" s="25"/>
      <c r="J452" s="31" t="str">
        <f>IF(A452="","",IF(H452&lt;=Inicio!$B$16,"Crítico",IF(H452&lt;=Inicio!$B$17,"Observar","OK")))</f>
        <v/>
      </c>
      <c r="K452" s="24"/>
    </row>
    <row r="453" spans="1:11" x14ac:dyDescent="0.35">
      <c r="A453" s="24"/>
      <c r="B453" s="31" t="str">
        <f>IFERROR(VLOOKUP(A453,Clientes_PDV!$A$2:$J$250,2,FALSE),"")</f>
        <v/>
      </c>
      <c r="C453" s="31" t="str">
        <f>IFERROR(VLOOKUP(A453,Clientes_PDV!$A$2:$J$250,3,FALSE),"")</f>
        <v/>
      </c>
      <c r="D453" s="31" t="str">
        <f>IFERROR(VLOOKUP(A453,Clientes_PDV!$A$2:$J$250,4,FALSE),"")</f>
        <v/>
      </c>
      <c r="E453" s="24"/>
      <c r="F453" s="31" t="str">
        <f>IFERROR(VLOOKUP(E453,Maestro_SKU!$A$2:$P$500,2,FALSE),"")</f>
        <v/>
      </c>
      <c r="G453" s="29"/>
      <c r="H453" s="32" t="str">
        <f>IF(OR(G453="",E453=""),"",G453*IFERROR(VLOOKUP(E453,Maestro_SKU!$A$2:$P$500,12,FALSE),1))</f>
        <v/>
      </c>
      <c r="I453" s="25"/>
      <c r="J453" s="31" t="str">
        <f>IF(A453="","",IF(H453&lt;=Inicio!$B$16,"Crítico",IF(H453&lt;=Inicio!$B$17,"Observar","OK")))</f>
        <v/>
      </c>
      <c r="K453" s="24"/>
    </row>
    <row r="454" spans="1:11" x14ac:dyDescent="0.35">
      <c r="A454" s="24"/>
      <c r="B454" s="31" t="str">
        <f>IFERROR(VLOOKUP(A454,Clientes_PDV!$A$2:$J$250,2,FALSE),"")</f>
        <v/>
      </c>
      <c r="C454" s="31" t="str">
        <f>IFERROR(VLOOKUP(A454,Clientes_PDV!$A$2:$J$250,3,FALSE),"")</f>
        <v/>
      </c>
      <c r="D454" s="31" t="str">
        <f>IFERROR(VLOOKUP(A454,Clientes_PDV!$A$2:$J$250,4,FALSE),"")</f>
        <v/>
      </c>
      <c r="E454" s="24"/>
      <c r="F454" s="31" t="str">
        <f>IFERROR(VLOOKUP(E454,Maestro_SKU!$A$2:$P$500,2,FALSE),"")</f>
        <v/>
      </c>
      <c r="G454" s="29"/>
      <c r="H454" s="32" t="str">
        <f>IF(OR(G454="",E454=""),"",G454*IFERROR(VLOOKUP(E454,Maestro_SKU!$A$2:$P$500,12,FALSE),1))</f>
        <v/>
      </c>
      <c r="I454" s="25"/>
      <c r="J454" s="31" t="str">
        <f>IF(A454="","",IF(H454&lt;=Inicio!$B$16,"Crítico",IF(H454&lt;=Inicio!$B$17,"Observar","OK")))</f>
        <v/>
      </c>
      <c r="K454" s="24"/>
    </row>
    <row r="455" spans="1:11" x14ac:dyDescent="0.35">
      <c r="A455" s="24"/>
      <c r="B455" s="31" t="str">
        <f>IFERROR(VLOOKUP(A455,Clientes_PDV!$A$2:$J$250,2,FALSE),"")</f>
        <v/>
      </c>
      <c r="C455" s="31" t="str">
        <f>IFERROR(VLOOKUP(A455,Clientes_PDV!$A$2:$J$250,3,FALSE),"")</f>
        <v/>
      </c>
      <c r="D455" s="31" t="str">
        <f>IFERROR(VLOOKUP(A455,Clientes_PDV!$A$2:$J$250,4,FALSE),"")</f>
        <v/>
      </c>
      <c r="E455" s="24"/>
      <c r="F455" s="31" t="str">
        <f>IFERROR(VLOOKUP(E455,Maestro_SKU!$A$2:$P$500,2,FALSE),"")</f>
        <v/>
      </c>
      <c r="G455" s="29"/>
      <c r="H455" s="32" t="str">
        <f>IF(OR(G455="",E455=""),"",G455*IFERROR(VLOOKUP(E455,Maestro_SKU!$A$2:$P$500,12,FALSE),1))</f>
        <v/>
      </c>
      <c r="I455" s="25"/>
      <c r="J455" s="31" t="str">
        <f>IF(A455="","",IF(H455&lt;=Inicio!$B$16,"Crítico",IF(H455&lt;=Inicio!$B$17,"Observar","OK")))</f>
        <v/>
      </c>
      <c r="K455" s="24"/>
    </row>
    <row r="456" spans="1:11" x14ac:dyDescent="0.35">
      <c r="A456" s="24"/>
      <c r="B456" s="31" t="str">
        <f>IFERROR(VLOOKUP(A456,Clientes_PDV!$A$2:$J$250,2,FALSE),"")</f>
        <v/>
      </c>
      <c r="C456" s="31" t="str">
        <f>IFERROR(VLOOKUP(A456,Clientes_PDV!$A$2:$J$250,3,FALSE),"")</f>
        <v/>
      </c>
      <c r="D456" s="31" t="str">
        <f>IFERROR(VLOOKUP(A456,Clientes_PDV!$A$2:$J$250,4,FALSE),"")</f>
        <v/>
      </c>
      <c r="E456" s="24"/>
      <c r="F456" s="31" t="str">
        <f>IFERROR(VLOOKUP(E456,Maestro_SKU!$A$2:$P$500,2,FALSE),"")</f>
        <v/>
      </c>
      <c r="G456" s="29"/>
      <c r="H456" s="32" t="str">
        <f>IF(OR(G456="",E456=""),"",G456*IFERROR(VLOOKUP(E456,Maestro_SKU!$A$2:$P$500,12,FALSE),1))</f>
        <v/>
      </c>
      <c r="I456" s="25"/>
      <c r="J456" s="31" t="str">
        <f>IF(A456="","",IF(H456&lt;=Inicio!$B$16,"Crítico",IF(H456&lt;=Inicio!$B$17,"Observar","OK")))</f>
        <v/>
      </c>
      <c r="K456" s="24"/>
    </row>
    <row r="457" spans="1:11" x14ac:dyDescent="0.35">
      <c r="A457" s="24"/>
      <c r="B457" s="31" t="str">
        <f>IFERROR(VLOOKUP(A457,Clientes_PDV!$A$2:$J$250,2,FALSE),"")</f>
        <v/>
      </c>
      <c r="C457" s="31" t="str">
        <f>IFERROR(VLOOKUP(A457,Clientes_PDV!$A$2:$J$250,3,FALSE),"")</f>
        <v/>
      </c>
      <c r="D457" s="31" t="str">
        <f>IFERROR(VLOOKUP(A457,Clientes_PDV!$A$2:$J$250,4,FALSE),"")</f>
        <v/>
      </c>
      <c r="E457" s="24"/>
      <c r="F457" s="31" t="str">
        <f>IFERROR(VLOOKUP(E457,Maestro_SKU!$A$2:$P$500,2,FALSE),"")</f>
        <v/>
      </c>
      <c r="G457" s="29"/>
      <c r="H457" s="32" t="str">
        <f>IF(OR(G457="",E457=""),"",G457*IFERROR(VLOOKUP(E457,Maestro_SKU!$A$2:$P$500,12,FALSE),1))</f>
        <v/>
      </c>
      <c r="I457" s="25"/>
      <c r="J457" s="31" t="str">
        <f>IF(A457="","",IF(H457&lt;=Inicio!$B$16,"Crítico",IF(H457&lt;=Inicio!$B$17,"Observar","OK")))</f>
        <v/>
      </c>
      <c r="K457" s="24"/>
    </row>
    <row r="458" spans="1:11" x14ac:dyDescent="0.35">
      <c r="A458" s="24"/>
      <c r="B458" s="31" t="str">
        <f>IFERROR(VLOOKUP(A458,Clientes_PDV!$A$2:$J$250,2,FALSE),"")</f>
        <v/>
      </c>
      <c r="C458" s="31" t="str">
        <f>IFERROR(VLOOKUP(A458,Clientes_PDV!$A$2:$J$250,3,FALSE),"")</f>
        <v/>
      </c>
      <c r="D458" s="31" t="str">
        <f>IFERROR(VLOOKUP(A458,Clientes_PDV!$A$2:$J$250,4,FALSE),"")</f>
        <v/>
      </c>
      <c r="E458" s="24"/>
      <c r="F458" s="31" t="str">
        <f>IFERROR(VLOOKUP(E458,Maestro_SKU!$A$2:$P$500,2,FALSE),"")</f>
        <v/>
      </c>
      <c r="G458" s="29"/>
      <c r="H458" s="32" t="str">
        <f>IF(OR(G458="",E458=""),"",G458*IFERROR(VLOOKUP(E458,Maestro_SKU!$A$2:$P$500,12,FALSE),1))</f>
        <v/>
      </c>
      <c r="I458" s="25"/>
      <c r="J458" s="31" t="str">
        <f>IF(A458="","",IF(H458&lt;=Inicio!$B$16,"Crítico",IF(H458&lt;=Inicio!$B$17,"Observar","OK")))</f>
        <v/>
      </c>
      <c r="K458" s="24"/>
    </row>
    <row r="459" spans="1:11" x14ac:dyDescent="0.35">
      <c r="A459" s="24"/>
      <c r="B459" s="31" t="str">
        <f>IFERROR(VLOOKUP(A459,Clientes_PDV!$A$2:$J$250,2,FALSE),"")</f>
        <v/>
      </c>
      <c r="C459" s="31" t="str">
        <f>IFERROR(VLOOKUP(A459,Clientes_PDV!$A$2:$J$250,3,FALSE),"")</f>
        <v/>
      </c>
      <c r="D459" s="31" t="str">
        <f>IFERROR(VLOOKUP(A459,Clientes_PDV!$A$2:$J$250,4,FALSE),"")</f>
        <v/>
      </c>
      <c r="E459" s="24"/>
      <c r="F459" s="31" t="str">
        <f>IFERROR(VLOOKUP(E459,Maestro_SKU!$A$2:$P$500,2,FALSE),"")</f>
        <v/>
      </c>
      <c r="G459" s="29"/>
      <c r="H459" s="32" t="str">
        <f>IF(OR(G459="",E459=""),"",G459*IFERROR(VLOOKUP(E459,Maestro_SKU!$A$2:$P$500,12,FALSE),1))</f>
        <v/>
      </c>
      <c r="I459" s="25"/>
      <c r="J459" s="31" t="str">
        <f>IF(A459="","",IF(H459&lt;=Inicio!$B$16,"Crítico",IF(H459&lt;=Inicio!$B$17,"Observar","OK")))</f>
        <v/>
      </c>
      <c r="K459" s="24"/>
    </row>
    <row r="460" spans="1:11" x14ac:dyDescent="0.35">
      <c r="A460" s="24"/>
      <c r="B460" s="31" t="str">
        <f>IFERROR(VLOOKUP(A460,Clientes_PDV!$A$2:$J$250,2,FALSE),"")</f>
        <v/>
      </c>
      <c r="C460" s="31" t="str">
        <f>IFERROR(VLOOKUP(A460,Clientes_PDV!$A$2:$J$250,3,FALSE),"")</f>
        <v/>
      </c>
      <c r="D460" s="31" t="str">
        <f>IFERROR(VLOOKUP(A460,Clientes_PDV!$A$2:$J$250,4,FALSE),"")</f>
        <v/>
      </c>
      <c r="E460" s="24"/>
      <c r="F460" s="31" t="str">
        <f>IFERROR(VLOOKUP(E460,Maestro_SKU!$A$2:$P$500,2,FALSE),"")</f>
        <v/>
      </c>
      <c r="G460" s="29"/>
      <c r="H460" s="32" t="str">
        <f>IF(OR(G460="",E460=""),"",G460*IFERROR(VLOOKUP(E460,Maestro_SKU!$A$2:$P$500,12,FALSE),1))</f>
        <v/>
      </c>
      <c r="I460" s="25"/>
      <c r="J460" s="31" t="str">
        <f>IF(A460="","",IF(H460&lt;=Inicio!$B$16,"Crítico",IF(H460&lt;=Inicio!$B$17,"Observar","OK")))</f>
        <v/>
      </c>
      <c r="K460" s="24"/>
    </row>
    <row r="461" spans="1:11" x14ac:dyDescent="0.35">
      <c r="A461" s="24"/>
      <c r="B461" s="31" t="str">
        <f>IFERROR(VLOOKUP(A461,Clientes_PDV!$A$2:$J$250,2,FALSE),"")</f>
        <v/>
      </c>
      <c r="C461" s="31" t="str">
        <f>IFERROR(VLOOKUP(A461,Clientes_PDV!$A$2:$J$250,3,FALSE),"")</f>
        <v/>
      </c>
      <c r="D461" s="31" t="str">
        <f>IFERROR(VLOOKUP(A461,Clientes_PDV!$A$2:$J$250,4,FALSE),"")</f>
        <v/>
      </c>
      <c r="E461" s="24"/>
      <c r="F461" s="31" t="str">
        <f>IFERROR(VLOOKUP(E461,Maestro_SKU!$A$2:$P$500,2,FALSE),"")</f>
        <v/>
      </c>
      <c r="G461" s="29"/>
      <c r="H461" s="32" t="str">
        <f>IF(OR(G461="",E461=""),"",G461*IFERROR(VLOOKUP(E461,Maestro_SKU!$A$2:$P$500,12,FALSE),1))</f>
        <v/>
      </c>
      <c r="I461" s="25"/>
      <c r="J461" s="31" t="str">
        <f>IF(A461="","",IF(H461&lt;=Inicio!$B$16,"Crítico",IF(H461&lt;=Inicio!$B$17,"Observar","OK")))</f>
        <v/>
      </c>
      <c r="K461" s="24"/>
    </row>
    <row r="462" spans="1:11" x14ac:dyDescent="0.35">
      <c r="A462" s="24"/>
      <c r="B462" s="31" t="str">
        <f>IFERROR(VLOOKUP(A462,Clientes_PDV!$A$2:$J$250,2,FALSE),"")</f>
        <v/>
      </c>
      <c r="C462" s="31" t="str">
        <f>IFERROR(VLOOKUP(A462,Clientes_PDV!$A$2:$J$250,3,FALSE),"")</f>
        <v/>
      </c>
      <c r="D462" s="31" t="str">
        <f>IFERROR(VLOOKUP(A462,Clientes_PDV!$A$2:$J$250,4,FALSE),"")</f>
        <v/>
      </c>
      <c r="E462" s="24"/>
      <c r="F462" s="31" t="str">
        <f>IFERROR(VLOOKUP(E462,Maestro_SKU!$A$2:$P$500,2,FALSE),"")</f>
        <v/>
      </c>
      <c r="G462" s="29"/>
      <c r="H462" s="32" t="str">
        <f>IF(OR(G462="",E462=""),"",G462*IFERROR(VLOOKUP(E462,Maestro_SKU!$A$2:$P$500,12,FALSE),1))</f>
        <v/>
      </c>
      <c r="I462" s="25"/>
      <c r="J462" s="31" t="str">
        <f>IF(A462="","",IF(H462&lt;=Inicio!$B$16,"Crítico",IF(H462&lt;=Inicio!$B$17,"Observar","OK")))</f>
        <v/>
      </c>
      <c r="K462" s="24"/>
    </row>
    <row r="463" spans="1:11" x14ac:dyDescent="0.35">
      <c r="A463" s="24"/>
      <c r="B463" s="31" t="str">
        <f>IFERROR(VLOOKUP(A463,Clientes_PDV!$A$2:$J$250,2,FALSE),"")</f>
        <v/>
      </c>
      <c r="C463" s="31" t="str">
        <f>IFERROR(VLOOKUP(A463,Clientes_PDV!$A$2:$J$250,3,FALSE),"")</f>
        <v/>
      </c>
      <c r="D463" s="31" t="str">
        <f>IFERROR(VLOOKUP(A463,Clientes_PDV!$A$2:$J$250,4,FALSE),"")</f>
        <v/>
      </c>
      <c r="E463" s="24"/>
      <c r="F463" s="31" t="str">
        <f>IFERROR(VLOOKUP(E463,Maestro_SKU!$A$2:$P$500,2,FALSE),"")</f>
        <v/>
      </c>
      <c r="G463" s="29"/>
      <c r="H463" s="32" t="str">
        <f>IF(OR(G463="",E463=""),"",G463*IFERROR(VLOOKUP(E463,Maestro_SKU!$A$2:$P$500,12,FALSE),1))</f>
        <v/>
      </c>
      <c r="I463" s="25"/>
      <c r="J463" s="31" t="str">
        <f>IF(A463="","",IF(H463&lt;=Inicio!$B$16,"Crítico",IF(H463&lt;=Inicio!$B$17,"Observar","OK")))</f>
        <v/>
      </c>
      <c r="K463" s="24"/>
    </row>
    <row r="464" spans="1:11" x14ac:dyDescent="0.35">
      <c r="A464" s="24"/>
      <c r="B464" s="31" t="str">
        <f>IFERROR(VLOOKUP(A464,Clientes_PDV!$A$2:$J$250,2,FALSE),"")</f>
        <v/>
      </c>
      <c r="C464" s="31" t="str">
        <f>IFERROR(VLOOKUP(A464,Clientes_PDV!$A$2:$J$250,3,FALSE),"")</f>
        <v/>
      </c>
      <c r="D464" s="31" t="str">
        <f>IFERROR(VLOOKUP(A464,Clientes_PDV!$A$2:$J$250,4,FALSE),"")</f>
        <v/>
      </c>
      <c r="E464" s="24"/>
      <c r="F464" s="31" t="str">
        <f>IFERROR(VLOOKUP(E464,Maestro_SKU!$A$2:$P$500,2,FALSE),"")</f>
        <v/>
      </c>
      <c r="G464" s="29"/>
      <c r="H464" s="32" t="str">
        <f>IF(OR(G464="",E464=""),"",G464*IFERROR(VLOOKUP(E464,Maestro_SKU!$A$2:$P$500,12,FALSE),1))</f>
        <v/>
      </c>
      <c r="I464" s="25"/>
      <c r="J464" s="31" t="str">
        <f>IF(A464="","",IF(H464&lt;=Inicio!$B$16,"Crítico",IF(H464&lt;=Inicio!$B$17,"Observar","OK")))</f>
        <v/>
      </c>
      <c r="K464" s="24"/>
    </row>
    <row r="465" spans="1:11" x14ac:dyDescent="0.35">
      <c r="A465" s="24"/>
      <c r="B465" s="31" t="str">
        <f>IFERROR(VLOOKUP(A465,Clientes_PDV!$A$2:$J$250,2,FALSE),"")</f>
        <v/>
      </c>
      <c r="C465" s="31" t="str">
        <f>IFERROR(VLOOKUP(A465,Clientes_PDV!$A$2:$J$250,3,FALSE),"")</f>
        <v/>
      </c>
      <c r="D465" s="31" t="str">
        <f>IFERROR(VLOOKUP(A465,Clientes_PDV!$A$2:$J$250,4,FALSE),"")</f>
        <v/>
      </c>
      <c r="E465" s="24"/>
      <c r="F465" s="31" t="str">
        <f>IFERROR(VLOOKUP(E465,Maestro_SKU!$A$2:$P$500,2,FALSE),"")</f>
        <v/>
      </c>
      <c r="G465" s="29"/>
      <c r="H465" s="32" t="str">
        <f>IF(OR(G465="",E465=""),"",G465*IFERROR(VLOOKUP(E465,Maestro_SKU!$A$2:$P$500,12,FALSE),1))</f>
        <v/>
      </c>
      <c r="I465" s="25"/>
      <c r="J465" s="31" t="str">
        <f>IF(A465="","",IF(H465&lt;=Inicio!$B$16,"Crítico",IF(H465&lt;=Inicio!$B$17,"Observar","OK")))</f>
        <v/>
      </c>
      <c r="K465" s="24"/>
    </row>
    <row r="466" spans="1:11" x14ac:dyDescent="0.35">
      <c r="A466" s="24"/>
      <c r="B466" s="31" t="str">
        <f>IFERROR(VLOOKUP(A466,Clientes_PDV!$A$2:$J$250,2,FALSE),"")</f>
        <v/>
      </c>
      <c r="C466" s="31" t="str">
        <f>IFERROR(VLOOKUP(A466,Clientes_PDV!$A$2:$J$250,3,FALSE),"")</f>
        <v/>
      </c>
      <c r="D466" s="31" t="str">
        <f>IFERROR(VLOOKUP(A466,Clientes_PDV!$A$2:$J$250,4,FALSE),"")</f>
        <v/>
      </c>
      <c r="E466" s="24"/>
      <c r="F466" s="31" t="str">
        <f>IFERROR(VLOOKUP(E466,Maestro_SKU!$A$2:$P$500,2,FALSE),"")</f>
        <v/>
      </c>
      <c r="G466" s="29"/>
      <c r="H466" s="32" t="str">
        <f>IF(OR(G466="",E466=""),"",G466*IFERROR(VLOOKUP(E466,Maestro_SKU!$A$2:$P$500,12,FALSE),1))</f>
        <v/>
      </c>
      <c r="I466" s="25"/>
      <c r="J466" s="31" t="str">
        <f>IF(A466="","",IF(H466&lt;=Inicio!$B$16,"Crítico",IF(H466&lt;=Inicio!$B$17,"Observar","OK")))</f>
        <v/>
      </c>
      <c r="K466" s="24"/>
    </row>
    <row r="467" spans="1:11" x14ac:dyDescent="0.35">
      <c r="A467" s="24"/>
      <c r="B467" s="31" t="str">
        <f>IFERROR(VLOOKUP(A467,Clientes_PDV!$A$2:$J$250,2,FALSE),"")</f>
        <v/>
      </c>
      <c r="C467" s="31" t="str">
        <f>IFERROR(VLOOKUP(A467,Clientes_PDV!$A$2:$J$250,3,FALSE),"")</f>
        <v/>
      </c>
      <c r="D467" s="31" t="str">
        <f>IFERROR(VLOOKUP(A467,Clientes_PDV!$A$2:$J$250,4,FALSE),"")</f>
        <v/>
      </c>
      <c r="E467" s="24"/>
      <c r="F467" s="31" t="str">
        <f>IFERROR(VLOOKUP(E467,Maestro_SKU!$A$2:$P$500,2,FALSE),"")</f>
        <v/>
      </c>
      <c r="G467" s="29"/>
      <c r="H467" s="32" t="str">
        <f>IF(OR(G467="",E467=""),"",G467*IFERROR(VLOOKUP(E467,Maestro_SKU!$A$2:$P$500,12,FALSE),1))</f>
        <v/>
      </c>
      <c r="I467" s="25"/>
      <c r="J467" s="31" t="str">
        <f>IF(A467="","",IF(H467&lt;=Inicio!$B$16,"Crítico",IF(H467&lt;=Inicio!$B$17,"Observar","OK")))</f>
        <v/>
      </c>
      <c r="K467" s="24"/>
    </row>
    <row r="468" spans="1:11" x14ac:dyDescent="0.35">
      <c r="A468" s="24"/>
      <c r="B468" s="31" t="str">
        <f>IFERROR(VLOOKUP(A468,Clientes_PDV!$A$2:$J$250,2,FALSE),"")</f>
        <v/>
      </c>
      <c r="C468" s="31" t="str">
        <f>IFERROR(VLOOKUP(A468,Clientes_PDV!$A$2:$J$250,3,FALSE),"")</f>
        <v/>
      </c>
      <c r="D468" s="31" t="str">
        <f>IFERROR(VLOOKUP(A468,Clientes_PDV!$A$2:$J$250,4,FALSE),"")</f>
        <v/>
      </c>
      <c r="E468" s="24"/>
      <c r="F468" s="31" t="str">
        <f>IFERROR(VLOOKUP(E468,Maestro_SKU!$A$2:$P$500,2,FALSE),"")</f>
        <v/>
      </c>
      <c r="G468" s="29"/>
      <c r="H468" s="32" t="str">
        <f>IF(OR(G468="",E468=""),"",G468*IFERROR(VLOOKUP(E468,Maestro_SKU!$A$2:$P$500,12,FALSE),1))</f>
        <v/>
      </c>
      <c r="I468" s="25"/>
      <c r="J468" s="31" t="str">
        <f>IF(A468="","",IF(H468&lt;=Inicio!$B$16,"Crítico",IF(H468&lt;=Inicio!$B$17,"Observar","OK")))</f>
        <v/>
      </c>
      <c r="K468" s="24"/>
    </row>
    <row r="469" spans="1:11" x14ac:dyDescent="0.35">
      <c r="A469" s="24"/>
      <c r="B469" s="31" t="str">
        <f>IFERROR(VLOOKUP(A469,Clientes_PDV!$A$2:$J$250,2,FALSE),"")</f>
        <v/>
      </c>
      <c r="C469" s="31" t="str">
        <f>IFERROR(VLOOKUP(A469,Clientes_PDV!$A$2:$J$250,3,FALSE),"")</f>
        <v/>
      </c>
      <c r="D469" s="31" t="str">
        <f>IFERROR(VLOOKUP(A469,Clientes_PDV!$A$2:$J$250,4,FALSE),"")</f>
        <v/>
      </c>
      <c r="E469" s="24"/>
      <c r="F469" s="31" t="str">
        <f>IFERROR(VLOOKUP(E469,Maestro_SKU!$A$2:$P$500,2,FALSE),"")</f>
        <v/>
      </c>
      <c r="G469" s="29"/>
      <c r="H469" s="32" t="str">
        <f>IF(OR(G469="",E469=""),"",G469*IFERROR(VLOOKUP(E469,Maestro_SKU!$A$2:$P$500,12,FALSE),1))</f>
        <v/>
      </c>
      <c r="I469" s="25"/>
      <c r="J469" s="31" t="str">
        <f>IF(A469="","",IF(H469&lt;=Inicio!$B$16,"Crítico",IF(H469&lt;=Inicio!$B$17,"Observar","OK")))</f>
        <v/>
      </c>
      <c r="K469" s="24"/>
    </row>
    <row r="470" spans="1:11" x14ac:dyDescent="0.35">
      <c r="A470" s="24"/>
      <c r="B470" s="31" t="str">
        <f>IFERROR(VLOOKUP(A470,Clientes_PDV!$A$2:$J$250,2,FALSE),"")</f>
        <v/>
      </c>
      <c r="C470" s="31" t="str">
        <f>IFERROR(VLOOKUP(A470,Clientes_PDV!$A$2:$J$250,3,FALSE),"")</f>
        <v/>
      </c>
      <c r="D470" s="31" t="str">
        <f>IFERROR(VLOOKUP(A470,Clientes_PDV!$A$2:$J$250,4,FALSE),"")</f>
        <v/>
      </c>
      <c r="E470" s="24"/>
      <c r="F470" s="31" t="str">
        <f>IFERROR(VLOOKUP(E470,Maestro_SKU!$A$2:$P$500,2,FALSE),"")</f>
        <v/>
      </c>
      <c r="G470" s="29"/>
      <c r="H470" s="32" t="str">
        <f>IF(OR(G470="",E470=""),"",G470*IFERROR(VLOOKUP(E470,Maestro_SKU!$A$2:$P$500,12,FALSE),1))</f>
        <v/>
      </c>
      <c r="I470" s="25"/>
      <c r="J470" s="31" t="str">
        <f>IF(A470="","",IF(H470&lt;=Inicio!$B$16,"Crítico",IF(H470&lt;=Inicio!$B$17,"Observar","OK")))</f>
        <v/>
      </c>
      <c r="K470" s="24"/>
    </row>
    <row r="471" spans="1:11" x14ac:dyDescent="0.35">
      <c r="A471" s="24"/>
      <c r="B471" s="31" t="str">
        <f>IFERROR(VLOOKUP(A471,Clientes_PDV!$A$2:$J$250,2,FALSE),"")</f>
        <v/>
      </c>
      <c r="C471" s="31" t="str">
        <f>IFERROR(VLOOKUP(A471,Clientes_PDV!$A$2:$J$250,3,FALSE),"")</f>
        <v/>
      </c>
      <c r="D471" s="31" t="str">
        <f>IFERROR(VLOOKUP(A471,Clientes_PDV!$A$2:$J$250,4,FALSE),"")</f>
        <v/>
      </c>
      <c r="E471" s="24"/>
      <c r="F471" s="31" t="str">
        <f>IFERROR(VLOOKUP(E471,Maestro_SKU!$A$2:$P$500,2,FALSE),"")</f>
        <v/>
      </c>
      <c r="G471" s="29"/>
      <c r="H471" s="32" t="str">
        <f>IF(OR(G471="",E471=""),"",G471*IFERROR(VLOOKUP(E471,Maestro_SKU!$A$2:$P$500,12,FALSE),1))</f>
        <v/>
      </c>
      <c r="I471" s="25"/>
      <c r="J471" s="31" t="str">
        <f>IF(A471="","",IF(H471&lt;=Inicio!$B$16,"Crítico",IF(H471&lt;=Inicio!$B$17,"Observar","OK")))</f>
        <v/>
      </c>
      <c r="K471" s="24"/>
    </row>
    <row r="472" spans="1:11" x14ac:dyDescent="0.35">
      <c r="A472" s="24"/>
      <c r="B472" s="31" t="str">
        <f>IFERROR(VLOOKUP(A472,Clientes_PDV!$A$2:$J$250,2,FALSE),"")</f>
        <v/>
      </c>
      <c r="C472" s="31" t="str">
        <f>IFERROR(VLOOKUP(A472,Clientes_PDV!$A$2:$J$250,3,FALSE),"")</f>
        <v/>
      </c>
      <c r="D472" s="31" t="str">
        <f>IFERROR(VLOOKUP(A472,Clientes_PDV!$A$2:$J$250,4,FALSE),"")</f>
        <v/>
      </c>
      <c r="E472" s="24"/>
      <c r="F472" s="31" t="str">
        <f>IFERROR(VLOOKUP(E472,Maestro_SKU!$A$2:$P$500,2,FALSE),"")</f>
        <v/>
      </c>
      <c r="G472" s="29"/>
      <c r="H472" s="32" t="str">
        <f>IF(OR(G472="",E472=""),"",G472*IFERROR(VLOOKUP(E472,Maestro_SKU!$A$2:$P$500,12,FALSE),1))</f>
        <v/>
      </c>
      <c r="I472" s="25"/>
      <c r="J472" s="31" t="str">
        <f>IF(A472="","",IF(H472&lt;=Inicio!$B$16,"Crítico",IF(H472&lt;=Inicio!$B$17,"Observar","OK")))</f>
        <v/>
      </c>
      <c r="K472" s="24"/>
    </row>
    <row r="473" spans="1:11" x14ac:dyDescent="0.35">
      <c r="A473" s="24"/>
      <c r="B473" s="31" t="str">
        <f>IFERROR(VLOOKUP(A473,Clientes_PDV!$A$2:$J$250,2,FALSE),"")</f>
        <v/>
      </c>
      <c r="C473" s="31" t="str">
        <f>IFERROR(VLOOKUP(A473,Clientes_PDV!$A$2:$J$250,3,FALSE),"")</f>
        <v/>
      </c>
      <c r="D473" s="31" t="str">
        <f>IFERROR(VLOOKUP(A473,Clientes_PDV!$A$2:$J$250,4,FALSE),"")</f>
        <v/>
      </c>
      <c r="E473" s="24"/>
      <c r="F473" s="31" t="str">
        <f>IFERROR(VLOOKUP(E473,Maestro_SKU!$A$2:$P$500,2,FALSE),"")</f>
        <v/>
      </c>
      <c r="G473" s="29"/>
      <c r="H473" s="32" t="str">
        <f>IF(OR(G473="",E473=""),"",G473*IFERROR(VLOOKUP(E473,Maestro_SKU!$A$2:$P$500,12,FALSE),1))</f>
        <v/>
      </c>
      <c r="I473" s="25"/>
      <c r="J473" s="31" t="str">
        <f>IF(A473="","",IF(H473&lt;=Inicio!$B$16,"Crítico",IF(H473&lt;=Inicio!$B$17,"Observar","OK")))</f>
        <v/>
      </c>
      <c r="K473" s="24"/>
    </row>
    <row r="474" spans="1:11" x14ac:dyDescent="0.35">
      <c r="A474" s="24"/>
      <c r="B474" s="31" t="str">
        <f>IFERROR(VLOOKUP(A474,Clientes_PDV!$A$2:$J$250,2,FALSE),"")</f>
        <v/>
      </c>
      <c r="C474" s="31" t="str">
        <f>IFERROR(VLOOKUP(A474,Clientes_PDV!$A$2:$J$250,3,FALSE),"")</f>
        <v/>
      </c>
      <c r="D474" s="31" t="str">
        <f>IFERROR(VLOOKUP(A474,Clientes_PDV!$A$2:$J$250,4,FALSE),"")</f>
        <v/>
      </c>
      <c r="E474" s="24"/>
      <c r="F474" s="31" t="str">
        <f>IFERROR(VLOOKUP(E474,Maestro_SKU!$A$2:$P$500,2,FALSE),"")</f>
        <v/>
      </c>
      <c r="G474" s="29"/>
      <c r="H474" s="32" t="str">
        <f>IF(OR(G474="",E474=""),"",G474*IFERROR(VLOOKUP(E474,Maestro_SKU!$A$2:$P$500,12,FALSE),1))</f>
        <v/>
      </c>
      <c r="I474" s="25"/>
      <c r="J474" s="31" t="str">
        <f>IF(A474="","",IF(H474&lt;=Inicio!$B$16,"Crítico",IF(H474&lt;=Inicio!$B$17,"Observar","OK")))</f>
        <v/>
      </c>
      <c r="K474" s="24"/>
    </row>
    <row r="475" spans="1:11" x14ac:dyDescent="0.35">
      <c r="A475" s="24"/>
      <c r="B475" s="31" t="str">
        <f>IFERROR(VLOOKUP(A475,Clientes_PDV!$A$2:$J$250,2,FALSE),"")</f>
        <v/>
      </c>
      <c r="C475" s="31" t="str">
        <f>IFERROR(VLOOKUP(A475,Clientes_PDV!$A$2:$J$250,3,FALSE),"")</f>
        <v/>
      </c>
      <c r="D475" s="31" t="str">
        <f>IFERROR(VLOOKUP(A475,Clientes_PDV!$A$2:$J$250,4,FALSE),"")</f>
        <v/>
      </c>
      <c r="E475" s="24"/>
      <c r="F475" s="31" t="str">
        <f>IFERROR(VLOOKUP(E475,Maestro_SKU!$A$2:$P$500,2,FALSE),"")</f>
        <v/>
      </c>
      <c r="G475" s="29"/>
      <c r="H475" s="32" t="str">
        <f>IF(OR(G475="",E475=""),"",G475*IFERROR(VLOOKUP(E475,Maestro_SKU!$A$2:$P$500,12,FALSE),1))</f>
        <v/>
      </c>
      <c r="I475" s="25"/>
      <c r="J475" s="31" t="str">
        <f>IF(A475="","",IF(H475&lt;=Inicio!$B$16,"Crítico",IF(H475&lt;=Inicio!$B$17,"Observar","OK")))</f>
        <v/>
      </c>
      <c r="K475" s="24"/>
    </row>
    <row r="476" spans="1:11" x14ac:dyDescent="0.35">
      <c r="A476" s="24"/>
      <c r="B476" s="31" t="str">
        <f>IFERROR(VLOOKUP(A476,Clientes_PDV!$A$2:$J$250,2,FALSE),"")</f>
        <v/>
      </c>
      <c r="C476" s="31" t="str">
        <f>IFERROR(VLOOKUP(A476,Clientes_PDV!$A$2:$J$250,3,FALSE),"")</f>
        <v/>
      </c>
      <c r="D476" s="31" t="str">
        <f>IFERROR(VLOOKUP(A476,Clientes_PDV!$A$2:$J$250,4,FALSE),"")</f>
        <v/>
      </c>
      <c r="E476" s="24"/>
      <c r="F476" s="31" t="str">
        <f>IFERROR(VLOOKUP(E476,Maestro_SKU!$A$2:$P$500,2,FALSE),"")</f>
        <v/>
      </c>
      <c r="G476" s="29"/>
      <c r="H476" s="32" t="str">
        <f>IF(OR(G476="",E476=""),"",G476*IFERROR(VLOOKUP(E476,Maestro_SKU!$A$2:$P$500,12,FALSE),1))</f>
        <v/>
      </c>
      <c r="I476" s="25"/>
      <c r="J476" s="31" t="str">
        <f>IF(A476="","",IF(H476&lt;=Inicio!$B$16,"Crítico",IF(H476&lt;=Inicio!$B$17,"Observar","OK")))</f>
        <v/>
      </c>
      <c r="K476" s="24"/>
    </row>
    <row r="477" spans="1:11" x14ac:dyDescent="0.35">
      <c r="A477" s="24"/>
      <c r="B477" s="31" t="str">
        <f>IFERROR(VLOOKUP(A477,Clientes_PDV!$A$2:$J$250,2,FALSE),"")</f>
        <v/>
      </c>
      <c r="C477" s="31" t="str">
        <f>IFERROR(VLOOKUP(A477,Clientes_PDV!$A$2:$J$250,3,FALSE),"")</f>
        <v/>
      </c>
      <c r="D477" s="31" t="str">
        <f>IFERROR(VLOOKUP(A477,Clientes_PDV!$A$2:$J$250,4,FALSE),"")</f>
        <v/>
      </c>
      <c r="E477" s="24"/>
      <c r="F477" s="31" t="str">
        <f>IFERROR(VLOOKUP(E477,Maestro_SKU!$A$2:$P$500,2,FALSE),"")</f>
        <v/>
      </c>
      <c r="G477" s="29"/>
      <c r="H477" s="32" t="str">
        <f>IF(OR(G477="",E477=""),"",G477*IFERROR(VLOOKUP(E477,Maestro_SKU!$A$2:$P$500,12,FALSE),1))</f>
        <v/>
      </c>
      <c r="I477" s="25"/>
      <c r="J477" s="31" t="str">
        <f>IF(A477="","",IF(H477&lt;=Inicio!$B$16,"Crítico",IF(H477&lt;=Inicio!$B$17,"Observar","OK")))</f>
        <v/>
      </c>
      <c r="K477" s="24"/>
    </row>
    <row r="478" spans="1:11" x14ac:dyDescent="0.35">
      <c r="A478" s="24"/>
      <c r="B478" s="31" t="str">
        <f>IFERROR(VLOOKUP(A478,Clientes_PDV!$A$2:$J$250,2,FALSE),"")</f>
        <v/>
      </c>
      <c r="C478" s="31" t="str">
        <f>IFERROR(VLOOKUP(A478,Clientes_PDV!$A$2:$J$250,3,FALSE),"")</f>
        <v/>
      </c>
      <c r="D478" s="31" t="str">
        <f>IFERROR(VLOOKUP(A478,Clientes_PDV!$A$2:$J$250,4,FALSE),"")</f>
        <v/>
      </c>
      <c r="E478" s="24"/>
      <c r="F478" s="31" t="str">
        <f>IFERROR(VLOOKUP(E478,Maestro_SKU!$A$2:$P$500,2,FALSE),"")</f>
        <v/>
      </c>
      <c r="G478" s="29"/>
      <c r="H478" s="32" t="str">
        <f>IF(OR(G478="",E478=""),"",G478*IFERROR(VLOOKUP(E478,Maestro_SKU!$A$2:$P$500,12,FALSE),1))</f>
        <v/>
      </c>
      <c r="I478" s="25"/>
      <c r="J478" s="31" t="str">
        <f>IF(A478="","",IF(H478&lt;=Inicio!$B$16,"Crítico",IF(H478&lt;=Inicio!$B$17,"Observar","OK")))</f>
        <v/>
      </c>
      <c r="K478" s="24"/>
    </row>
    <row r="479" spans="1:11" x14ac:dyDescent="0.35">
      <c r="A479" s="24"/>
      <c r="B479" s="31" t="str">
        <f>IFERROR(VLOOKUP(A479,Clientes_PDV!$A$2:$J$250,2,FALSE),"")</f>
        <v/>
      </c>
      <c r="C479" s="31" t="str">
        <f>IFERROR(VLOOKUP(A479,Clientes_PDV!$A$2:$J$250,3,FALSE),"")</f>
        <v/>
      </c>
      <c r="D479" s="31" t="str">
        <f>IFERROR(VLOOKUP(A479,Clientes_PDV!$A$2:$J$250,4,FALSE),"")</f>
        <v/>
      </c>
      <c r="E479" s="24"/>
      <c r="F479" s="31" t="str">
        <f>IFERROR(VLOOKUP(E479,Maestro_SKU!$A$2:$P$500,2,FALSE),"")</f>
        <v/>
      </c>
      <c r="G479" s="29"/>
      <c r="H479" s="32" t="str">
        <f>IF(OR(G479="",E479=""),"",G479*IFERROR(VLOOKUP(E479,Maestro_SKU!$A$2:$P$500,12,FALSE),1))</f>
        <v/>
      </c>
      <c r="I479" s="25"/>
      <c r="J479" s="31" t="str">
        <f>IF(A479="","",IF(H479&lt;=Inicio!$B$16,"Crítico",IF(H479&lt;=Inicio!$B$17,"Observar","OK")))</f>
        <v/>
      </c>
      <c r="K479" s="24"/>
    </row>
    <row r="480" spans="1:11" x14ac:dyDescent="0.35">
      <c r="A480" s="24"/>
      <c r="B480" s="31" t="str">
        <f>IFERROR(VLOOKUP(A480,Clientes_PDV!$A$2:$J$250,2,FALSE),"")</f>
        <v/>
      </c>
      <c r="C480" s="31" t="str">
        <f>IFERROR(VLOOKUP(A480,Clientes_PDV!$A$2:$J$250,3,FALSE),"")</f>
        <v/>
      </c>
      <c r="D480" s="31" t="str">
        <f>IFERROR(VLOOKUP(A480,Clientes_PDV!$A$2:$J$250,4,FALSE),"")</f>
        <v/>
      </c>
      <c r="E480" s="24"/>
      <c r="F480" s="31" t="str">
        <f>IFERROR(VLOOKUP(E480,Maestro_SKU!$A$2:$P$500,2,FALSE),"")</f>
        <v/>
      </c>
      <c r="G480" s="29"/>
      <c r="H480" s="32" t="str">
        <f>IF(OR(G480="",E480=""),"",G480*IFERROR(VLOOKUP(E480,Maestro_SKU!$A$2:$P$500,12,FALSE),1))</f>
        <v/>
      </c>
      <c r="I480" s="25"/>
      <c r="J480" s="31" t="str">
        <f>IF(A480="","",IF(H480&lt;=Inicio!$B$16,"Crítico",IF(H480&lt;=Inicio!$B$17,"Observar","OK")))</f>
        <v/>
      </c>
      <c r="K480" s="24"/>
    </row>
    <row r="481" spans="1:11" x14ac:dyDescent="0.35">
      <c r="A481" s="24"/>
      <c r="B481" s="31" t="str">
        <f>IFERROR(VLOOKUP(A481,Clientes_PDV!$A$2:$J$250,2,FALSE),"")</f>
        <v/>
      </c>
      <c r="C481" s="31" t="str">
        <f>IFERROR(VLOOKUP(A481,Clientes_PDV!$A$2:$J$250,3,FALSE),"")</f>
        <v/>
      </c>
      <c r="D481" s="31" t="str">
        <f>IFERROR(VLOOKUP(A481,Clientes_PDV!$A$2:$J$250,4,FALSE),"")</f>
        <v/>
      </c>
      <c r="E481" s="24"/>
      <c r="F481" s="31" t="str">
        <f>IFERROR(VLOOKUP(E481,Maestro_SKU!$A$2:$P$500,2,FALSE),"")</f>
        <v/>
      </c>
      <c r="G481" s="29"/>
      <c r="H481" s="32" t="str">
        <f>IF(OR(G481="",E481=""),"",G481*IFERROR(VLOOKUP(E481,Maestro_SKU!$A$2:$P$500,12,FALSE),1))</f>
        <v/>
      </c>
      <c r="I481" s="25"/>
      <c r="J481" s="31" t="str">
        <f>IF(A481="","",IF(H481&lt;=Inicio!$B$16,"Crítico",IF(H481&lt;=Inicio!$B$17,"Observar","OK")))</f>
        <v/>
      </c>
      <c r="K481" s="24"/>
    </row>
    <row r="482" spans="1:11" x14ac:dyDescent="0.35">
      <c r="A482" s="24"/>
      <c r="B482" s="31" t="str">
        <f>IFERROR(VLOOKUP(A482,Clientes_PDV!$A$2:$J$250,2,FALSE),"")</f>
        <v/>
      </c>
      <c r="C482" s="31" t="str">
        <f>IFERROR(VLOOKUP(A482,Clientes_PDV!$A$2:$J$250,3,FALSE),"")</f>
        <v/>
      </c>
      <c r="D482" s="31" t="str">
        <f>IFERROR(VLOOKUP(A482,Clientes_PDV!$A$2:$J$250,4,FALSE),"")</f>
        <v/>
      </c>
      <c r="E482" s="24"/>
      <c r="F482" s="31" t="str">
        <f>IFERROR(VLOOKUP(E482,Maestro_SKU!$A$2:$P$500,2,FALSE),"")</f>
        <v/>
      </c>
      <c r="G482" s="29"/>
      <c r="H482" s="32" t="str">
        <f>IF(OR(G482="",E482=""),"",G482*IFERROR(VLOOKUP(E482,Maestro_SKU!$A$2:$P$500,12,FALSE),1))</f>
        <v/>
      </c>
      <c r="I482" s="25"/>
      <c r="J482" s="31" t="str">
        <f>IF(A482="","",IF(H482&lt;=Inicio!$B$16,"Crítico",IF(H482&lt;=Inicio!$B$17,"Observar","OK")))</f>
        <v/>
      </c>
      <c r="K482" s="24"/>
    </row>
    <row r="483" spans="1:11" x14ac:dyDescent="0.35">
      <c r="A483" s="24"/>
      <c r="B483" s="31" t="str">
        <f>IFERROR(VLOOKUP(A483,Clientes_PDV!$A$2:$J$250,2,FALSE),"")</f>
        <v/>
      </c>
      <c r="C483" s="31" t="str">
        <f>IFERROR(VLOOKUP(A483,Clientes_PDV!$A$2:$J$250,3,FALSE),"")</f>
        <v/>
      </c>
      <c r="D483" s="31" t="str">
        <f>IFERROR(VLOOKUP(A483,Clientes_PDV!$A$2:$J$250,4,FALSE),"")</f>
        <v/>
      </c>
      <c r="E483" s="24"/>
      <c r="F483" s="31" t="str">
        <f>IFERROR(VLOOKUP(E483,Maestro_SKU!$A$2:$P$500,2,FALSE),"")</f>
        <v/>
      </c>
      <c r="G483" s="29"/>
      <c r="H483" s="32" t="str">
        <f>IF(OR(G483="",E483=""),"",G483*IFERROR(VLOOKUP(E483,Maestro_SKU!$A$2:$P$500,12,FALSE),1))</f>
        <v/>
      </c>
      <c r="I483" s="25"/>
      <c r="J483" s="31" t="str">
        <f>IF(A483="","",IF(H483&lt;=Inicio!$B$16,"Crítico",IF(H483&lt;=Inicio!$B$17,"Observar","OK")))</f>
        <v/>
      </c>
      <c r="K483" s="24"/>
    </row>
    <row r="484" spans="1:11" x14ac:dyDescent="0.35">
      <c r="A484" s="24"/>
      <c r="B484" s="31" t="str">
        <f>IFERROR(VLOOKUP(A484,Clientes_PDV!$A$2:$J$250,2,FALSE),"")</f>
        <v/>
      </c>
      <c r="C484" s="31" t="str">
        <f>IFERROR(VLOOKUP(A484,Clientes_PDV!$A$2:$J$250,3,FALSE),"")</f>
        <v/>
      </c>
      <c r="D484" s="31" t="str">
        <f>IFERROR(VLOOKUP(A484,Clientes_PDV!$A$2:$J$250,4,FALSE),"")</f>
        <v/>
      </c>
      <c r="E484" s="24"/>
      <c r="F484" s="31" t="str">
        <f>IFERROR(VLOOKUP(E484,Maestro_SKU!$A$2:$P$500,2,FALSE),"")</f>
        <v/>
      </c>
      <c r="G484" s="29"/>
      <c r="H484" s="32" t="str">
        <f>IF(OR(G484="",E484=""),"",G484*IFERROR(VLOOKUP(E484,Maestro_SKU!$A$2:$P$500,12,FALSE),1))</f>
        <v/>
      </c>
      <c r="I484" s="25"/>
      <c r="J484" s="31" t="str">
        <f>IF(A484="","",IF(H484&lt;=Inicio!$B$16,"Crítico",IF(H484&lt;=Inicio!$B$17,"Observar","OK")))</f>
        <v/>
      </c>
      <c r="K484" s="24"/>
    </row>
    <row r="485" spans="1:11" x14ac:dyDescent="0.35">
      <c r="A485" s="24"/>
      <c r="B485" s="31" t="str">
        <f>IFERROR(VLOOKUP(A485,Clientes_PDV!$A$2:$J$250,2,FALSE),"")</f>
        <v/>
      </c>
      <c r="C485" s="31" t="str">
        <f>IFERROR(VLOOKUP(A485,Clientes_PDV!$A$2:$J$250,3,FALSE),"")</f>
        <v/>
      </c>
      <c r="D485" s="31" t="str">
        <f>IFERROR(VLOOKUP(A485,Clientes_PDV!$A$2:$J$250,4,FALSE),"")</f>
        <v/>
      </c>
      <c r="E485" s="24"/>
      <c r="F485" s="31" t="str">
        <f>IFERROR(VLOOKUP(E485,Maestro_SKU!$A$2:$P$500,2,FALSE),"")</f>
        <v/>
      </c>
      <c r="G485" s="29"/>
      <c r="H485" s="32" t="str">
        <f>IF(OR(G485="",E485=""),"",G485*IFERROR(VLOOKUP(E485,Maestro_SKU!$A$2:$P$500,12,FALSE),1))</f>
        <v/>
      </c>
      <c r="I485" s="25"/>
      <c r="J485" s="31" t="str">
        <f>IF(A485="","",IF(H485&lt;=Inicio!$B$16,"Crítico",IF(H485&lt;=Inicio!$B$17,"Observar","OK")))</f>
        <v/>
      </c>
      <c r="K485" s="24"/>
    </row>
    <row r="486" spans="1:11" x14ac:dyDescent="0.35">
      <c r="A486" s="24"/>
      <c r="B486" s="31" t="str">
        <f>IFERROR(VLOOKUP(A486,Clientes_PDV!$A$2:$J$250,2,FALSE),"")</f>
        <v/>
      </c>
      <c r="C486" s="31" t="str">
        <f>IFERROR(VLOOKUP(A486,Clientes_PDV!$A$2:$J$250,3,FALSE),"")</f>
        <v/>
      </c>
      <c r="D486" s="31" t="str">
        <f>IFERROR(VLOOKUP(A486,Clientes_PDV!$A$2:$J$250,4,FALSE),"")</f>
        <v/>
      </c>
      <c r="E486" s="24"/>
      <c r="F486" s="31" t="str">
        <f>IFERROR(VLOOKUP(E486,Maestro_SKU!$A$2:$P$500,2,FALSE),"")</f>
        <v/>
      </c>
      <c r="G486" s="29"/>
      <c r="H486" s="32" t="str">
        <f>IF(OR(G486="",E486=""),"",G486*IFERROR(VLOOKUP(E486,Maestro_SKU!$A$2:$P$500,12,FALSE),1))</f>
        <v/>
      </c>
      <c r="I486" s="25"/>
      <c r="J486" s="31" t="str">
        <f>IF(A486="","",IF(H486&lt;=Inicio!$B$16,"Crítico",IF(H486&lt;=Inicio!$B$17,"Observar","OK")))</f>
        <v/>
      </c>
      <c r="K486" s="24"/>
    </row>
    <row r="487" spans="1:11" x14ac:dyDescent="0.35">
      <c r="A487" s="24"/>
      <c r="B487" s="31" t="str">
        <f>IFERROR(VLOOKUP(A487,Clientes_PDV!$A$2:$J$250,2,FALSE),"")</f>
        <v/>
      </c>
      <c r="C487" s="31" t="str">
        <f>IFERROR(VLOOKUP(A487,Clientes_PDV!$A$2:$J$250,3,FALSE),"")</f>
        <v/>
      </c>
      <c r="D487" s="31" t="str">
        <f>IFERROR(VLOOKUP(A487,Clientes_PDV!$A$2:$J$250,4,FALSE),"")</f>
        <v/>
      </c>
      <c r="E487" s="24"/>
      <c r="F487" s="31" t="str">
        <f>IFERROR(VLOOKUP(E487,Maestro_SKU!$A$2:$P$500,2,FALSE),"")</f>
        <v/>
      </c>
      <c r="G487" s="29"/>
      <c r="H487" s="32" t="str">
        <f>IF(OR(G487="",E487=""),"",G487*IFERROR(VLOOKUP(E487,Maestro_SKU!$A$2:$P$500,12,FALSE),1))</f>
        <v/>
      </c>
      <c r="I487" s="25"/>
      <c r="J487" s="31" t="str">
        <f>IF(A487="","",IF(H487&lt;=Inicio!$B$16,"Crítico",IF(H487&lt;=Inicio!$B$17,"Observar","OK")))</f>
        <v/>
      </c>
      <c r="K487" s="24"/>
    </row>
    <row r="488" spans="1:11" x14ac:dyDescent="0.35">
      <c r="A488" s="24"/>
      <c r="B488" s="31" t="str">
        <f>IFERROR(VLOOKUP(A488,Clientes_PDV!$A$2:$J$250,2,FALSE),"")</f>
        <v/>
      </c>
      <c r="C488" s="31" t="str">
        <f>IFERROR(VLOOKUP(A488,Clientes_PDV!$A$2:$J$250,3,FALSE),"")</f>
        <v/>
      </c>
      <c r="D488" s="31" t="str">
        <f>IFERROR(VLOOKUP(A488,Clientes_PDV!$A$2:$J$250,4,FALSE),"")</f>
        <v/>
      </c>
      <c r="E488" s="24"/>
      <c r="F488" s="31" t="str">
        <f>IFERROR(VLOOKUP(E488,Maestro_SKU!$A$2:$P$500,2,FALSE),"")</f>
        <v/>
      </c>
      <c r="G488" s="29"/>
      <c r="H488" s="32" t="str">
        <f>IF(OR(G488="",E488=""),"",G488*IFERROR(VLOOKUP(E488,Maestro_SKU!$A$2:$P$500,12,FALSE),1))</f>
        <v/>
      </c>
      <c r="I488" s="25"/>
      <c r="J488" s="31" t="str">
        <f>IF(A488="","",IF(H488&lt;=Inicio!$B$16,"Crítico",IF(H488&lt;=Inicio!$B$17,"Observar","OK")))</f>
        <v/>
      </c>
      <c r="K488" s="24"/>
    </row>
    <row r="489" spans="1:11" x14ac:dyDescent="0.35">
      <c r="A489" s="24"/>
      <c r="B489" s="31" t="str">
        <f>IFERROR(VLOOKUP(A489,Clientes_PDV!$A$2:$J$250,2,FALSE),"")</f>
        <v/>
      </c>
      <c r="C489" s="31" t="str">
        <f>IFERROR(VLOOKUP(A489,Clientes_PDV!$A$2:$J$250,3,FALSE),"")</f>
        <v/>
      </c>
      <c r="D489" s="31" t="str">
        <f>IFERROR(VLOOKUP(A489,Clientes_PDV!$A$2:$J$250,4,FALSE),"")</f>
        <v/>
      </c>
      <c r="E489" s="24"/>
      <c r="F489" s="31" t="str">
        <f>IFERROR(VLOOKUP(E489,Maestro_SKU!$A$2:$P$500,2,FALSE),"")</f>
        <v/>
      </c>
      <c r="G489" s="29"/>
      <c r="H489" s="32" t="str">
        <f>IF(OR(G489="",E489=""),"",G489*IFERROR(VLOOKUP(E489,Maestro_SKU!$A$2:$P$500,12,FALSE),1))</f>
        <v/>
      </c>
      <c r="I489" s="25"/>
      <c r="J489" s="31" t="str">
        <f>IF(A489="","",IF(H489&lt;=Inicio!$B$16,"Crítico",IF(H489&lt;=Inicio!$B$17,"Observar","OK")))</f>
        <v/>
      </c>
      <c r="K489" s="24"/>
    </row>
    <row r="490" spans="1:11" x14ac:dyDescent="0.35">
      <c r="A490" s="24"/>
      <c r="B490" s="31" t="str">
        <f>IFERROR(VLOOKUP(A490,Clientes_PDV!$A$2:$J$250,2,FALSE),"")</f>
        <v/>
      </c>
      <c r="C490" s="31" t="str">
        <f>IFERROR(VLOOKUP(A490,Clientes_PDV!$A$2:$J$250,3,FALSE),"")</f>
        <v/>
      </c>
      <c r="D490" s="31" t="str">
        <f>IFERROR(VLOOKUP(A490,Clientes_PDV!$A$2:$J$250,4,FALSE),"")</f>
        <v/>
      </c>
      <c r="E490" s="24"/>
      <c r="F490" s="31" t="str">
        <f>IFERROR(VLOOKUP(E490,Maestro_SKU!$A$2:$P$500,2,FALSE),"")</f>
        <v/>
      </c>
      <c r="G490" s="29"/>
      <c r="H490" s="32" t="str">
        <f>IF(OR(G490="",E490=""),"",G490*IFERROR(VLOOKUP(E490,Maestro_SKU!$A$2:$P$500,12,FALSE),1))</f>
        <v/>
      </c>
      <c r="I490" s="25"/>
      <c r="J490" s="31" t="str">
        <f>IF(A490="","",IF(H490&lt;=Inicio!$B$16,"Crítico",IF(H490&lt;=Inicio!$B$17,"Observar","OK")))</f>
        <v/>
      </c>
      <c r="K490" s="24"/>
    </row>
    <row r="491" spans="1:11" x14ac:dyDescent="0.35">
      <c r="A491" s="24"/>
      <c r="B491" s="31" t="str">
        <f>IFERROR(VLOOKUP(A491,Clientes_PDV!$A$2:$J$250,2,FALSE),"")</f>
        <v/>
      </c>
      <c r="C491" s="31" t="str">
        <f>IFERROR(VLOOKUP(A491,Clientes_PDV!$A$2:$J$250,3,FALSE),"")</f>
        <v/>
      </c>
      <c r="D491" s="31" t="str">
        <f>IFERROR(VLOOKUP(A491,Clientes_PDV!$A$2:$J$250,4,FALSE),"")</f>
        <v/>
      </c>
      <c r="E491" s="24"/>
      <c r="F491" s="31" t="str">
        <f>IFERROR(VLOOKUP(E491,Maestro_SKU!$A$2:$P$500,2,FALSE),"")</f>
        <v/>
      </c>
      <c r="G491" s="29"/>
      <c r="H491" s="32" t="str">
        <f>IF(OR(G491="",E491=""),"",G491*IFERROR(VLOOKUP(E491,Maestro_SKU!$A$2:$P$500,12,FALSE),1))</f>
        <v/>
      </c>
      <c r="I491" s="25"/>
      <c r="J491" s="31" t="str">
        <f>IF(A491="","",IF(H491&lt;=Inicio!$B$16,"Crítico",IF(H491&lt;=Inicio!$B$17,"Observar","OK")))</f>
        <v/>
      </c>
      <c r="K491" s="24"/>
    </row>
    <row r="492" spans="1:11" x14ac:dyDescent="0.35">
      <c r="A492" s="24"/>
      <c r="B492" s="31" t="str">
        <f>IFERROR(VLOOKUP(A492,Clientes_PDV!$A$2:$J$250,2,FALSE),"")</f>
        <v/>
      </c>
      <c r="C492" s="31" t="str">
        <f>IFERROR(VLOOKUP(A492,Clientes_PDV!$A$2:$J$250,3,FALSE),"")</f>
        <v/>
      </c>
      <c r="D492" s="31" t="str">
        <f>IFERROR(VLOOKUP(A492,Clientes_PDV!$A$2:$J$250,4,FALSE),"")</f>
        <v/>
      </c>
      <c r="E492" s="24"/>
      <c r="F492" s="31" t="str">
        <f>IFERROR(VLOOKUP(E492,Maestro_SKU!$A$2:$P$500,2,FALSE),"")</f>
        <v/>
      </c>
      <c r="G492" s="29"/>
      <c r="H492" s="32" t="str">
        <f>IF(OR(G492="",E492=""),"",G492*IFERROR(VLOOKUP(E492,Maestro_SKU!$A$2:$P$500,12,FALSE),1))</f>
        <v/>
      </c>
      <c r="I492" s="25"/>
      <c r="J492" s="31" t="str">
        <f>IF(A492="","",IF(H492&lt;=Inicio!$B$16,"Crítico",IF(H492&lt;=Inicio!$B$17,"Observar","OK")))</f>
        <v/>
      </c>
      <c r="K492" s="24"/>
    </row>
    <row r="493" spans="1:11" x14ac:dyDescent="0.35">
      <c r="A493" s="24"/>
      <c r="B493" s="31" t="str">
        <f>IFERROR(VLOOKUP(A493,Clientes_PDV!$A$2:$J$250,2,FALSE),"")</f>
        <v/>
      </c>
      <c r="C493" s="31" t="str">
        <f>IFERROR(VLOOKUP(A493,Clientes_PDV!$A$2:$J$250,3,FALSE),"")</f>
        <v/>
      </c>
      <c r="D493" s="31" t="str">
        <f>IFERROR(VLOOKUP(A493,Clientes_PDV!$A$2:$J$250,4,FALSE),"")</f>
        <v/>
      </c>
      <c r="E493" s="24"/>
      <c r="F493" s="31" t="str">
        <f>IFERROR(VLOOKUP(E493,Maestro_SKU!$A$2:$P$500,2,FALSE),"")</f>
        <v/>
      </c>
      <c r="G493" s="29"/>
      <c r="H493" s="32" t="str">
        <f>IF(OR(G493="",E493=""),"",G493*IFERROR(VLOOKUP(E493,Maestro_SKU!$A$2:$P$500,12,FALSE),1))</f>
        <v/>
      </c>
      <c r="I493" s="25"/>
      <c r="J493" s="31" t="str">
        <f>IF(A493="","",IF(H493&lt;=Inicio!$B$16,"Crítico",IF(H493&lt;=Inicio!$B$17,"Observar","OK")))</f>
        <v/>
      </c>
      <c r="K493" s="24"/>
    </row>
    <row r="494" spans="1:11" x14ac:dyDescent="0.35">
      <c r="A494" s="24"/>
      <c r="B494" s="31" t="str">
        <f>IFERROR(VLOOKUP(A494,Clientes_PDV!$A$2:$J$250,2,FALSE),"")</f>
        <v/>
      </c>
      <c r="C494" s="31" t="str">
        <f>IFERROR(VLOOKUP(A494,Clientes_PDV!$A$2:$J$250,3,FALSE),"")</f>
        <v/>
      </c>
      <c r="D494" s="31" t="str">
        <f>IFERROR(VLOOKUP(A494,Clientes_PDV!$A$2:$J$250,4,FALSE),"")</f>
        <v/>
      </c>
      <c r="E494" s="24"/>
      <c r="F494" s="31" t="str">
        <f>IFERROR(VLOOKUP(E494,Maestro_SKU!$A$2:$P$500,2,FALSE),"")</f>
        <v/>
      </c>
      <c r="G494" s="29"/>
      <c r="H494" s="32" t="str">
        <f>IF(OR(G494="",E494=""),"",G494*IFERROR(VLOOKUP(E494,Maestro_SKU!$A$2:$P$500,12,FALSE),1))</f>
        <v/>
      </c>
      <c r="I494" s="25"/>
      <c r="J494" s="31" t="str">
        <f>IF(A494="","",IF(H494&lt;=Inicio!$B$16,"Crítico",IF(H494&lt;=Inicio!$B$17,"Observar","OK")))</f>
        <v/>
      </c>
      <c r="K494" s="24"/>
    </row>
    <row r="495" spans="1:11" x14ac:dyDescent="0.35">
      <c r="A495" s="24"/>
      <c r="B495" s="31" t="str">
        <f>IFERROR(VLOOKUP(A495,Clientes_PDV!$A$2:$J$250,2,FALSE),"")</f>
        <v/>
      </c>
      <c r="C495" s="31" t="str">
        <f>IFERROR(VLOOKUP(A495,Clientes_PDV!$A$2:$J$250,3,FALSE),"")</f>
        <v/>
      </c>
      <c r="D495" s="31" t="str">
        <f>IFERROR(VLOOKUP(A495,Clientes_PDV!$A$2:$J$250,4,FALSE),"")</f>
        <v/>
      </c>
      <c r="E495" s="24"/>
      <c r="F495" s="31" t="str">
        <f>IFERROR(VLOOKUP(E495,Maestro_SKU!$A$2:$P$500,2,FALSE),"")</f>
        <v/>
      </c>
      <c r="G495" s="29"/>
      <c r="H495" s="32" t="str">
        <f>IF(OR(G495="",E495=""),"",G495*IFERROR(VLOOKUP(E495,Maestro_SKU!$A$2:$P$500,12,FALSE),1))</f>
        <v/>
      </c>
      <c r="I495" s="25"/>
      <c r="J495" s="31" t="str">
        <f>IF(A495="","",IF(H495&lt;=Inicio!$B$16,"Crítico",IF(H495&lt;=Inicio!$B$17,"Observar","OK")))</f>
        <v/>
      </c>
      <c r="K495" s="24"/>
    </row>
    <row r="496" spans="1:11" x14ac:dyDescent="0.35">
      <c r="A496" s="24"/>
      <c r="B496" s="31" t="str">
        <f>IFERROR(VLOOKUP(A496,Clientes_PDV!$A$2:$J$250,2,FALSE),"")</f>
        <v/>
      </c>
      <c r="C496" s="31" t="str">
        <f>IFERROR(VLOOKUP(A496,Clientes_PDV!$A$2:$J$250,3,FALSE),"")</f>
        <v/>
      </c>
      <c r="D496" s="31" t="str">
        <f>IFERROR(VLOOKUP(A496,Clientes_PDV!$A$2:$J$250,4,FALSE),"")</f>
        <v/>
      </c>
      <c r="E496" s="24"/>
      <c r="F496" s="31" t="str">
        <f>IFERROR(VLOOKUP(E496,Maestro_SKU!$A$2:$P$500,2,FALSE),"")</f>
        <v/>
      </c>
      <c r="G496" s="29"/>
      <c r="H496" s="32" t="str">
        <f>IF(OR(G496="",E496=""),"",G496*IFERROR(VLOOKUP(E496,Maestro_SKU!$A$2:$P$500,12,FALSE),1))</f>
        <v/>
      </c>
      <c r="I496" s="25"/>
      <c r="J496" s="31" t="str">
        <f>IF(A496="","",IF(H496&lt;=Inicio!$B$16,"Crítico",IF(H496&lt;=Inicio!$B$17,"Observar","OK")))</f>
        <v/>
      </c>
      <c r="K496" s="24"/>
    </row>
    <row r="497" spans="1:11" x14ac:dyDescent="0.35">
      <c r="A497" s="24"/>
      <c r="B497" s="31" t="str">
        <f>IFERROR(VLOOKUP(A497,Clientes_PDV!$A$2:$J$250,2,FALSE),"")</f>
        <v/>
      </c>
      <c r="C497" s="31" t="str">
        <f>IFERROR(VLOOKUP(A497,Clientes_PDV!$A$2:$J$250,3,FALSE),"")</f>
        <v/>
      </c>
      <c r="D497" s="31" t="str">
        <f>IFERROR(VLOOKUP(A497,Clientes_PDV!$A$2:$J$250,4,FALSE),"")</f>
        <v/>
      </c>
      <c r="E497" s="24"/>
      <c r="F497" s="31" t="str">
        <f>IFERROR(VLOOKUP(E497,Maestro_SKU!$A$2:$P$500,2,FALSE),"")</f>
        <v/>
      </c>
      <c r="G497" s="29"/>
      <c r="H497" s="32" t="str">
        <f>IF(OR(G497="",E497=""),"",G497*IFERROR(VLOOKUP(E497,Maestro_SKU!$A$2:$P$500,12,FALSE),1))</f>
        <v/>
      </c>
      <c r="I497" s="25"/>
      <c r="J497" s="31" t="str">
        <f>IF(A497="","",IF(H497&lt;=Inicio!$B$16,"Crítico",IF(H497&lt;=Inicio!$B$17,"Observar","OK")))</f>
        <v/>
      </c>
      <c r="K497" s="24"/>
    </row>
    <row r="498" spans="1:11" x14ac:dyDescent="0.35">
      <c r="A498" s="24"/>
      <c r="B498" s="31" t="str">
        <f>IFERROR(VLOOKUP(A498,Clientes_PDV!$A$2:$J$250,2,FALSE),"")</f>
        <v/>
      </c>
      <c r="C498" s="31" t="str">
        <f>IFERROR(VLOOKUP(A498,Clientes_PDV!$A$2:$J$250,3,FALSE),"")</f>
        <v/>
      </c>
      <c r="D498" s="31" t="str">
        <f>IFERROR(VLOOKUP(A498,Clientes_PDV!$A$2:$J$250,4,FALSE),"")</f>
        <v/>
      </c>
      <c r="E498" s="24"/>
      <c r="F498" s="31" t="str">
        <f>IFERROR(VLOOKUP(E498,Maestro_SKU!$A$2:$P$500,2,FALSE),"")</f>
        <v/>
      </c>
      <c r="G498" s="29"/>
      <c r="H498" s="32" t="str">
        <f>IF(OR(G498="",E498=""),"",G498*IFERROR(VLOOKUP(E498,Maestro_SKU!$A$2:$P$500,12,FALSE),1))</f>
        <v/>
      </c>
      <c r="I498" s="25"/>
      <c r="J498" s="31" t="str">
        <f>IF(A498="","",IF(H498&lt;=Inicio!$B$16,"Crítico",IF(H498&lt;=Inicio!$B$17,"Observar","OK")))</f>
        <v/>
      </c>
      <c r="K498" s="24"/>
    </row>
    <row r="499" spans="1:11" x14ac:dyDescent="0.35">
      <c r="A499" s="24"/>
      <c r="B499" s="31" t="str">
        <f>IFERROR(VLOOKUP(A499,Clientes_PDV!$A$2:$J$250,2,FALSE),"")</f>
        <v/>
      </c>
      <c r="C499" s="31" t="str">
        <f>IFERROR(VLOOKUP(A499,Clientes_PDV!$A$2:$J$250,3,FALSE),"")</f>
        <v/>
      </c>
      <c r="D499" s="31" t="str">
        <f>IFERROR(VLOOKUP(A499,Clientes_PDV!$A$2:$J$250,4,FALSE),"")</f>
        <v/>
      </c>
      <c r="E499" s="24"/>
      <c r="F499" s="31" t="str">
        <f>IFERROR(VLOOKUP(E499,Maestro_SKU!$A$2:$P$500,2,FALSE),"")</f>
        <v/>
      </c>
      <c r="G499" s="29"/>
      <c r="H499" s="32" t="str">
        <f>IF(OR(G499="",E499=""),"",G499*IFERROR(VLOOKUP(E499,Maestro_SKU!$A$2:$P$500,12,FALSE),1))</f>
        <v/>
      </c>
      <c r="I499" s="25"/>
      <c r="J499" s="31" t="str">
        <f>IF(A499="","",IF(H499&lt;=Inicio!$B$16,"Crítico",IF(H499&lt;=Inicio!$B$17,"Observar","OK")))</f>
        <v/>
      </c>
      <c r="K499" s="24"/>
    </row>
    <row r="500" spans="1:11" x14ac:dyDescent="0.35">
      <c r="A500" s="24"/>
      <c r="B500" s="31" t="str">
        <f>IFERROR(VLOOKUP(A500,Clientes_PDV!$A$2:$J$250,2,FALSE),"")</f>
        <v/>
      </c>
      <c r="C500" s="31" t="str">
        <f>IFERROR(VLOOKUP(A500,Clientes_PDV!$A$2:$J$250,3,FALSE),"")</f>
        <v/>
      </c>
      <c r="D500" s="31" t="str">
        <f>IFERROR(VLOOKUP(A500,Clientes_PDV!$A$2:$J$250,4,FALSE),"")</f>
        <v/>
      </c>
      <c r="E500" s="24"/>
      <c r="F500" s="31" t="str">
        <f>IFERROR(VLOOKUP(E500,Maestro_SKU!$A$2:$P$500,2,FALSE),"")</f>
        <v/>
      </c>
      <c r="G500" s="29"/>
      <c r="H500" s="32" t="str">
        <f>IF(OR(G500="",E500=""),"",G500*IFERROR(VLOOKUP(E500,Maestro_SKU!$A$2:$P$500,12,FALSE),1))</f>
        <v/>
      </c>
      <c r="I500" s="25"/>
      <c r="J500" s="31" t="str">
        <f>IF(A500="","",IF(H500&lt;=Inicio!$B$16,"Crítico",IF(H500&lt;=Inicio!$B$17,"Observar","OK")))</f>
        <v/>
      </c>
      <c r="K500" s="24"/>
    </row>
    <row r="501" spans="1:11" x14ac:dyDescent="0.35">
      <c r="A501" s="24"/>
      <c r="B501" s="31" t="str">
        <f>IFERROR(VLOOKUP(A501,Clientes_PDV!$A$2:$J$250,2,FALSE),"")</f>
        <v/>
      </c>
      <c r="C501" s="31" t="str">
        <f>IFERROR(VLOOKUP(A501,Clientes_PDV!$A$2:$J$250,3,FALSE),"")</f>
        <v/>
      </c>
      <c r="D501" s="31" t="str">
        <f>IFERROR(VLOOKUP(A501,Clientes_PDV!$A$2:$J$250,4,FALSE),"")</f>
        <v/>
      </c>
      <c r="E501" s="24"/>
      <c r="F501" s="31" t="str">
        <f>IFERROR(VLOOKUP(E501,Maestro_SKU!$A$2:$P$500,2,FALSE),"")</f>
        <v/>
      </c>
      <c r="G501" s="29"/>
      <c r="H501" s="32" t="str">
        <f>IF(OR(G501="",E501=""),"",G501*IFERROR(VLOOKUP(E501,Maestro_SKU!$A$2:$P$500,12,FALSE),1))</f>
        <v/>
      </c>
      <c r="I501" s="25"/>
      <c r="J501" s="31" t="str">
        <f>IF(A501="","",IF(H501&lt;=Inicio!$B$16,"Crítico",IF(H501&lt;=Inicio!$B$17,"Observar","OK")))</f>
        <v/>
      </c>
      <c r="K501" s="24"/>
    </row>
    <row r="502" spans="1:11" x14ac:dyDescent="0.35">
      <c r="A502" s="24"/>
      <c r="B502" s="31" t="str">
        <f>IFERROR(VLOOKUP(A502,Clientes_PDV!$A$2:$J$250,2,FALSE),"")</f>
        <v/>
      </c>
      <c r="C502" s="31" t="str">
        <f>IFERROR(VLOOKUP(A502,Clientes_PDV!$A$2:$J$250,3,FALSE),"")</f>
        <v/>
      </c>
      <c r="D502" s="31" t="str">
        <f>IFERROR(VLOOKUP(A502,Clientes_PDV!$A$2:$J$250,4,FALSE),"")</f>
        <v/>
      </c>
      <c r="E502" s="24"/>
      <c r="F502" s="31" t="str">
        <f>IFERROR(VLOOKUP(E502,Maestro_SKU!$A$2:$P$500,2,FALSE),"")</f>
        <v/>
      </c>
      <c r="G502" s="24"/>
      <c r="H502" s="31" t="str">
        <f>IF(OR(G502="",E502=""),"",G502*IFERROR(VLOOKUP(E502,Maestro_SKU!$A$2:$P$500,12,FALSE),1))</f>
        <v/>
      </c>
      <c r="I502" s="25"/>
      <c r="J502" s="31" t="str">
        <f>IF(A502="","",IF(H502&lt;=Inicio!$B$16,"Crítico",IF(H502&lt;=Inicio!$B$17,"Observar","OK")))</f>
        <v/>
      </c>
      <c r="K502" s="24"/>
    </row>
    <row r="503" spans="1:11" x14ac:dyDescent="0.35">
      <c r="A503" s="24"/>
      <c r="B503" s="31" t="str">
        <f>IFERROR(VLOOKUP(A503,Clientes_PDV!$A$2:$J$250,2,FALSE),"")</f>
        <v/>
      </c>
      <c r="C503" s="31" t="str">
        <f>IFERROR(VLOOKUP(A503,Clientes_PDV!$A$2:$J$250,3,FALSE),"")</f>
        <v/>
      </c>
      <c r="D503" s="31" t="str">
        <f>IFERROR(VLOOKUP(A503,Clientes_PDV!$A$2:$J$250,4,FALSE),"")</f>
        <v/>
      </c>
      <c r="E503" s="24"/>
      <c r="F503" s="31" t="str">
        <f>IFERROR(VLOOKUP(E503,Maestro_SKU!$A$2:$P$500,2,FALSE),"")</f>
        <v/>
      </c>
      <c r="G503" s="24"/>
      <c r="H503" s="31" t="str">
        <f>IF(OR(G503="",E503=""),"",G503*IFERROR(VLOOKUP(E503,Maestro_SKU!$A$2:$P$500,12,FALSE),1))</f>
        <v/>
      </c>
      <c r="I503" s="25"/>
      <c r="J503" s="31" t="str">
        <f>IF(A503="","",IF(H503&lt;=Inicio!$B$16,"Crítico",IF(H503&lt;=Inicio!$B$17,"Observar","OK")))</f>
        <v/>
      </c>
      <c r="K503" s="24"/>
    </row>
    <row r="504" spans="1:11" x14ac:dyDescent="0.35">
      <c r="A504" s="24"/>
      <c r="B504" s="31" t="str">
        <f>IFERROR(VLOOKUP(A504,Clientes_PDV!$A$2:$J$250,2,FALSE),"")</f>
        <v/>
      </c>
      <c r="C504" s="31" t="str">
        <f>IFERROR(VLOOKUP(A504,Clientes_PDV!$A$2:$J$250,3,FALSE),"")</f>
        <v/>
      </c>
      <c r="D504" s="31" t="str">
        <f>IFERROR(VLOOKUP(A504,Clientes_PDV!$A$2:$J$250,4,FALSE),"")</f>
        <v/>
      </c>
      <c r="E504" s="24"/>
      <c r="F504" s="31" t="str">
        <f>IFERROR(VLOOKUP(E504,Maestro_SKU!$A$2:$P$500,2,FALSE),"")</f>
        <v/>
      </c>
      <c r="G504" s="24"/>
      <c r="H504" s="31" t="str">
        <f>IF(OR(G504="",E504=""),"",G504*IFERROR(VLOOKUP(E504,Maestro_SKU!$A$2:$P$500,12,FALSE),1))</f>
        <v/>
      </c>
      <c r="I504" s="25"/>
      <c r="J504" s="31" t="str">
        <f>IF(A504="","",IF(H504&lt;=Inicio!$B$16,"Crítico",IF(H504&lt;=Inicio!$B$17,"Observar","OK")))</f>
        <v/>
      </c>
      <c r="K504" s="24"/>
    </row>
    <row r="505" spans="1:11" x14ac:dyDescent="0.35">
      <c r="A505" s="24"/>
      <c r="B505" s="31" t="str">
        <f>IFERROR(VLOOKUP(A505,Clientes_PDV!$A$2:$J$250,2,FALSE),"")</f>
        <v/>
      </c>
      <c r="C505" s="31" t="str">
        <f>IFERROR(VLOOKUP(A505,Clientes_PDV!$A$2:$J$250,3,FALSE),"")</f>
        <v/>
      </c>
      <c r="D505" s="31" t="str">
        <f>IFERROR(VLOOKUP(A505,Clientes_PDV!$A$2:$J$250,4,FALSE),"")</f>
        <v/>
      </c>
      <c r="E505" s="24"/>
      <c r="F505" s="31" t="str">
        <f>IFERROR(VLOOKUP(E505,Maestro_SKU!$A$2:$P$500,2,FALSE),"")</f>
        <v/>
      </c>
      <c r="G505" s="24"/>
      <c r="H505" s="31" t="str">
        <f>IF(OR(G505="",E505=""),"",G505*IFERROR(VLOOKUP(E505,Maestro_SKU!$A$2:$P$500,12,FALSE),1))</f>
        <v/>
      </c>
      <c r="I505" s="25"/>
      <c r="J505" s="31" t="str">
        <f>IF(A505="","",IF(H505&lt;=Inicio!$B$16,"Crítico",IF(H505&lt;=Inicio!$B$17,"Observar","OK")))</f>
        <v/>
      </c>
      <c r="K505" s="24"/>
    </row>
    <row r="506" spans="1:11" x14ac:dyDescent="0.35">
      <c r="A506" s="24"/>
      <c r="B506" s="31" t="str">
        <f>IFERROR(VLOOKUP(A506,Clientes_PDV!$A$2:$J$250,2,FALSE),"")</f>
        <v/>
      </c>
      <c r="C506" s="31" t="str">
        <f>IFERROR(VLOOKUP(A506,Clientes_PDV!$A$2:$J$250,3,FALSE),"")</f>
        <v/>
      </c>
      <c r="D506" s="31" t="str">
        <f>IFERROR(VLOOKUP(A506,Clientes_PDV!$A$2:$J$250,4,FALSE),"")</f>
        <v/>
      </c>
      <c r="E506" s="24"/>
      <c r="F506" s="31" t="str">
        <f>IFERROR(VLOOKUP(E506,Maestro_SKU!$A$2:$P$500,2,FALSE),"")</f>
        <v/>
      </c>
      <c r="G506" s="24"/>
      <c r="H506" s="31" t="str">
        <f>IF(OR(G506="",E506=""),"",G506*IFERROR(VLOOKUP(E506,Maestro_SKU!$A$2:$P$500,12,FALSE),1))</f>
        <v/>
      </c>
      <c r="I506" s="25"/>
      <c r="J506" s="31" t="str">
        <f>IF(A506="","",IF(H506&lt;=Inicio!$B$16,"Crítico",IF(H506&lt;=Inicio!$B$17,"Observar","OK")))</f>
        <v/>
      </c>
      <c r="K506" s="24"/>
    </row>
    <row r="507" spans="1:11" x14ac:dyDescent="0.35">
      <c r="A507" s="24"/>
      <c r="B507" s="31" t="str">
        <f>IFERROR(VLOOKUP(A507,Clientes_PDV!$A$2:$J$250,2,FALSE),"")</f>
        <v/>
      </c>
      <c r="C507" s="31" t="str">
        <f>IFERROR(VLOOKUP(A507,Clientes_PDV!$A$2:$J$250,3,FALSE),"")</f>
        <v/>
      </c>
      <c r="D507" s="31" t="str">
        <f>IFERROR(VLOOKUP(A507,Clientes_PDV!$A$2:$J$250,4,FALSE),"")</f>
        <v/>
      </c>
      <c r="E507" s="24"/>
      <c r="F507" s="31" t="str">
        <f>IFERROR(VLOOKUP(E507,Maestro_SKU!$A$2:$P$500,2,FALSE),"")</f>
        <v/>
      </c>
      <c r="G507" s="24"/>
      <c r="H507" s="31" t="str">
        <f>IF(OR(G507="",E507=""),"",G507*IFERROR(VLOOKUP(E507,Maestro_SKU!$A$2:$P$500,12,FALSE),1))</f>
        <v/>
      </c>
      <c r="I507" s="25"/>
      <c r="J507" s="31" t="str">
        <f>IF(A507="","",IF(H507&lt;=Inicio!$B$16,"Crítico",IF(H507&lt;=Inicio!$B$17,"Observar","OK")))</f>
        <v/>
      </c>
      <c r="K507" s="24"/>
    </row>
    <row r="508" spans="1:11" x14ac:dyDescent="0.35">
      <c r="A508" s="24"/>
      <c r="B508" s="31" t="str">
        <f>IFERROR(VLOOKUP(A508,Clientes_PDV!$A$2:$J$250,2,FALSE),"")</f>
        <v/>
      </c>
      <c r="C508" s="31" t="str">
        <f>IFERROR(VLOOKUP(A508,Clientes_PDV!$A$2:$J$250,3,FALSE),"")</f>
        <v/>
      </c>
      <c r="D508" s="31" t="str">
        <f>IFERROR(VLOOKUP(A508,Clientes_PDV!$A$2:$J$250,4,FALSE),"")</f>
        <v/>
      </c>
      <c r="E508" s="24"/>
      <c r="F508" s="31" t="str">
        <f>IFERROR(VLOOKUP(E508,Maestro_SKU!$A$2:$P$500,2,FALSE),"")</f>
        <v/>
      </c>
      <c r="G508" s="24"/>
      <c r="H508" s="31" t="str">
        <f>IF(OR(G508="",E508=""),"",G508*IFERROR(VLOOKUP(E508,Maestro_SKU!$A$2:$P$500,12,FALSE),1))</f>
        <v/>
      </c>
      <c r="I508" s="25"/>
      <c r="J508" s="31" t="str">
        <f>IF(A508="","",IF(H508&lt;=Inicio!$B$16,"Crítico",IF(H508&lt;=Inicio!$B$17,"Observar","OK")))</f>
        <v/>
      </c>
      <c r="K508" s="24"/>
    </row>
    <row r="509" spans="1:11" x14ac:dyDescent="0.35">
      <c r="A509" s="24"/>
      <c r="B509" s="31" t="str">
        <f>IFERROR(VLOOKUP(A509,Clientes_PDV!$A$2:$J$250,2,FALSE),"")</f>
        <v/>
      </c>
      <c r="C509" s="31" t="str">
        <f>IFERROR(VLOOKUP(A509,Clientes_PDV!$A$2:$J$250,3,FALSE),"")</f>
        <v/>
      </c>
      <c r="D509" s="31" t="str">
        <f>IFERROR(VLOOKUP(A509,Clientes_PDV!$A$2:$J$250,4,FALSE),"")</f>
        <v/>
      </c>
      <c r="E509" s="24"/>
      <c r="F509" s="31" t="str">
        <f>IFERROR(VLOOKUP(E509,Maestro_SKU!$A$2:$P$500,2,FALSE),"")</f>
        <v/>
      </c>
      <c r="G509" s="24"/>
      <c r="H509" s="31" t="str">
        <f>IF(OR(G509="",E509=""),"",G509*IFERROR(VLOOKUP(E509,Maestro_SKU!$A$2:$P$500,12,FALSE),1))</f>
        <v/>
      </c>
      <c r="I509" s="25"/>
      <c r="J509" s="31" t="str">
        <f>IF(A509="","",IF(H509&lt;=Inicio!$B$16,"Crítico",IF(H509&lt;=Inicio!$B$17,"Observar","OK")))</f>
        <v/>
      </c>
      <c r="K509" s="24"/>
    </row>
    <row r="510" spans="1:11" x14ac:dyDescent="0.35">
      <c r="A510" s="24"/>
      <c r="B510" s="31" t="str">
        <f>IFERROR(VLOOKUP(A510,Clientes_PDV!$A$2:$J$250,2,FALSE),"")</f>
        <v/>
      </c>
      <c r="C510" s="31" t="str">
        <f>IFERROR(VLOOKUP(A510,Clientes_PDV!$A$2:$J$250,3,FALSE),"")</f>
        <v/>
      </c>
      <c r="D510" s="31" t="str">
        <f>IFERROR(VLOOKUP(A510,Clientes_PDV!$A$2:$J$250,4,FALSE),"")</f>
        <v/>
      </c>
      <c r="E510" s="24"/>
      <c r="F510" s="31" t="str">
        <f>IFERROR(VLOOKUP(E510,Maestro_SKU!$A$2:$P$500,2,FALSE),"")</f>
        <v/>
      </c>
      <c r="G510" s="24"/>
      <c r="H510" s="31" t="str">
        <f>IF(OR(G510="",E510=""),"",G510*IFERROR(VLOOKUP(E510,Maestro_SKU!$A$2:$P$500,12,FALSE),1))</f>
        <v/>
      </c>
      <c r="I510" s="25"/>
      <c r="J510" s="31" t="str">
        <f>IF(A510="","",IF(H510&lt;=Inicio!$B$16,"Crítico",IF(H510&lt;=Inicio!$B$17,"Observar","OK")))</f>
        <v/>
      </c>
      <c r="K510" s="24"/>
    </row>
    <row r="511" spans="1:11" x14ac:dyDescent="0.35">
      <c r="A511" s="24"/>
      <c r="B511" s="31" t="str">
        <f>IFERROR(VLOOKUP(A511,Clientes_PDV!$A$2:$J$250,2,FALSE),"")</f>
        <v/>
      </c>
      <c r="C511" s="31" t="str">
        <f>IFERROR(VLOOKUP(A511,Clientes_PDV!$A$2:$J$250,3,FALSE),"")</f>
        <v/>
      </c>
      <c r="D511" s="31" t="str">
        <f>IFERROR(VLOOKUP(A511,Clientes_PDV!$A$2:$J$250,4,FALSE),"")</f>
        <v/>
      </c>
      <c r="E511" s="24"/>
      <c r="F511" s="31" t="str">
        <f>IFERROR(VLOOKUP(E511,Maestro_SKU!$A$2:$P$500,2,FALSE),"")</f>
        <v/>
      </c>
      <c r="G511" s="24"/>
      <c r="H511" s="31" t="str">
        <f>IF(OR(G511="",E511=""),"",G511*IFERROR(VLOOKUP(E511,Maestro_SKU!$A$2:$P$500,12,FALSE),1))</f>
        <v/>
      </c>
      <c r="I511" s="25"/>
      <c r="J511" s="31" t="str">
        <f>IF(A511="","",IF(H511&lt;=Inicio!$B$16,"Crítico",IF(H511&lt;=Inicio!$B$17,"Observar","OK")))</f>
        <v/>
      </c>
      <c r="K511" s="24"/>
    </row>
    <row r="512" spans="1:11" x14ac:dyDescent="0.35">
      <c r="A512" s="24"/>
      <c r="B512" s="31" t="str">
        <f>IFERROR(VLOOKUP(A512,Clientes_PDV!$A$2:$J$250,2,FALSE),"")</f>
        <v/>
      </c>
      <c r="C512" s="31" t="str">
        <f>IFERROR(VLOOKUP(A512,Clientes_PDV!$A$2:$J$250,3,FALSE),"")</f>
        <v/>
      </c>
      <c r="D512" s="31" t="str">
        <f>IFERROR(VLOOKUP(A512,Clientes_PDV!$A$2:$J$250,4,FALSE),"")</f>
        <v/>
      </c>
      <c r="E512" s="24"/>
      <c r="F512" s="31" t="str">
        <f>IFERROR(VLOOKUP(E512,Maestro_SKU!$A$2:$P$500,2,FALSE),"")</f>
        <v/>
      </c>
      <c r="G512" s="24"/>
      <c r="H512" s="31" t="str">
        <f>IF(OR(G512="",E512=""),"",G512*IFERROR(VLOOKUP(E512,Maestro_SKU!$A$2:$P$500,12,FALSE),1))</f>
        <v/>
      </c>
      <c r="I512" s="25"/>
      <c r="J512" s="31" t="str">
        <f>IF(A512="","",IF(H512&lt;=Inicio!$B$16,"Crítico",IF(H512&lt;=Inicio!$B$17,"Observar","OK")))</f>
        <v/>
      </c>
      <c r="K512" s="24"/>
    </row>
    <row r="513" spans="1:11" x14ac:dyDescent="0.35">
      <c r="A513" s="24"/>
      <c r="B513" s="31" t="str">
        <f>IFERROR(VLOOKUP(A513,Clientes_PDV!$A$2:$J$250,2,FALSE),"")</f>
        <v/>
      </c>
      <c r="C513" s="31" t="str">
        <f>IFERROR(VLOOKUP(A513,Clientes_PDV!$A$2:$J$250,3,FALSE),"")</f>
        <v/>
      </c>
      <c r="D513" s="31" t="str">
        <f>IFERROR(VLOOKUP(A513,Clientes_PDV!$A$2:$J$250,4,FALSE),"")</f>
        <v/>
      </c>
      <c r="E513" s="24"/>
      <c r="F513" s="31" t="str">
        <f>IFERROR(VLOOKUP(E513,Maestro_SKU!$A$2:$P$500,2,FALSE),"")</f>
        <v/>
      </c>
      <c r="G513" s="24"/>
      <c r="H513" s="31" t="str">
        <f>IF(OR(G513="",E513=""),"",G513*IFERROR(VLOOKUP(E513,Maestro_SKU!$A$2:$P$500,12,FALSE),1))</f>
        <v/>
      </c>
      <c r="I513" s="25"/>
      <c r="J513" s="31" t="str">
        <f>IF(A513="","",IF(H513&lt;=Inicio!$B$16,"Crítico",IF(H513&lt;=Inicio!$B$17,"Observar","OK")))</f>
        <v/>
      </c>
      <c r="K513" s="24"/>
    </row>
    <row r="514" spans="1:11" x14ac:dyDescent="0.35">
      <c r="A514" s="24"/>
      <c r="B514" s="31" t="str">
        <f>IFERROR(VLOOKUP(A514,Clientes_PDV!$A$2:$J$250,2,FALSE),"")</f>
        <v/>
      </c>
      <c r="C514" s="31" t="str">
        <f>IFERROR(VLOOKUP(A514,Clientes_PDV!$A$2:$J$250,3,FALSE),"")</f>
        <v/>
      </c>
      <c r="D514" s="31" t="str">
        <f>IFERROR(VLOOKUP(A514,Clientes_PDV!$A$2:$J$250,4,FALSE),"")</f>
        <v/>
      </c>
      <c r="E514" s="24"/>
      <c r="F514" s="31" t="str">
        <f>IFERROR(VLOOKUP(E514,Maestro_SKU!$A$2:$P$500,2,FALSE),"")</f>
        <v/>
      </c>
      <c r="G514" s="24"/>
      <c r="H514" s="31" t="str">
        <f>IF(OR(G514="",E514=""),"",G514*IFERROR(VLOOKUP(E514,Maestro_SKU!$A$2:$P$500,12,FALSE),1))</f>
        <v/>
      </c>
      <c r="I514" s="25"/>
      <c r="J514" s="31" t="str">
        <f>IF(A514="","",IF(H514&lt;=Inicio!$B$16,"Crítico",IF(H514&lt;=Inicio!$B$17,"Observar","OK")))</f>
        <v/>
      </c>
      <c r="K514" s="24"/>
    </row>
    <row r="515" spans="1:11" x14ac:dyDescent="0.35">
      <c r="A515" s="24"/>
      <c r="B515" s="31" t="str">
        <f>IFERROR(VLOOKUP(A515,Clientes_PDV!$A$2:$J$250,2,FALSE),"")</f>
        <v/>
      </c>
      <c r="C515" s="31" t="str">
        <f>IFERROR(VLOOKUP(A515,Clientes_PDV!$A$2:$J$250,3,FALSE),"")</f>
        <v/>
      </c>
      <c r="D515" s="31" t="str">
        <f>IFERROR(VLOOKUP(A515,Clientes_PDV!$A$2:$J$250,4,FALSE),"")</f>
        <v/>
      </c>
      <c r="E515" s="24"/>
      <c r="F515" s="31" t="str">
        <f>IFERROR(VLOOKUP(E515,Maestro_SKU!$A$2:$P$500,2,FALSE),"")</f>
        <v/>
      </c>
      <c r="G515" s="24"/>
      <c r="H515" s="31" t="str">
        <f>IF(OR(G515="",E515=""),"",G515*IFERROR(VLOOKUP(E515,Maestro_SKU!$A$2:$P$500,12,FALSE),1))</f>
        <v/>
      </c>
      <c r="I515" s="25"/>
      <c r="J515" s="31" t="str">
        <f>IF(A515="","",IF(H515&lt;=Inicio!$B$16,"Crítico",IF(H515&lt;=Inicio!$B$17,"Observar","OK")))</f>
        <v/>
      </c>
      <c r="K515" s="24"/>
    </row>
    <row r="516" spans="1:11" x14ac:dyDescent="0.35">
      <c r="A516" s="24"/>
      <c r="B516" s="31" t="str">
        <f>IFERROR(VLOOKUP(A516,Clientes_PDV!$A$2:$J$250,2,FALSE),"")</f>
        <v/>
      </c>
      <c r="C516" s="31" t="str">
        <f>IFERROR(VLOOKUP(A516,Clientes_PDV!$A$2:$J$250,3,FALSE),"")</f>
        <v/>
      </c>
      <c r="D516" s="31" t="str">
        <f>IFERROR(VLOOKUP(A516,Clientes_PDV!$A$2:$J$250,4,FALSE),"")</f>
        <v/>
      </c>
      <c r="E516" s="24"/>
      <c r="F516" s="31" t="str">
        <f>IFERROR(VLOOKUP(E516,Maestro_SKU!$A$2:$P$500,2,FALSE),"")</f>
        <v/>
      </c>
      <c r="G516" s="24"/>
      <c r="H516" s="31" t="str">
        <f>IF(OR(G516="",E516=""),"",G516*IFERROR(VLOOKUP(E516,Maestro_SKU!$A$2:$P$500,12,FALSE),1))</f>
        <v/>
      </c>
      <c r="I516" s="25"/>
      <c r="J516" s="31" t="str">
        <f>IF(A516="","",IF(H516&lt;=Inicio!$B$16,"Crítico",IF(H516&lt;=Inicio!$B$17,"Observar","OK")))</f>
        <v/>
      </c>
      <c r="K516" s="24"/>
    </row>
    <row r="517" spans="1:11" x14ac:dyDescent="0.35">
      <c r="A517" s="24"/>
      <c r="B517" s="31" t="str">
        <f>IFERROR(VLOOKUP(A517,Clientes_PDV!$A$2:$J$250,2,FALSE),"")</f>
        <v/>
      </c>
      <c r="C517" s="31" t="str">
        <f>IFERROR(VLOOKUP(A517,Clientes_PDV!$A$2:$J$250,3,FALSE),"")</f>
        <v/>
      </c>
      <c r="D517" s="31" t="str">
        <f>IFERROR(VLOOKUP(A517,Clientes_PDV!$A$2:$J$250,4,FALSE),"")</f>
        <v/>
      </c>
      <c r="E517" s="24"/>
      <c r="F517" s="31" t="str">
        <f>IFERROR(VLOOKUP(E517,Maestro_SKU!$A$2:$P$500,2,FALSE),"")</f>
        <v/>
      </c>
      <c r="G517" s="24"/>
      <c r="H517" s="31" t="str">
        <f>IF(OR(G517="",E517=""),"",G517*IFERROR(VLOOKUP(E517,Maestro_SKU!$A$2:$P$500,12,FALSE),1))</f>
        <v/>
      </c>
      <c r="I517" s="25"/>
      <c r="J517" s="31" t="str">
        <f>IF(A517="","",IF(H517&lt;=Inicio!$B$16,"Crítico",IF(H517&lt;=Inicio!$B$17,"Observar","OK")))</f>
        <v/>
      </c>
      <c r="K517" s="24"/>
    </row>
    <row r="518" spans="1:11" x14ac:dyDescent="0.35">
      <c r="A518" s="24"/>
      <c r="B518" s="31" t="str">
        <f>IFERROR(VLOOKUP(A518,Clientes_PDV!$A$2:$J$250,2,FALSE),"")</f>
        <v/>
      </c>
      <c r="C518" s="31" t="str">
        <f>IFERROR(VLOOKUP(A518,Clientes_PDV!$A$2:$J$250,3,FALSE),"")</f>
        <v/>
      </c>
      <c r="D518" s="31" t="str">
        <f>IFERROR(VLOOKUP(A518,Clientes_PDV!$A$2:$J$250,4,FALSE),"")</f>
        <v/>
      </c>
      <c r="E518" s="24"/>
      <c r="F518" s="31" t="str">
        <f>IFERROR(VLOOKUP(E518,Maestro_SKU!$A$2:$P$500,2,FALSE),"")</f>
        <v/>
      </c>
      <c r="G518" s="24"/>
      <c r="H518" s="31" t="str">
        <f>IF(OR(G518="",E518=""),"",G518*IFERROR(VLOOKUP(E518,Maestro_SKU!$A$2:$P$500,12,FALSE),1))</f>
        <v/>
      </c>
      <c r="I518" s="25"/>
      <c r="J518" s="31" t="str">
        <f>IF(A518="","",IF(H518&lt;=Inicio!$B$16,"Crítico",IF(H518&lt;=Inicio!$B$17,"Observar","OK")))</f>
        <v/>
      </c>
      <c r="K518" s="24"/>
    </row>
    <row r="519" spans="1:11" x14ac:dyDescent="0.35">
      <c r="A519" s="24"/>
      <c r="B519" s="31" t="str">
        <f>IFERROR(VLOOKUP(A519,Clientes_PDV!$A$2:$J$250,2,FALSE),"")</f>
        <v/>
      </c>
      <c r="C519" s="31" t="str">
        <f>IFERROR(VLOOKUP(A519,Clientes_PDV!$A$2:$J$250,3,FALSE),"")</f>
        <v/>
      </c>
      <c r="D519" s="31" t="str">
        <f>IFERROR(VLOOKUP(A519,Clientes_PDV!$A$2:$J$250,4,FALSE),"")</f>
        <v/>
      </c>
      <c r="E519" s="24"/>
      <c r="F519" s="31" t="str">
        <f>IFERROR(VLOOKUP(E519,Maestro_SKU!$A$2:$P$500,2,FALSE),"")</f>
        <v/>
      </c>
      <c r="G519" s="24"/>
      <c r="H519" s="31" t="str">
        <f>IF(OR(G519="",E519=""),"",G519*IFERROR(VLOOKUP(E519,Maestro_SKU!$A$2:$P$500,12,FALSE),1))</f>
        <v/>
      </c>
      <c r="I519" s="25"/>
      <c r="J519" s="31" t="str">
        <f>IF(A519="","",IF(H519&lt;=Inicio!$B$16,"Crítico",IF(H519&lt;=Inicio!$B$17,"Observar","OK")))</f>
        <v/>
      </c>
      <c r="K519" s="24"/>
    </row>
    <row r="520" spans="1:11" x14ac:dyDescent="0.35">
      <c r="A520" s="24"/>
      <c r="B520" s="31" t="str">
        <f>IFERROR(VLOOKUP(A520,Clientes_PDV!$A$2:$J$250,2,FALSE),"")</f>
        <v/>
      </c>
      <c r="C520" s="31" t="str">
        <f>IFERROR(VLOOKUP(A520,Clientes_PDV!$A$2:$J$250,3,FALSE),"")</f>
        <v/>
      </c>
      <c r="D520" s="31" t="str">
        <f>IFERROR(VLOOKUP(A520,Clientes_PDV!$A$2:$J$250,4,FALSE),"")</f>
        <v/>
      </c>
      <c r="E520" s="24"/>
      <c r="F520" s="31" t="str">
        <f>IFERROR(VLOOKUP(E520,Maestro_SKU!$A$2:$P$500,2,FALSE),"")</f>
        <v/>
      </c>
      <c r="G520" s="24"/>
      <c r="H520" s="31" t="str">
        <f>IF(OR(G520="",E520=""),"",G520*IFERROR(VLOOKUP(E520,Maestro_SKU!$A$2:$P$500,12,FALSE),1))</f>
        <v/>
      </c>
      <c r="I520" s="25"/>
      <c r="J520" s="31" t="str">
        <f>IF(A520="","",IF(H520&lt;=Inicio!$B$16,"Crítico",IF(H520&lt;=Inicio!$B$17,"Observar","OK")))</f>
        <v/>
      </c>
      <c r="K520" s="24"/>
    </row>
    <row r="521" spans="1:11" x14ac:dyDescent="0.35">
      <c r="A521" s="24"/>
      <c r="B521" s="31" t="str">
        <f>IFERROR(VLOOKUP(A521,Clientes_PDV!$A$2:$J$250,2,FALSE),"")</f>
        <v/>
      </c>
      <c r="C521" s="31" t="str">
        <f>IFERROR(VLOOKUP(A521,Clientes_PDV!$A$2:$J$250,3,FALSE),"")</f>
        <v/>
      </c>
      <c r="D521" s="31" t="str">
        <f>IFERROR(VLOOKUP(A521,Clientes_PDV!$A$2:$J$250,4,FALSE),"")</f>
        <v/>
      </c>
      <c r="E521" s="24"/>
      <c r="F521" s="31" t="str">
        <f>IFERROR(VLOOKUP(E521,Maestro_SKU!$A$2:$P$500,2,FALSE),"")</f>
        <v/>
      </c>
      <c r="G521" s="24"/>
      <c r="H521" s="31" t="str">
        <f>IF(OR(G521="",E521=""),"",G521*IFERROR(VLOOKUP(E521,Maestro_SKU!$A$2:$P$500,12,FALSE),1))</f>
        <v/>
      </c>
      <c r="I521" s="25"/>
      <c r="J521" s="31" t="str">
        <f>IF(A521="","",IF(H521&lt;=Inicio!$B$16,"Crítico",IF(H521&lt;=Inicio!$B$17,"Observar","OK")))</f>
        <v/>
      </c>
      <c r="K521" s="24"/>
    </row>
    <row r="522" spans="1:11" x14ac:dyDescent="0.35">
      <c r="A522" s="24"/>
      <c r="B522" s="31" t="str">
        <f>IFERROR(VLOOKUP(A522,Clientes_PDV!$A$2:$J$250,2,FALSE),"")</f>
        <v/>
      </c>
      <c r="C522" s="31" t="str">
        <f>IFERROR(VLOOKUP(A522,Clientes_PDV!$A$2:$J$250,3,FALSE),"")</f>
        <v/>
      </c>
      <c r="D522" s="31" t="str">
        <f>IFERROR(VLOOKUP(A522,Clientes_PDV!$A$2:$J$250,4,FALSE),"")</f>
        <v/>
      </c>
      <c r="E522" s="24"/>
      <c r="F522" s="31" t="str">
        <f>IFERROR(VLOOKUP(E522,Maestro_SKU!$A$2:$P$500,2,FALSE),"")</f>
        <v/>
      </c>
      <c r="G522" s="24"/>
      <c r="H522" s="31" t="str">
        <f>IF(OR(G522="",E522=""),"",G522*IFERROR(VLOOKUP(E522,Maestro_SKU!$A$2:$P$500,12,FALSE),1))</f>
        <v/>
      </c>
      <c r="I522" s="25"/>
      <c r="J522" s="31" t="str">
        <f>IF(A522="","",IF(H522&lt;=Inicio!$B$16,"Crítico",IF(H522&lt;=Inicio!$B$17,"Observar","OK")))</f>
        <v/>
      </c>
      <c r="K522" s="24"/>
    </row>
    <row r="523" spans="1:11" x14ac:dyDescent="0.35">
      <c r="A523" s="24"/>
      <c r="B523" s="31" t="str">
        <f>IFERROR(VLOOKUP(A523,Clientes_PDV!$A$2:$J$250,2,FALSE),"")</f>
        <v/>
      </c>
      <c r="C523" s="31" t="str">
        <f>IFERROR(VLOOKUP(A523,Clientes_PDV!$A$2:$J$250,3,FALSE),"")</f>
        <v/>
      </c>
      <c r="D523" s="31" t="str">
        <f>IFERROR(VLOOKUP(A523,Clientes_PDV!$A$2:$J$250,4,FALSE),"")</f>
        <v/>
      </c>
      <c r="E523" s="24"/>
      <c r="F523" s="31" t="str">
        <f>IFERROR(VLOOKUP(E523,Maestro_SKU!$A$2:$P$500,2,FALSE),"")</f>
        <v/>
      </c>
      <c r="G523" s="24"/>
      <c r="H523" s="31" t="str">
        <f>IF(OR(G523="",E523=""),"",G523*IFERROR(VLOOKUP(E523,Maestro_SKU!$A$2:$P$500,12,FALSE),1))</f>
        <v/>
      </c>
      <c r="I523" s="25"/>
      <c r="J523" s="31" t="str">
        <f>IF(A523="","",IF(H523&lt;=Inicio!$B$16,"Crítico",IF(H523&lt;=Inicio!$B$17,"Observar","OK")))</f>
        <v/>
      </c>
      <c r="K523" s="24"/>
    </row>
    <row r="524" spans="1:11" x14ac:dyDescent="0.35">
      <c r="A524" s="24"/>
      <c r="B524" s="31" t="str">
        <f>IFERROR(VLOOKUP(A524,Clientes_PDV!$A$2:$J$250,2,FALSE),"")</f>
        <v/>
      </c>
      <c r="C524" s="31" t="str">
        <f>IFERROR(VLOOKUP(A524,Clientes_PDV!$A$2:$J$250,3,FALSE),"")</f>
        <v/>
      </c>
      <c r="D524" s="31" t="str">
        <f>IFERROR(VLOOKUP(A524,Clientes_PDV!$A$2:$J$250,4,FALSE),"")</f>
        <v/>
      </c>
      <c r="E524" s="24"/>
      <c r="F524" s="31" t="str">
        <f>IFERROR(VLOOKUP(E524,Maestro_SKU!$A$2:$P$500,2,FALSE),"")</f>
        <v/>
      </c>
      <c r="G524" s="24"/>
      <c r="H524" s="31" t="str">
        <f>IF(OR(G524="",E524=""),"",G524*IFERROR(VLOOKUP(E524,Maestro_SKU!$A$2:$P$500,12,FALSE),1))</f>
        <v/>
      </c>
      <c r="I524" s="25"/>
      <c r="J524" s="31" t="str">
        <f>IF(A524="","",IF(H524&lt;=Inicio!$B$16,"Crítico",IF(H524&lt;=Inicio!$B$17,"Observar","OK")))</f>
        <v/>
      </c>
      <c r="K524" s="24"/>
    </row>
    <row r="525" spans="1:11" x14ac:dyDescent="0.35">
      <c r="A525" s="24"/>
      <c r="B525" s="31" t="str">
        <f>IFERROR(VLOOKUP(A525,Clientes_PDV!$A$2:$J$250,2,FALSE),"")</f>
        <v/>
      </c>
      <c r="C525" s="31" t="str">
        <f>IFERROR(VLOOKUP(A525,Clientes_PDV!$A$2:$J$250,3,FALSE),"")</f>
        <v/>
      </c>
      <c r="D525" s="31" t="str">
        <f>IFERROR(VLOOKUP(A525,Clientes_PDV!$A$2:$J$250,4,FALSE),"")</f>
        <v/>
      </c>
      <c r="E525" s="24"/>
      <c r="F525" s="31" t="str">
        <f>IFERROR(VLOOKUP(E525,Maestro_SKU!$A$2:$P$500,2,FALSE),"")</f>
        <v/>
      </c>
      <c r="G525" s="24"/>
      <c r="H525" s="31" t="str">
        <f>IF(OR(G525="",E525=""),"",G525*IFERROR(VLOOKUP(E525,Maestro_SKU!$A$2:$P$500,12,FALSE),1))</f>
        <v/>
      </c>
      <c r="I525" s="25"/>
      <c r="J525" s="31" t="str">
        <f>IF(A525="","",IF(H525&lt;=Inicio!$B$16,"Crítico",IF(H525&lt;=Inicio!$B$17,"Observar","OK")))</f>
        <v/>
      </c>
      <c r="K525" s="24"/>
    </row>
    <row r="526" spans="1:11" x14ac:dyDescent="0.35">
      <c r="A526" s="24"/>
      <c r="B526" s="31" t="str">
        <f>IFERROR(VLOOKUP(A526,Clientes_PDV!$A$2:$J$250,2,FALSE),"")</f>
        <v/>
      </c>
      <c r="C526" s="31" t="str">
        <f>IFERROR(VLOOKUP(A526,Clientes_PDV!$A$2:$J$250,3,FALSE),"")</f>
        <v/>
      </c>
      <c r="D526" s="31" t="str">
        <f>IFERROR(VLOOKUP(A526,Clientes_PDV!$A$2:$J$250,4,FALSE),"")</f>
        <v/>
      </c>
      <c r="E526" s="24"/>
      <c r="F526" s="31" t="str">
        <f>IFERROR(VLOOKUP(E526,Maestro_SKU!$A$2:$P$500,2,FALSE),"")</f>
        <v/>
      </c>
      <c r="G526" s="24"/>
      <c r="H526" s="31" t="str">
        <f>IF(OR(G526="",E526=""),"",G526*IFERROR(VLOOKUP(E526,Maestro_SKU!$A$2:$P$500,12,FALSE),1))</f>
        <v/>
      </c>
      <c r="I526" s="25"/>
      <c r="J526" s="31" t="str">
        <f>IF(A526="","",IF(H526&lt;=Inicio!$B$16,"Crítico",IF(H526&lt;=Inicio!$B$17,"Observar","OK")))</f>
        <v/>
      </c>
      <c r="K526" s="24"/>
    </row>
    <row r="527" spans="1:11" x14ac:dyDescent="0.35">
      <c r="A527" s="24"/>
      <c r="B527" s="31" t="str">
        <f>IFERROR(VLOOKUP(A527,Clientes_PDV!$A$2:$J$250,2,FALSE),"")</f>
        <v/>
      </c>
      <c r="C527" s="31" t="str">
        <f>IFERROR(VLOOKUP(A527,Clientes_PDV!$A$2:$J$250,3,FALSE),"")</f>
        <v/>
      </c>
      <c r="D527" s="31" t="str">
        <f>IFERROR(VLOOKUP(A527,Clientes_PDV!$A$2:$J$250,4,FALSE),"")</f>
        <v/>
      </c>
      <c r="E527" s="24"/>
      <c r="F527" s="31" t="str">
        <f>IFERROR(VLOOKUP(E527,Maestro_SKU!$A$2:$P$500,2,FALSE),"")</f>
        <v/>
      </c>
      <c r="G527" s="24"/>
      <c r="H527" s="31" t="str">
        <f>IF(OR(G527="",E527=""),"",G527*IFERROR(VLOOKUP(E527,Maestro_SKU!$A$2:$P$500,12,FALSE),1))</f>
        <v/>
      </c>
      <c r="I527" s="25"/>
      <c r="J527" s="31" t="str">
        <f>IF(A527="","",IF(H527&lt;=Inicio!$B$16,"Crítico",IF(H527&lt;=Inicio!$B$17,"Observar","OK")))</f>
        <v/>
      </c>
      <c r="K527" s="24"/>
    </row>
    <row r="528" spans="1:11" x14ac:dyDescent="0.35">
      <c r="A528" s="24"/>
      <c r="B528" s="31" t="str">
        <f>IFERROR(VLOOKUP(A528,Clientes_PDV!$A$2:$J$250,2,FALSE),"")</f>
        <v/>
      </c>
      <c r="C528" s="31" t="str">
        <f>IFERROR(VLOOKUP(A528,Clientes_PDV!$A$2:$J$250,3,FALSE),"")</f>
        <v/>
      </c>
      <c r="D528" s="31" t="str">
        <f>IFERROR(VLOOKUP(A528,Clientes_PDV!$A$2:$J$250,4,FALSE),"")</f>
        <v/>
      </c>
      <c r="E528" s="24"/>
      <c r="F528" s="31" t="str">
        <f>IFERROR(VLOOKUP(E528,Maestro_SKU!$A$2:$P$500,2,FALSE),"")</f>
        <v/>
      </c>
      <c r="G528" s="24"/>
      <c r="H528" s="31" t="str">
        <f>IF(OR(G528="",E528=""),"",G528*IFERROR(VLOOKUP(E528,Maestro_SKU!$A$2:$P$500,12,FALSE),1))</f>
        <v/>
      </c>
      <c r="I528" s="25"/>
      <c r="J528" s="31" t="str">
        <f>IF(A528="","",IF(H528&lt;=Inicio!$B$16,"Crítico",IF(H528&lt;=Inicio!$B$17,"Observar","OK")))</f>
        <v/>
      </c>
      <c r="K528" s="24"/>
    </row>
    <row r="529" spans="1:11" x14ac:dyDescent="0.35">
      <c r="A529" s="24"/>
      <c r="B529" s="31" t="str">
        <f>IFERROR(VLOOKUP(A529,Clientes_PDV!$A$2:$J$250,2,FALSE),"")</f>
        <v/>
      </c>
      <c r="C529" s="31" t="str">
        <f>IFERROR(VLOOKUP(A529,Clientes_PDV!$A$2:$J$250,3,FALSE),"")</f>
        <v/>
      </c>
      <c r="D529" s="31" t="str">
        <f>IFERROR(VLOOKUP(A529,Clientes_PDV!$A$2:$J$250,4,FALSE),"")</f>
        <v/>
      </c>
      <c r="E529" s="24"/>
      <c r="F529" s="31" t="str">
        <f>IFERROR(VLOOKUP(E529,Maestro_SKU!$A$2:$P$500,2,FALSE),"")</f>
        <v/>
      </c>
      <c r="G529" s="24"/>
      <c r="H529" s="31" t="str">
        <f>IF(OR(G529="",E529=""),"",G529*IFERROR(VLOOKUP(E529,Maestro_SKU!$A$2:$P$500,12,FALSE),1))</f>
        <v/>
      </c>
      <c r="I529" s="25"/>
      <c r="J529" s="31" t="str">
        <f>IF(A529="","",IF(H529&lt;=Inicio!$B$16,"Crítico",IF(H529&lt;=Inicio!$B$17,"Observar","OK")))</f>
        <v/>
      </c>
      <c r="K529" s="24"/>
    </row>
    <row r="530" spans="1:11" x14ac:dyDescent="0.35">
      <c r="A530" s="24"/>
      <c r="B530" s="31" t="str">
        <f>IFERROR(VLOOKUP(A530,Clientes_PDV!$A$2:$J$250,2,FALSE),"")</f>
        <v/>
      </c>
      <c r="C530" s="31" t="str">
        <f>IFERROR(VLOOKUP(A530,Clientes_PDV!$A$2:$J$250,3,FALSE),"")</f>
        <v/>
      </c>
      <c r="D530" s="31" t="str">
        <f>IFERROR(VLOOKUP(A530,Clientes_PDV!$A$2:$J$250,4,FALSE),"")</f>
        <v/>
      </c>
      <c r="E530" s="24"/>
      <c r="F530" s="31" t="str">
        <f>IFERROR(VLOOKUP(E530,Maestro_SKU!$A$2:$P$500,2,FALSE),"")</f>
        <v/>
      </c>
      <c r="G530" s="24"/>
      <c r="H530" s="31" t="str">
        <f>IF(OR(G530="",E530=""),"",G530*IFERROR(VLOOKUP(E530,Maestro_SKU!$A$2:$P$500,12,FALSE),1))</f>
        <v/>
      </c>
      <c r="I530" s="25"/>
      <c r="J530" s="31" t="str">
        <f>IF(A530="","",IF(H530&lt;=Inicio!$B$16,"Crítico",IF(H530&lt;=Inicio!$B$17,"Observar","OK")))</f>
        <v/>
      </c>
      <c r="K530" s="24"/>
    </row>
    <row r="531" spans="1:11" x14ac:dyDescent="0.35">
      <c r="A531" s="24"/>
      <c r="B531" s="31" t="str">
        <f>IFERROR(VLOOKUP(A531,Clientes_PDV!$A$2:$J$250,2,FALSE),"")</f>
        <v/>
      </c>
      <c r="C531" s="31" t="str">
        <f>IFERROR(VLOOKUP(A531,Clientes_PDV!$A$2:$J$250,3,FALSE),"")</f>
        <v/>
      </c>
      <c r="D531" s="31" t="str">
        <f>IFERROR(VLOOKUP(A531,Clientes_PDV!$A$2:$J$250,4,FALSE),"")</f>
        <v/>
      </c>
      <c r="E531" s="24"/>
      <c r="F531" s="31" t="str">
        <f>IFERROR(VLOOKUP(E531,Maestro_SKU!$A$2:$P$500,2,FALSE),"")</f>
        <v/>
      </c>
      <c r="G531" s="24"/>
      <c r="H531" s="31" t="str">
        <f>IF(OR(G531="",E531=""),"",G531*IFERROR(VLOOKUP(E531,Maestro_SKU!$A$2:$P$500,12,FALSE),1))</f>
        <v/>
      </c>
      <c r="I531" s="25"/>
      <c r="J531" s="31" t="str">
        <f>IF(A531="","",IF(H531&lt;=Inicio!$B$16,"Crítico",IF(H531&lt;=Inicio!$B$17,"Observar","OK")))</f>
        <v/>
      </c>
      <c r="K531" s="24"/>
    </row>
    <row r="532" spans="1:11" x14ac:dyDescent="0.35">
      <c r="A532" s="24"/>
      <c r="B532" s="31" t="str">
        <f>IFERROR(VLOOKUP(A532,Clientes_PDV!$A$2:$J$250,2,FALSE),"")</f>
        <v/>
      </c>
      <c r="C532" s="31" t="str">
        <f>IFERROR(VLOOKUP(A532,Clientes_PDV!$A$2:$J$250,3,FALSE),"")</f>
        <v/>
      </c>
      <c r="D532" s="31" t="str">
        <f>IFERROR(VLOOKUP(A532,Clientes_PDV!$A$2:$J$250,4,FALSE),"")</f>
        <v/>
      </c>
      <c r="E532" s="24"/>
      <c r="F532" s="31" t="str">
        <f>IFERROR(VLOOKUP(E532,Maestro_SKU!$A$2:$P$500,2,FALSE),"")</f>
        <v/>
      </c>
      <c r="G532" s="24"/>
      <c r="H532" s="31" t="str">
        <f>IF(OR(G532="",E532=""),"",G532*IFERROR(VLOOKUP(E532,Maestro_SKU!$A$2:$P$500,12,FALSE),1))</f>
        <v/>
      </c>
      <c r="I532" s="25"/>
      <c r="J532" s="31" t="str">
        <f>IF(A532="","",IF(H532&lt;=Inicio!$B$16,"Crítico",IF(H532&lt;=Inicio!$B$17,"Observar","OK")))</f>
        <v/>
      </c>
      <c r="K532" s="24"/>
    </row>
    <row r="533" spans="1:11" x14ac:dyDescent="0.35">
      <c r="A533" s="24"/>
      <c r="B533" s="31" t="str">
        <f>IFERROR(VLOOKUP(A533,Clientes_PDV!$A$2:$J$250,2,FALSE),"")</f>
        <v/>
      </c>
      <c r="C533" s="31" t="str">
        <f>IFERROR(VLOOKUP(A533,Clientes_PDV!$A$2:$J$250,3,FALSE),"")</f>
        <v/>
      </c>
      <c r="D533" s="31" t="str">
        <f>IFERROR(VLOOKUP(A533,Clientes_PDV!$A$2:$J$250,4,FALSE),"")</f>
        <v/>
      </c>
      <c r="E533" s="24"/>
      <c r="F533" s="31" t="str">
        <f>IFERROR(VLOOKUP(E533,Maestro_SKU!$A$2:$P$500,2,FALSE),"")</f>
        <v/>
      </c>
      <c r="G533" s="24"/>
      <c r="H533" s="31" t="str">
        <f>IF(OR(G533="",E533=""),"",G533*IFERROR(VLOOKUP(E533,Maestro_SKU!$A$2:$P$500,12,FALSE),1))</f>
        <v/>
      </c>
      <c r="I533" s="25"/>
      <c r="J533" s="31" t="str">
        <f>IF(A533="","",IF(H533&lt;=Inicio!$B$16,"Crítico",IF(H533&lt;=Inicio!$B$17,"Observar","OK")))</f>
        <v/>
      </c>
      <c r="K533" s="24"/>
    </row>
    <row r="534" spans="1:11" x14ac:dyDescent="0.35">
      <c r="A534" s="24"/>
      <c r="B534" s="31" t="str">
        <f>IFERROR(VLOOKUP(A534,Clientes_PDV!$A$2:$J$250,2,FALSE),"")</f>
        <v/>
      </c>
      <c r="C534" s="31" t="str">
        <f>IFERROR(VLOOKUP(A534,Clientes_PDV!$A$2:$J$250,3,FALSE),"")</f>
        <v/>
      </c>
      <c r="D534" s="31" t="str">
        <f>IFERROR(VLOOKUP(A534,Clientes_PDV!$A$2:$J$250,4,FALSE),"")</f>
        <v/>
      </c>
      <c r="E534" s="24"/>
      <c r="F534" s="31" t="str">
        <f>IFERROR(VLOOKUP(E534,Maestro_SKU!$A$2:$P$500,2,FALSE),"")</f>
        <v/>
      </c>
      <c r="G534" s="24"/>
      <c r="H534" s="31" t="str">
        <f>IF(OR(G534="",E534=""),"",G534*IFERROR(VLOOKUP(E534,Maestro_SKU!$A$2:$P$500,12,FALSE),1))</f>
        <v/>
      </c>
      <c r="I534" s="25"/>
      <c r="J534" s="31" t="str">
        <f>IF(A534="","",IF(H534&lt;=Inicio!$B$16,"Crítico",IF(H534&lt;=Inicio!$B$17,"Observar","OK")))</f>
        <v/>
      </c>
      <c r="K534" s="24"/>
    </row>
    <row r="535" spans="1:11" x14ac:dyDescent="0.35">
      <c r="A535" s="24"/>
      <c r="B535" s="31" t="str">
        <f>IFERROR(VLOOKUP(A535,Clientes_PDV!$A$2:$J$250,2,FALSE),"")</f>
        <v/>
      </c>
      <c r="C535" s="31" t="str">
        <f>IFERROR(VLOOKUP(A535,Clientes_PDV!$A$2:$J$250,3,FALSE),"")</f>
        <v/>
      </c>
      <c r="D535" s="31" t="str">
        <f>IFERROR(VLOOKUP(A535,Clientes_PDV!$A$2:$J$250,4,FALSE),"")</f>
        <v/>
      </c>
      <c r="E535" s="24"/>
      <c r="F535" s="31" t="str">
        <f>IFERROR(VLOOKUP(E535,Maestro_SKU!$A$2:$P$500,2,FALSE),"")</f>
        <v/>
      </c>
      <c r="G535" s="24"/>
      <c r="H535" s="31" t="str">
        <f>IF(OR(G535="",E535=""),"",G535*IFERROR(VLOOKUP(E535,Maestro_SKU!$A$2:$P$500,12,FALSE),1))</f>
        <v/>
      </c>
      <c r="I535" s="25"/>
      <c r="J535" s="31" t="str">
        <f>IF(A535="","",IF(H535&lt;=Inicio!$B$16,"Crítico",IF(H535&lt;=Inicio!$B$17,"Observar","OK")))</f>
        <v/>
      </c>
      <c r="K535" s="24"/>
    </row>
    <row r="536" spans="1:11" x14ac:dyDescent="0.35">
      <c r="A536" s="24"/>
      <c r="B536" s="31" t="str">
        <f>IFERROR(VLOOKUP(A536,Clientes_PDV!$A$2:$J$250,2,FALSE),"")</f>
        <v/>
      </c>
      <c r="C536" s="31" t="str">
        <f>IFERROR(VLOOKUP(A536,Clientes_PDV!$A$2:$J$250,3,FALSE),"")</f>
        <v/>
      </c>
      <c r="D536" s="31" t="str">
        <f>IFERROR(VLOOKUP(A536,Clientes_PDV!$A$2:$J$250,4,FALSE),"")</f>
        <v/>
      </c>
      <c r="E536" s="24"/>
      <c r="F536" s="31" t="str">
        <f>IFERROR(VLOOKUP(E536,Maestro_SKU!$A$2:$P$500,2,FALSE),"")</f>
        <v/>
      </c>
      <c r="G536" s="24"/>
      <c r="H536" s="31" t="str">
        <f>IF(OR(G536="",E536=""),"",G536*IFERROR(VLOOKUP(E536,Maestro_SKU!$A$2:$P$500,12,FALSE),1))</f>
        <v/>
      </c>
      <c r="I536" s="25"/>
      <c r="J536" s="31" t="str">
        <f>IF(A536="","",IF(H536&lt;=Inicio!$B$16,"Crítico",IF(H536&lt;=Inicio!$B$17,"Observar","OK")))</f>
        <v/>
      </c>
      <c r="K536" s="24"/>
    </row>
    <row r="537" spans="1:11" x14ac:dyDescent="0.35">
      <c r="A537" s="24"/>
      <c r="B537" s="31" t="str">
        <f>IFERROR(VLOOKUP(A537,Clientes_PDV!$A$2:$J$250,2,FALSE),"")</f>
        <v/>
      </c>
      <c r="C537" s="31" t="str">
        <f>IFERROR(VLOOKUP(A537,Clientes_PDV!$A$2:$J$250,3,FALSE),"")</f>
        <v/>
      </c>
      <c r="D537" s="31" t="str">
        <f>IFERROR(VLOOKUP(A537,Clientes_PDV!$A$2:$J$250,4,FALSE),"")</f>
        <v/>
      </c>
      <c r="E537" s="24"/>
      <c r="F537" s="31" t="str">
        <f>IFERROR(VLOOKUP(E537,Maestro_SKU!$A$2:$P$500,2,FALSE),"")</f>
        <v/>
      </c>
      <c r="G537" s="24"/>
      <c r="H537" s="31" t="str">
        <f>IF(OR(G537="",E537=""),"",G537*IFERROR(VLOOKUP(E537,Maestro_SKU!$A$2:$P$500,12,FALSE),1))</f>
        <v/>
      </c>
      <c r="I537" s="25"/>
      <c r="J537" s="31" t="str">
        <f>IF(A537="","",IF(H537&lt;=Inicio!$B$16,"Crítico",IF(H537&lt;=Inicio!$B$17,"Observar","OK")))</f>
        <v/>
      </c>
      <c r="K537" s="24"/>
    </row>
    <row r="538" spans="1:11" x14ac:dyDescent="0.35">
      <c r="A538" s="24"/>
      <c r="B538" s="31" t="str">
        <f>IFERROR(VLOOKUP(A538,Clientes_PDV!$A$2:$J$250,2,FALSE),"")</f>
        <v/>
      </c>
      <c r="C538" s="31" t="str">
        <f>IFERROR(VLOOKUP(A538,Clientes_PDV!$A$2:$J$250,3,FALSE),"")</f>
        <v/>
      </c>
      <c r="D538" s="31" t="str">
        <f>IFERROR(VLOOKUP(A538,Clientes_PDV!$A$2:$J$250,4,FALSE),"")</f>
        <v/>
      </c>
      <c r="E538" s="24"/>
      <c r="F538" s="31" t="str">
        <f>IFERROR(VLOOKUP(E538,Maestro_SKU!$A$2:$P$500,2,FALSE),"")</f>
        <v/>
      </c>
      <c r="G538" s="24"/>
      <c r="H538" s="31" t="str">
        <f>IF(OR(G538="",E538=""),"",G538*IFERROR(VLOOKUP(E538,Maestro_SKU!$A$2:$P$500,12,FALSE),1))</f>
        <v/>
      </c>
      <c r="I538" s="25"/>
      <c r="J538" s="31" t="str">
        <f>IF(A538="","",IF(H538&lt;=Inicio!$B$16,"Crítico",IF(H538&lt;=Inicio!$B$17,"Observar","OK")))</f>
        <v/>
      </c>
      <c r="K538" s="24"/>
    </row>
    <row r="539" spans="1:11" x14ac:dyDescent="0.35">
      <c r="A539" s="24"/>
      <c r="B539" s="31" t="str">
        <f>IFERROR(VLOOKUP(A539,Clientes_PDV!$A$2:$J$250,2,FALSE),"")</f>
        <v/>
      </c>
      <c r="C539" s="31" t="str">
        <f>IFERROR(VLOOKUP(A539,Clientes_PDV!$A$2:$J$250,3,FALSE),"")</f>
        <v/>
      </c>
      <c r="D539" s="31" t="str">
        <f>IFERROR(VLOOKUP(A539,Clientes_PDV!$A$2:$J$250,4,FALSE),"")</f>
        <v/>
      </c>
      <c r="E539" s="24"/>
      <c r="F539" s="31" t="str">
        <f>IFERROR(VLOOKUP(E539,Maestro_SKU!$A$2:$P$500,2,FALSE),"")</f>
        <v/>
      </c>
      <c r="G539" s="24"/>
      <c r="H539" s="31" t="str">
        <f>IF(OR(G539="",E539=""),"",G539*IFERROR(VLOOKUP(E539,Maestro_SKU!$A$2:$P$500,12,FALSE),1))</f>
        <v/>
      </c>
      <c r="I539" s="25"/>
      <c r="J539" s="31" t="str">
        <f>IF(A539="","",IF(H539&lt;=Inicio!$B$16,"Crítico",IF(H539&lt;=Inicio!$B$17,"Observar","OK")))</f>
        <v/>
      </c>
      <c r="K539" s="24"/>
    </row>
    <row r="540" spans="1:11" x14ac:dyDescent="0.35">
      <c r="A540" s="24"/>
      <c r="B540" s="31" t="str">
        <f>IFERROR(VLOOKUP(A540,Clientes_PDV!$A$2:$J$250,2,FALSE),"")</f>
        <v/>
      </c>
      <c r="C540" s="31" t="str">
        <f>IFERROR(VLOOKUP(A540,Clientes_PDV!$A$2:$J$250,3,FALSE),"")</f>
        <v/>
      </c>
      <c r="D540" s="31" t="str">
        <f>IFERROR(VLOOKUP(A540,Clientes_PDV!$A$2:$J$250,4,FALSE),"")</f>
        <v/>
      </c>
      <c r="E540" s="24"/>
      <c r="F540" s="31" t="str">
        <f>IFERROR(VLOOKUP(E540,Maestro_SKU!$A$2:$P$500,2,FALSE),"")</f>
        <v/>
      </c>
      <c r="G540" s="24"/>
      <c r="H540" s="31" t="str">
        <f>IF(OR(G540="",E540=""),"",G540*IFERROR(VLOOKUP(E540,Maestro_SKU!$A$2:$P$500,12,FALSE),1))</f>
        <v/>
      </c>
      <c r="I540" s="25"/>
      <c r="J540" s="31" t="str">
        <f>IF(A540="","",IF(H540&lt;=Inicio!$B$16,"Crítico",IF(H540&lt;=Inicio!$B$17,"Observar","OK")))</f>
        <v/>
      </c>
      <c r="K540" s="24"/>
    </row>
    <row r="541" spans="1:11" x14ac:dyDescent="0.35">
      <c r="A541" s="24"/>
      <c r="B541" s="31" t="str">
        <f>IFERROR(VLOOKUP(A541,Clientes_PDV!$A$2:$J$250,2,FALSE),"")</f>
        <v/>
      </c>
      <c r="C541" s="31" t="str">
        <f>IFERROR(VLOOKUP(A541,Clientes_PDV!$A$2:$J$250,3,FALSE),"")</f>
        <v/>
      </c>
      <c r="D541" s="31" t="str">
        <f>IFERROR(VLOOKUP(A541,Clientes_PDV!$A$2:$J$250,4,FALSE),"")</f>
        <v/>
      </c>
      <c r="E541" s="24"/>
      <c r="F541" s="31" t="str">
        <f>IFERROR(VLOOKUP(E541,Maestro_SKU!$A$2:$P$500,2,FALSE),"")</f>
        <v/>
      </c>
      <c r="G541" s="24"/>
      <c r="H541" s="31" t="str">
        <f>IF(OR(G541="",E541=""),"",G541*IFERROR(VLOOKUP(E541,Maestro_SKU!$A$2:$P$500,12,FALSE),1))</f>
        <v/>
      </c>
      <c r="I541" s="25"/>
      <c r="J541" s="31" t="str">
        <f>IF(A541="","",IF(H541&lt;=Inicio!$B$16,"Crítico",IF(H541&lt;=Inicio!$B$17,"Observar","OK")))</f>
        <v/>
      </c>
      <c r="K541" s="24"/>
    </row>
    <row r="542" spans="1:11" x14ac:dyDescent="0.35">
      <c r="A542" s="24"/>
      <c r="B542" s="31" t="str">
        <f>IFERROR(VLOOKUP(A542,Clientes_PDV!$A$2:$J$250,2,FALSE),"")</f>
        <v/>
      </c>
      <c r="C542" s="31" t="str">
        <f>IFERROR(VLOOKUP(A542,Clientes_PDV!$A$2:$J$250,3,FALSE),"")</f>
        <v/>
      </c>
      <c r="D542" s="31" t="str">
        <f>IFERROR(VLOOKUP(A542,Clientes_PDV!$A$2:$J$250,4,FALSE),"")</f>
        <v/>
      </c>
      <c r="E542" s="24"/>
      <c r="F542" s="31" t="str">
        <f>IFERROR(VLOOKUP(E542,Maestro_SKU!$A$2:$P$500,2,FALSE),"")</f>
        <v/>
      </c>
      <c r="G542" s="24"/>
      <c r="H542" s="31" t="str">
        <f>IF(OR(G542="",E542=""),"",G542*IFERROR(VLOOKUP(E542,Maestro_SKU!$A$2:$P$500,12,FALSE),1))</f>
        <v/>
      </c>
      <c r="I542" s="25"/>
      <c r="J542" s="31" t="str">
        <f>IF(A542="","",IF(H542&lt;=Inicio!$B$16,"Crítico",IF(H542&lt;=Inicio!$B$17,"Observar","OK")))</f>
        <v/>
      </c>
      <c r="K542" s="24"/>
    </row>
    <row r="543" spans="1:11" x14ac:dyDescent="0.35">
      <c r="A543" s="24"/>
      <c r="B543" s="31" t="str">
        <f>IFERROR(VLOOKUP(A543,Clientes_PDV!$A$2:$J$250,2,FALSE),"")</f>
        <v/>
      </c>
      <c r="C543" s="31" t="str">
        <f>IFERROR(VLOOKUP(A543,Clientes_PDV!$A$2:$J$250,3,FALSE),"")</f>
        <v/>
      </c>
      <c r="D543" s="31" t="str">
        <f>IFERROR(VLOOKUP(A543,Clientes_PDV!$A$2:$J$250,4,FALSE),"")</f>
        <v/>
      </c>
      <c r="E543" s="24"/>
      <c r="F543" s="31" t="str">
        <f>IFERROR(VLOOKUP(E543,Maestro_SKU!$A$2:$P$500,2,FALSE),"")</f>
        <v/>
      </c>
      <c r="G543" s="24"/>
      <c r="H543" s="31" t="str">
        <f>IF(OR(G543="",E543=""),"",G543*IFERROR(VLOOKUP(E543,Maestro_SKU!$A$2:$P$500,12,FALSE),1))</f>
        <v/>
      </c>
      <c r="I543" s="25"/>
      <c r="J543" s="31" t="str">
        <f>IF(A543="","",IF(H543&lt;=Inicio!$B$16,"Crítico",IF(H543&lt;=Inicio!$B$17,"Observar","OK")))</f>
        <v/>
      </c>
      <c r="K543" s="24"/>
    </row>
    <row r="544" spans="1:11" x14ac:dyDescent="0.35">
      <c r="A544" s="24"/>
      <c r="B544" s="31" t="str">
        <f>IFERROR(VLOOKUP(A544,Clientes_PDV!$A$2:$J$250,2,FALSE),"")</f>
        <v/>
      </c>
      <c r="C544" s="31" t="str">
        <f>IFERROR(VLOOKUP(A544,Clientes_PDV!$A$2:$J$250,3,FALSE),"")</f>
        <v/>
      </c>
      <c r="D544" s="31" t="str">
        <f>IFERROR(VLOOKUP(A544,Clientes_PDV!$A$2:$J$250,4,FALSE),"")</f>
        <v/>
      </c>
      <c r="E544" s="24"/>
      <c r="F544" s="31" t="str">
        <f>IFERROR(VLOOKUP(E544,Maestro_SKU!$A$2:$P$500,2,FALSE),"")</f>
        <v/>
      </c>
      <c r="G544" s="24"/>
      <c r="H544" s="31" t="str">
        <f>IF(OR(G544="",E544=""),"",G544*IFERROR(VLOOKUP(E544,Maestro_SKU!$A$2:$P$500,12,FALSE),1))</f>
        <v/>
      </c>
      <c r="I544" s="25"/>
      <c r="J544" s="31" t="str">
        <f>IF(A544="","",IF(H544&lt;=Inicio!$B$16,"Crítico",IF(H544&lt;=Inicio!$B$17,"Observar","OK")))</f>
        <v/>
      </c>
      <c r="K544" s="24"/>
    </row>
    <row r="545" spans="1:11" x14ac:dyDescent="0.35">
      <c r="A545" s="24"/>
      <c r="B545" s="31" t="str">
        <f>IFERROR(VLOOKUP(A545,Clientes_PDV!$A$2:$J$250,2,FALSE),"")</f>
        <v/>
      </c>
      <c r="C545" s="31" t="str">
        <f>IFERROR(VLOOKUP(A545,Clientes_PDV!$A$2:$J$250,3,FALSE),"")</f>
        <v/>
      </c>
      <c r="D545" s="31" t="str">
        <f>IFERROR(VLOOKUP(A545,Clientes_PDV!$A$2:$J$250,4,FALSE),"")</f>
        <v/>
      </c>
      <c r="E545" s="24"/>
      <c r="F545" s="31" t="str">
        <f>IFERROR(VLOOKUP(E545,Maestro_SKU!$A$2:$P$500,2,FALSE),"")</f>
        <v/>
      </c>
      <c r="G545" s="24"/>
      <c r="H545" s="31" t="str">
        <f>IF(OR(G545="",E545=""),"",G545*IFERROR(VLOOKUP(E545,Maestro_SKU!$A$2:$P$500,12,FALSE),1))</f>
        <v/>
      </c>
      <c r="I545" s="25"/>
      <c r="J545" s="31" t="str">
        <f>IF(A545="","",IF(H545&lt;=Inicio!$B$16,"Crítico",IF(H545&lt;=Inicio!$B$17,"Observar","OK")))</f>
        <v/>
      </c>
      <c r="K545" s="24"/>
    </row>
    <row r="546" spans="1:11" x14ac:dyDescent="0.35">
      <c r="A546" s="24"/>
      <c r="B546" s="31" t="str">
        <f>IFERROR(VLOOKUP(A546,Clientes_PDV!$A$2:$J$250,2,FALSE),"")</f>
        <v/>
      </c>
      <c r="C546" s="31" t="str">
        <f>IFERROR(VLOOKUP(A546,Clientes_PDV!$A$2:$J$250,3,FALSE),"")</f>
        <v/>
      </c>
      <c r="D546" s="31" t="str">
        <f>IFERROR(VLOOKUP(A546,Clientes_PDV!$A$2:$J$250,4,FALSE),"")</f>
        <v/>
      </c>
      <c r="E546" s="24"/>
      <c r="F546" s="31" t="str">
        <f>IFERROR(VLOOKUP(E546,Maestro_SKU!$A$2:$P$500,2,FALSE),"")</f>
        <v/>
      </c>
      <c r="G546" s="24"/>
      <c r="H546" s="31" t="str">
        <f>IF(OR(G546="",E546=""),"",G546*IFERROR(VLOOKUP(E546,Maestro_SKU!$A$2:$P$500,12,FALSE),1))</f>
        <v/>
      </c>
      <c r="I546" s="25"/>
      <c r="J546" s="31" t="str">
        <f>IF(A546="","",IF(H546&lt;=Inicio!$B$16,"Crítico",IF(H546&lt;=Inicio!$B$17,"Observar","OK")))</f>
        <v/>
      </c>
      <c r="K546" s="24"/>
    </row>
    <row r="547" spans="1:11" x14ac:dyDescent="0.35">
      <c r="A547" s="24"/>
      <c r="B547" s="31" t="str">
        <f>IFERROR(VLOOKUP(A547,Clientes_PDV!$A$2:$J$250,2,FALSE),"")</f>
        <v/>
      </c>
      <c r="C547" s="31" t="str">
        <f>IFERROR(VLOOKUP(A547,Clientes_PDV!$A$2:$J$250,3,FALSE),"")</f>
        <v/>
      </c>
      <c r="D547" s="31" t="str">
        <f>IFERROR(VLOOKUP(A547,Clientes_PDV!$A$2:$J$250,4,FALSE),"")</f>
        <v/>
      </c>
      <c r="E547" s="24"/>
      <c r="F547" s="31" t="str">
        <f>IFERROR(VLOOKUP(E547,Maestro_SKU!$A$2:$P$500,2,FALSE),"")</f>
        <v/>
      </c>
      <c r="G547" s="24"/>
      <c r="H547" s="31" t="str">
        <f>IF(OR(G547="",E547=""),"",G547*IFERROR(VLOOKUP(E547,Maestro_SKU!$A$2:$P$500,12,FALSE),1))</f>
        <v/>
      </c>
      <c r="I547" s="25"/>
      <c r="J547" s="31" t="str">
        <f>IF(A547="","",IF(H547&lt;=Inicio!$B$16,"Crítico",IF(H547&lt;=Inicio!$B$17,"Observar","OK")))</f>
        <v/>
      </c>
      <c r="K547" s="24"/>
    </row>
    <row r="548" spans="1:11" x14ac:dyDescent="0.35">
      <c r="A548" s="24"/>
      <c r="B548" s="31" t="str">
        <f>IFERROR(VLOOKUP(A548,Clientes_PDV!$A$2:$J$250,2,FALSE),"")</f>
        <v/>
      </c>
      <c r="C548" s="31" t="str">
        <f>IFERROR(VLOOKUP(A548,Clientes_PDV!$A$2:$J$250,3,FALSE),"")</f>
        <v/>
      </c>
      <c r="D548" s="31" t="str">
        <f>IFERROR(VLOOKUP(A548,Clientes_PDV!$A$2:$J$250,4,FALSE),"")</f>
        <v/>
      </c>
      <c r="E548" s="24"/>
      <c r="F548" s="31" t="str">
        <f>IFERROR(VLOOKUP(E548,Maestro_SKU!$A$2:$P$500,2,FALSE),"")</f>
        <v/>
      </c>
      <c r="G548" s="24"/>
      <c r="H548" s="31" t="str">
        <f>IF(OR(G548="",E548=""),"",G548*IFERROR(VLOOKUP(E548,Maestro_SKU!$A$2:$P$500,12,FALSE),1))</f>
        <v/>
      </c>
      <c r="I548" s="25"/>
      <c r="J548" s="31" t="str">
        <f>IF(A548="","",IF(H548&lt;=Inicio!$B$16,"Crítico",IF(H548&lt;=Inicio!$B$17,"Observar","OK")))</f>
        <v/>
      </c>
      <c r="K548" s="24"/>
    </row>
    <row r="549" spans="1:11" x14ac:dyDescent="0.35">
      <c r="A549" s="24"/>
      <c r="B549" s="31" t="str">
        <f>IFERROR(VLOOKUP(A549,Clientes_PDV!$A$2:$J$250,2,FALSE),"")</f>
        <v/>
      </c>
      <c r="C549" s="31" t="str">
        <f>IFERROR(VLOOKUP(A549,Clientes_PDV!$A$2:$J$250,3,FALSE),"")</f>
        <v/>
      </c>
      <c r="D549" s="31" t="str">
        <f>IFERROR(VLOOKUP(A549,Clientes_PDV!$A$2:$J$250,4,FALSE),"")</f>
        <v/>
      </c>
      <c r="E549" s="24"/>
      <c r="F549" s="31" t="str">
        <f>IFERROR(VLOOKUP(E549,Maestro_SKU!$A$2:$P$500,2,FALSE),"")</f>
        <v/>
      </c>
      <c r="G549" s="24"/>
      <c r="H549" s="31" t="str">
        <f>IF(OR(G549="",E549=""),"",G549*IFERROR(VLOOKUP(E549,Maestro_SKU!$A$2:$P$500,12,FALSE),1))</f>
        <v/>
      </c>
      <c r="I549" s="25"/>
      <c r="J549" s="31" t="str">
        <f>IF(A549="","",IF(H549&lt;=Inicio!$B$16,"Crítico",IF(H549&lt;=Inicio!$B$17,"Observar","OK")))</f>
        <v/>
      </c>
      <c r="K549" s="24"/>
    </row>
    <row r="550" spans="1:11" x14ac:dyDescent="0.35">
      <c r="A550" s="24"/>
      <c r="B550" s="31" t="str">
        <f>IFERROR(VLOOKUP(A550,Clientes_PDV!$A$2:$J$250,2,FALSE),"")</f>
        <v/>
      </c>
      <c r="C550" s="31" t="str">
        <f>IFERROR(VLOOKUP(A550,Clientes_PDV!$A$2:$J$250,3,FALSE),"")</f>
        <v/>
      </c>
      <c r="D550" s="31" t="str">
        <f>IFERROR(VLOOKUP(A550,Clientes_PDV!$A$2:$J$250,4,FALSE),"")</f>
        <v/>
      </c>
      <c r="E550" s="24"/>
      <c r="F550" s="31" t="str">
        <f>IFERROR(VLOOKUP(E550,Maestro_SKU!$A$2:$P$500,2,FALSE),"")</f>
        <v/>
      </c>
      <c r="G550" s="24"/>
      <c r="H550" s="31" t="str">
        <f>IF(OR(G550="",E550=""),"",G550*IFERROR(VLOOKUP(E550,Maestro_SKU!$A$2:$P$500,12,FALSE),1))</f>
        <v/>
      </c>
      <c r="I550" s="25"/>
      <c r="J550" s="31" t="str">
        <f>IF(A550="","",IF(H550&lt;=Inicio!$B$16,"Crítico",IF(H550&lt;=Inicio!$B$17,"Observar","OK")))</f>
        <v/>
      </c>
      <c r="K550" s="24"/>
    </row>
    <row r="551" spans="1:11" x14ac:dyDescent="0.35">
      <c r="A551" s="24"/>
      <c r="B551" s="31" t="str">
        <f>IFERROR(VLOOKUP(A551,Clientes_PDV!$A$2:$J$250,2,FALSE),"")</f>
        <v/>
      </c>
      <c r="C551" s="31" t="str">
        <f>IFERROR(VLOOKUP(A551,Clientes_PDV!$A$2:$J$250,3,FALSE),"")</f>
        <v/>
      </c>
      <c r="D551" s="31" t="str">
        <f>IFERROR(VLOOKUP(A551,Clientes_PDV!$A$2:$J$250,4,FALSE),"")</f>
        <v/>
      </c>
      <c r="E551" s="24"/>
      <c r="F551" s="31" t="str">
        <f>IFERROR(VLOOKUP(E551,Maestro_SKU!$A$2:$P$500,2,FALSE),"")</f>
        <v/>
      </c>
      <c r="G551" s="24"/>
      <c r="H551" s="31" t="str">
        <f>IF(OR(G551="",E551=""),"",G551*IFERROR(VLOOKUP(E551,Maestro_SKU!$A$2:$P$500,12,FALSE),1))</f>
        <v/>
      </c>
      <c r="I551" s="25"/>
      <c r="J551" s="31" t="str">
        <f>IF(A551="","",IF(H551&lt;=Inicio!$B$16,"Crítico",IF(H551&lt;=Inicio!$B$17,"Observar","OK")))</f>
        <v/>
      </c>
      <c r="K551" s="24"/>
    </row>
    <row r="552" spans="1:11" x14ac:dyDescent="0.35">
      <c r="A552" s="24"/>
      <c r="B552" s="31" t="str">
        <f>IFERROR(VLOOKUP(A552,Clientes_PDV!$A$2:$J$250,2,FALSE),"")</f>
        <v/>
      </c>
      <c r="C552" s="31" t="str">
        <f>IFERROR(VLOOKUP(A552,Clientes_PDV!$A$2:$J$250,3,FALSE),"")</f>
        <v/>
      </c>
      <c r="D552" s="31" t="str">
        <f>IFERROR(VLOOKUP(A552,Clientes_PDV!$A$2:$J$250,4,FALSE),"")</f>
        <v/>
      </c>
      <c r="E552" s="24"/>
      <c r="F552" s="31" t="str">
        <f>IFERROR(VLOOKUP(E552,Maestro_SKU!$A$2:$P$500,2,FALSE),"")</f>
        <v/>
      </c>
      <c r="G552" s="24"/>
      <c r="H552" s="31" t="str">
        <f>IF(OR(G552="",E552=""),"",G552*IFERROR(VLOOKUP(E552,Maestro_SKU!$A$2:$P$500,12,FALSE),1))</f>
        <v/>
      </c>
      <c r="I552" s="25"/>
      <c r="J552" s="31" t="str">
        <f>IF(A552="","",IF(H552&lt;=Inicio!$B$16,"Crítico",IF(H552&lt;=Inicio!$B$17,"Observar","OK")))</f>
        <v/>
      </c>
      <c r="K552" s="24"/>
    </row>
    <row r="553" spans="1:11" x14ac:dyDescent="0.35">
      <c r="A553" s="24"/>
      <c r="B553" s="31" t="str">
        <f>IFERROR(VLOOKUP(A553,Clientes_PDV!$A$2:$J$250,2,FALSE),"")</f>
        <v/>
      </c>
      <c r="C553" s="31" t="str">
        <f>IFERROR(VLOOKUP(A553,Clientes_PDV!$A$2:$J$250,3,FALSE),"")</f>
        <v/>
      </c>
      <c r="D553" s="31" t="str">
        <f>IFERROR(VLOOKUP(A553,Clientes_PDV!$A$2:$J$250,4,FALSE),"")</f>
        <v/>
      </c>
      <c r="E553" s="24"/>
      <c r="F553" s="31" t="str">
        <f>IFERROR(VLOOKUP(E553,Maestro_SKU!$A$2:$P$500,2,FALSE),"")</f>
        <v/>
      </c>
      <c r="G553" s="24"/>
      <c r="H553" s="31" t="str">
        <f>IF(OR(G553="",E553=""),"",G553*IFERROR(VLOOKUP(E553,Maestro_SKU!$A$2:$P$500,12,FALSE),1))</f>
        <v/>
      </c>
      <c r="I553" s="25"/>
      <c r="J553" s="31" t="str">
        <f>IF(A553="","",IF(H553&lt;=Inicio!$B$16,"Crítico",IF(H553&lt;=Inicio!$B$17,"Observar","OK")))</f>
        <v/>
      </c>
      <c r="K553" s="24"/>
    </row>
    <row r="554" spans="1:11" x14ac:dyDescent="0.35">
      <c r="A554" s="24"/>
      <c r="B554" s="31" t="str">
        <f>IFERROR(VLOOKUP(A554,Clientes_PDV!$A$2:$J$250,2,FALSE),"")</f>
        <v/>
      </c>
      <c r="C554" s="31" t="str">
        <f>IFERROR(VLOOKUP(A554,Clientes_PDV!$A$2:$J$250,3,FALSE),"")</f>
        <v/>
      </c>
      <c r="D554" s="31" t="str">
        <f>IFERROR(VLOOKUP(A554,Clientes_PDV!$A$2:$J$250,4,FALSE),"")</f>
        <v/>
      </c>
      <c r="E554" s="24"/>
      <c r="F554" s="31" t="str">
        <f>IFERROR(VLOOKUP(E554,Maestro_SKU!$A$2:$P$500,2,FALSE),"")</f>
        <v/>
      </c>
      <c r="G554" s="24"/>
      <c r="H554" s="31" t="str">
        <f>IF(OR(G554="",E554=""),"",G554*IFERROR(VLOOKUP(E554,Maestro_SKU!$A$2:$P$500,12,FALSE),1))</f>
        <v/>
      </c>
      <c r="I554" s="25"/>
      <c r="J554" s="31" t="str">
        <f>IF(A554="","",IF(H554&lt;=Inicio!$B$16,"Crítico",IF(H554&lt;=Inicio!$B$17,"Observar","OK")))</f>
        <v/>
      </c>
      <c r="K554" s="24"/>
    </row>
    <row r="555" spans="1:11" x14ac:dyDescent="0.35">
      <c r="A555" s="24"/>
      <c r="B555" s="31" t="str">
        <f>IFERROR(VLOOKUP(A555,Clientes_PDV!$A$2:$J$250,2,FALSE),"")</f>
        <v/>
      </c>
      <c r="C555" s="31" t="str">
        <f>IFERROR(VLOOKUP(A555,Clientes_PDV!$A$2:$J$250,3,FALSE),"")</f>
        <v/>
      </c>
      <c r="D555" s="31" t="str">
        <f>IFERROR(VLOOKUP(A555,Clientes_PDV!$A$2:$J$250,4,FALSE),"")</f>
        <v/>
      </c>
      <c r="E555" s="24"/>
      <c r="F555" s="31" t="str">
        <f>IFERROR(VLOOKUP(E555,Maestro_SKU!$A$2:$P$500,2,FALSE),"")</f>
        <v/>
      </c>
      <c r="G555" s="24"/>
      <c r="H555" s="31" t="str">
        <f>IF(OR(G555="",E555=""),"",G555*IFERROR(VLOOKUP(E555,Maestro_SKU!$A$2:$P$500,12,FALSE),1))</f>
        <v/>
      </c>
      <c r="I555" s="25"/>
      <c r="J555" s="31" t="str">
        <f>IF(A555="","",IF(H555&lt;=Inicio!$B$16,"Crítico",IF(H555&lt;=Inicio!$B$17,"Observar","OK")))</f>
        <v/>
      </c>
      <c r="K555" s="24"/>
    </row>
    <row r="556" spans="1:11" x14ac:dyDescent="0.35">
      <c r="A556" s="24"/>
      <c r="B556" s="31" t="str">
        <f>IFERROR(VLOOKUP(A556,Clientes_PDV!$A$2:$J$250,2,FALSE),"")</f>
        <v/>
      </c>
      <c r="C556" s="31" t="str">
        <f>IFERROR(VLOOKUP(A556,Clientes_PDV!$A$2:$J$250,3,FALSE),"")</f>
        <v/>
      </c>
      <c r="D556" s="31" t="str">
        <f>IFERROR(VLOOKUP(A556,Clientes_PDV!$A$2:$J$250,4,FALSE),"")</f>
        <v/>
      </c>
      <c r="E556" s="24"/>
      <c r="F556" s="31" t="str">
        <f>IFERROR(VLOOKUP(E556,Maestro_SKU!$A$2:$P$500,2,FALSE),"")</f>
        <v/>
      </c>
      <c r="G556" s="24"/>
      <c r="H556" s="31" t="str">
        <f>IF(OR(G556="",E556=""),"",G556*IFERROR(VLOOKUP(E556,Maestro_SKU!$A$2:$P$500,12,FALSE),1))</f>
        <v/>
      </c>
      <c r="I556" s="25"/>
      <c r="J556" s="31" t="str">
        <f>IF(A556="","",IF(H556&lt;=Inicio!$B$16,"Crítico",IF(H556&lt;=Inicio!$B$17,"Observar","OK")))</f>
        <v/>
      </c>
      <c r="K556" s="24"/>
    </row>
    <row r="557" spans="1:11" x14ac:dyDescent="0.35">
      <c r="A557" s="24"/>
      <c r="B557" s="31" t="str">
        <f>IFERROR(VLOOKUP(A557,Clientes_PDV!$A$2:$J$250,2,FALSE),"")</f>
        <v/>
      </c>
      <c r="C557" s="31" t="str">
        <f>IFERROR(VLOOKUP(A557,Clientes_PDV!$A$2:$J$250,3,FALSE),"")</f>
        <v/>
      </c>
      <c r="D557" s="31" t="str">
        <f>IFERROR(VLOOKUP(A557,Clientes_PDV!$A$2:$J$250,4,FALSE),"")</f>
        <v/>
      </c>
      <c r="E557" s="24"/>
      <c r="F557" s="31" t="str">
        <f>IFERROR(VLOOKUP(E557,Maestro_SKU!$A$2:$P$500,2,FALSE),"")</f>
        <v/>
      </c>
      <c r="G557" s="24"/>
      <c r="H557" s="31" t="str">
        <f>IF(OR(G557="",E557=""),"",G557*IFERROR(VLOOKUP(E557,Maestro_SKU!$A$2:$P$500,12,FALSE),1))</f>
        <v/>
      </c>
      <c r="I557" s="25"/>
      <c r="J557" s="31" t="str">
        <f>IF(A557="","",IF(H557&lt;=Inicio!$B$16,"Crítico",IF(H557&lt;=Inicio!$B$17,"Observar","OK")))</f>
        <v/>
      </c>
      <c r="K557" s="24"/>
    </row>
    <row r="558" spans="1:11" x14ac:dyDescent="0.35">
      <c r="A558" s="24"/>
      <c r="B558" s="31" t="str">
        <f>IFERROR(VLOOKUP(A558,Clientes_PDV!$A$2:$J$250,2,FALSE),"")</f>
        <v/>
      </c>
      <c r="C558" s="31" t="str">
        <f>IFERROR(VLOOKUP(A558,Clientes_PDV!$A$2:$J$250,3,FALSE),"")</f>
        <v/>
      </c>
      <c r="D558" s="31" t="str">
        <f>IFERROR(VLOOKUP(A558,Clientes_PDV!$A$2:$J$250,4,FALSE),"")</f>
        <v/>
      </c>
      <c r="E558" s="24"/>
      <c r="F558" s="31" t="str">
        <f>IFERROR(VLOOKUP(E558,Maestro_SKU!$A$2:$P$500,2,FALSE),"")</f>
        <v/>
      </c>
      <c r="G558" s="24"/>
      <c r="H558" s="31" t="str">
        <f>IF(OR(G558="",E558=""),"",G558*IFERROR(VLOOKUP(E558,Maestro_SKU!$A$2:$P$500,12,FALSE),1))</f>
        <v/>
      </c>
      <c r="I558" s="25"/>
      <c r="J558" s="31" t="str">
        <f>IF(A558="","",IF(H558&lt;=Inicio!$B$16,"Crítico",IF(H558&lt;=Inicio!$B$17,"Observar","OK")))</f>
        <v/>
      </c>
      <c r="K558" s="24"/>
    </row>
    <row r="559" spans="1:11" x14ac:dyDescent="0.35">
      <c r="A559" s="24"/>
      <c r="B559" s="31" t="str">
        <f>IFERROR(VLOOKUP(A559,Clientes_PDV!$A$2:$J$250,2,FALSE),"")</f>
        <v/>
      </c>
      <c r="C559" s="31" t="str">
        <f>IFERROR(VLOOKUP(A559,Clientes_PDV!$A$2:$J$250,3,FALSE),"")</f>
        <v/>
      </c>
      <c r="D559" s="31" t="str">
        <f>IFERROR(VLOOKUP(A559,Clientes_PDV!$A$2:$J$250,4,FALSE),"")</f>
        <v/>
      </c>
      <c r="E559" s="24"/>
      <c r="F559" s="31" t="str">
        <f>IFERROR(VLOOKUP(E559,Maestro_SKU!$A$2:$P$500,2,FALSE),"")</f>
        <v/>
      </c>
      <c r="G559" s="24"/>
      <c r="H559" s="31" t="str">
        <f>IF(OR(G559="",E559=""),"",G559*IFERROR(VLOOKUP(E559,Maestro_SKU!$A$2:$P$500,12,FALSE),1))</f>
        <v/>
      </c>
      <c r="I559" s="25"/>
      <c r="J559" s="31" t="str">
        <f>IF(A559="","",IF(H559&lt;=Inicio!$B$16,"Crítico",IF(H559&lt;=Inicio!$B$17,"Observar","OK")))</f>
        <v/>
      </c>
      <c r="K559" s="24"/>
    </row>
    <row r="560" spans="1:11" x14ac:dyDescent="0.35">
      <c r="A560" s="24"/>
      <c r="B560" s="31" t="str">
        <f>IFERROR(VLOOKUP(A560,Clientes_PDV!$A$2:$J$250,2,FALSE),"")</f>
        <v/>
      </c>
      <c r="C560" s="31" t="str">
        <f>IFERROR(VLOOKUP(A560,Clientes_PDV!$A$2:$J$250,3,FALSE),"")</f>
        <v/>
      </c>
      <c r="D560" s="31" t="str">
        <f>IFERROR(VLOOKUP(A560,Clientes_PDV!$A$2:$J$250,4,FALSE),"")</f>
        <v/>
      </c>
      <c r="E560" s="24"/>
      <c r="F560" s="31" t="str">
        <f>IFERROR(VLOOKUP(E560,Maestro_SKU!$A$2:$P$500,2,FALSE),"")</f>
        <v/>
      </c>
      <c r="G560" s="24"/>
      <c r="H560" s="31" t="str">
        <f>IF(OR(G560="",E560=""),"",G560*IFERROR(VLOOKUP(E560,Maestro_SKU!$A$2:$P$500,12,FALSE),1))</f>
        <v/>
      </c>
      <c r="I560" s="25"/>
      <c r="J560" s="31" t="str">
        <f>IF(A560="","",IF(H560&lt;=Inicio!$B$16,"Crítico",IF(H560&lt;=Inicio!$B$17,"Observar","OK")))</f>
        <v/>
      </c>
      <c r="K560" s="24"/>
    </row>
    <row r="561" spans="1:11" x14ac:dyDescent="0.35">
      <c r="A561" s="24"/>
      <c r="B561" s="31" t="str">
        <f>IFERROR(VLOOKUP(A561,Clientes_PDV!$A$2:$J$250,2,FALSE),"")</f>
        <v/>
      </c>
      <c r="C561" s="31" t="str">
        <f>IFERROR(VLOOKUP(A561,Clientes_PDV!$A$2:$J$250,3,FALSE),"")</f>
        <v/>
      </c>
      <c r="D561" s="31" t="str">
        <f>IFERROR(VLOOKUP(A561,Clientes_PDV!$A$2:$J$250,4,FALSE),"")</f>
        <v/>
      </c>
      <c r="E561" s="24"/>
      <c r="F561" s="31" t="str">
        <f>IFERROR(VLOOKUP(E561,Maestro_SKU!$A$2:$P$500,2,FALSE),"")</f>
        <v/>
      </c>
      <c r="G561" s="24"/>
      <c r="H561" s="31" t="str">
        <f>IF(OR(G561="",E561=""),"",G561*IFERROR(VLOOKUP(E561,Maestro_SKU!$A$2:$P$500,12,FALSE),1))</f>
        <v/>
      </c>
      <c r="I561" s="25"/>
      <c r="J561" s="31" t="str">
        <f>IF(A561="","",IF(H561&lt;=Inicio!$B$16,"Crítico",IF(H561&lt;=Inicio!$B$17,"Observar","OK")))</f>
        <v/>
      </c>
      <c r="K561" s="24"/>
    </row>
    <row r="562" spans="1:11" x14ac:dyDescent="0.35">
      <c r="A562" s="24"/>
      <c r="B562" s="31" t="str">
        <f>IFERROR(VLOOKUP(A562,Clientes_PDV!$A$2:$J$250,2,FALSE),"")</f>
        <v/>
      </c>
      <c r="C562" s="31" t="str">
        <f>IFERROR(VLOOKUP(A562,Clientes_PDV!$A$2:$J$250,3,FALSE),"")</f>
        <v/>
      </c>
      <c r="D562" s="31" t="str">
        <f>IFERROR(VLOOKUP(A562,Clientes_PDV!$A$2:$J$250,4,FALSE),"")</f>
        <v/>
      </c>
      <c r="E562" s="24"/>
      <c r="F562" s="31" t="str">
        <f>IFERROR(VLOOKUP(E562,Maestro_SKU!$A$2:$P$500,2,FALSE),"")</f>
        <v/>
      </c>
      <c r="G562" s="24"/>
      <c r="H562" s="31" t="str">
        <f>IF(OR(G562="",E562=""),"",G562*IFERROR(VLOOKUP(E562,Maestro_SKU!$A$2:$P$500,12,FALSE),1))</f>
        <v/>
      </c>
      <c r="I562" s="25"/>
      <c r="J562" s="31" t="str">
        <f>IF(A562="","",IF(H562&lt;=Inicio!$B$16,"Crítico",IF(H562&lt;=Inicio!$B$17,"Observar","OK")))</f>
        <v/>
      </c>
      <c r="K562" s="24"/>
    </row>
    <row r="563" spans="1:11" x14ac:dyDescent="0.35">
      <c r="A563" s="24"/>
      <c r="B563" s="31" t="str">
        <f>IFERROR(VLOOKUP(A563,Clientes_PDV!$A$2:$J$250,2,FALSE),"")</f>
        <v/>
      </c>
      <c r="C563" s="31" t="str">
        <f>IFERROR(VLOOKUP(A563,Clientes_PDV!$A$2:$J$250,3,FALSE),"")</f>
        <v/>
      </c>
      <c r="D563" s="31" t="str">
        <f>IFERROR(VLOOKUP(A563,Clientes_PDV!$A$2:$J$250,4,FALSE),"")</f>
        <v/>
      </c>
      <c r="E563" s="24"/>
      <c r="F563" s="31" t="str">
        <f>IFERROR(VLOOKUP(E563,Maestro_SKU!$A$2:$P$500,2,FALSE),"")</f>
        <v/>
      </c>
      <c r="G563" s="24"/>
      <c r="H563" s="31" t="str">
        <f>IF(OR(G563="",E563=""),"",G563*IFERROR(VLOOKUP(E563,Maestro_SKU!$A$2:$P$500,12,FALSE),1))</f>
        <v/>
      </c>
      <c r="I563" s="25"/>
      <c r="J563" s="31" t="str">
        <f>IF(A563="","",IF(H563&lt;=Inicio!$B$16,"Crítico",IF(H563&lt;=Inicio!$B$17,"Observar","OK")))</f>
        <v/>
      </c>
      <c r="K563" s="24"/>
    </row>
    <row r="564" spans="1:11" x14ac:dyDescent="0.35">
      <c r="A564" s="24"/>
      <c r="B564" s="31" t="str">
        <f>IFERROR(VLOOKUP(A564,Clientes_PDV!$A$2:$J$250,2,FALSE),"")</f>
        <v/>
      </c>
      <c r="C564" s="31" t="str">
        <f>IFERROR(VLOOKUP(A564,Clientes_PDV!$A$2:$J$250,3,FALSE),"")</f>
        <v/>
      </c>
      <c r="D564" s="31" t="str">
        <f>IFERROR(VLOOKUP(A564,Clientes_PDV!$A$2:$J$250,4,FALSE),"")</f>
        <v/>
      </c>
      <c r="E564" s="24"/>
      <c r="F564" s="31" t="str">
        <f>IFERROR(VLOOKUP(E564,Maestro_SKU!$A$2:$P$500,2,FALSE),"")</f>
        <v/>
      </c>
      <c r="G564" s="24"/>
      <c r="H564" s="31" t="str">
        <f>IF(OR(G564="",E564=""),"",G564*IFERROR(VLOOKUP(E564,Maestro_SKU!$A$2:$P$500,12,FALSE),1))</f>
        <v/>
      </c>
      <c r="I564" s="25"/>
      <c r="J564" s="31" t="str">
        <f>IF(A564="","",IF(H564&lt;=Inicio!$B$16,"Crítico",IF(H564&lt;=Inicio!$B$17,"Observar","OK")))</f>
        <v/>
      </c>
      <c r="K564" s="24"/>
    </row>
    <row r="565" spans="1:11" x14ac:dyDescent="0.35">
      <c r="A565" s="24"/>
      <c r="B565" s="31" t="str">
        <f>IFERROR(VLOOKUP(A565,Clientes_PDV!$A$2:$J$250,2,FALSE),"")</f>
        <v/>
      </c>
      <c r="C565" s="31" t="str">
        <f>IFERROR(VLOOKUP(A565,Clientes_PDV!$A$2:$J$250,3,FALSE),"")</f>
        <v/>
      </c>
      <c r="D565" s="31" t="str">
        <f>IFERROR(VLOOKUP(A565,Clientes_PDV!$A$2:$J$250,4,FALSE),"")</f>
        <v/>
      </c>
      <c r="E565" s="24"/>
      <c r="F565" s="31" t="str">
        <f>IFERROR(VLOOKUP(E565,Maestro_SKU!$A$2:$P$500,2,FALSE),"")</f>
        <v/>
      </c>
      <c r="G565" s="24"/>
      <c r="H565" s="31" t="str">
        <f>IF(OR(G565="",E565=""),"",G565*IFERROR(VLOOKUP(E565,Maestro_SKU!$A$2:$P$500,12,FALSE),1))</f>
        <v/>
      </c>
      <c r="I565" s="25"/>
      <c r="J565" s="31" t="str">
        <f>IF(A565="","",IF(H565&lt;=Inicio!$B$16,"Crítico",IF(H565&lt;=Inicio!$B$17,"Observar","OK")))</f>
        <v/>
      </c>
      <c r="K565" s="24"/>
    </row>
    <row r="566" spans="1:11" x14ac:dyDescent="0.35">
      <c r="A566" s="24"/>
      <c r="B566" s="31" t="str">
        <f>IFERROR(VLOOKUP(A566,Clientes_PDV!$A$2:$J$250,2,FALSE),"")</f>
        <v/>
      </c>
      <c r="C566" s="31" t="str">
        <f>IFERROR(VLOOKUP(A566,Clientes_PDV!$A$2:$J$250,3,FALSE),"")</f>
        <v/>
      </c>
      <c r="D566" s="31" t="str">
        <f>IFERROR(VLOOKUP(A566,Clientes_PDV!$A$2:$J$250,4,FALSE),"")</f>
        <v/>
      </c>
      <c r="E566" s="24"/>
      <c r="F566" s="31" t="str">
        <f>IFERROR(VLOOKUP(E566,Maestro_SKU!$A$2:$P$500,2,FALSE),"")</f>
        <v/>
      </c>
      <c r="G566" s="24"/>
      <c r="H566" s="31" t="str">
        <f>IF(OR(G566="",E566=""),"",G566*IFERROR(VLOOKUP(E566,Maestro_SKU!$A$2:$P$500,12,FALSE),1))</f>
        <v/>
      </c>
      <c r="I566" s="25"/>
      <c r="J566" s="31" t="str">
        <f>IF(A566="","",IF(H566&lt;=Inicio!$B$16,"Crítico",IF(H566&lt;=Inicio!$B$17,"Observar","OK")))</f>
        <v/>
      </c>
      <c r="K566" s="24"/>
    </row>
    <row r="567" spans="1:11" x14ac:dyDescent="0.35">
      <c r="A567" s="24"/>
      <c r="B567" s="31" t="str">
        <f>IFERROR(VLOOKUP(A567,Clientes_PDV!$A$2:$J$250,2,FALSE),"")</f>
        <v/>
      </c>
      <c r="C567" s="31" t="str">
        <f>IFERROR(VLOOKUP(A567,Clientes_PDV!$A$2:$J$250,3,FALSE),"")</f>
        <v/>
      </c>
      <c r="D567" s="31" t="str">
        <f>IFERROR(VLOOKUP(A567,Clientes_PDV!$A$2:$J$250,4,FALSE),"")</f>
        <v/>
      </c>
      <c r="E567" s="24"/>
      <c r="F567" s="31" t="str">
        <f>IFERROR(VLOOKUP(E567,Maestro_SKU!$A$2:$P$500,2,FALSE),"")</f>
        <v/>
      </c>
      <c r="G567" s="24"/>
      <c r="H567" s="31" t="str">
        <f>IF(OR(G567="",E567=""),"",G567*IFERROR(VLOOKUP(E567,Maestro_SKU!$A$2:$P$500,12,FALSE),1))</f>
        <v/>
      </c>
      <c r="I567" s="25"/>
      <c r="J567" s="31" t="str">
        <f>IF(A567="","",IF(H567&lt;=Inicio!$B$16,"Crítico",IF(H567&lt;=Inicio!$B$17,"Observar","OK")))</f>
        <v/>
      </c>
      <c r="K567" s="24"/>
    </row>
    <row r="568" spans="1:11" x14ac:dyDescent="0.35">
      <c r="A568" s="24"/>
      <c r="B568" s="31" t="str">
        <f>IFERROR(VLOOKUP(A568,Clientes_PDV!$A$2:$J$250,2,FALSE),"")</f>
        <v/>
      </c>
      <c r="C568" s="31" t="str">
        <f>IFERROR(VLOOKUP(A568,Clientes_PDV!$A$2:$J$250,3,FALSE),"")</f>
        <v/>
      </c>
      <c r="D568" s="31" t="str">
        <f>IFERROR(VLOOKUP(A568,Clientes_PDV!$A$2:$J$250,4,FALSE),"")</f>
        <v/>
      </c>
      <c r="E568" s="24"/>
      <c r="F568" s="31" t="str">
        <f>IFERROR(VLOOKUP(E568,Maestro_SKU!$A$2:$P$500,2,FALSE),"")</f>
        <v/>
      </c>
      <c r="G568" s="24"/>
      <c r="H568" s="31" t="str">
        <f>IF(OR(G568="",E568=""),"",G568*IFERROR(VLOOKUP(E568,Maestro_SKU!$A$2:$P$500,12,FALSE),1))</f>
        <v/>
      </c>
      <c r="I568" s="25"/>
      <c r="J568" s="31" t="str">
        <f>IF(A568="","",IF(H568&lt;=Inicio!$B$16,"Crítico",IF(H568&lt;=Inicio!$B$17,"Observar","OK")))</f>
        <v/>
      </c>
      <c r="K568" s="24"/>
    </row>
    <row r="569" spans="1:11" x14ac:dyDescent="0.35">
      <c r="A569" s="24"/>
      <c r="B569" s="31" t="str">
        <f>IFERROR(VLOOKUP(A569,Clientes_PDV!$A$2:$J$250,2,FALSE),"")</f>
        <v/>
      </c>
      <c r="C569" s="31" t="str">
        <f>IFERROR(VLOOKUP(A569,Clientes_PDV!$A$2:$J$250,3,FALSE),"")</f>
        <v/>
      </c>
      <c r="D569" s="31" t="str">
        <f>IFERROR(VLOOKUP(A569,Clientes_PDV!$A$2:$J$250,4,FALSE),"")</f>
        <v/>
      </c>
      <c r="E569" s="24"/>
      <c r="F569" s="31" t="str">
        <f>IFERROR(VLOOKUP(E569,Maestro_SKU!$A$2:$P$500,2,FALSE),"")</f>
        <v/>
      </c>
      <c r="G569" s="24"/>
      <c r="H569" s="31" t="str">
        <f>IF(OR(G569="",E569=""),"",G569*IFERROR(VLOOKUP(E569,Maestro_SKU!$A$2:$P$500,12,FALSE),1))</f>
        <v/>
      </c>
      <c r="I569" s="25"/>
      <c r="J569" s="31" t="str">
        <f>IF(A569="","",IF(H569&lt;=Inicio!$B$16,"Crítico",IF(H569&lt;=Inicio!$B$17,"Observar","OK")))</f>
        <v/>
      </c>
      <c r="K569" s="24"/>
    </row>
    <row r="570" spans="1:11" x14ac:dyDescent="0.35">
      <c r="A570" s="24"/>
      <c r="B570" s="31" t="str">
        <f>IFERROR(VLOOKUP(A570,Clientes_PDV!$A$2:$J$250,2,FALSE),"")</f>
        <v/>
      </c>
      <c r="C570" s="31" t="str">
        <f>IFERROR(VLOOKUP(A570,Clientes_PDV!$A$2:$J$250,3,FALSE),"")</f>
        <v/>
      </c>
      <c r="D570" s="31" t="str">
        <f>IFERROR(VLOOKUP(A570,Clientes_PDV!$A$2:$J$250,4,FALSE),"")</f>
        <v/>
      </c>
      <c r="E570" s="24"/>
      <c r="F570" s="31" t="str">
        <f>IFERROR(VLOOKUP(E570,Maestro_SKU!$A$2:$P$500,2,FALSE),"")</f>
        <v/>
      </c>
      <c r="G570" s="24"/>
      <c r="H570" s="31" t="str">
        <f>IF(OR(G570="",E570=""),"",G570*IFERROR(VLOOKUP(E570,Maestro_SKU!$A$2:$P$500,12,FALSE),1))</f>
        <v/>
      </c>
      <c r="I570" s="25"/>
      <c r="J570" s="31" t="str">
        <f>IF(A570="","",IF(H570&lt;=Inicio!$B$16,"Crítico",IF(H570&lt;=Inicio!$B$17,"Observar","OK")))</f>
        <v/>
      </c>
      <c r="K570" s="24"/>
    </row>
    <row r="571" spans="1:11" x14ac:dyDescent="0.35">
      <c r="A571" s="24"/>
      <c r="B571" s="31" t="str">
        <f>IFERROR(VLOOKUP(A571,Clientes_PDV!$A$2:$J$250,2,FALSE),"")</f>
        <v/>
      </c>
      <c r="C571" s="31" t="str">
        <f>IFERROR(VLOOKUP(A571,Clientes_PDV!$A$2:$J$250,3,FALSE),"")</f>
        <v/>
      </c>
      <c r="D571" s="31" t="str">
        <f>IFERROR(VLOOKUP(A571,Clientes_PDV!$A$2:$J$250,4,FALSE),"")</f>
        <v/>
      </c>
      <c r="E571" s="24"/>
      <c r="F571" s="31" t="str">
        <f>IFERROR(VLOOKUP(E571,Maestro_SKU!$A$2:$P$500,2,FALSE),"")</f>
        <v/>
      </c>
      <c r="G571" s="24"/>
      <c r="H571" s="31" t="str">
        <f>IF(OR(G571="",E571=""),"",G571*IFERROR(VLOOKUP(E571,Maestro_SKU!$A$2:$P$500,12,FALSE),1))</f>
        <v/>
      </c>
      <c r="I571" s="25"/>
      <c r="J571" s="31" t="str">
        <f>IF(A571="","",IF(H571&lt;=Inicio!$B$16,"Crítico",IF(H571&lt;=Inicio!$B$17,"Observar","OK")))</f>
        <v/>
      </c>
      <c r="K571" s="24"/>
    </row>
    <row r="572" spans="1:11" x14ac:dyDescent="0.35">
      <c r="A572" s="24"/>
      <c r="B572" s="31" t="str">
        <f>IFERROR(VLOOKUP(A572,Clientes_PDV!$A$2:$J$250,2,FALSE),"")</f>
        <v/>
      </c>
      <c r="C572" s="31" t="str">
        <f>IFERROR(VLOOKUP(A572,Clientes_PDV!$A$2:$J$250,3,FALSE),"")</f>
        <v/>
      </c>
      <c r="D572" s="31" t="str">
        <f>IFERROR(VLOOKUP(A572,Clientes_PDV!$A$2:$J$250,4,FALSE),"")</f>
        <v/>
      </c>
      <c r="E572" s="24"/>
      <c r="F572" s="31" t="str">
        <f>IFERROR(VLOOKUP(E572,Maestro_SKU!$A$2:$P$500,2,FALSE),"")</f>
        <v/>
      </c>
      <c r="G572" s="24"/>
      <c r="H572" s="31" t="str">
        <f>IF(OR(G572="",E572=""),"",G572*IFERROR(VLOOKUP(E572,Maestro_SKU!$A$2:$P$500,12,FALSE),1))</f>
        <v/>
      </c>
      <c r="I572" s="25"/>
      <c r="J572" s="31" t="str">
        <f>IF(A572="","",IF(H572&lt;=Inicio!$B$16,"Crítico",IF(H572&lt;=Inicio!$B$17,"Observar","OK")))</f>
        <v/>
      </c>
      <c r="K572" s="24"/>
    </row>
    <row r="573" spans="1:11" x14ac:dyDescent="0.35">
      <c r="A573" s="24"/>
      <c r="B573" s="31" t="str">
        <f>IFERROR(VLOOKUP(A573,Clientes_PDV!$A$2:$J$250,2,FALSE),"")</f>
        <v/>
      </c>
      <c r="C573" s="31" t="str">
        <f>IFERROR(VLOOKUP(A573,Clientes_PDV!$A$2:$J$250,3,FALSE),"")</f>
        <v/>
      </c>
      <c r="D573" s="31" t="str">
        <f>IFERROR(VLOOKUP(A573,Clientes_PDV!$A$2:$J$250,4,FALSE),"")</f>
        <v/>
      </c>
      <c r="E573" s="24"/>
      <c r="F573" s="31" t="str">
        <f>IFERROR(VLOOKUP(E573,Maestro_SKU!$A$2:$P$500,2,FALSE),"")</f>
        <v/>
      </c>
      <c r="G573" s="24"/>
      <c r="H573" s="31" t="str">
        <f>IF(OR(G573="",E573=""),"",G573*IFERROR(VLOOKUP(E573,Maestro_SKU!$A$2:$P$500,12,FALSE),1))</f>
        <v/>
      </c>
      <c r="I573" s="25"/>
      <c r="J573" s="31" t="str">
        <f>IF(A573="","",IF(H573&lt;=Inicio!$B$16,"Crítico",IF(H573&lt;=Inicio!$B$17,"Observar","OK")))</f>
        <v/>
      </c>
      <c r="K573" s="24"/>
    </row>
    <row r="574" spans="1:11" x14ac:dyDescent="0.35">
      <c r="A574" s="24"/>
      <c r="B574" s="31" t="str">
        <f>IFERROR(VLOOKUP(A574,Clientes_PDV!$A$2:$J$250,2,FALSE),"")</f>
        <v/>
      </c>
      <c r="C574" s="31" t="str">
        <f>IFERROR(VLOOKUP(A574,Clientes_PDV!$A$2:$J$250,3,FALSE),"")</f>
        <v/>
      </c>
      <c r="D574" s="31" t="str">
        <f>IFERROR(VLOOKUP(A574,Clientes_PDV!$A$2:$J$250,4,FALSE),"")</f>
        <v/>
      </c>
      <c r="E574" s="24"/>
      <c r="F574" s="31" t="str">
        <f>IFERROR(VLOOKUP(E574,Maestro_SKU!$A$2:$P$500,2,FALSE),"")</f>
        <v/>
      </c>
      <c r="G574" s="24"/>
      <c r="H574" s="31" t="str">
        <f>IF(OR(G574="",E574=""),"",G574*IFERROR(VLOOKUP(E574,Maestro_SKU!$A$2:$P$500,12,FALSE),1))</f>
        <v/>
      </c>
      <c r="I574" s="25"/>
      <c r="J574" s="31" t="str">
        <f>IF(A574="","",IF(H574&lt;=Inicio!$B$16,"Crítico",IF(H574&lt;=Inicio!$B$17,"Observar","OK")))</f>
        <v/>
      </c>
      <c r="K574" s="24"/>
    </row>
    <row r="575" spans="1:11" x14ac:dyDescent="0.35">
      <c r="A575" s="24"/>
      <c r="B575" s="31" t="str">
        <f>IFERROR(VLOOKUP(A575,Clientes_PDV!$A$2:$J$250,2,FALSE),"")</f>
        <v/>
      </c>
      <c r="C575" s="31" t="str">
        <f>IFERROR(VLOOKUP(A575,Clientes_PDV!$A$2:$J$250,3,FALSE),"")</f>
        <v/>
      </c>
      <c r="D575" s="31" t="str">
        <f>IFERROR(VLOOKUP(A575,Clientes_PDV!$A$2:$J$250,4,FALSE),"")</f>
        <v/>
      </c>
      <c r="E575" s="24"/>
      <c r="F575" s="31" t="str">
        <f>IFERROR(VLOOKUP(E575,Maestro_SKU!$A$2:$P$500,2,FALSE),"")</f>
        <v/>
      </c>
      <c r="G575" s="24"/>
      <c r="H575" s="31" t="str">
        <f>IF(OR(G575="",E575=""),"",G575*IFERROR(VLOOKUP(E575,Maestro_SKU!$A$2:$P$500,12,FALSE),1))</f>
        <v/>
      </c>
      <c r="I575" s="25"/>
      <c r="J575" s="31" t="str">
        <f>IF(A575="","",IF(H575&lt;=Inicio!$B$16,"Crítico",IF(H575&lt;=Inicio!$B$17,"Observar","OK")))</f>
        <v/>
      </c>
      <c r="K575" s="24"/>
    </row>
    <row r="576" spans="1:11" x14ac:dyDescent="0.35">
      <c r="A576" s="24"/>
      <c r="B576" s="31" t="str">
        <f>IFERROR(VLOOKUP(A576,Clientes_PDV!$A$2:$J$250,2,FALSE),"")</f>
        <v/>
      </c>
      <c r="C576" s="31" t="str">
        <f>IFERROR(VLOOKUP(A576,Clientes_PDV!$A$2:$J$250,3,FALSE),"")</f>
        <v/>
      </c>
      <c r="D576" s="31" t="str">
        <f>IFERROR(VLOOKUP(A576,Clientes_PDV!$A$2:$J$250,4,FALSE),"")</f>
        <v/>
      </c>
      <c r="E576" s="24"/>
      <c r="F576" s="31" t="str">
        <f>IFERROR(VLOOKUP(E576,Maestro_SKU!$A$2:$P$500,2,FALSE),"")</f>
        <v/>
      </c>
      <c r="G576" s="24"/>
      <c r="H576" s="31" t="str">
        <f>IF(OR(G576="",E576=""),"",G576*IFERROR(VLOOKUP(E576,Maestro_SKU!$A$2:$P$500,12,FALSE),1))</f>
        <v/>
      </c>
      <c r="I576" s="25"/>
      <c r="J576" s="31" t="str">
        <f>IF(A576="","",IF(H576&lt;=Inicio!$B$16,"Crítico",IF(H576&lt;=Inicio!$B$17,"Observar","OK")))</f>
        <v/>
      </c>
      <c r="K576" s="24"/>
    </row>
    <row r="577" spans="1:11" x14ac:dyDescent="0.35">
      <c r="A577" s="24"/>
      <c r="B577" s="31" t="str">
        <f>IFERROR(VLOOKUP(A577,Clientes_PDV!$A$2:$J$250,2,FALSE),"")</f>
        <v/>
      </c>
      <c r="C577" s="31" t="str">
        <f>IFERROR(VLOOKUP(A577,Clientes_PDV!$A$2:$J$250,3,FALSE),"")</f>
        <v/>
      </c>
      <c r="D577" s="31" t="str">
        <f>IFERROR(VLOOKUP(A577,Clientes_PDV!$A$2:$J$250,4,FALSE),"")</f>
        <v/>
      </c>
      <c r="E577" s="24"/>
      <c r="F577" s="31" t="str">
        <f>IFERROR(VLOOKUP(E577,Maestro_SKU!$A$2:$P$500,2,FALSE),"")</f>
        <v/>
      </c>
      <c r="G577" s="24"/>
      <c r="H577" s="31" t="str">
        <f>IF(OR(G577="",E577=""),"",G577*IFERROR(VLOOKUP(E577,Maestro_SKU!$A$2:$P$500,12,FALSE),1))</f>
        <v/>
      </c>
      <c r="I577" s="25"/>
      <c r="J577" s="31" t="str">
        <f>IF(A577="","",IF(H577&lt;=Inicio!$B$16,"Crítico",IF(H577&lt;=Inicio!$B$17,"Observar","OK")))</f>
        <v/>
      </c>
      <c r="K577" s="24"/>
    </row>
    <row r="578" spans="1:11" x14ac:dyDescent="0.35">
      <c r="A578" s="24"/>
      <c r="B578" s="31" t="str">
        <f>IFERROR(VLOOKUP(A578,Clientes_PDV!$A$2:$J$250,2,FALSE),"")</f>
        <v/>
      </c>
      <c r="C578" s="31" t="str">
        <f>IFERROR(VLOOKUP(A578,Clientes_PDV!$A$2:$J$250,3,FALSE),"")</f>
        <v/>
      </c>
      <c r="D578" s="31" t="str">
        <f>IFERROR(VLOOKUP(A578,Clientes_PDV!$A$2:$J$250,4,FALSE),"")</f>
        <v/>
      </c>
      <c r="E578" s="24"/>
      <c r="F578" s="31" t="str">
        <f>IFERROR(VLOOKUP(E578,Maestro_SKU!$A$2:$P$500,2,FALSE),"")</f>
        <v/>
      </c>
      <c r="G578" s="24"/>
      <c r="H578" s="31" t="str">
        <f>IF(OR(G578="",E578=""),"",G578*IFERROR(VLOOKUP(E578,Maestro_SKU!$A$2:$P$500,12,FALSE),1))</f>
        <v/>
      </c>
      <c r="I578" s="25"/>
      <c r="J578" s="31" t="str">
        <f>IF(A578="","",IF(H578&lt;=Inicio!$B$16,"Crítico",IF(H578&lt;=Inicio!$B$17,"Observar","OK")))</f>
        <v/>
      </c>
      <c r="K578" s="24"/>
    </row>
    <row r="579" spans="1:11" x14ac:dyDescent="0.35">
      <c r="A579" s="24"/>
      <c r="B579" s="31" t="str">
        <f>IFERROR(VLOOKUP(A579,Clientes_PDV!$A$2:$J$250,2,FALSE),"")</f>
        <v/>
      </c>
      <c r="C579" s="31" t="str">
        <f>IFERROR(VLOOKUP(A579,Clientes_PDV!$A$2:$J$250,3,FALSE),"")</f>
        <v/>
      </c>
      <c r="D579" s="31" t="str">
        <f>IFERROR(VLOOKUP(A579,Clientes_PDV!$A$2:$J$250,4,FALSE),"")</f>
        <v/>
      </c>
      <c r="E579" s="24"/>
      <c r="F579" s="31" t="str">
        <f>IFERROR(VLOOKUP(E579,Maestro_SKU!$A$2:$P$500,2,FALSE),"")</f>
        <v/>
      </c>
      <c r="G579" s="24"/>
      <c r="H579" s="31" t="str">
        <f>IF(OR(G579="",E579=""),"",G579*IFERROR(VLOOKUP(E579,Maestro_SKU!$A$2:$P$500,12,FALSE),1))</f>
        <v/>
      </c>
      <c r="I579" s="25"/>
      <c r="J579" s="31" t="str">
        <f>IF(A579="","",IF(H579&lt;=Inicio!$B$16,"Crítico",IF(H579&lt;=Inicio!$B$17,"Observar","OK")))</f>
        <v/>
      </c>
      <c r="K579" s="24"/>
    </row>
    <row r="580" spans="1:11" x14ac:dyDescent="0.35">
      <c r="A580" s="24"/>
      <c r="B580" s="31" t="str">
        <f>IFERROR(VLOOKUP(A580,Clientes_PDV!$A$2:$J$250,2,FALSE),"")</f>
        <v/>
      </c>
      <c r="C580" s="31" t="str">
        <f>IFERROR(VLOOKUP(A580,Clientes_PDV!$A$2:$J$250,3,FALSE),"")</f>
        <v/>
      </c>
      <c r="D580" s="31" t="str">
        <f>IFERROR(VLOOKUP(A580,Clientes_PDV!$A$2:$J$250,4,FALSE),"")</f>
        <v/>
      </c>
      <c r="E580" s="24"/>
      <c r="F580" s="31" t="str">
        <f>IFERROR(VLOOKUP(E580,Maestro_SKU!$A$2:$P$500,2,FALSE),"")</f>
        <v/>
      </c>
      <c r="G580" s="24"/>
      <c r="H580" s="31" t="str">
        <f>IF(OR(G580="",E580=""),"",G580*IFERROR(VLOOKUP(E580,Maestro_SKU!$A$2:$P$500,12,FALSE),1))</f>
        <v/>
      </c>
      <c r="I580" s="25"/>
      <c r="J580" s="31" t="str">
        <f>IF(A580="","",IF(H580&lt;=Inicio!$B$16,"Crítico",IF(H580&lt;=Inicio!$B$17,"Observar","OK")))</f>
        <v/>
      </c>
      <c r="K580" s="24"/>
    </row>
    <row r="581" spans="1:11" x14ac:dyDescent="0.35">
      <c r="A581" s="24"/>
      <c r="B581" s="31" t="str">
        <f>IFERROR(VLOOKUP(A581,Clientes_PDV!$A$2:$J$250,2,FALSE),"")</f>
        <v/>
      </c>
      <c r="C581" s="31" t="str">
        <f>IFERROR(VLOOKUP(A581,Clientes_PDV!$A$2:$J$250,3,FALSE),"")</f>
        <v/>
      </c>
      <c r="D581" s="31" t="str">
        <f>IFERROR(VLOOKUP(A581,Clientes_PDV!$A$2:$J$250,4,FALSE),"")</f>
        <v/>
      </c>
      <c r="E581" s="24"/>
      <c r="F581" s="31" t="str">
        <f>IFERROR(VLOOKUP(E581,Maestro_SKU!$A$2:$P$500,2,FALSE),"")</f>
        <v/>
      </c>
      <c r="G581" s="24"/>
      <c r="H581" s="31" t="str">
        <f>IF(OR(G581="",E581=""),"",G581*IFERROR(VLOOKUP(E581,Maestro_SKU!$A$2:$P$500,12,FALSE),1))</f>
        <v/>
      </c>
      <c r="I581" s="25"/>
      <c r="J581" s="31" t="str">
        <f>IF(A581="","",IF(H581&lt;=Inicio!$B$16,"Crítico",IF(H581&lt;=Inicio!$B$17,"Observar","OK")))</f>
        <v/>
      </c>
      <c r="K581" s="24"/>
    </row>
    <row r="582" spans="1:11" x14ac:dyDescent="0.35">
      <c r="A582" s="24"/>
      <c r="B582" s="31" t="str">
        <f>IFERROR(VLOOKUP(A582,Clientes_PDV!$A$2:$J$250,2,FALSE),"")</f>
        <v/>
      </c>
      <c r="C582" s="31" t="str">
        <f>IFERROR(VLOOKUP(A582,Clientes_PDV!$A$2:$J$250,3,FALSE),"")</f>
        <v/>
      </c>
      <c r="D582" s="31" t="str">
        <f>IFERROR(VLOOKUP(A582,Clientes_PDV!$A$2:$J$250,4,FALSE),"")</f>
        <v/>
      </c>
      <c r="E582" s="24"/>
      <c r="F582" s="31" t="str">
        <f>IFERROR(VLOOKUP(E582,Maestro_SKU!$A$2:$P$500,2,FALSE),"")</f>
        <v/>
      </c>
      <c r="G582" s="24"/>
      <c r="H582" s="31" t="str">
        <f>IF(OR(G582="",E582=""),"",G582*IFERROR(VLOOKUP(E582,Maestro_SKU!$A$2:$P$500,12,FALSE),1))</f>
        <v/>
      </c>
      <c r="I582" s="25"/>
      <c r="J582" s="31" t="str">
        <f>IF(A582="","",IF(H582&lt;=Inicio!$B$16,"Crítico",IF(H582&lt;=Inicio!$B$17,"Observar","OK")))</f>
        <v/>
      </c>
      <c r="K582" s="24"/>
    </row>
    <row r="583" spans="1:11" x14ac:dyDescent="0.35">
      <c r="A583" s="24"/>
      <c r="B583" s="31" t="str">
        <f>IFERROR(VLOOKUP(A583,Clientes_PDV!$A$2:$J$250,2,FALSE),"")</f>
        <v/>
      </c>
      <c r="C583" s="31" t="str">
        <f>IFERROR(VLOOKUP(A583,Clientes_PDV!$A$2:$J$250,3,FALSE),"")</f>
        <v/>
      </c>
      <c r="D583" s="31" t="str">
        <f>IFERROR(VLOOKUP(A583,Clientes_PDV!$A$2:$J$250,4,FALSE),"")</f>
        <v/>
      </c>
      <c r="E583" s="24"/>
      <c r="F583" s="31" t="str">
        <f>IFERROR(VLOOKUP(E583,Maestro_SKU!$A$2:$P$500,2,FALSE),"")</f>
        <v/>
      </c>
      <c r="G583" s="24"/>
      <c r="H583" s="31" t="str">
        <f>IF(OR(G583="",E583=""),"",G583*IFERROR(VLOOKUP(E583,Maestro_SKU!$A$2:$P$500,12,FALSE),1))</f>
        <v/>
      </c>
      <c r="I583" s="25"/>
      <c r="J583" s="31" t="str">
        <f>IF(A583="","",IF(H583&lt;=Inicio!$B$16,"Crítico",IF(H583&lt;=Inicio!$B$17,"Observar","OK")))</f>
        <v/>
      </c>
      <c r="K583" s="24"/>
    </row>
    <row r="584" spans="1:11" x14ac:dyDescent="0.35">
      <c r="A584" s="24"/>
      <c r="B584" s="31" t="str">
        <f>IFERROR(VLOOKUP(A584,Clientes_PDV!$A$2:$J$250,2,FALSE),"")</f>
        <v/>
      </c>
      <c r="C584" s="31" t="str">
        <f>IFERROR(VLOOKUP(A584,Clientes_PDV!$A$2:$J$250,3,FALSE),"")</f>
        <v/>
      </c>
      <c r="D584" s="31" t="str">
        <f>IFERROR(VLOOKUP(A584,Clientes_PDV!$A$2:$J$250,4,FALSE),"")</f>
        <v/>
      </c>
      <c r="E584" s="24"/>
      <c r="F584" s="31" t="str">
        <f>IFERROR(VLOOKUP(E584,Maestro_SKU!$A$2:$P$500,2,FALSE),"")</f>
        <v/>
      </c>
      <c r="G584" s="24"/>
      <c r="H584" s="31" t="str">
        <f>IF(OR(G584="",E584=""),"",G584*IFERROR(VLOOKUP(E584,Maestro_SKU!$A$2:$P$500,12,FALSE),1))</f>
        <v/>
      </c>
      <c r="I584" s="25"/>
      <c r="J584" s="31" t="str">
        <f>IF(A584="","",IF(H584&lt;=Inicio!$B$16,"Crítico",IF(H584&lt;=Inicio!$B$17,"Observar","OK")))</f>
        <v/>
      </c>
      <c r="K584" s="24"/>
    </row>
    <row r="585" spans="1:11" x14ac:dyDescent="0.35">
      <c r="A585" s="24"/>
      <c r="B585" s="31" t="str">
        <f>IFERROR(VLOOKUP(A585,Clientes_PDV!$A$2:$J$250,2,FALSE),"")</f>
        <v/>
      </c>
      <c r="C585" s="31" t="str">
        <f>IFERROR(VLOOKUP(A585,Clientes_PDV!$A$2:$J$250,3,FALSE),"")</f>
        <v/>
      </c>
      <c r="D585" s="31" t="str">
        <f>IFERROR(VLOOKUP(A585,Clientes_PDV!$A$2:$J$250,4,FALSE),"")</f>
        <v/>
      </c>
      <c r="E585" s="24"/>
      <c r="F585" s="31" t="str">
        <f>IFERROR(VLOOKUP(E585,Maestro_SKU!$A$2:$P$500,2,FALSE),"")</f>
        <v/>
      </c>
      <c r="G585" s="24"/>
      <c r="H585" s="31" t="str">
        <f>IF(OR(G585="",E585=""),"",G585*IFERROR(VLOOKUP(E585,Maestro_SKU!$A$2:$P$500,12,FALSE),1))</f>
        <v/>
      </c>
      <c r="I585" s="25"/>
      <c r="J585" s="31" t="str">
        <f>IF(A585="","",IF(H585&lt;=Inicio!$B$16,"Crítico",IF(H585&lt;=Inicio!$B$17,"Observar","OK")))</f>
        <v/>
      </c>
      <c r="K585" s="24"/>
    </row>
    <row r="586" spans="1:11" x14ac:dyDescent="0.35">
      <c r="A586" s="24"/>
      <c r="B586" s="31" t="str">
        <f>IFERROR(VLOOKUP(A586,Clientes_PDV!$A$2:$J$250,2,FALSE),"")</f>
        <v/>
      </c>
      <c r="C586" s="31" t="str">
        <f>IFERROR(VLOOKUP(A586,Clientes_PDV!$A$2:$J$250,3,FALSE),"")</f>
        <v/>
      </c>
      <c r="D586" s="31" t="str">
        <f>IFERROR(VLOOKUP(A586,Clientes_PDV!$A$2:$J$250,4,FALSE),"")</f>
        <v/>
      </c>
      <c r="E586" s="24"/>
      <c r="F586" s="31" t="str">
        <f>IFERROR(VLOOKUP(E586,Maestro_SKU!$A$2:$P$500,2,FALSE),"")</f>
        <v/>
      </c>
      <c r="G586" s="24"/>
      <c r="H586" s="31" t="str">
        <f>IF(OR(G586="",E586=""),"",G586*IFERROR(VLOOKUP(E586,Maestro_SKU!$A$2:$P$500,12,FALSE),1))</f>
        <v/>
      </c>
      <c r="I586" s="25"/>
      <c r="J586" s="31" t="str">
        <f>IF(A586="","",IF(H586&lt;=Inicio!$B$16,"Crítico",IF(H586&lt;=Inicio!$B$17,"Observar","OK")))</f>
        <v/>
      </c>
      <c r="K586" s="24"/>
    </row>
    <row r="587" spans="1:11" x14ac:dyDescent="0.35">
      <c r="A587" s="24"/>
      <c r="B587" s="31" t="str">
        <f>IFERROR(VLOOKUP(A587,Clientes_PDV!$A$2:$J$250,2,FALSE),"")</f>
        <v/>
      </c>
      <c r="C587" s="31" t="str">
        <f>IFERROR(VLOOKUP(A587,Clientes_PDV!$A$2:$J$250,3,FALSE),"")</f>
        <v/>
      </c>
      <c r="D587" s="31" t="str">
        <f>IFERROR(VLOOKUP(A587,Clientes_PDV!$A$2:$J$250,4,FALSE),"")</f>
        <v/>
      </c>
      <c r="E587" s="24"/>
      <c r="F587" s="31" t="str">
        <f>IFERROR(VLOOKUP(E587,Maestro_SKU!$A$2:$P$500,2,FALSE),"")</f>
        <v/>
      </c>
      <c r="G587" s="24"/>
      <c r="H587" s="31" t="str">
        <f>IF(OR(G587="",E587=""),"",G587*IFERROR(VLOOKUP(E587,Maestro_SKU!$A$2:$P$500,12,FALSE),1))</f>
        <v/>
      </c>
      <c r="I587" s="25"/>
      <c r="J587" s="31" t="str">
        <f>IF(A587="","",IF(H587&lt;=Inicio!$B$16,"Crítico",IF(H587&lt;=Inicio!$B$17,"Observar","OK")))</f>
        <v/>
      </c>
      <c r="K587" s="24"/>
    </row>
    <row r="588" spans="1:11" x14ac:dyDescent="0.35">
      <c r="A588" s="24"/>
      <c r="B588" s="31" t="str">
        <f>IFERROR(VLOOKUP(A588,Clientes_PDV!$A$2:$J$250,2,FALSE),"")</f>
        <v/>
      </c>
      <c r="C588" s="31" t="str">
        <f>IFERROR(VLOOKUP(A588,Clientes_PDV!$A$2:$J$250,3,FALSE),"")</f>
        <v/>
      </c>
      <c r="D588" s="31" t="str">
        <f>IFERROR(VLOOKUP(A588,Clientes_PDV!$A$2:$J$250,4,FALSE),"")</f>
        <v/>
      </c>
      <c r="E588" s="24"/>
      <c r="F588" s="31" t="str">
        <f>IFERROR(VLOOKUP(E588,Maestro_SKU!$A$2:$P$500,2,FALSE),"")</f>
        <v/>
      </c>
      <c r="G588" s="24"/>
      <c r="H588" s="31" t="str">
        <f>IF(OR(G588="",E588=""),"",G588*IFERROR(VLOOKUP(E588,Maestro_SKU!$A$2:$P$500,12,FALSE),1))</f>
        <v/>
      </c>
      <c r="I588" s="25"/>
      <c r="J588" s="31" t="str">
        <f>IF(A588="","",IF(H588&lt;=Inicio!$B$16,"Crítico",IF(H588&lt;=Inicio!$B$17,"Observar","OK")))</f>
        <v/>
      </c>
      <c r="K588" s="24"/>
    </row>
    <row r="589" spans="1:11" x14ac:dyDescent="0.35">
      <c r="A589" s="24"/>
      <c r="B589" s="31" t="str">
        <f>IFERROR(VLOOKUP(A589,Clientes_PDV!$A$2:$J$250,2,FALSE),"")</f>
        <v/>
      </c>
      <c r="C589" s="31" t="str">
        <f>IFERROR(VLOOKUP(A589,Clientes_PDV!$A$2:$J$250,3,FALSE),"")</f>
        <v/>
      </c>
      <c r="D589" s="31" t="str">
        <f>IFERROR(VLOOKUP(A589,Clientes_PDV!$A$2:$J$250,4,FALSE),"")</f>
        <v/>
      </c>
      <c r="E589" s="24"/>
      <c r="F589" s="31" t="str">
        <f>IFERROR(VLOOKUP(E589,Maestro_SKU!$A$2:$P$500,2,FALSE),"")</f>
        <v/>
      </c>
      <c r="G589" s="24"/>
      <c r="H589" s="31" t="str">
        <f>IF(OR(G589="",E589=""),"",G589*IFERROR(VLOOKUP(E589,Maestro_SKU!$A$2:$P$500,12,FALSE),1))</f>
        <v/>
      </c>
      <c r="I589" s="25"/>
      <c r="J589" s="31" t="str">
        <f>IF(A589="","",IF(H589&lt;=Inicio!$B$16,"Crítico",IF(H589&lt;=Inicio!$B$17,"Observar","OK")))</f>
        <v/>
      </c>
      <c r="K589" s="24"/>
    </row>
    <row r="590" spans="1:11" x14ac:dyDescent="0.35">
      <c r="A590" s="24"/>
      <c r="B590" s="31" t="str">
        <f>IFERROR(VLOOKUP(A590,Clientes_PDV!$A$2:$J$250,2,FALSE),"")</f>
        <v/>
      </c>
      <c r="C590" s="31" t="str">
        <f>IFERROR(VLOOKUP(A590,Clientes_PDV!$A$2:$J$250,3,FALSE),"")</f>
        <v/>
      </c>
      <c r="D590" s="31" t="str">
        <f>IFERROR(VLOOKUP(A590,Clientes_PDV!$A$2:$J$250,4,FALSE),"")</f>
        <v/>
      </c>
      <c r="E590" s="24"/>
      <c r="F590" s="31" t="str">
        <f>IFERROR(VLOOKUP(E590,Maestro_SKU!$A$2:$P$500,2,FALSE),"")</f>
        <v/>
      </c>
      <c r="G590" s="24"/>
      <c r="H590" s="31" t="str">
        <f>IF(OR(G590="",E590=""),"",G590*IFERROR(VLOOKUP(E590,Maestro_SKU!$A$2:$P$500,12,FALSE),1))</f>
        <v/>
      </c>
      <c r="I590" s="25"/>
      <c r="J590" s="31" t="str">
        <f>IF(A590="","",IF(H590&lt;=Inicio!$B$16,"Crítico",IF(H590&lt;=Inicio!$B$17,"Observar","OK")))</f>
        <v/>
      </c>
      <c r="K590" s="24"/>
    </row>
    <row r="591" spans="1:11" x14ac:dyDescent="0.35">
      <c r="A591" s="24"/>
      <c r="B591" s="31" t="str">
        <f>IFERROR(VLOOKUP(A591,Clientes_PDV!$A$2:$J$250,2,FALSE),"")</f>
        <v/>
      </c>
      <c r="C591" s="31" t="str">
        <f>IFERROR(VLOOKUP(A591,Clientes_PDV!$A$2:$J$250,3,FALSE),"")</f>
        <v/>
      </c>
      <c r="D591" s="31" t="str">
        <f>IFERROR(VLOOKUP(A591,Clientes_PDV!$A$2:$J$250,4,FALSE),"")</f>
        <v/>
      </c>
      <c r="E591" s="24"/>
      <c r="F591" s="31" t="str">
        <f>IFERROR(VLOOKUP(E591,Maestro_SKU!$A$2:$P$500,2,FALSE),"")</f>
        <v/>
      </c>
      <c r="G591" s="24"/>
      <c r="H591" s="31" t="str">
        <f>IF(OR(G591="",E591=""),"",G591*IFERROR(VLOOKUP(E591,Maestro_SKU!$A$2:$P$500,12,FALSE),1))</f>
        <v/>
      </c>
      <c r="I591" s="25"/>
      <c r="J591" s="31" t="str">
        <f>IF(A591="","",IF(H591&lt;=Inicio!$B$16,"Crítico",IF(H591&lt;=Inicio!$B$17,"Observar","OK")))</f>
        <v/>
      </c>
      <c r="K591" s="24"/>
    </row>
    <row r="592" spans="1:11" x14ac:dyDescent="0.35">
      <c r="A592" s="24"/>
      <c r="B592" s="31" t="str">
        <f>IFERROR(VLOOKUP(A592,Clientes_PDV!$A$2:$J$250,2,FALSE),"")</f>
        <v/>
      </c>
      <c r="C592" s="31" t="str">
        <f>IFERROR(VLOOKUP(A592,Clientes_PDV!$A$2:$J$250,3,FALSE),"")</f>
        <v/>
      </c>
      <c r="D592" s="31" t="str">
        <f>IFERROR(VLOOKUP(A592,Clientes_PDV!$A$2:$J$250,4,FALSE),"")</f>
        <v/>
      </c>
      <c r="E592" s="24"/>
      <c r="F592" s="31" t="str">
        <f>IFERROR(VLOOKUP(E592,Maestro_SKU!$A$2:$P$500,2,FALSE),"")</f>
        <v/>
      </c>
      <c r="G592" s="24"/>
      <c r="H592" s="31" t="str">
        <f>IF(OR(G592="",E592=""),"",G592*IFERROR(VLOOKUP(E592,Maestro_SKU!$A$2:$P$500,12,FALSE),1))</f>
        <v/>
      </c>
      <c r="I592" s="25"/>
      <c r="J592" s="31" t="str">
        <f>IF(A592="","",IF(H592&lt;=Inicio!$B$16,"Crítico",IF(H592&lt;=Inicio!$B$17,"Observar","OK")))</f>
        <v/>
      </c>
      <c r="K592" s="24"/>
    </row>
    <row r="593" spans="1:11" x14ac:dyDescent="0.35">
      <c r="A593" s="24"/>
      <c r="B593" s="31" t="str">
        <f>IFERROR(VLOOKUP(A593,Clientes_PDV!$A$2:$J$250,2,FALSE),"")</f>
        <v/>
      </c>
      <c r="C593" s="31" t="str">
        <f>IFERROR(VLOOKUP(A593,Clientes_PDV!$A$2:$J$250,3,FALSE),"")</f>
        <v/>
      </c>
      <c r="D593" s="31" t="str">
        <f>IFERROR(VLOOKUP(A593,Clientes_PDV!$A$2:$J$250,4,FALSE),"")</f>
        <v/>
      </c>
      <c r="E593" s="24"/>
      <c r="F593" s="31" t="str">
        <f>IFERROR(VLOOKUP(E593,Maestro_SKU!$A$2:$P$500,2,FALSE),"")</f>
        <v/>
      </c>
      <c r="G593" s="24"/>
      <c r="H593" s="31" t="str">
        <f>IF(OR(G593="",E593=""),"",G593*IFERROR(VLOOKUP(E593,Maestro_SKU!$A$2:$P$500,12,FALSE),1))</f>
        <v/>
      </c>
      <c r="I593" s="25"/>
      <c r="J593" s="31" t="str">
        <f>IF(A593="","",IF(H593&lt;=Inicio!$B$16,"Crítico",IF(H593&lt;=Inicio!$B$17,"Observar","OK")))</f>
        <v/>
      </c>
      <c r="K593" s="24"/>
    </row>
    <row r="594" spans="1:11" x14ac:dyDescent="0.35">
      <c r="A594" s="24"/>
      <c r="B594" s="31" t="str">
        <f>IFERROR(VLOOKUP(A594,Clientes_PDV!$A$2:$J$250,2,FALSE),"")</f>
        <v/>
      </c>
      <c r="C594" s="31" t="str">
        <f>IFERROR(VLOOKUP(A594,Clientes_PDV!$A$2:$J$250,3,FALSE),"")</f>
        <v/>
      </c>
      <c r="D594" s="31" t="str">
        <f>IFERROR(VLOOKUP(A594,Clientes_PDV!$A$2:$J$250,4,FALSE),"")</f>
        <v/>
      </c>
      <c r="E594" s="24"/>
      <c r="F594" s="31" t="str">
        <f>IFERROR(VLOOKUP(E594,Maestro_SKU!$A$2:$P$500,2,FALSE),"")</f>
        <v/>
      </c>
      <c r="G594" s="24"/>
      <c r="H594" s="31" t="str">
        <f>IF(OR(G594="",E594=""),"",G594*IFERROR(VLOOKUP(E594,Maestro_SKU!$A$2:$P$500,12,FALSE),1))</f>
        <v/>
      </c>
      <c r="I594" s="25"/>
      <c r="J594" s="31" t="str">
        <f>IF(A594="","",IF(H594&lt;=Inicio!$B$16,"Crítico",IF(H594&lt;=Inicio!$B$17,"Observar","OK")))</f>
        <v/>
      </c>
      <c r="K594" s="24"/>
    </row>
    <row r="595" spans="1:11" x14ac:dyDescent="0.35">
      <c r="A595" s="24"/>
      <c r="B595" s="31" t="str">
        <f>IFERROR(VLOOKUP(A595,Clientes_PDV!$A$2:$J$250,2,FALSE),"")</f>
        <v/>
      </c>
      <c r="C595" s="31" t="str">
        <f>IFERROR(VLOOKUP(A595,Clientes_PDV!$A$2:$J$250,3,FALSE),"")</f>
        <v/>
      </c>
      <c r="D595" s="31" t="str">
        <f>IFERROR(VLOOKUP(A595,Clientes_PDV!$A$2:$J$250,4,FALSE),"")</f>
        <v/>
      </c>
      <c r="E595" s="24"/>
      <c r="F595" s="31" t="str">
        <f>IFERROR(VLOOKUP(E595,Maestro_SKU!$A$2:$P$500,2,FALSE),"")</f>
        <v/>
      </c>
      <c r="G595" s="24"/>
      <c r="H595" s="31" t="str">
        <f>IF(OR(G595="",E595=""),"",G595*IFERROR(VLOOKUP(E595,Maestro_SKU!$A$2:$P$500,12,FALSE),1))</f>
        <v/>
      </c>
      <c r="I595" s="25"/>
      <c r="J595" s="31" t="str">
        <f>IF(A595="","",IF(H595&lt;=Inicio!$B$16,"Crítico",IF(H595&lt;=Inicio!$B$17,"Observar","OK")))</f>
        <v/>
      </c>
      <c r="K595" s="24"/>
    </row>
    <row r="596" spans="1:11" x14ac:dyDescent="0.35">
      <c r="A596" s="24"/>
      <c r="B596" s="31" t="str">
        <f>IFERROR(VLOOKUP(A596,Clientes_PDV!$A$2:$J$250,2,FALSE),"")</f>
        <v/>
      </c>
      <c r="C596" s="31" t="str">
        <f>IFERROR(VLOOKUP(A596,Clientes_PDV!$A$2:$J$250,3,FALSE),"")</f>
        <v/>
      </c>
      <c r="D596" s="31" t="str">
        <f>IFERROR(VLOOKUP(A596,Clientes_PDV!$A$2:$J$250,4,FALSE),"")</f>
        <v/>
      </c>
      <c r="E596" s="24"/>
      <c r="F596" s="31" t="str">
        <f>IFERROR(VLOOKUP(E596,Maestro_SKU!$A$2:$P$500,2,FALSE),"")</f>
        <v/>
      </c>
      <c r="G596" s="24"/>
      <c r="H596" s="31" t="str">
        <f>IF(OR(G596="",E596=""),"",G596*IFERROR(VLOOKUP(E596,Maestro_SKU!$A$2:$P$500,12,FALSE),1))</f>
        <v/>
      </c>
      <c r="I596" s="25"/>
      <c r="J596" s="31" t="str">
        <f>IF(A596="","",IF(H596&lt;=Inicio!$B$16,"Crítico",IF(H596&lt;=Inicio!$B$17,"Observar","OK")))</f>
        <v/>
      </c>
      <c r="K596" s="24"/>
    </row>
    <row r="597" spans="1:11" x14ac:dyDescent="0.35">
      <c r="A597" s="24"/>
      <c r="B597" s="31" t="str">
        <f>IFERROR(VLOOKUP(A597,Clientes_PDV!$A$2:$J$250,2,FALSE),"")</f>
        <v/>
      </c>
      <c r="C597" s="31" t="str">
        <f>IFERROR(VLOOKUP(A597,Clientes_PDV!$A$2:$J$250,3,FALSE),"")</f>
        <v/>
      </c>
      <c r="D597" s="31" t="str">
        <f>IFERROR(VLOOKUP(A597,Clientes_PDV!$A$2:$J$250,4,FALSE),"")</f>
        <v/>
      </c>
      <c r="E597" s="24"/>
      <c r="F597" s="31" t="str">
        <f>IFERROR(VLOOKUP(E597,Maestro_SKU!$A$2:$P$500,2,FALSE),"")</f>
        <v/>
      </c>
      <c r="G597" s="24"/>
      <c r="H597" s="31" t="str">
        <f>IF(OR(G597="",E597=""),"",G597*IFERROR(VLOOKUP(E597,Maestro_SKU!$A$2:$P$500,12,FALSE),1))</f>
        <v/>
      </c>
      <c r="I597" s="25"/>
      <c r="J597" s="31" t="str">
        <f>IF(A597="","",IF(H597&lt;=Inicio!$B$16,"Crítico",IF(H597&lt;=Inicio!$B$17,"Observar","OK")))</f>
        <v/>
      </c>
      <c r="K597" s="24"/>
    </row>
    <row r="598" spans="1:11" x14ac:dyDescent="0.35">
      <c r="A598" s="24"/>
      <c r="B598" s="31" t="str">
        <f>IFERROR(VLOOKUP(A598,Clientes_PDV!$A$2:$J$250,2,FALSE),"")</f>
        <v/>
      </c>
      <c r="C598" s="31" t="str">
        <f>IFERROR(VLOOKUP(A598,Clientes_PDV!$A$2:$J$250,3,FALSE),"")</f>
        <v/>
      </c>
      <c r="D598" s="31" t="str">
        <f>IFERROR(VLOOKUP(A598,Clientes_PDV!$A$2:$J$250,4,FALSE),"")</f>
        <v/>
      </c>
      <c r="E598" s="24"/>
      <c r="F598" s="31" t="str">
        <f>IFERROR(VLOOKUP(E598,Maestro_SKU!$A$2:$P$500,2,FALSE),"")</f>
        <v/>
      </c>
      <c r="G598" s="24"/>
      <c r="H598" s="31" t="str">
        <f>IF(OR(G598="",E598=""),"",G598*IFERROR(VLOOKUP(E598,Maestro_SKU!$A$2:$P$500,12,FALSE),1))</f>
        <v/>
      </c>
      <c r="I598" s="25"/>
      <c r="J598" s="31" t="str">
        <f>IF(A598="","",IF(H598&lt;=Inicio!$B$16,"Crítico",IF(H598&lt;=Inicio!$B$17,"Observar","OK")))</f>
        <v/>
      </c>
      <c r="K598" s="24"/>
    </row>
    <row r="599" spans="1:11" x14ac:dyDescent="0.35">
      <c r="A599" s="24"/>
      <c r="B599" s="31" t="str">
        <f>IFERROR(VLOOKUP(A599,Clientes_PDV!$A$2:$J$250,2,FALSE),"")</f>
        <v/>
      </c>
      <c r="C599" s="31" t="str">
        <f>IFERROR(VLOOKUP(A599,Clientes_PDV!$A$2:$J$250,3,FALSE),"")</f>
        <v/>
      </c>
      <c r="D599" s="31" t="str">
        <f>IFERROR(VLOOKUP(A599,Clientes_PDV!$A$2:$J$250,4,FALSE),"")</f>
        <v/>
      </c>
      <c r="E599" s="24"/>
      <c r="F599" s="31" t="str">
        <f>IFERROR(VLOOKUP(E599,Maestro_SKU!$A$2:$P$500,2,FALSE),"")</f>
        <v/>
      </c>
      <c r="G599" s="24"/>
      <c r="H599" s="31" t="str">
        <f>IF(OR(G599="",E599=""),"",G599*IFERROR(VLOOKUP(E599,Maestro_SKU!$A$2:$P$500,12,FALSE),1))</f>
        <v/>
      </c>
      <c r="I599" s="25"/>
      <c r="J599" s="31" t="str">
        <f>IF(A599="","",IF(H599&lt;=Inicio!$B$16,"Crítico",IF(H599&lt;=Inicio!$B$17,"Observar","OK")))</f>
        <v/>
      </c>
      <c r="K599" s="24"/>
    </row>
    <row r="600" spans="1:11" x14ac:dyDescent="0.35">
      <c r="A600" s="24"/>
      <c r="B600" s="31" t="str">
        <f>IFERROR(VLOOKUP(A600,Clientes_PDV!$A$2:$J$250,2,FALSE),"")</f>
        <v/>
      </c>
      <c r="C600" s="31" t="str">
        <f>IFERROR(VLOOKUP(A600,Clientes_PDV!$A$2:$J$250,3,FALSE),"")</f>
        <v/>
      </c>
      <c r="D600" s="31" t="str">
        <f>IFERROR(VLOOKUP(A600,Clientes_PDV!$A$2:$J$250,4,FALSE),"")</f>
        <v/>
      </c>
      <c r="E600" s="24"/>
      <c r="F600" s="31" t="str">
        <f>IFERROR(VLOOKUP(E600,Maestro_SKU!$A$2:$P$500,2,FALSE),"")</f>
        <v/>
      </c>
      <c r="G600" s="24"/>
      <c r="H600" s="31" t="str">
        <f>IF(OR(G600="",E600=""),"",G600*IFERROR(VLOOKUP(E600,Maestro_SKU!$A$2:$P$500,12,FALSE),1))</f>
        <v/>
      </c>
      <c r="I600" s="25"/>
      <c r="J600" s="31" t="str">
        <f>IF(A600="","",IF(H600&lt;=Inicio!$B$16,"Crítico",IF(H600&lt;=Inicio!$B$17,"Observar","OK")))</f>
        <v/>
      </c>
      <c r="K600" s="24"/>
    </row>
    <row r="601" spans="1:11" x14ac:dyDescent="0.35">
      <c r="A601" s="24"/>
      <c r="B601" s="31" t="str">
        <f>IFERROR(VLOOKUP(A601,Clientes_PDV!$A$2:$J$250,2,FALSE),"")</f>
        <v/>
      </c>
      <c r="C601" s="31" t="str">
        <f>IFERROR(VLOOKUP(A601,Clientes_PDV!$A$2:$J$250,3,FALSE),"")</f>
        <v/>
      </c>
      <c r="D601" s="31" t="str">
        <f>IFERROR(VLOOKUP(A601,Clientes_PDV!$A$2:$J$250,4,FALSE),"")</f>
        <v/>
      </c>
      <c r="E601" s="24"/>
      <c r="F601" s="31" t="str">
        <f>IFERROR(VLOOKUP(E601,Maestro_SKU!$A$2:$P$500,2,FALSE),"")</f>
        <v/>
      </c>
      <c r="G601" s="24"/>
      <c r="H601" s="31" t="str">
        <f>IF(OR(G601="",E601=""),"",G601*IFERROR(VLOOKUP(E601,Maestro_SKU!$A$2:$P$500,12,FALSE),1))</f>
        <v/>
      </c>
      <c r="I601" s="25"/>
      <c r="J601" s="31" t="str">
        <f>IF(A601="","",IF(H601&lt;=Inicio!$B$16,"Crítico",IF(H601&lt;=Inicio!$B$17,"Observar","OK")))</f>
        <v/>
      </c>
      <c r="K601" s="24"/>
    </row>
    <row r="602" spans="1:11" x14ac:dyDescent="0.35">
      <c r="A602" s="24"/>
      <c r="B602" s="31" t="str">
        <f>IFERROR(VLOOKUP(A602,Clientes_PDV!$A$2:$J$250,2,FALSE),"")</f>
        <v/>
      </c>
      <c r="C602" s="31" t="str">
        <f>IFERROR(VLOOKUP(A602,Clientes_PDV!$A$2:$J$250,3,FALSE),"")</f>
        <v/>
      </c>
      <c r="D602" s="31" t="str">
        <f>IFERROR(VLOOKUP(A602,Clientes_PDV!$A$2:$J$250,4,FALSE),"")</f>
        <v/>
      </c>
      <c r="E602" s="24"/>
      <c r="F602" s="31" t="str">
        <f>IFERROR(VLOOKUP(E602,Maestro_SKU!$A$2:$P$500,2,FALSE),"")</f>
        <v/>
      </c>
      <c r="G602" s="24"/>
      <c r="H602" s="31" t="str">
        <f>IF(OR(G602="",E602=""),"",G602*IFERROR(VLOOKUP(E602,Maestro_SKU!$A$2:$P$500,12,FALSE),1))</f>
        <v/>
      </c>
      <c r="I602" s="25"/>
      <c r="J602" s="31" t="str">
        <f>IF(A602="","",IF(H602&lt;=Inicio!$B$16,"Crítico",IF(H602&lt;=Inicio!$B$17,"Observar","OK")))</f>
        <v/>
      </c>
      <c r="K602" s="24"/>
    </row>
    <row r="603" spans="1:11" x14ac:dyDescent="0.35">
      <c r="A603" s="24"/>
      <c r="B603" s="31" t="str">
        <f>IFERROR(VLOOKUP(A603,Clientes_PDV!$A$2:$J$250,2,FALSE),"")</f>
        <v/>
      </c>
      <c r="C603" s="31" t="str">
        <f>IFERROR(VLOOKUP(A603,Clientes_PDV!$A$2:$J$250,3,FALSE),"")</f>
        <v/>
      </c>
      <c r="D603" s="31" t="str">
        <f>IFERROR(VLOOKUP(A603,Clientes_PDV!$A$2:$J$250,4,FALSE),"")</f>
        <v/>
      </c>
      <c r="E603" s="24"/>
      <c r="F603" s="31" t="str">
        <f>IFERROR(VLOOKUP(E603,Maestro_SKU!$A$2:$P$500,2,FALSE),"")</f>
        <v/>
      </c>
      <c r="G603" s="24"/>
      <c r="H603" s="31" t="str">
        <f>IF(OR(G603="",E603=""),"",G603*IFERROR(VLOOKUP(E603,Maestro_SKU!$A$2:$P$500,12,FALSE),1))</f>
        <v/>
      </c>
      <c r="I603" s="25"/>
      <c r="J603" s="31" t="str">
        <f>IF(A603="","",IF(H603&lt;=Inicio!$B$16,"Crítico",IF(H603&lt;=Inicio!$B$17,"Observar","OK")))</f>
        <v/>
      </c>
      <c r="K603" s="24"/>
    </row>
    <row r="604" spans="1:11" x14ac:dyDescent="0.35">
      <c r="A604" s="24"/>
      <c r="B604" s="31" t="str">
        <f>IFERROR(VLOOKUP(A604,Clientes_PDV!$A$2:$J$250,2,FALSE),"")</f>
        <v/>
      </c>
      <c r="C604" s="31" t="str">
        <f>IFERROR(VLOOKUP(A604,Clientes_PDV!$A$2:$J$250,3,FALSE),"")</f>
        <v/>
      </c>
      <c r="D604" s="31" t="str">
        <f>IFERROR(VLOOKUP(A604,Clientes_PDV!$A$2:$J$250,4,FALSE),"")</f>
        <v/>
      </c>
      <c r="E604" s="24"/>
      <c r="F604" s="31" t="str">
        <f>IFERROR(VLOOKUP(E604,Maestro_SKU!$A$2:$P$500,2,FALSE),"")</f>
        <v/>
      </c>
      <c r="G604" s="24"/>
      <c r="H604" s="31" t="str">
        <f>IF(OR(G604="",E604=""),"",G604*IFERROR(VLOOKUP(E604,Maestro_SKU!$A$2:$P$500,12,FALSE),1))</f>
        <v/>
      </c>
      <c r="I604" s="25"/>
      <c r="J604" s="31" t="str">
        <f>IF(A604="","",IF(H604&lt;=Inicio!$B$16,"Crítico",IF(H604&lt;=Inicio!$B$17,"Observar","OK")))</f>
        <v/>
      </c>
      <c r="K604" s="24"/>
    </row>
    <row r="605" spans="1:11" x14ac:dyDescent="0.35">
      <c r="A605" s="24"/>
      <c r="B605" s="31" t="str">
        <f>IFERROR(VLOOKUP(A605,Clientes_PDV!$A$2:$J$250,2,FALSE),"")</f>
        <v/>
      </c>
      <c r="C605" s="31" t="str">
        <f>IFERROR(VLOOKUP(A605,Clientes_PDV!$A$2:$J$250,3,FALSE),"")</f>
        <v/>
      </c>
      <c r="D605" s="31" t="str">
        <f>IFERROR(VLOOKUP(A605,Clientes_PDV!$A$2:$J$250,4,FALSE),"")</f>
        <v/>
      </c>
      <c r="E605" s="24"/>
      <c r="F605" s="31" t="str">
        <f>IFERROR(VLOOKUP(E605,Maestro_SKU!$A$2:$P$500,2,FALSE),"")</f>
        <v/>
      </c>
      <c r="G605" s="24"/>
      <c r="H605" s="31" t="str">
        <f>IF(OR(G605="",E605=""),"",G605*IFERROR(VLOOKUP(E605,Maestro_SKU!$A$2:$P$500,12,FALSE),1))</f>
        <v/>
      </c>
      <c r="I605" s="25"/>
      <c r="J605" s="31" t="str">
        <f>IF(A605="","",IF(H605&lt;=Inicio!$B$16,"Crítico",IF(H605&lt;=Inicio!$B$17,"Observar","OK")))</f>
        <v/>
      </c>
      <c r="K605" s="24"/>
    </row>
    <row r="606" spans="1:11" x14ac:dyDescent="0.35">
      <c r="A606" s="24"/>
      <c r="B606" s="31" t="str">
        <f>IFERROR(VLOOKUP(A606,Clientes_PDV!$A$2:$J$250,2,FALSE),"")</f>
        <v/>
      </c>
      <c r="C606" s="31" t="str">
        <f>IFERROR(VLOOKUP(A606,Clientes_PDV!$A$2:$J$250,3,FALSE),"")</f>
        <v/>
      </c>
      <c r="D606" s="31" t="str">
        <f>IFERROR(VLOOKUP(A606,Clientes_PDV!$A$2:$J$250,4,FALSE),"")</f>
        <v/>
      </c>
      <c r="E606" s="24"/>
      <c r="F606" s="31" t="str">
        <f>IFERROR(VLOOKUP(E606,Maestro_SKU!$A$2:$P$500,2,FALSE),"")</f>
        <v/>
      </c>
      <c r="G606" s="24"/>
      <c r="H606" s="31" t="str">
        <f>IF(OR(G606="",E606=""),"",G606*IFERROR(VLOOKUP(E606,Maestro_SKU!$A$2:$P$500,12,FALSE),1))</f>
        <v/>
      </c>
      <c r="I606" s="25"/>
      <c r="J606" s="31" t="str">
        <f>IF(A606="","",IF(H606&lt;=Inicio!$B$16,"Crítico",IF(H606&lt;=Inicio!$B$17,"Observar","OK")))</f>
        <v/>
      </c>
      <c r="K606" s="24"/>
    </row>
    <row r="607" spans="1:11" x14ac:dyDescent="0.35">
      <c r="A607" s="24"/>
      <c r="B607" s="31" t="str">
        <f>IFERROR(VLOOKUP(A607,Clientes_PDV!$A$2:$J$250,2,FALSE),"")</f>
        <v/>
      </c>
      <c r="C607" s="31" t="str">
        <f>IFERROR(VLOOKUP(A607,Clientes_PDV!$A$2:$J$250,3,FALSE),"")</f>
        <v/>
      </c>
      <c r="D607" s="31" t="str">
        <f>IFERROR(VLOOKUP(A607,Clientes_PDV!$A$2:$J$250,4,FALSE),"")</f>
        <v/>
      </c>
      <c r="E607" s="24"/>
      <c r="F607" s="31" t="str">
        <f>IFERROR(VLOOKUP(E607,Maestro_SKU!$A$2:$P$500,2,FALSE),"")</f>
        <v/>
      </c>
      <c r="G607" s="24"/>
      <c r="H607" s="31" t="str">
        <f>IF(OR(G607="",E607=""),"",G607*IFERROR(VLOOKUP(E607,Maestro_SKU!$A$2:$P$500,12,FALSE),1))</f>
        <v/>
      </c>
      <c r="I607" s="25"/>
      <c r="J607" s="31" t="str">
        <f>IF(A607="","",IF(H607&lt;=Inicio!$B$16,"Crítico",IF(H607&lt;=Inicio!$B$17,"Observar","OK")))</f>
        <v/>
      </c>
      <c r="K607" s="24"/>
    </row>
    <row r="608" spans="1:11" x14ac:dyDescent="0.35">
      <c r="A608" s="24"/>
      <c r="B608" s="31" t="str">
        <f>IFERROR(VLOOKUP(A608,Clientes_PDV!$A$2:$J$250,2,FALSE),"")</f>
        <v/>
      </c>
      <c r="C608" s="31" t="str">
        <f>IFERROR(VLOOKUP(A608,Clientes_PDV!$A$2:$J$250,3,FALSE),"")</f>
        <v/>
      </c>
      <c r="D608" s="31" t="str">
        <f>IFERROR(VLOOKUP(A608,Clientes_PDV!$A$2:$J$250,4,FALSE),"")</f>
        <v/>
      </c>
      <c r="E608" s="24"/>
      <c r="F608" s="31" t="str">
        <f>IFERROR(VLOOKUP(E608,Maestro_SKU!$A$2:$P$500,2,FALSE),"")</f>
        <v/>
      </c>
      <c r="G608" s="24"/>
      <c r="H608" s="31" t="str">
        <f>IF(OR(G608="",E608=""),"",G608*IFERROR(VLOOKUP(E608,Maestro_SKU!$A$2:$P$500,12,FALSE),1))</f>
        <v/>
      </c>
      <c r="I608" s="25"/>
      <c r="J608" s="31" t="str">
        <f>IF(A608="","",IF(H608&lt;=Inicio!$B$16,"Crítico",IF(H608&lt;=Inicio!$B$17,"Observar","OK")))</f>
        <v/>
      </c>
      <c r="K608" s="24"/>
    </row>
    <row r="609" spans="1:11" x14ac:dyDescent="0.35">
      <c r="A609" s="24"/>
      <c r="B609" s="31" t="str">
        <f>IFERROR(VLOOKUP(A609,Clientes_PDV!$A$2:$J$250,2,FALSE),"")</f>
        <v/>
      </c>
      <c r="C609" s="31" t="str">
        <f>IFERROR(VLOOKUP(A609,Clientes_PDV!$A$2:$J$250,3,FALSE),"")</f>
        <v/>
      </c>
      <c r="D609" s="31" t="str">
        <f>IFERROR(VLOOKUP(A609,Clientes_PDV!$A$2:$J$250,4,FALSE),"")</f>
        <v/>
      </c>
      <c r="E609" s="24"/>
      <c r="F609" s="31" t="str">
        <f>IFERROR(VLOOKUP(E609,Maestro_SKU!$A$2:$P$500,2,FALSE),"")</f>
        <v/>
      </c>
      <c r="G609" s="24"/>
      <c r="H609" s="31" t="str">
        <f>IF(OR(G609="",E609=""),"",G609*IFERROR(VLOOKUP(E609,Maestro_SKU!$A$2:$P$500,12,FALSE),1))</f>
        <v/>
      </c>
      <c r="I609" s="25"/>
      <c r="J609" s="31" t="str">
        <f>IF(A609="","",IF(H609&lt;=Inicio!$B$16,"Crítico",IF(H609&lt;=Inicio!$B$17,"Observar","OK")))</f>
        <v/>
      </c>
      <c r="K609" s="24"/>
    </row>
    <row r="610" spans="1:11" x14ac:dyDescent="0.35">
      <c r="A610" s="24"/>
      <c r="B610" s="31" t="str">
        <f>IFERROR(VLOOKUP(A610,Clientes_PDV!$A$2:$J$250,2,FALSE),"")</f>
        <v/>
      </c>
      <c r="C610" s="31" t="str">
        <f>IFERROR(VLOOKUP(A610,Clientes_PDV!$A$2:$J$250,3,FALSE),"")</f>
        <v/>
      </c>
      <c r="D610" s="31" t="str">
        <f>IFERROR(VLOOKUP(A610,Clientes_PDV!$A$2:$J$250,4,FALSE),"")</f>
        <v/>
      </c>
      <c r="E610" s="24"/>
      <c r="F610" s="31" t="str">
        <f>IFERROR(VLOOKUP(E610,Maestro_SKU!$A$2:$P$500,2,FALSE),"")</f>
        <v/>
      </c>
      <c r="G610" s="24"/>
      <c r="H610" s="31" t="str">
        <f>IF(OR(G610="",E610=""),"",G610*IFERROR(VLOOKUP(E610,Maestro_SKU!$A$2:$P$500,12,FALSE),1))</f>
        <v/>
      </c>
      <c r="I610" s="25"/>
      <c r="J610" s="31" t="str">
        <f>IF(A610="","",IF(H610&lt;=Inicio!$B$16,"Crítico",IF(H610&lt;=Inicio!$B$17,"Observar","OK")))</f>
        <v/>
      </c>
      <c r="K610" s="24"/>
    </row>
    <row r="611" spans="1:11" x14ac:dyDescent="0.35">
      <c r="A611" s="24"/>
      <c r="B611" s="31" t="str">
        <f>IFERROR(VLOOKUP(A611,Clientes_PDV!$A$2:$J$250,2,FALSE),"")</f>
        <v/>
      </c>
      <c r="C611" s="31" t="str">
        <f>IFERROR(VLOOKUP(A611,Clientes_PDV!$A$2:$J$250,3,FALSE),"")</f>
        <v/>
      </c>
      <c r="D611" s="31" t="str">
        <f>IFERROR(VLOOKUP(A611,Clientes_PDV!$A$2:$J$250,4,FALSE),"")</f>
        <v/>
      </c>
      <c r="E611" s="24"/>
      <c r="F611" s="31" t="str">
        <f>IFERROR(VLOOKUP(E611,Maestro_SKU!$A$2:$P$500,2,FALSE),"")</f>
        <v/>
      </c>
      <c r="G611" s="24"/>
      <c r="H611" s="31" t="str">
        <f>IF(OR(G611="",E611=""),"",G611*IFERROR(VLOOKUP(E611,Maestro_SKU!$A$2:$P$500,12,FALSE),1))</f>
        <v/>
      </c>
      <c r="I611" s="25"/>
      <c r="J611" s="31" t="str">
        <f>IF(A611="","",IF(H611&lt;=Inicio!$B$16,"Crítico",IF(H611&lt;=Inicio!$B$17,"Observar","OK")))</f>
        <v/>
      </c>
      <c r="K611" s="24"/>
    </row>
    <row r="612" spans="1:11" x14ac:dyDescent="0.35">
      <c r="A612" s="24"/>
      <c r="B612" s="31" t="str">
        <f>IFERROR(VLOOKUP(A612,Clientes_PDV!$A$2:$J$250,2,FALSE),"")</f>
        <v/>
      </c>
      <c r="C612" s="31" t="str">
        <f>IFERROR(VLOOKUP(A612,Clientes_PDV!$A$2:$J$250,3,FALSE),"")</f>
        <v/>
      </c>
      <c r="D612" s="31" t="str">
        <f>IFERROR(VLOOKUP(A612,Clientes_PDV!$A$2:$J$250,4,FALSE),"")</f>
        <v/>
      </c>
      <c r="E612" s="24"/>
      <c r="F612" s="31" t="str">
        <f>IFERROR(VLOOKUP(E612,Maestro_SKU!$A$2:$P$500,2,FALSE),"")</f>
        <v/>
      </c>
      <c r="G612" s="24"/>
      <c r="H612" s="31" t="str">
        <f>IF(OR(G612="",E612=""),"",G612*IFERROR(VLOOKUP(E612,Maestro_SKU!$A$2:$P$500,12,FALSE),1))</f>
        <v/>
      </c>
      <c r="I612" s="25"/>
      <c r="J612" s="31" t="str">
        <f>IF(A612="","",IF(H612&lt;=Inicio!$B$16,"Crítico",IF(H612&lt;=Inicio!$B$17,"Observar","OK")))</f>
        <v/>
      </c>
      <c r="K612" s="24"/>
    </row>
    <row r="613" spans="1:11" x14ac:dyDescent="0.35">
      <c r="A613" s="24"/>
      <c r="B613" s="31" t="str">
        <f>IFERROR(VLOOKUP(A613,Clientes_PDV!$A$2:$J$250,2,FALSE),"")</f>
        <v/>
      </c>
      <c r="C613" s="31" t="str">
        <f>IFERROR(VLOOKUP(A613,Clientes_PDV!$A$2:$J$250,3,FALSE),"")</f>
        <v/>
      </c>
      <c r="D613" s="31" t="str">
        <f>IFERROR(VLOOKUP(A613,Clientes_PDV!$A$2:$J$250,4,FALSE),"")</f>
        <v/>
      </c>
      <c r="E613" s="24"/>
      <c r="F613" s="31" t="str">
        <f>IFERROR(VLOOKUP(E613,Maestro_SKU!$A$2:$P$500,2,FALSE),"")</f>
        <v/>
      </c>
      <c r="G613" s="24"/>
      <c r="H613" s="31" t="str">
        <f>IF(OR(G613="",E613=""),"",G613*IFERROR(VLOOKUP(E613,Maestro_SKU!$A$2:$P$500,12,FALSE),1))</f>
        <v/>
      </c>
      <c r="I613" s="25"/>
      <c r="J613" s="31" t="str">
        <f>IF(A613="","",IF(H613&lt;=Inicio!$B$16,"Crítico",IF(H613&lt;=Inicio!$B$17,"Observar","OK")))</f>
        <v/>
      </c>
      <c r="K613" s="24"/>
    </row>
    <row r="614" spans="1:11" x14ac:dyDescent="0.35">
      <c r="A614" s="24"/>
      <c r="B614" s="31" t="str">
        <f>IFERROR(VLOOKUP(A614,Clientes_PDV!$A$2:$J$250,2,FALSE),"")</f>
        <v/>
      </c>
      <c r="C614" s="31" t="str">
        <f>IFERROR(VLOOKUP(A614,Clientes_PDV!$A$2:$J$250,3,FALSE),"")</f>
        <v/>
      </c>
      <c r="D614" s="31" t="str">
        <f>IFERROR(VLOOKUP(A614,Clientes_PDV!$A$2:$J$250,4,FALSE),"")</f>
        <v/>
      </c>
      <c r="E614" s="24"/>
      <c r="F614" s="31" t="str">
        <f>IFERROR(VLOOKUP(E614,Maestro_SKU!$A$2:$P$500,2,FALSE),"")</f>
        <v/>
      </c>
      <c r="G614" s="24"/>
      <c r="H614" s="31" t="str">
        <f>IF(OR(G614="",E614=""),"",G614*IFERROR(VLOOKUP(E614,Maestro_SKU!$A$2:$P$500,12,FALSE),1))</f>
        <v/>
      </c>
      <c r="I614" s="25"/>
      <c r="J614" s="31" t="str">
        <f>IF(A614="","",IF(H614&lt;=Inicio!$B$16,"Crítico",IF(H614&lt;=Inicio!$B$17,"Observar","OK")))</f>
        <v/>
      </c>
      <c r="K614" s="24"/>
    </row>
    <row r="615" spans="1:11" x14ac:dyDescent="0.35">
      <c r="A615" s="24"/>
      <c r="B615" s="31" t="str">
        <f>IFERROR(VLOOKUP(A615,Clientes_PDV!$A$2:$J$250,2,FALSE),"")</f>
        <v/>
      </c>
      <c r="C615" s="31" t="str">
        <f>IFERROR(VLOOKUP(A615,Clientes_PDV!$A$2:$J$250,3,FALSE),"")</f>
        <v/>
      </c>
      <c r="D615" s="31" t="str">
        <f>IFERROR(VLOOKUP(A615,Clientes_PDV!$A$2:$J$250,4,FALSE),"")</f>
        <v/>
      </c>
      <c r="E615" s="24"/>
      <c r="F615" s="31" t="str">
        <f>IFERROR(VLOOKUP(E615,Maestro_SKU!$A$2:$P$500,2,FALSE),"")</f>
        <v/>
      </c>
      <c r="G615" s="24"/>
      <c r="H615" s="31" t="str">
        <f>IF(OR(G615="",E615=""),"",G615*IFERROR(VLOOKUP(E615,Maestro_SKU!$A$2:$P$500,12,FALSE),1))</f>
        <v/>
      </c>
      <c r="I615" s="25"/>
      <c r="J615" s="31" t="str">
        <f>IF(A615="","",IF(H615&lt;=Inicio!$B$16,"Crítico",IF(H615&lt;=Inicio!$B$17,"Observar","OK")))</f>
        <v/>
      </c>
      <c r="K615" s="24"/>
    </row>
    <row r="616" spans="1:11" x14ac:dyDescent="0.35">
      <c r="A616" s="24"/>
      <c r="B616" s="31" t="str">
        <f>IFERROR(VLOOKUP(A616,Clientes_PDV!$A$2:$J$250,2,FALSE),"")</f>
        <v/>
      </c>
      <c r="C616" s="31" t="str">
        <f>IFERROR(VLOOKUP(A616,Clientes_PDV!$A$2:$J$250,3,FALSE),"")</f>
        <v/>
      </c>
      <c r="D616" s="31" t="str">
        <f>IFERROR(VLOOKUP(A616,Clientes_PDV!$A$2:$J$250,4,FALSE),"")</f>
        <v/>
      </c>
      <c r="E616" s="24"/>
      <c r="F616" s="31" t="str">
        <f>IFERROR(VLOOKUP(E616,Maestro_SKU!$A$2:$P$500,2,FALSE),"")</f>
        <v/>
      </c>
      <c r="G616" s="24"/>
      <c r="H616" s="31" t="str">
        <f>IF(OR(G616="",E616=""),"",G616*IFERROR(VLOOKUP(E616,Maestro_SKU!$A$2:$P$500,12,FALSE),1))</f>
        <v/>
      </c>
      <c r="I616" s="25"/>
      <c r="J616" s="31" t="str">
        <f>IF(A616="","",IF(H616&lt;=Inicio!$B$16,"Crítico",IF(H616&lt;=Inicio!$B$17,"Observar","OK")))</f>
        <v/>
      </c>
      <c r="K616" s="24"/>
    </row>
    <row r="617" spans="1:11" x14ac:dyDescent="0.35">
      <c r="A617" s="24"/>
      <c r="B617" s="31" t="str">
        <f>IFERROR(VLOOKUP(A617,Clientes_PDV!$A$2:$J$250,2,FALSE),"")</f>
        <v/>
      </c>
      <c r="C617" s="31" t="str">
        <f>IFERROR(VLOOKUP(A617,Clientes_PDV!$A$2:$J$250,3,FALSE),"")</f>
        <v/>
      </c>
      <c r="D617" s="31" t="str">
        <f>IFERROR(VLOOKUP(A617,Clientes_PDV!$A$2:$J$250,4,FALSE),"")</f>
        <v/>
      </c>
      <c r="E617" s="24"/>
      <c r="F617" s="31" t="str">
        <f>IFERROR(VLOOKUP(E617,Maestro_SKU!$A$2:$P$500,2,FALSE),"")</f>
        <v/>
      </c>
      <c r="G617" s="24"/>
      <c r="H617" s="31" t="str">
        <f>IF(OR(G617="",E617=""),"",G617*IFERROR(VLOOKUP(E617,Maestro_SKU!$A$2:$P$500,12,FALSE),1))</f>
        <v/>
      </c>
      <c r="I617" s="25"/>
      <c r="J617" s="31" t="str">
        <f>IF(A617="","",IF(H617&lt;=Inicio!$B$16,"Crítico",IF(H617&lt;=Inicio!$B$17,"Observar","OK")))</f>
        <v/>
      </c>
      <c r="K617" s="24"/>
    </row>
    <row r="618" spans="1:11" x14ac:dyDescent="0.35">
      <c r="A618" s="24"/>
      <c r="B618" s="31" t="str">
        <f>IFERROR(VLOOKUP(A618,Clientes_PDV!$A$2:$J$250,2,FALSE),"")</f>
        <v/>
      </c>
      <c r="C618" s="31" t="str">
        <f>IFERROR(VLOOKUP(A618,Clientes_PDV!$A$2:$J$250,3,FALSE),"")</f>
        <v/>
      </c>
      <c r="D618" s="31" t="str">
        <f>IFERROR(VLOOKUP(A618,Clientes_PDV!$A$2:$J$250,4,FALSE),"")</f>
        <v/>
      </c>
      <c r="E618" s="24"/>
      <c r="F618" s="31" t="str">
        <f>IFERROR(VLOOKUP(E618,Maestro_SKU!$A$2:$P$500,2,FALSE),"")</f>
        <v/>
      </c>
      <c r="G618" s="24"/>
      <c r="H618" s="31" t="str">
        <f>IF(OR(G618="",E618=""),"",G618*IFERROR(VLOOKUP(E618,Maestro_SKU!$A$2:$P$500,12,FALSE),1))</f>
        <v/>
      </c>
      <c r="I618" s="25"/>
      <c r="J618" s="31" t="str">
        <f>IF(A618="","",IF(H618&lt;=Inicio!$B$16,"Crítico",IF(H618&lt;=Inicio!$B$17,"Observar","OK")))</f>
        <v/>
      </c>
      <c r="K618" s="24"/>
    </row>
    <row r="619" spans="1:11" x14ac:dyDescent="0.35">
      <c r="A619" s="24"/>
      <c r="B619" s="31" t="str">
        <f>IFERROR(VLOOKUP(A619,Clientes_PDV!$A$2:$J$250,2,FALSE),"")</f>
        <v/>
      </c>
      <c r="C619" s="31" t="str">
        <f>IFERROR(VLOOKUP(A619,Clientes_PDV!$A$2:$J$250,3,FALSE),"")</f>
        <v/>
      </c>
      <c r="D619" s="31" t="str">
        <f>IFERROR(VLOOKUP(A619,Clientes_PDV!$A$2:$J$250,4,FALSE),"")</f>
        <v/>
      </c>
      <c r="E619" s="24"/>
      <c r="F619" s="31" t="str">
        <f>IFERROR(VLOOKUP(E619,Maestro_SKU!$A$2:$P$500,2,FALSE),"")</f>
        <v/>
      </c>
      <c r="G619" s="24"/>
      <c r="H619" s="31" t="str">
        <f>IF(OR(G619="",E619=""),"",G619*IFERROR(VLOOKUP(E619,Maestro_SKU!$A$2:$P$500,12,FALSE),1))</f>
        <v/>
      </c>
      <c r="I619" s="25"/>
      <c r="J619" s="31" t="str">
        <f>IF(A619="","",IF(H619&lt;=Inicio!$B$16,"Crítico",IF(H619&lt;=Inicio!$B$17,"Observar","OK")))</f>
        <v/>
      </c>
      <c r="K619" s="24"/>
    </row>
    <row r="620" spans="1:11" x14ac:dyDescent="0.35">
      <c r="A620" s="24"/>
      <c r="B620" s="31" t="str">
        <f>IFERROR(VLOOKUP(A620,Clientes_PDV!$A$2:$J$250,2,FALSE),"")</f>
        <v/>
      </c>
      <c r="C620" s="31" t="str">
        <f>IFERROR(VLOOKUP(A620,Clientes_PDV!$A$2:$J$250,3,FALSE),"")</f>
        <v/>
      </c>
      <c r="D620" s="31" t="str">
        <f>IFERROR(VLOOKUP(A620,Clientes_PDV!$A$2:$J$250,4,FALSE),"")</f>
        <v/>
      </c>
      <c r="E620" s="24"/>
      <c r="F620" s="31" t="str">
        <f>IFERROR(VLOOKUP(E620,Maestro_SKU!$A$2:$P$500,2,FALSE),"")</f>
        <v/>
      </c>
      <c r="G620" s="24"/>
      <c r="H620" s="31" t="str">
        <f>IF(OR(G620="",E620=""),"",G620*IFERROR(VLOOKUP(E620,Maestro_SKU!$A$2:$P$500,12,FALSE),1))</f>
        <v/>
      </c>
      <c r="I620" s="25"/>
      <c r="J620" s="31" t="str">
        <f>IF(A620="","",IF(H620&lt;=Inicio!$B$16,"Crítico",IF(H620&lt;=Inicio!$B$17,"Observar","OK")))</f>
        <v/>
      </c>
      <c r="K620" s="24"/>
    </row>
    <row r="621" spans="1:11" x14ac:dyDescent="0.35">
      <c r="A621" s="24"/>
      <c r="B621" s="31" t="str">
        <f>IFERROR(VLOOKUP(A621,Clientes_PDV!$A$2:$J$250,2,FALSE),"")</f>
        <v/>
      </c>
      <c r="C621" s="31" t="str">
        <f>IFERROR(VLOOKUP(A621,Clientes_PDV!$A$2:$J$250,3,FALSE),"")</f>
        <v/>
      </c>
      <c r="D621" s="31" t="str">
        <f>IFERROR(VLOOKUP(A621,Clientes_PDV!$A$2:$J$250,4,FALSE),"")</f>
        <v/>
      </c>
      <c r="E621" s="24"/>
      <c r="F621" s="31" t="str">
        <f>IFERROR(VLOOKUP(E621,Maestro_SKU!$A$2:$P$500,2,FALSE),"")</f>
        <v/>
      </c>
      <c r="G621" s="24"/>
      <c r="H621" s="31" t="str">
        <f>IF(OR(G621="",E621=""),"",G621*IFERROR(VLOOKUP(E621,Maestro_SKU!$A$2:$P$500,12,FALSE),1))</f>
        <v/>
      </c>
      <c r="I621" s="25"/>
      <c r="J621" s="31" t="str">
        <f>IF(A621="","",IF(H621&lt;=Inicio!$B$16,"Crítico",IF(H621&lt;=Inicio!$B$17,"Observar","OK")))</f>
        <v/>
      </c>
      <c r="K621" s="24"/>
    </row>
    <row r="622" spans="1:11" x14ac:dyDescent="0.35">
      <c r="A622" s="24"/>
      <c r="B622" s="31" t="str">
        <f>IFERROR(VLOOKUP(A622,Clientes_PDV!$A$2:$J$250,2,FALSE),"")</f>
        <v/>
      </c>
      <c r="C622" s="31" t="str">
        <f>IFERROR(VLOOKUP(A622,Clientes_PDV!$A$2:$J$250,3,FALSE),"")</f>
        <v/>
      </c>
      <c r="D622" s="31" t="str">
        <f>IFERROR(VLOOKUP(A622,Clientes_PDV!$A$2:$J$250,4,FALSE),"")</f>
        <v/>
      </c>
      <c r="E622" s="24"/>
      <c r="F622" s="31" t="str">
        <f>IFERROR(VLOOKUP(E622,Maestro_SKU!$A$2:$P$500,2,FALSE),"")</f>
        <v/>
      </c>
      <c r="G622" s="24"/>
      <c r="H622" s="31" t="str">
        <f>IF(OR(G622="",E622=""),"",G622*IFERROR(VLOOKUP(E622,Maestro_SKU!$A$2:$P$500,12,FALSE),1))</f>
        <v/>
      </c>
      <c r="I622" s="25"/>
      <c r="J622" s="31" t="str">
        <f>IF(A622="","",IF(H622&lt;=Inicio!$B$16,"Crítico",IF(H622&lt;=Inicio!$B$17,"Observar","OK")))</f>
        <v/>
      </c>
      <c r="K622" s="24"/>
    </row>
    <row r="623" spans="1:11" x14ac:dyDescent="0.35">
      <c r="A623" s="24"/>
      <c r="B623" s="31" t="str">
        <f>IFERROR(VLOOKUP(A623,Clientes_PDV!$A$2:$J$250,2,FALSE),"")</f>
        <v/>
      </c>
      <c r="C623" s="31" t="str">
        <f>IFERROR(VLOOKUP(A623,Clientes_PDV!$A$2:$J$250,3,FALSE),"")</f>
        <v/>
      </c>
      <c r="D623" s="31" t="str">
        <f>IFERROR(VLOOKUP(A623,Clientes_PDV!$A$2:$J$250,4,FALSE),"")</f>
        <v/>
      </c>
      <c r="E623" s="24"/>
      <c r="F623" s="31" t="str">
        <f>IFERROR(VLOOKUP(E623,Maestro_SKU!$A$2:$P$500,2,FALSE),"")</f>
        <v/>
      </c>
      <c r="G623" s="24"/>
      <c r="H623" s="31" t="str">
        <f>IF(OR(G623="",E623=""),"",G623*IFERROR(VLOOKUP(E623,Maestro_SKU!$A$2:$P$500,12,FALSE),1))</f>
        <v/>
      </c>
      <c r="I623" s="25"/>
      <c r="J623" s="31" t="str">
        <f>IF(A623="","",IF(H623&lt;=Inicio!$B$16,"Crítico",IF(H623&lt;=Inicio!$B$17,"Observar","OK")))</f>
        <v/>
      </c>
      <c r="K623" s="24"/>
    </row>
    <row r="624" spans="1:11" x14ac:dyDescent="0.35">
      <c r="A624" s="24"/>
      <c r="B624" s="31" t="str">
        <f>IFERROR(VLOOKUP(A624,Clientes_PDV!$A$2:$J$250,2,FALSE),"")</f>
        <v/>
      </c>
      <c r="C624" s="31" t="str">
        <f>IFERROR(VLOOKUP(A624,Clientes_PDV!$A$2:$J$250,3,FALSE),"")</f>
        <v/>
      </c>
      <c r="D624" s="31" t="str">
        <f>IFERROR(VLOOKUP(A624,Clientes_PDV!$A$2:$J$250,4,FALSE),"")</f>
        <v/>
      </c>
      <c r="E624" s="24"/>
      <c r="F624" s="31" t="str">
        <f>IFERROR(VLOOKUP(E624,Maestro_SKU!$A$2:$P$500,2,FALSE),"")</f>
        <v/>
      </c>
      <c r="G624" s="24"/>
      <c r="H624" s="31" t="str">
        <f>IF(OR(G624="",E624=""),"",G624*IFERROR(VLOOKUP(E624,Maestro_SKU!$A$2:$P$500,12,FALSE),1))</f>
        <v/>
      </c>
      <c r="I624" s="25"/>
      <c r="J624" s="31" t="str">
        <f>IF(A624="","",IF(H624&lt;=Inicio!$B$16,"Crítico",IF(H624&lt;=Inicio!$B$17,"Observar","OK")))</f>
        <v/>
      </c>
      <c r="K624" s="24"/>
    </row>
    <row r="625" spans="1:11" x14ac:dyDescent="0.35">
      <c r="A625" s="24"/>
      <c r="B625" s="31" t="str">
        <f>IFERROR(VLOOKUP(A625,Clientes_PDV!$A$2:$J$250,2,FALSE),"")</f>
        <v/>
      </c>
      <c r="C625" s="31" t="str">
        <f>IFERROR(VLOOKUP(A625,Clientes_PDV!$A$2:$J$250,3,FALSE),"")</f>
        <v/>
      </c>
      <c r="D625" s="31" t="str">
        <f>IFERROR(VLOOKUP(A625,Clientes_PDV!$A$2:$J$250,4,FALSE),"")</f>
        <v/>
      </c>
      <c r="E625" s="24"/>
      <c r="F625" s="31" t="str">
        <f>IFERROR(VLOOKUP(E625,Maestro_SKU!$A$2:$P$500,2,FALSE),"")</f>
        <v/>
      </c>
      <c r="G625" s="24"/>
      <c r="H625" s="31" t="str">
        <f>IF(OR(G625="",E625=""),"",G625*IFERROR(VLOOKUP(E625,Maestro_SKU!$A$2:$P$500,12,FALSE),1))</f>
        <v/>
      </c>
      <c r="I625" s="25"/>
      <c r="J625" s="31" t="str">
        <f>IF(A625="","",IF(H625&lt;=Inicio!$B$16,"Crítico",IF(H625&lt;=Inicio!$B$17,"Observar","OK")))</f>
        <v/>
      </c>
      <c r="K625" s="24"/>
    </row>
    <row r="626" spans="1:11" x14ac:dyDescent="0.35">
      <c r="A626" s="24"/>
      <c r="B626" s="31" t="str">
        <f>IFERROR(VLOOKUP(A626,Clientes_PDV!$A$2:$J$250,2,FALSE),"")</f>
        <v/>
      </c>
      <c r="C626" s="31" t="str">
        <f>IFERROR(VLOOKUP(A626,Clientes_PDV!$A$2:$J$250,3,FALSE),"")</f>
        <v/>
      </c>
      <c r="D626" s="31" t="str">
        <f>IFERROR(VLOOKUP(A626,Clientes_PDV!$A$2:$J$250,4,FALSE),"")</f>
        <v/>
      </c>
      <c r="E626" s="24"/>
      <c r="F626" s="31" t="str">
        <f>IFERROR(VLOOKUP(E626,Maestro_SKU!$A$2:$P$500,2,FALSE),"")</f>
        <v/>
      </c>
      <c r="G626" s="24"/>
      <c r="H626" s="31" t="str">
        <f>IF(OR(G626="",E626=""),"",G626*IFERROR(VLOOKUP(E626,Maestro_SKU!$A$2:$P$500,12,FALSE),1))</f>
        <v/>
      </c>
      <c r="I626" s="25"/>
      <c r="J626" s="31" t="str">
        <f>IF(A626="","",IF(H626&lt;=Inicio!$B$16,"Crítico",IF(H626&lt;=Inicio!$B$17,"Observar","OK")))</f>
        <v/>
      </c>
      <c r="K626" s="24"/>
    </row>
    <row r="627" spans="1:11" x14ac:dyDescent="0.35">
      <c r="A627" s="24"/>
      <c r="B627" s="31" t="str">
        <f>IFERROR(VLOOKUP(A627,Clientes_PDV!$A$2:$J$250,2,FALSE),"")</f>
        <v/>
      </c>
      <c r="C627" s="31" t="str">
        <f>IFERROR(VLOOKUP(A627,Clientes_PDV!$A$2:$J$250,3,FALSE),"")</f>
        <v/>
      </c>
      <c r="D627" s="31" t="str">
        <f>IFERROR(VLOOKUP(A627,Clientes_PDV!$A$2:$J$250,4,FALSE),"")</f>
        <v/>
      </c>
      <c r="E627" s="24"/>
      <c r="F627" s="31" t="str">
        <f>IFERROR(VLOOKUP(E627,Maestro_SKU!$A$2:$P$500,2,FALSE),"")</f>
        <v/>
      </c>
      <c r="G627" s="24"/>
      <c r="H627" s="31" t="str">
        <f>IF(OR(G627="",E627=""),"",G627*IFERROR(VLOOKUP(E627,Maestro_SKU!$A$2:$P$500,12,FALSE),1))</f>
        <v/>
      </c>
      <c r="I627" s="25"/>
      <c r="J627" s="31" t="str">
        <f>IF(A627="","",IF(H627&lt;=Inicio!$B$16,"Crítico",IF(H627&lt;=Inicio!$B$17,"Observar","OK")))</f>
        <v/>
      </c>
      <c r="K627" s="24"/>
    </row>
    <row r="628" spans="1:11" x14ac:dyDescent="0.35">
      <c r="A628" s="24"/>
      <c r="B628" s="31" t="str">
        <f>IFERROR(VLOOKUP(A628,Clientes_PDV!$A$2:$J$250,2,FALSE),"")</f>
        <v/>
      </c>
      <c r="C628" s="31" t="str">
        <f>IFERROR(VLOOKUP(A628,Clientes_PDV!$A$2:$J$250,3,FALSE),"")</f>
        <v/>
      </c>
      <c r="D628" s="31" t="str">
        <f>IFERROR(VLOOKUP(A628,Clientes_PDV!$A$2:$J$250,4,FALSE),"")</f>
        <v/>
      </c>
      <c r="E628" s="24"/>
      <c r="F628" s="31" t="str">
        <f>IFERROR(VLOOKUP(E628,Maestro_SKU!$A$2:$P$500,2,FALSE),"")</f>
        <v/>
      </c>
      <c r="G628" s="24"/>
      <c r="H628" s="31" t="str">
        <f>IF(OR(G628="",E628=""),"",G628*IFERROR(VLOOKUP(E628,Maestro_SKU!$A$2:$P$500,12,FALSE),1))</f>
        <v/>
      </c>
      <c r="I628" s="25"/>
      <c r="J628" s="31" t="str">
        <f>IF(A628="","",IF(H628&lt;=Inicio!$B$16,"Crítico",IF(H628&lt;=Inicio!$B$17,"Observar","OK")))</f>
        <v/>
      </c>
      <c r="K628" s="24"/>
    </row>
    <row r="629" spans="1:11" x14ac:dyDescent="0.35">
      <c r="A629" s="24"/>
      <c r="B629" s="31" t="str">
        <f>IFERROR(VLOOKUP(A629,Clientes_PDV!$A$2:$J$250,2,FALSE),"")</f>
        <v/>
      </c>
      <c r="C629" s="31" t="str">
        <f>IFERROR(VLOOKUP(A629,Clientes_PDV!$A$2:$J$250,3,FALSE),"")</f>
        <v/>
      </c>
      <c r="D629" s="31" t="str">
        <f>IFERROR(VLOOKUP(A629,Clientes_PDV!$A$2:$J$250,4,FALSE),"")</f>
        <v/>
      </c>
      <c r="E629" s="24"/>
      <c r="F629" s="31" t="str">
        <f>IFERROR(VLOOKUP(E629,Maestro_SKU!$A$2:$P$500,2,FALSE),"")</f>
        <v/>
      </c>
      <c r="G629" s="24"/>
      <c r="H629" s="31" t="str">
        <f>IF(OR(G629="",E629=""),"",G629*IFERROR(VLOOKUP(E629,Maestro_SKU!$A$2:$P$500,12,FALSE),1))</f>
        <v/>
      </c>
      <c r="I629" s="25"/>
      <c r="J629" s="31" t="str">
        <f>IF(A629="","",IF(H629&lt;=Inicio!$B$16,"Crítico",IF(H629&lt;=Inicio!$B$17,"Observar","OK")))</f>
        <v/>
      </c>
      <c r="K629" s="24"/>
    </row>
    <row r="630" spans="1:11" x14ac:dyDescent="0.35">
      <c r="A630" s="24"/>
      <c r="B630" s="31" t="str">
        <f>IFERROR(VLOOKUP(A630,Clientes_PDV!$A$2:$J$250,2,FALSE),"")</f>
        <v/>
      </c>
      <c r="C630" s="31" t="str">
        <f>IFERROR(VLOOKUP(A630,Clientes_PDV!$A$2:$J$250,3,FALSE),"")</f>
        <v/>
      </c>
      <c r="D630" s="31" t="str">
        <f>IFERROR(VLOOKUP(A630,Clientes_PDV!$A$2:$J$250,4,FALSE),"")</f>
        <v/>
      </c>
      <c r="E630" s="24"/>
      <c r="F630" s="31" t="str">
        <f>IFERROR(VLOOKUP(E630,Maestro_SKU!$A$2:$P$500,2,FALSE),"")</f>
        <v/>
      </c>
      <c r="G630" s="24"/>
      <c r="H630" s="31" t="str">
        <f>IF(OR(G630="",E630=""),"",G630*IFERROR(VLOOKUP(E630,Maestro_SKU!$A$2:$P$500,12,FALSE),1))</f>
        <v/>
      </c>
      <c r="I630" s="25"/>
      <c r="J630" s="31" t="str">
        <f>IF(A630="","",IF(H630&lt;=Inicio!$B$16,"Crítico",IF(H630&lt;=Inicio!$B$17,"Observar","OK")))</f>
        <v/>
      </c>
      <c r="K630" s="24"/>
    </row>
    <row r="631" spans="1:11" x14ac:dyDescent="0.35">
      <c r="A631" s="24"/>
      <c r="B631" s="31" t="str">
        <f>IFERROR(VLOOKUP(A631,Clientes_PDV!$A$2:$J$250,2,FALSE),"")</f>
        <v/>
      </c>
      <c r="C631" s="31" t="str">
        <f>IFERROR(VLOOKUP(A631,Clientes_PDV!$A$2:$J$250,3,FALSE),"")</f>
        <v/>
      </c>
      <c r="D631" s="31" t="str">
        <f>IFERROR(VLOOKUP(A631,Clientes_PDV!$A$2:$J$250,4,FALSE),"")</f>
        <v/>
      </c>
      <c r="E631" s="24"/>
      <c r="F631" s="31" t="str">
        <f>IFERROR(VLOOKUP(E631,Maestro_SKU!$A$2:$P$500,2,FALSE),"")</f>
        <v/>
      </c>
      <c r="G631" s="24"/>
      <c r="H631" s="31" t="str">
        <f>IF(OR(G631="",E631=""),"",G631*IFERROR(VLOOKUP(E631,Maestro_SKU!$A$2:$P$500,12,FALSE),1))</f>
        <v/>
      </c>
      <c r="I631" s="25"/>
      <c r="J631" s="31" t="str">
        <f>IF(A631="","",IF(H631&lt;=Inicio!$B$16,"Crítico",IF(H631&lt;=Inicio!$B$17,"Observar","OK")))</f>
        <v/>
      </c>
      <c r="K631" s="24"/>
    </row>
    <row r="632" spans="1:11" x14ac:dyDescent="0.35">
      <c r="A632" s="24"/>
      <c r="B632" s="31" t="str">
        <f>IFERROR(VLOOKUP(A632,Clientes_PDV!$A$2:$J$250,2,FALSE),"")</f>
        <v/>
      </c>
      <c r="C632" s="31" t="str">
        <f>IFERROR(VLOOKUP(A632,Clientes_PDV!$A$2:$J$250,3,FALSE),"")</f>
        <v/>
      </c>
      <c r="D632" s="31" t="str">
        <f>IFERROR(VLOOKUP(A632,Clientes_PDV!$A$2:$J$250,4,FALSE),"")</f>
        <v/>
      </c>
      <c r="E632" s="24"/>
      <c r="F632" s="31" t="str">
        <f>IFERROR(VLOOKUP(E632,Maestro_SKU!$A$2:$P$500,2,FALSE),"")</f>
        <v/>
      </c>
      <c r="G632" s="24"/>
      <c r="H632" s="31" t="str">
        <f>IF(OR(G632="",E632=""),"",G632*IFERROR(VLOOKUP(E632,Maestro_SKU!$A$2:$P$500,12,FALSE),1))</f>
        <v/>
      </c>
      <c r="I632" s="25"/>
      <c r="J632" s="31" t="str">
        <f>IF(A632="","",IF(H632&lt;=Inicio!$B$16,"Crítico",IF(H632&lt;=Inicio!$B$17,"Observar","OK")))</f>
        <v/>
      </c>
      <c r="K632" s="24"/>
    </row>
    <row r="633" spans="1:11" x14ac:dyDescent="0.35">
      <c r="A633" s="24"/>
      <c r="B633" s="31" t="str">
        <f>IFERROR(VLOOKUP(A633,Clientes_PDV!$A$2:$J$250,2,FALSE),"")</f>
        <v/>
      </c>
      <c r="C633" s="31" t="str">
        <f>IFERROR(VLOOKUP(A633,Clientes_PDV!$A$2:$J$250,3,FALSE),"")</f>
        <v/>
      </c>
      <c r="D633" s="31" t="str">
        <f>IFERROR(VLOOKUP(A633,Clientes_PDV!$A$2:$J$250,4,FALSE),"")</f>
        <v/>
      </c>
      <c r="E633" s="24"/>
      <c r="F633" s="31" t="str">
        <f>IFERROR(VLOOKUP(E633,Maestro_SKU!$A$2:$P$500,2,FALSE),"")</f>
        <v/>
      </c>
      <c r="G633" s="24"/>
      <c r="H633" s="31" t="str">
        <f>IF(OR(G633="",E633=""),"",G633*IFERROR(VLOOKUP(E633,Maestro_SKU!$A$2:$P$500,12,FALSE),1))</f>
        <v/>
      </c>
      <c r="I633" s="25"/>
      <c r="J633" s="31" t="str">
        <f>IF(A633="","",IF(H633&lt;=Inicio!$B$16,"Crítico",IF(H633&lt;=Inicio!$B$17,"Observar","OK")))</f>
        <v/>
      </c>
      <c r="K633" s="24"/>
    </row>
    <row r="634" spans="1:11" x14ac:dyDescent="0.35">
      <c r="A634" s="24"/>
      <c r="B634" s="31" t="str">
        <f>IFERROR(VLOOKUP(A634,Clientes_PDV!$A$2:$J$250,2,FALSE),"")</f>
        <v/>
      </c>
      <c r="C634" s="31" t="str">
        <f>IFERROR(VLOOKUP(A634,Clientes_PDV!$A$2:$J$250,3,FALSE),"")</f>
        <v/>
      </c>
      <c r="D634" s="31" t="str">
        <f>IFERROR(VLOOKUP(A634,Clientes_PDV!$A$2:$J$250,4,FALSE),"")</f>
        <v/>
      </c>
      <c r="E634" s="24"/>
      <c r="F634" s="31" t="str">
        <f>IFERROR(VLOOKUP(E634,Maestro_SKU!$A$2:$P$500,2,FALSE),"")</f>
        <v/>
      </c>
      <c r="G634" s="24"/>
      <c r="H634" s="31" t="str">
        <f>IF(OR(G634="",E634=""),"",G634*IFERROR(VLOOKUP(E634,Maestro_SKU!$A$2:$P$500,12,FALSE),1))</f>
        <v/>
      </c>
      <c r="I634" s="25"/>
      <c r="J634" s="31" t="str">
        <f>IF(A634="","",IF(H634&lt;=Inicio!$B$16,"Crítico",IF(H634&lt;=Inicio!$B$17,"Observar","OK")))</f>
        <v/>
      </c>
      <c r="K634" s="24"/>
    </row>
    <row r="635" spans="1:11" x14ac:dyDescent="0.35">
      <c r="A635" s="24"/>
      <c r="B635" s="31" t="str">
        <f>IFERROR(VLOOKUP(A635,Clientes_PDV!$A$2:$J$250,2,FALSE),"")</f>
        <v/>
      </c>
      <c r="C635" s="31" t="str">
        <f>IFERROR(VLOOKUP(A635,Clientes_PDV!$A$2:$J$250,3,FALSE),"")</f>
        <v/>
      </c>
      <c r="D635" s="31" t="str">
        <f>IFERROR(VLOOKUP(A635,Clientes_PDV!$A$2:$J$250,4,FALSE),"")</f>
        <v/>
      </c>
      <c r="E635" s="24"/>
      <c r="F635" s="31" t="str">
        <f>IFERROR(VLOOKUP(E635,Maestro_SKU!$A$2:$P$500,2,FALSE),"")</f>
        <v/>
      </c>
      <c r="G635" s="24"/>
      <c r="H635" s="31" t="str">
        <f>IF(OR(G635="",E635=""),"",G635*IFERROR(VLOOKUP(E635,Maestro_SKU!$A$2:$P$500,12,FALSE),1))</f>
        <v/>
      </c>
      <c r="I635" s="25"/>
      <c r="J635" s="31" t="str">
        <f>IF(A635="","",IF(H635&lt;=Inicio!$B$16,"Crítico",IF(H635&lt;=Inicio!$B$17,"Observar","OK")))</f>
        <v/>
      </c>
      <c r="K635" s="24"/>
    </row>
    <row r="636" spans="1:11" x14ac:dyDescent="0.35">
      <c r="A636" s="24"/>
      <c r="B636" s="31" t="str">
        <f>IFERROR(VLOOKUP(A636,Clientes_PDV!$A$2:$J$250,2,FALSE),"")</f>
        <v/>
      </c>
      <c r="C636" s="31" t="str">
        <f>IFERROR(VLOOKUP(A636,Clientes_PDV!$A$2:$J$250,3,FALSE),"")</f>
        <v/>
      </c>
      <c r="D636" s="31" t="str">
        <f>IFERROR(VLOOKUP(A636,Clientes_PDV!$A$2:$J$250,4,FALSE),"")</f>
        <v/>
      </c>
      <c r="E636" s="24"/>
      <c r="F636" s="31" t="str">
        <f>IFERROR(VLOOKUP(E636,Maestro_SKU!$A$2:$P$500,2,FALSE),"")</f>
        <v/>
      </c>
      <c r="G636" s="24"/>
      <c r="H636" s="31" t="str">
        <f>IF(OR(G636="",E636=""),"",G636*IFERROR(VLOOKUP(E636,Maestro_SKU!$A$2:$P$500,12,FALSE),1))</f>
        <v/>
      </c>
      <c r="I636" s="25"/>
      <c r="J636" s="31" t="str">
        <f>IF(A636="","",IF(H636&lt;=Inicio!$B$16,"Crítico",IF(H636&lt;=Inicio!$B$17,"Observar","OK")))</f>
        <v/>
      </c>
      <c r="K636" s="24"/>
    </row>
    <row r="637" spans="1:11" x14ac:dyDescent="0.35">
      <c r="A637" s="24"/>
      <c r="B637" s="31" t="str">
        <f>IFERROR(VLOOKUP(A637,Clientes_PDV!$A$2:$J$250,2,FALSE),"")</f>
        <v/>
      </c>
      <c r="C637" s="31" t="str">
        <f>IFERROR(VLOOKUP(A637,Clientes_PDV!$A$2:$J$250,3,FALSE),"")</f>
        <v/>
      </c>
      <c r="D637" s="31" t="str">
        <f>IFERROR(VLOOKUP(A637,Clientes_PDV!$A$2:$J$250,4,FALSE),"")</f>
        <v/>
      </c>
      <c r="E637" s="24"/>
      <c r="F637" s="31" t="str">
        <f>IFERROR(VLOOKUP(E637,Maestro_SKU!$A$2:$P$500,2,FALSE),"")</f>
        <v/>
      </c>
      <c r="G637" s="24"/>
      <c r="H637" s="31" t="str">
        <f>IF(OR(G637="",E637=""),"",G637*IFERROR(VLOOKUP(E637,Maestro_SKU!$A$2:$P$500,12,FALSE),1))</f>
        <v/>
      </c>
      <c r="I637" s="25"/>
      <c r="J637" s="31" t="str">
        <f>IF(A637="","",IF(H637&lt;=Inicio!$B$16,"Crítico",IF(H637&lt;=Inicio!$B$17,"Observar","OK")))</f>
        <v/>
      </c>
      <c r="K637" s="24"/>
    </row>
    <row r="638" spans="1:11" x14ac:dyDescent="0.35">
      <c r="A638" s="24"/>
      <c r="B638" s="31" t="str">
        <f>IFERROR(VLOOKUP(A638,Clientes_PDV!$A$2:$J$250,2,FALSE),"")</f>
        <v/>
      </c>
      <c r="C638" s="31" t="str">
        <f>IFERROR(VLOOKUP(A638,Clientes_PDV!$A$2:$J$250,3,FALSE),"")</f>
        <v/>
      </c>
      <c r="D638" s="31" t="str">
        <f>IFERROR(VLOOKUP(A638,Clientes_PDV!$A$2:$J$250,4,FALSE),"")</f>
        <v/>
      </c>
      <c r="E638" s="24"/>
      <c r="F638" s="31" t="str">
        <f>IFERROR(VLOOKUP(E638,Maestro_SKU!$A$2:$P$500,2,FALSE),"")</f>
        <v/>
      </c>
      <c r="G638" s="24"/>
      <c r="H638" s="31" t="str">
        <f>IF(OR(G638="",E638=""),"",G638*IFERROR(VLOOKUP(E638,Maestro_SKU!$A$2:$P$500,12,FALSE),1))</f>
        <v/>
      </c>
      <c r="I638" s="25"/>
      <c r="J638" s="31" t="str">
        <f>IF(A638="","",IF(H638&lt;=Inicio!$B$16,"Crítico",IF(H638&lt;=Inicio!$B$17,"Observar","OK")))</f>
        <v/>
      </c>
      <c r="K638" s="24"/>
    </row>
    <row r="639" spans="1:11" x14ac:dyDescent="0.35">
      <c r="A639" s="24"/>
      <c r="B639" s="31" t="str">
        <f>IFERROR(VLOOKUP(A639,Clientes_PDV!$A$2:$J$250,2,FALSE),"")</f>
        <v/>
      </c>
      <c r="C639" s="31" t="str">
        <f>IFERROR(VLOOKUP(A639,Clientes_PDV!$A$2:$J$250,3,FALSE),"")</f>
        <v/>
      </c>
      <c r="D639" s="31" t="str">
        <f>IFERROR(VLOOKUP(A639,Clientes_PDV!$A$2:$J$250,4,FALSE),"")</f>
        <v/>
      </c>
      <c r="E639" s="24"/>
      <c r="F639" s="31" t="str">
        <f>IFERROR(VLOOKUP(E639,Maestro_SKU!$A$2:$P$500,2,FALSE),"")</f>
        <v/>
      </c>
      <c r="G639" s="24"/>
      <c r="H639" s="31" t="str">
        <f>IF(OR(G639="",E639=""),"",G639*IFERROR(VLOOKUP(E639,Maestro_SKU!$A$2:$P$500,12,FALSE),1))</f>
        <v/>
      </c>
      <c r="I639" s="25"/>
      <c r="J639" s="31" t="str">
        <f>IF(A639="","",IF(H639&lt;=Inicio!$B$16,"Crítico",IF(H639&lt;=Inicio!$B$17,"Observar","OK")))</f>
        <v/>
      </c>
      <c r="K639" s="24"/>
    </row>
    <row r="640" spans="1:11" x14ac:dyDescent="0.35">
      <c r="A640" s="24"/>
      <c r="B640" s="31" t="str">
        <f>IFERROR(VLOOKUP(A640,Clientes_PDV!$A$2:$J$250,2,FALSE),"")</f>
        <v/>
      </c>
      <c r="C640" s="31" t="str">
        <f>IFERROR(VLOOKUP(A640,Clientes_PDV!$A$2:$J$250,3,FALSE),"")</f>
        <v/>
      </c>
      <c r="D640" s="31" t="str">
        <f>IFERROR(VLOOKUP(A640,Clientes_PDV!$A$2:$J$250,4,FALSE),"")</f>
        <v/>
      </c>
      <c r="E640" s="24"/>
      <c r="F640" s="31" t="str">
        <f>IFERROR(VLOOKUP(E640,Maestro_SKU!$A$2:$P$500,2,FALSE),"")</f>
        <v/>
      </c>
      <c r="G640" s="24"/>
      <c r="H640" s="31" t="str">
        <f>IF(OR(G640="",E640=""),"",G640*IFERROR(VLOOKUP(E640,Maestro_SKU!$A$2:$P$500,12,FALSE),1))</f>
        <v/>
      </c>
      <c r="I640" s="25"/>
      <c r="J640" s="31" t="str">
        <f>IF(A640="","",IF(H640&lt;=Inicio!$B$16,"Crítico",IF(H640&lt;=Inicio!$B$17,"Observar","OK")))</f>
        <v/>
      </c>
      <c r="K640" s="24"/>
    </row>
    <row r="641" spans="1:11" x14ac:dyDescent="0.35">
      <c r="A641" s="24"/>
      <c r="B641" s="31" t="str">
        <f>IFERROR(VLOOKUP(A641,Clientes_PDV!$A$2:$J$250,2,FALSE),"")</f>
        <v/>
      </c>
      <c r="C641" s="31" t="str">
        <f>IFERROR(VLOOKUP(A641,Clientes_PDV!$A$2:$J$250,3,FALSE),"")</f>
        <v/>
      </c>
      <c r="D641" s="31" t="str">
        <f>IFERROR(VLOOKUP(A641,Clientes_PDV!$A$2:$J$250,4,FALSE),"")</f>
        <v/>
      </c>
      <c r="E641" s="24"/>
      <c r="F641" s="31" t="str">
        <f>IFERROR(VLOOKUP(E641,Maestro_SKU!$A$2:$P$500,2,FALSE),"")</f>
        <v/>
      </c>
      <c r="G641" s="24"/>
      <c r="H641" s="31" t="str">
        <f>IF(OR(G641="",E641=""),"",G641*IFERROR(VLOOKUP(E641,Maestro_SKU!$A$2:$P$500,12,FALSE),1))</f>
        <v/>
      </c>
      <c r="I641" s="25"/>
      <c r="J641" s="31" t="str">
        <f>IF(A641="","",IF(H641&lt;=Inicio!$B$16,"Crítico",IF(H641&lt;=Inicio!$B$17,"Observar","OK")))</f>
        <v/>
      </c>
      <c r="K641" s="24"/>
    </row>
    <row r="642" spans="1:11" x14ac:dyDescent="0.35">
      <c r="A642" s="24"/>
      <c r="B642" s="31" t="str">
        <f>IFERROR(VLOOKUP(A642,Clientes_PDV!$A$2:$J$250,2,FALSE),"")</f>
        <v/>
      </c>
      <c r="C642" s="31" t="str">
        <f>IFERROR(VLOOKUP(A642,Clientes_PDV!$A$2:$J$250,3,FALSE),"")</f>
        <v/>
      </c>
      <c r="D642" s="31" t="str">
        <f>IFERROR(VLOOKUP(A642,Clientes_PDV!$A$2:$J$250,4,FALSE),"")</f>
        <v/>
      </c>
      <c r="E642" s="24"/>
      <c r="F642" s="31" t="str">
        <f>IFERROR(VLOOKUP(E642,Maestro_SKU!$A$2:$P$500,2,FALSE),"")</f>
        <v/>
      </c>
      <c r="G642" s="24"/>
      <c r="H642" s="31" t="str">
        <f>IF(OR(G642="",E642=""),"",G642*IFERROR(VLOOKUP(E642,Maestro_SKU!$A$2:$P$500,12,FALSE),1))</f>
        <v/>
      </c>
      <c r="I642" s="25"/>
      <c r="J642" s="31" t="str">
        <f>IF(A642="","",IF(H642&lt;=Inicio!$B$16,"Crítico",IF(H642&lt;=Inicio!$B$17,"Observar","OK")))</f>
        <v/>
      </c>
      <c r="K642" s="24"/>
    </row>
    <row r="643" spans="1:11" x14ac:dyDescent="0.35">
      <c r="A643" s="24"/>
      <c r="B643" s="31" t="str">
        <f>IFERROR(VLOOKUP(A643,Clientes_PDV!$A$2:$J$250,2,FALSE),"")</f>
        <v/>
      </c>
      <c r="C643" s="31" t="str">
        <f>IFERROR(VLOOKUP(A643,Clientes_PDV!$A$2:$J$250,3,FALSE),"")</f>
        <v/>
      </c>
      <c r="D643" s="31" t="str">
        <f>IFERROR(VLOOKUP(A643,Clientes_PDV!$A$2:$J$250,4,FALSE),"")</f>
        <v/>
      </c>
      <c r="E643" s="24"/>
      <c r="F643" s="31" t="str">
        <f>IFERROR(VLOOKUP(E643,Maestro_SKU!$A$2:$P$500,2,FALSE),"")</f>
        <v/>
      </c>
      <c r="G643" s="24"/>
      <c r="H643" s="31" t="str">
        <f>IF(OR(G643="",E643=""),"",G643*IFERROR(VLOOKUP(E643,Maestro_SKU!$A$2:$P$500,12,FALSE),1))</f>
        <v/>
      </c>
      <c r="I643" s="25"/>
      <c r="J643" s="31" t="str">
        <f>IF(A643="","",IF(H643&lt;=Inicio!$B$16,"Crítico",IF(H643&lt;=Inicio!$B$17,"Observar","OK")))</f>
        <v/>
      </c>
      <c r="K643" s="24"/>
    </row>
    <row r="644" spans="1:11" x14ac:dyDescent="0.35">
      <c r="A644" s="24"/>
      <c r="B644" s="31" t="str">
        <f>IFERROR(VLOOKUP(A644,Clientes_PDV!$A$2:$J$250,2,FALSE),"")</f>
        <v/>
      </c>
      <c r="C644" s="31" t="str">
        <f>IFERROR(VLOOKUP(A644,Clientes_PDV!$A$2:$J$250,3,FALSE),"")</f>
        <v/>
      </c>
      <c r="D644" s="31" t="str">
        <f>IFERROR(VLOOKUP(A644,Clientes_PDV!$A$2:$J$250,4,FALSE),"")</f>
        <v/>
      </c>
      <c r="E644" s="24"/>
      <c r="F644" s="31" t="str">
        <f>IFERROR(VLOOKUP(E644,Maestro_SKU!$A$2:$P$500,2,FALSE),"")</f>
        <v/>
      </c>
      <c r="G644" s="24"/>
      <c r="H644" s="31" t="str">
        <f>IF(OR(G644="",E644=""),"",G644*IFERROR(VLOOKUP(E644,Maestro_SKU!$A$2:$P$500,12,FALSE),1))</f>
        <v/>
      </c>
      <c r="I644" s="25"/>
      <c r="J644" s="31" t="str">
        <f>IF(A644="","",IF(H644&lt;=Inicio!$B$16,"Crítico",IF(H644&lt;=Inicio!$B$17,"Observar","OK")))</f>
        <v/>
      </c>
      <c r="K644" s="24"/>
    </row>
    <row r="645" spans="1:11" x14ac:dyDescent="0.35">
      <c r="A645" s="24"/>
      <c r="B645" s="31" t="str">
        <f>IFERROR(VLOOKUP(A645,Clientes_PDV!$A$2:$J$250,2,FALSE),"")</f>
        <v/>
      </c>
      <c r="C645" s="31" t="str">
        <f>IFERROR(VLOOKUP(A645,Clientes_PDV!$A$2:$J$250,3,FALSE),"")</f>
        <v/>
      </c>
      <c r="D645" s="31" t="str">
        <f>IFERROR(VLOOKUP(A645,Clientes_PDV!$A$2:$J$250,4,FALSE),"")</f>
        <v/>
      </c>
      <c r="E645" s="24"/>
      <c r="F645" s="31" t="str">
        <f>IFERROR(VLOOKUP(E645,Maestro_SKU!$A$2:$P$500,2,FALSE),"")</f>
        <v/>
      </c>
      <c r="G645" s="24"/>
      <c r="H645" s="31" t="str">
        <f>IF(OR(G645="",E645=""),"",G645*IFERROR(VLOOKUP(E645,Maestro_SKU!$A$2:$P$500,12,FALSE),1))</f>
        <v/>
      </c>
      <c r="I645" s="25"/>
      <c r="J645" s="31" t="str">
        <f>IF(A645="","",IF(H645&lt;=Inicio!$B$16,"Crítico",IF(H645&lt;=Inicio!$B$17,"Observar","OK")))</f>
        <v/>
      </c>
      <c r="K645" s="24"/>
    </row>
    <row r="646" spans="1:11" x14ac:dyDescent="0.35">
      <c r="A646" s="24"/>
      <c r="B646" s="31" t="str">
        <f>IFERROR(VLOOKUP(A646,Clientes_PDV!$A$2:$J$250,2,FALSE),"")</f>
        <v/>
      </c>
      <c r="C646" s="31" t="str">
        <f>IFERROR(VLOOKUP(A646,Clientes_PDV!$A$2:$J$250,3,FALSE),"")</f>
        <v/>
      </c>
      <c r="D646" s="31" t="str">
        <f>IFERROR(VLOOKUP(A646,Clientes_PDV!$A$2:$J$250,4,FALSE),"")</f>
        <v/>
      </c>
      <c r="E646" s="24"/>
      <c r="F646" s="31" t="str">
        <f>IFERROR(VLOOKUP(E646,Maestro_SKU!$A$2:$P$500,2,FALSE),"")</f>
        <v/>
      </c>
      <c r="G646" s="24"/>
      <c r="H646" s="31" t="str">
        <f>IF(OR(G646="",E646=""),"",G646*IFERROR(VLOOKUP(E646,Maestro_SKU!$A$2:$P$500,12,FALSE),1))</f>
        <v/>
      </c>
      <c r="I646" s="25"/>
      <c r="J646" s="31" t="str">
        <f>IF(A646="","",IF(H646&lt;=Inicio!$B$16,"Crítico",IF(H646&lt;=Inicio!$B$17,"Observar","OK")))</f>
        <v/>
      </c>
      <c r="K646" s="24"/>
    </row>
    <row r="647" spans="1:11" x14ac:dyDescent="0.35">
      <c r="A647" s="24"/>
      <c r="B647" s="31" t="str">
        <f>IFERROR(VLOOKUP(A647,Clientes_PDV!$A$2:$J$250,2,FALSE),"")</f>
        <v/>
      </c>
      <c r="C647" s="31" t="str">
        <f>IFERROR(VLOOKUP(A647,Clientes_PDV!$A$2:$J$250,3,FALSE),"")</f>
        <v/>
      </c>
      <c r="D647" s="31" t="str">
        <f>IFERROR(VLOOKUP(A647,Clientes_PDV!$A$2:$J$250,4,FALSE),"")</f>
        <v/>
      </c>
      <c r="E647" s="24"/>
      <c r="F647" s="31" t="str">
        <f>IFERROR(VLOOKUP(E647,Maestro_SKU!$A$2:$P$500,2,FALSE),"")</f>
        <v/>
      </c>
      <c r="G647" s="24"/>
      <c r="H647" s="31" t="str">
        <f>IF(OR(G647="",E647=""),"",G647*IFERROR(VLOOKUP(E647,Maestro_SKU!$A$2:$P$500,12,FALSE),1))</f>
        <v/>
      </c>
      <c r="I647" s="25"/>
      <c r="J647" s="31" t="str">
        <f>IF(A647="","",IF(H647&lt;=Inicio!$B$16,"Crítico",IF(H647&lt;=Inicio!$B$17,"Observar","OK")))</f>
        <v/>
      </c>
      <c r="K647" s="24"/>
    </row>
    <row r="648" spans="1:11" x14ac:dyDescent="0.35">
      <c r="A648" s="24"/>
      <c r="B648" s="31" t="str">
        <f>IFERROR(VLOOKUP(A648,Clientes_PDV!$A$2:$J$250,2,FALSE),"")</f>
        <v/>
      </c>
      <c r="C648" s="31" t="str">
        <f>IFERROR(VLOOKUP(A648,Clientes_PDV!$A$2:$J$250,3,FALSE),"")</f>
        <v/>
      </c>
      <c r="D648" s="31" t="str">
        <f>IFERROR(VLOOKUP(A648,Clientes_PDV!$A$2:$J$250,4,FALSE),"")</f>
        <v/>
      </c>
      <c r="E648" s="24"/>
      <c r="F648" s="31" t="str">
        <f>IFERROR(VLOOKUP(E648,Maestro_SKU!$A$2:$P$500,2,FALSE),"")</f>
        <v/>
      </c>
      <c r="G648" s="24"/>
      <c r="H648" s="31" t="str">
        <f>IF(OR(G648="",E648=""),"",G648*IFERROR(VLOOKUP(E648,Maestro_SKU!$A$2:$P$500,12,FALSE),1))</f>
        <v/>
      </c>
      <c r="I648" s="25"/>
      <c r="J648" s="31" t="str">
        <f>IF(A648="","",IF(H648&lt;=Inicio!$B$16,"Crítico",IF(H648&lt;=Inicio!$B$17,"Observar","OK")))</f>
        <v/>
      </c>
      <c r="K648" s="24"/>
    </row>
    <row r="649" spans="1:11" x14ac:dyDescent="0.35">
      <c r="A649" s="24"/>
      <c r="B649" s="31" t="str">
        <f>IFERROR(VLOOKUP(A649,Clientes_PDV!$A$2:$J$250,2,FALSE),"")</f>
        <v/>
      </c>
      <c r="C649" s="31" t="str">
        <f>IFERROR(VLOOKUP(A649,Clientes_PDV!$A$2:$J$250,3,FALSE),"")</f>
        <v/>
      </c>
      <c r="D649" s="31" t="str">
        <f>IFERROR(VLOOKUP(A649,Clientes_PDV!$A$2:$J$250,4,FALSE),"")</f>
        <v/>
      </c>
      <c r="E649" s="24"/>
      <c r="F649" s="31" t="str">
        <f>IFERROR(VLOOKUP(E649,Maestro_SKU!$A$2:$P$500,2,FALSE),"")</f>
        <v/>
      </c>
      <c r="G649" s="24"/>
      <c r="H649" s="31" t="str">
        <f>IF(OR(G649="",E649=""),"",G649*IFERROR(VLOOKUP(E649,Maestro_SKU!$A$2:$P$500,12,FALSE),1))</f>
        <v/>
      </c>
      <c r="I649" s="25"/>
      <c r="J649" s="31" t="str">
        <f>IF(A649="","",IF(H649&lt;=Inicio!$B$16,"Crítico",IF(H649&lt;=Inicio!$B$17,"Observar","OK")))</f>
        <v/>
      </c>
      <c r="K649" s="24"/>
    </row>
    <row r="650" spans="1:11" x14ac:dyDescent="0.35">
      <c r="A650" s="24"/>
      <c r="B650" s="31" t="str">
        <f>IFERROR(VLOOKUP(A650,Clientes_PDV!$A$2:$J$250,2,FALSE),"")</f>
        <v/>
      </c>
      <c r="C650" s="31" t="str">
        <f>IFERROR(VLOOKUP(A650,Clientes_PDV!$A$2:$J$250,3,FALSE),"")</f>
        <v/>
      </c>
      <c r="D650" s="31" t="str">
        <f>IFERROR(VLOOKUP(A650,Clientes_PDV!$A$2:$J$250,4,FALSE),"")</f>
        <v/>
      </c>
      <c r="E650" s="24"/>
      <c r="F650" s="31" t="str">
        <f>IFERROR(VLOOKUP(E650,Maestro_SKU!$A$2:$P$500,2,FALSE),"")</f>
        <v/>
      </c>
      <c r="G650" s="24"/>
      <c r="H650" s="31" t="str">
        <f>IF(OR(G650="",E650=""),"",G650*IFERROR(VLOOKUP(E650,Maestro_SKU!$A$2:$P$500,12,FALSE),1))</f>
        <v/>
      </c>
      <c r="I650" s="25"/>
      <c r="J650" s="31" t="str">
        <f>IF(A650="","",IF(H650&lt;=Inicio!$B$16,"Crítico",IF(H650&lt;=Inicio!$B$17,"Observar","OK")))</f>
        <v/>
      </c>
      <c r="K650" s="24"/>
    </row>
    <row r="651" spans="1:11" x14ac:dyDescent="0.35">
      <c r="A651" s="24"/>
      <c r="B651" s="31" t="str">
        <f>IFERROR(VLOOKUP(A651,Clientes_PDV!$A$2:$J$250,2,FALSE),"")</f>
        <v/>
      </c>
      <c r="C651" s="31" t="str">
        <f>IFERROR(VLOOKUP(A651,Clientes_PDV!$A$2:$J$250,3,FALSE),"")</f>
        <v/>
      </c>
      <c r="D651" s="31" t="str">
        <f>IFERROR(VLOOKUP(A651,Clientes_PDV!$A$2:$J$250,4,FALSE),"")</f>
        <v/>
      </c>
      <c r="E651" s="24"/>
      <c r="F651" s="31" t="str">
        <f>IFERROR(VLOOKUP(E651,Maestro_SKU!$A$2:$P$500,2,FALSE),"")</f>
        <v/>
      </c>
      <c r="G651" s="24"/>
      <c r="H651" s="31" t="str">
        <f>IF(OR(G651="",E651=""),"",G651*IFERROR(VLOOKUP(E651,Maestro_SKU!$A$2:$P$500,12,FALSE),1))</f>
        <v/>
      </c>
      <c r="I651" s="25"/>
      <c r="J651" s="31" t="str">
        <f>IF(A651="","",IF(H651&lt;=Inicio!$B$16,"Crítico",IF(H651&lt;=Inicio!$B$17,"Observar","OK")))</f>
        <v/>
      </c>
      <c r="K651" s="24"/>
    </row>
    <row r="652" spans="1:11" x14ac:dyDescent="0.35">
      <c r="A652" s="24"/>
      <c r="B652" s="31" t="str">
        <f>IFERROR(VLOOKUP(A652,Clientes_PDV!$A$2:$J$250,2,FALSE),"")</f>
        <v/>
      </c>
      <c r="C652" s="31" t="str">
        <f>IFERROR(VLOOKUP(A652,Clientes_PDV!$A$2:$J$250,3,FALSE),"")</f>
        <v/>
      </c>
      <c r="D652" s="31" t="str">
        <f>IFERROR(VLOOKUP(A652,Clientes_PDV!$A$2:$J$250,4,FALSE),"")</f>
        <v/>
      </c>
      <c r="E652" s="24"/>
      <c r="F652" s="31" t="str">
        <f>IFERROR(VLOOKUP(E652,Maestro_SKU!$A$2:$P$500,2,FALSE),"")</f>
        <v/>
      </c>
      <c r="G652" s="24"/>
      <c r="H652" s="31" t="str">
        <f>IF(OR(G652="",E652=""),"",G652*IFERROR(VLOOKUP(E652,Maestro_SKU!$A$2:$P$500,12,FALSE),1))</f>
        <v/>
      </c>
      <c r="I652" s="25"/>
      <c r="J652" s="31" t="str">
        <f>IF(A652="","",IF(H652&lt;=Inicio!$B$16,"Crítico",IF(H652&lt;=Inicio!$B$17,"Observar","OK")))</f>
        <v/>
      </c>
      <c r="K652" s="24"/>
    </row>
    <row r="653" spans="1:11" x14ac:dyDescent="0.35">
      <c r="A653" s="24"/>
      <c r="B653" s="31" t="str">
        <f>IFERROR(VLOOKUP(A653,Clientes_PDV!$A$2:$J$250,2,FALSE),"")</f>
        <v/>
      </c>
      <c r="C653" s="31" t="str">
        <f>IFERROR(VLOOKUP(A653,Clientes_PDV!$A$2:$J$250,3,FALSE),"")</f>
        <v/>
      </c>
      <c r="D653" s="31" t="str">
        <f>IFERROR(VLOOKUP(A653,Clientes_PDV!$A$2:$J$250,4,FALSE),"")</f>
        <v/>
      </c>
      <c r="E653" s="24"/>
      <c r="F653" s="31" t="str">
        <f>IFERROR(VLOOKUP(E653,Maestro_SKU!$A$2:$P$500,2,FALSE),"")</f>
        <v/>
      </c>
      <c r="G653" s="24"/>
      <c r="H653" s="31" t="str">
        <f>IF(OR(G653="",E653=""),"",G653*IFERROR(VLOOKUP(E653,Maestro_SKU!$A$2:$P$500,12,FALSE),1))</f>
        <v/>
      </c>
      <c r="I653" s="25"/>
      <c r="J653" s="31" t="str">
        <f>IF(A653="","",IF(H653&lt;=Inicio!$B$16,"Crítico",IF(H653&lt;=Inicio!$B$17,"Observar","OK")))</f>
        <v/>
      </c>
      <c r="K653" s="24"/>
    </row>
    <row r="654" spans="1:11" x14ac:dyDescent="0.35">
      <c r="A654" s="24"/>
      <c r="B654" s="31" t="str">
        <f>IFERROR(VLOOKUP(A654,Clientes_PDV!$A$2:$J$250,2,FALSE),"")</f>
        <v/>
      </c>
      <c r="C654" s="31" t="str">
        <f>IFERROR(VLOOKUP(A654,Clientes_PDV!$A$2:$J$250,3,FALSE),"")</f>
        <v/>
      </c>
      <c r="D654" s="31" t="str">
        <f>IFERROR(VLOOKUP(A654,Clientes_PDV!$A$2:$J$250,4,FALSE),"")</f>
        <v/>
      </c>
      <c r="E654" s="24"/>
      <c r="F654" s="31" t="str">
        <f>IFERROR(VLOOKUP(E654,Maestro_SKU!$A$2:$P$500,2,FALSE),"")</f>
        <v/>
      </c>
      <c r="G654" s="24"/>
      <c r="H654" s="31" t="str">
        <f>IF(OR(G654="",E654=""),"",G654*IFERROR(VLOOKUP(E654,Maestro_SKU!$A$2:$P$500,12,FALSE),1))</f>
        <v/>
      </c>
      <c r="I654" s="25"/>
      <c r="J654" s="31" t="str">
        <f>IF(A654="","",IF(H654&lt;=Inicio!$B$16,"Crítico",IF(H654&lt;=Inicio!$B$17,"Observar","OK")))</f>
        <v/>
      </c>
      <c r="K654" s="24"/>
    </row>
    <row r="655" spans="1:11" x14ac:dyDescent="0.35">
      <c r="A655" s="24"/>
      <c r="B655" s="31" t="str">
        <f>IFERROR(VLOOKUP(A655,Clientes_PDV!$A$2:$J$250,2,FALSE),"")</f>
        <v/>
      </c>
      <c r="C655" s="31" t="str">
        <f>IFERROR(VLOOKUP(A655,Clientes_PDV!$A$2:$J$250,3,FALSE),"")</f>
        <v/>
      </c>
      <c r="D655" s="31" t="str">
        <f>IFERROR(VLOOKUP(A655,Clientes_PDV!$A$2:$J$250,4,FALSE),"")</f>
        <v/>
      </c>
      <c r="E655" s="24"/>
      <c r="F655" s="31" t="str">
        <f>IFERROR(VLOOKUP(E655,Maestro_SKU!$A$2:$P$500,2,FALSE),"")</f>
        <v/>
      </c>
      <c r="G655" s="24"/>
      <c r="H655" s="31" t="str">
        <f>IF(OR(G655="",E655=""),"",G655*IFERROR(VLOOKUP(E655,Maestro_SKU!$A$2:$P$500,12,FALSE),1))</f>
        <v/>
      </c>
      <c r="I655" s="25"/>
      <c r="J655" s="31" t="str">
        <f>IF(A655="","",IF(H655&lt;=Inicio!$B$16,"Crítico",IF(H655&lt;=Inicio!$B$17,"Observar","OK")))</f>
        <v/>
      </c>
      <c r="K655" s="24"/>
    </row>
    <row r="656" spans="1:11" x14ac:dyDescent="0.35">
      <c r="A656" s="24"/>
      <c r="B656" s="31" t="str">
        <f>IFERROR(VLOOKUP(A656,Clientes_PDV!$A$2:$J$250,2,FALSE),"")</f>
        <v/>
      </c>
      <c r="C656" s="31" t="str">
        <f>IFERROR(VLOOKUP(A656,Clientes_PDV!$A$2:$J$250,3,FALSE),"")</f>
        <v/>
      </c>
      <c r="D656" s="31" t="str">
        <f>IFERROR(VLOOKUP(A656,Clientes_PDV!$A$2:$J$250,4,FALSE),"")</f>
        <v/>
      </c>
      <c r="E656" s="24"/>
      <c r="F656" s="31" t="str">
        <f>IFERROR(VLOOKUP(E656,Maestro_SKU!$A$2:$P$500,2,FALSE),"")</f>
        <v/>
      </c>
      <c r="G656" s="24"/>
      <c r="H656" s="31" t="str">
        <f>IF(OR(G656="",E656=""),"",G656*IFERROR(VLOOKUP(E656,Maestro_SKU!$A$2:$P$500,12,FALSE),1))</f>
        <v/>
      </c>
      <c r="I656" s="25"/>
      <c r="J656" s="31" t="str">
        <f>IF(A656="","",IF(H656&lt;=Inicio!$B$16,"Crítico",IF(H656&lt;=Inicio!$B$17,"Observar","OK")))</f>
        <v/>
      </c>
      <c r="K656" s="24"/>
    </row>
    <row r="657" spans="1:11" x14ac:dyDescent="0.35">
      <c r="A657" s="24"/>
      <c r="B657" s="31" t="str">
        <f>IFERROR(VLOOKUP(A657,Clientes_PDV!$A$2:$J$250,2,FALSE),"")</f>
        <v/>
      </c>
      <c r="C657" s="31" t="str">
        <f>IFERROR(VLOOKUP(A657,Clientes_PDV!$A$2:$J$250,3,FALSE),"")</f>
        <v/>
      </c>
      <c r="D657" s="31" t="str">
        <f>IFERROR(VLOOKUP(A657,Clientes_PDV!$A$2:$J$250,4,FALSE),"")</f>
        <v/>
      </c>
      <c r="E657" s="24"/>
      <c r="F657" s="31" t="str">
        <f>IFERROR(VLOOKUP(E657,Maestro_SKU!$A$2:$P$500,2,FALSE),"")</f>
        <v/>
      </c>
      <c r="G657" s="24"/>
      <c r="H657" s="31" t="str">
        <f>IF(OR(G657="",E657=""),"",G657*IFERROR(VLOOKUP(E657,Maestro_SKU!$A$2:$P$500,12,FALSE),1))</f>
        <v/>
      </c>
      <c r="I657" s="25"/>
      <c r="J657" s="31" t="str">
        <f>IF(A657="","",IF(H657&lt;=Inicio!$B$16,"Crítico",IF(H657&lt;=Inicio!$B$17,"Observar","OK")))</f>
        <v/>
      </c>
      <c r="K657" s="24"/>
    </row>
    <row r="658" spans="1:11" x14ac:dyDescent="0.35">
      <c r="A658" s="24"/>
      <c r="B658" s="31" t="str">
        <f>IFERROR(VLOOKUP(A658,Clientes_PDV!$A$2:$J$250,2,FALSE),"")</f>
        <v/>
      </c>
      <c r="C658" s="31" t="str">
        <f>IFERROR(VLOOKUP(A658,Clientes_PDV!$A$2:$J$250,3,FALSE),"")</f>
        <v/>
      </c>
      <c r="D658" s="31" t="str">
        <f>IFERROR(VLOOKUP(A658,Clientes_PDV!$A$2:$J$250,4,FALSE),"")</f>
        <v/>
      </c>
      <c r="E658" s="24"/>
      <c r="F658" s="31" t="str">
        <f>IFERROR(VLOOKUP(E658,Maestro_SKU!$A$2:$P$500,2,FALSE),"")</f>
        <v/>
      </c>
      <c r="G658" s="24"/>
      <c r="H658" s="31" t="str">
        <f>IF(OR(G658="",E658=""),"",G658*IFERROR(VLOOKUP(E658,Maestro_SKU!$A$2:$P$500,12,FALSE),1))</f>
        <v/>
      </c>
      <c r="I658" s="25"/>
      <c r="J658" s="31" t="str">
        <f>IF(A658="","",IF(H658&lt;=Inicio!$B$16,"Crítico",IF(H658&lt;=Inicio!$B$17,"Observar","OK")))</f>
        <v/>
      </c>
      <c r="K658" s="24"/>
    </row>
    <row r="659" spans="1:11" x14ac:dyDescent="0.35">
      <c r="A659" s="24"/>
      <c r="B659" s="31" t="str">
        <f>IFERROR(VLOOKUP(A659,Clientes_PDV!$A$2:$J$250,2,FALSE),"")</f>
        <v/>
      </c>
      <c r="C659" s="31" t="str">
        <f>IFERROR(VLOOKUP(A659,Clientes_PDV!$A$2:$J$250,3,FALSE),"")</f>
        <v/>
      </c>
      <c r="D659" s="31" t="str">
        <f>IFERROR(VLOOKUP(A659,Clientes_PDV!$A$2:$J$250,4,FALSE),"")</f>
        <v/>
      </c>
      <c r="E659" s="24"/>
      <c r="F659" s="31" t="str">
        <f>IFERROR(VLOOKUP(E659,Maestro_SKU!$A$2:$P$500,2,FALSE),"")</f>
        <v/>
      </c>
      <c r="G659" s="24"/>
      <c r="H659" s="31" t="str">
        <f>IF(OR(G659="",E659=""),"",G659*IFERROR(VLOOKUP(E659,Maestro_SKU!$A$2:$P$500,12,FALSE),1))</f>
        <v/>
      </c>
      <c r="I659" s="25"/>
      <c r="J659" s="31" t="str">
        <f>IF(A659="","",IF(H659&lt;=Inicio!$B$16,"Crítico",IF(H659&lt;=Inicio!$B$17,"Observar","OK")))</f>
        <v/>
      </c>
      <c r="K659" s="24"/>
    </row>
    <row r="660" spans="1:11" x14ac:dyDescent="0.35">
      <c r="A660" s="24"/>
      <c r="B660" s="31" t="str">
        <f>IFERROR(VLOOKUP(A660,Clientes_PDV!$A$2:$J$250,2,FALSE),"")</f>
        <v/>
      </c>
      <c r="C660" s="31" t="str">
        <f>IFERROR(VLOOKUP(A660,Clientes_PDV!$A$2:$J$250,3,FALSE),"")</f>
        <v/>
      </c>
      <c r="D660" s="31" t="str">
        <f>IFERROR(VLOOKUP(A660,Clientes_PDV!$A$2:$J$250,4,FALSE),"")</f>
        <v/>
      </c>
      <c r="E660" s="24"/>
      <c r="F660" s="31" t="str">
        <f>IFERROR(VLOOKUP(E660,Maestro_SKU!$A$2:$P$500,2,FALSE),"")</f>
        <v/>
      </c>
      <c r="G660" s="24"/>
      <c r="H660" s="31" t="str">
        <f>IF(OR(G660="",E660=""),"",G660*IFERROR(VLOOKUP(E660,Maestro_SKU!$A$2:$P$500,12,FALSE),1))</f>
        <v/>
      </c>
      <c r="I660" s="25"/>
      <c r="J660" s="31" t="str">
        <f>IF(A660="","",IF(H660&lt;=Inicio!$B$16,"Crítico",IF(H660&lt;=Inicio!$B$17,"Observar","OK")))</f>
        <v/>
      </c>
      <c r="K660" s="24"/>
    </row>
    <row r="661" spans="1:11" x14ac:dyDescent="0.35">
      <c r="A661" s="24"/>
      <c r="B661" s="31" t="str">
        <f>IFERROR(VLOOKUP(A661,Clientes_PDV!$A$2:$J$250,2,FALSE),"")</f>
        <v/>
      </c>
      <c r="C661" s="31" t="str">
        <f>IFERROR(VLOOKUP(A661,Clientes_PDV!$A$2:$J$250,3,FALSE),"")</f>
        <v/>
      </c>
      <c r="D661" s="31" t="str">
        <f>IFERROR(VLOOKUP(A661,Clientes_PDV!$A$2:$J$250,4,FALSE),"")</f>
        <v/>
      </c>
      <c r="E661" s="24"/>
      <c r="F661" s="31" t="str">
        <f>IFERROR(VLOOKUP(E661,Maestro_SKU!$A$2:$P$500,2,FALSE),"")</f>
        <v/>
      </c>
      <c r="G661" s="24"/>
      <c r="H661" s="31" t="str">
        <f>IF(OR(G661="",E661=""),"",G661*IFERROR(VLOOKUP(E661,Maestro_SKU!$A$2:$P$500,12,FALSE),1))</f>
        <v/>
      </c>
      <c r="I661" s="25"/>
      <c r="J661" s="31" t="str">
        <f>IF(A661="","",IF(H661&lt;=Inicio!$B$16,"Crítico",IF(H661&lt;=Inicio!$B$17,"Observar","OK")))</f>
        <v/>
      </c>
      <c r="K661" s="24"/>
    </row>
    <row r="662" spans="1:11" x14ac:dyDescent="0.35">
      <c r="A662" s="24"/>
      <c r="B662" s="31" t="str">
        <f>IFERROR(VLOOKUP(A662,Clientes_PDV!$A$2:$J$250,2,FALSE),"")</f>
        <v/>
      </c>
      <c r="C662" s="31" t="str">
        <f>IFERROR(VLOOKUP(A662,Clientes_PDV!$A$2:$J$250,3,FALSE),"")</f>
        <v/>
      </c>
      <c r="D662" s="31" t="str">
        <f>IFERROR(VLOOKUP(A662,Clientes_PDV!$A$2:$J$250,4,FALSE),"")</f>
        <v/>
      </c>
      <c r="E662" s="24"/>
      <c r="F662" s="31" t="str">
        <f>IFERROR(VLOOKUP(E662,Maestro_SKU!$A$2:$P$500,2,FALSE),"")</f>
        <v/>
      </c>
      <c r="G662" s="24"/>
      <c r="H662" s="31" t="str">
        <f>IF(OR(G662="",E662=""),"",G662*IFERROR(VLOOKUP(E662,Maestro_SKU!$A$2:$P$500,12,FALSE),1))</f>
        <v/>
      </c>
      <c r="I662" s="25"/>
      <c r="J662" s="31" t="str">
        <f>IF(A662="","",IF(H662&lt;=Inicio!$B$16,"Crítico",IF(H662&lt;=Inicio!$B$17,"Observar","OK")))</f>
        <v/>
      </c>
      <c r="K662" s="24"/>
    </row>
    <row r="663" spans="1:11" x14ac:dyDescent="0.35">
      <c r="A663" s="24"/>
      <c r="B663" s="31" t="str">
        <f>IFERROR(VLOOKUP(A663,Clientes_PDV!$A$2:$J$250,2,FALSE),"")</f>
        <v/>
      </c>
      <c r="C663" s="31" t="str">
        <f>IFERROR(VLOOKUP(A663,Clientes_PDV!$A$2:$J$250,3,FALSE),"")</f>
        <v/>
      </c>
      <c r="D663" s="31" t="str">
        <f>IFERROR(VLOOKUP(A663,Clientes_PDV!$A$2:$J$250,4,FALSE),"")</f>
        <v/>
      </c>
      <c r="E663" s="24"/>
      <c r="F663" s="31" t="str">
        <f>IFERROR(VLOOKUP(E663,Maestro_SKU!$A$2:$P$500,2,FALSE),"")</f>
        <v/>
      </c>
      <c r="G663" s="24"/>
      <c r="H663" s="31" t="str">
        <f>IF(OR(G663="",E663=""),"",G663*IFERROR(VLOOKUP(E663,Maestro_SKU!$A$2:$P$500,12,FALSE),1))</f>
        <v/>
      </c>
      <c r="I663" s="25"/>
      <c r="J663" s="31" t="str">
        <f>IF(A663="","",IF(H663&lt;=Inicio!$B$16,"Crítico",IF(H663&lt;=Inicio!$B$17,"Observar","OK")))</f>
        <v/>
      </c>
      <c r="K663" s="24"/>
    </row>
    <row r="664" spans="1:11" x14ac:dyDescent="0.35">
      <c r="A664" s="24"/>
      <c r="B664" s="31" t="str">
        <f>IFERROR(VLOOKUP(A664,Clientes_PDV!$A$2:$J$250,2,FALSE),"")</f>
        <v/>
      </c>
      <c r="C664" s="31" t="str">
        <f>IFERROR(VLOOKUP(A664,Clientes_PDV!$A$2:$J$250,3,FALSE),"")</f>
        <v/>
      </c>
      <c r="D664" s="31" t="str">
        <f>IFERROR(VLOOKUP(A664,Clientes_PDV!$A$2:$J$250,4,FALSE),"")</f>
        <v/>
      </c>
      <c r="E664" s="24"/>
      <c r="F664" s="31" t="str">
        <f>IFERROR(VLOOKUP(E664,Maestro_SKU!$A$2:$P$500,2,FALSE),"")</f>
        <v/>
      </c>
      <c r="G664" s="24"/>
      <c r="H664" s="31" t="str">
        <f>IF(OR(G664="",E664=""),"",G664*IFERROR(VLOOKUP(E664,Maestro_SKU!$A$2:$P$500,12,FALSE),1))</f>
        <v/>
      </c>
      <c r="I664" s="25"/>
      <c r="J664" s="31" t="str">
        <f>IF(A664="","",IF(H664&lt;=Inicio!$B$16,"Crítico",IF(H664&lt;=Inicio!$B$17,"Observar","OK")))</f>
        <v/>
      </c>
      <c r="K664" s="24"/>
    </row>
    <row r="665" spans="1:11" x14ac:dyDescent="0.35">
      <c r="A665" s="24"/>
      <c r="B665" s="31" t="str">
        <f>IFERROR(VLOOKUP(A665,Clientes_PDV!$A$2:$J$250,2,FALSE),"")</f>
        <v/>
      </c>
      <c r="C665" s="31" t="str">
        <f>IFERROR(VLOOKUP(A665,Clientes_PDV!$A$2:$J$250,3,FALSE),"")</f>
        <v/>
      </c>
      <c r="D665" s="31" t="str">
        <f>IFERROR(VLOOKUP(A665,Clientes_PDV!$A$2:$J$250,4,FALSE),"")</f>
        <v/>
      </c>
      <c r="E665" s="24"/>
      <c r="F665" s="31" t="str">
        <f>IFERROR(VLOOKUP(E665,Maestro_SKU!$A$2:$P$500,2,FALSE),"")</f>
        <v/>
      </c>
      <c r="G665" s="24"/>
      <c r="H665" s="31" t="str">
        <f>IF(OR(G665="",E665=""),"",G665*IFERROR(VLOOKUP(E665,Maestro_SKU!$A$2:$P$500,12,FALSE),1))</f>
        <v/>
      </c>
      <c r="I665" s="25"/>
      <c r="J665" s="31" t="str">
        <f>IF(A665="","",IF(H665&lt;=Inicio!$B$16,"Crítico",IF(H665&lt;=Inicio!$B$17,"Observar","OK")))</f>
        <v/>
      </c>
      <c r="K665" s="24"/>
    </row>
    <row r="666" spans="1:11" x14ac:dyDescent="0.35">
      <c r="A666" s="24"/>
      <c r="B666" s="31" t="str">
        <f>IFERROR(VLOOKUP(A666,Clientes_PDV!$A$2:$J$250,2,FALSE),"")</f>
        <v/>
      </c>
      <c r="C666" s="31" t="str">
        <f>IFERROR(VLOOKUP(A666,Clientes_PDV!$A$2:$J$250,3,FALSE),"")</f>
        <v/>
      </c>
      <c r="D666" s="31" t="str">
        <f>IFERROR(VLOOKUP(A666,Clientes_PDV!$A$2:$J$250,4,FALSE),"")</f>
        <v/>
      </c>
      <c r="E666" s="24"/>
      <c r="F666" s="31" t="str">
        <f>IFERROR(VLOOKUP(E666,Maestro_SKU!$A$2:$P$500,2,FALSE),"")</f>
        <v/>
      </c>
      <c r="G666" s="24"/>
      <c r="H666" s="31" t="str">
        <f>IF(OR(G666="",E666=""),"",G666*IFERROR(VLOOKUP(E666,Maestro_SKU!$A$2:$P$500,12,FALSE),1))</f>
        <v/>
      </c>
      <c r="I666" s="25"/>
      <c r="J666" s="31" t="str">
        <f>IF(A666="","",IF(H666&lt;=Inicio!$B$16,"Crítico",IF(H666&lt;=Inicio!$B$17,"Observar","OK")))</f>
        <v/>
      </c>
      <c r="K666" s="24"/>
    </row>
    <row r="667" spans="1:11" x14ac:dyDescent="0.35">
      <c r="A667" s="24"/>
      <c r="B667" s="31" t="str">
        <f>IFERROR(VLOOKUP(A667,Clientes_PDV!$A$2:$J$250,2,FALSE),"")</f>
        <v/>
      </c>
      <c r="C667" s="31" t="str">
        <f>IFERROR(VLOOKUP(A667,Clientes_PDV!$A$2:$J$250,3,FALSE),"")</f>
        <v/>
      </c>
      <c r="D667" s="31" t="str">
        <f>IFERROR(VLOOKUP(A667,Clientes_PDV!$A$2:$J$250,4,FALSE),"")</f>
        <v/>
      </c>
      <c r="E667" s="24"/>
      <c r="F667" s="31" t="str">
        <f>IFERROR(VLOOKUP(E667,Maestro_SKU!$A$2:$P$500,2,FALSE),"")</f>
        <v/>
      </c>
      <c r="G667" s="24"/>
      <c r="H667" s="31" t="str">
        <f>IF(OR(G667="",E667=""),"",G667*IFERROR(VLOOKUP(E667,Maestro_SKU!$A$2:$P$500,12,FALSE),1))</f>
        <v/>
      </c>
      <c r="I667" s="25"/>
      <c r="J667" s="31" t="str">
        <f>IF(A667="","",IF(H667&lt;=Inicio!$B$16,"Crítico",IF(H667&lt;=Inicio!$B$17,"Observar","OK")))</f>
        <v/>
      </c>
      <c r="K667" s="24"/>
    </row>
    <row r="668" spans="1:11" x14ac:dyDescent="0.35">
      <c r="A668" s="24"/>
      <c r="B668" s="31" t="str">
        <f>IFERROR(VLOOKUP(A668,Clientes_PDV!$A$2:$J$250,2,FALSE),"")</f>
        <v/>
      </c>
      <c r="C668" s="31" t="str">
        <f>IFERROR(VLOOKUP(A668,Clientes_PDV!$A$2:$J$250,3,FALSE),"")</f>
        <v/>
      </c>
      <c r="D668" s="31" t="str">
        <f>IFERROR(VLOOKUP(A668,Clientes_PDV!$A$2:$J$250,4,FALSE),"")</f>
        <v/>
      </c>
      <c r="E668" s="24"/>
      <c r="F668" s="31" t="str">
        <f>IFERROR(VLOOKUP(E668,Maestro_SKU!$A$2:$P$500,2,FALSE),"")</f>
        <v/>
      </c>
      <c r="G668" s="24"/>
      <c r="H668" s="31" t="str">
        <f>IF(OR(G668="",E668=""),"",G668*IFERROR(VLOOKUP(E668,Maestro_SKU!$A$2:$P$500,12,FALSE),1))</f>
        <v/>
      </c>
      <c r="I668" s="25"/>
      <c r="J668" s="31" t="str">
        <f>IF(A668="","",IF(H668&lt;=Inicio!$B$16,"Crítico",IF(H668&lt;=Inicio!$B$17,"Observar","OK")))</f>
        <v/>
      </c>
      <c r="K668" s="24"/>
    </row>
    <row r="669" spans="1:11" x14ac:dyDescent="0.35">
      <c r="A669" s="24"/>
      <c r="B669" s="31" t="str">
        <f>IFERROR(VLOOKUP(A669,Clientes_PDV!$A$2:$J$250,2,FALSE),"")</f>
        <v/>
      </c>
      <c r="C669" s="31" t="str">
        <f>IFERROR(VLOOKUP(A669,Clientes_PDV!$A$2:$J$250,3,FALSE),"")</f>
        <v/>
      </c>
      <c r="D669" s="31" t="str">
        <f>IFERROR(VLOOKUP(A669,Clientes_PDV!$A$2:$J$250,4,FALSE),"")</f>
        <v/>
      </c>
      <c r="E669" s="24"/>
      <c r="F669" s="31" t="str">
        <f>IFERROR(VLOOKUP(E669,Maestro_SKU!$A$2:$P$500,2,FALSE),"")</f>
        <v/>
      </c>
      <c r="G669" s="24"/>
      <c r="H669" s="31" t="str">
        <f>IF(OR(G669="",E669=""),"",G669*IFERROR(VLOOKUP(E669,Maestro_SKU!$A$2:$P$500,12,FALSE),1))</f>
        <v/>
      </c>
      <c r="I669" s="25"/>
      <c r="J669" s="31" t="str">
        <f>IF(A669="","",IF(H669&lt;=Inicio!$B$16,"Crítico",IF(H669&lt;=Inicio!$B$17,"Observar","OK")))</f>
        <v/>
      </c>
      <c r="K669" s="24"/>
    </row>
    <row r="670" spans="1:11" x14ac:dyDescent="0.35">
      <c r="A670" s="24"/>
      <c r="B670" s="31" t="str">
        <f>IFERROR(VLOOKUP(A670,Clientes_PDV!$A$2:$J$250,2,FALSE),"")</f>
        <v/>
      </c>
      <c r="C670" s="31" t="str">
        <f>IFERROR(VLOOKUP(A670,Clientes_PDV!$A$2:$J$250,3,FALSE),"")</f>
        <v/>
      </c>
      <c r="D670" s="31" t="str">
        <f>IFERROR(VLOOKUP(A670,Clientes_PDV!$A$2:$J$250,4,FALSE),"")</f>
        <v/>
      </c>
      <c r="E670" s="24"/>
      <c r="F670" s="31" t="str">
        <f>IFERROR(VLOOKUP(E670,Maestro_SKU!$A$2:$P$500,2,FALSE),"")</f>
        <v/>
      </c>
      <c r="G670" s="24"/>
      <c r="H670" s="31" t="str">
        <f>IF(OR(G670="",E670=""),"",G670*IFERROR(VLOOKUP(E670,Maestro_SKU!$A$2:$P$500,12,FALSE),1))</f>
        <v/>
      </c>
      <c r="I670" s="25"/>
      <c r="J670" s="31" t="str">
        <f>IF(A670="","",IF(H670&lt;=Inicio!$B$16,"Crítico",IF(H670&lt;=Inicio!$B$17,"Observar","OK")))</f>
        <v/>
      </c>
      <c r="K670" s="24"/>
    </row>
    <row r="671" spans="1:11" x14ac:dyDescent="0.35">
      <c r="A671" s="24"/>
      <c r="B671" s="31" t="str">
        <f>IFERROR(VLOOKUP(A671,Clientes_PDV!$A$2:$J$250,2,FALSE),"")</f>
        <v/>
      </c>
      <c r="C671" s="31" t="str">
        <f>IFERROR(VLOOKUP(A671,Clientes_PDV!$A$2:$J$250,3,FALSE),"")</f>
        <v/>
      </c>
      <c r="D671" s="31" t="str">
        <f>IFERROR(VLOOKUP(A671,Clientes_PDV!$A$2:$J$250,4,FALSE),"")</f>
        <v/>
      </c>
      <c r="E671" s="24"/>
      <c r="F671" s="31" t="str">
        <f>IFERROR(VLOOKUP(E671,Maestro_SKU!$A$2:$P$500,2,FALSE),"")</f>
        <v/>
      </c>
      <c r="G671" s="24"/>
      <c r="H671" s="31" t="str">
        <f>IF(OR(G671="",E671=""),"",G671*IFERROR(VLOOKUP(E671,Maestro_SKU!$A$2:$P$500,12,FALSE),1))</f>
        <v/>
      </c>
      <c r="I671" s="25"/>
      <c r="J671" s="31" t="str">
        <f>IF(A671="","",IF(H671&lt;=Inicio!$B$16,"Crítico",IF(H671&lt;=Inicio!$B$17,"Observar","OK")))</f>
        <v/>
      </c>
      <c r="K671" s="24"/>
    </row>
    <row r="672" spans="1:11" x14ac:dyDescent="0.35">
      <c r="A672" s="24"/>
      <c r="B672" s="31" t="str">
        <f>IFERROR(VLOOKUP(A672,Clientes_PDV!$A$2:$J$250,2,FALSE),"")</f>
        <v/>
      </c>
      <c r="C672" s="31" t="str">
        <f>IFERROR(VLOOKUP(A672,Clientes_PDV!$A$2:$J$250,3,FALSE),"")</f>
        <v/>
      </c>
      <c r="D672" s="31" t="str">
        <f>IFERROR(VLOOKUP(A672,Clientes_PDV!$A$2:$J$250,4,FALSE),"")</f>
        <v/>
      </c>
      <c r="E672" s="24"/>
      <c r="F672" s="31" t="str">
        <f>IFERROR(VLOOKUP(E672,Maestro_SKU!$A$2:$P$500,2,FALSE),"")</f>
        <v/>
      </c>
      <c r="G672" s="24"/>
      <c r="H672" s="31" t="str">
        <f>IF(OR(G672="",E672=""),"",G672*IFERROR(VLOOKUP(E672,Maestro_SKU!$A$2:$P$500,12,FALSE),1))</f>
        <v/>
      </c>
      <c r="I672" s="25"/>
      <c r="J672" s="31" t="str">
        <f>IF(A672="","",IF(H672&lt;=Inicio!$B$16,"Crítico",IF(H672&lt;=Inicio!$B$17,"Observar","OK")))</f>
        <v/>
      </c>
      <c r="K672" s="24"/>
    </row>
    <row r="673" spans="1:11" x14ac:dyDescent="0.35">
      <c r="A673" s="24"/>
      <c r="B673" s="31" t="str">
        <f>IFERROR(VLOOKUP(A673,Clientes_PDV!$A$2:$J$250,2,FALSE),"")</f>
        <v/>
      </c>
      <c r="C673" s="31" t="str">
        <f>IFERROR(VLOOKUP(A673,Clientes_PDV!$A$2:$J$250,3,FALSE),"")</f>
        <v/>
      </c>
      <c r="D673" s="31" t="str">
        <f>IFERROR(VLOOKUP(A673,Clientes_PDV!$A$2:$J$250,4,FALSE),"")</f>
        <v/>
      </c>
      <c r="E673" s="24"/>
      <c r="F673" s="31" t="str">
        <f>IFERROR(VLOOKUP(E673,Maestro_SKU!$A$2:$P$500,2,FALSE),"")</f>
        <v/>
      </c>
      <c r="G673" s="24"/>
      <c r="H673" s="31" t="str">
        <f>IF(OR(G673="",E673=""),"",G673*IFERROR(VLOOKUP(E673,Maestro_SKU!$A$2:$P$500,12,FALSE),1))</f>
        <v/>
      </c>
      <c r="I673" s="25"/>
      <c r="J673" s="31" t="str">
        <f>IF(A673="","",IF(H673&lt;=Inicio!$B$16,"Crítico",IF(H673&lt;=Inicio!$B$17,"Observar","OK")))</f>
        <v/>
      </c>
      <c r="K673" s="24"/>
    </row>
    <row r="674" spans="1:11" x14ac:dyDescent="0.35">
      <c r="A674" s="24"/>
      <c r="B674" s="31" t="str">
        <f>IFERROR(VLOOKUP(A674,Clientes_PDV!$A$2:$J$250,2,FALSE),"")</f>
        <v/>
      </c>
      <c r="C674" s="31" t="str">
        <f>IFERROR(VLOOKUP(A674,Clientes_PDV!$A$2:$J$250,3,FALSE),"")</f>
        <v/>
      </c>
      <c r="D674" s="31" t="str">
        <f>IFERROR(VLOOKUP(A674,Clientes_PDV!$A$2:$J$250,4,FALSE),"")</f>
        <v/>
      </c>
      <c r="E674" s="24"/>
      <c r="F674" s="31" t="str">
        <f>IFERROR(VLOOKUP(E674,Maestro_SKU!$A$2:$P$500,2,FALSE),"")</f>
        <v/>
      </c>
      <c r="G674" s="24"/>
      <c r="H674" s="31" t="str">
        <f>IF(OR(G674="",E674=""),"",G674*IFERROR(VLOOKUP(E674,Maestro_SKU!$A$2:$P$500,12,FALSE),1))</f>
        <v/>
      </c>
      <c r="I674" s="25"/>
      <c r="J674" s="31" t="str">
        <f>IF(A674="","",IF(H674&lt;=Inicio!$B$16,"Crítico",IF(H674&lt;=Inicio!$B$17,"Observar","OK")))</f>
        <v/>
      </c>
      <c r="K674" s="24"/>
    </row>
    <row r="675" spans="1:11" x14ac:dyDescent="0.35">
      <c r="A675" s="24"/>
      <c r="B675" s="31" t="str">
        <f>IFERROR(VLOOKUP(A675,Clientes_PDV!$A$2:$J$250,2,FALSE),"")</f>
        <v/>
      </c>
      <c r="C675" s="31" t="str">
        <f>IFERROR(VLOOKUP(A675,Clientes_PDV!$A$2:$J$250,3,FALSE),"")</f>
        <v/>
      </c>
      <c r="D675" s="31" t="str">
        <f>IFERROR(VLOOKUP(A675,Clientes_PDV!$A$2:$J$250,4,FALSE),"")</f>
        <v/>
      </c>
      <c r="E675" s="24"/>
      <c r="F675" s="31" t="str">
        <f>IFERROR(VLOOKUP(E675,Maestro_SKU!$A$2:$P$500,2,FALSE),"")</f>
        <v/>
      </c>
      <c r="G675" s="24"/>
      <c r="H675" s="31" t="str">
        <f>IF(OR(G675="",E675=""),"",G675*IFERROR(VLOOKUP(E675,Maestro_SKU!$A$2:$P$500,12,FALSE),1))</f>
        <v/>
      </c>
      <c r="I675" s="25"/>
      <c r="J675" s="31" t="str">
        <f>IF(A675="","",IF(H675&lt;=Inicio!$B$16,"Crítico",IF(H675&lt;=Inicio!$B$17,"Observar","OK")))</f>
        <v/>
      </c>
      <c r="K675" s="24"/>
    </row>
    <row r="676" spans="1:11" x14ac:dyDescent="0.35">
      <c r="A676" s="24"/>
      <c r="B676" s="31" t="str">
        <f>IFERROR(VLOOKUP(A676,Clientes_PDV!$A$2:$J$250,2,FALSE),"")</f>
        <v/>
      </c>
      <c r="C676" s="31" t="str">
        <f>IFERROR(VLOOKUP(A676,Clientes_PDV!$A$2:$J$250,3,FALSE),"")</f>
        <v/>
      </c>
      <c r="D676" s="31" t="str">
        <f>IFERROR(VLOOKUP(A676,Clientes_PDV!$A$2:$J$250,4,FALSE),"")</f>
        <v/>
      </c>
      <c r="E676" s="24"/>
      <c r="F676" s="31" t="str">
        <f>IFERROR(VLOOKUP(E676,Maestro_SKU!$A$2:$P$500,2,FALSE),"")</f>
        <v/>
      </c>
      <c r="G676" s="24"/>
      <c r="H676" s="31" t="str">
        <f>IF(OR(G676="",E676=""),"",G676*IFERROR(VLOOKUP(E676,Maestro_SKU!$A$2:$P$500,12,FALSE),1))</f>
        <v/>
      </c>
      <c r="I676" s="25"/>
      <c r="J676" s="31" t="str">
        <f>IF(A676="","",IF(H676&lt;=Inicio!$B$16,"Crítico",IF(H676&lt;=Inicio!$B$17,"Observar","OK")))</f>
        <v/>
      </c>
      <c r="K676" s="24"/>
    </row>
    <row r="677" spans="1:11" x14ac:dyDescent="0.35">
      <c r="A677" s="24"/>
      <c r="B677" s="31" t="str">
        <f>IFERROR(VLOOKUP(A677,Clientes_PDV!$A$2:$J$250,2,FALSE),"")</f>
        <v/>
      </c>
      <c r="C677" s="31" t="str">
        <f>IFERROR(VLOOKUP(A677,Clientes_PDV!$A$2:$J$250,3,FALSE),"")</f>
        <v/>
      </c>
      <c r="D677" s="31" t="str">
        <f>IFERROR(VLOOKUP(A677,Clientes_PDV!$A$2:$J$250,4,FALSE),"")</f>
        <v/>
      </c>
      <c r="E677" s="24"/>
      <c r="F677" s="31" t="str">
        <f>IFERROR(VLOOKUP(E677,Maestro_SKU!$A$2:$P$500,2,FALSE),"")</f>
        <v/>
      </c>
      <c r="G677" s="24"/>
      <c r="H677" s="31" t="str">
        <f>IF(OR(G677="",E677=""),"",G677*IFERROR(VLOOKUP(E677,Maestro_SKU!$A$2:$P$500,12,FALSE),1))</f>
        <v/>
      </c>
      <c r="I677" s="25"/>
      <c r="J677" s="31" t="str">
        <f>IF(A677="","",IF(H677&lt;=Inicio!$B$16,"Crítico",IF(H677&lt;=Inicio!$B$17,"Observar","OK")))</f>
        <v/>
      </c>
      <c r="K677" s="24"/>
    </row>
    <row r="678" spans="1:11" x14ac:dyDescent="0.35">
      <c r="A678" s="24"/>
      <c r="B678" s="31" t="str">
        <f>IFERROR(VLOOKUP(A678,Clientes_PDV!$A$2:$J$250,2,FALSE),"")</f>
        <v/>
      </c>
      <c r="C678" s="31" t="str">
        <f>IFERROR(VLOOKUP(A678,Clientes_PDV!$A$2:$J$250,3,FALSE),"")</f>
        <v/>
      </c>
      <c r="D678" s="31" t="str">
        <f>IFERROR(VLOOKUP(A678,Clientes_PDV!$A$2:$J$250,4,FALSE),"")</f>
        <v/>
      </c>
      <c r="E678" s="24"/>
      <c r="F678" s="31" t="str">
        <f>IFERROR(VLOOKUP(E678,Maestro_SKU!$A$2:$P$500,2,FALSE),"")</f>
        <v/>
      </c>
      <c r="G678" s="24"/>
      <c r="H678" s="31" t="str">
        <f>IF(OR(G678="",E678=""),"",G678*IFERROR(VLOOKUP(E678,Maestro_SKU!$A$2:$P$500,12,FALSE),1))</f>
        <v/>
      </c>
      <c r="I678" s="25"/>
      <c r="J678" s="31" t="str">
        <f>IF(A678="","",IF(H678&lt;=Inicio!$B$16,"Crítico",IF(H678&lt;=Inicio!$B$17,"Observar","OK")))</f>
        <v/>
      </c>
      <c r="K678" s="24"/>
    </row>
    <row r="679" spans="1:11" x14ac:dyDescent="0.35">
      <c r="A679" s="24"/>
      <c r="B679" s="31" t="str">
        <f>IFERROR(VLOOKUP(A679,Clientes_PDV!$A$2:$J$250,2,FALSE),"")</f>
        <v/>
      </c>
      <c r="C679" s="31" t="str">
        <f>IFERROR(VLOOKUP(A679,Clientes_PDV!$A$2:$J$250,3,FALSE),"")</f>
        <v/>
      </c>
      <c r="D679" s="31" t="str">
        <f>IFERROR(VLOOKUP(A679,Clientes_PDV!$A$2:$J$250,4,FALSE),"")</f>
        <v/>
      </c>
      <c r="E679" s="24"/>
      <c r="F679" s="31" t="str">
        <f>IFERROR(VLOOKUP(E679,Maestro_SKU!$A$2:$P$500,2,FALSE),"")</f>
        <v/>
      </c>
      <c r="G679" s="24"/>
      <c r="H679" s="31" t="str">
        <f>IF(OR(G679="",E679=""),"",G679*IFERROR(VLOOKUP(E679,Maestro_SKU!$A$2:$P$500,12,FALSE),1))</f>
        <v/>
      </c>
      <c r="I679" s="25"/>
      <c r="J679" s="31" t="str">
        <f>IF(A679="","",IF(H679&lt;=Inicio!$B$16,"Crítico",IF(H679&lt;=Inicio!$B$17,"Observar","OK")))</f>
        <v/>
      </c>
      <c r="K679" s="24"/>
    </row>
    <row r="680" spans="1:11" x14ac:dyDescent="0.35">
      <c r="A680" s="24"/>
      <c r="B680" s="31" t="str">
        <f>IFERROR(VLOOKUP(A680,Clientes_PDV!$A$2:$J$250,2,FALSE),"")</f>
        <v/>
      </c>
      <c r="C680" s="31" t="str">
        <f>IFERROR(VLOOKUP(A680,Clientes_PDV!$A$2:$J$250,3,FALSE),"")</f>
        <v/>
      </c>
      <c r="D680" s="31" t="str">
        <f>IFERROR(VLOOKUP(A680,Clientes_PDV!$A$2:$J$250,4,FALSE),"")</f>
        <v/>
      </c>
      <c r="E680" s="24"/>
      <c r="F680" s="31" t="str">
        <f>IFERROR(VLOOKUP(E680,Maestro_SKU!$A$2:$P$500,2,FALSE),"")</f>
        <v/>
      </c>
      <c r="G680" s="24"/>
      <c r="H680" s="31" t="str">
        <f>IF(OR(G680="",E680=""),"",G680*IFERROR(VLOOKUP(E680,Maestro_SKU!$A$2:$P$500,12,FALSE),1))</f>
        <v/>
      </c>
      <c r="I680" s="25"/>
      <c r="J680" s="31" t="str">
        <f>IF(A680="","",IF(H680&lt;=Inicio!$B$16,"Crítico",IF(H680&lt;=Inicio!$B$17,"Observar","OK")))</f>
        <v/>
      </c>
      <c r="K680" s="24"/>
    </row>
    <row r="681" spans="1:11" x14ac:dyDescent="0.35">
      <c r="A681" s="24"/>
      <c r="B681" s="31" t="str">
        <f>IFERROR(VLOOKUP(A681,Clientes_PDV!$A$2:$J$250,2,FALSE),"")</f>
        <v/>
      </c>
      <c r="C681" s="31" t="str">
        <f>IFERROR(VLOOKUP(A681,Clientes_PDV!$A$2:$J$250,3,FALSE),"")</f>
        <v/>
      </c>
      <c r="D681" s="31" t="str">
        <f>IFERROR(VLOOKUP(A681,Clientes_PDV!$A$2:$J$250,4,FALSE),"")</f>
        <v/>
      </c>
      <c r="E681" s="24"/>
      <c r="F681" s="31" t="str">
        <f>IFERROR(VLOOKUP(E681,Maestro_SKU!$A$2:$P$500,2,FALSE),"")</f>
        <v/>
      </c>
      <c r="G681" s="24"/>
      <c r="H681" s="31" t="str">
        <f>IF(OR(G681="",E681=""),"",G681*IFERROR(VLOOKUP(E681,Maestro_SKU!$A$2:$P$500,12,FALSE),1))</f>
        <v/>
      </c>
      <c r="I681" s="25"/>
      <c r="J681" s="31" t="str">
        <f>IF(A681="","",IF(H681&lt;=Inicio!$B$16,"Crítico",IF(H681&lt;=Inicio!$B$17,"Observar","OK")))</f>
        <v/>
      </c>
      <c r="K681" s="24"/>
    </row>
    <row r="682" spans="1:11" x14ac:dyDescent="0.35">
      <c r="A682" s="24"/>
      <c r="B682" s="31" t="str">
        <f>IFERROR(VLOOKUP(A682,Clientes_PDV!$A$2:$J$250,2,FALSE),"")</f>
        <v/>
      </c>
      <c r="C682" s="31" t="str">
        <f>IFERROR(VLOOKUP(A682,Clientes_PDV!$A$2:$J$250,3,FALSE),"")</f>
        <v/>
      </c>
      <c r="D682" s="31" t="str">
        <f>IFERROR(VLOOKUP(A682,Clientes_PDV!$A$2:$J$250,4,FALSE),"")</f>
        <v/>
      </c>
      <c r="E682" s="24"/>
      <c r="F682" s="31" t="str">
        <f>IFERROR(VLOOKUP(E682,Maestro_SKU!$A$2:$P$500,2,FALSE),"")</f>
        <v/>
      </c>
      <c r="G682" s="24"/>
      <c r="H682" s="31" t="str">
        <f>IF(OR(G682="",E682=""),"",G682*IFERROR(VLOOKUP(E682,Maestro_SKU!$A$2:$P$500,12,FALSE),1))</f>
        <v/>
      </c>
      <c r="I682" s="25"/>
      <c r="J682" s="31" t="str">
        <f>IF(A682="","",IF(H682&lt;=Inicio!$B$16,"Crítico",IF(H682&lt;=Inicio!$B$17,"Observar","OK")))</f>
        <v/>
      </c>
      <c r="K682" s="24"/>
    </row>
    <row r="683" spans="1:11" x14ac:dyDescent="0.35">
      <c r="A683" s="24"/>
      <c r="B683" s="31" t="str">
        <f>IFERROR(VLOOKUP(A683,Clientes_PDV!$A$2:$J$250,2,FALSE),"")</f>
        <v/>
      </c>
      <c r="C683" s="31" t="str">
        <f>IFERROR(VLOOKUP(A683,Clientes_PDV!$A$2:$J$250,3,FALSE),"")</f>
        <v/>
      </c>
      <c r="D683" s="31" t="str">
        <f>IFERROR(VLOOKUP(A683,Clientes_PDV!$A$2:$J$250,4,FALSE),"")</f>
        <v/>
      </c>
      <c r="E683" s="24"/>
      <c r="F683" s="31" t="str">
        <f>IFERROR(VLOOKUP(E683,Maestro_SKU!$A$2:$P$500,2,FALSE),"")</f>
        <v/>
      </c>
      <c r="G683" s="24"/>
      <c r="H683" s="31" t="str">
        <f>IF(OR(G683="",E683=""),"",G683*IFERROR(VLOOKUP(E683,Maestro_SKU!$A$2:$P$500,12,FALSE),1))</f>
        <v/>
      </c>
      <c r="I683" s="25"/>
      <c r="J683" s="31" t="str">
        <f>IF(A683="","",IF(H683&lt;=Inicio!$B$16,"Crítico",IF(H683&lt;=Inicio!$B$17,"Observar","OK")))</f>
        <v/>
      </c>
      <c r="K683" s="24"/>
    </row>
    <row r="684" spans="1:11" x14ac:dyDescent="0.35">
      <c r="A684" s="24"/>
      <c r="B684" s="31" t="str">
        <f>IFERROR(VLOOKUP(A684,Clientes_PDV!$A$2:$J$250,2,FALSE),"")</f>
        <v/>
      </c>
      <c r="C684" s="31" t="str">
        <f>IFERROR(VLOOKUP(A684,Clientes_PDV!$A$2:$J$250,3,FALSE),"")</f>
        <v/>
      </c>
      <c r="D684" s="31" t="str">
        <f>IFERROR(VLOOKUP(A684,Clientes_PDV!$A$2:$J$250,4,FALSE),"")</f>
        <v/>
      </c>
      <c r="E684" s="24"/>
      <c r="F684" s="31" t="str">
        <f>IFERROR(VLOOKUP(E684,Maestro_SKU!$A$2:$P$500,2,FALSE),"")</f>
        <v/>
      </c>
      <c r="G684" s="24"/>
      <c r="H684" s="31" t="str">
        <f>IF(OR(G684="",E684=""),"",G684*IFERROR(VLOOKUP(E684,Maestro_SKU!$A$2:$P$500,12,FALSE),1))</f>
        <v/>
      </c>
      <c r="I684" s="25"/>
      <c r="J684" s="31" t="str">
        <f>IF(A684="","",IF(H684&lt;=Inicio!$B$16,"Crítico",IF(H684&lt;=Inicio!$B$17,"Observar","OK")))</f>
        <v/>
      </c>
      <c r="K684" s="24"/>
    </row>
    <row r="685" spans="1:11" x14ac:dyDescent="0.35">
      <c r="A685" s="24"/>
      <c r="B685" s="31" t="str">
        <f>IFERROR(VLOOKUP(A685,Clientes_PDV!$A$2:$J$250,2,FALSE),"")</f>
        <v/>
      </c>
      <c r="C685" s="31" t="str">
        <f>IFERROR(VLOOKUP(A685,Clientes_PDV!$A$2:$J$250,3,FALSE),"")</f>
        <v/>
      </c>
      <c r="D685" s="31" t="str">
        <f>IFERROR(VLOOKUP(A685,Clientes_PDV!$A$2:$J$250,4,FALSE),"")</f>
        <v/>
      </c>
      <c r="E685" s="24"/>
      <c r="F685" s="31" t="str">
        <f>IFERROR(VLOOKUP(E685,Maestro_SKU!$A$2:$P$500,2,FALSE),"")</f>
        <v/>
      </c>
      <c r="G685" s="24"/>
      <c r="H685" s="31" t="str">
        <f>IF(OR(G685="",E685=""),"",G685*IFERROR(VLOOKUP(E685,Maestro_SKU!$A$2:$P$500,12,FALSE),1))</f>
        <v/>
      </c>
      <c r="I685" s="25"/>
      <c r="J685" s="31" t="str">
        <f>IF(A685="","",IF(H685&lt;=Inicio!$B$16,"Crítico",IF(H685&lt;=Inicio!$B$17,"Observar","OK")))</f>
        <v/>
      </c>
      <c r="K685" s="24"/>
    </row>
    <row r="686" spans="1:11" x14ac:dyDescent="0.35">
      <c r="A686" s="24"/>
      <c r="B686" s="31" t="str">
        <f>IFERROR(VLOOKUP(A686,Clientes_PDV!$A$2:$J$250,2,FALSE),"")</f>
        <v/>
      </c>
      <c r="C686" s="31" t="str">
        <f>IFERROR(VLOOKUP(A686,Clientes_PDV!$A$2:$J$250,3,FALSE),"")</f>
        <v/>
      </c>
      <c r="D686" s="31" t="str">
        <f>IFERROR(VLOOKUP(A686,Clientes_PDV!$A$2:$J$250,4,FALSE),"")</f>
        <v/>
      </c>
      <c r="E686" s="24"/>
      <c r="F686" s="31" t="str">
        <f>IFERROR(VLOOKUP(E686,Maestro_SKU!$A$2:$P$500,2,FALSE),"")</f>
        <v/>
      </c>
      <c r="G686" s="24"/>
      <c r="H686" s="31" t="str">
        <f>IF(OR(G686="",E686=""),"",G686*IFERROR(VLOOKUP(E686,Maestro_SKU!$A$2:$P$500,12,FALSE),1))</f>
        <v/>
      </c>
      <c r="I686" s="25"/>
      <c r="J686" s="31" t="str">
        <f>IF(A686="","",IF(H686&lt;=Inicio!$B$16,"Crítico",IF(H686&lt;=Inicio!$B$17,"Observar","OK")))</f>
        <v/>
      </c>
      <c r="K686" s="24"/>
    </row>
    <row r="687" spans="1:11" x14ac:dyDescent="0.35">
      <c r="A687" s="24"/>
      <c r="B687" s="31" t="str">
        <f>IFERROR(VLOOKUP(A687,Clientes_PDV!$A$2:$J$250,2,FALSE),"")</f>
        <v/>
      </c>
      <c r="C687" s="31" t="str">
        <f>IFERROR(VLOOKUP(A687,Clientes_PDV!$A$2:$J$250,3,FALSE),"")</f>
        <v/>
      </c>
      <c r="D687" s="31" t="str">
        <f>IFERROR(VLOOKUP(A687,Clientes_PDV!$A$2:$J$250,4,FALSE),"")</f>
        <v/>
      </c>
      <c r="E687" s="24"/>
      <c r="F687" s="31" t="str">
        <f>IFERROR(VLOOKUP(E687,Maestro_SKU!$A$2:$P$500,2,FALSE),"")</f>
        <v/>
      </c>
      <c r="G687" s="24"/>
      <c r="H687" s="31" t="str">
        <f>IF(OR(G687="",E687=""),"",G687*IFERROR(VLOOKUP(E687,Maestro_SKU!$A$2:$P$500,12,FALSE),1))</f>
        <v/>
      </c>
      <c r="I687" s="25"/>
      <c r="J687" s="31" t="str">
        <f>IF(A687="","",IF(H687&lt;=Inicio!$B$16,"Crítico",IF(H687&lt;=Inicio!$B$17,"Observar","OK")))</f>
        <v/>
      </c>
      <c r="K687" s="24"/>
    </row>
    <row r="688" spans="1:11" x14ac:dyDescent="0.35">
      <c r="A688" s="24"/>
      <c r="B688" s="31" t="str">
        <f>IFERROR(VLOOKUP(A688,Clientes_PDV!$A$2:$J$250,2,FALSE),"")</f>
        <v/>
      </c>
      <c r="C688" s="31" t="str">
        <f>IFERROR(VLOOKUP(A688,Clientes_PDV!$A$2:$J$250,3,FALSE),"")</f>
        <v/>
      </c>
      <c r="D688" s="31" t="str">
        <f>IFERROR(VLOOKUP(A688,Clientes_PDV!$A$2:$J$250,4,FALSE),"")</f>
        <v/>
      </c>
      <c r="E688" s="24"/>
      <c r="F688" s="31" t="str">
        <f>IFERROR(VLOOKUP(E688,Maestro_SKU!$A$2:$P$500,2,FALSE),"")</f>
        <v/>
      </c>
      <c r="G688" s="24"/>
      <c r="H688" s="31" t="str">
        <f>IF(OR(G688="",E688=""),"",G688*IFERROR(VLOOKUP(E688,Maestro_SKU!$A$2:$P$500,12,FALSE),1))</f>
        <v/>
      </c>
      <c r="I688" s="25"/>
      <c r="J688" s="31" t="str">
        <f>IF(A688="","",IF(H688&lt;=Inicio!$B$16,"Crítico",IF(H688&lt;=Inicio!$B$17,"Observar","OK")))</f>
        <v/>
      </c>
      <c r="K688" s="24"/>
    </row>
    <row r="689" spans="1:11" x14ac:dyDescent="0.35">
      <c r="A689" s="24"/>
      <c r="B689" s="31" t="str">
        <f>IFERROR(VLOOKUP(A689,Clientes_PDV!$A$2:$J$250,2,FALSE),"")</f>
        <v/>
      </c>
      <c r="C689" s="31" t="str">
        <f>IFERROR(VLOOKUP(A689,Clientes_PDV!$A$2:$J$250,3,FALSE),"")</f>
        <v/>
      </c>
      <c r="D689" s="31" t="str">
        <f>IFERROR(VLOOKUP(A689,Clientes_PDV!$A$2:$J$250,4,FALSE),"")</f>
        <v/>
      </c>
      <c r="E689" s="24"/>
      <c r="F689" s="31" t="str">
        <f>IFERROR(VLOOKUP(E689,Maestro_SKU!$A$2:$P$500,2,FALSE),"")</f>
        <v/>
      </c>
      <c r="G689" s="24"/>
      <c r="H689" s="31" t="str">
        <f>IF(OR(G689="",E689=""),"",G689*IFERROR(VLOOKUP(E689,Maestro_SKU!$A$2:$P$500,12,FALSE),1))</f>
        <v/>
      </c>
      <c r="I689" s="25"/>
      <c r="J689" s="31" t="str">
        <f>IF(A689="","",IF(H689&lt;=Inicio!$B$16,"Crítico",IF(H689&lt;=Inicio!$B$17,"Observar","OK")))</f>
        <v/>
      </c>
      <c r="K689" s="24"/>
    </row>
    <row r="690" spans="1:11" x14ac:dyDescent="0.35">
      <c r="A690" s="24"/>
      <c r="B690" s="31" t="str">
        <f>IFERROR(VLOOKUP(A690,Clientes_PDV!$A$2:$J$250,2,FALSE),"")</f>
        <v/>
      </c>
      <c r="C690" s="31" t="str">
        <f>IFERROR(VLOOKUP(A690,Clientes_PDV!$A$2:$J$250,3,FALSE),"")</f>
        <v/>
      </c>
      <c r="D690" s="31" t="str">
        <f>IFERROR(VLOOKUP(A690,Clientes_PDV!$A$2:$J$250,4,FALSE),"")</f>
        <v/>
      </c>
      <c r="E690" s="24"/>
      <c r="F690" s="31" t="str">
        <f>IFERROR(VLOOKUP(E690,Maestro_SKU!$A$2:$P$500,2,FALSE),"")</f>
        <v/>
      </c>
      <c r="G690" s="24"/>
      <c r="H690" s="31" t="str">
        <f>IF(OR(G690="",E690=""),"",G690*IFERROR(VLOOKUP(E690,Maestro_SKU!$A$2:$P$500,12,FALSE),1))</f>
        <v/>
      </c>
      <c r="I690" s="25"/>
      <c r="J690" s="31" t="str">
        <f>IF(A690="","",IF(H690&lt;=Inicio!$B$16,"Crítico",IF(H690&lt;=Inicio!$B$17,"Observar","OK")))</f>
        <v/>
      </c>
      <c r="K690" s="24"/>
    </row>
    <row r="691" spans="1:11" x14ac:dyDescent="0.35">
      <c r="A691" s="24"/>
      <c r="B691" s="31" t="str">
        <f>IFERROR(VLOOKUP(A691,Clientes_PDV!$A$2:$J$250,2,FALSE),"")</f>
        <v/>
      </c>
      <c r="C691" s="31" t="str">
        <f>IFERROR(VLOOKUP(A691,Clientes_PDV!$A$2:$J$250,3,FALSE),"")</f>
        <v/>
      </c>
      <c r="D691" s="31" t="str">
        <f>IFERROR(VLOOKUP(A691,Clientes_PDV!$A$2:$J$250,4,FALSE),"")</f>
        <v/>
      </c>
      <c r="E691" s="24"/>
      <c r="F691" s="31" t="str">
        <f>IFERROR(VLOOKUP(E691,Maestro_SKU!$A$2:$P$500,2,FALSE),"")</f>
        <v/>
      </c>
      <c r="G691" s="24"/>
      <c r="H691" s="31" t="str">
        <f>IF(OR(G691="",E691=""),"",G691*IFERROR(VLOOKUP(E691,Maestro_SKU!$A$2:$P$500,12,FALSE),1))</f>
        <v/>
      </c>
      <c r="I691" s="25"/>
      <c r="J691" s="31" t="str">
        <f>IF(A691="","",IF(H691&lt;=Inicio!$B$16,"Crítico",IF(H691&lt;=Inicio!$B$17,"Observar","OK")))</f>
        <v/>
      </c>
      <c r="K691" s="24"/>
    </row>
    <row r="692" spans="1:11" x14ac:dyDescent="0.35">
      <c r="A692" s="24"/>
      <c r="B692" s="31" t="str">
        <f>IFERROR(VLOOKUP(A692,Clientes_PDV!$A$2:$J$250,2,FALSE),"")</f>
        <v/>
      </c>
      <c r="C692" s="31" t="str">
        <f>IFERROR(VLOOKUP(A692,Clientes_PDV!$A$2:$J$250,3,FALSE),"")</f>
        <v/>
      </c>
      <c r="D692" s="31" t="str">
        <f>IFERROR(VLOOKUP(A692,Clientes_PDV!$A$2:$J$250,4,FALSE),"")</f>
        <v/>
      </c>
      <c r="E692" s="24"/>
      <c r="F692" s="31" t="str">
        <f>IFERROR(VLOOKUP(E692,Maestro_SKU!$A$2:$P$500,2,FALSE),"")</f>
        <v/>
      </c>
      <c r="G692" s="24"/>
      <c r="H692" s="31" t="str">
        <f>IF(OR(G692="",E692=""),"",G692*IFERROR(VLOOKUP(E692,Maestro_SKU!$A$2:$P$500,12,FALSE),1))</f>
        <v/>
      </c>
      <c r="I692" s="25"/>
      <c r="J692" s="31" t="str">
        <f>IF(A692="","",IF(H692&lt;=Inicio!$B$16,"Crítico",IF(H692&lt;=Inicio!$B$17,"Observar","OK")))</f>
        <v/>
      </c>
      <c r="K692" s="24"/>
    </row>
    <row r="693" spans="1:11" x14ac:dyDescent="0.35">
      <c r="A693" s="24"/>
      <c r="B693" s="31" t="str">
        <f>IFERROR(VLOOKUP(A693,Clientes_PDV!$A$2:$J$250,2,FALSE),"")</f>
        <v/>
      </c>
      <c r="C693" s="31" t="str">
        <f>IFERROR(VLOOKUP(A693,Clientes_PDV!$A$2:$J$250,3,FALSE),"")</f>
        <v/>
      </c>
      <c r="D693" s="31" t="str">
        <f>IFERROR(VLOOKUP(A693,Clientes_PDV!$A$2:$J$250,4,FALSE),"")</f>
        <v/>
      </c>
      <c r="E693" s="24"/>
      <c r="F693" s="31" t="str">
        <f>IFERROR(VLOOKUP(E693,Maestro_SKU!$A$2:$P$500,2,FALSE),"")</f>
        <v/>
      </c>
      <c r="G693" s="24"/>
      <c r="H693" s="31" t="str">
        <f>IF(OR(G693="",E693=""),"",G693*IFERROR(VLOOKUP(E693,Maestro_SKU!$A$2:$P$500,12,FALSE),1))</f>
        <v/>
      </c>
      <c r="I693" s="25"/>
      <c r="J693" s="31" t="str">
        <f>IF(A693="","",IF(H693&lt;=Inicio!$B$16,"Crítico",IF(H693&lt;=Inicio!$B$17,"Observar","OK")))</f>
        <v/>
      </c>
      <c r="K693" s="24"/>
    </row>
    <row r="694" spans="1:11" x14ac:dyDescent="0.35">
      <c r="A694" s="24"/>
      <c r="B694" s="31" t="str">
        <f>IFERROR(VLOOKUP(A694,Clientes_PDV!$A$2:$J$250,2,FALSE),"")</f>
        <v/>
      </c>
      <c r="C694" s="31" t="str">
        <f>IFERROR(VLOOKUP(A694,Clientes_PDV!$A$2:$J$250,3,FALSE),"")</f>
        <v/>
      </c>
      <c r="D694" s="31" t="str">
        <f>IFERROR(VLOOKUP(A694,Clientes_PDV!$A$2:$J$250,4,FALSE),"")</f>
        <v/>
      </c>
      <c r="E694" s="24"/>
      <c r="F694" s="31" t="str">
        <f>IFERROR(VLOOKUP(E694,Maestro_SKU!$A$2:$P$500,2,FALSE),"")</f>
        <v/>
      </c>
      <c r="G694" s="24"/>
      <c r="H694" s="31" t="str">
        <f>IF(OR(G694="",E694=""),"",G694*IFERROR(VLOOKUP(E694,Maestro_SKU!$A$2:$P$500,12,FALSE),1))</f>
        <v/>
      </c>
      <c r="I694" s="25"/>
      <c r="J694" s="31" t="str">
        <f>IF(A694="","",IF(H694&lt;=Inicio!$B$16,"Crítico",IF(H694&lt;=Inicio!$B$17,"Observar","OK")))</f>
        <v/>
      </c>
      <c r="K694" s="24"/>
    </row>
    <row r="695" spans="1:11" x14ac:dyDescent="0.35">
      <c r="A695" s="24"/>
      <c r="B695" s="31" t="str">
        <f>IFERROR(VLOOKUP(A695,Clientes_PDV!$A$2:$J$250,2,FALSE),"")</f>
        <v/>
      </c>
      <c r="C695" s="31" t="str">
        <f>IFERROR(VLOOKUP(A695,Clientes_PDV!$A$2:$J$250,3,FALSE),"")</f>
        <v/>
      </c>
      <c r="D695" s="31" t="str">
        <f>IFERROR(VLOOKUP(A695,Clientes_PDV!$A$2:$J$250,4,FALSE),"")</f>
        <v/>
      </c>
      <c r="E695" s="24"/>
      <c r="F695" s="31" t="str">
        <f>IFERROR(VLOOKUP(E695,Maestro_SKU!$A$2:$P$500,2,FALSE),"")</f>
        <v/>
      </c>
      <c r="G695" s="24"/>
      <c r="H695" s="31" t="str">
        <f>IF(OR(G695="",E695=""),"",G695*IFERROR(VLOOKUP(E695,Maestro_SKU!$A$2:$P$500,12,FALSE),1))</f>
        <v/>
      </c>
      <c r="I695" s="25"/>
      <c r="J695" s="31" t="str">
        <f>IF(A695="","",IF(H695&lt;=Inicio!$B$16,"Crítico",IF(H695&lt;=Inicio!$B$17,"Observar","OK")))</f>
        <v/>
      </c>
      <c r="K695" s="24"/>
    </row>
    <row r="696" spans="1:11" x14ac:dyDescent="0.35">
      <c r="A696" s="24"/>
      <c r="B696" s="31" t="str">
        <f>IFERROR(VLOOKUP(A696,Clientes_PDV!$A$2:$J$250,2,FALSE),"")</f>
        <v/>
      </c>
      <c r="C696" s="31" t="str">
        <f>IFERROR(VLOOKUP(A696,Clientes_PDV!$A$2:$J$250,3,FALSE),"")</f>
        <v/>
      </c>
      <c r="D696" s="31" t="str">
        <f>IFERROR(VLOOKUP(A696,Clientes_PDV!$A$2:$J$250,4,FALSE),"")</f>
        <v/>
      </c>
      <c r="E696" s="24"/>
      <c r="F696" s="31" t="str">
        <f>IFERROR(VLOOKUP(E696,Maestro_SKU!$A$2:$P$500,2,FALSE),"")</f>
        <v/>
      </c>
      <c r="G696" s="24"/>
      <c r="H696" s="31" t="str">
        <f>IF(OR(G696="",E696=""),"",G696*IFERROR(VLOOKUP(E696,Maestro_SKU!$A$2:$P$500,12,FALSE),1))</f>
        <v/>
      </c>
      <c r="I696" s="25"/>
      <c r="J696" s="31" t="str">
        <f>IF(A696="","",IF(H696&lt;=Inicio!$B$16,"Crítico",IF(H696&lt;=Inicio!$B$17,"Observar","OK")))</f>
        <v/>
      </c>
      <c r="K696" s="24"/>
    </row>
    <row r="697" spans="1:11" x14ac:dyDescent="0.35">
      <c r="A697" s="24"/>
      <c r="B697" s="31" t="str">
        <f>IFERROR(VLOOKUP(A697,Clientes_PDV!$A$2:$J$250,2,FALSE),"")</f>
        <v/>
      </c>
      <c r="C697" s="31" t="str">
        <f>IFERROR(VLOOKUP(A697,Clientes_PDV!$A$2:$J$250,3,FALSE),"")</f>
        <v/>
      </c>
      <c r="D697" s="31" t="str">
        <f>IFERROR(VLOOKUP(A697,Clientes_PDV!$A$2:$J$250,4,FALSE),"")</f>
        <v/>
      </c>
      <c r="E697" s="24"/>
      <c r="F697" s="31" t="str">
        <f>IFERROR(VLOOKUP(E697,Maestro_SKU!$A$2:$P$500,2,FALSE),"")</f>
        <v/>
      </c>
      <c r="G697" s="24"/>
      <c r="H697" s="31" t="str">
        <f>IF(OR(G697="",E697=""),"",G697*IFERROR(VLOOKUP(E697,Maestro_SKU!$A$2:$P$500,12,FALSE),1))</f>
        <v/>
      </c>
      <c r="I697" s="25"/>
      <c r="J697" s="31" t="str">
        <f>IF(A697="","",IF(H697&lt;=Inicio!$B$16,"Crítico",IF(H697&lt;=Inicio!$B$17,"Observar","OK")))</f>
        <v/>
      </c>
      <c r="K697" s="24"/>
    </row>
    <row r="698" spans="1:11" x14ac:dyDescent="0.35">
      <c r="A698" s="24"/>
      <c r="B698" s="31" t="str">
        <f>IFERROR(VLOOKUP(A698,Clientes_PDV!$A$2:$J$250,2,FALSE),"")</f>
        <v/>
      </c>
      <c r="C698" s="31" t="str">
        <f>IFERROR(VLOOKUP(A698,Clientes_PDV!$A$2:$J$250,3,FALSE),"")</f>
        <v/>
      </c>
      <c r="D698" s="31" t="str">
        <f>IFERROR(VLOOKUP(A698,Clientes_PDV!$A$2:$J$250,4,FALSE),"")</f>
        <v/>
      </c>
      <c r="E698" s="24"/>
      <c r="F698" s="31" t="str">
        <f>IFERROR(VLOOKUP(E698,Maestro_SKU!$A$2:$P$500,2,FALSE),"")</f>
        <v/>
      </c>
      <c r="G698" s="24"/>
      <c r="H698" s="31" t="str">
        <f>IF(OR(G698="",E698=""),"",G698*IFERROR(VLOOKUP(E698,Maestro_SKU!$A$2:$P$500,12,FALSE),1))</f>
        <v/>
      </c>
      <c r="I698" s="25"/>
      <c r="J698" s="31" t="str">
        <f>IF(A698="","",IF(H698&lt;=Inicio!$B$16,"Crítico",IF(H698&lt;=Inicio!$B$17,"Observar","OK")))</f>
        <v/>
      </c>
      <c r="K698" s="24"/>
    </row>
    <row r="699" spans="1:11" x14ac:dyDescent="0.35">
      <c r="A699" s="24"/>
      <c r="B699" s="31" t="str">
        <f>IFERROR(VLOOKUP(A699,Clientes_PDV!$A$2:$J$250,2,FALSE),"")</f>
        <v/>
      </c>
      <c r="C699" s="31" t="str">
        <f>IFERROR(VLOOKUP(A699,Clientes_PDV!$A$2:$J$250,3,FALSE),"")</f>
        <v/>
      </c>
      <c r="D699" s="31" t="str">
        <f>IFERROR(VLOOKUP(A699,Clientes_PDV!$A$2:$J$250,4,FALSE),"")</f>
        <v/>
      </c>
      <c r="E699" s="24"/>
      <c r="F699" s="31" t="str">
        <f>IFERROR(VLOOKUP(E699,Maestro_SKU!$A$2:$P$500,2,FALSE),"")</f>
        <v/>
      </c>
      <c r="G699" s="24"/>
      <c r="H699" s="31" t="str">
        <f>IF(OR(G699="",E699=""),"",G699*IFERROR(VLOOKUP(E699,Maestro_SKU!$A$2:$P$500,12,FALSE),1))</f>
        <v/>
      </c>
      <c r="I699" s="25"/>
      <c r="J699" s="31" t="str">
        <f>IF(A699="","",IF(H699&lt;=Inicio!$B$16,"Crítico",IF(H699&lt;=Inicio!$B$17,"Observar","OK")))</f>
        <v/>
      </c>
      <c r="K699" s="24"/>
    </row>
    <row r="700" spans="1:11" x14ac:dyDescent="0.35">
      <c r="A700" s="24"/>
      <c r="B700" s="31" t="str">
        <f>IFERROR(VLOOKUP(A700,Clientes_PDV!$A$2:$J$250,2,FALSE),"")</f>
        <v/>
      </c>
      <c r="C700" s="31" t="str">
        <f>IFERROR(VLOOKUP(A700,Clientes_PDV!$A$2:$J$250,3,FALSE),"")</f>
        <v/>
      </c>
      <c r="D700" s="31" t="str">
        <f>IFERROR(VLOOKUP(A700,Clientes_PDV!$A$2:$J$250,4,FALSE),"")</f>
        <v/>
      </c>
      <c r="E700" s="24"/>
      <c r="F700" s="31" t="str">
        <f>IFERROR(VLOOKUP(E700,Maestro_SKU!$A$2:$P$500,2,FALSE),"")</f>
        <v/>
      </c>
      <c r="G700" s="24"/>
      <c r="H700" s="31" t="str">
        <f>IF(OR(G700="",E700=""),"",G700*IFERROR(VLOOKUP(E700,Maestro_SKU!$A$2:$P$500,12,FALSE),1))</f>
        <v/>
      </c>
      <c r="I700" s="25"/>
      <c r="J700" s="31" t="str">
        <f>IF(A700="","",IF(H700&lt;=Inicio!$B$16,"Crítico",IF(H700&lt;=Inicio!$B$17,"Observar","OK")))</f>
        <v/>
      </c>
      <c r="K700" s="24"/>
    </row>
    <row r="701" spans="1:11" x14ac:dyDescent="0.35">
      <c r="A701" s="24"/>
      <c r="B701" s="31" t="str">
        <f>IFERROR(VLOOKUP(A701,Clientes_PDV!$A$2:$J$250,2,FALSE),"")</f>
        <v/>
      </c>
      <c r="C701" s="31" t="str">
        <f>IFERROR(VLOOKUP(A701,Clientes_PDV!$A$2:$J$250,3,FALSE),"")</f>
        <v/>
      </c>
      <c r="D701" s="31" t="str">
        <f>IFERROR(VLOOKUP(A701,Clientes_PDV!$A$2:$J$250,4,FALSE),"")</f>
        <v/>
      </c>
      <c r="E701" s="24"/>
      <c r="F701" s="31" t="str">
        <f>IFERROR(VLOOKUP(E701,Maestro_SKU!$A$2:$P$500,2,FALSE),"")</f>
        <v/>
      </c>
      <c r="G701" s="24"/>
      <c r="H701" s="31" t="str">
        <f>IF(OR(G701="",E701=""),"",G701*IFERROR(VLOOKUP(E701,Maestro_SKU!$A$2:$P$500,12,FALSE),1))</f>
        <v/>
      </c>
      <c r="I701" s="25"/>
      <c r="J701" s="31" t="str">
        <f>IF(A701="","",IF(H701&lt;=Inicio!$B$16,"Crítico",IF(H701&lt;=Inicio!$B$17,"Observar","OK")))</f>
        <v/>
      </c>
      <c r="K701" s="24"/>
    </row>
    <row r="702" spans="1:11" x14ac:dyDescent="0.35">
      <c r="A702" s="24"/>
      <c r="B702" s="31" t="str">
        <f>IFERROR(VLOOKUP(A702,Clientes_PDV!$A$2:$J$250,2,FALSE),"")</f>
        <v/>
      </c>
      <c r="C702" s="31" t="str">
        <f>IFERROR(VLOOKUP(A702,Clientes_PDV!$A$2:$J$250,3,FALSE),"")</f>
        <v/>
      </c>
      <c r="D702" s="31" t="str">
        <f>IFERROR(VLOOKUP(A702,Clientes_PDV!$A$2:$J$250,4,FALSE),"")</f>
        <v/>
      </c>
      <c r="E702" s="24"/>
      <c r="F702" s="31" t="str">
        <f>IFERROR(VLOOKUP(E702,Maestro_SKU!$A$2:$P$500,2,FALSE),"")</f>
        <v/>
      </c>
      <c r="G702" s="24"/>
      <c r="H702" s="31" t="str">
        <f>IF(OR(G702="",E702=""),"",G702*IFERROR(VLOOKUP(E702,Maestro_SKU!$A$2:$P$500,12,FALSE),1))</f>
        <v/>
      </c>
      <c r="I702" s="25"/>
      <c r="J702" s="31" t="str">
        <f>IF(A702="","",IF(H702&lt;=Inicio!$B$16,"Crítico",IF(H702&lt;=Inicio!$B$17,"Observar","OK")))</f>
        <v/>
      </c>
      <c r="K702" s="24"/>
    </row>
    <row r="703" spans="1:11" x14ac:dyDescent="0.35">
      <c r="A703" s="24"/>
      <c r="B703" s="31" t="str">
        <f>IFERROR(VLOOKUP(A703,Clientes_PDV!$A$2:$J$250,2,FALSE),"")</f>
        <v/>
      </c>
      <c r="C703" s="31" t="str">
        <f>IFERROR(VLOOKUP(A703,Clientes_PDV!$A$2:$J$250,3,FALSE),"")</f>
        <v/>
      </c>
      <c r="D703" s="31" t="str">
        <f>IFERROR(VLOOKUP(A703,Clientes_PDV!$A$2:$J$250,4,FALSE),"")</f>
        <v/>
      </c>
      <c r="E703" s="24"/>
      <c r="F703" s="31" t="str">
        <f>IFERROR(VLOOKUP(E703,Maestro_SKU!$A$2:$P$500,2,FALSE),"")</f>
        <v/>
      </c>
      <c r="G703" s="24"/>
      <c r="H703" s="31" t="str">
        <f>IF(OR(G703="",E703=""),"",G703*IFERROR(VLOOKUP(E703,Maestro_SKU!$A$2:$P$500,12,FALSE),1))</f>
        <v/>
      </c>
      <c r="I703" s="25"/>
      <c r="J703" s="31" t="str">
        <f>IF(A703="","",IF(H703&lt;=Inicio!$B$16,"Crítico",IF(H703&lt;=Inicio!$B$17,"Observar","OK")))</f>
        <v/>
      </c>
      <c r="K703" s="24"/>
    </row>
    <row r="704" spans="1:11" x14ac:dyDescent="0.35">
      <c r="A704" s="24"/>
      <c r="B704" s="31" t="str">
        <f>IFERROR(VLOOKUP(A704,Clientes_PDV!$A$2:$J$250,2,FALSE),"")</f>
        <v/>
      </c>
      <c r="C704" s="31" t="str">
        <f>IFERROR(VLOOKUP(A704,Clientes_PDV!$A$2:$J$250,3,FALSE),"")</f>
        <v/>
      </c>
      <c r="D704" s="31" t="str">
        <f>IFERROR(VLOOKUP(A704,Clientes_PDV!$A$2:$J$250,4,FALSE),"")</f>
        <v/>
      </c>
      <c r="E704" s="24"/>
      <c r="F704" s="31" t="str">
        <f>IFERROR(VLOOKUP(E704,Maestro_SKU!$A$2:$P$500,2,FALSE),"")</f>
        <v/>
      </c>
      <c r="G704" s="24"/>
      <c r="H704" s="31" t="str">
        <f>IF(OR(G704="",E704=""),"",G704*IFERROR(VLOOKUP(E704,Maestro_SKU!$A$2:$P$500,12,FALSE),1))</f>
        <v/>
      </c>
      <c r="I704" s="25"/>
      <c r="J704" s="31" t="str">
        <f>IF(A704="","",IF(H704&lt;=Inicio!$B$16,"Crítico",IF(H704&lt;=Inicio!$B$17,"Observar","OK")))</f>
        <v/>
      </c>
      <c r="K704" s="24"/>
    </row>
    <row r="705" spans="1:11" x14ac:dyDescent="0.35">
      <c r="A705" s="24"/>
      <c r="B705" s="31" t="str">
        <f>IFERROR(VLOOKUP(A705,Clientes_PDV!$A$2:$J$250,2,FALSE),"")</f>
        <v/>
      </c>
      <c r="C705" s="31" t="str">
        <f>IFERROR(VLOOKUP(A705,Clientes_PDV!$A$2:$J$250,3,FALSE),"")</f>
        <v/>
      </c>
      <c r="D705" s="31" t="str">
        <f>IFERROR(VLOOKUP(A705,Clientes_PDV!$A$2:$J$250,4,FALSE),"")</f>
        <v/>
      </c>
      <c r="E705" s="24"/>
      <c r="F705" s="31" t="str">
        <f>IFERROR(VLOOKUP(E705,Maestro_SKU!$A$2:$P$500,2,FALSE),"")</f>
        <v/>
      </c>
      <c r="G705" s="24"/>
      <c r="H705" s="31" t="str">
        <f>IF(OR(G705="",E705=""),"",G705*IFERROR(VLOOKUP(E705,Maestro_SKU!$A$2:$P$500,12,FALSE),1))</f>
        <v/>
      </c>
      <c r="I705" s="25"/>
      <c r="J705" s="31" t="str">
        <f>IF(A705="","",IF(H705&lt;=Inicio!$B$16,"Crítico",IF(H705&lt;=Inicio!$B$17,"Observar","OK")))</f>
        <v/>
      </c>
      <c r="K705" s="24"/>
    </row>
    <row r="706" spans="1:11" x14ac:dyDescent="0.35">
      <c r="A706" s="24"/>
      <c r="B706" s="31" t="str">
        <f>IFERROR(VLOOKUP(A706,Clientes_PDV!$A$2:$J$250,2,FALSE),"")</f>
        <v/>
      </c>
      <c r="C706" s="31" t="str">
        <f>IFERROR(VLOOKUP(A706,Clientes_PDV!$A$2:$J$250,3,FALSE),"")</f>
        <v/>
      </c>
      <c r="D706" s="31" t="str">
        <f>IFERROR(VLOOKUP(A706,Clientes_PDV!$A$2:$J$250,4,FALSE),"")</f>
        <v/>
      </c>
      <c r="E706" s="24"/>
      <c r="F706" s="31" t="str">
        <f>IFERROR(VLOOKUP(E706,Maestro_SKU!$A$2:$P$500,2,FALSE),"")</f>
        <v/>
      </c>
      <c r="G706" s="24"/>
      <c r="H706" s="31" t="str">
        <f>IF(OR(G706="",E706=""),"",G706*IFERROR(VLOOKUP(E706,Maestro_SKU!$A$2:$P$500,12,FALSE),1))</f>
        <v/>
      </c>
      <c r="I706" s="25"/>
      <c r="J706" s="31" t="str">
        <f>IF(A706="","",IF(H706&lt;=Inicio!$B$16,"Crítico",IF(H706&lt;=Inicio!$B$17,"Observar","OK")))</f>
        <v/>
      </c>
      <c r="K706" s="24"/>
    </row>
    <row r="707" spans="1:11" x14ac:dyDescent="0.35">
      <c r="A707" s="24"/>
      <c r="B707" s="31" t="str">
        <f>IFERROR(VLOOKUP(A707,Clientes_PDV!$A$2:$J$250,2,FALSE),"")</f>
        <v/>
      </c>
      <c r="C707" s="31" t="str">
        <f>IFERROR(VLOOKUP(A707,Clientes_PDV!$A$2:$J$250,3,FALSE),"")</f>
        <v/>
      </c>
      <c r="D707" s="31" t="str">
        <f>IFERROR(VLOOKUP(A707,Clientes_PDV!$A$2:$J$250,4,FALSE),"")</f>
        <v/>
      </c>
      <c r="E707" s="24"/>
      <c r="F707" s="31" t="str">
        <f>IFERROR(VLOOKUP(E707,Maestro_SKU!$A$2:$P$500,2,FALSE),"")</f>
        <v/>
      </c>
      <c r="G707" s="24"/>
      <c r="H707" s="31" t="str">
        <f>IF(OR(G707="",E707=""),"",G707*IFERROR(VLOOKUP(E707,Maestro_SKU!$A$2:$P$500,12,FALSE),1))</f>
        <v/>
      </c>
      <c r="I707" s="25"/>
      <c r="J707" s="31" t="str">
        <f>IF(A707="","",IF(H707&lt;=Inicio!$B$16,"Crítico",IF(H707&lt;=Inicio!$B$17,"Observar","OK")))</f>
        <v/>
      </c>
      <c r="K707" s="24"/>
    </row>
    <row r="708" spans="1:11" x14ac:dyDescent="0.35">
      <c r="A708" s="24"/>
      <c r="B708" s="31" t="str">
        <f>IFERROR(VLOOKUP(A708,Clientes_PDV!$A$2:$J$250,2,FALSE),"")</f>
        <v/>
      </c>
      <c r="C708" s="31" t="str">
        <f>IFERROR(VLOOKUP(A708,Clientes_PDV!$A$2:$J$250,3,FALSE),"")</f>
        <v/>
      </c>
      <c r="D708" s="31" t="str">
        <f>IFERROR(VLOOKUP(A708,Clientes_PDV!$A$2:$J$250,4,FALSE),"")</f>
        <v/>
      </c>
      <c r="E708" s="24"/>
      <c r="F708" s="31" t="str">
        <f>IFERROR(VLOOKUP(E708,Maestro_SKU!$A$2:$P$500,2,FALSE),"")</f>
        <v/>
      </c>
      <c r="G708" s="24"/>
      <c r="H708" s="31" t="str">
        <f>IF(OR(G708="",E708=""),"",G708*IFERROR(VLOOKUP(E708,Maestro_SKU!$A$2:$P$500,12,FALSE),1))</f>
        <v/>
      </c>
      <c r="I708" s="25"/>
      <c r="J708" s="31" t="str">
        <f>IF(A708="","",IF(H708&lt;=Inicio!$B$16,"Crítico",IF(H708&lt;=Inicio!$B$17,"Observar","OK")))</f>
        <v/>
      </c>
      <c r="K708" s="24"/>
    </row>
    <row r="709" spans="1:11" x14ac:dyDescent="0.35">
      <c r="A709" s="24"/>
      <c r="B709" s="31" t="str">
        <f>IFERROR(VLOOKUP(A709,Clientes_PDV!$A$2:$J$250,2,FALSE),"")</f>
        <v/>
      </c>
      <c r="C709" s="31" t="str">
        <f>IFERROR(VLOOKUP(A709,Clientes_PDV!$A$2:$J$250,3,FALSE),"")</f>
        <v/>
      </c>
      <c r="D709" s="31" t="str">
        <f>IFERROR(VLOOKUP(A709,Clientes_PDV!$A$2:$J$250,4,FALSE),"")</f>
        <v/>
      </c>
      <c r="E709" s="24"/>
      <c r="F709" s="31" t="str">
        <f>IFERROR(VLOOKUP(E709,Maestro_SKU!$A$2:$P$500,2,FALSE),"")</f>
        <v/>
      </c>
      <c r="G709" s="24"/>
      <c r="H709" s="31" t="str">
        <f>IF(OR(G709="",E709=""),"",G709*IFERROR(VLOOKUP(E709,Maestro_SKU!$A$2:$P$500,12,FALSE),1))</f>
        <v/>
      </c>
      <c r="I709" s="25"/>
      <c r="J709" s="31" t="str">
        <f>IF(A709="","",IF(H709&lt;=Inicio!$B$16,"Crítico",IF(H709&lt;=Inicio!$B$17,"Observar","OK")))</f>
        <v/>
      </c>
      <c r="K709" s="24"/>
    </row>
    <row r="710" spans="1:11" x14ac:dyDescent="0.35">
      <c r="A710" s="24"/>
      <c r="B710" s="31" t="str">
        <f>IFERROR(VLOOKUP(A710,Clientes_PDV!$A$2:$J$250,2,FALSE),"")</f>
        <v/>
      </c>
      <c r="C710" s="31" t="str">
        <f>IFERROR(VLOOKUP(A710,Clientes_PDV!$A$2:$J$250,3,FALSE),"")</f>
        <v/>
      </c>
      <c r="D710" s="31" t="str">
        <f>IFERROR(VLOOKUP(A710,Clientes_PDV!$A$2:$J$250,4,FALSE),"")</f>
        <v/>
      </c>
      <c r="E710" s="24"/>
      <c r="F710" s="31" t="str">
        <f>IFERROR(VLOOKUP(E710,Maestro_SKU!$A$2:$P$500,2,FALSE),"")</f>
        <v/>
      </c>
      <c r="G710" s="24"/>
      <c r="H710" s="31" t="str">
        <f>IF(OR(G710="",E710=""),"",G710*IFERROR(VLOOKUP(E710,Maestro_SKU!$A$2:$P$500,12,FALSE),1))</f>
        <v/>
      </c>
      <c r="I710" s="25"/>
      <c r="J710" s="31" t="str">
        <f>IF(A710="","",IF(H710&lt;=Inicio!$B$16,"Crítico",IF(H710&lt;=Inicio!$B$17,"Observar","OK")))</f>
        <v/>
      </c>
      <c r="K710" s="24"/>
    </row>
    <row r="711" spans="1:11" x14ac:dyDescent="0.35">
      <c r="A711" s="24"/>
      <c r="B711" s="31" t="str">
        <f>IFERROR(VLOOKUP(A711,Clientes_PDV!$A$2:$J$250,2,FALSE),"")</f>
        <v/>
      </c>
      <c r="C711" s="31" t="str">
        <f>IFERROR(VLOOKUP(A711,Clientes_PDV!$A$2:$J$250,3,FALSE),"")</f>
        <v/>
      </c>
      <c r="D711" s="31" t="str">
        <f>IFERROR(VLOOKUP(A711,Clientes_PDV!$A$2:$J$250,4,FALSE),"")</f>
        <v/>
      </c>
      <c r="E711" s="24"/>
      <c r="F711" s="31" t="str">
        <f>IFERROR(VLOOKUP(E711,Maestro_SKU!$A$2:$P$500,2,FALSE),"")</f>
        <v/>
      </c>
      <c r="G711" s="24"/>
      <c r="H711" s="31" t="str">
        <f>IF(OR(G711="",E711=""),"",G711*IFERROR(VLOOKUP(E711,Maestro_SKU!$A$2:$P$500,12,FALSE),1))</f>
        <v/>
      </c>
      <c r="I711" s="25"/>
      <c r="J711" s="31" t="str">
        <f>IF(A711="","",IF(H711&lt;=Inicio!$B$16,"Crítico",IF(H711&lt;=Inicio!$B$17,"Observar","OK")))</f>
        <v/>
      </c>
      <c r="K711" s="24"/>
    </row>
    <row r="712" spans="1:11" x14ac:dyDescent="0.35">
      <c r="A712" s="24"/>
      <c r="B712" s="31" t="str">
        <f>IFERROR(VLOOKUP(A712,Clientes_PDV!$A$2:$J$250,2,FALSE),"")</f>
        <v/>
      </c>
      <c r="C712" s="31" t="str">
        <f>IFERROR(VLOOKUP(A712,Clientes_PDV!$A$2:$J$250,3,FALSE),"")</f>
        <v/>
      </c>
      <c r="D712" s="31" t="str">
        <f>IFERROR(VLOOKUP(A712,Clientes_PDV!$A$2:$J$250,4,FALSE),"")</f>
        <v/>
      </c>
      <c r="E712" s="24"/>
      <c r="F712" s="31" t="str">
        <f>IFERROR(VLOOKUP(E712,Maestro_SKU!$A$2:$P$500,2,FALSE),"")</f>
        <v/>
      </c>
      <c r="G712" s="24"/>
      <c r="H712" s="31" t="str">
        <f>IF(OR(G712="",E712=""),"",G712*IFERROR(VLOOKUP(E712,Maestro_SKU!$A$2:$P$500,12,FALSE),1))</f>
        <v/>
      </c>
      <c r="I712" s="25"/>
      <c r="J712" s="31" t="str">
        <f>IF(A712="","",IF(H712&lt;=Inicio!$B$16,"Crítico",IF(H712&lt;=Inicio!$B$17,"Observar","OK")))</f>
        <v/>
      </c>
      <c r="K712" s="24"/>
    </row>
    <row r="713" spans="1:11" x14ac:dyDescent="0.35">
      <c r="A713" s="24"/>
      <c r="B713" s="31" t="str">
        <f>IFERROR(VLOOKUP(A713,Clientes_PDV!$A$2:$J$250,2,FALSE),"")</f>
        <v/>
      </c>
      <c r="C713" s="31" t="str">
        <f>IFERROR(VLOOKUP(A713,Clientes_PDV!$A$2:$J$250,3,FALSE),"")</f>
        <v/>
      </c>
      <c r="D713" s="31" t="str">
        <f>IFERROR(VLOOKUP(A713,Clientes_PDV!$A$2:$J$250,4,FALSE),"")</f>
        <v/>
      </c>
      <c r="E713" s="24"/>
      <c r="F713" s="31" t="str">
        <f>IFERROR(VLOOKUP(E713,Maestro_SKU!$A$2:$P$500,2,FALSE),"")</f>
        <v/>
      </c>
      <c r="G713" s="24"/>
      <c r="H713" s="31" t="str">
        <f>IF(OR(G713="",E713=""),"",G713*IFERROR(VLOOKUP(E713,Maestro_SKU!$A$2:$P$500,12,FALSE),1))</f>
        <v/>
      </c>
      <c r="I713" s="25"/>
      <c r="J713" s="31" t="str">
        <f>IF(A713="","",IF(H713&lt;=Inicio!$B$16,"Crítico",IF(H713&lt;=Inicio!$B$17,"Observar","OK")))</f>
        <v/>
      </c>
      <c r="K713" s="24"/>
    </row>
    <row r="714" spans="1:11" x14ac:dyDescent="0.35">
      <c r="A714" s="24"/>
      <c r="B714" s="31" t="str">
        <f>IFERROR(VLOOKUP(A714,Clientes_PDV!$A$2:$J$250,2,FALSE),"")</f>
        <v/>
      </c>
      <c r="C714" s="31" t="str">
        <f>IFERROR(VLOOKUP(A714,Clientes_PDV!$A$2:$J$250,3,FALSE),"")</f>
        <v/>
      </c>
      <c r="D714" s="31" t="str">
        <f>IFERROR(VLOOKUP(A714,Clientes_PDV!$A$2:$J$250,4,FALSE),"")</f>
        <v/>
      </c>
      <c r="E714" s="24"/>
      <c r="F714" s="31" t="str">
        <f>IFERROR(VLOOKUP(E714,Maestro_SKU!$A$2:$P$500,2,FALSE),"")</f>
        <v/>
      </c>
      <c r="G714" s="24"/>
      <c r="H714" s="31" t="str">
        <f>IF(OR(G714="",E714=""),"",G714*IFERROR(VLOOKUP(E714,Maestro_SKU!$A$2:$P$500,12,FALSE),1))</f>
        <v/>
      </c>
      <c r="I714" s="25"/>
      <c r="J714" s="31" t="str">
        <f>IF(A714="","",IF(H714&lt;=Inicio!$B$16,"Crítico",IF(H714&lt;=Inicio!$B$17,"Observar","OK")))</f>
        <v/>
      </c>
      <c r="K714" s="24"/>
    </row>
    <row r="715" spans="1:11" x14ac:dyDescent="0.35">
      <c r="A715" s="24"/>
      <c r="B715" s="31" t="str">
        <f>IFERROR(VLOOKUP(A715,Clientes_PDV!$A$2:$J$250,2,FALSE),"")</f>
        <v/>
      </c>
      <c r="C715" s="31" t="str">
        <f>IFERROR(VLOOKUP(A715,Clientes_PDV!$A$2:$J$250,3,FALSE),"")</f>
        <v/>
      </c>
      <c r="D715" s="31" t="str">
        <f>IFERROR(VLOOKUP(A715,Clientes_PDV!$A$2:$J$250,4,FALSE),"")</f>
        <v/>
      </c>
      <c r="E715" s="24"/>
      <c r="F715" s="31" t="str">
        <f>IFERROR(VLOOKUP(E715,Maestro_SKU!$A$2:$P$500,2,FALSE),"")</f>
        <v/>
      </c>
      <c r="G715" s="24"/>
      <c r="H715" s="31" t="str">
        <f>IF(OR(G715="",E715=""),"",G715*IFERROR(VLOOKUP(E715,Maestro_SKU!$A$2:$P$500,12,FALSE),1))</f>
        <v/>
      </c>
      <c r="I715" s="25"/>
      <c r="J715" s="31" t="str">
        <f>IF(A715="","",IF(H715&lt;=Inicio!$B$16,"Crítico",IF(H715&lt;=Inicio!$B$17,"Observar","OK")))</f>
        <v/>
      </c>
      <c r="K715" s="24"/>
    </row>
    <row r="716" spans="1:11" x14ac:dyDescent="0.35">
      <c r="A716" s="24"/>
      <c r="B716" s="31" t="str">
        <f>IFERROR(VLOOKUP(A716,Clientes_PDV!$A$2:$J$250,2,FALSE),"")</f>
        <v/>
      </c>
      <c r="C716" s="31" t="str">
        <f>IFERROR(VLOOKUP(A716,Clientes_PDV!$A$2:$J$250,3,FALSE),"")</f>
        <v/>
      </c>
      <c r="D716" s="31" t="str">
        <f>IFERROR(VLOOKUP(A716,Clientes_PDV!$A$2:$J$250,4,FALSE),"")</f>
        <v/>
      </c>
      <c r="E716" s="24"/>
      <c r="F716" s="31" t="str">
        <f>IFERROR(VLOOKUP(E716,Maestro_SKU!$A$2:$P$500,2,FALSE),"")</f>
        <v/>
      </c>
      <c r="G716" s="24"/>
      <c r="H716" s="31" t="str">
        <f>IF(OR(G716="",E716=""),"",G716*IFERROR(VLOOKUP(E716,Maestro_SKU!$A$2:$P$500,12,FALSE),1))</f>
        <v/>
      </c>
      <c r="I716" s="25"/>
      <c r="J716" s="31" t="str">
        <f>IF(A716="","",IF(H716&lt;=Inicio!$B$16,"Crítico",IF(H716&lt;=Inicio!$B$17,"Observar","OK")))</f>
        <v/>
      </c>
      <c r="K716" s="24"/>
    </row>
    <row r="717" spans="1:11" x14ac:dyDescent="0.35">
      <c r="A717" s="24"/>
      <c r="B717" s="31" t="str">
        <f>IFERROR(VLOOKUP(A717,Clientes_PDV!$A$2:$J$250,2,FALSE),"")</f>
        <v/>
      </c>
      <c r="C717" s="31" t="str">
        <f>IFERROR(VLOOKUP(A717,Clientes_PDV!$A$2:$J$250,3,FALSE),"")</f>
        <v/>
      </c>
      <c r="D717" s="31" t="str">
        <f>IFERROR(VLOOKUP(A717,Clientes_PDV!$A$2:$J$250,4,FALSE),"")</f>
        <v/>
      </c>
      <c r="E717" s="24"/>
      <c r="F717" s="31" t="str">
        <f>IFERROR(VLOOKUP(E717,Maestro_SKU!$A$2:$P$500,2,FALSE),"")</f>
        <v/>
      </c>
      <c r="G717" s="24"/>
      <c r="H717" s="31" t="str">
        <f>IF(OR(G717="",E717=""),"",G717*IFERROR(VLOOKUP(E717,Maestro_SKU!$A$2:$P$500,12,FALSE),1))</f>
        <v/>
      </c>
      <c r="I717" s="25"/>
      <c r="J717" s="31" t="str">
        <f>IF(A717="","",IF(H717&lt;=Inicio!$B$16,"Crítico",IF(H717&lt;=Inicio!$B$17,"Observar","OK")))</f>
        <v/>
      </c>
      <c r="K717" s="24"/>
    </row>
    <row r="718" spans="1:11" x14ac:dyDescent="0.35">
      <c r="A718" s="24"/>
      <c r="B718" s="31" t="str">
        <f>IFERROR(VLOOKUP(A718,Clientes_PDV!$A$2:$J$250,2,FALSE),"")</f>
        <v/>
      </c>
      <c r="C718" s="31" t="str">
        <f>IFERROR(VLOOKUP(A718,Clientes_PDV!$A$2:$J$250,3,FALSE),"")</f>
        <v/>
      </c>
      <c r="D718" s="31" t="str">
        <f>IFERROR(VLOOKUP(A718,Clientes_PDV!$A$2:$J$250,4,FALSE),"")</f>
        <v/>
      </c>
      <c r="E718" s="24"/>
      <c r="F718" s="31" t="str">
        <f>IFERROR(VLOOKUP(E718,Maestro_SKU!$A$2:$P$500,2,FALSE),"")</f>
        <v/>
      </c>
      <c r="G718" s="24"/>
      <c r="H718" s="31" t="str">
        <f>IF(OR(G718="",E718=""),"",G718*IFERROR(VLOOKUP(E718,Maestro_SKU!$A$2:$P$500,12,FALSE),1))</f>
        <v/>
      </c>
      <c r="I718" s="25"/>
      <c r="J718" s="31" t="str">
        <f>IF(A718="","",IF(H718&lt;=Inicio!$B$16,"Crítico",IF(H718&lt;=Inicio!$B$17,"Observar","OK")))</f>
        <v/>
      </c>
      <c r="K718" s="24"/>
    </row>
    <row r="719" spans="1:11" x14ac:dyDescent="0.35">
      <c r="A719" s="24"/>
      <c r="B719" s="31" t="str">
        <f>IFERROR(VLOOKUP(A719,Clientes_PDV!$A$2:$J$250,2,FALSE),"")</f>
        <v/>
      </c>
      <c r="C719" s="31" t="str">
        <f>IFERROR(VLOOKUP(A719,Clientes_PDV!$A$2:$J$250,3,FALSE),"")</f>
        <v/>
      </c>
      <c r="D719" s="31" t="str">
        <f>IFERROR(VLOOKUP(A719,Clientes_PDV!$A$2:$J$250,4,FALSE),"")</f>
        <v/>
      </c>
      <c r="E719" s="24"/>
      <c r="F719" s="31" t="str">
        <f>IFERROR(VLOOKUP(E719,Maestro_SKU!$A$2:$P$500,2,FALSE),"")</f>
        <v/>
      </c>
      <c r="G719" s="24"/>
      <c r="H719" s="31" t="str">
        <f>IF(OR(G719="",E719=""),"",G719*IFERROR(VLOOKUP(E719,Maestro_SKU!$A$2:$P$500,12,FALSE),1))</f>
        <v/>
      </c>
      <c r="I719" s="25"/>
      <c r="J719" s="31" t="str">
        <f>IF(A719="","",IF(H719&lt;=Inicio!$B$16,"Crítico",IF(H719&lt;=Inicio!$B$17,"Observar","OK")))</f>
        <v/>
      </c>
      <c r="K719" s="24"/>
    </row>
    <row r="720" spans="1:11" x14ac:dyDescent="0.35">
      <c r="A720" s="24"/>
      <c r="B720" s="31" t="str">
        <f>IFERROR(VLOOKUP(A720,Clientes_PDV!$A$2:$J$250,2,FALSE),"")</f>
        <v/>
      </c>
      <c r="C720" s="31" t="str">
        <f>IFERROR(VLOOKUP(A720,Clientes_PDV!$A$2:$J$250,3,FALSE),"")</f>
        <v/>
      </c>
      <c r="D720" s="31" t="str">
        <f>IFERROR(VLOOKUP(A720,Clientes_PDV!$A$2:$J$250,4,FALSE),"")</f>
        <v/>
      </c>
      <c r="E720" s="24"/>
      <c r="F720" s="31" t="str">
        <f>IFERROR(VLOOKUP(E720,Maestro_SKU!$A$2:$P$500,2,FALSE),"")</f>
        <v/>
      </c>
      <c r="G720" s="24"/>
      <c r="H720" s="31" t="str">
        <f>IF(OR(G720="",E720=""),"",G720*IFERROR(VLOOKUP(E720,Maestro_SKU!$A$2:$P$500,12,FALSE),1))</f>
        <v/>
      </c>
      <c r="I720" s="25"/>
      <c r="J720" s="31" t="str">
        <f>IF(A720="","",IF(H720&lt;=Inicio!$B$16,"Crítico",IF(H720&lt;=Inicio!$B$17,"Observar","OK")))</f>
        <v/>
      </c>
      <c r="K720" s="24"/>
    </row>
    <row r="721" spans="1:11" x14ac:dyDescent="0.35">
      <c r="A721" s="24"/>
      <c r="B721" s="31" t="str">
        <f>IFERROR(VLOOKUP(A721,Clientes_PDV!$A$2:$J$250,2,FALSE),"")</f>
        <v/>
      </c>
      <c r="C721" s="31" t="str">
        <f>IFERROR(VLOOKUP(A721,Clientes_PDV!$A$2:$J$250,3,FALSE),"")</f>
        <v/>
      </c>
      <c r="D721" s="31" t="str">
        <f>IFERROR(VLOOKUP(A721,Clientes_PDV!$A$2:$J$250,4,FALSE),"")</f>
        <v/>
      </c>
      <c r="E721" s="24"/>
      <c r="F721" s="31" t="str">
        <f>IFERROR(VLOOKUP(E721,Maestro_SKU!$A$2:$P$500,2,FALSE),"")</f>
        <v/>
      </c>
      <c r="G721" s="24"/>
      <c r="H721" s="31" t="str">
        <f>IF(OR(G721="",E721=""),"",G721*IFERROR(VLOOKUP(E721,Maestro_SKU!$A$2:$P$500,12,FALSE),1))</f>
        <v/>
      </c>
      <c r="I721" s="25"/>
      <c r="J721" s="31" t="str">
        <f>IF(A721="","",IF(H721&lt;=Inicio!$B$16,"Crítico",IF(H721&lt;=Inicio!$B$17,"Observar","OK")))</f>
        <v/>
      </c>
      <c r="K721" s="24"/>
    </row>
    <row r="722" spans="1:11" x14ac:dyDescent="0.35">
      <c r="A722" s="24"/>
      <c r="B722" s="31" t="str">
        <f>IFERROR(VLOOKUP(A722,Clientes_PDV!$A$2:$J$250,2,FALSE),"")</f>
        <v/>
      </c>
      <c r="C722" s="31" t="str">
        <f>IFERROR(VLOOKUP(A722,Clientes_PDV!$A$2:$J$250,3,FALSE),"")</f>
        <v/>
      </c>
      <c r="D722" s="31" t="str">
        <f>IFERROR(VLOOKUP(A722,Clientes_PDV!$A$2:$J$250,4,FALSE),"")</f>
        <v/>
      </c>
      <c r="E722" s="24"/>
      <c r="F722" s="31" t="str">
        <f>IFERROR(VLOOKUP(E722,Maestro_SKU!$A$2:$P$500,2,FALSE),"")</f>
        <v/>
      </c>
      <c r="G722" s="24"/>
      <c r="H722" s="31" t="str">
        <f>IF(OR(G722="",E722=""),"",G722*IFERROR(VLOOKUP(E722,Maestro_SKU!$A$2:$P$500,12,FALSE),1))</f>
        <v/>
      </c>
      <c r="I722" s="25"/>
      <c r="J722" s="31" t="str">
        <f>IF(A722="","",IF(H722&lt;=Inicio!$B$16,"Crítico",IF(H722&lt;=Inicio!$B$17,"Observar","OK")))</f>
        <v/>
      </c>
      <c r="K722" s="24"/>
    </row>
    <row r="723" spans="1:11" x14ac:dyDescent="0.35">
      <c r="A723" s="24"/>
      <c r="B723" s="31" t="str">
        <f>IFERROR(VLOOKUP(A723,Clientes_PDV!$A$2:$J$250,2,FALSE),"")</f>
        <v/>
      </c>
      <c r="C723" s="31" t="str">
        <f>IFERROR(VLOOKUP(A723,Clientes_PDV!$A$2:$J$250,3,FALSE),"")</f>
        <v/>
      </c>
      <c r="D723" s="31" t="str">
        <f>IFERROR(VLOOKUP(A723,Clientes_PDV!$A$2:$J$250,4,FALSE),"")</f>
        <v/>
      </c>
      <c r="E723" s="24"/>
      <c r="F723" s="31" t="str">
        <f>IFERROR(VLOOKUP(E723,Maestro_SKU!$A$2:$P$500,2,FALSE),"")</f>
        <v/>
      </c>
      <c r="G723" s="24"/>
      <c r="H723" s="31" t="str">
        <f>IF(OR(G723="",E723=""),"",G723*IFERROR(VLOOKUP(E723,Maestro_SKU!$A$2:$P$500,12,FALSE),1))</f>
        <v/>
      </c>
      <c r="I723" s="25"/>
      <c r="J723" s="31" t="str">
        <f>IF(A723="","",IF(H723&lt;=Inicio!$B$16,"Crítico",IF(H723&lt;=Inicio!$B$17,"Observar","OK")))</f>
        <v/>
      </c>
      <c r="K723" s="24"/>
    </row>
    <row r="724" spans="1:11" x14ac:dyDescent="0.35">
      <c r="A724" s="24"/>
      <c r="B724" s="31" t="str">
        <f>IFERROR(VLOOKUP(A724,Clientes_PDV!$A$2:$J$250,2,FALSE),"")</f>
        <v/>
      </c>
      <c r="C724" s="31" t="str">
        <f>IFERROR(VLOOKUP(A724,Clientes_PDV!$A$2:$J$250,3,FALSE),"")</f>
        <v/>
      </c>
      <c r="D724" s="31" t="str">
        <f>IFERROR(VLOOKUP(A724,Clientes_PDV!$A$2:$J$250,4,FALSE),"")</f>
        <v/>
      </c>
      <c r="E724" s="24"/>
      <c r="F724" s="31" t="str">
        <f>IFERROR(VLOOKUP(E724,Maestro_SKU!$A$2:$P$500,2,FALSE),"")</f>
        <v/>
      </c>
      <c r="G724" s="24"/>
      <c r="H724" s="31" t="str">
        <f>IF(OR(G724="",E724=""),"",G724*IFERROR(VLOOKUP(E724,Maestro_SKU!$A$2:$P$500,12,FALSE),1))</f>
        <v/>
      </c>
      <c r="I724" s="25"/>
      <c r="J724" s="31" t="str">
        <f>IF(A724="","",IF(H724&lt;=Inicio!$B$16,"Crítico",IF(H724&lt;=Inicio!$B$17,"Observar","OK")))</f>
        <v/>
      </c>
      <c r="K724" s="24"/>
    </row>
    <row r="725" spans="1:11" x14ac:dyDescent="0.35">
      <c r="A725" s="24"/>
      <c r="B725" s="31" t="str">
        <f>IFERROR(VLOOKUP(A725,Clientes_PDV!$A$2:$J$250,2,FALSE),"")</f>
        <v/>
      </c>
      <c r="C725" s="31" t="str">
        <f>IFERROR(VLOOKUP(A725,Clientes_PDV!$A$2:$J$250,3,FALSE),"")</f>
        <v/>
      </c>
      <c r="D725" s="31" t="str">
        <f>IFERROR(VLOOKUP(A725,Clientes_PDV!$A$2:$J$250,4,FALSE),"")</f>
        <v/>
      </c>
      <c r="E725" s="24"/>
      <c r="F725" s="31" t="str">
        <f>IFERROR(VLOOKUP(E725,Maestro_SKU!$A$2:$P$500,2,FALSE),"")</f>
        <v/>
      </c>
      <c r="G725" s="24"/>
      <c r="H725" s="31" t="str">
        <f>IF(OR(G725="",E725=""),"",G725*IFERROR(VLOOKUP(E725,Maestro_SKU!$A$2:$P$500,12,FALSE),1))</f>
        <v/>
      </c>
      <c r="I725" s="25"/>
      <c r="J725" s="31" t="str">
        <f>IF(A725="","",IF(H725&lt;=Inicio!$B$16,"Crítico",IF(H725&lt;=Inicio!$B$17,"Observar","OK")))</f>
        <v/>
      </c>
      <c r="K725" s="24"/>
    </row>
    <row r="726" spans="1:11" x14ac:dyDescent="0.35">
      <c r="A726" s="24"/>
      <c r="B726" s="31" t="str">
        <f>IFERROR(VLOOKUP(A726,Clientes_PDV!$A$2:$J$250,2,FALSE),"")</f>
        <v/>
      </c>
      <c r="C726" s="31" t="str">
        <f>IFERROR(VLOOKUP(A726,Clientes_PDV!$A$2:$J$250,3,FALSE),"")</f>
        <v/>
      </c>
      <c r="D726" s="31" t="str">
        <f>IFERROR(VLOOKUP(A726,Clientes_PDV!$A$2:$J$250,4,FALSE),"")</f>
        <v/>
      </c>
      <c r="E726" s="24"/>
      <c r="F726" s="31" t="str">
        <f>IFERROR(VLOOKUP(E726,Maestro_SKU!$A$2:$P$500,2,FALSE),"")</f>
        <v/>
      </c>
      <c r="G726" s="24"/>
      <c r="H726" s="31" t="str">
        <f>IF(OR(G726="",E726=""),"",G726*IFERROR(VLOOKUP(E726,Maestro_SKU!$A$2:$P$500,12,FALSE),1))</f>
        <v/>
      </c>
      <c r="I726" s="25"/>
      <c r="J726" s="31" t="str">
        <f>IF(A726="","",IF(H726&lt;=Inicio!$B$16,"Crítico",IF(H726&lt;=Inicio!$B$17,"Observar","OK")))</f>
        <v/>
      </c>
      <c r="K726" s="24"/>
    </row>
    <row r="727" spans="1:11" x14ac:dyDescent="0.35">
      <c r="A727" s="24"/>
      <c r="B727" s="31" t="str">
        <f>IFERROR(VLOOKUP(A727,Clientes_PDV!$A$2:$J$250,2,FALSE),"")</f>
        <v/>
      </c>
      <c r="C727" s="31" t="str">
        <f>IFERROR(VLOOKUP(A727,Clientes_PDV!$A$2:$J$250,3,FALSE),"")</f>
        <v/>
      </c>
      <c r="D727" s="31" t="str">
        <f>IFERROR(VLOOKUP(A727,Clientes_PDV!$A$2:$J$250,4,FALSE),"")</f>
        <v/>
      </c>
      <c r="E727" s="24"/>
      <c r="F727" s="31" t="str">
        <f>IFERROR(VLOOKUP(E727,Maestro_SKU!$A$2:$P$500,2,FALSE),"")</f>
        <v/>
      </c>
      <c r="G727" s="24"/>
      <c r="H727" s="31" t="str">
        <f>IF(OR(G727="",E727=""),"",G727*IFERROR(VLOOKUP(E727,Maestro_SKU!$A$2:$P$500,12,FALSE),1))</f>
        <v/>
      </c>
      <c r="I727" s="25"/>
      <c r="J727" s="31" t="str">
        <f>IF(A727="","",IF(H727&lt;=Inicio!$B$16,"Crítico",IF(H727&lt;=Inicio!$B$17,"Observar","OK")))</f>
        <v/>
      </c>
      <c r="K727" s="24"/>
    </row>
    <row r="728" spans="1:11" x14ac:dyDescent="0.35">
      <c r="A728" s="24"/>
      <c r="B728" s="31" t="str">
        <f>IFERROR(VLOOKUP(A728,Clientes_PDV!$A$2:$J$250,2,FALSE),"")</f>
        <v/>
      </c>
      <c r="C728" s="31" t="str">
        <f>IFERROR(VLOOKUP(A728,Clientes_PDV!$A$2:$J$250,3,FALSE),"")</f>
        <v/>
      </c>
      <c r="D728" s="31" t="str">
        <f>IFERROR(VLOOKUP(A728,Clientes_PDV!$A$2:$J$250,4,FALSE),"")</f>
        <v/>
      </c>
      <c r="E728" s="24"/>
      <c r="F728" s="31" t="str">
        <f>IFERROR(VLOOKUP(E728,Maestro_SKU!$A$2:$P$500,2,FALSE),"")</f>
        <v/>
      </c>
      <c r="G728" s="24"/>
      <c r="H728" s="31" t="str">
        <f>IF(OR(G728="",E728=""),"",G728*IFERROR(VLOOKUP(E728,Maestro_SKU!$A$2:$P$500,12,FALSE),1))</f>
        <v/>
      </c>
      <c r="I728" s="25"/>
      <c r="J728" s="31" t="str">
        <f>IF(A728="","",IF(H728&lt;=Inicio!$B$16,"Crítico",IF(H728&lt;=Inicio!$B$17,"Observar","OK")))</f>
        <v/>
      </c>
      <c r="K728" s="24"/>
    </row>
    <row r="729" spans="1:11" x14ac:dyDescent="0.35">
      <c r="A729" s="24"/>
      <c r="B729" s="31" t="str">
        <f>IFERROR(VLOOKUP(A729,Clientes_PDV!$A$2:$J$250,2,FALSE),"")</f>
        <v/>
      </c>
      <c r="C729" s="31" t="str">
        <f>IFERROR(VLOOKUP(A729,Clientes_PDV!$A$2:$J$250,3,FALSE),"")</f>
        <v/>
      </c>
      <c r="D729" s="31" t="str">
        <f>IFERROR(VLOOKUP(A729,Clientes_PDV!$A$2:$J$250,4,FALSE),"")</f>
        <v/>
      </c>
      <c r="E729" s="24"/>
      <c r="F729" s="31" t="str">
        <f>IFERROR(VLOOKUP(E729,Maestro_SKU!$A$2:$P$500,2,FALSE),"")</f>
        <v/>
      </c>
      <c r="G729" s="24"/>
      <c r="H729" s="31" t="str">
        <f>IF(OR(G729="",E729=""),"",G729*IFERROR(VLOOKUP(E729,Maestro_SKU!$A$2:$P$500,12,FALSE),1))</f>
        <v/>
      </c>
      <c r="I729" s="25"/>
      <c r="J729" s="31" t="str">
        <f>IF(A729="","",IF(H729&lt;=Inicio!$B$16,"Crítico",IF(H729&lt;=Inicio!$B$17,"Observar","OK")))</f>
        <v/>
      </c>
      <c r="K729" s="24"/>
    </row>
    <row r="730" spans="1:11" x14ac:dyDescent="0.35">
      <c r="A730" s="24"/>
      <c r="B730" s="31" t="str">
        <f>IFERROR(VLOOKUP(A730,Clientes_PDV!$A$2:$J$250,2,FALSE),"")</f>
        <v/>
      </c>
      <c r="C730" s="31" t="str">
        <f>IFERROR(VLOOKUP(A730,Clientes_PDV!$A$2:$J$250,3,FALSE),"")</f>
        <v/>
      </c>
      <c r="D730" s="31" t="str">
        <f>IFERROR(VLOOKUP(A730,Clientes_PDV!$A$2:$J$250,4,FALSE),"")</f>
        <v/>
      </c>
      <c r="E730" s="24"/>
      <c r="F730" s="31" t="str">
        <f>IFERROR(VLOOKUP(E730,Maestro_SKU!$A$2:$P$500,2,FALSE),"")</f>
        <v/>
      </c>
      <c r="G730" s="24"/>
      <c r="H730" s="31" t="str">
        <f>IF(OR(G730="",E730=""),"",G730*IFERROR(VLOOKUP(E730,Maestro_SKU!$A$2:$P$500,12,FALSE),1))</f>
        <v/>
      </c>
      <c r="I730" s="25"/>
      <c r="J730" s="31" t="str">
        <f>IF(A730="","",IF(H730&lt;=Inicio!$B$16,"Crítico",IF(H730&lt;=Inicio!$B$17,"Observar","OK")))</f>
        <v/>
      </c>
      <c r="K730" s="24"/>
    </row>
    <row r="731" spans="1:11" x14ac:dyDescent="0.35">
      <c r="A731" s="24"/>
      <c r="B731" s="31" t="str">
        <f>IFERROR(VLOOKUP(A731,Clientes_PDV!$A$2:$J$250,2,FALSE),"")</f>
        <v/>
      </c>
      <c r="C731" s="31" t="str">
        <f>IFERROR(VLOOKUP(A731,Clientes_PDV!$A$2:$J$250,3,FALSE),"")</f>
        <v/>
      </c>
      <c r="D731" s="31" t="str">
        <f>IFERROR(VLOOKUP(A731,Clientes_PDV!$A$2:$J$250,4,FALSE),"")</f>
        <v/>
      </c>
      <c r="E731" s="24"/>
      <c r="F731" s="31" t="str">
        <f>IFERROR(VLOOKUP(E731,Maestro_SKU!$A$2:$P$500,2,FALSE),"")</f>
        <v/>
      </c>
      <c r="G731" s="24"/>
      <c r="H731" s="31" t="str">
        <f>IF(OR(G731="",E731=""),"",G731*IFERROR(VLOOKUP(E731,Maestro_SKU!$A$2:$P$500,12,FALSE),1))</f>
        <v/>
      </c>
      <c r="I731" s="25"/>
      <c r="J731" s="31" t="str">
        <f>IF(A731="","",IF(H731&lt;=Inicio!$B$16,"Crítico",IF(H731&lt;=Inicio!$B$17,"Observar","OK")))</f>
        <v/>
      </c>
      <c r="K731" s="24"/>
    </row>
    <row r="732" spans="1:11" x14ac:dyDescent="0.35">
      <c r="A732" s="24"/>
      <c r="B732" s="31" t="str">
        <f>IFERROR(VLOOKUP(A732,Clientes_PDV!$A$2:$J$250,2,FALSE),"")</f>
        <v/>
      </c>
      <c r="C732" s="31" t="str">
        <f>IFERROR(VLOOKUP(A732,Clientes_PDV!$A$2:$J$250,3,FALSE),"")</f>
        <v/>
      </c>
      <c r="D732" s="31" t="str">
        <f>IFERROR(VLOOKUP(A732,Clientes_PDV!$A$2:$J$250,4,FALSE),"")</f>
        <v/>
      </c>
      <c r="E732" s="24"/>
      <c r="F732" s="31" t="str">
        <f>IFERROR(VLOOKUP(E732,Maestro_SKU!$A$2:$P$500,2,FALSE),"")</f>
        <v/>
      </c>
      <c r="G732" s="24"/>
      <c r="H732" s="31" t="str">
        <f>IF(OR(G732="",E732=""),"",G732*IFERROR(VLOOKUP(E732,Maestro_SKU!$A$2:$P$500,12,FALSE),1))</f>
        <v/>
      </c>
      <c r="I732" s="25"/>
      <c r="J732" s="31" t="str">
        <f>IF(A732="","",IF(H732&lt;=Inicio!$B$16,"Crítico",IF(H732&lt;=Inicio!$B$17,"Observar","OK")))</f>
        <v/>
      </c>
      <c r="K732" s="24"/>
    </row>
    <row r="733" spans="1:11" x14ac:dyDescent="0.35">
      <c r="A733" s="24"/>
      <c r="B733" s="31" t="str">
        <f>IFERROR(VLOOKUP(A733,Clientes_PDV!$A$2:$J$250,2,FALSE),"")</f>
        <v/>
      </c>
      <c r="C733" s="31" t="str">
        <f>IFERROR(VLOOKUP(A733,Clientes_PDV!$A$2:$J$250,3,FALSE),"")</f>
        <v/>
      </c>
      <c r="D733" s="31" t="str">
        <f>IFERROR(VLOOKUP(A733,Clientes_PDV!$A$2:$J$250,4,FALSE),"")</f>
        <v/>
      </c>
      <c r="E733" s="24"/>
      <c r="F733" s="31" t="str">
        <f>IFERROR(VLOOKUP(E733,Maestro_SKU!$A$2:$P$500,2,FALSE),"")</f>
        <v/>
      </c>
      <c r="G733" s="24"/>
      <c r="H733" s="31" t="str">
        <f>IF(OR(G733="",E733=""),"",G733*IFERROR(VLOOKUP(E733,Maestro_SKU!$A$2:$P$500,12,FALSE),1))</f>
        <v/>
      </c>
      <c r="I733" s="25"/>
      <c r="J733" s="31" t="str">
        <f>IF(A733="","",IF(H733&lt;=Inicio!$B$16,"Crítico",IF(H733&lt;=Inicio!$B$17,"Observar","OK")))</f>
        <v/>
      </c>
      <c r="K733" s="24"/>
    </row>
    <row r="734" spans="1:11" x14ac:dyDescent="0.35">
      <c r="A734" s="24"/>
      <c r="B734" s="31" t="str">
        <f>IFERROR(VLOOKUP(A734,Clientes_PDV!$A$2:$J$250,2,FALSE),"")</f>
        <v/>
      </c>
      <c r="C734" s="31" t="str">
        <f>IFERROR(VLOOKUP(A734,Clientes_PDV!$A$2:$J$250,3,FALSE),"")</f>
        <v/>
      </c>
      <c r="D734" s="31" t="str">
        <f>IFERROR(VLOOKUP(A734,Clientes_PDV!$A$2:$J$250,4,FALSE),"")</f>
        <v/>
      </c>
      <c r="E734" s="24"/>
      <c r="F734" s="31" t="str">
        <f>IFERROR(VLOOKUP(E734,Maestro_SKU!$A$2:$P$500,2,FALSE),"")</f>
        <v/>
      </c>
      <c r="G734" s="24"/>
      <c r="H734" s="31" t="str">
        <f>IF(OR(G734="",E734=""),"",G734*IFERROR(VLOOKUP(E734,Maestro_SKU!$A$2:$P$500,12,FALSE),1))</f>
        <v/>
      </c>
      <c r="I734" s="25"/>
      <c r="J734" s="31" t="str">
        <f>IF(A734="","",IF(H734&lt;=Inicio!$B$16,"Crítico",IF(H734&lt;=Inicio!$B$17,"Observar","OK")))</f>
        <v/>
      </c>
      <c r="K734" s="24"/>
    </row>
    <row r="735" spans="1:11" x14ac:dyDescent="0.35">
      <c r="A735" s="24"/>
      <c r="B735" s="31" t="str">
        <f>IFERROR(VLOOKUP(A735,Clientes_PDV!$A$2:$J$250,2,FALSE),"")</f>
        <v/>
      </c>
      <c r="C735" s="31" t="str">
        <f>IFERROR(VLOOKUP(A735,Clientes_PDV!$A$2:$J$250,3,FALSE),"")</f>
        <v/>
      </c>
      <c r="D735" s="31" t="str">
        <f>IFERROR(VLOOKUP(A735,Clientes_PDV!$A$2:$J$250,4,FALSE),"")</f>
        <v/>
      </c>
      <c r="E735" s="24"/>
      <c r="F735" s="31" t="str">
        <f>IFERROR(VLOOKUP(E735,Maestro_SKU!$A$2:$P$500,2,FALSE),"")</f>
        <v/>
      </c>
      <c r="G735" s="24"/>
      <c r="H735" s="31" t="str">
        <f>IF(OR(G735="",E735=""),"",G735*IFERROR(VLOOKUP(E735,Maestro_SKU!$A$2:$P$500,12,FALSE),1))</f>
        <v/>
      </c>
      <c r="I735" s="25"/>
      <c r="J735" s="31" t="str">
        <f>IF(A735="","",IF(H735&lt;=Inicio!$B$16,"Crítico",IF(H735&lt;=Inicio!$B$17,"Observar","OK")))</f>
        <v/>
      </c>
      <c r="K735" s="24"/>
    </row>
    <row r="736" spans="1:11" x14ac:dyDescent="0.35">
      <c r="A736" s="24"/>
      <c r="B736" s="31" t="str">
        <f>IFERROR(VLOOKUP(A736,Clientes_PDV!$A$2:$J$250,2,FALSE),"")</f>
        <v/>
      </c>
      <c r="C736" s="31" t="str">
        <f>IFERROR(VLOOKUP(A736,Clientes_PDV!$A$2:$J$250,3,FALSE),"")</f>
        <v/>
      </c>
      <c r="D736" s="31" t="str">
        <f>IFERROR(VLOOKUP(A736,Clientes_PDV!$A$2:$J$250,4,FALSE),"")</f>
        <v/>
      </c>
      <c r="E736" s="24"/>
      <c r="F736" s="31" t="str">
        <f>IFERROR(VLOOKUP(E736,Maestro_SKU!$A$2:$P$500,2,FALSE),"")</f>
        <v/>
      </c>
      <c r="G736" s="24"/>
      <c r="H736" s="31" t="str">
        <f>IF(OR(G736="",E736=""),"",G736*IFERROR(VLOOKUP(E736,Maestro_SKU!$A$2:$P$500,12,FALSE),1))</f>
        <v/>
      </c>
      <c r="I736" s="25"/>
      <c r="J736" s="31" t="str">
        <f>IF(A736="","",IF(H736&lt;=Inicio!$B$16,"Crítico",IF(H736&lt;=Inicio!$B$17,"Observar","OK")))</f>
        <v/>
      </c>
      <c r="K736" s="24"/>
    </row>
    <row r="737" spans="1:11" x14ac:dyDescent="0.35">
      <c r="A737" s="24"/>
      <c r="B737" s="31" t="str">
        <f>IFERROR(VLOOKUP(A737,Clientes_PDV!$A$2:$J$250,2,FALSE),"")</f>
        <v/>
      </c>
      <c r="C737" s="31" t="str">
        <f>IFERROR(VLOOKUP(A737,Clientes_PDV!$A$2:$J$250,3,FALSE),"")</f>
        <v/>
      </c>
      <c r="D737" s="31" t="str">
        <f>IFERROR(VLOOKUP(A737,Clientes_PDV!$A$2:$J$250,4,FALSE),"")</f>
        <v/>
      </c>
      <c r="E737" s="24"/>
      <c r="F737" s="31" t="str">
        <f>IFERROR(VLOOKUP(E737,Maestro_SKU!$A$2:$P$500,2,FALSE),"")</f>
        <v/>
      </c>
      <c r="G737" s="24"/>
      <c r="H737" s="31" t="str">
        <f>IF(OR(G737="",E737=""),"",G737*IFERROR(VLOOKUP(E737,Maestro_SKU!$A$2:$P$500,12,FALSE),1))</f>
        <v/>
      </c>
      <c r="I737" s="25"/>
      <c r="J737" s="31" t="str">
        <f>IF(A737="","",IF(H737&lt;=Inicio!$B$16,"Crítico",IF(H737&lt;=Inicio!$B$17,"Observar","OK")))</f>
        <v/>
      </c>
      <c r="K737" s="24"/>
    </row>
    <row r="738" spans="1:11" x14ac:dyDescent="0.35">
      <c r="A738" s="24"/>
      <c r="B738" s="31" t="str">
        <f>IFERROR(VLOOKUP(A738,Clientes_PDV!$A$2:$J$250,2,FALSE),"")</f>
        <v/>
      </c>
      <c r="C738" s="31" t="str">
        <f>IFERROR(VLOOKUP(A738,Clientes_PDV!$A$2:$J$250,3,FALSE),"")</f>
        <v/>
      </c>
      <c r="D738" s="31" t="str">
        <f>IFERROR(VLOOKUP(A738,Clientes_PDV!$A$2:$J$250,4,FALSE),"")</f>
        <v/>
      </c>
      <c r="E738" s="24"/>
      <c r="F738" s="31" t="str">
        <f>IFERROR(VLOOKUP(E738,Maestro_SKU!$A$2:$P$500,2,FALSE),"")</f>
        <v/>
      </c>
      <c r="G738" s="24"/>
      <c r="H738" s="31" t="str">
        <f>IF(OR(G738="",E738=""),"",G738*IFERROR(VLOOKUP(E738,Maestro_SKU!$A$2:$P$500,12,FALSE),1))</f>
        <v/>
      </c>
      <c r="I738" s="25"/>
      <c r="J738" s="31" t="str">
        <f>IF(A738="","",IF(H738&lt;=Inicio!$B$16,"Crítico",IF(H738&lt;=Inicio!$B$17,"Observar","OK")))</f>
        <v/>
      </c>
      <c r="K738" s="24"/>
    </row>
    <row r="739" spans="1:11" x14ac:dyDescent="0.35">
      <c r="A739" s="24"/>
      <c r="B739" s="31" t="str">
        <f>IFERROR(VLOOKUP(A739,Clientes_PDV!$A$2:$J$250,2,FALSE),"")</f>
        <v/>
      </c>
      <c r="C739" s="31" t="str">
        <f>IFERROR(VLOOKUP(A739,Clientes_PDV!$A$2:$J$250,3,FALSE),"")</f>
        <v/>
      </c>
      <c r="D739" s="31" t="str">
        <f>IFERROR(VLOOKUP(A739,Clientes_PDV!$A$2:$J$250,4,FALSE),"")</f>
        <v/>
      </c>
      <c r="E739" s="24"/>
      <c r="F739" s="31" t="str">
        <f>IFERROR(VLOOKUP(E739,Maestro_SKU!$A$2:$P$500,2,FALSE),"")</f>
        <v/>
      </c>
      <c r="G739" s="24"/>
      <c r="H739" s="31" t="str">
        <f>IF(OR(G739="",E739=""),"",G739*IFERROR(VLOOKUP(E739,Maestro_SKU!$A$2:$P$500,12,FALSE),1))</f>
        <v/>
      </c>
      <c r="I739" s="25"/>
      <c r="J739" s="31" t="str">
        <f>IF(A739="","",IF(H739&lt;=Inicio!$B$16,"Crítico",IF(H739&lt;=Inicio!$B$17,"Observar","OK")))</f>
        <v/>
      </c>
      <c r="K739" s="24"/>
    </row>
    <row r="740" spans="1:11" x14ac:dyDescent="0.35">
      <c r="A740" s="24"/>
      <c r="B740" s="31" t="str">
        <f>IFERROR(VLOOKUP(A740,Clientes_PDV!$A$2:$J$250,2,FALSE),"")</f>
        <v/>
      </c>
      <c r="C740" s="31" t="str">
        <f>IFERROR(VLOOKUP(A740,Clientes_PDV!$A$2:$J$250,3,FALSE),"")</f>
        <v/>
      </c>
      <c r="D740" s="31" t="str">
        <f>IFERROR(VLOOKUP(A740,Clientes_PDV!$A$2:$J$250,4,FALSE),"")</f>
        <v/>
      </c>
      <c r="E740" s="24"/>
      <c r="F740" s="31" t="str">
        <f>IFERROR(VLOOKUP(E740,Maestro_SKU!$A$2:$P$500,2,FALSE),"")</f>
        <v/>
      </c>
      <c r="G740" s="24"/>
      <c r="H740" s="31" t="str">
        <f>IF(OR(G740="",E740=""),"",G740*IFERROR(VLOOKUP(E740,Maestro_SKU!$A$2:$P$500,12,FALSE),1))</f>
        <v/>
      </c>
      <c r="I740" s="25"/>
      <c r="J740" s="31" t="str">
        <f>IF(A740="","",IF(H740&lt;=Inicio!$B$16,"Crítico",IF(H740&lt;=Inicio!$B$17,"Observar","OK")))</f>
        <v/>
      </c>
      <c r="K740" s="24"/>
    </row>
    <row r="741" spans="1:11" x14ac:dyDescent="0.35">
      <c r="A741" s="24"/>
      <c r="B741" s="31" t="str">
        <f>IFERROR(VLOOKUP(A741,Clientes_PDV!$A$2:$J$250,2,FALSE),"")</f>
        <v/>
      </c>
      <c r="C741" s="31" t="str">
        <f>IFERROR(VLOOKUP(A741,Clientes_PDV!$A$2:$J$250,3,FALSE),"")</f>
        <v/>
      </c>
      <c r="D741" s="31" t="str">
        <f>IFERROR(VLOOKUP(A741,Clientes_PDV!$A$2:$J$250,4,FALSE),"")</f>
        <v/>
      </c>
      <c r="E741" s="24"/>
      <c r="F741" s="31" t="str">
        <f>IFERROR(VLOOKUP(E741,Maestro_SKU!$A$2:$P$500,2,FALSE),"")</f>
        <v/>
      </c>
      <c r="G741" s="24"/>
      <c r="H741" s="31" t="str">
        <f>IF(OR(G741="",E741=""),"",G741*IFERROR(VLOOKUP(E741,Maestro_SKU!$A$2:$P$500,12,FALSE),1))</f>
        <v/>
      </c>
      <c r="I741" s="25"/>
      <c r="J741" s="31" t="str">
        <f>IF(A741="","",IF(H741&lt;=Inicio!$B$16,"Crítico",IF(H741&lt;=Inicio!$B$17,"Observar","OK")))</f>
        <v/>
      </c>
      <c r="K741" s="24"/>
    </row>
    <row r="742" spans="1:11" x14ac:dyDescent="0.35">
      <c r="A742" s="24"/>
      <c r="B742" s="31" t="str">
        <f>IFERROR(VLOOKUP(A742,Clientes_PDV!$A$2:$J$250,2,FALSE),"")</f>
        <v/>
      </c>
      <c r="C742" s="31" t="str">
        <f>IFERROR(VLOOKUP(A742,Clientes_PDV!$A$2:$J$250,3,FALSE),"")</f>
        <v/>
      </c>
      <c r="D742" s="31" t="str">
        <f>IFERROR(VLOOKUP(A742,Clientes_PDV!$A$2:$J$250,4,FALSE),"")</f>
        <v/>
      </c>
      <c r="E742" s="24"/>
      <c r="F742" s="31" t="str">
        <f>IFERROR(VLOOKUP(E742,Maestro_SKU!$A$2:$P$500,2,FALSE),"")</f>
        <v/>
      </c>
      <c r="G742" s="24"/>
      <c r="H742" s="31" t="str">
        <f>IF(OR(G742="",E742=""),"",G742*IFERROR(VLOOKUP(E742,Maestro_SKU!$A$2:$P$500,12,FALSE),1))</f>
        <v/>
      </c>
      <c r="I742" s="25"/>
      <c r="J742" s="31" t="str">
        <f>IF(A742="","",IF(H742&lt;=Inicio!$B$16,"Crítico",IF(H742&lt;=Inicio!$B$17,"Observar","OK")))</f>
        <v/>
      </c>
      <c r="K742" s="24"/>
    </row>
    <row r="743" spans="1:11" x14ac:dyDescent="0.35">
      <c r="A743" s="24"/>
      <c r="B743" s="31" t="str">
        <f>IFERROR(VLOOKUP(A743,Clientes_PDV!$A$2:$J$250,2,FALSE),"")</f>
        <v/>
      </c>
      <c r="C743" s="31" t="str">
        <f>IFERROR(VLOOKUP(A743,Clientes_PDV!$A$2:$J$250,3,FALSE),"")</f>
        <v/>
      </c>
      <c r="D743" s="31" t="str">
        <f>IFERROR(VLOOKUP(A743,Clientes_PDV!$A$2:$J$250,4,FALSE),"")</f>
        <v/>
      </c>
      <c r="E743" s="24"/>
      <c r="F743" s="31" t="str">
        <f>IFERROR(VLOOKUP(E743,Maestro_SKU!$A$2:$P$500,2,FALSE),"")</f>
        <v/>
      </c>
      <c r="G743" s="24"/>
      <c r="H743" s="31" t="str">
        <f>IF(OR(G743="",E743=""),"",G743*IFERROR(VLOOKUP(E743,Maestro_SKU!$A$2:$P$500,12,FALSE),1))</f>
        <v/>
      </c>
      <c r="I743" s="25"/>
      <c r="J743" s="31" t="str">
        <f>IF(A743="","",IF(H743&lt;=Inicio!$B$16,"Crítico",IF(H743&lt;=Inicio!$B$17,"Observar","OK")))</f>
        <v/>
      </c>
      <c r="K743" s="24"/>
    </row>
    <row r="744" spans="1:11" x14ac:dyDescent="0.35">
      <c r="A744" s="24"/>
      <c r="B744" s="31" t="str">
        <f>IFERROR(VLOOKUP(A744,Clientes_PDV!$A$2:$J$250,2,FALSE),"")</f>
        <v/>
      </c>
      <c r="C744" s="31" t="str">
        <f>IFERROR(VLOOKUP(A744,Clientes_PDV!$A$2:$J$250,3,FALSE),"")</f>
        <v/>
      </c>
      <c r="D744" s="31" t="str">
        <f>IFERROR(VLOOKUP(A744,Clientes_PDV!$A$2:$J$250,4,FALSE),"")</f>
        <v/>
      </c>
      <c r="E744" s="24"/>
      <c r="F744" s="31" t="str">
        <f>IFERROR(VLOOKUP(E744,Maestro_SKU!$A$2:$P$500,2,FALSE),"")</f>
        <v/>
      </c>
      <c r="G744" s="24"/>
      <c r="H744" s="31" t="str">
        <f>IF(OR(G744="",E744=""),"",G744*IFERROR(VLOOKUP(E744,Maestro_SKU!$A$2:$P$500,12,FALSE),1))</f>
        <v/>
      </c>
      <c r="I744" s="25"/>
      <c r="J744" s="31" t="str">
        <f>IF(A744="","",IF(H744&lt;=Inicio!$B$16,"Crítico",IF(H744&lt;=Inicio!$B$17,"Observar","OK")))</f>
        <v/>
      </c>
      <c r="K744" s="24"/>
    </row>
    <row r="745" spans="1:11" x14ac:dyDescent="0.35">
      <c r="A745" s="24"/>
      <c r="B745" s="31" t="str">
        <f>IFERROR(VLOOKUP(A745,Clientes_PDV!$A$2:$J$250,2,FALSE),"")</f>
        <v/>
      </c>
      <c r="C745" s="31" t="str">
        <f>IFERROR(VLOOKUP(A745,Clientes_PDV!$A$2:$J$250,3,FALSE),"")</f>
        <v/>
      </c>
      <c r="D745" s="31" t="str">
        <f>IFERROR(VLOOKUP(A745,Clientes_PDV!$A$2:$J$250,4,FALSE),"")</f>
        <v/>
      </c>
      <c r="E745" s="24"/>
      <c r="F745" s="31" t="str">
        <f>IFERROR(VLOOKUP(E745,Maestro_SKU!$A$2:$P$500,2,FALSE),"")</f>
        <v/>
      </c>
      <c r="G745" s="24"/>
      <c r="H745" s="31" t="str">
        <f>IF(OR(G745="",E745=""),"",G745*IFERROR(VLOOKUP(E745,Maestro_SKU!$A$2:$P$500,12,FALSE),1))</f>
        <v/>
      </c>
      <c r="I745" s="25"/>
      <c r="J745" s="31" t="str">
        <f>IF(A745="","",IF(H745&lt;=Inicio!$B$16,"Crítico",IF(H745&lt;=Inicio!$B$17,"Observar","OK")))</f>
        <v/>
      </c>
      <c r="K745" s="24"/>
    </row>
    <row r="746" spans="1:11" x14ac:dyDescent="0.35">
      <c r="A746" s="24"/>
      <c r="B746" s="31" t="str">
        <f>IFERROR(VLOOKUP(A746,Clientes_PDV!$A$2:$J$250,2,FALSE),"")</f>
        <v/>
      </c>
      <c r="C746" s="31" t="str">
        <f>IFERROR(VLOOKUP(A746,Clientes_PDV!$A$2:$J$250,3,FALSE),"")</f>
        <v/>
      </c>
      <c r="D746" s="31" t="str">
        <f>IFERROR(VLOOKUP(A746,Clientes_PDV!$A$2:$J$250,4,FALSE),"")</f>
        <v/>
      </c>
      <c r="E746" s="24"/>
      <c r="F746" s="31" t="str">
        <f>IFERROR(VLOOKUP(E746,Maestro_SKU!$A$2:$P$500,2,FALSE),"")</f>
        <v/>
      </c>
      <c r="G746" s="24"/>
      <c r="H746" s="31" t="str">
        <f>IF(OR(G746="",E746=""),"",G746*IFERROR(VLOOKUP(E746,Maestro_SKU!$A$2:$P$500,12,FALSE),1))</f>
        <v/>
      </c>
      <c r="I746" s="25"/>
      <c r="J746" s="31" t="str">
        <f>IF(A746="","",IF(H746&lt;=Inicio!$B$16,"Crítico",IF(H746&lt;=Inicio!$B$17,"Observar","OK")))</f>
        <v/>
      </c>
      <c r="K746" s="24"/>
    </row>
    <row r="747" spans="1:11" x14ac:dyDescent="0.35">
      <c r="A747" s="24"/>
      <c r="B747" s="31" t="str">
        <f>IFERROR(VLOOKUP(A747,Clientes_PDV!$A$2:$J$250,2,FALSE),"")</f>
        <v/>
      </c>
      <c r="C747" s="31" t="str">
        <f>IFERROR(VLOOKUP(A747,Clientes_PDV!$A$2:$J$250,3,FALSE),"")</f>
        <v/>
      </c>
      <c r="D747" s="31" t="str">
        <f>IFERROR(VLOOKUP(A747,Clientes_PDV!$A$2:$J$250,4,FALSE),"")</f>
        <v/>
      </c>
      <c r="E747" s="24"/>
      <c r="F747" s="31" t="str">
        <f>IFERROR(VLOOKUP(E747,Maestro_SKU!$A$2:$P$500,2,FALSE),"")</f>
        <v/>
      </c>
      <c r="G747" s="24"/>
      <c r="H747" s="31" t="str">
        <f>IF(OR(G747="",E747=""),"",G747*IFERROR(VLOOKUP(E747,Maestro_SKU!$A$2:$P$500,12,FALSE),1))</f>
        <v/>
      </c>
      <c r="I747" s="25"/>
      <c r="J747" s="31" t="str">
        <f>IF(A747="","",IF(H747&lt;=Inicio!$B$16,"Crítico",IF(H747&lt;=Inicio!$B$17,"Observar","OK")))</f>
        <v/>
      </c>
      <c r="K747" s="24"/>
    </row>
    <row r="748" spans="1:11" x14ac:dyDescent="0.35">
      <c r="A748" s="24"/>
      <c r="B748" s="31" t="str">
        <f>IFERROR(VLOOKUP(A748,Clientes_PDV!$A$2:$J$250,2,FALSE),"")</f>
        <v/>
      </c>
      <c r="C748" s="31" t="str">
        <f>IFERROR(VLOOKUP(A748,Clientes_PDV!$A$2:$J$250,3,FALSE),"")</f>
        <v/>
      </c>
      <c r="D748" s="31" t="str">
        <f>IFERROR(VLOOKUP(A748,Clientes_PDV!$A$2:$J$250,4,FALSE),"")</f>
        <v/>
      </c>
      <c r="E748" s="24"/>
      <c r="F748" s="31" t="str">
        <f>IFERROR(VLOOKUP(E748,Maestro_SKU!$A$2:$P$500,2,FALSE),"")</f>
        <v/>
      </c>
      <c r="G748" s="24"/>
      <c r="H748" s="31" t="str">
        <f>IF(OR(G748="",E748=""),"",G748*IFERROR(VLOOKUP(E748,Maestro_SKU!$A$2:$P$500,12,FALSE),1))</f>
        <v/>
      </c>
      <c r="I748" s="25"/>
      <c r="J748" s="31" t="str">
        <f>IF(A748="","",IF(H748&lt;=Inicio!$B$16,"Crítico",IF(H748&lt;=Inicio!$B$17,"Observar","OK")))</f>
        <v/>
      </c>
      <c r="K748" s="24"/>
    </row>
    <row r="749" spans="1:11" x14ac:dyDescent="0.35">
      <c r="A749" s="24"/>
      <c r="B749" s="31" t="str">
        <f>IFERROR(VLOOKUP(A749,Clientes_PDV!$A$2:$J$250,2,FALSE),"")</f>
        <v/>
      </c>
      <c r="C749" s="31" t="str">
        <f>IFERROR(VLOOKUP(A749,Clientes_PDV!$A$2:$J$250,3,FALSE),"")</f>
        <v/>
      </c>
      <c r="D749" s="31" t="str">
        <f>IFERROR(VLOOKUP(A749,Clientes_PDV!$A$2:$J$250,4,FALSE),"")</f>
        <v/>
      </c>
      <c r="E749" s="24"/>
      <c r="F749" s="31" t="str">
        <f>IFERROR(VLOOKUP(E749,Maestro_SKU!$A$2:$P$500,2,FALSE),"")</f>
        <v/>
      </c>
      <c r="G749" s="24"/>
      <c r="H749" s="31" t="str">
        <f>IF(OR(G749="",E749=""),"",G749*IFERROR(VLOOKUP(E749,Maestro_SKU!$A$2:$P$500,12,FALSE),1))</f>
        <v/>
      </c>
      <c r="I749" s="25"/>
      <c r="J749" s="31" t="str">
        <f>IF(A749="","",IF(H749&lt;=Inicio!$B$16,"Crítico",IF(H749&lt;=Inicio!$B$17,"Observar","OK")))</f>
        <v/>
      </c>
      <c r="K749" s="24"/>
    </row>
    <row r="750" spans="1:11" x14ac:dyDescent="0.35">
      <c r="A750" s="24"/>
      <c r="B750" s="31" t="str">
        <f>IFERROR(VLOOKUP(A750,Clientes_PDV!$A$2:$J$250,2,FALSE),"")</f>
        <v/>
      </c>
      <c r="C750" s="31" t="str">
        <f>IFERROR(VLOOKUP(A750,Clientes_PDV!$A$2:$J$250,3,FALSE),"")</f>
        <v/>
      </c>
      <c r="D750" s="31" t="str">
        <f>IFERROR(VLOOKUP(A750,Clientes_PDV!$A$2:$J$250,4,FALSE),"")</f>
        <v/>
      </c>
      <c r="E750" s="24"/>
      <c r="F750" s="31" t="str">
        <f>IFERROR(VLOOKUP(E750,Maestro_SKU!$A$2:$P$500,2,FALSE),"")</f>
        <v/>
      </c>
      <c r="G750" s="24"/>
      <c r="H750" s="31" t="str">
        <f>IF(OR(G750="",E750=""),"",G750*IFERROR(VLOOKUP(E750,Maestro_SKU!$A$2:$P$500,12,FALSE),1))</f>
        <v/>
      </c>
      <c r="I750" s="25"/>
      <c r="J750" s="31" t="str">
        <f>IF(A750="","",IF(H750&lt;=Inicio!$B$16,"Crítico",IF(H750&lt;=Inicio!$B$17,"Observar","OK")))</f>
        <v/>
      </c>
      <c r="K750" s="24"/>
    </row>
    <row r="751" spans="1:11" x14ac:dyDescent="0.35">
      <c r="A751" s="24"/>
      <c r="B751" s="31" t="str">
        <f>IFERROR(VLOOKUP(A751,Clientes_PDV!$A$2:$J$250,2,FALSE),"")</f>
        <v/>
      </c>
      <c r="C751" s="31" t="str">
        <f>IFERROR(VLOOKUP(A751,Clientes_PDV!$A$2:$J$250,3,FALSE),"")</f>
        <v/>
      </c>
      <c r="D751" s="31" t="str">
        <f>IFERROR(VLOOKUP(A751,Clientes_PDV!$A$2:$J$250,4,FALSE),"")</f>
        <v/>
      </c>
      <c r="E751" s="24"/>
      <c r="F751" s="31" t="str">
        <f>IFERROR(VLOOKUP(E751,Maestro_SKU!$A$2:$P$500,2,FALSE),"")</f>
        <v/>
      </c>
      <c r="G751" s="24"/>
      <c r="H751" s="31" t="str">
        <f>IF(OR(G751="",E751=""),"",G751*IFERROR(VLOOKUP(E751,Maestro_SKU!$A$2:$P$500,12,FALSE),1))</f>
        <v/>
      </c>
      <c r="I751" s="25"/>
      <c r="J751" s="31" t="str">
        <f>IF(A751="","",IF(H751&lt;=Inicio!$B$16,"Crítico",IF(H751&lt;=Inicio!$B$17,"Observar","OK")))</f>
        <v/>
      </c>
      <c r="K751" s="24"/>
    </row>
    <row r="752" spans="1:11" x14ac:dyDescent="0.35">
      <c r="A752" s="24"/>
      <c r="B752" s="31" t="str">
        <f>IFERROR(VLOOKUP(A752,Clientes_PDV!$A$2:$J$250,2,FALSE),"")</f>
        <v/>
      </c>
      <c r="C752" s="31" t="str">
        <f>IFERROR(VLOOKUP(A752,Clientes_PDV!$A$2:$J$250,3,FALSE),"")</f>
        <v/>
      </c>
      <c r="D752" s="31" t="str">
        <f>IFERROR(VLOOKUP(A752,Clientes_PDV!$A$2:$J$250,4,FALSE),"")</f>
        <v/>
      </c>
      <c r="E752" s="24"/>
      <c r="F752" s="31" t="str">
        <f>IFERROR(VLOOKUP(E752,Maestro_SKU!$A$2:$P$500,2,FALSE),"")</f>
        <v/>
      </c>
      <c r="G752" s="24"/>
      <c r="H752" s="31" t="str">
        <f>IF(OR(G752="",E752=""),"",G752*IFERROR(VLOOKUP(E752,Maestro_SKU!$A$2:$P$500,12,FALSE),1))</f>
        <v/>
      </c>
      <c r="I752" s="25"/>
      <c r="J752" s="31" t="str">
        <f>IF(A752="","",IF(H752&lt;=Inicio!$B$16,"Crítico",IF(H752&lt;=Inicio!$B$17,"Observar","OK")))</f>
        <v/>
      </c>
      <c r="K752" s="24"/>
    </row>
    <row r="753" spans="1:11" x14ac:dyDescent="0.35">
      <c r="A753" s="24"/>
      <c r="B753" s="31" t="str">
        <f>IFERROR(VLOOKUP(A753,Clientes_PDV!$A$2:$J$250,2,FALSE),"")</f>
        <v/>
      </c>
      <c r="C753" s="31" t="str">
        <f>IFERROR(VLOOKUP(A753,Clientes_PDV!$A$2:$J$250,3,FALSE),"")</f>
        <v/>
      </c>
      <c r="D753" s="31" t="str">
        <f>IFERROR(VLOOKUP(A753,Clientes_PDV!$A$2:$J$250,4,FALSE),"")</f>
        <v/>
      </c>
      <c r="E753" s="24"/>
      <c r="F753" s="31" t="str">
        <f>IFERROR(VLOOKUP(E753,Maestro_SKU!$A$2:$P$500,2,FALSE),"")</f>
        <v/>
      </c>
      <c r="G753" s="24"/>
      <c r="H753" s="31" t="str">
        <f>IF(OR(G753="",E753=""),"",G753*IFERROR(VLOOKUP(E753,Maestro_SKU!$A$2:$P$500,12,FALSE),1))</f>
        <v/>
      </c>
      <c r="I753" s="25"/>
      <c r="J753" s="31" t="str">
        <f>IF(A753="","",IF(H753&lt;=Inicio!$B$16,"Crítico",IF(H753&lt;=Inicio!$B$17,"Observar","OK")))</f>
        <v/>
      </c>
      <c r="K753" s="24"/>
    </row>
    <row r="754" spans="1:11" x14ac:dyDescent="0.35">
      <c r="A754" s="24"/>
      <c r="B754" s="31" t="str">
        <f>IFERROR(VLOOKUP(A754,Clientes_PDV!$A$2:$J$250,2,FALSE),"")</f>
        <v/>
      </c>
      <c r="C754" s="31" t="str">
        <f>IFERROR(VLOOKUP(A754,Clientes_PDV!$A$2:$J$250,3,FALSE),"")</f>
        <v/>
      </c>
      <c r="D754" s="31" t="str">
        <f>IFERROR(VLOOKUP(A754,Clientes_PDV!$A$2:$J$250,4,FALSE),"")</f>
        <v/>
      </c>
      <c r="E754" s="24"/>
      <c r="F754" s="31" t="str">
        <f>IFERROR(VLOOKUP(E754,Maestro_SKU!$A$2:$P$500,2,FALSE),"")</f>
        <v/>
      </c>
      <c r="G754" s="24"/>
      <c r="H754" s="31" t="str">
        <f>IF(OR(G754="",E754=""),"",G754*IFERROR(VLOOKUP(E754,Maestro_SKU!$A$2:$P$500,12,FALSE),1))</f>
        <v/>
      </c>
      <c r="I754" s="25"/>
      <c r="J754" s="31" t="str">
        <f>IF(A754="","",IF(H754&lt;=Inicio!$B$16,"Crítico",IF(H754&lt;=Inicio!$B$17,"Observar","OK")))</f>
        <v/>
      </c>
      <c r="K754" s="24"/>
    </row>
    <row r="755" spans="1:11" x14ac:dyDescent="0.35">
      <c r="A755" s="24"/>
      <c r="B755" s="31" t="str">
        <f>IFERROR(VLOOKUP(A755,Clientes_PDV!$A$2:$J$250,2,FALSE),"")</f>
        <v/>
      </c>
      <c r="C755" s="31" t="str">
        <f>IFERROR(VLOOKUP(A755,Clientes_PDV!$A$2:$J$250,3,FALSE),"")</f>
        <v/>
      </c>
      <c r="D755" s="31" t="str">
        <f>IFERROR(VLOOKUP(A755,Clientes_PDV!$A$2:$J$250,4,FALSE),"")</f>
        <v/>
      </c>
      <c r="E755" s="24"/>
      <c r="F755" s="31" t="str">
        <f>IFERROR(VLOOKUP(E755,Maestro_SKU!$A$2:$P$500,2,FALSE),"")</f>
        <v/>
      </c>
      <c r="G755" s="24"/>
      <c r="H755" s="31" t="str">
        <f>IF(OR(G755="",E755=""),"",G755*IFERROR(VLOOKUP(E755,Maestro_SKU!$A$2:$P$500,12,FALSE),1))</f>
        <v/>
      </c>
      <c r="I755" s="25"/>
      <c r="J755" s="31" t="str">
        <f>IF(A755="","",IF(H755&lt;=Inicio!$B$16,"Crítico",IF(H755&lt;=Inicio!$B$17,"Observar","OK")))</f>
        <v/>
      </c>
      <c r="K755" s="24"/>
    </row>
    <row r="756" spans="1:11" x14ac:dyDescent="0.35">
      <c r="A756" s="24"/>
      <c r="B756" s="31" t="str">
        <f>IFERROR(VLOOKUP(A756,Clientes_PDV!$A$2:$J$250,2,FALSE),"")</f>
        <v/>
      </c>
      <c r="C756" s="31" t="str">
        <f>IFERROR(VLOOKUP(A756,Clientes_PDV!$A$2:$J$250,3,FALSE),"")</f>
        <v/>
      </c>
      <c r="D756" s="31" t="str">
        <f>IFERROR(VLOOKUP(A756,Clientes_PDV!$A$2:$J$250,4,FALSE),"")</f>
        <v/>
      </c>
      <c r="E756" s="24"/>
      <c r="F756" s="31" t="str">
        <f>IFERROR(VLOOKUP(E756,Maestro_SKU!$A$2:$P$500,2,FALSE),"")</f>
        <v/>
      </c>
      <c r="G756" s="24"/>
      <c r="H756" s="31" t="str">
        <f>IF(OR(G756="",E756=""),"",G756*IFERROR(VLOOKUP(E756,Maestro_SKU!$A$2:$P$500,12,FALSE),1))</f>
        <v/>
      </c>
      <c r="I756" s="25"/>
      <c r="J756" s="31" t="str">
        <f>IF(A756="","",IF(H756&lt;=Inicio!$B$16,"Crítico",IF(H756&lt;=Inicio!$B$17,"Observar","OK")))</f>
        <v/>
      </c>
      <c r="K756" s="24"/>
    </row>
    <row r="757" spans="1:11" x14ac:dyDescent="0.35">
      <c r="A757" s="24"/>
      <c r="B757" s="31" t="str">
        <f>IFERROR(VLOOKUP(A757,Clientes_PDV!$A$2:$J$250,2,FALSE),"")</f>
        <v/>
      </c>
      <c r="C757" s="31" t="str">
        <f>IFERROR(VLOOKUP(A757,Clientes_PDV!$A$2:$J$250,3,FALSE),"")</f>
        <v/>
      </c>
      <c r="D757" s="31" t="str">
        <f>IFERROR(VLOOKUP(A757,Clientes_PDV!$A$2:$J$250,4,FALSE),"")</f>
        <v/>
      </c>
      <c r="E757" s="24"/>
      <c r="F757" s="31" t="str">
        <f>IFERROR(VLOOKUP(E757,Maestro_SKU!$A$2:$P$500,2,FALSE),"")</f>
        <v/>
      </c>
      <c r="G757" s="24"/>
      <c r="H757" s="31" t="str">
        <f>IF(OR(G757="",E757=""),"",G757*IFERROR(VLOOKUP(E757,Maestro_SKU!$A$2:$P$500,12,FALSE),1))</f>
        <v/>
      </c>
      <c r="I757" s="25"/>
      <c r="J757" s="31" t="str">
        <f>IF(A757="","",IF(H757&lt;=Inicio!$B$16,"Crítico",IF(H757&lt;=Inicio!$B$17,"Observar","OK")))</f>
        <v/>
      </c>
      <c r="K757" s="24"/>
    </row>
    <row r="758" spans="1:11" x14ac:dyDescent="0.35">
      <c r="A758" s="24"/>
      <c r="B758" s="31" t="str">
        <f>IFERROR(VLOOKUP(A758,Clientes_PDV!$A$2:$J$250,2,FALSE),"")</f>
        <v/>
      </c>
      <c r="C758" s="31" t="str">
        <f>IFERROR(VLOOKUP(A758,Clientes_PDV!$A$2:$J$250,3,FALSE),"")</f>
        <v/>
      </c>
      <c r="D758" s="31" t="str">
        <f>IFERROR(VLOOKUP(A758,Clientes_PDV!$A$2:$J$250,4,FALSE),"")</f>
        <v/>
      </c>
      <c r="E758" s="24"/>
      <c r="F758" s="31" t="str">
        <f>IFERROR(VLOOKUP(E758,Maestro_SKU!$A$2:$P$500,2,FALSE),"")</f>
        <v/>
      </c>
      <c r="G758" s="24"/>
      <c r="H758" s="31" t="str">
        <f>IF(OR(G758="",E758=""),"",G758*IFERROR(VLOOKUP(E758,Maestro_SKU!$A$2:$P$500,12,FALSE),1))</f>
        <v/>
      </c>
      <c r="I758" s="25"/>
      <c r="J758" s="31" t="str">
        <f>IF(A758="","",IF(H758&lt;=Inicio!$B$16,"Crítico",IF(H758&lt;=Inicio!$B$17,"Observar","OK")))</f>
        <v/>
      </c>
      <c r="K758" s="24"/>
    </row>
    <row r="759" spans="1:11" x14ac:dyDescent="0.35">
      <c r="A759" s="24"/>
      <c r="B759" s="31" t="str">
        <f>IFERROR(VLOOKUP(A759,Clientes_PDV!$A$2:$J$250,2,FALSE),"")</f>
        <v/>
      </c>
      <c r="C759" s="31" t="str">
        <f>IFERROR(VLOOKUP(A759,Clientes_PDV!$A$2:$J$250,3,FALSE),"")</f>
        <v/>
      </c>
      <c r="D759" s="31" t="str">
        <f>IFERROR(VLOOKUP(A759,Clientes_PDV!$A$2:$J$250,4,FALSE),"")</f>
        <v/>
      </c>
      <c r="E759" s="24"/>
      <c r="F759" s="31" t="str">
        <f>IFERROR(VLOOKUP(E759,Maestro_SKU!$A$2:$P$500,2,FALSE),"")</f>
        <v/>
      </c>
      <c r="G759" s="24"/>
      <c r="H759" s="31" t="str">
        <f>IF(OR(G759="",E759=""),"",G759*IFERROR(VLOOKUP(E759,Maestro_SKU!$A$2:$P$500,12,FALSE),1))</f>
        <v/>
      </c>
      <c r="I759" s="25"/>
      <c r="J759" s="31" t="str">
        <f>IF(A759="","",IF(H759&lt;=Inicio!$B$16,"Crítico",IF(H759&lt;=Inicio!$B$17,"Observar","OK")))</f>
        <v/>
      </c>
      <c r="K759" s="24"/>
    </row>
    <row r="760" spans="1:11" x14ac:dyDescent="0.35">
      <c r="A760" s="24"/>
      <c r="B760" s="31" t="str">
        <f>IFERROR(VLOOKUP(A760,Clientes_PDV!$A$2:$J$250,2,FALSE),"")</f>
        <v/>
      </c>
      <c r="C760" s="31" t="str">
        <f>IFERROR(VLOOKUP(A760,Clientes_PDV!$A$2:$J$250,3,FALSE),"")</f>
        <v/>
      </c>
      <c r="D760" s="31" t="str">
        <f>IFERROR(VLOOKUP(A760,Clientes_PDV!$A$2:$J$250,4,FALSE),"")</f>
        <v/>
      </c>
      <c r="E760" s="24"/>
      <c r="F760" s="31" t="str">
        <f>IFERROR(VLOOKUP(E760,Maestro_SKU!$A$2:$P$500,2,FALSE),"")</f>
        <v/>
      </c>
      <c r="G760" s="24"/>
      <c r="H760" s="31" t="str">
        <f>IF(OR(G760="",E760=""),"",G760*IFERROR(VLOOKUP(E760,Maestro_SKU!$A$2:$P$500,12,FALSE),1))</f>
        <v/>
      </c>
      <c r="I760" s="25"/>
      <c r="J760" s="31" t="str">
        <f>IF(A760="","",IF(H760&lt;=Inicio!$B$16,"Crítico",IF(H760&lt;=Inicio!$B$17,"Observar","OK")))</f>
        <v/>
      </c>
      <c r="K760" s="24"/>
    </row>
    <row r="761" spans="1:11" x14ac:dyDescent="0.35">
      <c r="A761" s="24"/>
      <c r="B761" s="31" t="str">
        <f>IFERROR(VLOOKUP(A761,Clientes_PDV!$A$2:$J$250,2,FALSE),"")</f>
        <v/>
      </c>
      <c r="C761" s="31" t="str">
        <f>IFERROR(VLOOKUP(A761,Clientes_PDV!$A$2:$J$250,3,FALSE),"")</f>
        <v/>
      </c>
      <c r="D761" s="31" t="str">
        <f>IFERROR(VLOOKUP(A761,Clientes_PDV!$A$2:$J$250,4,FALSE),"")</f>
        <v/>
      </c>
      <c r="E761" s="24"/>
      <c r="F761" s="31" t="str">
        <f>IFERROR(VLOOKUP(E761,Maestro_SKU!$A$2:$P$500,2,FALSE),"")</f>
        <v/>
      </c>
      <c r="G761" s="24"/>
      <c r="H761" s="31" t="str">
        <f>IF(OR(G761="",E761=""),"",G761*IFERROR(VLOOKUP(E761,Maestro_SKU!$A$2:$P$500,12,FALSE),1))</f>
        <v/>
      </c>
      <c r="I761" s="25"/>
      <c r="J761" s="31" t="str">
        <f>IF(A761="","",IF(H761&lt;=Inicio!$B$16,"Crítico",IF(H761&lt;=Inicio!$B$17,"Observar","OK")))</f>
        <v/>
      </c>
      <c r="K761" s="24"/>
    </row>
    <row r="762" spans="1:11" x14ac:dyDescent="0.35">
      <c r="A762" s="24"/>
      <c r="B762" s="31" t="str">
        <f>IFERROR(VLOOKUP(A762,Clientes_PDV!$A$2:$J$250,2,FALSE),"")</f>
        <v/>
      </c>
      <c r="C762" s="31" t="str">
        <f>IFERROR(VLOOKUP(A762,Clientes_PDV!$A$2:$J$250,3,FALSE),"")</f>
        <v/>
      </c>
      <c r="D762" s="31" t="str">
        <f>IFERROR(VLOOKUP(A762,Clientes_PDV!$A$2:$J$250,4,FALSE),"")</f>
        <v/>
      </c>
      <c r="E762" s="24"/>
      <c r="F762" s="31" t="str">
        <f>IFERROR(VLOOKUP(E762,Maestro_SKU!$A$2:$P$500,2,FALSE),"")</f>
        <v/>
      </c>
      <c r="G762" s="24"/>
      <c r="H762" s="31" t="str">
        <f>IF(OR(G762="",E762=""),"",G762*IFERROR(VLOOKUP(E762,Maestro_SKU!$A$2:$P$500,12,FALSE),1))</f>
        <v/>
      </c>
      <c r="I762" s="25"/>
      <c r="J762" s="31" t="str">
        <f>IF(A762="","",IF(H762&lt;=Inicio!$B$16,"Crítico",IF(H762&lt;=Inicio!$B$17,"Observar","OK")))</f>
        <v/>
      </c>
      <c r="K762" s="24"/>
    </row>
    <row r="763" spans="1:11" x14ac:dyDescent="0.35">
      <c r="A763" s="24"/>
      <c r="B763" s="31" t="str">
        <f>IFERROR(VLOOKUP(A763,Clientes_PDV!$A$2:$J$250,2,FALSE),"")</f>
        <v/>
      </c>
      <c r="C763" s="31" t="str">
        <f>IFERROR(VLOOKUP(A763,Clientes_PDV!$A$2:$J$250,3,FALSE),"")</f>
        <v/>
      </c>
      <c r="D763" s="31" t="str">
        <f>IFERROR(VLOOKUP(A763,Clientes_PDV!$A$2:$J$250,4,FALSE),"")</f>
        <v/>
      </c>
      <c r="E763" s="24"/>
      <c r="F763" s="31" t="str">
        <f>IFERROR(VLOOKUP(E763,Maestro_SKU!$A$2:$P$500,2,FALSE),"")</f>
        <v/>
      </c>
      <c r="G763" s="24"/>
      <c r="H763" s="31" t="str">
        <f>IF(OR(G763="",E763=""),"",G763*IFERROR(VLOOKUP(E763,Maestro_SKU!$A$2:$P$500,12,FALSE),1))</f>
        <v/>
      </c>
      <c r="I763" s="25"/>
      <c r="J763" s="31" t="str">
        <f>IF(A763="","",IF(H763&lt;=Inicio!$B$16,"Crítico",IF(H763&lt;=Inicio!$B$17,"Observar","OK")))</f>
        <v/>
      </c>
      <c r="K763" s="24"/>
    </row>
    <row r="764" spans="1:11" x14ac:dyDescent="0.35">
      <c r="A764" s="24"/>
      <c r="B764" s="31" t="str">
        <f>IFERROR(VLOOKUP(A764,Clientes_PDV!$A$2:$J$250,2,FALSE),"")</f>
        <v/>
      </c>
      <c r="C764" s="31" t="str">
        <f>IFERROR(VLOOKUP(A764,Clientes_PDV!$A$2:$J$250,3,FALSE),"")</f>
        <v/>
      </c>
      <c r="D764" s="31" t="str">
        <f>IFERROR(VLOOKUP(A764,Clientes_PDV!$A$2:$J$250,4,FALSE),"")</f>
        <v/>
      </c>
      <c r="E764" s="24"/>
      <c r="F764" s="31" t="str">
        <f>IFERROR(VLOOKUP(E764,Maestro_SKU!$A$2:$P$500,2,FALSE),"")</f>
        <v/>
      </c>
      <c r="G764" s="24"/>
      <c r="H764" s="31" t="str">
        <f>IF(OR(G764="",E764=""),"",G764*IFERROR(VLOOKUP(E764,Maestro_SKU!$A$2:$P$500,12,FALSE),1))</f>
        <v/>
      </c>
      <c r="I764" s="25"/>
      <c r="J764" s="31" t="str">
        <f>IF(A764="","",IF(H764&lt;=Inicio!$B$16,"Crítico",IF(H764&lt;=Inicio!$B$17,"Observar","OK")))</f>
        <v/>
      </c>
      <c r="K764" s="24"/>
    </row>
    <row r="765" spans="1:11" x14ac:dyDescent="0.35">
      <c r="A765" s="24"/>
      <c r="B765" s="31" t="str">
        <f>IFERROR(VLOOKUP(A765,Clientes_PDV!$A$2:$J$250,2,FALSE),"")</f>
        <v/>
      </c>
      <c r="C765" s="31" t="str">
        <f>IFERROR(VLOOKUP(A765,Clientes_PDV!$A$2:$J$250,3,FALSE),"")</f>
        <v/>
      </c>
      <c r="D765" s="31" t="str">
        <f>IFERROR(VLOOKUP(A765,Clientes_PDV!$A$2:$J$250,4,FALSE),"")</f>
        <v/>
      </c>
      <c r="E765" s="24"/>
      <c r="F765" s="31" t="str">
        <f>IFERROR(VLOOKUP(E765,Maestro_SKU!$A$2:$P$500,2,FALSE),"")</f>
        <v/>
      </c>
      <c r="G765" s="24"/>
      <c r="H765" s="31" t="str">
        <f>IF(OR(G765="",E765=""),"",G765*IFERROR(VLOOKUP(E765,Maestro_SKU!$A$2:$P$500,12,FALSE),1))</f>
        <v/>
      </c>
      <c r="I765" s="25"/>
      <c r="J765" s="31" t="str">
        <f>IF(A765="","",IF(H765&lt;=Inicio!$B$16,"Crítico",IF(H765&lt;=Inicio!$B$17,"Observar","OK")))</f>
        <v/>
      </c>
      <c r="K765" s="24"/>
    </row>
    <row r="766" spans="1:11" x14ac:dyDescent="0.35">
      <c r="A766" s="24"/>
      <c r="B766" s="31" t="str">
        <f>IFERROR(VLOOKUP(A766,Clientes_PDV!$A$2:$J$250,2,FALSE),"")</f>
        <v/>
      </c>
      <c r="C766" s="31" t="str">
        <f>IFERROR(VLOOKUP(A766,Clientes_PDV!$A$2:$J$250,3,FALSE),"")</f>
        <v/>
      </c>
      <c r="D766" s="31" t="str">
        <f>IFERROR(VLOOKUP(A766,Clientes_PDV!$A$2:$J$250,4,FALSE),"")</f>
        <v/>
      </c>
      <c r="E766" s="24"/>
      <c r="F766" s="31" t="str">
        <f>IFERROR(VLOOKUP(E766,Maestro_SKU!$A$2:$P$500,2,FALSE),"")</f>
        <v/>
      </c>
      <c r="G766" s="24"/>
      <c r="H766" s="31" t="str">
        <f>IF(OR(G766="",E766=""),"",G766*IFERROR(VLOOKUP(E766,Maestro_SKU!$A$2:$P$500,12,FALSE),1))</f>
        <v/>
      </c>
      <c r="I766" s="25"/>
      <c r="J766" s="31" t="str">
        <f>IF(A766="","",IF(H766&lt;=Inicio!$B$16,"Crítico",IF(H766&lt;=Inicio!$B$17,"Observar","OK")))</f>
        <v/>
      </c>
      <c r="K766" s="24"/>
    </row>
    <row r="767" spans="1:11" x14ac:dyDescent="0.35">
      <c r="A767" s="24"/>
      <c r="B767" s="31" t="str">
        <f>IFERROR(VLOOKUP(A767,Clientes_PDV!$A$2:$J$250,2,FALSE),"")</f>
        <v/>
      </c>
      <c r="C767" s="31" t="str">
        <f>IFERROR(VLOOKUP(A767,Clientes_PDV!$A$2:$J$250,3,FALSE),"")</f>
        <v/>
      </c>
      <c r="D767" s="31" t="str">
        <f>IFERROR(VLOOKUP(A767,Clientes_PDV!$A$2:$J$250,4,FALSE),"")</f>
        <v/>
      </c>
      <c r="E767" s="24"/>
      <c r="F767" s="31" t="str">
        <f>IFERROR(VLOOKUP(E767,Maestro_SKU!$A$2:$P$500,2,FALSE),"")</f>
        <v/>
      </c>
      <c r="G767" s="24"/>
      <c r="H767" s="31" t="str">
        <f>IF(OR(G767="",E767=""),"",G767*IFERROR(VLOOKUP(E767,Maestro_SKU!$A$2:$P$500,12,FALSE),1))</f>
        <v/>
      </c>
      <c r="I767" s="25"/>
      <c r="J767" s="31" t="str">
        <f>IF(A767="","",IF(H767&lt;=Inicio!$B$16,"Crítico",IF(H767&lt;=Inicio!$B$17,"Observar","OK")))</f>
        <v/>
      </c>
      <c r="K767" s="24"/>
    </row>
    <row r="768" spans="1:11" x14ac:dyDescent="0.35">
      <c r="A768" s="24"/>
      <c r="B768" s="31" t="str">
        <f>IFERROR(VLOOKUP(A768,Clientes_PDV!$A$2:$J$250,2,FALSE),"")</f>
        <v/>
      </c>
      <c r="C768" s="31" t="str">
        <f>IFERROR(VLOOKUP(A768,Clientes_PDV!$A$2:$J$250,3,FALSE),"")</f>
        <v/>
      </c>
      <c r="D768" s="31" t="str">
        <f>IFERROR(VLOOKUP(A768,Clientes_PDV!$A$2:$J$250,4,FALSE),"")</f>
        <v/>
      </c>
      <c r="E768" s="24"/>
      <c r="F768" s="31" t="str">
        <f>IFERROR(VLOOKUP(E768,Maestro_SKU!$A$2:$P$500,2,FALSE),"")</f>
        <v/>
      </c>
      <c r="G768" s="24"/>
      <c r="H768" s="31" t="str">
        <f>IF(OR(G768="",E768=""),"",G768*IFERROR(VLOOKUP(E768,Maestro_SKU!$A$2:$P$500,12,FALSE),1))</f>
        <v/>
      </c>
      <c r="I768" s="25"/>
      <c r="J768" s="31" t="str">
        <f>IF(A768="","",IF(H768&lt;=Inicio!$B$16,"Crítico",IF(H768&lt;=Inicio!$B$17,"Observar","OK")))</f>
        <v/>
      </c>
      <c r="K768" s="24"/>
    </row>
    <row r="769" spans="1:11" x14ac:dyDescent="0.35">
      <c r="A769" s="24"/>
      <c r="B769" s="31" t="str">
        <f>IFERROR(VLOOKUP(A769,Clientes_PDV!$A$2:$J$250,2,FALSE),"")</f>
        <v/>
      </c>
      <c r="C769" s="31" t="str">
        <f>IFERROR(VLOOKUP(A769,Clientes_PDV!$A$2:$J$250,3,FALSE),"")</f>
        <v/>
      </c>
      <c r="D769" s="31" t="str">
        <f>IFERROR(VLOOKUP(A769,Clientes_PDV!$A$2:$J$250,4,FALSE),"")</f>
        <v/>
      </c>
      <c r="E769" s="24"/>
      <c r="F769" s="31" t="str">
        <f>IFERROR(VLOOKUP(E769,Maestro_SKU!$A$2:$P$500,2,FALSE),"")</f>
        <v/>
      </c>
      <c r="G769" s="24"/>
      <c r="H769" s="31" t="str">
        <f>IF(OR(G769="",E769=""),"",G769*IFERROR(VLOOKUP(E769,Maestro_SKU!$A$2:$P$500,12,FALSE),1))</f>
        <v/>
      </c>
      <c r="I769" s="25"/>
      <c r="J769" s="31" t="str">
        <f>IF(A769="","",IF(H769&lt;=Inicio!$B$16,"Crítico",IF(H769&lt;=Inicio!$B$17,"Observar","OK")))</f>
        <v/>
      </c>
      <c r="K769" s="24"/>
    </row>
    <row r="770" spans="1:11" x14ac:dyDescent="0.35">
      <c r="A770" s="24"/>
      <c r="B770" s="31" t="str">
        <f>IFERROR(VLOOKUP(A770,Clientes_PDV!$A$2:$J$250,2,FALSE),"")</f>
        <v/>
      </c>
      <c r="C770" s="31" t="str">
        <f>IFERROR(VLOOKUP(A770,Clientes_PDV!$A$2:$J$250,3,FALSE),"")</f>
        <v/>
      </c>
      <c r="D770" s="31" t="str">
        <f>IFERROR(VLOOKUP(A770,Clientes_PDV!$A$2:$J$250,4,FALSE),"")</f>
        <v/>
      </c>
      <c r="E770" s="24"/>
      <c r="F770" s="31" t="str">
        <f>IFERROR(VLOOKUP(E770,Maestro_SKU!$A$2:$P$500,2,FALSE),"")</f>
        <v/>
      </c>
      <c r="G770" s="24"/>
      <c r="H770" s="31" t="str">
        <f>IF(OR(G770="",E770=""),"",G770*IFERROR(VLOOKUP(E770,Maestro_SKU!$A$2:$P$500,12,FALSE),1))</f>
        <v/>
      </c>
      <c r="I770" s="25"/>
      <c r="J770" s="31" t="str">
        <f>IF(A770="","",IF(H770&lt;=Inicio!$B$16,"Crítico",IF(H770&lt;=Inicio!$B$17,"Observar","OK")))</f>
        <v/>
      </c>
      <c r="K770" s="24"/>
    </row>
    <row r="771" spans="1:11" x14ac:dyDescent="0.35">
      <c r="A771" s="24"/>
      <c r="B771" s="31" t="str">
        <f>IFERROR(VLOOKUP(A771,Clientes_PDV!$A$2:$J$250,2,FALSE),"")</f>
        <v/>
      </c>
      <c r="C771" s="31" t="str">
        <f>IFERROR(VLOOKUP(A771,Clientes_PDV!$A$2:$J$250,3,FALSE),"")</f>
        <v/>
      </c>
      <c r="D771" s="31" t="str">
        <f>IFERROR(VLOOKUP(A771,Clientes_PDV!$A$2:$J$250,4,FALSE),"")</f>
        <v/>
      </c>
      <c r="E771" s="24"/>
      <c r="F771" s="31" t="str">
        <f>IFERROR(VLOOKUP(E771,Maestro_SKU!$A$2:$P$500,2,FALSE),"")</f>
        <v/>
      </c>
      <c r="G771" s="24"/>
      <c r="H771" s="31" t="str">
        <f>IF(OR(G771="",E771=""),"",G771*IFERROR(VLOOKUP(E771,Maestro_SKU!$A$2:$P$500,12,FALSE),1))</f>
        <v/>
      </c>
      <c r="I771" s="25"/>
      <c r="J771" s="31" t="str">
        <f>IF(A771="","",IF(H771&lt;=Inicio!$B$16,"Crítico",IF(H771&lt;=Inicio!$B$17,"Observar","OK")))</f>
        <v/>
      </c>
      <c r="K771" s="24"/>
    </row>
    <row r="772" spans="1:11" x14ac:dyDescent="0.35">
      <c r="A772" s="24"/>
      <c r="B772" s="31" t="str">
        <f>IFERROR(VLOOKUP(A772,Clientes_PDV!$A$2:$J$250,2,FALSE),"")</f>
        <v/>
      </c>
      <c r="C772" s="31" t="str">
        <f>IFERROR(VLOOKUP(A772,Clientes_PDV!$A$2:$J$250,3,FALSE),"")</f>
        <v/>
      </c>
      <c r="D772" s="31" t="str">
        <f>IFERROR(VLOOKUP(A772,Clientes_PDV!$A$2:$J$250,4,FALSE),"")</f>
        <v/>
      </c>
      <c r="E772" s="24"/>
      <c r="F772" s="31" t="str">
        <f>IFERROR(VLOOKUP(E772,Maestro_SKU!$A$2:$P$500,2,FALSE),"")</f>
        <v/>
      </c>
      <c r="G772" s="24"/>
      <c r="H772" s="31" t="str">
        <f>IF(OR(G772="",E772=""),"",G772*IFERROR(VLOOKUP(E772,Maestro_SKU!$A$2:$P$500,12,FALSE),1))</f>
        <v/>
      </c>
      <c r="I772" s="25"/>
      <c r="J772" s="31" t="str">
        <f>IF(A772="","",IF(H772&lt;=Inicio!$B$16,"Crítico",IF(H772&lt;=Inicio!$B$17,"Observar","OK")))</f>
        <v/>
      </c>
      <c r="K772" s="24"/>
    </row>
    <row r="773" spans="1:11" x14ac:dyDescent="0.35">
      <c r="A773" s="24"/>
      <c r="B773" s="31" t="str">
        <f>IFERROR(VLOOKUP(A773,Clientes_PDV!$A$2:$J$250,2,FALSE),"")</f>
        <v/>
      </c>
      <c r="C773" s="31" t="str">
        <f>IFERROR(VLOOKUP(A773,Clientes_PDV!$A$2:$J$250,3,FALSE),"")</f>
        <v/>
      </c>
      <c r="D773" s="31" t="str">
        <f>IFERROR(VLOOKUP(A773,Clientes_PDV!$A$2:$J$250,4,FALSE),"")</f>
        <v/>
      </c>
      <c r="E773" s="24"/>
      <c r="F773" s="31" t="str">
        <f>IFERROR(VLOOKUP(E773,Maestro_SKU!$A$2:$P$500,2,FALSE),"")</f>
        <v/>
      </c>
      <c r="G773" s="24"/>
      <c r="H773" s="31" t="str">
        <f>IF(OR(G773="",E773=""),"",G773*IFERROR(VLOOKUP(E773,Maestro_SKU!$A$2:$P$500,12,FALSE),1))</f>
        <v/>
      </c>
      <c r="I773" s="25"/>
      <c r="J773" s="31" t="str">
        <f>IF(A773="","",IF(H773&lt;=Inicio!$B$16,"Crítico",IF(H773&lt;=Inicio!$B$17,"Observar","OK")))</f>
        <v/>
      </c>
      <c r="K773" s="24"/>
    </row>
    <row r="774" spans="1:11" x14ac:dyDescent="0.35">
      <c r="A774" s="24"/>
      <c r="B774" s="31" t="str">
        <f>IFERROR(VLOOKUP(A774,Clientes_PDV!$A$2:$J$250,2,FALSE),"")</f>
        <v/>
      </c>
      <c r="C774" s="31" t="str">
        <f>IFERROR(VLOOKUP(A774,Clientes_PDV!$A$2:$J$250,3,FALSE),"")</f>
        <v/>
      </c>
      <c r="D774" s="31" t="str">
        <f>IFERROR(VLOOKUP(A774,Clientes_PDV!$A$2:$J$250,4,FALSE),"")</f>
        <v/>
      </c>
      <c r="E774" s="24"/>
      <c r="F774" s="31" t="str">
        <f>IFERROR(VLOOKUP(E774,Maestro_SKU!$A$2:$P$500,2,FALSE),"")</f>
        <v/>
      </c>
      <c r="G774" s="24"/>
      <c r="H774" s="31" t="str">
        <f>IF(OR(G774="",E774=""),"",G774*IFERROR(VLOOKUP(E774,Maestro_SKU!$A$2:$P$500,12,FALSE),1))</f>
        <v/>
      </c>
      <c r="I774" s="25"/>
      <c r="J774" s="31" t="str">
        <f>IF(A774="","",IF(H774&lt;=Inicio!$B$16,"Crítico",IF(H774&lt;=Inicio!$B$17,"Observar","OK")))</f>
        <v/>
      </c>
      <c r="K774" s="24"/>
    </row>
    <row r="775" spans="1:11" x14ac:dyDescent="0.35">
      <c r="A775" s="24"/>
      <c r="B775" s="31" t="str">
        <f>IFERROR(VLOOKUP(A775,Clientes_PDV!$A$2:$J$250,2,FALSE),"")</f>
        <v/>
      </c>
      <c r="C775" s="31" t="str">
        <f>IFERROR(VLOOKUP(A775,Clientes_PDV!$A$2:$J$250,3,FALSE),"")</f>
        <v/>
      </c>
      <c r="D775" s="31" t="str">
        <f>IFERROR(VLOOKUP(A775,Clientes_PDV!$A$2:$J$250,4,FALSE),"")</f>
        <v/>
      </c>
      <c r="E775" s="24"/>
      <c r="F775" s="31" t="str">
        <f>IFERROR(VLOOKUP(E775,Maestro_SKU!$A$2:$P$500,2,FALSE),"")</f>
        <v/>
      </c>
      <c r="G775" s="24"/>
      <c r="H775" s="31" t="str">
        <f>IF(OR(G775="",E775=""),"",G775*IFERROR(VLOOKUP(E775,Maestro_SKU!$A$2:$P$500,12,FALSE),1))</f>
        <v/>
      </c>
      <c r="I775" s="25"/>
      <c r="J775" s="31" t="str">
        <f>IF(A775="","",IF(H775&lt;=Inicio!$B$16,"Crítico",IF(H775&lt;=Inicio!$B$17,"Observar","OK")))</f>
        <v/>
      </c>
      <c r="K775" s="24"/>
    </row>
    <row r="776" spans="1:11" x14ac:dyDescent="0.35">
      <c r="A776" s="24"/>
      <c r="B776" s="31" t="str">
        <f>IFERROR(VLOOKUP(A776,Clientes_PDV!$A$2:$J$250,2,FALSE),"")</f>
        <v/>
      </c>
      <c r="C776" s="31" t="str">
        <f>IFERROR(VLOOKUP(A776,Clientes_PDV!$A$2:$J$250,3,FALSE),"")</f>
        <v/>
      </c>
      <c r="D776" s="31" t="str">
        <f>IFERROR(VLOOKUP(A776,Clientes_PDV!$A$2:$J$250,4,FALSE),"")</f>
        <v/>
      </c>
      <c r="E776" s="24"/>
      <c r="F776" s="31" t="str">
        <f>IFERROR(VLOOKUP(E776,Maestro_SKU!$A$2:$P$500,2,FALSE),"")</f>
        <v/>
      </c>
      <c r="G776" s="24"/>
      <c r="H776" s="31" t="str">
        <f>IF(OR(G776="",E776=""),"",G776*IFERROR(VLOOKUP(E776,Maestro_SKU!$A$2:$P$500,12,FALSE),1))</f>
        <v/>
      </c>
      <c r="I776" s="25"/>
      <c r="J776" s="31" t="str">
        <f>IF(A776="","",IF(H776&lt;=Inicio!$B$16,"Crítico",IF(H776&lt;=Inicio!$B$17,"Observar","OK")))</f>
        <v/>
      </c>
      <c r="K776" s="24"/>
    </row>
    <row r="777" spans="1:11" x14ac:dyDescent="0.35">
      <c r="A777" s="24"/>
      <c r="B777" s="31" t="str">
        <f>IFERROR(VLOOKUP(A777,Clientes_PDV!$A$2:$J$250,2,FALSE),"")</f>
        <v/>
      </c>
      <c r="C777" s="31" t="str">
        <f>IFERROR(VLOOKUP(A777,Clientes_PDV!$A$2:$J$250,3,FALSE),"")</f>
        <v/>
      </c>
      <c r="D777" s="31" t="str">
        <f>IFERROR(VLOOKUP(A777,Clientes_PDV!$A$2:$J$250,4,FALSE),"")</f>
        <v/>
      </c>
      <c r="E777" s="24"/>
      <c r="F777" s="31" t="str">
        <f>IFERROR(VLOOKUP(E777,Maestro_SKU!$A$2:$P$500,2,FALSE),"")</f>
        <v/>
      </c>
      <c r="G777" s="24"/>
      <c r="H777" s="31" t="str">
        <f>IF(OR(G777="",E777=""),"",G777*IFERROR(VLOOKUP(E777,Maestro_SKU!$A$2:$P$500,12,FALSE),1))</f>
        <v/>
      </c>
      <c r="I777" s="25"/>
      <c r="J777" s="31" t="str">
        <f>IF(A777="","",IF(H777&lt;=Inicio!$B$16,"Crítico",IF(H777&lt;=Inicio!$B$17,"Observar","OK")))</f>
        <v/>
      </c>
      <c r="K777" s="24"/>
    </row>
    <row r="778" spans="1:11" x14ac:dyDescent="0.35">
      <c r="A778" s="24"/>
      <c r="B778" s="31" t="str">
        <f>IFERROR(VLOOKUP(A778,Clientes_PDV!$A$2:$J$250,2,FALSE),"")</f>
        <v/>
      </c>
      <c r="C778" s="31" t="str">
        <f>IFERROR(VLOOKUP(A778,Clientes_PDV!$A$2:$J$250,3,FALSE),"")</f>
        <v/>
      </c>
      <c r="D778" s="31" t="str">
        <f>IFERROR(VLOOKUP(A778,Clientes_PDV!$A$2:$J$250,4,FALSE),"")</f>
        <v/>
      </c>
      <c r="E778" s="24"/>
      <c r="F778" s="31" t="str">
        <f>IFERROR(VLOOKUP(E778,Maestro_SKU!$A$2:$P$500,2,FALSE),"")</f>
        <v/>
      </c>
      <c r="G778" s="24"/>
      <c r="H778" s="31" t="str">
        <f>IF(OR(G778="",E778=""),"",G778*IFERROR(VLOOKUP(E778,Maestro_SKU!$A$2:$P$500,12,FALSE),1))</f>
        <v/>
      </c>
      <c r="I778" s="25"/>
      <c r="J778" s="31" t="str">
        <f>IF(A778="","",IF(H778&lt;=Inicio!$B$16,"Crítico",IF(H778&lt;=Inicio!$B$17,"Observar","OK")))</f>
        <v/>
      </c>
      <c r="K778" s="24"/>
    </row>
    <row r="779" spans="1:11" x14ac:dyDescent="0.35">
      <c r="A779" s="24"/>
      <c r="B779" s="31" t="str">
        <f>IFERROR(VLOOKUP(A779,Clientes_PDV!$A$2:$J$250,2,FALSE),"")</f>
        <v/>
      </c>
      <c r="C779" s="31" t="str">
        <f>IFERROR(VLOOKUP(A779,Clientes_PDV!$A$2:$J$250,3,FALSE),"")</f>
        <v/>
      </c>
      <c r="D779" s="31" t="str">
        <f>IFERROR(VLOOKUP(A779,Clientes_PDV!$A$2:$J$250,4,FALSE),"")</f>
        <v/>
      </c>
      <c r="E779" s="24"/>
      <c r="F779" s="31" t="str">
        <f>IFERROR(VLOOKUP(E779,Maestro_SKU!$A$2:$P$500,2,FALSE),"")</f>
        <v/>
      </c>
      <c r="G779" s="24"/>
      <c r="H779" s="31" t="str">
        <f>IF(OR(G779="",E779=""),"",G779*IFERROR(VLOOKUP(E779,Maestro_SKU!$A$2:$P$500,12,FALSE),1))</f>
        <v/>
      </c>
      <c r="I779" s="25"/>
      <c r="J779" s="31" t="str">
        <f>IF(A779="","",IF(H779&lt;=Inicio!$B$16,"Crítico",IF(H779&lt;=Inicio!$B$17,"Observar","OK")))</f>
        <v/>
      </c>
      <c r="K779" s="24"/>
    </row>
    <row r="780" spans="1:11" x14ac:dyDescent="0.35">
      <c r="A780" s="24"/>
      <c r="B780" s="31" t="str">
        <f>IFERROR(VLOOKUP(A780,Clientes_PDV!$A$2:$J$250,2,FALSE),"")</f>
        <v/>
      </c>
      <c r="C780" s="31" t="str">
        <f>IFERROR(VLOOKUP(A780,Clientes_PDV!$A$2:$J$250,3,FALSE),"")</f>
        <v/>
      </c>
      <c r="D780" s="31" t="str">
        <f>IFERROR(VLOOKUP(A780,Clientes_PDV!$A$2:$J$250,4,FALSE),"")</f>
        <v/>
      </c>
      <c r="E780" s="24"/>
      <c r="F780" s="31" t="str">
        <f>IFERROR(VLOOKUP(E780,Maestro_SKU!$A$2:$P$500,2,FALSE),"")</f>
        <v/>
      </c>
      <c r="G780" s="24"/>
      <c r="H780" s="31" t="str">
        <f>IF(OR(G780="",E780=""),"",G780*IFERROR(VLOOKUP(E780,Maestro_SKU!$A$2:$P$500,12,FALSE),1))</f>
        <v/>
      </c>
      <c r="I780" s="25"/>
      <c r="J780" s="31" t="str">
        <f>IF(A780="","",IF(H780&lt;=Inicio!$B$16,"Crítico",IF(H780&lt;=Inicio!$B$17,"Observar","OK")))</f>
        <v/>
      </c>
      <c r="K780" s="24"/>
    </row>
    <row r="781" spans="1:11" x14ac:dyDescent="0.35">
      <c r="A781" s="24"/>
      <c r="B781" s="31" t="str">
        <f>IFERROR(VLOOKUP(A781,Clientes_PDV!$A$2:$J$250,2,FALSE),"")</f>
        <v/>
      </c>
      <c r="C781" s="31" t="str">
        <f>IFERROR(VLOOKUP(A781,Clientes_PDV!$A$2:$J$250,3,FALSE),"")</f>
        <v/>
      </c>
      <c r="D781" s="31" t="str">
        <f>IFERROR(VLOOKUP(A781,Clientes_PDV!$A$2:$J$250,4,FALSE),"")</f>
        <v/>
      </c>
      <c r="E781" s="24"/>
      <c r="F781" s="31" t="str">
        <f>IFERROR(VLOOKUP(E781,Maestro_SKU!$A$2:$P$500,2,FALSE),"")</f>
        <v/>
      </c>
      <c r="G781" s="24"/>
      <c r="H781" s="31" t="str">
        <f>IF(OR(G781="",E781=""),"",G781*IFERROR(VLOOKUP(E781,Maestro_SKU!$A$2:$P$500,12,FALSE),1))</f>
        <v/>
      </c>
      <c r="I781" s="25"/>
      <c r="J781" s="31" t="str">
        <f>IF(A781="","",IF(H781&lt;=Inicio!$B$16,"Crítico",IF(H781&lt;=Inicio!$B$17,"Observar","OK")))</f>
        <v/>
      </c>
      <c r="K781" s="24"/>
    </row>
    <row r="782" spans="1:11" x14ac:dyDescent="0.35">
      <c r="A782" s="24"/>
      <c r="B782" s="31" t="str">
        <f>IFERROR(VLOOKUP(A782,Clientes_PDV!$A$2:$J$250,2,FALSE),"")</f>
        <v/>
      </c>
      <c r="C782" s="31" t="str">
        <f>IFERROR(VLOOKUP(A782,Clientes_PDV!$A$2:$J$250,3,FALSE),"")</f>
        <v/>
      </c>
      <c r="D782" s="31" t="str">
        <f>IFERROR(VLOOKUP(A782,Clientes_PDV!$A$2:$J$250,4,FALSE),"")</f>
        <v/>
      </c>
      <c r="E782" s="24"/>
      <c r="F782" s="31" t="str">
        <f>IFERROR(VLOOKUP(E782,Maestro_SKU!$A$2:$P$500,2,FALSE),"")</f>
        <v/>
      </c>
      <c r="G782" s="24"/>
      <c r="H782" s="31" t="str">
        <f>IF(OR(G782="",E782=""),"",G782*IFERROR(VLOOKUP(E782,Maestro_SKU!$A$2:$P$500,12,FALSE),1))</f>
        <v/>
      </c>
      <c r="I782" s="25"/>
      <c r="J782" s="31" t="str">
        <f>IF(A782="","",IF(H782&lt;=Inicio!$B$16,"Crítico",IF(H782&lt;=Inicio!$B$17,"Observar","OK")))</f>
        <v/>
      </c>
      <c r="K782" s="24"/>
    </row>
    <row r="783" spans="1:11" x14ac:dyDescent="0.35">
      <c r="A783" s="24"/>
      <c r="B783" s="31" t="str">
        <f>IFERROR(VLOOKUP(A783,Clientes_PDV!$A$2:$J$250,2,FALSE),"")</f>
        <v/>
      </c>
      <c r="C783" s="31" t="str">
        <f>IFERROR(VLOOKUP(A783,Clientes_PDV!$A$2:$J$250,3,FALSE),"")</f>
        <v/>
      </c>
      <c r="D783" s="31" t="str">
        <f>IFERROR(VLOOKUP(A783,Clientes_PDV!$A$2:$J$250,4,FALSE),"")</f>
        <v/>
      </c>
      <c r="E783" s="24"/>
      <c r="F783" s="31" t="str">
        <f>IFERROR(VLOOKUP(E783,Maestro_SKU!$A$2:$P$500,2,FALSE),"")</f>
        <v/>
      </c>
      <c r="G783" s="24"/>
      <c r="H783" s="31" t="str">
        <f>IF(OR(G783="",E783=""),"",G783*IFERROR(VLOOKUP(E783,Maestro_SKU!$A$2:$P$500,12,FALSE),1))</f>
        <v/>
      </c>
      <c r="I783" s="25"/>
      <c r="J783" s="31" t="str">
        <f>IF(A783="","",IF(H783&lt;=Inicio!$B$16,"Crítico",IF(H783&lt;=Inicio!$B$17,"Observar","OK")))</f>
        <v/>
      </c>
      <c r="K783" s="24"/>
    </row>
    <row r="784" spans="1:11" x14ac:dyDescent="0.35">
      <c r="A784" s="24"/>
      <c r="B784" s="31" t="str">
        <f>IFERROR(VLOOKUP(A784,Clientes_PDV!$A$2:$J$250,2,FALSE),"")</f>
        <v/>
      </c>
      <c r="C784" s="31" t="str">
        <f>IFERROR(VLOOKUP(A784,Clientes_PDV!$A$2:$J$250,3,FALSE),"")</f>
        <v/>
      </c>
      <c r="D784" s="31" t="str">
        <f>IFERROR(VLOOKUP(A784,Clientes_PDV!$A$2:$J$250,4,FALSE),"")</f>
        <v/>
      </c>
      <c r="E784" s="24"/>
      <c r="F784" s="31" t="str">
        <f>IFERROR(VLOOKUP(E784,Maestro_SKU!$A$2:$P$500,2,FALSE),"")</f>
        <v/>
      </c>
      <c r="G784" s="24"/>
      <c r="H784" s="31" t="str">
        <f>IF(OR(G784="",E784=""),"",G784*IFERROR(VLOOKUP(E784,Maestro_SKU!$A$2:$P$500,12,FALSE),1))</f>
        <v/>
      </c>
      <c r="I784" s="25"/>
      <c r="J784" s="31" t="str">
        <f>IF(A784="","",IF(H784&lt;=Inicio!$B$16,"Crítico",IF(H784&lt;=Inicio!$B$17,"Observar","OK")))</f>
        <v/>
      </c>
      <c r="K784" s="24"/>
    </row>
    <row r="785" spans="1:11" x14ac:dyDescent="0.35">
      <c r="A785" s="24"/>
      <c r="B785" s="31" t="str">
        <f>IFERROR(VLOOKUP(A785,Clientes_PDV!$A$2:$J$250,2,FALSE),"")</f>
        <v/>
      </c>
      <c r="C785" s="31" t="str">
        <f>IFERROR(VLOOKUP(A785,Clientes_PDV!$A$2:$J$250,3,FALSE),"")</f>
        <v/>
      </c>
      <c r="D785" s="31" t="str">
        <f>IFERROR(VLOOKUP(A785,Clientes_PDV!$A$2:$J$250,4,FALSE),"")</f>
        <v/>
      </c>
      <c r="E785" s="24"/>
      <c r="F785" s="31" t="str">
        <f>IFERROR(VLOOKUP(E785,Maestro_SKU!$A$2:$P$500,2,FALSE),"")</f>
        <v/>
      </c>
      <c r="G785" s="24"/>
      <c r="H785" s="31" t="str">
        <f>IF(OR(G785="",E785=""),"",G785*IFERROR(VLOOKUP(E785,Maestro_SKU!$A$2:$P$500,12,FALSE),1))</f>
        <v/>
      </c>
      <c r="I785" s="25"/>
      <c r="J785" s="31" t="str">
        <f>IF(A785="","",IF(H785&lt;=Inicio!$B$16,"Crítico",IF(H785&lt;=Inicio!$B$17,"Observar","OK")))</f>
        <v/>
      </c>
      <c r="K785" s="24"/>
    </row>
    <row r="786" spans="1:11" x14ac:dyDescent="0.35">
      <c r="A786" s="24"/>
      <c r="B786" s="31" t="str">
        <f>IFERROR(VLOOKUP(A786,Clientes_PDV!$A$2:$J$250,2,FALSE),"")</f>
        <v/>
      </c>
      <c r="C786" s="31" t="str">
        <f>IFERROR(VLOOKUP(A786,Clientes_PDV!$A$2:$J$250,3,FALSE),"")</f>
        <v/>
      </c>
      <c r="D786" s="31" t="str">
        <f>IFERROR(VLOOKUP(A786,Clientes_PDV!$A$2:$J$250,4,FALSE),"")</f>
        <v/>
      </c>
      <c r="E786" s="24"/>
      <c r="F786" s="31" t="str">
        <f>IFERROR(VLOOKUP(E786,Maestro_SKU!$A$2:$P$500,2,FALSE),"")</f>
        <v/>
      </c>
      <c r="G786" s="24"/>
      <c r="H786" s="31" t="str">
        <f>IF(OR(G786="",E786=""),"",G786*IFERROR(VLOOKUP(E786,Maestro_SKU!$A$2:$P$500,12,FALSE),1))</f>
        <v/>
      </c>
      <c r="I786" s="25"/>
      <c r="J786" s="31" t="str">
        <f>IF(A786="","",IF(H786&lt;=Inicio!$B$16,"Crítico",IF(H786&lt;=Inicio!$B$17,"Observar","OK")))</f>
        <v/>
      </c>
      <c r="K786" s="24"/>
    </row>
    <row r="787" spans="1:11" x14ac:dyDescent="0.35">
      <c r="A787" s="24"/>
      <c r="B787" s="31" t="str">
        <f>IFERROR(VLOOKUP(A787,Clientes_PDV!$A$2:$J$250,2,FALSE),"")</f>
        <v/>
      </c>
      <c r="C787" s="31" t="str">
        <f>IFERROR(VLOOKUP(A787,Clientes_PDV!$A$2:$J$250,3,FALSE),"")</f>
        <v/>
      </c>
      <c r="D787" s="31" t="str">
        <f>IFERROR(VLOOKUP(A787,Clientes_PDV!$A$2:$J$250,4,FALSE),"")</f>
        <v/>
      </c>
      <c r="E787" s="24"/>
      <c r="F787" s="31" t="str">
        <f>IFERROR(VLOOKUP(E787,Maestro_SKU!$A$2:$P$500,2,FALSE),"")</f>
        <v/>
      </c>
      <c r="G787" s="24"/>
      <c r="H787" s="31" t="str">
        <f>IF(OR(G787="",E787=""),"",G787*IFERROR(VLOOKUP(E787,Maestro_SKU!$A$2:$P$500,12,FALSE),1))</f>
        <v/>
      </c>
      <c r="I787" s="25"/>
      <c r="J787" s="31" t="str">
        <f>IF(A787="","",IF(H787&lt;=Inicio!$B$16,"Crítico",IF(H787&lt;=Inicio!$B$17,"Observar","OK")))</f>
        <v/>
      </c>
      <c r="K787" s="24"/>
    </row>
    <row r="788" spans="1:11" x14ac:dyDescent="0.35">
      <c r="A788" s="24"/>
      <c r="B788" s="31" t="str">
        <f>IFERROR(VLOOKUP(A788,Clientes_PDV!$A$2:$J$250,2,FALSE),"")</f>
        <v/>
      </c>
      <c r="C788" s="31" t="str">
        <f>IFERROR(VLOOKUP(A788,Clientes_PDV!$A$2:$J$250,3,FALSE),"")</f>
        <v/>
      </c>
      <c r="D788" s="31" t="str">
        <f>IFERROR(VLOOKUP(A788,Clientes_PDV!$A$2:$J$250,4,FALSE),"")</f>
        <v/>
      </c>
      <c r="E788" s="24"/>
      <c r="F788" s="31" t="str">
        <f>IFERROR(VLOOKUP(E788,Maestro_SKU!$A$2:$P$500,2,FALSE),"")</f>
        <v/>
      </c>
      <c r="G788" s="24"/>
      <c r="H788" s="31" t="str">
        <f>IF(OR(G788="",E788=""),"",G788*IFERROR(VLOOKUP(E788,Maestro_SKU!$A$2:$P$500,12,FALSE),1))</f>
        <v/>
      </c>
      <c r="I788" s="25"/>
      <c r="J788" s="31" t="str">
        <f>IF(A788="","",IF(H788&lt;=Inicio!$B$16,"Crítico",IF(H788&lt;=Inicio!$B$17,"Observar","OK")))</f>
        <v/>
      </c>
      <c r="K788" s="24"/>
    </row>
    <row r="789" spans="1:11" x14ac:dyDescent="0.35">
      <c r="A789" s="24"/>
      <c r="B789" s="31" t="str">
        <f>IFERROR(VLOOKUP(A789,Clientes_PDV!$A$2:$J$250,2,FALSE),"")</f>
        <v/>
      </c>
      <c r="C789" s="31" t="str">
        <f>IFERROR(VLOOKUP(A789,Clientes_PDV!$A$2:$J$250,3,FALSE),"")</f>
        <v/>
      </c>
      <c r="D789" s="31" t="str">
        <f>IFERROR(VLOOKUP(A789,Clientes_PDV!$A$2:$J$250,4,FALSE),"")</f>
        <v/>
      </c>
      <c r="E789" s="24"/>
      <c r="F789" s="31" t="str">
        <f>IFERROR(VLOOKUP(E789,Maestro_SKU!$A$2:$P$500,2,FALSE),"")</f>
        <v/>
      </c>
      <c r="G789" s="24"/>
      <c r="H789" s="31" t="str">
        <f>IF(OR(G789="",E789=""),"",G789*IFERROR(VLOOKUP(E789,Maestro_SKU!$A$2:$P$500,12,FALSE),1))</f>
        <v/>
      </c>
      <c r="I789" s="25"/>
      <c r="J789" s="31" t="str">
        <f>IF(A789="","",IF(H789&lt;=Inicio!$B$16,"Crítico",IF(H789&lt;=Inicio!$B$17,"Observar","OK")))</f>
        <v/>
      </c>
      <c r="K789" s="24"/>
    </row>
    <row r="790" spans="1:11" x14ac:dyDescent="0.35">
      <c r="A790" s="24"/>
      <c r="B790" s="31" t="str">
        <f>IFERROR(VLOOKUP(A790,Clientes_PDV!$A$2:$J$250,2,FALSE),"")</f>
        <v/>
      </c>
      <c r="C790" s="31" t="str">
        <f>IFERROR(VLOOKUP(A790,Clientes_PDV!$A$2:$J$250,3,FALSE),"")</f>
        <v/>
      </c>
      <c r="D790" s="31" t="str">
        <f>IFERROR(VLOOKUP(A790,Clientes_PDV!$A$2:$J$250,4,FALSE),"")</f>
        <v/>
      </c>
      <c r="E790" s="24"/>
      <c r="F790" s="31" t="str">
        <f>IFERROR(VLOOKUP(E790,Maestro_SKU!$A$2:$P$500,2,FALSE),"")</f>
        <v/>
      </c>
      <c r="G790" s="24"/>
      <c r="H790" s="31" t="str">
        <f>IF(OR(G790="",E790=""),"",G790*IFERROR(VLOOKUP(E790,Maestro_SKU!$A$2:$P$500,12,FALSE),1))</f>
        <v/>
      </c>
      <c r="I790" s="25"/>
      <c r="J790" s="31" t="str">
        <f>IF(A790="","",IF(H790&lt;=Inicio!$B$16,"Crítico",IF(H790&lt;=Inicio!$B$17,"Observar","OK")))</f>
        <v/>
      </c>
      <c r="K790" s="24"/>
    </row>
    <row r="791" spans="1:11" x14ac:dyDescent="0.35">
      <c r="A791" s="24"/>
      <c r="B791" s="31" t="str">
        <f>IFERROR(VLOOKUP(A791,Clientes_PDV!$A$2:$J$250,2,FALSE),"")</f>
        <v/>
      </c>
      <c r="C791" s="31" t="str">
        <f>IFERROR(VLOOKUP(A791,Clientes_PDV!$A$2:$J$250,3,FALSE),"")</f>
        <v/>
      </c>
      <c r="D791" s="31" t="str">
        <f>IFERROR(VLOOKUP(A791,Clientes_PDV!$A$2:$J$250,4,FALSE),"")</f>
        <v/>
      </c>
      <c r="E791" s="24"/>
      <c r="F791" s="31" t="str">
        <f>IFERROR(VLOOKUP(E791,Maestro_SKU!$A$2:$P$500,2,FALSE),"")</f>
        <v/>
      </c>
      <c r="G791" s="24"/>
      <c r="H791" s="31" t="str">
        <f>IF(OR(G791="",E791=""),"",G791*IFERROR(VLOOKUP(E791,Maestro_SKU!$A$2:$P$500,12,FALSE),1))</f>
        <v/>
      </c>
      <c r="I791" s="25"/>
      <c r="J791" s="31" t="str">
        <f>IF(A791="","",IF(H791&lt;=Inicio!$B$16,"Crítico",IF(H791&lt;=Inicio!$B$17,"Observar","OK")))</f>
        <v/>
      </c>
      <c r="K791" s="24"/>
    </row>
    <row r="792" spans="1:11" x14ac:dyDescent="0.35">
      <c r="A792" s="24"/>
      <c r="B792" s="31" t="str">
        <f>IFERROR(VLOOKUP(A792,Clientes_PDV!$A$2:$J$250,2,FALSE),"")</f>
        <v/>
      </c>
      <c r="C792" s="31" t="str">
        <f>IFERROR(VLOOKUP(A792,Clientes_PDV!$A$2:$J$250,3,FALSE),"")</f>
        <v/>
      </c>
      <c r="D792" s="31" t="str">
        <f>IFERROR(VLOOKUP(A792,Clientes_PDV!$A$2:$J$250,4,FALSE),"")</f>
        <v/>
      </c>
      <c r="E792" s="24"/>
      <c r="F792" s="31" t="str">
        <f>IFERROR(VLOOKUP(E792,Maestro_SKU!$A$2:$P$500,2,FALSE),"")</f>
        <v/>
      </c>
      <c r="G792" s="24"/>
      <c r="H792" s="31" t="str">
        <f>IF(OR(G792="",E792=""),"",G792*IFERROR(VLOOKUP(E792,Maestro_SKU!$A$2:$P$500,12,FALSE),1))</f>
        <v/>
      </c>
      <c r="I792" s="25"/>
      <c r="J792" s="31" t="str">
        <f>IF(A792="","",IF(H792&lt;=Inicio!$B$16,"Crítico",IF(H792&lt;=Inicio!$B$17,"Observar","OK")))</f>
        <v/>
      </c>
      <c r="K792" s="24"/>
    </row>
    <row r="793" spans="1:11" x14ac:dyDescent="0.35">
      <c r="A793" s="24"/>
      <c r="B793" s="31" t="str">
        <f>IFERROR(VLOOKUP(A793,Clientes_PDV!$A$2:$J$250,2,FALSE),"")</f>
        <v/>
      </c>
      <c r="C793" s="31" t="str">
        <f>IFERROR(VLOOKUP(A793,Clientes_PDV!$A$2:$J$250,3,FALSE),"")</f>
        <v/>
      </c>
      <c r="D793" s="31" t="str">
        <f>IFERROR(VLOOKUP(A793,Clientes_PDV!$A$2:$J$250,4,FALSE),"")</f>
        <v/>
      </c>
      <c r="E793" s="24"/>
      <c r="F793" s="31" t="str">
        <f>IFERROR(VLOOKUP(E793,Maestro_SKU!$A$2:$P$500,2,FALSE),"")</f>
        <v/>
      </c>
      <c r="G793" s="24"/>
      <c r="H793" s="31" t="str">
        <f>IF(OR(G793="",E793=""),"",G793*IFERROR(VLOOKUP(E793,Maestro_SKU!$A$2:$P$500,12,FALSE),1))</f>
        <v/>
      </c>
      <c r="I793" s="25"/>
      <c r="J793" s="31" t="str">
        <f>IF(A793="","",IF(H793&lt;=Inicio!$B$16,"Crítico",IF(H793&lt;=Inicio!$B$17,"Observar","OK")))</f>
        <v/>
      </c>
      <c r="K793" s="24"/>
    </row>
    <row r="794" spans="1:11" x14ac:dyDescent="0.35">
      <c r="A794" s="24"/>
      <c r="B794" s="31" t="str">
        <f>IFERROR(VLOOKUP(A794,Clientes_PDV!$A$2:$J$250,2,FALSE),"")</f>
        <v/>
      </c>
      <c r="C794" s="31" t="str">
        <f>IFERROR(VLOOKUP(A794,Clientes_PDV!$A$2:$J$250,3,FALSE),"")</f>
        <v/>
      </c>
      <c r="D794" s="31" t="str">
        <f>IFERROR(VLOOKUP(A794,Clientes_PDV!$A$2:$J$250,4,FALSE),"")</f>
        <v/>
      </c>
      <c r="E794" s="24"/>
      <c r="F794" s="31" t="str">
        <f>IFERROR(VLOOKUP(E794,Maestro_SKU!$A$2:$P$500,2,FALSE),"")</f>
        <v/>
      </c>
      <c r="G794" s="24"/>
      <c r="H794" s="31" t="str">
        <f>IF(OR(G794="",E794=""),"",G794*IFERROR(VLOOKUP(E794,Maestro_SKU!$A$2:$P$500,12,FALSE),1))</f>
        <v/>
      </c>
      <c r="I794" s="25"/>
      <c r="J794" s="31" t="str">
        <f>IF(A794="","",IF(H794&lt;=Inicio!$B$16,"Crítico",IF(H794&lt;=Inicio!$B$17,"Observar","OK")))</f>
        <v/>
      </c>
      <c r="K794" s="24"/>
    </row>
    <row r="795" spans="1:11" x14ac:dyDescent="0.35">
      <c r="A795" s="24"/>
      <c r="B795" s="31" t="str">
        <f>IFERROR(VLOOKUP(A795,Clientes_PDV!$A$2:$J$250,2,FALSE),"")</f>
        <v/>
      </c>
      <c r="C795" s="31" t="str">
        <f>IFERROR(VLOOKUP(A795,Clientes_PDV!$A$2:$J$250,3,FALSE),"")</f>
        <v/>
      </c>
      <c r="D795" s="31" t="str">
        <f>IFERROR(VLOOKUP(A795,Clientes_PDV!$A$2:$J$250,4,FALSE),"")</f>
        <v/>
      </c>
      <c r="E795" s="24"/>
      <c r="F795" s="31" t="str">
        <f>IFERROR(VLOOKUP(E795,Maestro_SKU!$A$2:$P$500,2,FALSE),"")</f>
        <v/>
      </c>
      <c r="G795" s="24"/>
      <c r="H795" s="31" t="str">
        <f>IF(OR(G795="",E795=""),"",G795*IFERROR(VLOOKUP(E795,Maestro_SKU!$A$2:$P$500,12,FALSE),1))</f>
        <v/>
      </c>
      <c r="I795" s="25"/>
      <c r="J795" s="31" t="str">
        <f>IF(A795="","",IF(H795&lt;=Inicio!$B$16,"Crítico",IF(H795&lt;=Inicio!$B$17,"Observar","OK")))</f>
        <v/>
      </c>
      <c r="K795" s="24"/>
    </row>
    <row r="796" spans="1:11" x14ac:dyDescent="0.35">
      <c r="A796" s="24"/>
      <c r="B796" s="31" t="str">
        <f>IFERROR(VLOOKUP(A796,Clientes_PDV!$A$2:$J$250,2,FALSE),"")</f>
        <v/>
      </c>
      <c r="C796" s="31" t="str">
        <f>IFERROR(VLOOKUP(A796,Clientes_PDV!$A$2:$J$250,3,FALSE),"")</f>
        <v/>
      </c>
      <c r="D796" s="31" t="str">
        <f>IFERROR(VLOOKUP(A796,Clientes_PDV!$A$2:$J$250,4,FALSE),"")</f>
        <v/>
      </c>
      <c r="E796" s="24"/>
      <c r="F796" s="31" t="str">
        <f>IFERROR(VLOOKUP(E796,Maestro_SKU!$A$2:$P$500,2,FALSE),"")</f>
        <v/>
      </c>
      <c r="G796" s="24"/>
      <c r="H796" s="31" t="str">
        <f>IF(OR(G796="",E796=""),"",G796*IFERROR(VLOOKUP(E796,Maestro_SKU!$A$2:$P$500,12,FALSE),1))</f>
        <v/>
      </c>
      <c r="I796" s="25"/>
      <c r="J796" s="31" t="str">
        <f>IF(A796="","",IF(H796&lt;=Inicio!$B$16,"Crítico",IF(H796&lt;=Inicio!$B$17,"Observar","OK")))</f>
        <v/>
      </c>
      <c r="K796" s="24"/>
    </row>
    <row r="797" spans="1:11" x14ac:dyDescent="0.35">
      <c r="A797" s="24"/>
      <c r="B797" s="31" t="str">
        <f>IFERROR(VLOOKUP(A797,Clientes_PDV!$A$2:$J$250,2,FALSE),"")</f>
        <v/>
      </c>
      <c r="C797" s="31" t="str">
        <f>IFERROR(VLOOKUP(A797,Clientes_PDV!$A$2:$J$250,3,FALSE),"")</f>
        <v/>
      </c>
      <c r="D797" s="31" t="str">
        <f>IFERROR(VLOOKUP(A797,Clientes_PDV!$A$2:$J$250,4,FALSE),"")</f>
        <v/>
      </c>
      <c r="E797" s="24"/>
      <c r="F797" s="31" t="str">
        <f>IFERROR(VLOOKUP(E797,Maestro_SKU!$A$2:$P$500,2,FALSE),"")</f>
        <v/>
      </c>
      <c r="G797" s="24"/>
      <c r="H797" s="31" t="str">
        <f>IF(OR(G797="",E797=""),"",G797*IFERROR(VLOOKUP(E797,Maestro_SKU!$A$2:$P$500,12,FALSE),1))</f>
        <v/>
      </c>
      <c r="I797" s="25"/>
      <c r="J797" s="31" t="str">
        <f>IF(A797="","",IF(H797&lt;=Inicio!$B$16,"Crítico",IF(H797&lt;=Inicio!$B$17,"Observar","OK")))</f>
        <v/>
      </c>
      <c r="K797" s="24"/>
    </row>
    <row r="798" spans="1:11" x14ac:dyDescent="0.35">
      <c r="A798" s="24"/>
      <c r="B798" s="31" t="str">
        <f>IFERROR(VLOOKUP(A798,Clientes_PDV!$A$2:$J$250,2,FALSE),"")</f>
        <v/>
      </c>
      <c r="C798" s="31" t="str">
        <f>IFERROR(VLOOKUP(A798,Clientes_PDV!$A$2:$J$250,3,FALSE),"")</f>
        <v/>
      </c>
      <c r="D798" s="31" t="str">
        <f>IFERROR(VLOOKUP(A798,Clientes_PDV!$A$2:$J$250,4,FALSE),"")</f>
        <v/>
      </c>
      <c r="E798" s="24"/>
      <c r="F798" s="31" t="str">
        <f>IFERROR(VLOOKUP(E798,Maestro_SKU!$A$2:$P$500,2,FALSE),"")</f>
        <v/>
      </c>
      <c r="G798" s="24"/>
      <c r="H798" s="31" t="str">
        <f>IF(OR(G798="",E798=""),"",G798*IFERROR(VLOOKUP(E798,Maestro_SKU!$A$2:$P$500,12,FALSE),1))</f>
        <v/>
      </c>
      <c r="I798" s="25"/>
      <c r="J798" s="31" t="str">
        <f>IF(A798="","",IF(H798&lt;=Inicio!$B$16,"Crítico",IF(H798&lt;=Inicio!$B$17,"Observar","OK")))</f>
        <v/>
      </c>
      <c r="K798" s="24"/>
    </row>
    <row r="799" spans="1:11" x14ac:dyDescent="0.35">
      <c r="A799" s="24"/>
      <c r="B799" s="31" t="str">
        <f>IFERROR(VLOOKUP(A799,Clientes_PDV!$A$2:$J$250,2,FALSE),"")</f>
        <v/>
      </c>
      <c r="C799" s="31" t="str">
        <f>IFERROR(VLOOKUP(A799,Clientes_PDV!$A$2:$J$250,3,FALSE),"")</f>
        <v/>
      </c>
      <c r="D799" s="31" t="str">
        <f>IFERROR(VLOOKUP(A799,Clientes_PDV!$A$2:$J$250,4,FALSE),"")</f>
        <v/>
      </c>
      <c r="E799" s="24"/>
      <c r="F799" s="31" t="str">
        <f>IFERROR(VLOOKUP(E799,Maestro_SKU!$A$2:$P$500,2,FALSE),"")</f>
        <v/>
      </c>
      <c r="G799" s="24"/>
      <c r="H799" s="31" t="str">
        <f>IF(OR(G799="",E799=""),"",G799*IFERROR(VLOOKUP(E799,Maestro_SKU!$A$2:$P$500,12,FALSE),1))</f>
        <v/>
      </c>
      <c r="I799" s="25"/>
      <c r="J799" s="31" t="str">
        <f>IF(A799="","",IF(H799&lt;=Inicio!$B$16,"Crítico",IF(H799&lt;=Inicio!$B$17,"Observar","OK")))</f>
        <v/>
      </c>
      <c r="K799" s="24"/>
    </row>
    <row r="800" spans="1:11" x14ac:dyDescent="0.35">
      <c r="A800" s="24"/>
      <c r="B800" s="31" t="str">
        <f>IFERROR(VLOOKUP(A800,Clientes_PDV!$A$2:$J$250,2,FALSE),"")</f>
        <v/>
      </c>
      <c r="C800" s="31" t="str">
        <f>IFERROR(VLOOKUP(A800,Clientes_PDV!$A$2:$J$250,3,FALSE),"")</f>
        <v/>
      </c>
      <c r="D800" s="31" t="str">
        <f>IFERROR(VLOOKUP(A800,Clientes_PDV!$A$2:$J$250,4,FALSE),"")</f>
        <v/>
      </c>
      <c r="E800" s="24"/>
      <c r="F800" s="31" t="str">
        <f>IFERROR(VLOOKUP(E800,Maestro_SKU!$A$2:$P$500,2,FALSE),"")</f>
        <v/>
      </c>
      <c r="G800" s="24"/>
      <c r="H800" s="31" t="str">
        <f>IF(OR(G800="",E800=""),"",G800*IFERROR(VLOOKUP(E800,Maestro_SKU!$A$2:$P$500,12,FALSE),1))</f>
        <v/>
      </c>
      <c r="I800" s="25"/>
      <c r="J800" s="31" t="str">
        <f>IF(A800="","",IF(H800&lt;=Inicio!$B$16,"Crítico",IF(H800&lt;=Inicio!$B$17,"Observar","OK")))</f>
        <v/>
      </c>
      <c r="K800" s="24"/>
    </row>
  </sheetData>
  <autoFilter ref="A1:K800" xr:uid="{00000000-0009-0000-0000-00000B000000}"/>
  <dataValidations count="2">
    <dataValidation type="list" allowBlank="1" sqref="A2:A800" xr:uid="{00000000-0002-0000-0B00-000000000000}">
      <formula1>rng_PDV</formula1>
    </dataValidation>
    <dataValidation type="list" allowBlank="1" sqref="E2:E800" xr:uid="{00000000-0002-0000-0B00-000001000000}">
      <formula1>rng_SKU</formula1>
    </dataValidation>
  </dataValidations>
  <hyperlinks>
    <hyperlink ref="M1" location="Inicio!A11" display="⚙ Configuración" xr:uid="{00000000-0004-0000-0B00-000000000000}"/>
  </hyperlinks>
  <pageMargins left="0.7" right="0.7" top="0.75" bottom="0.75" header="0.3" footer="0.3"/>
  <headerFooter>
    <oddHeader>&amp;C&amp;8 DOCUMENTO CONFIDENCIAL Y RESTRINGIDO  -  Uso interno Nuva Oxi</oddHeader>
    <oddFooter>&amp;LNuva Oxi&amp;RPágina &amp;P de &amp;N</oddFooter>
  </headerFooter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A56A97"/>
  </sheetPr>
  <dimension ref="A1:P500"/>
  <sheetViews>
    <sheetView showGridLines="0"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22" customWidth="1"/>
    <col min="2" max="2" width="34" customWidth="1"/>
    <col min="3" max="3" width="15" customWidth="1"/>
    <col min="4" max="4" width="10" customWidth="1"/>
    <col min="5" max="5" width="14" customWidth="1"/>
    <col min="6" max="7" width="16" customWidth="1"/>
    <col min="8" max="8" width="18" customWidth="1"/>
    <col min="9" max="9" width="12" customWidth="1"/>
    <col min="10" max="10" width="16" customWidth="1"/>
    <col min="11" max="11" width="12" customWidth="1"/>
    <col min="12" max="12" width="14" customWidth="1"/>
    <col min="13" max="15" width="10" customWidth="1"/>
    <col min="16" max="16" width="28" customWidth="1"/>
  </cols>
  <sheetData>
    <row r="1" spans="1:16" ht="28" customHeight="1" x14ac:dyDescent="0.35">
      <c r="A1" s="7" t="s">
        <v>285</v>
      </c>
      <c r="B1" s="7" t="s">
        <v>286</v>
      </c>
      <c r="C1" s="7" t="s">
        <v>429</v>
      </c>
      <c r="D1" s="7" t="s">
        <v>430</v>
      </c>
      <c r="E1" s="7" t="s">
        <v>431</v>
      </c>
      <c r="F1" s="7" t="s">
        <v>432</v>
      </c>
      <c r="G1" s="7" t="s">
        <v>433</v>
      </c>
      <c r="H1" s="7" t="s">
        <v>434</v>
      </c>
      <c r="I1" s="7" t="s">
        <v>435</v>
      </c>
      <c r="J1" s="7" t="s">
        <v>436</v>
      </c>
      <c r="K1" s="7" t="s">
        <v>437</v>
      </c>
      <c r="L1" s="7" t="s">
        <v>438</v>
      </c>
      <c r="M1" s="7" t="s">
        <v>439</v>
      </c>
      <c r="N1" s="7" t="s">
        <v>440</v>
      </c>
      <c r="O1" s="7" t="s">
        <v>223</v>
      </c>
      <c r="P1" s="7" t="s">
        <v>441</v>
      </c>
    </row>
    <row r="2" spans="1:16" ht="20" customHeight="1" x14ac:dyDescent="0.35">
      <c r="A2" s="18" t="s">
        <v>303</v>
      </c>
      <c r="B2" s="18" t="s">
        <v>442</v>
      </c>
      <c r="C2" s="18"/>
      <c r="D2" s="18" t="s">
        <v>443</v>
      </c>
      <c r="E2" s="18" t="s">
        <v>444</v>
      </c>
      <c r="F2" s="18" t="s">
        <v>445</v>
      </c>
      <c r="G2" s="18" t="s">
        <v>446</v>
      </c>
      <c r="H2" s="18" t="s">
        <v>447</v>
      </c>
      <c r="I2" s="18" t="s">
        <v>448</v>
      </c>
      <c r="J2" s="18" t="s">
        <v>449</v>
      </c>
      <c r="K2" s="18" t="s">
        <v>450</v>
      </c>
      <c r="L2" s="18">
        <v>1</v>
      </c>
      <c r="M2" s="18" t="s">
        <v>451</v>
      </c>
      <c r="N2" s="18" t="s">
        <v>452</v>
      </c>
      <c r="O2" s="18" t="s">
        <v>33</v>
      </c>
      <c r="P2" s="18" t="s">
        <v>453</v>
      </c>
    </row>
    <row r="3" spans="1:16" ht="20" customHeight="1" x14ac:dyDescent="0.35">
      <c r="A3" s="18" t="s">
        <v>323</v>
      </c>
      <c r="B3" s="18" t="s">
        <v>454</v>
      </c>
      <c r="C3" s="18"/>
      <c r="D3" s="18" t="s">
        <v>443</v>
      </c>
      <c r="E3" s="18" t="s">
        <v>444</v>
      </c>
      <c r="F3" s="18" t="s">
        <v>445</v>
      </c>
      <c r="G3" s="18" t="s">
        <v>446</v>
      </c>
      <c r="H3" s="18" t="s">
        <v>455</v>
      </c>
      <c r="I3" s="18" t="s">
        <v>456</v>
      </c>
      <c r="J3" s="18" t="s">
        <v>449</v>
      </c>
      <c r="K3" s="18" t="s">
        <v>450</v>
      </c>
      <c r="L3" s="18">
        <v>1</v>
      </c>
      <c r="M3" s="18" t="s">
        <v>451</v>
      </c>
      <c r="N3" s="18" t="s">
        <v>452</v>
      </c>
      <c r="O3" s="18" t="s">
        <v>33</v>
      </c>
      <c r="P3" s="18" t="s">
        <v>453</v>
      </c>
    </row>
    <row r="4" spans="1:16" ht="20" customHeight="1" x14ac:dyDescent="0.35">
      <c r="A4" s="18" t="s">
        <v>306</v>
      </c>
      <c r="B4" s="18" t="s">
        <v>457</v>
      </c>
      <c r="C4" s="18"/>
      <c r="D4" s="18" t="s">
        <v>443</v>
      </c>
      <c r="E4" s="18" t="s">
        <v>444</v>
      </c>
      <c r="F4" s="18" t="s">
        <v>445</v>
      </c>
      <c r="G4" s="18" t="s">
        <v>446</v>
      </c>
      <c r="H4" s="18" t="s">
        <v>458</v>
      </c>
      <c r="I4" s="18" t="s">
        <v>459</v>
      </c>
      <c r="J4" s="18" t="s">
        <v>449</v>
      </c>
      <c r="K4" s="18" t="s">
        <v>450</v>
      </c>
      <c r="L4" s="18">
        <v>1</v>
      </c>
      <c r="M4" s="18" t="s">
        <v>451</v>
      </c>
      <c r="N4" s="18" t="s">
        <v>452</v>
      </c>
      <c r="O4" s="18" t="s">
        <v>33</v>
      </c>
      <c r="P4" s="18" t="s">
        <v>453</v>
      </c>
    </row>
    <row r="5" spans="1:16" ht="20" customHeight="1" x14ac:dyDescent="0.35">
      <c r="A5" s="18" t="s">
        <v>375</v>
      </c>
      <c r="B5" s="18" t="s">
        <v>460</v>
      </c>
      <c r="C5" s="18"/>
      <c r="D5" s="18" t="s">
        <v>443</v>
      </c>
      <c r="E5" s="18" t="s">
        <v>444</v>
      </c>
      <c r="F5" s="18" t="s">
        <v>445</v>
      </c>
      <c r="G5" s="18" t="s">
        <v>446</v>
      </c>
      <c r="H5" s="18" t="s">
        <v>447</v>
      </c>
      <c r="I5" s="18" t="s">
        <v>448</v>
      </c>
      <c r="J5" s="18" t="s">
        <v>461</v>
      </c>
      <c r="K5" s="18" t="s">
        <v>462</v>
      </c>
      <c r="L5" s="18">
        <v>4</v>
      </c>
      <c r="M5" s="18" t="s">
        <v>451</v>
      </c>
      <c r="N5" s="18" t="s">
        <v>452</v>
      </c>
      <c r="O5" s="18" t="s">
        <v>33</v>
      </c>
      <c r="P5" s="18" t="s">
        <v>463</v>
      </c>
    </row>
    <row r="6" spans="1:16" ht="20" customHeight="1" x14ac:dyDescent="0.35">
      <c r="A6" s="18" t="s">
        <v>312</v>
      </c>
      <c r="B6" s="18" t="s">
        <v>464</v>
      </c>
      <c r="C6" s="18"/>
      <c r="D6" s="18" t="s">
        <v>443</v>
      </c>
      <c r="E6" s="18" t="s">
        <v>444</v>
      </c>
      <c r="F6" s="18" t="s">
        <v>445</v>
      </c>
      <c r="G6" s="18" t="s">
        <v>446</v>
      </c>
      <c r="H6" s="18" t="s">
        <v>455</v>
      </c>
      <c r="I6" s="18" t="s">
        <v>456</v>
      </c>
      <c r="J6" s="18" t="s">
        <v>461</v>
      </c>
      <c r="K6" s="18" t="s">
        <v>462</v>
      </c>
      <c r="L6" s="18">
        <v>4</v>
      </c>
      <c r="M6" s="18" t="s">
        <v>451</v>
      </c>
      <c r="N6" s="18" t="s">
        <v>452</v>
      </c>
      <c r="O6" s="18" t="s">
        <v>33</v>
      </c>
      <c r="P6" s="18" t="s">
        <v>463</v>
      </c>
    </row>
    <row r="7" spans="1:16" ht="20" customHeight="1" x14ac:dyDescent="0.35">
      <c r="A7" s="18" t="s">
        <v>309</v>
      </c>
      <c r="B7" s="18" t="s">
        <v>465</v>
      </c>
      <c r="C7" s="18"/>
      <c r="D7" s="18" t="s">
        <v>443</v>
      </c>
      <c r="E7" s="18" t="s">
        <v>444</v>
      </c>
      <c r="F7" s="18" t="s">
        <v>445</v>
      </c>
      <c r="G7" s="18" t="s">
        <v>446</v>
      </c>
      <c r="H7" s="18" t="s">
        <v>458</v>
      </c>
      <c r="I7" s="18" t="s">
        <v>459</v>
      </c>
      <c r="J7" s="18" t="s">
        <v>461</v>
      </c>
      <c r="K7" s="18" t="s">
        <v>462</v>
      </c>
      <c r="L7" s="18">
        <v>4</v>
      </c>
      <c r="M7" s="18" t="s">
        <v>451</v>
      </c>
      <c r="N7" s="18" t="s">
        <v>452</v>
      </c>
      <c r="O7" s="18" t="s">
        <v>33</v>
      </c>
      <c r="P7" s="18" t="s">
        <v>463</v>
      </c>
    </row>
    <row r="8" spans="1:16" ht="20" customHeight="1" x14ac:dyDescent="0.35">
      <c r="A8" s="18" t="s">
        <v>328</v>
      </c>
      <c r="B8" s="18" t="s">
        <v>466</v>
      </c>
      <c r="C8" s="18"/>
      <c r="D8" s="18" t="s">
        <v>443</v>
      </c>
      <c r="E8" s="18" t="s">
        <v>444</v>
      </c>
      <c r="F8" s="18" t="s">
        <v>445</v>
      </c>
      <c r="G8" s="18" t="s">
        <v>446</v>
      </c>
      <c r="H8" s="18" t="s">
        <v>447</v>
      </c>
      <c r="I8" s="18" t="s">
        <v>448</v>
      </c>
      <c r="J8" s="18" t="s">
        <v>467</v>
      </c>
      <c r="K8" s="18" t="s">
        <v>468</v>
      </c>
      <c r="L8" s="18">
        <v>24</v>
      </c>
      <c r="M8" s="18" t="s">
        <v>451</v>
      </c>
      <c r="N8" s="18" t="s">
        <v>452</v>
      </c>
      <c r="O8" s="18" t="s">
        <v>33</v>
      </c>
      <c r="P8" s="18" t="s">
        <v>463</v>
      </c>
    </row>
    <row r="9" spans="1:16" ht="20" customHeight="1" x14ac:dyDescent="0.35">
      <c r="A9" s="18" t="s">
        <v>315</v>
      </c>
      <c r="B9" s="18" t="s">
        <v>469</v>
      </c>
      <c r="C9" s="18"/>
      <c r="D9" s="18" t="s">
        <v>443</v>
      </c>
      <c r="E9" s="18" t="s">
        <v>444</v>
      </c>
      <c r="F9" s="18" t="s">
        <v>445</v>
      </c>
      <c r="G9" s="18" t="s">
        <v>446</v>
      </c>
      <c r="H9" s="18" t="s">
        <v>455</v>
      </c>
      <c r="I9" s="18" t="s">
        <v>456</v>
      </c>
      <c r="J9" s="18" t="s">
        <v>467</v>
      </c>
      <c r="K9" s="18" t="s">
        <v>468</v>
      </c>
      <c r="L9" s="18">
        <v>24</v>
      </c>
      <c r="M9" s="18" t="s">
        <v>451</v>
      </c>
      <c r="N9" s="18" t="s">
        <v>452</v>
      </c>
      <c r="O9" s="18" t="s">
        <v>33</v>
      </c>
      <c r="P9" s="18" t="s">
        <v>463</v>
      </c>
    </row>
    <row r="10" spans="1:16" ht="20" customHeight="1" x14ac:dyDescent="0.35">
      <c r="A10" s="18" t="s">
        <v>318</v>
      </c>
      <c r="B10" s="18" t="s">
        <v>470</v>
      </c>
      <c r="C10" s="18"/>
      <c r="D10" s="18" t="s">
        <v>443</v>
      </c>
      <c r="E10" s="18" t="s">
        <v>444</v>
      </c>
      <c r="F10" s="18" t="s">
        <v>445</v>
      </c>
      <c r="G10" s="18" t="s">
        <v>446</v>
      </c>
      <c r="H10" s="18" t="s">
        <v>458</v>
      </c>
      <c r="I10" s="18" t="s">
        <v>459</v>
      </c>
      <c r="J10" s="18" t="s">
        <v>467</v>
      </c>
      <c r="K10" s="18" t="s">
        <v>468</v>
      </c>
      <c r="L10" s="18">
        <v>24</v>
      </c>
      <c r="M10" s="18" t="s">
        <v>451</v>
      </c>
      <c r="N10" s="18" t="s">
        <v>452</v>
      </c>
      <c r="O10" s="18" t="s">
        <v>33</v>
      </c>
      <c r="P10" s="18" t="s">
        <v>463</v>
      </c>
    </row>
    <row r="11" spans="1:16" ht="20" customHeight="1" x14ac:dyDescent="0.35">
      <c r="A11" s="18" t="s">
        <v>471</v>
      </c>
      <c r="B11" s="18" t="s">
        <v>472</v>
      </c>
      <c r="C11" s="18"/>
      <c r="D11" s="18" t="s">
        <v>443</v>
      </c>
      <c r="E11" s="18" t="s">
        <v>444</v>
      </c>
      <c r="F11" s="18" t="s">
        <v>445</v>
      </c>
      <c r="G11" s="18" t="s">
        <v>446</v>
      </c>
      <c r="H11" s="18" t="s">
        <v>447</v>
      </c>
      <c r="I11" s="18" t="s">
        <v>448</v>
      </c>
      <c r="J11" s="18" t="s">
        <v>467</v>
      </c>
      <c r="K11" s="18" t="s">
        <v>468</v>
      </c>
      <c r="L11" s="18">
        <v>60</v>
      </c>
      <c r="M11" s="18" t="s">
        <v>451</v>
      </c>
      <c r="N11" s="18" t="s">
        <v>452</v>
      </c>
      <c r="O11" s="18" t="s">
        <v>33</v>
      </c>
      <c r="P11" s="18" t="s">
        <v>473</v>
      </c>
    </row>
    <row r="12" spans="1:16" ht="20" customHeight="1" x14ac:dyDescent="0.35">
      <c r="A12" s="18" t="s">
        <v>474</v>
      </c>
      <c r="B12" s="18" t="s">
        <v>475</v>
      </c>
      <c r="C12" s="18"/>
      <c r="D12" s="18" t="s">
        <v>443</v>
      </c>
      <c r="E12" s="18" t="s">
        <v>444</v>
      </c>
      <c r="F12" s="18" t="s">
        <v>445</v>
      </c>
      <c r="G12" s="18" t="s">
        <v>446</v>
      </c>
      <c r="H12" s="18" t="s">
        <v>455</v>
      </c>
      <c r="I12" s="18" t="s">
        <v>456</v>
      </c>
      <c r="J12" s="18" t="s">
        <v>467</v>
      </c>
      <c r="K12" s="18" t="s">
        <v>468</v>
      </c>
      <c r="L12" s="18">
        <v>60</v>
      </c>
      <c r="M12" s="18" t="s">
        <v>451</v>
      </c>
      <c r="N12" s="18" t="s">
        <v>452</v>
      </c>
      <c r="O12" s="18" t="s">
        <v>33</v>
      </c>
      <c r="P12" s="18" t="s">
        <v>473</v>
      </c>
    </row>
    <row r="13" spans="1:16" ht="20" customHeight="1" x14ac:dyDescent="0.35">
      <c r="A13" s="18" t="s">
        <v>476</v>
      </c>
      <c r="B13" s="18" t="s">
        <v>477</v>
      </c>
      <c r="C13" s="18"/>
      <c r="D13" s="18" t="s">
        <v>443</v>
      </c>
      <c r="E13" s="18" t="s">
        <v>444</v>
      </c>
      <c r="F13" s="18" t="s">
        <v>445</v>
      </c>
      <c r="G13" s="18" t="s">
        <v>446</v>
      </c>
      <c r="H13" s="18" t="s">
        <v>458</v>
      </c>
      <c r="I13" s="18" t="s">
        <v>459</v>
      </c>
      <c r="J13" s="18" t="s">
        <v>467</v>
      </c>
      <c r="K13" s="18" t="s">
        <v>468</v>
      </c>
      <c r="L13" s="18">
        <v>60</v>
      </c>
      <c r="M13" s="18" t="s">
        <v>451</v>
      </c>
      <c r="N13" s="18" t="s">
        <v>452</v>
      </c>
      <c r="O13" s="18" t="s">
        <v>33</v>
      </c>
      <c r="P13" s="18" t="s">
        <v>473</v>
      </c>
    </row>
    <row r="14" spans="1:16" ht="20" customHeight="1" x14ac:dyDescent="0.3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</row>
    <row r="15" spans="1:16" ht="20" customHeight="1" x14ac:dyDescent="0.3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</row>
    <row r="16" spans="1:16" ht="20" customHeight="1" x14ac:dyDescent="0.3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</row>
    <row r="17" spans="1:16" ht="20" customHeight="1" x14ac:dyDescent="0.35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</row>
    <row r="18" spans="1:16" ht="20" customHeight="1" x14ac:dyDescent="0.3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</row>
    <row r="19" spans="1:16" ht="20" customHeight="1" x14ac:dyDescent="0.3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</row>
    <row r="20" spans="1:16" ht="20" customHeight="1" x14ac:dyDescent="0.3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</row>
    <row r="21" spans="1:16" ht="20" customHeight="1" x14ac:dyDescent="0.3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</row>
    <row r="22" spans="1:16" ht="20" customHeight="1" x14ac:dyDescent="0.3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</row>
    <row r="23" spans="1:16" ht="20" customHeight="1" x14ac:dyDescent="0.3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</row>
    <row r="24" spans="1:16" ht="20" customHeight="1" x14ac:dyDescent="0.3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</row>
    <row r="25" spans="1:16" ht="20" customHeight="1" x14ac:dyDescent="0.3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</row>
    <row r="26" spans="1:16" ht="20" customHeight="1" x14ac:dyDescent="0.3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</row>
    <row r="27" spans="1:16" ht="20" customHeight="1" x14ac:dyDescent="0.3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</row>
    <row r="28" spans="1:16" ht="20" customHeight="1" x14ac:dyDescent="0.3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</row>
    <row r="29" spans="1:16" ht="20" customHeight="1" x14ac:dyDescent="0.3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</row>
    <row r="30" spans="1:16" ht="20" customHeight="1" x14ac:dyDescent="0.3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</row>
    <row r="31" spans="1:16" ht="20" customHeight="1" x14ac:dyDescent="0.3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</row>
    <row r="32" spans="1:16" ht="20" customHeight="1" x14ac:dyDescent="0.3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</row>
    <row r="33" spans="1:16" ht="20" customHeight="1" x14ac:dyDescent="0.3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</row>
    <row r="34" spans="1:16" ht="20" customHeight="1" x14ac:dyDescent="0.3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</row>
    <row r="35" spans="1:16" ht="20" customHeight="1" x14ac:dyDescent="0.3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</row>
    <row r="36" spans="1:16" ht="20" customHeight="1" x14ac:dyDescent="0.3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</row>
    <row r="37" spans="1:16" ht="20" customHeight="1" x14ac:dyDescent="0.3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</row>
    <row r="38" spans="1:16" ht="20" customHeight="1" x14ac:dyDescent="0.3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</row>
    <row r="39" spans="1:16" ht="20" customHeight="1" x14ac:dyDescent="0.3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</row>
    <row r="40" spans="1:16" ht="20" customHeight="1" x14ac:dyDescent="0.3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</row>
    <row r="41" spans="1:16" ht="20" customHeight="1" x14ac:dyDescent="0.3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</row>
    <row r="42" spans="1:16" ht="20" customHeight="1" x14ac:dyDescent="0.3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</row>
    <row r="43" spans="1:16" ht="20" customHeight="1" x14ac:dyDescent="0.3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</row>
    <row r="44" spans="1:16" ht="20" customHeight="1" x14ac:dyDescent="0.3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</row>
    <row r="45" spans="1:16" ht="20" customHeight="1" x14ac:dyDescent="0.3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</row>
    <row r="46" spans="1:16" ht="20" customHeight="1" x14ac:dyDescent="0.3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</row>
    <row r="47" spans="1:16" ht="20" customHeight="1" x14ac:dyDescent="0.3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</row>
    <row r="48" spans="1:16" ht="20" customHeight="1" x14ac:dyDescent="0.3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</row>
    <row r="49" spans="1:16" ht="20" customHeight="1" x14ac:dyDescent="0.3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</row>
    <row r="50" spans="1:16" ht="20" customHeight="1" x14ac:dyDescent="0.3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</row>
    <row r="51" spans="1:16" x14ac:dyDescent="0.35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</row>
    <row r="52" spans="1:16" x14ac:dyDescent="0.3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</row>
    <row r="53" spans="1:16" x14ac:dyDescent="0.35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</row>
    <row r="54" spans="1:16" x14ac:dyDescent="0.3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</row>
    <row r="55" spans="1:16" x14ac:dyDescent="0.3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</row>
    <row r="56" spans="1:16" x14ac:dyDescent="0.3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</row>
    <row r="57" spans="1:16" x14ac:dyDescent="0.35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</row>
    <row r="58" spans="1:16" x14ac:dyDescent="0.3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</row>
    <row r="59" spans="1:16" x14ac:dyDescent="0.35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</row>
    <row r="60" spans="1:16" x14ac:dyDescent="0.35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</row>
    <row r="61" spans="1:16" x14ac:dyDescent="0.35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</row>
    <row r="62" spans="1:16" x14ac:dyDescent="0.3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</row>
    <row r="63" spans="1:16" x14ac:dyDescent="0.35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</row>
    <row r="64" spans="1:16" x14ac:dyDescent="0.3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</row>
    <row r="65" spans="1:16" x14ac:dyDescent="0.3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</row>
    <row r="66" spans="1:16" x14ac:dyDescent="0.3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</row>
    <row r="67" spans="1:16" x14ac:dyDescent="0.3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</row>
    <row r="68" spans="1:16" x14ac:dyDescent="0.3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</row>
    <row r="69" spans="1:16" x14ac:dyDescent="0.35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</row>
    <row r="70" spans="1:16" x14ac:dyDescent="0.3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</row>
    <row r="71" spans="1:16" x14ac:dyDescent="0.35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</row>
    <row r="72" spans="1:16" x14ac:dyDescent="0.3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</row>
    <row r="73" spans="1:16" x14ac:dyDescent="0.3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</row>
    <row r="74" spans="1:16" x14ac:dyDescent="0.3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</row>
    <row r="75" spans="1:16" x14ac:dyDescent="0.3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</row>
    <row r="76" spans="1:16" x14ac:dyDescent="0.3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</row>
    <row r="77" spans="1:16" x14ac:dyDescent="0.3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</row>
    <row r="78" spans="1:16" x14ac:dyDescent="0.3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</row>
    <row r="79" spans="1:16" x14ac:dyDescent="0.3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</row>
    <row r="80" spans="1:16" x14ac:dyDescent="0.3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</row>
    <row r="81" spans="1:16" x14ac:dyDescent="0.35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</row>
    <row r="82" spans="1:16" x14ac:dyDescent="0.35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</row>
    <row r="83" spans="1:16" x14ac:dyDescent="0.35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</row>
    <row r="84" spans="1:16" x14ac:dyDescent="0.35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</row>
    <row r="85" spans="1:16" x14ac:dyDescent="0.3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</row>
    <row r="86" spans="1:16" x14ac:dyDescent="0.35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</row>
    <row r="87" spans="1:16" x14ac:dyDescent="0.35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</row>
    <row r="88" spans="1:16" x14ac:dyDescent="0.35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</row>
    <row r="89" spans="1:16" x14ac:dyDescent="0.35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</row>
    <row r="90" spans="1:16" x14ac:dyDescent="0.35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</row>
    <row r="91" spans="1:16" x14ac:dyDescent="0.35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</row>
    <row r="92" spans="1:16" x14ac:dyDescent="0.35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</row>
    <row r="93" spans="1:16" x14ac:dyDescent="0.35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</row>
    <row r="94" spans="1:16" x14ac:dyDescent="0.35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</row>
    <row r="95" spans="1:16" x14ac:dyDescent="0.3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</row>
    <row r="96" spans="1:16" x14ac:dyDescent="0.35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</row>
    <row r="97" spans="1:16" x14ac:dyDescent="0.35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</row>
    <row r="98" spans="1:16" x14ac:dyDescent="0.35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</row>
    <row r="99" spans="1:16" x14ac:dyDescent="0.35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</row>
    <row r="100" spans="1:16" x14ac:dyDescent="0.35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</row>
    <row r="101" spans="1:16" x14ac:dyDescent="0.35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</row>
    <row r="102" spans="1:16" x14ac:dyDescent="0.35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</row>
    <row r="103" spans="1:16" x14ac:dyDescent="0.35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</row>
    <row r="104" spans="1:16" x14ac:dyDescent="0.35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</row>
    <row r="105" spans="1:16" x14ac:dyDescent="0.3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</row>
    <row r="106" spans="1:16" x14ac:dyDescent="0.35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</row>
    <row r="107" spans="1:16" x14ac:dyDescent="0.35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</row>
    <row r="108" spans="1:16" x14ac:dyDescent="0.35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</row>
    <row r="109" spans="1:16" x14ac:dyDescent="0.35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</row>
    <row r="110" spans="1:16" x14ac:dyDescent="0.35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</row>
    <row r="111" spans="1:16" x14ac:dyDescent="0.35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</row>
    <row r="112" spans="1:16" x14ac:dyDescent="0.35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</row>
    <row r="113" spans="1:16" x14ac:dyDescent="0.35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</row>
    <row r="114" spans="1:16" x14ac:dyDescent="0.35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</row>
    <row r="115" spans="1:16" x14ac:dyDescent="0.3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</row>
    <row r="116" spans="1:16" x14ac:dyDescent="0.35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</row>
    <row r="117" spans="1:16" x14ac:dyDescent="0.35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</row>
    <row r="118" spans="1:16" x14ac:dyDescent="0.35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</row>
    <row r="119" spans="1:16" x14ac:dyDescent="0.35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</row>
    <row r="120" spans="1:16" x14ac:dyDescent="0.35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</row>
    <row r="121" spans="1:16" x14ac:dyDescent="0.35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</row>
    <row r="122" spans="1:16" x14ac:dyDescent="0.35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</row>
    <row r="123" spans="1:16" x14ac:dyDescent="0.35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</row>
    <row r="124" spans="1:16" x14ac:dyDescent="0.35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</row>
    <row r="125" spans="1:16" x14ac:dyDescent="0.3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</row>
    <row r="126" spans="1:16" x14ac:dyDescent="0.35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</row>
    <row r="127" spans="1:16" x14ac:dyDescent="0.35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</row>
    <row r="128" spans="1:16" x14ac:dyDescent="0.35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</row>
    <row r="129" spans="1:16" x14ac:dyDescent="0.35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</row>
    <row r="130" spans="1:16" x14ac:dyDescent="0.35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</row>
    <row r="131" spans="1:16" x14ac:dyDescent="0.35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</row>
    <row r="132" spans="1:16" x14ac:dyDescent="0.35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</row>
    <row r="133" spans="1:16" x14ac:dyDescent="0.35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</row>
    <row r="134" spans="1:16" x14ac:dyDescent="0.35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</row>
    <row r="135" spans="1:16" x14ac:dyDescent="0.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</row>
    <row r="136" spans="1:16" x14ac:dyDescent="0.35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</row>
    <row r="137" spans="1:16" x14ac:dyDescent="0.35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</row>
    <row r="138" spans="1:16" x14ac:dyDescent="0.35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</row>
    <row r="139" spans="1:16" x14ac:dyDescent="0.35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</row>
    <row r="140" spans="1:16" x14ac:dyDescent="0.35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</row>
    <row r="141" spans="1:16" x14ac:dyDescent="0.35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</row>
    <row r="142" spans="1:16" x14ac:dyDescent="0.35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</row>
    <row r="143" spans="1:16" x14ac:dyDescent="0.35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</row>
    <row r="144" spans="1:16" x14ac:dyDescent="0.35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</row>
    <row r="145" spans="1:16" x14ac:dyDescent="0.3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</row>
    <row r="146" spans="1:16" x14ac:dyDescent="0.35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</row>
    <row r="147" spans="1:16" x14ac:dyDescent="0.35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</row>
    <row r="148" spans="1:16" x14ac:dyDescent="0.35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</row>
    <row r="149" spans="1:16" x14ac:dyDescent="0.35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</row>
    <row r="150" spans="1:16" x14ac:dyDescent="0.35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</row>
    <row r="151" spans="1:16" x14ac:dyDescent="0.35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</row>
    <row r="152" spans="1:16" x14ac:dyDescent="0.35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</row>
    <row r="153" spans="1:16" x14ac:dyDescent="0.35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</row>
    <row r="154" spans="1:16" x14ac:dyDescent="0.35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</row>
    <row r="155" spans="1:16" x14ac:dyDescent="0.3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</row>
    <row r="156" spans="1:16" x14ac:dyDescent="0.35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</row>
    <row r="157" spans="1:16" x14ac:dyDescent="0.35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</row>
    <row r="158" spans="1:16" x14ac:dyDescent="0.35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</row>
    <row r="159" spans="1:16" x14ac:dyDescent="0.35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</row>
    <row r="160" spans="1:16" x14ac:dyDescent="0.35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</row>
    <row r="161" spans="1:16" x14ac:dyDescent="0.35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</row>
    <row r="162" spans="1:16" x14ac:dyDescent="0.35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</row>
    <row r="163" spans="1:16" x14ac:dyDescent="0.35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</row>
    <row r="164" spans="1:16" x14ac:dyDescent="0.35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</row>
    <row r="165" spans="1:16" x14ac:dyDescent="0.3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</row>
    <row r="166" spans="1:16" x14ac:dyDescent="0.35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</row>
    <row r="167" spans="1:16" x14ac:dyDescent="0.35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</row>
    <row r="168" spans="1:16" x14ac:dyDescent="0.35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</row>
    <row r="169" spans="1:16" x14ac:dyDescent="0.35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</row>
    <row r="170" spans="1:16" x14ac:dyDescent="0.35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</row>
    <row r="171" spans="1:16" x14ac:dyDescent="0.35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</row>
    <row r="172" spans="1:16" x14ac:dyDescent="0.35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</row>
    <row r="173" spans="1:16" x14ac:dyDescent="0.35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</row>
    <row r="174" spans="1:16" x14ac:dyDescent="0.35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</row>
    <row r="175" spans="1:16" x14ac:dyDescent="0.3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</row>
    <row r="176" spans="1:16" x14ac:dyDescent="0.35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</row>
    <row r="177" spans="1:16" x14ac:dyDescent="0.35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</row>
    <row r="178" spans="1:16" x14ac:dyDescent="0.35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</row>
    <row r="179" spans="1:16" x14ac:dyDescent="0.35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</row>
    <row r="180" spans="1:16" x14ac:dyDescent="0.35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</row>
    <row r="181" spans="1:16" x14ac:dyDescent="0.35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</row>
    <row r="182" spans="1:16" x14ac:dyDescent="0.35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</row>
    <row r="183" spans="1:16" x14ac:dyDescent="0.35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</row>
    <row r="184" spans="1:16" x14ac:dyDescent="0.35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</row>
    <row r="185" spans="1:16" x14ac:dyDescent="0.3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</row>
    <row r="186" spans="1:16" x14ac:dyDescent="0.35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</row>
    <row r="187" spans="1:16" x14ac:dyDescent="0.35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</row>
    <row r="188" spans="1:16" x14ac:dyDescent="0.35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</row>
    <row r="189" spans="1:16" x14ac:dyDescent="0.35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</row>
    <row r="190" spans="1:16" x14ac:dyDescent="0.35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</row>
    <row r="191" spans="1:16" x14ac:dyDescent="0.35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</row>
    <row r="192" spans="1:16" x14ac:dyDescent="0.35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</row>
    <row r="193" spans="1:16" x14ac:dyDescent="0.35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</row>
    <row r="194" spans="1:16" x14ac:dyDescent="0.35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</row>
    <row r="195" spans="1:16" x14ac:dyDescent="0.3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</row>
    <row r="196" spans="1:16" x14ac:dyDescent="0.35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</row>
    <row r="197" spans="1:16" x14ac:dyDescent="0.35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</row>
    <row r="198" spans="1:16" x14ac:dyDescent="0.35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</row>
    <row r="199" spans="1:16" x14ac:dyDescent="0.35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</row>
    <row r="200" spans="1:16" x14ac:dyDescent="0.35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</row>
    <row r="201" spans="1:16" x14ac:dyDescent="0.35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</row>
    <row r="202" spans="1:16" x14ac:dyDescent="0.35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</row>
    <row r="203" spans="1:16" x14ac:dyDescent="0.35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</row>
    <row r="204" spans="1:16" x14ac:dyDescent="0.35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</row>
    <row r="205" spans="1:16" x14ac:dyDescent="0.3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</row>
    <row r="206" spans="1:16" x14ac:dyDescent="0.35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</row>
    <row r="207" spans="1:16" x14ac:dyDescent="0.35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</row>
    <row r="208" spans="1:16" x14ac:dyDescent="0.35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</row>
    <row r="209" spans="1:16" x14ac:dyDescent="0.35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</row>
    <row r="210" spans="1:16" x14ac:dyDescent="0.35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</row>
    <row r="211" spans="1:16" x14ac:dyDescent="0.35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</row>
    <row r="212" spans="1:16" x14ac:dyDescent="0.35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</row>
    <row r="213" spans="1:16" x14ac:dyDescent="0.35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</row>
    <row r="214" spans="1:16" x14ac:dyDescent="0.35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</row>
    <row r="215" spans="1:16" x14ac:dyDescent="0.3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</row>
    <row r="216" spans="1:16" x14ac:dyDescent="0.35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</row>
    <row r="217" spans="1:16" x14ac:dyDescent="0.35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</row>
    <row r="218" spans="1:16" x14ac:dyDescent="0.35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</row>
    <row r="219" spans="1:16" x14ac:dyDescent="0.35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</row>
    <row r="220" spans="1:16" x14ac:dyDescent="0.35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</row>
    <row r="221" spans="1:16" x14ac:dyDescent="0.35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</row>
    <row r="222" spans="1:16" x14ac:dyDescent="0.35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</row>
    <row r="223" spans="1:16" x14ac:dyDescent="0.35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</row>
    <row r="224" spans="1:16" x14ac:dyDescent="0.35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</row>
    <row r="225" spans="1:16" x14ac:dyDescent="0.3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</row>
    <row r="226" spans="1:16" x14ac:dyDescent="0.35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</row>
    <row r="227" spans="1:16" x14ac:dyDescent="0.35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</row>
    <row r="228" spans="1:16" x14ac:dyDescent="0.35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</row>
    <row r="229" spans="1:16" x14ac:dyDescent="0.35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</row>
    <row r="230" spans="1:16" x14ac:dyDescent="0.35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</row>
    <row r="231" spans="1:16" x14ac:dyDescent="0.35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</row>
    <row r="232" spans="1:16" x14ac:dyDescent="0.35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</row>
    <row r="233" spans="1:16" x14ac:dyDescent="0.35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</row>
    <row r="234" spans="1:16" x14ac:dyDescent="0.35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</row>
    <row r="235" spans="1:16" x14ac:dyDescent="0.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</row>
    <row r="236" spans="1:16" x14ac:dyDescent="0.35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</row>
    <row r="237" spans="1:16" x14ac:dyDescent="0.35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</row>
    <row r="238" spans="1:16" x14ac:dyDescent="0.35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</row>
    <row r="239" spans="1:16" x14ac:dyDescent="0.35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</row>
    <row r="240" spans="1:16" x14ac:dyDescent="0.35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</row>
    <row r="241" spans="1:16" x14ac:dyDescent="0.35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</row>
    <row r="242" spans="1:16" x14ac:dyDescent="0.35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</row>
    <row r="243" spans="1:16" x14ac:dyDescent="0.35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</row>
    <row r="244" spans="1:16" x14ac:dyDescent="0.35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</row>
    <row r="245" spans="1:16" x14ac:dyDescent="0.3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</row>
    <row r="246" spans="1:16" x14ac:dyDescent="0.35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</row>
    <row r="247" spans="1:16" x14ac:dyDescent="0.35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</row>
    <row r="248" spans="1:16" x14ac:dyDescent="0.35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</row>
    <row r="249" spans="1:16" x14ac:dyDescent="0.35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</row>
    <row r="250" spans="1:16" x14ac:dyDescent="0.35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</row>
    <row r="251" spans="1:16" x14ac:dyDescent="0.35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</row>
    <row r="252" spans="1:16" x14ac:dyDescent="0.35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</row>
    <row r="253" spans="1:16" x14ac:dyDescent="0.35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</row>
    <row r="254" spans="1:16" x14ac:dyDescent="0.35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</row>
    <row r="255" spans="1:16" x14ac:dyDescent="0.3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</row>
    <row r="256" spans="1:16" x14ac:dyDescent="0.35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</row>
    <row r="257" spans="1:16" x14ac:dyDescent="0.35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</row>
    <row r="258" spans="1:16" x14ac:dyDescent="0.35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</row>
    <row r="259" spans="1:16" x14ac:dyDescent="0.35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</row>
    <row r="260" spans="1:16" x14ac:dyDescent="0.35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</row>
    <row r="261" spans="1:16" x14ac:dyDescent="0.35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</row>
    <row r="262" spans="1:16" x14ac:dyDescent="0.35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</row>
    <row r="263" spans="1:16" x14ac:dyDescent="0.35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</row>
    <row r="264" spans="1:16" x14ac:dyDescent="0.35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</row>
    <row r="265" spans="1:16" x14ac:dyDescent="0.3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</row>
    <row r="266" spans="1:16" x14ac:dyDescent="0.35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</row>
    <row r="267" spans="1:16" x14ac:dyDescent="0.35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</row>
    <row r="268" spans="1:16" x14ac:dyDescent="0.35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</row>
    <row r="269" spans="1:16" x14ac:dyDescent="0.35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</row>
    <row r="270" spans="1:16" x14ac:dyDescent="0.35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</row>
    <row r="271" spans="1:16" x14ac:dyDescent="0.35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</row>
    <row r="272" spans="1:16" x14ac:dyDescent="0.35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</row>
    <row r="273" spans="1:16" x14ac:dyDescent="0.35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</row>
    <row r="274" spans="1:16" x14ac:dyDescent="0.35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</row>
    <row r="275" spans="1:16" x14ac:dyDescent="0.3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</row>
    <row r="276" spans="1:16" x14ac:dyDescent="0.35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</row>
    <row r="277" spans="1:16" x14ac:dyDescent="0.35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</row>
    <row r="278" spans="1:16" x14ac:dyDescent="0.35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</row>
    <row r="279" spans="1:16" x14ac:dyDescent="0.35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</row>
    <row r="280" spans="1:16" x14ac:dyDescent="0.35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</row>
    <row r="281" spans="1:16" x14ac:dyDescent="0.35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</row>
    <row r="282" spans="1:16" x14ac:dyDescent="0.35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</row>
    <row r="283" spans="1:16" x14ac:dyDescent="0.35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</row>
    <row r="284" spans="1:16" x14ac:dyDescent="0.35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</row>
    <row r="285" spans="1:16" x14ac:dyDescent="0.3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</row>
    <row r="286" spans="1:16" x14ac:dyDescent="0.35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</row>
    <row r="287" spans="1:16" x14ac:dyDescent="0.35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</row>
    <row r="288" spans="1:16" x14ac:dyDescent="0.35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</row>
    <row r="289" spans="1:16" x14ac:dyDescent="0.35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</row>
    <row r="290" spans="1:16" x14ac:dyDescent="0.35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</row>
    <row r="291" spans="1:16" x14ac:dyDescent="0.35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</row>
    <row r="292" spans="1:16" x14ac:dyDescent="0.35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</row>
    <row r="293" spans="1:16" x14ac:dyDescent="0.35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</row>
    <row r="294" spans="1:16" x14ac:dyDescent="0.35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</row>
    <row r="295" spans="1:16" x14ac:dyDescent="0.3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</row>
    <row r="296" spans="1:16" x14ac:dyDescent="0.35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</row>
    <row r="297" spans="1:16" x14ac:dyDescent="0.35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</row>
    <row r="298" spans="1:16" x14ac:dyDescent="0.35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</row>
    <row r="299" spans="1:16" x14ac:dyDescent="0.35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</row>
    <row r="300" spans="1:16" x14ac:dyDescent="0.35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</row>
    <row r="301" spans="1:16" x14ac:dyDescent="0.35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</row>
    <row r="302" spans="1:16" x14ac:dyDescent="0.35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</row>
    <row r="303" spans="1:16" x14ac:dyDescent="0.35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</row>
    <row r="304" spans="1:16" x14ac:dyDescent="0.35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</row>
    <row r="305" spans="1:16" x14ac:dyDescent="0.3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</row>
    <row r="306" spans="1:16" x14ac:dyDescent="0.35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</row>
    <row r="307" spans="1:16" x14ac:dyDescent="0.35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</row>
    <row r="308" spans="1:16" x14ac:dyDescent="0.35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</row>
    <row r="309" spans="1:16" x14ac:dyDescent="0.35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</row>
    <row r="310" spans="1:16" x14ac:dyDescent="0.35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</row>
    <row r="311" spans="1:16" x14ac:dyDescent="0.35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</row>
    <row r="312" spans="1:16" x14ac:dyDescent="0.35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</row>
    <row r="313" spans="1:16" x14ac:dyDescent="0.35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</row>
    <row r="314" spans="1:16" x14ac:dyDescent="0.35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</row>
    <row r="315" spans="1:16" x14ac:dyDescent="0.3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</row>
    <row r="316" spans="1:16" x14ac:dyDescent="0.35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</row>
    <row r="317" spans="1:16" x14ac:dyDescent="0.35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</row>
    <row r="318" spans="1:16" x14ac:dyDescent="0.35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</row>
    <row r="319" spans="1:16" x14ac:dyDescent="0.35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</row>
    <row r="320" spans="1:16" x14ac:dyDescent="0.35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</row>
    <row r="321" spans="1:16" x14ac:dyDescent="0.35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</row>
    <row r="322" spans="1:16" x14ac:dyDescent="0.35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</row>
    <row r="323" spans="1:16" x14ac:dyDescent="0.35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</row>
    <row r="324" spans="1:16" x14ac:dyDescent="0.35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</row>
    <row r="325" spans="1:16" x14ac:dyDescent="0.3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</row>
    <row r="326" spans="1:16" x14ac:dyDescent="0.35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</row>
    <row r="327" spans="1:16" x14ac:dyDescent="0.35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</row>
    <row r="328" spans="1:16" x14ac:dyDescent="0.35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</row>
    <row r="329" spans="1:16" x14ac:dyDescent="0.35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</row>
    <row r="330" spans="1:16" x14ac:dyDescent="0.35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</row>
    <row r="331" spans="1:16" x14ac:dyDescent="0.35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</row>
    <row r="332" spans="1:16" x14ac:dyDescent="0.35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</row>
    <row r="333" spans="1:16" x14ac:dyDescent="0.35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</row>
    <row r="334" spans="1:16" x14ac:dyDescent="0.35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</row>
    <row r="335" spans="1:16" x14ac:dyDescent="0.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</row>
    <row r="336" spans="1:16" x14ac:dyDescent="0.35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</row>
    <row r="337" spans="1:16" x14ac:dyDescent="0.35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</row>
    <row r="338" spans="1:16" x14ac:dyDescent="0.35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</row>
    <row r="339" spans="1:16" x14ac:dyDescent="0.35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</row>
    <row r="340" spans="1:16" x14ac:dyDescent="0.35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</row>
    <row r="341" spans="1:16" x14ac:dyDescent="0.35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</row>
    <row r="342" spans="1:16" x14ac:dyDescent="0.35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</row>
    <row r="343" spans="1:16" x14ac:dyDescent="0.35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</row>
    <row r="344" spans="1:16" x14ac:dyDescent="0.35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</row>
    <row r="345" spans="1:16" x14ac:dyDescent="0.3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</row>
    <row r="346" spans="1:16" x14ac:dyDescent="0.35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</row>
    <row r="347" spans="1:16" x14ac:dyDescent="0.35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</row>
    <row r="348" spans="1:16" x14ac:dyDescent="0.35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</row>
    <row r="349" spans="1:16" x14ac:dyDescent="0.35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</row>
    <row r="350" spans="1:16" x14ac:dyDescent="0.35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</row>
    <row r="351" spans="1:16" x14ac:dyDescent="0.35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</row>
    <row r="352" spans="1:16" x14ac:dyDescent="0.35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</row>
    <row r="353" spans="1:16" x14ac:dyDescent="0.35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</row>
    <row r="354" spans="1:16" x14ac:dyDescent="0.3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</row>
    <row r="355" spans="1:16" x14ac:dyDescent="0.3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</row>
    <row r="356" spans="1:16" x14ac:dyDescent="0.35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</row>
    <row r="357" spans="1:16" x14ac:dyDescent="0.35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</row>
    <row r="358" spans="1:16" x14ac:dyDescent="0.35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</row>
    <row r="359" spans="1:16" x14ac:dyDescent="0.35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</row>
    <row r="360" spans="1:16" x14ac:dyDescent="0.35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</row>
    <row r="361" spans="1:16" x14ac:dyDescent="0.35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</row>
    <row r="362" spans="1:16" x14ac:dyDescent="0.35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</row>
    <row r="363" spans="1:16" x14ac:dyDescent="0.35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</row>
    <row r="364" spans="1:16" x14ac:dyDescent="0.35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</row>
    <row r="365" spans="1:16" x14ac:dyDescent="0.3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</row>
    <row r="366" spans="1:16" x14ac:dyDescent="0.35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</row>
    <row r="367" spans="1:16" x14ac:dyDescent="0.35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</row>
    <row r="368" spans="1:16" x14ac:dyDescent="0.35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</row>
    <row r="369" spans="1:16" x14ac:dyDescent="0.35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</row>
    <row r="370" spans="1:16" x14ac:dyDescent="0.35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</row>
    <row r="371" spans="1:16" x14ac:dyDescent="0.35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</row>
    <row r="372" spans="1:16" x14ac:dyDescent="0.35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</row>
    <row r="373" spans="1:16" x14ac:dyDescent="0.35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</row>
    <row r="374" spans="1:16" x14ac:dyDescent="0.35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</row>
    <row r="375" spans="1:16" x14ac:dyDescent="0.3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</row>
    <row r="376" spans="1:16" x14ac:dyDescent="0.35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</row>
    <row r="377" spans="1:16" x14ac:dyDescent="0.35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</row>
    <row r="378" spans="1:16" x14ac:dyDescent="0.35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</row>
    <row r="379" spans="1:16" x14ac:dyDescent="0.35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</row>
    <row r="380" spans="1:16" x14ac:dyDescent="0.35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</row>
    <row r="381" spans="1:16" x14ac:dyDescent="0.35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</row>
    <row r="382" spans="1:16" x14ac:dyDescent="0.35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</row>
    <row r="383" spans="1:16" x14ac:dyDescent="0.35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</row>
    <row r="384" spans="1:16" x14ac:dyDescent="0.35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</row>
    <row r="385" spans="1:16" x14ac:dyDescent="0.3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</row>
    <row r="386" spans="1:16" x14ac:dyDescent="0.35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</row>
    <row r="387" spans="1:16" x14ac:dyDescent="0.35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</row>
    <row r="388" spans="1:16" x14ac:dyDescent="0.35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</row>
    <row r="389" spans="1:16" x14ac:dyDescent="0.35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</row>
    <row r="390" spans="1:16" x14ac:dyDescent="0.35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</row>
    <row r="391" spans="1:16" x14ac:dyDescent="0.35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</row>
    <row r="392" spans="1:16" x14ac:dyDescent="0.35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</row>
    <row r="393" spans="1:16" x14ac:dyDescent="0.35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</row>
    <row r="394" spans="1:16" x14ac:dyDescent="0.35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</row>
    <row r="395" spans="1:16" x14ac:dyDescent="0.3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</row>
    <row r="396" spans="1:16" x14ac:dyDescent="0.35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</row>
    <row r="397" spans="1:16" x14ac:dyDescent="0.35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</row>
    <row r="398" spans="1:16" x14ac:dyDescent="0.35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</row>
    <row r="399" spans="1:16" x14ac:dyDescent="0.35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</row>
    <row r="400" spans="1:16" x14ac:dyDescent="0.35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</row>
    <row r="401" spans="1:16" x14ac:dyDescent="0.35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</row>
    <row r="402" spans="1:16" x14ac:dyDescent="0.35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</row>
    <row r="403" spans="1:16" x14ac:dyDescent="0.35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</row>
    <row r="404" spans="1:16" x14ac:dyDescent="0.35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</row>
    <row r="405" spans="1:16" x14ac:dyDescent="0.3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</row>
    <row r="406" spans="1:16" x14ac:dyDescent="0.35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</row>
    <row r="407" spans="1:16" x14ac:dyDescent="0.35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</row>
    <row r="408" spans="1:16" x14ac:dyDescent="0.35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</row>
    <row r="409" spans="1:16" x14ac:dyDescent="0.35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</row>
    <row r="410" spans="1:16" x14ac:dyDescent="0.35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</row>
    <row r="411" spans="1:16" x14ac:dyDescent="0.35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</row>
    <row r="412" spans="1:16" x14ac:dyDescent="0.35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</row>
    <row r="413" spans="1:16" x14ac:dyDescent="0.35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</row>
    <row r="414" spans="1:16" x14ac:dyDescent="0.35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</row>
    <row r="415" spans="1:16" x14ac:dyDescent="0.3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</row>
    <row r="416" spans="1:16" x14ac:dyDescent="0.35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</row>
    <row r="417" spans="1:16" x14ac:dyDescent="0.35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</row>
    <row r="418" spans="1:16" x14ac:dyDescent="0.35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</row>
    <row r="419" spans="1:16" x14ac:dyDescent="0.35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</row>
    <row r="420" spans="1:16" x14ac:dyDescent="0.35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</row>
    <row r="421" spans="1:16" x14ac:dyDescent="0.35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</row>
    <row r="422" spans="1:16" x14ac:dyDescent="0.35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</row>
    <row r="423" spans="1:16" x14ac:dyDescent="0.35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</row>
    <row r="424" spans="1:16" x14ac:dyDescent="0.35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</row>
    <row r="425" spans="1:16" x14ac:dyDescent="0.3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</row>
    <row r="426" spans="1:16" x14ac:dyDescent="0.35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</row>
    <row r="427" spans="1:16" x14ac:dyDescent="0.35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</row>
    <row r="428" spans="1:16" x14ac:dyDescent="0.35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</row>
    <row r="429" spans="1:16" x14ac:dyDescent="0.35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</row>
    <row r="430" spans="1:16" x14ac:dyDescent="0.35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</row>
    <row r="431" spans="1:16" x14ac:dyDescent="0.35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</row>
    <row r="432" spans="1:16" x14ac:dyDescent="0.35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</row>
    <row r="433" spans="1:16" x14ac:dyDescent="0.35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</row>
    <row r="434" spans="1:16" x14ac:dyDescent="0.35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</row>
    <row r="435" spans="1:16" x14ac:dyDescent="0.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</row>
    <row r="436" spans="1:16" x14ac:dyDescent="0.35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</row>
    <row r="437" spans="1:16" x14ac:dyDescent="0.35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</row>
    <row r="438" spans="1:16" x14ac:dyDescent="0.35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</row>
    <row r="439" spans="1:16" x14ac:dyDescent="0.35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</row>
    <row r="440" spans="1:16" x14ac:dyDescent="0.35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</row>
    <row r="441" spans="1:16" x14ac:dyDescent="0.35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</row>
    <row r="442" spans="1:16" x14ac:dyDescent="0.35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</row>
    <row r="443" spans="1:16" x14ac:dyDescent="0.35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</row>
    <row r="444" spans="1:16" x14ac:dyDescent="0.35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</row>
    <row r="445" spans="1:16" x14ac:dyDescent="0.3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</row>
    <row r="446" spans="1:16" x14ac:dyDescent="0.35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</row>
    <row r="447" spans="1:16" x14ac:dyDescent="0.35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</row>
    <row r="448" spans="1:16" x14ac:dyDescent="0.35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</row>
    <row r="449" spans="1:16" x14ac:dyDescent="0.35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</row>
    <row r="450" spans="1:16" x14ac:dyDescent="0.35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</row>
    <row r="451" spans="1:16" x14ac:dyDescent="0.35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</row>
    <row r="452" spans="1:16" x14ac:dyDescent="0.35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</row>
    <row r="453" spans="1:16" x14ac:dyDescent="0.35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</row>
    <row r="454" spans="1:16" x14ac:dyDescent="0.35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</row>
    <row r="455" spans="1:16" x14ac:dyDescent="0.3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</row>
    <row r="456" spans="1:16" x14ac:dyDescent="0.35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</row>
    <row r="457" spans="1:16" x14ac:dyDescent="0.35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</row>
    <row r="458" spans="1:16" x14ac:dyDescent="0.35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</row>
    <row r="459" spans="1:16" x14ac:dyDescent="0.35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</row>
    <row r="460" spans="1:16" x14ac:dyDescent="0.35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</row>
    <row r="461" spans="1:16" x14ac:dyDescent="0.35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</row>
    <row r="462" spans="1:16" x14ac:dyDescent="0.35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</row>
    <row r="463" spans="1:16" x14ac:dyDescent="0.35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</row>
    <row r="464" spans="1:16" x14ac:dyDescent="0.35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</row>
    <row r="465" spans="1:16" x14ac:dyDescent="0.3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</row>
    <row r="466" spans="1:16" x14ac:dyDescent="0.35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</row>
    <row r="467" spans="1:16" x14ac:dyDescent="0.35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</row>
    <row r="468" spans="1:16" x14ac:dyDescent="0.35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</row>
    <row r="469" spans="1:16" x14ac:dyDescent="0.35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</row>
    <row r="470" spans="1:16" x14ac:dyDescent="0.35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</row>
    <row r="471" spans="1:16" x14ac:dyDescent="0.35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</row>
    <row r="472" spans="1:16" x14ac:dyDescent="0.35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</row>
    <row r="473" spans="1:16" x14ac:dyDescent="0.35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</row>
    <row r="474" spans="1:16" x14ac:dyDescent="0.35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</row>
    <row r="475" spans="1:16" x14ac:dyDescent="0.3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</row>
    <row r="476" spans="1:16" x14ac:dyDescent="0.35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</row>
    <row r="477" spans="1:16" x14ac:dyDescent="0.35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</row>
    <row r="478" spans="1:16" x14ac:dyDescent="0.35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</row>
    <row r="479" spans="1:16" x14ac:dyDescent="0.35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</row>
    <row r="480" spans="1:16" x14ac:dyDescent="0.35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</row>
    <row r="481" spans="1:16" x14ac:dyDescent="0.35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</row>
    <row r="482" spans="1:16" x14ac:dyDescent="0.35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</row>
    <row r="483" spans="1:16" x14ac:dyDescent="0.35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</row>
    <row r="484" spans="1:16" x14ac:dyDescent="0.35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</row>
    <row r="485" spans="1:16" x14ac:dyDescent="0.3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</row>
    <row r="486" spans="1:16" x14ac:dyDescent="0.35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</row>
    <row r="487" spans="1:16" x14ac:dyDescent="0.35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</row>
    <row r="488" spans="1:16" x14ac:dyDescent="0.35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</row>
    <row r="489" spans="1:16" x14ac:dyDescent="0.35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</row>
    <row r="490" spans="1:16" x14ac:dyDescent="0.35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</row>
    <row r="491" spans="1:16" x14ac:dyDescent="0.35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</row>
    <row r="492" spans="1:16" x14ac:dyDescent="0.35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</row>
    <row r="493" spans="1:16" x14ac:dyDescent="0.35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</row>
    <row r="494" spans="1:16" x14ac:dyDescent="0.35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</row>
    <row r="495" spans="1:16" x14ac:dyDescent="0.3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</row>
    <row r="496" spans="1:16" x14ac:dyDescent="0.35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</row>
    <row r="497" spans="1:16" x14ac:dyDescent="0.35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</row>
    <row r="498" spans="1:16" x14ac:dyDescent="0.35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</row>
    <row r="499" spans="1:16" x14ac:dyDescent="0.35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</row>
    <row r="500" spans="1:16" x14ac:dyDescent="0.35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</row>
  </sheetData>
  <autoFilter ref="A1:P80" xr:uid="{00000000-0009-0000-0000-00000C000000}"/>
  <conditionalFormatting sqref="A2:A500">
    <cfRule type="expression" dxfId="0" priority="1">
      <formula>AND($A2&lt;&gt;"",COUNTIF($A$2:$A$500,$A2)&gt;1)</formula>
    </cfRule>
  </conditionalFormatting>
  <pageMargins left="0.7" right="0.7" top="0.75" bottom="0.75" header="0.3" footer="0.3"/>
  <headerFooter>
    <oddHeader>&amp;C&amp;8 DOCUMENTO CONFIDENCIAL Y RESTRINGIDO  -  Uso interno Nuva Oxi</oddHeader>
    <oddFooter>&amp;LNuva Oxi&amp;RPágina &amp;P de &amp;N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20</vt:i4>
      </vt:variant>
    </vt:vector>
  </HeadingPairs>
  <TitlesOfParts>
    <vt:vector size="33" baseType="lpstr">
      <vt:lpstr>Inicio</vt:lpstr>
      <vt:lpstr>Guia</vt:lpstr>
      <vt:lpstr>Dashboard</vt:lpstr>
      <vt:lpstr>Resumen</vt:lpstr>
      <vt:lpstr>Plan_Inventario</vt:lpstr>
      <vt:lpstr>Bodegas</vt:lpstr>
      <vt:lpstr>Cobertura</vt:lpstr>
      <vt:lpstr>Clientes_PDV</vt:lpstr>
      <vt:lpstr>Ventas_SellIn</vt:lpstr>
      <vt:lpstr>Condiciones Clientes</vt:lpstr>
      <vt:lpstr>SellOut_Jumbo</vt:lpstr>
      <vt:lpstr>Stock_PDV</vt:lpstr>
      <vt:lpstr>Maestro_SKU</vt:lpstr>
      <vt:lpstr>cfg_AnioResumen</vt:lpstr>
      <vt:lpstr>cfg_DiasCobertura</vt:lpstr>
      <vt:lpstr>cfg_DiasVencer</vt:lpstr>
      <vt:lpstr>cfg_IVA</vt:lpstr>
      <vt:lpstr>cfg_MontoPendiente</vt:lpstr>
      <vt:lpstr>cfg_PctSeguridad</vt:lpstr>
      <vt:lpstr>cfg_StockCritico</vt:lpstr>
      <vt:lpstr>cfg_StockObservar</vt:lpstr>
      <vt:lpstr>cfg_VentaAlta</vt:lpstr>
      <vt:lpstr>cfg_VentaBaja</vt:lpstr>
      <vt:lpstr>cfg_VentanaDemanda</vt:lpstr>
      <vt:lpstr>cfg_VentaRecienteDias</vt:lpstr>
      <vt:lpstr>lst_Bodega</vt:lpstr>
      <vt:lpstr>lst_Canal</vt:lpstr>
      <vt:lpstr>lst_CondPago</vt:lpstr>
      <vt:lpstr>lst_EstadoCliente</vt:lpstr>
      <vt:lpstr>lst_Frecuencia</vt:lpstr>
      <vt:lpstr>lst_StatusPago</vt:lpstr>
      <vt:lpstr>rng_PDV</vt:lpstr>
      <vt:lpstr>rng_SKU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Nuva Oxi</dc:creator>
  <cp:keywords>Confidencial, Restringido, Uso interno</cp:keywords>
  <cp:lastModifiedBy>Contacto Nuvaoxi</cp:lastModifiedBy>
  <dcterms:created xsi:type="dcterms:W3CDTF">2026-07-09T18:47:50Z</dcterms:created>
  <dcterms:modified xsi:type="dcterms:W3CDTF">2026-07-10T04:10:36Z</dcterms:modified>
  <cp:category>Confidencial</cp:category>
</cp:coreProperties>
</file>