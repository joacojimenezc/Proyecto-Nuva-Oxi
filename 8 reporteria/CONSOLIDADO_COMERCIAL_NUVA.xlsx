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\OneDrive\Escritorio\Proyecto-Nuva-Oxi\8 reporteria\"/>
    </mc:Choice>
  </mc:AlternateContent>
  <xr:revisionPtr revIDLastSave="0" documentId="8_{753A21B9-D491-4551-BB03-0BB256007889}" xr6:coauthVersionLast="47" xr6:coauthVersionMax="47" xr10:uidLastSave="{00000000-0000-0000-0000-000000000000}"/>
  <bookViews>
    <workbookView xWindow="3300" yWindow="3300" windowWidth="8120" windowHeight="6000" xr2:uid="{71B215C2-8356-48F0-B46D-66032A1AA670}"/>
  </bookViews>
  <sheets>
    <sheet name="PORTADA" sheetId="1" r:id="rId1"/>
    <sheet name="sell_out" sheetId="3" r:id="rId2"/>
    <sheet name="sell_in" sheetId="2" r:id="rId3"/>
    <sheet name="ANALISIS" sheetId="4" r:id="rId4"/>
  </sheets>
  <definedNames>
    <definedName name="DatosExternos_1" localSheetId="2">sell_in!$A$1:$H$7</definedName>
    <definedName name="DatosExternos_1" localSheetId="1">sell_out!$A$1:$D$7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4" l="1"/>
  <c r="B17" i="4"/>
  <c r="B16" i="4"/>
  <c r="E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D63B07-DBA2-473A-83AA-D28DC991561F}" keepAlive="1" name="Conexión" type="5" refreshedVersion="8" saveData="1">
    <dbPr connection="Provider=Microsoft.Mashup.OleDb.1;Data Source=$Workbook$;Location=qSellIn;Extended Properties=&quot;&quot;" command="SELECT * FROM [qSellIn]"/>
  </connection>
  <connection id="2" xr16:uid="{E6490A5A-4CB4-4204-95A3-1060773EE9DC}" keepAlive="1" name="Conexión1" type="5" refreshedVersion="8" saveData="1">
    <dbPr connection="Provider=Microsoft.Mashup.OleDb.1;Data Source=$Workbook$;Location=qSellOut;Extended Properties=&quot;&quot;" command="SELECT * FROM [qSellOut]"/>
  </connection>
</connections>
</file>

<file path=xl/sharedStrings.xml><?xml version="1.0" encoding="utf-8"?>
<sst xmlns="http://schemas.openxmlformats.org/spreadsheetml/2006/main" count="78" uniqueCount="49">
  <si>
    <t>CONSOLIDADO COMERCIAL - NUVA OXI</t>
  </si>
  <si>
    <t>Solo lectura. Se alimenta por Power Query desde CRM_NUVA_OXI.xlsx y BD_SELL_OUT_NUVA.xlsx. Actualizar: Datos &gt; Actualizar todo.</t>
  </si>
  <si>
    <t>ID_Cliente</t>
  </si>
  <si>
    <t>ID_PDV</t>
  </si>
  <si>
    <t>SKU</t>
  </si>
  <si>
    <t>Uds</t>
  </si>
  <si>
    <t>Venta_Neta</t>
  </si>
  <si>
    <t>Margen</t>
  </si>
  <si>
    <t>Estado_Factura</t>
  </si>
  <si>
    <t>Fecha_Venc</t>
  </si>
  <si>
    <t>CL-DEL</t>
  </si>
  <si>
    <t>D001</t>
  </si>
  <si>
    <t>SKU-CAC-U</t>
  </si>
  <si>
    <t>Pagada</t>
  </si>
  <si>
    <t>D002</t>
  </si>
  <si>
    <t>SKU-MAN-U</t>
  </si>
  <si>
    <t>CL-ALN</t>
  </si>
  <si>
    <t>AN01</t>
  </si>
  <si>
    <t>SKU-FRU-U</t>
  </si>
  <si>
    <t>Emitida</t>
  </si>
  <si>
    <t>CL-PIR</t>
  </si>
  <si>
    <t>P001</t>
  </si>
  <si>
    <t>SKU-CAC-4</t>
  </si>
  <si>
    <t>CL-RITZ</t>
  </si>
  <si>
    <t>H001</t>
  </si>
  <si>
    <t>SKU-MAN-4</t>
  </si>
  <si>
    <t>CL-CEN</t>
  </si>
  <si>
    <t>J001</t>
  </si>
  <si>
    <t>SKU-FRU-4</t>
  </si>
  <si>
    <t>Uds_Vendidas</t>
  </si>
  <si>
    <t>Fuente</t>
  </si>
  <si>
    <t>Reporte Cliente</t>
  </si>
  <si>
    <t>Conteo Visita</t>
  </si>
  <si>
    <t>Portal Cencosud</t>
  </si>
  <si>
    <t>SELL-IN vs SELL-OUT vs ROTACION (por PDV)</t>
  </si>
  <si>
    <t>Sell_In_Uds</t>
  </si>
  <si>
    <t>Sell_Out_Uds</t>
  </si>
  <si>
    <t>Rotacion_%</t>
  </si>
  <si>
    <t>Venta_Neta_$</t>
  </si>
  <si>
    <t>Proxy_Stock_Tienda</t>
  </si>
  <si>
    <t>CO01</t>
  </si>
  <si>
    <t>F001</t>
  </si>
  <si>
    <t>TOTAL</t>
  </si>
  <si>
    <t>CxC AGING (facturas Emitidas)</t>
  </si>
  <si>
    <t>Tramo</t>
  </si>
  <si>
    <t>Monto $</t>
  </si>
  <si>
    <t>Por vencer (&lt;=30d)</t>
  </si>
  <si>
    <t>Vencida 1-30d</t>
  </si>
  <si>
    <t>Vencida +30d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</si>
</sst>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C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9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Sell-In vs Sell-Out por PDV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ANALISIS!$B$3</c:f>
              <c:strCache>
                <c:ptCount val="1"/>
                <c:pt idx="0">
                  <c:v>Sell_In_Uds</c:v>
                </c:pt>
              </c:strCache>
            </c:strRef>
          </c:tx>
          <c:invertIfNegative val="0"/>
          <c:cat>
            <c:strRef>
              <c:f>ANALISIS!$A$4:$A$11</c:f>
              <c:strCache>
                <c:ptCount val="8"/>
                <c:pt idx="0">
                  <c:v>D001</c:v>
                </c:pt>
                <c:pt idx="1">
                  <c:v>D002</c:v>
                </c:pt>
                <c:pt idx="2">
                  <c:v>AN01</c:v>
                </c:pt>
                <c:pt idx="3">
                  <c:v>CO01</c:v>
                </c:pt>
                <c:pt idx="4">
                  <c:v>P001</c:v>
                </c:pt>
                <c:pt idx="5">
                  <c:v>H001</c:v>
                </c:pt>
                <c:pt idx="6">
                  <c:v>J001</c:v>
                </c:pt>
                <c:pt idx="7">
                  <c:v>F001</c:v>
                </c:pt>
              </c:strCache>
            </c:strRef>
          </c:cat>
          <c:val>
            <c:numRef>
              <c:f>ANALISIS!$B$4:$B$11</c:f>
              <c:numCache>
                <c:formatCode>General</c:formatCode>
                <c:ptCount val="8"/>
                <c:pt idx="0">
                  <c:v>12</c:v>
                </c:pt>
                <c:pt idx="1">
                  <c:v>8</c:v>
                </c:pt>
                <c:pt idx="2">
                  <c:v>9</c:v>
                </c:pt>
                <c:pt idx="3">
                  <c:v>0</c:v>
                </c:pt>
                <c:pt idx="4">
                  <c:v>5</c:v>
                </c:pt>
                <c:pt idx="5">
                  <c:v>8</c:v>
                </c:pt>
                <c:pt idx="6">
                  <c:v>50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0-47EA-88FF-7E684AC8C54F}"/>
            </c:ext>
          </c:extLst>
        </c:ser>
        <c:ser>
          <c:idx val="1"/>
          <c:order val="1"/>
          <c:tx>
            <c:strRef>
              <c:f>ANALISIS!$C$3</c:f>
              <c:strCache>
                <c:ptCount val="1"/>
                <c:pt idx="0">
                  <c:v>Sell_Out_Uds</c:v>
                </c:pt>
              </c:strCache>
            </c:strRef>
          </c:tx>
          <c:invertIfNegative val="0"/>
          <c:cat>
            <c:strRef>
              <c:f>ANALISIS!$A$4:$A$11</c:f>
              <c:strCache>
                <c:ptCount val="8"/>
                <c:pt idx="0">
                  <c:v>D001</c:v>
                </c:pt>
                <c:pt idx="1">
                  <c:v>D002</c:v>
                </c:pt>
                <c:pt idx="2">
                  <c:v>AN01</c:v>
                </c:pt>
                <c:pt idx="3">
                  <c:v>CO01</c:v>
                </c:pt>
                <c:pt idx="4">
                  <c:v>P001</c:v>
                </c:pt>
                <c:pt idx="5">
                  <c:v>H001</c:v>
                </c:pt>
                <c:pt idx="6">
                  <c:v>J001</c:v>
                </c:pt>
                <c:pt idx="7">
                  <c:v>F001</c:v>
                </c:pt>
              </c:strCache>
            </c:strRef>
          </c:cat>
          <c:val>
            <c:numRef>
              <c:f>ANALISIS!$C$4:$C$11</c:f>
              <c:numCache>
                <c:formatCode>General</c:formatCode>
                <c:ptCount val="8"/>
                <c:pt idx="0">
                  <c:v>10</c:v>
                </c:pt>
                <c:pt idx="1">
                  <c:v>6</c:v>
                </c:pt>
                <c:pt idx="2">
                  <c:v>7</c:v>
                </c:pt>
                <c:pt idx="3">
                  <c:v>0</c:v>
                </c:pt>
                <c:pt idx="4">
                  <c:v>4</c:v>
                </c:pt>
                <c:pt idx="5">
                  <c:v>8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0-47EA-88FF-7E684AC8C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221408"/>
        <c:axId val="498249264"/>
      </c:barChart>
      <c:catAx>
        <c:axId val="30922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8249264"/>
        <c:crosses val="autoZero"/>
        <c:auto val="1"/>
        <c:lblAlgn val="ctr"/>
        <c:lblOffset val="100"/>
        <c:noMultiLvlLbl val="0"/>
      </c:catAx>
      <c:valAx>
        <c:axId val="498249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9221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2</xdr:row>
      <xdr:rowOff>107950</xdr:rowOff>
    </xdr:from>
    <xdr:to>
      <xdr:col>9</xdr:col>
      <xdr:colOff>107950</xdr:colOff>
      <xdr:row>19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763CB4-5474-8957-F7F4-939542004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F6AA45A8-36AB-4EB6-B5F4-E63B0EC8F896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ID_PDV"/>
      <queryTableField id="2" name="SKU"/>
      <queryTableField id="3" name="Uds_Vendidas"/>
      <queryTableField id="4" name="Fuente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" xr16:uid="{C8AA47C5-9227-46AA-B217-1E000600539A}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ID_Cliente"/>
      <queryTableField id="2" name="ID_PDV"/>
      <queryTableField id="3" name="SKU"/>
      <queryTableField id="4" name="Uds"/>
      <queryTableField id="5" name="Venta_Neta"/>
      <queryTableField id="6" name="Margen"/>
      <queryTableField id="7" name="Estado_Factura"/>
      <queryTableField id="8" name="Fecha_Venc"/>
    </queryTableFields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D96B-D237-4AD5-BB6D-222A1E131CD1}">
  <dimension ref="A1:A2"/>
  <sheetViews>
    <sheetView tabSelected="1" workbookViewId="0"/>
  </sheetViews>
  <sheetFormatPr baseColWidth="10" defaultRowHeight="14.5" x14ac:dyDescent="0.35"/>
  <sheetData>
    <row r="1" spans="1:1" ht="21" x14ac:dyDescent="0.5">
      <c r="A1" s="2" t="s">
        <v>0</v>
      </c>
    </row>
    <row r="2" spans="1:1" x14ac:dyDescent="0.35">
      <c r="A2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A34B-C3A0-424A-993D-602079663023}">
  <dimension ref="A1:D7"/>
  <sheetViews>
    <sheetView workbookViewId="0"/>
  </sheetViews>
  <sheetFormatPr baseColWidth="10" defaultRowHeight="14.5" x14ac:dyDescent="0.35"/>
  <cols>
    <col min="1" max="1" width="6.90625" bestFit="1" customWidth="1"/>
    <col min="2" max="2" width="10.453125" bestFit="1" customWidth="1"/>
    <col min="3" max="3" width="12.7265625" bestFit="1" customWidth="1"/>
    <col min="4" max="4" width="14.1796875" bestFit="1" customWidth="1"/>
  </cols>
  <sheetData>
    <row r="1" spans="1:4" x14ac:dyDescent="0.35">
      <c r="A1" s="1" t="s">
        <v>3</v>
      </c>
      <c r="B1" s="1" t="s">
        <v>4</v>
      </c>
      <c r="C1" s="1" t="s">
        <v>29</v>
      </c>
      <c r="D1" s="1" t="s">
        <v>30</v>
      </c>
    </row>
    <row r="2" spans="1:4" x14ac:dyDescent="0.35">
      <c r="A2" t="s">
        <v>11</v>
      </c>
      <c r="B2" t="s">
        <v>12</v>
      </c>
      <c r="C2">
        <v>10</v>
      </c>
      <c r="D2" t="s">
        <v>31</v>
      </c>
    </row>
    <row r="3" spans="1:4" x14ac:dyDescent="0.35">
      <c r="A3" t="s">
        <v>14</v>
      </c>
      <c r="B3" t="s">
        <v>15</v>
      </c>
      <c r="C3">
        <v>6</v>
      </c>
      <c r="D3" t="s">
        <v>31</v>
      </c>
    </row>
    <row r="4" spans="1:4" x14ac:dyDescent="0.35">
      <c r="A4" t="s">
        <v>21</v>
      </c>
      <c r="B4" t="s">
        <v>22</v>
      </c>
      <c r="C4">
        <v>4</v>
      </c>
      <c r="D4" t="s">
        <v>32</v>
      </c>
    </row>
    <row r="5" spans="1:4" x14ac:dyDescent="0.35">
      <c r="A5" t="s">
        <v>24</v>
      </c>
      <c r="B5" t="s">
        <v>25</v>
      </c>
      <c r="C5">
        <v>8</v>
      </c>
      <c r="D5" t="s">
        <v>31</v>
      </c>
    </row>
    <row r="6" spans="1:4" x14ac:dyDescent="0.35">
      <c r="A6" t="s">
        <v>27</v>
      </c>
      <c r="B6" t="s">
        <v>28</v>
      </c>
      <c r="C6">
        <v>5</v>
      </c>
      <c r="D6" t="s">
        <v>33</v>
      </c>
    </row>
    <row r="7" spans="1:4" x14ac:dyDescent="0.35">
      <c r="A7" t="s">
        <v>17</v>
      </c>
      <c r="B7" t="s">
        <v>18</v>
      </c>
      <c r="C7">
        <v>7</v>
      </c>
      <c r="D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56A8-8F4A-4965-B14E-D2AA558A10B7}">
  <dimension ref="A1:H7"/>
  <sheetViews>
    <sheetView workbookViewId="0"/>
  </sheetViews>
  <sheetFormatPr baseColWidth="10" defaultRowHeight="14.5" x14ac:dyDescent="0.35"/>
  <cols>
    <col min="1" max="1" width="9.54296875" bestFit="1" customWidth="1"/>
    <col min="2" max="2" width="6.90625" bestFit="1" customWidth="1"/>
    <col min="3" max="3" width="10.453125" bestFit="1" customWidth="1"/>
    <col min="4" max="4" width="4.08984375" bestFit="1" customWidth="1"/>
    <col min="5" max="5" width="10.36328125" bestFit="1" customWidth="1"/>
    <col min="6" max="6" width="6.90625" bestFit="1" customWidth="1"/>
    <col min="7" max="7" width="13.6328125" bestFit="1" customWidth="1"/>
  </cols>
  <sheetData>
    <row r="1" spans="1:8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5">
      <c r="A2" t="s">
        <v>10</v>
      </c>
      <c r="B2" t="s">
        <v>11</v>
      </c>
      <c r="C2" t="s">
        <v>12</v>
      </c>
      <c r="D2">
        <v>12</v>
      </c>
      <c r="E2">
        <v>19160</v>
      </c>
      <c r="F2">
        <v>16160</v>
      </c>
      <c r="G2" t="s">
        <v>13</v>
      </c>
      <c r="H2">
        <v>46057</v>
      </c>
    </row>
    <row r="3" spans="1:8" x14ac:dyDescent="0.35">
      <c r="A3" t="s">
        <v>10</v>
      </c>
      <c r="B3" t="s">
        <v>14</v>
      </c>
      <c r="C3" t="s">
        <v>15</v>
      </c>
      <c r="D3">
        <v>8</v>
      </c>
      <c r="E3">
        <v>12773</v>
      </c>
      <c r="F3">
        <v>10773</v>
      </c>
      <c r="G3" t="s">
        <v>13</v>
      </c>
      <c r="H3">
        <v>46058</v>
      </c>
    </row>
    <row r="4" spans="1:8" x14ac:dyDescent="0.35">
      <c r="A4" t="s">
        <v>16</v>
      </c>
      <c r="B4" t="s">
        <v>17</v>
      </c>
      <c r="C4" t="s">
        <v>18</v>
      </c>
      <c r="D4">
        <v>9</v>
      </c>
      <c r="E4">
        <v>14370</v>
      </c>
      <c r="F4">
        <v>12120</v>
      </c>
      <c r="G4" t="s">
        <v>19</v>
      </c>
      <c r="H4">
        <v>46059</v>
      </c>
    </row>
    <row r="5" spans="1:8" x14ac:dyDescent="0.35">
      <c r="A5" t="s">
        <v>20</v>
      </c>
      <c r="B5" t="s">
        <v>21</v>
      </c>
      <c r="C5" t="s">
        <v>22</v>
      </c>
      <c r="D5">
        <v>5</v>
      </c>
      <c r="E5">
        <v>24790</v>
      </c>
      <c r="F5">
        <v>19790</v>
      </c>
      <c r="G5" t="s">
        <v>13</v>
      </c>
      <c r="H5">
        <v>46061</v>
      </c>
    </row>
    <row r="6" spans="1:8" x14ac:dyDescent="0.35">
      <c r="A6" t="s">
        <v>23</v>
      </c>
      <c r="B6" t="s">
        <v>24</v>
      </c>
      <c r="C6" t="s">
        <v>25</v>
      </c>
      <c r="D6">
        <v>8</v>
      </c>
      <c r="E6">
        <v>39664</v>
      </c>
      <c r="F6">
        <v>31664</v>
      </c>
      <c r="G6" t="s">
        <v>19</v>
      </c>
      <c r="H6">
        <v>46064</v>
      </c>
    </row>
    <row r="7" spans="1:8" x14ac:dyDescent="0.35">
      <c r="A7" t="s">
        <v>26</v>
      </c>
      <c r="B7" t="s">
        <v>27</v>
      </c>
      <c r="C7" t="s">
        <v>28</v>
      </c>
      <c r="D7">
        <v>50</v>
      </c>
      <c r="E7">
        <v>247899</v>
      </c>
      <c r="F7">
        <v>197899</v>
      </c>
      <c r="G7" t="s">
        <v>19</v>
      </c>
      <c r="H7">
        <v>46065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8F11-0291-4DCB-AEE2-D2812B39890E}">
  <dimension ref="A1:F18"/>
  <sheetViews>
    <sheetView workbookViewId="0"/>
  </sheetViews>
  <sheetFormatPr baseColWidth="10" defaultRowHeight="14.5" x14ac:dyDescent="0.35"/>
  <cols>
    <col min="1" max="1" width="44.81640625" bestFit="1" customWidth="1"/>
    <col min="2" max="2" width="10.54296875" bestFit="1" customWidth="1"/>
    <col min="3" max="3" width="11.90625" bestFit="1" customWidth="1"/>
    <col min="4" max="4" width="10.6328125" bestFit="1" customWidth="1"/>
    <col min="5" max="5" width="12.1796875" bestFit="1" customWidth="1"/>
    <col min="6" max="6" width="17.453125" bestFit="1" customWidth="1"/>
  </cols>
  <sheetData>
    <row r="1" spans="1:6" ht="17" x14ac:dyDescent="0.4">
      <c r="A1" s="4" t="s">
        <v>34</v>
      </c>
    </row>
    <row r="3" spans="1:6" x14ac:dyDescent="0.35">
      <c r="A3" s="5" t="s">
        <v>3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</row>
    <row r="4" spans="1:6" x14ac:dyDescent="0.35">
      <c r="A4" t="s">
        <v>11</v>
      </c>
      <c r="B4">
        <f>SUMIF(sell_in!B:B,A4,sell_in!D:D)</f>
        <v>12</v>
      </c>
      <c r="C4">
        <f>SUMIF(sell_out!A:A,A4,sell_out!C:C)</f>
        <v>10</v>
      </c>
      <c r="D4" s="6">
        <f>IFERROR(C4/B4,0)</f>
        <v>0.83333333333333337</v>
      </c>
      <c r="E4" s="7">
        <f>SUMIF(sell_in!B:B,A4,sell_in!E:E)</f>
        <v>19160</v>
      </c>
      <c r="F4">
        <f>B4-C4</f>
        <v>2</v>
      </c>
    </row>
    <row r="5" spans="1:6" x14ac:dyDescent="0.35">
      <c r="A5" t="s">
        <v>14</v>
      </c>
      <c r="B5">
        <f>SUMIF(sell_in!B:B,A5,sell_in!D:D)</f>
        <v>8</v>
      </c>
      <c r="C5">
        <f>SUMIF(sell_out!A:A,A5,sell_out!C:C)</f>
        <v>6</v>
      </c>
      <c r="D5" s="6">
        <f>IFERROR(C5/B5,0)</f>
        <v>0.75</v>
      </c>
      <c r="E5" s="7">
        <f>SUMIF(sell_in!B:B,A5,sell_in!E:E)</f>
        <v>12773</v>
      </c>
      <c r="F5">
        <f>B5-C5</f>
        <v>2</v>
      </c>
    </row>
    <row r="6" spans="1:6" x14ac:dyDescent="0.35">
      <c r="A6" t="s">
        <v>17</v>
      </c>
      <c r="B6">
        <f>SUMIF(sell_in!B:B,A6,sell_in!D:D)</f>
        <v>9</v>
      </c>
      <c r="C6">
        <f>SUMIF(sell_out!A:A,A6,sell_out!C:C)</f>
        <v>7</v>
      </c>
      <c r="D6" s="6">
        <f>IFERROR(C6/B6,0)</f>
        <v>0.77777777777777779</v>
      </c>
      <c r="E6" s="7">
        <f>SUMIF(sell_in!B:B,A6,sell_in!E:E)</f>
        <v>14370</v>
      </c>
      <c r="F6">
        <f>B6-C6</f>
        <v>2</v>
      </c>
    </row>
    <row r="7" spans="1:6" x14ac:dyDescent="0.35">
      <c r="A7" t="s">
        <v>40</v>
      </c>
      <c r="B7">
        <f>SUMIF(sell_in!B:B,A7,sell_in!D:D)</f>
        <v>0</v>
      </c>
      <c r="C7">
        <f>SUMIF(sell_out!A:A,A7,sell_out!C:C)</f>
        <v>0</v>
      </c>
      <c r="D7" s="6">
        <f>IFERROR(C7/B7,0)</f>
        <v>0</v>
      </c>
      <c r="E7" s="7">
        <f>SUMIF(sell_in!B:B,A7,sell_in!E:E)</f>
        <v>0</v>
      </c>
      <c r="F7">
        <f>B7-C7</f>
        <v>0</v>
      </c>
    </row>
    <row r="8" spans="1:6" x14ac:dyDescent="0.35">
      <c r="A8" t="s">
        <v>21</v>
      </c>
      <c r="B8">
        <f>SUMIF(sell_in!B:B,A8,sell_in!D:D)</f>
        <v>5</v>
      </c>
      <c r="C8">
        <f>SUMIF(sell_out!A:A,A8,sell_out!C:C)</f>
        <v>4</v>
      </c>
      <c r="D8" s="6">
        <f>IFERROR(C8/B8,0)</f>
        <v>0.8</v>
      </c>
      <c r="E8" s="7">
        <f>SUMIF(sell_in!B:B,A8,sell_in!E:E)</f>
        <v>24790</v>
      </c>
      <c r="F8">
        <f>B8-C8</f>
        <v>1</v>
      </c>
    </row>
    <row r="9" spans="1:6" x14ac:dyDescent="0.35">
      <c r="A9" t="s">
        <v>24</v>
      </c>
      <c r="B9">
        <f>SUMIF(sell_in!B:B,A9,sell_in!D:D)</f>
        <v>8</v>
      </c>
      <c r="C9">
        <f>SUMIF(sell_out!A:A,A9,sell_out!C:C)</f>
        <v>8</v>
      </c>
      <c r="D9" s="6">
        <f>IFERROR(C9/B9,0)</f>
        <v>1</v>
      </c>
      <c r="E9" s="7">
        <f>SUMIF(sell_in!B:B,A9,sell_in!E:E)</f>
        <v>39664</v>
      </c>
      <c r="F9">
        <f>B9-C9</f>
        <v>0</v>
      </c>
    </row>
    <row r="10" spans="1:6" x14ac:dyDescent="0.35">
      <c r="A10" t="s">
        <v>27</v>
      </c>
      <c r="B10">
        <f>SUMIF(sell_in!B:B,A10,sell_in!D:D)</f>
        <v>50</v>
      </c>
      <c r="C10">
        <f>SUMIF(sell_out!A:A,A10,sell_out!C:C)</f>
        <v>5</v>
      </c>
      <c r="D10" s="6">
        <f>IFERROR(C10/B10,0)</f>
        <v>0.1</v>
      </c>
      <c r="E10" s="7">
        <f>SUMIF(sell_in!B:B,A10,sell_in!E:E)</f>
        <v>247899</v>
      </c>
      <c r="F10">
        <f>B10-C10</f>
        <v>45</v>
      </c>
    </row>
    <row r="11" spans="1:6" x14ac:dyDescent="0.35">
      <c r="A11" t="s">
        <v>41</v>
      </c>
      <c r="B11">
        <f>SUMIF(sell_in!B:B,A11,sell_in!D:D)</f>
        <v>0</v>
      </c>
      <c r="C11">
        <f>SUMIF(sell_out!A:A,A11,sell_out!C:C)</f>
        <v>0</v>
      </c>
      <c r="D11" s="6">
        <f>IFERROR(C11/B11,0)</f>
        <v>0</v>
      </c>
      <c r="E11" s="7">
        <f>SUMIF(sell_in!B:B,A11,sell_in!E:E)</f>
        <v>0</v>
      </c>
      <c r="F11">
        <f>B11-C11</f>
        <v>0</v>
      </c>
    </row>
    <row r="12" spans="1:6" x14ac:dyDescent="0.35">
      <c r="A12" s="1" t="s">
        <v>42</v>
      </c>
      <c r="B12" s="1">
        <f>SUM(B4:B11)</f>
        <v>92</v>
      </c>
      <c r="C12" s="1">
        <f>SUM(C4:C11)</f>
        <v>40</v>
      </c>
      <c r="D12" s="1"/>
      <c r="E12" s="8">
        <f>SUM(E4:E11)</f>
        <v>358656</v>
      </c>
      <c r="F12" s="1"/>
    </row>
    <row r="14" spans="1:6" x14ac:dyDescent="0.35">
      <c r="A14" s="1" t="s">
        <v>43</v>
      </c>
    </row>
    <row r="15" spans="1:6" x14ac:dyDescent="0.35">
      <c r="A15" s="1" t="s">
        <v>44</v>
      </c>
      <c r="B15" s="1" t="s">
        <v>45</v>
      </c>
    </row>
    <row r="16" spans="1:6" x14ac:dyDescent="0.35">
      <c r="A16" t="s">
        <v>46</v>
      </c>
      <c r="B16" s="7">
        <f ca="1">SUMIFS(sell_in!E:E,sell_in!G:G,"Emitida",sell_in!H:H,"&gt;="&amp;TODAY())</f>
        <v>0</v>
      </c>
    </row>
    <row r="17" spans="1:2" x14ac:dyDescent="0.35">
      <c r="A17" t="s">
        <v>47</v>
      </c>
      <c r="B17" s="7">
        <f ca="1">SUMIFS(sell_in!E:E,sell_in!G:G,"Emitida",sell_in!H:H,"&lt;"&amp;TODAY(),sell_in!H:H,"&gt;="&amp;TODAY()-30)</f>
        <v>0</v>
      </c>
    </row>
    <row r="18" spans="1:2" x14ac:dyDescent="0.35">
      <c r="A18" t="s">
        <v>48</v>
      </c>
      <c r="B18" s="7">
        <f ca="1">SUMIFS(sell_in!E:E,sell_in!G:G,"Emitida",sell_in!H:H,"&lt;"&amp;(TODAY()-30))</f>
        <v>301933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AE81FD-757C-4CAE-9CD2-822546C4C3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PORTADA</vt:lpstr>
      <vt:lpstr>sell_out</vt:lpstr>
      <vt:lpstr>sell_in</vt:lpstr>
      <vt:lpstr>ANALISIS</vt:lpstr>
      <vt:lpstr>sell_in!DatosExternos_1</vt:lpstr>
      <vt:lpstr>sell_out!DatosExternos_1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Jimenez Anguita</dc:creator>
  <cp:lastModifiedBy>Patricio Jimenez Anguita</cp:lastModifiedBy>
  <dcterms:created xsi:type="dcterms:W3CDTF">2026-07-06T19:12:07Z</dcterms:created>
  <dcterms:modified xsi:type="dcterms:W3CDTF">2026-07-06T19:12:21Z</dcterms:modified>
</cp:coreProperties>
</file>